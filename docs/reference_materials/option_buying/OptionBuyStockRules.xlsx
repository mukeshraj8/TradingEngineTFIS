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26-10-2023" sheetId="1" r:id="rId4"/>
    <sheet state="visible" name="2. 26-10-2023" sheetId="2" r:id="rId5"/>
    <sheet state="visible" name="27-Oct-2023" sheetId="3" r:id="rId6"/>
    <sheet state="visible" name="OB_Rules" sheetId="4" r:id="rId7"/>
  </sheets>
  <definedNames/>
  <calcPr/>
</workbook>
</file>

<file path=xl/sharedStrings.xml><?xml version="1.0" encoding="utf-8"?>
<sst xmlns="http://schemas.openxmlformats.org/spreadsheetml/2006/main" count="333" uniqueCount="229">
  <si>
    <t>May The Peaceful Prosperity Be With You Always.!!!</t>
  </si>
  <si>
    <t>TATACHEM</t>
  </si>
  <si>
    <t>Monthly Status = Bearish Confirmed</t>
  </si>
  <si>
    <t>Particulars</t>
  </si>
  <si>
    <t>Monthly Status = Bearish | Bearish Confirmed</t>
  </si>
  <si>
    <t>Calculations</t>
  </si>
  <si>
    <t>Gap Caln</t>
  </si>
  <si>
    <t>Trade Only PUT Buy</t>
  </si>
  <si>
    <t>ITM</t>
  </si>
  <si>
    <t>Step 3</t>
  </si>
  <si>
    <t>Collect the Data for Spot</t>
  </si>
  <si>
    <r>
      <rPr>
        <rFont val="Calibri, sans-serif"/>
        <b/>
        <color rgb="FF000000"/>
        <sz val="13.0"/>
      </rPr>
      <t>Previous 2DLL</t>
    </r>
    <r>
      <rPr>
        <rFont val="Calibri, sans-serif"/>
        <color rgb="FF000000"/>
        <sz val="13.0"/>
      </rPr>
      <t xml:space="preserve"> of Spot</t>
    </r>
  </si>
  <si>
    <t>09:30 am Low</t>
  </si>
  <si>
    <t>Final</t>
  </si>
  <si>
    <t>Step 4</t>
  </si>
  <si>
    <t>Check The Strike Factor</t>
  </si>
  <si>
    <t>Step 5</t>
  </si>
  <si>
    <t>Find the Strike Range</t>
  </si>
  <si>
    <r>
      <rPr>
        <rFont val="Calibri, sans-serif"/>
        <b/>
        <color rgb="FF000000"/>
        <sz val="13.0"/>
      </rPr>
      <t>Start Strike</t>
    </r>
    <r>
      <rPr>
        <rFont val="Calibri, sans-serif"/>
        <color rgb="FF000000"/>
        <sz val="13.0"/>
      </rPr>
      <t xml:space="preserve"> = 
Spot Previous </t>
    </r>
    <r>
      <rPr>
        <rFont val="Calibri, sans-serif"/>
        <b/>
        <color rgb="FF000000"/>
        <sz val="13.0"/>
      </rPr>
      <t>2DLL</t>
    </r>
    <r>
      <rPr>
        <rFont val="Calibri, sans-serif"/>
        <color rgb="FF000000"/>
        <sz val="13.0"/>
      </rPr>
      <t xml:space="preserve"> &amp; 
RoundOff to the Nearest Strike</t>
    </r>
  </si>
  <si>
    <r>
      <rPr>
        <rFont val="Calibri, sans-serif"/>
        <b/>
        <color rgb="FF000000"/>
        <sz val="13.0"/>
      </rPr>
      <t>End Strike</t>
    </r>
    <r>
      <rPr>
        <rFont val="Calibri, sans-serif"/>
        <color rgb="FF000000"/>
        <sz val="13.0"/>
      </rPr>
      <t xml:space="preserve"> = 
Start Strike + </t>
    </r>
    <r>
      <rPr>
        <rFont val="Calibri, sans-serif"/>
        <b/>
        <color rgb="FF000000"/>
        <sz val="13.0"/>
      </rPr>
      <t>1 Strike</t>
    </r>
  </si>
  <si>
    <r>
      <rPr>
        <rFont val="Calibri, sans-serif"/>
        <b/>
        <color rgb="FF000000"/>
        <sz val="13.0"/>
      </rPr>
      <t>Last Choice Strike</t>
    </r>
    <r>
      <rPr>
        <rFont val="Calibri, sans-serif"/>
        <color rgb="FF000000"/>
        <sz val="13.0"/>
      </rPr>
      <t xml:space="preserve"> = 
Start Strike - </t>
    </r>
    <r>
      <rPr>
        <rFont val="Calibri, sans-serif"/>
        <b/>
        <color rgb="FF000000"/>
        <sz val="13.0"/>
      </rPr>
      <t>1 Strike</t>
    </r>
  </si>
  <si>
    <r>
      <rPr>
        <rFont val="Calibri, sans-serif"/>
        <b/>
        <color theme="1"/>
        <sz val="13.0"/>
      </rPr>
      <t>Note:</t>
    </r>
    <r>
      <rPr>
        <rFont val="Calibri, sans-serif"/>
        <color theme="1"/>
        <sz val="13.0"/>
      </rPr>
      <t xml:space="preserve"> If The Price Is Exact </t>
    </r>
    <r>
      <rPr>
        <rFont val="Calibri, sans-serif"/>
        <b/>
        <color theme="1"/>
        <sz val="13.0"/>
      </rPr>
      <t>Mid-Point</t>
    </r>
    <r>
      <rPr>
        <rFont val="Calibri, sans-serif"/>
        <color theme="1"/>
        <sz val="13.0"/>
      </rPr>
      <t xml:space="preserve"> of Two Strikes Then Choose The Nearest </t>
    </r>
    <r>
      <rPr>
        <rFont val="Calibri, sans-serif"/>
        <b/>
        <color theme="1"/>
        <sz val="13.0"/>
      </rPr>
      <t>ITM</t>
    </r>
    <r>
      <rPr>
        <rFont val="Calibri, sans-serif"/>
        <color theme="1"/>
        <sz val="13.0"/>
      </rPr>
      <t xml:space="preserve"> Strike For The Start Strike. </t>
    </r>
  </si>
  <si>
    <t>Lot Size</t>
  </si>
  <si>
    <t>Step 6</t>
  </si>
  <si>
    <t>Minimum OI</t>
  </si>
  <si>
    <t>100 Lots ( 100 * Lot Size)</t>
  </si>
  <si>
    <t>Step 7 a</t>
  </si>
  <si>
    <t>Qualifying the Strikes for Final Strike in Near Contract</t>
  </si>
  <si>
    <r>
      <rPr>
        <rFont val="Calibri, sans-serif"/>
        <b/>
        <color rgb="FF000000"/>
        <sz val="13.0"/>
      </rPr>
      <t xml:space="preserve">Check </t>
    </r>
    <r>
      <rPr>
        <rFont val="Calibri, sans-serif"/>
        <color rgb="FF000000"/>
        <sz val="13.0"/>
      </rPr>
      <t xml:space="preserve">from </t>
    </r>
    <r>
      <rPr>
        <rFont val="Calibri, sans-serif"/>
        <b/>
        <color rgb="FF000000"/>
        <sz val="13.0"/>
      </rPr>
      <t xml:space="preserve">Start </t>
    </r>
    <r>
      <rPr>
        <rFont val="Calibri, sans-serif"/>
        <color rgb="FF000000"/>
        <sz val="13.0"/>
      </rPr>
      <t xml:space="preserve">Strike to </t>
    </r>
    <r>
      <rPr>
        <rFont val="Calibri, sans-serif"/>
        <b/>
        <color rgb="FF000000"/>
        <sz val="13.0"/>
      </rPr>
      <t xml:space="preserve">End </t>
    </r>
    <r>
      <rPr>
        <rFont val="Calibri, sans-serif"/>
        <color rgb="FF000000"/>
        <sz val="13.0"/>
      </rPr>
      <t xml:space="preserve">Strike and </t>
    </r>
    <r>
      <rPr>
        <rFont val="Calibri, sans-serif"/>
        <b/>
        <color rgb="FF000000"/>
        <sz val="13.0"/>
      </rPr>
      <t xml:space="preserve">Choose the First Strike </t>
    </r>
    <r>
      <rPr>
        <rFont val="Calibri, sans-serif"/>
        <color rgb="FF000000"/>
        <sz val="13.0"/>
      </rPr>
      <t xml:space="preserve">Which is </t>
    </r>
    <r>
      <rPr>
        <rFont val="Calibri, sans-serif"/>
        <b/>
        <color rgb="FF000000"/>
        <sz val="13.0"/>
      </rPr>
      <t>Qualifying</t>
    </r>
    <r>
      <rPr>
        <rFont val="Calibri, sans-serif"/>
        <color rgb="FF000000"/>
        <sz val="13.0"/>
      </rPr>
      <t xml:space="preserve"> Min OI Criteria in Near Contract.</t>
    </r>
  </si>
  <si>
    <t>Step 7 b</t>
  </si>
  <si>
    <t>Qualifying the Last Choice Strike for Final Strike in Near Contract</t>
  </si>
  <si>
    <r>
      <rPr>
        <rFont val="Calibri, sans-serif"/>
        <color theme="1"/>
        <sz val="13.0"/>
      </rPr>
      <t xml:space="preserve">If All the Above Strikes From </t>
    </r>
    <r>
      <rPr>
        <rFont val="Calibri, sans-serif"/>
        <b/>
        <color theme="1"/>
        <sz val="13.0"/>
      </rPr>
      <t>Start</t>
    </r>
    <r>
      <rPr>
        <rFont val="Calibri, sans-serif"/>
        <color theme="1"/>
        <sz val="13.0"/>
      </rPr>
      <t xml:space="preserve"> To </t>
    </r>
    <r>
      <rPr>
        <rFont val="Calibri, sans-serif"/>
        <b/>
        <color theme="1"/>
        <sz val="13.0"/>
      </rPr>
      <t xml:space="preserve">End </t>
    </r>
    <r>
      <rPr>
        <rFont val="Calibri, sans-serif"/>
        <color theme="1"/>
        <sz val="13.0"/>
      </rPr>
      <t xml:space="preserve">are </t>
    </r>
    <r>
      <rPr>
        <rFont val="Calibri, sans-serif"/>
        <b/>
        <color theme="1"/>
        <sz val="13.0"/>
      </rPr>
      <t>Not Qualifying</t>
    </r>
    <r>
      <rPr>
        <rFont val="Calibri, sans-serif"/>
        <color theme="1"/>
        <sz val="13.0"/>
      </rPr>
      <t xml:space="preserve">, Then </t>
    </r>
    <r>
      <rPr>
        <rFont val="Calibri, sans-serif"/>
        <b/>
        <color theme="1"/>
        <sz val="13.0"/>
      </rPr>
      <t>Check</t>
    </r>
    <r>
      <rPr>
        <rFont val="Calibri, sans-serif"/>
        <color theme="1"/>
        <sz val="13.0"/>
      </rPr>
      <t xml:space="preserve"> If The </t>
    </r>
    <r>
      <rPr>
        <rFont val="Calibri, sans-serif"/>
        <b/>
        <color theme="1"/>
        <sz val="13.0"/>
      </rPr>
      <t>Last Choice Strike</t>
    </r>
    <r>
      <rPr>
        <rFont val="Calibri, sans-serif"/>
        <color theme="1"/>
        <sz val="13.0"/>
      </rPr>
      <t xml:space="preserve"> is </t>
    </r>
    <r>
      <rPr>
        <rFont val="Calibri, sans-serif"/>
        <b/>
        <color theme="1"/>
        <sz val="13.0"/>
      </rPr>
      <t xml:space="preserve">Qualifying </t>
    </r>
    <r>
      <rPr>
        <rFont val="Calibri, sans-serif"/>
        <color theme="1"/>
        <sz val="13.0"/>
      </rPr>
      <t>Min OI Criteria.</t>
    </r>
  </si>
  <si>
    <t>Step 7 c</t>
  </si>
  <si>
    <t>No Qualifying Strikes</t>
  </si>
  <si>
    <r>
      <rPr>
        <rFont val="Calibri, Arial"/>
        <color rgb="FF000000"/>
        <sz val="13.0"/>
      </rPr>
      <t xml:space="preserve">If All Of The Above Strikes are </t>
    </r>
    <r>
      <rPr>
        <rFont val="Calibri, Arial"/>
        <b/>
        <color rgb="FF000000"/>
        <sz val="13.0"/>
      </rPr>
      <t>Not Qualifying</t>
    </r>
    <r>
      <rPr>
        <rFont val="Calibri, Arial"/>
        <color rgb="FF000000"/>
        <sz val="13.0"/>
      </rPr>
      <t xml:space="preserve"> in The Near Contract as well as in The Next Contract Then </t>
    </r>
    <r>
      <rPr>
        <rFont val="Calibri, Arial"/>
        <b/>
        <color rgb="FF000000"/>
        <sz val="13.0"/>
      </rPr>
      <t>Do Not Place</t>
    </r>
    <r>
      <rPr>
        <rFont val="Calibri, Arial"/>
        <color rgb="FF000000"/>
        <sz val="13.0"/>
      </rPr>
      <t xml:space="preserve"> Orders for That Particular Day.</t>
    </r>
  </si>
  <si>
    <t>Gap</t>
  </si>
  <si>
    <t>Monthly Status</t>
  </si>
  <si>
    <t>2DHH</t>
  </si>
  <si>
    <t>Trade Details</t>
  </si>
  <si>
    <t>Trade</t>
  </si>
  <si>
    <r>
      <rPr>
        <rFont val="Calibri, sans-serif"/>
        <b/>
        <color rgb="FF000000"/>
        <sz val="13.0"/>
      </rPr>
      <t>Put Buy</t>
    </r>
    <r>
      <rPr>
        <rFont val="Calibri, sans-serif"/>
        <b/>
        <color rgb="FF000000"/>
        <sz val="13.0"/>
      </rPr>
      <t xml:space="preserve"> Rules</t>
    </r>
  </si>
  <si>
    <t>Final HH</t>
  </si>
  <si>
    <t>Final Strike</t>
  </si>
  <si>
    <t>Step 8</t>
  </si>
  <si>
    <t>Entry</t>
  </si>
  <si>
    <t>BO</t>
  </si>
  <si>
    <r>
      <rPr>
        <rFont val="Calibri"/>
        <color rgb="FF000000"/>
        <sz val="13.0"/>
      </rPr>
      <t xml:space="preserve">Previous </t>
    </r>
    <r>
      <rPr>
        <rFont val="Calibri"/>
        <b/>
        <color rgb="FF000000"/>
        <sz val="13.0"/>
      </rPr>
      <t>2DHH</t>
    </r>
    <r>
      <rPr>
        <rFont val="Calibri"/>
        <color rgb="FF000000"/>
        <sz val="13.0"/>
      </rPr>
      <t xml:space="preserve"> of Final Strike </t>
    </r>
    <r>
      <rPr>
        <rFont val="Calibri"/>
        <b/>
        <color rgb="FF000000"/>
        <sz val="13.0"/>
      </rPr>
      <t>+ 5%</t>
    </r>
  </si>
  <si>
    <t>Step 9</t>
  </si>
  <si>
    <t>Target 1</t>
  </si>
  <si>
    <t>SO</t>
  </si>
  <si>
    <r>
      <rPr>
        <rFont val="Calibri"/>
        <color theme="1"/>
        <sz val="13.0"/>
      </rPr>
      <t xml:space="preserve">Put Buy </t>
    </r>
    <r>
      <rPr>
        <rFont val="Calibri"/>
        <b/>
        <color theme="1"/>
        <sz val="13.0"/>
      </rPr>
      <t xml:space="preserve">Entry + ( </t>
    </r>
    <r>
      <rPr>
        <rFont val="Calibri"/>
        <color theme="1"/>
        <sz val="13.0"/>
      </rPr>
      <t>Final Strike</t>
    </r>
    <r>
      <rPr>
        <rFont val="Calibri"/>
        <b/>
        <color theme="1"/>
        <sz val="13.0"/>
      </rPr>
      <t xml:space="preserve"> * 3% )</t>
    </r>
  </si>
  <si>
    <t>Step 10</t>
  </si>
  <si>
    <t>Target 2</t>
  </si>
  <si>
    <r>
      <rPr>
        <rFont val="Calibri"/>
        <color theme="1"/>
        <sz val="13.0"/>
      </rPr>
      <t xml:space="preserve">Put Buy </t>
    </r>
    <r>
      <rPr>
        <rFont val="Calibri"/>
        <b/>
        <color theme="1"/>
        <sz val="13.0"/>
      </rPr>
      <t xml:space="preserve">Entry + ( </t>
    </r>
    <r>
      <rPr>
        <rFont val="Calibri"/>
        <color theme="1"/>
        <sz val="13.0"/>
      </rPr>
      <t>Final Strike</t>
    </r>
    <r>
      <rPr>
        <rFont val="Calibri"/>
        <b/>
        <color theme="1"/>
        <sz val="13.0"/>
      </rPr>
      <t xml:space="preserve"> * 4.5% )</t>
    </r>
  </si>
  <si>
    <t>Step 11</t>
  </si>
  <si>
    <t>Target 3</t>
  </si>
  <si>
    <r>
      <rPr>
        <rFont val="Calibri"/>
        <color theme="1"/>
        <sz val="13.0"/>
      </rPr>
      <t xml:space="preserve">Put Buy </t>
    </r>
    <r>
      <rPr>
        <rFont val="Calibri"/>
        <b/>
        <color theme="1"/>
        <sz val="13.0"/>
      </rPr>
      <t xml:space="preserve">Entry + ( </t>
    </r>
    <r>
      <rPr>
        <rFont val="Calibri"/>
        <color theme="1"/>
        <sz val="13.0"/>
      </rPr>
      <t>Final Strike</t>
    </r>
    <r>
      <rPr>
        <rFont val="Calibri"/>
        <b/>
        <color theme="1"/>
        <sz val="13.0"/>
      </rPr>
      <t xml:space="preserve"> * 6% )</t>
    </r>
  </si>
  <si>
    <t>Step 12</t>
  </si>
  <si>
    <t>Target 4</t>
  </si>
  <si>
    <r>
      <rPr>
        <rFont val="Calibri"/>
        <color rgb="FF000000"/>
        <sz val="13.0"/>
      </rPr>
      <t xml:space="preserve">Put Buy </t>
    </r>
    <r>
      <rPr>
        <rFont val="Calibri"/>
        <b/>
        <color rgb="FF000000"/>
        <sz val="13.0"/>
      </rPr>
      <t xml:space="preserve">Entry + 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8% )</t>
    </r>
  </si>
  <si>
    <t>Step 13</t>
  </si>
  <si>
    <t>Stop Loss</t>
  </si>
  <si>
    <r>
      <rPr>
        <rFont val="Calibri"/>
        <b/>
        <color theme="1"/>
        <sz val="13.0"/>
      </rPr>
      <t xml:space="preserve"> </t>
    </r>
    <r>
      <rPr>
        <rFont val="Calibri"/>
        <color theme="1"/>
        <sz val="13.0"/>
      </rPr>
      <t xml:space="preserve">( Put Buy </t>
    </r>
    <r>
      <rPr>
        <rFont val="Calibri"/>
        <b/>
        <color theme="1"/>
        <sz val="13.0"/>
      </rPr>
      <t>Entry</t>
    </r>
    <r>
      <rPr>
        <rFont val="Calibri"/>
        <color theme="1"/>
        <sz val="13.0"/>
      </rPr>
      <t xml:space="preserve"> </t>
    </r>
    <r>
      <rPr>
        <rFont val="Calibri"/>
        <b/>
        <color theme="1"/>
        <sz val="13.0"/>
      </rPr>
      <t>-</t>
    </r>
    <r>
      <rPr>
        <rFont val="Calibri"/>
        <color theme="1"/>
        <sz val="13.0"/>
      </rPr>
      <t xml:space="preserve"> (Final Strike </t>
    </r>
    <r>
      <rPr>
        <rFont val="Calibri"/>
        <b/>
        <color theme="1"/>
        <sz val="13.0"/>
      </rPr>
      <t xml:space="preserve">* 3% </t>
    </r>
    <r>
      <rPr>
        <rFont val="Calibri"/>
        <color theme="1"/>
        <sz val="13.0"/>
      </rPr>
      <t>)</t>
    </r>
  </si>
  <si>
    <r>
      <rPr>
        <rFont val="Calibri, sans-serif"/>
        <b/>
        <color theme="1"/>
        <sz val="13.0"/>
      </rPr>
      <t>Note:</t>
    </r>
    <r>
      <rPr>
        <rFont val="Calibri, sans-serif"/>
        <color theme="1"/>
        <sz val="13.0"/>
      </rPr>
      <t xml:space="preserve"> If The Stop loss Price Is </t>
    </r>
    <r>
      <rPr>
        <rFont val="Calibri, sans-serif"/>
        <b/>
        <color theme="1"/>
        <sz val="13.0"/>
      </rPr>
      <t xml:space="preserve">Negative, </t>
    </r>
    <r>
      <rPr>
        <rFont val="Calibri, sans-serif"/>
        <color theme="1"/>
        <sz val="13.0"/>
      </rPr>
      <t xml:space="preserve">then </t>
    </r>
    <r>
      <rPr>
        <rFont val="Calibri, sans-serif"/>
        <b/>
        <color theme="1"/>
        <sz val="13.0"/>
      </rPr>
      <t>Do Not Place SL</t>
    </r>
    <r>
      <rPr>
        <rFont val="Calibri, sans-serif"/>
        <color theme="1"/>
        <sz val="13.0"/>
      </rPr>
      <t xml:space="preserve"> Order for That Trade.</t>
    </r>
  </si>
  <si>
    <t>Option Type</t>
  </si>
  <si>
    <t>Put</t>
  </si>
  <si>
    <t>Order Type</t>
  </si>
  <si>
    <t>Order Time</t>
  </si>
  <si>
    <t>BUY</t>
  </si>
  <si>
    <t>SELL</t>
  </si>
  <si>
    <t>Approx Capital Capital For 1 Lot</t>
  </si>
  <si>
    <t>For Entry</t>
  </si>
  <si>
    <t>Monthly Strategy</t>
  </si>
  <si>
    <t>OB Strategy</t>
  </si>
  <si>
    <t>Graph</t>
  </si>
  <si>
    <t>10 mins</t>
  </si>
  <si>
    <t>No. of Candle</t>
  </si>
  <si>
    <t>Type of Graph</t>
  </si>
  <si>
    <t>Options - Specific Graph</t>
  </si>
  <si>
    <t>IF 09:25 am High &lt; Entry</t>
  </si>
  <si>
    <t>Not Missed</t>
  </si>
  <si>
    <t>Action</t>
  </si>
  <si>
    <t>Place the Orders at 09:25 am</t>
  </si>
  <si>
    <t>IF 09:25 am High &gt;= Entry</t>
  </si>
  <si>
    <t>Missed</t>
  </si>
  <si>
    <t>09:25 AM High</t>
  </si>
  <si>
    <t>Wait Till 09:30 AM</t>
  </si>
  <si>
    <t>Recalculate From Rule No.1</t>
  </si>
  <si>
    <t>Trend Status</t>
  </si>
  <si>
    <t>PML</t>
  </si>
  <si>
    <t>Date</t>
  </si>
  <si>
    <t>Bullish ( PWH or CWH + 1%)</t>
  </si>
  <si>
    <t>Bearish Value</t>
  </si>
  <si>
    <t>PWH</t>
  </si>
  <si>
    <t>03-ocT TO 06-oCT</t>
  </si>
  <si>
    <t>CWH</t>
  </si>
  <si>
    <t>Bearish Confimed</t>
  </si>
  <si>
    <t>Day</t>
  </si>
  <si>
    <t>Down = Bear CF</t>
  </si>
  <si>
    <t>Up = Bull</t>
  </si>
  <si>
    <t>Final Status</t>
  </si>
  <si>
    <t>No Changed</t>
  </si>
  <si>
    <t>Bear</t>
  </si>
  <si>
    <t>Bull</t>
  </si>
  <si>
    <t>Bullish Confimed</t>
  </si>
  <si>
    <t>Bullish Value</t>
  </si>
  <si>
    <t>Bear ( PWL &amp; CWL ) - 1%</t>
  </si>
  <si>
    <t>PWL &amp; CWL</t>
  </si>
  <si>
    <t>Bearish</t>
  </si>
  <si>
    <t>Bearish Confirmed</t>
  </si>
  <si>
    <t>Risk Management</t>
  </si>
  <si>
    <t>1 Lot = TATACHEM</t>
  </si>
  <si>
    <t>CMP ( SPot )</t>
  </si>
  <si>
    <t>Contract Value</t>
  </si>
  <si>
    <t>Risk %</t>
  </si>
  <si>
    <t>Risk in Amount</t>
  </si>
  <si>
    <t>Max No of SL</t>
  </si>
  <si>
    <t>MAx SL in Value ( Risk )</t>
  </si>
  <si>
    <t>Margin</t>
  </si>
  <si>
    <t>Total Capita ( Risk + Margin )</t>
  </si>
  <si>
    <t>Strategy</t>
  </si>
  <si>
    <t>Stock Options Buying - Monthly</t>
  </si>
  <si>
    <t>Postion Status</t>
  </si>
  <si>
    <t>Open</t>
  </si>
  <si>
    <t>Put Buy</t>
  </si>
  <si>
    <t>Entry Price</t>
  </si>
  <si>
    <t>Target Status</t>
  </si>
  <si>
    <t>NO TGT</t>
  </si>
  <si>
    <t>Company Name</t>
  </si>
  <si>
    <t>TATA CHEM</t>
  </si>
  <si>
    <t>TATA MOTORS</t>
  </si>
  <si>
    <t>CALL</t>
  </si>
  <si>
    <t>PUT</t>
  </si>
  <si>
    <t>Our entry</t>
  </si>
  <si>
    <t>1 lot</t>
  </si>
  <si>
    <t>Put On</t>
  </si>
  <si>
    <t>Time</t>
  </si>
  <si>
    <t>SL</t>
  </si>
  <si>
    <t>TGT 1</t>
  </si>
  <si>
    <t>As Position is of 1 Lot, Do not Place Target orders</t>
  </si>
  <si>
    <t>For SL Order</t>
  </si>
  <si>
    <t>Data Check</t>
  </si>
  <si>
    <t>09:25 am Low</t>
  </si>
  <si>
    <t>If 09:25 am Low &gt; SL Price</t>
  </si>
  <si>
    <t>Place the Order at 09:25 am</t>
  </si>
  <si>
    <t>If 09:25 am Low &lt;= SL Price</t>
  </si>
  <si>
    <t>Wait Till 09:30 am</t>
  </si>
  <si>
    <t>Recalculate Revised SL</t>
  </si>
  <si>
    <t>09:30 am Low - 5%</t>
  </si>
  <si>
    <t>If SL is Negative , Do Not Place the SL Order Also Donot Check Gaps in SL</t>
  </si>
  <si>
    <t>Order Placed at 09:25 am</t>
  </si>
  <si>
    <t>Call Buy Entry is Triggered at 11:00 am with 5 Lots</t>
  </si>
  <si>
    <t>Place SL Order = 5 Lots</t>
  </si>
  <si>
    <t>TGT 1 Order = 1 Lot</t>
  </si>
  <si>
    <t>Call Buy Target 1 is Achieved at 1:00 pm with 1 Lot</t>
  </si>
  <si>
    <t>Modify the SL = 4 Lots &amp; Also Change as SL After Target</t>
  </si>
  <si>
    <t>Target 2 = 1 Lot</t>
  </si>
  <si>
    <t>Call Buy Target 2 is Achieved at 1:30 pm with 1 Lot</t>
  </si>
  <si>
    <t>Modify the SL = 3 Lots</t>
  </si>
  <si>
    <t>Target 3 = 1 Lot</t>
  </si>
  <si>
    <t>Call Buy SL Hit is Achieved at 2 pm with 3 Lots</t>
  </si>
  <si>
    <t>Cancel Target 3 Order</t>
  </si>
  <si>
    <t>Place Call Buy Orders as per New Calculations From Rule No. 1</t>
  </si>
  <si>
    <t>Data Collection</t>
  </si>
  <si>
    <t>For All the Calculation Include Current Day Candle Till 02:00 pm</t>
  </si>
  <si>
    <t>Start Strike</t>
  </si>
  <si>
    <t>End Strike</t>
  </si>
  <si>
    <t>Option Buying Rules</t>
  </si>
  <si>
    <t>Steps</t>
  </si>
  <si>
    <t>Information</t>
  </si>
  <si>
    <t>Step 1</t>
  </si>
  <si>
    <t>Next Trading Day Information</t>
  </si>
  <si>
    <t>Write Down the Date, Day and Time of Which you are Preparing for = 27-Oct-2023</t>
  </si>
  <si>
    <t>Step 2</t>
  </si>
  <si>
    <r>
      <rPr>
        <rFont val="Calibri, sans-serif"/>
        <color rgb="FF000000"/>
        <sz val="13.0"/>
      </rPr>
      <t>Check</t>
    </r>
    <r>
      <rPr>
        <rFont val="Calibri, sans-serif"/>
        <color rgb="FF000000"/>
        <sz val="13.0"/>
      </rPr>
      <t xml:space="preserve"> Monthly Status</t>
    </r>
  </si>
  <si>
    <t>Check the Monthly Status in Future Continuous Graph</t>
  </si>
  <si>
    <t>Monthly Status = Bullish | Bullish Confirmed</t>
  </si>
  <si>
    <t>CALL Buy Rules</t>
  </si>
  <si>
    <t>PUT Buy Rules</t>
  </si>
  <si>
    <r>
      <rPr>
        <rFont val="Calibri, sans-serif"/>
        <b/>
        <color rgb="FF000000"/>
        <sz val="13.0"/>
      </rPr>
      <t>2DHH</t>
    </r>
    <r>
      <rPr>
        <rFont val="Calibri, sans-serif"/>
        <color rgb="FF000000"/>
        <sz val="13.0"/>
      </rPr>
      <t xml:space="preserve"> of Spot</t>
    </r>
  </si>
  <si>
    <r>
      <rPr>
        <rFont val="Calibri, sans-serif"/>
        <b/>
        <color rgb="FF000000"/>
        <sz val="13.0"/>
      </rPr>
      <t>4DLL</t>
    </r>
    <r>
      <rPr>
        <rFont val="Calibri, sans-serif"/>
        <color rgb="FF000000"/>
        <sz val="13.0"/>
      </rPr>
      <t xml:space="preserve"> of Spot</t>
    </r>
  </si>
  <si>
    <r>
      <rPr>
        <rFont val="Calibri, sans-serif"/>
        <b/>
        <color rgb="FF000000"/>
        <sz val="13.0"/>
      </rPr>
      <t>Start Strike</t>
    </r>
    <r>
      <rPr>
        <rFont val="Calibri, sans-serif"/>
        <color rgb="FF000000"/>
        <sz val="13.0"/>
      </rPr>
      <t xml:space="preserve"> = 
( Spot Previous </t>
    </r>
    <r>
      <rPr>
        <rFont val="Calibri, sans-serif"/>
        <b/>
        <color rgb="FF000000"/>
        <sz val="13.0"/>
      </rPr>
      <t>2DHH</t>
    </r>
    <r>
      <rPr>
        <rFont val="Calibri, sans-serif"/>
        <color rgb="FF000000"/>
        <sz val="13.0"/>
      </rPr>
      <t xml:space="preserve"> - </t>
    </r>
    <r>
      <rPr>
        <rFont val="Calibri, sans-serif"/>
        <b/>
        <color rgb="FF000000"/>
        <sz val="13.0"/>
      </rPr>
      <t>3%</t>
    </r>
    <r>
      <rPr>
        <rFont val="Calibri, sans-serif"/>
        <color rgb="FF000000"/>
        <sz val="13.0"/>
      </rPr>
      <t xml:space="preserve"> ) &amp; 
Round Down</t>
    </r>
  </si>
  <si>
    <t>630
(651.9 - 3% &amp; Round Down )</t>
  </si>
  <si>
    <r>
      <rPr>
        <rFont val="Calibri, sans-serif"/>
        <b/>
        <color rgb="FF000000"/>
        <sz val="13.0"/>
      </rPr>
      <t>Start Strike</t>
    </r>
    <r>
      <rPr>
        <rFont val="Calibri, sans-serif"/>
        <color rgb="FF000000"/>
        <sz val="13.0"/>
      </rPr>
      <t xml:space="preserve"> = 
( Spot Previous</t>
    </r>
    <r>
      <rPr>
        <rFont val="Calibri, sans-serif"/>
        <b/>
        <color rgb="FF000000"/>
        <sz val="13.0"/>
      </rPr>
      <t xml:space="preserve"> 4DLL</t>
    </r>
    <r>
      <rPr>
        <rFont val="Calibri, sans-serif"/>
        <color rgb="FF000000"/>
        <sz val="13.0"/>
      </rPr>
      <t xml:space="preserve"> +</t>
    </r>
    <r>
      <rPr>
        <rFont val="Calibri, sans-serif"/>
        <b/>
        <color rgb="FF000000"/>
        <sz val="13.0"/>
      </rPr>
      <t xml:space="preserve"> 3%</t>
    </r>
    <r>
      <rPr>
        <rFont val="Calibri, sans-serif"/>
        <color rgb="FF000000"/>
        <sz val="13.0"/>
      </rPr>
      <t xml:space="preserve"> ) &amp; 
Round Up</t>
    </r>
  </si>
  <si>
    <r>
      <rPr>
        <rFont val="Calibri, sans-serif"/>
        <b/>
        <color rgb="FF000000"/>
        <sz val="13.0"/>
      </rPr>
      <t>End Strike</t>
    </r>
    <r>
      <rPr>
        <rFont val="Calibri, sans-serif"/>
        <color rgb="FF000000"/>
        <sz val="13.0"/>
      </rPr>
      <t xml:space="preserve"> = 
( Spot Previous </t>
    </r>
    <r>
      <rPr>
        <rFont val="Calibri, sans-serif"/>
        <b/>
        <color rgb="FF000000"/>
        <sz val="13.0"/>
      </rPr>
      <t>2DHH</t>
    </r>
    <r>
      <rPr>
        <rFont val="Calibri, sans-serif"/>
        <color rgb="FF000000"/>
        <sz val="13.0"/>
      </rPr>
      <t xml:space="preserve"> +</t>
    </r>
    <r>
      <rPr>
        <rFont val="Calibri, sans-serif"/>
        <b/>
        <color rgb="FF000000"/>
        <sz val="13.0"/>
      </rPr>
      <t xml:space="preserve"> 3%</t>
    </r>
    <r>
      <rPr>
        <rFont val="Calibri, sans-serif"/>
        <color rgb="FF000000"/>
        <sz val="13.0"/>
      </rPr>
      <t xml:space="preserve"> ) &amp; 
Round Down</t>
    </r>
  </si>
  <si>
    <t>670
(651.9 + 3% &amp; Round Down )</t>
  </si>
  <si>
    <r>
      <rPr>
        <rFont val="Calibri, sans-serif"/>
        <b/>
        <color rgb="FF000000"/>
        <sz val="13.0"/>
      </rPr>
      <t>End Strike</t>
    </r>
    <r>
      <rPr>
        <rFont val="Calibri, sans-serif"/>
        <color rgb="FF000000"/>
        <sz val="13.0"/>
      </rPr>
      <t xml:space="preserve"> = 
( Spot Previous </t>
    </r>
    <r>
      <rPr>
        <rFont val="Calibri, sans-serif"/>
        <b/>
        <color rgb="FF000000"/>
        <sz val="13.0"/>
      </rPr>
      <t>4DLL</t>
    </r>
    <r>
      <rPr>
        <rFont val="Calibri, sans-serif"/>
        <color rgb="FF000000"/>
        <sz val="13.0"/>
      </rPr>
      <t xml:space="preserve"> - </t>
    </r>
    <r>
      <rPr>
        <rFont val="Calibri, sans-serif"/>
        <b/>
        <color rgb="FF000000"/>
        <sz val="13.0"/>
      </rPr>
      <t>3%</t>
    </r>
    <r>
      <rPr>
        <rFont val="Calibri, sans-serif"/>
        <color rgb="FF000000"/>
        <sz val="13.0"/>
      </rPr>
      <t xml:space="preserve"> ) &amp; 
Round Up</t>
    </r>
  </si>
  <si>
    <t>Step 7</t>
  </si>
  <si>
    <t>Premium Required</t>
  </si>
  <si>
    <r>
      <rPr>
        <rFont val="Calibri"/>
        <b/>
        <color rgb="FF000000"/>
        <sz val="13.0"/>
      </rPr>
      <t>2DHH</t>
    </r>
    <r>
      <rPr>
        <rFont val="Calibri"/>
        <color rgb="FF000000"/>
        <sz val="13.0"/>
      </rPr>
      <t xml:space="preserve"> of Final Strike &lt;= </t>
    </r>
    <r>
      <rPr>
        <rFont val="Calibri"/>
        <b/>
        <color rgb="FF000000"/>
        <sz val="13.0"/>
      </rPr>
      <t>8</t>
    </r>
    <r>
      <rPr>
        <rFont val="Calibri"/>
        <color rgb="FF000000"/>
        <sz val="13.0"/>
      </rPr>
      <t xml:space="preserve">% of </t>
    </r>
    <r>
      <rPr>
        <rFont val="Calibri"/>
        <b/>
        <color rgb="FF000000"/>
        <sz val="13.0"/>
      </rPr>
      <t>2DHH</t>
    </r>
    <r>
      <rPr>
        <rFont val="Calibri"/>
        <color rgb="FF000000"/>
        <sz val="13.0"/>
      </rPr>
      <t xml:space="preserve"> of Spot</t>
    </r>
  </si>
  <si>
    <t>651.9 * 8% = 52.15</t>
  </si>
  <si>
    <r>
      <rPr>
        <rFont val="Calibri"/>
        <b/>
        <color rgb="FF000000"/>
        <sz val="13.0"/>
      </rPr>
      <t>4DHH</t>
    </r>
    <r>
      <rPr>
        <rFont val="Calibri"/>
        <color rgb="FF000000"/>
        <sz val="13.0"/>
      </rPr>
      <t xml:space="preserve"> of Final Strike &lt;= </t>
    </r>
    <r>
      <rPr>
        <rFont val="Calibri"/>
        <b/>
        <color rgb="FF000000"/>
        <sz val="13.0"/>
      </rPr>
      <t>8</t>
    </r>
    <r>
      <rPr>
        <rFont val="Calibri"/>
        <color rgb="FF000000"/>
        <sz val="13.0"/>
      </rPr>
      <t xml:space="preserve">% of </t>
    </r>
    <r>
      <rPr>
        <rFont val="Calibri"/>
        <b/>
        <color rgb="FF000000"/>
        <sz val="13.0"/>
      </rPr>
      <t>4DLL</t>
    </r>
    <r>
      <rPr>
        <rFont val="Calibri"/>
        <color rgb="FF000000"/>
        <sz val="13.0"/>
      </rPr>
      <t xml:space="preserve"> of Spot</t>
    </r>
  </si>
  <si>
    <t>Step 8 a</t>
  </si>
  <si>
    <r>
      <rPr>
        <rFont val="Calibri, sans-serif"/>
        <b/>
        <color rgb="FF000000"/>
        <sz val="13.0"/>
      </rPr>
      <t xml:space="preserve">Check </t>
    </r>
    <r>
      <rPr>
        <rFont val="Calibri, sans-serif"/>
        <color rgb="FF000000"/>
        <sz val="13.0"/>
      </rPr>
      <t xml:space="preserve">from </t>
    </r>
    <r>
      <rPr>
        <rFont val="Calibri, sans-serif"/>
        <b/>
        <color rgb="FF000000"/>
        <sz val="13.0"/>
      </rPr>
      <t xml:space="preserve">Start </t>
    </r>
    <r>
      <rPr>
        <rFont val="Calibri, sans-serif"/>
        <color rgb="FF000000"/>
        <sz val="13.0"/>
      </rPr>
      <t xml:space="preserve">Strike to </t>
    </r>
    <r>
      <rPr>
        <rFont val="Calibri, sans-serif"/>
        <b/>
        <color rgb="FF000000"/>
        <sz val="13.0"/>
      </rPr>
      <t xml:space="preserve">End </t>
    </r>
    <r>
      <rPr>
        <rFont val="Calibri, sans-serif"/>
        <color rgb="FF000000"/>
        <sz val="13.0"/>
      </rPr>
      <t xml:space="preserve">Strike and </t>
    </r>
    <r>
      <rPr>
        <rFont val="Calibri, sans-serif"/>
        <b/>
        <color rgb="FF000000"/>
        <sz val="13.0"/>
      </rPr>
      <t xml:space="preserve">Choose the First Strike </t>
    </r>
    <r>
      <rPr>
        <rFont val="Calibri, sans-serif"/>
        <color rgb="FF000000"/>
        <sz val="13.0"/>
      </rPr>
      <t xml:space="preserve">Which is </t>
    </r>
    <r>
      <rPr>
        <rFont val="Calibri, sans-serif"/>
        <b/>
        <color rgb="FF000000"/>
        <sz val="13.0"/>
      </rPr>
      <t>Qualifying</t>
    </r>
    <r>
      <rPr>
        <rFont val="Calibri, sans-serif"/>
        <color rgb="FF000000"/>
        <sz val="13.0"/>
      </rPr>
      <t xml:space="preserve"> and Ideal Premium Criteria &amp; Min OI in Near Contract.</t>
    </r>
  </si>
  <si>
    <t>Step 8 b</t>
  </si>
  <si>
    <t>Qualifying the Strikes for Final Strike in Next Contract</t>
  </si>
  <si>
    <r>
      <rPr>
        <rFont val="Calibri, sans-serif"/>
        <b/>
        <color rgb="FF000000"/>
        <sz val="13.0"/>
      </rPr>
      <t xml:space="preserve">Check </t>
    </r>
    <r>
      <rPr>
        <rFont val="Calibri, sans-serif"/>
        <color rgb="FF000000"/>
        <sz val="13.0"/>
      </rPr>
      <t xml:space="preserve">from </t>
    </r>
    <r>
      <rPr>
        <rFont val="Calibri, sans-serif"/>
        <b/>
        <color rgb="FF000000"/>
        <sz val="13.0"/>
      </rPr>
      <t xml:space="preserve">Start </t>
    </r>
    <r>
      <rPr>
        <rFont val="Calibri, sans-serif"/>
        <color rgb="FF000000"/>
        <sz val="13.0"/>
      </rPr>
      <t xml:space="preserve">Strike to </t>
    </r>
    <r>
      <rPr>
        <rFont val="Calibri, sans-serif"/>
        <b/>
        <color rgb="FF000000"/>
        <sz val="13.0"/>
      </rPr>
      <t xml:space="preserve">End </t>
    </r>
    <r>
      <rPr>
        <rFont val="Calibri, sans-serif"/>
        <color rgb="FF000000"/>
        <sz val="13.0"/>
      </rPr>
      <t xml:space="preserve">Strike and </t>
    </r>
    <r>
      <rPr>
        <rFont val="Calibri, sans-serif"/>
        <b/>
        <color rgb="FF000000"/>
        <sz val="13.0"/>
      </rPr>
      <t xml:space="preserve">Choose the First Strike </t>
    </r>
    <r>
      <rPr>
        <rFont val="Calibri, sans-serif"/>
        <color rgb="FF000000"/>
        <sz val="13.0"/>
      </rPr>
      <t xml:space="preserve">Which is </t>
    </r>
    <r>
      <rPr>
        <rFont val="Calibri, sans-serif"/>
        <b/>
        <color rgb="FF000000"/>
        <sz val="13.0"/>
      </rPr>
      <t>Qualifying</t>
    </r>
    <r>
      <rPr>
        <rFont val="Calibri, sans-serif"/>
        <color rgb="FF000000"/>
        <sz val="13.0"/>
      </rPr>
      <t xml:space="preserve"> and Ideal Premium Criteria &amp; Min OI in Next Contract.</t>
    </r>
  </si>
  <si>
    <t>Step 8 c</t>
  </si>
  <si>
    <r>
      <rPr>
        <rFont val="Calibri, Arial"/>
        <color rgb="FF000000"/>
        <sz val="13.0"/>
      </rPr>
      <t xml:space="preserve">If All Of The Above Strikes are </t>
    </r>
    <r>
      <rPr>
        <rFont val="Calibri, Arial"/>
        <b/>
        <color rgb="FF000000"/>
        <sz val="13.0"/>
      </rPr>
      <t>Not Qualifying</t>
    </r>
    <r>
      <rPr>
        <rFont val="Calibri, Arial"/>
        <color rgb="FF000000"/>
        <sz val="13.0"/>
      </rPr>
      <t xml:space="preserve"> in The Near Contract as well as in The Next Contract Then </t>
    </r>
    <r>
      <rPr>
        <rFont val="Calibri, Arial"/>
        <b/>
        <color rgb="FF000000"/>
        <sz val="13.0"/>
      </rPr>
      <t>Do Not Place</t>
    </r>
    <r>
      <rPr>
        <rFont val="Calibri, Arial"/>
        <color rgb="FF000000"/>
        <sz val="13.0"/>
      </rPr>
      <t xml:space="preserve"> Orders for That Particular Day.</t>
    </r>
  </si>
  <si>
    <r>
      <rPr>
        <rFont val="Calibri, sans-serif"/>
        <b/>
        <color rgb="FF000000"/>
        <sz val="13.0"/>
      </rPr>
      <t>Call Buy</t>
    </r>
    <r>
      <rPr>
        <rFont val="Calibri, sans-serif"/>
        <b/>
        <color rgb="FF000000"/>
        <sz val="13.0"/>
      </rPr>
      <t xml:space="preserve"> Rules</t>
    </r>
  </si>
  <si>
    <t>Final Strike = 630</t>
  </si>
  <si>
    <r>
      <rPr>
        <rFont val="Calibri, sans-serif"/>
        <b/>
        <color rgb="FF000000"/>
        <sz val="13.0"/>
      </rPr>
      <t>Put Buy</t>
    </r>
    <r>
      <rPr>
        <rFont val="Calibri, sans-serif"/>
        <b/>
        <color rgb="FF000000"/>
        <sz val="13.0"/>
      </rPr>
      <t xml:space="preserve"> Rules</t>
    </r>
  </si>
  <si>
    <r>
      <rPr>
        <rFont val="Calibri"/>
        <color rgb="FF000000"/>
        <sz val="13.0"/>
      </rPr>
      <t xml:space="preserve">Previous </t>
    </r>
    <r>
      <rPr>
        <rFont val="Calibri"/>
        <b/>
        <color rgb="FF000000"/>
        <sz val="13.0"/>
      </rPr>
      <t>2DHH</t>
    </r>
    <r>
      <rPr>
        <rFont val="Calibri"/>
        <color rgb="FF000000"/>
        <sz val="13.0"/>
      </rPr>
      <t xml:space="preserve"> of Final Strike </t>
    </r>
    <r>
      <rPr>
        <rFont val="Calibri"/>
        <b/>
        <color rgb="FF000000"/>
        <sz val="13.0"/>
      </rPr>
      <t>+ 5%</t>
    </r>
  </si>
  <si>
    <t>36.5 + 5%
=
38.30</t>
  </si>
  <si>
    <r>
      <rPr>
        <rFont val="Calibri"/>
        <color rgb="FF000000"/>
        <sz val="13.0"/>
      </rPr>
      <t xml:space="preserve">Previous </t>
    </r>
    <r>
      <rPr>
        <rFont val="Calibri"/>
        <b/>
        <color rgb="FF000000"/>
        <sz val="13.0"/>
      </rPr>
      <t>4DHH</t>
    </r>
    <r>
      <rPr>
        <rFont val="Calibri"/>
        <color rgb="FF000000"/>
        <sz val="13.0"/>
      </rPr>
      <t xml:space="preserve"> of Final Strike </t>
    </r>
    <r>
      <rPr>
        <rFont val="Calibri"/>
        <b/>
        <color rgb="FF000000"/>
        <sz val="13.0"/>
      </rPr>
      <t>+ 7%</t>
    </r>
  </si>
  <si>
    <r>
      <rPr>
        <rFont val="Calibri"/>
        <color rgb="FF000000"/>
        <sz val="13.0"/>
      </rPr>
      <t xml:space="preserve">Call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3% )</t>
    </r>
  </si>
  <si>
    <r>
      <rPr>
        <rFont val="Calibri"/>
        <color rgb="FF000000"/>
        <sz val="13.0"/>
      </rPr>
      <t xml:space="preserve">Put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3% )</t>
    </r>
  </si>
  <si>
    <r>
      <rPr>
        <rFont val="Calibri"/>
        <color rgb="FF000000"/>
        <sz val="13.0"/>
      </rPr>
      <t xml:space="preserve">Call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4.5% )</t>
    </r>
  </si>
  <si>
    <r>
      <rPr>
        <rFont val="Calibri"/>
        <color rgb="FF000000"/>
        <sz val="13.0"/>
      </rPr>
      <t xml:space="preserve">Put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4.5% )</t>
    </r>
  </si>
  <si>
    <r>
      <rPr>
        <rFont val="Calibri"/>
        <color rgb="FF000000"/>
        <sz val="13.0"/>
      </rPr>
      <t xml:space="preserve">Call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6% )</t>
    </r>
  </si>
  <si>
    <r>
      <rPr>
        <rFont val="Calibri"/>
        <color rgb="FF000000"/>
        <sz val="13.0"/>
      </rPr>
      <t xml:space="preserve">Put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6% )</t>
    </r>
  </si>
  <si>
    <r>
      <rPr>
        <rFont val="Calibri"/>
        <color rgb="FF000000"/>
        <sz val="13.0"/>
      </rPr>
      <t xml:space="preserve">Call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8% )</t>
    </r>
  </si>
  <si>
    <r>
      <rPr>
        <rFont val="Calibri"/>
        <color rgb="FF000000"/>
        <sz val="13.0"/>
      </rPr>
      <t xml:space="preserve">Put Buy </t>
    </r>
    <r>
      <rPr>
        <rFont val="Calibri"/>
        <b/>
        <color rgb="FF000000"/>
        <sz val="13.0"/>
      </rPr>
      <t xml:space="preserve">Entry + 
( </t>
    </r>
    <r>
      <rPr>
        <rFont val="Calibri"/>
        <color rgb="FF000000"/>
        <sz val="13.0"/>
      </rPr>
      <t>Final Strike</t>
    </r>
    <r>
      <rPr>
        <rFont val="Calibri"/>
        <b/>
        <color rgb="FF000000"/>
        <sz val="13.0"/>
      </rPr>
      <t xml:space="preserve"> * 8% )</t>
    </r>
  </si>
  <si>
    <t>Step 14</t>
  </si>
  <si>
    <t>Stop Loss Before Tgt 1</t>
  </si>
  <si>
    <r>
      <rPr>
        <rFont val="Calibri"/>
        <b/>
        <color rgb="FF000000"/>
        <sz val="13.0"/>
      </rPr>
      <t>Max</t>
    </r>
    <r>
      <rPr>
        <rFont val="Calibri"/>
        <color rgb="FF000000"/>
        <sz val="13.0"/>
      </rPr>
      <t xml:space="preserve"> of 
</t>
    </r>
    <r>
      <rPr>
        <rFont val="Calibri"/>
        <b/>
        <color rgb="FF000000"/>
        <sz val="13.0"/>
      </rPr>
      <t xml:space="preserve">{ </t>
    </r>
    <r>
      <rPr>
        <rFont val="Calibri"/>
        <color rgb="FF000000"/>
        <sz val="13.0"/>
      </rPr>
      <t xml:space="preserve">( Call Buy </t>
    </r>
    <r>
      <rPr>
        <rFont val="Calibri"/>
        <b/>
        <color rgb="FF000000"/>
        <sz val="13.0"/>
      </rPr>
      <t>Entry</t>
    </r>
    <r>
      <rPr>
        <rFont val="Calibri"/>
        <color rgb="FF000000"/>
        <sz val="13.0"/>
      </rPr>
      <t xml:space="preserve"> - 
 Final Strike </t>
    </r>
    <r>
      <rPr>
        <rFont val="Calibri"/>
        <b/>
        <color rgb="FF000000"/>
        <sz val="13.0"/>
      </rPr>
      <t>* 3%</t>
    </r>
    <r>
      <rPr>
        <rFont val="Calibri"/>
        <color rgb="FF000000"/>
        <sz val="13.0"/>
      </rPr>
      <t xml:space="preserve"> )
 </t>
    </r>
    <r>
      <rPr>
        <rFont val="Calibri"/>
        <b/>
        <color rgb="FF000000"/>
        <sz val="13.0"/>
      </rPr>
      <t>or</t>
    </r>
    <r>
      <rPr>
        <rFont val="Calibri"/>
        <color rgb="FF000000"/>
        <sz val="13.0"/>
      </rPr>
      <t xml:space="preserve"> ( Previous </t>
    </r>
    <r>
      <rPr>
        <rFont val="Calibri"/>
        <b/>
        <color rgb="FF000000"/>
        <sz val="13.0"/>
      </rPr>
      <t>3DLL - 12%</t>
    </r>
    <r>
      <rPr>
        <rFont val="Calibri"/>
        <color rgb="FF000000"/>
        <sz val="13.0"/>
      </rPr>
      <t xml:space="preserve"> ) </t>
    </r>
    <r>
      <rPr>
        <rFont val="Calibri"/>
        <b/>
        <color rgb="FF000000"/>
        <sz val="13.0"/>
      </rPr>
      <t>}</t>
    </r>
  </si>
  <si>
    <t>38.3 - 18.9 = 19.4
19 - 12%  = 16.70
Max = 19.4</t>
  </si>
  <si>
    <r>
      <rPr>
        <rFont val="Calibri"/>
        <b/>
        <color rgb="FF000000"/>
        <sz val="13.0"/>
      </rPr>
      <t>Max</t>
    </r>
    <r>
      <rPr>
        <rFont val="Calibri"/>
        <color rgb="FF000000"/>
        <sz val="13.0"/>
      </rPr>
      <t xml:space="preserve"> of 
</t>
    </r>
    <r>
      <rPr>
        <rFont val="Calibri"/>
        <b/>
        <color rgb="FF000000"/>
        <sz val="13.0"/>
      </rPr>
      <t xml:space="preserve">{ </t>
    </r>
    <r>
      <rPr>
        <rFont val="Calibri"/>
        <color rgb="FF000000"/>
        <sz val="13.0"/>
      </rPr>
      <t xml:space="preserve">( Put Buy </t>
    </r>
    <r>
      <rPr>
        <rFont val="Calibri"/>
        <b/>
        <color rgb="FF000000"/>
        <sz val="13.0"/>
      </rPr>
      <t>Entry</t>
    </r>
    <r>
      <rPr>
        <rFont val="Calibri"/>
        <color rgb="FF000000"/>
        <sz val="13.0"/>
      </rPr>
      <t xml:space="preserve"> - 
 Final Strike </t>
    </r>
    <r>
      <rPr>
        <rFont val="Calibri"/>
        <b/>
        <color rgb="FF000000"/>
        <sz val="13.0"/>
      </rPr>
      <t>* 3%</t>
    </r>
    <r>
      <rPr>
        <rFont val="Calibri"/>
        <color rgb="FF000000"/>
        <sz val="13.0"/>
      </rPr>
      <t xml:space="preserve"> )
 </t>
    </r>
    <r>
      <rPr>
        <rFont val="Calibri"/>
        <b/>
        <color rgb="FF000000"/>
        <sz val="13.0"/>
      </rPr>
      <t>or</t>
    </r>
    <r>
      <rPr>
        <rFont val="Calibri"/>
        <color rgb="FF000000"/>
        <sz val="13.0"/>
      </rPr>
      <t xml:space="preserve"> ( Previous </t>
    </r>
    <r>
      <rPr>
        <rFont val="Calibri"/>
        <b/>
        <color rgb="FF000000"/>
        <sz val="13.0"/>
      </rPr>
      <t>2DLL - 10%</t>
    </r>
    <r>
      <rPr>
        <rFont val="Calibri"/>
        <color rgb="FF000000"/>
        <sz val="13.0"/>
      </rPr>
      <t xml:space="preserve"> ) </t>
    </r>
    <r>
      <rPr>
        <rFont val="Calibri"/>
        <b/>
        <color rgb="FF000000"/>
        <sz val="13.0"/>
      </rPr>
      <t>}</t>
    </r>
  </si>
  <si>
    <t>Step 15</t>
  </si>
  <si>
    <t>Stop Loss After Tgt 1</t>
  </si>
  <si>
    <r>
      <rPr>
        <rFont val="Calibri"/>
        <b/>
        <color rgb="FF000000"/>
        <sz val="13.0"/>
      </rPr>
      <t>Max</t>
    </r>
    <r>
      <rPr>
        <rFont val="Calibri"/>
        <color rgb="FF000000"/>
        <sz val="13.0"/>
      </rPr>
      <t xml:space="preserve"> of 
</t>
    </r>
    <r>
      <rPr>
        <rFont val="Calibri"/>
        <b/>
        <color rgb="FF000000"/>
        <sz val="13.0"/>
      </rPr>
      <t xml:space="preserve">{ </t>
    </r>
    <r>
      <rPr>
        <rFont val="Calibri"/>
        <color rgb="FF000000"/>
        <sz val="13.0"/>
      </rPr>
      <t xml:space="preserve">( Call Buy </t>
    </r>
    <r>
      <rPr>
        <rFont val="Calibri"/>
        <b/>
        <color rgb="FF000000"/>
        <sz val="13.0"/>
      </rPr>
      <t>Entry</t>
    </r>
    <r>
      <rPr>
        <rFont val="Calibri"/>
        <color rgb="FF000000"/>
        <sz val="13.0"/>
      </rPr>
      <t xml:space="preserve">
 </t>
    </r>
    <r>
      <rPr>
        <rFont val="Calibri"/>
        <b/>
        <color rgb="FF000000"/>
        <sz val="13.0"/>
      </rPr>
      <t>or</t>
    </r>
    <r>
      <rPr>
        <rFont val="Calibri"/>
        <color rgb="FF000000"/>
        <sz val="13.0"/>
      </rPr>
      <t xml:space="preserve"> ( Previous </t>
    </r>
    <r>
      <rPr>
        <rFont val="Calibri"/>
        <b/>
        <color rgb="FF000000"/>
        <sz val="13.0"/>
      </rPr>
      <t>3DLL - 12%</t>
    </r>
    <r>
      <rPr>
        <rFont val="Calibri"/>
        <color rgb="FF000000"/>
        <sz val="13.0"/>
      </rPr>
      <t xml:space="preserve"> ) </t>
    </r>
    <r>
      <rPr>
        <rFont val="Calibri"/>
        <b/>
        <color rgb="FF000000"/>
        <sz val="13.0"/>
      </rPr>
      <t>}</t>
    </r>
  </si>
  <si>
    <t>38.3
19 - 12%  = 16.70
Max = 38.3</t>
  </si>
  <si>
    <r>
      <rPr>
        <rFont val="Calibri"/>
        <b/>
        <color rgb="FF000000"/>
        <sz val="13.0"/>
      </rPr>
      <t>Max</t>
    </r>
    <r>
      <rPr>
        <rFont val="Calibri"/>
        <color rgb="FF000000"/>
        <sz val="13.0"/>
      </rPr>
      <t xml:space="preserve"> of 
</t>
    </r>
    <r>
      <rPr>
        <rFont val="Calibri"/>
        <b/>
        <color rgb="FF000000"/>
        <sz val="13.0"/>
      </rPr>
      <t xml:space="preserve">{ </t>
    </r>
    <r>
      <rPr>
        <rFont val="Calibri"/>
        <color rgb="FF000000"/>
        <sz val="13.0"/>
      </rPr>
      <t xml:space="preserve">( Put Buy </t>
    </r>
    <r>
      <rPr>
        <rFont val="Calibri"/>
        <b/>
        <color rgb="FF000000"/>
        <sz val="13.0"/>
      </rPr>
      <t>Entry</t>
    </r>
    <r>
      <rPr>
        <rFont val="Calibri"/>
        <color rgb="FF000000"/>
        <sz val="13.0"/>
      </rPr>
      <t xml:space="preserve"> 
 </t>
    </r>
    <r>
      <rPr>
        <rFont val="Calibri"/>
        <b/>
        <color rgb="FF000000"/>
        <sz val="13.0"/>
      </rPr>
      <t>or</t>
    </r>
    <r>
      <rPr>
        <rFont val="Calibri"/>
        <color rgb="FF000000"/>
        <sz val="13.0"/>
      </rPr>
      <t xml:space="preserve"> ( Previous </t>
    </r>
    <r>
      <rPr>
        <rFont val="Calibri"/>
        <b/>
        <color rgb="FF000000"/>
        <sz val="13.0"/>
      </rPr>
      <t>2DLL - 10%</t>
    </r>
    <r>
      <rPr>
        <rFont val="Calibri"/>
        <color rgb="FF000000"/>
        <sz val="13.0"/>
      </rPr>
      <t xml:space="preserve"> ) </t>
    </r>
    <r>
      <rPr>
        <rFont val="Calibri"/>
        <b/>
        <color rgb="FF000000"/>
        <sz val="13.0"/>
      </rPr>
      <t>}</t>
    </r>
  </si>
  <si>
    <t xml:space="preserve">Note: </t>
  </si>
  <si>
    <t>This information is strictly for educational purposes only.</t>
  </si>
  <si>
    <t>All Materials are Strictly Confidential. Please keep them for your Personal Use ONLY.</t>
  </si>
  <si>
    <t>The purpose of all the materials is strictly educational and should not be considered as financial advice. Please trade responsibly and at your own risk.</t>
  </si>
  <si>
    <t>Any copying, distributing and sharing of the material without prior written permission from the owner is strictly prohibited and  may invoke legal action.</t>
  </si>
  <si>
    <t>All Rights Reserved by Asmita Patel Global School of Trading Pvt Ltd.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</si>
</sst>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:mm am/pm"/>
    <numFmt numFmtId="165" formatCode="dd-mmm-yyyy"/>
    <numFmt numFmtId="166" formatCode="hh:mm"/>
  </numFmts>
  <fonts count="22">
    <font>
      <sz val="10.0"/>
      <color rgb="FF000000"/>
      <name val="Arial"/>
      <scheme val="minor"/>
    </font>
    <font>
      <b/>
      <sz val="12.0"/>
      <color rgb="FFFF0000"/>
      <name val="Arial"/>
      <scheme val="minor"/>
    </font>
    <font>
      <color theme="1"/>
      <name val="Arial"/>
      <scheme val="minor"/>
    </font>
    <font>
      <sz val="13.0"/>
      <color rgb="FF000000"/>
      <name val="Calibri"/>
    </font>
    <font/>
    <font>
      <b/>
      <sz val="13.0"/>
      <color rgb="FF000000"/>
      <name val="Calibri"/>
    </font>
    <font>
      <sz val="13.0"/>
      <color rgb="FFFFFFFF"/>
      <name val="Calibri"/>
    </font>
    <font>
      <sz val="13.0"/>
      <color theme="1"/>
      <name val="Calibri"/>
    </font>
    <font>
      <b/>
      <color rgb="FFFF0000"/>
      <name val="Arial"/>
      <scheme val="minor"/>
    </font>
    <font>
      <color rgb="FFFFFFFF"/>
      <name val="Arial"/>
    </font>
    <font>
      <b/>
      <i/>
      <sz val="20.0"/>
      <color rgb="FF000000"/>
      <name val="Calibri"/>
    </font>
    <font>
      <sz val="11.0"/>
      <color rgb="FFFFFFFF"/>
      <name val="Calibri"/>
    </font>
    <font>
      <sz val="14.0"/>
      <color rgb="FF000000"/>
      <name val="Calibri"/>
    </font>
    <font>
      <b/>
      <sz val="14.0"/>
      <color rgb="FF000000"/>
      <name val="Calibri"/>
    </font>
    <font>
      <sz val="12.0"/>
      <color rgb="FFFFFFFF"/>
      <name val="Calibri"/>
    </font>
    <font>
      <sz val="13.0"/>
      <color rgb="FF000000"/>
      <name val="Arial"/>
    </font>
    <font>
      <sz val="13.0"/>
      <color rgb="FFFFFFFF"/>
      <name val="Arial"/>
    </font>
    <font>
      <color rgb="FF000000"/>
      <name val="Arial"/>
    </font>
    <font>
      <b/>
      <sz val="13.0"/>
      <color rgb="FFFFFFFF"/>
      <name val="Calibri"/>
    </font>
    <font>
      <b/>
      <sz val="14.0"/>
      <color theme="1"/>
      <name val="Calibri"/>
    </font>
    <font>
      <sz val="12.0"/>
      <color rgb="FFFF0000"/>
      <name val="Calibri"/>
    </font>
    <font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1" fillId="2" fontId="3" numFmtId="0" xfId="0" applyAlignment="1" applyBorder="1" applyFill="1" applyFont="1">
      <alignment horizontal="center" readingOrder="0" shrinkToFit="0" vertical="center" wrapText="1"/>
    </xf>
    <xf borderId="2" fillId="0" fontId="4" numFmtId="0" xfId="0" applyBorder="1" applyFont="1"/>
    <xf borderId="3" fillId="3" fontId="5" numFmtId="0" xfId="0" applyAlignment="1" applyBorder="1" applyFill="1" applyFont="1">
      <alignment horizontal="center" readingOrder="0" shrinkToFit="0" vertical="center" wrapText="1"/>
    </xf>
    <xf borderId="4" fillId="0" fontId="4" numFmtId="0" xfId="0" applyBorder="1" applyFont="1"/>
    <xf borderId="0" fillId="0" fontId="2" numFmtId="0" xfId="0" applyAlignment="1" applyFont="1">
      <alignment horizontal="center" readingOrder="0" vertical="center"/>
    </xf>
    <xf borderId="5" fillId="0" fontId="4" numFmtId="0" xfId="0" applyBorder="1" applyFont="1"/>
    <xf borderId="6" fillId="0" fontId="4" numFmtId="0" xfId="0" applyBorder="1" applyFont="1"/>
    <xf borderId="3" fillId="3" fontId="5" numFmtId="0" xfId="0" applyAlignment="1" applyBorder="1" applyFont="1">
      <alignment horizontal="center" readingOrder="0" vertical="center"/>
    </xf>
    <xf borderId="0" fillId="0" fontId="6" numFmtId="0" xfId="0" applyAlignment="1" applyFont="1">
      <alignment horizontal="center" shrinkToFit="0" vertical="center" wrapText="1"/>
    </xf>
    <xf borderId="0" fillId="0" fontId="2" numFmtId="0" xfId="0" applyFont="1"/>
    <xf borderId="0" fillId="3" fontId="2" numFmtId="0" xfId="0" applyAlignment="1" applyFont="1">
      <alignment readingOrder="0"/>
    </xf>
    <xf borderId="7" fillId="2" fontId="3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ill="1" applyFont="1">
      <alignment horizontal="center" readingOrder="0" shrinkToFit="0" vertical="center" wrapText="1"/>
    </xf>
    <xf borderId="3" fillId="5" fontId="3" numFmtId="0" xfId="0" applyAlignment="1" applyBorder="1" applyFill="1" applyFont="1">
      <alignment horizontal="center" readingOrder="0" shrinkToFit="0" vertical="center" wrapText="1"/>
    </xf>
    <xf borderId="0" fillId="3" fontId="2" numFmtId="0" xfId="0" applyAlignment="1" applyFont="1">
      <alignment horizontal="center" readingOrder="0" vertical="center"/>
    </xf>
    <xf borderId="0" fillId="0" fontId="3" numFmtId="0" xfId="0" applyAlignment="1" applyFont="1">
      <alignment horizontal="center" shrinkToFit="0" vertical="center" wrapText="1"/>
    </xf>
    <xf borderId="8" fillId="2" fontId="3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ont="1">
      <alignment horizontal="center" readingOrder="0" shrinkToFit="0" vertical="center" wrapText="1"/>
    </xf>
    <xf borderId="3" fillId="0" fontId="3" numFmtId="0" xfId="0" applyAlignment="1" applyBorder="1" applyFont="1">
      <alignment horizontal="center" readingOrder="0" shrinkToFit="0" vertical="center" wrapText="1"/>
    </xf>
    <xf borderId="9" fillId="0" fontId="4" numFmtId="0" xfId="0" applyBorder="1" applyFont="1"/>
    <xf borderId="10" fillId="0" fontId="4" numFmtId="0" xfId="0" applyBorder="1" applyFont="1"/>
    <xf borderId="3" fillId="0" fontId="7" numFmtId="0" xfId="0" applyAlignment="1" applyBorder="1" applyFont="1">
      <alignment horizontal="center" readingOrder="0" shrinkToFit="0" vertical="center" wrapText="1"/>
    </xf>
    <xf borderId="0" fillId="2" fontId="3" numFmtId="0" xfId="0" applyAlignment="1" applyFont="1">
      <alignment horizontal="center" readingOrder="0" shrinkToFit="0" vertical="center" wrapText="1"/>
    </xf>
    <xf borderId="0" fillId="4" fontId="3" numFmtId="0" xfId="0" applyAlignment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7" fillId="4" fontId="3" numFmtId="0" xfId="0" applyAlignment="1" applyBorder="1" applyFont="1">
      <alignment horizontal="center" shrinkToFit="0" vertical="center" wrapText="1"/>
    </xf>
    <xf borderId="7" fillId="4" fontId="7" numFmtId="0" xfId="0" applyAlignment="1" applyBorder="1" applyFont="1">
      <alignment horizontal="center" readingOrder="0" shrinkToFit="0" vertical="center" wrapText="1"/>
    </xf>
    <xf borderId="3" fillId="5" fontId="7" numFmtId="0" xfId="0" applyAlignment="1" applyBorder="1" applyFont="1">
      <alignment horizontal="center" readingOrder="0" shrinkToFit="0" vertical="center" wrapText="1"/>
    </xf>
    <xf borderId="3" fillId="5" fontId="3" numFmtId="0" xfId="0" applyAlignment="1" applyBorder="1" applyFont="1">
      <alignment horizontal="center" shrinkToFit="0" vertical="center" wrapText="1"/>
    </xf>
    <xf borderId="3" fillId="2" fontId="3" numFmtId="0" xfId="0" applyAlignment="1" applyBorder="1" applyFont="1">
      <alignment horizontal="center" readingOrder="0" shrinkToFit="0" vertical="center" wrapText="1"/>
    </xf>
    <xf borderId="7" fillId="4" fontId="5" numFmtId="0" xfId="0" applyAlignment="1" applyBorder="1" applyFont="1">
      <alignment horizontal="center" readingOrder="0" shrinkToFit="0" vertical="center" wrapText="1"/>
    </xf>
    <xf borderId="7" fillId="6" fontId="3" numFmtId="0" xfId="0" applyAlignment="1" applyBorder="1" applyFill="1" applyFont="1">
      <alignment horizontal="center" readingOrder="0" shrinkToFit="0" vertical="center" wrapText="1"/>
    </xf>
    <xf borderId="0" fillId="0" fontId="2" numFmtId="2" xfId="0" applyAlignment="1" applyFont="1" applyNumberFormat="1">
      <alignment horizontal="center" vertical="center"/>
    </xf>
    <xf borderId="7" fillId="7" fontId="3" numFmtId="0" xfId="0" applyAlignment="1" applyBorder="1" applyFill="1" applyFont="1">
      <alignment horizontal="center" readingOrder="0" shrinkToFit="0" vertical="center" wrapText="1"/>
    </xf>
    <xf borderId="7" fillId="7" fontId="7" numFmtId="0" xfId="0" applyAlignment="1" applyBorder="1" applyFont="1">
      <alignment horizontal="center" readingOrder="0" shrinkToFit="0" vertical="center" wrapText="1"/>
    </xf>
    <xf borderId="0" fillId="0" fontId="2" numFmtId="9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6" numFmtId="0" xfId="0" applyAlignment="1" applyFont="1">
      <alignment horizontal="center" readingOrder="0" shrinkToFit="0" vertical="center" wrapText="1"/>
    </xf>
    <xf borderId="0" fillId="0" fontId="2" numFmtId="2" xfId="0" applyFont="1" applyNumberFormat="1"/>
    <xf borderId="0" fillId="0" fontId="2" numFmtId="164" xfId="0" applyAlignment="1" applyFont="1" applyNumberFormat="1">
      <alignment readingOrder="0"/>
    </xf>
    <xf borderId="0" fillId="0" fontId="2" numFmtId="2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8" numFmtId="0" xfId="0" applyAlignment="1" applyFont="1">
      <alignment readingOrder="0"/>
    </xf>
    <xf borderId="0" fillId="0" fontId="2" numFmtId="166" xfId="0" applyAlignment="1" applyFont="1" applyNumberFormat="1">
      <alignment readingOrder="0"/>
    </xf>
    <xf borderId="0" fillId="0" fontId="9" numFmtId="0" xfId="0" applyAlignment="1" applyFont="1">
      <alignment shrinkToFit="0" vertical="center" wrapText="1"/>
    </xf>
    <xf borderId="1" fillId="8" fontId="10" numFmtId="0" xfId="0" applyAlignment="1" applyBorder="1" applyFill="1" applyFont="1">
      <alignment horizontal="center" readingOrder="0" shrinkToFit="0" vertical="center" wrapText="1"/>
    </xf>
    <xf borderId="11" fillId="0" fontId="4" numFmtId="0" xfId="0" applyBorder="1" applyFont="1"/>
    <xf borderId="0" fillId="0" fontId="11" numFmtId="0" xfId="0" applyAlignment="1" applyFont="1">
      <alignment horizontal="center" shrinkToFit="0" vertical="center" wrapText="1"/>
    </xf>
    <xf borderId="12" fillId="0" fontId="4" numFmtId="0" xfId="0" applyBorder="1" applyFont="1"/>
    <xf borderId="0" fillId="0" fontId="12" numFmtId="0" xfId="0" applyAlignment="1" applyFont="1">
      <alignment horizontal="center" shrinkToFit="0" vertical="center" wrapText="1"/>
    </xf>
    <xf borderId="7" fillId="4" fontId="13" numFmtId="0" xfId="0" applyAlignment="1" applyBorder="1" applyFont="1">
      <alignment horizontal="center" readingOrder="0" shrinkToFit="0" vertical="center" wrapText="1"/>
    </xf>
    <xf borderId="0" fillId="5" fontId="13" numFmtId="0" xfId="0" applyAlignment="1" applyFont="1">
      <alignment horizontal="center" shrinkToFit="0" vertical="center" wrapText="1"/>
    </xf>
    <xf borderId="3" fillId="4" fontId="13" numFmtId="0" xfId="0" applyAlignment="1" applyBorder="1" applyFont="1">
      <alignment horizontal="center" readingOrder="0" shrinkToFit="0" vertical="center" wrapText="1"/>
    </xf>
    <xf borderId="13" fillId="0" fontId="4" numFmtId="0" xfId="0" applyBorder="1" applyFont="1"/>
    <xf borderId="0" fillId="0" fontId="14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shrinkToFit="0" vertical="center" wrapText="1"/>
    </xf>
    <xf borderId="0" fillId="0" fontId="15" numFmtId="0" xfId="0" applyAlignment="1" applyFont="1">
      <alignment vertical="center"/>
    </xf>
    <xf borderId="0" fillId="5" fontId="15" numFmtId="0" xfId="0" applyAlignment="1" applyFont="1">
      <alignment vertical="center"/>
    </xf>
    <xf borderId="3" fillId="0" fontId="3" numFmtId="0" xfId="0" applyAlignment="1" applyBorder="1" applyFont="1">
      <alignment horizontal="center" readingOrder="0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3" fontId="5" numFmtId="0" xfId="0" applyAlignment="1" applyFont="1">
      <alignment horizontal="center" readingOrder="0" vertical="center"/>
    </xf>
    <xf borderId="7" fillId="3" fontId="5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center"/>
    </xf>
    <xf borderId="7" fillId="5" fontId="3" numFmtId="0" xfId="0" applyAlignment="1" applyBorder="1" applyFont="1">
      <alignment horizontal="center" readingOrder="0" shrinkToFit="0" vertical="center" wrapText="1"/>
    </xf>
    <xf borderId="0" fillId="5" fontId="16" numFmtId="0" xfId="0" applyAlignment="1" applyFont="1">
      <alignment vertical="center"/>
    </xf>
    <xf borderId="0" fillId="5" fontId="6" numFmtId="0" xfId="0" applyAlignment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9" numFmtId="0" xfId="0" applyAlignment="1" applyFont="1">
      <alignment vertical="center"/>
    </xf>
    <xf borderId="7" fillId="4" fontId="3" numFmtId="0" xfId="0" applyAlignment="1" applyBorder="1" applyFont="1">
      <alignment horizontal="center" readingOrder="0" shrinkToFit="0" vertical="center" wrapText="1"/>
    </xf>
    <xf borderId="0" fillId="5" fontId="17" numFmtId="0" xfId="0" applyAlignment="1" applyFont="1">
      <alignment vertical="center"/>
    </xf>
    <xf borderId="3" fillId="5" fontId="3" numFmtId="0" xfId="0" applyAlignment="1" applyBorder="1" applyFont="1">
      <alignment horizontal="center" readingOrder="0" shrinkToFit="0" vertical="center" wrapText="1"/>
    </xf>
    <xf borderId="7" fillId="5" fontId="3" numFmtId="0" xfId="0" applyAlignment="1" applyBorder="1" applyFont="1">
      <alignment horizontal="center" readingOrder="0" shrinkToFit="0" vertical="center" wrapText="1"/>
    </xf>
    <xf borderId="0" fillId="5" fontId="3" numFmtId="0" xfId="0" applyAlignment="1" applyFont="1">
      <alignment horizontal="center" readingOrder="0" shrinkToFit="0" vertical="center" wrapText="1"/>
    </xf>
    <xf borderId="0" fillId="5" fontId="9" numFmtId="0" xfId="0" applyAlignment="1" applyFont="1">
      <alignment vertical="center"/>
    </xf>
    <xf borderId="0" fillId="5" fontId="3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0" fillId="5" fontId="18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center" readingOrder="0" shrinkToFit="0" vertical="center" wrapText="1"/>
    </xf>
    <xf borderId="0" fillId="6" fontId="3" numFmtId="0" xfId="0" applyAlignment="1" applyFont="1">
      <alignment horizontal="center" readingOrder="0" shrinkToFit="0" vertical="center" wrapText="1"/>
    </xf>
    <xf borderId="0" fillId="5" fontId="6" numFmtId="0" xfId="0" applyAlignment="1" applyFont="1">
      <alignment horizontal="center" readingOrder="0" shrinkToFit="0" vertical="center" wrapText="1"/>
    </xf>
    <xf borderId="0" fillId="7" fontId="3" numFmtId="0" xfId="0" applyAlignment="1" applyFont="1">
      <alignment horizontal="center" readingOrder="0" shrinkToFit="0" vertical="center" wrapText="1"/>
    </xf>
    <xf borderId="0" fillId="0" fontId="19" numFmtId="0" xfId="0" applyFont="1"/>
    <xf borderId="0" fillId="0" fontId="20" numFmtId="0" xfId="0" applyAlignment="1" applyFont="1">
      <alignment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vertical="bottom"/>
    </xf>
    <xf borderId="0" fillId="0" fontId="21" numFmtId="0" xfId="0" applyAlignment="1" applyFont="1">
      <alignment vertical="bottom"/>
    </xf>
    <xf borderId="0" fillId="0" fontId="20" numFmtId="0" xfId="0" applyAlignment="1" applyFont="1">
      <alignment shrinkToFit="0" vertical="bottom" wrapText="1"/>
    </xf>
    <xf borderId="0" fillId="0" fontId="21" numFmtId="0" xfId="0" applyFont="1"/>
    <xf borderId="0" fillId="0" fontId="2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76200</xdr:colOff>
      <xdr:row>34</xdr:row>
      <xdr:rowOff>38100</xdr:rowOff>
    </xdr:from>
    <xdr:ext cx="3971925" cy="13335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63"/>
    <col customWidth="1" min="3" max="3" width="12.13"/>
    <col customWidth="1" min="4" max="4" width="28.38"/>
    <col customWidth="1" min="5" max="5" width="15.5"/>
    <col customWidth="1" min="6" max="6" width="7.13"/>
    <col customWidth="1" min="7" max="7" width="8.38"/>
    <col customWidth="1" min="8" max="8" width="8.0"/>
    <col customWidth="1" min="10" max="10" width="8.25"/>
    <col customWidth="1" min="11" max="11" width="6.63"/>
  </cols>
  <sheetData>
    <row r="1">
      <c r="A1" s="1" t="s">
        <v>0</v>
      </c>
      <c r="E1" s="2"/>
    </row>
    <row r="2">
      <c r="E2" s="2"/>
    </row>
    <row r="3">
      <c r="A3" s="3" t="s">
        <v>1</v>
      </c>
      <c r="E3" s="2"/>
    </row>
    <row r="4">
      <c r="A4" s="3" t="s">
        <v>2</v>
      </c>
      <c r="E4" s="2"/>
    </row>
    <row r="5">
      <c r="A5" s="4" t="s">
        <v>3</v>
      </c>
      <c r="B5" s="5"/>
      <c r="C5" s="6" t="s">
        <v>4</v>
      </c>
      <c r="D5" s="7"/>
      <c r="E5" s="8" t="s">
        <v>5</v>
      </c>
      <c r="G5" s="3" t="s">
        <v>6</v>
      </c>
    </row>
    <row r="6">
      <c r="A6" s="9"/>
      <c r="B6" s="10"/>
      <c r="C6" s="11" t="s">
        <v>7</v>
      </c>
      <c r="D6" s="7"/>
      <c r="E6" s="2"/>
    </row>
    <row r="7">
      <c r="A7" s="12"/>
      <c r="B7" s="12"/>
      <c r="C7" s="12"/>
      <c r="D7" s="12"/>
      <c r="E7" s="2"/>
      <c r="I7" s="13">
        <f>J7-J8</f>
        <v>8</v>
      </c>
      <c r="J7" s="14">
        <v>970.0</v>
      </c>
      <c r="L7" s="13">
        <f>M7-M8</f>
        <v>5</v>
      </c>
      <c r="M7" s="14">
        <v>970.0</v>
      </c>
      <c r="N7" s="3" t="s">
        <v>8</v>
      </c>
    </row>
    <row r="8">
      <c r="A8" s="15" t="s">
        <v>9</v>
      </c>
      <c r="B8" s="16" t="s">
        <v>10</v>
      </c>
      <c r="C8" s="17" t="s">
        <v>11</v>
      </c>
      <c r="D8" s="7"/>
      <c r="E8" s="18">
        <v>962.0</v>
      </c>
      <c r="F8" s="3" t="s">
        <v>12</v>
      </c>
      <c r="G8" s="14">
        <v>943.7</v>
      </c>
      <c r="H8" s="3" t="s">
        <v>13</v>
      </c>
      <c r="J8" s="3">
        <v>962.0</v>
      </c>
      <c r="M8" s="3">
        <v>965.0</v>
      </c>
    </row>
    <row r="9">
      <c r="A9" s="12"/>
      <c r="B9" s="12"/>
      <c r="C9" s="19"/>
      <c r="D9" s="19"/>
      <c r="E9" s="2"/>
      <c r="I9" s="13">
        <f>J8-J9</f>
        <v>2</v>
      </c>
      <c r="J9" s="14">
        <v>960.0</v>
      </c>
      <c r="L9" s="13">
        <f>M8-M9</f>
        <v>5</v>
      </c>
      <c r="M9" s="14">
        <v>960.0</v>
      </c>
    </row>
    <row r="10">
      <c r="A10" s="15" t="s">
        <v>14</v>
      </c>
      <c r="B10" s="16" t="s">
        <v>15</v>
      </c>
      <c r="C10" s="17" t="s">
        <v>15</v>
      </c>
      <c r="D10" s="7"/>
      <c r="E10" s="18">
        <v>10.0</v>
      </c>
      <c r="G10" s="18">
        <v>10.0</v>
      </c>
    </row>
    <row r="11">
      <c r="A11" s="12"/>
      <c r="B11" s="12"/>
      <c r="C11" s="19"/>
      <c r="D11" s="19"/>
      <c r="E11" s="2"/>
    </row>
    <row r="12">
      <c r="A12" s="20" t="s">
        <v>16</v>
      </c>
      <c r="B12" s="21" t="s">
        <v>17</v>
      </c>
      <c r="C12" s="22" t="s">
        <v>18</v>
      </c>
      <c r="D12" s="7"/>
      <c r="E12" s="8">
        <v>960.0</v>
      </c>
      <c r="G12" s="8">
        <v>940.0</v>
      </c>
    </row>
    <row r="13">
      <c r="A13" s="23"/>
      <c r="B13" s="23"/>
      <c r="C13" s="22" t="s">
        <v>19</v>
      </c>
      <c r="D13" s="7"/>
      <c r="E13" s="2">
        <f>E12+E10</f>
        <v>970</v>
      </c>
      <c r="G13" s="2">
        <f>G12+G10</f>
        <v>950</v>
      </c>
    </row>
    <row r="14">
      <c r="A14" s="23"/>
      <c r="B14" s="23"/>
      <c r="C14" s="22" t="s">
        <v>20</v>
      </c>
      <c r="D14" s="7"/>
      <c r="E14" s="2">
        <f>E12-E10</f>
        <v>950</v>
      </c>
      <c r="G14" s="2">
        <f>G12-G10</f>
        <v>930</v>
      </c>
    </row>
    <row r="15">
      <c r="A15" s="24"/>
      <c r="B15" s="24"/>
      <c r="C15" s="25" t="s">
        <v>21</v>
      </c>
      <c r="D15" s="7"/>
      <c r="E15" s="2"/>
    </row>
    <row r="16">
      <c r="A16" s="12"/>
      <c r="B16" s="12"/>
      <c r="C16" s="19"/>
      <c r="D16" s="19"/>
      <c r="E16" s="2"/>
    </row>
    <row r="17">
      <c r="A17" s="26"/>
      <c r="B17" s="27" t="s">
        <v>22</v>
      </c>
      <c r="C17" s="28"/>
      <c r="D17" s="28"/>
      <c r="E17" s="18">
        <v>550.0</v>
      </c>
      <c r="G17" s="18">
        <f>E17</f>
        <v>550</v>
      </c>
    </row>
    <row r="18">
      <c r="A18" s="15" t="s">
        <v>23</v>
      </c>
      <c r="B18" s="16" t="s">
        <v>24</v>
      </c>
      <c r="C18" s="17" t="s">
        <v>25</v>
      </c>
      <c r="D18" s="7"/>
      <c r="E18" s="2">
        <f>E17*100</f>
        <v>55000</v>
      </c>
      <c r="G18" s="2">
        <f>G17*100</f>
        <v>55000</v>
      </c>
    </row>
    <row r="19">
      <c r="A19" s="29" t="s">
        <v>26</v>
      </c>
      <c r="B19" s="30" t="s">
        <v>27</v>
      </c>
      <c r="C19" s="17" t="s">
        <v>28</v>
      </c>
      <c r="D19" s="7"/>
      <c r="E19" s="2"/>
    </row>
    <row r="20">
      <c r="A20" s="29" t="s">
        <v>29</v>
      </c>
      <c r="B20" s="31" t="s">
        <v>30</v>
      </c>
      <c r="C20" s="32" t="s">
        <v>31</v>
      </c>
      <c r="D20" s="7"/>
      <c r="E20" s="2"/>
    </row>
    <row r="21">
      <c r="A21" s="29" t="s">
        <v>32</v>
      </c>
      <c r="B21" s="30" t="s">
        <v>33</v>
      </c>
      <c r="C21" s="33" t="s">
        <v>34</v>
      </c>
      <c r="D21" s="7"/>
      <c r="E21" s="2"/>
    </row>
    <row r="22">
      <c r="A22" s="12"/>
      <c r="B22" s="12"/>
      <c r="C22" s="19"/>
      <c r="D22" s="19"/>
      <c r="E22" s="2"/>
      <c r="I22" s="3" t="s">
        <v>35</v>
      </c>
    </row>
    <row r="23">
      <c r="A23" s="34" t="s">
        <v>36</v>
      </c>
      <c r="B23" s="7"/>
      <c r="C23" s="6" t="s">
        <v>4</v>
      </c>
      <c r="D23" s="7"/>
      <c r="E23" s="8" t="s">
        <v>37</v>
      </c>
    </row>
    <row r="24">
      <c r="A24" s="34" t="s">
        <v>38</v>
      </c>
      <c r="B24" s="7"/>
      <c r="C24" s="35" t="s">
        <v>39</v>
      </c>
      <c r="D24" s="35" t="s">
        <v>40</v>
      </c>
      <c r="E24" s="18">
        <v>33.8</v>
      </c>
      <c r="G24" s="18">
        <v>33.8</v>
      </c>
      <c r="H24" s="3" t="s">
        <v>41</v>
      </c>
      <c r="I24" s="18">
        <v>39.15</v>
      </c>
    </row>
    <row r="25">
      <c r="A25" s="15"/>
      <c r="B25" s="16" t="s">
        <v>42</v>
      </c>
      <c r="C25" s="36"/>
      <c r="D25" s="36"/>
      <c r="E25" s="18">
        <v>960.0</v>
      </c>
      <c r="G25" s="18">
        <v>960.0</v>
      </c>
      <c r="I25" s="18">
        <v>950.0</v>
      </c>
    </row>
    <row r="26">
      <c r="A26" s="15" t="s">
        <v>43</v>
      </c>
      <c r="B26" s="16" t="s">
        <v>44</v>
      </c>
      <c r="C26" s="36" t="s">
        <v>45</v>
      </c>
      <c r="D26" s="36" t="s">
        <v>46</v>
      </c>
      <c r="E26" s="37">
        <f>MROUND(E24*(1+5%),0.05)</f>
        <v>35.5</v>
      </c>
      <c r="I26" s="37">
        <f>MROUND(I24*(1+5%),0.05)</f>
        <v>41.1</v>
      </c>
    </row>
    <row r="27">
      <c r="A27" s="15" t="s">
        <v>47</v>
      </c>
      <c r="B27" s="16" t="s">
        <v>48</v>
      </c>
      <c r="C27" s="38" t="s">
        <v>49</v>
      </c>
      <c r="D27" s="39" t="s">
        <v>50</v>
      </c>
      <c r="E27" s="37">
        <f t="shared" ref="E27:E30" si="1">$E$26+G27</f>
        <v>64.3</v>
      </c>
      <c r="F27" s="40">
        <v>0.03</v>
      </c>
      <c r="G27" s="13">
        <f t="shared" ref="G27:G31" si="2">$E$25*F27</f>
        <v>28.8</v>
      </c>
      <c r="I27" s="37">
        <f t="shared" ref="I27:I30" si="3">$I$26+K27</f>
        <v>69.6</v>
      </c>
      <c r="J27" s="40">
        <v>0.03</v>
      </c>
      <c r="K27" s="13">
        <f t="shared" ref="K27:K31" si="4">$I$25*J27</f>
        <v>28.5</v>
      </c>
    </row>
    <row r="28">
      <c r="A28" s="15" t="s">
        <v>51</v>
      </c>
      <c r="B28" s="16" t="s">
        <v>52</v>
      </c>
      <c r="C28" s="38" t="s">
        <v>49</v>
      </c>
      <c r="D28" s="39" t="s">
        <v>53</v>
      </c>
      <c r="E28" s="37">
        <f t="shared" si="1"/>
        <v>78.7</v>
      </c>
      <c r="F28" s="41">
        <v>0.045</v>
      </c>
      <c r="G28" s="13">
        <f t="shared" si="2"/>
        <v>43.2</v>
      </c>
      <c r="I28" s="37">
        <f t="shared" si="3"/>
        <v>83.85</v>
      </c>
      <c r="J28" s="41">
        <v>0.045</v>
      </c>
      <c r="K28" s="13">
        <f t="shared" si="4"/>
        <v>42.75</v>
      </c>
    </row>
    <row r="29">
      <c r="A29" s="15" t="s">
        <v>54</v>
      </c>
      <c r="B29" s="16" t="s">
        <v>55</v>
      </c>
      <c r="C29" s="38" t="s">
        <v>49</v>
      </c>
      <c r="D29" s="39" t="s">
        <v>56</v>
      </c>
      <c r="E29" s="37">
        <f t="shared" si="1"/>
        <v>93.1</v>
      </c>
      <c r="F29" s="40">
        <v>0.06</v>
      </c>
      <c r="G29" s="13">
        <f t="shared" si="2"/>
        <v>57.6</v>
      </c>
      <c r="I29" s="37">
        <f t="shared" si="3"/>
        <v>98.1</v>
      </c>
      <c r="J29" s="40">
        <v>0.06</v>
      </c>
      <c r="K29" s="13">
        <f t="shared" si="4"/>
        <v>57</v>
      </c>
    </row>
    <row r="30">
      <c r="A30" s="15" t="s">
        <v>57</v>
      </c>
      <c r="B30" s="16" t="s">
        <v>58</v>
      </c>
      <c r="C30" s="38" t="s">
        <v>49</v>
      </c>
      <c r="D30" s="38" t="s">
        <v>59</v>
      </c>
      <c r="E30" s="37">
        <f t="shared" si="1"/>
        <v>112.3</v>
      </c>
      <c r="F30" s="40">
        <v>0.08</v>
      </c>
      <c r="G30" s="13">
        <f t="shared" si="2"/>
        <v>76.8</v>
      </c>
      <c r="I30" s="37">
        <f t="shared" si="3"/>
        <v>117.1</v>
      </c>
      <c r="J30" s="40">
        <v>0.08</v>
      </c>
      <c r="K30" s="13">
        <f t="shared" si="4"/>
        <v>76</v>
      </c>
    </row>
    <row r="31">
      <c r="A31" s="20" t="s">
        <v>60</v>
      </c>
      <c r="B31" s="21" t="s">
        <v>61</v>
      </c>
      <c r="C31" s="38" t="s">
        <v>49</v>
      </c>
      <c r="D31" s="39" t="s">
        <v>62</v>
      </c>
      <c r="E31" s="37">
        <f>E26-G31</f>
        <v>6.7</v>
      </c>
      <c r="F31" s="40">
        <v>0.03</v>
      </c>
      <c r="G31" s="13">
        <f t="shared" si="2"/>
        <v>28.8</v>
      </c>
      <c r="I31" s="37">
        <f>$I$26-K31</f>
        <v>12.6</v>
      </c>
      <c r="J31" s="40">
        <v>0.03</v>
      </c>
      <c r="K31" s="13">
        <f t="shared" si="4"/>
        <v>28.5</v>
      </c>
    </row>
    <row r="32">
      <c r="A32" s="24"/>
      <c r="B32" s="24"/>
      <c r="C32" s="25" t="s">
        <v>63</v>
      </c>
      <c r="D32" s="7"/>
      <c r="E32" s="2"/>
    </row>
    <row r="33">
      <c r="A33" s="12"/>
      <c r="B33" s="42"/>
      <c r="E33" s="2"/>
    </row>
    <row r="34">
      <c r="E34" s="2"/>
    </row>
    <row r="35">
      <c r="E35" s="2"/>
      <c r="F35" s="3" t="s">
        <v>37</v>
      </c>
    </row>
    <row r="36">
      <c r="E36" s="8"/>
    </row>
    <row r="37">
      <c r="E37" s="8"/>
    </row>
    <row r="38">
      <c r="E38" s="8"/>
    </row>
    <row r="39">
      <c r="E39" s="8"/>
      <c r="G39" s="40">
        <v>0.03</v>
      </c>
      <c r="H39" s="13">
        <v>28.799999999999997</v>
      </c>
    </row>
    <row r="40">
      <c r="E40" s="8"/>
      <c r="G40" s="41">
        <v>0.045</v>
      </c>
      <c r="H40" s="13">
        <v>43.199999999999996</v>
      </c>
    </row>
    <row r="41">
      <c r="E41" s="8"/>
      <c r="G41" s="40">
        <v>0.06</v>
      </c>
      <c r="H41" s="13">
        <v>57.599999999999994</v>
      </c>
    </row>
    <row r="42">
      <c r="E42" s="8"/>
      <c r="G42" s="40">
        <v>0.08</v>
      </c>
      <c r="H42" s="13">
        <v>76.8</v>
      </c>
    </row>
    <row r="43">
      <c r="E43" s="8"/>
      <c r="G43" s="40">
        <v>0.03</v>
      </c>
      <c r="H43" s="13">
        <v>28.799999999999997</v>
      </c>
    </row>
    <row r="44">
      <c r="E44" s="2"/>
    </row>
    <row r="45">
      <c r="E45" s="2"/>
    </row>
    <row r="46">
      <c r="E46" s="2"/>
    </row>
    <row r="47">
      <c r="E47" s="2"/>
    </row>
    <row r="48">
      <c r="E48" s="2"/>
    </row>
    <row r="49">
      <c r="E49" s="2"/>
    </row>
    <row r="50">
      <c r="E50" s="2"/>
    </row>
    <row r="51">
      <c r="E51" s="2"/>
    </row>
    <row r="52">
      <c r="E52" s="2"/>
    </row>
    <row r="53">
      <c r="E53" s="2"/>
    </row>
    <row r="54">
      <c r="E54" s="2"/>
    </row>
    <row r="55">
      <c r="E55" s="2"/>
    </row>
    <row r="56">
      <c r="E56" s="2"/>
    </row>
    <row r="57">
      <c r="E57" s="2"/>
    </row>
    <row r="58">
      <c r="E58" s="2"/>
    </row>
    <row r="59">
      <c r="E59" s="2"/>
    </row>
    <row r="60">
      <c r="E60" s="2"/>
    </row>
    <row r="61">
      <c r="E61" s="2"/>
    </row>
    <row r="62">
      <c r="E62" s="2"/>
    </row>
    <row r="63">
      <c r="E63" s="2"/>
    </row>
    <row r="64">
      <c r="E64" s="2"/>
    </row>
    <row r="65">
      <c r="E65" s="2"/>
    </row>
    <row r="66">
      <c r="E66" s="2"/>
    </row>
    <row r="67">
      <c r="E67" s="2"/>
    </row>
    <row r="68">
      <c r="E68" s="2"/>
    </row>
    <row r="69">
      <c r="E69" s="2"/>
    </row>
    <row r="70">
      <c r="E70" s="2"/>
    </row>
    <row r="71">
      <c r="E71" s="2"/>
    </row>
    <row r="72">
      <c r="E72" s="2"/>
    </row>
    <row r="73">
      <c r="E73" s="2"/>
    </row>
    <row r="74">
      <c r="E74" s="2"/>
    </row>
    <row r="75">
      <c r="E75" s="2"/>
    </row>
    <row r="76">
      <c r="E76" s="2"/>
    </row>
    <row r="77">
      <c r="E77" s="2"/>
    </row>
    <row r="78">
      <c r="E78" s="2"/>
    </row>
    <row r="79">
      <c r="E79" s="2"/>
    </row>
    <row r="80">
      <c r="E80" s="2"/>
    </row>
    <row r="81">
      <c r="E81" s="2"/>
    </row>
    <row r="82">
      <c r="E82" s="2"/>
    </row>
    <row r="83">
      <c r="E83" s="2"/>
    </row>
    <row r="84">
      <c r="E84" s="2"/>
    </row>
    <row r="85">
      <c r="E85" s="2"/>
    </row>
    <row r="86">
      <c r="E86" s="2"/>
    </row>
    <row r="87">
      <c r="E87" s="2"/>
    </row>
    <row r="88">
      <c r="E88" s="2"/>
    </row>
    <row r="89">
      <c r="E89" s="2"/>
    </row>
    <row r="90">
      <c r="E90" s="2"/>
    </row>
    <row r="91">
      <c r="E91" s="2"/>
    </row>
    <row r="92">
      <c r="E92" s="2"/>
    </row>
    <row r="93">
      <c r="E93" s="2"/>
    </row>
    <row r="94">
      <c r="E94" s="2"/>
    </row>
    <row r="95">
      <c r="E95" s="2"/>
    </row>
    <row r="96">
      <c r="E96" s="2"/>
    </row>
    <row r="97">
      <c r="E97" s="2"/>
    </row>
    <row r="98">
      <c r="E98" s="2"/>
    </row>
    <row r="99">
      <c r="E99" s="2"/>
    </row>
    <row r="100">
      <c r="E100" s="2"/>
    </row>
    <row r="101">
      <c r="E101" s="2"/>
    </row>
    <row r="102">
      <c r="E102" s="2"/>
    </row>
    <row r="103">
      <c r="E103" s="2"/>
    </row>
    <row r="104">
      <c r="E104" s="2"/>
    </row>
    <row r="105">
      <c r="E105" s="2"/>
    </row>
    <row r="106">
      <c r="E106" s="2"/>
    </row>
    <row r="107">
      <c r="E107" s="2"/>
    </row>
    <row r="108">
      <c r="E108" s="2"/>
    </row>
    <row r="109">
      <c r="E109" s="2"/>
    </row>
    <row r="110">
      <c r="E110" s="2"/>
    </row>
    <row r="111">
      <c r="E111" s="2"/>
    </row>
    <row r="112">
      <c r="E112" s="2"/>
    </row>
    <row r="113">
      <c r="E113" s="2"/>
    </row>
    <row r="114">
      <c r="E114" s="2"/>
    </row>
    <row r="115">
      <c r="E115" s="2"/>
    </row>
    <row r="116">
      <c r="E116" s="2"/>
    </row>
    <row r="117">
      <c r="E117" s="2"/>
    </row>
    <row r="118">
      <c r="E118" s="2"/>
    </row>
    <row r="119">
      <c r="E119" s="2"/>
    </row>
    <row r="120">
      <c r="E120" s="2"/>
    </row>
    <row r="121">
      <c r="E121" s="2"/>
    </row>
    <row r="122">
      <c r="E122" s="2"/>
    </row>
    <row r="123">
      <c r="E123" s="2"/>
    </row>
    <row r="124">
      <c r="E124" s="2"/>
    </row>
    <row r="125">
      <c r="E125" s="2"/>
    </row>
    <row r="126">
      <c r="E126" s="2"/>
    </row>
    <row r="127">
      <c r="E127" s="2"/>
    </row>
    <row r="128">
      <c r="E128" s="2"/>
    </row>
    <row r="129">
      <c r="E129" s="2"/>
    </row>
    <row r="130">
      <c r="E130" s="2"/>
    </row>
    <row r="131">
      <c r="E131" s="2"/>
    </row>
    <row r="132">
      <c r="E132" s="2"/>
    </row>
    <row r="133">
      <c r="E133" s="2"/>
    </row>
    <row r="134">
      <c r="E134" s="2"/>
    </row>
    <row r="135">
      <c r="E135" s="2"/>
    </row>
    <row r="136">
      <c r="E136" s="2"/>
    </row>
    <row r="137">
      <c r="E137" s="2"/>
    </row>
    <row r="138">
      <c r="E138" s="2"/>
    </row>
    <row r="139">
      <c r="E139" s="2"/>
    </row>
    <row r="140">
      <c r="E140" s="2"/>
    </row>
    <row r="141">
      <c r="E141" s="2"/>
    </row>
    <row r="142">
      <c r="E142" s="2"/>
    </row>
    <row r="143">
      <c r="E143" s="2"/>
    </row>
    <row r="144">
      <c r="E144" s="2"/>
    </row>
    <row r="145">
      <c r="E145" s="2"/>
    </row>
    <row r="146">
      <c r="E146" s="2"/>
    </row>
    <row r="147">
      <c r="E147" s="2"/>
    </row>
    <row r="148">
      <c r="E148" s="2"/>
    </row>
    <row r="149">
      <c r="E149" s="2"/>
    </row>
    <row r="150">
      <c r="E150" s="2"/>
    </row>
    <row r="151">
      <c r="E151" s="2"/>
    </row>
    <row r="152">
      <c r="E152" s="2"/>
    </row>
    <row r="153">
      <c r="E153" s="2"/>
    </row>
    <row r="154">
      <c r="E154" s="2"/>
    </row>
    <row r="155">
      <c r="E155" s="2"/>
    </row>
    <row r="156">
      <c r="E156" s="2"/>
    </row>
    <row r="157">
      <c r="E157" s="2"/>
    </row>
    <row r="158">
      <c r="E158" s="2"/>
    </row>
    <row r="159">
      <c r="E159" s="2"/>
    </row>
    <row r="160">
      <c r="E160" s="2"/>
    </row>
    <row r="161">
      <c r="E161" s="2"/>
    </row>
    <row r="162">
      <c r="E162" s="2"/>
    </row>
    <row r="163">
      <c r="E163" s="2"/>
    </row>
    <row r="164">
      <c r="E164" s="2"/>
    </row>
    <row r="165">
      <c r="E165" s="2"/>
    </row>
    <row r="166">
      <c r="E166" s="2"/>
    </row>
    <row r="167">
      <c r="E167" s="2"/>
    </row>
    <row r="168">
      <c r="E168" s="2"/>
    </row>
    <row r="169">
      <c r="E169" s="2"/>
    </row>
    <row r="170">
      <c r="E170" s="2"/>
    </row>
    <row r="171">
      <c r="E171" s="2"/>
    </row>
    <row r="172">
      <c r="E172" s="2"/>
    </row>
    <row r="173">
      <c r="E173" s="2"/>
    </row>
    <row r="174">
      <c r="E174" s="2"/>
    </row>
    <row r="175">
      <c r="E175" s="2"/>
    </row>
    <row r="176">
      <c r="E176" s="2"/>
    </row>
    <row r="177">
      <c r="E177" s="2"/>
    </row>
    <row r="178">
      <c r="E178" s="2"/>
    </row>
    <row r="179">
      <c r="E179" s="2"/>
    </row>
    <row r="180">
      <c r="E180" s="2"/>
    </row>
    <row r="181">
      <c r="E181" s="2"/>
    </row>
    <row r="182">
      <c r="E182" s="2"/>
    </row>
    <row r="183">
      <c r="E183" s="2"/>
    </row>
    <row r="184">
      <c r="E184" s="2"/>
    </row>
    <row r="185">
      <c r="E185" s="2"/>
    </row>
    <row r="186">
      <c r="E186" s="2"/>
    </row>
    <row r="187">
      <c r="E187" s="2"/>
    </row>
    <row r="188">
      <c r="E188" s="2"/>
    </row>
    <row r="189">
      <c r="E189" s="2"/>
    </row>
    <row r="190">
      <c r="E190" s="2"/>
    </row>
    <row r="191">
      <c r="E191" s="2"/>
    </row>
    <row r="192">
      <c r="E192" s="2"/>
    </row>
    <row r="193">
      <c r="E193" s="2"/>
    </row>
    <row r="194">
      <c r="E194" s="2"/>
    </row>
    <row r="195">
      <c r="E195" s="2"/>
    </row>
    <row r="196">
      <c r="E196" s="2"/>
    </row>
    <row r="197">
      <c r="E197" s="2"/>
    </row>
    <row r="198">
      <c r="E198" s="2"/>
    </row>
    <row r="199">
      <c r="E199" s="2"/>
    </row>
    <row r="200">
      <c r="E200" s="2"/>
    </row>
    <row r="201">
      <c r="E201" s="2"/>
    </row>
    <row r="202">
      <c r="E202" s="2"/>
    </row>
    <row r="203">
      <c r="E203" s="2"/>
    </row>
    <row r="204">
      <c r="E204" s="2"/>
    </row>
    <row r="205">
      <c r="E205" s="2"/>
    </row>
    <row r="206">
      <c r="E206" s="2"/>
    </row>
    <row r="207">
      <c r="E207" s="2"/>
    </row>
    <row r="208">
      <c r="E208" s="2"/>
    </row>
    <row r="209">
      <c r="E209" s="2"/>
    </row>
    <row r="210">
      <c r="E210" s="2"/>
    </row>
    <row r="211">
      <c r="E211" s="2"/>
    </row>
    <row r="212">
      <c r="E212" s="2"/>
    </row>
    <row r="213">
      <c r="E213" s="2"/>
    </row>
    <row r="214">
      <c r="E214" s="2"/>
    </row>
    <row r="215">
      <c r="E215" s="2"/>
    </row>
    <row r="216">
      <c r="E216" s="2"/>
    </row>
    <row r="217">
      <c r="E217" s="2"/>
    </row>
    <row r="218">
      <c r="E218" s="2"/>
    </row>
    <row r="219">
      <c r="E219" s="2"/>
    </row>
    <row r="220">
      <c r="E220" s="2"/>
    </row>
    <row r="221">
      <c r="E221" s="2"/>
    </row>
    <row r="222">
      <c r="E222" s="2"/>
    </row>
    <row r="223">
      <c r="E223" s="2"/>
    </row>
    <row r="224">
      <c r="E224" s="2"/>
    </row>
    <row r="225">
      <c r="E225" s="2"/>
    </row>
    <row r="226">
      <c r="E226" s="2"/>
    </row>
    <row r="227">
      <c r="E227" s="2"/>
    </row>
    <row r="228">
      <c r="E228" s="2"/>
    </row>
    <row r="229">
      <c r="E229" s="2"/>
    </row>
    <row r="230">
      <c r="E230" s="2"/>
    </row>
    <row r="231">
      <c r="E231" s="2"/>
    </row>
    <row r="232">
      <c r="E232" s="2"/>
    </row>
    <row r="233">
      <c r="E233" s="2"/>
    </row>
    <row r="234">
      <c r="E234" s="2"/>
    </row>
    <row r="235">
      <c r="E235" s="2"/>
    </row>
    <row r="236">
      <c r="E236" s="2"/>
    </row>
    <row r="237">
      <c r="E237" s="2"/>
    </row>
    <row r="238">
      <c r="E238" s="2"/>
    </row>
    <row r="239">
      <c r="E239" s="2"/>
    </row>
    <row r="240">
      <c r="E240" s="2"/>
    </row>
    <row r="241">
      <c r="E241" s="2"/>
    </row>
    <row r="242">
      <c r="E242" s="2"/>
    </row>
    <row r="243">
      <c r="E243" s="2"/>
    </row>
    <row r="244">
      <c r="E244" s="2"/>
    </row>
    <row r="245">
      <c r="E245" s="2"/>
    </row>
    <row r="246">
      <c r="E246" s="2"/>
    </row>
    <row r="247">
      <c r="E247" s="2"/>
    </row>
    <row r="248">
      <c r="E248" s="2"/>
    </row>
    <row r="249">
      <c r="E249" s="2"/>
    </row>
    <row r="250">
      <c r="E250" s="2"/>
    </row>
    <row r="251">
      <c r="E251" s="2"/>
    </row>
    <row r="252">
      <c r="E252" s="2"/>
    </row>
    <row r="253">
      <c r="E253" s="2"/>
    </row>
    <row r="254">
      <c r="E254" s="2"/>
    </row>
    <row r="255">
      <c r="E255" s="2"/>
    </row>
    <row r="256">
      <c r="E256" s="2"/>
    </row>
    <row r="257">
      <c r="E257" s="2"/>
    </row>
    <row r="258">
      <c r="E258" s="2"/>
    </row>
    <row r="259">
      <c r="E259" s="2"/>
    </row>
    <row r="260">
      <c r="E260" s="2"/>
    </row>
    <row r="261">
      <c r="E261" s="2"/>
    </row>
    <row r="262">
      <c r="E262" s="2"/>
    </row>
    <row r="263">
      <c r="E263" s="2"/>
    </row>
    <row r="264">
      <c r="E264" s="2"/>
    </row>
    <row r="265">
      <c r="E265" s="2"/>
    </row>
    <row r="266">
      <c r="E266" s="2"/>
    </row>
    <row r="267">
      <c r="E267" s="2"/>
    </row>
    <row r="268">
      <c r="E268" s="2"/>
    </row>
    <row r="269">
      <c r="E269" s="2"/>
    </row>
    <row r="270">
      <c r="E270" s="2"/>
    </row>
    <row r="271">
      <c r="E271" s="2"/>
    </row>
    <row r="272">
      <c r="E272" s="2"/>
    </row>
    <row r="273">
      <c r="E273" s="2"/>
    </row>
    <row r="274">
      <c r="E274" s="2"/>
    </row>
    <row r="275">
      <c r="E275" s="2"/>
    </row>
    <row r="276">
      <c r="E276" s="2"/>
    </row>
    <row r="277">
      <c r="E277" s="2"/>
    </row>
    <row r="278">
      <c r="E278" s="2"/>
    </row>
    <row r="279">
      <c r="E279" s="2"/>
    </row>
    <row r="280">
      <c r="E280" s="2"/>
    </row>
    <row r="281">
      <c r="E281" s="2"/>
    </row>
    <row r="282">
      <c r="E282" s="2"/>
    </row>
    <row r="283">
      <c r="E283" s="2"/>
    </row>
    <row r="284">
      <c r="E284" s="2"/>
    </row>
    <row r="285">
      <c r="E285" s="2"/>
    </row>
    <row r="286">
      <c r="E286" s="2"/>
    </row>
    <row r="287">
      <c r="E287" s="2"/>
    </row>
    <row r="288">
      <c r="E288" s="2"/>
    </row>
    <row r="289">
      <c r="E289" s="2"/>
    </row>
    <row r="290">
      <c r="E290" s="2"/>
    </row>
    <row r="291">
      <c r="E291" s="2"/>
    </row>
    <row r="292">
      <c r="E292" s="2"/>
    </row>
    <row r="293">
      <c r="E293" s="2"/>
    </row>
    <row r="294">
      <c r="E294" s="2"/>
    </row>
    <row r="295">
      <c r="E295" s="2"/>
    </row>
    <row r="296">
      <c r="E296" s="2"/>
    </row>
    <row r="297">
      <c r="E297" s="2"/>
    </row>
    <row r="298">
      <c r="E298" s="2"/>
    </row>
    <row r="299">
      <c r="E299" s="2"/>
    </row>
    <row r="300">
      <c r="E300" s="2"/>
    </row>
    <row r="301">
      <c r="E301" s="2"/>
    </row>
    <row r="302">
      <c r="E302" s="2"/>
    </row>
    <row r="303">
      <c r="E303" s="2"/>
    </row>
    <row r="304">
      <c r="E304" s="2"/>
    </row>
    <row r="305">
      <c r="E305" s="2"/>
    </row>
    <row r="306">
      <c r="E306" s="2"/>
    </row>
    <row r="307">
      <c r="E307" s="2"/>
    </row>
    <row r="308">
      <c r="E308" s="2"/>
    </row>
    <row r="309">
      <c r="E309" s="2"/>
    </row>
    <row r="310">
      <c r="E310" s="2"/>
    </row>
    <row r="311">
      <c r="E311" s="2"/>
    </row>
    <row r="312">
      <c r="E312" s="2"/>
    </row>
    <row r="313">
      <c r="E313" s="2"/>
    </row>
    <row r="314">
      <c r="E314" s="2"/>
    </row>
    <row r="315">
      <c r="E315" s="2"/>
    </row>
    <row r="316">
      <c r="E316" s="2"/>
    </row>
    <row r="317">
      <c r="E317" s="2"/>
    </row>
    <row r="318">
      <c r="E318" s="2"/>
    </row>
    <row r="319">
      <c r="E319" s="2"/>
    </row>
    <row r="320">
      <c r="E320" s="2"/>
    </row>
    <row r="321">
      <c r="E321" s="2"/>
    </row>
    <row r="322">
      <c r="E322" s="2"/>
    </row>
    <row r="323">
      <c r="E323" s="2"/>
    </row>
    <row r="324">
      <c r="E324" s="2"/>
    </row>
    <row r="325">
      <c r="E325" s="2"/>
    </row>
    <row r="326">
      <c r="E326" s="2"/>
    </row>
    <row r="327">
      <c r="E327" s="2"/>
    </row>
    <row r="328">
      <c r="E328" s="2"/>
    </row>
    <row r="329">
      <c r="E329" s="2"/>
    </row>
    <row r="330">
      <c r="E330" s="2"/>
    </row>
    <row r="331">
      <c r="E331" s="2"/>
    </row>
    <row r="332">
      <c r="E332" s="2"/>
    </row>
    <row r="333">
      <c r="E333" s="2"/>
    </row>
    <row r="334">
      <c r="E334" s="2"/>
    </row>
    <row r="335">
      <c r="E335" s="2"/>
    </row>
    <row r="336">
      <c r="E336" s="2"/>
    </row>
    <row r="337">
      <c r="E337" s="2"/>
    </row>
    <row r="338">
      <c r="E338" s="2"/>
    </row>
    <row r="339">
      <c r="E339" s="2"/>
    </row>
    <row r="340">
      <c r="E340" s="2"/>
    </row>
    <row r="341">
      <c r="E341" s="2"/>
    </row>
    <row r="342">
      <c r="E342" s="2"/>
    </row>
    <row r="343">
      <c r="E343" s="2"/>
    </row>
    <row r="344">
      <c r="E344" s="2"/>
    </row>
    <row r="345">
      <c r="E345" s="2"/>
    </row>
    <row r="346">
      <c r="E346" s="2"/>
    </row>
    <row r="347">
      <c r="E347" s="2"/>
    </row>
    <row r="348">
      <c r="E348" s="2"/>
    </row>
    <row r="349">
      <c r="E349" s="2"/>
    </row>
    <row r="350">
      <c r="E350" s="2"/>
    </row>
    <row r="351">
      <c r="E351" s="2"/>
    </row>
    <row r="352">
      <c r="E352" s="2"/>
    </row>
    <row r="353">
      <c r="E353" s="2"/>
    </row>
    <row r="354">
      <c r="E354" s="2"/>
    </row>
    <row r="355">
      <c r="E355" s="2"/>
    </row>
    <row r="356">
      <c r="E356" s="2"/>
    </row>
    <row r="357">
      <c r="E357" s="2"/>
    </row>
    <row r="358">
      <c r="E358" s="2"/>
    </row>
    <row r="359">
      <c r="E359" s="2"/>
    </row>
    <row r="360">
      <c r="E360" s="2"/>
    </row>
    <row r="361">
      <c r="E361" s="2"/>
    </row>
    <row r="362">
      <c r="E362" s="2"/>
    </row>
    <row r="363">
      <c r="E363" s="2"/>
    </row>
    <row r="364">
      <c r="E364" s="2"/>
    </row>
    <row r="365">
      <c r="E365" s="2"/>
    </row>
    <row r="366">
      <c r="E366" s="2"/>
    </row>
    <row r="367">
      <c r="E367" s="2"/>
    </row>
    <row r="368">
      <c r="E368" s="2"/>
    </row>
    <row r="369">
      <c r="E369" s="2"/>
    </row>
    <row r="370">
      <c r="E370" s="2"/>
    </row>
    <row r="371">
      <c r="E371" s="2"/>
    </row>
    <row r="372">
      <c r="E372" s="2"/>
    </row>
    <row r="373">
      <c r="E373" s="2"/>
    </row>
    <row r="374">
      <c r="E374" s="2"/>
    </row>
    <row r="375">
      <c r="E375" s="2"/>
    </row>
    <row r="376">
      <c r="E376" s="2"/>
    </row>
    <row r="377">
      <c r="E377" s="2"/>
    </row>
    <row r="378">
      <c r="E378" s="2"/>
    </row>
    <row r="379">
      <c r="E379" s="2"/>
    </row>
    <row r="380">
      <c r="E380" s="2"/>
    </row>
    <row r="381">
      <c r="E381" s="2"/>
    </row>
    <row r="382">
      <c r="E382" s="2"/>
    </row>
    <row r="383">
      <c r="E383" s="2"/>
    </row>
    <row r="384">
      <c r="E384" s="2"/>
    </row>
    <row r="385">
      <c r="E385" s="2"/>
    </row>
    <row r="386">
      <c r="E386" s="2"/>
    </row>
    <row r="387">
      <c r="E387" s="2"/>
    </row>
    <row r="388">
      <c r="E388" s="2"/>
    </row>
    <row r="389">
      <c r="E389" s="2"/>
    </row>
    <row r="390">
      <c r="E390" s="2"/>
    </row>
    <row r="391">
      <c r="E391" s="2"/>
    </row>
    <row r="392">
      <c r="E392" s="2"/>
    </row>
    <row r="393">
      <c r="E393" s="2"/>
    </row>
    <row r="394">
      <c r="E394" s="2"/>
    </row>
    <row r="395">
      <c r="E395" s="2"/>
    </row>
    <row r="396">
      <c r="E396" s="2"/>
    </row>
    <row r="397">
      <c r="E397" s="2"/>
    </row>
    <row r="398">
      <c r="E398" s="2"/>
    </row>
    <row r="399">
      <c r="E399" s="2"/>
    </row>
    <row r="400">
      <c r="E400" s="2"/>
    </row>
    <row r="401">
      <c r="E401" s="2"/>
    </row>
    <row r="402">
      <c r="E402" s="2"/>
    </row>
    <row r="403">
      <c r="E403" s="2"/>
    </row>
    <row r="404">
      <c r="E404" s="2"/>
    </row>
    <row r="405">
      <c r="E405" s="2"/>
    </row>
    <row r="406">
      <c r="E406" s="2"/>
    </row>
    <row r="407">
      <c r="E407" s="2"/>
    </row>
    <row r="408">
      <c r="E408" s="2"/>
    </row>
    <row r="409">
      <c r="E409" s="2"/>
    </row>
    <row r="410">
      <c r="E410" s="2"/>
    </row>
    <row r="411">
      <c r="E411" s="2"/>
    </row>
    <row r="412">
      <c r="E412" s="2"/>
    </row>
    <row r="413">
      <c r="E413" s="2"/>
    </row>
    <row r="414">
      <c r="E414" s="2"/>
    </row>
    <row r="415">
      <c r="E415" s="2"/>
    </row>
    <row r="416">
      <c r="E416" s="2"/>
    </row>
    <row r="417">
      <c r="E417" s="2"/>
    </row>
    <row r="418">
      <c r="E418" s="2"/>
    </row>
    <row r="419">
      <c r="E419" s="2"/>
    </row>
    <row r="420">
      <c r="E420" s="2"/>
    </row>
    <row r="421">
      <c r="E421" s="2"/>
    </row>
    <row r="422">
      <c r="E422" s="2"/>
    </row>
    <row r="423">
      <c r="E423" s="2"/>
    </row>
    <row r="424">
      <c r="E424" s="2"/>
    </row>
    <row r="425">
      <c r="E425" s="2"/>
    </row>
    <row r="426">
      <c r="E426" s="2"/>
    </row>
    <row r="427">
      <c r="E427" s="2"/>
    </row>
    <row r="428">
      <c r="E428" s="2"/>
    </row>
    <row r="429">
      <c r="E429" s="2"/>
    </row>
    <row r="430">
      <c r="E430" s="2"/>
    </row>
    <row r="431">
      <c r="E431" s="2"/>
    </row>
    <row r="432">
      <c r="E432" s="2"/>
    </row>
    <row r="433">
      <c r="E433" s="2"/>
    </row>
    <row r="434">
      <c r="E434" s="2"/>
    </row>
    <row r="435">
      <c r="E435" s="2"/>
    </row>
    <row r="436">
      <c r="E436" s="2"/>
    </row>
    <row r="437">
      <c r="E437" s="2"/>
    </row>
    <row r="438">
      <c r="E438" s="2"/>
    </row>
    <row r="439">
      <c r="E439" s="2"/>
    </row>
    <row r="440">
      <c r="E440" s="2"/>
    </row>
    <row r="441">
      <c r="E441" s="2"/>
    </row>
    <row r="442">
      <c r="E442" s="2"/>
    </row>
    <row r="443">
      <c r="E443" s="2"/>
    </row>
    <row r="444">
      <c r="E444" s="2"/>
    </row>
    <row r="445">
      <c r="E445" s="2"/>
    </row>
    <row r="446">
      <c r="E446" s="2"/>
    </row>
    <row r="447">
      <c r="E447" s="2"/>
    </row>
    <row r="448">
      <c r="E448" s="2"/>
    </row>
    <row r="449">
      <c r="E449" s="2"/>
    </row>
    <row r="450">
      <c r="E450" s="2"/>
    </row>
    <row r="451">
      <c r="E451" s="2"/>
    </row>
    <row r="452">
      <c r="E452" s="2"/>
    </row>
    <row r="453">
      <c r="E453" s="2"/>
    </row>
    <row r="454">
      <c r="E454" s="2"/>
    </row>
    <row r="455">
      <c r="E455" s="2"/>
    </row>
    <row r="456">
      <c r="E456" s="2"/>
    </row>
    <row r="457">
      <c r="E457" s="2"/>
    </row>
    <row r="458">
      <c r="E458" s="2"/>
    </row>
    <row r="459">
      <c r="E459" s="2"/>
    </row>
    <row r="460">
      <c r="E460" s="2"/>
    </row>
    <row r="461">
      <c r="E461" s="2"/>
    </row>
    <row r="462">
      <c r="E462" s="2"/>
    </row>
    <row r="463">
      <c r="E463" s="2"/>
    </row>
    <row r="464">
      <c r="E464" s="2"/>
    </row>
    <row r="465">
      <c r="E465" s="2"/>
    </row>
    <row r="466">
      <c r="E466" s="2"/>
    </row>
    <row r="467">
      <c r="E467" s="2"/>
    </row>
    <row r="468">
      <c r="E468" s="2"/>
    </row>
    <row r="469">
      <c r="E469" s="2"/>
    </row>
    <row r="470">
      <c r="E470" s="2"/>
    </row>
    <row r="471">
      <c r="E471" s="2"/>
    </row>
    <row r="472">
      <c r="E472" s="2"/>
    </row>
    <row r="473">
      <c r="E473" s="2"/>
    </row>
    <row r="474">
      <c r="E474" s="2"/>
    </row>
    <row r="475">
      <c r="E475" s="2"/>
    </row>
    <row r="476">
      <c r="E476" s="2"/>
    </row>
    <row r="477">
      <c r="E477" s="2"/>
    </row>
    <row r="478">
      <c r="E478" s="2"/>
    </row>
    <row r="479">
      <c r="E479" s="2"/>
    </row>
    <row r="480">
      <c r="E480" s="2"/>
    </row>
    <row r="481">
      <c r="E481" s="2"/>
    </row>
    <row r="482">
      <c r="E482" s="2"/>
    </row>
    <row r="483">
      <c r="E483" s="2"/>
    </row>
    <row r="484">
      <c r="E484" s="2"/>
    </row>
    <row r="485">
      <c r="E485" s="2"/>
    </row>
    <row r="486">
      <c r="E486" s="2"/>
    </row>
    <row r="487">
      <c r="E487" s="2"/>
    </row>
    <row r="488">
      <c r="E488" s="2"/>
    </row>
    <row r="489">
      <c r="E489" s="2"/>
    </row>
    <row r="490">
      <c r="E490" s="2"/>
    </row>
    <row r="491">
      <c r="E491" s="2"/>
    </row>
    <row r="492">
      <c r="E492" s="2"/>
    </row>
    <row r="493">
      <c r="E493" s="2"/>
    </row>
    <row r="494">
      <c r="E494" s="2"/>
    </row>
    <row r="495">
      <c r="E495" s="2"/>
    </row>
    <row r="496">
      <c r="E496" s="2"/>
    </row>
    <row r="497">
      <c r="E497" s="2"/>
    </row>
    <row r="498">
      <c r="E498" s="2"/>
    </row>
    <row r="499">
      <c r="E499" s="2"/>
    </row>
    <row r="500">
      <c r="E500" s="2"/>
    </row>
    <row r="501">
      <c r="E501" s="2"/>
    </row>
    <row r="502">
      <c r="E502" s="2"/>
    </row>
    <row r="503">
      <c r="E503" s="2"/>
    </row>
    <row r="504">
      <c r="E504" s="2"/>
    </row>
    <row r="505">
      <c r="E505" s="2"/>
    </row>
    <row r="506">
      <c r="E506" s="2"/>
    </row>
    <row r="507">
      <c r="E507" s="2"/>
    </row>
    <row r="508">
      <c r="E508" s="2"/>
    </row>
    <row r="509">
      <c r="E509" s="2"/>
    </row>
    <row r="510">
      <c r="E510" s="2"/>
    </row>
    <row r="511">
      <c r="E511" s="2"/>
    </row>
    <row r="512">
      <c r="E512" s="2"/>
    </row>
    <row r="513">
      <c r="E513" s="2"/>
    </row>
    <row r="514">
      <c r="E514" s="2"/>
    </row>
    <row r="515">
      <c r="E515" s="2"/>
    </row>
    <row r="516">
      <c r="E516" s="2"/>
    </row>
    <row r="517">
      <c r="E517" s="2"/>
    </row>
    <row r="518">
      <c r="E518" s="2"/>
    </row>
    <row r="519">
      <c r="E519" s="2"/>
    </row>
    <row r="520">
      <c r="E520" s="2"/>
    </row>
    <row r="521">
      <c r="E521" s="2"/>
    </row>
    <row r="522">
      <c r="E522" s="2"/>
    </row>
    <row r="523">
      <c r="E523" s="2"/>
    </row>
    <row r="524">
      <c r="E524" s="2"/>
    </row>
    <row r="525">
      <c r="E525" s="2"/>
    </row>
    <row r="526">
      <c r="E526" s="2"/>
    </row>
    <row r="527">
      <c r="E527" s="2"/>
    </row>
    <row r="528">
      <c r="E528" s="2"/>
    </row>
    <row r="529">
      <c r="E529" s="2"/>
    </row>
    <row r="530">
      <c r="E530" s="2"/>
    </row>
    <row r="531">
      <c r="E531" s="2"/>
    </row>
    <row r="532">
      <c r="E532" s="2"/>
    </row>
    <row r="533">
      <c r="E533" s="2"/>
    </row>
    <row r="534">
      <c r="E534" s="2"/>
    </row>
    <row r="535">
      <c r="E535" s="2"/>
    </row>
    <row r="536">
      <c r="E536" s="2"/>
    </row>
    <row r="537">
      <c r="E537" s="2"/>
    </row>
    <row r="538">
      <c r="E538" s="2"/>
    </row>
    <row r="539">
      <c r="E539" s="2"/>
    </row>
    <row r="540">
      <c r="E540" s="2"/>
    </row>
    <row r="541">
      <c r="E541" s="2"/>
    </row>
    <row r="542">
      <c r="E542" s="2"/>
    </row>
    <row r="543">
      <c r="E543" s="2"/>
    </row>
    <row r="544">
      <c r="E544" s="2"/>
    </row>
    <row r="545">
      <c r="E545" s="2"/>
    </row>
    <row r="546">
      <c r="E546" s="2"/>
    </row>
    <row r="547">
      <c r="E547" s="2"/>
    </row>
    <row r="548">
      <c r="E548" s="2"/>
    </row>
    <row r="549">
      <c r="E549" s="2"/>
    </row>
    <row r="550">
      <c r="E550" s="2"/>
    </row>
    <row r="551">
      <c r="E551" s="2"/>
    </row>
    <row r="552">
      <c r="E552" s="2"/>
    </row>
    <row r="553">
      <c r="E553" s="2"/>
    </row>
    <row r="554">
      <c r="E554" s="2"/>
    </row>
    <row r="555">
      <c r="E555" s="2"/>
    </row>
    <row r="556">
      <c r="E556" s="2"/>
    </row>
    <row r="557">
      <c r="E557" s="2"/>
    </row>
    <row r="558">
      <c r="E558" s="2"/>
    </row>
    <row r="559">
      <c r="E559" s="2"/>
    </row>
    <row r="560">
      <c r="E560" s="2"/>
    </row>
    <row r="561">
      <c r="E561" s="2"/>
    </row>
    <row r="562">
      <c r="E562" s="2"/>
    </row>
    <row r="563">
      <c r="E563" s="2"/>
    </row>
    <row r="564">
      <c r="E564" s="2"/>
    </row>
    <row r="565">
      <c r="E565" s="2"/>
    </row>
    <row r="566">
      <c r="E566" s="2"/>
    </row>
    <row r="567">
      <c r="E567" s="2"/>
    </row>
    <row r="568">
      <c r="E568" s="2"/>
    </row>
    <row r="569">
      <c r="E569" s="2"/>
    </row>
    <row r="570">
      <c r="E570" s="2"/>
    </row>
    <row r="571">
      <c r="E571" s="2"/>
    </row>
    <row r="572">
      <c r="E572" s="2"/>
    </row>
    <row r="573">
      <c r="E573" s="2"/>
    </row>
    <row r="574">
      <c r="E574" s="2"/>
    </row>
    <row r="575">
      <c r="E575" s="2"/>
    </row>
    <row r="576">
      <c r="E576" s="2"/>
    </row>
    <row r="577">
      <c r="E577" s="2"/>
    </row>
    <row r="578">
      <c r="E578" s="2"/>
    </row>
    <row r="579">
      <c r="E579" s="2"/>
    </row>
    <row r="580">
      <c r="E580" s="2"/>
    </row>
    <row r="581">
      <c r="E581" s="2"/>
    </row>
    <row r="582">
      <c r="E582" s="2"/>
    </row>
    <row r="583">
      <c r="E583" s="2"/>
    </row>
    <row r="584">
      <c r="E584" s="2"/>
    </row>
    <row r="585">
      <c r="E585" s="2"/>
    </row>
    <row r="586">
      <c r="E586" s="2"/>
    </row>
    <row r="587">
      <c r="E587" s="2"/>
    </row>
    <row r="588">
      <c r="E588" s="2"/>
    </row>
    <row r="589">
      <c r="E589" s="2"/>
    </row>
    <row r="590">
      <c r="E590" s="2"/>
    </row>
    <row r="591">
      <c r="E591" s="2"/>
    </row>
    <row r="592">
      <c r="E592" s="2"/>
    </row>
    <row r="593">
      <c r="E593" s="2"/>
    </row>
    <row r="594">
      <c r="E594" s="2"/>
    </row>
    <row r="595">
      <c r="E595" s="2"/>
    </row>
    <row r="596">
      <c r="E596" s="2"/>
    </row>
    <row r="597">
      <c r="E597" s="2"/>
    </row>
    <row r="598">
      <c r="E598" s="2"/>
    </row>
    <row r="599">
      <c r="E599" s="2"/>
    </row>
    <row r="600">
      <c r="E600" s="2"/>
    </row>
    <row r="601">
      <c r="E601" s="2"/>
    </row>
    <row r="602">
      <c r="E602" s="2"/>
    </row>
    <row r="603">
      <c r="E603" s="2"/>
    </row>
    <row r="604">
      <c r="E604" s="2"/>
    </row>
    <row r="605">
      <c r="E605" s="2"/>
    </row>
    <row r="606">
      <c r="E606" s="2"/>
    </row>
    <row r="607">
      <c r="E607" s="2"/>
    </row>
    <row r="608">
      <c r="E608" s="2"/>
    </row>
    <row r="609">
      <c r="E609" s="2"/>
    </row>
    <row r="610">
      <c r="E610" s="2"/>
    </row>
    <row r="611">
      <c r="E611" s="2"/>
    </row>
    <row r="612">
      <c r="E612" s="2"/>
    </row>
    <row r="613">
      <c r="E613" s="2"/>
    </row>
    <row r="614">
      <c r="E614" s="2"/>
    </row>
    <row r="615">
      <c r="E615" s="2"/>
    </row>
    <row r="616">
      <c r="E616" s="2"/>
    </row>
    <row r="617">
      <c r="E617" s="2"/>
    </row>
    <row r="618">
      <c r="E618" s="2"/>
    </row>
    <row r="619">
      <c r="E619" s="2"/>
    </row>
    <row r="620">
      <c r="E620" s="2"/>
    </row>
    <row r="621">
      <c r="E621" s="2"/>
    </row>
    <row r="622">
      <c r="E622" s="2"/>
    </row>
    <row r="623">
      <c r="E623" s="2"/>
    </row>
    <row r="624">
      <c r="E624" s="2"/>
    </row>
    <row r="625">
      <c r="E625" s="2"/>
    </row>
    <row r="626">
      <c r="E626" s="2"/>
    </row>
    <row r="627">
      <c r="E627" s="2"/>
    </row>
    <row r="628">
      <c r="E628" s="2"/>
    </row>
    <row r="629">
      <c r="E629" s="2"/>
    </row>
    <row r="630">
      <c r="E630" s="2"/>
    </row>
    <row r="631">
      <c r="E631" s="2"/>
    </row>
    <row r="632">
      <c r="E632" s="2"/>
    </row>
    <row r="633">
      <c r="E633" s="2"/>
    </row>
    <row r="634">
      <c r="E634" s="2"/>
    </row>
    <row r="635">
      <c r="E635" s="2"/>
    </row>
    <row r="636">
      <c r="E636" s="2"/>
    </row>
    <row r="637">
      <c r="E637" s="2"/>
    </row>
    <row r="638">
      <c r="E638" s="2"/>
    </row>
    <row r="639">
      <c r="E639" s="2"/>
    </row>
    <row r="640">
      <c r="E640" s="2"/>
    </row>
    <row r="641">
      <c r="E641" s="2"/>
    </row>
    <row r="642">
      <c r="E642" s="2"/>
    </row>
    <row r="643">
      <c r="E643" s="2"/>
    </row>
    <row r="644">
      <c r="E644" s="2"/>
    </row>
    <row r="645">
      <c r="E645" s="2"/>
    </row>
    <row r="646">
      <c r="E646" s="2"/>
    </row>
    <row r="647">
      <c r="E647" s="2"/>
    </row>
    <row r="648">
      <c r="E648" s="2"/>
    </row>
    <row r="649">
      <c r="E649" s="2"/>
    </row>
    <row r="650">
      <c r="E650" s="2"/>
    </row>
    <row r="651">
      <c r="E651" s="2"/>
    </row>
    <row r="652">
      <c r="E652" s="2"/>
    </row>
    <row r="653">
      <c r="E653" s="2"/>
    </row>
    <row r="654">
      <c r="E654" s="2"/>
    </row>
    <row r="655">
      <c r="E655" s="2"/>
    </row>
    <row r="656">
      <c r="E656" s="2"/>
    </row>
    <row r="657">
      <c r="E657" s="2"/>
    </row>
    <row r="658">
      <c r="E658" s="2"/>
    </row>
    <row r="659">
      <c r="E659" s="2"/>
    </row>
    <row r="660">
      <c r="E660" s="2"/>
    </row>
    <row r="661">
      <c r="E661" s="2"/>
    </row>
    <row r="662">
      <c r="E662" s="2"/>
    </row>
    <row r="663">
      <c r="E663" s="2"/>
    </row>
    <row r="664">
      <c r="E664" s="2"/>
    </row>
    <row r="665">
      <c r="E665" s="2"/>
    </row>
    <row r="666">
      <c r="E666" s="2"/>
    </row>
    <row r="667">
      <c r="E667" s="2"/>
    </row>
    <row r="668">
      <c r="E668" s="2"/>
    </row>
    <row r="669">
      <c r="E669" s="2"/>
    </row>
    <row r="670">
      <c r="E670" s="2"/>
    </row>
    <row r="671">
      <c r="E671" s="2"/>
    </row>
    <row r="672">
      <c r="E672" s="2"/>
    </row>
    <row r="673">
      <c r="E673" s="2"/>
    </row>
    <row r="674">
      <c r="E674" s="2"/>
    </row>
    <row r="675">
      <c r="E675" s="2"/>
    </row>
    <row r="676">
      <c r="E676" s="2"/>
    </row>
    <row r="677">
      <c r="E677" s="2"/>
    </row>
    <row r="678">
      <c r="E678" s="2"/>
    </row>
    <row r="679">
      <c r="E679" s="2"/>
    </row>
    <row r="680">
      <c r="E680" s="2"/>
    </row>
    <row r="681">
      <c r="E681" s="2"/>
    </row>
    <row r="682">
      <c r="E682" s="2"/>
    </row>
    <row r="683">
      <c r="E683" s="2"/>
    </row>
    <row r="684">
      <c r="E684" s="2"/>
    </row>
    <row r="685">
      <c r="E685" s="2"/>
    </row>
    <row r="686">
      <c r="E686" s="2"/>
    </row>
    <row r="687">
      <c r="E687" s="2"/>
    </row>
    <row r="688">
      <c r="E688" s="2"/>
    </row>
    <row r="689">
      <c r="E689" s="2"/>
    </row>
    <row r="690">
      <c r="E690" s="2"/>
    </row>
    <row r="691">
      <c r="E691" s="2"/>
    </row>
    <row r="692">
      <c r="E692" s="2"/>
    </row>
    <row r="693">
      <c r="E693" s="2"/>
    </row>
    <row r="694">
      <c r="E694" s="2"/>
    </row>
    <row r="695">
      <c r="E695" s="2"/>
    </row>
    <row r="696">
      <c r="E696" s="2"/>
    </row>
    <row r="697">
      <c r="E697" s="2"/>
    </row>
    <row r="698">
      <c r="E698" s="2"/>
    </row>
    <row r="699">
      <c r="E699" s="2"/>
    </row>
    <row r="700">
      <c r="E700" s="2"/>
    </row>
    <row r="701">
      <c r="E701" s="2"/>
    </row>
    <row r="702">
      <c r="E702" s="2"/>
    </row>
    <row r="703">
      <c r="E703" s="2"/>
    </row>
    <row r="704">
      <c r="E704" s="2"/>
    </row>
    <row r="705">
      <c r="E705" s="2"/>
    </row>
    <row r="706">
      <c r="E706" s="2"/>
    </row>
    <row r="707">
      <c r="E707" s="2"/>
    </row>
    <row r="708">
      <c r="E708" s="2"/>
    </row>
    <row r="709">
      <c r="E709" s="2"/>
    </row>
    <row r="710">
      <c r="E710" s="2"/>
    </row>
    <row r="711">
      <c r="E711" s="2"/>
    </row>
    <row r="712">
      <c r="E712" s="2"/>
    </row>
    <row r="713">
      <c r="E713" s="2"/>
    </row>
    <row r="714">
      <c r="E714" s="2"/>
    </row>
    <row r="715">
      <c r="E715" s="2"/>
    </row>
    <row r="716">
      <c r="E716" s="2"/>
    </row>
    <row r="717">
      <c r="E717" s="2"/>
    </row>
    <row r="718">
      <c r="E718" s="2"/>
    </row>
    <row r="719">
      <c r="E719" s="2"/>
    </row>
    <row r="720">
      <c r="E720" s="2"/>
    </row>
    <row r="721">
      <c r="E721" s="2"/>
    </row>
    <row r="722">
      <c r="E722" s="2"/>
    </row>
    <row r="723">
      <c r="E723" s="2"/>
    </row>
    <row r="724">
      <c r="E724" s="2"/>
    </row>
    <row r="725">
      <c r="E725" s="2"/>
    </row>
    <row r="726">
      <c r="E726" s="2"/>
    </row>
    <row r="727">
      <c r="E727" s="2"/>
    </row>
    <row r="728">
      <c r="E728" s="2"/>
    </row>
    <row r="729">
      <c r="E729" s="2"/>
    </row>
    <row r="730">
      <c r="E730" s="2"/>
    </row>
    <row r="731">
      <c r="E731" s="2"/>
    </row>
    <row r="732">
      <c r="E732" s="2"/>
    </row>
    <row r="733">
      <c r="E733" s="2"/>
    </row>
    <row r="734">
      <c r="E734" s="2"/>
    </row>
    <row r="735">
      <c r="E735" s="2"/>
    </row>
    <row r="736">
      <c r="E736" s="2"/>
    </row>
    <row r="737">
      <c r="E737" s="2"/>
    </row>
    <row r="738">
      <c r="E738" s="2"/>
    </row>
    <row r="739">
      <c r="E739" s="2"/>
    </row>
    <row r="740">
      <c r="E740" s="2"/>
    </row>
    <row r="741">
      <c r="E741" s="2"/>
    </row>
    <row r="742">
      <c r="E742" s="2"/>
    </row>
    <row r="743">
      <c r="E743" s="2"/>
    </row>
    <row r="744">
      <c r="E744" s="2"/>
    </row>
    <row r="745">
      <c r="E745" s="2"/>
    </row>
    <row r="746">
      <c r="E746" s="2"/>
    </row>
    <row r="747">
      <c r="E747" s="2"/>
    </row>
    <row r="748">
      <c r="E748" s="2"/>
    </row>
    <row r="749">
      <c r="E749" s="2"/>
    </row>
    <row r="750">
      <c r="E750" s="2"/>
    </row>
    <row r="751">
      <c r="E751" s="2"/>
    </row>
    <row r="752">
      <c r="E752" s="2"/>
    </row>
    <row r="753">
      <c r="E753" s="2"/>
    </row>
    <row r="754">
      <c r="E754" s="2"/>
    </row>
    <row r="755">
      <c r="E755" s="2"/>
    </row>
    <row r="756">
      <c r="E756" s="2"/>
    </row>
    <row r="757">
      <c r="E757" s="2"/>
    </row>
    <row r="758">
      <c r="E758" s="2"/>
    </row>
    <row r="759">
      <c r="E759" s="2"/>
    </row>
    <row r="760">
      <c r="E760" s="2"/>
    </row>
    <row r="761">
      <c r="E761" s="2"/>
    </row>
    <row r="762">
      <c r="E762" s="2"/>
    </row>
    <row r="763">
      <c r="E763" s="2"/>
    </row>
    <row r="764">
      <c r="E764" s="2"/>
    </row>
    <row r="765">
      <c r="E765" s="2"/>
    </row>
    <row r="766">
      <c r="E766" s="2"/>
    </row>
    <row r="767">
      <c r="E767" s="2"/>
    </row>
    <row r="768">
      <c r="E768" s="2"/>
    </row>
    <row r="769">
      <c r="E769" s="2"/>
    </row>
    <row r="770">
      <c r="E770" s="2"/>
    </row>
    <row r="771">
      <c r="E771" s="2"/>
    </row>
    <row r="772">
      <c r="E772" s="2"/>
    </row>
    <row r="773">
      <c r="E773" s="2"/>
    </row>
    <row r="774">
      <c r="E774" s="2"/>
    </row>
    <row r="775">
      <c r="E775" s="2"/>
    </row>
    <row r="776">
      <c r="E776" s="2"/>
    </row>
    <row r="777">
      <c r="E777" s="2"/>
    </row>
    <row r="778">
      <c r="E778" s="2"/>
    </row>
    <row r="779">
      <c r="E779" s="2"/>
    </row>
    <row r="780">
      <c r="E780" s="2"/>
    </row>
    <row r="781">
      <c r="E781" s="2"/>
    </row>
    <row r="782">
      <c r="E782" s="2"/>
    </row>
    <row r="783">
      <c r="E783" s="2"/>
    </row>
    <row r="784">
      <c r="E784" s="2"/>
    </row>
    <row r="785">
      <c r="E785" s="2"/>
    </row>
    <row r="786">
      <c r="E786" s="2"/>
    </row>
    <row r="787">
      <c r="E787" s="2"/>
    </row>
    <row r="788">
      <c r="E788" s="2"/>
    </row>
    <row r="789">
      <c r="E789" s="2"/>
    </row>
    <row r="790">
      <c r="E790" s="2"/>
    </row>
    <row r="791">
      <c r="E791" s="2"/>
    </row>
    <row r="792">
      <c r="E792" s="2"/>
    </row>
    <row r="793">
      <c r="E793" s="2"/>
    </row>
    <row r="794">
      <c r="E794" s="2"/>
    </row>
    <row r="795">
      <c r="E795" s="2"/>
    </row>
    <row r="796">
      <c r="E796" s="2"/>
    </row>
    <row r="797">
      <c r="E797" s="2"/>
    </row>
    <row r="798">
      <c r="E798" s="2"/>
    </row>
    <row r="799">
      <c r="E799" s="2"/>
    </row>
    <row r="800">
      <c r="E800" s="2"/>
    </row>
    <row r="801">
      <c r="E801" s="2"/>
    </row>
    <row r="802">
      <c r="E802" s="2"/>
    </row>
    <row r="803">
      <c r="E803" s="2"/>
    </row>
    <row r="804">
      <c r="E804" s="2"/>
    </row>
    <row r="805">
      <c r="E805" s="2"/>
    </row>
    <row r="806">
      <c r="E806" s="2"/>
    </row>
    <row r="807">
      <c r="E807" s="2"/>
    </row>
    <row r="808">
      <c r="E808" s="2"/>
    </row>
    <row r="809">
      <c r="E809" s="2"/>
    </row>
    <row r="810">
      <c r="E810" s="2"/>
    </row>
    <row r="811">
      <c r="E811" s="2"/>
    </row>
    <row r="812">
      <c r="E812" s="2"/>
    </row>
    <row r="813">
      <c r="E813" s="2"/>
    </row>
    <row r="814">
      <c r="E814" s="2"/>
    </row>
    <row r="815">
      <c r="E815" s="2"/>
    </row>
    <row r="816">
      <c r="E816" s="2"/>
    </row>
    <row r="817">
      <c r="E817" s="2"/>
    </row>
    <row r="818">
      <c r="E818" s="2"/>
    </row>
    <row r="819">
      <c r="E819" s="2"/>
    </row>
    <row r="820">
      <c r="E820" s="2"/>
    </row>
    <row r="821">
      <c r="E821" s="2"/>
    </row>
    <row r="822">
      <c r="E822" s="2"/>
    </row>
    <row r="823">
      <c r="E823" s="2"/>
    </row>
    <row r="824">
      <c r="E824" s="2"/>
    </row>
    <row r="825">
      <c r="E825" s="2"/>
    </row>
    <row r="826">
      <c r="E826" s="2"/>
    </row>
    <row r="827">
      <c r="E827" s="2"/>
    </row>
    <row r="828">
      <c r="E828" s="2"/>
    </row>
    <row r="829">
      <c r="E829" s="2"/>
    </row>
    <row r="830">
      <c r="E830" s="2"/>
    </row>
    <row r="831">
      <c r="E831" s="2"/>
    </row>
    <row r="832">
      <c r="E832" s="2"/>
    </row>
    <row r="833">
      <c r="E833" s="2"/>
    </row>
    <row r="834">
      <c r="E834" s="2"/>
    </row>
    <row r="835">
      <c r="E835" s="2"/>
    </row>
    <row r="836">
      <c r="E836" s="2"/>
    </row>
    <row r="837">
      <c r="E837" s="2"/>
    </row>
    <row r="838">
      <c r="E838" s="2"/>
    </row>
    <row r="839">
      <c r="E839" s="2"/>
    </row>
    <row r="840">
      <c r="E840" s="2"/>
    </row>
    <row r="841">
      <c r="E841" s="2"/>
    </row>
    <row r="842">
      <c r="E842" s="2"/>
    </row>
    <row r="843">
      <c r="E843" s="2"/>
    </row>
    <row r="844">
      <c r="E844" s="2"/>
    </row>
    <row r="845">
      <c r="E845" s="2"/>
    </row>
    <row r="846">
      <c r="E846" s="2"/>
    </row>
    <row r="847">
      <c r="E847" s="2"/>
    </row>
    <row r="848">
      <c r="E848" s="2"/>
    </row>
    <row r="849">
      <c r="E849" s="2"/>
    </row>
    <row r="850">
      <c r="E850" s="2"/>
    </row>
    <row r="851">
      <c r="E851" s="2"/>
    </row>
    <row r="852">
      <c r="E852" s="2"/>
    </row>
    <row r="853">
      <c r="E853" s="2"/>
    </row>
    <row r="854">
      <c r="E854" s="2"/>
    </row>
    <row r="855">
      <c r="E855" s="2"/>
    </row>
    <row r="856">
      <c r="E856" s="2"/>
    </row>
    <row r="857">
      <c r="E857" s="2"/>
    </row>
    <row r="858">
      <c r="E858" s="2"/>
    </row>
    <row r="859">
      <c r="E859" s="2"/>
    </row>
    <row r="860">
      <c r="E860" s="2"/>
    </row>
    <row r="861">
      <c r="E861" s="2"/>
    </row>
    <row r="862">
      <c r="E862" s="2"/>
    </row>
    <row r="863">
      <c r="E863" s="2"/>
    </row>
    <row r="864">
      <c r="E864" s="2"/>
    </row>
    <row r="865">
      <c r="E865" s="2"/>
    </row>
    <row r="866">
      <c r="E866" s="2"/>
    </row>
    <row r="867">
      <c r="E867" s="2"/>
    </row>
    <row r="868">
      <c r="E868" s="2"/>
    </row>
    <row r="869">
      <c r="E869" s="2"/>
    </row>
    <row r="870">
      <c r="E870" s="2"/>
    </row>
    <row r="871">
      <c r="E871" s="2"/>
    </row>
    <row r="872">
      <c r="E872" s="2"/>
    </row>
    <row r="873">
      <c r="E873" s="2"/>
    </row>
    <row r="874">
      <c r="E874" s="2"/>
    </row>
    <row r="875">
      <c r="E875" s="2"/>
    </row>
    <row r="876">
      <c r="E876" s="2"/>
    </row>
    <row r="877">
      <c r="E877" s="2"/>
    </row>
    <row r="878">
      <c r="E878" s="2"/>
    </row>
    <row r="879">
      <c r="E879" s="2"/>
    </row>
    <row r="880">
      <c r="E880" s="2"/>
    </row>
    <row r="881">
      <c r="E881" s="2"/>
    </row>
    <row r="882">
      <c r="E882" s="2"/>
    </row>
    <row r="883">
      <c r="E883" s="2"/>
    </row>
    <row r="884">
      <c r="E884" s="2"/>
    </row>
    <row r="885">
      <c r="E885" s="2"/>
    </row>
    <row r="886">
      <c r="E886" s="2"/>
    </row>
    <row r="887">
      <c r="E887" s="2"/>
    </row>
    <row r="888">
      <c r="E888" s="2"/>
    </row>
    <row r="889">
      <c r="E889" s="2"/>
    </row>
    <row r="890">
      <c r="E890" s="2"/>
    </row>
    <row r="891">
      <c r="E891" s="2"/>
    </row>
    <row r="892">
      <c r="E892" s="2"/>
    </row>
    <row r="893">
      <c r="E893" s="2"/>
    </row>
    <row r="894">
      <c r="E894" s="2"/>
    </row>
    <row r="895">
      <c r="E895" s="2"/>
    </row>
    <row r="896">
      <c r="E896" s="2"/>
    </row>
    <row r="897">
      <c r="E897" s="2"/>
    </row>
    <row r="898">
      <c r="E898" s="2"/>
    </row>
    <row r="899">
      <c r="E899" s="2"/>
    </row>
    <row r="900">
      <c r="E900" s="2"/>
    </row>
    <row r="901">
      <c r="E901" s="2"/>
    </row>
    <row r="902">
      <c r="E902" s="2"/>
    </row>
    <row r="903">
      <c r="E903" s="2"/>
    </row>
    <row r="904">
      <c r="E904" s="2"/>
    </row>
    <row r="905">
      <c r="E905" s="2"/>
    </row>
    <row r="906">
      <c r="E906" s="2"/>
    </row>
    <row r="907">
      <c r="E907" s="2"/>
    </row>
    <row r="908">
      <c r="E908" s="2"/>
    </row>
    <row r="909">
      <c r="E909" s="2"/>
    </row>
    <row r="910">
      <c r="E910" s="2"/>
    </row>
    <row r="911">
      <c r="E911" s="2"/>
    </row>
    <row r="912">
      <c r="E912" s="2"/>
    </row>
    <row r="913">
      <c r="E913" s="2"/>
    </row>
    <row r="914">
      <c r="E914" s="2"/>
    </row>
    <row r="915">
      <c r="E915" s="2"/>
    </row>
    <row r="916">
      <c r="E916" s="2"/>
    </row>
    <row r="917">
      <c r="E917" s="2"/>
    </row>
    <row r="918">
      <c r="E918" s="2"/>
    </row>
    <row r="919">
      <c r="E919" s="2"/>
    </row>
    <row r="920">
      <c r="E920" s="2"/>
    </row>
    <row r="921">
      <c r="E921" s="2"/>
    </row>
    <row r="922">
      <c r="E922" s="2"/>
    </row>
    <row r="923">
      <c r="E923" s="2"/>
    </row>
    <row r="924">
      <c r="E924" s="2"/>
    </row>
    <row r="925">
      <c r="E925" s="2"/>
    </row>
    <row r="926">
      <c r="E926" s="2"/>
    </row>
    <row r="927">
      <c r="E927" s="2"/>
    </row>
    <row r="928">
      <c r="E928" s="2"/>
    </row>
    <row r="929">
      <c r="E929" s="2"/>
    </row>
    <row r="930">
      <c r="E930" s="2"/>
    </row>
    <row r="931">
      <c r="E931" s="2"/>
    </row>
    <row r="932">
      <c r="E932" s="2"/>
    </row>
    <row r="933">
      <c r="E933" s="2"/>
    </row>
    <row r="934">
      <c r="E934" s="2"/>
    </row>
    <row r="935">
      <c r="E935" s="2"/>
    </row>
    <row r="936">
      <c r="E936" s="2"/>
    </row>
    <row r="937">
      <c r="E937" s="2"/>
    </row>
    <row r="938">
      <c r="E938" s="2"/>
    </row>
    <row r="939">
      <c r="E939" s="2"/>
    </row>
    <row r="940">
      <c r="E940" s="2"/>
    </row>
    <row r="941">
      <c r="E941" s="2"/>
    </row>
    <row r="942">
      <c r="E942" s="2"/>
    </row>
    <row r="943">
      <c r="E943" s="2"/>
    </row>
    <row r="944">
      <c r="E944" s="2"/>
    </row>
    <row r="945">
      <c r="E945" s="2"/>
    </row>
    <row r="946">
      <c r="E946" s="2"/>
    </row>
    <row r="947">
      <c r="E947" s="2"/>
    </row>
    <row r="948">
      <c r="E948" s="2"/>
    </row>
    <row r="949">
      <c r="E949" s="2"/>
    </row>
    <row r="950">
      <c r="E950" s="2"/>
    </row>
    <row r="951">
      <c r="E951" s="2"/>
    </row>
    <row r="952">
      <c r="E952" s="2"/>
    </row>
    <row r="953">
      <c r="E953" s="2"/>
    </row>
    <row r="954">
      <c r="E954" s="2"/>
    </row>
    <row r="955">
      <c r="E955" s="2"/>
    </row>
    <row r="956">
      <c r="E956" s="2"/>
    </row>
    <row r="957">
      <c r="E957" s="2"/>
    </row>
    <row r="958">
      <c r="E958" s="2"/>
    </row>
    <row r="959">
      <c r="E959" s="2"/>
    </row>
    <row r="960">
      <c r="E960" s="2"/>
    </row>
    <row r="961">
      <c r="E961" s="2"/>
    </row>
    <row r="962">
      <c r="E962" s="2"/>
    </row>
    <row r="963">
      <c r="E963" s="2"/>
    </row>
    <row r="964">
      <c r="E964" s="2"/>
    </row>
    <row r="965">
      <c r="E965" s="2"/>
    </row>
    <row r="966">
      <c r="E966" s="2"/>
    </row>
    <row r="967">
      <c r="E967" s="2"/>
    </row>
    <row r="968">
      <c r="E968" s="2"/>
    </row>
    <row r="969">
      <c r="E969" s="2"/>
    </row>
    <row r="970">
      <c r="E970" s="2"/>
    </row>
    <row r="971">
      <c r="E971" s="2"/>
    </row>
    <row r="972">
      <c r="E972" s="2"/>
    </row>
    <row r="973">
      <c r="E973" s="2"/>
    </row>
    <row r="974">
      <c r="E974" s="2"/>
    </row>
    <row r="975">
      <c r="E975" s="2"/>
    </row>
    <row r="976">
      <c r="E976" s="2"/>
    </row>
    <row r="977">
      <c r="E977" s="2"/>
    </row>
    <row r="978">
      <c r="E978" s="2"/>
    </row>
    <row r="979">
      <c r="E979" s="2"/>
    </row>
    <row r="980">
      <c r="E980" s="2"/>
    </row>
    <row r="981">
      <c r="E981" s="2"/>
    </row>
    <row r="982">
      <c r="E982" s="2"/>
    </row>
    <row r="983">
      <c r="E983" s="2"/>
    </row>
    <row r="984">
      <c r="E984" s="2"/>
    </row>
    <row r="985">
      <c r="E985" s="2"/>
    </row>
    <row r="986">
      <c r="E986" s="2"/>
    </row>
    <row r="987">
      <c r="E987" s="2"/>
    </row>
    <row r="988">
      <c r="E988" s="2"/>
    </row>
    <row r="989">
      <c r="E989" s="2"/>
    </row>
    <row r="990">
      <c r="E990" s="2"/>
    </row>
    <row r="991">
      <c r="E991" s="2"/>
    </row>
    <row r="992">
      <c r="E992" s="2"/>
    </row>
    <row r="993">
      <c r="E993" s="2"/>
    </row>
    <row r="994">
      <c r="E994" s="2"/>
    </row>
    <row r="995">
      <c r="E995" s="2"/>
    </row>
    <row r="996">
      <c r="E996" s="2"/>
    </row>
    <row r="997">
      <c r="E997" s="2"/>
    </row>
    <row r="998">
      <c r="E998" s="2"/>
    </row>
    <row r="999">
      <c r="E999" s="2"/>
    </row>
    <row r="1000">
      <c r="E1000" s="2"/>
    </row>
    <row r="1001">
      <c r="E1001" s="2"/>
    </row>
    <row r="1002">
      <c r="E1002" s="2"/>
    </row>
  </sheetData>
  <mergeCells count="21">
    <mergeCell ref="C12:D12"/>
    <mergeCell ref="C13:D13"/>
    <mergeCell ref="A5:B6"/>
    <mergeCell ref="C5:D5"/>
    <mergeCell ref="C6:D6"/>
    <mergeCell ref="C8:D8"/>
    <mergeCell ref="C10:D10"/>
    <mergeCell ref="A12:A15"/>
    <mergeCell ref="B12:B15"/>
    <mergeCell ref="A23:B23"/>
    <mergeCell ref="A24:B24"/>
    <mergeCell ref="A31:A32"/>
    <mergeCell ref="B31:B32"/>
    <mergeCell ref="C14:D14"/>
    <mergeCell ref="C15:D15"/>
    <mergeCell ref="C18:D18"/>
    <mergeCell ref="C19:D19"/>
    <mergeCell ref="C20:D20"/>
    <mergeCell ref="C21:D21"/>
    <mergeCell ref="C23:D23"/>
    <mergeCell ref="C32:D3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7.63"/>
    <col customWidth="1" min="3" max="3" width="18.0"/>
    <col customWidth="1" min="4" max="4" width="19.75"/>
    <col customWidth="1" min="5" max="5" width="18.25"/>
    <col customWidth="1" min="6" max="6" width="15.5"/>
  </cols>
  <sheetData>
    <row r="2">
      <c r="A2" s="3" t="s">
        <v>64</v>
      </c>
      <c r="B2" s="3" t="s">
        <v>65</v>
      </c>
      <c r="C2" s="3" t="s">
        <v>66</v>
      </c>
      <c r="D2" s="3" t="s">
        <v>67</v>
      </c>
    </row>
    <row r="3">
      <c r="A3" s="3" t="s">
        <v>42</v>
      </c>
      <c r="B3" s="3">
        <v>960.0</v>
      </c>
    </row>
    <row r="4">
      <c r="A4" s="3" t="s">
        <v>44</v>
      </c>
      <c r="B4" s="43">
        <v>35.5</v>
      </c>
      <c r="C4" s="3" t="s">
        <v>68</v>
      </c>
      <c r="D4" s="44">
        <v>0.3923611111111111</v>
      </c>
    </row>
    <row r="5">
      <c r="A5" s="3" t="s">
        <v>48</v>
      </c>
      <c r="B5" s="43">
        <v>64.3</v>
      </c>
      <c r="C5" s="3" t="s">
        <v>69</v>
      </c>
    </row>
    <row r="6">
      <c r="A6" s="3" t="s">
        <v>52</v>
      </c>
      <c r="B6" s="43">
        <v>78.69999999999999</v>
      </c>
      <c r="C6" s="3" t="s">
        <v>69</v>
      </c>
    </row>
    <row r="7">
      <c r="A7" s="3" t="s">
        <v>55</v>
      </c>
      <c r="B7" s="43">
        <v>93.1</v>
      </c>
      <c r="C7" s="3" t="s">
        <v>69</v>
      </c>
    </row>
    <row r="8">
      <c r="A8" s="3" t="s">
        <v>58</v>
      </c>
      <c r="B8" s="43">
        <v>112.3</v>
      </c>
      <c r="C8" s="3" t="s">
        <v>69</v>
      </c>
    </row>
    <row r="9">
      <c r="A9" s="3" t="s">
        <v>61</v>
      </c>
      <c r="B9" s="43">
        <v>6.700000000000003</v>
      </c>
      <c r="C9" s="3" t="s">
        <v>69</v>
      </c>
    </row>
    <row r="12">
      <c r="B12" s="3" t="s">
        <v>70</v>
      </c>
      <c r="C12" s="3">
        <v>250000.0</v>
      </c>
    </row>
    <row r="14">
      <c r="A14" s="3" t="s">
        <v>71</v>
      </c>
      <c r="B14" s="3" t="s">
        <v>72</v>
      </c>
      <c r="C14" s="3" t="s">
        <v>73</v>
      </c>
    </row>
    <row r="15">
      <c r="A15" s="3" t="s">
        <v>67</v>
      </c>
      <c r="B15" s="44">
        <v>0.3923611111111111</v>
      </c>
      <c r="C15" s="44">
        <v>0.3923611111111111</v>
      </c>
    </row>
    <row r="16">
      <c r="A16" s="3" t="s">
        <v>74</v>
      </c>
      <c r="B16" s="3" t="s">
        <v>75</v>
      </c>
      <c r="C16" s="3" t="s">
        <v>75</v>
      </c>
    </row>
    <row r="17">
      <c r="A17" s="3" t="s">
        <v>76</v>
      </c>
      <c r="B17" s="3">
        <v>1.0</v>
      </c>
      <c r="C17" s="3">
        <v>1.0</v>
      </c>
    </row>
    <row r="18">
      <c r="A18" s="3" t="s">
        <v>77</v>
      </c>
      <c r="B18" s="3" t="s">
        <v>78</v>
      </c>
      <c r="C18" s="3" t="s">
        <v>78</v>
      </c>
    </row>
    <row r="20">
      <c r="A20" s="3" t="s">
        <v>79</v>
      </c>
      <c r="B20" s="3" t="s">
        <v>80</v>
      </c>
      <c r="C20" s="3" t="s">
        <v>80</v>
      </c>
    </row>
    <row r="21">
      <c r="A21" s="3" t="s">
        <v>81</v>
      </c>
      <c r="B21" s="3" t="s">
        <v>82</v>
      </c>
      <c r="C21" s="3" t="s">
        <v>82</v>
      </c>
    </row>
    <row r="23">
      <c r="A23" s="3" t="s">
        <v>83</v>
      </c>
      <c r="B23" s="3" t="s">
        <v>84</v>
      </c>
      <c r="C23" s="3" t="s">
        <v>84</v>
      </c>
    </row>
    <row r="24">
      <c r="A24" s="3" t="s">
        <v>85</v>
      </c>
      <c r="B24" s="3">
        <v>45.0</v>
      </c>
    </row>
    <row r="26">
      <c r="A26" s="3" t="s">
        <v>81</v>
      </c>
      <c r="B26" s="3" t="s">
        <v>86</v>
      </c>
    </row>
    <row r="27">
      <c r="B27" s="3" t="s">
        <v>87</v>
      </c>
    </row>
    <row r="32">
      <c r="A32" s="3" t="s">
        <v>88</v>
      </c>
    </row>
    <row r="34">
      <c r="A34" s="3" t="s">
        <v>89</v>
      </c>
      <c r="B34" s="45">
        <v>1012.1</v>
      </c>
    </row>
    <row r="35">
      <c r="C35" s="3" t="s">
        <v>90</v>
      </c>
    </row>
    <row r="36">
      <c r="A36" s="45" t="s">
        <v>91</v>
      </c>
      <c r="B36" s="13">
        <f>MROUND(G38*(1+1%),0.05)</f>
        <v>1048.45</v>
      </c>
    </row>
    <row r="37">
      <c r="A37" s="3"/>
      <c r="B37" s="43"/>
    </row>
    <row r="38">
      <c r="A38" s="3" t="s">
        <v>92</v>
      </c>
      <c r="B38" s="43">
        <f>MROUND(B34*(1-2.5%),0.05)</f>
        <v>986.8</v>
      </c>
      <c r="C38" s="46">
        <v>45208.0</v>
      </c>
      <c r="D38" s="13" t="str">
        <f>TEXT(C38,"DDDD")</f>
        <v>Monday</v>
      </c>
      <c r="E38" s="3" t="s">
        <v>93</v>
      </c>
      <c r="F38" s="3" t="s">
        <v>94</v>
      </c>
      <c r="G38" s="14">
        <v>1038.05</v>
      </c>
    </row>
    <row r="39">
      <c r="E39" s="3" t="s">
        <v>95</v>
      </c>
      <c r="F39" s="46">
        <v>45208.0</v>
      </c>
      <c r="G39" s="3">
        <v>1009.5</v>
      </c>
    </row>
    <row r="40">
      <c r="A40" s="3" t="s">
        <v>96</v>
      </c>
      <c r="B40" s="13">
        <f>MROUND(B38*(1-2%),0.05)</f>
        <v>967.05</v>
      </c>
    </row>
    <row r="42">
      <c r="B42" s="3" t="s">
        <v>97</v>
      </c>
      <c r="D42" s="3" t="s">
        <v>98</v>
      </c>
      <c r="E42" s="3" t="s">
        <v>99</v>
      </c>
      <c r="F42" s="3" t="s">
        <v>100</v>
      </c>
      <c r="G42" s="3" t="s">
        <v>93</v>
      </c>
      <c r="H42" s="3" t="s">
        <v>95</v>
      </c>
    </row>
    <row r="43">
      <c r="A43" s="46">
        <v>45208.0</v>
      </c>
      <c r="B43" s="13" t="str">
        <f t="shared" ref="B43:B48" si="1">TEXT(A43,"DDDD")</f>
        <v>Monday</v>
      </c>
      <c r="C43" s="43">
        <v>986.8000000000001</v>
      </c>
      <c r="D43" s="13">
        <v>967.0500000000001</v>
      </c>
      <c r="E43" s="13">
        <v>1048.45</v>
      </c>
    </row>
    <row r="44">
      <c r="A44" s="46">
        <v>45209.0</v>
      </c>
      <c r="B44" s="13" t="str">
        <f t="shared" si="1"/>
        <v>Tuesday</v>
      </c>
      <c r="C44" s="43">
        <v>986.8000000000001</v>
      </c>
      <c r="D44" s="3" t="s">
        <v>101</v>
      </c>
      <c r="E44" s="3" t="s">
        <v>101</v>
      </c>
      <c r="F44" s="3" t="s">
        <v>102</v>
      </c>
      <c r="G44" s="14">
        <v>1038.05</v>
      </c>
      <c r="H44" s="3">
        <v>1009.5</v>
      </c>
    </row>
    <row r="45">
      <c r="A45" s="46">
        <v>45210.0</v>
      </c>
      <c r="B45" s="13" t="str">
        <f t="shared" si="1"/>
        <v>Wednesday</v>
      </c>
      <c r="C45" s="43">
        <v>986.8000000000001</v>
      </c>
      <c r="E45" s="3" t="s">
        <v>103</v>
      </c>
      <c r="G45" s="14">
        <v>1038.05</v>
      </c>
      <c r="H45" s="3">
        <v>1025.55</v>
      </c>
    </row>
    <row r="46">
      <c r="B46" s="13" t="str">
        <f t="shared" si="1"/>
        <v>Saturday</v>
      </c>
      <c r="C46" s="43">
        <v>986.8000000000001</v>
      </c>
    </row>
    <row r="47">
      <c r="B47" s="13" t="str">
        <f t="shared" si="1"/>
        <v>Saturday</v>
      </c>
      <c r="C47" s="43">
        <v>986.8000000000001</v>
      </c>
    </row>
    <row r="48">
      <c r="B48" s="13" t="str">
        <f t="shared" si="1"/>
        <v>Saturday</v>
      </c>
      <c r="C48" s="43">
        <v>986.8000000000001</v>
      </c>
    </row>
    <row r="51">
      <c r="B51" s="45"/>
    </row>
    <row r="52">
      <c r="B52" s="46">
        <v>45210.0</v>
      </c>
      <c r="C52" s="46">
        <v>45222.0</v>
      </c>
    </row>
    <row r="53">
      <c r="A53" s="3" t="s">
        <v>104</v>
      </c>
      <c r="B53" s="13">
        <f t="shared" ref="B53:C53" si="2">MROUND(B55*(1+2%),0.05)</f>
        <v>1069.4</v>
      </c>
      <c r="C53" s="13">
        <f t="shared" si="2"/>
        <v>1069.4</v>
      </c>
    </row>
    <row r="54">
      <c r="A54" s="3"/>
      <c r="B54" s="43"/>
      <c r="C54" s="43"/>
    </row>
    <row r="55">
      <c r="A55" s="3" t="s">
        <v>105</v>
      </c>
      <c r="B55" s="45">
        <v>1048.45</v>
      </c>
      <c r="C55" s="45">
        <v>1048.45</v>
      </c>
    </row>
    <row r="57">
      <c r="A57" s="3" t="s">
        <v>106</v>
      </c>
      <c r="B57" s="13">
        <f t="shared" ref="B57:C57" si="3">MROUND(B58*(1-1%),0.05)</f>
        <v>970.7</v>
      </c>
      <c r="C57" s="13">
        <f t="shared" si="3"/>
        <v>994.45</v>
      </c>
    </row>
    <row r="58">
      <c r="A58" s="3" t="s">
        <v>107</v>
      </c>
      <c r="B58" s="3">
        <v>980.5</v>
      </c>
      <c r="C58" s="3">
        <v>1004.5</v>
      </c>
    </row>
    <row r="60">
      <c r="C60" s="3" t="s">
        <v>108</v>
      </c>
    </row>
    <row r="62">
      <c r="B62" s="45"/>
    </row>
    <row r="64">
      <c r="A64" s="45" t="s">
        <v>91</v>
      </c>
      <c r="B64" s="13">
        <f>MROUND(G66*(1+1%),0.05)</f>
        <v>0</v>
      </c>
    </row>
    <row r="65">
      <c r="A65" s="3"/>
      <c r="B65" s="43"/>
    </row>
    <row r="66">
      <c r="A66" s="3" t="s">
        <v>92</v>
      </c>
      <c r="B66" s="45">
        <v>994.45</v>
      </c>
    </row>
    <row r="68">
      <c r="A68" s="3" t="s">
        <v>96</v>
      </c>
      <c r="B68" s="13">
        <f>MROUND(B66*(1-2%),0.05)</f>
        <v>974.55</v>
      </c>
    </row>
    <row r="70">
      <c r="A70" s="3" t="s">
        <v>100</v>
      </c>
      <c r="B70" s="3" t="s">
        <v>109</v>
      </c>
    </row>
    <row r="73">
      <c r="A73" s="3" t="s">
        <v>110</v>
      </c>
      <c r="B73" s="3" t="s">
        <v>111</v>
      </c>
    </row>
    <row r="75">
      <c r="A75" s="3" t="s">
        <v>112</v>
      </c>
      <c r="B75" s="3">
        <v>940.0</v>
      </c>
    </row>
    <row r="76">
      <c r="A76" s="3" t="s">
        <v>22</v>
      </c>
      <c r="B76" s="3">
        <v>550.0</v>
      </c>
    </row>
    <row r="77">
      <c r="A77" s="3" t="s">
        <v>113</v>
      </c>
      <c r="B77" s="13">
        <f>B75*B76</f>
        <v>517000</v>
      </c>
    </row>
    <row r="78">
      <c r="A78" s="3" t="s">
        <v>114</v>
      </c>
      <c r="B78" s="40">
        <v>0.03</v>
      </c>
    </row>
    <row r="79">
      <c r="A79" s="3" t="s">
        <v>115</v>
      </c>
      <c r="B79" s="13">
        <f>B77*B78</f>
        <v>15510</v>
      </c>
    </row>
    <row r="80">
      <c r="A80" s="3" t="s">
        <v>116</v>
      </c>
      <c r="B80" s="3">
        <v>14.0</v>
      </c>
    </row>
    <row r="81">
      <c r="A81" s="3" t="s">
        <v>117</v>
      </c>
      <c r="B81" s="13">
        <f>B79*B80</f>
        <v>217140</v>
      </c>
    </row>
    <row r="83">
      <c r="A83" s="3" t="s">
        <v>118</v>
      </c>
      <c r="B83" s="3">
        <v>25000.0</v>
      </c>
    </row>
    <row r="85">
      <c r="A85" s="3" t="s">
        <v>119</v>
      </c>
      <c r="B85" s="13">
        <f>B81+B83</f>
        <v>242140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21.88"/>
    <col customWidth="1" min="4" max="4" width="19.88"/>
  </cols>
  <sheetData>
    <row r="1">
      <c r="A1" s="47" t="s">
        <v>0</v>
      </c>
    </row>
    <row r="3">
      <c r="A3" s="3" t="s">
        <v>120</v>
      </c>
      <c r="B3" s="3" t="s">
        <v>121</v>
      </c>
    </row>
    <row r="4">
      <c r="A4" s="3" t="s">
        <v>122</v>
      </c>
      <c r="B4" s="3" t="s">
        <v>123</v>
      </c>
    </row>
    <row r="5">
      <c r="A5" s="3" t="s">
        <v>39</v>
      </c>
      <c r="B5" s="3" t="s">
        <v>124</v>
      </c>
    </row>
    <row r="6">
      <c r="A6" s="3" t="s">
        <v>125</v>
      </c>
      <c r="B6" s="3">
        <v>41.1</v>
      </c>
    </row>
    <row r="7">
      <c r="A7" s="3" t="s">
        <v>126</v>
      </c>
      <c r="B7" s="3" t="s">
        <v>127</v>
      </c>
    </row>
    <row r="9">
      <c r="A9" s="16" t="s">
        <v>128</v>
      </c>
      <c r="B9" s="16" t="s">
        <v>129</v>
      </c>
      <c r="D9" s="16" t="s">
        <v>130</v>
      </c>
      <c r="E9" s="16" t="s">
        <v>130</v>
      </c>
    </row>
    <row r="10">
      <c r="A10" s="16" t="s">
        <v>64</v>
      </c>
      <c r="B10" s="16" t="s">
        <v>65</v>
      </c>
      <c r="D10" s="16" t="s">
        <v>131</v>
      </c>
      <c r="E10" s="16" t="s">
        <v>132</v>
      </c>
    </row>
    <row r="11">
      <c r="A11" s="16" t="s">
        <v>42</v>
      </c>
      <c r="B11" s="16">
        <v>950.0</v>
      </c>
      <c r="D11" s="16">
        <v>630.0</v>
      </c>
      <c r="E11" s="16"/>
    </row>
    <row r="12">
      <c r="A12" s="16" t="s">
        <v>44</v>
      </c>
      <c r="B12" s="16">
        <v>41.1</v>
      </c>
      <c r="D12" s="16">
        <v>38.3</v>
      </c>
      <c r="E12" s="16"/>
    </row>
    <row r="13">
      <c r="A13" s="16" t="s">
        <v>133</v>
      </c>
      <c r="B13" s="16">
        <v>41.1</v>
      </c>
      <c r="D13" s="16"/>
      <c r="E13" s="16"/>
    </row>
    <row r="14">
      <c r="A14" s="16" t="s">
        <v>48</v>
      </c>
      <c r="B14" s="16">
        <v>69.6</v>
      </c>
      <c r="D14" s="16">
        <v>57.199999999999996</v>
      </c>
      <c r="E14" s="16"/>
    </row>
    <row r="15">
      <c r="A15" s="16" t="s">
        <v>52</v>
      </c>
      <c r="B15" s="16">
        <v>83.85</v>
      </c>
      <c r="D15" s="16">
        <v>66.64999999999999</v>
      </c>
      <c r="E15" s="16"/>
    </row>
    <row r="16">
      <c r="A16" s="16" t="s">
        <v>55</v>
      </c>
      <c r="B16" s="16">
        <v>98.1</v>
      </c>
      <c r="D16" s="16">
        <v>76.1</v>
      </c>
      <c r="E16" s="16"/>
    </row>
    <row r="17">
      <c r="A17" s="16" t="s">
        <v>58</v>
      </c>
      <c r="B17" s="16">
        <v>117.1</v>
      </c>
      <c r="D17" s="16">
        <v>88.69999999999999</v>
      </c>
      <c r="E17" s="16"/>
    </row>
    <row r="18">
      <c r="A18" s="16" t="s">
        <v>61</v>
      </c>
      <c r="B18" s="16">
        <v>12.600000000000001</v>
      </c>
      <c r="D18" s="16">
        <v>19.4</v>
      </c>
      <c r="E18" s="16"/>
    </row>
    <row r="19">
      <c r="A19" s="16" t="s">
        <v>126</v>
      </c>
      <c r="B19" s="16" t="s">
        <v>127</v>
      </c>
      <c r="D19" s="16"/>
      <c r="E19" s="16"/>
    </row>
    <row r="20">
      <c r="A20" s="16"/>
      <c r="B20" s="16"/>
      <c r="D20" s="16"/>
      <c r="E20" s="16"/>
    </row>
    <row r="22">
      <c r="B22" s="3" t="s">
        <v>134</v>
      </c>
    </row>
    <row r="23">
      <c r="A23" s="3" t="s">
        <v>135</v>
      </c>
      <c r="B23" s="3" t="s">
        <v>136</v>
      </c>
    </row>
    <row r="24">
      <c r="A24" s="3" t="s">
        <v>137</v>
      </c>
      <c r="B24" s="48">
        <v>0.3923611111111111</v>
      </c>
    </row>
    <row r="25">
      <c r="A25" s="3" t="s">
        <v>138</v>
      </c>
      <c r="B25" s="48">
        <v>0.3854166666666667</v>
      </c>
    </row>
    <row r="27">
      <c r="A27" s="3" t="s">
        <v>139</v>
      </c>
    </row>
    <row r="29">
      <c r="A29" s="3" t="s">
        <v>140</v>
      </c>
    </row>
    <row r="30">
      <c r="A30" s="3" t="s">
        <v>67</v>
      </c>
      <c r="B30" s="44">
        <v>0.3923611111111111</v>
      </c>
      <c r="C30" s="44"/>
    </row>
    <row r="31">
      <c r="A31" s="3" t="s">
        <v>74</v>
      </c>
      <c r="B31" s="3" t="s">
        <v>75</v>
      </c>
    </row>
    <row r="32">
      <c r="A32" s="3" t="s">
        <v>76</v>
      </c>
      <c r="B32" s="3">
        <v>1.0</v>
      </c>
    </row>
    <row r="33">
      <c r="A33" s="3" t="s">
        <v>77</v>
      </c>
      <c r="B33" s="3" t="s">
        <v>78</v>
      </c>
    </row>
    <row r="35">
      <c r="A35" s="3" t="s">
        <v>141</v>
      </c>
      <c r="B35" s="3" t="s">
        <v>142</v>
      </c>
    </row>
    <row r="36">
      <c r="A36" s="3" t="s">
        <v>143</v>
      </c>
      <c r="B36" s="3" t="s">
        <v>80</v>
      </c>
    </row>
    <row r="37">
      <c r="A37" s="3" t="s">
        <v>81</v>
      </c>
      <c r="B37" s="3" t="s">
        <v>144</v>
      </c>
    </row>
    <row r="39">
      <c r="A39" s="3" t="s">
        <v>141</v>
      </c>
      <c r="B39" s="3" t="s">
        <v>142</v>
      </c>
    </row>
    <row r="40">
      <c r="A40" s="3" t="s">
        <v>145</v>
      </c>
      <c r="B40" s="3" t="s">
        <v>84</v>
      </c>
    </row>
    <row r="41">
      <c r="A41" s="3" t="s">
        <v>81</v>
      </c>
      <c r="B41" s="3" t="s">
        <v>146</v>
      </c>
    </row>
    <row r="42">
      <c r="B42" s="3" t="s">
        <v>147</v>
      </c>
    </row>
    <row r="43">
      <c r="B43" s="3" t="s">
        <v>148</v>
      </c>
    </row>
    <row r="45">
      <c r="A45" s="3" t="s">
        <v>149</v>
      </c>
    </row>
    <row r="49">
      <c r="A49" s="3" t="s">
        <v>150</v>
      </c>
    </row>
    <row r="51">
      <c r="A51" s="3" t="s">
        <v>151</v>
      </c>
    </row>
    <row r="52">
      <c r="A52" s="3" t="s">
        <v>152</v>
      </c>
    </row>
    <row r="53">
      <c r="A53" s="3" t="s">
        <v>153</v>
      </c>
    </row>
    <row r="55">
      <c r="A55" s="3" t="s">
        <v>154</v>
      </c>
    </row>
    <row r="56">
      <c r="A56" s="3" t="s">
        <v>155</v>
      </c>
    </row>
    <row r="57">
      <c r="A57" s="3" t="s">
        <v>156</v>
      </c>
    </row>
    <row r="59">
      <c r="A59" s="3" t="s">
        <v>157</v>
      </c>
    </row>
    <row r="60">
      <c r="A60" s="3" t="s">
        <v>158</v>
      </c>
    </row>
    <row r="61">
      <c r="A61" s="3" t="s">
        <v>159</v>
      </c>
    </row>
    <row r="63">
      <c r="A63" s="3" t="s">
        <v>160</v>
      </c>
    </row>
    <row r="64">
      <c r="A64" s="3" t="s">
        <v>161</v>
      </c>
    </row>
    <row r="66">
      <c r="A66" s="3" t="s">
        <v>162</v>
      </c>
    </row>
    <row r="67">
      <c r="A67" s="3" t="s">
        <v>163</v>
      </c>
    </row>
    <row r="68">
      <c r="A68" s="3" t="s">
        <v>164</v>
      </c>
    </row>
    <row r="69">
      <c r="A69" s="3" t="s">
        <v>165</v>
      </c>
    </row>
    <row r="70">
      <c r="A70" s="3" t="s">
        <v>166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74E13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0"/>
    <col customWidth="1" min="2" max="2" width="9.0"/>
    <col customWidth="1" min="3" max="3" width="17.38"/>
    <col customWidth="1" min="4" max="4" width="1.75"/>
    <col customWidth="1" min="5" max="5" width="6.88"/>
    <col customWidth="1" min="6" max="6" width="26.75"/>
    <col customWidth="1" min="7" max="8" width="20.0"/>
    <col customWidth="1" min="9" max="9" width="6.0"/>
    <col customWidth="1" min="10" max="10" width="26.63"/>
    <col customWidth="1" min="11" max="11" width="19.5"/>
    <col customWidth="1" min="12" max="12" width="1.75"/>
  </cols>
  <sheetData>
    <row r="1" ht="25.5" customHeight="1">
      <c r="A1" s="49"/>
      <c r="B1" s="50" t="s">
        <v>167</v>
      </c>
      <c r="C1" s="51"/>
      <c r="D1" s="51"/>
      <c r="E1" s="51"/>
      <c r="F1" s="51"/>
      <c r="G1" s="51"/>
      <c r="H1" s="51"/>
      <c r="I1" s="51"/>
      <c r="J1" s="51"/>
      <c r="K1" s="51"/>
      <c r="L1" s="51"/>
    </row>
    <row r="2" ht="10.5" customHeight="1">
      <c r="A2" s="52"/>
      <c r="B2" s="9"/>
      <c r="C2" s="53"/>
      <c r="D2" s="53"/>
      <c r="E2" s="53"/>
      <c r="F2" s="53"/>
      <c r="G2" s="53"/>
      <c r="H2" s="53"/>
      <c r="I2" s="53"/>
      <c r="J2" s="53"/>
      <c r="K2" s="53"/>
      <c r="L2" s="53"/>
    </row>
    <row r="3" ht="39.75" customHeight="1">
      <c r="A3" s="54"/>
      <c r="B3" s="55" t="s">
        <v>168</v>
      </c>
      <c r="C3" s="55" t="s">
        <v>3</v>
      </c>
      <c r="D3" s="56"/>
      <c r="E3" s="57" t="s">
        <v>169</v>
      </c>
      <c r="F3" s="58"/>
      <c r="G3" s="58"/>
      <c r="H3" s="58"/>
      <c r="I3" s="58"/>
      <c r="J3" s="58"/>
      <c r="K3" s="58"/>
      <c r="L3" s="7"/>
    </row>
    <row r="4" ht="9.0" customHeight="1">
      <c r="A4" s="59"/>
      <c r="B4" s="59"/>
      <c r="C4" s="59"/>
      <c r="D4" s="60"/>
      <c r="E4" s="59"/>
      <c r="F4" s="59"/>
      <c r="G4" s="59"/>
      <c r="H4" s="59"/>
      <c r="I4" s="59"/>
      <c r="J4" s="59"/>
      <c r="K4" s="59"/>
      <c r="L4" s="60"/>
    </row>
    <row r="5">
      <c r="A5" s="61"/>
      <c r="B5" s="15" t="s">
        <v>170</v>
      </c>
      <c r="C5" s="16" t="s">
        <v>171</v>
      </c>
      <c r="D5" s="62"/>
      <c r="E5" s="63" t="s">
        <v>172</v>
      </c>
      <c r="F5" s="58"/>
      <c r="G5" s="58"/>
      <c r="H5" s="58"/>
      <c r="I5" s="58"/>
      <c r="J5" s="58"/>
      <c r="K5" s="58"/>
      <c r="L5" s="7"/>
    </row>
    <row r="6">
      <c r="A6" s="61"/>
      <c r="B6" s="15" t="s">
        <v>173</v>
      </c>
      <c r="C6" s="16" t="s">
        <v>174</v>
      </c>
      <c r="D6" s="62"/>
      <c r="E6" s="63" t="s">
        <v>175</v>
      </c>
      <c r="F6" s="58"/>
      <c r="G6" s="58"/>
      <c r="H6" s="58"/>
      <c r="I6" s="58"/>
      <c r="J6" s="58"/>
      <c r="K6" s="58"/>
      <c r="L6" s="7"/>
    </row>
    <row r="7" ht="9.0" customHeight="1">
      <c r="A7" s="12"/>
      <c r="B7" s="12"/>
      <c r="C7" s="12"/>
      <c r="D7" s="64"/>
      <c r="E7" s="12"/>
      <c r="F7" s="12"/>
      <c r="G7" s="12"/>
      <c r="H7" s="12"/>
      <c r="I7" s="12"/>
      <c r="J7" s="12"/>
      <c r="K7" s="12"/>
      <c r="L7" s="64"/>
    </row>
    <row r="8" ht="21.0" customHeight="1">
      <c r="A8" s="61"/>
      <c r="B8" s="4" t="s">
        <v>3</v>
      </c>
      <c r="C8" s="5"/>
      <c r="D8" s="65"/>
      <c r="E8" s="11" t="s">
        <v>176</v>
      </c>
      <c r="F8" s="58"/>
      <c r="G8" s="58"/>
      <c r="H8" s="58"/>
      <c r="I8" s="58"/>
      <c r="J8" s="7"/>
      <c r="K8" s="66"/>
      <c r="L8" s="65"/>
    </row>
    <row r="9" ht="21.0" customHeight="1">
      <c r="A9" s="61"/>
      <c r="B9" s="9"/>
      <c r="C9" s="10"/>
      <c r="D9" s="65"/>
      <c r="E9" s="11" t="s">
        <v>177</v>
      </c>
      <c r="F9" s="7"/>
      <c r="G9" s="67"/>
      <c r="H9" s="67"/>
      <c r="I9" s="11" t="s">
        <v>178</v>
      </c>
      <c r="J9" s="7"/>
      <c r="K9" s="66"/>
      <c r="L9" s="65"/>
    </row>
    <row r="10" ht="9.0" customHeight="1">
      <c r="A10" s="12"/>
      <c r="B10" s="12"/>
      <c r="C10" s="12"/>
      <c r="D10" s="64"/>
      <c r="E10" s="12"/>
      <c r="F10" s="12"/>
      <c r="G10" s="12"/>
      <c r="H10" s="12"/>
      <c r="I10" s="12"/>
      <c r="J10" s="12"/>
      <c r="K10" s="12"/>
      <c r="L10" s="64"/>
    </row>
    <row r="11">
      <c r="A11" s="68"/>
      <c r="B11" s="15" t="s">
        <v>9</v>
      </c>
      <c r="C11" s="16" t="s">
        <v>10</v>
      </c>
      <c r="D11" s="62"/>
      <c r="E11" s="17" t="s">
        <v>179</v>
      </c>
      <c r="F11" s="7"/>
      <c r="G11" s="69">
        <v>651.9</v>
      </c>
      <c r="H11" s="69"/>
      <c r="I11" s="17" t="s">
        <v>180</v>
      </c>
      <c r="J11" s="7"/>
      <c r="K11" s="28">
        <v>624.15</v>
      </c>
      <c r="L11" s="70"/>
    </row>
    <row r="12" ht="9.0" customHeight="1">
      <c r="A12" s="12"/>
      <c r="B12" s="12"/>
      <c r="C12" s="12"/>
      <c r="D12" s="64"/>
      <c r="E12" s="12"/>
      <c r="F12" s="12"/>
      <c r="G12" s="12"/>
      <c r="H12" s="12"/>
      <c r="I12" s="12"/>
      <c r="J12" s="12"/>
      <c r="K12" s="12"/>
      <c r="L12" s="64"/>
    </row>
    <row r="13" ht="22.5" customHeight="1">
      <c r="A13" s="68"/>
      <c r="B13" s="15" t="s">
        <v>14</v>
      </c>
      <c r="C13" s="16" t="s">
        <v>15</v>
      </c>
      <c r="D13" s="62"/>
      <c r="E13" s="17" t="s">
        <v>15</v>
      </c>
      <c r="F13" s="7"/>
      <c r="G13" s="69">
        <v>5.0</v>
      </c>
      <c r="H13" s="69"/>
      <c r="I13" s="17" t="s">
        <v>15</v>
      </c>
      <c r="J13" s="7"/>
      <c r="K13" s="28">
        <v>5.0</v>
      </c>
      <c r="L13" s="70"/>
    </row>
    <row r="14" ht="9.0" customHeight="1">
      <c r="A14" s="12"/>
      <c r="B14" s="12"/>
      <c r="C14" s="12"/>
      <c r="D14" s="64"/>
      <c r="E14" s="12"/>
      <c r="F14" s="12"/>
      <c r="G14" s="12"/>
      <c r="H14" s="12"/>
      <c r="I14" s="12"/>
      <c r="J14" s="12"/>
      <c r="K14" s="12"/>
      <c r="L14" s="64"/>
    </row>
    <row r="15" ht="68.25" customHeight="1">
      <c r="A15" s="12"/>
      <c r="B15" s="20" t="s">
        <v>16</v>
      </c>
      <c r="C15" s="21" t="s">
        <v>17</v>
      </c>
      <c r="D15" s="71"/>
      <c r="E15" s="22" t="s">
        <v>181</v>
      </c>
      <c r="F15" s="7"/>
      <c r="G15" s="72" t="s">
        <v>182</v>
      </c>
      <c r="H15" s="72"/>
      <c r="I15" s="22" t="s">
        <v>183</v>
      </c>
      <c r="J15" s="7"/>
      <c r="K15" s="73"/>
      <c r="L15" s="71"/>
    </row>
    <row r="16" ht="65.25" customHeight="1">
      <c r="A16" s="12"/>
      <c r="B16" s="24"/>
      <c r="C16" s="24"/>
      <c r="D16" s="71"/>
      <c r="E16" s="22" t="s">
        <v>184</v>
      </c>
      <c r="F16" s="7"/>
      <c r="G16" s="72" t="s">
        <v>185</v>
      </c>
      <c r="H16" s="72"/>
      <c r="I16" s="22" t="s">
        <v>186</v>
      </c>
      <c r="J16" s="7"/>
      <c r="K16" s="73"/>
      <c r="L16" s="71"/>
    </row>
    <row r="17" ht="9.0" customHeight="1">
      <c r="A17" s="12"/>
      <c r="B17" s="12"/>
      <c r="C17" s="12"/>
      <c r="D17" s="64"/>
      <c r="E17" s="12"/>
      <c r="F17" s="12"/>
      <c r="G17" s="12"/>
      <c r="H17" s="12"/>
      <c r="I17" s="12"/>
      <c r="J17" s="12"/>
      <c r="K17" s="12"/>
      <c r="L17" s="64"/>
    </row>
    <row r="18">
      <c r="A18" s="12"/>
      <c r="B18" s="15" t="s">
        <v>23</v>
      </c>
      <c r="C18" s="16" t="s">
        <v>24</v>
      </c>
      <c r="D18" s="28"/>
      <c r="E18" s="17" t="s">
        <v>25</v>
      </c>
      <c r="F18" s="7"/>
      <c r="G18" s="69">
        <f>1425*100</f>
        <v>142500</v>
      </c>
      <c r="H18" s="69"/>
      <c r="I18" s="17" t="s">
        <v>25</v>
      </c>
      <c r="J18" s="7"/>
      <c r="K18" s="69">
        <f>1425*100</f>
        <v>142500</v>
      </c>
      <c r="L18" s="71"/>
    </row>
    <row r="19" ht="60.75" customHeight="1">
      <c r="A19" s="74"/>
      <c r="B19" s="15" t="s">
        <v>187</v>
      </c>
      <c r="C19" s="75" t="s">
        <v>188</v>
      </c>
      <c r="D19" s="76"/>
      <c r="E19" s="77" t="s">
        <v>189</v>
      </c>
      <c r="F19" s="7"/>
      <c r="G19" s="78" t="s">
        <v>190</v>
      </c>
      <c r="H19" s="78"/>
      <c r="I19" s="77" t="s">
        <v>191</v>
      </c>
      <c r="J19" s="7"/>
      <c r="K19" s="79"/>
      <c r="L19" s="80"/>
    </row>
    <row r="20" ht="65.25" customHeight="1">
      <c r="A20" s="74"/>
      <c r="B20" s="29" t="s">
        <v>192</v>
      </c>
      <c r="C20" s="30" t="s">
        <v>27</v>
      </c>
      <c r="D20" s="76"/>
      <c r="E20" s="17" t="s">
        <v>193</v>
      </c>
      <c r="F20" s="58"/>
      <c r="G20" s="58"/>
      <c r="H20" s="58"/>
      <c r="I20" s="58"/>
      <c r="J20" s="7"/>
      <c r="K20" s="28"/>
      <c r="L20" s="80"/>
    </row>
    <row r="21" ht="72.0" customHeight="1">
      <c r="A21" s="74"/>
      <c r="B21" s="29" t="s">
        <v>194</v>
      </c>
      <c r="C21" s="75" t="s">
        <v>195</v>
      </c>
      <c r="D21" s="76"/>
      <c r="E21" s="17" t="s">
        <v>196</v>
      </c>
      <c r="F21" s="58"/>
      <c r="G21" s="58"/>
      <c r="H21" s="58"/>
      <c r="I21" s="58"/>
      <c r="J21" s="7"/>
      <c r="K21" s="28"/>
      <c r="L21" s="80"/>
    </row>
    <row r="22" ht="65.25" customHeight="1">
      <c r="A22" s="74"/>
      <c r="B22" s="29" t="s">
        <v>197</v>
      </c>
      <c r="C22" s="30" t="s">
        <v>33</v>
      </c>
      <c r="D22" s="76"/>
      <c r="E22" s="33" t="s">
        <v>198</v>
      </c>
      <c r="F22" s="58"/>
      <c r="G22" s="58"/>
      <c r="H22" s="58"/>
      <c r="I22" s="58"/>
      <c r="J22" s="7"/>
      <c r="K22" s="81"/>
      <c r="L22" s="80"/>
    </row>
    <row r="23" ht="9.0" customHeight="1">
      <c r="A23" s="12"/>
      <c r="B23" s="12"/>
      <c r="C23" s="12"/>
      <c r="D23" s="64"/>
      <c r="E23" s="12"/>
      <c r="F23" s="12"/>
      <c r="G23" s="12"/>
      <c r="H23" s="12"/>
      <c r="I23" s="12"/>
      <c r="J23" s="12"/>
      <c r="K23" s="12"/>
      <c r="L23" s="64"/>
    </row>
    <row r="24">
      <c r="A24" s="12"/>
      <c r="B24" s="34" t="s">
        <v>36</v>
      </c>
      <c r="C24" s="7"/>
      <c r="D24" s="82"/>
      <c r="E24" s="11" t="s">
        <v>176</v>
      </c>
      <c r="F24" s="58"/>
      <c r="G24" s="58"/>
      <c r="H24" s="58"/>
      <c r="I24" s="58"/>
      <c r="J24" s="7"/>
      <c r="K24" s="66"/>
      <c r="L24" s="83"/>
    </row>
    <row r="25">
      <c r="A25" s="12"/>
      <c r="B25" s="34" t="s">
        <v>38</v>
      </c>
      <c r="C25" s="7"/>
      <c r="D25" s="82"/>
      <c r="E25" s="35" t="s">
        <v>39</v>
      </c>
      <c r="F25" s="35" t="s">
        <v>199</v>
      </c>
      <c r="G25" s="35" t="s">
        <v>200</v>
      </c>
      <c r="H25" s="35"/>
      <c r="I25" s="35" t="s">
        <v>39</v>
      </c>
      <c r="J25" s="35" t="s">
        <v>201</v>
      </c>
      <c r="K25" s="84"/>
      <c r="L25" s="83"/>
    </row>
    <row r="26" ht="64.5" customHeight="1">
      <c r="A26" s="12"/>
      <c r="B26" s="15" t="s">
        <v>47</v>
      </c>
      <c r="C26" s="16" t="s">
        <v>44</v>
      </c>
      <c r="D26" s="79"/>
      <c r="E26" s="36" t="s">
        <v>45</v>
      </c>
      <c r="F26" s="36" t="s">
        <v>202</v>
      </c>
      <c r="G26" s="36" t="s">
        <v>203</v>
      </c>
      <c r="H26" s="36"/>
      <c r="I26" s="36" t="s">
        <v>45</v>
      </c>
      <c r="J26" s="36" t="s">
        <v>204</v>
      </c>
      <c r="K26" s="85"/>
      <c r="L26" s="86"/>
    </row>
    <row r="27" ht="45.0" customHeight="1">
      <c r="A27" s="12"/>
      <c r="B27" s="15" t="s">
        <v>51</v>
      </c>
      <c r="C27" s="16" t="s">
        <v>48</v>
      </c>
      <c r="D27" s="79"/>
      <c r="E27" s="38" t="s">
        <v>49</v>
      </c>
      <c r="F27" s="38" t="s">
        <v>205</v>
      </c>
      <c r="G27" s="38">
        <f t="shared" ref="G27:G30" si="1">38.3+H27</f>
        <v>57.2</v>
      </c>
      <c r="H27" s="38">
        <f>630*3%</f>
        <v>18.9</v>
      </c>
      <c r="I27" s="38" t="s">
        <v>49</v>
      </c>
      <c r="J27" s="38" t="s">
        <v>206</v>
      </c>
      <c r="K27" s="87"/>
      <c r="L27" s="86"/>
    </row>
    <row r="28" ht="45.0" customHeight="1">
      <c r="A28" s="12"/>
      <c r="B28" s="15" t="s">
        <v>54</v>
      </c>
      <c r="C28" s="16" t="s">
        <v>52</v>
      </c>
      <c r="D28" s="79"/>
      <c r="E28" s="38" t="s">
        <v>49</v>
      </c>
      <c r="F28" s="38" t="s">
        <v>207</v>
      </c>
      <c r="G28" s="38">
        <f t="shared" si="1"/>
        <v>66.65</v>
      </c>
      <c r="H28" s="38">
        <f>630*4.5%</f>
        <v>28.35</v>
      </c>
      <c r="I28" s="38" t="s">
        <v>49</v>
      </c>
      <c r="J28" s="38" t="s">
        <v>208</v>
      </c>
      <c r="K28" s="87"/>
      <c r="L28" s="86"/>
    </row>
    <row r="29" ht="45.0" customHeight="1">
      <c r="A29" s="12"/>
      <c r="B29" s="15" t="s">
        <v>57</v>
      </c>
      <c r="C29" s="16" t="s">
        <v>55</v>
      </c>
      <c r="D29" s="79"/>
      <c r="E29" s="38" t="s">
        <v>49</v>
      </c>
      <c r="F29" s="38" t="s">
        <v>209</v>
      </c>
      <c r="G29" s="38">
        <f t="shared" si="1"/>
        <v>76.1</v>
      </c>
      <c r="H29" s="38">
        <f>630*6%</f>
        <v>37.8</v>
      </c>
      <c r="I29" s="38" t="s">
        <v>49</v>
      </c>
      <c r="J29" s="38" t="s">
        <v>210</v>
      </c>
      <c r="K29" s="87"/>
      <c r="L29" s="86"/>
    </row>
    <row r="30" ht="45.0" customHeight="1">
      <c r="A30" s="12"/>
      <c r="B30" s="15" t="s">
        <v>60</v>
      </c>
      <c r="C30" s="16" t="s">
        <v>58</v>
      </c>
      <c r="D30" s="79"/>
      <c r="E30" s="38" t="s">
        <v>49</v>
      </c>
      <c r="F30" s="38" t="s">
        <v>211</v>
      </c>
      <c r="G30" s="38">
        <f t="shared" si="1"/>
        <v>88.7</v>
      </c>
      <c r="H30" s="38">
        <f>630*8%</f>
        <v>50.4</v>
      </c>
      <c r="I30" s="38" t="s">
        <v>49</v>
      </c>
      <c r="J30" s="38" t="s">
        <v>212</v>
      </c>
      <c r="K30" s="87"/>
      <c r="L30" s="86"/>
    </row>
    <row r="31" ht="83.25" customHeight="1">
      <c r="A31" s="12"/>
      <c r="B31" s="15" t="s">
        <v>213</v>
      </c>
      <c r="C31" s="16" t="s">
        <v>214</v>
      </c>
      <c r="D31" s="79"/>
      <c r="E31" s="38" t="s">
        <v>49</v>
      </c>
      <c r="F31" s="38" t="s">
        <v>215</v>
      </c>
      <c r="G31" s="38" t="s">
        <v>216</v>
      </c>
      <c r="H31" s="38">
        <f>630*3%</f>
        <v>18.9</v>
      </c>
      <c r="I31" s="38" t="s">
        <v>49</v>
      </c>
      <c r="J31" s="38" t="s">
        <v>217</v>
      </c>
      <c r="K31" s="87"/>
      <c r="L31" s="86"/>
    </row>
    <row r="32" ht="69.0" customHeight="1">
      <c r="A32" s="12"/>
      <c r="B32" s="15" t="s">
        <v>218</v>
      </c>
      <c r="C32" s="16" t="s">
        <v>219</v>
      </c>
      <c r="D32" s="79"/>
      <c r="E32" s="38" t="s">
        <v>49</v>
      </c>
      <c r="F32" s="38" t="s">
        <v>220</v>
      </c>
      <c r="G32" s="38" t="s">
        <v>221</v>
      </c>
      <c r="H32" s="38"/>
      <c r="I32" s="38" t="s">
        <v>49</v>
      </c>
      <c r="J32" s="38" t="s">
        <v>222</v>
      </c>
      <c r="K32" s="87"/>
      <c r="L32" s="86"/>
    </row>
    <row r="33" ht="11.25" customHeight="1">
      <c r="A33" s="12"/>
      <c r="B33" s="12"/>
      <c r="C33" s="42"/>
      <c r="D33" s="64"/>
      <c r="E33" s="12"/>
      <c r="F33" s="12"/>
      <c r="G33" s="12"/>
      <c r="H33" s="12"/>
      <c r="I33" s="12"/>
      <c r="J33" s="12"/>
      <c r="K33" s="12"/>
      <c r="L33" s="64"/>
    </row>
    <row r="34" ht="16.5" customHeight="1">
      <c r="A34" s="12"/>
      <c r="B34" s="88" t="s">
        <v>223</v>
      </c>
      <c r="C34" s="42"/>
      <c r="D34" s="64"/>
      <c r="E34" s="12"/>
      <c r="F34" s="12"/>
      <c r="G34" s="12"/>
      <c r="H34" s="12"/>
      <c r="I34" s="12"/>
      <c r="J34" s="12"/>
      <c r="K34" s="12"/>
      <c r="L34" s="64"/>
    </row>
    <row r="35" ht="21.0" customHeight="1">
      <c r="A35" s="12"/>
      <c r="B35" s="89" t="s">
        <v>224</v>
      </c>
    </row>
    <row r="36" ht="18.75" customHeight="1">
      <c r="A36" s="12"/>
      <c r="B36" s="90" t="s">
        <v>225</v>
      </c>
      <c r="C36" s="91"/>
      <c r="D36" s="92"/>
      <c r="E36" s="92"/>
      <c r="F36" s="92"/>
      <c r="G36" s="92"/>
      <c r="H36" s="92"/>
      <c r="I36" s="92"/>
      <c r="J36" s="92"/>
      <c r="K36" s="92"/>
      <c r="L36" s="92"/>
    </row>
    <row r="37" ht="21.0" customHeight="1">
      <c r="A37" s="12"/>
      <c r="B37" s="93" t="s">
        <v>226</v>
      </c>
      <c r="K37" s="93"/>
      <c r="L37" s="92"/>
    </row>
    <row r="38" ht="18.0" customHeight="1">
      <c r="A38" s="12"/>
      <c r="B38" s="93" t="s">
        <v>227</v>
      </c>
      <c r="K38" s="93"/>
      <c r="L38" s="92"/>
    </row>
    <row r="39" ht="16.5" customHeight="1">
      <c r="A39" s="12"/>
      <c r="B39" s="90" t="s">
        <v>228</v>
      </c>
      <c r="C39" s="91"/>
      <c r="D39" s="92"/>
      <c r="E39" s="92"/>
      <c r="F39" s="92"/>
      <c r="G39" s="92"/>
      <c r="H39" s="92"/>
      <c r="I39" s="92"/>
      <c r="J39" s="92"/>
      <c r="K39" s="92"/>
      <c r="L39" s="92"/>
    </row>
    <row r="40" ht="11.25" customHeight="1">
      <c r="A40" s="12"/>
      <c r="B40" s="94"/>
      <c r="C40" s="95"/>
      <c r="D40" s="94"/>
      <c r="E40" s="94"/>
      <c r="F40" s="94"/>
      <c r="G40" s="94"/>
      <c r="H40" s="94"/>
      <c r="I40" s="94"/>
      <c r="J40" s="94"/>
      <c r="K40" s="94"/>
      <c r="L40" s="94"/>
    </row>
    <row r="41" ht="11.25" customHeight="1">
      <c r="A41" s="12"/>
      <c r="B41" s="12"/>
      <c r="C41" s="42"/>
      <c r="D41" s="64"/>
      <c r="E41" s="12"/>
      <c r="F41" s="12"/>
      <c r="G41" s="12"/>
      <c r="H41" s="12"/>
      <c r="I41" s="12"/>
      <c r="J41" s="12"/>
      <c r="K41" s="12"/>
      <c r="L41" s="64"/>
    </row>
  </sheetData>
  <mergeCells count="31">
    <mergeCell ref="B8:C9"/>
    <mergeCell ref="E8:J8"/>
    <mergeCell ref="B1:L2"/>
    <mergeCell ref="E3:L3"/>
    <mergeCell ref="E5:L5"/>
    <mergeCell ref="E6:L6"/>
    <mergeCell ref="E13:F13"/>
    <mergeCell ref="E15:F15"/>
    <mergeCell ref="E18:F18"/>
    <mergeCell ref="E19:F19"/>
    <mergeCell ref="E9:F9"/>
    <mergeCell ref="I9:J9"/>
    <mergeCell ref="E11:F11"/>
    <mergeCell ref="I11:J11"/>
    <mergeCell ref="I13:J13"/>
    <mergeCell ref="B15:B16"/>
    <mergeCell ref="C15:C16"/>
    <mergeCell ref="B24:C24"/>
    <mergeCell ref="B25:C25"/>
    <mergeCell ref="E22:J22"/>
    <mergeCell ref="E24:J24"/>
    <mergeCell ref="B37:J37"/>
    <mergeCell ref="B38:J38"/>
    <mergeCell ref="B35:L35"/>
    <mergeCell ref="I15:J15"/>
    <mergeCell ref="E16:F16"/>
    <mergeCell ref="I16:J16"/>
    <mergeCell ref="I18:J18"/>
    <mergeCell ref="I19:J19"/>
    <mergeCell ref="E20:J20"/>
    <mergeCell ref="E21:J21"/>
  </mergeCells>
  <printOptions gridLines="1" horizontalCentered="1"/>
  <pageMargins bottom="0.19685039370078738" footer="0.0" header="0.0" left="0.19685039370078738" right="0.19685039370078738" top="0.19685039370078738"/>
  <pageSetup cellComments="atEnd" orientation="portrait" pageOrder="overThenDown" paperHeight="12.598425196850393in" paperWidth="11.811023622047244in"/>
  <drawing r:id="rId1"/>
</worksheet>
</file>