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F86E5B0-D953-430E-9EDC-6F017CF44DA4}" xr6:coauthVersionLast="43" xr6:coauthVersionMax="43" xr10:uidLastSave="{00000000-0000-0000-0000-000000000000}"/>
  <bookViews>
    <workbookView xWindow="-120" yWindow="-120" windowWidth="20730" windowHeight="11040" xr2:uid="{00000000-000D-0000-FFFF-FFFF00000000}"/>
  </bookViews>
  <sheets>
    <sheet name="SN" sheetId="3" r:id="rId1"/>
    <sheet name="Buffer" sheetId="10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16" i="3" l="1"/>
  <c r="E17" i="3" s="1"/>
  <c r="E9" i="3"/>
  <c r="E13" i="3" s="1"/>
  <c r="E14" i="3" s="1"/>
  <c r="F7" i="3"/>
  <c r="F16" i="3" s="1"/>
  <c r="F17" i="3" s="1"/>
  <c r="E7" i="3"/>
  <c r="D7" i="3"/>
  <c r="D16" i="3" s="1"/>
  <c r="D17" i="3" s="1"/>
  <c r="C7" i="3"/>
  <c r="C16" i="3" s="1"/>
  <c r="C17" i="3" s="1"/>
  <c r="B7" i="3"/>
  <c r="B16" i="3" s="1"/>
  <c r="B17" i="3" s="1"/>
  <c r="E19" i="3" l="1"/>
  <c r="E21" i="3" s="1"/>
  <c r="B9" i="3"/>
  <c r="F9" i="3"/>
  <c r="E11" i="3"/>
  <c r="C9" i="3"/>
  <c r="D9" i="3"/>
  <c r="F13" i="3" l="1"/>
  <c r="F14" i="3" s="1"/>
  <c r="F19" i="3" s="1"/>
  <c r="F21" i="3" s="1"/>
  <c r="F11" i="3"/>
  <c r="D13" i="3"/>
  <c r="D14" i="3" s="1"/>
  <c r="D19" i="3" s="1"/>
  <c r="D21" i="3" s="1"/>
  <c r="D11" i="3"/>
  <c r="B13" i="3"/>
  <c r="B14" i="3" s="1"/>
  <c r="B19" i="3" s="1"/>
  <c r="B21" i="3" s="1"/>
  <c r="B11" i="3"/>
  <c r="C11" i="3"/>
  <c r="C13" i="3"/>
  <c r="C14" i="3" s="1"/>
  <c r="C19" i="3" s="1"/>
  <c r="C21" i="3" s="1"/>
</calcChain>
</file>

<file path=xl/sharedStrings.xml><?xml version="1.0" encoding="utf-8"?>
<sst xmlns="http://schemas.openxmlformats.org/spreadsheetml/2006/main" count="70" uniqueCount="60">
  <si>
    <t>Option Buying Rules</t>
  </si>
  <si>
    <t>Particulars</t>
  </si>
  <si>
    <t>NO TGT</t>
  </si>
  <si>
    <t>TGT 2</t>
  </si>
  <si>
    <t>TGT 3</t>
  </si>
  <si>
    <t>TGT 4</t>
  </si>
  <si>
    <t>Monthly Stock Option Buy Risk Management</t>
  </si>
  <si>
    <t>Company Name</t>
  </si>
  <si>
    <t>VOLTAS</t>
  </si>
  <si>
    <t>Lot Size</t>
  </si>
  <si>
    <t>CMP</t>
  </si>
  <si>
    <t>Contract Value</t>
  </si>
  <si>
    <t>MSL %</t>
  </si>
  <si>
    <t>MSL Value</t>
  </si>
  <si>
    <t>Max Lot</t>
  </si>
  <si>
    <t>Risk Per Trade</t>
  </si>
  <si>
    <t>Max SL</t>
  </si>
  <si>
    <t>Max SL per Lot</t>
  </si>
  <si>
    <t>Max SL per Trade</t>
  </si>
  <si>
    <t>Margin %</t>
  </si>
  <si>
    <t>Margin per Lot</t>
  </si>
  <si>
    <t>Margin per Trade</t>
  </si>
  <si>
    <t>Total Capital</t>
  </si>
  <si>
    <t>TGT1</t>
  </si>
  <si>
    <t>TGT5</t>
  </si>
  <si>
    <t>SL HIT NO TGT</t>
  </si>
  <si>
    <t>-3% on 5 Lots</t>
  </si>
  <si>
    <t>SL HIT  TGT 1</t>
  </si>
  <si>
    <t>+3% on 1 Lot
-3% on 4 Lots</t>
  </si>
  <si>
    <t>SL HIT  TGT 2</t>
  </si>
  <si>
    <t>+3% on 1 Lot
+ 4.5% on 1 Lot
-3% on 3 Lots</t>
  </si>
  <si>
    <t>SL HIT  TGT 3</t>
  </si>
  <si>
    <t>+3% on 1 Lot
+ 4.5% on 1 Lot
+ 6% on 1 Lot
-3% on 2 Lots</t>
  </si>
  <si>
    <t>SL HIT  TGT 4</t>
  </si>
  <si>
    <t>+3% on 1 Lot
+ 4.5% on 1 Lot
+ 6% on 1 Lot
+8% ON 1 Lot
-3% on 1 Lots</t>
  </si>
  <si>
    <t>SL HIT  TGT 5</t>
  </si>
  <si>
    <t>Start Strike</t>
  </si>
  <si>
    <t>Expiry : To Be Traded</t>
  </si>
  <si>
    <t>Lots</t>
  </si>
  <si>
    <t>a%</t>
  </si>
  <si>
    <t>b%</t>
  </si>
  <si>
    <t>c%</t>
  </si>
  <si>
    <t>d%</t>
  </si>
  <si>
    <t>e%</t>
  </si>
  <si>
    <t>f%</t>
  </si>
  <si>
    <t>Favour g%</t>
  </si>
  <si>
    <t>Against g%</t>
  </si>
  <si>
    <t>OI</t>
  </si>
  <si>
    <t>Maximum Premium</t>
  </si>
  <si>
    <t>Minimum Premium</t>
  </si>
  <si>
    <t>Entry Buffer</t>
  </si>
  <si>
    <t>Target Buffer</t>
  </si>
  <si>
    <t>MSL Buffer</t>
  </si>
  <si>
    <t>TSL Buffer</t>
  </si>
  <si>
    <t>STOCKS</t>
  </si>
  <si>
    <t>Monthly : NEAR</t>
  </si>
  <si>
    <t>BANKNIFTY</t>
  </si>
  <si>
    <t>Weekly : WEEK 1</t>
  </si>
  <si>
    <t>NIFTY</t>
  </si>
  <si>
    <t>USDINR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</si>
</sst>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name val="Arial"/>
    </font>
    <font>
      <sz val="14"/>
      <color rgb="FF000000"/>
      <name val="Calibri"/>
    </font>
    <font>
      <b/>
      <sz val="14"/>
      <color rgb="FF000000"/>
      <name val="Calibri"/>
    </font>
    <font>
      <sz val="10"/>
      <color theme="1"/>
      <name val="Arial"/>
      <scheme val="minor"/>
    </font>
    <font>
      <b/>
      <i/>
      <sz val="20"/>
      <color theme="1"/>
      <name val="Calibri"/>
    </font>
    <font>
      <sz val="10"/>
      <color rgb="FF000000"/>
      <name val="Arial"/>
      <scheme val="minor"/>
    </font>
    <font>
      <sz val="14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BDD7EE"/>
        <bgColor rgb="FFBDD7EE"/>
      </patternFill>
    </fill>
  </fills>
  <borders count="19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4" fillId="0" borderId="0" xfId="0" applyFont="1" applyAlignment="1">
      <alignment vertical="center"/>
    </xf>
    <xf numFmtId="0" fontId="4" fillId="0" borderId="0" xfId="0" applyFont="1" applyAlignment="1"/>
    <xf numFmtId="0" fontId="4" fillId="0" borderId="0" xfId="0" applyFont="1"/>
    <xf numFmtId="9" fontId="4" fillId="0" borderId="0" xfId="0" applyNumberFormat="1" applyFont="1" applyAlignment="1"/>
    <xf numFmtId="0" fontId="4" fillId="0" borderId="0" xfId="0" quotePrefix="1" applyFont="1" applyAlignment="1"/>
    <xf numFmtId="0" fontId="5" fillId="0" borderId="0" xfId="0" applyFont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3" fontId="2" fillId="0" borderId="5" xfId="0" applyNumberFormat="1" applyFont="1" applyBorder="1" applyAlignment="1">
      <alignment horizontal="center" vertical="center"/>
    </xf>
    <xf numFmtId="9" fontId="2" fillId="0" borderId="3" xfId="0" applyNumberFormat="1" applyFont="1" applyBorder="1" applyAlignment="1">
      <alignment horizontal="center" vertical="center"/>
    </xf>
    <xf numFmtId="10" fontId="2" fillId="0" borderId="3" xfId="0" applyNumberFormat="1" applyFont="1" applyBorder="1" applyAlignment="1">
      <alignment horizontal="center" vertical="center"/>
    </xf>
    <xf numFmtId="10" fontId="2" fillId="0" borderId="4" xfId="0" applyNumberFormat="1" applyFont="1" applyBorder="1" applyAlignment="1">
      <alignment horizontal="center" vertical="center"/>
    </xf>
    <xf numFmtId="10" fontId="2" fillId="0" borderId="18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3" fontId="7" fillId="0" borderId="5" xfId="0" applyNumberFormat="1" applyFont="1" applyBorder="1" applyAlignment="1">
      <alignment horizontal="center" vertical="center"/>
    </xf>
    <xf numFmtId="9" fontId="7" fillId="0" borderId="3" xfId="0" applyNumberFormat="1" applyFont="1" applyBorder="1" applyAlignment="1">
      <alignment horizontal="center" vertical="center"/>
    </xf>
    <xf numFmtId="10" fontId="7" fillId="0" borderId="3" xfId="0" applyNumberFormat="1" applyFont="1" applyBorder="1" applyAlignment="1">
      <alignment horizontal="center" vertical="center"/>
    </xf>
    <xf numFmtId="10" fontId="7" fillId="0" borderId="4" xfId="0" applyNumberFormat="1" applyFont="1" applyBorder="1" applyAlignment="1">
      <alignment horizontal="center" vertical="center"/>
    </xf>
    <xf numFmtId="10" fontId="7" fillId="0" borderId="18" xfId="0" applyNumberFormat="1" applyFont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G31"/>
  <sheetViews>
    <sheetView tabSelected="1" workbookViewId="0">
      <selection activeCell="K7" sqref="K7"/>
    </sheetView>
  </sheetViews>
  <sheetFormatPr defaultColWidth="12.5703125" defaultRowHeight="15.75" customHeight="1" x14ac:dyDescent="0.2"/>
  <cols>
    <col min="1" max="1" width="19.28515625" customWidth="1"/>
    <col min="2" max="2" width="12.7109375" customWidth="1"/>
  </cols>
  <sheetData>
    <row r="2" spans="1:6" x14ac:dyDescent="0.2">
      <c r="A2" s="2" t="s">
        <v>6</v>
      </c>
    </row>
    <row r="4" spans="1:6" x14ac:dyDescent="0.2">
      <c r="A4" s="2" t="s">
        <v>7</v>
      </c>
      <c r="B4" s="2" t="s">
        <v>8</v>
      </c>
    </row>
    <row r="5" spans="1:6" x14ac:dyDescent="0.2">
      <c r="A5" s="2" t="s">
        <v>9</v>
      </c>
      <c r="B5" s="2">
        <v>600</v>
      </c>
      <c r="C5" s="2">
        <v>600</v>
      </c>
      <c r="D5" s="2">
        <v>600</v>
      </c>
      <c r="E5" s="2">
        <v>600</v>
      </c>
      <c r="F5" s="2">
        <v>600</v>
      </c>
    </row>
    <row r="6" spans="1:6" x14ac:dyDescent="0.2">
      <c r="A6" s="2" t="s">
        <v>10</v>
      </c>
      <c r="B6" s="2">
        <v>875</v>
      </c>
      <c r="C6" s="2">
        <v>875</v>
      </c>
      <c r="D6" s="2">
        <v>875</v>
      </c>
      <c r="E6" s="2">
        <v>875</v>
      </c>
      <c r="F6" s="2">
        <v>875</v>
      </c>
    </row>
    <row r="7" spans="1:6" x14ac:dyDescent="0.2">
      <c r="A7" s="2" t="s">
        <v>11</v>
      </c>
      <c r="B7" s="3">
        <f t="shared" ref="B7:F7" si="0">B5*B6</f>
        <v>525000</v>
      </c>
      <c r="C7" s="3">
        <f t="shared" si="0"/>
        <v>525000</v>
      </c>
      <c r="D7" s="3">
        <f t="shared" si="0"/>
        <v>525000</v>
      </c>
      <c r="E7" s="3">
        <f t="shared" si="0"/>
        <v>525000</v>
      </c>
      <c r="F7" s="3">
        <f t="shared" si="0"/>
        <v>525000</v>
      </c>
    </row>
    <row r="8" spans="1:6" x14ac:dyDescent="0.2">
      <c r="A8" s="2" t="s">
        <v>12</v>
      </c>
      <c r="B8" s="4">
        <v>0.03</v>
      </c>
      <c r="C8" s="4">
        <v>0.03</v>
      </c>
      <c r="D8" s="4">
        <v>0.03</v>
      </c>
      <c r="E8" s="4">
        <v>0.03</v>
      </c>
      <c r="F8" s="4">
        <v>0.03</v>
      </c>
    </row>
    <row r="9" spans="1:6" x14ac:dyDescent="0.2">
      <c r="A9" s="2" t="s">
        <v>13</v>
      </c>
      <c r="B9" s="3">
        <f t="shared" ref="B9:F9" si="1">B7*B8</f>
        <v>15750</v>
      </c>
      <c r="C9" s="3">
        <f t="shared" si="1"/>
        <v>15750</v>
      </c>
      <c r="D9" s="3">
        <f t="shared" si="1"/>
        <v>15750</v>
      </c>
      <c r="E9" s="3">
        <f t="shared" si="1"/>
        <v>15750</v>
      </c>
      <c r="F9" s="3">
        <f t="shared" si="1"/>
        <v>15750</v>
      </c>
    </row>
    <row r="10" spans="1:6" x14ac:dyDescent="0.2">
      <c r="A10" s="2" t="s">
        <v>14</v>
      </c>
      <c r="B10" s="2">
        <v>5</v>
      </c>
      <c r="C10" s="2">
        <v>1</v>
      </c>
      <c r="D10" s="2">
        <v>2</v>
      </c>
      <c r="E10" s="2">
        <v>3</v>
      </c>
      <c r="F10" s="2">
        <v>4</v>
      </c>
    </row>
    <row r="11" spans="1:6" x14ac:dyDescent="0.2">
      <c r="A11" s="2" t="s">
        <v>15</v>
      </c>
      <c r="B11" s="3">
        <f t="shared" ref="B11:F11" si="2">B9*B10</f>
        <v>78750</v>
      </c>
      <c r="C11" s="3">
        <f t="shared" si="2"/>
        <v>15750</v>
      </c>
      <c r="D11" s="3">
        <f t="shared" si="2"/>
        <v>31500</v>
      </c>
      <c r="E11" s="3">
        <f t="shared" si="2"/>
        <v>47250</v>
      </c>
      <c r="F11" s="3">
        <f t="shared" si="2"/>
        <v>63000</v>
      </c>
    </row>
    <row r="12" spans="1:6" x14ac:dyDescent="0.2">
      <c r="A12" s="2" t="s">
        <v>16</v>
      </c>
      <c r="B12" s="2">
        <v>14</v>
      </c>
      <c r="C12" s="2">
        <v>14</v>
      </c>
      <c r="D12" s="2">
        <v>14</v>
      </c>
      <c r="E12" s="2">
        <v>14</v>
      </c>
      <c r="F12" s="2">
        <v>14</v>
      </c>
    </row>
    <row r="13" spans="1:6" x14ac:dyDescent="0.2">
      <c r="A13" s="2" t="s">
        <v>17</v>
      </c>
      <c r="B13" s="3">
        <f t="shared" ref="B13:F13" si="3">B9*B12</f>
        <v>220500</v>
      </c>
      <c r="C13" s="3">
        <f t="shared" si="3"/>
        <v>220500</v>
      </c>
      <c r="D13" s="3">
        <f t="shared" si="3"/>
        <v>220500</v>
      </c>
      <c r="E13" s="3">
        <f t="shared" si="3"/>
        <v>220500</v>
      </c>
      <c r="F13" s="3">
        <f t="shared" si="3"/>
        <v>220500</v>
      </c>
    </row>
    <row r="14" spans="1:6" x14ac:dyDescent="0.2">
      <c r="A14" s="2" t="s">
        <v>18</v>
      </c>
      <c r="B14" s="3">
        <f t="shared" ref="B14:F14" si="4">B13*B10</f>
        <v>1102500</v>
      </c>
      <c r="C14" s="3">
        <f t="shared" si="4"/>
        <v>220500</v>
      </c>
      <c r="D14" s="3">
        <f t="shared" si="4"/>
        <v>441000</v>
      </c>
      <c r="E14" s="3">
        <f t="shared" si="4"/>
        <v>661500</v>
      </c>
      <c r="F14" s="3">
        <f t="shared" si="4"/>
        <v>882000</v>
      </c>
    </row>
    <row r="15" spans="1:6" x14ac:dyDescent="0.2">
      <c r="A15" s="2" t="s">
        <v>19</v>
      </c>
      <c r="B15" s="4">
        <v>0.1</v>
      </c>
      <c r="C15" s="4">
        <v>0.1</v>
      </c>
      <c r="D15" s="4">
        <v>0.1</v>
      </c>
      <c r="E15" s="4">
        <v>0.1</v>
      </c>
      <c r="F15" s="4">
        <v>0.1</v>
      </c>
    </row>
    <row r="16" spans="1:6" x14ac:dyDescent="0.2">
      <c r="A16" s="2" t="s">
        <v>20</v>
      </c>
      <c r="B16" s="3">
        <f t="shared" ref="B16:F16" si="5">B7*B15</f>
        <v>52500</v>
      </c>
      <c r="C16" s="3">
        <f t="shared" si="5"/>
        <v>52500</v>
      </c>
      <c r="D16" s="3">
        <f t="shared" si="5"/>
        <v>52500</v>
      </c>
      <c r="E16" s="3">
        <f t="shared" si="5"/>
        <v>52500</v>
      </c>
      <c r="F16" s="3">
        <f t="shared" si="5"/>
        <v>52500</v>
      </c>
    </row>
    <row r="17" spans="1:7" x14ac:dyDescent="0.2">
      <c r="A17" s="2" t="s">
        <v>21</v>
      </c>
      <c r="B17" s="3">
        <f t="shared" ref="B17:F17" si="6">B16*B10</f>
        <v>262500</v>
      </c>
      <c r="C17" s="3">
        <f t="shared" si="6"/>
        <v>52500</v>
      </c>
      <c r="D17" s="3">
        <f t="shared" si="6"/>
        <v>105000</v>
      </c>
      <c r="E17" s="3">
        <f t="shared" si="6"/>
        <v>157500</v>
      </c>
      <c r="F17" s="3">
        <f t="shared" si="6"/>
        <v>210000</v>
      </c>
    </row>
    <row r="19" spans="1:7" x14ac:dyDescent="0.2">
      <c r="A19" s="2" t="s">
        <v>22</v>
      </c>
      <c r="B19" s="3">
        <f t="shared" ref="B19:F19" si="7">B17+B14</f>
        <v>1365000</v>
      </c>
      <c r="C19" s="3">
        <f t="shared" si="7"/>
        <v>273000</v>
      </c>
      <c r="D19" s="3">
        <f t="shared" si="7"/>
        <v>546000</v>
      </c>
      <c r="E19" s="3">
        <f t="shared" si="7"/>
        <v>819000</v>
      </c>
      <c r="F19" s="3">
        <f t="shared" si="7"/>
        <v>1092000</v>
      </c>
    </row>
    <row r="21" spans="1:7" x14ac:dyDescent="0.2">
      <c r="B21" s="3">
        <f t="shared" ref="B21:F21" si="8">B19/1</f>
        <v>1365000</v>
      </c>
      <c r="C21" s="3">
        <f t="shared" si="8"/>
        <v>273000</v>
      </c>
      <c r="D21" s="3">
        <f t="shared" si="8"/>
        <v>546000</v>
      </c>
      <c r="E21" s="3">
        <f t="shared" si="8"/>
        <v>819000</v>
      </c>
      <c r="F21" s="3">
        <f t="shared" si="8"/>
        <v>1092000</v>
      </c>
    </row>
    <row r="25" spans="1:7" x14ac:dyDescent="0.2">
      <c r="B25" s="2" t="s">
        <v>2</v>
      </c>
      <c r="C25" s="2" t="s">
        <v>23</v>
      </c>
      <c r="D25" s="2" t="s">
        <v>3</v>
      </c>
      <c r="E25" s="2" t="s">
        <v>4</v>
      </c>
      <c r="F25" s="2" t="s">
        <v>5</v>
      </c>
      <c r="G25" s="2" t="s">
        <v>24</v>
      </c>
    </row>
    <row r="26" spans="1:7" x14ac:dyDescent="0.2">
      <c r="A26" s="2" t="s">
        <v>25</v>
      </c>
      <c r="B26" s="2" t="s">
        <v>26</v>
      </c>
    </row>
    <row r="27" spans="1:7" x14ac:dyDescent="0.2">
      <c r="A27" s="2" t="s">
        <v>27</v>
      </c>
      <c r="C27" s="5" t="s">
        <v>28</v>
      </c>
    </row>
    <row r="28" spans="1:7" x14ac:dyDescent="0.2">
      <c r="A28" s="2" t="s">
        <v>29</v>
      </c>
      <c r="D28" s="5" t="s">
        <v>30</v>
      </c>
    </row>
    <row r="29" spans="1:7" x14ac:dyDescent="0.2">
      <c r="A29" s="2" t="s">
        <v>31</v>
      </c>
      <c r="E29" s="5" t="s">
        <v>32</v>
      </c>
    </row>
    <row r="30" spans="1:7" x14ac:dyDescent="0.2">
      <c r="A30" s="2" t="s">
        <v>33</v>
      </c>
      <c r="F30" s="5" t="s">
        <v>34</v>
      </c>
    </row>
    <row r="31" spans="1:7" x14ac:dyDescent="0.2">
      <c r="A31" s="2" t="s">
        <v>35</v>
      </c>
      <c r="G31" s="5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  <pageSetUpPr fitToPage="1"/>
  </sheetPr>
  <dimension ref="A1:M12"/>
  <sheetViews>
    <sheetView showGridLines="0" topLeftCell="B1" workbookViewId="0"/>
  </sheetViews>
  <sheetFormatPr defaultColWidth="12.5703125" defaultRowHeight="15.75" customHeight="1" x14ac:dyDescent="0.2"/>
  <cols>
    <col min="1" max="1" width="12.5703125" hidden="1"/>
    <col min="2" max="2" width="12.85546875" customWidth="1"/>
    <col min="3" max="3" width="21" customWidth="1"/>
    <col min="4" max="4" width="5" customWidth="1"/>
    <col min="5" max="5" width="11.42578125" customWidth="1"/>
    <col min="6" max="6" width="10.5703125" customWidth="1"/>
    <col min="7" max="7" width="10.28515625" customWidth="1"/>
    <col min="8" max="8" width="12.28515625" customWidth="1"/>
    <col min="9" max="9" width="8" customWidth="1"/>
    <col min="10" max="10" width="11.42578125" customWidth="1"/>
    <col min="11" max="11" width="10.85546875" customWidth="1"/>
    <col min="12" max="12" width="11.5703125" customWidth="1"/>
  </cols>
  <sheetData>
    <row r="1" spans="1:13" ht="26.25" x14ac:dyDescent="0.2"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3" ht="12.75" x14ac:dyDescent="0.2">
      <c r="B2" s="31" t="s">
        <v>0</v>
      </c>
      <c r="C2" s="32"/>
      <c r="D2" s="32"/>
      <c r="E2" s="32"/>
      <c r="F2" s="32"/>
      <c r="G2" s="32"/>
      <c r="H2" s="32"/>
      <c r="I2" s="32"/>
      <c r="J2" s="32"/>
      <c r="K2" s="32"/>
      <c r="L2" s="33"/>
    </row>
    <row r="4" spans="1:13" ht="24" customHeight="1" x14ac:dyDescent="0.2">
      <c r="A4" s="1"/>
      <c r="B4" s="7" t="s">
        <v>1</v>
      </c>
      <c r="C4" s="8" t="s">
        <v>37</v>
      </c>
      <c r="D4" s="8" t="s">
        <v>38</v>
      </c>
      <c r="E4" s="9" t="s">
        <v>39</v>
      </c>
      <c r="F4" s="9" t="s">
        <v>40</v>
      </c>
      <c r="G4" s="9" t="s">
        <v>41</v>
      </c>
      <c r="H4" s="9" t="s">
        <v>42</v>
      </c>
      <c r="I4" s="9" t="s">
        <v>43</v>
      </c>
      <c r="J4" s="9" t="s">
        <v>44</v>
      </c>
      <c r="K4" s="10" t="s">
        <v>45</v>
      </c>
      <c r="L4" s="11" t="s">
        <v>46</v>
      </c>
      <c r="M4" s="1"/>
    </row>
    <row r="5" spans="1:13" ht="75" x14ac:dyDescent="0.2">
      <c r="A5" s="12"/>
      <c r="B5" s="13"/>
      <c r="C5" s="14"/>
      <c r="D5" s="15" t="s">
        <v>47</v>
      </c>
      <c r="E5" s="15" t="s">
        <v>36</v>
      </c>
      <c r="F5" s="15" t="s">
        <v>48</v>
      </c>
      <c r="G5" s="15" t="s">
        <v>49</v>
      </c>
      <c r="H5" s="15" t="s">
        <v>50</v>
      </c>
      <c r="I5" s="15" t="s">
        <v>51</v>
      </c>
      <c r="J5" s="15" t="s">
        <v>52</v>
      </c>
      <c r="K5" s="16" t="s">
        <v>53</v>
      </c>
      <c r="L5" s="17" t="s">
        <v>53</v>
      </c>
      <c r="M5" s="12"/>
    </row>
    <row r="6" spans="1:13" ht="24" customHeight="1" x14ac:dyDescent="0.2">
      <c r="A6" s="1"/>
      <c r="B6" s="18" t="s">
        <v>54</v>
      </c>
      <c r="C6" s="19" t="s">
        <v>55</v>
      </c>
      <c r="D6" s="20">
        <v>100</v>
      </c>
      <c r="E6" s="21">
        <v>0.1</v>
      </c>
      <c r="F6" s="22">
        <v>0.04</v>
      </c>
      <c r="G6" s="22">
        <v>0.03</v>
      </c>
      <c r="H6" s="22">
        <v>0.1</v>
      </c>
      <c r="I6" s="22">
        <v>0.6</v>
      </c>
      <c r="J6" s="22">
        <v>0.6</v>
      </c>
      <c r="K6" s="23">
        <v>0.1</v>
      </c>
      <c r="L6" s="24">
        <v>7.0000000000000007E-2</v>
      </c>
      <c r="M6" s="1"/>
    </row>
    <row r="7" spans="1:13" ht="24" customHeight="1" x14ac:dyDescent="0.2">
      <c r="A7" s="25"/>
      <c r="B7" s="18" t="s">
        <v>56</v>
      </c>
      <c r="C7" s="19" t="s">
        <v>57</v>
      </c>
      <c r="D7" s="20">
        <v>500</v>
      </c>
      <c r="E7" s="21">
        <v>0.05</v>
      </c>
      <c r="F7" s="22">
        <v>1.4999999999999999E-2</v>
      </c>
      <c r="G7" s="22">
        <v>1.0999999999999999E-2</v>
      </c>
      <c r="H7" s="22">
        <v>7.4999999999999997E-2</v>
      </c>
      <c r="I7" s="22">
        <v>0.6</v>
      </c>
      <c r="J7" s="22">
        <v>0.6</v>
      </c>
      <c r="K7" s="23">
        <v>0.1</v>
      </c>
      <c r="L7" s="24">
        <v>7.0000000000000007E-2</v>
      </c>
      <c r="M7" s="25"/>
    </row>
    <row r="8" spans="1:13" ht="24" customHeight="1" x14ac:dyDescent="0.2">
      <c r="A8" s="25"/>
      <c r="B8" s="18" t="s">
        <v>56</v>
      </c>
      <c r="C8" s="19" t="s">
        <v>55</v>
      </c>
      <c r="D8" s="20">
        <v>500</v>
      </c>
      <c r="E8" s="21">
        <v>0.05</v>
      </c>
      <c r="F8" s="22">
        <v>0.02</v>
      </c>
      <c r="G8" s="22">
        <v>1.4999999999999999E-2</v>
      </c>
      <c r="H8" s="22">
        <v>7.4999999999999997E-2</v>
      </c>
      <c r="I8" s="22">
        <v>0.6</v>
      </c>
      <c r="J8" s="22">
        <v>0.6</v>
      </c>
      <c r="K8" s="23">
        <v>0.1</v>
      </c>
      <c r="L8" s="24">
        <v>7.0000000000000007E-2</v>
      </c>
      <c r="M8" s="25"/>
    </row>
    <row r="9" spans="1:13" ht="24" customHeight="1" x14ac:dyDescent="0.2">
      <c r="A9" s="25"/>
      <c r="B9" s="18" t="s">
        <v>58</v>
      </c>
      <c r="C9" s="19" t="s">
        <v>57</v>
      </c>
      <c r="D9" s="20">
        <v>500</v>
      </c>
      <c r="E9" s="21">
        <v>0.05</v>
      </c>
      <c r="F9" s="22">
        <v>1.2E-2</v>
      </c>
      <c r="G9" s="22">
        <v>8.9999999999999993E-3</v>
      </c>
      <c r="H9" s="22">
        <v>7.4999999999999997E-2</v>
      </c>
      <c r="I9" s="22">
        <v>0.6</v>
      </c>
      <c r="J9" s="22">
        <v>0.6</v>
      </c>
      <c r="K9" s="23">
        <v>0.1</v>
      </c>
      <c r="L9" s="24">
        <v>7.0000000000000007E-2</v>
      </c>
      <c r="M9" s="25"/>
    </row>
    <row r="10" spans="1:13" ht="24" customHeight="1" x14ac:dyDescent="0.2">
      <c r="A10" s="25"/>
      <c r="B10" s="18" t="s">
        <v>58</v>
      </c>
      <c r="C10" s="19" t="s">
        <v>55</v>
      </c>
      <c r="D10" s="20">
        <v>500</v>
      </c>
      <c r="E10" s="21">
        <v>0.05</v>
      </c>
      <c r="F10" s="22">
        <v>1.6E-2</v>
      </c>
      <c r="G10" s="22">
        <v>1.2E-2</v>
      </c>
      <c r="H10" s="22">
        <v>7.4999999999999997E-2</v>
      </c>
      <c r="I10" s="22">
        <v>0.6</v>
      </c>
      <c r="J10" s="22">
        <v>0.6</v>
      </c>
      <c r="K10" s="23">
        <v>0.1</v>
      </c>
      <c r="L10" s="24">
        <v>7.0000000000000007E-2</v>
      </c>
      <c r="M10" s="25"/>
    </row>
    <row r="11" spans="1:13" ht="24" customHeight="1" x14ac:dyDescent="0.2">
      <c r="A11" s="25"/>
      <c r="B11" s="18" t="s">
        <v>59</v>
      </c>
      <c r="C11" s="19" t="s">
        <v>57</v>
      </c>
      <c r="D11" s="20"/>
      <c r="E11" s="21"/>
      <c r="F11" s="22"/>
      <c r="G11" s="22"/>
      <c r="H11" s="22"/>
      <c r="I11" s="22"/>
      <c r="J11" s="22"/>
      <c r="K11" s="23"/>
      <c r="L11" s="24"/>
      <c r="M11" s="25"/>
    </row>
    <row r="12" spans="1:13" ht="24" customHeight="1" x14ac:dyDescent="0.2">
      <c r="A12" s="1"/>
      <c r="B12" s="18" t="s">
        <v>59</v>
      </c>
      <c r="C12" s="19" t="s">
        <v>55</v>
      </c>
      <c r="D12" s="26"/>
      <c r="E12" s="27"/>
      <c r="F12" s="28"/>
      <c r="G12" s="28"/>
      <c r="H12" s="28"/>
      <c r="I12" s="28"/>
      <c r="J12" s="28"/>
      <c r="K12" s="29"/>
      <c r="L12" s="30"/>
      <c r="M12" s="1"/>
    </row>
  </sheetData>
  <mergeCells count="1">
    <mergeCell ref="B2:L2"/>
  </mergeCells>
  <printOptions horizontalCentered="1" gridLines="1"/>
  <pageMargins left="0.7" right="0.7" top="0.75" bottom="0.75" header="0" footer="0"/>
  <pageSetup paperSize="9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SN</vt:lpstr>
      <vt:lpstr>Buffer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2023-09-13T06:21:05Z</dcterms:modified>
</cp:coreProperties>
</file>