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B" sheetId="1" r:id="rId4"/>
    <sheet state="visible" name="Futures" sheetId="2" r:id="rId5"/>
    <sheet state="hidden" name="Buffer" sheetId="3" r:id="rId6"/>
  </sheets>
  <definedNames/>
  <calcPr/>
</workbook>
</file>

<file path=xl/sharedStrings.xml><?xml version="1.0" encoding="utf-8"?>
<sst xmlns="http://schemas.openxmlformats.org/spreadsheetml/2006/main" count="264" uniqueCount="153">
  <si>
    <t>May The Peaceful Prosperity Be With You Always.!!!</t>
  </si>
  <si>
    <t>Rule No. 1</t>
  </si>
  <si>
    <t>Write Down the Trading Date, Day and Time You Are Preparing For</t>
  </si>
  <si>
    <t>25-08-2023</t>
  </si>
  <si>
    <t>Friday</t>
  </si>
  <si>
    <t>Rule No. 2</t>
  </si>
  <si>
    <t>Check Monthly Status</t>
  </si>
  <si>
    <t>Bullish</t>
  </si>
  <si>
    <t>Bullish Confirmed</t>
  </si>
  <si>
    <t>Bearish</t>
  </si>
  <si>
    <t>Bearish Confirmed</t>
  </si>
  <si>
    <t>If Your MS = Bullish | Bullish Confirmed</t>
  </si>
  <si>
    <t>You Will Only Trade Call Buy</t>
  </si>
  <si>
    <t>If Your MS = Bearish | Bearish Confirmed</t>
  </si>
  <si>
    <t>You Will Only Trade Put Buy</t>
  </si>
  <si>
    <t>During the Day if MS Changes, You need Apply MS Rules From Next Day</t>
  </si>
  <si>
    <t>MS = Bull CF</t>
  </si>
  <si>
    <t>on 24-08-2023</t>
  </si>
  <si>
    <t>MS = Bear</t>
  </si>
  <si>
    <t>on 25-08-2023 at 11:00 am</t>
  </si>
  <si>
    <t>Call</t>
  </si>
  <si>
    <t>Put</t>
  </si>
  <si>
    <t>From Next Trading Day i.e 28-08-2023</t>
  </si>
  <si>
    <t>For Options Buy &amp; Option Sell</t>
  </si>
  <si>
    <t>Change in MS (During the Day ) will be Applicable for Next Trading Day</t>
  </si>
  <si>
    <t>JINDALSTEL</t>
  </si>
  <si>
    <t>MS = Bull = 621.8</t>
  </si>
  <si>
    <t>MS = Bull | Bull CF</t>
  </si>
  <si>
    <t>MS = Bear | Bear CF</t>
  </si>
  <si>
    <t>Call Rules</t>
  </si>
  <si>
    <t>Put Rules</t>
  </si>
  <si>
    <t>Start Strike</t>
  </si>
  <si>
    <t>SPOT Previous 2DHH = Nearest Strike</t>
  </si>
  <si>
    <t>SPOT Previous 2DLL = Nearest Strike</t>
  </si>
  <si>
    <t>2DHH</t>
  </si>
  <si>
    <t>632 = 630</t>
  </si>
  <si>
    <t>635 = 630</t>
  </si>
  <si>
    <t>Strike Factor</t>
  </si>
  <si>
    <t>Exact Middle Price of Strike Factor = ITM</t>
  </si>
  <si>
    <t>Final Strike</t>
  </si>
  <si>
    <t>Minimum OI</t>
  </si>
  <si>
    <t>100 Lots</t>
  </si>
  <si>
    <t xml:space="preserve">End Strike </t>
  </si>
  <si>
    <t>Start Strike - 1 Strike</t>
  </si>
  <si>
    <t>Start Strike + 1 Strike</t>
  </si>
  <si>
    <t>Last Choice Strike</t>
  </si>
  <si>
    <t>ITM</t>
  </si>
  <si>
    <t>Entry</t>
  </si>
  <si>
    <t>P 2DHH (Premium ) of Final Strike + 5%</t>
  </si>
  <si>
    <t>P2DHH  = 100</t>
  </si>
  <si>
    <t>SL</t>
  </si>
  <si>
    <t>Options Entry - 3%</t>
  </si>
  <si>
    <t>TGT 1</t>
  </si>
  <si>
    <t>Entry + ( Strike * 3% )</t>
  </si>
  <si>
    <t>TGT 2</t>
  </si>
  <si>
    <t>TGT 3</t>
  </si>
  <si>
    <t>TGT 4</t>
  </si>
  <si>
    <t>TGT 5</t>
  </si>
  <si>
    <t>APS</t>
  </si>
  <si>
    <t>Call Buy Rules</t>
  </si>
  <si>
    <t>Strike</t>
  </si>
  <si>
    <t>Call / Put Both</t>
  </si>
  <si>
    <t xml:space="preserve">Strike Price </t>
  </si>
  <si>
    <t>P2DHH  =  32.75</t>
  </si>
  <si>
    <t>2DHH + 5%</t>
  </si>
  <si>
    <t>32.75 + 5%</t>
  </si>
  <si>
    <t>Options Entry - (Final Strike * 3% )</t>
  </si>
  <si>
    <t>Final Strike * 3%</t>
  </si>
  <si>
    <t>Final Entry</t>
  </si>
  <si>
    <t>Entry - (Final Strike * 3% )</t>
  </si>
  <si>
    <t>Entry + ( Strike * 4.5% )</t>
  </si>
  <si>
    <t>Entry + ( Strike * 6% )</t>
  </si>
  <si>
    <t>Entry + ( Strike * 8% )</t>
  </si>
  <si>
    <t>Final SL</t>
  </si>
  <si>
    <t>Target 1</t>
  </si>
  <si>
    <t>Entry + (Final Strike * 3% )</t>
  </si>
  <si>
    <t>Final Target 1</t>
  </si>
  <si>
    <t>Target 2</t>
  </si>
  <si>
    <t>Entry + (Final Strike * 4.5% )</t>
  </si>
  <si>
    <t>Final Strike * 4.5%</t>
  </si>
  <si>
    <t>Final Target 2</t>
  </si>
  <si>
    <t>Target 3</t>
  </si>
  <si>
    <t>Entry + (Final Strike * 6% )</t>
  </si>
  <si>
    <t>Final Strike * 6%</t>
  </si>
  <si>
    <t>Final Target 3</t>
  </si>
  <si>
    <t>Target 4</t>
  </si>
  <si>
    <t>Entry + (Final Strike * 8% )</t>
  </si>
  <si>
    <t>Final Strike * 8%</t>
  </si>
  <si>
    <t>CALL</t>
  </si>
  <si>
    <t>Final Target 4</t>
  </si>
  <si>
    <t xml:space="preserve">Strike </t>
  </si>
  <si>
    <t>End of Jan</t>
  </si>
  <si>
    <t>Target Status</t>
  </si>
  <si>
    <t>Rollover Day</t>
  </si>
  <si>
    <t>Last Thurday - 1 Day</t>
  </si>
  <si>
    <t>At 10:00 AM</t>
  </si>
  <si>
    <t>Balance Lot</t>
  </si>
  <si>
    <t>Exit on Rollover Day</t>
  </si>
  <si>
    <t>3 lot</t>
  </si>
  <si>
    <t>For Futures</t>
  </si>
  <si>
    <t>Change in MS (During the Day ) will be Applicable immediately</t>
  </si>
  <si>
    <t>Consider MS as Bear</t>
  </si>
  <si>
    <t>Apply the Rules</t>
  </si>
  <si>
    <t>Price Alert</t>
  </si>
  <si>
    <t>ABC</t>
  </si>
  <si>
    <t>Bear = PML-2.5%</t>
  </si>
  <si>
    <t>Place Alert at 87.75</t>
  </si>
  <si>
    <t>BUY</t>
  </si>
  <si>
    <t>SELL</t>
  </si>
  <si>
    <t>3DLL - 1%</t>
  </si>
  <si>
    <t>NIL</t>
  </si>
  <si>
    <t>At 11:00 AM</t>
  </si>
  <si>
    <t>3DHH + 1%</t>
  </si>
  <si>
    <t>Modify Buy Entry</t>
  </si>
  <si>
    <t>2DLL</t>
  </si>
  <si>
    <t>Modify Sell Entry</t>
  </si>
  <si>
    <t>BUY - ON</t>
  </si>
  <si>
    <t>BUY SL TSL</t>
  </si>
  <si>
    <t>Modify Buy's SL</t>
  </si>
  <si>
    <t>All Futures</t>
  </si>
  <si>
    <t>Change in MS = Change Immediately</t>
  </si>
  <si>
    <t>11 Change</t>
  </si>
  <si>
    <t>Rules To Apply</t>
  </si>
  <si>
    <t>Bull | Bull Cf</t>
  </si>
  <si>
    <t>Bull</t>
  </si>
  <si>
    <t>SL Rules,Entry Rules</t>
  </si>
  <si>
    <t>Bear \ Bear Cf</t>
  </si>
  <si>
    <t>Bear</t>
  </si>
  <si>
    <t>Option Buying Rules</t>
  </si>
  <si>
    <t>Particulars</t>
  </si>
  <si>
    <t>Expiry : To Be Traded</t>
  </si>
  <si>
    <t>Lots</t>
  </si>
  <si>
    <t>a%</t>
  </si>
  <si>
    <t>b%</t>
  </si>
  <si>
    <t>c%</t>
  </si>
  <si>
    <t>d%</t>
  </si>
  <si>
    <t>e%</t>
  </si>
  <si>
    <t>f%</t>
  </si>
  <si>
    <t>Favour g%</t>
  </si>
  <si>
    <t>Against g%</t>
  </si>
  <si>
    <t>OI</t>
  </si>
  <si>
    <t>Maximum Premium</t>
  </si>
  <si>
    <t>Minimum Premium</t>
  </si>
  <si>
    <t>Entry Buffer</t>
  </si>
  <si>
    <t>Target Buffer</t>
  </si>
  <si>
    <t>MSL Buffer</t>
  </si>
  <si>
    <t>TSL Buffer</t>
  </si>
  <si>
    <t>STOCKS</t>
  </si>
  <si>
    <t>Monthly : NEAR</t>
  </si>
  <si>
    <t>BANKNIFTY</t>
  </si>
  <si>
    <t>Weekly : WEEK 1</t>
  </si>
  <si>
    <t>NIFTY</t>
  </si>
  <si>
    <t>USDINR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</si>
</sst>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h:mm am/pm"/>
    <numFmt numFmtId="165" formatCode="dd-mmm-yyyy"/>
    <numFmt numFmtId="166" formatCode="mmm yyyy"/>
  </numFmts>
  <fonts count="9">
    <font>
      <sz val="10.0"/>
      <color rgb="FF000000"/>
      <name val="Arial"/>
      <scheme val="minor"/>
    </font>
    <font>
      <b/>
      <color rgb="FFFF0000"/>
      <name val="Arial"/>
      <scheme val="minor"/>
    </font>
    <font>
      <color theme="1"/>
      <name val="Arial"/>
      <scheme val="minor"/>
    </font>
    <font>
      <b/>
      <i/>
      <sz val="20.0"/>
      <color theme="1"/>
      <name val="Calibri"/>
    </font>
    <font/>
    <font>
      <b/>
      <sz val="14.0"/>
      <color rgb="FF000000"/>
      <name val="Calibri"/>
    </font>
    <font>
      <sz val="14.0"/>
      <color rgb="FF000000"/>
      <name val="Calibri"/>
    </font>
    <font>
      <color rgb="FF000000"/>
      <name val="Arial"/>
      <scheme val="minor"/>
    </font>
    <font>
      <sz val="14.0"/>
      <color rgb="FFFFFFF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BDD7EE"/>
        <bgColor rgb="FFBDD7EE"/>
      </patternFill>
    </fill>
  </fills>
  <borders count="19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Font="1"/>
    <xf borderId="0" fillId="0" fontId="2" numFmtId="0" xfId="0" applyAlignment="1" applyFont="1">
      <alignment readingOrder="0" shrinkToFit="0" wrapText="1"/>
    </xf>
    <xf borderId="0" fillId="0" fontId="2" numFmtId="0" xfId="0" applyFont="1"/>
    <xf borderId="0" fillId="0" fontId="2" numFmtId="10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0" fillId="3" fontId="2" numFmtId="0" xfId="0" applyAlignment="1" applyFill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0" fontId="2" numFmtId="2" xfId="0" applyFont="1" applyNumberFormat="1"/>
    <xf borderId="0" fillId="0" fontId="2" numFmtId="166" xfId="0" applyAlignment="1" applyFont="1" applyNumberFormat="1">
      <alignment readingOrder="0"/>
    </xf>
    <xf borderId="0" fillId="0" fontId="3" numFmtId="0" xfId="0" applyAlignment="1" applyFont="1">
      <alignment horizontal="center" readingOrder="0" shrinkToFit="0" vertical="center" wrapText="1"/>
    </xf>
    <xf borderId="1" fillId="4" fontId="3" numFmtId="0" xfId="0" applyAlignment="1" applyBorder="1" applyFill="1" applyFont="1">
      <alignment horizontal="center" readingOrder="0" shrinkToFit="0" vertical="center" wrapText="1"/>
    </xf>
    <xf borderId="2" fillId="0" fontId="4" numFmtId="0" xfId="0" applyBorder="1" applyFont="1"/>
    <xf borderId="3" fillId="0" fontId="4" numFmtId="0" xfId="0" applyBorder="1" applyFont="1"/>
    <xf borderId="0" fillId="0" fontId="2" numFmtId="0" xfId="0" applyAlignment="1" applyFont="1">
      <alignment vertical="center"/>
    </xf>
    <xf borderId="4" fillId="5" fontId="5" numFmtId="0" xfId="0" applyAlignment="1" applyBorder="1" applyFill="1" applyFont="1">
      <alignment horizontal="center" readingOrder="0" shrinkToFit="0" vertical="center" wrapText="0"/>
    </xf>
    <xf borderId="5" fillId="5" fontId="5" numFmtId="0" xfId="0" applyAlignment="1" applyBorder="1" applyFont="1">
      <alignment horizontal="center" readingOrder="0" shrinkToFit="0" vertical="center" wrapText="0"/>
    </xf>
    <xf borderId="6" fillId="5" fontId="5" numFmtId="0" xfId="0" applyAlignment="1" applyBorder="1" applyFont="1">
      <alignment horizontal="center" readingOrder="0" shrinkToFit="0" vertical="center" wrapText="0"/>
    </xf>
    <xf borderId="7" fillId="5" fontId="5" numFmtId="0" xfId="0" applyAlignment="1" applyBorder="1" applyFont="1">
      <alignment horizontal="center" readingOrder="0" shrinkToFit="0" vertical="center" wrapText="0"/>
    </xf>
    <xf borderId="8" fillId="5" fontId="5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1"/>
    </xf>
    <xf borderId="9" fillId="0" fontId="5" numFmtId="0" xfId="0" applyAlignment="1" applyBorder="1" applyFont="1">
      <alignment readingOrder="0" shrinkToFit="0" vertical="center" wrapText="1"/>
    </xf>
    <xf borderId="10" fillId="0" fontId="6" numFmtId="0" xfId="0" applyAlignment="1" applyBorder="1" applyFont="1">
      <alignment horizontal="center" readingOrder="0" shrinkToFit="0" vertical="center" wrapText="1"/>
    </xf>
    <xf borderId="11" fillId="0" fontId="6" numFmtId="0" xfId="0" applyAlignment="1" applyBorder="1" applyFont="1">
      <alignment horizontal="center" readingOrder="0" shrinkToFit="0" vertical="center" wrapText="1"/>
    </xf>
    <xf borderId="12" fillId="0" fontId="6" numFmtId="0" xfId="0" applyAlignment="1" applyBorder="1" applyFont="1">
      <alignment horizontal="center" readingOrder="0" shrinkToFit="0" vertical="center" wrapText="1"/>
    </xf>
    <xf borderId="13" fillId="0" fontId="6" numFmtId="0" xfId="0" applyAlignment="1" applyBorder="1" applyFont="1">
      <alignment horizontal="center" readingOrder="0" shrinkToFit="0" vertical="center" wrapText="1"/>
    </xf>
    <xf borderId="14" fillId="0" fontId="5" numFmtId="0" xfId="0" applyAlignment="1" applyBorder="1" applyFont="1">
      <alignment readingOrder="0" shrinkToFit="0" vertical="center" wrapText="0"/>
    </xf>
    <xf borderId="15" fillId="0" fontId="6" numFmtId="0" xfId="0" applyAlignment="1" applyBorder="1" applyFont="1">
      <alignment horizontal="center" readingOrder="0" shrinkToFit="0" vertical="center" wrapText="0"/>
    </xf>
    <xf borderId="15" fillId="0" fontId="6" numFmtId="3" xfId="0" applyAlignment="1" applyBorder="1" applyFont="1" applyNumberFormat="1">
      <alignment horizontal="center" readingOrder="0" shrinkToFit="0" vertical="center" wrapText="0"/>
    </xf>
    <xf borderId="16" fillId="0" fontId="6" numFmtId="9" xfId="0" applyAlignment="1" applyBorder="1" applyFont="1" applyNumberFormat="1">
      <alignment horizontal="center" readingOrder="0" shrinkToFit="0" vertical="center" wrapText="0"/>
    </xf>
    <xf borderId="16" fillId="0" fontId="6" numFmtId="10" xfId="0" applyAlignment="1" applyBorder="1" applyFont="1" applyNumberFormat="1">
      <alignment horizontal="center" readingOrder="0" shrinkToFit="0" vertical="center" wrapText="0"/>
    </xf>
    <xf borderId="17" fillId="0" fontId="6" numFmtId="10" xfId="0" applyAlignment="1" applyBorder="1" applyFont="1" applyNumberFormat="1">
      <alignment horizontal="center" readingOrder="0" shrinkToFit="0" vertical="center" wrapText="0"/>
    </xf>
    <xf borderId="18" fillId="0" fontId="6" numFmtId="10" xfId="0" applyAlignment="1" applyBorder="1" applyFont="1" applyNumberFormat="1">
      <alignment horizontal="center" readingOrder="0" shrinkToFit="0" vertical="center" wrapText="0"/>
    </xf>
    <xf borderId="0" fillId="0" fontId="7" numFmtId="0" xfId="0" applyAlignment="1" applyFont="1">
      <alignment vertical="center"/>
    </xf>
    <xf borderId="15" fillId="0" fontId="8" numFmtId="3" xfId="0" applyAlignment="1" applyBorder="1" applyFont="1" applyNumberFormat="1">
      <alignment horizontal="center" readingOrder="0" shrinkToFit="0" vertical="center" wrapText="0"/>
    </xf>
    <xf borderId="16" fillId="0" fontId="8" numFmtId="9" xfId="0" applyAlignment="1" applyBorder="1" applyFont="1" applyNumberFormat="1">
      <alignment horizontal="center" readingOrder="0" shrinkToFit="0" vertical="center" wrapText="0"/>
    </xf>
    <xf borderId="16" fillId="0" fontId="8" numFmtId="10" xfId="0" applyAlignment="1" applyBorder="1" applyFont="1" applyNumberFormat="1">
      <alignment horizontal="center" readingOrder="0" shrinkToFit="0" vertical="center" wrapText="0"/>
    </xf>
    <xf borderId="17" fillId="0" fontId="8" numFmtId="10" xfId="0" applyAlignment="1" applyBorder="1" applyFont="1" applyNumberFormat="1">
      <alignment horizontal="center" readingOrder="0" shrinkToFit="0" vertical="center" wrapText="0"/>
    </xf>
    <xf borderId="18" fillId="0" fontId="8" numFmtId="10" xfId="0" applyAlignment="1" applyBorder="1" applyFont="1" applyNumberForma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32.63"/>
    <col customWidth="1" min="3" max="3" width="32.88"/>
    <col customWidth="1" min="4" max="4" width="32.75"/>
    <col customWidth="1" min="5" max="5" width="2.25"/>
    <col customWidth="1" min="8" max="8" width="15.38"/>
    <col customWidth="1" min="9" max="9" width="28.75"/>
  </cols>
  <sheetData>
    <row r="1">
      <c r="A1" s="1" t="s">
        <v>0</v>
      </c>
    </row>
    <row r="3">
      <c r="A3" s="2" t="s">
        <v>1</v>
      </c>
      <c r="B3" s="2" t="s">
        <v>2</v>
      </c>
    </row>
    <row r="4">
      <c r="B4" s="2" t="s">
        <v>3</v>
      </c>
      <c r="C4" s="2" t="s">
        <v>4</v>
      </c>
      <c r="D4" s="3">
        <v>0.3854166666666667</v>
      </c>
    </row>
    <row r="6">
      <c r="A6" s="2" t="s">
        <v>5</v>
      </c>
      <c r="B6" s="2" t="s">
        <v>6</v>
      </c>
    </row>
    <row r="7">
      <c r="B7" s="2" t="s">
        <v>7</v>
      </c>
    </row>
    <row r="8">
      <c r="B8" s="2" t="s">
        <v>8</v>
      </c>
    </row>
    <row r="9">
      <c r="B9" s="2" t="s">
        <v>9</v>
      </c>
    </row>
    <row r="10">
      <c r="B10" s="2" t="s">
        <v>10</v>
      </c>
    </row>
    <row r="12">
      <c r="B12" s="4" t="s">
        <v>11</v>
      </c>
    </row>
    <row r="13">
      <c r="B13" s="4" t="s">
        <v>12</v>
      </c>
    </row>
    <row r="14">
      <c r="B14" s="5"/>
    </row>
    <row r="15">
      <c r="B15" s="4" t="s">
        <v>13</v>
      </c>
    </row>
    <row r="16">
      <c r="B16" s="4" t="s">
        <v>14</v>
      </c>
    </row>
    <row r="18">
      <c r="B18" s="2" t="s">
        <v>15</v>
      </c>
    </row>
    <row r="19">
      <c r="B19" s="2" t="s">
        <v>16</v>
      </c>
      <c r="C19" s="2" t="s">
        <v>17</v>
      </c>
    </row>
    <row r="20">
      <c r="B20" s="2" t="s">
        <v>18</v>
      </c>
      <c r="C20" s="2" t="s">
        <v>19</v>
      </c>
    </row>
    <row r="21">
      <c r="B21" s="2" t="s">
        <v>20</v>
      </c>
      <c r="C21" s="2" t="s">
        <v>19</v>
      </c>
    </row>
    <row r="22">
      <c r="B22" s="2" t="s">
        <v>21</v>
      </c>
      <c r="C22" s="2" t="s">
        <v>22</v>
      </c>
    </row>
    <row r="24">
      <c r="B24" s="2" t="s">
        <v>23</v>
      </c>
    </row>
    <row r="25">
      <c r="B25" s="2" t="s">
        <v>24</v>
      </c>
    </row>
    <row r="27">
      <c r="B27" s="2" t="s">
        <v>25</v>
      </c>
      <c r="C27" s="2"/>
    </row>
    <row r="28">
      <c r="B28" s="2" t="s">
        <v>26</v>
      </c>
      <c r="C28" s="2"/>
    </row>
    <row r="29">
      <c r="B29" s="2"/>
      <c r="C29" s="2"/>
    </row>
    <row r="30">
      <c r="B30" s="2"/>
      <c r="C30" s="2"/>
    </row>
    <row r="31">
      <c r="B31" s="2" t="s">
        <v>27</v>
      </c>
      <c r="D31" s="2" t="s">
        <v>28</v>
      </c>
    </row>
    <row r="32">
      <c r="B32" s="2" t="s">
        <v>29</v>
      </c>
      <c r="D32" s="2" t="s">
        <v>30</v>
      </c>
    </row>
    <row r="34">
      <c r="A34" s="2" t="s">
        <v>31</v>
      </c>
      <c r="B34" s="2" t="s">
        <v>32</v>
      </c>
      <c r="D34" s="2" t="s">
        <v>33</v>
      </c>
    </row>
    <row r="35">
      <c r="B35" s="2" t="s">
        <v>34</v>
      </c>
    </row>
    <row r="36">
      <c r="B36" s="2">
        <v>636.0</v>
      </c>
      <c r="C36" s="2" t="s">
        <v>35</v>
      </c>
    </row>
    <row r="37">
      <c r="C37" s="2" t="s">
        <v>36</v>
      </c>
    </row>
    <row r="38">
      <c r="A38" s="2" t="s">
        <v>37</v>
      </c>
      <c r="B38" s="2">
        <v>10.0</v>
      </c>
    </row>
    <row r="39">
      <c r="B39" s="6" t="s">
        <v>38</v>
      </c>
      <c r="D39" s="6" t="s">
        <v>38</v>
      </c>
    </row>
    <row r="40">
      <c r="A40" s="2" t="s">
        <v>39</v>
      </c>
      <c r="B40" s="2">
        <v>640.0</v>
      </c>
    </row>
    <row r="42">
      <c r="A42" s="2" t="s">
        <v>40</v>
      </c>
      <c r="B42" s="2" t="s">
        <v>41</v>
      </c>
      <c r="D42" s="2" t="s">
        <v>41</v>
      </c>
    </row>
    <row r="43">
      <c r="B43" s="2"/>
      <c r="D43" s="2"/>
    </row>
    <row r="44">
      <c r="A44" s="2" t="s">
        <v>42</v>
      </c>
      <c r="B44" s="2" t="s">
        <v>43</v>
      </c>
      <c r="D44" s="2" t="s">
        <v>44</v>
      </c>
    </row>
    <row r="45">
      <c r="A45" s="2" t="s">
        <v>45</v>
      </c>
      <c r="B45" s="2" t="s">
        <v>44</v>
      </c>
      <c r="D45" s="2" t="s">
        <v>43</v>
      </c>
    </row>
    <row r="46">
      <c r="B46" s="2"/>
    </row>
    <row r="47">
      <c r="B47" s="2"/>
    </row>
    <row r="48">
      <c r="B48" s="2" t="s">
        <v>46</v>
      </c>
    </row>
    <row r="50">
      <c r="A50" s="2" t="s">
        <v>47</v>
      </c>
      <c r="B50" s="2" t="s">
        <v>48</v>
      </c>
      <c r="C50" s="2" t="s">
        <v>49</v>
      </c>
    </row>
    <row r="51">
      <c r="C51" s="2">
        <v>105.0</v>
      </c>
    </row>
    <row r="52">
      <c r="A52" s="2" t="s">
        <v>50</v>
      </c>
      <c r="B52" s="2" t="s">
        <v>51</v>
      </c>
      <c r="C52" s="7">
        <f>105*(1-3%)</f>
        <v>101.85</v>
      </c>
    </row>
    <row r="54">
      <c r="A54" s="2" t="s">
        <v>52</v>
      </c>
      <c r="B54" s="2" t="s">
        <v>53</v>
      </c>
    </row>
    <row r="55">
      <c r="A55" s="2" t="s">
        <v>54</v>
      </c>
      <c r="B55" s="8">
        <v>0.045</v>
      </c>
    </row>
    <row r="56">
      <c r="A56" s="2" t="s">
        <v>55</v>
      </c>
      <c r="B56" s="9">
        <v>0.06</v>
      </c>
    </row>
    <row r="57">
      <c r="A57" s="2" t="s">
        <v>56</v>
      </c>
      <c r="B57" s="9">
        <v>0.08</v>
      </c>
    </row>
    <row r="58">
      <c r="A58" s="2" t="s">
        <v>57</v>
      </c>
      <c r="B58" s="10" t="s">
        <v>58</v>
      </c>
    </row>
    <row r="61">
      <c r="B61" s="11">
        <v>45142.0</v>
      </c>
    </row>
    <row r="63">
      <c r="B63" s="2" t="s">
        <v>27</v>
      </c>
      <c r="D63" s="2" t="s">
        <v>28</v>
      </c>
    </row>
    <row r="64">
      <c r="B64" s="2" t="s">
        <v>59</v>
      </c>
      <c r="D64" s="2" t="s">
        <v>30</v>
      </c>
    </row>
    <row r="66">
      <c r="A66" s="2" t="s">
        <v>60</v>
      </c>
      <c r="B66" s="2" t="s">
        <v>32</v>
      </c>
      <c r="D66" s="2" t="s">
        <v>33</v>
      </c>
    </row>
    <row r="67">
      <c r="B67" s="2" t="s">
        <v>34</v>
      </c>
    </row>
    <row r="68">
      <c r="B68" s="2">
        <v>810.85</v>
      </c>
    </row>
    <row r="70">
      <c r="A70" s="2" t="s">
        <v>37</v>
      </c>
      <c r="B70" s="2">
        <v>10.0</v>
      </c>
    </row>
    <row r="71">
      <c r="B71" s="6" t="s">
        <v>38</v>
      </c>
    </row>
    <row r="72">
      <c r="A72" s="2" t="s">
        <v>39</v>
      </c>
      <c r="B72" s="2">
        <v>810.0</v>
      </c>
    </row>
    <row r="73" hidden="1"/>
    <row r="74" hidden="1">
      <c r="A74" s="2" t="s">
        <v>40</v>
      </c>
      <c r="B74" s="2" t="s">
        <v>41</v>
      </c>
    </row>
    <row r="75" hidden="1">
      <c r="B75" s="2" t="s">
        <v>46</v>
      </c>
    </row>
    <row r="76" hidden="1"/>
    <row r="77">
      <c r="A77" s="2"/>
      <c r="B77" s="2" t="s">
        <v>61</v>
      </c>
      <c r="C77" s="2"/>
      <c r="H77" s="2" t="s">
        <v>62</v>
      </c>
      <c r="I77" s="2">
        <v>810.0</v>
      </c>
    </row>
    <row r="78">
      <c r="A78" s="2" t="s">
        <v>47</v>
      </c>
      <c r="B78" s="2" t="s">
        <v>48</v>
      </c>
      <c r="C78" s="2" t="s">
        <v>63</v>
      </c>
      <c r="D78" s="2">
        <v>810.0</v>
      </c>
      <c r="H78" s="2" t="s">
        <v>47</v>
      </c>
      <c r="I78" s="2" t="s">
        <v>64</v>
      </c>
    </row>
    <row r="79">
      <c r="C79" s="12">
        <f>MROUND(32.75*(1+5%),0.05)</f>
        <v>34.4</v>
      </c>
      <c r="F79" s="2" t="s">
        <v>65</v>
      </c>
      <c r="H79" s="2" t="s">
        <v>63</v>
      </c>
      <c r="I79" s="2" t="s">
        <v>65</v>
      </c>
    </row>
    <row r="80">
      <c r="A80" s="2" t="s">
        <v>50</v>
      </c>
      <c r="B80" s="2" t="s">
        <v>66</v>
      </c>
      <c r="C80" s="13">
        <f>C79-D80</f>
        <v>10.1</v>
      </c>
      <c r="D80" s="7">
        <f>D78*3%</f>
        <v>24.3</v>
      </c>
      <c r="F80" s="2" t="s">
        <v>67</v>
      </c>
      <c r="H80" s="2" t="s">
        <v>68</v>
      </c>
      <c r="I80" s="2">
        <v>34.4</v>
      </c>
    </row>
    <row r="81">
      <c r="F81" s="2" t="s">
        <v>69</v>
      </c>
    </row>
    <row r="82">
      <c r="A82" s="2" t="s">
        <v>52</v>
      </c>
      <c r="B82" s="2" t="s">
        <v>53</v>
      </c>
      <c r="H82" s="2" t="s">
        <v>50</v>
      </c>
      <c r="I82" s="2" t="s">
        <v>69</v>
      </c>
    </row>
    <row r="83">
      <c r="A83" s="2" t="s">
        <v>54</v>
      </c>
      <c r="B83" s="2" t="s">
        <v>70</v>
      </c>
      <c r="H83" s="2" t="s">
        <v>47</v>
      </c>
      <c r="I83" s="2">
        <v>34.4</v>
      </c>
    </row>
    <row r="84">
      <c r="A84" s="2" t="s">
        <v>55</v>
      </c>
      <c r="B84" s="2" t="s">
        <v>71</v>
      </c>
      <c r="H84" s="2" t="s">
        <v>39</v>
      </c>
      <c r="I84" s="2">
        <v>810.0</v>
      </c>
    </row>
    <row r="85">
      <c r="A85" s="2" t="s">
        <v>56</v>
      </c>
      <c r="B85" s="2" t="s">
        <v>72</v>
      </c>
      <c r="H85" s="2" t="s">
        <v>67</v>
      </c>
      <c r="I85" s="7">
        <f>I84*3%</f>
        <v>24.3</v>
      </c>
    </row>
    <row r="86">
      <c r="A86" s="2" t="s">
        <v>57</v>
      </c>
      <c r="B86" s="10" t="s">
        <v>58</v>
      </c>
    </row>
    <row r="87">
      <c r="H87" s="2" t="s">
        <v>73</v>
      </c>
      <c r="I87" s="7">
        <f>I83-I85</f>
        <v>10.1</v>
      </c>
    </row>
    <row r="89">
      <c r="H89" s="2" t="s">
        <v>74</v>
      </c>
      <c r="I89" s="2" t="s">
        <v>75</v>
      </c>
    </row>
    <row r="90">
      <c r="H90" s="2" t="s">
        <v>47</v>
      </c>
      <c r="I90" s="2">
        <v>34.4</v>
      </c>
    </row>
    <row r="91">
      <c r="H91" s="2" t="s">
        <v>39</v>
      </c>
      <c r="I91" s="2">
        <v>810.0</v>
      </c>
    </row>
    <row r="92">
      <c r="H92" s="2" t="s">
        <v>67</v>
      </c>
      <c r="I92" s="7">
        <f>I91*3%</f>
        <v>24.3</v>
      </c>
    </row>
    <row r="94">
      <c r="H94" s="2" t="s">
        <v>76</v>
      </c>
      <c r="I94" s="7">
        <f>I90+I92</f>
        <v>58.7</v>
      </c>
    </row>
    <row r="96">
      <c r="H96" s="2" t="s">
        <v>77</v>
      </c>
      <c r="I96" s="2" t="s">
        <v>78</v>
      </c>
    </row>
    <row r="97">
      <c r="H97" s="2" t="s">
        <v>47</v>
      </c>
      <c r="I97" s="2">
        <v>34.4</v>
      </c>
    </row>
    <row r="98">
      <c r="H98" s="2" t="s">
        <v>39</v>
      </c>
      <c r="I98" s="2">
        <v>810.0</v>
      </c>
    </row>
    <row r="99">
      <c r="H99" s="2" t="s">
        <v>79</v>
      </c>
      <c r="I99" s="7">
        <f>I98*4.5%</f>
        <v>36.45</v>
      </c>
    </row>
    <row r="101">
      <c r="H101" s="2" t="s">
        <v>80</v>
      </c>
      <c r="I101" s="7">
        <f>I97+I99</f>
        <v>70.85</v>
      </c>
    </row>
    <row r="103">
      <c r="H103" s="2" t="s">
        <v>81</v>
      </c>
      <c r="I103" s="2" t="s">
        <v>82</v>
      </c>
    </row>
    <row r="104">
      <c r="H104" s="2" t="s">
        <v>47</v>
      </c>
      <c r="I104" s="2">
        <v>34.4</v>
      </c>
    </row>
    <row r="105">
      <c r="H105" s="2" t="s">
        <v>39</v>
      </c>
      <c r="I105" s="2">
        <v>810.0</v>
      </c>
    </row>
    <row r="106">
      <c r="H106" s="2" t="s">
        <v>83</v>
      </c>
      <c r="I106" s="7">
        <f>I105*6%</f>
        <v>48.6</v>
      </c>
    </row>
    <row r="108">
      <c r="H108" s="2" t="s">
        <v>84</v>
      </c>
      <c r="I108" s="7">
        <f>I104+I106</f>
        <v>83</v>
      </c>
    </row>
    <row r="110">
      <c r="H110" s="2" t="s">
        <v>85</v>
      </c>
      <c r="I110" s="2" t="s">
        <v>86</v>
      </c>
    </row>
    <row r="111">
      <c r="H111" s="2" t="s">
        <v>47</v>
      </c>
      <c r="I111" s="2">
        <v>34.4</v>
      </c>
    </row>
    <row r="112">
      <c r="H112" s="2" t="s">
        <v>39</v>
      </c>
      <c r="I112" s="2">
        <v>810.0</v>
      </c>
    </row>
    <row r="113">
      <c r="H113" s="2" t="s">
        <v>87</v>
      </c>
      <c r="I113" s="7">
        <f>I112*8%</f>
        <v>64.8</v>
      </c>
    </row>
    <row r="114">
      <c r="B114" s="14">
        <v>44927.0</v>
      </c>
    </row>
    <row r="115">
      <c r="A115" s="2" t="s">
        <v>88</v>
      </c>
      <c r="H115" s="2" t="s">
        <v>89</v>
      </c>
      <c r="I115" s="7">
        <f>I111+I113</f>
        <v>99.2</v>
      </c>
    </row>
    <row r="116">
      <c r="A116" s="2" t="s">
        <v>90</v>
      </c>
      <c r="B116" s="2">
        <v>810.0</v>
      </c>
    </row>
    <row r="117">
      <c r="A117" s="2" t="s">
        <v>47</v>
      </c>
      <c r="B117" s="2">
        <v>34.4</v>
      </c>
    </row>
    <row r="118">
      <c r="A118" s="2" t="s">
        <v>50</v>
      </c>
      <c r="B118" s="7">
        <f>I87</f>
        <v>10.1</v>
      </c>
    </row>
    <row r="119">
      <c r="A119" s="2" t="s">
        <v>52</v>
      </c>
      <c r="B119" s="7">
        <f>I94</f>
        <v>58.7</v>
      </c>
    </row>
    <row r="120">
      <c r="A120" s="2" t="s">
        <v>54</v>
      </c>
      <c r="B120" s="7">
        <f>I101</f>
        <v>70.85</v>
      </c>
    </row>
    <row r="121">
      <c r="A121" s="2" t="s">
        <v>55</v>
      </c>
      <c r="B121" s="7">
        <f>I108</f>
        <v>83</v>
      </c>
    </row>
    <row r="122">
      <c r="A122" s="2" t="s">
        <v>56</v>
      </c>
      <c r="B122" s="7">
        <f>I115</f>
        <v>99.2</v>
      </c>
    </row>
    <row r="123">
      <c r="A123" s="2" t="s">
        <v>57</v>
      </c>
    </row>
    <row r="125">
      <c r="A125" s="2" t="s">
        <v>91</v>
      </c>
      <c r="B125" s="2"/>
    </row>
    <row r="126">
      <c r="A126" s="2" t="s">
        <v>92</v>
      </c>
      <c r="B126" s="2" t="s">
        <v>54</v>
      </c>
    </row>
    <row r="127">
      <c r="A127" s="2" t="s">
        <v>93</v>
      </c>
      <c r="B127" s="2" t="s">
        <v>94</v>
      </c>
    </row>
    <row r="128">
      <c r="A128" s="2"/>
      <c r="B128" s="2" t="s">
        <v>95</v>
      </c>
    </row>
    <row r="129">
      <c r="A129" s="2" t="s">
        <v>96</v>
      </c>
      <c r="B129" s="2">
        <v>3.0</v>
      </c>
    </row>
    <row r="131">
      <c r="A131" s="2" t="s">
        <v>97</v>
      </c>
      <c r="B131" s="2" t="s">
        <v>98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  <col customWidth="1" min="4" max="4" width="15.5"/>
    <col customWidth="1" min="5" max="5" width="15.0"/>
  </cols>
  <sheetData>
    <row r="1">
      <c r="A1" s="1" t="s">
        <v>0</v>
      </c>
    </row>
    <row r="3" hidden="1">
      <c r="A3" s="2" t="s">
        <v>1</v>
      </c>
      <c r="B3" s="2" t="s">
        <v>2</v>
      </c>
    </row>
    <row r="4" hidden="1">
      <c r="B4" s="2" t="s">
        <v>3</v>
      </c>
      <c r="C4" s="2" t="s">
        <v>4</v>
      </c>
      <c r="D4" s="3">
        <v>0.3854166666666667</v>
      </c>
    </row>
    <row r="5" hidden="1"/>
    <row r="6" hidden="1">
      <c r="A6" s="2" t="s">
        <v>5</v>
      </c>
      <c r="B6" s="2" t="s">
        <v>6</v>
      </c>
    </row>
    <row r="7" hidden="1">
      <c r="B7" s="2" t="s">
        <v>7</v>
      </c>
    </row>
    <row r="8" hidden="1">
      <c r="B8" s="2" t="s">
        <v>8</v>
      </c>
    </row>
    <row r="9" hidden="1">
      <c r="B9" s="2" t="s">
        <v>9</v>
      </c>
    </row>
    <row r="10" hidden="1">
      <c r="B10" s="2" t="s">
        <v>10</v>
      </c>
    </row>
    <row r="11" hidden="1"/>
    <row r="12" hidden="1">
      <c r="B12" s="2" t="s">
        <v>11</v>
      </c>
    </row>
    <row r="13" hidden="1">
      <c r="B13" s="2" t="s">
        <v>12</v>
      </c>
    </row>
    <row r="14" hidden="1"/>
    <row r="15" hidden="1">
      <c r="B15" s="2" t="s">
        <v>13</v>
      </c>
    </row>
    <row r="16" hidden="1">
      <c r="B16" s="2" t="s">
        <v>14</v>
      </c>
    </row>
    <row r="17" hidden="1"/>
    <row r="18" hidden="1">
      <c r="B18" s="2" t="s">
        <v>15</v>
      </c>
    </row>
    <row r="19" hidden="1">
      <c r="B19" s="2" t="s">
        <v>16</v>
      </c>
      <c r="C19" s="2" t="s">
        <v>17</v>
      </c>
    </row>
    <row r="20" hidden="1">
      <c r="B20" s="2" t="s">
        <v>18</v>
      </c>
      <c r="C20" s="2" t="s">
        <v>19</v>
      </c>
    </row>
    <row r="21" hidden="1">
      <c r="B21" s="2" t="s">
        <v>20</v>
      </c>
      <c r="C21" s="2" t="s">
        <v>19</v>
      </c>
    </row>
    <row r="22" hidden="1">
      <c r="B22" s="2" t="s">
        <v>21</v>
      </c>
      <c r="C22" s="2" t="s">
        <v>22</v>
      </c>
    </row>
    <row r="23" hidden="1"/>
    <row r="24" hidden="1">
      <c r="B24" s="2" t="s">
        <v>23</v>
      </c>
    </row>
    <row r="25" hidden="1">
      <c r="B25" s="2" t="s">
        <v>24</v>
      </c>
    </row>
    <row r="26" hidden="1"/>
    <row r="27">
      <c r="B27" s="2" t="s">
        <v>99</v>
      </c>
    </row>
    <row r="28">
      <c r="B28" s="2" t="s">
        <v>100</v>
      </c>
    </row>
    <row r="29">
      <c r="B29" s="2" t="s">
        <v>16</v>
      </c>
      <c r="C29" s="2" t="s">
        <v>17</v>
      </c>
    </row>
    <row r="30">
      <c r="B30" s="2" t="s">
        <v>18</v>
      </c>
      <c r="C30" s="2" t="s">
        <v>19</v>
      </c>
    </row>
    <row r="31">
      <c r="B31" s="2" t="s">
        <v>101</v>
      </c>
      <c r="C31" s="2" t="s">
        <v>19</v>
      </c>
    </row>
    <row r="32">
      <c r="B32" s="2" t="s">
        <v>102</v>
      </c>
    </row>
    <row r="34">
      <c r="B34" s="2" t="s">
        <v>103</v>
      </c>
    </row>
    <row r="36">
      <c r="B36" s="2" t="s">
        <v>104</v>
      </c>
    </row>
    <row r="37">
      <c r="B37" s="2" t="s">
        <v>16</v>
      </c>
      <c r="D37" s="2" t="s">
        <v>105</v>
      </c>
      <c r="E37" s="2">
        <v>90.0</v>
      </c>
      <c r="F37" s="2" t="s">
        <v>106</v>
      </c>
    </row>
    <row r="38">
      <c r="B38" s="2" t="s">
        <v>107</v>
      </c>
      <c r="C38" s="2" t="s">
        <v>34</v>
      </c>
    </row>
    <row r="39">
      <c r="B39" s="2" t="s">
        <v>108</v>
      </c>
      <c r="C39" s="2" t="s">
        <v>109</v>
      </c>
    </row>
    <row r="41">
      <c r="C41" s="2" t="s">
        <v>110</v>
      </c>
      <c r="D41" s="2" t="s">
        <v>111</v>
      </c>
    </row>
    <row r="42">
      <c r="B42" s="2"/>
      <c r="C42" s="2" t="s">
        <v>16</v>
      </c>
      <c r="D42" s="2" t="s">
        <v>18</v>
      </c>
    </row>
    <row r="43">
      <c r="B43" s="2" t="s">
        <v>107</v>
      </c>
      <c r="C43" s="2" t="s">
        <v>34</v>
      </c>
      <c r="D43" s="2" t="s">
        <v>112</v>
      </c>
      <c r="E43" s="2" t="s">
        <v>113</v>
      </c>
    </row>
    <row r="44">
      <c r="B44" s="2" t="s">
        <v>108</v>
      </c>
      <c r="C44" s="2" t="s">
        <v>109</v>
      </c>
      <c r="D44" s="2" t="s">
        <v>114</v>
      </c>
      <c r="E44" s="2" t="s">
        <v>115</v>
      </c>
    </row>
    <row r="46">
      <c r="C46" s="2" t="s">
        <v>116</v>
      </c>
      <c r="D46" s="2" t="s">
        <v>111</v>
      </c>
    </row>
    <row r="47">
      <c r="B47" s="2"/>
      <c r="C47" s="2" t="s">
        <v>16</v>
      </c>
      <c r="D47" s="2" t="s">
        <v>18</v>
      </c>
    </row>
    <row r="48">
      <c r="B48" s="2" t="s">
        <v>117</v>
      </c>
      <c r="C48" s="2" t="s">
        <v>109</v>
      </c>
      <c r="D48" s="2" t="s">
        <v>114</v>
      </c>
      <c r="E48" s="2" t="s">
        <v>118</v>
      </c>
    </row>
    <row r="49">
      <c r="B49" s="2" t="s">
        <v>108</v>
      </c>
      <c r="C49" s="2" t="s">
        <v>109</v>
      </c>
      <c r="D49" s="2" t="s">
        <v>114</v>
      </c>
      <c r="E49" s="2" t="s">
        <v>115</v>
      </c>
    </row>
    <row r="52">
      <c r="B52" s="2" t="s">
        <v>119</v>
      </c>
    </row>
    <row r="53">
      <c r="B53" s="2" t="s">
        <v>120</v>
      </c>
    </row>
    <row r="56">
      <c r="B56" s="2" t="s">
        <v>121</v>
      </c>
      <c r="C56" s="2" t="s">
        <v>122</v>
      </c>
    </row>
    <row r="57">
      <c r="B57" s="2" t="s">
        <v>123</v>
      </c>
      <c r="C57" s="2" t="s">
        <v>124</v>
      </c>
      <c r="D57" s="2" t="s">
        <v>125</v>
      </c>
    </row>
    <row r="58">
      <c r="B58" s="2" t="s">
        <v>126</v>
      </c>
      <c r="C58" s="2" t="s">
        <v>127</v>
      </c>
      <c r="D58" s="2" t="s">
        <v>125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hidden="1" min="1" max="1" width="12.63"/>
    <col customWidth="1" min="2" max="2" width="12.88"/>
    <col customWidth="1" min="3" max="3" width="21.0"/>
    <col customWidth="1" min="4" max="4" width="5.0"/>
    <col customWidth="1" min="5" max="5" width="11.38"/>
    <col customWidth="1" min="6" max="6" width="10.63"/>
    <col customWidth="1" min="7" max="7" width="10.25"/>
    <col customWidth="1" min="8" max="8" width="12.25"/>
    <col customWidth="1" min="9" max="9" width="8.0"/>
    <col customWidth="1" min="10" max="10" width="11.38"/>
    <col customWidth="1" min="11" max="11" width="10.88"/>
    <col customWidth="1" min="12" max="12" width="11.63"/>
  </cols>
  <sheetData>
    <row r="1"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>
      <c r="B2" s="16" t="s">
        <v>128</v>
      </c>
      <c r="C2" s="17"/>
      <c r="D2" s="17"/>
      <c r="E2" s="17"/>
      <c r="F2" s="17"/>
      <c r="G2" s="17"/>
      <c r="H2" s="17"/>
      <c r="I2" s="17"/>
      <c r="J2" s="17"/>
      <c r="K2" s="17"/>
      <c r="L2" s="18"/>
    </row>
    <row r="4" ht="24.0" customHeight="1">
      <c r="A4" s="19"/>
      <c r="B4" s="20" t="s">
        <v>129</v>
      </c>
      <c r="C4" s="21" t="s">
        <v>130</v>
      </c>
      <c r="D4" s="21" t="s">
        <v>131</v>
      </c>
      <c r="E4" s="22" t="s">
        <v>132</v>
      </c>
      <c r="F4" s="22" t="s">
        <v>133</v>
      </c>
      <c r="G4" s="22" t="s">
        <v>134</v>
      </c>
      <c r="H4" s="22" t="s">
        <v>135</v>
      </c>
      <c r="I4" s="22" t="s">
        <v>136</v>
      </c>
      <c r="J4" s="22" t="s">
        <v>137</v>
      </c>
      <c r="K4" s="23" t="s">
        <v>138</v>
      </c>
      <c r="L4" s="24" t="s">
        <v>139</v>
      </c>
      <c r="M4" s="19"/>
    </row>
    <row r="5">
      <c r="A5" s="25"/>
      <c r="B5" s="26"/>
      <c r="C5" s="27"/>
      <c r="D5" s="28" t="s">
        <v>140</v>
      </c>
      <c r="E5" s="28" t="s">
        <v>31</v>
      </c>
      <c r="F5" s="28" t="s">
        <v>141</v>
      </c>
      <c r="G5" s="28" t="s">
        <v>142</v>
      </c>
      <c r="H5" s="28" t="s">
        <v>143</v>
      </c>
      <c r="I5" s="28" t="s">
        <v>144</v>
      </c>
      <c r="J5" s="28" t="s">
        <v>145</v>
      </c>
      <c r="K5" s="29" t="s">
        <v>146</v>
      </c>
      <c r="L5" s="30" t="s">
        <v>146</v>
      </c>
      <c r="M5" s="25"/>
    </row>
    <row r="6" ht="24.0" customHeight="1">
      <c r="A6" s="19"/>
      <c r="B6" s="31" t="s">
        <v>147</v>
      </c>
      <c r="C6" s="32" t="s">
        <v>148</v>
      </c>
      <c r="D6" s="33">
        <v>100.0</v>
      </c>
      <c r="E6" s="34">
        <v>0.1</v>
      </c>
      <c r="F6" s="35">
        <v>0.04</v>
      </c>
      <c r="G6" s="35">
        <v>0.03</v>
      </c>
      <c r="H6" s="35">
        <v>0.1</v>
      </c>
      <c r="I6" s="35">
        <v>0.6</v>
      </c>
      <c r="J6" s="35">
        <v>0.6</v>
      </c>
      <c r="K6" s="36">
        <v>0.1</v>
      </c>
      <c r="L6" s="37">
        <v>0.07</v>
      </c>
      <c r="M6" s="19"/>
    </row>
    <row r="7" ht="24.0" customHeight="1">
      <c r="A7" s="38"/>
      <c r="B7" s="31" t="s">
        <v>149</v>
      </c>
      <c r="C7" s="32" t="s">
        <v>150</v>
      </c>
      <c r="D7" s="33">
        <v>500.0</v>
      </c>
      <c r="E7" s="34">
        <v>0.05</v>
      </c>
      <c r="F7" s="35">
        <v>0.015</v>
      </c>
      <c r="G7" s="35">
        <v>0.011</v>
      </c>
      <c r="H7" s="35">
        <v>0.075</v>
      </c>
      <c r="I7" s="35">
        <v>0.6</v>
      </c>
      <c r="J7" s="35">
        <v>0.6</v>
      </c>
      <c r="K7" s="36">
        <v>0.1</v>
      </c>
      <c r="L7" s="37">
        <v>0.07</v>
      </c>
      <c r="M7" s="38"/>
    </row>
    <row r="8" ht="24.0" customHeight="1">
      <c r="A8" s="38"/>
      <c r="B8" s="31" t="s">
        <v>149</v>
      </c>
      <c r="C8" s="32" t="s">
        <v>148</v>
      </c>
      <c r="D8" s="33">
        <v>500.0</v>
      </c>
      <c r="E8" s="34">
        <v>0.05</v>
      </c>
      <c r="F8" s="35">
        <v>0.02</v>
      </c>
      <c r="G8" s="35">
        <v>0.015</v>
      </c>
      <c r="H8" s="35">
        <v>0.075</v>
      </c>
      <c r="I8" s="35">
        <v>0.6</v>
      </c>
      <c r="J8" s="35">
        <v>0.6</v>
      </c>
      <c r="K8" s="36">
        <v>0.1</v>
      </c>
      <c r="L8" s="37">
        <v>0.07</v>
      </c>
      <c r="M8" s="38"/>
    </row>
    <row r="9" ht="24.0" customHeight="1">
      <c r="A9" s="38"/>
      <c r="B9" s="31" t="s">
        <v>151</v>
      </c>
      <c r="C9" s="32" t="s">
        <v>150</v>
      </c>
      <c r="D9" s="33">
        <v>500.0</v>
      </c>
      <c r="E9" s="34">
        <v>0.05</v>
      </c>
      <c r="F9" s="35">
        <v>0.012</v>
      </c>
      <c r="G9" s="35">
        <v>0.009</v>
      </c>
      <c r="H9" s="35">
        <v>0.075</v>
      </c>
      <c r="I9" s="35">
        <v>0.6</v>
      </c>
      <c r="J9" s="35">
        <v>0.6</v>
      </c>
      <c r="K9" s="36">
        <v>0.1</v>
      </c>
      <c r="L9" s="37">
        <v>0.07</v>
      </c>
      <c r="M9" s="38"/>
    </row>
    <row r="10" ht="24.0" customHeight="1">
      <c r="A10" s="38"/>
      <c r="B10" s="31" t="s">
        <v>151</v>
      </c>
      <c r="C10" s="32" t="s">
        <v>148</v>
      </c>
      <c r="D10" s="33">
        <v>500.0</v>
      </c>
      <c r="E10" s="34">
        <v>0.05</v>
      </c>
      <c r="F10" s="35">
        <v>0.016</v>
      </c>
      <c r="G10" s="35">
        <v>0.012</v>
      </c>
      <c r="H10" s="35">
        <v>0.075</v>
      </c>
      <c r="I10" s="35">
        <v>0.6</v>
      </c>
      <c r="J10" s="35">
        <v>0.6</v>
      </c>
      <c r="K10" s="36">
        <v>0.1</v>
      </c>
      <c r="L10" s="37">
        <v>0.07</v>
      </c>
      <c r="M10" s="38"/>
    </row>
    <row r="11" ht="24.0" customHeight="1">
      <c r="A11" s="38"/>
      <c r="B11" s="31" t="s">
        <v>152</v>
      </c>
      <c r="C11" s="32" t="s">
        <v>150</v>
      </c>
      <c r="D11" s="33"/>
      <c r="E11" s="34"/>
      <c r="F11" s="35"/>
      <c r="G11" s="35"/>
      <c r="H11" s="35"/>
      <c r="I11" s="35"/>
      <c r="J11" s="35"/>
      <c r="K11" s="36"/>
      <c r="L11" s="37"/>
      <c r="M11" s="38"/>
    </row>
    <row r="12" ht="24.0" customHeight="1">
      <c r="A12" s="19"/>
      <c r="B12" s="31" t="s">
        <v>152</v>
      </c>
      <c r="C12" s="32" t="s">
        <v>148</v>
      </c>
      <c r="D12" s="39"/>
      <c r="E12" s="40"/>
      <c r="F12" s="41"/>
      <c r="G12" s="41"/>
      <c r="H12" s="41"/>
      <c r="I12" s="41"/>
      <c r="J12" s="41"/>
      <c r="K12" s="42"/>
      <c r="L12" s="43"/>
      <c r="M12" s="19"/>
    </row>
  </sheetData>
  <mergeCells count="1">
    <mergeCell ref="B2:L2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