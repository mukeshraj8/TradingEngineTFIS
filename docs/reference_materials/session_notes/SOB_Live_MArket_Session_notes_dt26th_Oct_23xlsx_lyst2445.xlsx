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26-10-2023" sheetId="1" r:id="rId4"/>
    <sheet state="visible" name="2. 26-10-2023" sheetId="2" r:id="rId5"/>
  </sheets>
  <definedNames/>
  <calcPr/>
</workbook>
</file>

<file path=xl/sharedStrings.xml><?xml version="1.0" encoding="utf-8"?>
<sst xmlns="http://schemas.openxmlformats.org/spreadsheetml/2006/main" count="153" uniqueCount="120">
  <si>
    <t>May The Peaceful Prosperity Be With You Always.!!!</t>
  </si>
  <si>
    <t>TATACHEM</t>
  </si>
  <si>
    <t>Monthly Status = Bearish Confirmed</t>
  </si>
  <si>
    <t>Particulars</t>
  </si>
  <si>
    <t>Monthly Status = Bearish | Bearish Confirmed</t>
  </si>
  <si>
    <t>Calculations</t>
  </si>
  <si>
    <t>Gap Caln</t>
  </si>
  <si>
    <t>Trade Only PUT Buy</t>
  </si>
  <si>
    <t>ITM</t>
  </si>
  <si>
    <t>Step 3</t>
  </si>
  <si>
    <t>Collect the Data for Spot</t>
  </si>
  <si>
    <r>
      <rPr>
        <rFont val="Calibri, sans-serif"/>
        <b/>
        <color rgb="FF000000"/>
        <sz val="13.0"/>
      </rPr>
      <t>Previous 2DLL</t>
    </r>
    <r>
      <rPr>
        <rFont val="Calibri, sans-serif"/>
        <color rgb="FF000000"/>
        <sz val="13.0"/>
      </rPr>
      <t xml:space="preserve"> of Spot</t>
    </r>
  </si>
  <si>
    <t>09:30 am Low</t>
  </si>
  <si>
    <t>Final</t>
  </si>
  <si>
    <t>Step 4</t>
  </si>
  <si>
    <t>Check The Strike Factor</t>
  </si>
  <si>
    <t>Step 5</t>
  </si>
  <si>
    <t>Find the Strike Range</t>
  </si>
  <si>
    <r>
      <rPr>
        <rFont val="Calibri, sans-serif"/>
        <b/>
        <color rgb="FF000000"/>
        <sz val="13.0"/>
      </rPr>
      <t>Start Strike</t>
    </r>
    <r>
      <rPr>
        <rFont val="Calibri, sans-serif"/>
        <color rgb="FF000000"/>
        <sz val="13.0"/>
      </rPr>
      <t xml:space="preserve"> = 
Spot Previous </t>
    </r>
    <r>
      <rPr>
        <rFont val="Calibri, sans-serif"/>
        <b/>
        <color rgb="FF000000"/>
        <sz val="13.0"/>
      </rPr>
      <t>2DLL</t>
    </r>
    <r>
      <rPr>
        <rFont val="Calibri, sans-serif"/>
        <color rgb="FF000000"/>
        <sz val="13.0"/>
      </rPr>
      <t xml:space="preserve"> &amp; 
RoundOff to the Nearest Strike</t>
    </r>
  </si>
  <si>
    <r>
      <rPr>
        <rFont val="Calibri, sans-serif"/>
        <b/>
        <color rgb="FF000000"/>
        <sz val="13.0"/>
      </rPr>
      <t>End Strike</t>
    </r>
    <r>
      <rPr>
        <rFont val="Calibri, sans-serif"/>
        <color rgb="FF000000"/>
        <sz val="13.0"/>
      </rPr>
      <t xml:space="preserve"> = 
Start Strike + </t>
    </r>
    <r>
      <rPr>
        <rFont val="Calibri, sans-serif"/>
        <b/>
        <color rgb="FF000000"/>
        <sz val="13.0"/>
      </rPr>
      <t>1 Strike</t>
    </r>
  </si>
  <si>
    <r>
      <rPr>
        <rFont val="Calibri, sans-serif"/>
        <b/>
        <color rgb="FF000000"/>
        <sz val="13.0"/>
      </rPr>
      <t>Last Choice Strike</t>
    </r>
    <r>
      <rPr>
        <rFont val="Calibri, sans-serif"/>
        <color rgb="FF000000"/>
        <sz val="13.0"/>
      </rPr>
      <t xml:space="preserve"> = 
Start Strike - </t>
    </r>
    <r>
      <rPr>
        <rFont val="Calibri, sans-serif"/>
        <b/>
        <color rgb="FF000000"/>
        <sz val="13.0"/>
      </rPr>
      <t>1 Strike</t>
    </r>
  </si>
  <si>
    <r>
      <rPr>
        <rFont val="Calibri, sans-serif"/>
        <b/>
        <color theme="1"/>
        <sz val="13.0"/>
      </rPr>
      <t>Note:</t>
    </r>
    <r>
      <rPr>
        <rFont val="Calibri, sans-serif"/>
        <color theme="1"/>
        <sz val="13.0"/>
      </rPr>
      <t xml:space="preserve"> If The Price Is Exact </t>
    </r>
    <r>
      <rPr>
        <rFont val="Calibri, sans-serif"/>
        <b/>
        <color theme="1"/>
        <sz val="13.0"/>
      </rPr>
      <t>Mid-Point</t>
    </r>
    <r>
      <rPr>
        <rFont val="Calibri, sans-serif"/>
        <color theme="1"/>
        <sz val="13.0"/>
      </rPr>
      <t xml:space="preserve"> of Two Strikes Then Choose The Nearest </t>
    </r>
    <r>
      <rPr>
        <rFont val="Calibri, sans-serif"/>
        <b/>
        <color theme="1"/>
        <sz val="13.0"/>
      </rPr>
      <t>ITM</t>
    </r>
    <r>
      <rPr>
        <rFont val="Calibri, sans-serif"/>
        <color theme="1"/>
        <sz val="13.0"/>
      </rPr>
      <t xml:space="preserve"> Strike For The Start Strike. </t>
    </r>
  </si>
  <si>
    <t>Lot Size</t>
  </si>
  <si>
    <t>Step 6</t>
  </si>
  <si>
    <t>Minimum OI</t>
  </si>
  <si>
    <t>100 Lots ( 100 * Lot Size)</t>
  </si>
  <si>
    <t>Step 7 a</t>
  </si>
  <si>
    <t>Qualifying the Strikes for Final Strike in Near Contract</t>
  </si>
  <si>
    <r>
      <rPr>
        <rFont val="Calibri, sans-serif"/>
        <b/>
        <color rgb="FF000000"/>
        <sz val="13.0"/>
      </rPr>
      <t xml:space="preserve">Check </t>
    </r>
    <r>
      <rPr>
        <rFont val="Calibri, sans-serif"/>
        <color rgb="FF000000"/>
        <sz val="13.0"/>
      </rPr>
      <t xml:space="preserve">from </t>
    </r>
    <r>
      <rPr>
        <rFont val="Calibri, sans-serif"/>
        <b/>
        <color rgb="FF000000"/>
        <sz val="13.0"/>
      </rPr>
      <t xml:space="preserve">Start </t>
    </r>
    <r>
      <rPr>
        <rFont val="Calibri, sans-serif"/>
        <color rgb="FF000000"/>
        <sz val="13.0"/>
      </rPr>
      <t xml:space="preserve">Strike to </t>
    </r>
    <r>
      <rPr>
        <rFont val="Calibri, sans-serif"/>
        <b/>
        <color rgb="FF000000"/>
        <sz val="13.0"/>
      </rPr>
      <t xml:space="preserve">End </t>
    </r>
    <r>
      <rPr>
        <rFont val="Calibri, sans-serif"/>
        <color rgb="FF000000"/>
        <sz val="13.0"/>
      </rPr>
      <t xml:space="preserve">Strike and </t>
    </r>
    <r>
      <rPr>
        <rFont val="Calibri, sans-serif"/>
        <b/>
        <color rgb="FF000000"/>
        <sz val="13.0"/>
      </rPr>
      <t xml:space="preserve">Choose the First Strike </t>
    </r>
    <r>
      <rPr>
        <rFont val="Calibri, sans-serif"/>
        <color rgb="FF000000"/>
        <sz val="13.0"/>
      </rPr>
      <t xml:space="preserve">Which is </t>
    </r>
    <r>
      <rPr>
        <rFont val="Calibri, sans-serif"/>
        <b/>
        <color rgb="FF000000"/>
        <sz val="13.0"/>
      </rPr>
      <t>Qualifying</t>
    </r>
    <r>
      <rPr>
        <rFont val="Calibri, sans-serif"/>
        <color rgb="FF000000"/>
        <sz val="13.0"/>
      </rPr>
      <t xml:space="preserve"> Min OI Criteria in Near Contract.</t>
    </r>
  </si>
  <si>
    <t>Step 7 b</t>
  </si>
  <si>
    <t>Qualifying the Last Choice Strike for Final Strike in Near Contract</t>
  </si>
  <si>
    <r>
      <rPr>
        <rFont val="Calibri, sans-serif"/>
        <color theme="1"/>
        <sz val="13.0"/>
      </rPr>
      <t xml:space="preserve">If All the Above Strikes From </t>
    </r>
    <r>
      <rPr>
        <rFont val="Calibri, sans-serif"/>
        <b/>
        <color theme="1"/>
        <sz val="13.0"/>
      </rPr>
      <t>Start</t>
    </r>
    <r>
      <rPr>
        <rFont val="Calibri, sans-serif"/>
        <color theme="1"/>
        <sz val="13.0"/>
      </rPr>
      <t xml:space="preserve"> To </t>
    </r>
    <r>
      <rPr>
        <rFont val="Calibri, sans-serif"/>
        <b/>
        <color theme="1"/>
        <sz val="13.0"/>
      </rPr>
      <t xml:space="preserve">End </t>
    </r>
    <r>
      <rPr>
        <rFont val="Calibri, sans-serif"/>
        <color theme="1"/>
        <sz val="13.0"/>
      </rPr>
      <t xml:space="preserve">are </t>
    </r>
    <r>
      <rPr>
        <rFont val="Calibri, sans-serif"/>
        <b/>
        <color theme="1"/>
        <sz val="13.0"/>
      </rPr>
      <t>Not Qualifying</t>
    </r>
    <r>
      <rPr>
        <rFont val="Calibri, sans-serif"/>
        <color theme="1"/>
        <sz val="13.0"/>
      </rPr>
      <t xml:space="preserve">, Then </t>
    </r>
    <r>
      <rPr>
        <rFont val="Calibri, sans-serif"/>
        <b/>
        <color theme="1"/>
        <sz val="13.0"/>
      </rPr>
      <t>Check</t>
    </r>
    <r>
      <rPr>
        <rFont val="Calibri, sans-serif"/>
        <color theme="1"/>
        <sz val="13.0"/>
      </rPr>
      <t xml:space="preserve"> If The </t>
    </r>
    <r>
      <rPr>
        <rFont val="Calibri, sans-serif"/>
        <b/>
        <color theme="1"/>
        <sz val="13.0"/>
      </rPr>
      <t>Last Choice Strike</t>
    </r>
    <r>
      <rPr>
        <rFont val="Calibri, sans-serif"/>
        <color theme="1"/>
        <sz val="13.0"/>
      </rPr>
      <t xml:space="preserve"> is </t>
    </r>
    <r>
      <rPr>
        <rFont val="Calibri, sans-serif"/>
        <b/>
        <color theme="1"/>
        <sz val="13.0"/>
      </rPr>
      <t xml:space="preserve">Qualifying </t>
    </r>
    <r>
      <rPr>
        <rFont val="Calibri, sans-serif"/>
        <color theme="1"/>
        <sz val="13.0"/>
      </rPr>
      <t>Min OI Criteria.</t>
    </r>
  </si>
  <si>
    <t>Step 7 c</t>
  </si>
  <si>
    <t>No Qualifying Strikes</t>
  </si>
  <si>
    <r>
      <rPr>
        <rFont val="Calibri, Arial"/>
        <color rgb="FF000000"/>
        <sz val="13.0"/>
      </rPr>
      <t xml:space="preserve">If All Of The Above Strikes are </t>
    </r>
    <r>
      <rPr>
        <rFont val="Calibri, Arial"/>
        <b/>
        <color rgb="FF000000"/>
        <sz val="13.0"/>
      </rPr>
      <t>Not Qualifying</t>
    </r>
    <r>
      <rPr>
        <rFont val="Calibri, Arial"/>
        <color rgb="FF000000"/>
        <sz val="13.0"/>
      </rPr>
      <t xml:space="preserve"> in The Near Contract as well as in The Next Contract Then </t>
    </r>
    <r>
      <rPr>
        <rFont val="Calibri, Arial"/>
        <b/>
        <color rgb="FF000000"/>
        <sz val="13.0"/>
      </rPr>
      <t>Do Not Place</t>
    </r>
    <r>
      <rPr>
        <rFont val="Calibri, Arial"/>
        <color rgb="FF000000"/>
        <sz val="13.0"/>
      </rPr>
      <t xml:space="preserve"> Orders for That Particular Day.</t>
    </r>
  </si>
  <si>
    <t>Gap</t>
  </si>
  <si>
    <t>Monthly Status</t>
  </si>
  <si>
    <t>2DHH</t>
  </si>
  <si>
    <t>Trade Details</t>
  </si>
  <si>
    <t>Trade</t>
  </si>
  <si>
    <r>
      <rPr>
        <rFont val="Calibri, sans-serif"/>
        <b/>
        <color rgb="FF000000"/>
        <sz val="13.0"/>
      </rPr>
      <t>Put Buy</t>
    </r>
    <r>
      <rPr>
        <rFont val="Calibri, sans-serif"/>
        <b/>
        <color rgb="FF000000"/>
        <sz val="13.0"/>
      </rPr>
      <t xml:space="preserve"> Rules</t>
    </r>
  </si>
  <si>
    <t>Final HH</t>
  </si>
  <si>
    <t>Final Strike</t>
  </si>
  <si>
    <t>Step 8</t>
  </si>
  <si>
    <t>Entry</t>
  </si>
  <si>
    <t>BO</t>
  </si>
  <si>
    <r>
      <rPr>
        <rFont val="Calibri"/>
        <color rgb="FF000000"/>
        <sz val="13.0"/>
      </rPr>
      <t xml:space="preserve">Previous </t>
    </r>
    <r>
      <rPr>
        <rFont val="Calibri"/>
        <b/>
        <color rgb="FF000000"/>
        <sz val="13.0"/>
      </rPr>
      <t>2DHH</t>
    </r>
    <r>
      <rPr>
        <rFont val="Calibri"/>
        <color rgb="FF000000"/>
        <sz val="13.0"/>
      </rPr>
      <t xml:space="preserve"> of Final Strike </t>
    </r>
    <r>
      <rPr>
        <rFont val="Calibri"/>
        <b/>
        <color rgb="FF000000"/>
        <sz val="13.0"/>
      </rPr>
      <t>+ 5%</t>
    </r>
  </si>
  <si>
    <t>Step 9</t>
  </si>
  <si>
    <t>Target 1</t>
  </si>
  <si>
    <t>SO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</si>
  <si>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3% )</t>
    </r>
  </si>
  <si>
    <t>Step 10</t>
  </si>
  <si>
    <t>Target 2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</si>
  <si>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4.5% )</t>
    </r>
  </si>
  <si>
    <t>Step 11</t>
  </si>
  <si>
    <t>Target 3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</si>
  <si>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6% )</t>
    </r>
  </si>
  <si>
    <t>Step 12</t>
  </si>
  <si>
    <t>Target 4</t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</si>
  <si>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8% )</t>
    </r>
  </si>
  <si>
    <t>Step 13</t>
  </si>
  <si>
    <t>Stop Loss</t>
  </si>
  <si>
    <r>
      <rPr>
        <rFont val="Calibri"/>
        <b/>
        <color theme="1"/>
        <sz val="13.0"/>
      </rPr>
      <t xml:space="preserve"> </t>
    </r>
    <r>
      <rPr>
        <rFont val="Calibri"/>
        <color theme="1"/>
        <sz val="13.0"/>
      </rPr>
      <t xml:space="preserve">( Put Buy </t>
    </r>
    <r>
      <rPr>
        <rFont val="Calibri"/>
        <b/>
        <color theme="1"/>
        <sz val="13.0"/>
      </rPr>
      <t>Entry</t>
    </r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>-</t>
    </r>
    <r>
      <rPr>
        <rFont val="Calibri"/>
        <color theme="1"/>
        <sz val="13.0"/>
      </rPr>
      <t xml:space="preserve"> (Final Strike </t>
    </r>
    <r>
      <rPr>
        <rFont val="Calibri"/>
        <b/>
        <color theme="1"/>
        <sz val="13.0"/>
      </rPr>
      <t xml:space="preserve">* 3% </t>
    </r>
    <r>
      <rPr>
        <rFont val="Calibri"/>
        <color theme="1"/>
        <sz val="13.0"/>
      </rPr>
      <t>)</t>
    </r>
  </si>
  <si>
    <r>
      <rPr>
        <rFont val="Calibri, sans-serif"/>
        <b/>
        <color theme="1"/>
        <sz val="13.0"/>
      </rPr>
      <t>Note:</t>
    </r>
    <r>
      <rPr>
        <rFont val="Calibri, sans-serif"/>
        <color theme="1"/>
        <sz val="13.0"/>
      </rPr>
      <t xml:space="preserve"> If The Stop loss Price Is </t>
    </r>
    <r>
      <rPr>
        <rFont val="Calibri, sans-serif"/>
        <b/>
        <color theme="1"/>
        <sz val="13.0"/>
      </rPr>
      <t xml:space="preserve">Negative, </t>
    </r>
    <r>
      <rPr>
        <rFont val="Calibri, sans-serif"/>
        <color theme="1"/>
        <sz val="13.0"/>
      </rPr>
      <t xml:space="preserve">then </t>
    </r>
    <r>
      <rPr>
        <rFont val="Calibri, sans-serif"/>
        <b/>
        <color theme="1"/>
        <sz val="13.0"/>
      </rPr>
      <t>Do Not Place SL</t>
    </r>
    <r>
      <rPr>
        <rFont val="Calibri, sans-serif"/>
        <color theme="1"/>
        <sz val="13.0"/>
      </rPr>
      <t xml:space="preserve"> Order for That Trade.</t>
    </r>
  </si>
  <si>
    <t>Option Type</t>
  </si>
  <si>
    <t>Put</t>
  </si>
  <si>
    <t>Order Type</t>
  </si>
  <si>
    <t>Order Time</t>
  </si>
  <si>
    <t>BUY</t>
  </si>
  <si>
    <t>SELL</t>
  </si>
  <si>
    <t>Approx Capital Capital For 1 Lot</t>
  </si>
  <si>
    <t>For Entry</t>
  </si>
  <si>
    <t>Monthly Strategy</t>
  </si>
  <si>
    <t>OB Strategy</t>
  </si>
  <si>
    <t>Graph</t>
  </si>
  <si>
    <t>10 mins</t>
  </si>
  <si>
    <t>No. of Candle</t>
  </si>
  <si>
    <t>Type of Graph</t>
  </si>
  <si>
    <t>Options - Specific Graph</t>
  </si>
  <si>
    <t>IF 09:25 am High &lt; Entry</t>
  </si>
  <si>
    <t>Not Missed</t>
  </si>
  <si>
    <t>Action</t>
  </si>
  <si>
    <t>Place the Orders at 09:25 am</t>
  </si>
  <si>
    <t>IF 09:25 am High &gt;= Entry</t>
  </si>
  <si>
    <t>Missed</t>
  </si>
  <si>
    <t>09:25 AM High</t>
  </si>
  <si>
    <t>Wait Till 09:30 AM</t>
  </si>
  <si>
    <t>Recalculate From Rule No.1</t>
  </si>
  <si>
    <t>Trend Status</t>
  </si>
  <si>
    <t>PML</t>
  </si>
  <si>
    <t>Date</t>
  </si>
  <si>
    <t>Bullish ( PWH or CWH + 1%)</t>
  </si>
  <si>
    <t>Bearish Value</t>
  </si>
  <si>
    <t>PWH</t>
  </si>
  <si>
    <t>03-ocT TO 06-oCT</t>
  </si>
  <si>
    <t>CWH</t>
  </si>
  <si>
    <t>Bearish Confimed</t>
  </si>
  <si>
    <t>Day</t>
  </si>
  <si>
    <t>Down = Bear CF</t>
  </si>
  <si>
    <t>Up = Bull</t>
  </si>
  <si>
    <t>Final Status</t>
  </si>
  <si>
    <t>No Changed</t>
  </si>
  <si>
    <t>Bear</t>
  </si>
  <si>
    <t>Bull</t>
  </si>
  <si>
    <t>Bullish Confimed</t>
  </si>
  <si>
    <t>Bullish Value</t>
  </si>
  <si>
    <t>Bear ( PWL &amp; CWL ) - 1%</t>
  </si>
  <si>
    <t>PWL &amp; CWL</t>
  </si>
  <si>
    <t>Bearish</t>
  </si>
  <si>
    <t>Bearish Confirmed</t>
  </si>
  <si>
    <t>Risk Management</t>
  </si>
  <si>
    <t>1 Lot = TATACHEM</t>
  </si>
  <si>
    <t>CMP ( SPot )</t>
  </si>
  <si>
    <t>Contract Value</t>
  </si>
  <si>
    <t>Risk %</t>
  </si>
  <si>
    <t>Risk in Amount</t>
  </si>
  <si>
    <t>Max No of SL</t>
  </si>
  <si>
    <t>MAx SL in Value ( Risk )</t>
  </si>
  <si>
    <t>Margin</t>
  </si>
  <si>
    <t>Total Capita ( Risk + Margin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</si>
</sst>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dd-mmm-yyyy"/>
  </numFmts>
  <fonts count="8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color theme="1"/>
      <name val="Arial"/>
      <scheme val="minor"/>
    </font>
    <font>
      <sz val="13.0"/>
      <color rgb="FF000000"/>
      <name val="Calibri"/>
    </font>
    <font/>
    <font>
      <b/>
      <sz val="13.0"/>
      <color rgb="FF000000"/>
      <name val="Calibri"/>
    </font>
    <font>
      <sz val="13.0"/>
      <color rgb="FFFFFFFF"/>
      <name val="Calibri"/>
    </font>
    <font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0" fillId="0" fontId="2" numFmtId="0" xfId="0" applyAlignment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3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0" xfId="0" applyFont="1"/>
    <xf borderId="0" fillId="3" fontId="2" numFmtId="0" xfId="0" applyAlignment="1" applyFont="1">
      <alignment readingOrder="0"/>
    </xf>
    <xf borderId="7" fillId="2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3" fillId="0" fontId="7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ill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vertical="center"/>
    </xf>
    <xf borderId="7" fillId="7" fontId="3" numFmtId="0" xfId="0" applyAlignment="1" applyBorder="1" applyFill="1" applyFon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2" numFmtId="2" xfId="0" applyFont="1" applyNumberFormat="1"/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2.13"/>
    <col customWidth="1" min="4" max="4" width="28.38"/>
    <col customWidth="1" min="5" max="5" width="15.5"/>
    <col customWidth="1" min="6" max="6" width="7.13"/>
    <col customWidth="1" min="7" max="7" width="8.38"/>
    <col customWidth="1" min="8" max="8" width="8.0"/>
    <col customWidth="1" min="10" max="10" width="8.25"/>
    <col customWidth="1" min="11" max="11" width="6.63"/>
  </cols>
  <sheetData>
    <row r="1">
      <c r="A1" s="1" t="s">
        <v>0</v>
      </c>
      <c r="E1" s="2"/>
    </row>
    <row r="2">
      <c r="E2" s="2"/>
    </row>
    <row r="3">
      <c r="A3" s="3" t="s">
        <v>1</v>
      </c>
      <c r="E3" s="2"/>
    </row>
    <row r="4">
      <c r="A4" s="3" t="s">
        <v>2</v>
      </c>
      <c r="E4" s="2"/>
    </row>
    <row r="5">
      <c r="A5" s="4" t="s">
        <v>3</v>
      </c>
      <c r="B5" s="5"/>
      <c r="C5" s="6" t="s">
        <v>4</v>
      </c>
      <c r="D5" s="7"/>
      <c r="E5" s="8" t="s">
        <v>5</v>
      </c>
      <c r="G5" s="3" t="s">
        <v>6</v>
      </c>
    </row>
    <row r="6">
      <c r="A6" s="9"/>
      <c r="B6" s="10"/>
      <c r="C6" s="11" t="s">
        <v>7</v>
      </c>
      <c r="D6" s="7"/>
      <c r="E6" s="2"/>
    </row>
    <row r="7">
      <c r="A7" s="12"/>
      <c r="B7" s="12"/>
      <c r="C7" s="12"/>
      <c r="D7" s="12"/>
      <c r="E7" s="2"/>
      <c r="I7" s="13">
        <f>J7-J8</f>
        <v>8</v>
      </c>
      <c r="J7" s="14">
        <v>970.0</v>
      </c>
      <c r="L7" s="13">
        <f>M7-M8</f>
        <v>5</v>
      </c>
      <c r="M7" s="14">
        <v>970.0</v>
      </c>
      <c r="N7" s="3" t="s">
        <v>8</v>
      </c>
    </row>
    <row r="8">
      <c r="A8" s="15" t="s">
        <v>9</v>
      </c>
      <c r="B8" s="16" t="s">
        <v>10</v>
      </c>
      <c r="C8" s="17" t="s">
        <v>11</v>
      </c>
      <c r="D8" s="7"/>
      <c r="E8" s="18">
        <v>962.0</v>
      </c>
      <c r="F8" s="3" t="s">
        <v>12</v>
      </c>
      <c r="G8" s="14">
        <v>943.7</v>
      </c>
      <c r="H8" s="3" t="s">
        <v>13</v>
      </c>
      <c r="J8" s="3">
        <v>962.0</v>
      </c>
      <c r="M8" s="3">
        <v>965.0</v>
      </c>
    </row>
    <row r="9">
      <c r="A9" s="12"/>
      <c r="B9" s="12"/>
      <c r="C9" s="19"/>
      <c r="D9" s="19"/>
      <c r="E9" s="2"/>
      <c r="I9" s="13">
        <f>J8-J9</f>
        <v>2</v>
      </c>
      <c r="J9" s="14">
        <v>960.0</v>
      </c>
      <c r="L9" s="13">
        <f>M8-M9</f>
        <v>5</v>
      </c>
      <c r="M9" s="14">
        <v>960.0</v>
      </c>
    </row>
    <row r="10">
      <c r="A10" s="15" t="s">
        <v>14</v>
      </c>
      <c r="B10" s="16" t="s">
        <v>15</v>
      </c>
      <c r="C10" s="17" t="s">
        <v>15</v>
      </c>
      <c r="D10" s="7"/>
      <c r="E10" s="18">
        <v>10.0</v>
      </c>
      <c r="G10" s="18">
        <v>10.0</v>
      </c>
    </row>
    <row r="11">
      <c r="A11" s="12"/>
      <c r="B11" s="12"/>
      <c r="C11" s="19"/>
      <c r="D11" s="19"/>
      <c r="E11" s="2"/>
    </row>
    <row r="12">
      <c r="A12" s="20" t="s">
        <v>16</v>
      </c>
      <c r="B12" s="21" t="s">
        <v>17</v>
      </c>
      <c r="C12" s="22" t="s">
        <v>18</v>
      </c>
      <c r="D12" s="7"/>
      <c r="E12" s="8">
        <v>960.0</v>
      </c>
      <c r="G12" s="8">
        <v>940.0</v>
      </c>
    </row>
    <row r="13">
      <c r="A13" s="23"/>
      <c r="B13" s="23"/>
      <c r="C13" s="22" t="s">
        <v>19</v>
      </c>
      <c r="D13" s="7"/>
      <c r="E13" s="2">
        <f>E12+E10</f>
        <v>970</v>
      </c>
      <c r="G13" s="2">
        <f>G12+G10</f>
        <v>950</v>
      </c>
    </row>
    <row r="14">
      <c r="A14" s="23"/>
      <c r="B14" s="23"/>
      <c r="C14" s="22" t="s">
        <v>20</v>
      </c>
      <c r="D14" s="7"/>
      <c r="E14" s="2">
        <f>E12-E10</f>
        <v>950</v>
      </c>
      <c r="G14" s="2">
        <f>G12-G10</f>
        <v>930</v>
      </c>
    </row>
    <row r="15">
      <c r="A15" s="24"/>
      <c r="B15" s="24"/>
      <c r="C15" s="25" t="s">
        <v>21</v>
      </c>
      <c r="D15" s="7"/>
      <c r="E15" s="2"/>
    </row>
    <row r="16">
      <c r="A16" s="12"/>
      <c r="B16" s="12"/>
      <c r="C16" s="19"/>
      <c r="D16" s="19"/>
      <c r="E16" s="2"/>
    </row>
    <row r="17">
      <c r="A17" s="26"/>
      <c r="B17" s="27" t="s">
        <v>22</v>
      </c>
      <c r="C17" s="28"/>
      <c r="D17" s="28"/>
      <c r="E17" s="18">
        <v>550.0</v>
      </c>
      <c r="G17" s="18">
        <f>E17</f>
        <v>550</v>
      </c>
    </row>
    <row r="18">
      <c r="A18" s="15" t="s">
        <v>23</v>
      </c>
      <c r="B18" s="16" t="s">
        <v>24</v>
      </c>
      <c r="C18" s="17" t="s">
        <v>25</v>
      </c>
      <c r="D18" s="7"/>
      <c r="E18" s="2">
        <f>E17*100</f>
        <v>55000</v>
      </c>
      <c r="G18" s="2">
        <f>G17*100</f>
        <v>55000</v>
      </c>
    </row>
    <row r="19">
      <c r="A19" s="29" t="s">
        <v>26</v>
      </c>
      <c r="B19" s="30" t="s">
        <v>27</v>
      </c>
      <c r="C19" s="17" t="s">
        <v>28</v>
      </c>
      <c r="D19" s="7"/>
      <c r="E19" s="2"/>
    </row>
    <row r="20">
      <c r="A20" s="29" t="s">
        <v>29</v>
      </c>
      <c r="B20" s="31" t="s">
        <v>30</v>
      </c>
      <c r="C20" s="32" t="s">
        <v>31</v>
      </c>
      <c r="D20" s="7"/>
      <c r="E20" s="2"/>
    </row>
    <row r="21">
      <c r="A21" s="29" t="s">
        <v>32</v>
      </c>
      <c r="B21" s="30" t="s">
        <v>33</v>
      </c>
      <c r="C21" s="33" t="s">
        <v>34</v>
      </c>
      <c r="D21" s="7"/>
      <c r="E21" s="2"/>
    </row>
    <row r="22">
      <c r="A22" s="12"/>
      <c r="B22" s="12"/>
      <c r="C22" s="19"/>
      <c r="D22" s="19"/>
      <c r="E22" s="2"/>
      <c r="I22" s="3" t="s">
        <v>35</v>
      </c>
    </row>
    <row r="23">
      <c r="A23" s="34" t="s">
        <v>36</v>
      </c>
      <c r="B23" s="7"/>
      <c r="C23" s="6" t="s">
        <v>4</v>
      </c>
      <c r="D23" s="7"/>
      <c r="E23" s="8" t="s">
        <v>37</v>
      </c>
    </row>
    <row r="24">
      <c r="A24" s="34" t="s">
        <v>38</v>
      </c>
      <c r="B24" s="7"/>
      <c r="C24" s="35" t="s">
        <v>39</v>
      </c>
      <c r="D24" s="35" t="s">
        <v>40</v>
      </c>
      <c r="E24" s="18">
        <v>33.8</v>
      </c>
      <c r="G24" s="18">
        <v>33.8</v>
      </c>
      <c r="H24" s="3" t="s">
        <v>41</v>
      </c>
      <c r="I24" s="18">
        <v>39.15</v>
      </c>
    </row>
    <row r="25">
      <c r="A25" s="15"/>
      <c r="B25" s="16" t="s">
        <v>42</v>
      </c>
      <c r="C25" s="36"/>
      <c r="D25" s="36"/>
      <c r="E25" s="18">
        <v>960.0</v>
      </c>
      <c r="G25" s="18">
        <v>960.0</v>
      </c>
      <c r="I25" s="18">
        <v>950.0</v>
      </c>
    </row>
    <row r="26">
      <c r="A26" s="15" t="s">
        <v>43</v>
      </c>
      <c r="B26" s="16" t="s">
        <v>44</v>
      </c>
      <c r="C26" s="36" t="s">
        <v>45</v>
      </c>
      <c r="D26" s="36" t="s">
        <v>46</v>
      </c>
      <c r="E26" s="37">
        <f>MROUND(E24*(1+5%),0.05)</f>
        <v>35.5</v>
      </c>
      <c r="I26" s="37">
        <f>MROUND(I24*(1+5%),0.05)</f>
        <v>41.1</v>
      </c>
    </row>
    <row r="27">
      <c r="A27" s="15" t="s">
        <v>47</v>
      </c>
      <c r="B27" s="16" t="s">
        <v>48</v>
      </c>
      <c r="C27" s="38" t="s">
        <v>49</v>
      </c>
      <c r="D27" s="39" t="s">
        <v>50</v>
      </c>
      <c r="E27" s="37">
        <f t="shared" ref="E27:E30" si="1">$E$26+G27</f>
        <v>64.3</v>
      </c>
      <c r="F27" s="40">
        <v>0.03</v>
      </c>
      <c r="G27" s="13">
        <f t="shared" ref="G27:G31" si="2">$E$25*F27</f>
        <v>28.8</v>
      </c>
      <c r="I27" s="37">
        <f t="shared" ref="I27:I30" si="3">$I$26+K27</f>
        <v>69.6</v>
      </c>
      <c r="J27" s="40">
        <v>0.03</v>
      </c>
      <c r="K27" s="13">
        <f t="shared" ref="K27:K31" si="4">$I$25*J27</f>
        <v>28.5</v>
      </c>
    </row>
    <row r="28">
      <c r="A28" s="15" t="s">
        <v>51</v>
      </c>
      <c r="B28" s="16" t="s">
        <v>52</v>
      </c>
      <c r="C28" s="38" t="s">
        <v>49</v>
      </c>
      <c r="D28" s="39" t="s">
        <v>53</v>
      </c>
      <c r="E28" s="37">
        <f t="shared" si="1"/>
        <v>78.7</v>
      </c>
      <c r="F28" s="41">
        <v>0.045</v>
      </c>
      <c r="G28" s="13">
        <f t="shared" si="2"/>
        <v>43.2</v>
      </c>
      <c r="I28" s="37">
        <f t="shared" si="3"/>
        <v>83.85</v>
      </c>
      <c r="J28" s="41">
        <v>0.045</v>
      </c>
      <c r="K28" s="13">
        <f t="shared" si="4"/>
        <v>42.75</v>
      </c>
    </row>
    <row r="29">
      <c r="A29" s="15" t="s">
        <v>54</v>
      </c>
      <c r="B29" s="16" t="s">
        <v>55</v>
      </c>
      <c r="C29" s="38" t="s">
        <v>49</v>
      </c>
      <c r="D29" s="39" t="s">
        <v>56</v>
      </c>
      <c r="E29" s="37">
        <f t="shared" si="1"/>
        <v>93.1</v>
      </c>
      <c r="F29" s="40">
        <v>0.06</v>
      </c>
      <c r="G29" s="13">
        <f t="shared" si="2"/>
        <v>57.6</v>
      </c>
      <c r="I29" s="37">
        <f t="shared" si="3"/>
        <v>98.1</v>
      </c>
      <c r="J29" s="40">
        <v>0.06</v>
      </c>
      <c r="K29" s="13">
        <f t="shared" si="4"/>
        <v>57</v>
      </c>
    </row>
    <row r="30">
      <c r="A30" s="15" t="s">
        <v>57</v>
      </c>
      <c r="B30" s="16" t="s">
        <v>58</v>
      </c>
      <c r="C30" s="38" t="s">
        <v>49</v>
      </c>
      <c r="D30" s="38" t="s">
        <v>59</v>
      </c>
      <c r="E30" s="37">
        <f t="shared" si="1"/>
        <v>112.3</v>
      </c>
      <c r="F30" s="40">
        <v>0.08</v>
      </c>
      <c r="G30" s="13">
        <f t="shared" si="2"/>
        <v>76.8</v>
      </c>
      <c r="I30" s="37">
        <f t="shared" si="3"/>
        <v>117.1</v>
      </c>
      <c r="J30" s="40">
        <v>0.08</v>
      </c>
      <c r="K30" s="13">
        <f t="shared" si="4"/>
        <v>76</v>
      </c>
    </row>
    <row r="31">
      <c r="A31" s="20" t="s">
        <v>60</v>
      </c>
      <c r="B31" s="21" t="s">
        <v>61</v>
      </c>
      <c r="C31" s="38" t="s">
        <v>49</v>
      </c>
      <c r="D31" s="39" t="s">
        <v>62</v>
      </c>
      <c r="E31" s="37">
        <f>E26-G31</f>
        <v>6.7</v>
      </c>
      <c r="F31" s="40">
        <v>0.03</v>
      </c>
      <c r="G31" s="13">
        <f t="shared" si="2"/>
        <v>28.8</v>
      </c>
      <c r="I31" s="37">
        <f>$I$26-K31</f>
        <v>12.6</v>
      </c>
      <c r="J31" s="40">
        <v>0.03</v>
      </c>
      <c r="K31" s="13">
        <f t="shared" si="4"/>
        <v>28.5</v>
      </c>
    </row>
    <row r="32">
      <c r="A32" s="24"/>
      <c r="B32" s="24"/>
      <c r="C32" s="25" t="s">
        <v>63</v>
      </c>
      <c r="D32" s="7"/>
      <c r="E32" s="2"/>
    </row>
    <row r="33">
      <c r="A33" s="12"/>
      <c r="B33" s="42"/>
      <c r="E33" s="2"/>
    </row>
    <row r="34">
      <c r="E34" s="2"/>
    </row>
    <row r="35">
      <c r="E35" s="2"/>
      <c r="F35" s="3" t="s">
        <v>37</v>
      </c>
    </row>
    <row r="36">
      <c r="E36" s="8"/>
    </row>
    <row r="37">
      <c r="E37" s="8"/>
    </row>
    <row r="38">
      <c r="E38" s="8"/>
    </row>
    <row r="39">
      <c r="E39" s="8"/>
      <c r="G39" s="40">
        <v>0.03</v>
      </c>
      <c r="H39" s="13">
        <v>28.799999999999997</v>
      </c>
    </row>
    <row r="40">
      <c r="E40" s="8"/>
      <c r="G40" s="41">
        <v>0.045</v>
      </c>
      <c r="H40" s="13">
        <v>43.199999999999996</v>
      </c>
    </row>
    <row r="41">
      <c r="E41" s="8"/>
      <c r="G41" s="40">
        <v>0.06</v>
      </c>
      <c r="H41" s="13">
        <v>57.599999999999994</v>
      </c>
    </row>
    <row r="42">
      <c r="E42" s="8"/>
      <c r="G42" s="40">
        <v>0.08</v>
      </c>
      <c r="H42" s="13">
        <v>76.8</v>
      </c>
    </row>
    <row r="43">
      <c r="E43" s="8"/>
      <c r="G43" s="40">
        <v>0.03</v>
      </c>
      <c r="H43" s="13">
        <v>28.799999999999997</v>
      </c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  <row r="1001">
      <c r="E1001" s="2"/>
    </row>
    <row r="1002">
      <c r="E1002" s="2"/>
    </row>
  </sheetData>
  <mergeCells count="21">
    <mergeCell ref="C12:D12"/>
    <mergeCell ref="C13:D13"/>
    <mergeCell ref="A5:B6"/>
    <mergeCell ref="C5:D5"/>
    <mergeCell ref="C6:D6"/>
    <mergeCell ref="C8:D8"/>
    <mergeCell ref="C10:D10"/>
    <mergeCell ref="A12:A15"/>
    <mergeCell ref="B12:B15"/>
    <mergeCell ref="A23:B23"/>
    <mergeCell ref="A24:B24"/>
    <mergeCell ref="A31:A32"/>
    <mergeCell ref="B31:B32"/>
    <mergeCell ref="C14:D14"/>
    <mergeCell ref="C15:D15"/>
    <mergeCell ref="C18:D18"/>
    <mergeCell ref="C19:D19"/>
    <mergeCell ref="C20:D20"/>
    <mergeCell ref="C21:D21"/>
    <mergeCell ref="C23:D23"/>
    <mergeCell ref="C32:D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63"/>
    <col customWidth="1" min="3" max="3" width="18.0"/>
    <col customWidth="1" min="4" max="4" width="19.75"/>
    <col customWidth="1" min="5" max="5" width="18.25"/>
    <col customWidth="1" min="6" max="6" width="15.5"/>
  </cols>
  <sheetData>
    <row r="2">
      <c r="A2" s="3" t="s">
        <v>64</v>
      </c>
      <c r="B2" s="3" t="s">
        <v>65</v>
      </c>
      <c r="C2" s="3" t="s">
        <v>66</v>
      </c>
      <c r="D2" s="3" t="s">
        <v>67</v>
      </c>
    </row>
    <row r="3">
      <c r="A3" s="3" t="s">
        <v>42</v>
      </c>
      <c r="B3" s="3">
        <v>960.0</v>
      </c>
    </row>
    <row r="4">
      <c r="A4" s="3" t="s">
        <v>44</v>
      </c>
      <c r="B4" s="43">
        <v>35.5</v>
      </c>
      <c r="C4" s="3" t="s">
        <v>68</v>
      </c>
      <c r="D4" s="44">
        <v>0.3923611111111111</v>
      </c>
    </row>
    <row r="5">
      <c r="A5" s="3" t="s">
        <v>48</v>
      </c>
      <c r="B5" s="43">
        <v>64.3</v>
      </c>
      <c r="C5" s="3" t="s">
        <v>69</v>
      </c>
    </row>
    <row r="6">
      <c r="A6" s="3" t="s">
        <v>52</v>
      </c>
      <c r="B6" s="43">
        <v>78.69999999999999</v>
      </c>
      <c r="C6" s="3" t="s">
        <v>69</v>
      </c>
    </row>
    <row r="7">
      <c r="A7" s="3" t="s">
        <v>55</v>
      </c>
      <c r="B7" s="43">
        <v>93.1</v>
      </c>
      <c r="C7" s="3" t="s">
        <v>69</v>
      </c>
    </row>
    <row r="8">
      <c r="A8" s="3" t="s">
        <v>58</v>
      </c>
      <c r="B8" s="43">
        <v>112.3</v>
      </c>
      <c r="C8" s="3" t="s">
        <v>69</v>
      </c>
    </row>
    <row r="9">
      <c r="A9" s="3" t="s">
        <v>61</v>
      </c>
      <c r="B9" s="43">
        <v>6.700000000000003</v>
      </c>
      <c r="C9" s="3" t="s">
        <v>69</v>
      </c>
    </row>
    <row r="12">
      <c r="B12" s="3" t="s">
        <v>70</v>
      </c>
      <c r="C12" s="3">
        <v>250000.0</v>
      </c>
    </row>
    <row r="14">
      <c r="A14" s="3" t="s">
        <v>71</v>
      </c>
      <c r="B14" s="3" t="s">
        <v>72</v>
      </c>
      <c r="C14" s="3" t="s">
        <v>73</v>
      </c>
    </row>
    <row r="15">
      <c r="A15" s="3" t="s">
        <v>67</v>
      </c>
      <c r="B15" s="44">
        <v>0.3923611111111111</v>
      </c>
      <c r="C15" s="44">
        <v>0.3923611111111111</v>
      </c>
    </row>
    <row r="16">
      <c r="A16" s="3" t="s">
        <v>74</v>
      </c>
      <c r="B16" s="3" t="s">
        <v>75</v>
      </c>
      <c r="C16" s="3" t="s">
        <v>75</v>
      </c>
    </row>
    <row r="17">
      <c r="A17" s="3" t="s">
        <v>76</v>
      </c>
      <c r="B17" s="3">
        <v>1.0</v>
      </c>
      <c r="C17" s="3">
        <v>1.0</v>
      </c>
    </row>
    <row r="18">
      <c r="A18" s="3" t="s">
        <v>77</v>
      </c>
      <c r="B18" s="3" t="s">
        <v>78</v>
      </c>
      <c r="C18" s="3" t="s">
        <v>78</v>
      </c>
    </row>
    <row r="20">
      <c r="A20" s="3" t="s">
        <v>79</v>
      </c>
      <c r="B20" s="3" t="s">
        <v>80</v>
      </c>
      <c r="C20" s="3" t="s">
        <v>80</v>
      </c>
    </row>
    <row r="21">
      <c r="A21" s="3" t="s">
        <v>81</v>
      </c>
      <c r="B21" s="3" t="s">
        <v>82</v>
      </c>
      <c r="C21" s="3" t="s">
        <v>82</v>
      </c>
    </row>
    <row r="23">
      <c r="A23" s="3" t="s">
        <v>83</v>
      </c>
      <c r="B23" s="3" t="s">
        <v>84</v>
      </c>
      <c r="C23" s="3" t="s">
        <v>84</v>
      </c>
    </row>
    <row r="24">
      <c r="A24" s="3" t="s">
        <v>85</v>
      </c>
      <c r="B24" s="3">
        <v>45.0</v>
      </c>
    </row>
    <row r="26">
      <c r="A26" s="3" t="s">
        <v>81</v>
      </c>
      <c r="B26" s="3" t="s">
        <v>86</v>
      </c>
    </row>
    <row r="27">
      <c r="B27" s="3" t="s">
        <v>87</v>
      </c>
    </row>
    <row r="32">
      <c r="A32" s="3" t="s">
        <v>88</v>
      </c>
    </row>
    <row r="34">
      <c r="A34" s="3" t="s">
        <v>89</v>
      </c>
      <c r="B34" s="45">
        <v>1012.1</v>
      </c>
    </row>
    <row r="35">
      <c r="C35" s="3" t="s">
        <v>90</v>
      </c>
    </row>
    <row r="36">
      <c r="A36" s="45" t="s">
        <v>91</v>
      </c>
      <c r="B36" s="13">
        <f>MROUND(G38*(1+1%),0.05)</f>
        <v>1048.45</v>
      </c>
    </row>
    <row r="37">
      <c r="A37" s="3"/>
      <c r="B37" s="43"/>
    </row>
    <row r="38">
      <c r="A38" s="3" t="s">
        <v>92</v>
      </c>
      <c r="B38" s="43">
        <f>MROUND(B34*(1-2.5%),0.05)</f>
        <v>986.8</v>
      </c>
      <c r="C38" s="46">
        <v>45208.0</v>
      </c>
      <c r="D38" s="13" t="str">
        <f>TEXT(C38,"DDDD")</f>
        <v>Monday</v>
      </c>
      <c r="E38" s="3" t="s">
        <v>93</v>
      </c>
      <c r="F38" s="3" t="s">
        <v>94</v>
      </c>
      <c r="G38" s="14">
        <v>1038.05</v>
      </c>
    </row>
    <row r="39">
      <c r="E39" s="3" t="s">
        <v>95</v>
      </c>
      <c r="F39" s="46">
        <v>45208.0</v>
      </c>
      <c r="G39" s="3">
        <v>1009.5</v>
      </c>
    </row>
    <row r="40">
      <c r="A40" s="3" t="s">
        <v>96</v>
      </c>
      <c r="B40" s="13">
        <f>MROUND(B38*(1-2%),0.05)</f>
        <v>967.05</v>
      </c>
    </row>
    <row r="42">
      <c r="B42" s="3" t="s">
        <v>97</v>
      </c>
      <c r="D42" s="3" t="s">
        <v>98</v>
      </c>
      <c r="E42" s="3" t="s">
        <v>99</v>
      </c>
      <c r="F42" s="3" t="s">
        <v>100</v>
      </c>
      <c r="G42" s="3" t="s">
        <v>93</v>
      </c>
      <c r="H42" s="3" t="s">
        <v>95</v>
      </c>
    </row>
    <row r="43">
      <c r="A43" s="46">
        <v>45208.0</v>
      </c>
      <c r="B43" s="13" t="str">
        <f t="shared" ref="B43:B48" si="1">TEXT(A43,"DDDD")</f>
        <v>Monday</v>
      </c>
      <c r="C43" s="43">
        <v>986.8000000000001</v>
      </c>
      <c r="D43" s="13">
        <v>967.0500000000001</v>
      </c>
      <c r="E43" s="13">
        <v>1048.45</v>
      </c>
    </row>
    <row r="44">
      <c r="A44" s="46">
        <v>45209.0</v>
      </c>
      <c r="B44" s="13" t="str">
        <f t="shared" si="1"/>
        <v>Tuesday</v>
      </c>
      <c r="C44" s="43">
        <v>986.8000000000001</v>
      </c>
      <c r="D44" s="3" t="s">
        <v>101</v>
      </c>
      <c r="E44" s="3" t="s">
        <v>101</v>
      </c>
      <c r="F44" s="3" t="s">
        <v>102</v>
      </c>
      <c r="G44" s="14">
        <v>1038.05</v>
      </c>
      <c r="H44" s="3">
        <v>1009.5</v>
      </c>
    </row>
    <row r="45">
      <c r="A45" s="46">
        <v>45210.0</v>
      </c>
      <c r="B45" s="13" t="str">
        <f t="shared" si="1"/>
        <v>Wednesday</v>
      </c>
      <c r="C45" s="43">
        <v>986.8000000000001</v>
      </c>
      <c r="E45" s="3" t="s">
        <v>103</v>
      </c>
      <c r="G45" s="14">
        <v>1038.05</v>
      </c>
      <c r="H45" s="3">
        <v>1025.55</v>
      </c>
    </row>
    <row r="46">
      <c r="B46" s="13" t="str">
        <f t="shared" si="1"/>
        <v>Saturday</v>
      </c>
      <c r="C46" s="43">
        <v>986.8000000000001</v>
      </c>
    </row>
    <row r="47">
      <c r="B47" s="13" t="str">
        <f t="shared" si="1"/>
        <v>Saturday</v>
      </c>
      <c r="C47" s="43">
        <v>986.8000000000001</v>
      </c>
    </row>
    <row r="48">
      <c r="B48" s="13" t="str">
        <f t="shared" si="1"/>
        <v>Saturday</v>
      </c>
      <c r="C48" s="43">
        <v>986.8000000000001</v>
      </c>
    </row>
    <row r="51">
      <c r="B51" s="45"/>
    </row>
    <row r="52">
      <c r="B52" s="46">
        <v>45210.0</v>
      </c>
      <c r="C52" s="46">
        <v>45222.0</v>
      </c>
    </row>
    <row r="53">
      <c r="A53" s="3" t="s">
        <v>104</v>
      </c>
      <c r="B53" s="13">
        <f t="shared" ref="B53:C53" si="2">MROUND(B55*(1+2%),0.05)</f>
        <v>1069.4</v>
      </c>
      <c r="C53" s="13">
        <f t="shared" si="2"/>
        <v>1069.4</v>
      </c>
    </row>
    <row r="54">
      <c r="A54" s="3"/>
      <c r="B54" s="43"/>
      <c r="C54" s="43"/>
    </row>
    <row r="55">
      <c r="A55" s="3" t="s">
        <v>105</v>
      </c>
      <c r="B55" s="45">
        <v>1048.45</v>
      </c>
      <c r="C55" s="45">
        <v>1048.45</v>
      </c>
    </row>
    <row r="57">
      <c r="A57" s="3" t="s">
        <v>106</v>
      </c>
      <c r="B57" s="13">
        <f t="shared" ref="B57:C57" si="3">MROUND(B58*(1-1%),0.05)</f>
        <v>970.7</v>
      </c>
      <c r="C57" s="13">
        <f t="shared" si="3"/>
        <v>994.45</v>
      </c>
    </row>
    <row r="58">
      <c r="A58" s="3" t="s">
        <v>107</v>
      </c>
      <c r="B58" s="3">
        <v>980.5</v>
      </c>
      <c r="C58" s="3">
        <v>1004.5</v>
      </c>
    </row>
    <row r="60">
      <c r="C60" s="3" t="s">
        <v>108</v>
      </c>
    </row>
    <row r="62">
      <c r="B62" s="45"/>
    </row>
    <row r="64">
      <c r="A64" s="45" t="s">
        <v>91</v>
      </c>
      <c r="B64" s="13">
        <f>MROUND(G66*(1+1%),0.05)</f>
        <v>0</v>
      </c>
    </row>
    <row r="65">
      <c r="A65" s="3"/>
      <c r="B65" s="43"/>
    </row>
    <row r="66">
      <c r="A66" s="3" t="s">
        <v>92</v>
      </c>
      <c r="B66" s="45">
        <v>994.45</v>
      </c>
    </row>
    <row r="68">
      <c r="A68" s="3" t="s">
        <v>96</v>
      </c>
      <c r="B68" s="13">
        <f>MROUND(B66*(1-2%),0.05)</f>
        <v>974.55</v>
      </c>
    </row>
    <row r="70">
      <c r="A70" s="3" t="s">
        <v>100</v>
      </c>
      <c r="B70" s="3" t="s">
        <v>109</v>
      </c>
    </row>
    <row r="73">
      <c r="A73" s="3" t="s">
        <v>110</v>
      </c>
      <c r="B73" s="3" t="s">
        <v>111</v>
      </c>
    </row>
    <row r="75">
      <c r="A75" s="3" t="s">
        <v>112</v>
      </c>
      <c r="B75" s="3">
        <v>940.0</v>
      </c>
    </row>
    <row r="76">
      <c r="A76" s="3" t="s">
        <v>22</v>
      </c>
      <c r="B76" s="3">
        <v>550.0</v>
      </c>
    </row>
    <row r="77">
      <c r="A77" s="3" t="s">
        <v>113</v>
      </c>
      <c r="B77" s="13">
        <f>B75*B76</f>
        <v>517000</v>
      </c>
    </row>
    <row r="78">
      <c r="A78" s="3" t="s">
        <v>114</v>
      </c>
      <c r="B78" s="40">
        <v>0.03</v>
      </c>
    </row>
    <row r="79">
      <c r="A79" s="3" t="s">
        <v>115</v>
      </c>
      <c r="B79" s="13">
        <f>B77*B78</f>
        <v>15510</v>
      </c>
    </row>
    <row r="80">
      <c r="A80" s="3" t="s">
        <v>116</v>
      </c>
      <c r="B80" s="3">
        <v>14.0</v>
      </c>
    </row>
    <row r="81">
      <c r="A81" s="3" t="s">
        <v>117</v>
      </c>
      <c r="B81" s="13">
        <f>B79*B80</f>
        <v>217140</v>
      </c>
    </row>
    <row r="83">
      <c r="A83" s="3" t="s">
        <v>118</v>
      </c>
      <c r="B83" s="3">
        <v>25000.0</v>
      </c>
    </row>
    <row r="85">
      <c r="A85" s="3" t="s">
        <v>119</v>
      </c>
      <c r="B85" s="13">
        <f>B81+B83</f>
        <v>242140</v>
      </c>
    </row>
  </sheetData>
  <drawing r:id="rId1"/>
</worksheet>
</file>