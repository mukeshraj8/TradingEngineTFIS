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<sst xmlns="http://schemas.openxmlformats.org/spreadsheetml/2006/main" count="196" uniqueCount="64">
  <si>
    <t>May The Peaceful Prosperity Be With You Always.!!!</t>
  </si>
  <si>
    <t>Entry</t>
  </si>
  <si>
    <t>TGT 1</t>
  </si>
  <si>
    <t>TGT 2</t>
  </si>
  <si>
    <t>TGT 3</t>
  </si>
  <si>
    <t>TGT 4</t>
  </si>
  <si>
    <t>TGT 5</t>
  </si>
  <si>
    <t>2DHH</t>
  </si>
  <si>
    <t>Buy</t>
  </si>
  <si>
    <t>2DLL</t>
  </si>
  <si>
    <t>Sell</t>
  </si>
  <si>
    <t>SL 1</t>
  </si>
  <si>
    <t>Min</t>
  </si>
  <si>
    <t>MSL</t>
  </si>
  <si>
    <t>Entry + 0.40%</t>
  </si>
  <si>
    <t>TSL</t>
  </si>
  <si>
    <t>2DHH + 0.05%</t>
  </si>
  <si>
    <t>NOT Achieved</t>
  </si>
  <si>
    <t>As on 13-Jul-2023</t>
  </si>
  <si>
    <t>Sell On</t>
  </si>
  <si>
    <t>Target 1 Achieved</t>
  </si>
  <si>
    <t>Our Entry</t>
  </si>
  <si>
    <t>ORPT</t>
  </si>
  <si>
    <t>Lots</t>
  </si>
  <si>
    <t>Price</t>
  </si>
  <si>
    <t>Trigger Price</t>
  </si>
  <si>
    <t>Sell's Target 2</t>
  </si>
  <si>
    <t>Y</t>
  </si>
  <si>
    <t>Sell's TRP 3</t>
  </si>
  <si>
    <t>Buy Entry</t>
  </si>
  <si>
    <t>Trading Date</t>
  </si>
  <si>
    <t>Trading Day</t>
  </si>
  <si>
    <t>Trading Time</t>
  </si>
  <si>
    <t>Date</t>
  </si>
  <si>
    <t>Day</t>
  </si>
  <si>
    <t>Position</t>
  </si>
  <si>
    <t>Trade</t>
  </si>
  <si>
    <t>Entry Price</t>
  </si>
  <si>
    <t>Target Status</t>
  </si>
  <si>
    <t>Open</t>
  </si>
  <si>
    <t>No Target Achieved</t>
  </si>
  <si>
    <t>Target 2 Achieved</t>
  </si>
  <si>
    <t>Buy's TRP 3</t>
  </si>
  <si>
    <t>Sell Entry</t>
  </si>
  <si>
    <t>3 Orders</t>
  </si>
  <si>
    <t>09:05 AM Low</t>
  </si>
  <si>
    <t>SL Missed</t>
  </si>
  <si>
    <t>Sell Entry Missed</t>
  </si>
  <si>
    <t>Recalculation Time</t>
  </si>
  <si>
    <t>Recalculation</t>
  </si>
  <si>
    <t>09:15 AM Low - 0.05%</t>
  </si>
  <si>
    <t>09:15 AM Low = 82.4425</t>
  </si>
  <si>
    <t>EOD</t>
  </si>
  <si>
    <t>At 10:15 am</t>
  </si>
  <si>
    <t>Buy SL Hit</t>
  </si>
  <si>
    <t>Sell = On</t>
  </si>
  <si>
    <t>Next Step</t>
  </si>
  <si>
    <t>Cancel Buy TGT 3 Order</t>
  </si>
  <si>
    <t>Place Sell's SL Order</t>
  </si>
  <si>
    <t>Place Sell's TGT 1 Order</t>
  </si>
  <si>
    <t>Place Buy Order</t>
  </si>
  <si>
    <t>5 Lot</t>
  </si>
  <si>
    <t>Calculations For Buy Order</t>
  </si>
  <si>
    <t>Max of ( 2dhh and CDH ) + 0.05%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</si>
</sst>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mm-yyyy"/>
    <numFmt numFmtId="165" formatCode="0.0000"/>
    <numFmt numFmtId="166" formatCode="d-mmmm-yyyy"/>
    <numFmt numFmtId="167" formatCode="hh:mm"/>
    <numFmt numFmtId="168" formatCode="dd-mmmm-yyyy"/>
    <numFmt numFmtId="169" formatCode="dd-mmm-yyyy"/>
  </numFmts>
  <fonts count="4">
    <font>
      <sz val="10.0"/>
      <color rgb="FF000000"/>
      <name val="Arial"/>
      <scheme val="minor"/>
    </font>
    <font>
      <b/>
      <sz val="13.0"/>
      <color rgb="FFFF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2" fontId="2" numFmtId="165" xfId="0" applyFill="1" applyFont="1" applyNumberFormat="1"/>
    <xf borderId="0" fillId="3" fontId="2" numFmtId="165" xfId="0" applyFill="1" applyFont="1" applyNumberFormat="1"/>
    <xf borderId="0" fillId="3" fontId="2" numFmtId="165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0" fontId="3" numFmtId="168" xfId="0" applyAlignment="1" applyFont="1" applyNumberFormat="1">
      <alignment readingOrder="0"/>
    </xf>
    <xf borderId="0" fillId="0" fontId="3" numFmtId="0" xfId="0" applyFont="1"/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Font="1" applyNumberFormat="1"/>
    <xf borderId="0" fillId="0" fontId="3" numFmtId="0" xfId="0" applyAlignment="1" applyFont="1">
      <alignment readingOrder="0" shrinkToFit="0" wrapText="1"/>
    </xf>
    <xf borderId="0" fillId="0" fontId="3" numFmtId="16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3" max="3" width="5.75"/>
    <col customWidth="1" min="4" max="4" width="16.25"/>
    <col customWidth="1" min="7" max="7" width="14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4">
        <v>45118.0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2"/>
      <c r="C5" s="2"/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2"/>
      <c r="C6" s="3"/>
      <c r="D6" s="5">
        <v>5.0E-4</v>
      </c>
      <c r="E6" s="5">
        <v>0.004</v>
      </c>
      <c r="F6" s="5">
        <v>0.006</v>
      </c>
      <c r="G6" s="5">
        <v>0.008</v>
      </c>
      <c r="H6" s="5">
        <v>0.01</v>
      </c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7</v>
      </c>
      <c r="B7" s="6">
        <v>82.125</v>
      </c>
      <c r="C7" s="3" t="s">
        <v>8</v>
      </c>
      <c r="D7" s="7">
        <f>MROUND(B7*(1+D6),0.0025)</f>
        <v>82.165</v>
      </c>
      <c r="E7" s="8">
        <f>MROUND(D7*(1+E6),0.0025)</f>
        <v>82.4925</v>
      </c>
      <c r="F7" s="8">
        <f>MROUND(D7*(1+F6),0.0025)</f>
        <v>82.6575</v>
      </c>
      <c r="G7" s="7">
        <f>MROUND(D7*(1+G6),0.0025)</f>
        <v>82.8225</v>
      </c>
      <c r="H7" s="7">
        <f>MROUND(D7*(1+H6),0.0025)</f>
        <v>82.9875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9</v>
      </c>
      <c r="B8" s="6">
        <v>82.6</v>
      </c>
      <c r="C8" s="3" t="s">
        <v>10</v>
      </c>
      <c r="D8" s="9">
        <f>MROUND(B8*(1-D6),0.0025)</f>
        <v>82.5575</v>
      </c>
      <c r="E8" s="7">
        <f>MROUND(D8*(1-E6),0.0025)</f>
        <v>82.2275</v>
      </c>
      <c r="F8" s="7">
        <f>MROUND(D8*(1-F6),0.0025)</f>
        <v>82.0625</v>
      </c>
      <c r="G8" s="7">
        <f>MROUND(D8*(1-G6),0.0025)</f>
        <v>81.8975</v>
      </c>
      <c r="H8" s="7">
        <f>MROUND(D8*(1-H6),0.0025)</f>
        <v>81.7325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4">
        <v>45118.0</v>
      </c>
      <c r="E9" s="4">
        <v>45120.0</v>
      </c>
      <c r="F9" s="4">
        <v>45120.0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3"/>
      <c r="E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2"/>
      <c r="C12" s="2"/>
      <c r="D12" s="3" t="s">
        <v>1</v>
      </c>
      <c r="E12" s="3" t="s">
        <v>2</v>
      </c>
      <c r="F12" s="3" t="s">
        <v>3</v>
      </c>
      <c r="G12" s="3" t="s">
        <v>4</v>
      </c>
      <c r="H12" s="3" t="s">
        <v>5</v>
      </c>
      <c r="I12" s="3" t="s">
        <v>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2"/>
      <c r="C13" s="3"/>
      <c r="D13" s="5">
        <v>5.0E-4</v>
      </c>
      <c r="E13" s="5">
        <v>0.004</v>
      </c>
      <c r="F13" s="5">
        <v>0.006</v>
      </c>
      <c r="G13" s="5">
        <v>0.008</v>
      </c>
      <c r="H13" s="5">
        <v>0.01</v>
      </c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7</v>
      </c>
      <c r="B14" s="6">
        <v>82.125</v>
      </c>
      <c r="C14" s="3" t="s">
        <v>8</v>
      </c>
      <c r="D14" s="7">
        <f>MROUND(B14*(1+D13),0.0025)</f>
        <v>82.165</v>
      </c>
      <c r="E14" s="7">
        <f>MROUND(D14*(1+E13),0.0025)</f>
        <v>82.4925</v>
      </c>
      <c r="F14" s="7">
        <f>MROUND(D14*(1+F13),0.0025)</f>
        <v>82.6575</v>
      </c>
      <c r="G14" s="7">
        <f>MROUND(D14*(1+G13),0.0025)</f>
        <v>82.8225</v>
      </c>
      <c r="H14" s="7">
        <f>MROUND(D14*(1+H13),0.0025)</f>
        <v>82.9875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6"/>
      <c r="C15" s="3"/>
      <c r="D15" s="7"/>
      <c r="E15" s="7"/>
      <c r="F15" s="7"/>
      <c r="G15" s="7"/>
      <c r="H15" s="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9</v>
      </c>
      <c r="B16" s="6">
        <v>82.4425</v>
      </c>
      <c r="C16" s="3" t="s">
        <v>10</v>
      </c>
      <c r="D16" s="9">
        <f>MROUND(B16*(1-D13),0.0025)</f>
        <v>82.4025</v>
      </c>
      <c r="E16" s="7">
        <f>MROUND(D16*(1-E13),0.0025)</f>
        <v>82.0725</v>
      </c>
      <c r="F16" s="7">
        <f>MROUND(D16*(1-F13),0.0025)</f>
        <v>81.9075</v>
      </c>
      <c r="G16" s="7">
        <f>MROUND(D16*(1-G13),0.0025)</f>
        <v>81.7425</v>
      </c>
      <c r="H16" s="7">
        <f>MROUND(D16*(1-H13),0.0025)</f>
        <v>81.5775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4">
        <v>45118.0</v>
      </c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6" t="s">
        <v>11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6">
        <f>MROUND(MIN(B14*(1+D13),D16*(1+E13)),0.0025)</f>
        <v>82.165</v>
      </c>
      <c r="E19" s="3" t="s">
        <v>12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3" t="s">
        <v>13</v>
      </c>
      <c r="D20" s="6">
        <f>MROUND(D16*(1+E13),0.0025)</f>
        <v>82.7325</v>
      </c>
      <c r="E20" s="3" t="s">
        <v>14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3" t="s">
        <v>15</v>
      </c>
      <c r="D21" s="10">
        <f>MROUND(B14*(1+D13),0.0025)</f>
        <v>82.165</v>
      </c>
      <c r="E21" s="3" t="s">
        <v>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>
        <f>B16*(1-D13)</f>
        <v>82.40127875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3">
        <v>82.4013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11">
        <v>4025.0</v>
      </c>
      <c r="E25" s="3">
        <v>4000.0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>
        <f>D25-4013</f>
        <v>12</v>
      </c>
      <c r="E26" s="2">
        <f>4013-4000</f>
        <v>13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>
        <v>45119.0</v>
      </c>
      <c r="B28" s="2"/>
      <c r="C28" s="2"/>
      <c r="D28" s="3" t="s">
        <v>1</v>
      </c>
      <c r="E28" s="3" t="s">
        <v>2</v>
      </c>
      <c r="F28" s="3" t="s">
        <v>3</v>
      </c>
      <c r="G28" s="3" t="s">
        <v>4</v>
      </c>
      <c r="H28" s="3" t="s">
        <v>5</v>
      </c>
      <c r="I28" s="3" t="s">
        <v>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2"/>
      <c r="C29" s="3"/>
      <c r="D29" s="5">
        <v>5.0E-4</v>
      </c>
      <c r="E29" s="5">
        <v>0.004</v>
      </c>
      <c r="F29" s="5">
        <v>0.006</v>
      </c>
      <c r="G29" s="5">
        <v>0.008</v>
      </c>
      <c r="H29" s="5">
        <v>0.01</v>
      </c>
      <c r="I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7</v>
      </c>
      <c r="B30" s="6">
        <v>82.765</v>
      </c>
      <c r="C30" s="3" t="s">
        <v>8</v>
      </c>
      <c r="D30" s="7">
        <f>MROUND(B30*(1+D29),0.0025)</f>
        <v>82.8075</v>
      </c>
      <c r="E30" s="7">
        <f>MROUND(D30*(1+E29),0.0025)</f>
        <v>83.1375</v>
      </c>
      <c r="F30" s="7">
        <f>MROUND(D30*(1+F29),0.0025)</f>
        <v>83.305</v>
      </c>
      <c r="G30" s="7">
        <f>MROUND(D30*(1+G29),0.0025)</f>
        <v>83.47</v>
      </c>
      <c r="H30" s="7">
        <f>MROUND(D30*(1+H29),0.0025)</f>
        <v>83.635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/>
      <c r="B31" s="6"/>
      <c r="C31" s="3"/>
      <c r="D31" s="7"/>
      <c r="E31" s="7"/>
      <c r="F31" s="7"/>
      <c r="G31" s="7"/>
      <c r="H31" s="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9</v>
      </c>
      <c r="B32" s="6">
        <v>82.4425</v>
      </c>
      <c r="C32" s="3" t="s">
        <v>10</v>
      </c>
      <c r="D32" s="9">
        <f>MROUND(B32*(1-D29),0.0025)</f>
        <v>82.4025</v>
      </c>
      <c r="E32" s="8">
        <f>MROUND(D32*(1-E29),0.0025)</f>
        <v>82.0725</v>
      </c>
      <c r="F32" s="7">
        <f>MROUND(D32*(1-F29),0.0025)</f>
        <v>81.9075</v>
      </c>
      <c r="G32" s="7">
        <f>MROUND(D32*(1-G29),0.0025)</f>
        <v>81.7425</v>
      </c>
      <c r="H32" s="7">
        <f>MROUND(D32*(1-H29),0.0025)</f>
        <v>81.5775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4">
        <v>45118.0</v>
      </c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6" t="s">
        <v>11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13">
        <f>MROUND(MIN(B30*(1+D29),D32*(1+E29)),0.0025)</f>
        <v>82.7325</v>
      </c>
      <c r="E35" s="3" t="s">
        <v>12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3" t="s">
        <v>13</v>
      </c>
      <c r="D36" s="6">
        <f>MROUND(D32*(1+E29),0.0025)</f>
        <v>82.7325</v>
      </c>
      <c r="E36" s="3" t="s">
        <v>14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3" t="s">
        <v>15</v>
      </c>
      <c r="D37" s="10">
        <f>MROUND(B30*(1+D29),0.0025)</f>
        <v>82.8075</v>
      </c>
      <c r="E37" s="3" t="s">
        <v>16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>
        <v>45120.0</v>
      </c>
      <c r="B39" s="2"/>
      <c r="C39" s="2"/>
      <c r="D39" s="3" t="s">
        <v>1</v>
      </c>
      <c r="E39" s="3" t="s">
        <v>2</v>
      </c>
      <c r="F39" s="3" t="s">
        <v>3</v>
      </c>
      <c r="G39" s="3" t="s">
        <v>4</v>
      </c>
      <c r="H39" s="3" t="s">
        <v>5</v>
      </c>
      <c r="I39" s="3" t="s">
        <v>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2"/>
      <c r="C40" s="3"/>
      <c r="D40" s="5">
        <v>5.0E-4</v>
      </c>
      <c r="E40" s="5">
        <v>0.004</v>
      </c>
      <c r="F40" s="5">
        <v>0.006</v>
      </c>
      <c r="G40" s="5">
        <v>0.008</v>
      </c>
      <c r="H40" s="5">
        <v>0.01</v>
      </c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7</v>
      </c>
      <c r="B41" s="6">
        <v>82.55</v>
      </c>
      <c r="C41" s="3" t="s">
        <v>8</v>
      </c>
      <c r="D41" s="7">
        <f>MROUND(B41*(1+D40),0.0025)</f>
        <v>82.5925</v>
      </c>
      <c r="E41" s="7">
        <f>MROUND(D41*(1+E40),0.0025)</f>
        <v>82.9225</v>
      </c>
      <c r="F41" s="7">
        <f>MROUND(D41*(1+F40),0.0025)</f>
        <v>83.0875</v>
      </c>
      <c r="G41" s="7">
        <f>MROUND(D41*(1+G40),0.0025)</f>
        <v>83.2525</v>
      </c>
      <c r="H41" s="7">
        <f>MROUND(D41*(1+H40),0.0025)</f>
        <v>83.4175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6"/>
      <c r="C42" s="3"/>
      <c r="D42" s="7"/>
      <c r="E42" s="7"/>
      <c r="F42" s="7"/>
      <c r="G42" s="7"/>
      <c r="H42" s="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9</v>
      </c>
      <c r="B43" s="6">
        <v>82.4425</v>
      </c>
      <c r="C43" s="3" t="s">
        <v>10</v>
      </c>
      <c r="D43" s="9">
        <f>MROUND(B43*(1-D40),0.0025)</f>
        <v>82.4025</v>
      </c>
      <c r="E43" s="8">
        <f>MROUND(D43*(1-E40),0.0025)</f>
        <v>82.0725</v>
      </c>
      <c r="F43" s="8">
        <f>MROUND(D43*(1-F40),0.0025)</f>
        <v>81.9075</v>
      </c>
      <c r="G43" s="7">
        <f>MROUND(D43*(1-G40),0.0025)</f>
        <v>81.7425</v>
      </c>
      <c r="H43" s="7">
        <f>MROUND(D43*(1-H40),0.0025)</f>
        <v>81.5775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4">
        <v>45118.0</v>
      </c>
      <c r="E44" s="4">
        <v>45120.0</v>
      </c>
      <c r="F44" s="3" t="s">
        <v>17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6" t="s">
        <v>11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13">
        <f>MROUND(MIN(B41*(1+D40),D43*(1+E40)),0.0025)</f>
        <v>82.5925</v>
      </c>
      <c r="E46" s="3" t="s">
        <v>12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 t="s">
        <v>13</v>
      </c>
      <c r="D47" s="6">
        <f>MROUND(D43*(1+E40),0.0025)</f>
        <v>82.7325</v>
      </c>
      <c r="E47" s="3" t="s">
        <v>14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 t="s">
        <v>15</v>
      </c>
      <c r="D48" s="10">
        <f>MROUND(B41*(1+D40),0.0025)</f>
        <v>82.5925</v>
      </c>
      <c r="E48" s="3" t="s">
        <v>16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20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">
        <v>45124.0</v>
      </c>
      <c r="B55" s="2"/>
      <c r="C55" s="2"/>
      <c r="D55" s="3" t="s">
        <v>1</v>
      </c>
      <c r="E55" s="3" t="s">
        <v>2</v>
      </c>
      <c r="F55" s="3" t="s">
        <v>3</v>
      </c>
      <c r="G55" s="3" t="s">
        <v>4</v>
      </c>
      <c r="H55" s="3" t="s">
        <v>5</v>
      </c>
      <c r="I55" s="3" t="s">
        <v>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/>
      <c r="B56" s="2"/>
      <c r="C56" s="3"/>
      <c r="D56" s="5">
        <v>5.0E-4</v>
      </c>
      <c r="E56" s="5">
        <v>0.004</v>
      </c>
      <c r="F56" s="5">
        <v>0.006</v>
      </c>
      <c r="G56" s="5">
        <v>0.008</v>
      </c>
      <c r="H56" s="5">
        <v>0.01</v>
      </c>
      <c r="I56" s="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7</v>
      </c>
      <c r="B57" s="6">
        <v>82.225</v>
      </c>
      <c r="C57" s="3" t="s">
        <v>8</v>
      </c>
      <c r="D57" s="7">
        <f>MROUND(B57*(1+D56),0.0025)</f>
        <v>82.265</v>
      </c>
      <c r="E57" s="7">
        <f>MROUND(D57*(1+E56),0.0025)</f>
        <v>82.595</v>
      </c>
      <c r="F57" s="7">
        <f>MROUND(D57*(1+F56),0.0025)</f>
        <v>82.7575</v>
      </c>
      <c r="G57" s="7">
        <f>MROUND(D57*(1+G56),0.0025)</f>
        <v>82.9225</v>
      </c>
      <c r="H57" s="7">
        <f>MROUND(D57*(1+H56),0.0025)</f>
        <v>83.0875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/>
      <c r="B58" s="6"/>
      <c r="C58" s="3"/>
      <c r="D58" s="7"/>
      <c r="E58" s="7"/>
      <c r="F58" s="7"/>
      <c r="G58" s="7"/>
      <c r="H58" s="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9</v>
      </c>
      <c r="B59" s="6"/>
      <c r="C59" s="3" t="s">
        <v>10</v>
      </c>
      <c r="D59" s="9">
        <f>MROUND(B59*(1-D56),0.0025)</f>
        <v>0</v>
      </c>
      <c r="E59" s="8">
        <f>MROUND(D59*(1-E56),0.0025)</f>
        <v>0</v>
      </c>
      <c r="F59" s="8">
        <f>MROUND(D59*(1-F56),0.0025)</f>
        <v>0</v>
      </c>
      <c r="G59" s="7">
        <f>MROUND(D59*(1-G56),0.0025)</f>
        <v>0</v>
      </c>
      <c r="H59" s="7">
        <f>MROUND(D59*(1-H56),0.0025)</f>
        <v>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4">
        <v>45118.0</v>
      </c>
      <c r="E60" s="4">
        <v>45120.0</v>
      </c>
      <c r="F60" s="3" t="s">
        <v>17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6" t="s">
        <v>11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13">
        <f>MROUND(MIN(B57*(1+D56),D59*(1+E56)),0.0025)</f>
        <v>0</v>
      </c>
      <c r="E62" s="3" t="s">
        <v>12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 t="s">
        <v>13</v>
      </c>
      <c r="D63" s="6">
        <f>MROUND(D59*(1+E56),0.0025)</f>
        <v>0</v>
      </c>
      <c r="E63" s="3" t="s">
        <v>14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 t="s">
        <v>15</v>
      </c>
      <c r="D64" s="10">
        <f>MROUND(B57*(1+D56),0.0025)</f>
        <v>82.265</v>
      </c>
      <c r="E64" s="3" t="s">
        <v>16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>
        <v>45125.0</v>
      </c>
      <c r="B67" s="2"/>
      <c r="C67" s="2"/>
      <c r="D67" s="3" t="s">
        <v>1</v>
      </c>
      <c r="E67" s="14" t="s">
        <v>21</v>
      </c>
      <c r="F67" s="3" t="s">
        <v>2</v>
      </c>
      <c r="G67" s="3" t="s">
        <v>3</v>
      </c>
      <c r="H67" s="3" t="s">
        <v>4</v>
      </c>
      <c r="I67" s="3" t="s">
        <v>5</v>
      </c>
      <c r="J67" s="3" t="s">
        <v>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/>
      <c r="B68" s="2"/>
      <c r="C68" s="3"/>
      <c r="D68" s="5">
        <v>5.0E-4</v>
      </c>
      <c r="F68" s="5">
        <v>0.004</v>
      </c>
      <c r="G68" s="5">
        <v>0.006</v>
      </c>
      <c r="H68" s="5">
        <v>0.008</v>
      </c>
      <c r="I68" s="5">
        <v>0.01</v>
      </c>
      <c r="J68" s="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7</v>
      </c>
      <c r="B69" s="6">
        <v>82.2425</v>
      </c>
      <c r="C69" s="3" t="s">
        <v>8</v>
      </c>
      <c r="D69" s="7">
        <f>MROUND(B69*(1+D68),0.0025)</f>
        <v>82.2825</v>
      </c>
      <c r="F69" s="7">
        <f>MROUND(D69*(1+F68),0.0025)</f>
        <v>82.6125</v>
      </c>
      <c r="G69" s="7">
        <f>MROUND(D69*(1+G68),0.0025)</f>
        <v>82.775</v>
      </c>
      <c r="H69" s="7">
        <f>MROUND(D69*(1+H68),0.0025)</f>
        <v>82.94</v>
      </c>
      <c r="I69" s="7">
        <f>MROUND(D69*(1+I68),0.0025)</f>
        <v>83.105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6"/>
      <c r="C70" s="3"/>
      <c r="D70" s="7"/>
      <c r="F70" s="7"/>
      <c r="G70" s="7"/>
      <c r="H70" s="7"/>
      <c r="I70" s="7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9</v>
      </c>
      <c r="B71" s="6">
        <v>81.97</v>
      </c>
      <c r="C71" s="3" t="s">
        <v>10</v>
      </c>
      <c r="D71" s="10">
        <v>82.4025</v>
      </c>
      <c r="E71" s="10">
        <v>82.4025</v>
      </c>
      <c r="F71" s="8">
        <f>MROUND(D71*(1-F68),0.0025)</f>
        <v>82.0725</v>
      </c>
      <c r="G71" s="7">
        <f>MROUND(D71*(1-G68),0.0025)</f>
        <v>81.9075</v>
      </c>
      <c r="H71" s="7">
        <f>MROUND(D71*(1-H68),0.0025)</f>
        <v>81.7425</v>
      </c>
      <c r="I71" s="7">
        <f>MROUND(D71*(1-I68),0.0025)</f>
        <v>81.5775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4">
        <v>45118.0</v>
      </c>
      <c r="F72" s="4">
        <v>45120.0</v>
      </c>
      <c r="G72" s="3" t="s">
        <v>17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6" t="s">
        <v>11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13">
        <f>MROUND(MIN(B69*(1+D68),D71*(1+F68)),0.0025)</f>
        <v>82.2825</v>
      </c>
      <c r="E74" s="3" t="s">
        <v>12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 t="s">
        <v>13</v>
      </c>
      <c r="D75" s="6">
        <f>MROUND(D71*(1+F68),0.0025)</f>
        <v>82.7325</v>
      </c>
      <c r="E75" s="3" t="s">
        <v>14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 t="s">
        <v>15</v>
      </c>
      <c r="D76" s="10">
        <f>MROUND(B69*(1+D68),0.0025)</f>
        <v>82.2825</v>
      </c>
      <c r="E76" s="3" t="s">
        <v>16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">
        <v>45125.0</v>
      </c>
      <c r="B79" s="3" t="s">
        <v>22</v>
      </c>
      <c r="C79" s="2"/>
      <c r="D79" s="2"/>
      <c r="E79" s="3" t="s">
        <v>23</v>
      </c>
      <c r="F79" s="3" t="s">
        <v>24</v>
      </c>
      <c r="G79" s="3" t="s">
        <v>25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26</v>
      </c>
      <c r="B80" s="15">
        <v>0.375</v>
      </c>
      <c r="C80" s="3" t="s">
        <v>27</v>
      </c>
      <c r="D80" s="7">
        <v>81.9075</v>
      </c>
      <c r="E80" s="3">
        <v>1.0</v>
      </c>
      <c r="F80" s="7">
        <f>D80</f>
        <v>81.9075</v>
      </c>
      <c r="G80" s="3">
        <v>0.0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28</v>
      </c>
      <c r="B81" s="15">
        <v>0.3784722222222222</v>
      </c>
      <c r="C81" s="3" t="s">
        <v>27</v>
      </c>
      <c r="D81" s="6">
        <v>82.2825</v>
      </c>
      <c r="E81" s="3">
        <v>4.0</v>
      </c>
      <c r="F81" s="3">
        <v>0.0</v>
      </c>
      <c r="G81" s="7">
        <f t="shared" ref="G81:G82" si="1">D81</f>
        <v>82.2825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29</v>
      </c>
      <c r="B82" s="15">
        <v>0.3784722222222222</v>
      </c>
      <c r="C82" s="3" t="s">
        <v>27</v>
      </c>
      <c r="D82" s="6">
        <v>82.2825</v>
      </c>
      <c r="E82" s="3">
        <v>5.0</v>
      </c>
      <c r="F82" s="3">
        <v>0.0</v>
      </c>
      <c r="G82" s="7">
        <f t="shared" si="1"/>
        <v>82.2825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">
        <v>45126.0</v>
      </c>
      <c r="B85" s="2"/>
      <c r="C85" s="2"/>
      <c r="D85" s="3" t="s">
        <v>1</v>
      </c>
      <c r="E85" s="14" t="s">
        <v>21</v>
      </c>
      <c r="F85" s="3" t="s">
        <v>2</v>
      </c>
      <c r="G85" s="3" t="s">
        <v>3</v>
      </c>
      <c r="H85" s="3" t="s">
        <v>4</v>
      </c>
      <c r="I85" s="3" t="s">
        <v>5</v>
      </c>
      <c r="J85" s="3" t="s">
        <v>6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2"/>
      <c r="C86" s="3"/>
      <c r="D86" s="5">
        <v>5.0E-4</v>
      </c>
      <c r="F86" s="5">
        <v>0.004</v>
      </c>
      <c r="G86" s="5">
        <v>0.006</v>
      </c>
      <c r="H86" s="5">
        <v>0.008</v>
      </c>
      <c r="I86" s="5">
        <v>0.01</v>
      </c>
      <c r="J86" s="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7</v>
      </c>
      <c r="B87" s="6">
        <v>82.2425</v>
      </c>
      <c r="C87" s="3" t="s">
        <v>8</v>
      </c>
      <c r="D87" s="7">
        <f>MROUND(B87*(1+D86),0.0025)</f>
        <v>82.2825</v>
      </c>
      <c r="F87" s="7">
        <f>MROUND(D87*(1+F86),0.0025)</f>
        <v>82.6125</v>
      </c>
      <c r="G87" s="7">
        <f>MROUND(D87*(1+G86),0.0025)</f>
        <v>82.775</v>
      </c>
      <c r="H87" s="7">
        <f>MROUND(D87*(1+H86),0.0025)</f>
        <v>82.94</v>
      </c>
      <c r="I87" s="7">
        <f>MROUND(D87*(1+I86),0.0025)</f>
        <v>83.105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6"/>
      <c r="C88" s="3"/>
      <c r="D88" s="7"/>
      <c r="F88" s="7"/>
      <c r="G88" s="7"/>
      <c r="H88" s="7"/>
      <c r="I88" s="7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9</v>
      </c>
      <c r="B89" s="6">
        <v>82.0</v>
      </c>
      <c r="C89" s="3" t="s">
        <v>10</v>
      </c>
      <c r="D89" s="10">
        <v>82.4025</v>
      </c>
      <c r="E89" s="10">
        <v>82.4025</v>
      </c>
      <c r="F89" s="8">
        <f>MROUND(D89*(1-F86),0.0025)</f>
        <v>82.0725</v>
      </c>
      <c r="G89" s="7">
        <f>MROUND(D89*(1-G86),0.0025)</f>
        <v>81.9075</v>
      </c>
      <c r="H89" s="7">
        <f>MROUND(D89*(1-H86),0.0025)</f>
        <v>81.7425</v>
      </c>
      <c r="I89" s="7">
        <f>MROUND(D89*(1-I86),0.0025)</f>
        <v>81.5775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4">
        <v>45118.0</v>
      </c>
      <c r="F90" s="4">
        <v>45120.0</v>
      </c>
      <c r="G90" s="3" t="s">
        <v>17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6" t="s">
        <v>11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13">
        <f>MROUND(MIN(B87*(1+D86),D89*(1+F86)),0.0025)</f>
        <v>82.2825</v>
      </c>
      <c r="E92" s="3" t="s">
        <v>12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 t="s">
        <v>13</v>
      </c>
      <c r="D93" s="6">
        <f>MROUND(D89*(1+F86),0.0025)</f>
        <v>82.7325</v>
      </c>
      <c r="E93" s="3" t="s">
        <v>14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 t="s">
        <v>15</v>
      </c>
      <c r="D94" s="10">
        <f>MROUND(B87*(1+D86),0.0025)</f>
        <v>82.2825</v>
      </c>
      <c r="E94" s="3" t="s">
        <v>16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">
        <v>45126.0</v>
      </c>
      <c r="B97" s="3" t="s">
        <v>22</v>
      </c>
      <c r="C97" s="2"/>
      <c r="D97" s="2"/>
      <c r="E97" s="3" t="s">
        <v>23</v>
      </c>
      <c r="F97" s="3" t="s">
        <v>24</v>
      </c>
      <c r="G97" s="3" t="s">
        <v>25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26</v>
      </c>
      <c r="B98" s="15">
        <v>0.375</v>
      </c>
      <c r="C98" s="3" t="s">
        <v>27</v>
      </c>
      <c r="D98" s="7">
        <f>G89</f>
        <v>81.9075</v>
      </c>
      <c r="E98" s="3">
        <v>1.0</v>
      </c>
      <c r="F98" s="7">
        <f>D98</f>
        <v>81.9075</v>
      </c>
      <c r="G98" s="3">
        <v>0.0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28</v>
      </c>
      <c r="B99" s="15">
        <v>0.3784722222222222</v>
      </c>
      <c r="C99" s="3" t="s">
        <v>27</v>
      </c>
      <c r="D99" s="6">
        <f>D92</f>
        <v>82.2825</v>
      </c>
      <c r="E99" s="3">
        <v>4.0</v>
      </c>
      <c r="F99" s="3">
        <v>0.0</v>
      </c>
      <c r="G99" s="7">
        <f t="shared" ref="G99:G100" si="2">D99</f>
        <v>82.2825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29</v>
      </c>
      <c r="B100" s="15">
        <v>0.3784722222222222</v>
      </c>
      <c r="C100" s="3" t="s">
        <v>27</v>
      </c>
      <c r="D100" s="6">
        <f>D87</f>
        <v>82.2825</v>
      </c>
      <c r="E100" s="3">
        <v>5.0</v>
      </c>
      <c r="F100" s="3">
        <v>0.0</v>
      </c>
      <c r="G100" s="7">
        <f t="shared" si="2"/>
        <v>82.2825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88"/>
    <col customWidth="1" min="3" max="3" width="10.0"/>
    <col customWidth="1" min="4" max="4" width="7.13"/>
    <col customWidth="1" min="5" max="5" width="11.13"/>
    <col customWidth="1" min="6" max="6" width="8.5"/>
    <col customWidth="1" min="7" max="7" width="9.38"/>
    <col customWidth="1" min="8" max="8" width="11.13"/>
    <col customWidth="1" min="9" max="9" width="11.25"/>
    <col customWidth="1" min="10" max="10" width="9.25"/>
  </cols>
  <sheetData>
    <row r="1">
      <c r="F1" s="16"/>
    </row>
    <row r="2">
      <c r="B2" s="14" t="s">
        <v>30</v>
      </c>
      <c r="C2" s="14" t="s">
        <v>31</v>
      </c>
      <c r="D2" s="14" t="s">
        <v>32</v>
      </c>
      <c r="F2" s="16"/>
    </row>
    <row r="3">
      <c r="B3" s="17">
        <v>45112.0</v>
      </c>
      <c r="C3" s="18" t="str">
        <f>TEXT(B3,"DDDDD")</f>
        <v>Wednesday</v>
      </c>
      <c r="D3" s="19">
        <v>0.375</v>
      </c>
      <c r="F3" s="16"/>
    </row>
    <row r="4">
      <c r="F4" s="16"/>
    </row>
    <row r="5">
      <c r="A5" s="20" t="s">
        <v>7</v>
      </c>
      <c r="B5" s="20">
        <v>82.125</v>
      </c>
      <c r="C5" s="20" t="s">
        <v>8</v>
      </c>
      <c r="D5" s="21">
        <v>82.165</v>
      </c>
      <c r="F5" s="16"/>
    </row>
    <row r="6">
      <c r="F6" s="16"/>
    </row>
    <row r="7">
      <c r="F7" s="16"/>
    </row>
    <row r="8">
      <c r="A8" s="14" t="s">
        <v>33</v>
      </c>
      <c r="B8" s="14" t="s">
        <v>34</v>
      </c>
      <c r="C8" s="14" t="s">
        <v>35</v>
      </c>
      <c r="D8" s="14" t="s">
        <v>36</v>
      </c>
      <c r="E8" s="14" t="s">
        <v>37</v>
      </c>
      <c r="F8" s="22" t="s">
        <v>38</v>
      </c>
      <c r="G8" s="14" t="s">
        <v>9</v>
      </c>
    </row>
    <row r="9">
      <c r="A9" s="23">
        <v>45112.0</v>
      </c>
      <c r="B9" s="18" t="str">
        <f t="shared" ref="B9:B15" si="1">text(A9,"dddd")</f>
        <v>Wednesday</v>
      </c>
      <c r="C9" s="14" t="s">
        <v>39</v>
      </c>
      <c r="D9" s="14" t="s">
        <v>8</v>
      </c>
      <c r="E9" s="21">
        <v>82.165</v>
      </c>
      <c r="F9" s="22" t="s">
        <v>40</v>
      </c>
    </row>
    <row r="10">
      <c r="A10" s="23">
        <v>45113.0</v>
      </c>
      <c r="B10" s="18" t="str">
        <f t="shared" si="1"/>
        <v>Thursday</v>
      </c>
      <c r="C10" s="14" t="s">
        <v>39</v>
      </c>
      <c r="D10" s="14" t="s">
        <v>8</v>
      </c>
      <c r="E10" s="21">
        <v>82.165</v>
      </c>
      <c r="F10" s="22" t="s">
        <v>20</v>
      </c>
    </row>
    <row r="11">
      <c r="A11" s="23">
        <v>45114.0</v>
      </c>
      <c r="B11" s="18" t="str">
        <f t="shared" si="1"/>
        <v>Friday</v>
      </c>
      <c r="C11" s="14" t="s">
        <v>39</v>
      </c>
      <c r="D11" s="14" t="s">
        <v>8</v>
      </c>
      <c r="E11" s="21">
        <v>82.165</v>
      </c>
      <c r="F11" s="22" t="s">
        <v>41</v>
      </c>
    </row>
    <row r="12">
      <c r="A12" s="23">
        <v>45115.0</v>
      </c>
      <c r="B12" s="18" t="str">
        <f t="shared" si="1"/>
        <v>Saturday</v>
      </c>
      <c r="F12" s="16"/>
    </row>
    <row r="13">
      <c r="A13" s="23">
        <v>45116.0</v>
      </c>
      <c r="B13" s="18" t="str">
        <f t="shared" si="1"/>
        <v>Sunday</v>
      </c>
      <c r="F13" s="16"/>
    </row>
    <row r="14">
      <c r="A14" s="23">
        <v>45117.0</v>
      </c>
      <c r="B14" s="18" t="str">
        <f t="shared" si="1"/>
        <v>Monday</v>
      </c>
      <c r="C14" s="14" t="s">
        <v>39</v>
      </c>
      <c r="D14" s="14" t="s">
        <v>8</v>
      </c>
      <c r="E14" s="21">
        <v>82.165</v>
      </c>
      <c r="F14" s="22" t="s">
        <v>41</v>
      </c>
      <c r="G14" s="14" t="s">
        <v>9</v>
      </c>
      <c r="H14" s="14" t="s">
        <v>4</v>
      </c>
      <c r="I14" s="14" t="s">
        <v>42</v>
      </c>
      <c r="J14" s="14" t="s">
        <v>43</v>
      </c>
      <c r="K14" s="14" t="s">
        <v>44</v>
      </c>
    </row>
    <row r="15">
      <c r="A15" s="23">
        <v>45118.0</v>
      </c>
      <c r="B15" s="18" t="str">
        <f t="shared" si="1"/>
        <v>Tuesday</v>
      </c>
      <c r="F15" s="16"/>
      <c r="G15" s="24">
        <v>82.6</v>
      </c>
      <c r="H15" s="19">
        <v>0.375</v>
      </c>
      <c r="I15" s="19">
        <v>0.3784722222222222</v>
      </c>
      <c r="J15" s="19">
        <v>0.3784722222222222</v>
      </c>
    </row>
    <row r="16">
      <c r="A16" s="23"/>
      <c r="F16" s="16"/>
      <c r="I16" s="14">
        <v>82.5575</v>
      </c>
      <c r="J16" s="14">
        <v>82.5575</v>
      </c>
    </row>
    <row r="17">
      <c r="A17" s="23"/>
      <c r="F17" s="16"/>
      <c r="I17" s="14" t="s">
        <v>45</v>
      </c>
      <c r="J17" s="14" t="s">
        <v>45</v>
      </c>
    </row>
    <row r="18">
      <c r="A18" s="23"/>
      <c r="F18" s="16"/>
      <c r="I18" s="24">
        <v>82.45</v>
      </c>
      <c r="J18" s="24">
        <v>82.45</v>
      </c>
    </row>
    <row r="19">
      <c r="A19" s="23"/>
      <c r="F19" s="16"/>
      <c r="I19" s="14" t="s">
        <v>46</v>
      </c>
      <c r="J19" s="14" t="s">
        <v>47</v>
      </c>
    </row>
    <row r="20">
      <c r="A20" s="23"/>
      <c r="F20" s="16"/>
      <c r="G20" s="14" t="s">
        <v>48</v>
      </c>
      <c r="I20" s="19">
        <v>0.3854166666666667</v>
      </c>
      <c r="J20" s="19">
        <v>0.3854166666666667</v>
      </c>
    </row>
    <row r="21">
      <c r="A21" s="23"/>
      <c r="F21" s="16"/>
      <c r="G21" s="14" t="s">
        <v>49</v>
      </c>
      <c r="I21" s="14" t="s">
        <v>50</v>
      </c>
    </row>
    <row r="22">
      <c r="A22" s="23"/>
      <c r="F22" s="16"/>
      <c r="I22" s="14" t="s">
        <v>51</v>
      </c>
    </row>
    <row r="23">
      <c r="A23" s="23">
        <v>45118.0</v>
      </c>
      <c r="B23" s="18" t="str">
        <f>text(A23,"dddd")</f>
        <v>Tuesday</v>
      </c>
      <c r="C23" s="14" t="s">
        <v>39</v>
      </c>
      <c r="D23" s="14" t="s">
        <v>10</v>
      </c>
      <c r="E23" s="14">
        <v>82.4025</v>
      </c>
      <c r="F23" s="22" t="s">
        <v>40</v>
      </c>
      <c r="I23" s="14" t="s">
        <v>42</v>
      </c>
      <c r="J23" s="14" t="s">
        <v>43</v>
      </c>
    </row>
    <row r="24">
      <c r="B24" s="14" t="s">
        <v>52</v>
      </c>
      <c r="F24" s="16"/>
      <c r="I24" s="18">
        <v>82.4025</v>
      </c>
      <c r="J24" s="18">
        <v>82.4025</v>
      </c>
    </row>
    <row r="25">
      <c r="F25" s="16"/>
      <c r="H25" s="14" t="s">
        <v>53</v>
      </c>
      <c r="I25" s="14" t="s">
        <v>54</v>
      </c>
      <c r="J25" s="14" t="s">
        <v>55</v>
      </c>
    </row>
    <row r="26">
      <c r="F26" s="16"/>
      <c r="H26" s="14" t="s">
        <v>56</v>
      </c>
      <c r="I26" s="14" t="s">
        <v>57</v>
      </c>
    </row>
    <row r="27">
      <c r="F27" s="16"/>
      <c r="I27" s="14" t="s">
        <v>58</v>
      </c>
    </row>
    <row r="28">
      <c r="F28" s="16"/>
      <c r="I28" s="14" t="s">
        <v>59</v>
      </c>
    </row>
    <row r="29">
      <c r="F29" s="16"/>
      <c r="I29" s="14" t="s">
        <v>60</v>
      </c>
      <c r="K29" s="14" t="s">
        <v>61</v>
      </c>
    </row>
    <row r="30">
      <c r="F30" s="16"/>
      <c r="H30" s="14" t="s">
        <v>62</v>
      </c>
    </row>
    <row r="31">
      <c r="F31" s="16"/>
      <c r="I31" s="14" t="s">
        <v>63</v>
      </c>
    </row>
    <row r="32">
      <c r="F32" s="16"/>
    </row>
    <row r="33">
      <c r="A33" s="23">
        <v>45119.0</v>
      </c>
      <c r="B33" s="18" t="str">
        <f t="shared" ref="B33:B36" si="2">text(A33,"dddd")</f>
        <v>Wednesday</v>
      </c>
      <c r="C33" s="14" t="s">
        <v>39</v>
      </c>
      <c r="D33" s="14" t="s">
        <v>10</v>
      </c>
      <c r="E33" s="14">
        <v>82.4025</v>
      </c>
      <c r="F33" s="22" t="s">
        <v>40</v>
      </c>
    </row>
    <row r="34">
      <c r="A34" s="23">
        <v>45120.0</v>
      </c>
      <c r="B34" s="18" t="str">
        <f t="shared" si="2"/>
        <v>Thursday</v>
      </c>
      <c r="C34" s="14" t="s">
        <v>39</v>
      </c>
      <c r="D34" s="14" t="s">
        <v>10</v>
      </c>
      <c r="E34" s="14">
        <v>82.4025</v>
      </c>
      <c r="F34" s="22" t="s">
        <v>20</v>
      </c>
    </row>
    <row r="35">
      <c r="A35" s="23">
        <v>45121.0</v>
      </c>
      <c r="B35" s="18" t="str">
        <f t="shared" si="2"/>
        <v>Friday</v>
      </c>
      <c r="F35" s="16"/>
    </row>
    <row r="36">
      <c r="A36" s="23">
        <v>45122.0</v>
      </c>
      <c r="B36" s="18" t="str">
        <f t="shared" si="2"/>
        <v>Saturday</v>
      </c>
      <c r="F36" s="16"/>
    </row>
    <row r="37">
      <c r="F37" s="16"/>
    </row>
    <row r="38">
      <c r="F38" s="16"/>
    </row>
    <row r="39">
      <c r="F39" s="16"/>
    </row>
    <row r="40">
      <c r="F40" s="16"/>
    </row>
    <row r="41">
      <c r="F41" s="16"/>
    </row>
    <row r="42">
      <c r="F42" s="16"/>
    </row>
    <row r="43">
      <c r="F43" s="16"/>
    </row>
    <row r="44">
      <c r="F44" s="16"/>
    </row>
    <row r="45">
      <c r="F45" s="16"/>
    </row>
    <row r="46">
      <c r="F46" s="16"/>
    </row>
    <row r="47">
      <c r="F47" s="16"/>
    </row>
    <row r="48">
      <c r="F48" s="16"/>
    </row>
    <row r="49">
      <c r="F49" s="16"/>
    </row>
    <row r="50">
      <c r="F50" s="16"/>
    </row>
    <row r="51">
      <c r="F51" s="16"/>
    </row>
    <row r="52">
      <c r="F52" s="16"/>
    </row>
    <row r="53">
      <c r="F53" s="16"/>
    </row>
    <row r="54">
      <c r="F54" s="16"/>
    </row>
    <row r="55">
      <c r="F55" s="16"/>
    </row>
    <row r="56">
      <c r="F56" s="16"/>
    </row>
    <row r="57">
      <c r="F57" s="16"/>
    </row>
    <row r="58">
      <c r="F58" s="16"/>
    </row>
    <row r="59">
      <c r="F59" s="16"/>
    </row>
    <row r="60">
      <c r="F60" s="16"/>
    </row>
    <row r="61">
      <c r="F61" s="16"/>
    </row>
    <row r="62">
      <c r="F62" s="16"/>
    </row>
    <row r="63">
      <c r="F63" s="16"/>
    </row>
    <row r="64">
      <c r="F64" s="16"/>
    </row>
    <row r="65">
      <c r="F65" s="16"/>
    </row>
    <row r="66">
      <c r="F66" s="16"/>
    </row>
    <row r="67">
      <c r="F67" s="16"/>
    </row>
    <row r="68">
      <c r="F68" s="16"/>
    </row>
    <row r="69">
      <c r="F69" s="16"/>
    </row>
    <row r="70">
      <c r="F70" s="16"/>
    </row>
    <row r="71">
      <c r="F71" s="16"/>
    </row>
    <row r="72">
      <c r="F72" s="16"/>
    </row>
    <row r="73">
      <c r="F73" s="16"/>
    </row>
    <row r="74">
      <c r="F74" s="16"/>
    </row>
    <row r="75">
      <c r="F75" s="16"/>
    </row>
    <row r="76">
      <c r="F76" s="16"/>
    </row>
    <row r="77">
      <c r="F77" s="16"/>
    </row>
    <row r="78">
      <c r="F78" s="16"/>
    </row>
    <row r="79">
      <c r="F79" s="16"/>
    </row>
    <row r="80">
      <c r="F80" s="16"/>
    </row>
    <row r="81">
      <c r="F81" s="16"/>
    </row>
    <row r="82">
      <c r="F82" s="16"/>
    </row>
    <row r="83">
      <c r="F83" s="16"/>
    </row>
    <row r="84">
      <c r="F84" s="16"/>
    </row>
    <row r="85">
      <c r="F85" s="16"/>
    </row>
    <row r="86">
      <c r="F86" s="16"/>
    </row>
    <row r="87">
      <c r="F87" s="16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6"/>
    </row>
    <row r="99">
      <c r="F99" s="16"/>
    </row>
    <row r="100">
      <c r="F100" s="16"/>
    </row>
    <row r="101">
      <c r="F101" s="16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  <row r="145">
      <c r="F145" s="16"/>
    </row>
    <row r="146">
      <c r="F146" s="16"/>
    </row>
    <row r="147">
      <c r="F147" s="16"/>
    </row>
    <row r="148">
      <c r="F148" s="16"/>
    </row>
    <row r="149">
      <c r="F149" s="16"/>
    </row>
    <row r="150">
      <c r="F150" s="16"/>
    </row>
    <row r="151">
      <c r="F151" s="16"/>
    </row>
    <row r="152">
      <c r="F152" s="16"/>
    </row>
    <row r="153">
      <c r="F153" s="16"/>
    </row>
    <row r="154">
      <c r="F154" s="16"/>
    </row>
    <row r="155">
      <c r="F155" s="16"/>
    </row>
    <row r="156">
      <c r="F156" s="16"/>
    </row>
    <row r="157">
      <c r="F157" s="16"/>
    </row>
    <row r="158">
      <c r="F158" s="16"/>
    </row>
    <row r="159">
      <c r="F159" s="16"/>
    </row>
    <row r="160">
      <c r="F160" s="16"/>
    </row>
    <row r="161">
      <c r="F161" s="16"/>
    </row>
    <row r="162">
      <c r="F162" s="16"/>
    </row>
    <row r="163">
      <c r="F163" s="16"/>
    </row>
    <row r="164">
      <c r="F164" s="16"/>
    </row>
    <row r="165">
      <c r="F165" s="16"/>
    </row>
    <row r="166">
      <c r="F166" s="16"/>
    </row>
    <row r="167">
      <c r="F167" s="16"/>
    </row>
    <row r="168">
      <c r="F168" s="16"/>
    </row>
    <row r="169">
      <c r="F169" s="16"/>
    </row>
    <row r="170">
      <c r="F170" s="16"/>
    </row>
    <row r="171">
      <c r="F171" s="16"/>
    </row>
    <row r="172">
      <c r="F172" s="16"/>
    </row>
    <row r="173">
      <c r="F173" s="16"/>
    </row>
    <row r="174">
      <c r="F174" s="16"/>
    </row>
    <row r="175">
      <c r="F175" s="16"/>
    </row>
    <row r="176">
      <c r="F176" s="16"/>
    </row>
    <row r="177">
      <c r="F177" s="16"/>
    </row>
    <row r="178">
      <c r="F178" s="16"/>
    </row>
    <row r="179">
      <c r="F179" s="16"/>
    </row>
    <row r="180">
      <c r="F180" s="16"/>
    </row>
    <row r="181">
      <c r="F181" s="16"/>
    </row>
    <row r="182">
      <c r="F182" s="16"/>
    </row>
    <row r="183">
      <c r="F183" s="16"/>
    </row>
    <row r="184">
      <c r="F184" s="16"/>
    </row>
    <row r="185">
      <c r="F185" s="16"/>
    </row>
    <row r="186">
      <c r="F186" s="16"/>
    </row>
    <row r="187">
      <c r="F187" s="16"/>
    </row>
    <row r="188">
      <c r="F188" s="16"/>
    </row>
    <row r="189">
      <c r="F189" s="16"/>
    </row>
    <row r="190">
      <c r="F190" s="16"/>
    </row>
    <row r="191">
      <c r="F191" s="16"/>
    </row>
    <row r="192">
      <c r="F192" s="16"/>
    </row>
    <row r="193">
      <c r="F193" s="16"/>
    </row>
    <row r="194">
      <c r="F194" s="16"/>
    </row>
    <row r="195">
      <c r="F195" s="16"/>
    </row>
    <row r="196">
      <c r="F196" s="16"/>
    </row>
    <row r="197">
      <c r="F197" s="16"/>
    </row>
    <row r="198">
      <c r="F198" s="16"/>
    </row>
    <row r="199">
      <c r="F199" s="16"/>
    </row>
    <row r="200">
      <c r="F200" s="16"/>
    </row>
    <row r="201">
      <c r="F201" s="16"/>
    </row>
    <row r="202">
      <c r="F202" s="16"/>
    </row>
    <row r="203">
      <c r="F203" s="16"/>
    </row>
    <row r="204">
      <c r="F204" s="16"/>
    </row>
    <row r="205">
      <c r="F205" s="16"/>
    </row>
    <row r="206">
      <c r="F206" s="16"/>
    </row>
    <row r="207">
      <c r="F207" s="16"/>
    </row>
    <row r="208">
      <c r="F208" s="16"/>
    </row>
    <row r="209">
      <c r="F209" s="16"/>
    </row>
    <row r="210">
      <c r="F210" s="16"/>
    </row>
    <row r="211">
      <c r="F211" s="16"/>
    </row>
    <row r="212">
      <c r="F212" s="16"/>
    </row>
    <row r="213">
      <c r="F213" s="16"/>
    </row>
    <row r="214">
      <c r="F214" s="16"/>
    </row>
    <row r="215">
      <c r="F215" s="16"/>
    </row>
    <row r="216">
      <c r="F216" s="16"/>
    </row>
    <row r="217">
      <c r="F217" s="16"/>
    </row>
    <row r="218">
      <c r="F218" s="16"/>
    </row>
    <row r="219">
      <c r="F219" s="16"/>
    </row>
    <row r="220">
      <c r="F220" s="16"/>
    </row>
    <row r="221">
      <c r="F221" s="16"/>
    </row>
    <row r="222">
      <c r="F222" s="16"/>
    </row>
    <row r="223">
      <c r="F223" s="16"/>
    </row>
    <row r="224">
      <c r="F224" s="16"/>
    </row>
    <row r="225">
      <c r="F225" s="16"/>
    </row>
    <row r="226">
      <c r="F226" s="16"/>
    </row>
    <row r="227">
      <c r="F227" s="16"/>
    </row>
    <row r="228">
      <c r="F228" s="16"/>
    </row>
    <row r="229">
      <c r="F229" s="16"/>
    </row>
    <row r="230">
      <c r="F230" s="16"/>
    </row>
    <row r="231">
      <c r="F231" s="16"/>
    </row>
    <row r="232">
      <c r="F232" s="16"/>
    </row>
    <row r="233">
      <c r="F233" s="16"/>
    </row>
    <row r="234">
      <c r="F234" s="16"/>
    </row>
    <row r="235">
      <c r="F235" s="16"/>
    </row>
    <row r="236">
      <c r="F236" s="16"/>
    </row>
    <row r="237">
      <c r="F237" s="16"/>
    </row>
    <row r="238">
      <c r="F238" s="16"/>
    </row>
    <row r="239">
      <c r="F239" s="16"/>
    </row>
    <row r="240">
      <c r="F240" s="16"/>
    </row>
    <row r="241">
      <c r="F241" s="16"/>
    </row>
    <row r="242">
      <c r="F242" s="16"/>
    </row>
    <row r="243">
      <c r="F243" s="16"/>
    </row>
    <row r="244">
      <c r="F244" s="16"/>
    </row>
    <row r="245">
      <c r="F245" s="16"/>
    </row>
    <row r="246">
      <c r="F246" s="16"/>
    </row>
    <row r="247">
      <c r="F247" s="16"/>
    </row>
    <row r="248">
      <c r="F248" s="16"/>
    </row>
    <row r="249">
      <c r="F249" s="16"/>
    </row>
    <row r="250">
      <c r="F250" s="16"/>
    </row>
    <row r="251">
      <c r="F251" s="16"/>
    </row>
    <row r="252">
      <c r="F252" s="16"/>
    </row>
    <row r="253">
      <c r="F253" s="16"/>
    </row>
    <row r="254">
      <c r="F254" s="16"/>
    </row>
    <row r="255">
      <c r="F255" s="16"/>
    </row>
    <row r="256">
      <c r="F256" s="16"/>
    </row>
    <row r="257">
      <c r="F257" s="16"/>
    </row>
    <row r="258">
      <c r="F258" s="16"/>
    </row>
    <row r="259">
      <c r="F259" s="16"/>
    </row>
    <row r="260">
      <c r="F260" s="16"/>
    </row>
    <row r="261">
      <c r="F261" s="16"/>
    </row>
    <row r="262">
      <c r="F262" s="16"/>
    </row>
    <row r="263">
      <c r="F263" s="16"/>
    </row>
    <row r="264">
      <c r="F264" s="16"/>
    </row>
    <row r="265">
      <c r="F265" s="16"/>
    </row>
    <row r="266">
      <c r="F266" s="16"/>
    </row>
    <row r="267">
      <c r="F267" s="16"/>
    </row>
    <row r="268">
      <c r="F268" s="16"/>
    </row>
    <row r="269">
      <c r="F269" s="16"/>
    </row>
    <row r="270">
      <c r="F270" s="16"/>
    </row>
    <row r="271">
      <c r="F271" s="16"/>
    </row>
    <row r="272">
      <c r="F272" s="16"/>
    </row>
    <row r="273">
      <c r="F273" s="16"/>
    </row>
    <row r="274">
      <c r="F274" s="16"/>
    </row>
    <row r="275">
      <c r="F275" s="16"/>
    </row>
    <row r="276">
      <c r="F276" s="16"/>
    </row>
    <row r="277">
      <c r="F277" s="16"/>
    </row>
    <row r="278">
      <c r="F278" s="16"/>
    </row>
    <row r="279">
      <c r="F279" s="16"/>
    </row>
    <row r="280">
      <c r="F280" s="16"/>
    </row>
    <row r="281">
      <c r="F281" s="16"/>
    </row>
    <row r="282">
      <c r="F282" s="16"/>
    </row>
    <row r="283">
      <c r="F283" s="16"/>
    </row>
    <row r="284">
      <c r="F284" s="16"/>
    </row>
    <row r="285">
      <c r="F285" s="16"/>
    </row>
    <row r="286">
      <c r="F286" s="16"/>
    </row>
    <row r="287">
      <c r="F287" s="16"/>
    </row>
    <row r="288">
      <c r="F288" s="16"/>
    </row>
    <row r="289">
      <c r="F289" s="16"/>
    </row>
    <row r="290">
      <c r="F290" s="16"/>
    </row>
    <row r="291">
      <c r="F291" s="16"/>
    </row>
    <row r="292">
      <c r="F292" s="16"/>
    </row>
    <row r="293">
      <c r="F293" s="16"/>
    </row>
    <row r="294">
      <c r="F294" s="16"/>
    </row>
    <row r="295">
      <c r="F295" s="16"/>
    </row>
    <row r="296">
      <c r="F296" s="16"/>
    </row>
    <row r="297">
      <c r="F297" s="16"/>
    </row>
    <row r="298">
      <c r="F298" s="16"/>
    </row>
    <row r="299">
      <c r="F299" s="16"/>
    </row>
    <row r="300">
      <c r="F300" s="16"/>
    </row>
    <row r="301">
      <c r="F301" s="16"/>
    </row>
    <row r="302">
      <c r="F302" s="16"/>
    </row>
    <row r="303">
      <c r="F303" s="16"/>
    </row>
    <row r="304">
      <c r="F304" s="16"/>
    </row>
    <row r="305">
      <c r="F305" s="16"/>
    </row>
    <row r="306">
      <c r="F306" s="16"/>
    </row>
    <row r="307">
      <c r="F307" s="16"/>
    </row>
    <row r="308">
      <c r="F308" s="16"/>
    </row>
    <row r="309">
      <c r="F309" s="16"/>
    </row>
    <row r="310">
      <c r="F310" s="16"/>
    </row>
    <row r="311">
      <c r="F311" s="16"/>
    </row>
    <row r="312">
      <c r="F312" s="16"/>
    </row>
    <row r="313">
      <c r="F313" s="16"/>
    </row>
    <row r="314">
      <c r="F314" s="16"/>
    </row>
    <row r="315">
      <c r="F315" s="16"/>
    </row>
    <row r="316">
      <c r="F316" s="16"/>
    </row>
    <row r="317">
      <c r="F317" s="16"/>
    </row>
    <row r="318">
      <c r="F318" s="16"/>
    </row>
    <row r="319">
      <c r="F319" s="16"/>
    </row>
    <row r="320">
      <c r="F320" s="16"/>
    </row>
    <row r="321">
      <c r="F321" s="16"/>
    </row>
    <row r="322">
      <c r="F322" s="16"/>
    </row>
    <row r="323">
      <c r="F323" s="16"/>
    </row>
    <row r="324">
      <c r="F324" s="16"/>
    </row>
    <row r="325">
      <c r="F325" s="16"/>
    </row>
    <row r="326">
      <c r="F326" s="16"/>
    </row>
    <row r="327">
      <c r="F327" s="16"/>
    </row>
    <row r="328">
      <c r="F328" s="16"/>
    </row>
    <row r="329">
      <c r="F329" s="16"/>
    </row>
    <row r="330">
      <c r="F330" s="16"/>
    </row>
    <row r="331">
      <c r="F331" s="16"/>
    </row>
    <row r="332">
      <c r="F332" s="16"/>
    </row>
    <row r="333">
      <c r="F333" s="16"/>
    </row>
    <row r="334">
      <c r="F334" s="16"/>
    </row>
    <row r="335">
      <c r="F335" s="16"/>
    </row>
    <row r="336">
      <c r="F336" s="16"/>
    </row>
    <row r="337">
      <c r="F337" s="16"/>
    </row>
    <row r="338">
      <c r="F338" s="16"/>
    </row>
    <row r="339">
      <c r="F339" s="16"/>
    </row>
    <row r="340">
      <c r="F340" s="16"/>
    </row>
    <row r="341">
      <c r="F341" s="16"/>
    </row>
    <row r="342">
      <c r="F342" s="16"/>
    </row>
    <row r="343">
      <c r="F343" s="16"/>
    </row>
    <row r="344">
      <c r="F344" s="16"/>
    </row>
    <row r="345">
      <c r="F345" s="16"/>
    </row>
    <row r="346">
      <c r="F346" s="16"/>
    </row>
    <row r="347">
      <c r="F347" s="16"/>
    </row>
    <row r="348">
      <c r="F348" s="16"/>
    </row>
    <row r="349">
      <c r="F349" s="16"/>
    </row>
    <row r="350">
      <c r="F350" s="16"/>
    </row>
    <row r="351">
      <c r="F351" s="16"/>
    </row>
    <row r="352">
      <c r="F352" s="16"/>
    </row>
    <row r="353">
      <c r="F353" s="16"/>
    </row>
    <row r="354">
      <c r="F354" s="16"/>
    </row>
    <row r="355">
      <c r="F355" s="16"/>
    </row>
    <row r="356">
      <c r="F356" s="16"/>
    </row>
    <row r="357">
      <c r="F357" s="16"/>
    </row>
    <row r="358">
      <c r="F358" s="16"/>
    </row>
    <row r="359">
      <c r="F359" s="16"/>
    </row>
    <row r="360">
      <c r="F360" s="16"/>
    </row>
    <row r="361">
      <c r="F361" s="16"/>
    </row>
    <row r="362">
      <c r="F362" s="16"/>
    </row>
    <row r="363">
      <c r="F363" s="16"/>
    </row>
    <row r="364">
      <c r="F364" s="16"/>
    </row>
    <row r="365">
      <c r="F365" s="16"/>
    </row>
    <row r="366">
      <c r="F366" s="16"/>
    </row>
    <row r="367">
      <c r="F367" s="16"/>
    </row>
    <row r="368">
      <c r="F368" s="16"/>
    </row>
    <row r="369">
      <c r="F369" s="16"/>
    </row>
    <row r="370">
      <c r="F370" s="16"/>
    </row>
    <row r="371">
      <c r="F371" s="16"/>
    </row>
    <row r="372">
      <c r="F372" s="16"/>
    </row>
    <row r="373">
      <c r="F373" s="16"/>
    </row>
    <row r="374">
      <c r="F374" s="16"/>
    </row>
    <row r="375">
      <c r="F375" s="16"/>
    </row>
    <row r="376">
      <c r="F376" s="16"/>
    </row>
    <row r="377">
      <c r="F377" s="16"/>
    </row>
    <row r="378">
      <c r="F378" s="16"/>
    </row>
    <row r="379">
      <c r="F379" s="16"/>
    </row>
    <row r="380">
      <c r="F380" s="16"/>
    </row>
    <row r="381">
      <c r="F381" s="16"/>
    </row>
    <row r="382">
      <c r="F382" s="16"/>
    </row>
    <row r="383">
      <c r="F383" s="16"/>
    </row>
    <row r="384">
      <c r="F384" s="16"/>
    </row>
    <row r="385">
      <c r="F385" s="16"/>
    </row>
    <row r="386">
      <c r="F386" s="16"/>
    </row>
    <row r="387">
      <c r="F387" s="16"/>
    </row>
    <row r="388">
      <c r="F388" s="16"/>
    </row>
    <row r="389">
      <c r="F389" s="16"/>
    </row>
    <row r="390">
      <c r="F390" s="16"/>
    </row>
    <row r="391">
      <c r="F391" s="16"/>
    </row>
    <row r="392">
      <c r="F392" s="16"/>
    </row>
    <row r="393">
      <c r="F393" s="16"/>
    </row>
    <row r="394">
      <c r="F394" s="16"/>
    </row>
    <row r="395">
      <c r="F395" s="16"/>
    </row>
    <row r="396">
      <c r="F396" s="16"/>
    </row>
    <row r="397">
      <c r="F397" s="16"/>
    </row>
    <row r="398">
      <c r="F398" s="16"/>
    </row>
    <row r="399">
      <c r="F399" s="16"/>
    </row>
    <row r="400">
      <c r="F400" s="16"/>
    </row>
    <row r="401">
      <c r="F401" s="16"/>
    </row>
    <row r="402">
      <c r="F402" s="16"/>
    </row>
    <row r="403">
      <c r="F403" s="16"/>
    </row>
    <row r="404">
      <c r="F404" s="16"/>
    </row>
    <row r="405">
      <c r="F405" s="16"/>
    </row>
    <row r="406">
      <c r="F406" s="16"/>
    </row>
    <row r="407">
      <c r="F407" s="16"/>
    </row>
    <row r="408">
      <c r="F408" s="16"/>
    </row>
    <row r="409">
      <c r="F409" s="16"/>
    </row>
    <row r="410">
      <c r="F410" s="16"/>
    </row>
    <row r="411">
      <c r="F411" s="16"/>
    </row>
    <row r="412">
      <c r="F412" s="16"/>
    </row>
    <row r="413">
      <c r="F413" s="16"/>
    </row>
    <row r="414">
      <c r="F414" s="16"/>
    </row>
    <row r="415">
      <c r="F415" s="16"/>
    </row>
    <row r="416">
      <c r="F416" s="16"/>
    </row>
    <row r="417">
      <c r="F417" s="16"/>
    </row>
    <row r="418">
      <c r="F418" s="16"/>
    </row>
    <row r="419">
      <c r="F419" s="16"/>
    </row>
    <row r="420">
      <c r="F420" s="16"/>
    </row>
    <row r="421">
      <c r="F421" s="16"/>
    </row>
    <row r="422">
      <c r="F422" s="16"/>
    </row>
    <row r="423">
      <c r="F423" s="16"/>
    </row>
    <row r="424">
      <c r="F424" s="16"/>
    </row>
    <row r="425">
      <c r="F425" s="16"/>
    </row>
    <row r="426">
      <c r="F426" s="16"/>
    </row>
    <row r="427">
      <c r="F427" s="16"/>
    </row>
    <row r="428">
      <c r="F428" s="16"/>
    </row>
    <row r="429">
      <c r="F429" s="16"/>
    </row>
    <row r="430">
      <c r="F430" s="16"/>
    </row>
    <row r="431">
      <c r="F431" s="16"/>
    </row>
    <row r="432">
      <c r="F432" s="16"/>
    </row>
    <row r="433">
      <c r="F433" s="16"/>
    </row>
    <row r="434">
      <c r="F434" s="16"/>
    </row>
    <row r="435">
      <c r="F435" s="16"/>
    </row>
    <row r="436">
      <c r="F436" s="16"/>
    </row>
    <row r="437">
      <c r="F437" s="16"/>
    </row>
    <row r="438">
      <c r="F438" s="16"/>
    </row>
    <row r="439">
      <c r="F439" s="16"/>
    </row>
    <row r="440">
      <c r="F440" s="16"/>
    </row>
    <row r="441">
      <c r="F441" s="16"/>
    </row>
    <row r="442">
      <c r="F442" s="16"/>
    </row>
    <row r="443">
      <c r="F443" s="16"/>
    </row>
    <row r="444">
      <c r="F444" s="16"/>
    </row>
    <row r="445">
      <c r="F445" s="16"/>
    </row>
    <row r="446">
      <c r="F446" s="16"/>
    </row>
    <row r="447">
      <c r="F447" s="16"/>
    </row>
    <row r="448">
      <c r="F448" s="16"/>
    </row>
    <row r="449">
      <c r="F449" s="16"/>
    </row>
    <row r="450">
      <c r="F450" s="16"/>
    </row>
    <row r="451">
      <c r="F451" s="16"/>
    </row>
    <row r="452">
      <c r="F452" s="16"/>
    </row>
    <row r="453">
      <c r="F453" s="16"/>
    </row>
    <row r="454">
      <c r="F454" s="16"/>
    </row>
    <row r="455">
      <c r="F455" s="16"/>
    </row>
    <row r="456">
      <c r="F456" s="16"/>
    </row>
    <row r="457">
      <c r="F457" s="16"/>
    </row>
    <row r="458">
      <c r="F458" s="16"/>
    </row>
    <row r="459">
      <c r="F459" s="16"/>
    </row>
    <row r="460">
      <c r="F460" s="16"/>
    </row>
    <row r="461">
      <c r="F461" s="16"/>
    </row>
    <row r="462">
      <c r="F462" s="16"/>
    </row>
    <row r="463">
      <c r="F463" s="16"/>
    </row>
    <row r="464">
      <c r="F464" s="16"/>
    </row>
    <row r="465">
      <c r="F465" s="16"/>
    </row>
    <row r="466">
      <c r="F466" s="16"/>
    </row>
    <row r="467">
      <c r="F467" s="16"/>
    </row>
    <row r="468">
      <c r="F468" s="16"/>
    </row>
    <row r="469">
      <c r="F469" s="16"/>
    </row>
    <row r="470">
      <c r="F470" s="16"/>
    </row>
    <row r="471">
      <c r="F471" s="16"/>
    </row>
    <row r="472">
      <c r="F472" s="16"/>
    </row>
    <row r="473">
      <c r="F473" s="16"/>
    </row>
    <row r="474">
      <c r="F474" s="16"/>
    </row>
    <row r="475">
      <c r="F475" s="16"/>
    </row>
    <row r="476">
      <c r="F476" s="16"/>
    </row>
    <row r="477">
      <c r="F477" s="16"/>
    </row>
    <row r="478">
      <c r="F478" s="16"/>
    </row>
    <row r="479">
      <c r="F479" s="16"/>
    </row>
    <row r="480">
      <c r="F480" s="16"/>
    </row>
    <row r="481">
      <c r="F481" s="16"/>
    </row>
    <row r="482">
      <c r="F482" s="16"/>
    </row>
    <row r="483">
      <c r="F483" s="16"/>
    </row>
    <row r="484">
      <c r="F484" s="16"/>
    </row>
    <row r="485">
      <c r="F485" s="16"/>
    </row>
    <row r="486">
      <c r="F486" s="16"/>
    </row>
    <row r="487">
      <c r="F487" s="16"/>
    </row>
    <row r="488">
      <c r="F488" s="16"/>
    </row>
    <row r="489">
      <c r="F489" s="16"/>
    </row>
    <row r="490">
      <c r="F490" s="16"/>
    </row>
    <row r="491">
      <c r="F491" s="16"/>
    </row>
    <row r="492">
      <c r="F492" s="16"/>
    </row>
    <row r="493">
      <c r="F493" s="16"/>
    </row>
    <row r="494">
      <c r="F494" s="16"/>
    </row>
    <row r="495">
      <c r="F495" s="16"/>
    </row>
    <row r="496">
      <c r="F496" s="16"/>
    </row>
    <row r="497">
      <c r="F497" s="16"/>
    </row>
    <row r="498">
      <c r="F498" s="16"/>
    </row>
    <row r="499">
      <c r="F499" s="16"/>
    </row>
    <row r="500">
      <c r="F500" s="16"/>
    </row>
    <row r="501">
      <c r="F501" s="16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  <row r="910">
      <c r="F910" s="16"/>
    </row>
    <row r="911">
      <c r="F911" s="16"/>
    </row>
    <row r="912">
      <c r="F912" s="16"/>
    </row>
    <row r="913">
      <c r="F913" s="16"/>
    </row>
    <row r="914">
      <c r="F914" s="16"/>
    </row>
    <row r="915">
      <c r="F915" s="16"/>
    </row>
    <row r="916">
      <c r="F916" s="16"/>
    </row>
    <row r="917">
      <c r="F917" s="16"/>
    </row>
    <row r="918">
      <c r="F918" s="16"/>
    </row>
    <row r="919">
      <c r="F919" s="16"/>
    </row>
    <row r="920">
      <c r="F920" s="16"/>
    </row>
    <row r="921">
      <c r="F921" s="16"/>
    </row>
    <row r="922">
      <c r="F922" s="16"/>
    </row>
    <row r="923">
      <c r="F923" s="16"/>
    </row>
    <row r="924">
      <c r="F924" s="16"/>
    </row>
    <row r="925">
      <c r="F925" s="16"/>
    </row>
    <row r="926">
      <c r="F926" s="16"/>
    </row>
    <row r="927">
      <c r="F927" s="16"/>
    </row>
    <row r="928">
      <c r="F928" s="16"/>
    </row>
    <row r="929">
      <c r="F929" s="16"/>
    </row>
    <row r="930">
      <c r="F930" s="16"/>
    </row>
    <row r="931">
      <c r="F931" s="16"/>
    </row>
    <row r="932">
      <c r="F932" s="16"/>
    </row>
    <row r="933">
      <c r="F933" s="16"/>
    </row>
    <row r="934">
      <c r="F934" s="16"/>
    </row>
    <row r="935">
      <c r="F935" s="16"/>
    </row>
    <row r="936">
      <c r="F936" s="16"/>
    </row>
    <row r="937">
      <c r="F937" s="16"/>
    </row>
    <row r="938">
      <c r="F938" s="16"/>
    </row>
    <row r="939">
      <c r="F939" s="16"/>
    </row>
    <row r="940">
      <c r="F940" s="16"/>
    </row>
    <row r="941">
      <c r="F941" s="16"/>
    </row>
    <row r="942">
      <c r="F942" s="16"/>
    </row>
    <row r="943">
      <c r="F943" s="16"/>
    </row>
    <row r="944">
      <c r="F944" s="16"/>
    </row>
    <row r="945">
      <c r="F945" s="16"/>
    </row>
    <row r="946">
      <c r="F946" s="16"/>
    </row>
    <row r="947">
      <c r="F947" s="16"/>
    </row>
    <row r="948">
      <c r="F948" s="16"/>
    </row>
    <row r="949">
      <c r="F949" s="16"/>
    </row>
    <row r="950">
      <c r="F950" s="16"/>
    </row>
    <row r="951">
      <c r="F951" s="16"/>
    </row>
    <row r="952">
      <c r="F952" s="16"/>
    </row>
    <row r="953">
      <c r="F953" s="16"/>
    </row>
    <row r="954">
      <c r="F954" s="16"/>
    </row>
    <row r="955">
      <c r="F955" s="16"/>
    </row>
    <row r="956">
      <c r="F956" s="16"/>
    </row>
    <row r="957">
      <c r="F957" s="16"/>
    </row>
    <row r="958">
      <c r="F958" s="16"/>
    </row>
    <row r="959">
      <c r="F959" s="16"/>
    </row>
    <row r="960">
      <c r="F960" s="16"/>
    </row>
    <row r="961">
      <c r="F961" s="16"/>
    </row>
    <row r="962">
      <c r="F962" s="16"/>
    </row>
    <row r="963">
      <c r="F963" s="16"/>
    </row>
    <row r="964">
      <c r="F964" s="16"/>
    </row>
    <row r="965">
      <c r="F965" s="16"/>
    </row>
    <row r="966">
      <c r="F966" s="16"/>
    </row>
    <row r="967">
      <c r="F967" s="16"/>
    </row>
    <row r="968">
      <c r="F968" s="16"/>
    </row>
    <row r="969">
      <c r="F969" s="16"/>
    </row>
    <row r="970">
      <c r="F970" s="16"/>
    </row>
    <row r="971">
      <c r="F971" s="16"/>
    </row>
    <row r="972">
      <c r="F972" s="16"/>
    </row>
    <row r="973">
      <c r="F973" s="16"/>
    </row>
    <row r="974">
      <c r="F974" s="16"/>
    </row>
    <row r="975">
      <c r="F975" s="16"/>
    </row>
    <row r="976">
      <c r="F976" s="16"/>
    </row>
    <row r="977">
      <c r="F977" s="16"/>
    </row>
    <row r="978">
      <c r="F978" s="16"/>
    </row>
    <row r="979">
      <c r="F979" s="16"/>
    </row>
    <row r="980">
      <c r="F980" s="16"/>
    </row>
    <row r="981">
      <c r="F981" s="16"/>
    </row>
    <row r="982">
      <c r="F982" s="16"/>
    </row>
    <row r="983">
      <c r="F983" s="16"/>
    </row>
    <row r="984">
      <c r="F984" s="16"/>
    </row>
    <row r="985">
      <c r="F985" s="16"/>
    </row>
    <row r="986">
      <c r="F986" s="16"/>
    </row>
    <row r="987">
      <c r="F987" s="16"/>
    </row>
    <row r="988">
      <c r="F988" s="16"/>
    </row>
    <row r="989">
      <c r="F989" s="16"/>
    </row>
    <row r="990">
      <c r="F990" s="16"/>
    </row>
    <row r="991">
      <c r="F991" s="16"/>
    </row>
    <row r="992">
      <c r="F992" s="16"/>
    </row>
    <row r="993">
      <c r="F993" s="16"/>
    </row>
    <row r="994">
      <c r="F994" s="16"/>
    </row>
    <row r="995">
      <c r="F995" s="16"/>
    </row>
    <row r="996">
      <c r="F996" s="16"/>
    </row>
    <row r="997">
      <c r="F997" s="16"/>
    </row>
    <row r="998">
      <c r="F998" s="16"/>
    </row>
    <row r="999">
      <c r="F999" s="16"/>
    </row>
    <row r="1000">
      <c r="F1000" s="16"/>
    </row>
    <row r="1001">
      <c r="F1001" s="16"/>
    </row>
    <row r="1002">
      <c r="F1002" s="16"/>
    </row>
    <row r="1003">
      <c r="F1003" s="16"/>
    </row>
    <row r="1004">
      <c r="F1004" s="16"/>
    </row>
    <row r="1005">
      <c r="F1005" s="16"/>
    </row>
    <row r="1006">
      <c r="F1006" s="16"/>
    </row>
    <row r="1007">
      <c r="F1007" s="16"/>
    </row>
    <row r="1008">
      <c r="F1008" s="16"/>
    </row>
  </sheetData>
  <mergeCells count="2">
    <mergeCell ref="I21:J21"/>
    <mergeCell ref="I22:J22"/>
  </mergeCells>
  <drawing r:id="rId1"/>
</worksheet>
</file>