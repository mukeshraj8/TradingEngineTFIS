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64804BF-2D95-4997-9CFF-139520F4C5E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1" sheetId="1" r:id="rId1"/>
    <sheet name="Voltas" sheetId="2" r:id="rId2"/>
    <sheet name="BNF" sheetId="3" r:id="rId3"/>
    <sheet name="26-07" sheetId="4" r:id="rId4"/>
    <sheet name="Sheet2" sheetId="5" r:id="rId5"/>
    <sheet name="She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5" l="1"/>
  <c r="B35" i="5"/>
  <c r="B34" i="5"/>
  <c r="B33" i="5"/>
  <c r="B23" i="5"/>
  <c r="B15" i="5"/>
  <c r="B14" i="5"/>
  <c r="B13" i="5"/>
  <c r="B12" i="5"/>
  <c r="B11" i="5"/>
  <c r="B10" i="5"/>
  <c r="B9" i="5"/>
  <c r="C3" i="5"/>
  <c r="A59" i="3"/>
  <c r="D56" i="3"/>
  <c r="I51" i="3"/>
  <c r="G51" i="3"/>
  <c r="F51" i="3"/>
  <c r="D51" i="3"/>
  <c r="H51" i="3" s="1"/>
  <c r="D48" i="3"/>
  <c r="D47" i="3"/>
  <c r="I46" i="3"/>
  <c r="H46" i="3"/>
  <c r="G46" i="3"/>
  <c r="F46" i="3"/>
  <c r="D46" i="3"/>
  <c r="G61" i="3" s="1"/>
  <c r="I45" i="3"/>
  <c r="H45" i="3"/>
  <c r="G45" i="3"/>
  <c r="F45" i="3"/>
  <c r="A36" i="3"/>
  <c r="D33" i="3"/>
  <c r="D28" i="3"/>
  <c r="I31" i="3" s="1"/>
  <c r="D25" i="3"/>
  <c r="D22" i="3"/>
  <c r="G23" i="3" s="1"/>
  <c r="D16" i="3"/>
  <c r="D11" i="3"/>
  <c r="G14" i="3" s="1"/>
  <c r="D8" i="3"/>
  <c r="D5" i="3"/>
  <c r="G6" i="3" s="1"/>
  <c r="D183" i="1"/>
  <c r="G183" i="1" s="1"/>
  <c r="A181" i="1"/>
  <c r="D178" i="1"/>
  <c r="D177" i="1"/>
  <c r="I176" i="1"/>
  <c r="H176" i="1"/>
  <c r="G176" i="1"/>
  <c r="F176" i="1"/>
  <c r="D176" i="1"/>
  <c r="I173" i="1"/>
  <c r="H173" i="1"/>
  <c r="D182" i="1" s="1"/>
  <c r="F182" i="1" s="1"/>
  <c r="G173" i="1"/>
  <c r="F173" i="1"/>
  <c r="D170" i="1"/>
  <c r="D167" i="1"/>
  <c r="F167" i="1" s="1"/>
  <c r="D162" i="1"/>
  <c r="G162" i="1" s="1"/>
  <c r="D161" i="1"/>
  <c r="F161" i="1" s="1"/>
  <c r="A160" i="1"/>
  <c r="D157" i="1"/>
  <c r="D156" i="1"/>
  <c r="I155" i="1"/>
  <c r="H155" i="1"/>
  <c r="G155" i="1"/>
  <c r="F155" i="1"/>
  <c r="D155" i="1"/>
  <c r="I152" i="1"/>
  <c r="H152" i="1"/>
  <c r="G152" i="1"/>
  <c r="F152" i="1"/>
  <c r="D149" i="1"/>
  <c r="H147" i="1"/>
  <c r="G147" i="1"/>
  <c r="F147" i="1"/>
  <c r="D146" i="1"/>
  <c r="D147" i="1" s="1"/>
  <c r="D138" i="1"/>
  <c r="G138" i="1" s="1"/>
  <c r="A136" i="1"/>
  <c r="D133" i="1"/>
  <c r="D132" i="1"/>
  <c r="I131" i="1"/>
  <c r="H131" i="1"/>
  <c r="G131" i="1"/>
  <c r="F131" i="1"/>
  <c r="D131" i="1"/>
  <c r="I128" i="1"/>
  <c r="H128" i="1"/>
  <c r="G128" i="1"/>
  <c r="D137" i="1" s="1"/>
  <c r="F137" i="1" s="1"/>
  <c r="F128" i="1"/>
  <c r="D125" i="1"/>
  <c r="F122" i="1"/>
  <c r="D122" i="1"/>
  <c r="D124" i="1" s="1"/>
  <c r="D118" i="1"/>
  <c r="G118" i="1" s="1"/>
  <c r="D116" i="1"/>
  <c r="F116" i="1" s="1"/>
  <c r="A115" i="1"/>
  <c r="D112" i="1"/>
  <c r="D111" i="1"/>
  <c r="D110" i="1"/>
  <c r="D117" i="1" s="1"/>
  <c r="G117" i="1" s="1"/>
  <c r="I107" i="1"/>
  <c r="H107" i="1"/>
  <c r="G107" i="1"/>
  <c r="F107" i="1"/>
  <c r="I105" i="1"/>
  <c r="H105" i="1"/>
  <c r="G105" i="1"/>
  <c r="F105" i="1"/>
  <c r="D105" i="1"/>
  <c r="D100" i="1"/>
  <c r="G100" i="1" s="1"/>
  <c r="D99" i="1"/>
  <c r="G99" i="1" s="1"/>
  <c r="D94" i="1"/>
  <c r="D93" i="1"/>
  <c r="D92" i="1"/>
  <c r="I89" i="1"/>
  <c r="H89" i="1"/>
  <c r="G89" i="1"/>
  <c r="D98" i="1" s="1"/>
  <c r="F98" i="1" s="1"/>
  <c r="F89" i="1"/>
  <c r="I87" i="1"/>
  <c r="H87" i="1"/>
  <c r="G87" i="1"/>
  <c r="F87" i="1"/>
  <c r="D87" i="1"/>
  <c r="G82" i="1"/>
  <c r="G81" i="1"/>
  <c r="F80" i="1"/>
  <c r="D76" i="1"/>
  <c r="D75" i="1"/>
  <c r="D74" i="1"/>
  <c r="I71" i="1"/>
  <c r="H71" i="1"/>
  <c r="G71" i="1"/>
  <c r="F71" i="1"/>
  <c r="I69" i="1"/>
  <c r="D69" i="1"/>
  <c r="H69" i="1" s="1"/>
  <c r="D64" i="1"/>
  <c r="D59" i="1"/>
  <c r="D63" i="1" s="1"/>
  <c r="D57" i="1"/>
  <c r="H57" i="1" s="1"/>
  <c r="D48" i="1"/>
  <c r="D47" i="1"/>
  <c r="D46" i="1"/>
  <c r="H43" i="1"/>
  <c r="G43" i="1"/>
  <c r="F43" i="1"/>
  <c r="E43" i="1"/>
  <c r="D43" i="1"/>
  <c r="D41" i="1"/>
  <c r="H41" i="1" s="1"/>
  <c r="D37" i="1"/>
  <c r="D36" i="1"/>
  <c r="D35" i="1"/>
  <c r="H32" i="1"/>
  <c r="G32" i="1"/>
  <c r="F32" i="1"/>
  <c r="D32" i="1"/>
  <c r="E32" i="1" s="1"/>
  <c r="H30" i="1"/>
  <c r="G30" i="1"/>
  <c r="F30" i="1"/>
  <c r="E30" i="1"/>
  <c r="D30" i="1"/>
  <c r="E26" i="1"/>
  <c r="D26" i="1"/>
  <c r="D23" i="1"/>
  <c r="D21" i="1"/>
  <c r="D20" i="1"/>
  <c r="D16" i="1"/>
  <c r="D19" i="1" s="1"/>
  <c r="D14" i="1"/>
  <c r="E14" i="1" s="1"/>
  <c r="H8" i="1"/>
  <c r="D8" i="1"/>
  <c r="G8" i="1" s="1"/>
  <c r="H7" i="1"/>
  <c r="G7" i="1"/>
  <c r="D7" i="1"/>
  <c r="F7" i="1" s="1"/>
  <c r="I14" i="3" l="1"/>
  <c r="D32" i="3"/>
  <c r="G167" i="1"/>
  <c r="H6" i="3"/>
  <c r="H14" i="3"/>
  <c r="H23" i="3"/>
  <c r="F14" i="1"/>
  <c r="G59" i="1"/>
  <c r="H122" i="1"/>
  <c r="I147" i="1"/>
  <c r="H167" i="1"/>
  <c r="I6" i="3"/>
  <c r="I23" i="3"/>
  <c r="E7" i="1"/>
  <c r="G14" i="1"/>
  <c r="H59" i="1"/>
  <c r="I122" i="1"/>
  <c r="D139" i="1"/>
  <c r="G139" i="1" s="1"/>
  <c r="D148" i="1"/>
  <c r="I167" i="1"/>
  <c r="D184" i="1"/>
  <c r="G184" i="1" s="1"/>
  <c r="D7" i="3"/>
  <c r="D15" i="3"/>
  <c r="D24" i="3"/>
  <c r="H14" i="1"/>
  <c r="D62" i="1"/>
  <c r="D123" i="1"/>
  <c r="D168" i="1"/>
  <c r="D54" i="3"/>
  <c r="F54" i="3"/>
  <c r="G122" i="1"/>
  <c r="F123" i="1"/>
  <c r="G123" i="1"/>
  <c r="F5" i="3"/>
  <c r="F11" i="3"/>
  <c r="F22" i="3"/>
  <c r="F28" i="3"/>
  <c r="G54" i="3"/>
  <c r="H54" i="3"/>
  <c r="E59" i="1"/>
  <c r="F59" i="1"/>
  <c r="E41" i="1"/>
  <c r="G28" i="3"/>
  <c r="I54" i="3"/>
  <c r="G5" i="3"/>
  <c r="G11" i="3"/>
  <c r="G22" i="3"/>
  <c r="E8" i="1"/>
  <c r="G41" i="1"/>
  <c r="F57" i="1"/>
  <c r="F69" i="1"/>
  <c r="I123" i="1"/>
  <c r="H146" i="1"/>
  <c r="D55" i="3"/>
  <c r="F168" i="1"/>
  <c r="E16" i="1"/>
  <c r="F146" i="1"/>
  <c r="G168" i="1"/>
  <c r="F16" i="1"/>
  <c r="F41" i="1"/>
  <c r="E57" i="1"/>
  <c r="H123" i="1"/>
  <c r="G146" i="1"/>
  <c r="H168" i="1"/>
  <c r="G16" i="1"/>
  <c r="I168" i="1"/>
  <c r="H5" i="3"/>
  <c r="H11" i="3"/>
  <c r="H22" i="3"/>
  <c r="H28" i="3"/>
  <c r="D37" i="3" s="1"/>
  <c r="F37" i="3" s="1"/>
  <c r="F8" i="1"/>
  <c r="H16" i="1"/>
  <c r="G57" i="1"/>
  <c r="G69" i="1"/>
  <c r="I146" i="1"/>
  <c r="D163" i="1"/>
  <c r="G163" i="1" s="1"/>
  <c r="D169" i="1"/>
  <c r="I5" i="3"/>
  <c r="I11" i="3"/>
  <c r="I22" i="3"/>
  <c r="I28" i="3"/>
  <c r="D6" i="3"/>
  <c r="D14" i="3"/>
  <c r="D23" i="3"/>
  <c r="D31" i="3"/>
  <c r="D38" i="3" s="1"/>
  <c r="G38" i="3" s="1"/>
  <c r="D39" i="3"/>
  <c r="G39" i="3" s="1"/>
  <c r="F6" i="3"/>
  <c r="F14" i="3"/>
  <c r="F23" i="3"/>
  <c r="F31" i="3"/>
  <c r="G31" i="3"/>
  <c r="H31" i="3"/>
  <c r="G62" i="3"/>
</calcChain>
</file>

<file path=xl/sharedStrings.xml><?xml version="1.0" encoding="utf-8"?>
<sst xmlns="http://schemas.openxmlformats.org/spreadsheetml/2006/main" count="462" uniqueCount="97">
  <si>
    <t>May The Peaceful Prosperity Be With You Always.!!!</t>
  </si>
  <si>
    <t>Entry</t>
  </si>
  <si>
    <t>TGT 1</t>
  </si>
  <si>
    <t>TGT 2</t>
  </si>
  <si>
    <t>TGT 3</t>
  </si>
  <si>
    <t>TGT 4</t>
  </si>
  <si>
    <t>TGT 5</t>
  </si>
  <si>
    <t>2DHH</t>
  </si>
  <si>
    <t>Buy</t>
  </si>
  <si>
    <t>2DLL</t>
  </si>
  <si>
    <t>Sell</t>
  </si>
  <si>
    <t>SL 1</t>
  </si>
  <si>
    <t>Min</t>
  </si>
  <si>
    <t>MSL</t>
  </si>
  <si>
    <t>Entry + 0.40%</t>
  </si>
  <si>
    <t>TSL</t>
  </si>
  <si>
    <t>2DHH + 0.05%</t>
  </si>
  <si>
    <t>NOT Achieved</t>
  </si>
  <si>
    <t>As on 13-Jul-2023</t>
  </si>
  <si>
    <t>Sell On</t>
  </si>
  <si>
    <t>Target 1 Achieved</t>
  </si>
  <si>
    <t>Our Entry</t>
  </si>
  <si>
    <t>ORPT</t>
  </si>
  <si>
    <t>Lots</t>
  </si>
  <si>
    <t>Price</t>
  </si>
  <si>
    <t>Trigger Price</t>
  </si>
  <si>
    <t>Sell's Target 2</t>
  </si>
  <si>
    <t>Y</t>
  </si>
  <si>
    <t>Sell's TRP 3</t>
  </si>
  <si>
    <t>Buy Entry</t>
  </si>
  <si>
    <t>Buy's SL</t>
  </si>
  <si>
    <t>AUG</t>
  </si>
  <si>
    <t>JULY</t>
  </si>
  <si>
    <t>Sell's Target 3</t>
  </si>
  <si>
    <t xml:space="preserve">At 09:20 AM </t>
  </si>
  <si>
    <t>At 09:20 AM Low</t>
  </si>
  <si>
    <t>SL missed</t>
  </si>
  <si>
    <t>Wait Till 09:30 am</t>
  </si>
  <si>
    <t>Recalculate SL</t>
  </si>
  <si>
    <t>Recalculate Sell Entry</t>
  </si>
  <si>
    <t>At 09:30 AM Low</t>
  </si>
  <si>
    <t>SL</t>
  </si>
  <si>
    <t>09:30 low - 1%</t>
  </si>
  <si>
    <t>At 09:30 AM</t>
  </si>
  <si>
    <t>Sell Entry</t>
  </si>
  <si>
    <t>Min ( P2DLL &amp; 09:30 am low - 1% )</t>
  </si>
  <si>
    <t>764 -1 %</t>
  </si>
  <si>
    <t>Buy's TRP 3</t>
  </si>
  <si>
    <t>TP</t>
  </si>
  <si>
    <t>USDINR</t>
  </si>
  <si>
    <t>BNF</t>
  </si>
  <si>
    <t>Date</t>
  </si>
  <si>
    <t>Position</t>
  </si>
  <si>
    <t>Open</t>
  </si>
  <si>
    <t>Trade</t>
  </si>
  <si>
    <t>Entry Price</t>
  </si>
  <si>
    <t>Trade Satus</t>
  </si>
  <si>
    <t>NO TGT</t>
  </si>
  <si>
    <t>No of Orders</t>
  </si>
  <si>
    <t>Directly Place the Order</t>
  </si>
  <si>
    <t>TRP 3</t>
  </si>
  <si>
    <t>High &gt; = SL , If No = Place the Order... IF Yes = Recaculate at 09:30 as 09:30 am High + 0.15%</t>
  </si>
  <si>
    <t>BUY</t>
  </si>
  <si>
    <t>High &gt; = Buy , If No = Place the Order... IF Yes = Recaculate at 09:30 as 09:30 am High + 0.15%</t>
  </si>
  <si>
    <t>Trading Date</t>
  </si>
  <si>
    <t>Trading Day</t>
  </si>
  <si>
    <t>Trading Time</t>
  </si>
  <si>
    <t>Day</t>
  </si>
  <si>
    <t>Target Status</t>
  </si>
  <si>
    <t>No Target Achieved</t>
  </si>
  <si>
    <t>Target 2 Achieved</t>
  </si>
  <si>
    <t>3 Orders</t>
  </si>
  <si>
    <t>09:05 AM Low</t>
  </si>
  <si>
    <t>SL Missed</t>
  </si>
  <si>
    <t>Sell Entry Missed</t>
  </si>
  <si>
    <t>Recalculation Time</t>
  </si>
  <si>
    <t>Recalculation</t>
  </si>
  <si>
    <t>09:15 AM Low - 0.05%</t>
  </si>
  <si>
    <t>09:15 AM Low = 82.4425</t>
  </si>
  <si>
    <t>EOD</t>
  </si>
  <si>
    <t>At 10:15 am</t>
  </si>
  <si>
    <t>Buy SL Hit</t>
  </si>
  <si>
    <t>Sell = On</t>
  </si>
  <si>
    <t>Next Step</t>
  </si>
  <si>
    <t>Cancel Buy TGT 3 Order</t>
  </si>
  <si>
    <t>Place Sell's SL Order</t>
  </si>
  <si>
    <t>Place Sell's TGT 1 Order</t>
  </si>
  <si>
    <t>Place Buy Order</t>
  </si>
  <si>
    <t>5 Lot</t>
  </si>
  <si>
    <t>Calculations For Buy Order</t>
  </si>
  <si>
    <t>Max of ( 2dhh and CDH ) + 0.05%</t>
  </si>
  <si>
    <t>Missed</t>
  </si>
  <si>
    <t>N</t>
  </si>
  <si>
    <t xml:space="preserve">If Incase Sell's SL is Missed </t>
  </si>
  <si>
    <t>Place Sell SL order at 09:15 am</t>
  </si>
  <si>
    <t>Place Buy Entry at 09:15 am</t>
  </si>
  <si>
    <t>Max of ( old Buy Entry &amp; 09:15 am High )  + 0.05%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</si>
</sst>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-mmm\-yyyy"/>
    <numFmt numFmtId="165" formatCode="0.0000"/>
    <numFmt numFmtId="166" formatCode="d\-mmmm\-yyyy"/>
    <numFmt numFmtId="167" formatCode="0.0"/>
    <numFmt numFmtId="168" formatCode="dd\-mm\-yyyy"/>
    <numFmt numFmtId="169" formatCode="dd\-mmmm\-yyyy"/>
    <numFmt numFmtId="170" formatCode="dd\-mmm\-yyyy"/>
  </numFmts>
  <fonts count="6" x14ac:knownFonts="1">
    <font>
      <sz val="10"/>
      <color rgb="FF000000"/>
      <name val="Arial"/>
      <scheme val="minor"/>
    </font>
    <font>
      <b/>
      <sz val="13"/>
      <color rgb="FFFF0000"/>
      <name val="Arial"/>
      <scheme val="minor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  <xf numFmtId="165" fontId="2" fillId="2" borderId="0" xfId="0" applyNumberFormat="1" applyFont="1" applyFill="1"/>
    <xf numFmtId="165" fontId="2" fillId="3" borderId="0" xfId="0" applyNumberFormat="1" applyFont="1" applyFill="1"/>
    <xf numFmtId="0" fontId="2" fillId="3" borderId="0" xfId="0" applyFont="1" applyFill="1"/>
    <xf numFmtId="166" fontId="2" fillId="0" borderId="0" xfId="0" applyNumberFormat="1" applyFont="1"/>
    <xf numFmtId="0" fontId="3" fillId="0" borderId="0" xfId="0" applyFont="1"/>
    <xf numFmtId="20" fontId="2" fillId="0" borderId="0" xfId="0" applyNumberFormat="1" applyFont="1"/>
    <xf numFmtId="20" fontId="2" fillId="3" borderId="0" xfId="0" applyNumberFormat="1" applyFont="1" applyFill="1"/>
    <xf numFmtId="0" fontId="4" fillId="0" borderId="0" xfId="0" applyFont="1"/>
    <xf numFmtId="2" fontId="2" fillId="0" borderId="0" xfId="0" applyNumberFormat="1" applyFont="1"/>
    <xf numFmtId="2" fontId="3" fillId="0" borderId="0" xfId="0" applyNumberFormat="1" applyFont="1"/>
    <xf numFmtId="2" fontId="2" fillId="3" borderId="0" xfId="0" applyNumberFormat="1" applyFont="1" applyFill="1"/>
    <xf numFmtId="2" fontId="2" fillId="2" borderId="0" xfId="0" applyNumberFormat="1" applyFont="1" applyFill="1"/>
    <xf numFmtId="167" fontId="2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168" fontId="3" fillId="0" borderId="0" xfId="0" applyNumberFormat="1" applyFont="1" applyAlignment="1">
      <alignment horizontal="center"/>
    </xf>
    <xf numFmtId="20" fontId="3" fillId="0" borderId="0" xfId="0" applyNumberFormat="1" applyFont="1"/>
    <xf numFmtId="169" fontId="3" fillId="0" borderId="0" xfId="0" applyNumberFormat="1" applyFont="1"/>
    <xf numFmtId="165" fontId="3" fillId="0" borderId="0" xfId="0" applyNumberFormat="1" applyFont="1"/>
    <xf numFmtId="170" fontId="3" fillId="0" borderId="0" xfId="0" applyNumberFormat="1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11"/>
  <sheetViews>
    <sheetView workbookViewId="0">
      <selection activeCell="A7" sqref="A7"/>
    </sheetView>
  </sheetViews>
  <sheetFormatPr defaultColWidth="12.6640625" defaultRowHeight="15.75" customHeight="1" x14ac:dyDescent="0.25"/>
  <cols>
    <col min="1" max="1" width="54.44140625" customWidth="1"/>
    <col min="2" max="2" width="13.5546875" bestFit="1" customWidth="1"/>
    <col min="3" max="3" width="10.44140625" bestFit="1" customWidth="1"/>
    <col min="4" max="4" width="15.77734375" bestFit="1" customWidth="1"/>
    <col min="5" max="5" width="17.5546875" bestFit="1" customWidth="1"/>
    <col min="6" max="7" width="16.88671875" bestFit="1" customWidth="1"/>
    <col min="8" max="9" width="10.33203125" bestFit="1" customWidth="1"/>
    <col min="10" max="10" width="8" bestFit="1" customWidth="1"/>
  </cols>
  <sheetData>
    <row r="1" spans="1:26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8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8" x14ac:dyDescent="0.3">
      <c r="A3" s="2">
        <v>1</v>
      </c>
      <c r="B3" s="3">
        <v>45118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8" x14ac:dyDescent="0.3">
      <c r="A5" s="2"/>
      <c r="B5" s="2"/>
      <c r="C5" s="2"/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8" x14ac:dyDescent="0.3">
      <c r="A6" s="2"/>
      <c r="B6" s="2"/>
      <c r="C6" s="2"/>
      <c r="D6" s="4">
        <v>5.0000000000000001E-4</v>
      </c>
      <c r="E6" s="4">
        <v>4.0000000000000001E-3</v>
      </c>
      <c r="F6" s="4">
        <v>6.0000000000000001E-3</v>
      </c>
      <c r="G6" s="4">
        <v>8.0000000000000002E-3</v>
      </c>
      <c r="H6" s="4">
        <v>0.01</v>
      </c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8" x14ac:dyDescent="0.3">
      <c r="A7" s="2" t="s">
        <v>7</v>
      </c>
      <c r="B7" s="5">
        <v>82.125</v>
      </c>
      <c r="C7" s="2" t="s">
        <v>8</v>
      </c>
      <c r="D7" s="5">
        <f>MROUND(B7*(1+D6),0.0025)</f>
        <v>82.165000000000006</v>
      </c>
      <c r="E7" s="6">
        <f>MROUND(D7*(1+E6),0.0025)</f>
        <v>82.492500000000007</v>
      </c>
      <c r="F7" s="6">
        <f>MROUND(D7*(1+F6),0.0025)</f>
        <v>82.657499999999999</v>
      </c>
      <c r="G7" s="5">
        <f>MROUND(D7*(1+G6),0.0025)</f>
        <v>82.822500000000005</v>
      </c>
      <c r="H7" s="5">
        <f>MROUND(D7*(1+H6),0.0025)</f>
        <v>82.987499999999997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8" x14ac:dyDescent="0.3">
      <c r="A8" s="2" t="s">
        <v>9</v>
      </c>
      <c r="B8" s="5">
        <v>82.6</v>
      </c>
      <c r="C8" s="2" t="s">
        <v>10</v>
      </c>
      <c r="D8" s="7">
        <f>MROUND(B8*(1-D6),0.0025)</f>
        <v>82.557500000000005</v>
      </c>
      <c r="E8" s="5">
        <f>MROUND(D8*(1-E6),0.0025)</f>
        <v>82.227500000000006</v>
      </c>
      <c r="F8" s="5">
        <f>MROUND(D8*(1-F6),0.0025)</f>
        <v>82.0625</v>
      </c>
      <c r="G8" s="5">
        <f>MROUND(D8*(1-G6),0.0025)</f>
        <v>81.897500000000008</v>
      </c>
      <c r="H8" s="5">
        <f>MROUND(D8*(1-H6),0.0025)</f>
        <v>81.732500000000002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8" x14ac:dyDescent="0.3">
      <c r="A9" s="2"/>
      <c r="B9" s="2"/>
      <c r="C9" s="2"/>
      <c r="D9" s="3">
        <v>45118</v>
      </c>
      <c r="E9" s="3">
        <v>45120</v>
      </c>
      <c r="F9" s="3">
        <v>45120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8" x14ac:dyDescent="0.3">
      <c r="A10" s="2"/>
      <c r="B10" s="2"/>
      <c r="C10" s="2"/>
      <c r="D10" s="2"/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8" x14ac:dyDescent="0.3">
      <c r="A11" s="2"/>
      <c r="B11" s="2"/>
      <c r="C11" s="2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8" x14ac:dyDescent="0.3">
      <c r="A12" s="2"/>
      <c r="B12" s="2"/>
      <c r="C12" s="2"/>
      <c r="D12" s="2" t="s">
        <v>1</v>
      </c>
      <c r="E12" s="2" t="s">
        <v>2</v>
      </c>
      <c r="F12" s="2" t="s">
        <v>3</v>
      </c>
      <c r="G12" s="2" t="s">
        <v>4</v>
      </c>
      <c r="H12" s="2" t="s">
        <v>5</v>
      </c>
      <c r="I12" s="2" t="s">
        <v>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8" x14ac:dyDescent="0.3">
      <c r="A13" s="2"/>
      <c r="B13" s="2"/>
      <c r="C13" s="2"/>
      <c r="D13" s="4">
        <v>5.0000000000000001E-4</v>
      </c>
      <c r="E13" s="4">
        <v>4.0000000000000001E-3</v>
      </c>
      <c r="F13" s="4">
        <v>6.0000000000000001E-3</v>
      </c>
      <c r="G13" s="4">
        <v>8.0000000000000002E-3</v>
      </c>
      <c r="H13" s="4">
        <v>0.01</v>
      </c>
      <c r="I13" s="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8" x14ac:dyDescent="0.3">
      <c r="A14" s="2" t="s">
        <v>7</v>
      </c>
      <c r="B14" s="5">
        <v>82.125</v>
      </c>
      <c r="C14" s="2" t="s">
        <v>8</v>
      </c>
      <c r="D14" s="5">
        <f>MROUND(B14*(1+D13),0.0025)</f>
        <v>82.165000000000006</v>
      </c>
      <c r="E14" s="5">
        <f>MROUND(D14*(1+E13),0.0025)</f>
        <v>82.492500000000007</v>
      </c>
      <c r="F14" s="5">
        <f>MROUND(D14*(1+F13),0.0025)</f>
        <v>82.657499999999999</v>
      </c>
      <c r="G14" s="5">
        <f>MROUND(D14*(1+G13),0.0025)</f>
        <v>82.822500000000005</v>
      </c>
      <c r="H14" s="5">
        <f>MROUND(D14*(1+H13),0.0025)</f>
        <v>82.987499999999997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8" x14ac:dyDescent="0.3">
      <c r="A15" s="2"/>
      <c r="B15" s="5"/>
      <c r="C15" s="2"/>
      <c r="D15" s="5"/>
      <c r="E15" s="5"/>
      <c r="F15" s="5"/>
      <c r="G15" s="5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8" x14ac:dyDescent="0.3">
      <c r="A16" s="2" t="s">
        <v>9</v>
      </c>
      <c r="B16" s="5">
        <v>82.442499999999995</v>
      </c>
      <c r="C16" s="2" t="s">
        <v>10</v>
      </c>
      <c r="D16" s="7">
        <f>MROUND(B16*(1-D13),0.0025)</f>
        <v>82.402500000000003</v>
      </c>
      <c r="E16" s="5">
        <f>MROUND(D16*(1-E13),0.0025)</f>
        <v>82.072500000000005</v>
      </c>
      <c r="F16" s="5">
        <f>MROUND(D16*(1-F13),0.0025)</f>
        <v>81.907499999999999</v>
      </c>
      <c r="G16" s="5">
        <f>MROUND(D16*(1-G13),0.0025)</f>
        <v>81.742500000000007</v>
      </c>
      <c r="H16" s="5">
        <f>MROUND(D16*(1-H13),0.0025)</f>
        <v>81.577500000000001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8" x14ac:dyDescent="0.3">
      <c r="A17" s="2"/>
      <c r="B17" s="2"/>
      <c r="C17" s="2"/>
      <c r="D17" s="3">
        <v>45118</v>
      </c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8" x14ac:dyDescent="0.3">
      <c r="A18" s="2"/>
      <c r="B18" s="2"/>
      <c r="C18" s="2"/>
      <c r="D18" s="5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8" x14ac:dyDescent="0.3">
      <c r="A19" s="2"/>
      <c r="B19" s="2"/>
      <c r="C19" s="2"/>
      <c r="D19" s="5">
        <f>MROUND(MIN(B14*(1+D13),D16*(1+E13)),0.0025)</f>
        <v>82.165000000000006</v>
      </c>
      <c r="E19" s="2" t="s">
        <v>12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8" x14ac:dyDescent="0.3">
      <c r="A20" s="2"/>
      <c r="B20" s="2"/>
      <c r="C20" s="2" t="s">
        <v>13</v>
      </c>
      <c r="D20" s="5">
        <f>MROUND(D16*(1+E13),0.0025)</f>
        <v>82.732500000000002</v>
      </c>
      <c r="E20" s="2" t="s">
        <v>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8" x14ac:dyDescent="0.3">
      <c r="A21" s="2"/>
      <c r="B21" s="2"/>
      <c r="C21" s="2" t="s">
        <v>15</v>
      </c>
      <c r="D21" s="7">
        <f>MROUND(B14*(1+D13),0.0025)</f>
        <v>82.165000000000006</v>
      </c>
      <c r="E21" s="2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8" x14ac:dyDescent="0.3">
      <c r="A22" s="2"/>
      <c r="B22" s="2"/>
      <c r="C22" s="2"/>
      <c r="D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8" x14ac:dyDescent="0.3">
      <c r="A23" s="2"/>
      <c r="B23" s="2"/>
      <c r="C23" s="2"/>
      <c r="D23" s="2">
        <f>B16*(1-D13)</f>
        <v>82.401278750000003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8" x14ac:dyDescent="0.3">
      <c r="A24" s="2"/>
      <c r="B24" s="2"/>
      <c r="C24" s="2"/>
      <c r="D24" s="2">
        <v>82.401300000000006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8" x14ac:dyDescent="0.3">
      <c r="A25" s="2"/>
      <c r="B25" s="2"/>
      <c r="C25" s="2"/>
      <c r="D25" s="8">
        <v>4025</v>
      </c>
      <c r="E25" s="2">
        <v>4000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" x14ac:dyDescent="0.3">
      <c r="A26" s="2"/>
      <c r="B26" s="2"/>
      <c r="C26" s="2"/>
      <c r="D26" s="2">
        <f>D25-4013</f>
        <v>12</v>
      </c>
      <c r="E26" s="2">
        <f>4013-4000</f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8" x14ac:dyDescent="0.3">
      <c r="A28" s="9">
        <v>45119</v>
      </c>
      <c r="B28" s="2"/>
      <c r="C28" s="2"/>
      <c r="D28" s="2" t="s">
        <v>1</v>
      </c>
      <c r="E28" s="2" t="s">
        <v>2</v>
      </c>
      <c r="F28" s="2" t="s">
        <v>3</v>
      </c>
      <c r="G28" s="2" t="s">
        <v>4</v>
      </c>
      <c r="H28" s="2" t="s">
        <v>5</v>
      </c>
      <c r="I28" s="2" t="s">
        <v>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8" x14ac:dyDescent="0.3">
      <c r="A29" s="2"/>
      <c r="B29" s="2"/>
      <c r="C29" s="2"/>
      <c r="D29" s="4">
        <v>5.0000000000000001E-4</v>
      </c>
      <c r="E29" s="4">
        <v>4.0000000000000001E-3</v>
      </c>
      <c r="F29" s="4">
        <v>6.0000000000000001E-3</v>
      </c>
      <c r="G29" s="4">
        <v>8.0000000000000002E-3</v>
      </c>
      <c r="H29" s="4">
        <v>0.01</v>
      </c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8" x14ac:dyDescent="0.3">
      <c r="A30" s="2" t="s">
        <v>7</v>
      </c>
      <c r="B30" s="5">
        <v>82.765000000000001</v>
      </c>
      <c r="C30" s="2" t="s">
        <v>8</v>
      </c>
      <c r="D30" s="5">
        <f>MROUND(B30*(1+D29),0.0025)</f>
        <v>82.807500000000005</v>
      </c>
      <c r="E30" s="5">
        <f>MROUND(D30*(1+E29),0.0025)</f>
        <v>83.137500000000003</v>
      </c>
      <c r="F30" s="5">
        <f>MROUND(D30*(1+F29),0.0025)</f>
        <v>83.305000000000007</v>
      </c>
      <c r="G30" s="5">
        <f>MROUND(D30*(1+G29),0.0025)</f>
        <v>83.47</v>
      </c>
      <c r="H30" s="5">
        <f>MROUND(D30*(1+H29),0.0025)</f>
        <v>83.635000000000005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8" x14ac:dyDescent="0.3">
      <c r="A31" s="2"/>
      <c r="B31" s="5"/>
      <c r="C31" s="2"/>
      <c r="D31" s="5"/>
      <c r="E31" s="5"/>
      <c r="F31" s="5"/>
      <c r="G31" s="5"/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8" x14ac:dyDescent="0.3">
      <c r="A32" s="2" t="s">
        <v>9</v>
      </c>
      <c r="B32" s="5">
        <v>82.442499999999995</v>
      </c>
      <c r="C32" s="2" t="s">
        <v>10</v>
      </c>
      <c r="D32" s="7">
        <f>MROUND(B32*(1-D29),0.0025)</f>
        <v>82.402500000000003</v>
      </c>
      <c r="E32" s="6">
        <f>MROUND(D32*(1-E29),0.0025)</f>
        <v>82.072500000000005</v>
      </c>
      <c r="F32" s="5">
        <f>MROUND(D32*(1-F29),0.0025)</f>
        <v>81.907499999999999</v>
      </c>
      <c r="G32" s="5">
        <f>MROUND(D32*(1-G29),0.0025)</f>
        <v>81.742500000000007</v>
      </c>
      <c r="H32" s="5">
        <f>MROUND(D32*(1-H29),0.0025)</f>
        <v>81.577500000000001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8" x14ac:dyDescent="0.3">
      <c r="A33" s="2"/>
      <c r="B33" s="2"/>
      <c r="C33" s="2"/>
      <c r="D33" s="3">
        <v>45118</v>
      </c>
      <c r="E33" s="3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8" x14ac:dyDescent="0.3">
      <c r="A34" s="2"/>
      <c r="B34" s="2"/>
      <c r="C34" s="2"/>
      <c r="D34" s="5" t="s">
        <v>11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8" x14ac:dyDescent="0.3">
      <c r="A35" s="2"/>
      <c r="B35" s="2"/>
      <c r="C35" s="2"/>
      <c r="D35" s="6">
        <f>MROUND(MIN(B30*(1+D29),D32*(1+E29)),0.0025)</f>
        <v>82.732500000000002</v>
      </c>
      <c r="E35" s="2" t="s">
        <v>12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8" x14ac:dyDescent="0.3">
      <c r="A36" s="2"/>
      <c r="B36" s="2"/>
      <c r="C36" s="2" t="s">
        <v>13</v>
      </c>
      <c r="D36" s="5">
        <f>MROUND(D32*(1+E29),0.0025)</f>
        <v>82.732500000000002</v>
      </c>
      <c r="E36" s="2" t="s">
        <v>14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8" x14ac:dyDescent="0.3">
      <c r="A37" s="2"/>
      <c r="B37" s="2"/>
      <c r="C37" s="2" t="s">
        <v>15</v>
      </c>
      <c r="D37" s="7">
        <f>MROUND(B30*(1+D29),0.0025)</f>
        <v>82.807500000000005</v>
      </c>
      <c r="E37" s="2" t="s">
        <v>16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8" x14ac:dyDescent="0.3">
      <c r="A39" s="9">
        <v>45120</v>
      </c>
      <c r="B39" s="2"/>
      <c r="C39" s="2"/>
      <c r="D39" s="2" t="s">
        <v>1</v>
      </c>
      <c r="E39" s="2" t="s">
        <v>2</v>
      </c>
      <c r="F39" s="2" t="s">
        <v>3</v>
      </c>
      <c r="G39" s="2" t="s">
        <v>4</v>
      </c>
      <c r="H39" s="2" t="s">
        <v>5</v>
      </c>
      <c r="I39" s="2" t="s">
        <v>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8" x14ac:dyDescent="0.3">
      <c r="A40" s="2"/>
      <c r="B40" s="2"/>
      <c r="C40" s="2"/>
      <c r="D40" s="4">
        <v>5.0000000000000001E-4</v>
      </c>
      <c r="E40" s="4">
        <v>4.0000000000000001E-3</v>
      </c>
      <c r="F40" s="4">
        <v>6.0000000000000001E-3</v>
      </c>
      <c r="G40" s="4">
        <v>8.0000000000000002E-3</v>
      </c>
      <c r="H40" s="4">
        <v>0.01</v>
      </c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8" x14ac:dyDescent="0.3">
      <c r="A41" s="2" t="s">
        <v>7</v>
      </c>
      <c r="B41" s="5">
        <v>82.55</v>
      </c>
      <c r="C41" s="2" t="s">
        <v>8</v>
      </c>
      <c r="D41" s="5">
        <f>MROUND(B41*(1+D40),0.0025)</f>
        <v>82.592500000000001</v>
      </c>
      <c r="E41" s="5">
        <f>MROUND(D41*(1+E40),0.0025)</f>
        <v>82.922499999999999</v>
      </c>
      <c r="F41" s="5">
        <f>MROUND(D41*(1+F40),0.0025)</f>
        <v>83.087500000000006</v>
      </c>
      <c r="G41" s="5">
        <f>MROUND(D41*(1+G40),0.0025)</f>
        <v>83.252499999999998</v>
      </c>
      <c r="H41" s="5">
        <f>MROUND(D41*(1+H40),0.0025)</f>
        <v>83.417500000000004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8" x14ac:dyDescent="0.3">
      <c r="A42" s="2"/>
      <c r="B42" s="5"/>
      <c r="C42" s="2"/>
      <c r="D42" s="5"/>
      <c r="E42" s="5"/>
      <c r="F42" s="5"/>
      <c r="G42" s="5"/>
      <c r="H42" s="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8" x14ac:dyDescent="0.3">
      <c r="A43" s="2" t="s">
        <v>9</v>
      </c>
      <c r="B43" s="5">
        <v>82.442499999999995</v>
      </c>
      <c r="C43" s="2" t="s">
        <v>10</v>
      </c>
      <c r="D43" s="7">
        <f>MROUND(B43*(1-D40),0.0025)</f>
        <v>82.402500000000003</v>
      </c>
      <c r="E43" s="6">
        <f>MROUND(D43*(1-E40),0.0025)</f>
        <v>82.072500000000005</v>
      </c>
      <c r="F43" s="6">
        <f>MROUND(D43*(1-F40),0.0025)</f>
        <v>81.907499999999999</v>
      </c>
      <c r="G43" s="5">
        <f>MROUND(D43*(1-G40),0.0025)</f>
        <v>81.742500000000007</v>
      </c>
      <c r="H43" s="5">
        <f>MROUND(D43*(1-H40),0.0025)</f>
        <v>81.577500000000001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8" x14ac:dyDescent="0.3">
      <c r="A44" s="2"/>
      <c r="B44" s="2"/>
      <c r="C44" s="2"/>
      <c r="D44" s="3">
        <v>45118</v>
      </c>
      <c r="E44" s="3">
        <v>45120</v>
      </c>
      <c r="F44" s="2" t="s">
        <v>17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8" x14ac:dyDescent="0.3">
      <c r="A45" s="2"/>
      <c r="B45" s="2"/>
      <c r="C45" s="2"/>
      <c r="D45" s="5" t="s">
        <v>11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8" x14ac:dyDescent="0.3">
      <c r="A46" s="2"/>
      <c r="B46" s="2"/>
      <c r="C46" s="2"/>
      <c r="D46" s="6">
        <f>MROUND(MIN(B41*(1+D40),D43*(1+E40)),0.0025)</f>
        <v>82.592500000000001</v>
      </c>
      <c r="E46" s="2" t="s">
        <v>12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8" x14ac:dyDescent="0.3">
      <c r="A47" s="2"/>
      <c r="B47" s="2"/>
      <c r="C47" s="2" t="s">
        <v>13</v>
      </c>
      <c r="D47" s="5">
        <f>MROUND(D43*(1+E40),0.0025)</f>
        <v>82.732500000000002</v>
      </c>
      <c r="E47" s="2" t="s">
        <v>14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8" x14ac:dyDescent="0.3">
      <c r="A48" s="2"/>
      <c r="B48" s="2"/>
      <c r="C48" s="2" t="s">
        <v>15</v>
      </c>
      <c r="D48" s="7">
        <f>MROUND(B41*(1+D40),0.0025)</f>
        <v>82.592500000000001</v>
      </c>
      <c r="E48" s="2" t="s">
        <v>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8" x14ac:dyDescent="0.3">
      <c r="A51" s="2" t="s">
        <v>18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8" x14ac:dyDescent="0.3">
      <c r="A52" s="2" t="s">
        <v>19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8" x14ac:dyDescent="0.3">
      <c r="A53" s="2" t="s">
        <v>20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8" x14ac:dyDescent="0.3">
      <c r="A55" s="9">
        <v>45124</v>
      </c>
      <c r="B55" s="2"/>
      <c r="C55" s="2"/>
      <c r="D55" s="2" t="s">
        <v>1</v>
      </c>
      <c r="E55" s="2" t="s">
        <v>2</v>
      </c>
      <c r="F55" s="2" t="s">
        <v>3</v>
      </c>
      <c r="G55" s="2" t="s">
        <v>4</v>
      </c>
      <c r="H55" s="2" t="s">
        <v>5</v>
      </c>
      <c r="I55" s="2" t="s">
        <v>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8" x14ac:dyDescent="0.3">
      <c r="A56" s="2"/>
      <c r="B56" s="2"/>
      <c r="C56" s="2"/>
      <c r="D56" s="4">
        <v>5.0000000000000001E-4</v>
      </c>
      <c r="E56" s="4">
        <v>4.0000000000000001E-3</v>
      </c>
      <c r="F56" s="4">
        <v>6.0000000000000001E-3</v>
      </c>
      <c r="G56" s="4">
        <v>8.0000000000000002E-3</v>
      </c>
      <c r="H56" s="4">
        <v>0.01</v>
      </c>
      <c r="I56" s="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8" x14ac:dyDescent="0.3">
      <c r="A57" s="2" t="s">
        <v>7</v>
      </c>
      <c r="B57" s="5">
        <v>82.224999999999994</v>
      </c>
      <c r="C57" s="2" t="s">
        <v>8</v>
      </c>
      <c r="D57" s="5">
        <f>MROUND(B57*(1+D56),0.0025)</f>
        <v>82.265000000000001</v>
      </c>
      <c r="E57" s="5">
        <f>MROUND(D57*(1+E56),0.0025)</f>
        <v>82.594999999999999</v>
      </c>
      <c r="F57" s="5">
        <f>MROUND(D57*(1+F56),0.0025)</f>
        <v>82.757500000000007</v>
      </c>
      <c r="G57" s="5">
        <f>MROUND(D57*(1+G56),0.0025)</f>
        <v>82.922499999999999</v>
      </c>
      <c r="H57" s="5">
        <f>MROUND(D57*(1+H56),0.0025)</f>
        <v>83.087500000000006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8" x14ac:dyDescent="0.3">
      <c r="A58" s="2"/>
      <c r="B58" s="5"/>
      <c r="C58" s="2"/>
      <c r="D58" s="5"/>
      <c r="E58" s="5"/>
      <c r="F58" s="5"/>
      <c r="G58" s="5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8" x14ac:dyDescent="0.3">
      <c r="A59" s="2" t="s">
        <v>9</v>
      </c>
      <c r="B59" s="5"/>
      <c r="C59" s="2" t="s">
        <v>10</v>
      </c>
      <c r="D59" s="7">
        <f>MROUND(B59*(1-D56),0.0025)</f>
        <v>0</v>
      </c>
      <c r="E59" s="6">
        <f>MROUND(D59*(1-E56),0.0025)</f>
        <v>0</v>
      </c>
      <c r="F59" s="6">
        <f>MROUND(D59*(1-F56),0.0025)</f>
        <v>0</v>
      </c>
      <c r="G59" s="5">
        <f>MROUND(D59*(1-G56),0.0025)</f>
        <v>0</v>
      </c>
      <c r="H59" s="5">
        <f>MROUND(D59*(1-H56),0.0025)</f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8" x14ac:dyDescent="0.3">
      <c r="A60" s="2"/>
      <c r="B60" s="2"/>
      <c r="C60" s="2"/>
      <c r="D60" s="3">
        <v>45118</v>
      </c>
      <c r="E60" s="3">
        <v>45120</v>
      </c>
      <c r="F60" s="2" t="s">
        <v>17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8" x14ac:dyDescent="0.3">
      <c r="A61" s="2"/>
      <c r="B61" s="2"/>
      <c r="C61" s="2"/>
      <c r="D61" s="5" t="s">
        <v>11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8" x14ac:dyDescent="0.3">
      <c r="A62" s="2"/>
      <c r="B62" s="2"/>
      <c r="C62" s="2"/>
      <c r="D62" s="6">
        <f>MROUND(MIN(B57*(1+D56),D59*(1+E56)),0.0025)</f>
        <v>0</v>
      </c>
      <c r="E62" s="2" t="s">
        <v>12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8" x14ac:dyDescent="0.3">
      <c r="A63" s="2"/>
      <c r="B63" s="2"/>
      <c r="C63" s="2" t="s">
        <v>13</v>
      </c>
      <c r="D63" s="5">
        <f>MROUND(D59*(1+E56),0.0025)</f>
        <v>0</v>
      </c>
      <c r="E63" s="2" t="s">
        <v>14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8" x14ac:dyDescent="0.3">
      <c r="A64" s="2"/>
      <c r="B64" s="2"/>
      <c r="C64" s="2" t="s">
        <v>15</v>
      </c>
      <c r="D64" s="7">
        <f>MROUND(B57*(1+D56),0.0025)</f>
        <v>82.265000000000001</v>
      </c>
      <c r="E64" s="2" t="s">
        <v>16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8" x14ac:dyDescent="0.3">
      <c r="A67" s="9">
        <v>45125</v>
      </c>
      <c r="B67" s="2"/>
      <c r="C67" s="2"/>
      <c r="D67" s="2" t="s">
        <v>1</v>
      </c>
      <c r="E67" s="10" t="s">
        <v>21</v>
      </c>
      <c r="F67" s="2" t="s">
        <v>2</v>
      </c>
      <c r="G67" s="2" t="s">
        <v>3</v>
      </c>
      <c r="H67" s="2" t="s">
        <v>4</v>
      </c>
      <c r="I67" s="2" t="s">
        <v>5</v>
      </c>
      <c r="J67" s="2" t="s">
        <v>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8" x14ac:dyDescent="0.3">
      <c r="A68" s="2"/>
      <c r="B68" s="2"/>
      <c r="C68" s="2"/>
      <c r="D68" s="4">
        <v>5.0000000000000001E-4</v>
      </c>
      <c r="F68" s="4">
        <v>4.0000000000000001E-3</v>
      </c>
      <c r="G68" s="4">
        <v>6.0000000000000001E-3</v>
      </c>
      <c r="H68" s="4">
        <v>8.0000000000000002E-3</v>
      </c>
      <c r="I68" s="4">
        <v>0.01</v>
      </c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8" x14ac:dyDescent="0.3">
      <c r="A69" s="2" t="s">
        <v>7</v>
      </c>
      <c r="B69" s="5">
        <v>82.242500000000007</v>
      </c>
      <c r="C69" s="2" t="s">
        <v>8</v>
      </c>
      <c r="D69" s="5">
        <f>MROUND(B69*(1+D68),0.0025)</f>
        <v>82.282499999999999</v>
      </c>
      <c r="F69" s="5">
        <f>MROUND(D69*(1+F68),0.0025)</f>
        <v>82.612499999999997</v>
      </c>
      <c r="G69" s="5">
        <f>MROUND(D69*(1+G68),0.0025)</f>
        <v>82.775000000000006</v>
      </c>
      <c r="H69" s="5">
        <f>MROUND(D69*(1+H68),0.0025)</f>
        <v>82.94</v>
      </c>
      <c r="I69" s="5">
        <f>MROUND(D69*(1+I68),0.0025)</f>
        <v>83.105000000000004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8" x14ac:dyDescent="0.3">
      <c r="A70" s="2"/>
      <c r="B70" s="5"/>
      <c r="C70" s="2"/>
      <c r="D70" s="5"/>
      <c r="F70" s="5"/>
      <c r="G70" s="5"/>
      <c r="H70" s="5"/>
      <c r="I70" s="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8" x14ac:dyDescent="0.3">
      <c r="A71" s="2" t="s">
        <v>9</v>
      </c>
      <c r="B71" s="5">
        <v>81.97</v>
      </c>
      <c r="C71" s="2" t="s">
        <v>10</v>
      </c>
      <c r="D71" s="7">
        <v>82.402500000000003</v>
      </c>
      <c r="E71" s="7">
        <v>82.402500000000003</v>
      </c>
      <c r="F71" s="6">
        <f>MROUND(D71*(1-F68),0.0025)</f>
        <v>82.072500000000005</v>
      </c>
      <c r="G71" s="5">
        <f>MROUND(D71*(1-G68),0.0025)</f>
        <v>81.907499999999999</v>
      </c>
      <c r="H71" s="5">
        <f>MROUND(D71*(1-H68),0.0025)</f>
        <v>81.742500000000007</v>
      </c>
      <c r="I71" s="5">
        <f>MROUND(D71*(1-I68),0.0025)</f>
        <v>81.577500000000001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8" x14ac:dyDescent="0.3">
      <c r="A72" s="2"/>
      <c r="B72" s="2"/>
      <c r="C72" s="2"/>
      <c r="D72" s="3">
        <v>45118</v>
      </c>
      <c r="F72" s="3">
        <v>45120</v>
      </c>
      <c r="G72" s="2" t="s">
        <v>17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8" x14ac:dyDescent="0.3">
      <c r="A73" s="2"/>
      <c r="B73" s="2"/>
      <c r="C73" s="2"/>
      <c r="D73" s="5" t="s">
        <v>11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8" x14ac:dyDescent="0.3">
      <c r="A74" s="2"/>
      <c r="B74" s="2"/>
      <c r="C74" s="2"/>
      <c r="D74" s="6">
        <f>MROUND(MIN(B69*(1+D68),D71*(1+F68)),0.0025)</f>
        <v>82.282499999999999</v>
      </c>
      <c r="E74" s="2" t="s">
        <v>12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8" x14ac:dyDescent="0.3">
      <c r="A75" s="2"/>
      <c r="B75" s="2"/>
      <c r="C75" s="2" t="s">
        <v>13</v>
      </c>
      <c r="D75" s="5">
        <f>MROUND(D71*(1+F68),0.0025)</f>
        <v>82.732500000000002</v>
      </c>
      <c r="E75" s="2" t="s">
        <v>14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8" x14ac:dyDescent="0.3">
      <c r="A76" s="2"/>
      <c r="B76" s="2"/>
      <c r="C76" s="2" t="s">
        <v>15</v>
      </c>
      <c r="D76" s="7">
        <f>MROUND(B69*(1+D68),0.0025)</f>
        <v>82.282499999999999</v>
      </c>
      <c r="E76" s="2" t="s">
        <v>16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8" x14ac:dyDescent="0.3">
      <c r="A79" s="9">
        <v>45125</v>
      </c>
      <c r="B79" s="2" t="s">
        <v>22</v>
      </c>
      <c r="C79" s="2"/>
      <c r="D79" s="2"/>
      <c r="E79" s="2" t="s">
        <v>23</v>
      </c>
      <c r="F79" s="2" t="s">
        <v>24</v>
      </c>
      <c r="G79" s="2" t="s">
        <v>25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8" x14ac:dyDescent="0.3">
      <c r="A80" s="2" t="s">
        <v>26</v>
      </c>
      <c r="B80" s="11">
        <v>0.375</v>
      </c>
      <c r="C80" s="2" t="s">
        <v>27</v>
      </c>
      <c r="D80" s="5">
        <v>81.907499999999999</v>
      </c>
      <c r="E80" s="2">
        <v>1</v>
      </c>
      <c r="F80" s="5">
        <f>D80</f>
        <v>81.907499999999999</v>
      </c>
      <c r="G80" s="2">
        <v>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8" x14ac:dyDescent="0.3">
      <c r="A81" s="2" t="s">
        <v>28</v>
      </c>
      <c r="B81" s="11">
        <v>0.37847222222222221</v>
      </c>
      <c r="C81" s="2" t="s">
        <v>27</v>
      </c>
      <c r="D81" s="5">
        <v>82.282499999999999</v>
      </c>
      <c r="E81" s="2">
        <v>4</v>
      </c>
      <c r="F81" s="2">
        <v>0</v>
      </c>
      <c r="G81" s="5">
        <f t="shared" ref="G81:G82" si="0">D81</f>
        <v>82.282499999999999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8" x14ac:dyDescent="0.3">
      <c r="A82" s="2" t="s">
        <v>29</v>
      </c>
      <c r="B82" s="11">
        <v>0.37847222222222221</v>
      </c>
      <c r="C82" s="2" t="s">
        <v>27</v>
      </c>
      <c r="D82" s="5">
        <v>82.282499999999999</v>
      </c>
      <c r="E82" s="2">
        <v>5</v>
      </c>
      <c r="F82" s="2">
        <v>0</v>
      </c>
      <c r="G82" s="5">
        <f t="shared" si="0"/>
        <v>82.282499999999999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8" x14ac:dyDescent="0.3">
      <c r="A85" s="9">
        <v>45126</v>
      </c>
      <c r="B85" s="2"/>
      <c r="C85" s="2"/>
      <c r="D85" s="2" t="s">
        <v>1</v>
      </c>
      <c r="E85" s="10" t="s">
        <v>21</v>
      </c>
      <c r="F85" s="2" t="s">
        <v>2</v>
      </c>
      <c r="G85" s="2" t="s">
        <v>3</v>
      </c>
      <c r="H85" s="2" t="s">
        <v>4</v>
      </c>
      <c r="I85" s="2" t="s">
        <v>5</v>
      </c>
      <c r="J85" s="2" t="s">
        <v>6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8" x14ac:dyDescent="0.3">
      <c r="A86" s="2"/>
      <c r="B86" s="2"/>
      <c r="C86" s="2"/>
      <c r="D86" s="4">
        <v>5.0000000000000001E-4</v>
      </c>
      <c r="F86" s="4">
        <v>4.0000000000000001E-3</v>
      </c>
      <c r="G86" s="4">
        <v>6.0000000000000001E-3</v>
      </c>
      <c r="H86" s="4">
        <v>8.0000000000000002E-3</v>
      </c>
      <c r="I86" s="4">
        <v>0.01</v>
      </c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8" x14ac:dyDescent="0.3">
      <c r="A87" s="2" t="s">
        <v>7</v>
      </c>
      <c r="B87" s="5">
        <v>82.242500000000007</v>
      </c>
      <c r="C87" s="2" t="s">
        <v>8</v>
      </c>
      <c r="D87" s="5">
        <f>MROUND(B87*(1+D86),0.0025)</f>
        <v>82.282499999999999</v>
      </c>
      <c r="F87" s="5">
        <f>MROUND(D87*(1+F86),0.0025)</f>
        <v>82.612499999999997</v>
      </c>
      <c r="G87" s="5">
        <f>MROUND(D87*(1+G86),0.0025)</f>
        <v>82.775000000000006</v>
      </c>
      <c r="H87" s="5">
        <f>MROUND(D87*(1+H86),0.0025)</f>
        <v>82.94</v>
      </c>
      <c r="I87" s="5">
        <f>MROUND(D87*(1+I86),0.0025)</f>
        <v>83.105000000000004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8" x14ac:dyDescent="0.3">
      <c r="A88" s="2"/>
      <c r="B88" s="5"/>
      <c r="C88" s="2"/>
      <c r="D88" s="5"/>
      <c r="F88" s="5"/>
      <c r="G88" s="5"/>
      <c r="H88" s="5"/>
      <c r="I88" s="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8" x14ac:dyDescent="0.3">
      <c r="A89" s="2" t="s">
        <v>9</v>
      </c>
      <c r="B89" s="5">
        <v>82</v>
      </c>
      <c r="C89" s="2" t="s">
        <v>10</v>
      </c>
      <c r="D89" s="7">
        <v>82.402500000000003</v>
      </c>
      <c r="E89" s="7">
        <v>82.402500000000003</v>
      </c>
      <c r="F89" s="6">
        <f>MROUND(D89*(1-F86),0.0025)</f>
        <v>82.072500000000005</v>
      </c>
      <c r="G89" s="5">
        <f>MROUND(D89*(1-G86),0.0025)</f>
        <v>81.907499999999999</v>
      </c>
      <c r="H89" s="5">
        <f>MROUND(D89*(1-H86),0.0025)</f>
        <v>81.742500000000007</v>
      </c>
      <c r="I89" s="5">
        <f>MROUND(D89*(1-I86),0.0025)</f>
        <v>81.577500000000001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8" x14ac:dyDescent="0.3">
      <c r="A90" s="2"/>
      <c r="B90" s="2"/>
      <c r="C90" s="2"/>
      <c r="D90" s="3">
        <v>45118</v>
      </c>
      <c r="F90" s="3">
        <v>45120</v>
      </c>
      <c r="G90" s="2" t="s">
        <v>17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8" x14ac:dyDescent="0.3">
      <c r="A91" s="2"/>
      <c r="B91" s="2"/>
      <c r="C91" s="2"/>
      <c r="D91" s="5" t="s">
        <v>11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8" x14ac:dyDescent="0.3">
      <c r="A92" s="2"/>
      <c r="B92" s="2"/>
      <c r="C92" s="2"/>
      <c r="D92" s="6">
        <f>MROUND(MIN(B87*(1+D86),D89*(1+F86)),0.0025)</f>
        <v>82.282499999999999</v>
      </c>
      <c r="E92" s="2" t="s">
        <v>12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8" x14ac:dyDescent="0.3">
      <c r="A93" s="2"/>
      <c r="B93" s="2"/>
      <c r="C93" s="2" t="s">
        <v>13</v>
      </c>
      <c r="D93" s="5">
        <f>MROUND(D89*(1+F86),0.0025)</f>
        <v>82.732500000000002</v>
      </c>
      <c r="E93" s="2" t="s">
        <v>14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8" x14ac:dyDescent="0.3">
      <c r="A94" s="2"/>
      <c r="B94" s="2"/>
      <c r="C94" s="2" t="s">
        <v>15</v>
      </c>
      <c r="D94" s="7">
        <f>MROUND(B87*(1+D86),0.0025)</f>
        <v>82.282499999999999</v>
      </c>
      <c r="E94" s="2" t="s">
        <v>16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8" x14ac:dyDescent="0.3">
      <c r="A97" s="9">
        <v>45126</v>
      </c>
      <c r="B97" s="2" t="s">
        <v>22</v>
      </c>
      <c r="C97" s="2"/>
      <c r="D97" s="2"/>
      <c r="E97" s="2" t="s">
        <v>23</v>
      </c>
      <c r="F97" s="2" t="s">
        <v>24</v>
      </c>
      <c r="G97" s="2" t="s">
        <v>25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8" x14ac:dyDescent="0.3">
      <c r="A98" s="2" t="s">
        <v>26</v>
      </c>
      <c r="B98" s="11">
        <v>0.375</v>
      </c>
      <c r="C98" s="2" t="s">
        <v>27</v>
      </c>
      <c r="D98" s="5">
        <f>G89</f>
        <v>81.907499999999999</v>
      </c>
      <c r="E98" s="2">
        <v>1</v>
      </c>
      <c r="F98" s="5">
        <f>D98</f>
        <v>81.907499999999999</v>
      </c>
      <c r="G98" s="2">
        <v>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8" x14ac:dyDescent="0.3">
      <c r="A99" s="2" t="s">
        <v>28</v>
      </c>
      <c r="B99" s="11">
        <v>0.37847222222222221</v>
      </c>
      <c r="C99" s="2" t="s">
        <v>27</v>
      </c>
      <c r="D99" s="5">
        <f>D92</f>
        <v>82.282499999999999</v>
      </c>
      <c r="E99" s="2">
        <v>4</v>
      </c>
      <c r="F99" s="2">
        <v>0</v>
      </c>
      <c r="G99" s="5">
        <f t="shared" ref="G99:G100" si="1">D99</f>
        <v>82.282499999999999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8" x14ac:dyDescent="0.3">
      <c r="A100" s="2" t="s">
        <v>29</v>
      </c>
      <c r="B100" s="11">
        <v>0.37847222222222221</v>
      </c>
      <c r="C100" s="2" t="s">
        <v>27</v>
      </c>
      <c r="D100" s="5">
        <f>D87</f>
        <v>82.282499999999999</v>
      </c>
      <c r="E100" s="2">
        <v>5</v>
      </c>
      <c r="F100" s="2">
        <v>0</v>
      </c>
      <c r="G100" s="5">
        <f t="shared" si="1"/>
        <v>82.282499999999999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8" x14ac:dyDescent="0.3">
      <c r="A103" s="9">
        <v>45127</v>
      </c>
      <c r="B103" s="2"/>
      <c r="C103" s="2"/>
      <c r="D103" s="2" t="s">
        <v>1</v>
      </c>
      <c r="E103" s="10" t="s">
        <v>21</v>
      </c>
      <c r="F103" s="2" t="s">
        <v>2</v>
      </c>
      <c r="G103" s="2" t="s">
        <v>3</v>
      </c>
      <c r="H103" s="2" t="s">
        <v>4</v>
      </c>
      <c r="I103" s="2" t="s">
        <v>5</v>
      </c>
      <c r="J103" s="2" t="s">
        <v>6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8" x14ac:dyDescent="0.3">
      <c r="A104" s="2"/>
      <c r="B104" s="2"/>
      <c r="C104" s="2"/>
      <c r="D104" s="4">
        <v>5.0000000000000001E-4</v>
      </c>
      <c r="F104" s="4">
        <v>4.0000000000000001E-3</v>
      </c>
      <c r="G104" s="4">
        <v>6.0000000000000001E-3</v>
      </c>
      <c r="H104" s="4">
        <v>8.0000000000000002E-3</v>
      </c>
      <c r="I104" s="4">
        <v>0.01</v>
      </c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8" x14ac:dyDescent="0.3">
      <c r="A105" s="2" t="s">
        <v>7</v>
      </c>
      <c r="B105" s="5">
        <v>82.182500000000005</v>
      </c>
      <c r="C105" s="2" t="s">
        <v>8</v>
      </c>
      <c r="D105" s="5">
        <f>MROUND(B105*(1+D104),0.0025)</f>
        <v>82.222499999999997</v>
      </c>
      <c r="F105" s="5">
        <f>MROUND(D105*(1+F104),0.0025)</f>
        <v>82.552499999999995</v>
      </c>
      <c r="G105" s="5">
        <f>MROUND(D105*(1+G104),0.0025)</f>
        <v>82.715000000000003</v>
      </c>
      <c r="H105" s="5">
        <f>MROUND(D105*(1+H104),0.0025)</f>
        <v>82.88</v>
      </c>
      <c r="I105" s="5">
        <f>MROUND(D105*(1+I104),0.0025)</f>
        <v>83.045000000000002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8" x14ac:dyDescent="0.3">
      <c r="A106" s="2"/>
      <c r="B106" s="5"/>
      <c r="C106" s="2"/>
      <c r="D106" s="5"/>
      <c r="F106" s="5"/>
      <c r="G106" s="5"/>
      <c r="H106" s="5"/>
      <c r="I106" s="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8" x14ac:dyDescent="0.3">
      <c r="A107" s="2" t="s">
        <v>9</v>
      </c>
      <c r="B107" s="5">
        <v>82</v>
      </c>
      <c r="C107" s="2" t="s">
        <v>10</v>
      </c>
      <c r="D107" s="7">
        <v>82.402500000000003</v>
      </c>
      <c r="E107" s="7">
        <v>82.402500000000003</v>
      </c>
      <c r="F107" s="6">
        <f>MROUND(D107*(1-F104),0.0025)</f>
        <v>82.072500000000005</v>
      </c>
      <c r="G107" s="5">
        <f>MROUND(D107*(1-G104),0.0025)</f>
        <v>81.907499999999999</v>
      </c>
      <c r="H107" s="5">
        <f>MROUND(D107*(1-H104),0.0025)</f>
        <v>81.742500000000007</v>
      </c>
      <c r="I107" s="5">
        <f>MROUND(D107*(1-I104),0.0025)</f>
        <v>81.577500000000001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8" x14ac:dyDescent="0.3">
      <c r="A108" s="2"/>
      <c r="B108" s="2"/>
      <c r="C108" s="2"/>
      <c r="D108" s="3">
        <v>45118</v>
      </c>
      <c r="F108" s="3">
        <v>45120</v>
      </c>
      <c r="G108" s="2" t="s">
        <v>17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8" x14ac:dyDescent="0.3">
      <c r="A109" s="2"/>
      <c r="B109" s="2"/>
      <c r="C109" s="2"/>
      <c r="D109" s="5" t="s">
        <v>11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8" x14ac:dyDescent="0.3">
      <c r="A110" s="2"/>
      <c r="B110" s="2"/>
      <c r="C110" s="2"/>
      <c r="D110" s="6">
        <f>MROUND(MIN(B105*(1+D104),D107*(1+F104)),0.0025)</f>
        <v>82.222499999999997</v>
      </c>
      <c r="E110" s="2" t="s">
        <v>12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8" x14ac:dyDescent="0.3">
      <c r="A111" s="2"/>
      <c r="B111" s="2"/>
      <c r="C111" s="2" t="s">
        <v>13</v>
      </c>
      <c r="D111" s="5">
        <f>MROUND(D107*(1+F104),0.0025)</f>
        <v>82.732500000000002</v>
      </c>
      <c r="E111" s="2" t="s">
        <v>14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8" x14ac:dyDescent="0.3">
      <c r="A112" s="2"/>
      <c r="B112" s="2"/>
      <c r="C112" s="2" t="s">
        <v>15</v>
      </c>
      <c r="D112" s="7">
        <f>MROUND(B105*(1+D104),0.0025)</f>
        <v>82.222499999999997</v>
      </c>
      <c r="E112" s="2" t="s">
        <v>16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8" x14ac:dyDescent="0.3">
      <c r="A115" s="9">
        <f>A103</f>
        <v>45127</v>
      </c>
      <c r="B115" s="2" t="s">
        <v>22</v>
      </c>
      <c r="C115" s="2"/>
      <c r="D115" s="2"/>
      <c r="E115" s="2" t="s">
        <v>23</v>
      </c>
      <c r="F115" s="2" t="s">
        <v>24</v>
      </c>
      <c r="G115" s="2" t="s">
        <v>25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8" x14ac:dyDescent="0.3">
      <c r="A116" s="2" t="s">
        <v>26</v>
      </c>
      <c r="B116" s="11">
        <v>0.375</v>
      </c>
      <c r="C116" s="2" t="s">
        <v>27</v>
      </c>
      <c r="D116" s="5">
        <f>G107</f>
        <v>81.907499999999999</v>
      </c>
      <c r="E116" s="2">
        <v>1</v>
      </c>
      <c r="F116" s="5">
        <f>D116</f>
        <v>81.907499999999999</v>
      </c>
      <c r="G116" s="2"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8" x14ac:dyDescent="0.3">
      <c r="A117" s="2" t="s">
        <v>28</v>
      </c>
      <c r="B117" s="11">
        <v>0.37847222222222221</v>
      </c>
      <c r="C117" s="2" t="s">
        <v>27</v>
      </c>
      <c r="D117" s="5">
        <f>D110</f>
        <v>82.222499999999997</v>
      </c>
      <c r="E117" s="2">
        <v>4</v>
      </c>
      <c r="F117" s="2">
        <v>0</v>
      </c>
      <c r="G117" s="5">
        <f t="shared" ref="G117:G118" si="2">D117</f>
        <v>82.222499999999997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8" x14ac:dyDescent="0.3">
      <c r="A118" s="8" t="s">
        <v>29</v>
      </c>
      <c r="B118" s="12">
        <v>0.37847222222222221</v>
      </c>
      <c r="C118" s="8" t="s">
        <v>27</v>
      </c>
      <c r="D118" s="7">
        <f>D105</f>
        <v>82.222499999999997</v>
      </c>
      <c r="E118" s="8">
        <v>5</v>
      </c>
      <c r="F118" s="8">
        <v>0</v>
      </c>
      <c r="G118" s="7">
        <f t="shared" si="2"/>
        <v>82.222499999999997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8" x14ac:dyDescent="0.3">
      <c r="A120" s="9">
        <v>45128</v>
      </c>
      <c r="B120" s="2"/>
      <c r="C120" s="2"/>
      <c r="D120" s="2" t="s">
        <v>1</v>
      </c>
      <c r="E120" s="10" t="s">
        <v>21</v>
      </c>
      <c r="F120" s="2" t="s">
        <v>2</v>
      </c>
      <c r="G120" s="2" t="s">
        <v>3</v>
      </c>
      <c r="H120" s="2" t="s">
        <v>4</v>
      </c>
      <c r="I120" s="2" t="s">
        <v>5</v>
      </c>
      <c r="J120" s="2" t="s">
        <v>6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8" x14ac:dyDescent="0.3">
      <c r="A121" s="2"/>
      <c r="B121" s="2"/>
      <c r="C121" s="2"/>
      <c r="D121" s="4">
        <v>5.0000000000000001E-4</v>
      </c>
      <c r="F121" s="4">
        <v>4.0000000000000001E-3</v>
      </c>
      <c r="G121" s="4">
        <v>6.0000000000000001E-3</v>
      </c>
      <c r="H121" s="4">
        <v>8.0000000000000002E-3</v>
      </c>
      <c r="I121" s="4">
        <v>0.01</v>
      </c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8" x14ac:dyDescent="0.3">
      <c r="A122" s="2" t="s">
        <v>7</v>
      </c>
      <c r="B122" s="5">
        <v>82.182500000000005</v>
      </c>
      <c r="C122" s="2" t="s">
        <v>8</v>
      </c>
      <c r="D122" s="5">
        <f>MROUND(B122*(1+D121),0.0025)</f>
        <v>82.222499999999997</v>
      </c>
      <c r="F122" s="5">
        <f>MROUND(D122*(1+F121),0.0025)</f>
        <v>82.552499999999995</v>
      </c>
      <c r="G122" s="5">
        <f>MROUND(D122*(1+G121),0.0025)</f>
        <v>82.715000000000003</v>
      </c>
      <c r="H122" s="5">
        <f>MROUND(D122*(1+H121),0.0025)</f>
        <v>82.88</v>
      </c>
      <c r="I122" s="5">
        <f>MROUND(D122*(1+I121),0.0025)</f>
        <v>83.045000000000002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8" x14ac:dyDescent="0.3">
      <c r="A123" s="2"/>
      <c r="B123" s="5"/>
      <c r="C123" s="2" t="s">
        <v>30</v>
      </c>
      <c r="D123" s="5">
        <f>MROUND(MAX(B128*(1-D121),D122*(1-F121)),0.0025)</f>
        <v>81.892499999999998</v>
      </c>
      <c r="F123" s="5">
        <f>MROUND(MAX(B128*(1-D121),D122),0.0025)</f>
        <v>82.222499999999997</v>
      </c>
      <c r="G123" s="5">
        <f>MROUND(MAX(B128*(1-D121),D122),0.0025)</f>
        <v>82.222499999999997</v>
      </c>
      <c r="H123" s="5">
        <f>MROUND(MAX(B128*(1-D121),D122),0.0025)</f>
        <v>82.222499999999997</v>
      </c>
      <c r="I123" s="5">
        <f>MROUND(MAX(B128*(1-D121),D122),0.0025)</f>
        <v>82.222499999999997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8" x14ac:dyDescent="0.3">
      <c r="A124" s="2"/>
      <c r="B124" s="5"/>
      <c r="C124" s="2" t="s">
        <v>13</v>
      </c>
      <c r="D124" s="5">
        <f>MROUND(D122*(1-F121),0.0025)</f>
        <v>81.892499999999998</v>
      </c>
      <c r="F124" s="5"/>
      <c r="G124" s="5"/>
      <c r="H124" s="5"/>
      <c r="I124" s="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8" x14ac:dyDescent="0.3">
      <c r="A125" s="2"/>
      <c r="B125" s="5"/>
      <c r="C125" s="2" t="s">
        <v>15</v>
      </c>
      <c r="D125" s="5">
        <f>MROUND(B128*(1-D121),0.0025)</f>
        <v>81.89</v>
      </c>
      <c r="F125" s="5"/>
      <c r="G125" s="5"/>
      <c r="H125" s="5"/>
      <c r="I125" s="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8" x14ac:dyDescent="0.3">
      <c r="A126" s="2"/>
      <c r="B126" s="5"/>
      <c r="C126" s="2"/>
      <c r="D126" s="5"/>
      <c r="F126" s="5"/>
      <c r="G126" s="5"/>
      <c r="H126" s="5"/>
      <c r="I126" s="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8" x14ac:dyDescent="0.3">
      <c r="A127" s="2"/>
      <c r="B127" s="5"/>
      <c r="C127" s="2"/>
      <c r="D127" s="5"/>
      <c r="F127" s="5"/>
      <c r="G127" s="5"/>
      <c r="H127" s="5"/>
      <c r="I127" s="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8" x14ac:dyDescent="0.3">
      <c r="A128" s="2" t="s">
        <v>9</v>
      </c>
      <c r="B128" s="5">
        <v>81.93</v>
      </c>
      <c r="C128" s="2" t="s">
        <v>10</v>
      </c>
      <c r="D128" s="7">
        <v>82.402500000000003</v>
      </c>
      <c r="E128" s="7">
        <v>82.402500000000003</v>
      </c>
      <c r="F128" s="6">
        <f>MROUND(D128*(1-F121),0.0025)</f>
        <v>82.072500000000005</v>
      </c>
      <c r="G128" s="5">
        <f>MROUND(D128*(1-G121),0.0025)</f>
        <v>81.907499999999999</v>
      </c>
      <c r="H128" s="5">
        <f>MROUND(D128*(1-H121),0.0025)</f>
        <v>81.742500000000007</v>
      </c>
      <c r="I128" s="5">
        <f>MROUND(D128*(1-I121),0.0025)</f>
        <v>81.577500000000001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8" x14ac:dyDescent="0.3">
      <c r="A129" s="2"/>
      <c r="B129" s="2"/>
      <c r="C129" s="2"/>
      <c r="D129" s="3">
        <v>45118</v>
      </c>
      <c r="F129" s="3">
        <v>45120</v>
      </c>
      <c r="G129" s="2" t="s">
        <v>17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8" x14ac:dyDescent="0.3">
      <c r="A130" s="2"/>
      <c r="B130" s="2"/>
      <c r="C130" s="2"/>
      <c r="D130" s="5" t="s">
        <v>11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8" x14ac:dyDescent="0.3">
      <c r="A131" s="2"/>
      <c r="B131" s="2"/>
      <c r="C131" s="2"/>
      <c r="D131" s="6">
        <f>MROUND(MIN(B122*(1+D121),D128*(1+F121)),0.0025)</f>
        <v>82.222499999999997</v>
      </c>
      <c r="E131" s="2" t="s">
        <v>12</v>
      </c>
      <c r="F131" s="2">
        <f>MROUND(MIN(B122*(1+D121),D128),0.0025)</f>
        <v>82.222499999999997</v>
      </c>
      <c r="G131" s="2">
        <f>MROUND(MIN(B122*(1+D121),D128),0.0025)</f>
        <v>82.222499999999997</v>
      </c>
      <c r="H131" s="2">
        <f>MROUND(MIN(B122*(1+D121),D128),0.0025)</f>
        <v>82.222499999999997</v>
      </c>
      <c r="I131" s="2">
        <f>MROUND(MIN(B122*(1+D121),D128),0.0025)</f>
        <v>82.222499999999997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8" x14ac:dyDescent="0.3">
      <c r="A132" s="2"/>
      <c r="B132" s="2"/>
      <c r="C132" s="2" t="s">
        <v>13</v>
      </c>
      <c r="D132" s="5">
        <f>MROUND(D128*(1+F121),0.0025)</f>
        <v>82.732500000000002</v>
      </c>
      <c r="E132" s="2" t="s">
        <v>14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8" x14ac:dyDescent="0.3">
      <c r="A133" s="2"/>
      <c r="B133" s="2"/>
      <c r="C133" s="2" t="s">
        <v>15</v>
      </c>
      <c r="D133" s="7">
        <f>MROUND(B122*(1+D121),0.0025)</f>
        <v>82.222499999999997</v>
      </c>
      <c r="E133" s="2" t="s">
        <v>16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8" x14ac:dyDescent="0.3">
      <c r="A136" s="9">
        <f>A120</f>
        <v>45128</v>
      </c>
      <c r="B136" s="2" t="s">
        <v>22</v>
      </c>
      <c r="C136" s="2"/>
      <c r="D136" s="2"/>
      <c r="E136" s="2" t="s">
        <v>23</v>
      </c>
      <c r="F136" s="2" t="s">
        <v>24</v>
      </c>
      <c r="G136" s="2" t="s">
        <v>25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8" x14ac:dyDescent="0.3">
      <c r="A137" s="2" t="s">
        <v>26</v>
      </c>
      <c r="B137" s="11">
        <v>0.375</v>
      </c>
      <c r="C137" s="2" t="s">
        <v>27</v>
      </c>
      <c r="D137" s="5">
        <f>G128</f>
        <v>81.907499999999999</v>
      </c>
      <c r="E137" s="2">
        <v>1</v>
      </c>
      <c r="F137" s="5">
        <f>D137</f>
        <v>81.907499999999999</v>
      </c>
      <c r="G137" s="2">
        <v>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8" x14ac:dyDescent="0.3">
      <c r="A138" s="2" t="s">
        <v>28</v>
      </c>
      <c r="B138" s="11">
        <v>0.37847222222222221</v>
      </c>
      <c r="C138" s="2" t="s">
        <v>27</v>
      </c>
      <c r="D138" s="5">
        <f>D131</f>
        <v>82.222499999999997</v>
      </c>
      <c r="E138" s="2">
        <v>4</v>
      </c>
      <c r="F138" s="2">
        <v>0</v>
      </c>
      <c r="G138" s="5">
        <f t="shared" ref="G138:G139" si="3">D138</f>
        <v>82.222499999999997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8" x14ac:dyDescent="0.3">
      <c r="A139" s="8" t="s">
        <v>29</v>
      </c>
      <c r="B139" s="12">
        <v>0.37847222222222221</v>
      </c>
      <c r="C139" s="8" t="s">
        <v>27</v>
      </c>
      <c r="D139" s="7">
        <f>D122</f>
        <v>82.222499999999997</v>
      </c>
      <c r="E139" s="8">
        <v>5</v>
      </c>
      <c r="F139" s="8">
        <v>0</v>
      </c>
      <c r="G139" s="7">
        <f t="shared" si="3"/>
        <v>82.222499999999997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8" x14ac:dyDescent="0.3">
      <c r="A144" s="9">
        <v>45128</v>
      </c>
      <c r="B144" s="2"/>
      <c r="C144" s="2"/>
      <c r="D144" s="2" t="s">
        <v>1</v>
      </c>
      <c r="E144" s="10" t="s">
        <v>21</v>
      </c>
      <c r="F144" s="2" t="s">
        <v>2</v>
      </c>
      <c r="G144" s="2" t="s">
        <v>3</v>
      </c>
      <c r="H144" s="2" t="s">
        <v>4</v>
      </c>
      <c r="I144" s="2" t="s">
        <v>5</v>
      </c>
      <c r="J144" s="2" t="s">
        <v>6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8" x14ac:dyDescent="0.3">
      <c r="A145" s="2"/>
      <c r="B145" s="2"/>
      <c r="C145" s="2"/>
      <c r="D145" s="4">
        <v>5.0000000000000001E-4</v>
      </c>
      <c r="F145" s="4">
        <v>4.0000000000000001E-3</v>
      </c>
      <c r="G145" s="4">
        <v>6.0000000000000001E-3</v>
      </c>
      <c r="H145" s="4">
        <v>8.0000000000000002E-3</v>
      </c>
      <c r="I145" s="4">
        <v>0.01</v>
      </c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8" x14ac:dyDescent="0.3">
      <c r="A146" s="2" t="s">
        <v>7</v>
      </c>
      <c r="B146" s="5">
        <v>82.094999999999999</v>
      </c>
      <c r="C146" s="2" t="s">
        <v>8</v>
      </c>
      <c r="D146" s="5">
        <f>MROUND(B146*(1+D145),0.0025)</f>
        <v>82.135000000000005</v>
      </c>
      <c r="F146" s="5">
        <f>MROUND(D146*(1+F145),0.0025)</f>
        <v>82.462500000000006</v>
      </c>
      <c r="G146" s="5">
        <f>MROUND(D146*(1+G145),0.0025)</f>
        <v>82.627499999999998</v>
      </c>
      <c r="H146" s="5">
        <f>MROUND(D146*(1+H145),0.0025)</f>
        <v>82.792500000000004</v>
      </c>
      <c r="I146" s="5">
        <f>MROUND(D146*(1+I145),0.0025)</f>
        <v>82.957499999999996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8" x14ac:dyDescent="0.3">
      <c r="A147" s="2"/>
      <c r="B147" s="5"/>
      <c r="C147" s="2" t="s">
        <v>30</v>
      </c>
      <c r="D147" s="5">
        <f>MROUND(MAX(B152*(1-D145),D146*(1-F145)),0.0025)</f>
        <v>81.89</v>
      </c>
      <c r="F147" s="5">
        <f>MROUND(MAX(B152*(1-D145),D146),0.0025)</f>
        <v>82.135000000000005</v>
      </c>
      <c r="G147" s="5">
        <f>MROUND(MAX(B152*(1-D145),D146),0.0025)</f>
        <v>82.135000000000005</v>
      </c>
      <c r="H147" s="5">
        <f>MROUND(MAX(B152*(1-D145),D146),0.0025)</f>
        <v>82.135000000000005</v>
      </c>
      <c r="I147" s="5">
        <f>MROUND(MAX(B152*(1-D145),D146),0.0025)</f>
        <v>82.135000000000005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8" x14ac:dyDescent="0.3">
      <c r="A148" s="2"/>
      <c r="B148" s="5"/>
      <c r="C148" s="2" t="s">
        <v>13</v>
      </c>
      <c r="D148" s="5">
        <f>MROUND(D146*(1-F145),0.0025)</f>
        <v>81.807500000000005</v>
      </c>
      <c r="F148" s="5"/>
      <c r="G148" s="5"/>
      <c r="H148" s="5"/>
      <c r="I148" s="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8" x14ac:dyDescent="0.3">
      <c r="A149" s="2"/>
      <c r="B149" s="5"/>
      <c r="C149" s="2" t="s">
        <v>15</v>
      </c>
      <c r="D149" s="5">
        <f>MROUND(B152*(1-D145),0.0025)</f>
        <v>81.89</v>
      </c>
      <c r="F149" s="5"/>
      <c r="G149" s="5"/>
      <c r="H149" s="5"/>
      <c r="I149" s="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8" x14ac:dyDescent="0.3">
      <c r="A150" s="2"/>
      <c r="B150" s="5"/>
      <c r="C150" s="2"/>
      <c r="D150" s="5"/>
      <c r="F150" s="5"/>
      <c r="G150" s="5"/>
      <c r="H150" s="5"/>
      <c r="I150" s="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8" x14ac:dyDescent="0.3">
      <c r="A151" s="2"/>
      <c r="B151" s="5"/>
      <c r="C151" s="2"/>
      <c r="D151" s="5"/>
      <c r="F151" s="5"/>
      <c r="G151" s="5"/>
      <c r="H151" s="5"/>
      <c r="I151" s="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8" x14ac:dyDescent="0.3">
      <c r="A152" s="2" t="s">
        <v>9</v>
      </c>
      <c r="B152" s="5">
        <v>81.93</v>
      </c>
      <c r="C152" s="2" t="s">
        <v>10</v>
      </c>
      <c r="D152" s="7">
        <v>82.402500000000003</v>
      </c>
      <c r="E152" s="7">
        <v>82.402500000000003</v>
      </c>
      <c r="F152" s="6">
        <f>MROUND(D152*(1-F145),0.0025)</f>
        <v>82.072500000000005</v>
      </c>
      <c r="G152" s="5">
        <f>MROUND(D152*(1-G145),0.0025)</f>
        <v>81.907499999999999</v>
      </c>
      <c r="H152" s="5">
        <f>MROUND(D152*(1-H145),0.0025)</f>
        <v>81.742500000000007</v>
      </c>
      <c r="I152" s="5">
        <f>MROUND(D152*(1-I145),0.0025)</f>
        <v>81.577500000000001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8" x14ac:dyDescent="0.3">
      <c r="A153" s="2"/>
      <c r="B153" s="2"/>
      <c r="C153" s="2"/>
      <c r="D153" s="3">
        <v>45118</v>
      </c>
      <c r="F153" s="3">
        <v>45120</v>
      </c>
      <c r="G153" s="2" t="s">
        <v>17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8" x14ac:dyDescent="0.3">
      <c r="A154" s="2"/>
      <c r="B154" s="2"/>
      <c r="C154" s="2"/>
      <c r="D154" s="5" t="s">
        <v>11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8" x14ac:dyDescent="0.3">
      <c r="A155" s="2"/>
      <c r="B155" s="2"/>
      <c r="C155" s="2"/>
      <c r="D155" s="6">
        <f>MROUND(MIN(B146*(1+D145),D152*(1+F145)),0.0025)</f>
        <v>82.135000000000005</v>
      </c>
      <c r="E155" s="2" t="s">
        <v>12</v>
      </c>
      <c r="F155" s="2">
        <f>MROUND(MIN(B146*(1+D145),D152),0.0025)</f>
        <v>82.135000000000005</v>
      </c>
      <c r="G155" s="2">
        <f>MROUND(MIN(B146*(1+D145),D152),0.0025)</f>
        <v>82.135000000000005</v>
      </c>
      <c r="H155" s="2">
        <f>MROUND(MIN(B146*(1+D145),D152),0.0025)</f>
        <v>82.135000000000005</v>
      </c>
      <c r="I155" s="2">
        <f>MROUND(MIN(B146*(1+D145),D152),0.0025)</f>
        <v>82.135000000000005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8" x14ac:dyDescent="0.3">
      <c r="A156" s="2"/>
      <c r="B156" s="2"/>
      <c r="C156" s="2" t="s">
        <v>13</v>
      </c>
      <c r="D156" s="5">
        <f>MROUND(D152*(1+F145),0.0025)</f>
        <v>82.732500000000002</v>
      </c>
      <c r="E156" s="2" t="s">
        <v>14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8" x14ac:dyDescent="0.3">
      <c r="A157" s="2"/>
      <c r="B157" s="2"/>
      <c r="C157" s="2" t="s">
        <v>15</v>
      </c>
      <c r="D157" s="7">
        <f>MROUND(B146*(1+D145),0.0025)</f>
        <v>82.135000000000005</v>
      </c>
      <c r="E157" s="2" t="s">
        <v>16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8" x14ac:dyDescent="0.3">
      <c r="A160" s="9">
        <f>A144</f>
        <v>45128</v>
      </c>
      <c r="B160" s="2" t="s">
        <v>22</v>
      </c>
      <c r="C160" s="2"/>
      <c r="D160" s="2"/>
      <c r="E160" s="2" t="s">
        <v>23</v>
      </c>
      <c r="F160" s="2" t="s">
        <v>24</v>
      </c>
      <c r="G160" s="2" t="s">
        <v>25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8" x14ac:dyDescent="0.3">
      <c r="A161" s="2" t="s">
        <v>26</v>
      </c>
      <c r="B161" s="11">
        <v>0.375</v>
      </c>
      <c r="C161" s="2" t="s">
        <v>27</v>
      </c>
      <c r="D161" s="5">
        <f>G152</f>
        <v>81.907499999999999</v>
      </c>
      <c r="E161" s="2">
        <v>1</v>
      </c>
      <c r="F161" s="5">
        <f>D161</f>
        <v>81.907499999999999</v>
      </c>
      <c r="G161" s="2">
        <v>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8" x14ac:dyDescent="0.3">
      <c r="A162" s="2" t="s">
        <v>28</v>
      </c>
      <c r="B162" s="11">
        <v>0.37847222222222221</v>
      </c>
      <c r="C162" s="2" t="s">
        <v>27</v>
      </c>
      <c r="D162" s="5">
        <f>D155</f>
        <v>82.135000000000005</v>
      </c>
      <c r="E162" s="2">
        <v>4</v>
      </c>
      <c r="F162" s="2">
        <v>0</v>
      </c>
      <c r="G162" s="5">
        <f t="shared" ref="G162:G163" si="4">D162</f>
        <v>82.135000000000005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8" x14ac:dyDescent="0.3">
      <c r="A163" s="8" t="s">
        <v>29</v>
      </c>
      <c r="B163" s="12">
        <v>0.37847222222222221</v>
      </c>
      <c r="C163" s="8" t="s">
        <v>27</v>
      </c>
      <c r="D163" s="7">
        <f>D146</f>
        <v>82.135000000000005</v>
      </c>
      <c r="E163" s="8">
        <v>5</v>
      </c>
      <c r="F163" s="8">
        <v>0</v>
      </c>
      <c r="G163" s="7">
        <f t="shared" si="4"/>
        <v>82.135000000000005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8" x14ac:dyDescent="0.3">
      <c r="A165" s="9">
        <v>45132</v>
      </c>
      <c r="B165" s="2"/>
      <c r="C165" s="2"/>
      <c r="D165" s="2" t="s">
        <v>1</v>
      </c>
      <c r="E165" s="10" t="s">
        <v>21</v>
      </c>
      <c r="F165" s="2" t="s">
        <v>2</v>
      </c>
      <c r="G165" s="2" t="s">
        <v>3</v>
      </c>
      <c r="H165" s="2" t="s">
        <v>4</v>
      </c>
      <c r="I165" s="2" t="s">
        <v>5</v>
      </c>
      <c r="J165" s="2" t="s">
        <v>6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8" x14ac:dyDescent="0.3">
      <c r="A166" s="2"/>
      <c r="B166" s="2"/>
      <c r="C166" s="2"/>
      <c r="D166" s="4">
        <v>5.0000000000000001E-4</v>
      </c>
      <c r="F166" s="4">
        <v>4.0000000000000001E-3</v>
      </c>
      <c r="G166" s="4">
        <v>6.0000000000000001E-3</v>
      </c>
      <c r="H166" s="4">
        <v>8.0000000000000002E-3</v>
      </c>
      <c r="I166" s="4">
        <v>0.01</v>
      </c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8" x14ac:dyDescent="0.3">
      <c r="A167" s="2" t="s">
        <v>7</v>
      </c>
      <c r="B167" s="5">
        <v>82.152500000000003</v>
      </c>
      <c r="C167" s="2" t="s">
        <v>8</v>
      </c>
      <c r="D167" s="5">
        <f>MROUND(B167*(1+D166),0.0025)</f>
        <v>82.192499999999995</v>
      </c>
      <c r="F167" s="5">
        <f>MROUND(D167*(1+F166),0.0025)</f>
        <v>82.522500000000008</v>
      </c>
      <c r="G167" s="5">
        <f>MROUND(D167*(1+G166),0.0025)</f>
        <v>82.685000000000002</v>
      </c>
      <c r="H167" s="5">
        <f>MROUND(D167*(1+H166),0.0025)</f>
        <v>82.850000000000009</v>
      </c>
      <c r="I167" s="5">
        <f>MROUND(D167*(1+I166),0.0025)</f>
        <v>83.015000000000001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8" x14ac:dyDescent="0.3">
      <c r="A168" s="2" t="s">
        <v>31</v>
      </c>
      <c r="B168" s="5"/>
      <c r="C168" s="2" t="s">
        <v>30</v>
      </c>
      <c r="D168" s="5">
        <f>MROUND(MAX(B173*(1-D166),D167*(1-F166)),0.0025)</f>
        <v>81.89</v>
      </c>
      <c r="F168" s="5">
        <f>MROUND(MAX(B173*(1-D166),D167),0.0025)</f>
        <v>82.192499999999995</v>
      </c>
      <c r="G168" s="5">
        <f>MROUND(MAX(B173*(1-D166),D167),0.0025)</f>
        <v>82.192499999999995</v>
      </c>
      <c r="H168" s="5">
        <f>MROUND(MAX(B173*(1-D166),D167),0.0025)</f>
        <v>82.192499999999995</v>
      </c>
      <c r="I168" s="5">
        <f>MROUND(MAX(B173*(1-D166),D167),0.0025)</f>
        <v>82.192499999999995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8" x14ac:dyDescent="0.3">
      <c r="A169" s="2"/>
      <c r="B169" s="5"/>
      <c r="C169" s="2" t="s">
        <v>13</v>
      </c>
      <c r="D169" s="5">
        <f>MROUND(D167*(1-F166),0.0025)</f>
        <v>81.862499999999997</v>
      </c>
      <c r="F169" s="5"/>
      <c r="G169" s="5"/>
      <c r="H169" s="5"/>
      <c r="I169" s="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8" x14ac:dyDescent="0.3">
      <c r="A170" s="2"/>
      <c r="B170" s="5"/>
      <c r="C170" s="2" t="s">
        <v>15</v>
      </c>
      <c r="D170" s="5">
        <f>MROUND(B173*(1-D166),0.0025)</f>
        <v>81.89</v>
      </c>
      <c r="F170" s="5"/>
      <c r="G170" s="5"/>
      <c r="H170" s="5"/>
      <c r="I170" s="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8" x14ac:dyDescent="0.3">
      <c r="A171" s="2"/>
      <c r="B171" s="5"/>
      <c r="C171" s="2"/>
      <c r="D171" s="5"/>
      <c r="F171" s="5"/>
      <c r="G171" s="5"/>
      <c r="H171" s="5"/>
      <c r="I171" s="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8" x14ac:dyDescent="0.3">
      <c r="A172" s="2"/>
      <c r="B172" s="5"/>
      <c r="C172" s="2"/>
      <c r="D172" s="5"/>
      <c r="F172" s="5"/>
      <c r="G172" s="5"/>
      <c r="H172" s="5"/>
      <c r="I172" s="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8" x14ac:dyDescent="0.3">
      <c r="A173" s="2" t="s">
        <v>9</v>
      </c>
      <c r="B173" s="5">
        <v>81.93</v>
      </c>
      <c r="C173" s="2" t="s">
        <v>10</v>
      </c>
      <c r="D173" s="7">
        <v>82.402500000000003</v>
      </c>
      <c r="E173" s="7">
        <v>82.402500000000003</v>
      </c>
      <c r="F173" s="6">
        <f>MROUND(D173*(1-F166),0.0025)</f>
        <v>82.072500000000005</v>
      </c>
      <c r="G173" s="6">
        <f>MROUND(D173*(1-G166),0.0025)</f>
        <v>81.907499999999999</v>
      </c>
      <c r="H173" s="5">
        <f>MROUND(D173*(1-H166),0.0025)</f>
        <v>81.742500000000007</v>
      </c>
      <c r="I173" s="5">
        <f>MROUND(D173*(1-I166),0.0025)</f>
        <v>81.577500000000001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8" x14ac:dyDescent="0.3">
      <c r="A174" s="2" t="s">
        <v>7</v>
      </c>
      <c r="B174" s="5">
        <v>82.067499999999995</v>
      </c>
      <c r="C174" s="2"/>
      <c r="D174" s="3">
        <v>45118</v>
      </c>
      <c r="F174" s="3">
        <v>45120</v>
      </c>
      <c r="G174" s="3">
        <v>45131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8" x14ac:dyDescent="0.3">
      <c r="A175" s="2" t="s">
        <v>32</v>
      </c>
      <c r="B175" s="2"/>
      <c r="C175" s="2"/>
      <c r="D175" s="5" t="s">
        <v>11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8" x14ac:dyDescent="0.3">
      <c r="A176" s="2"/>
      <c r="B176" s="2"/>
      <c r="C176" s="2"/>
      <c r="D176" s="6">
        <f>MROUND(MIN(B174*(1+D166),D173*(1+F166)),0.0025)</f>
        <v>82.107500000000002</v>
      </c>
      <c r="E176" s="2" t="s">
        <v>12</v>
      </c>
      <c r="F176" s="2">
        <f>MROUND(MIN(B167*(1+D166),D173),0.0025)</f>
        <v>82.192499999999995</v>
      </c>
      <c r="G176" s="2">
        <f>MROUND(MIN(B167*(1+D166),D173),0.0025)</f>
        <v>82.192499999999995</v>
      </c>
      <c r="H176" s="2">
        <f>MROUND(MIN(B167*(1+D166),D173),0.0025)</f>
        <v>82.192499999999995</v>
      </c>
      <c r="I176" s="2">
        <f>MROUND(MIN(B167*(1+D166),D173),0.0025)</f>
        <v>82.192499999999995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8" x14ac:dyDescent="0.3">
      <c r="A177" s="2"/>
      <c r="B177" s="2"/>
      <c r="C177" s="2" t="s">
        <v>13</v>
      </c>
      <c r="D177" s="5">
        <f>MROUND(D173*(1+F166),0.0025)</f>
        <v>82.732500000000002</v>
      </c>
      <c r="E177" s="2" t="s">
        <v>14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8" x14ac:dyDescent="0.3">
      <c r="A178" s="2"/>
      <c r="B178" s="2"/>
      <c r="C178" s="2" t="s">
        <v>15</v>
      </c>
      <c r="D178" s="7">
        <f>MROUND(B167*(1+D166),0.0025)</f>
        <v>82.192499999999995</v>
      </c>
      <c r="E178" s="2" t="s">
        <v>16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8" x14ac:dyDescent="0.3">
      <c r="A181" s="9">
        <f>A165</f>
        <v>45132</v>
      </c>
      <c r="B181" s="2" t="s">
        <v>22</v>
      </c>
      <c r="C181" s="2"/>
      <c r="D181" s="2"/>
      <c r="E181" s="2" t="s">
        <v>23</v>
      </c>
      <c r="F181" s="2" t="s">
        <v>24</v>
      </c>
      <c r="G181" s="2" t="s">
        <v>25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8" x14ac:dyDescent="0.3">
      <c r="A182" s="2" t="s">
        <v>33</v>
      </c>
      <c r="B182" s="11">
        <v>0.375</v>
      </c>
      <c r="C182" s="2" t="s">
        <v>27</v>
      </c>
      <c r="D182" s="5">
        <f>H173</f>
        <v>81.742500000000007</v>
      </c>
      <c r="E182" s="2">
        <v>1</v>
      </c>
      <c r="F182" s="5">
        <f>D182</f>
        <v>81.742500000000007</v>
      </c>
      <c r="G182" s="2">
        <v>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8" x14ac:dyDescent="0.3">
      <c r="A183" s="2" t="s">
        <v>28</v>
      </c>
      <c r="B183" s="11">
        <v>0.37847222222222221</v>
      </c>
      <c r="C183" s="2" t="s">
        <v>27</v>
      </c>
      <c r="D183" s="5">
        <f>D176</f>
        <v>82.107500000000002</v>
      </c>
      <c r="E183" s="2">
        <v>4</v>
      </c>
      <c r="F183" s="2">
        <v>0</v>
      </c>
      <c r="G183" s="5">
        <f t="shared" ref="G183:G184" si="5">D183</f>
        <v>82.107500000000002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8" x14ac:dyDescent="0.3">
      <c r="A184" s="8" t="s">
        <v>29</v>
      </c>
      <c r="B184" s="12">
        <v>0.37847222222222221</v>
      </c>
      <c r="C184" s="8" t="s">
        <v>27</v>
      </c>
      <c r="D184" s="7">
        <f>D167</f>
        <v>82.192499999999995</v>
      </c>
      <c r="E184" s="8">
        <v>5</v>
      </c>
      <c r="F184" s="8">
        <v>0</v>
      </c>
      <c r="G184" s="7">
        <f t="shared" si="5"/>
        <v>82.192499999999995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8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8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8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8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8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8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8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8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8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8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8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8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8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8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8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8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8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8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8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8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8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8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8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8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8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8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8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8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8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8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8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8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8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8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8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8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8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8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8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8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8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8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8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8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8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8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8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8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8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8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8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8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8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8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8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8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8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8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8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8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8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8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8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8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8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8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8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8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8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8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8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8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8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8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8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8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8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8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8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8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8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8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8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8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8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8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8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8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8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8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8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8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8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8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8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8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8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8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8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8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8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8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8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8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8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8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8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8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8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8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8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8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8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8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8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8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8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8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8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8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8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8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8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8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8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8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8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8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8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8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8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8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8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8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8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8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8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8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8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8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8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8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8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8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8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8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8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8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8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8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8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8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8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8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8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6.8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6.8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6.8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6.8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6.8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6.8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6.8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6.8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6.8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6.8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6.8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7"/>
  <sheetViews>
    <sheetView topLeftCell="A4" workbookViewId="0">
      <selection activeCell="A19" sqref="A19"/>
    </sheetView>
  </sheetViews>
  <sheetFormatPr defaultColWidth="12.6640625" defaultRowHeight="22.2" customHeight="1" x14ac:dyDescent="0.25"/>
  <cols>
    <col min="1" max="1" width="47.44140625" bestFit="1" customWidth="1"/>
    <col min="2" max="2" width="18.88671875" bestFit="1" customWidth="1"/>
    <col min="3" max="3" width="30.44140625" bestFit="1" customWidth="1"/>
    <col min="4" max="4" width="7" bestFit="1" customWidth="1"/>
    <col min="5" max="5" width="11" bestFit="1" customWidth="1"/>
  </cols>
  <sheetData>
    <row r="1" spans="1:5" ht="22.2" customHeight="1" x14ac:dyDescent="0.25">
      <c r="A1" s="13" t="s">
        <v>0</v>
      </c>
    </row>
    <row r="4" spans="1:5" ht="22.2" customHeight="1" x14ac:dyDescent="0.25">
      <c r="A4" s="10" t="s">
        <v>34</v>
      </c>
    </row>
    <row r="5" spans="1:5" ht="22.2" customHeight="1" x14ac:dyDescent="0.25">
      <c r="A5" s="10" t="s">
        <v>35</v>
      </c>
      <c r="B5" s="10">
        <v>765</v>
      </c>
    </row>
    <row r="6" spans="1:5" ht="22.2" customHeight="1" x14ac:dyDescent="0.25">
      <c r="B6" s="10" t="s">
        <v>36</v>
      </c>
    </row>
    <row r="8" spans="1:5" ht="22.2" customHeight="1" x14ac:dyDescent="0.25">
      <c r="B8" s="10" t="s">
        <v>37</v>
      </c>
    </row>
    <row r="9" spans="1:5" ht="22.2" customHeight="1" x14ac:dyDescent="0.25">
      <c r="B9" s="10" t="s">
        <v>38</v>
      </c>
    </row>
    <row r="10" spans="1:5" ht="22.2" customHeight="1" x14ac:dyDescent="0.25">
      <c r="B10" s="10" t="s">
        <v>39</v>
      </c>
    </row>
    <row r="12" spans="1:5" ht="22.2" customHeight="1" x14ac:dyDescent="0.25">
      <c r="A12" s="10" t="s">
        <v>40</v>
      </c>
      <c r="B12" s="10">
        <v>764</v>
      </c>
    </row>
    <row r="14" spans="1:5" ht="22.2" customHeight="1" x14ac:dyDescent="0.25">
      <c r="B14" s="10" t="s">
        <v>41</v>
      </c>
      <c r="C14" s="10" t="s">
        <v>42</v>
      </c>
      <c r="D14" s="10">
        <v>756.35</v>
      </c>
      <c r="E14" s="10" t="s">
        <v>43</v>
      </c>
    </row>
    <row r="15" spans="1:5" ht="22.2" customHeight="1" x14ac:dyDescent="0.25">
      <c r="B15" s="10" t="s">
        <v>44</v>
      </c>
      <c r="C15" s="10" t="s">
        <v>45</v>
      </c>
    </row>
    <row r="16" spans="1:5" ht="22.2" customHeight="1" x14ac:dyDescent="0.25">
      <c r="C16" s="10">
        <v>766.4</v>
      </c>
      <c r="D16" s="10">
        <v>756.35</v>
      </c>
      <c r="E16" s="10" t="s">
        <v>43</v>
      </c>
    </row>
    <row r="17" spans="3:3" ht="22.2" customHeight="1" x14ac:dyDescent="0.25">
      <c r="C17" s="10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845"/>
  <sheetViews>
    <sheetView workbookViewId="0">
      <selection activeCell="B2" sqref="B2"/>
    </sheetView>
  </sheetViews>
  <sheetFormatPr defaultColWidth="12.6640625" defaultRowHeight="15.75" customHeight="1" x14ac:dyDescent="0.25"/>
  <cols>
    <col min="1" max="1" width="18.88671875" customWidth="1"/>
    <col min="2" max="11" width="15.77734375" customWidth="1"/>
  </cols>
  <sheetData>
    <row r="1" spans="1:26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6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.6" customHeight="1" x14ac:dyDescent="0.3">
      <c r="A3" s="9">
        <v>45114</v>
      </c>
      <c r="B3" s="2"/>
      <c r="C3" s="2"/>
      <c r="D3" s="2" t="s">
        <v>1</v>
      </c>
      <c r="E3" s="10" t="s">
        <v>21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.6" customHeight="1" x14ac:dyDescent="0.3">
      <c r="A4" s="2"/>
      <c r="B4" s="2"/>
      <c r="C4" s="2"/>
      <c r="D4" s="4">
        <v>1.5E-3</v>
      </c>
      <c r="F4" s="4">
        <v>1.4999999999999999E-2</v>
      </c>
      <c r="G4" s="4">
        <v>0.02</v>
      </c>
      <c r="H4" s="4">
        <v>2.5000000000000001E-2</v>
      </c>
      <c r="I4" s="4">
        <v>0.03</v>
      </c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.6" customHeight="1" x14ac:dyDescent="0.3">
      <c r="A5" s="2" t="s">
        <v>7</v>
      </c>
      <c r="B5" s="5"/>
      <c r="C5" s="2" t="s">
        <v>8</v>
      </c>
      <c r="D5" s="14">
        <f>MROUND(B5*(1+D4),0.05)</f>
        <v>0</v>
      </c>
      <c r="E5" s="15"/>
      <c r="F5" s="14">
        <f>MROUND(D5*(1+F4),0.05)</f>
        <v>0</v>
      </c>
      <c r="G5" s="14">
        <f>MROUND(D5*(1+G4),0.05)</f>
        <v>0</v>
      </c>
      <c r="H5" s="14">
        <f>MROUND(D5*(1+H4),0.05)</f>
        <v>0</v>
      </c>
      <c r="I5" s="14">
        <f>MROUND(D5*(1+I4),0.05)</f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.6" customHeight="1" x14ac:dyDescent="0.3">
      <c r="A6" s="2"/>
      <c r="B6" s="5"/>
      <c r="C6" s="2" t="s">
        <v>30</v>
      </c>
      <c r="D6" s="14">
        <f>MROUND(MAX(B11*(1-D4),D5*(1-F4)),0.05)</f>
        <v>45062.400000000001</v>
      </c>
      <c r="E6" s="15"/>
      <c r="F6" s="14">
        <f>MROUND(MAX(B11*(1-D4),D5),0.05)</f>
        <v>45062.400000000001</v>
      </c>
      <c r="G6" s="14">
        <f>MROUND(MAX(B11*(1-D4),D5),0.05)</f>
        <v>45062.400000000001</v>
      </c>
      <c r="H6" s="14">
        <f>MROUND(MAX(B11*(1-D4),D5),0.05)</f>
        <v>45062.400000000001</v>
      </c>
      <c r="I6" s="14">
        <f>MROUND(MAX(B11*(1-D4),D5),0.05)</f>
        <v>45062.400000000001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.6" customHeight="1" x14ac:dyDescent="0.3">
      <c r="A7" s="2"/>
      <c r="B7" s="5"/>
      <c r="C7" s="2" t="s">
        <v>13</v>
      </c>
      <c r="D7" s="14">
        <f>MROUND(D5*(1-F4),0.05)</f>
        <v>0</v>
      </c>
      <c r="E7" s="15"/>
      <c r="F7" s="14"/>
      <c r="G7" s="14"/>
      <c r="H7" s="14"/>
      <c r="I7" s="1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.6" customHeight="1" x14ac:dyDescent="0.3">
      <c r="A8" s="2"/>
      <c r="B8" s="5"/>
      <c r="C8" s="2" t="s">
        <v>15</v>
      </c>
      <c r="D8" s="14">
        <f>MROUND(B11*(1-D4),0.05)</f>
        <v>45062.400000000001</v>
      </c>
      <c r="E8" s="15"/>
      <c r="F8" s="14"/>
      <c r="G8" s="14"/>
      <c r="H8" s="14"/>
      <c r="I8" s="1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.6" customHeight="1" x14ac:dyDescent="0.3">
      <c r="A9" s="2"/>
      <c r="B9" s="5"/>
      <c r="C9" s="2"/>
      <c r="D9" s="5"/>
      <c r="F9" s="5"/>
      <c r="G9" s="5"/>
      <c r="H9" s="5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.6" customHeight="1" x14ac:dyDescent="0.3">
      <c r="A10" s="2"/>
      <c r="B10" s="5"/>
      <c r="C10" s="2"/>
      <c r="D10" s="5"/>
      <c r="F10" s="5"/>
      <c r="G10" s="5"/>
      <c r="H10" s="5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1.6" customHeight="1" x14ac:dyDescent="0.3">
      <c r="A11" s="2" t="s">
        <v>9</v>
      </c>
      <c r="B11" s="14">
        <v>45130.1</v>
      </c>
      <c r="C11" s="2" t="s">
        <v>10</v>
      </c>
      <c r="D11" s="16">
        <f>MROUND(B11*(1-D4),0.05)</f>
        <v>45062.400000000001</v>
      </c>
      <c r="E11" s="16">
        <v>45062.400000000001</v>
      </c>
      <c r="F11" s="17">
        <f>MROUND(D11*(1-F4),0.05)</f>
        <v>44386.450000000004</v>
      </c>
      <c r="G11" s="17">
        <f>MROUND(D11*(1-G4),0.05)</f>
        <v>44161.15</v>
      </c>
      <c r="H11" s="14">
        <f>MROUND(D11*(1-H4),0.05)</f>
        <v>43935.850000000006</v>
      </c>
      <c r="I11" s="14">
        <f>MROUND(D11*(1-I4),0.05)</f>
        <v>43710.55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1.6" customHeight="1" x14ac:dyDescent="0.3">
      <c r="A12" s="2" t="s">
        <v>7</v>
      </c>
      <c r="B12" s="5">
        <v>82.067499999999995</v>
      </c>
      <c r="C12" s="2"/>
      <c r="D12" s="14">
        <v>45118</v>
      </c>
      <c r="E12" s="15"/>
      <c r="F12" s="14">
        <v>45120</v>
      </c>
      <c r="G12" s="14">
        <v>45131</v>
      </c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.6" customHeight="1" x14ac:dyDescent="0.3">
      <c r="A13" s="2"/>
      <c r="B13" s="2"/>
      <c r="C13" s="2"/>
      <c r="D13" s="14" t="s">
        <v>11</v>
      </c>
      <c r="E13" s="14"/>
      <c r="F13" s="14"/>
      <c r="G13" s="14"/>
      <c r="H13" s="14"/>
      <c r="I13" s="1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.6" customHeight="1" x14ac:dyDescent="0.3">
      <c r="A14" s="2"/>
      <c r="B14" s="2"/>
      <c r="C14" s="2"/>
      <c r="D14" s="17">
        <f>MROUND(MIN(B12*(1+D4),D11*(1+F4)),0.05)</f>
        <v>82.2</v>
      </c>
      <c r="E14" s="14" t="s">
        <v>12</v>
      </c>
      <c r="F14" s="14">
        <f>MROUND(MIN(B5*(1+D4),D11),0.05)</f>
        <v>0</v>
      </c>
      <c r="G14" s="14">
        <f>MROUND(MIN(B5*(1+D4),D11),0.05)</f>
        <v>0</v>
      </c>
      <c r="H14" s="14">
        <f>MROUND(MIN(B5*(1+D4),D11),0.05)</f>
        <v>0</v>
      </c>
      <c r="I14" s="14">
        <f>MROUND(MIN(B5*(1+D4),D11),0.05)</f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.6" customHeight="1" x14ac:dyDescent="0.3">
      <c r="A15" s="2"/>
      <c r="B15" s="2"/>
      <c r="C15" s="2" t="s">
        <v>13</v>
      </c>
      <c r="D15" s="14">
        <f>MROUND(D11*(1+F4),0.05)</f>
        <v>45738.350000000006</v>
      </c>
      <c r="E15" s="14" t="s">
        <v>14</v>
      </c>
      <c r="F15" s="14"/>
      <c r="G15" s="14"/>
      <c r="H15" s="14"/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.6" customHeight="1" x14ac:dyDescent="0.3">
      <c r="A16" s="2"/>
      <c r="B16" s="2"/>
      <c r="C16" s="2" t="s">
        <v>15</v>
      </c>
      <c r="D16" s="16">
        <f>MROUND(B5*(1+D4),0.05)</f>
        <v>0</v>
      </c>
      <c r="E16" s="14" t="s">
        <v>16</v>
      </c>
      <c r="F16" s="14"/>
      <c r="G16" s="14"/>
      <c r="H16" s="14"/>
      <c r="I16" s="1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.6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.6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.6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.6" customHeight="1" x14ac:dyDescent="0.3">
      <c r="A20" s="9">
        <v>45124</v>
      </c>
      <c r="B20" s="2"/>
      <c r="C20" s="2"/>
      <c r="D20" s="2" t="s">
        <v>1</v>
      </c>
      <c r="E20" s="10" t="s">
        <v>21</v>
      </c>
      <c r="F20" s="2" t="s">
        <v>2</v>
      </c>
      <c r="G20" s="2" t="s">
        <v>3</v>
      </c>
      <c r="H20" s="2" t="s">
        <v>4</v>
      </c>
      <c r="I20" s="2" t="s">
        <v>5</v>
      </c>
      <c r="J20" s="2" t="s">
        <v>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1.6" customHeight="1" x14ac:dyDescent="0.3">
      <c r="A21" s="2"/>
      <c r="B21" s="2"/>
      <c r="C21" s="2"/>
      <c r="D21" s="4">
        <v>1.5E-3</v>
      </c>
      <c r="F21" s="4">
        <v>1.4999999999999999E-2</v>
      </c>
      <c r="G21" s="4">
        <v>0.02</v>
      </c>
      <c r="H21" s="4">
        <v>2.5000000000000001E-2</v>
      </c>
      <c r="I21" s="4">
        <v>0.03</v>
      </c>
      <c r="J21" s="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.6" customHeight="1" x14ac:dyDescent="0.3">
      <c r="A22" s="2" t="s">
        <v>7</v>
      </c>
      <c r="B22" s="14">
        <v>45006.2</v>
      </c>
      <c r="C22" s="2" t="s">
        <v>8</v>
      </c>
      <c r="D22" s="14">
        <f>MROUND(B22*(1+D21),0.05)</f>
        <v>45073.700000000004</v>
      </c>
      <c r="E22" s="15"/>
      <c r="F22" s="14">
        <f>MROUND(D22*(1+F21),0.05)</f>
        <v>45749.8</v>
      </c>
      <c r="G22" s="14">
        <f>MROUND(D22*(1+G21),0.05)</f>
        <v>45975.15</v>
      </c>
      <c r="H22" s="14">
        <f>MROUND(D22*(1+H21),0.05)</f>
        <v>46200.55</v>
      </c>
      <c r="I22" s="14">
        <f>MROUND(D22*(1+I21),0.05)</f>
        <v>46425.9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.6" customHeight="1" x14ac:dyDescent="0.3">
      <c r="A23" s="2"/>
      <c r="B23" s="5"/>
      <c r="C23" s="2" t="s">
        <v>30</v>
      </c>
      <c r="D23" s="14">
        <f>MROUND(MAX(B28*(1-D21),D22*(1-F21)),0.05)</f>
        <v>45062.400000000001</v>
      </c>
      <c r="E23" s="15"/>
      <c r="F23" s="14">
        <f>MROUND(MAX(B28*(1-D21),D22),0.05)</f>
        <v>45073.700000000004</v>
      </c>
      <c r="G23" s="14">
        <f>MROUND(MAX(B28*(1-D21),D22),0.05)</f>
        <v>45073.700000000004</v>
      </c>
      <c r="H23" s="14">
        <f>MROUND(MAX(B28*(1-D21),D22),0.05)</f>
        <v>45073.700000000004</v>
      </c>
      <c r="I23" s="14">
        <f>MROUND(MAX(B28*(1-D21),D22),0.05)</f>
        <v>45073.700000000004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.6" customHeight="1" x14ac:dyDescent="0.3">
      <c r="A24" s="2"/>
      <c r="B24" s="5"/>
      <c r="C24" s="2" t="s">
        <v>13</v>
      </c>
      <c r="D24" s="14">
        <f>MROUND(D22*(1-F21),0.05)</f>
        <v>44397.600000000006</v>
      </c>
      <c r="E24" s="15"/>
      <c r="F24" s="14"/>
      <c r="G24" s="14"/>
      <c r="H24" s="14"/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1.6" customHeight="1" x14ac:dyDescent="0.3">
      <c r="A25" s="2"/>
      <c r="B25" s="5"/>
      <c r="C25" s="2" t="s">
        <v>15</v>
      </c>
      <c r="D25" s="14">
        <f>MROUND(B28*(1-D21),0.05)</f>
        <v>45062.400000000001</v>
      </c>
      <c r="E25" s="15"/>
      <c r="F25" s="14"/>
      <c r="G25" s="14"/>
      <c r="H25" s="14"/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1.6" customHeight="1" x14ac:dyDescent="0.3">
      <c r="A26" s="2"/>
      <c r="B26" s="5"/>
      <c r="C26" s="2"/>
      <c r="D26" s="5"/>
      <c r="F26" s="5"/>
      <c r="G26" s="5"/>
      <c r="H26" s="5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1.6" customHeight="1" x14ac:dyDescent="0.3">
      <c r="A27" s="2"/>
      <c r="B27" s="5"/>
      <c r="C27" s="2"/>
      <c r="D27" s="5"/>
      <c r="F27" s="5"/>
      <c r="G27" s="5"/>
      <c r="H27" s="5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.6" customHeight="1" x14ac:dyDescent="0.3">
      <c r="A28" s="2" t="s">
        <v>9</v>
      </c>
      <c r="B28" s="14">
        <v>45130.1</v>
      </c>
      <c r="C28" s="2" t="s">
        <v>10</v>
      </c>
      <c r="D28" s="16">
        <f>MROUND(B28*(1-D21),0.05)</f>
        <v>45062.400000000001</v>
      </c>
      <c r="E28" s="16"/>
      <c r="F28" s="17">
        <f>MROUND(D28*(1-F21),0.05)</f>
        <v>44386.450000000004</v>
      </c>
      <c r="G28" s="17">
        <f>MROUND(D28*(1-G21),0.05)</f>
        <v>44161.15</v>
      </c>
      <c r="H28" s="14">
        <f>MROUND(D28*(1-H21),0.05)</f>
        <v>43935.850000000006</v>
      </c>
      <c r="I28" s="14">
        <f>MROUND(D28*(1-I21),0.05)</f>
        <v>43710.55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.6" customHeight="1" x14ac:dyDescent="0.3">
      <c r="A29" s="2" t="s">
        <v>7</v>
      </c>
      <c r="B29" s="5">
        <v>82.067499999999995</v>
      </c>
      <c r="C29" s="2"/>
      <c r="D29" s="14">
        <v>45118</v>
      </c>
      <c r="E29" s="15"/>
      <c r="F29" s="14">
        <v>45120</v>
      </c>
      <c r="G29" s="14">
        <v>45131</v>
      </c>
      <c r="H29" s="14"/>
      <c r="I29" s="1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.6" customHeight="1" x14ac:dyDescent="0.3">
      <c r="A30" s="2"/>
      <c r="B30" s="2"/>
      <c r="C30" s="2"/>
      <c r="D30" s="14" t="s">
        <v>11</v>
      </c>
      <c r="E30" s="14"/>
      <c r="F30" s="14"/>
      <c r="G30" s="14"/>
      <c r="H30" s="14"/>
      <c r="I30" s="1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.6" customHeight="1" x14ac:dyDescent="0.3">
      <c r="A31" s="2"/>
      <c r="B31" s="2"/>
      <c r="C31" s="2"/>
      <c r="D31" s="17">
        <f>MROUND(MIN(B29*(1+D21),D28*(1+F21)),0.05)</f>
        <v>82.2</v>
      </c>
      <c r="E31" s="14" t="s">
        <v>12</v>
      </c>
      <c r="F31" s="14">
        <f>MROUND(MIN(B22*(1+D21),D28),0.05)</f>
        <v>45062.400000000001</v>
      </c>
      <c r="G31" s="14">
        <f>MROUND(MIN(B22*(1+D21),D28),0.05)</f>
        <v>45062.400000000001</v>
      </c>
      <c r="H31" s="14">
        <f>MROUND(MIN(B22*(1+D21),D28),0.05)</f>
        <v>45062.400000000001</v>
      </c>
      <c r="I31" s="14">
        <f>MROUND(MIN(B22*(1+D21),D28),0.05)</f>
        <v>45062.400000000001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.6" customHeight="1" x14ac:dyDescent="0.3">
      <c r="A32" s="2"/>
      <c r="B32" s="2"/>
      <c r="C32" s="2" t="s">
        <v>13</v>
      </c>
      <c r="D32" s="14">
        <f>MROUND(D28*(1+F21),0.05)</f>
        <v>45738.350000000006</v>
      </c>
      <c r="E32" s="14" t="s">
        <v>14</v>
      </c>
      <c r="F32" s="14"/>
      <c r="G32" s="14"/>
      <c r="H32" s="14"/>
      <c r="I32" s="1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.6" customHeight="1" x14ac:dyDescent="0.3">
      <c r="A33" s="2"/>
      <c r="B33" s="2"/>
      <c r="C33" s="2" t="s">
        <v>15</v>
      </c>
      <c r="D33" s="16">
        <f>MROUND(B22*(1+D21),0.05)</f>
        <v>45073.700000000004</v>
      </c>
      <c r="E33" s="14" t="s">
        <v>16</v>
      </c>
      <c r="F33" s="14"/>
      <c r="G33" s="14"/>
      <c r="H33" s="14"/>
      <c r="I33" s="1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.6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1.6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.6" customHeight="1" x14ac:dyDescent="0.3">
      <c r="A36" s="9">
        <f>A20</f>
        <v>45124</v>
      </c>
      <c r="B36" s="2" t="s">
        <v>22</v>
      </c>
      <c r="C36" s="2"/>
      <c r="D36" s="2"/>
      <c r="E36" s="2" t="s">
        <v>23</v>
      </c>
      <c r="F36" s="2" t="s">
        <v>24</v>
      </c>
      <c r="G36" s="2" t="s">
        <v>25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.6" customHeight="1" x14ac:dyDescent="0.3">
      <c r="A37" s="2" t="s">
        <v>33</v>
      </c>
      <c r="B37" s="11">
        <v>0.375</v>
      </c>
      <c r="C37" s="2" t="s">
        <v>27</v>
      </c>
      <c r="D37" s="5">
        <f>H28</f>
        <v>43935.850000000006</v>
      </c>
      <c r="E37" s="2">
        <v>1</v>
      </c>
      <c r="F37" s="5">
        <f>D37</f>
        <v>43935.850000000006</v>
      </c>
      <c r="G37" s="2"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.6" customHeight="1" x14ac:dyDescent="0.3">
      <c r="A38" s="2" t="s">
        <v>28</v>
      </c>
      <c r="B38" s="11">
        <v>0.37847222222222221</v>
      </c>
      <c r="C38" s="2" t="s">
        <v>27</v>
      </c>
      <c r="D38" s="5">
        <f>D31</f>
        <v>82.2</v>
      </c>
      <c r="E38" s="2">
        <v>4</v>
      </c>
      <c r="F38" s="2">
        <v>0</v>
      </c>
      <c r="G38" s="5">
        <f t="shared" ref="G38:G39" si="0">D38</f>
        <v>82.2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.6" customHeight="1" x14ac:dyDescent="0.3">
      <c r="A39" s="8" t="s">
        <v>29</v>
      </c>
      <c r="B39" s="12">
        <v>0.37847222222222221</v>
      </c>
      <c r="C39" s="8" t="s">
        <v>27</v>
      </c>
      <c r="D39" s="7">
        <f>D22</f>
        <v>45073.700000000004</v>
      </c>
      <c r="E39" s="8">
        <v>5</v>
      </c>
      <c r="F39" s="8">
        <v>0</v>
      </c>
      <c r="G39" s="7">
        <f t="shared" si="0"/>
        <v>45073.700000000004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1.6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1.6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1.6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1.6" customHeight="1" x14ac:dyDescent="0.3">
      <c r="A43" s="9">
        <v>45132</v>
      </c>
      <c r="B43" s="2"/>
      <c r="C43" s="2"/>
      <c r="D43" s="2" t="s">
        <v>1</v>
      </c>
      <c r="E43" s="10" t="s">
        <v>21</v>
      </c>
      <c r="F43" s="2" t="s">
        <v>2</v>
      </c>
      <c r="G43" s="2" t="s">
        <v>3</v>
      </c>
      <c r="H43" s="2" t="s">
        <v>4</v>
      </c>
      <c r="I43" s="2" t="s">
        <v>5</v>
      </c>
      <c r="J43" s="2" t="s">
        <v>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1.6" customHeight="1" x14ac:dyDescent="0.3">
      <c r="A44" s="2"/>
      <c r="B44" s="2"/>
      <c r="C44" s="2"/>
      <c r="D44" s="4">
        <v>1.5E-3</v>
      </c>
      <c r="F44" s="4">
        <v>1.4999999999999999E-2</v>
      </c>
      <c r="G44" s="4">
        <v>0.02</v>
      </c>
      <c r="H44" s="4">
        <v>2.5000000000000001E-2</v>
      </c>
      <c r="I44" s="4">
        <v>0.03</v>
      </c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1.6" customHeight="1" x14ac:dyDescent="0.3">
      <c r="A45" s="2" t="s">
        <v>7</v>
      </c>
      <c r="B45" s="14">
        <v>45006.2</v>
      </c>
      <c r="C45" s="2" t="s">
        <v>8</v>
      </c>
      <c r="D45" s="14">
        <v>45073.700000000004</v>
      </c>
      <c r="E45" s="14">
        <v>45073.700000000004</v>
      </c>
      <c r="F45" s="14">
        <f>MROUND(D45*(1+F44),0.05)</f>
        <v>45749.8</v>
      </c>
      <c r="G45" s="14">
        <f>MROUND(D45*(1+G44),0.05)</f>
        <v>45975.15</v>
      </c>
      <c r="H45" s="14">
        <f>MROUND(D45*(1+H44),0.05)</f>
        <v>46200.55</v>
      </c>
      <c r="I45" s="14">
        <f>MROUND(D45*(1+I44),0.05)</f>
        <v>46425.9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1.6" customHeight="1" x14ac:dyDescent="0.3">
      <c r="A46" s="2" t="s">
        <v>9</v>
      </c>
      <c r="B46" s="14">
        <v>45863.4</v>
      </c>
      <c r="C46" s="2" t="s">
        <v>30</v>
      </c>
      <c r="D46" s="14">
        <f>MROUND(MAX(B46*(1-D44),D45*(1-F44)),0.05)</f>
        <v>45794.600000000006</v>
      </c>
      <c r="E46" s="15"/>
      <c r="F46" s="14">
        <f>MROUND(MAX(B51*(1-D44),D45),0.05)</f>
        <v>45980.950000000004</v>
      </c>
      <c r="G46" s="14">
        <f>MROUND(MAX(B51*(1-D44),D45),0.05)</f>
        <v>45980.950000000004</v>
      </c>
      <c r="H46" s="14">
        <f>MROUND(MAX(B51*(1-D44),D45),0.05)</f>
        <v>45980.950000000004</v>
      </c>
      <c r="I46" s="14">
        <f>MROUND(MAX(B51*(1-D44),D45),0.05)</f>
        <v>45980.950000000004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1.6" customHeight="1" x14ac:dyDescent="0.3">
      <c r="A47" s="2"/>
      <c r="B47" s="5"/>
      <c r="C47" s="2" t="s">
        <v>13</v>
      </c>
      <c r="D47" s="14">
        <f>MROUND(D45*(1-F44),0.05)</f>
        <v>44397.600000000006</v>
      </c>
      <c r="E47" s="15"/>
      <c r="F47" s="14"/>
      <c r="G47" s="14"/>
      <c r="H47" s="14"/>
      <c r="I47" s="1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1.6" customHeight="1" x14ac:dyDescent="0.3">
      <c r="A48" s="2"/>
      <c r="B48" s="5"/>
      <c r="C48" s="2" t="s">
        <v>15</v>
      </c>
      <c r="D48" s="14">
        <f>MROUND(B46*(1-D44),0.05)</f>
        <v>45794.600000000006</v>
      </c>
      <c r="E48" s="15"/>
      <c r="F48" s="14"/>
      <c r="G48" s="14"/>
      <c r="H48" s="14"/>
      <c r="I48" s="1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1.6" customHeight="1" x14ac:dyDescent="0.3">
      <c r="A49" s="2"/>
      <c r="B49" s="5"/>
      <c r="C49" s="2"/>
      <c r="D49" s="5"/>
      <c r="F49" s="5"/>
      <c r="G49" s="5"/>
      <c r="H49" s="5"/>
      <c r="I49" s="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1.6" customHeight="1" x14ac:dyDescent="0.3">
      <c r="A50" s="2"/>
      <c r="B50" s="5"/>
      <c r="C50" s="2"/>
      <c r="D50" s="5"/>
      <c r="F50" s="5"/>
      <c r="G50" s="5"/>
      <c r="H50" s="5"/>
      <c r="I50" s="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1.6" customHeight="1" x14ac:dyDescent="0.3">
      <c r="A51" s="2" t="s">
        <v>9</v>
      </c>
      <c r="B51" s="14">
        <v>46050</v>
      </c>
      <c r="C51" s="2" t="s">
        <v>10</v>
      </c>
      <c r="D51" s="16">
        <f>MROUND(B51*(1-D44),0.05)</f>
        <v>45980.950000000004</v>
      </c>
      <c r="E51" s="16"/>
      <c r="F51" s="17">
        <f>MROUND(D51*(1-F44),0.05)</f>
        <v>45291.25</v>
      </c>
      <c r="G51" s="17">
        <f>MROUND(D51*(1-G44),0.05)</f>
        <v>45061.350000000006</v>
      </c>
      <c r="H51" s="14">
        <f>MROUND(D51*(1-H44),0.05)</f>
        <v>44831.450000000004</v>
      </c>
      <c r="I51" s="14">
        <f>MROUND(D51*(1-I44),0.05)</f>
        <v>44601.5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1.6" customHeight="1" x14ac:dyDescent="0.3">
      <c r="A52" s="2" t="s">
        <v>7</v>
      </c>
      <c r="B52" s="18">
        <v>46388</v>
      </c>
      <c r="C52" s="2"/>
      <c r="D52" s="14">
        <v>45118</v>
      </c>
      <c r="E52" s="15"/>
      <c r="F52" s="14">
        <v>45120</v>
      </c>
      <c r="G52" s="14">
        <v>45131</v>
      </c>
      <c r="H52" s="14"/>
      <c r="I52" s="1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1.6" customHeight="1" x14ac:dyDescent="0.3">
      <c r="A53" s="2"/>
      <c r="B53" s="2"/>
      <c r="C53" s="2"/>
      <c r="D53" s="14" t="s">
        <v>11</v>
      </c>
      <c r="E53" s="14"/>
      <c r="F53" s="14"/>
      <c r="G53" s="14"/>
      <c r="H53" s="14"/>
      <c r="I53" s="1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1.6" customHeight="1" x14ac:dyDescent="0.3">
      <c r="A54" s="2"/>
      <c r="B54" s="2"/>
      <c r="C54" s="2"/>
      <c r="D54" s="17">
        <f>MROUND(MIN(B52,D51*(1+F44)),0.05)</f>
        <v>46388</v>
      </c>
      <c r="E54" s="14" t="s">
        <v>12</v>
      </c>
      <c r="F54" s="14">
        <f>MROUND(MIN(B45*(1+D44),D51),0.05)</f>
        <v>45073.700000000004</v>
      </c>
      <c r="G54" s="14">
        <f>MROUND(MIN(B45*(1+D44),D51),0.05)</f>
        <v>45073.700000000004</v>
      </c>
      <c r="H54" s="14">
        <f>MROUND(MIN(B45*(1+D44),D51),0.05)</f>
        <v>45073.700000000004</v>
      </c>
      <c r="I54" s="14">
        <f>MROUND(MIN(B45*(1+D44),D51),0.05)</f>
        <v>45073.700000000004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1.6" customHeight="1" x14ac:dyDescent="0.3">
      <c r="A55" s="2"/>
      <c r="B55" s="2"/>
      <c r="C55" s="2" t="s">
        <v>13</v>
      </c>
      <c r="D55" s="14">
        <f>MROUND(D51*(1+F44),0.05)</f>
        <v>46670.65</v>
      </c>
      <c r="E55" s="14"/>
      <c r="F55" s="14"/>
      <c r="G55" s="14"/>
      <c r="H55" s="14"/>
      <c r="I55" s="1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1.6" customHeight="1" x14ac:dyDescent="0.3">
      <c r="A56" s="2"/>
      <c r="B56" s="2"/>
      <c r="C56" s="2" t="s">
        <v>15</v>
      </c>
      <c r="D56" s="16">
        <f>B52</f>
        <v>46388</v>
      </c>
      <c r="E56" s="14"/>
      <c r="F56" s="14"/>
      <c r="G56" s="14"/>
      <c r="H56" s="14"/>
      <c r="I56" s="1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.6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.6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1.6" customHeight="1" x14ac:dyDescent="0.3">
      <c r="A59" s="9">
        <f>A43</f>
        <v>45132</v>
      </c>
      <c r="B59" s="2" t="s">
        <v>22</v>
      </c>
      <c r="C59" s="2"/>
      <c r="D59" s="2"/>
      <c r="E59" s="2" t="s">
        <v>23</v>
      </c>
      <c r="F59" s="2" t="s">
        <v>24</v>
      </c>
      <c r="G59" s="2" t="s">
        <v>25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1.6" customHeight="1" x14ac:dyDescent="0.3">
      <c r="A60" s="2" t="s">
        <v>5</v>
      </c>
      <c r="B60" s="11">
        <v>0.38541666666666669</v>
      </c>
      <c r="C60" s="2" t="s">
        <v>27</v>
      </c>
      <c r="D60" s="5" t="s">
        <v>24</v>
      </c>
      <c r="E60" s="2">
        <v>1</v>
      </c>
      <c r="F60" s="2">
        <v>46425.9</v>
      </c>
      <c r="G60" s="2"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1.6" customHeight="1" x14ac:dyDescent="0.3">
      <c r="A61" s="2" t="s">
        <v>47</v>
      </c>
      <c r="B61" s="11">
        <v>0.3888888888888889</v>
      </c>
      <c r="C61" s="2" t="s">
        <v>27</v>
      </c>
      <c r="D61" s="5" t="s">
        <v>48</v>
      </c>
      <c r="E61" s="2">
        <v>2</v>
      </c>
      <c r="F61" s="2">
        <v>0</v>
      </c>
      <c r="G61" s="14">
        <f>D46</f>
        <v>45794.600000000006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1.6" customHeight="1" x14ac:dyDescent="0.3">
      <c r="A62" s="8" t="s">
        <v>44</v>
      </c>
      <c r="B62" s="11">
        <v>0.3888888888888889</v>
      </c>
      <c r="C62" s="8" t="s">
        <v>27</v>
      </c>
      <c r="D62" s="7" t="s">
        <v>48</v>
      </c>
      <c r="E62" s="8">
        <v>5</v>
      </c>
      <c r="F62" s="8">
        <v>0</v>
      </c>
      <c r="G62" s="16">
        <f>D51</f>
        <v>45980.950000000004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1.6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.6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.6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1.6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.6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99"/>
  <sheetViews>
    <sheetView workbookViewId="0">
      <selection activeCell="D16" sqref="D16"/>
    </sheetView>
  </sheetViews>
  <sheetFormatPr defaultColWidth="12.6640625" defaultRowHeight="25.8" customHeight="1" x14ac:dyDescent="0.25"/>
  <cols>
    <col min="2" max="5" width="17.33203125" customWidth="1"/>
    <col min="6" max="6" width="82.33203125" bestFit="1" customWidth="1"/>
    <col min="7" max="7" width="17.33203125" customWidth="1"/>
  </cols>
  <sheetData>
    <row r="1" spans="1:6" ht="25.8" customHeight="1" x14ac:dyDescent="0.25">
      <c r="A1" s="13" t="s">
        <v>0</v>
      </c>
      <c r="B1" s="10"/>
      <c r="C1" s="10"/>
      <c r="D1" s="10"/>
      <c r="F1" s="19"/>
    </row>
    <row r="2" spans="1:6" ht="25.8" customHeight="1" x14ac:dyDescent="0.25">
      <c r="B2" s="10"/>
      <c r="C2" s="10"/>
      <c r="D2" s="10"/>
      <c r="F2" s="19"/>
    </row>
    <row r="3" spans="1:6" ht="25.8" customHeight="1" x14ac:dyDescent="0.25">
      <c r="B3" s="10"/>
      <c r="C3" s="10"/>
      <c r="D3" s="10"/>
      <c r="F3" s="19"/>
    </row>
    <row r="4" spans="1:6" ht="25.8" customHeight="1" x14ac:dyDescent="0.25">
      <c r="A4" s="20"/>
      <c r="B4" s="21" t="s">
        <v>49</v>
      </c>
      <c r="C4" s="21"/>
      <c r="D4" s="21" t="s">
        <v>50</v>
      </c>
      <c r="E4" s="21"/>
      <c r="F4" s="19"/>
    </row>
    <row r="5" spans="1:6" ht="25.8" customHeight="1" x14ac:dyDescent="0.25">
      <c r="A5" s="20" t="s">
        <v>51</v>
      </c>
      <c r="B5" s="22">
        <v>45133</v>
      </c>
      <c r="C5" s="22"/>
      <c r="D5" s="22">
        <v>45133</v>
      </c>
      <c r="F5" s="19"/>
    </row>
    <row r="6" spans="1:6" ht="25.8" customHeight="1" x14ac:dyDescent="0.25">
      <c r="A6" s="20" t="s">
        <v>52</v>
      </c>
      <c r="B6" s="20" t="s">
        <v>53</v>
      </c>
      <c r="C6" s="20"/>
      <c r="D6" s="20" t="s">
        <v>53</v>
      </c>
      <c r="F6" s="19"/>
    </row>
    <row r="7" spans="1:6" ht="25.8" customHeight="1" x14ac:dyDescent="0.25">
      <c r="A7" s="20" t="s">
        <v>54</v>
      </c>
      <c r="B7" s="20" t="s">
        <v>10</v>
      </c>
      <c r="C7" s="20"/>
      <c r="D7" s="20" t="s">
        <v>10</v>
      </c>
      <c r="F7" s="19"/>
    </row>
    <row r="8" spans="1:6" ht="25.8" customHeight="1" x14ac:dyDescent="0.25">
      <c r="A8" s="20" t="s">
        <v>55</v>
      </c>
      <c r="B8" s="20">
        <v>82.402500000000003</v>
      </c>
      <c r="C8" s="20"/>
      <c r="D8" s="20">
        <v>45980.95</v>
      </c>
      <c r="F8" s="19"/>
    </row>
    <row r="9" spans="1:6" ht="25.8" customHeight="1" x14ac:dyDescent="0.25">
      <c r="A9" s="20" t="s">
        <v>56</v>
      </c>
      <c r="B9" s="20" t="s">
        <v>4</v>
      </c>
      <c r="C9" s="20"/>
      <c r="D9" s="20" t="s">
        <v>57</v>
      </c>
      <c r="F9" s="19"/>
    </row>
    <row r="10" spans="1:6" ht="25.8" customHeight="1" x14ac:dyDescent="0.25">
      <c r="F10" s="19"/>
    </row>
    <row r="11" spans="1:6" ht="25.8" customHeight="1" x14ac:dyDescent="0.25">
      <c r="A11" s="10" t="s">
        <v>58</v>
      </c>
      <c r="B11" s="10">
        <v>3</v>
      </c>
      <c r="C11" s="10"/>
      <c r="D11" s="10">
        <v>3</v>
      </c>
      <c r="F11" s="19"/>
    </row>
    <row r="12" spans="1:6" ht="25.8" customHeight="1" x14ac:dyDescent="0.25">
      <c r="B12" s="10" t="s">
        <v>5</v>
      </c>
      <c r="C12" s="10"/>
      <c r="D12" s="10" t="s">
        <v>2</v>
      </c>
      <c r="E12" s="23">
        <v>0.38541666666666669</v>
      </c>
      <c r="F12" s="19" t="s">
        <v>59</v>
      </c>
    </row>
    <row r="13" spans="1:6" ht="25.8" customHeight="1" x14ac:dyDescent="0.25">
      <c r="B13" s="10" t="s">
        <v>60</v>
      </c>
      <c r="C13" s="10"/>
      <c r="D13" s="10" t="s">
        <v>11</v>
      </c>
      <c r="E13" s="23">
        <v>0.3888888888888889</v>
      </c>
      <c r="F13" s="19" t="s">
        <v>61</v>
      </c>
    </row>
    <row r="14" spans="1:6" ht="25.8" customHeight="1" x14ac:dyDescent="0.25">
      <c r="B14" s="10" t="s">
        <v>62</v>
      </c>
      <c r="C14" s="10"/>
      <c r="D14" s="10" t="s">
        <v>62</v>
      </c>
      <c r="E14" s="23">
        <v>0.3888888888888889</v>
      </c>
      <c r="F14" s="19" t="s">
        <v>63</v>
      </c>
    </row>
    <row r="15" spans="1:6" ht="25.8" customHeight="1" x14ac:dyDescent="0.25">
      <c r="F15" s="19"/>
    </row>
    <row r="16" spans="1:6" ht="25.8" customHeight="1" x14ac:dyDescent="0.25">
      <c r="F16" s="19"/>
    </row>
    <row r="17" spans="6:6" ht="25.8" customHeight="1" x14ac:dyDescent="0.25">
      <c r="F17" s="19"/>
    </row>
    <row r="18" spans="6:6" ht="25.8" customHeight="1" x14ac:dyDescent="0.25">
      <c r="F18" s="19"/>
    </row>
    <row r="19" spans="6:6" ht="25.8" customHeight="1" x14ac:dyDescent="0.25">
      <c r="F19" s="19"/>
    </row>
    <row r="20" spans="6:6" ht="25.8" customHeight="1" x14ac:dyDescent="0.25">
      <c r="F20" s="19"/>
    </row>
    <row r="21" spans="6:6" ht="25.8" customHeight="1" x14ac:dyDescent="0.25">
      <c r="F21" s="19"/>
    </row>
    <row r="22" spans="6:6" ht="25.8" customHeight="1" x14ac:dyDescent="0.25">
      <c r="F22" s="19"/>
    </row>
    <row r="23" spans="6:6" ht="25.8" customHeight="1" x14ac:dyDescent="0.25">
      <c r="F23" s="19"/>
    </row>
    <row r="24" spans="6:6" ht="25.8" customHeight="1" x14ac:dyDescent="0.25">
      <c r="F24" s="19"/>
    </row>
    <row r="25" spans="6:6" ht="25.8" customHeight="1" x14ac:dyDescent="0.25">
      <c r="F25" s="19"/>
    </row>
    <row r="26" spans="6:6" ht="25.8" customHeight="1" x14ac:dyDescent="0.25">
      <c r="F26" s="19"/>
    </row>
    <row r="27" spans="6:6" ht="25.8" customHeight="1" x14ac:dyDescent="0.25">
      <c r="F27" s="19"/>
    </row>
    <row r="28" spans="6:6" ht="25.8" customHeight="1" x14ac:dyDescent="0.25">
      <c r="F28" s="19"/>
    </row>
    <row r="29" spans="6:6" ht="25.8" customHeight="1" x14ac:dyDescent="0.25">
      <c r="F29" s="19"/>
    </row>
    <row r="30" spans="6:6" ht="25.8" customHeight="1" x14ac:dyDescent="0.25">
      <c r="F30" s="19"/>
    </row>
    <row r="31" spans="6:6" ht="25.8" customHeight="1" x14ac:dyDescent="0.25">
      <c r="F31" s="19"/>
    </row>
    <row r="32" spans="6:6" ht="25.8" customHeight="1" x14ac:dyDescent="0.25">
      <c r="F32" s="19"/>
    </row>
    <row r="33" spans="6:6" ht="25.8" customHeight="1" x14ac:dyDescent="0.25">
      <c r="F33" s="19"/>
    </row>
    <row r="34" spans="6:6" ht="25.8" customHeight="1" x14ac:dyDescent="0.25">
      <c r="F34" s="19"/>
    </row>
    <row r="35" spans="6:6" ht="25.8" customHeight="1" x14ac:dyDescent="0.25">
      <c r="F35" s="19"/>
    </row>
    <row r="36" spans="6:6" ht="25.8" customHeight="1" x14ac:dyDescent="0.25">
      <c r="F36" s="19"/>
    </row>
    <row r="37" spans="6:6" ht="25.8" customHeight="1" x14ac:dyDescent="0.25">
      <c r="F37" s="19"/>
    </row>
    <row r="38" spans="6:6" ht="25.8" customHeight="1" x14ac:dyDescent="0.25">
      <c r="F38" s="19"/>
    </row>
    <row r="39" spans="6:6" ht="25.8" customHeight="1" x14ac:dyDescent="0.25">
      <c r="F39" s="19"/>
    </row>
    <row r="40" spans="6:6" ht="25.8" customHeight="1" x14ac:dyDescent="0.25">
      <c r="F40" s="19"/>
    </row>
    <row r="41" spans="6:6" ht="25.8" customHeight="1" x14ac:dyDescent="0.25">
      <c r="F41" s="19"/>
    </row>
    <row r="42" spans="6:6" ht="25.8" customHeight="1" x14ac:dyDescent="0.25">
      <c r="F42" s="19"/>
    </row>
    <row r="43" spans="6:6" ht="25.8" customHeight="1" x14ac:dyDescent="0.25">
      <c r="F43" s="19"/>
    </row>
    <row r="44" spans="6:6" ht="25.8" customHeight="1" x14ac:dyDescent="0.25">
      <c r="F44" s="19"/>
    </row>
    <row r="45" spans="6:6" ht="25.8" customHeight="1" x14ac:dyDescent="0.25">
      <c r="F45" s="19"/>
    </row>
    <row r="46" spans="6:6" ht="25.8" customHeight="1" x14ac:dyDescent="0.25">
      <c r="F46" s="19"/>
    </row>
    <row r="47" spans="6:6" ht="25.8" customHeight="1" x14ac:dyDescent="0.25">
      <c r="F47" s="19"/>
    </row>
    <row r="48" spans="6:6" ht="25.8" customHeight="1" x14ac:dyDescent="0.25">
      <c r="F48" s="19"/>
    </row>
    <row r="49" spans="6:6" ht="25.8" customHeight="1" x14ac:dyDescent="0.25">
      <c r="F49" s="19"/>
    </row>
    <row r="50" spans="6:6" ht="25.8" customHeight="1" x14ac:dyDescent="0.25">
      <c r="F50" s="19"/>
    </row>
    <row r="51" spans="6:6" ht="25.8" customHeight="1" x14ac:dyDescent="0.25">
      <c r="F51" s="19"/>
    </row>
    <row r="52" spans="6:6" ht="25.8" customHeight="1" x14ac:dyDescent="0.25">
      <c r="F52" s="19"/>
    </row>
    <row r="53" spans="6:6" ht="25.8" customHeight="1" x14ac:dyDescent="0.25">
      <c r="F53" s="19"/>
    </row>
    <row r="54" spans="6:6" ht="25.8" customHeight="1" x14ac:dyDescent="0.25">
      <c r="F54" s="19"/>
    </row>
    <row r="55" spans="6:6" ht="25.8" customHeight="1" x14ac:dyDescent="0.25">
      <c r="F55" s="19"/>
    </row>
    <row r="56" spans="6:6" ht="25.8" customHeight="1" x14ac:dyDescent="0.25">
      <c r="F56" s="19"/>
    </row>
    <row r="57" spans="6:6" ht="25.8" customHeight="1" x14ac:dyDescent="0.25">
      <c r="F57" s="19"/>
    </row>
    <row r="58" spans="6:6" ht="25.8" customHeight="1" x14ac:dyDescent="0.25">
      <c r="F58" s="19"/>
    </row>
    <row r="59" spans="6:6" ht="25.8" customHeight="1" x14ac:dyDescent="0.25">
      <c r="F59" s="19"/>
    </row>
    <row r="60" spans="6:6" ht="25.8" customHeight="1" x14ac:dyDescent="0.25">
      <c r="F60" s="19"/>
    </row>
    <row r="61" spans="6:6" ht="25.8" customHeight="1" x14ac:dyDescent="0.25">
      <c r="F61" s="19"/>
    </row>
    <row r="62" spans="6:6" ht="25.8" customHeight="1" x14ac:dyDescent="0.25">
      <c r="F62" s="19"/>
    </row>
    <row r="63" spans="6:6" ht="25.8" customHeight="1" x14ac:dyDescent="0.25">
      <c r="F63" s="19"/>
    </row>
    <row r="64" spans="6:6" ht="25.8" customHeight="1" x14ac:dyDescent="0.25">
      <c r="F64" s="19"/>
    </row>
    <row r="65" spans="6:6" ht="25.8" customHeight="1" x14ac:dyDescent="0.25">
      <c r="F65" s="19"/>
    </row>
    <row r="66" spans="6:6" ht="25.8" customHeight="1" x14ac:dyDescent="0.25">
      <c r="F66" s="19"/>
    </row>
    <row r="67" spans="6:6" ht="25.8" customHeight="1" x14ac:dyDescent="0.25">
      <c r="F67" s="19"/>
    </row>
    <row r="68" spans="6:6" ht="25.8" customHeight="1" x14ac:dyDescent="0.25">
      <c r="F68" s="19"/>
    </row>
    <row r="69" spans="6:6" ht="25.8" customHeight="1" x14ac:dyDescent="0.25">
      <c r="F69" s="19"/>
    </row>
    <row r="70" spans="6:6" ht="25.8" customHeight="1" x14ac:dyDescent="0.25">
      <c r="F70" s="19"/>
    </row>
    <row r="71" spans="6:6" ht="25.8" customHeight="1" x14ac:dyDescent="0.25">
      <c r="F71" s="19"/>
    </row>
    <row r="72" spans="6:6" ht="25.8" customHeight="1" x14ac:dyDescent="0.25">
      <c r="F72" s="19"/>
    </row>
    <row r="73" spans="6:6" ht="25.8" customHeight="1" x14ac:dyDescent="0.25">
      <c r="F73" s="19"/>
    </row>
    <row r="74" spans="6:6" ht="25.8" customHeight="1" x14ac:dyDescent="0.25">
      <c r="F74" s="19"/>
    </row>
    <row r="75" spans="6:6" ht="25.8" customHeight="1" x14ac:dyDescent="0.25">
      <c r="F75" s="19"/>
    </row>
    <row r="76" spans="6:6" ht="25.8" customHeight="1" x14ac:dyDescent="0.25">
      <c r="F76" s="19"/>
    </row>
    <row r="77" spans="6:6" ht="25.8" customHeight="1" x14ac:dyDescent="0.25">
      <c r="F77" s="19"/>
    </row>
    <row r="78" spans="6:6" ht="25.8" customHeight="1" x14ac:dyDescent="0.25">
      <c r="F78" s="19"/>
    </row>
    <row r="79" spans="6:6" ht="25.8" customHeight="1" x14ac:dyDescent="0.25">
      <c r="F79" s="19"/>
    </row>
    <row r="80" spans="6:6" ht="25.8" customHeight="1" x14ac:dyDescent="0.25">
      <c r="F80" s="19"/>
    </row>
    <row r="81" spans="6:6" ht="25.8" customHeight="1" x14ac:dyDescent="0.25">
      <c r="F81" s="19"/>
    </row>
    <row r="82" spans="6:6" ht="25.8" customHeight="1" x14ac:dyDescent="0.25">
      <c r="F82" s="19"/>
    </row>
    <row r="83" spans="6:6" ht="25.8" customHeight="1" x14ac:dyDescent="0.25">
      <c r="F83" s="19"/>
    </row>
    <row r="84" spans="6:6" ht="25.8" customHeight="1" x14ac:dyDescent="0.25">
      <c r="F84" s="19"/>
    </row>
    <row r="85" spans="6:6" ht="25.8" customHeight="1" x14ac:dyDescent="0.25">
      <c r="F85" s="19"/>
    </row>
    <row r="86" spans="6:6" ht="25.8" customHeight="1" x14ac:dyDescent="0.25">
      <c r="F86" s="19"/>
    </row>
    <row r="87" spans="6:6" ht="25.8" customHeight="1" x14ac:dyDescent="0.25">
      <c r="F87" s="19"/>
    </row>
    <row r="88" spans="6:6" ht="25.8" customHeight="1" x14ac:dyDescent="0.25">
      <c r="F88" s="19"/>
    </row>
    <row r="89" spans="6:6" ht="25.8" customHeight="1" x14ac:dyDescent="0.25">
      <c r="F89" s="19"/>
    </row>
    <row r="90" spans="6:6" ht="25.8" customHeight="1" x14ac:dyDescent="0.25">
      <c r="F90" s="19"/>
    </row>
    <row r="91" spans="6:6" ht="25.8" customHeight="1" x14ac:dyDescent="0.25">
      <c r="F91" s="19"/>
    </row>
    <row r="92" spans="6:6" ht="25.8" customHeight="1" x14ac:dyDescent="0.25">
      <c r="F92" s="19"/>
    </row>
    <row r="93" spans="6:6" ht="25.8" customHeight="1" x14ac:dyDescent="0.25">
      <c r="F93" s="19"/>
    </row>
    <row r="94" spans="6:6" ht="25.8" customHeight="1" x14ac:dyDescent="0.25">
      <c r="F94" s="19"/>
    </row>
    <row r="95" spans="6:6" ht="25.8" customHeight="1" x14ac:dyDescent="0.25">
      <c r="F95" s="19"/>
    </row>
    <row r="96" spans="6:6" ht="25.8" customHeight="1" x14ac:dyDescent="0.25">
      <c r="F96" s="19"/>
    </row>
    <row r="97" spans="6:6" ht="25.8" customHeight="1" x14ac:dyDescent="0.25">
      <c r="F97" s="19"/>
    </row>
    <row r="98" spans="6:6" ht="25.8" customHeight="1" x14ac:dyDescent="0.25">
      <c r="F98" s="19"/>
    </row>
    <row r="99" spans="6:6" ht="25.8" customHeight="1" x14ac:dyDescent="0.25">
      <c r="F99" s="19"/>
    </row>
    <row r="100" spans="6:6" ht="25.8" customHeight="1" x14ac:dyDescent="0.25">
      <c r="F100" s="19"/>
    </row>
    <row r="101" spans="6:6" ht="25.8" customHeight="1" x14ac:dyDescent="0.25">
      <c r="F101" s="19"/>
    </row>
    <row r="102" spans="6:6" ht="25.8" customHeight="1" x14ac:dyDescent="0.25">
      <c r="F102" s="19"/>
    </row>
    <row r="103" spans="6:6" ht="25.8" customHeight="1" x14ac:dyDescent="0.25">
      <c r="F103" s="19"/>
    </row>
    <row r="104" spans="6:6" ht="25.8" customHeight="1" x14ac:dyDescent="0.25">
      <c r="F104" s="19"/>
    </row>
    <row r="105" spans="6:6" ht="25.8" customHeight="1" x14ac:dyDescent="0.25">
      <c r="F105" s="19"/>
    </row>
    <row r="106" spans="6:6" ht="25.8" customHeight="1" x14ac:dyDescent="0.25">
      <c r="F106" s="19"/>
    </row>
    <row r="107" spans="6:6" ht="25.8" customHeight="1" x14ac:dyDescent="0.25">
      <c r="F107" s="19"/>
    </row>
    <row r="108" spans="6:6" ht="25.8" customHeight="1" x14ac:dyDescent="0.25">
      <c r="F108" s="19"/>
    </row>
    <row r="109" spans="6:6" ht="25.8" customHeight="1" x14ac:dyDescent="0.25">
      <c r="F109" s="19"/>
    </row>
    <row r="110" spans="6:6" ht="25.8" customHeight="1" x14ac:dyDescent="0.25">
      <c r="F110" s="19"/>
    </row>
    <row r="111" spans="6:6" ht="25.8" customHeight="1" x14ac:dyDescent="0.25">
      <c r="F111" s="19"/>
    </row>
    <row r="112" spans="6:6" ht="25.8" customHeight="1" x14ac:dyDescent="0.25">
      <c r="F112" s="19"/>
    </row>
    <row r="113" spans="6:6" ht="25.8" customHeight="1" x14ac:dyDescent="0.25">
      <c r="F113" s="19"/>
    </row>
    <row r="114" spans="6:6" ht="25.8" customHeight="1" x14ac:dyDescent="0.25">
      <c r="F114" s="19"/>
    </row>
    <row r="115" spans="6:6" ht="25.8" customHeight="1" x14ac:dyDescent="0.25">
      <c r="F115" s="19"/>
    </row>
    <row r="116" spans="6:6" ht="25.8" customHeight="1" x14ac:dyDescent="0.25">
      <c r="F116" s="19"/>
    </row>
    <row r="117" spans="6:6" ht="25.8" customHeight="1" x14ac:dyDescent="0.25">
      <c r="F117" s="19"/>
    </row>
    <row r="118" spans="6:6" ht="25.8" customHeight="1" x14ac:dyDescent="0.25">
      <c r="F118" s="19"/>
    </row>
    <row r="119" spans="6:6" ht="25.8" customHeight="1" x14ac:dyDescent="0.25">
      <c r="F119" s="19"/>
    </row>
    <row r="120" spans="6:6" ht="25.8" customHeight="1" x14ac:dyDescent="0.25">
      <c r="F120" s="19"/>
    </row>
    <row r="121" spans="6:6" ht="25.8" customHeight="1" x14ac:dyDescent="0.25">
      <c r="F121" s="19"/>
    </row>
    <row r="122" spans="6:6" ht="25.8" customHeight="1" x14ac:dyDescent="0.25">
      <c r="F122" s="19"/>
    </row>
    <row r="123" spans="6:6" ht="25.8" customHeight="1" x14ac:dyDescent="0.25">
      <c r="F123" s="19"/>
    </row>
    <row r="124" spans="6:6" ht="25.8" customHeight="1" x14ac:dyDescent="0.25">
      <c r="F124" s="19"/>
    </row>
    <row r="125" spans="6:6" ht="25.8" customHeight="1" x14ac:dyDescent="0.25">
      <c r="F125" s="19"/>
    </row>
    <row r="126" spans="6:6" ht="25.8" customHeight="1" x14ac:dyDescent="0.25">
      <c r="F126" s="19"/>
    </row>
    <row r="127" spans="6:6" ht="25.8" customHeight="1" x14ac:dyDescent="0.25">
      <c r="F127" s="19"/>
    </row>
    <row r="128" spans="6:6" ht="25.8" customHeight="1" x14ac:dyDescent="0.25">
      <c r="F128" s="19"/>
    </row>
    <row r="129" spans="6:6" ht="25.8" customHeight="1" x14ac:dyDescent="0.25">
      <c r="F129" s="19"/>
    </row>
    <row r="130" spans="6:6" ht="25.8" customHeight="1" x14ac:dyDescent="0.25">
      <c r="F130" s="19"/>
    </row>
    <row r="131" spans="6:6" ht="25.8" customHeight="1" x14ac:dyDescent="0.25">
      <c r="F131" s="19"/>
    </row>
    <row r="132" spans="6:6" ht="25.8" customHeight="1" x14ac:dyDescent="0.25">
      <c r="F132" s="19"/>
    </row>
    <row r="133" spans="6:6" ht="25.8" customHeight="1" x14ac:dyDescent="0.25">
      <c r="F133" s="19"/>
    </row>
    <row r="134" spans="6:6" ht="25.8" customHeight="1" x14ac:dyDescent="0.25">
      <c r="F134" s="19"/>
    </row>
    <row r="135" spans="6:6" ht="25.8" customHeight="1" x14ac:dyDescent="0.25">
      <c r="F135" s="19"/>
    </row>
    <row r="136" spans="6:6" ht="25.8" customHeight="1" x14ac:dyDescent="0.25">
      <c r="F136" s="19"/>
    </row>
    <row r="137" spans="6:6" ht="25.8" customHeight="1" x14ac:dyDescent="0.25">
      <c r="F137" s="19"/>
    </row>
    <row r="138" spans="6:6" ht="25.8" customHeight="1" x14ac:dyDescent="0.25">
      <c r="F138" s="19"/>
    </row>
    <row r="139" spans="6:6" ht="25.8" customHeight="1" x14ac:dyDescent="0.25">
      <c r="F139" s="19"/>
    </row>
    <row r="140" spans="6:6" ht="25.8" customHeight="1" x14ac:dyDescent="0.25">
      <c r="F140" s="19"/>
    </row>
    <row r="141" spans="6:6" ht="25.8" customHeight="1" x14ac:dyDescent="0.25">
      <c r="F141" s="19"/>
    </row>
    <row r="142" spans="6:6" ht="25.8" customHeight="1" x14ac:dyDescent="0.25">
      <c r="F142" s="19"/>
    </row>
    <row r="143" spans="6:6" ht="25.8" customHeight="1" x14ac:dyDescent="0.25">
      <c r="F143" s="19"/>
    </row>
    <row r="144" spans="6:6" ht="25.8" customHeight="1" x14ac:dyDescent="0.25">
      <c r="F144" s="19"/>
    </row>
    <row r="145" spans="6:6" ht="25.8" customHeight="1" x14ac:dyDescent="0.25">
      <c r="F145" s="19"/>
    </row>
    <row r="146" spans="6:6" ht="25.8" customHeight="1" x14ac:dyDescent="0.25">
      <c r="F146" s="19"/>
    </row>
    <row r="147" spans="6:6" ht="25.8" customHeight="1" x14ac:dyDescent="0.25">
      <c r="F147" s="19"/>
    </row>
    <row r="148" spans="6:6" ht="25.8" customHeight="1" x14ac:dyDescent="0.25">
      <c r="F148" s="19"/>
    </row>
    <row r="149" spans="6:6" ht="25.8" customHeight="1" x14ac:dyDescent="0.25">
      <c r="F149" s="19"/>
    </row>
    <row r="150" spans="6:6" ht="25.8" customHeight="1" x14ac:dyDescent="0.25">
      <c r="F150" s="19"/>
    </row>
    <row r="151" spans="6:6" ht="25.8" customHeight="1" x14ac:dyDescent="0.25">
      <c r="F151" s="19"/>
    </row>
    <row r="152" spans="6:6" ht="25.8" customHeight="1" x14ac:dyDescent="0.25">
      <c r="F152" s="19"/>
    </row>
    <row r="153" spans="6:6" ht="25.8" customHeight="1" x14ac:dyDescent="0.25">
      <c r="F153" s="19"/>
    </row>
    <row r="154" spans="6:6" ht="25.8" customHeight="1" x14ac:dyDescent="0.25">
      <c r="F154" s="19"/>
    </row>
    <row r="155" spans="6:6" ht="25.8" customHeight="1" x14ac:dyDescent="0.25">
      <c r="F155" s="19"/>
    </row>
    <row r="156" spans="6:6" ht="25.8" customHeight="1" x14ac:dyDescent="0.25">
      <c r="F156" s="19"/>
    </row>
    <row r="157" spans="6:6" ht="25.8" customHeight="1" x14ac:dyDescent="0.25">
      <c r="F157" s="19"/>
    </row>
    <row r="158" spans="6:6" ht="25.8" customHeight="1" x14ac:dyDescent="0.25">
      <c r="F158" s="19"/>
    </row>
    <row r="159" spans="6:6" ht="25.8" customHeight="1" x14ac:dyDescent="0.25">
      <c r="F159" s="19"/>
    </row>
    <row r="160" spans="6:6" ht="25.8" customHeight="1" x14ac:dyDescent="0.25">
      <c r="F160" s="19"/>
    </row>
    <row r="161" spans="6:6" ht="25.8" customHeight="1" x14ac:dyDescent="0.25">
      <c r="F161" s="19"/>
    </row>
    <row r="162" spans="6:6" ht="25.8" customHeight="1" x14ac:dyDescent="0.25">
      <c r="F162" s="19"/>
    </row>
    <row r="163" spans="6:6" ht="25.8" customHeight="1" x14ac:dyDescent="0.25">
      <c r="F163" s="19"/>
    </row>
    <row r="164" spans="6:6" ht="25.8" customHeight="1" x14ac:dyDescent="0.25">
      <c r="F164" s="19"/>
    </row>
    <row r="165" spans="6:6" ht="25.8" customHeight="1" x14ac:dyDescent="0.25">
      <c r="F165" s="19"/>
    </row>
    <row r="166" spans="6:6" ht="25.8" customHeight="1" x14ac:dyDescent="0.25">
      <c r="F166" s="19"/>
    </row>
    <row r="167" spans="6:6" ht="25.8" customHeight="1" x14ac:dyDescent="0.25">
      <c r="F167" s="19"/>
    </row>
    <row r="168" spans="6:6" ht="25.8" customHeight="1" x14ac:dyDescent="0.25">
      <c r="F168" s="19"/>
    </row>
    <row r="169" spans="6:6" ht="25.8" customHeight="1" x14ac:dyDescent="0.25">
      <c r="F169" s="19"/>
    </row>
    <row r="170" spans="6:6" ht="25.8" customHeight="1" x14ac:dyDescent="0.25">
      <c r="F170" s="19"/>
    </row>
    <row r="171" spans="6:6" ht="25.8" customHeight="1" x14ac:dyDescent="0.25">
      <c r="F171" s="19"/>
    </row>
    <row r="172" spans="6:6" ht="25.8" customHeight="1" x14ac:dyDescent="0.25">
      <c r="F172" s="19"/>
    </row>
    <row r="173" spans="6:6" ht="25.8" customHeight="1" x14ac:dyDescent="0.25">
      <c r="F173" s="19"/>
    </row>
    <row r="174" spans="6:6" ht="25.8" customHeight="1" x14ac:dyDescent="0.25">
      <c r="F174" s="19"/>
    </row>
    <row r="175" spans="6:6" ht="25.8" customHeight="1" x14ac:dyDescent="0.25">
      <c r="F175" s="19"/>
    </row>
    <row r="176" spans="6:6" ht="25.8" customHeight="1" x14ac:dyDescent="0.25">
      <c r="F176" s="19"/>
    </row>
    <row r="177" spans="6:6" ht="25.8" customHeight="1" x14ac:dyDescent="0.25">
      <c r="F177" s="19"/>
    </row>
    <row r="178" spans="6:6" ht="25.8" customHeight="1" x14ac:dyDescent="0.25">
      <c r="F178" s="19"/>
    </row>
    <row r="179" spans="6:6" ht="25.8" customHeight="1" x14ac:dyDescent="0.25">
      <c r="F179" s="19"/>
    </row>
    <row r="180" spans="6:6" ht="25.8" customHeight="1" x14ac:dyDescent="0.25">
      <c r="F180" s="19"/>
    </row>
    <row r="181" spans="6:6" ht="25.8" customHeight="1" x14ac:dyDescent="0.25">
      <c r="F181" s="19"/>
    </row>
    <row r="182" spans="6:6" ht="25.8" customHeight="1" x14ac:dyDescent="0.25">
      <c r="F182" s="19"/>
    </row>
    <row r="183" spans="6:6" ht="25.8" customHeight="1" x14ac:dyDescent="0.25">
      <c r="F183" s="19"/>
    </row>
    <row r="184" spans="6:6" ht="25.8" customHeight="1" x14ac:dyDescent="0.25">
      <c r="F184" s="19"/>
    </row>
    <row r="185" spans="6:6" ht="25.8" customHeight="1" x14ac:dyDescent="0.25">
      <c r="F185" s="19"/>
    </row>
    <row r="186" spans="6:6" ht="25.8" customHeight="1" x14ac:dyDescent="0.25">
      <c r="F186" s="19"/>
    </row>
    <row r="187" spans="6:6" ht="25.8" customHeight="1" x14ac:dyDescent="0.25">
      <c r="F187" s="19"/>
    </row>
    <row r="188" spans="6:6" ht="25.8" customHeight="1" x14ac:dyDescent="0.25">
      <c r="F188" s="19"/>
    </row>
    <row r="189" spans="6:6" ht="25.8" customHeight="1" x14ac:dyDescent="0.25">
      <c r="F189" s="19"/>
    </row>
    <row r="190" spans="6:6" ht="25.8" customHeight="1" x14ac:dyDescent="0.25">
      <c r="F190" s="19"/>
    </row>
    <row r="191" spans="6:6" ht="25.8" customHeight="1" x14ac:dyDescent="0.25">
      <c r="F191" s="19"/>
    </row>
    <row r="192" spans="6:6" ht="25.8" customHeight="1" x14ac:dyDescent="0.25">
      <c r="F192" s="19"/>
    </row>
    <row r="193" spans="6:6" ht="25.8" customHeight="1" x14ac:dyDescent="0.25">
      <c r="F193" s="19"/>
    </row>
    <row r="194" spans="6:6" ht="25.8" customHeight="1" x14ac:dyDescent="0.25">
      <c r="F194" s="19"/>
    </row>
    <row r="195" spans="6:6" ht="25.8" customHeight="1" x14ac:dyDescent="0.25">
      <c r="F195" s="19"/>
    </row>
    <row r="196" spans="6:6" ht="25.8" customHeight="1" x14ac:dyDescent="0.25">
      <c r="F196" s="19"/>
    </row>
    <row r="197" spans="6:6" ht="25.8" customHeight="1" x14ac:dyDescent="0.25">
      <c r="F197" s="19"/>
    </row>
    <row r="198" spans="6:6" ht="25.8" customHeight="1" x14ac:dyDescent="0.25">
      <c r="F198" s="19"/>
    </row>
    <row r="199" spans="6:6" ht="25.8" customHeight="1" x14ac:dyDescent="0.25">
      <c r="F199" s="19"/>
    </row>
    <row r="200" spans="6:6" ht="25.8" customHeight="1" x14ac:dyDescent="0.25">
      <c r="F200" s="19"/>
    </row>
    <row r="201" spans="6:6" ht="25.8" customHeight="1" x14ac:dyDescent="0.25">
      <c r="F201" s="19"/>
    </row>
    <row r="202" spans="6:6" ht="25.8" customHeight="1" x14ac:dyDescent="0.25">
      <c r="F202" s="19"/>
    </row>
    <row r="203" spans="6:6" ht="25.8" customHeight="1" x14ac:dyDescent="0.25">
      <c r="F203" s="19"/>
    </row>
    <row r="204" spans="6:6" ht="25.8" customHeight="1" x14ac:dyDescent="0.25">
      <c r="F204" s="19"/>
    </row>
    <row r="205" spans="6:6" ht="25.8" customHeight="1" x14ac:dyDescent="0.25">
      <c r="F205" s="19"/>
    </row>
    <row r="206" spans="6:6" ht="25.8" customHeight="1" x14ac:dyDescent="0.25">
      <c r="F206" s="19"/>
    </row>
    <row r="207" spans="6:6" ht="25.8" customHeight="1" x14ac:dyDescent="0.25">
      <c r="F207" s="19"/>
    </row>
    <row r="208" spans="6:6" ht="25.8" customHeight="1" x14ac:dyDescent="0.25">
      <c r="F208" s="19"/>
    </row>
    <row r="209" spans="6:6" ht="25.8" customHeight="1" x14ac:dyDescent="0.25">
      <c r="F209" s="19"/>
    </row>
    <row r="210" spans="6:6" ht="25.8" customHeight="1" x14ac:dyDescent="0.25">
      <c r="F210" s="19"/>
    </row>
    <row r="211" spans="6:6" ht="25.8" customHeight="1" x14ac:dyDescent="0.25">
      <c r="F211" s="19"/>
    </row>
    <row r="212" spans="6:6" ht="25.8" customHeight="1" x14ac:dyDescent="0.25">
      <c r="F212" s="19"/>
    </row>
    <row r="213" spans="6:6" ht="25.8" customHeight="1" x14ac:dyDescent="0.25">
      <c r="F213" s="19"/>
    </row>
    <row r="214" spans="6:6" ht="25.8" customHeight="1" x14ac:dyDescent="0.25">
      <c r="F214" s="19"/>
    </row>
    <row r="215" spans="6:6" ht="25.8" customHeight="1" x14ac:dyDescent="0.25">
      <c r="F215" s="19"/>
    </row>
    <row r="216" spans="6:6" ht="25.8" customHeight="1" x14ac:dyDescent="0.25">
      <c r="F216" s="19"/>
    </row>
    <row r="217" spans="6:6" ht="25.8" customHeight="1" x14ac:dyDescent="0.25">
      <c r="F217" s="19"/>
    </row>
    <row r="218" spans="6:6" ht="25.8" customHeight="1" x14ac:dyDescent="0.25">
      <c r="F218" s="19"/>
    </row>
    <row r="219" spans="6:6" ht="25.8" customHeight="1" x14ac:dyDescent="0.25">
      <c r="F219" s="19"/>
    </row>
    <row r="220" spans="6:6" ht="25.8" customHeight="1" x14ac:dyDescent="0.25">
      <c r="F220" s="19"/>
    </row>
    <row r="221" spans="6:6" ht="25.8" customHeight="1" x14ac:dyDescent="0.25">
      <c r="F221" s="19"/>
    </row>
    <row r="222" spans="6:6" ht="25.8" customHeight="1" x14ac:dyDescent="0.25">
      <c r="F222" s="19"/>
    </row>
    <row r="223" spans="6:6" ht="25.8" customHeight="1" x14ac:dyDescent="0.25">
      <c r="F223" s="19"/>
    </row>
    <row r="224" spans="6:6" ht="25.8" customHeight="1" x14ac:dyDescent="0.25">
      <c r="F224" s="19"/>
    </row>
    <row r="225" spans="6:6" ht="25.8" customHeight="1" x14ac:dyDescent="0.25">
      <c r="F225" s="19"/>
    </row>
    <row r="226" spans="6:6" ht="25.8" customHeight="1" x14ac:dyDescent="0.25">
      <c r="F226" s="19"/>
    </row>
    <row r="227" spans="6:6" ht="25.8" customHeight="1" x14ac:dyDescent="0.25">
      <c r="F227" s="19"/>
    </row>
    <row r="228" spans="6:6" ht="25.8" customHeight="1" x14ac:dyDescent="0.25">
      <c r="F228" s="19"/>
    </row>
    <row r="229" spans="6:6" ht="25.8" customHeight="1" x14ac:dyDescent="0.25">
      <c r="F229" s="19"/>
    </row>
    <row r="230" spans="6:6" ht="25.8" customHeight="1" x14ac:dyDescent="0.25">
      <c r="F230" s="19"/>
    </row>
    <row r="231" spans="6:6" ht="25.8" customHeight="1" x14ac:dyDescent="0.25">
      <c r="F231" s="19"/>
    </row>
    <row r="232" spans="6:6" ht="25.8" customHeight="1" x14ac:dyDescent="0.25">
      <c r="F232" s="19"/>
    </row>
    <row r="233" spans="6:6" ht="25.8" customHeight="1" x14ac:dyDescent="0.25">
      <c r="F233" s="19"/>
    </row>
    <row r="234" spans="6:6" ht="25.8" customHeight="1" x14ac:dyDescent="0.25">
      <c r="F234" s="19"/>
    </row>
    <row r="235" spans="6:6" ht="25.8" customHeight="1" x14ac:dyDescent="0.25">
      <c r="F235" s="19"/>
    </row>
    <row r="236" spans="6:6" ht="25.8" customHeight="1" x14ac:dyDescent="0.25">
      <c r="F236" s="19"/>
    </row>
    <row r="237" spans="6:6" ht="25.8" customHeight="1" x14ac:dyDescent="0.25">
      <c r="F237" s="19"/>
    </row>
    <row r="238" spans="6:6" ht="25.8" customHeight="1" x14ac:dyDescent="0.25">
      <c r="F238" s="19"/>
    </row>
    <row r="239" spans="6:6" ht="25.8" customHeight="1" x14ac:dyDescent="0.25">
      <c r="F239" s="19"/>
    </row>
    <row r="240" spans="6:6" ht="25.8" customHeight="1" x14ac:dyDescent="0.25">
      <c r="F240" s="19"/>
    </row>
    <row r="241" spans="6:6" ht="25.8" customHeight="1" x14ac:dyDescent="0.25">
      <c r="F241" s="19"/>
    </row>
    <row r="242" spans="6:6" ht="25.8" customHeight="1" x14ac:dyDescent="0.25">
      <c r="F242" s="19"/>
    </row>
    <row r="243" spans="6:6" ht="25.8" customHeight="1" x14ac:dyDescent="0.25">
      <c r="F243" s="19"/>
    </row>
    <row r="244" spans="6:6" ht="25.8" customHeight="1" x14ac:dyDescent="0.25">
      <c r="F244" s="19"/>
    </row>
    <row r="245" spans="6:6" ht="25.8" customHeight="1" x14ac:dyDescent="0.25">
      <c r="F245" s="19"/>
    </row>
    <row r="246" spans="6:6" ht="25.8" customHeight="1" x14ac:dyDescent="0.25">
      <c r="F246" s="19"/>
    </row>
    <row r="247" spans="6:6" ht="25.8" customHeight="1" x14ac:dyDescent="0.25">
      <c r="F247" s="19"/>
    </row>
    <row r="248" spans="6:6" ht="25.8" customHeight="1" x14ac:dyDescent="0.25">
      <c r="F248" s="19"/>
    </row>
    <row r="249" spans="6:6" ht="25.8" customHeight="1" x14ac:dyDescent="0.25">
      <c r="F249" s="19"/>
    </row>
    <row r="250" spans="6:6" ht="25.8" customHeight="1" x14ac:dyDescent="0.25">
      <c r="F250" s="19"/>
    </row>
    <row r="251" spans="6:6" ht="25.8" customHeight="1" x14ac:dyDescent="0.25">
      <c r="F251" s="19"/>
    </row>
    <row r="252" spans="6:6" ht="25.8" customHeight="1" x14ac:dyDescent="0.25">
      <c r="F252" s="19"/>
    </row>
    <row r="253" spans="6:6" ht="25.8" customHeight="1" x14ac:dyDescent="0.25">
      <c r="F253" s="19"/>
    </row>
    <row r="254" spans="6:6" ht="25.8" customHeight="1" x14ac:dyDescent="0.25">
      <c r="F254" s="19"/>
    </row>
    <row r="255" spans="6:6" ht="25.8" customHeight="1" x14ac:dyDescent="0.25">
      <c r="F255" s="19"/>
    </row>
    <row r="256" spans="6:6" ht="25.8" customHeight="1" x14ac:dyDescent="0.25">
      <c r="F256" s="19"/>
    </row>
    <row r="257" spans="6:6" ht="25.8" customHeight="1" x14ac:dyDescent="0.25">
      <c r="F257" s="19"/>
    </row>
    <row r="258" spans="6:6" ht="25.8" customHeight="1" x14ac:dyDescent="0.25">
      <c r="F258" s="19"/>
    </row>
    <row r="259" spans="6:6" ht="25.8" customHeight="1" x14ac:dyDescent="0.25">
      <c r="F259" s="19"/>
    </row>
    <row r="260" spans="6:6" ht="25.8" customHeight="1" x14ac:dyDescent="0.25">
      <c r="F260" s="19"/>
    </row>
    <row r="261" spans="6:6" ht="25.8" customHeight="1" x14ac:dyDescent="0.25">
      <c r="F261" s="19"/>
    </row>
    <row r="262" spans="6:6" ht="25.8" customHeight="1" x14ac:dyDescent="0.25">
      <c r="F262" s="19"/>
    </row>
    <row r="263" spans="6:6" ht="25.8" customHeight="1" x14ac:dyDescent="0.25">
      <c r="F263" s="19"/>
    </row>
    <row r="264" spans="6:6" ht="25.8" customHeight="1" x14ac:dyDescent="0.25">
      <c r="F264" s="19"/>
    </row>
    <row r="265" spans="6:6" ht="25.8" customHeight="1" x14ac:dyDescent="0.25">
      <c r="F265" s="19"/>
    </row>
    <row r="266" spans="6:6" ht="25.8" customHeight="1" x14ac:dyDescent="0.25">
      <c r="F266" s="19"/>
    </row>
    <row r="267" spans="6:6" ht="25.8" customHeight="1" x14ac:dyDescent="0.25">
      <c r="F267" s="19"/>
    </row>
    <row r="268" spans="6:6" ht="25.8" customHeight="1" x14ac:dyDescent="0.25">
      <c r="F268" s="19"/>
    </row>
    <row r="269" spans="6:6" ht="25.8" customHeight="1" x14ac:dyDescent="0.25">
      <c r="F269" s="19"/>
    </row>
    <row r="270" spans="6:6" ht="25.8" customHeight="1" x14ac:dyDescent="0.25">
      <c r="F270" s="19"/>
    </row>
    <row r="271" spans="6:6" ht="25.8" customHeight="1" x14ac:dyDescent="0.25">
      <c r="F271" s="19"/>
    </row>
    <row r="272" spans="6:6" ht="25.8" customHeight="1" x14ac:dyDescent="0.25">
      <c r="F272" s="19"/>
    </row>
    <row r="273" spans="6:6" ht="25.8" customHeight="1" x14ac:dyDescent="0.25">
      <c r="F273" s="19"/>
    </row>
    <row r="274" spans="6:6" ht="25.8" customHeight="1" x14ac:dyDescent="0.25">
      <c r="F274" s="19"/>
    </row>
    <row r="275" spans="6:6" ht="25.8" customHeight="1" x14ac:dyDescent="0.25">
      <c r="F275" s="19"/>
    </row>
    <row r="276" spans="6:6" ht="25.8" customHeight="1" x14ac:dyDescent="0.25">
      <c r="F276" s="19"/>
    </row>
    <row r="277" spans="6:6" ht="25.8" customHeight="1" x14ac:dyDescent="0.25">
      <c r="F277" s="19"/>
    </row>
    <row r="278" spans="6:6" ht="25.8" customHeight="1" x14ac:dyDescent="0.25">
      <c r="F278" s="19"/>
    </row>
    <row r="279" spans="6:6" ht="25.8" customHeight="1" x14ac:dyDescent="0.25">
      <c r="F279" s="19"/>
    </row>
    <row r="280" spans="6:6" ht="25.8" customHeight="1" x14ac:dyDescent="0.25">
      <c r="F280" s="19"/>
    </row>
    <row r="281" spans="6:6" ht="25.8" customHeight="1" x14ac:dyDescent="0.25">
      <c r="F281" s="19"/>
    </row>
    <row r="282" spans="6:6" ht="25.8" customHeight="1" x14ac:dyDescent="0.25">
      <c r="F282" s="19"/>
    </row>
    <row r="283" spans="6:6" ht="25.8" customHeight="1" x14ac:dyDescent="0.25">
      <c r="F283" s="19"/>
    </row>
    <row r="284" spans="6:6" ht="25.8" customHeight="1" x14ac:dyDescent="0.25">
      <c r="F284" s="19"/>
    </row>
    <row r="285" spans="6:6" ht="25.8" customHeight="1" x14ac:dyDescent="0.25">
      <c r="F285" s="19"/>
    </row>
    <row r="286" spans="6:6" ht="25.8" customHeight="1" x14ac:dyDescent="0.25">
      <c r="F286" s="19"/>
    </row>
    <row r="287" spans="6:6" ht="25.8" customHeight="1" x14ac:dyDescent="0.25">
      <c r="F287" s="19"/>
    </row>
    <row r="288" spans="6:6" ht="25.8" customHeight="1" x14ac:dyDescent="0.25">
      <c r="F288" s="19"/>
    </row>
    <row r="289" spans="6:6" ht="25.8" customHeight="1" x14ac:dyDescent="0.25">
      <c r="F289" s="19"/>
    </row>
    <row r="290" spans="6:6" ht="25.8" customHeight="1" x14ac:dyDescent="0.25">
      <c r="F290" s="19"/>
    </row>
    <row r="291" spans="6:6" ht="25.8" customHeight="1" x14ac:dyDescent="0.25">
      <c r="F291" s="19"/>
    </row>
    <row r="292" spans="6:6" ht="25.8" customHeight="1" x14ac:dyDescent="0.25">
      <c r="F292" s="19"/>
    </row>
    <row r="293" spans="6:6" ht="25.8" customHeight="1" x14ac:dyDescent="0.25">
      <c r="F293" s="19"/>
    </row>
    <row r="294" spans="6:6" ht="25.8" customHeight="1" x14ac:dyDescent="0.25">
      <c r="F294" s="19"/>
    </row>
    <row r="295" spans="6:6" ht="25.8" customHeight="1" x14ac:dyDescent="0.25">
      <c r="F295" s="19"/>
    </row>
    <row r="296" spans="6:6" ht="25.8" customHeight="1" x14ac:dyDescent="0.25">
      <c r="F296" s="19"/>
    </row>
    <row r="297" spans="6:6" ht="25.8" customHeight="1" x14ac:dyDescent="0.25">
      <c r="F297" s="19"/>
    </row>
    <row r="298" spans="6:6" ht="25.8" customHeight="1" x14ac:dyDescent="0.25">
      <c r="F298" s="19"/>
    </row>
    <row r="299" spans="6:6" ht="25.8" customHeight="1" x14ac:dyDescent="0.25">
      <c r="F299" s="19"/>
    </row>
    <row r="300" spans="6:6" ht="25.8" customHeight="1" x14ac:dyDescent="0.25">
      <c r="F300" s="19"/>
    </row>
    <row r="301" spans="6:6" ht="25.8" customHeight="1" x14ac:dyDescent="0.25">
      <c r="F301" s="19"/>
    </row>
    <row r="302" spans="6:6" ht="25.8" customHeight="1" x14ac:dyDescent="0.25">
      <c r="F302" s="19"/>
    </row>
    <row r="303" spans="6:6" ht="25.8" customHeight="1" x14ac:dyDescent="0.25">
      <c r="F303" s="19"/>
    </row>
    <row r="304" spans="6:6" ht="25.8" customHeight="1" x14ac:dyDescent="0.25">
      <c r="F304" s="19"/>
    </row>
    <row r="305" spans="6:6" ht="25.8" customHeight="1" x14ac:dyDescent="0.25">
      <c r="F305" s="19"/>
    </row>
    <row r="306" spans="6:6" ht="25.8" customHeight="1" x14ac:dyDescent="0.25">
      <c r="F306" s="19"/>
    </row>
    <row r="307" spans="6:6" ht="25.8" customHeight="1" x14ac:dyDescent="0.25">
      <c r="F307" s="19"/>
    </row>
    <row r="308" spans="6:6" ht="25.8" customHeight="1" x14ac:dyDescent="0.25">
      <c r="F308" s="19"/>
    </row>
    <row r="309" spans="6:6" ht="25.8" customHeight="1" x14ac:dyDescent="0.25">
      <c r="F309" s="19"/>
    </row>
    <row r="310" spans="6:6" ht="25.8" customHeight="1" x14ac:dyDescent="0.25">
      <c r="F310" s="19"/>
    </row>
    <row r="311" spans="6:6" ht="25.8" customHeight="1" x14ac:dyDescent="0.25">
      <c r="F311" s="19"/>
    </row>
    <row r="312" spans="6:6" ht="25.8" customHeight="1" x14ac:dyDescent="0.25">
      <c r="F312" s="19"/>
    </row>
    <row r="313" spans="6:6" ht="25.8" customHeight="1" x14ac:dyDescent="0.25">
      <c r="F313" s="19"/>
    </row>
    <row r="314" spans="6:6" ht="25.8" customHeight="1" x14ac:dyDescent="0.25">
      <c r="F314" s="19"/>
    </row>
    <row r="315" spans="6:6" ht="25.8" customHeight="1" x14ac:dyDescent="0.25">
      <c r="F315" s="19"/>
    </row>
    <row r="316" spans="6:6" ht="25.8" customHeight="1" x14ac:dyDescent="0.25">
      <c r="F316" s="19"/>
    </row>
    <row r="317" spans="6:6" ht="25.8" customHeight="1" x14ac:dyDescent="0.25">
      <c r="F317" s="19"/>
    </row>
    <row r="318" spans="6:6" ht="25.8" customHeight="1" x14ac:dyDescent="0.25">
      <c r="F318" s="19"/>
    </row>
    <row r="319" spans="6:6" ht="25.8" customHeight="1" x14ac:dyDescent="0.25">
      <c r="F319" s="19"/>
    </row>
    <row r="320" spans="6:6" ht="25.8" customHeight="1" x14ac:dyDescent="0.25">
      <c r="F320" s="19"/>
    </row>
    <row r="321" spans="6:6" ht="25.8" customHeight="1" x14ac:dyDescent="0.25">
      <c r="F321" s="19"/>
    </row>
    <row r="322" spans="6:6" ht="25.8" customHeight="1" x14ac:dyDescent="0.25">
      <c r="F322" s="19"/>
    </row>
    <row r="323" spans="6:6" ht="25.8" customHeight="1" x14ac:dyDescent="0.25">
      <c r="F323" s="19"/>
    </row>
    <row r="324" spans="6:6" ht="25.8" customHeight="1" x14ac:dyDescent="0.25">
      <c r="F324" s="19"/>
    </row>
    <row r="325" spans="6:6" ht="25.8" customHeight="1" x14ac:dyDescent="0.25">
      <c r="F325" s="19"/>
    </row>
    <row r="326" spans="6:6" ht="25.8" customHeight="1" x14ac:dyDescent="0.25">
      <c r="F326" s="19"/>
    </row>
    <row r="327" spans="6:6" ht="25.8" customHeight="1" x14ac:dyDescent="0.25">
      <c r="F327" s="19"/>
    </row>
    <row r="328" spans="6:6" ht="25.8" customHeight="1" x14ac:dyDescent="0.25">
      <c r="F328" s="19"/>
    </row>
    <row r="329" spans="6:6" ht="25.8" customHeight="1" x14ac:dyDescent="0.25">
      <c r="F329" s="19"/>
    </row>
    <row r="330" spans="6:6" ht="25.8" customHeight="1" x14ac:dyDescent="0.25">
      <c r="F330" s="19"/>
    </row>
    <row r="331" spans="6:6" ht="25.8" customHeight="1" x14ac:dyDescent="0.25">
      <c r="F331" s="19"/>
    </row>
    <row r="332" spans="6:6" ht="25.8" customHeight="1" x14ac:dyDescent="0.25">
      <c r="F332" s="19"/>
    </row>
    <row r="333" spans="6:6" ht="25.8" customHeight="1" x14ac:dyDescent="0.25">
      <c r="F333" s="19"/>
    </row>
    <row r="334" spans="6:6" ht="25.8" customHeight="1" x14ac:dyDescent="0.25">
      <c r="F334" s="19"/>
    </row>
    <row r="335" spans="6:6" ht="25.8" customHeight="1" x14ac:dyDescent="0.25">
      <c r="F335" s="19"/>
    </row>
    <row r="336" spans="6:6" ht="25.8" customHeight="1" x14ac:dyDescent="0.25">
      <c r="F336" s="19"/>
    </row>
    <row r="337" spans="6:6" ht="25.8" customHeight="1" x14ac:dyDescent="0.25">
      <c r="F337" s="19"/>
    </row>
    <row r="338" spans="6:6" ht="25.8" customHeight="1" x14ac:dyDescent="0.25">
      <c r="F338" s="19"/>
    </row>
    <row r="339" spans="6:6" ht="25.8" customHeight="1" x14ac:dyDescent="0.25">
      <c r="F339" s="19"/>
    </row>
    <row r="340" spans="6:6" ht="25.8" customHeight="1" x14ac:dyDescent="0.25">
      <c r="F340" s="19"/>
    </row>
    <row r="341" spans="6:6" ht="25.8" customHeight="1" x14ac:dyDescent="0.25">
      <c r="F341" s="19"/>
    </row>
    <row r="342" spans="6:6" ht="25.8" customHeight="1" x14ac:dyDescent="0.25">
      <c r="F342" s="19"/>
    </row>
    <row r="343" spans="6:6" ht="25.8" customHeight="1" x14ac:dyDescent="0.25">
      <c r="F343" s="19"/>
    </row>
    <row r="344" spans="6:6" ht="25.8" customHeight="1" x14ac:dyDescent="0.25">
      <c r="F344" s="19"/>
    </row>
    <row r="345" spans="6:6" ht="25.8" customHeight="1" x14ac:dyDescent="0.25">
      <c r="F345" s="19"/>
    </row>
    <row r="346" spans="6:6" ht="25.8" customHeight="1" x14ac:dyDescent="0.25">
      <c r="F346" s="19"/>
    </row>
    <row r="347" spans="6:6" ht="25.8" customHeight="1" x14ac:dyDescent="0.25">
      <c r="F347" s="19"/>
    </row>
    <row r="348" spans="6:6" ht="25.8" customHeight="1" x14ac:dyDescent="0.25">
      <c r="F348" s="19"/>
    </row>
    <row r="349" spans="6:6" ht="25.8" customHeight="1" x14ac:dyDescent="0.25">
      <c r="F349" s="19"/>
    </row>
    <row r="350" spans="6:6" ht="25.8" customHeight="1" x14ac:dyDescent="0.25">
      <c r="F350" s="19"/>
    </row>
    <row r="351" spans="6:6" ht="25.8" customHeight="1" x14ac:dyDescent="0.25">
      <c r="F351" s="19"/>
    </row>
    <row r="352" spans="6:6" ht="25.8" customHeight="1" x14ac:dyDescent="0.25">
      <c r="F352" s="19"/>
    </row>
    <row r="353" spans="6:6" ht="25.8" customHeight="1" x14ac:dyDescent="0.25">
      <c r="F353" s="19"/>
    </row>
    <row r="354" spans="6:6" ht="25.8" customHeight="1" x14ac:dyDescent="0.25">
      <c r="F354" s="19"/>
    </row>
    <row r="355" spans="6:6" ht="25.8" customHeight="1" x14ac:dyDescent="0.25">
      <c r="F355" s="19"/>
    </row>
    <row r="356" spans="6:6" ht="25.8" customHeight="1" x14ac:dyDescent="0.25">
      <c r="F356" s="19"/>
    </row>
    <row r="357" spans="6:6" ht="25.8" customHeight="1" x14ac:dyDescent="0.25">
      <c r="F357" s="19"/>
    </row>
    <row r="358" spans="6:6" ht="25.8" customHeight="1" x14ac:dyDescent="0.25">
      <c r="F358" s="19"/>
    </row>
    <row r="359" spans="6:6" ht="25.8" customHeight="1" x14ac:dyDescent="0.25">
      <c r="F359" s="19"/>
    </row>
    <row r="360" spans="6:6" ht="25.8" customHeight="1" x14ac:dyDescent="0.25">
      <c r="F360" s="19"/>
    </row>
    <row r="361" spans="6:6" ht="25.8" customHeight="1" x14ac:dyDescent="0.25">
      <c r="F361" s="19"/>
    </row>
    <row r="362" spans="6:6" ht="25.8" customHeight="1" x14ac:dyDescent="0.25">
      <c r="F362" s="19"/>
    </row>
    <row r="363" spans="6:6" ht="25.8" customHeight="1" x14ac:dyDescent="0.25">
      <c r="F363" s="19"/>
    </row>
    <row r="364" spans="6:6" ht="25.8" customHeight="1" x14ac:dyDescent="0.25">
      <c r="F364" s="19"/>
    </row>
    <row r="365" spans="6:6" ht="25.8" customHeight="1" x14ac:dyDescent="0.25">
      <c r="F365" s="19"/>
    </row>
    <row r="366" spans="6:6" ht="25.8" customHeight="1" x14ac:dyDescent="0.25">
      <c r="F366" s="19"/>
    </row>
    <row r="367" spans="6:6" ht="25.8" customHeight="1" x14ac:dyDescent="0.25">
      <c r="F367" s="19"/>
    </row>
    <row r="368" spans="6:6" ht="25.8" customHeight="1" x14ac:dyDescent="0.25">
      <c r="F368" s="19"/>
    </row>
    <row r="369" spans="6:6" ht="25.8" customHeight="1" x14ac:dyDescent="0.25">
      <c r="F369" s="19"/>
    </row>
    <row r="370" spans="6:6" ht="25.8" customHeight="1" x14ac:dyDescent="0.25">
      <c r="F370" s="19"/>
    </row>
    <row r="371" spans="6:6" ht="25.8" customHeight="1" x14ac:dyDescent="0.25">
      <c r="F371" s="19"/>
    </row>
    <row r="372" spans="6:6" ht="25.8" customHeight="1" x14ac:dyDescent="0.25">
      <c r="F372" s="19"/>
    </row>
    <row r="373" spans="6:6" ht="25.8" customHeight="1" x14ac:dyDescent="0.25">
      <c r="F373" s="19"/>
    </row>
    <row r="374" spans="6:6" ht="25.8" customHeight="1" x14ac:dyDescent="0.25">
      <c r="F374" s="19"/>
    </row>
    <row r="375" spans="6:6" ht="25.8" customHeight="1" x14ac:dyDescent="0.25">
      <c r="F375" s="19"/>
    </row>
    <row r="376" spans="6:6" ht="25.8" customHeight="1" x14ac:dyDescent="0.25">
      <c r="F376" s="19"/>
    </row>
    <row r="377" spans="6:6" ht="25.8" customHeight="1" x14ac:dyDescent="0.25">
      <c r="F377" s="19"/>
    </row>
    <row r="378" spans="6:6" ht="25.8" customHeight="1" x14ac:dyDescent="0.25">
      <c r="F378" s="19"/>
    </row>
    <row r="379" spans="6:6" ht="25.8" customHeight="1" x14ac:dyDescent="0.25">
      <c r="F379" s="19"/>
    </row>
    <row r="380" spans="6:6" ht="25.8" customHeight="1" x14ac:dyDescent="0.25">
      <c r="F380" s="19"/>
    </row>
    <row r="381" spans="6:6" ht="25.8" customHeight="1" x14ac:dyDescent="0.25">
      <c r="F381" s="19"/>
    </row>
    <row r="382" spans="6:6" ht="25.8" customHeight="1" x14ac:dyDescent="0.25">
      <c r="F382" s="19"/>
    </row>
    <row r="383" spans="6:6" ht="25.8" customHeight="1" x14ac:dyDescent="0.25">
      <c r="F383" s="19"/>
    </row>
    <row r="384" spans="6:6" ht="25.8" customHeight="1" x14ac:dyDescent="0.25">
      <c r="F384" s="19"/>
    </row>
    <row r="385" spans="6:6" ht="25.8" customHeight="1" x14ac:dyDescent="0.25">
      <c r="F385" s="19"/>
    </row>
    <row r="386" spans="6:6" ht="25.8" customHeight="1" x14ac:dyDescent="0.25">
      <c r="F386" s="19"/>
    </row>
    <row r="387" spans="6:6" ht="25.8" customHeight="1" x14ac:dyDescent="0.25">
      <c r="F387" s="19"/>
    </row>
    <row r="388" spans="6:6" ht="25.8" customHeight="1" x14ac:dyDescent="0.25">
      <c r="F388" s="19"/>
    </row>
    <row r="389" spans="6:6" ht="25.8" customHeight="1" x14ac:dyDescent="0.25">
      <c r="F389" s="19"/>
    </row>
    <row r="390" spans="6:6" ht="25.8" customHeight="1" x14ac:dyDescent="0.25">
      <c r="F390" s="19"/>
    </row>
    <row r="391" spans="6:6" ht="25.8" customHeight="1" x14ac:dyDescent="0.25">
      <c r="F391" s="19"/>
    </row>
    <row r="392" spans="6:6" ht="25.8" customHeight="1" x14ac:dyDescent="0.25">
      <c r="F392" s="19"/>
    </row>
    <row r="393" spans="6:6" ht="25.8" customHeight="1" x14ac:dyDescent="0.25">
      <c r="F393" s="19"/>
    </row>
    <row r="394" spans="6:6" ht="25.8" customHeight="1" x14ac:dyDescent="0.25">
      <c r="F394" s="19"/>
    </row>
    <row r="395" spans="6:6" ht="25.8" customHeight="1" x14ac:dyDescent="0.25">
      <c r="F395" s="19"/>
    </row>
    <row r="396" spans="6:6" ht="25.8" customHeight="1" x14ac:dyDescent="0.25">
      <c r="F396" s="19"/>
    </row>
    <row r="397" spans="6:6" ht="25.8" customHeight="1" x14ac:dyDescent="0.25">
      <c r="F397" s="19"/>
    </row>
    <row r="398" spans="6:6" ht="25.8" customHeight="1" x14ac:dyDescent="0.25">
      <c r="F398" s="19"/>
    </row>
    <row r="399" spans="6:6" ht="25.8" customHeight="1" x14ac:dyDescent="0.25">
      <c r="F399" s="19"/>
    </row>
    <row r="400" spans="6:6" ht="25.8" customHeight="1" x14ac:dyDescent="0.25">
      <c r="F400" s="19"/>
    </row>
    <row r="401" spans="6:6" ht="25.8" customHeight="1" x14ac:dyDescent="0.25">
      <c r="F401" s="19"/>
    </row>
    <row r="402" spans="6:6" ht="25.8" customHeight="1" x14ac:dyDescent="0.25">
      <c r="F402" s="19"/>
    </row>
    <row r="403" spans="6:6" ht="25.8" customHeight="1" x14ac:dyDescent="0.25">
      <c r="F403" s="19"/>
    </row>
    <row r="404" spans="6:6" ht="25.8" customHeight="1" x14ac:dyDescent="0.25">
      <c r="F404" s="19"/>
    </row>
    <row r="405" spans="6:6" ht="25.8" customHeight="1" x14ac:dyDescent="0.25">
      <c r="F405" s="19"/>
    </row>
    <row r="406" spans="6:6" ht="25.8" customHeight="1" x14ac:dyDescent="0.25">
      <c r="F406" s="19"/>
    </row>
    <row r="407" spans="6:6" ht="25.8" customHeight="1" x14ac:dyDescent="0.25">
      <c r="F407" s="19"/>
    </row>
    <row r="408" spans="6:6" ht="25.8" customHeight="1" x14ac:dyDescent="0.25">
      <c r="F408" s="19"/>
    </row>
    <row r="409" spans="6:6" ht="25.8" customHeight="1" x14ac:dyDescent="0.25">
      <c r="F409" s="19"/>
    </row>
    <row r="410" spans="6:6" ht="25.8" customHeight="1" x14ac:dyDescent="0.25">
      <c r="F410" s="19"/>
    </row>
    <row r="411" spans="6:6" ht="25.8" customHeight="1" x14ac:dyDescent="0.25">
      <c r="F411" s="19"/>
    </row>
    <row r="412" spans="6:6" ht="25.8" customHeight="1" x14ac:dyDescent="0.25">
      <c r="F412" s="19"/>
    </row>
    <row r="413" spans="6:6" ht="25.8" customHeight="1" x14ac:dyDescent="0.25">
      <c r="F413" s="19"/>
    </row>
    <row r="414" spans="6:6" ht="25.8" customHeight="1" x14ac:dyDescent="0.25">
      <c r="F414" s="19"/>
    </row>
    <row r="415" spans="6:6" ht="25.8" customHeight="1" x14ac:dyDescent="0.25">
      <c r="F415" s="19"/>
    </row>
    <row r="416" spans="6:6" ht="25.8" customHeight="1" x14ac:dyDescent="0.25">
      <c r="F416" s="19"/>
    </row>
    <row r="417" spans="6:6" ht="25.8" customHeight="1" x14ac:dyDescent="0.25">
      <c r="F417" s="19"/>
    </row>
    <row r="418" spans="6:6" ht="25.8" customHeight="1" x14ac:dyDescent="0.25">
      <c r="F418" s="19"/>
    </row>
    <row r="419" spans="6:6" ht="25.8" customHeight="1" x14ac:dyDescent="0.25">
      <c r="F419" s="19"/>
    </row>
    <row r="420" spans="6:6" ht="25.8" customHeight="1" x14ac:dyDescent="0.25">
      <c r="F420" s="19"/>
    </row>
    <row r="421" spans="6:6" ht="25.8" customHeight="1" x14ac:dyDescent="0.25">
      <c r="F421" s="19"/>
    </row>
    <row r="422" spans="6:6" ht="25.8" customHeight="1" x14ac:dyDescent="0.25">
      <c r="F422" s="19"/>
    </row>
    <row r="423" spans="6:6" ht="25.8" customHeight="1" x14ac:dyDescent="0.25">
      <c r="F423" s="19"/>
    </row>
    <row r="424" spans="6:6" ht="25.8" customHeight="1" x14ac:dyDescent="0.25">
      <c r="F424" s="19"/>
    </row>
    <row r="425" spans="6:6" ht="25.8" customHeight="1" x14ac:dyDescent="0.25">
      <c r="F425" s="19"/>
    </row>
    <row r="426" spans="6:6" ht="25.8" customHeight="1" x14ac:dyDescent="0.25">
      <c r="F426" s="19"/>
    </row>
    <row r="427" spans="6:6" ht="25.8" customHeight="1" x14ac:dyDescent="0.25">
      <c r="F427" s="19"/>
    </row>
    <row r="428" spans="6:6" ht="25.8" customHeight="1" x14ac:dyDescent="0.25">
      <c r="F428" s="19"/>
    </row>
    <row r="429" spans="6:6" ht="25.8" customHeight="1" x14ac:dyDescent="0.25">
      <c r="F429" s="19"/>
    </row>
    <row r="430" spans="6:6" ht="25.8" customHeight="1" x14ac:dyDescent="0.25">
      <c r="F430" s="19"/>
    </row>
    <row r="431" spans="6:6" ht="25.8" customHeight="1" x14ac:dyDescent="0.25">
      <c r="F431" s="19"/>
    </row>
    <row r="432" spans="6:6" ht="25.8" customHeight="1" x14ac:dyDescent="0.25">
      <c r="F432" s="19"/>
    </row>
    <row r="433" spans="6:6" ht="25.8" customHeight="1" x14ac:dyDescent="0.25">
      <c r="F433" s="19"/>
    </row>
    <row r="434" spans="6:6" ht="25.8" customHeight="1" x14ac:dyDescent="0.25">
      <c r="F434" s="19"/>
    </row>
    <row r="435" spans="6:6" ht="25.8" customHeight="1" x14ac:dyDescent="0.25">
      <c r="F435" s="19"/>
    </row>
    <row r="436" spans="6:6" ht="25.8" customHeight="1" x14ac:dyDescent="0.25">
      <c r="F436" s="19"/>
    </row>
    <row r="437" spans="6:6" ht="25.8" customHeight="1" x14ac:dyDescent="0.25">
      <c r="F437" s="19"/>
    </row>
    <row r="438" spans="6:6" ht="25.8" customHeight="1" x14ac:dyDescent="0.25">
      <c r="F438" s="19"/>
    </row>
    <row r="439" spans="6:6" ht="25.8" customHeight="1" x14ac:dyDescent="0.25">
      <c r="F439" s="19"/>
    </row>
    <row r="440" spans="6:6" ht="25.8" customHeight="1" x14ac:dyDescent="0.25">
      <c r="F440" s="19"/>
    </row>
    <row r="441" spans="6:6" ht="25.8" customHeight="1" x14ac:dyDescent="0.25">
      <c r="F441" s="19"/>
    </row>
    <row r="442" spans="6:6" ht="25.8" customHeight="1" x14ac:dyDescent="0.25">
      <c r="F442" s="19"/>
    </row>
    <row r="443" spans="6:6" ht="25.8" customHeight="1" x14ac:dyDescent="0.25">
      <c r="F443" s="19"/>
    </row>
    <row r="444" spans="6:6" ht="25.8" customHeight="1" x14ac:dyDescent="0.25">
      <c r="F444" s="19"/>
    </row>
    <row r="445" spans="6:6" ht="25.8" customHeight="1" x14ac:dyDescent="0.25">
      <c r="F445" s="19"/>
    </row>
    <row r="446" spans="6:6" ht="25.8" customHeight="1" x14ac:dyDescent="0.25">
      <c r="F446" s="19"/>
    </row>
    <row r="447" spans="6:6" ht="25.8" customHeight="1" x14ac:dyDescent="0.25">
      <c r="F447" s="19"/>
    </row>
    <row r="448" spans="6:6" ht="25.8" customHeight="1" x14ac:dyDescent="0.25">
      <c r="F448" s="19"/>
    </row>
    <row r="449" spans="6:6" ht="25.8" customHeight="1" x14ac:dyDescent="0.25">
      <c r="F449" s="19"/>
    </row>
    <row r="450" spans="6:6" ht="25.8" customHeight="1" x14ac:dyDescent="0.25">
      <c r="F450" s="19"/>
    </row>
    <row r="451" spans="6:6" ht="25.8" customHeight="1" x14ac:dyDescent="0.25">
      <c r="F451" s="19"/>
    </row>
    <row r="452" spans="6:6" ht="25.8" customHeight="1" x14ac:dyDescent="0.25">
      <c r="F452" s="19"/>
    </row>
    <row r="453" spans="6:6" ht="25.8" customHeight="1" x14ac:dyDescent="0.25">
      <c r="F453" s="19"/>
    </row>
    <row r="454" spans="6:6" ht="25.8" customHeight="1" x14ac:dyDescent="0.25">
      <c r="F454" s="19"/>
    </row>
    <row r="455" spans="6:6" ht="25.8" customHeight="1" x14ac:dyDescent="0.25">
      <c r="F455" s="19"/>
    </row>
    <row r="456" spans="6:6" ht="25.8" customHeight="1" x14ac:dyDescent="0.25">
      <c r="F456" s="19"/>
    </row>
    <row r="457" spans="6:6" ht="25.8" customHeight="1" x14ac:dyDescent="0.25">
      <c r="F457" s="19"/>
    </row>
    <row r="458" spans="6:6" ht="25.8" customHeight="1" x14ac:dyDescent="0.25">
      <c r="F458" s="19"/>
    </row>
    <row r="459" spans="6:6" ht="25.8" customHeight="1" x14ac:dyDescent="0.25">
      <c r="F459" s="19"/>
    </row>
    <row r="460" spans="6:6" ht="25.8" customHeight="1" x14ac:dyDescent="0.25">
      <c r="F460" s="19"/>
    </row>
    <row r="461" spans="6:6" ht="25.8" customHeight="1" x14ac:dyDescent="0.25">
      <c r="F461" s="19"/>
    </row>
    <row r="462" spans="6:6" ht="25.8" customHeight="1" x14ac:dyDescent="0.25">
      <c r="F462" s="19"/>
    </row>
    <row r="463" spans="6:6" ht="25.8" customHeight="1" x14ac:dyDescent="0.25">
      <c r="F463" s="19"/>
    </row>
    <row r="464" spans="6:6" ht="25.8" customHeight="1" x14ac:dyDescent="0.25">
      <c r="F464" s="19"/>
    </row>
    <row r="465" spans="6:6" ht="25.8" customHeight="1" x14ac:dyDescent="0.25">
      <c r="F465" s="19"/>
    </row>
    <row r="466" spans="6:6" ht="25.8" customHeight="1" x14ac:dyDescent="0.25">
      <c r="F466" s="19"/>
    </row>
    <row r="467" spans="6:6" ht="25.8" customHeight="1" x14ac:dyDescent="0.25">
      <c r="F467" s="19"/>
    </row>
    <row r="468" spans="6:6" ht="25.8" customHeight="1" x14ac:dyDescent="0.25">
      <c r="F468" s="19"/>
    </row>
    <row r="469" spans="6:6" ht="25.8" customHeight="1" x14ac:dyDescent="0.25">
      <c r="F469" s="19"/>
    </row>
    <row r="470" spans="6:6" ht="25.8" customHeight="1" x14ac:dyDescent="0.25">
      <c r="F470" s="19"/>
    </row>
    <row r="471" spans="6:6" ht="25.8" customHeight="1" x14ac:dyDescent="0.25">
      <c r="F471" s="19"/>
    </row>
    <row r="472" spans="6:6" ht="25.8" customHeight="1" x14ac:dyDescent="0.25">
      <c r="F472" s="19"/>
    </row>
    <row r="473" spans="6:6" ht="25.8" customHeight="1" x14ac:dyDescent="0.25">
      <c r="F473" s="19"/>
    </row>
    <row r="474" spans="6:6" ht="25.8" customHeight="1" x14ac:dyDescent="0.25">
      <c r="F474" s="19"/>
    </row>
    <row r="475" spans="6:6" ht="25.8" customHeight="1" x14ac:dyDescent="0.25">
      <c r="F475" s="19"/>
    </row>
    <row r="476" spans="6:6" ht="25.8" customHeight="1" x14ac:dyDescent="0.25">
      <c r="F476" s="19"/>
    </row>
    <row r="477" spans="6:6" ht="25.8" customHeight="1" x14ac:dyDescent="0.25">
      <c r="F477" s="19"/>
    </row>
    <row r="478" spans="6:6" ht="25.8" customHeight="1" x14ac:dyDescent="0.25">
      <c r="F478" s="19"/>
    </row>
    <row r="479" spans="6:6" ht="25.8" customHeight="1" x14ac:dyDescent="0.25">
      <c r="F479" s="19"/>
    </row>
    <row r="480" spans="6:6" ht="25.8" customHeight="1" x14ac:dyDescent="0.25">
      <c r="F480" s="19"/>
    </row>
    <row r="481" spans="6:6" ht="25.8" customHeight="1" x14ac:dyDescent="0.25">
      <c r="F481" s="19"/>
    </row>
    <row r="482" spans="6:6" ht="25.8" customHeight="1" x14ac:dyDescent="0.25">
      <c r="F482" s="19"/>
    </row>
    <row r="483" spans="6:6" ht="25.8" customHeight="1" x14ac:dyDescent="0.25">
      <c r="F483" s="19"/>
    </row>
    <row r="484" spans="6:6" ht="25.8" customHeight="1" x14ac:dyDescent="0.25">
      <c r="F484" s="19"/>
    </row>
    <row r="485" spans="6:6" ht="25.8" customHeight="1" x14ac:dyDescent="0.25">
      <c r="F485" s="19"/>
    </row>
    <row r="486" spans="6:6" ht="25.8" customHeight="1" x14ac:dyDescent="0.25">
      <c r="F486" s="19"/>
    </row>
    <row r="487" spans="6:6" ht="25.8" customHeight="1" x14ac:dyDescent="0.25">
      <c r="F487" s="19"/>
    </row>
    <row r="488" spans="6:6" ht="25.8" customHeight="1" x14ac:dyDescent="0.25">
      <c r="F488" s="19"/>
    </row>
    <row r="489" spans="6:6" ht="25.8" customHeight="1" x14ac:dyDescent="0.25">
      <c r="F489" s="19"/>
    </row>
    <row r="490" spans="6:6" ht="25.8" customHeight="1" x14ac:dyDescent="0.25">
      <c r="F490" s="19"/>
    </row>
    <row r="491" spans="6:6" ht="25.8" customHeight="1" x14ac:dyDescent="0.25">
      <c r="F491" s="19"/>
    </row>
    <row r="492" spans="6:6" ht="25.8" customHeight="1" x14ac:dyDescent="0.25">
      <c r="F492" s="19"/>
    </row>
    <row r="493" spans="6:6" ht="25.8" customHeight="1" x14ac:dyDescent="0.25">
      <c r="F493" s="19"/>
    </row>
    <row r="494" spans="6:6" ht="25.8" customHeight="1" x14ac:dyDescent="0.25">
      <c r="F494" s="19"/>
    </row>
    <row r="495" spans="6:6" ht="25.8" customHeight="1" x14ac:dyDescent="0.25">
      <c r="F495" s="19"/>
    </row>
    <row r="496" spans="6:6" ht="25.8" customHeight="1" x14ac:dyDescent="0.25">
      <c r="F496" s="19"/>
    </row>
    <row r="497" spans="6:6" ht="25.8" customHeight="1" x14ac:dyDescent="0.25">
      <c r="F497" s="19"/>
    </row>
    <row r="498" spans="6:6" ht="25.8" customHeight="1" x14ac:dyDescent="0.25">
      <c r="F498" s="19"/>
    </row>
    <row r="499" spans="6:6" ht="25.8" customHeight="1" x14ac:dyDescent="0.25">
      <c r="F499" s="19"/>
    </row>
    <row r="500" spans="6:6" ht="25.8" customHeight="1" x14ac:dyDescent="0.25">
      <c r="F500" s="19"/>
    </row>
    <row r="501" spans="6:6" ht="25.8" customHeight="1" x14ac:dyDescent="0.25">
      <c r="F501" s="19"/>
    </row>
    <row r="502" spans="6:6" ht="25.8" customHeight="1" x14ac:dyDescent="0.25">
      <c r="F502" s="19"/>
    </row>
    <row r="503" spans="6:6" ht="25.8" customHeight="1" x14ac:dyDescent="0.25">
      <c r="F503" s="19"/>
    </row>
    <row r="504" spans="6:6" ht="25.8" customHeight="1" x14ac:dyDescent="0.25">
      <c r="F504" s="19"/>
    </row>
    <row r="505" spans="6:6" ht="25.8" customHeight="1" x14ac:dyDescent="0.25">
      <c r="F505" s="19"/>
    </row>
    <row r="506" spans="6:6" ht="25.8" customHeight="1" x14ac:dyDescent="0.25">
      <c r="F506" s="19"/>
    </row>
    <row r="507" spans="6:6" ht="25.8" customHeight="1" x14ac:dyDescent="0.25">
      <c r="F507" s="19"/>
    </row>
    <row r="508" spans="6:6" ht="25.8" customHeight="1" x14ac:dyDescent="0.25">
      <c r="F508" s="19"/>
    </row>
    <row r="509" spans="6:6" ht="25.8" customHeight="1" x14ac:dyDescent="0.25">
      <c r="F509" s="19"/>
    </row>
    <row r="510" spans="6:6" ht="25.8" customHeight="1" x14ac:dyDescent="0.25">
      <c r="F510" s="19"/>
    </row>
    <row r="511" spans="6:6" ht="25.8" customHeight="1" x14ac:dyDescent="0.25">
      <c r="F511" s="19"/>
    </row>
    <row r="512" spans="6:6" ht="25.8" customHeight="1" x14ac:dyDescent="0.25">
      <c r="F512" s="19"/>
    </row>
    <row r="513" spans="6:6" ht="25.8" customHeight="1" x14ac:dyDescent="0.25">
      <c r="F513" s="19"/>
    </row>
    <row r="514" spans="6:6" ht="25.8" customHeight="1" x14ac:dyDescent="0.25">
      <c r="F514" s="19"/>
    </row>
    <row r="515" spans="6:6" ht="25.8" customHeight="1" x14ac:dyDescent="0.25">
      <c r="F515" s="19"/>
    </row>
    <row r="516" spans="6:6" ht="25.8" customHeight="1" x14ac:dyDescent="0.25">
      <c r="F516" s="19"/>
    </row>
    <row r="517" spans="6:6" ht="25.8" customHeight="1" x14ac:dyDescent="0.25">
      <c r="F517" s="19"/>
    </row>
    <row r="518" spans="6:6" ht="25.8" customHeight="1" x14ac:dyDescent="0.25">
      <c r="F518" s="19"/>
    </row>
    <row r="519" spans="6:6" ht="25.8" customHeight="1" x14ac:dyDescent="0.25">
      <c r="F519" s="19"/>
    </row>
    <row r="520" spans="6:6" ht="25.8" customHeight="1" x14ac:dyDescent="0.25">
      <c r="F520" s="19"/>
    </row>
    <row r="521" spans="6:6" ht="25.8" customHeight="1" x14ac:dyDescent="0.25">
      <c r="F521" s="19"/>
    </row>
    <row r="522" spans="6:6" ht="25.8" customHeight="1" x14ac:dyDescent="0.25">
      <c r="F522" s="19"/>
    </row>
    <row r="523" spans="6:6" ht="25.8" customHeight="1" x14ac:dyDescent="0.25">
      <c r="F523" s="19"/>
    </row>
    <row r="524" spans="6:6" ht="25.8" customHeight="1" x14ac:dyDescent="0.25">
      <c r="F524" s="19"/>
    </row>
    <row r="525" spans="6:6" ht="25.8" customHeight="1" x14ac:dyDescent="0.25">
      <c r="F525" s="19"/>
    </row>
    <row r="526" spans="6:6" ht="25.8" customHeight="1" x14ac:dyDescent="0.25">
      <c r="F526" s="19"/>
    </row>
    <row r="527" spans="6:6" ht="25.8" customHeight="1" x14ac:dyDescent="0.25">
      <c r="F527" s="19"/>
    </row>
    <row r="528" spans="6:6" ht="25.8" customHeight="1" x14ac:dyDescent="0.25">
      <c r="F528" s="19"/>
    </row>
    <row r="529" spans="6:6" ht="25.8" customHeight="1" x14ac:dyDescent="0.25">
      <c r="F529" s="19"/>
    </row>
    <row r="530" spans="6:6" ht="25.8" customHeight="1" x14ac:dyDescent="0.25">
      <c r="F530" s="19"/>
    </row>
    <row r="531" spans="6:6" ht="25.8" customHeight="1" x14ac:dyDescent="0.25">
      <c r="F531" s="19"/>
    </row>
    <row r="532" spans="6:6" ht="25.8" customHeight="1" x14ac:dyDescent="0.25">
      <c r="F532" s="19"/>
    </row>
    <row r="533" spans="6:6" ht="25.8" customHeight="1" x14ac:dyDescent="0.25">
      <c r="F533" s="19"/>
    </row>
    <row r="534" spans="6:6" ht="25.8" customHeight="1" x14ac:dyDescent="0.25">
      <c r="F534" s="19"/>
    </row>
    <row r="535" spans="6:6" ht="25.8" customHeight="1" x14ac:dyDescent="0.25">
      <c r="F535" s="19"/>
    </row>
    <row r="536" spans="6:6" ht="25.8" customHeight="1" x14ac:dyDescent="0.25">
      <c r="F536" s="19"/>
    </row>
    <row r="537" spans="6:6" ht="25.8" customHeight="1" x14ac:dyDescent="0.25">
      <c r="F537" s="19"/>
    </row>
    <row r="538" spans="6:6" ht="25.8" customHeight="1" x14ac:dyDescent="0.25">
      <c r="F538" s="19"/>
    </row>
    <row r="539" spans="6:6" ht="25.8" customHeight="1" x14ac:dyDescent="0.25">
      <c r="F539" s="19"/>
    </row>
    <row r="540" spans="6:6" ht="25.8" customHeight="1" x14ac:dyDescent="0.25">
      <c r="F540" s="19"/>
    </row>
    <row r="541" spans="6:6" ht="25.8" customHeight="1" x14ac:dyDescent="0.25">
      <c r="F541" s="19"/>
    </row>
    <row r="542" spans="6:6" ht="25.8" customHeight="1" x14ac:dyDescent="0.25">
      <c r="F542" s="19"/>
    </row>
    <row r="543" spans="6:6" ht="25.8" customHeight="1" x14ac:dyDescent="0.25">
      <c r="F543" s="19"/>
    </row>
    <row r="544" spans="6:6" ht="25.8" customHeight="1" x14ac:dyDescent="0.25">
      <c r="F544" s="19"/>
    </row>
    <row r="545" spans="6:6" ht="25.8" customHeight="1" x14ac:dyDescent="0.25">
      <c r="F545" s="19"/>
    </row>
    <row r="546" spans="6:6" ht="25.8" customHeight="1" x14ac:dyDescent="0.25">
      <c r="F546" s="19"/>
    </row>
    <row r="547" spans="6:6" ht="25.8" customHeight="1" x14ac:dyDescent="0.25">
      <c r="F547" s="19"/>
    </row>
    <row r="548" spans="6:6" ht="25.8" customHeight="1" x14ac:dyDescent="0.25">
      <c r="F548" s="19"/>
    </row>
    <row r="549" spans="6:6" ht="25.8" customHeight="1" x14ac:dyDescent="0.25">
      <c r="F549" s="19"/>
    </row>
    <row r="550" spans="6:6" ht="25.8" customHeight="1" x14ac:dyDescent="0.25">
      <c r="F550" s="19"/>
    </row>
    <row r="551" spans="6:6" ht="25.8" customHeight="1" x14ac:dyDescent="0.25">
      <c r="F551" s="19"/>
    </row>
    <row r="552" spans="6:6" ht="25.8" customHeight="1" x14ac:dyDescent="0.25">
      <c r="F552" s="19"/>
    </row>
    <row r="553" spans="6:6" ht="25.8" customHeight="1" x14ac:dyDescent="0.25">
      <c r="F553" s="19"/>
    </row>
    <row r="554" spans="6:6" ht="25.8" customHeight="1" x14ac:dyDescent="0.25">
      <c r="F554" s="19"/>
    </row>
    <row r="555" spans="6:6" ht="25.8" customHeight="1" x14ac:dyDescent="0.25">
      <c r="F555" s="19"/>
    </row>
    <row r="556" spans="6:6" ht="25.8" customHeight="1" x14ac:dyDescent="0.25">
      <c r="F556" s="19"/>
    </row>
    <row r="557" spans="6:6" ht="25.8" customHeight="1" x14ac:dyDescent="0.25">
      <c r="F557" s="19"/>
    </row>
    <row r="558" spans="6:6" ht="25.8" customHeight="1" x14ac:dyDescent="0.25">
      <c r="F558" s="19"/>
    </row>
    <row r="559" spans="6:6" ht="25.8" customHeight="1" x14ac:dyDescent="0.25">
      <c r="F559" s="19"/>
    </row>
    <row r="560" spans="6:6" ht="25.8" customHeight="1" x14ac:dyDescent="0.25">
      <c r="F560" s="19"/>
    </row>
    <row r="561" spans="6:6" ht="25.8" customHeight="1" x14ac:dyDescent="0.25">
      <c r="F561" s="19"/>
    </row>
    <row r="562" spans="6:6" ht="25.8" customHeight="1" x14ac:dyDescent="0.25">
      <c r="F562" s="19"/>
    </row>
    <row r="563" spans="6:6" ht="25.8" customHeight="1" x14ac:dyDescent="0.25">
      <c r="F563" s="19"/>
    </row>
    <row r="564" spans="6:6" ht="25.8" customHeight="1" x14ac:dyDescent="0.25">
      <c r="F564" s="19"/>
    </row>
    <row r="565" spans="6:6" ht="25.8" customHeight="1" x14ac:dyDescent="0.25">
      <c r="F565" s="19"/>
    </row>
    <row r="566" spans="6:6" ht="25.8" customHeight="1" x14ac:dyDescent="0.25">
      <c r="F566" s="19"/>
    </row>
    <row r="567" spans="6:6" ht="25.8" customHeight="1" x14ac:dyDescent="0.25">
      <c r="F567" s="19"/>
    </row>
    <row r="568" spans="6:6" ht="25.8" customHeight="1" x14ac:dyDescent="0.25">
      <c r="F568" s="19"/>
    </row>
    <row r="569" spans="6:6" ht="25.8" customHeight="1" x14ac:dyDescent="0.25">
      <c r="F569" s="19"/>
    </row>
    <row r="570" spans="6:6" ht="25.8" customHeight="1" x14ac:dyDescent="0.25">
      <c r="F570" s="19"/>
    </row>
    <row r="571" spans="6:6" ht="25.8" customHeight="1" x14ac:dyDescent="0.25">
      <c r="F571" s="19"/>
    </row>
    <row r="572" spans="6:6" ht="25.8" customHeight="1" x14ac:dyDescent="0.25">
      <c r="F572" s="19"/>
    </row>
    <row r="573" spans="6:6" ht="25.8" customHeight="1" x14ac:dyDescent="0.25">
      <c r="F573" s="19"/>
    </row>
    <row r="574" spans="6:6" ht="25.8" customHeight="1" x14ac:dyDescent="0.25">
      <c r="F574" s="19"/>
    </row>
    <row r="575" spans="6:6" ht="25.8" customHeight="1" x14ac:dyDescent="0.25">
      <c r="F575" s="19"/>
    </row>
    <row r="576" spans="6:6" ht="25.8" customHeight="1" x14ac:dyDescent="0.25">
      <c r="F576" s="19"/>
    </row>
    <row r="577" spans="6:6" ht="25.8" customHeight="1" x14ac:dyDescent="0.25">
      <c r="F577" s="19"/>
    </row>
    <row r="578" spans="6:6" ht="25.8" customHeight="1" x14ac:dyDescent="0.25">
      <c r="F578" s="19"/>
    </row>
    <row r="579" spans="6:6" ht="25.8" customHeight="1" x14ac:dyDescent="0.25">
      <c r="F579" s="19"/>
    </row>
    <row r="580" spans="6:6" ht="25.8" customHeight="1" x14ac:dyDescent="0.25">
      <c r="F580" s="19"/>
    </row>
    <row r="581" spans="6:6" ht="25.8" customHeight="1" x14ac:dyDescent="0.25">
      <c r="F581" s="19"/>
    </row>
    <row r="582" spans="6:6" ht="25.8" customHeight="1" x14ac:dyDescent="0.25">
      <c r="F582" s="19"/>
    </row>
    <row r="583" spans="6:6" ht="25.8" customHeight="1" x14ac:dyDescent="0.25">
      <c r="F583" s="19"/>
    </row>
    <row r="584" spans="6:6" ht="25.8" customHeight="1" x14ac:dyDescent="0.25">
      <c r="F584" s="19"/>
    </row>
    <row r="585" spans="6:6" ht="25.8" customHeight="1" x14ac:dyDescent="0.25">
      <c r="F585" s="19"/>
    </row>
    <row r="586" spans="6:6" ht="25.8" customHeight="1" x14ac:dyDescent="0.25">
      <c r="F586" s="19"/>
    </row>
    <row r="587" spans="6:6" ht="25.8" customHeight="1" x14ac:dyDescent="0.25">
      <c r="F587" s="19"/>
    </row>
    <row r="588" spans="6:6" ht="25.8" customHeight="1" x14ac:dyDescent="0.25">
      <c r="F588" s="19"/>
    </row>
    <row r="589" spans="6:6" ht="25.8" customHeight="1" x14ac:dyDescent="0.25">
      <c r="F589" s="19"/>
    </row>
    <row r="590" spans="6:6" ht="25.8" customHeight="1" x14ac:dyDescent="0.25">
      <c r="F590" s="19"/>
    </row>
    <row r="591" spans="6:6" ht="25.8" customHeight="1" x14ac:dyDescent="0.25">
      <c r="F591" s="19"/>
    </row>
    <row r="592" spans="6:6" ht="25.8" customHeight="1" x14ac:dyDescent="0.25">
      <c r="F592" s="19"/>
    </row>
    <row r="593" spans="6:6" ht="25.8" customHeight="1" x14ac:dyDescent="0.25">
      <c r="F593" s="19"/>
    </row>
    <row r="594" spans="6:6" ht="25.8" customHeight="1" x14ac:dyDescent="0.25">
      <c r="F594" s="19"/>
    </row>
    <row r="595" spans="6:6" ht="25.8" customHeight="1" x14ac:dyDescent="0.25">
      <c r="F595" s="19"/>
    </row>
    <row r="596" spans="6:6" ht="25.8" customHeight="1" x14ac:dyDescent="0.25">
      <c r="F596" s="19"/>
    </row>
    <row r="597" spans="6:6" ht="25.8" customHeight="1" x14ac:dyDescent="0.25">
      <c r="F597" s="19"/>
    </row>
    <row r="598" spans="6:6" ht="25.8" customHeight="1" x14ac:dyDescent="0.25">
      <c r="F598" s="19"/>
    </row>
    <row r="599" spans="6:6" ht="25.8" customHeight="1" x14ac:dyDescent="0.25">
      <c r="F599" s="19"/>
    </row>
    <row r="600" spans="6:6" ht="25.8" customHeight="1" x14ac:dyDescent="0.25">
      <c r="F600" s="19"/>
    </row>
    <row r="601" spans="6:6" ht="25.8" customHeight="1" x14ac:dyDescent="0.25">
      <c r="F601" s="19"/>
    </row>
    <row r="602" spans="6:6" ht="25.8" customHeight="1" x14ac:dyDescent="0.25">
      <c r="F602" s="19"/>
    </row>
    <row r="603" spans="6:6" ht="25.8" customHeight="1" x14ac:dyDescent="0.25">
      <c r="F603" s="19"/>
    </row>
    <row r="604" spans="6:6" ht="25.8" customHeight="1" x14ac:dyDescent="0.25">
      <c r="F604" s="19"/>
    </row>
    <row r="605" spans="6:6" ht="25.8" customHeight="1" x14ac:dyDescent="0.25">
      <c r="F605" s="19"/>
    </row>
    <row r="606" spans="6:6" ht="25.8" customHeight="1" x14ac:dyDescent="0.25">
      <c r="F606" s="19"/>
    </row>
    <row r="607" spans="6:6" ht="25.8" customHeight="1" x14ac:dyDescent="0.25">
      <c r="F607" s="19"/>
    </row>
    <row r="608" spans="6:6" ht="25.8" customHeight="1" x14ac:dyDescent="0.25">
      <c r="F608" s="19"/>
    </row>
    <row r="609" spans="6:6" ht="25.8" customHeight="1" x14ac:dyDescent="0.25">
      <c r="F609" s="19"/>
    </row>
    <row r="610" spans="6:6" ht="25.8" customHeight="1" x14ac:dyDescent="0.25">
      <c r="F610" s="19"/>
    </row>
    <row r="611" spans="6:6" ht="25.8" customHeight="1" x14ac:dyDescent="0.25">
      <c r="F611" s="19"/>
    </row>
    <row r="612" spans="6:6" ht="25.8" customHeight="1" x14ac:dyDescent="0.25">
      <c r="F612" s="19"/>
    </row>
    <row r="613" spans="6:6" ht="25.8" customHeight="1" x14ac:dyDescent="0.25">
      <c r="F613" s="19"/>
    </row>
    <row r="614" spans="6:6" ht="25.8" customHeight="1" x14ac:dyDescent="0.25">
      <c r="F614" s="19"/>
    </row>
    <row r="615" spans="6:6" ht="25.8" customHeight="1" x14ac:dyDescent="0.25">
      <c r="F615" s="19"/>
    </row>
    <row r="616" spans="6:6" ht="25.8" customHeight="1" x14ac:dyDescent="0.25">
      <c r="F616" s="19"/>
    </row>
    <row r="617" spans="6:6" ht="25.8" customHeight="1" x14ac:dyDescent="0.25">
      <c r="F617" s="19"/>
    </row>
    <row r="618" spans="6:6" ht="25.8" customHeight="1" x14ac:dyDescent="0.25">
      <c r="F618" s="19"/>
    </row>
    <row r="619" spans="6:6" ht="25.8" customHeight="1" x14ac:dyDescent="0.25">
      <c r="F619" s="19"/>
    </row>
    <row r="620" spans="6:6" ht="25.8" customHeight="1" x14ac:dyDescent="0.25">
      <c r="F620" s="19"/>
    </row>
    <row r="621" spans="6:6" ht="25.8" customHeight="1" x14ac:dyDescent="0.25">
      <c r="F621" s="19"/>
    </row>
    <row r="622" spans="6:6" ht="25.8" customHeight="1" x14ac:dyDescent="0.25">
      <c r="F622" s="19"/>
    </row>
    <row r="623" spans="6:6" ht="25.8" customHeight="1" x14ac:dyDescent="0.25">
      <c r="F623" s="19"/>
    </row>
    <row r="624" spans="6:6" ht="25.8" customHeight="1" x14ac:dyDescent="0.25">
      <c r="F624" s="19"/>
    </row>
    <row r="625" spans="6:6" ht="25.8" customHeight="1" x14ac:dyDescent="0.25">
      <c r="F625" s="19"/>
    </row>
    <row r="626" spans="6:6" ht="25.8" customHeight="1" x14ac:dyDescent="0.25">
      <c r="F626" s="19"/>
    </row>
    <row r="627" spans="6:6" ht="25.8" customHeight="1" x14ac:dyDescent="0.25">
      <c r="F627" s="19"/>
    </row>
    <row r="628" spans="6:6" ht="25.8" customHeight="1" x14ac:dyDescent="0.25">
      <c r="F628" s="19"/>
    </row>
    <row r="629" spans="6:6" ht="25.8" customHeight="1" x14ac:dyDescent="0.25">
      <c r="F629" s="19"/>
    </row>
    <row r="630" spans="6:6" ht="25.8" customHeight="1" x14ac:dyDescent="0.25">
      <c r="F630" s="19"/>
    </row>
    <row r="631" spans="6:6" ht="25.8" customHeight="1" x14ac:dyDescent="0.25">
      <c r="F631" s="19"/>
    </row>
    <row r="632" spans="6:6" ht="25.8" customHeight="1" x14ac:dyDescent="0.25">
      <c r="F632" s="19"/>
    </row>
    <row r="633" spans="6:6" ht="25.8" customHeight="1" x14ac:dyDescent="0.25">
      <c r="F633" s="19"/>
    </row>
    <row r="634" spans="6:6" ht="25.8" customHeight="1" x14ac:dyDescent="0.25">
      <c r="F634" s="19"/>
    </row>
    <row r="635" spans="6:6" ht="25.8" customHeight="1" x14ac:dyDescent="0.25">
      <c r="F635" s="19"/>
    </row>
    <row r="636" spans="6:6" ht="25.8" customHeight="1" x14ac:dyDescent="0.25">
      <c r="F636" s="19"/>
    </row>
    <row r="637" spans="6:6" ht="25.8" customHeight="1" x14ac:dyDescent="0.25">
      <c r="F637" s="19"/>
    </row>
    <row r="638" spans="6:6" ht="25.8" customHeight="1" x14ac:dyDescent="0.25">
      <c r="F638" s="19"/>
    </row>
    <row r="639" spans="6:6" ht="25.8" customHeight="1" x14ac:dyDescent="0.25">
      <c r="F639" s="19"/>
    </row>
    <row r="640" spans="6:6" ht="25.8" customHeight="1" x14ac:dyDescent="0.25">
      <c r="F640" s="19"/>
    </row>
    <row r="641" spans="6:6" ht="25.8" customHeight="1" x14ac:dyDescent="0.25">
      <c r="F641" s="19"/>
    </row>
    <row r="642" spans="6:6" ht="25.8" customHeight="1" x14ac:dyDescent="0.25">
      <c r="F642" s="19"/>
    </row>
    <row r="643" spans="6:6" ht="25.8" customHeight="1" x14ac:dyDescent="0.25">
      <c r="F643" s="19"/>
    </row>
    <row r="644" spans="6:6" ht="25.8" customHeight="1" x14ac:dyDescent="0.25">
      <c r="F644" s="19"/>
    </row>
    <row r="645" spans="6:6" ht="25.8" customHeight="1" x14ac:dyDescent="0.25">
      <c r="F645" s="19"/>
    </row>
    <row r="646" spans="6:6" ht="25.8" customHeight="1" x14ac:dyDescent="0.25">
      <c r="F646" s="19"/>
    </row>
    <row r="647" spans="6:6" ht="25.8" customHeight="1" x14ac:dyDescent="0.25">
      <c r="F647" s="19"/>
    </row>
    <row r="648" spans="6:6" ht="25.8" customHeight="1" x14ac:dyDescent="0.25">
      <c r="F648" s="19"/>
    </row>
    <row r="649" spans="6:6" ht="25.8" customHeight="1" x14ac:dyDescent="0.25">
      <c r="F649" s="19"/>
    </row>
    <row r="650" spans="6:6" ht="25.8" customHeight="1" x14ac:dyDescent="0.25">
      <c r="F650" s="19"/>
    </row>
    <row r="651" spans="6:6" ht="25.8" customHeight="1" x14ac:dyDescent="0.25">
      <c r="F651" s="19"/>
    </row>
    <row r="652" spans="6:6" ht="25.8" customHeight="1" x14ac:dyDescent="0.25">
      <c r="F652" s="19"/>
    </row>
    <row r="653" spans="6:6" ht="25.8" customHeight="1" x14ac:dyDescent="0.25">
      <c r="F653" s="19"/>
    </row>
    <row r="654" spans="6:6" ht="25.8" customHeight="1" x14ac:dyDescent="0.25">
      <c r="F654" s="19"/>
    </row>
    <row r="655" spans="6:6" ht="25.8" customHeight="1" x14ac:dyDescent="0.25">
      <c r="F655" s="19"/>
    </row>
    <row r="656" spans="6:6" ht="25.8" customHeight="1" x14ac:dyDescent="0.25">
      <c r="F656" s="19"/>
    </row>
    <row r="657" spans="6:6" ht="25.8" customHeight="1" x14ac:dyDescent="0.25">
      <c r="F657" s="19"/>
    </row>
    <row r="658" spans="6:6" ht="25.8" customHeight="1" x14ac:dyDescent="0.25">
      <c r="F658" s="19"/>
    </row>
    <row r="659" spans="6:6" ht="25.8" customHeight="1" x14ac:dyDescent="0.25">
      <c r="F659" s="19"/>
    </row>
    <row r="660" spans="6:6" ht="25.8" customHeight="1" x14ac:dyDescent="0.25">
      <c r="F660" s="19"/>
    </row>
    <row r="661" spans="6:6" ht="25.8" customHeight="1" x14ac:dyDescent="0.25">
      <c r="F661" s="19"/>
    </row>
    <row r="662" spans="6:6" ht="25.8" customHeight="1" x14ac:dyDescent="0.25">
      <c r="F662" s="19"/>
    </row>
    <row r="663" spans="6:6" ht="25.8" customHeight="1" x14ac:dyDescent="0.25">
      <c r="F663" s="19"/>
    </row>
    <row r="664" spans="6:6" ht="25.8" customHeight="1" x14ac:dyDescent="0.25">
      <c r="F664" s="19"/>
    </row>
    <row r="665" spans="6:6" ht="25.8" customHeight="1" x14ac:dyDescent="0.25">
      <c r="F665" s="19"/>
    </row>
    <row r="666" spans="6:6" ht="25.8" customHeight="1" x14ac:dyDescent="0.25">
      <c r="F666" s="19"/>
    </row>
    <row r="667" spans="6:6" ht="25.8" customHeight="1" x14ac:dyDescent="0.25">
      <c r="F667" s="19"/>
    </row>
    <row r="668" spans="6:6" ht="25.8" customHeight="1" x14ac:dyDescent="0.25">
      <c r="F668" s="19"/>
    </row>
    <row r="669" spans="6:6" ht="25.8" customHeight="1" x14ac:dyDescent="0.25">
      <c r="F669" s="19"/>
    </row>
    <row r="670" spans="6:6" ht="25.8" customHeight="1" x14ac:dyDescent="0.25">
      <c r="F670" s="19"/>
    </row>
    <row r="671" spans="6:6" ht="25.8" customHeight="1" x14ac:dyDescent="0.25">
      <c r="F671" s="19"/>
    </row>
    <row r="672" spans="6:6" ht="25.8" customHeight="1" x14ac:dyDescent="0.25">
      <c r="F672" s="19"/>
    </row>
    <row r="673" spans="6:6" ht="25.8" customHeight="1" x14ac:dyDescent="0.25">
      <c r="F673" s="19"/>
    </row>
    <row r="674" spans="6:6" ht="25.8" customHeight="1" x14ac:dyDescent="0.25">
      <c r="F674" s="19"/>
    </row>
    <row r="675" spans="6:6" ht="25.8" customHeight="1" x14ac:dyDescent="0.25">
      <c r="F675" s="19"/>
    </row>
    <row r="676" spans="6:6" ht="25.8" customHeight="1" x14ac:dyDescent="0.25">
      <c r="F676" s="19"/>
    </row>
    <row r="677" spans="6:6" ht="25.8" customHeight="1" x14ac:dyDescent="0.25">
      <c r="F677" s="19"/>
    </row>
    <row r="678" spans="6:6" ht="25.8" customHeight="1" x14ac:dyDescent="0.25">
      <c r="F678" s="19"/>
    </row>
    <row r="679" spans="6:6" ht="25.8" customHeight="1" x14ac:dyDescent="0.25">
      <c r="F679" s="19"/>
    </row>
    <row r="680" spans="6:6" ht="25.8" customHeight="1" x14ac:dyDescent="0.25">
      <c r="F680" s="19"/>
    </row>
    <row r="681" spans="6:6" ht="25.8" customHeight="1" x14ac:dyDescent="0.25">
      <c r="F681" s="19"/>
    </row>
    <row r="682" spans="6:6" ht="25.8" customHeight="1" x14ac:dyDescent="0.25">
      <c r="F682" s="19"/>
    </row>
    <row r="683" spans="6:6" ht="25.8" customHeight="1" x14ac:dyDescent="0.25">
      <c r="F683" s="19"/>
    </row>
    <row r="684" spans="6:6" ht="25.8" customHeight="1" x14ac:dyDescent="0.25">
      <c r="F684" s="19"/>
    </row>
    <row r="685" spans="6:6" ht="25.8" customHeight="1" x14ac:dyDescent="0.25">
      <c r="F685" s="19"/>
    </row>
    <row r="686" spans="6:6" ht="25.8" customHeight="1" x14ac:dyDescent="0.25">
      <c r="F686" s="19"/>
    </row>
    <row r="687" spans="6:6" ht="25.8" customHeight="1" x14ac:dyDescent="0.25">
      <c r="F687" s="19"/>
    </row>
    <row r="688" spans="6:6" ht="25.8" customHeight="1" x14ac:dyDescent="0.25">
      <c r="F688" s="19"/>
    </row>
    <row r="689" spans="6:6" ht="25.8" customHeight="1" x14ac:dyDescent="0.25">
      <c r="F689" s="19"/>
    </row>
    <row r="690" spans="6:6" ht="25.8" customHeight="1" x14ac:dyDescent="0.25">
      <c r="F690" s="19"/>
    </row>
    <row r="691" spans="6:6" ht="25.8" customHeight="1" x14ac:dyDescent="0.25">
      <c r="F691" s="19"/>
    </row>
    <row r="692" spans="6:6" ht="25.8" customHeight="1" x14ac:dyDescent="0.25">
      <c r="F692" s="19"/>
    </row>
    <row r="693" spans="6:6" ht="25.8" customHeight="1" x14ac:dyDescent="0.25">
      <c r="F693" s="19"/>
    </row>
    <row r="694" spans="6:6" ht="25.8" customHeight="1" x14ac:dyDescent="0.25">
      <c r="F694" s="19"/>
    </row>
    <row r="695" spans="6:6" ht="25.8" customHeight="1" x14ac:dyDescent="0.25">
      <c r="F695" s="19"/>
    </row>
    <row r="696" spans="6:6" ht="25.8" customHeight="1" x14ac:dyDescent="0.25">
      <c r="F696" s="19"/>
    </row>
    <row r="697" spans="6:6" ht="25.8" customHeight="1" x14ac:dyDescent="0.25">
      <c r="F697" s="19"/>
    </row>
    <row r="698" spans="6:6" ht="25.8" customHeight="1" x14ac:dyDescent="0.25">
      <c r="F698" s="19"/>
    </row>
    <row r="699" spans="6:6" ht="25.8" customHeight="1" x14ac:dyDescent="0.25">
      <c r="F699" s="19"/>
    </row>
    <row r="700" spans="6:6" ht="25.8" customHeight="1" x14ac:dyDescent="0.25">
      <c r="F700" s="19"/>
    </row>
    <row r="701" spans="6:6" ht="25.8" customHeight="1" x14ac:dyDescent="0.25">
      <c r="F701" s="19"/>
    </row>
    <row r="702" spans="6:6" ht="25.8" customHeight="1" x14ac:dyDescent="0.25">
      <c r="F702" s="19"/>
    </row>
    <row r="703" spans="6:6" ht="25.8" customHeight="1" x14ac:dyDescent="0.25">
      <c r="F703" s="19"/>
    </row>
    <row r="704" spans="6:6" ht="25.8" customHeight="1" x14ac:dyDescent="0.25">
      <c r="F704" s="19"/>
    </row>
    <row r="705" spans="6:6" ht="25.8" customHeight="1" x14ac:dyDescent="0.25">
      <c r="F705" s="19"/>
    </row>
    <row r="706" spans="6:6" ht="25.8" customHeight="1" x14ac:dyDescent="0.25">
      <c r="F706" s="19"/>
    </row>
    <row r="707" spans="6:6" ht="25.8" customHeight="1" x14ac:dyDescent="0.25">
      <c r="F707" s="19"/>
    </row>
    <row r="708" spans="6:6" ht="25.8" customHeight="1" x14ac:dyDescent="0.25">
      <c r="F708" s="19"/>
    </row>
    <row r="709" spans="6:6" ht="25.8" customHeight="1" x14ac:dyDescent="0.25">
      <c r="F709" s="19"/>
    </row>
    <row r="710" spans="6:6" ht="25.8" customHeight="1" x14ac:dyDescent="0.25">
      <c r="F710" s="19"/>
    </row>
    <row r="711" spans="6:6" ht="25.8" customHeight="1" x14ac:dyDescent="0.25">
      <c r="F711" s="19"/>
    </row>
    <row r="712" spans="6:6" ht="25.8" customHeight="1" x14ac:dyDescent="0.25">
      <c r="F712" s="19"/>
    </row>
    <row r="713" spans="6:6" ht="25.8" customHeight="1" x14ac:dyDescent="0.25">
      <c r="F713" s="19"/>
    </row>
    <row r="714" spans="6:6" ht="25.8" customHeight="1" x14ac:dyDescent="0.25">
      <c r="F714" s="19"/>
    </row>
    <row r="715" spans="6:6" ht="25.8" customHeight="1" x14ac:dyDescent="0.25">
      <c r="F715" s="19"/>
    </row>
    <row r="716" spans="6:6" ht="25.8" customHeight="1" x14ac:dyDescent="0.25">
      <c r="F716" s="19"/>
    </row>
    <row r="717" spans="6:6" ht="25.8" customHeight="1" x14ac:dyDescent="0.25">
      <c r="F717" s="19"/>
    </row>
    <row r="718" spans="6:6" ht="25.8" customHeight="1" x14ac:dyDescent="0.25">
      <c r="F718" s="19"/>
    </row>
    <row r="719" spans="6:6" ht="25.8" customHeight="1" x14ac:dyDescent="0.25">
      <c r="F719" s="19"/>
    </row>
    <row r="720" spans="6:6" ht="25.8" customHeight="1" x14ac:dyDescent="0.25">
      <c r="F720" s="19"/>
    </row>
    <row r="721" spans="6:6" ht="25.8" customHeight="1" x14ac:dyDescent="0.25">
      <c r="F721" s="19"/>
    </row>
    <row r="722" spans="6:6" ht="25.8" customHeight="1" x14ac:dyDescent="0.25">
      <c r="F722" s="19"/>
    </row>
    <row r="723" spans="6:6" ht="25.8" customHeight="1" x14ac:dyDescent="0.25">
      <c r="F723" s="19"/>
    </row>
    <row r="724" spans="6:6" ht="25.8" customHeight="1" x14ac:dyDescent="0.25">
      <c r="F724" s="19"/>
    </row>
    <row r="725" spans="6:6" ht="25.8" customHeight="1" x14ac:dyDescent="0.25">
      <c r="F725" s="19"/>
    </row>
    <row r="726" spans="6:6" ht="25.8" customHeight="1" x14ac:dyDescent="0.25">
      <c r="F726" s="19"/>
    </row>
    <row r="727" spans="6:6" ht="25.8" customHeight="1" x14ac:dyDescent="0.25">
      <c r="F727" s="19"/>
    </row>
    <row r="728" spans="6:6" ht="25.8" customHeight="1" x14ac:dyDescent="0.25">
      <c r="F728" s="19"/>
    </row>
    <row r="729" spans="6:6" ht="25.8" customHeight="1" x14ac:dyDescent="0.25">
      <c r="F729" s="19"/>
    </row>
    <row r="730" spans="6:6" ht="25.8" customHeight="1" x14ac:dyDescent="0.25">
      <c r="F730" s="19"/>
    </row>
    <row r="731" spans="6:6" ht="25.8" customHeight="1" x14ac:dyDescent="0.25">
      <c r="F731" s="19"/>
    </row>
    <row r="732" spans="6:6" ht="25.8" customHeight="1" x14ac:dyDescent="0.25">
      <c r="F732" s="19"/>
    </row>
    <row r="733" spans="6:6" ht="25.8" customHeight="1" x14ac:dyDescent="0.25">
      <c r="F733" s="19"/>
    </row>
    <row r="734" spans="6:6" ht="25.8" customHeight="1" x14ac:dyDescent="0.25">
      <c r="F734" s="19"/>
    </row>
    <row r="735" spans="6:6" ht="25.8" customHeight="1" x14ac:dyDescent="0.25">
      <c r="F735" s="19"/>
    </row>
    <row r="736" spans="6:6" ht="25.8" customHeight="1" x14ac:dyDescent="0.25">
      <c r="F736" s="19"/>
    </row>
    <row r="737" spans="6:6" ht="25.8" customHeight="1" x14ac:dyDescent="0.25">
      <c r="F737" s="19"/>
    </row>
    <row r="738" spans="6:6" ht="25.8" customHeight="1" x14ac:dyDescent="0.25">
      <c r="F738" s="19"/>
    </row>
    <row r="739" spans="6:6" ht="25.8" customHeight="1" x14ac:dyDescent="0.25">
      <c r="F739" s="19"/>
    </row>
    <row r="740" spans="6:6" ht="25.8" customHeight="1" x14ac:dyDescent="0.25">
      <c r="F740" s="19"/>
    </row>
    <row r="741" spans="6:6" ht="25.8" customHeight="1" x14ac:dyDescent="0.25">
      <c r="F741" s="19"/>
    </row>
    <row r="742" spans="6:6" ht="25.8" customHeight="1" x14ac:dyDescent="0.25">
      <c r="F742" s="19"/>
    </row>
    <row r="743" spans="6:6" ht="25.8" customHeight="1" x14ac:dyDescent="0.25">
      <c r="F743" s="19"/>
    </row>
    <row r="744" spans="6:6" ht="25.8" customHeight="1" x14ac:dyDescent="0.25">
      <c r="F744" s="19"/>
    </row>
    <row r="745" spans="6:6" ht="25.8" customHeight="1" x14ac:dyDescent="0.25">
      <c r="F745" s="19"/>
    </row>
    <row r="746" spans="6:6" ht="25.8" customHeight="1" x14ac:dyDescent="0.25">
      <c r="F746" s="19"/>
    </row>
    <row r="747" spans="6:6" ht="25.8" customHeight="1" x14ac:dyDescent="0.25">
      <c r="F747" s="19"/>
    </row>
    <row r="748" spans="6:6" ht="25.8" customHeight="1" x14ac:dyDescent="0.25">
      <c r="F748" s="19"/>
    </row>
    <row r="749" spans="6:6" ht="25.8" customHeight="1" x14ac:dyDescent="0.25">
      <c r="F749" s="19"/>
    </row>
    <row r="750" spans="6:6" ht="25.8" customHeight="1" x14ac:dyDescent="0.25">
      <c r="F750" s="19"/>
    </row>
    <row r="751" spans="6:6" ht="25.8" customHeight="1" x14ac:dyDescent="0.25">
      <c r="F751" s="19"/>
    </row>
    <row r="752" spans="6:6" ht="25.8" customHeight="1" x14ac:dyDescent="0.25">
      <c r="F752" s="19"/>
    </row>
    <row r="753" spans="6:6" ht="25.8" customHeight="1" x14ac:dyDescent="0.25">
      <c r="F753" s="19"/>
    </row>
    <row r="754" spans="6:6" ht="25.8" customHeight="1" x14ac:dyDescent="0.25">
      <c r="F754" s="19"/>
    </row>
    <row r="755" spans="6:6" ht="25.8" customHeight="1" x14ac:dyDescent="0.25">
      <c r="F755" s="19"/>
    </row>
    <row r="756" spans="6:6" ht="25.8" customHeight="1" x14ac:dyDescent="0.25">
      <c r="F756" s="19"/>
    </row>
    <row r="757" spans="6:6" ht="25.8" customHeight="1" x14ac:dyDescent="0.25">
      <c r="F757" s="19"/>
    </row>
    <row r="758" spans="6:6" ht="25.8" customHeight="1" x14ac:dyDescent="0.25">
      <c r="F758" s="19"/>
    </row>
    <row r="759" spans="6:6" ht="25.8" customHeight="1" x14ac:dyDescent="0.25">
      <c r="F759" s="19"/>
    </row>
    <row r="760" spans="6:6" ht="25.8" customHeight="1" x14ac:dyDescent="0.25">
      <c r="F760" s="19"/>
    </row>
    <row r="761" spans="6:6" ht="25.8" customHeight="1" x14ac:dyDescent="0.25">
      <c r="F761" s="19"/>
    </row>
    <row r="762" spans="6:6" ht="25.8" customHeight="1" x14ac:dyDescent="0.25">
      <c r="F762" s="19"/>
    </row>
    <row r="763" spans="6:6" ht="25.8" customHeight="1" x14ac:dyDescent="0.25">
      <c r="F763" s="19"/>
    </row>
    <row r="764" spans="6:6" ht="25.8" customHeight="1" x14ac:dyDescent="0.25">
      <c r="F764" s="19"/>
    </row>
    <row r="765" spans="6:6" ht="25.8" customHeight="1" x14ac:dyDescent="0.25">
      <c r="F765" s="19"/>
    </row>
    <row r="766" spans="6:6" ht="25.8" customHeight="1" x14ac:dyDescent="0.25">
      <c r="F766" s="19"/>
    </row>
    <row r="767" spans="6:6" ht="25.8" customHeight="1" x14ac:dyDescent="0.25">
      <c r="F767" s="19"/>
    </row>
    <row r="768" spans="6:6" ht="25.8" customHeight="1" x14ac:dyDescent="0.25">
      <c r="F768" s="19"/>
    </row>
    <row r="769" spans="6:6" ht="25.8" customHeight="1" x14ac:dyDescent="0.25">
      <c r="F769" s="19"/>
    </row>
    <row r="770" spans="6:6" ht="25.8" customHeight="1" x14ac:dyDescent="0.25">
      <c r="F770" s="19"/>
    </row>
    <row r="771" spans="6:6" ht="25.8" customHeight="1" x14ac:dyDescent="0.25">
      <c r="F771" s="19"/>
    </row>
    <row r="772" spans="6:6" ht="25.8" customHeight="1" x14ac:dyDescent="0.25">
      <c r="F772" s="19"/>
    </row>
    <row r="773" spans="6:6" ht="25.8" customHeight="1" x14ac:dyDescent="0.25">
      <c r="F773" s="19"/>
    </row>
    <row r="774" spans="6:6" ht="25.8" customHeight="1" x14ac:dyDescent="0.25">
      <c r="F774" s="19"/>
    </row>
    <row r="775" spans="6:6" ht="25.8" customHeight="1" x14ac:dyDescent="0.25">
      <c r="F775" s="19"/>
    </row>
    <row r="776" spans="6:6" ht="25.8" customHeight="1" x14ac:dyDescent="0.25">
      <c r="F776" s="19"/>
    </row>
    <row r="777" spans="6:6" ht="25.8" customHeight="1" x14ac:dyDescent="0.25">
      <c r="F777" s="19"/>
    </row>
    <row r="778" spans="6:6" ht="25.8" customHeight="1" x14ac:dyDescent="0.25">
      <c r="F778" s="19"/>
    </row>
    <row r="779" spans="6:6" ht="25.8" customHeight="1" x14ac:dyDescent="0.25">
      <c r="F779" s="19"/>
    </row>
    <row r="780" spans="6:6" ht="25.8" customHeight="1" x14ac:dyDescent="0.25">
      <c r="F780" s="19"/>
    </row>
    <row r="781" spans="6:6" ht="25.8" customHeight="1" x14ac:dyDescent="0.25">
      <c r="F781" s="19"/>
    </row>
    <row r="782" spans="6:6" ht="25.8" customHeight="1" x14ac:dyDescent="0.25">
      <c r="F782" s="19"/>
    </row>
    <row r="783" spans="6:6" ht="25.8" customHeight="1" x14ac:dyDescent="0.25">
      <c r="F783" s="19"/>
    </row>
    <row r="784" spans="6:6" ht="25.8" customHeight="1" x14ac:dyDescent="0.25">
      <c r="F784" s="19"/>
    </row>
    <row r="785" spans="6:6" ht="25.8" customHeight="1" x14ac:dyDescent="0.25">
      <c r="F785" s="19"/>
    </row>
    <row r="786" spans="6:6" ht="25.8" customHeight="1" x14ac:dyDescent="0.25">
      <c r="F786" s="19"/>
    </row>
    <row r="787" spans="6:6" ht="25.8" customHeight="1" x14ac:dyDescent="0.25">
      <c r="F787" s="19"/>
    </row>
    <row r="788" spans="6:6" ht="25.8" customHeight="1" x14ac:dyDescent="0.25">
      <c r="F788" s="19"/>
    </row>
    <row r="789" spans="6:6" ht="25.8" customHeight="1" x14ac:dyDescent="0.25">
      <c r="F789" s="19"/>
    </row>
    <row r="790" spans="6:6" ht="25.8" customHeight="1" x14ac:dyDescent="0.25">
      <c r="F790" s="19"/>
    </row>
    <row r="791" spans="6:6" ht="25.8" customHeight="1" x14ac:dyDescent="0.25">
      <c r="F791" s="19"/>
    </row>
    <row r="792" spans="6:6" ht="25.8" customHeight="1" x14ac:dyDescent="0.25">
      <c r="F792" s="19"/>
    </row>
    <row r="793" spans="6:6" ht="25.8" customHeight="1" x14ac:dyDescent="0.25">
      <c r="F793" s="19"/>
    </row>
    <row r="794" spans="6:6" ht="25.8" customHeight="1" x14ac:dyDescent="0.25">
      <c r="F794" s="19"/>
    </row>
    <row r="795" spans="6:6" ht="25.8" customHeight="1" x14ac:dyDescent="0.25">
      <c r="F795" s="19"/>
    </row>
    <row r="796" spans="6:6" ht="25.8" customHeight="1" x14ac:dyDescent="0.25">
      <c r="F796" s="19"/>
    </row>
    <row r="797" spans="6:6" ht="25.8" customHeight="1" x14ac:dyDescent="0.25">
      <c r="F797" s="19"/>
    </row>
    <row r="798" spans="6:6" ht="25.8" customHeight="1" x14ac:dyDescent="0.25">
      <c r="F798" s="19"/>
    </row>
    <row r="799" spans="6:6" ht="25.8" customHeight="1" x14ac:dyDescent="0.25">
      <c r="F799" s="19"/>
    </row>
    <row r="800" spans="6:6" ht="25.8" customHeight="1" x14ac:dyDescent="0.25">
      <c r="F800" s="19"/>
    </row>
    <row r="801" spans="6:6" ht="25.8" customHeight="1" x14ac:dyDescent="0.25">
      <c r="F801" s="19"/>
    </row>
    <row r="802" spans="6:6" ht="25.8" customHeight="1" x14ac:dyDescent="0.25">
      <c r="F802" s="19"/>
    </row>
    <row r="803" spans="6:6" ht="25.8" customHeight="1" x14ac:dyDescent="0.25">
      <c r="F803" s="19"/>
    </row>
    <row r="804" spans="6:6" ht="25.8" customHeight="1" x14ac:dyDescent="0.25">
      <c r="F804" s="19"/>
    </row>
    <row r="805" spans="6:6" ht="25.8" customHeight="1" x14ac:dyDescent="0.25">
      <c r="F805" s="19"/>
    </row>
    <row r="806" spans="6:6" ht="25.8" customHeight="1" x14ac:dyDescent="0.25">
      <c r="F806" s="19"/>
    </row>
    <row r="807" spans="6:6" ht="25.8" customHeight="1" x14ac:dyDescent="0.25">
      <c r="F807" s="19"/>
    </row>
    <row r="808" spans="6:6" ht="25.8" customHeight="1" x14ac:dyDescent="0.25">
      <c r="F808" s="19"/>
    </row>
    <row r="809" spans="6:6" ht="25.8" customHeight="1" x14ac:dyDescent="0.25">
      <c r="F809" s="19"/>
    </row>
    <row r="810" spans="6:6" ht="25.8" customHeight="1" x14ac:dyDescent="0.25">
      <c r="F810" s="19"/>
    </row>
    <row r="811" spans="6:6" ht="25.8" customHeight="1" x14ac:dyDescent="0.25">
      <c r="F811" s="19"/>
    </row>
    <row r="812" spans="6:6" ht="25.8" customHeight="1" x14ac:dyDescent="0.25">
      <c r="F812" s="19"/>
    </row>
    <row r="813" spans="6:6" ht="25.8" customHeight="1" x14ac:dyDescent="0.25">
      <c r="F813" s="19"/>
    </row>
    <row r="814" spans="6:6" ht="25.8" customHeight="1" x14ac:dyDescent="0.25">
      <c r="F814" s="19"/>
    </row>
    <row r="815" spans="6:6" ht="25.8" customHeight="1" x14ac:dyDescent="0.25">
      <c r="F815" s="19"/>
    </row>
    <row r="816" spans="6:6" ht="25.8" customHeight="1" x14ac:dyDescent="0.25">
      <c r="F816" s="19"/>
    </row>
    <row r="817" spans="6:6" ht="25.8" customHeight="1" x14ac:dyDescent="0.25">
      <c r="F817" s="19"/>
    </row>
    <row r="818" spans="6:6" ht="25.8" customHeight="1" x14ac:dyDescent="0.25">
      <c r="F818" s="19"/>
    </row>
    <row r="819" spans="6:6" ht="25.8" customHeight="1" x14ac:dyDescent="0.25">
      <c r="F819" s="19"/>
    </row>
    <row r="820" spans="6:6" ht="25.8" customHeight="1" x14ac:dyDescent="0.25">
      <c r="F820" s="19"/>
    </row>
    <row r="821" spans="6:6" ht="25.8" customHeight="1" x14ac:dyDescent="0.25">
      <c r="F821" s="19"/>
    </row>
    <row r="822" spans="6:6" ht="25.8" customHeight="1" x14ac:dyDescent="0.25">
      <c r="F822" s="19"/>
    </row>
    <row r="823" spans="6:6" ht="25.8" customHeight="1" x14ac:dyDescent="0.25">
      <c r="F823" s="19"/>
    </row>
    <row r="824" spans="6:6" ht="25.8" customHeight="1" x14ac:dyDescent="0.25">
      <c r="F824" s="19"/>
    </row>
    <row r="825" spans="6:6" ht="25.8" customHeight="1" x14ac:dyDescent="0.25">
      <c r="F825" s="19"/>
    </row>
    <row r="826" spans="6:6" ht="25.8" customHeight="1" x14ac:dyDescent="0.25">
      <c r="F826" s="19"/>
    </row>
    <row r="827" spans="6:6" ht="25.8" customHeight="1" x14ac:dyDescent="0.25">
      <c r="F827" s="19"/>
    </row>
    <row r="828" spans="6:6" ht="25.8" customHeight="1" x14ac:dyDescent="0.25">
      <c r="F828" s="19"/>
    </row>
    <row r="829" spans="6:6" ht="25.8" customHeight="1" x14ac:dyDescent="0.25">
      <c r="F829" s="19"/>
    </row>
    <row r="830" spans="6:6" ht="25.8" customHeight="1" x14ac:dyDescent="0.25">
      <c r="F830" s="19"/>
    </row>
    <row r="831" spans="6:6" ht="25.8" customHeight="1" x14ac:dyDescent="0.25">
      <c r="F831" s="19"/>
    </row>
    <row r="832" spans="6:6" ht="25.8" customHeight="1" x14ac:dyDescent="0.25">
      <c r="F832" s="19"/>
    </row>
    <row r="833" spans="6:6" ht="25.8" customHeight="1" x14ac:dyDescent="0.25">
      <c r="F833" s="19"/>
    </row>
    <row r="834" spans="6:6" ht="25.8" customHeight="1" x14ac:dyDescent="0.25">
      <c r="F834" s="19"/>
    </row>
    <row r="835" spans="6:6" ht="25.8" customHeight="1" x14ac:dyDescent="0.25">
      <c r="F835" s="19"/>
    </row>
    <row r="836" spans="6:6" ht="25.8" customHeight="1" x14ac:dyDescent="0.25">
      <c r="F836" s="19"/>
    </row>
    <row r="837" spans="6:6" ht="25.8" customHeight="1" x14ac:dyDescent="0.25">
      <c r="F837" s="19"/>
    </row>
    <row r="838" spans="6:6" ht="25.8" customHeight="1" x14ac:dyDescent="0.25">
      <c r="F838" s="19"/>
    </row>
    <row r="839" spans="6:6" ht="25.8" customHeight="1" x14ac:dyDescent="0.25">
      <c r="F839" s="19"/>
    </row>
    <row r="840" spans="6:6" ht="25.8" customHeight="1" x14ac:dyDescent="0.25">
      <c r="F840" s="19"/>
    </row>
    <row r="841" spans="6:6" ht="25.8" customHeight="1" x14ac:dyDescent="0.25">
      <c r="F841" s="19"/>
    </row>
    <row r="842" spans="6:6" ht="25.8" customHeight="1" x14ac:dyDescent="0.25">
      <c r="F842" s="19"/>
    </row>
    <row r="843" spans="6:6" ht="25.8" customHeight="1" x14ac:dyDescent="0.25">
      <c r="F843" s="19"/>
    </row>
    <row r="844" spans="6:6" ht="25.8" customHeight="1" x14ac:dyDescent="0.25">
      <c r="F844" s="19"/>
    </row>
    <row r="845" spans="6:6" ht="25.8" customHeight="1" x14ac:dyDescent="0.25">
      <c r="F845" s="19"/>
    </row>
    <row r="846" spans="6:6" ht="25.8" customHeight="1" x14ac:dyDescent="0.25">
      <c r="F846" s="19"/>
    </row>
    <row r="847" spans="6:6" ht="25.8" customHeight="1" x14ac:dyDescent="0.25">
      <c r="F847" s="19"/>
    </row>
    <row r="848" spans="6:6" ht="25.8" customHeight="1" x14ac:dyDescent="0.25">
      <c r="F848" s="19"/>
    </row>
    <row r="849" spans="6:6" ht="25.8" customHeight="1" x14ac:dyDescent="0.25">
      <c r="F849" s="19"/>
    </row>
    <row r="850" spans="6:6" ht="25.8" customHeight="1" x14ac:dyDescent="0.25">
      <c r="F850" s="19"/>
    </row>
    <row r="851" spans="6:6" ht="25.8" customHeight="1" x14ac:dyDescent="0.25">
      <c r="F851" s="19"/>
    </row>
    <row r="852" spans="6:6" ht="25.8" customHeight="1" x14ac:dyDescent="0.25">
      <c r="F852" s="19"/>
    </row>
    <row r="853" spans="6:6" ht="25.8" customHeight="1" x14ac:dyDescent="0.25">
      <c r="F853" s="19"/>
    </row>
    <row r="854" spans="6:6" ht="25.8" customHeight="1" x14ac:dyDescent="0.25">
      <c r="F854" s="19"/>
    </row>
    <row r="855" spans="6:6" ht="25.8" customHeight="1" x14ac:dyDescent="0.25">
      <c r="F855" s="19"/>
    </row>
    <row r="856" spans="6:6" ht="25.8" customHeight="1" x14ac:dyDescent="0.25">
      <c r="F856" s="19"/>
    </row>
    <row r="857" spans="6:6" ht="25.8" customHeight="1" x14ac:dyDescent="0.25">
      <c r="F857" s="19"/>
    </row>
    <row r="858" spans="6:6" ht="25.8" customHeight="1" x14ac:dyDescent="0.25">
      <c r="F858" s="19"/>
    </row>
    <row r="859" spans="6:6" ht="25.8" customHeight="1" x14ac:dyDescent="0.25">
      <c r="F859" s="19"/>
    </row>
    <row r="860" spans="6:6" ht="25.8" customHeight="1" x14ac:dyDescent="0.25">
      <c r="F860" s="19"/>
    </row>
    <row r="861" spans="6:6" ht="25.8" customHeight="1" x14ac:dyDescent="0.25">
      <c r="F861" s="19"/>
    </row>
    <row r="862" spans="6:6" ht="25.8" customHeight="1" x14ac:dyDescent="0.25">
      <c r="F862" s="19"/>
    </row>
    <row r="863" spans="6:6" ht="25.8" customHeight="1" x14ac:dyDescent="0.25">
      <c r="F863" s="19"/>
    </row>
    <row r="864" spans="6:6" ht="25.8" customHeight="1" x14ac:dyDescent="0.25">
      <c r="F864" s="19"/>
    </row>
    <row r="865" spans="6:6" ht="25.8" customHeight="1" x14ac:dyDescent="0.25">
      <c r="F865" s="19"/>
    </row>
    <row r="866" spans="6:6" ht="25.8" customHeight="1" x14ac:dyDescent="0.25">
      <c r="F866" s="19"/>
    </row>
    <row r="867" spans="6:6" ht="25.8" customHeight="1" x14ac:dyDescent="0.25">
      <c r="F867" s="19"/>
    </row>
    <row r="868" spans="6:6" ht="25.8" customHeight="1" x14ac:dyDescent="0.25">
      <c r="F868" s="19"/>
    </row>
    <row r="869" spans="6:6" ht="25.8" customHeight="1" x14ac:dyDescent="0.25">
      <c r="F869" s="19"/>
    </row>
    <row r="870" spans="6:6" ht="25.8" customHeight="1" x14ac:dyDescent="0.25">
      <c r="F870" s="19"/>
    </row>
    <row r="871" spans="6:6" ht="25.8" customHeight="1" x14ac:dyDescent="0.25">
      <c r="F871" s="19"/>
    </row>
    <row r="872" spans="6:6" ht="25.8" customHeight="1" x14ac:dyDescent="0.25">
      <c r="F872" s="19"/>
    </row>
    <row r="873" spans="6:6" ht="25.8" customHeight="1" x14ac:dyDescent="0.25">
      <c r="F873" s="19"/>
    </row>
    <row r="874" spans="6:6" ht="25.8" customHeight="1" x14ac:dyDescent="0.25">
      <c r="F874" s="19"/>
    </row>
    <row r="875" spans="6:6" ht="25.8" customHeight="1" x14ac:dyDescent="0.25">
      <c r="F875" s="19"/>
    </row>
    <row r="876" spans="6:6" ht="25.8" customHeight="1" x14ac:dyDescent="0.25">
      <c r="F876" s="19"/>
    </row>
    <row r="877" spans="6:6" ht="25.8" customHeight="1" x14ac:dyDescent="0.25">
      <c r="F877" s="19"/>
    </row>
    <row r="878" spans="6:6" ht="25.8" customHeight="1" x14ac:dyDescent="0.25">
      <c r="F878" s="19"/>
    </row>
    <row r="879" spans="6:6" ht="25.8" customHeight="1" x14ac:dyDescent="0.25">
      <c r="F879" s="19"/>
    </row>
    <row r="880" spans="6:6" ht="25.8" customHeight="1" x14ac:dyDescent="0.25">
      <c r="F880" s="19"/>
    </row>
    <row r="881" spans="6:6" ht="25.8" customHeight="1" x14ac:dyDescent="0.25">
      <c r="F881" s="19"/>
    </row>
    <row r="882" spans="6:6" ht="25.8" customHeight="1" x14ac:dyDescent="0.25">
      <c r="F882" s="19"/>
    </row>
    <row r="883" spans="6:6" ht="25.8" customHeight="1" x14ac:dyDescent="0.25">
      <c r="F883" s="19"/>
    </row>
    <row r="884" spans="6:6" ht="25.8" customHeight="1" x14ac:dyDescent="0.25">
      <c r="F884" s="19"/>
    </row>
    <row r="885" spans="6:6" ht="25.8" customHeight="1" x14ac:dyDescent="0.25">
      <c r="F885" s="19"/>
    </row>
    <row r="886" spans="6:6" ht="25.8" customHeight="1" x14ac:dyDescent="0.25">
      <c r="F886" s="19"/>
    </row>
    <row r="887" spans="6:6" ht="25.8" customHeight="1" x14ac:dyDescent="0.25">
      <c r="F887" s="19"/>
    </row>
    <row r="888" spans="6:6" ht="25.8" customHeight="1" x14ac:dyDescent="0.25">
      <c r="F888" s="19"/>
    </row>
    <row r="889" spans="6:6" ht="25.8" customHeight="1" x14ac:dyDescent="0.25">
      <c r="F889" s="19"/>
    </row>
    <row r="890" spans="6:6" ht="25.8" customHeight="1" x14ac:dyDescent="0.25">
      <c r="F890" s="19"/>
    </row>
    <row r="891" spans="6:6" ht="25.8" customHeight="1" x14ac:dyDescent="0.25">
      <c r="F891" s="19"/>
    </row>
    <row r="892" spans="6:6" ht="25.8" customHeight="1" x14ac:dyDescent="0.25">
      <c r="F892" s="19"/>
    </row>
    <row r="893" spans="6:6" ht="25.8" customHeight="1" x14ac:dyDescent="0.25">
      <c r="F893" s="19"/>
    </row>
    <row r="894" spans="6:6" ht="25.8" customHeight="1" x14ac:dyDescent="0.25">
      <c r="F894" s="19"/>
    </row>
    <row r="895" spans="6:6" ht="25.8" customHeight="1" x14ac:dyDescent="0.25">
      <c r="F895" s="19"/>
    </row>
    <row r="896" spans="6:6" ht="25.8" customHeight="1" x14ac:dyDescent="0.25">
      <c r="F896" s="19"/>
    </row>
    <row r="897" spans="6:6" ht="25.8" customHeight="1" x14ac:dyDescent="0.25">
      <c r="F897" s="19"/>
    </row>
    <row r="898" spans="6:6" ht="25.8" customHeight="1" x14ac:dyDescent="0.25">
      <c r="F898" s="19"/>
    </row>
    <row r="899" spans="6:6" ht="25.8" customHeight="1" x14ac:dyDescent="0.25">
      <c r="F899" s="19"/>
    </row>
    <row r="900" spans="6:6" ht="25.8" customHeight="1" x14ac:dyDescent="0.25">
      <c r="F900" s="19"/>
    </row>
    <row r="901" spans="6:6" ht="25.8" customHeight="1" x14ac:dyDescent="0.25">
      <c r="F901" s="19"/>
    </row>
    <row r="902" spans="6:6" ht="25.8" customHeight="1" x14ac:dyDescent="0.25">
      <c r="F902" s="19"/>
    </row>
    <row r="903" spans="6:6" ht="25.8" customHeight="1" x14ac:dyDescent="0.25">
      <c r="F903" s="19"/>
    </row>
    <row r="904" spans="6:6" ht="25.8" customHeight="1" x14ac:dyDescent="0.25">
      <c r="F904" s="19"/>
    </row>
    <row r="905" spans="6:6" ht="25.8" customHeight="1" x14ac:dyDescent="0.25">
      <c r="F905" s="19"/>
    </row>
    <row r="906" spans="6:6" ht="25.8" customHeight="1" x14ac:dyDescent="0.25">
      <c r="F906" s="19"/>
    </row>
    <row r="907" spans="6:6" ht="25.8" customHeight="1" x14ac:dyDescent="0.25">
      <c r="F907" s="19"/>
    </row>
    <row r="908" spans="6:6" ht="25.8" customHeight="1" x14ac:dyDescent="0.25">
      <c r="F908" s="19"/>
    </row>
    <row r="909" spans="6:6" ht="25.8" customHeight="1" x14ac:dyDescent="0.25">
      <c r="F909" s="19"/>
    </row>
    <row r="910" spans="6:6" ht="25.8" customHeight="1" x14ac:dyDescent="0.25">
      <c r="F910" s="19"/>
    </row>
    <row r="911" spans="6:6" ht="25.8" customHeight="1" x14ac:dyDescent="0.25">
      <c r="F911" s="19"/>
    </row>
    <row r="912" spans="6:6" ht="25.8" customHeight="1" x14ac:dyDescent="0.25">
      <c r="F912" s="19"/>
    </row>
    <row r="913" spans="6:6" ht="25.8" customHeight="1" x14ac:dyDescent="0.25">
      <c r="F913" s="19"/>
    </row>
    <row r="914" spans="6:6" ht="25.8" customHeight="1" x14ac:dyDescent="0.25">
      <c r="F914" s="19"/>
    </row>
    <row r="915" spans="6:6" ht="25.8" customHeight="1" x14ac:dyDescent="0.25">
      <c r="F915" s="19"/>
    </row>
    <row r="916" spans="6:6" ht="25.8" customHeight="1" x14ac:dyDescent="0.25">
      <c r="F916" s="19"/>
    </row>
    <row r="917" spans="6:6" ht="25.8" customHeight="1" x14ac:dyDescent="0.25">
      <c r="F917" s="19"/>
    </row>
    <row r="918" spans="6:6" ht="25.8" customHeight="1" x14ac:dyDescent="0.25">
      <c r="F918" s="19"/>
    </row>
    <row r="919" spans="6:6" ht="25.8" customHeight="1" x14ac:dyDescent="0.25">
      <c r="F919" s="19"/>
    </row>
    <row r="920" spans="6:6" ht="25.8" customHeight="1" x14ac:dyDescent="0.25">
      <c r="F920" s="19"/>
    </row>
    <row r="921" spans="6:6" ht="25.8" customHeight="1" x14ac:dyDescent="0.25">
      <c r="F921" s="19"/>
    </row>
    <row r="922" spans="6:6" ht="25.8" customHeight="1" x14ac:dyDescent="0.25">
      <c r="F922" s="19"/>
    </row>
    <row r="923" spans="6:6" ht="25.8" customHeight="1" x14ac:dyDescent="0.25">
      <c r="F923" s="19"/>
    </row>
    <row r="924" spans="6:6" ht="25.8" customHeight="1" x14ac:dyDescent="0.25">
      <c r="F924" s="19"/>
    </row>
    <row r="925" spans="6:6" ht="25.8" customHeight="1" x14ac:dyDescent="0.25">
      <c r="F925" s="19"/>
    </row>
    <row r="926" spans="6:6" ht="25.8" customHeight="1" x14ac:dyDescent="0.25">
      <c r="F926" s="19"/>
    </row>
    <row r="927" spans="6:6" ht="25.8" customHeight="1" x14ac:dyDescent="0.25">
      <c r="F927" s="19"/>
    </row>
    <row r="928" spans="6:6" ht="25.8" customHeight="1" x14ac:dyDescent="0.25">
      <c r="F928" s="19"/>
    </row>
    <row r="929" spans="6:6" ht="25.8" customHeight="1" x14ac:dyDescent="0.25">
      <c r="F929" s="19"/>
    </row>
    <row r="930" spans="6:6" ht="25.8" customHeight="1" x14ac:dyDescent="0.25">
      <c r="F930" s="19"/>
    </row>
    <row r="931" spans="6:6" ht="25.8" customHeight="1" x14ac:dyDescent="0.25">
      <c r="F931" s="19"/>
    </row>
    <row r="932" spans="6:6" ht="25.8" customHeight="1" x14ac:dyDescent="0.25">
      <c r="F932" s="19"/>
    </row>
    <row r="933" spans="6:6" ht="25.8" customHeight="1" x14ac:dyDescent="0.25">
      <c r="F933" s="19"/>
    </row>
    <row r="934" spans="6:6" ht="25.8" customHeight="1" x14ac:dyDescent="0.25">
      <c r="F934" s="19"/>
    </row>
    <row r="935" spans="6:6" ht="25.8" customHeight="1" x14ac:dyDescent="0.25">
      <c r="F935" s="19"/>
    </row>
    <row r="936" spans="6:6" ht="25.8" customHeight="1" x14ac:dyDescent="0.25">
      <c r="F936" s="19"/>
    </row>
    <row r="937" spans="6:6" ht="25.8" customHeight="1" x14ac:dyDescent="0.25">
      <c r="F937" s="19"/>
    </row>
    <row r="938" spans="6:6" ht="25.8" customHeight="1" x14ac:dyDescent="0.25">
      <c r="F938" s="19"/>
    </row>
    <row r="939" spans="6:6" ht="25.8" customHeight="1" x14ac:dyDescent="0.25">
      <c r="F939" s="19"/>
    </row>
    <row r="940" spans="6:6" ht="25.8" customHeight="1" x14ac:dyDescent="0.25">
      <c r="F940" s="19"/>
    </row>
    <row r="941" spans="6:6" ht="25.8" customHeight="1" x14ac:dyDescent="0.25">
      <c r="F941" s="19"/>
    </row>
    <row r="942" spans="6:6" ht="25.8" customHeight="1" x14ac:dyDescent="0.25">
      <c r="F942" s="19"/>
    </row>
    <row r="943" spans="6:6" ht="25.8" customHeight="1" x14ac:dyDescent="0.25">
      <c r="F943" s="19"/>
    </row>
    <row r="944" spans="6:6" ht="25.8" customHeight="1" x14ac:dyDescent="0.25">
      <c r="F944" s="19"/>
    </row>
    <row r="945" spans="6:6" ht="25.8" customHeight="1" x14ac:dyDescent="0.25">
      <c r="F945" s="19"/>
    </row>
    <row r="946" spans="6:6" ht="25.8" customHeight="1" x14ac:dyDescent="0.25">
      <c r="F946" s="19"/>
    </row>
    <row r="947" spans="6:6" ht="25.8" customHeight="1" x14ac:dyDescent="0.25">
      <c r="F947" s="19"/>
    </row>
    <row r="948" spans="6:6" ht="25.8" customHeight="1" x14ac:dyDescent="0.25">
      <c r="F948" s="19"/>
    </row>
    <row r="949" spans="6:6" ht="25.8" customHeight="1" x14ac:dyDescent="0.25">
      <c r="F949" s="19"/>
    </row>
    <row r="950" spans="6:6" ht="25.8" customHeight="1" x14ac:dyDescent="0.25">
      <c r="F950" s="19"/>
    </row>
    <row r="951" spans="6:6" ht="25.8" customHeight="1" x14ac:dyDescent="0.25">
      <c r="F951" s="19"/>
    </row>
    <row r="952" spans="6:6" ht="25.8" customHeight="1" x14ac:dyDescent="0.25">
      <c r="F952" s="19"/>
    </row>
    <row r="953" spans="6:6" ht="25.8" customHeight="1" x14ac:dyDescent="0.25">
      <c r="F953" s="19"/>
    </row>
    <row r="954" spans="6:6" ht="25.8" customHeight="1" x14ac:dyDescent="0.25">
      <c r="F954" s="19"/>
    </row>
    <row r="955" spans="6:6" ht="25.8" customHeight="1" x14ac:dyDescent="0.25">
      <c r="F955" s="19"/>
    </row>
    <row r="956" spans="6:6" ht="25.8" customHeight="1" x14ac:dyDescent="0.25">
      <c r="F956" s="19"/>
    </row>
    <row r="957" spans="6:6" ht="25.8" customHeight="1" x14ac:dyDescent="0.25">
      <c r="F957" s="19"/>
    </row>
    <row r="958" spans="6:6" ht="25.8" customHeight="1" x14ac:dyDescent="0.25">
      <c r="F958" s="19"/>
    </row>
    <row r="959" spans="6:6" ht="25.8" customHeight="1" x14ac:dyDescent="0.25">
      <c r="F959" s="19"/>
    </row>
    <row r="960" spans="6:6" ht="25.8" customHeight="1" x14ac:dyDescent="0.25">
      <c r="F960" s="19"/>
    </row>
    <row r="961" spans="6:6" ht="25.8" customHeight="1" x14ac:dyDescent="0.25">
      <c r="F961" s="19"/>
    </row>
    <row r="962" spans="6:6" ht="25.8" customHeight="1" x14ac:dyDescent="0.25">
      <c r="F962" s="19"/>
    </row>
    <row r="963" spans="6:6" ht="25.8" customHeight="1" x14ac:dyDescent="0.25">
      <c r="F963" s="19"/>
    </row>
    <row r="964" spans="6:6" ht="25.8" customHeight="1" x14ac:dyDescent="0.25">
      <c r="F964" s="19"/>
    </row>
    <row r="965" spans="6:6" ht="25.8" customHeight="1" x14ac:dyDescent="0.25">
      <c r="F965" s="19"/>
    </row>
    <row r="966" spans="6:6" ht="25.8" customHeight="1" x14ac:dyDescent="0.25">
      <c r="F966" s="19"/>
    </row>
    <row r="967" spans="6:6" ht="25.8" customHeight="1" x14ac:dyDescent="0.25">
      <c r="F967" s="19"/>
    </row>
    <row r="968" spans="6:6" ht="25.8" customHeight="1" x14ac:dyDescent="0.25">
      <c r="F968" s="19"/>
    </row>
    <row r="969" spans="6:6" ht="25.8" customHeight="1" x14ac:dyDescent="0.25">
      <c r="F969" s="19"/>
    </row>
    <row r="970" spans="6:6" ht="25.8" customHeight="1" x14ac:dyDescent="0.25">
      <c r="F970" s="19"/>
    </row>
    <row r="971" spans="6:6" ht="25.8" customHeight="1" x14ac:dyDescent="0.25">
      <c r="F971" s="19"/>
    </row>
    <row r="972" spans="6:6" ht="25.8" customHeight="1" x14ac:dyDescent="0.25">
      <c r="F972" s="19"/>
    </row>
    <row r="973" spans="6:6" ht="25.8" customHeight="1" x14ac:dyDescent="0.25">
      <c r="F973" s="19"/>
    </row>
    <row r="974" spans="6:6" ht="25.8" customHeight="1" x14ac:dyDescent="0.25">
      <c r="F974" s="19"/>
    </row>
    <row r="975" spans="6:6" ht="25.8" customHeight="1" x14ac:dyDescent="0.25">
      <c r="F975" s="19"/>
    </row>
    <row r="976" spans="6:6" ht="25.8" customHeight="1" x14ac:dyDescent="0.25">
      <c r="F976" s="19"/>
    </row>
    <row r="977" spans="6:6" ht="25.8" customHeight="1" x14ac:dyDescent="0.25">
      <c r="F977" s="19"/>
    </row>
    <row r="978" spans="6:6" ht="25.8" customHeight="1" x14ac:dyDescent="0.25">
      <c r="F978" s="19"/>
    </row>
    <row r="979" spans="6:6" ht="25.8" customHeight="1" x14ac:dyDescent="0.25">
      <c r="F979" s="19"/>
    </row>
    <row r="980" spans="6:6" ht="25.8" customHeight="1" x14ac:dyDescent="0.25">
      <c r="F980" s="19"/>
    </row>
    <row r="981" spans="6:6" ht="25.8" customHeight="1" x14ac:dyDescent="0.25">
      <c r="F981" s="19"/>
    </row>
    <row r="982" spans="6:6" ht="25.8" customHeight="1" x14ac:dyDescent="0.25">
      <c r="F982" s="19"/>
    </row>
    <row r="983" spans="6:6" ht="25.8" customHeight="1" x14ac:dyDescent="0.25">
      <c r="F983" s="19"/>
    </row>
    <row r="984" spans="6:6" ht="25.8" customHeight="1" x14ac:dyDescent="0.25">
      <c r="F984" s="19"/>
    </row>
    <row r="985" spans="6:6" ht="25.8" customHeight="1" x14ac:dyDescent="0.25">
      <c r="F985" s="19"/>
    </row>
    <row r="986" spans="6:6" ht="25.8" customHeight="1" x14ac:dyDescent="0.25">
      <c r="F986" s="19"/>
    </row>
    <row r="987" spans="6:6" ht="25.8" customHeight="1" x14ac:dyDescent="0.25">
      <c r="F987" s="19"/>
    </row>
    <row r="988" spans="6:6" ht="25.8" customHeight="1" x14ac:dyDescent="0.25">
      <c r="F988" s="19"/>
    </row>
    <row r="989" spans="6:6" ht="25.8" customHeight="1" x14ac:dyDescent="0.25">
      <c r="F989" s="19"/>
    </row>
    <row r="990" spans="6:6" ht="25.8" customHeight="1" x14ac:dyDescent="0.25">
      <c r="F990" s="19"/>
    </row>
    <row r="991" spans="6:6" ht="25.8" customHeight="1" x14ac:dyDescent="0.25">
      <c r="F991" s="19"/>
    </row>
    <row r="992" spans="6:6" ht="25.8" customHeight="1" x14ac:dyDescent="0.25">
      <c r="F992" s="19"/>
    </row>
    <row r="993" spans="6:6" ht="25.8" customHeight="1" x14ac:dyDescent="0.25">
      <c r="F993" s="19"/>
    </row>
    <row r="994" spans="6:6" ht="25.8" customHeight="1" x14ac:dyDescent="0.25">
      <c r="F994" s="19"/>
    </row>
    <row r="995" spans="6:6" ht="25.8" customHeight="1" x14ac:dyDescent="0.25">
      <c r="F995" s="19"/>
    </row>
    <row r="996" spans="6:6" ht="25.8" customHeight="1" x14ac:dyDescent="0.25">
      <c r="F996" s="19"/>
    </row>
    <row r="997" spans="6:6" ht="25.8" customHeight="1" x14ac:dyDescent="0.25">
      <c r="F997" s="19"/>
    </row>
    <row r="998" spans="6:6" ht="25.8" customHeight="1" x14ac:dyDescent="0.25">
      <c r="F998" s="19"/>
    </row>
    <row r="999" spans="6:6" ht="25.8" customHeight="1" x14ac:dyDescent="0.25">
      <c r="F999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8"/>
  <sheetViews>
    <sheetView workbookViewId="0">
      <pane xSplit="1" topLeftCell="B1" activePane="topRight" state="frozen"/>
      <selection pane="topRight" activeCell="D8" sqref="D8"/>
    </sheetView>
  </sheetViews>
  <sheetFormatPr defaultColWidth="12.6640625" defaultRowHeight="24.6" customHeight="1" x14ac:dyDescent="0.25"/>
  <cols>
    <col min="1" max="2" width="16.88671875" customWidth="1"/>
    <col min="3" max="3" width="11" bestFit="1" customWidth="1"/>
    <col min="4" max="4" width="11.5546875" bestFit="1" customWidth="1"/>
    <col min="5" max="5" width="10.21875" bestFit="1" customWidth="1"/>
    <col min="6" max="6" width="17" bestFit="1" customWidth="1"/>
    <col min="7" max="7" width="16.33203125" bestFit="1" customWidth="1"/>
    <col min="8" max="8" width="23.44140625" bestFit="1" customWidth="1"/>
    <col min="9" max="9" width="29.21875" bestFit="1" customWidth="1"/>
    <col min="10" max="10" width="15.109375" bestFit="1" customWidth="1"/>
    <col min="11" max="11" width="8.109375" bestFit="1" customWidth="1"/>
  </cols>
  <sheetData>
    <row r="1" spans="1:11" ht="24.6" customHeight="1" x14ac:dyDescent="0.25">
      <c r="F1" s="19"/>
    </row>
    <row r="2" spans="1:11" ht="24.6" customHeight="1" x14ac:dyDescent="0.25">
      <c r="B2" s="10" t="s">
        <v>64</v>
      </c>
      <c r="C2" s="10" t="s">
        <v>65</v>
      </c>
      <c r="D2" s="10" t="s">
        <v>66</v>
      </c>
      <c r="F2" s="19"/>
    </row>
    <row r="3" spans="1:11" ht="24.6" customHeight="1" x14ac:dyDescent="0.25">
      <c r="B3" s="24">
        <v>45112</v>
      </c>
      <c r="C3" s="10" t="str">
        <f>TEXT(B3,"DDDDD")</f>
        <v>Wednesday</v>
      </c>
      <c r="D3" s="23">
        <v>0.375</v>
      </c>
      <c r="F3" s="19"/>
    </row>
    <row r="4" spans="1:11" ht="24.6" customHeight="1" x14ac:dyDescent="0.25">
      <c r="F4" s="19"/>
    </row>
    <row r="5" spans="1:11" ht="24.6" customHeight="1" x14ac:dyDescent="0.25">
      <c r="A5" s="10" t="s">
        <v>7</v>
      </c>
      <c r="B5" s="10">
        <v>82.125</v>
      </c>
      <c r="C5" s="10" t="s">
        <v>8</v>
      </c>
      <c r="D5" s="25">
        <v>82.165000000000006</v>
      </c>
      <c r="F5" s="19"/>
    </row>
    <row r="6" spans="1:11" ht="24.6" customHeight="1" x14ac:dyDescent="0.25">
      <c r="F6" s="19"/>
    </row>
    <row r="7" spans="1:11" ht="24.6" customHeight="1" x14ac:dyDescent="0.25">
      <c r="F7" s="19"/>
    </row>
    <row r="8" spans="1:11" ht="24.6" customHeight="1" x14ac:dyDescent="0.25">
      <c r="A8" s="10" t="s">
        <v>51</v>
      </c>
      <c r="B8" s="10" t="s">
        <v>67</v>
      </c>
      <c r="C8" s="10" t="s">
        <v>52</v>
      </c>
      <c r="D8" s="10" t="s">
        <v>54</v>
      </c>
      <c r="E8" s="10" t="s">
        <v>55</v>
      </c>
      <c r="F8" s="19" t="s">
        <v>68</v>
      </c>
      <c r="G8" s="10" t="s">
        <v>9</v>
      </c>
    </row>
    <row r="9" spans="1:11" ht="24.6" customHeight="1" x14ac:dyDescent="0.25">
      <c r="A9" s="26">
        <v>45112</v>
      </c>
      <c r="B9" s="10" t="str">
        <f t="shared" ref="B9:B15" si="0">TEXT(A9,"dddd")</f>
        <v>Wednesday</v>
      </c>
      <c r="C9" s="10" t="s">
        <v>53</v>
      </c>
      <c r="D9" s="10" t="s">
        <v>8</v>
      </c>
      <c r="E9" s="25">
        <v>82.165000000000006</v>
      </c>
      <c r="F9" s="19" t="s">
        <v>69</v>
      </c>
    </row>
    <row r="10" spans="1:11" ht="24.6" customHeight="1" x14ac:dyDescent="0.25">
      <c r="A10" s="26">
        <v>45113</v>
      </c>
      <c r="B10" s="10" t="str">
        <f t="shared" si="0"/>
        <v>Thursday</v>
      </c>
      <c r="C10" s="10" t="s">
        <v>53</v>
      </c>
      <c r="D10" s="10" t="s">
        <v>8</v>
      </c>
      <c r="E10" s="25">
        <v>82.165000000000006</v>
      </c>
      <c r="F10" s="19" t="s">
        <v>20</v>
      </c>
    </row>
    <row r="11" spans="1:11" ht="24.6" customHeight="1" x14ac:dyDescent="0.25">
      <c r="A11" s="26">
        <v>45114</v>
      </c>
      <c r="B11" s="10" t="str">
        <f t="shared" si="0"/>
        <v>Friday</v>
      </c>
      <c r="C11" s="10" t="s">
        <v>53</v>
      </c>
      <c r="D11" s="10" t="s">
        <v>8</v>
      </c>
      <c r="E11" s="25">
        <v>82.165000000000006</v>
      </c>
      <c r="F11" s="19" t="s">
        <v>70</v>
      </c>
    </row>
    <row r="12" spans="1:11" ht="24.6" customHeight="1" x14ac:dyDescent="0.25">
      <c r="A12" s="26">
        <v>45115</v>
      </c>
      <c r="B12" s="10" t="str">
        <f t="shared" si="0"/>
        <v>Saturday</v>
      </c>
      <c r="F12" s="19"/>
    </row>
    <row r="13" spans="1:11" ht="24.6" customHeight="1" x14ac:dyDescent="0.25">
      <c r="A13" s="26">
        <v>45116</v>
      </c>
      <c r="B13" s="10" t="str">
        <f t="shared" si="0"/>
        <v>Sunday</v>
      </c>
      <c r="F13" s="19"/>
    </row>
    <row r="14" spans="1:11" ht="24.6" customHeight="1" x14ac:dyDescent="0.25">
      <c r="A14" s="26">
        <v>45117</v>
      </c>
      <c r="B14" s="10" t="str">
        <f t="shared" si="0"/>
        <v>Monday</v>
      </c>
      <c r="C14" s="10" t="s">
        <v>53</v>
      </c>
      <c r="D14" s="10" t="s">
        <v>8</v>
      </c>
      <c r="E14" s="25">
        <v>82.165000000000006</v>
      </c>
      <c r="F14" s="19" t="s">
        <v>70</v>
      </c>
      <c r="G14" s="10" t="s">
        <v>9</v>
      </c>
      <c r="H14" s="10" t="s">
        <v>4</v>
      </c>
      <c r="I14" s="10" t="s">
        <v>47</v>
      </c>
      <c r="J14" s="10" t="s">
        <v>44</v>
      </c>
      <c r="K14" s="10" t="s">
        <v>71</v>
      </c>
    </row>
    <row r="15" spans="1:11" ht="24.6" customHeight="1" x14ac:dyDescent="0.25">
      <c r="A15" s="26">
        <v>45118</v>
      </c>
      <c r="B15" s="10" t="str">
        <f t="shared" si="0"/>
        <v>Tuesday</v>
      </c>
      <c r="F15" s="19"/>
      <c r="G15" s="25">
        <v>82.6</v>
      </c>
      <c r="H15" s="23">
        <v>0.375</v>
      </c>
      <c r="I15" s="23">
        <v>0.37847222222222221</v>
      </c>
      <c r="J15" s="23">
        <v>0.37847222222222221</v>
      </c>
    </row>
    <row r="16" spans="1:11" ht="24.6" customHeight="1" x14ac:dyDescent="0.25">
      <c r="A16" s="26"/>
      <c r="F16" s="19"/>
      <c r="I16" s="10">
        <v>82.557500000000005</v>
      </c>
      <c r="J16" s="10">
        <v>82.557500000000005</v>
      </c>
    </row>
    <row r="17" spans="1:11" ht="24.6" customHeight="1" x14ac:dyDescent="0.25">
      <c r="A17" s="26"/>
      <c r="F17" s="19"/>
      <c r="I17" s="10" t="s">
        <v>72</v>
      </c>
      <c r="J17" s="10" t="s">
        <v>72</v>
      </c>
    </row>
    <row r="18" spans="1:11" ht="24.6" customHeight="1" x14ac:dyDescent="0.25">
      <c r="A18" s="26"/>
      <c r="F18" s="19"/>
      <c r="I18" s="25">
        <v>82.45</v>
      </c>
      <c r="J18" s="25">
        <v>82.45</v>
      </c>
    </row>
    <row r="19" spans="1:11" ht="24.6" customHeight="1" x14ac:dyDescent="0.25">
      <c r="A19" s="26"/>
      <c r="F19" s="19"/>
      <c r="I19" s="10" t="s">
        <v>73</v>
      </c>
      <c r="J19" s="10" t="s">
        <v>74</v>
      </c>
    </row>
    <row r="20" spans="1:11" ht="24.6" customHeight="1" x14ac:dyDescent="0.25">
      <c r="A20" s="26"/>
      <c r="F20" s="19"/>
      <c r="G20" s="10" t="s">
        <v>75</v>
      </c>
      <c r="I20" s="23">
        <v>0.38541666666666669</v>
      </c>
      <c r="J20" s="23">
        <v>0.38541666666666669</v>
      </c>
    </row>
    <row r="21" spans="1:11" ht="24.6" customHeight="1" x14ac:dyDescent="0.25">
      <c r="A21" s="26"/>
      <c r="F21" s="19"/>
      <c r="G21" s="10" t="s">
        <v>76</v>
      </c>
      <c r="I21" s="27" t="s">
        <v>77</v>
      </c>
      <c r="J21" s="28"/>
    </row>
    <row r="22" spans="1:11" ht="24.6" customHeight="1" x14ac:dyDescent="0.25">
      <c r="A22" s="26"/>
      <c r="F22" s="19"/>
      <c r="I22" s="27" t="s">
        <v>78</v>
      </c>
      <c r="J22" s="28"/>
    </row>
    <row r="23" spans="1:11" ht="24.6" customHeight="1" x14ac:dyDescent="0.25">
      <c r="A23" s="26">
        <v>45118</v>
      </c>
      <c r="B23" s="10" t="str">
        <f>TEXT(A23,"dddd")</f>
        <v>Tuesday</v>
      </c>
      <c r="C23" s="10" t="s">
        <v>53</v>
      </c>
      <c r="D23" s="10" t="s">
        <v>10</v>
      </c>
      <c r="E23" s="10">
        <v>82.402500000000003</v>
      </c>
      <c r="F23" s="19" t="s">
        <v>69</v>
      </c>
      <c r="I23" s="10" t="s">
        <v>47</v>
      </c>
      <c r="J23" s="10" t="s">
        <v>44</v>
      </c>
    </row>
    <row r="24" spans="1:11" ht="24.6" customHeight="1" x14ac:dyDescent="0.25">
      <c r="B24" s="10" t="s">
        <v>79</v>
      </c>
      <c r="F24" s="19"/>
      <c r="I24" s="10">
        <v>82.402500000000003</v>
      </c>
      <c r="J24" s="10">
        <v>82.402500000000003</v>
      </c>
    </row>
    <row r="25" spans="1:11" ht="24.6" customHeight="1" x14ac:dyDescent="0.25">
      <c r="F25" s="19"/>
      <c r="H25" s="10" t="s">
        <v>80</v>
      </c>
      <c r="I25" s="10" t="s">
        <v>81</v>
      </c>
      <c r="J25" s="10" t="s">
        <v>82</v>
      </c>
    </row>
    <row r="26" spans="1:11" ht="24.6" customHeight="1" x14ac:dyDescent="0.25">
      <c r="F26" s="19"/>
      <c r="H26" s="10" t="s">
        <v>83</v>
      </c>
      <c r="I26" s="10" t="s">
        <v>84</v>
      </c>
    </row>
    <row r="27" spans="1:11" ht="24.6" customHeight="1" x14ac:dyDescent="0.25">
      <c r="F27" s="19"/>
      <c r="I27" s="10" t="s">
        <v>85</v>
      </c>
    </row>
    <row r="28" spans="1:11" ht="24.6" customHeight="1" x14ac:dyDescent="0.25">
      <c r="F28" s="19"/>
      <c r="I28" s="10" t="s">
        <v>86</v>
      </c>
    </row>
    <row r="29" spans="1:11" ht="24.6" customHeight="1" x14ac:dyDescent="0.25">
      <c r="F29" s="19"/>
      <c r="I29" s="10" t="s">
        <v>87</v>
      </c>
      <c r="K29" s="10" t="s">
        <v>88</v>
      </c>
    </row>
    <row r="30" spans="1:11" ht="24.6" customHeight="1" x14ac:dyDescent="0.25">
      <c r="F30" s="19"/>
      <c r="H30" s="10" t="s">
        <v>89</v>
      </c>
    </row>
    <row r="31" spans="1:11" ht="24.6" customHeight="1" x14ac:dyDescent="0.25">
      <c r="F31" s="19"/>
      <c r="I31" s="10" t="s">
        <v>90</v>
      </c>
    </row>
    <row r="32" spans="1:11" ht="24.6" customHeight="1" x14ac:dyDescent="0.25">
      <c r="F32" s="19"/>
    </row>
    <row r="33" spans="1:6" ht="24.6" customHeight="1" x14ac:dyDescent="0.25">
      <c r="A33" s="26">
        <v>45119</v>
      </c>
      <c r="B33" s="10" t="str">
        <f t="shared" ref="B33:B36" si="1">TEXT(A33,"dddd")</f>
        <v>Wednesday</v>
      </c>
      <c r="C33" s="10" t="s">
        <v>53</v>
      </c>
      <c r="D33" s="10" t="s">
        <v>10</v>
      </c>
      <c r="E33" s="10">
        <v>82.402500000000003</v>
      </c>
      <c r="F33" s="19" t="s">
        <v>69</v>
      </c>
    </row>
    <row r="34" spans="1:6" ht="24.6" customHeight="1" x14ac:dyDescent="0.25">
      <c r="A34" s="26">
        <v>45120</v>
      </c>
      <c r="B34" s="10" t="str">
        <f t="shared" si="1"/>
        <v>Thursday</v>
      </c>
      <c r="C34" s="10" t="s">
        <v>53</v>
      </c>
      <c r="D34" s="10" t="s">
        <v>10</v>
      </c>
      <c r="E34" s="10">
        <v>82.402500000000003</v>
      </c>
      <c r="F34" s="19" t="s">
        <v>20</v>
      </c>
    </row>
    <row r="35" spans="1:6" ht="24.6" customHeight="1" x14ac:dyDescent="0.25">
      <c r="A35" s="26">
        <v>45121</v>
      </c>
      <c r="B35" s="10" t="str">
        <f t="shared" si="1"/>
        <v>Friday</v>
      </c>
      <c r="F35" s="19"/>
    </row>
    <row r="36" spans="1:6" ht="24.6" customHeight="1" x14ac:dyDescent="0.25">
      <c r="A36" s="26">
        <v>45122</v>
      </c>
      <c r="B36" s="10" t="str">
        <f t="shared" si="1"/>
        <v>Saturday</v>
      </c>
      <c r="F36" s="19"/>
    </row>
    <row r="37" spans="1:6" ht="24.6" customHeight="1" x14ac:dyDescent="0.25">
      <c r="F37" s="19"/>
    </row>
    <row r="38" spans="1:6" ht="24.6" customHeight="1" x14ac:dyDescent="0.25">
      <c r="F38" s="19"/>
    </row>
    <row r="39" spans="1:6" ht="24.6" customHeight="1" x14ac:dyDescent="0.25">
      <c r="F39" s="19"/>
    </row>
    <row r="40" spans="1:6" ht="24.6" customHeight="1" x14ac:dyDescent="0.25">
      <c r="F40" s="19"/>
    </row>
    <row r="41" spans="1:6" ht="24.6" customHeight="1" x14ac:dyDescent="0.25">
      <c r="F41" s="19"/>
    </row>
    <row r="42" spans="1:6" ht="24.6" customHeight="1" x14ac:dyDescent="0.25">
      <c r="F42" s="19"/>
    </row>
    <row r="43" spans="1:6" ht="24.6" customHeight="1" x14ac:dyDescent="0.25">
      <c r="F43" s="19"/>
    </row>
    <row r="44" spans="1:6" ht="24.6" customHeight="1" x14ac:dyDescent="0.25">
      <c r="F44" s="19"/>
    </row>
    <row r="45" spans="1:6" ht="24.6" customHeight="1" x14ac:dyDescent="0.25">
      <c r="F45" s="19"/>
    </row>
    <row r="46" spans="1:6" ht="24.6" customHeight="1" x14ac:dyDescent="0.25">
      <c r="F46" s="19"/>
    </row>
    <row r="47" spans="1:6" ht="24.6" customHeight="1" x14ac:dyDescent="0.25">
      <c r="F47" s="19"/>
    </row>
    <row r="48" spans="1:6" ht="24.6" customHeight="1" x14ac:dyDescent="0.25">
      <c r="F48" s="19"/>
    </row>
    <row r="49" spans="6:6" ht="24.6" customHeight="1" x14ac:dyDescent="0.25">
      <c r="F49" s="19"/>
    </row>
    <row r="50" spans="6:6" ht="24.6" customHeight="1" x14ac:dyDescent="0.25">
      <c r="F50" s="19"/>
    </row>
    <row r="51" spans="6:6" ht="24.6" customHeight="1" x14ac:dyDescent="0.25">
      <c r="F51" s="19"/>
    </row>
    <row r="52" spans="6:6" ht="24.6" customHeight="1" x14ac:dyDescent="0.25">
      <c r="F52" s="19"/>
    </row>
    <row r="53" spans="6:6" ht="24.6" customHeight="1" x14ac:dyDescent="0.25">
      <c r="F53" s="19"/>
    </row>
    <row r="54" spans="6:6" ht="24.6" customHeight="1" x14ac:dyDescent="0.25">
      <c r="F54" s="19"/>
    </row>
    <row r="55" spans="6:6" ht="24.6" customHeight="1" x14ac:dyDescent="0.25">
      <c r="F55" s="19"/>
    </row>
    <row r="56" spans="6:6" ht="24.6" customHeight="1" x14ac:dyDescent="0.25">
      <c r="F56" s="19"/>
    </row>
    <row r="57" spans="6:6" ht="24.6" customHeight="1" x14ac:dyDescent="0.25">
      <c r="F57" s="19"/>
    </row>
    <row r="58" spans="6:6" ht="24.6" customHeight="1" x14ac:dyDescent="0.25">
      <c r="F58" s="19"/>
    </row>
    <row r="59" spans="6:6" ht="24.6" customHeight="1" x14ac:dyDescent="0.25">
      <c r="F59" s="19"/>
    </row>
    <row r="60" spans="6:6" ht="24.6" customHeight="1" x14ac:dyDescent="0.25">
      <c r="F60" s="19"/>
    </row>
    <row r="61" spans="6:6" ht="24.6" customHeight="1" x14ac:dyDescent="0.25">
      <c r="F61" s="19"/>
    </row>
    <row r="62" spans="6:6" ht="24.6" customHeight="1" x14ac:dyDescent="0.25">
      <c r="F62" s="19"/>
    </row>
    <row r="63" spans="6:6" ht="24.6" customHeight="1" x14ac:dyDescent="0.25">
      <c r="F63" s="19"/>
    </row>
    <row r="64" spans="6:6" ht="24.6" customHeight="1" x14ac:dyDescent="0.25">
      <c r="F64" s="19"/>
    </row>
    <row r="65" spans="6:6" ht="24.6" customHeight="1" x14ac:dyDescent="0.25">
      <c r="F65" s="19"/>
    </row>
    <row r="66" spans="6:6" ht="24.6" customHeight="1" x14ac:dyDescent="0.25">
      <c r="F66" s="19"/>
    </row>
    <row r="67" spans="6:6" ht="24.6" customHeight="1" x14ac:dyDescent="0.25">
      <c r="F67" s="19"/>
    </row>
    <row r="68" spans="6:6" ht="24.6" customHeight="1" x14ac:dyDescent="0.25">
      <c r="F68" s="19"/>
    </row>
    <row r="69" spans="6:6" ht="24.6" customHeight="1" x14ac:dyDescent="0.25">
      <c r="F69" s="19"/>
    </row>
    <row r="70" spans="6:6" ht="24.6" customHeight="1" x14ac:dyDescent="0.25">
      <c r="F70" s="19"/>
    </row>
    <row r="71" spans="6:6" ht="24.6" customHeight="1" x14ac:dyDescent="0.25">
      <c r="F71" s="19"/>
    </row>
    <row r="72" spans="6:6" ht="24.6" customHeight="1" x14ac:dyDescent="0.25">
      <c r="F72" s="19"/>
    </row>
    <row r="73" spans="6:6" ht="24.6" customHeight="1" x14ac:dyDescent="0.25">
      <c r="F73" s="19"/>
    </row>
    <row r="74" spans="6:6" ht="24.6" customHeight="1" x14ac:dyDescent="0.25">
      <c r="F74" s="19"/>
    </row>
    <row r="75" spans="6:6" ht="24.6" customHeight="1" x14ac:dyDescent="0.25">
      <c r="F75" s="19"/>
    </row>
    <row r="76" spans="6:6" ht="24.6" customHeight="1" x14ac:dyDescent="0.25">
      <c r="F76" s="19"/>
    </row>
    <row r="77" spans="6:6" ht="24.6" customHeight="1" x14ac:dyDescent="0.25">
      <c r="F77" s="19"/>
    </row>
    <row r="78" spans="6:6" ht="24.6" customHeight="1" x14ac:dyDescent="0.25">
      <c r="F78" s="19"/>
    </row>
    <row r="79" spans="6:6" ht="24.6" customHeight="1" x14ac:dyDescent="0.25">
      <c r="F79" s="19"/>
    </row>
    <row r="80" spans="6:6" ht="24.6" customHeight="1" x14ac:dyDescent="0.25">
      <c r="F80" s="19"/>
    </row>
    <row r="81" spans="6:6" ht="24.6" customHeight="1" x14ac:dyDescent="0.25">
      <c r="F81" s="19"/>
    </row>
    <row r="82" spans="6:6" ht="24.6" customHeight="1" x14ac:dyDescent="0.25">
      <c r="F82" s="19"/>
    </row>
    <row r="83" spans="6:6" ht="24.6" customHeight="1" x14ac:dyDescent="0.25">
      <c r="F83" s="19"/>
    </row>
    <row r="84" spans="6:6" ht="24.6" customHeight="1" x14ac:dyDescent="0.25">
      <c r="F84" s="19"/>
    </row>
    <row r="85" spans="6:6" ht="24.6" customHeight="1" x14ac:dyDescent="0.25">
      <c r="F85" s="19"/>
    </row>
    <row r="86" spans="6:6" ht="24.6" customHeight="1" x14ac:dyDescent="0.25">
      <c r="F86" s="19"/>
    </row>
    <row r="87" spans="6:6" ht="24.6" customHeight="1" x14ac:dyDescent="0.25">
      <c r="F87" s="19"/>
    </row>
    <row r="88" spans="6:6" ht="24.6" customHeight="1" x14ac:dyDescent="0.25">
      <c r="F88" s="19"/>
    </row>
    <row r="89" spans="6:6" ht="24.6" customHeight="1" x14ac:dyDescent="0.25">
      <c r="F89" s="19"/>
    </row>
    <row r="90" spans="6:6" ht="24.6" customHeight="1" x14ac:dyDescent="0.25">
      <c r="F90" s="19"/>
    </row>
    <row r="91" spans="6:6" ht="24.6" customHeight="1" x14ac:dyDescent="0.25">
      <c r="F91" s="19"/>
    </row>
    <row r="92" spans="6:6" ht="24.6" customHeight="1" x14ac:dyDescent="0.25">
      <c r="F92" s="19"/>
    </row>
    <row r="93" spans="6:6" ht="24.6" customHeight="1" x14ac:dyDescent="0.25">
      <c r="F93" s="19"/>
    </row>
    <row r="94" spans="6:6" ht="24.6" customHeight="1" x14ac:dyDescent="0.25">
      <c r="F94" s="19"/>
    </row>
    <row r="95" spans="6:6" ht="24.6" customHeight="1" x14ac:dyDescent="0.25">
      <c r="F95" s="19"/>
    </row>
    <row r="96" spans="6:6" ht="24.6" customHeight="1" x14ac:dyDescent="0.25">
      <c r="F96" s="19"/>
    </row>
    <row r="97" spans="6:6" ht="24.6" customHeight="1" x14ac:dyDescent="0.25">
      <c r="F97" s="19"/>
    </row>
    <row r="98" spans="6:6" ht="24.6" customHeight="1" x14ac:dyDescent="0.25">
      <c r="F98" s="19"/>
    </row>
    <row r="99" spans="6:6" ht="24.6" customHeight="1" x14ac:dyDescent="0.25">
      <c r="F99" s="19"/>
    </row>
    <row r="100" spans="6:6" ht="24.6" customHeight="1" x14ac:dyDescent="0.25">
      <c r="F100" s="19"/>
    </row>
    <row r="101" spans="6:6" ht="24.6" customHeight="1" x14ac:dyDescent="0.25">
      <c r="F101" s="19"/>
    </row>
    <row r="102" spans="6:6" ht="24.6" customHeight="1" x14ac:dyDescent="0.25">
      <c r="F102" s="19"/>
    </row>
    <row r="103" spans="6:6" ht="24.6" customHeight="1" x14ac:dyDescent="0.25">
      <c r="F103" s="19"/>
    </row>
    <row r="104" spans="6:6" ht="24.6" customHeight="1" x14ac:dyDescent="0.25">
      <c r="F104" s="19"/>
    </row>
    <row r="105" spans="6:6" ht="24.6" customHeight="1" x14ac:dyDescent="0.25">
      <c r="F105" s="19"/>
    </row>
    <row r="106" spans="6:6" ht="24.6" customHeight="1" x14ac:dyDescent="0.25">
      <c r="F106" s="19"/>
    </row>
    <row r="107" spans="6:6" ht="24.6" customHeight="1" x14ac:dyDescent="0.25">
      <c r="F107" s="19"/>
    </row>
    <row r="108" spans="6:6" ht="24.6" customHeight="1" x14ac:dyDescent="0.25">
      <c r="F108" s="19"/>
    </row>
    <row r="109" spans="6:6" ht="24.6" customHeight="1" x14ac:dyDescent="0.25">
      <c r="F109" s="19"/>
    </row>
    <row r="110" spans="6:6" ht="24.6" customHeight="1" x14ac:dyDescent="0.25">
      <c r="F110" s="19"/>
    </row>
    <row r="111" spans="6:6" ht="24.6" customHeight="1" x14ac:dyDescent="0.25">
      <c r="F111" s="19"/>
    </row>
    <row r="112" spans="6:6" ht="24.6" customHeight="1" x14ac:dyDescent="0.25">
      <c r="F112" s="19"/>
    </row>
    <row r="113" spans="6:6" ht="24.6" customHeight="1" x14ac:dyDescent="0.25">
      <c r="F113" s="19"/>
    </row>
    <row r="114" spans="6:6" ht="24.6" customHeight="1" x14ac:dyDescent="0.25">
      <c r="F114" s="19"/>
    </row>
    <row r="115" spans="6:6" ht="24.6" customHeight="1" x14ac:dyDescent="0.25">
      <c r="F115" s="19"/>
    </row>
    <row r="116" spans="6:6" ht="24.6" customHeight="1" x14ac:dyDescent="0.25">
      <c r="F116" s="19"/>
    </row>
    <row r="117" spans="6:6" ht="24.6" customHeight="1" x14ac:dyDescent="0.25">
      <c r="F117" s="19"/>
    </row>
    <row r="118" spans="6:6" ht="24.6" customHeight="1" x14ac:dyDescent="0.25">
      <c r="F118" s="19"/>
    </row>
    <row r="119" spans="6:6" ht="24.6" customHeight="1" x14ac:dyDescent="0.25">
      <c r="F119" s="19"/>
    </row>
    <row r="120" spans="6:6" ht="24.6" customHeight="1" x14ac:dyDescent="0.25">
      <c r="F120" s="19"/>
    </row>
    <row r="121" spans="6:6" ht="24.6" customHeight="1" x14ac:dyDescent="0.25">
      <c r="F121" s="19"/>
    </row>
    <row r="122" spans="6:6" ht="24.6" customHeight="1" x14ac:dyDescent="0.25">
      <c r="F122" s="19"/>
    </row>
    <row r="123" spans="6:6" ht="24.6" customHeight="1" x14ac:dyDescent="0.25">
      <c r="F123" s="19"/>
    </row>
    <row r="124" spans="6:6" ht="24.6" customHeight="1" x14ac:dyDescent="0.25">
      <c r="F124" s="19"/>
    </row>
    <row r="125" spans="6:6" ht="24.6" customHeight="1" x14ac:dyDescent="0.25">
      <c r="F125" s="19"/>
    </row>
    <row r="126" spans="6:6" ht="24.6" customHeight="1" x14ac:dyDescent="0.25">
      <c r="F126" s="19"/>
    </row>
    <row r="127" spans="6:6" ht="24.6" customHeight="1" x14ac:dyDescent="0.25">
      <c r="F127" s="19"/>
    </row>
    <row r="128" spans="6:6" ht="24.6" customHeight="1" x14ac:dyDescent="0.25">
      <c r="F128" s="19"/>
    </row>
    <row r="129" spans="6:6" ht="24.6" customHeight="1" x14ac:dyDescent="0.25">
      <c r="F129" s="19"/>
    </row>
    <row r="130" spans="6:6" ht="24.6" customHeight="1" x14ac:dyDescent="0.25">
      <c r="F130" s="19"/>
    </row>
    <row r="131" spans="6:6" ht="24.6" customHeight="1" x14ac:dyDescent="0.25">
      <c r="F131" s="19"/>
    </row>
    <row r="132" spans="6:6" ht="24.6" customHeight="1" x14ac:dyDescent="0.25">
      <c r="F132" s="19"/>
    </row>
    <row r="133" spans="6:6" ht="24.6" customHeight="1" x14ac:dyDescent="0.25">
      <c r="F133" s="19"/>
    </row>
    <row r="134" spans="6:6" ht="24.6" customHeight="1" x14ac:dyDescent="0.25">
      <c r="F134" s="19"/>
    </row>
    <row r="135" spans="6:6" ht="24.6" customHeight="1" x14ac:dyDescent="0.25">
      <c r="F135" s="19"/>
    </row>
    <row r="136" spans="6:6" ht="24.6" customHeight="1" x14ac:dyDescent="0.25">
      <c r="F136" s="19"/>
    </row>
    <row r="137" spans="6:6" ht="24.6" customHeight="1" x14ac:dyDescent="0.25">
      <c r="F137" s="19"/>
    </row>
    <row r="138" spans="6:6" ht="24.6" customHeight="1" x14ac:dyDescent="0.25">
      <c r="F138" s="19"/>
    </row>
    <row r="139" spans="6:6" ht="24.6" customHeight="1" x14ac:dyDescent="0.25">
      <c r="F139" s="19"/>
    </row>
    <row r="140" spans="6:6" ht="24.6" customHeight="1" x14ac:dyDescent="0.25">
      <c r="F140" s="19"/>
    </row>
    <row r="141" spans="6:6" ht="24.6" customHeight="1" x14ac:dyDescent="0.25">
      <c r="F141" s="19"/>
    </row>
    <row r="142" spans="6:6" ht="24.6" customHeight="1" x14ac:dyDescent="0.25">
      <c r="F142" s="19"/>
    </row>
    <row r="143" spans="6:6" ht="24.6" customHeight="1" x14ac:dyDescent="0.25">
      <c r="F143" s="19"/>
    </row>
    <row r="144" spans="6:6" ht="24.6" customHeight="1" x14ac:dyDescent="0.25">
      <c r="F144" s="19"/>
    </row>
    <row r="145" spans="6:6" ht="24.6" customHeight="1" x14ac:dyDescent="0.25">
      <c r="F145" s="19"/>
    </row>
    <row r="146" spans="6:6" ht="24.6" customHeight="1" x14ac:dyDescent="0.25">
      <c r="F146" s="19"/>
    </row>
    <row r="147" spans="6:6" ht="24.6" customHeight="1" x14ac:dyDescent="0.25">
      <c r="F147" s="19"/>
    </row>
    <row r="148" spans="6:6" ht="24.6" customHeight="1" x14ac:dyDescent="0.25">
      <c r="F148" s="19"/>
    </row>
    <row r="149" spans="6:6" ht="24.6" customHeight="1" x14ac:dyDescent="0.25">
      <c r="F149" s="19"/>
    </row>
    <row r="150" spans="6:6" ht="24.6" customHeight="1" x14ac:dyDescent="0.25">
      <c r="F150" s="19"/>
    </row>
    <row r="151" spans="6:6" ht="24.6" customHeight="1" x14ac:dyDescent="0.25">
      <c r="F151" s="19"/>
    </row>
    <row r="152" spans="6:6" ht="24.6" customHeight="1" x14ac:dyDescent="0.25">
      <c r="F152" s="19"/>
    </row>
    <row r="153" spans="6:6" ht="24.6" customHeight="1" x14ac:dyDescent="0.25">
      <c r="F153" s="19"/>
    </row>
    <row r="154" spans="6:6" ht="24.6" customHeight="1" x14ac:dyDescent="0.25">
      <c r="F154" s="19"/>
    </row>
    <row r="155" spans="6:6" ht="24.6" customHeight="1" x14ac:dyDescent="0.25">
      <c r="F155" s="19"/>
    </row>
    <row r="156" spans="6:6" ht="24.6" customHeight="1" x14ac:dyDescent="0.25">
      <c r="F156" s="19"/>
    </row>
    <row r="157" spans="6:6" ht="24.6" customHeight="1" x14ac:dyDescent="0.25">
      <c r="F157" s="19"/>
    </row>
    <row r="158" spans="6:6" ht="24.6" customHeight="1" x14ac:dyDescent="0.25">
      <c r="F158" s="19"/>
    </row>
    <row r="159" spans="6:6" ht="24.6" customHeight="1" x14ac:dyDescent="0.25">
      <c r="F159" s="19"/>
    </row>
    <row r="160" spans="6:6" ht="24.6" customHeight="1" x14ac:dyDescent="0.25">
      <c r="F160" s="19"/>
    </row>
    <row r="161" spans="6:6" ht="24.6" customHeight="1" x14ac:dyDescent="0.25">
      <c r="F161" s="19"/>
    </row>
    <row r="162" spans="6:6" ht="24.6" customHeight="1" x14ac:dyDescent="0.25">
      <c r="F162" s="19"/>
    </row>
    <row r="163" spans="6:6" ht="24.6" customHeight="1" x14ac:dyDescent="0.25">
      <c r="F163" s="19"/>
    </row>
    <row r="164" spans="6:6" ht="24.6" customHeight="1" x14ac:dyDescent="0.25">
      <c r="F164" s="19"/>
    </row>
    <row r="165" spans="6:6" ht="24.6" customHeight="1" x14ac:dyDescent="0.25">
      <c r="F165" s="19"/>
    </row>
    <row r="166" spans="6:6" ht="24.6" customHeight="1" x14ac:dyDescent="0.25">
      <c r="F166" s="19"/>
    </row>
    <row r="167" spans="6:6" ht="24.6" customHeight="1" x14ac:dyDescent="0.25">
      <c r="F167" s="19"/>
    </row>
    <row r="168" spans="6:6" ht="24.6" customHeight="1" x14ac:dyDescent="0.25">
      <c r="F168" s="19"/>
    </row>
    <row r="169" spans="6:6" ht="24.6" customHeight="1" x14ac:dyDescent="0.25">
      <c r="F169" s="19"/>
    </row>
    <row r="170" spans="6:6" ht="24.6" customHeight="1" x14ac:dyDescent="0.25">
      <c r="F170" s="19"/>
    </row>
    <row r="171" spans="6:6" ht="24.6" customHeight="1" x14ac:dyDescent="0.25">
      <c r="F171" s="19"/>
    </row>
    <row r="172" spans="6:6" ht="24.6" customHeight="1" x14ac:dyDescent="0.25">
      <c r="F172" s="19"/>
    </row>
    <row r="173" spans="6:6" ht="24.6" customHeight="1" x14ac:dyDescent="0.25">
      <c r="F173" s="19"/>
    </row>
    <row r="174" spans="6:6" ht="24.6" customHeight="1" x14ac:dyDescent="0.25">
      <c r="F174" s="19"/>
    </row>
    <row r="175" spans="6:6" ht="24.6" customHeight="1" x14ac:dyDescent="0.25">
      <c r="F175" s="19"/>
    </row>
    <row r="176" spans="6:6" ht="24.6" customHeight="1" x14ac:dyDescent="0.25">
      <c r="F176" s="19"/>
    </row>
    <row r="177" spans="6:6" ht="24.6" customHeight="1" x14ac:dyDescent="0.25">
      <c r="F177" s="19"/>
    </row>
    <row r="178" spans="6:6" ht="24.6" customHeight="1" x14ac:dyDescent="0.25">
      <c r="F178" s="19"/>
    </row>
    <row r="179" spans="6:6" ht="24.6" customHeight="1" x14ac:dyDescent="0.25">
      <c r="F179" s="19"/>
    </row>
    <row r="180" spans="6:6" ht="24.6" customHeight="1" x14ac:dyDescent="0.25">
      <c r="F180" s="19"/>
    </row>
    <row r="181" spans="6:6" ht="24.6" customHeight="1" x14ac:dyDescent="0.25">
      <c r="F181" s="19"/>
    </row>
    <row r="182" spans="6:6" ht="24.6" customHeight="1" x14ac:dyDescent="0.25">
      <c r="F182" s="19"/>
    </row>
    <row r="183" spans="6:6" ht="24.6" customHeight="1" x14ac:dyDescent="0.25">
      <c r="F183" s="19"/>
    </row>
    <row r="184" spans="6:6" ht="24.6" customHeight="1" x14ac:dyDescent="0.25">
      <c r="F184" s="19"/>
    </row>
    <row r="185" spans="6:6" ht="24.6" customHeight="1" x14ac:dyDescent="0.25">
      <c r="F185" s="19"/>
    </row>
    <row r="186" spans="6:6" ht="24.6" customHeight="1" x14ac:dyDescent="0.25">
      <c r="F186" s="19"/>
    </row>
    <row r="187" spans="6:6" ht="24.6" customHeight="1" x14ac:dyDescent="0.25">
      <c r="F187" s="19"/>
    </row>
    <row r="188" spans="6:6" ht="24.6" customHeight="1" x14ac:dyDescent="0.25">
      <c r="F188" s="19"/>
    </row>
    <row r="189" spans="6:6" ht="24.6" customHeight="1" x14ac:dyDescent="0.25">
      <c r="F189" s="19"/>
    </row>
    <row r="190" spans="6:6" ht="24.6" customHeight="1" x14ac:dyDescent="0.25">
      <c r="F190" s="19"/>
    </row>
    <row r="191" spans="6:6" ht="24.6" customHeight="1" x14ac:dyDescent="0.25">
      <c r="F191" s="19"/>
    </row>
    <row r="192" spans="6:6" ht="24.6" customHeight="1" x14ac:dyDescent="0.25">
      <c r="F192" s="19"/>
    </row>
    <row r="193" spans="6:6" ht="24.6" customHeight="1" x14ac:dyDescent="0.25">
      <c r="F193" s="19"/>
    </row>
    <row r="194" spans="6:6" ht="24.6" customHeight="1" x14ac:dyDescent="0.25">
      <c r="F194" s="19"/>
    </row>
    <row r="195" spans="6:6" ht="24.6" customHeight="1" x14ac:dyDescent="0.25">
      <c r="F195" s="19"/>
    </row>
    <row r="196" spans="6:6" ht="24.6" customHeight="1" x14ac:dyDescent="0.25">
      <c r="F196" s="19"/>
    </row>
    <row r="197" spans="6:6" ht="24.6" customHeight="1" x14ac:dyDescent="0.25">
      <c r="F197" s="19"/>
    </row>
    <row r="198" spans="6:6" ht="24.6" customHeight="1" x14ac:dyDescent="0.25">
      <c r="F198" s="19"/>
    </row>
    <row r="199" spans="6:6" ht="24.6" customHeight="1" x14ac:dyDescent="0.25">
      <c r="F199" s="19"/>
    </row>
    <row r="200" spans="6:6" ht="24.6" customHeight="1" x14ac:dyDescent="0.25">
      <c r="F200" s="19"/>
    </row>
    <row r="201" spans="6:6" ht="24.6" customHeight="1" x14ac:dyDescent="0.25">
      <c r="F201" s="19"/>
    </row>
    <row r="202" spans="6:6" ht="24.6" customHeight="1" x14ac:dyDescent="0.25">
      <c r="F202" s="19"/>
    </row>
    <row r="203" spans="6:6" ht="24.6" customHeight="1" x14ac:dyDescent="0.25">
      <c r="F203" s="19"/>
    </row>
    <row r="204" spans="6:6" ht="24.6" customHeight="1" x14ac:dyDescent="0.25">
      <c r="F204" s="19"/>
    </row>
    <row r="205" spans="6:6" ht="24.6" customHeight="1" x14ac:dyDescent="0.25">
      <c r="F205" s="19"/>
    </row>
    <row r="206" spans="6:6" ht="24.6" customHeight="1" x14ac:dyDescent="0.25">
      <c r="F206" s="19"/>
    </row>
    <row r="207" spans="6:6" ht="24.6" customHeight="1" x14ac:dyDescent="0.25">
      <c r="F207" s="19"/>
    </row>
    <row r="208" spans="6:6" ht="24.6" customHeight="1" x14ac:dyDescent="0.25">
      <c r="F208" s="19"/>
    </row>
    <row r="209" spans="6:6" ht="24.6" customHeight="1" x14ac:dyDescent="0.25">
      <c r="F209" s="19"/>
    </row>
    <row r="210" spans="6:6" ht="24.6" customHeight="1" x14ac:dyDescent="0.25">
      <c r="F210" s="19"/>
    </row>
    <row r="211" spans="6:6" ht="24.6" customHeight="1" x14ac:dyDescent="0.25">
      <c r="F211" s="19"/>
    </row>
    <row r="212" spans="6:6" ht="24.6" customHeight="1" x14ac:dyDescent="0.25">
      <c r="F212" s="19"/>
    </row>
    <row r="213" spans="6:6" ht="24.6" customHeight="1" x14ac:dyDescent="0.25">
      <c r="F213" s="19"/>
    </row>
    <row r="214" spans="6:6" ht="24.6" customHeight="1" x14ac:dyDescent="0.25">
      <c r="F214" s="19"/>
    </row>
    <row r="215" spans="6:6" ht="24.6" customHeight="1" x14ac:dyDescent="0.25">
      <c r="F215" s="19"/>
    </row>
    <row r="216" spans="6:6" ht="24.6" customHeight="1" x14ac:dyDescent="0.25">
      <c r="F216" s="19"/>
    </row>
    <row r="217" spans="6:6" ht="24.6" customHeight="1" x14ac:dyDescent="0.25">
      <c r="F217" s="19"/>
    </row>
    <row r="218" spans="6:6" ht="24.6" customHeight="1" x14ac:dyDescent="0.25">
      <c r="F218" s="19"/>
    </row>
    <row r="219" spans="6:6" ht="24.6" customHeight="1" x14ac:dyDescent="0.25">
      <c r="F219" s="19"/>
    </row>
    <row r="220" spans="6:6" ht="24.6" customHeight="1" x14ac:dyDescent="0.25">
      <c r="F220" s="19"/>
    </row>
    <row r="221" spans="6:6" ht="24.6" customHeight="1" x14ac:dyDescent="0.25">
      <c r="F221" s="19"/>
    </row>
    <row r="222" spans="6:6" ht="24.6" customHeight="1" x14ac:dyDescent="0.25">
      <c r="F222" s="19"/>
    </row>
    <row r="223" spans="6:6" ht="24.6" customHeight="1" x14ac:dyDescent="0.25">
      <c r="F223" s="19"/>
    </row>
    <row r="224" spans="6:6" ht="24.6" customHeight="1" x14ac:dyDescent="0.25">
      <c r="F224" s="19"/>
    </row>
    <row r="225" spans="6:6" ht="24.6" customHeight="1" x14ac:dyDescent="0.25">
      <c r="F225" s="19"/>
    </row>
    <row r="226" spans="6:6" ht="24.6" customHeight="1" x14ac:dyDescent="0.25">
      <c r="F226" s="19"/>
    </row>
    <row r="227" spans="6:6" ht="24.6" customHeight="1" x14ac:dyDescent="0.25">
      <c r="F227" s="19"/>
    </row>
    <row r="228" spans="6:6" ht="24.6" customHeight="1" x14ac:dyDescent="0.25">
      <c r="F228" s="19"/>
    </row>
    <row r="229" spans="6:6" ht="24.6" customHeight="1" x14ac:dyDescent="0.25">
      <c r="F229" s="19"/>
    </row>
    <row r="230" spans="6:6" ht="24.6" customHeight="1" x14ac:dyDescent="0.25">
      <c r="F230" s="19"/>
    </row>
    <row r="231" spans="6:6" ht="24.6" customHeight="1" x14ac:dyDescent="0.25">
      <c r="F231" s="19"/>
    </row>
    <row r="232" spans="6:6" ht="24.6" customHeight="1" x14ac:dyDescent="0.25">
      <c r="F232" s="19"/>
    </row>
    <row r="233" spans="6:6" ht="24.6" customHeight="1" x14ac:dyDescent="0.25">
      <c r="F233" s="19"/>
    </row>
    <row r="234" spans="6:6" ht="24.6" customHeight="1" x14ac:dyDescent="0.25">
      <c r="F234" s="19"/>
    </row>
    <row r="235" spans="6:6" ht="24.6" customHeight="1" x14ac:dyDescent="0.25">
      <c r="F235" s="19"/>
    </row>
    <row r="236" spans="6:6" ht="24.6" customHeight="1" x14ac:dyDescent="0.25">
      <c r="F236" s="19"/>
    </row>
    <row r="237" spans="6:6" ht="24.6" customHeight="1" x14ac:dyDescent="0.25">
      <c r="F237" s="19"/>
    </row>
    <row r="238" spans="6:6" ht="24.6" customHeight="1" x14ac:dyDescent="0.25">
      <c r="F238" s="19"/>
    </row>
    <row r="239" spans="6:6" ht="24.6" customHeight="1" x14ac:dyDescent="0.25">
      <c r="F239" s="19"/>
    </row>
    <row r="240" spans="6:6" ht="24.6" customHeight="1" x14ac:dyDescent="0.25">
      <c r="F240" s="19"/>
    </row>
    <row r="241" spans="6:6" ht="24.6" customHeight="1" x14ac:dyDescent="0.25">
      <c r="F241" s="19"/>
    </row>
    <row r="242" spans="6:6" ht="24.6" customHeight="1" x14ac:dyDescent="0.25">
      <c r="F242" s="19"/>
    </row>
    <row r="243" spans="6:6" ht="24.6" customHeight="1" x14ac:dyDescent="0.25">
      <c r="F243" s="19"/>
    </row>
    <row r="244" spans="6:6" ht="24.6" customHeight="1" x14ac:dyDescent="0.25">
      <c r="F244" s="19"/>
    </row>
    <row r="245" spans="6:6" ht="24.6" customHeight="1" x14ac:dyDescent="0.25">
      <c r="F245" s="19"/>
    </row>
    <row r="246" spans="6:6" ht="24.6" customHeight="1" x14ac:dyDescent="0.25">
      <c r="F246" s="19"/>
    </row>
    <row r="247" spans="6:6" ht="24.6" customHeight="1" x14ac:dyDescent="0.25">
      <c r="F247" s="19"/>
    </row>
    <row r="248" spans="6:6" ht="24.6" customHeight="1" x14ac:dyDescent="0.25">
      <c r="F248" s="19"/>
    </row>
    <row r="249" spans="6:6" ht="24.6" customHeight="1" x14ac:dyDescent="0.25">
      <c r="F249" s="19"/>
    </row>
    <row r="250" spans="6:6" ht="24.6" customHeight="1" x14ac:dyDescent="0.25">
      <c r="F250" s="19"/>
    </row>
    <row r="251" spans="6:6" ht="24.6" customHeight="1" x14ac:dyDescent="0.25">
      <c r="F251" s="19"/>
    </row>
    <row r="252" spans="6:6" ht="24.6" customHeight="1" x14ac:dyDescent="0.25">
      <c r="F252" s="19"/>
    </row>
    <row r="253" spans="6:6" ht="24.6" customHeight="1" x14ac:dyDescent="0.25">
      <c r="F253" s="19"/>
    </row>
    <row r="254" spans="6:6" ht="24.6" customHeight="1" x14ac:dyDescent="0.25">
      <c r="F254" s="19"/>
    </row>
    <row r="255" spans="6:6" ht="24.6" customHeight="1" x14ac:dyDescent="0.25">
      <c r="F255" s="19"/>
    </row>
    <row r="256" spans="6:6" ht="24.6" customHeight="1" x14ac:dyDescent="0.25">
      <c r="F256" s="19"/>
    </row>
    <row r="257" spans="6:6" ht="24.6" customHeight="1" x14ac:dyDescent="0.25">
      <c r="F257" s="19"/>
    </row>
    <row r="258" spans="6:6" ht="24.6" customHeight="1" x14ac:dyDescent="0.25">
      <c r="F258" s="19"/>
    </row>
    <row r="259" spans="6:6" ht="24.6" customHeight="1" x14ac:dyDescent="0.25">
      <c r="F259" s="19"/>
    </row>
    <row r="260" spans="6:6" ht="24.6" customHeight="1" x14ac:dyDescent="0.25">
      <c r="F260" s="19"/>
    </row>
    <row r="261" spans="6:6" ht="24.6" customHeight="1" x14ac:dyDescent="0.25">
      <c r="F261" s="19"/>
    </row>
    <row r="262" spans="6:6" ht="24.6" customHeight="1" x14ac:dyDescent="0.25">
      <c r="F262" s="19"/>
    </row>
    <row r="263" spans="6:6" ht="24.6" customHeight="1" x14ac:dyDescent="0.25">
      <c r="F263" s="19"/>
    </row>
    <row r="264" spans="6:6" ht="24.6" customHeight="1" x14ac:dyDescent="0.25">
      <c r="F264" s="19"/>
    </row>
    <row r="265" spans="6:6" ht="24.6" customHeight="1" x14ac:dyDescent="0.25">
      <c r="F265" s="19"/>
    </row>
    <row r="266" spans="6:6" ht="24.6" customHeight="1" x14ac:dyDescent="0.25">
      <c r="F266" s="19"/>
    </row>
    <row r="267" spans="6:6" ht="24.6" customHeight="1" x14ac:dyDescent="0.25">
      <c r="F267" s="19"/>
    </row>
    <row r="268" spans="6:6" ht="24.6" customHeight="1" x14ac:dyDescent="0.25">
      <c r="F268" s="19"/>
    </row>
    <row r="269" spans="6:6" ht="24.6" customHeight="1" x14ac:dyDescent="0.25">
      <c r="F269" s="19"/>
    </row>
    <row r="270" spans="6:6" ht="24.6" customHeight="1" x14ac:dyDescent="0.25">
      <c r="F270" s="19"/>
    </row>
    <row r="271" spans="6:6" ht="24.6" customHeight="1" x14ac:dyDescent="0.25">
      <c r="F271" s="19"/>
    </row>
    <row r="272" spans="6:6" ht="24.6" customHeight="1" x14ac:dyDescent="0.25">
      <c r="F272" s="19"/>
    </row>
    <row r="273" spans="6:6" ht="24.6" customHeight="1" x14ac:dyDescent="0.25">
      <c r="F273" s="19"/>
    </row>
    <row r="274" spans="6:6" ht="24.6" customHeight="1" x14ac:dyDescent="0.25">
      <c r="F274" s="19"/>
    </row>
    <row r="275" spans="6:6" ht="24.6" customHeight="1" x14ac:dyDescent="0.25">
      <c r="F275" s="19"/>
    </row>
    <row r="276" spans="6:6" ht="24.6" customHeight="1" x14ac:dyDescent="0.25">
      <c r="F276" s="19"/>
    </row>
    <row r="277" spans="6:6" ht="24.6" customHeight="1" x14ac:dyDescent="0.25">
      <c r="F277" s="19"/>
    </row>
    <row r="278" spans="6:6" ht="24.6" customHeight="1" x14ac:dyDescent="0.25">
      <c r="F278" s="19"/>
    </row>
    <row r="279" spans="6:6" ht="24.6" customHeight="1" x14ac:dyDescent="0.25">
      <c r="F279" s="19"/>
    </row>
    <row r="280" spans="6:6" ht="24.6" customHeight="1" x14ac:dyDescent="0.25">
      <c r="F280" s="19"/>
    </row>
    <row r="281" spans="6:6" ht="24.6" customHeight="1" x14ac:dyDescent="0.25">
      <c r="F281" s="19"/>
    </row>
    <row r="282" spans="6:6" ht="24.6" customHeight="1" x14ac:dyDescent="0.25">
      <c r="F282" s="19"/>
    </row>
    <row r="283" spans="6:6" ht="24.6" customHeight="1" x14ac:dyDescent="0.25">
      <c r="F283" s="19"/>
    </row>
    <row r="284" spans="6:6" ht="24.6" customHeight="1" x14ac:dyDescent="0.25">
      <c r="F284" s="19"/>
    </row>
    <row r="285" spans="6:6" ht="24.6" customHeight="1" x14ac:dyDescent="0.25">
      <c r="F285" s="19"/>
    </row>
    <row r="286" spans="6:6" ht="24.6" customHeight="1" x14ac:dyDescent="0.25">
      <c r="F286" s="19"/>
    </row>
    <row r="287" spans="6:6" ht="24.6" customHeight="1" x14ac:dyDescent="0.25">
      <c r="F287" s="19"/>
    </row>
    <row r="288" spans="6:6" ht="24.6" customHeight="1" x14ac:dyDescent="0.25">
      <c r="F288" s="19"/>
    </row>
    <row r="289" spans="6:6" ht="24.6" customHeight="1" x14ac:dyDescent="0.25">
      <c r="F289" s="19"/>
    </row>
    <row r="290" spans="6:6" ht="24.6" customHeight="1" x14ac:dyDescent="0.25">
      <c r="F290" s="19"/>
    </row>
    <row r="291" spans="6:6" ht="24.6" customHeight="1" x14ac:dyDescent="0.25">
      <c r="F291" s="19"/>
    </row>
    <row r="292" spans="6:6" ht="24.6" customHeight="1" x14ac:dyDescent="0.25">
      <c r="F292" s="19"/>
    </row>
    <row r="293" spans="6:6" ht="24.6" customHeight="1" x14ac:dyDescent="0.25">
      <c r="F293" s="19"/>
    </row>
    <row r="294" spans="6:6" ht="24.6" customHeight="1" x14ac:dyDescent="0.25">
      <c r="F294" s="19"/>
    </row>
    <row r="295" spans="6:6" ht="24.6" customHeight="1" x14ac:dyDescent="0.25">
      <c r="F295" s="19"/>
    </row>
    <row r="296" spans="6:6" ht="24.6" customHeight="1" x14ac:dyDescent="0.25">
      <c r="F296" s="19"/>
    </row>
    <row r="297" spans="6:6" ht="24.6" customHeight="1" x14ac:dyDescent="0.25">
      <c r="F297" s="19"/>
    </row>
    <row r="298" spans="6:6" ht="24.6" customHeight="1" x14ac:dyDescent="0.25">
      <c r="F298" s="19"/>
    </row>
    <row r="299" spans="6:6" ht="24.6" customHeight="1" x14ac:dyDescent="0.25">
      <c r="F299" s="19"/>
    </row>
    <row r="300" spans="6:6" ht="24.6" customHeight="1" x14ac:dyDescent="0.25">
      <c r="F300" s="19"/>
    </row>
    <row r="301" spans="6:6" ht="24.6" customHeight="1" x14ac:dyDescent="0.25">
      <c r="F301" s="19"/>
    </row>
    <row r="302" spans="6:6" ht="24.6" customHeight="1" x14ac:dyDescent="0.25">
      <c r="F302" s="19"/>
    </row>
    <row r="303" spans="6:6" ht="24.6" customHeight="1" x14ac:dyDescent="0.25">
      <c r="F303" s="19"/>
    </row>
    <row r="304" spans="6:6" ht="24.6" customHeight="1" x14ac:dyDescent="0.25">
      <c r="F304" s="19"/>
    </row>
    <row r="305" spans="6:6" ht="24.6" customHeight="1" x14ac:dyDescent="0.25">
      <c r="F305" s="19"/>
    </row>
    <row r="306" spans="6:6" ht="24.6" customHeight="1" x14ac:dyDescent="0.25">
      <c r="F306" s="19"/>
    </row>
    <row r="307" spans="6:6" ht="24.6" customHeight="1" x14ac:dyDescent="0.25">
      <c r="F307" s="19"/>
    </row>
    <row r="308" spans="6:6" ht="24.6" customHeight="1" x14ac:dyDescent="0.25">
      <c r="F308" s="19"/>
    </row>
    <row r="309" spans="6:6" ht="24.6" customHeight="1" x14ac:dyDescent="0.25">
      <c r="F309" s="19"/>
    </row>
    <row r="310" spans="6:6" ht="24.6" customHeight="1" x14ac:dyDescent="0.25">
      <c r="F310" s="19"/>
    </row>
    <row r="311" spans="6:6" ht="24.6" customHeight="1" x14ac:dyDescent="0.25">
      <c r="F311" s="19"/>
    </row>
    <row r="312" spans="6:6" ht="24.6" customHeight="1" x14ac:dyDescent="0.25">
      <c r="F312" s="19"/>
    </row>
    <row r="313" spans="6:6" ht="24.6" customHeight="1" x14ac:dyDescent="0.25">
      <c r="F313" s="19"/>
    </row>
    <row r="314" spans="6:6" ht="24.6" customHeight="1" x14ac:dyDescent="0.25">
      <c r="F314" s="19"/>
    </row>
    <row r="315" spans="6:6" ht="24.6" customHeight="1" x14ac:dyDescent="0.25">
      <c r="F315" s="19"/>
    </row>
    <row r="316" spans="6:6" ht="24.6" customHeight="1" x14ac:dyDescent="0.25">
      <c r="F316" s="19"/>
    </row>
    <row r="317" spans="6:6" ht="24.6" customHeight="1" x14ac:dyDescent="0.25">
      <c r="F317" s="19"/>
    </row>
    <row r="318" spans="6:6" ht="24.6" customHeight="1" x14ac:dyDescent="0.25">
      <c r="F318" s="19"/>
    </row>
    <row r="319" spans="6:6" ht="24.6" customHeight="1" x14ac:dyDescent="0.25">
      <c r="F319" s="19"/>
    </row>
    <row r="320" spans="6:6" ht="24.6" customHeight="1" x14ac:dyDescent="0.25">
      <c r="F320" s="19"/>
    </row>
    <row r="321" spans="6:6" ht="24.6" customHeight="1" x14ac:dyDescent="0.25">
      <c r="F321" s="19"/>
    </row>
    <row r="322" spans="6:6" ht="24.6" customHeight="1" x14ac:dyDescent="0.25">
      <c r="F322" s="19"/>
    </row>
    <row r="323" spans="6:6" ht="24.6" customHeight="1" x14ac:dyDescent="0.25">
      <c r="F323" s="19"/>
    </row>
    <row r="324" spans="6:6" ht="24.6" customHeight="1" x14ac:dyDescent="0.25">
      <c r="F324" s="19"/>
    </row>
    <row r="325" spans="6:6" ht="24.6" customHeight="1" x14ac:dyDescent="0.25">
      <c r="F325" s="19"/>
    </row>
    <row r="326" spans="6:6" ht="24.6" customHeight="1" x14ac:dyDescent="0.25">
      <c r="F326" s="19"/>
    </row>
    <row r="327" spans="6:6" ht="24.6" customHeight="1" x14ac:dyDescent="0.25">
      <c r="F327" s="19"/>
    </row>
    <row r="328" spans="6:6" ht="24.6" customHeight="1" x14ac:dyDescent="0.25">
      <c r="F328" s="19"/>
    </row>
    <row r="329" spans="6:6" ht="24.6" customHeight="1" x14ac:dyDescent="0.25">
      <c r="F329" s="19"/>
    </row>
    <row r="330" spans="6:6" ht="24.6" customHeight="1" x14ac:dyDescent="0.25">
      <c r="F330" s="19"/>
    </row>
    <row r="331" spans="6:6" ht="24.6" customHeight="1" x14ac:dyDescent="0.25">
      <c r="F331" s="19"/>
    </row>
    <row r="332" spans="6:6" ht="24.6" customHeight="1" x14ac:dyDescent="0.25">
      <c r="F332" s="19"/>
    </row>
    <row r="333" spans="6:6" ht="24.6" customHeight="1" x14ac:dyDescent="0.25">
      <c r="F333" s="19"/>
    </row>
    <row r="334" spans="6:6" ht="24.6" customHeight="1" x14ac:dyDescent="0.25">
      <c r="F334" s="19"/>
    </row>
    <row r="335" spans="6:6" ht="24.6" customHeight="1" x14ac:dyDescent="0.25">
      <c r="F335" s="19"/>
    </row>
    <row r="336" spans="6:6" ht="24.6" customHeight="1" x14ac:dyDescent="0.25">
      <c r="F336" s="19"/>
    </row>
    <row r="337" spans="6:6" ht="24.6" customHeight="1" x14ac:dyDescent="0.25">
      <c r="F337" s="19"/>
    </row>
    <row r="338" spans="6:6" ht="24.6" customHeight="1" x14ac:dyDescent="0.25">
      <c r="F338" s="19"/>
    </row>
    <row r="339" spans="6:6" ht="24.6" customHeight="1" x14ac:dyDescent="0.25">
      <c r="F339" s="19"/>
    </row>
    <row r="340" spans="6:6" ht="24.6" customHeight="1" x14ac:dyDescent="0.25">
      <c r="F340" s="19"/>
    </row>
    <row r="341" spans="6:6" ht="24.6" customHeight="1" x14ac:dyDescent="0.25">
      <c r="F341" s="19"/>
    </row>
    <row r="342" spans="6:6" ht="24.6" customHeight="1" x14ac:dyDescent="0.25">
      <c r="F342" s="19"/>
    </row>
    <row r="343" spans="6:6" ht="24.6" customHeight="1" x14ac:dyDescent="0.25">
      <c r="F343" s="19"/>
    </row>
    <row r="344" spans="6:6" ht="24.6" customHeight="1" x14ac:dyDescent="0.25">
      <c r="F344" s="19"/>
    </row>
    <row r="345" spans="6:6" ht="24.6" customHeight="1" x14ac:dyDescent="0.25">
      <c r="F345" s="19"/>
    </row>
    <row r="346" spans="6:6" ht="24.6" customHeight="1" x14ac:dyDescent="0.25">
      <c r="F346" s="19"/>
    </row>
    <row r="347" spans="6:6" ht="24.6" customHeight="1" x14ac:dyDescent="0.25">
      <c r="F347" s="19"/>
    </row>
    <row r="348" spans="6:6" ht="24.6" customHeight="1" x14ac:dyDescent="0.25">
      <c r="F348" s="19"/>
    </row>
    <row r="349" spans="6:6" ht="24.6" customHeight="1" x14ac:dyDescent="0.25">
      <c r="F349" s="19"/>
    </row>
    <row r="350" spans="6:6" ht="24.6" customHeight="1" x14ac:dyDescent="0.25">
      <c r="F350" s="19"/>
    </row>
    <row r="351" spans="6:6" ht="24.6" customHeight="1" x14ac:dyDescent="0.25">
      <c r="F351" s="19"/>
    </row>
    <row r="352" spans="6:6" ht="24.6" customHeight="1" x14ac:dyDescent="0.25">
      <c r="F352" s="19"/>
    </row>
    <row r="353" spans="6:6" ht="24.6" customHeight="1" x14ac:dyDescent="0.25">
      <c r="F353" s="19"/>
    </row>
    <row r="354" spans="6:6" ht="24.6" customHeight="1" x14ac:dyDescent="0.25">
      <c r="F354" s="19"/>
    </row>
    <row r="355" spans="6:6" ht="24.6" customHeight="1" x14ac:dyDescent="0.25">
      <c r="F355" s="19"/>
    </row>
    <row r="356" spans="6:6" ht="24.6" customHeight="1" x14ac:dyDescent="0.25">
      <c r="F356" s="19"/>
    </row>
    <row r="357" spans="6:6" ht="24.6" customHeight="1" x14ac:dyDescent="0.25">
      <c r="F357" s="19"/>
    </row>
    <row r="358" spans="6:6" ht="24.6" customHeight="1" x14ac:dyDescent="0.25">
      <c r="F358" s="19"/>
    </row>
    <row r="359" spans="6:6" ht="24.6" customHeight="1" x14ac:dyDescent="0.25">
      <c r="F359" s="19"/>
    </row>
    <row r="360" spans="6:6" ht="24.6" customHeight="1" x14ac:dyDescent="0.25">
      <c r="F360" s="19"/>
    </row>
    <row r="361" spans="6:6" ht="24.6" customHeight="1" x14ac:dyDescent="0.25">
      <c r="F361" s="19"/>
    </row>
    <row r="362" spans="6:6" ht="24.6" customHeight="1" x14ac:dyDescent="0.25">
      <c r="F362" s="19"/>
    </row>
    <row r="363" spans="6:6" ht="24.6" customHeight="1" x14ac:dyDescent="0.25">
      <c r="F363" s="19"/>
    </row>
    <row r="364" spans="6:6" ht="24.6" customHeight="1" x14ac:dyDescent="0.25">
      <c r="F364" s="19"/>
    </row>
    <row r="365" spans="6:6" ht="24.6" customHeight="1" x14ac:dyDescent="0.25">
      <c r="F365" s="19"/>
    </row>
    <row r="366" spans="6:6" ht="24.6" customHeight="1" x14ac:dyDescent="0.25">
      <c r="F366" s="19"/>
    </row>
    <row r="367" spans="6:6" ht="24.6" customHeight="1" x14ac:dyDescent="0.25">
      <c r="F367" s="19"/>
    </row>
    <row r="368" spans="6:6" ht="24.6" customHeight="1" x14ac:dyDescent="0.25">
      <c r="F368" s="19"/>
    </row>
    <row r="369" spans="6:6" ht="24.6" customHeight="1" x14ac:dyDescent="0.25">
      <c r="F369" s="19"/>
    </row>
    <row r="370" spans="6:6" ht="24.6" customHeight="1" x14ac:dyDescent="0.25">
      <c r="F370" s="19"/>
    </row>
    <row r="371" spans="6:6" ht="24.6" customHeight="1" x14ac:dyDescent="0.25">
      <c r="F371" s="19"/>
    </row>
    <row r="372" spans="6:6" ht="24.6" customHeight="1" x14ac:dyDescent="0.25">
      <c r="F372" s="19"/>
    </row>
    <row r="373" spans="6:6" ht="24.6" customHeight="1" x14ac:dyDescent="0.25">
      <c r="F373" s="19"/>
    </row>
    <row r="374" spans="6:6" ht="24.6" customHeight="1" x14ac:dyDescent="0.25">
      <c r="F374" s="19"/>
    </row>
    <row r="375" spans="6:6" ht="24.6" customHeight="1" x14ac:dyDescent="0.25">
      <c r="F375" s="19"/>
    </row>
    <row r="376" spans="6:6" ht="24.6" customHeight="1" x14ac:dyDescent="0.25">
      <c r="F376" s="19"/>
    </row>
    <row r="377" spans="6:6" ht="24.6" customHeight="1" x14ac:dyDescent="0.25">
      <c r="F377" s="19"/>
    </row>
    <row r="378" spans="6:6" ht="24.6" customHeight="1" x14ac:dyDescent="0.25">
      <c r="F378" s="19"/>
    </row>
    <row r="379" spans="6:6" ht="24.6" customHeight="1" x14ac:dyDescent="0.25">
      <c r="F379" s="19"/>
    </row>
    <row r="380" spans="6:6" ht="24.6" customHeight="1" x14ac:dyDescent="0.25">
      <c r="F380" s="19"/>
    </row>
    <row r="381" spans="6:6" ht="24.6" customHeight="1" x14ac:dyDescent="0.25">
      <c r="F381" s="19"/>
    </row>
    <row r="382" spans="6:6" ht="24.6" customHeight="1" x14ac:dyDescent="0.25">
      <c r="F382" s="19"/>
    </row>
    <row r="383" spans="6:6" ht="24.6" customHeight="1" x14ac:dyDescent="0.25">
      <c r="F383" s="19"/>
    </row>
    <row r="384" spans="6:6" ht="24.6" customHeight="1" x14ac:dyDescent="0.25">
      <c r="F384" s="19"/>
    </row>
    <row r="385" spans="6:6" ht="24.6" customHeight="1" x14ac:dyDescent="0.25">
      <c r="F385" s="19"/>
    </row>
    <row r="386" spans="6:6" ht="24.6" customHeight="1" x14ac:dyDescent="0.25">
      <c r="F386" s="19"/>
    </row>
    <row r="387" spans="6:6" ht="24.6" customHeight="1" x14ac:dyDescent="0.25">
      <c r="F387" s="19"/>
    </row>
    <row r="388" spans="6:6" ht="24.6" customHeight="1" x14ac:dyDescent="0.25">
      <c r="F388" s="19"/>
    </row>
    <row r="389" spans="6:6" ht="24.6" customHeight="1" x14ac:dyDescent="0.25">
      <c r="F389" s="19"/>
    </row>
    <row r="390" spans="6:6" ht="24.6" customHeight="1" x14ac:dyDescent="0.25">
      <c r="F390" s="19"/>
    </row>
    <row r="391" spans="6:6" ht="24.6" customHeight="1" x14ac:dyDescent="0.25">
      <c r="F391" s="19"/>
    </row>
    <row r="392" spans="6:6" ht="24.6" customHeight="1" x14ac:dyDescent="0.25">
      <c r="F392" s="19"/>
    </row>
    <row r="393" spans="6:6" ht="24.6" customHeight="1" x14ac:dyDescent="0.25">
      <c r="F393" s="19"/>
    </row>
    <row r="394" spans="6:6" ht="24.6" customHeight="1" x14ac:dyDescent="0.25">
      <c r="F394" s="19"/>
    </row>
    <row r="395" spans="6:6" ht="24.6" customHeight="1" x14ac:dyDescent="0.25">
      <c r="F395" s="19"/>
    </row>
    <row r="396" spans="6:6" ht="24.6" customHeight="1" x14ac:dyDescent="0.25">
      <c r="F396" s="19"/>
    </row>
    <row r="397" spans="6:6" ht="24.6" customHeight="1" x14ac:dyDescent="0.25">
      <c r="F397" s="19"/>
    </row>
    <row r="398" spans="6:6" ht="24.6" customHeight="1" x14ac:dyDescent="0.25">
      <c r="F398" s="19"/>
    </row>
    <row r="399" spans="6:6" ht="24.6" customHeight="1" x14ac:dyDescent="0.25">
      <c r="F399" s="19"/>
    </row>
    <row r="400" spans="6:6" ht="24.6" customHeight="1" x14ac:dyDescent="0.25">
      <c r="F400" s="19"/>
    </row>
    <row r="401" spans="6:6" ht="24.6" customHeight="1" x14ac:dyDescent="0.25">
      <c r="F401" s="19"/>
    </row>
    <row r="402" spans="6:6" ht="24.6" customHeight="1" x14ac:dyDescent="0.25">
      <c r="F402" s="19"/>
    </row>
    <row r="403" spans="6:6" ht="24.6" customHeight="1" x14ac:dyDescent="0.25">
      <c r="F403" s="19"/>
    </row>
    <row r="404" spans="6:6" ht="24.6" customHeight="1" x14ac:dyDescent="0.25">
      <c r="F404" s="19"/>
    </row>
    <row r="405" spans="6:6" ht="24.6" customHeight="1" x14ac:dyDescent="0.25">
      <c r="F405" s="19"/>
    </row>
    <row r="406" spans="6:6" ht="24.6" customHeight="1" x14ac:dyDescent="0.25">
      <c r="F406" s="19"/>
    </row>
    <row r="407" spans="6:6" ht="24.6" customHeight="1" x14ac:dyDescent="0.25">
      <c r="F407" s="19"/>
    </row>
    <row r="408" spans="6:6" ht="24.6" customHeight="1" x14ac:dyDescent="0.25">
      <c r="F408" s="19"/>
    </row>
    <row r="409" spans="6:6" ht="24.6" customHeight="1" x14ac:dyDescent="0.25">
      <c r="F409" s="19"/>
    </row>
    <row r="410" spans="6:6" ht="24.6" customHeight="1" x14ac:dyDescent="0.25">
      <c r="F410" s="19"/>
    </row>
    <row r="411" spans="6:6" ht="24.6" customHeight="1" x14ac:dyDescent="0.25">
      <c r="F411" s="19"/>
    </row>
    <row r="412" spans="6:6" ht="24.6" customHeight="1" x14ac:dyDescent="0.25">
      <c r="F412" s="19"/>
    </row>
    <row r="413" spans="6:6" ht="24.6" customHeight="1" x14ac:dyDescent="0.25">
      <c r="F413" s="19"/>
    </row>
    <row r="414" spans="6:6" ht="24.6" customHeight="1" x14ac:dyDescent="0.25">
      <c r="F414" s="19"/>
    </row>
    <row r="415" spans="6:6" ht="24.6" customHeight="1" x14ac:dyDescent="0.25">
      <c r="F415" s="19"/>
    </row>
    <row r="416" spans="6:6" ht="24.6" customHeight="1" x14ac:dyDescent="0.25">
      <c r="F416" s="19"/>
    </row>
    <row r="417" spans="6:6" ht="24.6" customHeight="1" x14ac:dyDescent="0.25">
      <c r="F417" s="19"/>
    </row>
    <row r="418" spans="6:6" ht="24.6" customHeight="1" x14ac:dyDescent="0.25">
      <c r="F418" s="19"/>
    </row>
    <row r="419" spans="6:6" ht="24.6" customHeight="1" x14ac:dyDescent="0.25">
      <c r="F419" s="19"/>
    </row>
    <row r="420" spans="6:6" ht="24.6" customHeight="1" x14ac:dyDescent="0.25">
      <c r="F420" s="19"/>
    </row>
    <row r="421" spans="6:6" ht="24.6" customHeight="1" x14ac:dyDescent="0.25">
      <c r="F421" s="19"/>
    </row>
    <row r="422" spans="6:6" ht="24.6" customHeight="1" x14ac:dyDescent="0.25">
      <c r="F422" s="19"/>
    </row>
    <row r="423" spans="6:6" ht="24.6" customHeight="1" x14ac:dyDescent="0.25">
      <c r="F423" s="19"/>
    </row>
    <row r="424" spans="6:6" ht="24.6" customHeight="1" x14ac:dyDescent="0.25">
      <c r="F424" s="19"/>
    </row>
    <row r="425" spans="6:6" ht="24.6" customHeight="1" x14ac:dyDescent="0.25">
      <c r="F425" s="19"/>
    </row>
    <row r="426" spans="6:6" ht="24.6" customHeight="1" x14ac:dyDescent="0.25">
      <c r="F426" s="19"/>
    </row>
    <row r="427" spans="6:6" ht="24.6" customHeight="1" x14ac:dyDescent="0.25">
      <c r="F427" s="19"/>
    </row>
    <row r="428" spans="6:6" ht="24.6" customHeight="1" x14ac:dyDescent="0.25">
      <c r="F428" s="19"/>
    </row>
    <row r="429" spans="6:6" ht="24.6" customHeight="1" x14ac:dyDescent="0.25">
      <c r="F429" s="19"/>
    </row>
    <row r="430" spans="6:6" ht="24.6" customHeight="1" x14ac:dyDescent="0.25">
      <c r="F430" s="19"/>
    </row>
    <row r="431" spans="6:6" ht="24.6" customHeight="1" x14ac:dyDescent="0.25">
      <c r="F431" s="19"/>
    </row>
    <row r="432" spans="6:6" ht="24.6" customHeight="1" x14ac:dyDescent="0.25">
      <c r="F432" s="19"/>
    </row>
    <row r="433" spans="6:6" ht="24.6" customHeight="1" x14ac:dyDescent="0.25">
      <c r="F433" s="19"/>
    </row>
    <row r="434" spans="6:6" ht="24.6" customHeight="1" x14ac:dyDescent="0.25">
      <c r="F434" s="19"/>
    </row>
    <row r="435" spans="6:6" ht="24.6" customHeight="1" x14ac:dyDescent="0.25">
      <c r="F435" s="19"/>
    </row>
    <row r="436" spans="6:6" ht="24.6" customHeight="1" x14ac:dyDescent="0.25">
      <c r="F436" s="19"/>
    </row>
    <row r="437" spans="6:6" ht="24.6" customHeight="1" x14ac:dyDescent="0.25">
      <c r="F437" s="19"/>
    </row>
    <row r="438" spans="6:6" ht="24.6" customHeight="1" x14ac:dyDescent="0.25">
      <c r="F438" s="19"/>
    </row>
    <row r="439" spans="6:6" ht="24.6" customHeight="1" x14ac:dyDescent="0.25">
      <c r="F439" s="19"/>
    </row>
    <row r="440" spans="6:6" ht="24.6" customHeight="1" x14ac:dyDescent="0.25">
      <c r="F440" s="19"/>
    </row>
    <row r="441" spans="6:6" ht="24.6" customHeight="1" x14ac:dyDescent="0.25">
      <c r="F441" s="19"/>
    </row>
    <row r="442" spans="6:6" ht="24.6" customHeight="1" x14ac:dyDescent="0.25">
      <c r="F442" s="19"/>
    </row>
    <row r="443" spans="6:6" ht="24.6" customHeight="1" x14ac:dyDescent="0.25">
      <c r="F443" s="19"/>
    </row>
    <row r="444" spans="6:6" ht="24.6" customHeight="1" x14ac:dyDescent="0.25">
      <c r="F444" s="19"/>
    </row>
    <row r="445" spans="6:6" ht="24.6" customHeight="1" x14ac:dyDescent="0.25">
      <c r="F445" s="19"/>
    </row>
    <row r="446" spans="6:6" ht="24.6" customHeight="1" x14ac:dyDescent="0.25">
      <c r="F446" s="19"/>
    </row>
    <row r="447" spans="6:6" ht="24.6" customHeight="1" x14ac:dyDescent="0.25">
      <c r="F447" s="19"/>
    </row>
    <row r="448" spans="6:6" ht="24.6" customHeight="1" x14ac:dyDescent="0.25">
      <c r="F448" s="19"/>
    </row>
    <row r="449" spans="6:6" ht="24.6" customHeight="1" x14ac:dyDescent="0.25">
      <c r="F449" s="19"/>
    </row>
    <row r="450" spans="6:6" ht="24.6" customHeight="1" x14ac:dyDescent="0.25">
      <c r="F450" s="19"/>
    </row>
    <row r="451" spans="6:6" ht="24.6" customHeight="1" x14ac:dyDescent="0.25">
      <c r="F451" s="19"/>
    </row>
    <row r="452" spans="6:6" ht="24.6" customHeight="1" x14ac:dyDescent="0.25">
      <c r="F452" s="19"/>
    </row>
    <row r="453" spans="6:6" ht="24.6" customHeight="1" x14ac:dyDescent="0.25">
      <c r="F453" s="19"/>
    </row>
    <row r="454" spans="6:6" ht="24.6" customHeight="1" x14ac:dyDescent="0.25">
      <c r="F454" s="19"/>
    </row>
    <row r="455" spans="6:6" ht="24.6" customHeight="1" x14ac:dyDescent="0.25">
      <c r="F455" s="19"/>
    </row>
    <row r="456" spans="6:6" ht="24.6" customHeight="1" x14ac:dyDescent="0.25">
      <c r="F456" s="19"/>
    </row>
    <row r="457" spans="6:6" ht="24.6" customHeight="1" x14ac:dyDescent="0.25">
      <c r="F457" s="19"/>
    </row>
    <row r="458" spans="6:6" ht="24.6" customHeight="1" x14ac:dyDescent="0.25">
      <c r="F458" s="19"/>
    </row>
    <row r="459" spans="6:6" ht="24.6" customHeight="1" x14ac:dyDescent="0.25">
      <c r="F459" s="19"/>
    </row>
    <row r="460" spans="6:6" ht="24.6" customHeight="1" x14ac:dyDescent="0.25">
      <c r="F460" s="19"/>
    </row>
    <row r="461" spans="6:6" ht="24.6" customHeight="1" x14ac:dyDescent="0.25">
      <c r="F461" s="19"/>
    </row>
    <row r="462" spans="6:6" ht="24.6" customHeight="1" x14ac:dyDescent="0.25">
      <c r="F462" s="19"/>
    </row>
    <row r="463" spans="6:6" ht="24.6" customHeight="1" x14ac:dyDescent="0.25">
      <c r="F463" s="19"/>
    </row>
    <row r="464" spans="6:6" ht="24.6" customHeight="1" x14ac:dyDescent="0.25">
      <c r="F464" s="19"/>
    </row>
    <row r="465" spans="6:6" ht="24.6" customHeight="1" x14ac:dyDescent="0.25">
      <c r="F465" s="19"/>
    </row>
    <row r="466" spans="6:6" ht="24.6" customHeight="1" x14ac:dyDescent="0.25">
      <c r="F466" s="19"/>
    </row>
    <row r="467" spans="6:6" ht="24.6" customHeight="1" x14ac:dyDescent="0.25">
      <c r="F467" s="19"/>
    </row>
    <row r="468" spans="6:6" ht="24.6" customHeight="1" x14ac:dyDescent="0.25">
      <c r="F468" s="19"/>
    </row>
    <row r="469" spans="6:6" ht="24.6" customHeight="1" x14ac:dyDescent="0.25">
      <c r="F469" s="19"/>
    </row>
    <row r="470" spans="6:6" ht="24.6" customHeight="1" x14ac:dyDescent="0.25">
      <c r="F470" s="19"/>
    </row>
    <row r="471" spans="6:6" ht="24.6" customHeight="1" x14ac:dyDescent="0.25">
      <c r="F471" s="19"/>
    </row>
    <row r="472" spans="6:6" ht="24.6" customHeight="1" x14ac:dyDescent="0.25">
      <c r="F472" s="19"/>
    </row>
    <row r="473" spans="6:6" ht="24.6" customHeight="1" x14ac:dyDescent="0.25">
      <c r="F473" s="19"/>
    </row>
    <row r="474" spans="6:6" ht="24.6" customHeight="1" x14ac:dyDescent="0.25">
      <c r="F474" s="19"/>
    </row>
    <row r="475" spans="6:6" ht="24.6" customHeight="1" x14ac:dyDescent="0.25">
      <c r="F475" s="19"/>
    </row>
    <row r="476" spans="6:6" ht="24.6" customHeight="1" x14ac:dyDescent="0.25">
      <c r="F476" s="19"/>
    </row>
    <row r="477" spans="6:6" ht="24.6" customHeight="1" x14ac:dyDescent="0.25">
      <c r="F477" s="19"/>
    </row>
    <row r="478" spans="6:6" ht="24.6" customHeight="1" x14ac:dyDescent="0.25">
      <c r="F478" s="19"/>
    </row>
    <row r="479" spans="6:6" ht="24.6" customHeight="1" x14ac:dyDescent="0.25">
      <c r="F479" s="19"/>
    </row>
    <row r="480" spans="6:6" ht="24.6" customHeight="1" x14ac:dyDescent="0.25">
      <c r="F480" s="19"/>
    </row>
    <row r="481" spans="6:6" ht="24.6" customHeight="1" x14ac:dyDescent="0.25">
      <c r="F481" s="19"/>
    </row>
    <row r="482" spans="6:6" ht="24.6" customHeight="1" x14ac:dyDescent="0.25">
      <c r="F482" s="19"/>
    </row>
    <row r="483" spans="6:6" ht="24.6" customHeight="1" x14ac:dyDescent="0.25">
      <c r="F483" s="19"/>
    </row>
    <row r="484" spans="6:6" ht="24.6" customHeight="1" x14ac:dyDescent="0.25">
      <c r="F484" s="19"/>
    </row>
    <row r="485" spans="6:6" ht="24.6" customHeight="1" x14ac:dyDescent="0.25">
      <c r="F485" s="19"/>
    </row>
    <row r="486" spans="6:6" ht="24.6" customHeight="1" x14ac:dyDescent="0.25">
      <c r="F486" s="19"/>
    </row>
    <row r="487" spans="6:6" ht="24.6" customHeight="1" x14ac:dyDescent="0.25">
      <c r="F487" s="19"/>
    </row>
    <row r="488" spans="6:6" ht="24.6" customHeight="1" x14ac:dyDescent="0.25">
      <c r="F488" s="19"/>
    </row>
    <row r="489" spans="6:6" ht="24.6" customHeight="1" x14ac:dyDescent="0.25">
      <c r="F489" s="19"/>
    </row>
    <row r="490" spans="6:6" ht="24.6" customHeight="1" x14ac:dyDescent="0.25">
      <c r="F490" s="19"/>
    </row>
    <row r="491" spans="6:6" ht="24.6" customHeight="1" x14ac:dyDescent="0.25">
      <c r="F491" s="19"/>
    </row>
    <row r="492" spans="6:6" ht="24.6" customHeight="1" x14ac:dyDescent="0.25">
      <c r="F492" s="19"/>
    </row>
    <row r="493" spans="6:6" ht="24.6" customHeight="1" x14ac:dyDescent="0.25">
      <c r="F493" s="19"/>
    </row>
    <row r="494" spans="6:6" ht="24.6" customHeight="1" x14ac:dyDescent="0.25">
      <c r="F494" s="19"/>
    </row>
    <row r="495" spans="6:6" ht="24.6" customHeight="1" x14ac:dyDescent="0.25">
      <c r="F495" s="19"/>
    </row>
    <row r="496" spans="6:6" ht="24.6" customHeight="1" x14ac:dyDescent="0.25">
      <c r="F496" s="19"/>
    </row>
    <row r="497" spans="6:6" ht="24.6" customHeight="1" x14ac:dyDescent="0.25">
      <c r="F497" s="19"/>
    </row>
    <row r="498" spans="6:6" ht="24.6" customHeight="1" x14ac:dyDescent="0.25">
      <c r="F498" s="19"/>
    </row>
    <row r="499" spans="6:6" ht="24.6" customHeight="1" x14ac:dyDescent="0.25">
      <c r="F499" s="19"/>
    </row>
    <row r="500" spans="6:6" ht="24.6" customHeight="1" x14ac:dyDescent="0.25">
      <c r="F500" s="19"/>
    </row>
    <row r="501" spans="6:6" ht="24.6" customHeight="1" x14ac:dyDescent="0.25">
      <c r="F501" s="19"/>
    </row>
    <row r="502" spans="6:6" ht="24.6" customHeight="1" x14ac:dyDescent="0.25">
      <c r="F502" s="19"/>
    </row>
    <row r="503" spans="6:6" ht="24.6" customHeight="1" x14ac:dyDescent="0.25">
      <c r="F503" s="19"/>
    </row>
    <row r="504" spans="6:6" ht="24.6" customHeight="1" x14ac:dyDescent="0.25">
      <c r="F504" s="19"/>
    </row>
    <row r="505" spans="6:6" ht="24.6" customHeight="1" x14ac:dyDescent="0.25">
      <c r="F505" s="19"/>
    </row>
    <row r="506" spans="6:6" ht="24.6" customHeight="1" x14ac:dyDescent="0.25">
      <c r="F506" s="19"/>
    </row>
    <row r="507" spans="6:6" ht="24.6" customHeight="1" x14ac:dyDescent="0.25">
      <c r="F507" s="19"/>
    </row>
    <row r="508" spans="6:6" ht="24.6" customHeight="1" x14ac:dyDescent="0.25">
      <c r="F508" s="19"/>
    </row>
    <row r="509" spans="6:6" ht="24.6" customHeight="1" x14ac:dyDescent="0.25">
      <c r="F509" s="19"/>
    </row>
    <row r="510" spans="6:6" ht="24.6" customHeight="1" x14ac:dyDescent="0.25">
      <c r="F510" s="19"/>
    </row>
    <row r="511" spans="6:6" ht="24.6" customHeight="1" x14ac:dyDescent="0.25">
      <c r="F511" s="19"/>
    </row>
    <row r="512" spans="6:6" ht="24.6" customHeight="1" x14ac:dyDescent="0.25">
      <c r="F512" s="19"/>
    </row>
    <row r="513" spans="6:6" ht="24.6" customHeight="1" x14ac:dyDescent="0.25">
      <c r="F513" s="19"/>
    </row>
    <row r="514" spans="6:6" ht="24.6" customHeight="1" x14ac:dyDescent="0.25">
      <c r="F514" s="19"/>
    </row>
    <row r="515" spans="6:6" ht="24.6" customHeight="1" x14ac:dyDescent="0.25">
      <c r="F515" s="19"/>
    </row>
    <row r="516" spans="6:6" ht="24.6" customHeight="1" x14ac:dyDescent="0.25">
      <c r="F516" s="19"/>
    </row>
    <row r="517" spans="6:6" ht="24.6" customHeight="1" x14ac:dyDescent="0.25">
      <c r="F517" s="19"/>
    </row>
    <row r="518" spans="6:6" ht="24.6" customHeight="1" x14ac:dyDescent="0.25">
      <c r="F518" s="19"/>
    </row>
    <row r="519" spans="6:6" ht="24.6" customHeight="1" x14ac:dyDescent="0.25">
      <c r="F519" s="19"/>
    </row>
    <row r="520" spans="6:6" ht="24.6" customHeight="1" x14ac:dyDescent="0.25">
      <c r="F520" s="19"/>
    </row>
    <row r="521" spans="6:6" ht="24.6" customHeight="1" x14ac:dyDescent="0.25">
      <c r="F521" s="19"/>
    </row>
    <row r="522" spans="6:6" ht="24.6" customHeight="1" x14ac:dyDescent="0.25">
      <c r="F522" s="19"/>
    </row>
    <row r="523" spans="6:6" ht="24.6" customHeight="1" x14ac:dyDescent="0.25">
      <c r="F523" s="19"/>
    </row>
    <row r="524" spans="6:6" ht="24.6" customHeight="1" x14ac:dyDescent="0.25">
      <c r="F524" s="19"/>
    </row>
    <row r="525" spans="6:6" ht="24.6" customHeight="1" x14ac:dyDescent="0.25">
      <c r="F525" s="19"/>
    </row>
    <row r="526" spans="6:6" ht="24.6" customHeight="1" x14ac:dyDescent="0.25">
      <c r="F526" s="19"/>
    </row>
    <row r="527" spans="6:6" ht="24.6" customHeight="1" x14ac:dyDescent="0.25">
      <c r="F527" s="19"/>
    </row>
    <row r="528" spans="6:6" ht="24.6" customHeight="1" x14ac:dyDescent="0.25">
      <c r="F528" s="19"/>
    </row>
    <row r="529" spans="6:6" ht="24.6" customHeight="1" x14ac:dyDescent="0.25">
      <c r="F529" s="19"/>
    </row>
    <row r="530" spans="6:6" ht="24.6" customHeight="1" x14ac:dyDescent="0.25">
      <c r="F530" s="19"/>
    </row>
    <row r="531" spans="6:6" ht="24.6" customHeight="1" x14ac:dyDescent="0.25">
      <c r="F531" s="19"/>
    </row>
    <row r="532" spans="6:6" ht="24.6" customHeight="1" x14ac:dyDescent="0.25">
      <c r="F532" s="19"/>
    </row>
    <row r="533" spans="6:6" ht="24.6" customHeight="1" x14ac:dyDescent="0.25">
      <c r="F533" s="19"/>
    </row>
    <row r="534" spans="6:6" ht="24.6" customHeight="1" x14ac:dyDescent="0.25">
      <c r="F534" s="19"/>
    </row>
    <row r="535" spans="6:6" ht="24.6" customHeight="1" x14ac:dyDescent="0.25">
      <c r="F535" s="19"/>
    </row>
    <row r="536" spans="6:6" ht="24.6" customHeight="1" x14ac:dyDescent="0.25">
      <c r="F536" s="19"/>
    </row>
    <row r="537" spans="6:6" ht="24.6" customHeight="1" x14ac:dyDescent="0.25">
      <c r="F537" s="19"/>
    </row>
    <row r="538" spans="6:6" ht="24.6" customHeight="1" x14ac:dyDescent="0.25">
      <c r="F538" s="19"/>
    </row>
    <row r="539" spans="6:6" ht="24.6" customHeight="1" x14ac:dyDescent="0.25">
      <c r="F539" s="19"/>
    </row>
    <row r="540" spans="6:6" ht="24.6" customHeight="1" x14ac:dyDescent="0.25">
      <c r="F540" s="19"/>
    </row>
    <row r="541" spans="6:6" ht="24.6" customHeight="1" x14ac:dyDescent="0.25">
      <c r="F541" s="19"/>
    </row>
    <row r="542" spans="6:6" ht="24.6" customHeight="1" x14ac:dyDescent="0.25">
      <c r="F542" s="19"/>
    </row>
    <row r="543" spans="6:6" ht="24.6" customHeight="1" x14ac:dyDescent="0.25">
      <c r="F543" s="19"/>
    </row>
    <row r="544" spans="6:6" ht="24.6" customHeight="1" x14ac:dyDescent="0.25">
      <c r="F544" s="19"/>
    </row>
    <row r="545" spans="6:6" ht="24.6" customHeight="1" x14ac:dyDescent="0.25">
      <c r="F545" s="19"/>
    </row>
    <row r="546" spans="6:6" ht="24.6" customHeight="1" x14ac:dyDescent="0.25">
      <c r="F546" s="19"/>
    </row>
    <row r="547" spans="6:6" ht="24.6" customHeight="1" x14ac:dyDescent="0.25">
      <c r="F547" s="19"/>
    </row>
    <row r="548" spans="6:6" ht="24.6" customHeight="1" x14ac:dyDescent="0.25">
      <c r="F548" s="19"/>
    </row>
    <row r="549" spans="6:6" ht="24.6" customHeight="1" x14ac:dyDescent="0.25">
      <c r="F549" s="19"/>
    </row>
    <row r="550" spans="6:6" ht="24.6" customHeight="1" x14ac:dyDescent="0.25">
      <c r="F550" s="19"/>
    </row>
    <row r="551" spans="6:6" ht="24.6" customHeight="1" x14ac:dyDescent="0.25">
      <c r="F551" s="19"/>
    </row>
    <row r="552" spans="6:6" ht="24.6" customHeight="1" x14ac:dyDescent="0.25">
      <c r="F552" s="19"/>
    </row>
    <row r="553" spans="6:6" ht="24.6" customHeight="1" x14ac:dyDescent="0.25">
      <c r="F553" s="19"/>
    </row>
    <row r="554" spans="6:6" ht="24.6" customHeight="1" x14ac:dyDescent="0.25">
      <c r="F554" s="19"/>
    </row>
    <row r="555" spans="6:6" ht="24.6" customHeight="1" x14ac:dyDescent="0.25">
      <c r="F555" s="19"/>
    </row>
    <row r="556" spans="6:6" ht="24.6" customHeight="1" x14ac:dyDescent="0.25">
      <c r="F556" s="19"/>
    </row>
    <row r="557" spans="6:6" ht="24.6" customHeight="1" x14ac:dyDescent="0.25">
      <c r="F557" s="19"/>
    </row>
    <row r="558" spans="6:6" ht="24.6" customHeight="1" x14ac:dyDescent="0.25">
      <c r="F558" s="19"/>
    </row>
    <row r="559" spans="6:6" ht="24.6" customHeight="1" x14ac:dyDescent="0.25">
      <c r="F559" s="19"/>
    </row>
    <row r="560" spans="6:6" ht="24.6" customHeight="1" x14ac:dyDescent="0.25">
      <c r="F560" s="19"/>
    </row>
    <row r="561" spans="6:6" ht="24.6" customHeight="1" x14ac:dyDescent="0.25">
      <c r="F561" s="19"/>
    </row>
    <row r="562" spans="6:6" ht="24.6" customHeight="1" x14ac:dyDescent="0.25">
      <c r="F562" s="19"/>
    </row>
    <row r="563" spans="6:6" ht="24.6" customHeight="1" x14ac:dyDescent="0.25">
      <c r="F563" s="19"/>
    </row>
    <row r="564" spans="6:6" ht="24.6" customHeight="1" x14ac:dyDescent="0.25">
      <c r="F564" s="19"/>
    </row>
    <row r="565" spans="6:6" ht="24.6" customHeight="1" x14ac:dyDescent="0.25">
      <c r="F565" s="19"/>
    </row>
    <row r="566" spans="6:6" ht="24.6" customHeight="1" x14ac:dyDescent="0.25">
      <c r="F566" s="19"/>
    </row>
    <row r="567" spans="6:6" ht="24.6" customHeight="1" x14ac:dyDescent="0.25">
      <c r="F567" s="19"/>
    </row>
    <row r="568" spans="6:6" ht="24.6" customHeight="1" x14ac:dyDescent="0.25">
      <c r="F568" s="19"/>
    </row>
    <row r="569" spans="6:6" ht="24.6" customHeight="1" x14ac:dyDescent="0.25">
      <c r="F569" s="19"/>
    </row>
    <row r="570" spans="6:6" ht="24.6" customHeight="1" x14ac:dyDescent="0.25">
      <c r="F570" s="19"/>
    </row>
    <row r="571" spans="6:6" ht="24.6" customHeight="1" x14ac:dyDescent="0.25">
      <c r="F571" s="19"/>
    </row>
    <row r="572" spans="6:6" ht="24.6" customHeight="1" x14ac:dyDescent="0.25">
      <c r="F572" s="19"/>
    </row>
    <row r="573" spans="6:6" ht="24.6" customHeight="1" x14ac:dyDescent="0.25">
      <c r="F573" s="19"/>
    </row>
    <row r="574" spans="6:6" ht="24.6" customHeight="1" x14ac:dyDescent="0.25">
      <c r="F574" s="19"/>
    </row>
    <row r="575" spans="6:6" ht="24.6" customHeight="1" x14ac:dyDescent="0.25">
      <c r="F575" s="19"/>
    </row>
    <row r="576" spans="6:6" ht="24.6" customHeight="1" x14ac:dyDescent="0.25">
      <c r="F576" s="19"/>
    </row>
    <row r="577" spans="6:6" ht="24.6" customHeight="1" x14ac:dyDescent="0.25">
      <c r="F577" s="19"/>
    </row>
    <row r="578" spans="6:6" ht="24.6" customHeight="1" x14ac:dyDescent="0.25">
      <c r="F578" s="19"/>
    </row>
    <row r="579" spans="6:6" ht="24.6" customHeight="1" x14ac:dyDescent="0.25">
      <c r="F579" s="19"/>
    </row>
    <row r="580" spans="6:6" ht="24.6" customHeight="1" x14ac:dyDescent="0.25">
      <c r="F580" s="19"/>
    </row>
    <row r="581" spans="6:6" ht="24.6" customHeight="1" x14ac:dyDescent="0.25">
      <c r="F581" s="19"/>
    </row>
    <row r="582" spans="6:6" ht="24.6" customHeight="1" x14ac:dyDescent="0.25">
      <c r="F582" s="19"/>
    </row>
    <row r="583" spans="6:6" ht="24.6" customHeight="1" x14ac:dyDescent="0.25">
      <c r="F583" s="19"/>
    </row>
    <row r="584" spans="6:6" ht="24.6" customHeight="1" x14ac:dyDescent="0.25">
      <c r="F584" s="19"/>
    </row>
    <row r="585" spans="6:6" ht="24.6" customHeight="1" x14ac:dyDescent="0.25">
      <c r="F585" s="19"/>
    </row>
    <row r="586" spans="6:6" ht="24.6" customHeight="1" x14ac:dyDescent="0.25">
      <c r="F586" s="19"/>
    </row>
    <row r="587" spans="6:6" ht="24.6" customHeight="1" x14ac:dyDescent="0.25">
      <c r="F587" s="19"/>
    </row>
    <row r="588" spans="6:6" ht="24.6" customHeight="1" x14ac:dyDescent="0.25">
      <c r="F588" s="19"/>
    </row>
    <row r="589" spans="6:6" ht="24.6" customHeight="1" x14ac:dyDescent="0.25">
      <c r="F589" s="19"/>
    </row>
    <row r="590" spans="6:6" ht="24.6" customHeight="1" x14ac:dyDescent="0.25">
      <c r="F590" s="19"/>
    </row>
    <row r="591" spans="6:6" ht="24.6" customHeight="1" x14ac:dyDescent="0.25">
      <c r="F591" s="19"/>
    </row>
    <row r="592" spans="6:6" ht="24.6" customHeight="1" x14ac:dyDescent="0.25">
      <c r="F592" s="19"/>
    </row>
    <row r="593" spans="6:6" ht="24.6" customHeight="1" x14ac:dyDescent="0.25">
      <c r="F593" s="19"/>
    </row>
    <row r="594" spans="6:6" ht="24.6" customHeight="1" x14ac:dyDescent="0.25">
      <c r="F594" s="19"/>
    </row>
    <row r="595" spans="6:6" ht="24.6" customHeight="1" x14ac:dyDescent="0.25">
      <c r="F595" s="19"/>
    </row>
    <row r="596" spans="6:6" ht="24.6" customHeight="1" x14ac:dyDescent="0.25">
      <c r="F596" s="19"/>
    </row>
    <row r="597" spans="6:6" ht="24.6" customHeight="1" x14ac:dyDescent="0.25">
      <c r="F597" s="19"/>
    </row>
    <row r="598" spans="6:6" ht="24.6" customHeight="1" x14ac:dyDescent="0.25">
      <c r="F598" s="19"/>
    </row>
    <row r="599" spans="6:6" ht="24.6" customHeight="1" x14ac:dyDescent="0.25">
      <c r="F599" s="19"/>
    </row>
    <row r="600" spans="6:6" ht="24.6" customHeight="1" x14ac:dyDescent="0.25">
      <c r="F600" s="19"/>
    </row>
    <row r="601" spans="6:6" ht="24.6" customHeight="1" x14ac:dyDescent="0.25">
      <c r="F601" s="19"/>
    </row>
    <row r="602" spans="6:6" ht="24.6" customHeight="1" x14ac:dyDescent="0.25">
      <c r="F602" s="19"/>
    </row>
    <row r="603" spans="6:6" ht="24.6" customHeight="1" x14ac:dyDescent="0.25">
      <c r="F603" s="19"/>
    </row>
    <row r="604" spans="6:6" ht="24.6" customHeight="1" x14ac:dyDescent="0.25">
      <c r="F604" s="19"/>
    </row>
    <row r="605" spans="6:6" ht="24.6" customHeight="1" x14ac:dyDescent="0.25">
      <c r="F605" s="19"/>
    </row>
    <row r="606" spans="6:6" ht="24.6" customHeight="1" x14ac:dyDescent="0.25">
      <c r="F606" s="19"/>
    </row>
    <row r="607" spans="6:6" ht="24.6" customHeight="1" x14ac:dyDescent="0.25">
      <c r="F607" s="19"/>
    </row>
    <row r="608" spans="6:6" ht="24.6" customHeight="1" x14ac:dyDescent="0.25">
      <c r="F608" s="19"/>
    </row>
    <row r="609" spans="6:6" ht="24.6" customHeight="1" x14ac:dyDescent="0.25">
      <c r="F609" s="19"/>
    </row>
    <row r="610" spans="6:6" ht="24.6" customHeight="1" x14ac:dyDescent="0.25">
      <c r="F610" s="19"/>
    </row>
    <row r="611" spans="6:6" ht="24.6" customHeight="1" x14ac:dyDescent="0.25">
      <c r="F611" s="19"/>
    </row>
    <row r="612" spans="6:6" ht="24.6" customHeight="1" x14ac:dyDescent="0.25">
      <c r="F612" s="19"/>
    </row>
    <row r="613" spans="6:6" ht="24.6" customHeight="1" x14ac:dyDescent="0.25">
      <c r="F613" s="19"/>
    </row>
    <row r="614" spans="6:6" ht="24.6" customHeight="1" x14ac:dyDescent="0.25">
      <c r="F614" s="19"/>
    </row>
    <row r="615" spans="6:6" ht="24.6" customHeight="1" x14ac:dyDescent="0.25">
      <c r="F615" s="19"/>
    </row>
    <row r="616" spans="6:6" ht="24.6" customHeight="1" x14ac:dyDescent="0.25">
      <c r="F616" s="19"/>
    </row>
    <row r="617" spans="6:6" ht="24.6" customHeight="1" x14ac:dyDescent="0.25">
      <c r="F617" s="19"/>
    </row>
    <row r="618" spans="6:6" ht="24.6" customHeight="1" x14ac:dyDescent="0.25">
      <c r="F618" s="19"/>
    </row>
    <row r="619" spans="6:6" ht="24.6" customHeight="1" x14ac:dyDescent="0.25">
      <c r="F619" s="19"/>
    </row>
    <row r="620" spans="6:6" ht="24.6" customHeight="1" x14ac:dyDescent="0.25">
      <c r="F620" s="19"/>
    </row>
    <row r="621" spans="6:6" ht="24.6" customHeight="1" x14ac:dyDescent="0.25">
      <c r="F621" s="19"/>
    </row>
    <row r="622" spans="6:6" ht="24.6" customHeight="1" x14ac:dyDescent="0.25">
      <c r="F622" s="19"/>
    </row>
    <row r="623" spans="6:6" ht="24.6" customHeight="1" x14ac:dyDescent="0.25">
      <c r="F623" s="19"/>
    </row>
    <row r="624" spans="6:6" ht="24.6" customHeight="1" x14ac:dyDescent="0.25">
      <c r="F624" s="19"/>
    </row>
    <row r="625" spans="6:6" ht="24.6" customHeight="1" x14ac:dyDescent="0.25">
      <c r="F625" s="19"/>
    </row>
    <row r="626" spans="6:6" ht="24.6" customHeight="1" x14ac:dyDescent="0.25">
      <c r="F626" s="19"/>
    </row>
    <row r="627" spans="6:6" ht="24.6" customHeight="1" x14ac:dyDescent="0.25">
      <c r="F627" s="19"/>
    </row>
    <row r="628" spans="6:6" ht="24.6" customHeight="1" x14ac:dyDescent="0.25">
      <c r="F628" s="19"/>
    </row>
    <row r="629" spans="6:6" ht="24.6" customHeight="1" x14ac:dyDescent="0.25">
      <c r="F629" s="19"/>
    </row>
    <row r="630" spans="6:6" ht="24.6" customHeight="1" x14ac:dyDescent="0.25">
      <c r="F630" s="19"/>
    </row>
    <row r="631" spans="6:6" ht="24.6" customHeight="1" x14ac:dyDescent="0.25">
      <c r="F631" s="19"/>
    </row>
    <row r="632" spans="6:6" ht="24.6" customHeight="1" x14ac:dyDescent="0.25">
      <c r="F632" s="19"/>
    </row>
    <row r="633" spans="6:6" ht="24.6" customHeight="1" x14ac:dyDescent="0.25">
      <c r="F633" s="19"/>
    </row>
    <row r="634" spans="6:6" ht="24.6" customHeight="1" x14ac:dyDescent="0.25">
      <c r="F634" s="19"/>
    </row>
    <row r="635" spans="6:6" ht="24.6" customHeight="1" x14ac:dyDescent="0.25">
      <c r="F635" s="19"/>
    </row>
    <row r="636" spans="6:6" ht="24.6" customHeight="1" x14ac:dyDescent="0.25">
      <c r="F636" s="19"/>
    </row>
    <row r="637" spans="6:6" ht="24.6" customHeight="1" x14ac:dyDescent="0.25">
      <c r="F637" s="19"/>
    </row>
    <row r="638" spans="6:6" ht="24.6" customHeight="1" x14ac:dyDescent="0.25">
      <c r="F638" s="19"/>
    </row>
    <row r="639" spans="6:6" ht="24.6" customHeight="1" x14ac:dyDescent="0.25">
      <c r="F639" s="19"/>
    </row>
    <row r="640" spans="6:6" ht="24.6" customHeight="1" x14ac:dyDescent="0.25">
      <c r="F640" s="19"/>
    </row>
    <row r="641" spans="6:6" ht="24.6" customHeight="1" x14ac:dyDescent="0.25">
      <c r="F641" s="19"/>
    </row>
    <row r="642" spans="6:6" ht="24.6" customHeight="1" x14ac:dyDescent="0.25">
      <c r="F642" s="19"/>
    </row>
    <row r="643" spans="6:6" ht="24.6" customHeight="1" x14ac:dyDescent="0.25">
      <c r="F643" s="19"/>
    </row>
    <row r="644" spans="6:6" ht="24.6" customHeight="1" x14ac:dyDescent="0.25">
      <c r="F644" s="19"/>
    </row>
    <row r="645" spans="6:6" ht="24.6" customHeight="1" x14ac:dyDescent="0.25">
      <c r="F645" s="19"/>
    </row>
    <row r="646" spans="6:6" ht="24.6" customHeight="1" x14ac:dyDescent="0.25">
      <c r="F646" s="19"/>
    </row>
    <row r="647" spans="6:6" ht="24.6" customHeight="1" x14ac:dyDescent="0.25">
      <c r="F647" s="19"/>
    </row>
    <row r="648" spans="6:6" ht="24.6" customHeight="1" x14ac:dyDescent="0.25">
      <c r="F648" s="19"/>
    </row>
    <row r="649" spans="6:6" ht="24.6" customHeight="1" x14ac:dyDescent="0.25">
      <c r="F649" s="19"/>
    </row>
    <row r="650" spans="6:6" ht="24.6" customHeight="1" x14ac:dyDescent="0.25">
      <c r="F650" s="19"/>
    </row>
    <row r="651" spans="6:6" ht="24.6" customHeight="1" x14ac:dyDescent="0.25">
      <c r="F651" s="19"/>
    </row>
    <row r="652" spans="6:6" ht="24.6" customHeight="1" x14ac:dyDescent="0.25">
      <c r="F652" s="19"/>
    </row>
    <row r="653" spans="6:6" ht="24.6" customHeight="1" x14ac:dyDescent="0.25">
      <c r="F653" s="19"/>
    </row>
    <row r="654" spans="6:6" ht="24.6" customHeight="1" x14ac:dyDescent="0.25">
      <c r="F654" s="19"/>
    </row>
    <row r="655" spans="6:6" ht="24.6" customHeight="1" x14ac:dyDescent="0.25">
      <c r="F655" s="19"/>
    </row>
    <row r="656" spans="6:6" ht="24.6" customHeight="1" x14ac:dyDescent="0.25">
      <c r="F656" s="19"/>
    </row>
    <row r="657" spans="6:6" ht="24.6" customHeight="1" x14ac:dyDescent="0.25">
      <c r="F657" s="19"/>
    </row>
    <row r="658" spans="6:6" ht="24.6" customHeight="1" x14ac:dyDescent="0.25">
      <c r="F658" s="19"/>
    </row>
    <row r="659" spans="6:6" ht="24.6" customHeight="1" x14ac:dyDescent="0.25">
      <c r="F659" s="19"/>
    </row>
    <row r="660" spans="6:6" ht="24.6" customHeight="1" x14ac:dyDescent="0.25">
      <c r="F660" s="19"/>
    </row>
    <row r="661" spans="6:6" ht="24.6" customHeight="1" x14ac:dyDescent="0.25">
      <c r="F661" s="19"/>
    </row>
    <row r="662" spans="6:6" ht="24.6" customHeight="1" x14ac:dyDescent="0.25">
      <c r="F662" s="19"/>
    </row>
    <row r="663" spans="6:6" ht="24.6" customHeight="1" x14ac:dyDescent="0.25">
      <c r="F663" s="19"/>
    </row>
    <row r="664" spans="6:6" ht="24.6" customHeight="1" x14ac:dyDescent="0.25">
      <c r="F664" s="19"/>
    </row>
    <row r="665" spans="6:6" ht="24.6" customHeight="1" x14ac:dyDescent="0.25">
      <c r="F665" s="19"/>
    </row>
    <row r="666" spans="6:6" ht="24.6" customHeight="1" x14ac:dyDescent="0.25">
      <c r="F666" s="19"/>
    </row>
    <row r="667" spans="6:6" ht="24.6" customHeight="1" x14ac:dyDescent="0.25">
      <c r="F667" s="19"/>
    </row>
    <row r="668" spans="6:6" ht="24.6" customHeight="1" x14ac:dyDescent="0.25">
      <c r="F668" s="19"/>
    </row>
    <row r="669" spans="6:6" ht="24.6" customHeight="1" x14ac:dyDescent="0.25">
      <c r="F669" s="19"/>
    </row>
    <row r="670" spans="6:6" ht="24.6" customHeight="1" x14ac:dyDescent="0.25">
      <c r="F670" s="19"/>
    </row>
    <row r="671" spans="6:6" ht="24.6" customHeight="1" x14ac:dyDescent="0.25">
      <c r="F671" s="19"/>
    </row>
    <row r="672" spans="6:6" ht="24.6" customHeight="1" x14ac:dyDescent="0.25">
      <c r="F672" s="19"/>
    </row>
    <row r="673" spans="6:6" ht="24.6" customHeight="1" x14ac:dyDescent="0.25">
      <c r="F673" s="19"/>
    </row>
    <row r="674" spans="6:6" ht="24.6" customHeight="1" x14ac:dyDescent="0.25">
      <c r="F674" s="19"/>
    </row>
    <row r="675" spans="6:6" ht="24.6" customHeight="1" x14ac:dyDescent="0.25">
      <c r="F675" s="19"/>
    </row>
    <row r="676" spans="6:6" ht="24.6" customHeight="1" x14ac:dyDescent="0.25">
      <c r="F676" s="19"/>
    </row>
    <row r="677" spans="6:6" ht="24.6" customHeight="1" x14ac:dyDescent="0.25">
      <c r="F677" s="19"/>
    </row>
    <row r="678" spans="6:6" ht="24.6" customHeight="1" x14ac:dyDescent="0.25">
      <c r="F678" s="19"/>
    </row>
    <row r="679" spans="6:6" ht="24.6" customHeight="1" x14ac:dyDescent="0.25">
      <c r="F679" s="19"/>
    </row>
    <row r="680" spans="6:6" ht="24.6" customHeight="1" x14ac:dyDescent="0.25">
      <c r="F680" s="19"/>
    </row>
    <row r="681" spans="6:6" ht="24.6" customHeight="1" x14ac:dyDescent="0.25">
      <c r="F681" s="19"/>
    </row>
    <row r="682" spans="6:6" ht="24.6" customHeight="1" x14ac:dyDescent="0.25">
      <c r="F682" s="19"/>
    </row>
    <row r="683" spans="6:6" ht="24.6" customHeight="1" x14ac:dyDescent="0.25">
      <c r="F683" s="19"/>
    </row>
    <row r="684" spans="6:6" ht="24.6" customHeight="1" x14ac:dyDescent="0.25">
      <c r="F684" s="19"/>
    </row>
    <row r="685" spans="6:6" ht="24.6" customHeight="1" x14ac:dyDescent="0.25">
      <c r="F685" s="19"/>
    </row>
    <row r="686" spans="6:6" ht="24.6" customHeight="1" x14ac:dyDescent="0.25">
      <c r="F686" s="19"/>
    </row>
    <row r="687" spans="6:6" ht="24.6" customHeight="1" x14ac:dyDescent="0.25">
      <c r="F687" s="19"/>
    </row>
    <row r="688" spans="6:6" ht="24.6" customHeight="1" x14ac:dyDescent="0.25">
      <c r="F688" s="19"/>
    </row>
    <row r="689" spans="6:6" ht="24.6" customHeight="1" x14ac:dyDescent="0.25">
      <c r="F689" s="19"/>
    </row>
    <row r="690" spans="6:6" ht="24.6" customHeight="1" x14ac:dyDescent="0.25">
      <c r="F690" s="19"/>
    </row>
    <row r="691" spans="6:6" ht="24.6" customHeight="1" x14ac:dyDescent="0.25">
      <c r="F691" s="19"/>
    </row>
    <row r="692" spans="6:6" ht="24.6" customHeight="1" x14ac:dyDescent="0.25">
      <c r="F692" s="19"/>
    </row>
    <row r="693" spans="6:6" ht="24.6" customHeight="1" x14ac:dyDescent="0.25">
      <c r="F693" s="19"/>
    </row>
    <row r="694" spans="6:6" ht="24.6" customHeight="1" x14ac:dyDescent="0.25">
      <c r="F694" s="19"/>
    </row>
    <row r="695" spans="6:6" ht="24.6" customHeight="1" x14ac:dyDescent="0.25">
      <c r="F695" s="19"/>
    </row>
    <row r="696" spans="6:6" ht="24.6" customHeight="1" x14ac:dyDescent="0.25">
      <c r="F696" s="19"/>
    </row>
    <row r="697" spans="6:6" ht="24.6" customHeight="1" x14ac:dyDescent="0.25">
      <c r="F697" s="19"/>
    </row>
    <row r="698" spans="6:6" ht="24.6" customHeight="1" x14ac:dyDescent="0.25">
      <c r="F698" s="19"/>
    </row>
    <row r="699" spans="6:6" ht="24.6" customHeight="1" x14ac:dyDescent="0.25">
      <c r="F699" s="19"/>
    </row>
    <row r="700" spans="6:6" ht="24.6" customHeight="1" x14ac:dyDescent="0.25">
      <c r="F700" s="19"/>
    </row>
    <row r="701" spans="6:6" ht="24.6" customHeight="1" x14ac:dyDescent="0.25">
      <c r="F701" s="19"/>
    </row>
    <row r="702" spans="6:6" ht="24.6" customHeight="1" x14ac:dyDescent="0.25">
      <c r="F702" s="19"/>
    </row>
    <row r="703" spans="6:6" ht="24.6" customHeight="1" x14ac:dyDescent="0.25">
      <c r="F703" s="19"/>
    </row>
    <row r="704" spans="6:6" ht="24.6" customHeight="1" x14ac:dyDescent="0.25">
      <c r="F704" s="19"/>
    </row>
    <row r="705" spans="6:6" ht="24.6" customHeight="1" x14ac:dyDescent="0.25">
      <c r="F705" s="19"/>
    </row>
    <row r="706" spans="6:6" ht="24.6" customHeight="1" x14ac:dyDescent="0.25">
      <c r="F706" s="19"/>
    </row>
    <row r="707" spans="6:6" ht="24.6" customHeight="1" x14ac:dyDescent="0.25">
      <c r="F707" s="19"/>
    </row>
    <row r="708" spans="6:6" ht="24.6" customHeight="1" x14ac:dyDescent="0.25">
      <c r="F708" s="19"/>
    </row>
    <row r="709" spans="6:6" ht="24.6" customHeight="1" x14ac:dyDescent="0.25">
      <c r="F709" s="19"/>
    </row>
    <row r="710" spans="6:6" ht="24.6" customHeight="1" x14ac:dyDescent="0.25">
      <c r="F710" s="19"/>
    </row>
    <row r="711" spans="6:6" ht="24.6" customHeight="1" x14ac:dyDescent="0.25">
      <c r="F711" s="19"/>
    </row>
    <row r="712" spans="6:6" ht="24.6" customHeight="1" x14ac:dyDescent="0.25">
      <c r="F712" s="19"/>
    </row>
    <row r="713" spans="6:6" ht="24.6" customHeight="1" x14ac:dyDescent="0.25">
      <c r="F713" s="19"/>
    </row>
    <row r="714" spans="6:6" ht="24.6" customHeight="1" x14ac:dyDescent="0.25">
      <c r="F714" s="19"/>
    </row>
    <row r="715" spans="6:6" ht="24.6" customHeight="1" x14ac:dyDescent="0.25">
      <c r="F715" s="19"/>
    </row>
    <row r="716" spans="6:6" ht="24.6" customHeight="1" x14ac:dyDescent="0.25">
      <c r="F716" s="19"/>
    </row>
    <row r="717" spans="6:6" ht="24.6" customHeight="1" x14ac:dyDescent="0.25">
      <c r="F717" s="19"/>
    </row>
    <row r="718" spans="6:6" ht="24.6" customHeight="1" x14ac:dyDescent="0.25">
      <c r="F718" s="19"/>
    </row>
    <row r="719" spans="6:6" ht="24.6" customHeight="1" x14ac:dyDescent="0.25">
      <c r="F719" s="19"/>
    </row>
    <row r="720" spans="6:6" ht="24.6" customHeight="1" x14ac:dyDescent="0.25">
      <c r="F720" s="19"/>
    </row>
    <row r="721" spans="6:6" ht="24.6" customHeight="1" x14ac:dyDescent="0.25">
      <c r="F721" s="19"/>
    </row>
    <row r="722" spans="6:6" ht="24.6" customHeight="1" x14ac:dyDescent="0.25">
      <c r="F722" s="19"/>
    </row>
    <row r="723" spans="6:6" ht="24.6" customHeight="1" x14ac:dyDescent="0.25">
      <c r="F723" s="19"/>
    </row>
    <row r="724" spans="6:6" ht="24.6" customHeight="1" x14ac:dyDescent="0.25">
      <c r="F724" s="19"/>
    </row>
    <row r="725" spans="6:6" ht="24.6" customHeight="1" x14ac:dyDescent="0.25">
      <c r="F725" s="19"/>
    </row>
    <row r="726" spans="6:6" ht="24.6" customHeight="1" x14ac:dyDescent="0.25">
      <c r="F726" s="19"/>
    </row>
    <row r="727" spans="6:6" ht="24.6" customHeight="1" x14ac:dyDescent="0.25">
      <c r="F727" s="19"/>
    </row>
    <row r="728" spans="6:6" ht="24.6" customHeight="1" x14ac:dyDescent="0.25">
      <c r="F728" s="19"/>
    </row>
    <row r="729" spans="6:6" ht="24.6" customHeight="1" x14ac:dyDescent="0.25">
      <c r="F729" s="19"/>
    </row>
    <row r="730" spans="6:6" ht="24.6" customHeight="1" x14ac:dyDescent="0.25">
      <c r="F730" s="19"/>
    </row>
    <row r="731" spans="6:6" ht="24.6" customHeight="1" x14ac:dyDescent="0.25">
      <c r="F731" s="19"/>
    </row>
    <row r="732" spans="6:6" ht="24.6" customHeight="1" x14ac:dyDescent="0.25">
      <c r="F732" s="19"/>
    </row>
    <row r="733" spans="6:6" ht="24.6" customHeight="1" x14ac:dyDescent="0.25">
      <c r="F733" s="19"/>
    </row>
    <row r="734" spans="6:6" ht="24.6" customHeight="1" x14ac:dyDescent="0.25">
      <c r="F734" s="19"/>
    </row>
    <row r="735" spans="6:6" ht="24.6" customHeight="1" x14ac:dyDescent="0.25">
      <c r="F735" s="19"/>
    </row>
    <row r="736" spans="6:6" ht="24.6" customHeight="1" x14ac:dyDescent="0.25">
      <c r="F736" s="19"/>
    </row>
    <row r="737" spans="6:6" ht="24.6" customHeight="1" x14ac:dyDescent="0.25">
      <c r="F737" s="19"/>
    </row>
    <row r="738" spans="6:6" ht="24.6" customHeight="1" x14ac:dyDescent="0.25">
      <c r="F738" s="19"/>
    </row>
    <row r="739" spans="6:6" ht="24.6" customHeight="1" x14ac:dyDescent="0.25">
      <c r="F739" s="19"/>
    </row>
    <row r="740" spans="6:6" ht="24.6" customHeight="1" x14ac:dyDescent="0.25">
      <c r="F740" s="19"/>
    </row>
    <row r="741" spans="6:6" ht="24.6" customHeight="1" x14ac:dyDescent="0.25">
      <c r="F741" s="19"/>
    </row>
    <row r="742" spans="6:6" ht="24.6" customHeight="1" x14ac:dyDescent="0.25">
      <c r="F742" s="19"/>
    </row>
    <row r="743" spans="6:6" ht="24.6" customHeight="1" x14ac:dyDescent="0.25">
      <c r="F743" s="19"/>
    </row>
    <row r="744" spans="6:6" ht="24.6" customHeight="1" x14ac:dyDescent="0.25">
      <c r="F744" s="19"/>
    </row>
    <row r="745" spans="6:6" ht="24.6" customHeight="1" x14ac:dyDescent="0.25">
      <c r="F745" s="19"/>
    </row>
    <row r="746" spans="6:6" ht="24.6" customHeight="1" x14ac:dyDescent="0.25">
      <c r="F746" s="19"/>
    </row>
    <row r="747" spans="6:6" ht="24.6" customHeight="1" x14ac:dyDescent="0.25">
      <c r="F747" s="19"/>
    </row>
    <row r="748" spans="6:6" ht="24.6" customHeight="1" x14ac:dyDescent="0.25">
      <c r="F748" s="19"/>
    </row>
    <row r="749" spans="6:6" ht="24.6" customHeight="1" x14ac:dyDescent="0.25">
      <c r="F749" s="19"/>
    </row>
    <row r="750" spans="6:6" ht="24.6" customHeight="1" x14ac:dyDescent="0.25">
      <c r="F750" s="19"/>
    </row>
    <row r="751" spans="6:6" ht="24.6" customHeight="1" x14ac:dyDescent="0.25">
      <c r="F751" s="19"/>
    </row>
    <row r="752" spans="6:6" ht="24.6" customHeight="1" x14ac:dyDescent="0.25">
      <c r="F752" s="19"/>
    </row>
    <row r="753" spans="6:6" ht="24.6" customHeight="1" x14ac:dyDescent="0.25">
      <c r="F753" s="19"/>
    </row>
    <row r="754" spans="6:6" ht="24.6" customHeight="1" x14ac:dyDescent="0.25">
      <c r="F754" s="19"/>
    </row>
    <row r="755" spans="6:6" ht="24.6" customHeight="1" x14ac:dyDescent="0.25">
      <c r="F755" s="19"/>
    </row>
    <row r="756" spans="6:6" ht="24.6" customHeight="1" x14ac:dyDescent="0.25">
      <c r="F756" s="19"/>
    </row>
    <row r="757" spans="6:6" ht="24.6" customHeight="1" x14ac:dyDescent="0.25">
      <c r="F757" s="19"/>
    </row>
    <row r="758" spans="6:6" ht="24.6" customHeight="1" x14ac:dyDescent="0.25">
      <c r="F758" s="19"/>
    </row>
    <row r="759" spans="6:6" ht="24.6" customHeight="1" x14ac:dyDescent="0.25">
      <c r="F759" s="19"/>
    </row>
    <row r="760" spans="6:6" ht="24.6" customHeight="1" x14ac:dyDescent="0.25">
      <c r="F760" s="19"/>
    </row>
    <row r="761" spans="6:6" ht="24.6" customHeight="1" x14ac:dyDescent="0.25">
      <c r="F761" s="19"/>
    </row>
    <row r="762" spans="6:6" ht="24.6" customHeight="1" x14ac:dyDescent="0.25">
      <c r="F762" s="19"/>
    </row>
    <row r="763" spans="6:6" ht="24.6" customHeight="1" x14ac:dyDescent="0.25">
      <c r="F763" s="19"/>
    </row>
    <row r="764" spans="6:6" ht="24.6" customHeight="1" x14ac:dyDescent="0.25">
      <c r="F764" s="19"/>
    </row>
    <row r="765" spans="6:6" ht="24.6" customHeight="1" x14ac:dyDescent="0.25">
      <c r="F765" s="19"/>
    </row>
    <row r="766" spans="6:6" ht="24.6" customHeight="1" x14ac:dyDescent="0.25">
      <c r="F766" s="19"/>
    </row>
    <row r="767" spans="6:6" ht="24.6" customHeight="1" x14ac:dyDescent="0.25">
      <c r="F767" s="19"/>
    </row>
    <row r="768" spans="6:6" ht="24.6" customHeight="1" x14ac:dyDescent="0.25">
      <c r="F768" s="19"/>
    </row>
    <row r="769" spans="6:6" ht="24.6" customHeight="1" x14ac:dyDescent="0.25">
      <c r="F769" s="19"/>
    </row>
    <row r="770" spans="6:6" ht="24.6" customHeight="1" x14ac:dyDescent="0.25">
      <c r="F770" s="19"/>
    </row>
    <row r="771" spans="6:6" ht="24.6" customHeight="1" x14ac:dyDescent="0.25">
      <c r="F771" s="19"/>
    </row>
    <row r="772" spans="6:6" ht="24.6" customHeight="1" x14ac:dyDescent="0.25">
      <c r="F772" s="19"/>
    </row>
    <row r="773" spans="6:6" ht="24.6" customHeight="1" x14ac:dyDescent="0.25">
      <c r="F773" s="19"/>
    </row>
    <row r="774" spans="6:6" ht="24.6" customHeight="1" x14ac:dyDescent="0.25">
      <c r="F774" s="19"/>
    </row>
    <row r="775" spans="6:6" ht="24.6" customHeight="1" x14ac:dyDescent="0.25">
      <c r="F775" s="19"/>
    </row>
    <row r="776" spans="6:6" ht="24.6" customHeight="1" x14ac:dyDescent="0.25">
      <c r="F776" s="19"/>
    </row>
    <row r="777" spans="6:6" ht="24.6" customHeight="1" x14ac:dyDescent="0.25">
      <c r="F777" s="19"/>
    </row>
    <row r="778" spans="6:6" ht="24.6" customHeight="1" x14ac:dyDescent="0.25">
      <c r="F778" s="19"/>
    </row>
    <row r="779" spans="6:6" ht="24.6" customHeight="1" x14ac:dyDescent="0.25">
      <c r="F779" s="19"/>
    </row>
    <row r="780" spans="6:6" ht="24.6" customHeight="1" x14ac:dyDescent="0.25">
      <c r="F780" s="19"/>
    </row>
    <row r="781" spans="6:6" ht="24.6" customHeight="1" x14ac:dyDescent="0.25">
      <c r="F781" s="19"/>
    </row>
    <row r="782" spans="6:6" ht="24.6" customHeight="1" x14ac:dyDescent="0.25">
      <c r="F782" s="19"/>
    </row>
    <row r="783" spans="6:6" ht="24.6" customHeight="1" x14ac:dyDescent="0.25">
      <c r="F783" s="19"/>
    </row>
    <row r="784" spans="6:6" ht="24.6" customHeight="1" x14ac:dyDescent="0.25">
      <c r="F784" s="19"/>
    </row>
    <row r="785" spans="6:6" ht="24.6" customHeight="1" x14ac:dyDescent="0.25">
      <c r="F785" s="19"/>
    </row>
    <row r="786" spans="6:6" ht="24.6" customHeight="1" x14ac:dyDescent="0.25">
      <c r="F786" s="19"/>
    </row>
    <row r="787" spans="6:6" ht="24.6" customHeight="1" x14ac:dyDescent="0.25">
      <c r="F787" s="19"/>
    </row>
    <row r="788" spans="6:6" ht="24.6" customHeight="1" x14ac:dyDescent="0.25">
      <c r="F788" s="19"/>
    </row>
    <row r="789" spans="6:6" ht="24.6" customHeight="1" x14ac:dyDescent="0.25">
      <c r="F789" s="19"/>
    </row>
    <row r="790" spans="6:6" ht="24.6" customHeight="1" x14ac:dyDescent="0.25">
      <c r="F790" s="19"/>
    </row>
    <row r="791" spans="6:6" ht="24.6" customHeight="1" x14ac:dyDescent="0.25">
      <c r="F791" s="19"/>
    </row>
    <row r="792" spans="6:6" ht="24.6" customHeight="1" x14ac:dyDescent="0.25">
      <c r="F792" s="19"/>
    </row>
    <row r="793" spans="6:6" ht="24.6" customHeight="1" x14ac:dyDescent="0.25">
      <c r="F793" s="19"/>
    </row>
    <row r="794" spans="6:6" ht="24.6" customHeight="1" x14ac:dyDescent="0.25">
      <c r="F794" s="19"/>
    </row>
    <row r="795" spans="6:6" ht="24.6" customHeight="1" x14ac:dyDescent="0.25">
      <c r="F795" s="19"/>
    </row>
    <row r="796" spans="6:6" ht="24.6" customHeight="1" x14ac:dyDescent="0.25">
      <c r="F796" s="19"/>
    </row>
    <row r="797" spans="6:6" ht="24.6" customHeight="1" x14ac:dyDescent="0.25">
      <c r="F797" s="19"/>
    </row>
    <row r="798" spans="6:6" ht="24.6" customHeight="1" x14ac:dyDescent="0.25">
      <c r="F798" s="19"/>
    </row>
    <row r="799" spans="6:6" ht="24.6" customHeight="1" x14ac:dyDescent="0.25">
      <c r="F799" s="19"/>
    </row>
    <row r="800" spans="6:6" ht="24.6" customHeight="1" x14ac:dyDescent="0.25">
      <c r="F800" s="19"/>
    </row>
    <row r="801" spans="6:6" ht="24.6" customHeight="1" x14ac:dyDescent="0.25">
      <c r="F801" s="19"/>
    </row>
    <row r="802" spans="6:6" ht="24.6" customHeight="1" x14ac:dyDescent="0.25">
      <c r="F802" s="19"/>
    </row>
    <row r="803" spans="6:6" ht="24.6" customHeight="1" x14ac:dyDescent="0.25">
      <c r="F803" s="19"/>
    </row>
    <row r="804" spans="6:6" ht="24.6" customHeight="1" x14ac:dyDescent="0.25">
      <c r="F804" s="19"/>
    </row>
    <row r="805" spans="6:6" ht="24.6" customHeight="1" x14ac:dyDescent="0.25">
      <c r="F805" s="19"/>
    </row>
    <row r="806" spans="6:6" ht="24.6" customHeight="1" x14ac:dyDescent="0.25">
      <c r="F806" s="19"/>
    </row>
    <row r="807" spans="6:6" ht="24.6" customHeight="1" x14ac:dyDescent="0.25">
      <c r="F807" s="19"/>
    </row>
    <row r="808" spans="6:6" ht="24.6" customHeight="1" x14ac:dyDescent="0.25">
      <c r="F808" s="19"/>
    </row>
    <row r="809" spans="6:6" ht="24.6" customHeight="1" x14ac:dyDescent="0.25">
      <c r="F809" s="19"/>
    </row>
    <row r="810" spans="6:6" ht="24.6" customHeight="1" x14ac:dyDescent="0.25">
      <c r="F810" s="19"/>
    </row>
    <row r="811" spans="6:6" ht="24.6" customHeight="1" x14ac:dyDescent="0.25">
      <c r="F811" s="19"/>
    </row>
    <row r="812" spans="6:6" ht="24.6" customHeight="1" x14ac:dyDescent="0.25">
      <c r="F812" s="19"/>
    </row>
    <row r="813" spans="6:6" ht="24.6" customHeight="1" x14ac:dyDescent="0.25">
      <c r="F813" s="19"/>
    </row>
    <row r="814" spans="6:6" ht="24.6" customHeight="1" x14ac:dyDescent="0.25">
      <c r="F814" s="19"/>
    </row>
    <row r="815" spans="6:6" ht="24.6" customHeight="1" x14ac:dyDescent="0.25">
      <c r="F815" s="19"/>
    </row>
    <row r="816" spans="6:6" ht="24.6" customHeight="1" x14ac:dyDescent="0.25">
      <c r="F816" s="19"/>
    </row>
    <row r="817" spans="6:6" ht="24.6" customHeight="1" x14ac:dyDescent="0.25">
      <c r="F817" s="19"/>
    </row>
    <row r="818" spans="6:6" ht="24.6" customHeight="1" x14ac:dyDescent="0.25">
      <c r="F818" s="19"/>
    </row>
    <row r="819" spans="6:6" ht="24.6" customHeight="1" x14ac:dyDescent="0.25">
      <c r="F819" s="19"/>
    </row>
    <row r="820" spans="6:6" ht="24.6" customHeight="1" x14ac:dyDescent="0.25">
      <c r="F820" s="19"/>
    </row>
    <row r="821" spans="6:6" ht="24.6" customHeight="1" x14ac:dyDescent="0.25">
      <c r="F821" s="19"/>
    </row>
    <row r="822" spans="6:6" ht="24.6" customHeight="1" x14ac:dyDescent="0.25">
      <c r="F822" s="19"/>
    </row>
    <row r="823" spans="6:6" ht="24.6" customHeight="1" x14ac:dyDescent="0.25">
      <c r="F823" s="19"/>
    </row>
    <row r="824" spans="6:6" ht="24.6" customHeight="1" x14ac:dyDescent="0.25">
      <c r="F824" s="19"/>
    </row>
    <row r="825" spans="6:6" ht="24.6" customHeight="1" x14ac:dyDescent="0.25">
      <c r="F825" s="19"/>
    </row>
    <row r="826" spans="6:6" ht="24.6" customHeight="1" x14ac:dyDescent="0.25">
      <c r="F826" s="19"/>
    </row>
    <row r="827" spans="6:6" ht="24.6" customHeight="1" x14ac:dyDescent="0.25">
      <c r="F827" s="19"/>
    </row>
    <row r="828" spans="6:6" ht="24.6" customHeight="1" x14ac:dyDescent="0.25">
      <c r="F828" s="19"/>
    </row>
    <row r="829" spans="6:6" ht="24.6" customHeight="1" x14ac:dyDescent="0.25">
      <c r="F829" s="19"/>
    </row>
    <row r="830" spans="6:6" ht="24.6" customHeight="1" x14ac:dyDescent="0.25">
      <c r="F830" s="19"/>
    </row>
    <row r="831" spans="6:6" ht="24.6" customHeight="1" x14ac:dyDescent="0.25">
      <c r="F831" s="19"/>
    </row>
    <row r="832" spans="6:6" ht="24.6" customHeight="1" x14ac:dyDescent="0.25">
      <c r="F832" s="19"/>
    </row>
    <row r="833" spans="6:6" ht="24.6" customHeight="1" x14ac:dyDescent="0.25">
      <c r="F833" s="19"/>
    </row>
    <row r="834" spans="6:6" ht="24.6" customHeight="1" x14ac:dyDescent="0.25">
      <c r="F834" s="19"/>
    </row>
    <row r="835" spans="6:6" ht="24.6" customHeight="1" x14ac:dyDescent="0.25">
      <c r="F835" s="19"/>
    </row>
    <row r="836" spans="6:6" ht="24.6" customHeight="1" x14ac:dyDescent="0.25">
      <c r="F836" s="19"/>
    </row>
    <row r="837" spans="6:6" ht="24.6" customHeight="1" x14ac:dyDescent="0.25">
      <c r="F837" s="19"/>
    </row>
    <row r="838" spans="6:6" ht="24.6" customHeight="1" x14ac:dyDescent="0.25">
      <c r="F838" s="19"/>
    </row>
    <row r="839" spans="6:6" ht="24.6" customHeight="1" x14ac:dyDescent="0.25">
      <c r="F839" s="19"/>
    </row>
    <row r="840" spans="6:6" ht="24.6" customHeight="1" x14ac:dyDescent="0.25">
      <c r="F840" s="19"/>
    </row>
    <row r="841" spans="6:6" ht="24.6" customHeight="1" x14ac:dyDescent="0.25">
      <c r="F841" s="19"/>
    </row>
    <row r="842" spans="6:6" ht="24.6" customHeight="1" x14ac:dyDescent="0.25">
      <c r="F842" s="19"/>
    </row>
    <row r="843" spans="6:6" ht="24.6" customHeight="1" x14ac:dyDescent="0.25">
      <c r="F843" s="19"/>
    </row>
    <row r="844" spans="6:6" ht="24.6" customHeight="1" x14ac:dyDescent="0.25">
      <c r="F844" s="19"/>
    </row>
    <row r="845" spans="6:6" ht="24.6" customHeight="1" x14ac:dyDescent="0.25">
      <c r="F845" s="19"/>
    </row>
    <row r="846" spans="6:6" ht="24.6" customHeight="1" x14ac:dyDescent="0.25">
      <c r="F846" s="19"/>
    </row>
    <row r="847" spans="6:6" ht="24.6" customHeight="1" x14ac:dyDescent="0.25">
      <c r="F847" s="19"/>
    </row>
    <row r="848" spans="6:6" ht="24.6" customHeight="1" x14ac:dyDescent="0.25">
      <c r="F848" s="19"/>
    </row>
    <row r="849" spans="6:6" ht="24.6" customHeight="1" x14ac:dyDescent="0.25">
      <c r="F849" s="19"/>
    </row>
    <row r="850" spans="6:6" ht="24.6" customHeight="1" x14ac:dyDescent="0.25">
      <c r="F850" s="19"/>
    </row>
    <row r="851" spans="6:6" ht="24.6" customHeight="1" x14ac:dyDescent="0.25">
      <c r="F851" s="19"/>
    </row>
    <row r="852" spans="6:6" ht="24.6" customHeight="1" x14ac:dyDescent="0.25">
      <c r="F852" s="19"/>
    </row>
    <row r="853" spans="6:6" ht="24.6" customHeight="1" x14ac:dyDescent="0.25">
      <c r="F853" s="19"/>
    </row>
    <row r="854" spans="6:6" ht="24.6" customHeight="1" x14ac:dyDescent="0.25">
      <c r="F854" s="19"/>
    </row>
    <row r="855" spans="6:6" ht="24.6" customHeight="1" x14ac:dyDescent="0.25">
      <c r="F855" s="19"/>
    </row>
    <row r="856" spans="6:6" ht="24.6" customHeight="1" x14ac:dyDescent="0.25">
      <c r="F856" s="19"/>
    </row>
    <row r="857" spans="6:6" ht="24.6" customHeight="1" x14ac:dyDescent="0.25">
      <c r="F857" s="19"/>
    </row>
    <row r="858" spans="6:6" ht="24.6" customHeight="1" x14ac:dyDescent="0.25">
      <c r="F858" s="19"/>
    </row>
    <row r="859" spans="6:6" ht="24.6" customHeight="1" x14ac:dyDescent="0.25">
      <c r="F859" s="19"/>
    </row>
    <row r="860" spans="6:6" ht="24.6" customHeight="1" x14ac:dyDescent="0.25">
      <c r="F860" s="19"/>
    </row>
    <row r="861" spans="6:6" ht="24.6" customHeight="1" x14ac:dyDescent="0.25">
      <c r="F861" s="19"/>
    </row>
    <row r="862" spans="6:6" ht="24.6" customHeight="1" x14ac:dyDescent="0.25">
      <c r="F862" s="19"/>
    </row>
    <row r="863" spans="6:6" ht="24.6" customHeight="1" x14ac:dyDescent="0.25">
      <c r="F863" s="19"/>
    </row>
    <row r="864" spans="6:6" ht="24.6" customHeight="1" x14ac:dyDescent="0.25">
      <c r="F864" s="19"/>
    </row>
    <row r="865" spans="6:6" ht="24.6" customHeight="1" x14ac:dyDescent="0.25">
      <c r="F865" s="19"/>
    </row>
    <row r="866" spans="6:6" ht="24.6" customHeight="1" x14ac:dyDescent="0.25">
      <c r="F866" s="19"/>
    </row>
    <row r="867" spans="6:6" ht="24.6" customHeight="1" x14ac:dyDescent="0.25">
      <c r="F867" s="19"/>
    </row>
    <row r="868" spans="6:6" ht="24.6" customHeight="1" x14ac:dyDescent="0.25">
      <c r="F868" s="19"/>
    </row>
    <row r="869" spans="6:6" ht="24.6" customHeight="1" x14ac:dyDescent="0.25">
      <c r="F869" s="19"/>
    </row>
    <row r="870" spans="6:6" ht="24.6" customHeight="1" x14ac:dyDescent="0.25">
      <c r="F870" s="19"/>
    </row>
    <row r="871" spans="6:6" ht="24.6" customHeight="1" x14ac:dyDescent="0.25">
      <c r="F871" s="19"/>
    </row>
    <row r="872" spans="6:6" ht="24.6" customHeight="1" x14ac:dyDescent="0.25">
      <c r="F872" s="19"/>
    </row>
    <row r="873" spans="6:6" ht="24.6" customHeight="1" x14ac:dyDescent="0.25">
      <c r="F873" s="19"/>
    </row>
    <row r="874" spans="6:6" ht="24.6" customHeight="1" x14ac:dyDescent="0.25">
      <c r="F874" s="19"/>
    </row>
    <row r="875" spans="6:6" ht="24.6" customHeight="1" x14ac:dyDescent="0.25">
      <c r="F875" s="19"/>
    </row>
    <row r="876" spans="6:6" ht="24.6" customHeight="1" x14ac:dyDescent="0.25">
      <c r="F876" s="19"/>
    </row>
    <row r="877" spans="6:6" ht="24.6" customHeight="1" x14ac:dyDescent="0.25">
      <c r="F877" s="19"/>
    </row>
    <row r="878" spans="6:6" ht="24.6" customHeight="1" x14ac:dyDescent="0.25">
      <c r="F878" s="19"/>
    </row>
    <row r="879" spans="6:6" ht="24.6" customHeight="1" x14ac:dyDescent="0.25">
      <c r="F879" s="19"/>
    </row>
    <row r="880" spans="6:6" ht="24.6" customHeight="1" x14ac:dyDescent="0.25">
      <c r="F880" s="19"/>
    </row>
    <row r="881" spans="6:6" ht="24.6" customHeight="1" x14ac:dyDescent="0.25">
      <c r="F881" s="19"/>
    </row>
    <row r="882" spans="6:6" ht="24.6" customHeight="1" x14ac:dyDescent="0.25">
      <c r="F882" s="19"/>
    </row>
    <row r="883" spans="6:6" ht="24.6" customHeight="1" x14ac:dyDescent="0.25">
      <c r="F883" s="19"/>
    </row>
    <row r="884" spans="6:6" ht="24.6" customHeight="1" x14ac:dyDescent="0.25">
      <c r="F884" s="19"/>
    </row>
    <row r="885" spans="6:6" ht="24.6" customHeight="1" x14ac:dyDescent="0.25">
      <c r="F885" s="19"/>
    </row>
    <row r="886" spans="6:6" ht="24.6" customHeight="1" x14ac:dyDescent="0.25">
      <c r="F886" s="19"/>
    </row>
    <row r="887" spans="6:6" ht="24.6" customHeight="1" x14ac:dyDescent="0.25">
      <c r="F887" s="19"/>
    </row>
    <row r="888" spans="6:6" ht="24.6" customHeight="1" x14ac:dyDescent="0.25">
      <c r="F888" s="19"/>
    </row>
    <row r="889" spans="6:6" ht="24.6" customHeight="1" x14ac:dyDescent="0.25">
      <c r="F889" s="19"/>
    </row>
    <row r="890" spans="6:6" ht="24.6" customHeight="1" x14ac:dyDescent="0.25">
      <c r="F890" s="19"/>
    </row>
    <row r="891" spans="6:6" ht="24.6" customHeight="1" x14ac:dyDescent="0.25">
      <c r="F891" s="19"/>
    </row>
    <row r="892" spans="6:6" ht="24.6" customHeight="1" x14ac:dyDescent="0.25">
      <c r="F892" s="19"/>
    </row>
    <row r="893" spans="6:6" ht="24.6" customHeight="1" x14ac:dyDescent="0.25">
      <c r="F893" s="19"/>
    </row>
    <row r="894" spans="6:6" ht="24.6" customHeight="1" x14ac:dyDescent="0.25">
      <c r="F894" s="19"/>
    </row>
    <row r="895" spans="6:6" ht="24.6" customHeight="1" x14ac:dyDescent="0.25">
      <c r="F895" s="19"/>
    </row>
    <row r="896" spans="6:6" ht="24.6" customHeight="1" x14ac:dyDescent="0.25">
      <c r="F896" s="19"/>
    </row>
    <row r="897" spans="6:6" ht="24.6" customHeight="1" x14ac:dyDescent="0.25">
      <c r="F897" s="19"/>
    </row>
    <row r="898" spans="6:6" ht="24.6" customHeight="1" x14ac:dyDescent="0.25">
      <c r="F898" s="19"/>
    </row>
    <row r="899" spans="6:6" ht="24.6" customHeight="1" x14ac:dyDescent="0.25">
      <c r="F899" s="19"/>
    </row>
    <row r="900" spans="6:6" ht="24.6" customHeight="1" x14ac:dyDescent="0.25">
      <c r="F900" s="19"/>
    </row>
    <row r="901" spans="6:6" ht="24.6" customHeight="1" x14ac:dyDescent="0.25">
      <c r="F901" s="19"/>
    </row>
    <row r="902" spans="6:6" ht="24.6" customHeight="1" x14ac:dyDescent="0.25">
      <c r="F902" s="19"/>
    </row>
    <row r="903" spans="6:6" ht="24.6" customHeight="1" x14ac:dyDescent="0.25">
      <c r="F903" s="19"/>
    </row>
    <row r="904" spans="6:6" ht="24.6" customHeight="1" x14ac:dyDescent="0.25">
      <c r="F904" s="19"/>
    </row>
    <row r="905" spans="6:6" ht="24.6" customHeight="1" x14ac:dyDescent="0.25">
      <c r="F905" s="19"/>
    </row>
    <row r="906" spans="6:6" ht="24.6" customHeight="1" x14ac:dyDescent="0.25">
      <c r="F906" s="19"/>
    </row>
    <row r="907" spans="6:6" ht="24.6" customHeight="1" x14ac:dyDescent="0.25">
      <c r="F907" s="19"/>
    </row>
    <row r="908" spans="6:6" ht="24.6" customHeight="1" x14ac:dyDescent="0.25">
      <c r="F908" s="19"/>
    </row>
    <row r="909" spans="6:6" ht="24.6" customHeight="1" x14ac:dyDescent="0.25">
      <c r="F909" s="19"/>
    </row>
    <row r="910" spans="6:6" ht="24.6" customHeight="1" x14ac:dyDescent="0.25">
      <c r="F910" s="19"/>
    </row>
    <row r="911" spans="6:6" ht="24.6" customHeight="1" x14ac:dyDescent="0.25">
      <c r="F911" s="19"/>
    </row>
    <row r="912" spans="6:6" ht="24.6" customHeight="1" x14ac:dyDescent="0.25">
      <c r="F912" s="19"/>
    </row>
    <row r="913" spans="6:6" ht="24.6" customHeight="1" x14ac:dyDescent="0.25">
      <c r="F913" s="19"/>
    </row>
    <row r="914" spans="6:6" ht="24.6" customHeight="1" x14ac:dyDescent="0.25">
      <c r="F914" s="19"/>
    </row>
    <row r="915" spans="6:6" ht="24.6" customHeight="1" x14ac:dyDescent="0.25">
      <c r="F915" s="19"/>
    </row>
    <row r="916" spans="6:6" ht="24.6" customHeight="1" x14ac:dyDescent="0.25">
      <c r="F916" s="19"/>
    </row>
    <row r="917" spans="6:6" ht="24.6" customHeight="1" x14ac:dyDescent="0.25">
      <c r="F917" s="19"/>
    </row>
    <row r="918" spans="6:6" ht="24.6" customHeight="1" x14ac:dyDescent="0.25">
      <c r="F918" s="19"/>
    </row>
    <row r="919" spans="6:6" ht="24.6" customHeight="1" x14ac:dyDescent="0.25">
      <c r="F919" s="19"/>
    </row>
    <row r="920" spans="6:6" ht="24.6" customHeight="1" x14ac:dyDescent="0.25">
      <c r="F920" s="19"/>
    </row>
    <row r="921" spans="6:6" ht="24.6" customHeight="1" x14ac:dyDescent="0.25">
      <c r="F921" s="19"/>
    </row>
    <row r="922" spans="6:6" ht="24.6" customHeight="1" x14ac:dyDescent="0.25">
      <c r="F922" s="19"/>
    </row>
    <row r="923" spans="6:6" ht="24.6" customHeight="1" x14ac:dyDescent="0.25">
      <c r="F923" s="19"/>
    </row>
    <row r="924" spans="6:6" ht="24.6" customHeight="1" x14ac:dyDescent="0.25">
      <c r="F924" s="19"/>
    </row>
    <row r="925" spans="6:6" ht="24.6" customHeight="1" x14ac:dyDescent="0.25">
      <c r="F925" s="19"/>
    </row>
    <row r="926" spans="6:6" ht="24.6" customHeight="1" x14ac:dyDescent="0.25">
      <c r="F926" s="19"/>
    </row>
    <row r="927" spans="6:6" ht="24.6" customHeight="1" x14ac:dyDescent="0.25">
      <c r="F927" s="19"/>
    </row>
    <row r="928" spans="6:6" ht="24.6" customHeight="1" x14ac:dyDescent="0.25">
      <c r="F928" s="19"/>
    </row>
    <row r="929" spans="6:6" ht="24.6" customHeight="1" x14ac:dyDescent="0.25">
      <c r="F929" s="19"/>
    </row>
    <row r="930" spans="6:6" ht="24.6" customHeight="1" x14ac:dyDescent="0.25">
      <c r="F930" s="19"/>
    </row>
    <row r="931" spans="6:6" ht="24.6" customHeight="1" x14ac:dyDescent="0.25">
      <c r="F931" s="19"/>
    </row>
    <row r="932" spans="6:6" ht="24.6" customHeight="1" x14ac:dyDescent="0.25">
      <c r="F932" s="19"/>
    </row>
    <row r="933" spans="6:6" ht="24.6" customHeight="1" x14ac:dyDescent="0.25">
      <c r="F933" s="19"/>
    </row>
    <row r="934" spans="6:6" ht="24.6" customHeight="1" x14ac:dyDescent="0.25">
      <c r="F934" s="19"/>
    </row>
    <row r="935" spans="6:6" ht="24.6" customHeight="1" x14ac:dyDescent="0.25">
      <c r="F935" s="19"/>
    </row>
    <row r="936" spans="6:6" ht="24.6" customHeight="1" x14ac:dyDescent="0.25">
      <c r="F936" s="19"/>
    </row>
    <row r="937" spans="6:6" ht="24.6" customHeight="1" x14ac:dyDescent="0.25">
      <c r="F937" s="19"/>
    </row>
    <row r="938" spans="6:6" ht="24.6" customHeight="1" x14ac:dyDescent="0.25">
      <c r="F938" s="19"/>
    </row>
    <row r="939" spans="6:6" ht="24.6" customHeight="1" x14ac:dyDescent="0.25">
      <c r="F939" s="19"/>
    </row>
    <row r="940" spans="6:6" ht="24.6" customHeight="1" x14ac:dyDescent="0.25">
      <c r="F940" s="19"/>
    </row>
    <row r="941" spans="6:6" ht="24.6" customHeight="1" x14ac:dyDescent="0.25">
      <c r="F941" s="19"/>
    </row>
    <row r="942" spans="6:6" ht="24.6" customHeight="1" x14ac:dyDescent="0.25">
      <c r="F942" s="19"/>
    </row>
    <row r="943" spans="6:6" ht="24.6" customHeight="1" x14ac:dyDescent="0.25">
      <c r="F943" s="19"/>
    </row>
    <row r="944" spans="6:6" ht="24.6" customHeight="1" x14ac:dyDescent="0.25">
      <c r="F944" s="19"/>
    </row>
    <row r="945" spans="6:6" ht="24.6" customHeight="1" x14ac:dyDescent="0.25">
      <c r="F945" s="19"/>
    </row>
    <row r="946" spans="6:6" ht="24.6" customHeight="1" x14ac:dyDescent="0.25">
      <c r="F946" s="19"/>
    </row>
    <row r="947" spans="6:6" ht="24.6" customHeight="1" x14ac:dyDescent="0.25">
      <c r="F947" s="19"/>
    </row>
    <row r="948" spans="6:6" ht="24.6" customHeight="1" x14ac:dyDescent="0.25">
      <c r="F948" s="19"/>
    </row>
    <row r="949" spans="6:6" ht="24.6" customHeight="1" x14ac:dyDescent="0.25">
      <c r="F949" s="19"/>
    </row>
    <row r="950" spans="6:6" ht="24.6" customHeight="1" x14ac:dyDescent="0.25">
      <c r="F950" s="19"/>
    </row>
    <row r="951" spans="6:6" ht="24.6" customHeight="1" x14ac:dyDescent="0.25">
      <c r="F951" s="19"/>
    </row>
    <row r="952" spans="6:6" ht="24.6" customHeight="1" x14ac:dyDescent="0.25">
      <c r="F952" s="19"/>
    </row>
    <row r="953" spans="6:6" ht="24.6" customHeight="1" x14ac:dyDescent="0.25">
      <c r="F953" s="19"/>
    </row>
    <row r="954" spans="6:6" ht="24.6" customHeight="1" x14ac:dyDescent="0.25">
      <c r="F954" s="19"/>
    </row>
    <row r="955" spans="6:6" ht="24.6" customHeight="1" x14ac:dyDescent="0.25">
      <c r="F955" s="19"/>
    </row>
    <row r="956" spans="6:6" ht="24.6" customHeight="1" x14ac:dyDescent="0.25">
      <c r="F956" s="19"/>
    </row>
    <row r="957" spans="6:6" ht="24.6" customHeight="1" x14ac:dyDescent="0.25">
      <c r="F957" s="19"/>
    </row>
    <row r="958" spans="6:6" ht="24.6" customHeight="1" x14ac:dyDescent="0.25">
      <c r="F958" s="19"/>
    </row>
    <row r="959" spans="6:6" ht="24.6" customHeight="1" x14ac:dyDescent="0.25">
      <c r="F959" s="19"/>
    </row>
    <row r="960" spans="6:6" ht="24.6" customHeight="1" x14ac:dyDescent="0.25">
      <c r="F960" s="19"/>
    </row>
    <row r="961" spans="6:6" ht="24.6" customHeight="1" x14ac:dyDescent="0.25">
      <c r="F961" s="19"/>
    </row>
    <row r="962" spans="6:6" ht="24.6" customHeight="1" x14ac:dyDescent="0.25">
      <c r="F962" s="19"/>
    </row>
    <row r="963" spans="6:6" ht="24.6" customHeight="1" x14ac:dyDescent="0.25">
      <c r="F963" s="19"/>
    </row>
    <row r="964" spans="6:6" ht="24.6" customHeight="1" x14ac:dyDescent="0.25">
      <c r="F964" s="19"/>
    </row>
    <row r="965" spans="6:6" ht="24.6" customHeight="1" x14ac:dyDescent="0.25">
      <c r="F965" s="19"/>
    </row>
    <row r="966" spans="6:6" ht="24.6" customHeight="1" x14ac:dyDescent="0.25">
      <c r="F966" s="19"/>
    </row>
    <row r="967" spans="6:6" ht="24.6" customHeight="1" x14ac:dyDescent="0.25">
      <c r="F967" s="19"/>
    </row>
    <row r="968" spans="6:6" ht="24.6" customHeight="1" x14ac:dyDescent="0.25">
      <c r="F968" s="19"/>
    </row>
    <row r="969" spans="6:6" ht="24.6" customHeight="1" x14ac:dyDescent="0.25">
      <c r="F969" s="19"/>
    </row>
    <row r="970" spans="6:6" ht="24.6" customHeight="1" x14ac:dyDescent="0.25">
      <c r="F970" s="19"/>
    </row>
    <row r="971" spans="6:6" ht="24.6" customHeight="1" x14ac:dyDescent="0.25">
      <c r="F971" s="19"/>
    </row>
    <row r="972" spans="6:6" ht="24.6" customHeight="1" x14ac:dyDescent="0.25">
      <c r="F972" s="19"/>
    </row>
    <row r="973" spans="6:6" ht="24.6" customHeight="1" x14ac:dyDescent="0.25">
      <c r="F973" s="19"/>
    </row>
    <row r="974" spans="6:6" ht="24.6" customHeight="1" x14ac:dyDescent="0.25">
      <c r="F974" s="19"/>
    </row>
    <row r="975" spans="6:6" ht="24.6" customHeight="1" x14ac:dyDescent="0.25">
      <c r="F975" s="19"/>
    </row>
    <row r="976" spans="6:6" ht="24.6" customHeight="1" x14ac:dyDescent="0.25">
      <c r="F976" s="19"/>
    </row>
    <row r="977" spans="6:6" ht="24.6" customHeight="1" x14ac:dyDescent="0.25">
      <c r="F977" s="19"/>
    </row>
    <row r="978" spans="6:6" ht="24.6" customHeight="1" x14ac:dyDescent="0.25">
      <c r="F978" s="19"/>
    </row>
    <row r="979" spans="6:6" ht="24.6" customHeight="1" x14ac:dyDescent="0.25">
      <c r="F979" s="19"/>
    </row>
    <row r="980" spans="6:6" ht="24.6" customHeight="1" x14ac:dyDescent="0.25">
      <c r="F980" s="19"/>
    </row>
    <row r="981" spans="6:6" ht="24.6" customHeight="1" x14ac:dyDescent="0.25">
      <c r="F981" s="19"/>
    </row>
    <row r="982" spans="6:6" ht="24.6" customHeight="1" x14ac:dyDescent="0.25">
      <c r="F982" s="19"/>
    </row>
    <row r="983" spans="6:6" ht="24.6" customHeight="1" x14ac:dyDescent="0.25">
      <c r="F983" s="19"/>
    </row>
    <row r="984" spans="6:6" ht="24.6" customHeight="1" x14ac:dyDescent="0.25">
      <c r="F984" s="19"/>
    </row>
    <row r="985" spans="6:6" ht="24.6" customHeight="1" x14ac:dyDescent="0.25">
      <c r="F985" s="19"/>
    </row>
    <row r="986" spans="6:6" ht="24.6" customHeight="1" x14ac:dyDescent="0.25">
      <c r="F986" s="19"/>
    </row>
    <row r="987" spans="6:6" ht="24.6" customHeight="1" x14ac:dyDescent="0.25">
      <c r="F987" s="19"/>
    </row>
    <row r="988" spans="6:6" ht="24.6" customHeight="1" x14ac:dyDescent="0.25">
      <c r="F988" s="19"/>
    </row>
    <row r="989" spans="6:6" ht="24.6" customHeight="1" x14ac:dyDescent="0.25">
      <c r="F989" s="19"/>
    </row>
    <row r="990" spans="6:6" ht="24.6" customHeight="1" x14ac:dyDescent="0.25">
      <c r="F990" s="19"/>
    </row>
    <row r="991" spans="6:6" ht="24.6" customHeight="1" x14ac:dyDescent="0.25">
      <c r="F991" s="19"/>
    </row>
    <row r="992" spans="6:6" ht="24.6" customHeight="1" x14ac:dyDescent="0.25">
      <c r="F992" s="19"/>
    </row>
    <row r="993" spans="6:6" ht="24.6" customHeight="1" x14ac:dyDescent="0.25">
      <c r="F993" s="19"/>
    </row>
    <row r="994" spans="6:6" ht="24.6" customHeight="1" x14ac:dyDescent="0.25">
      <c r="F994" s="19"/>
    </row>
    <row r="995" spans="6:6" ht="24.6" customHeight="1" x14ac:dyDescent="0.25">
      <c r="F995" s="19"/>
    </row>
    <row r="996" spans="6:6" ht="24.6" customHeight="1" x14ac:dyDescent="0.25">
      <c r="F996" s="19"/>
    </row>
    <row r="997" spans="6:6" ht="24.6" customHeight="1" x14ac:dyDescent="0.25">
      <c r="F997" s="19"/>
    </row>
    <row r="998" spans="6:6" ht="24.6" customHeight="1" x14ac:dyDescent="0.25">
      <c r="F998" s="19"/>
    </row>
    <row r="999" spans="6:6" ht="24.6" customHeight="1" x14ac:dyDescent="0.25">
      <c r="F999" s="19"/>
    </row>
    <row r="1000" spans="6:6" ht="24.6" customHeight="1" x14ac:dyDescent="0.25">
      <c r="F1000" s="19"/>
    </row>
    <row r="1001" spans="6:6" ht="24.6" customHeight="1" x14ac:dyDescent="0.25">
      <c r="F1001" s="19"/>
    </row>
    <row r="1002" spans="6:6" ht="24.6" customHeight="1" x14ac:dyDescent="0.25">
      <c r="F1002" s="19"/>
    </row>
    <row r="1003" spans="6:6" ht="24.6" customHeight="1" x14ac:dyDescent="0.25">
      <c r="F1003" s="19"/>
    </row>
    <row r="1004" spans="6:6" ht="24.6" customHeight="1" x14ac:dyDescent="0.25">
      <c r="F1004" s="19"/>
    </row>
    <row r="1005" spans="6:6" ht="24.6" customHeight="1" x14ac:dyDescent="0.25">
      <c r="F1005" s="19"/>
    </row>
    <row r="1006" spans="6:6" ht="24.6" customHeight="1" x14ac:dyDescent="0.25">
      <c r="F1006" s="19"/>
    </row>
    <row r="1007" spans="6:6" ht="24.6" customHeight="1" x14ac:dyDescent="0.25">
      <c r="F1007" s="19"/>
    </row>
    <row r="1008" spans="6:6" ht="24.6" customHeight="1" x14ac:dyDescent="0.25">
      <c r="F1008" s="19"/>
    </row>
  </sheetData>
  <mergeCells count="2">
    <mergeCell ref="I21:J21"/>
    <mergeCell ref="I22:J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3"/>
  <sheetViews>
    <sheetView tabSelected="1" workbookViewId="0">
      <selection activeCell="B7" sqref="B7"/>
    </sheetView>
  </sheetViews>
  <sheetFormatPr defaultColWidth="12.6640625" defaultRowHeight="15.75" customHeight="1" x14ac:dyDescent="0.25"/>
  <cols>
    <col min="1" max="1" width="27.21875" bestFit="1" customWidth="1"/>
  </cols>
  <sheetData>
    <row r="1" spans="1:25" ht="26.4" customHeight="1" x14ac:dyDescent="0.25"/>
    <row r="2" spans="1:25" ht="26.4" customHeight="1" x14ac:dyDescent="0.3">
      <c r="A2" s="9">
        <v>45127</v>
      </c>
      <c r="B2" s="2" t="s">
        <v>22</v>
      </c>
      <c r="C2" s="2"/>
      <c r="D2" s="2" t="s">
        <v>23</v>
      </c>
      <c r="E2" s="2" t="s">
        <v>24</v>
      </c>
      <c r="F2" s="2" t="s">
        <v>25</v>
      </c>
      <c r="G2" s="2"/>
      <c r="H2" s="2"/>
      <c r="I2" s="11">
        <v>0.37847222222222221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6.4" customHeight="1" x14ac:dyDescent="0.3">
      <c r="A3" s="2" t="s">
        <v>26</v>
      </c>
      <c r="B3" s="11">
        <v>0.375</v>
      </c>
      <c r="C3" s="2" t="s">
        <v>27</v>
      </c>
      <c r="D3" s="2">
        <v>1</v>
      </c>
      <c r="E3" s="2">
        <v>81.907499999999999</v>
      </c>
      <c r="F3" s="2">
        <v>0</v>
      </c>
      <c r="G3" s="2"/>
      <c r="H3" s="2"/>
      <c r="I3" s="2" t="s">
        <v>27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6.4" customHeight="1" x14ac:dyDescent="0.3">
      <c r="A4" s="2" t="s">
        <v>28</v>
      </c>
      <c r="B4" s="11">
        <v>0.37847222222222221</v>
      </c>
      <c r="C4" s="2" t="s">
        <v>27</v>
      </c>
      <c r="D4" s="2">
        <v>4</v>
      </c>
      <c r="E4" s="2">
        <v>0</v>
      </c>
      <c r="F4" s="2">
        <v>82.222499999999997</v>
      </c>
      <c r="G4" s="2"/>
      <c r="H4" s="2" t="s">
        <v>91</v>
      </c>
      <c r="I4" s="2" t="s">
        <v>92</v>
      </c>
      <c r="J4" s="11">
        <v>0.38541666666666669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6.4" customHeight="1" x14ac:dyDescent="0.3">
      <c r="A5" s="2" t="s">
        <v>29</v>
      </c>
      <c r="B5" s="11">
        <v>0.37847222222222221</v>
      </c>
      <c r="C5" s="2" t="s">
        <v>27</v>
      </c>
      <c r="D5" s="2">
        <v>5</v>
      </c>
      <c r="E5" s="2">
        <v>0</v>
      </c>
      <c r="F5" s="5">
        <v>83</v>
      </c>
      <c r="G5" s="2"/>
      <c r="H5" s="2"/>
      <c r="I5" s="2" t="s">
        <v>92</v>
      </c>
      <c r="J5" s="11">
        <v>0.38541666666666669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6.4" customHeight="1" x14ac:dyDescent="0.25"/>
    <row r="7" spans="1:25" ht="26.4" customHeight="1" x14ac:dyDescent="0.25"/>
    <row r="8" spans="1:25" ht="26.4" customHeight="1" x14ac:dyDescent="0.25">
      <c r="A8" s="10" t="s">
        <v>93</v>
      </c>
    </row>
    <row r="9" spans="1:25" ht="26.4" customHeight="1" x14ac:dyDescent="0.25">
      <c r="A9" s="10" t="s">
        <v>94</v>
      </c>
    </row>
    <row r="10" spans="1:25" ht="26.4" customHeight="1" x14ac:dyDescent="0.25">
      <c r="A10" s="10" t="s">
        <v>95</v>
      </c>
      <c r="D10" s="10" t="s">
        <v>96</v>
      </c>
    </row>
    <row r="11" spans="1:25" ht="26.4" customHeight="1" x14ac:dyDescent="0.25"/>
    <row r="12" spans="1:25" ht="26.4" customHeight="1" x14ac:dyDescent="0.25"/>
    <row r="13" spans="1:25" ht="26.4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Voltas</vt:lpstr>
      <vt:lpstr>BNF</vt:lpstr>
      <vt:lpstr>26-07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2023-07-27T05:09:45Z</dcterms:modified>
</cp:coreProperties>
</file>