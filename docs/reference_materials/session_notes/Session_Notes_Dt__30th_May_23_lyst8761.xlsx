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801448A-3A7E-45ED-B771-05CE703B735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17" i="3" s="1"/>
  <c r="E18" i="3" s="1"/>
  <c r="E20" i="3" s="1"/>
  <c r="C10" i="3"/>
  <c r="C17" i="3" s="1"/>
  <c r="C18" i="3" s="1"/>
  <c r="C20" i="3" s="1"/>
  <c r="G6" i="4"/>
  <c r="G7" i="4"/>
  <c r="G8" i="4" s="1"/>
  <c r="I7" i="4"/>
  <c r="J7" i="4"/>
  <c r="E9" i="4"/>
  <c r="E10" i="4"/>
  <c r="J33" i="5"/>
  <c r="I33" i="5"/>
  <c r="H33" i="5"/>
  <c r="H21" i="5"/>
  <c r="D8" i="4"/>
  <c r="D6" i="4"/>
  <c r="E6" i="3"/>
  <c r="D6" i="3"/>
  <c r="C6" i="3"/>
  <c r="E12" i="3" l="1"/>
  <c r="E15" i="3" s="1"/>
  <c r="E21" i="3" s="1"/>
  <c r="E23" i="3" s="1"/>
  <c r="C12" i="3"/>
  <c r="C15" i="3" s="1"/>
  <c r="C21" i="3" s="1"/>
  <c r="C23" i="3" s="1"/>
</calcChain>
</file>

<file path=xl/sharedStrings.xml><?xml version="1.0" encoding="utf-8"?>
<sst xmlns="http://schemas.openxmlformats.org/spreadsheetml/2006/main" count="133" uniqueCount="100">
  <si>
    <t>Wishing You Peace &amp; Prosperity Always :)</t>
  </si>
  <si>
    <t>Write Down the Trading Date, Day &amp; Time</t>
  </si>
  <si>
    <t>Intraday, Daily, Weekly &amp; Monthly Candle</t>
  </si>
  <si>
    <t>Collecting The Data Of Multiple Time Frames</t>
  </si>
  <si>
    <t>Monthly Status</t>
  </si>
  <si>
    <t>All Future Calculations</t>
  </si>
  <si>
    <t>Gap Up &amp; Gap Down Process</t>
  </si>
  <si>
    <t>Rollover</t>
  </si>
  <si>
    <t>Order Placement</t>
  </si>
  <si>
    <t>Options Selling</t>
  </si>
  <si>
    <t>Gap Up, Gap Down Process &amp; Rollover</t>
  </si>
  <si>
    <t>Options Buying</t>
  </si>
  <si>
    <t>Equity</t>
  </si>
  <si>
    <t>Risk Mgmt</t>
  </si>
  <si>
    <t>Various Combinations</t>
  </si>
  <si>
    <t>DCC</t>
  </si>
  <si>
    <t>WCC</t>
  </si>
  <si>
    <t>MCC</t>
  </si>
  <si>
    <t>Futures</t>
  </si>
  <si>
    <t>Bank Nifty</t>
  </si>
  <si>
    <t>Nifty</t>
  </si>
  <si>
    <t>Stocks</t>
  </si>
  <si>
    <t>USDINR</t>
  </si>
  <si>
    <t>Gold M</t>
  </si>
  <si>
    <t>Silver M</t>
  </si>
  <si>
    <t>On Going Entry</t>
  </si>
  <si>
    <t>Bulk Order</t>
  </si>
  <si>
    <t>Bulk Alert</t>
  </si>
  <si>
    <t>Auto Calculation Sheet</t>
  </si>
  <si>
    <t>Natural Gas</t>
  </si>
  <si>
    <t>Crude Oil</t>
  </si>
  <si>
    <t>Banknifty - Weekly Options Sell</t>
  </si>
  <si>
    <t>Nifty - Weekly Options Sell</t>
  </si>
  <si>
    <t>Stock - Monthly Options Sell</t>
  </si>
  <si>
    <t>USDINR - Options Sell</t>
  </si>
  <si>
    <t>Options Buy</t>
  </si>
  <si>
    <t>Stock Options Buy</t>
  </si>
  <si>
    <t>Bank Nify Expiry Options Buy</t>
  </si>
  <si>
    <t>Risk Management</t>
  </si>
  <si>
    <t>Total Capital</t>
  </si>
  <si>
    <t>Max Worst Case Risk %</t>
  </si>
  <si>
    <t>Max Worst Case Risk</t>
  </si>
  <si>
    <t>BNF</t>
  </si>
  <si>
    <t>Lot Size</t>
  </si>
  <si>
    <t>Contract Value</t>
  </si>
  <si>
    <t>MSL Value</t>
  </si>
  <si>
    <t>MSL %</t>
  </si>
  <si>
    <t>USDINR Futures</t>
  </si>
  <si>
    <t>USDINR Options Selling</t>
  </si>
  <si>
    <t>BNF : Target : 2</t>
  </si>
  <si>
    <t>Stock Options Buy / Nifty Options Sell/Nify Future</t>
  </si>
  <si>
    <t>5 Lots</t>
  </si>
  <si>
    <t>Buy Entry</t>
  </si>
  <si>
    <t>Sell Entry</t>
  </si>
  <si>
    <t>Margin</t>
  </si>
  <si>
    <t>Buy Order</t>
  </si>
  <si>
    <t>Sell Order</t>
  </si>
  <si>
    <t>1 B.O. &amp; 1 S.O. = 1 Margin</t>
  </si>
  <si>
    <t>Open</t>
  </si>
  <si>
    <t>SL After Entry</t>
  </si>
  <si>
    <t>Sl After TGT 1</t>
  </si>
  <si>
    <t>Sl After TGT 2</t>
  </si>
  <si>
    <t>Sl After TGT 3</t>
  </si>
  <si>
    <t>Sl After TGT 4</t>
  </si>
  <si>
    <t>Target 1</t>
  </si>
  <si>
    <t>Target 2</t>
  </si>
  <si>
    <t>Target 3</t>
  </si>
  <si>
    <t>Target 4</t>
  </si>
  <si>
    <t>Target</t>
  </si>
  <si>
    <t>Total Margin</t>
  </si>
  <si>
    <t>B &amp; S</t>
  </si>
  <si>
    <t>Per Lot</t>
  </si>
  <si>
    <t>5 LOTS</t>
  </si>
  <si>
    <t xml:space="preserve">SL </t>
  </si>
  <si>
    <t>TGT</t>
  </si>
  <si>
    <t>BUY</t>
  </si>
  <si>
    <t>SELL</t>
  </si>
  <si>
    <t>ENTRY</t>
  </si>
  <si>
    <t>NIL</t>
  </si>
  <si>
    <t>NIL / Open</t>
  </si>
  <si>
    <t>1 LOT</t>
  </si>
  <si>
    <t>Max Entry Lots</t>
  </si>
  <si>
    <t>Max SL Lots = Max entry Lots</t>
  </si>
  <si>
    <t>Target = Max Lot = Single Target</t>
  </si>
  <si>
    <t>Margin %</t>
  </si>
  <si>
    <t>Margin In Amt. For 1 Lot</t>
  </si>
  <si>
    <t>Entry Lots</t>
  </si>
  <si>
    <t>Max Margin In Lots</t>
  </si>
  <si>
    <t>Max Margin In Amount</t>
  </si>
  <si>
    <t>A</t>
  </si>
  <si>
    <t>Risk Per Lot : MSL %</t>
  </si>
  <si>
    <t>Risk Per Lot : MSL In Amt.</t>
  </si>
  <si>
    <t>Risk Per Trade</t>
  </si>
  <si>
    <t>0.40% of 82500</t>
  </si>
  <si>
    <t>Max SL</t>
  </si>
  <si>
    <t>Max SL in Amount</t>
  </si>
  <si>
    <t>B</t>
  </si>
  <si>
    <t>Total Capital Per Trade</t>
  </si>
  <si>
    <t>330 * 5 Lots</t>
  </si>
  <si>
    <t>BANKNIFTY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</si>
</sst>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0" xfId="0" applyNumberFormat="1"/>
    <xf numFmtId="165" fontId="0" fillId="0" borderId="0" xfId="1" applyNumberFormat="1" applyFont="1"/>
    <xf numFmtId="164" fontId="0" fillId="3" borderId="0" xfId="0" applyNumberForma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selection activeCell="A10" sqref="A1:A1048576"/>
    </sheetView>
  </sheetViews>
  <sheetFormatPr defaultRowHeight="31.2" customHeight="1" x14ac:dyDescent="0.3"/>
  <cols>
    <col min="1" max="1" width="7.44140625" style="1" customWidth="1"/>
    <col min="2" max="2" width="37.88671875" bestFit="1" customWidth="1"/>
  </cols>
  <sheetData>
    <row r="1" spans="1:11" ht="31.2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3" spans="1:11" ht="31.2" customHeight="1" x14ac:dyDescent="0.3">
      <c r="A3" s="1">
        <v>1</v>
      </c>
      <c r="B3" s="12" t="s">
        <v>1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ht="31.2" customHeight="1" x14ac:dyDescent="0.3">
      <c r="A4" s="1">
        <v>2</v>
      </c>
      <c r="B4" s="12" t="s">
        <v>2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ht="31.2" customHeight="1" x14ac:dyDescent="0.3">
      <c r="A5" s="1">
        <v>3</v>
      </c>
      <c r="B5" s="2" t="s">
        <v>3</v>
      </c>
    </row>
    <row r="6" spans="1:11" ht="31.2" customHeight="1" x14ac:dyDescent="0.3">
      <c r="A6" s="1">
        <v>4</v>
      </c>
      <c r="B6" t="s">
        <v>4</v>
      </c>
    </row>
    <row r="7" spans="1:11" ht="31.2" customHeight="1" x14ac:dyDescent="0.3">
      <c r="A7" s="1">
        <v>5</v>
      </c>
      <c r="B7" t="s">
        <v>5</v>
      </c>
    </row>
    <row r="8" spans="1:11" ht="31.2" customHeight="1" x14ac:dyDescent="0.3">
      <c r="A8" s="1">
        <v>6</v>
      </c>
      <c r="B8" t="s">
        <v>8</v>
      </c>
    </row>
    <row r="9" spans="1:11" ht="31.2" customHeight="1" x14ac:dyDescent="0.3">
      <c r="A9" s="1">
        <v>7</v>
      </c>
      <c r="B9" t="s">
        <v>6</v>
      </c>
    </row>
    <row r="10" spans="1:11" ht="31.2" customHeight="1" x14ac:dyDescent="0.3">
      <c r="A10" s="1">
        <v>8</v>
      </c>
      <c r="B10" t="s">
        <v>7</v>
      </c>
    </row>
    <row r="11" spans="1:11" ht="31.2" customHeight="1" x14ac:dyDescent="0.3">
      <c r="A11" s="1">
        <v>9</v>
      </c>
      <c r="B11" t="s">
        <v>9</v>
      </c>
    </row>
    <row r="12" spans="1:11" ht="31.2" customHeight="1" x14ac:dyDescent="0.3">
      <c r="A12" s="1">
        <v>10</v>
      </c>
      <c r="B12" t="s">
        <v>10</v>
      </c>
    </row>
    <row r="13" spans="1:11" ht="31.2" customHeight="1" x14ac:dyDescent="0.3">
      <c r="A13" s="1">
        <v>11</v>
      </c>
      <c r="B13" t="s">
        <v>11</v>
      </c>
    </row>
    <row r="14" spans="1:11" ht="31.2" customHeight="1" x14ac:dyDescent="0.3">
      <c r="A14" s="1">
        <v>12</v>
      </c>
      <c r="B14" t="s">
        <v>10</v>
      </c>
    </row>
    <row r="15" spans="1:11" ht="31.2" customHeight="1" x14ac:dyDescent="0.3">
      <c r="A15" s="1">
        <v>13</v>
      </c>
      <c r="B15" t="s">
        <v>12</v>
      </c>
    </row>
    <row r="16" spans="1:11" ht="31.2" customHeight="1" x14ac:dyDescent="0.3">
      <c r="A16" s="1">
        <v>14</v>
      </c>
      <c r="B16" t="s">
        <v>13</v>
      </c>
    </row>
    <row r="17" spans="1:2" ht="31.2" customHeight="1" x14ac:dyDescent="0.3">
      <c r="A17" s="1">
        <v>15</v>
      </c>
      <c r="B17" t="s">
        <v>26</v>
      </c>
    </row>
    <row r="18" spans="1:2" ht="31.2" customHeight="1" x14ac:dyDescent="0.3">
      <c r="A18" s="1">
        <v>16</v>
      </c>
      <c r="B18" t="s">
        <v>27</v>
      </c>
    </row>
    <row r="19" spans="1:2" ht="31.2" customHeight="1" x14ac:dyDescent="0.3">
      <c r="A19" s="1">
        <v>17</v>
      </c>
      <c r="B19" t="s">
        <v>28</v>
      </c>
    </row>
    <row r="21" spans="1:2" ht="31.2" customHeight="1" x14ac:dyDescent="0.3">
      <c r="B21" t="s">
        <v>14</v>
      </c>
    </row>
    <row r="22" spans="1:2" ht="31.2" customHeight="1" x14ac:dyDescent="0.3">
      <c r="B22" t="s">
        <v>25</v>
      </c>
    </row>
  </sheetData>
  <mergeCells count="3">
    <mergeCell ref="A1:I1"/>
    <mergeCell ref="B3:K3"/>
    <mergeCell ref="B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0433-44DF-4362-B5DA-E4F11C1364A9}">
  <dimension ref="B2:E18"/>
  <sheetViews>
    <sheetView workbookViewId="0">
      <selection activeCell="C13" sqref="C13"/>
    </sheetView>
  </sheetViews>
  <sheetFormatPr defaultRowHeight="18.600000000000001" customHeight="1" x14ac:dyDescent="0.3"/>
  <cols>
    <col min="2" max="2" width="6" bestFit="1" customWidth="1"/>
    <col min="3" max="3" width="42" bestFit="1" customWidth="1"/>
    <col min="4" max="4" width="26.6640625" bestFit="1" customWidth="1"/>
    <col min="5" max="5" width="24.6640625" bestFit="1" customWidth="1"/>
  </cols>
  <sheetData>
    <row r="2" spans="2:5" ht="18.600000000000001" customHeight="1" x14ac:dyDescent="0.3">
      <c r="B2" t="s">
        <v>12</v>
      </c>
      <c r="C2" t="s">
        <v>18</v>
      </c>
      <c r="D2" t="s">
        <v>9</v>
      </c>
      <c r="E2" t="s">
        <v>35</v>
      </c>
    </row>
    <row r="3" spans="2:5" ht="18.600000000000001" customHeight="1" x14ac:dyDescent="0.3">
      <c r="B3" t="s">
        <v>15</v>
      </c>
      <c r="C3" t="s">
        <v>19</v>
      </c>
      <c r="D3" t="s">
        <v>31</v>
      </c>
      <c r="E3" t="s">
        <v>36</v>
      </c>
    </row>
    <row r="4" spans="2:5" ht="18.600000000000001" customHeight="1" x14ac:dyDescent="0.3">
      <c r="B4" t="s">
        <v>16</v>
      </c>
      <c r="C4" t="s">
        <v>20</v>
      </c>
      <c r="D4" t="s">
        <v>32</v>
      </c>
      <c r="E4" t="s">
        <v>37</v>
      </c>
    </row>
    <row r="5" spans="2:5" ht="18.600000000000001" customHeight="1" x14ac:dyDescent="0.3">
      <c r="B5" t="s">
        <v>17</v>
      </c>
      <c r="C5" t="s">
        <v>21</v>
      </c>
      <c r="D5" t="s">
        <v>33</v>
      </c>
    </row>
    <row r="6" spans="2:5" ht="18.600000000000001" customHeight="1" x14ac:dyDescent="0.3">
      <c r="C6" t="s">
        <v>22</v>
      </c>
      <c r="D6" t="s">
        <v>34</v>
      </c>
    </row>
    <row r="7" spans="2:5" ht="18.600000000000001" customHeight="1" x14ac:dyDescent="0.3">
      <c r="C7" s="5" t="s">
        <v>23</v>
      </c>
    </row>
    <row r="8" spans="2:5" ht="18.600000000000001" customHeight="1" x14ac:dyDescent="0.3">
      <c r="C8" s="5" t="s">
        <v>24</v>
      </c>
    </row>
    <row r="9" spans="2:5" ht="18.600000000000001" customHeight="1" x14ac:dyDescent="0.3">
      <c r="C9" s="5" t="s">
        <v>29</v>
      </c>
    </row>
    <row r="10" spans="2:5" ht="18.600000000000001" customHeight="1" x14ac:dyDescent="0.3">
      <c r="C10" s="5" t="s">
        <v>30</v>
      </c>
    </row>
    <row r="15" spans="2:5" ht="18.600000000000001" customHeight="1" x14ac:dyDescent="0.3">
      <c r="B15">
        <v>1</v>
      </c>
      <c r="C15" t="s">
        <v>47</v>
      </c>
    </row>
    <row r="16" spans="2:5" ht="18.600000000000001" customHeight="1" x14ac:dyDescent="0.3">
      <c r="B16">
        <v>2</v>
      </c>
      <c r="C16" t="s">
        <v>48</v>
      </c>
    </row>
    <row r="17" spans="2:3" ht="18.600000000000001" customHeight="1" x14ac:dyDescent="0.3">
      <c r="B17">
        <v>3</v>
      </c>
      <c r="C17" t="s">
        <v>49</v>
      </c>
    </row>
    <row r="18" spans="2:3" ht="18.600000000000001" customHeight="1" x14ac:dyDescent="0.3">
      <c r="B18">
        <v>4</v>
      </c>
      <c r="C1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FE9D-4B7C-40DC-91F4-F13DA35EEC47}">
  <dimension ref="B2:F23"/>
  <sheetViews>
    <sheetView topLeftCell="A8" zoomScale="110" zoomScaleNormal="110" workbookViewId="0">
      <selection activeCell="B11" sqref="B11"/>
    </sheetView>
  </sheetViews>
  <sheetFormatPr defaultRowHeight="18.600000000000001" customHeight="1" x14ac:dyDescent="0.3"/>
  <cols>
    <col min="2" max="2" width="22.5546875" bestFit="1" customWidth="1"/>
    <col min="3" max="3" width="8" bestFit="1" customWidth="1"/>
    <col min="4" max="4" width="13.77734375" bestFit="1" customWidth="1"/>
    <col min="5" max="5" width="10.33203125" bestFit="1" customWidth="1"/>
    <col min="6" max="6" width="2.109375" bestFit="1" customWidth="1"/>
  </cols>
  <sheetData>
    <row r="2" spans="2:6" ht="18.600000000000001" customHeight="1" x14ac:dyDescent="0.3">
      <c r="B2" t="s">
        <v>38</v>
      </c>
    </row>
    <row r="4" spans="2:6" ht="18.600000000000001" customHeight="1" x14ac:dyDescent="0.3">
      <c r="B4" t="s">
        <v>39</v>
      </c>
      <c r="C4">
        <v>3000000</v>
      </c>
      <c r="D4">
        <v>3000000</v>
      </c>
      <c r="E4">
        <v>3000000</v>
      </c>
    </row>
    <row r="5" spans="2:6" ht="18.600000000000001" customHeight="1" x14ac:dyDescent="0.3">
      <c r="B5" t="s">
        <v>40</v>
      </c>
      <c r="C5" s="3">
        <v>0.4</v>
      </c>
      <c r="D5" s="3">
        <v>0.3</v>
      </c>
      <c r="E5" s="3">
        <v>0.2</v>
      </c>
    </row>
    <row r="6" spans="2:6" ht="18.600000000000001" customHeight="1" x14ac:dyDescent="0.3">
      <c r="B6" t="s">
        <v>41</v>
      </c>
      <c r="C6">
        <f>C4*C5</f>
        <v>1200000</v>
      </c>
      <c r="D6">
        <f>D4*D5</f>
        <v>900000</v>
      </c>
      <c r="E6">
        <f>E4*E5</f>
        <v>600000</v>
      </c>
    </row>
    <row r="7" spans="2:6" ht="18.600000000000001" customHeight="1" x14ac:dyDescent="0.3">
      <c r="E7" t="s">
        <v>99</v>
      </c>
    </row>
    <row r="8" spans="2:6" ht="18.600000000000001" customHeight="1" x14ac:dyDescent="0.3">
      <c r="B8" t="s">
        <v>22</v>
      </c>
      <c r="C8" s="10">
        <v>85</v>
      </c>
      <c r="D8" s="8">
        <v>45076</v>
      </c>
      <c r="E8">
        <v>44500</v>
      </c>
    </row>
    <row r="9" spans="2:6" ht="18.600000000000001" customHeight="1" x14ac:dyDescent="0.3">
      <c r="B9" t="s">
        <v>43</v>
      </c>
      <c r="C9">
        <v>1000</v>
      </c>
      <c r="E9">
        <v>15</v>
      </c>
    </row>
    <row r="10" spans="2:6" ht="18.600000000000001" customHeight="1" x14ac:dyDescent="0.3">
      <c r="B10" t="s">
        <v>44</v>
      </c>
      <c r="C10">
        <f>C9*C8</f>
        <v>85000</v>
      </c>
      <c r="E10">
        <f>E9*E8</f>
        <v>667500</v>
      </c>
    </row>
    <row r="11" spans="2:6" ht="18.600000000000001" customHeight="1" x14ac:dyDescent="0.3">
      <c r="B11" t="s">
        <v>84</v>
      </c>
      <c r="C11" s="4">
        <v>2.5000000000000001E-2</v>
      </c>
      <c r="E11" s="3">
        <v>0.14000000000000001</v>
      </c>
    </row>
    <row r="12" spans="2:6" ht="18.600000000000001" customHeight="1" x14ac:dyDescent="0.3">
      <c r="B12" t="s">
        <v>85</v>
      </c>
      <c r="C12">
        <f>C10*C11</f>
        <v>2125</v>
      </c>
      <c r="E12">
        <f>E10*E11</f>
        <v>93450.000000000015</v>
      </c>
    </row>
    <row r="13" spans="2:6" ht="18.600000000000001" customHeight="1" x14ac:dyDescent="0.3">
      <c r="B13" t="s">
        <v>86</v>
      </c>
      <c r="C13">
        <v>5</v>
      </c>
      <c r="E13">
        <v>1</v>
      </c>
    </row>
    <row r="14" spans="2:6" ht="18.600000000000001" customHeight="1" x14ac:dyDescent="0.3">
      <c r="B14" t="s">
        <v>87</v>
      </c>
      <c r="C14">
        <v>11</v>
      </c>
      <c r="E14">
        <v>3</v>
      </c>
    </row>
    <row r="15" spans="2:6" ht="18.600000000000001" customHeight="1" x14ac:dyDescent="0.3">
      <c r="B15" t="s">
        <v>88</v>
      </c>
      <c r="C15">
        <f>C14*C12</f>
        <v>23375</v>
      </c>
      <c r="D15" t="s">
        <v>89</v>
      </c>
      <c r="E15">
        <f>E14*E12</f>
        <v>280350.00000000006</v>
      </c>
      <c r="F15" t="s">
        <v>89</v>
      </c>
    </row>
    <row r="16" spans="2:6" ht="18.600000000000001" customHeight="1" x14ac:dyDescent="0.3">
      <c r="B16" t="s">
        <v>90</v>
      </c>
      <c r="C16" s="4">
        <v>4.0000000000000001E-3</v>
      </c>
      <c r="E16" s="4">
        <v>1.4999999999999999E-2</v>
      </c>
    </row>
    <row r="17" spans="2:6" ht="18.600000000000001" customHeight="1" x14ac:dyDescent="0.3">
      <c r="B17" t="s">
        <v>91</v>
      </c>
      <c r="C17">
        <f>C16*C10</f>
        <v>340</v>
      </c>
      <c r="D17" t="s">
        <v>93</v>
      </c>
      <c r="E17">
        <f>E16*E10</f>
        <v>10012.5</v>
      </c>
    </row>
    <row r="18" spans="2:6" ht="18.600000000000001" customHeight="1" x14ac:dyDescent="0.3">
      <c r="B18" t="s">
        <v>92</v>
      </c>
      <c r="C18">
        <f>C17*C13</f>
        <v>1700</v>
      </c>
      <c r="D18" t="s">
        <v>98</v>
      </c>
      <c r="E18">
        <f>E17*E13</f>
        <v>10012.5</v>
      </c>
    </row>
    <row r="19" spans="2:6" ht="18.600000000000001" customHeight="1" x14ac:dyDescent="0.3">
      <c r="B19" t="s">
        <v>94</v>
      </c>
      <c r="C19">
        <v>12</v>
      </c>
      <c r="E19">
        <v>12</v>
      </c>
    </row>
    <row r="20" spans="2:6" ht="18.600000000000001" customHeight="1" x14ac:dyDescent="0.3">
      <c r="B20" t="s">
        <v>95</v>
      </c>
      <c r="C20">
        <f>C19*C18</f>
        <v>20400</v>
      </c>
      <c r="D20" t="s">
        <v>96</v>
      </c>
      <c r="E20">
        <f>E19*E18</f>
        <v>120150</v>
      </c>
      <c r="F20" t="s">
        <v>96</v>
      </c>
    </row>
    <row r="21" spans="2:6" ht="18.600000000000001" customHeight="1" x14ac:dyDescent="0.3">
      <c r="B21" t="s">
        <v>97</v>
      </c>
      <c r="C21">
        <f>C20+C15</f>
        <v>43775</v>
      </c>
      <c r="E21">
        <f>E20+E15</f>
        <v>400500.00000000006</v>
      </c>
    </row>
    <row r="23" spans="2:6" ht="18.600000000000001" customHeight="1" x14ac:dyDescent="0.3">
      <c r="C23" s="9">
        <f>C20/C21</f>
        <v>0.46601941747572817</v>
      </c>
      <c r="E23" s="9">
        <f>E20/E21</f>
        <v>0.29999999999999993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9830-1DDA-4D81-A000-83CCC6ECF628}">
  <dimension ref="C4:J10"/>
  <sheetViews>
    <sheetView workbookViewId="0"/>
  </sheetViews>
  <sheetFormatPr defaultRowHeight="14.4" x14ac:dyDescent="0.3"/>
  <cols>
    <col min="3" max="3" width="12.33203125" bestFit="1" customWidth="1"/>
  </cols>
  <sheetData>
    <row r="4" spans="3:10" x14ac:dyDescent="0.3">
      <c r="C4" t="s">
        <v>42</v>
      </c>
      <c r="D4">
        <v>44000</v>
      </c>
      <c r="G4">
        <v>82.655000000000001</v>
      </c>
    </row>
    <row r="5" spans="3:10" x14ac:dyDescent="0.3">
      <c r="C5" t="s">
        <v>43</v>
      </c>
      <c r="D5">
        <v>25</v>
      </c>
      <c r="G5">
        <v>82.052499999999995</v>
      </c>
    </row>
    <row r="6" spans="3:10" x14ac:dyDescent="0.3">
      <c r="C6" t="s">
        <v>44</v>
      </c>
      <c r="D6">
        <f>D5*D4</f>
        <v>1100000</v>
      </c>
      <c r="G6">
        <f>G4-G5</f>
        <v>0.60250000000000625</v>
      </c>
    </row>
    <row r="7" spans="3:10" x14ac:dyDescent="0.3">
      <c r="C7" t="s">
        <v>46</v>
      </c>
      <c r="D7" s="4">
        <v>1.4999999999999999E-2</v>
      </c>
      <c r="G7">
        <f>G6*1000</f>
        <v>602.50000000000625</v>
      </c>
      <c r="I7">
        <f>G5*0.4%</f>
        <v>0.32821</v>
      </c>
      <c r="J7">
        <f>I7*1000</f>
        <v>328.21</v>
      </c>
    </row>
    <row r="8" spans="3:10" x14ac:dyDescent="0.3">
      <c r="C8" t="s">
        <v>45</v>
      </c>
      <c r="D8">
        <f>D7*D6</f>
        <v>16500</v>
      </c>
      <c r="G8">
        <f>G7*100</f>
        <v>60250.000000000626</v>
      </c>
    </row>
    <row r="9" spans="3:10" x14ac:dyDescent="0.3">
      <c r="D9">
        <v>2</v>
      </c>
      <c r="E9">
        <f>D8*D9</f>
        <v>33000</v>
      </c>
    </row>
    <row r="10" spans="3:10" x14ac:dyDescent="0.3">
      <c r="E10">
        <f>E9/328</f>
        <v>100.60975609756098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0A2D-7425-46FF-8AD4-C5901C779FDC}">
  <dimension ref="B3:O33"/>
  <sheetViews>
    <sheetView tabSelected="1" topLeftCell="C3" workbookViewId="0">
      <selection activeCell="J21" sqref="J21"/>
    </sheetView>
  </sheetViews>
  <sheetFormatPr defaultRowHeight="14.4" x14ac:dyDescent="0.3"/>
  <cols>
    <col min="5" max="5" width="11.44140625" bestFit="1" customWidth="1"/>
    <col min="7" max="7" width="18.109375" customWidth="1"/>
    <col min="9" max="9" width="11.44140625" bestFit="1" customWidth="1"/>
    <col min="12" max="12" width="1.33203125" customWidth="1"/>
  </cols>
  <sheetData>
    <row r="3" spans="2:15" x14ac:dyDescent="0.3">
      <c r="E3" t="s">
        <v>22</v>
      </c>
      <c r="F3" t="s">
        <v>51</v>
      </c>
    </row>
    <row r="7" spans="2:15" x14ac:dyDescent="0.3">
      <c r="E7" t="s">
        <v>52</v>
      </c>
      <c r="F7" t="s">
        <v>55</v>
      </c>
      <c r="G7">
        <v>5</v>
      </c>
      <c r="H7" t="s">
        <v>58</v>
      </c>
      <c r="I7" t="s">
        <v>59</v>
      </c>
      <c r="J7" t="s">
        <v>56</v>
      </c>
      <c r="K7" s="6">
        <v>5</v>
      </c>
      <c r="M7" t="s">
        <v>64</v>
      </c>
      <c r="N7" t="s">
        <v>56</v>
      </c>
      <c r="O7">
        <v>1</v>
      </c>
    </row>
    <row r="8" spans="2:15" x14ac:dyDescent="0.3">
      <c r="E8" t="s">
        <v>53</v>
      </c>
      <c r="F8" t="s">
        <v>56</v>
      </c>
      <c r="G8">
        <v>5</v>
      </c>
      <c r="I8" t="s">
        <v>60</v>
      </c>
      <c r="J8" t="s">
        <v>56</v>
      </c>
      <c r="K8">
        <v>4</v>
      </c>
      <c r="M8" t="s">
        <v>65</v>
      </c>
      <c r="N8" t="s">
        <v>56</v>
      </c>
      <c r="O8">
        <v>1</v>
      </c>
    </row>
    <row r="9" spans="2:15" x14ac:dyDescent="0.3">
      <c r="I9" t="s">
        <v>61</v>
      </c>
      <c r="J9" t="s">
        <v>56</v>
      </c>
      <c r="K9">
        <v>3</v>
      </c>
      <c r="M9" t="s">
        <v>66</v>
      </c>
      <c r="N9" t="s">
        <v>56</v>
      </c>
      <c r="O9">
        <v>1</v>
      </c>
    </row>
    <row r="10" spans="2:15" x14ac:dyDescent="0.3">
      <c r="B10" t="s">
        <v>57</v>
      </c>
      <c r="E10" t="s">
        <v>54</v>
      </c>
      <c r="F10" t="s">
        <v>70</v>
      </c>
      <c r="G10" s="6">
        <v>5</v>
      </c>
      <c r="I10" t="s">
        <v>62</v>
      </c>
      <c r="J10" t="s">
        <v>56</v>
      </c>
      <c r="K10">
        <v>2</v>
      </c>
      <c r="M10" t="s">
        <v>67</v>
      </c>
      <c r="N10" t="s">
        <v>56</v>
      </c>
      <c r="O10">
        <v>1</v>
      </c>
    </row>
    <row r="11" spans="2:15" x14ac:dyDescent="0.3">
      <c r="I11" t="s">
        <v>63</v>
      </c>
      <c r="J11" t="s">
        <v>56</v>
      </c>
      <c r="K11">
        <v>1</v>
      </c>
    </row>
    <row r="12" spans="2:15" x14ac:dyDescent="0.3">
      <c r="E12" t="s">
        <v>59</v>
      </c>
      <c r="F12" t="s">
        <v>56</v>
      </c>
      <c r="G12">
        <v>5</v>
      </c>
    </row>
    <row r="14" spans="2:15" x14ac:dyDescent="0.3">
      <c r="E14" t="s">
        <v>54</v>
      </c>
      <c r="F14" t="s">
        <v>56</v>
      </c>
      <c r="G14" s="6">
        <v>5</v>
      </c>
    </row>
    <row r="16" spans="2:15" x14ac:dyDescent="0.3">
      <c r="E16" t="s">
        <v>68</v>
      </c>
      <c r="G16">
        <v>1</v>
      </c>
    </row>
    <row r="18" spans="5:11" x14ac:dyDescent="0.3">
      <c r="E18" t="s">
        <v>54</v>
      </c>
      <c r="F18" t="s">
        <v>56</v>
      </c>
      <c r="G18" s="6">
        <v>1</v>
      </c>
    </row>
    <row r="20" spans="5:11" x14ac:dyDescent="0.3">
      <c r="E20" t="s">
        <v>69</v>
      </c>
      <c r="G20">
        <v>11</v>
      </c>
      <c r="H20">
        <v>2000</v>
      </c>
      <c r="I20" t="s">
        <v>71</v>
      </c>
    </row>
    <row r="21" spans="5:11" x14ac:dyDescent="0.3">
      <c r="H21">
        <f>H20*G20</f>
        <v>22000</v>
      </c>
    </row>
    <row r="23" spans="5:11" x14ac:dyDescent="0.3">
      <c r="F23" t="s">
        <v>77</v>
      </c>
      <c r="G23" t="s">
        <v>73</v>
      </c>
      <c r="H23" t="s">
        <v>74</v>
      </c>
    </row>
    <row r="24" spans="5:11" x14ac:dyDescent="0.3">
      <c r="F24" t="s">
        <v>78</v>
      </c>
      <c r="G24" t="s">
        <v>58</v>
      </c>
      <c r="H24" t="s">
        <v>79</v>
      </c>
    </row>
    <row r="25" spans="5:11" x14ac:dyDescent="0.3">
      <c r="E25" t="s">
        <v>75</v>
      </c>
      <c r="F25" s="7" t="s">
        <v>72</v>
      </c>
      <c r="G25" s="5" t="s">
        <v>72</v>
      </c>
      <c r="H25" s="5" t="s">
        <v>80</v>
      </c>
    </row>
    <row r="26" spans="5:11" x14ac:dyDescent="0.3">
      <c r="E26" t="s">
        <v>76</v>
      </c>
      <c r="F26" s="5" t="s">
        <v>72</v>
      </c>
      <c r="G26" s="7" t="s">
        <v>72</v>
      </c>
      <c r="H26" s="7" t="s">
        <v>80</v>
      </c>
    </row>
    <row r="28" spans="5:11" x14ac:dyDescent="0.3">
      <c r="H28" t="s">
        <v>22</v>
      </c>
      <c r="I28" t="s">
        <v>42</v>
      </c>
      <c r="J28" t="s">
        <v>42</v>
      </c>
      <c r="K28" t="s">
        <v>42</v>
      </c>
    </row>
    <row r="29" spans="5:11" x14ac:dyDescent="0.3">
      <c r="F29" t="s">
        <v>81</v>
      </c>
      <c r="H29" s="1">
        <v>5</v>
      </c>
      <c r="I29" s="1">
        <v>3</v>
      </c>
      <c r="J29">
        <v>2</v>
      </c>
      <c r="K29">
        <v>2</v>
      </c>
    </row>
    <row r="30" spans="5:11" x14ac:dyDescent="0.3">
      <c r="F30" t="s">
        <v>82</v>
      </c>
      <c r="H30" s="1">
        <v>5</v>
      </c>
      <c r="I30" s="1">
        <v>3</v>
      </c>
      <c r="J30">
        <v>2</v>
      </c>
      <c r="K30">
        <v>2</v>
      </c>
    </row>
    <row r="31" spans="5:11" x14ac:dyDescent="0.3">
      <c r="F31" t="s">
        <v>83</v>
      </c>
      <c r="H31" s="1">
        <v>1</v>
      </c>
      <c r="I31" s="1">
        <v>1</v>
      </c>
      <c r="J31">
        <v>1</v>
      </c>
    </row>
    <row r="33" spans="8:11" x14ac:dyDescent="0.3">
      <c r="H33">
        <f>H31+H30+H29</f>
        <v>11</v>
      </c>
      <c r="I33">
        <f>I31+I30+I29</f>
        <v>7</v>
      </c>
      <c r="J33">
        <f>J31+J30+J29</f>
        <v>5</v>
      </c>
      <c r="K3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HP</cp:lastModifiedBy>
  <dcterms:created xsi:type="dcterms:W3CDTF">2015-06-05T18:17:20Z</dcterms:created>
  <dcterms:modified xsi:type="dcterms:W3CDTF">2023-05-31T03:39:00Z</dcterms:modified>
</cp:coreProperties>
</file>