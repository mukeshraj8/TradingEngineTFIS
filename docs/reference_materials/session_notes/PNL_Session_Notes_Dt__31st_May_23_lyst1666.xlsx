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EB2F820-13F0-4261-A6A0-FBCA74F67F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Futures" sheetId="2" r:id="rId2"/>
    <sheet name="Op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3" l="1"/>
  <c r="C42" i="3"/>
  <c r="C41" i="3"/>
  <c r="G35" i="3"/>
  <c r="C39" i="3"/>
  <c r="D39" i="3" s="1"/>
  <c r="F39" i="3" s="1"/>
  <c r="C38" i="3"/>
  <c r="G30" i="3"/>
  <c r="D42" i="3"/>
  <c r="F42" i="3" s="1"/>
  <c r="E36" i="3"/>
  <c r="E35" i="3"/>
  <c r="E30" i="3"/>
  <c r="G17" i="3"/>
  <c r="D17" i="3"/>
  <c r="F17" i="3" s="1"/>
  <c r="E11" i="3"/>
  <c r="E10" i="3"/>
  <c r="E5" i="3"/>
  <c r="G5" i="3" s="1"/>
  <c r="G10" i="3" s="1"/>
  <c r="G14" i="3" s="1"/>
  <c r="D14" i="3"/>
  <c r="F14" i="3" s="1"/>
  <c r="F25" i="2"/>
  <c r="F26" i="2"/>
  <c r="F28" i="2"/>
  <c r="E26" i="2"/>
  <c r="C26" i="2"/>
  <c r="C25" i="2"/>
  <c r="C19" i="2"/>
  <c r="E25" i="2"/>
  <c r="C20" i="2"/>
  <c r="E19" i="2"/>
  <c r="G13" i="2"/>
  <c r="F13" i="2"/>
  <c r="D13" i="2"/>
  <c r="D10" i="2"/>
  <c r="E10" i="2" s="1"/>
  <c r="G10" i="2" s="1"/>
  <c r="D9" i="2"/>
  <c r="E9" i="2" s="1"/>
  <c r="D8" i="2"/>
  <c r="E8" i="2" s="1"/>
  <c r="D7" i="2"/>
  <c r="E7" i="2" s="1"/>
  <c r="D6" i="2"/>
  <c r="E6" i="2" s="1"/>
  <c r="D5" i="2"/>
  <c r="E5" i="2" s="1"/>
  <c r="G5" i="2" s="1"/>
  <c r="D47" i="1"/>
  <c r="D49" i="1" s="1"/>
  <c r="C47" i="1"/>
  <c r="C49" i="1" s="1"/>
  <c r="D36" i="1"/>
  <c r="D38" i="1" s="1"/>
  <c r="C36" i="1"/>
  <c r="C38" i="1" s="1"/>
  <c r="G42" i="3" l="1"/>
  <c r="G39" i="3"/>
  <c r="G11" i="3"/>
  <c r="G6" i="2"/>
  <c r="G7" i="2" s="1"/>
  <c r="G8" i="2" s="1"/>
  <c r="G9" i="2" s="1"/>
</calcChain>
</file>

<file path=xl/sharedStrings.xml><?xml version="1.0" encoding="utf-8"?>
<sst xmlns="http://schemas.openxmlformats.org/spreadsheetml/2006/main" count="135" uniqueCount="78">
  <si>
    <t>May The Peaceful Prosperity Be With You Always.!!!</t>
  </si>
  <si>
    <t>BNF</t>
  </si>
  <si>
    <t>Current Position</t>
  </si>
  <si>
    <t>Target Status</t>
  </si>
  <si>
    <t>Sell</t>
  </si>
  <si>
    <t>Price</t>
  </si>
  <si>
    <t>NO TGT</t>
  </si>
  <si>
    <t>Without Checking any Price.</t>
  </si>
  <si>
    <t>Place Sell Target 1 in Price Column as B.O.</t>
  </si>
  <si>
    <t>At 09:15 AM</t>
  </si>
  <si>
    <t>At 09:20 AM</t>
  </si>
  <si>
    <t>Check SL missed or Not Missed</t>
  </si>
  <si>
    <t>09:20 am High</t>
  </si>
  <si>
    <t>If Not Missed :</t>
  </si>
  <si>
    <t>Place SL Order</t>
  </si>
  <si>
    <t>If Missed</t>
  </si>
  <si>
    <t>Wait till 09:30 am</t>
  </si>
  <si>
    <t>Revised SL will be = 09:30 am High + 0.15%</t>
  </si>
  <si>
    <t>If Sell SL is missed,</t>
  </si>
  <si>
    <t>We Will Place Sell's SL and Buy Entry at 09:30 am</t>
  </si>
  <si>
    <t>At 09:30 am</t>
  </si>
  <si>
    <t>Sell SL Calculations will be = 09:30 am High + 0.15%</t>
  </si>
  <si>
    <t>Buy Entry Calculation will be Original Buy Entry or 09:30 High + 0.15% whichever is higher</t>
  </si>
  <si>
    <t>B.E.</t>
  </si>
  <si>
    <t>09:30 High</t>
  </si>
  <si>
    <t>Revised Buy Entry</t>
  </si>
  <si>
    <t>Sell SL</t>
  </si>
  <si>
    <t>09:20 High</t>
  </si>
  <si>
    <t>Missed</t>
  </si>
  <si>
    <t>Not Missed</t>
  </si>
  <si>
    <t>Revised SL</t>
  </si>
  <si>
    <t>Buy SL</t>
  </si>
  <si>
    <t>S.E.</t>
  </si>
  <si>
    <t>09:20 Low</t>
  </si>
  <si>
    <t>09:30 Low</t>
  </si>
  <si>
    <t>Revised Sell Entry</t>
  </si>
  <si>
    <t>Min of Sell Entry or 09:30 am low - 0.15%</t>
  </si>
  <si>
    <t>Max of Buy Entry or 09:30 am High +  0.15%</t>
  </si>
  <si>
    <t>Futures</t>
  </si>
  <si>
    <t>Equity</t>
  </si>
  <si>
    <t>Options Buy</t>
  </si>
  <si>
    <t>Options Selling</t>
  </si>
  <si>
    <t>Assumptions</t>
  </si>
  <si>
    <t>BUY</t>
  </si>
  <si>
    <t>Close</t>
  </si>
  <si>
    <t>Points</t>
  </si>
  <si>
    <t>MTM</t>
  </si>
  <si>
    <t>Lot Size</t>
  </si>
  <si>
    <t>Capital</t>
  </si>
  <si>
    <t>Cummilative</t>
  </si>
  <si>
    <t>Daily P &amp; L</t>
  </si>
  <si>
    <t>SELL</t>
  </si>
  <si>
    <t>Contract Value</t>
  </si>
  <si>
    <t>EXIT</t>
  </si>
  <si>
    <t xml:space="preserve">Same Day Exit </t>
  </si>
  <si>
    <t>no</t>
  </si>
  <si>
    <t>Total</t>
  </si>
  <si>
    <t>Brokerage per Lot</t>
  </si>
  <si>
    <t>Option Selling</t>
  </si>
  <si>
    <t>Sell : 1lot</t>
  </si>
  <si>
    <t>Buy : 1lot</t>
  </si>
  <si>
    <t>Premium</t>
  </si>
  <si>
    <t>Add</t>
  </si>
  <si>
    <t>In Options Selling, You will Receive the Premium</t>
  </si>
  <si>
    <t>Subtract</t>
  </si>
  <si>
    <t>When Enter the Trade = Premium will be Added to Your Capital</t>
  </si>
  <si>
    <t>Exit = Buy</t>
  </si>
  <si>
    <t>Entry = Sell</t>
  </si>
  <si>
    <t>s 2</t>
  </si>
  <si>
    <t>S 1</t>
  </si>
  <si>
    <t>Option  Buying</t>
  </si>
  <si>
    <t>Entry = Buy</t>
  </si>
  <si>
    <t>In Options buying, You will Pay the Premium</t>
  </si>
  <si>
    <t>When Enter the Trade = Premium will be Subtracted from Your Capital</t>
  </si>
  <si>
    <t>When Exit the Trade = Premium will be Add to Your Capital</t>
  </si>
  <si>
    <t>When Exit the Trade = Premium will be Subtracted from Your Capital</t>
  </si>
  <si>
    <t>Buy</t>
  </si>
  <si>
    <t>Exit =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</si>
</sst>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15" fontId="0" fillId="0" borderId="0" xfId="0" applyNumberFormat="1"/>
    <xf numFmtId="0" fontId="0" fillId="2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zoomScale="150" zoomScaleNormal="150" workbookViewId="0">
      <selection activeCell="B4" sqref="B4"/>
    </sheetView>
  </sheetViews>
  <sheetFormatPr defaultColWidth="27.109375" defaultRowHeight="14.4" x14ac:dyDescent="0.3"/>
  <cols>
    <col min="2" max="2" width="42" style="2" customWidth="1"/>
  </cols>
  <sheetData>
    <row r="1" spans="1:2" x14ac:dyDescent="0.3">
      <c r="A1" s="1" t="s">
        <v>0</v>
      </c>
    </row>
    <row r="3" spans="1:2" x14ac:dyDescent="0.3">
      <c r="A3" t="s">
        <v>1</v>
      </c>
    </row>
    <row r="4" spans="1:2" x14ac:dyDescent="0.3">
      <c r="A4" t="s">
        <v>2</v>
      </c>
      <c r="B4" s="2" t="s">
        <v>4</v>
      </c>
    </row>
    <row r="5" spans="1:2" x14ac:dyDescent="0.3">
      <c r="A5" t="s">
        <v>5</v>
      </c>
      <c r="B5" s="2">
        <v>44133.7</v>
      </c>
    </row>
    <row r="6" spans="1:2" x14ac:dyDescent="0.3">
      <c r="A6" t="s">
        <v>3</v>
      </c>
      <c r="B6" s="2" t="s">
        <v>6</v>
      </c>
    </row>
    <row r="8" spans="1:2" x14ac:dyDescent="0.3">
      <c r="A8">
        <v>1</v>
      </c>
      <c r="B8" s="2" t="s">
        <v>9</v>
      </c>
    </row>
    <row r="9" spans="1:2" x14ac:dyDescent="0.3">
      <c r="B9" s="2" t="s">
        <v>7</v>
      </c>
    </row>
    <row r="10" spans="1:2" ht="28.8" x14ac:dyDescent="0.3">
      <c r="B10" s="2" t="s">
        <v>8</v>
      </c>
    </row>
    <row r="12" spans="1:2" x14ac:dyDescent="0.3">
      <c r="A12">
        <v>2</v>
      </c>
      <c r="B12" s="2" t="s">
        <v>10</v>
      </c>
    </row>
    <row r="13" spans="1:2" x14ac:dyDescent="0.3">
      <c r="B13" s="2" t="s">
        <v>11</v>
      </c>
    </row>
    <row r="14" spans="1:2" x14ac:dyDescent="0.3">
      <c r="B14" s="2" t="s">
        <v>12</v>
      </c>
    </row>
    <row r="15" spans="1:2" x14ac:dyDescent="0.3">
      <c r="B15" s="2" t="s">
        <v>13</v>
      </c>
    </row>
    <row r="16" spans="1:2" x14ac:dyDescent="0.3">
      <c r="B16" s="2" t="s">
        <v>14</v>
      </c>
    </row>
    <row r="18" spans="1:5" x14ac:dyDescent="0.3">
      <c r="B18" s="2" t="s">
        <v>15</v>
      </c>
    </row>
    <row r="19" spans="1:5" x14ac:dyDescent="0.3">
      <c r="B19" s="2" t="s">
        <v>16</v>
      </c>
    </row>
    <row r="20" spans="1:5" ht="28.8" x14ac:dyDescent="0.3">
      <c r="B20" s="2" t="s">
        <v>17</v>
      </c>
    </row>
    <row r="22" spans="1:5" x14ac:dyDescent="0.3">
      <c r="B22" s="2" t="s">
        <v>18</v>
      </c>
    </row>
    <row r="23" spans="1:5" ht="28.8" x14ac:dyDescent="0.3">
      <c r="B23" s="2" t="s">
        <v>19</v>
      </c>
    </row>
    <row r="25" spans="1:5" x14ac:dyDescent="0.3">
      <c r="B25" s="2" t="s">
        <v>20</v>
      </c>
    </row>
    <row r="26" spans="1:5" ht="28.8" x14ac:dyDescent="0.3">
      <c r="B26" s="2" t="s">
        <v>21</v>
      </c>
    </row>
    <row r="27" spans="1:5" ht="43.2" x14ac:dyDescent="0.3">
      <c r="B27" s="2" t="s">
        <v>22</v>
      </c>
    </row>
    <row r="29" spans="1:5" x14ac:dyDescent="0.3">
      <c r="B29" s="2" t="s">
        <v>26</v>
      </c>
      <c r="C29">
        <v>44563.25</v>
      </c>
      <c r="D29" t="s">
        <v>28</v>
      </c>
      <c r="E29" t="s">
        <v>20</v>
      </c>
    </row>
    <row r="30" spans="1:5" x14ac:dyDescent="0.3">
      <c r="B30" s="2" t="s">
        <v>23</v>
      </c>
      <c r="C30">
        <v>45000</v>
      </c>
      <c r="D30" t="s">
        <v>29</v>
      </c>
      <c r="E30" t="s">
        <v>20</v>
      </c>
    </row>
    <row r="32" spans="1:5" x14ac:dyDescent="0.3">
      <c r="A32" s="3">
        <v>45078</v>
      </c>
      <c r="B32" s="2" t="s">
        <v>27</v>
      </c>
      <c r="C32">
        <v>44700</v>
      </c>
    </row>
    <row r="34" spans="1:5" x14ac:dyDescent="0.3">
      <c r="B34" s="2" t="s">
        <v>20</v>
      </c>
      <c r="C34" t="s">
        <v>24</v>
      </c>
      <c r="D34" t="s">
        <v>24</v>
      </c>
    </row>
    <row r="35" spans="1:5" x14ac:dyDescent="0.3">
      <c r="C35">
        <v>44900</v>
      </c>
      <c r="D35">
        <v>44995</v>
      </c>
    </row>
    <row r="36" spans="1:5" x14ac:dyDescent="0.3">
      <c r="B36" s="2" t="s">
        <v>30</v>
      </c>
      <c r="C36">
        <f>MROUND(C35*(1+0.15%),0.05)</f>
        <v>44967.350000000006</v>
      </c>
      <c r="D36">
        <f>MROUND(D35*(1+0.15%),0.05)</f>
        <v>45062.5</v>
      </c>
    </row>
    <row r="38" spans="1:5" ht="28.8" x14ac:dyDescent="0.3">
      <c r="A38" s="2" t="s">
        <v>37</v>
      </c>
      <c r="B38" s="2" t="s">
        <v>25</v>
      </c>
      <c r="C38">
        <f>MAX(C36,C30)</f>
        <v>45000</v>
      </c>
      <c r="D38">
        <f>MAX(D36,C30)</f>
        <v>45062.5</v>
      </c>
    </row>
    <row r="40" spans="1:5" x14ac:dyDescent="0.3">
      <c r="B40" s="2" t="s">
        <v>31</v>
      </c>
      <c r="C40">
        <v>43000</v>
      </c>
      <c r="D40" t="s">
        <v>28</v>
      </c>
      <c r="E40" t="s">
        <v>20</v>
      </c>
    </row>
    <row r="41" spans="1:5" x14ac:dyDescent="0.3">
      <c r="B41" s="2" t="s">
        <v>32</v>
      </c>
      <c r="C41">
        <v>42500</v>
      </c>
      <c r="D41" t="s">
        <v>29</v>
      </c>
      <c r="E41" t="s">
        <v>20</v>
      </c>
    </row>
    <row r="43" spans="1:5" x14ac:dyDescent="0.3">
      <c r="A43" s="3"/>
      <c r="B43" s="2" t="s">
        <v>33</v>
      </c>
      <c r="C43">
        <v>42800</v>
      </c>
    </row>
    <row r="45" spans="1:5" x14ac:dyDescent="0.3">
      <c r="B45" s="2" t="s">
        <v>20</v>
      </c>
      <c r="C45" t="s">
        <v>34</v>
      </c>
      <c r="D45" t="s">
        <v>34</v>
      </c>
    </row>
    <row r="46" spans="1:5" x14ac:dyDescent="0.3">
      <c r="C46">
        <v>42600</v>
      </c>
      <c r="D46">
        <v>42505</v>
      </c>
    </row>
    <row r="47" spans="1:5" x14ac:dyDescent="0.3">
      <c r="B47" s="2" t="s">
        <v>30</v>
      </c>
      <c r="C47">
        <f>MROUND(C46*(1-0.15%),0.05)</f>
        <v>42536.100000000006</v>
      </c>
      <c r="D47">
        <f>MROUND(D46*(1-0.15%),0.05)</f>
        <v>42441.25</v>
      </c>
    </row>
    <row r="49" spans="1:4" ht="28.8" x14ac:dyDescent="0.3">
      <c r="A49" s="2" t="s">
        <v>36</v>
      </c>
      <c r="B49" s="2" t="s">
        <v>35</v>
      </c>
      <c r="C49">
        <f>MIN(C41,C47)</f>
        <v>42500</v>
      </c>
      <c r="D49">
        <f>MIN(C41,D47)</f>
        <v>42441.25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31E5-25E8-420F-8E28-C5D515D02BED}">
  <dimension ref="A1:H28"/>
  <sheetViews>
    <sheetView zoomScale="190" zoomScaleNormal="190" workbookViewId="0">
      <selection activeCell="A12" sqref="A12"/>
    </sheetView>
  </sheetViews>
  <sheetFormatPr defaultRowHeight="14.4" x14ac:dyDescent="0.3"/>
  <cols>
    <col min="1" max="1" width="13.21875" bestFit="1" customWidth="1"/>
    <col min="2" max="2" width="11.44140625" bestFit="1" customWidth="1"/>
    <col min="3" max="3" width="10.88671875" bestFit="1" customWidth="1"/>
    <col min="4" max="4" width="15.6640625" bestFit="1" customWidth="1"/>
    <col min="5" max="5" width="9.6640625" customWidth="1"/>
    <col min="6" max="6" width="13" bestFit="1" customWidth="1"/>
    <col min="7" max="7" width="11.33203125" bestFit="1" customWidth="1"/>
    <col min="8" max="8" width="2" bestFit="1" customWidth="1"/>
  </cols>
  <sheetData>
    <row r="1" spans="1:7" x14ac:dyDescent="0.3">
      <c r="A1" t="s">
        <v>39</v>
      </c>
      <c r="B1" t="s">
        <v>38</v>
      </c>
      <c r="C1" t="s">
        <v>40</v>
      </c>
      <c r="D1" t="s">
        <v>41</v>
      </c>
    </row>
    <row r="3" spans="1:7" x14ac:dyDescent="0.3">
      <c r="A3" t="s">
        <v>38</v>
      </c>
      <c r="B3" t="s">
        <v>42</v>
      </c>
      <c r="E3" t="s">
        <v>46</v>
      </c>
      <c r="F3" t="s">
        <v>48</v>
      </c>
      <c r="G3">
        <v>1000000</v>
      </c>
    </row>
    <row r="4" spans="1:7" x14ac:dyDescent="0.3">
      <c r="A4" t="s">
        <v>60</v>
      </c>
      <c r="B4">
        <v>40000</v>
      </c>
      <c r="C4" t="s">
        <v>44</v>
      </c>
      <c r="D4" t="s">
        <v>45</v>
      </c>
      <c r="E4" t="s">
        <v>50</v>
      </c>
      <c r="F4" t="s">
        <v>47</v>
      </c>
      <c r="G4" t="s">
        <v>49</v>
      </c>
    </row>
    <row r="5" spans="1:7" x14ac:dyDescent="0.3">
      <c r="A5" s="4">
        <v>44927</v>
      </c>
      <c r="B5" t="s">
        <v>43</v>
      </c>
      <c r="C5">
        <v>40500</v>
      </c>
      <c r="D5">
        <f>C5-B4</f>
        <v>500</v>
      </c>
      <c r="E5">
        <f t="shared" ref="E5:E10" si="0">D5*F5</f>
        <v>12500</v>
      </c>
      <c r="F5">
        <v>25</v>
      </c>
      <c r="G5">
        <f>G3+E5</f>
        <v>1012500</v>
      </c>
    </row>
    <row r="6" spans="1:7" x14ac:dyDescent="0.3">
      <c r="A6" s="4">
        <v>44928</v>
      </c>
      <c r="B6" t="s">
        <v>43</v>
      </c>
      <c r="C6">
        <v>40600</v>
      </c>
      <c r="D6">
        <f>C6-C5</f>
        <v>100</v>
      </c>
      <c r="E6">
        <f t="shared" si="0"/>
        <v>2500</v>
      </c>
      <c r="F6">
        <v>25</v>
      </c>
      <c r="G6">
        <f>G5+E6</f>
        <v>1015000</v>
      </c>
    </row>
    <row r="7" spans="1:7" x14ac:dyDescent="0.3">
      <c r="A7" s="4">
        <v>44929</v>
      </c>
      <c r="B7" t="s">
        <v>43</v>
      </c>
      <c r="C7">
        <v>40900</v>
      </c>
      <c r="D7">
        <f>C7-C6</f>
        <v>300</v>
      </c>
      <c r="E7">
        <f t="shared" si="0"/>
        <v>7500</v>
      </c>
      <c r="F7">
        <v>25</v>
      </c>
      <c r="G7">
        <f>G6+E7</f>
        <v>1022500</v>
      </c>
    </row>
    <row r="8" spans="1:7" x14ac:dyDescent="0.3">
      <c r="A8" s="4">
        <v>44930</v>
      </c>
      <c r="B8" t="s">
        <v>43</v>
      </c>
      <c r="C8">
        <v>40700</v>
      </c>
      <c r="D8">
        <f>C8-C7</f>
        <v>-200</v>
      </c>
      <c r="E8">
        <f t="shared" si="0"/>
        <v>-5000</v>
      </c>
      <c r="F8">
        <v>25</v>
      </c>
      <c r="G8">
        <f>G7+E8</f>
        <v>1017500</v>
      </c>
    </row>
    <row r="9" spans="1:7" x14ac:dyDescent="0.3">
      <c r="A9" s="4">
        <v>44931</v>
      </c>
      <c r="B9" t="s">
        <v>43</v>
      </c>
      <c r="C9">
        <v>40400</v>
      </c>
      <c r="D9">
        <f>C9-C8</f>
        <v>-300</v>
      </c>
      <c r="E9">
        <f t="shared" si="0"/>
        <v>-7500</v>
      </c>
      <c r="F9">
        <v>25</v>
      </c>
      <c r="G9">
        <f>G8+E9</f>
        <v>1010000</v>
      </c>
    </row>
    <row r="10" spans="1:7" x14ac:dyDescent="0.3">
      <c r="A10" s="4">
        <v>44932</v>
      </c>
      <c r="B10" t="s">
        <v>43</v>
      </c>
      <c r="C10">
        <v>40500</v>
      </c>
      <c r="D10">
        <f>C10-C9</f>
        <v>100</v>
      </c>
      <c r="E10">
        <f t="shared" si="0"/>
        <v>2500</v>
      </c>
      <c r="F10">
        <v>25</v>
      </c>
      <c r="G10">
        <f>G9+E10</f>
        <v>1012500</v>
      </c>
    </row>
    <row r="11" spans="1:7" x14ac:dyDescent="0.3">
      <c r="A11" s="4"/>
    </row>
    <row r="12" spans="1:7" x14ac:dyDescent="0.3">
      <c r="A12" s="4"/>
      <c r="B12" t="s">
        <v>43</v>
      </c>
      <c r="C12">
        <v>40000</v>
      </c>
    </row>
    <row r="13" spans="1:7" x14ac:dyDescent="0.3">
      <c r="A13" s="4"/>
      <c r="B13" t="s">
        <v>51</v>
      </c>
      <c r="C13">
        <v>40500</v>
      </c>
      <c r="D13">
        <f>C13-C12</f>
        <v>500</v>
      </c>
      <c r="E13">
        <v>25</v>
      </c>
      <c r="F13" s="5">
        <f>D13*E13</f>
        <v>12500</v>
      </c>
      <c r="G13" s="5">
        <f>G10-G3</f>
        <v>12500</v>
      </c>
    </row>
    <row r="15" spans="1:7" x14ac:dyDescent="0.3">
      <c r="A15" t="s">
        <v>52</v>
      </c>
    </row>
    <row r="18" spans="1:8" x14ac:dyDescent="0.3">
      <c r="F18" t="s">
        <v>54</v>
      </c>
    </row>
    <row r="19" spans="1:8" x14ac:dyDescent="0.3">
      <c r="A19" s="4">
        <v>44927</v>
      </c>
      <c r="B19" t="s">
        <v>43</v>
      </c>
      <c r="C19">
        <f>B4*25</f>
        <v>1000000</v>
      </c>
      <c r="D19" s="6">
        <v>1E-4</v>
      </c>
      <c r="E19">
        <f>C19*D19</f>
        <v>100</v>
      </c>
      <c r="F19">
        <v>100</v>
      </c>
    </row>
    <row r="20" spans="1:8" x14ac:dyDescent="0.3">
      <c r="A20" s="4">
        <v>44927</v>
      </c>
      <c r="B20" t="s">
        <v>53</v>
      </c>
      <c r="C20">
        <f>B4*25</f>
        <v>1000000</v>
      </c>
      <c r="D20" s="6">
        <v>1E-4</v>
      </c>
      <c r="F20" t="s">
        <v>55</v>
      </c>
    </row>
    <row r="22" spans="1:8" x14ac:dyDescent="0.3">
      <c r="E22" t="s">
        <v>56</v>
      </c>
      <c r="F22">
        <v>100</v>
      </c>
    </row>
    <row r="24" spans="1:8" x14ac:dyDescent="0.3">
      <c r="D24" t="s">
        <v>57</v>
      </c>
    </row>
    <row r="25" spans="1:8" x14ac:dyDescent="0.3">
      <c r="A25" s="4">
        <v>44927</v>
      </c>
      <c r="B25" t="s">
        <v>43</v>
      </c>
      <c r="C25">
        <f>B4*25</f>
        <v>1000000</v>
      </c>
      <c r="D25" s="6">
        <v>1E-4</v>
      </c>
      <c r="E25">
        <f>C25*D25</f>
        <v>100</v>
      </c>
      <c r="F25">
        <f>E25</f>
        <v>100</v>
      </c>
      <c r="H25">
        <v>5</v>
      </c>
    </row>
    <row r="26" spans="1:8" x14ac:dyDescent="0.3">
      <c r="A26" s="4">
        <v>44932</v>
      </c>
      <c r="B26" t="s">
        <v>53</v>
      </c>
      <c r="C26">
        <f>40500*25</f>
        <v>1012500</v>
      </c>
      <c r="D26" s="6">
        <v>1E-4</v>
      </c>
      <c r="E26">
        <f>C26*D26</f>
        <v>101.25</v>
      </c>
      <c r="F26">
        <f>E26</f>
        <v>101.25</v>
      </c>
      <c r="H26">
        <v>5</v>
      </c>
    </row>
    <row r="28" spans="1:8" x14ac:dyDescent="0.3">
      <c r="E28" t="s">
        <v>56</v>
      </c>
      <c r="F28">
        <f>SUM(F25:F26)</f>
        <v>201.25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0E06-C2DE-4D54-B671-6899A325EA1F}">
  <dimension ref="A1:H47"/>
  <sheetViews>
    <sheetView tabSelected="1" topLeftCell="A36" zoomScale="160" zoomScaleNormal="160" workbookViewId="0">
      <selection activeCell="E42" sqref="E42"/>
    </sheetView>
  </sheetViews>
  <sheetFormatPr defaultRowHeight="14.4" x14ac:dyDescent="0.3"/>
  <cols>
    <col min="1" max="1" width="12.21875" bestFit="1" customWidth="1"/>
    <col min="2" max="2" width="12.109375" customWidth="1"/>
  </cols>
  <sheetData>
    <row r="1" spans="1:8" x14ac:dyDescent="0.3">
      <c r="A1" t="s">
        <v>58</v>
      </c>
    </row>
    <row r="3" spans="1:8" x14ac:dyDescent="0.3">
      <c r="A3" t="s">
        <v>58</v>
      </c>
      <c r="B3" t="s">
        <v>42</v>
      </c>
      <c r="F3" t="s">
        <v>48</v>
      </c>
      <c r="G3">
        <v>1000000</v>
      </c>
    </row>
    <row r="4" spans="1:8" x14ac:dyDescent="0.3">
      <c r="A4" t="s">
        <v>59</v>
      </c>
      <c r="B4">
        <v>500</v>
      </c>
      <c r="C4" t="s">
        <v>5</v>
      </c>
      <c r="D4" t="s">
        <v>47</v>
      </c>
      <c r="E4" t="s">
        <v>61</v>
      </c>
    </row>
    <row r="5" spans="1:8" x14ac:dyDescent="0.3">
      <c r="A5" s="4">
        <v>44927</v>
      </c>
      <c r="B5" t="s">
        <v>67</v>
      </c>
      <c r="C5">
        <v>500</v>
      </c>
      <c r="D5">
        <v>100</v>
      </c>
      <c r="E5">
        <f>C5*D5</f>
        <v>50000</v>
      </c>
      <c r="F5" t="s">
        <v>62</v>
      </c>
      <c r="G5">
        <f>G3+E5</f>
        <v>1050000</v>
      </c>
    </row>
    <row r="6" spans="1:8" x14ac:dyDescent="0.3">
      <c r="A6" s="4">
        <v>44928</v>
      </c>
      <c r="B6" t="s">
        <v>4</v>
      </c>
    </row>
    <row r="7" spans="1:8" x14ac:dyDescent="0.3">
      <c r="A7" s="4">
        <v>44929</v>
      </c>
      <c r="B7" t="s">
        <v>4</v>
      </c>
    </row>
    <row r="8" spans="1:8" x14ac:dyDescent="0.3">
      <c r="A8" s="4">
        <v>44930</v>
      </c>
      <c r="B8" t="s">
        <v>4</v>
      </c>
    </row>
    <row r="9" spans="1:8" x14ac:dyDescent="0.3">
      <c r="A9" s="4">
        <v>44931</v>
      </c>
      <c r="B9" t="s">
        <v>4</v>
      </c>
    </row>
    <row r="10" spans="1:8" x14ac:dyDescent="0.3">
      <c r="A10" s="4">
        <v>44932</v>
      </c>
      <c r="B10" t="s">
        <v>66</v>
      </c>
      <c r="C10">
        <v>200</v>
      </c>
      <c r="D10">
        <v>100</v>
      </c>
      <c r="E10">
        <f>C10*D10</f>
        <v>20000</v>
      </c>
      <c r="F10" t="s">
        <v>64</v>
      </c>
      <c r="G10">
        <f>G5-E10</f>
        <v>1030000</v>
      </c>
      <c r="H10" t="s">
        <v>69</v>
      </c>
    </row>
    <row r="11" spans="1:8" x14ac:dyDescent="0.3">
      <c r="A11" s="4">
        <v>44932</v>
      </c>
      <c r="B11" t="s">
        <v>66</v>
      </c>
      <c r="C11">
        <v>700</v>
      </c>
      <c r="D11">
        <v>100</v>
      </c>
      <c r="E11">
        <f>C11*D11</f>
        <v>70000</v>
      </c>
      <c r="F11" t="s">
        <v>64</v>
      </c>
      <c r="G11">
        <f>G5-E11</f>
        <v>980000</v>
      </c>
      <c r="H11" t="s">
        <v>68</v>
      </c>
    </row>
    <row r="12" spans="1:8" ht="4.2" customHeight="1" x14ac:dyDescent="0.3">
      <c r="A12" s="4"/>
    </row>
    <row r="13" spans="1:8" x14ac:dyDescent="0.3">
      <c r="A13" s="4"/>
    </row>
    <row r="14" spans="1:8" x14ac:dyDescent="0.3">
      <c r="A14" s="4"/>
      <c r="B14" t="s">
        <v>51</v>
      </c>
      <c r="C14">
        <v>500</v>
      </c>
      <c r="D14">
        <f>C14-C15</f>
        <v>300</v>
      </c>
      <c r="E14">
        <v>100</v>
      </c>
      <c r="F14" s="5">
        <f>D14*E14</f>
        <v>30000</v>
      </c>
      <c r="G14" s="5">
        <f>G10-G3</f>
        <v>30000</v>
      </c>
    </row>
    <row r="15" spans="1:8" x14ac:dyDescent="0.3">
      <c r="A15" s="4"/>
      <c r="B15" t="s">
        <v>43</v>
      </c>
      <c r="C15">
        <v>200</v>
      </c>
      <c r="F15" s="5"/>
      <c r="G15" s="5"/>
    </row>
    <row r="16" spans="1:8" x14ac:dyDescent="0.3">
      <c r="A16" s="4"/>
    </row>
    <row r="17" spans="1:7" x14ac:dyDescent="0.3">
      <c r="A17" s="4"/>
      <c r="B17" t="s">
        <v>51</v>
      </c>
      <c r="C17">
        <v>500</v>
      </c>
      <c r="D17">
        <f>C17-C18</f>
        <v>-200</v>
      </c>
      <c r="E17">
        <v>100</v>
      </c>
      <c r="F17" s="5">
        <f>D17*E17</f>
        <v>-20000</v>
      </c>
      <c r="G17" s="5">
        <f>G11-G3</f>
        <v>-20000</v>
      </c>
    </row>
    <row r="18" spans="1:7" x14ac:dyDescent="0.3">
      <c r="A18" s="4"/>
      <c r="B18" t="s">
        <v>43</v>
      </c>
      <c r="C18">
        <v>700</v>
      </c>
      <c r="F18" s="5"/>
      <c r="G18" s="5"/>
    </row>
    <row r="20" spans="1:7" x14ac:dyDescent="0.3">
      <c r="A20" t="s">
        <v>63</v>
      </c>
    </row>
    <row r="21" spans="1:7" x14ac:dyDescent="0.3">
      <c r="A21" t="s">
        <v>65</v>
      </c>
    </row>
    <row r="22" spans="1:7" x14ac:dyDescent="0.3">
      <c r="A22" t="s">
        <v>75</v>
      </c>
    </row>
    <row r="26" spans="1:7" x14ac:dyDescent="0.3">
      <c r="A26" t="s">
        <v>70</v>
      </c>
    </row>
    <row r="28" spans="1:7" x14ac:dyDescent="0.3">
      <c r="A28" t="s">
        <v>70</v>
      </c>
      <c r="B28" t="s">
        <v>42</v>
      </c>
      <c r="F28" t="s">
        <v>48</v>
      </c>
      <c r="G28">
        <v>1000000</v>
      </c>
    </row>
    <row r="29" spans="1:7" x14ac:dyDescent="0.3">
      <c r="A29" t="s">
        <v>60</v>
      </c>
      <c r="B29">
        <v>400</v>
      </c>
      <c r="C29" t="s">
        <v>5</v>
      </c>
      <c r="D29" t="s">
        <v>47</v>
      </c>
      <c r="E29" t="s">
        <v>61</v>
      </c>
    </row>
    <row r="30" spans="1:7" x14ac:dyDescent="0.3">
      <c r="A30" s="4">
        <v>44927</v>
      </c>
      <c r="B30" t="s">
        <v>71</v>
      </c>
      <c r="C30">
        <v>400</v>
      </c>
      <c r="D30">
        <v>100</v>
      </c>
      <c r="E30">
        <f>C30*D30</f>
        <v>40000</v>
      </c>
      <c r="F30" t="s">
        <v>64</v>
      </c>
      <c r="G30">
        <f>G28-E30</f>
        <v>960000</v>
      </c>
    </row>
    <row r="31" spans="1:7" x14ac:dyDescent="0.3">
      <c r="A31" s="4">
        <v>44928</v>
      </c>
      <c r="B31" t="s">
        <v>76</v>
      </c>
    </row>
    <row r="32" spans="1:7" x14ac:dyDescent="0.3">
      <c r="A32" s="4">
        <v>44929</v>
      </c>
      <c r="B32" t="s">
        <v>76</v>
      </c>
    </row>
    <row r="33" spans="1:8" x14ac:dyDescent="0.3">
      <c r="A33" s="4">
        <v>44930</v>
      </c>
      <c r="B33" t="s">
        <v>76</v>
      </c>
    </row>
    <row r="34" spans="1:8" x14ac:dyDescent="0.3">
      <c r="A34" s="4">
        <v>44931</v>
      </c>
      <c r="B34" t="s">
        <v>76</v>
      </c>
    </row>
    <row r="35" spans="1:8" x14ac:dyDescent="0.3">
      <c r="A35" s="4">
        <v>44932</v>
      </c>
      <c r="B35" t="s">
        <v>77</v>
      </c>
      <c r="C35">
        <v>700</v>
      </c>
      <c r="D35">
        <v>100</v>
      </c>
      <c r="E35">
        <f>C35*D35</f>
        <v>70000</v>
      </c>
      <c r="F35" t="s">
        <v>62</v>
      </c>
      <c r="G35">
        <f>G30+E35</f>
        <v>1030000</v>
      </c>
      <c r="H35" t="s">
        <v>69</v>
      </c>
    </row>
    <row r="36" spans="1:8" x14ac:dyDescent="0.3">
      <c r="A36" s="4">
        <v>44932</v>
      </c>
      <c r="B36" t="s">
        <v>77</v>
      </c>
      <c r="C36">
        <v>200</v>
      </c>
      <c r="D36">
        <v>100</v>
      </c>
      <c r="E36">
        <f>C36*D36</f>
        <v>20000</v>
      </c>
      <c r="F36" t="s">
        <v>62</v>
      </c>
      <c r="G36">
        <f>G30+E36</f>
        <v>980000</v>
      </c>
      <c r="H36" t="s">
        <v>68</v>
      </c>
    </row>
    <row r="37" spans="1:8" ht="4.2" customHeight="1" x14ac:dyDescent="0.3">
      <c r="A37" s="4"/>
    </row>
    <row r="38" spans="1:8" x14ac:dyDescent="0.3">
      <c r="A38" s="4"/>
      <c r="B38" t="s">
        <v>43</v>
      </c>
      <c r="C38">
        <f>C30</f>
        <v>400</v>
      </c>
    </row>
    <row r="39" spans="1:8" x14ac:dyDescent="0.3">
      <c r="A39" s="4"/>
      <c r="B39" t="s">
        <v>51</v>
      </c>
      <c r="C39">
        <f>C35</f>
        <v>700</v>
      </c>
      <c r="D39">
        <f>C39-C38</f>
        <v>300</v>
      </c>
      <c r="E39">
        <v>100</v>
      </c>
      <c r="F39" s="5">
        <f>D39*E39</f>
        <v>30000</v>
      </c>
      <c r="G39" s="5">
        <f>G35-G28</f>
        <v>30000</v>
      </c>
    </row>
    <row r="40" spans="1:8" ht="6.6" customHeight="1" x14ac:dyDescent="0.3">
      <c r="A40" s="4"/>
    </row>
    <row r="41" spans="1:8" x14ac:dyDescent="0.3">
      <c r="A41" s="4"/>
      <c r="B41" t="s">
        <v>43</v>
      </c>
      <c r="C41">
        <f>C30</f>
        <v>400</v>
      </c>
    </row>
    <row r="42" spans="1:8" x14ac:dyDescent="0.3">
      <c r="A42" s="4"/>
      <c r="B42" t="s">
        <v>51</v>
      </c>
      <c r="C42">
        <f>C36</f>
        <v>200</v>
      </c>
      <c r="D42">
        <f>C42-C41</f>
        <v>-200</v>
      </c>
      <c r="E42">
        <v>100</v>
      </c>
      <c r="F42" s="5">
        <f>D42*E42</f>
        <v>-20000</v>
      </c>
      <c r="G42" s="5">
        <f>G36-G28</f>
        <v>-20000</v>
      </c>
    </row>
    <row r="43" spans="1:8" x14ac:dyDescent="0.3">
      <c r="A43" s="4"/>
    </row>
    <row r="45" spans="1:8" x14ac:dyDescent="0.3">
      <c r="A45" t="s">
        <v>72</v>
      </c>
    </row>
    <row r="46" spans="1:8" x14ac:dyDescent="0.3">
      <c r="A46" t="s">
        <v>73</v>
      </c>
    </row>
    <row r="47" spans="1:8" x14ac:dyDescent="0.3">
      <c r="A4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Futures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Bejal Patel</dc:creator>
  <cp:lastModifiedBy>HP</cp:lastModifiedBy>
  <dcterms:created xsi:type="dcterms:W3CDTF">2015-06-05T18:17:20Z</dcterms:created>
  <dcterms:modified xsi:type="dcterms:W3CDTF">2023-06-01T03:35:28Z</dcterms:modified>
</cp:coreProperties>
</file>