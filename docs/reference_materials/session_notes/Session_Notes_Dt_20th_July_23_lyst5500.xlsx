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<sst xmlns="http://schemas.openxmlformats.org/spreadsheetml/2006/main" count="242" uniqueCount="70">
  <si>
    <t>May The Peaceful Prosperity Be With You Always.!!!</t>
  </si>
  <si>
    <t>Entry</t>
  </si>
  <si>
    <t>TGT 1</t>
  </si>
  <si>
    <t>TGT 2</t>
  </si>
  <si>
    <t>TGT 3</t>
  </si>
  <si>
    <t>TGT 4</t>
  </si>
  <si>
    <t>TGT 5</t>
  </si>
  <si>
    <t>2DHH</t>
  </si>
  <si>
    <t>Buy</t>
  </si>
  <si>
    <t>2DLL</t>
  </si>
  <si>
    <t>Sell</t>
  </si>
  <si>
    <t>SL 1</t>
  </si>
  <si>
    <t>Min</t>
  </si>
  <si>
    <t>MSL</t>
  </si>
  <si>
    <t>Entry + 0.40%</t>
  </si>
  <si>
    <t>TSL</t>
  </si>
  <si>
    <t>2DHH + 0.05%</t>
  </si>
  <si>
    <t>NOT Achieved</t>
  </si>
  <si>
    <t>As on 13-Jul-2023</t>
  </si>
  <si>
    <t>Sell On</t>
  </si>
  <si>
    <t>Target 1 Achieved</t>
  </si>
  <si>
    <t>Our Entry</t>
  </si>
  <si>
    <t>ORPT</t>
  </si>
  <si>
    <t>Lots</t>
  </si>
  <si>
    <t>Price</t>
  </si>
  <si>
    <t>Trigger Price</t>
  </si>
  <si>
    <t>Sell's Target 2</t>
  </si>
  <si>
    <t>Y</t>
  </si>
  <si>
    <t>Sell's TRP 3</t>
  </si>
  <si>
    <t>Buy Entry</t>
  </si>
  <si>
    <t>Trading Date</t>
  </si>
  <si>
    <t>Trading Day</t>
  </si>
  <si>
    <t>Trading Time</t>
  </si>
  <si>
    <t>Date</t>
  </si>
  <si>
    <t>Day</t>
  </si>
  <si>
    <t>Position</t>
  </si>
  <si>
    <t>Trade</t>
  </si>
  <si>
    <t>Entry Price</t>
  </si>
  <si>
    <t>Target Status</t>
  </si>
  <si>
    <t>Open</t>
  </si>
  <si>
    <t>No Target Achieved</t>
  </si>
  <si>
    <t>Target 2 Achieved</t>
  </si>
  <si>
    <t>Buy's TRP 3</t>
  </si>
  <si>
    <t>Sell Entry</t>
  </si>
  <si>
    <t>3 Orders</t>
  </si>
  <si>
    <t>09:05 AM Low</t>
  </si>
  <si>
    <t>SL Missed</t>
  </si>
  <si>
    <t>Sell Entry Missed</t>
  </si>
  <si>
    <t>Recalculation Time</t>
  </si>
  <si>
    <t>Recalculation</t>
  </si>
  <si>
    <t>09:15 AM Low - 0.05%</t>
  </si>
  <si>
    <t>09:15 AM Low = 82.4425</t>
  </si>
  <si>
    <t>EOD</t>
  </si>
  <si>
    <t>At 10:15 am</t>
  </si>
  <si>
    <t>Buy SL Hit</t>
  </si>
  <si>
    <t>Sell = On</t>
  </si>
  <si>
    <t>Next Step</t>
  </si>
  <si>
    <t>Cancel Buy TGT 3 Order</t>
  </si>
  <si>
    <t>Place Sell's SL Order</t>
  </si>
  <si>
    <t>Place Sell's TGT 1 Order</t>
  </si>
  <si>
    <t>Place Buy Order</t>
  </si>
  <si>
    <t>5 Lot</t>
  </si>
  <si>
    <t>Calculations For Buy Order</t>
  </si>
  <si>
    <t>Max of ( 2dhh and CDH ) + 0.05%</t>
  </si>
  <si>
    <t>Missed</t>
  </si>
  <si>
    <t>N</t>
  </si>
  <si>
    <t xml:space="preserve">If Incase Sell's SL is Missed </t>
  </si>
  <si>
    <t>Place Sell SL order at 09:15 am</t>
  </si>
  <si>
    <t>Place Buy Entry at 09:15 am</t>
  </si>
  <si>
    <t>Max of ( old Buy Entry &amp; 09:15 am High )  + 0.05%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</si>
</sst>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-yyyy"/>
    <numFmt numFmtId="165" formatCode="0.0000"/>
    <numFmt numFmtId="166" formatCode="d-mmmm-yyyy"/>
    <numFmt numFmtId="167" formatCode="hh:mm"/>
    <numFmt numFmtId="168" formatCode="dd-mmmm-yyyy"/>
    <numFmt numFmtId="169" formatCode="dd-mmm-yyyy"/>
  </numFmts>
  <fonts count="4">
    <font>
      <sz val="10.0"/>
      <color rgb="FF000000"/>
      <name val="Arial"/>
      <scheme val="minor"/>
    </font>
    <font>
      <b/>
      <sz val="13.0"/>
      <color rgb="FFFF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2" fontId="2" numFmtId="165" xfId="0" applyFill="1" applyFont="1" applyNumberFormat="1"/>
    <xf borderId="0" fillId="3" fontId="2" numFmtId="165" xfId="0" applyFill="1" applyFont="1" applyNumberFormat="1"/>
    <xf borderId="0" fillId="3" fontId="2" numFmtId="165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3" numFmtId="168" xfId="0" applyAlignment="1" applyFont="1" applyNumberFormat="1">
      <alignment readingOrder="0"/>
    </xf>
    <xf borderId="0" fillId="0" fontId="3" numFmtId="0" xfId="0" applyFont="1"/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0" fontId="3" numFmtId="0" xfId="0" applyAlignment="1" applyFont="1">
      <alignment readingOrder="0" shrinkToFit="0" wrapText="1"/>
    </xf>
    <xf borderId="0" fillId="0" fontId="3" numFmtId="16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2.25"/>
    <col customWidth="1" min="3" max="3" width="5.5"/>
    <col customWidth="1" min="4" max="4" width="13.63"/>
    <col customWidth="1" min="5" max="5" width="15.5"/>
    <col customWidth="1" min="6" max="7" width="15.13"/>
    <col customWidth="1" min="8" max="9" width="8.88"/>
    <col customWidth="1" min="10" max="10" width="7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4">
        <v>45118.0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2"/>
      <c r="C5" s="2"/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2"/>
      <c r="C6" s="3"/>
      <c r="D6" s="5">
        <v>5.0E-4</v>
      </c>
      <c r="E6" s="5">
        <v>0.004</v>
      </c>
      <c r="F6" s="5">
        <v>0.006</v>
      </c>
      <c r="G6" s="5">
        <v>0.008</v>
      </c>
      <c r="H6" s="5">
        <v>0.01</v>
      </c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7</v>
      </c>
      <c r="B7" s="6">
        <v>82.125</v>
      </c>
      <c r="C7" s="3" t="s">
        <v>8</v>
      </c>
      <c r="D7" s="7">
        <f>MROUND(B7*(1+D6),0.0025)</f>
        <v>82.165</v>
      </c>
      <c r="E7" s="8">
        <f>MROUND(D7*(1+E6),0.0025)</f>
        <v>82.4925</v>
      </c>
      <c r="F7" s="8">
        <f>MROUND(D7*(1+F6),0.0025)</f>
        <v>82.6575</v>
      </c>
      <c r="G7" s="7">
        <f>MROUND(D7*(1+G6),0.0025)</f>
        <v>82.8225</v>
      </c>
      <c r="H7" s="7">
        <f>MROUND(D7*(1+H6),0.0025)</f>
        <v>82.9875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</v>
      </c>
      <c r="B8" s="6">
        <v>82.6</v>
      </c>
      <c r="C8" s="3" t="s">
        <v>10</v>
      </c>
      <c r="D8" s="9">
        <f>MROUND(B8*(1-D6),0.0025)</f>
        <v>82.5575</v>
      </c>
      <c r="E8" s="7">
        <f>MROUND(D8*(1-E6),0.0025)</f>
        <v>82.2275</v>
      </c>
      <c r="F8" s="7">
        <f>MROUND(D8*(1-F6),0.0025)</f>
        <v>82.0625</v>
      </c>
      <c r="G8" s="7">
        <f>MROUND(D8*(1-G6),0.0025)</f>
        <v>81.8975</v>
      </c>
      <c r="H8" s="7">
        <f>MROUND(D8*(1-H6),0.0025)</f>
        <v>81.7325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4">
        <v>45118.0</v>
      </c>
      <c r="E9" s="4">
        <v>45120.0</v>
      </c>
      <c r="F9" s="4">
        <v>45120.0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3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2"/>
      <c r="C12" s="2"/>
      <c r="D12" s="3" t="s">
        <v>1</v>
      </c>
      <c r="E12" s="3" t="s">
        <v>2</v>
      </c>
      <c r="F12" s="3" t="s">
        <v>3</v>
      </c>
      <c r="G12" s="3" t="s">
        <v>4</v>
      </c>
      <c r="H12" s="3" t="s">
        <v>5</v>
      </c>
      <c r="I12" s="3" t="s">
        <v>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2"/>
      <c r="C13" s="3"/>
      <c r="D13" s="5">
        <v>5.0E-4</v>
      </c>
      <c r="E13" s="5">
        <v>0.004</v>
      </c>
      <c r="F13" s="5">
        <v>0.006</v>
      </c>
      <c r="G13" s="5">
        <v>0.008</v>
      </c>
      <c r="H13" s="5">
        <v>0.01</v>
      </c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7</v>
      </c>
      <c r="B14" s="6">
        <v>82.125</v>
      </c>
      <c r="C14" s="3" t="s">
        <v>8</v>
      </c>
      <c r="D14" s="7">
        <f>MROUND(B14*(1+D13),0.0025)</f>
        <v>82.165</v>
      </c>
      <c r="E14" s="7">
        <f>MROUND(D14*(1+E13),0.0025)</f>
        <v>82.4925</v>
      </c>
      <c r="F14" s="7">
        <f>MROUND(D14*(1+F13),0.0025)</f>
        <v>82.6575</v>
      </c>
      <c r="G14" s="7">
        <f>MROUND(D14*(1+G13),0.0025)</f>
        <v>82.8225</v>
      </c>
      <c r="H14" s="7">
        <f>MROUND(D14*(1+H13),0.0025)</f>
        <v>82.9875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6"/>
      <c r="C15" s="3"/>
      <c r="D15" s="7"/>
      <c r="E15" s="7"/>
      <c r="F15" s="7"/>
      <c r="G15" s="7"/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9</v>
      </c>
      <c r="B16" s="6">
        <v>82.4425</v>
      </c>
      <c r="C16" s="3" t="s">
        <v>10</v>
      </c>
      <c r="D16" s="9">
        <f>MROUND(B16*(1-D13),0.0025)</f>
        <v>82.4025</v>
      </c>
      <c r="E16" s="7">
        <f>MROUND(D16*(1-E13),0.0025)</f>
        <v>82.0725</v>
      </c>
      <c r="F16" s="7">
        <f>MROUND(D16*(1-F13),0.0025)</f>
        <v>81.9075</v>
      </c>
      <c r="G16" s="7">
        <f>MROUND(D16*(1-G13),0.0025)</f>
        <v>81.7425</v>
      </c>
      <c r="H16" s="7">
        <f>MROUND(D16*(1-H13),0.0025)</f>
        <v>81.5775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4">
        <v>45118.0</v>
      </c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6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6">
        <f>MROUND(MIN(B14*(1+D13),D16*(1+E13)),0.0025)</f>
        <v>82.165</v>
      </c>
      <c r="E19" s="3" t="s">
        <v>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3" t="s">
        <v>13</v>
      </c>
      <c r="D20" s="6">
        <f>MROUND(D16*(1+E13),0.0025)</f>
        <v>82.7325</v>
      </c>
      <c r="E20" s="3" t="s">
        <v>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 t="s">
        <v>15</v>
      </c>
      <c r="D21" s="10">
        <f>MROUND(B14*(1+D13),0.0025)</f>
        <v>82.165</v>
      </c>
      <c r="E21" s="3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>
        <f>B16*(1-D13)</f>
        <v>82.40127875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3">
        <v>82.4013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11">
        <v>4025.0</v>
      </c>
      <c r="E25" s="3">
        <v>4000.0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>
        <f>D25-4013</f>
        <v>12</v>
      </c>
      <c r="E26" s="2">
        <f>4013-4000</f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>
        <v>45119.0</v>
      </c>
      <c r="B28" s="2"/>
      <c r="C28" s="2"/>
      <c r="D28" s="3" t="s">
        <v>1</v>
      </c>
      <c r="E28" s="3" t="s">
        <v>2</v>
      </c>
      <c r="F28" s="3" t="s">
        <v>3</v>
      </c>
      <c r="G28" s="3" t="s">
        <v>4</v>
      </c>
      <c r="H28" s="3" t="s">
        <v>5</v>
      </c>
      <c r="I28" s="3" t="s">
        <v>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2"/>
      <c r="C29" s="3"/>
      <c r="D29" s="5">
        <v>5.0E-4</v>
      </c>
      <c r="E29" s="5">
        <v>0.004</v>
      </c>
      <c r="F29" s="5">
        <v>0.006</v>
      </c>
      <c r="G29" s="5">
        <v>0.008</v>
      </c>
      <c r="H29" s="5">
        <v>0.01</v>
      </c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</v>
      </c>
      <c r="B30" s="6">
        <v>82.765</v>
      </c>
      <c r="C30" s="3" t="s">
        <v>8</v>
      </c>
      <c r="D30" s="7">
        <f>MROUND(B30*(1+D29),0.0025)</f>
        <v>82.8075</v>
      </c>
      <c r="E30" s="7">
        <f>MROUND(D30*(1+E29),0.0025)</f>
        <v>83.1375</v>
      </c>
      <c r="F30" s="7">
        <f>MROUND(D30*(1+F29),0.0025)</f>
        <v>83.305</v>
      </c>
      <c r="G30" s="7">
        <f>MROUND(D30*(1+G29),0.0025)</f>
        <v>83.47</v>
      </c>
      <c r="H30" s="7">
        <f>MROUND(D30*(1+H29),0.0025)</f>
        <v>83.635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6"/>
      <c r="C31" s="3"/>
      <c r="D31" s="7"/>
      <c r="E31" s="7"/>
      <c r="F31" s="7"/>
      <c r="G31" s="7"/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9</v>
      </c>
      <c r="B32" s="6">
        <v>82.4425</v>
      </c>
      <c r="C32" s="3" t="s">
        <v>10</v>
      </c>
      <c r="D32" s="9">
        <f>MROUND(B32*(1-D29),0.0025)</f>
        <v>82.4025</v>
      </c>
      <c r="E32" s="8">
        <f>MROUND(D32*(1-E29),0.0025)</f>
        <v>82.0725</v>
      </c>
      <c r="F32" s="7">
        <f>MROUND(D32*(1-F29),0.0025)</f>
        <v>81.9075</v>
      </c>
      <c r="G32" s="7">
        <f>MROUND(D32*(1-G29),0.0025)</f>
        <v>81.7425</v>
      </c>
      <c r="H32" s="7">
        <f>MROUND(D32*(1-H29),0.0025)</f>
        <v>81.5775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4">
        <v>45118.0</v>
      </c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6" t="s">
        <v>11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13">
        <f>MROUND(MIN(B30*(1+D29),D32*(1+E29)),0.0025)</f>
        <v>82.7325</v>
      </c>
      <c r="E35" s="3" t="s">
        <v>12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3" t="s">
        <v>13</v>
      </c>
      <c r="D36" s="6">
        <f>MROUND(D32*(1+E29),0.0025)</f>
        <v>82.7325</v>
      </c>
      <c r="E36" s="3" t="s">
        <v>14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 t="s">
        <v>15</v>
      </c>
      <c r="D37" s="10">
        <f>MROUND(B30*(1+D29),0.0025)</f>
        <v>82.8075</v>
      </c>
      <c r="E37" s="3" t="s">
        <v>16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>
        <v>45120.0</v>
      </c>
      <c r="B39" s="2"/>
      <c r="C39" s="2"/>
      <c r="D39" s="3" t="s">
        <v>1</v>
      </c>
      <c r="E39" s="3" t="s">
        <v>2</v>
      </c>
      <c r="F39" s="3" t="s">
        <v>3</v>
      </c>
      <c r="G39" s="3" t="s">
        <v>4</v>
      </c>
      <c r="H39" s="3" t="s">
        <v>5</v>
      </c>
      <c r="I39" s="3" t="s">
        <v>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2"/>
      <c r="C40" s="3"/>
      <c r="D40" s="5">
        <v>5.0E-4</v>
      </c>
      <c r="E40" s="5">
        <v>0.004</v>
      </c>
      <c r="F40" s="5">
        <v>0.006</v>
      </c>
      <c r="G40" s="5">
        <v>0.008</v>
      </c>
      <c r="H40" s="5">
        <v>0.01</v>
      </c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7</v>
      </c>
      <c r="B41" s="6">
        <v>82.55</v>
      </c>
      <c r="C41" s="3" t="s">
        <v>8</v>
      </c>
      <c r="D41" s="7">
        <f>MROUND(B41*(1+D40),0.0025)</f>
        <v>82.5925</v>
      </c>
      <c r="E41" s="7">
        <f>MROUND(D41*(1+E40),0.0025)</f>
        <v>82.9225</v>
      </c>
      <c r="F41" s="7">
        <f>MROUND(D41*(1+F40),0.0025)</f>
        <v>83.0875</v>
      </c>
      <c r="G41" s="7">
        <f>MROUND(D41*(1+G40),0.0025)</f>
        <v>83.2525</v>
      </c>
      <c r="H41" s="7">
        <f>MROUND(D41*(1+H40),0.0025)</f>
        <v>83.4175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6"/>
      <c r="C42" s="3"/>
      <c r="D42" s="7"/>
      <c r="E42" s="7"/>
      <c r="F42" s="7"/>
      <c r="G42" s="7"/>
      <c r="H42" s="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9</v>
      </c>
      <c r="B43" s="6">
        <v>82.4425</v>
      </c>
      <c r="C43" s="3" t="s">
        <v>10</v>
      </c>
      <c r="D43" s="9">
        <f>MROUND(B43*(1-D40),0.0025)</f>
        <v>82.4025</v>
      </c>
      <c r="E43" s="8">
        <f>MROUND(D43*(1-E40),0.0025)</f>
        <v>82.0725</v>
      </c>
      <c r="F43" s="8">
        <f>MROUND(D43*(1-F40),0.0025)</f>
        <v>81.9075</v>
      </c>
      <c r="G43" s="7">
        <f>MROUND(D43*(1-G40),0.0025)</f>
        <v>81.7425</v>
      </c>
      <c r="H43" s="7">
        <f>MROUND(D43*(1-H40),0.0025)</f>
        <v>81.5775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4">
        <v>45118.0</v>
      </c>
      <c r="E44" s="4">
        <v>45120.0</v>
      </c>
      <c r="F44" s="3" t="s">
        <v>17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6" t="s">
        <v>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13">
        <f>MROUND(MIN(B41*(1+D40),D43*(1+E40)),0.0025)</f>
        <v>82.5925</v>
      </c>
      <c r="E46" s="3" t="s">
        <v>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 t="s">
        <v>13</v>
      </c>
      <c r="D47" s="6">
        <f>MROUND(D43*(1+E40),0.0025)</f>
        <v>82.7325</v>
      </c>
      <c r="E47" s="3" t="s">
        <v>14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 t="s">
        <v>15</v>
      </c>
      <c r="D48" s="10">
        <f>MROUND(B41*(1+D40),0.0025)</f>
        <v>82.5925</v>
      </c>
      <c r="E48" s="3" t="s">
        <v>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>
        <v>45124.0</v>
      </c>
      <c r="B55" s="2"/>
      <c r="C55" s="2"/>
      <c r="D55" s="3" t="s">
        <v>1</v>
      </c>
      <c r="E55" s="3" t="s">
        <v>2</v>
      </c>
      <c r="F55" s="3" t="s">
        <v>3</v>
      </c>
      <c r="G55" s="3" t="s">
        <v>4</v>
      </c>
      <c r="H55" s="3" t="s">
        <v>5</v>
      </c>
      <c r="I55" s="3" t="s">
        <v>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2"/>
      <c r="C56" s="3"/>
      <c r="D56" s="5">
        <v>5.0E-4</v>
      </c>
      <c r="E56" s="5">
        <v>0.004</v>
      </c>
      <c r="F56" s="5">
        <v>0.006</v>
      </c>
      <c r="G56" s="5">
        <v>0.008</v>
      </c>
      <c r="H56" s="5">
        <v>0.01</v>
      </c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7</v>
      </c>
      <c r="B57" s="6">
        <v>82.225</v>
      </c>
      <c r="C57" s="3" t="s">
        <v>8</v>
      </c>
      <c r="D57" s="7">
        <f>MROUND(B57*(1+D56),0.0025)</f>
        <v>82.265</v>
      </c>
      <c r="E57" s="7">
        <f>MROUND(D57*(1+E56),0.0025)</f>
        <v>82.595</v>
      </c>
      <c r="F57" s="7">
        <f>MROUND(D57*(1+F56),0.0025)</f>
        <v>82.7575</v>
      </c>
      <c r="G57" s="7">
        <f>MROUND(D57*(1+G56),0.0025)</f>
        <v>82.9225</v>
      </c>
      <c r="H57" s="7">
        <f>MROUND(D57*(1+H56),0.0025)</f>
        <v>83.0875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6"/>
      <c r="C58" s="3"/>
      <c r="D58" s="7"/>
      <c r="E58" s="7"/>
      <c r="F58" s="7"/>
      <c r="G58" s="7"/>
      <c r="H58" s="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9</v>
      </c>
      <c r="B59" s="6"/>
      <c r="C59" s="3" t="s">
        <v>10</v>
      </c>
      <c r="D59" s="9">
        <f>MROUND(B59*(1-D56),0.0025)</f>
        <v>0</v>
      </c>
      <c r="E59" s="8">
        <f>MROUND(D59*(1-E56),0.0025)</f>
        <v>0</v>
      </c>
      <c r="F59" s="8">
        <f>MROUND(D59*(1-F56),0.0025)</f>
        <v>0</v>
      </c>
      <c r="G59" s="7">
        <f>MROUND(D59*(1-G56),0.0025)</f>
        <v>0</v>
      </c>
      <c r="H59" s="7">
        <f>MROUND(D59*(1-H56),0.0025)</f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4">
        <v>45118.0</v>
      </c>
      <c r="E60" s="4">
        <v>45120.0</v>
      </c>
      <c r="F60" s="3" t="s">
        <v>17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6" t="s">
        <v>11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13">
        <f>MROUND(MIN(B57*(1+D56),D59*(1+E56)),0.0025)</f>
        <v>0</v>
      </c>
      <c r="E62" s="3" t="s">
        <v>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 t="s">
        <v>13</v>
      </c>
      <c r="D63" s="6">
        <f>MROUND(D59*(1+E56),0.0025)</f>
        <v>0</v>
      </c>
      <c r="E63" s="3" t="s">
        <v>14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 t="s">
        <v>15</v>
      </c>
      <c r="D64" s="10">
        <f>MROUND(B57*(1+D56),0.0025)</f>
        <v>82.265</v>
      </c>
      <c r="E64" s="3" t="s">
        <v>16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>
        <v>45125.0</v>
      </c>
      <c r="B67" s="2"/>
      <c r="C67" s="2"/>
      <c r="D67" s="3" t="s">
        <v>1</v>
      </c>
      <c r="E67" s="14" t="s">
        <v>21</v>
      </c>
      <c r="F67" s="3" t="s">
        <v>2</v>
      </c>
      <c r="G67" s="3" t="s">
        <v>3</v>
      </c>
      <c r="H67" s="3" t="s">
        <v>4</v>
      </c>
      <c r="I67" s="3" t="s">
        <v>5</v>
      </c>
      <c r="J67" s="3" t="s">
        <v>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2"/>
      <c r="C68" s="3"/>
      <c r="D68" s="5">
        <v>5.0E-4</v>
      </c>
      <c r="F68" s="5">
        <v>0.004</v>
      </c>
      <c r="G68" s="5">
        <v>0.006</v>
      </c>
      <c r="H68" s="5">
        <v>0.008</v>
      </c>
      <c r="I68" s="5">
        <v>0.01</v>
      </c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7</v>
      </c>
      <c r="B69" s="6">
        <v>82.2425</v>
      </c>
      <c r="C69" s="3" t="s">
        <v>8</v>
      </c>
      <c r="D69" s="7">
        <f>MROUND(B69*(1+D68),0.0025)</f>
        <v>82.2825</v>
      </c>
      <c r="F69" s="7">
        <f>MROUND(D69*(1+F68),0.0025)</f>
        <v>82.6125</v>
      </c>
      <c r="G69" s="7">
        <f>MROUND(D69*(1+G68),0.0025)</f>
        <v>82.775</v>
      </c>
      <c r="H69" s="7">
        <f>MROUND(D69*(1+H68),0.0025)</f>
        <v>82.94</v>
      </c>
      <c r="I69" s="7">
        <f>MROUND(D69*(1+I68),0.0025)</f>
        <v>83.105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6"/>
      <c r="C70" s="3"/>
      <c r="D70" s="7"/>
      <c r="F70" s="7"/>
      <c r="G70" s="7"/>
      <c r="H70" s="7"/>
      <c r="I70" s="7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9</v>
      </c>
      <c r="B71" s="6">
        <v>81.97</v>
      </c>
      <c r="C71" s="3" t="s">
        <v>10</v>
      </c>
      <c r="D71" s="10">
        <v>82.4025</v>
      </c>
      <c r="E71" s="10">
        <v>82.4025</v>
      </c>
      <c r="F71" s="8">
        <f>MROUND(D71*(1-F68),0.0025)</f>
        <v>82.0725</v>
      </c>
      <c r="G71" s="7">
        <f>MROUND(D71*(1-G68),0.0025)</f>
        <v>81.9075</v>
      </c>
      <c r="H71" s="7">
        <f>MROUND(D71*(1-H68),0.0025)</f>
        <v>81.7425</v>
      </c>
      <c r="I71" s="7">
        <f>MROUND(D71*(1-I68),0.0025)</f>
        <v>81.5775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4">
        <v>45118.0</v>
      </c>
      <c r="F72" s="4">
        <v>45120.0</v>
      </c>
      <c r="G72" s="3" t="s">
        <v>17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6" t="s">
        <v>11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13">
        <f>MROUND(MIN(B69*(1+D68),D71*(1+F68)),0.0025)</f>
        <v>82.2825</v>
      </c>
      <c r="E74" s="3" t="s">
        <v>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 t="s">
        <v>13</v>
      </c>
      <c r="D75" s="6">
        <f>MROUND(D71*(1+F68),0.0025)</f>
        <v>82.7325</v>
      </c>
      <c r="E75" s="3" t="s">
        <v>14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 t="s">
        <v>15</v>
      </c>
      <c r="D76" s="10">
        <f>MROUND(B69*(1+D68),0.0025)</f>
        <v>82.2825</v>
      </c>
      <c r="E76" s="3" t="s">
        <v>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>
        <v>45125.0</v>
      </c>
      <c r="B79" s="3" t="s">
        <v>22</v>
      </c>
      <c r="C79" s="2"/>
      <c r="D79" s="2"/>
      <c r="E79" s="3" t="s">
        <v>23</v>
      </c>
      <c r="F79" s="3" t="s">
        <v>24</v>
      </c>
      <c r="G79" s="3" t="s">
        <v>25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26</v>
      </c>
      <c r="B80" s="15">
        <v>0.375</v>
      </c>
      <c r="C80" s="3" t="s">
        <v>27</v>
      </c>
      <c r="D80" s="7">
        <v>81.9075</v>
      </c>
      <c r="E80" s="3">
        <v>1.0</v>
      </c>
      <c r="F80" s="7">
        <f>D80</f>
        <v>81.9075</v>
      </c>
      <c r="G80" s="3">
        <v>0.0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28</v>
      </c>
      <c r="B81" s="15">
        <v>0.3784722222222222</v>
      </c>
      <c r="C81" s="3" t="s">
        <v>27</v>
      </c>
      <c r="D81" s="6">
        <v>82.2825</v>
      </c>
      <c r="E81" s="3">
        <v>4.0</v>
      </c>
      <c r="F81" s="3">
        <v>0.0</v>
      </c>
      <c r="G81" s="7">
        <f t="shared" ref="G81:G82" si="1">D81</f>
        <v>82.2825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29</v>
      </c>
      <c r="B82" s="15">
        <v>0.3784722222222222</v>
      </c>
      <c r="C82" s="3" t="s">
        <v>27</v>
      </c>
      <c r="D82" s="6">
        <v>82.2825</v>
      </c>
      <c r="E82" s="3">
        <v>5.0</v>
      </c>
      <c r="F82" s="3">
        <v>0.0</v>
      </c>
      <c r="G82" s="7">
        <f t="shared" si="1"/>
        <v>82.2825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>
        <v>45126.0</v>
      </c>
      <c r="B85" s="2"/>
      <c r="C85" s="2"/>
      <c r="D85" s="3" t="s">
        <v>1</v>
      </c>
      <c r="E85" s="14" t="s">
        <v>21</v>
      </c>
      <c r="F85" s="3" t="s">
        <v>2</v>
      </c>
      <c r="G85" s="3" t="s">
        <v>3</v>
      </c>
      <c r="H85" s="3" t="s">
        <v>4</v>
      </c>
      <c r="I85" s="3" t="s">
        <v>5</v>
      </c>
      <c r="J85" s="3" t="s">
        <v>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2"/>
      <c r="C86" s="3"/>
      <c r="D86" s="5">
        <v>5.0E-4</v>
      </c>
      <c r="F86" s="5">
        <v>0.004</v>
      </c>
      <c r="G86" s="5">
        <v>0.006</v>
      </c>
      <c r="H86" s="5">
        <v>0.008</v>
      </c>
      <c r="I86" s="5">
        <v>0.01</v>
      </c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7</v>
      </c>
      <c r="B87" s="6">
        <v>82.2425</v>
      </c>
      <c r="C87" s="3" t="s">
        <v>8</v>
      </c>
      <c r="D87" s="7">
        <f>MROUND(B87*(1+D86),0.0025)</f>
        <v>82.2825</v>
      </c>
      <c r="F87" s="7">
        <f>MROUND(D87*(1+F86),0.0025)</f>
        <v>82.6125</v>
      </c>
      <c r="G87" s="7">
        <f>MROUND(D87*(1+G86),0.0025)</f>
        <v>82.775</v>
      </c>
      <c r="H87" s="7">
        <f>MROUND(D87*(1+H86),0.0025)</f>
        <v>82.94</v>
      </c>
      <c r="I87" s="7">
        <f>MROUND(D87*(1+I86),0.0025)</f>
        <v>83.105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6"/>
      <c r="C88" s="3"/>
      <c r="D88" s="7"/>
      <c r="F88" s="7"/>
      <c r="G88" s="7"/>
      <c r="H88" s="7"/>
      <c r="I88" s="7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9</v>
      </c>
      <c r="B89" s="6">
        <v>82.0</v>
      </c>
      <c r="C89" s="3" t="s">
        <v>10</v>
      </c>
      <c r="D89" s="10">
        <v>82.4025</v>
      </c>
      <c r="E89" s="10">
        <v>82.4025</v>
      </c>
      <c r="F89" s="8">
        <f>MROUND(D89*(1-F86),0.0025)</f>
        <v>82.0725</v>
      </c>
      <c r="G89" s="7">
        <f>MROUND(D89*(1-G86),0.0025)</f>
        <v>81.9075</v>
      </c>
      <c r="H89" s="7">
        <f>MROUND(D89*(1-H86),0.0025)</f>
        <v>81.7425</v>
      </c>
      <c r="I89" s="7">
        <f>MROUND(D89*(1-I86),0.0025)</f>
        <v>81.5775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4">
        <v>45118.0</v>
      </c>
      <c r="F90" s="4">
        <v>45120.0</v>
      </c>
      <c r="G90" s="3" t="s">
        <v>17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6" t="s">
        <v>11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13">
        <f>MROUND(MIN(B87*(1+D86),D89*(1+F86)),0.0025)</f>
        <v>82.2825</v>
      </c>
      <c r="E92" s="3" t="s">
        <v>12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 t="s">
        <v>13</v>
      </c>
      <c r="D93" s="6">
        <f>MROUND(D89*(1+F86),0.0025)</f>
        <v>82.7325</v>
      </c>
      <c r="E93" s="3" t="s">
        <v>14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 t="s">
        <v>15</v>
      </c>
      <c r="D94" s="10">
        <f>MROUND(B87*(1+D86),0.0025)</f>
        <v>82.2825</v>
      </c>
      <c r="E94" s="3" t="s">
        <v>16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>
        <v>45126.0</v>
      </c>
      <c r="B97" s="3" t="s">
        <v>22</v>
      </c>
      <c r="C97" s="2"/>
      <c r="D97" s="2"/>
      <c r="E97" s="3" t="s">
        <v>23</v>
      </c>
      <c r="F97" s="3" t="s">
        <v>24</v>
      </c>
      <c r="G97" s="3" t="s">
        <v>25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26</v>
      </c>
      <c r="B98" s="15">
        <v>0.375</v>
      </c>
      <c r="C98" s="3" t="s">
        <v>27</v>
      </c>
      <c r="D98" s="7">
        <f>G89</f>
        <v>81.9075</v>
      </c>
      <c r="E98" s="3">
        <v>1.0</v>
      </c>
      <c r="F98" s="7">
        <f>D98</f>
        <v>81.9075</v>
      </c>
      <c r="G98" s="3">
        <v>0.0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28</v>
      </c>
      <c r="B99" s="15">
        <v>0.3784722222222222</v>
      </c>
      <c r="C99" s="3" t="s">
        <v>27</v>
      </c>
      <c r="D99" s="6">
        <f>D92</f>
        <v>82.2825</v>
      </c>
      <c r="E99" s="3">
        <v>4.0</v>
      </c>
      <c r="F99" s="3">
        <v>0.0</v>
      </c>
      <c r="G99" s="7">
        <f t="shared" ref="G99:G100" si="2">D99</f>
        <v>82.2825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29</v>
      </c>
      <c r="B100" s="15">
        <v>0.3784722222222222</v>
      </c>
      <c r="C100" s="3" t="s">
        <v>27</v>
      </c>
      <c r="D100" s="6">
        <f>D87</f>
        <v>82.2825</v>
      </c>
      <c r="E100" s="3">
        <v>5.0</v>
      </c>
      <c r="F100" s="3">
        <v>0.0</v>
      </c>
      <c r="G100" s="7">
        <f t="shared" si="2"/>
        <v>82.2825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>
        <v>45127.0</v>
      </c>
      <c r="B103" s="2"/>
      <c r="C103" s="2"/>
      <c r="D103" s="3" t="s">
        <v>1</v>
      </c>
      <c r="E103" s="14" t="s">
        <v>21</v>
      </c>
      <c r="F103" s="3" t="s">
        <v>2</v>
      </c>
      <c r="G103" s="3" t="s">
        <v>3</v>
      </c>
      <c r="H103" s="3" t="s">
        <v>4</v>
      </c>
      <c r="I103" s="3" t="s">
        <v>5</v>
      </c>
      <c r="J103" s="3" t="s">
        <v>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2"/>
      <c r="C104" s="3"/>
      <c r="D104" s="5">
        <v>5.0E-4</v>
      </c>
      <c r="F104" s="5">
        <v>0.004</v>
      </c>
      <c r="G104" s="5">
        <v>0.006</v>
      </c>
      <c r="H104" s="5">
        <v>0.008</v>
      </c>
      <c r="I104" s="5">
        <v>0.01</v>
      </c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7</v>
      </c>
      <c r="B105" s="6">
        <v>82.1825</v>
      </c>
      <c r="C105" s="3" t="s">
        <v>8</v>
      </c>
      <c r="D105" s="7">
        <f>MROUND(B105*(1+D104),0.0025)</f>
        <v>82.2225</v>
      </c>
      <c r="F105" s="7">
        <f>MROUND(D105*(1+F104),0.0025)</f>
        <v>82.5525</v>
      </c>
      <c r="G105" s="7">
        <f>MROUND(D105*(1+G104),0.0025)</f>
        <v>82.715</v>
      </c>
      <c r="H105" s="7">
        <f>MROUND(D105*(1+H104),0.0025)</f>
        <v>82.88</v>
      </c>
      <c r="I105" s="7">
        <f>MROUND(D105*(1+I104),0.0025)</f>
        <v>83.045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6"/>
      <c r="C106" s="3"/>
      <c r="D106" s="7"/>
      <c r="F106" s="7"/>
      <c r="G106" s="7"/>
      <c r="H106" s="7"/>
      <c r="I106" s="7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9</v>
      </c>
      <c r="B107" s="6">
        <v>82.0</v>
      </c>
      <c r="C107" s="3" t="s">
        <v>10</v>
      </c>
      <c r="D107" s="10">
        <v>82.4025</v>
      </c>
      <c r="E107" s="10">
        <v>82.4025</v>
      </c>
      <c r="F107" s="8">
        <f>MROUND(D107*(1-F104),0.0025)</f>
        <v>82.0725</v>
      </c>
      <c r="G107" s="7">
        <f>MROUND(D107*(1-G104),0.0025)</f>
        <v>81.9075</v>
      </c>
      <c r="H107" s="7">
        <f>MROUND(D107*(1-H104),0.0025)</f>
        <v>81.7425</v>
      </c>
      <c r="I107" s="7">
        <f>MROUND(D107*(1-I104),0.0025)</f>
        <v>81.5775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4">
        <v>45118.0</v>
      </c>
      <c r="F108" s="4">
        <v>45120.0</v>
      </c>
      <c r="G108" s="3" t="s">
        <v>17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6" t="s">
        <v>11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13">
        <f>MROUND(MIN(B105*(1+D104),D107*(1+F104)),0.0025)</f>
        <v>82.2225</v>
      </c>
      <c r="E110" s="3" t="s">
        <v>12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 t="s">
        <v>13</v>
      </c>
      <c r="D111" s="6">
        <f>MROUND(D107*(1+F104),0.0025)</f>
        <v>82.7325</v>
      </c>
      <c r="E111" s="3" t="s">
        <v>14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 t="s">
        <v>15</v>
      </c>
      <c r="D112" s="10">
        <f>MROUND(B105*(1+D104),0.0025)</f>
        <v>82.2225</v>
      </c>
      <c r="E112" s="3" t="s">
        <v>16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>
        <f>A103</f>
        <v>45127</v>
      </c>
      <c r="B115" s="3" t="s">
        <v>22</v>
      </c>
      <c r="C115" s="2"/>
      <c r="D115" s="2"/>
      <c r="E115" s="3" t="s">
        <v>23</v>
      </c>
      <c r="F115" s="3" t="s">
        <v>24</v>
      </c>
      <c r="G115" s="3" t="s">
        <v>25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26</v>
      </c>
      <c r="B116" s="15">
        <v>0.375</v>
      </c>
      <c r="C116" s="3" t="s">
        <v>27</v>
      </c>
      <c r="D116" s="7">
        <f>G107</f>
        <v>81.9075</v>
      </c>
      <c r="E116" s="3">
        <v>1.0</v>
      </c>
      <c r="F116" s="7">
        <f>D116</f>
        <v>81.9075</v>
      </c>
      <c r="G116" s="3">
        <v>0.0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28</v>
      </c>
      <c r="B117" s="15">
        <v>0.3784722222222222</v>
      </c>
      <c r="C117" s="3" t="s">
        <v>27</v>
      </c>
      <c r="D117" s="6">
        <f>D110</f>
        <v>82.2225</v>
      </c>
      <c r="E117" s="3">
        <v>4.0</v>
      </c>
      <c r="F117" s="3">
        <v>0.0</v>
      </c>
      <c r="G117" s="7">
        <f t="shared" ref="G117:G118" si="3">D117</f>
        <v>82.2225</v>
      </c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 t="s">
        <v>29</v>
      </c>
      <c r="B118" s="16">
        <v>0.3784722222222222</v>
      </c>
      <c r="C118" s="11" t="s">
        <v>27</v>
      </c>
      <c r="D118" s="10">
        <f>D105</f>
        <v>82.2225</v>
      </c>
      <c r="E118" s="11">
        <v>5.0</v>
      </c>
      <c r="F118" s="11">
        <v>0.0</v>
      </c>
      <c r="G118" s="9">
        <f t="shared" si="3"/>
        <v>82.2225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75"/>
    <col customWidth="1" min="2" max="2" width="10.63"/>
    <col customWidth="1" min="3" max="3" width="10.0"/>
    <col customWidth="1" min="4" max="4" width="10.75"/>
    <col customWidth="1" min="5" max="5" width="9.13"/>
    <col customWidth="1" min="6" max="6" width="9.5"/>
    <col customWidth="1" min="7" max="7" width="15.13"/>
    <col customWidth="1" min="8" max="8" width="21.13"/>
    <col customWidth="1" min="9" max="9" width="26.13"/>
    <col customWidth="1" min="10" max="10" width="13.88"/>
    <col customWidth="1" min="11" max="11" width="7.5"/>
  </cols>
  <sheetData>
    <row r="1">
      <c r="F1" s="17"/>
    </row>
    <row r="2">
      <c r="B2" s="14" t="s">
        <v>30</v>
      </c>
      <c r="C2" s="14" t="s">
        <v>31</v>
      </c>
      <c r="D2" s="14" t="s">
        <v>32</v>
      </c>
      <c r="F2" s="17"/>
    </row>
    <row r="3">
      <c r="B3" s="18">
        <v>45112.0</v>
      </c>
      <c r="C3" s="19" t="str">
        <f>TEXT(B3,"DDDDD")</f>
        <v>Wednesday</v>
      </c>
      <c r="D3" s="20">
        <v>0.375</v>
      </c>
      <c r="F3" s="17"/>
    </row>
    <row r="4">
      <c r="F4" s="17"/>
    </row>
    <row r="5">
      <c r="A5" s="21" t="s">
        <v>7</v>
      </c>
      <c r="B5" s="21">
        <v>82.125</v>
      </c>
      <c r="C5" s="21" t="s">
        <v>8</v>
      </c>
      <c r="D5" s="22">
        <v>82.165</v>
      </c>
      <c r="F5" s="17"/>
    </row>
    <row r="6">
      <c r="F6" s="17"/>
    </row>
    <row r="7">
      <c r="F7" s="17"/>
    </row>
    <row r="8">
      <c r="A8" s="14" t="s">
        <v>33</v>
      </c>
      <c r="B8" s="14" t="s">
        <v>34</v>
      </c>
      <c r="C8" s="14" t="s">
        <v>35</v>
      </c>
      <c r="D8" s="14" t="s">
        <v>36</v>
      </c>
      <c r="E8" s="14" t="s">
        <v>37</v>
      </c>
      <c r="F8" s="23" t="s">
        <v>38</v>
      </c>
      <c r="G8" s="14" t="s">
        <v>9</v>
      </c>
    </row>
    <row r="9">
      <c r="A9" s="24">
        <v>45112.0</v>
      </c>
      <c r="B9" s="19" t="str">
        <f t="shared" ref="B9:B15" si="1">text(A9,"dddd")</f>
        <v>Wednesday</v>
      </c>
      <c r="C9" s="14" t="s">
        <v>39</v>
      </c>
      <c r="D9" s="14" t="s">
        <v>8</v>
      </c>
      <c r="E9" s="22">
        <v>82.165</v>
      </c>
      <c r="F9" s="23" t="s">
        <v>40</v>
      </c>
    </row>
    <row r="10">
      <c r="A10" s="24">
        <v>45113.0</v>
      </c>
      <c r="B10" s="19" t="str">
        <f t="shared" si="1"/>
        <v>Thursday</v>
      </c>
      <c r="C10" s="14" t="s">
        <v>39</v>
      </c>
      <c r="D10" s="14" t="s">
        <v>8</v>
      </c>
      <c r="E10" s="22">
        <v>82.165</v>
      </c>
      <c r="F10" s="23" t="s">
        <v>20</v>
      </c>
    </row>
    <row r="11">
      <c r="A11" s="24">
        <v>45114.0</v>
      </c>
      <c r="B11" s="19" t="str">
        <f t="shared" si="1"/>
        <v>Friday</v>
      </c>
      <c r="C11" s="14" t="s">
        <v>39</v>
      </c>
      <c r="D11" s="14" t="s">
        <v>8</v>
      </c>
      <c r="E11" s="22">
        <v>82.165</v>
      </c>
      <c r="F11" s="23" t="s">
        <v>41</v>
      </c>
    </row>
    <row r="12">
      <c r="A12" s="24">
        <v>45115.0</v>
      </c>
      <c r="B12" s="19" t="str">
        <f t="shared" si="1"/>
        <v>Saturday</v>
      </c>
      <c r="F12" s="17"/>
    </row>
    <row r="13">
      <c r="A13" s="24">
        <v>45116.0</v>
      </c>
      <c r="B13" s="19" t="str">
        <f t="shared" si="1"/>
        <v>Sunday</v>
      </c>
      <c r="F13" s="17"/>
    </row>
    <row r="14">
      <c r="A14" s="24">
        <v>45117.0</v>
      </c>
      <c r="B14" s="19" t="str">
        <f t="shared" si="1"/>
        <v>Monday</v>
      </c>
      <c r="C14" s="14" t="s">
        <v>39</v>
      </c>
      <c r="D14" s="14" t="s">
        <v>8</v>
      </c>
      <c r="E14" s="22">
        <v>82.165</v>
      </c>
      <c r="F14" s="23" t="s">
        <v>41</v>
      </c>
      <c r="G14" s="14" t="s">
        <v>9</v>
      </c>
      <c r="H14" s="14" t="s">
        <v>4</v>
      </c>
      <c r="I14" s="14" t="s">
        <v>42</v>
      </c>
      <c r="J14" s="14" t="s">
        <v>43</v>
      </c>
      <c r="K14" s="14" t="s">
        <v>44</v>
      </c>
    </row>
    <row r="15">
      <c r="A15" s="24">
        <v>45118.0</v>
      </c>
      <c r="B15" s="19" t="str">
        <f t="shared" si="1"/>
        <v>Tuesday</v>
      </c>
      <c r="F15" s="17"/>
      <c r="G15" s="25">
        <v>82.6</v>
      </c>
      <c r="H15" s="20">
        <v>0.375</v>
      </c>
      <c r="I15" s="20">
        <v>0.3784722222222222</v>
      </c>
      <c r="J15" s="20">
        <v>0.3784722222222222</v>
      </c>
    </row>
    <row r="16">
      <c r="A16" s="24"/>
      <c r="F16" s="17"/>
      <c r="I16" s="14">
        <v>82.5575</v>
      </c>
      <c r="J16" s="14">
        <v>82.5575</v>
      </c>
    </row>
    <row r="17">
      <c r="A17" s="24"/>
      <c r="F17" s="17"/>
      <c r="I17" s="14" t="s">
        <v>45</v>
      </c>
      <c r="J17" s="14" t="s">
        <v>45</v>
      </c>
    </row>
    <row r="18">
      <c r="A18" s="24"/>
      <c r="F18" s="17"/>
      <c r="I18" s="25">
        <v>82.45</v>
      </c>
      <c r="J18" s="25">
        <v>82.45</v>
      </c>
    </row>
    <row r="19">
      <c r="A19" s="24"/>
      <c r="F19" s="17"/>
      <c r="I19" s="14" t="s">
        <v>46</v>
      </c>
      <c r="J19" s="14" t="s">
        <v>47</v>
      </c>
    </row>
    <row r="20">
      <c r="A20" s="24"/>
      <c r="F20" s="17"/>
      <c r="G20" s="14" t="s">
        <v>48</v>
      </c>
      <c r="I20" s="20">
        <v>0.3854166666666667</v>
      </c>
      <c r="J20" s="20">
        <v>0.3854166666666667</v>
      </c>
    </row>
    <row r="21">
      <c r="A21" s="24"/>
      <c r="F21" s="17"/>
      <c r="G21" s="14" t="s">
        <v>49</v>
      </c>
      <c r="I21" s="14" t="s">
        <v>50</v>
      </c>
    </row>
    <row r="22">
      <c r="A22" s="24"/>
      <c r="F22" s="17"/>
      <c r="I22" s="14" t="s">
        <v>51</v>
      </c>
    </row>
    <row r="23">
      <c r="A23" s="24">
        <v>45118.0</v>
      </c>
      <c r="B23" s="19" t="str">
        <f>text(A23,"dddd")</f>
        <v>Tuesday</v>
      </c>
      <c r="C23" s="14" t="s">
        <v>39</v>
      </c>
      <c r="D23" s="14" t="s">
        <v>10</v>
      </c>
      <c r="E23" s="14">
        <v>82.4025</v>
      </c>
      <c r="F23" s="23" t="s">
        <v>40</v>
      </c>
      <c r="I23" s="14" t="s">
        <v>42</v>
      </c>
      <c r="J23" s="14" t="s">
        <v>43</v>
      </c>
    </row>
    <row r="24">
      <c r="B24" s="14" t="s">
        <v>52</v>
      </c>
      <c r="F24" s="17"/>
      <c r="I24" s="19">
        <v>82.4025</v>
      </c>
      <c r="J24" s="19">
        <v>82.4025</v>
      </c>
    </row>
    <row r="25">
      <c r="F25" s="17"/>
      <c r="H25" s="14" t="s">
        <v>53</v>
      </c>
      <c r="I25" s="14" t="s">
        <v>54</v>
      </c>
      <c r="J25" s="14" t="s">
        <v>55</v>
      </c>
    </row>
    <row r="26">
      <c r="F26" s="17"/>
      <c r="H26" s="14" t="s">
        <v>56</v>
      </c>
      <c r="I26" s="14" t="s">
        <v>57</v>
      </c>
    </row>
    <row r="27">
      <c r="F27" s="17"/>
      <c r="I27" s="14" t="s">
        <v>58</v>
      </c>
    </row>
    <row r="28">
      <c r="F28" s="17"/>
      <c r="I28" s="14" t="s">
        <v>59</v>
      </c>
    </row>
    <row r="29">
      <c r="F29" s="17"/>
      <c r="I29" s="14" t="s">
        <v>60</v>
      </c>
      <c r="K29" s="14" t="s">
        <v>61</v>
      </c>
    </row>
    <row r="30">
      <c r="F30" s="17"/>
      <c r="H30" s="14" t="s">
        <v>62</v>
      </c>
    </row>
    <row r="31">
      <c r="F31" s="17"/>
      <c r="I31" s="14" t="s">
        <v>63</v>
      </c>
    </row>
    <row r="32">
      <c r="F32" s="17"/>
    </row>
    <row r="33">
      <c r="A33" s="24">
        <v>45119.0</v>
      </c>
      <c r="B33" s="19" t="str">
        <f t="shared" ref="B33:B36" si="2">text(A33,"dddd")</f>
        <v>Wednesday</v>
      </c>
      <c r="C33" s="14" t="s">
        <v>39</v>
      </c>
      <c r="D33" s="14" t="s">
        <v>10</v>
      </c>
      <c r="E33" s="14">
        <v>82.4025</v>
      </c>
      <c r="F33" s="23" t="s">
        <v>40</v>
      </c>
    </row>
    <row r="34">
      <c r="A34" s="24">
        <v>45120.0</v>
      </c>
      <c r="B34" s="19" t="str">
        <f t="shared" si="2"/>
        <v>Thursday</v>
      </c>
      <c r="C34" s="14" t="s">
        <v>39</v>
      </c>
      <c r="D34" s="14" t="s">
        <v>10</v>
      </c>
      <c r="E34" s="14">
        <v>82.4025</v>
      </c>
      <c r="F34" s="23" t="s">
        <v>20</v>
      </c>
    </row>
    <row r="35">
      <c r="A35" s="24">
        <v>45121.0</v>
      </c>
      <c r="B35" s="19" t="str">
        <f t="shared" si="2"/>
        <v>Friday</v>
      </c>
      <c r="F35" s="17"/>
    </row>
    <row r="36">
      <c r="A36" s="24">
        <v>45122.0</v>
      </c>
      <c r="B36" s="19" t="str">
        <f t="shared" si="2"/>
        <v>Saturday</v>
      </c>
      <c r="F36" s="17"/>
    </row>
    <row r="37">
      <c r="F37" s="17"/>
    </row>
    <row r="38">
      <c r="F38" s="17"/>
    </row>
    <row r="39">
      <c r="F39" s="17"/>
    </row>
    <row r="40">
      <c r="F40" s="17"/>
    </row>
    <row r="41">
      <c r="F41" s="17"/>
    </row>
    <row r="42">
      <c r="F42" s="17"/>
    </row>
    <row r="43">
      <c r="F43" s="17"/>
    </row>
    <row r="44">
      <c r="F44" s="17"/>
    </row>
    <row r="45">
      <c r="F45" s="17"/>
    </row>
    <row r="46">
      <c r="F46" s="17"/>
    </row>
    <row r="47">
      <c r="F47" s="17"/>
    </row>
    <row r="48">
      <c r="F48" s="17"/>
    </row>
    <row r="49">
      <c r="F49" s="17"/>
    </row>
    <row r="50">
      <c r="F50" s="17"/>
    </row>
    <row r="51">
      <c r="F51" s="17"/>
    </row>
    <row r="52">
      <c r="F52" s="17"/>
    </row>
    <row r="53">
      <c r="F53" s="17"/>
    </row>
    <row r="54">
      <c r="F54" s="17"/>
    </row>
    <row r="55">
      <c r="F55" s="17"/>
    </row>
    <row r="56">
      <c r="F56" s="17"/>
    </row>
    <row r="57">
      <c r="F57" s="17"/>
    </row>
    <row r="58">
      <c r="F58" s="17"/>
    </row>
    <row r="59">
      <c r="F59" s="17"/>
    </row>
    <row r="60">
      <c r="F60" s="17"/>
    </row>
    <row r="61">
      <c r="F61" s="17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  <row r="1001">
      <c r="F1001" s="17"/>
    </row>
    <row r="1002">
      <c r="F1002" s="17"/>
    </row>
    <row r="1003">
      <c r="F1003" s="17"/>
    </row>
    <row r="1004">
      <c r="F1004" s="17"/>
    </row>
    <row r="1005">
      <c r="F1005" s="17"/>
    </row>
    <row r="1006">
      <c r="F1006" s="17"/>
    </row>
    <row r="1007">
      <c r="F1007" s="17"/>
    </row>
    <row r="1008">
      <c r="F1008" s="17"/>
    </row>
  </sheetData>
  <mergeCells count="2">
    <mergeCell ref="I21:J21"/>
    <mergeCell ref="I22:J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">
        <v>45127.0</v>
      </c>
      <c r="B2" s="3" t="s">
        <v>22</v>
      </c>
      <c r="C2" s="2"/>
      <c r="D2" s="3" t="s">
        <v>23</v>
      </c>
      <c r="E2" s="3" t="s">
        <v>24</v>
      </c>
      <c r="F2" s="3" t="s">
        <v>25</v>
      </c>
      <c r="G2" s="2"/>
      <c r="H2" s="2"/>
      <c r="I2" s="15">
        <v>0.3784722222222222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26</v>
      </c>
      <c r="B3" s="15">
        <v>0.375</v>
      </c>
      <c r="C3" s="3" t="s">
        <v>27</v>
      </c>
      <c r="D3" s="3">
        <v>1.0</v>
      </c>
      <c r="E3" s="2">
        <v>81.9075</v>
      </c>
      <c r="F3" s="3">
        <v>0.0</v>
      </c>
      <c r="G3" s="2"/>
      <c r="H3" s="2"/>
      <c r="I3" s="3" t="s">
        <v>27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28</v>
      </c>
      <c r="B4" s="15">
        <v>0.3784722222222222</v>
      </c>
      <c r="C4" s="3" t="s">
        <v>27</v>
      </c>
      <c r="D4" s="3">
        <v>4.0</v>
      </c>
      <c r="E4" s="3">
        <v>0.0</v>
      </c>
      <c r="F4" s="2">
        <v>82.2225</v>
      </c>
      <c r="G4" s="2"/>
      <c r="H4" s="3" t="s">
        <v>64</v>
      </c>
      <c r="I4" s="3" t="s">
        <v>65</v>
      </c>
      <c r="J4" s="15">
        <v>0.3854166666666667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29</v>
      </c>
      <c r="B5" s="15">
        <v>0.3784722222222222</v>
      </c>
      <c r="C5" s="3" t="s">
        <v>27</v>
      </c>
      <c r="D5" s="3">
        <v>5.0</v>
      </c>
      <c r="E5" s="3">
        <v>0.0</v>
      </c>
      <c r="F5" s="6">
        <v>83.0</v>
      </c>
      <c r="G5" s="2"/>
      <c r="H5" s="2"/>
      <c r="I5" s="3" t="s">
        <v>65</v>
      </c>
      <c r="J5" s="15">
        <v>0.3854166666666667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8">
      <c r="A8" s="14" t="s">
        <v>66</v>
      </c>
    </row>
    <row r="9">
      <c r="A9" s="14" t="s">
        <v>67</v>
      </c>
    </row>
    <row r="10">
      <c r="A10" s="14" t="s">
        <v>68</v>
      </c>
      <c r="D10" s="14" t="s">
        <v>69</v>
      </c>
    </row>
  </sheetData>
  <drawing r:id="rId1"/>
</worksheet>
</file>