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E73561-1013-42B4-85A8-39FBBDAC7F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E9" i="1"/>
  <c r="D9" i="1"/>
  <c r="C9" i="1"/>
</calcChain>
</file>

<file path=xl/sharedStrings.xml><?xml version="1.0" encoding="utf-8"?>
<sst xmlns="http://schemas.openxmlformats.org/spreadsheetml/2006/main" count="128" uniqueCount="91">
  <si>
    <t xml:space="preserve">May The Peaceful Prosperity Be With You Always..!! </t>
  </si>
  <si>
    <t>3 Lots</t>
  </si>
  <si>
    <t>1 Lot</t>
  </si>
  <si>
    <t>3 Lot</t>
  </si>
  <si>
    <t>2 Lot</t>
  </si>
  <si>
    <t>NIFTY FUTURES</t>
  </si>
  <si>
    <t>Entry</t>
  </si>
  <si>
    <t>Target 1</t>
  </si>
  <si>
    <t>Target 2</t>
  </si>
  <si>
    <t>SL After Entry</t>
  </si>
  <si>
    <t>SL After Target 1</t>
  </si>
  <si>
    <t>SL After Target 2</t>
  </si>
  <si>
    <t>BUY</t>
  </si>
  <si>
    <t>1DHH</t>
  </si>
  <si>
    <t>Entry + 1.5%</t>
  </si>
  <si>
    <t>Entry + 3%</t>
  </si>
  <si>
    <t>Max (Entry - 1.5% or 1 D LL)</t>
  </si>
  <si>
    <t>Max (Entry or 1 D LL)</t>
  </si>
  <si>
    <t>SELL</t>
  </si>
  <si>
    <t>1DLL</t>
  </si>
  <si>
    <t>Entry - 1.5%</t>
  </si>
  <si>
    <t>Entry - 3%</t>
  </si>
  <si>
    <t>Min (Entry + 1.5% or 1 D HH)</t>
  </si>
  <si>
    <t>Min (Entry or 1 D HH)</t>
  </si>
  <si>
    <t>New Entry</t>
  </si>
  <si>
    <t>09.20 am</t>
  </si>
  <si>
    <t>Entry Miss = Recalculation 09.30 am high/low +/- 0.18%</t>
  </si>
  <si>
    <t>New Tgt</t>
  </si>
  <si>
    <t>Stop Loss Miss = Recalculation 09.30 am high/low +/- 0.18%</t>
  </si>
  <si>
    <t>Open Tgt</t>
  </si>
  <si>
    <t>09.15 am</t>
  </si>
  <si>
    <t>Reentry = during the day = Recalculation previous 1 day high/low or current day  am high/low +/- 0.18%</t>
  </si>
  <si>
    <t>Open SL</t>
  </si>
  <si>
    <t>Rollover</t>
  </si>
  <si>
    <t>Rollover = Exit an Open Position in the Current Contract &amp; Taking the position in the next contract</t>
  </si>
  <si>
    <t>Index Futures</t>
  </si>
  <si>
    <t>Expiry = Last Thursday of the month</t>
  </si>
  <si>
    <t>if Last thursday is the holiday, then the expiry will be on wednesday</t>
  </si>
  <si>
    <t>if wednesday is a holiday, then the expiry will be on Thursday</t>
  </si>
  <si>
    <t>if wed &amp; thurs both are holiday thenn rollover will be on tuesday</t>
  </si>
  <si>
    <t>Index Future rollover will be done on the expiry day between 02.30 pm to 03.00 pm</t>
  </si>
  <si>
    <t>1. To Cancel All the pending orders in the current contract.</t>
  </si>
  <si>
    <t>2. exit the open position in the current contract at current market price</t>
  </si>
  <si>
    <t>3. take the same position in the next contract at current market price</t>
  </si>
  <si>
    <t>4. place all the cancel order in the current contract in the next contract</t>
  </si>
  <si>
    <t>On the expiry day, at 02.20 pm if your position is NIL</t>
  </si>
  <si>
    <t>Cancel all the pending order in the current contract</t>
  </si>
  <si>
    <t>place the cancelled current contract order in the next contract</t>
  </si>
  <si>
    <t>On the expiry day, at 02.30 pm if your position is BUY = No TGT = 3 Lots</t>
  </si>
  <si>
    <t>Cancel all the pending order in the current contract ---- Buy TGT 1, Buy Tgt 2, Buy SL 1, Sell Entry &amp; Sell Tgt</t>
  </si>
  <si>
    <t>BUY Entry</t>
  </si>
  <si>
    <t>May CMP</t>
  </si>
  <si>
    <t>Jun CMP</t>
  </si>
  <si>
    <t>PREMIUM</t>
  </si>
  <si>
    <t>Not in favour</t>
  </si>
  <si>
    <t>BUy TGT 1</t>
  </si>
  <si>
    <t>100 Less = Target.. SL 100 More</t>
  </si>
  <si>
    <t>BUY TGT 2</t>
  </si>
  <si>
    <t>BUY SL</t>
  </si>
  <si>
    <t>exit 3 lots at cmp in current contract n buy 3 lots at cmp in next contract</t>
  </si>
  <si>
    <t>DISCOUNT</t>
  </si>
  <si>
    <t>In favour</t>
  </si>
  <si>
    <t>100 More = Target... SL 100 Less</t>
  </si>
  <si>
    <t>Target Me 40 Less</t>
  </si>
  <si>
    <t>exit 3 lots at cmp in current contract n buy 2 lots at cmp in next contract</t>
  </si>
  <si>
    <t>may or may not in favour</t>
  </si>
  <si>
    <t xml:space="preserve">favour = 70 less in sl.. </t>
  </si>
  <si>
    <t>exit 3 lots at cmp in current contract</t>
  </si>
  <si>
    <t>you will not buy 3 lots at cmp = ypu will assume the sl is hit.. and recalculate and place the new entry n new tgt</t>
  </si>
  <si>
    <t>MAY</t>
  </si>
  <si>
    <t>JUN</t>
  </si>
  <si>
    <t>Next Contract CMP &gt; Current Contract CMP == Next Contract is in Premium</t>
  </si>
  <si>
    <t>Next Contract CMP &lt; Current Contract CMP == Next Contract is in Discount</t>
  </si>
  <si>
    <t>Open = 3Lots</t>
  </si>
  <si>
    <t>SELL Entry</t>
  </si>
  <si>
    <t>No Tgt</t>
  </si>
  <si>
    <t>SELL TGT 1</t>
  </si>
  <si>
    <t>SELL TGT 2</t>
  </si>
  <si>
    <t>No SL</t>
  </si>
  <si>
    <t>SELL SL</t>
  </si>
  <si>
    <t>Target Me 60 Less</t>
  </si>
  <si>
    <t>For Stock Future also the rollover process will remain the same.</t>
  </si>
  <si>
    <t>except the rollover will be done 1 day prior to the expiry day</t>
  </si>
  <si>
    <t>USDINR Futures</t>
  </si>
  <si>
    <t>Monthly Contract</t>
  </si>
  <si>
    <t>Last Trading day - 2 Trading Days</t>
  </si>
  <si>
    <t>29th may 23</t>
  </si>
  <si>
    <t>you will rollover 1 day prior to the expiry day</t>
  </si>
  <si>
    <t>26-05-23</t>
  </si>
  <si>
    <t>between 03.30 pm to 4 pm</t>
  </si>
  <si>
    <t>and the rollover process will remain the same as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</si>
</sst>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rgb="FFFF0000"/>
      <name val="Arial"/>
      <scheme val="minor"/>
    </font>
    <font>
      <sz val="13"/>
      <color theme="1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2" sqref="G1:G1048576"/>
    </sheetView>
  </sheetViews>
  <sheetFormatPr defaultColWidth="12.6640625" defaultRowHeight="13.2" x14ac:dyDescent="0.25"/>
  <cols>
    <col min="1" max="1" width="18.109375" style="7" customWidth="1"/>
    <col min="2" max="2" width="12.6640625" style="7"/>
    <col min="3" max="3" width="13.44140625" style="7" customWidth="1"/>
    <col min="4" max="4" width="12.6640625" style="7"/>
    <col min="5" max="5" width="32.88671875" style="7" customWidth="1"/>
    <col min="6" max="6" width="25" style="7" customWidth="1"/>
    <col min="7" max="7" width="27.77734375" style="7" customWidth="1"/>
    <col min="8" max="16384" width="12.6640625" style="7"/>
  </cols>
  <sheetData>
    <row r="1" spans="1:26" ht="16.8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8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8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8" x14ac:dyDescent="0.3">
      <c r="A4" s="6"/>
      <c r="B4" s="6" t="s">
        <v>1</v>
      </c>
      <c r="C4" s="6" t="s">
        <v>2</v>
      </c>
      <c r="D4" s="6" t="s">
        <v>2</v>
      </c>
      <c r="E4" s="6" t="s">
        <v>3</v>
      </c>
      <c r="F4" s="6" t="s">
        <v>4</v>
      </c>
      <c r="G4" s="6" t="s">
        <v>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3.6" x14ac:dyDescent="0.3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3.6" x14ac:dyDescent="0.3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3.6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8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8" x14ac:dyDescent="0.3">
      <c r="A9" s="6"/>
      <c r="B9" s="6">
        <v>18328.349999999999</v>
      </c>
      <c r="C9" s="6">
        <f>MROUND(B9*(1+1.5%),0.05)</f>
        <v>18603.3</v>
      </c>
      <c r="D9" s="6">
        <f>MROUND(B9*(1+3%),0.05)</f>
        <v>18878.2</v>
      </c>
      <c r="E9" s="6">
        <f>MAX(B9*(1-1.5%),B10)</f>
        <v>18157.599999999999</v>
      </c>
      <c r="F9" s="6">
        <v>18328.349999999999</v>
      </c>
      <c r="G9" s="6">
        <v>18328.349999999999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8" x14ac:dyDescent="0.3">
      <c r="A10" s="6"/>
      <c r="B10" s="6">
        <v>18157.599999999999</v>
      </c>
      <c r="C10" s="6">
        <f>MROUND(B10*(1-1.5%),0.05)</f>
        <v>17885.25</v>
      </c>
      <c r="D10" s="6">
        <f>MROUND(B10*(1-3%),0.05)</f>
        <v>17612.850000000002</v>
      </c>
      <c r="E10" s="6">
        <f>MIN(B10*(1+1.5%),B9)</f>
        <v>18328.349999999999</v>
      </c>
      <c r="F10" s="6">
        <v>18157.599999999999</v>
      </c>
      <c r="G10" s="6">
        <v>18157.599999999999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50.4" x14ac:dyDescent="0.3">
      <c r="A13" s="6"/>
      <c r="B13" s="6" t="s">
        <v>24</v>
      </c>
      <c r="C13" s="6" t="s">
        <v>25</v>
      </c>
      <c r="D13" s="6"/>
      <c r="E13" s="6" t="s">
        <v>26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50.4" x14ac:dyDescent="0.3">
      <c r="A14" s="6"/>
      <c r="B14" s="6" t="s">
        <v>27</v>
      </c>
      <c r="C14" s="6" t="s">
        <v>25</v>
      </c>
      <c r="D14" s="6"/>
      <c r="E14" s="6" t="s">
        <v>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84" x14ac:dyDescent="0.3">
      <c r="A15" s="6"/>
      <c r="B15" s="6" t="s">
        <v>29</v>
      </c>
      <c r="C15" s="6" t="s">
        <v>30</v>
      </c>
      <c r="D15" s="6"/>
      <c r="E15" s="6" t="s">
        <v>31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8" x14ac:dyDescent="0.3">
      <c r="A16" s="6"/>
      <c r="B16" s="6" t="s">
        <v>32</v>
      </c>
      <c r="C16" s="6" t="s">
        <v>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8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8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6.8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8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.8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8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8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8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8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8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12" sqref="B12"/>
    </sheetView>
  </sheetViews>
  <sheetFormatPr defaultColWidth="12.6640625" defaultRowHeight="13.2" x14ac:dyDescent="0.25"/>
  <cols>
    <col min="2" max="2" width="111.6640625" bestFit="1" customWidth="1"/>
  </cols>
  <sheetData>
    <row r="1" spans="1:26" ht="17.39999999999999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 x14ac:dyDescent="0.3">
      <c r="A2" s="1"/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 x14ac:dyDescent="0.3">
      <c r="A4" s="1"/>
      <c r="B4" s="1" t="s">
        <v>34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39999999999999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399999999999999" x14ac:dyDescent="0.3">
      <c r="A7" s="1"/>
      <c r="B7" s="1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39999999999999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399999999999999" x14ac:dyDescent="0.3">
      <c r="A9" s="1"/>
      <c r="B9" s="1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399999999999999" x14ac:dyDescent="0.3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399999999999999" x14ac:dyDescent="0.3">
      <c r="A11" s="1"/>
      <c r="B11" s="1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399999999999999" x14ac:dyDescent="0.3">
      <c r="A12" s="1"/>
      <c r="B12" s="1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39999999999999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399999999999999" x14ac:dyDescent="0.3">
      <c r="A14" s="1"/>
      <c r="B14" s="1" t="s">
        <v>40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399999999999999" x14ac:dyDescent="0.3">
      <c r="A15" s="1"/>
      <c r="B15" s="1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399999999999999" x14ac:dyDescent="0.3">
      <c r="A16" s="1"/>
      <c r="B16" s="1" t="s">
        <v>42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399999999999999" x14ac:dyDescent="0.3">
      <c r="A17" s="1"/>
      <c r="B17" s="1" t="s">
        <v>43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399999999999999" x14ac:dyDescent="0.3">
      <c r="A18" s="1"/>
      <c r="B18" s="1" t="s">
        <v>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39999999999999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39999999999999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39999999999999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39999999999999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39999999999999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39999999999999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39999999999999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39999999999999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39999999999999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39999999999999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39999999999999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39999999999999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39999999999999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39999999999999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39999999999999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39999999999999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39999999999999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39999999999999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39999999999999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39999999999999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39999999999999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39999999999999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39999999999999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39999999999999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39999999999999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39999999999999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39999999999999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39999999999999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39999999999999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39999999999999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39999999999999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39999999999999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39999999999999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39999999999999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39999999999999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39999999999999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39999999999999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39999999999999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39999999999999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39999999999999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39999999999999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39999999999999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39999999999999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39999999999999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39999999999999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39999999999999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39999999999999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39999999999999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39999999999999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39999999999999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39999999999999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39999999999999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39999999999999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39999999999999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39999999999999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39999999999999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39999999999999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39999999999999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39999999999999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39999999999999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39999999999999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39999999999999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39999999999999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39999999999999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39999999999999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39999999999999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39999999999999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39999999999999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39999999999999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39999999999999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39999999999999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39999999999999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39999999999999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39999999999999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39999999999999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39999999999999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39999999999999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39999999999999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39999999999999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39999999999999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39999999999999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39999999999999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39999999999999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39999999999999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39999999999999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39999999999999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39999999999999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39999999999999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39999999999999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39999999999999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39999999999999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39999999999999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39999999999999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39999999999999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39999999999999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39999999999999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39999999999999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39999999999999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39999999999999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39999999999999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39999999999999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39999999999999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39999999999999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39999999999999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39999999999999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39999999999999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39999999999999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39999999999999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39999999999999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39999999999999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39999999999999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39999999999999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39999999999999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39999999999999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39999999999999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39999999999999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39999999999999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39999999999999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39999999999999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39999999999999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39999999999999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39999999999999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39999999999999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39999999999999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39999999999999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39999999999999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39999999999999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39999999999999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39999999999999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39999999999999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39999999999999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39999999999999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39999999999999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39999999999999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39999999999999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39999999999999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39999999999999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39999999999999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39999999999999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39999999999999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39999999999999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39999999999999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39999999999999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39999999999999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39999999999999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39999999999999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39999999999999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39999999999999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39999999999999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39999999999999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39999999999999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39999999999999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39999999999999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39999999999999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39999999999999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39999999999999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39999999999999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39999999999999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39999999999999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39999999999999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39999999999999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39999999999999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39999999999999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39999999999999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39999999999999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39999999999999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39999999999999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39999999999999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39999999999999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39999999999999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39999999999999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39999999999999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39999999999999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39999999999999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39999999999999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39999999999999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39999999999999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39999999999999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399999999999999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399999999999999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399999999999999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399999999999999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399999999999999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399999999999999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399999999999999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399999999999999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399999999999999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399999999999999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399999999999999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399999999999999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399999999999999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399999999999999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399999999999999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399999999999999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399999999999999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399999999999999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399999999999999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399999999999999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399999999999999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399999999999999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399999999999999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399999999999999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399999999999999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399999999999999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399999999999999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399999999999999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399999999999999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399999999999999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399999999999999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399999999999999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399999999999999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399999999999999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399999999999999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399999999999999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399999999999999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399999999999999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399999999999999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399999999999999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399999999999999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399999999999999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399999999999999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399999999999999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399999999999999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399999999999999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399999999999999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399999999999999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399999999999999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399999999999999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399999999999999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399999999999999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399999999999999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399999999999999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399999999999999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399999999999999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399999999999999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399999999999999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399999999999999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399999999999999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399999999999999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399999999999999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399999999999999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399999999999999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399999999999999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399999999999999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399999999999999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399999999999999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399999999999999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399999999999999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399999999999999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399999999999999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399999999999999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399999999999999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399999999999999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399999999999999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399999999999999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399999999999999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399999999999999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399999999999999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399999999999999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399999999999999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399999999999999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399999999999999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399999999999999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399999999999999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399999999999999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399999999999999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399999999999999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399999999999999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399999999999999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399999999999999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399999999999999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399999999999999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399999999999999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399999999999999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399999999999999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399999999999999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399999999999999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399999999999999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399999999999999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399999999999999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399999999999999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399999999999999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399999999999999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399999999999999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399999999999999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399999999999999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399999999999999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399999999999999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399999999999999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399999999999999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399999999999999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399999999999999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399999999999999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399999999999999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399999999999999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399999999999999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399999999999999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399999999999999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399999999999999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399999999999999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399999999999999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399999999999999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399999999999999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399999999999999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399999999999999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399999999999999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399999999999999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399999999999999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399999999999999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399999999999999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399999999999999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399999999999999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399999999999999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399999999999999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399999999999999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399999999999999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399999999999999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399999999999999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399999999999999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399999999999999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399999999999999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399999999999999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399999999999999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399999999999999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399999999999999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399999999999999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399999999999999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399999999999999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399999999999999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399999999999999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399999999999999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399999999999999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399999999999999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399999999999999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399999999999999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399999999999999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399999999999999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399999999999999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399999999999999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399999999999999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399999999999999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399999999999999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399999999999999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399999999999999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399999999999999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399999999999999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399999999999999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399999999999999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399999999999999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399999999999999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399999999999999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399999999999999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399999999999999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399999999999999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399999999999999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399999999999999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399999999999999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399999999999999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399999999999999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399999999999999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399999999999999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399999999999999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399999999999999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399999999999999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399999999999999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399999999999999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399999999999999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399999999999999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399999999999999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399999999999999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399999999999999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399999999999999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399999999999999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399999999999999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399999999999999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399999999999999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399999999999999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399999999999999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399999999999999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399999999999999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399999999999999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399999999999999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399999999999999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399999999999999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399999999999999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399999999999999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399999999999999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399999999999999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399999999999999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399999999999999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399999999999999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399999999999999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399999999999999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399999999999999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399999999999999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399999999999999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399999999999999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399999999999999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399999999999999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399999999999999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399999999999999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399999999999999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399999999999999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399999999999999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399999999999999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399999999999999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399999999999999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399999999999999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399999999999999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399999999999999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399999999999999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399999999999999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399999999999999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399999999999999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399999999999999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399999999999999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399999999999999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399999999999999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399999999999999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399999999999999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399999999999999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399999999999999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399999999999999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399999999999999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399999999999999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399999999999999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399999999999999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399999999999999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399999999999999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399999999999999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399999999999999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399999999999999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399999999999999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399999999999999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399999999999999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399999999999999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399999999999999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399999999999999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399999999999999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399999999999999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399999999999999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399999999999999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399999999999999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399999999999999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399999999999999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399999999999999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399999999999999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399999999999999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399999999999999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399999999999999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399999999999999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399999999999999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399999999999999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399999999999999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399999999999999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399999999999999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399999999999999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399999999999999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399999999999999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399999999999999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399999999999999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399999999999999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399999999999999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399999999999999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399999999999999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399999999999999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399999999999999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399999999999999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399999999999999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399999999999999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399999999999999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399999999999999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399999999999999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399999999999999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399999999999999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399999999999999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399999999999999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399999999999999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399999999999999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399999999999999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399999999999999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399999999999999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399999999999999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399999999999999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399999999999999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399999999999999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399999999999999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399999999999999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399999999999999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399999999999999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399999999999999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399999999999999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399999999999999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399999999999999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399999999999999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399999999999999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399999999999999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399999999999999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399999999999999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399999999999999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399999999999999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399999999999999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399999999999999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399999999999999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399999999999999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399999999999999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399999999999999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399999999999999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399999999999999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399999999999999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399999999999999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399999999999999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399999999999999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399999999999999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399999999999999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399999999999999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399999999999999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399999999999999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399999999999999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399999999999999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399999999999999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399999999999999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399999999999999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399999999999999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399999999999999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399999999999999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399999999999999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399999999999999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399999999999999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399999999999999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399999999999999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399999999999999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399999999999999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399999999999999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399999999999999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399999999999999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399999999999999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399999999999999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399999999999999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399999999999999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399999999999999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399999999999999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399999999999999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399999999999999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399999999999999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399999999999999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399999999999999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399999999999999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399999999999999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399999999999999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399999999999999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399999999999999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399999999999999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399999999999999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399999999999999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399999999999999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399999999999999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399999999999999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399999999999999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399999999999999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399999999999999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399999999999999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399999999999999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399999999999999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399999999999999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399999999999999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399999999999999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399999999999999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399999999999999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399999999999999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399999999999999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399999999999999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399999999999999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399999999999999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399999999999999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399999999999999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399999999999999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399999999999999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399999999999999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399999999999999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399999999999999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399999999999999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399999999999999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399999999999999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399999999999999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399999999999999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399999999999999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399999999999999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399999999999999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399999999999999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399999999999999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399999999999999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399999999999999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399999999999999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399999999999999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399999999999999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399999999999999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399999999999999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399999999999999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399999999999999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399999999999999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399999999999999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399999999999999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399999999999999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399999999999999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399999999999999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399999999999999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399999999999999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399999999999999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399999999999999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399999999999999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399999999999999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399999999999999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399999999999999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399999999999999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399999999999999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399999999999999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399999999999999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399999999999999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399999999999999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399999999999999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399999999999999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399999999999999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399999999999999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399999999999999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399999999999999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399999999999999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399999999999999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399999999999999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399999999999999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399999999999999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399999999999999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399999999999999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399999999999999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399999999999999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399999999999999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399999999999999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399999999999999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399999999999999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399999999999999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399999999999999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399999999999999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399999999999999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399999999999999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399999999999999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399999999999999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399999999999999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399999999999999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399999999999999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399999999999999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399999999999999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399999999999999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399999999999999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399999999999999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399999999999999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399999999999999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399999999999999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399999999999999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399999999999999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399999999999999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399999999999999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399999999999999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399999999999999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399999999999999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399999999999999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399999999999999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399999999999999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399999999999999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399999999999999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399999999999999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399999999999999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399999999999999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399999999999999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399999999999999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399999999999999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399999999999999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399999999999999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399999999999999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399999999999999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399999999999999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399999999999999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399999999999999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399999999999999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399999999999999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399999999999999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399999999999999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399999999999999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399999999999999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399999999999999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399999999999999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399999999999999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399999999999999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399999999999999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399999999999999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399999999999999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399999999999999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399999999999999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399999999999999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399999999999999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399999999999999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399999999999999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399999999999999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399999999999999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399999999999999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399999999999999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399999999999999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399999999999999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399999999999999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399999999999999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399999999999999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399999999999999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399999999999999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399999999999999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399999999999999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399999999999999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399999999999999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399999999999999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399999999999999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399999999999999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399999999999999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399999999999999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399999999999999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399999999999999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399999999999999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399999999999999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399999999999999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399999999999999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399999999999999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399999999999999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399999999999999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399999999999999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399999999999999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399999999999999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399999999999999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399999999999999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399999999999999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399999999999999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399999999999999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399999999999999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399999999999999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399999999999999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399999999999999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399999999999999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399999999999999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399999999999999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399999999999999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399999999999999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399999999999999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399999999999999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399999999999999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399999999999999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399999999999999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399999999999999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399999999999999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399999999999999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399999999999999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399999999999999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399999999999999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399999999999999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399999999999999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399999999999999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399999999999999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399999999999999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399999999999999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399999999999999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399999999999999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399999999999999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399999999999999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399999999999999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399999999999999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399999999999999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399999999999999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399999999999999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399999999999999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399999999999999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399999999999999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399999999999999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399999999999999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399999999999999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399999999999999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399999999999999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399999999999999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399999999999999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399999999999999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399999999999999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399999999999999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399999999999999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399999999999999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399999999999999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399999999999999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399999999999999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399999999999999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399999999999999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399999999999999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399999999999999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399999999999999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399999999999999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399999999999999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399999999999999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399999999999999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399999999999999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399999999999999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399999999999999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399999999999999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399999999999999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399999999999999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399999999999999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399999999999999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399999999999999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399999999999999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399999999999999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399999999999999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399999999999999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399999999999999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399999999999999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399999999999999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399999999999999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399999999999999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399999999999999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399999999999999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399999999999999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399999999999999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399999999999999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399999999999999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399999999999999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399999999999999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399999999999999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399999999999999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399999999999999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399999999999999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399999999999999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399999999999999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399999999999999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399999999999999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399999999999999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399999999999999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399999999999999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399999999999999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399999999999999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399999999999999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399999999999999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399999999999999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399999999999999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399999999999999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399999999999999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399999999999999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399999999999999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399999999999999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399999999999999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399999999999999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399999999999999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399999999999999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399999999999999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399999999999999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399999999999999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399999999999999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399999999999999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399999999999999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399999999999999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399999999999999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399999999999999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399999999999999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399999999999999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399999999999999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399999999999999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399999999999999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399999999999999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399999999999999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399999999999999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399999999999999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399999999999999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399999999999999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399999999999999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399999999999999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399999999999999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399999999999999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399999999999999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399999999999999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399999999999999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399999999999999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399999999999999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399999999999999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399999999999999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399999999999999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399999999999999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399999999999999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399999999999999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399999999999999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399999999999999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399999999999999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399999999999999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399999999999999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399999999999999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399999999999999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399999999999999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399999999999999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399999999999999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399999999999999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399999999999999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399999999999999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399999999999999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399999999999999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399999999999999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399999999999999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399999999999999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399999999999999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399999999999999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399999999999999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399999999999999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399999999999999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399999999999999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399999999999999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399999999999999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399999999999999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399999999999999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399999999999999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399999999999999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399999999999999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399999999999999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399999999999999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399999999999999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399999999999999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399999999999999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399999999999999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399999999999999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399999999999999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399999999999999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399999999999999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399999999999999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399999999999999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399999999999999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399999999999999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399999999999999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399999999999999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399999999999999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399999999999999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399999999999999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399999999999999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399999999999999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399999999999999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399999999999999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399999999999999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399999999999999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399999999999999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399999999999999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399999999999999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399999999999999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399999999999999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399999999999999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399999999999999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399999999999999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399999999999999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399999999999999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399999999999999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399999999999999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399999999999999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399999999999999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399999999999999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399999999999999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399999999999999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399999999999999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399999999999999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399999999999999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399999999999999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399999999999999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399999999999999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399999999999999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399999999999999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399999999999999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399999999999999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399999999999999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399999999999999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399999999999999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399999999999999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399999999999999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399999999999999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399999999999999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399999999999999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399999999999999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5"/>
  <sheetViews>
    <sheetView tabSelected="1" workbookViewId="0">
      <selection activeCell="D61" sqref="D61"/>
    </sheetView>
  </sheetViews>
  <sheetFormatPr defaultColWidth="12.6640625" defaultRowHeight="15.75" customHeight="1" x14ac:dyDescent="0.25"/>
  <cols>
    <col min="1" max="1" width="12.6640625" style="7"/>
    <col min="2" max="10" width="33.33203125" style="7" customWidth="1"/>
    <col min="11" max="16384" width="12.6640625" style="7"/>
  </cols>
  <sheetData>
    <row r="1" spans="1:26" ht="30" x14ac:dyDescent="0.25">
      <c r="A1" s="2"/>
      <c r="B1" s="2" t="s">
        <v>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x14ac:dyDescent="0.25">
      <c r="A2" s="2"/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x14ac:dyDescent="0.25">
      <c r="A3" s="2"/>
      <c r="B3" s="2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x14ac:dyDescent="0.25">
      <c r="A5" s="2"/>
      <c r="B5" s="2" t="s">
        <v>48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0" x14ac:dyDescent="0.25">
      <c r="A6" s="2"/>
      <c r="B6" s="2" t="s">
        <v>49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25">
      <c r="A8" s="2"/>
      <c r="B8" s="2" t="s">
        <v>50</v>
      </c>
      <c r="C8" s="2">
        <v>42000</v>
      </c>
      <c r="D8" s="2">
        <v>1</v>
      </c>
      <c r="E8" s="2" t="s">
        <v>51</v>
      </c>
      <c r="F8" s="2" t="s">
        <v>52</v>
      </c>
      <c r="G8" s="2" t="s">
        <v>53</v>
      </c>
      <c r="H8" s="2" t="s">
        <v>54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x14ac:dyDescent="0.25">
      <c r="A9" s="2"/>
      <c r="B9" s="2" t="s">
        <v>55</v>
      </c>
      <c r="C9" s="2">
        <v>42500</v>
      </c>
      <c r="D9" s="2"/>
      <c r="E9" s="2">
        <v>42300</v>
      </c>
      <c r="F9" s="2">
        <v>42400</v>
      </c>
      <c r="G9" s="2"/>
      <c r="H9" s="2" t="s">
        <v>56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x14ac:dyDescent="0.25">
      <c r="A10" s="2"/>
      <c r="B10" s="2" t="s">
        <v>57</v>
      </c>
      <c r="C10" s="2">
        <v>43000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x14ac:dyDescent="0.25">
      <c r="A11" s="2"/>
      <c r="B11" s="2" t="s">
        <v>58</v>
      </c>
      <c r="C11" s="2">
        <v>41500</v>
      </c>
      <c r="D11" s="2"/>
      <c r="E11" s="2" t="s">
        <v>59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5">
      <c r="A13" s="2"/>
      <c r="B13" s="2"/>
      <c r="C13" s="2"/>
      <c r="D13" s="2"/>
      <c r="E13" s="2" t="s">
        <v>51</v>
      </c>
      <c r="F13" s="2" t="s">
        <v>52</v>
      </c>
      <c r="G13" s="2" t="s">
        <v>60</v>
      </c>
      <c r="H13" s="2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x14ac:dyDescent="0.25">
      <c r="A14" s="2"/>
      <c r="B14" s="2"/>
      <c r="C14" s="2"/>
      <c r="D14" s="2"/>
      <c r="E14" s="2">
        <v>42400</v>
      </c>
      <c r="F14" s="2">
        <v>42300</v>
      </c>
      <c r="G14" s="2"/>
      <c r="H14" s="2" t="s">
        <v>62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5" x14ac:dyDescent="0.25">
      <c r="A15" s="2"/>
      <c r="B15" s="2"/>
      <c r="C15" s="2"/>
      <c r="D15" s="2"/>
      <c r="E15" s="2" t="s">
        <v>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5">
      <c r="A18" s="2"/>
      <c r="B18" s="2"/>
      <c r="C18" s="2"/>
      <c r="D18" s="2"/>
      <c r="E18" s="2" t="s">
        <v>51</v>
      </c>
      <c r="F18" s="2" t="s">
        <v>52</v>
      </c>
      <c r="G18" s="2" t="s">
        <v>54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5">
      <c r="A19" s="2"/>
      <c r="B19" s="2"/>
      <c r="C19" s="2"/>
      <c r="D19" s="2"/>
      <c r="E19" s="2">
        <v>42460</v>
      </c>
      <c r="F19" s="2">
        <v>42560</v>
      </c>
      <c r="G19" s="2" t="s">
        <v>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5" x14ac:dyDescent="0.25">
      <c r="A21" s="2"/>
      <c r="B21" s="2"/>
      <c r="C21" s="2"/>
      <c r="D21" s="2"/>
      <c r="E21" s="2" t="s">
        <v>64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5">
      <c r="A23" s="2"/>
      <c r="B23" s="2"/>
      <c r="C23" s="2"/>
      <c r="D23" s="2"/>
      <c r="E23" s="2" t="s">
        <v>51</v>
      </c>
      <c r="F23" s="2" t="s">
        <v>52</v>
      </c>
      <c r="G23" s="2" t="s">
        <v>65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5">
      <c r="A24" s="2"/>
      <c r="B24" s="2"/>
      <c r="C24" s="2"/>
      <c r="D24" s="2"/>
      <c r="E24" s="2">
        <v>41570</v>
      </c>
      <c r="F24" s="2">
        <v>41470</v>
      </c>
      <c r="G24" s="2"/>
      <c r="H24" s="2" t="s">
        <v>66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x14ac:dyDescent="0.25">
      <c r="A25" s="2"/>
      <c r="B25" s="2"/>
      <c r="C25" s="2"/>
      <c r="D25" s="2"/>
      <c r="E25" s="2" t="s">
        <v>67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5">
      <c r="A26" s="2"/>
      <c r="B26" s="2"/>
      <c r="C26" s="2"/>
      <c r="D26" s="2"/>
      <c r="E26" s="3" t="s">
        <v>68</v>
      </c>
      <c r="F26" s="5"/>
      <c r="G26" s="5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25">
      <c r="A27" s="2"/>
      <c r="B27" s="2"/>
      <c r="C27" s="2"/>
      <c r="D27" s="2"/>
      <c r="E27" s="5"/>
      <c r="F27" s="5"/>
      <c r="G27" s="5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25">
      <c r="A29" s="2"/>
      <c r="B29" s="2" t="s">
        <v>69</v>
      </c>
      <c r="C29" s="2" t="s">
        <v>70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60" x14ac:dyDescent="0.25">
      <c r="A30" s="2"/>
      <c r="B30" s="2">
        <v>42300</v>
      </c>
      <c r="C30" s="2">
        <v>42400</v>
      </c>
      <c r="D30" s="2" t="s">
        <v>71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0" x14ac:dyDescent="0.25">
      <c r="A31" s="2"/>
      <c r="B31" s="2">
        <v>42400</v>
      </c>
      <c r="C31" s="2">
        <v>42300</v>
      </c>
      <c r="D31" s="2" t="s">
        <v>72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x14ac:dyDescent="0.25">
      <c r="A34" s="2" t="s">
        <v>73</v>
      </c>
      <c r="B34" s="2" t="s">
        <v>74</v>
      </c>
      <c r="C34" s="2">
        <v>40000</v>
      </c>
      <c r="D34" s="2">
        <v>1</v>
      </c>
      <c r="E34" s="2" t="s">
        <v>51</v>
      </c>
      <c r="F34" s="2" t="s">
        <v>52</v>
      </c>
      <c r="G34" s="2" t="s">
        <v>53</v>
      </c>
      <c r="H34" s="2" t="s">
        <v>54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x14ac:dyDescent="0.25">
      <c r="A35" s="2" t="s">
        <v>75</v>
      </c>
      <c r="B35" s="2" t="s">
        <v>76</v>
      </c>
      <c r="C35" s="2">
        <v>39500</v>
      </c>
      <c r="D35" s="2"/>
      <c r="E35" s="2">
        <v>39700</v>
      </c>
      <c r="F35" s="2">
        <v>39600</v>
      </c>
      <c r="G35" s="2"/>
      <c r="H35" s="2" t="s">
        <v>56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5">
      <c r="A36" s="2" t="s">
        <v>75</v>
      </c>
      <c r="B36" s="2" t="s">
        <v>77</v>
      </c>
      <c r="C36" s="2">
        <v>39000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45" x14ac:dyDescent="0.25">
      <c r="A37" s="2" t="s">
        <v>78</v>
      </c>
      <c r="B37" s="2" t="s">
        <v>79</v>
      </c>
      <c r="C37" s="2">
        <v>40500</v>
      </c>
      <c r="D37" s="2"/>
      <c r="E37" s="2" t="s">
        <v>59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 t="s">
        <v>51</v>
      </c>
      <c r="F39" s="2" t="s">
        <v>52</v>
      </c>
      <c r="G39" s="2" t="s">
        <v>60</v>
      </c>
      <c r="H39" s="2" t="s">
        <v>61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x14ac:dyDescent="0.25">
      <c r="A40" s="2"/>
      <c r="B40" s="2"/>
      <c r="C40" s="2"/>
      <c r="D40" s="2"/>
      <c r="E40" s="2">
        <v>39600</v>
      </c>
      <c r="F40" s="2">
        <v>39700</v>
      </c>
      <c r="G40" s="2"/>
      <c r="H40" s="2" t="s">
        <v>62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45" x14ac:dyDescent="0.25">
      <c r="A41" s="2"/>
      <c r="B41" s="2"/>
      <c r="C41" s="2"/>
      <c r="D41" s="2"/>
      <c r="E41" s="2" t="s">
        <v>59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 t="s">
        <v>51</v>
      </c>
      <c r="F44" s="2" t="s">
        <v>52</v>
      </c>
      <c r="G44" s="2" t="s">
        <v>54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>
        <v>39560</v>
      </c>
      <c r="F45" s="2">
        <v>39460</v>
      </c>
      <c r="G45" s="2" t="s">
        <v>80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5" x14ac:dyDescent="0.25">
      <c r="A47" s="2"/>
      <c r="B47" s="2"/>
      <c r="C47" s="2"/>
      <c r="D47" s="2"/>
      <c r="E47" s="2" t="s">
        <v>64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 t="s">
        <v>51</v>
      </c>
      <c r="F49" s="2" t="s">
        <v>52</v>
      </c>
      <c r="G49" s="2" t="s">
        <v>65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>
        <v>40430</v>
      </c>
      <c r="F50" s="2">
        <v>40530</v>
      </c>
      <c r="G50" s="2"/>
      <c r="H50" s="2" t="s">
        <v>66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x14ac:dyDescent="0.25">
      <c r="A51" s="2"/>
      <c r="B51" s="2"/>
      <c r="C51" s="2"/>
      <c r="D51" s="2"/>
      <c r="E51" s="2" t="s">
        <v>67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3" t="s">
        <v>68</v>
      </c>
      <c r="F52" s="5"/>
      <c r="G52" s="5"/>
      <c r="H52" s="5"/>
      <c r="I52" s="5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5"/>
      <c r="F53" s="5"/>
      <c r="G53" s="5"/>
      <c r="H53" s="5"/>
      <c r="I53" s="5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45" x14ac:dyDescent="0.25">
      <c r="A55" s="2"/>
      <c r="B55" s="2"/>
      <c r="C55" s="2"/>
      <c r="D55" s="2"/>
      <c r="E55" s="2" t="s">
        <v>81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x14ac:dyDescent="0.25">
      <c r="A56" s="2"/>
      <c r="B56" s="2"/>
      <c r="C56" s="2"/>
      <c r="D56" s="2"/>
      <c r="E56" s="2" t="s">
        <v>82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 t="s">
        <v>83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 t="s">
        <v>84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x14ac:dyDescent="0.25">
      <c r="A59" s="2"/>
      <c r="B59" s="2" t="s">
        <v>85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 t="s">
        <v>86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" x14ac:dyDescent="0.25">
      <c r="A61" s="2"/>
      <c r="B61" s="2" t="s">
        <v>87</v>
      </c>
      <c r="C61" s="2"/>
      <c r="D61" s="2"/>
      <c r="E61" s="2"/>
      <c r="F61" s="2" t="s">
        <v>88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 t="s">
        <v>89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 x14ac:dyDescent="0.25">
      <c r="A63" s="2"/>
      <c r="B63" s="2" t="s">
        <v>90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2">
    <mergeCell ref="E26:J27"/>
    <mergeCell ref="E52:J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2023-05-18T07:23:35Z</dcterms:modified>
</cp:coreProperties>
</file>