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FIS\ChatGpt\"/>
    </mc:Choice>
  </mc:AlternateContent>
  <xr:revisionPtr revIDLastSave="0" documentId="8_{D040A68D-2F34-4DF3-9E3A-200A2D0BE661}" xr6:coauthVersionLast="47" xr6:coauthVersionMax="47" xr10:uidLastSave="{00000000-0000-0000-0000-000000000000}"/>
  <bookViews>
    <workbookView xWindow="-120" yWindow="-120" windowWidth="29040" windowHeight="15840" xr2:uid="{37CB6F57-6CB7-450B-9943-E6B3E06E0C63}"/>
  </bookViews>
  <sheets>
    <sheet name="AB4" sheetId="1" r:id="rId1"/>
  </sheets>
  <externalReferences>
    <externalReference r:id="rId2"/>
  </externalReferences>
  <definedNames>
    <definedName name="STOCKS">[1]AB8!$B$8:$B$257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184" i="1" l="1"/>
  <c r="AM183" i="1"/>
  <c r="AM180" i="1"/>
  <c r="AP180" i="1" s="1"/>
  <c r="AS180" i="1" s="1"/>
  <c r="AV180" i="1" s="1"/>
  <c r="AY180" i="1" s="1"/>
  <c r="BB180" i="1" s="1"/>
  <c r="D180" i="1" a="1"/>
  <c r="D180" i="1" s="1"/>
  <c r="AM178" i="1"/>
  <c r="AM177" i="1"/>
  <c r="BB174" i="1"/>
  <c r="AP174" i="1"/>
  <c r="AS174" i="1" s="1"/>
  <c r="AV174" i="1" s="1"/>
  <c r="AY174" i="1" s="1"/>
  <c r="AM174" i="1"/>
  <c r="D174" i="1" a="1"/>
  <c r="D174" i="1" s="1"/>
  <c r="AM172" i="1"/>
  <c r="AA172" i="1"/>
  <c r="AM171" i="1"/>
  <c r="AA171" i="1"/>
  <c r="D170" i="1" a="1"/>
  <c r="D170" i="1" s="1"/>
  <c r="AS172" i="1" s="1"/>
  <c r="C169" i="1"/>
  <c r="AM168" i="1"/>
  <c r="AP168" i="1" s="1"/>
  <c r="AS168" i="1" s="1"/>
  <c r="AV168" i="1" s="1"/>
  <c r="AY168" i="1" s="1"/>
  <c r="BB168" i="1" s="1"/>
  <c r="H168" i="1"/>
  <c r="D168" i="1" a="1"/>
  <c r="D168" i="1" s="1"/>
  <c r="AM166" i="1"/>
  <c r="AP166" i="1" s="1"/>
  <c r="AS166" i="1" s="1"/>
  <c r="AV166" i="1" s="1"/>
  <c r="AY166" i="1" s="1"/>
  <c r="AM165" i="1"/>
  <c r="CG163" i="1"/>
  <c r="CE163" i="1"/>
  <c r="BZ163" i="1"/>
  <c r="BT163" i="1"/>
  <c r="AM163" i="1"/>
  <c r="AP162" i="1"/>
  <c r="AS162" i="1" s="1"/>
  <c r="AV162" i="1" s="1"/>
  <c r="AY162" i="1" s="1"/>
  <c r="AM162" i="1"/>
  <c r="D162" i="1" a="1"/>
  <c r="D162" i="1" s="1"/>
  <c r="AP160" i="1"/>
  <c r="AS160" i="1" s="1"/>
  <c r="AV160" i="1" s="1"/>
  <c r="AY160" i="1" s="1"/>
  <c r="BB160" i="1" s="1"/>
  <c r="AM160" i="1"/>
  <c r="AY159" i="1"/>
  <c r="BB159" i="1" s="1"/>
  <c r="AM159" i="1"/>
  <c r="AP159" i="1" s="1"/>
  <c r="AS159" i="1" s="1"/>
  <c r="AV159" i="1" s="1"/>
  <c r="D158" i="1" a="1"/>
  <c r="D158" i="1" s="1"/>
  <c r="AY157" i="1"/>
  <c r="BB157" i="1" s="1"/>
  <c r="AM157" i="1"/>
  <c r="AP157" i="1" s="1"/>
  <c r="AS157" i="1" s="1"/>
  <c r="AV157" i="1" s="1"/>
  <c r="BB156" i="1"/>
  <c r="AP156" i="1"/>
  <c r="AS156" i="1" s="1"/>
  <c r="AV156" i="1" s="1"/>
  <c r="AY156" i="1" s="1"/>
  <c r="AM156" i="1"/>
  <c r="D156" i="1" a="1"/>
  <c r="D156" i="1" s="1"/>
  <c r="AY154" i="1"/>
  <c r="BB154" i="1" s="1"/>
  <c r="AM154" i="1"/>
  <c r="AP154" i="1" s="1"/>
  <c r="AS154" i="1" s="1"/>
  <c r="AV154" i="1" s="1"/>
  <c r="AM153" i="1"/>
  <c r="AP153" i="1" s="1"/>
  <c r="AS153" i="1" s="1"/>
  <c r="AV153" i="1" s="1"/>
  <c r="AY153" i="1" s="1"/>
  <c r="BB153" i="1" s="1"/>
  <c r="AP151" i="1"/>
  <c r="AS151" i="1" s="1"/>
  <c r="AV151" i="1" s="1"/>
  <c r="AY151" i="1" s="1"/>
  <c r="BB151" i="1" s="1"/>
  <c r="AM151" i="1"/>
  <c r="AM150" i="1"/>
  <c r="AP150" i="1" s="1"/>
  <c r="AS150" i="1" s="1"/>
  <c r="AV150" i="1" s="1"/>
  <c r="AY150" i="1" s="1"/>
  <c r="BB150" i="1" s="1"/>
  <c r="D150" i="1"/>
  <c r="D150" i="1" a="1"/>
  <c r="AV148" i="1"/>
  <c r="AY148" i="1" s="1"/>
  <c r="BB148" i="1" s="1"/>
  <c r="AM148" i="1"/>
  <c r="AP148" i="1" s="1"/>
  <c r="AS148" i="1" s="1"/>
  <c r="AP147" i="1"/>
  <c r="AS147" i="1" s="1"/>
  <c r="AV147" i="1" s="1"/>
  <c r="AY147" i="1" s="1"/>
  <c r="BB147" i="1" s="1"/>
  <c r="AM147" i="1"/>
  <c r="D147" i="1" a="1"/>
  <c r="D147" i="1" s="1"/>
  <c r="AM145" i="1"/>
  <c r="AP145" i="1" s="1"/>
  <c r="AS145" i="1" s="1"/>
  <c r="AV145" i="1" s="1"/>
  <c r="AY145" i="1" s="1"/>
  <c r="BB145" i="1" s="1"/>
  <c r="AM144" i="1"/>
  <c r="AP144" i="1" s="1"/>
  <c r="AS144" i="1" s="1"/>
  <c r="AV144" i="1" s="1"/>
  <c r="AY144" i="1" s="1"/>
  <c r="BB144" i="1" s="1"/>
  <c r="D144" i="1"/>
  <c r="BE148" i="1" s="1" a="1"/>
  <c r="BE148" i="1" s="1"/>
  <c r="D144" i="1" a="1"/>
  <c r="AM142" i="1"/>
  <c r="AP142" i="1" s="1"/>
  <c r="AS142" i="1" s="1"/>
  <c r="AV142" i="1" s="1"/>
  <c r="AY142" i="1" s="1"/>
  <c r="BB142" i="1" s="1"/>
  <c r="BB141" i="1"/>
  <c r="AS141" i="1"/>
  <c r="AV141" i="1" s="1"/>
  <c r="AY141" i="1" s="1"/>
  <c r="AP141" i="1"/>
  <c r="AM141" i="1"/>
  <c r="BB139" i="1"/>
  <c r="AY139" i="1"/>
  <c r="AP139" i="1"/>
  <c r="AS139" i="1" s="1"/>
  <c r="AV139" i="1" s="1"/>
  <c r="AM139" i="1"/>
  <c r="AP138" i="1"/>
  <c r="AS138" i="1" s="1"/>
  <c r="AV138" i="1" s="1"/>
  <c r="AY138" i="1" s="1"/>
  <c r="BB138" i="1" s="1"/>
  <c r="AM138" i="1"/>
  <c r="D138" i="1" a="1"/>
  <c r="D138" i="1" s="1"/>
  <c r="AM136" i="1"/>
  <c r="AP136" i="1" s="1"/>
  <c r="AS136" i="1" s="1"/>
  <c r="AV136" i="1" s="1"/>
  <c r="AY136" i="1" s="1"/>
  <c r="BB136" i="1" s="1"/>
  <c r="D136" i="1" a="1"/>
  <c r="D136" i="1" s="1"/>
  <c r="AS135" i="1"/>
  <c r="AV135" i="1" s="1"/>
  <c r="AY135" i="1" s="1"/>
  <c r="BB135" i="1" s="1"/>
  <c r="AP135" i="1"/>
  <c r="AM135" i="1"/>
  <c r="AK135" i="1" a="1"/>
  <c r="AK135" i="1" s="1"/>
  <c r="D134" i="1" a="1"/>
  <c r="D134" i="1" s="1"/>
  <c r="BI135" i="1" s="1"/>
  <c r="AY133" i="1"/>
  <c r="BB133" i="1" s="1"/>
  <c r="AM133" i="1"/>
  <c r="AP133" i="1" s="1"/>
  <c r="AS133" i="1" s="1"/>
  <c r="AV133" i="1" s="1"/>
  <c r="BI132" i="1"/>
  <c r="AY132" i="1"/>
  <c r="BB132" i="1" s="1"/>
  <c r="AQ132" i="1" a="1"/>
  <c r="AQ132" i="1" s="1"/>
  <c r="AM132" i="1"/>
  <c r="AP132" i="1" s="1"/>
  <c r="AS132" i="1" s="1"/>
  <c r="AV132" i="1" s="1"/>
  <c r="AF132" i="1"/>
  <c r="D132" i="1"/>
  <c r="F134" i="1" s="1" a="1"/>
  <c r="F134" i="1" s="1"/>
  <c r="D132" i="1" a="1"/>
  <c r="C132" i="1"/>
  <c r="AP130" i="1"/>
  <c r="AS130" i="1" s="1"/>
  <c r="AV130" i="1" s="1"/>
  <c r="AY130" i="1" s="1"/>
  <c r="BB130" i="1" s="1"/>
  <c r="AM130" i="1"/>
  <c r="AP129" i="1"/>
  <c r="AS129" i="1" s="1"/>
  <c r="AV129" i="1" s="1"/>
  <c r="AY129" i="1" s="1"/>
  <c r="BB129" i="1" s="1"/>
  <c r="AM129" i="1"/>
  <c r="AM127" i="1"/>
  <c r="AP127" i="1" s="1"/>
  <c r="AS127" i="1" s="1"/>
  <c r="AV127" i="1" s="1"/>
  <c r="AY127" i="1" s="1"/>
  <c r="BB127" i="1" s="1"/>
  <c r="AM126" i="1"/>
  <c r="AP126" i="1" s="1"/>
  <c r="AS126" i="1" s="1"/>
  <c r="AV126" i="1" s="1"/>
  <c r="AY126" i="1" s="1"/>
  <c r="BB126" i="1" s="1"/>
  <c r="D126" i="1"/>
  <c r="D129" i="1" s="1" a="1"/>
  <c r="D129" i="1" s="1"/>
  <c r="D126" i="1" a="1"/>
  <c r="BB124" i="1"/>
  <c r="AV124" i="1"/>
  <c r="AY124" i="1" s="1"/>
  <c r="AP124" i="1"/>
  <c r="AS124" i="1" s="1"/>
  <c r="AM124" i="1"/>
  <c r="AS123" i="1"/>
  <c r="AV123" i="1" s="1"/>
  <c r="AY123" i="1" s="1"/>
  <c r="BB123" i="1" s="1"/>
  <c r="AP123" i="1"/>
  <c r="AM123" i="1"/>
  <c r="AP121" i="1"/>
  <c r="AS121" i="1" s="1"/>
  <c r="AV121" i="1" s="1"/>
  <c r="AY121" i="1" s="1"/>
  <c r="BB121" i="1" s="1"/>
  <c r="AM121" i="1"/>
  <c r="AM120" i="1"/>
  <c r="AP120" i="1" s="1"/>
  <c r="AS120" i="1" s="1"/>
  <c r="AV120" i="1" s="1"/>
  <c r="AY120" i="1" s="1"/>
  <c r="BB120" i="1" s="1"/>
  <c r="D120" i="1" a="1"/>
  <c r="D120" i="1" s="1"/>
  <c r="AM118" i="1"/>
  <c r="AP118" i="1" s="1"/>
  <c r="AS118" i="1" s="1"/>
  <c r="AV118" i="1" s="1"/>
  <c r="AY118" i="1" s="1"/>
  <c r="BB118" i="1" s="1"/>
  <c r="AY117" i="1"/>
  <c r="BB117" i="1" s="1"/>
  <c r="AM117" i="1"/>
  <c r="AP117" i="1" s="1"/>
  <c r="AS117" i="1" s="1"/>
  <c r="AV117" i="1" s="1"/>
  <c r="AP115" i="1"/>
  <c r="AS115" i="1" s="1"/>
  <c r="AV115" i="1" s="1"/>
  <c r="AY115" i="1" s="1"/>
  <c r="BB115" i="1" s="1"/>
  <c r="AM115" i="1"/>
  <c r="AV114" i="1"/>
  <c r="AY114" i="1" s="1"/>
  <c r="BB114" i="1" s="1"/>
  <c r="AP114" i="1"/>
  <c r="AS114" i="1" s="1"/>
  <c r="AM114" i="1"/>
  <c r="D114" i="1" a="1"/>
  <c r="D114" i="1" s="1"/>
  <c r="AS112" i="1"/>
  <c r="AV112" i="1" s="1"/>
  <c r="AY112" i="1" s="1"/>
  <c r="BB112" i="1" s="1"/>
  <c r="AM112" i="1"/>
  <c r="AP112" i="1" s="1"/>
  <c r="AY111" i="1"/>
  <c r="BB111" i="1" s="1"/>
  <c r="AM111" i="1"/>
  <c r="AP111" i="1" s="1"/>
  <c r="AS111" i="1" s="1"/>
  <c r="AV111" i="1" s="1"/>
  <c r="AV109" i="1"/>
  <c r="AY109" i="1" s="1"/>
  <c r="BB109" i="1" s="1"/>
  <c r="AP109" i="1"/>
  <c r="AS109" i="1" s="1"/>
  <c r="AM109" i="1"/>
  <c r="AP108" i="1"/>
  <c r="AS108" i="1" s="1"/>
  <c r="AV108" i="1" s="1"/>
  <c r="AY108" i="1" s="1"/>
  <c r="BB108" i="1" s="1"/>
  <c r="AM108" i="1"/>
  <c r="D108" i="1" a="1"/>
  <c r="D108" i="1" s="1"/>
  <c r="AP106" i="1"/>
  <c r="AS106" i="1" s="1"/>
  <c r="AV106" i="1" s="1"/>
  <c r="AY106" i="1" s="1"/>
  <c r="BB106" i="1" s="1"/>
  <c r="AM106" i="1"/>
  <c r="AM105" i="1"/>
  <c r="AP105" i="1" s="1"/>
  <c r="AS105" i="1" s="1"/>
  <c r="AV105" i="1" s="1"/>
  <c r="AY105" i="1" s="1"/>
  <c r="BB105" i="1" s="1"/>
  <c r="AM103" i="1"/>
  <c r="AP103" i="1" s="1"/>
  <c r="AS103" i="1" s="1"/>
  <c r="AV103" i="1" s="1"/>
  <c r="AY103" i="1" s="1"/>
  <c r="BB103" i="1" s="1"/>
  <c r="AM102" i="1"/>
  <c r="AP102" i="1" s="1"/>
  <c r="AS102" i="1" s="1"/>
  <c r="AV102" i="1" s="1"/>
  <c r="AY102" i="1" s="1"/>
  <c r="BB102" i="1" s="1"/>
  <c r="D102" i="1" a="1"/>
  <c r="D102" i="1" s="1"/>
  <c r="AP100" i="1"/>
  <c r="AS100" i="1" s="1"/>
  <c r="AV100" i="1" s="1"/>
  <c r="AY100" i="1" s="1"/>
  <c r="BB100" i="1" s="1"/>
  <c r="AM100" i="1"/>
  <c r="AM99" i="1"/>
  <c r="AP99" i="1" s="1"/>
  <c r="AS99" i="1" s="1"/>
  <c r="AV99" i="1" s="1"/>
  <c r="AY99" i="1" s="1"/>
  <c r="BB99" i="1" s="1"/>
  <c r="AM97" i="1"/>
  <c r="AP97" i="1" s="1"/>
  <c r="AS97" i="1" s="1"/>
  <c r="AV97" i="1" s="1"/>
  <c r="AY97" i="1" s="1"/>
  <c r="BB97" i="1" s="1"/>
  <c r="AS96" i="1"/>
  <c r="AV96" i="1" s="1"/>
  <c r="AY96" i="1" s="1"/>
  <c r="BB96" i="1" s="1"/>
  <c r="AM96" i="1"/>
  <c r="AP96" i="1" s="1"/>
  <c r="D96" i="1" a="1"/>
  <c r="D96" i="1" s="1"/>
  <c r="AP94" i="1"/>
  <c r="AS94" i="1" s="1"/>
  <c r="AV94" i="1" s="1"/>
  <c r="AY94" i="1" s="1"/>
  <c r="BB94" i="1" s="1"/>
  <c r="AM94" i="1"/>
  <c r="AJ94" i="1"/>
  <c r="AM93" i="1"/>
  <c r="AP93" i="1" s="1"/>
  <c r="AS93" i="1" s="1"/>
  <c r="AV93" i="1" s="1"/>
  <c r="AY93" i="1" s="1"/>
  <c r="BB93" i="1" s="1"/>
  <c r="D92" i="1" a="1"/>
  <c r="D92" i="1" s="1"/>
  <c r="AJ90" i="1" s="1"/>
  <c r="AM91" i="1"/>
  <c r="AP91" i="1" s="1"/>
  <c r="AS91" i="1" s="1"/>
  <c r="AV91" i="1" s="1"/>
  <c r="AY91" i="1" s="1"/>
  <c r="BB91" i="1" s="1"/>
  <c r="AP90" i="1"/>
  <c r="AS90" i="1" s="1"/>
  <c r="AV90" i="1" s="1"/>
  <c r="AY90" i="1" s="1"/>
  <c r="BB90" i="1" s="1"/>
  <c r="AM90" i="1"/>
  <c r="D90" i="1" a="1"/>
  <c r="D90" i="1" s="1"/>
  <c r="B90" i="1"/>
  <c r="AM88" i="1"/>
  <c r="AP88" i="1" s="1"/>
  <c r="AS88" i="1" s="1"/>
  <c r="AV88" i="1" s="1"/>
  <c r="AY88" i="1" s="1"/>
  <c r="BB88" i="1" s="1"/>
  <c r="AY87" i="1"/>
  <c r="BB87" i="1" s="1"/>
  <c r="AM87" i="1"/>
  <c r="AP87" i="1" s="1"/>
  <c r="AS87" i="1" s="1"/>
  <c r="AV87" i="1" s="1"/>
  <c r="AS85" i="1"/>
  <c r="AV85" i="1" s="1"/>
  <c r="AY85" i="1" s="1"/>
  <c r="BB85" i="1" s="1"/>
  <c r="AM85" i="1"/>
  <c r="AP85" i="1" s="1"/>
  <c r="AM84" i="1"/>
  <c r="AP84" i="1" s="1"/>
  <c r="AS84" i="1" s="1"/>
  <c r="AV84" i="1" s="1"/>
  <c r="AY84" i="1" s="1"/>
  <c r="BB84" i="1" s="1"/>
  <c r="D84" i="1"/>
  <c r="D88" i="1" s="1" a="1"/>
  <c r="D88" i="1" s="1"/>
  <c r="D84" i="1" a="1"/>
  <c r="AM82" i="1"/>
  <c r="AP82" i="1" s="1"/>
  <c r="AS82" i="1" s="1"/>
  <c r="AV82" i="1" s="1"/>
  <c r="AY82" i="1" s="1"/>
  <c r="BB82" i="1" s="1"/>
  <c r="AM81" i="1"/>
  <c r="AP81" i="1" s="1"/>
  <c r="AS81" i="1" s="1"/>
  <c r="AV81" i="1" s="1"/>
  <c r="AY81" i="1" s="1"/>
  <c r="BB81" i="1" s="1"/>
  <c r="AM79" i="1"/>
  <c r="AP79" i="1" s="1"/>
  <c r="AS79" i="1" s="1"/>
  <c r="AV79" i="1" s="1"/>
  <c r="AY79" i="1" s="1"/>
  <c r="BB79" i="1" s="1"/>
  <c r="AM78" i="1"/>
  <c r="AP78" i="1" s="1"/>
  <c r="AS78" i="1" s="1"/>
  <c r="AV78" i="1" s="1"/>
  <c r="AY78" i="1" s="1"/>
  <c r="BB78" i="1" s="1"/>
  <c r="D78" i="1"/>
  <c r="D78" i="1" a="1"/>
  <c r="AM76" i="1"/>
  <c r="AP76" i="1" s="1"/>
  <c r="AS76" i="1" s="1"/>
  <c r="AV76" i="1" s="1"/>
  <c r="AY76" i="1" s="1"/>
  <c r="BB76" i="1" s="1"/>
  <c r="AY75" i="1"/>
  <c r="BB75" i="1" s="1"/>
  <c r="AM75" i="1"/>
  <c r="AP75" i="1" s="1"/>
  <c r="AS75" i="1" s="1"/>
  <c r="AV75" i="1" s="1"/>
  <c r="AS73" i="1"/>
  <c r="AV73" i="1" s="1"/>
  <c r="AY73" i="1" s="1"/>
  <c r="BB73" i="1" s="1"/>
  <c r="AM73" i="1"/>
  <c r="AP73" i="1" s="1"/>
  <c r="AM72" i="1"/>
  <c r="AP72" i="1" s="1"/>
  <c r="AS72" i="1" s="1"/>
  <c r="AV72" i="1" s="1"/>
  <c r="AY72" i="1" s="1"/>
  <c r="BB72" i="1" s="1"/>
  <c r="D72" i="1"/>
  <c r="D72" i="1" a="1"/>
  <c r="AM70" i="1"/>
  <c r="AP70" i="1" s="1"/>
  <c r="AS70" i="1" s="1"/>
  <c r="AV70" i="1" s="1"/>
  <c r="AY70" i="1" s="1"/>
  <c r="BB70" i="1" s="1"/>
  <c r="AM69" i="1"/>
  <c r="AP69" i="1" s="1"/>
  <c r="AS69" i="1" s="1"/>
  <c r="AV69" i="1" s="1"/>
  <c r="AY69" i="1" s="1"/>
  <c r="BB69" i="1" s="1"/>
  <c r="AM67" i="1"/>
  <c r="AP67" i="1" s="1"/>
  <c r="AS67" i="1" s="1"/>
  <c r="AV67" i="1" s="1"/>
  <c r="AY67" i="1" s="1"/>
  <c r="BB67" i="1" s="1"/>
  <c r="AM66" i="1"/>
  <c r="AP66" i="1" s="1"/>
  <c r="AS66" i="1" s="1"/>
  <c r="AV66" i="1" s="1"/>
  <c r="AY66" i="1" s="1"/>
  <c r="BB66" i="1" s="1"/>
  <c r="D66" i="1"/>
  <c r="D66" i="1" a="1"/>
  <c r="AM64" i="1"/>
  <c r="AP64" i="1" s="1"/>
  <c r="AS64" i="1" s="1"/>
  <c r="AV64" i="1" s="1"/>
  <c r="AY64" i="1" s="1"/>
  <c r="BB64" i="1" s="1"/>
  <c r="D64" i="1" a="1"/>
  <c r="D64" i="1" s="1"/>
  <c r="AY63" i="1"/>
  <c r="BB63" i="1" s="1"/>
  <c r="AM63" i="1"/>
  <c r="AP63" i="1" s="1"/>
  <c r="AS63" i="1" s="1"/>
  <c r="AV63" i="1" s="1"/>
  <c r="AM61" i="1"/>
  <c r="AP61" i="1" s="1"/>
  <c r="AS61" i="1" s="1"/>
  <c r="AV61" i="1" s="1"/>
  <c r="AY61" i="1" s="1"/>
  <c r="BB61" i="1" s="1"/>
  <c r="AP60" i="1"/>
  <c r="AS60" i="1" s="1"/>
  <c r="AV60" i="1" s="1"/>
  <c r="AY60" i="1" s="1"/>
  <c r="BB60" i="1" s="1"/>
  <c r="AM60" i="1"/>
  <c r="D60" i="1" a="1"/>
  <c r="D60" i="1" s="1"/>
  <c r="AM58" i="1"/>
  <c r="AP58" i="1" s="1"/>
  <c r="AS58" i="1" s="1"/>
  <c r="AV58" i="1" s="1"/>
  <c r="AY58" i="1" s="1"/>
  <c r="BB58" i="1" s="1"/>
  <c r="AM57" i="1"/>
  <c r="AP57" i="1" s="1"/>
  <c r="AS57" i="1" s="1"/>
  <c r="AV57" i="1" s="1"/>
  <c r="AY57" i="1" s="1"/>
  <c r="BB57" i="1" s="1"/>
  <c r="AM55" i="1"/>
  <c r="AP55" i="1" s="1"/>
  <c r="AS55" i="1" s="1"/>
  <c r="AV55" i="1" s="1"/>
  <c r="AY55" i="1" s="1"/>
  <c r="BB55" i="1" s="1"/>
  <c r="AM54" i="1"/>
  <c r="AP54" i="1" s="1"/>
  <c r="AS54" i="1" s="1"/>
  <c r="AV54" i="1" s="1"/>
  <c r="AY54" i="1" s="1"/>
  <c r="BB54" i="1" s="1"/>
  <c r="D54" i="1" a="1"/>
  <c r="D54" i="1" s="1"/>
  <c r="BE52" i="1" a="1"/>
  <c r="BE52" i="1" s="1"/>
  <c r="AM52" i="1"/>
  <c r="AP52" i="1" s="1"/>
  <c r="AS52" i="1" s="1"/>
  <c r="AV52" i="1" s="1"/>
  <c r="AY52" i="1" s="1"/>
  <c r="BB52" i="1" s="1"/>
  <c r="AM51" i="1"/>
  <c r="AP51" i="1" s="1"/>
  <c r="AS51" i="1" s="1"/>
  <c r="AV51" i="1" s="1"/>
  <c r="AY51" i="1" s="1"/>
  <c r="BB51" i="1" s="1"/>
  <c r="AM49" i="1"/>
  <c r="AP49" i="1" s="1"/>
  <c r="AS49" i="1" s="1"/>
  <c r="AV49" i="1" s="1"/>
  <c r="AY49" i="1" s="1"/>
  <c r="BB49" i="1" s="1"/>
  <c r="AM48" i="1"/>
  <c r="AP48" i="1" s="1"/>
  <c r="AS48" i="1" s="1"/>
  <c r="AV48" i="1" s="1"/>
  <c r="AY48" i="1" s="1"/>
  <c r="BB48" i="1" s="1"/>
  <c r="D48" i="1" a="1"/>
  <c r="D48" i="1" s="1"/>
  <c r="D51" i="1" s="1" a="1"/>
  <c r="D51" i="1" s="1"/>
  <c r="AM46" i="1"/>
  <c r="AP46" i="1" s="1"/>
  <c r="AS46" i="1" s="1"/>
  <c r="AV46" i="1" s="1"/>
  <c r="AY46" i="1" s="1"/>
  <c r="BB46" i="1" s="1"/>
  <c r="AM45" i="1"/>
  <c r="AP45" i="1" s="1"/>
  <c r="AS45" i="1" s="1"/>
  <c r="AV45" i="1" s="1"/>
  <c r="AY45" i="1" s="1"/>
  <c r="BB45" i="1" s="1"/>
  <c r="AM43" i="1"/>
  <c r="AP43" i="1" s="1"/>
  <c r="AS43" i="1" s="1"/>
  <c r="AV43" i="1" s="1"/>
  <c r="AY43" i="1" s="1"/>
  <c r="BB43" i="1" s="1"/>
  <c r="AM42" i="1"/>
  <c r="AP42" i="1" s="1"/>
  <c r="AS42" i="1" s="1"/>
  <c r="AV42" i="1" s="1"/>
  <c r="AY42" i="1" s="1"/>
  <c r="BB42" i="1" s="1"/>
  <c r="D42" i="1" a="1"/>
  <c r="D42" i="1" s="1"/>
  <c r="BE40" i="1" a="1"/>
  <c r="BE40" i="1" s="1"/>
  <c r="AM40" i="1"/>
  <c r="AP40" i="1" s="1"/>
  <c r="AS40" i="1" s="1"/>
  <c r="AV40" i="1" s="1"/>
  <c r="AY40" i="1" s="1"/>
  <c r="BB40" i="1" s="1"/>
  <c r="AM39" i="1"/>
  <c r="AP39" i="1" s="1"/>
  <c r="AS39" i="1" s="1"/>
  <c r="AV39" i="1" s="1"/>
  <c r="AY39" i="1" s="1"/>
  <c r="BB39" i="1" s="1"/>
  <c r="AM37" i="1"/>
  <c r="AP37" i="1" s="1"/>
  <c r="AS37" i="1" s="1"/>
  <c r="AV37" i="1" s="1"/>
  <c r="AY37" i="1" s="1"/>
  <c r="BB37" i="1" s="1"/>
  <c r="AM36" i="1"/>
  <c r="AP36" i="1" s="1"/>
  <c r="AS36" i="1" s="1"/>
  <c r="AV36" i="1" s="1"/>
  <c r="AY36" i="1" s="1"/>
  <c r="BB36" i="1" s="1"/>
  <c r="D36" i="1" a="1"/>
  <c r="D36" i="1" s="1"/>
  <c r="D39" i="1" s="1" a="1"/>
  <c r="D39" i="1" s="1"/>
  <c r="AM34" i="1"/>
  <c r="AP34" i="1" s="1"/>
  <c r="AS34" i="1" s="1"/>
  <c r="AV34" i="1" s="1"/>
  <c r="AY34" i="1" s="1"/>
  <c r="BB34" i="1" s="1"/>
  <c r="BE33" i="1" a="1"/>
  <c r="BE33" i="1" s="1"/>
  <c r="BG30" i="1" s="1"/>
  <c r="AM33" i="1"/>
  <c r="AP33" i="1" s="1"/>
  <c r="AS33" i="1" s="1"/>
  <c r="AV33" i="1" s="1"/>
  <c r="AY33" i="1" s="1"/>
  <c r="BB33" i="1" s="1"/>
  <c r="D32" i="1" a="1"/>
  <c r="D32" i="1" s="1"/>
  <c r="BD34" i="1" s="1"/>
  <c r="AM31" i="1"/>
  <c r="AP31" i="1" s="1"/>
  <c r="AS31" i="1" s="1"/>
  <c r="AV31" i="1" s="1"/>
  <c r="AY31" i="1" s="1"/>
  <c r="BB31" i="1" s="1"/>
  <c r="D31" i="1" a="1"/>
  <c r="D31" i="1" s="1"/>
  <c r="BP30" i="1" a="1"/>
  <c r="BP30" i="1" s="1"/>
  <c r="AM30" i="1"/>
  <c r="AP30" i="1" s="1"/>
  <c r="AS30" i="1" s="1"/>
  <c r="AV30" i="1" s="1"/>
  <c r="AY30" i="1" s="1"/>
  <c r="BB30" i="1" s="1"/>
  <c r="AK30" i="1" a="1"/>
  <c r="AK30" i="1" s="1"/>
  <c r="AB30" i="1"/>
  <c r="G30" i="1" a="1"/>
  <c r="G30" i="1" s="1"/>
  <c r="D30" i="1" a="1"/>
  <c r="D30" i="1" s="1"/>
  <c r="C30" i="1"/>
  <c r="AM28" i="1"/>
  <c r="AP28" i="1" s="1"/>
  <c r="AS28" i="1" s="1"/>
  <c r="AV28" i="1" s="1"/>
  <c r="AY28" i="1" s="1"/>
  <c r="BB28" i="1" s="1"/>
  <c r="AM27" i="1"/>
  <c r="AP27" i="1" s="1"/>
  <c r="AS27" i="1" s="1"/>
  <c r="AV27" i="1" s="1"/>
  <c r="AY27" i="1" s="1"/>
  <c r="BB27" i="1" s="1"/>
  <c r="AM25" i="1"/>
  <c r="AP25" i="1" s="1"/>
  <c r="AS25" i="1" s="1"/>
  <c r="AV25" i="1" s="1"/>
  <c r="AY25" i="1" s="1"/>
  <c r="BB25" i="1" s="1"/>
  <c r="AM24" i="1"/>
  <c r="AP24" i="1" s="1"/>
  <c r="AS24" i="1" s="1"/>
  <c r="AV24" i="1" s="1"/>
  <c r="AY24" i="1" s="1"/>
  <c r="BB24" i="1" s="1"/>
  <c r="D24" i="1" a="1"/>
  <c r="D24" i="1" s="1"/>
  <c r="AM22" i="1"/>
  <c r="AP22" i="1" s="1"/>
  <c r="AS22" i="1" s="1"/>
  <c r="AV22" i="1" s="1"/>
  <c r="AY22" i="1" s="1"/>
  <c r="BB22" i="1" s="1"/>
  <c r="AM21" i="1"/>
  <c r="AP21" i="1" s="1"/>
  <c r="AS21" i="1" s="1"/>
  <c r="AV21" i="1" s="1"/>
  <c r="AY21" i="1" s="1"/>
  <c r="BB21" i="1" s="1"/>
  <c r="AM19" i="1"/>
  <c r="AP19" i="1" s="1"/>
  <c r="AS19" i="1" s="1"/>
  <c r="AV19" i="1" s="1"/>
  <c r="AY19" i="1" s="1"/>
  <c r="BB19" i="1" s="1"/>
  <c r="AM18" i="1"/>
  <c r="AP18" i="1" s="1"/>
  <c r="AS18" i="1" s="1"/>
  <c r="AV18" i="1" s="1"/>
  <c r="AY18" i="1" s="1"/>
  <c r="BB18" i="1" s="1"/>
  <c r="D18" i="1" a="1"/>
  <c r="D18" i="1" s="1"/>
  <c r="AM16" i="1"/>
  <c r="AP16" i="1" s="1"/>
  <c r="AS16" i="1" s="1"/>
  <c r="AV16" i="1" s="1"/>
  <c r="AY16" i="1" s="1"/>
  <c r="BB16" i="1" s="1"/>
  <c r="AM15" i="1"/>
  <c r="AP15" i="1" s="1"/>
  <c r="AS15" i="1" s="1"/>
  <c r="AV15" i="1" s="1"/>
  <c r="AY15" i="1" s="1"/>
  <c r="BB15" i="1" s="1"/>
  <c r="AM13" i="1"/>
  <c r="AP13" i="1" s="1"/>
  <c r="AS13" i="1" s="1"/>
  <c r="AV13" i="1" s="1"/>
  <c r="AY13" i="1" s="1"/>
  <c r="BB13" i="1" s="1"/>
  <c r="AM12" i="1"/>
  <c r="AP12" i="1" s="1"/>
  <c r="AS12" i="1" s="1"/>
  <c r="AV12" i="1" s="1"/>
  <c r="AY12" i="1" s="1"/>
  <c r="BB12" i="1" s="1"/>
  <c r="D12" i="1" a="1"/>
  <c r="D12" i="1" s="1"/>
  <c r="CS10" i="1"/>
  <c r="CR10" i="1"/>
  <c r="AM10" i="1"/>
  <c r="AP10" i="1" s="1"/>
  <c r="AS10" i="1" s="1"/>
  <c r="AV10" i="1" s="1"/>
  <c r="AY10" i="1" s="1"/>
  <c r="BB10" i="1" s="1"/>
  <c r="CS9" i="1"/>
  <c r="CR9" i="1"/>
  <c r="AM9" i="1"/>
  <c r="AP9" i="1" s="1"/>
  <c r="AS9" i="1" s="1"/>
  <c r="AV9" i="1" s="1"/>
  <c r="AY9" i="1" s="1"/>
  <c r="BB9" i="1" s="1"/>
  <c r="CS7" i="1"/>
  <c r="CR7" i="1"/>
  <c r="AM7" i="1"/>
  <c r="AP7" i="1" s="1"/>
  <c r="AS7" i="1" s="1"/>
  <c r="AV7" i="1" s="1"/>
  <c r="AY7" i="1" s="1"/>
  <c r="BB7" i="1" s="1"/>
  <c r="CS6" i="1"/>
  <c r="CR6" i="1"/>
  <c r="AM6" i="1"/>
  <c r="AP6" i="1" s="1"/>
  <c r="AS6" i="1" s="1"/>
  <c r="AV6" i="1" s="1"/>
  <c r="AY6" i="1" s="1"/>
  <c r="BB6" i="1" s="1"/>
  <c r="D6" i="1" a="1"/>
  <c r="D6" i="1" s="1"/>
  <c r="D22" i="1" l="1" a="1"/>
  <c r="D22" i="1" s="1"/>
  <c r="BE22" i="1" a="1"/>
  <c r="BE22" i="1" s="1"/>
  <c r="D20" i="1" a="1"/>
  <c r="D20" i="1" s="1"/>
  <c r="B22" i="1" s="1"/>
  <c r="D19" i="1" a="1"/>
  <c r="D19" i="1" s="1"/>
  <c r="BE21" i="1" a="1"/>
  <c r="BE21" i="1" s="1"/>
  <c r="D21" i="1" a="1"/>
  <c r="D21" i="1" s="1"/>
  <c r="F20" i="1" a="1"/>
  <c r="F20" i="1" s="1"/>
  <c r="D28" i="1" a="1"/>
  <c r="D28" i="1" s="1"/>
  <c r="BE28" i="1" a="1"/>
  <c r="BE28" i="1" s="1"/>
  <c r="D26" i="1" a="1"/>
  <c r="D26" i="1" s="1"/>
  <c r="B27" i="1" s="1"/>
  <c r="D25" i="1" a="1"/>
  <c r="D25" i="1" s="1"/>
  <c r="BE27" i="1" a="1"/>
  <c r="BE27" i="1" s="1"/>
  <c r="D27" i="1" a="1"/>
  <c r="D27" i="1" s="1"/>
  <c r="F26" i="1" a="1"/>
  <c r="F26" i="1" s="1"/>
  <c r="B10" i="1"/>
  <c r="D8" i="1" a="1"/>
  <c r="D8" i="1" s="1"/>
  <c r="B7" i="1"/>
  <c r="D7" i="1" a="1"/>
  <c r="D7" i="1" s="1"/>
  <c r="D10" i="1" a="1"/>
  <c r="D10" i="1" s="1"/>
  <c r="BE9" i="1" a="1"/>
  <c r="BE9" i="1" s="1"/>
  <c r="D9" i="1" a="1"/>
  <c r="D9" i="1" s="1"/>
  <c r="F8" i="1" a="1"/>
  <c r="F8" i="1" s="1"/>
  <c r="BE10" i="1" a="1"/>
  <c r="BE10" i="1" s="1"/>
  <c r="B8" i="1"/>
  <c r="B6" i="1"/>
  <c r="D16" i="1" a="1"/>
  <c r="D16" i="1" s="1"/>
  <c r="BE16" i="1" a="1"/>
  <c r="BE16" i="1" s="1"/>
  <c r="D14" i="1" a="1"/>
  <c r="D14" i="1" s="1"/>
  <c r="B15" i="1" s="1"/>
  <c r="D13" i="1" a="1"/>
  <c r="D13" i="1" s="1"/>
  <c r="BE15" i="1" a="1"/>
  <c r="BE15" i="1" s="1"/>
  <c r="D15" i="1" a="1"/>
  <c r="D15" i="1" s="1"/>
  <c r="F14" i="1" a="1"/>
  <c r="F14" i="1" s="1"/>
  <c r="L31" i="1"/>
  <c r="AE31" i="1"/>
  <c r="BF31" i="1"/>
  <c r="AK34" i="1" a="1"/>
  <c r="AK34" i="1" s="1"/>
  <c r="B44" i="1"/>
  <c r="B42" i="1"/>
  <c r="D46" i="1" a="1"/>
  <c r="D46" i="1" s="1"/>
  <c r="B45" i="1"/>
  <c r="D44" i="1" a="1"/>
  <c r="D44" i="1" s="1"/>
  <c r="B46" i="1"/>
  <c r="B56" i="1"/>
  <c r="B55" i="1"/>
  <c r="D58" i="1" a="1"/>
  <c r="D58" i="1" s="1"/>
  <c r="B57" i="1"/>
  <c r="BE58" i="1" a="1"/>
  <c r="BE58" i="1" s="1"/>
  <c r="D56" i="1" a="1"/>
  <c r="D56" i="1" s="1"/>
  <c r="D55" i="1" a="1"/>
  <c r="D55" i="1" s="1"/>
  <c r="BE76" i="1" a="1"/>
  <c r="BE76" i="1" s="1"/>
  <c r="D74" i="1" a="1"/>
  <c r="D74" i="1" s="1"/>
  <c r="B75" i="1" s="1"/>
  <c r="D73" i="1" a="1"/>
  <c r="D73" i="1" s="1"/>
  <c r="BE75" i="1" a="1"/>
  <c r="BE75" i="1" s="1"/>
  <c r="D75" i="1" a="1"/>
  <c r="D75" i="1" s="1"/>
  <c r="F74" i="1" a="1"/>
  <c r="F74" i="1" s="1"/>
  <c r="B73" i="1"/>
  <c r="B72" i="1"/>
  <c r="B32" i="1"/>
  <c r="D34" i="1" a="1"/>
  <c r="D34" i="1" s="1"/>
  <c r="B33" i="1"/>
  <c r="H30" i="1"/>
  <c r="AC30" i="1"/>
  <c r="BI30" i="1"/>
  <c r="F31" i="1"/>
  <c r="M31" i="1"/>
  <c r="AF31" i="1"/>
  <c r="BO31" i="1"/>
  <c r="F32" i="1" a="1"/>
  <c r="F32" i="1" s="1"/>
  <c r="G33" i="1" a="1"/>
  <c r="G33" i="1" s="1"/>
  <c r="AE33" i="1"/>
  <c r="C34" i="1"/>
  <c r="M34" i="1"/>
  <c r="D37" i="1" a="1"/>
  <c r="D37" i="1" s="1"/>
  <c r="F44" i="1" a="1"/>
  <c r="F44" i="1" s="1"/>
  <c r="D49" i="1" a="1"/>
  <c r="D49" i="1" s="1"/>
  <c r="B58" i="1"/>
  <c r="BJ34" i="1"/>
  <c r="AJ34" i="1"/>
  <c r="AB34" i="1"/>
  <c r="H34" i="1"/>
  <c r="BJ33" i="1"/>
  <c r="BD33" i="1"/>
  <c r="AK33" i="1" a="1"/>
  <c r="AK33" i="1" s="1"/>
  <c r="AL33" i="1" s="1"/>
  <c r="AC33" i="1"/>
  <c r="L33" i="1"/>
  <c r="F33" i="1"/>
  <c r="C33" i="1"/>
  <c r="E32" i="1"/>
  <c r="BJ31" i="1"/>
  <c r="BD31" i="1"/>
  <c r="AK31" i="1" a="1"/>
  <c r="AK31" i="1" s="1"/>
  <c r="AL34" i="1"/>
  <c r="AF34" i="1"/>
  <c r="AA34" i="1"/>
  <c r="BP33" i="1" a="1"/>
  <c r="BP33" i="1" s="1"/>
  <c r="BI33" i="1"/>
  <c r="AJ33" i="1"/>
  <c r="AB33" i="1"/>
  <c r="H33" i="1"/>
  <c r="E33" i="1"/>
  <c r="BG31" i="1"/>
  <c r="AJ31" i="1"/>
  <c r="AB31" i="1"/>
  <c r="H31" i="1"/>
  <c r="BN30" i="1"/>
  <c r="BF30" i="1"/>
  <c r="AL30" i="1"/>
  <c r="AF30" i="1"/>
  <c r="AA30" i="1"/>
  <c r="AA33" i="1"/>
  <c r="B34" i="1"/>
  <c r="BE45" i="1" a="1"/>
  <c r="BE45" i="1" s="1"/>
  <c r="D57" i="1" a="1"/>
  <c r="D57" i="1" s="1"/>
  <c r="D184" i="1" a="1"/>
  <c r="D184" i="1" s="1"/>
  <c r="B183" i="1"/>
  <c r="BE184" i="1" a="1"/>
  <c r="BE184" i="1" s="1"/>
  <c r="D182" i="1" a="1"/>
  <c r="D182" i="1" s="1"/>
  <c r="D181" i="1" a="1"/>
  <c r="D181" i="1" s="1"/>
  <c r="B184" i="1"/>
  <c r="BE183" i="1" a="1"/>
  <c r="BE183" i="1" s="1"/>
  <c r="D183" i="1" a="1"/>
  <c r="D183" i="1" s="1"/>
  <c r="F182" i="1" a="1"/>
  <c r="F182" i="1" s="1"/>
  <c r="B182" i="1"/>
  <c r="B181" i="1"/>
  <c r="B180" i="1"/>
  <c r="E30" i="1"/>
  <c r="L30" i="1"/>
  <c r="AE30" i="1"/>
  <c r="BD30" i="1"/>
  <c r="BJ30" i="1"/>
  <c r="B31" i="1"/>
  <c r="G31" i="1" a="1"/>
  <c r="G31" i="1" s="1"/>
  <c r="AA31" i="1"/>
  <c r="BP31" i="1" a="1"/>
  <c r="BP31" i="1" s="1"/>
  <c r="AF33" i="1"/>
  <c r="BN33" i="1"/>
  <c r="F34" i="1"/>
  <c r="AC34" i="1"/>
  <c r="BE34" i="1" a="1"/>
  <c r="BE34" i="1" s="1"/>
  <c r="CU30" i="1" s="1"/>
  <c r="D40" i="1" a="1"/>
  <c r="D40" i="1" s="1"/>
  <c r="D38" i="1" a="1"/>
  <c r="D38" i="1" s="1"/>
  <c r="B36" i="1" s="1"/>
  <c r="BE39" i="1" a="1"/>
  <c r="BE39" i="1" s="1"/>
  <c r="B40" i="1"/>
  <c r="BE46" i="1" a="1"/>
  <c r="BE46" i="1" s="1"/>
  <c r="B50" i="1"/>
  <c r="B48" i="1"/>
  <c r="D52" i="1" a="1"/>
  <c r="D52" i="1" s="1"/>
  <c r="B51" i="1"/>
  <c r="D50" i="1" a="1"/>
  <c r="D50" i="1" s="1"/>
  <c r="BE51" i="1" a="1"/>
  <c r="BE51" i="1" s="1"/>
  <c r="B52" i="1"/>
  <c r="L34" i="1"/>
  <c r="BP34" i="1" a="1"/>
  <c r="BP34" i="1" s="1"/>
  <c r="AZ64" i="1" a="1"/>
  <c r="AZ64" i="1" s="1"/>
  <c r="AN64" i="1" a="1"/>
  <c r="AN64" i="1" s="1"/>
  <c r="AQ63" i="1" a="1"/>
  <c r="AQ63" i="1" s="1"/>
  <c r="AT61" i="1" a="1"/>
  <c r="AT61" i="1" s="1"/>
  <c r="AN60" i="1" a="1"/>
  <c r="AN60" i="1" s="1"/>
  <c r="D76" i="1" a="1"/>
  <c r="D76" i="1" s="1"/>
  <c r="BE88" i="1" a="1"/>
  <c r="BE88" i="1" s="1"/>
  <c r="D86" i="1" a="1"/>
  <c r="D86" i="1" s="1"/>
  <c r="D85" i="1" a="1"/>
  <c r="D85" i="1" s="1"/>
  <c r="BE87" i="1" a="1"/>
  <c r="BE87" i="1" s="1"/>
  <c r="D87" i="1" a="1"/>
  <c r="D87" i="1" s="1"/>
  <c r="F86" i="1" a="1"/>
  <c r="F86" i="1" s="1"/>
  <c r="B30" i="1"/>
  <c r="F30" i="1"/>
  <c r="M30" i="1"/>
  <c r="AJ30" i="1"/>
  <c r="BE30" i="1"/>
  <c r="BO30" i="1"/>
  <c r="C31" i="1"/>
  <c r="AC31" i="1"/>
  <c r="AL31" i="1"/>
  <c r="BE31" i="1"/>
  <c r="C32" i="1"/>
  <c r="D33" i="1" a="1"/>
  <c r="D33" i="1" s="1"/>
  <c r="M33" i="1"/>
  <c r="BO33" i="1"/>
  <c r="G34" i="1" a="1"/>
  <c r="G34" i="1" s="1"/>
  <c r="AE34" i="1"/>
  <c r="BO34" i="1"/>
  <c r="F38" i="1" a="1"/>
  <c r="F38" i="1" s="1"/>
  <c r="D43" i="1" a="1"/>
  <c r="D43" i="1" s="1"/>
  <c r="D45" i="1" a="1"/>
  <c r="D45" i="1" s="1"/>
  <c r="F50" i="1" a="1"/>
  <c r="F50" i="1" s="1"/>
  <c r="F56" i="1" a="1"/>
  <c r="F56" i="1" s="1"/>
  <c r="BE57" i="1" a="1"/>
  <c r="BE57" i="1" s="1"/>
  <c r="BE64" i="1" a="1"/>
  <c r="BE64" i="1" s="1"/>
  <c r="D62" i="1" a="1"/>
  <c r="D62" i="1" s="1"/>
  <c r="AT64" i="1" s="1" a="1"/>
  <c r="AT64" i="1" s="1"/>
  <c r="D61" i="1" a="1"/>
  <c r="D61" i="1" s="1"/>
  <c r="BE63" i="1" a="1"/>
  <c r="BE63" i="1" s="1"/>
  <c r="D63" i="1" a="1"/>
  <c r="D63" i="1" s="1"/>
  <c r="B62" i="1"/>
  <c r="B63" i="1"/>
  <c r="B60" i="1"/>
  <c r="F62" i="1" a="1"/>
  <c r="F62" i="1" s="1"/>
  <c r="AL94" i="1"/>
  <c r="AF94" i="1"/>
  <c r="AA94" i="1"/>
  <c r="BP93" i="1" a="1"/>
  <c r="BP93" i="1" s="1"/>
  <c r="BI93" i="1"/>
  <c r="AJ93" i="1"/>
  <c r="AB93" i="1"/>
  <c r="H93" i="1"/>
  <c r="E93" i="1"/>
  <c r="BG91" i="1"/>
  <c r="AJ91" i="1"/>
  <c r="AB91" i="1"/>
  <c r="H91" i="1"/>
  <c r="BN90" i="1"/>
  <c r="BF90" i="1"/>
  <c r="AF90" i="1"/>
  <c r="AA90" i="1"/>
  <c r="BP94" i="1" a="1"/>
  <c r="BP94" i="1" s="1"/>
  <c r="AE94" i="1"/>
  <c r="M94" i="1"/>
  <c r="G94" i="1" a="1"/>
  <c r="G94" i="1" s="1"/>
  <c r="C94" i="1"/>
  <c r="BO93" i="1"/>
  <c r="BO94" i="1"/>
  <c r="BD94" i="1"/>
  <c r="AK94" i="1" a="1"/>
  <c r="AK94" i="1" s="1"/>
  <c r="AC94" i="1"/>
  <c r="L94" i="1"/>
  <c r="F94" i="1"/>
  <c r="BN93" i="1"/>
  <c r="AE93" i="1"/>
  <c r="M93" i="1"/>
  <c r="G93" i="1" a="1"/>
  <c r="G93" i="1" s="1"/>
  <c r="C92" i="1"/>
  <c r="BO91" i="1"/>
  <c r="AE91" i="1"/>
  <c r="M91" i="1"/>
  <c r="G91" i="1" a="1"/>
  <c r="G91" i="1" s="1"/>
  <c r="C91" i="1"/>
  <c r="BP90" i="1" a="1"/>
  <c r="BP90" i="1" s="1"/>
  <c r="BI90" i="1"/>
  <c r="BD90" i="1"/>
  <c r="AK90" i="1" a="1"/>
  <c r="AK90" i="1" s="1"/>
  <c r="AL90" i="1" s="1"/>
  <c r="BJ94" i="1"/>
  <c r="AB94" i="1"/>
  <c r="BJ93" i="1"/>
  <c r="AK93" i="1" a="1"/>
  <c r="AK93" i="1" s="1"/>
  <c r="L93" i="1"/>
  <c r="C93" i="1"/>
  <c r="BD91" i="1"/>
  <c r="AA91" i="1"/>
  <c r="BJ90" i="1"/>
  <c r="AE90" i="1"/>
  <c r="L90" i="1"/>
  <c r="E90" i="1"/>
  <c r="H94" i="1"/>
  <c r="BD93" i="1"/>
  <c r="AF93" i="1"/>
  <c r="BP91" i="1" a="1"/>
  <c r="BP91" i="1" s="1"/>
  <c r="AK91" i="1" a="1"/>
  <c r="AK91" i="1" s="1"/>
  <c r="AL91" i="1" s="1"/>
  <c r="L91" i="1"/>
  <c r="AC90" i="1"/>
  <c r="H90" i="1"/>
  <c r="AC93" i="1"/>
  <c r="F93" i="1"/>
  <c r="E92" i="1"/>
  <c r="BJ91" i="1"/>
  <c r="AF91" i="1"/>
  <c r="AB90" i="1"/>
  <c r="G90" i="1" a="1"/>
  <c r="G90" i="1" s="1"/>
  <c r="C90" i="1"/>
  <c r="AL93" i="1"/>
  <c r="BF91" i="1"/>
  <c r="AC91" i="1"/>
  <c r="M90" i="1"/>
  <c r="AA93" i="1"/>
  <c r="F91" i="1"/>
  <c r="F90" i="1"/>
  <c r="BO90" i="1"/>
  <c r="BE70" i="1" a="1"/>
  <c r="BE70" i="1" s="1"/>
  <c r="D68" i="1" a="1"/>
  <c r="D68" i="1" s="1"/>
  <c r="D67" i="1" a="1"/>
  <c r="D67" i="1" s="1"/>
  <c r="B70" i="1"/>
  <c r="BE69" i="1" a="1"/>
  <c r="BE69" i="1" s="1"/>
  <c r="D69" i="1" a="1"/>
  <c r="D69" i="1" s="1"/>
  <c r="F68" i="1" a="1"/>
  <c r="F68" i="1" s="1"/>
  <c r="B68" i="1"/>
  <c r="B67" i="1"/>
  <c r="B66" i="1"/>
  <c r="D70" i="1" a="1"/>
  <c r="D70" i="1" s="1"/>
  <c r="BE82" i="1" a="1"/>
  <c r="BE82" i="1" s="1"/>
  <c r="D80" i="1" a="1"/>
  <c r="D80" i="1" s="1"/>
  <c r="B82" i="1" s="1"/>
  <c r="D79" i="1" a="1"/>
  <c r="D79" i="1" s="1"/>
  <c r="BE81" i="1" a="1"/>
  <c r="BE81" i="1" s="1"/>
  <c r="D81" i="1" a="1"/>
  <c r="D81" i="1" s="1"/>
  <c r="F80" i="1" a="1"/>
  <c r="F80" i="1" s="1"/>
  <c r="B79" i="1"/>
  <c r="B78" i="1"/>
  <c r="D82" i="1" a="1"/>
  <c r="D82" i="1" s="1"/>
  <c r="D100" i="1" a="1"/>
  <c r="D100" i="1" s="1"/>
  <c r="B99" i="1"/>
  <c r="BE100" i="1" a="1"/>
  <c r="BE100" i="1" s="1"/>
  <c r="D98" i="1" a="1"/>
  <c r="D98" i="1" s="1"/>
  <c r="D97" i="1" a="1"/>
  <c r="D97" i="1" s="1"/>
  <c r="B100" i="1"/>
  <c r="BE99" i="1" a="1"/>
  <c r="BE99" i="1" s="1"/>
  <c r="D99" i="1" a="1"/>
  <c r="D99" i="1" s="1"/>
  <c r="F98" i="1" a="1"/>
  <c r="F98" i="1" s="1"/>
  <c r="BE112" i="1" a="1"/>
  <c r="BE112" i="1" s="1"/>
  <c r="D111" i="1" a="1"/>
  <c r="D111" i="1" s="1"/>
  <c r="F110" i="1" a="1"/>
  <c r="F110" i="1" s="1"/>
  <c r="D109" i="1" a="1"/>
  <c r="D109" i="1" s="1"/>
  <c r="D112" i="1" a="1"/>
  <c r="D112" i="1" s="1"/>
  <c r="BE111" i="1" a="1"/>
  <c r="BE111" i="1" s="1"/>
  <c r="B109" i="1"/>
  <c r="D110" i="1" a="1"/>
  <c r="D110" i="1" s="1"/>
  <c r="B111" i="1" s="1"/>
  <c r="B124" i="1"/>
  <c r="D122" i="1" a="1"/>
  <c r="D122" i="1" s="1"/>
  <c r="BE123" i="1" a="1"/>
  <c r="BE123" i="1" s="1"/>
  <c r="B123" i="1"/>
  <c r="BE124" i="1" a="1"/>
  <c r="BE124" i="1" s="1"/>
  <c r="F122" i="1" a="1"/>
  <c r="F122" i="1" s="1"/>
  <c r="B122" i="1"/>
  <c r="D121" i="1" a="1"/>
  <c r="D121" i="1" s="1"/>
  <c r="D124" i="1" a="1"/>
  <c r="D124" i="1" s="1"/>
  <c r="D123" i="1" a="1"/>
  <c r="D123" i="1" s="1"/>
  <c r="B121" i="1"/>
  <c r="AF133" i="1"/>
  <c r="BJ133" i="1"/>
  <c r="D94" i="1" a="1"/>
  <c r="D94" i="1" s="1"/>
  <c r="B93" i="1"/>
  <c r="BE94" i="1" a="1"/>
  <c r="BE94" i="1" s="1"/>
  <c r="CU90" i="1" s="1"/>
  <c r="B94" i="1"/>
  <c r="BE93" i="1" a="1"/>
  <c r="BE93" i="1" s="1"/>
  <c r="BE91" i="1" s="1"/>
  <c r="D93" i="1" a="1"/>
  <c r="D93" i="1" s="1"/>
  <c r="F92" i="1" a="1"/>
  <c r="F92" i="1" s="1"/>
  <c r="B91" i="1"/>
  <c r="BJ136" i="1"/>
  <c r="AE136" i="1"/>
  <c r="M136" i="1"/>
  <c r="G136" i="1" a="1"/>
  <c r="G136" i="1" s="1"/>
  <c r="C136" i="1"/>
  <c r="BN135" i="1"/>
  <c r="AJ135" i="1"/>
  <c r="AB135" i="1"/>
  <c r="H135" i="1"/>
  <c r="E135" i="1"/>
  <c r="AK136" i="1" a="1"/>
  <c r="AK136" i="1" s="1"/>
  <c r="AB136" i="1"/>
  <c r="BP135" i="1" a="1"/>
  <c r="BP135" i="1" s="1"/>
  <c r="AF135" i="1"/>
  <c r="M135" i="1"/>
  <c r="F135" i="1"/>
  <c r="C134" i="1"/>
  <c r="BG133" i="1"/>
  <c r="AE133" i="1"/>
  <c r="M133" i="1"/>
  <c r="G133" i="1" a="1"/>
  <c r="G133" i="1" s="1"/>
  <c r="C133" i="1"/>
  <c r="BO132" i="1"/>
  <c r="AE132" i="1"/>
  <c r="M132" i="1"/>
  <c r="G132" i="1" a="1"/>
  <c r="G132" i="1" s="1"/>
  <c r="BP136" i="1" a="1"/>
  <c r="BP136" i="1" s="1"/>
  <c r="AF136" i="1"/>
  <c r="L136" i="1"/>
  <c r="BJ135" i="1"/>
  <c r="AC135" i="1"/>
  <c r="E134" i="1"/>
  <c r="BO133" i="1"/>
  <c r="AJ133" i="1"/>
  <c r="AB133" i="1"/>
  <c r="H133" i="1"/>
  <c r="BJ132" i="1"/>
  <c r="AJ132" i="1"/>
  <c r="AB132" i="1"/>
  <c r="H132" i="1"/>
  <c r="E132" i="1"/>
  <c r="BD136" i="1"/>
  <c r="AA136" i="1"/>
  <c r="BD135" i="1"/>
  <c r="AE135" i="1"/>
  <c r="B134" i="1"/>
  <c r="AC133" i="1"/>
  <c r="F133" i="1"/>
  <c r="BF132" i="1"/>
  <c r="AC132" i="1"/>
  <c r="F132" i="1"/>
  <c r="H136" i="1"/>
  <c r="AA135" i="1"/>
  <c r="C135" i="1"/>
  <c r="BD133" i="1"/>
  <c r="AA133" i="1"/>
  <c r="BP132" i="1" a="1"/>
  <c r="BP132" i="1" s="1"/>
  <c r="BD132" i="1"/>
  <c r="AA132" i="1"/>
  <c r="AJ136" i="1"/>
  <c r="F136" i="1"/>
  <c r="BO135" i="1"/>
  <c r="L135" i="1"/>
  <c r="BP133" i="1" a="1"/>
  <c r="BP133" i="1" s="1"/>
  <c r="AK133" i="1" a="1"/>
  <c r="AK133" i="1" s="1"/>
  <c r="L133" i="1"/>
  <c r="BN132" i="1"/>
  <c r="AK132" i="1" a="1"/>
  <c r="AK132" i="1" s="1"/>
  <c r="L132" i="1"/>
  <c r="AT136" i="1" a="1"/>
  <c r="AT136" i="1" s="1"/>
  <c r="AZ135" i="1" a="1"/>
  <c r="AZ135" i="1" s="1"/>
  <c r="AN135" i="1" a="1"/>
  <c r="AN135" i="1" s="1"/>
  <c r="AW136" i="1" a="1"/>
  <c r="AW136" i="1" s="1"/>
  <c r="AQ136" i="1" a="1"/>
  <c r="AQ136" i="1" s="1"/>
  <c r="AT135" i="1" a="1"/>
  <c r="AT135" i="1" s="1"/>
  <c r="AT133" i="1" a="1"/>
  <c r="AT133" i="1" s="1"/>
  <c r="AT132" i="1" a="1"/>
  <c r="AT132" i="1" s="1"/>
  <c r="AZ136" i="1" a="1"/>
  <c r="AZ136" i="1" s="1"/>
  <c r="AN136" i="1" a="1"/>
  <c r="AN136" i="1" s="1"/>
  <c r="AW135" i="1" a="1"/>
  <c r="AW135" i="1" s="1"/>
  <c r="AQ135" i="1" a="1"/>
  <c r="AQ135" i="1" s="1"/>
  <c r="AZ133" i="1" a="1"/>
  <c r="AZ133" i="1" s="1"/>
  <c r="AN133" i="1" a="1"/>
  <c r="AN133" i="1" s="1"/>
  <c r="AZ132" i="1" a="1"/>
  <c r="AZ132" i="1" s="1"/>
  <c r="AN132" i="1" a="1"/>
  <c r="AN132" i="1" s="1"/>
  <c r="AW133" i="1" a="1"/>
  <c r="AW133" i="1" s="1"/>
  <c r="AW132" i="1" a="1"/>
  <c r="AW132" i="1" s="1"/>
  <c r="BO136" i="1"/>
  <c r="AK160" i="1" a="1"/>
  <c r="AK160" i="1" s="1"/>
  <c r="AC160" i="1"/>
  <c r="L160" i="1"/>
  <c r="F160" i="1"/>
  <c r="BP159" i="1" a="1"/>
  <c r="BP159" i="1" s="1"/>
  <c r="BI159" i="1"/>
  <c r="AE159" i="1"/>
  <c r="M159" i="1"/>
  <c r="G159" i="1" a="1"/>
  <c r="G159" i="1" s="1"/>
  <c r="C158" i="1"/>
  <c r="BG157" i="1"/>
  <c r="AE157" i="1"/>
  <c r="M157" i="1"/>
  <c r="G157" i="1" a="1"/>
  <c r="G157" i="1" s="1"/>
  <c r="C157" i="1"/>
  <c r="BN156" i="1"/>
  <c r="BF156" i="1"/>
  <c r="AK156" i="1" a="1"/>
  <c r="AK156" i="1" s="1"/>
  <c r="AC156" i="1"/>
  <c r="L156" i="1"/>
  <c r="F156" i="1"/>
  <c r="C156" i="1"/>
  <c r="BP160" i="1" a="1"/>
  <c r="BP160" i="1" s="1"/>
  <c r="AJ160" i="1"/>
  <c r="AB160" i="1"/>
  <c r="H160" i="1"/>
  <c r="BO159" i="1"/>
  <c r="AK159" i="1" a="1"/>
  <c r="AK159" i="1" s="1"/>
  <c r="AC159" i="1"/>
  <c r="L159" i="1"/>
  <c r="F159" i="1"/>
  <c r="C159" i="1"/>
  <c r="E158" i="1"/>
  <c r="BP157" i="1" a="1"/>
  <c r="BP157" i="1" s="1"/>
  <c r="AK157" i="1" a="1"/>
  <c r="AK157" i="1" s="1"/>
  <c r="AC157" i="1"/>
  <c r="L157" i="1"/>
  <c r="F157" i="1"/>
  <c r="BJ156" i="1"/>
  <c r="BE156" i="1"/>
  <c r="AJ156" i="1"/>
  <c r="AB156" i="1"/>
  <c r="H156" i="1"/>
  <c r="E156" i="1"/>
  <c r="BO160" i="1"/>
  <c r="BD160" i="1"/>
  <c r="AF160" i="1"/>
  <c r="AA160" i="1"/>
  <c r="BN159" i="1"/>
  <c r="AJ159" i="1"/>
  <c r="AB159" i="1"/>
  <c r="H159" i="1"/>
  <c r="E159" i="1"/>
  <c r="BO157" i="1"/>
  <c r="AJ157" i="1"/>
  <c r="AB157" i="1"/>
  <c r="H157" i="1"/>
  <c r="BP156" i="1" a="1"/>
  <c r="BP156" i="1" s="1"/>
  <c r="BI156" i="1"/>
  <c r="BD156" i="1"/>
  <c r="AF156" i="1"/>
  <c r="AA156" i="1"/>
  <c r="BJ160" i="1"/>
  <c r="M160" i="1"/>
  <c r="BJ159" i="1"/>
  <c r="AA157" i="1"/>
  <c r="BO156" i="1"/>
  <c r="AE156" i="1"/>
  <c r="G160" i="1" a="1"/>
  <c r="G160" i="1" s="1"/>
  <c r="BD159" i="1"/>
  <c r="BJ157" i="1"/>
  <c r="M156" i="1"/>
  <c r="C160" i="1"/>
  <c r="AF159" i="1"/>
  <c r="BD157" i="1"/>
  <c r="G156" i="1" a="1"/>
  <c r="G156" i="1" s="1"/>
  <c r="AE160" i="1"/>
  <c r="AA159" i="1"/>
  <c r="AF157" i="1"/>
  <c r="D91" i="1" a="1"/>
  <c r="D91" i="1" s="1"/>
  <c r="B92" i="1"/>
  <c r="B98" i="1"/>
  <c r="D106" i="1" a="1"/>
  <c r="D106" i="1" s="1"/>
  <c r="BE106" i="1" a="1"/>
  <c r="BE106" i="1" s="1"/>
  <c r="D104" i="1" a="1"/>
  <c r="D104" i="1" s="1"/>
  <c r="B105" i="1" s="1"/>
  <c r="D103" i="1" a="1"/>
  <c r="D103" i="1" s="1"/>
  <c r="BE105" i="1" a="1"/>
  <c r="BE105" i="1" s="1"/>
  <c r="D105" i="1" a="1"/>
  <c r="D105" i="1" s="1"/>
  <c r="F104" i="1" a="1"/>
  <c r="F104" i="1" s="1"/>
  <c r="BE118" i="1" a="1"/>
  <c r="BE118" i="1" s="1"/>
  <c r="D117" i="1" a="1"/>
  <c r="D117" i="1" s="1"/>
  <c r="F116" i="1" a="1"/>
  <c r="F116" i="1" s="1"/>
  <c r="D115" i="1" a="1"/>
  <c r="D115" i="1" s="1"/>
  <c r="D118" i="1" a="1"/>
  <c r="D118" i="1" s="1"/>
  <c r="BE117" i="1" a="1"/>
  <c r="BE117" i="1" s="1"/>
  <c r="D116" i="1" a="1"/>
  <c r="D116" i="1" s="1"/>
  <c r="B117" i="1" s="1"/>
  <c r="AQ133" i="1" a="1"/>
  <c r="AQ133" i="1" s="1"/>
  <c r="G135" i="1" a="1"/>
  <c r="G135" i="1" s="1"/>
  <c r="AC136" i="1"/>
  <c r="B133" i="1"/>
  <c r="BE135" i="1" a="1"/>
  <c r="BE135" i="1" s="1"/>
  <c r="BE133" i="1" s="1"/>
  <c r="B135" i="1"/>
  <c r="BE136" i="1" a="1"/>
  <c r="BE136" i="1" s="1"/>
  <c r="CU132" i="1" s="1"/>
  <c r="B136" i="1"/>
  <c r="D135" i="1" a="1"/>
  <c r="D135" i="1" s="1"/>
  <c r="B132" i="1"/>
  <c r="D133" i="1" a="1"/>
  <c r="D133" i="1" s="1"/>
  <c r="D142" i="1" a="1"/>
  <c r="D142" i="1" s="1"/>
  <c r="BE141" i="1" a="1"/>
  <c r="BE141" i="1" s="1"/>
  <c r="B139" i="1"/>
  <c r="D140" i="1" a="1"/>
  <c r="D140" i="1" s="1"/>
  <c r="B141" i="1" s="1"/>
  <c r="BE142" i="1" a="1"/>
  <c r="BE142" i="1" s="1"/>
  <c r="D141" i="1" a="1"/>
  <c r="D141" i="1" s="1"/>
  <c r="B140" i="1"/>
  <c r="F140" i="1" a="1"/>
  <c r="F140" i="1" s="1"/>
  <c r="D139" i="1" a="1"/>
  <c r="D139" i="1" s="1"/>
  <c r="D130" i="1" a="1"/>
  <c r="D130" i="1" s="1"/>
  <c r="D128" i="1" a="1"/>
  <c r="D128" i="1" s="1"/>
  <c r="B130" i="1" s="1"/>
  <c r="D127" i="1" a="1"/>
  <c r="D127" i="1" s="1"/>
  <c r="F128" i="1" a="1"/>
  <c r="F128" i="1" s="1"/>
  <c r="BE129" i="1" a="1"/>
  <c r="BE129" i="1" s="1"/>
  <c r="BE130" i="1" a="1"/>
  <c r="BE130" i="1" s="1"/>
  <c r="BE153" i="1" a="1"/>
  <c r="BE153" i="1" s="1"/>
  <c r="B154" i="1"/>
  <c r="D152" i="1" a="1"/>
  <c r="D152" i="1" s="1"/>
  <c r="B153" i="1" s="1"/>
  <c r="BE154" i="1" a="1"/>
  <c r="BE154" i="1" s="1"/>
  <c r="D153" i="1" a="1"/>
  <c r="D153" i="1" s="1"/>
  <c r="F152" i="1" a="1"/>
  <c r="F152" i="1" s="1"/>
  <c r="D151" i="1" a="1"/>
  <c r="D151" i="1" s="1"/>
  <c r="B152" i="1"/>
  <c r="D154" i="1" a="1"/>
  <c r="D154" i="1" s="1"/>
  <c r="B151" i="1"/>
  <c r="B150" i="1"/>
  <c r="B160" i="1"/>
  <c r="D159" i="1" a="1"/>
  <c r="D159" i="1" s="1"/>
  <c r="F158" i="1" a="1"/>
  <c r="F158" i="1" s="1"/>
  <c r="BE160" i="1" a="1"/>
  <c r="BE160" i="1" s="1"/>
  <c r="CU156" i="1" s="1"/>
  <c r="B158" i="1"/>
  <c r="B157" i="1"/>
  <c r="B156" i="1"/>
  <c r="D160" i="1" a="1"/>
  <c r="D160" i="1" s="1"/>
  <c r="BE159" i="1" a="1"/>
  <c r="BE159" i="1" s="1"/>
  <c r="BF157" i="1" s="1"/>
  <c r="B159" i="1"/>
  <c r="D157" i="1" a="1"/>
  <c r="D157" i="1" s="1"/>
  <c r="AS171" i="1"/>
  <c r="D148" i="1" a="1"/>
  <c r="D148" i="1" s="1"/>
  <c r="B146" i="1"/>
  <c r="BE147" i="1" a="1"/>
  <c r="BE147" i="1" s="1"/>
  <c r="B148" i="1"/>
  <c r="D146" i="1" a="1"/>
  <c r="D146" i="1" s="1"/>
  <c r="B147" i="1" s="1"/>
  <c r="D145" i="1" a="1"/>
  <c r="D145" i="1" s="1"/>
  <c r="F146" i="1" a="1"/>
  <c r="F146" i="1" s="1"/>
  <c r="AE172" i="1"/>
  <c r="M172" i="1"/>
  <c r="G172" i="1" a="1"/>
  <c r="G172" i="1" s="1"/>
  <c r="C172" i="1"/>
  <c r="BO171" i="1"/>
  <c r="AE171" i="1"/>
  <c r="M171" i="1"/>
  <c r="G171" i="1" a="1"/>
  <c r="G171" i="1" s="1"/>
  <c r="C170" i="1"/>
  <c r="BO169" i="1"/>
  <c r="AK169" i="1" a="1"/>
  <c r="AK169" i="1" s="1"/>
  <c r="AC169" i="1"/>
  <c r="L169" i="1"/>
  <c r="F169" i="1"/>
  <c r="BO168" i="1"/>
  <c r="AF168" i="1"/>
  <c r="AA168" i="1"/>
  <c r="BP172" i="1" a="1"/>
  <c r="BP172" i="1" s="1"/>
  <c r="AK172" i="1" a="1"/>
  <c r="AK172" i="1" s="1"/>
  <c r="AC172" i="1"/>
  <c r="L172" i="1"/>
  <c r="F172" i="1"/>
  <c r="BN171" i="1"/>
  <c r="AK171" i="1" a="1"/>
  <c r="AK171" i="1" s="1"/>
  <c r="AC171" i="1"/>
  <c r="L171" i="1"/>
  <c r="F171" i="1"/>
  <c r="C171" i="1"/>
  <c r="E170" i="1"/>
  <c r="BJ169" i="1"/>
  <c r="BD169" i="1"/>
  <c r="AJ169" i="1"/>
  <c r="AB169" i="1"/>
  <c r="H169" i="1"/>
  <c r="CU168" i="1"/>
  <c r="BN168" i="1"/>
  <c r="AE168" i="1"/>
  <c r="M168" i="1"/>
  <c r="G168" i="1" a="1"/>
  <c r="G168" i="1" s="1"/>
  <c r="BO172" i="1"/>
  <c r="BD172" i="1"/>
  <c r="AJ172" i="1"/>
  <c r="AB172" i="1"/>
  <c r="H172" i="1"/>
  <c r="BJ171" i="1"/>
  <c r="BD171" i="1"/>
  <c r="AJ171" i="1"/>
  <c r="AB171" i="1"/>
  <c r="H171" i="1"/>
  <c r="E171" i="1"/>
  <c r="BG169" i="1"/>
  <c r="BB169" i="1"/>
  <c r="AY169" i="1"/>
  <c r="AV169" i="1"/>
  <c r="AS169" i="1"/>
  <c r="AP169" i="1"/>
  <c r="AM169" i="1"/>
  <c r="AF169" i="1"/>
  <c r="AA169" i="1"/>
  <c r="BJ168" i="1"/>
  <c r="AK168" i="1" a="1"/>
  <c r="AK168" i="1" s="1"/>
  <c r="AC168" i="1"/>
  <c r="L168" i="1"/>
  <c r="F168" i="1"/>
  <c r="C168" i="1"/>
  <c r="BB172" i="1"/>
  <c r="AP172" i="1"/>
  <c r="BB171" i="1"/>
  <c r="AP171" i="1"/>
  <c r="BP169" i="1" a="1"/>
  <c r="BP169" i="1" s="1"/>
  <c r="AE169" i="1"/>
  <c r="BP168" i="1" a="1"/>
  <c r="BP168" i="1" s="1"/>
  <c r="E168" i="1"/>
  <c r="AY172" i="1"/>
  <c r="AY171" i="1"/>
  <c r="M169" i="1"/>
  <c r="BI168" i="1"/>
  <c r="AJ168" i="1"/>
  <c r="AV172" i="1"/>
  <c r="AF172" i="1"/>
  <c r="BP171" i="1" a="1"/>
  <c r="BP171" i="1" s="1"/>
  <c r="AV171" i="1"/>
  <c r="AF171" i="1"/>
  <c r="G169" i="1" a="1"/>
  <c r="G169" i="1" s="1"/>
  <c r="BD168" i="1"/>
  <c r="AB168" i="1"/>
  <c r="B168" i="1"/>
  <c r="BI171" i="1"/>
  <c r="BJ172" i="1"/>
  <c r="D164" i="1" a="1"/>
  <c r="D164" i="1" s="1"/>
  <c r="D163" i="1" a="1"/>
  <c r="D163" i="1" s="1"/>
  <c r="B166" i="1"/>
  <c r="D165" i="1" a="1"/>
  <c r="D165" i="1" s="1"/>
  <c r="F164" i="1" a="1"/>
  <c r="F164" i="1" s="1"/>
  <c r="B162" i="1"/>
  <c r="B164" i="1"/>
  <c r="B163" i="1"/>
  <c r="D166" i="1" a="1"/>
  <c r="D166" i="1" s="1"/>
  <c r="D171" i="1" a="1"/>
  <c r="D171" i="1" s="1"/>
  <c r="F170" i="1" a="1"/>
  <c r="F170" i="1" s="1"/>
  <c r="B169" i="1"/>
  <c r="BE172" i="1" a="1"/>
  <c r="BE172" i="1" s="1"/>
  <c r="B172" i="1"/>
  <c r="BE171" i="1" a="1"/>
  <c r="BE171" i="1" s="1"/>
  <c r="BE169" i="1" s="1"/>
  <c r="B170" i="1"/>
  <c r="B171" i="1"/>
  <c r="D169" i="1" a="1"/>
  <c r="D169" i="1" s="1"/>
  <c r="D172" i="1" a="1"/>
  <c r="D172" i="1" s="1"/>
  <c r="D178" i="1" a="1"/>
  <c r="D178" i="1" s="1"/>
  <c r="BE178" i="1" a="1"/>
  <c r="BE178" i="1" s="1"/>
  <c r="D176" i="1" a="1"/>
  <c r="D176" i="1" s="1"/>
  <c r="B177" i="1" s="1"/>
  <c r="BE177" i="1" a="1"/>
  <c r="BE177" i="1" s="1"/>
  <c r="D177" i="1" a="1"/>
  <c r="D177" i="1" s="1"/>
  <c r="F176" i="1" a="1"/>
  <c r="F176" i="1" s="1"/>
  <c r="D175" i="1" a="1"/>
  <c r="D175" i="1" s="1"/>
  <c r="BE165" i="1" a="1"/>
  <c r="BE165" i="1" s="1"/>
  <c r="BE166" i="1" a="1"/>
  <c r="BE166" i="1" s="1"/>
  <c r="BF169" i="1" l="1"/>
  <c r="B127" i="1"/>
  <c r="B116" i="1"/>
  <c r="CE159" i="1"/>
  <c r="BT159" i="1"/>
  <c r="BP88" i="1" a="1"/>
  <c r="BP88" i="1" s="1"/>
  <c r="AE88" i="1"/>
  <c r="M88" i="1"/>
  <c r="G88" i="1" a="1"/>
  <c r="G88" i="1" s="1"/>
  <c r="C88" i="1"/>
  <c r="BO87" i="1"/>
  <c r="BA87" i="1"/>
  <c r="AO87" i="1"/>
  <c r="AF87" i="1"/>
  <c r="AA87" i="1"/>
  <c r="BP85" i="1" a="1"/>
  <c r="BP85" i="1" s="1"/>
  <c r="BF85" i="1"/>
  <c r="AU85" i="1"/>
  <c r="AF85" i="1"/>
  <c r="AA85" i="1"/>
  <c r="BJ84" i="1"/>
  <c r="BE84" i="1"/>
  <c r="AE84" i="1"/>
  <c r="M84" i="1"/>
  <c r="G84" i="1" a="1"/>
  <c r="G84" i="1" s="1"/>
  <c r="BO88" i="1"/>
  <c r="BD88" i="1"/>
  <c r="AK88" i="1" a="1"/>
  <c r="AK88" i="1" s="1"/>
  <c r="AC88" i="1"/>
  <c r="L88" i="1"/>
  <c r="F88" i="1"/>
  <c r="BN87" i="1"/>
  <c r="AE87" i="1"/>
  <c r="M87" i="1"/>
  <c r="G87" i="1" a="1"/>
  <c r="G87" i="1" s="1"/>
  <c r="C86" i="1"/>
  <c r="BO85" i="1"/>
  <c r="BE85" i="1"/>
  <c r="AE85" i="1"/>
  <c r="M85" i="1"/>
  <c r="G85" i="1" a="1"/>
  <c r="G85" i="1" s="1"/>
  <c r="C85" i="1"/>
  <c r="BP84" i="1" a="1"/>
  <c r="BP84" i="1" s="1"/>
  <c r="BI84" i="1"/>
  <c r="BD84" i="1"/>
  <c r="AK84" i="1" a="1"/>
  <c r="AK84" i="1" s="1"/>
  <c r="AC84" i="1"/>
  <c r="L84" i="1"/>
  <c r="F84" i="1"/>
  <c r="C84" i="1"/>
  <c r="BJ88" i="1"/>
  <c r="AJ88" i="1"/>
  <c r="AB88" i="1"/>
  <c r="H88" i="1"/>
  <c r="BJ87" i="1"/>
  <c r="BD87" i="1"/>
  <c r="AK87" i="1" a="1"/>
  <c r="AK87" i="1" s="1"/>
  <c r="AL87" i="1" s="1"/>
  <c r="AC87" i="1"/>
  <c r="L87" i="1"/>
  <c r="F87" i="1"/>
  <c r="C87" i="1"/>
  <c r="E86" i="1"/>
  <c r="BJ85" i="1"/>
  <c r="BD85" i="1"/>
  <c r="AK85" i="1" a="1"/>
  <c r="AK85" i="1" s="1"/>
  <c r="AL85" i="1" s="1"/>
  <c r="AC85" i="1"/>
  <c r="L85" i="1"/>
  <c r="F85" i="1"/>
  <c r="BO84" i="1"/>
  <c r="BG84" i="1"/>
  <c r="AJ84" i="1"/>
  <c r="AB84" i="1"/>
  <c r="H84" i="1"/>
  <c r="E84" i="1"/>
  <c r="AR88" i="1"/>
  <c r="AF88" i="1"/>
  <c r="BP87" i="1" a="1"/>
  <c r="BP87" i="1" s="1"/>
  <c r="AJ87" i="1"/>
  <c r="H85" i="1"/>
  <c r="BF84" i="1"/>
  <c r="AF84" i="1"/>
  <c r="BA88" i="1"/>
  <c r="AA88" i="1"/>
  <c r="BI87" i="1"/>
  <c r="AB87" i="1"/>
  <c r="AA84" i="1"/>
  <c r="AX88" i="1"/>
  <c r="H87" i="1"/>
  <c r="AJ85" i="1"/>
  <c r="CU84" i="1"/>
  <c r="AX84" i="1"/>
  <c r="BG85" i="1"/>
  <c r="BN84" i="1"/>
  <c r="AL88" i="1"/>
  <c r="E87" i="1"/>
  <c r="AB85" i="1"/>
  <c r="AL84" i="1"/>
  <c r="AN85" i="1" a="1"/>
  <c r="AN85" i="1" s="1"/>
  <c r="AO85" i="1" s="1"/>
  <c r="AW87" i="1" a="1"/>
  <c r="AW87" i="1" s="1"/>
  <c r="AX87" i="1" s="1"/>
  <c r="AQ88" i="1" a="1"/>
  <c r="AQ88" i="1" s="1"/>
  <c r="BE168" i="1"/>
  <c r="BG168" i="1"/>
  <c r="B145" i="1"/>
  <c r="AQ148" i="1" a="1"/>
  <c r="AQ148" i="1" s="1"/>
  <c r="AW147" i="1" a="1"/>
  <c r="AW147" i="1" s="1"/>
  <c r="AT145" i="1" a="1"/>
  <c r="AT145" i="1" s="1"/>
  <c r="AT144" i="1" a="1"/>
  <c r="AT144" i="1" s="1"/>
  <c r="AT148" i="1" a="1"/>
  <c r="AT148" i="1" s="1"/>
  <c r="AZ147" i="1" a="1"/>
  <c r="AZ147" i="1" s="1"/>
  <c r="AN147" i="1" a="1"/>
  <c r="AN147" i="1" s="1"/>
  <c r="AW145" i="1" a="1"/>
  <c r="AW145" i="1" s="1"/>
  <c r="AW144" i="1" a="1"/>
  <c r="AW144" i="1" s="1"/>
  <c r="AW148" i="1" a="1"/>
  <c r="AW148" i="1" s="1"/>
  <c r="AQ147" i="1" a="1"/>
  <c r="AQ147" i="1" s="1"/>
  <c r="AZ145" i="1" a="1"/>
  <c r="AZ145" i="1" s="1"/>
  <c r="AN145" i="1" a="1"/>
  <c r="AN145" i="1" s="1"/>
  <c r="AZ144" i="1" a="1"/>
  <c r="AZ144" i="1" s="1"/>
  <c r="AN144" i="1" a="1"/>
  <c r="AN144" i="1" s="1"/>
  <c r="AT147" i="1" a="1"/>
  <c r="AT147" i="1" s="1"/>
  <c r="AN148" i="1" a="1"/>
  <c r="AN148" i="1" s="1"/>
  <c r="AZ148" i="1" a="1"/>
  <c r="AZ148" i="1" s="1"/>
  <c r="AQ145" i="1" a="1"/>
  <c r="AQ145" i="1" s="1"/>
  <c r="AQ144" i="1" a="1"/>
  <c r="AQ144" i="1" s="1"/>
  <c r="AT154" i="1" a="1"/>
  <c r="AT154" i="1" s="1"/>
  <c r="AZ153" i="1" a="1"/>
  <c r="AZ153" i="1" s="1"/>
  <c r="AN153" i="1" a="1"/>
  <c r="AN153" i="1" s="1"/>
  <c r="AW151" i="1" a="1"/>
  <c r="AW151" i="1" s="1"/>
  <c r="AW154" i="1" a="1"/>
  <c r="AW154" i="1" s="1"/>
  <c r="AQ153" i="1" a="1"/>
  <c r="AQ153" i="1" s="1"/>
  <c r="AZ151" i="1" a="1"/>
  <c r="AZ151" i="1" s="1"/>
  <c r="AN151" i="1" a="1"/>
  <c r="AN151" i="1" s="1"/>
  <c r="AZ154" i="1" a="1"/>
  <c r="AZ154" i="1" s="1"/>
  <c r="AN154" i="1" a="1"/>
  <c r="AN154" i="1" s="1"/>
  <c r="AT153" i="1" a="1"/>
  <c r="AT153" i="1" s="1"/>
  <c r="AQ151" i="1" a="1"/>
  <c r="AQ151" i="1" s="1"/>
  <c r="AT150" i="1" a="1"/>
  <c r="AT150" i="1" s="1"/>
  <c r="AQ154" i="1" a="1"/>
  <c r="AQ154" i="1" s="1"/>
  <c r="AW150" i="1" a="1"/>
  <c r="AW150" i="1" s="1"/>
  <c r="AT151" i="1" a="1"/>
  <c r="AT151" i="1" s="1"/>
  <c r="AZ150" i="1" a="1"/>
  <c r="AZ150" i="1" s="1"/>
  <c r="AN150" i="1" a="1"/>
  <c r="AN150" i="1" s="1"/>
  <c r="AQ150" i="1" a="1"/>
  <c r="AQ150" i="1" s="1"/>
  <c r="AW153" i="1" a="1"/>
  <c r="AW153" i="1" s="1"/>
  <c r="B138" i="1"/>
  <c r="B115" i="1"/>
  <c r="AZ118" i="1" a="1"/>
  <c r="AZ118" i="1" s="1"/>
  <c r="AN118" i="1" a="1"/>
  <c r="AN118" i="1" s="1"/>
  <c r="AT117" i="1" a="1"/>
  <c r="AT117" i="1" s="1"/>
  <c r="AQ115" i="1" a="1"/>
  <c r="AQ115" i="1" s="1"/>
  <c r="AQ114" i="1" a="1"/>
  <c r="AQ114" i="1" s="1"/>
  <c r="AQ118" i="1" a="1"/>
  <c r="AQ118" i="1" s="1"/>
  <c r="AW117" i="1" a="1"/>
  <c r="AW117" i="1" s="1"/>
  <c r="AT115" i="1" a="1"/>
  <c r="AT115" i="1" s="1"/>
  <c r="AT114" i="1" a="1"/>
  <c r="AT114" i="1" s="1"/>
  <c r="AT118" i="1" a="1"/>
  <c r="AT118" i="1" s="1"/>
  <c r="AZ117" i="1" a="1"/>
  <c r="AZ117" i="1" s="1"/>
  <c r="AN117" i="1" a="1"/>
  <c r="AN117" i="1" s="1"/>
  <c r="AW115" i="1" a="1"/>
  <c r="AW115" i="1" s="1"/>
  <c r="AW114" i="1" a="1"/>
  <c r="AW114" i="1" s="1"/>
  <c r="AZ115" i="1" a="1"/>
  <c r="AZ115" i="1" s="1"/>
  <c r="AN115" i="1" a="1"/>
  <c r="AN115" i="1" s="1"/>
  <c r="AQ117" i="1" a="1"/>
  <c r="AQ117" i="1" s="1"/>
  <c r="AZ114" i="1" a="1"/>
  <c r="AZ114" i="1" s="1"/>
  <c r="AN114" i="1" a="1"/>
  <c r="AN114" i="1" s="1"/>
  <c r="AW118" i="1" a="1"/>
  <c r="AW118" i="1" s="1"/>
  <c r="B106" i="1"/>
  <c r="BE157" i="1"/>
  <c r="CE133" i="1"/>
  <c r="CG133" i="1" s="1"/>
  <c r="BT133" i="1"/>
  <c r="BE132" i="1"/>
  <c r="BT135" i="1"/>
  <c r="CE135" i="1"/>
  <c r="CG135" i="1" s="1"/>
  <c r="AZ94" i="1" a="1"/>
  <c r="AZ94" i="1" s="1"/>
  <c r="BA94" i="1" s="1"/>
  <c r="AW94" i="1" a="1"/>
  <c r="AW94" i="1" s="1"/>
  <c r="AX94" i="1" s="1"/>
  <c r="AT94" i="1" a="1"/>
  <c r="AT94" i="1" s="1"/>
  <c r="AU94" i="1" s="1"/>
  <c r="AQ94" i="1" a="1"/>
  <c r="AQ94" i="1" s="1"/>
  <c r="AR94" i="1" s="1"/>
  <c r="AN94" i="1" a="1"/>
  <c r="AN94" i="1" s="1"/>
  <c r="AO94" i="1" s="1"/>
  <c r="AZ90" i="1" a="1"/>
  <c r="AZ90" i="1" s="1"/>
  <c r="BA90" i="1" s="1"/>
  <c r="AW90" i="1" a="1"/>
  <c r="AW90" i="1" s="1"/>
  <c r="AX90" i="1" s="1"/>
  <c r="AT90" i="1" a="1"/>
  <c r="AT90" i="1" s="1"/>
  <c r="AU90" i="1" s="1"/>
  <c r="AQ90" i="1" a="1"/>
  <c r="AQ90" i="1" s="1"/>
  <c r="AR90" i="1" s="1"/>
  <c r="AN90" i="1" a="1"/>
  <c r="AN90" i="1" s="1"/>
  <c r="AO90" i="1" s="1"/>
  <c r="AW91" i="1" a="1"/>
  <c r="AW91" i="1" s="1"/>
  <c r="AX91" i="1" s="1"/>
  <c r="AQ91" i="1" a="1"/>
  <c r="AQ91" i="1" s="1"/>
  <c r="AR91" i="1" s="1"/>
  <c r="AT93" i="1" a="1"/>
  <c r="AT93" i="1" s="1"/>
  <c r="AU93" i="1" s="1"/>
  <c r="AN93" i="1" a="1"/>
  <c r="AN93" i="1" s="1"/>
  <c r="AO93" i="1" s="1"/>
  <c r="AZ93" i="1" a="1"/>
  <c r="AZ93" i="1" s="1"/>
  <c r="BA93" i="1" s="1"/>
  <c r="AZ91" i="1" a="1"/>
  <c r="AZ91" i="1" s="1"/>
  <c r="BA91" i="1" s="1"/>
  <c r="AT91" i="1" a="1"/>
  <c r="AT91" i="1" s="1"/>
  <c r="AU91" i="1" s="1"/>
  <c r="AN91" i="1" a="1"/>
  <c r="AN91" i="1" s="1"/>
  <c r="AO91" i="1" s="1"/>
  <c r="AW93" i="1" a="1"/>
  <c r="AW93" i="1" s="1"/>
  <c r="AX93" i="1" s="1"/>
  <c r="AQ93" i="1" a="1"/>
  <c r="AQ93" i="1" s="1"/>
  <c r="AR93" i="1" s="1"/>
  <c r="AK124" i="1" a="1"/>
  <c r="AK124" i="1" s="1"/>
  <c r="AC124" i="1"/>
  <c r="L124" i="1"/>
  <c r="F124" i="1"/>
  <c r="BJ123" i="1"/>
  <c r="BD123" i="1"/>
  <c r="AF123" i="1"/>
  <c r="AA123" i="1"/>
  <c r="BO121" i="1"/>
  <c r="BE121" i="1"/>
  <c r="AJ121" i="1"/>
  <c r="AB121" i="1"/>
  <c r="H121" i="1"/>
  <c r="CU120" i="1"/>
  <c r="BJ120" i="1"/>
  <c r="BE120" i="1"/>
  <c r="BJ124" i="1"/>
  <c r="AJ124" i="1"/>
  <c r="AA124" i="1"/>
  <c r="G124" i="1" a="1"/>
  <c r="G124" i="1" s="1"/>
  <c r="BO123" i="1"/>
  <c r="AJ123" i="1"/>
  <c r="M123" i="1"/>
  <c r="F123" i="1"/>
  <c r="C122" i="1"/>
  <c r="BF121" i="1"/>
  <c r="AF121" i="1"/>
  <c r="M121" i="1"/>
  <c r="F121" i="1"/>
  <c r="BO120" i="1"/>
  <c r="BF120" i="1"/>
  <c r="AF120" i="1"/>
  <c r="AA120" i="1"/>
  <c r="AF124" i="1"/>
  <c r="M124" i="1"/>
  <c r="BN123" i="1"/>
  <c r="AE123" i="1"/>
  <c r="L123" i="1"/>
  <c r="E123" i="1"/>
  <c r="BP121" i="1" a="1"/>
  <c r="BP121" i="1" s="1"/>
  <c r="BD121" i="1"/>
  <c r="AE121" i="1"/>
  <c r="L121" i="1"/>
  <c r="BN120" i="1"/>
  <c r="BD120" i="1"/>
  <c r="AE120" i="1"/>
  <c r="M120" i="1"/>
  <c r="G120" i="1" a="1"/>
  <c r="G120" i="1" s="1"/>
  <c r="BP124" i="1" a="1"/>
  <c r="BP124" i="1" s="1"/>
  <c r="BD124" i="1"/>
  <c r="AE124" i="1"/>
  <c r="H124" i="1"/>
  <c r="BI123" i="1"/>
  <c r="AC123" i="1"/>
  <c r="H123" i="1"/>
  <c r="E122" i="1"/>
  <c r="BJ121" i="1"/>
  <c r="AC121" i="1"/>
  <c r="C121" i="1"/>
  <c r="BI120" i="1"/>
  <c r="AK120" i="1" a="1"/>
  <c r="AK120" i="1" s="1"/>
  <c r="AC120" i="1"/>
  <c r="L120" i="1"/>
  <c r="F120" i="1"/>
  <c r="C120" i="1"/>
  <c r="BP123" i="1" a="1"/>
  <c r="BP123" i="1" s="1"/>
  <c r="AK123" i="1" a="1"/>
  <c r="AK123" i="1" s="1"/>
  <c r="AA121" i="1"/>
  <c r="BG120" i="1"/>
  <c r="H120" i="1"/>
  <c r="AB124" i="1"/>
  <c r="AB123" i="1"/>
  <c r="G121" i="1" a="1"/>
  <c r="G121" i="1" s="1"/>
  <c r="E120" i="1"/>
  <c r="BO124" i="1"/>
  <c r="G123" i="1" a="1"/>
  <c r="G123" i="1" s="1"/>
  <c r="BG121" i="1"/>
  <c r="AJ120" i="1"/>
  <c r="B120" i="1"/>
  <c r="C124" i="1"/>
  <c r="C123" i="1"/>
  <c r="AK121" i="1" a="1"/>
  <c r="AK121" i="1" s="1"/>
  <c r="AB120" i="1"/>
  <c r="BP120" i="1" a="1"/>
  <c r="BP120" i="1" s="1"/>
  <c r="AZ100" i="1" a="1"/>
  <c r="AZ100" i="1" s="1"/>
  <c r="BA100" i="1" s="1"/>
  <c r="AW100" i="1" a="1"/>
  <c r="AW100" i="1" s="1"/>
  <c r="AT100" i="1" a="1"/>
  <c r="AT100" i="1" s="1"/>
  <c r="AQ100" i="1" a="1"/>
  <c r="AQ100" i="1" s="1"/>
  <c r="AN100" i="1" a="1"/>
  <c r="AN100" i="1" s="1"/>
  <c r="AO100" i="1" s="1"/>
  <c r="AZ96" i="1" a="1"/>
  <c r="AZ96" i="1" s="1"/>
  <c r="AW96" i="1" a="1"/>
  <c r="AW96" i="1" s="1"/>
  <c r="AT96" i="1" a="1"/>
  <c r="AT96" i="1" s="1"/>
  <c r="AQ96" i="1" a="1"/>
  <c r="AQ96" i="1" s="1"/>
  <c r="AR96" i="1" s="1"/>
  <c r="AN96" i="1" a="1"/>
  <c r="AN96" i="1" s="1"/>
  <c r="AZ99" i="1" a="1"/>
  <c r="AZ99" i="1" s="1"/>
  <c r="AN99" i="1" a="1"/>
  <c r="AN99" i="1" s="1"/>
  <c r="AW97" i="1" a="1"/>
  <c r="AW97" i="1" s="1"/>
  <c r="AX97" i="1" s="1"/>
  <c r="AW99" i="1" a="1"/>
  <c r="AW99" i="1" s="1"/>
  <c r="AT97" i="1" a="1"/>
  <c r="AT97" i="1" s="1"/>
  <c r="AT99" i="1" a="1"/>
  <c r="AT99" i="1" s="1"/>
  <c r="AQ97" i="1" a="1"/>
  <c r="AQ97" i="1" s="1"/>
  <c r="AR97" i="1" s="1"/>
  <c r="AQ99" i="1" a="1"/>
  <c r="AQ99" i="1" s="1"/>
  <c r="AZ97" i="1" a="1"/>
  <c r="AZ97" i="1" s="1"/>
  <c r="AN97" i="1" a="1"/>
  <c r="AN97" i="1" s="1"/>
  <c r="B80" i="1"/>
  <c r="AZ70" i="1" a="1"/>
  <c r="AZ70" i="1" s="1"/>
  <c r="AW70" i="1" a="1"/>
  <c r="AW70" i="1" s="1"/>
  <c r="AT70" i="1" a="1"/>
  <c r="AT70" i="1" s="1"/>
  <c r="AQ70" i="1" a="1"/>
  <c r="AQ70" i="1" s="1"/>
  <c r="AR70" i="1" s="1"/>
  <c r="AN70" i="1" a="1"/>
  <c r="AN70" i="1" s="1"/>
  <c r="AZ66" i="1" a="1"/>
  <c r="AZ66" i="1" s="1"/>
  <c r="AW66" i="1" a="1"/>
  <c r="AW66" i="1" s="1"/>
  <c r="AT66" i="1" a="1"/>
  <c r="AT66" i="1" s="1"/>
  <c r="AU66" i="1" s="1"/>
  <c r="AQ66" i="1" a="1"/>
  <c r="AQ66" i="1" s="1"/>
  <c r="AN66" i="1" a="1"/>
  <c r="AN66" i="1" s="1"/>
  <c r="AZ69" i="1" a="1"/>
  <c r="AZ69" i="1" s="1"/>
  <c r="AW69" i="1" a="1"/>
  <c r="AW69" i="1" s="1"/>
  <c r="AX69" i="1" s="1"/>
  <c r="AT69" i="1" a="1"/>
  <c r="AT69" i="1" s="1"/>
  <c r="AQ69" i="1" a="1"/>
  <c r="AQ69" i="1" s="1"/>
  <c r="AN69" i="1" a="1"/>
  <c r="AN69" i="1" s="1"/>
  <c r="AZ67" i="1" a="1"/>
  <c r="AZ67" i="1" s="1"/>
  <c r="AW67" i="1" a="1"/>
  <c r="AW67" i="1" s="1"/>
  <c r="AT67" i="1" a="1"/>
  <c r="AT67" i="1" s="1"/>
  <c r="AQ67" i="1" a="1"/>
  <c r="AQ67" i="1" s="1"/>
  <c r="AN67" i="1" a="1"/>
  <c r="AN67" i="1" s="1"/>
  <c r="BE90" i="1"/>
  <c r="AZ60" i="1" a="1"/>
  <c r="AZ60" i="1" s="1"/>
  <c r="B61" i="1"/>
  <c r="B64" i="1"/>
  <c r="B85" i="1"/>
  <c r="AW60" i="1" a="1"/>
  <c r="AW60" i="1" s="1"/>
  <c r="AW61" i="1" a="1"/>
  <c r="AW61" i="1" s="1"/>
  <c r="AT63" i="1" a="1"/>
  <c r="AT63" i="1" s="1"/>
  <c r="AU63" i="1" s="1"/>
  <c r="AQ64" i="1" a="1"/>
  <c r="AQ64" i="1" s="1"/>
  <c r="BJ52" i="1"/>
  <c r="AJ52" i="1"/>
  <c r="AB52" i="1"/>
  <c r="H52" i="1"/>
  <c r="BJ51" i="1"/>
  <c r="BD51" i="1"/>
  <c r="AK51" i="1" a="1"/>
  <c r="AK51" i="1" s="1"/>
  <c r="AC51" i="1"/>
  <c r="L51" i="1"/>
  <c r="F51" i="1"/>
  <c r="C51" i="1"/>
  <c r="E50" i="1"/>
  <c r="BJ49" i="1"/>
  <c r="BD49" i="1"/>
  <c r="AK49" i="1" a="1"/>
  <c r="AK49" i="1" s="1"/>
  <c r="AL49" i="1" s="1"/>
  <c r="AC49" i="1"/>
  <c r="L49" i="1"/>
  <c r="F49" i="1"/>
  <c r="BO48" i="1"/>
  <c r="BG48" i="1"/>
  <c r="AJ48" i="1"/>
  <c r="AB48" i="1"/>
  <c r="H48" i="1"/>
  <c r="E48" i="1"/>
  <c r="AU52" i="1"/>
  <c r="AF52" i="1"/>
  <c r="AA52" i="1"/>
  <c r="BP51" i="1" a="1"/>
  <c r="BP51" i="1" s="1"/>
  <c r="BI51" i="1"/>
  <c r="AJ51" i="1"/>
  <c r="AB51" i="1"/>
  <c r="H51" i="1"/>
  <c r="E51" i="1"/>
  <c r="BG49" i="1"/>
  <c r="AJ49" i="1"/>
  <c r="AB49" i="1"/>
  <c r="H49" i="1"/>
  <c r="CU48" i="1"/>
  <c r="BN48" i="1"/>
  <c r="BF48" i="1"/>
  <c r="AX48" i="1"/>
  <c r="AL48" i="1"/>
  <c r="AF48" i="1"/>
  <c r="AA48" i="1"/>
  <c r="BD52" i="1"/>
  <c r="M52" i="1"/>
  <c r="C52" i="1"/>
  <c r="AE51" i="1"/>
  <c r="G51" i="1" a="1"/>
  <c r="G51" i="1" s="1"/>
  <c r="BO49" i="1"/>
  <c r="AF49" i="1"/>
  <c r="BE48" i="1"/>
  <c r="AC48" i="1"/>
  <c r="F48" i="1"/>
  <c r="AF51" i="1"/>
  <c r="AO49" i="1"/>
  <c r="BP52" i="1" a="1"/>
  <c r="BP52" i="1" s="1"/>
  <c r="AK52" i="1" a="1"/>
  <c r="AK52" i="1" s="1"/>
  <c r="AL52" i="1" s="1"/>
  <c r="L52" i="1"/>
  <c r="AL51" i="1"/>
  <c r="AA51" i="1"/>
  <c r="BF49" i="1"/>
  <c r="AE49" i="1"/>
  <c r="G49" i="1" a="1"/>
  <c r="G49" i="1" s="1"/>
  <c r="BP48" i="1" a="1"/>
  <c r="BP48" i="1" s="1"/>
  <c r="BD48" i="1"/>
  <c r="M48" i="1"/>
  <c r="AC52" i="1"/>
  <c r="BN51" i="1"/>
  <c r="BA49" i="1"/>
  <c r="M49" i="1"/>
  <c r="C49" i="1"/>
  <c r="AE48" i="1"/>
  <c r="BO52" i="1"/>
  <c r="AE52" i="1"/>
  <c r="G52" i="1" a="1"/>
  <c r="G52" i="1" s="1"/>
  <c r="BO51" i="1"/>
  <c r="M51" i="1"/>
  <c r="C50" i="1"/>
  <c r="BE49" i="1"/>
  <c r="AA49" i="1"/>
  <c r="BJ48" i="1"/>
  <c r="AK48" i="1" a="1"/>
  <c r="AK48" i="1" s="1"/>
  <c r="L48" i="1"/>
  <c r="C48" i="1"/>
  <c r="F52" i="1"/>
  <c r="BP49" i="1" a="1"/>
  <c r="BP49" i="1" s="1"/>
  <c r="BI48" i="1"/>
  <c r="G48" i="1" a="1"/>
  <c r="G48" i="1" s="1"/>
  <c r="B49" i="1"/>
  <c r="AU184" i="1"/>
  <c r="AF184" i="1"/>
  <c r="AA184" i="1"/>
  <c r="BP183" i="1" a="1"/>
  <c r="BP183" i="1" s="1"/>
  <c r="BI183" i="1"/>
  <c r="BB183" i="1"/>
  <c r="AY183" i="1"/>
  <c r="AV183" i="1"/>
  <c r="AS183" i="1"/>
  <c r="AP183" i="1"/>
  <c r="AJ183" i="1"/>
  <c r="AB183" i="1"/>
  <c r="H183" i="1"/>
  <c r="E183" i="1"/>
  <c r="BG181" i="1"/>
  <c r="BB181" i="1"/>
  <c r="AY181" i="1"/>
  <c r="AV181" i="1"/>
  <c r="AS181" i="1"/>
  <c r="AP181" i="1"/>
  <c r="AM181" i="1"/>
  <c r="AJ181" i="1"/>
  <c r="AB181" i="1"/>
  <c r="H181" i="1"/>
  <c r="CU180" i="1"/>
  <c r="BN180" i="1"/>
  <c r="BF180" i="1"/>
  <c r="AU180" i="1"/>
  <c r="AF180" i="1"/>
  <c r="AA180" i="1"/>
  <c r="BP184" i="1" a="1"/>
  <c r="BP184" i="1" s="1"/>
  <c r="AE184" i="1"/>
  <c r="M184" i="1"/>
  <c r="G184" i="1" a="1"/>
  <c r="G184" i="1" s="1"/>
  <c r="C184" i="1"/>
  <c r="BO183" i="1"/>
  <c r="BA183" i="1"/>
  <c r="AO183" i="1"/>
  <c r="AF183" i="1"/>
  <c r="AA183" i="1"/>
  <c r="BP181" i="1" a="1"/>
  <c r="BP181" i="1" s="1"/>
  <c r="BF181" i="1"/>
  <c r="AU181" i="1"/>
  <c r="AF181" i="1"/>
  <c r="AA181" i="1"/>
  <c r="BJ180" i="1"/>
  <c r="BE180" i="1"/>
  <c r="AE180" i="1"/>
  <c r="M180" i="1"/>
  <c r="G180" i="1" a="1"/>
  <c r="G180" i="1" s="1"/>
  <c r="BO184" i="1"/>
  <c r="BD184" i="1"/>
  <c r="AK184" i="1" a="1"/>
  <c r="AK184" i="1" s="1"/>
  <c r="AL184" i="1" s="1"/>
  <c r="AC184" i="1"/>
  <c r="L184" i="1"/>
  <c r="F184" i="1"/>
  <c r="BN183" i="1"/>
  <c r="AE183" i="1"/>
  <c r="M183" i="1"/>
  <c r="G183" i="1" a="1"/>
  <c r="G183" i="1" s="1"/>
  <c r="C182" i="1"/>
  <c r="BO181" i="1"/>
  <c r="BE181" i="1"/>
  <c r="AE181" i="1"/>
  <c r="M181" i="1"/>
  <c r="G181" i="1" a="1"/>
  <c r="G181" i="1" s="1"/>
  <c r="C181" i="1"/>
  <c r="BP180" i="1" a="1"/>
  <c r="BP180" i="1" s="1"/>
  <c r="BI180" i="1"/>
  <c r="BD180" i="1"/>
  <c r="AK180" i="1" a="1"/>
  <c r="AK180" i="1" s="1"/>
  <c r="AL180" i="1" s="1"/>
  <c r="AC180" i="1"/>
  <c r="L180" i="1"/>
  <c r="F180" i="1"/>
  <c r="C180" i="1"/>
  <c r="BJ184" i="1"/>
  <c r="BB184" i="1"/>
  <c r="AY184" i="1"/>
  <c r="AV184" i="1"/>
  <c r="AS184" i="1"/>
  <c r="AP184" i="1"/>
  <c r="AJ184" i="1"/>
  <c r="AB184" i="1"/>
  <c r="H184" i="1"/>
  <c r="BJ183" i="1"/>
  <c r="BD183" i="1"/>
  <c r="AK183" i="1" a="1"/>
  <c r="AK183" i="1" s="1"/>
  <c r="AL183" i="1" s="1"/>
  <c r="AC183" i="1"/>
  <c r="L183" i="1"/>
  <c r="F183" i="1"/>
  <c r="C183" i="1"/>
  <c r="E182" i="1"/>
  <c r="BJ181" i="1"/>
  <c r="BD181" i="1"/>
  <c r="AK181" i="1" a="1"/>
  <c r="AK181" i="1" s="1"/>
  <c r="AL181" i="1" s="1"/>
  <c r="AC181" i="1"/>
  <c r="L181" i="1"/>
  <c r="F181" i="1"/>
  <c r="BO180" i="1"/>
  <c r="BG180" i="1"/>
  <c r="AJ180" i="1"/>
  <c r="AB180" i="1"/>
  <c r="H180" i="1"/>
  <c r="E180" i="1"/>
  <c r="B74" i="1"/>
  <c r="B76" i="1"/>
  <c r="AZ57" i="1" a="1"/>
  <c r="AZ57" i="1" s="1"/>
  <c r="AW57" i="1" a="1"/>
  <c r="AW57" i="1" s="1"/>
  <c r="AX57" i="1" s="1"/>
  <c r="AT57" i="1" a="1"/>
  <c r="AT57" i="1" s="1"/>
  <c r="AQ57" i="1" a="1"/>
  <c r="AQ57" i="1" s="1"/>
  <c r="AN57" i="1" a="1"/>
  <c r="AN57" i="1" s="1"/>
  <c r="AZ55" i="1" a="1"/>
  <c r="AZ55" i="1" s="1"/>
  <c r="BA55" i="1" s="1"/>
  <c r="AW55" i="1" a="1"/>
  <c r="AW55" i="1" s="1"/>
  <c r="AT55" i="1" a="1"/>
  <c r="AT55" i="1" s="1"/>
  <c r="AQ55" i="1" a="1"/>
  <c r="AQ55" i="1" s="1"/>
  <c r="AN55" i="1" a="1"/>
  <c r="AN55" i="1" s="1"/>
  <c r="AO55" i="1" s="1"/>
  <c r="AZ58" i="1" a="1"/>
  <c r="AZ58" i="1" s="1"/>
  <c r="AN58" i="1" a="1"/>
  <c r="AN58" i="1" s="1"/>
  <c r="AT54" i="1" a="1"/>
  <c r="AT54" i="1" s="1"/>
  <c r="AW58" i="1" a="1"/>
  <c r="AW58" i="1" s="1"/>
  <c r="AX58" i="1" s="1"/>
  <c r="AQ54" i="1" a="1"/>
  <c r="AQ54" i="1" s="1"/>
  <c r="AQ58" i="1" a="1"/>
  <c r="AQ58" i="1" s="1"/>
  <c r="AW54" i="1" a="1"/>
  <c r="AW54" i="1" s="1"/>
  <c r="AT58" i="1" a="1"/>
  <c r="AT58" i="1" s="1"/>
  <c r="AZ54" i="1" a="1"/>
  <c r="AZ54" i="1" s="1"/>
  <c r="AN54" i="1" a="1"/>
  <c r="AN54" i="1" s="1"/>
  <c r="B13" i="1"/>
  <c r="AQ85" i="1" a="1"/>
  <c r="AQ85" i="1" s="1"/>
  <c r="AR85" i="1" s="1"/>
  <c r="AN87" i="1" a="1"/>
  <c r="AN87" i="1" s="1"/>
  <c r="AZ87" i="1" a="1"/>
  <c r="AZ87" i="1" s="1"/>
  <c r="AW84" i="1" a="1"/>
  <c r="AW84" i="1" s="1"/>
  <c r="AT88" i="1" a="1"/>
  <c r="AT88" i="1" s="1"/>
  <c r="AU88" i="1" s="1"/>
  <c r="CM10" i="1"/>
  <c r="BO10" i="1"/>
  <c r="BD10" i="1"/>
  <c r="AK10" i="1" a="1"/>
  <c r="AK10" i="1" s="1"/>
  <c r="AL10" i="1" s="1"/>
  <c r="AC10" i="1"/>
  <c r="L10" i="1"/>
  <c r="F10" i="1"/>
  <c r="CO9" i="1"/>
  <c r="BP9" i="1" a="1"/>
  <c r="BP9" i="1" s="1"/>
  <c r="BI9" i="1"/>
  <c r="AJ9" i="1"/>
  <c r="AB9" i="1"/>
  <c r="H9" i="1"/>
  <c r="E9" i="1"/>
  <c r="CM7" i="1"/>
  <c r="BO7" i="1"/>
  <c r="BE7" i="1"/>
  <c r="AE7" i="1"/>
  <c r="M7" i="1"/>
  <c r="G7" i="1" a="1"/>
  <c r="G7" i="1" s="1"/>
  <c r="C7" i="1"/>
  <c r="CL6" i="1"/>
  <c r="BN6" i="1"/>
  <c r="BF6" i="1"/>
  <c r="AL6" i="1"/>
  <c r="AF6" i="1"/>
  <c r="AA6" i="1"/>
  <c r="CL10" i="1"/>
  <c r="BJ10" i="1"/>
  <c r="AJ10" i="1"/>
  <c r="AB10" i="1"/>
  <c r="H10" i="1"/>
  <c r="CM9" i="1"/>
  <c r="BO9" i="1"/>
  <c r="BA9" i="1"/>
  <c r="AF9" i="1"/>
  <c r="AA9" i="1"/>
  <c r="CL7" i="1"/>
  <c r="BJ7" i="1"/>
  <c r="BD7" i="1"/>
  <c r="AK7" i="1" a="1"/>
  <c r="AK7" i="1" s="1"/>
  <c r="AC7" i="1"/>
  <c r="L7" i="1"/>
  <c r="F7" i="1"/>
  <c r="CP6" i="1"/>
  <c r="BJ6" i="1"/>
  <c r="BE6" i="1"/>
  <c r="AE6" i="1"/>
  <c r="M6" i="1"/>
  <c r="G6" i="1" a="1"/>
  <c r="G6" i="1" s="1"/>
  <c r="BP10" i="1" a="1"/>
  <c r="BP10" i="1" s="1"/>
  <c r="M10" i="1"/>
  <c r="C10" i="1"/>
  <c r="CP9" i="1"/>
  <c r="BJ9" i="1"/>
  <c r="AC9" i="1"/>
  <c r="F9" i="1"/>
  <c r="E8" i="1"/>
  <c r="CO7" i="1"/>
  <c r="BF7" i="1"/>
  <c r="AU7" i="1"/>
  <c r="AL7" i="1"/>
  <c r="AA7" i="1"/>
  <c r="CM6" i="1"/>
  <c r="BG6" i="1"/>
  <c r="AB6" i="1"/>
  <c r="E6" i="1"/>
  <c r="CP10" i="1"/>
  <c r="AR10" i="1"/>
  <c r="AF10" i="1"/>
  <c r="AA10" i="1"/>
  <c r="CL9" i="1"/>
  <c r="BN9" i="1"/>
  <c r="AE9" i="1"/>
  <c r="M9" i="1"/>
  <c r="G9" i="1" a="1"/>
  <c r="G9" i="1" s="1"/>
  <c r="C8" i="1"/>
  <c r="CP7" i="1"/>
  <c r="BG7" i="1"/>
  <c r="AJ7" i="1"/>
  <c r="AB7" i="1"/>
  <c r="H7" i="1"/>
  <c r="CU6" i="1"/>
  <c r="CO6" i="1"/>
  <c r="BP6" i="1" a="1"/>
  <c r="BP6" i="1" s="1"/>
  <c r="BI6" i="1"/>
  <c r="BD6" i="1"/>
  <c r="AK6" i="1" a="1"/>
  <c r="AK6" i="1" s="1"/>
  <c r="AC6" i="1"/>
  <c r="L6" i="1"/>
  <c r="F6" i="1"/>
  <c r="C6" i="1"/>
  <c r="CO10" i="1"/>
  <c r="AE10" i="1"/>
  <c r="G10" i="1" a="1"/>
  <c r="G10" i="1" s="1"/>
  <c r="BD9" i="1"/>
  <c r="AK9" i="1" a="1"/>
  <c r="AK9" i="1" s="1"/>
  <c r="AL9" i="1" s="1"/>
  <c r="L9" i="1"/>
  <c r="C9" i="1"/>
  <c r="BP7" i="1" a="1"/>
  <c r="BP7" i="1" s="1"/>
  <c r="AF7" i="1"/>
  <c r="BO6" i="1"/>
  <c r="AJ6" i="1"/>
  <c r="H6" i="1"/>
  <c r="B25" i="1"/>
  <c r="B20" i="1"/>
  <c r="AZ169" i="1" a="1"/>
  <c r="AZ169" i="1" s="1"/>
  <c r="BA169" i="1" s="1"/>
  <c r="AW169" i="1" a="1"/>
  <c r="AW169" i="1" s="1"/>
  <c r="AX169" i="1" s="1"/>
  <c r="AT169" i="1" a="1"/>
  <c r="AT169" i="1" s="1"/>
  <c r="AU169" i="1" s="1"/>
  <c r="AQ169" i="1" a="1"/>
  <c r="AQ169" i="1" s="1"/>
  <c r="AR169" i="1" s="1"/>
  <c r="AN169" i="1" a="1"/>
  <c r="AN169" i="1" s="1"/>
  <c r="AO169" i="1" s="1"/>
  <c r="AZ172" i="1" a="1"/>
  <c r="AZ172" i="1" s="1"/>
  <c r="BA172" i="1" s="1"/>
  <c r="AW172" i="1" a="1"/>
  <c r="AW172" i="1" s="1"/>
  <c r="AX172" i="1" s="1"/>
  <c r="AT172" i="1" a="1"/>
  <c r="AT172" i="1" s="1"/>
  <c r="AU172" i="1" s="1"/>
  <c r="AQ172" i="1" a="1"/>
  <c r="AQ172" i="1" s="1"/>
  <c r="AR172" i="1" s="1"/>
  <c r="AN172" i="1" a="1"/>
  <c r="AN172" i="1" s="1"/>
  <c r="AO172" i="1" s="1"/>
  <c r="AZ171" i="1" a="1"/>
  <c r="AZ171" i="1" s="1"/>
  <c r="BA171" i="1" s="1"/>
  <c r="AW171" i="1" a="1"/>
  <c r="AW171" i="1" s="1"/>
  <c r="AX171" i="1" s="1"/>
  <c r="AT171" i="1" a="1"/>
  <c r="AT171" i="1" s="1"/>
  <c r="AU171" i="1" s="1"/>
  <c r="AQ171" i="1" a="1"/>
  <c r="AQ171" i="1" s="1"/>
  <c r="AR171" i="1" s="1"/>
  <c r="AN171" i="1" a="1"/>
  <c r="AN171" i="1" s="1"/>
  <c r="AO171" i="1" s="1"/>
  <c r="AW168" i="1" a="1"/>
  <c r="AW168" i="1" s="1"/>
  <c r="AX168" i="1" s="1"/>
  <c r="AT168" i="1" a="1"/>
  <c r="AT168" i="1" s="1"/>
  <c r="AU168" i="1" s="1"/>
  <c r="AQ168" i="1" a="1"/>
  <c r="AQ168" i="1" s="1"/>
  <c r="AR168" i="1" s="1"/>
  <c r="AZ168" i="1" a="1"/>
  <c r="AZ168" i="1" s="1"/>
  <c r="BA168" i="1" s="1"/>
  <c r="AN168" i="1" a="1"/>
  <c r="AN168" i="1" s="1"/>
  <c r="AO168" i="1" s="1"/>
  <c r="BO130" i="1"/>
  <c r="BD130" i="1"/>
  <c r="AF130" i="1"/>
  <c r="AA130" i="1"/>
  <c r="BO129" i="1"/>
  <c r="AK129" i="1" a="1"/>
  <c r="AK129" i="1" s="1"/>
  <c r="AC129" i="1"/>
  <c r="L129" i="1"/>
  <c r="F129" i="1"/>
  <c r="C129" i="1"/>
  <c r="E128" i="1"/>
  <c r="BG127" i="1"/>
  <c r="AK130" i="1" a="1"/>
  <c r="AK130" i="1" s="1"/>
  <c r="AC130" i="1"/>
  <c r="L130" i="1"/>
  <c r="F130" i="1"/>
  <c r="BJ129" i="1"/>
  <c r="BD129" i="1"/>
  <c r="AF129" i="1"/>
  <c r="AA129" i="1"/>
  <c r="BO127" i="1"/>
  <c r="BE127" i="1"/>
  <c r="AJ127" i="1"/>
  <c r="AB127" i="1"/>
  <c r="H127" i="1"/>
  <c r="CU126" i="1"/>
  <c r="BJ126" i="1"/>
  <c r="BE126" i="1"/>
  <c r="AJ126" i="1"/>
  <c r="AB126" i="1"/>
  <c r="H126" i="1"/>
  <c r="E126" i="1"/>
  <c r="AE130" i="1"/>
  <c r="G130" i="1" a="1"/>
  <c r="G130" i="1" s="1"/>
  <c r="AE129" i="1"/>
  <c r="G129" i="1" a="1"/>
  <c r="G129" i="1" s="1"/>
  <c r="BD127" i="1"/>
  <c r="AE127" i="1"/>
  <c r="L127" i="1"/>
  <c r="BN126" i="1"/>
  <c r="BD126" i="1"/>
  <c r="AE126" i="1"/>
  <c r="L126" i="1"/>
  <c r="AB130" i="1"/>
  <c r="BP129" i="1" a="1"/>
  <c r="BP129" i="1" s="1"/>
  <c r="AB129" i="1"/>
  <c r="E129" i="1"/>
  <c r="BP127" i="1" a="1"/>
  <c r="BP127" i="1" s="1"/>
  <c r="AC127" i="1"/>
  <c r="C127" i="1"/>
  <c r="BI126" i="1"/>
  <c r="AC126" i="1"/>
  <c r="BP130" i="1" a="1"/>
  <c r="BP130" i="1" s="1"/>
  <c r="M130" i="1"/>
  <c r="C130" i="1"/>
  <c r="BN129" i="1"/>
  <c r="M129" i="1"/>
  <c r="C128" i="1"/>
  <c r="BJ127" i="1"/>
  <c r="AK127" i="1" a="1"/>
  <c r="AK127" i="1" s="1"/>
  <c r="AA127" i="1"/>
  <c r="G127" i="1" a="1"/>
  <c r="G127" i="1" s="1"/>
  <c r="BP126" i="1" a="1"/>
  <c r="BP126" i="1" s="1"/>
  <c r="BG126" i="1"/>
  <c r="AK126" i="1" a="1"/>
  <c r="AK126" i="1" s="1"/>
  <c r="AA126" i="1"/>
  <c r="G126" i="1" a="1"/>
  <c r="G126" i="1" s="1"/>
  <c r="C126" i="1"/>
  <c r="F127" i="1"/>
  <c r="AF126" i="1"/>
  <c r="BI129" i="1"/>
  <c r="AJ129" i="1"/>
  <c r="BF127" i="1"/>
  <c r="M126" i="1"/>
  <c r="BJ130" i="1"/>
  <c r="AJ130" i="1"/>
  <c r="H129" i="1"/>
  <c r="AF127" i="1"/>
  <c r="BO126" i="1"/>
  <c r="F126" i="1"/>
  <c r="M127" i="1"/>
  <c r="B129" i="1"/>
  <c r="BF126" i="1"/>
  <c r="H130" i="1"/>
  <c r="BT156" i="1"/>
  <c r="CE156" i="1"/>
  <c r="AZ112" i="1" a="1"/>
  <c r="AZ112" i="1" s="1"/>
  <c r="AN112" i="1" a="1"/>
  <c r="AN112" i="1" s="1"/>
  <c r="AT111" i="1" a="1"/>
  <c r="AT111" i="1" s="1"/>
  <c r="AQ109" i="1" a="1"/>
  <c r="AQ109" i="1" s="1"/>
  <c r="AQ108" i="1" a="1"/>
  <c r="AQ108" i="1" s="1"/>
  <c r="AQ112" i="1" a="1"/>
  <c r="AQ112" i="1" s="1"/>
  <c r="AW111" i="1" a="1"/>
  <c r="AW111" i="1" s="1"/>
  <c r="AT109" i="1" a="1"/>
  <c r="AT109" i="1" s="1"/>
  <c r="AT108" i="1" a="1"/>
  <c r="AT108" i="1" s="1"/>
  <c r="AT112" i="1" a="1"/>
  <c r="AT112" i="1" s="1"/>
  <c r="AZ111" i="1" a="1"/>
  <c r="AZ111" i="1" s="1"/>
  <c r="AN111" i="1" a="1"/>
  <c r="AN111" i="1" s="1"/>
  <c r="AW109" i="1" a="1"/>
  <c r="AW109" i="1" s="1"/>
  <c r="AW108" i="1" a="1"/>
  <c r="AW108" i="1" s="1"/>
  <c r="AZ108" i="1" a="1"/>
  <c r="AZ108" i="1" s="1"/>
  <c r="AN108" i="1" a="1"/>
  <c r="AN108" i="1" s="1"/>
  <c r="AW112" i="1" a="1"/>
  <c r="AW112" i="1" s="1"/>
  <c r="AZ109" i="1" a="1"/>
  <c r="AZ109" i="1" s="1"/>
  <c r="AN109" i="1" a="1"/>
  <c r="AN109" i="1" s="1"/>
  <c r="AQ111" i="1" a="1"/>
  <c r="AQ111" i="1" s="1"/>
  <c r="AZ184" i="1" a="1"/>
  <c r="AZ184" i="1" s="1"/>
  <c r="BA184" i="1" s="1"/>
  <c r="AW184" i="1" a="1"/>
  <c r="AW184" i="1" s="1"/>
  <c r="AX184" i="1" s="1"/>
  <c r="AT184" i="1" a="1"/>
  <c r="AT184" i="1" s="1"/>
  <c r="AQ184" i="1" a="1"/>
  <c r="AQ184" i="1" s="1"/>
  <c r="AR184" i="1" s="1"/>
  <c r="AN184" i="1" a="1"/>
  <c r="AN184" i="1" s="1"/>
  <c r="AO184" i="1" s="1"/>
  <c r="AZ180" i="1" a="1"/>
  <c r="AZ180" i="1" s="1"/>
  <c r="BA180" i="1" s="1"/>
  <c r="AW180" i="1" a="1"/>
  <c r="AW180" i="1" s="1"/>
  <c r="AX180" i="1" s="1"/>
  <c r="AT180" i="1" a="1"/>
  <c r="AT180" i="1" s="1"/>
  <c r="AQ180" i="1" a="1"/>
  <c r="AQ180" i="1" s="1"/>
  <c r="AR180" i="1" s="1"/>
  <c r="AN180" i="1" a="1"/>
  <c r="AN180" i="1" s="1"/>
  <c r="AO180" i="1" s="1"/>
  <c r="AZ183" i="1" a="1"/>
  <c r="AZ183" i="1" s="1"/>
  <c r="AW183" i="1" a="1"/>
  <c r="AW183" i="1" s="1"/>
  <c r="AX183" i="1" s="1"/>
  <c r="AT183" i="1" a="1"/>
  <c r="AT183" i="1" s="1"/>
  <c r="AU183" i="1" s="1"/>
  <c r="AQ183" i="1" a="1"/>
  <c r="AQ183" i="1" s="1"/>
  <c r="AR183" i="1" s="1"/>
  <c r="AN183" i="1" a="1"/>
  <c r="AN183" i="1" s="1"/>
  <c r="AZ181" i="1" a="1"/>
  <c r="AZ181" i="1" s="1"/>
  <c r="BA181" i="1" s="1"/>
  <c r="AW181" i="1" a="1"/>
  <c r="AW181" i="1" s="1"/>
  <c r="AX181" i="1" s="1"/>
  <c r="AT181" i="1" a="1"/>
  <c r="AT181" i="1" s="1"/>
  <c r="AQ181" i="1" a="1"/>
  <c r="AQ181" i="1" s="1"/>
  <c r="AR181" i="1" s="1"/>
  <c r="AN181" i="1" a="1"/>
  <c r="AN181" i="1" s="1"/>
  <c r="AO181" i="1" s="1"/>
  <c r="B12" i="1"/>
  <c r="AZ85" i="1" a="1"/>
  <c r="AZ85" i="1" s="1"/>
  <c r="BA85" i="1" s="1"/>
  <c r="B24" i="1"/>
  <c r="AL22" i="1"/>
  <c r="AF22" i="1"/>
  <c r="AA22" i="1"/>
  <c r="BP21" i="1" a="1"/>
  <c r="BP21" i="1" s="1"/>
  <c r="BI21" i="1"/>
  <c r="AJ21" i="1"/>
  <c r="AB21" i="1"/>
  <c r="H21" i="1"/>
  <c r="E21" i="1"/>
  <c r="BG19" i="1"/>
  <c r="AJ19" i="1"/>
  <c r="AB19" i="1"/>
  <c r="H19" i="1"/>
  <c r="CU18" i="1"/>
  <c r="BN18" i="1"/>
  <c r="BF18" i="1"/>
  <c r="AF18" i="1"/>
  <c r="AA18" i="1"/>
  <c r="BP22" i="1" a="1"/>
  <c r="BP22" i="1" s="1"/>
  <c r="AE22" i="1"/>
  <c r="M22" i="1"/>
  <c r="G22" i="1" a="1"/>
  <c r="G22" i="1" s="1"/>
  <c r="C22" i="1"/>
  <c r="BO21" i="1"/>
  <c r="AU21" i="1"/>
  <c r="AF21" i="1"/>
  <c r="AA21" i="1"/>
  <c r="BP19" i="1" a="1"/>
  <c r="BP19" i="1" s="1"/>
  <c r="BF19" i="1"/>
  <c r="AO19" i="1"/>
  <c r="AF19" i="1"/>
  <c r="AA19" i="1"/>
  <c r="BJ18" i="1"/>
  <c r="BE18" i="1"/>
  <c r="AE18" i="1"/>
  <c r="M18" i="1"/>
  <c r="G18" i="1" a="1"/>
  <c r="G18" i="1" s="1"/>
  <c r="AJ22" i="1"/>
  <c r="H22" i="1"/>
  <c r="AC21" i="1"/>
  <c r="F21" i="1"/>
  <c r="E20" i="1"/>
  <c r="BJ19" i="1"/>
  <c r="AC19" i="1"/>
  <c r="F19" i="1"/>
  <c r="BO18" i="1"/>
  <c r="H18" i="1"/>
  <c r="BO22" i="1"/>
  <c r="BD22" i="1"/>
  <c r="AK22" i="1" a="1"/>
  <c r="AK22" i="1" s="1"/>
  <c r="AC22" i="1"/>
  <c r="L22" i="1"/>
  <c r="F22" i="1"/>
  <c r="BN21" i="1"/>
  <c r="AE21" i="1"/>
  <c r="M21" i="1"/>
  <c r="G21" i="1" a="1"/>
  <c r="G21" i="1" s="1"/>
  <c r="C20" i="1"/>
  <c r="BO19" i="1"/>
  <c r="BE19" i="1"/>
  <c r="AE19" i="1"/>
  <c r="M19" i="1"/>
  <c r="G19" i="1" a="1"/>
  <c r="G19" i="1" s="1"/>
  <c r="C19" i="1"/>
  <c r="BP18" i="1" a="1"/>
  <c r="BP18" i="1" s="1"/>
  <c r="BI18" i="1"/>
  <c r="BD18" i="1"/>
  <c r="AK18" i="1" a="1"/>
  <c r="AK18" i="1" s="1"/>
  <c r="AL18" i="1" s="1"/>
  <c r="AC18" i="1"/>
  <c r="L18" i="1"/>
  <c r="F18" i="1"/>
  <c r="C18" i="1"/>
  <c r="BJ22" i="1"/>
  <c r="AB22" i="1"/>
  <c r="BJ21" i="1"/>
  <c r="BD21" i="1"/>
  <c r="AK21" i="1" a="1"/>
  <c r="AK21" i="1" s="1"/>
  <c r="AL21" i="1" s="1"/>
  <c r="L21" i="1"/>
  <c r="C21" i="1"/>
  <c r="BD19" i="1"/>
  <c r="AK19" i="1" a="1"/>
  <c r="AK19" i="1" s="1"/>
  <c r="AL19" i="1" s="1"/>
  <c r="L19" i="1"/>
  <c r="BG18" i="1"/>
  <c r="AJ18" i="1"/>
  <c r="AB18" i="1"/>
  <c r="E18" i="1"/>
  <c r="BO166" i="1"/>
  <c r="BD166" i="1"/>
  <c r="AE166" i="1"/>
  <c r="M166" i="1"/>
  <c r="G166" i="1" a="1"/>
  <c r="G166" i="1" s="1"/>
  <c r="C166" i="1"/>
  <c r="BJ165" i="1"/>
  <c r="BD165" i="1"/>
  <c r="BJ163" i="1"/>
  <c r="BD163" i="1"/>
  <c r="BO162" i="1"/>
  <c r="BG162" i="1"/>
  <c r="AC162" i="1"/>
  <c r="L162" i="1"/>
  <c r="F162" i="1"/>
  <c r="C162" i="1"/>
  <c r="BJ166" i="1"/>
  <c r="AC166" i="1"/>
  <c r="L166" i="1"/>
  <c r="F166" i="1"/>
  <c r="BI165" i="1"/>
  <c r="C164" i="1"/>
  <c r="BG163" i="1"/>
  <c r="C163" i="1"/>
  <c r="BN162" i="1"/>
  <c r="BF162" i="1"/>
  <c r="AJ162" i="1"/>
  <c r="AB162" i="1"/>
  <c r="H162" i="1"/>
  <c r="E162" i="1"/>
  <c r="AJ166" i="1"/>
  <c r="AB166" i="1"/>
  <c r="H166" i="1"/>
  <c r="BO165" i="1"/>
  <c r="F165" i="1"/>
  <c r="C165" i="1"/>
  <c r="E164" i="1"/>
  <c r="BF163" i="1"/>
  <c r="F163" i="1"/>
  <c r="BJ162" i="1"/>
  <c r="BE162" i="1"/>
  <c r="AF162" i="1"/>
  <c r="AA162" i="1"/>
  <c r="AA166" i="1"/>
  <c r="BD162" i="1"/>
  <c r="M162" i="1"/>
  <c r="BO163" i="1"/>
  <c r="CU162" i="1"/>
  <c r="G162" i="1" a="1"/>
  <c r="G162" i="1" s="1"/>
  <c r="E165" i="1"/>
  <c r="BE163" i="1"/>
  <c r="BP162" i="1" a="1"/>
  <c r="BP162" i="1" s="1"/>
  <c r="BN165" i="1"/>
  <c r="BI162" i="1"/>
  <c r="BP166" i="1" a="1"/>
  <c r="BP166" i="1" s="1"/>
  <c r="B165" i="1"/>
  <c r="AF166" i="1"/>
  <c r="AE162" i="1"/>
  <c r="B144" i="1"/>
  <c r="B128" i="1"/>
  <c r="BO142" i="1"/>
  <c r="BD142" i="1"/>
  <c r="AF142" i="1"/>
  <c r="AA142" i="1"/>
  <c r="BJ142" i="1"/>
  <c r="AE142" i="1"/>
  <c r="M142" i="1"/>
  <c r="G142" i="1" a="1"/>
  <c r="G142" i="1" s="1"/>
  <c r="C142" i="1"/>
  <c r="BN141" i="1"/>
  <c r="AJ141" i="1"/>
  <c r="AB141" i="1"/>
  <c r="H141" i="1"/>
  <c r="E141" i="1"/>
  <c r="BP139" i="1" a="1"/>
  <c r="BP139" i="1" s="1"/>
  <c r="BF139" i="1"/>
  <c r="AK139" i="1" a="1"/>
  <c r="AK139" i="1" s="1"/>
  <c r="AC139" i="1"/>
  <c r="L139" i="1"/>
  <c r="F139" i="1"/>
  <c r="BN138" i="1"/>
  <c r="BF138" i="1"/>
  <c r="AK138" i="1" a="1"/>
  <c r="AK138" i="1" s="1"/>
  <c r="AC138" i="1"/>
  <c r="L138" i="1"/>
  <c r="F138" i="1"/>
  <c r="C138" i="1"/>
  <c r="AK142" i="1" a="1"/>
  <c r="AK142" i="1" s="1"/>
  <c r="AC142" i="1"/>
  <c r="L142" i="1"/>
  <c r="F142" i="1"/>
  <c r="BJ141" i="1"/>
  <c r="BD141" i="1"/>
  <c r="AF141" i="1"/>
  <c r="AA141" i="1"/>
  <c r="BO139" i="1"/>
  <c r="BE139" i="1"/>
  <c r="AJ139" i="1"/>
  <c r="AB139" i="1"/>
  <c r="H139" i="1"/>
  <c r="CU138" i="1"/>
  <c r="BJ138" i="1"/>
  <c r="BE138" i="1"/>
  <c r="AJ138" i="1"/>
  <c r="AB138" i="1"/>
  <c r="H138" i="1"/>
  <c r="E138" i="1"/>
  <c r="H142" i="1"/>
  <c r="BO141" i="1"/>
  <c r="M141" i="1"/>
  <c r="C140" i="1"/>
  <c r="BJ139" i="1"/>
  <c r="AF139" i="1"/>
  <c r="BI138" i="1"/>
  <c r="AF138" i="1"/>
  <c r="BI141" i="1"/>
  <c r="AK141" i="1" a="1"/>
  <c r="AK141" i="1" s="1"/>
  <c r="L141" i="1"/>
  <c r="C141" i="1"/>
  <c r="BG139" i="1"/>
  <c r="AE139" i="1"/>
  <c r="G139" i="1" a="1"/>
  <c r="G139" i="1" s="1"/>
  <c r="BG138" i="1"/>
  <c r="AJ142" i="1"/>
  <c r="AE141" i="1"/>
  <c r="G141" i="1" a="1"/>
  <c r="G141" i="1" s="1"/>
  <c r="BD139" i="1"/>
  <c r="AA139" i="1"/>
  <c r="BP138" i="1" a="1"/>
  <c r="BP138" i="1" s="1"/>
  <c r="BD138" i="1"/>
  <c r="AA138" i="1"/>
  <c r="AC141" i="1"/>
  <c r="BO138" i="1"/>
  <c r="G138" i="1" a="1"/>
  <c r="G138" i="1" s="1"/>
  <c r="AB142" i="1"/>
  <c r="F141" i="1"/>
  <c r="BP142" i="1" a="1"/>
  <c r="BP142" i="1" s="1"/>
  <c r="BP141" i="1" a="1"/>
  <c r="BP141" i="1" s="1"/>
  <c r="E140" i="1"/>
  <c r="M139" i="1"/>
  <c r="AE138" i="1"/>
  <c r="C139" i="1"/>
  <c r="M138" i="1"/>
  <c r="AZ106" i="1" a="1"/>
  <c r="AZ106" i="1" s="1"/>
  <c r="AW106" i="1" a="1"/>
  <c r="AW106" i="1" s="1"/>
  <c r="AT106" i="1" a="1"/>
  <c r="AT106" i="1" s="1"/>
  <c r="AQ106" i="1" a="1"/>
  <c r="AQ106" i="1" s="1"/>
  <c r="AR106" i="1" s="1"/>
  <c r="AN106" i="1" a="1"/>
  <c r="AN106" i="1" s="1"/>
  <c r="AZ102" i="1" a="1"/>
  <c r="AZ102" i="1" s="1"/>
  <c r="AW102" i="1" a="1"/>
  <c r="AW102" i="1" s="1"/>
  <c r="AT102" i="1" a="1"/>
  <c r="AT102" i="1" s="1"/>
  <c r="AU102" i="1" s="1"/>
  <c r="AQ102" i="1" a="1"/>
  <c r="AQ102" i="1" s="1"/>
  <c r="AN102" i="1" a="1"/>
  <c r="AN102" i="1" s="1"/>
  <c r="AT105" i="1" a="1"/>
  <c r="AT105" i="1" s="1"/>
  <c r="AQ103" i="1" a="1"/>
  <c r="AQ103" i="1" s="1"/>
  <c r="AQ105" i="1" a="1"/>
  <c r="AQ105" i="1" s="1"/>
  <c r="AZ103" i="1" a="1"/>
  <c r="AZ103" i="1" s="1"/>
  <c r="AN103" i="1" a="1"/>
  <c r="AN103" i="1" s="1"/>
  <c r="AZ105" i="1" a="1"/>
  <c r="AZ105" i="1" s="1"/>
  <c r="BA105" i="1" s="1"/>
  <c r="AN105" i="1" a="1"/>
  <c r="AN105" i="1" s="1"/>
  <c r="AW103" i="1" a="1"/>
  <c r="AW103" i="1" s="1"/>
  <c r="AW105" i="1" a="1"/>
  <c r="AW105" i="1" s="1"/>
  <c r="AT103" i="1" a="1"/>
  <c r="AT103" i="1" s="1"/>
  <c r="AU103" i="1" s="1"/>
  <c r="BG156" i="1"/>
  <c r="CE160" i="1"/>
  <c r="BT160" i="1"/>
  <c r="BT136" i="1"/>
  <c r="CE136" i="1"/>
  <c r="CG136" i="1" s="1"/>
  <c r="BG132" i="1"/>
  <c r="AW124" i="1" a="1"/>
  <c r="AW124" i="1" s="1"/>
  <c r="AQ123" i="1" a="1"/>
  <c r="AQ123" i="1" s="1"/>
  <c r="AZ121" i="1" a="1"/>
  <c r="AZ121" i="1" s="1"/>
  <c r="AN121" i="1" a="1"/>
  <c r="AN121" i="1" s="1"/>
  <c r="AZ120" i="1" a="1"/>
  <c r="AZ120" i="1" s="1"/>
  <c r="AZ124" i="1" a="1"/>
  <c r="AZ124" i="1" s="1"/>
  <c r="AN123" i="1" a="1"/>
  <c r="AN123" i="1" s="1"/>
  <c r="AT121" i="1" a="1"/>
  <c r="AT121" i="1" s="1"/>
  <c r="AQ120" i="1" a="1"/>
  <c r="AQ120" i="1" s="1"/>
  <c r="AT124" i="1" a="1"/>
  <c r="AT124" i="1" s="1"/>
  <c r="AN124" i="1" a="1"/>
  <c r="AN124" i="1" s="1"/>
  <c r="AW123" i="1" a="1"/>
  <c r="AW123" i="1" s="1"/>
  <c r="AT120" i="1" a="1"/>
  <c r="AT120" i="1" s="1"/>
  <c r="AW121" i="1" a="1"/>
  <c r="AW121" i="1" s="1"/>
  <c r="AQ121" i="1" a="1"/>
  <c r="AQ121" i="1" s="1"/>
  <c r="AW120" i="1" a="1"/>
  <c r="AW120" i="1" s="1"/>
  <c r="AN120" i="1" a="1"/>
  <c r="AN120" i="1" s="1"/>
  <c r="AQ124" i="1" a="1"/>
  <c r="AQ124" i="1" s="1"/>
  <c r="AZ123" i="1" a="1"/>
  <c r="AZ123" i="1" s="1"/>
  <c r="AT123" i="1" a="1"/>
  <c r="AT123" i="1" s="1"/>
  <c r="AX100" i="1"/>
  <c r="AU100" i="1"/>
  <c r="AR100" i="1"/>
  <c r="AL100" i="1"/>
  <c r="AF100" i="1"/>
  <c r="AA100" i="1"/>
  <c r="BP99" i="1" a="1"/>
  <c r="BP99" i="1" s="1"/>
  <c r="BI99" i="1"/>
  <c r="AJ99" i="1"/>
  <c r="AB99" i="1"/>
  <c r="H99" i="1"/>
  <c r="E99" i="1"/>
  <c r="BG97" i="1"/>
  <c r="AJ97" i="1"/>
  <c r="AB97" i="1"/>
  <c r="H97" i="1"/>
  <c r="CU96" i="1"/>
  <c r="BN96" i="1"/>
  <c r="BF96" i="1"/>
  <c r="BA96" i="1"/>
  <c r="AX96" i="1"/>
  <c r="AU96" i="1"/>
  <c r="AO96" i="1"/>
  <c r="AF96" i="1"/>
  <c r="AA96" i="1"/>
  <c r="BP100" i="1" a="1"/>
  <c r="BP100" i="1" s="1"/>
  <c r="AE100" i="1"/>
  <c r="M100" i="1"/>
  <c r="G100" i="1" a="1"/>
  <c r="G100" i="1" s="1"/>
  <c r="C100" i="1"/>
  <c r="BO99" i="1"/>
  <c r="BA99" i="1"/>
  <c r="AX99" i="1"/>
  <c r="AU99" i="1"/>
  <c r="AR99" i="1"/>
  <c r="AO99" i="1"/>
  <c r="AF99" i="1"/>
  <c r="AA99" i="1"/>
  <c r="BP97" i="1" a="1"/>
  <c r="BP97" i="1" s="1"/>
  <c r="BF97" i="1"/>
  <c r="BA97" i="1"/>
  <c r="AU97" i="1"/>
  <c r="AO97" i="1"/>
  <c r="AF97" i="1"/>
  <c r="AA97" i="1"/>
  <c r="BJ96" i="1"/>
  <c r="BE96" i="1"/>
  <c r="AE96" i="1"/>
  <c r="M96" i="1"/>
  <c r="G96" i="1" a="1"/>
  <c r="G96" i="1" s="1"/>
  <c r="BO100" i="1"/>
  <c r="BD100" i="1"/>
  <c r="AK100" i="1" a="1"/>
  <c r="AK100" i="1" s="1"/>
  <c r="AC100" i="1"/>
  <c r="L100" i="1"/>
  <c r="F100" i="1"/>
  <c r="BN99" i="1"/>
  <c r="AE99" i="1"/>
  <c r="M99" i="1"/>
  <c r="G99" i="1" a="1"/>
  <c r="G99" i="1" s="1"/>
  <c r="C98" i="1"/>
  <c r="BO97" i="1"/>
  <c r="BE97" i="1"/>
  <c r="AE97" i="1"/>
  <c r="M97" i="1"/>
  <c r="G97" i="1" a="1"/>
  <c r="G97" i="1" s="1"/>
  <c r="C97" i="1"/>
  <c r="BP96" i="1" a="1"/>
  <c r="BP96" i="1" s="1"/>
  <c r="BI96" i="1"/>
  <c r="BD96" i="1"/>
  <c r="AK96" i="1" a="1"/>
  <c r="AK96" i="1" s="1"/>
  <c r="AL96" i="1" s="1"/>
  <c r="AC96" i="1"/>
  <c r="L96" i="1"/>
  <c r="F96" i="1"/>
  <c r="C96" i="1"/>
  <c r="L99" i="1"/>
  <c r="F97" i="1"/>
  <c r="H96" i="1"/>
  <c r="AJ100" i="1"/>
  <c r="F99" i="1"/>
  <c r="BJ97" i="1"/>
  <c r="AK97" i="1" a="1"/>
  <c r="AK97" i="1" s="1"/>
  <c r="AL97" i="1" s="1"/>
  <c r="B97" i="1"/>
  <c r="E96" i="1"/>
  <c r="BJ100" i="1"/>
  <c r="AB100" i="1"/>
  <c r="BJ99" i="1"/>
  <c r="AK99" i="1" a="1"/>
  <c r="AK99" i="1" s="1"/>
  <c r="AL99" i="1" s="1"/>
  <c r="C99" i="1"/>
  <c r="BD97" i="1"/>
  <c r="AC97" i="1"/>
  <c r="BO96" i="1"/>
  <c r="AJ96" i="1"/>
  <c r="H100" i="1"/>
  <c r="AC99" i="1"/>
  <c r="BD99" i="1"/>
  <c r="E98" i="1"/>
  <c r="L97" i="1"/>
  <c r="AB96" i="1"/>
  <c r="BG96" i="1"/>
  <c r="B96" i="1"/>
  <c r="AZ82" i="1" a="1"/>
  <c r="AZ82" i="1" s="1"/>
  <c r="BA82" i="1" s="1"/>
  <c r="AW82" i="1" a="1"/>
  <c r="AW82" i="1" s="1"/>
  <c r="AT82" i="1" a="1"/>
  <c r="AT82" i="1" s="1"/>
  <c r="AQ82" i="1" a="1"/>
  <c r="AQ82" i="1" s="1"/>
  <c r="AN82" i="1" a="1"/>
  <c r="AN82" i="1" s="1"/>
  <c r="AO82" i="1" s="1"/>
  <c r="AZ78" i="1" a="1"/>
  <c r="AZ78" i="1" s="1"/>
  <c r="AW78" i="1" a="1"/>
  <c r="AW78" i="1" s="1"/>
  <c r="AT78" i="1" a="1"/>
  <c r="AT78" i="1" s="1"/>
  <c r="AQ78" i="1" a="1"/>
  <c r="AQ78" i="1" s="1"/>
  <c r="AR78" i="1" s="1"/>
  <c r="AN78" i="1" a="1"/>
  <c r="AN78" i="1" s="1"/>
  <c r="AZ81" i="1" a="1"/>
  <c r="AZ81" i="1" s="1"/>
  <c r="AW81" i="1" a="1"/>
  <c r="AW81" i="1" s="1"/>
  <c r="AT81" i="1" a="1"/>
  <c r="AT81" i="1" s="1"/>
  <c r="AU81" i="1" s="1"/>
  <c r="AQ81" i="1" a="1"/>
  <c r="AQ81" i="1" s="1"/>
  <c r="AN81" i="1" a="1"/>
  <c r="AN81" i="1" s="1"/>
  <c r="AZ79" i="1" a="1"/>
  <c r="AZ79" i="1" s="1"/>
  <c r="AW79" i="1" a="1"/>
  <c r="AW79" i="1" s="1"/>
  <c r="AT79" i="1" a="1"/>
  <c r="AT79" i="1" s="1"/>
  <c r="AQ79" i="1" a="1"/>
  <c r="AQ79" i="1" s="1"/>
  <c r="AN79" i="1" a="1"/>
  <c r="AN79" i="1" s="1"/>
  <c r="BP70" i="1" a="1"/>
  <c r="BP70" i="1" s="1"/>
  <c r="AE70" i="1"/>
  <c r="M70" i="1"/>
  <c r="G70" i="1" a="1"/>
  <c r="G70" i="1" s="1"/>
  <c r="C70" i="1"/>
  <c r="BO69" i="1"/>
  <c r="BA69" i="1"/>
  <c r="AU69" i="1"/>
  <c r="AR69" i="1"/>
  <c r="AO69" i="1"/>
  <c r="AF69" i="1"/>
  <c r="AA69" i="1"/>
  <c r="BP67" i="1" a="1"/>
  <c r="BP67" i="1" s="1"/>
  <c r="BF67" i="1"/>
  <c r="BA67" i="1"/>
  <c r="AX67" i="1"/>
  <c r="AU67" i="1"/>
  <c r="AR67" i="1"/>
  <c r="AO67" i="1"/>
  <c r="AF67" i="1"/>
  <c r="AA67" i="1"/>
  <c r="BJ66" i="1"/>
  <c r="BE66" i="1"/>
  <c r="AE66" i="1"/>
  <c r="M66" i="1"/>
  <c r="G66" i="1" a="1"/>
  <c r="G66" i="1" s="1"/>
  <c r="BO70" i="1"/>
  <c r="BD70" i="1"/>
  <c r="AK70" i="1" a="1"/>
  <c r="AK70" i="1" s="1"/>
  <c r="AC70" i="1"/>
  <c r="L70" i="1"/>
  <c r="F70" i="1"/>
  <c r="BN69" i="1"/>
  <c r="AE69" i="1"/>
  <c r="M69" i="1"/>
  <c r="G69" i="1" a="1"/>
  <c r="G69" i="1" s="1"/>
  <c r="C68" i="1"/>
  <c r="BO67" i="1"/>
  <c r="BE67" i="1"/>
  <c r="AE67" i="1"/>
  <c r="M67" i="1"/>
  <c r="G67" i="1" a="1"/>
  <c r="G67" i="1" s="1"/>
  <c r="C67" i="1"/>
  <c r="BP66" i="1" a="1"/>
  <c r="BP66" i="1" s="1"/>
  <c r="BI66" i="1"/>
  <c r="BD66" i="1"/>
  <c r="AK66" i="1" a="1"/>
  <c r="AK66" i="1" s="1"/>
  <c r="AC66" i="1"/>
  <c r="L66" i="1"/>
  <c r="F66" i="1"/>
  <c r="C66" i="1"/>
  <c r="BJ70" i="1"/>
  <c r="AJ70" i="1"/>
  <c r="AB70" i="1"/>
  <c r="H70" i="1"/>
  <c r="BJ69" i="1"/>
  <c r="BD69" i="1"/>
  <c r="AK69" i="1" a="1"/>
  <c r="AK69" i="1" s="1"/>
  <c r="AL69" i="1" s="1"/>
  <c r="AC69" i="1"/>
  <c r="L69" i="1"/>
  <c r="F69" i="1"/>
  <c r="C69" i="1"/>
  <c r="E68" i="1"/>
  <c r="BJ67" i="1"/>
  <c r="BD67" i="1"/>
  <c r="AK67" i="1" a="1"/>
  <c r="AK67" i="1" s="1"/>
  <c r="AL67" i="1" s="1"/>
  <c r="AC67" i="1"/>
  <c r="L67" i="1"/>
  <c r="F67" i="1"/>
  <c r="BO66" i="1"/>
  <c r="BG66" i="1"/>
  <c r="AJ66" i="1"/>
  <c r="AB66" i="1"/>
  <c r="H66" i="1"/>
  <c r="E66" i="1"/>
  <c r="AX70" i="1"/>
  <c r="H69" i="1"/>
  <c r="AJ67" i="1"/>
  <c r="CU66" i="1"/>
  <c r="AX66" i="1"/>
  <c r="AU70" i="1"/>
  <c r="AL70" i="1"/>
  <c r="E69" i="1"/>
  <c r="BG67" i="1"/>
  <c r="AB67" i="1"/>
  <c r="BN66" i="1"/>
  <c r="AL66" i="1"/>
  <c r="AF70" i="1"/>
  <c r="BP69" i="1" a="1"/>
  <c r="BP69" i="1" s="1"/>
  <c r="AJ69" i="1"/>
  <c r="B69" i="1"/>
  <c r="H67" i="1"/>
  <c r="BF66" i="1"/>
  <c r="AR66" i="1"/>
  <c r="AF66" i="1"/>
  <c r="AA70" i="1"/>
  <c r="AB69" i="1"/>
  <c r="AA66" i="1"/>
  <c r="BA70" i="1"/>
  <c r="BI69" i="1"/>
  <c r="BA66" i="1"/>
  <c r="AO70" i="1"/>
  <c r="AO66" i="1"/>
  <c r="BG90" i="1"/>
  <c r="B86" i="1"/>
  <c r="B88" i="1"/>
  <c r="AZ76" i="1" a="1"/>
  <c r="AZ76" i="1" s="1"/>
  <c r="AW76" i="1" a="1"/>
  <c r="AW76" i="1" s="1"/>
  <c r="AT76" i="1" a="1"/>
  <c r="AT76" i="1" s="1"/>
  <c r="AQ76" i="1" a="1"/>
  <c r="AQ76" i="1" s="1"/>
  <c r="AN76" i="1" a="1"/>
  <c r="AN76" i="1" s="1"/>
  <c r="AZ72" i="1" a="1"/>
  <c r="AZ72" i="1" s="1"/>
  <c r="BA72" i="1" s="1"/>
  <c r="AW72" i="1" a="1"/>
  <c r="AW72" i="1" s="1"/>
  <c r="AT72" i="1" a="1"/>
  <c r="AT72" i="1" s="1"/>
  <c r="AQ72" i="1" a="1"/>
  <c r="AQ72" i="1" s="1"/>
  <c r="AN72" i="1" a="1"/>
  <c r="AN72" i="1" s="1"/>
  <c r="AO72" i="1" s="1"/>
  <c r="AZ75" i="1" a="1"/>
  <c r="AZ75" i="1" s="1"/>
  <c r="AW75" i="1" a="1"/>
  <c r="AW75" i="1" s="1"/>
  <c r="AT75" i="1" a="1"/>
  <c r="AT75" i="1" s="1"/>
  <c r="AQ75" i="1" a="1"/>
  <c r="AQ75" i="1" s="1"/>
  <c r="AR75" i="1" s="1"/>
  <c r="AN75" i="1" a="1"/>
  <c r="AN75" i="1" s="1"/>
  <c r="AZ73" i="1" a="1"/>
  <c r="AZ73" i="1" s="1"/>
  <c r="AW73" i="1" a="1"/>
  <c r="AW73" i="1" s="1"/>
  <c r="AT73" i="1" a="1"/>
  <c r="AT73" i="1" s="1"/>
  <c r="AQ73" i="1" a="1"/>
  <c r="AQ73" i="1" s="1"/>
  <c r="AN73" i="1" a="1"/>
  <c r="AN73" i="1" s="1"/>
  <c r="AN61" i="1" a="1"/>
  <c r="AN61" i="1" s="1"/>
  <c r="AZ61" i="1" a="1"/>
  <c r="AZ61" i="1" s="1"/>
  <c r="BA61" i="1" s="1"/>
  <c r="AW63" i="1" a="1"/>
  <c r="AW63" i="1" s="1"/>
  <c r="BJ40" i="1"/>
  <c r="AJ40" i="1"/>
  <c r="AB40" i="1"/>
  <c r="H40" i="1"/>
  <c r="BJ39" i="1"/>
  <c r="BD39" i="1"/>
  <c r="AK39" i="1" a="1"/>
  <c r="AK39" i="1" s="1"/>
  <c r="AL39" i="1" s="1"/>
  <c r="AC39" i="1"/>
  <c r="L39" i="1"/>
  <c r="F39" i="1"/>
  <c r="C39" i="1"/>
  <c r="E38" i="1"/>
  <c r="BJ37" i="1"/>
  <c r="BD37" i="1"/>
  <c r="AK37" i="1" a="1"/>
  <c r="AK37" i="1" s="1"/>
  <c r="AC37" i="1"/>
  <c r="L37" i="1"/>
  <c r="F37" i="1"/>
  <c r="BO36" i="1"/>
  <c r="BG36" i="1"/>
  <c r="AJ36" i="1"/>
  <c r="AB36" i="1"/>
  <c r="H36" i="1"/>
  <c r="E36" i="1"/>
  <c r="AL40" i="1"/>
  <c r="AF40" i="1"/>
  <c r="AA40" i="1"/>
  <c r="BP39" i="1" a="1"/>
  <c r="BP39" i="1" s="1"/>
  <c r="BI39" i="1"/>
  <c r="AJ39" i="1"/>
  <c r="AB39" i="1"/>
  <c r="H39" i="1"/>
  <c r="E39" i="1"/>
  <c r="BG37" i="1"/>
  <c r="AJ37" i="1"/>
  <c r="AB37" i="1"/>
  <c r="H37" i="1"/>
  <c r="CU36" i="1"/>
  <c r="BN36" i="1"/>
  <c r="BF36" i="1"/>
  <c r="AX36" i="1"/>
  <c r="AL36" i="1"/>
  <c r="AF36" i="1"/>
  <c r="AA36" i="1"/>
  <c r="BD40" i="1"/>
  <c r="M40" i="1"/>
  <c r="C40" i="1"/>
  <c r="AE39" i="1"/>
  <c r="G39" i="1" a="1"/>
  <c r="G39" i="1" s="1"/>
  <c r="BO37" i="1"/>
  <c r="AF37" i="1"/>
  <c r="BE36" i="1"/>
  <c r="AC36" i="1"/>
  <c r="F36" i="1"/>
  <c r="AU37" i="1"/>
  <c r="M37" i="1"/>
  <c r="BI36" i="1"/>
  <c r="AE36" i="1"/>
  <c r="BP40" i="1" a="1"/>
  <c r="BP40" i="1" s="1"/>
  <c r="AK40" i="1" a="1"/>
  <c r="AK40" i="1" s="1"/>
  <c r="L40" i="1"/>
  <c r="AA39" i="1"/>
  <c r="BF37" i="1"/>
  <c r="AE37" i="1"/>
  <c r="G37" i="1" a="1"/>
  <c r="G37" i="1" s="1"/>
  <c r="BP36" i="1" a="1"/>
  <c r="BP36" i="1" s="1"/>
  <c r="BD36" i="1"/>
  <c r="M36" i="1"/>
  <c r="C37" i="1"/>
  <c r="BO40" i="1"/>
  <c r="AE40" i="1"/>
  <c r="G40" i="1" a="1"/>
  <c r="G40" i="1" s="1"/>
  <c r="BO39" i="1"/>
  <c r="M39" i="1"/>
  <c r="C38" i="1"/>
  <c r="BE37" i="1"/>
  <c r="AL37" i="1"/>
  <c r="AA37" i="1"/>
  <c r="BJ36" i="1"/>
  <c r="AK36" i="1" a="1"/>
  <c r="AK36" i="1" s="1"/>
  <c r="L36" i="1"/>
  <c r="C36" i="1"/>
  <c r="AC40" i="1"/>
  <c r="F40" i="1"/>
  <c r="BN39" i="1"/>
  <c r="AF39" i="1"/>
  <c r="BP37" i="1" a="1"/>
  <c r="BP37" i="1" s="1"/>
  <c r="G36" i="1" a="1"/>
  <c r="G36" i="1" s="1"/>
  <c r="B37" i="1"/>
  <c r="BJ58" i="1"/>
  <c r="AJ58" i="1"/>
  <c r="AB58" i="1"/>
  <c r="H58" i="1"/>
  <c r="BJ57" i="1"/>
  <c r="BD57" i="1"/>
  <c r="AK57" i="1" a="1"/>
  <c r="AK57" i="1" s="1"/>
  <c r="AL57" i="1" s="1"/>
  <c r="AC57" i="1"/>
  <c r="L57" i="1"/>
  <c r="F57" i="1"/>
  <c r="C57" i="1"/>
  <c r="E56" i="1"/>
  <c r="BJ55" i="1"/>
  <c r="BD55" i="1"/>
  <c r="AK55" i="1" a="1"/>
  <c r="AK55" i="1" s="1"/>
  <c r="AC55" i="1"/>
  <c r="L55" i="1"/>
  <c r="F55" i="1"/>
  <c r="BO54" i="1"/>
  <c r="BG54" i="1"/>
  <c r="AJ54" i="1"/>
  <c r="AB54" i="1"/>
  <c r="H54" i="1"/>
  <c r="E54" i="1"/>
  <c r="BA58" i="1"/>
  <c r="AU58" i="1"/>
  <c r="AR58" i="1"/>
  <c r="AO58" i="1"/>
  <c r="AF58" i="1"/>
  <c r="AA58" i="1"/>
  <c r="BP57" i="1" a="1"/>
  <c r="BP57" i="1" s="1"/>
  <c r="BI57" i="1"/>
  <c r="AJ57" i="1"/>
  <c r="AB57" i="1"/>
  <c r="H57" i="1"/>
  <c r="E57" i="1"/>
  <c r="BG55" i="1"/>
  <c r="AJ55" i="1"/>
  <c r="AB55" i="1"/>
  <c r="H55" i="1"/>
  <c r="CU54" i="1"/>
  <c r="BN54" i="1"/>
  <c r="BF54" i="1"/>
  <c r="BA54" i="1"/>
  <c r="AX54" i="1"/>
  <c r="AU54" i="1"/>
  <c r="AR54" i="1"/>
  <c r="AO54" i="1"/>
  <c r="AL54" i="1"/>
  <c r="AF54" i="1"/>
  <c r="AA54" i="1"/>
  <c r="BP58" i="1" a="1"/>
  <c r="BP58" i="1" s="1"/>
  <c r="AE58" i="1"/>
  <c r="M58" i="1"/>
  <c r="G58" i="1" a="1"/>
  <c r="G58" i="1" s="1"/>
  <c r="C58" i="1"/>
  <c r="BO57" i="1"/>
  <c r="BA57" i="1"/>
  <c r="AU57" i="1"/>
  <c r="AR57" i="1"/>
  <c r="AO57" i="1"/>
  <c r="AF57" i="1"/>
  <c r="AA57" i="1"/>
  <c r="BP55" i="1" a="1"/>
  <c r="BP55" i="1" s="1"/>
  <c r="BF55" i="1"/>
  <c r="AX55" i="1"/>
  <c r="AU55" i="1"/>
  <c r="AR55" i="1"/>
  <c r="AL55" i="1"/>
  <c r="AF55" i="1"/>
  <c r="AA55" i="1"/>
  <c r="BJ54" i="1"/>
  <c r="BE54" i="1"/>
  <c r="L58" i="1"/>
  <c r="AE57" i="1"/>
  <c r="M55" i="1"/>
  <c r="BI54" i="1"/>
  <c r="AK54" i="1" a="1"/>
  <c r="AK54" i="1" s="1"/>
  <c r="L54" i="1"/>
  <c r="C54" i="1"/>
  <c r="F58" i="1"/>
  <c r="M57" i="1"/>
  <c r="C56" i="1"/>
  <c r="G55" i="1" a="1"/>
  <c r="G55" i="1" s="1"/>
  <c r="BD54" i="1"/>
  <c r="AE54" i="1"/>
  <c r="G54" i="1" a="1"/>
  <c r="G54" i="1" s="1"/>
  <c r="BD58" i="1"/>
  <c r="BN57" i="1"/>
  <c r="AE55" i="1"/>
  <c r="BO58" i="1"/>
  <c r="AK58" i="1" a="1"/>
  <c r="AK58" i="1" s="1"/>
  <c r="AL58" i="1" s="1"/>
  <c r="G57" i="1" a="1"/>
  <c r="G57" i="1" s="1"/>
  <c r="BO55" i="1"/>
  <c r="C55" i="1"/>
  <c r="AC54" i="1"/>
  <c r="F54" i="1"/>
  <c r="AC58" i="1"/>
  <c r="BE55" i="1"/>
  <c r="BP54" i="1" a="1"/>
  <c r="BP54" i="1" s="1"/>
  <c r="M54" i="1"/>
  <c r="B54" i="1"/>
  <c r="BJ46" i="1"/>
  <c r="AJ46" i="1"/>
  <c r="AB46" i="1"/>
  <c r="H46" i="1"/>
  <c r="BJ45" i="1"/>
  <c r="BD45" i="1"/>
  <c r="AK45" i="1" a="1"/>
  <c r="AK45" i="1" s="1"/>
  <c r="AC45" i="1"/>
  <c r="L45" i="1"/>
  <c r="F45" i="1"/>
  <c r="C45" i="1"/>
  <c r="E44" i="1"/>
  <c r="BJ43" i="1"/>
  <c r="BD43" i="1"/>
  <c r="AK43" i="1" a="1"/>
  <c r="AK43" i="1" s="1"/>
  <c r="AL43" i="1" s="1"/>
  <c r="AC43" i="1"/>
  <c r="L43" i="1"/>
  <c r="F43" i="1"/>
  <c r="BO42" i="1"/>
  <c r="BG42" i="1"/>
  <c r="AJ42" i="1"/>
  <c r="AB42" i="1"/>
  <c r="H42" i="1"/>
  <c r="E42" i="1"/>
  <c r="AU46" i="1"/>
  <c r="AF46" i="1"/>
  <c r="AA46" i="1"/>
  <c r="BP45" i="1" a="1"/>
  <c r="BP45" i="1" s="1"/>
  <c r="BI45" i="1"/>
  <c r="AJ45" i="1"/>
  <c r="AB45" i="1"/>
  <c r="H45" i="1"/>
  <c r="E45" i="1"/>
  <c r="BG43" i="1"/>
  <c r="AJ43" i="1"/>
  <c r="AB43" i="1"/>
  <c r="H43" i="1"/>
  <c r="CU42" i="1"/>
  <c r="BN42" i="1"/>
  <c r="BF42" i="1"/>
  <c r="AF42" i="1"/>
  <c r="AA42" i="1"/>
  <c r="BO46" i="1"/>
  <c r="AE46" i="1"/>
  <c r="G46" i="1" a="1"/>
  <c r="G46" i="1" s="1"/>
  <c r="BO45" i="1"/>
  <c r="AU45" i="1"/>
  <c r="M45" i="1"/>
  <c r="C44" i="1"/>
  <c r="BE43" i="1"/>
  <c r="AA43" i="1"/>
  <c r="BJ42" i="1"/>
  <c r="AK42" i="1" a="1"/>
  <c r="AK42" i="1" s="1"/>
  <c r="AL42" i="1" s="1"/>
  <c r="L42" i="1"/>
  <c r="C42" i="1"/>
  <c r="BP46" i="1" a="1"/>
  <c r="BP46" i="1" s="1"/>
  <c r="L46" i="1"/>
  <c r="AC46" i="1"/>
  <c r="F46" i="1"/>
  <c r="BN45" i="1"/>
  <c r="AF45" i="1"/>
  <c r="BP43" i="1" a="1"/>
  <c r="BP43" i="1" s="1"/>
  <c r="AO43" i="1"/>
  <c r="M43" i="1"/>
  <c r="C43" i="1"/>
  <c r="BI42" i="1"/>
  <c r="AE42" i="1"/>
  <c r="G42" i="1" a="1"/>
  <c r="G42" i="1" s="1"/>
  <c r="AK46" i="1" a="1"/>
  <c r="AK46" i="1" s="1"/>
  <c r="AL46" i="1" s="1"/>
  <c r="AA45" i="1"/>
  <c r="BF43" i="1"/>
  <c r="AE43" i="1"/>
  <c r="G43" i="1" a="1"/>
  <c r="G43" i="1" s="1"/>
  <c r="BP42" i="1" a="1"/>
  <c r="BP42" i="1" s="1"/>
  <c r="BD42" i="1"/>
  <c r="M42" i="1"/>
  <c r="BD46" i="1"/>
  <c r="M46" i="1"/>
  <c r="C46" i="1"/>
  <c r="AR45" i="1"/>
  <c r="AE45" i="1"/>
  <c r="G45" i="1" a="1"/>
  <c r="G45" i="1" s="1"/>
  <c r="BO43" i="1"/>
  <c r="AF43" i="1"/>
  <c r="BE42" i="1"/>
  <c r="AC42" i="1"/>
  <c r="F42" i="1"/>
  <c r="AL45" i="1"/>
  <c r="B43" i="1"/>
  <c r="B14" i="1"/>
  <c r="AT85" i="1" a="1"/>
  <c r="AT85" i="1" s="1"/>
  <c r="AQ87" i="1" a="1"/>
  <c r="AQ87" i="1" s="1"/>
  <c r="AR87" i="1" s="1"/>
  <c r="AN84" i="1" a="1"/>
  <c r="AN84" i="1" s="1"/>
  <c r="AO84" i="1" s="1"/>
  <c r="AZ84" i="1" a="1"/>
  <c r="AZ84" i="1" s="1"/>
  <c r="BA84" i="1" s="1"/>
  <c r="AW88" i="1" a="1"/>
  <c r="AW88" i="1" s="1"/>
  <c r="AZ10" i="1" a="1"/>
  <c r="AZ10" i="1" s="1"/>
  <c r="BA10" i="1" s="1"/>
  <c r="AW10" i="1" a="1"/>
  <c r="AW10" i="1" s="1"/>
  <c r="AX10" i="1" s="1"/>
  <c r="AT10" i="1" a="1"/>
  <c r="AT10" i="1" s="1"/>
  <c r="AU10" i="1" s="1"/>
  <c r="AQ10" i="1" a="1"/>
  <c r="AQ10" i="1" s="1"/>
  <c r="AN10" i="1" a="1"/>
  <c r="AN10" i="1" s="1"/>
  <c r="AO10" i="1" s="1"/>
  <c r="AZ7" i="1" a="1"/>
  <c r="AZ7" i="1" s="1"/>
  <c r="BA7" i="1" s="1"/>
  <c r="AW7" i="1" a="1"/>
  <c r="AW7" i="1" s="1"/>
  <c r="AX7" i="1" s="1"/>
  <c r="AT7" i="1" a="1"/>
  <c r="AT7" i="1" s="1"/>
  <c r="AQ7" i="1" a="1"/>
  <c r="AQ7" i="1" s="1"/>
  <c r="AR7" i="1" s="1"/>
  <c r="AN7" i="1" a="1"/>
  <c r="AN7" i="1" s="1"/>
  <c r="AO7" i="1" s="1"/>
  <c r="AZ9" i="1" a="1"/>
  <c r="AZ9" i="1" s="1"/>
  <c r="AT9" i="1" a="1"/>
  <c r="AT9" i="1" s="1"/>
  <c r="AU9" i="1" s="1"/>
  <c r="AN9" i="1" a="1"/>
  <c r="AN9" i="1" s="1"/>
  <c r="AO9" i="1" s="1"/>
  <c r="AZ6" i="1" a="1"/>
  <c r="AZ6" i="1" s="1"/>
  <c r="BA6" i="1" s="1"/>
  <c r="AW6" i="1" a="1"/>
  <c r="AW6" i="1" s="1"/>
  <c r="AX6" i="1" s="1"/>
  <c r="AT6" i="1" a="1"/>
  <c r="AT6" i="1" s="1"/>
  <c r="AU6" i="1" s="1"/>
  <c r="AQ6" i="1" a="1"/>
  <c r="AQ6" i="1" s="1"/>
  <c r="AR6" i="1" s="1"/>
  <c r="AN6" i="1" a="1"/>
  <c r="AN6" i="1" s="1"/>
  <c r="AO6" i="1" s="1"/>
  <c r="AW9" i="1" a="1"/>
  <c r="AW9" i="1" s="1"/>
  <c r="AX9" i="1" s="1"/>
  <c r="AQ9" i="1" a="1"/>
  <c r="AQ9" i="1" s="1"/>
  <c r="AR9" i="1" s="1"/>
  <c r="B9" i="1"/>
  <c r="B26" i="1"/>
  <c r="B18" i="1"/>
  <c r="B21" i="1"/>
  <c r="BA178" i="1"/>
  <c r="AO178" i="1"/>
  <c r="AF178" i="1"/>
  <c r="AA178" i="1"/>
  <c r="BP177" i="1" a="1"/>
  <c r="BP177" i="1" s="1"/>
  <c r="BI177" i="1"/>
  <c r="BB177" i="1"/>
  <c r="AY177" i="1"/>
  <c r="AV177" i="1"/>
  <c r="AS177" i="1"/>
  <c r="AP177" i="1"/>
  <c r="AJ177" i="1"/>
  <c r="AB177" i="1"/>
  <c r="H177" i="1"/>
  <c r="E177" i="1"/>
  <c r="BG175" i="1"/>
  <c r="BB175" i="1"/>
  <c r="AY175" i="1"/>
  <c r="AV175" i="1"/>
  <c r="AS175" i="1"/>
  <c r="AP175" i="1"/>
  <c r="AM175" i="1"/>
  <c r="AJ175" i="1"/>
  <c r="AB175" i="1"/>
  <c r="BP178" i="1" a="1"/>
  <c r="BP178" i="1" s="1"/>
  <c r="AE178" i="1"/>
  <c r="M178" i="1"/>
  <c r="G178" i="1" a="1"/>
  <c r="G178" i="1" s="1"/>
  <c r="C178" i="1"/>
  <c r="BO177" i="1"/>
  <c r="AU177" i="1"/>
  <c r="AF177" i="1"/>
  <c r="AA177" i="1"/>
  <c r="BP175" i="1" a="1"/>
  <c r="BP175" i="1" s="1"/>
  <c r="BF175" i="1"/>
  <c r="BA175" i="1"/>
  <c r="AO175" i="1"/>
  <c r="AF175" i="1"/>
  <c r="BO178" i="1"/>
  <c r="BD178" i="1"/>
  <c r="AK178" i="1" a="1"/>
  <c r="AK178" i="1" s="1"/>
  <c r="AL178" i="1" s="1"/>
  <c r="AC178" i="1"/>
  <c r="L178" i="1"/>
  <c r="F178" i="1"/>
  <c r="BN177" i="1"/>
  <c r="AE177" i="1"/>
  <c r="M177" i="1"/>
  <c r="G177" i="1" a="1"/>
  <c r="G177" i="1" s="1"/>
  <c r="C176" i="1"/>
  <c r="BO175" i="1"/>
  <c r="BE175" i="1"/>
  <c r="BJ178" i="1"/>
  <c r="BB178" i="1"/>
  <c r="AY178" i="1"/>
  <c r="AV178" i="1"/>
  <c r="AS178" i="1"/>
  <c r="AP178" i="1"/>
  <c r="AJ178" i="1"/>
  <c r="AB178" i="1"/>
  <c r="H178" i="1"/>
  <c r="BJ177" i="1"/>
  <c r="BD177" i="1"/>
  <c r="AK177" i="1" a="1"/>
  <c r="AK177" i="1" s="1"/>
  <c r="AL177" i="1" s="1"/>
  <c r="AC177" i="1"/>
  <c r="L177" i="1"/>
  <c r="F177" i="1"/>
  <c r="C177" i="1"/>
  <c r="E176" i="1"/>
  <c r="BJ175" i="1"/>
  <c r="BD175" i="1"/>
  <c r="AK175" i="1" a="1"/>
  <c r="AK175" i="1" s="1"/>
  <c r="AL175" i="1" s="1"/>
  <c r="AC175" i="1"/>
  <c r="L175" i="1"/>
  <c r="F175" i="1"/>
  <c r="M175" i="1"/>
  <c r="CU174" i="1"/>
  <c r="BN174" i="1"/>
  <c r="BF174" i="1"/>
  <c r="AX174" i="1"/>
  <c r="AL174" i="1"/>
  <c r="AF174" i="1"/>
  <c r="AA174" i="1"/>
  <c r="H175" i="1"/>
  <c r="BJ174" i="1"/>
  <c r="BE174" i="1"/>
  <c r="AE174" i="1"/>
  <c r="M174" i="1"/>
  <c r="G174" i="1" a="1"/>
  <c r="G174" i="1" s="1"/>
  <c r="AE175" i="1"/>
  <c r="C175" i="1"/>
  <c r="BP174" i="1" a="1"/>
  <c r="BP174" i="1" s="1"/>
  <c r="BI174" i="1"/>
  <c r="BD174" i="1"/>
  <c r="AK174" i="1" a="1"/>
  <c r="AK174" i="1" s="1"/>
  <c r="AC174" i="1"/>
  <c r="L174" i="1"/>
  <c r="F174" i="1"/>
  <c r="C174" i="1"/>
  <c r="E174" i="1"/>
  <c r="BO174" i="1"/>
  <c r="AJ174" i="1"/>
  <c r="AA175" i="1"/>
  <c r="BG174" i="1"/>
  <c r="AB174" i="1"/>
  <c r="B174" i="1"/>
  <c r="G175" i="1" a="1"/>
  <c r="G175" i="1" s="1"/>
  <c r="H174" i="1"/>
  <c r="BP118" i="1" a="1"/>
  <c r="BP118" i="1" s="1"/>
  <c r="AJ118" i="1"/>
  <c r="AB118" i="1"/>
  <c r="H118" i="1"/>
  <c r="BP117" i="1" a="1"/>
  <c r="BP117" i="1" s="1"/>
  <c r="BI117" i="1"/>
  <c r="AE117" i="1"/>
  <c r="M117" i="1"/>
  <c r="G117" i="1" a="1"/>
  <c r="G117" i="1" s="1"/>
  <c r="C116" i="1"/>
  <c r="BJ115" i="1"/>
  <c r="BD115" i="1"/>
  <c r="AF115" i="1"/>
  <c r="AA115" i="1"/>
  <c r="BP114" i="1" a="1"/>
  <c r="BP114" i="1" s="1"/>
  <c r="BI114" i="1"/>
  <c r="BD114" i="1"/>
  <c r="AF114" i="1"/>
  <c r="AA114" i="1"/>
  <c r="BO118" i="1"/>
  <c r="BD118" i="1"/>
  <c r="AF118" i="1"/>
  <c r="AA118" i="1"/>
  <c r="BO117" i="1"/>
  <c r="AK117" i="1" a="1"/>
  <c r="AK117" i="1" s="1"/>
  <c r="AC117" i="1"/>
  <c r="L117" i="1"/>
  <c r="F117" i="1"/>
  <c r="C117" i="1"/>
  <c r="E116" i="1"/>
  <c r="BG115" i="1"/>
  <c r="AE115" i="1"/>
  <c r="M115" i="1"/>
  <c r="G115" i="1" a="1"/>
  <c r="G115" i="1" s="1"/>
  <c r="C115" i="1"/>
  <c r="BO114" i="1"/>
  <c r="BG114" i="1"/>
  <c r="AE114" i="1"/>
  <c r="M114" i="1"/>
  <c r="G114" i="1" a="1"/>
  <c r="G114" i="1" s="1"/>
  <c r="BJ118" i="1"/>
  <c r="AE118" i="1"/>
  <c r="M118" i="1"/>
  <c r="G118" i="1" a="1"/>
  <c r="G118" i="1" s="1"/>
  <c r="C118" i="1"/>
  <c r="BN117" i="1"/>
  <c r="AJ117" i="1"/>
  <c r="AB117" i="1"/>
  <c r="H117" i="1"/>
  <c r="E117" i="1"/>
  <c r="BP115" i="1" a="1"/>
  <c r="BP115" i="1" s="1"/>
  <c r="BF115" i="1"/>
  <c r="AK115" i="1" a="1"/>
  <c r="AK115" i="1" s="1"/>
  <c r="AC115" i="1"/>
  <c r="L115" i="1"/>
  <c r="F115" i="1"/>
  <c r="BN114" i="1"/>
  <c r="BF114" i="1"/>
  <c r="AK114" i="1" a="1"/>
  <c r="AK114" i="1" s="1"/>
  <c r="AC114" i="1"/>
  <c r="L114" i="1"/>
  <c r="F114" i="1"/>
  <c r="C114" i="1"/>
  <c r="AC118" i="1"/>
  <c r="AA117" i="1"/>
  <c r="H115" i="1"/>
  <c r="BJ114" i="1"/>
  <c r="AJ114" i="1"/>
  <c r="L118" i="1"/>
  <c r="BJ117" i="1"/>
  <c r="BE114" i="1"/>
  <c r="AB114" i="1"/>
  <c r="B114" i="1"/>
  <c r="F118" i="1"/>
  <c r="BD117" i="1"/>
  <c r="BO115" i="1"/>
  <c r="AJ115" i="1"/>
  <c r="CU114" i="1"/>
  <c r="H114" i="1"/>
  <c r="B118" i="1"/>
  <c r="AB115" i="1"/>
  <c r="BE115" i="1"/>
  <c r="E114" i="1"/>
  <c r="AF117" i="1"/>
  <c r="AK118" i="1" a="1"/>
  <c r="AK118" i="1" s="1"/>
  <c r="CE132" i="1"/>
  <c r="CG132" i="1" s="1"/>
  <c r="BT132" i="1"/>
  <c r="B84" i="1"/>
  <c r="AZ39" i="1" a="1"/>
  <c r="AZ39" i="1" s="1"/>
  <c r="BA39" i="1" s="1"/>
  <c r="AW39" i="1" a="1"/>
  <c r="AW39" i="1" s="1"/>
  <c r="AX39" i="1" s="1"/>
  <c r="AT39" i="1" a="1"/>
  <c r="AT39" i="1" s="1"/>
  <c r="AU39" i="1" s="1"/>
  <c r="AQ39" i="1" a="1"/>
  <c r="AQ39" i="1" s="1"/>
  <c r="AR39" i="1" s="1"/>
  <c r="AN39" i="1" a="1"/>
  <c r="AN39" i="1" s="1"/>
  <c r="AO39" i="1" s="1"/>
  <c r="AZ37" i="1" a="1"/>
  <c r="AZ37" i="1" s="1"/>
  <c r="BA37" i="1" s="1"/>
  <c r="AW37" i="1" a="1"/>
  <c r="AW37" i="1" s="1"/>
  <c r="AX37" i="1" s="1"/>
  <c r="AT37" i="1" a="1"/>
  <c r="AT37" i="1" s="1"/>
  <c r="AQ37" i="1" a="1"/>
  <c r="AQ37" i="1" s="1"/>
  <c r="AR37" i="1" s="1"/>
  <c r="AN37" i="1" a="1"/>
  <c r="AN37" i="1" s="1"/>
  <c r="AO37" i="1" s="1"/>
  <c r="AW40" i="1" a="1"/>
  <c r="AW40" i="1" s="1"/>
  <c r="AX40" i="1" s="1"/>
  <c r="AQ40" i="1" a="1"/>
  <c r="AQ40" i="1" s="1"/>
  <c r="AR40" i="1" s="1"/>
  <c r="AT36" i="1" a="1"/>
  <c r="AT36" i="1" s="1"/>
  <c r="AU36" i="1" s="1"/>
  <c r="AW36" i="1" a="1"/>
  <c r="AW36" i="1" s="1"/>
  <c r="AQ36" i="1" a="1"/>
  <c r="AQ36" i="1" s="1"/>
  <c r="AR36" i="1" s="1"/>
  <c r="AZ40" i="1" a="1"/>
  <c r="AZ40" i="1" s="1"/>
  <c r="BA40" i="1" s="1"/>
  <c r="AT40" i="1" a="1"/>
  <c r="AT40" i="1" s="1"/>
  <c r="AU40" i="1" s="1"/>
  <c r="AN40" i="1" a="1"/>
  <c r="AN40" i="1" s="1"/>
  <c r="AO40" i="1" s="1"/>
  <c r="AZ36" i="1" a="1"/>
  <c r="AZ36" i="1" s="1"/>
  <c r="BA36" i="1" s="1"/>
  <c r="AN36" i="1" a="1"/>
  <c r="AN36" i="1" s="1"/>
  <c r="AO36" i="1" s="1"/>
  <c r="AZ33" i="1" a="1"/>
  <c r="AZ33" i="1" s="1"/>
  <c r="BA33" i="1" s="1"/>
  <c r="AW33" i="1" a="1"/>
  <c r="AW33" i="1" s="1"/>
  <c r="AX33" i="1" s="1"/>
  <c r="AT33" i="1" a="1"/>
  <c r="AT33" i="1" s="1"/>
  <c r="AU33" i="1" s="1"/>
  <c r="AQ33" i="1" a="1"/>
  <c r="AQ33" i="1" s="1"/>
  <c r="AR33" i="1" s="1"/>
  <c r="AN33" i="1" a="1"/>
  <c r="AN33" i="1" s="1"/>
  <c r="AO33" i="1" s="1"/>
  <c r="AZ31" i="1" a="1"/>
  <c r="AZ31" i="1" s="1"/>
  <c r="BA31" i="1" s="1"/>
  <c r="AW31" i="1" a="1"/>
  <c r="AW31" i="1" s="1"/>
  <c r="AX31" i="1" s="1"/>
  <c r="AT31" i="1" a="1"/>
  <c r="AT31" i="1" s="1"/>
  <c r="AU31" i="1" s="1"/>
  <c r="AQ31" i="1" a="1"/>
  <c r="AQ31" i="1" s="1"/>
  <c r="AR31" i="1" s="1"/>
  <c r="AN31" i="1" a="1"/>
  <c r="AN31" i="1" s="1"/>
  <c r="AO31" i="1" s="1"/>
  <c r="AZ34" i="1" a="1"/>
  <c r="AZ34" i="1" s="1"/>
  <c r="BA34" i="1" s="1"/>
  <c r="AT34" i="1" a="1"/>
  <c r="AT34" i="1" s="1"/>
  <c r="AU34" i="1" s="1"/>
  <c r="AN34" i="1" a="1"/>
  <c r="AN34" i="1" s="1"/>
  <c r="AO34" i="1" s="1"/>
  <c r="AZ30" i="1" a="1"/>
  <c r="AZ30" i="1" s="1"/>
  <c r="BA30" i="1" s="1"/>
  <c r="AN30" i="1" a="1"/>
  <c r="AN30" i="1" s="1"/>
  <c r="AO30" i="1" s="1"/>
  <c r="AQ30" i="1" a="1"/>
  <c r="AQ30" i="1" s="1"/>
  <c r="AR30" i="1" s="1"/>
  <c r="AW30" i="1" a="1"/>
  <c r="AW30" i="1" s="1"/>
  <c r="AX30" i="1" s="1"/>
  <c r="AW34" i="1" a="1"/>
  <c r="AW34" i="1" s="1"/>
  <c r="AX34" i="1" s="1"/>
  <c r="AQ34" i="1" a="1"/>
  <c r="AQ34" i="1" s="1"/>
  <c r="AR34" i="1" s="1"/>
  <c r="AT30" i="1" a="1"/>
  <c r="AT30" i="1" s="1"/>
  <c r="AU30" i="1" s="1"/>
  <c r="AZ45" i="1" a="1"/>
  <c r="AZ45" i="1" s="1"/>
  <c r="BA45" i="1" s="1"/>
  <c r="AW45" i="1" a="1"/>
  <c r="AW45" i="1" s="1"/>
  <c r="AX45" i="1" s="1"/>
  <c r="AT45" i="1" a="1"/>
  <c r="AT45" i="1" s="1"/>
  <c r="AQ45" i="1" a="1"/>
  <c r="AQ45" i="1" s="1"/>
  <c r="AN45" i="1" a="1"/>
  <c r="AN45" i="1" s="1"/>
  <c r="AO45" i="1" s="1"/>
  <c r="AZ43" i="1" a="1"/>
  <c r="AZ43" i="1" s="1"/>
  <c r="BA43" i="1" s="1"/>
  <c r="AW43" i="1" a="1"/>
  <c r="AW43" i="1" s="1"/>
  <c r="AX43" i="1" s="1"/>
  <c r="AT43" i="1" a="1"/>
  <c r="AT43" i="1" s="1"/>
  <c r="AU43" i="1" s="1"/>
  <c r="AQ43" i="1" a="1"/>
  <c r="AQ43" i="1" s="1"/>
  <c r="AR43" i="1" s="1"/>
  <c r="AN43" i="1" a="1"/>
  <c r="AN43" i="1" s="1"/>
  <c r="AZ46" i="1" a="1"/>
  <c r="AZ46" i="1" s="1"/>
  <c r="BA46" i="1" s="1"/>
  <c r="AT46" i="1" a="1"/>
  <c r="AT46" i="1" s="1"/>
  <c r="AN46" i="1" a="1"/>
  <c r="AN46" i="1" s="1"/>
  <c r="AO46" i="1" s="1"/>
  <c r="AZ42" i="1" a="1"/>
  <c r="AZ42" i="1" s="1"/>
  <c r="BA42" i="1" s="1"/>
  <c r="AT42" i="1" a="1"/>
  <c r="AT42" i="1" s="1"/>
  <c r="AU42" i="1" s="1"/>
  <c r="AN42" i="1" a="1"/>
  <c r="AN42" i="1" s="1"/>
  <c r="AO42" i="1" s="1"/>
  <c r="AW42" i="1" a="1"/>
  <c r="AW42" i="1" s="1"/>
  <c r="AX42" i="1" s="1"/>
  <c r="AQ42" i="1" a="1"/>
  <c r="AQ42" i="1" s="1"/>
  <c r="AR42" i="1" s="1"/>
  <c r="AW46" i="1" a="1"/>
  <c r="AW46" i="1" s="1"/>
  <c r="AX46" i="1" s="1"/>
  <c r="AQ46" i="1" a="1"/>
  <c r="AQ46" i="1" s="1"/>
  <c r="AR46" i="1" s="1"/>
  <c r="AF16" i="1"/>
  <c r="AA16" i="1"/>
  <c r="BP15" i="1" a="1"/>
  <c r="BP15" i="1" s="1"/>
  <c r="BI15" i="1"/>
  <c r="AJ15" i="1"/>
  <c r="AB15" i="1"/>
  <c r="H15" i="1"/>
  <c r="E15" i="1"/>
  <c r="BG13" i="1"/>
  <c r="AJ13" i="1"/>
  <c r="AB13" i="1"/>
  <c r="H13" i="1"/>
  <c r="CU12" i="1"/>
  <c r="BN12" i="1"/>
  <c r="BF12" i="1"/>
  <c r="AF12" i="1"/>
  <c r="AA12" i="1"/>
  <c r="BP16" i="1" a="1"/>
  <c r="BP16" i="1" s="1"/>
  <c r="AE16" i="1"/>
  <c r="M16" i="1"/>
  <c r="G16" i="1" a="1"/>
  <c r="G16" i="1" s="1"/>
  <c r="C16" i="1"/>
  <c r="BO15" i="1"/>
  <c r="AX15" i="1"/>
  <c r="AL15" i="1"/>
  <c r="AF15" i="1"/>
  <c r="AA15" i="1"/>
  <c r="BP13" i="1" a="1"/>
  <c r="BP13" i="1" s="1"/>
  <c r="BF13" i="1"/>
  <c r="AR13" i="1"/>
  <c r="AL13" i="1"/>
  <c r="AF13" i="1"/>
  <c r="AA13" i="1"/>
  <c r="BJ12" i="1"/>
  <c r="BE12" i="1"/>
  <c r="AE12" i="1"/>
  <c r="M12" i="1"/>
  <c r="G12" i="1" a="1"/>
  <c r="G12" i="1" s="1"/>
  <c r="AB16" i="1"/>
  <c r="BJ15" i="1"/>
  <c r="AC15" i="1"/>
  <c r="L15" i="1"/>
  <c r="C15" i="1"/>
  <c r="BD13" i="1"/>
  <c r="AC13" i="1"/>
  <c r="BG12" i="1"/>
  <c r="AJ12" i="1"/>
  <c r="H12" i="1"/>
  <c r="BO16" i="1"/>
  <c r="BD16" i="1"/>
  <c r="AK16" i="1" a="1"/>
  <c r="AK16" i="1" s="1"/>
  <c r="AL16" i="1" s="1"/>
  <c r="AC16" i="1"/>
  <c r="L16" i="1"/>
  <c r="F16" i="1"/>
  <c r="BN15" i="1"/>
  <c r="AE15" i="1"/>
  <c r="M15" i="1"/>
  <c r="G15" i="1" a="1"/>
  <c r="G15" i="1" s="1"/>
  <c r="C14" i="1"/>
  <c r="BO13" i="1"/>
  <c r="BE13" i="1"/>
  <c r="AE13" i="1"/>
  <c r="M13" i="1"/>
  <c r="G13" i="1" a="1"/>
  <c r="G13" i="1" s="1"/>
  <c r="C13" i="1"/>
  <c r="BP12" i="1" a="1"/>
  <c r="BP12" i="1" s="1"/>
  <c r="BI12" i="1"/>
  <c r="BD12" i="1"/>
  <c r="AK12" i="1" a="1"/>
  <c r="AK12" i="1" s="1"/>
  <c r="AL12" i="1" s="1"/>
  <c r="AC12" i="1"/>
  <c r="L12" i="1"/>
  <c r="F12" i="1"/>
  <c r="C12" i="1"/>
  <c r="BJ16" i="1"/>
  <c r="AJ16" i="1"/>
  <c r="H16" i="1"/>
  <c r="BD15" i="1"/>
  <c r="AK15" i="1" a="1"/>
  <c r="AK15" i="1" s="1"/>
  <c r="F15" i="1"/>
  <c r="E14" i="1"/>
  <c r="BJ13" i="1"/>
  <c r="AK13" i="1" a="1"/>
  <c r="AK13" i="1" s="1"/>
  <c r="L13" i="1"/>
  <c r="F13" i="1"/>
  <c r="BO12" i="1"/>
  <c r="AB12" i="1"/>
  <c r="E12" i="1"/>
  <c r="AT84" i="1" a="1"/>
  <c r="AT84" i="1" s="1"/>
  <c r="AU84" i="1" s="1"/>
  <c r="BA28" i="1"/>
  <c r="AO28" i="1"/>
  <c r="AF28" i="1"/>
  <c r="AA28" i="1"/>
  <c r="BP27" i="1" a="1"/>
  <c r="BP27" i="1" s="1"/>
  <c r="BI27" i="1"/>
  <c r="AJ27" i="1"/>
  <c r="AB27" i="1"/>
  <c r="H27" i="1"/>
  <c r="E27" i="1"/>
  <c r="BG25" i="1"/>
  <c r="AJ25" i="1"/>
  <c r="AB25" i="1"/>
  <c r="H25" i="1"/>
  <c r="CU24" i="1"/>
  <c r="BN24" i="1"/>
  <c r="BF24" i="1"/>
  <c r="AR24" i="1"/>
  <c r="AF24" i="1"/>
  <c r="AA24" i="1"/>
  <c r="BP28" i="1" a="1"/>
  <c r="BP28" i="1" s="1"/>
  <c r="AE28" i="1"/>
  <c r="M28" i="1"/>
  <c r="G28" i="1" a="1"/>
  <c r="G28" i="1" s="1"/>
  <c r="C28" i="1"/>
  <c r="BO27" i="1"/>
  <c r="AX27" i="1"/>
  <c r="AL27" i="1"/>
  <c r="AF27" i="1"/>
  <c r="AA27" i="1"/>
  <c r="BP25" i="1" a="1"/>
  <c r="BP25" i="1" s="1"/>
  <c r="BF25" i="1"/>
  <c r="AR25" i="1"/>
  <c r="AF25" i="1"/>
  <c r="AA25" i="1"/>
  <c r="BJ24" i="1"/>
  <c r="BE24" i="1"/>
  <c r="AE24" i="1"/>
  <c r="M24" i="1"/>
  <c r="G24" i="1" a="1"/>
  <c r="G24" i="1" s="1"/>
  <c r="BJ28" i="1"/>
  <c r="AJ28" i="1"/>
  <c r="AB28" i="1"/>
  <c r="BD27" i="1"/>
  <c r="AK27" i="1" a="1"/>
  <c r="AK27" i="1" s="1"/>
  <c r="L27" i="1"/>
  <c r="C27" i="1"/>
  <c r="AC25" i="1"/>
  <c r="F25" i="1"/>
  <c r="BO24" i="1"/>
  <c r="AJ24" i="1"/>
  <c r="H24" i="1"/>
  <c r="BO28" i="1"/>
  <c r="BD28" i="1"/>
  <c r="AK28" i="1" a="1"/>
  <c r="AK28" i="1" s="1"/>
  <c r="AL28" i="1" s="1"/>
  <c r="AC28" i="1"/>
  <c r="L28" i="1"/>
  <c r="F28" i="1"/>
  <c r="BN27" i="1"/>
  <c r="AE27" i="1"/>
  <c r="M27" i="1"/>
  <c r="G27" i="1" a="1"/>
  <c r="G27" i="1" s="1"/>
  <c r="C26" i="1"/>
  <c r="BO25" i="1"/>
  <c r="BE25" i="1"/>
  <c r="AE25" i="1"/>
  <c r="M25" i="1"/>
  <c r="G25" i="1" a="1"/>
  <c r="G25" i="1" s="1"/>
  <c r="C25" i="1"/>
  <c r="BP24" i="1" a="1"/>
  <c r="BP24" i="1" s="1"/>
  <c r="BI24" i="1"/>
  <c r="BD24" i="1"/>
  <c r="AK24" i="1" a="1"/>
  <c r="AK24" i="1" s="1"/>
  <c r="AL24" i="1" s="1"/>
  <c r="AC24" i="1"/>
  <c r="L24" i="1"/>
  <c r="F24" i="1"/>
  <c r="C24" i="1"/>
  <c r="H28" i="1"/>
  <c r="BJ27" i="1"/>
  <c r="AC27" i="1"/>
  <c r="F27" i="1"/>
  <c r="E26" i="1"/>
  <c r="BJ25" i="1"/>
  <c r="BD25" i="1"/>
  <c r="AK25" i="1" a="1"/>
  <c r="AK25" i="1" s="1"/>
  <c r="AL25" i="1" s="1"/>
  <c r="L25" i="1"/>
  <c r="BG24" i="1"/>
  <c r="AB24" i="1"/>
  <c r="E24" i="1"/>
  <c r="B19" i="1"/>
  <c r="B175" i="1"/>
  <c r="B176" i="1"/>
  <c r="B178" i="1"/>
  <c r="AZ178" i="1" a="1"/>
  <c r="AZ178" i="1" s="1"/>
  <c r="AW178" i="1" a="1"/>
  <c r="AW178" i="1" s="1"/>
  <c r="AX178" i="1" s="1"/>
  <c r="AT178" i="1" a="1"/>
  <c r="AT178" i="1" s="1"/>
  <c r="AU178" i="1" s="1"/>
  <c r="AQ178" i="1" a="1"/>
  <c r="AQ178" i="1" s="1"/>
  <c r="AR178" i="1" s="1"/>
  <c r="AN178" i="1" a="1"/>
  <c r="AN178" i="1" s="1"/>
  <c r="AZ177" i="1" a="1"/>
  <c r="AZ177" i="1" s="1"/>
  <c r="BA177" i="1" s="1"/>
  <c r="AW177" i="1" a="1"/>
  <c r="AW177" i="1" s="1"/>
  <c r="AX177" i="1" s="1"/>
  <c r="AT177" i="1" a="1"/>
  <c r="AT177" i="1" s="1"/>
  <c r="AQ177" i="1" a="1"/>
  <c r="AQ177" i="1" s="1"/>
  <c r="AR177" i="1" s="1"/>
  <c r="AN177" i="1" a="1"/>
  <c r="AN177" i="1" s="1"/>
  <c r="AO177" i="1" s="1"/>
  <c r="AZ175" i="1" a="1"/>
  <c r="AZ175" i="1" s="1"/>
  <c r="AW175" i="1" a="1"/>
  <c r="AW175" i="1" s="1"/>
  <c r="AX175" i="1" s="1"/>
  <c r="AT175" i="1" a="1"/>
  <c r="AT175" i="1" s="1"/>
  <c r="AU175" i="1" s="1"/>
  <c r="AQ175" i="1" a="1"/>
  <c r="AQ175" i="1" s="1"/>
  <c r="AR175" i="1" s="1"/>
  <c r="AN175" i="1" a="1"/>
  <c r="AN175" i="1" s="1"/>
  <c r="AZ174" i="1" a="1"/>
  <c r="AZ174" i="1" s="1"/>
  <c r="BA174" i="1" s="1"/>
  <c r="AW174" i="1" a="1"/>
  <c r="AW174" i="1" s="1"/>
  <c r="AT174" i="1" a="1"/>
  <c r="AT174" i="1" s="1"/>
  <c r="AU174" i="1" s="1"/>
  <c r="AQ174" i="1" a="1"/>
  <c r="AQ174" i="1" s="1"/>
  <c r="AR174" i="1" s="1"/>
  <c r="AN174" i="1" a="1"/>
  <c r="AN174" i="1" s="1"/>
  <c r="AO174" i="1" s="1"/>
  <c r="BF168" i="1"/>
  <c r="BO148" i="1"/>
  <c r="BD148" i="1"/>
  <c r="AF148" i="1"/>
  <c r="AA148" i="1"/>
  <c r="BO147" i="1"/>
  <c r="AK147" i="1" a="1"/>
  <c r="AK147" i="1" s="1"/>
  <c r="AC147" i="1"/>
  <c r="L147" i="1"/>
  <c r="F147" i="1"/>
  <c r="C147" i="1"/>
  <c r="E146" i="1"/>
  <c r="BG145" i="1"/>
  <c r="AE145" i="1"/>
  <c r="M145" i="1"/>
  <c r="G145" i="1" a="1"/>
  <c r="G145" i="1" s="1"/>
  <c r="C145" i="1"/>
  <c r="BO144" i="1"/>
  <c r="BG144" i="1"/>
  <c r="AE144" i="1"/>
  <c r="M144" i="1"/>
  <c r="G144" i="1" a="1"/>
  <c r="G144" i="1" s="1"/>
  <c r="BJ148" i="1"/>
  <c r="AE148" i="1"/>
  <c r="M148" i="1"/>
  <c r="G148" i="1" a="1"/>
  <c r="G148" i="1" s="1"/>
  <c r="C148" i="1"/>
  <c r="BN147" i="1"/>
  <c r="AJ147" i="1"/>
  <c r="AB147" i="1"/>
  <c r="H147" i="1"/>
  <c r="E147" i="1"/>
  <c r="BP145" i="1" a="1"/>
  <c r="BP145" i="1" s="1"/>
  <c r="BF145" i="1"/>
  <c r="AK145" i="1" a="1"/>
  <c r="AK145" i="1" s="1"/>
  <c r="AC145" i="1"/>
  <c r="L145" i="1"/>
  <c r="F145" i="1"/>
  <c r="BN144" i="1"/>
  <c r="BF144" i="1"/>
  <c r="AK144" i="1" a="1"/>
  <c r="AK144" i="1" s="1"/>
  <c r="AC144" i="1"/>
  <c r="L144" i="1"/>
  <c r="F144" i="1"/>
  <c r="C144" i="1"/>
  <c r="AK148" i="1" a="1"/>
  <c r="AK148" i="1" s="1"/>
  <c r="AC148" i="1"/>
  <c r="L148" i="1"/>
  <c r="F148" i="1"/>
  <c r="BJ147" i="1"/>
  <c r="BD147" i="1"/>
  <c r="AF147" i="1"/>
  <c r="AA147" i="1"/>
  <c r="BO145" i="1"/>
  <c r="BE145" i="1"/>
  <c r="AJ145" i="1"/>
  <c r="AB145" i="1"/>
  <c r="H145" i="1"/>
  <c r="CU144" i="1"/>
  <c r="BJ144" i="1"/>
  <c r="BE144" i="1"/>
  <c r="AJ144" i="1"/>
  <c r="AB144" i="1"/>
  <c r="H144" i="1"/>
  <c r="E144" i="1"/>
  <c r="BP148" i="1" a="1"/>
  <c r="BP148" i="1" s="1"/>
  <c r="AB148" i="1"/>
  <c r="BP147" i="1" a="1"/>
  <c r="BP147" i="1" s="1"/>
  <c r="AE147" i="1"/>
  <c r="BD145" i="1"/>
  <c r="BD144" i="1"/>
  <c r="H148" i="1"/>
  <c r="BI147" i="1"/>
  <c r="M147" i="1"/>
  <c r="C146" i="1"/>
  <c r="AF145" i="1"/>
  <c r="AF144" i="1"/>
  <c r="G147" i="1" a="1"/>
  <c r="G147" i="1" s="1"/>
  <c r="AA145" i="1"/>
  <c r="BP144" i="1" a="1"/>
  <c r="BP144" i="1" s="1"/>
  <c r="AA144" i="1"/>
  <c r="BJ145" i="1"/>
  <c r="BI144" i="1"/>
  <c r="AJ148" i="1"/>
  <c r="AW160" i="1" a="1"/>
  <c r="AW160" i="1" s="1"/>
  <c r="AT159" i="1" a="1"/>
  <c r="AT159" i="1" s="1"/>
  <c r="AT157" i="1" a="1"/>
  <c r="AT157" i="1" s="1"/>
  <c r="AW156" i="1" a="1"/>
  <c r="AW156" i="1" s="1"/>
  <c r="AZ160" i="1" a="1"/>
  <c r="AZ160" i="1" s="1"/>
  <c r="AN160" i="1" a="1"/>
  <c r="AN160" i="1" s="1"/>
  <c r="AW159" i="1" a="1"/>
  <c r="AW159" i="1" s="1"/>
  <c r="AW157" i="1" a="1"/>
  <c r="AW157" i="1" s="1"/>
  <c r="AZ156" i="1" a="1"/>
  <c r="AZ156" i="1" s="1"/>
  <c r="AN156" i="1" a="1"/>
  <c r="AN156" i="1" s="1"/>
  <c r="AQ160" i="1" a="1"/>
  <c r="AQ160" i="1" s="1"/>
  <c r="AZ159" i="1" a="1"/>
  <c r="AZ159" i="1" s="1"/>
  <c r="AN159" i="1" a="1"/>
  <c r="AN159" i="1" s="1"/>
  <c r="AZ157" i="1" a="1"/>
  <c r="AZ157" i="1" s="1"/>
  <c r="AN157" i="1" a="1"/>
  <c r="AN157" i="1" s="1"/>
  <c r="AQ156" i="1" a="1"/>
  <c r="AQ156" i="1" s="1"/>
  <c r="AQ159" i="1" a="1"/>
  <c r="AQ159" i="1" s="1"/>
  <c r="AT156" i="1" a="1"/>
  <c r="AT156" i="1" s="1"/>
  <c r="AQ157" i="1" a="1"/>
  <c r="AQ157" i="1" s="1"/>
  <c r="AT160" i="1" a="1"/>
  <c r="AT160" i="1" s="1"/>
  <c r="BJ154" i="1"/>
  <c r="AE154" i="1"/>
  <c r="M154" i="1"/>
  <c r="G154" i="1" a="1"/>
  <c r="G154" i="1" s="1"/>
  <c r="C154" i="1"/>
  <c r="BN153" i="1"/>
  <c r="AJ153" i="1"/>
  <c r="AB153" i="1"/>
  <c r="H153" i="1"/>
  <c r="E153" i="1"/>
  <c r="BP151" i="1" a="1"/>
  <c r="BP151" i="1" s="1"/>
  <c r="BF151" i="1"/>
  <c r="AK151" i="1" a="1"/>
  <c r="AK151" i="1" s="1"/>
  <c r="AC151" i="1"/>
  <c r="L151" i="1"/>
  <c r="F151" i="1"/>
  <c r="AK154" i="1" a="1"/>
  <c r="AK154" i="1" s="1"/>
  <c r="AC154" i="1"/>
  <c r="L154" i="1"/>
  <c r="F154" i="1"/>
  <c r="BJ153" i="1"/>
  <c r="BD153" i="1"/>
  <c r="AF153" i="1"/>
  <c r="AA153" i="1"/>
  <c r="BO151" i="1"/>
  <c r="BE151" i="1"/>
  <c r="AJ151" i="1"/>
  <c r="AB151" i="1"/>
  <c r="H151" i="1"/>
  <c r="CU150" i="1"/>
  <c r="BP154" i="1" a="1"/>
  <c r="BP154" i="1" s="1"/>
  <c r="AJ154" i="1"/>
  <c r="AB154" i="1"/>
  <c r="H154" i="1"/>
  <c r="BP153" i="1" a="1"/>
  <c r="BP153" i="1" s="1"/>
  <c r="BI153" i="1"/>
  <c r="AE153" i="1"/>
  <c r="M153" i="1"/>
  <c r="G153" i="1" a="1"/>
  <c r="G153" i="1" s="1"/>
  <c r="C152" i="1"/>
  <c r="BJ151" i="1"/>
  <c r="BD151" i="1"/>
  <c r="AF151" i="1"/>
  <c r="AA151" i="1"/>
  <c r="AA154" i="1"/>
  <c r="BO153" i="1"/>
  <c r="AC153" i="1"/>
  <c r="E152" i="1"/>
  <c r="G151" i="1" a="1"/>
  <c r="G151" i="1" s="1"/>
  <c r="BO150" i="1"/>
  <c r="BG150" i="1"/>
  <c r="AE150" i="1"/>
  <c r="M150" i="1"/>
  <c r="G150" i="1" a="1"/>
  <c r="G150" i="1" s="1"/>
  <c r="BO154" i="1"/>
  <c r="L153" i="1"/>
  <c r="C151" i="1"/>
  <c r="BN150" i="1"/>
  <c r="BF150" i="1"/>
  <c r="AK150" i="1" a="1"/>
  <c r="AK150" i="1" s="1"/>
  <c r="AC150" i="1"/>
  <c r="L150" i="1"/>
  <c r="F150" i="1"/>
  <c r="C150" i="1"/>
  <c r="BD154" i="1"/>
  <c r="F153" i="1"/>
  <c r="AE151" i="1"/>
  <c r="BJ150" i="1"/>
  <c r="BE150" i="1"/>
  <c r="AJ150" i="1"/>
  <c r="AB150" i="1"/>
  <c r="H150" i="1"/>
  <c r="E150" i="1"/>
  <c r="AF154" i="1"/>
  <c r="AK153" i="1" a="1"/>
  <c r="AK153" i="1" s="1"/>
  <c r="BI150" i="1"/>
  <c r="C153" i="1"/>
  <c r="M151" i="1"/>
  <c r="BD150" i="1"/>
  <c r="BG151" i="1"/>
  <c r="AF150" i="1"/>
  <c r="BP150" i="1" a="1"/>
  <c r="BP150" i="1" s="1"/>
  <c r="AA150" i="1"/>
  <c r="B126" i="1"/>
  <c r="AQ130" i="1" a="1"/>
  <c r="AQ130" i="1" s="1"/>
  <c r="AW129" i="1" a="1"/>
  <c r="AW129" i="1" s="1"/>
  <c r="AW130" i="1" a="1"/>
  <c r="AW130" i="1" s="1"/>
  <c r="AQ129" i="1" a="1"/>
  <c r="AQ129" i="1" s="1"/>
  <c r="AZ127" i="1" a="1"/>
  <c r="AZ127" i="1" s="1"/>
  <c r="AN127" i="1" a="1"/>
  <c r="AN127" i="1" s="1"/>
  <c r="AZ126" i="1" a="1"/>
  <c r="AZ126" i="1" s="1"/>
  <c r="AN126" i="1" a="1"/>
  <c r="AN126" i="1" s="1"/>
  <c r="AN130" i="1" a="1"/>
  <c r="AN130" i="1" s="1"/>
  <c r="AN129" i="1" a="1"/>
  <c r="AN129" i="1" s="1"/>
  <c r="AT130" i="1" a="1"/>
  <c r="AT130" i="1" s="1"/>
  <c r="AT129" i="1" a="1"/>
  <c r="AT129" i="1" s="1"/>
  <c r="AW127" i="1" a="1"/>
  <c r="AW127" i="1" s="1"/>
  <c r="AQ127" i="1" a="1"/>
  <c r="AQ127" i="1" s="1"/>
  <c r="AW126" i="1" a="1"/>
  <c r="AW126" i="1" s="1"/>
  <c r="AQ126" i="1" a="1"/>
  <c r="AQ126" i="1" s="1"/>
  <c r="AZ130" i="1" a="1"/>
  <c r="AZ130" i="1" s="1"/>
  <c r="AZ129" i="1" a="1"/>
  <c r="AZ129" i="1" s="1"/>
  <c r="AT126" i="1" a="1"/>
  <c r="AT126" i="1" s="1"/>
  <c r="AT127" i="1" a="1"/>
  <c r="AT127" i="1" s="1"/>
  <c r="B142" i="1"/>
  <c r="AQ142" i="1" a="1"/>
  <c r="AQ142" i="1" s="1"/>
  <c r="AT142" i="1" a="1"/>
  <c r="AT142" i="1" s="1"/>
  <c r="AZ141" i="1" a="1"/>
  <c r="AZ141" i="1" s="1"/>
  <c r="AN141" i="1" a="1"/>
  <c r="AN141" i="1" s="1"/>
  <c r="AW139" i="1" a="1"/>
  <c r="AW139" i="1" s="1"/>
  <c r="AW138" i="1" a="1"/>
  <c r="AW138" i="1" s="1"/>
  <c r="AW142" i="1" a="1"/>
  <c r="AW142" i="1" s="1"/>
  <c r="AQ141" i="1" a="1"/>
  <c r="AQ141" i="1" s="1"/>
  <c r="AZ139" i="1" a="1"/>
  <c r="AZ139" i="1" s="1"/>
  <c r="AN139" i="1" a="1"/>
  <c r="AN139" i="1" s="1"/>
  <c r="AZ138" i="1" a="1"/>
  <c r="AZ138" i="1" s="1"/>
  <c r="AN138" i="1" a="1"/>
  <c r="AN138" i="1" s="1"/>
  <c r="AN142" i="1" a="1"/>
  <c r="AN142" i="1" s="1"/>
  <c r="AQ139" i="1" a="1"/>
  <c r="AQ139" i="1" s="1"/>
  <c r="AQ138" i="1" a="1"/>
  <c r="AQ138" i="1" s="1"/>
  <c r="AZ142" i="1" a="1"/>
  <c r="AZ142" i="1" s="1"/>
  <c r="AW141" i="1" a="1"/>
  <c r="AW141" i="1" s="1"/>
  <c r="AT141" i="1" a="1"/>
  <c r="AT141" i="1" s="1"/>
  <c r="AT139" i="1" a="1"/>
  <c r="AT139" i="1" s="1"/>
  <c r="AT138" i="1" a="1"/>
  <c r="AT138" i="1" s="1"/>
  <c r="BA106" i="1"/>
  <c r="AX106" i="1"/>
  <c r="AU106" i="1"/>
  <c r="AO106" i="1"/>
  <c r="AF106" i="1"/>
  <c r="AA106" i="1"/>
  <c r="BP105" i="1" a="1"/>
  <c r="BP105" i="1" s="1"/>
  <c r="BI105" i="1"/>
  <c r="AJ105" i="1"/>
  <c r="AB105" i="1"/>
  <c r="H105" i="1"/>
  <c r="E105" i="1"/>
  <c r="BG103" i="1"/>
  <c r="AJ103" i="1"/>
  <c r="AB103" i="1"/>
  <c r="H103" i="1"/>
  <c r="CU102" i="1"/>
  <c r="BN102" i="1"/>
  <c r="BF102" i="1"/>
  <c r="BA102" i="1"/>
  <c r="AX102" i="1"/>
  <c r="AR102" i="1"/>
  <c r="AO102" i="1"/>
  <c r="AF102" i="1"/>
  <c r="AA102" i="1"/>
  <c r="BP106" i="1" a="1"/>
  <c r="BP106" i="1" s="1"/>
  <c r="AE106" i="1"/>
  <c r="M106" i="1"/>
  <c r="G106" i="1" a="1"/>
  <c r="G106" i="1" s="1"/>
  <c r="C106" i="1"/>
  <c r="BO105" i="1"/>
  <c r="AX105" i="1"/>
  <c r="AU105" i="1"/>
  <c r="AR105" i="1"/>
  <c r="AO105" i="1"/>
  <c r="AL105" i="1"/>
  <c r="AF105" i="1"/>
  <c r="AA105" i="1"/>
  <c r="BP103" i="1" a="1"/>
  <c r="BP103" i="1" s="1"/>
  <c r="BF103" i="1"/>
  <c r="BA103" i="1"/>
  <c r="AX103" i="1"/>
  <c r="AR103" i="1"/>
  <c r="AO103" i="1"/>
  <c r="AF103" i="1"/>
  <c r="AA103" i="1"/>
  <c r="BJ102" i="1"/>
  <c r="BE102" i="1"/>
  <c r="AE102" i="1"/>
  <c r="M102" i="1"/>
  <c r="G102" i="1" a="1"/>
  <c r="G102" i="1" s="1"/>
  <c r="BO106" i="1"/>
  <c r="BD106" i="1"/>
  <c r="AK106" i="1" a="1"/>
  <c r="AK106" i="1" s="1"/>
  <c r="AL106" i="1" s="1"/>
  <c r="AC106" i="1"/>
  <c r="L106" i="1"/>
  <c r="F106" i="1"/>
  <c r="BN105" i="1"/>
  <c r="AE105" i="1"/>
  <c r="M105" i="1"/>
  <c r="G105" i="1" a="1"/>
  <c r="G105" i="1" s="1"/>
  <c r="C104" i="1"/>
  <c r="BO103" i="1"/>
  <c r="BE103" i="1"/>
  <c r="AE103" i="1"/>
  <c r="M103" i="1"/>
  <c r="G103" i="1" a="1"/>
  <c r="G103" i="1" s="1"/>
  <c r="C103" i="1"/>
  <c r="BP102" i="1" a="1"/>
  <c r="BP102" i="1" s="1"/>
  <c r="BI102" i="1"/>
  <c r="BD102" i="1"/>
  <c r="AK102" i="1" a="1"/>
  <c r="AK102" i="1" s="1"/>
  <c r="AL102" i="1" s="1"/>
  <c r="AC102" i="1"/>
  <c r="L102" i="1"/>
  <c r="F102" i="1"/>
  <c r="C102" i="1"/>
  <c r="BJ106" i="1"/>
  <c r="AB106" i="1"/>
  <c r="BJ105" i="1"/>
  <c r="AK105" i="1" a="1"/>
  <c r="AK105" i="1" s="1"/>
  <c r="C105" i="1"/>
  <c r="BD103" i="1"/>
  <c r="AC103" i="1"/>
  <c r="BO102" i="1"/>
  <c r="AJ102" i="1"/>
  <c r="H106" i="1"/>
  <c r="BD105" i="1"/>
  <c r="AC105" i="1"/>
  <c r="E104" i="1"/>
  <c r="L103" i="1"/>
  <c r="BG102" i="1"/>
  <c r="AB102" i="1"/>
  <c r="B102" i="1"/>
  <c r="L105" i="1"/>
  <c r="B104" i="1"/>
  <c r="F103" i="1"/>
  <c r="H102" i="1"/>
  <c r="BJ103" i="1"/>
  <c r="B103" i="1"/>
  <c r="F105" i="1"/>
  <c r="E102" i="1"/>
  <c r="AJ106" i="1"/>
  <c r="AK103" i="1" a="1"/>
  <c r="AK103" i="1" s="1"/>
  <c r="AL103" i="1" s="1"/>
  <c r="CE157" i="1"/>
  <c r="BT157" i="1"/>
  <c r="BF133" i="1"/>
  <c r="BP112" i="1" a="1"/>
  <c r="BP112" i="1" s="1"/>
  <c r="AJ112" i="1"/>
  <c r="AB112" i="1"/>
  <c r="H112" i="1"/>
  <c r="BP111" i="1" a="1"/>
  <c r="BP111" i="1" s="1"/>
  <c r="BI111" i="1"/>
  <c r="AE111" i="1"/>
  <c r="M111" i="1"/>
  <c r="G111" i="1" a="1"/>
  <c r="G111" i="1" s="1"/>
  <c r="C110" i="1"/>
  <c r="BJ109" i="1"/>
  <c r="BD109" i="1"/>
  <c r="AF109" i="1"/>
  <c r="AA109" i="1"/>
  <c r="BP108" i="1" a="1"/>
  <c r="BP108" i="1" s="1"/>
  <c r="BI108" i="1"/>
  <c r="BD108" i="1"/>
  <c r="AF108" i="1"/>
  <c r="AA108" i="1"/>
  <c r="BO112" i="1"/>
  <c r="BD112" i="1"/>
  <c r="AF112" i="1"/>
  <c r="AA112" i="1"/>
  <c r="BO111" i="1"/>
  <c r="AK111" i="1" a="1"/>
  <c r="AK111" i="1" s="1"/>
  <c r="AC111" i="1"/>
  <c r="L111" i="1"/>
  <c r="F111" i="1"/>
  <c r="C111" i="1"/>
  <c r="E110" i="1"/>
  <c r="BG109" i="1"/>
  <c r="AE109" i="1"/>
  <c r="M109" i="1"/>
  <c r="G109" i="1" a="1"/>
  <c r="G109" i="1" s="1"/>
  <c r="C109" i="1"/>
  <c r="BO108" i="1"/>
  <c r="BG108" i="1"/>
  <c r="AE108" i="1"/>
  <c r="M108" i="1"/>
  <c r="G108" i="1" a="1"/>
  <c r="G108" i="1" s="1"/>
  <c r="BJ112" i="1"/>
  <c r="AE112" i="1"/>
  <c r="M112" i="1"/>
  <c r="G112" i="1" a="1"/>
  <c r="G112" i="1" s="1"/>
  <c r="C112" i="1"/>
  <c r="BN111" i="1"/>
  <c r="AJ111" i="1"/>
  <c r="AB111" i="1"/>
  <c r="H111" i="1"/>
  <c r="E111" i="1"/>
  <c r="BP109" i="1" a="1"/>
  <c r="BP109" i="1" s="1"/>
  <c r="BF109" i="1"/>
  <c r="AK109" i="1" a="1"/>
  <c r="AK109" i="1" s="1"/>
  <c r="AC109" i="1"/>
  <c r="L109" i="1"/>
  <c r="F109" i="1"/>
  <c r="BN108" i="1"/>
  <c r="BF108" i="1"/>
  <c r="AK108" i="1" a="1"/>
  <c r="AK108" i="1" s="1"/>
  <c r="AC108" i="1"/>
  <c r="L108" i="1"/>
  <c r="F108" i="1"/>
  <c r="C108" i="1"/>
  <c r="F112" i="1"/>
  <c r="BD111" i="1"/>
  <c r="BO109" i="1"/>
  <c r="AJ109" i="1"/>
  <c r="CU108" i="1"/>
  <c r="H108" i="1"/>
  <c r="AK112" i="1" a="1"/>
  <c r="AK112" i="1" s="1"/>
  <c r="B112" i="1"/>
  <c r="AF111" i="1"/>
  <c r="BE109" i="1"/>
  <c r="AB109" i="1"/>
  <c r="E108" i="1"/>
  <c r="AC112" i="1"/>
  <c r="AA111" i="1"/>
  <c r="H109" i="1"/>
  <c r="BJ108" i="1"/>
  <c r="AJ108" i="1"/>
  <c r="BJ111" i="1"/>
  <c r="AB108" i="1"/>
  <c r="BE108" i="1"/>
  <c r="B108" i="1"/>
  <c r="L112" i="1"/>
  <c r="B110" i="1"/>
  <c r="BP82" i="1" a="1"/>
  <c r="BP82" i="1" s="1"/>
  <c r="AE82" i="1"/>
  <c r="M82" i="1"/>
  <c r="G82" i="1" a="1"/>
  <c r="G82" i="1" s="1"/>
  <c r="C82" i="1"/>
  <c r="BO81" i="1"/>
  <c r="BA81" i="1"/>
  <c r="AX81" i="1"/>
  <c r="AR81" i="1"/>
  <c r="AO81" i="1"/>
  <c r="AF81" i="1"/>
  <c r="AA81" i="1"/>
  <c r="BP79" i="1" a="1"/>
  <c r="BP79" i="1" s="1"/>
  <c r="BF79" i="1"/>
  <c r="BA79" i="1"/>
  <c r="AX79" i="1"/>
  <c r="AU79" i="1"/>
  <c r="AR79" i="1"/>
  <c r="AO79" i="1"/>
  <c r="AL79" i="1"/>
  <c r="AF79" i="1"/>
  <c r="AA79" i="1"/>
  <c r="BJ78" i="1"/>
  <c r="BE78" i="1"/>
  <c r="AE78" i="1"/>
  <c r="M78" i="1"/>
  <c r="G78" i="1" a="1"/>
  <c r="G78" i="1" s="1"/>
  <c r="BO82" i="1"/>
  <c r="BD82" i="1"/>
  <c r="AK82" i="1" a="1"/>
  <c r="AK82" i="1" s="1"/>
  <c r="AC82" i="1"/>
  <c r="L82" i="1"/>
  <c r="F82" i="1"/>
  <c r="BN81" i="1"/>
  <c r="AE81" i="1"/>
  <c r="M81" i="1"/>
  <c r="G81" i="1" a="1"/>
  <c r="G81" i="1" s="1"/>
  <c r="C80" i="1"/>
  <c r="BO79" i="1"/>
  <c r="BE79" i="1"/>
  <c r="AE79" i="1"/>
  <c r="M79" i="1"/>
  <c r="G79" i="1" a="1"/>
  <c r="G79" i="1" s="1"/>
  <c r="C79" i="1"/>
  <c r="BP78" i="1" a="1"/>
  <c r="BP78" i="1" s="1"/>
  <c r="BI78" i="1"/>
  <c r="BD78" i="1"/>
  <c r="AK78" i="1" a="1"/>
  <c r="AK78" i="1" s="1"/>
  <c r="AL78" i="1" s="1"/>
  <c r="AC78" i="1"/>
  <c r="L78" i="1"/>
  <c r="F78" i="1"/>
  <c r="C78" i="1"/>
  <c r="BJ82" i="1"/>
  <c r="AJ82" i="1"/>
  <c r="AB82" i="1"/>
  <c r="H82" i="1"/>
  <c r="BJ81" i="1"/>
  <c r="BD81" i="1"/>
  <c r="AK81" i="1" a="1"/>
  <c r="AK81" i="1" s="1"/>
  <c r="AL81" i="1" s="1"/>
  <c r="AC81" i="1"/>
  <c r="L81" i="1"/>
  <c r="F81" i="1"/>
  <c r="C81" i="1"/>
  <c r="E80" i="1"/>
  <c r="BJ79" i="1"/>
  <c r="BD79" i="1"/>
  <c r="AK79" i="1" a="1"/>
  <c r="AK79" i="1" s="1"/>
  <c r="AC79" i="1"/>
  <c r="L79" i="1"/>
  <c r="F79" i="1"/>
  <c r="BO78" i="1"/>
  <c r="BG78" i="1"/>
  <c r="AJ78" i="1"/>
  <c r="AB78" i="1"/>
  <c r="H78" i="1"/>
  <c r="E78" i="1"/>
  <c r="AX82" i="1"/>
  <c r="H81" i="1"/>
  <c r="AJ79" i="1"/>
  <c r="CU78" i="1"/>
  <c r="AX78" i="1"/>
  <c r="AU82" i="1"/>
  <c r="AL82" i="1"/>
  <c r="E81" i="1"/>
  <c r="BG79" i="1"/>
  <c r="AB79" i="1"/>
  <c r="BN78" i="1"/>
  <c r="AU78" i="1"/>
  <c r="AR82" i="1"/>
  <c r="AF82" i="1"/>
  <c r="BP81" i="1" a="1"/>
  <c r="BP81" i="1" s="1"/>
  <c r="AJ81" i="1"/>
  <c r="B81" i="1"/>
  <c r="H79" i="1"/>
  <c r="BF78" i="1"/>
  <c r="AF78" i="1"/>
  <c r="AA82" i="1"/>
  <c r="AB81" i="1"/>
  <c r="AA78" i="1"/>
  <c r="BI81" i="1"/>
  <c r="BA78" i="1"/>
  <c r="AO78" i="1"/>
  <c r="BP64" i="1" a="1"/>
  <c r="BP64" i="1" s="1"/>
  <c r="AE64" i="1"/>
  <c r="M64" i="1"/>
  <c r="G64" i="1" a="1"/>
  <c r="G64" i="1" s="1"/>
  <c r="C64" i="1"/>
  <c r="BO63" i="1"/>
  <c r="BA63" i="1"/>
  <c r="AX63" i="1"/>
  <c r="AR63" i="1"/>
  <c r="AF63" i="1"/>
  <c r="AA63" i="1"/>
  <c r="BP61" i="1" a="1"/>
  <c r="BP61" i="1" s="1"/>
  <c r="BF61" i="1"/>
  <c r="AX61" i="1"/>
  <c r="AU61" i="1"/>
  <c r="AO61" i="1"/>
  <c r="AL61" i="1"/>
  <c r="AF61" i="1"/>
  <c r="AA61" i="1"/>
  <c r="BJ60" i="1"/>
  <c r="BE60" i="1"/>
  <c r="AE60" i="1"/>
  <c r="BO64" i="1"/>
  <c r="BD64" i="1"/>
  <c r="AK64" i="1" a="1"/>
  <c r="AK64" i="1" s="1"/>
  <c r="AL64" i="1" s="1"/>
  <c r="AC64" i="1"/>
  <c r="L64" i="1"/>
  <c r="F64" i="1"/>
  <c r="BN63" i="1"/>
  <c r="AE63" i="1"/>
  <c r="M63" i="1"/>
  <c r="G63" i="1" a="1"/>
  <c r="G63" i="1" s="1"/>
  <c r="BJ64" i="1"/>
  <c r="AJ64" i="1"/>
  <c r="AB64" i="1"/>
  <c r="H64" i="1"/>
  <c r="BJ63" i="1"/>
  <c r="BD63" i="1"/>
  <c r="AK63" i="1" a="1"/>
  <c r="AK63" i="1" s="1"/>
  <c r="AL63" i="1" s="1"/>
  <c r="AC63" i="1"/>
  <c r="L63" i="1"/>
  <c r="F63" i="1"/>
  <c r="C63" i="1"/>
  <c r="E62" i="1"/>
  <c r="BJ61" i="1"/>
  <c r="BD61" i="1"/>
  <c r="AK61" i="1" a="1"/>
  <c r="AK61" i="1" s="1"/>
  <c r="AC61" i="1"/>
  <c r="L61" i="1"/>
  <c r="F61" i="1"/>
  <c r="BO60" i="1"/>
  <c r="BG60" i="1"/>
  <c r="AR64" i="1"/>
  <c r="AF64" i="1"/>
  <c r="BP63" i="1" a="1"/>
  <c r="BP63" i="1" s="1"/>
  <c r="AJ63" i="1"/>
  <c r="AJ61" i="1"/>
  <c r="H61" i="1"/>
  <c r="CU60" i="1"/>
  <c r="BF60" i="1"/>
  <c r="AX60" i="1"/>
  <c r="AO60" i="1"/>
  <c r="AK60" i="1" a="1"/>
  <c r="AK60" i="1" s="1"/>
  <c r="AB60" i="1"/>
  <c r="H60" i="1"/>
  <c r="E60" i="1"/>
  <c r="BA64" i="1"/>
  <c r="AO64" i="1"/>
  <c r="AA64" i="1"/>
  <c r="BI63" i="1"/>
  <c r="AB63" i="1"/>
  <c r="BO61" i="1"/>
  <c r="AE61" i="1"/>
  <c r="G61" i="1" a="1"/>
  <c r="G61" i="1" s="1"/>
  <c r="BP60" i="1" a="1"/>
  <c r="BP60" i="1" s="1"/>
  <c r="BD60" i="1"/>
  <c r="AR60" i="1"/>
  <c r="AJ60" i="1"/>
  <c r="AA60" i="1"/>
  <c r="H63" i="1"/>
  <c r="BG61" i="1"/>
  <c r="AB61" i="1"/>
  <c r="BN60" i="1"/>
  <c r="BA60" i="1"/>
  <c r="AF60" i="1"/>
  <c r="M60" i="1"/>
  <c r="G60" i="1" a="1"/>
  <c r="G60" i="1" s="1"/>
  <c r="AU64" i="1"/>
  <c r="BE61" i="1"/>
  <c r="AL60" i="1"/>
  <c r="M61" i="1"/>
  <c r="AC60" i="1"/>
  <c r="C60" i="1"/>
  <c r="C62" i="1"/>
  <c r="BI60" i="1"/>
  <c r="F60" i="1"/>
  <c r="E63" i="1"/>
  <c r="C61" i="1"/>
  <c r="L60" i="1"/>
  <c r="B87" i="1"/>
  <c r="AQ60" i="1" a="1"/>
  <c r="AQ60" i="1" s="1"/>
  <c r="AQ61" i="1" a="1"/>
  <c r="AQ61" i="1" s="1"/>
  <c r="AR61" i="1" s="1"/>
  <c r="AN63" i="1" a="1"/>
  <c r="AN63" i="1" s="1"/>
  <c r="AO63" i="1" s="1"/>
  <c r="AZ63" i="1" a="1"/>
  <c r="AZ63" i="1" s="1"/>
  <c r="AW64" i="1" a="1"/>
  <c r="AW64" i="1" s="1"/>
  <c r="AX64" i="1" s="1"/>
  <c r="AZ51" i="1" a="1"/>
  <c r="AZ51" i="1" s="1"/>
  <c r="BA51" i="1" s="1"/>
  <c r="AW51" i="1" a="1"/>
  <c r="AW51" i="1" s="1"/>
  <c r="AX51" i="1" s="1"/>
  <c r="AT51" i="1" a="1"/>
  <c r="AT51" i="1" s="1"/>
  <c r="AU51" i="1" s="1"/>
  <c r="AQ51" i="1" a="1"/>
  <c r="AQ51" i="1" s="1"/>
  <c r="AR51" i="1" s="1"/>
  <c r="AN51" i="1" a="1"/>
  <c r="AN51" i="1" s="1"/>
  <c r="AO51" i="1" s="1"/>
  <c r="AZ49" i="1" a="1"/>
  <c r="AZ49" i="1" s="1"/>
  <c r="AW49" i="1" a="1"/>
  <c r="AW49" i="1" s="1"/>
  <c r="AX49" i="1" s="1"/>
  <c r="AT49" i="1" a="1"/>
  <c r="AT49" i="1" s="1"/>
  <c r="AU49" i="1" s="1"/>
  <c r="AQ49" i="1" a="1"/>
  <c r="AQ49" i="1" s="1"/>
  <c r="AR49" i="1" s="1"/>
  <c r="AN49" i="1" a="1"/>
  <c r="AN49" i="1" s="1"/>
  <c r="AW52" i="1" a="1"/>
  <c r="AW52" i="1" s="1"/>
  <c r="AX52" i="1" s="1"/>
  <c r="AQ52" i="1" a="1"/>
  <c r="AQ52" i="1" s="1"/>
  <c r="AR52" i="1" s="1"/>
  <c r="AT48" i="1" a="1"/>
  <c r="AT48" i="1" s="1"/>
  <c r="AU48" i="1" s="1"/>
  <c r="AW48" i="1" a="1"/>
  <c r="AW48" i="1" s="1"/>
  <c r="AQ48" i="1" a="1"/>
  <c r="AQ48" i="1" s="1"/>
  <c r="AR48" i="1" s="1"/>
  <c r="AZ48" i="1" a="1"/>
  <c r="AZ48" i="1" s="1"/>
  <c r="BA48" i="1" s="1"/>
  <c r="AZ52" i="1" a="1"/>
  <c r="AZ52" i="1" s="1"/>
  <c r="BA52" i="1" s="1"/>
  <c r="AT52" i="1" a="1"/>
  <c r="AT52" i="1" s="1"/>
  <c r="AN52" i="1" a="1"/>
  <c r="AN52" i="1" s="1"/>
  <c r="AO52" i="1" s="1"/>
  <c r="AN48" i="1" a="1"/>
  <c r="AN48" i="1" s="1"/>
  <c r="AO48" i="1" s="1"/>
  <c r="B39" i="1"/>
  <c r="B38" i="1"/>
  <c r="BP76" i="1" a="1"/>
  <c r="BP76" i="1" s="1"/>
  <c r="AE76" i="1"/>
  <c r="M76" i="1"/>
  <c r="G76" i="1" a="1"/>
  <c r="G76" i="1" s="1"/>
  <c r="C76" i="1"/>
  <c r="BO75" i="1"/>
  <c r="BA75" i="1"/>
  <c r="AX75" i="1"/>
  <c r="AU75" i="1"/>
  <c r="AO75" i="1"/>
  <c r="AL75" i="1"/>
  <c r="AF75" i="1"/>
  <c r="AA75" i="1"/>
  <c r="BP73" i="1" a="1"/>
  <c r="BP73" i="1" s="1"/>
  <c r="BF73" i="1"/>
  <c r="BA73" i="1"/>
  <c r="AX73" i="1"/>
  <c r="AU73" i="1"/>
  <c r="AR73" i="1"/>
  <c r="AO73" i="1"/>
  <c r="AL73" i="1"/>
  <c r="AF73" i="1"/>
  <c r="AA73" i="1"/>
  <c r="BJ72" i="1"/>
  <c r="BE72" i="1"/>
  <c r="AE72" i="1"/>
  <c r="M72" i="1"/>
  <c r="G72" i="1" a="1"/>
  <c r="G72" i="1" s="1"/>
  <c r="BO76" i="1"/>
  <c r="BD76" i="1"/>
  <c r="AK76" i="1" a="1"/>
  <c r="AK76" i="1" s="1"/>
  <c r="AC76" i="1"/>
  <c r="L76" i="1"/>
  <c r="F76" i="1"/>
  <c r="BN75" i="1"/>
  <c r="AE75" i="1"/>
  <c r="M75" i="1"/>
  <c r="G75" i="1" a="1"/>
  <c r="G75" i="1" s="1"/>
  <c r="C74" i="1"/>
  <c r="BO73" i="1"/>
  <c r="BE73" i="1"/>
  <c r="AE73" i="1"/>
  <c r="M73" i="1"/>
  <c r="G73" i="1" a="1"/>
  <c r="G73" i="1" s="1"/>
  <c r="C73" i="1"/>
  <c r="BP72" i="1" a="1"/>
  <c r="BP72" i="1" s="1"/>
  <c r="BI72" i="1"/>
  <c r="BD72" i="1"/>
  <c r="AK72" i="1" a="1"/>
  <c r="AK72" i="1" s="1"/>
  <c r="AC72" i="1"/>
  <c r="L72" i="1"/>
  <c r="F72" i="1"/>
  <c r="C72" i="1"/>
  <c r="BJ76" i="1"/>
  <c r="AJ76" i="1"/>
  <c r="AB76" i="1"/>
  <c r="H76" i="1"/>
  <c r="BJ75" i="1"/>
  <c r="BD75" i="1"/>
  <c r="AK75" i="1" a="1"/>
  <c r="AK75" i="1" s="1"/>
  <c r="AC75" i="1"/>
  <c r="L75" i="1"/>
  <c r="F75" i="1"/>
  <c r="C75" i="1"/>
  <c r="E74" i="1"/>
  <c r="BJ73" i="1"/>
  <c r="BD73" i="1"/>
  <c r="AK73" i="1" a="1"/>
  <c r="AK73" i="1" s="1"/>
  <c r="AC73" i="1"/>
  <c r="L73" i="1"/>
  <c r="F73" i="1"/>
  <c r="BO72" i="1"/>
  <c r="BG72" i="1"/>
  <c r="AJ72" i="1"/>
  <c r="AB72" i="1"/>
  <c r="H72" i="1"/>
  <c r="E72" i="1"/>
  <c r="AR76" i="1"/>
  <c r="AF76" i="1"/>
  <c r="BP75" i="1" a="1"/>
  <c r="BP75" i="1" s="1"/>
  <c r="AJ75" i="1"/>
  <c r="H73" i="1"/>
  <c r="BF72" i="1"/>
  <c r="AR72" i="1"/>
  <c r="AF72" i="1"/>
  <c r="BA76" i="1"/>
  <c r="AO76" i="1"/>
  <c r="AA76" i="1"/>
  <c r="BI75" i="1"/>
  <c r="AB75" i="1"/>
  <c r="AA72" i="1"/>
  <c r="AX76" i="1"/>
  <c r="H75" i="1"/>
  <c r="AJ73" i="1"/>
  <c r="CU72" i="1"/>
  <c r="AX72" i="1"/>
  <c r="AU76" i="1"/>
  <c r="AU72" i="1"/>
  <c r="BG73" i="1"/>
  <c r="BN72" i="1"/>
  <c r="AL76" i="1"/>
  <c r="E75" i="1"/>
  <c r="AB73" i="1"/>
  <c r="AL72" i="1"/>
  <c r="AT60" i="1" a="1"/>
  <c r="AT60" i="1" s="1"/>
  <c r="AU60" i="1" s="1"/>
  <c r="B16" i="1"/>
  <c r="AZ15" i="1" a="1"/>
  <c r="AZ15" i="1" s="1"/>
  <c r="BA15" i="1" s="1"/>
  <c r="AT15" i="1" a="1"/>
  <c r="AT15" i="1" s="1"/>
  <c r="AU15" i="1" s="1"/>
  <c r="AN15" i="1" a="1"/>
  <c r="AN15" i="1" s="1"/>
  <c r="AO15" i="1" s="1"/>
  <c r="AT13" i="1" a="1"/>
  <c r="AT13" i="1" s="1"/>
  <c r="AU13" i="1" s="1"/>
  <c r="AN13" i="1" a="1"/>
  <c r="AN13" i="1" s="1"/>
  <c r="AO13" i="1" s="1"/>
  <c r="AZ16" i="1" a="1"/>
  <c r="AZ16" i="1" s="1"/>
  <c r="BA16" i="1" s="1"/>
  <c r="AW16" i="1" a="1"/>
  <c r="AW16" i="1" s="1"/>
  <c r="AX16" i="1" s="1"/>
  <c r="AT16" i="1" a="1"/>
  <c r="AT16" i="1" s="1"/>
  <c r="AU16" i="1" s="1"/>
  <c r="AQ16" i="1" a="1"/>
  <c r="AQ16" i="1" s="1"/>
  <c r="AR16" i="1" s="1"/>
  <c r="AN16" i="1" a="1"/>
  <c r="AN16" i="1" s="1"/>
  <c r="AO16" i="1" s="1"/>
  <c r="AZ12" i="1" a="1"/>
  <c r="AZ12" i="1" s="1"/>
  <c r="BA12" i="1" s="1"/>
  <c r="AW12" i="1" a="1"/>
  <c r="AW12" i="1" s="1"/>
  <c r="AX12" i="1" s="1"/>
  <c r="AT12" i="1" a="1"/>
  <c r="AT12" i="1" s="1"/>
  <c r="AU12" i="1" s="1"/>
  <c r="AQ12" i="1" a="1"/>
  <c r="AQ12" i="1" s="1"/>
  <c r="AR12" i="1" s="1"/>
  <c r="AN12" i="1" a="1"/>
  <c r="AN12" i="1" s="1"/>
  <c r="AO12" i="1" s="1"/>
  <c r="AW15" i="1" a="1"/>
  <c r="AW15" i="1" s="1"/>
  <c r="AQ15" i="1" a="1"/>
  <c r="AQ15" i="1" s="1"/>
  <c r="AR15" i="1" s="1"/>
  <c r="AZ13" i="1" a="1"/>
  <c r="AZ13" i="1" s="1"/>
  <c r="BA13" i="1" s="1"/>
  <c r="AW13" i="1" a="1"/>
  <c r="AW13" i="1" s="1"/>
  <c r="AX13" i="1" s="1"/>
  <c r="AQ13" i="1" a="1"/>
  <c r="AQ13" i="1" s="1"/>
  <c r="AW85" i="1" a="1"/>
  <c r="AW85" i="1" s="1"/>
  <c r="AX85" i="1" s="1"/>
  <c r="AT87" i="1" a="1"/>
  <c r="AT87" i="1" s="1"/>
  <c r="AU87" i="1" s="1"/>
  <c r="AQ84" i="1" a="1"/>
  <c r="AQ84" i="1" s="1"/>
  <c r="AR84" i="1" s="1"/>
  <c r="AN88" i="1" a="1"/>
  <c r="AN88" i="1" s="1"/>
  <c r="AO88" i="1" s="1"/>
  <c r="AZ88" i="1" a="1"/>
  <c r="AZ88" i="1" s="1"/>
  <c r="B28" i="1"/>
  <c r="AW27" i="1" a="1"/>
  <c r="AW27" i="1" s="1"/>
  <c r="AT27" i="1" a="1"/>
  <c r="AT27" i="1" s="1"/>
  <c r="AU27" i="1" s="1"/>
  <c r="AQ27" i="1" a="1"/>
  <c r="AQ27" i="1" s="1"/>
  <c r="AR27" i="1" s="1"/>
  <c r="AZ25" i="1" a="1"/>
  <c r="AZ25" i="1" s="1"/>
  <c r="BA25" i="1" s="1"/>
  <c r="AQ25" i="1" a="1"/>
  <c r="AQ25" i="1" s="1"/>
  <c r="AZ28" i="1" a="1"/>
  <c r="AZ28" i="1" s="1"/>
  <c r="AW28" i="1" a="1"/>
  <c r="AW28" i="1" s="1"/>
  <c r="AX28" i="1" s="1"/>
  <c r="AT28" i="1" a="1"/>
  <c r="AT28" i="1" s="1"/>
  <c r="AU28" i="1" s="1"/>
  <c r="AQ28" i="1" a="1"/>
  <c r="AQ28" i="1" s="1"/>
  <c r="AR28" i="1" s="1"/>
  <c r="AN28" i="1" a="1"/>
  <c r="AN28" i="1" s="1"/>
  <c r="AZ24" i="1" a="1"/>
  <c r="AZ24" i="1" s="1"/>
  <c r="BA24" i="1" s="1"/>
  <c r="AW24" i="1" a="1"/>
  <c r="AW24" i="1" s="1"/>
  <c r="AX24" i="1" s="1"/>
  <c r="AT24" i="1" a="1"/>
  <c r="AT24" i="1" s="1"/>
  <c r="AU24" i="1" s="1"/>
  <c r="AQ24" i="1" a="1"/>
  <c r="AQ24" i="1" s="1"/>
  <c r="AN24" i="1" a="1"/>
  <c r="AN24" i="1" s="1"/>
  <c r="AO24" i="1" s="1"/>
  <c r="AZ27" i="1" a="1"/>
  <c r="AZ27" i="1" s="1"/>
  <c r="BA27" i="1" s="1"/>
  <c r="AN27" i="1" a="1"/>
  <c r="AN27" i="1" s="1"/>
  <c r="AO27" i="1" s="1"/>
  <c r="AW25" i="1" a="1"/>
  <c r="AW25" i="1" s="1"/>
  <c r="AX25" i="1" s="1"/>
  <c r="AT25" i="1" a="1"/>
  <c r="AT25" i="1" s="1"/>
  <c r="AU25" i="1" s="1"/>
  <c r="AN25" i="1" a="1"/>
  <c r="AN25" i="1" s="1"/>
  <c r="AO25" i="1" s="1"/>
  <c r="AZ21" i="1" a="1"/>
  <c r="AZ21" i="1" s="1"/>
  <c r="BA21" i="1" s="1"/>
  <c r="AT21" i="1" a="1"/>
  <c r="AT21" i="1" s="1"/>
  <c r="AN21" i="1" a="1"/>
  <c r="AN21" i="1" s="1"/>
  <c r="AO21" i="1" s="1"/>
  <c r="AZ19" i="1" a="1"/>
  <c r="AZ19" i="1" s="1"/>
  <c r="BA19" i="1" s="1"/>
  <c r="AT19" i="1" a="1"/>
  <c r="AT19" i="1" s="1"/>
  <c r="AU19" i="1" s="1"/>
  <c r="AN19" i="1" a="1"/>
  <c r="AN19" i="1" s="1"/>
  <c r="AZ22" i="1" a="1"/>
  <c r="AZ22" i="1" s="1"/>
  <c r="BA22" i="1" s="1"/>
  <c r="AW22" i="1" a="1"/>
  <c r="AW22" i="1" s="1"/>
  <c r="AX22" i="1" s="1"/>
  <c r="AT22" i="1" a="1"/>
  <c r="AT22" i="1" s="1"/>
  <c r="AU22" i="1" s="1"/>
  <c r="AQ22" i="1" a="1"/>
  <c r="AQ22" i="1" s="1"/>
  <c r="AR22" i="1" s="1"/>
  <c r="AN22" i="1" a="1"/>
  <c r="AN22" i="1" s="1"/>
  <c r="AO22" i="1" s="1"/>
  <c r="AZ18" i="1" a="1"/>
  <c r="AZ18" i="1" s="1"/>
  <c r="BA18" i="1" s="1"/>
  <c r="AW18" i="1" a="1"/>
  <c r="AW18" i="1" s="1"/>
  <c r="AX18" i="1" s="1"/>
  <c r="AT18" i="1" a="1"/>
  <c r="AT18" i="1" s="1"/>
  <c r="AU18" i="1" s="1"/>
  <c r="AQ18" i="1" a="1"/>
  <c r="AQ18" i="1" s="1"/>
  <c r="AR18" i="1" s="1"/>
  <c r="AN18" i="1" a="1"/>
  <c r="AN18" i="1" s="1"/>
  <c r="AO18" i="1" s="1"/>
  <c r="AW21" i="1" a="1"/>
  <c r="AW21" i="1" s="1"/>
  <c r="AX21" i="1" s="1"/>
  <c r="AQ21" i="1" a="1"/>
  <c r="AQ21" i="1" s="1"/>
  <c r="AR21" i="1" s="1"/>
  <c r="AW19" i="1" a="1"/>
  <c r="AW19" i="1" s="1"/>
  <c r="AX19" i="1" s="1"/>
  <c r="AQ19" i="1" a="1"/>
  <c r="AQ19" i="1" s="1"/>
  <c r="AR19" i="1" s="1"/>
  <c r="CG118" i="1" l="1"/>
  <c r="CE118" i="1"/>
  <c r="BT118" i="1"/>
  <c r="CE139" i="1"/>
  <c r="CG139" i="1" s="1"/>
  <c r="BT139" i="1"/>
  <c r="CE124" i="1"/>
  <c r="CG124" i="1" s="1"/>
  <c r="BT124" i="1"/>
  <c r="BT109" i="1"/>
  <c r="CG109" i="1"/>
  <c r="CE109" i="1"/>
  <c r="CG108" i="1"/>
  <c r="CE108" i="1"/>
  <c r="BT108" i="1"/>
  <c r="CE145" i="1"/>
  <c r="CG145" i="1" s="1"/>
  <c r="BT145" i="1"/>
  <c r="CE141" i="1"/>
  <c r="CG141" i="1" s="1"/>
  <c r="BT141" i="1"/>
  <c r="CE120" i="1"/>
  <c r="CG120" i="1" s="1"/>
  <c r="BT120" i="1"/>
  <c r="CE121" i="1"/>
  <c r="CG121" i="1" s="1"/>
  <c r="BT121" i="1"/>
  <c r="CE150" i="1"/>
  <c r="CG150" i="1" s="1"/>
  <c r="BT150" i="1"/>
  <c r="CE148" i="1"/>
  <c r="CG148" i="1" s="1"/>
  <c r="BT148" i="1"/>
  <c r="CG117" i="1"/>
  <c r="CE117" i="1"/>
  <c r="BT117" i="1"/>
  <c r="CE126" i="1"/>
  <c r="CG126" i="1" s="1"/>
  <c r="BT126" i="1"/>
  <c r="CE144" i="1"/>
  <c r="CG144" i="1" s="1"/>
  <c r="BT144" i="1"/>
  <c r="CE147" i="1"/>
  <c r="CG147" i="1" s="1"/>
  <c r="BT147" i="1"/>
  <c r="BT115" i="1"/>
  <c r="CG115" i="1"/>
  <c r="CE115" i="1"/>
  <c r="CG114" i="1"/>
  <c r="CE114" i="1"/>
  <c r="BT114" i="1"/>
  <c r="CE142" i="1"/>
  <c r="CG142" i="1" s="1"/>
  <c r="BT142" i="1"/>
  <c r="BT138" i="1"/>
  <c r="CE138" i="1"/>
  <c r="CG138" i="1" s="1"/>
  <c r="CE130" i="1"/>
  <c r="CG130" i="1" s="1"/>
  <c r="BT130" i="1"/>
  <c r="CE129" i="1"/>
  <c r="CG129" i="1" s="1"/>
  <c r="BT129" i="1"/>
  <c r="BZ166" i="1"/>
  <c r="BT166" i="1"/>
  <c r="CG111" i="1"/>
  <c r="CE111" i="1"/>
  <c r="BT111" i="1"/>
  <c r="CG112" i="1"/>
  <c r="CE112" i="1"/>
  <c r="BT112" i="1"/>
  <c r="BT153" i="1"/>
  <c r="CE153" i="1"/>
  <c r="CG153" i="1" s="1"/>
  <c r="BT154" i="1"/>
  <c r="CE154" i="1"/>
  <c r="CG154" i="1" s="1"/>
  <c r="CE151" i="1"/>
  <c r="CG151" i="1" s="1"/>
  <c r="BT151" i="1"/>
  <c r="BZ162" i="1"/>
  <c r="BT162" i="1"/>
  <c r="CE127" i="1"/>
  <c r="CG127" i="1" s="1"/>
  <c r="BT127" i="1"/>
  <c r="CE123" i="1"/>
  <c r="CG123" i="1" s="1"/>
  <c r="BT123" i="1"/>
</calcChain>
</file>

<file path=xl/sharedStrings.xml><?xml version="1.0" encoding="utf-8"?>
<sst xmlns="http://schemas.openxmlformats.org/spreadsheetml/2006/main" count="521" uniqueCount="61">
  <si>
    <t>Code For AP</t>
  </si>
  <si>
    <t>Wishing You A Peace, Joy &amp; Prosperity !!</t>
  </si>
  <si>
    <t>Entry</t>
  </si>
  <si>
    <t>Target</t>
  </si>
  <si>
    <t>Final Exit</t>
  </si>
  <si>
    <t>Stop Loss : MSL</t>
  </si>
  <si>
    <t>Data +/- Buffer</t>
  </si>
  <si>
    <t>Stop Loss : TSL</t>
  </si>
  <si>
    <t>Gap Timings</t>
  </si>
  <si>
    <t>Gap Buffer</t>
  </si>
  <si>
    <t>+ | -</t>
  </si>
  <si>
    <t>Target 1</t>
  </si>
  <si>
    <t>TGT 2</t>
  </si>
  <si>
    <t>TGT 3</t>
  </si>
  <si>
    <t>TGT 4</t>
  </si>
  <si>
    <t>TGT 5</t>
  </si>
  <si>
    <t>TGT 6</t>
  </si>
  <si>
    <t>Max / Min</t>
  </si>
  <si>
    <t>After Entry</t>
  </si>
  <si>
    <t>After Target</t>
  </si>
  <si>
    <t>MSL</t>
  </si>
  <si>
    <t>MSL 1</t>
  </si>
  <si>
    <t>MSL 2</t>
  </si>
  <si>
    <t>TSL After Entry</t>
  </si>
  <si>
    <t>TSL After TGT 1</t>
  </si>
  <si>
    <t>TSL After TGT 2</t>
  </si>
  <si>
    <t>TSL After TGT 3</t>
  </si>
  <si>
    <t>TSL After TGT 4</t>
  </si>
  <si>
    <t>TSL After TGT 5</t>
  </si>
  <si>
    <t>For Entry</t>
  </si>
  <si>
    <t>For SL (P. = Open)</t>
  </si>
  <si>
    <t>For TGT (P. = Open)</t>
  </si>
  <si>
    <t>For SL 
(P. = Open)</t>
  </si>
  <si>
    <t>Finding the Final Strike</t>
  </si>
  <si>
    <t>Start Stike</t>
  </si>
  <si>
    <t>End Stike</t>
  </si>
  <si>
    <t>Last Choice Stike</t>
  </si>
  <si>
    <t>Ideal Premium</t>
  </si>
  <si>
    <t>Minimum Premium</t>
  </si>
  <si>
    <t>Minimum OI ( in Lots )</t>
  </si>
  <si>
    <t>No of Expiry to Check</t>
  </si>
  <si>
    <t>*</t>
  </si>
  <si>
    <t>Start Strike</t>
  </si>
  <si>
    <t>End Strike</t>
  </si>
  <si>
    <t>Data</t>
  </si>
  <si>
    <t>Buffer</t>
  </si>
  <si>
    <t>Lots</t>
  </si>
  <si>
    <t>Data 1</t>
  </si>
  <si>
    <t>Round</t>
  </si>
  <si>
    <t>Strike</t>
  </si>
  <si>
    <t>Data 2</t>
  </si>
  <si>
    <t>TR PROFIT AFTER TGT 4</t>
  </si>
  <si>
    <t>N.A.</t>
  </si>
  <si>
    <t>+</t>
  </si>
  <si>
    <t>Round Down</t>
  </si>
  <si>
    <t>-</t>
  </si>
  <si>
    <t>Round Up</t>
  </si>
  <si>
    <t>Final Strike</t>
  </si>
  <si>
    <t>Round off to the Nearest Strike</t>
  </si>
  <si>
    <t>Nearest Strike</t>
  </si>
  <si>
    <t>TR PROFIT AFTER TGT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</si>
</sst>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&quot;:&quot;mm&quot;:&quot;ss&quot; &quot;AM/PM"/>
    <numFmt numFmtId="165" formatCode="hh&quot;:&quot;mm&quot; &quot;AM/PM"/>
  </numFmts>
  <fonts count="13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9"/>
      <color theme="1"/>
      <name val="Calibri"/>
      <family val="2"/>
    </font>
    <font>
      <sz val="9"/>
      <color rgb="FF000000"/>
      <name val="Arial"/>
      <family val="2"/>
      <scheme val="minor"/>
    </font>
    <font>
      <b/>
      <sz val="9"/>
      <color theme="1"/>
      <name val="Calibri"/>
      <family val="2"/>
    </font>
    <font>
      <b/>
      <sz val="9"/>
      <color rgb="FF34A853"/>
      <name val="Calibri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color rgb="FF0000FF"/>
      <name val="Calibri"/>
      <family val="2"/>
    </font>
    <font>
      <b/>
      <sz val="9"/>
      <color rgb="FF0000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6EEEF"/>
        <bgColor rgb="FFD6EEEF"/>
      </patternFill>
    </fill>
    <fill>
      <patternFill patternType="solid">
        <fgColor rgb="FFBDEBEC"/>
        <bgColor rgb="FFBDEBEC"/>
      </patternFill>
    </fill>
    <fill>
      <patternFill patternType="solid">
        <fgColor rgb="FFEFEFEF"/>
        <bgColor rgb="FFEFEFEF"/>
      </patternFill>
    </fill>
    <fill>
      <patternFill patternType="solid">
        <fgColor rgb="FFCDF1F4"/>
        <bgColor rgb="FFCDF1F4"/>
      </patternFill>
    </fill>
    <fill>
      <patternFill patternType="solid">
        <fgColor rgb="FFF3F3F3"/>
        <bgColor rgb="FFF3F3F3"/>
      </patternFill>
    </fill>
    <fill>
      <patternFill patternType="solid">
        <fgColor rgb="FFE7F8ED"/>
        <bgColor rgb="FFE7F8ED"/>
      </patternFill>
    </fill>
    <fill>
      <patternFill patternType="solid">
        <fgColor rgb="FFFFF2CC"/>
        <bgColor rgb="FFFFF2CC"/>
      </patternFill>
    </fill>
    <fill>
      <patternFill patternType="solid">
        <fgColor rgb="FFDFF4F6"/>
        <bgColor rgb="FFDFF4F6"/>
      </patternFill>
    </fill>
    <fill>
      <patternFill patternType="solid">
        <fgColor rgb="FFF6E1E1"/>
        <bgColor rgb="FFF6E1E1"/>
      </patternFill>
    </fill>
  </fills>
  <borders count="16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22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left" vertical="center" wrapText="1"/>
    </xf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0" borderId="2" xfId="0" applyFont="1" applyBorder="1"/>
    <xf numFmtId="0" fontId="6" fillId="0" borderId="3" xfId="0" applyFont="1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6" fillId="0" borderId="5" xfId="0" applyFont="1" applyBorder="1"/>
    <xf numFmtId="0" fontId="6" fillId="0" borderId="6" xfId="0" applyFont="1" applyBorder="1"/>
    <xf numFmtId="0" fontId="4" fillId="3" borderId="7" xfId="0" applyFont="1" applyFill="1" applyBorder="1" applyAlignment="1">
      <alignment horizontal="center" vertical="center" wrapText="1"/>
    </xf>
    <xf numFmtId="0" fontId="6" fillId="0" borderId="8" xfId="0" applyFont="1" applyBorder="1"/>
    <xf numFmtId="0" fontId="6" fillId="0" borderId="9" xfId="0" applyFont="1" applyBorder="1"/>
    <xf numFmtId="0" fontId="4" fillId="3" borderId="5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3" fillId="0" borderId="0" xfId="0" applyFont="1"/>
    <xf numFmtId="0" fontId="6" fillId="0" borderId="12" xfId="0" applyFont="1" applyBorder="1"/>
    <xf numFmtId="0" fontId="6" fillId="0" borderId="13" xfId="0" applyFont="1" applyBorder="1"/>
    <xf numFmtId="0" fontId="6" fillId="0" borderId="7" xfId="0" applyFont="1" applyBorder="1"/>
    <xf numFmtId="0" fontId="4" fillId="3" borderId="10" xfId="0" quotePrefix="1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6" fillId="0" borderId="15" xfId="0" applyFont="1" applyBorder="1"/>
    <xf numFmtId="0" fontId="4" fillId="5" borderId="1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4" fillId="3" borderId="11" xfId="0" quotePrefix="1" applyFont="1" applyFill="1" applyBorder="1" applyAlignment="1">
      <alignment horizontal="center" vertical="center" wrapText="1"/>
    </xf>
    <xf numFmtId="4" fontId="4" fillId="3" borderId="11" xfId="0" applyNumberFormat="1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11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left" vertical="center" wrapText="1"/>
    </xf>
    <xf numFmtId="0" fontId="10" fillId="7" borderId="11" xfId="0" applyFont="1" applyFill="1" applyBorder="1" applyAlignment="1">
      <alignment horizontal="left" vertical="center" wrapText="1"/>
    </xf>
    <xf numFmtId="10" fontId="2" fillId="8" borderId="11" xfId="0" applyNumberFormat="1" applyFont="1" applyFill="1" applyBorder="1" applyAlignment="1">
      <alignment horizontal="center" vertical="center" wrapText="1"/>
    </xf>
    <xf numFmtId="3" fontId="2" fillId="8" borderId="1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10" fontId="10" fillId="6" borderId="11" xfId="0" applyNumberFormat="1" applyFont="1" applyFill="1" applyBorder="1" applyAlignment="1">
      <alignment horizontal="center" vertical="center" wrapText="1"/>
    </xf>
    <xf numFmtId="3" fontId="10" fillId="6" borderId="1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9" borderId="11" xfId="0" applyFont="1" applyFill="1" applyBorder="1" applyAlignment="1">
      <alignment vertical="center"/>
    </xf>
    <xf numFmtId="164" fontId="10" fillId="0" borderId="11" xfId="0" applyNumberFormat="1" applyFont="1" applyBorder="1" applyAlignment="1">
      <alignment vertical="center"/>
    </xf>
    <xf numFmtId="164" fontId="9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10" fontId="10" fillId="8" borderId="11" xfId="0" applyNumberFormat="1" applyFont="1" applyFill="1" applyBorder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0" fontId="6" fillId="0" borderId="14" xfId="0" applyFont="1" applyBorder="1"/>
    <xf numFmtId="0" fontId="10" fillId="10" borderId="11" xfId="0" applyFont="1" applyFill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165" fontId="9" fillId="0" borderId="4" xfId="0" applyNumberFormat="1" applyFont="1" applyBorder="1" applyAlignment="1">
      <alignment horizontal="left" vertical="center" wrapText="1"/>
    </xf>
    <xf numFmtId="0" fontId="10" fillId="10" borderId="10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10" fontId="2" fillId="8" borderId="11" xfId="1" applyNumberFormat="1" applyFont="1" applyFill="1" applyBorder="1" applyAlignment="1">
      <alignment horizontal="center" vertical="center" wrapText="1"/>
    </xf>
    <xf numFmtId="3" fontId="2" fillId="8" borderId="11" xfId="1" applyNumberFormat="1" applyFont="1" applyFill="1" applyBorder="1" applyAlignment="1">
      <alignment horizontal="center" vertical="center" wrapText="1"/>
    </xf>
    <xf numFmtId="10" fontId="10" fillId="8" borderId="11" xfId="2" applyNumberFormat="1" applyFont="1" applyFill="1" applyBorder="1" applyAlignment="1">
      <alignment horizontal="center" vertical="center" wrapText="1"/>
    </xf>
    <xf numFmtId="3" fontId="10" fillId="8" borderId="11" xfId="0" applyNumberFormat="1" applyFont="1" applyFill="1" applyBorder="1" applyAlignment="1">
      <alignment horizontal="center" vertical="center" wrapText="1"/>
    </xf>
    <xf numFmtId="0" fontId="10" fillId="8" borderId="11" xfId="0" applyFont="1" applyFill="1" applyBorder="1" applyAlignment="1">
      <alignment horizontal="center" vertical="center" wrapText="1"/>
    </xf>
    <xf numFmtId="10" fontId="10" fillId="8" borderId="11" xfId="3" applyNumberFormat="1" applyFont="1" applyFill="1" applyBorder="1" applyAlignment="1">
      <alignment horizontal="center" vertical="center" wrapText="1"/>
    </xf>
    <xf numFmtId="10" fontId="2" fillId="8" borderId="11" xfId="3" applyNumberFormat="1" applyFont="1" applyFill="1" applyBorder="1" applyAlignment="1">
      <alignment horizontal="center" vertical="center" wrapText="1"/>
    </xf>
    <xf numFmtId="10" fontId="10" fillId="8" borderId="11" xfId="4" applyNumberFormat="1" applyFont="1" applyFill="1" applyBorder="1" applyAlignment="1">
      <alignment horizontal="center" vertical="center" wrapText="1"/>
    </xf>
    <xf numFmtId="10" fontId="2" fillId="8" borderId="11" xfId="5" applyNumberFormat="1" applyFont="1" applyFill="1" applyBorder="1" applyAlignment="1">
      <alignment horizontal="center" vertical="center" wrapText="1"/>
    </xf>
    <xf numFmtId="10" fontId="10" fillId="8" borderId="11" xfId="5" applyNumberFormat="1" applyFont="1" applyFill="1" applyBorder="1" applyAlignment="1">
      <alignment horizontal="center" vertical="center" wrapText="1"/>
    </xf>
    <xf numFmtId="0" fontId="10" fillId="8" borderId="11" xfId="0" quotePrefix="1" applyFont="1" applyFill="1" applyBorder="1" applyAlignment="1">
      <alignment horizontal="center" vertical="center" wrapText="1"/>
    </xf>
    <xf numFmtId="0" fontId="10" fillId="8" borderId="15" xfId="0" quotePrefix="1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10" fillId="8" borderId="15" xfId="0" applyFont="1" applyFill="1" applyBorder="1" applyAlignment="1">
      <alignment horizontal="center" vertical="center" wrapText="1"/>
    </xf>
    <xf numFmtId="0" fontId="10" fillId="0" borderId="5" xfId="1" applyFont="1" applyBorder="1" applyAlignment="1">
      <alignment horizontal="left" vertical="center" wrapText="1"/>
    </xf>
    <xf numFmtId="3" fontId="10" fillId="0" borderId="0" xfId="1" applyNumberFormat="1" applyFont="1" applyAlignment="1">
      <alignment horizontal="left" vertical="center" wrapText="1"/>
    </xf>
    <xf numFmtId="0" fontId="10" fillId="0" borderId="5" xfId="2" applyFont="1" applyBorder="1" applyAlignment="1">
      <alignment horizontal="left" vertical="center" wrapText="1"/>
    </xf>
    <xf numFmtId="3" fontId="10" fillId="0" borderId="0" xfId="0" applyNumberFormat="1" applyFont="1" applyAlignment="1">
      <alignment horizontal="left" vertical="center" wrapText="1"/>
    </xf>
    <xf numFmtId="0" fontId="10" fillId="0" borderId="5" xfId="3" applyFont="1" applyBorder="1" applyAlignment="1">
      <alignment horizontal="left" vertical="center" wrapText="1"/>
    </xf>
    <xf numFmtId="0" fontId="10" fillId="0" borderId="5" xfId="4" applyFont="1" applyBorder="1" applyAlignment="1">
      <alignment horizontal="left" vertical="center" wrapText="1"/>
    </xf>
    <xf numFmtId="0" fontId="10" fillId="0" borderId="5" xfId="5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vertical="center"/>
    </xf>
    <xf numFmtId="3" fontId="10" fillId="8" borderId="11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4" fontId="2" fillId="0" borderId="0" xfId="1" applyNumberFormat="1" applyFont="1" applyAlignment="1">
      <alignment horizontal="left" vertical="center" wrapText="1"/>
    </xf>
    <xf numFmtId="0" fontId="2" fillId="0" borderId="0" xfId="2" applyFont="1" applyAlignment="1">
      <alignment horizontal="left" vertical="center" wrapText="1"/>
    </xf>
    <xf numFmtId="0" fontId="2" fillId="0" borderId="0" xfId="3" applyFont="1" applyAlignment="1">
      <alignment horizontal="left" vertical="center" wrapText="1"/>
    </xf>
    <xf numFmtId="0" fontId="2" fillId="0" borderId="0" xfId="3" applyFont="1" applyAlignment="1">
      <alignment horizontal="left" vertical="center"/>
    </xf>
    <xf numFmtId="0" fontId="2" fillId="0" borderId="0" xfId="4" applyFont="1" applyAlignment="1">
      <alignment horizontal="left" vertical="center"/>
    </xf>
    <xf numFmtId="0" fontId="2" fillId="0" borderId="0" xfId="5" applyFont="1" applyAlignment="1">
      <alignment horizontal="left" vertical="center" wrapText="1"/>
    </xf>
    <xf numFmtId="0" fontId="2" fillId="0" borderId="0" xfId="5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4" applyFont="1" applyAlignment="1">
      <alignment horizontal="left" vertical="center"/>
    </xf>
    <xf numFmtId="0" fontId="11" fillId="0" borderId="0" xfId="5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0" fillId="6" borderId="11" xfId="0" quotePrefix="1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1" fillId="7" borderId="10" xfId="0" applyFont="1" applyFill="1" applyBorder="1" applyAlignment="1">
      <alignment horizontal="left" vertical="center" wrapText="1"/>
    </xf>
    <xf numFmtId="0" fontId="11" fillId="7" borderId="11" xfId="0" applyFont="1" applyFill="1" applyBorder="1" applyAlignment="1">
      <alignment horizontal="left" vertical="center" wrapText="1"/>
    </xf>
    <xf numFmtId="9" fontId="2" fillId="8" borderId="11" xfId="0" applyNumberFormat="1" applyFont="1" applyFill="1" applyBorder="1" applyAlignment="1">
      <alignment horizontal="center" vertical="center" wrapText="1"/>
    </xf>
    <xf numFmtId="9" fontId="10" fillId="8" borderId="11" xfId="0" applyNumberFormat="1" applyFont="1" applyFill="1" applyBorder="1" applyAlignment="1">
      <alignment horizontal="center" vertical="center" wrapText="1"/>
    </xf>
    <xf numFmtId="9" fontId="10" fillId="6" borderId="11" xfId="0" applyNumberFormat="1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vertical="center"/>
    </xf>
    <xf numFmtId="164" fontId="11" fillId="0" borderId="11" xfId="0" applyNumberFormat="1" applyFont="1" applyBorder="1" applyAlignment="1">
      <alignment vertical="center"/>
    </xf>
    <xf numFmtId="0" fontId="11" fillId="10" borderId="11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</cellXfs>
  <cellStyles count="6">
    <cellStyle name="Normal" xfId="0" builtinId="0"/>
    <cellStyle name="Normal 2" xfId="1" xr:uid="{79AD2FB0-B4CF-4D81-9395-BF3E336FBF5D}"/>
    <cellStyle name="Normal 3" xfId="2" xr:uid="{038076F8-D18B-412E-8AE1-FD81C1CF14A5}"/>
    <cellStyle name="Normal 4" xfId="3" xr:uid="{B5B59F3D-84F1-413A-BB83-3C393BFBF70D}"/>
    <cellStyle name="Normal 5" xfId="4" xr:uid="{7A1B1AD0-2DEF-4DE3-8E46-0B18527CD2DA}"/>
    <cellStyle name="Normal 6" xfId="5" xr:uid="{D85E7A61-5B96-45FD-B415-7D80C938ED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FIS\Selected\All_in_One_TFIS_26-12-2023_Unprotected_Copy.xlsx" TargetMode="External"/><Relationship Id="rId1" Type="http://schemas.openxmlformats.org/officeDocument/2006/relationships/externalLinkPath" Target="/TFIS/Selected/All_in_One_TFIS_26-12-2023_Unprotected_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eps"/>
      <sheetName val="Index"/>
      <sheetName val="AB1"/>
      <sheetName val="AB2"/>
      <sheetName val="AB3"/>
      <sheetName val="AB4"/>
      <sheetName val="AB5"/>
      <sheetName val="AB6 FUT"/>
      <sheetName val="AB6 OS"/>
      <sheetName val="AB6 OB"/>
      <sheetName val="AB6 EQ"/>
      <sheetName val="AB8"/>
      <sheetName val="AB9"/>
      <sheetName val="AB10"/>
      <sheetName val="AB11"/>
      <sheetName val="AB12"/>
      <sheetName val="AB13"/>
      <sheetName val="AB14"/>
      <sheetName val="AB15"/>
      <sheetName val="AB16"/>
      <sheetName val="AB17"/>
      <sheetName val="AB18"/>
      <sheetName val="AB19 PA"/>
      <sheetName val="1. 0900 TGT"/>
      <sheetName val="2. 0905 E &amp; SL"/>
      <sheetName val="3. 0910 E &amp; SL"/>
      <sheetName val="4. 0915 E &amp; SL 4"/>
      <sheetName val="5. 0915 TGT"/>
      <sheetName val="6. 0920 E &amp; SL 2"/>
      <sheetName val="7. 0925 E &amp; SL 1"/>
      <sheetName val="8. 0930 E &amp; SL"/>
    </sheetNames>
    <sheetDataSet>
      <sheetData sheetId="0"/>
      <sheetData sheetId="1"/>
      <sheetData sheetId="2"/>
      <sheetData sheetId="3">
        <row r="1">
          <cell r="A1" t="str">
            <v>SR. NO.</v>
          </cell>
          <cell r="B1" t="str">
            <v>STRATEGY CODE</v>
          </cell>
          <cell r="C1" t="str">
            <v>SEGMENT</v>
          </cell>
          <cell r="E1" t="str">
            <v>SYMBOL</v>
          </cell>
          <cell r="F1" t="str">
            <v>CONTRACT</v>
          </cell>
          <cell r="I1" t="str">
            <v>Favour Entry Data</v>
          </cell>
          <cell r="J1" t="str">
            <v>Against Entry Data</v>
          </cell>
          <cell r="K1" t="str">
            <v>No. of Targets</v>
          </cell>
          <cell r="L1" t="str">
            <v>FAVOUR EXIT DATA</v>
          </cell>
          <cell r="M1" t="str">
            <v>AGAINST EXIT DATA</v>
          </cell>
          <cell r="N1" t="str">
            <v>Unique Code</v>
          </cell>
          <cell r="AG1" t="str">
            <v>Market Start Time</v>
          </cell>
          <cell r="AH1" t="str">
            <v>Market End Time</v>
          </cell>
        </row>
        <row r="6">
          <cell r="A6">
            <v>1</v>
          </cell>
          <cell r="B6" t="str">
            <v>S1</v>
          </cell>
          <cell r="C6" t="str">
            <v>FUTURES</v>
          </cell>
          <cell r="E6" t="str">
            <v>USDINR</v>
          </cell>
          <cell r="F6" t="str">
            <v>MONTHLY</v>
          </cell>
          <cell r="I6" t="str">
            <v>2D</v>
          </cell>
          <cell r="J6" t="str">
            <v>2D</v>
          </cell>
          <cell r="K6" t="str">
            <v>4 &amp; APS</v>
          </cell>
          <cell r="L6" t="str">
            <v>2D</v>
          </cell>
          <cell r="M6" t="str">
            <v>2D</v>
          </cell>
          <cell r="N6" t="str">
            <v>USDINR_FUT_MT_SAME_2D_2D</v>
          </cell>
          <cell r="AG6">
            <v>0.375</v>
          </cell>
          <cell r="AH6">
            <v>0.70833333333333337</v>
          </cell>
        </row>
        <row r="7">
          <cell r="A7">
            <v>2</v>
          </cell>
          <cell r="B7" t="str">
            <v>S2</v>
          </cell>
          <cell r="C7" t="str">
            <v>FUTURES</v>
          </cell>
          <cell r="E7" t="str">
            <v>USDINR</v>
          </cell>
          <cell r="F7" t="str">
            <v>MONTHLY</v>
          </cell>
          <cell r="I7" t="str">
            <v>2D</v>
          </cell>
          <cell r="J7" t="str">
            <v>4D</v>
          </cell>
          <cell r="K7" t="str">
            <v>4 &amp; APS</v>
          </cell>
          <cell r="L7" t="str">
            <v>4D</v>
          </cell>
          <cell r="M7" t="str">
            <v>2D</v>
          </cell>
          <cell r="N7" t="str">
            <v>USDINR_FUT_MT_DIFF_2D_4D</v>
          </cell>
          <cell r="AG7">
            <v>0.375</v>
          </cell>
          <cell r="AH7">
            <v>0.70833333333333337</v>
          </cell>
        </row>
        <row r="8">
          <cell r="A8">
            <v>3</v>
          </cell>
          <cell r="B8" t="str">
            <v>S3</v>
          </cell>
          <cell r="C8" t="str">
            <v>FUTURES</v>
          </cell>
          <cell r="E8" t="str">
            <v>BANKNIFTY</v>
          </cell>
          <cell r="F8" t="str">
            <v>MONTHLY</v>
          </cell>
          <cell r="I8" t="str">
            <v>1D</v>
          </cell>
          <cell r="J8" t="str">
            <v>2D</v>
          </cell>
          <cell r="K8" t="str">
            <v>4 &amp; APS</v>
          </cell>
          <cell r="L8" t="str">
            <v>2D</v>
          </cell>
          <cell r="M8" t="str">
            <v>1D</v>
          </cell>
          <cell r="N8" t="str">
            <v>BANKNIFTY_FUT_MT_DIFF_1D_2D</v>
          </cell>
          <cell r="AG8">
            <v>0.38541666666666669</v>
          </cell>
          <cell r="AH8">
            <v>0.64583333333333337</v>
          </cell>
        </row>
        <row r="9">
          <cell r="A9">
            <v>4</v>
          </cell>
          <cell r="B9" t="str">
            <v>S4</v>
          </cell>
          <cell r="C9" t="str">
            <v>FUTURES</v>
          </cell>
          <cell r="E9" t="str">
            <v>BANKNIFTY</v>
          </cell>
          <cell r="F9" t="str">
            <v>MONTHLY</v>
          </cell>
          <cell r="I9" t="str">
            <v>2D</v>
          </cell>
          <cell r="J9" t="str">
            <v>2D</v>
          </cell>
          <cell r="K9" t="str">
            <v>4 &amp; APS</v>
          </cell>
          <cell r="L9" t="str">
            <v>2D</v>
          </cell>
          <cell r="M9" t="str">
            <v>2D</v>
          </cell>
          <cell r="N9" t="str">
            <v>BANKNIFTY_FUT_MT_SAME_2D_2D</v>
          </cell>
          <cell r="AG9">
            <v>0.38541666666666669</v>
          </cell>
          <cell r="AH9">
            <v>0.64583333333333337</v>
          </cell>
        </row>
        <row r="10">
          <cell r="A10">
            <v>5</v>
          </cell>
          <cell r="B10" t="str">
            <v>S5</v>
          </cell>
          <cell r="C10" t="str">
            <v>FUTURES</v>
          </cell>
          <cell r="E10" t="str">
            <v>STOCKS</v>
          </cell>
          <cell r="F10" t="str">
            <v>MONTHLY</v>
          </cell>
          <cell r="I10" t="str">
            <v>2D</v>
          </cell>
          <cell r="J10" t="str">
            <v>3D</v>
          </cell>
          <cell r="K10" t="str">
            <v>4 &amp; APS</v>
          </cell>
          <cell r="L10" t="str">
            <v>3D</v>
          </cell>
          <cell r="M10" t="str">
            <v>2D</v>
          </cell>
          <cell r="N10" t="str">
            <v>STOCKS_FUT_MT_DIFF_2D_3D</v>
          </cell>
          <cell r="AG10">
            <v>0.38541666666666669</v>
          </cell>
          <cell r="AH10">
            <v>0.64583333333333337</v>
          </cell>
        </row>
        <row r="11">
          <cell r="A11">
            <v>6</v>
          </cell>
          <cell r="B11" t="str">
            <v>S6</v>
          </cell>
          <cell r="C11" t="str">
            <v>FUTURES</v>
          </cell>
          <cell r="E11" t="str">
            <v>STOCKS</v>
          </cell>
          <cell r="F11" t="str">
            <v>MONTHLY</v>
          </cell>
          <cell r="I11" t="str">
            <v>3D</v>
          </cell>
          <cell r="J11" t="str">
            <v>3D</v>
          </cell>
          <cell r="K11" t="str">
            <v>4 &amp; APS</v>
          </cell>
          <cell r="L11" t="str">
            <v>3D</v>
          </cell>
          <cell r="M11" t="str">
            <v>3D</v>
          </cell>
          <cell r="N11" t="str">
            <v>STOCKS_FUT_MT_SAME_3D_3D</v>
          </cell>
          <cell r="AG11">
            <v>0.38541666666666669</v>
          </cell>
          <cell r="AH11">
            <v>0.64583333333333337</v>
          </cell>
        </row>
        <row r="12">
          <cell r="A12">
            <v>7</v>
          </cell>
          <cell r="B12" t="str">
            <v>S7</v>
          </cell>
          <cell r="C12" t="str">
            <v>FUTURES</v>
          </cell>
          <cell r="E12" t="str">
            <v>STOCKS</v>
          </cell>
          <cell r="F12" t="str">
            <v>MONTHLY</v>
          </cell>
          <cell r="I12" t="str">
            <v>2D</v>
          </cell>
          <cell r="J12" t="str">
            <v>PW&amp;CW</v>
          </cell>
          <cell r="K12" t="str">
            <v>4 &amp; APS</v>
          </cell>
          <cell r="L12" t="str">
            <v>PW&amp;CW</v>
          </cell>
          <cell r="M12" t="str">
            <v>2D</v>
          </cell>
          <cell r="N12" t="str">
            <v>STOCKS_FUT_MT_DIFF_2D_PW&amp;CW</v>
          </cell>
          <cell r="AG12">
            <v>0.38541666666666669</v>
          </cell>
          <cell r="AH12">
            <v>0.64583333333333337</v>
          </cell>
        </row>
        <row r="13">
          <cell r="A13">
            <v>8</v>
          </cell>
          <cell r="B13" t="str">
            <v>S8</v>
          </cell>
          <cell r="C13" t="str">
            <v>FUTURES</v>
          </cell>
          <cell r="E13" t="str">
            <v>NIFTY</v>
          </cell>
          <cell r="F13" t="str">
            <v>MONTHLY</v>
          </cell>
          <cell r="I13" t="str">
            <v>1D</v>
          </cell>
          <cell r="J13" t="str">
            <v>2D</v>
          </cell>
          <cell r="K13" t="str">
            <v>4 &amp; APS</v>
          </cell>
          <cell r="L13" t="str">
            <v>2D</v>
          </cell>
          <cell r="M13" t="str">
            <v>1D</v>
          </cell>
          <cell r="N13" t="str">
            <v>NIFTY_FUT_MT_DIFF_1D_2D</v>
          </cell>
          <cell r="AG13">
            <v>0.38541666666666669</v>
          </cell>
          <cell r="AH13">
            <v>0.64583333333333337</v>
          </cell>
        </row>
        <row r="14">
          <cell r="A14">
            <v>9</v>
          </cell>
          <cell r="B14" t="str">
            <v>S9</v>
          </cell>
          <cell r="C14" t="str">
            <v>FUTURES</v>
          </cell>
          <cell r="E14" t="str">
            <v>NIFTY</v>
          </cell>
          <cell r="F14" t="str">
            <v>MONTHLY</v>
          </cell>
          <cell r="I14" t="str">
            <v>2D</v>
          </cell>
          <cell r="J14" t="str">
            <v>2D</v>
          </cell>
          <cell r="K14" t="str">
            <v>4 &amp; APS</v>
          </cell>
          <cell r="L14" t="str">
            <v>2D</v>
          </cell>
          <cell r="M14" t="str">
            <v>2D</v>
          </cell>
          <cell r="N14" t="str">
            <v>NIFTY_FUT_MT_SAME_2D_2D</v>
          </cell>
          <cell r="AG14">
            <v>0.38541666666666669</v>
          </cell>
          <cell r="AH14">
            <v>0.64583333333333337</v>
          </cell>
        </row>
        <row r="15">
          <cell r="A15">
            <v>10</v>
          </cell>
          <cell r="B15" t="str">
            <v>S10</v>
          </cell>
          <cell r="C15" t="str">
            <v>FUTURES</v>
          </cell>
          <cell r="E15" t="str">
            <v>GOLDM</v>
          </cell>
          <cell r="F15" t="str">
            <v>MONTHLY</v>
          </cell>
          <cell r="I15" t="str">
            <v>2D</v>
          </cell>
          <cell r="J15" t="str">
            <v>3D</v>
          </cell>
          <cell r="K15" t="str">
            <v>4 &amp; APS</v>
          </cell>
          <cell r="L15" t="str">
            <v>3D</v>
          </cell>
          <cell r="M15" t="str">
            <v>2D</v>
          </cell>
          <cell r="N15" t="str">
            <v>GOLDM_FUT_MT_DIFF_2D_3D</v>
          </cell>
          <cell r="AG15">
            <v>0.375</v>
          </cell>
          <cell r="AH15">
            <v>0.97916666666666663</v>
          </cell>
        </row>
        <row r="16">
          <cell r="A16">
            <v>11</v>
          </cell>
          <cell r="B16" t="str">
            <v>S11</v>
          </cell>
          <cell r="C16" t="str">
            <v>FUTURES</v>
          </cell>
          <cell r="E16" t="str">
            <v>GOLDM</v>
          </cell>
          <cell r="F16" t="str">
            <v>MONTHLY</v>
          </cell>
          <cell r="I16" t="str">
            <v>3D</v>
          </cell>
          <cell r="J16" t="str">
            <v>3D</v>
          </cell>
          <cell r="K16" t="str">
            <v>4 &amp; APS</v>
          </cell>
          <cell r="L16" t="str">
            <v>3D</v>
          </cell>
          <cell r="M16" t="str">
            <v>3D</v>
          </cell>
          <cell r="N16" t="str">
            <v>GOLDM_FUT_MT_SAME_3D_3D</v>
          </cell>
          <cell r="AG16">
            <v>0.375</v>
          </cell>
          <cell r="AH16">
            <v>0.97916666666666663</v>
          </cell>
        </row>
        <row r="17">
          <cell r="A17">
            <v>12</v>
          </cell>
          <cell r="B17" t="str">
            <v>S12</v>
          </cell>
          <cell r="C17" t="str">
            <v>FUTURES</v>
          </cell>
          <cell r="E17" t="str">
            <v>SILVERM</v>
          </cell>
          <cell r="F17" t="str">
            <v>MONTHLY</v>
          </cell>
          <cell r="I17" t="str">
            <v>2D</v>
          </cell>
          <cell r="J17" t="str">
            <v>3D</v>
          </cell>
          <cell r="K17" t="str">
            <v>4 &amp; APS</v>
          </cell>
          <cell r="L17" t="str">
            <v>3D</v>
          </cell>
          <cell r="M17" t="str">
            <v>2D</v>
          </cell>
          <cell r="N17" t="str">
            <v>SILVERM_FUT_MT_DIFF_2D_3D</v>
          </cell>
          <cell r="AG17">
            <v>0.375</v>
          </cell>
          <cell r="AH17">
            <v>0.97916666666666663</v>
          </cell>
        </row>
        <row r="18">
          <cell r="A18">
            <v>13</v>
          </cell>
          <cell r="B18" t="str">
            <v>S13</v>
          </cell>
          <cell r="C18" t="str">
            <v>FUTURES</v>
          </cell>
          <cell r="E18" t="str">
            <v>SILVERM</v>
          </cell>
          <cell r="F18" t="str">
            <v>MONTHLY</v>
          </cell>
          <cell r="I18" t="str">
            <v>3D</v>
          </cell>
          <cell r="J18" t="str">
            <v>3D</v>
          </cell>
          <cell r="K18" t="str">
            <v>4 &amp; APS</v>
          </cell>
          <cell r="L18" t="str">
            <v>3D</v>
          </cell>
          <cell r="M18" t="str">
            <v>3D</v>
          </cell>
          <cell r="N18" t="str">
            <v>SILVERM_FUT_MT_SAME_3D_3D</v>
          </cell>
          <cell r="AG18">
            <v>0.375</v>
          </cell>
          <cell r="AH18">
            <v>0.97916666666666663</v>
          </cell>
        </row>
        <row r="19">
          <cell r="A19">
            <v>14</v>
          </cell>
          <cell r="B19" t="str">
            <v>S14</v>
          </cell>
          <cell r="C19" t="str">
            <v>FUTURES</v>
          </cell>
          <cell r="E19" t="str">
            <v>CRUDEOIL</v>
          </cell>
          <cell r="F19" t="str">
            <v>MONTHLY</v>
          </cell>
          <cell r="I19" t="str">
            <v>2D</v>
          </cell>
          <cell r="J19" t="str">
            <v>2D</v>
          </cell>
          <cell r="K19" t="str">
            <v>4 &amp; APS</v>
          </cell>
          <cell r="L19" t="str">
            <v>2D</v>
          </cell>
          <cell r="M19" t="str">
            <v>2D</v>
          </cell>
          <cell r="N19" t="str">
            <v>CRUDEOIL_FUT_MT_SAME_2D_2D</v>
          </cell>
          <cell r="AG19">
            <v>0.375</v>
          </cell>
          <cell r="AH19">
            <v>0.97916666666666663</v>
          </cell>
        </row>
        <row r="20">
          <cell r="A20">
            <v>15</v>
          </cell>
          <cell r="B20" t="str">
            <v>S15</v>
          </cell>
          <cell r="C20" t="str">
            <v>FUTURES</v>
          </cell>
          <cell r="E20" t="str">
            <v>CRUDEOIL</v>
          </cell>
          <cell r="F20" t="str">
            <v>MONTHLY</v>
          </cell>
          <cell r="I20" t="str">
            <v>1D</v>
          </cell>
          <cell r="J20" t="str">
            <v>2D</v>
          </cell>
          <cell r="K20" t="str">
            <v>4 &amp; APS</v>
          </cell>
          <cell r="L20" t="str">
            <v>2D</v>
          </cell>
          <cell r="M20" t="str">
            <v>1D</v>
          </cell>
          <cell r="N20" t="str">
            <v>CRUDEOIL_FUT_MT_DIFF_1D_2D</v>
          </cell>
          <cell r="AG20">
            <v>0.375</v>
          </cell>
          <cell r="AH20">
            <v>0.97916666666666663</v>
          </cell>
        </row>
        <row r="21">
          <cell r="A21">
            <v>16</v>
          </cell>
          <cell r="B21" t="str">
            <v>S16</v>
          </cell>
          <cell r="C21" t="str">
            <v>FUTURES</v>
          </cell>
          <cell r="E21" t="str">
            <v>NATURALGAS</v>
          </cell>
          <cell r="F21" t="str">
            <v>MONTHLY</v>
          </cell>
          <cell r="I21" t="str">
            <v>2D</v>
          </cell>
          <cell r="J21" t="str">
            <v>3D</v>
          </cell>
          <cell r="K21" t="str">
            <v>4 &amp; APS</v>
          </cell>
          <cell r="L21" t="str">
            <v>3D</v>
          </cell>
          <cell r="M21" t="str">
            <v>2D</v>
          </cell>
          <cell r="N21" t="str">
            <v>NATURALGAS_FUT_MT_DIFF_2D_3D</v>
          </cell>
          <cell r="AG21">
            <v>0.375</v>
          </cell>
          <cell r="AH21">
            <v>0.97916666666666663</v>
          </cell>
        </row>
        <row r="22">
          <cell r="A22">
            <v>17</v>
          </cell>
          <cell r="B22" t="str">
            <v>S17</v>
          </cell>
          <cell r="C22" t="str">
            <v>FUTURES</v>
          </cell>
          <cell r="E22" t="str">
            <v>NATURALGAS</v>
          </cell>
          <cell r="F22" t="str">
            <v>MONTHLY</v>
          </cell>
          <cell r="I22" t="str">
            <v>2D</v>
          </cell>
          <cell r="J22" t="str">
            <v>PW&amp;CW</v>
          </cell>
          <cell r="K22" t="str">
            <v>4 &amp; APS</v>
          </cell>
          <cell r="L22" t="str">
            <v>PW&amp;CW</v>
          </cell>
          <cell r="M22" t="str">
            <v>2D</v>
          </cell>
          <cell r="N22" t="str">
            <v>NATURALGAS_FUT_MT_DIFF_2D_PW&amp;CW</v>
          </cell>
          <cell r="AG22">
            <v>0.375</v>
          </cell>
          <cell r="AH22">
            <v>0.97916666666666663</v>
          </cell>
        </row>
        <row r="23">
          <cell r="A23">
            <v>18</v>
          </cell>
          <cell r="B23" t="str">
            <v>S18</v>
          </cell>
          <cell r="C23" t="str">
            <v>OPTIONS SELL</v>
          </cell>
          <cell r="E23" t="str">
            <v>USDINR</v>
          </cell>
          <cell r="F23" t="str">
            <v>WEEKLY</v>
          </cell>
          <cell r="I23" t="str">
            <v>2D</v>
          </cell>
          <cell r="J23" t="str">
            <v>3D</v>
          </cell>
          <cell r="K23" t="str">
            <v>APS</v>
          </cell>
          <cell r="L23" t="str">
            <v>3D</v>
          </cell>
          <cell r="M23" t="str">
            <v>2D</v>
          </cell>
          <cell r="N23" t="str">
            <v>USDINR_OP_SELL_WK_DIFF_2D_3D</v>
          </cell>
          <cell r="AG23">
            <v>0.375</v>
          </cell>
          <cell r="AH23">
            <v>0.70833333333333337</v>
          </cell>
        </row>
        <row r="24">
          <cell r="A24">
            <v>19</v>
          </cell>
          <cell r="B24" t="str">
            <v>S19</v>
          </cell>
          <cell r="C24" t="str">
            <v>OPTIONS SELL</v>
          </cell>
          <cell r="E24" t="str">
            <v>USDINR</v>
          </cell>
          <cell r="F24" t="str">
            <v>MONTHLY</v>
          </cell>
          <cell r="I24" t="str">
            <v>2D</v>
          </cell>
          <cell r="J24" t="str">
            <v>3D</v>
          </cell>
          <cell r="K24" t="str">
            <v>APS</v>
          </cell>
          <cell r="L24" t="str">
            <v>3D</v>
          </cell>
          <cell r="M24" t="str">
            <v>2D</v>
          </cell>
          <cell r="N24" t="str">
            <v>USDINR_OP_SELL_MT_DIFF_2D_3D</v>
          </cell>
          <cell r="AG24">
            <v>0.375</v>
          </cell>
          <cell r="AH24">
            <v>0.70833333333333337</v>
          </cell>
        </row>
        <row r="25">
          <cell r="A25">
            <v>20</v>
          </cell>
          <cell r="B25" t="str">
            <v>S20</v>
          </cell>
          <cell r="C25" t="str">
            <v>OPTIONS SELL</v>
          </cell>
          <cell r="E25" t="str">
            <v>BANKNIFTY</v>
          </cell>
          <cell r="F25" t="str">
            <v>WEEKLY</v>
          </cell>
          <cell r="I25" t="str">
            <v>2D</v>
          </cell>
          <cell r="J25" t="str">
            <v>3D</v>
          </cell>
          <cell r="K25" t="str">
            <v>APS</v>
          </cell>
          <cell r="L25" t="str">
            <v>3D</v>
          </cell>
          <cell r="M25" t="str">
            <v>2D</v>
          </cell>
          <cell r="N25" t="str">
            <v>BANKNIFTY_OP_SELL_WK_DIFF_2D_3D</v>
          </cell>
          <cell r="AG25">
            <v>0.38541666666666669</v>
          </cell>
          <cell r="AH25">
            <v>0.64583333333333337</v>
          </cell>
        </row>
        <row r="26">
          <cell r="A26">
            <v>21</v>
          </cell>
          <cell r="B26" t="str">
            <v>S21</v>
          </cell>
          <cell r="C26" t="str">
            <v>OPTIONS SELL</v>
          </cell>
          <cell r="E26" t="str">
            <v>BANKNIFTY</v>
          </cell>
          <cell r="F26" t="str">
            <v>MONTHLY</v>
          </cell>
          <cell r="I26" t="str">
            <v>2D</v>
          </cell>
          <cell r="J26" t="str">
            <v>3D</v>
          </cell>
          <cell r="K26" t="str">
            <v>APS</v>
          </cell>
          <cell r="L26" t="str">
            <v>3D</v>
          </cell>
          <cell r="M26" t="str">
            <v>2D</v>
          </cell>
          <cell r="N26" t="str">
            <v>BANKNIFTY_OP_SELL_MT_DIFF_2D_3D</v>
          </cell>
          <cell r="AG26">
            <v>0.38541666666666669</v>
          </cell>
          <cell r="AH26">
            <v>0.64583333333333337</v>
          </cell>
        </row>
        <row r="27">
          <cell r="A27">
            <v>22</v>
          </cell>
          <cell r="B27" t="str">
            <v>S22</v>
          </cell>
          <cell r="C27" t="str">
            <v>OPTIONS SELL</v>
          </cell>
          <cell r="E27" t="str">
            <v>STOCKS</v>
          </cell>
          <cell r="F27" t="str">
            <v>MONTHLY</v>
          </cell>
          <cell r="I27" t="str">
            <v>2D</v>
          </cell>
          <cell r="J27" t="str">
            <v>4D</v>
          </cell>
          <cell r="K27" t="str">
            <v>APS</v>
          </cell>
          <cell r="L27" t="str">
            <v>3D</v>
          </cell>
          <cell r="M27" t="str">
            <v>2D</v>
          </cell>
          <cell r="N27" t="str">
            <v>STOCKS_OP_SELL_MT_DIFF_2D_4D</v>
          </cell>
          <cell r="AG27">
            <v>0.38541666666666669</v>
          </cell>
          <cell r="AH27">
            <v>0.64583333333333337</v>
          </cell>
        </row>
        <row r="28">
          <cell r="A28">
            <v>23</v>
          </cell>
          <cell r="B28" t="str">
            <v>S23</v>
          </cell>
          <cell r="C28" t="str">
            <v>OPTIONS SELL</v>
          </cell>
          <cell r="E28" t="str">
            <v>NIFTY</v>
          </cell>
          <cell r="F28" t="str">
            <v>WEEKLY</v>
          </cell>
          <cell r="I28" t="str">
            <v>2D</v>
          </cell>
          <cell r="J28" t="str">
            <v>3D</v>
          </cell>
          <cell r="K28" t="str">
            <v>APS</v>
          </cell>
          <cell r="L28" t="str">
            <v>3D</v>
          </cell>
          <cell r="M28" t="str">
            <v>2D</v>
          </cell>
          <cell r="N28" t="str">
            <v>NIFTY_OP_SELL_WK_DIFF_2D_3D</v>
          </cell>
          <cell r="AG28">
            <v>0.38541666666666669</v>
          </cell>
          <cell r="AH28">
            <v>0.64583333333333337</v>
          </cell>
        </row>
        <row r="29">
          <cell r="A29">
            <v>24</v>
          </cell>
          <cell r="B29" t="str">
            <v>S24</v>
          </cell>
          <cell r="C29" t="str">
            <v>OPTIONS SELL</v>
          </cell>
          <cell r="E29" t="str">
            <v>NIFTY</v>
          </cell>
          <cell r="F29" t="str">
            <v>MONTHLY</v>
          </cell>
          <cell r="I29" t="str">
            <v>2D</v>
          </cell>
          <cell r="J29" t="str">
            <v>3D</v>
          </cell>
          <cell r="K29" t="str">
            <v>APS</v>
          </cell>
          <cell r="L29" t="str">
            <v>3D</v>
          </cell>
          <cell r="M29" t="str">
            <v>2D</v>
          </cell>
          <cell r="N29" t="str">
            <v>NIFTY_OP_SELL_MT_DIFF_2D_3D</v>
          </cell>
          <cell r="AG29">
            <v>0.38541666666666669</v>
          </cell>
          <cell r="AH29">
            <v>0.64583333333333337</v>
          </cell>
        </row>
        <row r="30">
          <cell r="A30">
            <v>25</v>
          </cell>
          <cell r="B30" t="str">
            <v>S25</v>
          </cell>
          <cell r="C30" t="str">
            <v>OPTIONS BUY</v>
          </cell>
          <cell r="E30" t="str">
            <v>BANKNIFTY</v>
          </cell>
          <cell r="F30" t="str">
            <v>WEEKLY</v>
          </cell>
          <cell r="I30" t="str">
            <v>1D 75 Mins</v>
          </cell>
          <cell r="J30" t="str">
            <v>1D 75 Mins</v>
          </cell>
          <cell r="K30" t="str">
            <v>1 &amp; APS</v>
          </cell>
          <cell r="L30" t="str">
            <v>1D 75 Mins</v>
          </cell>
          <cell r="M30" t="str">
            <v>1D 75 Mins</v>
          </cell>
          <cell r="N30" t="str">
            <v>BANKNIFTY_OP_BUY_WK_SAME_1D 75 Mins_1D 75 Mins</v>
          </cell>
          <cell r="AG30">
            <v>0.38541666666666669</v>
          </cell>
          <cell r="AH30">
            <v>0.64583333333333337</v>
          </cell>
        </row>
        <row r="31">
          <cell r="A31">
            <v>26</v>
          </cell>
          <cell r="B31" t="str">
            <v>S26</v>
          </cell>
          <cell r="C31" t="str">
            <v>OPTIONS BUY</v>
          </cell>
          <cell r="E31" t="str">
            <v>STOCKS</v>
          </cell>
          <cell r="F31" t="str">
            <v>MONTHLY</v>
          </cell>
          <cell r="I31" t="str">
            <v>2D</v>
          </cell>
          <cell r="J31" t="str">
            <v>4D</v>
          </cell>
          <cell r="K31" t="str">
            <v>4 &amp; APS</v>
          </cell>
          <cell r="L31" t="str">
            <v>3D</v>
          </cell>
          <cell r="M31" t="str">
            <v>2D</v>
          </cell>
          <cell r="N31" t="str">
            <v>STOCKS_OP_BUY_MT_DIFF_2D_4D</v>
          </cell>
          <cell r="AG31">
            <v>0.38541666666666669</v>
          </cell>
          <cell r="AH31">
            <v>0.64583333333333337</v>
          </cell>
        </row>
        <row r="32">
          <cell r="A32">
            <v>27</v>
          </cell>
          <cell r="B32" t="str">
            <v>S27</v>
          </cell>
          <cell r="C32" t="str">
            <v>OPTIONS BUY</v>
          </cell>
          <cell r="E32" t="str">
            <v>STOCKS</v>
          </cell>
          <cell r="F32" t="str">
            <v>MONTHLY</v>
          </cell>
          <cell r="I32" t="str">
            <v>2D</v>
          </cell>
          <cell r="J32" t="str">
            <v>2D</v>
          </cell>
          <cell r="K32" t="str">
            <v>4 &amp; APS</v>
          </cell>
          <cell r="N32" t="str">
            <v>STOCKS_OP_BUY_MT_DIFF_2D_2D</v>
          </cell>
          <cell r="AG32">
            <v>0.38541666666666669</v>
          </cell>
          <cell r="AH32">
            <v>0.64583333333333337</v>
          </cell>
        </row>
        <row r="33">
          <cell r="A33">
            <v>28</v>
          </cell>
          <cell r="B33" t="str">
            <v>S28</v>
          </cell>
          <cell r="C33" t="str">
            <v>EQUITY</v>
          </cell>
          <cell r="E33" t="str">
            <v>STOCKS</v>
          </cell>
          <cell r="F33" t="str">
            <v>DCC</v>
          </cell>
          <cell r="I33" t="str">
            <v>DCC</v>
          </cell>
          <cell r="K33" t="str">
            <v>5 &amp; APS</v>
          </cell>
          <cell r="N33" t="str">
            <v>STOCKS_EQ_DCC</v>
          </cell>
          <cell r="AG33">
            <v>0.38541666666666669</v>
          </cell>
          <cell r="AH33">
            <v>0.64583333333333337</v>
          </cell>
        </row>
        <row r="34">
          <cell r="A34">
            <v>29</v>
          </cell>
          <cell r="B34" t="str">
            <v>S29</v>
          </cell>
          <cell r="C34" t="str">
            <v>EQUITY</v>
          </cell>
          <cell r="E34" t="str">
            <v>STOCKS</v>
          </cell>
          <cell r="F34" t="str">
            <v>WCC</v>
          </cell>
          <cell r="I34" t="str">
            <v>WCC</v>
          </cell>
          <cell r="K34" t="str">
            <v>5 &amp; APS</v>
          </cell>
          <cell r="N34" t="str">
            <v>STOCKS_EQ_WCC</v>
          </cell>
          <cell r="AG34">
            <v>0.38541666666666669</v>
          </cell>
          <cell r="AH34">
            <v>0.64583333333333337</v>
          </cell>
        </row>
        <row r="35">
          <cell r="A35">
            <v>30</v>
          </cell>
          <cell r="B35" t="str">
            <v>S30</v>
          </cell>
          <cell r="C35" t="str">
            <v>EQUITY</v>
          </cell>
          <cell r="E35" t="str">
            <v>STOCKS</v>
          </cell>
          <cell r="F35" t="str">
            <v>MCC</v>
          </cell>
          <cell r="I35" t="str">
            <v>MCC</v>
          </cell>
          <cell r="K35" t="str">
            <v>5 &amp; APS</v>
          </cell>
          <cell r="N35" t="str">
            <v>STOCKS_EQ_MCC</v>
          </cell>
          <cell r="AG35">
            <v>0.38541666666666669</v>
          </cell>
          <cell r="AH35">
            <v>0.64583333333333337</v>
          </cell>
        </row>
        <row r="36">
          <cell r="A36">
            <v>31</v>
          </cell>
          <cell r="B36" t="str">
            <v>S31</v>
          </cell>
        </row>
        <row r="37">
          <cell r="A37">
            <v>32</v>
          </cell>
          <cell r="B37" t="str">
            <v>S32</v>
          </cell>
        </row>
        <row r="38">
          <cell r="A38">
            <v>33</v>
          </cell>
          <cell r="B38" t="str">
            <v>S33</v>
          </cell>
        </row>
        <row r="39">
          <cell r="A39">
            <v>34</v>
          </cell>
          <cell r="B39" t="str">
            <v>S34</v>
          </cell>
        </row>
        <row r="40">
          <cell r="A40">
            <v>35</v>
          </cell>
          <cell r="B40" t="str">
            <v>S35</v>
          </cell>
        </row>
        <row r="41">
          <cell r="A41">
            <v>36</v>
          </cell>
          <cell r="B41" t="str">
            <v>S36</v>
          </cell>
        </row>
        <row r="42">
          <cell r="A42">
            <v>37</v>
          </cell>
          <cell r="B42" t="str">
            <v>S37</v>
          </cell>
        </row>
        <row r="43">
          <cell r="A43">
            <v>38</v>
          </cell>
          <cell r="B43" t="str">
            <v>S38</v>
          </cell>
        </row>
        <row r="44">
          <cell r="A44">
            <v>39</v>
          </cell>
          <cell r="B44" t="str">
            <v>S39</v>
          </cell>
        </row>
        <row r="45">
          <cell r="A45">
            <v>40</v>
          </cell>
          <cell r="B45" t="str">
            <v>S40</v>
          </cell>
        </row>
        <row r="46">
          <cell r="A46">
            <v>41</v>
          </cell>
          <cell r="B46" t="str">
            <v>S41</v>
          </cell>
        </row>
        <row r="47">
          <cell r="A47">
            <v>42</v>
          </cell>
          <cell r="B47" t="str">
            <v>S42</v>
          </cell>
        </row>
        <row r="48">
          <cell r="A48">
            <v>43</v>
          </cell>
          <cell r="B48" t="str">
            <v>S43</v>
          </cell>
        </row>
        <row r="49">
          <cell r="A49">
            <v>44</v>
          </cell>
          <cell r="B49" t="str">
            <v>S44</v>
          </cell>
        </row>
        <row r="50">
          <cell r="A50">
            <v>45</v>
          </cell>
          <cell r="B50" t="str">
            <v>S45</v>
          </cell>
        </row>
        <row r="51">
          <cell r="A51">
            <v>46</v>
          </cell>
          <cell r="B51" t="str">
            <v>S46</v>
          </cell>
        </row>
        <row r="52">
          <cell r="A52">
            <v>47</v>
          </cell>
          <cell r="B52" t="str">
            <v>S47</v>
          </cell>
        </row>
        <row r="53">
          <cell r="A53">
            <v>48</v>
          </cell>
          <cell r="B53" t="str">
            <v>S48</v>
          </cell>
        </row>
        <row r="54">
          <cell r="A54">
            <v>49</v>
          </cell>
          <cell r="B54" t="str">
            <v>S49</v>
          </cell>
        </row>
        <row r="55">
          <cell r="A55">
            <v>50</v>
          </cell>
          <cell r="B55" t="str">
            <v>S50</v>
          </cell>
        </row>
      </sheetData>
      <sheetData sheetId="4">
        <row r="6">
          <cell r="B6" t="str">
            <v>A</v>
          </cell>
          <cell r="C6" t="str">
            <v>Strategy Code</v>
          </cell>
          <cell r="E6" t="str">
            <v>Bull / 
Bull CF</v>
          </cell>
          <cell r="F6" t="str">
            <v>Long</v>
          </cell>
          <cell r="G6" t="str">
            <v xml:space="preserve">FUT : PRV : </v>
          </cell>
          <cell r="H6" t="str">
            <v>HH</v>
          </cell>
          <cell r="I6" t="str">
            <v xml:space="preserve"> + </v>
          </cell>
          <cell r="M6" t="str">
            <v xml:space="preserve">L : Entry </v>
          </cell>
          <cell r="N6" t="str">
            <v xml:space="preserve"> + </v>
          </cell>
          <cell r="AD6" t="str">
            <v>Max</v>
          </cell>
          <cell r="AE6" t="str">
            <v>MSL &amp; TSL</v>
          </cell>
          <cell r="AF6" t="str">
            <v>Entry &amp; TRP</v>
          </cell>
          <cell r="AH6" t="str">
            <v>L : Entry</v>
          </cell>
          <cell r="AI6" t="str">
            <v xml:space="preserve"> - </v>
          </cell>
          <cell r="AO6" t="str">
            <v xml:space="preserve"> - </v>
          </cell>
          <cell r="AP6" t="str">
            <v xml:space="preserve">FUT : PRV : </v>
          </cell>
          <cell r="AQ6" t="str">
            <v>LL</v>
          </cell>
          <cell r="BE6" t="str">
            <v xml:space="preserve">ORPT </v>
          </cell>
          <cell r="BF6">
            <v>4.99</v>
          </cell>
          <cell r="BG6">
            <v>4.99</v>
          </cell>
          <cell r="BH6">
            <v>0</v>
          </cell>
          <cell r="BJ6" t="str">
            <v>Bull / 
Bull CF</v>
          </cell>
          <cell r="BK6" t="str">
            <v>Long</v>
          </cell>
          <cell r="BO6" t="str">
            <v>Bull | 
Bull CF</v>
          </cell>
          <cell r="BP6" t="str">
            <v>Call</v>
          </cell>
          <cell r="CG6">
            <v>30</v>
          </cell>
        </row>
        <row r="7">
          <cell r="B7" t="str">
            <v>B</v>
          </cell>
          <cell r="C7" t="str">
            <v>Unique Code</v>
          </cell>
          <cell r="F7" t="str">
            <v>Short</v>
          </cell>
          <cell r="G7" t="str">
            <v xml:space="preserve">FUT : PRV : </v>
          </cell>
          <cell r="H7" t="str">
            <v>LL</v>
          </cell>
          <cell r="I7" t="str">
            <v xml:space="preserve"> - </v>
          </cell>
          <cell r="M7" t="str">
            <v xml:space="preserve">S : Entry </v>
          </cell>
          <cell r="N7" t="str">
            <v xml:space="preserve"> - </v>
          </cell>
          <cell r="AD7" t="str">
            <v>Min</v>
          </cell>
          <cell r="AE7" t="str">
            <v>MSL &amp; TSL</v>
          </cell>
          <cell r="AF7" t="str">
            <v>Entry &amp; TRP</v>
          </cell>
          <cell r="AH7" t="str">
            <v>S : Entry</v>
          </cell>
          <cell r="AI7" t="str">
            <v xml:space="preserve"> + </v>
          </cell>
          <cell r="AO7" t="str">
            <v xml:space="preserve"> + </v>
          </cell>
          <cell r="AP7" t="str">
            <v xml:space="preserve">FUT : PRV : </v>
          </cell>
          <cell r="AQ7" t="str">
            <v>HH</v>
          </cell>
          <cell r="BE7" t="str">
            <v xml:space="preserve"> RC. Time</v>
          </cell>
          <cell r="BF7">
            <v>14.99</v>
          </cell>
          <cell r="BG7">
            <v>14.99</v>
          </cell>
          <cell r="BH7" t="str">
            <v>N.A.</v>
          </cell>
          <cell r="BK7" t="str">
            <v>Short</v>
          </cell>
          <cell r="BP7" t="str">
            <v>Put</v>
          </cell>
        </row>
        <row r="8">
          <cell r="B8" t="str">
            <v>C</v>
          </cell>
          <cell r="C8" t="str">
            <v>Segment</v>
          </cell>
          <cell r="E8" t="str">
            <v>Contract</v>
          </cell>
        </row>
        <row r="9">
          <cell r="B9" t="str">
            <v>D</v>
          </cell>
          <cell r="C9" t="str">
            <v>Symbol</v>
          </cell>
          <cell r="E9" t="str">
            <v>Bear / 
Bear CF</v>
          </cell>
          <cell r="F9" t="str">
            <v>Long</v>
          </cell>
          <cell r="G9" t="str">
            <v xml:space="preserve">FUT : PRV : </v>
          </cell>
          <cell r="H9" t="str">
            <v>HH</v>
          </cell>
          <cell r="I9" t="str">
            <v xml:space="preserve"> + </v>
          </cell>
          <cell r="M9" t="str">
            <v xml:space="preserve">L : Entry </v>
          </cell>
          <cell r="N9" t="str">
            <v xml:space="preserve"> + </v>
          </cell>
          <cell r="AD9" t="str">
            <v>Max</v>
          </cell>
          <cell r="AE9" t="str">
            <v>MSL &amp; TSL</v>
          </cell>
          <cell r="AF9" t="str">
            <v>Entry &amp; TRP</v>
          </cell>
          <cell r="AH9" t="str">
            <v>L : Entry</v>
          </cell>
          <cell r="AI9" t="str">
            <v xml:space="preserve"> - </v>
          </cell>
          <cell r="AO9" t="str">
            <v xml:space="preserve"> - </v>
          </cell>
          <cell r="AP9" t="str">
            <v xml:space="preserve">FUT : PRV : </v>
          </cell>
          <cell r="AQ9" t="str">
            <v>LL</v>
          </cell>
          <cell r="BE9" t="str">
            <v>Market Start Time</v>
          </cell>
          <cell r="BJ9" t="str">
            <v>Bear / 
Bear CF</v>
          </cell>
          <cell r="BK9" t="str">
            <v>Long</v>
          </cell>
          <cell r="BO9" t="str">
            <v>Bear | 
Bear CF</v>
          </cell>
          <cell r="BP9" t="str">
            <v>Call</v>
          </cell>
        </row>
        <row r="10">
          <cell r="B10" t="str">
            <v>E</v>
          </cell>
          <cell r="C10" t="str">
            <v>No. of Targets</v>
          </cell>
          <cell r="F10" t="str">
            <v>Short</v>
          </cell>
          <cell r="G10" t="str">
            <v xml:space="preserve">FUT : PRV : </v>
          </cell>
          <cell r="H10" t="str">
            <v>LL</v>
          </cell>
          <cell r="I10" t="str">
            <v xml:space="preserve"> - </v>
          </cell>
          <cell r="M10" t="str">
            <v xml:space="preserve">S : Entry </v>
          </cell>
          <cell r="N10" t="str">
            <v xml:space="preserve"> - </v>
          </cell>
          <cell r="AD10" t="str">
            <v>Min</v>
          </cell>
          <cell r="AE10" t="str">
            <v>MSL &amp; TSL</v>
          </cell>
          <cell r="AF10" t="str">
            <v>Entry &amp; TRP</v>
          </cell>
          <cell r="AH10" t="str">
            <v>S : Entry</v>
          </cell>
          <cell r="AI10" t="str">
            <v xml:space="preserve"> + </v>
          </cell>
          <cell r="AO10" t="str">
            <v xml:space="preserve"> + </v>
          </cell>
          <cell r="AP10" t="str">
            <v xml:space="preserve">FUT : PRV : </v>
          </cell>
          <cell r="AQ10" t="str">
            <v>HH</v>
          </cell>
          <cell r="BE10" t="str">
            <v>Market End Time</v>
          </cell>
          <cell r="BK10" t="str">
            <v>Short</v>
          </cell>
          <cell r="BP10" t="str">
            <v>Put</v>
          </cell>
        </row>
        <row r="12">
          <cell r="B12" t="str">
            <v>A</v>
          </cell>
          <cell r="C12" t="str">
            <v>Strategy Code</v>
          </cell>
          <cell r="E12" t="str">
            <v>Bull / 
Bull CF</v>
          </cell>
          <cell r="F12" t="str">
            <v>Call</v>
          </cell>
          <cell r="G12" t="str">
            <v xml:space="preserve">OPT : PRV : </v>
          </cell>
          <cell r="H12" t="str">
            <v>LL</v>
          </cell>
          <cell r="I12" t="str">
            <v xml:space="preserve"> - </v>
          </cell>
          <cell r="M12" t="str">
            <v xml:space="preserve">CE : Entry </v>
          </cell>
          <cell r="N12" t="str">
            <v xml:space="preserve"> - </v>
          </cell>
          <cell r="O12" t="str">
            <v>Final Strike</v>
          </cell>
          <cell r="P12" t="str">
            <v>*</v>
          </cell>
          <cell r="AD12" t="str">
            <v>Min</v>
          </cell>
          <cell r="AE12" t="str">
            <v>MSL &amp; TSL</v>
          </cell>
          <cell r="AF12" t="str">
            <v>Entry &amp; TRP</v>
          </cell>
          <cell r="AH12" t="str">
            <v xml:space="preserve">CE : Entry </v>
          </cell>
          <cell r="AI12" t="str">
            <v xml:space="preserve"> + </v>
          </cell>
          <cell r="AJ12" t="str">
            <v>Final Strike</v>
          </cell>
          <cell r="AK12" t="str">
            <v>*</v>
          </cell>
          <cell r="AO12" t="str">
            <v xml:space="preserve"> + </v>
          </cell>
          <cell r="AP12" t="str">
            <v xml:space="preserve">OPT : PRV : </v>
          </cell>
          <cell r="AQ12" t="str">
            <v>HH</v>
          </cell>
          <cell r="BE12" t="str">
            <v xml:space="preserve">ORPT </v>
          </cell>
          <cell r="BF12">
            <v>9.99</v>
          </cell>
          <cell r="BG12">
            <v>9.99</v>
          </cell>
          <cell r="BH12">
            <v>0</v>
          </cell>
          <cell r="BJ12" t="str">
            <v>Bull / 
Bull CF</v>
          </cell>
          <cell r="BK12" t="str">
            <v>Call</v>
          </cell>
          <cell r="BO12" t="str">
            <v>Bull | 
Bull CF</v>
          </cell>
          <cell r="BP12" t="str">
            <v>Call</v>
          </cell>
          <cell r="BQ12" t="str">
            <v xml:space="preserve">SPT : PRV : </v>
          </cell>
          <cell r="BR12" t="str">
            <v>LL</v>
          </cell>
          <cell r="CG12">
            <v>30</v>
          </cell>
        </row>
        <row r="13">
          <cell r="B13" t="str">
            <v>B</v>
          </cell>
          <cell r="C13" t="str">
            <v>Unique Code</v>
          </cell>
          <cell r="F13" t="str">
            <v>Put</v>
          </cell>
          <cell r="G13" t="str">
            <v xml:space="preserve">OPT : PRV : </v>
          </cell>
          <cell r="H13" t="str">
            <v>LL</v>
          </cell>
          <cell r="I13" t="str">
            <v xml:space="preserve"> - </v>
          </cell>
          <cell r="M13" t="str">
            <v xml:space="preserve">PE : Entry </v>
          </cell>
          <cell r="N13" t="str">
            <v xml:space="preserve"> - </v>
          </cell>
          <cell r="O13" t="str">
            <v>Final Strike</v>
          </cell>
          <cell r="P13" t="str">
            <v>*</v>
          </cell>
          <cell r="AD13" t="str">
            <v>Min</v>
          </cell>
          <cell r="AE13" t="str">
            <v>MSL &amp; TSL</v>
          </cell>
          <cell r="AF13" t="str">
            <v>Entry &amp; TRP</v>
          </cell>
          <cell r="AH13" t="str">
            <v xml:space="preserve">PE : Entry </v>
          </cell>
          <cell r="AI13" t="str">
            <v xml:space="preserve"> + </v>
          </cell>
          <cell r="AJ13" t="str">
            <v>Final Strike</v>
          </cell>
          <cell r="AK13" t="str">
            <v>*</v>
          </cell>
          <cell r="AO13" t="str">
            <v xml:space="preserve"> + </v>
          </cell>
          <cell r="AP13" t="str">
            <v xml:space="preserve">OPT : PRV : </v>
          </cell>
          <cell r="AQ13" t="str">
            <v>HH</v>
          </cell>
          <cell r="BE13" t="str">
            <v xml:space="preserve"> RC. Time</v>
          </cell>
          <cell r="BF13">
            <v>14.99</v>
          </cell>
          <cell r="BG13">
            <v>14.99</v>
          </cell>
          <cell r="BK13" t="str">
            <v>Put</v>
          </cell>
          <cell r="BP13" t="str">
            <v>Put</v>
          </cell>
          <cell r="BQ13" t="str">
            <v xml:space="preserve">SPT : PRV : </v>
          </cell>
          <cell r="BR13" t="str">
            <v>HH</v>
          </cell>
        </row>
        <row r="14">
          <cell r="B14" t="str">
            <v>C</v>
          </cell>
          <cell r="C14" t="str">
            <v>Segment</v>
          </cell>
          <cell r="E14" t="str">
            <v>Contract</v>
          </cell>
        </row>
        <row r="15">
          <cell r="B15" t="str">
            <v>D</v>
          </cell>
          <cell r="C15" t="str">
            <v>Symbol</v>
          </cell>
          <cell r="E15" t="str">
            <v>Bear / 
Bear CF</v>
          </cell>
          <cell r="F15" t="str">
            <v>Call</v>
          </cell>
          <cell r="G15" t="str">
            <v xml:space="preserve">OPT : PRV : </v>
          </cell>
          <cell r="H15" t="str">
            <v>LL</v>
          </cell>
          <cell r="I15" t="str">
            <v xml:space="preserve"> - </v>
          </cell>
          <cell r="M15" t="str">
            <v xml:space="preserve">CE : Entry </v>
          </cell>
          <cell r="N15" t="str">
            <v xml:space="preserve"> - </v>
          </cell>
          <cell r="O15" t="str">
            <v>Final Strike</v>
          </cell>
          <cell r="P15" t="str">
            <v>*</v>
          </cell>
          <cell r="AD15" t="str">
            <v>Min</v>
          </cell>
          <cell r="AE15" t="str">
            <v>MSL &amp; TSL</v>
          </cell>
          <cell r="AF15" t="str">
            <v>Entry &amp; TRP</v>
          </cell>
          <cell r="AH15" t="str">
            <v xml:space="preserve">CE : Entry </v>
          </cell>
          <cell r="AI15" t="str">
            <v xml:space="preserve"> + </v>
          </cell>
          <cell r="AJ15" t="str">
            <v>Final Strike</v>
          </cell>
          <cell r="AK15" t="str">
            <v>*</v>
          </cell>
          <cell r="AO15" t="str">
            <v xml:space="preserve"> + </v>
          </cell>
          <cell r="AP15" t="str">
            <v xml:space="preserve">OPT : PRV : </v>
          </cell>
          <cell r="AQ15" t="str">
            <v>HH</v>
          </cell>
          <cell r="BE15" t="str">
            <v>Market Start Time</v>
          </cell>
          <cell r="BJ15" t="str">
            <v>Bear / 
Bear CF</v>
          </cell>
          <cell r="BK15" t="str">
            <v>Call</v>
          </cell>
          <cell r="BO15" t="str">
            <v>Bear | 
Bear CF</v>
          </cell>
          <cell r="BP15" t="str">
            <v>Call</v>
          </cell>
          <cell r="BQ15" t="str">
            <v xml:space="preserve">SPT : PRV : </v>
          </cell>
          <cell r="BR15" t="str">
            <v>LL</v>
          </cell>
        </row>
        <row r="16">
          <cell r="B16" t="str">
            <v>E</v>
          </cell>
          <cell r="C16" t="str">
            <v>No. of Targets</v>
          </cell>
          <cell r="F16" t="str">
            <v>Put</v>
          </cell>
          <cell r="G16" t="str">
            <v xml:space="preserve">OPT : PRV : </v>
          </cell>
          <cell r="H16" t="str">
            <v>LL</v>
          </cell>
          <cell r="I16" t="str">
            <v xml:space="preserve"> - </v>
          </cell>
          <cell r="M16" t="str">
            <v xml:space="preserve">PE : Entry </v>
          </cell>
          <cell r="N16" t="str">
            <v xml:space="preserve"> - </v>
          </cell>
          <cell r="O16" t="str">
            <v>Final Strike</v>
          </cell>
          <cell r="P16" t="str">
            <v>*</v>
          </cell>
          <cell r="AD16" t="str">
            <v>Min</v>
          </cell>
          <cell r="AE16" t="str">
            <v>MSL &amp; TSL</v>
          </cell>
          <cell r="AF16" t="str">
            <v>Entry &amp; TRP</v>
          </cell>
          <cell r="AH16" t="str">
            <v xml:space="preserve">PE : Entry </v>
          </cell>
          <cell r="AI16" t="str">
            <v xml:space="preserve"> + </v>
          </cell>
          <cell r="AJ16" t="str">
            <v>Final Strike</v>
          </cell>
          <cell r="AK16" t="str">
            <v>*</v>
          </cell>
          <cell r="AO16" t="str">
            <v xml:space="preserve"> + </v>
          </cell>
          <cell r="AP16" t="str">
            <v xml:space="preserve">OPT : PRV : </v>
          </cell>
          <cell r="AQ16" t="str">
            <v>HH</v>
          </cell>
          <cell r="BE16" t="str">
            <v>Market End Time</v>
          </cell>
          <cell r="BK16" t="str">
            <v>Put</v>
          </cell>
          <cell r="BP16" t="str">
            <v>Put</v>
          </cell>
          <cell r="BQ16" t="str">
            <v xml:space="preserve">SPT : PRV : </v>
          </cell>
          <cell r="BR16" t="str">
            <v>HH</v>
          </cell>
        </row>
        <row r="18">
          <cell r="B18" t="str">
            <v>A</v>
          </cell>
          <cell r="C18" t="str">
            <v>Strategy Code</v>
          </cell>
          <cell r="E18" t="str">
            <v>Bull / 
Bull CF</v>
          </cell>
          <cell r="F18" t="str">
            <v>Call</v>
          </cell>
          <cell r="G18" t="str">
            <v xml:space="preserve">OPT : PRV : </v>
          </cell>
          <cell r="H18" t="str">
            <v xml:space="preserve"> HH</v>
          </cell>
          <cell r="I18" t="str">
            <v xml:space="preserve"> + </v>
          </cell>
          <cell r="M18" t="str">
            <v xml:space="preserve">CE : Entry </v>
          </cell>
          <cell r="N18" t="str">
            <v xml:space="preserve"> + </v>
          </cell>
          <cell r="O18" t="str">
            <v>Final Strike</v>
          </cell>
          <cell r="P18" t="str">
            <v>*</v>
          </cell>
          <cell r="AD18" t="str">
            <v>Max</v>
          </cell>
          <cell r="AE18" t="str">
            <v>MSL &amp; TSL</v>
          </cell>
          <cell r="AF18" t="str">
            <v>Entry &amp; TRP</v>
          </cell>
          <cell r="AH18" t="str">
            <v xml:space="preserve">CE : Entry </v>
          </cell>
          <cell r="AI18" t="str">
            <v xml:space="preserve"> - </v>
          </cell>
          <cell r="AJ18" t="str">
            <v>Final Strike</v>
          </cell>
          <cell r="AK18" t="str">
            <v>*</v>
          </cell>
          <cell r="AO18" t="str">
            <v xml:space="preserve"> - </v>
          </cell>
          <cell r="AP18" t="str">
            <v xml:space="preserve">OPT : PRV : </v>
          </cell>
          <cell r="AQ18" t="str">
            <v>LL</v>
          </cell>
          <cell r="BE18" t="str">
            <v xml:space="preserve">ORPT </v>
          </cell>
          <cell r="BF18">
            <v>9.99</v>
          </cell>
          <cell r="BG18">
            <v>9.99</v>
          </cell>
          <cell r="BH18">
            <v>0</v>
          </cell>
          <cell r="BJ18" t="str">
            <v>Bull / 
Bull CF</v>
          </cell>
          <cell r="BK18" t="str">
            <v>Call</v>
          </cell>
          <cell r="BO18" t="str">
            <v>Bull | 
Bull CF</v>
          </cell>
          <cell r="BP18" t="str">
            <v>Call</v>
          </cell>
          <cell r="BQ18" t="str">
            <v xml:space="preserve">SPT : PRV : </v>
          </cell>
          <cell r="BR18" t="str">
            <v>HH</v>
          </cell>
          <cell r="CG18">
            <v>30</v>
          </cell>
        </row>
        <row r="19">
          <cell r="B19" t="str">
            <v>B</v>
          </cell>
          <cell r="C19" t="str">
            <v>Unique Code</v>
          </cell>
          <cell r="F19" t="str">
            <v>Put</v>
          </cell>
          <cell r="G19" t="str">
            <v xml:space="preserve">OPT : PRV : </v>
          </cell>
          <cell r="H19" t="str">
            <v xml:space="preserve"> HH</v>
          </cell>
          <cell r="I19" t="str">
            <v xml:space="preserve"> + </v>
          </cell>
          <cell r="M19" t="str">
            <v xml:space="preserve">PE : Entry </v>
          </cell>
          <cell r="N19" t="str">
            <v xml:space="preserve"> + </v>
          </cell>
          <cell r="O19" t="str">
            <v>Final Strike</v>
          </cell>
          <cell r="P19" t="str">
            <v>*</v>
          </cell>
          <cell r="AD19" t="str">
            <v>Max</v>
          </cell>
          <cell r="AE19" t="str">
            <v>MSL &amp; TSL</v>
          </cell>
          <cell r="AF19" t="str">
            <v>Entry &amp; TRP</v>
          </cell>
          <cell r="AH19" t="str">
            <v xml:space="preserve">PE : Entry </v>
          </cell>
          <cell r="AI19" t="str">
            <v xml:space="preserve"> - </v>
          </cell>
          <cell r="AJ19" t="str">
            <v>Final Strike</v>
          </cell>
          <cell r="AK19" t="str">
            <v>*</v>
          </cell>
          <cell r="AO19" t="str">
            <v xml:space="preserve"> - </v>
          </cell>
          <cell r="AP19" t="str">
            <v xml:space="preserve">OPT : PRV : </v>
          </cell>
          <cell r="AQ19" t="str">
            <v>LL</v>
          </cell>
          <cell r="BE19" t="str">
            <v xml:space="preserve"> RC. Time</v>
          </cell>
          <cell r="BF19">
            <v>14.99</v>
          </cell>
          <cell r="BG19">
            <v>14.99</v>
          </cell>
          <cell r="BK19" t="str">
            <v>Put</v>
          </cell>
          <cell r="BP19" t="str">
            <v>Put</v>
          </cell>
          <cell r="BQ19" t="str">
            <v xml:space="preserve">SPT : PRV : </v>
          </cell>
          <cell r="BR19" t="str">
            <v>LL</v>
          </cell>
        </row>
        <row r="20">
          <cell r="B20" t="str">
            <v>C</v>
          </cell>
          <cell r="C20" t="str">
            <v>Segment</v>
          </cell>
          <cell r="E20" t="str">
            <v>Contract</v>
          </cell>
        </row>
        <row r="21">
          <cell r="B21" t="str">
            <v>D</v>
          </cell>
          <cell r="C21" t="str">
            <v>Symbol</v>
          </cell>
          <cell r="E21" t="str">
            <v>Bear / 
Bear CF</v>
          </cell>
          <cell r="F21" t="str">
            <v>Call</v>
          </cell>
          <cell r="G21" t="str">
            <v xml:space="preserve">OPT : PRV : </v>
          </cell>
          <cell r="H21" t="str">
            <v xml:space="preserve"> HH</v>
          </cell>
          <cell r="I21" t="str">
            <v xml:space="preserve"> + </v>
          </cell>
          <cell r="M21" t="str">
            <v xml:space="preserve">CE : Entry </v>
          </cell>
          <cell r="N21" t="str">
            <v xml:space="preserve"> + </v>
          </cell>
          <cell r="O21" t="str">
            <v>Final Strike</v>
          </cell>
          <cell r="P21" t="str">
            <v>*</v>
          </cell>
          <cell r="AD21" t="str">
            <v>Max</v>
          </cell>
          <cell r="AE21" t="str">
            <v>MSL &amp; TSL</v>
          </cell>
          <cell r="AF21" t="str">
            <v>Entry &amp; TRP</v>
          </cell>
          <cell r="AH21" t="str">
            <v xml:space="preserve">CE : Entry </v>
          </cell>
          <cell r="AI21" t="str">
            <v xml:space="preserve"> - </v>
          </cell>
          <cell r="AJ21" t="str">
            <v>Final Strike</v>
          </cell>
          <cell r="AK21" t="str">
            <v>*</v>
          </cell>
          <cell r="AO21" t="str">
            <v xml:space="preserve"> - </v>
          </cell>
          <cell r="AP21" t="str">
            <v xml:space="preserve">OPT : PRV : </v>
          </cell>
          <cell r="AQ21" t="str">
            <v>LL</v>
          </cell>
          <cell r="BE21" t="str">
            <v>Market Start Time</v>
          </cell>
          <cell r="BJ21" t="str">
            <v>Bear / 
Bear CF</v>
          </cell>
          <cell r="BK21" t="str">
            <v>Call</v>
          </cell>
          <cell r="BO21" t="str">
            <v>Bear | 
Bear CF</v>
          </cell>
          <cell r="BP21" t="str">
            <v>Call</v>
          </cell>
          <cell r="BQ21" t="str">
            <v xml:space="preserve">SPT : PRV : </v>
          </cell>
          <cell r="BR21" t="str">
            <v>HH</v>
          </cell>
        </row>
        <row r="22">
          <cell r="B22" t="str">
            <v>E</v>
          </cell>
          <cell r="C22" t="str">
            <v>No. of Targets</v>
          </cell>
          <cell r="F22" t="str">
            <v>Put</v>
          </cell>
          <cell r="G22" t="str">
            <v xml:space="preserve">OPT : PRV : </v>
          </cell>
          <cell r="H22" t="str">
            <v xml:space="preserve"> HH</v>
          </cell>
          <cell r="I22" t="str">
            <v xml:space="preserve"> + </v>
          </cell>
          <cell r="M22" t="str">
            <v xml:space="preserve">PE : Entry </v>
          </cell>
          <cell r="N22" t="str">
            <v xml:space="preserve"> + </v>
          </cell>
          <cell r="O22" t="str">
            <v>Final Strike</v>
          </cell>
          <cell r="P22" t="str">
            <v>*</v>
          </cell>
          <cell r="AD22" t="str">
            <v>Max</v>
          </cell>
          <cell r="AE22" t="str">
            <v>MSL &amp; TSL</v>
          </cell>
          <cell r="AF22" t="str">
            <v>Entry &amp; TRP</v>
          </cell>
          <cell r="AH22" t="str">
            <v xml:space="preserve">PE : Entry </v>
          </cell>
          <cell r="AI22" t="str">
            <v xml:space="preserve"> - </v>
          </cell>
          <cell r="AJ22" t="str">
            <v>Final Strike</v>
          </cell>
          <cell r="AK22" t="str">
            <v>*</v>
          </cell>
          <cell r="AO22" t="str">
            <v xml:space="preserve"> - </v>
          </cell>
          <cell r="AP22" t="str">
            <v xml:space="preserve">OPT : PRV : </v>
          </cell>
          <cell r="AQ22" t="str">
            <v>LL</v>
          </cell>
          <cell r="BE22" t="str">
            <v>Market End Time</v>
          </cell>
          <cell r="BK22" t="str">
            <v>Put</v>
          </cell>
          <cell r="BP22" t="str">
            <v>Put</v>
          </cell>
          <cell r="BQ22" t="str">
            <v xml:space="preserve">SPT : PRV : </v>
          </cell>
          <cell r="BR22" t="str">
            <v>LL</v>
          </cell>
        </row>
        <row r="24">
          <cell r="B24" t="str">
            <v>A</v>
          </cell>
          <cell r="C24" t="str">
            <v>Strategy Code</v>
          </cell>
          <cell r="F24" t="str">
            <v>Long</v>
          </cell>
          <cell r="G24" t="str">
            <v xml:space="preserve">SPT : </v>
          </cell>
          <cell r="I24" t="str">
            <v xml:space="preserve"> + </v>
          </cell>
          <cell r="M24" t="str">
            <v xml:space="preserve">L : Entry </v>
          </cell>
          <cell r="N24" t="str">
            <v xml:space="preserve"> + </v>
          </cell>
          <cell r="AD24" t="str">
            <v>Max</v>
          </cell>
          <cell r="AE24" t="str">
            <v>MSL &amp; TSL</v>
          </cell>
          <cell r="AF24" t="str">
            <v>Entry &amp; TRP</v>
          </cell>
          <cell r="AH24" t="str">
            <v>L : Entry</v>
          </cell>
          <cell r="AI24" t="str">
            <v xml:space="preserve"> - </v>
          </cell>
          <cell r="AO24" t="str">
            <v xml:space="preserve"> - </v>
          </cell>
          <cell r="AP24" t="str">
            <v xml:space="preserve">SPT : PRV M : </v>
          </cell>
          <cell r="AR24" t="str">
            <v>20 SMA</v>
          </cell>
          <cell r="AT24" t="str">
            <v>20 SMA</v>
          </cell>
          <cell r="AV24" t="str">
            <v>20 SMA</v>
          </cell>
          <cell r="AX24" t="str">
            <v>20 SMA</v>
          </cell>
          <cell r="AZ24" t="str">
            <v>20 SMA</v>
          </cell>
          <cell r="BB24" t="str">
            <v>10 SMA</v>
          </cell>
          <cell r="BE24" t="str">
            <v xml:space="preserve">ORPT </v>
          </cell>
          <cell r="BF24">
            <v>4.99</v>
          </cell>
          <cell r="BG24">
            <v>4.99</v>
          </cell>
          <cell r="BH24">
            <v>0</v>
          </cell>
          <cell r="BK24" t="str">
            <v>Long</v>
          </cell>
          <cell r="BP24" t="str">
            <v>Long</v>
          </cell>
        </row>
        <row r="25">
          <cell r="B25" t="str">
            <v>B</v>
          </cell>
          <cell r="C25" t="str">
            <v>Unique Code</v>
          </cell>
          <cell r="BE25" t="str">
            <v xml:space="preserve"> RC. Time</v>
          </cell>
          <cell r="BF25">
            <v>14.99</v>
          </cell>
          <cell r="BG25">
            <v>14.99</v>
          </cell>
          <cell r="BH25" t="str">
            <v>N.A.</v>
          </cell>
        </row>
        <row r="26">
          <cell r="B26" t="str">
            <v>C</v>
          </cell>
          <cell r="C26" t="str">
            <v>Segment</v>
          </cell>
          <cell r="E26" t="str">
            <v>Contract</v>
          </cell>
        </row>
        <row r="27">
          <cell r="B27" t="str">
            <v>D</v>
          </cell>
          <cell r="C27" t="str">
            <v>Symbol</v>
          </cell>
          <cell r="BE27" t="str">
            <v>Market Start Time</v>
          </cell>
        </row>
        <row r="28">
          <cell r="B28" t="str">
            <v>E</v>
          </cell>
          <cell r="C28" t="str">
            <v>No. of Targets</v>
          </cell>
          <cell r="BE28" t="str">
            <v>Market End Time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8">
          <cell r="B8" t="str">
            <v>AARTIIND</v>
          </cell>
        </row>
        <row r="9">
          <cell r="B9" t="str">
            <v>ABB</v>
          </cell>
        </row>
        <row r="10">
          <cell r="B10" t="str">
            <v>ABBOTINDIA</v>
          </cell>
        </row>
        <row r="11">
          <cell r="B11" t="str">
            <v>ABCAPITAL</v>
          </cell>
        </row>
        <row r="12">
          <cell r="B12" t="str">
            <v>ABFRL</v>
          </cell>
        </row>
        <row r="13">
          <cell r="B13" t="str">
            <v>ACC</v>
          </cell>
        </row>
        <row r="14">
          <cell r="B14" t="str">
            <v>ADANIENT</v>
          </cell>
        </row>
        <row r="15">
          <cell r="B15" t="str">
            <v>ADANIPORTS</v>
          </cell>
        </row>
        <row r="16">
          <cell r="B16" t="str">
            <v>ALKEM</v>
          </cell>
        </row>
        <row r="17">
          <cell r="B17" t="str">
            <v>AMBUJACEM</v>
          </cell>
        </row>
        <row r="18">
          <cell r="B18" t="str">
            <v>APOLLOHOSP</v>
          </cell>
        </row>
        <row r="19">
          <cell r="B19" t="str">
            <v>APOLLOTYRE</v>
          </cell>
        </row>
        <row r="20">
          <cell r="B20" t="str">
            <v>ASHOKLEY</v>
          </cell>
        </row>
        <row r="21">
          <cell r="B21" t="str">
            <v>ASIANPAINT</v>
          </cell>
        </row>
        <row r="22">
          <cell r="B22" t="str">
            <v>ASTRAL</v>
          </cell>
        </row>
        <row r="23">
          <cell r="B23" t="str">
            <v>ATUL</v>
          </cell>
        </row>
        <row r="24">
          <cell r="B24" t="str">
            <v>AUBANK</v>
          </cell>
        </row>
        <row r="25">
          <cell r="B25" t="str">
            <v>AUROPHARMA</v>
          </cell>
        </row>
        <row r="26">
          <cell r="B26" t="str">
            <v>AXISBANK</v>
          </cell>
        </row>
        <row r="27">
          <cell r="B27" t="str">
            <v>BAJAJ-AUTO</v>
          </cell>
        </row>
        <row r="28">
          <cell r="B28" t="str">
            <v>BAJAJFINSV</v>
          </cell>
        </row>
        <row r="29">
          <cell r="B29" t="str">
            <v>BAJFINANCE</v>
          </cell>
        </row>
        <row r="30">
          <cell r="B30" t="str">
            <v>BALKRISIND</v>
          </cell>
        </row>
        <row r="31">
          <cell r="B31" t="str">
            <v>BALRAMCHIN</v>
          </cell>
        </row>
        <row r="32">
          <cell r="B32" t="str">
            <v>BANDHANBNK</v>
          </cell>
        </row>
        <row r="33">
          <cell r="B33" t="str">
            <v>BANKBARODA</v>
          </cell>
        </row>
        <row r="34">
          <cell r="B34" t="str">
            <v>BANKNIFTY</v>
          </cell>
        </row>
        <row r="35">
          <cell r="B35" t="str">
            <v>BATAINDIA</v>
          </cell>
        </row>
        <row r="36">
          <cell r="B36" t="str">
            <v>BEL</v>
          </cell>
        </row>
        <row r="37">
          <cell r="B37" t="str">
            <v>BERGEPAINT</v>
          </cell>
        </row>
        <row r="38">
          <cell r="B38" t="str">
            <v>BHARATFORG</v>
          </cell>
        </row>
        <row r="39">
          <cell r="B39" t="str">
            <v>BHARTIARTL</v>
          </cell>
        </row>
        <row r="40">
          <cell r="B40" t="str">
            <v>BHEL</v>
          </cell>
        </row>
        <row r="41">
          <cell r="B41" t="str">
            <v>BIOCON</v>
          </cell>
        </row>
        <row r="42">
          <cell r="B42" t="str">
            <v>BOSCHLTD</v>
          </cell>
        </row>
        <row r="43">
          <cell r="B43" t="str">
            <v>BPCL</v>
          </cell>
        </row>
        <row r="44">
          <cell r="B44" t="str">
            <v>BRITANNIA</v>
          </cell>
        </row>
        <row r="45">
          <cell r="B45" t="str">
            <v>BSOFT</v>
          </cell>
        </row>
        <row r="46">
          <cell r="B46" t="str">
            <v>CANBK</v>
          </cell>
        </row>
        <row r="47">
          <cell r="B47" t="str">
            <v>CANFINHOME</v>
          </cell>
        </row>
        <row r="48">
          <cell r="B48" t="str">
            <v>CHAMBLFERT</v>
          </cell>
        </row>
        <row r="49">
          <cell r="B49" t="str">
            <v>CHOLAFIN</v>
          </cell>
        </row>
        <row r="50">
          <cell r="B50" t="str">
            <v>CIPLA</v>
          </cell>
        </row>
        <row r="51">
          <cell r="B51" t="str">
            <v>COALINDIA</v>
          </cell>
        </row>
        <row r="52">
          <cell r="B52" t="str">
            <v>COFORGE</v>
          </cell>
        </row>
        <row r="53">
          <cell r="B53" t="str">
            <v>COLPAL</v>
          </cell>
        </row>
        <row r="54">
          <cell r="B54" t="str">
            <v>CONCOR</v>
          </cell>
        </row>
        <row r="55">
          <cell r="B55" t="str">
            <v>COROMANDEL</v>
          </cell>
        </row>
        <row r="56">
          <cell r="B56" t="str">
            <v>CROMPTON</v>
          </cell>
        </row>
        <row r="57">
          <cell r="B57" t="str">
            <v>CUB</v>
          </cell>
        </row>
        <row r="58">
          <cell r="B58" t="str">
            <v>CUMMINSIND</v>
          </cell>
        </row>
        <row r="59">
          <cell r="B59" t="str">
            <v>DABUR</v>
          </cell>
        </row>
        <row r="60">
          <cell r="B60" t="str">
            <v>DALBHARAT</v>
          </cell>
        </row>
        <row r="61">
          <cell r="B61" t="str">
            <v>DEEPAKNTR</v>
          </cell>
        </row>
        <row r="62">
          <cell r="B62" t="str">
            <v>DELTACORP</v>
          </cell>
        </row>
        <row r="63">
          <cell r="B63" t="str">
            <v>DIVISLAB</v>
          </cell>
        </row>
        <row r="64">
          <cell r="B64" t="str">
            <v>DIXON</v>
          </cell>
        </row>
        <row r="65">
          <cell r="B65" t="str">
            <v>DLF</v>
          </cell>
        </row>
        <row r="66">
          <cell r="B66" t="str">
            <v>DRREDDY</v>
          </cell>
        </row>
        <row r="67">
          <cell r="B67" t="str">
            <v>EICHERMOT</v>
          </cell>
        </row>
        <row r="68">
          <cell r="B68" t="str">
            <v>ESCORTS</v>
          </cell>
        </row>
        <row r="69">
          <cell r="B69" t="str">
            <v>EXIDEIND</v>
          </cell>
        </row>
        <row r="70">
          <cell r="B70" t="str">
            <v>FEDERALBNK</v>
          </cell>
        </row>
        <row r="71">
          <cell r="B71" t="str">
            <v>FINNIFTY</v>
          </cell>
        </row>
        <row r="72">
          <cell r="B72" t="str">
            <v>GAIL</v>
          </cell>
        </row>
        <row r="73">
          <cell r="B73" t="str">
            <v>GLENMARK</v>
          </cell>
        </row>
        <row r="74">
          <cell r="B74" t="str">
            <v>GMRINFRA</v>
          </cell>
        </row>
        <row r="75">
          <cell r="B75" t="str">
            <v>GNFC</v>
          </cell>
        </row>
        <row r="76">
          <cell r="B76" t="str">
            <v>GODREJCP</v>
          </cell>
        </row>
        <row r="77">
          <cell r="B77" t="str">
            <v>GODREJPROP</v>
          </cell>
        </row>
        <row r="78">
          <cell r="B78" t="str">
            <v>GRANULES</v>
          </cell>
        </row>
        <row r="79">
          <cell r="B79" t="str">
            <v>GRASIM</v>
          </cell>
        </row>
        <row r="80">
          <cell r="B80" t="str">
            <v>GUJGASLTD</v>
          </cell>
        </row>
        <row r="81">
          <cell r="B81" t="str">
            <v>HAL</v>
          </cell>
        </row>
        <row r="82">
          <cell r="B82" t="str">
            <v>HAVELLS</v>
          </cell>
        </row>
        <row r="83">
          <cell r="B83" t="str">
            <v>HCLTECH</v>
          </cell>
        </row>
        <row r="84">
          <cell r="B84" t="str">
            <v>HDFCAMC</v>
          </cell>
        </row>
        <row r="85">
          <cell r="B85" t="str">
            <v>HDFCBANK</v>
          </cell>
        </row>
        <row r="86">
          <cell r="B86" t="str">
            <v>HDFCLIFE</v>
          </cell>
        </row>
        <row r="87">
          <cell r="B87" t="str">
            <v>HEROMOTOCO</v>
          </cell>
        </row>
        <row r="88">
          <cell r="B88" t="str">
            <v>HINDALCO</v>
          </cell>
        </row>
        <row r="89">
          <cell r="B89" t="str">
            <v>HINDCOPPER</v>
          </cell>
        </row>
        <row r="90">
          <cell r="B90" t="str">
            <v>HINDPETRO</v>
          </cell>
        </row>
        <row r="91">
          <cell r="B91" t="str">
            <v>HINDUNILVR</v>
          </cell>
        </row>
        <row r="92">
          <cell r="B92" t="str">
            <v>IBULHSGFIN</v>
          </cell>
        </row>
        <row r="93">
          <cell r="B93" t="str">
            <v>ICICIBANK</v>
          </cell>
        </row>
        <row r="94">
          <cell r="B94" t="str">
            <v>ICICIGI</v>
          </cell>
        </row>
        <row r="95">
          <cell r="B95" t="str">
            <v>ICICIPRULI</v>
          </cell>
        </row>
        <row r="96">
          <cell r="B96" t="str">
            <v>IDEA</v>
          </cell>
        </row>
        <row r="97">
          <cell r="B97" t="str">
            <v>IDFC</v>
          </cell>
        </row>
        <row r="98">
          <cell r="B98" t="str">
            <v>IDFCFIRSTB</v>
          </cell>
        </row>
        <row r="99">
          <cell r="B99" t="str">
            <v>IEX</v>
          </cell>
        </row>
        <row r="100">
          <cell r="B100" t="str">
            <v>IGL</v>
          </cell>
        </row>
        <row r="101">
          <cell r="B101" t="str">
            <v>INDHOTEL</v>
          </cell>
        </row>
        <row r="102">
          <cell r="B102" t="str">
            <v>INDIACEM</v>
          </cell>
        </row>
        <row r="103">
          <cell r="B103" t="str">
            <v>INDIAMART</v>
          </cell>
        </row>
        <row r="104">
          <cell r="B104" t="str">
            <v>INDIGO</v>
          </cell>
        </row>
        <row r="105">
          <cell r="B105" t="str">
            <v>INDUSINDBK</v>
          </cell>
        </row>
        <row r="106">
          <cell r="B106" t="str">
            <v>INDUSTOWER</v>
          </cell>
        </row>
        <row r="107">
          <cell r="B107" t="str">
            <v>INFY</v>
          </cell>
        </row>
        <row r="108">
          <cell r="B108" t="str">
            <v>IOC</v>
          </cell>
        </row>
        <row r="109">
          <cell r="B109" t="str">
            <v>IPCALAB</v>
          </cell>
        </row>
        <row r="110">
          <cell r="B110" t="str">
            <v>IRCTC</v>
          </cell>
        </row>
        <row r="111">
          <cell r="B111" t="str">
            <v>ITC</v>
          </cell>
        </row>
        <row r="112">
          <cell r="B112" t="str">
            <v>JINDALSTEL</v>
          </cell>
        </row>
        <row r="113">
          <cell r="B113" t="str">
            <v>JKCEMENT</v>
          </cell>
        </row>
        <row r="114">
          <cell r="B114" t="str">
            <v>JSWSTEEL</v>
          </cell>
        </row>
        <row r="115">
          <cell r="B115" t="str">
            <v>JUBLFOOD</v>
          </cell>
        </row>
        <row r="116">
          <cell r="B116" t="str">
            <v>KOTAKBANK</v>
          </cell>
        </row>
        <row r="117">
          <cell r="B117" t="str">
            <v>L&amp;TFH</v>
          </cell>
        </row>
        <row r="118">
          <cell r="B118" t="str">
            <v>LALPATHLAB</v>
          </cell>
        </row>
        <row r="119">
          <cell r="B119" t="str">
            <v>LAURUSLABS</v>
          </cell>
        </row>
        <row r="120">
          <cell r="B120" t="str">
            <v>LICHSGFIN</v>
          </cell>
        </row>
        <row r="121">
          <cell r="B121" t="str">
            <v>LT</v>
          </cell>
        </row>
        <row r="122">
          <cell r="B122" t="str">
            <v>LTIM</v>
          </cell>
        </row>
        <row r="123">
          <cell r="B123" t="str">
            <v>LTTS</v>
          </cell>
        </row>
        <row r="124">
          <cell r="B124" t="str">
            <v>LUPIN</v>
          </cell>
        </row>
        <row r="125">
          <cell r="B125" t="str">
            <v>M&amp;M</v>
          </cell>
        </row>
        <row r="126">
          <cell r="B126" t="str">
            <v>M&amp;MFIN</v>
          </cell>
        </row>
        <row r="127">
          <cell r="B127" t="str">
            <v>MANAPPURAM</v>
          </cell>
        </row>
        <row r="128">
          <cell r="B128" t="str">
            <v>MARICO</v>
          </cell>
        </row>
        <row r="129">
          <cell r="B129" t="str">
            <v>MARUTI</v>
          </cell>
        </row>
        <row r="130">
          <cell r="B130" t="str">
            <v>MCDOWELL-N</v>
          </cell>
        </row>
        <row r="131">
          <cell r="B131" t="str">
            <v>MCX</v>
          </cell>
        </row>
        <row r="132">
          <cell r="B132" t="str">
            <v>METROPOLIS</v>
          </cell>
        </row>
        <row r="133">
          <cell r="B133" t="str">
            <v>MFSL</v>
          </cell>
        </row>
        <row r="134">
          <cell r="B134" t="str">
            <v>MGL</v>
          </cell>
        </row>
        <row r="135">
          <cell r="B135" t="str">
            <v>MIDCPNIFTY</v>
          </cell>
        </row>
        <row r="136">
          <cell r="B136" t="str">
            <v>MOTHERSON</v>
          </cell>
        </row>
        <row r="137">
          <cell r="B137" t="str">
            <v>MPHASIS</v>
          </cell>
        </row>
        <row r="138">
          <cell r="B138" t="str">
            <v>MRF</v>
          </cell>
        </row>
        <row r="139">
          <cell r="B139" t="str">
            <v>MUTHOOTFIN</v>
          </cell>
        </row>
        <row r="140">
          <cell r="B140" t="str">
            <v>NATIONALUM</v>
          </cell>
        </row>
        <row r="141">
          <cell r="B141" t="str">
            <v>NAUKRI</v>
          </cell>
        </row>
        <row r="142">
          <cell r="B142" t="str">
            <v>NAVINFLUOR</v>
          </cell>
        </row>
        <row r="143">
          <cell r="B143" t="str">
            <v>NESTLEIND</v>
          </cell>
        </row>
        <row r="144">
          <cell r="B144" t="str">
            <v>NIFTY</v>
          </cell>
        </row>
        <row r="145">
          <cell r="B145" t="str">
            <v>NMDC</v>
          </cell>
        </row>
        <row r="146">
          <cell r="B146" t="str">
            <v>NTPC</v>
          </cell>
        </row>
        <row r="147">
          <cell r="B147" t="str">
            <v>OBEROIRLTY</v>
          </cell>
        </row>
        <row r="148">
          <cell r="B148" t="str">
            <v>OFSS</v>
          </cell>
        </row>
        <row r="149">
          <cell r="B149" t="str">
            <v>ONGC</v>
          </cell>
        </row>
        <row r="150">
          <cell r="B150" t="str">
            <v>PAGEIND</v>
          </cell>
        </row>
        <row r="151">
          <cell r="B151" t="str">
            <v>PEL</v>
          </cell>
        </row>
        <row r="152">
          <cell r="B152" t="str">
            <v>PERSISTENT</v>
          </cell>
        </row>
        <row r="153">
          <cell r="B153" t="str">
            <v>PETRONET</v>
          </cell>
        </row>
        <row r="154">
          <cell r="B154" t="str">
            <v>PFC</v>
          </cell>
        </row>
        <row r="155">
          <cell r="B155" t="str">
            <v>PIDILITIND</v>
          </cell>
        </row>
        <row r="156">
          <cell r="B156" t="str">
            <v>PIIND</v>
          </cell>
        </row>
        <row r="157">
          <cell r="B157" t="str">
            <v>PNB</v>
          </cell>
        </row>
        <row r="158">
          <cell r="B158" t="str">
            <v>POLYCAB</v>
          </cell>
        </row>
        <row r="159">
          <cell r="B159" t="str">
            <v>POWERGRID</v>
          </cell>
        </row>
        <row r="160">
          <cell r="B160" t="str">
            <v>PVRINOX</v>
          </cell>
        </row>
        <row r="161">
          <cell r="B161" t="str">
            <v>RAMCOCEM</v>
          </cell>
        </row>
        <row r="162">
          <cell r="B162" t="str">
            <v>RBLBANK</v>
          </cell>
        </row>
        <row r="163">
          <cell r="B163" t="str">
            <v>RECLTD</v>
          </cell>
        </row>
        <row r="164">
          <cell r="B164" t="str">
            <v>RELIANCE</v>
          </cell>
        </row>
        <row r="165">
          <cell r="B165" t="str">
            <v>SAIL</v>
          </cell>
        </row>
        <row r="166">
          <cell r="B166" t="str">
            <v>SBICARD</v>
          </cell>
        </row>
        <row r="167">
          <cell r="B167" t="str">
            <v>SBILIFE</v>
          </cell>
        </row>
        <row r="168">
          <cell r="B168" t="str">
            <v>SBIN</v>
          </cell>
        </row>
        <row r="169">
          <cell r="B169" t="str">
            <v>SHREECEM</v>
          </cell>
        </row>
        <row r="170">
          <cell r="B170" t="str">
            <v>SHRIRAMFIN</v>
          </cell>
        </row>
        <row r="171">
          <cell r="B171" t="str">
            <v>SIEMENS</v>
          </cell>
        </row>
        <row r="172">
          <cell r="B172" t="str">
            <v>SRF</v>
          </cell>
        </row>
        <row r="173">
          <cell r="B173" t="str">
            <v>SUNPHARMA</v>
          </cell>
        </row>
        <row r="174">
          <cell r="B174" t="str">
            <v>SUNTV</v>
          </cell>
        </row>
        <row r="175">
          <cell r="B175" t="str">
            <v>SYNGENE</v>
          </cell>
        </row>
        <row r="176">
          <cell r="B176" t="str">
            <v>TATACHEM</v>
          </cell>
        </row>
        <row r="177">
          <cell r="B177" t="str">
            <v>TATACOMM</v>
          </cell>
        </row>
        <row r="178">
          <cell r="B178" t="str">
            <v>TATACONSUM</v>
          </cell>
        </row>
        <row r="179">
          <cell r="B179" t="str">
            <v>TATAMOTORS</v>
          </cell>
        </row>
        <row r="180">
          <cell r="B180" t="str">
            <v>TATAPOWER</v>
          </cell>
        </row>
        <row r="181">
          <cell r="B181" t="str">
            <v>TATASTEEL</v>
          </cell>
        </row>
        <row r="182">
          <cell r="B182" t="str">
            <v>TCS</v>
          </cell>
        </row>
        <row r="183">
          <cell r="B183" t="str">
            <v>TECHM</v>
          </cell>
        </row>
        <row r="184">
          <cell r="B184" t="str">
            <v>TITAN</v>
          </cell>
        </row>
        <row r="185">
          <cell r="B185" t="str">
            <v>TORNTPHARM</v>
          </cell>
        </row>
        <row r="186">
          <cell r="B186" t="str">
            <v>TRENT</v>
          </cell>
        </row>
        <row r="187">
          <cell r="B187" t="str">
            <v>TVSMOTOR</v>
          </cell>
        </row>
        <row r="188">
          <cell r="B188" t="str">
            <v>UBL</v>
          </cell>
        </row>
        <row r="189">
          <cell r="B189" t="str">
            <v>ULTRACEMCO</v>
          </cell>
        </row>
        <row r="190">
          <cell r="B190" t="str">
            <v>UPL</v>
          </cell>
        </row>
        <row r="191">
          <cell r="B191" t="str">
            <v>VEDL</v>
          </cell>
        </row>
        <row r="192">
          <cell r="B192" t="str">
            <v>VOLTAS</v>
          </cell>
        </row>
        <row r="193">
          <cell r="B193" t="str">
            <v>WIPRO</v>
          </cell>
        </row>
        <row r="194">
          <cell r="B194" t="str">
            <v>ZEEL</v>
          </cell>
        </row>
        <row r="195">
          <cell r="B195" t="str">
            <v>ZYDUSLIFE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1B05F-3E78-4184-B66B-8F2F0132DF8B}">
  <sheetPr>
    <outlinePr summaryBelow="0" summaryRight="0"/>
  </sheetPr>
  <dimension ref="A1:CW384"/>
  <sheetViews>
    <sheetView showGridLines="0" tabSelected="1" workbookViewId="0">
      <pane xSplit="6" ySplit="5" topLeftCell="CA164" activePane="bottomRight" state="frozen"/>
      <selection pane="topRight" activeCell="G1" sqref="G1"/>
      <selection pane="bottomLeft" activeCell="A6" sqref="A6"/>
      <selection pane="bottomRight" sqref="A1:CW184"/>
    </sheetView>
  </sheetViews>
  <sheetFormatPr defaultColWidth="12.7109375" defaultRowHeight="15" customHeight="1" x14ac:dyDescent="0.2"/>
  <cols>
    <col min="1" max="1" width="4.28515625" style="4" customWidth="1"/>
    <col min="2" max="2" width="7.140625" style="4" customWidth="1"/>
    <col min="3" max="3" width="11" style="4" customWidth="1"/>
    <col min="4" max="4" width="37.140625" style="4" customWidth="1"/>
    <col min="5" max="6" width="9.28515625" style="4" customWidth="1"/>
    <col min="7" max="7" width="20.28515625" style="4" customWidth="1"/>
    <col min="8" max="8" width="5.7109375" style="4" customWidth="1"/>
    <col min="9" max="9" width="7.85546875" style="4" customWidth="1"/>
    <col min="10" max="10" width="5.7109375" style="4" customWidth="1"/>
    <col min="11" max="11" width="1.7109375" style="4" customWidth="1"/>
    <col min="12" max="14" width="8" style="4" customWidth="1"/>
    <col min="15" max="15" width="7.140625" style="4" customWidth="1"/>
    <col min="16" max="16" width="17" style="4" customWidth="1"/>
    <col min="17" max="17" width="7.140625" style="4" customWidth="1"/>
    <col min="18" max="18" width="8" style="4" customWidth="1"/>
    <col min="19" max="19" width="7.140625" style="4" customWidth="1"/>
    <col min="20" max="20" width="8" style="4" customWidth="1"/>
    <col min="21" max="21" width="7.140625" style="4" customWidth="1"/>
    <col min="22" max="22" width="16.7109375" style="4" customWidth="1"/>
    <col min="23" max="23" width="7.140625" style="4" customWidth="1"/>
    <col min="24" max="24" width="20.140625" style="4" customWidth="1"/>
    <col min="25" max="25" width="7.140625" style="4" customWidth="1"/>
    <col min="26" max="26" width="1.7109375" style="4" customWidth="1"/>
    <col min="27" max="27" width="6.140625" style="4" customWidth="1"/>
    <col min="28" max="28" width="8.42578125" style="4" customWidth="1"/>
    <col min="29" max="29" width="13.42578125" style="4" customWidth="1"/>
    <col min="30" max="30" width="1.7109375" style="4" customWidth="1"/>
    <col min="31" max="34" width="8.85546875" style="4" customWidth="1"/>
    <col min="35" max="35" width="1.7109375" style="4" customWidth="1"/>
    <col min="36" max="36" width="11.42578125" style="4" customWidth="1"/>
    <col min="37" max="37" width="18.140625" style="4" customWidth="1"/>
    <col min="38" max="39" width="8" style="4" customWidth="1"/>
    <col min="40" max="40" width="18.140625" style="4" customWidth="1"/>
    <col min="41" max="42" width="8" style="4" customWidth="1"/>
    <col min="43" max="43" width="18.140625" style="4" customWidth="1"/>
    <col min="44" max="45" width="8" style="4" customWidth="1"/>
    <col min="46" max="46" width="18.140625" style="4" customWidth="1"/>
    <col min="47" max="48" width="8" style="4" customWidth="1"/>
    <col min="49" max="49" width="18.140625" style="4" customWidth="1"/>
    <col min="50" max="51" width="8" style="4" customWidth="1"/>
    <col min="52" max="52" width="18.140625" style="4" customWidth="1"/>
    <col min="53" max="54" width="8" style="4" customWidth="1"/>
    <col min="55" max="55" width="1.28515625" style="4" customWidth="1"/>
    <col min="56" max="56" width="14" style="4" customWidth="1"/>
    <col min="57" max="59" width="14.140625" style="4" customWidth="1"/>
    <col min="60" max="60" width="3" style="4" customWidth="1"/>
    <col min="61" max="62" width="7.28515625" style="4" customWidth="1"/>
    <col min="63" max="63" width="11" style="4" customWidth="1"/>
    <col min="64" max="64" width="10.140625" style="4" customWidth="1"/>
    <col min="65" max="65" width="1.42578125" style="4" customWidth="1"/>
    <col min="66" max="67" width="8" style="4" customWidth="1"/>
    <col min="68" max="68" width="15.85546875" style="4" customWidth="1"/>
    <col min="69" max="70" width="8" style="4" customWidth="1"/>
    <col min="71" max="71" width="16.140625" style="4" customWidth="1"/>
    <col min="72" max="72" width="17.7109375" style="4" customWidth="1"/>
    <col min="73" max="74" width="8" style="4" customWidth="1"/>
    <col min="75" max="75" width="14.5703125" style="4" customWidth="1"/>
    <col min="76" max="77" width="9.7109375" style="4" customWidth="1"/>
    <col min="78" max="78" width="13.140625" style="4" customWidth="1"/>
    <col min="79" max="79" width="10.7109375" style="4" customWidth="1"/>
    <col min="80" max="82" width="8" style="4" customWidth="1"/>
    <col min="83" max="83" width="14.28515625" style="4" customWidth="1"/>
    <col min="84" max="84" width="9.7109375" style="4" customWidth="1"/>
    <col min="85" max="85" width="13.28515625" style="4" customWidth="1"/>
    <col min="86" max="86" width="9.7109375" style="4" customWidth="1"/>
    <col min="87" max="87" width="9.28515625" style="4" customWidth="1"/>
    <col min="88" max="88" width="9.7109375" style="4" customWidth="1"/>
    <col min="89" max="89" width="2.28515625" style="4" customWidth="1"/>
    <col min="90" max="91" width="8" style="4" customWidth="1"/>
    <col min="92" max="92" width="2.28515625" style="4" customWidth="1"/>
    <col min="93" max="94" width="8.85546875" style="4" customWidth="1"/>
    <col min="95" max="95" width="2.28515625" style="4" customWidth="1"/>
    <col min="96" max="97" width="8" style="4" customWidth="1"/>
    <col min="98" max="98" width="2.28515625" style="4" customWidth="1"/>
    <col min="99" max="99" width="11.28515625" style="4" customWidth="1"/>
    <col min="100" max="101" width="2.28515625" style="4" customWidth="1"/>
    <col min="102" max="16384" width="12.7109375" style="4"/>
  </cols>
  <sheetData>
    <row r="1" spans="1:101" ht="15.75" customHeight="1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3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32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/>
      <c r="BI1" s="2">
        <v>60</v>
      </c>
      <c r="BJ1" s="2">
        <v>61</v>
      </c>
      <c r="BK1" s="2">
        <v>62</v>
      </c>
      <c r="BL1" s="2">
        <v>63</v>
      </c>
      <c r="BM1" s="2">
        <v>64</v>
      </c>
      <c r="BN1" s="2">
        <v>65</v>
      </c>
      <c r="BO1" s="2">
        <v>66</v>
      </c>
      <c r="BP1" s="2">
        <v>67</v>
      </c>
      <c r="BQ1" s="2">
        <v>68</v>
      </c>
      <c r="BR1" s="2">
        <v>69</v>
      </c>
      <c r="BS1" s="2">
        <v>70</v>
      </c>
      <c r="BT1" s="2">
        <v>71</v>
      </c>
      <c r="BU1" s="2">
        <v>72</v>
      </c>
      <c r="BV1" s="2">
        <v>73</v>
      </c>
      <c r="BW1" s="2">
        <v>74</v>
      </c>
      <c r="BX1" s="2">
        <v>75</v>
      </c>
      <c r="BY1" s="2">
        <v>76</v>
      </c>
      <c r="BZ1" s="2">
        <v>77</v>
      </c>
      <c r="CA1" s="2"/>
      <c r="CB1" s="2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/>
      <c r="CL1" s="2">
        <v>11</v>
      </c>
      <c r="CM1" s="2">
        <v>12</v>
      </c>
      <c r="CN1" s="2"/>
      <c r="CO1" s="2">
        <v>30</v>
      </c>
      <c r="CP1" s="2">
        <v>31</v>
      </c>
      <c r="CQ1" s="2"/>
      <c r="CR1" s="2">
        <v>11</v>
      </c>
      <c r="CS1" s="2">
        <v>11</v>
      </c>
      <c r="CT1" s="2"/>
      <c r="CU1" s="2">
        <v>30</v>
      </c>
      <c r="CV1" s="2"/>
      <c r="CW1" s="2"/>
    </row>
    <row r="2" spans="1:101" ht="27.75" customHeight="1" x14ac:dyDescent="0.2">
      <c r="A2" s="1"/>
      <c r="B2" s="5" t="s">
        <v>0</v>
      </c>
      <c r="C2" s="6" t="s">
        <v>1</v>
      </c>
      <c r="D2" s="7"/>
      <c r="E2" s="7"/>
      <c r="F2" s="8"/>
      <c r="G2" s="9" t="s">
        <v>2</v>
      </c>
      <c r="H2" s="7"/>
      <c r="I2" s="7"/>
      <c r="J2" s="8"/>
      <c r="K2" s="2"/>
      <c r="L2" s="10" t="s">
        <v>3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2"/>
      <c r="Z2" s="2"/>
      <c r="AA2" s="13" t="s">
        <v>4</v>
      </c>
      <c r="AB2" s="14"/>
      <c r="AC2" s="15"/>
      <c r="AD2" s="2"/>
      <c r="AE2" s="10" t="s">
        <v>5</v>
      </c>
      <c r="AF2" s="16"/>
      <c r="AG2" s="16"/>
      <c r="AH2" s="16"/>
      <c r="AI2" s="2"/>
      <c r="AJ2" s="17" t="s">
        <v>6</v>
      </c>
      <c r="AK2" s="10" t="s">
        <v>7</v>
      </c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8"/>
      <c r="BD2" s="19" t="s">
        <v>8</v>
      </c>
      <c r="BE2" s="11"/>
      <c r="BF2" s="11"/>
      <c r="BG2" s="12"/>
      <c r="BH2" s="20"/>
      <c r="BI2" s="19" t="s">
        <v>9</v>
      </c>
      <c r="BJ2" s="11"/>
      <c r="BK2" s="11"/>
      <c r="BL2" s="12"/>
      <c r="BM2" s="20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10"/>
      <c r="CF2" s="12"/>
      <c r="CG2" s="22"/>
      <c r="CH2" s="22"/>
      <c r="CI2" s="22"/>
      <c r="CJ2" s="22"/>
      <c r="CK2" s="18"/>
      <c r="CL2" s="23" t="s">
        <v>3</v>
      </c>
      <c r="CM2" s="20"/>
      <c r="CN2" s="18"/>
      <c r="CO2" s="13" t="s">
        <v>5</v>
      </c>
      <c r="CP2" s="24"/>
      <c r="CQ2" s="18"/>
      <c r="CR2" s="23" t="s">
        <v>9</v>
      </c>
      <c r="CS2" s="23"/>
      <c r="CT2" s="18"/>
      <c r="CU2" s="23" t="s">
        <v>5</v>
      </c>
      <c r="CV2" s="18"/>
      <c r="CW2" s="18"/>
    </row>
    <row r="3" spans="1:101" ht="36" x14ac:dyDescent="0.2">
      <c r="A3" s="1"/>
      <c r="B3" s="25"/>
      <c r="C3" s="26"/>
      <c r="D3" s="25"/>
      <c r="E3" s="25"/>
      <c r="F3" s="27"/>
      <c r="G3" s="28"/>
      <c r="H3" s="14"/>
      <c r="I3" s="14"/>
      <c r="J3" s="15"/>
      <c r="K3" s="2"/>
      <c r="L3" s="23" t="s">
        <v>3</v>
      </c>
      <c r="M3" s="29" t="s">
        <v>10</v>
      </c>
      <c r="N3" s="10" t="s">
        <v>11</v>
      </c>
      <c r="O3" s="12"/>
      <c r="P3" s="10" t="s">
        <v>12</v>
      </c>
      <c r="Q3" s="12"/>
      <c r="R3" s="10" t="s">
        <v>13</v>
      </c>
      <c r="S3" s="12"/>
      <c r="T3" s="10" t="s">
        <v>14</v>
      </c>
      <c r="U3" s="12"/>
      <c r="V3" s="10" t="s">
        <v>15</v>
      </c>
      <c r="W3" s="12"/>
      <c r="X3" s="10" t="s">
        <v>16</v>
      </c>
      <c r="Y3" s="12"/>
      <c r="Z3" s="2"/>
      <c r="AA3" s="30" t="s">
        <v>17</v>
      </c>
      <c r="AB3" s="31" t="s">
        <v>18</v>
      </c>
      <c r="AC3" s="31" t="s">
        <v>19</v>
      </c>
      <c r="AD3" s="2"/>
      <c r="AE3" s="10" t="s">
        <v>20</v>
      </c>
      <c r="AF3" s="12"/>
      <c r="AG3" s="23" t="s">
        <v>21</v>
      </c>
      <c r="AH3" s="23" t="s">
        <v>22</v>
      </c>
      <c r="AI3" s="2"/>
      <c r="AJ3" s="32"/>
      <c r="AK3" s="10" t="s">
        <v>23</v>
      </c>
      <c r="AL3" s="11"/>
      <c r="AM3" s="12"/>
      <c r="AN3" s="10" t="s">
        <v>24</v>
      </c>
      <c r="AO3" s="11"/>
      <c r="AP3" s="12"/>
      <c r="AQ3" s="10" t="s">
        <v>25</v>
      </c>
      <c r="AR3" s="11"/>
      <c r="AS3" s="12"/>
      <c r="AT3" s="10" t="s">
        <v>26</v>
      </c>
      <c r="AU3" s="11"/>
      <c r="AV3" s="12"/>
      <c r="AW3" s="10" t="s">
        <v>27</v>
      </c>
      <c r="AX3" s="11"/>
      <c r="AY3" s="12"/>
      <c r="AZ3" s="10" t="s">
        <v>28</v>
      </c>
      <c r="BA3" s="11"/>
      <c r="BB3" s="12"/>
      <c r="BC3" s="18"/>
      <c r="BD3" s="33"/>
      <c r="BE3" s="33" t="s">
        <v>29</v>
      </c>
      <c r="BF3" s="33" t="s">
        <v>30</v>
      </c>
      <c r="BG3" s="33" t="s">
        <v>31</v>
      </c>
      <c r="BH3" s="20"/>
      <c r="BI3" s="33"/>
      <c r="BJ3" s="33"/>
      <c r="BK3" s="33" t="s">
        <v>29</v>
      </c>
      <c r="BL3" s="33" t="s">
        <v>32</v>
      </c>
      <c r="BM3" s="20"/>
      <c r="BN3" s="9" t="s">
        <v>33</v>
      </c>
      <c r="BO3" s="8"/>
      <c r="BP3" s="10" t="s">
        <v>34</v>
      </c>
      <c r="BQ3" s="11"/>
      <c r="BR3" s="12"/>
      <c r="BS3" s="23"/>
      <c r="BT3" s="10" t="s">
        <v>35</v>
      </c>
      <c r="BU3" s="11"/>
      <c r="BV3" s="11"/>
      <c r="BW3" s="11"/>
      <c r="BX3" s="11"/>
      <c r="BY3" s="12"/>
      <c r="BZ3" s="10" t="s">
        <v>36</v>
      </c>
      <c r="CA3" s="11"/>
      <c r="CB3" s="11"/>
      <c r="CC3" s="11"/>
      <c r="CD3" s="12"/>
      <c r="CE3" s="10" t="s">
        <v>37</v>
      </c>
      <c r="CF3" s="12"/>
      <c r="CG3" s="10" t="s">
        <v>38</v>
      </c>
      <c r="CH3" s="12"/>
      <c r="CI3" s="34" t="s">
        <v>39</v>
      </c>
      <c r="CJ3" s="34" t="s">
        <v>40</v>
      </c>
      <c r="CK3" s="18"/>
      <c r="CL3" s="23" t="s">
        <v>3</v>
      </c>
      <c r="CM3" s="17" t="s">
        <v>41</v>
      </c>
      <c r="CN3" s="18"/>
      <c r="CO3" s="10" t="s">
        <v>20</v>
      </c>
      <c r="CP3" s="12"/>
      <c r="CQ3" s="18"/>
      <c r="CR3" s="23" t="s">
        <v>42</v>
      </c>
      <c r="CS3" s="23" t="s">
        <v>43</v>
      </c>
      <c r="CT3" s="18"/>
      <c r="CU3" s="33" t="s">
        <v>30</v>
      </c>
      <c r="CV3" s="18"/>
      <c r="CW3" s="18"/>
    </row>
    <row r="4" spans="1:101" ht="15.75" customHeight="1" x14ac:dyDescent="0.2">
      <c r="A4" s="1"/>
      <c r="B4" s="25"/>
      <c r="C4" s="28"/>
      <c r="D4" s="14"/>
      <c r="E4" s="14"/>
      <c r="F4" s="15"/>
      <c r="G4" s="23" t="s">
        <v>44</v>
      </c>
      <c r="H4" s="35" t="s">
        <v>10</v>
      </c>
      <c r="I4" s="23" t="s">
        <v>45</v>
      </c>
      <c r="J4" s="36" t="s">
        <v>46</v>
      </c>
      <c r="K4" s="2"/>
      <c r="L4" s="23" t="s">
        <v>47</v>
      </c>
      <c r="M4" s="32"/>
      <c r="N4" s="23" t="s">
        <v>45</v>
      </c>
      <c r="O4" s="23" t="s">
        <v>46</v>
      </c>
      <c r="P4" s="23" t="s">
        <v>45</v>
      </c>
      <c r="Q4" s="23" t="s">
        <v>46</v>
      </c>
      <c r="R4" s="23" t="s">
        <v>45</v>
      </c>
      <c r="S4" s="23" t="s">
        <v>46</v>
      </c>
      <c r="T4" s="23" t="s">
        <v>45</v>
      </c>
      <c r="U4" s="23" t="s">
        <v>46</v>
      </c>
      <c r="V4" s="23" t="s">
        <v>45</v>
      </c>
      <c r="W4" s="23" t="s">
        <v>46</v>
      </c>
      <c r="X4" s="23" t="s">
        <v>45</v>
      </c>
      <c r="Y4" s="23" t="s">
        <v>46</v>
      </c>
      <c r="Z4" s="2"/>
      <c r="AA4" s="32"/>
      <c r="AB4" s="15"/>
      <c r="AC4" s="15"/>
      <c r="AD4" s="2"/>
      <c r="AE4" s="23" t="s">
        <v>44</v>
      </c>
      <c r="AF4" s="35" t="s">
        <v>10</v>
      </c>
      <c r="AG4" s="37" t="s">
        <v>45</v>
      </c>
      <c r="AH4" s="37" t="s">
        <v>45</v>
      </c>
      <c r="AI4" s="2"/>
      <c r="AJ4" s="35" t="s">
        <v>10</v>
      </c>
      <c r="AK4" s="37" t="s">
        <v>44</v>
      </c>
      <c r="AL4" s="37" t="s">
        <v>45</v>
      </c>
      <c r="AM4" s="37" t="s">
        <v>46</v>
      </c>
      <c r="AN4" s="37" t="s">
        <v>44</v>
      </c>
      <c r="AO4" s="37" t="s">
        <v>45</v>
      </c>
      <c r="AP4" s="37" t="s">
        <v>46</v>
      </c>
      <c r="AQ4" s="37" t="s">
        <v>44</v>
      </c>
      <c r="AR4" s="37" t="s">
        <v>45</v>
      </c>
      <c r="AS4" s="37" t="s">
        <v>46</v>
      </c>
      <c r="AT4" s="37" t="s">
        <v>44</v>
      </c>
      <c r="AU4" s="37" t="s">
        <v>45</v>
      </c>
      <c r="AV4" s="37" t="s">
        <v>46</v>
      </c>
      <c r="AW4" s="37" t="s">
        <v>44</v>
      </c>
      <c r="AX4" s="37" t="s">
        <v>45</v>
      </c>
      <c r="AY4" s="37" t="s">
        <v>46</v>
      </c>
      <c r="AZ4" s="37" t="s">
        <v>44</v>
      </c>
      <c r="BA4" s="37" t="s">
        <v>45</v>
      </c>
      <c r="BB4" s="37" t="s">
        <v>46</v>
      </c>
      <c r="BC4" s="18"/>
      <c r="BD4" s="32"/>
      <c r="BE4" s="32"/>
      <c r="BF4" s="32"/>
      <c r="BG4" s="32"/>
      <c r="BH4" s="18"/>
      <c r="BI4" s="32"/>
      <c r="BJ4" s="32"/>
      <c r="BK4" s="32"/>
      <c r="BL4" s="32"/>
      <c r="BM4" s="18"/>
      <c r="BN4" s="28"/>
      <c r="BO4" s="15"/>
      <c r="BP4" s="37" t="s">
        <v>44</v>
      </c>
      <c r="BQ4" s="38" t="s">
        <v>10</v>
      </c>
      <c r="BR4" s="37" t="s">
        <v>45</v>
      </c>
      <c r="BS4" s="37" t="s">
        <v>48</v>
      </c>
      <c r="BT4" s="37" t="s">
        <v>44</v>
      </c>
      <c r="BU4" s="38" t="s">
        <v>10</v>
      </c>
      <c r="BV4" s="37" t="s">
        <v>45</v>
      </c>
      <c r="BW4" s="37" t="s">
        <v>48</v>
      </c>
      <c r="BX4" s="38" t="s">
        <v>10</v>
      </c>
      <c r="BY4" s="37" t="s">
        <v>49</v>
      </c>
      <c r="BZ4" s="37" t="s">
        <v>44</v>
      </c>
      <c r="CA4" s="37" t="s">
        <v>48</v>
      </c>
      <c r="CB4" s="38" t="s">
        <v>10</v>
      </c>
      <c r="CC4" s="37" t="s">
        <v>49</v>
      </c>
      <c r="CD4" s="37"/>
      <c r="CE4" s="37" t="s">
        <v>44</v>
      </c>
      <c r="CF4" s="37" t="s">
        <v>45</v>
      </c>
      <c r="CG4" s="37" t="s">
        <v>44</v>
      </c>
      <c r="CH4" s="37" t="s">
        <v>45</v>
      </c>
      <c r="CI4" s="37" t="s">
        <v>44</v>
      </c>
      <c r="CJ4" s="37" t="s">
        <v>44</v>
      </c>
      <c r="CK4" s="1"/>
      <c r="CL4" s="23" t="s">
        <v>50</v>
      </c>
      <c r="CM4" s="32"/>
      <c r="CN4" s="1"/>
      <c r="CO4" s="23" t="s">
        <v>50</v>
      </c>
      <c r="CP4" s="23" t="s">
        <v>41</v>
      </c>
      <c r="CQ4" s="1"/>
      <c r="CR4" s="23" t="s">
        <v>45</v>
      </c>
      <c r="CS4" s="23" t="s">
        <v>45</v>
      </c>
      <c r="CT4" s="1"/>
      <c r="CU4" s="32"/>
      <c r="CV4" s="1"/>
      <c r="CW4" s="1"/>
    </row>
    <row r="5" spans="1:101" ht="8.25" customHeight="1" x14ac:dyDescent="0.2">
      <c r="A5" s="1"/>
      <c r="B5" s="2"/>
      <c r="C5" s="2"/>
      <c r="D5" s="2"/>
      <c r="E5" s="2"/>
      <c r="F5" s="2"/>
      <c r="G5" s="2"/>
      <c r="H5" s="2"/>
      <c r="I5" s="2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39"/>
      <c r="AE5" s="2"/>
      <c r="AF5" s="2"/>
      <c r="AG5" s="39"/>
      <c r="AH5" s="39"/>
      <c r="AI5" s="39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39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</row>
    <row r="6" spans="1:101" ht="25.5" customHeight="1" x14ac:dyDescent="0.2">
      <c r="A6" s="40">
        <v>1</v>
      </c>
      <c r="B6" s="41" t="str">
        <f>CONCATENATE(D6,IF(D8="Futures",[1]AB3!$B$6,IF(D8="Options Sell",[1]AB3!$B$12,IF(D8="Options Buy",[1]AB3!$B$18))))</f>
        <v>S1A</v>
      </c>
      <c r="C6" s="42" t="str">
        <f>IF(D8="Futures",[1]AB3!$C$6,IF(D8="Options Sell",[1]AB3!$C$12,IF(D8="Options Buy",[1]AB3!$C$18)))</f>
        <v>Strategy Code</v>
      </c>
      <c r="D6" s="43" t="str">
        <f t="array" ref="D6">IF(A6="","",INDEX([1]AB2!B:B,MATCH(A6,[1]AB2!A:A,0)))</f>
        <v>S1</v>
      </c>
      <c r="E6" s="44" t="str">
        <f>IF(D8="Futures",[1]AB3!$E$6,IF(D8="Options Sell",[1]AB3!$E$12,IF(D8="Options Buy",[1]AB3!$E$18)))</f>
        <v>Bull / 
Bull CF</v>
      </c>
      <c r="F6" s="45" t="str">
        <f>IF(D8="Futures",[1]AB3!$F$6,IF(D8="Options Sell",[1]AB3!$F$12,IF(D8="Options Buy",[1]AB3!$F$18)))</f>
        <v>Long</v>
      </c>
      <c r="G6" s="43" t="str">
        <f t="array" ref="G6">IF(A6="","",IF(D8="Futures",CONCATENATE([1]AB3!$G$6,INDEX([1]AB2!I:I,MATCH(D6,[1]AB2!B:B,0)),[1]AB3!$H$6),IF(D8="Options Sell",CONCATENATE([1]AB3!$G$12,INDEX([1]AB2!J:J,MATCH(D6,[1]AB2!B:B,0)),[1]AB3!$H$12),IF(D8="Options Buy",CONCATENATE([1]AB3!$G$18,INDEX([1]AB2!I:I,MATCH(D6,[1]AB2!B:B,0)),[1]AB3!$H$18)))))</f>
        <v>FUT : PRV : 2DHH</v>
      </c>
      <c r="H6" s="43" t="str">
        <f>IF(D8="Futures",[1]AB3!$I$6,IF(D8="Options Sell",[1]AB3!$I$12,IF(D8="Options Buy",[1]AB3!$I$18)))</f>
        <v xml:space="preserve"> + </v>
      </c>
      <c r="I6" s="46">
        <v>5.0000000000000001E-4</v>
      </c>
      <c r="J6" s="47">
        <v>5</v>
      </c>
      <c r="K6" s="48"/>
      <c r="L6" s="43" t="str">
        <f>IF(D8="Futures",[1]AB3!$M$6,IF(D8="Options Sell",[1]AB3!$M$12,IF(D8="Options Buy",[1]AB3!$M$18)))</f>
        <v xml:space="preserve">L : Entry </v>
      </c>
      <c r="M6" s="49" t="str">
        <f>IF(D8="Futures",[1]AB3!$N$6,IF(D8="Options Sell",[1]AB3!$N$12,IF(D8="Options Buy",[1]AB3!$N$18)))</f>
        <v xml:space="preserve"> + </v>
      </c>
      <c r="N6" s="46">
        <v>4.0000000000000001E-3</v>
      </c>
      <c r="O6" s="47">
        <v>1</v>
      </c>
      <c r="P6" s="46">
        <v>6.0000000000000001E-3</v>
      </c>
      <c r="Q6" s="47">
        <v>1</v>
      </c>
      <c r="R6" s="46">
        <v>8.0000000000000002E-3</v>
      </c>
      <c r="S6" s="47">
        <v>1</v>
      </c>
      <c r="T6" s="46">
        <v>0.01</v>
      </c>
      <c r="U6" s="47">
        <v>1</v>
      </c>
      <c r="V6" s="50" t="s">
        <v>51</v>
      </c>
      <c r="W6" s="47">
        <v>1</v>
      </c>
      <c r="X6" s="50" t="s">
        <v>52</v>
      </c>
      <c r="Y6" s="50" t="s">
        <v>52</v>
      </c>
      <c r="Z6" s="48"/>
      <c r="AA6" s="43" t="str">
        <f>IF(D8="Futures",[1]AB3!$AD$6,IF(D8="Options Sell",[1]AB3!$AD$12,IF(D8="Options Buy",[1]AB3!$AD$18)))</f>
        <v>Max</v>
      </c>
      <c r="AB6" s="43" t="str">
        <f>IF(D8="Futures",[1]AB3!$AE$6,IF(D8="Options Sell",[1]AB3!$AE$12,IF(D8="Options Buy",[1]AB3!$AE$18)))</f>
        <v>MSL &amp; TSL</v>
      </c>
      <c r="AC6" s="43" t="str">
        <f>IF(D8="Futures",[1]AB3!$AF$6,IF(D8="Options Sell",[1]AB3!$AF$12,IF(D8="Options Buy",[1]AB3!$AF$18)))</f>
        <v>Entry &amp; TRP</v>
      </c>
      <c r="AD6" s="48"/>
      <c r="AE6" s="43" t="str">
        <f>IF(D8="Futures",[1]AB3!$AH$6,IF(D8="Options Sell",[1]AB3!$AH$12,IF(D8="Options Buy",[1]AB3!$AH$18)))</f>
        <v>L : Entry</v>
      </c>
      <c r="AF6" s="43" t="str">
        <f>IF(D8="Futures",[1]AB3!$AI$6,IF(D8="Options Sell",[1]AB3!$AI$12,IF(D8="Options Buy",[1]AB3!$AI$18)))</f>
        <v xml:space="preserve"> - </v>
      </c>
      <c r="AG6" s="46">
        <v>4.0000000000000001E-3</v>
      </c>
      <c r="AH6" s="46">
        <v>0</v>
      </c>
      <c r="AI6" s="48"/>
      <c r="AJ6" s="43" t="str">
        <f>IF(D8="Futures",[1]AB3!$AO$6,IF(D8="Options Sell",[1]AB3!$AO$12,IF(D8="Options Buy",[1]AB3!$AO$18)))</f>
        <v xml:space="preserve"> - </v>
      </c>
      <c r="AK6" s="43" t="str">
        <f t="array" ref="AK6">IF(A6="","",IF(D8="Futures",CONCATENATE([1]AB3!$AP$6,INDEX([1]AB2!L:L,MATCH(D6,[1]AB2!B:B,0)),[1]AB3!$AQ$6),IF(D8="Options Sell",CONCATENATE([1]AB3!$AP$12,INDEX([1]AB2!M:M,MATCH(D6,[1]AB2!B:B,0)),[1]AB3!$AQ$12),IF(D8="Options Buy",CONCATENATE([1]AB3!$AP$18,INDEX([1]AB2!L:L,MATCH(D6,[1]AB2!B:B,0)),[1]AB3!$AQ$18)))))</f>
        <v>FUT : PRV : 2DLL</v>
      </c>
      <c r="AL6" s="51">
        <f>IF(AND(D8="Futures",AK6=[1]AB3!$AS$6),[1]AB3!$AS$6,IF(AND(D8="Options Sell",AK6=[1]AB3!$AS$12),[1]AB3!$AS$12,IF(AND(D8="Options Buy",AK6=[1]AB3!$AS$18),[1]AB3!$AS$18,I7)))</f>
        <v>5.0000000000000001E-4</v>
      </c>
      <c r="AM6" s="52">
        <f>J7</f>
        <v>5</v>
      </c>
      <c r="AN6" s="43" t="str">
        <f t="array" ref="AN6">IF(A6="","",IF(AND(OR(D10="1 &amp; APS",D10="2 &amp; APS",D10="3 &amp; APS",D10="4 &amp; APS",D10="5 &amp; APS"),D8="Futures"),CONCATENATE([1]AB3!$AP$6,INDEX([1]AB2!L:L,MATCH(D6,[1]AB2!B:B,0)),[1]AB3!$AQ$6),IF(AND(OR(D10="1 &amp; APS",D10="2 &amp; APS",D10="3 &amp; APS",D10="4 &amp; APS",D10="5 &amp; APS"),D8="Options Sell"),CONCATENATE([1]AB3!$AP$12,INDEX([1]AB2!M:M,MATCH(D6,[1]AB2!B:B,0)),[1]AB3!$AQ$12),IF(AND(OR(D10="1 &amp; APS",D10="2 &amp; APS",D10="3 &amp; APS",D10="4 &amp; APS",D10="5 &amp; APS"),D8="Options Buy"),CONCATENATE([1]AB3!$AP$18,INDEX([1]AB2!L:L,MATCH(D6,[1]AB2!B:B,0)),[1]AB3!$AQ$18),[1]AB3!$AR$6))))</f>
        <v>FUT : PRV : 2DLL</v>
      </c>
      <c r="AO6" s="51">
        <f>IF(AND(D8="Futures",AN6=[1]AB3!$AU$6),[1]AB3!$AU$6,IF(AND(D8="Options Sell",AN6=[1]AB3!$AU$12),[1]AB3!$AU$12,IF(AND(D8="Options Buy",AN6=[1]AB3!$AU$18),[1]AB3!$AU$18,I7)))</f>
        <v>5.0000000000000001E-4</v>
      </c>
      <c r="AP6" s="52">
        <f t="shared" ref="AP6:AP7" si="0">AM6-O6</f>
        <v>4</v>
      </c>
      <c r="AQ6" s="43" t="str">
        <f t="array" ref="AQ6">IF(A6="","",IF(AND(OR(D10="2 &amp; APS",D10="3 &amp; APS",D10="4 &amp; APS",D10="5 &amp; APS"),D8="Futures"),CONCATENATE([1]AB3!$AP$6,INDEX([1]AB2!L:L,MATCH(D6,[1]AB2!B:B,0)),[1]AB3!$AQ$6),IF(AND(OR(D10="2 &amp; APS",D10="3 &amp; APS",D10="4 &amp; APS",D10="5 &amp; APS"),D8="Options Sell"),CONCATENATE([1]AB3!$AP$12,INDEX([1]AB2!M:M,MATCH(D6,[1]AB2!B:B,0)),[1]AB3!$AQ$12),IF(AND(OR(D10="2 &amp; APS",D10="3 &amp; APS",D10="4 &amp; APS",D10="5 &amp; APS"),D8="Options Buy"),CONCATENATE([1]AB3!$AP$18,INDEX([1]AB2!L:L,MATCH(D6,[1]AB2!B:B,0)),[1]AB3!$AQ$18),[1]AB3!$AR$6))))</f>
        <v>FUT : PRV : 2DLL</v>
      </c>
      <c r="AR6" s="51">
        <f>IF(AND(D8="Futures",AQ6=[1]AB3!$AW$6),[1]AB3!$AW$6,IF(AND(D8="Options Sell",AQ6=[1]AB3!$AW$12),[1]AB3!$AW$12,IF(AND(D8="Options Buy",AQ6=[1]AB3!$AW$18),[1]AB3!$AW$18,I7)))</f>
        <v>5.0000000000000001E-4</v>
      </c>
      <c r="AS6" s="52">
        <f t="shared" ref="AS6:AS7" si="1">AP6-Q6</f>
        <v>3</v>
      </c>
      <c r="AT6" s="43" t="str">
        <f t="array" ref="AT6">IF(A6="","",IF(AND(OR(D10="3 &amp; APS",D10="4 &amp; APS",D10="5 &amp; APS"),D8="Futures"),CONCATENATE([1]AB3!$AP$6,INDEX([1]AB2!L:L,MATCH(D6,[1]AB2!B:B,0)),[1]AB3!$AQ$6),IF(AND(OR(D10="3 &amp; APS",D10="4 &amp; APS",D10="5 &amp; APS"),D8="Options Sell"),CONCATENATE([1]AB3!$AP$12,INDEX([1]AB2!M:M,MATCH(D6,[1]AB2!B:B,0)),[1]AB3!$AQ$12),IF(AND(OR(D10="3 &amp; APS",D10="4 &amp; APS",D10="5 &amp; APS"),D8="Options Buy"),CONCATENATE([1]AB3!$AP$18,INDEX([1]AB2!L:L,MATCH(D6,[1]AB2!B:B,0)),[1]AB3!$AQ$18),[1]AB3!$AR$6))))</f>
        <v>FUT : PRV : 2DLL</v>
      </c>
      <c r="AU6" s="51">
        <f>IF(AND(D8="Futures",AT6=[1]AB3!$AY$6),[1]AB3!$AY$6,IF(AND(D8="Options Sell",AT6=[1]AB3!$AY$12),[1]AB3!$AY$12,IF(AND(D8="Options Buy",AT6=[1]AB3!$AY$18),[1]AB3!$AY$18,I7)))</f>
        <v>5.0000000000000001E-4</v>
      </c>
      <c r="AV6" s="52">
        <f t="shared" ref="AV6:AV7" si="2">AS6-S6</f>
        <v>2</v>
      </c>
      <c r="AW6" s="43" t="str">
        <f t="array" ref="AW6">IF(A6="","",IF(AND(OR(D10="4 &amp; APS",D10="5 &amp; APS"),D8="Futures"),CONCATENATE([1]AB3!$AP$6,INDEX([1]AB2!L:L,MATCH(D6,[1]AB2!B:B,0)),[1]AB3!$AQ$6),IF(AND(OR(D10="4 &amp; APS",D10="5 &amp; APS"),D8="Options Sell"),CONCATENATE([1]AB3!$AP$12,INDEX([1]AB2!M:M,MATCH(D6,[1]AB2!B:B,0)),[1]AB3!$AQ$12),IF(AND(OR(D10="4 &amp; APS",D10="5 &amp; APS"),D8="Options Buy"),CONCATENATE([1]AB3!$AP$18,INDEX([1]AB2!L:L,MATCH(D6,[1]AB2!B:B,0)),[1]AB3!$AQ$18),[1]AB3!$AR$6))))</f>
        <v>FUT : PRV : 2DLL</v>
      </c>
      <c r="AX6" s="51">
        <f>IF(AND(D8="Futures",AW6=[1]AB3!$BA$6),[1]AB3!$BA$6,IF(AND(D8="Options Sell",AW6=[1]AB3!$BA$12),[1]AB3!$BA$12,IF(AND(D8="Options Buy",AW6=[1]AB3!$BA$18),[1]AB3!$BA$18,I7)))</f>
        <v>5.0000000000000001E-4</v>
      </c>
      <c r="AY6" s="52">
        <f t="shared" ref="AY6:AY7" si="3">AV6-S6</f>
        <v>1</v>
      </c>
      <c r="AZ6" s="51">
        <f t="array" ref="AZ6">IF(A6="","",IF(AND(D10="5 &amp; APS",D8="Futures"),CONCATENATE([1]AB3!$AP$6,INDEX([1]AB2!L:L,MATCH(D6,[1]AB2!B:B,0)),[1]AB3!$AQ$6),IF(AND(D10="5 &amp; APS",D8="Options Sell"),CONCATENATE([1]AB3!$AP$12,INDEX([1]AB2!M:M,MATCH(D6,[1]AB2!B:B,0)),[1]AB3!$AQ$12),IF(AND(D10="5 &amp; APS",D8="Options Buy"),CONCATENATE([1]AB3!$AP$18,INDEX([1]AB2!L:L,MATCH(D6,[1]AB2!B:B,0)),[1]AB3!$AQ$18),[1]AB3!$AR$6))))</f>
        <v>0</v>
      </c>
      <c r="BA6" s="51">
        <f>IF(AND(D8="Futures",AZ6=[1]AB3!$BC$6),[1]AB3!$BC$6,IF(AND(D8="Options Sell",AZ6=[1]AB3!$BC$12),[1]AB3!$BC$12,IF(AND(D8="Options Buy",AZ6=[1]AB3!$BC$18),[1]AB3!$BC$18,I7)))</f>
        <v>0</v>
      </c>
      <c r="BB6" s="52">
        <f t="shared" ref="BB6:BB7" si="4">AY6-W6</f>
        <v>0</v>
      </c>
      <c r="BC6" s="53"/>
      <c r="BD6" s="54" t="str">
        <f>IF(D8="Futures",[1]AB3!$BE$6,IF(D8="Options Sell",[1]AB3!$BE$12,IF(D8="Options Buy",[1]AB3!$BE$18)))</f>
        <v xml:space="preserve">ORPT </v>
      </c>
      <c r="BE6" s="55">
        <f>IF(D8="Futures",BE9+([1]AB3!$BF$6/1440),IF(D8="Options Sell",BE9+([1]AB3!$BF$12/1440),IF(D8="Options Buy",BE9+([1]AB3!$BF$18/1440))))</f>
        <v>0.37846527777777778</v>
      </c>
      <c r="BF6" s="55">
        <f>IF(D8="Futures",BE9+([1]AB3!$BG$6/1440),IF(D8="Options Sell",BE9+([1]AB3!$BG$12/1440),IF(D8="Options Buy",BE9+([1]AB3!$BG$18/1440))))</f>
        <v>0.37846527777777778</v>
      </c>
      <c r="BG6" s="55">
        <f>IF(D8="Futures",BE9+([1]AB3!$BH$6/1440),IF(D8="Options Sell",BE9+([1]AB3!$BH$12/1440),IF(D8="Options Buy",BE9+([1]AB3!$BH$18/1440))))</f>
        <v>0.375</v>
      </c>
      <c r="BH6" s="56"/>
      <c r="BI6" s="44" t="str">
        <f>IF(D8="Futures",[1]AB3!$BJ$6,IF(D8="Options Sell",[1]AB3!$BJ$12,IF(D8="Options Buy",[1]AB3!$BJ$18)))</f>
        <v>Bull / 
Bull CF</v>
      </c>
      <c r="BJ6" s="45" t="str">
        <f>IF(D8="Futures",[1]AB3!$BK$6,IF(D8="Options Sell",[1]AB3!$BK$12,IF(D8="Options Buy",[1]AB3!$BK$18)))</f>
        <v>Long</v>
      </c>
      <c r="BK6" s="46">
        <v>5.0000000000000001E-4</v>
      </c>
      <c r="BL6" s="46">
        <v>5.0000000000000001E-4</v>
      </c>
      <c r="BM6" s="57"/>
      <c r="BN6" s="44" t="str">
        <f>IF(D8="Futures",[1]AB3!$BO$6,IF(D8="Options Sell",[1]AB3!$BO$12,IF(D8="Options Buy",[1]AB3!$BO$18)))</f>
        <v>Bull | 
Bull CF</v>
      </c>
      <c r="BO6" s="45" t="str">
        <f>IF(D8="Futures",[1]AB3!$BP$6,IF(D8="Options Sell",[1]AB3!$BP$12,IF(D8="Options Buy",[1]AB3!$BP$18)))</f>
        <v>Call</v>
      </c>
      <c r="BP6" s="43" t="str">
        <f t="array" ref="BP6">IF(A6="","",IF(D8="Futures","",IF(D8="EQUITY","",IF(D8="Options Sell",CONCATENATE([1]AB3!$BQ$12,INDEX([1]AB2!J:J,MATCH(A6,[1]AB2!A:A,0)),[1]AB3!$BR$12),IF(D8="Options Buy",CONCATENATE([1]AB3!$BQ$18,INDEX([1]AB2!J:J,MATCH(A6,[1]AB2!A:A,0)),[1]AB3!$BR$18))))))</f>
        <v/>
      </c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9"/>
      <c r="CL6" s="49">
        <f>IF(D8="Futures",[1]AB3!$O$6,IF(D8="Options Sell",[1]AB3!$O$12,IF(D8="Options Buy",[1]AB3!$O$18)))</f>
        <v>0</v>
      </c>
      <c r="CM6" s="43">
        <f>IF(D8="Futures",[1]AB3!$P$6,IF(D8="Options Sell",[1]AB3!$P$12,IF(D8="Options Buy",[1]AB3!$P$18)))</f>
        <v>0</v>
      </c>
      <c r="CN6" s="59"/>
      <c r="CO6" s="43">
        <f>IF(D8="Futures",[1]AB3!$AJ$6,IF(D8="Options Sell",[1]AB3!$AJ$12,IF(D8="Options Buy",[1]AB3!$AJ$18)))</f>
        <v>0</v>
      </c>
      <c r="CP6" s="43">
        <f>IF(D8="Futures",[1]AB3!$AK$6,IF(D8="Options Sell",[1]AB3!$AK$12,IF(D8="Options Buy",[1]AB3!$AK$18)))</f>
        <v>0</v>
      </c>
      <c r="CQ6" s="59"/>
      <c r="CR6" s="49" t="b">
        <f>IF(I8="Futures",[1]AB3!$O$6,IF(I8="Options Sell",[1]AB3!$O$12,IF(I8="Options Buy",[1]AB3!$O$18)))</f>
        <v>0</v>
      </c>
      <c r="CS6" s="49" t="b">
        <f>IF(J8="Futures",[1]AB3!$O$6,IF(J8="Options Sell",[1]AB3!$O$12,IF(J8="Options Buy",[1]AB3!$O$18)))</f>
        <v>0</v>
      </c>
      <c r="CT6" s="59"/>
      <c r="CU6" s="55">
        <f>IF(D8="Futures",BE10-([1]AB3!$CG$6/1440),IF(D8="Options Sell",BE10-([1]AB3!$CG$12/1440),IF(D8="Options Buy",BE10-([1]AB3!$CG$18/1440),IF(D8="EQUITY",""))))</f>
        <v>0.6875</v>
      </c>
      <c r="CV6" s="59"/>
      <c r="CW6" s="59"/>
    </row>
    <row r="7" spans="1:101" ht="25.5" customHeight="1" x14ac:dyDescent="0.2">
      <c r="A7" s="60"/>
      <c r="B7" s="41" t="str">
        <f>CONCATENATE(D6,IF(D8="Futures",[1]AB3!$B$7,IF(D8="Options Sell",[1]AB3!$B$13,IF(D8="Options Buy",[1]AB3!$B$19))))</f>
        <v>S1B</v>
      </c>
      <c r="C7" s="42" t="str">
        <f>IF(D8="Futures",[1]AB3!$C$7,IF(D8="Options Sell",[1]AB3!$C$13,IF(D8="Options Buy",[1]AB3!$C$19)))</f>
        <v>Unique Code</v>
      </c>
      <c r="D7" s="43" t="str">
        <f t="array" ref="D7">IF(A6="","",INDEX([1]AB2!N:N,MATCH(D6,[1]AB2!B:B,0)))</f>
        <v>USDINR_FUT_MT_SAME_2D_2D</v>
      </c>
      <c r="E7" s="32"/>
      <c r="F7" s="61" t="str">
        <f>IF(D8="Futures",[1]AB3!$F$7,IF(D8="Options Sell",[1]AB3!$F$13,IF(D8="Options Buy",[1]AB3!$F$19)))</f>
        <v>Short</v>
      </c>
      <c r="G7" s="43" t="str">
        <f t="array" ref="G7">IF(A6="","",IF(D8="Futures",CONCATENATE([1]AB3!$G$7,INDEX([1]AB2!J:J,MATCH(D6,[1]AB2!B:B,0)),[1]AB3!$H$7),IF(D8="Options Sell",CONCATENATE([1]AB3!$G$13,INDEX([1]AB2!I:I,MATCH(D6,[1]AB2!B:B,0)),[1]AB3!$H$13),IF(D8="Options Buy",CONCATENATE([1]AB3!$G$19,INDEX([1]AB2!J:J,MATCH(D6,[1]AB2!B:B,0)),[1]AB3!$H$19)))))</f>
        <v>FUT : PRV : 2DLL</v>
      </c>
      <c r="H7" s="43" t="str">
        <f>IF(D8="Futures",[1]AB3!$I$7,IF(D8="Options Sell",[1]AB3!$I$13,IF(D8="Options Buy",[1]AB3!$I$19)))</f>
        <v xml:space="preserve"> - </v>
      </c>
      <c r="I7" s="46">
        <v>5.0000000000000001E-4</v>
      </c>
      <c r="J7" s="47">
        <v>5</v>
      </c>
      <c r="K7" s="48"/>
      <c r="L7" s="43" t="str">
        <f>IF(D8="Futures",[1]AB3!$M$7,IF(D8="Options Sell",[1]AB3!$M$13,IF(D8="Options Buy",[1]AB3!$M$19)))</f>
        <v xml:space="preserve">S : Entry </v>
      </c>
      <c r="M7" s="49" t="str">
        <f>IF(D8="Futures",[1]AB3!$N$7,IF(D8="Options Sell",[1]AB3!$N$13,IF(D8="Options Buy",[1]AB3!$N$19)))</f>
        <v xml:space="preserve"> - </v>
      </c>
      <c r="N7" s="46">
        <v>4.0000000000000001E-3</v>
      </c>
      <c r="O7" s="47">
        <v>1</v>
      </c>
      <c r="P7" s="46">
        <v>6.0000000000000001E-3</v>
      </c>
      <c r="Q7" s="47">
        <v>1</v>
      </c>
      <c r="R7" s="46">
        <v>8.0000000000000002E-3</v>
      </c>
      <c r="S7" s="47">
        <v>1</v>
      </c>
      <c r="T7" s="46">
        <v>0.01</v>
      </c>
      <c r="U7" s="47">
        <v>1</v>
      </c>
      <c r="V7" s="50" t="s">
        <v>51</v>
      </c>
      <c r="W7" s="47">
        <v>1</v>
      </c>
      <c r="X7" s="50" t="s">
        <v>52</v>
      </c>
      <c r="Y7" s="50" t="s">
        <v>52</v>
      </c>
      <c r="Z7" s="48"/>
      <c r="AA7" s="43" t="str">
        <f>IF(D8="Futures",[1]AB3!$AD$7,IF(D8="Options Sell",[1]AB3!$AD$13,IF(D8="Options Buy",[1]AB3!$AD$19)))</f>
        <v>Min</v>
      </c>
      <c r="AB7" s="43" t="str">
        <f>IF(D8="Futures",[1]AB3!$AE$7,IF(D8="Options Sell",[1]AB3!$AE$13,IF(D8="Options Buy",[1]AB3!$AE$19)))</f>
        <v>MSL &amp; TSL</v>
      </c>
      <c r="AC7" s="43" t="str">
        <f>IF(D8="Futures",[1]AB3!$AF$7,IF(D8="Options Sell",[1]AB3!$AF$13,IF(D8="Options Buy",[1]AB3!$AF$19)))</f>
        <v>Entry &amp; TRP</v>
      </c>
      <c r="AD7" s="48"/>
      <c r="AE7" s="43" t="str">
        <f>IF(D8="Futures",[1]AB3!$AH$7,IF(D8="Options Sell",[1]AB3!$AH$13,IF(D8="Options Buy",[1]AB3!$AH$19)))</f>
        <v>S : Entry</v>
      </c>
      <c r="AF7" s="43" t="str">
        <f>IF(D8="Futures",[1]AB3!$AI$7,IF(D8="Options Sell",[1]AB3!$AI$13,IF(D8="Options Buy",[1]AB3!$AI$19)))</f>
        <v xml:space="preserve"> + </v>
      </c>
      <c r="AG7" s="46">
        <v>4.0000000000000001E-3</v>
      </c>
      <c r="AH7" s="46">
        <v>0</v>
      </c>
      <c r="AI7" s="48"/>
      <c r="AJ7" s="43" t="str">
        <f>IF(D8="Futures",[1]AB3!$AO$7,IF(D8="Options Sell",[1]AB3!$AO$13,IF(D8="Options Buy",[1]AB3!$AO$19)))</f>
        <v xml:space="preserve"> + </v>
      </c>
      <c r="AK7" s="43" t="str">
        <f t="array" ref="AK7">IF(A6="","",IF(D8="Futures",CONCATENATE([1]AB3!$AP$7,INDEX([1]AB2!M:M,MATCH(D6,[1]AB2!B:B,0)),[1]AB3!$AQ$7),IF(D8="Options Sell",CONCATENATE([1]AB3!$AP$13,INDEX([1]AB2!L:L,MATCH(D6,[1]AB2!B:B,0)),[1]AB3!$AQ$13),IF(D8="Options Buy",CONCATENATE([1]AB3!$AP$19,INDEX([1]AB2!M:M,MATCH(D6,[1]AB2!B:B,0)),[1]AB3!$AQ$19)))))</f>
        <v>FUT : PRV : 2DHH</v>
      </c>
      <c r="AL7" s="51">
        <f>IF(AND(D8="Futures",AK7=[1]AB3!$AS$7),[1]AB3!$AS$7,IF(AND(D8="Options Sell",AK7=[1]AB3!$AS$13),[1]AB3!$AS$13,IF(AND(D8="Options Buy",AK7=[1]AB3!$AS$19),[1]AB3!$AS$19,I6)))</f>
        <v>5.0000000000000001E-4</v>
      </c>
      <c r="AM7" s="52">
        <f>J6</f>
        <v>5</v>
      </c>
      <c r="AN7" s="43" t="str">
        <f t="array" ref="AN7">IF(A6="","",IF(AND(OR(D10="1 &amp; APS",D10="2 &amp; APS",D10="3 &amp; APS",D10="4 &amp; APS",D10="5 &amp; APS"),D8="Futures"),CONCATENATE([1]AB3!$AP$7,INDEX([1]AB2!M:M,MATCH(D6,[1]AB2!B:B,0)),[1]AB3!$AQ$7),IF(AND(OR(D10="1 &amp; APS",D10="2 &amp; APS",D10="3 &amp; APS",D10="4 &amp; APS",D10="5 &amp; APS"),D8="Options Sell"),CONCATENATE([1]AB3!$AP$13,INDEX([1]AB2!L:L,MATCH(D6,[1]AB2!B:B,0)),[1]AB3!$AQ$13),IF(AND(OR(D10="1 &amp; APS",D10="2 &amp; APS",D10="3 &amp; APS",D10="4 &amp; APS",D10="5 &amp; APS"),D8="Options Buy"),CONCATENATE([1]AB3!$AP$19,INDEX([1]AB2!M:M,MATCH(D6,[1]AB2!B:B,0)),[1]AB3!$AQ$19),[1]AB3!$AR$6))))</f>
        <v>FUT : PRV : 2DHH</v>
      </c>
      <c r="AO7" s="51">
        <f>IF(AND(D8="Futures",AN7=[1]AB3!$AU$7),[1]AB3!$AU$7,IF(AND(D8="Options Sell",AN7=[1]AB3!$AU$13),[1]AB3!$AU$13,IF(AND(D8="Options Buy",AN7=[1]AB3!$AU$19),[1]AB3!$AU$19,I6)))</f>
        <v>5.0000000000000001E-4</v>
      </c>
      <c r="AP7" s="52">
        <f t="shared" si="0"/>
        <v>4</v>
      </c>
      <c r="AQ7" s="43" t="str">
        <f t="array" ref="AQ7">IF(A6="","",IF(AND(OR(D10="2 &amp; APS",D10="3 &amp; APS",D10="4 &amp; APS",D10="5 &amp; APS"),D8="Futures"),CONCATENATE([1]AB3!$AP$7,INDEX([1]AB2!M:M,MATCH(D6,[1]AB2!B:B,0)),[1]AB3!$AQ$7),IF(AND(OR(D10="2 &amp; APS",D10="3 &amp; APS",D10="4 &amp; APS",D10="5 &amp; APS"),D8="Options Sell"),CONCATENATE([1]AB3!$AP$13,INDEX([1]AB2!L:L,MATCH(D6,[1]AB2!B:B,0)),[1]AB3!$AQ$13),IF(AND(OR(D10="2 &amp; APS",D10="3 &amp; APS",D10="4 &amp; APS",D10="5 &amp; APS"),D8="Options Buy"),CONCATENATE([1]AB3!$AP$19,INDEX([1]AB2!M:M,MATCH(D6,[1]AB2!B:B,0)),[1]AB3!$AQ$19),[1]AB3!$AR$6))))</f>
        <v>FUT : PRV : 2DHH</v>
      </c>
      <c r="AR7" s="51">
        <f>IF(AND(D8="Futures",AQ7=[1]AB3!$AW$7),[1]AB3!$AW$7,IF(AND(D8="Options Sell",AQ7=[1]AB3!$AW$13),[1]AB3!$AW$13,IF(AND(D8="Options Buy",AQ7=[1]AB3!$AW$19),[1]AB3!$AW$19,I6)))</f>
        <v>5.0000000000000001E-4</v>
      </c>
      <c r="AS7" s="52">
        <f t="shared" si="1"/>
        <v>3</v>
      </c>
      <c r="AT7" s="43" t="str">
        <f t="array" ref="AT7">IF(A6="","",IF(AND(OR(D10="3 &amp; APS",D10="4 &amp; APS",D10="5 &amp; APS"),D8="Futures"),CONCATENATE([1]AB3!$AP$7,INDEX([1]AB2!M:M,MATCH(D6,[1]AB2!B:B,0)),[1]AB3!$AQ$7),IF(AND(OR(D10="3 &amp; APS",D10="4 &amp; APS",D10="5 &amp; APS"),D8="Options Sell"),CONCATENATE([1]AB3!$AP$13,INDEX([1]AB2!L:L,MATCH(D6,[1]AB2!B:B,0)),[1]AB3!$AQ$13),IF(AND(OR(D10="3 &amp; APS",D10="4 &amp; APS",D10="5 &amp; APS"),D8="Options Buy"),CONCATENATE([1]AB3!$AP$19,INDEX([1]AB2!M:M,MATCH(D6,[1]AB2!B:B,0)),[1]AB3!$AQ$19),[1]AB3!$AR$6))))</f>
        <v>FUT : PRV : 2DHH</v>
      </c>
      <c r="AU7" s="51">
        <f>IF(AND(D8="Futures",AT7=[1]AB3!$AY$7),[1]AB3!$AY$7,IF(AND(D8="Options Sell",AT7=[1]AB3!$AY$13),[1]AB3!$AY$13,IF(AND(D8="Options Buy",AT7=[1]AB3!$AY$19),[1]AB3!$AY$19,I6)))</f>
        <v>5.0000000000000001E-4</v>
      </c>
      <c r="AV7" s="52">
        <f t="shared" si="2"/>
        <v>2</v>
      </c>
      <c r="AW7" s="43" t="str">
        <f t="array" ref="AW7">IF(A6="","",IF(AND(OR(D10="4 &amp; APS",D10="5 &amp; APS"),D8="Futures"),CONCATENATE([1]AB3!$AP$7,INDEX([1]AB2!M:M,MATCH(D6,[1]AB2!B:B,0)),[1]AB3!$AQ$7),IF(AND(OR(D10="4 &amp; APS",D10="5 &amp; APS"),D8="Options Sell"),CONCATENATE([1]AB3!$AP$13,INDEX([1]AB2!L:L,MATCH(D6,[1]AB2!B:B,0)),[1]AB3!$AQ$13),IF(AND(OR(D10="4 &amp; APS",D10="5 &amp; APS"),D8="Options Buy"),CONCATENATE([1]AB3!$AP$19,INDEX([1]AB2!M:M,MATCH(D6,[1]AB2!B:B,0)),[1]AB3!$AQ$19),[1]AB3!$AR$6))))</f>
        <v>FUT : PRV : 2DHH</v>
      </c>
      <c r="AX7" s="51">
        <f>IF(AND(D8="Futures",AW7=[1]AB3!$BA$7),[1]AB3!$BA$7,IF(AND(D8="Options Sell",AW7=[1]AB3!$BA$13),[1]AB3!$BA$13,IF(AND(D8="Options Buy",AW7=[1]AB3!$BA$19),[1]AB3!$BA$19,I6)))</f>
        <v>5.0000000000000001E-4</v>
      </c>
      <c r="AY7" s="52">
        <f t="shared" si="3"/>
        <v>1</v>
      </c>
      <c r="AZ7" s="51">
        <f t="array" ref="AZ7">IF(A6="","",IF(AND(D10="5 &amp; APS",D8="Futures"),CONCATENATE([1]AB3!$AP$7,INDEX([1]AB2!M:M,MATCH(D6,[1]AB2!B:B,0)),[1]AB3!$AQ$7),IF(AND(D10="5 &amp; APS",D8="Options Sell"),CONCATENATE([1]AB3!$AP$13,INDEX([1]AB2!L:L,MATCH(D6,[1]AB2!B:B,0)),[1]AB3!$AQ$13),IF(AND(D10="5 &amp; APS",D8="Options Buy"),CONCATENATE([1]AB3!$AP$19,INDEX([1]AB2!M:M,MATCH(D6,[1]AB2!B:B,0)),[1]AB3!$AQ$19),[1]AB3!$AR$6))))</f>
        <v>0</v>
      </c>
      <c r="BA7" s="51">
        <f>IF(AND(D8="Futures",AZ7=[1]AB3!$BC$7),[1]AB3!$BC$7,IF(AND(D8="Options Sell",AZ7=[1]AB3!$BC$13),[1]AB3!$BC$13,IF(AND(D8="Options Buy",AZ7=[1]AB3!$BC$19),[1]AB3!$BC$19,I6)))</f>
        <v>0</v>
      </c>
      <c r="BB7" s="52">
        <f t="shared" si="4"/>
        <v>0</v>
      </c>
      <c r="BC7" s="53"/>
      <c r="BD7" s="54" t="str">
        <f>IF(D8="Futures",[1]AB3!$BE$7,IF(D8="Options Sell",[1]AB3!$BE$13,IF(D8="Options Buy",[1]AB3!$BE$19)))</f>
        <v xml:space="preserve"> RC. Time</v>
      </c>
      <c r="BE7" s="55">
        <f>IF(D8="Futures",BE9+([1]AB3!$BF$7/1440),IF(D8="Options Sell",BE9+([1]AB3!$BF$13/1440),IF(D8="Options Buy",BE9+([1]AB3!$BF$19/1440))))</f>
        <v>0.38540972222222225</v>
      </c>
      <c r="BF7" s="55">
        <f>IF(D8="Futures",BE9+([1]AB3!$BG$7/1440),IF(D8="Options Sell",BE9+([1]AB3!$BG$13/1440),IF(D8="Options Buy",BE9+([1]AB3!$BG$19/1440))))</f>
        <v>0.38540972222222225</v>
      </c>
      <c r="BG7" s="55" t="str">
        <f>IF(D8="Futures",[1]AB3!$BH$7,IF(D8="Options Sell",[1]AB3!$BH$7,IF(D8="Options Buy",[1]AB3!$BH$7)))</f>
        <v>N.A.</v>
      </c>
      <c r="BH7" s="56"/>
      <c r="BI7" s="32"/>
      <c r="BJ7" s="61" t="str">
        <f>IF(D8="Futures",[1]AB3!$BK$7,IF(D8="Options Sell",[1]AB3!$BK$13,IF(D8="Options Buy",[1]AB3!$BK$19)))</f>
        <v>Short</v>
      </c>
      <c r="BK7" s="46">
        <v>5.0000000000000001E-4</v>
      </c>
      <c r="BL7" s="46">
        <v>5.0000000000000001E-4</v>
      </c>
      <c r="BM7" s="57"/>
      <c r="BN7" s="32"/>
      <c r="BO7" s="61" t="str">
        <f>IF(D8="Futures",[1]AB3!$BP$7,IF(D8="Options Sell",[1]AB3!$BP$13,IF(D8="Options Buy",[1]AB3!$BP$19)))</f>
        <v>Put</v>
      </c>
      <c r="BP7" s="43" t="str">
        <f t="array" ref="BP7">IF(A6="","",IF(D8="Futures","",IF(D8="EQUITY","",IF(D8="Options Sell",CONCATENATE([1]AB3!$BQ$13,INDEX([1]AB2!I:I,MATCH(A6,[1]AB2!A:A,0)),[1]AB3!$BR$13),IF(D8="Options Buy",CONCATENATE([1]AB3!$BQ$19,INDEX([1]AB2!I:I,MATCH(A6,[1]AB2!A:A,0)),[1]AB3!$BR$19))))))</f>
        <v/>
      </c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9"/>
      <c r="CL7" s="49">
        <f>IF(D8="Futures",[1]AB3!$O$7,IF(D8="Options Sell",[1]AB3!$O$13,IF(D8="Options Buy",[1]AB3!$O$19)))</f>
        <v>0</v>
      </c>
      <c r="CM7" s="43">
        <f>IF(D8="Futures",[1]AB3!$P$7,IF(D8="Options Sell",[1]AB3!$P$13,IF(D8="Options Buy",[1]AB3!$P$19)))</f>
        <v>0</v>
      </c>
      <c r="CN7" s="59"/>
      <c r="CO7" s="43">
        <f>IF(D8="Futures",[1]AB3!$AJ$7,IF(D8="Options Sell",[1]AB3!$AJ$13,IF(D8="Options Buy",[1]AB3!$AJ$19)))</f>
        <v>0</v>
      </c>
      <c r="CP7" s="43">
        <f>IF(D8="Futures",[1]AB3!$AK$7,IF(D8="Options Sell",[1]AB3!$AK$13,IF(D8="Options Buy",[1]AB3!$AK$19)))</f>
        <v>0</v>
      </c>
      <c r="CQ7" s="59"/>
      <c r="CR7" s="49" t="b">
        <f>IF(I8="Futures",[1]AB3!$O$7,IF(I8="Options Sell",[1]AB3!$O$13,IF(I8="Options Buy",[1]AB3!$O$19)))</f>
        <v>0</v>
      </c>
      <c r="CS7" s="49" t="b">
        <f>IF(J8="Futures",[1]AB3!$O$7,IF(J8="Options Sell",[1]AB3!$O$13,IF(J8="Options Buy",[1]AB3!$O$19)))</f>
        <v>0</v>
      </c>
      <c r="CT7" s="59"/>
      <c r="CU7" s="43"/>
      <c r="CV7" s="59"/>
      <c r="CW7" s="59"/>
    </row>
    <row r="8" spans="1:101" ht="16.5" customHeight="1" x14ac:dyDescent="0.2">
      <c r="A8" s="60"/>
      <c r="B8" s="41" t="str">
        <f>CONCATENATE(D6,IF(D8="Futures",[1]AB3!$B$8,IF(D8="Options Sell",[1]AB3!$B$14,IF(D8="Options Buy",[1]AB3!$B$20))))</f>
        <v>S1C</v>
      </c>
      <c r="C8" s="42" t="str">
        <f>IF(D8="Futures",[1]AB3!$C$8,IF(D8="Options Sell",[1]AB3!$C$14,IF(D8="Options Buy",[1]AB3!$C$20)))</f>
        <v>Segment</v>
      </c>
      <c r="D8" s="43" t="str">
        <f t="array" ref="D8">IF(A6="","",INDEX([1]AB2!C:C,MATCH(D6,[1]AB2!B:B,0)))</f>
        <v>FUTURES</v>
      </c>
      <c r="E8" s="42" t="str">
        <f>IF(D8="Futures",[1]AB3!$E$8,IF(D8="Options Sell",[1]AB3!$E$14,IF(D8="Options Buy",[1]AB3!$E$20)))</f>
        <v>Contract</v>
      </c>
      <c r="F8" s="43" t="str">
        <f t="array" ref="F8">IF(A6="","",INDEX([1]AB2!F:F,MATCH(D6,[1]AB2!B:B,0)))</f>
        <v>MONTHLY</v>
      </c>
      <c r="G8" s="62"/>
      <c r="H8" s="62"/>
      <c r="I8" s="63"/>
      <c r="J8" s="64"/>
      <c r="K8" s="48"/>
      <c r="L8" s="62"/>
      <c r="M8" s="65"/>
      <c r="N8" s="63"/>
      <c r="O8" s="64"/>
      <c r="P8" s="63"/>
      <c r="Q8" s="64"/>
      <c r="R8" s="63"/>
      <c r="S8" s="64"/>
      <c r="T8" s="63"/>
      <c r="U8" s="64"/>
      <c r="V8" s="63"/>
      <c r="W8" s="64"/>
      <c r="X8" s="63"/>
      <c r="Y8" s="63"/>
      <c r="Z8" s="48"/>
      <c r="AA8" s="62"/>
      <c r="AB8" s="62"/>
      <c r="AC8" s="62"/>
      <c r="AD8" s="48"/>
      <c r="AE8" s="62"/>
      <c r="AF8" s="62"/>
      <c r="AG8" s="63"/>
      <c r="AH8" s="63"/>
      <c r="AI8" s="48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53"/>
      <c r="BD8" s="57"/>
      <c r="BE8" s="57"/>
      <c r="BF8" s="57"/>
      <c r="BG8" s="57"/>
      <c r="BH8" s="57"/>
      <c r="BI8" s="66"/>
      <c r="BJ8" s="62"/>
      <c r="BK8" s="63"/>
      <c r="BL8" s="63"/>
      <c r="BM8" s="57"/>
      <c r="BN8" s="66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59"/>
      <c r="CL8" s="65"/>
      <c r="CM8" s="62"/>
      <c r="CN8" s="59"/>
      <c r="CO8" s="62"/>
      <c r="CP8" s="62"/>
      <c r="CQ8" s="59"/>
      <c r="CR8" s="65"/>
      <c r="CS8" s="65"/>
      <c r="CT8" s="59"/>
      <c r="CU8" s="62"/>
      <c r="CV8" s="59"/>
      <c r="CW8" s="59"/>
    </row>
    <row r="9" spans="1:101" ht="27.75" customHeight="1" x14ac:dyDescent="0.2">
      <c r="A9" s="60"/>
      <c r="B9" s="41" t="str">
        <f>CONCATENATE(D6,IF(D8="Futures",[1]AB3!$B$9,IF(D8="Options Sell",[1]AB3!$B$15,IF(D8="Options Buy",[1]AB3!$B$21))))</f>
        <v>S1D</v>
      </c>
      <c r="C9" s="42" t="str">
        <f>IF(D8="Futures",[1]AB3!$C$9,IF(D8="Options Sell",[1]AB3!$C$15,IF(D8="Options Buy",[1]AB3!$C$21)))</f>
        <v>Symbol</v>
      </c>
      <c r="D9" s="43" t="str">
        <f t="array" ref="D9">IF(A6="","",INDEX([1]AB2!E:E,MATCH(D6,[1]AB2!B:B,0)))</f>
        <v>USDINR</v>
      </c>
      <c r="E9" s="44" t="str">
        <f>IF(D8="Futures",[1]AB3!$E$9,IF(D8="Options Sell",[1]AB3!$E$15,IF(D8="Options Buy",[1]AB3!$E$21)))</f>
        <v>Bear / 
Bear CF</v>
      </c>
      <c r="F9" s="45" t="str">
        <f>IF(D8="Futures",[1]AB3!$F$9,IF(D8="Options Sell",[1]AB3!$F$15,IF(D8="Options Buy",[1]AB3!$F$21)))</f>
        <v>Long</v>
      </c>
      <c r="G9" s="43" t="str">
        <f t="array" ref="G9">IF(A6="","",IF(D8="Futures",CONCATENATE([1]AB3!$G$9,INDEX([1]AB2!J:J,MATCH(D6,[1]AB2!B:B,0)),[1]AB3!$H$9),IF(D8="Options Sell",CONCATENATE([1]AB3!$G$15,INDEX([1]AB2!I:I,MATCH(D6,[1]AB2!B:B,0)),[1]AB3!$H$15),IF(D8="Options Buy",CONCATENATE([1]AB3!$G$21,INDEX([1]AB2!J:J,MATCH(D6,[1]AB2!B:B,0)),[1]AB3!$H$21)))))</f>
        <v>FUT : PRV : 2DHH</v>
      </c>
      <c r="H9" s="43" t="str">
        <f>IF(D8="Futures",[1]AB3!$I$9,IF(D8="Options Sell",[1]AB3!$I$15,IF(D8="Options Buy",[1]AB3!$I$21)))</f>
        <v xml:space="preserve"> + </v>
      </c>
      <c r="I9" s="46">
        <v>5.0000000000000001E-4</v>
      </c>
      <c r="J9" s="47">
        <v>5</v>
      </c>
      <c r="K9" s="48"/>
      <c r="L9" s="43" t="str">
        <f>IF(D8="Futures",[1]AB3!$M$9,IF(D8="Options Sell",[1]AB3!$M$15,IF(D8="Options Buy",[1]AB3!$M$21)))</f>
        <v xml:space="preserve">L : Entry </v>
      </c>
      <c r="M9" s="49" t="str">
        <f>IF(D8="Futures",[1]AB3!$N$9,IF(D8="Options Sell",[1]AB3!$N$15,IF(D8="Options Buy",[1]AB3!$N$21)))</f>
        <v xml:space="preserve"> + </v>
      </c>
      <c r="N9" s="46">
        <v>4.0000000000000001E-3</v>
      </c>
      <c r="O9" s="47">
        <v>1</v>
      </c>
      <c r="P9" s="46">
        <v>6.0000000000000001E-3</v>
      </c>
      <c r="Q9" s="47">
        <v>1</v>
      </c>
      <c r="R9" s="46">
        <v>8.0000000000000002E-3</v>
      </c>
      <c r="S9" s="47">
        <v>1</v>
      </c>
      <c r="T9" s="46">
        <v>0.01</v>
      </c>
      <c r="U9" s="47">
        <v>1</v>
      </c>
      <c r="V9" s="50" t="s">
        <v>51</v>
      </c>
      <c r="W9" s="47">
        <v>1</v>
      </c>
      <c r="X9" s="50" t="s">
        <v>52</v>
      </c>
      <c r="Y9" s="50" t="s">
        <v>52</v>
      </c>
      <c r="Z9" s="48"/>
      <c r="AA9" s="43" t="str">
        <f>IF(D8="Futures",[1]AB3!$AD$9,IF(D8="Options Sell",[1]AB3!$AD$15,IF(D8="Options Buy",[1]AB3!$AD$21)))</f>
        <v>Max</v>
      </c>
      <c r="AB9" s="43" t="str">
        <f>IF(D8="Futures",[1]AB3!$AE$9,IF(D8="Options Sell",[1]AB3!$AE$15,IF(D8="Options Buy",[1]AB3!$AE$21)))</f>
        <v>MSL &amp; TSL</v>
      </c>
      <c r="AC9" s="43" t="str">
        <f>IF(D8="Futures",[1]AB3!$AF$9,IF(D8="Options Sell",[1]AB3!$AF$15,IF(D8="Options Buy",[1]AB3!$AF$21)))</f>
        <v>Entry &amp; TRP</v>
      </c>
      <c r="AD9" s="48"/>
      <c r="AE9" s="43" t="str">
        <f>IF(D8="Futures",[1]AB3!$AH$9,IF(D8="Options Sell",[1]AB3!$AH$15,IF(D8="Options Buy",[1]AB3!$AH$21)))</f>
        <v>L : Entry</v>
      </c>
      <c r="AF9" s="43" t="str">
        <f>IF(D8="Futures",[1]AB3!$AI$9,IF(D8="Options Sell",[1]AB3!$AI$15,IF(D8="Options Buy",[1]AB3!$AI$21)))</f>
        <v xml:space="preserve"> - </v>
      </c>
      <c r="AG9" s="46">
        <v>4.0000000000000001E-3</v>
      </c>
      <c r="AH9" s="46">
        <v>0</v>
      </c>
      <c r="AI9" s="48"/>
      <c r="AJ9" s="43" t="str">
        <f>IF(D8="Futures",[1]AB3!$AO$9,IF(D8="Options Sell",[1]AB3!$AO$15,IF(D8="Options Buy",[1]AB3!$AO$21)))</f>
        <v xml:space="preserve"> - </v>
      </c>
      <c r="AK9" s="43" t="str">
        <f t="array" ref="AK9">IF(A6="","",IF(D8="Futures",CONCATENATE([1]AB3!$AP$9,INDEX([1]AB2!M:M,MATCH(D6,[1]AB2!B:B,0)),[1]AB3!$AQ$9),IF(D8="Options Sell",CONCATENATE([1]AB3!$AP$15,INDEX([1]AB2!L:L,MATCH(D6,[1]AB2!B:B,0)),[1]AB3!$AQ$15),IF(D8="Options Buy",CONCATENATE([1]AB3!$AP$21,INDEX([1]AB2!M:M,MATCH(D6,[1]AB2!B:B,0)),[1]AB3!$AQ$21)))))</f>
        <v>FUT : PRV : 2DLL</v>
      </c>
      <c r="AL9" s="51">
        <f>IF(AND(D8="Futures",AK9=[1]AB3!$AS$9),[1]AB3!$AS$9,IF(AND(D8="Options Sell",AK9=[1]AB3!$AS$15),[1]AB3!$AS$15,IF(AND(D8="Options Buy",AK9=[1]AB3!$AS$21),[1]AB3!$AS$21,I10)))</f>
        <v>5.0000000000000001E-4</v>
      </c>
      <c r="AM9" s="52">
        <f>J10</f>
        <v>5</v>
      </c>
      <c r="AN9" s="43" t="str">
        <f t="array" ref="AN9">IF(A6="","",IF(AND(OR(D10="1 &amp; APS",D10="2 &amp; APS",D10="3 &amp; APS",D10="4 &amp; APS",D10="5 &amp; APS"),D8="Futures"),CONCATENATE([1]AB3!$AP$9,INDEX([1]AB2!M:M,MATCH(D6,[1]AB2!B:B,0)),[1]AB3!$AQ$9),IF(AND(OR(D10="1 &amp; APS",D10="2 &amp; APS",D10="3 &amp; APS",D10="4 &amp; APS",D10="5 &amp; APS"),D8="Options Sell"),CONCATENATE([1]AB3!$AP$15,INDEX([1]AB2!L:L,MATCH(D6,[1]AB2!B:B,0)),[1]AB3!$AQ$15),IF(AND(OR(D10="1 &amp; APS",D10="2 &amp; APS",D10="3 &amp; APS",D10="4 &amp; APS",D10="5 &amp; APS"),D8="Options Buy"),CONCATENATE([1]AB3!$AP$21,INDEX([1]AB2!M:M,MATCH(D6,[1]AB2!B:B,0)),[1]AB3!$AQ$21),[1]AB3!$AR$6))))</f>
        <v>FUT : PRV : 2DLL</v>
      </c>
      <c r="AO9" s="51">
        <f>IF(AND(D8="Futures",AN9=[1]AB3!$AU$9),[1]AB3!$AU$9,IF(AND(D8="Options Sell",AN9=[1]AB3!$AU$15),[1]AB3!$AU$15,IF(AND(D8="Options Buy",AN9=[1]AB3!$AU$21),[1]AB3!$AU$21,I10)))</f>
        <v>5.0000000000000001E-4</v>
      </c>
      <c r="AP9" s="52">
        <f t="shared" ref="AP9:AP10" si="5">AM9-O9</f>
        <v>4</v>
      </c>
      <c r="AQ9" s="43" t="str">
        <f t="array" ref="AQ9">IF(A6="","",IF(AND(OR(D10="2 &amp; APS",D10="3 &amp; APS",D10="4 &amp; APS",D10="5 &amp; APS"),D8="Futures"),CONCATENATE([1]AB3!$AP$9,INDEX([1]AB2!M:M,MATCH(D6,[1]AB2!B:B,0)),[1]AB3!$AQ$9),IF(AND(OR(D10="2 &amp; APS",D10="3 &amp; APS",D10="4 &amp; APS",D10="5 &amp; APS"),D8="Options Sell"),CONCATENATE([1]AB3!$AP$15,INDEX([1]AB2!L:L,MATCH(D6,[1]AB2!B:B,0)),[1]AB3!$AQ$15),IF(AND(OR(D10="2 &amp; APS",D10="3 &amp; APS",D10="4 &amp; APS",D10="5 &amp; APS"),D8="Options Buy"),CONCATENATE([1]AB3!$AP$21,INDEX([1]AB2!M:M,MATCH(D6,[1]AB2!B:B,0)),[1]AB3!$AQ$21),[1]AB3!$AR$6))))</f>
        <v>FUT : PRV : 2DLL</v>
      </c>
      <c r="AR9" s="51">
        <f>IF(AND(D8="Futures",AQ9=[1]AB3!$AW$9),[1]AB3!$AW$9,IF(AND(D8="Options Sell",AQ9=[1]AB3!$AW$15),[1]AB3!$AW$15,IF(AND(D8="Options Buy",AQ9=[1]AB3!$AW$21),[1]AB3!$AW$21,I10)))</f>
        <v>5.0000000000000001E-4</v>
      </c>
      <c r="AS9" s="52">
        <f t="shared" ref="AS9:AS10" si="6">AP9-Q9</f>
        <v>3</v>
      </c>
      <c r="AT9" s="43" t="str">
        <f t="array" ref="AT9">IF(A6="","",IF(AND(OR(D10="3 &amp; APS",D10="4 &amp; APS",D10="5 &amp; APS"),D8="Futures"),CONCATENATE([1]AB3!$AP$9,INDEX([1]AB2!M:M,MATCH(D6,[1]AB2!B:B,0)),[1]AB3!$AQ$9),IF(AND(OR(D10="3 &amp; APS",D10="4 &amp; APS",D10="5 &amp; APS"),D8="Options Sell"),CONCATENATE([1]AB3!$AP$15,INDEX([1]AB2!L:L,MATCH(D6,[1]AB2!B:B,0)),[1]AB3!$AQ$15),IF(AND(OR(D10="3 &amp; APS",D10="4 &amp; APS",D10="5 &amp; APS"),D8="Options Buy"),CONCATENATE([1]AB3!$AP$21,INDEX([1]AB2!M:M,MATCH(D6,[1]AB2!B:B,0)),[1]AB3!$AQ$21),[1]AB3!$AR$6))))</f>
        <v>FUT : PRV : 2DLL</v>
      </c>
      <c r="AU9" s="51">
        <f>IF(AND(D8="Futures",AT9=[1]AB3!$AY$9),[1]AB3!$AY$9,IF(AND(D8="Options Sell",AT9=[1]AB3!$AY$15),[1]AB3!$AY$15,IF(AND(D8="Options Buy",AT9=[1]AB3!$AY$21),[1]AB3!$AY$21,I10)))</f>
        <v>5.0000000000000001E-4</v>
      </c>
      <c r="AV9" s="52">
        <f t="shared" ref="AV9:AV10" si="7">AS9-S9</f>
        <v>2</v>
      </c>
      <c r="AW9" s="43" t="str">
        <f t="array" ref="AW9">IF(A6="","",IF(AND(OR(D10="4 &amp; APS",D10="5 &amp; APS"),D8="Futures"),CONCATENATE([1]AB3!$AP$9,INDEX([1]AB2!M:M,MATCH(D6,[1]AB2!B:B,0)),[1]AB3!$AQ$9),IF(AND(OR(D10="4 &amp; APS",D10="5 &amp; APS"),D8="Options Sell"),CONCATENATE([1]AB3!$AP$15,INDEX([1]AB2!L:L,MATCH(D6,[1]AB2!B:B,0)),[1]AB3!$AQ$15),IF(AND(OR(D10="4 &amp; APS",D10="5 &amp; APS"),D8="Options Buy"),CONCATENATE([1]AB3!$AP$21,INDEX([1]AB2!M:M,MATCH(D6,[1]AB2!B:B,0)),[1]AB3!$AQ$21),[1]AB3!$AR$6))))</f>
        <v>FUT : PRV : 2DLL</v>
      </c>
      <c r="AX9" s="51">
        <f>IF(AND(D8="Futures",AW9=[1]AB3!$BA$9),[1]AB3!$BA$9,IF(AND(D8="Options Sell",AW9=[1]AB3!$BA$15),[1]AB3!$BA$15,IF(AND(D8="Options Buy",AW9=[1]AB3!$BA$21),[1]AB3!$BA$21,I10)))</f>
        <v>5.0000000000000001E-4</v>
      </c>
      <c r="AY9" s="52">
        <f t="shared" ref="AY9:AY10" si="8">AV9-S9</f>
        <v>1</v>
      </c>
      <c r="AZ9" s="51">
        <f t="array" ref="AZ9">IF(A6="","",IF(AND(D10="5 &amp; APS",D8="Futures"),CONCATENATE([1]AB3!$AP$9,INDEX([1]AB2!M:M,MATCH(D6,[1]AB2!B:B,0)),[1]AB3!$AQ$9),IF(AND(D10="5 &amp; APS",D8="Options Sell"),CONCATENATE([1]AB3!$AP$15,INDEX([1]AB2!L:L,MATCH(D6,[1]AB2!B:B,0)),[1]AB3!$AQ$15),IF(AND(D10="5 &amp; APS",D8="Options Buy"),CONCATENATE([1]AB3!$AP$21,INDEX([1]AB2!M:M,MATCH(D6,[1]AB2!B:B,0)),[1]AB3!$AQ$21),[1]AB3!$AR$6))))</f>
        <v>0</v>
      </c>
      <c r="BA9" s="51">
        <f>IF(AND(D8="Futures",AZ9=[1]AB3!$BC$9),[1]AB3!$BC$9,IF(AND(D8="Options Sell",AZ9=[1]AB3!$BC$15),[1]AB3!$BC$15,IF(AND(D8="Options Buy",AZ9=[1]AB3!$BC$21),[1]AB3!$BC$21,I10)))</f>
        <v>0</v>
      </c>
      <c r="BB9" s="52">
        <f t="shared" ref="BB9:BB10" si="9">AY9-W9</f>
        <v>0</v>
      </c>
      <c r="BC9" s="53"/>
      <c r="BD9" s="54" t="str">
        <f>IF(D8="Futures",[1]AB3!$BE$9,IF(D8="Options Sell",[1]AB3!$BE$15,IF(D8="Options Buy",[1]AB3!$BE$21)))</f>
        <v>Market Start Time</v>
      </c>
      <c r="BE9" s="67">
        <f t="array" ref="BE9">IF(D6="","",INDEX([1]AB2!AG:AG,MATCH(D6,[1]AB2!B:B,0)))</f>
        <v>0.375</v>
      </c>
      <c r="BF9" s="11"/>
      <c r="BG9" s="12"/>
      <c r="BH9" s="57"/>
      <c r="BI9" s="68" t="str">
        <f>IF(D8="Futures",[1]AB3!$BJ$9,IF(D8="Options Sell",[1]AB3!$BJ$15,IF(D8="Options Buy",[1]AB3!$BJ$21)))</f>
        <v>Bear / 
Bear CF</v>
      </c>
      <c r="BJ9" s="45" t="str">
        <f>IF(D8="Futures",[1]AB3!$BK$9,IF(D8="Options Sell",[1]AB3!$BK$15,IF(D8="Options Buy",[1]AB3!$BK$21)))</f>
        <v>Long</v>
      </c>
      <c r="BK9" s="46">
        <v>5.0000000000000001E-4</v>
      </c>
      <c r="BL9" s="46">
        <v>5.0000000000000001E-4</v>
      </c>
      <c r="BM9" s="57"/>
      <c r="BN9" s="68" t="str">
        <f>IF(D8="Futures",[1]AB3!$BO$9,IF(D8="Options Sell",[1]AB3!$BO$15,IF(D8="Options Buy",[1]AB3!$BO$21)))</f>
        <v>Bear | 
Bear CF</v>
      </c>
      <c r="BO9" s="45" t="str">
        <f>IF(D8="Futures",[1]AB3!$BP$9,IF(D8="Options Sell",[1]AB3!$BP$15,IF(D8="Options Buy",[1]AB3!$BP$21)))</f>
        <v>Call</v>
      </c>
      <c r="BP9" s="43" t="str">
        <f t="array" ref="BP9">IF(A6="","",IF(D8="Futures","",IF(D8="EQUITY","",IF(D8="Options Sell",CONCATENATE([1]AB3!$BQ$15,INDEX([1]AB2!I:I,MATCH(A6,[1]AB2!A:A,0)),[1]AB3!$BR$15),IF(D8="Options Buy",CONCATENATE([1]AB3!$BQ$21,INDEX([1]AB2!I:I,MATCH(A6,[1]AB2!A:A,0)),[1]AB3!$BR$21))))))</f>
        <v/>
      </c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9"/>
      <c r="CL9" s="49">
        <f>IF(D8="Futures",[1]AB3!$O$9,IF(D8="Options Sell",[1]AB3!$O$15,IF(D8="Options Buy",[1]AB3!$O$21)))</f>
        <v>0</v>
      </c>
      <c r="CM9" s="43">
        <f>IF(D8="Futures",[1]AB3!$P$9,IF(D8="Options Sell",[1]AB3!$P$15,IF(D8="Options Buy",[1]AB3!$P$21)))</f>
        <v>0</v>
      </c>
      <c r="CN9" s="59"/>
      <c r="CO9" s="43">
        <f>IF(D8="Futures",[1]AB3!$AJ$9,IF(D8="Options Sell",[1]AB3!$AJ$15,IF(D8="Options Buy",[1]AB3!$AJ$21)))</f>
        <v>0</v>
      </c>
      <c r="CP9" s="43">
        <f>IF(D8="Futures",[1]AB3!$AK$9,IF(D8="Options Sell",[1]AB3!$AK$15,IF(D8="Options Buy",[1]AB3!$AK$21)))</f>
        <v>0</v>
      </c>
      <c r="CQ9" s="59"/>
      <c r="CR9" s="49" t="b">
        <f>IF(I8="Futures",[1]AB3!$O$9,IF(I8="Options Sell",[1]AB3!$O$15,IF(I8="Options Buy",[1]AB3!$O$21)))</f>
        <v>0</v>
      </c>
      <c r="CS9" s="49" t="b">
        <f>IF(J8="Futures",[1]AB3!$O$9,IF(J8="Options Sell",[1]AB3!$O$15,IF(J8="Options Buy",[1]AB3!$O$21)))</f>
        <v>0</v>
      </c>
      <c r="CT9" s="59"/>
      <c r="CU9" s="43"/>
      <c r="CV9" s="59"/>
      <c r="CW9" s="59"/>
    </row>
    <row r="10" spans="1:101" ht="27" customHeight="1" x14ac:dyDescent="0.2">
      <c r="A10" s="32"/>
      <c r="B10" s="41" t="str">
        <f>CONCATENATE(D6,IF(D8="Futures",[1]AB3!$B$10,IF(D8="Options Sell",[1]AB3!$B$16,IF(D8="Options Buy",[1]AB3!$B$22))))</f>
        <v>S1E</v>
      </c>
      <c r="C10" s="42" t="str">
        <f>IF(D8="Futures",[1]AB3!$C$10,IF(D8="Options Sell",[1]AB3!$C$16,IF(D8="Options Buy",[1]AB3!$C$22)))</f>
        <v>No. of Targets</v>
      </c>
      <c r="D10" s="43" t="str">
        <f t="array" ref="D10">IF(A6="","",INDEX([1]AB2!K:K,MATCH(D6,[1]AB2!B:B,0)))</f>
        <v>4 &amp; APS</v>
      </c>
      <c r="E10" s="32"/>
      <c r="F10" s="61" t="str">
        <f>IF(D8="Futures",[1]AB3!$F$10,IF(D8="Options Sell",[1]AB3!$F$16,IF(D8="Options Buy",[1]AB3!$F$22)))</f>
        <v>Short</v>
      </c>
      <c r="G10" s="43" t="str">
        <f t="array" ref="G10">(IF(A6="","",IF(D8="Futures",CONCATENATE([1]AB3!$G$10,INDEX([1]AB2!I:I,MATCH(D6,[1]AB2!B:B,0)),[1]AB3!$H$10),IF(D8="Options Sell",CONCATENATE([1]AB3!$G$16,INDEX([1]AB2!J:J,MATCH(D6,[1]AB2!B:B,0)),[1]AB3!$H$16),IF(D8="Options Buy",CONCATENATE([1]AB3!$G$22,INDEX([1]AB2!I:I,MATCH(D6,[1]AB2!B:B,0)),[1]AB3!$H$22))))))</f>
        <v>FUT : PRV : 2DLL</v>
      </c>
      <c r="H10" s="43" t="str">
        <f>IF(D8="Futures",[1]AB3!$I$10,IF(D8="Options Sell",[1]AB3!$I$16,IF(D8="Options Buy",[1]AB3!$I$22)))</f>
        <v xml:space="preserve"> - </v>
      </c>
      <c r="I10" s="46">
        <v>5.0000000000000001E-4</v>
      </c>
      <c r="J10" s="47">
        <v>5</v>
      </c>
      <c r="K10" s="48"/>
      <c r="L10" s="43" t="str">
        <f>IF(D8="Futures",[1]AB3!$M$10,IF(D8="Options Sell",[1]AB3!$M$16,IF(D8="Options Buy",[1]AB3!$M$22)))</f>
        <v xml:space="preserve">S : Entry </v>
      </c>
      <c r="M10" s="49" t="str">
        <f>IF(D8="Futures",[1]AB3!$N$10,IF(D8="Options Sell",[1]AB3!$N$16,IF(D8="Options Buy",[1]AB3!$N$22)))</f>
        <v xml:space="preserve"> - </v>
      </c>
      <c r="N10" s="46">
        <v>4.0000000000000001E-3</v>
      </c>
      <c r="O10" s="47">
        <v>1</v>
      </c>
      <c r="P10" s="46">
        <v>6.0000000000000001E-3</v>
      </c>
      <c r="Q10" s="47">
        <v>1</v>
      </c>
      <c r="R10" s="46">
        <v>8.0000000000000002E-3</v>
      </c>
      <c r="S10" s="47">
        <v>1</v>
      </c>
      <c r="T10" s="46">
        <v>0.01</v>
      </c>
      <c r="U10" s="47">
        <v>1</v>
      </c>
      <c r="V10" s="50" t="s">
        <v>51</v>
      </c>
      <c r="W10" s="47">
        <v>1</v>
      </c>
      <c r="X10" s="50" t="s">
        <v>52</v>
      </c>
      <c r="Y10" s="50" t="s">
        <v>52</v>
      </c>
      <c r="Z10" s="48"/>
      <c r="AA10" s="43" t="str">
        <f>IF(D8="Futures",[1]AB3!$AD$10,IF(D8="Options Sell",[1]AB3!$AD$16,IF(D8="Options Buy",[1]AB3!$AD$22)))</f>
        <v>Min</v>
      </c>
      <c r="AB10" s="43" t="str">
        <f>IF(D8="Futures",[1]AB3!$AE$10,IF(D8="Options Sell",[1]AB3!$AE$16,IF(D8="Options Buy",[1]AB3!$AE$22)))</f>
        <v>MSL &amp; TSL</v>
      </c>
      <c r="AC10" s="43" t="str">
        <f>IF(D8="Futures",[1]AB3!$AF$10,IF(D8="Options Sell",[1]AB3!$AF$16,IF(D8="Options Buy",[1]AB3!$AF$22)))</f>
        <v>Entry &amp; TRP</v>
      </c>
      <c r="AD10" s="48"/>
      <c r="AE10" s="43" t="str">
        <f>IF(D8="Futures",[1]AB3!$AH$10,IF(D8="Options Sell",[1]AB3!$AH$16,IF(D8="Options Buy",[1]AB3!$AH$22)))</f>
        <v>S : Entry</v>
      </c>
      <c r="AF10" s="43" t="str">
        <f>IF(D8="Futures",[1]AB3!$AI$10,IF(D8="Options Sell",[1]AB3!$AI$16,IF(D8="Options Buy",[1]AB3!$AI$22)))</f>
        <v xml:space="preserve"> + </v>
      </c>
      <c r="AG10" s="46">
        <v>4.0000000000000001E-3</v>
      </c>
      <c r="AH10" s="46">
        <v>0</v>
      </c>
      <c r="AI10" s="48"/>
      <c r="AJ10" s="43" t="str">
        <f>IF(D8="Futures",[1]AB3!$AO$10,IF(D8="Options Sell",[1]AB3!$AO$16,IF(D8="Options Buy",[1]AB3!$AO$22)))</f>
        <v xml:space="preserve"> + </v>
      </c>
      <c r="AK10" s="43" t="str">
        <f t="array" ref="AK10">IF(A6="","",IF(D8="Futures",CONCATENATE([1]AB3!$AP$10,INDEX([1]AB2!L:L,MATCH(D6,[1]AB2!B:B,0)),[1]AB3!$AQ$10),IF(D8="Options Sell",CONCATENATE([1]AB3!$AP$16,INDEX([1]AB2!M:M,MATCH(D6,[1]AB2!B:B,0)),[1]AB3!$AQ$16),IF(D8="Options Buy",CONCATENATE([1]AB3!$AP$22,INDEX([1]AB2!L:L,MATCH(D6,[1]AB2!B:B,0)),[1]AB3!$AQ$22)))))</f>
        <v>FUT : PRV : 2DHH</v>
      </c>
      <c r="AL10" s="51">
        <f>IF(AND(D8="Futures",AK10=[1]AB3!$AS$10),[1]AB3!$AS$10,IF(AND(D8="Options Sell",AK10=[1]AB3!$AS$16),[1]AB3!$AS$16,IF(AND(D8="Options Buy",AK10=[1]AB3!$AS$22),[1]AB3!$AS$22,I9)))</f>
        <v>5.0000000000000001E-4</v>
      </c>
      <c r="AM10" s="52">
        <f>J9</f>
        <v>5</v>
      </c>
      <c r="AN10" s="43" t="str">
        <f t="array" ref="AN10">IF(A6="","",IF(AND(OR(D10="1 &amp; APS",D10="2 &amp; APS",D10="3 &amp; APS",D10="4 &amp; APS",D10="5 &amp; APS"),D8="Futures"),CONCATENATE([1]AB3!$AP$10,INDEX([1]AB2!L:L,MATCH(D6,[1]AB2!B:B,0)),[1]AB3!$AQ$10),IF(AND(OR(D10="1 &amp; APS",D10="2 &amp; APS",D10="3 &amp; APS",D10="4 &amp; APS",D10="5 &amp; APS"),D8="Options Sell"),CONCATENATE([1]AB3!$AP$16,INDEX([1]AB2!M:M,MATCH(D6,[1]AB2!B:B,0)),[1]AB3!$AQ$16),IF(AND(OR(D10="1 &amp; APS",D10="2 &amp; APS",D10="3 &amp; APS",D10="4 &amp; APS",D10="5 &amp; APS"),D8="Options Buy"),CONCATENATE([1]AB3!$AP$22,INDEX([1]AB2!L:L,MATCH(D6,[1]AB2!B:B,0)),[1]AB3!$AQ$22),[1]AB3!$AR$6))))</f>
        <v>FUT : PRV : 2DHH</v>
      </c>
      <c r="AO10" s="51">
        <f>IF(AND(D8="Futures",AN10=[1]AB3!$AU$10),[1]AB3!$AU$10,IF(AND(D8="Options Sell",AN10=[1]AB3!$AU$16),[1]AB3!$AU$16,IF(AND(D8="Options Buy",AN10=[1]AB3!$AU$22),[1]AB3!$AU$22,I9)))</f>
        <v>5.0000000000000001E-4</v>
      </c>
      <c r="AP10" s="52">
        <f t="shared" si="5"/>
        <v>4</v>
      </c>
      <c r="AQ10" s="43" t="str">
        <f t="array" ref="AQ10">IF(A6="","",IF(AND(OR(D10="2 &amp; APS",D10="3 &amp; APS",D10="4 &amp; APS",D10="5 &amp; APS"),D8="Futures"),CONCATENATE([1]AB3!$AP$10,INDEX([1]AB2!L:L,MATCH(D6,[1]AB2!B:B,0)),[1]AB3!$AQ$10),IF(AND(OR(D10="2 &amp; APS",D10="3 &amp; APS",D10="4 &amp; APS",D10="5 &amp; APS"),D8="Options Sell"),CONCATENATE([1]AB3!$AP$16,INDEX([1]AB2!M:M,MATCH(D6,[1]AB2!B:B,0)),[1]AB3!$AQ$16),IF(AND(OR(D10="2 &amp; APS",D10="3 &amp; APS",D10="4 &amp; APS",D10="5 &amp; APS"),D8="Options Buy"),CONCATENATE([1]AB3!$AP$22,INDEX([1]AB2!L:L,MATCH(D6,[1]AB2!B:B,0)),[1]AB3!$AQ$22),[1]AB3!$AR$6))))</f>
        <v>FUT : PRV : 2DHH</v>
      </c>
      <c r="AR10" s="51">
        <f>IF(AND(D8="Futures",AQ10=[1]AB3!$AW$10),[1]AB3!$AW$10,IF(AND(D8="Options Sell",AQ10=[1]AB3!$AW$16),[1]AB3!$AW$16,IF(AND(D8="Options Buy",AQ10=[1]AB3!$AW$22),[1]AB3!$AW$22,I9)))</f>
        <v>5.0000000000000001E-4</v>
      </c>
      <c r="AS10" s="52">
        <f t="shared" si="6"/>
        <v>3</v>
      </c>
      <c r="AT10" s="43" t="str">
        <f t="array" ref="AT10">IF(A6="","",IF(AND(OR(D10="3 &amp; APS",D10="4 &amp; APS",D10="5 &amp; APS"),D8="Futures"),CONCATENATE([1]AB3!$AP$10,INDEX([1]AB2!L:L,MATCH(D6,[1]AB2!B:B,0)),[1]AB3!$AQ$10),IF(AND(OR(D10="3 &amp; APS",D10="4 &amp; APS",D10="5 &amp; APS"),D8="Options Sell"),CONCATENATE([1]AB3!$AP$16,INDEX([1]AB2!M:M,MATCH(D6,[1]AB2!B:B,0)),[1]AB3!$AQ$16),IF(AND(OR(D10="3 &amp; APS",D10="4 &amp; APS",D10="5 &amp; APS"),D8="Options Buy"),CONCATENATE([1]AB3!$AP$22,INDEX([1]AB2!L:L,MATCH(D6,[1]AB2!B:B,0)),[1]AB3!$AQ$22),[1]AB3!$AR$6))))</f>
        <v>FUT : PRV : 2DHH</v>
      </c>
      <c r="AU10" s="51">
        <f>IF(AND(D8="Futures",AT10=[1]AB3!$AY$10),[1]AB3!$AY$10,IF(AND(D8="Options Sell",AT10=[1]AB3!$AY$16),[1]AB3!$AY$16,IF(AND(D8="Options Buy",AT10=[1]AB3!$AY$22),[1]AB3!$AY$22,I9)))</f>
        <v>5.0000000000000001E-4</v>
      </c>
      <c r="AV10" s="52">
        <f t="shared" si="7"/>
        <v>2</v>
      </c>
      <c r="AW10" s="43" t="str">
        <f t="array" ref="AW10">IF(A6="","",IF(AND(OR(D10="4 &amp; APS",D10="5 &amp; APS"),D8="Futures"),CONCATENATE([1]AB3!$AP$10,INDEX([1]AB2!L:L,MATCH(D6,[1]AB2!B:B,0)),[1]AB3!$AQ$10),IF(AND(OR(D10="4 &amp; APS",D10="5 &amp; APS"),D8="Options Sell"),CONCATENATE([1]AB3!$AP$16,INDEX([1]AB2!M:M,MATCH(D6,[1]AB2!B:B,0)),[1]AB3!$AQ$16),IF(AND(OR(D10="4 &amp; APS",D10="5 &amp; APS"),D8="Options Buy"),CONCATENATE([1]AB3!$AP$22,INDEX([1]AB2!L:L,MATCH(D6,[1]AB2!B:B,0)),[1]AB3!$AQ$22),[1]AB3!$AR$6))))</f>
        <v>FUT : PRV : 2DHH</v>
      </c>
      <c r="AX10" s="51">
        <f>IF(AND(D8="Futures",AW10=[1]AB3!$BA$10),[1]AB3!$BA$10,IF(AND(D8="Options Sell",AW10=[1]AB3!$BA$16),[1]AB3!$BA$16,IF(AND(D8="Options Buy",AW10=[1]AB3!$BA$22),[1]AB3!$BA$22,I9)))</f>
        <v>5.0000000000000001E-4</v>
      </c>
      <c r="AY10" s="52">
        <f t="shared" si="8"/>
        <v>1</v>
      </c>
      <c r="AZ10" s="51">
        <f t="array" ref="AZ10">IF(A6="","",IF(AND(D10="5 &amp; APS",D8="Futures"),CONCATENATE([1]AB3!$AP$10,INDEX([1]AB2!L:L,MATCH(D6,[1]AB2!B:B,0)),[1]AB3!$AQ$10),IF(AND(D10="5 &amp; APS",D8="Options Sell"),CONCATENATE([1]AB3!$AP$16,INDEX([1]AB2!M:M,MATCH(D6,[1]AB2!B:B,0)),[1]AB3!$AQ$16),IF(AND(D10="5 &amp; APS",D8="Options Buy"),CONCATENATE([1]AB3!$AP$22,INDEX([1]AB2!L:L,MATCH(D6,[1]AB2!B:B,0)),[1]AB3!$AQ$22),[1]AB3!$AR$6))))</f>
        <v>0</v>
      </c>
      <c r="BA10" s="51">
        <f>IF(AND(D8="Futures",AZ10=[1]AB3!$BC$10),[1]AB3!$BC$10,IF(AND(D8="Options Sell",AZ10=[1]AB3!$BC$16),[1]AB3!$BC$16,IF(AND(D8="Options Buy",AZ10=[1]AB3!$BC$22),[1]AB3!$BC$22,I9)))</f>
        <v>0</v>
      </c>
      <c r="BB10" s="52">
        <f t="shared" si="9"/>
        <v>0</v>
      </c>
      <c r="BC10" s="53"/>
      <c r="BD10" s="54" t="str">
        <f>IF(D8="Futures",[1]AB3!$BE$10,IF(D8="Options Sell",[1]AB3!$BE$16,IF(D8="Options Buy",[1]AB3!$BE$22)))</f>
        <v>Market End Time</v>
      </c>
      <c r="BE10" s="67">
        <f t="array" ref="BE10">IF(D6="","",INDEX([1]AB2!AH:AH,MATCH(D6,[1]AB2!B:B,0)))</f>
        <v>0.70833333333333337</v>
      </c>
      <c r="BF10" s="11"/>
      <c r="BG10" s="12"/>
      <c r="BH10" s="57"/>
      <c r="BI10" s="32"/>
      <c r="BJ10" s="61" t="str">
        <f>IF(D8="Futures",[1]AB3!$BK$10,IF(D8="Options Sell",[1]AB3!$BK$16,IF(D8="Options Buy",[1]AB3!$BK$22)))</f>
        <v>Short</v>
      </c>
      <c r="BK10" s="46">
        <v>5.0000000000000001E-4</v>
      </c>
      <c r="BL10" s="46">
        <v>5.0000000000000001E-4</v>
      </c>
      <c r="BM10" s="57"/>
      <c r="BN10" s="32"/>
      <c r="BO10" s="61" t="str">
        <f>IF(D8="Futures",[1]AB3!$BP$10,IF(D8="Options Sell",[1]AB3!$BP$16,IF(D8="Options Buy",[1]AB3!$BP$22)))</f>
        <v>Put</v>
      </c>
      <c r="BP10" s="43" t="str">
        <f t="array" ref="BP10">IF(A6="","",IF(D8="Futures","",IF(D8="EQUITY","",IF(D8="Options Sell",CONCATENATE([1]AB3!$BQ$16,INDEX([1]AB2!J:J,MATCH(A6,[1]AB2!A:A,0)),[1]AB3!$BR$16),IF(D8="Options Buy",CONCATENATE([1]AB3!$BQ$22,INDEX([1]AB2!J:J,MATCH(A6,[1]AB2!A:A,0)),[1]AB3!$BR$22))))))</f>
        <v/>
      </c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9"/>
      <c r="CL10" s="49">
        <f>IF(D8="Futures",[1]AB3!$O$10,IF(D8="Options Sell",[1]AB3!$O$16,IF(D8="Options Buy",[1]AB3!$O$22)))</f>
        <v>0</v>
      </c>
      <c r="CM10" s="43">
        <f>IF(D8="Futures",[1]AB3!$P$10,IF(D8="Options Sell",[1]AB3!$P$16,IF(D8="Options Buy",[1]AB3!$P$22)))</f>
        <v>0</v>
      </c>
      <c r="CN10" s="59"/>
      <c r="CO10" s="43">
        <f>IF(D8="Futures",[1]AB3!$AJ$10,IF(D8="Options Sell",[1]AB3!$AJ$16,IF(D8="Options Buy",[1]AB3!$AJ$22)))</f>
        <v>0</v>
      </c>
      <c r="CP10" s="43">
        <f>IF(D8="Futures",[1]AB3!$AK$10,IF(D8="Options Sell",[1]AB3!$AK$16,IF(D8="Options Buy",[1]AB3!$AK$22)))</f>
        <v>0</v>
      </c>
      <c r="CQ10" s="59"/>
      <c r="CR10" s="49" t="b">
        <f>IF(I8="Futures",[1]AB3!$O$10,IF(I8="Options Sell",[1]AB3!$O$16,IF(I8="Options Buy",[1]AB3!$O$22)))</f>
        <v>0</v>
      </c>
      <c r="CS10" s="49" t="b">
        <f>IF(J8="Futures",[1]AB3!$O$10,IF(J8="Options Sell",[1]AB3!$O$16,IF(J8="Options Buy",[1]AB3!$O$22)))</f>
        <v>0</v>
      </c>
      <c r="CT10" s="59"/>
      <c r="CU10" s="43"/>
      <c r="CV10" s="59"/>
      <c r="CW10" s="59"/>
    </row>
    <row r="11" spans="1:101" ht="15.75" customHeight="1" x14ac:dyDescent="0.2">
      <c r="A11" s="1"/>
      <c r="B11" s="2"/>
      <c r="C11" s="2"/>
      <c r="D11" s="2"/>
      <c r="E11" s="2"/>
      <c r="F11" s="2"/>
      <c r="G11" s="2"/>
      <c r="H11" s="2"/>
      <c r="I11" s="2"/>
      <c r="J11" s="64"/>
      <c r="K11" s="2"/>
      <c r="L11" s="2"/>
      <c r="M11" s="2"/>
      <c r="N11" s="2"/>
      <c r="O11" s="64"/>
      <c r="P11" s="2"/>
      <c r="Q11" s="64"/>
      <c r="R11" s="69"/>
      <c r="S11" s="64"/>
      <c r="T11" s="70"/>
      <c r="U11" s="64"/>
      <c r="V11" s="2"/>
      <c r="W11" s="64"/>
      <c r="X11" s="2"/>
      <c r="Y11" s="2"/>
      <c r="Z11" s="2"/>
      <c r="AA11" s="20"/>
      <c r="AB11" s="71"/>
      <c r="AC11" s="71"/>
      <c r="AD11" s="2"/>
      <c r="AE11" s="70"/>
      <c r="AF11" s="70"/>
      <c r="AG11" s="70"/>
      <c r="AH11" s="70"/>
      <c r="AI11" s="2"/>
      <c r="AJ11" s="70"/>
      <c r="AK11" s="70"/>
      <c r="AL11" s="70"/>
      <c r="AM11" s="64"/>
      <c r="AN11" s="70"/>
      <c r="AO11" s="70"/>
      <c r="AP11" s="64"/>
      <c r="AQ11" s="70"/>
      <c r="AR11" s="70"/>
      <c r="AS11" s="64"/>
      <c r="AT11" s="70"/>
      <c r="AU11" s="70"/>
      <c r="AV11" s="64"/>
      <c r="AW11" s="70"/>
      <c r="AX11" s="70"/>
      <c r="AY11" s="64"/>
      <c r="AZ11" s="70"/>
      <c r="BA11" s="70"/>
      <c r="BB11" s="64"/>
      <c r="BC11" s="70"/>
      <c r="BD11" s="70"/>
      <c r="BE11" s="70"/>
      <c r="BF11" s="70"/>
      <c r="BG11" s="70"/>
      <c r="BH11" s="70"/>
      <c r="BI11" s="70"/>
      <c r="BJ11" s="70"/>
      <c r="BK11" s="2"/>
      <c r="BL11" s="2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70"/>
      <c r="CH11" s="70"/>
      <c r="CI11" s="70"/>
      <c r="CJ11" s="70"/>
      <c r="CK11" s="70"/>
      <c r="CL11" s="2"/>
      <c r="CM11" s="2"/>
      <c r="CN11" s="70"/>
      <c r="CO11" s="70"/>
      <c r="CP11" s="70"/>
      <c r="CQ11" s="70"/>
      <c r="CR11" s="2"/>
      <c r="CS11" s="2"/>
      <c r="CT11" s="70"/>
      <c r="CU11" s="70"/>
      <c r="CV11" s="70"/>
      <c r="CW11" s="70"/>
    </row>
    <row r="12" spans="1:101" ht="27.75" customHeight="1" x14ac:dyDescent="0.2">
      <c r="A12" s="40">
        <v>2</v>
      </c>
      <c r="B12" s="41" t="str">
        <f>CONCATENATE(D12,IF(D14="Futures",[1]AB3!$B$6,IF(D14="Options Sell",[1]AB3!$B$12,IF(D14="Options Buy",[1]AB3!$B$18))))</f>
        <v>S2A</v>
      </c>
      <c r="C12" s="42" t="str">
        <f>IF(D14="Futures",[1]AB3!$C$6,IF(D14="Options Sell",[1]AB3!$C$12,IF(D14="Options Buy",[1]AB3!$C$18)))</f>
        <v>Strategy Code</v>
      </c>
      <c r="D12" s="43" t="str">
        <f t="array" ref="D12">IF(A12="","",INDEX([1]AB2!B:B,MATCH(A12,[1]AB2!A:A,0)))</f>
        <v>S2</v>
      </c>
      <c r="E12" s="44" t="str">
        <f>IF(D14="Futures",[1]AB3!$E$6,IF(D14="Options Sell",[1]AB3!$E$12,IF(D14="Options Buy",[1]AB3!$E$18)))</f>
        <v>Bull / 
Bull CF</v>
      </c>
      <c r="F12" s="45" t="str">
        <f>IF(D14="Futures",[1]AB3!$F$6,IF(D14="Options Sell",[1]AB3!$F$12,IF(D14="Options Buy",[1]AB3!$F$18)))</f>
        <v>Long</v>
      </c>
      <c r="G12" s="43" t="str">
        <f t="array" ref="G12">IF(A12="","",IF(D14="Futures",CONCATENATE([1]AB3!$G$6,INDEX([1]AB2!I:I,MATCH(D12,[1]AB2!B:B,0)),[1]AB3!$H$6),IF(D14="Options Sell",CONCATENATE([1]AB3!$G$12,INDEX([1]AB2!J:J,MATCH(D12,[1]AB2!B:B,0)),[1]AB3!$H$12),IF(D14="Options Buy",CONCATENATE([1]AB3!$G$18,INDEX([1]AB2!I:I,MATCH(D12,[1]AB2!B:B,0)),[1]AB3!$H$18)))))</f>
        <v>FUT : PRV : 2DHH</v>
      </c>
      <c r="H12" s="43" t="str">
        <f>IF(D14="Futures",[1]AB3!$I$6,IF(D14="Options Sell",[1]AB3!$I$12,IF(D14="Options Buy",[1]AB3!$I$18)))</f>
        <v xml:space="preserve"> + </v>
      </c>
      <c r="I12" s="46">
        <v>2.0000000000000001E-4</v>
      </c>
      <c r="J12" s="47">
        <v>5</v>
      </c>
      <c r="K12" s="48"/>
      <c r="L12" s="43" t="str">
        <f>IF(D14="Futures",[1]AB3!$M$6,IF(D14="Options Sell",[1]AB3!$M$12,IF(D14="Options Buy",[1]AB3!$M$18)))</f>
        <v xml:space="preserve">L : Entry </v>
      </c>
      <c r="M12" s="43" t="str">
        <f>IF(D14="Futures",[1]AB3!$N$6,IF(D14="Options Sell",[1]AB3!$N$12,IF(D14="Options Buy",[1]AB3!$N$18)))</f>
        <v xml:space="preserve"> + </v>
      </c>
      <c r="N12" s="46">
        <v>4.0000000000000001E-3</v>
      </c>
      <c r="O12" s="47">
        <v>1</v>
      </c>
      <c r="P12" s="46">
        <v>6.0000000000000001E-3</v>
      </c>
      <c r="Q12" s="47">
        <v>1</v>
      </c>
      <c r="R12" s="46">
        <v>8.0000000000000002E-3</v>
      </c>
      <c r="S12" s="47">
        <v>1</v>
      </c>
      <c r="T12" s="46">
        <v>0.01</v>
      </c>
      <c r="U12" s="47">
        <v>1</v>
      </c>
      <c r="V12" s="50" t="s">
        <v>51</v>
      </c>
      <c r="W12" s="47">
        <v>1</v>
      </c>
      <c r="X12" s="50" t="s">
        <v>52</v>
      </c>
      <c r="Y12" s="50" t="s">
        <v>52</v>
      </c>
      <c r="Z12" s="48"/>
      <c r="AA12" s="43" t="str">
        <f>IF(D14="Futures",[1]AB3!$AD$6,IF(D14="Options Sell",[1]AB3!$AD$12,IF(D14="Options Buy",[1]AB3!$AD$18)))</f>
        <v>Max</v>
      </c>
      <c r="AB12" s="43" t="str">
        <f>IF(D14="Futures",[1]AB3!$AE$6,IF(D14="Options Sell",[1]AB3!$AE$12,IF(D14="Options Buy",[1]AB3!$AE$18)))</f>
        <v>MSL &amp; TSL</v>
      </c>
      <c r="AC12" s="43" t="str">
        <f>IF(D14="Futures",[1]AB3!$AF$6,IF(D14="Options Sell",[1]AB3!$AF$12,IF(D14="Options Buy",[1]AB3!$AF$18)))</f>
        <v>Entry &amp; TRP</v>
      </c>
      <c r="AD12" s="48"/>
      <c r="AE12" s="43" t="str">
        <f>IF(D14="Futures",[1]AB3!$AH$6,IF(D14="Options Sell",[1]AB3!$AH$12,IF(D14="Options Buy",[1]AB3!$AH$18)))</f>
        <v>L : Entry</v>
      </c>
      <c r="AF12" s="43" t="str">
        <f>IF(D14="Futures",[1]AB3!$AI$6,IF(D14="Options Sell",[1]AB3!$AI$12,IF(D14="Options Buy",[1]AB3!$AI$18)))</f>
        <v xml:space="preserve"> - </v>
      </c>
      <c r="AG12" s="46">
        <v>4.0000000000000001E-3</v>
      </c>
      <c r="AH12" s="46">
        <v>0</v>
      </c>
      <c r="AI12" s="48"/>
      <c r="AJ12" s="43" t="str">
        <f>IF(D14="Futures",[1]AB3!$AO$6,IF(D14="Options Sell",[1]AB3!$AO$12,IF(D14="Options Buy",[1]AB3!$AO$18)))</f>
        <v xml:space="preserve"> - </v>
      </c>
      <c r="AK12" s="43" t="str">
        <f t="array" ref="AK12">IF(A12="","",IF(D14="Futures",CONCATENATE([1]AB3!$AP$6,INDEX([1]AB2!L:L,MATCH(D12,[1]AB2!B:B,0)),[1]AB3!$AQ$6),IF(D14="Options Sell",CONCATENATE([1]AB3!$AP$12,INDEX([1]AB2!M:M,MATCH(D12,[1]AB2!B:B,0)),[1]AB3!$AQ$12),IF(D14="Options Buy",CONCATENATE([1]AB3!$AP$18,INDEX([1]AB2!L:L,MATCH(D12,[1]AB2!B:B,0)),[1]AB3!$AQ$18)))))</f>
        <v>FUT : PRV : 4DLL</v>
      </c>
      <c r="AL12" s="51">
        <f>IF(AND(D14="Futures",AK12=[1]AB3!$AS$6),[1]AB3!$AS$6,IF(AND(D14="Options Sell",AK12=[1]AB3!$AS$12),[1]AB3!$AS$12,IF(AND(D14="Options Buy",AK12=[1]AB3!$AS$18),[1]AB3!$AS$18,I13)))</f>
        <v>5.0000000000000001E-4</v>
      </c>
      <c r="AM12" s="52">
        <f>J13</f>
        <v>5</v>
      </c>
      <c r="AN12" s="43" t="str">
        <f t="array" ref="AN12">IF(A12="","",IF(AND(OR(D16="1 &amp; APS",D16="2 &amp; APS",D16="3 &amp; APS",D16="4 &amp; APS",D16="5 &amp; APS"),D14="Futures"),CONCATENATE([1]AB3!$AP$6,INDEX([1]AB2!L:L,MATCH(D12,[1]AB2!B:B,0)),[1]AB3!$AQ$6),IF(AND(OR(D16="1 &amp; APS",D16="2 &amp; APS",D16="3 &amp; APS",D16="4 &amp; APS",D16="5 &amp; APS"),D14="Options Sell"),CONCATENATE([1]AB3!$AP$12,INDEX([1]AB2!M:M,MATCH(D12,[1]AB2!B:B,0)),[1]AB3!$AQ$12),IF(AND(OR(D16="1 &amp; APS",D16="2 &amp; APS",D16="3 &amp; APS",D16="4 &amp; APS",D16="5 &amp; APS"),D14="Options Buy"),CONCATENATE([1]AB3!$AP$18,INDEX([1]AB2!L:L,MATCH(D12,[1]AB2!B:B,0)),[1]AB3!$AQ$18),[1]AB3!$AR$6))))</f>
        <v>FUT : PRV : 4DLL</v>
      </c>
      <c r="AO12" s="51">
        <f>IF(AND(D14="Futures",AN12=[1]AB3!$AU$6),[1]AB3!$AU$6,IF(AND(D14="Options Sell",AN12=[1]AB3!$AU$12),[1]AB3!$AU$12,IF(AND(D14="Options Buy",AN12=[1]AB3!$AU$18),[1]AB3!$AU$18,I13)))</f>
        <v>5.0000000000000001E-4</v>
      </c>
      <c r="AP12" s="52">
        <f t="shared" ref="AP12:AP13" si="10">AM12-O12</f>
        <v>4</v>
      </c>
      <c r="AQ12" s="43" t="str">
        <f t="array" ref="AQ12">IF(A12="","",IF(AND(OR(D16="2 &amp; APS",D16="3 &amp; APS",D16="4 &amp; APS",D16="5 &amp; APS"),D14="Futures"),CONCATENATE([1]AB3!$AP$6,INDEX([1]AB2!L:L,MATCH(D12,[1]AB2!B:B,0)),[1]AB3!$AQ$6),IF(AND(OR(D16="2 &amp; APS",D16="3 &amp; APS",D16="4 &amp; APS",D16="5 &amp; APS"),D14="Options Sell"),CONCATENATE([1]AB3!$AP$12,INDEX([1]AB2!M:M,MATCH(D12,[1]AB2!B:B,0)),[1]AB3!$AQ$12),IF(AND(OR(D16="2 &amp; APS",D16="3 &amp; APS",D16="4 &amp; APS",D16="5 &amp; APS"),D14="Options Buy"),CONCATENATE([1]AB3!$AP$18,INDEX([1]AB2!L:L,MATCH(D12,[1]AB2!B:B,0)),[1]AB3!$AQ$18),[1]AB3!$AR$6))))</f>
        <v>FUT : PRV : 4DLL</v>
      </c>
      <c r="AR12" s="51">
        <f>IF(AND(D14="Futures",AQ12=[1]AB3!$AW$6),[1]AB3!$AW$6,IF(AND(D14="Options Sell",AQ12=[1]AB3!$AW$12),[1]AB3!$AW$12,IF(AND(D14="Options Buy",AQ12=[1]AB3!$AW$18),[1]AB3!$AW$18,I13)))</f>
        <v>5.0000000000000001E-4</v>
      </c>
      <c r="AS12" s="52">
        <f t="shared" ref="AS12:AS13" si="11">AP12-Q12</f>
        <v>3</v>
      </c>
      <c r="AT12" s="43" t="str">
        <f t="array" ref="AT12">IF(A12="","",IF(AND(OR(D16="3 &amp; APS",D16="4 &amp; APS",D16="5 &amp; APS"),D14="Futures"),CONCATENATE([1]AB3!$AP$6,INDEX([1]AB2!L:L,MATCH(D12,[1]AB2!B:B,0)),[1]AB3!$AQ$6),IF(AND(OR(D16="3 &amp; APS",D16="4 &amp; APS",D16="5 &amp; APS"),D14="Options Sell"),CONCATENATE([1]AB3!$AP$12,INDEX([1]AB2!M:M,MATCH(D12,[1]AB2!B:B,0)),[1]AB3!$AQ$12),IF(AND(OR(D16="3 &amp; APS",D16="4 &amp; APS",D16="5 &amp; APS"),D14="Options Buy"),CONCATENATE([1]AB3!$AP$18,INDEX([1]AB2!L:L,MATCH(D12,[1]AB2!B:B,0)),[1]AB3!$AQ$18),[1]AB3!$AR$6))))</f>
        <v>FUT : PRV : 4DLL</v>
      </c>
      <c r="AU12" s="51">
        <f>IF(AND(D14="Futures",AT12=[1]AB3!$AY$6),[1]AB3!$AY$6,IF(AND(D14="Options Sell",AT12=[1]AB3!$AY$12),[1]AB3!$AY$12,IF(AND(D14="Options Buy",AT12=[1]AB3!$AY$18),[1]AB3!$AY$18,I13)))</f>
        <v>5.0000000000000001E-4</v>
      </c>
      <c r="AV12" s="52">
        <f t="shared" ref="AV12:AV13" si="12">AS12-S12</f>
        <v>2</v>
      </c>
      <c r="AW12" s="43" t="str">
        <f t="array" ref="AW12">IF(A12="","",IF(AND(OR(D16="4 &amp; APS",D16="5 &amp; APS"),D14="Futures"),CONCATENATE([1]AB3!$AP$6,INDEX([1]AB2!L:L,MATCH(D12,[1]AB2!B:B,0)),[1]AB3!$AQ$6),IF(AND(OR(D16="4 &amp; APS",D16="5 &amp; APS"),D14="Options Sell"),CONCATENATE([1]AB3!$AP$12,INDEX([1]AB2!M:M,MATCH(D12,[1]AB2!B:B,0)),[1]AB3!$AQ$12),IF(AND(OR(D16="4 &amp; APS",D16="5 &amp; APS"),D14="Options Buy"),CONCATENATE([1]AB3!$AP$18,INDEX([1]AB2!L:L,MATCH(D12,[1]AB2!B:B,0)),[1]AB3!$AQ$18),[1]AB3!$AR$6))))</f>
        <v>FUT : PRV : 4DLL</v>
      </c>
      <c r="AX12" s="51">
        <f>IF(AND(D14="Futures",AW12=[1]AB3!$BA$6),[1]AB3!$BA$6,IF(AND(D14="Options Sell",AW12=[1]AB3!$BA$12),[1]AB3!$BA$12,IF(AND(D14="Options Buy",AW12=[1]AB3!$BA$18),[1]AB3!$BA$18,I13)))</f>
        <v>5.0000000000000001E-4</v>
      </c>
      <c r="AY12" s="52">
        <f t="shared" ref="AY12:AY13" si="13">AV12-S12</f>
        <v>1</v>
      </c>
      <c r="AZ12" s="51">
        <f t="array" ref="AZ12">IF(A12="","",IF(AND(D16="5 &amp; APS",D14="Futures"),CONCATENATE([1]AB3!$AP$6,INDEX([1]AB2!L:L,MATCH(D12,[1]AB2!B:B,0)),[1]AB3!$AQ$6),IF(AND(D16="5 &amp; APS",D14="Options Sell"),CONCATENATE([1]AB3!$AP$12,INDEX([1]AB2!M:M,MATCH(D12,[1]AB2!B:B,0)),[1]AB3!$AQ$12),IF(AND(D16="5 &amp; APS",D14="Options Buy"),CONCATENATE([1]AB3!$AP$18,INDEX([1]AB2!L:L,MATCH(D12,[1]AB2!B:B,0)),[1]AB3!$AQ$18),[1]AB3!$AR$6))))</f>
        <v>0</v>
      </c>
      <c r="BA12" s="51">
        <f>IF(AND(D14="Futures",AZ12=[1]AB3!$BC$6),[1]AB3!$BC$6,IF(AND(D14="Options Sell",AZ12=[1]AB3!$BC$12),[1]AB3!$BC$12,IF(AND(D14="Options Buy",AZ12=[1]AB3!$BC$18),[1]AB3!$BC$18,I13)))</f>
        <v>0</v>
      </c>
      <c r="BB12" s="52">
        <f t="shared" ref="BB12:BB13" si="14">AY12-W12</f>
        <v>0</v>
      </c>
      <c r="BC12" s="53"/>
      <c r="BD12" s="54" t="str">
        <f>IF(D14="Futures",[1]AB3!$BE$6,IF(D14="Options Sell",[1]AB3!$BE$12,IF(D14="Options Buy",[1]AB3!$BE$18)))</f>
        <v xml:space="preserve">ORPT </v>
      </c>
      <c r="BE12" s="55">
        <f>IF(D14="Futures",BE15+([1]AB3!$BF$6/1440),IF(D14="Options Sell",BE15+([1]AB3!$BF$12/1440),IF(D14="Options Buy",BE15+([1]AB3!$BF$18/1440))))</f>
        <v>0.37846527777777778</v>
      </c>
      <c r="BF12" s="55">
        <f>IF(D14="Futures",BE15+([1]AB3!$BG$6/1440),IF(D14="Options Sell",BE15+([1]AB3!$BG$12/1440),IF(D14="Options Buy",BE15+([1]AB3!$BG$18/1440))))</f>
        <v>0.37846527777777778</v>
      </c>
      <c r="BG12" s="55">
        <f>IF(D14="Futures",BE15+([1]AB3!$BH$6/1440),IF(D14="Options Sell",BE15+([1]AB3!$BH$12/1440),IF(D14="Options Buy",BE15+([1]AB3!$BH$18/1440))))</f>
        <v>0.375</v>
      </c>
      <c r="BH12" s="57"/>
      <c r="BI12" s="44" t="str">
        <f>IF(D14="Futures",[1]AB3!$BJ$6,IF(D14="Options Sell",[1]AB3!$BJ$12,IF(D14="Options Buy",[1]AB3!$BJ$18)))</f>
        <v>Bull / 
Bull CF</v>
      </c>
      <c r="BJ12" s="45" t="str">
        <f>IF(D14="Futures",[1]AB3!$BK$6,IF(D14="Options Sell",[1]AB3!$BK$12,IF(D14="Options Buy",[1]AB3!$BK$18)))</f>
        <v>Long</v>
      </c>
      <c r="BK12" s="46">
        <v>2.0000000000000001E-4</v>
      </c>
      <c r="BL12" s="46">
        <v>5.0000000000000001E-4</v>
      </c>
      <c r="BM12" s="57"/>
      <c r="BN12" s="44" t="str">
        <f>IF(D14="Futures",[1]AB3!$BO$6,IF(D14="Options Sell",[1]AB3!$BO$12,IF(D14="Options Buy",[1]AB3!$BO$18)))</f>
        <v>Bull | 
Bull CF</v>
      </c>
      <c r="BO12" s="45" t="str">
        <f>IF(D14="Futures",[1]AB3!$BP$6,IF(D14="Options Sell",[1]AB3!$BP$12,IF(D14="Options Buy",[1]AB3!$BP$18)))</f>
        <v>Call</v>
      </c>
      <c r="BP12" s="43" t="str">
        <f t="array" ref="BP12">IF(A12="","",IF(D14="Futures","",IF(D14="EQUITY","",IF(D14="Options Sell",CONCATENATE([1]AB3!$BQ$12,INDEX([1]AB2!J:J,MATCH(A12,[1]AB2!A:A,0)),[1]AB3!$BR$12),IF(D14="Options Buy",CONCATENATE([1]AB3!$BQ$18,INDEX([1]AB2!J:J,MATCH(A12,[1]AB2!A:A,0)),[1]AB3!$BR$18))))))</f>
        <v/>
      </c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9"/>
      <c r="CL12" s="43"/>
      <c r="CM12" s="43"/>
      <c r="CN12" s="59"/>
      <c r="CO12" s="43"/>
      <c r="CP12" s="43"/>
      <c r="CQ12" s="59"/>
      <c r="CR12" s="43"/>
      <c r="CS12" s="43"/>
      <c r="CT12" s="59"/>
      <c r="CU12" s="55">
        <f>IF(D14="Futures",BE16-([1]AB3!$CG$6/1440),IF(D14="Options Sell",BE16-([1]AB3!$CG$12/1440),IF(D14="Options Buy",BE16-([1]AB3!$CG$18/1440),IF(D14="EQUITY",""))))</f>
        <v>0.6875</v>
      </c>
      <c r="CV12" s="59"/>
      <c r="CW12" s="59"/>
    </row>
    <row r="13" spans="1:101" ht="27.75" customHeight="1" x14ac:dyDescent="0.2">
      <c r="A13" s="60"/>
      <c r="B13" s="41" t="str">
        <f>CONCATENATE(D12,IF(D14="Futures",[1]AB3!$B$7,IF(D14="Options Sell",[1]AB3!$B$13,IF(D14="Options Buy",[1]AB3!$B$19))))</f>
        <v>S2B</v>
      </c>
      <c r="C13" s="42" t="str">
        <f>IF(D14="Futures",[1]AB3!$C$7,IF(D14="Options Sell",[1]AB3!$C$13,IF(D14="Options Buy",[1]AB3!$C$19)))</f>
        <v>Unique Code</v>
      </c>
      <c r="D13" s="43" t="str">
        <f t="array" ref="D13">IF(A12="","",INDEX([1]AB2!N:N,MATCH(D12,[1]AB2!B:B,0)))</f>
        <v>USDINR_FUT_MT_DIFF_2D_4D</v>
      </c>
      <c r="E13" s="32"/>
      <c r="F13" s="61" t="str">
        <f>IF(D14="Futures",[1]AB3!$F$7,IF(D14="Options Sell",[1]AB3!$F$13,IF(D14="Options Buy",[1]AB3!$F$19)))</f>
        <v>Short</v>
      </c>
      <c r="G13" s="43" t="str">
        <f t="array" ref="G13">IF(A12="","",IF(D14="Futures",CONCATENATE([1]AB3!$G$7,INDEX([1]AB2!J:J,MATCH(D12,[1]AB2!B:B,0)),[1]AB3!$H$7),IF(D14="Options Sell",CONCATENATE([1]AB3!$G$13,INDEX([1]AB2!I:I,MATCH(D12,[1]AB2!B:B,0)),[1]AB3!$H$13),IF(D14="Options Buy",CONCATENATE([1]AB3!$G$19,INDEX([1]AB2!J:J,MATCH(D12,[1]AB2!B:B,0)),[1]AB3!$H$19)))))</f>
        <v>FUT : PRV : 4DLL</v>
      </c>
      <c r="H13" s="43" t="str">
        <f>IF(D14="Futures",[1]AB3!$I$7,IF(D14="Options Sell",[1]AB3!$I$13,IF(D14="Options Buy",[1]AB3!$I$19)))</f>
        <v xml:space="preserve"> - </v>
      </c>
      <c r="I13" s="46">
        <v>5.0000000000000001E-4</v>
      </c>
      <c r="J13" s="47">
        <v>5</v>
      </c>
      <c r="K13" s="48"/>
      <c r="L13" s="43" t="str">
        <f>IF(D14="Futures",[1]AB3!$M$7,IF(D14="Options Sell",[1]AB3!$M$13,IF(D14="Options Buy",[1]AB3!$M$19)))</f>
        <v xml:space="preserve">S : Entry </v>
      </c>
      <c r="M13" s="43" t="str">
        <f>IF(D14="Futures",[1]AB3!$N$7,IF(D14="Options Sell",[1]AB3!$N$13,IF(D14="Options Buy",[1]AB3!$N$19)))</f>
        <v xml:space="preserve"> - </v>
      </c>
      <c r="N13" s="46">
        <v>4.0000000000000001E-3</v>
      </c>
      <c r="O13" s="47">
        <v>1</v>
      </c>
      <c r="P13" s="46">
        <v>6.0000000000000001E-3</v>
      </c>
      <c r="Q13" s="47">
        <v>1</v>
      </c>
      <c r="R13" s="46">
        <v>8.0000000000000002E-3</v>
      </c>
      <c r="S13" s="47">
        <v>1</v>
      </c>
      <c r="T13" s="46">
        <v>0.01</v>
      </c>
      <c r="U13" s="47">
        <v>1</v>
      </c>
      <c r="V13" s="50" t="s">
        <v>51</v>
      </c>
      <c r="W13" s="47">
        <v>1</v>
      </c>
      <c r="X13" s="50" t="s">
        <v>52</v>
      </c>
      <c r="Y13" s="50" t="s">
        <v>52</v>
      </c>
      <c r="Z13" s="48"/>
      <c r="AA13" s="43" t="str">
        <f>IF(D14="Futures",[1]AB3!$AD$7,IF(D14="Options Sell",[1]AB3!$AD$13,IF(D14="Options Buy",[1]AB3!$AD$19)))</f>
        <v>Min</v>
      </c>
      <c r="AB13" s="43" t="str">
        <f>IF(D14="Futures",[1]AB3!$AE$7,IF(D14="Options Sell",[1]AB3!$AE$13,IF(D14="Options Buy",[1]AB3!$AE$19)))</f>
        <v>MSL &amp; TSL</v>
      </c>
      <c r="AC13" s="43" t="str">
        <f>IF(D14="Futures",[1]AB3!$AF$7,IF(D14="Options Sell",[1]AB3!$AF$13,IF(D14="Options Buy",[1]AB3!$AF$19)))</f>
        <v>Entry &amp; TRP</v>
      </c>
      <c r="AD13" s="48"/>
      <c r="AE13" s="43" t="str">
        <f>IF(D14="Futures",[1]AB3!$AH$7,IF(D14="Options Sell",[1]AB3!$AH$13,IF(D14="Options Buy",[1]AB3!$AH$19)))</f>
        <v>S : Entry</v>
      </c>
      <c r="AF13" s="43" t="str">
        <f>IF(D14="Futures",[1]AB3!$AI$7,IF(D14="Options Sell",[1]AB3!$AI$13,IF(D14="Options Buy",[1]AB3!$AI$19)))</f>
        <v xml:space="preserve"> + </v>
      </c>
      <c r="AG13" s="46">
        <v>4.0000000000000001E-3</v>
      </c>
      <c r="AH13" s="46">
        <v>0</v>
      </c>
      <c r="AI13" s="48"/>
      <c r="AJ13" s="43" t="str">
        <f>IF(D14="Futures",[1]AB3!$AO$7,IF(D14="Options Sell",[1]AB3!$AO$13,IF(D14="Options Buy",[1]AB3!$AO$19)))</f>
        <v xml:space="preserve"> + </v>
      </c>
      <c r="AK13" s="43" t="str">
        <f t="array" ref="AK13">IF(A12="","",IF(D14="Futures",CONCATENATE([1]AB3!$AP$7,INDEX([1]AB2!M:M,MATCH(D12,[1]AB2!B:B,0)),[1]AB3!$AQ$7),IF(D14="Options Sell",CONCATENATE([1]AB3!$AP$13,INDEX([1]AB2!L:L,MATCH(D12,[1]AB2!B:B,0)),[1]AB3!$AQ$13),IF(D14="Options Buy",CONCATENATE([1]AB3!$AP$19,INDEX([1]AB2!M:M,MATCH(D12,[1]AB2!B:B,0)),[1]AB3!$AQ$19)))))</f>
        <v>FUT : PRV : 2DHH</v>
      </c>
      <c r="AL13" s="51">
        <f>IF(AND(D14="Futures",AK13=[1]AB3!$AS$7),[1]AB3!$AS$7,IF(AND(D14="Options Sell",AK13=[1]AB3!$AS$13),[1]AB3!$AS$13,IF(AND(D14="Options Buy",AK13=[1]AB3!$AS$19),[1]AB3!$AS$19,I12)))</f>
        <v>2.0000000000000001E-4</v>
      </c>
      <c r="AM13" s="52">
        <f>J12</f>
        <v>5</v>
      </c>
      <c r="AN13" s="43" t="str">
        <f t="array" ref="AN13">IF(A12="","",IF(AND(OR(D16="1 &amp; APS",D16="2 &amp; APS",D16="3 &amp; APS",D16="4 &amp; APS",D16="5 &amp; APS"),D14="Futures"),CONCATENATE([1]AB3!$AP$7,INDEX([1]AB2!M:M,MATCH(D12,[1]AB2!B:B,0)),[1]AB3!$AQ$7),IF(AND(OR(D16="1 &amp; APS",D16="2 &amp; APS",D16="3 &amp; APS",D16="4 &amp; APS",D16="5 &amp; APS"),D14="Options Sell"),CONCATENATE([1]AB3!$AP$13,INDEX([1]AB2!L:L,MATCH(D12,[1]AB2!B:B,0)),[1]AB3!$AQ$13),IF(AND(OR(D16="1 &amp; APS",D16="2 &amp; APS",D16="3 &amp; APS",D16="4 &amp; APS",D16="5 &amp; APS"),D14="Options Buy"),CONCATENATE([1]AB3!$AP$19,INDEX([1]AB2!M:M,MATCH(D12,[1]AB2!B:B,0)),[1]AB3!$AQ$19),[1]AB3!$AR$6))))</f>
        <v>FUT : PRV : 2DHH</v>
      </c>
      <c r="AO13" s="51">
        <f>IF(AND(D14="Futures",AN13=[1]AB3!$AU$7),[1]AB3!$AU$7,IF(AND(D14="Options Sell",AN13=[1]AB3!$AU$13),[1]AB3!$AU$13,IF(AND(D14="Options Buy",AN13=[1]AB3!$AU$19),[1]AB3!$AU$19,I12)))</f>
        <v>2.0000000000000001E-4</v>
      </c>
      <c r="AP13" s="52">
        <f t="shared" si="10"/>
        <v>4</v>
      </c>
      <c r="AQ13" s="43" t="str">
        <f t="array" ref="AQ13">IF(A12="","",IF(AND(OR(D16="2 &amp; APS",D16="3 &amp; APS",D16="4 &amp; APS",D16="5 &amp; APS"),D14="Futures"),CONCATENATE([1]AB3!$AP$7,INDEX([1]AB2!M:M,MATCH(D12,[1]AB2!B:B,0)),[1]AB3!$AQ$7),IF(AND(OR(D16="2 &amp; APS",D16="3 &amp; APS",D16="4 &amp; APS",D16="5 &amp; APS"),D14="Options Sell"),CONCATENATE([1]AB3!$AP$13,INDEX([1]AB2!L:L,MATCH(D12,[1]AB2!B:B,0)),[1]AB3!$AQ$13),IF(AND(OR(D16="2 &amp; APS",D16="3 &amp; APS",D16="4 &amp; APS",D16="5 &amp; APS"),D14="Options Buy"),CONCATENATE([1]AB3!$AP$19,INDEX([1]AB2!M:M,MATCH(D12,[1]AB2!B:B,0)),[1]AB3!$AQ$19),[1]AB3!$AR$6))))</f>
        <v>FUT : PRV : 2DHH</v>
      </c>
      <c r="AR13" s="51">
        <f>IF(AND(D14="Futures",AQ13=[1]AB3!$AW$7),[1]AB3!$AW$7,IF(AND(D14="Options Sell",AQ13=[1]AB3!$AW$13),[1]AB3!$AW$13,IF(AND(D14="Options Buy",AQ13=[1]AB3!$AW$19),[1]AB3!$AW$19,I12)))</f>
        <v>2.0000000000000001E-4</v>
      </c>
      <c r="AS13" s="52">
        <f t="shared" si="11"/>
        <v>3</v>
      </c>
      <c r="AT13" s="43" t="str">
        <f t="array" ref="AT13">IF(A12="","",IF(AND(OR(D16="3 &amp; APS",D16="4 &amp; APS",D16="5 &amp; APS"),D14="Futures"),CONCATENATE([1]AB3!$AP$7,INDEX([1]AB2!M:M,MATCH(D12,[1]AB2!B:B,0)),[1]AB3!$AQ$7),IF(AND(OR(D16="3 &amp; APS",D16="4 &amp; APS",D16="5 &amp; APS"),D14="Options Sell"),CONCATENATE([1]AB3!$AP$13,INDEX([1]AB2!L:L,MATCH(D12,[1]AB2!B:B,0)),[1]AB3!$AQ$13),IF(AND(OR(D16="3 &amp; APS",D16="4 &amp; APS",D16="5 &amp; APS"),D14="Options Buy"),CONCATENATE([1]AB3!$AP$19,INDEX([1]AB2!M:M,MATCH(D12,[1]AB2!B:B,0)),[1]AB3!$AQ$19),[1]AB3!$AR$6))))</f>
        <v>FUT : PRV : 2DHH</v>
      </c>
      <c r="AU13" s="51">
        <f>IF(AND(D14="Futures",AT13=[1]AB3!$AY$7),[1]AB3!$AY$7,IF(AND(D14="Options Sell",AT13=[1]AB3!$AY$13),[1]AB3!$AY$13,IF(AND(D14="Options Buy",AT13=[1]AB3!$AY$19),[1]AB3!$AY$19,I12)))</f>
        <v>2.0000000000000001E-4</v>
      </c>
      <c r="AV13" s="52">
        <f t="shared" si="12"/>
        <v>2</v>
      </c>
      <c r="AW13" s="43" t="str">
        <f t="array" ref="AW13">IF(A12="","",IF(AND(OR(D16="4 &amp; APS",D16="5 &amp; APS"),D14="Futures"),CONCATENATE([1]AB3!$AP$7,INDEX([1]AB2!M:M,MATCH(D12,[1]AB2!B:B,0)),[1]AB3!$AQ$7),IF(AND(OR(D16="4 &amp; APS",D16="5 &amp; APS"),D14="Options Sell"),CONCATENATE([1]AB3!$AP$13,INDEX([1]AB2!L:L,MATCH(D12,[1]AB2!B:B,0)),[1]AB3!$AQ$13),IF(AND(OR(D16="4 &amp; APS",D16="5 &amp; APS"),D14="Options Buy"),CONCATENATE([1]AB3!$AP$19,INDEX([1]AB2!M:M,MATCH(D12,[1]AB2!B:B,0)),[1]AB3!$AQ$19),[1]AB3!$AR$6))))</f>
        <v>FUT : PRV : 2DHH</v>
      </c>
      <c r="AX13" s="51">
        <f>IF(AND(D14="Futures",AW13=[1]AB3!$BA$7),[1]AB3!$BA$7,IF(AND(D14="Options Sell",AW13=[1]AB3!$BA$13),[1]AB3!$BA$13,IF(AND(D14="Options Buy",AW13=[1]AB3!$BA$19),[1]AB3!$BA$19,I12)))</f>
        <v>2.0000000000000001E-4</v>
      </c>
      <c r="AY13" s="52">
        <f t="shared" si="13"/>
        <v>1</v>
      </c>
      <c r="AZ13" s="51">
        <f t="array" ref="AZ13">IF(A12="","",IF(AND(D16="5 &amp; APS",D14="Futures"),CONCATENATE([1]AB3!$AP$7,INDEX([1]AB2!M:M,MATCH(D12,[1]AB2!B:B,0)),[1]AB3!$AQ$7),IF(AND(D16="5 &amp; APS",D14="Options Sell"),CONCATENATE([1]AB3!$AP$13,INDEX([1]AB2!L:L,MATCH(D12,[1]AB2!B:B,0)),[1]AB3!$AQ$13),IF(AND(D16="5 &amp; APS",D14="Options Buy"),CONCATENATE([1]AB3!$AP$19,INDEX([1]AB2!M:M,MATCH(D12,[1]AB2!B:B,0)),[1]AB3!$AQ$19),[1]AB3!$AR$6))))</f>
        <v>0</v>
      </c>
      <c r="BA13" s="51">
        <f>IF(AND(D14="Futures",AZ13=[1]AB3!$BC$7),[1]AB3!$BC$7,IF(AND(D14="Options Sell",AZ13=[1]AB3!$BC$13),[1]AB3!$BC$13,IF(AND(D14="Options Buy",AZ13=[1]AB3!$BC$19),[1]AB3!$BC$19,I12)))</f>
        <v>0</v>
      </c>
      <c r="BB13" s="52">
        <f t="shared" si="14"/>
        <v>0</v>
      </c>
      <c r="BC13" s="53"/>
      <c r="BD13" s="54" t="str">
        <f>IF(D14="Futures",[1]AB3!$BE$7,IF(D14="Options Sell",[1]AB3!$BE$13,IF(D14="Options Buy",[1]AB3!$BE$19)))</f>
        <v xml:space="preserve"> RC. Time</v>
      </c>
      <c r="BE13" s="55">
        <f>IF(D14="Futures",BE15+([1]AB3!$BF$7/1440),IF(D14="Options Sell",BE15+([1]AB3!$BF$13/1440),IF(D14="Options Buy",BE15+([1]AB3!$BF$19/1440))))</f>
        <v>0.38540972222222225</v>
      </c>
      <c r="BF13" s="55">
        <f>IF(D14="Futures",BE15+([1]AB3!$BG$7/1440),IF(D14="Options Sell",BE15+([1]AB3!$BG$13/1440),IF(D14="Options Buy",BE15+([1]AB3!$BG$19/1440))))</f>
        <v>0.38540972222222225</v>
      </c>
      <c r="BG13" s="55" t="str">
        <f>IF(D14="Futures",[1]AB3!$BH$7,IF(D14="Options Sell",[1]AB3!$BH$7,IF(D14="Options Buy",[1]AB3!$BH$7)))</f>
        <v>N.A.</v>
      </c>
      <c r="BH13" s="57"/>
      <c r="BI13" s="32"/>
      <c r="BJ13" s="61" t="str">
        <f>IF(D14="Futures",[1]AB3!$BK$7,IF(D14="Options Sell",[1]AB3!$BK$13,IF(D14="Options Buy",[1]AB3!$BK$19)))</f>
        <v>Short</v>
      </c>
      <c r="BK13" s="46">
        <v>5.0000000000000001E-4</v>
      </c>
      <c r="BL13" s="46">
        <v>2.0000000000000001E-4</v>
      </c>
      <c r="BM13" s="57"/>
      <c r="BN13" s="32"/>
      <c r="BO13" s="61" t="str">
        <f>IF(D14="Futures",[1]AB3!$BP$7,IF(D14="Options Sell",[1]AB3!$BP$13,IF(D14="Options Buy",[1]AB3!$BP$19)))</f>
        <v>Put</v>
      </c>
      <c r="BP13" s="43" t="str">
        <f t="array" ref="BP13">IF(A12="","",IF(D14="Futures","",IF(D14="EQUITY","",IF(D14="Options Sell",CONCATENATE([1]AB3!$BQ$13,INDEX([1]AB2!I:I,MATCH(A12,[1]AB2!A:A,0)),[1]AB3!$BR$13),IF(D14="Options Buy",CONCATENATE([1]AB3!$BQ$19,INDEX([1]AB2!I:I,MATCH(A12,[1]AB2!A:A,0)),[1]AB3!$BR$19))))))</f>
        <v/>
      </c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9"/>
      <c r="CL13" s="43"/>
      <c r="CM13" s="43"/>
      <c r="CN13" s="59"/>
      <c r="CO13" s="43"/>
      <c r="CP13" s="43"/>
      <c r="CQ13" s="59"/>
      <c r="CR13" s="43"/>
      <c r="CS13" s="43"/>
      <c r="CT13" s="59"/>
      <c r="CU13" s="43"/>
      <c r="CV13" s="59"/>
      <c r="CW13" s="59"/>
    </row>
    <row r="14" spans="1:101" ht="16.5" customHeight="1" x14ac:dyDescent="0.2">
      <c r="A14" s="60"/>
      <c r="B14" s="41" t="str">
        <f>CONCATENATE(D12,IF(D14="Futures",[1]AB3!$B$8,IF(D14="Options Sell",[1]AB3!$B$14,IF(D14="Options Buy",[1]AB3!$B$20))))</f>
        <v>S2C</v>
      </c>
      <c r="C14" s="42" t="str">
        <f>IF(D14="Futures",[1]AB3!$C$8,IF(D14="Options Sell",[1]AB3!$C$14,IF(D14="Options Buy",[1]AB3!$C$20)))</f>
        <v>Segment</v>
      </c>
      <c r="D14" s="43" t="str">
        <f t="array" ref="D14">IF(A12="","",INDEX([1]AB2!C:C,MATCH(D12,[1]AB2!B:B,0)))</f>
        <v>FUTURES</v>
      </c>
      <c r="E14" s="42" t="str">
        <f>IF(D14="Futures",[1]AB3!$E$8,IF(D14="Options Sell",[1]AB3!$E$14,IF(D14="Options Buy",[1]AB3!$E$20)))</f>
        <v>Contract</v>
      </c>
      <c r="F14" s="43" t="str">
        <f t="array" ref="F14">IF(A12="","",INDEX([1]AB2!F:F,MATCH(D12,[1]AB2!B:B,0)))</f>
        <v>MONTHLY</v>
      </c>
      <c r="G14" s="62"/>
      <c r="H14" s="62"/>
      <c r="I14" s="63"/>
      <c r="J14" s="64"/>
      <c r="K14" s="48"/>
      <c r="L14" s="62"/>
      <c r="M14" s="62"/>
      <c r="N14" s="63"/>
      <c r="O14" s="64"/>
      <c r="P14" s="63"/>
      <c r="Q14" s="64"/>
      <c r="R14" s="63"/>
      <c r="S14" s="64"/>
      <c r="T14" s="63"/>
      <c r="U14" s="64"/>
      <c r="V14" s="63"/>
      <c r="W14" s="64"/>
      <c r="X14" s="63"/>
      <c r="Y14" s="63"/>
      <c r="Z14" s="48"/>
      <c r="AA14" s="62"/>
      <c r="AB14" s="62"/>
      <c r="AC14" s="62"/>
      <c r="AD14" s="48"/>
      <c r="AE14" s="62"/>
      <c r="AF14" s="62"/>
      <c r="AG14" s="63"/>
      <c r="AH14" s="63"/>
      <c r="AI14" s="48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53"/>
      <c r="BD14" s="57"/>
      <c r="BE14" s="57"/>
      <c r="BF14" s="57"/>
      <c r="BG14" s="57"/>
      <c r="BH14" s="57"/>
      <c r="BI14" s="66"/>
      <c r="BJ14" s="62"/>
      <c r="BK14" s="63"/>
      <c r="BL14" s="63"/>
      <c r="BM14" s="57"/>
      <c r="BN14" s="66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59"/>
      <c r="CL14" s="62"/>
      <c r="CM14" s="62"/>
      <c r="CN14" s="59"/>
      <c r="CO14" s="62"/>
      <c r="CP14" s="62"/>
      <c r="CQ14" s="59"/>
      <c r="CR14" s="62"/>
      <c r="CS14" s="62"/>
      <c r="CT14" s="59"/>
      <c r="CU14" s="62"/>
      <c r="CV14" s="59"/>
      <c r="CW14" s="59"/>
    </row>
    <row r="15" spans="1:101" ht="24.75" customHeight="1" x14ac:dyDescent="0.2">
      <c r="A15" s="60"/>
      <c r="B15" s="41" t="str">
        <f>CONCATENATE(D12,IF(D14="Futures",[1]AB3!$B$9,IF(D14="Options Sell",[1]AB3!$B$15,IF(D14="Options Buy",[1]AB3!$B$21))))</f>
        <v>S2D</v>
      </c>
      <c r="C15" s="42" t="str">
        <f>IF(D14="Futures",[1]AB3!$C$9,IF(D14="Options Sell",[1]AB3!$C$15,IF(D14="Options Buy",[1]AB3!$C$21)))</f>
        <v>Symbol</v>
      </c>
      <c r="D15" s="43" t="str">
        <f t="array" ref="D15">IF(A12="","",INDEX([1]AB2!E:E,MATCH(D12,[1]AB2!B:B,0)))</f>
        <v>USDINR</v>
      </c>
      <c r="E15" s="44" t="str">
        <f>IF(D14="Futures",[1]AB3!$E$9,IF(D14="Options Sell",[1]AB3!$E$15,IF(D14="Options Buy",[1]AB3!$E$21)))</f>
        <v>Bear / 
Bear CF</v>
      </c>
      <c r="F15" s="45" t="str">
        <f>IF(D14="Futures",[1]AB3!$F$9,IF(D14="Options Sell",[1]AB3!$F$15,IF(D14="Options Buy",[1]AB3!$F$21)))</f>
        <v>Long</v>
      </c>
      <c r="G15" s="43" t="str">
        <f t="array" ref="G15">IF(A12="","",IF(D14="Futures",CONCATENATE([1]AB3!$G$9,INDEX([1]AB2!J:J,MATCH(D12,[1]AB2!B:B,0)),[1]AB3!$H$9),IF(D14="Options Sell",CONCATENATE([1]AB3!$G$15,INDEX([1]AB2!I:I,MATCH(D12,[1]AB2!B:B,0)),[1]AB3!$H$15),IF(D14="Options Buy",CONCATENATE([1]AB3!$G$21,INDEX([1]AB2!J:J,MATCH(D12,[1]AB2!B:B,0)),[1]AB3!$H$21)))))</f>
        <v>FUT : PRV : 4DHH</v>
      </c>
      <c r="H15" s="43" t="str">
        <f>IF(D14="Futures",[1]AB3!$I$9,IF(D14="Options Sell",[1]AB3!$I$15,IF(D14="Options Buy",[1]AB3!$I$21)))</f>
        <v xml:space="preserve"> + </v>
      </c>
      <c r="I15" s="46">
        <v>5.0000000000000001E-4</v>
      </c>
      <c r="J15" s="47">
        <v>5</v>
      </c>
      <c r="K15" s="48"/>
      <c r="L15" s="43" t="str">
        <f>IF(D14="Futures",[1]AB3!$M$9,IF(D14="Options Sell",[1]AB3!$M$15,IF(D14="Options Buy",[1]AB3!$M$21)))</f>
        <v xml:space="preserve">L : Entry </v>
      </c>
      <c r="M15" s="43" t="str">
        <f>IF(D14="Futures",[1]AB3!$N$9,IF(D14="Options Sell",[1]AB3!$N$15,IF(D14="Options Buy",[1]AB3!$N$21)))</f>
        <v xml:space="preserve"> + </v>
      </c>
      <c r="N15" s="46">
        <v>4.0000000000000001E-3</v>
      </c>
      <c r="O15" s="47">
        <v>1</v>
      </c>
      <c r="P15" s="46">
        <v>6.0000000000000001E-3</v>
      </c>
      <c r="Q15" s="47">
        <v>1</v>
      </c>
      <c r="R15" s="46">
        <v>8.0000000000000002E-3</v>
      </c>
      <c r="S15" s="47">
        <v>1</v>
      </c>
      <c r="T15" s="46">
        <v>0.01</v>
      </c>
      <c r="U15" s="47">
        <v>1</v>
      </c>
      <c r="V15" s="50" t="s">
        <v>51</v>
      </c>
      <c r="W15" s="47">
        <v>1</v>
      </c>
      <c r="X15" s="50" t="s">
        <v>52</v>
      </c>
      <c r="Y15" s="50" t="s">
        <v>52</v>
      </c>
      <c r="Z15" s="48"/>
      <c r="AA15" s="43" t="str">
        <f>IF(D14="Futures",[1]AB3!$AD$9,IF(D14="Options Sell",[1]AB3!$AD$15,IF(D14="Options Buy",[1]AB3!$AD$21)))</f>
        <v>Max</v>
      </c>
      <c r="AB15" s="43" t="str">
        <f>IF(D14="Futures",[1]AB3!$AE$9,IF(D14="Options Sell",[1]AB3!$AE$15,IF(D14="Options Buy",[1]AB3!$AE$21)))</f>
        <v>MSL &amp; TSL</v>
      </c>
      <c r="AC15" s="43" t="str">
        <f>IF(D14="Futures",[1]AB3!$AF$9,IF(D14="Options Sell",[1]AB3!$AF$15,IF(D14="Options Buy",[1]AB3!$AF$21)))</f>
        <v>Entry &amp; TRP</v>
      </c>
      <c r="AD15" s="48"/>
      <c r="AE15" s="43" t="str">
        <f>IF(D14="Futures",[1]AB3!$AH$9,IF(D14="Options Sell",[1]AB3!$AH$15,IF(D14="Options Buy",[1]AB3!$AH$21)))</f>
        <v>L : Entry</v>
      </c>
      <c r="AF15" s="43" t="str">
        <f>IF(D14="Futures",[1]AB3!$AI$9,IF(D14="Options Sell",[1]AB3!$AI$15,IF(D14="Options Buy",[1]AB3!$AI$21)))</f>
        <v xml:space="preserve"> - </v>
      </c>
      <c r="AG15" s="46">
        <v>4.0000000000000001E-3</v>
      </c>
      <c r="AH15" s="46">
        <v>0</v>
      </c>
      <c r="AI15" s="48"/>
      <c r="AJ15" s="43" t="str">
        <f>IF(D14="Futures",[1]AB3!$AO$9,IF(D14="Options Sell",[1]AB3!$AO$15,IF(D14="Options Buy",[1]AB3!$AO$21)))</f>
        <v xml:space="preserve"> - </v>
      </c>
      <c r="AK15" s="43" t="str">
        <f t="array" ref="AK15">IF(A12="","",IF(D14="Futures",CONCATENATE([1]AB3!$AP$9,INDEX([1]AB2!M:M,MATCH(D12,[1]AB2!B:B,0)),[1]AB3!$AQ$9),IF(D14="Options Sell",CONCATENATE([1]AB3!$AP$15,INDEX([1]AB2!L:L,MATCH(D12,[1]AB2!B:B,0)),[1]AB3!$AQ$15),IF(D14="Options Buy",CONCATENATE([1]AB3!$AP$21,INDEX([1]AB2!M:M,MATCH(D12,[1]AB2!B:B,0)),[1]AB3!$AQ$21)))))</f>
        <v>FUT : PRV : 2DLL</v>
      </c>
      <c r="AL15" s="51">
        <f>IF(AND(D14="Futures",AK15=[1]AB3!$AS$9),[1]AB3!$AS$9,IF(AND(D14="Options Sell",AK15=[1]AB3!$AS$15),[1]AB3!$AS$15,IF(AND(D14="Options Buy",AK15=[1]AB3!$AS$21),[1]AB3!$AS$21,I16)))</f>
        <v>2.0000000000000001E-4</v>
      </c>
      <c r="AM15" s="52">
        <f>J16</f>
        <v>5</v>
      </c>
      <c r="AN15" s="43" t="str">
        <f t="array" ref="AN15">IF(A12="","",IF(AND(OR(D16="1 &amp; APS",D16="2 &amp; APS",D16="3 &amp; APS",D16="4 &amp; APS",D16="5 &amp; APS"),D14="Futures"),CONCATENATE([1]AB3!$AP$9,INDEX([1]AB2!M:M,MATCH(D12,[1]AB2!B:B,0)),[1]AB3!$AQ$9),IF(AND(OR(D16="1 &amp; APS",D16="2 &amp; APS",D16="3 &amp; APS",D16="4 &amp; APS",D16="5 &amp; APS"),D14="Options Sell"),CONCATENATE([1]AB3!$AP$15,INDEX([1]AB2!L:L,MATCH(D12,[1]AB2!B:B,0)),[1]AB3!$AQ$15),IF(AND(OR(D16="1 &amp; APS",D16="2 &amp; APS",D16="3 &amp; APS",D16="4 &amp; APS",D16="5 &amp; APS"),D14="Options Buy"),CONCATENATE([1]AB3!$AP$21,INDEX([1]AB2!M:M,MATCH(D12,[1]AB2!B:B,0)),[1]AB3!$AQ$21),[1]AB3!$AR$6))))</f>
        <v>FUT : PRV : 2DLL</v>
      </c>
      <c r="AO15" s="51">
        <f>IF(AND(D14="Futures",AN15=[1]AB3!$AU$9),[1]AB3!$AU$9,IF(AND(D14="Options Sell",AN15=[1]AB3!$AU$15),[1]AB3!$AU$15,IF(AND(D14="Options Buy",AN15=[1]AB3!$AU$21),[1]AB3!$AU$21,I16)))</f>
        <v>2.0000000000000001E-4</v>
      </c>
      <c r="AP15" s="52">
        <f t="shared" ref="AP15:AP16" si="15">AM15-O15</f>
        <v>4</v>
      </c>
      <c r="AQ15" s="43" t="str">
        <f t="array" ref="AQ15">IF(A12="","",IF(AND(OR(D16="2 &amp; APS",D16="3 &amp; APS",D16="4 &amp; APS",D16="5 &amp; APS"),D14="Futures"),CONCATENATE([1]AB3!$AP$9,INDEX([1]AB2!M:M,MATCH(D12,[1]AB2!B:B,0)),[1]AB3!$AQ$9),IF(AND(OR(D16="2 &amp; APS",D16="3 &amp; APS",D16="4 &amp; APS",D16="5 &amp; APS"),D14="Options Sell"),CONCATENATE([1]AB3!$AP$15,INDEX([1]AB2!L:L,MATCH(D12,[1]AB2!B:B,0)),[1]AB3!$AQ$15),IF(AND(OR(D16="2 &amp; APS",D16="3 &amp; APS",D16="4 &amp; APS",D16="5 &amp; APS"),D14="Options Buy"),CONCATENATE([1]AB3!$AP$21,INDEX([1]AB2!M:M,MATCH(D12,[1]AB2!B:B,0)),[1]AB3!$AQ$21),[1]AB3!$AR$6))))</f>
        <v>FUT : PRV : 2DLL</v>
      </c>
      <c r="AR15" s="51">
        <f>IF(AND(D14="Futures",AQ15=[1]AB3!$AW$9),[1]AB3!$AW$9,IF(AND(D14="Options Sell",AQ15=[1]AB3!$AW$15),[1]AB3!$AW$15,IF(AND(D14="Options Buy",AQ15=[1]AB3!$AW$21),[1]AB3!$AW$21,I16)))</f>
        <v>2.0000000000000001E-4</v>
      </c>
      <c r="AS15" s="52">
        <f t="shared" ref="AS15:AS16" si="16">AP15-Q15</f>
        <v>3</v>
      </c>
      <c r="AT15" s="43" t="str">
        <f t="array" ref="AT15">IF(A12="","",IF(AND(OR(D16="3 &amp; APS",D16="4 &amp; APS",D16="5 &amp; APS"),D14="Futures"),CONCATENATE([1]AB3!$AP$9,INDEX([1]AB2!M:M,MATCH(D12,[1]AB2!B:B,0)),[1]AB3!$AQ$9),IF(AND(OR(D16="3 &amp; APS",D16="4 &amp; APS",D16="5 &amp; APS"),D14="Options Sell"),CONCATENATE([1]AB3!$AP$15,INDEX([1]AB2!L:L,MATCH(D12,[1]AB2!B:B,0)),[1]AB3!$AQ$15),IF(AND(OR(D16="3 &amp; APS",D16="4 &amp; APS",D16="5 &amp; APS"),D14="Options Buy"),CONCATENATE([1]AB3!$AP$21,INDEX([1]AB2!M:M,MATCH(D12,[1]AB2!B:B,0)),[1]AB3!$AQ$21),[1]AB3!$AR$6))))</f>
        <v>FUT : PRV : 2DLL</v>
      </c>
      <c r="AU15" s="51">
        <f>IF(AND(D14="Futures",AT15=[1]AB3!$AY$9),[1]AB3!$AY$9,IF(AND(D14="Options Sell",AT15=[1]AB3!$AY$15),[1]AB3!$AY$15,IF(AND(D14="Options Buy",AT15=[1]AB3!$AY$21),[1]AB3!$AY$21,I16)))</f>
        <v>2.0000000000000001E-4</v>
      </c>
      <c r="AV15" s="52">
        <f t="shared" ref="AV15:AV16" si="17">AS15-S15</f>
        <v>2</v>
      </c>
      <c r="AW15" s="43" t="str">
        <f t="array" ref="AW15">IF(A12="","",IF(AND(OR(D16="4 &amp; APS",D16="5 &amp; APS"),D14="Futures"),CONCATENATE([1]AB3!$AP$9,INDEX([1]AB2!M:M,MATCH(D12,[1]AB2!B:B,0)),[1]AB3!$AQ$9),IF(AND(OR(D16="4 &amp; APS",D16="5 &amp; APS"),D14="Options Sell"),CONCATENATE([1]AB3!$AP$15,INDEX([1]AB2!L:L,MATCH(D12,[1]AB2!B:B,0)),[1]AB3!$AQ$15),IF(AND(OR(D16="4 &amp; APS",D16="5 &amp; APS"),D14="Options Buy"),CONCATENATE([1]AB3!$AP$21,INDEX([1]AB2!M:M,MATCH(D12,[1]AB2!B:B,0)),[1]AB3!$AQ$21),[1]AB3!$AR$6))))</f>
        <v>FUT : PRV : 2DLL</v>
      </c>
      <c r="AX15" s="51">
        <f>IF(AND(D14="Futures",AW15=[1]AB3!$BA$9),[1]AB3!$BA$9,IF(AND(D14="Options Sell",AW15=[1]AB3!$BA$15),[1]AB3!$BA$15,IF(AND(D14="Options Buy",AW15=[1]AB3!$BA$21),[1]AB3!$BA$21,I16)))</f>
        <v>2.0000000000000001E-4</v>
      </c>
      <c r="AY15" s="52">
        <f t="shared" ref="AY15:AY16" si="18">AV15-S15</f>
        <v>1</v>
      </c>
      <c r="AZ15" s="51">
        <f t="array" ref="AZ15">IF(A12="","",IF(AND(D16="5 &amp; APS",D14="Futures"),CONCATENATE([1]AB3!$AP$9,INDEX([1]AB2!M:M,MATCH(D12,[1]AB2!B:B,0)),[1]AB3!$AQ$9),IF(AND(D16="5 &amp; APS",D14="Options Sell"),CONCATENATE([1]AB3!$AP$15,INDEX([1]AB2!L:L,MATCH(D12,[1]AB2!B:B,0)),[1]AB3!$AQ$15),IF(AND(D16="5 &amp; APS",D14="Options Buy"),CONCATENATE([1]AB3!$AP$21,INDEX([1]AB2!M:M,MATCH(D12,[1]AB2!B:B,0)),[1]AB3!$AQ$21),[1]AB3!$AR$6))))</f>
        <v>0</v>
      </c>
      <c r="BA15" s="51">
        <f>IF(AND(D14="Futures",AZ15=[1]AB3!$BC$9),[1]AB3!$BC$9,IF(AND(D14="Options Sell",AZ15=[1]AB3!$BC$15),[1]AB3!$BC$15,IF(AND(D14="Options Buy",AZ15=[1]AB3!$BC$21),[1]AB3!$BC$21,I16)))</f>
        <v>0</v>
      </c>
      <c r="BB15" s="52">
        <f t="shared" ref="BB15:BB16" si="19">AY15-W15</f>
        <v>0</v>
      </c>
      <c r="BC15" s="53"/>
      <c r="BD15" s="54" t="str">
        <f>IF(D14="Futures",[1]AB3!$BE$9,IF(D14="Options Sell",[1]AB3!$BE$15,IF(D14="Options Buy",[1]AB3!$BE$21)))</f>
        <v>Market Start Time</v>
      </c>
      <c r="BE15" s="67">
        <f t="array" ref="BE15">IF(D12="","",INDEX([1]AB2!AG:AG,MATCH(D12,[1]AB2!B:B,0)))</f>
        <v>0.375</v>
      </c>
      <c r="BF15" s="11"/>
      <c r="BG15" s="12"/>
      <c r="BH15" s="57"/>
      <c r="BI15" s="68" t="str">
        <f>IF(D14="Futures",[1]AB3!$BJ$9,IF(D14="Options Sell",[1]AB3!$BJ$15,IF(D14="Options Buy",[1]AB3!$BJ$21)))</f>
        <v>Bear / 
Bear CF</v>
      </c>
      <c r="BJ15" s="45" t="str">
        <f>IF(D14="Futures",[1]AB3!$BK$9,IF(D14="Options Sell",[1]AB3!$BK$15,IF(D14="Options Buy",[1]AB3!$BK$21)))</f>
        <v>Long</v>
      </c>
      <c r="BK15" s="46">
        <v>5.0000000000000001E-4</v>
      </c>
      <c r="BL15" s="46">
        <v>2.0000000000000001E-4</v>
      </c>
      <c r="BM15" s="57"/>
      <c r="BN15" s="68" t="str">
        <f>IF(D14="Futures",[1]AB3!$BO$9,IF(D14="Options Sell",[1]AB3!$BO$15,IF(D14="Options Buy",[1]AB3!$BO$21)))</f>
        <v>Bear | 
Bear CF</v>
      </c>
      <c r="BO15" s="45" t="str">
        <f>IF(D14="Futures",[1]AB3!$BP$9,IF(D14="Options Sell",[1]AB3!$BP$15,IF(D14="Options Buy",[1]AB3!$BP$21)))</f>
        <v>Call</v>
      </c>
      <c r="BP15" s="43" t="str">
        <f t="array" ref="BP15">IF(A12="","",IF(D14="Futures","",IF(D14="EQUITY","",IF(D14="Options Sell",CONCATENATE([1]AB3!$BQ$15,INDEX([1]AB2!I:I,MATCH(A12,[1]AB2!A:A,0)),[1]AB3!$BR$15),IF(D14="Options Buy",CONCATENATE([1]AB3!$BQ$21,INDEX([1]AB2!I:I,MATCH(A12,[1]AB2!A:A,0)),[1]AB3!$BR$21))))))</f>
        <v/>
      </c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9"/>
      <c r="CL15" s="43"/>
      <c r="CM15" s="43"/>
      <c r="CN15" s="59"/>
      <c r="CO15" s="43"/>
      <c r="CP15" s="43"/>
      <c r="CQ15" s="59"/>
      <c r="CR15" s="43"/>
      <c r="CS15" s="43"/>
      <c r="CT15" s="59"/>
      <c r="CU15" s="43"/>
      <c r="CV15" s="59"/>
      <c r="CW15" s="59"/>
    </row>
    <row r="16" spans="1:101" ht="24" customHeight="1" x14ac:dyDescent="0.2">
      <c r="A16" s="32"/>
      <c r="B16" s="41" t="str">
        <f>CONCATENATE(D12,IF(D14="Futures",[1]AB3!$B$10,IF(D14="Options Sell",[1]AB3!$B$16,IF(D14="Options Buy",[1]AB3!$B$22))))</f>
        <v>S2E</v>
      </c>
      <c r="C16" s="42" t="str">
        <f>IF(D14="Futures",[1]AB3!$C$10,IF(D14="Options Sell",[1]AB3!$C$16,IF(D14="Options Buy",[1]AB3!$C$22)))</f>
        <v>No. of Targets</v>
      </c>
      <c r="D16" s="43" t="str">
        <f t="array" ref="D16">IF(A12="","",INDEX([1]AB2!K:K,MATCH(D12,[1]AB2!B:B,0)))</f>
        <v>4 &amp; APS</v>
      </c>
      <c r="E16" s="32"/>
      <c r="F16" s="61" t="str">
        <f>IF(D14="Futures",[1]AB3!$F$10,IF(D14="Options Sell",[1]AB3!$F$16,IF(D14="Options Buy",[1]AB3!$F$22)))</f>
        <v>Short</v>
      </c>
      <c r="G16" s="43" t="str">
        <f t="array" ref="G16">(IF(A12="","",IF(D14="Futures",CONCATENATE([1]AB3!$G$10,INDEX([1]AB2!I:I,MATCH(D12,[1]AB2!B:B,0)),[1]AB3!$H$10),IF(D14="Options Sell",CONCATENATE([1]AB3!$G$16,INDEX([1]AB2!J:J,MATCH(D12,[1]AB2!B:B,0)),[1]AB3!$H$16),IF(D14="Options Buy",CONCATENATE([1]AB3!$G$22,INDEX([1]AB2!I:I,MATCH(D12,[1]AB2!B:B,0)),[1]AB3!$H$22))))))</f>
        <v>FUT : PRV : 2DLL</v>
      </c>
      <c r="H16" s="43" t="str">
        <f>IF(D14="Futures",[1]AB3!$I$10,IF(D14="Options Sell",[1]AB3!$I$16,IF(D14="Options Buy",[1]AB3!$I$22)))</f>
        <v xml:space="preserve"> - </v>
      </c>
      <c r="I16" s="46">
        <v>2.0000000000000001E-4</v>
      </c>
      <c r="J16" s="47">
        <v>5</v>
      </c>
      <c r="K16" s="48"/>
      <c r="L16" s="43" t="str">
        <f>IF(D14="Futures",[1]AB3!$M$10,IF(D14="Options Sell",[1]AB3!$M$16,IF(D14="Options Buy",[1]AB3!$M$22)))</f>
        <v xml:space="preserve">S : Entry </v>
      </c>
      <c r="M16" s="43" t="str">
        <f>IF(D14="Futures",[1]AB3!$N$10,IF(D14="Options Sell",[1]AB3!$N$16,IF(D14="Options Buy",[1]AB3!$N$22)))</f>
        <v xml:space="preserve"> - </v>
      </c>
      <c r="N16" s="46">
        <v>4.0000000000000001E-3</v>
      </c>
      <c r="O16" s="47">
        <v>1</v>
      </c>
      <c r="P16" s="46">
        <v>6.0000000000000001E-3</v>
      </c>
      <c r="Q16" s="47">
        <v>1</v>
      </c>
      <c r="R16" s="46">
        <v>8.0000000000000002E-3</v>
      </c>
      <c r="S16" s="47">
        <v>1</v>
      </c>
      <c r="T16" s="46">
        <v>0.01</v>
      </c>
      <c r="U16" s="47">
        <v>1</v>
      </c>
      <c r="V16" s="50" t="s">
        <v>51</v>
      </c>
      <c r="W16" s="47">
        <v>1</v>
      </c>
      <c r="X16" s="50" t="s">
        <v>52</v>
      </c>
      <c r="Y16" s="50" t="s">
        <v>52</v>
      </c>
      <c r="Z16" s="48"/>
      <c r="AA16" s="43" t="str">
        <f>IF(D14="Futures",[1]AB3!$AD$10,IF(D14="Options Sell",[1]AB3!$AD$16,IF(D14="Options Buy",[1]AB3!$AD$22)))</f>
        <v>Min</v>
      </c>
      <c r="AB16" s="43" t="str">
        <f>IF(D14="Futures",[1]AB3!$AE$10,IF(D14="Options Sell",[1]AB3!$AE$16,IF(D14="Options Buy",[1]AB3!$AE$22)))</f>
        <v>MSL &amp; TSL</v>
      </c>
      <c r="AC16" s="43" t="str">
        <f>IF(D14="Futures",[1]AB3!$AF$10,IF(D14="Options Sell",[1]AB3!$AF$16,IF(D14="Options Buy",[1]AB3!$AF$22)))</f>
        <v>Entry &amp; TRP</v>
      </c>
      <c r="AD16" s="48"/>
      <c r="AE16" s="43" t="str">
        <f>IF(D14="Futures",[1]AB3!$AH$10,IF(D14="Options Sell",[1]AB3!$AH$16,IF(D14="Options Buy",[1]AB3!$AH$22)))</f>
        <v>S : Entry</v>
      </c>
      <c r="AF16" s="43" t="str">
        <f>IF(D14="Futures",[1]AB3!$AI$10,IF(D14="Options Sell",[1]AB3!$AI$16,IF(D14="Options Buy",[1]AB3!$AI$22)))</f>
        <v xml:space="preserve"> + </v>
      </c>
      <c r="AG16" s="46">
        <v>4.0000000000000001E-3</v>
      </c>
      <c r="AH16" s="46">
        <v>0</v>
      </c>
      <c r="AI16" s="48"/>
      <c r="AJ16" s="43" t="str">
        <f>IF(D14="Futures",[1]AB3!$AO$10,IF(D14="Options Sell",[1]AB3!$AO$16,IF(D14="Options Buy",[1]AB3!$AO$22)))</f>
        <v xml:space="preserve"> + </v>
      </c>
      <c r="AK16" s="43" t="str">
        <f t="array" ref="AK16">IF(A12="","",IF(D14="Futures",CONCATENATE([1]AB3!$AP$10,INDEX([1]AB2!L:L,MATCH(D12,[1]AB2!B:B,0)),[1]AB3!$AQ$10),IF(D14="Options Sell",CONCATENATE([1]AB3!$AP$16,INDEX([1]AB2!M:M,MATCH(D12,[1]AB2!B:B,0)),[1]AB3!$AQ$16),IF(D14="Options Buy",CONCATENATE([1]AB3!$AP$22,INDEX([1]AB2!L:L,MATCH(D12,[1]AB2!B:B,0)),[1]AB3!$AQ$22)))))</f>
        <v>FUT : PRV : 4DHH</v>
      </c>
      <c r="AL16" s="51">
        <f>IF(AND(D14="Futures",AK16=[1]AB3!$AS$10),[1]AB3!$AS$10,IF(AND(D14="Options Sell",AK16=[1]AB3!$AS$16),[1]AB3!$AS$16,IF(AND(D14="Options Buy",AK16=[1]AB3!$AS$22),[1]AB3!$AS$22,I15)))</f>
        <v>5.0000000000000001E-4</v>
      </c>
      <c r="AM16" s="52">
        <f>J15</f>
        <v>5</v>
      </c>
      <c r="AN16" s="43" t="str">
        <f t="array" ref="AN16">IF(A12="","",IF(AND(OR(D16="1 &amp; APS",D16="2 &amp; APS",D16="3 &amp; APS",D16="4 &amp; APS",D16="5 &amp; APS"),D14="Futures"),CONCATENATE([1]AB3!$AP$10,INDEX([1]AB2!L:L,MATCH(D12,[1]AB2!B:B,0)),[1]AB3!$AQ$10),IF(AND(OR(D16="1 &amp; APS",D16="2 &amp; APS",D16="3 &amp; APS",D16="4 &amp; APS",D16="5 &amp; APS"),D14="Options Sell"),CONCATENATE([1]AB3!$AP$16,INDEX([1]AB2!M:M,MATCH(D12,[1]AB2!B:B,0)),[1]AB3!$AQ$16),IF(AND(OR(D16="1 &amp; APS",D16="2 &amp; APS",D16="3 &amp; APS",D16="4 &amp; APS",D16="5 &amp; APS"),D14="Options Buy"),CONCATENATE([1]AB3!$AP$22,INDEX([1]AB2!L:L,MATCH(D12,[1]AB2!B:B,0)),[1]AB3!$AQ$22),[1]AB3!$AR$6))))</f>
        <v>FUT : PRV : 4DHH</v>
      </c>
      <c r="AO16" s="51">
        <f>IF(AND(D14="Futures",AN16=[1]AB3!$AU$10),[1]AB3!$AU$10,IF(AND(D14="Options Sell",AN16=[1]AB3!$AU$16),[1]AB3!$AU$16,IF(AND(D14="Options Buy",AN16=[1]AB3!$AU$22),[1]AB3!$AU$22,I15)))</f>
        <v>5.0000000000000001E-4</v>
      </c>
      <c r="AP16" s="52">
        <f t="shared" si="15"/>
        <v>4</v>
      </c>
      <c r="AQ16" s="43" t="str">
        <f t="array" ref="AQ16">IF(A12="","",IF(AND(OR(D16="2 &amp; APS",D16="3 &amp; APS",D16="4 &amp; APS",D16="5 &amp; APS"),D14="Futures"),CONCATENATE([1]AB3!$AP$10,INDEX([1]AB2!L:L,MATCH(D12,[1]AB2!B:B,0)),[1]AB3!$AQ$10),IF(AND(OR(D16="2 &amp; APS",D16="3 &amp; APS",D16="4 &amp; APS",D16="5 &amp; APS"),D14="Options Sell"),CONCATENATE([1]AB3!$AP$16,INDEX([1]AB2!M:M,MATCH(D12,[1]AB2!B:B,0)),[1]AB3!$AQ$16),IF(AND(OR(D16="2 &amp; APS",D16="3 &amp; APS",D16="4 &amp; APS",D16="5 &amp; APS"),D14="Options Buy"),CONCATENATE([1]AB3!$AP$22,INDEX([1]AB2!L:L,MATCH(D12,[1]AB2!B:B,0)),[1]AB3!$AQ$22),[1]AB3!$AR$6))))</f>
        <v>FUT : PRV : 4DHH</v>
      </c>
      <c r="AR16" s="51">
        <f>IF(AND(D14="Futures",AQ16=[1]AB3!$AW$10),[1]AB3!$AW$10,IF(AND(D14="Options Sell",AQ16=[1]AB3!$AW$16),[1]AB3!$AW$16,IF(AND(D14="Options Buy",AQ16=[1]AB3!$AW$22),[1]AB3!$AW$22,I15)))</f>
        <v>5.0000000000000001E-4</v>
      </c>
      <c r="AS16" s="52">
        <f t="shared" si="16"/>
        <v>3</v>
      </c>
      <c r="AT16" s="43" t="str">
        <f t="array" ref="AT16">IF(A12="","",IF(AND(OR(D16="3 &amp; APS",D16="4 &amp; APS",D16="5 &amp; APS"),D14="Futures"),CONCATENATE([1]AB3!$AP$10,INDEX([1]AB2!L:L,MATCH(D12,[1]AB2!B:B,0)),[1]AB3!$AQ$10),IF(AND(OR(D16="3 &amp; APS",D16="4 &amp; APS",D16="5 &amp; APS"),D14="Options Sell"),CONCATENATE([1]AB3!$AP$16,INDEX([1]AB2!M:M,MATCH(D12,[1]AB2!B:B,0)),[1]AB3!$AQ$16),IF(AND(OR(D16="3 &amp; APS",D16="4 &amp; APS",D16="5 &amp; APS"),D14="Options Buy"),CONCATENATE([1]AB3!$AP$22,INDEX([1]AB2!L:L,MATCH(D12,[1]AB2!B:B,0)),[1]AB3!$AQ$22),[1]AB3!$AR$6))))</f>
        <v>FUT : PRV : 4DHH</v>
      </c>
      <c r="AU16" s="51">
        <f>IF(AND(D14="Futures",AT16=[1]AB3!$AY$10),[1]AB3!$AY$10,IF(AND(D14="Options Sell",AT16=[1]AB3!$AY$16),[1]AB3!$AY$16,IF(AND(D14="Options Buy",AT16=[1]AB3!$AY$22),[1]AB3!$AY$22,I15)))</f>
        <v>5.0000000000000001E-4</v>
      </c>
      <c r="AV16" s="52">
        <f t="shared" si="17"/>
        <v>2</v>
      </c>
      <c r="AW16" s="43" t="str">
        <f t="array" ref="AW16">IF(A12="","",IF(AND(OR(D16="4 &amp; APS",D16="5 &amp; APS"),D14="Futures"),CONCATENATE([1]AB3!$AP$10,INDEX([1]AB2!L:L,MATCH(D12,[1]AB2!B:B,0)),[1]AB3!$AQ$10),IF(AND(OR(D16="4 &amp; APS",D16="5 &amp; APS"),D14="Options Sell"),CONCATENATE([1]AB3!$AP$16,INDEX([1]AB2!M:M,MATCH(D12,[1]AB2!B:B,0)),[1]AB3!$AQ$16),IF(AND(OR(D16="4 &amp; APS",D16="5 &amp; APS"),D14="Options Buy"),CONCATENATE([1]AB3!$AP$22,INDEX([1]AB2!L:L,MATCH(D12,[1]AB2!B:B,0)),[1]AB3!$AQ$22),[1]AB3!$AR$6))))</f>
        <v>FUT : PRV : 4DHH</v>
      </c>
      <c r="AX16" s="51">
        <f>IF(AND(D14="Futures",AW16=[1]AB3!$BA$10),[1]AB3!$BA$10,IF(AND(D14="Options Sell",AW16=[1]AB3!$BA$16),[1]AB3!$BA$16,IF(AND(D14="Options Buy",AW16=[1]AB3!$BA$22),[1]AB3!$BA$22,I15)))</f>
        <v>5.0000000000000001E-4</v>
      </c>
      <c r="AY16" s="52">
        <f t="shared" si="18"/>
        <v>1</v>
      </c>
      <c r="AZ16" s="51">
        <f t="array" ref="AZ16">IF(A12="","",IF(AND(D16="5 &amp; APS",D14="Futures"),CONCATENATE([1]AB3!$AP$10,INDEX([1]AB2!L:L,MATCH(D12,[1]AB2!B:B,0)),[1]AB3!$AQ$10),IF(AND(D16="5 &amp; APS",D14="Options Sell"),CONCATENATE([1]AB3!$AP$16,INDEX([1]AB2!M:M,MATCH(D12,[1]AB2!B:B,0)),[1]AB3!$AQ$16),IF(AND(D16="5 &amp; APS",D14="Options Buy"),CONCATENATE([1]AB3!$AP$22,INDEX([1]AB2!L:L,MATCH(D12,[1]AB2!B:B,0)),[1]AB3!$AQ$22),[1]AB3!$AR$6))))</f>
        <v>0</v>
      </c>
      <c r="BA16" s="51">
        <f>IF(AND(D14="Futures",AZ16=[1]AB3!$BC$10),[1]AB3!$BC$10,IF(AND(D14="Options Sell",AZ16=[1]AB3!$BC$16),[1]AB3!$BC$16,IF(AND(D14="Options Buy",AZ16=[1]AB3!$BC$22),[1]AB3!$BC$22,I15)))</f>
        <v>0</v>
      </c>
      <c r="BB16" s="52">
        <f t="shared" si="19"/>
        <v>0</v>
      </c>
      <c r="BC16" s="53"/>
      <c r="BD16" s="54" t="str">
        <f>IF(D14="Futures",[1]AB3!$BE$10,IF(D14="Options Sell",[1]AB3!$BE$16,IF(D14="Options Buy",[1]AB3!$BE$22)))</f>
        <v>Market End Time</v>
      </c>
      <c r="BE16" s="67">
        <f t="array" ref="BE16">IF(D12="","",INDEX([1]AB2!AH:AH,MATCH(D12,[1]AB2!B:B,0)))</f>
        <v>0.70833333333333337</v>
      </c>
      <c r="BF16" s="11"/>
      <c r="BG16" s="12"/>
      <c r="BH16" s="57"/>
      <c r="BI16" s="32"/>
      <c r="BJ16" s="61" t="str">
        <f>IF(D14="Futures",[1]AB3!$BK$10,IF(D14="Options Sell",[1]AB3!$BK$16,IF(D14="Options Buy",[1]AB3!$BK$22)))</f>
        <v>Short</v>
      </c>
      <c r="BK16" s="46">
        <v>2.0000000000000001E-4</v>
      </c>
      <c r="BL16" s="46">
        <v>5.0000000000000001E-4</v>
      </c>
      <c r="BM16" s="57"/>
      <c r="BN16" s="32"/>
      <c r="BO16" s="61" t="str">
        <f>IF(D14="Futures",[1]AB3!$BP$10,IF(D14="Options Sell",[1]AB3!$BP$16,IF(D14="Options Buy",[1]AB3!$BP$22)))</f>
        <v>Put</v>
      </c>
      <c r="BP16" s="43" t="str">
        <f t="array" ref="BP16">IF(A12="","",IF(D14="Futures","",IF(D14="EQUITY","",IF(D14="Options Sell",CONCATENATE([1]AB3!$BQ$16,INDEX([1]AB2!J:J,MATCH(A12,[1]AB2!A:A,0)),[1]AB3!$BR$16),IF(D14="Options Buy",CONCATENATE([1]AB3!$BQ$22,INDEX([1]AB2!J:J,MATCH(A12,[1]AB2!A:A,0)),[1]AB3!$BR$22))))))</f>
        <v/>
      </c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9"/>
      <c r="CL16" s="43"/>
      <c r="CM16" s="43"/>
      <c r="CN16" s="59"/>
      <c r="CO16" s="43"/>
      <c r="CP16" s="43"/>
      <c r="CQ16" s="59"/>
      <c r="CR16" s="43"/>
      <c r="CS16" s="43"/>
      <c r="CT16" s="59"/>
      <c r="CU16" s="43"/>
      <c r="CV16" s="59"/>
      <c r="CW16" s="59"/>
    </row>
    <row r="17" spans="1:101" ht="15.75" customHeight="1" x14ac:dyDescent="0.2">
      <c r="A17" s="1"/>
      <c r="B17" s="2"/>
      <c r="C17" s="2"/>
      <c r="D17" s="2"/>
      <c r="E17" s="2"/>
      <c r="F17" s="2"/>
      <c r="G17" s="2"/>
      <c r="H17" s="2"/>
      <c r="I17" s="2"/>
      <c r="J17" s="64"/>
      <c r="K17" s="2"/>
      <c r="L17" s="2"/>
      <c r="M17" s="2"/>
      <c r="N17" s="2"/>
      <c r="O17" s="64"/>
      <c r="P17" s="2"/>
      <c r="Q17" s="64"/>
      <c r="R17" s="69"/>
      <c r="S17" s="64"/>
      <c r="T17" s="70"/>
      <c r="U17" s="64"/>
      <c r="V17" s="2"/>
      <c r="W17" s="64"/>
      <c r="X17" s="2"/>
      <c r="Y17" s="2"/>
      <c r="Z17" s="2"/>
      <c r="AA17" s="20"/>
      <c r="AB17" s="71"/>
      <c r="AC17" s="71"/>
      <c r="AD17" s="2"/>
      <c r="AE17" s="70"/>
      <c r="AF17" s="70"/>
      <c r="AG17" s="70"/>
      <c r="AH17" s="70"/>
      <c r="AI17" s="2"/>
      <c r="AJ17" s="70"/>
      <c r="AK17" s="70"/>
      <c r="AL17" s="70"/>
      <c r="AM17" s="64"/>
      <c r="AN17" s="70"/>
      <c r="AO17" s="70"/>
      <c r="AP17" s="64"/>
      <c r="AQ17" s="70"/>
      <c r="AR17" s="70"/>
      <c r="AS17" s="64"/>
      <c r="AT17" s="70"/>
      <c r="AU17" s="70"/>
      <c r="AV17" s="64"/>
      <c r="AW17" s="70"/>
      <c r="AX17" s="70"/>
      <c r="AY17" s="64"/>
      <c r="AZ17" s="70"/>
      <c r="BA17" s="70"/>
      <c r="BB17" s="64"/>
      <c r="BC17" s="70"/>
      <c r="BD17" s="70"/>
      <c r="BE17" s="70"/>
      <c r="BF17" s="70"/>
      <c r="BG17" s="70"/>
      <c r="BH17" s="70"/>
      <c r="BI17" s="70"/>
      <c r="BJ17" s="70"/>
      <c r="BK17" s="2"/>
      <c r="BL17" s="2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2"/>
      <c r="CM17" s="2"/>
      <c r="CN17" s="70"/>
      <c r="CO17" s="70"/>
      <c r="CP17" s="70"/>
      <c r="CQ17" s="70"/>
      <c r="CR17" s="2"/>
      <c r="CS17" s="2"/>
      <c r="CT17" s="70"/>
      <c r="CU17" s="70"/>
      <c r="CV17" s="70"/>
      <c r="CW17" s="70"/>
    </row>
    <row r="18" spans="1:101" ht="27.75" customHeight="1" x14ac:dyDescent="0.2">
      <c r="A18" s="40">
        <v>3</v>
      </c>
      <c r="B18" s="41" t="str">
        <f>CONCATENATE(D18,IF(D20="Futures",[1]AB3!$B$6,IF(D20="Options Sell",[1]AB3!$B$12,IF(D20="Options Buy",[1]AB3!$B$18))))</f>
        <v>S3A</v>
      </c>
      <c r="C18" s="42" t="str">
        <f>IF(D20="Futures",[1]AB3!$C$6,IF(D20="Options Sell",[1]AB3!$C$12,IF(D20="Options Buy",[1]AB3!$C$18)))</f>
        <v>Strategy Code</v>
      </c>
      <c r="D18" s="43" t="str">
        <f t="array" ref="D18">IF(A18="","",INDEX([1]AB2!B:B,MATCH(A18,[1]AB2!A:A,0)))</f>
        <v>S3</v>
      </c>
      <c r="E18" s="44" t="str">
        <f>IF(D20="Futures",[1]AB3!$E$6,IF(D20="Options Sell",[1]AB3!$E$12,IF(D20="Options Buy",[1]AB3!$E$18)))</f>
        <v>Bull / 
Bull CF</v>
      </c>
      <c r="F18" s="45" t="str">
        <f>IF(D20="Futures",[1]AB3!$F$6,IF(D20="Options Sell",[1]AB3!$F$12,IF(D20="Options Buy",[1]AB3!$F$18)))</f>
        <v>Long</v>
      </c>
      <c r="G18" s="43" t="str">
        <f t="array" ref="G18">IF(A18="","",IF(D20="Futures",CONCATENATE([1]AB3!$G$6,INDEX([1]AB2!I:I,MATCH(D18,[1]AB2!B:B,0)),[1]AB3!$H$6),IF(D20="Options Sell",CONCATENATE([1]AB3!$G$12,INDEX([1]AB2!J:J,MATCH(D18,[1]AB2!B:B,0)),[1]AB3!$H$12),IF(D20="Options Buy",CONCATENATE([1]AB3!$G$18,INDEX([1]AB2!I:I,MATCH(D18,[1]AB2!B:B,0)),[1]AB3!$H$18)))))</f>
        <v>FUT : PRV : 1DHH</v>
      </c>
      <c r="H18" s="43" t="str">
        <f>IF(D20="Futures",[1]AB3!$I$6,IF(D20="Options Sell",[1]AB3!$I$12,IF(D20="Options Buy",[1]AB3!$I$18)))</f>
        <v xml:space="preserve"> + </v>
      </c>
      <c r="I18" s="46">
        <v>0</v>
      </c>
      <c r="J18" s="47">
        <v>5</v>
      </c>
      <c r="K18" s="48"/>
      <c r="L18" s="43" t="str">
        <f>IF(D20="Futures",[1]AB3!$M$6,IF(D20="Options Sell",[1]AB3!$M$12,IF(D20="Options Buy",[1]AB3!$M$18)))</f>
        <v xml:space="preserve">L : Entry </v>
      </c>
      <c r="M18" s="43" t="str">
        <f>IF(D20="Futures",[1]AB3!$N$6,IF(D20="Options Sell",[1]AB3!$N$12,IF(D20="Options Buy",[1]AB3!$N$18)))</f>
        <v xml:space="preserve"> + </v>
      </c>
      <c r="N18" s="46">
        <v>1.4999999999999999E-2</v>
      </c>
      <c r="O18" s="47">
        <v>1</v>
      </c>
      <c r="P18" s="46">
        <v>0.02</v>
      </c>
      <c r="Q18" s="47">
        <v>1</v>
      </c>
      <c r="R18" s="46">
        <v>2.5000000000000001E-2</v>
      </c>
      <c r="S18" s="47">
        <v>1</v>
      </c>
      <c r="T18" s="46">
        <v>0.03</v>
      </c>
      <c r="U18" s="47">
        <v>1</v>
      </c>
      <c r="V18" s="50" t="s">
        <v>51</v>
      </c>
      <c r="W18" s="47">
        <v>1</v>
      </c>
      <c r="X18" s="50" t="s">
        <v>52</v>
      </c>
      <c r="Y18" s="50" t="s">
        <v>52</v>
      </c>
      <c r="Z18" s="48"/>
      <c r="AA18" s="43" t="str">
        <f>IF(D20="Futures",[1]AB3!$AD$6,IF(D20="Options Sell",[1]AB3!$AD$12,IF(D20="Options Buy",[1]AB3!$AD$18)))</f>
        <v>Max</v>
      </c>
      <c r="AB18" s="43" t="str">
        <f>IF(D20="Futures",[1]AB3!$AE$6,IF(D20="Options Sell",[1]AB3!$AE$12,IF(D20="Options Buy",[1]AB3!$AE$18)))</f>
        <v>MSL &amp; TSL</v>
      </c>
      <c r="AC18" s="43" t="str">
        <f>IF(D20="Futures",[1]AB3!$AF$6,IF(D20="Options Sell",[1]AB3!$AF$12,IF(D20="Options Buy",[1]AB3!$AF$18)))</f>
        <v>Entry &amp; TRP</v>
      </c>
      <c r="AD18" s="48"/>
      <c r="AE18" s="43" t="str">
        <f>IF(D20="Futures",[1]AB3!$AH$6,IF(D20="Options Sell",[1]AB3!$AH$12,IF(D20="Options Buy",[1]AB3!$AH$18)))</f>
        <v>L : Entry</v>
      </c>
      <c r="AF18" s="43" t="str">
        <f>IF(D20="Futures",[1]AB3!$AI$6,IF(D20="Options Sell",[1]AB3!$AI$12,IF(D20="Options Buy",[1]AB3!$AI$18)))</f>
        <v xml:space="preserve"> - </v>
      </c>
      <c r="AG18" s="46">
        <v>1.4999999999999999E-2</v>
      </c>
      <c r="AH18" s="46">
        <v>0</v>
      </c>
      <c r="AI18" s="48"/>
      <c r="AJ18" s="43" t="str">
        <f>IF(D20="Futures",[1]AB3!$AO$6,IF(D20="Options Sell",[1]AB3!$AO$12,IF(D20="Options Buy",[1]AB3!$AO$18)))</f>
        <v xml:space="preserve"> - </v>
      </c>
      <c r="AK18" s="43" t="str">
        <f t="array" ref="AK18">IF(A18="","",IF(D20="Futures",CONCATENATE([1]AB3!$AP$6,INDEX([1]AB2!L:L,MATCH(D18,[1]AB2!B:B,0)),[1]AB3!$AQ$6),IF(D20="Options Sell",CONCATENATE([1]AB3!$AP$12,INDEX([1]AB2!M:M,MATCH(D18,[1]AB2!B:B,0)),[1]AB3!$AQ$12),IF(D20="Options Buy",CONCATENATE([1]AB3!$AP$18,INDEX([1]AB2!L:L,MATCH(D18,[1]AB2!B:B,0)),[1]AB3!$AQ$18)))))</f>
        <v>FUT : PRV : 2DLL</v>
      </c>
      <c r="AL18" s="51">
        <f>IF(AND(D20="Futures",AK18=[1]AB3!$AS$6),[1]AB3!$AS$6,IF(AND(D20="Options Sell",AK18=[1]AB3!$AS$12),[1]AB3!$AS$12,IF(AND(D20="Options Buy",AK18=[1]AB3!$AS$18),[1]AB3!$AS$18,I19)))</f>
        <v>1.5E-3</v>
      </c>
      <c r="AM18" s="52">
        <f>J19</f>
        <v>5</v>
      </c>
      <c r="AN18" s="43" t="str">
        <f t="array" ref="AN18">IF(A18="","",IF(AND(OR(D22="1 &amp; APS",D22="2 &amp; APS",D22="3 &amp; APS",D22="4 &amp; APS",D22="5 &amp; APS"),D20="Futures"),CONCATENATE([1]AB3!$AP$6,INDEX([1]AB2!L:L,MATCH(D18,[1]AB2!B:B,0)),[1]AB3!$AQ$6),IF(AND(OR(D22="1 &amp; APS",D22="2 &amp; APS",D22="3 &amp; APS",D22="4 &amp; APS",D22="5 &amp; APS"),D20="Options Sell"),CONCATENATE([1]AB3!$AP$12,INDEX([1]AB2!M:M,MATCH(D18,[1]AB2!B:B,0)),[1]AB3!$AQ$12),IF(AND(OR(D22="1 &amp; APS",D22="2 &amp; APS",D22="3 &amp; APS",D22="4 &amp; APS",D22="5 &amp; APS"),D20="Options Buy"),CONCATENATE([1]AB3!$AP$18,INDEX([1]AB2!L:L,MATCH(D18,[1]AB2!B:B,0)),[1]AB3!$AQ$18),[1]AB3!$AR$6))))</f>
        <v>FUT : PRV : 2DLL</v>
      </c>
      <c r="AO18" s="51">
        <f>IF(AND(D20="Futures",AN18=[1]AB3!$AU$6),[1]AB3!$AU$6,IF(AND(D20="Options Sell",AN18=[1]AB3!$AU$12),[1]AB3!$AU$12,IF(AND(D20="Options Buy",AN18=[1]AB3!$AU$18),[1]AB3!$AU$18,I19)))</f>
        <v>1.5E-3</v>
      </c>
      <c r="AP18" s="52">
        <f t="shared" ref="AP18:AP19" si="20">AM18-O18</f>
        <v>4</v>
      </c>
      <c r="AQ18" s="43" t="str">
        <f t="array" ref="AQ18">IF(A18="","",IF(AND(OR(D22="2 &amp; APS",D22="3 &amp; APS",D22="4 &amp; APS",D22="5 &amp; APS"),D20="Futures"),CONCATENATE([1]AB3!$AP$6,INDEX([1]AB2!L:L,MATCH(D18,[1]AB2!B:B,0)),[1]AB3!$AQ$6),IF(AND(OR(D22="2 &amp; APS",D22="3 &amp; APS",D22="4 &amp; APS",D22="5 &amp; APS"),D20="Options Sell"),CONCATENATE([1]AB3!$AP$12,INDEX([1]AB2!M:M,MATCH(D18,[1]AB2!B:B,0)),[1]AB3!$AQ$12),IF(AND(OR(D22="2 &amp; APS",D22="3 &amp; APS",D22="4 &amp; APS",D22="5 &amp; APS"),D20="Options Buy"),CONCATENATE([1]AB3!$AP$18,INDEX([1]AB2!L:L,MATCH(D18,[1]AB2!B:B,0)),[1]AB3!$AQ$18),[1]AB3!$AR$6))))</f>
        <v>FUT : PRV : 2DLL</v>
      </c>
      <c r="AR18" s="51">
        <f>IF(AND(D20="Futures",AQ18=[1]AB3!$AW$6),[1]AB3!$AW$6,IF(AND(D20="Options Sell",AQ18=[1]AB3!$AW$12),[1]AB3!$AW$12,IF(AND(D20="Options Buy",AQ18=[1]AB3!$AW$18),[1]AB3!$AW$18,I19)))</f>
        <v>1.5E-3</v>
      </c>
      <c r="AS18" s="52">
        <f t="shared" ref="AS18:AS19" si="21">AP18-Q18</f>
        <v>3</v>
      </c>
      <c r="AT18" s="43" t="str">
        <f t="array" ref="AT18">IF(A18="","",IF(AND(OR(D22="3 &amp; APS",D22="4 &amp; APS",D22="5 &amp; APS"),D20="Futures"),CONCATENATE([1]AB3!$AP$6,INDEX([1]AB2!L:L,MATCH(D18,[1]AB2!B:B,0)),[1]AB3!$AQ$6),IF(AND(OR(D22="3 &amp; APS",D22="4 &amp; APS",D22="5 &amp; APS"),D20="Options Sell"),CONCATENATE([1]AB3!$AP$12,INDEX([1]AB2!M:M,MATCH(D18,[1]AB2!B:B,0)),[1]AB3!$AQ$12),IF(AND(OR(D22="3 &amp; APS",D22="4 &amp; APS",D22="5 &amp; APS"),D20="Options Buy"),CONCATENATE([1]AB3!$AP$18,INDEX([1]AB2!L:L,MATCH(D18,[1]AB2!B:B,0)),[1]AB3!$AQ$18),[1]AB3!$AR$6))))</f>
        <v>FUT : PRV : 2DLL</v>
      </c>
      <c r="AU18" s="51">
        <f>IF(AND(D20="Futures",AT18=[1]AB3!$AY$6),[1]AB3!$AY$6,IF(AND(D20="Options Sell",AT18=[1]AB3!$AY$12),[1]AB3!$AY$12,IF(AND(D20="Options Buy",AT18=[1]AB3!$AY$18),[1]AB3!$AY$18,I19)))</f>
        <v>1.5E-3</v>
      </c>
      <c r="AV18" s="52">
        <f t="shared" ref="AV18:AV19" si="22">AS18-S18</f>
        <v>2</v>
      </c>
      <c r="AW18" s="43" t="str">
        <f t="array" ref="AW18">IF(A18="","",IF(AND(OR(D22="4 &amp; APS",D22="5 &amp; APS"),D20="Futures"),CONCATENATE([1]AB3!$AP$6,INDEX([1]AB2!L:L,MATCH(D18,[1]AB2!B:B,0)),[1]AB3!$AQ$6),IF(AND(OR(D22="4 &amp; APS",D22="5 &amp; APS"),D20="Options Sell"),CONCATENATE([1]AB3!$AP$12,INDEX([1]AB2!M:M,MATCH(D18,[1]AB2!B:B,0)),[1]AB3!$AQ$12),IF(AND(OR(D22="4 &amp; APS",D22="5 &amp; APS"),D20="Options Buy"),CONCATENATE([1]AB3!$AP$18,INDEX([1]AB2!L:L,MATCH(D18,[1]AB2!B:B,0)),[1]AB3!$AQ$18),[1]AB3!$AR$6))))</f>
        <v>FUT : PRV : 2DLL</v>
      </c>
      <c r="AX18" s="51">
        <f>IF(AND(D20="Futures",AW18=[1]AB3!$BA$6),[1]AB3!$BA$6,IF(AND(D20="Options Sell",AW18=[1]AB3!$BA$12),[1]AB3!$BA$12,IF(AND(D20="Options Buy",AW18=[1]AB3!$BA$18),[1]AB3!$BA$18,I19)))</f>
        <v>1.5E-3</v>
      </c>
      <c r="AY18" s="52">
        <f t="shared" ref="AY18:AY19" si="23">AV18-S18</f>
        <v>1</v>
      </c>
      <c r="AZ18" s="51">
        <f t="array" ref="AZ18">IF(A18="","",IF(AND(D22="5 &amp; APS",D20="Futures"),CONCATENATE([1]AB3!$AP$6,INDEX([1]AB2!L:L,MATCH(D18,[1]AB2!B:B,0)),[1]AB3!$AQ$6),IF(AND(D22="5 &amp; APS",D20="Options Sell"),CONCATENATE([1]AB3!$AP$12,INDEX([1]AB2!M:M,MATCH(D18,[1]AB2!B:B,0)),[1]AB3!$AQ$12),IF(AND(D22="5 &amp; APS",D20="Options Buy"),CONCATENATE([1]AB3!$AP$18,INDEX([1]AB2!L:L,MATCH(D18,[1]AB2!B:B,0)),[1]AB3!$AQ$18),[1]AB3!$AR$6))))</f>
        <v>0</v>
      </c>
      <c r="BA18" s="51">
        <f>IF(AND(D20="Futures",AZ18=[1]AB3!$BC$6),[1]AB3!$BC$6,IF(AND(D20="Options Sell",AZ18=[1]AB3!$BC$12),[1]AB3!$BC$12,IF(AND(D20="Options Buy",AZ18=[1]AB3!$BC$18),[1]AB3!$BC$18,I19)))</f>
        <v>0</v>
      </c>
      <c r="BB18" s="52">
        <f t="shared" ref="BB18:BB19" si="24">AY18-W18</f>
        <v>0</v>
      </c>
      <c r="BC18" s="53"/>
      <c r="BD18" s="54" t="str">
        <f>IF(D20="Futures",[1]AB3!$BE$6,IF(D20="Options Sell",[1]AB3!$BE$12,IF(D20="Options Buy",[1]AB3!$BE$18)))</f>
        <v xml:space="preserve">ORPT </v>
      </c>
      <c r="BE18" s="55">
        <f>IF(D20="Futures",BE21+([1]AB3!$BF$6/1440),IF(D20="Options Sell",BE21+([1]AB3!$BF$12/1440),IF(D20="Options Buy",BE21+([1]AB3!$BF$18/1440))))</f>
        <v>0.38888194444444446</v>
      </c>
      <c r="BF18" s="55">
        <f>IF(D20="Futures",BE21+([1]AB3!$BG$6/1440),IF(D20="Options Sell",BE21+([1]AB3!$BG$12/1440),IF(D20="Options Buy",BE21+([1]AB3!$BG$18/1440))))</f>
        <v>0.38888194444444446</v>
      </c>
      <c r="BG18" s="55">
        <f>IF(D20="Futures",BE21+([1]AB3!$BH$6/1440),IF(D20="Options Sell",BE21+([1]AB3!$BH$12/1440),IF(D20="Options Buy",BE21+([1]AB3!$BH$18/1440))))</f>
        <v>0.38541666666666669</v>
      </c>
      <c r="BH18" s="57"/>
      <c r="BI18" s="44" t="str">
        <f>IF(D20="Futures",[1]AB3!$BJ$6,IF(D20="Options Sell",[1]AB3!$BJ$12,IF(D20="Options Buy",[1]AB3!$BJ$18)))</f>
        <v>Bull / 
Bull CF</v>
      </c>
      <c r="BJ18" s="45" t="str">
        <f>IF(D20="Futures",[1]AB3!$BK$6,IF(D20="Options Sell",[1]AB3!$BK$12,IF(D20="Options Buy",[1]AB3!$BK$18)))</f>
        <v>Long</v>
      </c>
      <c r="BK18" s="46">
        <v>1.5E-3</v>
      </c>
      <c r="BL18" s="46">
        <v>1.5E-3</v>
      </c>
      <c r="BM18" s="57"/>
      <c r="BN18" s="44" t="str">
        <f>IF(D20="Futures",[1]AB3!$BO$6,IF(D20="Options Sell",[1]AB3!$BO$12,IF(D20="Options Buy",[1]AB3!$BO$18)))</f>
        <v>Bull | 
Bull CF</v>
      </c>
      <c r="BO18" s="45" t="str">
        <f>IF(D20="Futures",[1]AB3!$BP$6,IF(D20="Options Sell",[1]AB3!$BP$12,IF(D20="Options Buy",[1]AB3!$BP$18)))</f>
        <v>Call</v>
      </c>
      <c r="BP18" s="43" t="str">
        <f t="array" ref="BP18">IF(A18="","",IF(D20="Futures","",IF(D20="EQUITY","",IF(D20="Options Sell",CONCATENATE([1]AB3!$BQ$12,INDEX([1]AB2!J:J,MATCH(A18,[1]AB2!A:A,0)),[1]AB3!$BR$12),IF(D20="Options Buy",CONCATENATE([1]AB3!$BQ$18,INDEX([1]AB2!J:J,MATCH(A18,[1]AB2!A:A,0)),[1]AB3!$BR$18))))))</f>
        <v/>
      </c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9"/>
      <c r="CL18" s="43"/>
      <c r="CM18" s="43"/>
      <c r="CN18" s="59"/>
      <c r="CO18" s="43"/>
      <c r="CP18" s="43"/>
      <c r="CQ18" s="59"/>
      <c r="CR18" s="43"/>
      <c r="CS18" s="43"/>
      <c r="CT18" s="59"/>
      <c r="CU18" s="55">
        <f>IF(D20="Futures",BE22-([1]AB3!$CG$6/1440),IF(D20="Options Sell",BE22-([1]AB3!$CG$12/1440),IF(D20="Options Buy",BE22-([1]AB3!$CG$18/1440),IF(D20="EQUITY",""))))</f>
        <v>0.625</v>
      </c>
      <c r="CV18" s="59"/>
      <c r="CW18" s="59"/>
    </row>
    <row r="19" spans="1:101" ht="22.5" customHeight="1" x14ac:dyDescent="0.2">
      <c r="A19" s="60"/>
      <c r="B19" s="41" t="str">
        <f>CONCATENATE(D18,IF(D20="Futures",[1]AB3!$B$7,IF(D20="Options Sell",[1]AB3!$B$13,IF(D20="Options Buy",[1]AB3!$B$19))))</f>
        <v>S3B</v>
      </c>
      <c r="C19" s="42" t="str">
        <f>IF(D20="Futures",[1]AB3!$C$7,IF(D20="Options Sell",[1]AB3!$C$13,IF(D20="Options Buy",[1]AB3!$C$19)))</f>
        <v>Unique Code</v>
      </c>
      <c r="D19" s="43" t="str">
        <f t="array" ref="D19">IF(A18="","",INDEX([1]AB2!N:N,MATCH(D18,[1]AB2!B:B,0)))</f>
        <v>BANKNIFTY_FUT_MT_DIFF_1D_2D</v>
      </c>
      <c r="E19" s="32"/>
      <c r="F19" s="61" t="str">
        <f>IF(D20="Futures",[1]AB3!$F$7,IF(D20="Options Sell",[1]AB3!$F$13,IF(D20="Options Buy",[1]AB3!$F$19)))</f>
        <v>Short</v>
      </c>
      <c r="G19" s="43" t="str">
        <f t="array" ref="G19">IF(A18="","",IF(D20="Futures",CONCATENATE([1]AB3!$G$7,INDEX([1]AB2!J:J,MATCH(D18,[1]AB2!B:B,0)),[1]AB3!$H$7),IF(D20="Options Sell",CONCATENATE([1]AB3!$G$13,INDEX([1]AB2!I:I,MATCH(D18,[1]AB2!B:B,0)),[1]AB3!$H$13),IF(D20="Options Buy",CONCATENATE([1]AB3!$G$19,INDEX([1]AB2!J:J,MATCH(D18,[1]AB2!B:B,0)),[1]AB3!$H$19)))))</f>
        <v>FUT : PRV : 2DLL</v>
      </c>
      <c r="H19" s="43" t="str">
        <f>IF(D20="Futures",[1]AB3!$I$7,IF(D20="Options Sell",[1]AB3!$I$13,IF(D20="Options Buy",[1]AB3!$I$19)))</f>
        <v xml:space="preserve"> - </v>
      </c>
      <c r="I19" s="46">
        <v>1.5E-3</v>
      </c>
      <c r="J19" s="47">
        <v>5</v>
      </c>
      <c r="K19" s="48"/>
      <c r="L19" s="43" t="str">
        <f>IF(D20="Futures",[1]AB3!$M$7,IF(D20="Options Sell",[1]AB3!$M$13,IF(D20="Options Buy",[1]AB3!$M$19)))</f>
        <v xml:space="preserve">S : Entry </v>
      </c>
      <c r="M19" s="43" t="str">
        <f>IF(D20="Futures",[1]AB3!$N$7,IF(D20="Options Sell",[1]AB3!$N$13,IF(D20="Options Buy",[1]AB3!$N$19)))</f>
        <v xml:space="preserve"> - </v>
      </c>
      <c r="N19" s="46">
        <v>1.4999999999999999E-2</v>
      </c>
      <c r="O19" s="47">
        <v>1</v>
      </c>
      <c r="P19" s="46">
        <v>0.02</v>
      </c>
      <c r="Q19" s="47">
        <v>1</v>
      </c>
      <c r="R19" s="46">
        <v>2.5000000000000001E-2</v>
      </c>
      <c r="S19" s="47">
        <v>1</v>
      </c>
      <c r="T19" s="46">
        <v>0.03</v>
      </c>
      <c r="U19" s="47">
        <v>1</v>
      </c>
      <c r="V19" s="50" t="s">
        <v>51</v>
      </c>
      <c r="W19" s="47">
        <v>1</v>
      </c>
      <c r="X19" s="50" t="s">
        <v>52</v>
      </c>
      <c r="Y19" s="50" t="s">
        <v>52</v>
      </c>
      <c r="Z19" s="48"/>
      <c r="AA19" s="43" t="str">
        <f>IF(D20="Futures",[1]AB3!$AD$7,IF(D20="Options Sell",[1]AB3!$AD$13,IF(D20="Options Buy",[1]AB3!$AD$19)))</f>
        <v>Min</v>
      </c>
      <c r="AB19" s="43" t="str">
        <f>IF(D20="Futures",[1]AB3!$AE$7,IF(D20="Options Sell",[1]AB3!$AE$13,IF(D20="Options Buy",[1]AB3!$AE$19)))</f>
        <v>MSL &amp; TSL</v>
      </c>
      <c r="AC19" s="43" t="str">
        <f>IF(D20="Futures",[1]AB3!$AF$7,IF(D20="Options Sell",[1]AB3!$AF$13,IF(D20="Options Buy",[1]AB3!$AF$19)))</f>
        <v>Entry &amp; TRP</v>
      </c>
      <c r="AD19" s="48"/>
      <c r="AE19" s="43" t="str">
        <f>IF(D20="Futures",[1]AB3!$AH$7,IF(D20="Options Sell",[1]AB3!$AH$13,IF(D20="Options Buy",[1]AB3!$AH$19)))</f>
        <v>S : Entry</v>
      </c>
      <c r="AF19" s="43" t="str">
        <f>IF(D20="Futures",[1]AB3!$AI$7,IF(D20="Options Sell",[1]AB3!$AI$13,IF(D20="Options Buy",[1]AB3!$AI$19)))</f>
        <v xml:space="preserve"> + </v>
      </c>
      <c r="AG19" s="46">
        <v>1.4999999999999999E-2</v>
      </c>
      <c r="AH19" s="46">
        <v>0</v>
      </c>
      <c r="AI19" s="48"/>
      <c r="AJ19" s="43" t="str">
        <f>IF(D20="Futures",[1]AB3!$AO$7,IF(D20="Options Sell",[1]AB3!$AO$13,IF(D20="Options Buy",[1]AB3!$AO$19)))</f>
        <v xml:space="preserve"> + </v>
      </c>
      <c r="AK19" s="43" t="str">
        <f t="array" ref="AK19">IF(A18="","",IF(D20="Futures",CONCATENATE([1]AB3!$AP$7,INDEX([1]AB2!M:M,MATCH(D18,[1]AB2!B:B,0)),[1]AB3!$AQ$7),IF(D20="Options Sell",CONCATENATE([1]AB3!$AP$13,INDEX([1]AB2!L:L,MATCH(D18,[1]AB2!B:B,0)),[1]AB3!$AQ$13),IF(D20="Options Buy",CONCATENATE([1]AB3!$AP$19,INDEX([1]AB2!M:M,MATCH(D18,[1]AB2!B:B,0)),[1]AB3!$AQ$19)))))</f>
        <v>FUT : PRV : 1DHH</v>
      </c>
      <c r="AL19" s="51">
        <f>IF(AND(D20="Futures",AK19=[1]AB3!$AS$7),[1]AB3!$AS$7,IF(AND(D20="Options Sell",AK19=[1]AB3!$AS$13),[1]AB3!$AS$13,IF(AND(D20="Options Buy",AK19=[1]AB3!$AS$19),[1]AB3!$AS$19,I18)))</f>
        <v>0</v>
      </c>
      <c r="AM19" s="52">
        <f>J18</f>
        <v>5</v>
      </c>
      <c r="AN19" s="43" t="str">
        <f t="array" ref="AN19">IF(A18="","",IF(AND(OR(D22="1 &amp; APS",D22="2 &amp; APS",D22="3 &amp; APS",D22="4 &amp; APS",D22="5 &amp; APS"),D20="Futures"),CONCATENATE([1]AB3!$AP$7,INDEX([1]AB2!M:M,MATCH(D18,[1]AB2!B:B,0)),[1]AB3!$AQ$7),IF(AND(OR(D22="1 &amp; APS",D22="2 &amp; APS",D22="3 &amp; APS",D22="4 &amp; APS",D22="5 &amp; APS"),D20="Options Sell"),CONCATENATE([1]AB3!$AP$13,INDEX([1]AB2!L:L,MATCH(D18,[1]AB2!B:B,0)),[1]AB3!$AQ$13),IF(AND(OR(D22="1 &amp; APS",D22="2 &amp; APS",D22="3 &amp; APS",D22="4 &amp; APS",D22="5 &amp; APS"),D20="Options Buy"),CONCATENATE([1]AB3!$AP$19,INDEX([1]AB2!M:M,MATCH(D18,[1]AB2!B:B,0)),[1]AB3!$AQ$19),[1]AB3!$AR$6))))</f>
        <v>FUT : PRV : 1DHH</v>
      </c>
      <c r="AO19" s="51">
        <f>IF(AND(D20="Futures",AN19=[1]AB3!$AU$7),[1]AB3!$AU$7,IF(AND(D20="Options Sell",AN19=[1]AB3!$AU$13),[1]AB3!$AU$13,IF(AND(D20="Options Buy",AN19=[1]AB3!$AU$19),[1]AB3!$AU$19,I18)))</f>
        <v>0</v>
      </c>
      <c r="AP19" s="52">
        <f t="shared" si="20"/>
        <v>4</v>
      </c>
      <c r="AQ19" s="43" t="str">
        <f t="array" ref="AQ19">IF(A18="","",IF(AND(OR(D22="2 &amp; APS",D22="3 &amp; APS",D22="4 &amp; APS",D22="5 &amp; APS"),D20="Futures"),CONCATENATE([1]AB3!$AP$7,INDEX([1]AB2!M:M,MATCH(D18,[1]AB2!B:B,0)),[1]AB3!$AQ$7),IF(AND(OR(D22="2 &amp; APS",D22="3 &amp; APS",D22="4 &amp; APS",D22="5 &amp; APS"),D20="Options Sell"),CONCATENATE([1]AB3!$AP$13,INDEX([1]AB2!L:L,MATCH(D18,[1]AB2!B:B,0)),[1]AB3!$AQ$13),IF(AND(OR(D22="2 &amp; APS",D22="3 &amp; APS",D22="4 &amp; APS",D22="5 &amp; APS"),D20="Options Buy"),CONCATENATE([1]AB3!$AP$19,INDEX([1]AB2!M:M,MATCH(D18,[1]AB2!B:B,0)),[1]AB3!$AQ$19),[1]AB3!$AR$6))))</f>
        <v>FUT : PRV : 1DHH</v>
      </c>
      <c r="AR19" s="51">
        <f>IF(AND(D20="Futures",AQ19=[1]AB3!$AW$7),[1]AB3!$AW$7,IF(AND(D20="Options Sell",AQ19=[1]AB3!$AW$13),[1]AB3!$AW$13,IF(AND(D20="Options Buy",AQ19=[1]AB3!$AW$19),[1]AB3!$AW$19,I18)))</f>
        <v>0</v>
      </c>
      <c r="AS19" s="52">
        <f t="shared" si="21"/>
        <v>3</v>
      </c>
      <c r="AT19" s="43" t="str">
        <f t="array" ref="AT19">IF(A18="","",IF(AND(OR(D22="3 &amp; APS",D22="4 &amp; APS",D22="5 &amp; APS"),D20="Futures"),CONCATENATE([1]AB3!$AP$7,INDEX([1]AB2!M:M,MATCH(D18,[1]AB2!B:B,0)),[1]AB3!$AQ$7),IF(AND(OR(D22="3 &amp; APS",D22="4 &amp; APS",D22="5 &amp; APS"),D20="Options Sell"),CONCATENATE([1]AB3!$AP$13,INDEX([1]AB2!L:L,MATCH(D18,[1]AB2!B:B,0)),[1]AB3!$AQ$13),IF(AND(OR(D22="3 &amp; APS",D22="4 &amp; APS",D22="5 &amp; APS"),D20="Options Buy"),CONCATENATE([1]AB3!$AP$19,INDEX([1]AB2!M:M,MATCH(D18,[1]AB2!B:B,0)),[1]AB3!$AQ$19),[1]AB3!$AR$6))))</f>
        <v>FUT : PRV : 1DHH</v>
      </c>
      <c r="AU19" s="51">
        <f>IF(AND(D20="Futures",AT19=[1]AB3!$AY$7),[1]AB3!$AY$7,IF(AND(D20="Options Sell",AT19=[1]AB3!$AY$13),[1]AB3!$AY$13,IF(AND(D20="Options Buy",AT19=[1]AB3!$AY$19),[1]AB3!$AY$19,I18)))</f>
        <v>0</v>
      </c>
      <c r="AV19" s="52">
        <f t="shared" si="22"/>
        <v>2</v>
      </c>
      <c r="AW19" s="43" t="str">
        <f t="array" ref="AW19">IF(A18="","",IF(AND(OR(D22="4 &amp; APS",D22="5 &amp; APS"),D20="Futures"),CONCATENATE([1]AB3!$AP$7,INDEX([1]AB2!M:M,MATCH(D18,[1]AB2!B:B,0)),[1]AB3!$AQ$7),IF(AND(OR(D22="4 &amp; APS",D22="5 &amp; APS"),D20="Options Sell"),CONCATENATE([1]AB3!$AP$13,INDEX([1]AB2!L:L,MATCH(D18,[1]AB2!B:B,0)),[1]AB3!$AQ$13),IF(AND(OR(D22="4 &amp; APS",D22="5 &amp; APS"),D20="Options Buy"),CONCATENATE([1]AB3!$AP$19,INDEX([1]AB2!M:M,MATCH(D18,[1]AB2!B:B,0)),[1]AB3!$AQ$19),[1]AB3!$AR$6))))</f>
        <v>FUT : PRV : 1DHH</v>
      </c>
      <c r="AX19" s="51">
        <f>IF(AND(D20="Futures",AW19=[1]AB3!$BA$7),[1]AB3!$BA$7,IF(AND(D20="Options Sell",AW19=[1]AB3!$BA$13),[1]AB3!$BA$13,IF(AND(D20="Options Buy",AW19=[1]AB3!$BA$19),[1]AB3!$BA$19,I18)))</f>
        <v>0</v>
      </c>
      <c r="AY19" s="52">
        <f t="shared" si="23"/>
        <v>1</v>
      </c>
      <c r="AZ19" s="51">
        <f t="array" ref="AZ19">IF(A18="","",IF(AND(D22="5 &amp; APS",D20="Futures"),CONCATENATE([1]AB3!$AP$7,INDEX([1]AB2!M:M,MATCH(D18,[1]AB2!B:B,0)),[1]AB3!$AQ$7),IF(AND(D22="5 &amp; APS",D20="Options Sell"),CONCATENATE([1]AB3!$AP$13,INDEX([1]AB2!L:L,MATCH(D18,[1]AB2!B:B,0)),[1]AB3!$AQ$13),IF(AND(D22="5 &amp; APS",D20="Options Buy"),CONCATENATE([1]AB3!$AP$19,INDEX([1]AB2!M:M,MATCH(D18,[1]AB2!B:B,0)),[1]AB3!$AQ$19),[1]AB3!$AR$6))))</f>
        <v>0</v>
      </c>
      <c r="BA19" s="51">
        <f>IF(AND(D20="Futures",AZ19=[1]AB3!$BC$7),[1]AB3!$BC$7,IF(AND(D20="Options Sell",AZ19=[1]AB3!$BC$13),[1]AB3!$BC$13,IF(AND(D20="Options Buy",AZ19=[1]AB3!$BC$19),[1]AB3!$BC$19,I18)))</f>
        <v>0</v>
      </c>
      <c r="BB19" s="52">
        <f t="shared" si="24"/>
        <v>0</v>
      </c>
      <c r="BC19" s="53"/>
      <c r="BD19" s="54" t="str">
        <f>IF(D20="Futures",[1]AB3!$BE$7,IF(D20="Options Sell",[1]AB3!$BE$13,IF(D20="Options Buy",[1]AB3!$BE$19)))</f>
        <v xml:space="preserve"> RC. Time</v>
      </c>
      <c r="BE19" s="55">
        <f>IF(D20="Futures",BE21+([1]AB3!$BF$7/1440),IF(D20="Options Sell",BE21+([1]AB3!$BF$13/1440),IF(D20="Options Buy",BE21+([1]AB3!$BF$19/1440))))</f>
        <v>0.39582638888888888</v>
      </c>
      <c r="BF19" s="55">
        <f>IF(D20="Futures",BE21+([1]AB3!$BG$7/1440),IF(D20="Options Sell",BE21+([1]AB3!$BG$13/1440),IF(D20="Options Buy",BE21+([1]AB3!$BG$19/1440))))</f>
        <v>0.39582638888888888</v>
      </c>
      <c r="BG19" s="55" t="str">
        <f>IF(D20="Futures",[1]AB3!$BH$7,IF(D20="Options Sell",[1]AB3!$BH$7,IF(D20="Options Buy",[1]AB3!$BH$7)))</f>
        <v>N.A.</v>
      </c>
      <c r="BH19" s="57"/>
      <c r="BI19" s="32"/>
      <c r="BJ19" s="61" t="str">
        <f>IF(D20="Futures",[1]AB3!$BK$7,IF(D20="Options Sell",[1]AB3!$BK$13,IF(D20="Options Buy",[1]AB3!$BK$19)))</f>
        <v>Short</v>
      </c>
      <c r="BK19" s="46">
        <v>1.5E-3</v>
      </c>
      <c r="BL19" s="46">
        <v>1.5E-3</v>
      </c>
      <c r="BM19" s="57"/>
      <c r="BN19" s="32"/>
      <c r="BO19" s="61" t="str">
        <f>IF(D20="Futures",[1]AB3!$BP$7,IF(D20="Options Sell",[1]AB3!$BP$13,IF(D20="Options Buy",[1]AB3!$BP$19)))</f>
        <v>Put</v>
      </c>
      <c r="BP19" s="43" t="str">
        <f t="array" ref="BP19">IF(A18="","",IF(D20="Futures","",IF(D20="EQUITY","",IF(D20="Options Sell",CONCATENATE([1]AB3!$BQ$13,INDEX([1]AB2!I:I,MATCH(A18,[1]AB2!A:A,0)),[1]AB3!$BR$13),IF(D20="Options Buy",CONCATENATE([1]AB3!$BQ$19,INDEX([1]AB2!I:I,MATCH(A18,[1]AB2!A:A,0)),[1]AB3!$BR$19))))))</f>
        <v/>
      </c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9"/>
      <c r="CL19" s="43"/>
      <c r="CM19" s="43"/>
      <c r="CN19" s="59"/>
      <c r="CO19" s="43"/>
      <c r="CP19" s="43"/>
      <c r="CQ19" s="59"/>
      <c r="CR19" s="43"/>
      <c r="CS19" s="43"/>
      <c r="CT19" s="59"/>
      <c r="CU19" s="43"/>
      <c r="CV19" s="59"/>
      <c r="CW19" s="59"/>
    </row>
    <row r="20" spans="1:101" ht="16.5" customHeight="1" x14ac:dyDescent="0.2">
      <c r="A20" s="60"/>
      <c r="B20" s="41" t="str">
        <f>CONCATENATE(D18,IF(D20="Futures",[1]AB3!$B$8,IF(D20="Options Sell",[1]AB3!$B$14,IF(D20="Options Buy",[1]AB3!$B$20))))</f>
        <v>S3C</v>
      </c>
      <c r="C20" s="42" t="str">
        <f>IF(D20="Futures",[1]AB3!$C$8,IF(D20="Options Sell",[1]AB3!$C$14,IF(D20="Options Buy",[1]AB3!$C$20)))</f>
        <v>Segment</v>
      </c>
      <c r="D20" s="43" t="str">
        <f t="array" ref="D20">IF(A18="","",INDEX([1]AB2!C:C,MATCH(D18,[1]AB2!B:B,0)))</f>
        <v>FUTURES</v>
      </c>
      <c r="E20" s="42" t="str">
        <f>IF(D20="Futures",[1]AB3!$E$8,IF(D20="Options Sell",[1]AB3!$E$14,IF(D20="Options Buy",[1]AB3!$E$20)))</f>
        <v>Contract</v>
      </c>
      <c r="F20" s="43" t="str">
        <f t="array" ref="F20">IF(A18="","",INDEX([1]AB2!F:F,MATCH(D18,[1]AB2!B:B,0)))</f>
        <v>MONTHLY</v>
      </c>
      <c r="G20" s="62"/>
      <c r="H20" s="62"/>
      <c r="I20" s="63"/>
      <c r="J20" s="64"/>
      <c r="K20" s="48"/>
      <c r="L20" s="62"/>
      <c r="M20" s="62"/>
      <c r="N20" s="63"/>
      <c r="O20" s="64"/>
      <c r="P20" s="63"/>
      <c r="Q20" s="64"/>
      <c r="R20" s="63"/>
      <c r="S20" s="64"/>
      <c r="T20" s="63"/>
      <c r="U20" s="64"/>
      <c r="V20" s="63"/>
      <c r="W20" s="64"/>
      <c r="X20" s="63"/>
      <c r="Y20" s="63"/>
      <c r="Z20" s="48"/>
      <c r="AA20" s="62"/>
      <c r="AB20" s="62"/>
      <c r="AC20" s="62"/>
      <c r="AD20" s="48"/>
      <c r="AE20" s="62"/>
      <c r="AF20" s="62"/>
      <c r="AG20" s="63"/>
      <c r="AH20" s="63"/>
      <c r="AI20" s="48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53"/>
      <c r="BD20" s="57"/>
      <c r="BE20" s="57"/>
      <c r="BF20" s="57"/>
      <c r="BG20" s="57"/>
      <c r="BH20" s="57"/>
      <c r="BI20" s="66"/>
      <c r="BJ20" s="62"/>
      <c r="BK20" s="63"/>
      <c r="BL20" s="63"/>
      <c r="BM20" s="57"/>
      <c r="BN20" s="66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59"/>
      <c r="CL20" s="62"/>
      <c r="CM20" s="62"/>
      <c r="CN20" s="59"/>
      <c r="CO20" s="62"/>
      <c r="CP20" s="62"/>
      <c r="CQ20" s="59"/>
      <c r="CR20" s="62"/>
      <c r="CS20" s="62"/>
      <c r="CT20" s="59"/>
      <c r="CU20" s="62"/>
      <c r="CV20" s="59"/>
      <c r="CW20" s="59"/>
    </row>
    <row r="21" spans="1:101" ht="16.5" customHeight="1" x14ac:dyDescent="0.2">
      <c r="A21" s="60"/>
      <c r="B21" s="41" t="str">
        <f>CONCATENATE(D18,IF(D20="Futures",[1]AB3!$B$9,IF(D20="Options Sell",[1]AB3!$B$15,IF(D20="Options Buy",[1]AB3!$B$21))))</f>
        <v>S3D</v>
      </c>
      <c r="C21" s="42" t="str">
        <f>IF(D20="Futures",[1]AB3!$C$9,IF(D20="Options Sell",[1]AB3!$C$15,IF(D20="Options Buy",[1]AB3!$C$21)))</f>
        <v>Symbol</v>
      </c>
      <c r="D21" s="43" t="str">
        <f t="array" ref="D21">IF(A18="","",INDEX([1]AB2!E:E,MATCH(D18,[1]AB2!B:B,0)))</f>
        <v>BANKNIFTY</v>
      </c>
      <c r="E21" s="44" t="str">
        <f>IF(D20="Futures",[1]AB3!$E$9,IF(D20="Options Sell",[1]AB3!$E$15,IF(D20="Options Buy",[1]AB3!$E$21)))</f>
        <v>Bear / 
Bear CF</v>
      </c>
      <c r="F21" s="45" t="str">
        <f>IF(D20="Futures",[1]AB3!$F$9,IF(D20="Options Sell",[1]AB3!$F$15,IF(D20="Options Buy",[1]AB3!$F$21)))</f>
        <v>Long</v>
      </c>
      <c r="G21" s="43" t="str">
        <f t="array" ref="G21">IF(A18="","",IF(D20="Futures",CONCATENATE([1]AB3!$G$9,INDEX([1]AB2!J:J,MATCH(D18,[1]AB2!B:B,0)),[1]AB3!$H$9),IF(D20="Options Sell",CONCATENATE([1]AB3!$G$15,INDEX([1]AB2!I:I,MATCH(D18,[1]AB2!B:B,0)),[1]AB3!$H$15),IF(D20="Options Buy",CONCATENATE([1]AB3!$G$21,INDEX([1]AB2!J:J,MATCH(D18,[1]AB2!B:B,0)),[1]AB3!$H$21)))))</f>
        <v>FUT : PRV : 2DHH</v>
      </c>
      <c r="H21" s="43" t="str">
        <f>IF(D20="Futures",[1]AB3!$I$9,IF(D20="Options Sell",[1]AB3!$I$15,IF(D20="Options Buy",[1]AB3!$I$21)))</f>
        <v xml:space="preserve"> + </v>
      </c>
      <c r="I21" s="46">
        <v>1.5E-3</v>
      </c>
      <c r="J21" s="47">
        <v>5</v>
      </c>
      <c r="K21" s="48"/>
      <c r="L21" s="43" t="str">
        <f>IF(D20="Futures",[1]AB3!$M$9,IF(D20="Options Sell",[1]AB3!$M$15,IF(D20="Options Buy",[1]AB3!$M$21)))</f>
        <v xml:space="preserve">L : Entry </v>
      </c>
      <c r="M21" s="43" t="str">
        <f>IF(D20="Futures",[1]AB3!$N$9,IF(D20="Options Sell",[1]AB3!$N$15,IF(D20="Options Buy",[1]AB3!$N$21)))</f>
        <v xml:space="preserve"> + </v>
      </c>
      <c r="N21" s="46">
        <v>1.4999999999999999E-2</v>
      </c>
      <c r="O21" s="47">
        <v>1</v>
      </c>
      <c r="P21" s="46">
        <v>0.02</v>
      </c>
      <c r="Q21" s="47">
        <v>1</v>
      </c>
      <c r="R21" s="46">
        <v>2.5000000000000001E-2</v>
      </c>
      <c r="S21" s="47">
        <v>1</v>
      </c>
      <c r="T21" s="46">
        <v>0.03</v>
      </c>
      <c r="U21" s="47">
        <v>1</v>
      </c>
      <c r="V21" s="50" t="s">
        <v>51</v>
      </c>
      <c r="W21" s="47">
        <v>1</v>
      </c>
      <c r="X21" s="50" t="s">
        <v>52</v>
      </c>
      <c r="Y21" s="50" t="s">
        <v>52</v>
      </c>
      <c r="Z21" s="48"/>
      <c r="AA21" s="43" t="str">
        <f>IF(D20="Futures",[1]AB3!$AD$9,IF(D20="Options Sell",[1]AB3!$AD$15,IF(D20="Options Buy",[1]AB3!$AD$21)))</f>
        <v>Max</v>
      </c>
      <c r="AB21" s="43" t="str">
        <f>IF(D20="Futures",[1]AB3!$AE$9,IF(D20="Options Sell",[1]AB3!$AE$15,IF(D20="Options Buy",[1]AB3!$AE$21)))</f>
        <v>MSL &amp; TSL</v>
      </c>
      <c r="AC21" s="43" t="str">
        <f>IF(D20="Futures",[1]AB3!$AF$9,IF(D20="Options Sell",[1]AB3!$AF$15,IF(D20="Options Buy",[1]AB3!$AF$21)))</f>
        <v>Entry &amp; TRP</v>
      </c>
      <c r="AD21" s="48"/>
      <c r="AE21" s="43" t="str">
        <f>IF(D20="Futures",[1]AB3!$AH$9,IF(D20="Options Sell",[1]AB3!$AH$15,IF(D20="Options Buy",[1]AB3!$AH$21)))</f>
        <v>L : Entry</v>
      </c>
      <c r="AF21" s="43" t="str">
        <f>IF(D20="Futures",[1]AB3!$AI$9,IF(D20="Options Sell",[1]AB3!$AI$15,IF(D20="Options Buy",[1]AB3!$AI$21)))</f>
        <v xml:space="preserve"> - </v>
      </c>
      <c r="AG21" s="46">
        <v>1.4999999999999999E-2</v>
      </c>
      <c r="AH21" s="46">
        <v>0</v>
      </c>
      <c r="AI21" s="48"/>
      <c r="AJ21" s="43" t="str">
        <f>IF(D20="Futures",[1]AB3!$AO$9,IF(D20="Options Sell",[1]AB3!$AO$15,IF(D20="Options Buy",[1]AB3!$AO$21)))</f>
        <v xml:space="preserve"> - </v>
      </c>
      <c r="AK21" s="43" t="str">
        <f t="array" ref="AK21">IF(A18="","",IF(D20="Futures",CONCATENATE([1]AB3!$AP$9,INDEX([1]AB2!M:M,MATCH(D18,[1]AB2!B:B,0)),[1]AB3!$AQ$9),IF(D20="Options Sell",CONCATENATE([1]AB3!$AP$15,INDEX([1]AB2!L:L,MATCH(D18,[1]AB2!B:B,0)),[1]AB3!$AQ$15),IF(D20="Options Buy",CONCATENATE([1]AB3!$AP$21,INDEX([1]AB2!M:M,MATCH(D18,[1]AB2!B:B,0)),[1]AB3!$AQ$21)))))</f>
        <v>FUT : PRV : 1DLL</v>
      </c>
      <c r="AL21" s="51">
        <f>IF(AND(D20="Futures",AK21=[1]AB3!$AS$9),[1]AB3!$AS$9,IF(AND(D20="Options Sell",AK21=[1]AB3!$AS$15),[1]AB3!$AS$15,IF(AND(D20="Options Buy",AK21=[1]AB3!$AS$21),[1]AB3!$AS$21,I22)))</f>
        <v>0</v>
      </c>
      <c r="AM21" s="52">
        <f>J22</f>
        <v>5</v>
      </c>
      <c r="AN21" s="43" t="str">
        <f t="array" ref="AN21">IF(A18="","",IF(AND(OR(D22="1 &amp; APS",D22="2 &amp; APS",D22="3 &amp; APS",D22="4 &amp; APS",D22="5 &amp; APS"),D20="Futures"),CONCATENATE([1]AB3!$AP$9,INDEX([1]AB2!M:M,MATCH(D18,[1]AB2!B:B,0)),[1]AB3!$AQ$9),IF(AND(OR(D22="1 &amp; APS",D22="2 &amp; APS",D22="3 &amp; APS",D22="4 &amp; APS",D22="5 &amp; APS"),D20="Options Sell"),CONCATENATE([1]AB3!$AP$15,INDEX([1]AB2!L:L,MATCH(D18,[1]AB2!B:B,0)),[1]AB3!$AQ$15),IF(AND(OR(D22="1 &amp; APS",D22="2 &amp; APS",D22="3 &amp; APS",D22="4 &amp; APS",D22="5 &amp; APS"),D20="Options Buy"),CONCATENATE([1]AB3!$AP$21,INDEX([1]AB2!M:M,MATCH(D18,[1]AB2!B:B,0)),[1]AB3!$AQ$21),[1]AB3!$AR$6))))</f>
        <v>FUT : PRV : 1DLL</v>
      </c>
      <c r="AO21" s="51">
        <f>IF(AND(D20="Futures",AN21=[1]AB3!$AU$9),[1]AB3!$AU$9,IF(AND(D20="Options Sell",AN21=[1]AB3!$AU$15),[1]AB3!$AU$15,IF(AND(D20="Options Buy",AN21=[1]AB3!$AU$21),[1]AB3!$AU$21,I22)))</f>
        <v>0</v>
      </c>
      <c r="AP21" s="52">
        <f t="shared" ref="AP21:AP22" si="25">AM21-O21</f>
        <v>4</v>
      </c>
      <c r="AQ21" s="43" t="str">
        <f t="array" ref="AQ21">IF(A18="","",IF(AND(OR(D22="2 &amp; APS",D22="3 &amp; APS",D22="4 &amp; APS",D22="5 &amp; APS"),D20="Futures"),CONCATENATE([1]AB3!$AP$9,INDEX([1]AB2!M:M,MATCH(D18,[1]AB2!B:B,0)),[1]AB3!$AQ$9),IF(AND(OR(D22="2 &amp; APS",D22="3 &amp; APS",D22="4 &amp; APS",D22="5 &amp; APS"),D20="Options Sell"),CONCATENATE([1]AB3!$AP$15,INDEX([1]AB2!L:L,MATCH(D18,[1]AB2!B:B,0)),[1]AB3!$AQ$15),IF(AND(OR(D22="2 &amp; APS",D22="3 &amp; APS",D22="4 &amp; APS",D22="5 &amp; APS"),D20="Options Buy"),CONCATENATE([1]AB3!$AP$21,INDEX([1]AB2!M:M,MATCH(D18,[1]AB2!B:B,0)),[1]AB3!$AQ$21),[1]AB3!$AR$6))))</f>
        <v>FUT : PRV : 1DLL</v>
      </c>
      <c r="AR21" s="51">
        <f>IF(AND(D20="Futures",AQ21=[1]AB3!$AW$9),[1]AB3!$AW$9,IF(AND(D20="Options Sell",AQ21=[1]AB3!$AW$15),[1]AB3!$AW$15,IF(AND(D20="Options Buy",AQ21=[1]AB3!$AW$21),[1]AB3!$AW$21,I22)))</f>
        <v>0</v>
      </c>
      <c r="AS21" s="52">
        <f t="shared" ref="AS21:AS22" si="26">AP21-Q21</f>
        <v>3</v>
      </c>
      <c r="AT21" s="43" t="str">
        <f t="array" ref="AT21">IF(A18="","",IF(AND(OR(D22="3 &amp; APS",D22="4 &amp; APS",D22="5 &amp; APS"),D20="Futures"),CONCATENATE([1]AB3!$AP$9,INDEX([1]AB2!M:M,MATCH(D18,[1]AB2!B:B,0)),[1]AB3!$AQ$9),IF(AND(OR(D22="3 &amp; APS",D22="4 &amp; APS",D22="5 &amp; APS"),D20="Options Sell"),CONCATENATE([1]AB3!$AP$15,INDEX([1]AB2!L:L,MATCH(D18,[1]AB2!B:B,0)),[1]AB3!$AQ$15),IF(AND(OR(D22="3 &amp; APS",D22="4 &amp; APS",D22="5 &amp; APS"),D20="Options Buy"),CONCATENATE([1]AB3!$AP$21,INDEX([1]AB2!M:M,MATCH(D18,[1]AB2!B:B,0)),[1]AB3!$AQ$21),[1]AB3!$AR$6))))</f>
        <v>FUT : PRV : 1DLL</v>
      </c>
      <c r="AU21" s="51">
        <f>IF(AND(D20="Futures",AT21=[1]AB3!$AY$9),[1]AB3!$AY$9,IF(AND(D20="Options Sell",AT21=[1]AB3!$AY$15),[1]AB3!$AY$15,IF(AND(D20="Options Buy",AT21=[1]AB3!$AY$21),[1]AB3!$AY$21,I22)))</f>
        <v>0</v>
      </c>
      <c r="AV21" s="52">
        <f t="shared" ref="AV21:AV22" si="27">AS21-S21</f>
        <v>2</v>
      </c>
      <c r="AW21" s="43" t="str">
        <f t="array" ref="AW21">IF(A18="","",IF(AND(OR(D22="4 &amp; APS",D22="5 &amp; APS"),D20="Futures"),CONCATENATE([1]AB3!$AP$9,INDEX([1]AB2!M:M,MATCH(D18,[1]AB2!B:B,0)),[1]AB3!$AQ$9),IF(AND(OR(D22="4 &amp; APS",D22="5 &amp; APS"),D20="Options Sell"),CONCATENATE([1]AB3!$AP$15,INDEX([1]AB2!L:L,MATCH(D18,[1]AB2!B:B,0)),[1]AB3!$AQ$15),IF(AND(OR(D22="4 &amp; APS",D22="5 &amp; APS"),D20="Options Buy"),CONCATENATE([1]AB3!$AP$21,INDEX([1]AB2!M:M,MATCH(D18,[1]AB2!B:B,0)),[1]AB3!$AQ$21),[1]AB3!$AR$6))))</f>
        <v>FUT : PRV : 1DLL</v>
      </c>
      <c r="AX21" s="51">
        <f>IF(AND(D20="Futures",AW21=[1]AB3!$BA$9),[1]AB3!$BA$9,IF(AND(D20="Options Sell",AW21=[1]AB3!$BA$15),[1]AB3!$BA$15,IF(AND(D20="Options Buy",AW21=[1]AB3!$BA$21),[1]AB3!$BA$21,I22)))</f>
        <v>0</v>
      </c>
      <c r="AY21" s="52">
        <f t="shared" ref="AY21:AY22" si="28">AV21-S21</f>
        <v>1</v>
      </c>
      <c r="AZ21" s="51">
        <f t="array" ref="AZ21">IF(A18="","",IF(AND(D22="5 &amp; APS",D20="Futures"),CONCATENATE([1]AB3!$AP$9,INDEX([1]AB2!M:M,MATCH(D18,[1]AB2!B:B,0)),[1]AB3!$AQ$9),IF(AND(D22="5 &amp; APS",D20="Options Sell"),CONCATENATE([1]AB3!$AP$15,INDEX([1]AB2!L:L,MATCH(D18,[1]AB2!B:B,0)),[1]AB3!$AQ$15),IF(AND(D22="5 &amp; APS",D20="Options Buy"),CONCATENATE([1]AB3!$AP$21,INDEX([1]AB2!M:M,MATCH(D18,[1]AB2!B:B,0)),[1]AB3!$AQ$21),[1]AB3!$AR$6))))</f>
        <v>0</v>
      </c>
      <c r="BA21" s="51">
        <f>IF(AND(D20="Futures",AZ21=[1]AB3!$BC$9),[1]AB3!$BC$9,IF(AND(D20="Options Sell",AZ21=[1]AB3!$BC$15),[1]AB3!$BC$15,IF(AND(D20="Options Buy",AZ21=[1]AB3!$BC$21),[1]AB3!$BC$21,I22)))</f>
        <v>0</v>
      </c>
      <c r="BB21" s="52">
        <f t="shared" ref="BB21:BB22" si="29">AY21-W21</f>
        <v>0</v>
      </c>
      <c r="BC21" s="53"/>
      <c r="BD21" s="54" t="str">
        <f>IF(D20="Futures",[1]AB3!$BE$9,IF(D20="Options Sell",[1]AB3!$BE$15,IF(D20="Options Buy",[1]AB3!$BE$21)))</f>
        <v>Market Start Time</v>
      </c>
      <c r="BE21" s="67">
        <f t="array" ref="BE21">IF(D18="","",INDEX([1]AB2!AG:AG,MATCH(D18,[1]AB2!B:B,0)))</f>
        <v>0.38541666666666669</v>
      </c>
      <c r="BF21" s="11"/>
      <c r="BG21" s="12"/>
      <c r="BH21" s="57"/>
      <c r="BI21" s="68" t="str">
        <f>IF(D20="Futures",[1]AB3!$BJ$9,IF(D20="Options Sell",[1]AB3!$BJ$15,IF(D20="Options Buy",[1]AB3!$BJ$21)))</f>
        <v>Bear / 
Bear CF</v>
      </c>
      <c r="BJ21" s="45" t="str">
        <f>IF(D20="Futures",[1]AB3!$BK$9,IF(D20="Options Sell",[1]AB3!$BK$15,IF(D20="Options Buy",[1]AB3!$BK$21)))</f>
        <v>Long</v>
      </c>
      <c r="BK21" s="46">
        <v>1.5E-3</v>
      </c>
      <c r="BL21" s="46">
        <v>1.5E-3</v>
      </c>
      <c r="BM21" s="57"/>
      <c r="BN21" s="68" t="str">
        <f>IF(D20="Futures",[1]AB3!$BO$9,IF(D20="Options Sell",[1]AB3!$BO$15,IF(D20="Options Buy",[1]AB3!$BO$21)))</f>
        <v>Bear | 
Bear CF</v>
      </c>
      <c r="BO21" s="45" t="str">
        <f>IF(D20="Futures",[1]AB3!$BP$9,IF(D20="Options Sell",[1]AB3!$BP$15,IF(D20="Options Buy",[1]AB3!$BP$21)))</f>
        <v>Call</v>
      </c>
      <c r="BP21" s="43" t="str">
        <f t="array" ref="BP21">IF(A18="","",IF(D20="Futures","",IF(D20="EQUITY","",IF(D20="Options Sell",CONCATENATE([1]AB3!$BQ$15,INDEX([1]AB2!I:I,MATCH(A18,[1]AB2!A:A,0)),[1]AB3!$BR$15),IF(D20="Options Buy",CONCATENATE([1]AB3!$BQ$21,INDEX([1]AB2!I:I,MATCH(A18,[1]AB2!A:A,0)),[1]AB3!$BR$21))))))</f>
        <v/>
      </c>
      <c r="BQ21" s="58"/>
      <c r="BR21" s="58"/>
      <c r="BS21" s="58"/>
      <c r="BT21" s="58"/>
      <c r="BU21" s="58"/>
      <c r="BV21" s="58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9"/>
      <c r="CL21" s="43"/>
      <c r="CM21" s="43"/>
      <c r="CN21" s="59"/>
      <c r="CO21" s="43"/>
      <c r="CP21" s="43"/>
      <c r="CQ21" s="59"/>
      <c r="CR21" s="43"/>
      <c r="CS21" s="43"/>
      <c r="CT21" s="59"/>
      <c r="CU21" s="43"/>
      <c r="CV21" s="59"/>
      <c r="CW21" s="59"/>
    </row>
    <row r="22" spans="1:101" ht="16.5" customHeight="1" x14ac:dyDescent="0.2">
      <c r="A22" s="32"/>
      <c r="B22" s="41" t="str">
        <f>CONCATENATE(D18,IF(D20="Futures",[1]AB3!$B$10,IF(D20="Options Sell",[1]AB3!$B$16,IF(D20="Options Buy",[1]AB3!$B$22))))</f>
        <v>S3E</v>
      </c>
      <c r="C22" s="42" t="str">
        <f>IF(D20="Futures",[1]AB3!$C$10,IF(D20="Options Sell",[1]AB3!$C$16,IF(D20="Options Buy",[1]AB3!$C$22)))</f>
        <v>No. of Targets</v>
      </c>
      <c r="D22" s="43" t="str">
        <f t="array" ref="D22">IF(A18="","",INDEX([1]AB2!K:K,MATCH(D18,[1]AB2!B:B,0)))</f>
        <v>4 &amp; APS</v>
      </c>
      <c r="E22" s="32"/>
      <c r="F22" s="61" t="str">
        <f>IF(D20="Futures",[1]AB3!$F$10,IF(D20="Options Sell",[1]AB3!$F$16,IF(D20="Options Buy",[1]AB3!$F$22)))</f>
        <v>Short</v>
      </c>
      <c r="G22" s="43" t="str">
        <f t="array" ref="G22">(IF(A18="","",IF(D20="Futures",CONCATENATE([1]AB3!$G$10,INDEX([1]AB2!I:I,MATCH(D18,[1]AB2!B:B,0)),[1]AB3!$H$10),IF(D20="Options Sell",CONCATENATE([1]AB3!$G$16,INDEX([1]AB2!J:J,MATCH(D18,[1]AB2!B:B,0)),[1]AB3!$H$16),IF(D20="Options Buy",CONCATENATE([1]AB3!$G$22,INDEX([1]AB2!I:I,MATCH(D18,[1]AB2!B:B,0)),[1]AB3!$H$22))))))</f>
        <v>FUT : PRV : 1DLL</v>
      </c>
      <c r="H22" s="43" t="str">
        <f>IF(D20="Futures",[1]AB3!$I$10,IF(D20="Options Sell",[1]AB3!$I$16,IF(D20="Options Buy",[1]AB3!$I$22)))</f>
        <v xml:space="preserve"> - </v>
      </c>
      <c r="I22" s="46">
        <v>0</v>
      </c>
      <c r="J22" s="47">
        <v>5</v>
      </c>
      <c r="K22" s="48"/>
      <c r="L22" s="43" t="str">
        <f>IF(D20="Futures",[1]AB3!$M$10,IF(D20="Options Sell",[1]AB3!$M$16,IF(D20="Options Buy",[1]AB3!$M$22)))</f>
        <v xml:space="preserve">S : Entry </v>
      </c>
      <c r="M22" s="43" t="str">
        <f>IF(D20="Futures",[1]AB3!$N$10,IF(D20="Options Sell",[1]AB3!$N$16,IF(D20="Options Buy",[1]AB3!$N$22)))</f>
        <v xml:space="preserve"> - </v>
      </c>
      <c r="N22" s="46">
        <v>1.4999999999999999E-2</v>
      </c>
      <c r="O22" s="47">
        <v>1</v>
      </c>
      <c r="P22" s="46">
        <v>0.02</v>
      </c>
      <c r="Q22" s="47">
        <v>1</v>
      </c>
      <c r="R22" s="46">
        <v>2.5000000000000001E-2</v>
      </c>
      <c r="S22" s="47">
        <v>1</v>
      </c>
      <c r="T22" s="46">
        <v>0.03</v>
      </c>
      <c r="U22" s="47">
        <v>1</v>
      </c>
      <c r="V22" s="50" t="s">
        <v>51</v>
      </c>
      <c r="W22" s="47">
        <v>1</v>
      </c>
      <c r="X22" s="50" t="s">
        <v>52</v>
      </c>
      <c r="Y22" s="50" t="s">
        <v>52</v>
      </c>
      <c r="Z22" s="48"/>
      <c r="AA22" s="43" t="str">
        <f>IF(D20="Futures",[1]AB3!$AD$10,IF(D20="Options Sell",[1]AB3!$AD$16,IF(D20="Options Buy",[1]AB3!$AD$22)))</f>
        <v>Min</v>
      </c>
      <c r="AB22" s="43" t="str">
        <f>IF(D20="Futures",[1]AB3!$AE$10,IF(D20="Options Sell",[1]AB3!$AE$16,IF(D20="Options Buy",[1]AB3!$AE$22)))</f>
        <v>MSL &amp; TSL</v>
      </c>
      <c r="AC22" s="43" t="str">
        <f>IF(D20="Futures",[1]AB3!$AF$10,IF(D20="Options Sell",[1]AB3!$AF$16,IF(D20="Options Buy",[1]AB3!$AF$22)))</f>
        <v>Entry &amp; TRP</v>
      </c>
      <c r="AD22" s="48"/>
      <c r="AE22" s="43" t="str">
        <f>IF(D20="Futures",[1]AB3!$AH$10,IF(D20="Options Sell",[1]AB3!$AH$16,IF(D20="Options Buy",[1]AB3!$AH$22)))</f>
        <v>S : Entry</v>
      </c>
      <c r="AF22" s="43" t="str">
        <f>IF(D20="Futures",[1]AB3!$AI$10,IF(D20="Options Sell",[1]AB3!$AI$16,IF(D20="Options Buy",[1]AB3!$AI$22)))</f>
        <v xml:space="preserve"> + </v>
      </c>
      <c r="AG22" s="46">
        <v>1.4999999999999999E-2</v>
      </c>
      <c r="AH22" s="46">
        <v>0</v>
      </c>
      <c r="AI22" s="48"/>
      <c r="AJ22" s="43" t="str">
        <f>IF(D20="Futures",[1]AB3!$AO$10,IF(D20="Options Sell",[1]AB3!$AO$16,IF(D20="Options Buy",[1]AB3!$AO$22)))</f>
        <v xml:space="preserve"> + </v>
      </c>
      <c r="AK22" s="43" t="str">
        <f t="array" ref="AK22">IF(A18="","",IF(D20="Futures",CONCATENATE([1]AB3!$AP$10,INDEX([1]AB2!L:L,MATCH(D18,[1]AB2!B:B,0)),[1]AB3!$AQ$10),IF(D20="Options Sell",CONCATENATE([1]AB3!$AP$16,INDEX([1]AB2!M:M,MATCH(D18,[1]AB2!B:B,0)),[1]AB3!$AQ$16),IF(D20="Options Buy",CONCATENATE([1]AB3!$AP$22,INDEX([1]AB2!L:L,MATCH(D18,[1]AB2!B:B,0)),[1]AB3!$AQ$22)))))</f>
        <v>FUT : PRV : 2DHH</v>
      </c>
      <c r="AL22" s="51">
        <f>IF(AND(D20="Futures",AK22=[1]AB3!$AS$10),[1]AB3!$AS$10,IF(AND(D20="Options Sell",AK22=[1]AB3!$AS$16),[1]AB3!$AS$16,IF(AND(D20="Options Buy",AK22=[1]AB3!$AS$22),[1]AB3!$AS$22,I21)))</f>
        <v>1.5E-3</v>
      </c>
      <c r="AM22" s="52">
        <f>J21</f>
        <v>5</v>
      </c>
      <c r="AN22" s="43" t="str">
        <f t="array" ref="AN22">IF(A18="","",IF(AND(OR(D22="1 &amp; APS",D22="2 &amp; APS",D22="3 &amp; APS",D22="4 &amp; APS",D22="5 &amp; APS"),D20="Futures"),CONCATENATE([1]AB3!$AP$10,INDEX([1]AB2!L:L,MATCH(D18,[1]AB2!B:B,0)),[1]AB3!$AQ$10),IF(AND(OR(D22="1 &amp; APS",D22="2 &amp; APS",D22="3 &amp; APS",D22="4 &amp; APS",D22="5 &amp; APS"),D20="Options Sell"),CONCATENATE([1]AB3!$AP$16,INDEX([1]AB2!M:M,MATCH(D18,[1]AB2!B:B,0)),[1]AB3!$AQ$16),IF(AND(OR(D22="1 &amp; APS",D22="2 &amp; APS",D22="3 &amp; APS",D22="4 &amp; APS",D22="5 &amp; APS"),D20="Options Buy"),CONCATENATE([1]AB3!$AP$22,INDEX([1]AB2!L:L,MATCH(D18,[1]AB2!B:B,0)),[1]AB3!$AQ$22),[1]AB3!$AR$6))))</f>
        <v>FUT : PRV : 2DHH</v>
      </c>
      <c r="AO22" s="51">
        <f>IF(AND(D20="Futures",AN22=[1]AB3!$AU$10),[1]AB3!$AU$10,IF(AND(D20="Options Sell",AN22=[1]AB3!$AU$16),[1]AB3!$AU$16,IF(AND(D20="Options Buy",AN22=[1]AB3!$AU$22),[1]AB3!$AU$22,I21)))</f>
        <v>1.5E-3</v>
      </c>
      <c r="AP22" s="52">
        <f t="shared" si="25"/>
        <v>4</v>
      </c>
      <c r="AQ22" s="43" t="str">
        <f t="array" ref="AQ22">IF(A18="","",IF(AND(OR(D22="2 &amp; APS",D22="3 &amp; APS",D22="4 &amp; APS",D22="5 &amp; APS"),D20="Futures"),CONCATENATE([1]AB3!$AP$10,INDEX([1]AB2!L:L,MATCH(D18,[1]AB2!B:B,0)),[1]AB3!$AQ$10),IF(AND(OR(D22="2 &amp; APS",D22="3 &amp; APS",D22="4 &amp; APS",D22="5 &amp; APS"),D20="Options Sell"),CONCATENATE([1]AB3!$AP$16,INDEX([1]AB2!M:M,MATCH(D18,[1]AB2!B:B,0)),[1]AB3!$AQ$16),IF(AND(OR(D22="2 &amp; APS",D22="3 &amp; APS",D22="4 &amp; APS",D22="5 &amp; APS"),D20="Options Buy"),CONCATENATE([1]AB3!$AP$22,INDEX([1]AB2!L:L,MATCH(D18,[1]AB2!B:B,0)),[1]AB3!$AQ$22),[1]AB3!$AR$6))))</f>
        <v>FUT : PRV : 2DHH</v>
      </c>
      <c r="AR22" s="51">
        <f>IF(AND(D20="Futures",AQ22=[1]AB3!$AW$10),[1]AB3!$AW$10,IF(AND(D20="Options Sell",AQ22=[1]AB3!$AW$16),[1]AB3!$AW$16,IF(AND(D20="Options Buy",AQ22=[1]AB3!$AW$22),[1]AB3!$AW$22,I21)))</f>
        <v>1.5E-3</v>
      </c>
      <c r="AS22" s="52">
        <f t="shared" si="26"/>
        <v>3</v>
      </c>
      <c r="AT22" s="43" t="str">
        <f t="array" ref="AT22">IF(A18="","",IF(AND(OR(D22="3 &amp; APS",D22="4 &amp; APS",D22="5 &amp; APS"),D20="Futures"),CONCATENATE([1]AB3!$AP$10,INDEX([1]AB2!L:L,MATCH(D18,[1]AB2!B:B,0)),[1]AB3!$AQ$10),IF(AND(OR(D22="3 &amp; APS",D22="4 &amp; APS",D22="5 &amp; APS"),D20="Options Sell"),CONCATENATE([1]AB3!$AP$16,INDEX([1]AB2!M:M,MATCH(D18,[1]AB2!B:B,0)),[1]AB3!$AQ$16),IF(AND(OR(D22="3 &amp; APS",D22="4 &amp; APS",D22="5 &amp; APS"),D20="Options Buy"),CONCATENATE([1]AB3!$AP$22,INDEX([1]AB2!L:L,MATCH(D18,[1]AB2!B:B,0)),[1]AB3!$AQ$22),[1]AB3!$AR$6))))</f>
        <v>FUT : PRV : 2DHH</v>
      </c>
      <c r="AU22" s="51">
        <f>IF(AND(D20="Futures",AT22=[1]AB3!$AY$10),[1]AB3!$AY$10,IF(AND(D20="Options Sell",AT22=[1]AB3!$AY$16),[1]AB3!$AY$16,IF(AND(D20="Options Buy",AT22=[1]AB3!$AY$22),[1]AB3!$AY$22,I21)))</f>
        <v>1.5E-3</v>
      </c>
      <c r="AV22" s="52">
        <f t="shared" si="27"/>
        <v>2</v>
      </c>
      <c r="AW22" s="43" t="str">
        <f t="array" ref="AW22">IF(A18="","",IF(AND(OR(D22="4 &amp; APS",D22="5 &amp; APS"),D20="Futures"),CONCATENATE([1]AB3!$AP$10,INDEX([1]AB2!L:L,MATCH(D18,[1]AB2!B:B,0)),[1]AB3!$AQ$10),IF(AND(OR(D22="4 &amp; APS",D22="5 &amp; APS"),D20="Options Sell"),CONCATENATE([1]AB3!$AP$16,INDEX([1]AB2!M:M,MATCH(D18,[1]AB2!B:B,0)),[1]AB3!$AQ$16),IF(AND(OR(D22="4 &amp; APS",D22="5 &amp; APS"),D20="Options Buy"),CONCATENATE([1]AB3!$AP$22,INDEX([1]AB2!L:L,MATCH(D18,[1]AB2!B:B,0)),[1]AB3!$AQ$22),[1]AB3!$AR$6))))</f>
        <v>FUT : PRV : 2DHH</v>
      </c>
      <c r="AX22" s="51">
        <f>IF(AND(D20="Futures",AW22=[1]AB3!$BA$10),[1]AB3!$BA$10,IF(AND(D20="Options Sell",AW22=[1]AB3!$BA$16),[1]AB3!$BA$16,IF(AND(D20="Options Buy",AW22=[1]AB3!$BA$22),[1]AB3!$BA$22,I21)))</f>
        <v>1.5E-3</v>
      </c>
      <c r="AY22" s="52">
        <f t="shared" si="28"/>
        <v>1</v>
      </c>
      <c r="AZ22" s="51">
        <f t="array" ref="AZ22">IF(A18="","",IF(AND(D22="5 &amp; APS",D20="Futures"),CONCATENATE([1]AB3!$AP$10,INDEX([1]AB2!L:L,MATCH(D18,[1]AB2!B:B,0)),[1]AB3!$AQ$10),IF(AND(D22="5 &amp; APS",D20="Options Sell"),CONCATENATE([1]AB3!$AP$16,INDEX([1]AB2!M:M,MATCH(D18,[1]AB2!B:B,0)),[1]AB3!$AQ$16),IF(AND(D22="5 &amp; APS",D20="Options Buy"),CONCATENATE([1]AB3!$AP$22,INDEX([1]AB2!L:L,MATCH(D18,[1]AB2!B:B,0)),[1]AB3!$AQ$22),[1]AB3!$AR$6))))</f>
        <v>0</v>
      </c>
      <c r="BA22" s="51">
        <f>IF(AND(D20="Futures",AZ22=[1]AB3!$BC$10),[1]AB3!$BC$10,IF(AND(D20="Options Sell",AZ22=[1]AB3!$BC$16),[1]AB3!$BC$16,IF(AND(D20="Options Buy",AZ22=[1]AB3!$BC$22),[1]AB3!$BC$22,I21)))</f>
        <v>0</v>
      </c>
      <c r="BB22" s="52">
        <f t="shared" si="29"/>
        <v>0</v>
      </c>
      <c r="BC22" s="53"/>
      <c r="BD22" s="54" t="str">
        <f>IF(D20="Futures",[1]AB3!$BE$10,IF(D20="Options Sell",[1]AB3!$BE$16,IF(D20="Options Buy",[1]AB3!$BE$22)))</f>
        <v>Market End Time</v>
      </c>
      <c r="BE22" s="67">
        <f t="array" ref="BE22">IF(D18="","",INDEX([1]AB2!AH:AH,MATCH(D18,[1]AB2!B:B,0)))</f>
        <v>0.64583333333333337</v>
      </c>
      <c r="BF22" s="11"/>
      <c r="BG22" s="12"/>
      <c r="BH22" s="57"/>
      <c r="BI22" s="32"/>
      <c r="BJ22" s="61" t="str">
        <f>IF(D20="Futures",[1]AB3!$BK$10,IF(D20="Options Sell",[1]AB3!$BK$16,IF(D20="Options Buy",[1]AB3!$BK$22)))</f>
        <v>Short</v>
      </c>
      <c r="BK22" s="46">
        <v>1.5E-3</v>
      </c>
      <c r="BL22" s="46">
        <v>1.5E-3</v>
      </c>
      <c r="BM22" s="57"/>
      <c r="BN22" s="32"/>
      <c r="BO22" s="61" t="str">
        <f>IF(D20="Futures",[1]AB3!$BP$10,IF(D20="Options Sell",[1]AB3!$BP$16,IF(D20="Options Buy",[1]AB3!$BP$22)))</f>
        <v>Put</v>
      </c>
      <c r="BP22" s="43" t="str">
        <f t="array" ref="BP22">IF(A18="","",IF(D20="Futures","",IF(D20="EQUITY","",IF(D20="Options Sell",CONCATENATE([1]AB3!$BQ$16,INDEX([1]AB2!J:J,MATCH(A18,[1]AB2!A:A,0)),[1]AB3!$BR$16),IF(D20="Options Buy",CONCATENATE([1]AB3!$BQ$22,INDEX([1]AB2!J:J,MATCH(A18,[1]AB2!A:A,0)),[1]AB3!$BR$22))))))</f>
        <v/>
      </c>
      <c r="BQ22" s="58"/>
      <c r="BR22" s="58"/>
      <c r="BS22" s="58"/>
      <c r="BT22" s="58"/>
      <c r="BU22" s="58"/>
      <c r="BV22" s="58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9"/>
      <c r="CL22" s="43"/>
      <c r="CM22" s="43"/>
      <c r="CN22" s="59"/>
      <c r="CO22" s="43"/>
      <c r="CP22" s="43"/>
      <c r="CQ22" s="59"/>
      <c r="CR22" s="43"/>
      <c r="CS22" s="43"/>
      <c r="CT22" s="59"/>
      <c r="CU22" s="43"/>
      <c r="CV22" s="59"/>
      <c r="CW22" s="59"/>
    </row>
    <row r="23" spans="1:101" ht="15.75" customHeight="1" x14ac:dyDescent="0.2">
      <c r="A23" s="1"/>
      <c r="B23" s="2"/>
      <c r="C23" s="2"/>
      <c r="D23" s="2"/>
      <c r="E23" s="2"/>
      <c r="F23" s="2"/>
      <c r="G23" s="2"/>
      <c r="H23" s="2"/>
      <c r="I23" s="2"/>
      <c r="J23" s="64"/>
      <c r="K23" s="2"/>
      <c r="L23" s="2"/>
      <c r="M23" s="2"/>
      <c r="N23" s="2"/>
      <c r="O23" s="64"/>
      <c r="P23" s="2"/>
      <c r="Q23" s="64"/>
      <c r="R23" s="69"/>
      <c r="S23" s="64"/>
      <c r="T23" s="70"/>
      <c r="U23" s="64"/>
      <c r="V23" s="2"/>
      <c r="W23" s="64"/>
      <c r="X23" s="2"/>
      <c r="Y23" s="2"/>
      <c r="Z23" s="2"/>
      <c r="AA23" s="20"/>
      <c r="AB23" s="71"/>
      <c r="AC23" s="71"/>
      <c r="AD23" s="2"/>
      <c r="AE23" s="70"/>
      <c r="AF23" s="70"/>
      <c r="AG23" s="70"/>
      <c r="AH23" s="70"/>
      <c r="AI23" s="2"/>
      <c r="AJ23" s="70"/>
      <c r="AK23" s="70"/>
      <c r="AL23" s="70"/>
      <c r="AM23" s="64"/>
      <c r="AN23" s="70"/>
      <c r="AO23" s="70"/>
      <c r="AP23" s="64"/>
      <c r="AQ23" s="70"/>
      <c r="AR23" s="70"/>
      <c r="AS23" s="64"/>
      <c r="AT23" s="70"/>
      <c r="AU23" s="70"/>
      <c r="AV23" s="64"/>
      <c r="AW23" s="70"/>
      <c r="AX23" s="70"/>
      <c r="AY23" s="64"/>
      <c r="AZ23" s="70"/>
      <c r="BA23" s="70"/>
      <c r="BB23" s="64"/>
      <c r="BC23" s="70"/>
      <c r="BD23" s="70"/>
      <c r="BE23" s="70"/>
      <c r="BF23" s="70"/>
      <c r="BG23" s="70"/>
      <c r="BH23" s="70"/>
      <c r="BI23" s="70"/>
      <c r="BJ23" s="70"/>
      <c r="BK23" s="2"/>
      <c r="BL23" s="2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2"/>
      <c r="CM23" s="2"/>
      <c r="CN23" s="70"/>
      <c r="CO23" s="70"/>
      <c r="CP23" s="70"/>
      <c r="CQ23" s="70"/>
      <c r="CR23" s="2"/>
      <c r="CS23" s="2"/>
      <c r="CT23" s="70"/>
      <c r="CU23" s="70"/>
      <c r="CV23" s="70"/>
      <c r="CW23" s="70"/>
    </row>
    <row r="24" spans="1:101" ht="15.75" customHeight="1" x14ac:dyDescent="0.2">
      <c r="A24" s="40">
        <v>4</v>
      </c>
      <c r="B24" s="41" t="str">
        <f>CONCATENATE(D24,IF(D26="Futures",[1]AB3!$B$6,IF(D26="Options Sell",[1]AB3!$B$12,IF(D26="Options Buy",[1]AB3!$B$18))))</f>
        <v>S4A</v>
      </c>
      <c r="C24" s="42" t="str">
        <f>IF(D26="Futures",[1]AB3!$C$6,IF(D26="Options Sell",[1]AB3!$C$12,IF(D26="Options Buy",[1]AB3!$C$18)))</f>
        <v>Strategy Code</v>
      </c>
      <c r="D24" s="43" t="str">
        <f t="array" ref="D24">IF(A24="","",INDEX([1]AB2!B:B,MATCH(A24,[1]AB2!A:A,0)))</f>
        <v>S4</v>
      </c>
      <c r="E24" s="44" t="str">
        <f>IF(D26="Futures",[1]AB3!$E$6,IF(D26="Options Sell",[1]AB3!$E$12,IF(D26="Options Buy",[1]AB3!$E$18)))</f>
        <v>Bull / 
Bull CF</v>
      </c>
      <c r="F24" s="45" t="str">
        <f>IF(D26="Futures",[1]AB3!$F$6,IF(D26="Options Sell",[1]AB3!$F$12,IF(D26="Options Buy",[1]AB3!$F$18)))</f>
        <v>Long</v>
      </c>
      <c r="G24" s="43" t="str">
        <f t="array" ref="G24">IF(A24="","",IF(D26="Futures",CONCATENATE([1]AB3!$G$6,INDEX([1]AB2!I:I,MATCH(D24,[1]AB2!B:B,0)),[1]AB3!$H$6),IF(D26="Options Sell",CONCATENATE([1]AB3!$G$12,INDEX([1]AB2!J:J,MATCH(D24,[1]AB2!B:B,0)),[1]AB3!$H$12),IF(D26="Options Buy",CONCATENATE([1]AB3!$G$18,INDEX([1]AB2!I:I,MATCH(D24,[1]AB2!B:B,0)),[1]AB3!$H$18)))))</f>
        <v>FUT : PRV : 2DHH</v>
      </c>
      <c r="H24" s="43" t="str">
        <f>IF(D26="Futures",[1]AB3!$I$6,IF(D26="Options Sell",[1]AB3!$I$12,IF(D26="Options Buy",[1]AB3!$I$18)))</f>
        <v xml:space="preserve"> + </v>
      </c>
      <c r="I24" s="46">
        <v>1.5E-3</v>
      </c>
      <c r="J24" s="47">
        <v>5</v>
      </c>
      <c r="K24" s="48"/>
      <c r="L24" s="43" t="str">
        <f>IF(D26="Futures",[1]AB3!$M$6,IF(D26="Options Sell",[1]AB3!$M$12,IF(D26="Options Buy",[1]AB3!$M$18)))</f>
        <v xml:space="preserve">L : Entry </v>
      </c>
      <c r="M24" s="43" t="str">
        <f>IF(D26="Futures",[1]AB3!$N$6,IF(D26="Options Sell",[1]AB3!$N$12,IF(D26="Options Buy",[1]AB3!$N$18)))</f>
        <v xml:space="preserve"> + </v>
      </c>
      <c r="N24" s="46">
        <v>1.4999999999999999E-2</v>
      </c>
      <c r="O24" s="47">
        <v>1</v>
      </c>
      <c r="P24" s="46">
        <v>0.02</v>
      </c>
      <c r="Q24" s="47">
        <v>1</v>
      </c>
      <c r="R24" s="46">
        <v>2.5000000000000001E-2</v>
      </c>
      <c r="S24" s="47">
        <v>1</v>
      </c>
      <c r="T24" s="46">
        <v>0.03</v>
      </c>
      <c r="U24" s="47">
        <v>1</v>
      </c>
      <c r="V24" s="50" t="s">
        <v>51</v>
      </c>
      <c r="W24" s="47">
        <v>1</v>
      </c>
      <c r="X24" s="50" t="s">
        <v>52</v>
      </c>
      <c r="Y24" s="50" t="s">
        <v>52</v>
      </c>
      <c r="Z24" s="48"/>
      <c r="AA24" s="43" t="str">
        <f>IF(D26="Futures",[1]AB3!$AD$6,IF(D26="Options Sell",[1]AB3!$AD$12,IF(D26="Options Buy",[1]AB3!$AD$18)))</f>
        <v>Max</v>
      </c>
      <c r="AB24" s="43" t="str">
        <f>IF(D26="Futures",[1]AB3!$AE$6,IF(D26="Options Sell",[1]AB3!$AE$12,IF(D26="Options Buy",[1]AB3!$AE$18)))</f>
        <v>MSL &amp; TSL</v>
      </c>
      <c r="AC24" s="43" t="str">
        <f>IF(D26="Futures",[1]AB3!$AF$6,IF(D26="Options Sell",[1]AB3!$AF$12,IF(D26="Options Buy",[1]AB3!$AF$18)))</f>
        <v>Entry &amp; TRP</v>
      </c>
      <c r="AD24" s="48"/>
      <c r="AE24" s="43" t="str">
        <f>IF(D26="Futures",[1]AB3!$AH$6,IF(D26="Options Sell",[1]AB3!$AH$12,IF(D26="Options Buy",[1]AB3!$AH$18)))</f>
        <v>L : Entry</v>
      </c>
      <c r="AF24" s="43" t="str">
        <f>IF(D26="Futures",[1]AB3!$AI$6,IF(D26="Options Sell",[1]AB3!$AI$12,IF(D26="Options Buy",[1]AB3!$AI$18)))</f>
        <v xml:space="preserve"> - </v>
      </c>
      <c r="AG24" s="46">
        <v>1.4999999999999999E-2</v>
      </c>
      <c r="AH24" s="46">
        <v>0</v>
      </c>
      <c r="AI24" s="48"/>
      <c r="AJ24" s="43" t="str">
        <f>IF(D26="Futures",[1]AB3!$AO$6,IF(D26="Options Sell",[1]AB3!$AO$12,IF(D26="Options Buy",[1]AB3!$AO$18)))</f>
        <v xml:space="preserve"> - </v>
      </c>
      <c r="AK24" s="43" t="str">
        <f t="array" ref="AK24">IF(A24="","",IF(D26="Futures",CONCATENATE([1]AB3!$AP$6,INDEX([1]AB2!L:L,MATCH(D24,[1]AB2!B:B,0)),[1]AB3!$AQ$6),IF(D26="Options Sell",CONCATENATE([1]AB3!$AP$12,INDEX([1]AB2!M:M,MATCH(D24,[1]AB2!B:B,0)),[1]AB3!$AQ$12),IF(D26="Options Buy",CONCATENATE([1]AB3!$AP$18,INDEX([1]AB2!L:L,MATCH(D24,[1]AB2!B:B,0)),[1]AB3!$AQ$18)))))</f>
        <v>FUT : PRV : 2DLL</v>
      </c>
      <c r="AL24" s="51">
        <f>IF(AND(D26="Futures",AK24=[1]AB3!$AS$6),[1]AB3!$AS$6,IF(AND(D26="Options Sell",AK24=[1]AB3!$AS$12),[1]AB3!$AS$12,IF(AND(D26="Options Buy",AK24=[1]AB3!$AS$18),[1]AB3!$AS$18,I25)))</f>
        <v>1.5E-3</v>
      </c>
      <c r="AM24" s="52">
        <f>J25</f>
        <v>5</v>
      </c>
      <c r="AN24" s="43" t="str">
        <f t="array" ref="AN24">IF(A24="","",IF(AND(OR(D28="1 &amp; APS",D28="2 &amp; APS",D28="3 &amp; APS",D28="4 &amp; APS",D28="5 &amp; APS"),D26="Futures"),CONCATENATE([1]AB3!$AP$6,INDEX([1]AB2!L:L,MATCH(D24,[1]AB2!B:B,0)),[1]AB3!$AQ$6),IF(AND(OR(D28="1 &amp; APS",D28="2 &amp; APS",D28="3 &amp; APS",D28="4 &amp; APS",D28="5 &amp; APS"),D26="Options Sell"),CONCATENATE([1]AB3!$AP$12,INDEX([1]AB2!M:M,MATCH(D24,[1]AB2!B:B,0)),[1]AB3!$AQ$12),IF(AND(OR(D28="1 &amp; APS",D28="2 &amp; APS",D28="3 &amp; APS",D28="4 &amp; APS",D28="5 &amp; APS"),D26="Options Buy"),CONCATENATE([1]AB3!$AP$18,INDEX([1]AB2!L:L,MATCH(D24,[1]AB2!B:B,0)),[1]AB3!$AQ$18),[1]AB3!$AR$6))))</f>
        <v>FUT : PRV : 2DLL</v>
      </c>
      <c r="AO24" s="51">
        <f>IF(AND(D26="Futures",AN24=[1]AB3!$AU$6),[1]AB3!$AU$6,IF(AND(D26="Options Sell",AN24=[1]AB3!$AU$12),[1]AB3!$AU$12,IF(AND(D26="Options Buy",AN24=[1]AB3!$AU$18),[1]AB3!$AU$18,I25)))</f>
        <v>1.5E-3</v>
      </c>
      <c r="AP24" s="52">
        <f t="shared" ref="AP24:AP25" si="30">AM24-O24</f>
        <v>4</v>
      </c>
      <c r="AQ24" s="43" t="str">
        <f t="array" ref="AQ24">IF(A24="","",IF(AND(OR(D28="2 &amp; APS",D28="3 &amp; APS",D28="4 &amp; APS",D28="5 &amp; APS"),D26="Futures"),CONCATENATE([1]AB3!$AP$6,INDEX([1]AB2!L:L,MATCH(D24,[1]AB2!B:B,0)),[1]AB3!$AQ$6),IF(AND(OR(D28="2 &amp; APS",D28="3 &amp; APS",D28="4 &amp; APS",D28="5 &amp; APS"),D26="Options Sell"),CONCATENATE([1]AB3!$AP$12,INDEX([1]AB2!M:M,MATCH(D24,[1]AB2!B:B,0)),[1]AB3!$AQ$12),IF(AND(OR(D28="2 &amp; APS",D28="3 &amp; APS",D28="4 &amp; APS",D28="5 &amp; APS"),D26="Options Buy"),CONCATENATE([1]AB3!$AP$18,INDEX([1]AB2!L:L,MATCH(D24,[1]AB2!B:B,0)),[1]AB3!$AQ$18),[1]AB3!$AR$6))))</f>
        <v>FUT : PRV : 2DLL</v>
      </c>
      <c r="AR24" s="51">
        <f>IF(AND(D26="Futures",AQ24=[1]AB3!$AW$6),[1]AB3!$AW$6,IF(AND(D26="Options Sell",AQ24=[1]AB3!$AW$12),[1]AB3!$AW$12,IF(AND(D26="Options Buy",AQ24=[1]AB3!$AW$18),[1]AB3!$AW$18,I25)))</f>
        <v>1.5E-3</v>
      </c>
      <c r="AS24" s="52">
        <f t="shared" ref="AS24:AS25" si="31">AP24-Q24</f>
        <v>3</v>
      </c>
      <c r="AT24" s="43" t="str">
        <f t="array" ref="AT24">IF(A24="","",IF(AND(OR(D28="3 &amp; APS",D28="4 &amp; APS",D28="5 &amp; APS"),D26="Futures"),CONCATENATE([1]AB3!$AP$6,INDEX([1]AB2!L:L,MATCH(D24,[1]AB2!B:B,0)),[1]AB3!$AQ$6),IF(AND(OR(D28="3 &amp; APS",D28="4 &amp; APS",D28="5 &amp; APS"),D26="Options Sell"),CONCATENATE([1]AB3!$AP$12,INDEX([1]AB2!M:M,MATCH(D24,[1]AB2!B:B,0)),[1]AB3!$AQ$12),IF(AND(OR(D28="3 &amp; APS",D28="4 &amp; APS",D28="5 &amp; APS"),D26="Options Buy"),CONCATENATE([1]AB3!$AP$18,INDEX([1]AB2!L:L,MATCH(D24,[1]AB2!B:B,0)),[1]AB3!$AQ$18),[1]AB3!$AR$6))))</f>
        <v>FUT : PRV : 2DLL</v>
      </c>
      <c r="AU24" s="51">
        <f>IF(AND(D26="Futures",AT24=[1]AB3!$AY$6),[1]AB3!$AY$6,IF(AND(D26="Options Sell",AT24=[1]AB3!$AY$12),[1]AB3!$AY$12,IF(AND(D26="Options Buy",AT24=[1]AB3!$AY$18),[1]AB3!$AY$18,I25)))</f>
        <v>1.5E-3</v>
      </c>
      <c r="AV24" s="52">
        <f t="shared" ref="AV24:AV25" si="32">AS24-S24</f>
        <v>2</v>
      </c>
      <c r="AW24" s="43" t="str">
        <f t="array" ref="AW24">IF(A24="","",IF(AND(OR(D28="4 &amp; APS",D28="5 &amp; APS"),D26="Futures"),CONCATENATE([1]AB3!$AP$6,INDEX([1]AB2!L:L,MATCH(D24,[1]AB2!B:B,0)),[1]AB3!$AQ$6),IF(AND(OR(D28="4 &amp; APS",D28="5 &amp; APS"),D26="Options Sell"),CONCATENATE([1]AB3!$AP$12,INDEX([1]AB2!M:M,MATCH(D24,[1]AB2!B:B,0)),[1]AB3!$AQ$12),IF(AND(OR(D28="4 &amp; APS",D28="5 &amp; APS"),D26="Options Buy"),CONCATENATE([1]AB3!$AP$18,INDEX([1]AB2!L:L,MATCH(D24,[1]AB2!B:B,0)),[1]AB3!$AQ$18),[1]AB3!$AR$6))))</f>
        <v>FUT : PRV : 2DLL</v>
      </c>
      <c r="AX24" s="51">
        <f>IF(AND(D26="Futures",AW24=[1]AB3!$BA$6),[1]AB3!$BA$6,IF(AND(D26="Options Sell",AW24=[1]AB3!$BA$12),[1]AB3!$BA$12,IF(AND(D26="Options Buy",AW24=[1]AB3!$BA$18),[1]AB3!$BA$18,I25)))</f>
        <v>1.5E-3</v>
      </c>
      <c r="AY24" s="52">
        <f t="shared" ref="AY24:AY25" si="33">AV24-S24</f>
        <v>1</v>
      </c>
      <c r="AZ24" s="51">
        <f t="array" ref="AZ24">IF(A24="","",IF(AND(D28="5 &amp; APS",D26="Futures"),CONCATENATE([1]AB3!$AP$6,INDEX([1]AB2!L:L,MATCH(D24,[1]AB2!B:B,0)),[1]AB3!$AQ$6),IF(AND(D28="5 &amp; APS",D26="Options Sell"),CONCATENATE([1]AB3!$AP$12,INDEX([1]AB2!M:M,MATCH(D24,[1]AB2!B:B,0)),[1]AB3!$AQ$12),IF(AND(D28="5 &amp; APS",D26="Options Buy"),CONCATENATE([1]AB3!$AP$18,INDEX([1]AB2!L:L,MATCH(D24,[1]AB2!B:B,0)),[1]AB3!$AQ$18),[1]AB3!$AR$6))))</f>
        <v>0</v>
      </c>
      <c r="BA24" s="51">
        <f>IF(AND(D26="Futures",AZ24=[1]AB3!$BC$6),[1]AB3!$BC$6,IF(AND(D26="Options Sell",AZ24=[1]AB3!$BC$12),[1]AB3!$BC$12,IF(AND(D26="Options Buy",AZ24=[1]AB3!$BC$18),[1]AB3!$BC$18,I25)))</f>
        <v>0</v>
      </c>
      <c r="BB24" s="52">
        <f t="shared" ref="BB24:BB25" si="34">AY24-W24</f>
        <v>0</v>
      </c>
      <c r="BC24" s="53"/>
      <c r="BD24" s="54" t="str">
        <f>IF(D26="Futures",[1]AB3!$BE$6,IF(D26="Options Sell",[1]AB3!$BE$12,IF(D26="Options Buy",[1]AB3!$BE$18)))</f>
        <v xml:space="preserve">ORPT </v>
      </c>
      <c r="BE24" s="55">
        <f>IF(D26="Futures",BE27+([1]AB3!$BF$6/1440),IF(D26="Options Sell",BE27+([1]AB3!$BF$12/1440),IF(D26="Options Buy",BE27+([1]AB3!$BF$18/1440))))</f>
        <v>0.38888194444444446</v>
      </c>
      <c r="BF24" s="55">
        <f>IF(D26="Futures",BE27+([1]AB3!$BG$6/1440),IF(D26="Options Sell",BE27+([1]AB3!$BG$12/1440),IF(D26="Options Buy",BE27+([1]AB3!$BG$18/1440))))</f>
        <v>0.38888194444444446</v>
      </c>
      <c r="BG24" s="55">
        <f>IF(D26="Futures",BE27+([1]AB3!$BH$6/1440),IF(D26="Options Sell",BE27+([1]AB3!$BH$12/1440),IF(D26="Options Buy",BE27+([1]AB3!$BH$18/1440))))</f>
        <v>0.38541666666666669</v>
      </c>
      <c r="BH24" s="57"/>
      <c r="BI24" s="44" t="str">
        <f>IF(D26="Futures",[1]AB3!$BJ$6,IF(D26="Options Sell",[1]AB3!$BJ$12,IF(D26="Options Buy",[1]AB3!$BJ$18)))</f>
        <v>Bull / 
Bull CF</v>
      </c>
      <c r="BJ24" s="45" t="str">
        <f>IF(D26="Futures",[1]AB3!$BK$6,IF(D26="Options Sell",[1]AB3!$BK$12,IF(D26="Options Buy",[1]AB3!$BK$18)))</f>
        <v>Long</v>
      </c>
      <c r="BK24" s="46">
        <v>1.5E-3</v>
      </c>
      <c r="BL24" s="46">
        <v>1.5E-3</v>
      </c>
      <c r="BM24" s="57"/>
      <c r="BN24" s="44" t="str">
        <f>IF(D26="Futures",[1]AB3!$BO$6,IF(D26="Options Sell",[1]AB3!$BO$12,IF(D26="Options Buy",[1]AB3!$BO$18)))</f>
        <v>Bull | 
Bull CF</v>
      </c>
      <c r="BO24" s="45" t="str">
        <f>IF(D26="Futures",[1]AB3!$BP$6,IF(D26="Options Sell",[1]AB3!$BP$12,IF(D26="Options Buy",[1]AB3!$BP$18)))</f>
        <v>Call</v>
      </c>
      <c r="BP24" s="43" t="str">
        <f t="array" ref="BP24">IF(A24="","",IF(D26="Futures","",IF(D26="EQUITY","",IF(D26="Options Sell",CONCATENATE([1]AB3!$BQ$12,INDEX([1]AB2!J:J,MATCH(A24,[1]AB2!A:A,0)),[1]AB3!$BR$12),IF(D26="Options Buy",CONCATENATE([1]AB3!$BQ$18,INDEX([1]AB2!J:J,MATCH(A24,[1]AB2!A:A,0)),[1]AB3!$BR$18))))))</f>
        <v/>
      </c>
      <c r="BQ24" s="58"/>
      <c r="BR24" s="58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9"/>
      <c r="CL24" s="43"/>
      <c r="CM24" s="43"/>
      <c r="CN24" s="59"/>
      <c r="CO24" s="43"/>
      <c r="CP24" s="43"/>
      <c r="CQ24" s="59"/>
      <c r="CR24" s="43"/>
      <c r="CS24" s="43"/>
      <c r="CT24" s="59"/>
      <c r="CU24" s="55">
        <f>IF(D26="Futures",BE28-([1]AB3!$CG$6/1440),IF(D26="Options Sell",BE28-([1]AB3!$CG$12/1440),IF(D26="Options Buy",BE28-([1]AB3!$CG$18/1440),IF(D26="EQUITY",""))))</f>
        <v>0.625</v>
      </c>
      <c r="CV24" s="59"/>
      <c r="CW24" s="59"/>
    </row>
    <row r="25" spans="1:101" ht="16.5" customHeight="1" x14ac:dyDescent="0.2">
      <c r="A25" s="60"/>
      <c r="B25" s="41" t="str">
        <f>CONCATENATE(D24,IF(D26="Futures",[1]AB3!$B$7,IF(D26="Options Sell",[1]AB3!$B$13,IF(D26="Options Buy",[1]AB3!$B$19))))</f>
        <v>S4B</v>
      </c>
      <c r="C25" s="42" t="str">
        <f>IF(D26="Futures",[1]AB3!$C$7,IF(D26="Options Sell",[1]AB3!$C$13,IF(D26="Options Buy",[1]AB3!$C$19)))</f>
        <v>Unique Code</v>
      </c>
      <c r="D25" s="43" t="str">
        <f t="array" ref="D25">IF(A24="","",INDEX([1]AB2!N:N,MATCH(D24,[1]AB2!B:B,0)))</f>
        <v>BANKNIFTY_FUT_MT_SAME_2D_2D</v>
      </c>
      <c r="E25" s="32"/>
      <c r="F25" s="61" t="str">
        <f>IF(D26="Futures",[1]AB3!$F$7,IF(D26="Options Sell",[1]AB3!$F$13,IF(D26="Options Buy",[1]AB3!$F$19)))</f>
        <v>Short</v>
      </c>
      <c r="G25" s="43" t="str">
        <f t="array" ref="G25">IF(A24="","",IF(D26="Futures",CONCATENATE([1]AB3!$G$7,INDEX([1]AB2!J:J,MATCH(D24,[1]AB2!B:B,0)),[1]AB3!$H$7),IF(D26="Options Sell",CONCATENATE([1]AB3!$G$13,INDEX([1]AB2!I:I,MATCH(D24,[1]AB2!B:B,0)),[1]AB3!$H$13),IF(D26="Options Buy",CONCATENATE([1]AB3!$G$19,INDEX([1]AB2!J:J,MATCH(D24,[1]AB2!B:B,0)),[1]AB3!$H$19)))))</f>
        <v>FUT : PRV : 2DLL</v>
      </c>
      <c r="H25" s="43" t="str">
        <f>IF(D26="Futures",[1]AB3!$I$7,IF(D26="Options Sell",[1]AB3!$I$13,IF(D26="Options Buy",[1]AB3!$I$19)))</f>
        <v xml:space="preserve"> - </v>
      </c>
      <c r="I25" s="46">
        <v>1.5E-3</v>
      </c>
      <c r="J25" s="47">
        <v>5</v>
      </c>
      <c r="K25" s="48"/>
      <c r="L25" s="43" t="str">
        <f>IF(D26="Futures",[1]AB3!$M$7,IF(D26="Options Sell",[1]AB3!$M$13,IF(D26="Options Buy",[1]AB3!$M$19)))</f>
        <v xml:space="preserve">S : Entry </v>
      </c>
      <c r="M25" s="43" t="str">
        <f>IF(D26="Futures",[1]AB3!$N$7,IF(D26="Options Sell",[1]AB3!$N$13,IF(D26="Options Buy",[1]AB3!$N$19)))</f>
        <v xml:space="preserve"> - </v>
      </c>
      <c r="N25" s="46">
        <v>1.4999999999999999E-2</v>
      </c>
      <c r="O25" s="47">
        <v>1</v>
      </c>
      <c r="P25" s="46">
        <v>0.02</v>
      </c>
      <c r="Q25" s="47">
        <v>1</v>
      </c>
      <c r="R25" s="46">
        <v>2.5000000000000001E-2</v>
      </c>
      <c r="S25" s="47">
        <v>1</v>
      </c>
      <c r="T25" s="46">
        <v>0.03</v>
      </c>
      <c r="U25" s="47">
        <v>1</v>
      </c>
      <c r="V25" s="50" t="s">
        <v>51</v>
      </c>
      <c r="W25" s="47">
        <v>1</v>
      </c>
      <c r="X25" s="50" t="s">
        <v>52</v>
      </c>
      <c r="Y25" s="50" t="s">
        <v>52</v>
      </c>
      <c r="Z25" s="48"/>
      <c r="AA25" s="43" t="str">
        <f>IF(D26="Futures",[1]AB3!$AD$7,IF(D26="Options Sell",[1]AB3!$AD$13,IF(D26="Options Buy",[1]AB3!$AD$19)))</f>
        <v>Min</v>
      </c>
      <c r="AB25" s="43" t="str">
        <f>IF(D26="Futures",[1]AB3!$AE$7,IF(D26="Options Sell",[1]AB3!$AE$13,IF(D26="Options Buy",[1]AB3!$AE$19)))</f>
        <v>MSL &amp; TSL</v>
      </c>
      <c r="AC25" s="43" t="str">
        <f>IF(D26="Futures",[1]AB3!$AF$7,IF(D26="Options Sell",[1]AB3!$AF$13,IF(D26="Options Buy",[1]AB3!$AF$19)))</f>
        <v>Entry &amp; TRP</v>
      </c>
      <c r="AD25" s="48"/>
      <c r="AE25" s="43" t="str">
        <f>IF(D26="Futures",[1]AB3!$AH$7,IF(D26="Options Sell",[1]AB3!$AH$13,IF(D26="Options Buy",[1]AB3!$AH$19)))</f>
        <v>S : Entry</v>
      </c>
      <c r="AF25" s="43" t="str">
        <f>IF(D26="Futures",[1]AB3!$AI$7,IF(D26="Options Sell",[1]AB3!$AI$13,IF(D26="Options Buy",[1]AB3!$AI$19)))</f>
        <v xml:space="preserve"> + </v>
      </c>
      <c r="AG25" s="46">
        <v>1.4999999999999999E-2</v>
      </c>
      <c r="AH25" s="46">
        <v>0</v>
      </c>
      <c r="AI25" s="48"/>
      <c r="AJ25" s="43" t="str">
        <f>IF(D26="Futures",[1]AB3!$AO$7,IF(D26="Options Sell",[1]AB3!$AO$13,IF(D26="Options Buy",[1]AB3!$AO$19)))</f>
        <v xml:space="preserve"> + </v>
      </c>
      <c r="AK25" s="43" t="str">
        <f t="array" ref="AK25">IF(A24="","",IF(D26="Futures",CONCATENATE([1]AB3!$AP$7,INDEX([1]AB2!M:M,MATCH(D24,[1]AB2!B:B,0)),[1]AB3!$AQ$7),IF(D26="Options Sell",CONCATENATE([1]AB3!$AP$13,INDEX([1]AB2!L:L,MATCH(D24,[1]AB2!B:B,0)),[1]AB3!$AQ$13),IF(D26="Options Buy",CONCATENATE([1]AB3!$AP$19,INDEX([1]AB2!M:M,MATCH(D24,[1]AB2!B:B,0)),[1]AB3!$AQ$19)))))</f>
        <v>FUT : PRV : 2DHH</v>
      </c>
      <c r="AL25" s="51">
        <f>IF(AND(D26="Futures",AK25=[1]AB3!$AS$7),[1]AB3!$AS$7,IF(AND(D26="Options Sell",AK25=[1]AB3!$AS$13),[1]AB3!$AS$13,IF(AND(D26="Options Buy",AK25=[1]AB3!$AS$19),[1]AB3!$AS$19,I24)))</f>
        <v>1.5E-3</v>
      </c>
      <c r="AM25" s="52">
        <f>J24</f>
        <v>5</v>
      </c>
      <c r="AN25" s="43" t="str">
        <f t="array" ref="AN25">IF(A24="","",IF(AND(OR(D28="1 &amp; APS",D28="2 &amp; APS",D28="3 &amp; APS",D28="4 &amp; APS",D28="5 &amp; APS"),D26="Futures"),CONCATENATE([1]AB3!$AP$7,INDEX([1]AB2!M:M,MATCH(D24,[1]AB2!B:B,0)),[1]AB3!$AQ$7),IF(AND(OR(D28="1 &amp; APS",D28="2 &amp; APS",D28="3 &amp; APS",D28="4 &amp; APS",D28="5 &amp; APS"),D26="Options Sell"),CONCATENATE([1]AB3!$AP$13,INDEX([1]AB2!L:L,MATCH(D24,[1]AB2!B:B,0)),[1]AB3!$AQ$13),IF(AND(OR(D28="1 &amp; APS",D28="2 &amp; APS",D28="3 &amp; APS",D28="4 &amp; APS",D28="5 &amp; APS"),D26="Options Buy"),CONCATENATE([1]AB3!$AP$19,INDEX([1]AB2!M:M,MATCH(D24,[1]AB2!B:B,0)),[1]AB3!$AQ$19),[1]AB3!$AR$6))))</f>
        <v>FUT : PRV : 2DHH</v>
      </c>
      <c r="AO25" s="51">
        <f>IF(AND(D26="Futures",AN25=[1]AB3!$AU$7),[1]AB3!$AU$7,IF(AND(D26="Options Sell",AN25=[1]AB3!$AU$13),[1]AB3!$AU$13,IF(AND(D26="Options Buy",AN25=[1]AB3!$AU$19),[1]AB3!$AU$19,I24)))</f>
        <v>1.5E-3</v>
      </c>
      <c r="AP25" s="52">
        <f t="shared" si="30"/>
        <v>4</v>
      </c>
      <c r="AQ25" s="43" t="str">
        <f t="array" ref="AQ25">IF(A24="","",IF(AND(OR(D28="2 &amp; APS",D28="3 &amp; APS",D28="4 &amp; APS",D28="5 &amp; APS"),D26="Futures"),CONCATENATE([1]AB3!$AP$7,INDEX([1]AB2!M:M,MATCH(D24,[1]AB2!B:B,0)),[1]AB3!$AQ$7),IF(AND(OR(D28="2 &amp; APS",D28="3 &amp; APS",D28="4 &amp; APS",D28="5 &amp; APS"),D26="Options Sell"),CONCATENATE([1]AB3!$AP$13,INDEX([1]AB2!L:L,MATCH(D24,[1]AB2!B:B,0)),[1]AB3!$AQ$13),IF(AND(OR(D28="2 &amp; APS",D28="3 &amp; APS",D28="4 &amp; APS",D28="5 &amp; APS"),D26="Options Buy"),CONCATENATE([1]AB3!$AP$19,INDEX([1]AB2!M:M,MATCH(D24,[1]AB2!B:B,0)),[1]AB3!$AQ$19),[1]AB3!$AR$6))))</f>
        <v>FUT : PRV : 2DHH</v>
      </c>
      <c r="AR25" s="51">
        <f>IF(AND(D26="Futures",AQ25=[1]AB3!$AW$7),[1]AB3!$AW$7,IF(AND(D26="Options Sell",AQ25=[1]AB3!$AW$13),[1]AB3!$AW$13,IF(AND(D26="Options Buy",AQ25=[1]AB3!$AW$19),[1]AB3!$AW$19,I24)))</f>
        <v>1.5E-3</v>
      </c>
      <c r="AS25" s="52">
        <f t="shared" si="31"/>
        <v>3</v>
      </c>
      <c r="AT25" s="43" t="str">
        <f t="array" ref="AT25">IF(A24="","",IF(AND(OR(D28="3 &amp; APS",D28="4 &amp; APS",D28="5 &amp; APS"),D26="Futures"),CONCATENATE([1]AB3!$AP$7,INDEX([1]AB2!M:M,MATCH(D24,[1]AB2!B:B,0)),[1]AB3!$AQ$7),IF(AND(OR(D28="3 &amp; APS",D28="4 &amp; APS",D28="5 &amp; APS"),D26="Options Sell"),CONCATENATE([1]AB3!$AP$13,INDEX([1]AB2!L:L,MATCH(D24,[1]AB2!B:B,0)),[1]AB3!$AQ$13),IF(AND(OR(D28="3 &amp; APS",D28="4 &amp; APS",D28="5 &amp; APS"),D26="Options Buy"),CONCATENATE([1]AB3!$AP$19,INDEX([1]AB2!M:M,MATCH(D24,[1]AB2!B:B,0)),[1]AB3!$AQ$19),[1]AB3!$AR$6))))</f>
        <v>FUT : PRV : 2DHH</v>
      </c>
      <c r="AU25" s="51">
        <f>IF(AND(D26="Futures",AT25=[1]AB3!$AY$7),[1]AB3!$AY$7,IF(AND(D26="Options Sell",AT25=[1]AB3!$AY$13),[1]AB3!$AY$13,IF(AND(D26="Options Buy",AT25=[1]AB3!$AY$19),[1]AB3!$AY$19,I24)))</f>
        <v>1.5E-3</v>
      </c>
      <c r="AV25" s="52">
        <f t="shared" si="32"/>
        <v>2</v>
      </c>
      <c r="AW25" s="43" t="str">
        <f t="array" ref="AW25">IF(A24="","",IF(AND(OR(D28="4 &amp; APS",D28="5 &amp; APS"),D26="Futures"),CONCATENATE([1]AB3!$AP$7,INDEX([1]AB2!M:M,MATCH(D24,[1]AB2!B:B,0)),[1]AB3!$AQ$7),IF(AND(OR(D28="4 &amp; APS",D28="5 &amp; APS"),D26="Options Sell"),CONCATENATE([1]AB3!$AP$13,INDEX([1]AB2!L:L,MATCH(D24,[1]AB2!B:B,0)),[1]AB3!$AQ$13),IF(AND(OR(D28="4 &amp; APS",D28="5 &amp; APS"),D26="Options Buy"),CONCATENATE([1]AB3!$AP$19,INDEX([1]AB2!M:M,MATCH(D24,[1]AB2!B:B,0)),[1]AB3!$AQ$19),[1]AB3!$AR$6))))</f>
        <v>FUT : PRV : 2DHH</v>
      </c>
      <c r="AX25" s="51">
        <f>IF(AND(D26="Futures",AW25=[1]AB3!$BA$7),[1]AB3!$BA$7,IF(AND(D26="Options Sell",AW25=[1]AB3!$BA$13),[1]AB3!$BA$13,IF(AND(D26="Options Buy",AW25=[1]AB3!$BA$19),[1]AB3!$BA$19,I24)))</f>
        <v>1.5E-3</v>
      </c>
      <c r="AY25" s="52">
        <f t="shared" si="33"/>
        <v>1</v>
      </c>
      <c r="AZ25" s="51">
        <f t="array" ref="AZ25">IF(A24="","",IF(AND(D28="5 &amp; APS",D26="Futures"),CONCATENATE([1]AB3!$AP$7,INDEX([1]AB2!M:M,MATCH(D24,[1]AB2!B:B,0)),[1]AB3!$AQ$7),IF(AND(D28="5 &amp; APS",D26="Options Sell"),CONCATENATE([1]AB3!$AP$13,INDEX([1]AB2!L:L,MATCH(D24,[1]AB2!B:B,0)),[1]AB3!$AQ$13),IF(AND(D28="5 &amp; APS",D26="Options Buy"),CONCATENATE([1]AB3!$AP$19,INDEX([1]AB2!M:M,MATCH(D24,[1]AB2!B:B,0)),[1]AB3!$AQ$19),[1]AB3!$AR$6))))</f>
        <v>0</v>
      </c>
      <c r="BA25" s="51">
        <f>IF(AND(D26="Futures",AZ25=[1]AB3!$BC$7),[1]AB3!$BC$7,IF(AND(D26="Options Sell",AZ25=[1]AB3!$BC$13),[1]AB3!$BC$13,IF(AND(D26="Options Buy",AZ25=[1]AB3!$BC$19),[1]AB3!$BC$19,I24)))</f>
        <v>0</v>
      </c>
      <c r="BB25" s="52">
        <f t="shared" si="34"/>
        <v>0</v>
      </c>
      <c r="BC25" s="53"/>
      <c r="BD25" s="54" t="str">
        <f>IF(D26="Futures",[1]AB3!$BE$7,IF(D26="Options Sell",[1]AB3!$BE$13,IF(D26="Options Buy",[1]AB3!$BE$19)))</f>
        <v xml:space="preserve"> RC. Time</v>
      </c>
      <c r="BE25" s="55">
        <f>IF(D26="Futures",BE27+([1]AB3!$BF$7/1440),IF(D26="Options Sell",BE27+([1]AB3!$BF$13/1440),IF(D26="Options Buy",BE27+([1]AB3!$BF$19/1440))))</f>
        <v>0.39582638888888888</v>
      </c>
      <c r="BF25" s="55">
        <f>IF(D26="Futures",BE27+([1]AB3!$BG$7/1440),IF(D26="Options Sell",BE27+([1]AB3!$BG$13/1440),IF(D26="Options Buy",BE27+([1]AB3!$BG$19/1440))))</f>
        <v>0.39582638888888888</v>
      </c>
      <c r="BG25" s="55" t="str">
        <f>IF(D26="Futures",[1]AB3!$BH$7,IF(D26="Options Sell",[1]AB3!$BH$7,IF(D26="Options Buy",[1]AB3!$BH$7)))</f>
        <v>N.A.</v>
      </c>
      <c r="BH25" s="57"/>
      <c r="BI25" s="32"/>
      <c r="BJ25" s="61" t="str">
        <f>IF(D26="Futures",[1]AB3!$BK$7,IF(D26="Options Sell",[1]AB3!$BK$13,IF(D26="Options Buy",[1]AB3!$BK$19)))</f>
        <v>Short</v>
      </c>
      <c r="BK25" s="46">
        <v>1.5E-3</v>
      </c>
      <c r="BL25" s="46">
        <v>1.5E-3</v>
      </c>
      <c r="BM25" s="57"/>
      <c r="BN25" s="32"/>
      <c r="BO25" s="61" t="str">
        <f>IF(D26="Futures",[1]AB3!$BP$7,IF(D26="Options Sell",[1]AB3!$BP$13,IF(D26="Options Buy",[1]AB3!$BP$19)))</f>
        <v>Put</v>
      </c>
      <c r="BP25" s="43" t="str">
        <f t="array" ref="BP25">IF(A24="","",IF(D26="Futures","",IF(D26="EQUITY","",IF(D26="Options Sell",CONCATENATE([1]AB3!$BQ$13,INDEX([1]AB2!I:I,MATCH(A24,[1]AB2!A:A,0)),[1]AB3!$BR$13),IF(D26="Options Buy",CONCATENATE([1]AB3!$BQ$19,INDEX([1]AB2!I:I,MATCH(A24,[1]AB2!A:A,0)),[1]AB3!$BR$19))))))</f>
        <v/>
      </c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9"/>
      <c r="CL25" s="43"/>
      <c r="CM25" s="43"/>
      <c r="CN25" s="59"/>
      <c r="CO25" s="43"/>
      <c r="CP25" s="43"/>
      <c r="CQ25" s="59"/>
      <c r="CR25" s="43"/>
      <c r="CS25" s="43"/>
      <c r="CT25" s="59"/>
      <c r="CU25" s="43"/>
      <c r="CV25" s="59"/>
      <c r="CW25" s="59"/>
    </row>
    <row r="26" spans="1:101" ht="16.5" customHeight="1" x14ac:dyDescent="0.2">
      <c r="A26" s="60"/>
      <c r="B26" s="41" t="str">
        <f>CONCATENATE(D24,IF(D26="Futures",[1]AB3!$B$8,IF(D26="Options Sell",[1]AB3!$B$14,IF(D26="Options Buy",[1]AB3!$B$20))))</f>
        <v>S4C</v>
      </c>
      <c r="C26" s="42" t="str">
        <f>IF(D26="Futures",[1]AB3!$C$8,IF(D26="Options Sell",[1]AB3!$C$14,IF(D26="Options Buy",[1]AB3!$C$20)))</f>
        <v>Segment</v>
      </c>
      <c r="D26" s="43" t="str">
        <f t="array" ref="D26">IF(A24="","",INDEX([1]AB2!C:C,MATCH(D24,[1]AB2!B:B,0)))</f>
        <v>FUTURES</v>
      </c>
      <c r="E26" s="42" t="str">
        <f>IF(D26="Futures",[1]AB3!$E$8,IF(D26="Options Sell",[1]AB3!$E$14,IF(D26="Options Buy",[1]AB3!$E$20)))</f>
        <v>Contract</v>
      </c>
      <c r="F26" s="43" t="str">
        <f t="array" ref="F26">IF(A24="","",INDEX([1]AB2!F:F,MATCH(D24,[1]AB2!B:B,0)))</f>
        <v>MONTHLY</v>
      </c>
      <c r="G26" s="62"/>
      <c r="H26" s="62"/>
      <c r="I26" s="63"/>
      <c r="J26" s="64"/>
      <c r="K26" s="48"/>
      <c r="L26" s="62"/>
      <c r="M26" s="62"/>
      <c r="N26" s="63"/>
      <c r="O26" s="64"/>
      <c r="P26" s="63"/>
      <c r="Q26" s="64"/>
      <c r="R26" s="63"/>
      <c r="S26" s="64"/>
      <c r="T26" s="63"/>
      <c r="U26" s="64"/>
      <c r="V26" s="63"/>
      <c r="W26" s="64"/>
      <c r="X26" s="63"/>
      <c r="Y26" s="63"/>
      <c r="Z26" s="48"/>
      <c r="AA26" s="62"/>
      <c r="AB26" s="62"/>
      <c r="AC26" s="62"/>
      <c r="AD26" s="48"/>
      <c r="AE26" s="62"/>
      <c r="AF26" s="62"/>
      <c r="AG26" s="63"/>
      <c r="AH26" s="63"/>
      <c r="AI26" s="48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53"/>
      <c r="BD26" s="57"/>
      <c r="BE26" s="57"/>
      <c r="BF26" s="57"/>
      <c r="BG26" s="57"/>
      <c r="BH26" s="57"/>
      <c r="BI26" s="66"/>
      <c r="BJ26" s="62"/>
      <c r="BK26" s="63"/>
      <c r="BL26" s="63"/>
      <c r="BM26" s="57"/>
      <c r="BN26" s="66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2"/>
      <c r="CF26" s="62"/>
      <c r="CG26" s="62"/>
      <c r="CH26" s="62"/>
      <c r="CI26" s="62"/>
      <c r="CJ26" s="62"/>
      <c r="CK26" s="59"/>
      <c r="CL26" s="62"/>
      <c r="CM26" s="62"/>
      <c r="CN26" s="59"/>
      <c r="CO26" s="62"/>
      <c r="CP26" s="62"/>
      <c r="CQ26" s="59"/>
      <c r="CR26" s="62"/>
      <c r="CS26" s="62"/>
      <c r="CT26" s="59"/>
      <c r="CU26" s="62"/>
      <c r="CV26" s="59"/>
      <c r="CW26" s="59"/>
    </row>
    <row r="27" spans="1:101" ht="16.5" customHeight="1" x14ac:dyDescent="0.2">
      <c r="A27" s="60"/>
      <c r="B27" s="41" t="str">
        <f>CONCATENATE(D24,IF(D26="Futures",[1]AB3!$B$9,IF(D26="Options Sell",[1]AB3!$B$15,IF(D26="Options Buy",[1]AB3!$B$21))))</f>
        <v>S4D</v>
      </c>
      <c r="C27" s="42" t="str">
        <f>IF(D26="Futures",[1]AB3!$C$9,IF(D26="Options Sell",[1]AB3!$C$15,IF(D26="Options Buy",[1]AB3!$C$21)))</f>
        <v>Symbol</v>
      </c>
      <c r="D27" s="43" t="str">
        <f t="array" ref="D27">IF(A24="","",INDEX([1]AB2!E:E,MATCH(D24,[1]AB2!B:B,0)))</f>
        <v>BANKNIFTY</v>
      </c>
      <c r="E27" s="44" t="str">
        <f>IF(D26="Futures",[1]AB3!$E$9,IF(D26="Options Sell",[1]AB3!$E$15,IF(D26="Options Buy",[1]AB3!$E$21)))</f>
        <v>Bear / 
Bear CF</v>
      </c>
      <c r="F27" s="45" t="str">
        <f>IF(D26="Futures",[1]AB3!$F$9,IF(D26="Options Sell",[1]AB3!$F$15,IF(D26="Options Buy",[1]AB3!$F$21)))</f>
        <v>Long</v>
      </c>
      <c r="G27" s="43" t="str">
        <f t="array" ref="G27">IF(A24="","",IF(D26="Futures",CONCATENATE([1]AB3!$G$9,INDEX([1]AB2!J:J,MATCH(D24,[1]AB2!B:B,0)),[1]AB3!$H$9),IF(D26="Options Sell",CONCATENATE([1]AB3!$G$15,INDEX([1]AB2!I:I,MATCH(D24,[1]AB2!B:B,0)),[1]AB3!$H$15),IF(D26="Options Buy",CONCATENATE([1]AB3!$G$21,INDEX([1]AB2!J:J,MATCH(D24,[1]AB2!B:B,0)),[1]AB3!$H$21)))))</f>
        <v>FUT : PRV : 2DHH</v>
      </c>
      <c r="H27" s="43" t="str">
        <f>IF(D26="Futures",[1]AB3!$I$9,IF(D26="Options Sell",[1]AB3!$I$15,IF(D26="Options Buy",[1]AB3!$I$21)))</f>
        <v xml:space="preserve"> + </v>
      </c>
      <c r="I27" s="46">
        <v>1.5E-3</v>
      </c>
      <c r="J27" s="47">
        <v>5</v>
      </c>
      <c r="K27" s="48"/>
      <c r="L27" s="43" t="str">
        <f>IF(D26="Futures",[1]AB3!$M$9,IF(D26="Options Sell",[1]AB3!$M$15,IF(D26="Options Buy",[1]AB3!$M$21)))</f>
        <v xml:space="preserve">L : Entry </v>
      </c>
      <c r="M27" s="43" t="str">
        <f>IF(D26="Futures",[1]AB3!$N$9,IF(D26="Options Sell",[1]AB3!$N$15,IF(D26="Options Buy",[1]AB3!$N$21)))</f>
        <v xml:space="preserve"> + </v>
      </c>
      <c r="N27" s="46">
        <v>1.4999999999999999E-2</v>
      </c>
      <c r="O27" s="47">
        <v>1</v>
      </c>
      <c r="P27" s="46">
        <v>0.02</v>
      </c>
      <c r="Q27" s="47">
        <v>1</v>
      </c>
      <c r="R27" s="46">
        <v>2.5000000000000001E-2</v>
      </c>
      <c r="S27" s="47">
        <v>1</v>
      </c>
      <c r="T27" s="46">
        <v>0.03</v>
      </c>
      <c r="U27" s="47">
        <v>1</v>
      </c>
      <c r="V27" s="50" t="s">
        <v>51</v>
      </c>
      <c r="W27" s="47">
        <v>1</v>
      </c>
      <c r="X27" s="50" t="s">
        <v>52</v>
      </c>
      <c r="Y27" s="50" t="s">
        <v>52</v>
      </c>
      <c r="Z27" s="48"/>
      <c r="AA27" s="43" t="str">
        <f>IF(D26="Futures",[1]AB3!$AD$9,IF(D26="Options Sell",[1]AB3!$AD$15,IF(D26="Options Buy",[1]AB3!$AD$21)))</f>
        <v>Max</v>
      </c>
      <c r="AB27" s="43" t="str">
        <f>IF(D26="Futures",[1]AB3!$AE$9,IF(D26="Options Sell",[1]AB3!$AE$15,IF(D26="Options Buy",[1]AB3!$AE$21)))</f>
        <v>MSL &amp; TSL</v>
      </c>
      <c r="AC27" s="43" t="str">
        <f>IF(D26="Futures",[1]AB3!$AF$9,IF(D26="Options Sell",[1]AB3!$AF$15,IF(D26="Options Buy",[1]AB3!$AF$21)))</f>
        <v>Entry &amp; TRP</v>
      </c>
      <c r="AD27" s="48"/>
      <c r="AE27" s="43" t="str">
        <f>IF(D26="Futures",[1]AB3!$AH$9,IF(D26="Options Sell",[1]AB3!$AH$15,IF(D26="Options Buy",[1]AB3!$AH$21)))</f>
        <v>L : Entry</v>
      </c>
      <c r="AF27" s="43" t="str">
        <f>IF(D26="Futures",[1]AB3!$AI$9,IF(D26="Options Sell",[1]AB3!$AI$15,IF(D26="Options Buy",[1]AB3!$AI$21)))</f>
        <v xml:space="preserve"> - </v>
      </c>
      <c r="AG27" s="46">
        <v>1.4999999999999999E-2</v>
      </c>
      <c r="AH27" s="46">
        <v>0</v>
      </c>
      <c r="AI27" s="48"/>
      <c r="AJ27" s="43" t="str">
        <f>IF(D26="Futures",[1]AB3!$AO$9,IF(D26="Options Sell",[1]AB3!$AO$15,IF(D26="Options Buy",[1]AB3!$AO$21)))</f>
        <v xml:space="preserve"> - </v>
      </c>
      <c r="AK27" s="43" t="str">
        <f t="array" ref="AK27">IF(A24="","",IF(D26="Futures",CONCATENATE([1]AB3!$AP$9,INDEX([1]AB2!M:M,MATCH(D24,[1]AB2!B:B,0)),[1]AB3!$AQ$9),IF(D26="Options Sell",CONCATENATE([1]AB3!$AP$15,INDEX([1]AB2!L:L,MATCH(D24,[1]AB2!B:B,0)),[1]AB3!$AQ$15),IF(D26="Options Buy",CONCATENATE([1]AB3!$AP$21,INDEX([1]AB2!M:M,MATCH(D24,[1]AB2!B:B,0)),[1]AB3!$AQ$21)))))</f>
        <v>FUT : PRV : 2DLL</v>
      </c>
      <c r="AL27" s="51">
        <f>IF(AND(D26="Futures",AK27=[1]AB3!$AS$9),[1]AB3!$AS$9,IF(AND(D26="Options Sell",AK27=[1]AB3!$AS$15),[1]AB3!$AS$15,IF(AND(D26="Options Buy",AK27=[1]AB3!$AS$21),[1]AB3!$AS$21,I28)))</f>
        <v>1.5E-3</v>
      </c>
      <c r="AM27" s="52">
        <f>J28</f>
        <v>5</v>
      </c>
      <c r="AN27" s="43" t="str">
        <f t="array" ref="AN27">IF(A24="","",IF(AND(OR(D28="1 &amp; APS",D28="2 &amp; APS",D28="3 &amp; APS",D28="4 &amp; APS",D28="5 &amp; APS"),D26="Futures"),CONCATENATE([1]AB3!$AP$9,INDEX([1]AB2!M:M,MATCH(D24,[1]AB2!B:B,0)),[1]AB3!$AQ$9),IF(AND(OR(D28="1 &amp; APS",D28="2 &amp; APS",D28="3 &amp; APS",D28="4 &amp; APS",D28="5 &amp; APS"),D26="Options Sell"),CONCATENATE([1]AB3!$AP$15,INDEX([1]AB2!L:L,MATCH(D24,[1]AB2!B:B,0)),[1]AB3!$AQ$15),IF(AND(OR(D28="1 &amp; APS",D28="2 &amp; APS",D28="3 &amp; APS",D28="4 &amp; APS",D28="5 &amp; APS"),D26="Options Buy"),CONCATENATE([1]AB3!$AP$21,INDEX([1]AB2!M:M,MATCH(D24,[1]AB2!B:B,0)),[1]AB3!$AQ$21),[1]AB3!$AR$6))))</f>
        <v>FUT : PRV : 2DLL</v>
      </c>
      <c r="AO27" s="51">
        <f>IF(AND(D26="Futures",AN27=[1]AB3!$AU$9),[1]AB3!$AU$9,IF(AND(D26="Options Sell",AN27=[1]AB3!$AU$15),[1]AB3!$AU$15,IF(AND(D26="Options Buy",AN27=[1]AB3!$AU$21),[1]AB3!$AU$21,I28)))</f>
        <v>1.5E-3</v>
      </c>
      <c r="AP27" s="52">
        <f t="shared" ref="AP27:AP28" si="35">AM27-O27</f>
        <v>4</v>
      </c>
      <c r="AQ27" s="43" t="str">
        <f t="array" ref="AQ27">IF(A24="","",IF(AND(OR(D28="2 &amp; APS",D28="3 &amp; APS",D28="4 &amp; APS",D28="5 &amp; APS"),D26="Futures"),CONCATENATE([1]AB3!$AP$9,INDEX([1]AB2!M:M,MATCH(D24,[1]AB2!B:B,0)),[1]AB3!$AQ$9),IF(AND(OR(D28="2 &amp; APS",D28="3 &amp; APS",D28="4 &amp; APS",D28="5 &amp; APS"),D26="Options Sell"),CONCATENATE([1]AB3!$AP$15,INDEX([1]AB2!L:L,MATCH(D24,[1]AB2!B:B,0)),[1]AB3!$AQ$15),IF(AND(OR(D28="2 &amp; APS",D28="3 &amp; APS",D28="4 &amp; APS",D28="5 &amp; APS"),D26="Options Buy"),CONCATENATE([1]AB3!$AP$21,INDEX([1]AB2!M:M,MATCH(D24,[1]AB2!B:B,0)),[1]AB3!$AQ$21),[1]AB3!$AR$6))))</f>
        <v>FUT : PRV : 2DLL</v>
      </c>
      <c r="AR27" s="51">
        <f>IF(AND(D26="Futures",AQ27=[1]AB3!$AW$9),[1]AB3!$AW$9,IF(AND(D26="Options Sell",AQ27=[1]AB3!$AW$15),[1]AB3!$AW$15,IF(AND(D26="Options Buy",AQ27=[1]AB3!$AW$21),[1]AB3!$AW$21,I28)))</f>
        <v>1.5E-3</v>
      </c>
      <c r="AS27" s="52">
        <f t="shared" ref="AS27:AS28" si="36">AP27-Q27</f>
        <v>3</v>
      </c>
      <c r="AT27" s="43" t="str">
        <f t="array" ref="AT27">IF(A24="","",IF(AND(OR(D28="3 &amp; APS",D28="4 &amp; APS",D28="5 &amp; APS"),D26="Futures"),CONCATENATE([1]AB3!$AP$9,INDEX([1]AB2!M:M,MATCH(D24,[1]AB2!B:B,0)),[1]AB3!$AQ$9),IF(AND(OR(D28="3 &amp; APS",D28="4 &amp; APS",D28="5 &amp; APS"),D26="Options Sell"),CONCATENATE([1]AB3!$AP$15,INDEX([1]AB2!L:L,MATCH(D24,[1]AB2!B:B,0)),[1]AB3!$AQ$15),IF(AND(OR(D28="3 &amp; APS",D28="4 &amp; APS",D28="5 &amp; APS"),D26="Options Buy"),CONCATENATE([1]AB3!$AP$21,INDEX([1]AB2!M:M,MATCH(D24,[1]AB2!B:B,0)),[1]AB3!$AQ$21),[1]AB3!$AR$6))))</f>
        <v>FUT : PRV : 2DLL</v>
      </c>
      <c r="AU27" s="51">
        <f>IF(AND(D26="Futures",AT27=[1]AB3!$AY$9),[1]AB3!$AY$9,IF(AND(D26="Options Sell",AT27=[1]AB3!$AY$15),[1]AB3!$AY$15,IF(AND(D26="Options Buy",AT27=[1]AB3!$AY$21),[1]AB3!$AY$21,I28)))</f>
        <v>1.5E-3</v>
      </c>
      <c r="AV27" s="52">
        <f t="shared" ref="AV27:AV28" si="37">AS27-S27</f>
        <v>2</v>
      </c>
      <c r="AW27" s="43" t="str">
        <f t="array" ref="AW27">IF(A24="","",IF(AND(OR(D28="4 &amp; APS",D28="5 &amp; APS"),D26="Futures"),CONCATENATE([1]AB3!$AP$9,INDEX([1]AB2!M:M,MATCH(D24,[1]AB2!B:B,0)),[1]AB3!$AQ$9),IF(AND(OR(D28="4 &amp; APS",D28="5 &amp; APS"),D26="Options Sell"),CONCATENATE([1]AB3!$AP$15,INDEX([1]AB2!L:L,MATCH(D24,[1]AB2!B:B,0)),[1]AB3!$AQ$15),IF(AND(OR(D28="4 &amp; APS",D28="5 &amp; APS"),D26="Options Buy"),CONCATENATE([1]AB3!$AP$21,INDEX([1]AB2!M:M,MATCH(D24,[1]AB2!B:B,0)),[1]AB3!$AQ$21),[1]AB3!$AR$6))))</f>
        <v>FUT : PRV : 2DLL</v>
      </c>
      <c r="AX27" s="51">
        <f>IF(AND(D26="Futures",AW27=[1]AB3!$BA$9),[1]AB3!$BA$9,IF(AND(D26="Options Sell",AW27=[1]AB3!$BA$15),[1]AB3!$BA$15,IF(AND(D26="Options Buy",AW27=[1]AB3!$BA$21),[1]AB3!$BA$21,I28)))</f>
        <v>1.5E-3</v>
      </c>
      <c r="AY27" s="52">
        <f t="shared" ref="AY27:AY28" si="38">AV27-S27</f>
        <v>1</v>
      </c>
      <c r="AZ27" s="51">
        <f t="array" ref="AZ27">IF(A24="","",IF(AND(D28="5 &amp; APS",D26="Futures"),CONCATENATE([1]AB3!$AP$9,INDEX([1]AB2!M:M,MATCH(D24,[1]AB2!B:B,0)),[1]AB3!$AQ$9),IF(AND(D28="5 &amp; APS",D26="Options Sell"),CONCATENATE([1]AB3!$AP$15,INDEX([1]AB2!L:L,MATCH(D24,[1]AB2!B:B,0)),[1]AB3!$AQ$15),IF(AND(D28="5 &amp; APS",D26="Options Buy"),CONCATENATE([1]AB3!$AP$21,INDEX([1]AB2!M:M,MATCH(D24,[1]AB2!B:B,0)),[1]AB3!$AQ$21),[1]AB3!$AR$6))))</f>
        <v>0</v>
      </c>
      <c r="BA27" s="51">
        <f>IF(AND(D26="Futures",AZ27=[1]AB3!$BC$9),[1]AB3!$BC$9,IF(AND(D26="Options Sell",AZ27=[1]AB3!$BC$15),[1]AB3!$BC$15,IF(AND(D26="Options Buy",AZ27=[1]AB3!$BC$21),[1]AB3!$BC$21,I28)))</f>
        <v>0</v>
      </c>
      <c r="BB27" s="52">
        <f t="shared" ref="BB27:BB28" si="39">AY27-W27</f>
        <v>0</v>
      </c>
      <c r="BC27" s="53"/>
      <c r="BD27" s="54" t="str">
        <f>IF(D26="Futures",[1]AB3!$BE$9,IF(D26="Options Sell",[1]AB3!$BE$15,IF(D26="Options Buy",[1]AB3!$BE$21)))</f>
        <v>Market Start Time</v>
      </c>
      <c r="BE27" s="67">
        <f t="array" ref="BE27">IF(D24="","",INDEX([1]AB2!AG:AG,MATCH(D24,[1]AB2!B:B,0)))</f>
        <v>0.38541666666666669</v>
      </c>
      <c r="BF27" s="11"/>
      <c r="BG27" s="12"/>
      <c r="BH27" s="57"/>
      <c r="BI27" s="68" t="str">
        <f>IF(D26="Futures",[1]AB3!$BJ$9,IF(D26="Options Sell",[1]AB3!$BJ$15,IF(D26="Options Buy",[1]AB3!$BJ$21)))</f>
        <v>Bear / 
Bear CF</v>
      </c>
      <c r="BJ27" s="45" t="str">
        <f>IF(D26="Futures",[1]AB3!$BK$9,IF(D26="Options Sell",[1]AB3!$BK$15,IF(D26="Options Buy",[1]AB3!$BK$21)))</f>
        <v>Long</v>
      </c>
      <c r="BK27" s="46">
        <v>1.5E-3</v>
      </c>
      <c r="BL27" s="46">
        <v>1.5E-3</v>
      </c>
      <c r="BM27" s="57"/>
      <c r="BN27" s="68" t="str">
        <f>IF(D26="Futures",[1]AB3!$BO$9,IF(D26="Options Sell",[1]AB3!$BO$15,IF(D26="Options Buy",[1]AB3!$BO$21)))</f>
        <v>Bear | 
Bear CF</v>
      </c>
      <c r="BO27" s="45" t="str">
        <f>IF(D26="Futures",[1]AB3!$BP$9,IF(D26="Options Sell",[1]AB3!$BP$15,IF(D26="Options Buy",[1]AB3!$BP$21)))</f>
        <v>Call</v>
      </c>
      <c r="BP27" s="43" t="str">
        <f t="array" ref="BP27">IF(A24="","",IF(D26="Futures","",IF(D26="EQUITY","",IF(D26="Options Sell",CONCATENATE([1]AB3!$BQ$15,INDEX([1]AB2!I:I,MATCH(A24,[1]AB2!A:A,0)),[1]AB3!$BR$15),IF(D26="Options Buy",CONCATENATE([1]AB3!$BQ$21,INDEX([1]AB2!I:I,MATCH(A24,[1]AB2!A:A,0)),[1]AB3!$BR$21))))))</f>
        <v/>
      </c>
      <c r="BQ27" s="58"/>
      <c r="BR27" s="58"/>
      <c r="BS27" s="58"/>
      <c r="BT27" s="58"/>
      <c r="BU27" s="58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9"/>
      <c r="CL27" s="43"/>
      <c r="CM27" s="43"/>
      <c r="CN27" s="59"/>
      <c r="CO27" s="43"/>
      <c r="CP27" s="43"/>
      <c r="CQ27" s="59"/>
      <c r="CR27" s="43"/>
      <c r="CS27" s="43"/>
      <c r="CT27" s="59"/>
      <c r="CU27" s="43"/>
      <c r="CV27" s="59"/>
      <c r="CW27" s="59"/>
    </row>
    <row r="28" spans="1:101" ht="16.5" customHeight="1" x14ac:dyDescent="0.2">
      <c r="A28" s="32"/>
      <c r="B28" s="41" t="str">
        <f>CONCATENATE(D24,IF(D26="Futures",[1]AB3!$B$10,IF(D26="Options Sell",[1]AB3!$B$16,IF(D26="Options Buy",[1]AB3!$B$22))))</f>
        <v>S4E</v>
      </c>
      <c r="C28" s="42" t="str">
        <f>IF(D26="Futures",[1]AB3!$E$8,IF(D26="Options Sell",[1]AB3!$E$14,IF(D26="Options Buy",[1]AB3!$E$20)))</f>
        <v>Contract</v>
      </c>
      <c r="D28" s="43" t="str">
        <f t="array" ref="D28">IF(A24="","",INDEX([1]AB2!K:K,MATCH(D24,[1]AB2!B:B,0)))</f>
        <v>4 &amp; APS</v>
      </c>
      <c r="E28" s="32"/>
      <c r="F28" s="61" t="str">
        <f>IF(D26="Futures",[1]AB3!$F$10,IF(D26="Options Sell",[1]AB3!$F$16,IF(D26="Options Buy",[1]AB3!$F$22)))</f>
        <v>Short</v>
      </c>
      <c r="G28" s="43" t="str">
        <f t="array" ref="G28">(IF(A24="","",IF(D26="Futures",CONCATENATE([1]AB3!$G$10,INDEX([1]AB2!I:I,MATCH(D24,[1]AB2!B:B,0)),[1]AB3!$H$10),IF(D26="Options Sell",CONCATENATE([1]AB3!$G$16,INDEX([1]AB2!J:J,MATCH(D24,[1]AB2!B:B,0)),[1]AB3!$H$16),IF(D26="Options Buy",CONCATENATE([1]AB3!$G$22,INDEX([1]AB2!I:I,MATCH(D24,[1]AB2!B:B,0)),[1]AB3!$H$22))))))</f>
        <v>FUT : PRV : 2DLL</v>
      </c>
      <c r="H28" s="43" t="str">
        <f>IF(D26="Futures",[1]AB3!$I$10,IF(D26="Options Sell",[1]AB3!$I$16,IF(D26="Options Buy",[1]AB3!$I$22)))</f>
        <v xml:space="preserve"> - </v>
      </c>
      <c r="I28" s="46">
        <v>1.5E-3</v>
      </c>
      <c r="J28" s="47">
        <v>5</v>
      </c>
      <c r="K28" s="48"/>
      <c r="L28" s="43" t="str">
        <f>IF(D26="Futures",[1]AB3!$M$10,IF(D26="Options Sell",[1]AB3!$M$16,IF(D26="Options Buy",[1]AB3!$M$22)))</f>
        <v xml:space="preserve">S : Entry </v>
      </c>
      <c r="M28" s="43" t="str">
        <f>IF(D26="Futures",[1]AB3!$N$10,IF(D26="Options Sell",[1]AB3!$N$16,IF(D26="Options Buy",[1]AB3!$N$22)))</f>
        <v xml:space="preserve"> - </v>
      </c>
      <c r="N28" s="46">
        <v>1.4999999999999999E-2</v>
      </c>
      <c r="O28" s="47">
        <v>1</v>
      </c>
      <c r="P28" s="46">
        <v>0.02</v>
      </c>
      <c r="Q28" s="47">
        <v>1</v>
      </c>
      <c r="R28" s="46">
        <v>2.5000000000000001E-2</v>
      </c>
      <c r="S28" s="47">
        <v>1</v>
      </c>
      <c r="T28" s="46">
        <v>0.03</v>
      </c>
      <c r="U28" s="47">
        <v>1</v>
      </c>
      <c r="V28" s="50" t="s">
        <v>51</v>
      </c>
      <c r="W28" s="47">
        <v>1</v>
      </c>
      <c r="X28" s="50" t="s">
        <v>52</v>
      </c>
      <c r="Y28" s="50" t="s">
        <v>52</v>
      </c>
      <c r="Z28" s="48"/>
      <c r="AA28" s="43" t="str">
        <f>IF(D26="Futures",[1]AB3!$AD$10,IF(D26="Options Sell",[1]AB3!$AD$16,IF(D26="Options Buy",[1]AB3!$AD$22)))</f>
        <v>Min</v>
      </c>
      <c r="AB28" s="43" t="str">
        <f>IF(D26="Futures",[1]AB3!$AE$10,IF(D26="Options Sell",[1]AB3!$AE$16,IF(D26="Options Buy",[1]AB3!$AE$22)))</f>
        <v>MSL &amp; TSL</v>
      </c>
      <c r="AC28" s="43" t="str">
        <f>IF(D26="Futures",[1]AB3!$AF$10,IF(D26="Options Sell",[1]AB3!$AF$16,IF(D26="Options Buy",[1]AB3!$AF$22)))</f>
        <v>Entry &amp; TRP</v>
      </c>
      <c r="AD28" s="48"/>
      <c r="AE28" s="43" t="str">
        <f>IF(D26="Futures",[1]AB3!$AH$10,IF(D26="Options Sell",[1]AB3!$AH$16,IF(D26="Options Buy",[1]AB3!$AH$22)))</f>
        <v>S : Entry</v>
      </c>
      <c r="AF28" s="43" t="str">
        <f>IF(D26="Futures",[1]AB3!$AI$10,IF(D26="Options Sell",[1]AB3!$AI$16,IF(D26="Options Buy",[1]AB3!$AI$22)))</f>
        <v xml:space="preserve"> + </v>
      </c>
      <c r="AG28" s="46">
        <v>1.4999999999999999E-2</v>
      </c>
      <c r="AH28" s="46">
        <v>0</v>
      </c>
      <c r="AI28" s="48"/>
      <c r="AJ28" s="43" t="str">
        <f>IF(D26="Futures",[1]AB3!$AO$10,IF(D26="Options Sell",[1]AB3!$AO$16,IF(D26="Options Buy",[1]AB3!$AO$22)))</f>
        <v xml:space="preserve"> + </v>
      </c>
      <c r="AK28" s="43" t="str">
        <f t="array" ref="AK28">IF(A24="","",IF(D26="Futures",CONCATENATE([1]AB3!$AP$10,INDEX([1]AB2!L:L,MATCH(D24,[1]AB2!B:B,0)),[1]AB3!$AQ$10),IF(D26="Options Sell",CONCATENATE([1]AB3!$AP$16,INDEX([1]AB2!M:M,MATCH(D24,[1]AB2!B:B,0)),[1]AB3!$AQ$16),IF(D26="Options Buy",CONCATENATE([1]AB3!$AP$22,INDEX([1]AB2!L:L,MATCH(D24,[1]AB2!B:B,0)),[1]AB3!$AQ$22)))))</f>
        <v>FUT : PRV : 2DHH</v>
      </c>
      <c r="AL28" s="51">
        <f>IF(AND(D26="Futures",AK28=[1]AB3!$AS$10),[1]AB3!$AS$10,IF(AND(D26="Options Sell",AK28=[1]AB3!$AS$16),[1]AB3!$AS$16,IF(AND(D26="Options Buy",AK28=[1]AB3!$AS$22),[1]AB3!$AS$22,I27)))</f>
        <v>1.5E-3</v>
      </c>
      <c r="AM28" s="52">
        <f>J27</f>
        <v>5</v>
      </c>
      <c r="AN28" s="43" t="str">
        <f t="array" ref="AN28">IF(A24="","",IF(AND(OR(D28="1 &amp; APS",D28="2 &amp; APS",D28="3 &amp; APS",D28="4 &amp; APS",D28="5 &amp; APS"),D26="Futures"),CONCATENATE([1]AB3!$AP$10,INDEX([1]AB2!L:L,MATCH(D24,[1]AB2!B:B,0)),[1]AB3!$AQ$10),IF(AND(OR(D28="1 &amp; APS",D28="2 &amp; APS",D28="3 &amp; APS",D28="4 &amp; APS",D28="5 &amp; APS"),D26="Options Sell"),CONCATENATE([1]AB3!$AP$16,INDEX([1]AB2!M:M,MATCH(D24,[1]AB2!B:B,0)),[1]AB3!$AQ$16),IF(AND(OR(D28="1 &amp; APS",D28="2 &amp; APS",D28="3 &amp; APS",D28="4 &amp; APS",D28="5 &amp; APS"),D26="Options Buy"),CONCATENATE([1]AB3!$AP$22,INDEX([1]AB2!L:L,MATCH(D24,[1]AB2!B:B,0)),[1]AB3!$AQ$22),[1]AB3!$AR$6))))</f>
        <v>FUT : PRV : 2DHH</v>
      </c>
      <c r="AO28" s="51">
        <f>IF(AND(D26="Futures",AN28=[1]AB3!$AU$10),[1]AB3!$AU$10,IF(AND(D26="Options Sell",AN28=[1]AB3!$AU$16),[1]AB3!$AU$16,IF(AND(D26="Options Buy",AN28=[1]AB3!$AU$22),[1]AB3!$AU$22,I27)))</f>
        <v>1.5E-3</v>
      </c>
      <c r="AP28" s="52">
        <f t="shared" si="35"/>
        <v>4</v>
      </c>
      <c r="AQ28" s="43" t="str">
        <f t="array" ref="AQ28">IF(A24="","",IF(AND(OR(D28="2 &amp; APS",D28="3 &amp; APS",D28="4 &amp; APS",D28="5 &amp; APS"),D26="Futures"),CONCATENATE([1]AB3!$AP$10,INDEX([1]AB2!L:L,MATCH(D24,[1]AB2!B:B,0)),[1]AB3!$AQ$10),IF(AND(OR(D28="2 &amp; APS",D28="3 &amp; APS",D28="4 &amp; APS",D28="5 &amp; APS"),D26="Options Sell"),CONCATENATE([1]AB3!$AP$16,INDEX([1]AB2!M:M,MATCH(D24,[1]AB2!B:B,0)),[1]AB3!$AQ$16),IF(AND(OR(D28="2 &amp; APS",D28="3 &amp; APS",D28="4 &amp; APS",D28="5 &amp; APS"),D26="Options Buy"),CONCATENATE([1]AB3!$AP$22,INDEX([1]AB2!L:L,MATCH(D24,[1]AB2!B:B,0)),[1]AB3!$AQ$22),[1]AB3!$AR$6))))</f>
        <v>FUT : PRV : 2DHH</v>
      </c>
      <c r="AR28" s="51">
        <f>IF(AND(D26="Futures",AQ28=[1]AB3!$AW$10),[1]AB3!$AW$10,IF(AND(D26="Options Sell",AQ28=[1]AB3!$AW$16),[1]AB3!$AW$16,IF(AND(D26="Options Buy",AQ28=[1]AB3!$AW$22),[1]AB3!$AW$22,I27)))</f>
        <v>1.5E-3</v>
      </c>
      <c r="AS28" s="52">
        <f t="shared" si="36"/>
        <v>3</v>
      </c>
      <c r="AT28" s="43" t="str">
        <f t="array" ref="AT28">IF(A24="","",IF(AND(OR(D28="3 &amp; APS",D28="4 &amp; APS",D28="5 &amp; APS"),D26="Futures"),CONCATENATE([1]AB3!$AP$10,INDEX([1]AB2!L:L,MATCH(D24,[1]AB2!B:B,0)),[1]AB3!$AQ$10),IF(AND(OR(D28="3 &amp; APS",D28="4 &amp; APS",D28="5 &amp; APS"),D26="Options Sell"),CONCATENATE([1]AB3!$AP$16,INDEX([1]AB2!M:M,MATCH(D24,[1]AB2!B:B,0)),[1]AB3!$AQ$16),IF(AND(OR(D28="3 &amp; APS",D28="4 &amp; APS",D28="5 &amp; APS"),D26="Options Buy"),CONCATENATE([1]AB3!$AP$22,INDEX([1]AB2!L:L,MATCH(D24,[1]AB2!B:B,0)),[1]AB3!$AQ$22),[1]AB3!$AR$6))))</f>
        <v>FUT : PRV : 2DHH</v>
      </c>
      <c r="AU28" s="51">
        <f>IF(AND(D26="Futures",AT28=[1]AB3!$AY$10),[1]AB3!$AY$10,IF(AND(D26="Options Sell",AT28=[1]AB3!$AY$16),[1]AB3!$AY$16,IF(AND(D26="Options Buy",AT28=[1]AB3!$AY$22),[1]AB3!$AY$22,I27)))</f>
        <v>1.5E-3</v>
      </c>
      <c r="AV28" s="52">
        <f t="shared" si="37"/>
        <v>2</v>
      </c>
      <c r="AW28" s="43" t="str">
        <f t="array" ref="AW28">IF(A24="","",IF(AND(OR(D28="4 &amp; APS",D28="5 &amp; APS"),D26="Futures"),CONCATENATE([1]AB3!$AP$10,INDEX([1]AB2!L:L,MATCH(D24,[1]AB2!B:B,0)),[1]AB3!$AQ$10),IF(AND(OR(D28="4 &amp; APS",D28="5 &amp; APS"),D26="Options Sell"),CONCATENATE([1]AB3!$AP$16,INDEX([1]AB2!M:M,MATCH(D24,[1]AB2!B:B,0)),[1]AB3!$AQ$16),IF(AND(OR(D28="4 &amp; APS",D28="5 &amp; APS"),D26="Options Buy"),CONCATENATE([1]AB3!$AP$22,INDEX([1]AB2!L:L,MATCH(D24,[1]AB2!B:B,0)),[1]AB3!$AQ$22),[1]AB3!$AR$6))))</f>
        <v>FUT : PRV : 2DHH</v>
      </c>
      <c r="AX28" s="51">
        <f>IF(AND(D26="Futures",AW28=[1]AB3!$BA$10),[1]AB3!$BA$10,IF(AND(D26="Options Sell",AW28=[1]AB3!$BA$16),[1]AB3!$BA$16,IF(AND(D26="Options Buy",AW28=[1]AB3!$BA$22),[1]AB3!$BA$22,I27)))</f>
        <v>1.5E-3</v>
      </c>
      <c r="AY28" s="52">
        <f t="shared" si="38"/>
        <v>1</v>
      </c>
      <c r="AZ28" s="51">
        <f t="array" ref="AZ28">IF(A24="","",IF(AND(D28="5 &amp; APS",D26="Futures"),CONCATENATE([1]AB3!$AP$10,INDEX([1]AB2!L:L,MATCH(D24,[1]AB2!B:B,0)),[1]AB3!$AQ$10),IF(AND(D28="5 &amp; APS",D26="Options Sell"),CONCATENATE([1]AB3!$AP$16,INDEX([1]AB2!M:M,MATCH(D24,[1]AB2!B:B,0)),[1]AB3!$AQ$16),IF(AND(D28="5 &amp; APS",D26="Options Buy"),CONCATENATE([1]AB3!$AP$22,INDEX([1]AB2!L:L,MATCH(D24,[1]AB2!B:B,0)),[1]AB3!$AQ$22),[1]AB3!$AR$6))))</f>
        <v>0</v>
      </c>
      <c r="BA28" s="51">
        <f>IF(AND(D26="Futures",AZ28=[1]AB3!$BC$10),[1]AB3!$BC$10,IF(AND(D26="Options Sell",AZ28=[1]AB3!$BC$16),[1]AB3!$BC$16,IF(AND(D26="Options Buy",AZ28=[1]AB3!$BC$22),[1]AB3!$BC$22,I27)))</f>
        <v>0</v>
      </c>
      <c r="BB28" s="52">
        <f t="shared" si="39"/>
        <v>0</v>
      </c>
      <c r="BC28" s="53"/>
      <c r="BD28" s="54" t="str">
        <f>IF(D26="Futures",[1]AB3!$BE$10,IF(D26="Options Sell",[1]AB3!$BE$16,IF(D26="Options Buy",[1]AB3!$BE$22)))</f>
        <v>Market End Time</v>
      </c>
      <c r="BE28" s="67">
        <f t="array" ref="BE28">IF(D24="","",INDEX([1]AB2!AH:AH,MATCH(D24,[1]AB2!B:B,0)))</f>
        <v>0.64583333333333337</v>
      </c>
      <c r="BF28" s="11"/>
      <c r="BG28" s="12"/>
      <c r="BH28" s="57"/>
      <c r="BI28" s="32"/>
      <c r="BJ28" s="61" t="str">
        <f>IF(D26="Futures",[1]AB3!$BK$10,IF(D26="Options Sell",[1]AB3!$BK$16,IF(D26="Options Buy",[1]AB3!$BK$22)))</f>
        <v>Short</v>
      </c>
      <c r="BK28" s="46">
        <v>1.5E-3</v>
      </c>
      <c r="BL28" s="46">
        <v>1.5E-3</v>
      </c>
      <c r="BM28" s="57"/>
      <c r="BN28" s="32"/>
      <c r="BO28" s="61" t="str">
        <f>IF(D26="Futures",[1]AB3!$BP$10,IF(D26="Options Sell",[1]AB3!$BP$16,IF(D26="Options Buy",[1]AB3!$BP$22)))</f>
        <v>Put</v>
      </c>
      <c r="BP28" s="43" t="str">
        <f t="array" ref="BP28">IF(A24="","",IF(D26="Futures","",IF(D26="EQUITY","",IF(D26="Options Sell",CONCATENATE([1]AB3!$BQ$16,INDEX([1]AB2!J:J,MATCH(A24,[1]AB2!A:A,0)),[1]AB3!$BR$16),IF(D26="Options Buy",CONCATENATE([1]AB3!$BQ$22,INDEX([1]AB2!J:J,MATCH(A24,[1]AB2!A:A,0)),[1]AB3!$BR$22))))))</f>
        <v/>
      </c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9"/>
      <c r="CL28" s="43"/>
      <c r="CM28" s="43"/>
      <c r="CN28" s="59"/>
      <c r="CO28" s="43"/>
      <c r="CP28" s="43"/>
      <c r="CQ28" s="59"/>
      <c r="CR28" s="43"/>
      <c r="CS28" s="43"/>
      <c r="CT28" s="59"/>
      <c r="CU28" s="43"/>
      <c r="CV28" s="59"/>
      <c r="CW28" s="59"/>
    </row>
    <row r="29" spans="1:101" ht="15.75" customHeight="1" x14ac:dyDescent="0.2">
      <c r="A29" s="1"/>
      <c r="B29" s="2"/>
      <c r="C29" s="2"/>
      <c r="D29" s="2"/>
      <c r="E29" s="2"/>
      <c r="F29" s="2"/>
      <c r="G29" s="2"/>
      <c r="H29" s="2"/>
      <c r="I29" s="2"/>
      <c r="J29" s="64"/>
      <c r="K29" s="2"/>
      <c r="L29" s="2"/>
      <c r="M29" s="2"/>
      <c r="N29" s="2"/>
      <c r="O29" s="64"/>
      <c r="P29" s="2"/>
      <c r="Q29" s="64"/>
      <c r="R29" s="69"/>
      <c r="S29" s="64"/>
      <c r="T29" s="70"/>
      <c r="U29" s="64"/>
      <c r="V29" s="2"/>
      <c r="W29" s="64"/>
      <c r="X29" s="2"/>
      <c r="Y29" s="2"/>
      <c r="Z29" s="2"/>
      <c r="AA29" s="20"/>
      <c r="AB29" s="71"/>
      <c r="AC29" s="71"/>
      <c r="AD29" s="2"/>
      <c r="AE29" s="70"/>
      <c r="AF29" s="70"/>
      <c r="AG29" s="70"/>
      <c r="AH29" s="70"/>
      <c r="AI29" s="2"/>
      <c r="AJ29" s="70"/>
      <c r="AK29" s="70"/>
      <c r="AL29" s="70"/>
      <c r="AM29" s="64"/>
      <c r="AN29" s="70"/>
      <c r="AO29" s="70"/>
      <c r="AP29" s="64"/>
      <c r="AQ29" s="70"/>
      <c r="AR29" s="70"/>
      <c r="AS29" s="64"/>
      <c r="AT29" s="70"/>
      <c r="AU29" s="70"/>
      <c r="AV29" s="64"/>
      <c r="AW29" s="70"/>
      <c r="AX29" s="70"/>
      <c r="AY29" s="64"/>
      <c r="AZ29" s="70"/>
      <c r="BA29" s="70"/>
      <c r="BB29" s="64"/>
      <c r="BC29" s="70"/>
      <c r="BD29" s="70"/>
      <c r="BE29" s="70"/>
      <c r="BF29" s="70"/>
      <c r="BG29" s="70"/>
      <c r="BH29" s="70"/>
      <c r="BI29" s="70"/>
      <c r="BJ29" s="70"/>
      <c r="BK29" s="2"/>
      <c r="BL29" s="2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  <c r="CG29" s="70"/>
      <c r="CH29" s="70"/>
      <c r="CI29" s="70"/>
      <c r="CJ29" s="70"/>
      <c r="CK29" s="70"/>
      <c r="CL29" s="2"/>
      <c r="CM29" s="2"/>
      <c r="CN29" s="70"/>
      <c r="CO29" s="70"/>
      <c r="CP29" s="70"/>
      <c r="CQ29" s="70"/>
      <c r="CR29" s="2"/>
      <c r="CS29" s="2"/>
      <c r="CT29" s="70"/>
      <c r="CU29" s="70"/>
      <c r="CV29" s="70"/>
      <c r="CW29" s="70"/>
    </row>
    <row r="30" spans="1:101" ht="15.75" customHeight="1" x14ac:dyDescent="0.2">
      <c r="A30" s="40">
        <v>5</v>
      </c>
      <c r="B30" s="41" t="str">
        <f>CONCATENATE(D30,IF(D32="Futures",[1]AB3!$B$6,IF(D32="Options Sell",[1]AB3!$B$12,IF(D32="Options Buy",[1]AB3!$B$18))))</f>
        <v>S5A</v>
      </c>
      <c r="C30" s="42" t="str">
        <f>IF(D32="Futures",[1]AB3!$C$6,IF(D32="Options Sell",[1]AB3!$C$12,IF(D32="Options Buy",[1]AB3!$C$18)))</f>
        <v>Strategy Code</v>
      </c>
      <c r="D30" s="43" t="str">
        <f t="array" ref="D30">IF(A30="","",INDEX([1]AB2!B:B,MATCH(A30,[1]AB2!A:A,0)))</f>
        <v>S5</v>
      </c>
      <c r="E30" s="44" t="str">
        <f>IF(D32="Futures",[1]AB3!$E$6,IF(D32="Options Sell",[1]AB3!$E$12,IF(D32="Options Buy",[1]AB3!$E$18)))</f>
        <v>Bull / 
Bull CF</v>
      </c>
      <c r="F30" s="45" t="str">
        <f>IF(D32="Futures",[1]AB3!$F$6,IF(D32="Options Sell",[1]AB3!$F$12,IF(D32="Options Buy",[1]AB3!$F$18)))</f>
        <v>Long</v>
      </c>
      <c r="G30" s="43" t="str">
        <f t="array" ref="G30">IF(A30="","",IF(D32="Futures",CONCATENATE([1]AB3!$G$6,INDEX([1]AB2!I:I,MATCH(D30,[1]AB2!B:B,0)),[1]AB3!$H$6),IF(D32="Options Sell",CONCATENATE([1]AB3!$G$12,INDEX([1]AB2!J:J,MATCH(D30,[1]AB2!B:B,0)),[1]AB3!$H$12),IF(D32="Options Buy",CONCATENATE([1]AB3!$G$18,INDEX([1]AB2!I:I,MATCH(D30,[1]AB2!B:B,0)),[1]AB3!$H$18)))))</f>
        <v>FUT : PRV : 2DHH</v>
      </c>
      <c r="H30" s="43" t="str">
        <f>IF(D32="Futures",[1]AB3!$I$6,IF(D32="Options Sell",[1]AB3!$I$12,IF(D32="Options Buy",[1]AB3!$I$18)))</f>
        <v xml:space="preserve"> + </v>
      </c>
      <c r="I30" s="46">
        <v>0</v>
      </c>
      <c r="J30" s="47">
        <v>5</v>
      </c>
      <c r="K30" s="48"/>
      <c r="L30" s="43" t="str">
        <f>IF(D32="Futures",[1]AB3!$M$6,IF(D32="Options Sell",[1]AB3!$M$12,IF(D32="Options Buy",[1]AB3!$M$18)))</f>
        <v xml:space="preserve">L : Entry </v>
      </c>
      <c r="M30" s="43" t="str">
        <f>IF(D32="Futures",[1]AB3!$N$6,IF(D32="Options Sell",[1]AB3!$N$12,IF(D32="Options Buy",[1]AB3!$N$18)))</f>
        <v xml:space="preserve"> + </v>
      </c>
      <c r="N30" s="46">
        <v>0.03</v>
      </c>
      <c r="O30" s="47">
        <v>1</v>
      </c>
      <c r="P30" s="46">
        <v>4.4999999999999998E-2</v>
      </c>
      <c r="Q30" s="47">
        <v>1</v>
      </c>
      <c r="R30" s="46">
        <v>0.06</v>
      </c>
      <c r="S30" s="47">
        <v>1</v>
      </c>
      <c r="T30" s="46">
        <v>0.08</v>
      </c>
      <c r="U30" s="47">
        <v>1</v>
      </c>
      <c r="V30" s="50" t="s">
        <v>51</v>
      </c>
      <c r="W30" s="47">
        <v>1</v>
      </c>
      <c r="X30" s="50" t="s">
        <v>52</v>
      </c>
      <c r="Y30" s="50" t="s">
        <v>52</v>
      </c>
      <c r="Z30" s="48"/>
      <c r="AA30" s="43" t="str">
        <f>IF(D32="Futures",[1]AB3!$AD$6,IF(D32="Options Sell",[1]AB3!$AD$12,IF(D32="Options Buy",[1]AB3!$AD$18)))</f>
        <v>Max</v>
      </c>
      <c r="AB30" s="43" t="str">
        <f>IF(D32="Futures",[1]AB3!$AE$6,IF(D32="Options Sell",[1]AB3!$AE$12,IF(D32="Options Buy",[1]AB3!$AE$18)))</f>
        <v>MSL &amp; TSL</v>
      </c>
      <c r="AC30" s="43" t="str">
        <f>IF(D32="Futures",[1]AB3!$AF$6,IF(D32="Options Sell",[1]AB3!$AF$12,IF(D32="Options Buy",[1]AB3!$AF$18)))</f>
        <v>Entry &amp; TRP</v>
      </c>
      <c r="AD30" s="48"/>
      <c r="AE30" s="43" t="str">
        <f>IF(D32="Futures",[1]AB3!$AH$6,IF(D32="Options Sell",[1]AB3!$AH$12,IF(D32="Options Buy",[1]AB3!$AH$18)))</f>
        <v>L : Entry</v>
      </c>
      <c r="AF30" s="43" t="str">
        <f>IF(D32="Futures",[1]AB3!$AI$6,IF(D32="Options Sell",[1]AB3!$AI$12,IF(D32="Options Buy",[1]AB3!$AI$18)))</f>
        <v xml:space="preserve"> - </v>
      </c>
      <c r="AG30" s="46">
        <v>0.03</v>
      </c>
      <c r="AH30" s="46">
        <v>0</v>
      </c>
      <c r="AI30" s="48"/>
      <c r="AJ30" s="43" t="str">
        <f>IF(D32="Futures",[1]AB3!$AO$6,IF(D32="Options Sell",[1]AB3!$AO$12,IF(D32="Options Buy",[1]AB3!$AO$18)))</f>
        <v xml:space="preserve"> - </v>
      </c>
      <c r="AK30" s="43" t="str">
        <f t="array" ref="AK30">IF(A30="","",IF(D32="Futures",CONCATENATE([1]AB3!$AP$6,INDEX([1]AB2!L:L,MATCH(D30,[1]AB2!B:B,0)),[1]AB3!$AQ$6),IF(D32="Options Sell",CONCATENATE([1]AB3!$AP$12,INDEX([1]AB2!M:M,MATCH(D30,[1]AB2!B:B,0)),[1]AB3!$AQ$12),IF(D32="Options Buy",CONCATENATE([1]AB3!$AP$18,INDEX([1]AB2!L:L,MATCH(D30,[1]AB2!B:B,0)),[1]AB3!$AQ$18)))))</f>
        <v>FUT : PRV : 3DLL</v>
      </c>
      <c r="AL30" s="51">
        <f>IF(AND(D32="Futures",AK30=[1]AB3!$AS$6),[1]AB3!$AS$6,IF(AND(D32="Options Sell",AK30=[1]AB3!$AS$12),[1]AB3!$AS$12,IF(AND(D32="Options Buy",AK30=[1]AB3!$AS$18),[1]AB3!$AS$18,I31)))</f>
        <v>0.01</v>
      </c>
      <c r="AM30" s="52">
        <f>J31</f>
        <v>5</v>
      </c>
      <c r="AN30" s="43" t="str">
        <f t="array" ref="AN30">IF(A30="","",IF(AND(OR(D34="1 &amp; APS",D34="2 &amp; APS",D34="3 &amp; APS",D34="4 &amp; APS",D34="5 &amp; APS"),D32="Futures"),CONCATENATE([1]AB3!$AP$6,INDEX([1]AB2!L:L,MATCH(D30,[1]AB2!B:B,0)),[1]AB3!$AQ$6),IF(AND(OR(D34="1 &amp; APS",D34="2 &amp; APS",D34="3 &amp; APS",D34="4 &amp; APS",D34="5 &amp; APS"),D32="Options Sell"),CONCATENATE([1]AB3!$AP$12,INDEX([1]AB2!M:M,MATCH(D30,[1]AB2!B:B,0)),[1]AB3!$AQ$12),IF(AND(OR(D34="1 &amp; APS",D34="2 &amp; APS",D34="3 &amp; APS",D34="4 &amp; APS",D34="5 &amp; APS"),D32="Options Buy"),CONCATENATE([1]AB3!$AP$18,INDEX([1]AB2!L:L,MATCH(D30,[1]AB2!B:B,0)),[1]AB3!$AQ$18),[1]AB3!$AR$6))))</f>
        <v>FUT : PRV : 3DLL</v>
      </c>
      <c r="AO30" s="51">
        <f>IF(AND(D32="Futures",AN30=[1]AB3!$AU$6),[1]AB3!$AU$6,IF(AND(D32="Options Sell",AN30=[1]AB3!$AU$12),[1]AB3!$AU$12,IF(AND(D32="Options Buy",AN30=[1]AB3!$AU$18),[1]AB3!$AU$18,I31)))</f>
        <v>0.01</v>
      </c>
      <c r="AP30" s="52">
        <f t="shared" ref="AP30:AP31" si="40">AM30-O30</f>
        <v>4</v>
      </c>
      <c r="AQ30" s="43" t="str">
        <f t="array" ref="AQ30">IF(A30="","",IF(AND(OR(D34="2 &amp; APS",D34="3 &amp; APS",D34="4 &amp; APS",D34="5 &amp; APS"),D32="Futures"),CONCATENATE([1]AB3!$AP$6,INDEX([1]AB2!L:L,MATCH(D30,[1]AB2!B:B,0)),[1]AB3!$AQ$6),IF(AND(OR(D34="2 &amp; APS",D34="3 &amp; APS",D34="4 &amp; APS",D34="5 &amp; APS"),D32="Options Sell"),CONCATENATE([1]AB3!$AP$12,INDEX([1]AB2!M:M,MATCH(D30,[1]AB2!B:B,0)),[1]AB3!$AQ$12),IF(AND(OR(D34="2 &amp; APS",D34="3 &amp; APS",D34="4 &amp; APS",D34="5 &amp; APS"),D32="Options Buy"),CONCATENATE([1]AB3!$AP$18,INDEX([1]AB2!L:L,MATCH(D30,[1]AB2!B:B,0)),[1]AB3!$AQ$18),[1]AB3!$AR$6))))</f>
        <v>FUT : PRV : 3DLL</v>
      </c>
      <c r="AR30" s="51">
        <f>IF(AND(D32="Futures",AQ30=[1]AB3!$AW$6),[1]AB3!$AW$6,IF(AND(D32="Options Sell",AQ30=[1]AB3!$AW$12),[1]AB3!$AW$12,IF(AND(D32="Options Buy",AQ30=[1]AB3!$AW$18),[1]AB3!$AW$18,I31)))</f>
        <v>0.01</v>
      </c>
      <c r="AS30" s="52">
        <f t="shared" ref="AS30:AS31" si="41">AP30-Q30</f>
        <v>3</v>
      </c>
      <c r="AT30" s="43" t="str">
        <f t="array" ref="AT30">IF(A30="","",IF(AND(OR(D34="3 &amp; APS",D34="4 &amp; APS",D34="5 &amp; APS"),D32="Futures"),CONCATENATE([1]AB3!$AP$6,INDEX([1]AB2!L:L,MATCH(D30,[1]AB2!B:B,0)),[1]AB3!$AQ$6),IF(AND(OR(D34="3 &amp; APS",D34="4 &amp; APS",D34="5 &amp; APS"),D32="Options Sell"),CONCATENATE([1]AB3!$AP$12,INDEX([1]AB2!M:M,MATCH(D30,[1]AB2!B:B,0)),[1]AB3!$AQ$12),IF(AND(OR(D34="3 &amp; APS",D34="4 &amp; APS",D34="5 &amp; APS"),D32="Options Buy"),CONCATENATE([1]AB3!$AP$18,INDEX([1]AB2!L:L,MATCH(D30,[1]AB2!B:B,0)),[1]AB3!$AQ$18),[1]AB3!$AR$6))))</f>
        <v>FUT : PRV : 3DLL</v>
      </c>
      <c r="AU30" s="51">
        <f>IF(AND(D32="Futures",AT30=[1]AB3!$AY$6),[1]AB3!$AY$6,IF(AND(D32="Options Sell",AT30=[1]AB3!$AY$12),[1]AB3!$AY$12,IF(AND(D32="Options Buy",AT30=[1]AB3!$AY$18),[1]AB3!$AY$18,I31)))</f>
        <v>0.01</v>
      </c>
      <c r="AV30" s="52">
        <f t="shared" ref="AV30:AV31" si="42">AS30-S30</f>
        <v>2</v>
      </c>
      <c r="AW30" s="43" t="str">
        <f t="array" ref="AW30">IF(A30="","",IF(AND(OR(D34="4 &amp; APS",D34="5 &amp; APS"),D32="Futures"),CONCATENATE([1]AB3!$AP$6,INDEX([1]AB2!L:L,MATCH(D30,[1]AB2!B:B,0)),[1]AB3!$AQ$6),IF(AND(OR(D34="4 &amp; APS",D34="5 &amp; APS"),D32="Options Sell"),CONCATENATE([1]AB3!$AP$12,INDEX([1]AB2!M:M,MATCH(D30,[1]AB2!B:B,0)),[1]AB3!$AQ$12),IF(AND(OR(D34="4 &amp; APS",D34="5 &amp; APS"),D32="Options Buy"),CONCATENATE([1]AB3!$AP$18,INDEX([1]AB2!L:L,MATCH(D30,[1]AB2!B:B,0)),[1]AB3!$AQ$18),[1]AB3!$AR$6))))</f>
        <v>FUT : PRV : 3DLL</v>
      </c>
      <c r="AX30" s="51">
        <f>IF(AND(D32="Futures",AW30=[1]AB3!$BA$6),[1]AB3!$BA$6,IF(AND(D32="Options Sell",AW30=[1]AB3!$BA$12),[1]AB3!$BA$12,IF(AND(D32="Options Buy",AW30=[1]AB3!$BA$18),[1]AB3!$BA$18,I31)))</f>
        <v>0.01</v>
      </c>
      <c r="AY30" s="52">
        <f t="shared" ref="AY30:AY31" si="43">AV30-S30</f>
        <v>1</v>
      </c>
      <c r="AZ30" s="51">
        <f t="array" ref="AZ30">IF(A30="","",IF(AND(D34="5 &amp; APS",D32="Futures"),CONCATENATE([1]AB3!$AP$6,INDEX([1]AB2!L:L,MATCH(D30,[1]AB2!B:B,0)),[1]AB3!$AQ$6),IF(AND(D34="5 &amp; APS",D32="Options Sell"),CONCATENATE([1]AB3!$AP$12,INDEX([1]AB2!M:M,MATCH(D30,[1]AB2!B:B,0)),[1]AB3!$AQ$12),IF(AND(D34="5 &amp; APS",D32="Options Buy"),CONCATENATE([1]AB3!$AP$18,INDEX([1]AB2!L:L,MATCH(D30,[1]AB2!B:B,0)),[1]AB3!$AQ$18),[1]AB3!$AR$6))))</f>
        <v>0</v>
      </c>
      <c r="BA30" s="51">
        <f>IF(AND(D32="Futures",AZ30=[1]AB3!$BC$6),[1]AB3!$BC$6,IF(AND(D32="Options Sell",AZ30=[1]AB3!$BC$12),[1]AB3!$BC$12,IF(AND(D32="Options Buy",AZ30=[1]AB3!$BC$18),[1]AB3!$BC$18,I31)))</f>
        <v>0</v>
      </c>
      <c r="BB30" s="52">
        <f t="shared" ref="BB30:BB31" si="44">AY30-W30</f>
        <v>0</v>
      </c>
      <c r="BC30" s="53"/>
      <c r="BD30" s="54" t="str">
        <f>IF(D32="Futures",[1]AB3!$BE$6,IF(D32="Options Sell",[1]AB3!$BE$12,IF(D32="Options Buy",[1]AB3!$BE$18)))</f>
        <v xml:space="preserve">ORPT </v>
      </c>
      <c r="BE30" s="55">
        <f>IF(D32="Futures",BE33+([1]AB3!$BF$6/1440),IF(D32="Options Sell",BE33+([1]AB3!$BF$12/1440),IF(D32="Options Buy",BE33+([1]AB3!$BF$18/1440))))</f>
        <v>0.38888194444444446</v>
      </c>
      <c r="BF30" s="55">
        <f>IF(D32="Futures",BE33+([1]AB3!$BG$6/1440),IF(D32="Options Sell",BE33+([1]AB3!$BG$12/1440),IF(D32="Options Buy",BE33+([1]AB3!$BG$18/1440))))</f>
        <v>0.38888194444444446</v>
      </c>
      <c r="BG30" s="55">
        <f>IF(D32="Futures",BE33+([1]AB3!$BH$6/1440),IF(D32="Options Sell",BE33+([1]AB3!$BH$12/1440),IF(D32="Options Buy",BE33+([1]AB3!$BH$18/1440))))</f>
        <v>0.38541666666666669</v>
      </c>
      <c r="BH30" s="57"/>
      <c r="BI30" s="44" t="str">
        <f>IF(D32="Futures",[1]AB3!$BJ$6,IF(D32="Options Sell",[1]AB3!$BJ$12,IF(D32="Options Buy",[1]AB3!$BJ$18)))</f>
        <v>Bull / 
Bull CF</v>
      </c>
      <c r="BJ30" s="45" t="str">
        <f>IF(D32="Futures",[1]AB3!$BK$6,IF(D32="Options Sell",[1]AB3!$BK$12,IF(D32="Options Buy",[1]AB3!$BK$18)))</f>
        <v>Long</v>
      </c>
      <c r="BK30" s="46">
        <v>0.01</v>
      </c>
      <c r="BL30" s="46">
        <v>0.01</v>
      </c>
      <c r="BM30" s="57"/>
      <c r="BN30" s="44" t="str">
        <f>IF(D32="Futures",[1]AB3!$BO$6,IF(D32="Options Sell",[1]AB3!$BO$12,IF(D32="Options Buy",[1]AB3!$BO$18)))</f>
        <v>Bull | 
Bull CF</v>
      </c>
      <c r="BO30" s="45" t="str">
        <f>IF(D32="Futures",[1]AB3!$BP$6,IF(D32="Options Sell",[1]AB3!$BP$12,IF(D32="Options Buy",[1]AB3!$BP$18)))</f>
        <v>Call</v>
      </c>
      <c r="BP30" s="43" t="str">
        <f t="array" ref="BP30">IF(A30="","",IF(D32="Futures","",IF(D32="EQUITY","",IF(D32="Options Sell",CONCATENATE([1]AB3!$BQ$12,INDEX([1]AB2!J:J,MATCH(A30,[1]AB2!A:A,0)),[1]AB3!$BR$12),IF(D32="Options Buy",CONCATENATE([1]AB3!$BQ$18,INDEX([1]AB2!J:J,MATCH(A30,[1]AB2!A:A,0)),[1]AB3!$BR$18))))))</f>
        <v/>
      </c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9"/>
      <c r="CL30" s="43"/>
      <c r="CM30" s="43"/>
      <c r="CN30" s="59"/>
      <c r="CO30" s="43"/>
      <c r="CP30" s="43"/>
      <c r="CQ30" s="59"/>
      <c r="CR30" s="43"/>
      <c r="CS30" s="43"/>
      <c r="CT30" s="59"/>
      <c r="CU30" s="55">
        <f>IF(D32="Futures",BE34-([1]AB3!$CG$6/1440),IF(D32="Options Sell",BE34-([1]AB3!$CG$12/1440),IF(D32="Options Buy",BE34-([1]AB3!$CG$18/1440),IF(D32="EQUITY",""))))</f>
        <v>0.625</v>
      </c>
      <c r="CV30" s="59"/>
      <c r="CW30" s="59"/>
    </row>
    <row r="31" spans="1:101" ht="16.5" customHeight="1" x14ac:dyDescent="0.2">
      <c r="A31" s="60"/>
      <c r="B31" s="41" t="str">
        <f>CONCATENATE(D30,IF(D32="Futures",[1]AB3!$B$7,IF(D32="Options Sell",[1]AB3!$B$13,IF(D32="Options Buy",[1]AB3!$B$19))))</f>
        <v>S5B</v>
      </c>
      <c r="C31" s="42" t="str">
        <f>IF(D32="Futures",[1]AB3!$C$7,IF(D32="Options Sell",[1]AB3!$C$13,IF(D32="Options Buy",[1]AB3!$C$19)))</f>
        <v>Unique Code</v>
      </c>
      <c r="D31" s="43" t="str">
        <f t="array" ref="D31">IF(A30="","",INDEX([1]AB2!N:N,MATCH(D30,[1]AB2!B:B,0)))</f>
        <v>STOCKS_FUT_MT_DIFF_2D_3D</v>
      </c>
      <c r="E31" s="32"/>
      <c r="F31" s="61" t="str">
        <f>IF(D32="Futures",[1]AB3!$F$7,IF(D32="Options Sell",[1]AB3!$F$13,IF(D32="Options Buy",[1]AB3!$F$19)))</f>
        <v>Short</v>
      </c>
      <c r="G31" s="43" t="str">
        <f t="array" ref="G31">IF(A30="","",IF(D32="Futures",CONCATENATE([1]AB3!$G$7,INDEX([1]AB2!J:J,MATCH(D30,[1]AB2!B:B,0)),[1]AB3!$H$7),IF(D32="Options Sell",CONCATENATE([1]AB3!$G$13,INDEX([1]AB2!I:I,MATCH(D30,[1]AB2!B:B,0)),[1]AB3!$H$13),IF(D32="Options Buy",CONCATENATE([1]AB3!$G$19,INDEX([1]AB2!J:J,MATCH(D30,[1]AB2!B:B,0)),[1]AB3!$H$19)))))</f>
        <v>FUT : PRV : 3DLL</v>
      </c>
      <c r="H31" s="43" t="str">
        <f>IF(D32="Futures",[1]AB3!$I$7,IF(D32="Options Sell",[1]AB3!$I$13,IF(D32="Options Buy",[1]AB3!$I$19)))</f>
        <v xml:space="preserve"> - </v>
      </c>
      <c r="I31" s="46">
        <v>0.01</v>
      </c>
      <c r="J31" s="47">
        <v>5</v>
      </c>
      <c r="K31" s="48"/>
      <c r="L31" s="43" t="str">
        <f>IF(D32="Futures",[1]AB3!$M$7,IF(D32="Options Sell",[1]AB3!$M$13,IF(D32="Options Buy",[1]AB3!$M$19)))</f>
        <v xml:space="preserve">S : Entry </v>
      </c>
      <c r="M31" s="43" t="str">
        <f>IF(D32="Futures",[1]AB3!$N$7,IF(D32="Options Sell",[1]AB3!$N$13,IF(D32="Options Buy",[1]AB3!$N$19)))</f>
        <v xml:space="preserve"> - </v>
      </c>
      <c r="N31" s="46">
        <v>0.03</v>
      </c>
      <c r="O31" s="47">
        <v>1</v>
      </c>
      <c r="P31" s="46">
        <v>4.4999999999999998E-2</v>
      </c>
      <c r="Q31" s="47">
        <v>1</v>
      </c>
      <c r="R31" s="46">
        <v>0.06</v>
      </c>
      <c r="S31" s="47">
        <v>1</v>
      </c>
      <c r="T31" s="46">
        <v>0.08</v>
      </c>
      <c r="U31" s="47">
        <v>1</v>
      </c>
      <c r="V31" s="50" t="s">
        <v>51</v>
      </c>
      <c r="W31" s="47">
        <v>1</v>
      </c>
      <c r="X31" s="50" t="s">
        <v>52</v>
      </c>
      <c r="Y31" s="50" t="s">
        <v>52</v>
      </c>
      <c r="Z31" s="48"/>
      <c r="AA31" s="43" t="str">
        <f>IF(D32="Futures",[1]AB3!$AD$7,IF(D32="Options Sell",[1]AB3!$AD$13,IF(D32="Options Buy",[1]AB3!$AD$19)))</f>
        <v>Min</v>
      </c>
      <c r="AB31" s="43" t="str">
        <f>IF(D32="Futures",[1]AB3!$AE$7,IF(D32="Options Sell",[1]AB3!$AE$13,IF(D32="Options Buy",[1]AB3!$AE$19)))</f>
        <v>MSL &amp; TSL</v>
      </c>
      <c r="AC31" s="43" t="str">
        <f>IF(D32="Futures",[1]AB3!$AF$7,IF(D32="Options Sell",[1]AB3!$AF$13,IF(D32="Options Buy",[1]AB3!$AF$19)))</f>
        <v>Entry &amp; TRP</v>
      </c>
      <c r="AD31" s="48"/>
      <c r="AE31" s="43" t="str">
        <f>IF(D32="Futures",[1]AB3!$AH$7,IF(D32="Options Sell",[1]AB3!$AH$13,IF(D32="Options Buy",[1]AB3!$AH$19)))</f>
        <v>S : Entry</v>
      </c>
      <c r="AF31" s="43" t="str">
        <f>IF(D32="Futures",[1]AB3!$AI$7,IF(D32="Options Sell",[1]AB3!$AI$13,IF(D32="Options Buy",[1]AB3!$AI$19)))</f>
        <v xml:space="preserve"> + </v>
      </c>
      <c r="AG31" s="46">
        <v>0.03</v>
      </c>
      <c r="AH31" s="46">
        <v>0</v>
      </c>
      <c r="AI31" s="48"/>
      <c r="AJ31" s="43" t="str">
        <f>IF(D32="Futures",[1]AB3!$AO$7,IF(D32="Options Sell",[1]AB3!$AO$13,IF(D32="Options Buy",[1]AB3!$AO$19)))</f>
        <v xml:space="preserve"> + </v>
      </c>
      <c r="AK31" s="43" t="str">
        <f t="array" ref="AK31">IF(A30="","",IF(D32="Futures",CONCATENATE([1]AB3!$AP$7,INDEX([1]AB2!M:M,MATCH(D30,[1]AB2!B:B,0)),[1]AB3!$AQ$7),IF(D32="Options Sell",CONCATENATE([1]AB3!$AP$13,INDEX([1]AB2!L:L,MATCH(D30,[1]AB2!B:B,0)),[1]AB3!$AQ$13),IF(D32="Options Buy",CONCATENATE([1]AB3!$AP$19,INDEX([1]AB2!M:M,MATCH(D30,[1]AB2!B:B,0)),[1]AB3!$AQ$19)))))</f>
        <v>FUT : PRV : 2DHH</v>
      </c>
      <c r="AL31" s="51">
        <f>IF(AND(D32="Futures",AK31=[1]AB3!$AS$7),[1]AB3!$AS$7,IF(AND(D32="Options Sell",AK31=[1]AB3!$AS$13),[1]AB3!$AS$13,IF(AND(D32="Options Buy",AK31=[1]AB3!$AS$19),[1]AB3!$AS$19,I30)))</f>
        <v>0</v>
      </c>
      <c r="AM31" s="52">
        <f>J30</f>
        <v>5</v>
      </c>
      <c r="AN31" s="43" t="str">
        <f t="array" ref="AN31">IF(A30="","",IF(AND(OR(D34="1 &amp; APS",D34="2 &amp; APS",D34="3 &amp; APS",D34="4 &amp; APS",D34="5 &amp; APS"),D32="Futures"),CONCATENATE([1]AB3!$AP$7,INDEX([1]AB2!M:M,MATCH(D30,[1]AB2!B:B,0)),[1]AB3!$AQ$7),IF(AND(OR(D34="1 &amp; APS",D34="2 &amp; APS",D34="3 &amp; APS",D34="4 &amp; APS",D34="5 &amp; APS"),D32="Options Sell"),CONCATENATE([1]AB3!$AP$13,INDEX([1]AB2!L:L,MATCH(D30,[1]AB2!B:B,0)),[1]AB3!$AQ$13),IF(AND(OR(D34="1 &amp; APS",D34="2 &amp; APS",D34="3 &amp; APS",D34="4 &amp; APS",D34="5 &amp; APS"),D32="Options Buy"),CONCATENATE([1]AB3!$AP$19,INDEX([1]AB2!M:M,MATCH(D30,[1]AB2!B:B,0)),[1]AB3!$AQ$19),[1]AB3!$AR$6))))</f>
        <v>FUT : PRV : 2DHH</v>
      </c>
      <c r="AO31" s="51">
        <f>IF(AND(D32="Futures",AN31=[1]AB3!$AU$7),[1]AB3!$AU$7,IF(AND(D32="Options Sell",AN31=[1]AB3!$AU$13),[1]AB3!$AU$13,IF(AND(D32="Options Buy",AN31=[1]AB3!$AU$19),[1]AB3!$AU$19,I30)))</f>
        <v>0</v>
      </c>
      <c r="AP31" s="52">
        <f t="shared" si="40"/>
        <v>4</v>
      </c>
      <c r="AQ31" s="43" t="str">
        <f t="array" ref="AQ31">IF(A30="","",IF(AND(OR(D34="2 &amp; APS",D34="3 &amp; APS",D34="4 &amp; APS",D34="5 &amp; APS"),D32="Futures"),CONCATENATE([1]AB3!$AP$7,INDEX([1]AB2!M:M,MATCH(D30,[1]AB2!B:B,0)),[1]AB3!$AQ$7),IF(AND(OR(D34="2 &amp; APS",D34="3 &amp; APS",D34="4 &amp; APS",D34="5 &amp; APS"),D32="Options Sell"),CONCATENATE([1]AB3!$AP$13,INDEX([1]AB2!L:L,MATCH(D30,[1]AB2!B:B,0)),[1]AB3!$AQ$13),IF(AND(OR(D34="2 &amp; APS",D34="3 &amp; APS",D34="4 &amp; APS",D34="5 &amp; APS"),D32="Options Buy"),CONCATENATE([1]AB3!$AP$19,INDEX([1]AB2!M:M,MATCH(D30,[1]AB2!B:B,0)),[1]AB3!$AQ$19),[1]AB3!$AR$6))))</f>
        <v>FUT : PRV : 2DHH</v>
      </c>
      <c r="AR31" s="51">
        <f>IF(AND(D32="Futures",AQ31=[1]AB3!$AW$7),[1]AB3!$AW$7,IF(AND(D32="Options Sell",AQ31=[1]AB3!$AW$13),[1]AB3!$AW$13,IF(AND(D32="Options Buy",AQ31=[1]AB3!$AW$19),[1]AB3!$AW$19,I30)))</f>
        <v>0</v>
      </c>
      <c r="AS31" s="52">
        <f t="shared" si="41"/>
        <v>3</v>
      </c>
      <c r="AT31" s="43" t="str">
        <f t="array" ref="AT31">IF(A30="","",IF(AND(OR(D34="3 &amp; APS",D34="4 &amp; APS",D34="5 &amp; APS"),D32="Futures"),CONCATENATE([1]AB3!$AP$7,INDEX([1]AB2!M:M,MATCH(D30,[1]AB2!B:B,0)),[1]AB3!$AQ$7),IF(AND(OR(D34="3 &amp; APS",D34="4 &amp; APS",D34="5 &amp; APS"),D32="Options Sell"),CONCATENATE([1]AB3!$AP$13,INDEX([1]AB2!L:L,MATCH(D30,[1]AB2!B:B,0)),[1]AB3!$AQ$13),IF(AND(OR(D34="3 &amp; APS",D34="4 &amp; APS",D34="5 &amp; APS"),D32="Options Buy"),CONCATENATE([1]AB3!$AP$19,INDEX([1]AB2!M:M,MATCH(D30,[1]AB2!B:B,0)),[1]AB3!$AQ$19),[1]AB3!$AR$6))))</f>
        <v>FUT : PRV : 2DHH</v>
      </c>
      <c r="AU31" s="51">
        <f>IF(AND(D32="Futures",AT31=[1]AB3!$AY$7),[1]AB3!$AY$7,IF(AND(D32="Options Sell",AT31=[1]AB3!$AY$13),[1]AB3!$AY$13,IF(AND(D32="Options Buy",AT31=[1]AB3!$AY$19),[1]AB3!$AY$19,I30)))</f>
        <v>0</v>
      </c>
      <c r="AV31" s="52">
        <f t="shared" si="42"/>
        <v>2</v>
      </c>
      <c r="AW31" s="43" t="str">
        <f t="array" ref="AW31">IF(A30="","",IF(AND(OR(D34="4 &amp; APS",D34="5 &amp; APS"),D32="Futures"),CONCATENATE([1]AB3!$AP$7,INDEX([1]AB2!M:M,MATCH(D30,[1]AB2!B:B,0)),[1]AB3!$AQ$7),IF(AND(OR(D34="4 &amp; APS",D34="5 &amp; APS"),D32="Options Sell"),CONCATENATE([1]AB3!$AP$13,INDEX([1]AB2!L:L,MATCH(D30,[1]AB2!B:B,0)),[1]AB3!$AQ$13),IF(AND(OR(D34="4 &amp; APS",D34="5 &amp; APS"),D32="Options Buy"),CONCATENATE([1]AB3!$AP$19,INDEX([1]AB2!M:M,MATCH(D30,[1]AB2!B:B,0)),[1]AB3!$AQ$19),[1]AB3!$AR$6))))</f>
        <v>FUT : PRV : 2DHH</v>
      </c>
      <c r="AX31" s="51">
        <f>IF(AND(D32="Futures",AW31=[1]AB3!$BA$7),[1]AB3!$BA$7,IF(AND(D32="Options Sell",AW31=[1]AB3!$BA$13),[1]AB3!$BA$13,IF(AND(D32="Options Buy",AW31=[1]AB3!$BA$19),[1]AB3!$BA$19,I30)))</f>
        <v>0</v>
      </c>
      <c r="AY31" s="52">
        <f t="shared" si="43"/>
        <v>1</v>
      </c>
      <c r="AZ31" s="51">
        <f t="array" ref="AZ31">IF(A30="","",IF(AND(D34="5 &amp; APS",D32="Futures"),CONCATENATE([1]AB3!$AP$7,INDEX([1]AB2!M:M,MATCH(D30,[1]AB2!B:B,0)),[1]AB3!$AQ$7),IF(AND(D34="5 &amp; APS",D32="Options Sell"),CONCATENATE([1]AB3!$AP$13,INDEX([1]AB2!L:L,MATCH(D30,[1]AB2!B:B,0)),[1]AB3!$AQ$13),IF(AND(D34="5 &amp; APS",D32="Options Buy"),CONCATENATE([1]AB3!$AP$19,INDEX([1]AB2!M:M,MATCH(D30,[1]AB2!B:B,0)),[1]AB3!$AQ$19),[1]AB3!$AR$6))))</f>
        <v>0</v>
      </c>
      <c r="BA31" s="51">
        <f>IF(AND(D32="Futures",AZ31=[1]AB3!$BC$7),[1]AB3!$BC$7,IF(AND(D32="Options Sell",AZ31=[1]AB3!$BC$13),[1]AB3!$BC$13,IF(AND(D32="Options Buy",AZ31=[1]AB3!$BC$19),[1]AB3!$BC$19,I30)))</f>
        <v>0</v>
      </c>
      <c r="BB31" s="52">
        <f t="shared" si="44"/>
        <v>0</v>
      </c>
      <c r="BC31" s="53"/>
      <c r="BD31" s="54" t="str">
        <f>IF(D32="Futures",[1]AB3!$BE$7,IF(D32="Options Sell",[1]AB3!$BE$13,IF(D32="Options Buy",[1]AB3!$BE$19)))</f>
        <v xml:space="preserve"> RC. Time</v>
      </c>
      <c r="BE31" s="55">
        <f>IF(D32="Futures",BE33+([1]AB3!$BF$7/1440),IF(D32="Options Sell",BE33+([1]AB3!$BF$13/1440),IF(D32="Options Buy",BE33+([1]AB3!$BF$19/1440))))</f>
        <v>0.39582638888888888</v>
      </c>
      <c r="BF31" s="55">
        <f>IF(D32="Futures",BE33+([1]AB3!$BG$7/1440),IF(D32="Options Sell",BE33+([1]AB3!$BG$13/1440),IF(D32="Options Buy",BE33+([1]AB3!$BG$19/1440))))</f>
        <v>0.39582638888888888</v>
      </c>
      <c r="BG31" s="55" t="str">
        <f>IF(D32="Futures",[1]AB3!$BH$7,IF(D32="Options Sell",[1]AB3!$BH$7,IF(D32="Options Buy",[1]AB3!$BH$7)))</f>
        <v>N.A.</v>
      </c>
      <c r="BH31" s="57"/>
      <c r="BI31" s="32"/>
      <c r="BJ31" s="61" t="str">
        <f>IF(D32="Futures",[1]AB3!$BK$7,IF(D32="Options Sell",[1]AB3!$BK$13,IF(D32="Options Buy",[1]AB3!$BK$19)))</f>
        <v>Short</v>
      </c>
      <c r="BK31" s="46">
        <v>0.01</v>
      </c>
      <c r="BL31" s="46">
        <v>0.01</v>
      </c>
      <c r="BM31" s="57"/>
      <c r="BN31" s="32"/>
      <c r="BO31" s="61" t="str">
        <f>IF(D32="Futures",[1]AB3!$BP$7,IF(D32="Options Sell",[1]AB3!$BP$13,IF(D32="Options Buy",[1]AB3!$BP$19)))</f>
        <v>Put</v>
      </c>
      <c r="BP31" s="43" t="str">
        <f t="array" ref="BP31">IF(A30="","",IF(D32="Futures","",IF(D32="EQUITY","",IF(D32="Options Sell",CONCATENATE([1]AB3!$BQ$13,INDEX([1]AB2!I:I,MATCH(A30,[1]AB2!A:A,0)),[1]AB3!$BR$13),IF(D32="Options Buy",CONCATENATE([1]AB3!$BQ$19,INDEX([1]AB2!I:I,MATCH(A30,[1]AB2!A:A,0)),[1]AB3!$BR$19))))))</f>
        <v/>
      </c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9"/>
      <c r="CL31" s="43"/>
      <c r="CM31" s="43"/>
      <c r="CN31" s="59"/>
      <c r="CO31" s="43"/>
      <c r="CP31" s="43"/>
      <c r="CQ31" s="59"/>
      <c r="CR31" s="43"/>
      <c r="CS31" s="43"/>
      <c r="CT31" s="59"/>
      <c r="CU31" s="43"/>
      <c r="CV31" s="59"/>
      <c r="CW31" s="59"/>
    </row>
    <row r="32" spans="1:101" ht="16.5" customHeight="1" x14ac:dyDescent="0.2">
      <c r="A32" s="60"/>
      <c r="B32" s="41" t="str">
        <f>CONCATENATE(D30,IF(D32="Futures",[1]AB3!$B$8,IF(D32="Options Sell",[1]AB3!$B$14,IF(D32="Options Buy",[1]AB3!$B$20))))</f>
        <v>S5C</v>
      </c>
      <c r="C32" s="42" t="str">
        <f>IF(D32="Futures",[1]AB3!$C$8,IF(D32="Options Sell",[1]AB3!$C$14,IF(D32="Options Buy",[1]AB3!$C$20)))</f>
        <v>Segment</v>
      </c>
      <c r="D32" s="43" t="str">
        <f t="array" ref="D32">IF(A30="","",INDEX([1]AB2!C:C,MATCH(D30,[1]AB2!B:B,0)))</f>
        <v>FUTURES</v>
      </c>
      <c r="E32" s="42" t="str">
        <f>IF(D32="Futures",[1]AB3!$E$8,IF(D32="Options Sell",[1]AB3!$E$14,IF(D32="Options Buy",[1]AB3!$E$20)))</f>
        <v>Contract</v>
      </c>
      <c r="F32" s="43" t="str">
        <f t="array" ref="F32">IF(A30="","",INDEX([1]AB2!F:F,MATCH(D30,[1]AB2!B:B,0)))</f>
        <v>MONTHLY</v>
      </c>
      <c r="G32" s="62"/>
      <c r="H32" s="62"/>
      <c r="I32" s="63"/>
      <c r="J32" s="64"/>
      <c r="K32" s="48"/>
      <c r="L32" s="62"/>
      <c r="M32" s="62"/>
      <c r="N32" s="63"/>
      <c r="O32" s="64"/>
      <c r="P32" s="63"/>
      <c r="Q32" s="64"/>
      <c r="R32" s="63"/>
      <c r="S32" s="64"/>
      <c r="T32" s="63"/>
      <c r="U32" s="64"/>
      <c r="V32" s="63"/>
      <c r="W32" s="64"/>
      <c r="X32" s="63"/>
      <c r="Y32" s="63"/>
      <c r="Z32" s="48"/>
      <c r="AA32" s="62"/>
      <c r="AB32" s="62"/>
      <c r="AC32" s="62"/>
      <c r="AD32" s="48"/>
      <c r="AE32" s="62"/>
      <c r="AF32" s="62"/>
      <c r="AG32" s="63"/>
      <c r="AH32" s="63"/>
      <c r="AI32" s="48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53"/>
      <c r="BD32" s="57"/>
      <c r="BE32" s="57"/>
      <c r="BF32" s="57"/>
      <c r="BG32" s="57"/>
      <c r="BH32" s="57"/>
      <c r="BI32" s="66"/>
      <c r="BJ32" s="62"/>
      <c r="BK32" s="63"/>
      <c r="BL32" s="63"/>
      <c r="BM32" s="57"/>
      <c r="BN32" s="66"/>
      <c r="BO32" s="62"/>
      <c r="BP32" s="62"/>
      <c r="BQ32" s="62"/>
      <c r="BR32" s="62"/>
      <c r="BS32" s="62"/>
      <c r="BT32" s="62"/>
      <c r="BU32" s="62"/>
      <c r="BV32" s="62"/>
      <c r="BW32" s="62"/>
      <c r="BX32" s="62"/>
      <c r="BY32" s="62"/>
      <c r="BZ32" s="62"/>
      <c r="CA32" s="62"/>
      <c r="CB32" s="62"/>
      <c r="CC32" s="62"/>
      <c r="CD32" s="62"/>
      <c r="CE32" s="62"/>
      <c r="CF32" s="62"/>
      <c r="CG32" s="62"/>
      <c r="CH32" s="62"/>
      <c r="CI32" s="62"/>
      <c r="CJ32" s="62"/>
      <c r="CK32" s="59"/>
      <c r="CL32" s="62"/>
      <c r="CM32" s="62"/>
      <c r="CN32" s="59"/>
      <c r="CO32" s="62"/>
      <c r="CP32" s="62"/>
      <c r="CQ32" s="59"/>
      <c r="CR32" s="62"/>
      <c r="CS32" s="62"/>
      <c r="CT32" s="59"/>
      <c r="CU32" s="62"/>
      <c r="CV32" s="59"/>
      <c r="CW32" s="59"/>
    </row>
    <row r="33" spans="1:101" ht="16.5" customHeight="1" x14ac:dyDescent="0.2">
      <c r="A33" s="60"/>
      <c r="B33" s="41" t="str">
        <f>CONCATENATE(D30,IF(D32="Futures",[1]AB3!$B$9,IF(D32="Options Sell",[1]AB3!$B$15,IF(D32="Options Buy",[1]AB3!$B$21))))</f>
        <v>S5D</v>
      </c>
      <c r="C33" s="42" t="str">
        <f>IF(D32="Futures",[1]AB3!$C$9,IF(D32="Options Sell",[1]AB3!$C$15,IF(D32="Options Buy",[1]AB3!$C$21)))</f>
        <v>Symbol</v>
      </c>
      <c r="D33" s="43" t="str">
        <f t="array" ref="D33">IF(A30="","",INDEX([1]AB2!E:E,MATCH(D30,[1]AB2!B:B,0)))</f>
        <v>STOCKS</v>
      </c>
      <c r="E33" s="44" t="str">
        <f>IF(D32="Futures",[1]AB3!$E$9,IF(D32="Options Sell",[1]AB3!$E$15,IF(D32="Options Buy",[1]AB3!$E$21)))</f>
        <v>Bear / 
Bear CF</v>
      </c>
      <c r="F33" s="45" t="str">
        <f>IF(D32="Futures",[1]AB3!$F$9,IF(D32="Options Sell",[1]AB3!$F$15,IF(D32="Options Buy",[1]AB3!$F$21)))</f>
        <v>Long</v>
      </c>
      <c r="G33" s="43" t="str">
        <f t="array" ref="G33">IF(A30="","",IF(D32="Futures",CONCATENATE([1]AB3!$G$9,INDEX([1]AB2!J:J,MATCH(D30,[1]AB2!B:B,0)),[1]AB3!$H$9),IF(D32="Options Sell",CONCATENATE([1]AB3!$G$15,INDEX([1]AB2!I:I,MATCH(D30,[1]AB2!B:B,0)),[1]AB3!$H$15),IF(D32="Options Buy",CONCATENATE([1]AB3!$G$21,INDEX([1]AB2!J:J,MATCH(D30,[1]AB2!B:B,0)),[1]AB3!$H$21)))))</f>
        <v>FUT : PRV : 3DHH</v>
      </c>
      <c r="H33" s="43" t="str">
        <f>IF(D32="Futures",[1]AB3!$I$9,IF(D32="Options Sell",[1]AB3!$I$15,IF(D32="Options Buy",[1]AB3!$I$21)))</f>
        <v xml:space="preserve"> + </v>
      </c>
      <c r="I33" s="46">
        <v>0.01</v>
      </c>
      <c r="J33" s="47">
        <v>5</v>
      </c>
      <c r="K33" s="48"/>
      <c r="L33" s="43" t="str">
        <f>IF(D32="Futures",[1]AB3!$M$9,IF(D32="Options Sell",[1]AB3!$M$15,IF(D32="Options Buy",[1]AB3!$M$21)))</f>
        <v xml:space="preserve">L : Entry </v>
      </c>
      <c r="M33" s="43" t="str">
        <f>IF(D32="Futures",[1]AB3!$N$9,IF(D32="Options Sell",[1]AB3!$N$15,IF(D32="Options Buy",[1]AB3!$N$21)))</f>
        <v xml:space="preserve"> + </v>
      </c>
      <c r="N33" s="46">
        <v>0.03</v>
      </c>
      <c r="O33" s="47">
        <v>1</v>
      </c>
      <c r="P33" s="46">
        <v>4.4999999999999998E-2</v>
      </c>
      <c r="Q33" s="47">
        <v>1</v>
      </c>
      <c r="R33" s="46">
        <v>0.06</v>
      </c>
      <c r="S33" s="47">
        <v>1</v>
      </c>
      <c r="T33" s="46">
        <v>0.08</v>
      </c>
      <c r="U33" s="47">
        <v>1</v>
      </c>
      <c r="V33" s="50" t="s">
        <v>51</v>
      </c>
      <c r="W33" s="47">
        <v>1</v>
      </c>
      <c r="X33" s="50" t="s">
        <v>52</v>
      </c>
      <c r="Y33" s="50" t="s">
        <v>52</v>
      </c>
      <c r="Z33" s="48"/>
      <c r="AA33" s="43" t="str">
        <f>IF(D32="Futures",[1]AB3!$AD$9,IF(D32="Options Sell",[1]AB3!$AD$15,IF(D32="Options Buy",[1]AB3!$AD$21)))</f>
        <v>Max</v>
      </c>
      <c r="AB33" s="43" t="str">
        <f>IF(D32="Futures",[1]AB3!$AE$9,IF(D32="Options Sell",[1]AB3!$AE$15,IF(D32="Options Buy",[1]AB3!$AE$21)))</f>
        <v>MSL &amp; TSL</v>
      </c>
      <c r="AC33" s="43" t="str">
        <f>IF(D32="Futures",[1]AB3!$AF$9,IF(D32="Options Sell",[1]AB3!$AF$15,IF(D32="Options Buy",[1]AB3!$AF$21)))</f>
        <v>Entry &amp; TRP</v>
      </c>
      <c r="AD33" s="48"/>
      <c r="AE33" s="43" t="str">
        <f>IF(D32="Futures",[1]AB3!$AH$9,IF(D32="Options Sell",[1]AB3!$AH$15,IF(D32="Options Buy",[1]AB3!$AH$21)))</f>
        <v>L : Entry</v>
      </c>
      <c r="AF33" s="43" t="str">
        <f>IF(D32="Futures",[1]AB3!$AI$9,IF(D32="Options Sell",[1]AB3!$AI$15,IF(D32="Options Buy",[1]AB3!$AI$21)))</f>
        <v xml:space="preserve"> - </v>
      </c>
      <c r="AG33" s="46">
        <v>0.03</v>
      </c>
      <c r="AH33" s="46">
        <v>0</v>
      </c>
      <c r="AI33" s="48"/>
      <c r="AJ33" s="43" t="str">
        <f>IF(D32="Futures",[1]AB3!$AO$9,IF(D32="Options Sell",[1]AB3!$AO$15,IF(D32="Options Buy",[1]AB3!$AO$21)))</f>
        <v xml:space="preserve"> - </v>
      </c>
      <c r="AK33" s="43" t="str">
        <f t="array" ref="AK33">IF(A30="","",IF(D32="Futures",CONCATENATE([1]AB3!$AP$9,INDEX([1]AB2!M:M,MATCH(D30,[1]AB2!B:B,0)),[1]AB3!$AQ$9),IF(D32="Options Sell",CONCATENATE([1]AB3!$AP$15,INDEX([1]AB2!L:L,MATCH(D30,[1]AB2!B:B,0)),[1]AB3!$AQ$15),IF(D32="Options Buy",CONCATENATE([1]AB3!$AP$21,INDEX([1]AB2!M:M,MATCH(D30,[1]AB2!B:B,0)),[1]AB3!$AQ$21)))))</f>
        <v>FUT : PRV : 2DLL</v>
      </c>
      <c r="AL33" s="51">
        <f>IF(AND(D32="Futures",AK33=[1]AB3!$AS$9),[1]AB3!$AS$9,IF(AND(D32="Options Sell",AK33=[1]AB3!$AS$15),[1]AB3!$AS$15,IF(AND(D32="Options Buy",AK33=[1]AB3!$AS$21),[1]AB3!$AS$21,I34)))</f>
        <v>0</v>
      </c>
      <c r="AM33" s="52">
        <f>J34</f>
        <v>5</v>
      </c>
      <c r="AN33" s="43" t="str">
        <f t="array" ref="AN33">IF(A30="","",IF(AND(OR(D34="1 &amp; APS",D34="2 &amp; APS",D34="3 &amp; APS",D34="4 &amp; APS",D34="5 &amp; APS"),D32="Futures"),CONCATENATE([1]AB3!$AP$9,INDEX([1]AB2!M:M,MATCH(D30,[1]AB2!B:B,0)),[1]AB3!$AQ$9),IF(AND(OR(D34="1 &amp; APS",D34="2 &amp; APS",D34="3 &amp; APS",D34="4 &amp; APS",D34="5 &amp; APS"),D32="Options Sell"),CONCATENATE([1]AB3!$AP$15,INDEX([1]AB2!L:L,MATCH(D30,[1]AB2!B:B,0)),[1]AB3!$AQ$15),IF(AND(OR(D34="1 &amp; APS",D34="2 &amp; APS",D34="3 &amp; APS",D34="4 &amp; APS",D34="5 &amp; APS"),D32="Options Buy"),CONCATENATE([1]AB3!$AP$21,INDEX([1]AB2!M:M,MATCH(D30,[1]AB2!B:B,0)),[1]AB3!$AQ$21),[1]AB3!$AR$6))))</f>
        <v>FUT : PRV : 2DLL</v>
      </c>
      <c r="AO33" s="51">
        <f>IF(AND(D32="Futures",AN33=[1]AB3!$AU$9),[1]AB3!$AU$9,IF(AND(D32="Options Sell",AN33=[1]AB3!$AU$15),[1]AB3!$AU$15,IF(AND(D32="Options Buy",AN33=[1]AB3!$AU$21),[1]AB3!$AU$21,I34)))</f>
        <v>0</v>
      </c>
      <c r="AP33" s="52">
        <f t="shared" ref="AP33:AP34" si="45">AM33-O33</f>
        <v>4</v>
      </c>
      <c r="AQ33" s="43" t="str">
        <f t="array" ref="AQ33">IF(A30="","",IF(AND(OR(D34="2 &amp; APS",D34="3 &amp; APS",D34="4 &amp; APS",D34="5 &amp; APS"),D32="Futures"),CONCATENATE([1]AB3!$AP$9,INDEX([1]AB2!M:M,MATCH(D30,[1]AB2!B:B,0)),[1]AB3!$AQ$9),IF(AND(OR(D34="2 &amp; APS",D34="3 &amp; APS",D34="4 &amp; APS",D34="5 &amp; APS"),D32="Options Sell"),CONCATENATE([1]AB3!$AP$15,INDEX([1]AB2!L:L,MATCH(D30,[1]AB2!B:B,0)),[1]AB3!$AQ$15),IF(AND(OR(D34="2 &amp; APS",D34="3 &amp; APS",D34="4 &amp; APS",D34="5 &amp; APS"),D32="Options Buy"),CONCATENATE([1]AB3!$AP$21,INDEX([1]AB2!M:M,MATCH(D30,[1]AB2!B:B,0)),[1]AB3!$AQ$21),[1]AB3!$AR$6))))</f>
        <v>FUT : PRV : 2DLL</v>
      </c>
      <c r="AR33" s="51">
        <f>IF(AND(D32="Futures",AQ33=[1]AB3!$AW$9),[1]AB3!$AW$9,IF(AND(D32="Options Sell",AQ33=[1]AB3!$AW$15),[1]AB3!$AW$15,IF(AND(D32="Options Buy",AQ33=[1]AB3!$AW$21),[1]AB3!$AW$21,I34)))</f>
        <v>0</v>
      </c>
      <c r="AS33" s="52">
        <f t="shared" ref="AS33:AS34" si="46">AP33-Q33</f>
        <v>3</v>
      </c>
      <c r="AT33" s="43" t="str">
        <f t="array" ref="AT33">IF(A30="","",IF(AND(OR(D34="3 &amp; APS",D34="4 &amp; APS",D34="5 &amp; APS"),D32="Futures"),CONCATENATE([1]AB3!$AP$9,INDEX([1]AB2!M:M,MATCH(D30,[1]AB2!B:B,0)),[1]AB3!$AQ$9),IF(AND(OR(D34="3 &amp; APS",D34="4 &amp; APS",D34="5 &amp; APS"),D32="Options Sell"),CONCATENATE([1]AB3!$AP$15,INDEX([1]AB2!L:L,MATCH(D30,[1]AB2!B:B,0)),[1]AB3!$AQ$15),IF(AND(OR(D34="3 &amp; APS",D34="4 &amp; APS",D34="5 &amp; APS"),D32="Options Buy"),CONCATENATE([1]AB3!$AP$21,INDEX([1]AB2!M:M,MATCH(D30,[1]AB2!B:B,0)),[1]AB3!$AQ$21),[1]AB3!$AR$6))))</f>
        <v>FUT : PRV : 2DLL</v>
      </c>
      <c r="AU33" s="51">
        <f>IF(AND(D32="Futures",AT33=[1]AB3!$AY$9),[1]AB3!$AY$9,IF(AND(D32="Options Sell",AT33=[1]AB3!$AY$15),[1]AB3!$AY$15,IF(AND(D32="Options Buy",AT33=[1]AB3!$AY$21),[1]AB3!$AY$21,I34)))</f>
        <v>0</v>
      </c>
      <c r="AV33" s="52">
        <f t="shared" ref="AV33:AV34" si="47">AS33-S33</f>
        <v>2</v>
      </c>
      <c r="AW33" s="43" t="str">
        <f t="array" ref="AW33">IF(A30="","",IF(AND(OR(D34="4 &amp; APS",D34="5 &amp; APS"),D32="Futures"),CONCATENATE([1]AB3!$AP$9,INDEX([1]AB2!M:M,MATCH(D30,[1]AB2!B:B,0)),[1]AB3!$AQ$9),IF(AND(OR(D34="4 &amp; APS",D34="5 &amp; APS"),D32="Options Sell"),CONCATENATE([1]AB3!$AP$15,INDEX([1]AB2!L:L,MATCH(D30,[1]AB2!B:B,0)),[1]AB3!$AQ$15),IF(AND(OR(D34="4 &amp; APS",D34="5 &amp; APS"),D32="Options Buy"),CONCATENATE([1]AB3!$AP$21,INDEX([1]AB2!M:M,MATCH(D30,[1]AB2!B:B,0)),[1]AB3!$AQ$21),[1]AB3!$AR$6))))</f>
        <v>FUT : PRV : 2DLL</v>
      </c>
      <c r="AX33" s="51">
        <f>IF(AND(D32="Futures",AW33=[1]AB3!$BA$9),[1]AB3!$BA$9,IF(AND(D32="Options Sell",AW33=[1]AB3!$BA$15),[1]AB3!$BA$15,IF(AND(D32="Options Buy",AW33=[1]AB3!$BA$21),[1]AB3!$BA$21,I34)))</f>
        <v>0</v>
      </c>
      <c r="AY33" s="52">
        <f t="shared" ref="AY33:AY34" si="48">AV33-S33</f>
        <v>1</v>
      </c>
      <c r="AZ33" s="51">
        <f t="array" ref="AZ33">IF(A30="","",IF(AND(D34="5 &amp; APS",D32="Futures"),CONCATENATE([1]AB3!$AP$9,INDEX([1]AB2!M:M,MATCH(D30,[1]AB2!B:B,0)),[1]AB3!$AQ$9),IF(AND(D34="5 &amp; APS",D32="Options Sell"),CONCATENATE([1]AB3!$AP$15,INDEX([1]AB2!L:L,MATCH(D30,[1]AB2!B:B,0)),[1]AB3!$AQ$15),IF(AND(D34="5 &amp; APS",D32="Options Buy"),CONCATENATE([1]AB3!$AP$21,INDEX([1]AB2!M:M,MATCH(D30,[1]AB2!B:B,0)),[1]AB3!$AQ$21),[1]AB3!$AR$6))))</f>
        <v>0</v>
      </c>
      <c r="BA33" s="51">
        <f>IF(AND(D32="Futures",AZ33=[1]AB3!$BC$9),[1]AB3!$BC$9,IF(AND(D32="Options Sell",AZ33=[1]AB3!$BC$15),[1]AB3!$BC$15,IF(AND(D32="Options Buy",AZ33=[1]AB3!$BC$21),[1]AB3!$BC$21,I34)))</f>
        <v>0</v>
      </c>
      <c r="BB33" s="52">
        <f t="shared" ref="BB33:BB34" si="49">AY33-W33</f>
        <v>0</v>
      </c>
      <c r="BC33" s="53"/>
      <c r="BD33" s="54" t="str">
        <f>IF(D32="Futures",[1]AB3!$BE$9,IF(D32="Options Sell",[1]AB3!$BE$15,IF(D32="Options Buy",[1]AB3!$BE$21)))</f>
        <v>Market Start Time</v>
      </c>
      <c r="BE33" s="67">
        <f t="array" ref="BE33">IF(D30="","",INDEX([1]AB2!AG:AG,MATCH(D30,[1]AB2!B:B,0)))</f>
        <v>0.38541666666666669</v>
      </c>
      <c r="BF33" s="11"/>
      <c r="BG33" s="12"/>
      <c r="BH33" s="57"/>
      <c r="BI33" s="68" t="str">
        <f>IF(D32="Futures",[1]AB3!$BJ$9,IF(D32="Options Sell",[1]AB3!$BJ$15,IF(D32="Options Buy",[1]AB3!$BJ$21)))</f>
        <v>Bear / 
Bear CF</v>
      </c>
      <c r="BJ33" s="45" t="str">
        <f>IF(D32="Futures",[1]AB3!$BK$9,IF(D32="Options Sell",[1]AB3!$BK$15,IF(D32="Options Buy",[1]AB3!$BK$21)))</f>
        <v>Long</v>
      </c>
      <c r="BK33" s="46">
        <v>0.01</v>
      </c>
      <c r="BL33" s="46">
        <v>0.01</v>
      </c>
      <c r="BM33" s="57"/>
      <c r="BN33" s="68" t="str">
        <f>IF(D32="Futures",[1]AB3!$BO$9,IF(D32="Options Sell",[1]AB3!$BO$15,IF(D32="Options Buy",[1]AB3!$BO$21)))</f>
        <v>Bear | 
Bear CF</v>
      </c>
      <c r="BO33" s="45" t="str">
        <f>IF(D32="Futures",[1]AB3!$BP$9,IF(D32="Options Sell",[1]AB3!$BP$15,IF(D32="Options Buy",[1]AB3!$BP$21)))</f>
        <v>Call</v>
      </c>
      <c r="BP33" s="43" t="str">
        <f t="array" ref="BP33">IF(A30="","",IF(D32="Futures","",IF(D32="EQUITY","",IF(D32="Options Sell",CONCATENATE([1]AB3!$BQ$15,INDEX([1]AB2!I:I,MATCH(A30,[1]AB2!A:A,0)),[1]AB3!$BR$15),IF(D32="Options Buy",CONCATENATE([1]AB3!$BQ$21,INDEX([1]AB2!I:I,MATCH(A30,[1]AB2!A:A,0)),[1]AB3!$BR$21))))))</f>
        <v/>
      </c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9"/>
      <c r="CL33" s="43"/>
      <c r="CM33" s="43"/>
      <c r="CN33" s="59"/>
      <c r="CO33" s="43"/>
      <c r="CP33" s="43"/>
      <c r="CQ33" s="59"/>
      <c r="CR33" s="43"/>
      <c r="CS33" s="43"/>
      <c r="CT33" s="59"/>
      <c r="CU33" s="43"/>
      <c r="CV33" s="59"/>
      <c r="CW33" s="59"/>
    </row>
    <row r="34" spans="1:101" ht="16.5" customHeight="1" x14ac:dyDescent="0.2">
      <c r="A34" s="32"/>
      <c r="B34" s="41" t="str">
        <f>CONCATENATE(D30,IF(D32="Futures",[1]AB3!$B$10,IF(D32="Options Sell",[1]AB3!$B$16,IF(D32="Options Buy",[1]AB3!$B$22))))</f>
        <v>S5E</v>
      </c>
      <c r="C34" s="42" t="str">
        <f>IF(D32="Futures",[1]AB3!$C$10,IF(D32="Options Sell",[1]AB3!$C$16,IF(D32="Options Buy",[1]AB3!$C$22)))</f>
        <v>No. of Targets</v>
      </c>
      <c r="D34" s="43" t="str">
        <f t="array" ref="D34">IF(A30="","",INDEX([1]AB2!K:K,MATCH(D30,[1]AB2!B:B,0)))</f>
        <v>4 &amp; APS</v>
      </c>
      <c r="E34" s="32"/>
      <c r="F34" s="61" t="str">
        <f>IF(D32="Futures",[1]AB3!$F$10,IF(D32="Options Sell",[1]AB3!$F$16,IF(D32="Options Buy",[1]AB3!$F$22)))</f>
        <v>Short</v>
      </c>
      <c r="G34" s="43" t="str">
        <f t="array" ref="G34">(IF(A30="","",IF(D32="Futures",CONCATENATE([1]AB3!$G$10,INDEX([1]AB2!I:I,MATCH(D30,[1]AB2!B:B,0)),[1]AB3!$H$10),IF(D32="Options Sell",CONCATENATE([1]AB3!$G$16,INDEX([1]AB2!J:J,MATCH(D30,[1]AB2!B:B,0)),[1]AB3!$H$16),IF(D32="Options Buy",CONCATENATE([1]AB3!$G$22,INDEX([1]AB2!I:I,MATCH(D30,[1]AB2!B:B,0)),[1]AB3!$H$22))))))</f>
        <v>FUT : PRV : 2DLL</v>
      </c>
      <c r="H34" s="43" t="str">
        <f>IF(D32="Futures",[1]AB3!$I$10,IF(D32="Options Sell",[1]AB3!$I$16,IF(D32="Options Buy",[1]AB3!$I$22)))</f>
        <v xml:space="preserve"> - </v>
      </c>
      <c r="I34" s="46">
        <v>0</v>
      </c>
      <c r="J34" s="47">
        <v>5</v>
      </c>
      <c r="K34" s="48"/>
      <c r="L34" s="43" t="str">
        <f>IF(D32="Futures",[1]AB3!$M$10,IF(D32="Options Sell",[1]AB3!$M$16,IF(D32="Options Buy",[1]AB3!$M$22)))</f>
        <v xml:space="preserve">S : Entry </v>
      </c>
      <c r="M34" s="43" t="str">
        <f>IF(D32="Futures",[1]AB3!$N$10,IF(D32="Options Sell",[1]AB3!$N$16,IF(D32="Options Buy",[1]AB3!$N$22)))</f>
        <v xml:space="preserve"> - </v>
      </c>
      <c r="N34" s="46">
        <v>0.03</v>
      </c>
      <c r="O34" s="47">
        <v>1</v>
      </c>
      <c r="P34" s="46">
        <v>4.4999999999999998E-2</v>
      </c>
      <c r="Q34" s="47">
        <v>1</v>
      </c>
      <c r="R34" s="46">
        <v>0.06</v>
      </c>
      <c r="S34" s="47">
        <v>1</v>
      </c>
      <c r="T34" s="46">
        <v>0.08</v>
      </c>
      <c r="U34" s="47">
        <v>1</v>
      </c>
      <c r="V34" s="50" t="s">
        <v>51</v>
      </c>
      <c r="W34" s="47">
        <v>1</v>
      </c>
      <c r="X34" s="50" t="s">
        <v>52</v>
      </c>
      <c r="Y34" s="50" t="s">
        <v>52</v>
      </c>
      <c r="Z34" s="48"/>
      <c r="AA34" s="43" t="str">
        <f>IF(D32="Futures",[1]AB3!$AD$10,IF(D32="Options Sell",[1]AB3!$AD$16,IF(D32="Options Buy",[1]AB3!$AD$22)))</f>
        <v>Min</v>
      </c>
      <c r="AB34" s="43" t="str">
        <f>IF(D32="Futures",[1]AB3!$AE$10,IF(D32="Options Sell",[1]AB3!$AE$16,IF(D32="Options Buy",[1]AB3!$AE$22)))</f>
        <v>MSL &amp; TSL</v>
      </c>
      <c r="AC34" s="43" t="str">
        <f>IF(D32="Futures",[1]AB3!$AF$10,IF(D32="Options Sell",[1]AB3!$AF$16,IF(D32="Options Buy",[1]AB3!$AF$22)))</f>
        <v>Entry &amp; TRP</v>
      </c>
      <c r="AD34" s="48"/>
      <c r="AE34" s="43" t="str">
        <f>IF(D32="Futures",[1]AB3!$AH$10,IF(D32="Options Sell",[1]AB3!$AH$16,IF(D32="Options Buy",[1]AB3!$AH$22)))</f>
        <v>S : Entry</v>
      </c>
      <c r="AF34" s="43" t="str">
        <f>IF(D32="Futures",[1]AB3!$AI$10,IF(D32="Options Sell",[1]AB3!$AI$16,IF(D32="Options Buy",[1]AB3!$AI$22)))</f>
        <v xml:space="preserve"> + </v>
      </c>
      <c r="AG34" s="46">
        <v>0.03</v>
      </c>
      <c r="AH34" s="46">
        <v>0</v>
      </c>
      <c r="AI34" s="48"/>
      <c r="AJ34" s="43" t="str">
        <f>IF(D32="Futures",[1]AB3!$AO$10,IF(D32="Options Sell",[1]AB3!$AO$16,IF(D32="Options Buy",[1]AB3!$AO$22)))</f>
        <v xml:space="preserve"> + </v>
      </c>
      <c r="AK34" s="43" t="str">
        <f t="array" ref="AK34">IF(A30="","",IF(D32="Futures",CONCATENATE([1]AB3!$AP$10,INDEX([1]AB2!L:L,MATCH(D30,[1]AB2!B:B,0)),[1]AB3!$AQ$10),IF(D32="Options Sell",CONCATENATE([1]AB3!$AP$16,INDEX([1]AB2!M:M,MATCH(D30,[1]AB2!B:B,0)),[1]AB3!$AQ$16),IF(D32="Options Buy",CONCATENATE([1]AB3!$AP$22,INDEX([1]AB2!L:L,MATCH(D30,[1]AB2!B:B,0)),[1]AB3!$AQ$22)))))</f>
        <v>FUT : PRV : 3DHH</v>
      </c>
      <c r="AL34" s="51">
        <f>IF(AND(D32="Futures",AK34=[1]AB3!$AS$10),[1]AB3!$AS$10,IF(AND(D32="Options Sell",AK34=[1]AB3!$AS$16),[1]AB3!$AS$16,IF(AND(D32="Options Buy",AK34=[1]AB3!$AS$22),[1]AB3!$AS$22,I33)))</f>
        <v>0.01</v>
      </c>
      <c r="AM34" s="52">
        <f>J33</f>
        <v>5</v>
      </c>
      <c r="AN34" s="43" t="str">
        <f t="array" ref="AN34">IF(A30="","",IF(AND(OR(D34="1 &amp; APS",D34="2 &amp; APS",D34="3 &amp; APS",D34="4 &amp; APS",D34="5 &amp; APS"),D32="Futures"),CONCATENATE([1]AB3!$AP$10,INDEX([1]AB2!L:L,MATCH(D30,[1]AB2!B:B,0)),[1]AB3!$AQ$10),IF(AND(OR(D34="1 &amp; APS",D34="2 &amp; APS",D34="3 &amp; APS",D34="4 &amp; APS",D34="5 &amp; APS"),D32="Options Sell"),CONCATENATE([1]AB3!$AP$16,INDEX([1]AB2!M:M,MATCH(D30,[1]AB2!B:B,0)),[1]AB3!$AQ$16),IF(AND(OR(D34="1 &amp; APS",D34="2 &amp; APS",D34="3 &amp; APS",D34="4 &amp; APS",D34="5 &amp; APS"),D32="Options Buy"),CONCATENATE([1]AB3!$AP$22,INDEX([1]AB2!L:L,MATCH(D30,[1]AB2!B:B,0)),[1]AB3!$AQ$22),[1]AB3!$AR$6))))</f>
        <v>FUT : PRV : 3DHH</v>
      </c>
      <c r="AO34" s="51">
        <f>IF(AND(D32="Futures",AN34=[1]AB3!$AU$10),[1]AB3!$AU$10,IF(AND(D32="Options Sell",AN34=[1]AB3!$AU$16),[1]AB3!$AU$16,IF(AND(D32="Options Buy",AN34=[1]AB3!$AU$22),[1]AB3!$AU$22,I33)))</f>
        <v>0.01</v>
      </c>
      <c r="AP34" s="52">
        <f t="shared" si="45"/>
        <v>4</v>
      </c>
      <c r="AQ34" s="43" t="str">
        <f t="array" ref="AQ34">IF(A30="","",IF(AND(OR(D34="2 &amp; APS",D34="3 &amp; APS",D34="4 &amp; APS",D34="5 &amp; APS"),D32="Futures"),CONCATENATE([1]AB3!$AP$10,INDEX([1]AB2!L:L,MATCH(D30,[1]AB2!B:B,0)),[1]AB3!$AQ$10),IF(AND(OR(D34="2 &amp; APS",D34="3 &amp; APS",D34="4 &amp; APS",D34="5 &amp; APS"),D32="Options Sell"),CONCATENATE([1]AB3!$AP$16,INDEX([1]AB2!M:M,MATCH(D30,[1]AB2!B:B,0)),[1]AB3!$AQ$16),IF(AND(OR(D34="2 &amp; APS",D34="3 &amp; APS",D34="4 &amp; APS",D34="5 &amp; APS"),D32="Options Buy"),CONCATENATE([1]AB3!$AP$22,INDEX([1]AB2!L:L,MATCH(D30,[1]AB2!B:B,0)),[1]AB3!$AQ$22),[1]AB3!$AR$6))))</f>
        <v>FUT : PRV : 3DHH</v>
      </c>
      <c r="AR34" s="51">
        <f>IF(AND(D32="Futures",AQ34=[1]AB3!$AW$10),[1]AB3!$AW$10,IF(AND(D32="Options Sell",AQ34=[1]AB3!$AW$16),[1]AB3!$AW$16,IF(AND(D32="Options Buy",AQ34=[1]AB3!$AW$22),[1]AB3!$AW$22,I33)))</f>
        <v>0.01</v>
      </c>
      <c r="AS34" s="52">
        <f t="shared" si="46"/>
        <v>3</v>
      </c>
      <c r="AT34" s="43" t="str">
        <f t="array" ref="AT34">IF(A30="","",IF(AND(OR(D34="3 &amp; APS",D34="4 &amp; APS",D34="5 &amp; APS"),D32="Futures"),CONCATENATE([1]AB3!$AP$10,INDEX([1]AB2!L:L,MATCH(D30,[1]AB2!B:B,0)),[1]AB3!$AQ$10),IF(AND(OR(D34="3 &amp; APS",D34="4 &amp; APS",D34="5 &amp; APS"),D32="Options Sell"),CONCATENATE([1]AB3!$AP$16,INDEX([1]AB2!M:M,MATCH(D30,[1]AB2!B:B,0)),[1]AB3!$AQ$16),IF(AND(OR(D34="3 &amp; APS",D34="4 &amp; APS",D34="5 &amp; APS"),D32="Options Buy"),CONCATENATE([1]AB3!$AP$22,INDEX([1]AB2!L:L,MATCH(D30,[1]AB2!B:B,0)),[1]AB3!$AQ$22),[1]AB3!$AR$6))))</f>
        <v>FUT : PRV : 3DHH</v>
      </c>
      <c r="AU34" s="51">
        <f>IF(AND(D32="Futures",AT34=[1]AB3!$AY$10),[1]AB3!$AY$10,IF(AND(D32="Options Sell",AT34=[1]AB3!$AY$16),[1]AB3!$AY$16,IF(AND(D32="Options Buy",AT34=[1]AB3!$AY$22),[1]AB3!$AY$22,I33)))</f>
        <v>0.01</v>
      </c>
      <c r="AV34" s="52">
        <f t="shared" si="47"/>
        <v>2</v>
      </c>
      <c r="AW34" s="43" t="str">
        <f t="array" ref="AW34">IF(A30="","",IF(AND(OR(D34="4 &amp; APS",D34="5 &amp; APS"),D32="Futures"),CONCATENATE([1]AB3!$AP$10,INDEX([1]AB2!L:L,MATCH(D30,[1]AB2!B:B,0)),[1]AB3!$AQ$10),IF(AND(OR(D34="4 &amp; APS",D34="5 &amp; APS"),D32="Options Sell"),CONCATENATE([1]AB3!$AP$16,INDEX([1]AB2!M:M,MATCH(D30,[1]AB2!B:B,0)),[1]AB3!$AQ$16),IF(AND(OR(D34="4 &amp; APS",D34="5 &amp; APS"),D32="Options Buy"),CONCATENATE([1]AB3!$AP$22,INDEX([1]AB2!L:L,MATCH(D30,[1]AB2!B:B,0)),[1]AB3!$AQ$22),[1]AB3!$AR$6))))</f>
        <v>FUT : PRV : 3DHH</v>
      </c>
      <c r="AX34" s="51">
        <f>IF(AND(D32="Futures",AW34=[1]AB3!$BA$10),[1]AB3!$BA$10,IF(AND(D32="Options Sell",AW34=[1]AB3!$BA$16),[1]AB3!$BA$16,IF(AND(D32="Options Buy",AW34=[1]AB3!$BA$22),[1]AB3!$BA$22,I33)))</f>
        <v>0.01</v>
      </c>
      <c r="AY34" s="52">
        <f t="shared" si="48"/>
        <v>1</v>
      </c>
      <c r="AZ34" s="51">
        <f t="array" ref="AZ34">IF(A30="","",IF(AND(D34="5 &amp; APS",D32="Futures"),CONCATENATE([1]AB3!$AP$10,INDEX([1]AB2!L:L,MATCH(D30,[1]AB2!B:B,0)),[1]AB3!$AQ$10),IF(AND(D34="5 &amp; APS",D32="Options Sell"),CONCATENATE([1]AB3!$AP$16,INDEX([1]AB2!M:M,MATCH(D30,[1]AB2!B:B,0)),[1]AB3!$AQ$16),IF(AND(D34="5 &amp; APS",D32="Options Buy"),CONCATENATE([1]AB3!$AP$22,INDEX([1]AB2!L:L,MATCH(D30,[1]AB2!B:B,0)),[1]AB3!$AQ$22),[1]AB3!$AR$6))))</f>
        <v>0</v>
      </c>
      <c r="BA34" s="51">
        <f>IF(AND(D32="Futures",AZ34=[1]AB3!$BC$10),[1]AB3!$BC$10,IF(AND(D32="Options Sell",AZ34=[1]AB3!$BC$16),[1]AB3!$BC$16,IF(AND(D32="Options Buy",AZ34=[1]AB3!$BC$22),[1]AB3!$BC$22,I33)))</f>
        <v>0</v>
      </c>
      <c r="BB34" s="52">
        <f t="shared" si="49"/>
        <v>0</v>
      </c>
      <c r="BC34" s="53"/>
      <c r="BD34" s="54" t="str">
        <f>IF(D32="Futures",[1]AB3!$BE$10,IF(D32="Options Sell",[1]AB3!$BE$16,IF(D32="Options Buy",[1]AB3!$BE$22)))</f>
        <v>Market End Time</v>
      </c>
      <c r="BE34" s="67">
        <f t="array" ref="BE34">IF(D30="","",INDEX([1]AB2!AH:AH,MATCH(D30,[1]AB2!B:B,0)))</f>
        <v>0.64583333333333337</v>
      </c>
      <c r="BF34" s="11"/>
      <c r="BG34" s="12"/>
      <c r="BH34" s="57"/>
      <c r="BI34" s="32"/>
      <c r="BJ34" s="61" t="str">
        <f>IF(D32="Futures",[1]AB3!$BK$10,IF(D32="Options Sell",[1]AB3!$BK$16,IF(D32="Options Buy",[1]AB3!$BK$22)))</f>
        <v>Short</v>
      </c>
      <c r="BK34" s="46">
        <v>0.01</v>
      </c>
      <c r="BL34" s="46">
        <v>0.01</v>
      </c>
      <c r="BM34" s="57"/>
      <c r="BN34" s="32"/>
      <c r="BO34" s="61" t="str">
        <f>IF(D32="Futures",[1]AB3!$BP$10,IF(D32="Options Sell",[1]AB3!$BP$16,IF(D32="Options Buy",[1]AB3!$BP$22)))</f>
        <v>Put</v>
      </c>
      <c r="BP34" s="43" t="str">
        <f t="array" ref="BP34">IF(A30="","",IF(D32="Futures","",IF(D32="EQUITY","",IF(D32="Options Sell",CONCATENATE([1]AB3!$BQ$16,INDEX([1]AB2!J:J,MATCH(A30,[1]AB2!A:A,0)),[1]AB3!$BR$16),IF(D32="Options Buy",CONCATENATE([1]AB3!$BQ$22,INDEX([1]AB2!J:J,MATCH(A30,[1]AB2!A:A,0)),[1]AB3!$BR$22))))))</f>
        <v/>
      </c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9"/>
      <c r="CL34" s="43"/>
      <c r="CM34" s="43"/>
      <c r="CN34" s="59"/>
      <c r="CO34" s="43"/>
      <c r="CP34" s="43"/>
      <c r="CQ34" s="59"/>
      <c r="CR34" s="43"/>
      <c r="CS34" s="43"/>
      <c r="CT34" s="59"/>
      <c r="CU34" s="43"/>
      <c r="CV34" s="59"/>
      <c r="CW34" s="59"/>
    </row>
    <row r="35" spans="1:101" ht="15.75" customHeight="1" x14ac:dyDescent="0.2">
      <c r="A35" s="1"/>
      <c r="B35" s="2"/>
      <c r="C35" s="2"/>
      <c r="D35" s="2"/>
      <c r="E35" s="2"/>
      <c r="F35" s="2"/>
      <c r="G35" s="2"/>
      <c r="H35" s="2"/>
      <c r="I35" s="2"/>
      <c r="J35" s="64"/>
      <c r="K35" s="2"/>
      <c r="L35" s="2"/>
      <c r="M35" s="2"/>
      <c r="N35" s="2"/>
      <c r="O35" s="64"/>
      <c r="P35" s="2"/>
      <c r="Q35" s="64"/>
      <c r="R35" s="69"/>
      <c r="S35" s="64"/>
      <c r="T35" s="70"/>
      <c r="U35" s="64"/>
      <c r="V35" s="2"/>
      <c r="W35" s="64"/>
      <c r="X35" s="2"/>
      <c r="Y35" s="2"/>
      <c r="Z35" s="2"/>
      <c r="AA35" s="20"/>
      <c r="AB35" s="71"/>
      <c r="AC35" s="71"/>
      <c r="AD35" s="2"/>
      <c r="AE35" s="70"/>
      <c r="AF35" s="70"/>
      <c r="AG35" s="70"/>
      <c r="AH35" s="70"/>
      <c r="AI35" s="2"/>
      <c r="AJ35" s="70"/>
      <c r="AK35" s="70"/>
      <c r="AL35" s="70"/>
      <c r="AM35" s="64"/>
      <c r="AN35" s="70"/>
      <c r="AO35" s="70"/>
      <c r="AP35" s="64"/>
      <c r="AQ35" s="70"/>
      <c r="AR35" s="70"/>
      <c r="AS35" s="64"/>
      <c r="AT35" s="70"/>
      <c r="AU35" s="70"/>
      <c r="AV35" s="64"/>
      <c r="AW35" s="70"/>
      <c r="AX35" s="70"/>
      <c r="AY35" s="64"/>
      <c r="AZ35" s="70"/>
      <c r="BA35" s="70"/>
      <c r="BB35" s="64"/>
      <c r="BC35" s="70"/>
      <c r="BD35" s="70"/>
      <c r="BE35" s="70"/>
      <c r="BF35" s="70"/>
      <c r="BG35" s="70"/>
      <c r="BH35" s="70"/>
      <c r="BI35" s="70"/>
      <c r="BJ35" s="70"/>
      <c r="BK35" s="2"/>
      <c r="BL35" s="2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2"/>
      <c r="CM35" s="2"/>
      <c r="CN35" s="70"/>
      <c r="CO35" s="70"/>
      <c r="CP35" s="70"/>
      <c r="CQ35" s="70"/>
      <c r="CR35" s="2"/>
      <c r="CS35" s="2"/>
      <c r="CT35" s="70"/>
      <c r="CU35" s="70"/>
      <c r="CV35" s="70"/>
      <c r="CW35" s="70"/>
    </row>
    <row r="36" spans="1:101" ht="15.75" customHeight="1" x14ac:dyDescent="0.2">
      <c r="A36" s="40">
        <v>6</v>
      </c>
      <c r="B36" s="41" t="str">
        <f>CONCATENATE(D36,IF(D38="Futures",[1]AB3!$B$6,IF(D38="Options Sell",[1]AB3!$B$12,IF(D38="Options Buy",[1]AB3!$B$18))))</f>
        <v>S6A</v>
      </c>
      <c r="C36" s="42" t="str">
        <f>IF(D38="Futures",[1]AB3!$C$6,IF(D38="Options Sell",[1]AB3!$C$12,IF(D38="Options Buy",[1]AB3!$C$18)))</f>
        <v>Strategy Code</v>
      </c>
      <c r="D36" s="43" t="str">
        <f t="array" ref="D36">IF(A36="","",INDEX([1]AB2!B:B,MATCH(A36,[1]AB2!A:A,0)))</f>
        <v>S6</v>
      </c>
      <c r="E36" s="44" t="str">
        <f>IF(D38="Futures",[1]AB3!$E$6,IF(D38="Options Sell",[1]AB3!$E$12,IF(D38="Options Buy",[1]AB3!$E$18)))</f>
        <v>Bull / 
Bull CF</v>
      </c>
      <c r="F36" s="45" t="str">
        <f>IF(D38="Futures",[1]AB3!$F$6,IF(D38="Options Sell",[1]AB3!$F$12,IF(D38="Options Buy",[1]AB3!$F$18)))</f>
        <v>Long</v>
      </c>
      <c r="G36" s="43" t="str">
        <f t="array" ref="G36">IF(A36="","",IF(D38="Futures",CONCATENATE([1]AB3!$G$6,INDEX([1]AB2!I:I,MATCH(D36,[1]AB2!B:B,0)),[1]AB3!$H$6),IF(D38="Options Sell",CONCATENATE([1]AB3!$G$12,INDEX([1]AB2!J:J,MATCH(D36,[1]AB2!B:B,0)),[1]AB3!$H$12),IF(D38="Options Buy",CONCATENATE([1]AB3!$G$18,INDEX([1]AB2!I:I,MATCH(D36,[1]AB2!B:B,0)),[1]AB3!$H$18)))))</f>
        <v>FUT : PRV : 3DHH</v>
      </c>
      <c r="H36" s="43" t="str">
        <f>IF(D38="Futures",[1]AB3!$I$6,IF(D38="Options Sell",[1]AB3!$I$12,IF(D38="Options Buy",[1]AB3!$I$18)))</f>
        <v xml:space="preserve"> + </v>
      </c>
      <c r="I36" s="46">
        <v>0.01</v>
      </c>
      <c r="J36" s="47">
        <v>5</v>
      </c>
      <c r="K36" s="48"/>
      <c r="L36" s="43" t="str">
        <f>IF(D38="Futures",[1]AB3!$M$6,IF(D38="Options Sell",[1]AB3!$M$12,IF(D38="Options Buy",[1]AB3!$M$18)))</f>
        <v xml:space="preserve">L : Entry </v>
      </c>
      <c r="M36" s="43" t="str">
        <f>IF(D38="Futures",[1]AB3!$N$6,IF(D38="Options Sell",[1]AB3!$N$12,IF(D38="Options Buy",[1]AB3!$N$18)))</f>
        <v xml:space="preserve"> + </v>
      </c>
      <c r="N36" s="46">
        <v>0.03</v>
      </c>
      <c r="O36" s="47">
        <v>1</v>
      </c>
      <c r="P36" s="46">
        <v>4.4999999999999998E-2</v>
      </c>
      <c r="Q36" s="47">
        <v>1</v>
      </c>
      <c r="R36" s="46">
        <v>0.06</v>
      </c>
      <c r="S36" s="47">
        <v>1</v>
      </c>
      <c r="T36" s="46">
        <v>0.08</v>
      </c>
      <c r="U36" s="47">
        <v>1</v>
      </c>
      <c r="V36" s="50" t="s">
        <v>51</v>
      </c>
      <c r="W36" s="47">
        <v>1</v>
      </c>
      <c r="X36" s="50" t="s">
        <v>52</v>
      </c>
      <c r="Y36" s="50" t="s">
        <v>52</v>
      </c>
      <c r="Z36" s="48"/>
      <c r="AA36" s="43" t="str">
        <f>IF(D38="Futures",[1]AB3!$AD$6,IF(D38="Options Sell",[1]AB3!$AD$12,IF(D38="Options Buy",[1]AB3!$AD$18)))</f>
        <v>Max</v>
      </c>
      <c r="AB36" s="43" t="str">
        <f>IF(D38="Futures",[1]AB3!$AE$6,IF(D38="Options Sell",[1]AB3!$AE$12,IF(D38="Options Buy",[1]AB3!$AE$18)))</f>
        <v>MSL &amp; TSL</v>
      </c>
      <c r="AC36" s="43" t="str">
        <f>IF(D38="Futures",[1]AB3!$AF$6,IF(D38="Options Sell",[1]AB3!$AF$12,IF(D38="Options Buy",[1]AB3!$AF$18)))</f>
        <v>Entry &amp; TRP</v>
      </c>
      <c r="AD36" s="48"/>
      <c r="AE36" s="43" t="str">
        <f>IF(D38="Futures",[1]AB3!$AH$6,IF(D38="Options Sell",[1]AB3!$AH$12,IF(D38="Options Buy",[1]AB3!$AH$18)))</f>
        <v>L : Entry</v>
      </c>
      <c r="AF36" s="43" t="str">
        <f>IF(D38="Futures",[1]AB3!$AI$6,IF(D38="Options Sell",[1]AB3!$AI$12,IF(D38="Options Buy",[1]AB3!$AI$18)))</f>
        <v xml:space="preserve"> - </v>
      </c>
      <c r="AG36" s="46">
        <v>0.03</v>
      </c>
      <c r="AH36" s="46">
        <v>0</v>
      </c>
      <c r="AI36" s="48"/>
      <c r="AJ36" s="43" t="str">
        <f>IF(D38="Futures",[1]AB3!$AO$6,IF(D38="Options Sell",[1]AB3!$AO$12,IF(D38="Options Buy",[1]AB3!$AO$18)))</f>
        <v xml:space="preserve"> - </v>
      </c>
      <c r="AK36" s="43" t="str">
        <f t="array" ref="AK36">IF(A36="","",IF(D38="Futures",CONCATENATE([1]AB3!$AP$6,INDEX([1]AB2!L:L,MATCH(D36,[1]AB2!B:B,0)),[1]AB3!$AQ$6),IF(D38="Options Sell",CONCATENATE([1]AB3!$AP$12,INDEX([1]AB2!M:M,MATCH(D36,[1]AB2!B:B,0)),[1]AB3!$AQ$12),IF(D38="Options Buy",CONCATENATE([1]AB3!$AP$18,INDEX([1]AB2!L:L,MATCH(D36,[1]AB2!B:B,0)),[1]AB3!$AQ$18)))))</f>
        <v>FUT : PRV : 3DLL</v>
      </c>
      <c r="AL36" s="51">
        <f>IF(AND(D38="Futures",AK36=[1]AB3!$AS$6),[1]AB3!$AS$6,IF(AND(D38="Options Sell",AK36=[1]AB3!$AS$12),[1]AB3!$AS$12,IF(AND(D38="Options Buy",AK36=[1]AB3!$AS$18),[1]AB3!$AS$18,I37)))</f>
        <v>0.01</v>
      </c>
      <c r="AM36" s="52">
        <f>J37</f>
        <v>5</v>
      </c>
      <c r="AN36" s="43" t="str">
        <f t="array" ref="AN36">IF(A36="","",IF(AND(OR(D40="1 &amp; APS",D40="2 &amp; APS",D40="3 &amp; APS",D40="4 &amp; APS",D40="5 &amp; APS"),D38="Futures"),CONCATENATE([1]AB3!$AP$6,INDEX([1]AB2!L:L,MATCH(D36,[1]AB2!B:B,0)),[1]AB3!$AQ$6),IF(AND(OR(D40="1 &amp; APS",D40="2 &amp; APS",D40="3 &amp; APS",D40="4 &amp; APS",D40="5 &amp; APS"),D38="Options Sell"),CONCATENATE([1]AB3!$AP$12,INDEX([1]AB2!M:M,MATCH(D36,[1]AB2!B:B,0)),[1]AB3!$AQ$12),IF(AND(OR(D40="1 &amp; APS",D40="2 &amp; APS",D40="3 &amp; APS",D40="4 &amp; APS",D40="5 &amp; APS"),D38="Options Buy"),CONCATENATE([1]AB3!$AP$18,INDEX([1]AB2!L:L,MATCH(D36,[1]AB2!B:B,0)),[1]AB3!$AQ$18),[1]AB3!$AR$6))))</f>
        <v>FUT : PRV : 3DLL</v>
      </c>
      <c r="AO36" s="51">
        <f>IF(AND(D38="Futures",AN36=[1]AB3!$AU$6),[1]AB3!$AU$6,IF(AND(D38="Options Sell",AN36=[1]AB3!$AU$12),[1]AB3!$AU$12,IF(AND(D38="Options Buy",AN36=[1]AB3!$AU$18),[1]AB3!$AU$18,I37)))</f>
        <v>0.01</v>
      </c>
      <c r="AP36" s="52">
        <f t="shared" ref="AP36:AP37" si="50">AM36-O36</f>
        <v>4</v>
      </c>
      <c r="AQ36" s="43" t="str">
        <f t="array" ref="AQ36">IF(A36="","",IF(AND(OR(D40="2 &amp; APS",D40="3 &amp; APS",D40="4 &amp; APS",D40="5 &amp; APS"),D38="Futures"),CONCATENATE([1]AB3!$AP$6,INDEX([1]AB2!L:L,MATCH(D36,[1]AB2!B:B,0)),[1]AB3!$AQ$6),IF(AND(OR(D40="2 &amp; APS",D40="3 &amp; APS",D40="4 &amp; APS",D40="5 &amp; APS"),D38="Options Sell"),CONCATENATE([1]AB3!$AP$12,INDEX([1]AB2!M:M,MATCH(D36,[1]AB2!B:B,0)),[1]AB3!$AQ$12),IF(AND(OR(D40="2 &amp; APS",D40="3 &amp; APS",D40="4 &amp; APS",D40="5 &amp; APS"),D38="Options Buy"),CONCATENATE([1]AB3!$AP$18,INDEX([1]AB2!L:L,MATCH(D36,[1]AB2!B:B,0)),[1]AB3!$AQ$18),[1]AB3!$AR$6))))</f>
        <v>FUT : PRV : 3DLL</v>
      </c>
      <c r="AR36" s="51">
        <f>IF(AND(D38="Futures",AQ36=[1]AB3!$AW$6),[1]AB3!$AW$6,IF(AND(D38="Options Sell",AQ36=[1]AB3!$AW$12),[1]AB3!$AW$12,IF(AND(D38="Options Buy",AQ36=[1]AB3!$AW$18),[1]AB3!$AW$18,I37)))</f>
        <v>0.01</v>
      </c>
      <c r="AS36" s="52">
        <f t="shared" ref="AS36:AS37" si="51">AP36-Q36</f>
        <v>3</v>
      </c>
      <c r="AT36" s="43" t="str">
        <f t="array" ref="AT36">IF(A36="","",IF(AND(OR(D40="3 &amp; APS",D40="4 &amp; APS",D40="5 &amp; APS"),D38="Futures"),CONCATENATE([1]AB3!$AP$6,INDEX([1]AB2!L:L,MATCH(D36,[1]AB2!B:B,0)),[1]AB3!$AQ$6),IF(AND(OR(D40="3 &amp; APS",D40="4 &amp; APS",D40="5 &amp; APS"),D38="Options Sell"),CONCATENATE([1]AB3!$AP$12,INDEX([1]AB2!M:M,MATCH(D36,[1]AB2!B:B,0)),[1]AB3!$AQ$12),IF(AND(OR(D40="3 &amp; APS",D40="4 &amp; APS",D40="5 &amp; APS"),D38="Options Buy"),CONCATENATE([1]AB3!$AP$18,INDEX([1]AB2!L:L,MATCH(D36,[1]AB2!B:B,0)),[1]AB3!$AQ$18),[1]AB3!$AR$6))))</f>
        <v>FUT : PRV : 3DLL</v>
      </c>
      <c r="AU36" s="51">
        <f>IF(AND(D38="Futures",AT36=[1]AB3!$AY$6),[1]AB3!$AY$6,IF(AND(D38="Options Sell",AT36=[1]AB3!$AY$12),[1]AB3!$AY$12,IF(AND(D38="Options Buy",AT36=[1]AB3!$AY$18),[1]AB3!$AY$18,I37)))</f>
        <v>0.01</v>
      </c>
      <c r="AV36" s="52">
        <f t="shared" ref="AV36:AV37" si="52">AS36-S36</f>
        <v>2</v>
      </c>
      <c r="AW36" s="43" t="str">
        <f t="array" ref="AW36">IF(A36="","",IF(AND(OR(D40="4 &amp; APS",D40="5 &amp; APS"),D38="Futures"),CONCATENATE([1]AB3!$AP$6,INDEX([1]AB2!L:L,MATCH(D36,[1]AB2!B:B,0)),[1]AB3!$AQ$6),IF(AND(OR(D40="4 &amp; APS",D40="5 &amp; APS"),D38="Options Sell"),CONCATENATE([1]AB3!$AP$12,INDEX([1]AB2!M:M,MATCH(D36,[1]AB2!B:B,0)),[1]AB3!$AQ$12),IF(AND(OR(D40="4 &amp; APS",D40="5 &amp; APS"),D38="Options Buy"),CONCATENATE([1]AB3!$AP$18,INDEX([1]AB2!L:L,MATCH(D36,[1]AB2!B:B,0)),[1]AB3!$AQ$18),[1]AB3!$AR$6))))</f>
        <v>FUT : PRV : 3DLL</v>
      </c>
      <c r="AX36" s="51">
        <f>IF(AND(D38="Futures",AW36=[1]AB3!$BA$6),[1]AB3!$BA$6,IF(AND(D38="Options Sell",AW36=[1]AB3!$BA$12),[1]AB3!$BA$12,IF(AND(D38="Options Buy",AW36=[1]AB3!$BA$18),[1]AB3!$BA$18,I37)))</f>
        <v>0.01</v>
      </c>
      <c r="AY36" s="52">
        <f t="shared" ref="AY36:AY37" si="53">AV36-S36</f>
        <v>1</v>
      </c>
      <c r="AZ36" s="51">
        <f t="array" ref="AZ36">IF(A36="","",IF(AND(D40="5 &amp; APS",D38="Futures"),CONCATENATE([1]AB3!$AP$6,INDEX([1]AB2!L:L,MATCH(D36,[1]AB2!B:B,0)),[1]AB3!$AQ$6),IF(AND(D40="5 &amp; APS",D38="Options Sell"),CONCATENATE([1]AB3!$AP$12,INDEX([1]AB2!M:M,MATCH(D36,[1]AB2!B:B,0)),[1]AB3!$AQ$12),IF(AND(D40="5 &amp; APS",D38="Options Buy"),CONCATENATE([1]AB3!$AP$18,INDEX([1]AB2!L:L,MATCH(D36,[1]AB2!B:B,0)),[1]AB3!$AQ$18),[1]AB3!$AR$6))))</f>
        <v>0</v>
      </c>
      <c r="BA36" s="51">
        <f>IF(AND(D38="Futures",AZ36=[1]AB3!$BC$6),[1]AB3!$BC$6,IF(AND(D38="Options Sell",AZ36=[1]AB3!$BC$12),[1]AB3!$BC$12,IF(AND(D38="Options Buy",AZ36=[1]AB3!$BC$18),[1]AB3!$BC$18,I37)))</f>
        <v>0</v>
      </c>
      <c r="BB36" s="52">
        <f t="shared" ref="BB36:BB37" si="54">AY36-W36</f>
        <v>0</v>
      </c>
      <c r="BC36" s="53"/>
      <c r="BD36" s="54" t="str">
        <f>IF(D38="Futures",[1]AB3!$BE$6,IF(D38="Options Sell",[1]AB3!$BE$12,IF(D38="Options Buy",[1]AB3!$BE$18)))</f>
        <v xml:space="preserve">ORPT </v>
      </c>
      <c r="BE36" s="55">
        <f>IF(D38="Futures",BE39+([1]AB3!$BF$6/1440),IF(D38="Options Sell",BE39+([1]AB3!$BF$12/1440),IF(D38="Options Buy",BE39+([1]AB3!$BF$18/1440))))</f>
        <v>0.38888194444444446</v>
      </c>
      <c r="BF36" s="55">
        <f>IF(D38="Futures",BE39+([1]AB3!$BG$6/1440),IF(D38="Options Sell",BE39+([1]AB3!$BG$12/1440),IF(D38="Options Buy",BE39+([1]AB3!$BG$18/1440))))</f>
        <v>0.38888194444444446</v>
      </c>
      <c r="BG36" s="55">
        <f>IF(D38="Futures",BE39+([1]AB3!$BH$6/1440),IF(D38="Options Sell",BE39+([1]AB3!$BH$12/1440),IF(D38="Options Buy",BE39+([1]AB3!$BH$18/1440))))</f>
        <v>0.38541666666666669</v>
      </c>
      <c r="BH36" s="57"/>
      <c r="BI36" s="44" t="str">
        <f>IF(D38="Futures",[1]AB3!$BJ$6,IF(D38="Options Sell",[1]AB3!$BJ$12,IF(D38="Options Buy",[1]AB3!$BJ$18)))</f>
        <v>Bull / 
Bull CF</v>
      </c>
      <c r="BJ36" s="45" t="str">
        <f>IF(D38="Futures",[1]AB3!$BK$6,IF(D38="Options Sell",[1]AB3!$BK$12,IF(D38="Options Buy",[1]AB3!$BK$18)))</f>
        <v>Long</v>
      </c>
      <c r="BK36" s="46">
        <v>0.01</v>
      </c>
      <c r="BL36" s="46">
        <v>0.01</v>
      </c>
      <c r="BM36" s="57"/>
      <c r="BN36" s="44" t="str">
        <f>IF(D38="Futures",[1]AB3!$BO$6,IF(D38="Options Sell",[1]AB3!$BO$12,IF(D38="Options Buy",[1]AB3!$BO$18)))</f>
        <v>Bull | 
Bull CF</v>
      </c>
      <c r="BO36" s="45" t="str">
        <f>IF(D38="Futures",[1]AB3!$BP$6,IF(D38="Options Sell",[1]AB3!$BP$12,IF(D38="Options Buy",[1]AB3!$BP$18)))</f>
        <v>Call</v>
      </c>
      <c r="BP36" s="43" t="str">
        <f t="array" ref="BP36">IF(A36="","",IF(D38="Futures","",IF(D38="EQUITY","",IF(D38="Options Sell",CONCATENATE([1]AB3!$BQ$12,INDEX([1]AB2!J:J,MATCH(A36,[1]AB2!A:A,0)),[1]AB3!$BR$12),IF(D38="Options Buy",CONCATENATE([1]AB3!$BQ$18,INDEX([1]AB2!J:J,MATCH(A36,[1]AB2!A:A,0)),[1]AB3!$BR$18))))))</f>
        <v/>
      </c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9"/>
      <c r="CL36" s="43"/>
      <c r="CM36" s="43"/>
      <c r="CN36" s="59"/>
      <c r="CO36" s="43"/>
      <c r="CP36" s="43"/>
      <c r="CQ36" s="59"/>
      <c r="CR36" s="43"/>
      <c r="CS36" s="43"/>
      <c r="CT36" s="59"/>
      <c r="CU36" s="55">
        <f>IF(D38="Futures",BE40-([1]AB3!$CG$6/1440),IF(D38="Options Sell",BE40-([1]AB3!$CG$12/1440),IF(D38="Options Buy",BE40-([1]AB3!$CG$18/1440),IF(D38="EQUITY",""))))</f>
        <v>0.625</v>
      </c>
      <c r="CV36" s="59"/>
      <c r="CW36" s="59"/>
    </row>
    <row r="37" spans="1:101" ht="16.5" customHeight="1" x14ac:dyDescent="0.2">
      <c r="A37" s="60"/>
      <c r="B37" s="41" t="str">
        <f>CONCATENATE(D36,IF(D38="Futures",[1]AB3!$B$7,IF(D38="Options Sell",[1]AB3!$B$13,IF(D38="Options Buy",[1]AB3!$B$19))))</f>
        <v>S6B</v>
      </c>
      <c r="C37" s="42" t="str">
        <f>IF(D38="Futures",[1]AB3!$C$7,IF(D38="Options Sell",[1]AB3!$C$13,IF(D38="Options Buy",[1]AB3!$C$19)))</f>
        <v>Unique Code</v>
      </c>
      <c r="D37" s="43" t="str">
        <f t="array" ref="D37">IF(A36="","",INDEX([1]AB2!N:N,MATCH(D36,[1]AB2!B:B,0)))</f>
        <v>STOCKS_FUT_MT_SAME_3D_3D</v>
      </c>
      <c r="E37" s="32"/>
      <c r="F37" s="61" t="str">
        <f>IF(D38="Futures",[1]AB3!$F$7,IF(D38="Options Sell",[1]AB3!$F$13,IF(D38="Options Buy",[1]AB3!$F$19)))</f>
        <v>Short</v>
      </c>
      <c r="G37" s="43" t="str">
        <f t="array" ref="G37">IF(A36="","",IF(D38="Futures",CONCATENATE([1]AB3!$G$7,INDEX([1]AB2!J:J,MATCH(D36,[1]AB2!B:B,0)),[1]AB3!$H$7),IF(D38="Options Sell",CONCATENATE([1]AB3!$G$13,INDEX([1]AB2!I:I,MATCH(D36,[1]AB2!B:B,0)),[1]AB3!$H$13),IF(D38="Options Buy",CONCATENATE([1]AB3!$G$19,INDEX([1]AB2!J:J,MATCH(D36,[1]AB2!B:B,0)),[1]AB3!$H$19)))))</f>
        <v>FUT : PRV : 3DLL</v>
      </c>
      <c r="H37" s="43" t="str">
        <f>IF(D38="Futures",[1]AB3!$I$7,IF(D38="Options Sell",[1]AB3!$I$13,IF(D38="Options Buy",[1]AB3!$I$19)))</f>
        <v xml:space="preserve"> - </v>
      </c>
      <c r="I37" s="46">
        <v>0.01</v>
      </c>
      <c r="J37" s="47">
        <v>5</v>
      </c>
      <c r="K37" s="48"/>
      <c r="L37" s="43" t="str">
        <f>IF(D38="Futures",[1]AB3!$M$7,IF(D38="Options Sell",[1]AB3!$M$13,IF(D38="Options Buy",[1]AB3!$M$19)))</f>
        <v xml:space="preserve">S : Entry </v>
      </c>
      <c r="M37" s="43" t="str">
        <f>IF(D38="Futures",[1]AB3!$N$7,IF(D38="Options Sell",[1]AB3!$N$12,IF(D38="Options Buy",[1]AB3!$N$18)))</f>
        <v xml:space="preserve"> - </v>
      </c>
      <c r="N37" s="46">
        <v>0.03</v>
      </c>
      <c r="O37" s="47">
        <v>1</v>
      </c>
      <c r="P37" s="46">
        <v>4.4999999999999998E-2</v>
      </c>
      <c r="Q37" s="47">
        <v>1</v>
      </c>
      <c r="R37" s="46">
        <v>0.06</v>
      </c>
      <c r="S37" s="47">
        <v>1</v>
      </c>
      <c r="T37" s="46">
        <v>0.08</v>
      </c>
      <c r="U37" s="47">
        <v>1</v>
      </c>
      <c r="V37" s="50" t="s">
        <v>51</v>
      </c>
      <c r="W37" s="47">
        <v>1</v>
      </c>
      <c r="X37" s="50" t="s">
        <v>52</v>
      </c>
      <c r="Y37" s="50" t="s">
        <v>52</v>
      </c>
      <c r="Z37" s="48"/>
      <c r="AA37" s="43" t="str">
        <f>IF(D38="Futures",[1]AB3!$AD$7,IF(D38="Options Sell",[1]AB3!$AD$13,IF(D38="Options Buy",[1]AB3!$AD$19)))</f>
        <v>Min</v>
      </c>
      <c r="AB37" s="43" t="str">
        <f>IF(D38="Futures",[1]AB3!$AE$7,IF(D38="Options Sell",[1]AB3!$AE$13,IF(D38="Options Buy",[1]AB3!$AE$19)))</f>
        <v>MSL &amp; TSL</v>
      </c>
      <c r="AC37" s="43" t="str">
        <f>IF(D38="Futures",[1]AB3!$AF$7,IF(D38="Options Sell",[1]AB3!$AF$13,IF(D38="Options Buy",[1]AB3!$AF$19)))</f>
        <v>Entry &amp; TRP</v>
      </c>
      <c r="AD37" s="48"/>
      <c r="AE37" s="43" t="str">
        <f>IF(D38="Futures",[1]AB3!$AH$7,IF(D38="Options Sell",[1]AB3!$AH$13,IF(D38="Options Buy",[1]AB3!$AH$19)))</f>
        <v>S : Entry</v>
      </c>
      <c r="AF37" s="43" t="str">
        <f>IF(D38="Futures",[1]AB3!$AI$7,IF(D38="Options Sell",[1]AB3!$AI$13,IF(D38="Options Buy",[1]AB3!$AI$19)))</f>
        <v xml:space="preserve"> + </v>
      </c>
      <c r="AG37" s="46">
        <v>0.03</v>
      </c>
      <c r="AH37" s="46">
        <v>0</v>
      </c>
      <c r="AI37" s="48"/>
      <c r="AJ37" s="43" t="str">
        <f>IF(D38="Futures",[1]AB3!$AO$7,IF(D38="Options Sell",[1]AB3!$AO$13,IF(D38="Options Buy",[1]AB3!$AO$19)))</f>
        <v xml:space="preserve"> + </v>
      </c>
      <c r="AK37" s="43" t="str">
        <f t="array" ref="AK37">IF(A36="","",IF(D38="Futures",CONCATENATE([1]AB3!$AP$7,INDEX([1]AB2!M:M,MATCH(D36,[1]AB2!B:B,0)),[1]AB3!$AQ$7),IF(D38="Options Sell",CONCATENATE([1]AB3!$AP$13,INDEX([1]AB2!L:L,MATCH(D36,[1]AB2!B:B,0)),[1]AB3!$AQ$13),IF(D38="Options Buy",CONCATENATE([1]AB3!$AP$19,INDEX([1]AB2!M:M,MATCH(D36,[1]AB2!B:B,0)),[1]AB3!$AQ$19)))))</f>
        <v>FUT : PRV : 3DHH</v>
      </c>
      <c r="AL37" s="51">
        <f>IF(AND(D38="Futures",AK37=[1]AB3!$AS$7),[1]AB3!$AS$7,IF(AND(D38="Options Sell",AK37=[1]AB3!$AS$13),[1]AB3!$AS$13,IF(AND(D38="Options Buy",AK37=[1]AB3!$AS$19),[1]AB3!$AS$19,I36)))</f>
        <v>0.01</v>
      </c>
      <c r="AM37" s="52">
        <f>J36</f>
        <v>5</v>
      </c>
      <c r="AN37" s="43" t="str">
        <f t="array" ref="AN37">IF(A36="","",IF(AND(OR(D40="1 &amp; APS",D40="2 &amp; APS",D40="3 &amp; APS",D40="4 &amp; APS",D40="5 &amp; APS"),D38="Futures"),CONCATENATE([1]AB3!$AP$7,INDEX([1]AB2!M:M,MATCH(D36,[1]AB2!B:B,0)),[1]AB3!$AQ$7),IF(AND(OR(D40="1 &amp; APS",D40="2 &amp; APS",D40="3 &amp; APS",D40="4 &amp; APS",D40="5 &amp; APS"),D38="Options Sell"),CONCATENATE([1]AB3!$AP$13,INDEX([1]AB2!L:L,MATCH(D36,[1]AB2!B:B,0)),[1]AB3!$AQ$13),IF(AND(OR(D40="1 &amp; APS",D40="2 &amp; APS",D40="3 &amp; APS",D40="4 &amp; APS",D40="5 &amp; APS"),D38="Options Buy"),CONCATENATE([1]AB3!$AP$19,INDEX([1]AB2!M:M,MATCH(D36,[1]AB2!B:B,0)),[1]AB3!$AQ$19),[1]AB3!$AR$6))))</f>
        <v>FUT : PRV : 3DHH</v>
      </c>
      <c r="AO37" s="51">
        <f>IF(AND(D38="Futures",AN37=[1]AB3!$AU$7),[1]AB3!$AU$7,IF(AND(D38="Options Sell",AN37=[1]AB3!$AU$13),[1]AB3!$AU$13,IF(AND(D38="Options Buy",AN37=[1]AB3!$AU$19),[1]AB3!$AU$19,I36)))</f>
        <v>0.01</v>
      </c>
      <c r="AP37" s="52">
        <f t="shared" si="50"/>
        <v>4</v>
      </c>
      <c r="AQ37" s="43" t="str">
        <f t="array" ref="AQ37">IF(A36="","",IF(AND(OR(D40="2 &amp; APS",D40="3 &amp; APS",D40="4 &amp; APS",D40="5 &amp; APS"),D38="Futures"),CONCATENATE([1]AB3!$AP$7,INDEX([1]AB2!M:M,MATCH(D36,[1]AB2!B:B,0)),[1]AB3!$AQ$7),IF(AND(OR(D40="2 &amp; APS",D40="3 &amp; APS",D40="4 &amp; APS",D40="5 &amp; APS"),D38="Options Sell"),CONCATENATE([1]AB3!$AP$13,INDEX([1]AB2!L:L,MATCH(D36,[1]AB2!B:B,0)),[1]AB3!$AQ$13),IF(AND(OR(D40="2 &amp; APS",D40="3 &amp; APS",D40="4 &amp; APS",D40="5 &amp; APS"),D38="Options Buy"),CONCATENATE([1]AB3!$AP$19,INDEX([1]AB2!M:M,MATCH(D36,[1]AB2!B:B,0)),[1]AB3!$AQ$19),[1]AB3!$AR$6))))</f>
        <v>FUT : PRV : 3DHH</v>
      </c>
      <c r="AR37" s="51">
        <f>IF(AND(D38="Futures",AQ37=[1]AB3!$AW$7),[1]AB3!$AW$7,IF(AND(D38="Options Sell",AQ37=[1]AB3!$AW$13),[1]AB3!$AW$13,IF(AND(D38="Options Buy",AQ37=[1]AB3!$AW$19),[1]AB3!$AW$19,I36)))</f>
        <v>0.01</v>
      </c>
      <c r="AS37" s="52">
        <f t="shared" si="51"/>
        <v>3</v>
      </c>
      <c r="AT37" s="43" t="str">
        <f t="array" ref="AT37">IF(A36="","",IF(AND(OR(D40="3 &amp; APS",D40="4 &amp; APS",D40="5 &amp; APS"),D38="Futures"),CONCATENATE([1]AB3!$AP$7,INDEX([1]AB2!M:M,MATCH(D36,[1]AB2!B:B,0)),[1]AB3!$AQ$7),IF(AND(OR(D40="3 &amp; APS",D40="4 &amp; APS",D40="5 &amp; APS"),D38="Options Sell"),CONCATENATE([1]AB3!$AP$13,INDEX([1]AB2!L:L,MATCH(D36,[1]AB2!B:B,0)),[1]AB3!$AQ$13),IF(AND(OR(D40="3 &amp; APS",D40="4 &amp; APS",D40="5 &amp; APS"),D38="Options Buy"),CONCATENATE([1]AB3!$AP$19,INDEX([1]AB2!M:M,MATCH(D36,[1]AB2!B:B,0)),[1]AB3!$AQ$19),[1]AB3!$AR$6))))</f>
        <v>FUT : PRV : 3DHH</v>
      </c>
      <c r="AU37" s="51">
        <f>IF(AND(D38="Futures",AT37=[1]AB3!$AY$7),[1]AB3!$AY$7,IF(AND(D38="Options Sell",AT37=[1]AB3!$AY$13),[1]AB3!$AY$13,IF(AND(D38="Options Buy",AT37=[1]AB3!$AY$19),[1]AB3!$AY$19,I36)))</f>
        <v>0.01</v>
      </c>
      <c r="AV37" s="52">
        <f t="shared" si="52"/>
        <v>2</v>
      </c>
      <c r="AW37" s="43" t="str">
        <f t="array" ref="AW37">IF(A36="","",IF(AND(OR(D40="4 &amp; APS",D40="5 &amp; APS"),D38="Futures"),CONCATENATE([1]AB3!$AP$7,INDEX([1]AB2!M:M,MATCH(D36,[1]AB2!B:B,0)),[1]AB3!$AQ$7),IF(AND(OR(D40="4 &amp; APS",D40="5 &amp; APS"),D38="Options Sell"),CONCATENATE([1]AB3!$AP$13,INDEX([1]AB2!L:L,MATCH(D36,[1]AB2!B:B,0)),[1]AB3!$AQ$13),IF(AND(OR(D40="4 &amp; APS",D40="5 &amp; APS"),D38="Options Buy"),CONCATENATE([1]AB3!$AP$19,INDEX([1]AB2!M:M,MATCH(D36,[1]AB2!B:B,0)),[1]AB3!$AQ$19),[1]AB3!$AR$6))))</f>
        <v>FUT : PRV : 3DHH</v>
      </c>
      <c r="AX37" s="51">
        <f>IF(AND(D38="Futures",AW37=[1]AB3!$BA$7),[1]AB3!$BA$7,IF(AND(D38="Options Sell",AW37=[1]AB3!$BA$13),[1]AB3!$BA$13,IF(AND(D38="Options Buy",AW37=[1]AB3!$BA$19),[1]AB3!$BA$19,I36)))</f>
        <v>0.01</v>
      </c>
      <c r="AY37" s="52">
        <f t="shared" si="53"/>
        <v>1</v>
      </c>
      <c r="AZ37" s="51">
        <f t="array" ref="AZ37">IF(A36="","",IF(AND(D40="5 &amp; APS",D38="Futures"),CONCATENATE([1]AB3!$AP$7,INDEX([1]AB2!M:M,MATCH(D36,[1]AB2!B:B,0)),[1]AB3!$AQ$7),IF(AND(D40="5 &amp; APS",D38="Options Sell"),CONCATENATE([1]AB3!$AP$13,INDEX([1]AB2!L:L,MATCH(D36,[1]AB2!B:B,0)),[1]AB3!$AQ$13),IF(AND(D40="5 &amp; APS",D38="Options Buy"),CONCATENATE([1]AB3!$AP$19,INDEX([1]AB2!M:M,MATCH(D36,[1]AB2!B:B,0)),[1]AB3!$AQ$19),[1]AB3!$AR$6))))</f>
        <v>0</v>
      </c>
      <c r="BA37" s="51">
        <f>IF(AND(D38="Futures",AZ37=[1]AB3!$BC$7),[1]AB3!$BC$7,IF(AND(D38="Options Sell",AZ37=[1]AB3!$BC$13),[1]AB3!$BC$13,IF(AND(D38="Options Buy",AZ37=[1]AB3!$BC$19),[1]AB3!$BC$19,I36)))</f>
        <v>0</v>
      </c>
      <c r="BB37" s="52">
        <f t="shared" si="54"/>
        <v>0</v>
      </c>
      <c r="BC37" s="53"/>
      <c r="BD37" s="54" t="str">
        <f>IF(D38="Futures",[1]AB3!$BE$7,IF(D38="Options Sell",[1]AB3!$BE$13,IF(D38="Options Buy",[1]AB3!$BE$19)))</f>
        <v xml:space="preserve"> RC. Time</v>
      </c>
      <c r="BE37" s="55">
        <f>IF(D38="Futures",BE39+([1]AB3!$BF$7/1440),IF(D38="Options Sell",BE39+([1]AB3!$BF$13/1440),IF(D38="Options Buy",BE39+([1]AB3!$BF$19/1440))))</f>
        <v>0.39582638888888888</v>
      </c>
      <c r="BF37" s="55">
        <f>IF(D38="Futures",BE39+([1]AB3!$BG$7/1440),IF(D38="Options Sell",BE39+([1]AB3!$BG$13/1440),IF(D38="Options Buy",BE39+([1]AB3!$BG$19/1440))))</f>
        <v>0.39582638888888888</v>
      </c>
      <c r="BG37" s="55" t="str">
        <f>IF(D38="Futures",[1]AB3!$BH$7,IF(D38="Options Sell",[1]AB3!$BH$7,IF(D38="Options Buy",[1]AB3!$BH$7)))</f>
        <v>N.A.</v>
      </c>
      <c r="BH37" s="57"/>
      <c r="BI37" s="32"/>
      <c r="BJ37" s="61" t="str">
        <f>IF(D38="Futures",[1]AB3!$BK$7,IF(D38="Options Sell",[1]AB3!$BK$13,IF(D38="Options Buy",[1]AB3!$BK$19)))</f>
        <v>Short</v>
      </c>
      <c r="BK37" s="46">
        <v>0.01</v>
      </c>
      <c r="BL37" s="46">
        <v>0.01</v>
      </c>
      <c r="BM37" s="57"/>
      <c r="BN37" s="32"/>
      <c r="BO37" s="61" t="str">
        <f>IF(D38="Futures",[1]AB3!$BP$7,IF(D38="Options Sell",[1]AB3!$BP$13,IF(D38="Options Buy",[1]AB3!$BP$19)))</f>
        <v>Put</v>
      </c>
      <c r="BP37" s="43" t="str">
        <f t="array" ref="BP37">IF(A36="","",IF(D38="Futures","",IF(D38="EQUITY","",IF(D38="Options Sell",CONCATENATE([1]AB3!$BQ$13,INDEX([1]AB2!I:I,MATCH(A36,[1]AB2!A:A,0)),[1]AB3!$BR$13),IF(D38="Options Buy",CONCATENATE([1]AB3!$BQ$19,INDEX([1]AB2!I:I,MATCH(A36,[1]AB2!A:A,0)),[1]AB3!$BR$19))))))</f>
        <v/>
      </c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9"/>
      <c r="CL37" s="43"/>
      <c r="CM37" s="43"/>
      <c r="CN37" s="59"/>
      <c r="CO37" s="43"/>
      <c r="CP37" s="43"/>
      <c r="CQ37" s="59"/>
      <c r="CR37" s="43"/>
      <c r="CS37" s="43"/>
      <c r="CT37" s="59"/>
      <c r="CU37" s="43"/>
      <c r="CV37" s="59"/>
      <c r="CW37" s="59"/>
    </row>
    <row r="38" spans="1:101" ht="16.5" customHeight="1" x14ac:dyDescent="0.2">
      <c r="A38" s="60"/>
      <c r="B38" s="41" t="str">
        <f>CONCATENATE(D36,IF(D38="Futures",[1]AB3!$B$8,IF(D38="Options Sell",[1]AB3!$B$14,IF(D38="Options Buy",[1]AB3!$B$20))))</f>
        <v>S6C</v>
      </c>
      <c r="C38" s="42" t="str">
        <f>IF(D38="Futures",[1]AB3!$C$8,IF(D38="Options Sell",[1]AB3!$C$14,IF(D38="Options Buy",[1]AB3!$C$20)))</f>
        <v>Segment</v>
      </c>
      <c r="D38" s="43" t="str">
        <f t="array" ref="D38">IF(A36="","",INDEX([1]AB2!C:C,MATCH(D36,[1]AB2!B:B,0)))</f>
        <v>FUTURES</v>
      </c>
      <c r="E38" s="42" t="str">
        <f>IF(D38="Futures",[1]AB3!$E$8,IF(D38="Options Sell",[1]AB3!$E$14,IF(D38="Options Buy",[1]AB3!$E$20)))</f>
        <v>Contract</v>
      </c>
      <c r="F38" s="43" t="str">
        <f t="array" ref="F38">IF(A36="","",INDEX([1]AB2!F:F,MATCH(D36,[1]AB2!B:B,0)))</f>
        <v>MONTHLY</v>
      </c>
      <c r="G38" s="62"/>
      <c r="H38" s="62"/>
      <c r="I38" s="63"/>
      <c r="J38" s="64"/>
      <c r="K38" s="48"/>
      <c r="L38" s="62"/>
      <c r="M38" s="62"/>
      <c r="N38" s="63"/>
      <c r="O38" s="64"/>
      <c r="P38" s="63"/>
      <c r="Q38" s="64"/>
      <c r="R38" s="63"/>
      <c r="S38" s="64"/>
      <c r="T38" s="63"/>
      <c r="U38" s="64"/>
      <c r="V38" s="63"/>
      <c r="W38" s="64"/>
      <c r="X38" s="63"/>
      <c r="Y38" s="63"/>
      <c r="Z38" s="48"/>
      <c r="AA38" s="62"/>
      <c r="AB38" s="62"/>
      <c r="AC38" s="62"/>
      <c r="AD38" s="48"/>
      <c r="AE38" s="62"/>
      <c r="AF38" s="62"/>
      <c r="AG38" s="63"/>
      <c r="AH38" s="63"/>
      <c r="AI38" s="48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53"/>
      <c r="BD38" s="57"/>
      <c r="BE38" s="57"/>
      <c r="BF38" s="57"/>
      <c r="BG38" s="57"/>
      <c r="BH38" s="57"/>
      <c r="BI38" s="66"/>
      <c r="BJ38" s="62"/>
      <c r="BK38" s="63"/>
      <c r="BL38" s="63"/>
      <c r="BM38" s="57"/>
      <c r="BN38" s="66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A38" s="62"/>
      <c r="CB38" s="62"/>
      <c r="CC38" s="62"/>
      <c r="CD38" s="62"/>
      <c r="CE38" s="62"/>
      <c r="CF38" s="62"/>
      <c r="CG38" s="62"/>
      <c r="CH38" s="62"/>
      <c r="CI38" s="62"/>
      <c r="CJ38" s="62"/>
      <c r="CK38" s="59"/>
      <c r="CL38" s="62"/>
      <c r="CM38" s="62"/>
      <c r="CN38" s="59"/>
      <c r="CO38" s="62"/>
      <c r="CP38" s="62"/>
      <c r="CQ38" s="59"/>
      <c r="CR38" s="62"/>
      <c r="CS38" s="62"/>
      <c r="CT38" s="59"/>
      <c r="CU38" s="62"/>
      <c r="CV38" s="59"/>
      <c r="CW38" s="59"/>
    </row>
    <row r="39" spans="1:101" ht="16.5" customHeight="1" x14ac:dyDescent="0.2">
      <c r="A39" s="60"/>
      <c r="B39" s="41" t="str">
        <f>CONCATENATE(D36,IF(D38="Futures",[1]AB3!$B$9,IF(D38="Options Sell",[1]AB3!$B$15,IF(D38="Options Buy",[1]AB3!$B$21))))</f>
        <v>S6D</v>
      </c>
      <c r="C39" s="42" t="str">
        <f>IF(D38="Futures",[1]AB3!$C$9,IF(D38="Options Sell",[1]AB3!$C$15,IF(D38="Options Buy",[1]AB3!$C$21)))</f>
        <v>Symbol</v>
      </c>
      <c r="D39" s="43" t="str">
        <f t="array" ref="D39">IF(A36="","",INDEX([1]AB2!E:E,MATCH(D36,[1]AB2!B:B,0)))</f>
        <v>STOCKS</v>
      </c>
      <c r="E39" s="44" t="str">
        <f>IF(D38="Futures",[1]AB3!$E$9,IF(D38="Options Sell",[1]AB3!$E$15,IF(D38="Options Buy",[1]AB3!$E$21)))</f>
        <v>Bear / 
Bear CF</v>
      </c>
      <c r="F39" s="45" t="str">
        <f>IF(D38="Futures",[1]AB3!$F$9,IF(D38="Options Sell",[1]AB3!$F$15,IF(D38="Options Buy",[1]AB3!$F$21)))</f>
        <v>Long</v>
      </c>
      <c r="G39" s="43" t="str">
        <f t="array" ref="G39">IF(A36="","",IF(D38="Futures",CONCATENATE([1]AB3!$G$9,INDEX([1]AB2!J:J,MATCH(D36,[1]AB2!B:B,0)),[1]AB3!$H$9),IF(D38="Options Sell",CONCATENATE([1]AB3!$G$15,INDEX([1]AB2!I:I,MATCH(D36,[1]AB2!B:B,0)),[1]AB3!$H$15),IF(D38="Options Buy",CONCATENATE([1]AB3!$G$21,INDEX([1]AB2!J:J,MATCH(D36,[1]AB2!B:B,0)),[1]AB3!$H$21)))))</f>
        <v>FUT : PRV : 3DHH</v>
      </c>
      <c r="H39" s="43" t="str">
        <f>IF(D38="Futures",[1]AB3!$I$9,IF(D38="Options Sell",[1]AB3!$I$15,IF(D38="Options Buy",[1]AB3!$I$21)))</f>
        <v xml:space="preserve"> + </v>
      </c>
      <c r="I39" s="46">
        <v>0.01</v>
      </c>
      <c r="J39" s="47">
        <v>5</v>
      </c>
      <c r="K39" s="48"/>
      <c r="L39" s="43" t="str">
        <f>IF(D38="Futures",[1]AB3!$M$9,IF(D38="Options Sell",[1]AB3!$M$15,IF(D38="Options Buy",[1]AB3!$M$21)))</f>
        <v xml:space="preserve">L : Entry </v>
      </c>
      <c r="M39" s="43" t="str">
        <f>IF(D38="Futures",[1]AB3!$N$9,IF(D38="Options Sell",[1]AB3!$N$15,IF(D38="Options Buy",[1]AB3!$N$21)))</f>
        <v xml:space="preserve"> + </v>
      </c>
      <c r="N39" s="46">
        <v>0.03</v>
      </c>
      <c r="O39" s="47">
        <v>1</v>
      </c>
      <c r="P39" s="46">
        <v>4.4999999999999998E-2</v>
      </c>
      <c r="Q39" s="47">
        <v>1</v>
      </c>
      <c r="R39" s="46">
        <v>0.06</v>
      </c>
      <c r="S39" s="47">
        <v>1</v>
      </c>
      <c r="T39" s="46">
        <v>0.08</v>
      </c>
      <c r="U39" s="47">
        <v>1</v>
      </c>
      <c r="V39" s="50" t="s">
        <v>51</v>
      </c>
      <c r="W39" s="47">
        <v>1</v>
      </c>
      <c r="X39" s="50" t="s">
        <v>52</v>
      </c>
      <c r="Y39" s="50" t="s">
        <v>52</v>
      </c>
      <c r="Z39" s="48"/>
      <c r="AA39" s="43" t="str">
        <f>IF(D38="Futures",[1]AB3!$AD$9,IF(D38="Options Sell",[1]AB3!$AD$15,IF(D38="Options Buy",[1]AB3!$AD$21)))</f>
        <v>Max</v>
      </c>
      <c r="AB39" s="43" t="str">
        <f>IF(D38="Futures",[1]AB3!$AE$9,IF(D38="Options Sell",[1]AB3!$AE$15,IF(D38="Options Buy",[1]AB3!$AE$21)))</f>
        <v>MSL &amp; TSL</v>
      </c>
      <c r="AC39" s="43" t="str">
        <f>IF(D38="Futures",[1]AB3!$AF$9,IF(D38="Options Sell",[1]AB3!$AF$15,IF(D38="Options Buy",[1]AB3!$AF$21)))</f>
        <v>Entry &amp; TRP</v>
      </c>
      <c r="AD39" s="48"/>
      <c r="AE39" s="43" t="str">
        <f>IF(D38="Futures",[1]AB3!$AH$9,IF(D38="Options Sell",[1]AB3!$AH$15,IF(D38="Options Buy",[1]AB3!$AH$21)))</f>
        <v>L : Entry</v>
      </c>
      <c r="AF39" s="43" t="str">
        <f>IF(D38="Futures",[1]AB3!$AI$9,IF(D38="Options Sell",[1]AB3!$AI$15,IF(D38="Options Buy",[1]AB3!$AI$21)))</f>
        <v xml:space="preserve"> - </v>
      </c>
      <c r="AG39" s="46">
        <v>0.03</v>
      </c>
      <c r="AH39" s="46">
        <v>0</v>
      </c>
      <c r="AI39" s="48"/>
      <c r="AJ39" s="43" t="str">
        <f>IF(D38="Futures",[1]AB3!$AO$9,IF(D38="Options Sell",[1]AB3!$AO$15,IF(D38="Options Buy",[1]AB3!$AO$21)))</f>
        <v xml:space="preserve"> - </v>
      </c>
      <c r="AK39" s="43" t="str">
        <f t="array" ref="AK39">IF(A36="","",IF(D38="Futures",CONCATENATE([1]AB3!$AP$9,INDEX([1]AB2!M:M,MATCH(D36,[1]AB2!B:B,0)),[1]AB3!$AQ$9),IF(D38="Options Sell",CONCATENATE([1]AB3!$AP$15,INDEX([1]AB2!L:L,MATCH(D36,[1]AB2!B:B,0)),[1]AB3!$AQ$15),IF(D38="Options Buy",CONCATENATE([1]AB3!$AP$21,INDEX([1]AB2!M:M,MATCH(D36,[1]AB2!B:B,0)),[1]AB3!$AQ$21)))))</f>
        <v>FUT : PRV : 3DLL</v>
      </c>
      <c r="AL39" s="51">
        <f>IF(AND(D38="Futures",AK39=[1]AB3!$AS$9),[1]AB3!$AS$9,IF(AND(D38="Options Sell",AK39=[1]AB3!$AS$15),[1]AB3!$AS$15,IF(AND(D38="Options Buy",AK39=[1]AB3!$AS$21),[1]AB3!$AS$21,I40)))</f>
        <v>0.01</v>
      </c>
      <c r="AM39" s="52">
        <f>J40</f>
        <v>5</v>
      </c>
      <c r="AN39" s="43" t="str">
        <f t="array" ref="AN39">IF(A36="","",IF(AND(OR(D40="1 &amp; APS",D40="2 &amp; APS",D40="3 &amp; APS",D40="4 &amp; APS",D40="5 &amp; APS"),D38="Futures"),CONCATENATE([1]AB3!$AP$9,INDEX([1]AB2!M:M,MATCH(D36,[1]AB2!B:B,0)),[1]AB3!$AQ$9),IF(AND(OR(D40="1 &amp; APS",D40="2 &amp; APS",D40="3 &amp; APS",D40="4 &amp; APS",D40="5 &amp; APS"),D38="Options Sell"),CONCATENATE([1]AB3!$AP$15,INDEX([1]AB2!L:L,MATCH(D36,[1]AB2!B:B,0)),[1]AB3!$AQ$15),IF(AND(OR(D40="1 &amp; APS",D40="2 &amp; APS",D40="3 &amp; APS",D40="4 &amp; APS",D40="5 &amp; APS"),D38="Options Buy"),CONCATENATE([1]AB3!$AP$21,INDEX([1]AB2!M:M,MATCH(D36,[1]AB2!B:B,0)),[1]AB3!$AQ$21),[1]AB3!$AR$6))))</f>
        <v>FUT : PRV : 3DLL</v>
      </c>
      <c r="AO39" s="51">
        <f>IF(AND(D38="Futures",AN39=[1]AB3!$AU$9),[1]AB3!$AU$9,IF(AND(D38="Options Sell",AN39=[1]AB3!$AU$15),[1]AB3!$AU$15,IF(AND(D38="Options Buy",AN39=[1]AB3!$AU$21),[1]AB3!$AU$21,I40)))</f>
        <v>0.01</v>
      </c>
      <c r="AP39" s="52">
        <f t="shared" ref="AP39:AP40" si="55">AM39-O39</f>
        <v>4</v>
      </c>
      <c r="AQ39" s="43" t="str">
        <f t="array" ref="AQ39">IF(A36="","",IF(AND(OR(D40="2 &amp; APS",D40="3 &amp; APS",D40="4 &amp; APS",D40="5 &amp; APS"),D38="Futures"),CONCATENATE([1]AB3!$AP$9,INDEX([1]AB2!M:M,MATCH(D36,[1]AB2!B:B,0)),[1]AB3!$AQ$9),IF(AND(OR(D40="2 &amp; APS",D40="3 &amp; APS",D40="4 &amp; APS",D40="5 &amp; APS"),D38="Options Sell"),CONCATENATE([1]AB3!$AP$15,INDEX([1]AB2!L:L,MATCH(D36,[1]AB2!B:B,0)),[1]AB3!$AQ$15),IF(AND(OR(D40="2 &amp; APS",D40="3 &amp; APS",D40="4 &amp; APS",D40="5 &amp; APS"),D38="Options Buy"),CONCATENATE([1]AB3!$AP$21,INDEX([1]AB2!M:M,MATCH(D36,[1]AB2!B:B,0)),[1]AB3!$AQ$21),[1]AB3!$AR$6))))</f>
        <v>FUT : PRV : 3DLL</v>
      </c>
      <c r="AR39" s="51">
        <f>IF(AND(D38="Futures",AQ39=[1]AB3!$AW$9),[1]AB3!$AW$9,IF(AND(D38="Options Sell",AQ39=[1]AB3!$AW$15),[1]AB3!$AW$15,IF(AND(D38="Options Buy",AQ39=[1]AB3!$AW$21),[1]AB3!$AW$21,I40)))</f>
        <v>0.01</v>
      </c>
      <c r="AS39" s="52">
        <f t="shared" ref="AS39:AS40" si="56">AP39-Q39</f>
        <v>3</v>
      </c>
      <c r="AT39" s="43" t="str">
        <f t="array" ref="AT39">IF(A36="","",IF(AND(OR(D40="3 &amp; APS",D40="4 &amp; APS",D40="5 &amp; APS"),D38="Futures"),CONCATENATE([1]AB3!$AP$9,INDEX([1]AB2!M:M,MATCH(D36,[1]AB2!B:B,0)),[1]AB3!$AQ$9),IF(AND(OR(D40="3 &amp; APS",D40="4 &amp; APS",D40="5 &amp; APS"),D38="Options Sell"),CONCATENATE([1]AB3!$AP$15,INDEX([1]AB2!L:L,MATCH(D36,[1]AB2!B:B,0)),[1]AB3!$AQ$15),IF(AND(OR(D40="3 &amp; APS",D40="4 &amp; APS",D40="5 &amp; APS"),D38="Options Buy"),CONCATENATE([1]AB3!$AP$21,INDEX([1]AB2!M:M,MATCH(D36,[1]AB2!B:B,0)),[1]AB3!$AQ$21),[1]AB3!$AR$6))))</f>
        <v>FUT : PRV : 3DLL</v>
      </c>
      <c r="AU39" s="51">
        <f>IF(AND(D38="Futures",AT39=[1]AB3!$AY$9),[1]AB3!$AY$9,IF(AND(D38="Options Sell",AT39=[1]AB3!$AY$15),[1]AB3!$AY$15,IF(AND(D38="Options Buy",AT39=[1]AB3!$AY$21),[1]AB3!$AY$21,I40)))</f>
        <v>0.01</v>
      </c>
      <c r="AV39" s="52">
        <f t="shared" ref="AV39:AV40" si="57">AS39-S39</f>
        <v>2</v>
      </c>
      <c r="AW39" s="43" t="str">
        <f t="array" ref="AW39">IF(A36="","",IF(AND(OR(D40="4 &amp; APS",D40="5 &amp; APS"),D38="Futures"),CONCATENATE([1]AB3!$AP$9,INDEX([1]AB2!M:M,MATCH(D36,[1]AB2!B:B,0)),[1]AB3!$AQ$9),IF(AND(OR(D40="4 &amp; APS",D40="5 &amp; APS"),D38="Options Sell"),CONCATENATE([1]AB3!$AP$15,INDEX([1]AB2!L:L,MATCH(D36,[1]AB2!B:B,0)),[1]AB3!$AQ$15),IF(AND(OR(D40="4 &amp; APS",D40="5 &amp; APS"),D38="Options Buy"),CONCATENATE([1]AB3!$AP$21,INDEX([1]AB2!M:M,MATCH(D36,[1]AB2!B:B,0)),[1]AB3!$AQ$21),[1]AB3!$AR$6))))</f>
        <v>FUT : PRV : 3DLL</v>
      </c>
      <c r="AX39" s="51">
        <f>IF(AND(D38="Futures",AW39=[1]AB3!$BA$9),[1]AB3!$BA$9,IF(AND(D38="Options Sell",AW39=[1]AB3!$BA$15),[1]AB3!$BA$15,IF(AND(D38="Options Buy",AW39=[1]AB3!$BA$21),[1]AB3!$BA$21,I40)))</f>
        <v>0.01</v>
      </c>
      <c r="AY39" s="52">
        <f t="shared" ref="AY39:AY40" si="58">AV39-S39</f>
        <v>1</v>
      </c>
      <c r="AZ39" s="51">
        <f t="array" ref="AZ39">IF(A36="","",IF(AND(D40="5 &amp; APS",D38="Futures"),CONCATENATE([1]AB3!$AP$9,INDEX([1]AB2!M:M,MATCH(D36,[1]AB2!B:B,0)),[1]AB3!$AQ$9),IF(AND(D40="5 &amp; APS",D38="Options Sell"),CONCATENATE([1]AB3!$AP$15,INDEX([1]AB2!L:L,MATCH(D36,[1]AB2!B:B,0)),[1]AB3!$AQ$15),IF(AND(D40="5 &amp; APS",D38="Options Buy"),CONCATENATE([1]AB3!$AP$21,INDEX([1]AB2!M:M,MATCH(D36,[1]AB2!B:B,0)),[1]AB3!$AQ$21),[1]AB3!$AR$6))))</f>
        <v>0</v>
      </c>
      <c r="BA39" s="51">
        <f>IF(AND(D38="Futures",AZ39=[1]AB3!$BC$9),[1]AB3!$BC$9,IF(AND(D38="Options Sell",AZ39=[1]AB3!$BC$15),[1]AB3!$BC$15,IF(AND(D38="Options Buy",AZ39=[1]AB3!$BC$21),[1]AB3!$BC$21,I40)))</f>
        <v>0</v>
      </c>
      <c r="BB39" s="52">
        <f t="shared" ref="BB39:BB40" si="59">AY39-W39</f>
        <v>0</v>
      </c>
      <c r="BC39" s="53"/>
      <c r="BD39" s="54" t="str">
        <f>IF(D38="Futures",[1]AB3!$BE$9,IF(D38="Options Sell",[1]AB3!$BE$15,IF(D38="Options Buy",[1]AB3!$BE$21)))</f>
        <v>Market Start Time</v>
      </c>
      <c r="BE39" s="67">
        <f t="array" ref="BE39">IF(D36="","",INDEX([1]AB2!AG:AG,MATCH(D36,[1]AB2!B:B,0)))</f>
        <v>0.38541666666666669</v>
      </c>
      <c r="BF39" s="11"/>
      <c r="BG39" s="12"/>
      <c r="BH39" s="57"/>
      <c r="BI39" s="68" t="str">
        <f>IF(D38="Futures",[1]AB3!$BJ$9,IF(D38="Options Sell",[1]AB3!$BJ$15,IF(D38="Options Buy",[1]AB3!$BJ$21)))</f>
        <v>Bear / 
Bear CF</v>
      </c>
      <c r="BJ39" s="45" t="str">
        <f>IF(D38="Futures",[1]AB3!$BK$9,IF(D38="Options Sell",[1]AB3!$BK$15,IF(D38="Options Buy",[1]AB3!$BK$21)))</f>
        <v>Long</v>
      </c>
      <c r="BK39" s="46">
        <v>0.01</v>
      </c>
      <c r="BL39" s="46">
        <v>0.01</v>
      </c>
      <c r="BM39" s="57"/>
      <c r="BN39" s="68" t="str">
        <f>IF(D38="Futures",[1]AB3!$BO$9,IF(D38="Options Sell",[1]AB3!$BO$15,IF(D38="Options Buy",[1]AB3!$BO$21)))</f>
        <v>Bear | 
Bear CF</v>
      </c>
      <c r="BO39" s="45" t="str">
        <f>IF(D38="Futures",[1]AB3!$BP$9,IF(D38="Options Sell",[1]AB3!$BP$15,IF(D38="Options Buy",[1]AB3!$BP$21)))</f>
        <v>Call</v>
      </c>
      <c r="BP39" s="43" t="str">
        <f t="array" ref="BP39">IF(A36="","",IF(D38="Futures","",IF(D38="EQUITY","",IF(D38="Options Sell",CONCATENATE([1]AB3!$BQ$15,INDEX([1]AB2!I:I,MATCH(A36,[1]AB2!A:A,0)),[1]AB3!$BR$15),IF(D38="Options Buy",CONCATENATE([1]AB3!$BQ$21,INDEX([1]AB2!I:I,MATCH(A36,[1]AB2!A:A,0)),[1]AB3!$BR$21))))))</f>
        <v/>
      </c>
      <c r="BQ39" s="58"/>
      <c r="BR39" s="58"/>
      <c r="BS39" s="58"/>
      <c r="BT39" s="58"/>
      <c r="BU39" s="58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9"/>
      <c r="CL39" s="43"/>
      <c r="CM39" s="43"/>
      <c r="CN39" s="59"/>
      <c r="CO39" s="43"/>
      <c r="CP39" s="43"/>
      <c r="CQ39" s="59"/>
      <c r="CR39" s="43"/>
      <c r="CS39" s="43"/>
      <c r="CT39" s="59"/>
      <c r="CU39" s="43"/>
      <c r="CV39" s="59"/>
      <c r="CW39" s="59"/>
    </row>
    <row r="40" spans="1:101" ht="16.5" customHeight="1" x14ac:dyDescent="0.2">
      <c r="A40" s="32"/>
      <c r="B40" s="41" t="str">
        <f>CONCATENATE(D36,IF(D38="Futures",[1]AB3!$B$10,IF(D38="Options Sell",[1]AB3!$B$16,IF(D38="Options Buy",[1]AB3!$B$22))))</f>
        <v>S6E</v>
      </c>
      <c r="C40" s="42" t="str">
        <f>IF(D38="Futures",[1]AB3!$C$10,IF(D38="Options Sell",[1]AB3!$C$16,IF(D38="Options Buy",[1]AB3!$C$22)))</f>
        <v>No. of Targets</v>
      </c>
      <c r="D40" s="43" t="str">
        <f t="array" ref="D40">IF(A36="","",INDEX([1]AB2!K:K,MATCH(D36,[1]AB2!B:B,0)))</f>
        <v>4 &amp; APS</v>
      </c>
      <c r="E40" s="32"/>
      <c r="F40" s="61" t="str">
        <f>IF(D38="Futures",[1]AB3!$F$10,IF(D38="Options Sell",[1]AB3!$F$16,IF(D38="Options Buy",[1]AB3!$F$22)))</f>
        <v>Short</v>
      </c>
      <c r="G40" s="43" t="str">
        <f t="array" ref="G40">(IF(A36="","",IF(D38="Futures",CONCATENATE([1]AB3!$G$10,INDEX([1]AB2!I:I,MATCH(D36,[1]AB2!B:B,0)),[1]AB3!$H$10),IF(D38="Options Sell",CONCATENATE([1]AB3!$G$16,INDEX([1]AB2!J:J,MATCH(D36,[1]AB2!B:B,0)),[1]AB3!$H$16),IF(D38="Options Buy",CONCATENATE([1]AB3!$G$22,INDEX([1]AB2!I:I,MATCH(D36,[1]AB2!B:B,0)),[1]AB3!$H$22))))))</f>
        <v>FUT : PRV : 3DLL</v>
      </c>
      <c r="H40" s="43" t="str">
        <f>IF(D38="Futures",[1]AB3!$I$10,IF(D38="Options Sell",[1]AB3!$I$16,IF(D38="Options Buy",[1]AB3!$I$22)))</f>
        <v xml:space="preserve"> - </v>
      </c>
      <c r="I40" s="46">
        <v>0.01</v>
      </c>
      <c r="J40" s="47">
        <v>5</v>
      </c>
      <c r="K40" s="48"/>
      <c r="L40" s="43" t="str">
        <f>IF(D38="Futures",[1]AB3!$M$10,IF(D38="Options Sell",[1]AB3!$M$16,IF(D38="Options Buy",[1]AB3!$M$22)))</f>
        <v xml:space="preserve">S : Entry </v>
      </c>
      <c r="M40" s="43" t="str">
        <f>IF(D38="Futures",[1]AB3!$N$10,IF(D38="Options Sell",[1]AB3!$N$16,IF(D38="Options Buy",[1]AB3!$N$22)))</f>
        <v xml:space="preserve"> - </v>
      </c>
      <c r="N40" s="46">
        <v>0.03</v>
      </c>
      <c r="O40" s="47">
        <v>1</v>
      </c>
      <c r="P40" s="46">
        <v>4.4999999999999998E-2</v>
      </c>
      <c r="Q40" s="47">
        <v>1</v>
      </c>
      <c r="R40" s="46">
        <v>0.06</v>
      </c>
      <c r="S40" s="47">
        <v>1</v>
      </c>
      <c r="T40" s="46">
        <v>0.08</v>
      </c>
      <c r="U40" s="47">
        <v>1</v>
      </c>
      <c r="V40" s="50" t="s">
        <v>51</v>
      </c>
      <c r="W40" s="47">
        <v>1</v>
      </c>
      <c r="X40" s="50" t="s">
        <v>52</v>
      </c>
      <c r="Y40" s="50" t="s">
        <v>52</v>
      </c>
      <c r="Z40" s="48"/>
      <c r="AA40" s="43" t="str">
        <f>IF(D38="Futures",[1]AB3!$AD$10,IF(D38="Options Sell",[1]AB3!$AD$16,IF(D38="Options Buy",[1]AB3!$AD$22)))</f>
        <v>Min</v>
      </c>
      <c r="AB40" s="43" t="str">
        <f>IF(D38="Futures",[1]AB3!$AE$10,IF(D38="Options Sell",[1]AB3!$AE$16,IF(D38="Options Buy",[1]AB3!$AE$22)))</f>
        <v>MSL &amp; TSL</v>
      </c>
      <c r="AC40" s="43" t="str">
        <f>IF(D38="Futures",[1]AB3!$AF$10,IF(D38="Options Sell",[1]AB3!$AF$16,IF(D38="Options Buy",[1]AB3!$AF$22)))</f>
        <v>Entry &amp; TRP</v>
      </c>
      <c r="AD40" s="48"/>
      <c r="AE40" s="43" t="str">
        <f>IF(D38="Futures",[1]AB3!$AH$10,IF(D38="Options Sell",[1]AB3!$AH$16,IF(D38="Options Buy",[1]AB3!$AH$22)))</f>
        <v>S : Entry</v>
      </c>
      <c r="AF40" s="43" t="str">
        <f>IF(D38="Futures",[1]AB3!$AI$10,IF(D38="Options Sell",[1]AB3!$AI$16,IF(D38="Options Buy",[1]AB3!$AI$22)))</f>
        <v xml:space="preserve"> + </v>
      </c>
      <c r="AG40" s="46">
        <v>0.03</v>
      </c>
      <c r="AH40" s="46">
        <v>0</v>
      </c>
      <c r="AI40" s="48"/>
      <c r="AJ40" s="43" t="str">
        <f>IF(D38="Futures",[1]AB3!$AO$10,IF(D38="Options Sell",[1]AB3!$AO$16,IF(D38="Options Buy",[1]AB3!$AO$22)))</f>
        <v xml:space="preserve"> + </v>
      </c>
      <c r="AK40" s="43" t="str">
        <f t="array" ref="AK40">IF(A36="","",IF(D38="Futures",CONCATENATE([1]AB3!$AP$10,INDEX([1]AB2!L:L,MATCH(D36,[1]AB2!B:B,0)),[1]AB3!$AQ$10),IF(D38="Options Sell",CONCATENATE([1]AB3!$AP$16,INDEX([1]AB2!M:M,MATCH(D36,[1]AB2!B:B,0)),[1]AB3!$AQ$16),IF(D38="Options Buy",CONCATENATE([1]AB3!$AP$22,INDEX([1]AB2!L:L,MATCH(D36,[1]AB2!B:B,0)),[1]AB3!$AQ$22)))))</f>
        <v>FUT : PRV : 3DHH</v>
      </c>
      <c r="AL40" s="51">
        <f>IF(AND(D38="Futures",AK40=[1]AB3!$AS$10),[1]AB3!$AS$10,IF(AND(D38="Options Sell",AK40=[1]AB3!$AS$16),[1]AB3!$AS$16,IF(AND(D38="Options Buy",AK40=[1]AB3!$AS$22),[1]AB3!$AS$22,I39)))</f>
        <v>0.01</v>
      </c>
      <c r="AM40" s="52">
        <f>J39</f>
        <v>5</v>
      </c>
      <c r="AN40" s="43" t="str">
        <f t="array" ref="AN40">IF(A36="","",IF(AND(OR(D40="1 &amp; APS",D40="2 &amp; APS",D40="3 &amp; APS",D40="4 &amp; APS",D40="5 &amp; APS"),D38="Futures"),CONCATENATE([1]AB3!$AP$10,INDEX([1]AB2!L:L,MATCH(D36,[1]AB2!B:B,0)),[1]AB3!$AQ$10),IF(AND(OR(D40="1 &amp; APS",D40="2 &amp; APS",D40="3 &amp; APS",D40="4 &amp; APS",D40="5 &amp; APS"),D38="Options Sell"),CONCATENATE([1]AB3!$AP$16,INDEX([1]AB2!M:M,MATCH(D36,[1]AB2!B:B,0)),[1]AB3!$AQ$16),IF(AND(OR(D40="1 &amp; APS",D40="2 &amp; APS",D40="3 &amp; APS",D40="4 &amp; APS",D40="5 &amp; APS"),D38="Options Buy"),CONCATENATE([1]AB3!$AP$22,INDEX([1]AB2!L:L,MATCH(D36,[1]AB2!B:B,0)),[1]AB3!$AQ$22),[1]AB3!$AR$6))))</f>
        <v>FUT : PRV : 3DHH</v>
      </c>
      <c r="AO40" s="51">
        <f>IF(AND(D38="Futures",AN40=[1]AB3!$AU$10),[1]AB3!$AU$10,IF(AND(D38="Options Sell",AN40=[1]AB3!$AU$16),[1]AB3!$AU$16,IF(AND(D38="Options Buy",AN40=[1]AB3!$AU$22),[1]AB3!$AU$22,I39)))</f>
        <v>0.01</v>
      </c>
      <c r="AP40" s="52">
        <f t="shared" si="55"/>
        <v>4</v>
      </c>
      <c r="AQ40" s="43" t="str">
        <f t="array" ref="AQ40">IF(A36="","",IF(AND(OR(D40="2 &amp; APS",D40="3 &amp; APS",D40="4 &amp; APS",D40="5 &amp; APS"),D38="Futures"),CONCATENATE([1]AB3!$AP$10,INDEX([1]AB2!L:L,MATCH(D36,[1]AB2!B:B,0)),[1]AB3!$AQ$10),IF(AND(OR(D40="2 &amp; APS",D40="3 &amp; APS",D40="4 &amp; APS",D40="5 &amp; APS"),D38="Options Sell"),CONCATENATE([1]AB3!$AP$16,INDEX([1]AB2!M:M,MATCH(D36,[1]AB2!B:B,0)),[1]AB3!$AQ$16),IF(AND(OR(D40="2 &amp; APS",D40="3 &amp; APS",D40="4 &amp; APS",D40="5 &amp; APS"),D38="Options Buy"),CONCATENATE([1]AB3!$AP$22,INDEX([1]AB2!L:L,MATCH(D36,[1]AB2!B:B,0)),[1]AB3!$AQ$22),[1]AB3!$AR$6))))</f>
        <v>FUT : PRV : 3DHH</v>
      </c>
      <c r="AR40" s="51">
        <f>IF(AND(D38="Futures",AQ40=[1]AB3!$AW$10),[1]AB3!$AW$10,IF(AND(D38="Options Sell",AQ40=[1]AB3!$AW$16),[1]AB3!$AW$16,IF(AND(D38="Options Buy",AQ40=[1]AB3!$AW$22),[1]AB3!$AW$22,I39)))</f>
        <v>0.01</v>
      </c>
      <c r="AS40" s="52">
        <f t="shared" si="56"/>
        <v>3</v>
      </c>
      <c r="AT40" s="43" t="str">
        <f t="array" ref="AT40">IF(A36="","",IF(AND(OR(D40="3 &amp; APS",D40="4 &amp; APS",D40="5 &amp; APS"),D38="Futures"),CONCATENATE([1]AB3!$AP$10,INDEX([1]AB2!L:L,MATCH(D36,[1]AB2!B:B,0)),[1]AB3!$AQ$10),IF(AND(OR(D40="3 &amp; APS",D40="4 &amp; APS",D40="5 &amp; APS"),D38="Options Sell"),CONCATENATE([1]AB3!$AP$16,INDEX([1]AB2!M:M,MATCH(D36,[1]AB2!B:B,0)),[1]AB3!$AQ$16),IF(AND(OR(D40="3 &amp; APS",D40="4 &amp; APS",D40="5 &amp; APS"),D38="Options Buy"),CONCATENATE([1]AB3!$AP$22,INDEX([1]AB2!L:L,MATCH(D36,[1]AB2!B:B,0)),[1]AB3!$AQ$22),[1]AB3!$AR$6))))</f>
        <v>FUT : PRV : 3DHH</v>
      </c>
      <c r="AU40" s="51">
        <f>IF(AND(D38="Futures",AT40=[1]AB3!$AY$10),[1]AB3!$AY$10,IF(AND(D38="Options Sell",AT40=[1]AB3!$AY$16),[1]AB3!$AY$16,IF(AND(D38="Options Buy",AT40=[1]AB3!$AY$22),[1]AB3!$AY$22,I39)))</f>
        <v>0.01</v>
      </c>
      <c r="AV40" s="52">
        <f t="shared" si="57"/>
        <v>2</v>
      </c>
      <c r="AW40" s="43" t="str">
        <f t="array" ref="AW40">IF(A36="","",IF(AND(OR(D40="4 &amp; APS",D40="5 &amp; APS"),D38="Futures"),CONCATENATE([1]AB3!$AP$10,INDEX([1]AB2!L:L,MATCH(D36,[1]AB2!B:B,0)),[1]AB3!$AQ$10),IF(AND(OR(D40="4 &amp; APS",D40="5 &amp; APS"),D38="Options Sell"),CONCATENATE([1]AB3!$AP$16,INDEX([1]AB2!M:M,MATCH(D36,[1]AB2!B:B,0)),[1]AB3!$AQ$16),IF(AND(OR(D40="4 &amp; APS",D40="5 &amp; APS"),D38="Options Buy"),CONCATENATE([1]AB3!$AP$22,INDEX([1]AB2!L:L,MATCH(D36,[1]AB2!B:B,0)),[1]AB3!$AQ$22),[1]AB3!$AR$6))))</f>
        <v>FUT : PRV : 3DHH</v>
      </c>
      <c r="AX40" s="51">
        <f>IF(AND(D38="Futures",AW40=[1]AB3!$BA$10),[1]AB3!$BA$10,IF(AND(D38="Options Sell",AW40=[1]AB3!$BA$16),[1]AB3!$BA$16,IF(AND(D38="Options Buy",AW40=[1]AB3!$BA$22),[1]AB3!$BA$22,I39)))</f>
        <v>0.01</v>
      </c>
      <c r="AY40" s="52">
        <f t="shared" si="58"/>
        <v>1</v>
      </c>
      <c r="AZ40" s="51">
        <f t="array" ref="AZ40">IF(A36="","",IF(AND(D40="5 &amp; APS",D38="Futures"),CONCATENATE([1]AB3!$AP$10,INDEX([1]AB2!L:L,MATCH(D36,[1]AB2!B:B,0)),[1]AB3!$AQ$10),IF(AND(D40="5 &amp; APS",D38="Options Sell"),CONCATENATE([1]AB3!$AP$16,INDEX([1]AB2!M:M,MATCH(D36,[1]AB2!B:B,0)),[1]AB3!$AQ$16),IF(AND(D40="5 &amp; APS",D38="Options Buy"),CONCATENATE([1]AB3!$AP$22,INDEX([1]AB2!L:L,MATCH(D36,[1]AB2!B:B,0)),[1]AB3!$AQ$22),[1]AB3!$AR$6))))</f>
        <v>0</v>
      </c>
      <c r="BA40" s="51">
        <f>IF(AND(D38="Futures",AZ40=[1]AB3!$BC$10),[1]AB3!$BC$10,IF(AND(D38="Options Sell",AZ40=[1]AB3!$BC$16),[1]AB3!$BC$16,IF(AND(D38="Options Buy",AZ40=[1]AB3!$BC$22),[1]AB3!$BC$22,I39)))</f>
        <v>0</v>
      </c>
      <c r="BB40" s="52">
        <f t="shared" si="59"/>
        <v>0</v>
      </c>
      <c r="BC40" s="53"/>
      <c r="BD40" s="54" t="str">
        <f>IF(D38="Futures",[1]AB3!$BE$10,IF(D38="Options Sell",[1]AB3!$BE$16,IF(D38="Options Buy",[1]AB3!$BE$22)))</f>
        <v>Market End Time</v>
      </c>
      <c r="BE40" s="67">
        <f t="array" ref="BE40">IF(D36="","",INDEX([1]AB2!AH:AH,MATCH(D36,[1]AB2!B:B,0)))</f>
        <v>0.64583333333333337</v>
      </c>
      <c r="BF40" s="11"/>
      <c r="BG40" s="12"/>
      <c r="BH40" s="57"/>
      <c r="BI40" s="32"/>
      <c r="BJ40" s="61" t="str">
        <f>IF(D38="Futures",[1]AB3!$BK$10,IF(D38="Options Sell",[1]AB3!$BK$16,IF(D38="Options Buy",[1]AB3!$BK$22)))</f>
        <v>Short</v>
      </c>
      <c r="BK40" s="46">
        <v>0.01</v>
      </c>
      <c r="BL40" s="46">
        <v>0.01</v>
      </c>
      <c r="BM40" s="57"/>
      <c r="BN40" s="32"/>
      <c r="BO40" s="61" t="str">
        <f>IF(D38="Futures",[1]AB3!$BP$10,IF(D38="Options Sell",[1]AB3!$BP$16,IF(D38="Options Buy",[1]AB3!$BP$22)))</f>
        <v>Put</v>
      </c>
      <c r="BP40" s="43" t="str">
        <f t="array" ref="BP40">IF(A36="","",IF(D38="Futures","",IF(D38="EQUITY","",IF(D38="Options Sell",CONCATENATE([1]AB3!$BQ$16,INDEX([1]AB2!J:J,MATCH(A36,[1]AB2!A:A,0)),[1]AB3!$BR$16),IF(D38="Options Buy",CONCATENATE([1]AB3!$BQ$22,INDEX([1]AB2!J:J,MATCH(A36,[1]AB2!A:A,0)),[1]AB3!$BR$22))))))</f>
        <v/>
      </c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9"/>
      <c r="CL40" s="43"/>
      <c r="CM40" s="43"/>
      <c r="CN40" s="59"/>
      <c r="CO40" s="43"/>
      <c r="CP40" s="43"/>
      <c r="CQ40" s="59"/>
      <c r="CR40" s="43"/>
      <c r="CS40" s="43"/>
      <c r="CT40" s="59"/>
      <c r="CU40" s="43"/>
      <c r="CV40" s="59"/>
      <c r="CW40" s="59"/>
    </row>
    <row r="41" spans="1:101" ht="15.75" customHeight="1" x14ac:dyDescent="0.2">
      <c r="A41" s="1"/>
      <c r="B41" s="2"/>
      <c r="C41" s="2"/>
      <c r="D41" s="2"/>
      <c r="E41" s="2"/>
      <c r="F41" s="2"/>
      <c r="G41" s="2"/>
      <c r="H41" s="2"/>
      <c r="I41" s="2"/>
      <c r="J41" s="64"/>
      <c r="K41" s="2"/>
      <c r="L41" s="2"/>
      <c r="M41" s="2"/>
      <c r="N41" s="2"/>
      <c r="O41" s="64"/>
      <c r="P41" s="2"/>
      <c r="Q41" s="64"/>
      <c r="R41" s="69"/>
      <c r="S41" s="64"/>
      <c r="T41" s="70"/>
      <c r="U41" s="64"/>
      <c r="V41" s="2"/>
      <c r="W41" s="64"/>
      <c r="X41" s="2"/>
      <c r="Y41" s="2"/>
      <c r="Z41" s="2"/>
      <c r="AA41" s="20"/>
      <c r="AB41" s="71"/>
      <c r="AC41" s="71"/>
      <c r="AD41" s="2"/>
      <c r="AE41" s="70"/>
      <c r="AF41" s="70"/>
      <c r="AG41" s="70"/>
      <c r="AH41" s="70"/>
      <c r="AI41" s="2"/>
      <c r="AJ41" s="70"/>
      <c r="AK41" s="70"/>
      <c r="AL41" s="70"/>
      <c r="AM41" s="64"/>
      <c r="AN41" s="70"/>
      <c r="AO41" s="70"/>
      <c r="AP41" s="64"/>
      <c r="AQ41" s="70"/>
      <c r="AR41" s="70"/>
      <c r="AS41" s="64"/>
      <c r="AT41" s="70"/>
      <c r="AU41" s="70"/>
      <c r="AV41" s="64"/>
      <c r="AW41" s="70"/>
      <c r="AX41" s="70"/>
      <c r="AY41" s="64"/>
      <c r="AZ41" s="70"/>
      <c r="BA41" s="70"/>
      <c r="BB41" s="64"/>
      <c r="BC41" s="70"/>
      <c r="BD41" s="70"/>
      <c r="BE41" s="70"/>
      <c r="BF41" s="70"/>
      <c r="BG41" s="70"/>
      <c r="BH41" s="70"/>
      <c r="BI41" s="70"/>
      <c r="BJ41" s="70"/>
      <c r="BK41" s="2"/>
      <c r="BL41" s="2"/>
      <c r="BM41" s="70"/>
      <c r="BN41" s="70"/>
      <c r="BO41" s="70"/>
      <c r="BP41" s="70"/>
      <c r="BQ41" s="70"/>
      <c r="BR41" s="70"/>
      <c r="BS41" s="70"/>
      <c r="BT41" s="70"/>
      <c r="BU41" s="70"/>
      <c r="BV41" s="70"/>
      <c r="BW41" s="70"/>
      <c r="BX41" s="70"/>
      <c r="BY41" s="70"/>
      <c r="BZ41" s="70"/>
      <c r="CA41" s="70"/>
      <c r="CB41" s="70"/>
      <c r="CC41" s="70"/>
      <c r="CD41" s="70"/>
      <c r="CE41" s="70"/>
      <c r="CF41" s="70"/>
      <c r="CG41" s="70"/>
      <c r="CH41" s="70"/>
      <c r="CI41" s="70"/>
      <c r="CJ41" s="70"/>
      <c r="CK41" s="70"/>
      <c r="CL41" s="2"/>
      <c r="CM41" s="2"/>
      <c r="CN41" s="70"/>
      <c r="CO41" s="70"/>
      <c r="CP41" s="70"/>
      <c r="CQ41" s="70"/>
      <c r="CR41" s="2"/>
      <c r="CS41" s="2"/>
      <c r="CT41" s="70"/>
      <c r="CU41" s="70"/>
      <c r="CV41" s="70"/>
      <c r="CW41" s="70"/>
    </row>
    <row r="42" spans="1:101" ht="15.75" customHeight="1" x14ac:dyDescent="0.2">
      <c r="A42" s="40">
        <v>7</v>
      </c>
      <c r="B42" s="41" t="str">
        <f>CONCATENATE(D42,IF(D44="Futures",[1]AB3!$B$6,IF(D44="Options Sell",[1]AB3!$B$12,IF(D44="Options Buy",[1]AB3!$B$18))))</f>
        <v>S7A</v>
      </c>
      <c r="C42" s="42" t="str">
        <f>IF(D44="Futures",[1]AB3!$C$6,IF(D44="Options Sell",[1]AB3!$C$12,IF(D44="Options Buy",[1]AB3!$C$18)))</f>
        <v>Strategy Code</v>
      </c>
      <c r="D42" s="43" t="str">
        <f t="array" ref="D42">IF(A42="","",INDEX([1]AB2!B:B,MATCH(A42,[1]AB2!A:A,0)))</f>
        <v>S7</v>
      </c>
      <c r="E42" s="44" t="str">
        <f>IF(D44="Futures",[1]AB3!$E$6,IF(D44="Options Sell",[1]AB3!$E$12,IF(D44="Options Buy",[1]AB3!$E$18)))</f>
        <v>Bull / 
Bull CF</v>
      </c>
      <c r="F42" s="45" t="str">
        <f>IF(D44="Futures",[1]AB3!$F$6,IF(D44="Options Sell",[1]AB3!$F$12,IF(D44="Options Buy",[1]AB3!$F$18)))</f>
        <v>Long</v>
      </c>
      <c r="G42" s="43" t="str">
        <f t="array" ref="G42">IF(A42="","",IF(D44="Futures",CONCATENATE([1]AB3!$G$6,INDEX([1]AB2!I:I,MATCH(D42,[1]AB2!B:B,0)),[1]AB3!$H$6),IF(D44="Options Sell",CONCATENATE([1]AB3!$G$12,INDEX([1]AB2!J:J,MATCH(D42,[1]AB2!B:B,0)),[1]AB3!$H$12),IF(D44="Options Buy",CONCATENATE([1]AB3!$G$18,INDEX([1]AB2!I:I,MATCH(D42,[1]AB2!B:B,0)),[1]AB3!$H$18)))))</f>
        <v>FUT : PRV : 2DHH</v>
      </c>
      <c r="H42" s="43" t="str">
        <f>IF(D44="Futures",[1]AB3!$I$6,IF(D44="Options Sell",[1]AB3!$I$12,IF(D44="Options Buy",[1]AB3!$I$18)))</f>
        <v xml:space="preserve"> + </v>
      </c>
      <c r="I42" s="46">
        <v>0</v>
      </c>
      <c r="J42" s="47">
        <v>5</v>
      </c>
      <c r="K42" s="48"/>
      <c r="L42" s="43" t="str">
        <f>IF(D44="Futures",[1]AB3!$M$6,IF(D44="Options Sell",[1]AB3!$M$12,IF(D44="Options Buy",[1]AB3!$M$18)))</f>
        <v xml:space="preserve">L : Entry </v>
      </c>
      <c r="M42" s="43" t="str">
        <f>IF(D44="Futures",[1]AB3!$N$6,IF(D44="Options Sell",[1]AB3!$N$12,IF(D44="Options Buy",[1]AB3!$N$18)))</f>
        <v xml:space="preserve"> + </v>
      </c>
      <c r="N42" s="46">
        <v>0.03</v>
      </c>
      <c r="O42" s="47">
        <v>1</v>
      </c>
      <c r="P42" s="46">
        <v>4.4999999999999998E-2</v>
      </c>
      <c r="Q42" s="47">
        <v>1</v>
      </c>
      <c r="R42" s="46">
        <v>0.06</v>
      </c>
      <c r="S42" s="47">
        <v>1</v>
      </c>
      <c r="T42" s="46">
        <v>0.08</v>
      </c>
      <c r="U42" s="47">
        <v>1</v>
      </c>
      <c r="V42" s="50" t="s">
        <v>51</v>
      </c>
      <c r="W42" s="47">
        <v>1</v>
      </c>
      <c r="X42" s="50" t="s">
        <v>52</v>
      </c>
      <c r="Y42" s="50" t="s">
        <v>52</v>
      </c>
      <c r="Z42" s="48"/>
      <c r="AA42" s="43" t="str">
        <f>IF(D44="Futures",[1]AB3!$AD$6,IF(D44="Options Sell",[1]AB3!$AD$12,IF(D44="Options Buy",[1]AB3!$AD$18)))</f>
        <v>Max</v>
      </c>
      <c r="AB42" s="43" t="str">
        <f>IF(D44="Futures",[1]AB3!$AE$6,IF(D44="Options Sell",[1]AB3!$AE$12,IF(D44="Options Buy",[1]AB3!$AE$18)))</f>
        <v>MSL &amp; TSL</v>
      </c>
      <c r="AC42" s="43" t="str">
        <f>IF(D44="Futures",[1]AB3!$AF$6,IF(D44="Options Sell",[1]AB3!$AF$12,IF(D44="Options Buy",[1]AB3!$AF$18)))</f>
        <v>Entry &amp; TRP</v>
      </c>
      <c r="AD42" s="48"/>
      <c r="AE42" s="43" t="str">
        <f>IF(D44="Futures",[1]AB3!$AH$6,IF(D44="Options Sell",[1]AB3!$AH$12,IF(D44="Options Buy",[1]AB3!$AH$18)))</f>
        <v>L : Entry</v>
      </c>
      <c r="AF42" s="43" t="str">
        <f>IF(D44="Futures",[1]AB3!$AI$6,IF(D44="Options Sell",[1]AB3!$AI$12,IF(D44="Options Buy",[1]AB3!$AI$18)))</f>
        <v xml:space="preserve"> - </v>
      </c>
      <c r="AG42" s="46">
        <v>0.03</v>
      </c>
      <c r="AH42" s="46">
        <v>0</v>
      </c>
      <c r="AI42" s="48"/>
      <c r="AJ42" s="43" t="str">
        <f>IF(D44="Futures",[1]AB3!$AO$6,IF(D44="Options Sell",[1]AB3!$AO$12,IF(D44="Options Buy",[1]AB3!$AO$18)))</f>
        <v xml:space="preserve"> - </v>
      </c>
      <c r="AK42" s="43" t="str">
        <f t="array" ref="AK42">IF(A42="","",IF(D44="Futures",CONCATENATE([1]AB3!$AP$6,INDEX([1]AB2!L:L,MATCH(D42,[1]AB2!B:B,0)),[1]AB3!$AQ$6),IF(D44="Options Sell",CONCATENATE([1]AB3!$AP$12,INDEX([1]AB2!M:M,MATCH(D42,[1]AB2!B:B,0)),[1]AB3!$AQ$12),IF(D44="Options Buy",CONCATENATE([1]AB3!$AP$18,INDEX([1]AB2!L:L,MATCH(D42,[1]AB2!B:B,0)),[1]AB3!$AQ$18)))))</f>
        <v>FUT : PRV : PW&amp;CWLL</v>
      </c>
      <c r="AL42" s="51">
        <f>IF(AND(D44="Futures",AK42=[1]AB3!$AS$6),[1]AB3!$AS$6,IF(AND(D44="Options Sell",AK42=[1]AB3!$AS$12),[1]AB3!$AS$12,IF(AND(D44="Options Buy",AK42=[1]AB3!$AS$18),[1]AB3!$AS$18,I43)))</f>
        <v>0.01</v>
      </c>
      <c r="AM42" s="52">
        <f>J43</f>
        <v>5</v>
      </c>
      <c r="AN42" s="43" t="str">
        <f t="array" ref="AN42">IF(A42="","",IF(AND(OR(D46="1 &amp; APS",D46="2 &amp; APS",D46="3 &amp; APS",D46="4 &amp; APS",D46="5 &amp; APS"),D44="Futures"),CONCATENATE([1]AB3!$AP$6,INDEX([1]AB2!L:L,MATCH(D42,[1]AB2!B:B,0)),[1]AB3!$AQ$6),IF(AND(OR(D46="1 &amp; APS",D46="2 &amp; APS",D46="3 &amp; APS",D46="4 &amp; APS",D46="5 &amp; APS"),D44="Options Sell"),CONCATENATE([1]AB3!$AP$12,INDEX([1]AB2!M:M,MATCH(D42,[1]AB2!B:B,0)),[1]AB3!$AQ$12),IF(AND(OR(D46="1 &amp; APS",D46="2 &amp; APS",D46="3 &amp; APS",D46="4 &amp; APS",D46="5 &amp; APS"),D44="Options Buy"),CONCATENATE([1]AB3!$AP$18,INDEX([1]AB2!L:L,MATCH(D42,[1]AB2!B:B,0)),[1]AB3!$AQ$18),[1]AB3!$AR$6))))</f>
        <v>FUT : PRV : PW&amp;CWLL</v>
      </c>
      <c r="AO42" s="51">
        <f>IF(AND(D44="Futures",AN42=[1]AB3!$AU$6),[1]AB3!$AU$6,IF(AND(D44="Options Sell",AN42=[1]AB3!$AU$12),[1]AB3!$AU$12,IF(AND(D44="Options Buy",AN42=[1]AB3!$AU$18),[1]AB3!$AU$18,I43)))</f>
        <v>0.01</v>
      </c>
      <c r="AP42" s="52">
        <f t="shared" ref="AP42:AP43" si="60">AM42-O42</f>
        <v>4</v>
      </c>
      <c r="AQ42" s="43" t="str">
        <f t="array" ref="AQ42">IF(A42="","",IF(AND(OR(D46="2 &amp; APS",D46="3 &amp; APS",D46="4 &amp; APS",D46="5 &amp; APS"),D44="Futures"),CONCATENATE([1]AB3!$AP$6,INDEX([1]AB2!L:L,MATCH(D42,[1]AB2!B:B,0)),[1]AB3!$AQ$6),IF(AND(OR(D46="2 &amp; APS",D46="3 &amp; APS",D46="4 &amp; APS",D46="5 &amp; APS"),D44="Options Sell"),CONCATENATE([1]AB3!$AP$12,INDEX([1]AB2!M:M,MATCH(D42,[1]AB2!B:B,0)),[1]AB3!$AQ$12),IF(AND(OR(D46="2 &amp; APS",D46="3 &amp; APS",D46="4 &amp; APS",D46="5 &amp; APS"),D44="Options Buy"),CONCATENATE([1]AB3!$AP$18,INDEX([1]AB2!L:L,MATCH(D42,[1]AB2!B:B,0)),[1]AB3!$AQ$18),[1]AB3!$AR$6))))</f>
        <v>FUT : PRV : PW&amp;CWLL</v>
      </c>
      <c r="AR42" s="51">
        <f>IF(AND(D44="Futures",AQ42=[1]AB3!$AW$6),[1]AB3!$AW$6,IF(AND(D44="Options Sell",AQ42=[1]AB3!$AW$12),[1]AB3!$AW$12,IF(AND(D44="Options Buy",AQ42=[1]AB3!$AW$18),[1]AB3!$AW$18,I43)))</f>
        <v>0.01</v>
      </c>
      <c r="AS42" s="52">
        <f t="shared" ref="AS42:AS43" si="61">AP42-Q42</f>
        <v>3</v>
      </c>
      <c r="AT42" s="43" t="str">
        <f t="array" ref="AT42">IF(A42="","",IF(AND(OR(D46="3 &amp; APS",D46="4 &amp; APS",D46="5 &amp; APS"),D44="Futures"),CONCATENATE([1]AB3!$AP$6,INDEX([1]AB2!L:L,MATCH(D42,[1]AB2!B:B,0)),[1]AB3!$AQ$6),IF(AND(OR(D46="3 &amp; APS",D46="4 &amp; APS",D46="5 &amp; APS"),D44="Options Sell"),CONCATENATE([1]AB3!$AP$12,INDEX([1]AB2!M:M,MATCH(D42,[1]AB2!B:B,0)),[1]AB3!$AQ$12),IF(AND(OR(D46="3 &amp; APS",D46="4 &amp; APS",D46="5 &amp; APS"),D44="Options Buy"),CONCATENATE([1]AB3!$AP$18,INDEX([1]AB2!L:L,MATCH(D42,[1]AB2!B:B,0)),[1]AB3!$AQ$18),[1]AB3!$AR$6))))</f>
        <v>FUT : PRV : PW&amp;CWLL</v>
      </c>
      <c r="AU42" s="51">
        <f>IF(AND(D44="Futures",AT42=[1]AB3!$AY$6),[1]AB3!$AY$6,IF(AND(D44="Options Sell",AT42=[1]AB3!$AY$12),[1]AB3!$AY$12,IF(AND(D44="Options Buy",AT42=[1]AB3!$AY$18),[1]AB3!$AY$18,I43)))</f>
        <v>0.01</v>
      </c>
      <c r="AV42" s="52">
        <f t="shared" ref="AV42:AV43" si="62">AS42-S42</f>
        <v>2</v>
      </c>
      <c r="AW42" s="43" t="str">
        <f t="array" ref="AW42">IF(A42="","",IF(AND(OR(D46="4 &amp; APS",D46="5 &amp; APS"),D44="Futures"),CONCATENATE([1]AB3!$AP$6,INDEX([1]AB2!L:L,MATCH(D42,[1]AB2!B:B,0)),[1]AB3!$AQ$6),IF(AND(OR(D46="4 &amp; APS",D46="5 &amp; APS"),D44="Options Sell"),CONCATENATE([1]AB3!$AP$12,INDEX([1]AB2!M:M,MATCH(D42,[1]AB2!B:B,0)),[1]AB3!$AQ$12),IF(AND(OR(D46="4 &amp; APS",D46="5 &amp; APS"),D44="Options Buy"),CONCATENATE([1]AB3!$AP$18,INDEX([1]AB2!L:L,MATCH(D42,[1]AB2!B:B,0)),[1]AB3!$AQ$18),[1]AB3!$AR$6))))</f>
        <v>FUT : PRV : PW&amp;CWLL</v>
      </c>
      <c r="AX42" s="51">
        <f>IF(AND(D44="Futures",AW42=[1]AB3!$BA$6),[1]AB3!$BA$6,IF(AND(D44="Options Sell",AW42=[1]AB3!$BA$12),[1]AB3!$BA$12,IF(AND(D44="Options Buy",AW42=[1]AB3!$BA$18),[1]AB3!$BA$18,I43)))</f>
        <v>0.01</v>
      </c>
      <c r="AY42" s="52">
        <f t="shared" ref="AY42:AY43" si="63">AV42-S42</f>
        <v>1</v>
      </c>
      <c r="AZ42" s="51">
        <f t="array" ref="AZ42">IF(A42="","",IF(AND(D46="5 &amp; APS",D44="Futures"),CONCATENATE([1]AB3!$AP$6,INDEX([1]AB2!L:L,MATCH(D42,[1]AB2!B:B,0)),[1]AB3!$AQ$6),IF(AND(D46="5 &amp; APS",D44="Options Sell"),CONCATENATE([1]AB3!$AP$12,INDEX([1]AB2!M:M,MATCH(D42,[1]AB2!B:B,0)),[1]AB3!$AQ$12),IF(AND(D46="5 &amp; APS",D44="Options Buy"),CONCATENATE([1]AB3!$AP$18,INDEX([1]AB2!L:L,MATCH(D42,[1]AB2!B:B,0)),[1]AB3!$AQ$18),[1]AB3!$AR$6))))</f>
        <v>0</v>
      </c>
      <c r="BA42" s="51">
        <f>IF(AND(D44="Futures",AZ42=[1]AB3!$BC$6),[1]AB3!$BC$6,IF(AND(D44="Options Sell",AZ42=[1]AB3!$BC$12),[1]AB3!$BC$12,IF(AND(D44="Options Buy",AZ42=[1]AB3!$BC$18),[1]AB3!$BC$18,I43)))</f>
        <v>0</v>
      </c>
      <c r="BB42" s="52">
        <f t="shared" ref="BB42:BB43" si="64">AY42-W42</f>
        <v>0</v>
      </c>
      <c r="BC42" s="53"/>
      <c r="BD42" s="54" t="str">
        <f>IF(D44="Futures",[1]AB3!$BE$6,IF(D44="Options Sell",[1]AB3!$BE$12,IF(D44="Options Buy",[1]AB3!$BE$18)))</f>
        <v xml:space="preserve">ORPT </v>
      </c>
      <c r="BE42" s="55">
        <f>IF(D44="Futures",BE45+([1]AB3!$BF$6/1440),IF(D44="Options Sell",BE45+([1]AB3!$BF$12/1440),IF(D44="Options Buy",BE45+([1]AB3!$BF$18/1440))))</f>
        <v>0.38888194444444446</v>
      </c>
      <c r="BF42" s="55">
        <f>IF(D44="Futures",BE45+([1]AB3!$BG$6/1440),IF(D44="Options Sell",BE45+([1]AB3!$BG$12/1440),IF(D44="Options Buy",BE45+([1]AB3!$BG$18/1440))))</f>
        <v>0.38888194444444446</v>
      </c>
      <c r="BG42" s="55">
        <f>IF(D44="Futures",BE45+([1]AB3!$BH$6/1440),IF(D44="Options Sell",BE45+([1]AB3!$BH$12/1440),IF(D44="Options Buy",BE45+([1]AB3!$BH$18/1440))))</f>
        <v>0.38541666666666669</v>
      </c>
      <c r="BH42" s="57"/>
      <c r="BI42" s="44" t="str">
        <f>IF(D44="Futures",[1]AB3!$BJ$6,IF(D44="Options Sell",[1]AB3!$BJ$12,IF(D44="Options Buy",[1]AB3!$BJ$18)))</f>
        <v>Bull / 
Bull CF</v>
      </c>
      <c r="BJ42" s="45" t="str">
        <f>IF(D44="Futures",[1]AB3!$BK$6,IF(D44="Options Sell",[1]AB3!$BK$12,IF(D44="Options Buy",[1]AB3!$BK$18)))</f>
        <v>Long</v>
      </c>
      <c r="BK42" s="46">
        <v>0.01</v>
      </c>
      <c r="BL42" s="46">
        <v>0.01</v>
      </c>
      <c r="BM42" s="57"/>
      <c r="BN42" s="44" t="str">
        <f>IF(D44="Futures",[1]AB3!$BO$6,IF(D44="Options Sell",[1]AB3!$BO$12,IF(D44="Options Buy",[1]AB3!$BO$18)))</f>
        <v>Bull | 
Bull CF</v>
      </c>
      <c r="BO42" s="45" t="str">
        <f>IF(D44="Futures",[1]AB3!$BP$6,IF(D44="Options Sell",[1]AB3!$BP$12,IF(D44="Options Buy",[1]AB3!$BP$18)))</f>
        <v>Call</v>
      </c>
      <c r="BP42" s="43" t="str">
        <f t="array" ref="BP42">IF(A42="","",IF(D44="Futures","",IF(D44="EQUITY","",IF(D44="Options Sell",CONCATENATE([1]AB3!$BQ$12,INDEX([1]AB2!J:J,MATCH(A42,[1]AB2!A:A,0)),[1]AB3!$BR$12),IF(D44="Options Buy",CONCATENATE([1]AB3!$BQ$18,INDEX([1]AB2!J:J,MATCH(A42,[1]AB2!A:A,0)),[1]AB3!$BR$18))))))</f>
        <v/>
      </c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9"/>
      <c r="CL42" s="43"/>
      <c r="CM42" s="43"/>
      <c r="CN42" s="59"/>
      <c r="CO42" s="43"/>
      <c r="CP42" s="43"/>
      <c r="CQ42" s="59"/>
      <c r="CR42" s="43"/>
      <c r="CS42" s="43"/>
      <c r="CT42" s="59"/>
      <c r="CU42" s="55">
        <f>IF(D44="Futures",BE46-([1]AB3!$CG$6/1440),IF(D44="Options Sell",BE46-([1]AB3!$CG$12/1440),IF(D44="Options Buy",BE46-([1]AB3!$CG$18/1440),IF(D44="EQUITY",""))))</f>
        <v>0.625</v>
      </c>
      <c r="CV42" s="59"/>
      <c r="CW42" s="59"/>
    </row>
    <row r="43" spans="1:101" ht="16.5" customHeight="1" x14ac:dyDescent="0.2">
      <c r="A43" s="60"/>
      <c r="B43" s="41" t="str">
        <f>CONCATENATE(D42,IF(D44="Futures",[1]AB3!$B$7,IF(D44="Options Sell",[1]AB3!$B$13,IF(D44="Options Buy",[1]AB3!$B$19))))</f>
        <v>S7B</v>
      </c>
      <c r="C43" s="42" t="str">
        <f>IF(D44="Futures",[1]AB3!$C$7,IF(D44="Options Sell",[1]AB3!$C$13,IF(D44="Options Buy",[1]AB3!$C$19)))</f>
        <v>Unique Code</v>
      </c>
      <c r="D43" s="43" t="str">
        <f t="array" ref="D43">IF(A42="","",INDEX([1]AB2!N:N,MATCH(D42,[1]AB2!B:B,0)))</f>
        <v>STOCKS_FUT_MT_DIFF_2D_PW&amp;CW</v>
      </c>
      <c r="E43" s="32"/>
      <c r="F43" s="61" t="str">
        <f>IF(D44="Futures",[1]AB3!$F$7,IF(D44="Options Sell",[1]AB3!$F$13,IF(D44="Options Buy",[1]AB3!$F$19)))</f>
        <v>Short</v>
      </c>
      <c r="G43" s="43" t="str">
        <f t="array" ref="G43">IF(A42="","",IF(D44="Futures",CONCATENATE([1]AB3!$G$7,INDEX([1]AB2!J:J,MATCH(D42,[1]AB2!B:B,0)),[1]AB3!$H$7),IF(D44="Options Sell",CONCATENATE([1]AB3!$G$13,INDEX([1]AB2!I:I,MATCH(D42,[1]AB2!B:B,0)),[1]AB3!$H$13),IF(D44="Options Buy",CONCATENATE([1]AB3!$G$19,INDEX([1]AB2!J:J,MATCH(D42,[1]AB2!B:B,0)),[1]AB3!$H$19)))))</f>
        <v>FUT : PRV : PW&amp;CWLL</v>
      </c>
      <c r="H43" s="43" t="str">
        <f>IF(D44="Futures",[1]AB3!$I$7,IF(D44="Options Sell",[1]AB3!$I$13,IF(D44="Options Buy",[1]AB3!$I$19)))</f>
        <v xml:space="preserve"> - </v>
      </c>
      <c r="I43" s="46">
        <v>0.01</v>
      </c>
      <c r="J43" s="47">
        <v>5</v>
      </c>
      <c r="K43" s="48"/>
      <c r="L43" s="43" t="str">
        <f>IF(D44="Futures",[1]AB3!$M$7,IF(D44="Options Sell",[1]AB3!$M$13,IF(D44="Options Buy",[1]AB3!$M$19)))</f>
        <v xml:space="preserve">S : Entry </v>
      </c>
      <c r="M43" s="43" t="str">
        <f>IF(D44="Futures",[1]AB3!$N$7,IF(D44="Options Sell",[1]AB3!$N$13,IF(D44="Options Buy",[1]AB3!$N$19)))</f>
        <v xml:space="preserve"> - </v>
      </c>
      <c r="N43" s="46">
        <v>0.03</v>
      </c>
      <c r="O43" s="47">
        <v>1</v>
      </c>
      <c r="P43" s="46">
        <v>4.4999999999999998E-2</v>
      </c>
      <c r="Q43" s="47">
        <v>1</v>
      </c>
      <c r="R43" s="46">
        <v>0.06</v>
      </c>
      <c r="S43" s="47">
        <v>1</v>
      </c>
      <c r="T43" s="46">
        <v>0.08</v>
      </c>
      <c r="U43" s="47">
        <v>1</v>
      </c>
      <c r="V43" s="50" t="s">
        <v>51</v>
      </c>
      <c r="W43" s="47">
        <v>1</v>
      </c>
      <c r="X43" s="50" t="s">
        <v>52</v>
      </c>
      <c r="Y43" s="50" t="s">
        <v>52</v>
      </c>
      <c r="Z43" s="48"/>
      <c r="AA43" s="43" t="str">
        <f>IF(D44="Futures",[1]AB3!$AD$7,IF(D44="Options Sell",[1]AB3!$AD$13,IF(D44="Options Buy",[1]AB3!$AD$19)))</f>
        <v>Min</v>
      </c>
      <c r="AB43" s="43" t="str">
        <f>IF(D44="Futures",[1]AB3!$AE$7,IF(D44="Options Sell",[1]AB3!$AE$13,IF(D44="Options Buy",[1]AB3!$AE$19)))</f>
        <v>MSL &amp; TSL</v>
      </c>
      <c r="AC43" s="43" t="str">
        <f>IF(D44="Futures",[1]AB3!$AF$7,IF(D44="Options Sell",[1]AB3!$AF$13,IF(D44="Options Buy",[1]AB3!$AF$19)))</f>
        <v>Entry &amp; TRP</v>
      </c>
      <c r="AD43" s="48"/>
      <c r="AE43" s="43" t="str">
        <f>IF(D44="Futures",[1]AB3!$AH$7,IF(D44="Options Sell",[1]AB3!$AH$13,IF(D44="Options Buy",[1]AB3!$AH$19)))</f>
        <v>S : Entry</v>
      </c>
      <c r="AF43" s="43" t="str">
        <f>IF(D44="Futures",[1]AB3!$AI$7,IF(D44="Options Sell",[1]AB3!$AI$13,IF(D44="Options Buy",[1]AB3!$AI$19)))</f>
        <v xml:space="preserve"> + </v>
      </c>
      <c r="AG43" s="46">
        <v>0.03</v>
      </c>
      <c r="AH43" s="46">
        <v>0</v>
      </c>
      <c r="AI43" s="48"/>
      <c r="AJ43" s="43" t="str">
        <f>IF(D44="Futures",[1]AB3!$AO$7,IF(D44="Options Sell",[1]AB3!$AO$13,IF(D44="Options Buy",[1]AB3!$AO$19)))</f>
        <v xml:space="preserve"> + </v>
      </c>
      <c r="AK43" s="43" t="str">
        <f t="array" ref="AK43">IF(A42="","",IF(D44="Futures",CONCATENATE([1]AB3!$AP$7,INDEX([1]AB2!M:M,MATCH(D42,[1]AB2!B:B,0)),[1]AB3!$AQ$7),IF(D44="Options Sell",CONCATENATE([1]AB3!$AP$13,INDEX([1]AB2!L:L,MATCH(D42,[1]AB2!B:B,0)),[1]AB3!$AQ$13),IF(D44="Options Buy",CONCATENATE([1]AB3!$AP$19,INDEX([1]AB2!M:M,MATCH(D42,[1]AB2!B:B,0)),[1]AB3!$AQ$19)))))</f>
        <v>FUT : PRV : 2DHH</v>
      </c>
      <c r="AL43" s="51">
        <f>IF(AND(D44="Futures",AK43=[1]AB3!$AS$7),[1]AB3!$AS$7,IF(AND(D44="Options Sell",AK43=[1]AB3!$AS$13),[1]AB3!$AS$13,IF(AND(D44="Options Buy",AK43=[1]AB3!$AS$19),[1]AB3!$AS$19,I42)))</f>
        <v>0</v>
      </c>
      <c r="AM43" s="52">
        <f>J42</f>
        <v>5</v>
      </c>
      <c r="AN43" s="43" t="str">
        <f t="array" ref="AN43">IF(A42="","",IF(AND(OR(D46="1 &amp; APS",D46="2 &amp; APS",D46="3 &amp; APS",D46="4 &amp; APS",D46="5 &amp; APS"),D44="Futures"),CONCATENATE([1]AB3!$AP$7,INDEX([1]AB2!M:M,MATCH(D42,[1]AB2!B:B,0)),[1]AB3!$AQ$7),IF(AND(OR(D46="1 &amp; APS",D46="2 &amp; APS",D46="3 &amp; APS",D46="4 &amp; APS",D46="5 &amp; APS"),D44="Options Sell"),CONCATENATE([1]AB3!$AP$13,INDEX([1]AB2!L:L,MATCH(D42,[1]AB2!B:B,0)),[1]AB3!$AQ$13),IF(AND(OR(D46="1 &amp; APS",D46="2 &amp; APS",D46="3 &amp; APS",D46="4 &amp; APS",D46="5 &amp; APS"),D44="Options Buy"),CONCATENATE([1]AB3!$AP$19,INDEX([1]AB2!M:M,MATCH(D42,[1]AB2!B:B,0)),[1]AB3!$AQ$19),[1]AB3!$AR$6))))</f>
        <v>FUT : PRV : 2DHH</v>
      </c>
      <c r="AO43" s="51">
        <f>IF(AND(D44="Futures",AN43=[1]AB3!$AU$7),[1]AB3!$AU$7,IF(AND(D44="Options Sell",AN43=[1]AB3!$AU$13),[1]AB3!$AU$13,IF(AND(D44="Options Buy",AN43=[1]AB3!$AU$19),[1]AB3!$AU$19,I42)))</f>
        <v>0</v>
      </c>
      <c r="AP43" s="52">
        <f t="shared" si="60"/>
        <v>4</v>
      </c>
      <c r="AQ43" s="43" t="str">
        <f t="array" ref="AQ43">IF(A42="","",IF(AND(OR(D46="2 &amp; APS",D46="3 &amp; APS",D46="4 &amp; APS",D46="5 &amp; APS"),D44="Futures"),CONCATENATE([1]AB3!$AP$7,INDEX([1]AB2!M:M,MATCH(D42,[1]AB2!B:B,0)),[1]AB3!$AQ$7),IF(AND(OR(D46="2 &amp; APS",D46="3 &amp; APS",D46="4 &amp; APS",D46="5 &amp; APS"),D44="Options Sell"),CONCATENATE([1]AB3!$AP$13,INDEX([1]AB2!L:L,MATCH(D42,[1]AB2!B:B,0)),[1]AB3!$AQ$13),IF(AND(OR(D46="2 &amp; APS",D46="3 &amp; APS",D46="4 &amp; APS",D46="5 &amp; APS"),D44="Options Buy"),CONCATENATE([1]AB3!$AP$19,INDEX([1]AB2!M:M,MATCH(D42,[1]AB2!B:B,0)),[1]AB3!$AQ$19),[1]AB3!$AR$6))))</f>
        <v>FUT : PRV : 2DHH</v>
      </c>
      <c r="AR43" s="51">
        <f>IF(AND(D44="Futures",AQ43=[1]AB3!$AW$7),[1]AB3!$AW$7,IF(AND(D44="Options Sell",AQ43=[1]AB3!$AW$13),[1]AB3!$AW$13,IF(AND(D44="Options Buy",AQ43=[1]AB3!$AW$19),[1]AB3!$AW$19,I42)))</f>
        <v>0</v>
      </c>
      <c r="AS43" s="52">
        <f t="shared" si="61"/>
        <v>3</v>
      </c>
      <c r="AT43" s="43" t="str">
        <f t="array" ref="AT43">IF(A42="","",IF(AND(OR(D46="3 &amp; APS",D46="4 &amp; APS",D46="5 &amp; APS"),D44="Futures"),CONCATENATE([1]AB3!$AP$7,INDEX([1]AB2!M:M,MATCH(D42,[1]AB2!B:B,0)),[1]AB3!$AQ$7),IF(AND(OR(D46="3 &amp; APS",D46="4 &amp; APS",D46="5 &amp; APS"),D44="Options Sell"),CONCATENATE([1]AB3!$AP$13,INDEX([1]AB2!L:L,MATCH(D42,[1]AB2!B:B,0)),[1]AB3!$AQ$13),IF(AND(OR(D46="3 &amp; APS",D46="4 &amp; APS",D46="5 &amp; APS"),D44="Options Buy"),CONCATENATE([1]AB3!$AP$19,INDEX([1]AB2!M:M,MATCH(D42,[1]AB2!B:B,0)),[1]AB3!$AQ$19),[1]AB3!$AR$6))))</f>
        <v>FUT : PRV : 2DHH</v>
      </c>
      <c r="AU43" s="51">
        <f>IF(AND(D44="Futures",AT43=[1]AB3!$AY$7),[1]AB3!$AY$7,IF(AND(D44="Options Sell",AT43=[1]AB3!$AY$13),[1]AB3!$AY$13,IF(AND(D44="Options Buy",AT43=[1]AB3!$AY$19),[1]AB3!$AY$19,I42)))</f>
        <v>0</v>
      </c>
      <c r="AV43" s="52">
        <f t="shared" si="62"/>
        <v>2</v>
      </c>
      <c r="AW43" s="43" t="str">
        <f t="array" ref="AW43">IF(A42="","",IF(AND(OR(D46="4 &amp; APS",D46="5 &amp; APS"),D44="Futures"),CONCATENATE([1]AB3!$AP$7,INDEX([1]AB2!M:M,MATCH(D42,[1]AB2!B:B,0)),[1]AB3!$AQ$7),IF(AND(OR(D46="4 &amp; APS",D46="5 &amp; APS"),D44="Options Sell"),CONCATENATE([1]AB3!$AP$13,INDEX([1]AB2!L:L,MATCH(D42,[1]AB2!B:B,0)),[1]AB3!$AQ$13),IF(AND(OR(D46="4 &amp; APS",D46="5 &amp; APS"),D44="Options Buy"),CONCATENATE([1]AB3!$AP$19,INDEX([1]AB2!M:M,MATCH(D42,[1]AB2!B:B,0)),[1]AB3!$AQ$19),[1]AB3!$AR$6))))</f>
        <v>FUT : PRV : 2DHH</v>
      </c>
      <c r="AX43" s="51">
        <f>IF(AND(D44="Futures",AW43=[1]AB3!$BA$7),[1]AB3!$BA$7,IF(AND(D44="Options Sell",AW43=[1]AB3!$BA$13),[1]AB3!$BA$13,IF(AND(D44="Options Buy",AW43=[1]AB3!$BA$19),[1]AB3!$BA$19,I42)))</f>
        <v>0</v>
      </c>
      <c r="AY43" s="52">
        <f t="shared" si="63"/>
        <v>1</v>
      </c>
      <c r="AZ43" s="51">
        <f t="array" ref="AZ43">IF(A42="","",IF(AND(D46="5 &amp; APS",D44="Futures"),CONCATENATE([1]AB3!$AP$7,INDEX([1]AB2!M:M,MATCH(D42,[1]AB2!B:B,0)),[1]AB3!$AQ$7),IF(AND(D46="5 &amp; APS",D44="Options Sell"),CONCATENATE([1]AB3!$AP$13,INDEX([1]AB2!L:L,MATCH(D42,[1]AB2!B:B,0)),[1]AB3!$AQ$13),IF(AND(D46="5 &amp; APS",D44="Options Buy"),CONCATENATE([1]AB3!$AP$19,INDEX([1]AB2!M:M,MATCH(D42,[1]AB2!B:B,0)),[1]AB3!$AQ$19),[1]AB3!$AR$6))))</f>
        <v>0</v>
      </c>
      <c r="BA43" s="51">
        <f>IF(AND(D44="Futures",AZ43=[1]AB3!$BC$7),[1]AB3!$BC$7,IF(AND(D44="Options Sell",AZ43=[1]AB3!$BC$13),[1]AB3!$BC$13,IF(AND(D44="Options Buy",AZ43=[1]AB3!$BC$19),[1]AB3!$BC$19,I42)))</f>
        <v>0</v>
      </c>
      <c r="BB43" s="52">
        <f t="shared" si="64"/>
        <v>0</v>
      </c>
      <c r="BC43" s="53"/>
      <c r="BD43" s="54" t="str">
        <f>IF(D44="Futures",[1]AB3!$BE$7,IF(D44="Options Sell",[1]AB3!$BE$13,IF(D44="Options Buy",[1]AB3!$BE$19)))</f>
        <v xml:space="preserve"> RC. Time</v>
      </c>
      <c r="BE43" s="55">
        <f>IF(D44="Futures",BE45+([1]AB3!$BF$7/1440),IF(D44="Options Sell",BE45+([1]AB3!$BF$13/1440),IF(D44="Options Buy",BE45+([1]AB3!$BF$19/1440))))</f>
        <v>0.39582638888888888</v>
      </c>
      <c r="BF43" s="55">
        <f>IF(D44="Futures",BE45+([1]AB3!$BG$7/1440),IF(D44="Options Sell",BE45+([1]AB3!$BG$13/1440),IF(D44="Options Buy",BE45+([1]AB3!$BG$19/1440))))</f>
        <v>0.39582638888888888</v>
      </c>
      <c r="BG43" s="55" t="str">
        <f>IF(D44="Futures",[1]AB3!$BH$7,IF(D44="Options Sell",[1]AB3!$BH$7,IF(D44="Options Buy",[1]AB3!$BH$7)))</f>
        <v>N.A.</v>
      </c>
      <c r="BH43" s="57"/>
      <c r="BI43" s="32"/>
      <c r="BJ43" s="61" t="str">
        <f>IF(D44="Futures",[1]AB3!$BK$7,IF(D44="Options Sell",[1]AB3!$BK$13,IF(D44="Options Buy",[1]AB3!$BK$19)))</f>
        <v>Short</v>
      </c>
      <c r="BK43" s="46">
        <v>0.01</v>
      </c>
      <c r="BL43" s="46">
        <v>0.01</v>
      </c>
      <c r="BM43" s="57"/>
      <c r="BN43" s="32"/>
      <c r="BO43" s="61" t="str">
        <f>IF(D44="Futures",[1]AB3!$BP$7,IF(D44="Options Sell",[1]AB3!$BP$13,IF(D44="Options Buy",[1]AB3!$BP$19)))</f>
        <v>Put</v>
      </c>
      <c r="BP43" s="43" t="str">
        <f t="array" ref="BP43">IF(A42="","",IF(D44="Futures","",IF(D44="EQUITY","",IF(D44="Options Sell",CONCATENATE([1]AB3!$BQ$13,INDEX([1]AB2!I:I,MATCH(A42,[1]AB2!A:A,0)),[1]AB3!$BR$13),IF(D44="Options Buy",CONCATENATE([1]AB3!$BQ$19,INDEX([1]AB2!I:I,MATCH(A42,[1]AB2!A:A,0)),[1]AB3!$BR$19))))))</f>
        <v/>
      </c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9"/>
      <c r="CL43" s="43"/>
      <c r="CM43" s="43"/>
      <c r="CN43" s="59"/>
      <c r="CO43" s="43"/>
      <c r="CP43" s="43"/>
      <c r="CQ43" s="59"/>
      <c r="CR43" s="43"/>
      <c r="CS43" s="43"/>
      <c r="CT43" s="59"/>
      <c r="CU43" s="43"/>
      <c r="CV43" s="59"/>
      <c r="CW43" s="59"/>
    </row>
    <row r="44" spans="1:101" ht="16.5" customHeight="1" x14ac:dyDescent="0.2">
      <c r="A44" s="60"/>
      <c r="B44" s="41" t="str">
        <f>CONCATENATE(D42,IF(D44="Futures",[1]AB3!$B$8,IF(D44="Options Sell",[1]AB3!$B$14,IF(D44="Options Buy",[1]AB3!$B$20))))</f>
        <v>S7C</v>
      </c>
      <c r="C44" s="42" t="str">
        <f>IF(D44="Futures",[1]AB3!$C$8,IF(D44="Options Sell",[1]AB3!$C$14,IF(D44="Options Buy",[1]AB3!$C$20)))</f>
        <v>Segment</v>
      </c>
      <c r="D44" s="43" t="str">
        <f t="array" ref="D44">IF(A42="","",INDEX([1]AB2!C:C,MATCH(D42,[1]AB2!B:B,0)))</f>
        <v>FUTURES</v>
      </c>
      <c r="E44" s="42" t="str">
        <f>IF(D44="Futures",[1]AB3!$E$8,IF(D44="Options Sell",[1]AB3!$E$14,IF(D44="Options Buy",[1]AB3!$E$20)))</f>
        <v>Contract</v>
      </c>
      <c r="F44" s="43" t="str">
        <f t="array" ref="F44">IF(A42="","",INDEX([1]AB2!F:F,MATCH(D42,[1]AB2!B:B,0)))</f>
        <v>MONTHLY</v>
      </c>
      <c r="G44" s="62"/>
      <c r="H44" s="62"/>
      <c r="I44" s="63"/>
      <c r="J44" s="64"/>
      <c r="K44" s="48"/>
      <c r="L44" s="62"/>
      <c r="M44" s="62"/>
      <c r="N44" s="63"/>
      <c r="O44" s="64"/>
      <c r="P44" s="63"/>
      <c r="Q44" s="64"/>
      <c r="R44" s="63"/>
      <c r="S44" s="64"/>
      <c r="T44" s="63"/>
      <c r="U44" s="64"/>
      <c r="V44" s="63"/>
      <c r="W44" s="64"/>
      <c r="X44" s="63"/>
      <c r="Y44" s="63"/>
      <c r="Z44" s="48"/>
      <c r="AA44" s="62"/>
      <c r="AB44" s="62"/>
      <c r="AC44" s="62"/>
      <c r="AD44" s="48"/>
      <c r="AE44" s="62"/>
      <c r="AF44" s="62"/>
      <c r="AG44" s="63"/>
      <c r="AH44" s="63"/>
      <c r="AI44" s="48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53"/>
      <c r="BD44" s="57"/>
      <c r="BE44" s="57"/>
      <c r="BF44" s="57"/>
      <c r="BG44" s="57"/>
      <c r="BH44" s="57"/>
      <c r="BI44" s="66"/>
      <c r="BJ44" s="62"/>
      <c r="BK44" s="63"/>
      <c r="BL44" s="63"/>
      <c r="BM44" s="57"/>
      <c r="BN44" s="66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59"/>
      <c r="CL44" s="62"/>
      <c r="CM44" s="62"/>
      <c r="CN44" s="59"/>
      <c r="CO44" s="62"/>
      <c r="CP44" s="62"/>
      <c r="CQ44" s="59"/>
      <c r="CR44" s="62"/>
      <c r="CS44" s="62"/>
      <c r="CT44" s="59"/>
      <c r="CU44" s="62"/>
      <c r="CV44" s="59"/>
      <c r="CW44" s="59"/>
    </row>
    <row r="45" spans="1:101" ht="16.5" customHeight="1" x14ac:dyDescent="0.2">
      <c r="A45" s="60"/>
      <c r="B45" s="41" t="str">
        <f>CONCATENATE(D42,IF(D44="Futures",[1]AB3!$B$9,IF(D44="Options Sell",[1]AB3!$B$15,IF(D44="Options Buy",[1]AB3!$B$21))))</f>
        <v>S7D</v>
      </c>
      <c r="C45" s="42" t="str">
        <f>IF(D44="Futures",[1]AB3!$C$9,IF(D44="Options Sell",[1]AB3!$C$15,IF(D44="Options Buy",[1]AB3!$C$21)))</f>
        <v>Symbol</v>
      </c>
      <c r="D45" s="43" t="str">
        <f t="array" ref="D45">IF(A42="","",INDEX([1]AB2!E:E,MATCH(D42,[1]AB2!B:B,0)))</f>
        <v>STOCKS</v>
      </c>
      <c r="E45" s="44" t="str">
        <f>IF(D44="Futures",[1]AB3!$E$9,IF(D44="Options Sell",[1]AB3!$E$15,IF(D44="Options Buy",[1]AB3!$E$21)))</f>
        <v>Bear / 
Bear CF</v>
      </c>
      <c r="F45" s="45" t="str">
        <f>IF(D44="Futures",[1]AB3!$F$9,IF(D44="Options Sell",[1]AB3!$F$15,IF(D44="Options Buy",[1]AB3!$F$21)))</f>
        <v>Long</v>
      </c>
      <c r="G45" s="43" t="str">
        <f t="array" ref="G45">IF(A42="","",IF(D44="Futures",CONCATENATE([1]AB3!$G$9,INDEX([1]AB2!J:J,MATCH(D42,[1]AB2!B:B,0)),[1]AB3!$H$9),IF(D44="Options Sell",CONCATENATE([1]AB3!$G$15,INDEX([1]AB2!I:I,MATCH(D42,[1]AB2!B:B,0)),[1]AB3!$H$15),IF(D44="Options Buy",CONCATENATE([1]AB3!$G$21,INDEX([1]AB2!J:J,MATCH(D42,[1]AB2!B:B,0)),[1]AB3!$H$21)))))</f>
        <v>FUT : PRV : PW&amp;CWHH</v>
      </c>
      <c r="H45" s="43" t="str">
        <f>IF(D44="Futures",[1]AB3!$I$9,IF(D44="Options Sell",[1]AB3!$I$15,IF(D44="Options Buy",[1]AB3!$I$21)))</f>
        <v xml:space="preserve"> + </v>
      </c>
      <c r="I45" s="46">
        <v>0.01</v>
      </c>
      <c r="J45" s="47">
        <v>5</v>
      </c>
      <c r="K45" s="48"/>
      <c r="L45" s="43" t="str">
        <f>IF(D44="Futures",[1]AB3!$M$9,IF(D44="Options Sell",[1]AB3!$M$15,IF(D44="Options Buy",[1]AB3!$M$21)))</f>
        <v xml:space="preserve">L : Entry </v>
      </c>
      <c r="M45" s="43" t="str">
        <f>IF(D44="Futures",[1]AB3!$N$9,IF(D44="Options Sell",[1]AB3!$N$15,IF(D44="Options Buy",[1]AB3!$N$21)))</f>
        <v xml:space="preserve"> + </v>
      </c>
      <c r="N45" s="46">
        <v>0.03</v>
      </c>
      <c r="O45" s="47">
        <v>1</v>
      </c>
      <c r="P45" s="46">
        <v>4.4999999999999998E-2</v>
      </c>
      <c r="Q45" s="47">
        <v>1</v>
      </c>
      <c r="R45" s="46">
        <v>0.06</v>
      </c>
      <c r="S45" s="47">
        <v>1</v>
      </c>
      <c r="T45" s="46">
        <v>0.08</v>
      </c>
      <c r="U45" s="47">
        <v>1</v>
      </c>
      <c r="V45" s="50" t="s">
        <v>51</v>
      </c>
      <c r="W45" s="47">
        <v>1</v>
      </c>
      <c r="X45" s="50" t="s">
        <v>52</v>
      </c>
      <c r="Y45" s="50" t="s">
        <v>52</v>
      </c>
      <c r="Z45" s="48"/>
      <c r="AA45" s="43" t="str">
        <f>IF(D44="Futures",[1]AB3!$AD$9,IF(D44="Options Sell",[1]AB3!$AD$15,IF(D44="Options Buy",[1]AB3!$AD$21)))</f>
        <v>Max</v>
      </c>
      <c r="AB45" s="43" t="str">
        <f>IF(D44="Futures",[1]AB3!$AE$9,IF(D44="Options Sell",[1]AB3!$AE$15,IF(D44="Options Buy",[1]AB3!$AE$21)))</f>
        <v>MSL &amp; TSL</v>
      </c>
      <c r="AC45" s="43" t="str">
        <f>IF(D44="Futures",[1]AB3!$AF$9,IF(D44="Options Sell",[1]AB3!$AF$15,IF(D44="Options Buy",[1]AB3!$AF$21)))</f>
        <v>Entry &amp; TRP</v>
      </c>
      <c r="AD45" s="48"/>
      <c r="AE45" s="43" t="str">
        <f>IF(D44="Futures",[1]AB3!$AH$9,IF(D44="Options Sell",[1]AB3!$AH$15,IF(D44="Options Buy",[1]AB3!$AH$21)))</f>
        <v>L : Entry</v>
      </c>
      <c r="AF45" s="43" t="str">
        <f>IF(D44="Futures",[1]AB3!$AI$9,IF(D44="Options Sell",[1]AB3!$AI$15,IF(D44="Options Buy",[1]AB3!$AI$21)))</f>
        <v xml:space="preserve"> - </v>
      </c>
      <c r="AG45" s="46">
        <v>0.03</v>
      </c>
      <c r="AH45" s="46">
        <v>0</v>
      </c>
      <c r="AI45" s="48"/>
      <c r="AJ45" s="43" t="str">
        <f>IF(D44="Futures",[1]AB3!$AO$9,IF(D44="Options Sell",[1]AB3!$AO$15,IF(D44="Options Buy",[1]AB3!$AO$21)))</f>
        <v xml:space="preserve"> - </v>
      </c>
      <c r="AK45" s="43" t="str">
        <f t="array" ref="AK45">IF(A42="","",IF(D44="Futures",CONCATENATE([1]AB3!$AP$9,INDEX([1]AB2!M:M,MATCH(D42,[1]AB2!B:B,0)),[1]AB3!$AQ$9),IF(D44="Options Sell",CONCATENATE([1]AB3!$AP$15,INDEX([1]AB2!L:L,MATCH(D42,[1]AB2!B:B,0)),[1]AB3!$AQ$15),IF(D44="Options Buy",CONCATENATE([1]AB3!$AP$21,INDEX([1]AB2!M:M,MATCH(D42,[1]AB2!B:B,0)),[1]AB3!$AQ$21)))))</f>
        <v>FUT : PRV : 2DLL</v>
      </c>
      <c r="AL45" s="51">
        <f>IF(AND(D44="Futures",AK45=[1]AB3!$AS$9),[1]AB3!$AS$9,IF(AND(D44="Options Sell",AK45=[1]AB3!$AS$15),[1]AB3!$AS$15,IF(AND(D44="Options Buy",AK45=[1]AB3!$AS$21),[1]AB3!$AS$21,I46)))</f>
        <v>0</v>
      </c>
      <c r="AM45" s="52">
        <f>J46</f>
        <v>5</v>
      </c>
      <c r="AN45" s="43" t="str">
        <f t="array" ref="AN45">IF(A42="","",IF(AND(OR(D46="1 &amp; APS",D46="2 &amp; APS",D46="3 &amp; APS",D46="4 &amp; APS",D46="5 &amp; APS"),D44="Futures"),CONCATENATE([1]AB3!$AP$9,INDEX([1]AB2!M:M,MATCH(D42,[1]AB2!B:B,0)),[1]AB3!$AQ$9),IF(AND(OR(D46="1 &amp; APS",D46="2 &amp; APS",D46="3 &amp; APS",D46="4 &amp; APS",D46="5 &amp; APS"),D44="Options Sell"),CONCATENATE([1]AB3!$AP$15,INDEX([1]AB2!L:L,MATCH(D42,[1]AB2!B:B,0)),[1]AB3!$AQ$15),IF(AND(OR(D46="1 &amp; APS",D46="2 &amp; APS",D46="3 &amp; APS",D46="4 &amp; APS",D46="5 &amp; APS"),D44="Options Buy"),CONCATENATE([1]AB3!$AP$21,INDEX([1]AB2!M:M,MATCH(D42,[1]AB2!B:B,0)),[1]AB3!$AQ$21),[1]AB3!$AR$6))))</f>
        <v>FUT : PRV : 2DLL</v>
      </c>
      <c r="AO45" s="51">
        <f>IF(AND(D44="Futures",AN45=[1]AB3!$AU$9),[1]AB3!$AU$9,IF(AND(D44="Options Sell",AN45=[1]AB3!$AU$15),[1]AB3!$AU$15,IF(AND(D44="Options Buy",AN45=[1]AB3!$AU$21),[1]AB3!$AU$21,I46)))</f>
        <v>0</v>
      </c>
      <c r="AP45" s="52">
        <f t="shared" ref="AP45:AP46" si="65">AM45-O45</f>
        <v>4</v>
      </c>
      <c r="AQ45" s="43" t="str">
        <f t="array" ref="AQ45">IF(A42="","",IF(AND(OR(D46="2 &amp; APS",D46="3 &amp; APS",D46="4 &amp; APS",D46="5 &amp; APS"),D44="Futures"),CONCATENATE([1]AB3!$AP$9,INDEX([1]AB2!M:M,MATCH(D42,[1]AB2!B:B,0)),[1]AB3!$AQ$9),IF(AND(OR(D46="2 &amp; APS",D46="3 &amp; APS",D46="4 &amp; APS",D46="5 &amp; APS"),D44="Options Sell"),CONCATENATE([1]AB3!$AP$15,INDEX([1]AB2!L:L,MATCH(D42,[1]AB2!B:B,0)),[1]AB3!$AQ$15),IF(AND(OR(D46="2 &amp; APS",D46="3 &amp; APS",D46="4 &amp; APS",D46="5 &amp; APS"),D44="Options Buy"),CONCATENATE([1]AB3!$AP$21,INDEX([1]AB2!M:M,MATCH(D42,[1]AB2!B:B,0)),[1]AB3!$AQ$21),[1]AB3!$AR$6))))</f>
        <v>FUT : PRV : 2DLL</v>
      </c>
      <c r="AR45" s="51">
        <f>IF(AND(D44="Futures",AQ45=[1]AB3!$AW$9),[1]AB3!$AW$9,IF(AND(D44="Options Sell",AQ45=[1]AB3!$AW$15),[1]AB3!$AW$15,IF(AND(D44="Options Buy",AQ45=[1]AB3!$AW$21),[1]AB3!$AW$21,I46)))</f>
        <v>0</v>
      </c>
      <c r="AS45" s="52">
        <f t="shared" ref="AS45:AS46" si="66">AP45-Q45</f>
        <v>3</v>
      </c>
      <c r="AT45" s="43" t="str">
        <f t="array" ref="AT45">IF(A42="","",IF(AND(OR(D46="3 &amp; APS",D46="4 &amp; APS",D46="5 &amp; APS"),D44="Futures"),CONCATENATE([1]AB3!$AP$9,INDEX([1]AB2!M:M,MATCH(D42,[1]AB2!B:B,0)),[1]AB3!$AQ$9),IF(AND(OR(D46="3 &amp; APS",D46="4 &amp; APS",D46="5 &amp; APS"),D44="Options Sell"),CONCATENATE([1]AB3!$AP$15,INDEX([1]AB2!L:L,MATCH(D42,[1]AB2!B:B,0)),[1]AB3!$AQ$15),IF(AND(OR(D46="3 &amp; APS",D46="4 &amp; APS",D46="5 &amp; APS"),D44="Options Buy"),CONCATENATE([1]AB3!$AP$21,INDEX([1]AB2!M:M,MATCH(D42,[1]AB2!B:B,0)),[1]AB3!$AQ$21),[1]AB3!$AR$6))))</f>
        <v>FUT : PRV : 2DLL</v>
      </c>
      <c r="AU45" s="51">
        <f>IF(AND(D44="Futures",AT45=[1]AB3!$AY$9),[1]AB3!$AY$9,IF(AND(D44="Options Sell",AT45=[1]AB3!$AY$15),[1]AB3!$AY$15,IF(AND(D44="Options Buy",AT45=[1]AB3!$AY$21),[1]AB3!$AY$21,I46)))</f>
        <v>0</v>
      </c>
      <c r="AV45" s="52">
        <f t="shared" ref="AV45:AV46" si="67">AS45-S45</f>
        <v>2</v>
      </c>
      <c r="AW45" s="43" t="str">
        <f t="array" ref="AW45">IF(A42="","",IF(AND(OR(D46="4 &amp; APS",D46="5 &amp; APS"),D44="Futures"),CONCATENATE([1]AB3!$AP$9,INDEX([1]AB2!M:M,MATCH(D42,[1]AB2!B:B,0)),[1]AB3!$AQ$9),IF(AND(OR(D46="4 &amp; APS",D46="5 &amp; APS"),D44="Options Sell"),CONCATENATE([1]AB3!$AP$15,INDEX([1]AB2!L:L,MATCH(D42,[1]AB2!B:B,0)),[1]AB3!$AQ$15),IF(AND(OR(D46="4 &amp; APS",D46="5 &amp; APS"),D44="Options Buy"),CONCATENATE([1]AB3!$AP$21,INDEX([1]AB2!M:M,MATCH(D42,[1]AB2!B:B,0)),[1]AB3!$AQ$21),[1]AB3!$AR$6))))</f>
        <v>FUT : PRV : 2DLL</v>
      </c>
      <c r="AX45" s="51">
        <f>IF(AND(D44="Futures",AW45=[1]AB3!$BA$9),[1]AB3!$BA$9,IF(AND(D44="Options Sell",AW45=[1]AB3!$BA$15),[1]AB3!$BA$15,IF(AND(D44="Options Buy",AW45=[1]AB3!$BA$21),[1]AB3!$BA$21,I46)))</f>
        <v>0</v>
      </c>
      <c r="AY45" s="52">
        <f t="shared" ref="AY45:AY46" si="68">AV45-S45</f>
        <v>1</v>
      </c>
      <c r="AZ45" s="51">
        <f t="array" ref="AZ45">IF(A42="","",IF(AND(D46="5 &amp; APS",D44="Futures"),CONCATENATE([1]AB3!$AP$9,INDEX([1]AB2!M:M,MATCH(D42,[1]AB2!B:B,0)),[1]AB3!$AQ$9),IF(AND(D46="5 &amp; APS",D44="Options Sell"),CONCATENATE([1]AB3!$AP$15,INDEX([1]AB2!L:L,MATCH(D42,[1]AB2!B:B,0)),[1]AB3!$AQ$15),IF(AND(D46="5 &amp; APS",D44="Options Buy"),CONCATENATE([1]AB3!$AP$21,INDEX([1]AB2!M:M,MATCH(D42,[1]AB2!B:B,0)),[1]AB3!$AQ$21),[1]AB3!$AR$6))))</f>
        <v>0</v>
      </c>
      <c r="BA45" s="51">
        <f>IF(AND(D44="Futures",AZ45=[1]AB3!$BC$9),[1]AB3!$BC$9,IF(AND(D44="Options Sell",AZ45=[1]AB3!$BC$15),[1]AB3!$BC$15,IF(AND(D44="Options Buy",AZ45=[1]AB3!$BC$21),[1]AB3!$BC$21,I46)))</f>
        <v>0</v>
      </c>
      <c r="BB45" s="52">
        <f t="shared" ref="BB45:BB46" si="69">AY45-W45</f>
        <v>0</v>
      </c>
      <c r="BC45" s="53"/>
      <c r="BD45" s="54" t="str">
        <f>IF(D44="Futures",[1]AB3!$BE$9,IF(D44="Options Sell",[1]AB3!$BE$15,IF(D44="Options Buy",[1]AB3!$BE$21)))</f>
        <v>Market Start Time</v>
      </c>
      <c r="BE45" s="67">
        <f t="array" ref="BE45">IF(D42="","",INDEX([1]AB2!AG:AG,MATCH(D42,[1]AB2!B:B,0)))</f>
        <v>0.38541666666666669</v>
      </c>
      <c r="BF45" s="11"/>
      <c r="BG45" s="12"/>
      <c r="BH45" s="57"/>
      <c r="BI45" s="68" t="str">
        <f>IF(D44="Futures",[1]AB3!$BJ$9,IF(D44="Options Sell",[1]AB3!$BJ$15,IF(D44="Options Buy",[1]AB3!$BJ$21)))</f>
        <v>Bear / 
Bear CF</v>
      </c>
      <c r="BJ45" s="45" t="str">
        <f>IF(D44="Futures",[1]AB3!$BK$9,IF(D44="Options Sell",[1]AB3!$BK$15,IF(D44="Options Buy",[1]AB3!$BK$21)))</f>
        <v>Long</v>
      </c>
      <c r="BK45" s="46">
        <v>0.01</v>
      </c>
      <c r="BL45" s="46">
        <v>0.01</v>
      </c>
      <c r="BM45" s="57"/>
      <c r="BN45" s="68" t="str">
        <f>IF(D44="Futures",[1]AB3!$BO$9,IF(D44="Options Sell",[1]AB3!$BO$15,IF(D44="Options Buy",[1]AB3!$BO$21)))</f>
        <v>Bear | 
Bear CF</v>
      </c>
      <c r="BO45" s="45" t="str">
        <f>IF(D44="Futures",[1]AB3!$BP$9,IF(D44="Options Sell",[1]AB3!$BP$15,IF(D44="Options Buy",[1]AB3!$BP$21)))</f>
        <v>Call</v>
      </c>
      <c r="BP45" s="43" t="str">
        <f t="array" ref="BP45">IF(A42="","",IF(D44="Futures","",IF(D44="EQUITY","",IF(D44="Options Sell",CONCATENATE([1]AB3!$BQ$15,INDEX([1]AB2!I:I,MATCH(A42,[1]AB2!A:A,0)),[1]AB3!$BR$15),IF(D44="Options Buy",CONCATENATE([1]AB3!$BQ$21,INDEX([1]AB2!I:I,MATCH(A42,[1]AB2!A:A,0)),[1]AB3!$BR$21))))))</f>
        <v/>
      </c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9"/>
      <c r="CL45" s="43"/>
      <c r="CM45" s="43"/>
      <c r="CN45" s="59"/>
      <c r="CO45" s="43"/>
      <c r="CP45" s="43"/>
      <c r="CQ45" s="59"/>
      <c r="CR45" s="43"/>
      <c r="CS45" s="43"/>
      <c r="CT45" s="59"/>
      <c r="CU45" s="43"/>
      <c r="CV45" s="59"/>
      <c r="CW45" s="59"/>
    </row>
    <row r="46" spans="1:101" ht="16.5" customHeight="1" x14ac:dyDescent="0.2">
      <c r="A46" s="32"/>
      <c r="B46" s="41" t="str">
        <f>CONCATENATE(D42,IF(D44="Futures",[1]AB3!$B$10,IF(D44="Options Sell",[1]AB3!$B$16,IF(D44="Options Buy",[1]AB3!$B$22))))</f>
        <v>S7E</v>
      </c>
      <c r="C46" s="42" t="str">
        <f>IF(D44="Futures",[1]AB3!$C$10,IF(D44="Options Sell",[1]AB3!$C$16,IF(D44="Options Buy",[1]AB3!$C$22)))</f>
        <v>No. of Targets</v>
      </c>
      <c r="D46" s="43" t="str">
        <f t="array" ref="D46">IF(A42="","",INDEX([1]AB2!K:K,MATCH(D42,[1]AB2!B:B,0)))</f>
        <v>4 &amp; APS</v>
      </c>
      <c r="E46" s="32"/>
      <c r="F46" s="61" t="str">
        <f>IF(D44="Futures",[1]AB3!$F$10,IF(D44="Options Sell",[1]AB3!$F$16,IF(D44="Options Buy",[1]AB3!$F$22)))</f>
        <v>Short</v>
      </c>
      <c r="G46" s="43" t="str">
        <f t="array" ref="G46">(IF(A42="","",IF(D44="Futures",CONCATENATE([1]AB3!$G$10,INDEX([1]AB2!I:I,MATCH(D42,[1]AB2!B:B,0)),[1]AB3!$H$10),IF(D44="Options Sell",CONCATENATE([1]AB3!$G$16,INDEX([1]AB2!J:J,MATCH(D42,[1]AB2!B:B,0)),[1]AB3!$H$16),IF(D44="Options Buy",CONCATENATE([1]AB3!$G$22,INDEX([1]AB2!I:I,MATCH(D42,[1]AB2!B:B,0)),[1]AB3!$H$22))))))</f>
        <v>FUT : PRV : 2DLL</v>
      </c>
      <c r="H46" s="43" t="str">
        <f>IF(D44="Futures",[1]AB3!$I$10,IF(D44="Options Sell",[1]AB3!$I$16,IF(D44="Options Buy",[1]AB3!$I$22)))</f>
        <v xml:space="preserve"> - </v>
      </c>
      <c r="I46" s="46">
        <v>0</v>
      </c>
      <c r="J46" s="47">
        <v>5</v>
      </c>
      <c r="K46" s="48"/>
      <c r="L46" s="43" t="str">
        <f>IF(D44="Futures",[1]AB3!$M$10,IF(D44="Options Sell",[1]AB3!$M$16,IF(D44="Options Buy",[1]AB3!$M$22)))</f>
        <v xml:space="preserve">S : Entry </v>
      </c>
      <c r="M46" s="43" t="str">
        <f>IF(D44="Futures",[1]AB3!$N$10,IF(D44="Options Sell",[1]AB3!$N$16,IF(D44="Options Buy",[1]AB3!$N$22)))</f>
        <v xml:space="preserve"> - </v>
      </c>
      <c r="N46" s="46">
        <v>0.03</v>
      </c>
      <c r="O46" s="47">
        <v>1</v>
      </c>
      <c r="P46" s="46">
        <v>4.4999999999999998E-2</v>
      </c>
      <c r="Q46" s="47">
        <v>1</v>
      </c>
      <c r="R46" s="46">
        <v>0.06</v>
      </c>
      <c r="S46" s="47">
        <v>1</v>
      </c>
      <c r="T46" s="46">
        <v>0.08</v>
      </c>
      <c r="U46" s="47">
        <v>1</v>
      </c>
      <c r="V46" s="50" t="s">
        <v>51</v>
      </c>
      <c r="W46" s="47">
        <v>1</v>
      </c>
      <c r="X46" s="50" t="s">
        <v>52</v>
      </c>
      <c r="Y46" s="50" t="s">
        <v>52</v>
      </c>
      <c r="Z46" s="48"/>
      <c r="AA46" s="43" t="str">
        <f>IF(D44="Futures",[1]AB3!$AD$10,IF(D44="Options Sell",[1]AB3!$AD$16,IF(D44="Options Buy",[1]AB3!$AD$22)))</f>
        <v>Min</v>
      </c>
      <c r="AB46" s="43" t="str">
        <f>IF(D44="Futures",[1]AB3!$AE$10,IF(D44="Options Sell",[1]AB3!$AE$16,IF(D44="Options Buy",[1]AB3!$AE$22)))</f>
        <v>MSL &amp; TSL</v>
      </c>
      <c r="AC46" s="43" t="str">
        <f>IF(D44="Futures",[1]AB3!$AF$10,IF(D44="Options Sell",[1]AB3!$AF$16,IF(D44="Options Buy",[1]AB3!$AF$22)))</f>
        <v>Entry &amp; TRP</v>
      </c>
      <c r="AD46" s="48"/>
      <c r="AE46" s="43" t="str">
        <f>IF(D44="Futures",[1]AB3!$AH$10,IF(D44="Options Sell",[1]AB3!$AH$16,IF(D44="Options Buy",[1]AB3!$AH$22)))</f>
        <v>S : Entry</v>
      </c>
      <c r="AF46" s="43" t="str">
        <f>IF(D44="Futures",[1]AB3!$AI$10,IF(D44="Options Sell",[1]AB3!$AI$16,IF(D44="Options Buy",[1]AB3!$AI$22)))</f>
        <v xml:space="preserve"> + </v>
      </c>
      <c r="AG46" s="46">
        <v>0.03</v>
      </c>
      <c r="AH46" s="46">
        <v>0</v>
      </c>
      <c r="AI46" s="48"/>
      <c r="AJ46" s="43" t="str">
        <f>IF(D44="Futures",[1]AB3!$AO$10,IF(D44="Options Sell",[1]AB3!$AO$16,IF(D44="Options Buy",[1]AB3!$AO$22)))</f>
        <v xml:space="preserve"> + </v>
      </c>
      <c r="AK46" s="43" t="str">
        <f t="array" ref="AK46">IF(A42="","",IF(D44="Futures",CONCATENATE([1]AB3!$AP$10,INDEX([1]AB2!L:L,MATCH(D42,[1]AB2!B:B,0)),[1]AB3!$AQ$10),IF(D44="Options Sell",CONCATENATE([1]AB3!$AP$16,INDEX([1]AB2!M:M,MATCH(D42,[1]AB2!B:B,0)),[1]AB3!$AQ$16),IF(D44="Options Buy",CONCATENATE([1]AB3!$AP$22,INDEX([1]AB2!L:L,MATCH(D42,[1]AB2!B:B,0)),[1]AB3!$AQ$22)))))</f>
        <v>FUT : PRV : PW&amp;CWHH</v>
      </c>
      <c r="AL46" s="51">
        <f>IF(AND(D44="Futures",AK46=[1]AB3!$AS$10),[1]AB3!$AS$10,IF(AND(D44="Options Sell",AK46=[1]AB3!$AS$16),[1]AB3!$AS$16,IF(AND(D44="Options Buy",AK46=[1]AB3!$AS$22),[1]AB3!$AS$22,I45)))</f>
        <v>0.01</v>
      </c>
      <c r="AM46" s="52">
        <f>J45</f>
        <v>5</v>
      </c>
      <c r="AN46" s="43" t="str">
        <f t="array" ref="AN46">IF(A42="","",IF(AND(OR(D46="1 &amp; APS",D46="2 &amp; APS",D46="3 &amp; APS",D46="4 &amp; APS",D46="5 &amp; APS"),D44="Futures"),CONCATENATE([1]AB3!$AP$10,INDEX([1]AB2!L:L,MATCH(D42,[1]AB2!B:B,0)),[1]AB3!$AQ$10),IF(AND(OR(D46="1 &amp; APS",D46="2 &amp; APS",D46="3 &amp; APS",D46="4 &amp; APS",D46="5 &amp; APS"),D44="Options Sell"),CONCATENATE([1]AB3!$AP$16,INDEX([1]AB2!M:M,MATCH(D42,[1]AB2!B:B,0)),[1]AB3!$AQ$16),IF(AND(OR(D46="1 &amp; APS",D46="2 &amp; APS",D46="3 &amp; APS",D46="4 &amp; APS",D46="5 &amp; APS"),D44="Options Buy"),CONCATENATE([1]AB3!$AP$22,INDEX([1]AB2!L:L,MATCH(D42,[1]AB2!B:B,0)),[1]AB3!$AQ$22),[1]AB3!$AR$6))))</f>
        <v>FUT : PRV : PW&amp;CWHH</v>
      </c>
      <c r="AO46" s="51">
        <f>IF(AND(D44="Futures",AN46=[1]AB3!$AU$10),[1]AB3!$AU$10,IF(AND(D44="Options Sell",AN46=[1]AB3!$AU$16),[1]AB3!$AU$16,IF(AND(D44="Options Buy",AN46=[1]AB3!$AU$22),[1]AB3!$AU$22,I45)))</f>
        <v>0.01</v>
      </c>
      <c r="AP46" s="52">
        <f t="shared" si="65"/>
        <v>4</v>
      </c>
      <c r="AQ46" s="43" t="str">
        <f t="array" ref="AQ46">IF(A42="","",IF(AND(OR(D46="2 &amp; APS",D46="3 &amp; APS",D46="4 &amp; APS",D46="5 &amp; APS"),D44="Futures"),CONCATENATE([1]AB3!$AP$10,INDEX([1]AB2!L:L,MATCH(D42,[1]AB2!B:B,0)),[1]AB3!$AQ$10),IF(AND(OR(D46="2 &amp; APS",D46="3 &amp; APS",D46="4 &amp; APS",D46="5 &amp; APS"),D44="Options Sell"),CONCATENATE([1]AB3!$AP$16,INDEX([1]AB2!M:M,MATCH(D42,[1]AB2!B:B,0)),[1]AB3!$AQ$16),IF(AND(OR(D46="2 &amp; APS",D46="3 &amp; APS",D46="4 &amp; APS",D46="5 &amp; APS"),D44="Options Buy"),CONCATENATE([1]AB3!$AP$22,INDEX([1]AB2!L:L,MATCH(D42,[1]AB2!B:B,0)),[1]AB3!$AQ$22),[1]AB3!$AR$6))))</f>
        <v>FUT : PRV : PW&amp;CWHH</v>
      </c>
      <c r="AR46" s="51">
        <f>IF(AND(D44="Futures",AQ46=[1]AB3!$AW$10),[1]AB3!$AW$10,IF(AND(D44="Options Sell",AQ46=[1]AB3!$AW$16),[1]AB3!$AW$16,IF(AND(D44="Options Buy",AQ46=[1]AB3!$AW$22),[1]AB3!$AW$22,I45)))</f>
        <v>0.01</v>
      </c>
      <c r="AS46" s="52">
        <f t="shared" si="66"/>
        <v>3</v>
      </c>
      <c r="AT46" s="43" t="str">
        <f t="array" ref="AT46">IF(A42="","",IF(AND(OR(D46="3 &amp; APS",D46="4 &amp; APS",D46="5 &amp; APS"),D44="Futures"),CONCATENATE([1]AB3!$AP$10,INDEX([1]AB2!L:L,MATCH(D42,[1]AB2!B:B,0)),[1]AB3!$AQ$10),IF(AND(OR(D46="3 &amp; APS",D46="4 &amp; APS",D46="5 &amp; APS"),D44="Options Sell"),CONCATENATE([1]AB3!$AP$16,INDEX([1]AB2!M:M,MATCH(D42,[1]AB2!B:B,0)),[1]AB3!$AQ$16),IF(AND(OR(D46="3 &amp; APS",D46="4 &amp; APS",D46="5 &amp; APS"),D44="Options Buy"),CONCATENATE([1]AB3!$AP$22,INDEX([1]AB2!L:L,MATCH(D42,[1]AB2!B:B,0)),[1]AB3!$AQ$22),[1]AB3!$AR$6))))</f>
        <v>FUT : PRV : PW&amp;CWHH</v>
      </c>
      <c r="AU46" s="51">
        <f>IF(AND(D44="Futures",AT46=[1]AB3!$AY$10),[1]AB3!$AY$10,IF(AND(D44="Options Sell",AT46=[1]AB3!$AY$16),[1]AB3!$AY$16,IF(AND(D44="Options Buy",AT46=[1]AB3!$AY$22),[1]AB3!$AY$22,I45)))</f>
        <v>0.01</v>
      </c>
      <c r="AV46" s="52">
        <f t="shared" si="67"/>
        <v>2</v>
      </c>
      <c r="AW46" s="43" t="str">
        <f t="array" ref="AW46">IF(A42="","",IF(AND(OR(D46="4 &amp; APS",D46="5 &amp; APS"),D44="Futures"),CONCATENATE([1]AB3!$AP$10,INDEX([1]AB2!L:L,MATCH(D42,[1]AB2!B:B,0)),[1]AB3!$AQ$10),IF(AND(OR(D46="4 &amp; APS",D46="5 &amp; APS"),D44="Options Sell"),CONCATENATE([1]AB3!$AP$16,INDEX([1]AB2!M:M,MATCH(D42,[1]AB2!B:B,0)),[1]AB3!$AQ$16),IF(AND(OR(D46="4 &amp; APS",D46="5 &amp; APS"),D44="Options Buy"),CONCATENATE([1]AB3!$AP$22,INDEX([1]AB2!L:L,MATCH(D42,[1]AB2!B:B,0)),[1]AB3!$AQ$22),[1]AB3!$AR$6))))</f>
        <v>FUT : PRV : PW&amp;CWHH</v>
      </c>
      <c r="AX46" s="51">
        <f>IF(AND(D44="Futures",AW46=[1]AB3!$BA$10),[1]AB3!$BA$10,IF(AND(D44="Options Sell",AW46=[1]AB3!$BA$16),[1]AB3!$BA$16,IF(AND(D44="Options Buy",AW46=[1]AB3!$BA$22),[1]AB3!$BA$22,I45)))</f>
        <v>0.01</v>
      </c>
      <c r="AY46" s="52">
        <f t="shared" si="68"/>
        <v>1</v>
      </c>
      <c r="AZ46" s="51">
        <f t="array" ref="AZ46">IF(A42="","",IF(AND(D46="5 &amp; APS",D44="Futures"),CONCATENATE([1]AB3!$AP$10,INDEX([1]AB2!L:L,MATCH(D42,[1]AB2!B:B,0)),[1]AB3!$AQ$10),IF(AND(D46="5 &amp; APS",D44="Options Sell"),CONCATENATE([1]AB3!$AP$16,INDEX([1]AB2!M:M,MATCH(D42,[1]AB2!B:B,0)),[1]AB3!$AQ$16),IF(AND(D46="5 &amp; APS",D44="Options Buy"),CONCATENATE([1]AB3!$AP$22,INDEX([1]AB2!L:L,MATCH(D42,[1]AB2!B:B,0)),[1]AB3!$AQ$22),[1]AB3!$AR$6))))</f>
        <v>0</v>
      </c>
      <c r="BA46" s="51">
        <f>IF(AND(D44="Futures",AZ46=[1]AB3!$BC$10),[1]AB3!$BC$10,IF(AND(D44="Options Sell",AZ46=[1]AB3!$BC$16),[1]AB3!$BC$16,IF(AND(D44="Options Buy",AZ46=[1]AB3!$BC$22),[1]AB3!$BC$22,I45)))</f>
        <v>0</v>
      </c>
      <c r="BB46" s="52">
        <f t="shared" si="69"/>
        <v>0</v>
      </c>
      <c r="BC46" s="53"/>
      <c r="BD46" s="54" t="str">
        <f>IF(D44="Futures",[1]AB3!$BE$10,IF(D44="Options Sell",[1]AB3!$BE$16,IF(D44="Options Buy",[1]AB3!$BE$22)))</f>
        <v>Market End Time</v>
      </c>
      <c r="BE46" s="67">
        <f t="array" ref="BE46">IF(D42="","",INDEX([1]AB2!AH:AH,MATCH(D42,[1]AB2!B:B,0)))</f>
        <v>0.64583333333333337</v>
      </c>
      <c r="BF46" s="11"/>
      <c r="BG46" s="12"/>
      <c r="BH46" s="57"/>
      <c r="BI46" s="32"/>
      <c r="BJ46" s="61" t="str">
        <f>IF(D44="Futures",[1]AB3!$BK$10,IF(D44="Options Sell",[1]AB3!$BK$16,IF(D44="Options Buy",[1]AB3!$BK$22)))</f>
        <v>Short</v>
      </c>
      <c r="BK46" s="46">
        <v>0.01</v>
      </c>
      <c r="BL46" s="46">
        <v>0.01</v>
      </c>
      <c r="BM46" s="57"/>
      <c r="BN46" s="32"/>
      <c r="BO46" s="61" t="str">
        <f>IF(D44="Futures",[1]AB3!$BP$10,IF(D44="Options Sell",[1]AB3!$BP$16,IF(D44="Options Buy",[1]AB3!$BP$22)))</f>
        <v>Put</v>
      </c>
      <c r="BP46" s="43" t="str">
        <f t="array" ref="BP46">IF(A42="","",IF(D44="Futures","",IF(D44="EQUITY","",IF(D44="Options Sell",CONCATENATE([1]AB3!$BQ$16,INDEX([1]AB2!J:J,MATCH(A42,[1]AB2!A:A,0)),[1]AB3!$BR$16),IF(D44="Options Buy",CONCATENATE([1]AB3!$BQ$22,INDEX([1]AB2!J:J,MATCH(A42,[1]AB2!A:A,0)),[1]AB3!$BR$22))))))</f>
        <v/>
      </c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9"/>
      <c r="CL46" s="43"/>
      <c r="CM46" s="43"/>
      <c r="CN46" s="59"/>
      <c r="CO46" s="43"/>
      <c r="CP46" s="43"/>
      <c r="CQ46" s="59"/>
      <c r="CR46" s="43"/>
      <c r="CS46" s="43"/>
      <c r="CT46" s="59"/>
      <c r="CU46" s="43"/>
      <c r="CV46" s="59"/>
      <c r="CW46" s="59"/>
    </row>
    <row r="47" spans="1:101" ht="15.75" customHeight="1" x14ac:dyDescent="0.2">
      <c r="A47" s="1"/>
      <c r="B47" s="2"/>
      <c r="C47" s="2"/>
      <c r="D47" s="2"/>
      <c r="E47" s="2"/>
      <c r="F47" s="2"/>
      <c r="G47" s="2"/>
      <c r="H47" s="2"/>
      <c r="I47" s="2"/>
      <c r="J47" s="64"/>
      <c r="K47" s="2"/>
      <c r="L47" s="2"/>
      <c r="M47" s="2"/>
      <c r="N47" s="2"/>
      <c r="O47" s="64"/>
      <c r="P47" s="2"/>
      <c r="Q47" s="64"/>
      <c r="R47" s="69"/>
      <c r="S47" s="64"/>
      <c r="T47" s="70"/>
      <c r="U47" s="64"/>
      <c r="V47" s="2"/>
      <c r="W47" s="64"/>
      <c r="X47" s="2"/>
      <c r="Y47" s="2"/>
      <c r="Z47" s="2"/>
      <c r="AA47" s="20"/>
      <c r="AB47" s="71"/>
      <c r="AC47" s="71"/>
      <c r="AD47" s="2"/>
      <c r="AE47" s="70"/>
      <c r="AF47" s="70"/>
      <c r="AG47" s="70"/>
      <c r="AH47" s="70"/>
      <c r="AI47" s="2"/>
      <c r="AJ47" s="70"/>
      <c r="AK47" s="70"/>
      <c r="AL47" s="70"/>
      <c r="AM47" s="64"/>
      <c r="AN47" s="70"/>
      <c r="AO47" s="70"/>
      <c r="AP47" s="64"/>
      <c r="AQ47" s="70"/>
      <c r="AR47" s="70"/>
      <c r="AS47" s="64"/>
      <c r="AT47" s="70"/>
      <c r="AU47" s="70"/>
      <c r="AV47" s="64"/>
      <c r="AW47" s="70"/>
      <c r="AX47" s="70"/>
      <c r="AY47" s="64"/>
      <c r="AZ47" s="70"/>
      <c r="BA47" s="70"/>
      <c r="BB47" s="64"/>
      <c r="BC47" s="70"/>
      <c r="BD47" s="70"/>
      <c r="BE47" s="70"/>
      <c r="BF47" s="70"/>
      <c r="BG47" s="70"/>
      <c r="BH47" s="70"/>
      <c r="BI47" s="70"/>
      <c r="BJ47" s="70"/>
      <c r="BK47" s="2"/>
      <c r="BL47" s="2"/>
      <c r="BM47" s="70"/>
      <c r="BN47" s="70"/>
      <c r="BO47" s="70"/>
      <c r="BP47" s="70"/>
      <c r="BQ47" s="70"/>
      <c r="BR47" s="70"/>
      <c r="BS47" s="70"/>
      <c r="BT47" s="70"/>
      <c r="BU47" s="70"/>
      <c r="BV47" s="70"/>
      <c r="BW47" s="70"/>
      <c r="BX47" s="70"/>
      <c r="BY47" s="70"/>
      <c r="BZ47" s="70"/>
      <c r="CA47" s="70"/>
      <c r="CB47" s="70"/>
      <c r="CC47" s="70"/>
      <c r="CD47" s="70"/>
      <c r="CE47" s="70"/>
      <c r="CF47" s="70"/>
      <c r="CG47" s="70"/>
      <c r="CH47" s="70"/>
      <c r="CI47" s="70"/>
      <c r="CJ47" s="70"/>
      <c r="CK47" s="70"/>
      <c r="CL47" s="2"/>
      <c r="CM47" s="2"/>
      <c r="CN47" s="70"/>
      <c r="CO47" s="70"/>
      <c r="CP47" s="70"/>
      <c r="CQ47" s="70"/>
      <c r="CR47" s="2"/>
      <c r="CS47" s="2"/>
      <c r="CT47" s="70"/>
      <c r="CU47" s="70"/>
      <c r="CV47" s="70"/>
      <c r="CW47" s="70"/>
    </row>
    <row r="48" spans="1:101" ht="15.75" customHeight="1" x14ac:dyDescent="0.2">
      <c r="A48" s="40">
        <v>8</v>
      </c>
      <c r="B48" s="41" t="str">
        <f>CONCATENATE(D48,IF(D50="Futures",[1]AB3!$B$6,IF(D50="Options Sell",[1]AB3!$B$12,IF(D50="Options Buy",[1]AB3!$B$18))))</f>
        <v>S8A</v>
      </c>
      <c r="C48" s="42" t="str">
        <f>IF(D50="Futures",[1]AB3!$C$6,IF(D50="Options Sell",[1]AB3!$C$12,IF(D50="Options Buy",[1]AB3!$C$18)))</f>
        <v>Strategy Code</v>
      </c>
      <c r="D48" s="43" t="str">
        <f t="array" ref="D48">IF(A48="","",INDEX([1]AB2!B:B,MATCH(A48,[1]AB2!A:A,0)))</f>
        <v>S8</v>
      </c>
      <c r="E48" s="44" t="str">
        <f>IF(D50="Futures",[1]AB3!$E$6,IF(D50="Options Sell",[1]AB3!$E$12,IF(D50="Options Buy",[1]AB3!$E$18)))</f>
        <v>Bull / 
Bull CF</v>
      </c>
      <c r="F48" s="45" t="str">
        <f>IF(D50="Futures",[1]AB3!$F$6,IF(D50="Options Sell",[1]AB3!$F$12,IF(D50="Options Buy",[1]AB3!$F$18)))</f>
        <v>Long</v>
      </c>
      <c r="G48" s="43" t="str">
        <f t="array" ref="G48">IF(A48="","",IF(D50="Futures",CONCATENATE([1]AB3!$G$6,INDEX([1]AB2!I:I,MATCH(D48,[1]AB2!B:B,0)),[1]AB3!$H$6),IF(D50="Options Sell",CONCATENATE([1]AB3!$G$12,INDEX([1]AB2!J:J,MATCH(D48,[1]AB2!B:B,0)),[1]AB3!$H$12),IF(D50="Options Buy",CONCATENATE([1]AB3!$G$18,INDEX([1]AB2!I:I,MATCH(D48,[1]AB2!B:B,0)),[1]AB3!$H$18)))))</f>
        <v>FUT : PRV : 1DHH</v>
      </c>
      <c r="H48" s="43" t="str">
        <f>IF(D50="Futures",[1]AB3!$I$6,IF(D50="Options Sell",[1]AB3!$I$12,IF(D50="Options Buy",[1]AB3!$I$18)))</f>
        <v xml:space="preserve"> + </v>
      </c>
      <c r="I48" s="46">
        <v>0</v>
      </c>
      <c r="J48" s="47">
        <v>5</v>
      </c>
      <c r="K48" s="48"/>
      <c r="L48" s="43" t="str">
        <f>IF(D50="Futures",[1]AB3!$M$6,IF(D50="Options Sell",[1]AB3!$M$12,IF(D50="Options Buy",[1]AB3!$M$18)))</f>
        <v xml:space="preserve">L : Entry </v>
      </c>
      <c r="M48" s="43" t="str">
        <f>IF(D50="Futures",[1]AB3!$N$6,IF(D50="Options Sell",[1]AB3!$N$12,IF(D50="Options Buy",[1]AB3!$N$18)))</f>
        <v xml:space="preserve"> + </v>
      </c>
      <c r="N48" s="46">
        <v>1.4999999999999999E-2</v>
      </c>
      <c r="O48" s="47">
        <v>1</v>
      </c>
      <c r="P48" s="46">
        <v>0.02</v>
      </c>
      <c r="Q48" s="47">
        <v>1</v>
      </c>
      <c r="R48" s="46">
        <v>2.5000000000000001E-2</v>
      </c>
      <c r="S48" s="47">
        <v>1</v>
      </c>
      <c r="T48" s="46">
        <v>0.03</v>
      </c>
      <c r="U48" s="47">
        <v>1</v>
      </c>
      <c r="V48" s="50" t="s">
        <v>51</v>
      </c>
      <c r="W48" s="47">
        <v>1</v>
      </c>
      <c r="X48" s="50" t="s">
        <v>52</v>
      </c>
      <c r="Y48" s="50" t="s">
        <v>52</v>
      </c>
      <c r="Z48" s="48"/>
      <c r="AA48" s="43" t="str">
        <f>IF(D50="Futures",[1]AB3!$AD$6,IF(D50="Options Sell",[1]AB3!$AD$12,IF(D50="Options Buy",[1]AB3!$AD$18)))</f>
        <v>Max</v>
      </c>
      <c r="AB48" s="43" t="str">
        <f>IF(D50="Futures",[1]AB3!$AE$6,IF(D50="Options Sell",[1]AB3!$AE$12,IF(D50="Options Buy",[1]AB3!$AE$18)))</f>
        <v>MSL &amp; TSL</v>
      </c>
      <c r="AC48" s="43" t="str">
        <f>IF(D50="Futures",[1]AB3!$AF$6,IF(D50="Options Sell",[1]AB3!$AF$12,IF(D50="Options Buy",[1]AB3!$AF$18)))</f>
        <v>Entry &amp; TRP</v>
      </c>
      <c r="AD48" s="48"/>
      <c r="AE48" s="43" t="str">
        <f>IF(D50="Futures",[1]AB3!$AH$6,IF(D50="Options Sell",[1]AB3!$AH$12,IF(D50="Options Buy",[1]AB3!$AH$18)))</f>
        <v>L : Entry</v>
      </c>
      <c r="AF48" s="43" t="str">
        <f>IF(D50="Futures",[1]AB3!$AI$6,IF(D50="Options Sell",[1]AB3!$AI$12,IF(D50="Options Buy",[1]AB3!$AI$18)))</f>
        <v xml:space="preserve"> - </v>
      </c>
      <c r="AG48" s="46">
        <v>1.4999999999999999E-2</v>
      </c>
      <c r="AH48" s="46">
        <v>0</v>
      </c>
      <c r="AI48" s="48"/>
      <c r="AJ48" s="43" t="str">
        <f>IF(D50="Futures",[1]AB3!$AO$6,IF(D50="Options Sell",[1]AB3!$AO$12,IF(D50="Options Buy",[1]AB3!$AO$18)))</f>
        <v xml:space="preserve"> - </v>
      </c>
      <c r="AK48" s="43" t="str">
        <f t="array" ref="AK48">IF(A48="","",IF(D50="Futures",CONCATENATE([1]AB3!$AP$6,INDEX([1]AB2!L:L,MATCH(D48,[1]AB2!B:B,0)),[1]AB3!$AQ$6),IF(D50="Options Sell",CONCATENATE([1]AB3!$AP$12,INDEX([1]AB2!M:M,MATCH(D48,[1]AB2!B:B,0)),[1]AB3!$AQ$12),IF(D50="Options Buy",CONCATENATE([1]AB3!$AP$18,INDEX([1]AB2!L:L,MATCH(D48,[1]AB2!B:B,0)),[1]AB3!$AQ$18)))))</f>
        <v>FUT : PRV : 2DLL</v>
      </c>
      <c r="AL48" s="51">
        <f>IF(AND(D50="Futures",AK48=[1]AB3!$AS$6),[1]AB3!$AS$6,IF(AND(D50="Options Sell",AK48=[1]AB3!$AS$12),[1]AB3!$AS$12,IF(AND(D50="Options Buy",AK48=[1]AB3!$AS$18),[1]AB3!$AS$18,I49)))</f>
        <v>1.8E-3</v>
      </c>
      <c r="AM48" s="52">
        <f>J49</f>
        <v>5</v>
      </c>
      <c r="AN48" s="43" t="str">
        <f t="array" ref="AN48">IF(A48="","",IF(AND(OR(D52="1 &amp; APS",D52="2 &amp; APS",D52="3 &amp; APS",D52="4 &amp; APS",D52="5 &amp; APS"),D50="Futures"),CONCATENATE([1]AB3!$AP$6,INDEX([1]AB2!L:L,MATCH(D48,[1]AB2!B:B,0)),[1]AB3!$AQ$6),IF(AND(OR(D52="1 &amp; APS",D52="2 &amp; APS",D52="3 &amp; APS",D52="4 &amp; APS",D52="5 &amp; APS"),D50="Options Sell"),CONCATENATE([1]AB3!$AP$12,INDEX([1]AB2!M:M,MATCH(D48,[1]AB2!B:B,0)),[1]AB3!$AQ$12),IF(AND(OR(D52="1 &amp; APS",D52="2 &amp; APS",D52="3 &amp; APS",D52="4 &amp; APS",D52="5 &amp; APS"),D50="Options Buy"),CONCATENATE([1]AB3!$AP$18,INDEX([1]AB2!L:L,MATCH(D48,[1]AB2!B:B,0)),[1]AB3!$AQ$18),[1]AB3!$AR$6))))</f>
        <v>FUT : PRV : 2DLL</v>
      </c>
      <c r="AO48" s="51">
        <f>IF(AND(D50="Futures",AN48=[1]AB3!$AU$6),[1]AB3!$AU$6,IF(AND(D50="Options Sell",AN48=[1]AB3!$AU$12),[1]AB3!$AU$12,IF(AND(D50="Options Buy",AN48=[1]AB3!$AU$18),[1]AB3!$AU$18,I49)))</f>
        <v>1.8E-3</v>
      </c>
      <c r="AP48" s="52">
        <f t="shared" ref="AP48:AP49" si="70">AM48-O48</f>
        <v>4</v>
      </c>
      <c r="AQ48" s="43" t="str">
        <f t="array" ref="AQ48">IF(A48="","",IF(AND(OR(D52="2 &amp; APS",D52="3 &amp; APS",D52="4 &amp; APS",D52="5 &amp; APS"),D50="Futures"),CONCATENATE([1]AB3!$AP$6,INDEX([1]AB2!L:L,MATCH(D48,[1]AB2!B:B,0)),[1]AB3!$AQ$6),IF(AND(OR(D52="2 &amp; APS",D52="3 &amp; APS",D52="4 &amp; APS",D52="5 &amp; APS"),D50="Options Sell"),CONCATENATE([1]AB3!$AP$12,INDEX([1]AB2!M:M,MATCH(D48,[1]AB2!B:B,0)),[1]AB3!$AQ$12),IF(AND(OR(D52="2 &amp; APS",D52="3 &amp; APS",D52="4 &amp; APS",D52="5 &amp; APS"),D50="Options Buy"),CONCATENATE([1]AB3!$AP$18,INDEX([1]AB2!L:L,MATCH(D48,[1]AB2!B:B,0)),[1]AB3!$AQ$18),[1]AB3!$AR$6))))</f>
        <v>FUT : PRV : 2DLL</v>
      </c>
      <c r="AR48" s="51">
        <f>IF(AND(D50="Futures",AQ48=[1]AB3!$AW$6),[1]AB3!$AW$6,IF(AND(D50="Options Sell",AQ48=[1]AB3!$AW$12),[1]AB3!$AW$12,IF(AND(D50="Options Buy",AQ48=[1]AB3!$AW$18),[1]AB3!$AW$18,I49)))</f>
        <v>1.8E-3</v>
      </c>
      <c r="AS48" s="52">
        <f t="shared" ref="AS48:AS49" si="71">AP48-Q48</f>
        <v>3</v>
      </c>
      <c r="AT48" s="43" t="str">
        <f t="array" ref="AT48">IF(A48="","",IF(AND(OR(D52="3 &amp; APS",D52="4 &amp; APS",D52="5 &amp; APS"),D50="Futures"),CONCATENATE([1]AB3!$AP$6,INDEX([1]AB2!L:L,MATCH(D48,[1]AB2!B:B,0)),[1]AB3!$AQ$6),IF(AND(OR(D52="3 &amp; APS",D52="4 &amp; APS",D52="5 &amp; APS"),D50="Options Sell"),CONCATENATE([1]AB3!$AP$12,INDEX([1]AB2!M:M,MATCH(D48,[1]AB2!B:B,0)),[1]AB3!$AQ$12),IF(AND(OR(D52="3 &amp; APS",D52="4 &amp; APS",D52="5 &amp; APS"),D50="Options Buy"),CONCATENATE([1]AB3!$AP$18,INDEX([1]AB2!L:L,MATCH(D48,[1]AB2!B:B,0)),[1]AB3!$AQ$18),[1]AB3!$AR$6))))</f>
        <v>FUT : PRV : 2DLL</v>
      </c>
      <c r="AU48" s="51">
        <f>IF(AND(D50="Futures",AT48=[1]AB3!$AY$6),[1]AB3!$AY$6,IF(AND(D50="Options Sell",AT48=[1]AB3!$AY$12),[1]AB3!$AY$12,IF(AND(D50="Options Buy",AT48=[1]AB3!$AY$18),[1]AB3!$AY$18,I49)))</f>
        <v>1.8E-3</v>
      </c>
      <c r="AV48" s="52">
        <f t="shared" ref="AV48:AV49" si="72">AS48-S48</f>
        <v>2</v>
      </c>
      <c r="AW48" s="43" t="str">
        <f t="array" ref="AW48">IF(A48="","",IF(AND(OR(D52="4 &amp; APS",D52="5 &amp; APS"),D50="Futures"),CONCATENATE([1]AB3!$AP$6,INDEX([1]AB2!L:L,MATCH(D48,[1]AB2!B:B,0)),[1]AB3!$AQ$6),IF(AND(OR(D52="4 &amp; APS",D52="5 &amp; APS"),D50="Options Sell"),CONCATENATE([1]AB3!$AP$12,INDEX([1]AB2!M:M,MATCH(D48,[1]AB2!B:B,0)),[1]AB3!$AQ$12),IF(AND(OR(D52="4 &amp; APS",D52="5 &amp; APS"),D50="Options Buy"),CONCATENATE([1]AB3!$AP$18,INDEX([1]AB2!L:L,MATCH(D48,[1]AB2!B:B,0)),[1]AB3!$AQ$18),[1]AB3!$AR$6))))</f>
        <v>FUT : PRV : 2DLL</v>
      </c>
      <c r="AX48" s="51">
        <f>IF(AND(D50="Futures",AW48=[1]AB3!$BA$6),[1]AB3!$BA$6,IF(AND(D50="Options Sell",AW48=[1]AB3!$BA$12),[1]AB3!$BA$12,IF(AND(D50="Options Buy",AW48=[1]AB3!$BA$18),[1]AB3!$BA$18,I49)))</f>
        <v>1.8E-3</v>
      </c>
      <c r="AY48" s="52">
        <f t="shared" ref="AY48:AY49" si="73">AV48-S48</f>
        <v>1</v>
      </c>
      <c r="AZ48" s="51">
        <f t="array" ref="AZ48">IF(A48="","",IF(AND(D52="5 &amp; APS",D50="Futures"),CONCATENATE([1]AB3!$AP$6,INDEX([1]AB2!L:L,MATCH(D48,[1]AB2!B:B,0)),[1]AB3!$AQ$6),IF(AND(D52="5 &amp; APS",D50="Options Sell"),CONCATENATE([1]AB3!$AP$12,INDEX([1]AB2!M:M,MATCH(D48,[1]AB2!B:B,0)),[1]AB3!$AQ$12),IF(AND(D52="5 &amp; APS",D50="Options Buy"),CONCATENATE([1]AB3!$AP$18,INDEX([1]AB2!L:L,MATCH(D48,[1]AB2!B:B,0)),[1]AB3!$AQ$18),[1]AB3!$AR$6))))</f>
        <v>0</v>
      </c>
      <c r="BA48" s="51">
        <f>IF(AND(D50="Futures",AZ48=[1]AB3!$BC$6),[1]AB3!$BC$6,IF(AND(D50="Options Sell",AZ48=[1]AB3!$BC$12),[1]AB3!$BC$12,IF(AND(D50="Options Buy",AZ48=[1]AB3!$BC$18),[1]AB3!$BC$18,I49)))</f>
        <v>0</v>
      </c>
      <c r="BB48" s="52">
        <f t="shared" ref="BB48:BB49" si="74">AY48-W48</f>
        <v>0</v>
      </c>
      <c r="BC48" s="53"/>
      <c r="BD48" s="54" t="str">
        <f>IF(D50="Futures",[1]AB3!$BE$6,IF(D50="Options Sell",[1]AB3!$BE$12,IF(D50="Options Buy",[1]AB3!$BE$18)))</f>
        <v xml:space="preserve">ORPT </v>
      </c>
      <c r="BE48" s="55">
        <f>IF(D50="Futures",BE51+([1]AB3!$BF$6/1440),IF(D50="Options Sell",BE51+([1]AB3!$BF$12/1440),IF(D50="Options Buy",BE51+([1]AB3!$BF$18/1440))))</f>
        <v>0.38888194444444446</v>
      </c>
      <c r="BF48" s="55">
        <f>IF(D50="Futures",BE51+([1]AB3!$BG$6/1440),IF(D50="Options Sell",BE51+([1]AB3!$BG$12/1440),IF(D50="Options Buy",BE51+([1]AB3!$BG$18/1440))))</f>
        <v>0.38888194444444446</v>
      </c>
      <c r="BG48" s="55">
        <f>IF(D50="Futures",BE51+([1]AB3!$BH$6/1440),IF(D50="Options Sell",BE51+([1]AB3!$BH$12/1440),IF(D50="Options Buy",BE51+([1]AB3!$BH$18/1440))))</f>
        <v>0.38541666666666669</v>
      </c>
      <c r="BH48" s="57"/>
      <c r="BI48" s="44" t="str">
        <f>IF(D50="Futures",[1]AB3!$BJ$6,IF(D50="Options Sell",[1]AB3!$BJ$12,IF(D50="Options Buy",[1]AB3!$BJ$18)))</f>
        <v>Bull / 
Bull CF</v>
      </c>
      <c r="BJ48" s="45" t="str">
        <f>IF(D50="Futures",[1]AB3!$BK$6,IF(D50="Options Sell",[1]AB3!$BK$12,IF(D50="Options Buy",[1]AB3!$BK$18)))</f>
        <v>Long</v>
      </c>
      <c r="BK48" s="46">
        <v>1.8E-3</v>
      </c>
      <c r="BL48" s="46">
        <v>1.8E-3</v>
      </c>
      <c r="BM48" s="57"/>
      <c r="BN48" s="44" t="str">
        <f>IF(D50="Futures",[1]AB3!$BO$6,IF(D50="Options Sell",[1]AB3!$BO$12,IF(D50="Options Buy",[1]AB3!$BO$18)))</f>
        <v>Bull | 
Bull CF</v>
      </c>
      <c r="BO48" s="45" t="str">
        <f>IF(D50="Futures",[1]AB3!$BP$6,IF(D50="Options Sell",[1]AB3!$BP$12,IF(D50="Options Buy",[1]AB3!$BP$18)))</f>
        <v>Call</v>
      </c>
      <c r="BP48" s="43" t="str">
        <f t="array" ref="BP48">IF(A48="","",IF(D50="Futures","",IF(D50="EQUITY","",IF(D50="Options Sell",CONCATENATE([1]AB3!$BQ$12,INDEX([1]AB2!J:J,MATCH(A48,[1]AB2!A:A,0)),[1]AB3!$BR$12),IF(D50="Options Buy",CONCATENATE([1]AB3!$BQ$18,INDEX([1]AB2!J:J,MATCH(A48,[1]AB2!A:A,0)),[1]AB3!$BR$18))))))</f>
        <v/>
      </c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9"/>
      <c r="CL48" s="43"/>
      <c r="CM48" s="43"/>
      <c r="CN48" s="59"/>
      <c r="CO48" s="43"/>
      <c r="CP48" s="43"/>
      <c r="CQ48" s="59"/>
      <c r="CR48" s="43"/>
      <c r="CS48" s="43"/>
      <c r="CT48" s="59"/>
      <c r="CU48" s="55">
        <f>IF(D50="Futures",BE52-([1]AB3!$CG$6/1440),IF(D50="Options Sell",BE52-([1]AB3!$CG$12/1440),IF(D50="Options Buy",BE52-([1]AB3!$CG$18/1440),IF(D50="EQUITY",""))))</f>
        <v>0.625</v>
      </c>
      <c r="CV48" s="59"/>
      <c r="CW48" s="59"/>
    </row>
    <row r="49" spans="1:101" ht="16.5" customHeight="1" x14ac:dyDescent="0.2">
      <c r="A49" s="60"/>
      <c r="B49" s="41" t="str">
        <f>CONCATENATE(D48,IF(D50="Futures",[1]AB3!$B$7,IF(D50="Options Sell",[1]AB3!$B$13,IF(D50="Options Buy",[1]AB3!$B$19))))</f>
        <v>S8B</v>
      </c>
      <c r="C49" s="42" t="str">
        <f>IF(D50="Futures",[1]AB3!$C$7,IF(D50="Options Sell",[1]AB3!$C$13,IF(D50="Options Buy",[1]AB3!$C$19)))</f>
        <v>Unique Code</v>
      </c>
      <c r="D49" s="43" t="str">
        <f t="array" ref="D49">IF(A48="","",INDEX([1]AB2!N:N,MATCH(D48,[1]AB2!B:B,0)))</f>
        <v>NIFTY_FUT_MT_DIFF_1D_2D</v>
      </c>
      <c r="E49" s="32"/>
      <c r="F49" s="61" t="str">
        <f>IF(D50="Futures",[1]AB3!$F$7,IF(D50="Options Sell",[1]AB3!$F$13,IF(D50="Options Buy",[1]AB3!$F$19)))</f>
        <v>Short</v>
      </c>
      <c r="G49" s="43" t="str">
        <f t="array" ref="G49">IF(A48="","",IF(D50="Futures",CONCATENATE([1]AB3!$G$7,INDEX([1]AB2!J:J,MATCH(D48,[1]AB2!B:B,0)),[1]AB3!$H$7),IF(D50="Options Sell",CONCATENATE([1]AB3!$G$13,INDEX([1]AB2!I:I,MATCH(D48,[1]AB2!B:B,0)),[1]AB3!$H$13),IF(D50="Options Buy",CONCATENATE([1]AB3!$G$19,INDEX([1]AB2!J:J,MATCH(D48,[1]AB2!B:B,0)),[1]AB3!$H$19)))))</f>
        <v>FUT : PRV : 2DLL</v>
      </c>
      <c r="H49" s="43" t="str">
        <f>IF(D50="Futures",[1]AB3!$I$7,IF(D50="Options Sell",[1]AB3!$I$13,IF(D50="Options Buy",[1]AB3!$I$19)))</f>
        <v xml:space="preserve"> - </v>
      </c>
      <c r="I49" s="46">
        <v>1.8E-3</v>
      </c>
      <c r="J49" s="47">
        <v>5</v>
      </c>
      <c r="K49" s="48"/>
      <c r="L49" s="43" t="str">
        <f>IF(D50="Futures",[1]AB3!$M$7,IF(D50="Options Sell",[1]AB3!$M$13,IF(D50="Options Buy",[1]AB3!$M$19)))</f>
        <v xml:space="preserve">S : Entry </v>
      </c>
      <c r="M49" s="43" t="str">
        <f>IF(D50="Futures",[1]AB3!$N$7,IF(D50="Options Sell",[1]AB3!$N$13,IF(D50="Options Buy",[1]AB3!$N$19)))</f>
        <v xml:space="preserve"> - </v>
      </c>
      <c r="N49" s="46">
        <v>1.4999999999999999E-2</v>
      </c>
      <c r="O49" s="47">
        <v>1</v>
      </c>
      <c r="P49" s="46">
        <v>0.02</v>
      </c>
      <c r="Q49" s="47">
        <v>1</v>
      </c>
      <c r="R49" s="46">
        <v>2.5000000000000001E-2</v>
      </c>
      <c r="S49" s="47">
        <v>1</v>
      </c>
      <c r="T49" s="46">
        <v>0.03</v>
      </c>
      <c r="U49" s="47">
        <v>1</v>
      </c>
      <c r="V49" s="50" t="s">
        <v>51</v>
      </c>
      <c r="W49" s="47">
        <v>1</v>
      </c>
      <c r="X49" s="50" t="s">
        <v>52</v>
      </c>
      <c r="Y49" s="50" t="s">
        <v>52</v>
      </c>
      <c r="Z49" s="48"/>
      <c r="AA49" s="43" t="str">
        <f>IF(D50="Futures",[1]AB3!$AD$7,IF(D50="Options Sell",[1]AB3!$AD$13,IF(D50="Options Buy",[1]AB3!$AD$19)))</f>
        <v>Min</v>
      </c>
      <c r="AB49" s="43" t="str">
        <f>IF(D50="Futures",[1]AB3!$AE$7,IF(D50="Options Sell",[1]AB3!$AE$13,IF(D50="Options Buy",[1]AB3!$AE$19)))</f>
        <v>MSL &amp; TSL</v>
      </c>
      <c r="AC49" s="43" t="str">
        <f>IF(D50="Futures",[1]AB3!$AF$7,IF(D50="Options Sell",[1]AB3!$AF$13,IF(D50="Options Buy",[1]AB3!$AF$19)))</f>
        <v>Entry &amp; TRP</v>
      </c>
      <c r="AD49" s="48"/>
      <c r="AE49" s="43" t="str">
        <f>IF(D50="Futures",[1]AB3!$AH$7,IF(D50="Options Sell",[1]AB3!$AH$13,IF(D50="Options Buy",[1]AB3!$AH$19)))</f>
        <v>S : Entry</v>
      </c>
      <c r="AF49" s="43" t="str">
        <f>IF(D50="Futures",[1]AB3!$AI$7,IF(D50="Options Sell",[1]AB3!$AI$13,IF(D50="Options Buy",[1]AB3!$AI$19)))</f>
        <v xml:space="preserve"> + </v>
      </c>
      <c r="AG49" s="46">
        <v>1.4999999999999999E-2</v>
      </c>
      <c r="AH49" s="46">
        <v>0</v>
      </c>
      <c r="AI49" s="48"/>
      <c r="AJ49" s="43" t="str">
        <f>IF(D50="Futures",[1]AB3!$AO$7,IF(D50="Options Sell",[1]AB3!$AO$13,IF(D50="Options Buy",[1]AB3!$AO$19)))</f>
        <v xml:space="preserve"> + </v>
      </c>
      <c r="AK49" s="43" t="str">
        <f t="array" ref="AK49">IF(A48="","",IF(D50="Futures",CONCATENATE([1]AB3!$AP$7,INDEX([1]AB2!M:M,MATCH(D48,[1]AB2!B:B,0)),[1]AB3!$AQ$7),IF(D50="Options Sell",CONCATENATE([1]AB3!$AP$13,INDEX([1]AB2!L:L,MATCH(D48,[1]AB2!B:B,0)),[1]AB3!$AQ$13),IF(D50="Options Buy",CONCATENATE([1]AB3!$AP$19,INDEX([1]AB2!M:M,MATCH(D48,[1]AB2!B:B,0)),[1]AB3!$AQ$19)))))</f>
        <v>FUT : PRV : 1DHH</v>
      </c>
      <c r="AL49" s="51">
        <f>IF(AND(D50="Futures",AK49=[1]AB3!$AS$7),[1]AB3!$AS$7,IF(AND(D50="Options Sell",AK49=[1]AB3!$AS$13),[1]AB3!$AS$13,IF(AND(D50="Options Buy",AK49=[1]AB3!$AS$19),[1]AB3!$AS$19,I48)))</f>
        <v>0</v>
      </c>
      <c r="AM49" s="52">
        <f>J48</f>
        <v>5</v>
      </c>
      <c r="AN49" s="43" t="str">
        <f t="array" ref="AN49">IF(A48="","",IF(AND(OR(D52="1 &amp; APS",D52="2 &amp; APS",D52="3 &amp; APS",D52="4 &amp; APS",D52="5 &amp; APS"),D50="Futures"),CONCATENATE([1]AB3!$AP$7,INDEX([1]AB2!M:M,MATCH(D48,[1]AB2!B:B,0)),[1]AB3!$AQ$7),IF(AND(OR(D52="1 &amp; APS",D52="2 &amp; APS",D52="3 &amp; APS",D52="4 &amp; APS",D52="5 &amp; APS"),D50="Options Sell"),CONCATENATE([1]AB3!$AP$13,INDEX([1]AB2!L:L,MATCH(D48,[1]AB2!B:B,0)),[1]AB3!$AQ$13),IF(AND(OR(D52="1 &amp; APS",D52="2 &amp; APS",D52="3 &amp; APS",D52="4 &amp; APS",D52="5 &amp; APS"),D50="Options Buy"),CONCATENATE([1]AB3!$AP$19,INDEX([1]AB2!M:M,MATCH(D48,[1]AB2!B:B,0)),[1]AB3!$AQ$19),[1]AB3!$AR$6))))</f>
        <v>FUT : PRV : 1DHH</v>
      </c>
      <c r="AO49" s="51">
        <f>IF(AND(D50="Futures",AN49=[1]AB3!$AU$7),[1]AB3!$AU$7,IF(AND(D50="Options Sell",AN49=[1]AB3!$AU$13),[1]AB3!$AU$13,IF(AND(D50="Options Buy",AN49=[1]AB3!$AU$19),[1]AB3!$AU$19,I48)))</f>
        <v>0</v>
      </c>
      <c r="AP49" s="52">
        <f t="shared" si="70"/>
        <v>4</v>
      </c>
      <c r="AQ49" s="43" t="str">
        <f t="array" ref="AQ49">IF(A48="","",IF(AND(OR(D52="2 &amp; APS",D52="3 &amp; APS",D52="4 &amp; APS",D52="5 &amp; APS"),D50="Futures"),CONCATENATE([1]AB3!$AP$7,INDEX([1]AB2!M:M,MATCH(D48,[1]AB2!B:B,0)),[1]AB3!$AQ$7),IF(AND(OR(D52="2 &amp; APS",D52="3 &amp; APS",D52="4 &amp; APS",D52="5 &amp; APS"),D50="Options Sell"),CONCATENATE([1]AB3!$AP$13,INDEX([1]AB2!L:L,MATCH(D48,[1]AB2!B:B,0)),[1]AB3!$AQ$13),IF(AND(OR(D52="2 &amp; APS",D52="3 &amp; APS",D52="4 &amp; APS",D52="5 &amp; APS"),D50="Options Buy"),CONCATENATE([1]AB3!$AP$19,INDEX([1]AB2!M:M,MATCH(D48,[1]AB2!B:B,0)),[1]AB3!$AQ$19),[1]AB3!$AR$6))))</f>
        <v>FUT : PRV : 1DHH</v>
      </c>
      <c r="AR49" s="51">
        <f>IF(AND(D50="Futures",AQ49=[1]AB3!$AW$7),[1]AB3!$AW$7,IF(AND(D50="Options Sell",AQ49=[1]AB3!$AW$13),[1]AB3!$AW$13,IF(AND(D50="Options Buy",AQ49=[1]AB3!$AW$19),[1]AB3!$AW$19,I48)))</f>
        <v>0</v>
      </c>
      <c r="AS49" s="52">
        <f t="shared" si="71"/>
        <v>3</v>
      </c>
      <c r="AT49" s="43" t="str">
        <f t="array" ref="AT49">IF(A48="","",IF(AND(OR(D52="3 &amp; APS",D52="4 &amp; APS",D52="5 &amp; APS"),D50="Futures"),CONCATENATE([1]AB3!$AP$7,INDEX([1]AB2!M:M,MATCH(D48,[1]AB2!B:B,0)),[1]AB3!$AQ$7),IF(AND(OR(D52="3 &amp; APS",D52="4 &amp; APS",D52="5 &amp; APS"),D50="Options Sell"),CONCATENATE([1]AB3!$AP$13,INDEX([1]AB2!L:L,MATCH(D48,[1]AB2!B:B,0)),[1]AB3!$AQ$13),IF(AND(OR(D52="3 &amp; APS",D52="4 &amp; APS",D52="5 &amp; APS"),D50="Options Buy"),CONCATENATE([1]AB3!$AP$19,INDEX([1]AB2!M:M,MATCH(D48,[1]AB2!B:B,0)),[1]AB3!$AQ$19),[1]AB3!$AR$6))))</f>
        <v>FUT : PRV : 1DHH</v>
      </c>
      <c r="AU49" s="51">
        <f>IF(AND(D50="Futures",AT49=[1]AB3!$AY$7),[1]AB3!$AY$7,IF(AND(D50="Options Sell",AT49=[1]AB3!$AY$13),[1]AB3!$AY$13,IF(AND(D50="Options Buy",AT49=[1]AB3!$AY$19),[1]AB3!$AY$19,I48)))</f>
        <v>0</v>
      </c>
      <c r="AV49" s="52">
        <f t="shared" si="72"/>
        <v>2</v>
      </c>
      <c r="AW49" s="43" t="str">
        <f t="array" ref="AW49">IF(A48="","",IF(AND(OR(D52="4 &amp; APS",D52="5 &amp; APS"),D50="Futures"),CONCATENATE([1]AB3!$AP$7,INDEX([1]AB2!M:M,MATCH(D48,[1]AB2!B:B,0)),[1]AB3!$AQ$7),IF(AND(OR(D52="4 &amp; APS",D52="5 &amp; APS"),D50="Options Sell"),CONCATENATE([1]AB3!$AP$13,INDEX([1]AB2!L:L,MATCH(D48,[1]AB2!B:B,0)),[1]AB3!$AQ$13),IF(AND(OR(D52="4 &amp; APS",D52="5 &amp; APS"),D50="Options Buy"),CONCATENATE([1]AB3!$AP$19,INDEX([1]AB2!M:M,MATCH(D48,[1]AB2!B:B,0)),[1]AB3!$AQ$19),[1]AB3!$AR$6))))</f>
        <v>FUT : PRV : 1DHH</v>
      </c>
      <c r="AX49" s="51">
        <f>IF(AND(D50="Futures",AW49=[1]AB3!$BA$7),[1]AB3!$BA$7,IF(AND(D50="Options Sell",AW49=[1]AB3!$BA$13),[1]AB3!$BA$13,IF(AND(D50="Options Buy",AW49=[1]AB3!$BA$19),[1]AB3!$BA$19,I48)))</f>
        <v>0</v>
      </c>
      <c r="AY49" s="52">
        <f t="shared" si="73"/>
        <v>1</v>
      </c>
      <c r="AZ49" s="51">
        <f t="array" ref="AZ49">IF(A48="","",IF(AND(D52="5 &amp; APS",D50="Futures"),CONCATENATE([1]AB3!$AP$7,INDEX([1]AB2!M:M,MATCH(D48,[1]AB2!B:B,0)),[1]AB3!$AQ$7),IF(AND(D52="5 &amp; APS",D50="Options Sell"),CONCATENATE([1]AB3!$AP$13,INDEX([1]AB2!L:L,MATCH(D48,[1]AB2!B:B,0)),[1]AB3!$AQ$13),IF(AND(D52="5 &amp; APS",D50="Options Buy"),CONCATENATE([1]AB3!$AP$19,INDEX([1]AB2!M:M,MATCH(D48,[1]AB2!B:B,0)),[1]AB3!$AQ$19),[1]AB3!$AR$6))))</f>
        <v>0</v>
      </c>
      <c r="BA49" s="51">
        <f>IF(AND(D50="Futures",AZ49=[1]AB3!$BC$7),[1]AB3!$BC$7,IF(AND(D50="Options Sell",AZ49=[1]AB3!$BC$13),[1]AB3!$BC$13,IF(AND(D50="Options Buy",AZ49=[1]AB3!$BC$19),[1]AB3!$BC$19,I48)))</f>
        <v>0</v>
      </c>
      <c r="BB49" s="52">
        <f t="shared" si="74"/>
        <v>0</v>
      </c>
      <c r="BC49" s="53"/>
      <c r="BD49" s="54" t="str">
        <f>IF(D50="Futures",[1]AB3!$BE$7,IF(D50="Options Sell",[1]AB3!$BE$13,IF(D50="Options Buy",[1]AB3!$BE$19)))</f>
        <v xml:space="preserve"> RC. Time</v>
      </c>
      <c r="BE49" s="55">
        <f>IF(D50="Futures",BE51+([1]AB3!$BF$7/1440),IF(D50="Options Sell",BE51+([1]AB3!$BF$13/1440),IF(D50="Options Buy",BE51+([1]AB3!$BF$19/1440))))</f>
        <v>0.39582638888888888</v>
      </c>
      <c r="BF49" s="55">
        <f>IF(D50="Futures",BE51+([1]AB3!$BG$7/1440),IF(D50="Options Sell",BE51+([1]AB3!$BG$13/1440),IF(D50="Options Buy",BE51+([1]AB3!$BG$19/1440))))</f>
        <v>0.39582638888888888</v>
      </c>
      <c r="BG49" s="55" t="str">
        <f>IF(D50="Futures",[1]AB3!$BH$7,IF(D50="Options Sell",[1]AB3!$BH$7,IF(D50="Options Buy",[1]AB3!$BH$7)))</f>
        <v>N.A.</v>
      </c>
      <c r="BH49" s="57"/>
      <c r="BI49" s="32"/>
      <c r="BJ49" s="61" t="str">
        <f>IF(D50="Futures",[1]AB3!$BK$7,IF(D50="Options Sell",[1]AB3!$BK$13,IF(D50="Options Buy",[1]AB3!$BK$19)))</f>
        <v>Short</v>
      </c>
      <c r="BK49" s="46">
        <v>1.8E-3</v>
      </c>
      <c r="BL49" s="46">
        <v>1.8E-3</v>
      </c>
      <c r="BM49" s="57"/>
      <c r="BN49" s="32"/>
      <c r="BO49" s="61" t="str">
        <f>IF(D50="Futures",[1]AB3!$BP$7,IF(D50="Options Sell",[1]AB3!$BP$13,IF(D50="Options Buy",[1]AB3!$BP$19)))</f>
        <v>Put</v>
      </c>
      <c r="BP49" s="43" t="str">
        <f t="array" ref="BP49">IF(A48="","",IF(D50="Futures","",IF(D50="EQUITY","",IF(D50="Options Sell",CONCATENATE([1]AB3!$BQ$13,INDEX([1]AB2!I:I,MATCH(A48,[1]AB2!A:A,0)),[1]AB3!$BR$13),IF(D50="Options Buy",CONCATENATE([1]AB3!$BQ$19,INDEX([1]AB2!I:I,MATCH(A48,[1]AB2!A:A,0)),[1]AB3!$BR$19))))))</f>
        <v/>
      </c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9"/>
      <c r="CL49" s="43"/>
      <c r="CM49" s="43"/>
      <c r="CN49" s="59"/>
      <c r="CO49" s="43"/>
      <c r="CP49" s="43"/>
      <c r="CQ49" s="59"/>
      <c r="CR49" s="43"/>
      <c r="CS49" s="43"/>
      <c r="CT49" s="59"/>
      <c r="CU49" s="43"/>
      <c r="CV49" s="59"/>
      <c r="CW49" s="59"/>
    </row>
    <row r="50" spans="1:101" ht="16.5" customHeight="1" x14ac:dyDescent="0.2">
      <c r="A50" s="60"/>
      <c r="B50" s="41" t="str">
        <f>CONCATENATE(D48,IF(D50="Futures",[1]AB3!$B$8,IF(D50="Options Sell",[1]AB3!$B$14,IF(D50="Options Buy",[1]AB3!$B$20))))</f>
        <v>S8C</v>
      </c>
      <c r="C50" s="42" t="str">
        <f>IF(D50="Futures",[1]AB3!$C$8,IF(D50="Options Sell",[1]AB3!$C$14,IF(D50="Options Buy",[1]AB3!$C$20)))</f>
        <v>Segment</v>
      </c>
      <c r="D50" s="43" t="str">
        <f t="array" ref="D50">IF(A48="","",INDEX([1]AB2!C:C,MATCH(D48,[1]AB2!B:B,0)))</f>
        <v>FUTURES</v>
      </c>
      <c r="E50" s="42" t="str">
        <f>IF(D50="Futures",[1]AB3!$E$8,IF(D50="Options Sell",[1]AB3!$E$14,IF(D50="Options Buy",[1]AB3!$E$20)))</f>
        <v>Contract</v>
      </c>
      <c r="F50" s="43" t="str">
        <f t="array" ref="F50">IF(A48="","",INDEX([1]AB2!F:F,MATCH(D48,[1]AB2!B:B,0)))</f>
        <v>MONTHLY</v>
      </c>
      <c r="G50" s="62"/>
      <c r="H50" s="62"/>
      <c r="I50" s="63"/>
      <c r="J50" s="64"/>
      <c r="K50" s="48"/>
      <c r="L50" s="62"/>
      <c r="M50" s="62"/>
      <c r="N50" s="63"/>
      <c r="O50" s="64"/>
      <c r="P50" s="63"/>
      <c r="Q50" s="64"/>
      <c r="R50" s="63"/>
      <c r="S50" s="64"/>
      <c r="T50" s="63"/>
      <c r="U50" s="64"/>
      <c r="V50" s="63"/>
      <c r="W50" s="64"/>
      <c r="X50" s="63"/>
      <c r="Y50" s="63"/>
      <c r="Z50" s="48"/>
      <c r="AA50" s="62"/>
      <c r="AB50" s="62"/>
      <c r="AC50" s="62"/>
      <c r="AD50" s="48"/>
      <c r="AE50" s="62"/>
      <c r="AF50" s="62"/>
      <c r="AG50" s="63"/>
      <c r="AH50" s="63"/>
      <c r="AI50" s="48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53"/>
      <c r="BD50" s="57"/>
      <c r="BE50" s="57"/>
      <c r="BF50" s="57"/>
      <c r="BG50" s="57"/>
      <c r="BH50" s="57"/>
      <c r="BI50" s="66"/>
      <c r="BJ50" s="62"/>
      <c r="BK50" s="63"/>
      <c r="BL50" s="63"/>
      <c r="BM50" s="57"/>
      <c r="BN50" s="66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59"/>
      <c r="CL50" s="62"/>
      <c r="CM50" s="62"/>
      <c r="CN50" s="59"/>
      <c r="CO50" s="62"/>
      <c r="CP50" s="62"/>
      <c r="CQ50" s="59"/>
      <c r="CR50" s="62"/>
      <c r="CS50" s="62"/>
      <c r="CT50" s="59"/>
      <c r="CU50" s="62"/>
      <c r="CV50" s="59"/>
      <c r="CW50" s="59"/>
    </row>
    <row r="51" spans="1:101" ht="16.5" customHeight="1" x14ac:dyDescent="0.2">
      <c r="A51" s="60"/>
      <c r="B51" s="41" t="str">
        <f>CONCATENATE(D48,IF(D50="Futures",[1]AB3!$B$9,IF(D50="Options Sell",[1]AB3!$B$15,IF(D50="Options Buy",[1]AB3!$B$21))))</f>
        <v>S8D</v>
      </c>
      <c r="C51" s="42" t="str">
        <f>IF(D50="Futures",[1]AB3!$C$9,IF(D50="Options Sell",[1]AB3!$C$15,IF(D50="Options Buy",[1]AB3!$C$21)))</f>
        <v>Symbol</v>
      </c>
      <c r="D51" s="43" t="str">
        <f t="array" ref="D51">IF(A48="","",INDEX([1]AB2!E:E,MATCH(D48,[1]AB2!B:B,0)))</f>
        <v>NIFTY</v>
      </c>
      <c r="E51" s="44" t="str">
        <f>IF(D50="Futures",[1]AB3!$E$9,IF(D50="Options Sell",[1]AB3!$E$15,IF(D50="Options Buy",[1]AB3!$E$21)))</f>
        <v>Bear / 
Bear CF</v>
      </c>
      <c r="F51" s="45" t="str">
        <f>IF(D50="Futures",[1]AB3!$F$9,IF(D50="Options Sell",[1]AB3!$F$15,IF(D50="Options Buy",[1]AB3!$F$21)))</f>
        <v>Long</v>
      </c>
      <c r="G51" s="43" t="str">
        <f t="array" ref="G51">IF(A48="","",IF(D50="Futures",CONCATENATE([1]AB3!$G$9,INDEX([1]AB2!J:J,MATCH(D48,[1]AB2!B:B,0)),[1]AB3!$H$9),IF(D50="Options Sell",CONCATENATE([1]AB3!$G$15,INDEX([1]AB2!I:I,MATCH(D48,[1]AB2!B:B,0)),[1]AB3!$H$15),IF(D50="Options Buy",CONCATENATE([1]AB3!$G$21,INDEX([1]AB2!J:J,MATCH(D48,[1]AB2!B:B,0)),[1]AB3!$H$21)))))</f>
        <v>FUT : PRV : 2DHH</v>
      </c>
      <c r="H51" s="43" t="str">
        <f>IF(D50="Futures",[1]AB3!$I$9,IF(D50="Options Sell",[1]AB3!$I$15,IF(D50="Options Buy",[1]AB3!$I$21)))</f>
        <v xml:space="preserve"> + </v>
      </c>
      <c r="I51" s="46">
        <v>1.8E-3</v>
      </c>
      <c r="J51" s="47">
        <v>5</v>
      </c>
      <c r="K51" s="48"/>
      <c r="L51" s="43" t="str">
        <f>IF(D50="Futures",[1]AB3!$M$9,IF(D50="Options Sell",[1]AB3!$M$15,IF(D50="Options Buy",[1]AB3!$M$21)))</f>
        <v xml:space="preserve">L : Entry </v>
      </c>
      <c r="M51" s="43" t="str">
        <f>IF(D50="Futures",[1]AB3!$N$9,IF(D50="Options Sell",[1]AB3!$N$15,IF(D50="Options Buy",[1]AB3!$N$21)))</f>
        <v xml:space="preserve"> + </v>
      </c>
      <c r="N51" s="46">
        <v>1.4999999999999999E-2</v>
      </c>
      <c r="O51" s="47">
        <v>1</v>
      </c>
      <c r="P51" s="46">
        <v>0.02</v>
      </c>
      <c r="Q51" s="47">
        <v>1</v>
      </c>
      <c r="R51" s="46">
        <v>2.5000000000000001E-2</v>
      </c>
      <c r="S51" s="47">
        <v>1</v>
      </c>
      <c r="T51" s="46">
        <v>0.03</v>
      </c>
      <c r="U51" s="47">
        <v>1</v>
      </c>
      <c r="V51" s="50" t="s">
        <v>51</v>
      </c>
      <c r="W51" s="47">
        <v>1</v>
      </c>
      <c r="X51" s="50" t="s">
        <v>52</v>
      </c>
      <c r="Y51" s="50" t="s">
        <v>52</v>
      </c>
      <c r="Z51" s="48"/>
      <c r="AA51" s="43" t="str">
        <f>IF(D50="Futures",[1]AB3!$AD$9,IF(D50="Options Sell",[1]AB3!$AD$15,IF(D50="Options Buy",[1]AB3!$AD$21)))</f>
        <v>Max</v>
      </c>
      <c r="AB51" s="43" t="str">
        <f>IF(D50="Futures",[1]AB3!$AE$9,IF(D50="Options Sell",[1]AB3!$AE$15,IF(D50="Options Buy",[1]AB3!$AE$21)))</f>
        <v>MSL &amp; TSL</v>
      </c>
      <c r="AC51" s="43" t="str">
        <f>IF(D50="Futures",[1]AB3!$AF$9,IF(D50="Options Sell",[1]AB3!$AF$15,IF(D50="Options Buy",[1]AB3!$AF$21)))</f>
        <v>Entry &amp; TRP</v>
      </c>
      <c r="AD51" s="48"/>
      <c r="AE51" s="43" t="str">
        <f>IF(D50="Futures",[1]AB3!$AH$9,IF(D50="Options Sell",[1]AB3!$AH$15,IF(D50="Options Buy",[1]AB3!$AH$21)))</f>
        <v>L : Entry</v>
      </c>
      <c r="AF51" s="43" t="str">
        <f>IF(D50="Futures",[1]AB3!$AI$9,IF(D50="Options Sell",[1]AB3!$AI$15,IF(D50="Options Buy",[1]AB3!$AI$21)))</f>
        <v xml:space="preserve"> - </v>
      </c>
      <c r="AG51" s="46">
        <v>1.4999999999999999E-2</v>
      </c>
      <c r="AH51" s="46">
        <v>0</v>
      </c>
      <c r="AI51" s="48"/>
      <c r="AJ51" s="43" t="str">
        <f>IF(D50="Futures",[1]AB3!$AO$9,IF(D50="Options Sell",[1]AB3!$AO$15,IF(D50="Options Buy",[1]AB3!$AO$21)))</f>
        <v xml:space="preserve"> - </v>
      </c>
      <c r="AK51" s="43" t="str">
        <f t="array" ref="AK51">IF(A48="","",IF(D50="Futures",CONCATENATE([1]AB3!$AP$9,INDEX([1]AB2!M:M,MATCH(D48,[1]AB2!B:B,0)),[1]AB3!$AQ$9),IF(D50="Options Sell",CONCATENATE([1]AB3!$AP$15,INDEX([1]AB2!L:L,MATCH(D48,[1]AB2!B:B,0)),[1]AB3!$AQ$15),IF(D50="Options Buy",CONCATENATE([1]AB3!$AP$21,INDEX([1]AB2!M:M,MATCH(D48,[1]AB2!B:B,0)),[1]AB3!$AQ$21)))))</f>
        <v>FUT : PRV : 1DLL</v>
      </c>
      <c r="AL51" s="51">
        <f>IF(AND(D50="Futures",AK51=[1]AB3!$AS$9),[1]AB3!$AS$9,IF(AND(D50="Options Sell",AK51=[1]AB3!$AS$15),[1]AB3!$AS$15,IF(AND(D50="Options Buy",AK51=[1]AB3!$AS$21),[1]AB3!$AS$21,I52)))</f>
        <v>0</v>
      </c>
      <c r="AM51" s="52">
        <f>J52</f>
        <v>5</v>
      </c>
      <c r="AN51" s="43" t="str">
        <f t="array" ref="AN51">IF(A48="","",IF(AND(OR(D52="1 &amp; APS",D52="2 &amp; APS",D52="3 &amp; APS",D52="4 &amp; APS",D52="5 &amp; APS"),D50="Futures"),CONCATENATE([1]AB3!$AP$9,INDEX([1]AB2!M:M,MATCH(D48,[1]AB2!B:B,0)),[1]AB3!$AQ$9),IF(AND(OR(D52="1 &amp; APS",D52="2 &amp; APS",D52="3 &amp; APS",D52="4 &amp; APS",D52="5 &amp; APS"),D50="Options Sell"),CONCATENATE([1]AB3!$AP$15,INDEX([1]AB2!L:L,MATCH(D48,[1]AB2!B:B,0)),[1]AB3!$AQ$15),IF(AND(OR(D52="1 &amp; APS",D52="2 &amp; APS",D52="3 &amp; APS",D52="4 &amp; APS",D52="5 &amp; APS"),D50="Options Buy"),CONCATENATE([1]AB3!$AP$21,INDEX([1]AB2!M:M,MATCH(D48,[1]AB2!B:B,0)),[1]AB3!$AQ$21),[1]AB3!$AR$6))))</f>
        <v>FUT : PRV : 1DLL</v>
      </c>
      <c r="AO51" s="51">
        <f>IF(AND(D50="Futures",AN51=[1]AB3!$AU$9),[1]AB3!$AU$9,IF(AND(D50="Options Sell",AN51=[1]AB3!$AU$15),[1]AB3!$AU$15,IF(AND(D50="Options Buy",AN51=[1]AB3!$AU$21),[1]AB3!$AU$21,I52)))</f>
        <v>0</v>
      </c>
      <c r="AP51" s="52">
        <f t="shared" ref="AP51:AP52" si="75">AM51-O51</f>
        <v>4</v>
      </c>
      <c r="AQ51" s="43" t="str">
        <f t="array" ref="AQ51">IF(A48="","",IF(AND(OR(D52="2 &amp; APS",D52="3 &amp; APS",D52="4 &amp; APS",D52="5 &amp; APS"),D50="Futures"),CONCATENATE([1]AB3!$AP$9,INDEX([1]AB2!M:M,MATCH(D48,[1]AB2!B:B,0)),[1]AB3!$AQ$9),IF(AND(OR(D52="2 &amp; APS",D52="3 &amp; APS",D52="4 &amp; APS",D52="5 &amp; APS"),D50="Options Sell"),CONCATENATE([1]AB3!$AP$15,INDEX([1]AB2!L:L,MATCH(D48,[1]AB2!B:B,0)),[1]AB3!$AQ$15),IF(AND(OR(D52="2 &amp; APS",D52="3 &amp; APS",D52="4 &amp; APS",D52="5 &amp; APS"),D50="Options Buy"),CONCATENATE([1]AB3!$AP$21,INDEX([1]AB2!M:M,MATCH(D48,[1]AB2!B:B,0)),[1]AB3!$AQ$21),[1]AB3!$AR$6))))</f>
        <v>FUT : PRV : 1DLL</v>
      </c>
      <c r="AR51" s="51">
        <f>IF(AND(D50="Futures",AQ51=[1]AB3!$AW$9),[1]AB3!$AW$9,IF(AND(D50="Options Sell",AQ51=[1]AB3!$AW$15),[1]AB3!$AW$15,IF(AND(D50="Options Buy",AQ51=[1]AB3!$AW$21),[1]AB3!$AW$21,I52)))</f>
        <v>0</v>
      </c>
      <c r="AS51" s="52">
        <f t="shared" ref="AS51:AS52" si="76">AP51-Q51</f>
        <v>3</v>
      </c>
      <c r="AT51" s="43" t="str">
        <f t="array" ref="AT51">IF(A48="","",IF(AND(OR(D52="3 &amp; APS",D52="4 &amp; APS",D52="5 &amp; APS"),D50="Futures"),CONCATENATE([1]AB3!$AP$9,INDEX([1]AB2!M:M,MATCH(D48,[1]AB2!B:B,0)),[1]AB3!$AQ$9),IF(AND(OR(D52="3 &amp; APS",D52="4 &amp; APS",D52="5 &amp; APS"),D50="Options Sell"),CONCATENATE([1]AB3!$AP$15,INDEX([1]AB2!L:L,MATCH(D48,[1]AB2!B:B,0)),[1]AB3!$AQ$15),IF(AND(OR(D52="3 &amp; APS",D52="4 &amp; APS",D52="5 &amp; APS"),D50="Options Buy"),CONCATENATE([1]AB3!$AP$21,INDEX([1]AB2!M:M,MATCH(D48,[1]AB2!B:B,0)),[1]AB3!$AQ$21),[1]AB3!$AR$6))))</f>
        <v>FUT : PRV : 1DLL</v>
      </c>
      <c r="AU51" s="51">
        <f>IF(AND(D50="Futures",AT51=[1]AB3!$AY$9),[1]AB3!$AY$9,IF(AND(D50="Options Sell",AT51=[1]AB3!$AY$15),[1]AB3!$AY$15,IF(AND(D50="Options Buy",AT51=[1]AB3!$AY$21),[1]AB3!$AY$21,I52)))</f>
        <v>0</v>
      </c>
      <c r="AV51" s="52">
        <f t="shared" ref="AV51:AV52" si="77">AS51-S51</f>
        <v>2</v>
      </c>
      <c r="AW51" s="43" t="str">
        <f t="array" ref="AW51">IF(A48="","",IF(AND(OR(D52="4 &amp; APS",D52="5 &amp; APS"),D50="Futures"),CONCATENATE([1]AB3!$AP$9,INDEX([1]AB2!M:M,MATCH(D48,[1]AB2!B:B,0)),[1]AB3!$AQ$9),IF(AND(OR(D52="4 &amp; APS",D52="5 &amp; APS"),D50="Options Sell"),CONCATENATE([1]AB3!$AP$15,INDEX([1]AB2!L:L,MATCH(D48,[1]AB2!B:B,0)),[1]AB3!$AQ$15),IF(AND(OR(D52="4 &amp; APS",D52="5 &amp; APS"),D50="Options Buy"),CONCATENATE([1]AB3!$AP$21,INDEX([1]AB2!M:M,MATCH(D48,[1]AB2!B:B,0)),[1]AB3!$AQ$21),[1]AB3!$AR$6))))</f>
        <v>FUT : PRV : 1DLL</v>
      </c>
      <c r="AX51" s="51">
        <f>IF(AND(D50="Futures",AW51=[1]AB3!$BA$9),[1]AB3!$BA$9,IF(AND(D50="Options Sell",AW51=[1]AB3!$BA$15),[1]AB3!$BA$15,IF(AND(D50="Options Buy",AW51=[1]AB3!$BA$21),[1]AB3!$BA$21,I52)))</f>
        <v>0</v>
      </c>
      <c r="AY51" s="52">
        <f t="shared" ref="AY51:AY52" si="78">AV51-S51</f>
        <v>1</v>
      </c>
      <c r="AZ51" s="51">
        <f t="array" ref="AZ51">IF(A48="","",IF(AND(D52="5 &amp; APS",D50="Futures"),CONCATENATE([1]AB3!$AP$9,INDEX([1]AB2!M:M,MATCH(D48,[1]AB2!B:B,0)),[1]AB3!$AQ$9),IF(AND(D52="5 &amp; APS",D50="Options Sell"),CONCATENATE([1]AB3!$AP$15,INDEX([1]AB2!L:L,MATCH(D48,[1]AB2!B:B,0)),[1]AB3!$AQ$15),IF(AND(D52="5 &amp; APS",D50="Options Buy"),CONCATENATE([1]AB3!$AP$21,INDEX([1]AB2!M:M,MATCH(D48,[1]AB2!B:B,0)),[1]AB3!$AQ$21),[1]AB3!$AR$6))))</f>
        <v>0</v>
      </c>
      <c r="BA51" s="51">
        <f>IF(AND(D50="Futures",AZ51=[1]AB3!$BC$9),[1]AB3!$BC$9,IF(AND(D50="Options Sell",AZ51=[1]AB3!$BC$15),[1]AB3!$BC$15,IF(AND(D50="Options Buy",AZ51=[1]AB3!$BC$21),[1]AB3!$BC$21,I52)))</f>
        <v>0</v>
      </c>
      <c r="BB51" s="52">
        <f t="shared" ref="BB51:BB52" si="79">AY51-W51</f>
        <v>0</v>
      </c>
      <c r="BC51" s="53"/>
      <c r="BD51" s="54" t="str">
        <f>IF(D50="Futures",[1]AB3!$BE$9,IF(D50="Options Sell",[1]AB3!$BE$15,IF(D50="Options Buy",[1]AB3!$BE$21)))</f>
        <v>Market Start Time</v>
      </c>
      <c r="BE51" s="67">
        <f t="array" ref="BE51">IF(D48="","",INDEX([1]AB2!AG:AG,MATCH(D48,[1]AB2!B:B,0)))</f>
        <v>0.38541666666666669</v>
      </c>
      <c r="BF51" s="11"/>
      <c r="BG51" s="12"/>
      <c r="BH51" s="57"/>
      <c r="BI51" s="68" t="str">
        <f>IF(D50="Futures",[1]AB3!$BJ$9,IF(D50="Options Sell",[1]AB3!$BJ$15,IF(D50="Options Buy",[1]AB3!$BJ$21)))</f>
        <v>Bear / 
Bear CF</v>
      </c>
      <c r="BJ51" s="45" t="str">
        <f>IF(D50="Futures",[1]AB3!$BK$9,IF(D50="Options Sell",[1]AB3!$BK$15,IF(D50="Options Buy",[1]AB3!$BK$21)))</f>
        <v>Long</v>
      </c>
      <c r="BK51" s="46">
        <v>1.8E-3</v>
      </c>
      <c r="BL51" s="46">
        <v>1.8E-3</v>
      </c>
      <c r="BM51" s="57"/>
      <c r="BN51" s="68" t="str">
        <f>IF(D50="Futures",[1]AB3!$BO$9,IF(D50="Options Sell",[1]AB3!$BO$15,IF(D50="Options Buy",[1]AB3!$BO$21)))</f>
        <v>Bear | 
Bear CF</v>
      </c>
      <c r="BO51" s="45" t="str">
        <f>IF(D50="Futures",[1]AB3!$BP$9,IF(D50="Options Sell",[1]AB3!$BP$15,IF(D50="Options Buy",[1]AB3!$BP$21)))</f>
        <v>Call</v>
      </c>
      <c r="BP51" s="43" t="str">
        <f t="array" ref="BP51">IF(A48="","",IF(D50="Futures","",IF(D50="EQUITY","",IF(D50="Options Sell",CONCATENATE([1]AB3!$BQ$15,INDEX([1]AB2!I:I,MATCH(A48,[1]AB2!A:A,0)),[1]AB3!$BR$15),IF(D50="Options Buy",CONCATENATE([1]AB3!$BQ$21,INDEX([1]AB2!I:I,MATCH(A48,[1]AB2!A:A,0)),[1]AB3!$BR$21))))))</f>
        <v/>
      </c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9"/>
      <c r="CL51" s="43"/>
      <c r="CM51" s="43"/>
      <c r="CN51" s="59"/>
      <c r="CO51" s="43"/>
      <c r="CP51" s="43"/>
      <c r="CQ51" s="59"/>
      <c r="CR51" s="43"/>
      <c r="CS51" s="43"/>
      <c r="CT51" s="59"/>
      <c r="CU51" s="43"/>
      <c r="CV51" s="59"/>
      <c r="CW51" s="59"/>
    </row>
    <row r="52" spans="1:101" ht="16.5" customHeight="1" x14ac:dyDescent="0.2">
      <c r="A52" s="32"/>
      <c r="B52" s="41" t="str">
        <f>CONCATENATE(D48,IF(D50="Futures",[1]AB3!$B$10,IF(D50="Options Sell",[1]AB3!$B$16,IF(D50="Options Buy",[1]AB3!$B$22))))</f>
        <v>S8E</v>
      </c>
      <c r="C52" s="42" t="str">
        <f>IF(D50="Futures",[1]AB3!$E$8,IF(D50="Options Sell",[1]AB3!$E$14,IF(D50="Options Buy",[1]AB3!$E$20)))</f>
        <v>Contract</v>
      </c>
      <c r="D52" s="43" t="str">
        <f t="array" ref="D52">IF(A48="","",INDEX([1]AB2!K:K,MATCH(D48,[1]AB2!B:B,0)))</f>
        <v>4 &amp; APS</v>
      </c>
      <c r="E52" s="32"/>
      <c r="F52" s="61" t="str">
        <f>IF(D50="Futures",[1]AB3!$F$10,IF(D50="Options Sell",[1]AB3!$F$16,IF(D50="Options Buy",[1]AB3!$F$22)))</f>
        <v>Short</v>
      </c>
      <c r="G52" s="43" t="str">
        <f t="array" ref="G52">(IF(A48="","",IF(D50="Futures",CONCATENATE([1]AB3!$G$10,INDEX([1]AB2!I:I,MATCH(D48,[1]AB2!B:B,0)),[1]AB3!$H$10),IF(D50="Options Sell",CONCATENATE([1]AB3!$G$16,INDEX([1]AB2!J:J,MATCH(D48,[1]AB2!B:B,0)),[1]AB3!$H$16),IF(D50="Options Buy",CONCATENATE([1]AB3!$G$22,INDEX([1]AB2!I:I,MATCH(D48,[1]AB2!B:B,0)),[1]AB3!$H$22))))))</f>
        <v>FUT : PRV : 1DLL</v>
      </c>
      <c r="H52" s="43" t="str">
        <f>IF(D50="Futures",[1]AB3!$I$10,IF(D50="Options Sell",[1]AB3!$I$16,IF(D50="Options Buy",[1]AB3!$I$22)))</f>
        <v xml:space="preserve"> - </v>
      </c>
      <c r="I52" s="46">
        <v>0</v>
      </c>
      <c r="J52" s="47">
        <v>5</v>
      </c>
      <c r="K52" s="48"/>
      <c r="L52" s="43" t="str">
        <f>IF(D50="Futures",[1]AB3!$M$10,IF(D50="Options Sell",[1]AB3!$M$16,IF(D50="Options Buy",[1]AB3!$M$22)))</f>
        <v xml:space="preserve">S : Entry </v>
      </c>
      <c r="M52" s="43" t="str">
        <f>IF(D50="Futures",[1]AB3!$N$10,IF(D50="Options Sell",[1]AB3!$N$16,IF(D50="Options Buy",[1]AB3!$N$22)))</f>
        <v xml:space="preserve"> - </v>
      </c>
      <c r="N52" s="46">
        <v>1.4999999999999999E-2</v>
      </c>
      <c r="O52" s="47">
        <v>1</v>
      </c>
      <c r="P52" s="46">
        <v>0.02</v>
      </c>
      <c r="Q52" s="47">
        <v>1</v>
      </c>
      <c r="R52" s="46">
        <v>2.5000000000000001E-2</v>
      </c>
      <c r="S52" s="47">
        <v>1</v>
      </c>
      <c r="T52" s="46">
        <v>0.03</v>
      </c>
      <c r="U52" s="47">
        <v>1</v>
      </c>
      <c r="V52" s="50" t="s">
        <v>51</v>
      </c>
      <c r="W52" s="47">
        <v>1</v>
      </c>
      <c r="X52" s="50" t="s">
        <v>52</v>
      </c>
      <c r="Y52" s="50" t="s">
        <v>52</v>
      </c>
      <c r="Z52" s="48"/>
      <c r="AA52" s="43" t="str">
        <f>IF(D50="Futures",[1]AB3!$AD$10,IF(D50="Options Sell",[1]AB3!$AD$16,IF(D50="Options Buy",[1]AB3!$AD$22)))</f>
        <v>Min</v>
      </c>
      <c r="AB52" s="43" t="str">
        <f>IF(D50="Futures",[1]AB3!$AE$10,IF(D50="Options Sell",[1]AB3!$AE$16,IF(D50="Options Buy",[1]AB3!$AE$22)))</f>
        <v>MSL &amp; TSL</v>
      </c>
      <c r="AC52" s="43" t="str">
        <f>IF(D50="Futures",[1]AB3!$AF$10,IF(D50="Options Sell",[1]AB3!$AF$16,IF(D50="Options Buy",[1]AB3!$AF$22)))</f>
        <v>Entry &amp; TRP</v>
      </c>
      <c r="AD52" s="48"/>
      <c r="AE52" s="43" t="str">
        <f>IF(D50="Futures",[1]AB3!$AH$10,IF(D50="Options Sell",[1]AB3!$AH$16,IF(D50="Options Buy",[1]AB3!$AH$22)))</f>
        <v>S : Entry</v>
      </c>
      <c r="AF52" s="43" t="str">
        <f>IF(D50="Futures",[1]AB3!$AI$10,IF(D50="Options Sell",[1]AB3!$AI$16,IF(D50="Options Buy",[1]AB3!$AI$22)))</f>
        <v xml:space="preserve"> + </v>
      </c>
      <c r="AG52" s="46">
        <v>1.4999999999999999E-2</v>
      </c>
      <c r="AH52" s="46">
        <v>0</v>
      </c>
      <c r="AI52" s="48"/>
      <c r="AJ52" s="43" t="str">
        <f>IF(D50="Futures",[1]AB3!$AO$10,IF(D50="Options Sell",[1]AB3!$AO$16,IF(D50="Options Buy",[1]AB3!$AO$22)))</f>
        <v xml:space="preserve"> + </v>
      </c>
      <c r="AK52" s="43" t="str">
        <f t="array" ref="AK52">IF(A48="","",IF(D50="Futures",CONCATENATE([1]AB3!$AP$10,INDEX([1]AB2!L:L,MATCH(D48,[1]AB2!B:B,0)),[1]AB3!$AQ$10),IF(D50="Options Sell",CONCATENATE([1]AB3!$AP$16,INDEX([1]AB2!M:M,MATCH(D48,[1]AB2!B:B,0)),[1]AB3!$AQ$16),IF(D50="Options Buy",CONCATENATE([1]AB3!$AP$22,INDEX([1]AB2!L:L,MATCH(D48,[1]AB2!B:B,0)),[1]AB3!$AQ$22)))))</f>
        <v>FUT : PRV : 2DHH</v>
      </c>
      <c r="AL52" s="51">
        <f>IF(AND(D50="Futures",AK52=[1]AB3!$AS$10),[1]AB3!$AS$10,IF(AND(D50="Options Sell",AK52=[1]AB3!$AS$16),[1]AB3!$AS$16,IF(AND(D50="Options Buy",AK52=[1]AB3!$AS$22),[1]AB3!$AS$22,I51)))</f>
        <v>1.8E-3</v>
      </c>
      <c r="AM52" s="52">
        <f>J51</f>
        <v>5</v>
      </c>
      <c r="AN52" s="43" t="str">
        <f t="array" ref="AN52">IF(A48="","",IF(AND(OR(D52="1 &amp; APS",D52="2 &amp; APS",D52="3 &amp; APS",D52="4 &amp; APS",D52="5 &amp; APS"),D50="Futures"),CONCATENATE([1]AB3!$AP$10,INDEX([1]AB2!L:L,MATCH(D48,[1]AB2!B:B,0)),[1]AB3!$AQ$10),IF(AND(OR(D52="1 &amp; APS",D52="2 &amp; APS",D52="3 &amp; APS",D52="4 &amp; APS",D52="5 &amp; APS"),D50="Options Sell"),CONCATENATE([1]AB3!$AP$16,INDEX([1]AB2!M:M,MATCH(D48,[1]AB2!B:B,0)),[1]AB3!$AQ$16),IF(AND(OR(D52="1 &amp; APS",D52="2 &amp; APS",D52="3 &amp; APS",D52="4 &amp; APS",D52="5 &amp; APS"),D50="Options Buy"),CONCATENATE([1]AB3!$AP$22,INDEX([1]AB2!L:L,MATCH(D48,[1]AB2!B:B,0)),[1]AB3!$AQ$22),[1]AB3!$AR$6))))</f>
        <v>FUT : PRV : 2DHH</v>
      </c>
      <c r="AO52" s="51">
        <f>IF(AND(D50="Futures",AN52=[1]AB3!$AU$10),[1]AB3!$AU$10,IF(AND(D50="Options Sell",AN52=[1]AB3!$AU$16),[1]AB3!$AU$16,IF(AND(D50="Options Buy",AN52=[1]AB3!$AU$22),[1]AB3!$AU$22,I51)))</f>
        <v>1.8E-3</v>
      </c>
      <c r="AP52" s="52">
        <f t="shared" si="75"/>
        <v>4</v>
      </c>
      <c r="AQ52" s="43" t="str">
        <f t="array" ref="AQ52">IF(A48="","",IF(AND(OR(D52="2 &amp; APS",D52="3 &amp; APS",D52="4 &amp; APS",D52="5 &amp; APS"),D50="Futures"),CONCATENATE([1]AB3!$AP$10,INDEX([1]AB2!L:L,MATCH(D48,[1]AB2!B:B,0)),[1]AB3!$AQ$10),IF(AND(OR(D52="2 &amp; APS",D52="3 &amp; APS",D52="4 &amp; APS",D52="5 &amp; APS"),D50="Options Sell"),CONCATENATE([1]AB3!$AP$16,INDEX([1]AB2!M:M,MATCH(D48,[1]AB2!B:B,0)),[1]AB3!$AQ$16),IF(AND(OR(D52="2 &amp; APS",D52="3 &amp; APS",D52="4 &amp; APS",D52="5 &amp; APS"),D50="Options Buy"),CONCATENATE([1]AB3!$AP$22,INDEX([1]AB2!L:L,MATCH(D48,[1]AB2!B:B,0)),[1]AB3!$AQ$22),[1]AB3!$AR$6))))</f>
        <v>FUT : PRV : 2DHH</v>
      </c>
      <c r="AR52" s="51">
        <f>IF(AND(D50="Futures",AQ52=[1]AB3!$AW$10),[1]AB3!$AW$10,IF(AND(D50="Options Sell",AQ52=[1]AB3!$AW$16),[1]AB3!$AW$16,IF(AND(D50="Options Buy",AQ52=[1]AB3!$AW$22),[1]AB3!$AW$22,I51)))</f>
        <v>1.8E-3</v>
      </c>
      <c r="AS52" s="52">
        <f t="shared" si="76"/>
        <v>3</v>
      </c>
      <c r="AT52" s="43" t="str">
        <f t="array" ref="AT52">IF(A48="","",IF(AND(OR(D52="3 &amp; APS",D52="4 &amp; APS",D52="5 &amp; APS"),D50="Futures"),CONCATENATE([1]AB3!$AP$10,INDEX([1]AB2!L:L,MATCH(D48,[1]AB2!B:B,0)),[1]AB3!$AQ$10),IF(AND(OR(D52="3 &amp; APS",D52="4 &amp; APS",D52="5 &amp; APS"),D50="Options Sell"),CONCATENATE([1]AB3!$AP$16,INDEX([1]AB2!M:M,MATCH(D48,[1]AB2!B:B,0)),[1]AB3!$AQ$16),IF(AND(OR(D52="3 &amp; APS",D52="4 &amp; APS",D52="5 &amp; APS"),D50="Options Buy"),CONCATENATE([1]AB3!$AP$22,INDEX([1]AB2!L:L,MATCH(D48,[1]AB2!B:B,0)),[1]AB3!$AQ$22),[1]AB3!$AR$6))))</f>
        <v>FUT : PRV : 2DHH</v>
      </c>
      <c r="AU52" s="51">
        <f>IF(AND(D50="Futures",AT52=[1]AB3!$AY$10),[1]AB3!$AY$10,IF(AND(D50="Options Sell",AT52=[1]AB3!$AY$16),[1]AB3!$AY$16,IF(AND(D50="Options Buy",AT52=[1]AB3!$AY$22),[1]AB3!$AY$22,I51)))</f>
        <v>1.8E-3</v>
      </c>
      <c r="AV52" s="52">
        <f t="shared" si="77"/>
        <v>2</v>
      </c>
      <c r="AW52" s="43" t="str">
        <f t="array" ref="AW52">IF(A48="","",IF(AND(OR(D52="4 &amp; APS",D52="5 &amp; APS"),D50="Futures"),CONCATENATE([1]AB3!$AP$10,INDEX([1]AB2!L:L,MATCH(D48,[1]AB2!B:B,0)),[1]AB3!$AQ$10),IF(AND(OR(D52="4 &amp; APS",D52="5 &amp; APS"),D50="Options Sell"),CONCATENATE([1]AB3!$AP$16,INDEX([1]AB2!M:M,MATCH(D48,[1]AB2!B:B,0)),[1]AB3!$AQ$16),IF(AND(OR(D52="4 &amp; APS",D52="5 &amp; APS"),D50="Options Buy"),CONCATENATE([1]AB3!$AP$22,INDEX([1]AB2!L:L,MATCH(D48,[1]AB2!B:B,0)),[1]AB3!$AQ$22),[1]AB3!$AR$6))))</f>
        <v>FUT : PRV : 2DHH</v>
      </c>
      <c r="AX52" s="51">
        <f>IF(AND(D50="Futures",AW52=[1]AB3!$BA$10),[1]AB3!$BA$10,IF(AND(D50="Options Sell",AW52=[1]AB3!$BA$16),[1]AB3!$BA$16,IF(AND(D50="Options Buy",AW52=[1]AB3!$BA$22),[1]AB3!$BA$22,I51)))</f>
        <v>1.8E-3</v>
      </c>
      <c r="AY52" s="52">
        <f t="shared" si="78"/>
        <v>1</v>
      </c>
      <c r="AZ52" s="51">
        <f t="array" ref="AZ52">IF(A48="","",IF(AND(D52="5 &amp; APS",D50="Futures"),CONCATENATE([1]AB3!$AP$10,INDEX([1]AB2!L:L,MATCH(D48,[1]AB2!B:B,0)),[1]AB3!$AQ$10),IF(AND(D52="5 &amp; APS",D50="Options Sell"),CONCATENATE([1]AB3!$AP$16,INDEX([1]AB2!M:M,MATCH(D48,[1]AB2!B:B,0)),[1]AB3!$AQ$16),IF(AND(D52="5 &amp; APS",D50="Options Buy"),CONCATENATE([1]AB3!$AP$22,INDEX([1]AB2!L:L,MATCH(D48,[1]AB2!B:B,0)),[1]AB3!$AQ$22),[1]AB3!$AR$6))))</f>
        <v>0</v>
      </c>
      <c r="BA52" s="51">
        <f>IF(AND(D50="Futures",AZ52=[1]AB3!$BC$10),[1]AB3!$BC$10,IF(AND(D50="Options Sell",AZ52=[1]AB3!$BC$16),[1]AB3!$BC$16,IF(AND(D50="Options Buy",AZ52=[1]AB3!$BC$22),[1]AB3!$BC$22,I51)))</f>
        <v>0</v>
      </c>
      <c r="BB52" s="52">
        <f t="shared" si="79"/>
        <v>0</v>
      </c>
      <c r="BC52" s="53"/>
      <c r="BD52" s="54" t="str">
        <f>IF(D50="Futures",[1]AB3!$BE$10,IF(D50="Options Sell",[1]AB3!$BE$16,IF(D50="Options Buy",[1]AB3!$BE$22)))</f>
        <v>Market End Time</v>
      </c>
      <c r="BE52" s="67">
        <f t="array" ref="BE52">IF(D48="","",INDEX([1]AB2!AH:AH,MATCH(D48,[1]AB2!B:B,0)))</f>
        <v>0.64583333333333337</v>
      </c>
      <c r="BF52" s="11"/>
      <c r="BG52" s="12"/>
      <c r="BH52" s="57"/>
      <c r="BI52" s="32"/>
      <c r="BJ52" s="61" t="str">
        <f>IF(D50="Futures",[1]AB3!$BK$10,IF(D50="Options Sell",[1]AB3!$BK$16,IF(D50="Options Buy",[1]AB3!$BK$22)))</f>
        <v>Short</v>
      </c>
      <c r="BK52" s="46">
        <v>1.8E-3</v>
      </c>
      <c r="BL52" s="46">
        <v>1.8E-3</v>
      </c>
      <c r="BM52" s="57"/>
      <c r="BN52" s="32"/>
      <c r="BO52" s="61" t="str">
        <f>IF(D50="Futures",[1]AB3!$BP$10,IF(D50="Options Sell",[1]AB3!$BP$16,IF(D50="Options Buy",[1]AB3!$BP$22)))</f>
        <v>Put</v>
      </c>
      <c r="BP52" s="43" t="str">
        <f t="array" ref="BP52">IF(A48="","",IF(D50="Futures","",IF(D50="EQUITY","",IF(D50="Options Sell",CONCATENATE([1]AB3!$BQ$16,INDEX([1]AB2!J:J,MATCH(A48,[1]AB2!A:A,0)),[1]AB3!$BR$16),IF(D50="Options Buy",CONCATENATE([1]AB3!$BQ$22,INDEX([1]AB2!J:J,MATCH(A48,[1]AB2!A:A,0)),[1]AB3!$BR$22))))))</f>
        <v/>
      </c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9"/>
      <c r="CL52" s="43"/>
      <c r="CM52" s="43"/>
      <c r="CN52" s="59"/>
      <c r="CO52" s="43"/>
      <c r="CP52" s="43"/>
      <c r="CQ52" s="59"/>
      <c r="CR52" s="43"/>
      <c r="CS52" s="43"/>
      <c r="CT52" s="59"/>
      <c r="CU52" s="43"/>
      <c r="CV52" s="59"/>
      <c r="CW52" s="59"/>
    </row>
    <row r="53" spans="1:101" ht="15.75" customHeight="1" x14ac:dyDescent="0.2">
      <c r="A53" s="1"/>
      <c r="B53" s="2"/>
      <c r="C53" s="2"/>
      <c r="D53" s="2"/>
      <c r="E53" s="2"/>
      <c r="F53" s="2"/>
      <c r="G53" s="2"/>
      <c r="H53" s="2"/>
      <c r="I53" s="2"/>
      <c r="J53" s="64"/>
      <c r="K53" s="2"/>
      <c r="L53" s="2"/>
      <c r="M53" s="2"/>
      <c r="N53" s="2"/>
      <c r="O53" s="64"/>
      <c r="P53" s="2"/>
      <c r="Q53" s="64"/>
      <c r="R53" s="69"/>
      <c r="S53" s="64"/>
      <c r="T53" s="70"/>
      <c r="U53" s="64"/>
      <c r="V53" s="2"/>
      <c r="W53" s="64"/>
      <c r="X53" s="2"/>
      <c r="Y53" s="2"/>
      <c r="Z53" s="2"/>
      <c r="AA53" s="20"/>
      <c r="AB53" s="71"/>
      <c r="AC53" s="71"/>
      <c r="AD53" s="2"/>
      <c r="AE53" s="70"/>
      <c r="AF53" s="70"/>
      <c r="AG53" s="70"/>
      <c r="AH53" s="70"/>
      <c r="AI53" s="2"/>
      <c r="AJ53" s="70"/>
      <c r="AK53" s="70"/>
      <c r="AL53" s="70"/>
      <c r="AM53" s="64"/>
      <c r="AN53" s="70"/>
      <c r="AO53" s="70"/>
      <c r="AP53" s="64"/>
      <c r="AQ53" s="70"/>
      <c r="AR53" s="70"/>
      <c r="AS53" s="64"/>
      <c r="AT53" s="70"/>
      <c r="AU53" s="70"/>
      <c r="AV53" s="64"/>
      <c r="AW53" s="70"/>
      <c r="AX53" s="70"/>
      <c r="AY53" s="64"/>
      <c r="AZ53" s="70"/>
      <c r="BA53" s="70"/>
      <c r="BB53" s="64"/>
      <c r="BC53" s="70"/>
      <c r="BD53" s="70"/>
      <c r="BE53" s="70"/>
      <c r="BF53" s="70"/>
      <c r="BG53" s="70"/>
      <c r="BH53" s="70"/>
      <c r="BI53" s="70"/>
      <c r="BJ53" s="70"/>
      <c r="BK53" s="2"/>
      <c r="BL53" s="2"/>
      <c r="BM53" s="70"/>
      <c r="BN53" s="70"/>
      <c r="BO53" s="70"/>
      <c r="BP53" s="70"/>
      <c r="BQ53" s="70"/>
      <c r="BR53" s="70"/>
      <c r="BS53" s="70"/>
      <c r="BT53" s="70"/>
      <c r="BU53" s="70"/>
      <c r="BV53" s="70"/>
      <c r="BW53" s="70"/>
      <c r="BX53" s="70"/>
      <c r="BY53" s="70"/>
      <c r="BZ53" s="70"/>
      <c r="CA53" s="70"/>
      <c r="CB53" s="70"/>
      <c r="CC53" s="70"/>
      <c r="CD53" s="70"/>
      <c r="CE53" s="70"/>
      <c r="CF53" s="70"/>
      <c r="CG53" s="70"/>
      <c r="CH53" s="70"/>
      <c r="CI53" s="70"/>
      <c r="CJ53" s="70"/>
      <c r="CK53" s="70"/>
      <c r="CL53" s="2"/>
      <c r="CM53" s="2"/>
      <c r="CN53" s="70"/>
      <c r="CO53" s="70"/>
      <c r="CP53" s="70"/>
      <c r="CQ53" s="70"/>
      <c r="CR53" s="2"/>
      <c r="CS53" s="2"/>
      <c r="CT53" s="70"/>
      <c r="CU53" s="70"/>
      <c r="CV53" s="70"/>
      <c r="CW53" s="70"/>
    </row>
    <row r="54" spans="1:101" ht="15.75" customHeight="1" x14ac:dyDescent="0.2">
      <c r="A54" s="40">
        <v>9</v>
      </c>
      <c r="B54" s="41" t="str">
        <f>CONCATENATE(D54,IF(D56="Futures",[1]AB3!$B$6,IF(D56="Options Sell",[1]AB3!$B$12,IF(D56="Options Buy",[1]AB3!$B$18))))</f>
        <v>S9A</v>
      </c>
      <c r="C54" s="42" t="str">
        <f>IF(D56="Futures",[1]AB3!$C$6,IF(D56="Options Sell",[1]AB3!$C$12,IF(D56="Options Buy",[1]AB3!$C$18)))</f>
        <v>Strategy Code</v>
      </c>
      <c r="D54" s="43" t="str">
        <f t="array" ref="D54">IF(A54="","",INDEX([1]AB2!B:B,MATCH(A54,[1]AB2!A:A,0)))</f>
        <v>S9</v>
      </c>
      <c r="E54" s="44" t="str">
        <f>IF(D56="Futures",[1]AB3!$E$6,IF(D56="Options Sell",[1]AB3!$E$12,IF(D56="Options Buy",[1]AB3!$E$18)))</f>
        <v>Bull / 
Bull CF</v>
      </c>
      <c r="F54" s="45" t="str">
        <f>IF(D56="Futures",[1]AB3!$F$6,IF(D56="Options Sell",[1]AB3!$F$12,IF(D56="Options Buy",[1]AB3!$F$18)))</f>
        <v>Long</v>
      </c>
      <c r="G54" s="43" t="str">
        <f t="array" ref="G54">IF(A54="","",IF(D56="Futures",CONCATENATE([1]AB3!$G$6,INDEX([1]AB2!I:I,MATCH(D54,[1]AB2!B:B,0)),[1]AB3!$H$6),IF(D56="Options Sell",CONCATENATE([1]AB3!$G$12,INDEX([1]AB2!J:J,MATCH(D54,[1]AB2!B:B,0)),[1]AB3!$H$12),IF(D56="Options Buy",CONCATENATE([1]AB3!$G$18,INDEX([1]AB2!I:I,MATCH(D54,[1]AB2!B:B,0)),[1]AB3!$H$18)))))</f>
        <v>FUT : PRV : 2DHH</v>
      </c>
      <c r="H54" s="43" t="str">
        <f>IF(D56="Futures",[1]AB3!$I$6,IF(D56="Options Sell",[1]AB3!$I$12,IF(D56="Options Buy",[1]AB3!$I$18)))</f>
        <v xml:space="preserve"> + </v>
      </c>
      <c r="I54" s="46">
        <v>1.8E-3</v>
      </c>
      <c r="J54" s="47">
        <v>5</v>
      </c>
      <c r="K54" s="48"/>
      <c r="L54" s="43" t="str">
        <f>IF(D56="Futures",[1]AB3!$M$6,IF(D56="Options Sell",[1]AB3!$M$12,IF(D56="Options Buy",[1]AB3!$M$18)))</f>
        <v xml:space="preserve">L : Entry </v>
      </c>
      <c r="M54" s="43" t="str">
        <f>IF(D56="Futures",[1]AB3!$N$6,IF(D56="Options Sell",[1]AB3!$N$12,IF(D56="Options Buy",[1]AB3!$N$18)))</f>
        <v xml:space="preserve"> + </v>
      </c>
      <c r="N54" s="46">
        <v>1.4999999999999999E-2</v>
      </c>
      <c r="O54" s="47">
        <v>1</v>
      </c>
      <c r="P54" s="46">
        <v>0.02</v>
      </c>
      <c r="Q54" s="47">
        <v>1</v>
      </c>
      <c r="R54" s="46">
        <v>2.5000000000000001E-2</v>
      </c>
      <c r="S54" s="47">
        <v>1</v>
      </c>
      <c r="T54" s="46">
        <v>0.03</v>
      </c>
      <c r="U54" s="47">
        <v>1</v>
      </c>
      <c r="V54" s="50" t="s">
        <v>51</v>
      </c>
      <c r="W54" s="47">
        <v>1</v>
      </c>
      <c r="X54" s="50" t="s">
        <v>52</v>
      </c>
      <c r="Y54" s="50" t="s">
        <v>52</v>
      </c>
      <c r="Z54" s="48"/>
      <c r="AA54" s="43" t="str">
        <f>IF(D56="Futures",[1]AB3!$AD$6,IF(D56="Options Sell",[1]AB3!$AD$12,IF(D56="Options Buy",[1]AB3!$AD$18)))</f>
        <v>Max</v>
      </c>
      <c r="AB54" s="43" t="str">
        <f>IF(D56="Futures",[1]AB3!$AE$6,IF(D56="Options Sell",[1]AB3!$AE$12,IF(D56="Options Buy",[1]AB3!$AE$18)))</f>
        <v>MSL &amp; TSL</v>
      </c>
      <c r="AC54" s="43" t="str">
        <f>IF(D56="Futures",[1]AB3!$AF$6,IF(D56="Options Sell",[1]AB3!$AF$12,IF(D56="Options Buy",[1]AB3!$AF$18)))</f>
        <v>Entry &amp; TRP</v>
      </c>
      <c r="AD54" s="48"/>
      <c r="AE54" s="43" t="str">
        <f>IF(D56="Futures",[1]AB3!$AH$6,IF(D56="Options Sell",[1]AB3!$AH$12,IF(D56="Options Buy",[1]AB3!$AH$18)))</f>
        <v>L : Entry</v>
      </c>
      <c r="AF54" s="43" t="str">
        <f>IF(D56="Futures",[1]AB3!$AI$6,IF(D56="Options Sell",[1]AB3!$AI$12,IF(D56="Options Buy",[1]AB3!$AI$18)))</f>
        <v xml:space="preserve"> - </v>
      </c>
      <c r="AG54" s="46">
        <v>1.4999999999999999E-2</v>
      </c>
      <c r="AH54" s="46">
        <v>0</v>
      </c>
      <c r="AI54" s="48"/>
      <c r="AJ54" s="43" t="str">
        <f>IF(D56="Futures",[1]AB3!$AO$6,IF(D56="Options Sell",[1]AB3!$AO$12,IF(D56="Options Buy",[1]AB3!$AO$18)))</f>
        <v xml:space="preserve"> - </v>
      </c>
      <c r="AK54" s="43" t="str">
        <f t="array" ref="AK54">IF(A54="","",IF(D56="Futures",CONCATENATE([1]AB3!$AP$6,INDEX([1]AB2!L:L,MATCH(D54,[1]AB2!B:B,0)),[1]AB3!$AQ$6),IF(D56="Options Sell",CONCATENATE([1]AB3!$AP$12,INDEX([1]AB2!M:M,MATCH(D54,[1]AB2!B:B,0)),[1]AB3!$AQ$12),IF(D56="Options Buy",CONCATENATE([1]AB3!$AP$18,INDEX([1]AB2!L:L,MATCH(D54,[1]AB2!B:B,0)),[1]AB3!$AQ$18)))))</f>
        <v>FUT : PRV : 2DLL</v>
      </c>
      <c r="AL54" s="51">
        <f>IF(AND(D56="Futures",AK54=[1]AB3!$AS$6),[1]AB3!$AS$6,IF(AND(D56="Options Sell",AK54=[1]AB3!$AS$12),[1]AB3!$AS$12,IF(AND(D56="Options Buy",AK54=[1]AB3!$AS$18),[1]AB3!$AS$18,I55)))</f>
        <v>1.8E-3</v>
      </c>
      <c r="AM54" s="52">
        <f>J55</f>
        <v>5</v>
      </c>
      <c r="AN54" s="43" t="str">
        <f t="array" ref="AN54">IF(A54="","",IF(AND(OR(D58="1 &amp; APS",D58="2 &amp; APS",D58="3 &amp; APS",D58="4 &amp; APS",D58="5 &amp; APS"),D56="Futures"),CONCATENATE([1]AB3!$AP$6,INDEX([1]AB2!L:L,MATCH(D54,[1]AB2!B:B,0)),[1]AB3!$AQ$6),IF(AND(OR(D58="1 &amp; APS",D58="2 &amp; APS",D58="3 &amp; APS",D58="4 &amp; APS",D58="5 &amp; APS"),D56="Options Sell"),CONCATENATE([1]AB3!$AP$12,INDEX([1]AB2!M:M,MATCH(D54,[1]AB2!B:B,0)),[1]AB3!$AQ$12),IF(AND(OR(D58="1 &amp; APS",D58="2 &amp; APS",D58="3 &amp; APS",D58="4 &amp; APS",D58="5 &amp; APS"),D56="Options Buy"),CONCATENATE([1]AB3!$AP$18,INDEX([1]AB2!L:L,MATCH(D54,[1]AB2!B:B,0)),[1]AB3!$AQ$18),[1]AB3!$AR$6))))</f>
        <v>FUT : PRV : 2DLL</v>
      </c>
      <c r="AO54" s="51">
        <f>IF(AND(D56="Futures",AN54=[1]AB3!$AU$6),[1]AB3!$AU$6,IF(AND(D56="Options Sell",AN54=[1]AB3!$AU$12),[1]AB3!$AU$12,IF(AND(D56="Options Buy",AN54=[1]AB3!$AU$18),[1]AB3!$AU$18,I55)))</f>
        <v>1.8E-3</v>
      </c>
      <c r="AP54" s="52">
        <f t="shared" ref="AP54:AP55" si="80">AM54-O54</f>
        <v>4</v>
      </c>
      <c r="AQ54" s="43" t="str">
        <f t="array" ref="AQ54">IF(A54="","",IF(AND(OR(D58="2 &amp; APS",D58="3 &amp; APS",D58="4 &amp; APS",D58="5 &amp; APS"),D56="Futures"),CONCATENATE([1]AB3!$AP$6,INDEX([1]AB2!L:L,MATCH(D54,[1]AB2!B:B,0)),[1]AB3!$AQ$6),IF(AND(OR(D58="2 &amp; APS",D58="3 &amp; APS",D58="4 &amp; APS",D58="5 &amp; APS"),D56="Options Sell"),CONCATENATE([1]AB3!$AP$12,INDEX([1]AB2!M:M,MATCH(D54,[1]AB2!B:B,0)),[1]AB3!$AQ$12),IF(AND(OR(D58="2 &amp; APS",D58="3 &amp; APS",D58="4 &amp; APS",D58="5 &amp; APS"),D56="Options Buy"),CONCATENATE([1]AB3!$AP$18,INDEX([1]AB2!L:L,MATCH(D54,[1]AB2!B:B,0)),[1]AB3!$AQ$18),[1]AB3!$AR$6))))</f>
        <v>FUT : PRV : 2DLL</v>
      </c>
      <c r="AR54" s="51">
        <f>IF(AND(D56="Futures",AQ54=[1]AB3!$AW$6),[1]AB3!$AW$6,IF(AND(D56="Options Sell",AQ54=[1]AB3!$AW$12),[1]AB3!$AW$12,IF(AND(D56="Options Buy",AQ54=[1]AB3!$AW$18),[1]AB3!$AW$18,I55)))</f>
        <v>1.8E-3</v>
      </c>
      <c r="AS54" s="52">
        <f t="shared" ref="AS54:AS55" si="81">AP54-Q54</f>
        <v>3</v>
      </c>
      <c r="AT54" s="43" t="str">
        <f t="array" ref="AT54">IF(A54="","",IF(AND(OR(D58="3 &amp; APS",D58="4 &amp; APS",D58="5 &amp; APS"),D56="Futures"),CONCATENATE([1]AB3!$AP$6,INDEX([1]AB2!L:L,MATCH(D54,[1]AB2!B:B,0)),[1]AB3!$AQ$6),IF(AND(OR(D58="3 &amp; APS",D58="4 &amp; APS",D58="5 &amp; APS"),D56="Options Sell"),CONCATENATE([1]AB3!$AP$12,INDEX([1]AB2!M:M,MATCH(D54,[1]AB2!B:B,0)),[1]AB3!$AQ$12),IF(AND(OR(D58="3 &amp; APS",D58="4 &amp; APS",D58="5 &amp; APS"),D56="Options Buy"),CONCATENATE([1]AB3!$AP$18,INDEX([1]AB2!L:L,MATCH(D54,[1]AB2!B:B,0)),[1]AB3!$AQ$18),[1]AB3!$AR$6))))</f>
        <v>FUT : PRV : 2DLL</v>
      </c>
      <c r="AU54" s="51">
        <f>IF(AND(D56="Futures",AT54=[1]AB3!$AY$6),[1]AB3!$AY$6,IF(AND(D56="Options Sell",AT54=[1]AB3!$AY$12),[1]AB3!$AY$12,IF(AND(D56="Options Buy",AT54=[1]AB3!$AY$18),[1]AB3!$AY$18,I55)))</f>
        <v>1.8E-3</v>
      </c>
      <c r="AV54" s="52">
        <f t="shared" ref="AV54:AV55" si="82">AS54-S54</f>
        <v>2</v>
      </c>
      <c r="AW54" s="43" t="str">
        <f t="array" ref="AW54">IF(A54="","",IF(AND(OR(D58="4 &amp; APS",D58="5 &amp; APS"),D56="Futures"),CONCATENATE([1]AB3!$AP$6,INDEX([1]AB2!L:L,MATCH(D54,[1]AB2!B:B,0)),[1]AB3!$AQ$6),IF(AND(OR(D58="4 &amp; APS",D58="5 &amp; APS"),D56="Options Sell"),CONCATENATE([1]AB3!$AP$12,INDEX([1]AB2!M:M,MATCH(D54,[1]AB2!B:B,0)),[1]AB3!$AQ$12),IF(AND(OR(D58="4 &amp; APS",D58="5 &amp; APS"),D56="Options Buy"),CONCATENATE([1]AB3!$AP$18,INDEX([1]AB2!L:L,MATCH(D54,[1]AB2!B:B,0)),[1]AB3!$AQ$18),[1]AB3!$AR$6))))</f>
        <v>FUT : PRV : 2DLL</v>
      </c>
      <c r="AX54" s="51">
        <f>IF(AND(D56="Futures",AW54=[1]AB3!$BA$6),[1]AB3!$BA$6,IF(AND(D56="Options Sell",AW54=[1]AB3!$BA$12),[1]AB3!$BA$12,IF(AND(D56="Options Buy",AW54=[1]AB3!$BA$18),[1]AB3!$BA$18,I55)))</f>
        <v>1.8E-3</v>
      </c>
      <c r="AY54" s="52">
        <f t="shared" ref="AY54:AY55" si="83">AV54-S54</f>
        <v>1</v>
      </c>
      <c r="AZ54" s="51">
        <f t="array" ref="AZ54">IF(A54="","",IF(AND(D58="5 &amp; APS",D56="Futures"),CONCATENATE([1]AB3!$AP$6,INDEX([1]AB2!L:L,MATCH(D54,[1]AB2!B:B,0)),[1]AB3!$AQ$6),IF(AND(D58="5 &amp; APS",D56="Options Sell"),CONCATENATE([1]AB3!$AP$12,INDEX([1]AB2!M:M,MATCH(D54,[1]AB2!B:B,0)),[1]AB3!$AQ$12),IF(AND(D58="5 &amp; APS",D56="Options Buy"),CONCATENATE([1]AB3!$AP$18,INDEX([1]AB2!L:L,MATCH(D54,[1]AB2!B:B,0)),[1]AB3!$AQ$18),[1]AB3!$AR$6))))</f>
        <v>0</v>
      </c>
      <c r="BA54" s="51">
        <f>IF(AND(D56="Futures",AZ54=[1]AB3!$BC$6),[1]AB3!$BC$6,IF(AND(D56="Options Sell",AZ54=[1]AB3!$BC$12),[1]AB3!$BC$12,IF(AND(D56="Options Buy",AZ54=[1]AB3!$BC$18),[1]AB3!$BC$18,I55)))</f>
        <v>0</v>
      </c>
      <c r="BB54" s="52">
        <f t="shared" ref="BB54:BB55" si="84">AY54-W54</f>
        <v>0</v>
      </c>
      <c r="BC54" s="53"/>
      <c r="BD54" s="54" t="str">
        <f>IF(D56="Futures",[1]AB3!$BE$6,IF(D56="Options Sell",[1]AB3!$BE$12,IF(D56="Options Buy",[1]AB3!$BE$18)))</f>
        <v xml:space="preserve">ORPT </v>
      </c>
      <c r="BE54" s="55">
        <f>IF(D56="Futures",BE57+([1]AB3!$BF$6/1440),IF(D56="Options Sell",BE57+([1]AB3!$BF$12/1440),IF(D56="Options Buy",BE57+([1]AB3!$BF$18/1440))))</f>
        <v>0.38888194444444446</v>
      </c>
      <c r="BF54" s="55">
        <f>IF(D56="Futures",BE57+([1]AB3!$BG$6/1440),IF(D56="Options Sell",BE57+([1]AB3!$BG$12/1440),IF(D56="Options Buy",BE57+([1]AB3!$BG$18/1440))))</f>
        <v>0.38888194444444446</v>
      </c>
      <c r="BG54" s="55">
        <f>IF(D56="Futures",BE57+([1]AB3!$BH$6/1440),IF(D56="Options Sell",BE57+([1]AB3!$BH$12/1440),IF(D56="Options Buy",BE57+([1]AB3!$BH$18/1440))))</f>
        <v>0.38541666666666669</v>
      </c>
      <c r="BH54" s="57"/>
      <c r="BI54" s="44" t="str">
        <f>IF(D56="Futures",[1]AB3!$BJ$6,IF(D56="Options Sell",[1]AB3!$BJ$12,IF(D56="Options Buy",[1]AB3!$BJ$18)))</f>
        <v>Bull / 
Bull CF</v>
      </c>
      <c r="BJ54" s="45" t="str">
        <f>IF(D56="Futures",[1]AB3!$BK$6,IF(D56="Options Sell",[1]AB3!$BK$12,IF(D56="Options Buy",[1]AB3!$BK$18)))</f>
        <v>Long</v>
      </c>
      <c r="BK54" s="46">
        <v>1.8E-3</v>
      </c>
      <c r="BL54" s="46">
        <v>1.8E-3</v>
      </c>
      <c r="BM54" s="57"/>
      <c r="BN54" s="44" t="str">
        <f>IF(D56="Futures",[1]AB3!$BO$6,IF(D56="Options Sell",[1]AB3!$BO$12,IF(D56="Options Buy",[1]AB3!$BO$18)))</f>
        <v>Bull | 
Bull CF</v>
      </c>
      <c r="BO54" s="45" t="str">
        <f>IF(D56="Futures",[1]AB3!$BP$6,IF(D56="Options Sell",[1]AB3!$BP$12,IF(D56="Options Buy",[1]AB3!$BP$18)))</f>
        <v>Call</v>
      </c>
      <c r="BP54" s="43" t="str">
        <f t="array" ref="BP54">IF(A54="","",IF(D56="Futures","",IF(D56="EQUITY","",IF(D56="Options Sell",CONCATENATE([1]AB3!$BQ$12,INDEX([1]AB2!J:J,MATCH(A54,[1]AB2!A:A,0)),[1]AB3!$BR$12),IF(D56="Options Buy",CONCATENATE([1]AB3!$BQ$18,INDEX([1]AB2!J:J,MATCH(A54,[1]AB2!A:A,0)),[1]AB3!$BR$18))))))</f>
        <v/>
      </c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9"/>
      <c r="CL54" s="43"/>
      <c r="CM54" s="43"/>
      <c r="CN54" s="59"/>
      <c r="CO54" s="43"/>
      <c r="CP54" s="43"/>
      <c r="CQ54" s="59"/>
      <c r="CR54" s="43"/>
      <c r="CS54" s="43"/>
      <c r="CT54" s="59"/>
      <c r="CU54" s="55">
        <f>IF(D56="Futures",BE58-([1]AB3!$CG$6/1440),IF(D56="Options Sell",BE58-([1]AB3!$CG$12/1440),IF(D56="Options Buy",BE58-([1]AB3!$CG$18/1440),IF(D56="EQUITY",""))))</f>
        <v>0.625</v>
      </c>
      <c r="CV54" s="59"/>
      <c r="CW54" s="59"/>
    </row>
    <row r="55" spans="1:101" ht="16.5" customHeight="1" x14ac:dyDescent="0.2">
      <c r="A55" s="60"/>
      <c r="B55" s="41" t="str">
        <f>CONCATENATE(D54,IF(D56="Futures",[1]AB3!$B$7,IF(D56="Options Sell",[1]AB3!$B$13,IF(D56="Options Buy",[1]AB3!$B$19))))</f>
        <v>S9B</v>
      </c>
      <c r="C55" s="42" t="str">
        <f>IF(D56="Futures",[1]AB3!$C$7,IF(D56="Options Sell",[1]AB3!$C$13,IF(D56="Options Buy",[1]AB3!$C$19)))</f>
        <v>Unique Code</v>
      </c>
      <c r="D55" s="43" t="str">
        <f t="array" ref="D55">IF(A54="","",INDEX([1]AB2!N:N,MATCH(D54,[1]AB2!B:B,0)))</f>
        <v>NIFTY_FUT_MT_SAME_2D_2D</v>
      </c>
      <c r="E55" s="32"/>
      <c r="F55" s="61" t="str">
        <f>IF(D56="Futures",[1]AB3!$F$7,IF(D56="Options Sell",[1]AB3!$F$13,IF(D56="Options Buy",[1]AB3!$F$19)))</f>
        <v>Short</v>
      </c>
      <c r="G55" s="43" t="str">
        <f t="array" ref="G55">IF(A54="","",IF(D56="Futures",CONCATENATE([1]AB3!$G$7,INDEX([1]AB2!J:J,MATCH(D54,[1]AB2!B:B,0)),[1]AB3!$H$7),IF(D56="Options Sell",CONCATENATE([1]AB3!$G$13,INDEX([1]AB2!I:I,MATCH(D54,[1]AB2!B:B,0)),[1]AB3!$H$13),IF(D56="Options Buy",CONCATENATE([1]AB3!$G$19,INDEX([1]AB2!J:J,MATCH(D54,[1]AB2!B:B,0)),[1]AB3!$H$19)))))</f>
        <v>FUT : PRV : 2DLL</v>
      </c>
      <c r="H55" s="43" t="str">
        <f>IF(D56="Futures",[1]AB3!$I$7,IF(D56="Options Sell",[1]AB3!$I$13,IF(D56="Options Buy",[1]AB3!$I$19)))</f>
        <v xml:space="preserve"> - </v>
      </c>
      <c r="I55" s="46">
        <v>1.8E-3</v>
      </c>
      <c r="J55" s="47">
        <v>5</v>
      </c>
      <c r="K55" s="48"/>
      <c r="L55" s="43" t="str">
        <f>IF(D56="Futures",[1]AB3!$M$7,IF(D56="Options Sell",[1]AB3!$M$13,IF(D56="Options Buy",[1]AB3!$M$19)))</f>
        <v xml:space="preserve">S : Entry </v>
      </c>
      <c r="M55" s="43" t="str">
        <f>IF(D56="Futures",[1]AB3!$N$7,IF(D56="Options Sell",[1]AB3!$N$13,IF(D56="Options Buy",[1]AB3!$N$19)))</f>
        <v xml:space="preserve"> - </v>
      </c>
      <c r="N55" s="46">
        <v>1.4999999999999999E-2</v>
      </c>
      <c r="O55" s="47">
        <v>1</v>
      </c>
      <c r="P55" s="46">
        <v>0.02</v>
      </c>
      <c r="Q55" s="47">
        <v>1</v>
      </c>
      <c r="R55" s="46">
        <v>2.5000000000000001E-2</v>
      </c>
      <c r="S55" s="47">
        <v>1</v>
      </c>
      <c r="T55" s="46">
        <v>0.03</v>
      </c>
      <c r="U55" s="47">
        <v>1</v>
      </c>
      <c r="V55" s="50" t="s">
        <v>51</v>
      </c>
      <c r="W55" s="47">
        <v>1</v>
      </c>
      <c r="X55" s="50" t="s">
        <v>52</v>
      </c>
      <c r="Y55" s="50" t="s">
        <v>52</v>
      </c>
      <c r="Z55" s="48"/>
      <c r="AA55" s="43" t="str">
        <f>IF(D56="Futures",[1]AB3!$AD$7,IF(D56="Options Sell",[1]AB3!$AD$13,IF(D56="Options Buy",[1]AB3!$AD$19)))</f>
        <v>Min</v>
      </c>
      <c r="AB55" s="43" t="str">
        <f>IF(D56="Futures",[1]AB3!$AE$7,IF(D56="Options Sell",[1]AB3!$AE$13,IF(D56="Options Buy",[1]AB3!$AE$19)))</f>
        <v>MSL &amp; TSL</v>
      </c>
      <c r="AC55" s="43" t="str">
        <f>IF(D56="Futures",[1]AB3!$AF$7,IF(D56="Options Sell",[1]AB3!$AF$13,IF(D56="Options Buy",[1]AB3!$AF$19)))</f>
        <v>Entry &amp; TRP</v>
      </c>
      <c r="AD55" s="48"/>
      <c r="AE55" s="43" t="str">
        <f>IF(D56="Futures",[1]AB3!$AH$7,IF(D56="Options Sell",[1]AB3!$AH$13,IF(D56="Options Buy",[1]AB3!$AH$19)))</f>
        <v>S : Entry</v>
      </c>
      <c r="AF55" s="43" t="str">
        <f>IF(D56="Futures",[1]AB3!$AI$7,IF(D56="Options Sell",[1]AB3!$AI$13,IF(D56="Options Buy",[1]AB3!$AI$19)))</f>
        <v xml:space="preserve"> + </v>
      </c>
      <c r="AG55" s="46">
        <v>1.4999999999999999E-2</v>
      </c>
      <c r="AH55" s="46">
        <v>0</v>
      </c>
      <c r="AI55" s="48"/>
      <c r="AJ55" s="43" t="str">
        <f>IF(D56="Futures",[1]AB3!$AO$7,IF(D56="Options Sell",[1]AB3!$AO$13,IF(D56="Options Buy",[1]AB3!$AO$19)))</f>
        <v xml:space="preserve"> + </v>
      </c>
      <c r="AK55" s="43" t="str">
        <f t="array" ref="AK55">IF(A54="","",IF(D56="Futures",CONCATENATE([1]AB3!$AP$7,INDEX([1]AB2!M:M,MATCH(D54,[1]AB2!B:B,0)),[1]AB3!$AQ$7),IF(D56="Options Sell",CONCATENATE([1]AB3!$AP$13,INDEX([1]AB2!L:L,MATCH(D54,[1]AB2!B:B,0)),[1]AB3!$AQ$13),IF(D56="Options Buy",CONCATENATE([1]AB3!$AP$19,INDEX([1]AB2!M:M,MATCH(D54,[1]AB2!B:B,0)),[1]AB3!$AQ$19)))))</f>
        <v>FUT : PRV : 2DHH</v>
      </c>
      <c r="AL55" s="51">
        <f>IF(AND(D56="Futures",AK55=[1]AB3!$AS$7),[1]AB3!$AS$7,IF(AND(D56="Options Sell",AK55=[1]AB3!$AS$13),[1]AB3!$AS$13,IF(AND(D56="Options Buy",AK55=[1]AB3!$AS$19),[1]AB3!$AS$19,I54)))</f>
        <v>1.8E-3</v>
      </c>
      <c r="AM55" s="52">
        <f>J54</f>
        <v>5</v>
      </c>
      <c r="AN55" s="43" t="str">
        <f t="array" ref="AN55">IF(A54="","",IF(AND(OR(D58="1 &amp; APS",D58="2 &amp; APS",D58="3 &amp; APS",D58="4 &amp; APS",D58="5 &amp; APS"),D56="Futures"),CONCATENATE([1]AB3!$AP$7,INDEX([1]AB2!M:M,MATCH(D54,[1]AB2!B:B,0)),[1]AB3!$AQ$7),IF(AND(OR(D58="1 &amp; APS",D58="2 &amp; APS",D58="3 &amp; APS",D58="4 &amp; APS",D58="5 &amp; APS"),D56="Options Sell"),CONCATENATE([1]AB3!$AP$13,INDEX([1]AB2!L:L,MATCH(D54,[1]AB2!B:B,0)),[1]AB3!$AQ$13),IF(AND(OR(D58="1 &amp; APS",D58="2 &amp; APS",D58="3 &amp; APS",D58="4 &amp; APS",D58="5 &amp; APS"),D56="Options Buy"),CONCATENATE([1]AB3!$AP$19,INDEX([1]AB2!M:M,MATCH(D54,[1]AB2!B:B,0)),[1]AB3!$AQ$19),[1]AB3!$AR$6))))</f>
        <v>FUT : PRV : 2DHH</v>
      </c>
      <c r="AO55" s="51">
        <f>IF(AND(D56="Futures",AN55=[1]AB3!$AU$7),[1]AB3!$AU$7,IF(AND(D56="Options Sell",AN55=[1]AB3!$AU$13),[1]AB3!$AU$13,IF(AND(D56="Options Buy",AN55=[1]AB3!$AU$19),[1]AB3!$AU$19,I54)))</f>
        <v>1.8E-3</v>
      </c>
      <c r="AP55" s="52">
        <f t="shared" si="80"/>
        <v>4</v>
      </c>
      <c r="AQ55" s="43" t="str">
        <f t="array" ref="AQ55">IF(A54="","",IF(AND(OR(D58="2 &amp; APS",D58="3 &amp; APS",D58="4 &amp; APS",D58="5 &amp; APS"),D56="Futures"),CONCATENATE([1]AB3!$AP$7,INDEX([1]AB2!M:M,MATCH(D54,[1]AB2!B:B,0)),[1]AB3!$AQ$7),IF(AND(OR(D58="2 &amp; APS",D58="3 &amp; APS",D58="4 &amp; APS",D58="5 &amp; APS"),D56="Options Sell"),CONCATENATE([1]AB3!$AP$13,INDEX([1]AB2!L:L,MATCH(D54,[1]AB2!B:B,0)),[1]AB3!$AQ$13),IF(AND(OR(D58="2 &amp; APS",D58="3 &amp; APS",D58="4 &amp; APS",D58="5 &amp; APS"),D56="Options Buy"),CONCATENATE([1]AB3!$AP$19,INDEX([1]AB2!M:M,MATCH(D54,[1]AB2!B:B,0)),[1]AB3!$AQ$19),[1]AB3!$AR$6))))</f>
        <v>FUT : PRV : 2DHH</v>
      </c>
      <c r="AR55" s="51">
        <f>IF(AND(D56="Futures",AQ55=[1]AB3!$AW$7),[1]AB3!$AW$7,IF(AND(D56="Options Sell",AQ55=[1]AB3!$AW$13),[1]AB3!$AW$13,IF(AND(D56="Options Buy",AQ55=[1]AB3!$AW$19),[1]AB3!$AW$19,I54)))</f>
        <v>1.8E-3</v>
      </c>
      <c r="AS55" s="52">
        <f t="shared" si="81"/>
        <v>3</v>
      </c>
      <c r="AT55" s="43" t="str">
        <f t="array" ref="AT55">IF(A54="","",IF(AND(OR(D58="3 &amp; APS",D58="4 &amp; APS",D58="5 &amp; APS"),D56="Futures"),CONCATENATE([1]AB3!$AP$7,INDEX([1]AB2!M:M,MATCH(D54,[1]AB2!B:B,0)),[1]AB3!$AQ$7),IF(AND(OR(D58="3 &amp; APS",D58="4 &amp; APS",D58="5 &amp; APS"),D56="Options Sell"),CONCATENATE([1]AB3!$AP$13,INDEX([1]AB2!L:L,MATCH(D54,[1]AB2!B:B,0)),[1]AB3!$AQ$13),IF(AND(OR(D58="3 &amp; APS",D58="4 &amp; APS",D58="5 &amp; APS"),D56="Options Buy"),CONCATENATE([1]AB3!$AP$19,INDEX([1]AB2!M:M,MATCH(D54,[1]AB2!B:B,0)),[1]AB3!$AQ$19),[1]AB3!$AR$6))))</f>
        <v>FUT : PRV : 2DHH</v>
      </c>
      <c r="AU55" s="51">
        <f>IF(AND(D56="Futures",AT55=[1]AB3!$AY$7),[1]AB3!$AY$7,IF(AND(D56="Options Sell",AT55=[1]AB3!$AY$13),[1]AB3!$AY$13,IF(AND(D56="Options Buy",AT55=[1]AB3!$AY$19),[1]AB3!$AY$19,I54)))</f>
        <v>1.8E-3</v>
      </c>
      <c r="AV55" s="52">
        <f t="shared" si="82"/>
        <v>2</v>
      </c>
      <c r="AW55" s="43" t="str">
        <f t="array" ref="AW55">IF(A54="","",IF(AND(OR(D58="4 &amp; APS",D58="5 &amp; APS"),D56="Futures"),CONCATENATE([1]AB3!$AP$7,INDEX([1]AB2!M:M,MATCH(D54,[1]AB2!B:B,0)),[1]AB3!$AQ$7),IF(AND(OR(D58="4 &amp; APS",D58="5 &amp; APS"),D56="Options Sell"),CONCATENATE([1]AB3!$AP$13,INDEX([1]AB2!L:L,MATCH(D54,[1]AB2!B:B,0)),[1]AB3!$AQ$13),IF(AND(OR(D58="4 &amp; APS",D58="5 &amp; APS"),D56="Options Buy"),CONCATENATE([1]AB3!$AP$19,INDEX([1]AB2!M:M,MATCH(D54,[1]AB2!B:B,0)),[1]AB3!$AQ$19),[1]AB3!$AR$6))))</f>
        <v>FUT : PRV : 2DHH</v>
      </c>
      <c r="AX55" s="51">
        <f>IF(AND(D56="Futures",AW55=[1]AB3!$BA$7),[1]AB3!$BA$7,IF(AND(D56="Options Sell",AW55=[1]AB3!$BA$13),[1]AB3!$BA$13,IF(AND(D56="Options Buy",AW55=[1]AB3!$BA$19),[1]AB3!$BA$19,I54)))</f>
        <v>1.8E-3</v>
      </c>
      <c r="AY55" s="52">
        <f t="shared" si="83"/>
        <v>1</v>
      </c>
      <c r="AZ55" s="51">
        <f t="array" ref="AZ55">IF(A54="","",IF(AND(D58="5 &amp; APS",D56="Futures"),CONCATENATE([1]AB3!$AP$7,INDEX([1]AB2!M:M,MATCH(D54,[1]AB2!B:B,0)),[1]AB3!$AQ$7),IF(AND(D58="5 &amp; APS",D56="Options Sell"),CONCATENATE([1]AB3!$AP$13,INDEX([1]AB2!L:L,MATCH(D54,[1]AB2!B:B,0)),[1]AB3!$AQ$13),IF(AND(D58="5 &amp; APS",D56="Options Buy"),CONCATENATE([1]AB3!$AP$19,INDEX([1]AB2!M:M,MATCH(D54,[1]AB2!B:B,0)),[1]AB3!$AQ$19),[1]AB3!$AR$6))))</f>
        <v>0</v>
      </c>
      <c r="BA55" s="51">
        <f>IF(AND(D56="Futures",AZ55=[1]AB3!$BC$7),[1]AB3!$BC$7,IF(AND(D56="Options Sell",AZ55=[1]AB3!$BC$13),[1]AB3!$BC$13,IF(AND(D56="Options Buy",AZ55=[1]AB3!$BC$19),[1]AB3!$BC$19,I54)))</f>
        <v>0</v>
      </c>
      <c r="BB55" s="52">
        <f t="shared" si="84"/>
        <v>0</v>
      </c>
      <c r="BC55" s="53"/>
      <c r="BD55" s="54" t="str">
        <f>IF(D56="Futures",[1]AB3!$BE$7,IF(D56="Options Sell",[1]AB3!$BE$13,IF(D56="Options Buy",[1]AB3!$BE$19)))</f>
        <v xml:space="preserve"> RC. Time</v>
      </c>
      <c r="BE55" s="55">
        <f>IF(D56="Futures",BE57+([1]AB3!$BF$7/1440),IF(D56="Options Sell",BE57+([1]AB3!$BF$13/1440),IF(D56="Options Buy",BE57+([1]AB3!$BF$19/1440))))</f>
        <v>0.39582638888888888</v>
      </c>
      <c r="BF55" s="55">
        <f>IF(D56="Futures",BE57+([1]AB3!$BG$7/1440),IF(D56="Options Sell",BE57+([1]AB3!$BG$13/1440),IF(D56="Options Buy",BE57+([1]AB3!$BG$19/1440))))</f>
        <v>0.39582638888888888</v>
      </c>
      <c r="BG55" s="55" t="str">
        <f>IF(D56="Futures",[1]AB3!$BH$7,IF(D56="Options Sell",[1]AB3!$BH$7,IF(D56="Options Buy",[1]AB3!$BH$7)))</f>
        <v>N.A.</v>
      </c>
      <c r="BH55" s="57"/>
      <c r="BI55" s="32"/>
      <c r="BJ55" s="61" t="str">
        <f>IF(D56="Futures",[1]AB3!$BK$7,IF(D56="Options Sell",[1]AB3!$BK$13,IF(D56="Options Buy",[1]AB3!$BK$19)))</f>
        <v>Short</v>
      </c>
      <c r="BK55" s="46">
        <v>1.8E-3</v>
      </c>
      <c r="BL55" s="46">
        <v>1.8E-3</v>
      </c>
      <c r="BM55" s="57"/>
      <c r="BN55" s="32"/>
      <c r="BO55" s="61" t="str">
        <f>IF(D56="Futures",[1]AB3!$BP$7,IF(D56="Options Sell",[1]AB3!$BP$13,IF(D56="Options Buy",[1]AB3!$BP$19)))</f>
        <v>Put</v>
      </c>
      <c r="BP55" s="43" t="str">
        <f t="array" ref="BP55">IF(A54="","",IF(D56="Futures","",IF(D56="EQUITY","",IF(D56="Options Sell",CONCATENATE([1]AB3!$BQ$13,INDEX([1]AB2!I:I,MATCH(A54,[1]AB2!A:A,0)),[1]AB3!$BR$13),IF(D56="Options Buy",CONCATENATE([1]AB3!$BQ$19,INDEX([1]AB2!I:I,MATCH(A54,[1]AB2!A:A,0)),[1]AB3!$BR$19))))))</f>
        <v/>
      </c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9"/>
      <c r="CL55" s="43"/>
      <c r="CM55" s="43"/>
      <c r="CN55" s="59"/>
      <c r="CO55" s="43"/>
      <c r="CP55" s="43"/>
      <c r="CQ55" s="59"/>
      <c r="CR55" s="43"/>
      <c r="CS55" s="43"/>
      <c r="CT55" s="59"/>
      <c r="CU55" s="43"/>
      <c r="CV55" s="59"/>
      <c r="CW55" s="59"/>
    </row>
    <row r="56" spans="1:101" ht="16.5" customHeight="1" x14ac:dyDescent="0.2">
      <c r="A56" s="60"/>
      <c r="B56" s="41" t="str">
        <f>CONCATENATE(D54,IF(D56="Futures",[1]AB3!$B$8,IF(D56="Options Sell",[1]AB3!$B$14,IF(D56="Options Buy",[1]AB3!$B$20))))</f>
        <v>S9C</v>
      </c>
      <c r="C56" s="42" t="str">
        <f>IF(D56="Futures",[1]AB3!$C$8,IF(D56="Options Sell",[1]AB3!$C$14,IF(D56="Options Buy",[1]AB3!$C$20)))</f>
        <v>Segment</v>
      </c>
      <c r="D56" s="43" t="str">
        <f t="array" ref="D56">IF(A54="","",INDEX([1]AB2!C:C,MATCH(D54,[1]AB2!B:B,0)))</f>
        <v>FUTURES</v>
      </c>
      <c r="E56" s="42" t="str">
        <f>IF(D56="Futures",[1]AB3!$E$8,IF(D56="Options Sell",[1]AB3!$E$14,IF(D56="Options Buy",[1]AB3!$E$20)))</f>
        <v>Contract</v>
      </c>
      <c r="F56" s="43" t="str">
        <f t="array" ref="F56">IF(A54="","",INDEX([1]AB2!F:F,MATCH(D54,[1]AB2!B:B,0)))</f>
        <v>MONTHLY</v>
      </c>
      <c r="G56" s="62"/>
      <c r="H56" s="62"/>
      <c r="I56" s="63"/>
      <c r="J56" s="64"/>
      <c r="K56" s="48"/>
      <c r="L56" s="62"/>
      <c r="M56" s="62"/>
      <c r="N56" s="63"/>
      <c r="O56" s="64"/>
      <c r="P56" s="63"/>
      <c r="Q56" s="64"/>
      <c r="R56" s="63"/>
      <c r="S56" s="64"/>
      <c r="T56" s="63"/>
      <c r="U56" s="64"/>
      <c r="V56" s="63"/>
      <c r="W56" s="64"/>
      <c r="X56" s="63"/>
      <c r="Y56" s="63"/>
      <c r="Z56" s="48"/>
      <c r="AA56" s="62"/>
      <c r="AB56" s="62"/>
      <c r="AC56" s="62"/>
      <c r="AD56" s="48"/>
      <c r="AE56" s="62"/>
      <c r="AF56" s="62"/>
      <c r="AG56" s="63"/>
      <c r="AH56" s="63"/>
      <c r="AI56" s="48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53"/>
      <c r="BD56" s="57"/>
      <c r="BE56" s="57"/>
      <c r="BF56" s="57"/>
      <c r="BG56" s="57"/>
      <c r="BH56" s="57"/>
      <c r="BI56" s="66"/>
      <c r="BJ56" s="62"/>
      <c r="BK56" s="63"/>
      <c r="BL56" s="63"/>
      <c r="BM56" s="57"/>
      <c r="BN56" s="66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59"/>
      <c r="CL56" s="62"/>
      <c r="CM56" s="62"/>
      <c r="CN56" s="59"/>
      <c r="CO56" s="62"/>
      <c r="CP56" s="62"/>
      <c r="CQ56" s="59"/>
      <c r="CR56" s="62"/>
      <c r="CS56" s="62"/>
      <c r="CT56" s="59"/>
      <c r="CU56" s="62"/>
      <c r="CV56" s="59"/>
      <c r="CW56" s="59"/>
    </row>
    <row r="57" spans="1:101" ht="16.5" customHeight="1" x14ac:dyDescent="0.2">
      <c r="A57" s="60"/>
      <c r="B57" s="41" t="str">
        <f>CONCATENATE(D54,IF(D56="Futures",[1]AB3!$B$9,IF(D56="Options Sell",[1]AB3!$B$15,IF(D56="Options Buy",[1]AB3!$B$21))))</f>
        <v>S9D</v>
      </c>
      <c r="C57" s="42" t="str">
        <f>IF(D56="Futures",[1]AB3!$C$9,IF(D56="Options Sell",[1]AB3!$C$15,IF(D56="Options Buy",[1]AB3!$C$21)))</f>
        <v>Symbol</v>
      </c>
      <c r="D57" s="43" t="str">
        <f t="array" ref="D57">IF(A54="","",INDEX([1]AB2!E:E,MATCH(D54,[1]AB2!B:B,0)))</f>
        <v>NIFTY</v>
      </c>
      <c r="E57" s="44" t="str">
        <f>IF(D56="Futures",[1]AB3!$E$9,IF(D56="Options Sell",[1]AB3!$E$15,IF(D56="Options Buy",[1]AB3!$E$21)))</f>
        <v>Bear / 
Bear CF</v>
      </c>
      <c r="F57" s="45" t="str">
        <f>IF(D56="Futures",[1]AB3!$F$9,IF(D56="Options Sell",[1]AB3!$F$15,IF(D56="Options Buy",[1]AB3!$F$21)))</f>
        <v>Long</v>
      </c>
      <c r="G57" s="43" t="str">
        <f t="array" ref="G57">IF(A54="","",IF(D56="Futures",CONCATENATE([1]AB3!$G$9,INDEX([1]AB2!J:J,MATCH(D54,[1]AB2!B:B,0)),[1]AB3!$H$9),IF(D56="Options Sell",CONCATENATE([1]AB3!$G$15,INDEX([1]AB2!I:I,MATCH(D54,[1]AB2!B:B,0)),[1]AB3!$H$15),IF(D56="Options Buy",CONCATENATE([1]AB3!$G$21,INDEX([1]AB2!J:J,MATCH(D54,[1]AB2!B:B,0)),[1]AB3!$H$21)))))</f>
        <v>FUT : PRV : 2DHH</v>
      </c>
      <c r="H57" s="43" t="str">
        <f>IF(D56="Futures",[1]AB3!$I$9,IF(D56="Options Sell",[1]AB3!$I$15,IF(D56="Options Buy",[1]AB3!$I$21)))</f>
        <v xml:space="preserve"> + </v>
      </c>
      <c r="I57" s="46">
        <v>1.8E-3</v>
      </c>
      <c r="J57" s="47">
        <v>5</v>
      </c>
      <c r="K57" s="48"/>
      <c r="L57" s="43" t="str">
        <f>IF(D56="Futures",[1]AB3!$M$9,IF(D56="Options Sell",[1]AB3!$M$15,IF(D56="Options Buy",[1]AB3!$M$21)))</f>
        <v xml:space="preserve">L : Entry </v>
      </c>
      <c r="M57" s="43" t="str">
        <f>IF(D56="Futures",[1]AB3!$N$9,IF(D56="Options Sell",[1]AB3!$N$15,IF(D56="Options Buy",[1]AB3!$N$21)))</f>
        <v xml:space="preserve"> + </v>
      </c>
      <c r="N57" s="46">
        <v>1.4999999999999999E-2</v>
      </c>
      <c r="O57" s="47">
        <v>1</v>
      </c>
      <c r="P57" s="46">
        <v>0.02</v>
      </c>
      <c r="Q57" s="47">
        <v>1</v>
      </c>
      <c r="R57" s="46">
        <v>2.5000000000000001E-2</v>
      </c>
      <c r="S57" s="47">
        <v>1</v>
      </c>
      <c r="T57" s="46">
        <v>0.03</v>
      </c>
      <c r="U57" s="47">
        <v>1</v>
      </c>
      <c r="V57" s="50" t="s">
        <v>51</v>
      </c>
      <c r="W57" s="47">
        <v>1</v>
      </c>
      <c r="X57" s="50" t="s">
        <v>52</v>
      </c>
      <c r="Y57" s="50" t="s">
        <v>52</v>
      </c>
      <c r="Z57" s="48"/>
      <c r="AA57" s="43" t="str">
        <f>IF(D56="Futures",[1]AB3!$AD$9,IF(D56="Options Sell",[1]AB3!$AD$15,IF(D56="Options Buy",[1]AB3!$AD$21)))</f>
        <v>Max</v>
      </c>
      <c r="AB57" s="43" t="str">
        <f>IF(D56="Futures",[1]AB3!$AE$9,IF(D56="Options Sell",[1]AB3!$AE$15,IF(D56="Options Buy",[1]AB3!$AE$21)))</f>
        <v>MSL &amp; TSL</v>
      </c>
      <c r="AC57" s="43" t="str">
        <f>IF(D56="Futures",[1]AB3!$AF$9,IF(D56="Options Sell",[1]AB3!$AF$15,IF(D56="Options Buy",[1]AB3!$AF$21)))</f>
        <v>Entry &amp; TRP</v>
      </c>
      <c r="AD57" s="48"/>
      <c r="AE57" s="43" t="str">
        <f>IF(D56="Futures",[1]AB3!$AH$9,IF(D56="Options Sell",[1]AB3!$AH$15,IF(D56="Options Buy",[1]AB3!$AH$21)))</f>
        <v>L : Entry</v>
      </c>
      <c r="AF57" s="43" t="str">
        <f>IF(D56="Futures",[1]AB3!$AI$9,IF(D56="Options Sell",[1]AB3!$AI$15,IF(D56="Options Buy",[1]AB3!$AI$21)))</f>
        <v xml:space="preserve"> - </v>
      </c>
      <c r="AG57" s="46">
        <v>1.4999999999999999E-2</v>
      </c>
      <c r="AH57" s="46">
        <v>0</v>
      </c>
      <c r="AI57" s="48"/>
      <c r="AJ57" s="43" t="str">
        <f>IF(D56="Futures",[1]AB3!$AO$9,IF(D56="Options Sell",[1]AB3!$AO$15,IF(D56="Options Buy",[1]AB3!$AO$21)))</f>
        <v xml:space="preserve"> - </v>
      </c>
      <c r="AK57" s="43" t="str">
        <f t="array" ref="AK57">IF(A54="","",IF(D56="Futures",CONCATENATE([1]AB3!$AP$9,INDEX([1]AB2!M:M,MATCH(D54,[1]AB2!B:B,0)),[1]AB3!$AQ$9),IF(D56="Options Sell",CONCATENATE([1]AB3!$AP$15,INDEX([1]AB2!L:L,MATCH(D54,[1]AB2!B:B,0)),[1]AB3!$AQ$15),IF(D56="Options Buy",CONCATENATE([1]AB3!$AP$21,INDEX([1]AB2!M:M,MATCH(D54,[1]AB2!B:B,0)),[1]AB3!$AQ$21)))))</f>
        <v>FUT : PRV : 2DLL</v>
      </c>
      <c r="AL57" s="51">
        <f>IF(AND(D56="Futures",AK57=[1]AB3!$AS$9),[1]AB3!$AS$9,IF(AND(D56="Options Sell",AK57=[1]AB3!$AS$15),[1]AB3!$AS$15,IF(AND(D56="Options Buy",AK57=[1]AB3!$AS$21),[1]AB3!$AS$21,I58)))</f>
        <v>1.8E-3</v>
      </c>
      <c r="AM57" s="52">
        <f>J58</f>
        <v>5</v>
      </c>
      <c r="AN57" s="43" t="str">
        <f t="array" ref="AN57">IF(A54="","",IF(AND(OR(D58="1 &amp; APS",D58="2 &amp; APS",D58="3 &amp; APS",D58="4 &amp; APS",D58="5 &amp; APS"),D56="Futures"),CONCATENATE([1]AB3!$AP$9,INDEX([1]AB2!M:M,MATCH(D54,[1]AB2!B:B,0)),[1]AB3!$AQ$9),IF(AND(OR(D58="1 &amp; APS",D58="2 &amp; APS",D58="3 &amp; APS",D58="4 &amp; APS",D58="5 &amp; APS"),D56="Options Sell"),CONCATENATE([1]AB3!$AP$15,INDEX([1]AB2!L:L,MATCH(D54,[1]AB2!B:B,0)),[1]AB3!$AQ$15),IF(AND(OR(D58="1 &amp; APS",D58="2 &amp; APS",D58="3 &amp; APS",D58="4 &amp; APS",D58="5 &amp; APS"),D56="Options Buy"),CONCATENATE([1]AB3!$AP$21,INDEX([1]AB2!M:M,MATCH(D54,[1]AB2!B:B,0)),[1]AB3!$AQ$21),[1]AB3!$AR$6))))</f>
        <v>FUT : PRV : 2DLL</v>
      </c>
      <c r="AO57" s="51">
        <f>IF(AND(D56="Futures",AN57=[1]AB3!$AU$9),[1]AB3!$AU$9,IF(AND(D56="Options Sell",AN57=[1]AB3!$AU$15),[1]AB3!$AU$15,IF(AND(D56="Options Buy",AN57=[1]AB3!$AU$21),[1]AB3!$AU$21,I58)))</f>
        <v>1.8E-3</v>
      </c>
      <c r="AP57" s="52">
        <f t="shared" ref="AP57:AP58" si="85">AM57-O57</f>
        <v>4</v>
      </c>
      <c r="AQ57" s="43" t="str">
        <f t="array" ref="AQ57">IF(A54="","",IF(AND(OR(D58="2 &amp; APS",D58="3 &amp; APS",D58="4 &amp; APS",D58="5 &amp; APS"),D56="Futures"),CONCATENATE([1]AB3!$AP$9,INDEX([1]AB2!M:M,MATCH(D54,[1]AB2!B:B,0)),[1]AB3!$AQ$9),IF(AND(OR(D58="2 &amp; APS",D58="3 &amp; APS",D58="4 &amp; APS",D58="5 &amp; APS"),D56="Options Sell"),CONCATENATE([1]AB3!$AP$15,INDEX([1]AB2!L:L,MATCH(D54,[1]AB2!B:B,0)),[1]AB3!$AQ$15),IF(AND(OR(D58="2 &amp; APS",D58="3 &amp; APS",D58="4 &amp; APS",D58="5 &amp; APS"),D56="Options Buy"),CONCATENATE([1]AB3!$AP$21,INDEX([1]AB2!M:M,MATCH(D54,[1]AB2!B:B,0)),[1]AB3!$AQ$21),[1]AB3!$AR$6))))</f>
        <v>FUT : PRV : 2DLL</v>
      </c>
      <c r="AR57" s="51">
        <f>IF(AND(D56="Futures",AQ57=[1]AB3!$AW$9),[1]AB3!$AW$9,IF(AND(D56="Options Sell",AQ57=[1]AB3!$AW$15),[1]AB3!$AW$15,IF(AND(D56="Options Buy",AQ57=[1]AB3!$AW$21),[1]AB3!$AW$21,I58)))</f>
        <v>1.8E-3</v>
      </c>
      <c r="AS57" s="52">
        <f t="shared" ref="AS57:AS58" si="86">AP57-Q57</f>
        <v>3</v>
      </c>
      <c r="AT57" s="43" t="str">
        <f t="array" ref="AT57">IF(A54="","",IF(AND(OR(D58="3 &amp; APS",D58="4 &amp; APS",D58="5 &amp; APS"),D56="Futures"),CONCATENATE([1]AB3!$AP$9,INDEX([1]AB2!M:M,MATCH(D54,[1]AB2!B:B,0)),[1]AB3!$AQ$9),IF(AND(OR(D58="3 &amp; APS",D58="4 &amp; APS",D58="5 &amp; APS"),D56="Options Sell"),CONCATENATE([1]AB3!$AP$15,INDEX([1]AB2!L:L,MATCH(D54,[1]AB2!B:B,0)),[1]AB3!$AQ$15),IF(AND(OR(D58="3 &amp; APS",D58="4 &amp; APS",D58="5 &amp; APS"),D56="Options Buy"),CONCATENATE([1]AB3!$AP$21,INDEX([1]AB2!M:M,MATCH(D54,[1]AB2!B:B,0)),[1]AB3!$AQ$21),[1]AB3!$AR$6))))</f>
        <v>FUT : PRV : 2DLL</v>
      </c>
      <c r="AU57" s="51">
        <f>IF(AND(D56="Futures",AT57=[1]AB3!$AY$9),[1]AB3!$AY$9,IF(AND(D56="Options Sell",AT57=[1]AB3!$AY$15),[1]AB3!$AY$15,IF(AND(D56="Options Buy",AT57=[1]AB3!$AY$21),[1]AB3!$AY$21,I58)))</f>
        <v>1.8E-3</v>
      </c>
      <c r="AV57" s="52">
        <f t="shared" ref="AV57:AV58" si="87">AS57-S57</f>
        <v>2</v>
      </c>
      <c r="AW57" s="43" t="str">
        <f t="array" ref="AW57">IF(A54="","",IF(AND(OR(D58="4 &amp; APS",D58="5 &amp; APS"),D56="Futures"),CONCATENATE([1]AB3!$AP$9,INDEX([1]AB2!M:M,MATCH(D54,[1]AB2!B:B,0)),[1]AB3!$AQ$9),IF(AND(OR(D58="4 &amp; APS",D58="5 &amp; APS"),D56="Options Sell"),CONCATENATE([1]AB3!$AP$15,INDEX([1]AB2!L:L,MATCH(D54,[1]AB2!B:B,0)),[1]AB3!$AQ$15),IF(AND(OR(D58="4 &amp; APS",D58="5 &amp; APS"),D56="Options Buy"),CONCATENATE([1]AB3!$AP$21,INDEX([1]AB2!M:M,MATCH(D54,[1]AB2!B:B,0)),[1]AB3!$AQ$21),[1]AB3!$AR$6))))</f>
        <v>FUT : PRV : 2DLL</v>
      </c>
      <c r="AX57" s="51">
        <f>IF(AND(D56="Futures",AW57=[1]AB3!$BA$9),[1]AB3!$BA$9,IF(AND(D56="Options Sell",AW57=[1]AB3!$BA$15),[1]AB3!$BA$15,IF(AND(D56="Options Buy",AW57=[1]AB3!$BA$21),[1]AB3!$BA$21,I58)))</f>
        <v>1.8E-3</v>
      </c>
      <c r="AY57" s="52">
        <f t="shared" ref="AY57:AY58" si="88">AV57-S57</f>
        <v>1</v>
      </c>
      <c r="AZ57" s="51">
        <f t="array" ref="AZ57">IF(A54="","",IF(AND(D58="5 &amp; APS",D56="Futures"),CONCATENATE([1]AB3!$AP$9,INDEX([1]AB2!M:M,MATCH(D54,[1]AB2!B:B,0)),[1]AB3!$AQ$9),IF(AND(D58="5 &amp; APS",D56="Options Sell"),CONCATENATE([1]AB3!$AP$15,INDEX([1]AB2!L:L,MATCH(D54,[1]AB2!B:B,0)),[1]AB3!$AQ$15),IF(AND(D58="5 &amp; APS",D56="Options Buy"),CONCATENATE([1]AB3!$AP$21,INDEX([1]AB2!M:M,MATCH(D54,[1]AB2!B:B,0)),[1]AB3!$AQ$21),[1]AB3!$AR$6))))</f>
        <v>0</v>
      </c>
      <c r="BA57" s="51">
        <f>IF(AND(D56="Futures",AZ57=[1]AB3!$BC$9),[1]AB3!$BC$9,IF(AND(D56="Options Sell",AZ57=[1]AB3!$BC$15),[1]AB3!$BC$15,IF(AND(D56="Options Buy",AZ57=[1]AB3!$BC$21),[1]AB3!$BC$21,I58)))</f>
        <v>0</v>
      </c>
      <c r="BB57" s="52">
        <f t="shared" ref="BB57:BB58" si="89">AY57-W57</f>
        <v>0</v>
      </c>
      <c r="BC57" s="53"/>
      <c r="BD57" s="54" t="str">
        <f>IF(D56="Futures",[1]AB3!$BE$9,IF(D56="Options Sell",[1]AB3!$BE$15,IF(D56="Options Buy",[1]AB3!$BE$21)))</f>
        <v>Market Start Time</v>
      </c>
      <c r="BE57" s="67">
        <f t="array" ref="BE57">IF(D54="","",INDEX([1]AB2!AG:AG,MATCH(D54,[1]AB2!B:B,0)))</f>
        <v>0.38541666666666669</v>
      </c>
      <c r="BF57" s="11"/>
      <c r="BG57" s="12"/>
      <c r="BH57" s="57"/>
      <c r="BI57" s="68" t="str">
        <f>IF(D56="Futures",[1]AB3!$BJ$9,IF(D56="Options Sell",[1]AB3!$BJ$15,IF(D56="Options Buy",[1]AB3!$BJ$21)))</f>
        <v>Bear / 
Bear CF</v>
      </c>
      <c r="BJ57" s="45" t="str">
        <f>IF(D56="Futures",[1]AB3!$BK$9,IF(D56="Options Sell",[1]AB3!$BK$15,IF(D56="Options Buy",[1]AB3!$BK$21)))</f>
        <v>Long</v>
      </c>
      <c r="BK57" s="46">
        <v>1.8E-3</v>
      </c>
      <c r="BL57" s="46">
        <v>1.8E-3</v>
      </c>
      <c r="BM57" s="57"/>
      <c r="BN57" s="68" t="str">
        <f>IF(D56="Futures",[1]AB3!$BO$9,IF(D56="Options Sell",[1]AB3!$BO$15,IF(D56="Options Buy",[1]AB3!$BO$21)))</f>
        <v>Bear | 
Bear CF</v>
      </c>
      <c r="BO57" s="45" t="str">
        <f>IF(D56="Futures",[1]AB3!$BP$9,IF(D56="Options Sell",[1]AB3!$BP$15,IF(D56="Options Buy",[1]AB3!$BP$21)))</f>
        <v>Call</v>
      </c>
      <c r="BP57" s="43" t="str">
        <f t="array" ref="BP57">IF(A54="","",IF(D56="Futures","",IF(D56="EQUITY","",IF(D56="Options Sell",CONCATENATE([1]AB3!$BQ$15,INDEX([1]AB2!I:I,MATCH(A54,[1]AB2!A:A,0)),[1]AB3!$BR$15),IF(D56="Options Buy",CONCATENATE([1]AB3!$BQ$21,INDEX([1]AB2!I:I,MATCH(A54,[1]AB2!A:A,0)),[1]AB3!$BR$21))))))</f>
        <v/>
      </c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9"/>
      <c r="CL57" s="43"/>
      <c r="CM57" s="43"/>
      <c r="CN57" s="59"/>
      <c r="CO57" s="43"/>
      <c r="CP57" s="43"/>
      <c r="CQ57" s="59"/>
      <c r="CR57" s="43"/>
      <c r="CS57" s="43"/>
      <c r="CT57" s="59"/>
      <c r="CU57" s="43"/>
      <c r="CV57" s="59"/>
      <c r="CW57" s="59"/>
    </row>
    <row r="58" spans="1:101" ht="16.5" customHeight="1" x14ac:dyDescent="0.2">
      <c r="A58" s="32"/>
      <c r="B58" s="41" t="str">
        <f>CONCATENATE(D54,IF(D56="Futures",[1]AB3!$B$10,IF(D56="Options Sell",[1]AB3!$B$16,IF(D56="Options Buy",[1]AB3!$B$22))))</f>
        <v>S9E</v>
      </c>
      <c r="C58" s="42" t="str">
        <f>IF(D56="Futures",[1]AB3!$C$10,IF(D56="Options Sell",[1]AB3!$C$16,IF(D56="Options Buy",[1]AB3!$C$22)))</f>
        <v>No. of Targets</v>
      </c>
      <c r="D58" s="43" t="str">
        <f t="array" ref="D58">IF(A54="","",INDEX([1]AB2!K:K,MATCH(D54,[1]AB2!B:B,0)))</f>
        <v>4 &amp; APS</v>
      </c>
      <c r="E58" s="32"/>
      <c r="F58" s="61" t="str">
        <f>IF(D56="Futures",[1]AB3!$F$10,IF(D56="Options Sell",[1]AB3!$F$16,IF(D56="Options Buy",[1]AB3!$F$22)))</f>
        <v>Short</v>
      </c>
      <c r="G58" s="43" t="str">
        <f t="array" ref="G58">(IF(A54="","",IF(D56="Futures",CONCATENATE([1]AB3!$G$10,INDEX([1]AB2!I:I,MATCH(D54,[1]AB2!B:B,0)),[1]AB3!$H$10),IF(D56="Options Sell",CONCATENATE([1]AB3!$G$16,INDEX([1]AB2!J:J,MATCH(D54,[1]AB2!B:B,0)),[1]AB3!$H$16),IF(D56="Options Buy",CONCATENATE([1]AB3!$G$22,INDEX([1]AB2!I:I,MATCH(D54,[1]AB2!B:B,0)),[1]AB3!$H$22))))))</f>
        <v>FUT : PRV : 2DLL</v>
      </c>
      <c r="H58" s="43" t="str">
        <f>IF(D56="Futures",[1]AB3!$I$10,IF(D56="Options Sell",[1]AB3!$I$16,IF(D56="Options Buy",[1]AB3!$I$22)))</f>
        <v xml:space="preserve"> - </v>
      </c>
      <c r="I58" s="46">
        <v>1.8E-3</v>
      </c>
      <c r="J58" s="47">
        <v>5</v>
      </c>
      <c r="K58" s="48"/>
      <c r="L58" s="43" t="str">
        <f>IF(D56="Futures",[1]AB3!$M$10,IF(D56="Options Sell",[1]AB3!$M$16,IF(D56="Options Buy",[1]AB3!$M$22)))</f>
        <v xml:space="preserve">S : Entry </v>
      </c>
      <c r="M58" s="43" t="str">
        <f>IF(D56="Futures",[1]AB3!$N$10,IF(D56="Options Sell",[1]AB3!$N$16,IF(D56="Options Buy",[1]AB3!$N$22)))</f>
        <v xml:space="preserve"> - </v>
      </c>
      <c r="N58" s="46">
        <v>1.4999999999999999E-2</v>
      </c>
      <c r="O58" s="47">
        <v>1</v>
      </c>
      <c r="P58" s="46">
        <v>0.02</v>
      </c>
      <c r="Q58" s="47">
        <v>1</v>
      </c>
      <c r="R58" s="46">
        <v>2.5000000000000001E-2</v>
      </c>
      <c r="S58" s="47">
        <v>1</v>
      </c>
      <c r="T58" s="46">
        <v>0.03</v>
      </c>
      <c r="U58" s="47">
        <v>1</v>
      </c>
      <c r="V58" s="50" t="s">
        <v>51</v>
      </c>
      <c r="W58" s="47">
        <v>1</v>
      </c>
      <c r="X58" s="50" t="s">
        <v>52</v>
      </c>
      <c r="Y58" s="50" t="s">
        <v>52</v>
      </c>
      <c r="Z58" s="48"/>
      <c r="AA58" s="43" t="str">
        <f>IF(D56="Futures",[1]AB3!$AD$10,IF(D56="Options Sell",[1]AB3!$AD$16,IF(D56="Options Buy",[1]AB3!$AD$22)))</f>
        <v>Min</v>
      </c>
      <c r="AB58" s="43" t="str">
        <f>IF(D56="Futures",[1]AB3!$AE$10,IF(D56="Options Sell",[1]AB3!$AE$16,IF(D56="Options Buy",[1]AB3!$AE$22)))</f>
        <v>MSL &amp; TSL</v>
      </c>
      <c r="AC58" s="43" t="str">
        <f>IF(D56="Futures",[1]AB3!$AF$10,IF(D56="Options Sell",[1]AB3!$AF$16,IF(D56="Options Buy",[1]AB3!$AF$22)))</f>
        <v>Entry &amp; TRP</v>
      </c>
      <c r="AD58" s="48"/>
      <c r="AE58" s="43" t="str">
        <f>IF(D56="Futures",[1]AB3!$AH$10,IF(D56="Options Sell",[1]AB3!$AH$16,IF(D56="Options Buy",[1]AB3!$AH$22)))</f>
        <v>S : Entry</v>
      </c>
      <c r="AF58" s="43" t="str">
        <f>IF(D56="Futures",[1]AB3!$AI$10,IF(D56="Options Sell",[1]AB3!$AI$16,IF(D56="Options Buy",[1]AB3!$AI$22)))</f>
        <v xml:space="preserve"> + </v>
      </c>
      <c r="AG58" s="46">
        <v>1.4999999999999999E-2</v>
      </c>
      <c r="AH58" s="46">
        <v>0</v>
      </c>
      <c r="AI58" s="48"/>
      <c r="AJ58" s="43" t="str">
        <f>IF(D56="Futures",[1]AB3!$AO$10,IF(D56="Options Sell",[1]AB3!$AO$16,IF(D56="Options Buy",[1]AB3!$AO$22)))</f>
        <v xml:space="preserve"> + </v>
      </c>
      <c r="AK58" s="43" t="str">
        <f t="array" ref="AK58">IF(A54="","",IF(D56="Futures",CONCATENATE([1]AB3!$AP$10,INDEX([1]AB2!L:L,MATCH(D54,[1]AB2!B:B,0)),[1]AB3!$AQ$10),IF(D56="Options Sell",CONCATENATE([1]AB3!$AP$16,INDEX([1]AB2!M:M,MATCH(D54,[1]AB2!B:B,0)),[1]AB3!$AQ$16),IF(D56="Options Buy",CONCATENATE([1]AB3!$AP$22,INDEX([1]AB2!L:L,MATCH(D54,[1]AB2!B:B,0)),[1]AB3!$AQ$22)))))</f>
        <v>FUT : PRV : 2DHH</v>
      </c>
      <c r="AL58" s="51">
        <f>IF(AND(D56="Futures",AK58=[1]AB3!$AS$10),[1]AB3!$AS$10,IF(AND(D56="Options Sell",AK58=[1]AB3!$AS$16),[1]AB3!$AS$16,IF(AND(D56="Options Buy",AK58=[1]AB3!$AS$22),[1]AB3!$AS$22,I57)))</f>
        <v>1.8E-3</v>
      </c>
      <c r="AM58" s="52">
        <f>J57</f>
        <v>5</v>
      </c>
      <c r="AN58" s="43" t="str">
        <f t="array" ref="AN58">IF(A54="","",IF(AND(OR(D58="1 &amp; APS",D58="2 &amp; APS",D58="3 &amp; APS",D58="4 &amp; APS",D58="5 &amp; APS"),D56="Futures"),CONCATENATE([1]AB3!$AP$10,INDEX([1]AB2!L:L,MATCH(D54,[1]AB2!B:B,0)),[1]AB3!$AQ$10),IF(AND(OR(D58="1 &amp; APS",D58="2 &amp; APS",D58="3 &amp; APS",D58="4 &amp; APS",D58="5 &amp; APS"),D56="Options Sell"),CONCATENATE([1]AB3!$AP$16,INDEX([1]AB2!M:M,MATCH(D54,[1]AB2!B:B,0)),[1]AB3!$AQ$16),IF(AND(OR(D58="1 &amp; APS",D58="2 &amp; APS",D58="3 &amp; APS",D58="4 &amp; APS",D58="5 &amp; APS"),D56="Options Buy"),CONCATENATE([1]AB3!$AP$22,INDEX([1]AB2!L:L,MATCH(D54,[1]AB2!B:B,0)),[1]AB3!$AQ$22),[1]AB3!$AR$6))))</f>
        <v>FUT : PRV : 2DHH</v>
      </c>
      <c r="AO58" s="51">
        <f>IF(AND(D56="Futures",AN58=[1]AB3!$AU$10),[1]AB3!$AU$10,IF(AND(D56="Options Sell",AN58=[1]AB3!$AU$16),[1]AB3!$AU$16,IF(AND(D56="Options Buy",AN58=[1]AB3!$AU$22),[1]AB3!$AU$22,I57)))</f>
        <v>1.8E-3</v>
      </c>
      <c r="AP58" s="52">
        <f t="shared" si="85"/>
        <v>4</v>
      </c>
      <c r="AQ58" s="43" t="str">
        <f t="array" ref="AQ58">IF(A54="","",IF(AND(OR(D58="2 &amp; APS",D58="3 &amp; APS",D58="4 &amp; APS",D58="5 &amp; APS"),D56="Futures"),CONCATENATE([1]AB3!$AP$10,INDEX([1]AB2!L:L,MATCH(D54,[1]AB2!B:B,0)),[1]AB3!$AQ$10),IF(AND(OR(D58="2 &amp; APS",D58="3 &amp; APS",D58="4 &amp; APS",D58="5 &amp; APS"),D56="Options Sell"),CONCATENATE([1]AB3!$AP$16,INDEX([1]AB2!M:M,MATCH(D54,[1]AB2!B:B,0)),[1]AB3!$AQ$16),IF(AND(OR(D58="2 &amp; APS",D58="3 &amp; APS",D58="4 &amp; APS",D58="5 &amp; APS"),D56="Options Buy"),CONCATENATE([1]AB3!$AP$22,INDEX([1]AB2!L:L,MATCH(D54,[1]AB2!B:B,0)),[1]AB3!$AQ$22),[1]AB3!$AR$6))))</f>
        <v>FUT : PRV : 2DHH</v>
      </c>
      <c r="AR58" s="51">
        <f>IF(AND(D56="Futures",AQ58=[1]AB3!$AW$10),[1]AB3!$AW$10,IF(AND(D56="Options Sell",AQ58=[1]AB3!$AW$16),[1]AB3!$AW$16,IF(AND(D56="Options Buy",AQ58=[1]AB3!$AW$22),[1]AB3!$AW$22,I57)))</f>
        <v>1.8E-3</v>
      </c>
      <c r="AS58" s="52">
        <f t="shared" si="86"/>
        <v>3</v>
      </c>
      <c r="AT58" s="43" t="str">
        <f t="array" ref="AT58">IF(A54="","",IF(AND(OR(D58="3 &amp; APS",D58="4 &amp; APS",D58="5 &amp; APS"),D56="Futures"),CONCATENATE([1]AB3!$AP$10,INDEX([1]AB2!L:L,MATCH(D54,[1]AB2!B:B,0)),[1]AB3!$AQ$10),IF(AND(OR(D58="3 &amp; APS",D58="4 &amp; APS",D58="5 &amp; APS"),D56="Options Sell"),CONCATENATE([1]AB3!$AP$16,INDEX([1]AB2!M:M,MATCH(D54,[1]AB2!B:B,0)),[1]AB3!$AQ$16),IF(AND(OR(D58="3 &amp; APS",D58="4 &amp; APS",D58="5 &amp; APS"),D56="Options Buy"),CONCATENATE([1]AB3!$AP$22,INDEX([1]AB2!L:L,MATCH(D54,[1]AB2!B:B,0)),[1]AB3!$AQ$22),[1]AB3!$AR$6))))</f>
        <v>FUT : PRV : 2DHH</v>
      </c>
      <c r="AU58" s="51">
        <f>IF(AND(D56="Futures",AT58=[1]AB3!$AY$10),[1]AB3!$AY$10,IF(AND(D56="Options Sell",AT58=[1]AB3!$AY$16),[1]AB3!$AY$16,IF(AND(D56="Options Buy",AT58=[1]AB3!$AY$22),[1]AB3!$AY$22,I57)))</f>
        <v>1.8E-3</v>
      </c>
      <c r="AV58" s="52">
        <f t="shared" si="87"/>
        <v>2</v>
      </c>
      <c r="AW58" s="43" t="str">
        <f t="array" ref="AW58">IF(A54="","",IF(AND(OR(D58="4 &amp; APS",D58="5 &amp; APS"),D56="Futures"),CONCATENATE([1]AB3!$AP$10,INDEX([1]AB2!L:L,MATCH(D54,[1]AB2!B:B,0)),[1]AB3!$AQ$10),IF(AND(OR(D58="4 &amp; APS",D58="5 &amp; APS"),D56="Options Sell"),CONCATENATE([1]AB3!$AP$16,INDEX([1]AB2!M:M,MATCH(D54,[1]AB2!B:B,0)),[1]AB3!$AQ$16),IF(AND(OR(D58="4 &amp; APS",D58="5 &amp; APS"),D56="Options Buy"),CONCATENATE([1]AB3!$AP$22,INDEX([1]AB2!L:L,MATCH(D54,[1]AB2!B:B,0)),[1]AB3!$AQ$22),[1]AB3!$AR$6))))</f>
        <v>FUT : PRV : 2DHH</v>
      </c>
      <c r="AX58" s="51">
        <f>IF(AND(D56="Futures",AW58=[1]AB3!$BA$10),[1]AB3!$BA$10,IF(AND(D56="Options Sell",AW58=[1]AB3!$BA$16),[1]AB3!$BA$16,IF(AND(D56="Options Buy",AW58=[1]AB3!$BA$22),[1]AB3!$BA$22,I57)))</f>
        <v>1.8E-3</v>
      </c>
      <c r="AY58" s="52">
        <f t="shared" si="88"/>
        <v>1</v>
      </c>
      <c r="AZ58" s="51">
        <f t="array" ref="AZ58">IF(A54="","",IF(AND(D58="5 &amp; APS",D56="Futures"),CONCATENATE([1]AB3!$AP$10,INDEX([1]AB2!L:L,MATCH(D54,[1]AB2!B:B,0)),[1]AB3!$AQ$10),IF(AND(D58="5 &amp; APS",D56="Options Sell"),CONCATENATE([1]AB3!$AP$16,INDEX([1]AB2!M:M,MATCH(D54,[1]AB2!B:B,0)),[1]AB3!$AQ$16),IF(AND(D58="5 &amp; APS",D56="Options Buy"),CONCATENATE([1]AB3!$AP$22,INDEX([1]AB2!L:L,MATCH(D54,[1]AB2!B:B,0)),[1]AB3!$AQ$22),[1]AB3!$AR$6))))</f>
        <v>0</v>
      </c>
      <c r="BA58" s="51">
        <f>IF(AND(D56="Futures",AZ58=[1]AB3!$BC$10),[1]AB3!$BC$10,IF(AND(D56="Options Sell",AZ58=[1]AB3!$BC$16),[1]AB3!$BC$16,IF(AND(D56="Options Buy",AZ58=[1]AB3!$BC$22),[1]AB3!$BC$22,I57)))</f>
        <v>0</v>
      </c>
      <c r="BB58" s="52">
        <f t="shared" si="89"/>
        <v>0</v>
      </c>
      <c r="BC58" s="53"/>
      <c r="BD58" s="54" t="str">
        <f>IF(D56="Futures",[1]AB3!$BE$10,IF(D56="Options Sell",[1]AB3!$BE$16,IF(D56="Options Buy",[1]AB3!$BE$22)))</f>
        <v>Market End Time</v>
      </c>
      <c r="BE58" s="67">
        <f t="array" ref="BE58">IF(D54="","",INDEX([1]AB2!AH:AH,MATCH(D54,[1]AB2!B:B,0)))</f>
        <v>0.64583333333333337</v>
      </c>
      <c r="BF58" s="11"/>
      <c r="BG58" s="12"/>
      <c r="BH58" s="57"/>
      <c r="BI58" s="32"/>
      <c r="BJ58" s="61" t="str">
        <f>IF(D56="Futures",[1]AB3!$BK$10,IF(D56="Options Sell",[1]AB3!$BK$16,IF(D56="Options Buy",[1]AB3!$BK$22)))</f>
        <v>Short</v>
      </c>
      <c r="BK58" s="46">
        <v>1.8E-3</v>
      </c>
      <c r="BL58" s="46">
        <v>1.8E-3</v>
      </c>
      <c r="BM58" s="57"/>
      <c r="BN58" s="32"/>
      <c r="BO58" s="61" t="str">
        <f>IF(D56="Futures",[1]AB3!$BP$10,IF(D56="Options Sell",[1]AB3!$BP$16,IF(D56="Options Buy",[1]AB3!$BP$22)))</f>
        <v>Put</v>
      </c>
      <c r="BP58" s="43" t="str">
        <f t="array" ref="BP58">IF(A54="","",IF(D56="Futures","",IF(D56="EQUITY","",IF(D56="Options Sell",CONCATENATE([1]AB3!$BQ$16,INDEX([1]AB2!J:J,MATCH(A54,[1]AB2!A:A,0)),[1]AB3!$BR$16),IF(D56="Options Buy",CONCATENATE([1]AB3!$BQ$22,INDEX([1]AB2!J:J,MATCH(A54,[1]AB2!A:A,0)),[1]AB3!$BR$22))))))</f>
        <v/>
      </c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9"/>
      <c r="CL58" s="43"/>
      <c r="CM58" s="43"/>
      <c r="CN58" s="59"/>
      <c r="CO58" s="43"/>
      <c r="CP58" s="43"/>
      <c r="CQ58" s="59"/>
      <c r="CR58" s="43"/>
      <c r="CS58" s="43"/>
      <c r="CT58" s="59"/>
      <c r="CU58" s="43"/>
      <c r="CV58" s="59"/>
      <c r="CW58" s="59"/>
    </row>
    <row r="59" spans="1:101" ht="15.75" customHeight="1" x14ac:dyDescent="0.2">
      <c r="A59" s="1"/>
      <c r="B59" s="2"/>
      <c r="C59" s="2"/>
      <c r="D59" s="2"/>
      <c r="E59" s="2"/>
      <c r="F59" s="2"/>
      <c r="G59" s="2"/>
      <c r="H59" s="2"/>
      <c r="I59" s="2"/>
      <c r="J59" s="64"/>
      <c r="K59" s="2"/>
      <c r="L59" s="2"/>
      <c r="M59" s="2"/>
      <c r="N59" s="2"/>
      <c r="O59" s="64"/>
      <c r="P59" s="2"/>
      <c r="Q59" s="64"/>
      <c r="R59" s="69"/>
      <c r="S59" s="64"/>
      <c r="T59" s="70"/>
      <c r="U59" s="64"/>
      <c r="V59" s="2"/>
      <c r="W59" s="64"/>
      <c r="X59" s="2"/>
      <c r="Y59" s="2"/>
      <c r="Z59" s="2"/>
      <c r="AA59" s="20"/>
      <c r="AB59" s="71"/>
      <c r="AC59" s="71"/>
      <c r="AD59" s="2"/>
      <c r="AE59" s="70"/>
      <c r="AF59" s="70"/>
      <c r="AG59" s="70"/>
      <c r="AH59" s="70"/>
      <c r="AI59" s="2"/>
      <c r="AJ59" s="70"/>
      <c r="AK59" s="70"/>
      <c r="AL59" s="70"/>
      <c r="AM59" s="64"/>
      <c r="AN59" s="70"/>
      <c r="AO59" s="70"/>
      <c r="AP59" s="64"/>
      <c r="AQ59" s="70"/>
      <c r="AR59" s="70"/>
      <c r="AS59" s="64"/>
      <c r="AT59" s="70"/>
      <c r="AU59" s="70"/>
      <c r="AV59" s="64"/>
      <c r="AW59" s="70"/>
      <c r="AX59" s="70"/>
      <c r="AY59" s="64"/>
      <c r="AZ59" s="70"/>
      <c r="BA59" s="70"/>
      <c r="BB59" s="64"/>
      <c r="BC59" s="70"/>
      <c r="BD59" s="70"/>
      <c r="BE59" s="70"/>
      <c r="BF59" s="70"/>
      <c r="BG59" s="70"/>
      <c r="BH59" s="70"/>
      <c r="BI59" s="70"/>
      <c r="BJ59" s="70"/>
      <c r="BK59" s="2"/>
      <c r="BL59" s="2"/>
      <c r="BM59" s="70"/>
      <c r="BN59" s="70"/>
      <c r="BO59" s="70"/>
      <c r="BP59" s="70"/>
      <c r="BQ59" s="70"/>
      <c r="BR59" s="70"/>
      <c r="BS59" s="70"/>
      <c r="BT59" s="70"/>
      <c r="BU59" s="70"/>
      <c r="BV59" s="70"/>
      <c r="BW59" s="70"/>
      <c r="BX59" s="70"/>
      <c r="BY59" s="70"/>
      <c r="BZ59" s="70"/>
      <c r="CA59" s="70"/>
      <c r="CB59" s="70"/>
      <c r="CC59" s="70"/>
      <c r="CD59" s="70"/>
      <c r="CE59" s="70"/>
      <c r="CF59" s="70"/>
      <c r="CG59" s="70"/>
      <c r="CH59" s="70"/>
      <c r="CI59" s="70"/>
      <c r="CJ59" s="70"/>
      <c r="CK59" s="70"/>
      <c r="CL59" s="2"/>
      <c r="CM59" s="2"/>
      <c r="CN59" s="70"/>
      <c r="CO59" s="70"/>
      <c r="CP59" s="70"/>
      <c r="CQ59" s="70"/>
      <c r="CR59" s="2"/>
      <c r="CS59" s="2"/>
      <c r="CT59" s="70"/>
      <c r="CU59" s="70"/>
      <c r="CV59" s="70"/>
      <c r="CW59" s="70"/>
    </row>
    <row r="60" spans="1:101" ht="15.75" customHeight="1" x14ac:dyDescent="0.2">
      <c r="A60" s="40">
        <v>10</v>
      </c>
      <c r="B60" s="41" t="str">
        <f>CONCATENATE(D60,IF(D62="Futures",[1]AB3!$B$6,IF(D62="Options Sell",[1]AB3!$B$12,IF(D62="Options Buy",[1]AB3!$B$18))))</f>
        <v>S10A</v>
      </c>
      <c r="C60" s="42" t="str">
        <f>IF(D62="Futures",[1]AB3!$C$6,IF(D62="Options Sell",[1]AB3!$C$12,IF(D62="Options Buy",[1]AB3!$C$18)))</f>
        <v>Strategy Code</v>
      </c>
      <c r="D60" s="43" t="str">
        <f t="array" ref="D60">IF(A60="","",INDEX([1]AB2!B:B,MATCH(A60,[1]AB2!A:A,0)))</f>
        <v>S10</v>
      </c>
      <c r="E60" s="44" t="str">
        <f>IF(D62="Futures",[1]AB3!$E$6,IF(D62="Options Sell",[1]AB3!$E$12,IF(D62="Options Buy",[1]AB3!$E$18)))</f>
        <v>Bull / 
Bull CF</v>
      </c>
      <c r="F60" s="45" t="str">
        <f>IF(D62="Futures",[1]AB3!$F$6,IF(D62="Options Sell",[1]AB3!$F$12,IF(D62="Options Buy",[1]AB3!$F$18)))</f>
        <v>Long</v>
      </c>
      <c r="G60" s="43" t="str">
        <f t="array" ref="G60">IF(A60="","",IF(D62="Futures",CONCATENATE([1]AB3!$G$6,INDEX([1]AB2!I:I,MATCH(D60,[1]AB2!B:B,0)),[1]AB3!$H$6),IF(D62="Options Sell",CONCATENATE([1]AB3!$G$12,INDEX([1]AB2!J:J,MATCH(D60,[1]AB2!B:B,0)),[1]AB3!$H$12),IF(D62="Options Buy",CONCATENATE([1]AB3!$G$18,INDEX([1]AB2!I:I,MATCH(D60,[1]AB2!B:B,0)),[1]AB3!$H$18)))))</f>
        <v>FUT : PRV : 2DHH</v>
      </c>
      <c r="H60" s="43" t="str">
        <f>IF(D62="Futures",[1]AB3!$I$6,IF(D62="Options Sell",[1]AB3!$I$12,IF(D62="Options Buy",[1]AB3!$I$18)))</f>
        <v xml:space="preserve"> + </v>
      </c>
      <c r="I60" s="46">
        <v>0</v>
      </c>
      <c r="J60" s="47">
        <v>5</v>
      </c>
      <c r="K60" s="48"/>
      <c r="L60" s="43" t="str">
        <f>IF(D62="Futures",[1]AB3!$M$6,IF(D62="Options Sell",[1]AB3!$M$12,IF(D62="Options Buy",[1]AB3!$M$18)))</f>
        <v xml:space="preserve">L : Entry </v>
      </c>
      <c r="M60" s="43" t="str">
        <f>IF(D62="Futures",[1]AB3!$N$6,IF(D62="Options Sell",[1]AB3!$N$12,IF(D62="Options Buy",[1]AB3!$N$18)))</f>
        <v xml:space="preserve"> + </v>
      </c>
      <c r="N60" s="46">
        <v>0.01</v>
      </c>
      <c r="O60" s="47">
        <v>1</v>
      </c>
      <c r="P60" s="46">
        <v>1.4999999999999999E-2</v>
      </c>
      <c r="Q60" s="47">
        <v>1</v>
      </c>
      <c r="R60" s="46">
        <v>0.02</v>
      </c>
      <c r="S60" s="47">
        <v>1</v>
      </c>
      <c r="T60" s="46">
        <v>2.5000000000000001E-2</v>
      </c>
      <c r="U60" s="47">
        <v>1</v>
      </c>
      <c r="V60" s="50" t="s">
        <v>51</v>
      </c>
      <c r="W60" s="47">
        <v>1</v>
      </c>
      <c r="X60" s="50" t="s">
        <v>52</v>
      </c>
      <c r="Y60" s="50" t="s">
        <v>52</v>
      </c>
      <c r="Z60" s="48"/>
      <c r="AA60" s="43" t="str">
        <f>IF(D62="Futures",[1]AB3!$AD$6,IF(D62="Options Sell",[1]AB3!$AD$12,IF(D62="Options Buy",[1]AB3!$AD$18)))</f>
        <v>Max</v>
      </c>
      <c r="AB60" s="43" t="str">
        <f>IF(D62="Futures",[1]AB3!$AE$6,IF(D62="Options Sell",[1]AB3!$AE$12,IF(D62="Options Buy",[1]AB3!$AE$18)))</f>
        <v>MSL &amp; TSL</v>
      </c>
      <c r="AC60" s="43" t="str">
        <f>IF(D62="Futures",[1]AB3!$AF$6,IF(D62="Options Sell",[1]AB3!$AF$12,IF(D62="Options Buy",[1]AB3!$AF$18)))</f>
        <v>Entry &amp; TRP</v>
      </c>
      <c r="AD60" s="48"/>
      <c r="AE60" s="43" t="str">
        <f>IF(D62="Futures",[1]AB3!$AH$6,IF(D62="Options Sell",[1]AB3!$AH$12,IF(D62="Options Buy",[1]AB3!$AH$18)))</f>
        <v>L : Entry</v>
      </c>
      <c r="AF60" s="43" t="str">
        <f>IF(D62="Futures",[1]AB3!$AI$6,IF(D62="Options Sell",[1]AB3!$AI$12,IF(D62="Options Buy",[1]AB3!$AI$18)))</f>
        <v xml:space="preserve"> - </v>
      </c>
      <c r="AG60" s="46">
        <v>0.01</v>
      </c>
      <c r="AH60" s="46">
        <v>0</v>
      </c>
      <c r="AI60" s="48"/>
      <c r="AJ60" s="43" t="str">
        <f>IF(D62="Futures",[1]AB3!$AO$6,IF(D62="Options Sell",[1]AB3!$AO$12,IF(D62="Options Buy",[1]AB3!$AO$18)))</f>
        <v xml:space="preserve"> - </v>
      </c>
      <c r="AK60" s="43" t="str">
        <f t="array" ref="AK60">IF(A60="","",IF(D62="Futures",CONCATENATE([1]AB3!$AP$6,INDEX([1]AB2!L:L,MATCH(D60,[1]AB2!B:B,0)),[1]AB3!$AQ$6),IF(D62="Options Sell",CONCATENATE([1]AB3!$AP$12,INDEX([1]AB2!M:M,MATCH(D60,[1]AB2!B:B,0)),[1]AB3!$AQ$12),IF(D62="Options Buy",CONCATENATE([1]AB3!$AP$18,INDEX([1]AB2!L:L,MATCH(D60,[1]AB2!B:B,0)),[1]AB3!$AQ$18)))))</f>
        <v>FUT : PRV : 3DLL</v>
      </c>
      <c r="AL60" s="51">
        <f>IF(AND(D62="Futures",AK60=[1]AB3!$AS$6),[1]AB3!$AS$6,IF(AND(D62="Options Sell",AK60=[1]AB3!$AS$12),[1]AB3!$AS$12,IF(AND(D62="Options Buy",AK60=[1]AB3!$AS$18),[1]AB3!$AS$18,I61)))</f>
        <v>1E-3</v>
      </c>
      <c r="AM60" s="52">
        <f>J61</f>
        <v>5</v>
      </c>
      <c r="AN60" s="43" t="str">
        <f t="array" ref="AN60">IF(A60="","",IF(AND(OR(D64="1 &amp; APS",D64="2 &amp; APS",D64="3 &amp; APS",D64="4 &amp; APS",D64="5 &amp; APS"),D62="Futures"),CONCATENATE([1]AB3!$AP$6,INDEX([1]AB2!L:L,MATCH(D60,[1]AB2!B:B,0)),[1]AB3!$AQ$6),IF(AND(OR(D64="1 &amp; APS",D64="2 &amp; APS",D64="3 &amp; APS",D64="4 &amp; APS",D64="5 &amp; APS"),D62="Options Sell"),CONCATENATE([1]AB3!$AP$12,INDEX([1]AB2!M:M,MATCH(D60,[1]AB2!B:B,0)),[1]AB3!$AQ$12),IF(AND(OR(D64="1 &amp; APS",D64="2 &amp; APS",D64="3 &amp; APS",D64="4 &amp; APS",D64="5 &amp; APS"),D62="Options Buy"),CONCATENATE([1]AB3!$AP$18,INDEX([1]AB2!L:L,MATCH(D60,[1]AB2!B:B,0)),[1]AB3!$AQ$18),[1]AB3!$AR$6))))</f>
        <v>FUT : PRV : 3DLL</v>
      </c>
      <c r="AO60" s="51">
        <f>IF(AND(D62="Futures",AN60=[1]AB3!$AU$6),[1]AB3!$AU$6,IF(AND(D62="Options Sell",AN60=[1]AB3!$AU$12),[1]AB3!$AU$12,IF(AND(D62="Options Buy",AN60=[1]AB3!$AU$18),[1]AB3!$AU$18,I61)))</f>
        <v>1E-3</v>
      </c>
      <c r="AP60" s="52">
        <f t="shared" ref="AP60:AP61" si="90">AM60-O60</f>
        <v>4</v>
      </c>
      <c r="AQ60" s="43" t="str">
        <f t="array" ref="AQ60">IF(A60="","",IF(AND(OR(D64="2 &amp; APS",D64="3 &amp; APS",D64="4 &amp; APS",D64="5 &amp; APS"),D62="Futures"),CONCATENATE([1]AB3!$AP$6,INDEX([1]AB2!L:L,MATCH(D60,[1]AB2!B:B,0)),[1]AB3!$AQ$6),IF(AND(OR(D64="2 &amp; APS",D64="3 &amp; APS",D64="4 &amp; APS",D64="5 &amp; APS"),D62="Options Sell"),CONCATENATE([1]AB3!$AP$12,INDEX([1]AB2!M:M,MATCH(D60,[1]AB2!B:B,0)),[1]AB3!$AQ$12),IF(AND(OR(D64="2 &amp; APS",D64="3 &amp; APS",D64="4 &amp; APS",D64="5 &amp; APS"),D62="Options Buy"),CONCATENATE([1]AB3!$AP$18,INDEX([1]AB2!L:L,MATCH(D60,[1]AB2!B:B,0)),[1]AB3!$AQ$18),[1]AB3!$AR$6))))</f>
        <v>FUT : PRV : 3DLL</v>
      </c>
      <c r="AR60" s="51">
        <f>IF(AND(D62="Futures",AQ60=[1]AB3!$AW$6),[1]AB3!$AW$6,IF(AND(D62="Options Sell",AQ60=[1]AB3!$AW$12),[1]AB3!$AW$12,IF(AND(D62="Options Buy",AQ60=[1]AB3!$AW$18),[1]AB3!$AW$18,I61)))</f>
        <v>1E-3</v>
      </c>
      <c r="AS60" s="52">
        <f t="shared" ref="AS60:AS61" si="91">AP60-Q60</f>
        <v>3</v>
      </c>
      <c r="AT60" s="43" t="str">
        <f t="array" ref="AT60">IF(A60="","",IF(AND(OR(D64="3 &amp; APS",D64="4 &amp; APS",D64="5 &amp; APS"),D62="Futures"),CONCATENATE([1]AB3!$AP$6,INDEX([1]AB2!L:L,MATCH(D60,[1]AB2!B:B,0)),[1]AB3!$AQ$6),IF(AND(OR(D64="3 &amp; APS",D64="4 &amp; APS",D64="5 &amp; APS"),D62="Options Sell"),CONCATENATE([1]AB3!$AP$12,INDEX([1]AB2!M:M,MATCH(D60,[1]AB2!B:B,0)),[1]AB3!$AQ$12),IF(AND(OR(D64="3 &amp; APS",D64="4 &amp; APS",D64="5 &amp; APS"),D62="Options Buy"),CONCATENATE([1]AB3!$AP$18,INDEX([1]AB2!L:L,MATCH(D60,[1]AB2!B:B,0)),[1]AB3!$AQ$18),[1]AB3!$AR$6))))</f>
        <v>FUT : PRV : 3DLL</v>
      </c>
      <c r="AU60" s="51">
        <f>IF(AND(D62="Futures",AT60=[1]AB3!$AY$6),[1]AB3!$AY$6,IF(AND(D62="Options Sell",AT60=[1]AB3!$AY$12),[1]AB3!$AY$12,IF(AND(D62="Options Buy",AT60=[1]AB3!$AY$18),[1]AB3!$AY$18,I61)))</f>
        <v>1E-3</v>
      </c>
      <c r="AV60" s="52">
        <f t="shared" ref="AV60:AV61" si="92">AS60-S60</f>
        <v>2</v>
      </c>
      <c r="AW60" s="43" t="str">
        <f t="array" ref="AW60">IF(A60="","",IF(AND(OR(D64="4 &amp; APS",D64="5 &amp; APS"),D62="Futures"),CONCATENATE([1]AB3!$AP$6,INDEX([1]AB2!L:L,MATCH(D60,[1]AB2!B:B,0)),[1]AB3!$AQ$6),IF(AND(OR(D64="4 &amp; APS",D64="5 &amp; APS"),D62="Options Sell"),CONCATENATE([1]AB3!$AP$12,INDEX([1]AB2!M:M,MATCH(D60,[1]AB2!B:B,0)),[1]AB3!$AQ$12),IF(AND(OR(D64="4 &amp; APS",D64="5 &amp; APS"),D62="Options Buy"),CONCATENATE([1]AB3!$AP$18,INDEX([1]AB2!L:L,MATCH(D60,[1]AB2!B:B,0)),[1]AB3!$AQ$18),[1]AB3!$AR$6))))</f>
        <v>FUT : PRV : 3DLL</v>
      </c>
      <c r="AX60" s="51">
        <f>IF(AND(D62="Futures",AW60=[1]AB3!$BA$6),[1]AB3!$BA$6,IF(AND(D62="Options Sell",AW60=[1]AB3!$BA$12),[1]AB3!$BA$12,IF(AND(D62="Options Buy",AW60=[1]AB3!$BA$18),[1]AB3!$BA$18,I61)))</f>
        <v>1E-3</v>
      </c>
      <c r="AY60" s="52">
        <f t="shared" ref="AY60:AY61" si="93">AV60-S60</f>
        <v>1</v>
      </c>
      <c r="AZ60" s="51">
        <f t="array" ref="AZ60">IF(A60="","",IF(AND(D64="5 &amp; APS",D62="Futures"),CONCATENATE([1]AB3!$AP$6,INDEX([1]AB2!L:L,MATCH(D60,[1]AB2!B:B,0)),[1]AB3!$AQ$6),IF(AND(D64="5 &amp; APS",D62="Options Sell"),CONCATENATE([1]AB3!$AP$12,INDEX([1]AB2!M:M,MATCH(D60,[1]AB2!B:B,0)),[1]AB3!$AQ$12),IF(AND(D64="5 &amp; APS",D62="Options Buy"),CONCATENATE([1]AB3!$AP$18,INDEX([1]AB2!L:L,MATCH(D60,[1]AB2!B:B,0)),[1]AB3!$AQ$18),[1]AB3!$AR$6))))</f>
        <v>0</v>
      </c>
      <c r="BA60" s="51">
        <f>IF(AND(D62="Futures",AZ60=[1]AB3!$BC$6),[1]AB3!$BC$6,IF(AND(D62="Options Sell",AZ60=[1]AB3!$BC$12),[1]AB3!$BC$12,IF(AND(D62="Options Buy",AZ60=[1]AB3!$BC$18),[1]AB3!$BC$18,I61)))</f>
        <v>0</v>
      </c>
      <c r="BB60" s="52">
        <f t="shared" ref="BB60:BB61" si="94">AY60-W60</f>
        <v>0</v>
      </c>
      <c r="BC60" s="53"/>
      <c r="BD60" s="54" t="str">
        <f>IF(D62="Futures",[1]AB3!$BE$6,IF(D62="Options Sell",[1]AB3!$BE$12,IF(D62="Options Buy",[1]AB3!$BE$18)))</f>
        <v xml:space="preserve">ORPT </v>
      </c>
      <c r="BE60" s="55">
        <f>IF(D62="Futures",BE63+([1]AB3!$BF$6/1440),IF(D62="Options Sell",BE63+([1]AB3!$BF$12/1440),IF(D62="Options Buy",BE63+([1]AB3!$BF$18/1440))))</f>
        <v>0.37846527777777778</v>
      </c>
      <c r="BF60" s="55">
        <f>IF(D62="Futures",BE63+([1]AB3!$BG$6/1440),IF(D62="Options Sell",BE63+([1]AB3!$BG$12/1440),IF(D62="Options Buy",BE63+([1]AB3!$BG$18/1440))))</f>
        <v>0.37846527777777778</v>
      </c>
      <c r="BG60" s="55">
        <f>IF(D62="Futures",BE63+([1]AB3!$BH$6/1440),IF(D62="Options Sell",BE63+([1]AB3!$BH$12/1440),IF(D62="Options Buy",BE63+([1]AB3!$BH$18/1440))))</f>
        <v>0.375</v>
      </c>
      <c r="BH60" s="57"/>
      <c r="BI60" s="44" t="str">
        <f>IF(D62="Futures",[1]AB3!$BJ$6,IF(D62="Options Sell",[1]AB3!$BJ$12,IF(D62="Options Buy",[1]AB3!$BJ$18)))</f>
        <v>Bull / 
Bull CF</v>
      </c>
      <c r="BJ60" s="45" t="str">
        <f>IF(D62="Futures",[1]AB3!$BK$6,IF(D62="Options Sell",[1]AB3!$BK$12,IF(D62="Options Buy",[1]AB3!$BK$18)))</f>
        <v>Long</v>
      </c>
      <c r="BK60" s="46">
        <v>1E-3</v>
      </c>
      <c r="BL60" s="46">
        <v>1E-3</v>
      </c>
      <c r="BM60" s="57"/>
      <c r="BN60" s="44" t="str">
        <f>IF(D62="Futures",[1]AB3!$BO$6,IF(D62="Options Sell",[1]AB3!$BO$12,IF(D62="Options Buy",[1]AB3!$BO$18)))</f>
        <v>Bull | 
Bull CF</v>
      </c>
      <c r="BO60" s="45" t="str">
        <f>IF(D62="Futures",[1]AB3!$BP$6,IF(D62="Options Sell",[1]AB3!$BP$12,IF(D62="Options Buy",[1]AB3!$BP$18)))</f>
        <v>Call</v>
      </c>
      <c r="BP60" s="43" t="str">
        <f t="array" ref="BP60">IF(A60="","",IF(D62="Futures","",IF(D62="EQUITY","",IF(D62="Options Sell",CONCATENATE([1]AB3!$BQ$12,INDEX([1]AB2!J:J,MATCH(A60,[1]AB2!A:A,0)),[1]AB3!$BR$12),IF(D62="Options Buy",CONCATENATE([1]AB3!$BQ$18,INDEX([1]AB2!J:J,MATCH(A60,[1]AB2!A:A,0)),[1]AB3!$BR$18))))))</f>
        <v/>
      </c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9"/>
      <c r="CL60" s="43"/>
      <c r="CM60" s="43"/>
      <c r="CN60" s="59"/>
      <c r="CO60" s="43"/>
      <c r="CP60" s="43"/>
      <c r="CQ60" s="59"/>
      <c r="CR60" s="43"/>
      <c r="CS60" s="43"/>
      <c r="CT60" s="59"/>
      <c r="CU60" s="55">
        <f>IF(D62="Futures",BE64-([1]AB3!$CG$6/1440),IF(D62="Options Sell",BE64-([1]AB3!$CG$12/1440),IF(D62="Options Buy",BE64-([1]AB3!$CG$18/1440),IF(D62="EQUITY",""))))</f>
        <v>0.95833333333333326</v>
      </c>
      <c r="CV60" s="59"/>
      <c r="CW60" s="59"/>
    </row>
    <row r="61" spans="1:101" ht="16.5" customHeight="1" x14ac:dyDescent="0.2">
      <c r="A61" s="60"/>
      <c r="B61" s="41" t="str">
        <f>CONCATENATE(D60,IF(D62="Futures",[1]AB3!$B$7,IF(D62="Options Sell",[1]AB3!$B$13,IF(D62="Options Buy",[1]AB3!$B$19))))</f>
        <v>S10B</v>
      </c>
      <c r="C61" s="42" t="str">
        <f>IF(D62="Futures",[1]AB3!$C$7,IF(D62="Options Sell",[1]AB3!$C$13,IF(D62="Options Buy",[1]AB3!$C$19)))</f>
        <v>Unique Code</v>
      </c>
      <c r="D61" s="43" t="str">
        <f t="array" ref="D61">IF(A60="","",INDEX([1]AB2!N:N,MATCH(D60,[1]AB2!B:B,0)))</f>
        <v>GOLDM_FUT_MT_DIFF_2D_3D</v>
      </c>
      <c r="E61" s="32"/>
      <c r="F61" s="61" t="str">
        <f>IF(D62="Futures",[1]AB3!$F$7,IF(D62="Options Sell",[1]AB3!$F$13,IF(D62="Options Buy",[1]AB3!$F$19)))</f>
        <v>Short</v>
      </c>
      <c r="G61" s="43" t="str">
        <f t="array" ref="G61">IF(A60="","",IF(D62="Futures",CONCATENATE([1]AB3!$G$7,INDEX([1]AB2!J:J,MATCH(D60,[1]AB2!B:B,0)),[1]AB3!$H$7),IF(D62="Options Sell",CONCATENATE([1]AB3!$G$13,INDEX([1]AB2!I:I,MATCH(D60,[1]AB2!B:B,0)),[1]AB3!$H$13),IF(D62="Options Buy",CONCATENATE([1]AB3!$G$19,INDEX([1]AB2!J:J,MATCH(D60,[1]AB2!B:B,0)),[1]AB3!$H$19)))))</f>
        <v>FUT : PRV : 3DLL</v>
      </c>
      <c r="H61" s="43" t="str">
        <f>IF(D62="Futures",[1]AB3!$I$7,IF(D62="Options Sell",[1]AB3!$I$13,IF(D62="Options Buy",[1]AB3!$I$19)))</f>
        <v xml:space="preserve"> - </v>
      </c>
      <c r="I61" s="46">
        <v>1E-3</v>
      </c>
      <c r="J61" s="47">
        <v>5</v>
      </c>
      <c r="K61" s="48"/>
      <c r="L61" s="43" t="str">
        <f>IF(D62="Futures",[1]AB3!$M$7,IF(D62="Options Sell",[1]AB3!$M$13,IF(D62="Options Buy",[1]AB3!$M$19)))</f>
        <v xml:space="preserve">S : Entry </v>
      </c>
      <c r="M61" s="43" t="str">
        <f>IF(D62="Futures",[1]AB3!$N$7,IF(D62="Options Sell",[1]AB3!$N$13,IF(D62="Options Buy",[1]AB3!$N$19)))</f>
        <v xml:space="preserve"> - </v>
      </c>
      <c r="N61" s="46">
        <v>0.01</v>
      </c>
      <c r="O61" s="47">
        <v>1</v>
      </c>
      <c r="P61" s="46">
        <v>1.4999999999999999E-2</v>
      </c>
      <c r="Q61" s="47">
        <v>1</v>
      </c>
      <c r="R61" s="46">
        <v>0.02</v>
      </c>
      <c r="S61" s="47">
        <v>1</v>
      </c>
      <c r="T61" s="46">
        <v>2.5000000000000001E-2</v>
      </c>
      <c r="U61" s="47">
        <v>1</v>
      </c>
      <c r="V61" s="50" t="s">
        <v>51</v>
      </c>
      <c r="W61" s="47">
        <v>1</v>
      </c>
      <c r="X61" s="50" t="s">
        <v>52</v>
      </c>
      <c r="Y61" s="50" t="s">
        <v>52</v>
      </c>
      <c r="Z61" s="48"/>
      <c r="AA61" s="43" t="str">
        <f>IF(D62="Futures",[1]AB3!$AD$7,IF(D62="Options Sell",[1]AB3!$AD$13,IF(D62="Options Buy",[1]AB3!$AD$19)))</f>
        <v>Min</v>
      </c>
      <c r="AB61" s="43" t="str">
        <f>IF(D62="Futures",[1]AB3!$AE$7,IF(D62="Options Sell",[1]AB3!$AE$13,IF(D62="Options Buy",[1]AB3!$AE$19)))</f>
        <v>MSL &amp; TSL</v>
      </c>
      <c r="AC61" s="43" t="str">
        <f>IF(D62="Futures",[1]AB3!$AF$7,IF(D62="Options Sell",[1]AB3!$AF$13,IF(D62="Options Buy",[1]AB3!$AF$19)))</f>
        <v>Entry &amp; TRP</v>
      </c>
      <c r="AD61" s="48"/>
      <c r="AE61" s="43" t="str">
        <f>IF(D62="Futures",[1]AB3!$AH$7,IF(D62="Options Sell",[1]AB3!$AH$13,IF(D62="Options Buy",[1]AB3!$AH$19)))</f>
        <v>S : Entry</v>
      </c>
      <c r="AF61" s="43" t="str">
        <f>IF(D62="Futures",[1]AB3!$AI$7,IF(D62="Options Sell",[1]AB3!$AI$13,IF(D62="Options Buy",[1]AB3!$AI$19)))</f>
        <v xml:space="preserve"> + </v>
      </c>
      <c r="AG61" s="46">
        <v>0.01</v>
      </c>
      <c r="AH61" s="46">
        <v>0</v>
      </c>
      <c r="AI61" s="48"/>
      <c r="AJ61" s="43" t="str">
        <f>IF(D62="Futures",[1]AB3!$AO$7,IF(D62="Options Sell",[1]AB3!$AO$13,IF(D62="Options Buy",[1]AB3!$AO$19)))</f>
        <v xml:space="preserve"> + </v>
      </c>
      <c r="AK61" s="43" t="str">
        <f t="array" ref="AK61">IF(A60="","",IF(D62="Futures",CONCATENATE([1]AB3!$AP$7,INDEX([1]AB2!M:M,MATCH(D60,[1]AB2!B:B,0)),[1]AB3!$AQ$7),IF(D62="Options Sell",CONCATENATE([1]AB3!$AP$13,INDEX([1]AB2!L:L,MATCH(D60,[1]AB2!B:B,0)),[1]AB3!$AQ$13),IF(D62="Options Buy",CONCATENATE([1]AB3!$AP$19,INDEX([1]AB2!M:M,MATCH(D60,[1]AB2!B:B,0)),[1]AB3!$AQ$19)))))</f>
        <v>FUT : PRV : 2DHH</v>
      </c>
      <c r="AL61" s="51">
        <f>IF(AND(D62="Futures",AK61=[1]AB3!$AS$7),[1]AB3!$AS$7,IF(AND(D62="Options Sell",AK61=[1]AB3!$AS$13),[1]AB3!$AS$13,IF(AND(D62="Options Buy",AK61=[1]AB3!$AS$19),[1]AB3!$AS$19,I60)))</f>
        <v>0</v>
      </c>
      <c r="AM61" s="52">
        <f>J60</f>
        <v>5</v>
      </c>
      <c r="AN61" s="43" t="str">
        <f t="array" ref="AN61">IF(A60="","",IF(AND(OR(D64="1 &amp; APS",D64="2 &amp; APS",D64="3 &amp; APS",D64="4 &amp; APS",D64="5 &amp; APS"),D62="Futures"),CONCATENATE([1]AB3!$AP$7,INDEX([1]AB2!M:M,MATCH(D60,[1]AB2!B:B,0)),[1]AB3!$AQ$7),IF(AND(OR(D64="1 &amp; APS",D64="2 &amp; APS",D64="3 &amp; APS",D64="4 &amp; APS",D64="5 &amp; APS"),D62="Options Sell"),CONCATENATE([1]AB3!$AP$13,INDEX([1]AB2!L:L,MATCH(D60,[1]AB2!B:B,0)),[1]AB3!$AQ$13),IF(AND(OR(D64="1 &amp; APS",D64="2 &amp; APS",D64="3 &amp; APS",D64="4 &amp; APS",D64="5 &amp; APS"),D62="Options Buy"),CONCATENATE([1]AB3!$AP$19,INDEX([1]AB2!M:M,MATCH(D60,[1]AB2!B:B,0)),[1]AB3!$AQ$19),[1]AB3!$AR$6))))</f>
        <v>FUT : PRV : 2DHH</v>
      </c>
      <c r="AO61" s="51">
        <f>IF(AND(D62="Futures",AN61=[1]AB3!$AU$7),[1]AB3!$AU$7,IF(AND(D62="Options Sell",AN61=[1]AB3!$AU$13),[1]AB3!$AU$13,IF(AND(D62="Options Buy",AN61=[1]AB3!$AU$19),[1]AB3!$AU$19,I60)))</f>
        <v>0</v>
      </c>
      <c r="AP61" s="52">
        <f t="shared" si="90"/>
        <v>4</v>
      </c>
      <c r="AQ61" s="43" t="str">
        <f t="array" ref="AQ61">IF(A60="","",IF(AND(OR(D64="2 &amp; APS",D64="3 &amp; APS",D64="4 &amp; APS",D64="5 &amp; APS"),D62="Futures"),CONCATENATE([1]AB3!$AP$7,INDEX([1]AB2!M:M,MATCH(D60,[1]AB2!B:B,0)),[1]AB3!$AQ$7),IF(AND(OR(D64="2 &amp; APS",D64="3 &amp; APS",D64="4 &amp; APS",D64="5 &amp; APS"),D62="Options Sell"),CONCATENATE([1]AB3!$AP$13,INDEX([1]AB2!L:L,MATCH(D60,[1]AB2!B:B,0)),[1]AB3!$AQ$13),IF(AND(OR(D64="2 &amp; APS",D64="3 &amp; APS",D64="4 &amp; APS",D64="5 &amp; APS"),D62="Options Buy"),CONCATENATE([1]AB3!$AP$19,INDEX([1]AB2!M:M,MATCH(D60,[1]AB2!B:B,0)),[1]AB3!$AQ$19),[1]AB3!$AR$6))))</f>
        <v>FUT : PRV : 2DHH</v>
      </c>
      <c r="AR61" s="51">
        <f>IF(AND(D62="Futures",AQ61=[1]AB3!$AW$7),[1]AB3!$AW$7,IF(AND(D62="Options Sell",AQ61=[1]AB3!$AW$13),[1]AB3!$AW$13,IF(AND(D62="Options Buy",AQ61=[1]AB3!$AW$19),[1]AB3!$AW$19,I60)))</f>
        <v>0</v>
      </c>
      <c r="AS61" s="52">
        <f t="shared" si="91"/>
        <v>3</v>
      </c>
      <c r="AT61" s="43" t="str">
        <f t="array" ref="AT61">IF(A60="","",IF(AND(OR(D64="3 &amp; APS",D64="4 &amp; APS",D64="5 &amp; APS"),D62="Futures"),CONCATENATE([1]AB3!$AP$7,INDEX([1]AB2!M:M,MATCH(D60,[1]AB2!B:B,0)),[1]AB3!$AQ$7),IF(AND(OR(D64="3 &amp; APS",D64="4 &amp; APS",D64="5 &amp; APS"),D62="Options Sell"),CONCATENATE([1]AB3!$AP$13,INDEX([1]AB2!L:L,MATCH(D60,[1]AB2!B:B,0)),[1]AB3!$AQ$13),IF(AND(OR(D64="3 &amp; APS",D64="4 &amp; APS",D64="5 &amp; APS"),D62="Options Buy"),CONCATENATE([1]AB3!$AP$19,INDEX([1]AB2!M:M,MATCH(D60,[1]AB2!B:B,0)),[1]AB3!$AQ$19),[1]AB3!$AR$6))))</f>
        <v>FUT : PRV : 2DHH</v>
      </c>
      <c r="AU61" s="51">
        <f>IF(AND(D62="Futures",AT61=[1]AB3!$AY$7),[1]AB3!$AY$7,IF(AND(D62="Options Sell",AT61=[1]AB3!$AY$13),[1]AB3!$AY$13,IF(AND(D62="Options Buy",AT61=[1]AB3!$AY$19),[1]AB3!$AY$19,I60)))</f>
        <v>0</v>
      </c>
      <c r="AV61" s="52">
        <f t="shared" si="92"/>
        <v>2</v>
      </c>
      <c r="AW61" s="43" t="str">
        <f t="array" ref="AW61">IF(A60="","",IF(AND(OR(D64="4 &amp; APS",D64="5 &amp; APS"),D62="Futures"),CONCATENATE([1]AB3!$AP$7,INDEX([1]AB2!M:M,MATCH(D60,[1]AB2!B:B,0)),[1]AB3!$AQ$7),IF(AND(OR(D64="4 &amp; APS",D64="5 &amp; APS"),D62="Options Sell"),CONCATENATE([1]AB3!$AP$13,INDEX([1]AB2!L:L,MATCH(D60,[1]AB2!B:B,0)),[1]AB3!$AQ$13),IF(AND(OR(D64="4 &amp; APS",D64="5 &amp; APS"),D62="Options Buy"),CONCATENATE([1]AB3!$AP$19,INDEX([1]AB2!M:M,MATCH(D60,[1]AB2!B:B,0)),[1]AB3!$AQ$19),[1]AB3!$AR$6))))</f>
        <v>FUT : PRV : 2DHH</v>
      </c>
      <c r="AX61" s="51">
        <f>IF(AND(D62="Futures",AW61=[1]AB3!$BA$7),[1]AB3!$BA$7,IF(AND(D62="Options Sell",AW61=[1]AB3!$BA$13),[1]AB3!$BA$13,IF(AND(D62="Options Buy",AW61=[1]AB3!$BA$19),[1]AB3!$BA$19,I60)))</f>
        <v>0</v>
      </c>
      <c r="AY61" s="52">
        <f t="shared" si="93"/>
        <v>1</v>
      </c>
      <c r="AZ61" s="51">
        <f t="array" ref="AZ61">IF(A60="","",IF(AND(D64="5 &amp; APS",D62="Futures"),CONCATENATE([1]AB3!$AP$7,INDEX([1]AB2!M:M,MATCH(D60,[1]AB2!B:B,0)),[1]AB3!$AQ$7),IF(AND(D64="5 &amp; APS",D62="Options Sell"),CONCATENATE([1]AB3!$AP$13,INDEX([1]AB2!L:L,MATCH(D60,[1]AB2!B:B,0)),[1]AB3!$AQ$13),IF(AND(D64="5 &amp; APS",D62="Options Buy"),CONCATENATE([1]AB3!$AP$19,INDEX([1]AB2!M:M,MATCH(D60,[1]AB2!B:B,0)),[1]AB3!$AQ$19),[1]AB3!$AR$6))))</f>
        <v>0</v>
      </c>
      <c r="BA61" s="51">
        <f>IF(AND(D62="Futures",AZ61=[1]AB3!$BC$7),[1]AB3!$BC$7,IF(AND(D62="Options Sell",AZ61=[1]AB3!$BC$13),[1]AB3!$BC$13,IF(AND(D62="Options Buy",AZ61=[1]AB3!$BC$19),[1]AB3!$BC$19,I60)))</f>
        <v>0</v>
      </c>
      <c r="BB61" s="52">
        <f t="shared" si="94"/>
        <v>0</v>
      </c>
      <c r="BC61" s="53"/>
      <c r="BD61" s="54" t="str">
        <f>IF(D62="Futures",[1]AB3!$BE$7,IF(D62="Options Sell",[1]AB3!$BE$13,IF(D62="Options Buy",[1]AB3!$BE$19)))</f>
        <v xml:space="preserve"> RC. Time</v>
      </c>
      <c r="BE61" s="55">
        <f>IF(D62="Futures",BE63+([1]AB3!$BF$7/1440),IF(D62="Options Sell",BE63+([1]AB3!$BF$13/1440),IF(D62="Options Buy",BE63+([1]AB3!$BF$19/1440))))</f>
        <v>0.38540972222222225</v>
      </c>
      <c r="BF61" s="55">
        <f>IF(D62="Futures",BE63+([1]AB3!$BG$7/1440),IF(D62="Options Sell",BE63+([1]AB3!$BG$13/1440),IF(D62="Options Buy",BE63+([1]AB3!$BG$19/1440))))</f>
        <v>0.38540972222222225</v>
      </c>
      <c r="BG61" s="55" t="str">
        <f>IF(D62="Futures",[1]AB3!$BH$7,IF(D62="Options Sell",[1]AB3!$BH$7,IF(D62="Options Buy",[1]AB3!$BH$7)))</f>
        <v>N.A.</v>
      </c>
      <c r="BH61" s="57"/>
      <c r="BI61" s="32"/>
      <c r="BJ61" s="61" t="str">
        <f>IF(D62="Futures",[1]AB3!$BK$7,IF(D62="Options Sell",[1]AB3!$BK$13,IF(D62="Options Buy",[1]AB3!$BK$19)))</f>
        <v>Short</v>
      </c>
      <c r="BK61" s="46">
        <v>1E-3</v>
      </c>
      <c r="BL61" s="46">
        <v>1E-3</v>
      </c>
      <c r="BM61" s="57"/>
      <c r="BN61" s="32"/>
      <c r="BO61" s="61" t="str">
        <f>IF(D62="Futures",[1]AB3!$BP$7,IF(D62="Options Sell",[1]AB3!$BP$13,IF(D62="Options Buy",[1]AB3!$BP$19)))</f>
        <v>Put</v>
      </c>
      <c r="BP61" s="43" t="str">
        <f t="array" ref="BP61">IF(A60="","",IF(D62="Futures","",IF(D62="EQUITY","",IF(D62="Options Sell",CONCATENATE([1]AB3!$BQ$13,INDEX([1]AB2!I:I,MATCH(A60,[1]AB2!A:A,0)),[1]AB3!$BR$13),IF(D62="Options Buy",CONCATENATE([1]AB3!$BQ$19,INDEX([1]AB2!I:I,MATCH(A60,[1]AB2!A:A,0)),[1]AB3!$BR$19))))))</f>
        <v/>
      </c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9"/>
      <c r="CL61" s="43"/>
      <c r="CM61" s="43"/>
      <c r="CN61" s="59"/>
      <c r="CO61" s="43"/>
      <c r="CP61" s="43"/>
      <c r="CQ61" s="59"/>
      <c r="CR61" s="43"/>
      <c r="CS61" s="43"/>
      <c r="CT61" s="59"/>
      <c r="CU61" s="43"/>
      <c r="CV61" s="59"/>
      <c r="CW61" s="59"/>
    </row>
    <row r="62" spans="1:101" ht="16.5" customHeight="1" x14ac:dyDescent="0.2">
      <c r="A62" s="60"/>
      <c r="B62" s="41" t="str">
        <f>CONCATENATE(D60,IF(D62="Futures",[1]AB3!$B$8,IF(D62="Options Sell",[1]AB3!$B$14,IF(D62="Options Buy",[1]AB3!$B$20))))</f>
        <v>S10C</v>
      </c>
      <c r="C62" s="42" t="str">
        <f>IF(D62="Futures",[1]AB3!$C$8,IF(D62="Options Sell",[1]AB3!$C$14,IF(D62="Options Buy",[1]AB3!$C$20)))</f>
        <v>Segment</v>
      </c>
      <c r="D62" s="43" t="str">
        <f t="array" ref="D62">IF(A60="","",INDEX([1]AB2!C:C,MATCH(D60,[1]AB2!B:B,0)))</f>
        <v>FUTURES</v>
      </c>
      <c r="E62" s="42" t="str">
        <f>IF(D62="Futures",[1]AB3!$E$8,IF(D62="Options Sell",[1]AB3!$E$14,IF(D62="Options Buy",[1]AB3!$E$20)))</f>
        <v>Contract</v>
      </c>
      <c r="F62" s="43" t="str">
        <f t="array" ref="F62">IF(A60="","",INDEX([1]AB2!F:F,MATCH(D60,[1]AB2!B:B,0)))</f>
        <v>MONTHLY</v>
      </c>
      <c r="G62" s="62"/>
      <c r="H62" s="62"/>
      <c r="I62" s="63"/>
      <c r="J62" s="64"/>
      <c r="K62" s="48"/>
      <c r="L62" s="62"/>
      <c r="M62" s="62"/>
      <c r="N62" s="63"/>
      <c r="O62" s="64"/>
      <c r="P62" s="63"/>
      <c r="Q62" s="64"/>
      <c r="R62" s="63"/>
      <c r="S62" s="64"/>
      <c r="T62" s="63"/>
      <c r="U62" s="64"/>
      <c r="V62" s="63"/>
      <c r="W62" s="64"/>
      <c r="X62" s="63"/>
      <c r="Y62" s="63"/>
      <c r="Z62" s="48"/>
      <c r="AA62" s="62"/>
      <c r="AB62" s="62"/>
      <c r="AC62" s="62"/>
      <c r="AD62" s="48"/>
      <c r="AE62" s="62"/>
      <c r="AF62" s="62"/>
      <c r="AG62" s="63"/>
      <c r="AH62" s="63"/>
      <c r="AI62" s="48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53"/>
      <c r="BD62" s="57"/>
      <c r="BE62" s="57"/>
      <c r="BF62" s="57"/>
      <c r="BG62" s="57"/>
      <c r="BH62" s="57"/>
      <c r="BI62" s="66"/>
      <c r="BJ62" s="62"/>
      <c r="BK62" s="63"/>
      <c r="BL62" s="63"/>
      <c r="BM62" s="57"/>
      <c r="BN62" s="66"/>
      <c r="BO62" s="62"/>
      <c r="BP62" s="62"/>
      <c r="BQ62" s="62"/>
      <c r="BR62" s="62"/>
      <c r="BS62" s="62"/>
      <c r="BT62" s="62"/>
      <c r="BU62" s="62"/>
      <c r="BV62" s="62"/>
      <c r="BW62" s="62"/>
      <c r="BX62" s="62"/>
      <c r="BY62" s="62"/>
      <c r="BZ62" s="62"/>
      <c r="CA62" s="62"/>
      <c r="CB62" s="62"/>
      <c r="CC62" s="62"/>
      <c r="CD62" s="62"/>
      <c r="CE62" s="62"/>
      <c r="CF62" s="62"/>
      <c r="CG62" s="62"/>
      <c r="CH62" s="62"/>
      <c r="CI62" s="62"/>
      <c r="CJ62" s="62"/>
      <c r="CK62" s="59"/>
      <c r="CL62" s="62"/>
      <c r="CM62" s="62"/>
      <c r="CN62" s="59"/>
      <c r="CO62" s="62"/>
      <c r="CP62" s="62"/>
      <c r="CQ62" s="59"/>
      <c r="CR62" s="62"/>
      <c r="CS62" s="62"/>
      <c r="CT62" s="59"/>
      <c r="CU62" s="62"/>
      <c r="CV62" s="59"/>
      <c r="CW62" s="59"/>
    </row>
    <row r="63" spans="1:101" ht="16.5" customHeight="1" x14ac:dyDescent="0.2">
      <c r="A63" s="60"/>
      <c r="B63" s="41" t="str">
        <f>CONCATENATE(D60,IF(D62="Futures",[1]AB3!$B$9,IF(D62="Options Sell",[1]AB3!$B$15,IF(D62="Options Buy",[1]AB3!$B$21))))</f>
        <v>S10D</v>
      </c>
      <c r="C63" s="42" t="str">
        <f>IF(D62="Futures",[1]AB3!$C$9,IF(D62="Options Sell",[1]AB3!$C$15,IF(D62="Options Buy",[1]AB3!$C$21)))</f>
        <v>Symbol</v>
      </c>
      <c r="D63" s="43" t="str">
        <f t="array" ref="D63">IF(A60="","",INDEX([1]AB2!E:E,MATCH(D60,[1]AB2!B:B,0)))</f>
        <v>GOLDM</v>
      </c>
      <c r="E63" s="44" t="str">
        <f>IF(D62="Futures",[1]AB3!$E$9,IF(D62="Options Sell",[1]AB3!$E$15,IF(D62="Options Buy",[1]AB3!$E$21)))</f>
        <v>Bear / 
Bear CF</v>
      </c>
      <c r="F63" s="45" t="str">
        <f>IF(D62="Futures",[1]AB3!$F$9,IF(D62="Options Sell",[1]AB3!$F$15,IF(D62="Options Buy",[1]AB3!$F$21)))</f>
        <v>Long</v>
      </c>
      <c r="G63" s="43" t="str">
        <f t="array" ref="G63">IF(A60="","",IF(D62="Futures",CONCATENATE([1]AB3!$G$9,INDEX([1]AB2!J:J,MATCH(D60,[1]AB2!B:B,0)),[1]AB3!$H$9),IF(D62="Options Sell",CONCATENATE([1]AB3!$G$15,INDEX([1]AB2!I:I,MATCH(D60,[1]AB2!B:B,0)),[1]AB3!$H$15),IF(D62="Options Buy",CONCATENATE([1]AB3!$G$21,INDEX([1]AB2!J:J,MATCH(D60,[1]AB2!B:B,0)),[1]AB3!$H$21)))))</f>
        <v>FUT : PRV : 3DHH</v>
      </c>
      <c r="H63" s="43" t="str">
        <f>IF(D62="Futures",[1]AB3!$I$9,IF(D62="Options Sell",[1]AB3!$I$15,IF(D62="Options Buy",[1]AB3!$I$21)))</f>
        <v xml:space="preserve"> + </v>
      </c>
      <c r="I63" s="46">
        <v>1E-3</v>
      </c>
      <c r="J63" s="47">
        <v>5</v>
      </c>
      <c r="K63" s="48"/>
      <c r="L63" s="43" t="str">
        <f>IF(D62="Futures",[1]AB3!$M$9,IF(D62="Options Sell",[1]AB3!$M$15,IF(D62="Options Buy",[1]AB3!$M$21)))</f>
        <v xml:space="preserve">L : Entry </v>
      </c>
      <c r="M63" s="43" t="str">
        <f>IF(D62="Futures",[1]AB3!$N$9,IF(D62="Options Sell",[1]AB3!$N$15,IF(D62="Options Buy",[1]AB3!$N$21)))</f>
        <v xml:space="preserve"> + </v>
      </c>
      <c r="N63" s="46">
        <v>0.01</v>
      </c>
      <c r="O63" s="47">
        <v>1</v>
      </c>
      <c r="P63" s="46">
        <v>1.4999999999999999E-2</v>
      </c>
      <c r="Q63" s="47">
        <v>1</v>
      </c>
      <c r="R63" s="46">
        <v>0.02</v>
      </c>
      <c r="S63" s="47">
        <v>1</v>
      </c>
      <c r="T63" s="46">
        <v>2.5000000000000001E-2</v>
      </c>
      <c r="U63" s="47">
        <v>1</v>
      </c>
      <c r="V63" s="50" t="s">
        <v>51</v>
      </c>
      <c r="W63" s="47">
        <v>1</v>
      </c>
      <c r="X63" s="50" t="s">
        <v>52</v>
      </c>
      <c r="Y63" s="50" t="s">
        <v>52</v>
      </c>
      <c r="Z63" s="48"/>
      <c r="AA63" s="43" t="str">
        <f>IF(D62="Futures",[1]AB3!$AD$9,IF(D62="Options Sell",[1]AB3!$AD$15,IF(D62="Options Buy",[1]AB3!$AD$21)))</f>
        <v>Max</v>
      </c>
      <c r="AB63" s="43" t="str">
        <f>IF(D62="Futures",[1]AB3!$AE$9,IF(D62="Options Sell",[1]AB3!$AE$15,IF(D62="Options Buy",[1]AB3!$AE$21)))</f>
        <v>MSL &amp; TSL</v>
      </c>
      <c r="AC63" s="43" t="str">
        <f>IF(D62="Futures",[1]AB3!$AF$9,IF(D62="Options Sell",[1]AB3!$AF$15,IF(D62="Options Buy",[1]AB3!$AF$21)))</f>
        <v>Entry &amp; TRP</v>
      </c>
      <c r="AD63" s="48"/>
      <c r="AE63" s="43" t="str">
        <f>IF(D62="Futures",[1]AB3!$AH$9,IF(D62="Options Sell",[1]AB3!$AH$15,IF(D62="Options Buy",[1]AB3!$AH$21)))</f>
        <v>L : Entry</v>
      </c>
      <c r="AF63" s="43" t="str">
        <f>IF(D62="Futures",[1]AB3!$AI$9,IF(D62="Options Sell",[1]AB3!$AI$15,IF(D62="Options Buy",[1]AB3!$AI$21)))</f>
        <v xml:space="preserve"> - </v>
      </c>
      <c r="AG63" s="46">
        <v>0.01</v>
      </c>
      <c r="AH63" s="46">
        <v>0</v>
      </c>
      <c r="AI63" s="48"/>
      <c r="AJ63" s="43" t="str">
        <f>IF(D62="Futures",[1]AB3!$AO$9,IF(D62="Options Sell",[1]AB3!$AO$15,IF(D62="Options Buy",[1]AB3!$AO$21)))</f>
        <v xml:space="preserve"> - </v>
      </c>
      <c r="AK63" s="43" t="str">
        <f t="array" ref="AK63">IF(A60="","",IF(D62="Futures",CONCATENATE([1]AB3!$AP$9,INDEX([1]AB2!M:M,MATCH(D60,[1]AB2!B:B,0)),[1]AB3!$AQ$9),IF(D62="Options Sell",CONCATENATE([1]AB3!$AP$15,INDEX([1]AB2!L:L,MATCH(D60,[1]AB2!B:B,0)),[1]AB3!$AQ$15),IF(D62="Options Buy",CONCATENATE([1]AB3!$AP$21,INDEX([1]AB2!M:M,MATCH(D60,[1]AB2!B:B,0)),[1]AB3!$AQ$21)))))</f>
        <v>FUT : PRV : 2DLL</v>
      </c>
      <c r="AL63" s="51">
        <f>IF(AND(D62="Futures",AK63=[1]AB3!$AS$9),[1]AB3!$AS$9,IF(AND(D62="Options Sell",AK63=[1]AB3!$AS$15),[1]AB3!$AS$15,IF(AND(D62="Options Buy",AK63=[1]AB3!$AS$21),[1]AB3!$AS$21,I64)))</f>
        <v>0</v>
      </c>
      <c r="AM63" s="52">
        <f>J64</f>
        <v>5</v>
      </c>
      <c r="AN63" s="43" t="str">
        <f t="array" ref="AN63">IF(A60="","",IF(AND(OR(D64="1 &amp; APS",D64="2 &amp; APS",D64="3 &amp; APS",D64="4 &amp; APS",D64="5 &amp; APS"),D62="Futures"),CONCATENATE([1]AB3!$AP$9,INDEX([1]AB2!M:M,MATCH(D60,[1]AB2!B:B,0)),[1]AB3!$AQ$9),IF(AND(OR(D64="1 &amp; APS",D64="2 &amp; APS",D64="3 &amp; APS",D64="4 &amp; APS",D64="5 &amp; APS"),D62="Options Sell"),CONCATENATE([1]AB3!$AP$15,INDEX([1]AB2!L:L,MATCH(D60,[1]AB2!B:B,0)),[1]AB3!$AQ$15),IF(AND(OR(D64="1 &amp; APS",D64="2 &amp; APS",D64="3 &amp; APS",D64="4 &amp; APS",D64="5 &amp; APS"),D62="Options Buy"),CONCATENATE([1]AB3!$AP$21,INDEX([1]AB2!M:M,MATCH(D60,[1]AB2!B:B,0)),[1]AB3!$AQ$21),[1]AB3!$AR$6))))</f>
        <v>FUT : PRV : 2DLL</v>
      </c>
      <c r="AO63" s="51">
        <f>IF(AND(D62="Futures",AN63=[1]AB3!$AU$9),[1]AB3!$AU$9,IF(AND(D62="Options Sell",AN63=[1]AB3!$AU$15),[1]AB3!$AU$15,IF(AND(D62="Options Buy",AN63=[1]AB3!$AU$21),[1]AB3!$AU$21,I64)))</f>
        <v>0</v>
      </c>
      <c r="AP63" s="52">
        <f t="shared" ref="AP63:AP64" si="95">AM63-O63</f>
        <v>4</v>
      </c>
      <c r="AQ63" s="43" t="str">
        <f t="array" ref="AQ63">IF(A60="","",IF(AND(OR(D64="2 &amp; APS",D64="3 &amp; APS",D64="4 &amp; APS",D64="5 &amp; APS"),D62="Futures"),CONCATENATE([1]AB3!$AP$9,INDEX([1]AB2!M:M,MATCH(D60,[1]AB2!B:B,0)),[1]AB3!$AQ$9),IF(AND(OR(D64="2 &amp; APS",D64="3 &amp; APS",D64="4 &amp; APS",D64="5 &amp; APS"),D62="Options Sell"),CONCATENATE([1]AB3!$AP$15,INDEX([1]AB2!L:L,MATCH(D60,[1]AB2!B:B,0)),[1]AB3!$AQ$15),IF(AND(OR(D64="2 &amp; APS",D64="3 &amp; APS",D64="4 &amp; APS",D64="5 &amp; APS"),D62="Options Buy"),CONCATENATE([1]AB3!$AP$21,INDEX([1]AB2!M:M,MATCH(D60,[1]AB2!B:B,0)),[1]AB3!$AQ$21),[1]AB3!$AR$6))))</f>
        <v>FUT : PRV : 2DLL</v>
      </c>
      <c r="AR63" s="51">
        <f>IF(AND(D62="Futures",AQ63=[1]AB3!$AW$9),[1]AB3!$AW$9,IF(AND(D62="Options Sell",AQ63=[1]AB3!$AW$15),[1]AB3!$AW$15,IF(AND(D62="Options Buy",AQ63=[1]AB3!$AW$21),[1]AB3!$AW$21,I64)))</f>
        <v>0</v>
      </c>
      <c r="AS63" s="52">
        <f t="shared" ref="AS63:AS64" si="96">AP63-Q63</f>
        <v>3</v>
      </c>
      <c r="AT63" s="43" t="str">
        <f t="array" ref="AT63">IF(A60="","",IF(AND(OR(D64="3 &amp; APS",D64="4 &amp; APS",D64="5 &amp; APS"),D62="Futures"),CONCATENATE([1]AB3!$AP$9,INDEX([1]AB2!M:M,MATCH(D60,[1]AB2!B:B,0)),[1]AB3!$AQ$9),IF(AND(OR(D64="3 &amp; APS",D64="4 &amp; APS",D64="5 &amp; APS"),D62="Options Sell"),CONCATENATE([1]AB3!$AP$15,INDEX([1]AB2!L:L,MATCH(D60,[1]AB2!B:B,0)),[1]AB3!$AQ$15),IF(AND(OR(D64="3 &amp; APS",D64="4 &amp; APS",D64="5 &amp; APS"),D62="Options Buy"),CONCATENATE([1]AB3!$AP$21,INDEX([1]AB2!M:M,MATCH(D60,[1]AB2!B:B,0)),[1]AB3!$AQ$21),[1]AB3!$AR$6))))</f>
        <v>FUT : PRV : 2DLL</v>
      </c>
      <c r="AU63" s="51">
        <f>IF(AND(D62="Futures",AT63=[1]AB3!$AY$9),[1]AB3!$AY$9,IF(AND(D62="Options Sell",AT63=[1]AB3!$AY$15),[1]AB3!$AY$15,IF(AND(D62="Options Buy",AT63=[1]AB3!$AY$21),[1]AB3!$AY$21,I64)))</f>
        <v>0</v>
      </c>
      <c r="AV63" s="52">
        <f t="shared" ref="AV63:AV64" si="97">AS63-S63</f>
        <v>2</v>
      </c>
      <c r="AW63" s="43" t="str">
        <f t="array" ref="AW63">IF(A60="","",IF(AND(OR(D64="4 &amp; APS",D64="5 &amp; APS"),D62="Futures"),CONCATENATE([1]AB3!$AP$9,INDEX([1]AB2!M:M,MATCH(D60,[1]AB2!B:B,0)),[1]AB3!$AQ$9),IF(AND(OR(D64="4 &amp; APS",D64="5 &amp; APS"),D62="Options Sell"),CONCATENATE([1]AB3!$AP$15,INDEX([1]AB2!L:L,MATCH(D60,[1]AB2!B:B,0)),[1]AB3!$AQ$15),IF(AND(OR(D64="4 &amp; APS",D64="5 &amp; APS"),D62="Options Buy"),CONCATENATE([1]AB3!$AP$21,INDEX([1]AB2!M:M,MATCH(D60,[1]AB2!B:B,0)),[1]AB3!$AQ$21),[1]AB3!$AR$6))))</f>
        <v>FUT : PRV : 2DLL</v>
      </c>
      <c r="AX63" s="51">
        <f>IF(AND(D62="Futures",AW63=[1]AB3!$BA$9),[1]AB3!$BA$9,IF(AND(D62="Options Sell",AW63=[1]AB3!$BA$15),[1]AB3!$BA$15,IF(AND(D62="Options Buy",AW63=[1]AB3!$BA$21),[1]AB3!$BA$21,I64)))</f>
        <v>0</v>
      </c>
      <c r="AY63" s="52">
        <f t="shared" ref="AY63:AY64" si="98">AV63-S63</f>
        <v>1</v>
      </c>
      <c r="AZ63" s="51">
        <f t="array" ref="AZ63">IF(A60="","",IF(AND(D64="5 &amp; APS",D62="Futures"),CONCATENATE([1]AB3!$AP$9,INDEX([1]AB2!M:M,MATCH(D60,[1]AB2!B:B,0)),[1]AB3!$AQ$9),IF(AND(D64="5 &amp; APS",D62="Options Sell"),CONCATENATE([1]AB3!$AP$15,INDEX([1]AB2!L:L,MATCH(D60,[1]AB2!B:B,0)),[1]AB3!$AQ$15),IF(AND(D64="5 &amp; APS",D62="Options Buy"),CONCATENATE([1]AB3!$AP$21,INDEX([1]AB2!M:M,MATCH(D60,[1]AB2!B:B,0)),[1]AB3!$AQ$21),[1]AB3!$AR$6))))</f>
        <v>0</v>
      </c>
      <c r="BA63" s="51">
        <f>IF(AND(D62="Futures",AZ63=[1]AB3!$BC$9),[1]AB3!$BC$9,IF(AND(D62="Options Sell",AZ63=[1]AB3!$BC$15),[1]AB3!$BC$15,IF(AND(D62="Options Buy",AZ63=[1]AB3!$BC$21),[1]AB3!$BC$21,I64)))</f>
        <v>0</v>
      </c>
      <c r="BB63" s="52">
        <f t="shared" ref="BB63:BB64" si="99">AY63-W63</f>
        <v>0</v>
      </c>
      <c r="BC63" s="53"/>
      <c r="BD63" s="54" t="str">
        <f>IF(D62="Futures",[1]AB3!$BE$9,IF(D62="Options Sell",[1]AB3!$BE$15,IF(D62="Options Buy",[1]AB3!$BE$21)))</f>
        <v>Market Start Time</v>
      </c>
      <c r="BE63" s="67">
        <f t="array" ref="BE63">IF(D60="","",INDEX([1]AB2!AG:AG,MATCH(D60,[1]AB2!B:B,0)))</f>
        <v>0.375</v>
      </c>
      <c r="BF63" s="11"/>
      <c r="BG63" s="12"/>
      <c r="BH63" s="57"/>
      <c r="BI63" s="68" t="str">
        <f>IF(D62="Futures",[1]AB3!$BJ$9,IF(D62="Options Sell",[1]AB3!$BJ$15,IF(D62="Options Buy",[1]AB3!$BJ$21)))</f>
        <v>Bear / 
Bear CF</v>
      </c>
      <c r="BJ63" s="45" t="str">
        <f>IF(D62="Futures",[1]AB3!$BK$9,IF(D62="Options Sell",[1]AB3!$BK$15,IF(D62="Options Buy",[1]AB3!$BK$21)))</f>
        <v>Long</v>
      </c>
      <c r="BK63" s="46">
        <v>1E-3</v>
      </c>
      <c r="BL63" s="46">
        <v>1E-3</v>
      </c>
      <c r="BM63" s="57"/>
      <c r="BN63" s="68" t="str">
        <f>IF(D62="Futures",[1]AB3!$BO$9,IF(D62="Options Sell",[1]AB3!$BO$15,IF(D62="Options Buy",[1]AB3!$BO$21)))</f>
        <v>Bear | 
Bear CF</v>
      </c>
      <c r="BO63" s="45" t="str">
        <f>IF(D62="Futures",[1]AB3!$BP$9,IF(D62="Options Sell",[1]AB3!$BP$15,IF(D62="Options Buy",[1]AB3!$BP$21)))</f>
        <v>Call</v>
      </c>
      <c r="BP63" s="43" t="str">
        <f t="array" ref="BP63">IF(A60="","",IF(D62="Futures","",IF(D62="EQUITY","",IF(D62="Options Sell",CONCATENATE([1]AB3!$BQ$15,INDEX([1]AB2!I:I,MATCH(A60,[1]AB2!A:A,0)),[1]AB3!$BR$15),IF(D62="Options Buy",CONCATENATE([1]AB3!$BQ$21,INDEX([1]AB2!I:I,MATCH(A60,[1]AB2!A:A,0)),[1]AB3!$BR$21))))))</f>
        <v/>
      </c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9"/>
      <c r="CL63" s="43"/>
      <c r="CM63" s="43"/>
      <c r="CN63" s="59"/>
      <c r="CO63" s="43"/>
      <c r="CP63" s="43"/>
      <c r="CQ63" s="59"/>
      <c r="CR63" s="43"/>
      <c r="CS63" s="43"/>
      <c r="CT63" s="59"/>
      <c r="CU63" s="43"/>
      <c r="CV63" s="59"/>
      <c r="CW63" s="59"/>
    </row>
    <row r="64" spans="1:101" ht="16.5" customHeight="1" x14ac:dyDescent="0.2">
      <c r="A64" s="32"/>
      <c r="B64" s="41" t="str">
        <f>CONCATENATE(D60,IF(D62="Futures",[1]AB3!$B$10,IF(D62="Options Sell",[1]AB3!$B$16,IF(D62="Options Buy",[1]AB3!$B$22))))</f>
        <v>S10E</v>
      </c>
      <c r="C64" s="42" t="str">
        <f>IF(D62="Futures",[1]AB3!$C$10,IF(D62="Options Sell",[1]AB3!$C$16,IF(D62="Options Buy",[1]AB3!$C$22)))</f>
        <v>No. of Targets</v>
      </c>
      <c r="D64" s="43" t="str">
        <f t="array" ref="D64">IF(A60="","",INDEX([1]AB2!K:K,MATCH(D60,[1]AB2!B:B,0)))</f>
        <v>4 &amp; APS</v>
      </c>
      <c r="E64" s="32"/>
      <c r="F64" s="61" t="str">
        <f>IF(D62="Futures",[1]AB3!$F$10,IF(D62="Options Sell",[1]AB3!$F$16,IF(D62="Options Buy",[1]AB3!$F$22)))</f>
        <v>Short</v>
      </c>
      <c r="G64" s="43" t="str">
        <f t="array" ref="G64">(IF(A60="","",IF(D62="Futures",CONCATENATE([1]AB3!$G$10,INDEX([1]AB2!I:I,MATCH(D60,[1]AB2!B:B,0)),[1]AB3!$H$10),IF(D62="Options Sell",CONCATENATE([1]AB3!$G$16,INDEX([1]AB2!J:J,MATCH(D60,[1]AB2!B:B,0)),[1]AB3!$H$16),IF(D62="Options Buy",CONCATENATE([1]AB3!$G$22,INDEX([1]AB2!I:I,MATCH(D60,[1]AB2!B:B,0)),[1]AB3!$H$22))))))</f>
        <v>FUT : PRV : 2DLL</v>
      </c>
      <c r="H64" s="43" t="str">
        <f>IF(D62="Futures",[1]AB3!$I$10,IF(D62="Options Sell",[1]AB3!$I$16,IF(D62="Options Buy",[1]AB3!$I$22)))</f>
        <v xml:space="preserve"> - </v>
      </c>
      <c r="I64" s="46">
        <v>0</v>
      </c>
      <c r="J64" s="47">
        <v>5</v>
      </c>
      <c r="K64" s="48"/>
      <c r="L64" s="43" t="str">
        <f>IF(D62="Futures",[1]AB3!$M$10,IF(D62="Options Sell",[1]AB3!$M$16,IF(D62="Options Buy",[1]AB3!$M$22)))</f>
        <v xml:space="preserve">S : Entry </v>
      </c>
      <c r="M64" s="43" t="str">
        <f>IF(D62="Futures",[1]AB3!$N$10,IF(D62="Options Sell",[1]AB3!$N$16,IF(D62="Options Buy",[1]AB3!$N$22)))</f>
        <v xml:space="preserve"> - </v>
      </c>
      <c r="N64" s="46">
        <v>0.01</v>
      </c>
      <c r="O64" s="47">
        <v>1</v>
      </c>
      <c r="P64" s="46">
        <v>1.4999999999999999E-2</v>
      </c>
      <c r="Q64" s="47">
        <v>1</v>
      </c>
      <c r="R64" s="46">
        <v>0.02</v>
      </c>
      <c r="S64" s="47">
        <v>1</v>
      </c>
      <c r="T64" s="46">
        <v>2.5000000000000001E-2</v>
      </c>
      <c r="U64" s="47">
        <v>1</v>
      </c>
      <c r="V64" s="50" t="s">
        <v>51</v>
      </c>
      <c r="W64" s="47">
        <v>1</v>
      </c>
      <c r="X64" s="50" t="s">
        <v>52</v>
      </c>
      <c r="Y64" s="50" t="s">
        <v>52</v>
      </c>
      <c r="Z64" s="48"/>
      <c r="AA64" s="43" t="str">
        <f>IF(D62="Futures",[1]AB3!$AD$10,IF(D62="Options Sell",[1]AB3!$AD$16,IF(D62="Options Buy",[1]AB3!$AD$22)))</f>
        <v>Min</v>
      </c>
      <c r="AB64" s="43" t="str">
        <f>IF(D62="Futures",[1]AB3!$AE$10,IF(D62="Options Sell",[1]AB3!$AE$16,IF(D62="Options Buy",[1]AB3!$AE$22)))</f>
        <v>MSL &amp; TSL</v>
      </c>
      <c r="AC64" s="43" t="str">
        <f>IF(D62="Futures",[1]AB3!$AF$10,IF(D62="Options Sell",[1]AB3!$AF$16,IF(D62="Options Buy",[1]AB3!$AF$22)))</f>
        <v>Entry &amp; TRP</v>
      </c>
      <c r="AD64" s="48"/>
      <c r="AE64" s="43" t="str">
        <f>IF(D62="Futures",[1]AB3!$AH$10,IF(D62="Options Sell",[1]AB3!$AH$16,IF(D62="Options Buy",[1]AB3!$AH$22)))</f>
        <v>S : Entry</v>
      </c>
      <c r="AF64" s="43" t="str">
        <f>IF(D62="Futures",[1]AB3!$AI$10,IF(D62="Options Sell",[1]AB3!$AI$16,IF(D62="Options Buy",[1]AB3!$AI$22)))</f>
        <v xml:space="preserve"> + </v>
      </c>
      <c r="AG64" s="46">
        <v>0.01</v>
      </c>
      <c r="AH64" s="46">
        <v>0</v>
      </c>
      <c r="AI64" s="48"/>
      <c r="AJ64" s="43" t="str">
        <f>IF(D62="Futures",[1]AB3!$AO$10,IF(D62="Options Sell",[1]AB3!$AO$16,IF(D62="Options Buy",[1]AB3!$AO$22)))</f>
        <v xml:space="preserve"> + </v>
      </c>
      <c r="AK64" s="43" t="str">
        <f t="array" ref="AK64">IF(A60="","",IF(D62="Futures",CONCATENATE([1]AB3!$AP$10,INDEX([1]AB2!L:L,MATCH(D60,[1]AB2!B:B,0)),[1]AB3!$AQ$10),IF(D62="Options Sell",CONCATENATE([1]AB3!$AP$16,INDEX([1]AB2!M:M,MATCH(D60,[1]AB2!B:B,0)),[1]AB3!$AQ$16),IF(D62="Options Buy",CONCATENATE([1]AB3!$AP$22,INDEX([1]AB2!L:L,MATCH(D60,[1]AB2!B:B,0)),[1]AB3!$AQ$22)))))</f>
        <v>FUT : PRV : 3DHH</v>
      </c>
      <c r="AL64" s="51">
        <f>IF(AND(D62="Futures",AK64=[1]AB3!$AS$10),[1]AB3!$AS$10,IF(AND(D62="Options Sell",AK64=[1]AB3!$AS$16),[1]AB3!$AS$16,IF(AND(D62="Options Buy",AK64=[1]AB3!$AS$22),[1]AB3!$AS$22,I63)))</f>
        <v>1E-3</v>
      </c>
      <c r="AM64" s="52">
        <f>J63</f>
        <v>5</v>
      </c>
      <c r="AN64" s="43" t="str">
        <f t="array" ref="AN64">IF(A60="","",IF(AND(OR(D64="1 &amp; APS",D64="2 &amp; APS",D64="3 &amp; APS",D64="4 &amp; APS",D64="5 &amp; APS"),D62="Futures"),CONCATENATE([1]AB3!$AP$10,INDEX([1]AB2!L:L,MATCH(D60,[1]AB2!B:B,0)),[1]AB3!$AQ$10),IF(AND(OR(D64="1 &amp; APS",D64="2 &amp; APS",D64="3 &amp; APS",D64="4 &amp; APS",D64="5 &amp; APS"),D62="Options Sell"),CONCATENATE([1]AB3!$AP$16,INDEX([1]AB2!M:M,MATCH(D60,[1]AB2!B:B,0)),[1]AB3!$AQ$16),IF(AND(OR(D64="1 &amp; APS",D64="2 &amp; APS",D64="3 &amp; APS",D64="4 &amp; APS",D64="5 &amp; APS"),D62="Options Buy"),CONCATENATE([1]AB3!$AP$22,INDEX([1]AB2!L:L,MATCH(D60,[1]AB2!B:B,0)),[1]AB3!$AQ$22),[1]AB3!$AR$6))))</f>
        <v>FUT : PRV : 3DHH</v>
      </c>
      <c r="AO64" s="51">
        <f>IF(AND(D62="Futures",AN64=[1]AB3!$AU$10),[1]AB3!$AU$10,IF(AND(D62="Options Sell",AN64=[1]AB3!$AU$16),[1]AB3!$AU$16,IF(AND(D62="Options Buy",AN64=[1]AB3!$AU$22),[1]AB3!$AU$22,I63)))</f>
        <v>1E-3</v>
      </c>
      <c r="AP64" s="52">
        <f t="shared" si="95"/>
        <v>4</v>
      </c>
      <c r="AQ64" s="43" t="str">
        <f t="array" ref="AQ64">IF(A60="","",IF(AND(OR(D64="2 &amp; APS",D64="3 &amp; APS",D64="4 &amp; APS",D64="5 &amp; APS"),D62="Futures"),CONCATENATE([1]AB3!$AP$10,INDEX([1]AB2!L:L,MATCH(D60,[1]AB2!B:B,0)),[1]AB3!$AQ$10),IF(AND(OR(D64="2 &amp; APS",D64="3 &amp; APS",D64="4 &amp; APS",D64="5 &amp; APS"),D62="Options Sell"),CONCATENATE([1]AB3!$AP$16,INDEX([1]AB2!M:M,MATCH(D60,[1]AB2!B:B,0)),[1]AB3!$AQ$16),IF(AND(OR(D64="2 &amp; APS",D64="3 &amp; APS",D64="4 &amp; APS",D64="5 &amp; APS"),D62="Options Buy"),CONCATENATE([1]AB3!$AP$22,INDEX([1]AB2!L:L,MATCH(D60,[1]AB2!B:B,0)),[1]AB3!$AQ$22),[1]AB3!$AR$6))))</f>
        <v>FUT : PRV : 3DHH</v>
      </c>
      <c r="AR64" s="51">
        <f>IF(AND(D62="Futures",AQ64=[1]AB3!$AW$10),[1]AB3!$AW$10,IF(AND(D62="Options Sell",AQ64=[1]AB3!$AW$16),[1]AB3!$AW$16,IF(AND(D62="Options Buy",AQ64=[1]AB3!$AW$22),[1]AB3!$AW$22,I63)))</f>
        <v>1E-3</v>
      </c>
      <c r="AS64" s="52">
        <f t="shared" si="96"/>
        <v>3</v>
      </c>
      <c r="AT64" s="43" t="str">
        <f t="array" ref="AT64">IF(A60="","",IF(AND(OR(D64="3 &amp; APS",D64="4 &amp; APS",D64="5 &amp; APS"),D62="Futures"),CONCATENATE([1]AB3!$AP$10,INDEX([1]AB2!L:L,MATCH(D60,[1]AB2!B:B,0)),[1]AB3!$AQ$10),IF(AND(OR(D64="3 &amp; APS",D64="4 &amp; APS",D64="5 &amp; APS"),D62="Options Sell"),CONCATENATE([1]AB3!$AP$16,INDEX([1]AB2!M:M,MATCH(D60,[1]AB2!B:B,0)),[1]AB3!$AQ$16),IF(AND(OR(D64="3 &amp; APS",D64="4 &amp; APS",D64="5 &amp; APS"),D62="Options Buy"),CONCATENATE([1]AB3!$AP$22,INDEX([1]AB2!L:L,MATCH(D60,[1]AB2!B:B,0)),[1]AB3!$AQ$22),[1]AB3!$AR$6))))</f>
        <v>FUT : PRV : 3DHH</v>
      </c>
      <c r="AU64" s="51">
        <f>IF(AND(D62="Futures",AT64=[1]AB3!$AY$10),[1]AB3!$AY$10,IF(AND(D62="Options Sell",AT64=[1]AB3!$AY$16),[1]AB3!$AY$16,IF(AND(D62="Options Buy",AT64=[1]AB3!$AY$22),[1]AB3!$AY$22,I63)))</f>
        <v>1E-3</v>
      </c>
      <c r="AV64" s="52">
        <f t="shared" si="97"/>
        <v>2</v>
      </c>
      <c r="AW64" s="43" t="str">
        <f t="array" ref="AW64">IF(A60="","",IF(AND(OR(D64="4 &amp; APS",D64="5 &amp; APS"),D62="Futures"),CONCATENATE([1]AB3!$AP$10,INDEX([1]AB2!L:L,MATCH(D60,[1]AB2!B:B,0)),[1]AB3!$AQ$10),IF(AND(OR(D64="4 &amp; APS",D64="5 &amp; APS"),D62="Options Sell"),CONCATENATE([1]AB3!$AP$16,INDEX([1]AB2!M:M,MATCH(D60,[1]AB2!B:B,0)),[1]AB3!$AQ$16),IF(AND(OR(D64="4 &amp; APS",D64="5 &amp; APS"),D62="Options Buy"),CONCATENATE([1]AB3!$AP$22,INDEX([1]AB2!L:L,MATCH(D60,[1]AB2!B:B,0)),[1]AB3!$AQ$22),[1]AB3!$AR$6))))</f>
        <v>FUT : PRV : 3DHH</v>
      </c>
      <c r="AX64" s="51">
        <f>IF(AND(D62="Futures",AW64=[1]AB3!$BA$10),[1]AB3!$BA$10,IF(AND(D62="Options Sell",AW64=[1]AB3!$BA$16),[1]AB3!$BA$16,IF(AND(D62="Options Buy",AW64=[1]AB3!$BA$22),[1]AB3!$BA$22,I63)))</f>
        <v>1E-3</v>
      </c>
      <c r="AY64" s="52">
        <f t="shared" si="98"/>
        <v>1</v>
      </c>
      <c r="AZ64" s="51">
        <f t="array" ref="AZ64">IF(A60="","",IF(AND(D64="5 &amp; APS",D62="Futures"),CONCATENATE([1]AB3!$AP$10,INDEX([1]AB2!L:L,MATCH(D60,[1]AB2!B:B,0)),[1]AB3!$AQ$10),IF(AND(D64="5 &amp; APS",D62="Options Sell"),CONCATENATE([1]AB3!$AP$16,INDEX([1]AB2!M:M,MATCH(D60,[1]AB2!B:B,0)),[1]AB3!$AQ$16),IF(AND(D64="5 &amp; APS",D62="Options Buy"),CONCATENATE([1]AB3!$AP$22,INDEX([1]AB2!L:L,MATCH(D60,[1]AB2!B:B,0)),[1]AB3!$AQ$22),[1]AB3!$AR$6))))</f>
        <v>0</v>
      </c>
      <c r="BA64" s="51">
        <f>IF(AND(D62="Futures",AZ64=[1]AB3!$BC$10),[1]AB3!$BC$10,IF(AND(D62="Options Sell",AZ64=[1]AB3!$BC$16),[1]AB3!$BC$16,IF(AND(D62="Options Buy",AZ64=[1]AB3!$BC$22),[1]AB3!$BC$22,I63)))</f>
        <v>0</v>
      </c>
      <c r="BB64" s="52">
        <f t="shared" si="99"/>
        <v>0</v>
      </c>
      <c r="BC64" s="53"/>
      <c r="BD64" s="54" t="str">
        <f>IF(D62="Futures",[1]AB3!$BE$10,IF(D62="Options Sell",[1]AB3!$BE$16,IF(D62="Options Buy",[1]AB3!$BE$22)))</f>
        <v>Market End Time</v>
      </c>
      <c r="BE64" s="67">
        <f t="array" ref="BE64">IF(D60="","",INDEX([1]AB2!AH:AH,MATCH(D60,[1]AB2!B:B,0)))</f>
        <v>0.97916666666666663</v>
      </c>
      <c r="BF64" s="11"/>
      <c r="BG64" s="12"/>
      <c r="BH64" s="57"/>
      <c r="BI64" s="32"/>
      <c r="BJ64" s="61" t="str">
        <f>IF(D62="Futures",[1]AB3!$BK$10,IF(D62="Options Sell",[1]AB3!$BK$16,IF(D62="Options Buy",[1]AB3!$BK$22)))</f>
        <v>Short</v>
      </c>
      <c r="BK64" s="46">
        <v>1E-3</v>
      </c>
      <c r="BL64" s="46">
        <v>1E-3</v>
      </c>
      <c r="BM64" s="57"/>
      <c r="BN64" s="32"/>
      <c r="BO64" s="61" t="str">
        <f>IF(D62="Futures",[1]AB3!$BP$10,IF(D62="Options Sell",[1]AB3!$BP$16,IF(D62="Options Buy",[1]AB3!$BP$22)))</f>
        <v>Put</v>
      </c>
      <c r="BP64" s="43" t="str">
        <f t="array" ref="BP64">IF(A60="","",IF(D62="Futures","",IF(D62="EQUITY","",IF(D62="Options Sell",CONCATENATE([1]AB3!$BQ$16,INDEX([1]AB2!J:J,MATCH(A60,[1]AB2!A:A,0)),[1]AB3!$BR$16),IF(D62="Options Buy",CONCATENATE([1]AB3!$BQ$22,INDEX([1]AB2!J:J,MATCH(A60,[1]AB2!A:A,0)),[1]AB3!$BR$22))))))</f>
        <v/>
      </c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9"/>
      <c r="CL64" s="43"/>
      <c r="CM64" s="43"/>
      <c r="CN64" s="59"/>
      <c r="CO64" s="43"/>
      <c r="CP64" s="43"/>
      <c r="CQ64" s="59"/>
      <c r="CR64" s="43"/>
      <c r="CS64" s="43"/>
      <c r="CT64" s="59"/>
      <c r="CU64" s="43"/>
      <c r="CV64" s="59"/>
      <c r="CW64" s="59"/>
    </row>
    <row r="65" spans="1:101" ht="15.75" customHeight="1" x14ac:dyDescent="0.2">
      <c r="A65" s="1"/>
      <c r="B65" s="2"/>
      <c r="C65" s="2"/>
      <c r="D65" s="2"/>
      <c r="E65" s="2"/>
      <c r="F65" s="2"/>
      <c r="G65" s="2"/>
      <c r="H65" s="2"/>
      <c r="I65" s="2"/>
      <c r="J65" s="64"/>
      <c r="K65" s="2"/>
      <c r="L65" s="2"/>
      <c r="M65" s="2"/>
      <c r="N65" s="2"/>
      <c r="O65" s="64"/>
      <c r="P65" s="2"/>
      <c r="Q65" s="64"/>
      <c r="R65" s="69"/>
      <c r="S65" s="64"/>
      <c r="T65" s="70"/>
      <c r="U65" s="64"/>
      <c r="V65" s="2"/>
      <c r="W65" s="64"/>
      <c r="X65" s="2"/>
      <c r="Y65" s="2"/>
      <c r="Z65" s="2"/>
      <c r="AA65" s="20"/>
      <c r="AB65" s="71"/>
      <c r="AC65" s="71"/>
      <c r="AD65" s="2"/>
      <c r="AE65" s="70"/>
      <c r="AF65" s="70"/>
      <c r="AG65" s="70"/>
      <c r="AH65" s="70"/>
      <c r="AI65" s="2"/>
      <c r="AJ65" s="70"/>
      <c r="AK65" s="70"/>
      <c r="AL65" s="70"/>
      <c r="AM65" s="64"/>
      <c r="AN65" s="70"/>
      <c r="AO65" s="70"/>
      <c r="AP65" s="64"/>
      <c r="AQ65" s="70"/>
      <c r="AR65" s="70"/>
      <c r="AS65" s="64"/>
      <c r="AT65" s="70"/>
      <c r="AU65" s="70"/>
      <c r="AV65" s="64"/>
      <c r="AW65" s="70"/>
      <c r="AX65" s="70"/>
      <c r="AY65" s="64"/>
      <c r="AZ65" s="70"/>
      <c r="BA65" s="70"/>
      <c r="BB65" s="64"/>
      <c r="BC65" s="70"/>
      <c r="BD65" s="70"/>
      <c r="BE65" s="70"/>
      <c r="BF65" s="70"/>
      <c r="BG65" s="70"/>
      <c r="BH65" s="70"/>
      <c r="BI65" s="70"/>
      <c r="BJ65" s="70"/>
      <c r="BK65" s="2"/>
      <c r="BL65" s="2"/>
      <c r="BM65" s="70"/>
      <c r="BN65" s="70"/>
      <c r="BO65" s="70"/>
      <c r="BP65" s="70"/>
      <c r="BQ65" s="70"/>
      <c r="BR65" s="70"/>
      <c r="BS65" s="70"/>
      <c r="BT65" s="70"/>
      <c r="BU65" s="70"/>
      <c r="BV65" s="70"/>
      <c r="BW65" s="70"/>
      <c r="BX65" s="70"/>
      <c r="BY65" s="70"/>
      <c r="BZ65" s="70"/>
      <c r="CA65" s="70"/>
      <c r="CB65" s="70"/>
      <c r="CC65" s="70"/>
      <c r="CD65" s="70"/>
      <c r="CE65" s="70"/>
      <c r="CF65" s="70"/>
      <c r="CG65" s="70"/>
      <c r="CH65" s="70"/>
      <c r="CI65" s="70"/>
      <c r="CJ65" s="70"/>
      <c r="CK65" s="70"/>
      <c r="CL65" s="2"/>
      <c r="CM65" s="2"/>
      <c r="CN65" s="70"/>
      <c r="CO65" s="70"/>
      <c r="CP65" s="70"/>
      <c r="CQ65" s="70"/>
      <c r="CR65" s="2"/>
      <c r="CS65" s="2"/>
      <c r="CT65" s="70"/>
      <c r="CU65" s="70"/>
      <c r="CV65" s="70"/>
      <c r="CW65" s="70"/>
    </row>
    <row r="66" spans="1:101" ht="15.75" customHeight="1" x14ac:dyDescent="0.2">
      <c r="A66" s="40">
        <v>11</v>
      </c>
      <c r="B66" s="41" t="str">
        <f>CONCATENATE(D66,IF(D68="Futures",[1]AB3!$B$6,IF(D68="Options Sell",[1]AB3!$B$12,IF(D68="Options Buy",[1]AB3!$B$18))))</f>
        <v>S11A</v>
      </c>
      <c r="C66" s="42" t="str">
        <f>IF(D68="Futures",[1]AB3!$C$6,IF(D68="Options Sell",[1]AB3!$C$12,IF(D68="Options Buy",[1]AB3!$C$18)))</f>
        <v>Strategy Code</v>
      </c>
      <c r="D66" s="43" t="str">
        <f t="array" ref="D66">IF(A66="","",INDEX([1]AB2!B:B,MATCH(A66,[1]AB2!A:A,0)))</f>
        <v>S11</v>
      </c>
      <c r="E66" s="44" t="str">
        <f>IF(D68="Futures",[1]AB3!$E$6,IF(D68="Options Sell",[1]AB3!$E$12,IF(D68="Options Buy",[1]AB3!$E$18)))</f>
        <v>Bull / 
Bull CF</v>
      </c>
      <c r="F66" s="45" t="str">
        <f>IF(D68="Futures",[1]AB3!$F$6,IF(D68="Options Sell",[1]AB3!$F$12,IF(D68="Options Buy",[1]AB3!$F$18)))</f>
        <v>Long</v>
      </c>
      <c r="G66" s="43" t="str">
        <f t="array" ref="G66">IF(A66="","",IF(D68="Futures",CONCATENATE([1]AB3!$G$6,INDEX([1]AB2!I:I,MATCH(D66,[1]AB2!B:B,0)),[1]AB3!$H$6),IF(D68="Options Sell",CONCATENATE([1]AB3!$G$12,INDEX([1]AB2!J:J,MATCH(D66,[1]AB2!B:B,0)),[1]AB3!$H$12),IF(D68="Options Buy",CONCATENATE([1]AB3!$G$18,INDEX([1]AB2!I:I,MATCH(D66,[1]AB2!B:B,0)),[1]AB3!$H$18)))))</f>
        <v>FUT : PRV : 3DHH</v>
      </c>
      <c r="H66" s="43" t="str">
        <f>IF(D68="Futures",[1]AB3!$I$6,IF(D68="Options Sell",[1]AB3!$I$12,IF(D68="Options Buy",[1]AB3!$I$18)))</f>
        <v xml:space="preserve"> + </v>
      </c>
      <c r="I66" s="46">
        <v>1E-3</v>
      </c>
      <c r="J66" s="47">
        <v>5</v>
      </c>
      <c r="K66" s="48"/>
      <c r="L66" s="43" t="str">
        <f>IF(D68="Futures",[1]AB3!$M$6,IF(D68="Options Sell",[1]AB3!$M$12,IF(D68="Options Buy",[1]AB3!$M$18)))</f>
        <v xml:space="preserve">L : Entry </v>
      </c>
      <c r="M66" s="43" t="str">
        <f>IF(D68="Futures",[1]AB3!$N$6,IF(D68="Options Sell",[1]AB3!$N$12,IF(D68="Options Buy",[1]AB3!$N$18)))</f>
        <v xml:space="preserve"> + </v>
      </c>
      <c r="N66" s="46">
        <v>0.01</v>
      </c>
      <c r="O66" s="47">
        <v>1</v>
      </c>
      <c r="P66" s="46">
        <v>1.4999999999999999E-2</v>
      </c>
      <c r="Q66" s="47">
        <v>1</v>
      </c>
      <c r="R66" s="46">
        <v>0.02</v>
      </c>
      <c r="S66" s="47">
        <v>1</v>
      </c>
      <c r="T66" s="46">
        <v>2.5000000000000001E-2</v>
      </c>
      <c r="U66" s="47">
        <v>1</v>
      </c>
      <c r="V66" s="50" t="s">
        <v>51</v>
      </c>
      <c r="W66" s="47">
        <v>1</v>
      </c>
      <c r="X66" s="50" t="s">
        <v>52</v>
      </c>
      <c r="Y66" s="50" t="s">
        <v>52</v>
      </c>
      <c r="Z66" s="48"/>
      <c r="AA66" s="43" t="str">
        <f>IF(D68="Futures",[1]AB3!$AD$6,IF(D68="Options Sell",[1]AB3!$AD$12,IF(D68="Options Buy",[1]AB3!$AD$18)))</f>
        <v>Max</v>
      </c>
      <c r="AB66" s="43" t="str">
        <f>IF(D68="Futures",[1]AB3!$AE$6,IF(D68="Options Sell",[1]AB3!$AE$12,IF(D68="Options Buy",[1]AB3!$AE$18)))</f>
        <v>MSL &amp; TSL</v>
      </c>
      <c r="AC66" s="43" t="str">
        <f>IF(D68="Futures",[1]AB3!$AF$6,IF(D68="Options Sell",[1]AB3!$AF$12,IF(D68="Options Buy",[1]AB3!$AF$18)))</f>
        <v>Entry &amp; TRP</v>
      </c>
      <c r="AD66" s="48"/>
      <c r="AE66" s="43" t="str">
        <f>IF(D68="Futures",[1]AB3!$AH$6,IF(D68="Options Sell",[1]AB3!$AH$12,IF(D68="Options Buy",[1]AB3!$AH$18)))</f>
        <v>L : Entry</v>
      </c>
      <c r="AF66" s="43" t="str">
        <f>IF(D68="Futures",[1]AB3!$AI$6,IF(D68="Options Sell",[1]AB3!$AI$12,IF(D68="Options Buy",[1]AB3!$AI$18)))</f>
        <v xml:space="preserve"> - </v>
      </c>
      <c r="AG66" s="46">
        <v>0.01</v>
      </c>
      <c r="AH66" s="46">
        <v>0</v>
      </c>
      <c r="AI66" s="48"/>
      <c r="AJ66" s="43" t="str">
        <f>IF(D68="Futures",[1]AB3!$AO$6,IF(D68="Options Sell",[1]AB3!$AO$12,IF(D68="Options Buy",[1]AB3!$AO$18)))</f>
        <v xml:space="preserve"> - </v>
      </c>
      <c r="AK66" s="43" t="str">
        <f t="array" ref="AK66">IF(A66="","",IF(D68="Futures",CONCATENATE([1]AB3!$AP$6,INDEX([1]AB2!L:L,MATCH(D66,[1]AB2!B:B,0)),[1]AB3!$AQ$6),IF(D68="Options Sell",CONCATENATE([1]AB3!$AP$12,INDEX([1]AB2!M:M,MATCH(D66,[1]AB2!B:B,0)),[1]AB3!$AQ$12),IF(D68="Options Buy",CONCATENATE([1]AB3!$AP$18,INDEX([1]AB2!L:L,MATCH(D66,[1]AB2!B:B,0)),[1]AB3!$AQ$18)))))</f>
        <v>FUT : PRV : 3DLL</v>
      </c>
      <c r="AL66" s="51">
        <f>IF(AND(D68="Futures",AK66=[1]AB3!$AS$6),[1]AB3!$AS$6,IF(AND(D68="Options Sell",AK66=[1]AB3!$AS$12),[1]AB3!$AS$12,IF(AND(D68="Options Buy",AK66=[1]AB3!$AS$18),[1]AB3!$AS$18,I67)))</f>
        <v>1E-3</v>
      </c>
      <c r="AM66" s="52">
        <f>J67</f>
        <v>5</v>
      </c>
      <c r="AN66" s="43" t="str">
        <f t="array" ref="AN66">IF(A66="","",IF(AND(OR(D70="1 &amp; APS",D70="2 &amp; APS",D70="3 &amp; APS",D70="4 &amp; APS",D70="5 &amp; APS"),D68="Futures"),CONCATENATE([1]AB3!$AP$6,INDEX([1]AB2!L:L,MATCH(D66,[1]AB2!B:B,0)),[1]AB3!$AQ$6),IF(AND(OR(D70="1 &amp; APS",D70="2 &amp; APS",D70="3 &amp; APS",D70="4 &amp; APS",D70="5 &amp; APS"),D68="Options Sell"),CONCATENATE([1]AB3!$AP$12,INDEX([1]AB2!M:M,MATCH(D66,[1]AB2!B:B,0)),[1]AB3!$AQ$12),IF(AND(OR(D70="1 &amp; APS",D70="2 &amp; APS",D70="3 &amp; APS",D70="4 &amp; APS",D70="5 &amp; APS"),D68="Options Buy"),CONCATENATE([1]AB3!$AP$18,INDEX([1]AB2!L:L,MATCH(D66,[1]AB2!B:B,0)),[1]AB3!$AQ$18),[1]AB3!$AR$6))))</f>
        <v>FUT : PRV : 3DLL</v>
      </c>
      <c r="AO66" s="51">
        <f>IF(AND(D68="Futures",AN66=[1]AB3!$AU$6),[1]AB3!$AU$6,IF(AND(D68="Options Sell",AN66=[1]AB3!$AU$12),[1]AB3!$AU$12,IF(AND(D68="Options Buy",AN66=[1]AB3!$AU$18),[1]AB3!$AU$18,I67)))</f>
        <v>1E-3</v>
      </c>
      <c r="AP66" s="52">
        <f t="shared" ref="AP66:AP67" si="100">AM66-O66</f>
        <v>4</v>
      </c>
      <c r="AQ66" s="43" t="str">
        <f t="array" ref="AQ66">IF(A66="","",IF(AND(OR(D70="2 &amp; APS",D70="3 &amp; APS",D70="4 &amp; APS",D70="5 &amp; APS"),D68="Futures"),CONCATENATE([1]AB3!$AP$6,INDEX([1]AB2!L:L,MATCH(D66,[1]AB2!B:B,0)),[1]AB3!$AQ$6),IF(AND(OR(D70="2 &amp; APS",D70="3 &amp; APS",D70="4 &amp; APS",D70="5 &amp; APS"),D68="Options Sell"),CONCATENATE([1]AB3!$AP$12,INDEX([1]AB2!M:M,MATCH(D66,[1]AB2!B:B,0)),[1]AB3!$AQ$12),IF(AND(OR(D70="2 &amp; APS",D70="3 &amp; APS",D70="4 &amp; APS",D70="5 &amp; APS"),D68="Options Buy"),CONCATENATE([1]AB3!$AP$18,INDEX([1]AB2!L:L,MATCH(D66,[1]AB2!B:B,0)),[1]AB3!$AQ$18),[1]AB3!$AR$6))))</f>
        <v>FUT : PRV : 3DLL</v>
      </c>
      <c r="AR66" s="51">
        <f>IF(AND(D68="Futures",AQ66=[1]AB3!$AW$6),[1]AB3!$AW$6,IF(AND(D68="Options Sell",AQ66=[1]AB3!$AW$12),[1]AB3!$AW$12,IF(AND(D68="Options Buy",AQ66=[1]AB3!$AW$18),[1]AB3!$AW$18,I67)))</f>
        <v>1E-3</v>
      </c>
      <c r="AS66" s="52">
        <f t="shared" ref="AS66:AS67" si="101">AP66-Q66</f>
        <v>3</v>
      </c>
      <c r="AT66" s="43" t="str">
        <f t="array" ref="AT66">IF(A66="","",IF(AND(OR(D70="3 &amp; APS",D70="4 &amp; APS",D70="5 &amp; APS"),D68="Futures"),CONCATENATE([1]AB3!$AP$6,INDEX([1]AB2!L:L,MATCH(D66,[1]AB2!B:B,0)),[1]AB3!$AQ$6),IF(AND(OR(D70="3 &amp; APS",D70="4 &amp; APS",D70="5 &amp; APS"),D68="Options Sell"),CONCATENATE([1]AB3!$AP$12,INDEX([1]AB2!M:M,MATCH(D66,[1]AB2!B:B,0)),[1]AB3!$AQ$12),IF(AND(OR(D70="3 &amp; APS",D70="4 &amp; APS",D70="5 &amp; APS"),D68="Options Buy"),CONCATENATE([1]AB3!$AP$18,INDEX([1]AB2!L:L,MATCH(D66,[1]AB2!B:B,0)),[1]AB3!$AQ$18),[1]AB3!$AR$6))))</f>
        <v>FUT : PRV : 3DLL</v>
      </c>
      <c r="AU66" s="51">
        <f>IF(AND(D68="Futures",AT66=[1]AB3!$AY$6),[1]AB3!$AY$6,IF(AND(D68="Options Sell",AT66=[1]AB3!$AY$12),[1]AB3!$AY$12,IF(AND(D68="Options Buy",AT66=[1]AB3!$AY$18),[1]AB3!$AY$18,I67)))</f>
        <v>1E-3</v>
      </c>
      <c r="AV66" s="52">
        <f t="shared" ref="AV66:AV67" si="102">AS66-S66</f>
        <v>2</v>
      </c>
      <c r="AW66" s="43" t="str">
        <f t="array" ref="AW66">IF(A66="","",IF(AND(OR(D70="4 &amp; APS",D70="5 &amp; APS"),D68="Futures"),CONCATENATE([1]AB3!$AP$6,INDEX([1]AB2!L:L,MATCH(D66,[1]AB2!B:B,0)),[1]AB3!$AQ$6),IF(AND(OR(D70="4 &amp; APS",D70="5 &amp; APS"),D68="Options Sell"),CONCATENATE([1]AB3!$AP$12,INDEX([1]AB2!M:M,MATCH(D66,[1]AB2!B:B,0)),[1]AB3!$AQ$12),IF(AND(OR(D70="4 &amp; APS",D70="5 &amp; APS"),D68="Options Buy"),CONCATENATE([1]AB3!$AP$18,INDEX([1]AB2!L:L,MATCH(D66,[1]AB2!B:B,0)),[1]AB3!$AQ$18),[1]AB3!$AR$6))))</f>
        <v>FUT : PRV : 3DLL</v>
      </c>
      <c r="AX66" s="51">
        <f>IF(AND(D68="Futures",AW66=[1]AB3!$BA$6),[1]AB3!$BA$6,IF(AND(D68="Options Sell",AW66=[1]AB3!$BA$12),[1]AB3!$BA$12,IF(AND(D68="Options Buy",AW66=[1]AB3!$BA$18),[1]AB3!$BA$18,I67)))</f>
        <v>1E-3</v>
      </c>
      <c r="AY66" s="52">
        <f t="shared" ref="AY66:AY67" si="103">AV66-S66</f>
        <v>1</v>
      </c>
      <c r="AZ66" s="51">
        <f t="array" ref="AZ66">IF(A66="","",IF(AND(D70="5 &amp; APS",D68="Futures"),CONCATENATE([1]AB3!$AP$6,INDEX([1]AB2!L:L,MATCH(D66,[1]AB2!B:B,0)),[1]AB3!$AQ$6),IF(AND(D70="5 &amp; APS",D68="Options Sell"),CONCATENATE([1]AB3!$AP$12,INDEX([1]AB2!M:M,MATCH(D66,[1]AB2!B:B,0)),[1]AB3!$AQ$12),IF(AND(D70="5 &amp; APS",D68="Options Buy"),CONCATENATE([1]AB3!$AP$18,INDEX([1]AB2!L:L,MATCH(D66,[1]AB2!B:B,0)),[1]AB3!$AQ$18),[1]AB3!$AR$6))))</f>
        <v>0</v>
      </c>
      <c r="BA66" s="51">
        <f>IF(AND(D68="Futures",AZ66=[1]AB3!$BC$6),[1]AB3!$BC$6,IF(AND(D68="Options Sell",AZ66=[1]AB3!$BC$12),[1]AB3!$BC$12,IF(AND(D68="Options Buy",AZ66=[1]AB3!$BC$18),[1]AB3!$BC$18,I67)))</f>
        <v>0</v>
      </c>
      <c r="BB66" s="52">
        <f t="shared" ref="BB66:BB67" si="104">AY66-W66</f>
        <v>0</v>
      </c>
      <c r="BC66" s="53"/>
      <c r="BD66" s="54" t="str">
        <f>IF(D68="Futures",[1]AB3!$BE$6,IF(D68="Options Sell",[1]AB3!$BE$12,IF(D68="Options Buy",[1]AB3!$BE$18)))</f>
        <v xml:space="preserve">ORPT </v>
      </c>
      <c r="BE66" s="55">
        <f>IF(D68="Futures",BE69+([1]AB3!$BF$6/1440),IF(D68="Options Sell",BE69+([1]AB3!$BF$12/1440),IF(D68="Options Buy",BE69+([1]AB3!$BF$18/1440))))</f>
        <v>0.37846527777777778</v>
      </c>
      <c r="BF66" s="55">
        <f>IF(D68="Futures",BE69+([1]AB3!$BG$6/1440),IF(D68="Options Sell",BE69+([1]AB3!$BG$12/1440),IF(D68="Options Buy",BE69+([1]AB3!$BG$18/1440))))</f>
        <v>0.37846527777777778</v>
      </c>
      <c r="BG66" s="55">
        <f>IF(D68="Futures",BE69+([1]AB3!$BH$6/1440),IF(D68="Options Sell",BE69+([1]AB3!$BH$12/1440),IF(D68="Options Buy",BE69+([1]AB3!$BH$18/1440))))</f>
        <v>0.375</v>
      </c>
      <c r="BH66" s="57"/>
      <c r="BI66" s="44" t="str">
        <f>IF(D68="Futures",[1]AB3!$BJ$6,IF(D68="Options Sell",[1]AB3!$BJ$12,IF(D68="Options Buy",[1]AB3!$BJ$18)))</f>
        <v>Bull / 
Bull CF</v>
      </c>
      <c r="BJ66" s="45" t="str">
        <f>IF(D68="Futures",[1]AB3!$BK$6,IF(D68="Options Sell",[1]AB3!$BK$12,IF(D68="Options Buy",[1]AB3!$BK$18)))</f>
        <v>Long</v>
      </c>
      <c r="BK66" s="46">
        <v>1E-3</v>
      </c>
      <c r="BL66" s="46">
        <v>1E-3</v>
      </c>
      <c r="BM66" s="57"/>
      <c r="BN66" s="44" t="str">
        <f>IF(D68="Futures",[1]AB3!$BO$6,IF(D68="Options Sell",[1]AB3!$BO$12,IF(D68="Options Buy",[1]AB3!$BO$18)))</f>
        <v>Bull | 
Bull CF</v>
      </c>
      <c r="BO66" s="45" t="str">
        <f>IF(D68="Futures",[1]AB3!$BP$6,IF(D68="Options Sell",[1]AB3!$BP$12,IF(D68="Options Buy",[1]AB3!$BP$18)))</f>
        <v>Call</v>
      </c>
      <c r="BP66" s="43" t="str">
        <f t="array" ref="BP66">IF(A66="","",IF(D68="Futures","",IF(D68="EQUITY","",IF(D68="Options Sell",CONCATENATE([1]AB3!$BQ$12,INDEX([1]AB2!J:J,MATCH(A66,[1]AB2!A:A,0)),[1]AB3!$BR$12),IF(D68="Options Buy",CONCATENATE([1]AB3!$BQ$18,INDEX([1]AB2!J:J,MATCH(A66,[1]AB2!A:A,0)),[1]AB3!$BR$18))))))</f>
        <v/>
      </c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9"/>
      <c r="CL66" s="43"/>
      <c r="CM66" s="43"/>
      <c r="CN66" s="59"/>
      <c r="CO66" s="43"/>
      <c r="CP66" s="43"/>
      <c r="CQ66" s="59"/>
      <c r="CR66" s="43"/>
      <c r="CS66" s="43"/>
      <c r="CT66" s="59"/>
      <c r="CU66" s="55">
        <f>IF(D68="Futures",BE70-([1]AB3!$CG$6/1440),IF(D68="Options Sell",BE70-([1]AB3!$CG$12/1440),IF(D68="Options Buy",BE70-([1]AB3!$CG$18/1440),IF(D68="EQUITY",""))))</f>
        <v>0.95833333333333326</v>
      </c>
      <c r="CV66" s="59"/>
      <c r="CW66" s="59"/>
    </row>
    <row r="67" spans="1:101" ht="16.5" customHeight="1" x14ac:dyDescent="0.2">
      <c r="A67" s="60"/>
      <c r="B67" s="41" t="str">
        <f>CONCATENATE(D66,IF(D68="Futures",[1]AB3!$B$7,IF(D68="Options Sell",[1]AB3!$B$13,IF(D68="Options Buy",[1]AB3!$B$19))))</f>
        <v>S11B</v>
      </c>
      <c r="C67" s="42" t="str">
        <f>IF(D68="Futures",[1]AB3!$C$7,IF(D68="Options Sell",[1]AB3!$C$13,IF(D68="Options Buy",[1]AB3!$C$19)))</f>
        <v>Unique Code</v>
      </c>
      <c r="D67" s="43" t="str">
        <f t="array" ref="D67">IF(A66="","",INDEX([1]AB2!N:N,MATCH(D66,[1]AB2!B:B,0)))</f>
        <v>GOLDM_FUT_MT_SAME_3D_3D</v>
      </c>
      <c r="E67" s="32"/>
      <c r="F67" s="61" t="str">
        <f>IF(D68="Futures",[1]AB3!$F$7,IF(D68="Options Sell",[1]AB3!$F$13,IF(D68="Options Buy",[1]AB3!$F$19)))</f>
        <v>Short</v>
      </c>
      <c r="G67" s="43" t="str">
        <f t="array" ref="G67">IF(A66="","",IF(D68="Futures",CONCATENATE([1]AB3!$G$7,INDEX([1]AB2!J:J,MATCH(D66,[1]AB2!B:B,0)),[1]AB3!$H$7),IF(D68="Options Sell",CONCATENATE([1]AB3!$G$13,INDEX([1]AB2!I:I,MATCH(D66,[1]AB2!B:B,0)),[1]AB3!$H$13),IF(D68="Options Buy",CONCATENATE([1]AB3!$G$19,INDEX([1]AB2!J:J,MATCH(D66,[1]AB2!B:B,0)),[1]AB3!$H$19)))))</f>
        <v>FUT : PRV : 3DLL</v>
      </c>
      <c r="H67" s="43" t="str">
        <f>IF(D68="Futures",[1]AB3!$I$7,IF(D68="Options Sell",[1]AB3!$I$13,IF(D68="Options Buy",[1]AB3!$I$19)))</f>
        <v xml:space="preserve"> - </v>
      </c>
      <c r="I67" s="46">
        <v>1E-3</v>
      </c>
      <c r="J67" s="47">
        <v>5</v>
      </c>
      <c r="K67" s="48"/>
      <c r="L67" s="43" t="str">
        <f>IF(D68="Futures",[1]AB3!$M$7,IF(D68="Options Sell",[1]AB3!$M$13,IF(D68="Options Buy",[1]AB3!$M$19)))</f>
        <v xml:space="preserve">S : Entry </v>
      </c>
      <c r="M67" s="43" t="str">
        <f>IF(D68="Futures",[1]AB3!$N$7,IF(D68="Options Sell",[1]AB3!$N$13,IF(D68="Options Buy",[1]AB3!$N$19)))</f>
        <v xml:space="preserve"> - </v>
      </c>
      <c r="N67" s="46">
        <v>0.01</v>
      </c>
      <c r="O67" s="47">
        <v>1</v>
      </c>
      <c r="P67" s="46">
        <v>1.4999999999999999E-2</v>
      </c>
      <c r="Q67" s="47">
        <v>1</v>
      </c>
      <c r="R67" s="46">
        <v>0.02</v>
      </c>
      <c r="S67" s="47">
        <v>1</v>
      </c>
      <c r="T67" s="46">
        <v>2.5000000000000001E-2</v>
      </c>
      <c r="U67" s="47">
        <v>1</v>
      </c>
      <c r="V67" s="50" t="s">
        <v>51</v>
      </c>
      <c r="W67" s="47">
        <v>1</v>
      </c>
      <c r="X67" s="50" t="s">
        <v>52</v>
      </c>
      <c r="Y67" s="50" t="s">
        <v>52</v>
      </c>
      <c r="Z67" s="48"/>
      <c r="AA67" s="43" t="str">
        <f>IF(D68="Futures",[1]AB3!$AD$7,IF(D68="Options Sell",[1]AB3!$AD$13,IF(D68="Options Buy",[1]AB3!$AD$19)))</f>
        <v>Min</v>
      </c>
      <c r="AB67" s="43" t="str">
        <f>IF(D68="Futures",[1]AB3!$AE$7,IF(D68="Options Sell",[1]AB3!$AE$13,IF(D68="Options Buy",[1]AB3!$AE$19)))</f>
        <v>MSL &amp; TSL</v>
      </c>
      <c r="AC67" s="43" t="str">
        <f>IF(D68="Futures",[1]AB3!$AF$7,IF(D68="Options Sell",[1]AB3!$AF$13,IF(D68="Options Buy",[1]AB3!$AF$19)))</f>
        <v>Entry &amp; TRP</v>
      </c>
      <c r="AD67" s="48"/>
      <c r="AE67" s="43" t="str">
        <f>IF(D68="Futures",[1]AB3!$AH$7,IF(D68="Options Sell",[1]AB3!$AH$13,IF(D68="Options Buy",[1]AB3!$AH$19)))</f>
        <v>S : Entry</v>
      </c>
      <c r="AF67" s="43" t="str">
        <f>IF(D68="Futures",[1]AB3!$AI$7,IF(D68="Options Sell",[1]AB3!$AI$13,IF(D68="Options Buy",[1]AB3!$AI$19)))</f>
        <v xml:space="preserve"> + </v>
      </c>
      <c r="AG67" s="46">
        <v>0.01</v>
      </c>
      <c r="AH67" s="46">
        <v>0</v>
      </c>
      <c r="AI67" s="48"/>
      <c r="AJ67" s="43" t="str">
        <f>IF(D68="Futures",[1]AB3!$AO$7,IF(D68="Options Sell",[1]AB3!$AO$13,IF(D68="Options Buy",[1]AB3!$AO$19)))</f>
        <v xml:space="preserve"> + </v>
      </c>
      <c r="AK67" s="43" t="str">
        <f t="array" ref="AK67">IF(A66="","",IF(D68="Futures",CONCATENATE([1]AB3!$AP$7,INDEX([1]AB2!M:M,MATCH(D66,[1]AB2!B:B,0)),[1]AB3!$AQ$7),IF(D68="Options Sell",CONCATENATE([1]AB3!$AP$13,INDEX([1]AB2!L:L,MATCH(D66,[1]AB2!B:B,0)),[1]AB3!$AQ$13),IF(D68="Options Buy",CONCATENATE([1]AB3!$AP$19,INDEX([1]AB2!M:M,MATCH(D66,[1]AB2!B:B,0)),[1]AB3!$AQ$19)))))</f>
        <v>FUT : PRV : 3DHH</v>
      </c>
      <c r="AL67" s="51">
        <f>IF(AND(D68="Futures",AK67=[1]AB3!$AS$7),[1]AB3!$AS$7,IF(AND(D68="Options Sell",AK67=[1]AB3!$AS$13),[1]AB3!$AS$13,IF(AND(D68="Options Buy",AK67=[1]AB3!$AS$19),[1]AB3!$AS$19,I66)))</f>
        <v>1E-3</v>
      </c>
      <c r="AM67" s="52">
        <f>J66</f>
        <v>5</v>
      </c>
      <c r="AN67" s="43" t="str">
        <f t="array" ref="AN67">IF(A66="","",IF(AND(OR(D70="1 &amp; APS",D70="2 &amp; APS",D70="3 &amp; APS",D70="4 &amp; APS",D70="5 &amp; APS"),D68="Futures"),CONCATENATE([1]AB3!$AP$7,INDEX([1]AB2!M:M,MATCH(D66,[1]AB2!B:B,0)),[1]AB3!$AQ$7),IF(AND(OR(D70="1 &amp; APS",D70="2 &amp; APS",D70="3 &amp; APS",D70="4 &amp; APS",D70="5 &amp; APS"),D68="Options Sell"),CONCATENATE([1]AB3!$AP$13,INDEX([1]AB2!L:L,MATCH(D66,[1]AB2!B:B,0)),[1]AB3!$AQ$13),IF(AND(OR(D70="1 &amp; APS",D70="2 &amp; APS",D70="3 &amp; APS",D70="4 &amp; APS",D70="5 &amp; APS"),D68="Options Buy"),CONCATENATE([1]AB3!$AP$19,INDEX([1]AB2!M:M,MATCH(D66,[1]AB2!B:B,0)),[1]AB3!$AQ$19),[1]AB3!$AR$6))))</f>
        <v>FUT : PRV : 3DHH</v>
      </c>
      <c r="AO67" s="51">
        <f>IF(AND(D68="Futures",AN67=[1]AB3!$AU$7),[1]AB3!$AU$7,IF(AND(D68="Options Sell",AN67=[1]AB3!$AU$13),[1]AB3!$AU$13,IF(AND(D68="Options Buy",AN67=[1]AB3!$AU$19),[1]AB3!$AU$19,I66)))</f>
        <v>1E-3</v>
      </c>
      <c r="AP67" s="52">
        <f t="shared" si="100"/>
        <v>4</v>
      </c>
      <c r="AQ67" s="43" t="str">
        <f t="array" ref="AQ67">IF(A66="","",IF(AND(OR(D70="2 &amp; APS",D70="3 &amp; APS",D70="4 &amp; APS",D70="5 &amp; APS"),D68="Futures"),CONCATENATE([1]AB3!$AP$7,INDEX([1]AB2!M:M,MATCH(D66,[1]AB2!B:B,0)),[1]AB3!$AQ$7),IF(AND(OR(D70="2 &amp; APS",D70="3 &amp; APS",D70="4 &amp; APS",D70="5 &amp; APS"),D68="Options Sell"),CONCATENATE([1]AB3!$AP$13,INDEX([1]AB2!L:L,MATCH(D66,[1]AB2!B:B,0)),[1]AB3!$AQ$13),IF(AND(OR(D70="2 &amp; APS",D70="3 &amp; APS",D70="4 &amp; APS",D70="5 &amp; APS"),D68="Options Buy"),CONCATENATE([1]AB3!$AP$19,INDEX([1]AB2!M:M,MATCH(D66,[1]AB2!B:B,0)),[1]AB3!$AQ$19),[1]AB3!$AR$6))))</f>
        <v>FUT : PRV : 3DHH</v>
      </c>
      <c r="AR67" s="51">
        <f>IF(AND(D68="Futures",AQ67=[1]AB3!$AW$7),[1]AB3!$AW$7,IF(AND(D68="Options Sell",AQ67=[1]AB3!$AW$13),[1]AB3!$AW$13,IF(AND(D68="Options Buy",AQ67=[1]AB3!$AW$19),[1]AB3!$AW$19,I66)))</f>
        <v>1E-3</v>
      </c>
      <c r="AS67" s="52">
        <f t="shared" si="101"/>
        <v>3</v>
      </c>
      <c r="AT67" s="43" t="str">
        <f t="array" ref="AT67">IF(A66="","",IF(AND(OR(D70="3 &amp; APS",D70="4 &amp; APS",D70="5 &amp; APS"),D68="Futures"),CONCATENATE([1]AB3!$AP$7,INDEX([1]AB2!M:M,MATCH(D66,[1]AB2!B:B,0)),[1]AB3!$AQ$7),IF(AND(OR(D70="3 &amp; APS",D70="4 &amp; APS",D70="5 &amp; APS"),D68="Options Sell"),CONCATENATE([1]AB3!$AP$13,INDEX([1]AB2!L:L,MATCH(D66,[1]AB2!B:B,0)),[1]AB3!$AQ$13),IF(AND(OR(D70="3 &amp; APS",D70="4 &amp; APS",D70="5 &amp; APS"),D68="Options Buy"),CONCATENATE([1]AB3!$AP$19,INDEX([1]AB2!M:M,MATCH(D66,[1]AB2!B:B,0)),[1]AB3!$AQ$19),[1]AB3!$AR$6))))</f>
        <v>FUT : PRV : 3DHH</v>
      </c>
      <c r="AU67" s="51">
        <f>IF(AND(D68="Futures",AT67=[1]AB3!$AY$7),[1]AB3!$AY$7,IF(AND(D68="Options Sell",AT67=[1]AB3!$AY$13),[1]AB3!$AY$13,IF(AND(D68="Options Buy",AT67=[1]AB3!$AY$19),[1]AB3!$AY$19,I66)))</f>
        <v>1E-3</v>
      </c>
      <c r="AV67" s="52">
        <f t="shared" si="102"/>
        <v>2</v>
      </c>
      <c r="AW67" s="43" t="str">
        <f t="array" ref="AW67">IF(A66="","",IF(AND(OR(D70="4 &amp; APS",D70="5 &amp; APS"),D68="Futures"),CONCATENATE([1]AB3!$AP$7,INDEX([1]AB2!M:M,MATCH(D66,[1]AB2!B:B,0)),[1]AB3!$AQ$7),IF(AND(OR(D70="4 &amp; APS",D70="5 &amp; APS"),D68="Options Sell"),CONCATENATE([1]AB3!$AP$13,INDEX([1]AB2!L:L,MATCH(D66,[1]AB2!B:B,0)),[1]AB3!$AQ$13),IF(AND(OR(D70="4 &amp; APS",D70="5 &amp; APS"),D68="Options Buy"),CONCATENATE([1]AB3!$AP$19,INDEX([1]AB2!M:M,MATCH(D66,[1]AB2!B:B,0)),[1]AB3!$AQ$19),[1]AB3!$AR$6))))</f>
        <v>FUT : PRV : 3DHH</v>
      </c>
      <c r="AX67" s="51">
        <f>IF(AND(D68="Futures",AW67=[1]AB3!$BA$7),[1]AB3!$BA$7,IF(AND(D68="Options Sell",AW67=[1]AB3!$BA$13),[1]AB3!$BA$13,IF(AND(D68="Options Buy",AW67=[1]AB3!$BA$19),[1]AB3!$BA$19,I66)))</f>
        <v>1E-3</v>
      </c>
      <c r="AY67" s="52">
        <f t="shared" si="103"/>
        <v>1</v>
      </c>
      <c r="AZ67" s="51">
        <f t="array" ref="AZ67">IF(A66="","",IF(AND(D70="5 &amp; APS",D68="Futures"),CONCATENATE([1]AB3!$AP$7,INDEX([1]AB2!M:M,MATCH(D66,[1]AB2!B:B,0)),[1]AB3!$AQ$7),IF(AND(D70="5 &amp; APS",D68="Options Sell"),CONCATENATE([1]AB3!$AP$13,INDEX([1]AB2!L:L,MATCH(D66,[1]AB2!B:B,0)),[1]AB3!$AQ$13),IF(AND(D70="5 &amp; APS",D68="Options Buy"),CONCATENATE([1]AB3!$AP$19,INDEX([1]AB2!M:M,MATCH(D66,[1]AB2!B:B,0)),[1]AB3!$AQ$19),[1]AB3!$AR$6))))</f>
        <v>0</v>
      </c>
      <c r="BA67" s="51">
        <f>IF(AND(D68="Futures",AZ67=[1]AB3!$BC$7),[1]AB3!$BC$7,IF(AND(D68="Options Sell",AZ67=[1]AB3!$BC$13),[1]AB3!$BC$13,IF(AND(D68="Options Buy",AZ67=[1]AB3!$BC$19),[1]AB3!$BC$19,I66)))</f>
        <v>0</v>
      </c>
      <c r="BB67" s="52">
        <f t="shared" si="104"/>
        <v>0</v>
      </c>
      <c r="BC67" s="53"/>
      <c r="BD67" s="54" t="str">
        <f>IF(D68="Futures",[1]AB3!$BE$7,IF(D68="Options Sell",[1]AB3!$BE$13,IF(D68="Options Buy",[1]AB3!$BE$19)))</f>
        <v xml:space="preserve"> RC. Time</v>
      </c>
      <c r="BE67" s="55">
        <f>IF(D68="Futures",BE69+([1]AB3!$BF$7/1440),IF(D68="Options Sell",BE69+([1]AB3!$BF$13/1440),IF(D68="Options Buy",BE69+([1]AB3!$BF$19/1440))))</f>
        <v>0.38540972222222225</v>
      </c>
      <c r="BF67" s="55">
        <f>IF(D68="Futures",BE69+([1]AB3!$BG$7/1440),IF(D68="Options Sell",BE69+([1]AB3!$BG$13/1440),IF(D68="Options Buy",BE69+([1]AB3!$BG$19/1440))))</f>
        <v>0.38540972222222225</v>
      </c>
      <c r="BG67" s="55" t="str">
        <f>IF(D68="Futures",[1]AB3!$BH$7,IF(D68="Options Sell",[1]AB3!$BH$7,IF(D68="Options Buy",[1]AB3!$BH$7)))</f>
        <v>N.A.</v>
      </c>
      <c r="BH67" s="57"/>
      <c r="BI67" s="32"/>
      <c r="BJ67" s="61" t="str">
        <f>IF(D68="Futures",[1]AB3!$BK$7,IF(D68="Options Sell",[1]AB3!$BK$13,IF(D68="Options Buy",[1]AB3!$BK$19)))</f>
        <v>Short</v>
      </c>
      <c r="BK67" s="46">
        <v>1E-3</v>
      </c>
      <c r="BL67" s="46">
        <v>1E-3</v>
      </c>
      <c r="BM67" s="57"/>
      <c r="BN67" s="32"/>
      <c r="BO67" s="61" t="str">
        <f>IF(D68="Futures",[1]AB3!$BP$7,IF(D68="Options Sell",[1]AB3!$BP$13,IF(D68="Options Buy",[1]AB3!$BP$19)))</f>
        <v>Put</v>
      </c>
      <c r="BP67" s="43" t="str">
        <f t="array" ref="BP67">IF(A66="","",IF(D68="Futures","",IF(D68="EQUITY","",IF(D68="Options Sell",CONCATENATE([1]AB3!$BQ$13,INDEX([1]AB2!I:I,MATCH(A66,[1]AB2!A:A,0)),[1]AB3!$BR$13),IF(D68="Options Buy",CONCATENATE([1]AB3!$BQ$19,INDEX([1]AB2!I:I,MATCH(A66,[1]AB2!A:A,0)),[1]AB3!$BR$19))))))</f>
        <v/>
      </c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9"/>
      <c r="CL67" s="43"/>
      <c r="CM67" s="43"/>
      <c r="CN67" s="59"/>
      <c r="CO67" s="43"/>
      <c r="CP67" s="43"/>
      <c r="CQ67" s="59"/>
      <c r="CR67" s="43"/>
      <c r="CS67" s="43"/>
      <c r="CT67" s="59"/>
      <c r="CU67" s="43"/>
      <c r="CV67" s="59"/>
      <c r="CW67" s="59"/>
    </row>
    <row r="68" spans="1:101" ht="16.5" customHeight="1" x14ac:dyDescent="0.2">
      <c r="A68" s="60"/>
      <c r="B68" s="41" t="str">
        <f>CONCATENATE(D66,IF(D68="Futures",[1]AB3!$B$8,IF(D68="Options Sell",[1]AB3!$B$14,IF(D68="Options Buy",[1]AB3!$B$20))))</f>
        <v>S11C</v>
      </c>
      <c r="C68" s="42" t="str">
        <f>IF(D68="Futures",[1]AB3!$C$8,IF(D68="Options Sell",[1]AB3!$C$14,IF(D68="Options Buy",[1]AB3!$C$20)))</f>
        <v>Segment</v>
      </c>
      <c r="D68" s="43" t="str">
        <f t="array" ref="D68">IF(A66="","",INDEX([1]AB2!C:C,MATCH(D66,[1]AB2!B:B,0)))</f>
        <v>FUTURES</v>
      </c>
      <c r="E68" s="42" t="str">
        <f>IF(D68="Futures",[1]AB3!$E$8,IF(D68="Options Sell",[1]AB3!$E$14,IF(D68="Options Buy",[1]AB3!$E$20)))</f>
        <v>Contract</v>
      </c>
      <c r="F68" s="43" t="str">
        <f t="array" ref="F68">IF(A66="","",INDEX([1]AB2!F:F,MATCH(D66,[1]AB2!B:B,0)))</f>
        <v>MONTHLY</v>
      </c>
      <c r="G68" s="62"/>
      <c r="H68" s="62"/>
      <c r="I68" s="63"/>
      <c r="J68" s="64"/>
      <c r="K68" s="48"/>
      <c r="L68" s="62"/>
      <c r="M68" s="62"/>
      <c r="N68" s="63"/>
      <c r="O68" s="64"/>
      <c r="P68" s="63"/>
      <c r="Q68" s="64"/>
      <c r="R68" s="63"/>
      <c r="S68" s="64"/>
      <c r="T68" s="63"/>
      <c r="U68" s="64"/>
      <c r="V68" s="63"/>
      <c r="W68" s="64"/>
      <c r="X68" s="63"/>
      <c r="Y68" s="63"/>
      <c r="Z68" s="48"/>
      <c r="AA68" s="62"/>
      <c r="AB68" s="62"/>
      <c r="AC68" s="62"/>
      <c r="AD68" s="48"/>
      <c r="AE68" s="62"/>
      <c r="AF68" s="62"/>
      <c r="AG68" s="63"/>
      <c r="AH68" s="63"/>
      <c r="AI68" s="48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53"/>
      <c r="BD68" s="57"/>
      <c r="BE68" s="57"/>
      <c r="BF68" s="57"/>
      <c r="BG68" s="57"/>
      <c r="BH68" s="57"/>
      <c r="BI68" s="66"/>
      <c r="BJ68" s="62"/>
      <c r="BK68" s="63"/>
      <c r="BL68" s="63"/>
      <c r="BM68" s="57"/>
      <c r="BN68" s="66"/>
      <c r="BO68" s="62"/>
      <c r="BP68" s="62"/>
      <c r="BQ68" s="62"/>
      <c r="BR68" s="62"/>
      <c r="BS68" s="62"/>
      <c r="BT68" s="62"/>
      <c r="BU68" s="62"/>
      <c r="BV68" s="62"/>
      <c r="BW68" s="62"/>
      <c r="BX68" s="62"/>
      <c r="BY68" s="62"/>
      <c r="BZ68" s="62"/>
      <c r="CA68" s="62"/>
      <c r="CB68" s="62"/>
      <c r="CC68" s="62"/>
      <c r="CD68" s="62"/>
      <c r="CE68" s="62"/>
      <c r="CF68" s="62"/>
      <c r="CG68" s="62"/>
      <c r="CH68" s="62"/>
      <c r="CI68" s="62"/>
      <c r="CJ68" s="62"/>
      <c r="CK68" s="59"/>
      <c r="CL68" s="62"/>
      <c r="CM68" s="62"/>
      <c r="CN68" s="59"/>
      <c r="CO68" s="62"/>
      <c r="CP68" s="62"/>
      <c r="CQ68" s="59"/>
      <c r="CR68" s="62"/>
      <c r="CS68" s="62"/>
      <c r="CT68" s="59"/>
      <c r="CU68" s="62"/>
      <c r="CV68" s="59"/>
      <c r="CW68" s="59"/>
    </row>
    <row r="69" spans="1:101" ht="16.5" customHeight="1" x14ac:dyDescent="0.2">
      <c r="A69" s="60"/>
      <c r="B69" s="41" t="str">
        <f>CONCATENATE(D66,IF(D68="Futures",[1]AB3!$B$9,IF(D68="Options Sell",[1]AB3!$B$15,IF(D68="Options Buy",[1]AB3!$B$21))))</f>
        <v>S11D</v>
      </c>
      <c r="C69" s="42" t="str">
        <f>IF(D68="Futures",[1]AB3!$C$9,IF(D68="Options Sell",[1]AB3!$C$15,IF(D68="Options Buy",[1]AB3!$C$21)))</f>
        <v>Symbol</v>
      </c>
      <c r="D69" s="43" t="str">
        <f t="array" ref="D69">IF(A66="","",INDEX([1]AB2!E:E,MATCH(D66,[1]AB2!B:B,0)))</f>
        <v>GOLDM</v>
      </c>
      <c r="E69" s="44" t="str">
        <f>IF(D68="Futures",[1]AB3!$E$9,IF(D68="Options Sell",[1]AB3!$E$15,IF(D68="Options Buy",[1]AB3!$E$21)))</f>
        <v>Bear / 
Bear CF</v>
      </c>
      <c r="F69" s="45" t="str">
        <f>IF(D68="Futures",[1]AB3!$F$9,IF(D68="Options Sell",[1]AB3!$F$15,IF(D68="Options Buy",[1]AB3!$F$21)))</f>
        <v>Long</v>
      </c>
      <c r="G69" s="43" t="str">
        <f t="array" ref="G69">IF(A66="","",IF(D68="Futures",CONCATENATE([1]AB3!$G$9,INDEX([1]AB2!J:J,MATCH(D66,[1]AB2!B:B,0)),[1]AB3!$H$9),IF(D68="Options Sell",CONCATENATE([1]AB3!$G$15,INDEX([1]AB2!I:I,MATCH(D66,[1]AB2!B:B,0)),[1]AB3!$H$15),IF(D68="Options Buy",CONCATENATE([1]AB3!$G$21,INDEX([1]AB2!J:J,MATCH(D66,[1]AB2!B:B,0)),[1]AB3!$H$21)))))</f>
        <v>FUT : PRV : 3DHH</v>
      </c>
      <c r="H69" s="43" t="str">
        <f>IF(D68="Futures",[1]AB3!$I$9,IF(D68="Options Sell",[1]AB3!$I$15,IF(D68="Options Buy",[1]AB3!$I$21)))</f>
        <v xml:space="preserve"> + </v>
      </c>
      <c r="I69" s="46">
        <v>1E-3</v>
      </c>
      <c r="J69" s="47">
        <v>5</v>
      </c>
      <c r="K69" s="48"/>
      <c r="L69" s="43" t="str">
        <f>IF(D68="Futures",[1]AB3!$M$9,IF(D68="Options Sell",[1]AB3!$M$15,IF(D68="Options Buy",[1]AB3!$M$21)))</f>
        <v xml:space="preserve">L : Entry </v>
      </c>
      <c r="M69" s="43" t="str">
        <f>IF(D68="Futures",[1]AB3!$N$9,IF(D68="Options Sell",[1]AB3!$N$15,IF(D68="Options Buy",[1]AB3!$N$21)))</f>
        <v xml:space="preserve"> + </v>
      </c>
      <c r="N69" s="46">
        <v>0.01</v>
      </c>
      <c r="O69" s="47">
        <v>1</v>
      </c>
      <c r="P69" s="46">
        <v>1.4999999999999999E-2</v>
      </c>
      <c r="Q69" s="47">
        <v>1</v>
      </c>
      <c r="R69" s="46">
        <v>0.02</v>
      </c>
      <c r="S69" s="47">
        <v>1</v>
      </c>
      <c r="T69" s="46">
        <v>2.5000000000000001E-2</v>
      </c>
      <c r="U69" s="47">
        <v>1</v>
      </c>
      <c r="V69" s="50" t="s">
        <v>51</v>
      </c>
      <c r="W69" s="47">
        <v>1</v>
      </c>
      <c r="X69" s="50" t="s">
        <v>52</v>
      </c>
      <c r="Y69" s="50" t="s">
        <v>52</v>
      </c>
      <c r="Z69" s="48"/>
      <c r="AA69" s="43" t="str">
        <f>IF(D68="Futures",[1]AB3!$AD$9,IF(D68="Options Sell",[1]AB3!$AD$15,IF(D68="Options Buy",[1]AB3!$AD$21)))</f>
        <v>Max</v>
      </c>
      <c r="AB69" s="43" t="str">
        <f>IF(D68="Futures",[1]AB3!$AE$9,IF(D68="Options Sell",[1]AB3!$AE$15,IF(D68="Options Buy",[1]AB3!$AE$21)))</f>
        <v>MSL &amp; TSL</v>
      </c>
      <c r="AC69" s="43" t="str">
        <f>IF(D68="Futures",[1]AB3!$AF$9,IF(D68="Options Sell",[1]AB3!$AF$15,IF(D68="Options Buy",[1]AB3!$AF$21)))</f>
        <v>Entry &amp; TRP</v>
      </c>
      <c r="AD69" s="48"/>
      <c r="AE69" s="43" t="str">
        <f>IF(D68="Futures",[1]AB3!$AH$9,IF(D68="Options Sell",[1]AB3!$AH$15,IF(D68="Options Buy",[1]AB3!$AH$21)))</f>
        <v>L : Entry</v>
      </c>
      <c r="AF69" s="43" t="str">
        <f>IF(D68="Futures",[1]AB3!$AI$9,IF(D68="Options Sell",[1]AB3!$AI$15,IF(D68="Options Buy",[1]AB3!$AI$21)))</f>
        <v xml:space="preserve"> - </v>
      </c>
      <c r="AG69" s="46">
        <v>0.01</v>
      </c>
      <c r="AH69" s="46">
        <v>0</v>
      </c>
      <c r="AI69" s="48"/>
      <c r="AJ69" s="43" t="str">
        <f>IF(D68="Futures",[1]AB3!$AO$9,IF(D68="Options Sell",[1]AB3!$AO$15,IF(D68="Options Buy",[1]AB3!$AO$21)))</f>
        <v xml:space="preserve"> - </v>
      </c>
      <c r="AK69" s="43" t="str">
        <f t="array" ref="AK69">IF(A66="","",IF(D68="Futures",CONCATENATE([1]AB3!$AP$9,INDEX([1]AB2!M:M,MATCH(D66,[1]AB2!B:B,0)),[1]AB3!$AQ$9),IF(D68="Options Sell",CONCATENATE([1]AB3!$AP$15,INDEX([1]AB2!L:L,MATCH(D66,[1]AB2!B:B,0)),[1]AB3!$AQ$15),IF(D68="Options Buy",CONCATENATE([1]AB3!$AP$21,INDEX([1]AB2!M:M,MATCH(D66,[1]AB2!B:B,0)),[1]AB3!$AQ$21)))))</f>
        <v>FUT : PRV : 3DLL</v>
      </c>
      <c r="AL69" s="51">
        <f>IF(AND(D68="Futures",AK69=[1]AB3!$AS$9),[1]AB3!$AS$9,IF(AND(D68="Options Sell",AK69=[1]AB3!$AS$15),[1]AB3!$AS$15,IF(AND(D68="Options Buy",AK69=[1]AB3!$AS$21),[1]AB3!$AS$21,I70)))</f>
        <v>1E-3</v>
      </c>
      <c r="AM69" s="52">
        <f>J70</f>
        <v>5</v>
      </c>
      <c r="AN69" s="43" t="str">
        <f t="array" ref="AN69">IF(A66="","",IF(AND(OR(D70="1 &amp; APS",D70="2 &amp; APS",D70="3 &amp; APS",D70="4 &amp; APS",D70="5 &amp; APS"),D68="Futures"),CONCATENATE([1]AB3!$AP$9,INDEX([1]AB2!M:M,MATCH(D66,[1]AB2!B:B,0)),[1]AB3!$AQ$9),IF(AND(OR(D70="1 &amp; APS",D70="2 &amp; APS",D70="3 &amp; APS",D70="4 &amp; APS",D70="5 &amp; APS"),D68="Options Sell"),CONCATENATE([1]AB3!$AP$15,INDEX([1]AB2!L:L,MATCH(D66,[1]AB2!B:B,0)),[1]AB3!$AQ$15),IF(AND(OR(D70="1 &amp; APS",D70="2 &amp; APS",D70="3 &amp; APS",D70="4 &amp; APS",D70="5 &amp; APS"),D68="Options Buy"),CONCATENATE([1]AB3!$AP$21,INDEX([1]AB2!M:M,MATCH(D66,[1]AB2!B:B,0)),[1]AB3!$AQ$21),[1]AB3!$AR$6))))</f>
        <v>FUT : PRV : 3DLL</v>
      </c>
      <c r="AO69" s="51">
        <f>IF(AND(D68="Futures",AN69=[1]AB3!$AU$9),[1]AB3!$AU$9,IF(AND(D68="Options Sell",AN69=[1]AB3!$AU$15),[1]AB3!$AU$15,IF(AND(D68="Options Buy",AN69=[1]AB3!$AU$21),[1]AB3!$AU$21,I70)))</f>
        <v>1E-3</v>
      </c>
      <c r="AP69" s="52">
        <f t="shared" ref="AP69:AP70" si="105">AM69-O69</f>
        <v>4</v>
      </c>
      <c r="AQ69" s="43" t="str">
        <f t="array" ref="AQ69">IF(A66="","",IF(AND(OR(D70="2 &amp; APS",D70="3 &amp; APS",D70="4 &amp; APS",D70="5 &amp; APS"),D68="Futures"),CONCATENATE([1]AB3!$AP$9,INDEX([1]AB2!M:M,MATCH(D66,[1]AB2!B:B,0)),[1]AB3!$AQ$9),IF(AND(OR(D70="2 &amp; APS",D70="3 &amp; APS",D70="4 &amp; APS",D70="5 &amp; APS"),D68="Options Sell"),CONCATENATE([1]AB3!$AP$15,INDEX([1]AB2!L:L,MATCH(D66,[1]AB2!B:B,0)),[1]AB3!$AQ$15),IF(AND(OR(D70="2 &amp; APS",D70="3 &amp; APS",D70="4 &amp; APS",D70="5 &amp; APS"),D68="Options Buy"),CONCATENATE([1]AB3!$AP$21,INDEX([1]AB2!M:M,MATCH(D66,[1]AB2!B:B,0)),[1]AB3!$AQ$21),[1]AB3!$AR$6))))</f>
        <v>FUT : PRV : 3DLL</v>
      </c>
      <c r="AR69" s="51">
        <f>IF(AND(D68="Futures",AQ69=[1]AB3!$AW$9),[1]AB3!$AW$9,IF(AND(D68="Options Sell",AQ69=[1]AB3!$AW$15),[1]AB3!$AW$15,IF(AND(D68="Options Buy",AQ69=[1]AB3!$AW$21),[1]AB3!$AW$21,I70)))</f>
        <v>1E-3</v>
      </c>
      <c r="AS69" s="52">
        <f t="shared" ref="AS69:AS70" si="106">AP69-Q69</f>
        <v>3</v>
      </c>
      <c r="AT69" s="43" t="str">
        <f t="array" ref="AT69">IF(A66="","",IF(AND(OR(D70="3 &amp; APS",D70="4 &amp; APS",D70="5 &amp; APS"),D68="Futures"),CONCATENATE([1]AB3!$AP$9,INDEX([1]AB2!M:M,MATCH(D66,[1]AB2!B:B,0)),[1]AB3!$AQ$9),IF(AND(OR(D70="3 &amp; APS",D70="4 &amp; APS",D70="5 &amp; APS"),D68="Options Sell"),CONCATENATE([1]AB3!$AP$15,INDEX([1]AB2!L:L,MATCH(D66,[1]AB2!B:B,0)),[1]AB3!$AQ$15),IF(AND(OR(D70="3 &amp; APS",D70="4 &amp; APS",D70="5 &amp; APS"),D68="Options Buy"),CONCATENATE([1]AB3!$AP$21,INDEX([1]AB2!M:M,MATCH(D66,[1]AB2!B:B,0)),[1]AB3!$AQ$21),[1]AB3!$AR$6))))</f>
        <v>FUT : PRV : 3DLL</v>
      </c>
      <c r="AU69" s="51">
        <f>IF(AND(D68="Futures",AT69=[1]AB3!$AY$9),[1]AB3!$AY$9,IF(AND(D68="Options Sell",AT69=[1]AB3!$AY$15),[1]AB3!$AY$15,IF(AND(D68="Options Buy",AT69=[1]AB3!$AY$21),[1]AB3!$AY$21,I70)))</f>
        <v>1E-3</v>
      </c>
      <c r="AV69" s="52">
        <f t="shared" ref="AV69:AV70" si="107">AS69-S69</f>
        <v>2</v>
      </c>
      <c r="AW69" s="43" t="str">
        <f t="array" ref="AW69">IF(A66="","",IF(AND(OR(D70="4 &amp; APS",D70="5 &amp; APS"),D68="Futures"),CONCATENATE([1]AB3!$AP$9,INDEX([1]AB2!M:M,MATCH(D66,[1]AB2!B:B,0)),[1]AB3!$AQ$9),IF(AND(OR(D70="4 &amp; APS",D70="5 &amp; APS"),D68="Options Sell"),CONCATENATE([1]AB3!$AP$15,INDEX([1]AB2!L:L,MATCH(D66,[1]AB2!B:B,0)),[1]AB3!$AQ$15),IF(AND(OR(D70="4 &amp; APS",D70="5 &amp; APS"),D68="Options Buy"),CONCATENATE([1]AB3!$AP$21,INDEX([1]AB2!M:M,MATCH(D66,[1]AB2!B:B,0)),[1]AB3!$AQ$21),[1]AB3!$AR$6))))</f>
        <v>FUT : PRV : 3DLL</v>
      </c>
      <c r="AX69" s="51">
        <f>IF(AND(D68="Futures",AW69=[1]AB3!$BA$9),[1]AB3!$BA$9,IF(AND(D68="Options Sell",AW69=[1]AB3!$BA$15),[1]AB3!$BA$15,IF(AND(D68="Options Buy",AW69=[1]AB3!$BA$21),[1]AB3!$BA$21,I70)))</f>
        <v>1E-3</v>
      </c>
      <c r="AY69" s="52">
        <f t="shared" ref="AY69:AY70" si="108">AV69-S69</f>
        <v>1</v>
      </c>
      <c r="AZ69" s="51">
        <f t="array" ref="AZ69">IF(A66="","",IF(AND(D70="5 &amp; APS",D68="Futures"),CONCATENATE([1]AB3!$AP$9,INDEX([1]AB2!M:M,MATCH(D66,[1]AB2!B:B,0)),[1]AB3!$AQ$9),IF(AND(D70="5 &amp; APS",D68="Options Sell"),CONCATENATE([1]AB3!$AP$15,INDEX([1]AB2!L:L,MATCH(D66,[1]AB2!B:B,0)),[1]AB3!$AQ$15),IF(AND(D70="5 &amp; APS",D68="Options Buy"),CONCATENATE([1]AB3!$AP$21,INDEX([1]AB2!M:M,MATCH(D66,[1]AB2!B:B,0)),[1]AB3!$AQ$21),[1]AB3!$AR$6))))</f>
        <v>0</v>
      </c>
      <c r="BA69" s="51">
        <f>IF(AND(D68="Futures",AZ69=[1]AB3!$BC$9),[1]AB3!$BC$9,IF(AND(D68="Options Sell",AZ69=[1]AB3!$BC$15),[1]AB3!$BC$15,IF(AND(D68="Options Buy",AZ69=[1]AB3!$BC$21),[1]AB3!$BC$21,I70)))</f>
        <v>0</v>
      </c>
      <c r="BB69" s="52">
        <f t="shared" ref="BB69:BB70" si="109">AY69-W69</f>
        <v>0</v>
      </c>
      <c r="BC69" s="53"/>
      <c r="BD69" s="54" t="str">
        <f>IF(D68="Futures",[1]AB3!$BE$9,IF(D68="Options Sell",[1]AB3!$BE$15,IF(D68="Options Buy",[1]AB3!$BE$21)))</f>
        <v>Market Start Time</v>
      </c>
      <c r="BE69" s="67">
        <f t="array" ref="BE69">IF(D66="","",INDEX([1]AB2!AG:AG,MATCH(D66,[1]AB2!B:B,0)))</f>
        <v>0.375</v>
      </c>
      <c r="BF69" s="11"/>
      <c r="BG69" s="12"/>
      <c r="BH69" s="57"/>
      <c r="BI69" s="68" t="str">
        <f>IF(D68="Futures",[1]AB3!$BJ$9,IF(D68="Options Sell",[1]AB3!$BJ$15,IF(D68="Options Buy",[1]AB3!$BJ$21)))</f>
        <v>Bear / 
Bear CF</v>
      </c>
      <c r="BJ69" s="45" t="str">
        <f>IF(D68="Futures",[1]AB3!$BK$9,IF(D68="Options Sell",[1]AB3!$BK$15,IF(D68="Options Buy",[1]AB3!$BK$21)))</f>
        <v>Long</v>
      </c>
      <c r="BK69" s="46">
        <v>1E-3</v>
      </c>
      <c r="BL69" s="46">
        <v>1E-3</v>
      </c>
      <c r="BM69" s="57"/>
      <c r="BN69" s="68" t="str">
        <f>IF(D68="Futures",[1]AB3!$BO$9,IF(D68="Options Sell",[1]AB3!$BO$15,IF(D68="Options Buy",[1]AB3!$BO$21)))</f>
        <v>Bear | 
Bear CF</v>
      </c>
      <c r="BO69" s="45" t="str">
        <f>IF(D68="Futures",[1]AB3!$BP$9,IF(D68="Options Sell",[1]AB3!$BP$15,IF(D68="Options Buy",[1]AB3!$BP$21)))</f>
        <v>Call</v>
      </c>
      <c r="BP69" s="43" t="str">
        <f t="array" ref="BP69">IF(A66="","",IF(D68="Futures","",IF(D68="EQUITY","",IF(D68="Options Sell",CONCATENATE([1]AB3!$BQ$15,INDEX([1]AB2!I:I,MATCH(A66,[1]AB2!A:A,0)),[1]AB3!$BR$15),IF(D68="Options Buy",CONCATENATE([1]AB3!$BQ$21,INDEX([1]AB2!I:I,MATCH(A66,[1]AB2!A:A,0)),[1]AB3!$BR$21))))))</f>
        <v/>
      </c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9"/>
      <c r="CL69" s="43"/>
      <c r="CM69" s="43"/>
      <c r="CN69" s="59"/>
      <c r="CO69" s="43"/>
      <c r="CP69" s="43"/>
      <c r="CQ69" s="59"/>
      <c r="CR69" s="43"/>
      <c r="CS69" s="43"/>
      <c r="CT69" s="59"/>
      <c r="CU69" s="43"/>
      <c r="CV69" s="59"/>
      <c r="CW69" s="59"/>
    </row>
    <row r="70" spans="1:101" ht="16.5" customHeight="1" x14ac:dyDescent="0.2">
      <c r="A70" s="32"/>
      <c r="B70" s="41" t="str">
        <f>CONCATENATE(D66,IF(D68="Futures",[1]AB3!$B$10,IF(D68="Options Sell",[1]AB3!$B$16,IF(D68="Options Buy",[1]AB3!$B$22))))</f>
        <v>S11E</v>
      </c>
      <c r="C70" s="42" t="str">
        <f>IF(D68="Futures",[1]AB3!$C$10,IF(D68="Options Sell",[1]AB3!$C$16,IF(D68="Options Buy",[1]AB3!$C$22)))</f>
        <v>No. of Targets</v>
      </c>
      <c r="D70" s="43" t="str">
        <f t="array" ref="D70">IF(A66="","",INDEX([1]AB2!K:K,MATCH(D66,[1]AB2!B:B,0)))</f>
        <v>4 &amp; APS</v>
      </c>
      <c r="E70" s="32"/>
      <c r="F70" s="61" t="str">
        <f>IF(D68="Futures",[1]AB3!$F$10,IF(D68="Options Sell",[1]AB3!$F$16,IF(D68="Options Buy",[1]AB3!$F$22)))</f>
        <v>Short</v>
      </c>
      <c r="G70" s="43" t="str">
        <f t="array" ref="G70">(IF(A66="","",IF(D68="Futures",CONCATENATE([1]AB3!$G$10,INDEX([1]AB2!I:I,MATCH(D66,[1]AB2!B:B,0)),[1]AB3!$H$10),IF(D68="Options Sell",CONCATENATE([1]AB3!$G$16,INDEX([1]AB2!J:J,MATCH(D66,[1]AB2!B:B,0)),[1]AB3!$H$16),IF(D68="Options Buy",CONCATENATE([1]AB3!$G$22,INDEX([1]AB2!I:I,MATCH(D66,[1]AB2!B:B,0)),[1]AB3!$H$22))))))</f>
        <v>FUT : PRV : 3DLL</v>
      </c>
      <c r="H70" s="43" t="str">
        <f>IF(D68="Futures",[1]AB3!$I$10,IF(D68="Options Sell",[1]AB3!$I$16,IF(D68="Options Buy",[1]AB3!$I$22)))</f>
        <v xml:space="preserve"> - </v>
      </c>
      <c r="I70" s="46">
        <v>1E-3</v>
      </c>
      <c r="J70" s="47">
        <v>5</v>
      </c>
      <c r="K70" s="48"/>
      <c r="L70" s="43" t="str">
        <f>IF(D68="Futures",[1]AB3!$M$10,IF(D68="Options Sell",[1]AB3!$M$16,IF(D68="Options Buy",[1]AB3!$M$22)))</f>
        <v xml:space="preserve">S : Entry </v>
      </c>
      <c r="M70" s="43" t="str">
        <f>IF(D68="Futures",[1]AB3!$N$10,IF(D68="Options Sell",[1]AB3!$N$16,IF(D68="Options Buy",[1]AB3!$N$22)))</f>
        <v xml:space="preserve"> - </v>
      </c>
      <c r="N70" s="46">
        <v>0.01</v>
      </c>
      <c r="O70" s="47">
        <v>1</v>
      </c>
      <c r="P70" s="46">
        <v>1.4999999999999999E-2</v>
      </c>
      <c r="Q70" s="47">
        <v>1</v>
      </c>
      <c r="R70" s="46">
        <v>0.02</v>
      </c>
      <c r="S70" s="47">
        <v>1</v>
      </c>
      <c r="T70" s="46">
        <v>2.5000000000000001E-2</v>
      </c>
      <c r="U70" s="47">
        <v>1</v>
      </c>
      <c r="V70" s="50" t="s">
        <v>51</v>
      </c>
      <c r="W70" s="47">
        <v>1</v>
      </c>
      <c r="X70" s="50" t="s">
        <v>52</v>
      </c>
      <c r="Y70" s="50" t="s">
        <v>52</v>
      </c>
      <c r="Z70" s="48"/>
      <c r="AA70" s="43" t="str">
        <f>IF(D68="Futures",[1]AB3!$AD$10,IF(D68="Options Sell",[1]AB3!$AD$16,IF(D68="Options Buy",[1]AB3!$AD$22)))</f>
        <v>Min</v>
      </c>
      <c r="AB70" s="43" t="str">
        <f>IF(D68="Futures",[1]AB3!$AE$10,IF(D68="Options Sell",[1]AB3!$AE$16,IF(D68="Options Buy",[1]AB3!$AE$22)))</f>
        <v>MSL &amp; TSL</v>
      </c>
      <c r="AC70" s="43" t="str">
        <f>IF(D68="Futures",[1]AB3!$AF$10,IF(D68="Options Sell",[1]AB3!$AF$16,IF(D68="Options Buy",[1]AB3!$AF$22)))</f>
        <v>Entry &amp; TRP</v>
      </c>
      <c r="AD70" s="48"/>
      <c r="AE70" s="43" t="str">
        <f>IF(D68="Futures",[1]AB3!$AH$10,IF(D68="Options Sell",[1]AB3!$AH$16,IF(D68="Options Buy",[1]AB3!$AH$22)))</f>
        <v>S : Entry</v>
      </c>
      <c r="AF70" s="43" t="str">
        <f>IF(D68="Futures",[1]AB3!$AI$10,IF(D68="Options Sell",[1]AB3!$AI$16,IF(D68="Options Buy",[1]AB3!$AI$22)))</f>
        <v xml:space="preserve"> + </v>
      </c>
      <c r="AG70" s="46">
        <v>0.01</v>
      </c>
      <c r="AH70" s="46">
        <v>0</v>
      </c>
      <c r="AI70" s="48"/>
      <c r="AJ70" s="43" t="str">
        <f>IF(D68="Futures",[1]AB3!$AO$10,IF(D68="Options Sell",[1]AB3!$AO$16,IF(D68="Options Buy",[1]AB3!$AO$22)))</f>
        <v xml:space="preserve"> + </v>
      </c>
      <c r="AK70" s="43" t="str">
        <f t="array" ref="AK70">IF(A66="","",IF(D68="Futures",CONCATENATE([1]AB3!$AP$10,INDEX([1]AB2!L:L,MATCH(D66,[1]AB2!B:B,0)),[1]AB3!$AQ$10),IF(D68="Options Sell",CONCATENATE([1]AB3!$AP$16,INDEX([1]AB2!M:M,MATCH(D66,[1]AB2!B:B,0)),[1]AB3!$AQ$16),IF(D68="Options Buy",CONCATENATE([1]AB3!$AP$22,INDEX([1]AB2!L:L,MATCH(D66,[1]AB2!B:B,0)),[1]AB3!$AQ$22)))))</f>
        <v>FUT : PRV : 3DHH</v>
      </c>
      <c r="AL70" s="51">
        <f>IF(AND(D68="Futures",AK70=[1]AB3!$AS$10),[1]AB3!$AS$10,IF(AND(D68="Options Sell",AK70=[1]AB3!$AS$16),[1]AB3!$AS$16,IF(AND(D68="Options Buy",AK70=[1]AB3!$AS$22),[1]AB3!$AS$22,I69)))</f>
        <v>1E-3</v>
      </c>
      <c r="AM70" s="52">
        <f>J69</f>
        <v>5</v>
      </c>
      <c r="AN70" s="43" t="str">
        <f t="array" ref="AN70">IF(A66="","",IF(AND(OR(D70="1 &amp; APS",D70="2 &amp; APS",D70="3 &amp; APS",D70="4 &amp; APS",D70="5 &amp; APS"),D68="Futures"),CONCATENATE([1]AB3!$AP$10,INDEX([1]AB2!L:L,MATCH(D66,[1]AB2!B:B,0)),[1]AB3!$AQ$10),IF(AND(OR(D70="1 &amp; APS",D70="2 &amp; APS",D70="3 &amp; APS",D70="4 &amp; APS",D70="5 &amp; APS"),D68="Options Sell"),CONCATENATE([1]AB3!$AP$16,INDEX([1]AB2!M:M,MATCH(D66,[1]AB2!B:B,0)),[1]AB3!$AQ$16),IF(AND(OR(D70="1 &amp; APS",D70="2 &amp; APS",D70="3 &amp; APS",D70="4 &amp; APS",D70="5 &amp; APS"),D68="Options Buy"),CONCATENATE([1]AB3!$AP$22,INDEX([1]AB2!L:L,MATCH(D66,[1]AB2!B:B,0)),[1]AB3!$AQ$22),[1]AB3!$AR$6))))</f>
        <v>FUT : PRV : 3DHH</v>
      </c>
      <c r="AO70" s="51">
        <f>IF(AND(D68="Futures",AN70=[1]AB3!$AU$10),[1]AB3!$AU$10,IF(AND(D68="Options Sell",AN70=[1]AB3!$AU$16),[1]AB3!$AU$16,IF(AND(D68="Options Buy",AN70=[1]AB3!$AU$22),[1]AB3!$AU$22,I69)))</f>
        <v>1E-3</v>
      </c>
      <c r="AP70" s="52">
        <f t="shared" si="105"/>
        <v>4</v>
      </c>
      <c r="AQ70" s="43" t="str">
        <f t="array" ref="AQ70">IF(A66="","",IF(AND(OR(D70="2 &amp; APS",D70="3 &amp; APS",D70="4 &amp; APS",D70="5 &amp; APS"),D68="Futures"),CONCATENATE([1]AB3!$AP$10,INDEX([1]AB2!L:L,MATCH(D66,[1]AB2!B:B,0)),[1]AB3!$AQ$10),IF(AND(OR(D70="2 &amp; APS",D70="3 &amp; APS",D70="4 &amp; APS",D70="5 &amp; APS"),D68="Options Sell"),CONCATENATE([1]AB3!$AP$16,INDEX([1]AB2!M:M,MATCH(D66,[1]AB2!B:B,0)),[1]AB3!$AQ$16),IF(AND(OR(D70="2 &amp; APS",D70="3 &amp; APS",D70="4 &amp; APS",D70="5 &amp; APS"),D68="Options Buy"),CONCATENATE([1]AB3!$AP$22,INDEX([1]AB2!L:L,MATCH(D66,[1]AB2!B:B,0)),[1]AB3!$AQ$22),[1]AB3!$AR$6))))</f>
        <v>FUT : PRV : 3DHH</v>
      </c>
      <c r="AR70" s="51">
        <f>IF(AND(D68="Futures",AQ70=[1]AB3!$AW$10),[1]AB3!$AW$10,IF(AND(D68="Options Sell",AQ70=[1]AB3!$AW$16),[1]AB3!$AW$16,IF(AND(D68="Options Buy",AQ70=[1]AB3!$AW$22),[1]AB3!$AW$22,I69)))</f>
        <v>1E-3</v>
      </c>
      <c r="AS70" s="52">
        <f t="shared" si="106"/>
        <v>3</v>
      </c>
      <c r="AT70" s="43" t="str">
        <f t="array" ref="AT70">IF(A66="","",IF(AND(OR(D70="3 &amp; APS",D70="4 &amp; APS",D70="5 &amp; APS"),D68="Futures"),CONCATENATE([1]AB3!$AP$10,INDEX([1]AB2!L:L,MATCH(D66,[1]AB2!B:B,0)),[1]AB3!$AQ$10),IF(AND(OR(D70="3 &amp; APS",D70="4 &amp; APS",D70="5 &amp; APS"),D68="Options Sell"),CONCATENATE([1]AB3!$AP$16,INDEX([1]AB2!M:M,MATCH(D66,[1]AB2!B:B,0)),[1]AB3!$AQ$16),IF(AND(OR(D70="3 &amp; APS",D70="4 &amp; APS",D70="5 &amp; APS"),D68="Options Buy"),CONCATENATE([1]AB3!$AP$22,INDEX([1]AB2!L:L,MATCH(D66,[1]AB2!B:B,0)),[1]AB3!$AQ$22),[1]AB3!$AR$6))))</f>
        <v>FUT : PRV : 3DHH</v>
      </c>
      <c r="AU70" s="51">
        <f>IF(AND(D68="Futures",AT70=[1]AB3!$AY$10),[1]AB3!$AY$10,IF(AND(D68="Options Sell",AT70=[1]AB3!$AY$16),[1]AB3!$AY$16,IF(AND(D68="Options Buy",AT70=[1]AB3!$AY$22),[1]AB3!$AY$22,I69)))</f>
        <v>1E-3</v>
      </c>
      <c r="AV70" s="52">
        <f t="shared" si="107"/>
        <v>2</v>
      </c>
      <c r="AW70" s="43" t="str">
        <f t="array" ref="AW70">IF(A66="","",IF(AND(OR(D70="4 &amp; APS",D70="5 &amp; APS"),D68="Futures"),CONCATENATE([1]AB3!$AP$10,INDEX([1]AB2!L:L,MATCH(D66,[1]AB2!B:B,0)),[1]AB3!$AQ$10),IF(AND(OR(D70="4 &amp; APS",D70="5 &amp; APS"),D68="Options Sell"),CONCATENATE([1]AB3!$AP$16,INDEX([1]AB2!M:M,MATCH(D66,[1]AB2!B:B,0)),[1]AB3!$AQ$16),IF(AND(OR(D70="4 &amp; APS",D70="5 &amp; APS"),D68="Options Buy"),CONCATENATE([1]AB3!$AP$22,INDEX([1]AB2!L:L,MATCH(D66,[1]AB2!B:B,0)),[1]AB3!$AQ$22),[1]AB3!$AR$6))))</f>
        <v>FUT : PRV : 3DHH</v>
      </c>
      <c r="AX70" s="51">
        <f>IF(AND(D68="Futures",AW70=[1]AB3!$BA$10),[1]AB3!$BA$10,IF(AND(D68="Options Sell",AW70=[1]AB3!$BA$16),[1]AB3!$BA$16,IF(AND(D68="Options Buy",AW70=[1]AB3!$BA$22),[1]AB3!$BA$22,I69)))</f>
        <v>1E-3</v>
      </c>
      <c r="AY70" s="52">
        <f t="shared" si="108"/>
        <v>1</v>
      </c>
      <c r="AZ70" s="51">
        <f t="array" ref="AZ70">IF(A66="","",IF(AND(D70="5 &amp; APS",D68="Futures"),CONCATENATE([1]AB3!$AP$10,INDEX([1]AB2!L:L,MATCH(D66,[1]AB2!B:B,0)),[1]AB3!$AQ$10),IF(AND(D70="5 &amp; APS",D68="Options Sell"),CONCATENATE([1]AB3!$AP$16,INDEX([1]AB2!M:M,MATCH(D66,[1]AB2!B:B,0)),[1]AB3!$AQ$16),IF(AND(D70="5 &amp; APS",D68="Options Buy"),CONCATENATE([1]AB3!$AP$22,INDEX([1]AB2!L:L,MATCH(D66,[1]AB2!B:B,0)),[1]AB3!$AQ$22),[1]AB3!$AR$6))))</f>
        <v>0</v>
      </c>
      <c r="BA70" s="51">
        <f>IF(AND(D68="Futures",AZ70=[1]AB3!$BC$10),[1]AB3!$BC$10,IF(AND(D68="Options Sell",AZ70=[1]AB3!$BC$16),[1]AB3!$BC$16,IF(AND(D68="Options Buy",AZ70=[1]AB3!$BC$22),[1]AB3!$BC$22,I69)))</f>
        <v>0</v>
      </c>
      <c r="BB70" s="52">
        <f t="shared" si="109"/>
        <v>0</v>
      </c>
      <c r="BC70" s="53"/>
      <c r="BD70" s="54" t="str">
        <f>IF(D68="Futures",[1]AB3!$BE$10,IF(D68="Options Sell",[1]AB3!$BE$16,IF(D68="Options Buy",[1]AB3!$BE$22)))</f>
        <v>Market End Time</v>
      </c>
      <c r="BE70" s="67">
        <f t="array" ref="BE70">IF(D66="","",INDEX([1]AB2!AH:AH,MATCH(D66,[1]AB2!B:B,0)))</f>
        <v>0.97916666666666663</v>
      </c>
      <c r="BF70" s="11"/>
      <c r="BG70" s="12"/>
      <c r="BH70" s="57"/>
      <c r="BI70" s="32"/>
      <c r="BJ70" s="61" t="str">
        <f>IF(D68="Futures",[1]AB3!$BK$10,IF(D68="Options Sell",[1]AB3!$BK$16,IF(D68="Options Buy",[1]AB3!$BK$22)))</f>
        <v>Short</v>
      </c>
      <c r="BK70" s="46">
        <v>1E-3</v>
      </c>
      <c r="BL70" s="46">
        <v>1E-3</v>
      </c>
      <c r="BM70" s="57"/>
      <c r="BN70" s="32"/>
      <c r="BO70" s="61" t="str">
        <f>IF(D68="Futures",[1]AB3!$BP$10,IF(D68="Options Sell",[1]AB3!$BP$16,IF(D68="Options Buy",[1]AB3!$BP$22)))</f>
        <v>Put</v>
      </c>
      <c r="BP70" s="43" t="str">
        <f t="array" ref="BP70">IF(A66="","",IF(D68="Futures","",IF(D68="EQUITY","",IF(D68="Options Sell",CONCATENATE([1]AB3!$BQ$16,INDEX([1]AB2!J:J,MATCH(A66,[1]AB2!A:A,0)),[1]AB3!$BR$16),IF(D68="Options Buy",CONCATENATE([1]AB3!$BQ$22,INDEX([1]AB2!J:J,MATCH(A66,[1]AB2!A:A,0)),[1]AB3!$BR$22))))))</f>
        <v/>
      </c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9"/>
      <c r="CL70" s="43"/>
      <c r="CM70" s="43"/>
      <c r="CN70" s="59"/>
      <c r="CO70" s="43"/>
      <c r="CP70" s="43"/>
      <c r="CQ70" s="59"/>
      <c r="CR70" s="43"/>
      <c r="CS70" s="43"/>
      <c r="CT70" s="59"/>
      <c r="CU70" s="43"/>
      <c r="CV70" s="59"/>
      <c r="CW70" s="59"/>
    </row>
    <row r="71" spans="1:101" ht="15.75" customHeight="1" x14ac:dyDescent="0.2">
      <c r="A71" s="1"/>
      <c r="B71" s="2"/>
      <c r="C71" s="2"/>
      <c r="D71" s="2"/>
      <c r="E71" s="2"/>
      <c r="F71" s="2"/>
      <c r="G71" s="2"/>
      <c r="H71" s="2"/>
      <c r="I71" s="2"/>
      <c r="J71" s="64"/>
      <c r="K71" s="2"/>
      <c r="L71" s="2"/>
      <c r="M71" s="2"/>
      <c r="N71" s="2"/>
      <c r="O71" s="64"/>
      <c r="P71" s="2"/>
      <c r="Q71" s="64"/>
      <c r="R71" s="69"/>
      <c r="S71" s="64"/>
      <c r="T71" s="70"/>
      <c r="U71" s="64"/>
      <c r="V71" s="2"/>
      <c r="W71" s="64"/>
      <c r="X71" s="2"/>
      <c r="Y71" s="2"/>
      <c r="Z71" s="2"/>
      <c r="AA71" s="20"/>
      <c r="AB71" s="71"/>
      <c r="AC71" s="71"/>
      <c r="AD71" s="2"/>
      <c r="AE71" s="70"/>
      <c r="AF71" s="70"/>
      <c r="AG71" s="70"/>
      <c r="AH71" s="70"/>
      <c r="AI71" s="2"/>
      <c r="AJ71" s="70"/>
      <c r="AK71" s="70"/>
      <c r="AL71" s="70"/>
      <c r="AM71" s="64"/>
      <c r="AN71" s="70"/>
      <c r="AO71" s="70"/>
      <c r="AP71" s="64"/>
      <c r="AQ71" s="70"/>
      <c r="AR71" s="70"/>
      <c r="AS71" s="64"/>
      <c r="AT71" s="70"/>
      <c r="AU71" s="70"/>
      <c r="AV71" s="64"/>
      <c r="AW71" s="70"/>
      <c r="AX71" s="70"/>
      <c r="AY71" s="64"/>
      <c r="AZ71" s="70"/>
      <c r="BA71" s="70"/>
      <c r="BB71" s="64"/>
      <c r="BC71" s="70"/>
      <c r="BD71" s="70"/>
      <c r="BE71" s="70"/>
      <c r="BF71" s="70"/>
      <c r="BG71" s="70"/>
      <c r="BH71" s="70"/>
      <c r="BI71" s="70"/>
      <c r="BJ71" s="70"/>
      <c r="BK71" s="2"/>
      <c r="BL71" s="2"/>
      <c r="BM71" s="70"/>
      <c r="BN71" s="70"/>
      <c r="BO71" s="70"/>
      <c r="BP71" s="70"/>
      <c r="BQ71" s="70"/>
      <c r="BR71" s="70"/>
      <c r="BS71" s="70"/>
      <c r="BT71" s="70"/>
      <c r="BU71" s="70"/>
      <c r="BV71" s="70"/>
      <c r="BW71" s="70"/>
      <c r="BX71" s="70"/>
      <c r="BY71" s="70"/>
      <c r="BZ71" s="70"/>
      <c r="CA71" s="70"/>
      <c r="CB71" s="70"/>
      <c r="CC71" s="70"/>
      <c r="CD71" s="70"/>
      <c r="CE71" s="70"/>
      <c r="CF71" s="70"/>
      <c r="CG71" s="70"/>
      <c r="CH71" s="70"/>
      <c r="CI71" s="70"/>
      <c r="CJ71" s="70"/>
      <c r="CK71" s="70"/>
      <c r="CL71" s="2"/>
      <c r="CM71" s="2"/>
      <c r="CN71" s="70"/>
      <c r="CO71" s="70"/>
      <c r="CP71" s="70"/>
      <c r="CQ71" s="70"/>
      <c r="CR71" s="2"/>
      <c r="CS71" s="2"/>
      <c r="CT71" s="70"/>
      <c r="CU71" s="70"/>
      <c r="CV71" s="70"/>
      <c r="CW71" s="70"/>
    </row>
    <row r="72" spans="1:101" ht="15.75" customHeight="1" x14ac:dyDescent="0.2">
      <c r="A72" s="40">
        <v>12</v>
      </c>
      <c r="B72" s="41" t="str">
        <f>CONCATENATE(D72,IF(D74="Futures",[1]AB3!$B$6,IF(D74="Options Sell",[1]AB3!$B$12,IF(D74="Options Buy",[1]AB3!$B$18))))</f>
        <v>S12A</v>
      </c>
      <c r="C72" s="42" t="str">
        <f>IF(D74="Futures",[1]AB3!$C$6,IF(D74="Options Sell",[1]AB3!$C$12,IF(D74="Options Buy",[1]AB3!$C$18)))</f>
        <v>Strategy Code</v>
      </c>
      <c r="D72" s="43" t="str">
        <f t="array" ref="D72">IF(A72="","",INDEX([1]AB2!B:B,MATCH(A72,[1]AB2!A:A,0)))</f>
        <v>S12</v>
      </c>
      <c r="E72" s="44" t="str">
        <f>IF(D74="Futures",[1]AB3!$E$6,IF(D74="Options Sell",[1]AB3!$E$12,IF(D74="Options Buy",[1]AB3!$E$18)))</f>
        <v>Bull / 
Bull CF</v>
      </c>
      <c r="F72" s="45" t="str">
        <f>IF(D74="Futures",[1]AB3!$F$6,IF(D74="Options Sell",[1]AB3!$F$12,IF(D74="Options Buy",[1]AB3!$F$18)))</f>
        <v>Long</v>
      </c>
      <c r="G72" s="43" t="str">
        <f t="array" ref="G72">IF(A72="","",IF(D74="Futures",CONCATENATE([1]AB3!$G$6,INDEX([1]AB2!I:I,MATCH(D72,[1]AB2!B:B,0)),[1]AB3!$H$6),IF(D74="Options Sell",CONCATENATE([1]AB3!$G$12,INDEX([1]AB2!J:J,MATCH(D72,[1]AB2!B:B,0)),[1]AB3!$H$12),IF(D74="Options Buy",CONCATENATE([1]AB3!$G$18,INDEX([1]AB2!I:I,MATCH(D72,[1]AB2!B:B,0)),[1]AB3!$H$18)))))</f>
        <v>FUT : PRV : 2DHH</v>
      </c>
      <c r="H72" s="43" t="str">
        <f>IF(D74="Futures",[1]AB3!$I$6,IF(D74="Options Sell",[1]AB3!$I$12,IF(D74="Options Buy",[1]AB3!$I$18)))</f>
        <v xml:space="preserve"> + </v>
      </c>
      <c r="I72" s="46">
        <v>0</v>
      </c>
      <c r="J72" s="47">
        <v>5</v>
      </c>
      <c r="K72" s="48"/>
      <c r="L72" s="43" t="str">
        <f>IF(D74="Futures",[1]AB3!$M$6,IF(D74="Options Sell",[1]AB3!$M$12,IF(D74="Options Buy",[1]AB3!$M$18)))</f>
        <v xml:space="preserve">L : Entry </v>
      </c>
      <c r="M72" s="43" t="str">
        <f>IF(D74="Futures",[1]AB3!$N$6,IF(D74="Options Sell",[1]AB3!$N$12,IF(D74="Options Buy",[1]AB3!$N$18)))</f>
        <v xml:space="preserve"> + </v>
      </c>
      <c r="N72" s="46">
        <v>1.4E-2</v>
      </c>
      <c r="O72" s="47">
        <v>1</v>
      </c>
      <c r="P72" s="46">
        <v>2.1000000000000001E-2</v>
      </c>
      <c r="Q72" s="47">
        <v>1</v>
      </c>
      <c r="R72" s="46">
        <v>2.8000000000000001E-2</v>
      </c>
      <c r="S72" s="47">
        <v>1</v>
      </c>
      <c r="T72" s="46">
        <v>3.5000000000000003E-2</v>
      </c>
      <c r="U72" s="47">
        <v>1</v>
      </c>
      <c r="V72" s="50" t="s">
        <v>51</v>
      </c>
      <c r="W72" s="47">
        <v>1</v>
      </c>
      <c r="X72" s="50" t="s">
        <v>52</v>
      </c>
      <c r="Y72" s="50" t="s">
        <v>52</v>
      </c>
      <c r="Z72" s="48"/>
      <c r="AA72" s="43" t="str">
        <f>IF(D74="Futures",[1]AB3!$AD$6,IF(D74="Options Sell",[1]AB3!$AD$12,IF(D74="Options Buy",[1]AB3!$AD$18)))</f>
        <v>Max</v>
      </c>
      <c r="AB72" s="43" t="str">
        <f>IF(D74="Futures",[1]AB3!$AE$6,IF(D74="Options Sell",[1]AB3!$AE$12,IF(D74="Options Buy",[1]AB3!$AE$18)))</f>
        <v>MSL &amp; TSL</v>
      </c>
      <c r="AC72" s="43" t="str">
        <f>IF(D74="Futures",[1]AB3!$AF$6,IF(D74="Options Sell",[1]AB3!$AF$12,IF(D74="Options Buy",[1]AB3!$AF$18)))</f>
        <v>Entry &amp; TRP</v>
      </c>
      <c r="AD72" s="48"/>
      <c r="AE72" s="43" t="str">
        <f>IF(D74="Futures",[1]AB3!$AH$6,IF(D74="Options Sell",[1]AB3!$AH$12,IF(D74="Options Buy",[1]AB3!$AH$18)))</f>
        <v>L : Entry</v>
      </c>
      <c r="AF72" s="43" t="str">
        <f>IF(D74="Futures",[1]AB3!$AI$6,IF(D74="Options Sell",[1]AB3!$AI$12,IF(D74="Options Buy",[1]AB3!$AI$18)))</f>
        <v xml:space="preserve"> - </v>
      </c>
      <c r="AG72" s="46">
        <v>1.4E-2</v>
      </c>
      <c r="AH72" s="46">
        <v>0</v>
      </c>
      <c r="AI72" s="48"/>
      <c r="AJ72" s="43" t="str">
        <f>IF(D74="Futures",[1]AB3!$AO$6,IF(D74="Options Sell",[1]AB3!$AO$12,IF(D74="Options Buy",[1]AB3!$AO$18)))</f>
        <v xml:space="preserve"> - </v>
      </c>
      <c r="AK72" s="43" t="str">
        <f t="array" ref="AK72">IF(A72="","",IF(D74="Futures",CONCATENATE([1]AB3!$AP$6,INDEX([1]AB2!L:L,MATCH(D72,[1]AB2!B:B,0)),[1]AB3!$AQ$6),IF(D74="Options Sell",CONCATENATE([1]AB3!$AP$12,INDEX([1]AB2!M:M,MATCH(D72,[1]AB2!B:B,0)),[1]AB3!$AQ$12),IF(D74="Options Buy",CONCATENATE([1]AB3!$AP$18,INDEX([1]AB2!L:L,MATCH(D72,[1]AB2!B:B,0)),[1]AB3!$AQ$18)))))</f>
        <v>FUT : PRV : 3DLL</v>
      </c>
      <c r="AL72" s="51">
        <f>IF(AND(D74="Futures",AK72=[1]AB3!$AS$6),[1]AB3!$AS$6,IF(AND(D74="Options Sell",AK72=[1]AB3!$AS$12),[1]AB3!$AS$12,IF(AND(D74="Options Buy",AK72=[1]AB3!$AS$18),[1]AB3!$AS$18,I73)))</f>
        <v>1E-3</v>
      </c>
      <c r="AM72" s="52">
        <f>J73</f>
        <v>5</v>
      </c>
      <c r="AN72" s="43" t="str">
        <f t="array" ref="AN72">IF(A72="","",IF(AND(OR(D76="1 &amp; APS",D76="2 &amp; APS",D76="3 &amp; APS",D76="4 &amp; APS",D76="5 &amp; APS"),D74="Futures"),CONCATENATE([1]AB3!$AP$6,INDEX([1]AB2!L:L,MATCH(D72,[1]AB2!B:B,0)),[1]AB3!$AQ$6),IF(AND(OR(D76="1 &amp; APS",D76="2 &amp; APS",D76="3 &amp; APS",D76="4 &amp; APS",D76="5 &amp; APS"),D74="Options Sell"),CONCATENATE([1]AB3!$AP$12,INDEX([1]AB2!M:M,MATCH(D72,[1]AB2!B:B,0)),[1]AB3!$AQ$12),IF(AND(OR(D76="1 &amp; APS",D76="2 &amp; APS",D76="3 &amp; APS",D76="4 &amp; APS",D76="5 &amp; APS"),D74="Options Buy"),CONCATENATE([1]AB3!$AP$18,INDEX([1]AB2!L:L,MATCH(D72,[1]AB2!B:B,0)),[1]AB3!$AQ$18),[1]AB3!$AR$6))))</f>
        <v>FUT : PRV : 3DLL</v>
      </c>
      <c r="AO72" s="51">
        <f>IF(AND(D74="Futures",AN72=[1]AB3!$AU$6),[1]AB3!$AU$6,IF(AND(D74="Options Sell",AN72=[1]AB3!$AU$12),[1]AB3!$AU$12,IF(AND(D74="Options Buy",AN72=[1]AB3!$AU$18),[1]AB3!$AU$18,I73)))</f>
        <v>1E-3</v>
      </c>
      <c r="AP72" s="52">
        <f t="shared" ref="AP72:AP73" si="110">AM72-O72</f>
        <v>4</v>
      </c>
      <c r="AQ72" s="43" t="str">
        <f t="array" ref="AQ72">IF(A72="","",IF(AND(OR(D76="2 &amp; APS",D76="3 &amp; APS",D76="4 &amp; APS",D76="5 &amp; APS"),D74="Futures"),CONCATENATE([1]AB3!$AP$6,INDEX([1]AB2!L:L,MATCH(D72,[1]AB2!B:B,0)),[1]AB3!$AQ$6),IF(AND(OR(D76="2 &amp; APS",D76="3 &amp; APS",D76="4 &amp; APS",D76="5 &amp; APS"),D74="Options Sell"),CONCATENATE([1]AB3!$AP$12,INDEX([1]AB2!M:M,MATCH(D72,[1]AB2!B:B,0)),[1]AB3!$AQ$12),IF(AND(OR(D76="2 &amp; APS",D76="3 &amp; APS",D76="4 &amp; APS",D76="5 &amp; APS"),D74="Options Buy"),CONCATENATE([1]AB3!$AP$18,INDEX([1]AB2!L:L,MATCH(D72,[1]AB2!B:B,0)),[1]AB3!$AQ$18),[1]AB3!$AR$6))))</f>
        <v>FUT : PRV : 3DLL</v>
      </c>
      <c r="AR72" s="51">
        <f>IF(AND(D74="Futures",AQ72=[1]AB3!$AW$6),[1]AB3!$AW$6,IF(AND(D74="Options Sell",AQ72=[1]AB3!$AW$12),[1]AB3!$AW$12,IF(AND(D74="Options Buy",AQ72=[1]AB3!$AW$18),[1]AB3!$AW$18,I73)))</f>
        <v>1E-3</v>
      </c>
      <c r="AS72" s="52">
        <f t="shared" ref="AS72:AS73" si="111">AP72-Q72</f>
        <v>3</v>
      </c>
      <c r="AT72" s="43" t="str">
        <f t="array" ref="AT72">IF(A72="","",IF(AND(OR(D76="3 &amp; APS",D76="4 &amp; APS",D76="5 &amp; APS"),D74="Futures"),CONCATENATE([1]AB3!$AP$6,INDEX([1]AB2!L:L,MATCH(D72,[1]AB2!B:B,0)),[1]AB3!$AQ$6),IF(AND(OR(D76="3 &amp; APS",D76="4 &amp; APS",D76="5 &amp; APS"),D74="Options Sell"),CONCATENATE([1]AB3!$AP$12,INDEX([1]AB2!M:M,MATCH(D72,[1]AB2!B:B,0)),[1]AB3!$AQ$12),IF(AND(OR(D76="3 &amp; APS",D76="4 &amp; APS",D76="5 &amp; APS"),D74="Options Buy"),CONCATENATE([1]AB3!$AP$18,INDEX([1]AB2!L:L,MATCH(D72,[1]AB2!B:B,0)),[1]AB3!$AQ$18),[1]AB3!$AR$6))))</f>
        <v>FUT : PRV : 3DLL</v>
      </c>
      <c r="AU72" s="51">
        <f>IF(AND(D74="Futures",AT72=[1]AB3!$AY$6),[1]AB3!$AY$6,IF(AND(D74="Options Sell",AT72=[1]AB3!$AY$12),[1]AB3!$AY$12,IF(AND(D74="Options Buy",AT72=[1]AB3!$AY$18),[1]AB3!$AY$18,I73)))</f>
        <v>1E-3</v>
      </c>
      <c r="AV72" s="52">
        <f t="shared" ref="AV72:AV73" si="112">AS72-S72</f>
        <v>2</v>
      </c>
      <c r="AW72" s="43" t="str">
        <f t="array" ref="AW72">IF(A72="","",IF(AND(OR(D76="4 &amp; APS",D76="5 &amp; APS"),D74="Futures"),CONCATENATE([1]AB3!$AP$6,INDEX([1]AB2!L:L,MATCH(D72,[1]AB2!B:B,0)),[1]AB3!$AQ$6),IF(AND(OR(D76="4 &amp; APS",D76="5 &amp; APS"),D74="Options Sell"),CONCATENATE([1]AB3!$AP$12,INDEX([1]AB2!M:M,MATCH(D72,[1]AB2!B:B,0)),[1]AB3!$AQ$12),IF(AND(OR(D76="4 &amp; APS",D76="5 &amp; APS"),D74="Options Buy"),CONCATENATE([1]AB3!$AP$18,INDEX([1]AB2!L:L,MATCH(D72,[1]AB2!B:B,0)),[1]AB3!$AQ$18),[1]AB3!$AR$6))))</f>
        <v>FUT : PRV : 3DLL</v>
      </c>
      <c r="AX72" s="51">
        <f>IF(AND(D74="Futures",AW72=[1]AB3!$BA$6),[1]AB3!$BA$6,IF(AND(D74="Options Sell",AW72=[1]AB3!$BA$12),[1]AB3!$BA$12,IF(AND(D74="Options Buy",AW72=[1]AB3!$BA$18),[1]AB3!$BA$18,I73)))</f>
        <v>1E-3</v>
      </c>
      <c r="AY72" s="52">
        <f t="shared" ref="AY72:AY73" si="113">AV72-S72</f>
        <v>1</v>
      </c>
      <c r="AZ72" s="51">
        <f t="array" ref="AZ72">IF(A72="","",IF(AND(D76="5 &amp; APS",D74="Futures"),CONCATENATE([1]AB3!$AP$6,INDEX([1]AB2!L:L,MATCH(D72,[1]AB2!B:B,0)),[1]AB3!$AQ$6),IF(AND(D76="5 &amp; APS",D74="Options Sell"),CONCATENATE([1]AB3!$AP$12,INDEX([1]AB2!M:M,MATCH(D72,[1]AB2!B:B,0)),[1]AB3!$AQ$12),IF(AND(D76="5 &amp; APS",D74="Options Buy"),CONCATENATE([1]AB3!$AP$18,INDEX([1]AB2!L:L,MATCH(D72,[1]AB2!B:B,0)),[1]AB3!$AQ$18),[1]AB3!$AR$6))))</f>
        <v>0</v>
      </c>
      <c r="BA72" s="51">
        <f>IF(AND(D74="Futures",AZ72=[1]AB3!$BC$6),[1]AB3!$BC$6,IF(AND(D74="Options Sell",AZ72=[1]AB3!$BC$12),[1]AB3!$BC$12,IF(AND(D74="Options Buy",AZ72=[1]AB3!$BC$18),[1]AB3!$BC$18,I73)))</f>
        <v>0</v>
      </c>
      <c r="BB72" s="52">
        <f t="shared" ref="BB72:BB73" si="114">AY72-W72</f>
        <v>0</v>
      </c>
      <c r="BC72" s="53"/>
      <c r="BD72" s="54" t="str">
        <f>IF(D74="Futures",[1]AB3!$BE$6,IF(D74="Options Sell",[1]AB3!$BE$12,IF(D74="Options Buy",[1]AB3!$BE$18)))</f>
        <v xml:space="preserve">ORPT </v>
      </c>
      <c r="BE72" s="55">
        <f>IF(D74="Futures",BE75+([1]AB3!$BF$6/1440),IF(D74="Options Sell",BE75+([1]AB3!$BF$12/1440),IF(D74="Options Buy",BE75+([1]AB3!$BF$18/1440))))</f>
        <v>0.37846527777777778</v>
      </c>
      <c r="BF72" s="55">
        <f>IF(D74="Futures",BE75+([1]AB3!$BG$6/1440),IF(D74="Options Sell",BE75+([1]AB3!$BG$12/1440),IF(D74="Options Buy",BE75+([1]AB3!$BG$18/1440))))</f>
        <v>0.37846527777777778</v>
      </c>
      <c r="BG72" s="55">
        <f>IF(D74="Futures",BE75+([1]AB3!$BH$6/1440),IF(D74="Options Sell",BE75+([1]AB3!$BH$12/1440),IF(D74="Options Buy",BE75+([1]AB3!$BH$18/1440))))</f>
        <v>0.375</v>
      </c>
      <c r="BH72" s="57"/>
      <c r="BI72" s="44" t="str">
        <f>IF(D74="Futures",[1]AB3!$BJ$6,IF(D74="Options Sell",[1]AB3!$BJ$12,IF(D74="Options Buy",[1]AB3!$BJ$18)))</f>
        <v>Bull / 
Bull CF</v>
      </c>
      <c r="BJ72" s="45" t="str">
        <f>IF(D74="Futures",[1]AB3!$BK$6,IF(D74="Options Sell",[1]AB3!$BK$12,IF(D74="Options Buy",[1]AB3!$BK$18)))</f>
        <v>Long</v>
      </c>
      <c r="BK72" s="46">
        <v>1E-3</v>
      </c>
      <c r="BL72" s="46">
        <v>1E-3</v>
      </c>
      <c r="BM72" s="57"/>
      <c r="BN72" s="44" t="str">
        <f>IF(D74="Futures",[1]AB3!$BO$6,IF(D74="Options Sell",[1]AB3!$BO$12,IF(D74="Options Buy",[1]AB3!$BO$18)))</f>
        <v>Bull | 
Bull CF</v>
      </c>
      <c r="BO72" s="45" t="str">
        <f>IF(D74="Futures",[1]AB3!$BP$6,IF(D74="Options Sell",[1]AB3!$BP$12,IF(D74="Options Buy",[1]AB3!$BP$18)))</f>
        <v>Call</v>
      </c>
      <c r="BP72" s="43" t="str">
        <f t="array" ref="BP72">IF(A72="","",IF(D74="Futures","",IF(D74="EQUITY","",IF(D74="Options Sell",CONCATENATE([1]AB3!$BQ$12,INDEX([1]AB2!J:J,MATCH(A72,[1]AB2!A:A,0)),[1]AB3!$BR$12),IF(D74="Options Buy",CONCATENATE([1]AB3!$BQ$18,INDEX([1]AB2!J:J,MATCH(A72,[1]AB2!A:A,0)),[1]AB3!$BR$18))))))</f>
        <v/>
      </c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9"/>
      <c r="CL72" s="43"/>
      <c r="CM72" s="43"/>
      <c r="CN72" s="59"/>
      <c r="CO72" s="43"/>
      <c r="CP72" s="43"/>
      <c r="CQ72" s="59"/>
      <c r="CR72" s="43"/>
      <c r="CS72" s="43"/>
      <c r="CT72" s="59"/>
      <c r="CU72" s="55">
        <f>IF(D74="Futures",BE76-([1]AB3!$CG$6/1440),IF(D74="Options Sell",BE76-([1]AB3!$CG$12/1440),IF(D74="Options Buy",BE76-([1]AB3!$CG$18/1440),IF(D74="EQUITY",""))))</f>
        <v>0.95833333333333326</v>
      </c>
      <c r="CV72" s="59"/>
      <c r="CW72" s="59"/>
    </row>
    <row r="73" spans="1:101" ht="16.5" customHeight="1" x14ac:dyDescent="0.2">
      <c r="A73" s="60"/>
      <c r="B73" s="41" t="str">
        <f>CONCATENATE(D72,IF(D74="Futures",[1]AB3!$B$7,IF(D74="Options Sell",[1]AB3!$B$13,IF(D74="Options Buy",[1]AB3!$B$19))))</f>
        <v>S12B</v>
      </c>
      <c r="C73" s="42" t="str">
        <f>IF(D74="Futures",[1]AB3!$C$7,IF(D74="Options Sell",[1]AB3!$C$13,IF(D74="Options Buy",[1]AB3!$C$19)))</f>
        <v>Unique Code</v>
      </c>
      <c r="D73" s="43" t="str">
        <f t="array" ref="D73">IF(A72="","",INDEX([1]AB2!N:N,MATCH(D72,[1]AB2!B:B,0)))</f>
        <v>SILVERM_FUT_MT_DIFF_2D_3D</v>
      </c>
      <c r="E73" s="32"/>
      <c r="F73" s="61" t="str">
        <f>IF(D74="Futures",[1]AB3!$F$7,IF(D74="Options Sell",[1]AB3!$F$13,IF(D74="Options Buy",[1]AB3!$F$19)))</f>
        <v>Short</v>
      </c>
      <c r="G73" s="43" t="str">
        <f t="array" ref="G73">IF(A72="","",IF(D74="Futures",CONCATENATE([1]AB3!$G$7,INDEX([1]AB2!J:J,MATCH(D72,[1]AB2!B:B,0)),[1]AB3!$H$7),IF(D74="Options Sell",CONCATENATE([1]AB3!$G$13,INDEX([1]AB2!I:I,MATCH(D72,[1]AB2!B:B,0)),[1]AB3!$H$13),IF(D74="Options Buy",CONCATENATE([1]AB3!$G$19,INDEX([1]AB2!J:J,MATCH(D72,[1]AB2!B:B,0)),[1]AB3!$H$19)))))</f>
        <v>FUT : PRV : 3DLL</v>
      </c>
      <c r="H73" s="43" t="str">
        <f>IF(D74="Futures",[1]AB3!$I$7,IF(D74="Options Sell",[1]AB3!$I$13,IF(D74="Options Buy",[1]AB3!$I$19)))</f>
        <v xml:space="preserve"> - </v>
      </c>
      <c r="I73" s="46">
        <v>1E-3</v>
      </c>
      <c r="J73" s="47">
        <v>5</v>
      </c>
      <c r="K73" s="48"/>
      <c r="L73" s="43" t="str">
        <f>IF(D74="Futures",[1]AB3!$M$7,IF(D74="Options Sell",[1]AB3!$M$13,IF(D74="Options Buy",[1]AB3!$M$19)))</f>
        <v xml:space="preserve">S : Entry </v>
      </c>
      <c r="M73" s="43" t="str">
        <f>IF(D74="Futures",[1]AB3!$N$7,IF(D74="Options Sell",[1]AB3!$N$13,IF(D74="Options Buy",[1]AB3!$N$19)))</f>
        <v xml:space="preserve"> - </v>
      </c>
      <c r="N73" s="46">
        <v>1.4E-2</v>
      </c>
      <c r="O73" s="47">
        <v>1</v>
      </c>
      <c r="P73" s="46">
        <v>2.1000000000000001E-2</v>
      </c>
      <c r="Q73" s="47">
        <v>1</v>
      </c>
      <c r="R73" s="46">
        <v>2.8000000000000001E-2</v>
      </c>
      <c r="S73" s="47">
        <v>1</v>
      </c>
      <c r="T73" s="46">
        <v>3.5000000000000003E-2</v>
      </c>
      <c r="U73" s="47">
        <v>1</v>
      </c>
      <c r="V73" s="50" t="s">
        <v>51</v>
      </c>
      <c r="W73" s="47">
        <v>1</v>
      </c>
      <c r="X73" s="50" t="s">
        <v>52</v>
      </c>
      <c r="Y73" s="50" t="s">
        <v>52</v>
      </c>
      <c r="Z73" s="48"/>
      <c r="AA73" s="43" t="str">
        <f>IF(D74="Futures",[1]AB3!$AD$7,IF(D74="Options Sell",[1]AB3!$AD$13,IF(D74="Options Buy",[1]AB3!$AD$19)))</f>
        <v>Min</v>
      </c>
      <c r="AB73" s="43" t="str">
        <f>IF(D74="Futures",[1]AB3!$AE$7,IF(D74="Options Sell",[1]AB3!$AE$13,IF(D74="Options Buy",[1]AB3!$AE$19)))</f>
        <v>MSL &amp; TSL</v>
      </c>
      <c r="AC73" s="43" t="str">
        <f>IF(D74="Futures",[1]AB3!$AF$7,IF(D74="Options Sell",[1]AB3!$AF$13,IF(D74="Options Buy",[1]AB3!$AF$19)))</f>
        <v>Entry &amp; TRP</v>
      </c>
      <c r="AD73" s="48"/>
      <c r="AE73" s="43" t="str">
        <f>IF(D74="Futures",[1]AB3!$AH$7,IF(D74="Options Sell",[1]AB3!$AH$13,IF(D74="Options Buy",[1]AB3!$AH$19)))</f>
        <v>S : Entry</v>
      </c>
      <c r="AF73" s="43" t="str">
        <f>IF(D74="Futures",[1]AB3!$AI$7,IF(D74="Options Sell",[1]AB3!$AI$13,IF(D74="Options Buy",[1]AB3!$AI$19)))</f>
        <v xml:space="preserve"> + </v>
      </c>
      <c r="AG73" s="46">
        <v>1.4E-2</v>
      </c>
      <c r="AH73" s="46">
        <v>0</v>
      </c>
      <c r="AI73" s="48"/>
      <c r="AJ73" s="43" t="str">
        <f>IF(D74="Futures",[1]AB3!$AO$7,IF(D74="Options Sell",[1]AB3!$AO$13,IF(D74="Options Buy",[1]AB3!$AO$19)))</f>
        <v xml:space="preserve"> + </v>
      </c>
      <c r="AK73" s="43" t="str">
        <f t="array" ref="AK73">IF(A72="","",IF(D74="Futures",CONCATENATE([1]AB3!$AP$7,INDEX([1]AB2!M:M,MATCH(D72,[1]AB2!B:B,0)),[1]AB3!$AQ$7),IF(D74="Options Sell",CONCATENATE([1]AB3!$AP$13,INDEX([1]AB2!L:L,MATCH(D72,[1]AB2!B:B,0)),[1]AB3!$AQ$13),IF(D74="Options Buy",CONCATENATE([1]AB3!$AP$19,INDEX([1]AB2!M:M,MATCH(D72,[1]AB2!B:B,0)),[1]AB3!$AQ$19)))))</f>
        <v>FUT : PRV : 2DHH</v>
      </c>
      <c r="AL73" s="51">
        <f>IF(AND(D74="Futures",AK73=[1]AB3!$AS$7),[1]AB3!$AS$7,IF(AND(D74="Options Sell",AK73=[1]AB3!$AS$13),[1]AB3!$AS$13,IF(AND(D74="Options Buy",AK73=[1]AB3!$AS$19),[1]AB3!$AS$19,I72)))</f>
        <v>0</v>
      </c>
      <c r="AM73" s="52">
        <f>J72</f>
        <v>5</v>
      </c>
      <c r="AN73" s="43" t="str">
        <f t="array" ref="AN73">IF(A72="","",IF(AND(OR(D76="1 &amp; APS",D76="2 &amp; APS",D76="3 &amp; APS",D76="4 &amp; APS",D76="5 &amp; APS"),D74="Futures"),CONCATENATE([1]AB3!$AP$7,INDEX([1]AB2!M:M,MATCH(D72,[1]AB2!B:B,0)),[1]AB3!$AQ$7),IF(AND(OR(D76="1 &amp; APS",D76="2 &amp; APS",D76="3 &amp; APS",D76="4 &amp; APS",D76="5 &amp; APS"),D74="Options Sell"),CONCATENATE([1]AB3!$AP$13,INDEX([1]AB2!L:L,MATCH(D72,[1]AB2!B:B,0)),[1]AB3!$AQ$13),IF(AND(OR(D76="1 &amp; APS",D76="2 &amp; APS",D76="3 &amp; APS",D76="4 &amp; APS",D76="5 &amp; APS"),D74="Options Buy"),CONCATENATE([1]AB3!$AP$19,INDEX([1]AB2!M:M,MATCH(D72,[1]AB2!B:B,0)),[1]AB3!$AQ$19),[1]AB3!$AR$6))))</f>
        <v>FUT : PRV : 2DHH</v>
      </c>
      <c r="AO73" s="51">
        <f>IF(AND(D74="Futures",AN73=[1]AB3!$AU$7),[1]AB3!$AU$7,IF(AND(D74="Options Sell",AN73=[1]AB3!$AU$13),[1]AB3!$AU$13,IF(AND(D74="Options Buy",AN73=[1]AB3!$AU$19),[1]AB3!$AU$19,I72)))</f>
        <v>0</v>
      </c>
      <c r="AP73" s="52">
        <f t="shared" si="110"/>
        <v>4</v>
      </c>
      <c r="AQ73" s="43" t="str">
        <f t="array" ref="AQ73">IF(A72="","",IF(AND(OR(D76="2 &amp; APS",D76="3 &amp; APS",D76="4 &amp; APS",D76="5 &amp; APS"),D74="Futures"),CONCATENATE([1]AB3!$AP$7,INDEX([1]AB2!M:M,MATCH(D72,[1]AB2!B:B,0)),[1]AB3!$AQ$7),IF(AND(OR(D76="2 &amp; APS",D76="3 &amp; APS",D76="4 &amp; APS",D76="5 &amp; APS"),D74="Options Sell"),CONCATENATE([1]AB3!$AP$13,INDEX([1]AB2!L:L,MATCH(D72,[1]AB2!B:B,0)),[1]AB3!$AQ$13),IF(AND(OR(D76="2 &amp; APS",D76="3 &amp; APS",D76="4 &amp; APS",D76="5 &amp; APS"),D74="Options Buy"),CONCATENATE([1]AB3!$AP$19,INDEX([1]AB2!M:M,MATCH(D72,[1]AB2!B:B,0)),[1]AB3!$AQ$19),[1]AB3!$AR$6))))</f>
        <v>FUT : PRV : 2DHH</v>
      </c>
      <c r="AR73" s="51">
        <f>IF(AND(D74="Futures",AQ73=[1]AB3!$AW$7),[1]AB3!$AW$7,IF(AND(D74="Options Sell",AQ73=[1]AB3!$AW$13),[1]AB3!$AW$13,IF(AND(D74="Options Buy",AQ73=[1]AB3!$AW$19),[1]AB3!$AW$19,I72)))</f>
        <v>0</v>
      </c>
      <c r="AS73" s="52">
        <f t="shared" si="111"/>
        <v>3</v>
      </c>
      <c r="AT73" s="43" t="str">
        <f t="array" ref="AT73">IF(A72="","",IF(AND(OR(D76="3 &amp; APS",D76="4 &amp; APS",D76="5 &amp; APS"),D74="Futures"),CONCATENATE([1]AB3!$AP$7,INDEX([1]AB2!M:M,MATCH(D72,[1]AB2!B:B,0)),[1]AB3!$AQ$7),IF(AND(OR(D76="3 &amp; APS",D76="4 &amp; APS",D76="5 &amp; APS"),D74="Options Sell"),CONCATENATE([1]AB3!$AP$13,INDEX([1]AB2!L:L,MATCH(D72,[1]AB2!B:B,0)),[1]AB3!$AQ$13),IF(AND(OR(D76="3 &amp; APS",D76="4 &amp; APS",D76="5 &amp; APS"),D74="Options Buy"),CONCATENATE([1]AB3!$AP$19,INDEX([1]AB2!M:M,MATCH(D72,[1]AB2!B:B,0)),[1]AB3!$AQ$19),[1]AB3!$AR$6))))</f>
        <v>FUT : PRV : 2DHH</v>
      </c>
      <c r="AU73" s="51">
        <f>IF(AND(D74="Futures",AT73=[1]AB3!$AY$7),[1]AB3!$AY$7,IF(AND(D74="Options Sell",AT73=[1]AB3!$AY$13),[1]AB3!$AY$13,IF(AND(D74="Options Buy",AT73=[1]AB3!$AY$19),[1]AB3!$AY$19,I72)))</f>
        <v>0</v>
      </c>
      <c r="AV73" s="52">
        <f t="shared" si="112"/>
        <v>2</v>
      </c>
      <c r="AW73" s="43" t="str">
        <f t="array" ref="AW73">IF(A72="","",IF(AND(OR(D76="4 &amp; APS",D76="5 &amp; APS"),D74="Futures"),CONCATENATE([1]AB3!$AP$7,INDEX([1]AB2!M:M,MATCH(D72,[1]AB2!B:B,0)),[1]AB3!$AQ$7),IF(AND(OR(D76="4 &amp; APS",D76="5 &amp; APS"),D74="Options Sell"),CONCATENATE([1]AB3!$AP$13,INDEX([1]AB2!L:L,MATCH(D72,[1]AB2!B:B,0)),[1]AB3!$AQ$13),IF(AND(OR(D76="4 &amp; APS",D76="5 &amp; APS"),D74="Options Buy"),CONCATENATE([1]AB3!$AP$19,INDEX([1]AB2!M:M,MATCH(D72,[1]AB2!B:B,0)),[1]AB3!$AQ$19),[1]AB3!$AR$6))))</f>
        <v>FUT : PRV : 2DHH</v>
      </c>
      <c r="AX73" s="51">
        <f>IF(AND(D74="Futures",AW73=[1]AB3!$BA$7),[1]AB3!$BA$7,IF(AND(D74="Options Sell",AW73=[1]AB3!$BA$13),[1]AB3!$BA$13,IF(AND(D74="Options Buy",AW73=[1]AB3!$BA$19),[1]AB3!$BA$19,I72)))</f>
        <v>0</v>
      </c>
      <c r="AY73" s="52">
        <f t="shared" si="113"/>
        <v>1</v>
      </c>
      <c r="AZ73" s="51">
        <f t="array" ref="AZ73">IF(A72="","",IF(AND(D76="5 &amp; APS",D74="Futures"),CONCATENATE([1]AB3!$AP$7,INDEX([1]AB2!M:M,MATCH(D72,[1]AB2!B:B,0)),[1]AB3!$AQ$7),IF(AND(D76="5 &amp; APS",D74="Options Sell"),CONCATENATE([1]AB3!$AP$13,INDEX([1]AB2!L:L,MATCH(D72,[1]AB2!B:B,0)),[1]AB3!$AQ$13),IF(AND(D76="5 &amp; APS",D74="Options Buy"),CONCATENATE([1]AB3!$AP$19,INDEX([1]AB2!M:M,MATCH(D72,[1]AB2!B:B,0)),[1]AB3!$AQ$19),[1]AB3!$AR$6))))</f>
        <v>0</v>
      </c>
      <c r="BA73" s="51">
        <f>IF(AND(D74="Futures",AZ73=[1]AB3!$BC$7),[1]AB3!$BC$7,IF(AND(D74="Options Sell",AZ73=[1]AB3!$BC$13),[1]AB3!$BC$13,IF(AND(D74="Options Buy",AZ73=[1]AB3!$BC$19),[1]AB3!$BC$19,I72)))</f>
        <v>0</v>
      </c>
      <c r="BB73" s="52">
        <f t="shared" si="114"/>
        <v>0</v>
      </c>
      <c r="BC73" s="53"/>
      <c r="BD73" s="54" t="str">
        <f>IF(D74="Futures",[1]AB3!$BE$7,IF(D74="Options Sell",[1]AB3!$BE$13,IF(D74="Options Buy",[1]AB3!$BE$19)))</f>
        <v xml:space="preserve"> RC. Time</v>
      </c>
      <c r="BE73" s="55">
        <f>IF(D74="Futures",BE75+([1]AB3!$BF$7/1440),IF(D74="Options Sell",BE75+([1]AB3!$BF$13/1440),IF(D74="Options Buy",BE75+([1]AB3!$BF$19/1440))))</f>
        <v>0.38540972222222225</v>
      </c>
      <c r="BF73" s="55">
        <f>IF(D74="Futures",BE75+([1]AB3!$BG$7/1440),IF(D74="Options Sell",BE75+([1]AB3!$BG$13/1440),IF(D74="Options Buy",BE75+([1]AB3!$BG$19/1440))))</f>
        <v>0.38540972222222225</v>
      </c>
      <c r="BG73" s="55" t="str">
        <f>IF(D74="Futures",[1]AB3!$BH$7,IF(D74="Options Sell",[1]AB3!$BH$7,IF(D74="Options Buy",[1]AB3!$BH$7)))</f>
        <v>N.A.</v>
      </c>
      <c r="BH73" s="57"/>
      <c r="BI73" s="32"/>
      <c r="BJ73" s="61" t="str">
        <f>IF(D74="Futures",[1]AB3!$BK$7,IF(D74="Options Sell",[1]AB3!$BK$13,IF(D74="Options Buy",[1]AB3!$BK$19)))</f>
        <v>Short</v>
      </c>
      <c r="BK73" s="46">
        <v>1E-3</v>
      </c>
      <c r="BL73" s="46">
        <v>1E-3</v>
      </c>
      <c r="BM73" s="57"/>
      <c r="BN73" s="32"/>
      <c r="BO73" s="61" t="str">
        <f>IF(D74="Futures",[1]AB3!$BP$7,IF(D74="Options Sell",[1]AB3!$BP$13,IF(D74="Options Buy",[1]AB3!$BP$19)))</f>
        <v>Put</v>
      </c>
      <c r="BP73" s="43" t="str">
        <f t="array" ref="BP73">IF(A72="","",IF(D74="Futures","",IF(D74="EQUITY","",IF(D74="Options Sell",CONCATENATE([1]AB3!$BQ$13,INDEX([1]AB2!I:I,MATCH(A72,[1]AB2!A:A,0)),[1]AB3!$BR$13),IF(D74="Options Buy",CONCATENATE([1]AB3!$BQ$19,INDEX([1]AB2!I:I,MATCH(A72,[1]AB2!A:A,0)),[1]AB3!$BR$19))))))</f>
        <v/>
      </c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9"/>
      <c r="CL73" s="43"/>
      <c r="CM73" s="43"/>
      <c r="CN73" s="59"/>
      <c r="CO73" s="43"/>
      <c r="CP73" s="43"/>
      <c r="CQ73" s="59"/>
      <c r="CR73" s="43"/>
      <c r="CS73" s="43"/>
      <c r="CT73" s="59"/>
      <c r="CU73" s="43"/>
      <c r="CV73" s="59"/>
      <c r="CW73" s="59"/>
    </row>
    <row r="74" spans="1:101" ht="16.5" customHeight="1" x14ac:dyDescent="0.2">
      <c r="A74" s="60"/>
      <c r="B74" s="41" t="str">
        <f>CONCATENATE(D72,IF(D74="Futures",[1]AB3!$B$8,IF(D74="Options Sell",[1]AB3!$B$14,IF(D74="Options Buy",[1]AB3!$B$20))))</f>
        <v>S12C</v>
      </c>
      <c r="C74" s="42" t="str">
        <f>IF(D74="Futures",[1]AB3!$C$8,IF(D74="Options Sell",[1]AB3!$C$14,IF(D74="Options Buy",[1]AB3!$C$20)))</f>
        <v>Segment</v>
      </c>
      <c r="D74" s="43" t="str">
        <f t="array" ref="D74">IF(A72="","",INDEX([1]AB2!C:C,MATCH(D72,[1]AB2!B:B,0)))</f>
        <v>FUTURES</v>
      </c>
      <c r="E74" s="42" t="str">
        <f>IF(D74="Futures",[1]AB3!$E$8,IF(D74="Options Sell",[1]AB3!$E$14,IF(D74="Options Buy",[1]AB3!$E$20)))</f>
        <v>Contract</v>
      </c>
      <c r="F74" s="43" t="str">
        <f t="array" ref="F74">IF(A72="","",INDEX([1]AB2!F:F,MATCH(D72,[1]AB2!B:B,0)))</f>
        <v>MONTHLY</v>
      </c>
      <c r="G74" s="62"/>
      <c r="H74" s="62"/>
      <c r="I74" s="63"/>
      <c r="J74" s="64"/>
      <c r="K74" s="48"/>
      <c r="L74" s="62"/>
      <c r="M74" s="62"/>
      <c r="N74" s="63"/>
      <c r="O74" s="64"/>
      <c r="P74" s="63"/>
      <c r="Q74" s="64"/>
      <c r="R74" s="63"/>
      <c r="S74" s="64"/>
      <c r="T74" s="63"/>
      <c r="U74" s="64"/>
      <c r="V74" s="63"/>
      <c r="W74" s="64"/>
      <c r="X74" s="63"/>
      <c r="Y74" s="63"/>
      <c r="Z74" s="48"/>
      <c r="AA74" s="62"/>
      <c r="AB74" s="62"/>
      <c r="AC74" s="62"/>
      <c r="AD74" s="48"/>
      <c r="AE74" s="62"/>
      <c r="AF74" s="62"/>
      <c r="AG74" s="63"/>
      <c r="AH74" s="63"/>
      <c r="AI74" s="48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53"/>
      <c r="BD74" s="57"/>
      <c r="BE74" s="57"/>
      <c r="BF74" s="57"/>
      <c r="BG74" s="57"/>
      <c r="BH74" s="57"/>
      <c r="BI74" s="66"/>
      <c r="BJ74" s="62"/>
      <c r="BK74" s="63"/>
      <c r="BL74" s="63"/>
      <c r="BM74" s="57"/>
      <c r="BN74" s="66"/>
      <c r="BO74" s="62"/>
      <c r="BP74" s="62"/>
      <c r="BQ74" s="62"/>
      <c r="BR74" s="62"/>
      <c r="BS74" s="62"/>
      <c r="BT74" s="62"/>
      <c r="BU74" s="62"/>
      <c r="BV74" s="62"/>
      <c r="BW74" s="62"/>
      <c r="BX74" s="62"/>
      <c r="BY74" s="62"/>
      <c r="BZ74" s="62"/>
      <c r="CA74" s="62"/>
      <c r="CB74" s="62"/>
      <c r="CC74" s="62"/>
      <c r="CD74" s="62"/>
      <c r="CE74" s="62"/>
      <c r="CF74" s="62"/>
      <c r="CG74" s="62"/>
      <c r="CH74" s="62"/>
      <c r="CI74" s="62"/>
      <c r="CJ74" s="62"/>
      <c r="CK74" s="59"/>
      <c r="CL74" s="62"/>
      <c r="CM74" s="62"/>
      <c r="CN74" s="59"/>
      <c r="CO74" s="62"/>
      <c r="CP74" s="62"/>
      <c r="CQ74" s="59"/>
      <c r="CR74" s="62"/>
      <c r="CS74" s="62"/>
      <c r="CT74" s="59"/>
      <c r="CU74" s="62"/>
      <c r="CV74" s="59"/>
      <c r="CW74" s="59"/>
    </row>
    <row r="75" spans="1:101" ht="16.5" customHeight="1" x14ac:dyDescent="0.2">
      <c r="A75" s="60"/>
      <c r="B75" s="41" t="str">
        <f>CONCATENATE(D72,IF(D74="Futures",[1]AB3!$B$9,IF(D74="Options Sell",[1]AB3!$B$15,IF(D74="Options Buy",[1]AB3!$B$21))))</f>
        <v>S12D</v>
      </c>
      <c r="C75" s="42" t="str">
        <f>IF(D74="Futures",[1]AB3!$C$9,IF(D74="Options Sell",[1]AB3!$C$15,IF(D74="Options Buy",[1]AB3!$C$21)))</f>
        <v>Symbol</v>
      </c>
      <c r="D75" s="43" t="str">
        <f t="array" ref="D75">IF(A72="","",INDEX([1]AB2!E:E,MATCH(D72,[1]AB2!B:B,0)))</f>
        <v>SILVERM</v>
      </c>
      <c r="E75" s="44" t="str">
        <f>IF(D74="Futures",[1]AB3!$E$9,IF(D74="Options Sell",[1]AB3!$E$15,IF(D74="Options Buy",[1]AB3!$E$21)))</f>
        <v>Bear / 
Bear CF</v>
      </c>
      <c r="F75" s="45" t="str">
        <f>IF(D74="Futures",[1]AB3!$F$9,IF(D74="Options Sell",[1]AB3!$F$15,IF(D74="Options Buy",[1]AB3!$F$21)))</f>
        <v>Long</v>
      </c>
      <c r="G75" s="43" t="str">
        <f t="array" ref="G75">IF(A72="","",IF(D74="Futures",CONCATENATE([1]AB3!$G$9,INDEX([1]AB2!J:J,MATCH(D72,[1]AB2!B:B,0)),[1]AB3!$H$9),IF(D74="Options Sell",CONCATENATE([1]AB3!$G$15,INDEX([1]AB2!I:I,MATCH(D72,[1]AB2!B:B,0)),[1]AB3!$H$15),IF(D74="Options Buy",CONCATENATE([1]AB3!$G$21,INDEX([1]AB2!J:J,MATCH(D72,[1]AB2!B:B,0)),[1]AB3!$H$21)))))</f>
        <v>FUT : PRV : 3DHH</v>
      </c>
      <c r="H75" s="43" t="str">
        <f>IF(D74="Futures",[1]AB3!$I$9,IF(D74="Options Sell",[1]AB3!$I$15,IF(D74="Options Buy",[1]AB3!$I$21)))</f>
        <v xml:space="preserve"> + </v>
      </c>
      <c r="I75" s="46">
        <v>1E-3</v>
      </c>
      <c r="J75" s="47">
        <v>5</v>
      </c>
      <c r="K75" s="48"/>
      <c r="L75" s="43" t="str">
        <f>IF(D74="Futures",[1]AB3!$M$9,IF(D74="Options Sell",[1]AB3!$M$15,IF(D74="Options Buy",[1]AB3!$M$21)))</f>
        <v xml:space="preserve">L : Entry </v>
      </c>
      <c r="M75" s="43" t="str">
        <f>IF(D74="Futures",[1]AB3!$N$9,IF(D74="Options Sell",[1]AB3!$N$15,IF(D74="Options Buy",[1]AB3!$N$21)))</f>
        <v xml:space="preserve"> + </v>
      </c>
      <c r="N75" s="46">
        <v>1.4E-2</v>
      </c>
      <c r="O75" s="47">
        <v>1</v>
      </c>
      <c r="P75" s="46">
        <v>2.1000000000000001E-2</v>
      </c>
      <c r="Q75" s="47">
        <v>1</v>
      </c>
      <c r="R75" s="46">
        <v>2.8000000000000001E-2</v>
      </c>
      <c r="S75" s="47">
        <v>1</v>
      </c>
      <c r="T75" s="46">
        <v>3.5000000000000003E-2</v>
      </c>
      <c r="U75" s="47">
        <v>1</v>
      </c>
      <c r="V75" s="50" t="s">
        <v>51</v>
      </c>
      <c r="W75" s="47">
        <v>1</v>
      </c>
      <c r="X75" s="50" t="s">
        <v>52</v>
      </c>
      <c r="Y75" s="50" t="s">
        <v>52</v>
      </c>
      <c r="Z75" s="48"/>
      <c r="AA75" s="43" t="str">
        <f>IF(D74="Futures",[1]AB3!$AD$9,IF(D74="Options Sell",[1]AB3!$AD$15,IF(D74="Options Buy",[1]AB3!$AD$21)))</f>
        <v>Max</v>
      </c>
      <c r="AB75" s="43" t="str">
        <f>IF(D74="Futures",[1]AB3!$AE$9,IF(D74="Options Sell",[1]AB3!$AE$15,IF(D74="Options Buy",[1]AB3!$AE$21)))</f>
        <v>MSL &amp; TSL</v>
      </c>
      <c r="AC75" s="43" t="str">
        <f>IF(D74="Futures",[1]AB3!$AF$9,IF(D74="Options Sell",[1]AB3!$AF$15,IF(D74="Options Buy",[1]AB3!$AF$21)))</f>
        <v>Entry &amp; TRP</v>
      </c>
      <c r="AD75" s="48"/>
      <c r="AE75" s="43" t="str">
        <f>IF(D74="Futures",[1]AB3!$AH$9,IF(D74="Options Sell",[1]AB3!$AH$15,IF(D74="Options Buy",[1]AB3!$AH$21)))</f>
        <v>L : Entry</v>
      </c>
      <c r="AF75" s="43" t="str">
        <f>IF(D74="Futures",[1]AB3!$AI$9,IF(D74="Options Sell",[1]AB3!$AI$15,IF(D74="Options Buy",[1]AB3!$AI$21)))</f>
        <v xml:space="preserve"> - </v>
      </c>
      <c r="AG75" s="46">
        <v>1.4E-2</v>
      </c>
      <c r="AH75" s="46">
        <v>0</v>
      </c>
      <c r="AI75" s="48"/>
      <c r="AJ75" s="43" t="str">
        <f>IF(D74="Futures",[1]AB3!$AO$9,IF(D74="Options Sell",[1]AB3!$AO$15,IF(D74="Options Buy",[1]AB3!$AO$21)))</f>
        <v xml:space="preserve"> - </v>
      </c>
      <c r="AK75" s="43" t="str">
        <f t="array" ref="AK75">IF(A72="","",IF(D74="Futures",CONCATENATE([1]AB3!$AP$9,INDEX([1]AB2!M:M,MATCH(D72,[1]AB2!B:B,0)),[1]AB3!$AQ$9),IF(D74="Options Sell",CONCATENATE([1]AB3!$AP$15,INDEX([1]AB2!L:L,MATCH(D72,[1]AB2!B:B,0)),[1]AB3!$AQ$15),IF(D74="Options Buy",CONCATENATE([1]AB3!$AP$21,INDEX([1]AB2!M:M,MATCH(D72,[1]AB2!B:B,0)),[1]AB3!$AQ$21)))))</f>
        <v>FUT : PRV : 2DLL</v>
      </c>
      <c r="AL75" s="51">
        <f>IF(AND(D74="Futures",AK75=[1]AB3!$AS$9),[1]AB3!$AS$9,IF(AND(D74="Options Sell",AK75=[1]AB3!$AS$15),[1]AB3!$AS$15,IF(AND(D74="Options Buy",AK75=[1]AB3!$AS$21),[1]AB3!$AS$21,I76)))</f>
        <v>0</v>
      </c>
      <c r="AM75" s="52">
        <f>J76</f>
        <v>5</v>
      </c>
      <c r="AN75" s="43" t="str">
        <f t="array" ref="AN75">IF(A72="","",IF(AND(OR(D76="1 &amp; APS",D76="2 &amp; APS",D76="3 &amp; APS",D76="4 &amp; APS",D76="5 &amp; APS"),D74="Futures"),CONCATENATE([1]AB3!$AP$9,INDEX([1]AB2!M:M,MATCH(D72,[1]AB2!B:B,0)),[1]AB3!$AQ$9),IF(AND(OR(D76="1 &amp; APS",D76="2 &amp; APS",D76="3 &amp; APS",D76="4 &amp; APS",D76="5 &amp; APS"),D74="Options Sell"),CONCATENATE([1]AB3!$AP$15,INDEX([1]AB2!L:L,MATCH(D72,[1]AB2!B:B,0)),[1]AB3!$AQ$15),IF(AND(OR(D76="1 &amp; APS",D76="2 &amp; APS",D76="3 &amp; APS",D76="4 &amp; APS",D76="5 &amp; APS"),D74="Options Buy"),CONCATENATE([1]AB3!$AP$21,INDEX([1]AB2!M:M,MATCH(D72,[1]AB2!B:B,0)),[1]AB3!$AQ$21),[1]AB3!$AR$6))))</f>
        <v>FUT : PRV : 2DLL</v>
      </c>
      <c r="AO75" s="51">
        <f>IF(AND(D74="Futures",AN75=[1]AB3!$AU$9),[1]AB3!$AU$9,IF(AND(D74="Options Sell",AN75=[1]AB3!$AU$15),[1]AB3!$AU$15,IF(AND(D74="Options Buy",AN75=[1]AB3!$AU$21),[1]AB3!$AU$21,I76)))</f>
        <v>0</v>
      </c>
      <c r="AP75" s="52">
        <f t="shared" ref="AP75:AP76" si="115">AM75-O75</f>
        <v>4</v>
      </c>
      <c r="AQ75" s="43" t="str">
        <f t="array" ref="AQ75">IF(A72="","",IF(AND(OR(D76="2 &amp; APS",D76="3 &amp; APS",D76="4 &amp; APS",D76="5 &amp; APS"),D74="Futures"),CONCATENATE([1]AB3!$AP$9,INDEX([1]AB2!M:M,MATCH(D72,[1]AB2!B:B,0)),[1]AB3!$AQ$9),IF(AND(OR(D76="2 &amp; APS",D76="3 &amp; APS",D76="4 &amp; APS",D76="5 &amp; APS"),D74="Options Sell"),CONCATENATE([1]AB3!$AP$15,INDEX([1]AB2!L:L,MATCH(D72,[1]AB2!B:B,0)),[1]AB3!$AQ$15),IF(AND(OR(D76="2 &amp; APS",D76="3 &amp; APS",D76="4 &amp; APS",D76="5 &amp; APS"),D74="Options Buy"),CONCATENATE([1]AB3!$AP$21,INDEX([1]AB2!M:M,MATCH(D72,[1]AB2!B:B,0)),[1]AB3!$AQ$21),[1]AB3!$AR$6))))</f>
        <v>FUT : PRV : 2DLL</v>
      </c>
      <c r="AR75" s="51">
        <f>IF(AND(D74="Futures",AQ75=[1]AB3!$AW$9),[1]AB3!$AW$9,IF(AND(D74="Options Sell",AQ75=[1]AB3!$AW$15),[1]AB3!$AW$15,IF(AND(D74="Options Buy",AQ75=[1]AB3!$AW$21),[1]AB3!$AW$21,I76)))</f>
        <v>0</v>
      </c>
      <c r="AS75" s="52">
        <f t="shared" ref="AS75:AS76" si="116">AP75-Q75</f>
        <v>3</v>
      </c>
      <c r="AT75" s="43" t="str">
        <f t="array" ref="AT75">IF(A72="","",IF(AND(OR(D76="3 &amp; APS",D76="4 &amp; APS",D76="5 &amp; APS"),D74="Futures"),CONCATENATE([1]AB3!$AP$9,INDEX([1]AB2!M:M,MATCH(D72,[1]AB2!B:B,0)),[1]AB3!$AQ$9),IF(AND(OR(D76="3 &amp; APS",D76="4 &amp; APS",D76="5 &amp; APS"),D74="Options Sell"),CONCATENATE([1]AB3!$AP$15,INDEX([1]AB2!L:L,MATCH(D72,[1]AB2!B:B,0)),[1]AB3!$AQ$15),IF(AND(OR(D76="3 &amp; APS",D76="4 &amp; APS",D76="5 &amp; APS"),D74="Options Buy"),CONCATENATE([1]AB3!$AP$21,INDEX([1]AB2!M:M,MATCH(D72,[1]AB2!B:B,0)),[1]AB3!$AQ$21),[1]AB3!$AR$6))))</f>
        <v>FUT : PRV : 2DLL</v>
      </c>
      <c r="AU75" s="51">
        <f>IF(AND(D74="Futures",AT75=[1]AB3!$AY$9),[1]AB3!$AY$9,IF(AND(D74="Options Sell",AT75=[1]AB3!$AY$15),[1]AB3!$AY$15,IF(AND(D74="Options Buy",AT75=[1]AB3!$AY$21),[1]AB3!$AY$21,I76)))</f>
        <v>0</v>
      </c>
      <c r="AV75" s="52">
        <f t="shared" ref="AV75:AV76" si="117">AS75-S75</f>
        <v>2</v>
      </c>
      <c r="AW75" s="43" t="str">
        <f t="array" ref="AW75">IF(A72="","",IF(AND(OR(D76="4 &amp; APS",D76="5 &amp; APS"),D74="Futures"),CONCATENATE([1]AB3!$AP$9,INDEX([1]AB2!M:M,MATCH(D72,[1]AB2!B:B,0)),[1]AB3!$AQ$9),IF(AND(OR(D76="4 &amp; APS",D76="5 &amp; APS"),D74="Options Sell"),CONCATENATE([1]AB3!$AP$15,INDEX([1]AB2!L:L,MATCH(D72,[1]AB2!B:B,0)),[1]AB3!$AQ$15),IF(AND(OR(D76="4 &amp; APS",D76="5 &amp; APS"),D74="Options Buy"),CONCATENATE([1]AB3!$AP$21,INDEX([1]AB2!M:M,MATCH(D72,[1]AB2!B:B,0)),[1]AB3!$AQ$21),[1]AB3!$AR$6))))</f>
        <v>FUT : PRV : 2DLL</v>
      </c>
      <c r="AX75" s="51">
        <f>IF(AND(D74="Futures",AW75=[1]AB3!$BA$9),[1]AB3!$BA$9,IF(AND(D74="Options Sell",AW75=[1]AB3!$BA$15),[1]AB3!$BA$15,IF(AND(D74="Options Buy",AW75=[1]AB3!$BA$21),[1]AB3!$BA$21,I76)))</f>
        <v>0</v>
      </c>
      <c r="AY75" s="52">
        <f t="shared" ref="AY75:AY76" si="118">AV75-S75</f>
        <v>1</v>
      </c>
      <c r="AZ75" s="51">
        <f t="array" ref="AZ75">IF(A72="","",IF(AND(D76="5 &amp; APS",D74="Futures"),CONCATENATE([1]AB3!$AP$9,INDEX([1]AB2!M:M,MATCH(D72,[1]AB2!B:B,0)),[1]AB3!$AQ$9),IF(AND(D76="5 &amp; APS",D74="Options Sell"),CONCATENATE([1]AB3!$AP$15,INDEX([1]AB2!L:L,MATCH(D72,[1]AB2!B:B,0)),[1]AB3!$AQ$15),IF(AND(D76="5 &amp; APS",D74="Options Buy"),CONCATENATE([1]AB3!$AP$21,INDEX([1]AB2!M:M,MATCH(D72,[1]AB2!B:B,0)),[1]AB3!$AQ$21),[1]AB3!$AR$6))))</f>
        <v>0</v>
      </c>
      <c r="BA75" s="51">
        <f>IF(AND(D74="Futures",AZ75=[1]AB3!$BC$9),[1]AB3!$BC$9,IF(AND(D74="Options Sell",AZ75=[1]AB3!$BC$15),[1]AB3!$BC$15,IF(AND(D74="Options Buy",AZ75=[1]AB3!$BC$21),[1]AB3!$BC$21,I76)))</f>
        <v>0</v>
      </c>
      <c r="BB75" s="52">
        <f t="shared" ref="BB75:BB76" si="119">AY75-W75</f>
        <v>0</v>
      </c>
      <c r="BC75" s="53"/>
      <c r="BD75" s="54" t="str">
        <f>IF(D74="Futures",[1]AB3!$BE$9,IF(D74="Options Sell",[1]AB3!$BE$15,IF(D74="Options Buy",[1]AB3!$BE$21)))</f>
        <v>Market Start Time</v>
      </c>
      <c r="BE75" s="67">
        <f t="array" ref="BE75">IF(D72="","",INDEX([1]AB2!AG:AG,MATCH(D72,[1]AB2!B:B,0)))</f>
        <v>0.375</v>
      </c>
      <c r="BF75" s="11"/>
      <c r="BG75" s="12"/>
      <c r="BH75" s="57"/>
      <c r="BI75" s="68" t="str">
        <f>IF(D74="Futures",[1]AB3!$BJ$9,IF(D74="Options Sell",[1]AB3!$BJ$15,IF(D74="Options Buy",[1]AB3!$BJ$21)))</f>
        <v>Bear / 
Bear CF</v>
      </c>
      <c r="BJ75" s="45" t="str">
        <f>IF(D74="Futures",[1]AB3!$BK$9,IF(D74="Options Sell",[1]AB3!$BK$15,IF(D74="Options Buy",[1]AB3!$BK$21)))</f>
        <v>Long</v>
      </c>
      <c r="BK75" s="46">
        <v>1E-3</v>
      </c>
      <c r="BL75" s="46">
        <v>1E-3</v>
      </c>
      <c r="BM75" s="57"/>
      <c r="BN75" s="68" t="str">
        <f>IF(D74="Futures",[1]AB3!$BO$9,IF(D74="Options Sell",[1]AB3!$BO$15,IF(D74="Options Buy",[1]AB3!$BO$21)))</f>
        <v>Bear | 
Bear CF</v>
      </c>
      <c r="BO75" s="45" t="str">
        <f>IF(D74="Futures",[1]AB3!$BP$9,IF(D74="Options Sell",[1]AB3!$BP$15,IF(D74="Options Buy",[1]AB3!$BP$21)))</f>
        <v>Call</v>
      </c>
      <c r="BP75" s="43" t="str">
        <f t="array" ref="BP75">IF(A72="","",IF(D74="Futures","",IF(D74="EQUITY","",IF(D74="Options Sell",CONCATENATE([1]AB3!$BQ$15,INDEX([1]AB2!I:I,MATCH(A72,[1]AB2!A:A,0)),[1]AB3!$BR$15),IF(D74="Options Buy",CONCATENATE([1]AB3!$BQ$21,INDEX([1]AB2!I:I,MATCH(A72,[1]AB2!A:A,0)),[1]AB3!$BR$21))))))</f>
        <v/>
      </c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9"/>
      <c r="CL75" s="43"/>
      <c r="CM75" s="43"/>
      <c r="CN75" s="59"/>
      <c r="CO75" s="43"/>
      <c r="CP75" s="43"/>
      <c r="CQ75" s="59"/>
      <c r="CR75" s="43"/>
      <c r="CS75" s="43"/>
      <c r="CT75" s="59"/>
      <c r="CU75" s="43"/>
      <c r="CV75" s="59"/>
      <c r="CW75" s="59"/>
    </row>
    <row r="76" spans="1:101" ht="16.5" customHeight="1" x14ac:dyDescent="0.2">
      <c r="A76" s="32"/>
      <c r="B76" s="41" t="str">
        <f>CONCATENATE(D72,IF(D74="Futures",[1]AB3!$B$10,IF(D74="Options Sell",[1]AB3!$B$16,IF(D74="Options Buy",[1]AB3!$B$22))))</f>
        <v>S12E</v>
      </c>
      <c r="C76" s="42" t="str">
        <f>IF(D74="Futures",[1]AB3!$E$8,IF(D74="Options Sell",[1]AB3!$E$14,IF(D74="Options Buy",[1]AB3!$E$20)))</f>
        <v>Contract</v>
      </c>
      <c r="D76" s="43" t="str">
        <f t="array" ref="D76">IF(A72="","",INDEX([1]AB2!K:K,MATCH(D72,[1]AB2!B:B,0)))</f>
        <v>4 &amp; APS</v>
      </c>
      <c r="E76" s="32"/>
      <c r="F76" s="61" t="str">
        <f>IF(D74="Futures",[1]AB3!$F$10,IF(D74="Options Sell",[1]AB3!$F$16,IF(D74="Options Buy",[1]AB3!$F$22)))</f>
        <v>Short</v>
      </c>
      <c r="G76" s="43" t="str">
        <f t="array" ref="G76">(IF(A72="","",IF(D74="Futures",CONCATENATE([1]AB3!$G$10,INDEX([1]AB2!I:I,MATCH(D72,[1]AB2!B:B,0)),[1]AB3!$H$10),IF(D74="Options Sell",CONCATENATE([1]AB3!$G$16,INDEX([1]AB2!J:J,MATCH(D72,[1]AB2!B:B,0)),[1]AB3!$H$16),IF(D74="Options Buy",CONCATENATE([1]AB3!$G$22,INDEX([1]AB2!I:I,MATCH(D72,[1]AB2!B:B,0)),[1]AB3!$H$22))))))</f>
        <v>FUT : PRV : 2DLL</v>
      </c>
      <c r="H76" s="43" t="str">
        <f>IF(D74="Futures",[1]AB3!$I$10,IF(D74="Options Sell",[1]AB3!$I$16,IF(D74="Options Buy",[1]AB3!$I$22)))</f>
        <v xml:space="preserve"> - </v>
      </c>
      <c r="I76" s="46">
        <v>0</v>
      </c>
      <c r="J76" s="47">
        <v>5</v>
      </c>
      <c r="K76" s="48"/>
      <c r="L76" s="43" t="str">
        <f>IF(D74="Futures",[1]AB3!$M$10,IF(D74="Options Sell",[1]AB3!$M$16,IF(D74="Options Buy",[1]AB3!$M$22)))</f>
        <v xml:space="preserve">S : Entry </v>
      </c>
      <c r="M76" s="43" t="str">
        <f>IF(D74="Futures",[1]AB3!$N$10,IF(D74="Options Sell",[1]AB3!$N$16,IF(D74="Options Buy",[1]AB3!$N$22)))</f>
        <v xml:space="preserve"> - </v>
      </c>
      <c r="N76" s="46">
        <v>1.4E-2</v>
      </c>
      <c r="O76" s="47">
        <v>1</v>
      </c>
      <c r="P76" s="46">
        <v>2.1000000000000001E-2</v>
      </c>
      <c r="Q76" s="47">
        <v>1</v>
      </c>
      <c r="R76" s="46">
        <v>2.8000000000000001E-2</v>
      </c>
      <c r="S76" s="47">
        <v>1</v>
      </c>
      <c r="T76" s="46">
        <v>3.5000000000000003E-2</v>
      </c>
      <c r="U76" s="47">
        <v>1</v>
      </c>
      <c r="V76" s="50" t="s">
        <v>51</v>
      </c>
      <c r="W76" s="47">
        <v>1</v>
      </c>
      <c r="X76" s="50" t="s">
        <v>52</v>
      </c>
      <c r="Y76" s="50" t="s">
        <v>52</v>
      </c>
      <c r="Z76" s="48"/>
      <c r="AA76" s="43" t="str">
        <f>IF(D74="Futures",[1]AB3!$AD$10,IF(D74="Options Sell",[1]AB3!$AD$16,IF(D74="Options Buy",[1]AB3!$AD$22)))</f>
        <v>Min</v>
      </c>
      <c r="AB76" s="43" t="str">
        <f>IF(D74="Futures",[1]AB3!$AE$10,IF(D74="Options Sell",[1]AB3!$AE$16,IF(D74="Options Buy",[1]AB3!$AE$22)))</f>
        <v>MSL &amp; TSL</v>
      </c>
      <c r="AC76" s="43" t="str">
        <f>IF(D74="Futures",[1]AB3!$AF$10,IF(D74="Options Sell",[1]AB3!$AF$16,IF(D74="Options Buy",[1]AB3!$AF$22)))</f>
        <v>Entry &amp; TRP</v>
      </c>
      <c r="AD76" s="48"/>
      <c r="AE76" s="43" t="str">
        <f>IF(D74="Futures",[1]AB3!$AH$10,IF(D74="Options Sell",[1]AB3!$AH$16,IF(D74="Options Buy",[1]AB3!$AH$22)))</f>
        <v>S : Entry</v>
      </c>
      <c r="AF76" s="43" t="str">
        <f>IF(D74="Futures",[1]AB3!$AI$10,IF(D74="Options Sell",[1]AB3!$AI$16,IF(D74="Options Buy",[1]AB3!$AI$22)))</f>
        <v xml:space="preserve"> + </v>
      </c>
      <c r="AG76" s="46">
        <v>1.4E-2</v>
      </c>
      <c r="AH76" s="46">
        <v>0</v>
      </c>
      <c r="AI76" s="48"/>
      <c r="AJ76" s="43" t="str">
        <f>IF(D74="Futures",[1]AB3!$AO$10,IF(D74="Options Sell",[1]AB3!$AO$16,IF(D74="Options Buy",[1]AB3!$AO$22)))</f>
        <v xml:space="preserve"> + </v>
      </c>
      <c r="AK76" s="43" t="str">
        <f t="array" ref="AK76">IF(A72="","",IF(D74="Futures",CONCATENATE([1]AB3!$AP$10,INDEX([1]AB2!L:L,MATCH(D72,[1]AB2!B:B,0)),[1]AB3!$AQ$10),IF(D74="Options Sell",CONCATENATE([1]AB3!$AP$16,INDEX([1]AB2!M:M,MATCH(D72,[1]AB2!B:B,0)),[1]AB3!$AQ$16),IF(D74="Options Buy",CONCATENATE([1]AB3!$AP$22,INDEX([1]AB2!L:L,MATCH(D72,[1]AB2!B:B,0)),[1]AB3!$AQ$22)))))</f>
        <v>FUT : PRV : 3DHH</v>
      </c>
      <c r="AL76" s="51">
        <f>IF(AND(D74="Futures",AK76=[1]AB3!$AS$10),[1]AB3!$AS$10,IF(AND(D74="Options Sell",AK76=[1]AB3!$AS$16),[1]AB3!$AS$16,IF(AND(D74="Options Buy",AK76=[1]AB3!$AS$22),[1]AB3!$AS$22,I75)))</f>
        <v>1E-3</v>
      </c>
      <c r="AM76" s="52">
        <f>J75</f>
        <v>5</v>
      </c>
      <c r="AN76" s="43" t="str">
        <f t="array" ref="AN76">IF(A72="","",IF(AND(OR(D76="1 &amp; APS",D76="2 &amp; APS",D76="3 &amp; APS",D76="4 &amp; APS",D76="5 &amp; APS"),D74="Futures"),CONCATENATE([1]AB3!$AP$10,INDEX([1]AB2!L:L,MATCH(D72,[1]AB2!B:B,0)),[1]AB3!$AQ$10),IF(AND(OR(D76="1 &amp; APS",D76="2 &amp; APS",D76="3 &amp; APS",D76="4 &amp; APS",D76="5 &amp; APS"),D74="Options Sell"),CONCATENATE([1]AB3!$AP$16,INDEX([1]AB2!M:M,MATCH(D72,[1]AB2!B:B,0)),[1]AB3!$AQ$16),IF(AND(OR(D76="1 &amp; APS",D76="2 &amp; APS",D76="3 &amp; APS",D76="4 &amp; APS",D76="5 &amp; APS"),D74="Options Buy"),CONCATENATE([1]AB3!$AP$22,INDEX([1]AB2!L:L,MATCH(D72,[1]AB2!B:B,0)),[1]AB3!$AQ$22),[1]AB3!$AR$6))))</f>
        <v>FUT : PRV : 3DHH</v>
      </c>
      <c r="AO76" s="51">
        <f>IF(AND(D74="Futures",AN76=[1]AB3!$AU$10),[1]AB3!$AU$10,IF(AND(D74="Options Sell",AN76=[1]AB3!$AU$16),[1]AB3!$AU$16,IF(AND(D74="Options Buy",AN76=[1]AB3!$AU$22),[1]AB3!$AU$22,I75)))</f>
        <v>1E-3</v>
      </c>
      <c r="AP76" s="52">
        <f t="shared" si="115"/>
        <v>4</v>
      </c>
      <c r="AQ76" s="43" t="str">
        <f t="array" ref="AQ76">IF(A72="","",IF(AND(OR(D76="2 &amp; APS",D76="3 &amp; APS",D76="4 &amp; APS",D76="5 &amp; APS"),D74="Futures"),CONCATENATE([1]AB3!$AP$10,INDEX([1]AB2!L:L,MATCH(D72,[1]AB2!B:B,0)),[1]AB3!$AQ$10),IF(AND(OR(D76="2 &amp; APS",D76="3 &amp; APS",D76="4 &amp; APS",D76="5 &amp; APS"),D74="Options Sell"),CONCATENATE([1]AB3!$AP$16,INDEX([1]AB2!M:M,MATCH(D72,[1]AB2!B:B,0)),[1]AB3!$AQ$16),IF(AND(OR(D76="2 &amp; APS",D76="3 &amp; APS",D76="4 &amp; APS",D76="5 &amp; APS"),D74="Options Buy"),CONCATENATE([1]AB3!$AP$22,INDEX([1]AB2!L:L,MATCH(D72,[1]AB2!B:B,0)),[1]AB3!$AQ$22),[1]AB3!$AR$6))))</f>
        <v>FUT : PRV : 3DHH</v>
      </c>
      <c r="AR76" s="51">
        <f>IF(AND(D74="Futures",AQ76=[1]AB3!$AW$10),[1]AB3!$AW$10,IF(AND(D74="Options Sell",AQ76=[1]AB3!$AW$16),[1]AB3!$AW$16,IF(AND(D74="Options Buy",AQ76=[1]AB3!$AW$22),[1]AB3!$AW$22,I75)))</f>
        <v>1E-3</v>
      </c>
      <c r="AS76" s="52">
        <f t="shared" si="116"/>
        <v>3</v>
      </c>
      <c r="AT76" s="43" t="str">
        <f t="array" ref="AT76">IF(A72="","",IF(AND(OR(D76="3 &amp; APS",D76="4 &amp; APS",D76="5 &amp; APS"),D74="Futures"),CONCATENATE([1]AB3!$AP$10,INDEX([1]AB2!L:L,MATCH(D72,[1]AB2!B:B,0)),[1]AB3!$AQ$10),IF(AND(OR(D76="3 &amp; APS",D76="4 &amp; APS",D76="5 &amp; APS"),D74="Options Sell"),CONCATENATE([1]AB3!$AP$16,INDEX([1]AB2!M:M,MATCH(D72,[1]AB2!B:B,0)),[1]AB3!$AQ$16),IF(AND(OR(D76="3 &amp; APS",D76="4 &amp; APS",D76="5 &amp; APS"),D74="Options Buy"),CONCATENATE([1]AB3!$AP$22,INDEX([1]AB2!L:L,MATCH(D72,[1]AB2!B:B,0)),[1]AB3!$AQ$22),[1]AB3!$AR$6))))</f>
        <v>FUT : PRV : 3DHH</v>
      </c>
      <c r="AU76" s="51">
        <f>IF(AND(D74="Futures",AT76=[1]AB3!$AY$10),[1]AB3!$AY$10,IF(AND(D74="Options Sell",AT76=[1]AB3!$AY$16),[1]AB3!$AY$16,IF(AND(D74="Options Buy",AT76=[1]AB3!$AY$22),[1]AB3!$AY$22,I75)))</f>
        <v>1E-3</v>
      </c>
      <c r="AV76" s="52">
        <f t="shared" si="117"/>
        <v>2</v>
      </c>
      <c r="AW76" s="43" t="str">
        <f t="array" ref="AW76">IF(A72="","",IF(AND(OR(D76="4 &amp; APS",D76="5 &amp; APS"),D74="Futures"),CONCATENATE([1]AB3!$AP$10,INDEX([1]AB2!L:L,MATCH(D72,[1]AB2!B:B,0)),[1]AB3!$AQ$10),IF(AND(OR(D76="4 &amp; APS",D76="5 &amp; APS"),D74="Options Sell"),CONCATENATE([1]AB3!$AP$16,INDEX([1]AB2!M:M,MATCH(D72,[1]AB2!B:B,0)),[1]AB3!$AQ$16),IF(AND(OR(D76="4 &amp; APS",D76="5 &amp; APS"),D74="Options Buy"),CONCATENATE([1]AB3!$AP$22,INDEX([1]AB2!L:L,MATCH(D72,[1]AB2!B:B,0)),[1]AB3!$AQ$22),[1]AB3!$AR$6))))</f>
        <v>FUT : PRV : 3DHH</v>
      </c>
      <c r="AX76" s="51">
        <f>IF(AND(D74="Futures",AW76=[1]AB3!$BA$10),[1]AB3!$BA$10,IF(AND(D74="Options Sell",AW76=[1]AB3!$BA$16),[1]AB3!$BA$16,IF(AND(D74="Options Buy",AW76=[1]AB3!$BA$22),[1]AB3!$BA$22,I75)))</f>
        <v>1E-3</v>
      </c>
      <c r="AY76" s="52">
        <f t="shared" si="118"/>
        <v>1</v>
      </c>
      <c r="AZ76" s="51">
        <f t="array" ref="AZ76">IF(A72="","",IF(AND(D76="5 &amp; APS",D74="Futures"),CONCATENATE([1]AB3!$AP$10,INDEX([1]AB2!L:L,MATCH(D72,[1]AB2!B:B,0)),[1]AB3!$AQ$10),IF(AND(D76="5 &amp; APS",D74="Options Sell"),CONCATENATE([1]AB3!$AP$16,INDEX([1]AB2!M:M,MATCH(D72,[1]AB2!B:B,0)),[1]AB3!$AQ$16),IF(AND(D76="5 &amp; APS",D74="Options Buy"),CONCATENATE([1]AB3!$AP$22,INDEX([1]AB2!L:L,MATCH(D72,[1]AB2!B:B,0)),[1]AB3!$AQ$22),[1]AB3!$AR$6))))</f>
        <v>0</v>
      </c>
      <c r="BA76" s="51">
        <f>IF(AND(D74="Futures",AZ76=[1]AB3!$BC$10),[1]AB3!$BC$10,IF(AND(D74="Options Sell",AZ76=[1]AB3!$BC$16),[1]AB3!$BC$16,IF(AND(D74="Options Buy",AZ76=[1]AB3!$BC$22),[1]AB3!$BC$22,I75)))</f>
        <v>0</v>
      </c>
      <c r="BB76" s="52">
        <f t="shared" si="119"/>
        <v>0</v>
      </c>
      <c r="BC76" s="53"/>
      <c r="BD76" s="54" t="str">
        <f>IF(D74="Futures",[1]AB3!$BE$10,IF(D74="Options Sell",[1]AB3!$BE$16,IF(D74="Options Buy",[1]AB3!$BE$22)))</f>
        <v>Market End Time</v>
      </c>
      <c r="BE76" s="67">
        <f t="array" ref="BE76">IF(D72="","",INDEX([1]AB2!AH:AH,MATCH(D72,[1]AB2!B:B,0)))</f>
        <v>0.97916666666666663</v>
      </c>
      <c r="BF76" s="11"/>
      <c r="BG76" s="12"/>
      <c r="BH76" s="57"/>
      <c r="BI76" s="32"/>
      <c r="BJ76" s="61" t="str">
        <f>IF(D74="Futures",[1]AB3!$BK$10,IF(D74="Options Sell",[1]AB3!$BK$16,IF(D74="Options Buy",[1]AB3!$BK$22)))</f>
        <v>Short</v>
      </c>
      <c r="BK76" s="46">
        <v>1E-3</v>
      </c>
      <c r="BL76" s="46">
        <v>1E-3</v>
      </c>
      <c r="BM76" s="57"/>
      <c r="BN76" s="32"/>
      <c r="BO76" s="61" t="str">
        <f>IF(D74="Futures",[1]AB3!$BP$10,IF(D74="Options Sell",[1]AB3!$BP$16,IF(D74="Options Buy",[1]AB3!$BP$22)))</f>
        <v>Put</v>
      </c>
      <c r="BP76" s="43" t="str">
        <f t="array" ref="BP76">IF(A72="","",IF(D74="Futures","",IF(D74="EQUITY","",IF(D74="Options Sell",CONCATENATE([1]AB3!$BQ$16,INDEX([1]AB2!J:J,MATCH(A72,[1]AB2!A:A,0)),[1]AB3!$BR$16),IF(D74="Options Buy",CONCATENATE([1]AB3!$BQ$22,INDEX([1]AB2!J:J,MATCH(A72,[1]AB2!A:A,0)),[1]AB3!$BR$22))))))</f>
        <v/>
      </c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9"/>
      <c r="CL76" s="43"/>
      <c r="CM76" s="43"/>
      <c r="CN76" s="59"/>
      <c r="CO76" s="43"/>
      <c r="CP76" s="43"/>
      <c r="CQ76" s="59"/>
      <c r="CR76" s="43"/>
      <c r="CS76" s="43"/>
      <c r="CT76" s="59"/>
      <c r="CU76" s="43"/>
      <c r="CV76" s="59"/>
      <c r="CW76" s="59"/>
    </row>
    <row r="77" spans="1:101" ht="15.75" customHeight="1" x14ac:dyDescent="0.2">
      <c r="A77" s="1"/>
      <c r="B77" s="2"/>
      <c r="C77" s="2"/>
      <c r="D77" s="2"/>
      <c r="E77" s="2"/>
      <c r="F77" s="2"/>
      <c r="G77" s="2"/>
      <c r="H77" s="2"/>
      <c r="I77" s="2"/>
      <c r="J77" s="64"/>
      <c r="K77" s="2"/>
      <c r="L77" s="2"/>
      <c r="M77" s="2"/>
      <c r="N77" s="2"/>
      <c r="O77" s="64"/>
      <c r="P77" s="2"/>
      <c r="Q77" s="64"/>
      <c r="R77" s="69"/>
      <c r="S77" s="64"/>
      <c r="T77" s="70"/>
      <c r="U77" s="64"/>
      <c r="V77" s="2"/>
      <c r="W77" s="64"/>
      <c r="X77" s="2"/>
      <c r="Y77" s="2"/>
      <c r="Z77" s="2"/>
      <c r="AA77" s="20"/>
      <c r="AB77" s="71"/>
      <c r="AC77" s="71"/>
      <c r="AD77" s="2"/>
      <c r="AE77" s="70"/>
      <c r="AF77" s="70"/>
      <c r="AG77" s="70"/>
      <c r="AH77" s="70"/>
      <c r="AI77" s="2"/>
      <c r="AJ77" s="70"/>
      <c r="AK77" s="70"/>
      <c r="AL77" s="70"/>
      <c r="AM77" s="64"/>
      <c r="AN77" s="70"/>
      <c r="AO77" s="70"/>
      <c r="AP77" s="64"/>
      <c r="AQ77" s="70"/>
      <c r="AR77" s="70"/>
      <c r="AS77" s="64"/>
      <c r="AT77" s="70"/>
      <c r="AU77" s="70"/>
      <c r="AV77" s="64"/>
      <c r="AW77" s="70"/>
      <c r="AX77" s="70"/>
      <c r="AY77" s="64"/>
      <c r="AZ77" s="70"/>
      <c r="BA77" s="70"/>
      <c r="BB77" s="64"/>
      <c r="BC77" s="70"/>
      <c r="BD77" s="70"/>
      <c r="BE77" s="70"/>
      <c r="BF77" s="70"/>
      <c r="BG77" s="70"/>
      <c r="BH77" s="70"/>
      <c r="BI77" s="70"/>
      <c r="BJ77" s="70"/>
      <c r="BK77" s="2"/>
      <c r="BL77" s="2"/>
      <c r="BM77" s="70"/>
      <c r="BN77" s="70"/>
      <c r="BO77" s="70"/>
      <c r="BP77" s="70"/>
      <c r="BQ77" s="70"/>
      <c r="BR77" s="70"/>
      <c r="BS77" s="70"/>
      <c r="BT77" s="70"/>
      <c r="BU77" s="70"/>
      <c r="BV77" s="70"/>
      <c r="BW77" s="70"/>
      <c r="BX77" s="70"/>
      <c r="BY77" s="70"/>
      <c r="BZ77" s="70"/>
      <c r="CA77" s="70"/>
      <c r="CB77" s="70"/>
      <c r="CC77" s="70"/>
      <c r="CD77" s="70"/>
      <c r="CE77" s="70"/>
      <c r="CF77" s="70"/>
      <c r="CG77" s="70"/>
      <c r="CH77" s="70"/>
      <c r="CI77" s="70"/>
      <c r="CJ77" s="70"/>
      <c r="CK77" s="70"/>
      <c r="CL77" s="2"/>
      <c r="CM77" s="2"/>
      <c r="CN77" s="70"/>
      <c r="CO77" s="70"/>
      <c r="CP77" s="70"/>
      <c r="CQ77" s="70"/>
      <c r="CR77" s="2"/>
      <c r="CS77" s="2"/>
      <c r="CT77" s="70"/>
      <c r="CU77" s="70"/>
      <c r="CV77" s="70"/>
      <c r="CW77" s="70"/>
    </row>
    <row r="78" spans="1:101" ht="15.75" customHeight="1" x14ac:dyDescent="0.2">
      <c r="A78" s="40">
        <v>13</v>
      </c>
      <c r="B78" s="41" t="str">
        <f>CONCATENATE(D78,IF(D80="Futures",[1]AB3!$B$6,IF(D80="Options Sell",[1]AB3!$B$12,IF(D80="Options Buy",[1]AB3!$B$18))))</f>
        <v>S13A</v>
      </c>
      <c r="C78" s="42" t="str">
        <f>IF(D80="Futures",[1]AB3!$C$6,IF(D80="Options Sell",[1]AB3!$C$12,IF(D80="Options Buy",[1]AB3!$C$18)))</f>
        <v>Strategy Code</v>
      </c>
      <c r="D78" s="43" t="str">
        <f t="array" ref="D78">IF(A78="","",INDEX([1]AB2!B:B,MATCH(A78,[1]AB2!A:A,0)))</f>
        <v>S13</v>
      </c>
      <c r="E78" s="44" t="str">
        <f>IF(D80="Futures",[1]AB3!$E$6,IF(D80="Options Sell",[1]AB3!$E$12,IF(D80="Options Buy",[1]AB3!$E$18)))</f>
        <v>Bull / 
Bull CF</v>
      </c>
      <c r="F78" s="45" t="str">
        <f>IF(D80="Futures",[1]AB3!$F$6,IF(D80="Options Sell",[1]AB3!$F$12,IF(D80="Options Buy",[1]AB3!$F$18)))</f>
        <v>Long</v>
      </c>
      <c r="G78" s="43" t="str">
        <f t="array" ref="G78">IF(A78="","",IF(D80="Futures",CONCATENATE([1]AB3!$G$6,INDEX([1]AB2!I:I,MATCH(D78,[1]AB2!B:B,0)),[1]AB3!$H$6),IF(D80="Options Sell",CONCATENATE([1]AB3!$G$12,INDEX([1]AB2!J:J,MATCH(D78,[1]AB2!B:B,0)),[1]AB3!$H$12),IF(D80="Options Buy",CONCATENATE([1]AB3!$G$18,INDEX([1]AB2!I:I,MATCH(D78,[1]AB2!B:B,0)),[1]AB3!$H$18)))))</f>
        <v>FUT : PRV : 3DHH</v>
      </c>
      <c r="H78" s="43" t="str">
        <f>IF(D80="Futures",[1]AB3!$I$6,IF(D80="Options Sell",[1]AB3!$I$12,IF(D80="Options Buy",[1]AB3!$I$18)))</f>
        <v xml:space="preserve"> + </v>
      </c>
      <c r="I78" s="46">
        <v>1E-3</v>
      </c>
      <c r="J78" s="47">
        <v>5</v>
      </c>
      <c r="K78" s="48"/>
      <c r="L78" s="43" t="str">
        <f>IF(D80="Futures",[1]AB3!$M$6,IF(D80="Options Sell",[1]AB3!$M$12,IF(D80="Options Buy",[1]AB3!$M$18)))</f>
        <v xml:space="preserve">L : Entry </v>
      </c>
      <c r="M78" s="43" t="str">
        <f>IF(D80="Futures",[1]AB3!$N$6,IF(D80="Options Sell",[1]AB3!$N$12,IF(D80="Options Buy",[1]AB3!$N$18)))</f>
        <v xml:space="preserve"> + </v>
      </c>
      <c r="N78" s="46">
        <v>1.4E-2</v>
      </c>
      <c r="O78" s="47">
        <v>1</v>
      </c>
      <c r="P78" s="46">
        <v>2.1000000000000001E-2</v>
      </c>
      <c r="Q78" s="47">
        <v>1</v>
      </c>
      <c r="R78" s="46">
        <v>2.8000000000000001E-2</v>
      </c>
      <c r="S78" s="47">
        <v>1</v>
      </c>
      <c r="T78" s="46">
        <v>3.5000000000000003E-2</v>
      </c>
      <c r="U78" s="47">
        <v>1</v>
      </c>
      <c r="V78" s="50" t="s">
        <v>51</v>
      </c>
      <c r="W78" s="47">
        <v>1</v>
      </c>
      <c r="X78" s="50" t="s">
        <v>52</v>
      </c>
      <c r="Y78" s="50" t="s">
        <v>52</v>
      </c>
      <c r="Z78" s="48"/>
      <c r="AA78" s="43" t="str">
        <f>IF(D80="Futures",[1]AB3!$AD$6,IF(D80="Options Sell",[1]AB3!$AD$12,IF(D80="Options Buy",[1]AB3!$AD$18)))</f>
        <v>Max</v>
      </c>
      <c r="AB78" s="43" t="str">
        <f>IF(D80="Futures",[1]AB3!$AE$6,IF(D80="Options Sell",[1]AB3!$AE$12,IF(D80="Options Buy",[1]AB3!$AE$18)))</f>
        <v>MSL &amp; TSL</v>
      </c>
      <c r="AC78" s="43" t="str">
        <f>IF(D80="Futures",[1]AB3!$AF$6,IF(D80="Options Sell",[1]AB3!$AF$12,IF(D80="Options Buy",[1]AB3!$AF$18)))</f>
        <v>Entry &amp; TRP</v>
      </c>
      <c r="AD78" s="48"/>
      <c r="AE78" s="43" t="str">
        <f>IF(D80="Futures",[1]AB3!$AH$6,IF(D80="Options Sell",[1]AB3!$AH$12,IF(D80="Options Buy",[1]AB3!$AH$18)))</f>
        <v>L : Entry</v>
      </c>
      <c r="AF78" s="43" t="str">
        <f>IF(D80="Futures",[1]AB3!$AI$6,IF(D80="Options Sell",[1]AB3!$AI$12,IF(D80="Options Buy",[1]AB3!$AI$18)))</f>
        <v xml:space="preserve"> - </v>
      </c>
      <c r="AG78" s="46">
        <v>1.4E-2</v>
      </c>
      <c r="AH78" s="46">
        <v>0</v>
      </c>
      <c r="AI78" s="48"/>
      <c r="AJ78" s="43" t="str">
        <f>IF(D80="Futures",[1]AB3!$AO$6,IF(D80="Options Sell",[1]AB3!$AO$12,IF(D80="Options Buy",[1]AB3!$AO$18)))</f>
        <v xml:space="preserve"> - </v>
      </c>
      <c r="AK78" s="43" t="str">
        <f t="array" ref="AK78">IF(A78="","",IF(D80="Futures",CONCATENATE([1]AB3!$AP$6,INDEX([1]AB2!L:L,MATCH(D78,[1]AB2!B:B,0)),[1]AB3!$AQ$6),IF(D80="Options Sell",CONCATENATE([1]AB3!$AP$12,INDEX([1]AB2!M:M,MATCH(D78,[1]AB2!B:B,0)),[1]AB3!$AQ$12),IF(D80="Options Buy",CONCATENATE([1]AB3!$AP$18,INDEX([1]AB2!L:L,MATCH(D78,[1]AB2!B:B,0)),[1]AB3!$AQ$18)))))</f>
        <v>FUT : PRV : 3DLL</v>
      </c>
      <c r="AL78" s="51">
        <f>IF(AND(D80="Futures",AK78=[1]AB3!$AS$6),[1]AB3!$AS$6,IF(AND(D80="Options Sell",AK78=[1]AB3!$AS$12),[1]AB3!$AS$12,IF(AND(D80="Options Buy",AK78=[1]AB3!$AS$18),[1]AB3!$AS$18,I79)))</f>
        <v>1E-3</v>
      </c>
      <c r="AM78" s="52">
        <f>J79</f>
        <v>5</v>
      </c>
      <c r="AN78" s="43" t="str">
        <f t="array" ref="AN78">IF(A78="","",IF(AND(OR(D82="1 &amp; APS",D82="2 &amp; APS",D82="3 &amp; APS",D82="4 &amp; APS",D82="5 &amp; APS"),D80="Futures"),CONCATENATE([1]AB3!$AP$6,INDEX([1]AB2!L:L,MATCH(D78,[1]AB2!B:B,0)),[1]AB3!$AQ$6),IF(AND(OR(D82="1 &amp; APS",D82="2 &amp; APS",D82="3 &amp; APS",D82="4 &amp; APS",D82="5 &amp; APS"),D80="Options Sell"),CONCATENATE([1]AB3!$AP$12,INDEX([1]AB2!M:M,MATCH(D78,[1]AB2!B:B,0)),[1]AB3!$AQ$12),IF(AND(OR(D82="1 &amp; APS",D82="2 &amp; APS",D82="3 &amp; APS",D82="4 &amp; APS",D82="5 &amp; APS"),D80="Options Buy"),CONCATENATE([1]AB3!$AP$18,INDEX([1]AB2!L:L,MATCH(D78,[1]AB2!B:B,0)),[1]AB3!$AQ$18),[1]AB3!$AR$6))))</f>
        <v>FUT : PRV : 3DLL</v>
      </c>
      <c r="AO78" s="51">
        <f>IF(AND(D80="Futures",AN78=[1]AB3!$AU$6),[1]AB3!$AU$6,IF(AND(D80="Options Sell",AN78=[1]AB3!$AU$12),[1]AB3!$AU$12,IF(AND(D80="Options Buy",AN78=[1]AB3!$AU$18),[1]AB3!$AU$18,I79)))</f>
        <v>1E-3</v>
      </c>
      <c r="AP78" s="52">
        <f t="shared" ref="AP78:AP79" si="120">AM78-O78</f>
        <v>4</v>
      </c>
      <c r="AQ78" s="43" t="str">
        <f t="array" ref="AQ78">IF(A78="","",IF(AND(OR(D82="2 &amp; APS",D82="3 &amp; APS",D82="4 &amp; APS",D82="5 &amp; APS"),D80="Futures"),CONCATENATE([1]AB3!$AP$6,INDEX([1]AB2!L:L,MATCH(D78,[1]AB2!B:B,0)),[1]AB3!$AQ$6),IF(AND(OR(D82="2 &amp; APS",D82="3 &amp; APS",D82="4 &amp; APS",D82="5 &amp; APS"),D80="Options Sell"),CONCATENATE([1]AB3!$AP$12,INDEX([1]AB2!M:M,MATCH(D78,[1]AB2!B:B,0)),[1]AB3!$AQ$12),IF(AND(OR(D82="2 &amp; APS",D82="3 &amp; APS",D82="4 &amp; APS",D82="5 &amp; APS"),D80="Options Buy"),CONCATENATE([1]AB3!$AP$18,INDEX([1]AB2!L:L,MATCH(D78,[1]AB2!B:B,0)),[1]AB3!$AQ$18),[1]AB3!$AR$6))))</f>
        <v>FUT : PRV : 3DLL</v>
      </c>
      <c r="AR78" s="51">
        <f>IF(AND(D80="Futures",AQ78=[1]AB3!$AW$6),[1]AB3!$AW$6,IF(AND(D80="Options Sell",AQ78=[1]AB3!$AW$12),[1]AB3!$AW$12,IF(AND(D80="Options Buy",AQ78=[1]AB3!$AW$18),[1]AB3!$AW$18,I79)))</f>
        <v>1E-3</v>
      </c>
      <c r="AS78" s="52">
        <f t="shared" ref="AS78:AS79" si="121">AP78-Q78</f>
        <v>3</v>
      </c>
      <c r="AT78" s="43" t="str">
        <f t="array" ref="AT78">IF(A78="","",IF(AND(OR(D82="3 &amp; APS",D82="4 &amp; APS",D82="5 &amp; APS"),D80="Futures"),CONCATENATE([1]AB3!$AP$6,INDEX([1]AB2!L:L,MATCH(D78,[1]AB2!B:B,0)),[1]AB3!$AQ$6),IF(AND(OR(D82="3 &amp; APS",D82="4 &amp; APS",D82="5 &amp; APS"),D80="Options Sell"),CONCATENATE([1]AB3!$AP$12,INDEX([1]AB2!M:M,MATCH(D78,[1]AB2!B:B,0)),[1]AB3!$AQ$12),IF(AND(OR(D82="3 &amp; APS",D82="4 &amp; APS",D82="5 &amp; APS"),D80="Options Buy"),CONCATENATE([1]AB3!$AP$18,INDEX([1]AB2!L:L,MATCH(D78,[1]AB2!B:B,0)),[1]AB3!$AQ$18),[1]AB3!$AR$6))))</f>
        <v>FUT : PRV : 3DLL</v>
      </c>
      <c r="AU78" s="51">
        <f>IF(AND(D80="Futures",AT78=[1]AB3!$AY$6),[1]AB3!$AY$6,IF(AND(D80="Options Sell",AT78=[1]AB3!$AY$12),[1]AB3!$AY$12,IF(AND(D80="Options Buy",AT78=[1]AB3!$AY$18),[1]AB3!$AY$18,I79)))</f>
        <v>1E-3</v>
      </c>
      <c r="AV78" s="52">
        <f t="shared" ref="AV78:AV79" si="122">AS78-S78</f>
        <v>2</v>
      </c>
      <c r="AW78" s="43" t="str">
        <f t="array" ref="AW78">IF(A78="","",IF(AND(OR(D82="4 &amp; APS",D82="5 &amp; APS"),D80="Futures"),CONCATENATE([1]AB3!$AP$6,INDEX([1]AB2!L:L,MATCH(D78,[1]AB2!B:B,0)),[1]AB3!$AQ$6),IF(AND(OR(D82="4 &amp; APS",D82="5 &amp; APS"),D80="Options Sell"),CONCATENATE([1]AB3!$AP$12,INDEX([1]AB2!M:M,MATCH(D78,[1]AB2!B:B,0)),[1]AB3!$AQ$12),IF(AND(OR(D82="4 &amp; APS",D82="5 &amp; APS"),D80="Options Buy"),CONCATENATE([1]AB3!$AP$18,INDEX([1]AB2!L:L,MATCH(D78,[1]AB2!B:B,0)),[1]AB3!$AQ$18),[1]AB3!$AR$6))))</f>
        <v>FUT : PRV : 3DLL</v>
      </c>
      <c r="AX78" s="51">
        <f>IF(AND(D80="Futures",AW78=[1]AB3!$BA$6),[1]AB3!$BA$6,IF(AND(D80="Options Sell",AW78=[1]AB3!$BA$12),[1]AB3!$BA$12,IF(AND(D80="Options Buy",AW78=[1]AB3!$BA$18),[1]AB3!$BA$18,I79)))</f>
        <v>1E-3</v>
      </c>
      <c r="AY78" s="52">
        <f t="shared" ref="AY78:AY79" si="123">AV78-S78</f>
        <v>1</v>
      </c>
      <c r="AZ78" s="51">
        <f t="array" ref="AZ78">IF(A78="","",IF(AND(D82="5 &amp; APS",D80="Futures"),CONCATENATE([1]AB3!$AP$6,INDEX([1]AB2!L:L,MATCH(D78,[1]AB2!B:B,0)),[1]AB3!$AQ$6),IF(AND(D82="5 &amp; APS",D80="Options Sell"),CONCATENATE([1]AB3!$AP$12,INDEX([1]AB2!M:M,MATCH(D78,[1]AB2!B:B,0)),[1]AB3!$AQ$12),IF(AND(D82="5 &amp; APS",D80="Options Buy"),CONCATENATE([1]AB3!$AP$18,INDEX([1]AB2!L:L,MATCH(D78,[1]AB2!B:B,0)),[1]AB3!$AQ$18),[1]AB3!$AR$6))))</f>
        <v>0</v>
      </c>
      <c r="BA78" s="51">
        <f>IF(AND(D80="Futures",AZ78=[1]AB3!$BC$6),[1]AB3!$BC$6,IF(AND(D80="Options Sell",AZ78=[1]AB3!$BC$12),[1]AB3!$BC$12,IF(AND(D80="Options Buy",AZ78=[1]AB3!$BC$18),[1]AB3!$BC$18,I79)))</f>
        <v>0</v>
      </c>
      <c r="BB78" s="52">
        <f t="shared" ref="BB78:BB79" si="124">AY78-W78</f>
        <v>0</v>
      </c>
      <c r="BC78" s="53"/>
      <c r="BD78" s="54" t="str">
        <f>IF(D80="Futures",[1]AB3!$BE$6,IF(D80="Options Sell",[1]AB3!$BE$12,IF(D80="Options Buy",[1]AB3!$BE$18)))</f>
        <v xml:space="preserve">ORPT </v>
      </c>
      <c r="BE78" s="55">
        <f>IF(D80="Futures",BE81+([1]AB3!$BF$6/1440),IF(D80="Options Sell",BE81+([1]AB3!$BF$12/1440),IF(D80="Options Buy",BE81+([1]AB3!$BF$18/1440))))</f>
        <v>0.37846527777777778</v>
      </c>
      <c r="BF78" s="55">
        <f>IF(D80="Futures",BE81+([1]AB3!$BG$6/1440),IF(D80="Options Sell",BE81+([1]AB3!$BG$12/1440),IF(D80="Options Buy",BE81+([1]AB3!$BG$18/1440))))</f>
        <v>0.37846527777777778</v>
      </c>
      <c r="BG78" s="55">
        <f>IF(D80="Futures",BE81+([1]AB3!$BH$6/1440),IF(D80="Options Sell",BE81+([1]AB3!$BH$12/1440),IF(D80="Options Buy",BE81+([1]AB3!$BH$18/1440))))</f>
        <v>0.375</v>
      </c>
      <c r="BH78" s="57"/>
      <c r="BI78" s="44" t="str">
        <f>IF(D80="Futures",[1]AB3!$BJ$6,IF(D80="Options Sell",[1]AB3!$BJ$12,IF(D80="Options Buy",[1]AB3!$BJ$18)))</f>
        <v>Bull / 
Bull CF</v>
      </c>
      <c r="BJ78" s="45" t="str">
        <f>IF(D80="Futures",[1]AB3!$BK$6,IF(D80="Options Sell",[1]AB3!$BK$12,IF(D80="Options Buy",[1]AB3!$BK$18)))</f>
        <v>Long</v>
      </c>
      <c r="BK78" s="46">
        <v>1E-3</v>
      </c>
      <c r="BL78" s="46">
        <v>1E-3</v>
      </c>
      <c r="BM78" s="57"/>
      <c r="BN78" s="44" t="str">
        <f>IF(D80="Futures",[1]AB3!$BO$6,IF(D80="Options Sell",[1]AB3!$BO$12,IF(D80="Options Buy",[1]AB3!$BO$18)))</f>
        <v>Bull | 
Bull CF</v>
      </c>
      <c r="BO78" s="45" t="str">
        <f>IF(D80="Futures",[1]AB3!$BP$6,IF(D80="Options Sell",[1]AB3!$BP$12,IF(D80="Options Buy",[1]AB3!$BP$18)))</f>
        <v>Call</v>
      </c>
      <c r="BP78" s="43" t="str">
        <f t="array" ref="BP78">IF(A78="","",IF(D80="Futures","",IF(D80="EQUITY","",IF(D80="Options Sell",CONCATENATE([1]AB3!$BQ$12,INDEX([1]AB2!J:J,MATCH(A78,[1]AB2!A:A,0)),[1]AB3!$BR$12),IF(D80="Options Buy",CONCATENATE([1]AB3!$BQ$18,INDEX([1]AB2!J:J,MATCH(A78,[1]AB2!A:A,0)),[1]AB3!$BR$18))))))</f>
        <v/>
      </c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9"/>
      <c r="CL78" s="43"/>
      <c r="CM78" s="43"/>
      <c r="CN78" s="59"/>
      <c r="CO78" s="43"/>
      <c r="CP78" s="43"/>
      <c r="CQ78" s="59"/>
      <c r="CR78" s="43"/>
      <c r="CS78" s="43"/>
      <c r="CT78" s="59"/>
      <c r="CU78" s="55">
        <f>IF(D80="Futures",BE82-([1]AB3!$CG$6/1440),IF(D80="Options Sell",BE82-([1]AB3!$CG$12/1440),IF(D80="Options Buy",BE82-([1]AB3!$CG$18/1440),IF(D80="EQUITY",""))))</f>
        <v>0.95833333333333326</v>
      </c>
      <c r="CV78" s="59"/>
      <c r="CW78" s="59"/>
    </row>
    <row r="79" spans="1:101" ht="16.5" customHeight="1" x14ac:dyDescent="0.2">
      <c r="A79" s="60"/>
      <c r="B79" s="41" t="str">
        <f>CONCATENATE(D78,IF(D80="Futures",[1]AB3!$B$7,IF(D80="Options Sell",[1]AB3!$B$13,IF(D80="Options Buy",[1]AB3!$B$19))))</f>
        <v>S13B</v>
      </c>
      <c r="C79" s="42" t="str">
        <f>IF(D80="Futures",[1]AB3!$C$7,IF(D80="Options Sell",[1]AB3!$C$13,IF(D80="Options Buy",[1]AB3!$C$19)))</f>
        <v>Unique Code</v>
      </c>
      <c r="D79" s="43" t="str">
        <f t="array" ref="D79">IF(A78="","",INDEX([1]AB2!N:N,MATCH(D78,[1]AB2!B:B,0)))</f>
        <v>SILVERM_FUT_MT_SAME_3D_3D</v>
      </c>
      <c r="E79" s="32"/>
      <c r="F79" s="61" t="str">
        <f>IF(D80="Futures",[1]AB3!$F$7,IF(D80="Options Sell",[1]AB3!$F$13,IF(D80="Options Buy",[1]AB3!$F$19)))</f>
        <v>Short</v>
      </c>
      <c r="G79" s="43" t="str">
        <f t="array" ref="G79">IF(A78="","",IF(D80="Futures",CONCATENATE([1]AB3!$G$7,INDEX([1]AB2!J:J,MATCH(D78,[1]AB2!B:B,0)),[1]AB3!$H$7),IF(D80="Options Sell",CONCATENATE([1]AB3!$G$13,INDEX([1]AB2!I:I,MATCH(D78,[1]AB2!B:B,0)),[1]AB3!$H$13),IF(D80="Options Buy",CONCATENATE([1]AB3!$G$19,INDEX([1]AB2!J:J,MATCH(D78,[1]AB2!B:B,0)),[1]AB3!$H$19)))))</f>
        <v>FUT : PRV : 3DLL</v>
      </c>
      <c r="H79" s="43" t="str">
        <f>IF(D80="Futures",[1]AB3!$I$7,IF(D80="Options Sell",[1]AB3!$I$13,IF(D80="Options Buy",[1]AB3!$I$19)))</f>
        <v xml:space="preserve"> - </v>
      </c>
      <c r="I79" s="46">
        <v>1E-3</v>
      </c>
      <c r="J79" s="47">
        <v>5</v>
      </c>
      <c r="K79" s="48"/>
      <c r="L79" s="43" t="str">
        <f>IF(D80="Futures",[1]AB3!$M$7,IF(D80="Options Sell",[1]AB3!$M$13,IF(D80="Options Buy",[1]AB3!$M$19)))</f>
        <v xml:space="preserve">S : Entry </v>
      </c>
      <c r="M79" s="43" t="str">
        <f>IF(D80="Futures",[1]AB3!$N$7,IF(D80="Options Sell",[1]AB3!$N$13,IF(D80="Options Buy",[1]AB3!$N$19)))</f>
        <v xml:space="preserve"> - </v>
      </c>
      <c r="N79" s="46">
        <v>1.4E-2</v>
      </c>
      <c r="O79" s="47">
        <v>1</v>
      </c>
      <c r="P79" s="46">
        <v>2.1000000000000001E-2</v>
      </c>
      <c r="Q79" s="47">
        <v>1</v>
      </c>
      <c r="R79" s="46">
        <v>2.8000000000000001E-2</v>
      </c>
      <c r="S79" s="47">
        <v>1</v>
      </c>
      <c r="T79" s="46">
        <v>3.5000000000000003E-2</v>
      </c>
      <c r="U79" s="47">
        <v>1</v>
      </c>
      <c r="V79" s="50" t="s">
        <v>51</v>
      </c>
      <c r="W79" s="47">
        <v>1</v>
      </c>
      <c r="X79" s="50" t="s">
        <v>52</v>
      </c>
      <c r="Y79" s="50" t="s">
        <v>52</v>
      </c>
      <c r="Z79" s="48"/>
      <c r="AA79" s="43" t="str">
        <f>IF(D80="Futures",[1]AB3!$AD$7,IF(D80="Options Sell",[1]AB3!$AD$13,IF(D80="Options Buy",[1]AB3!$AD$19)))</f>
        <v>Min</v>
      </c>
      <c r="AB79" s="43" t="str">
        <f>IF(D80="Futures",[1]AB3!$AE$7,IF(D80="Options Sell",[1]AB3!$AE$13,IF(D80="Options Buy",[1]AB3!$AE$19)))</f>
        <v>MSL &amp; TSL</v>
      </c>
      <c r="AC79" s="43" t="str">
        <f>IF(D80="Futures",[1]AB3!$AF$7,IF(D80="Options Sell",[1]AB3!$AF$13,IF(D80="Options Buy",[1]AB3!$AF$19)))</f>
        <v>Entry &amp; TRP</v>
      </c>
      <c r="AD79" s="48"/>
      <c r="AE79" s="43" t="str">
        <f>IF(D80="Futures",[1]AB3!$AH$7,IF(D80="Options Sell",[1]AB3!$AH$13,IF(D80="Options Buy",[1]AB3!$AH$19)))</f>
        <v>S : Entry</v>
      </c>
      <c r="AF79" s="43" t="str">
        <f>IF(D80="Futures",[1]AB3!$AI$7,IF(D80="Options Sell",[1]AB3!$AI$13,IF(D80="Options Buy",[1]AB3!$AI$19)))</f>
        <v xml:space="preserve"> + </v>
      </c>
      <c r="AG79" s="46">
        <v>1.4E-2</v>
      </c>
      <c r="AH79" s="46">
        <v>0</v>
      </c>
      <c r="AI79" s="48"/>
      <c r="AJ79" s="43" t="str">
        <f>IF(D80="Futures",[1]AB3!$AO$7,IF(D80="Options Sell",[1]AB3!$AO$13,IF(D80="Options Buy",[1]AB3!$AO$19)))</f>
        <v xml:space="preserve"> + </v>
      </c>
      <c r="AK79" s="43" t="str">
        <f t="array" ref="AK79">IF(A78="","",IF(D80="Futures",CONCATENATE([1]AB3!$AP$7,INDEX([1]AB2!M:M,MATCH(D78,[1]AB2!B:B,0)),[1]AB3!$AQ$7),IF(D80="Options Sell",CONCATENATE([1]AB3!$AP$13,INDEX([1]AB2!L:L,MATCH(D78,[1]AB2!B:B,0)),[1]AB3!$AQ$13),IF(D80="Options Buy",CONCATENATE([1]AB3!$AP$19,INDEX([1]AB2!M:M,MATCH(D78,[1]AB2!B:B,0)),[1]AB3!$AQ$19)))))</f>
        <v>FUT : PRV : 3DHH</v>
      </c>
      <c r="AL79" s="51">
        <f>IF(AND(D80="Futures",AK79=[1]AB3!$AS$7),[1]AB3!$AS$7,IF(AND(D80="Options Sell",AK79=[1]AB3!$AS$13),[1]AB3!$AS$13,IF(AND(D80="Options Buy",AK79=[1]AB3!$AS$19),[1]AB3!$AS$19,I78)))</f>
        <v>1E-3</v>
      </c>
      <c r="AM79" s="52">
        <f>J78</f>
        <v>5</v>
      </c>
      <c r="AN79" s="43" t="str">
        <f t="array" ref="AN79">IF(A78="","",IF(AND(OR(D82="1 &amp; APS",D82="2 &amp; APS",D82="3 &amp; APS",D82="4 &amp; APS",D82="5 &amp; APS"),D80="Futures"),CONCATENATE([1]AB3!$AP$7,INDEX([1]AB2!M:M,MATCH(D78,[1]AB2!B:B,0)),[1]AB3!$AQ$7),IF(AND(OR(D82="1 &amp; APS",D82="2 &amp; APS",D82="3 &amp; APS",D82="4 &amp; APS",D82="5 &amp; APS"),D80="Options Sell"),CONCATENATE([1]AB3!$AP$13,INDEX([1]AB2!L:L,MATCH(D78,[1]AB2!B:B,0)),[1]AB3!$AQ$13),IF(AND(OR(D82="1 &amp; APS",D82="2 &amp; APS",D82="3 &amp; APS",D82="4 &amp; APS",D82="5 &amp; APS"),D80="Options Buy"),CONCATENATE([1]AB3!$AP$19,INDEX([1]AB2!M:M,MATCH(D78,[1]AB2!B:B,0)),[1]AB3!$AQ$19),[1]AB3!$AR$6))))</f>
        <v>FUT : PRV : 3DHH</v>
      </c>
      <c r="AO79" s="51">
        <f>IF(AND(D80="Futures",AN79=[1]AB3!$AU$7),[1]AB3!$AU$7,IF(AND(D80="Options Sell",AN79=[1]AB3!$AU$13),[1]AB3!$AU$13,IF(AND(D80="Options Buy",AN79=[1]AB3!$AU$19),[1]AB3!$AU$19,I78)))</f>
        <v>1E-3</v>
      </c>
      <c r="AP79" s="52">
        <f t="shared" si="120"/>
        <v>4</v>
      </c>
      <c r="AQ79" s="43" t="str">
        <f t="array" ref="AQ79">IF(A78="","",IF(AND(OR(D82="2 &amp; APS",D82="3 &amp; APS",D82="4 &amp; APS",D82="5 &amp; APS"),D80="Futures"),CONCATENATE([1]AB3!$AP$7,INDEX([1]AB2!M:M,MATCH(D78,[1]AB2!B:B,0)),[1]AB3!$AQ$7),IF(AND(OR(D82="2 &amp; APS",D82="3 &amp; APS",D82="4 &amp; APS",D82="5 &amp; APS"),D80="Options Sell"),CONCATENATE([1]AB3!$AP$13,INDEX([1]AB2!L:L,MATCH(D78,[1]AB2!B:B,0)),[1]AB3!$AQ$13),IF(AND(OR(D82="2 &amp; APS",D82="3 &amp; APS",D82="4 &amp; APS",D82="5 &amp; APS"),D80="Options Buy"),CONCATENATE([1]AB3!$AP$19,INDEX([1]AB2!M:M,MATCH(D78,[1]AB2!B:B,0)),[1]AB3!$AQ$19),[1]AB3!$AR$6))))</f>
        <v>FUT : PRV : 3DHH</v>
      </c>
      <c r="AR79" s="51">
        <f>IF(AND(D80="Futures",AQ79=[1]AB3!$AW$7),[1]AB3!$AW$7,IF(AND(D80="Options Sell",AQ79=[1]AB3!$AW$13),[1]AB3!$AW$13,IF(AND(D80="Options Buy",AQ79=[1]AB3!$AW$19),[1]AB3!$AW$19,I78)))</f>
        <v>1E-3</v>
      </c>
      <c r="AS79" s="52">
        <f t="shared" si="121"/>
        <v>3</v>
      </c>
      <c r="AT79" s="43" t="str">
        <f t="array" ref="AT79">IF(A78="","",IF(AND(OR(D82="3 &amp; APS",D82="4 &amp; APS",D82="5 &amp; APS"),D80="Futures"),CONCATENATE([1]AB3!$AP$7,INDEX([1]AB2!M:M,MATCH(D78,[1]AB2!B:B,0)),[1]AB3!$AQ$7),IF(AND(OR(D82="3 &amp; APS",D82="4 &amp; APS",D82="5 &amp; APS"),D80="Options Sell"),CONCATENATE([1]AB3!$AP$13,INDEX([1]AB2!L:L,MATCH(D78,[1]AB2!B:B,0)),[1]AB3!$AQ$13),IF(AND(OR(D82="3 &amp; APS",D82="4 &amp; APS",D82="5 &amp; APS"),D80="Options Buy"),CONCATENATE([1]AB3!$AP$19,INDEX([1]AB2!M:M,MATCH(D78,[1]AB2!B:B,0)),[1]AB3!$AQ$19),[1]AB3!$AR$6))))</f>
        <v>FUT : PRV : 3DHH</v>
      </c>
      <c r="AU79" s="51">
        <f>IF(AND(D80="Futures",AT79=[1]AB3!$AY$7),[1]AB3!$AY$7,IF(AND(D80="Options Sell",AT79=[1]AB3!$AY$13),[1]AB3!$AY$13,IF(AND(D80="Options Buy",AT79=[1]AB3!$AY$19),[1]AB3!$AY$19,I78)))</f>
        <v>1E-3</v>
      </c>
      <c r="AV79" s="52">
        <f t="shared" si="122"/>
        <v>2</v>
      </c>
      <c r="AW79" s="43" t="str">
        <f t="array" ref="AW79">IF(A78="","",IF(AND(OR(D82="4 &amp; APS",D82="5 &amp; APS"),D80="Futures"),CONCATENATE([1]AB3!$AP$7,INDEX([1]AB2!M:M,MATCH(D78,[1]AB2!B:B,0)),[1]AB3!$AQ$7),IF(AND(OR(D82="4 &amp; APS",D82="5 &amp; APS"),D80="Options Sell"),CONCATENATE([1]AB3!$AP$13,INDEX([1]AB2!L:L,MATCH(D78,[1]AB2!B:B,0)),[1]AB3!$AQ$13),IF(AND(OR(D82="4 &amp; APS",D82="5 &amp; APS"),D80="Options Buy"),CONCATENATE([1]AB3!$AP$19,INDEX([1]AB2!M:M,MATCH(D78,[1]AB2!B:B,0)),[1]AB3!$AQ$19),[1]AB3!$AR$6))))</f>
        <v>FUT : PRV : 3DHH</v>
      </c>
      <c r="AX79" s="51">
        <f>IF(AND(D80="Futures",AW79=[1]AB3!$BA$7),[1]AB3!$BA$7,IF(AND(D80="Options Sell",AW79=[1]AB3!$BA$13),[1]AB3!$BA$13,IF(AND(D80="Options Buy",AW79=[1]AB3!$BA$19),[1]AB3!$BA$19,I78)))</f>
        <v>1E-3</v>
      </c>
      <c r="AY79" s="52">
        <f t="shared" si="123"/>
        <v>1</v>
      </c>
      <c r="AZ79" s="51">
        <f t="array" ref="AZ79">IF(A78="","",IF(AND(D82="5 &amp; APS",D80="Futures"),CONCATENATE([1]AB3!$AP$7,INDEX([1]AB2!M:M,MATCH(D78,[1]AB2!B:B,0)),[1]AB3!$AQ$7),IF(AND(D82="5 &amp; APS",D80="Options Sell"),CONCATENATE([1]AB3!$AP$13,INDEX([1]AB2!L:L,MATCH(D78,[1]AB2!B:B,0)),[1]AB3!$AQ$13),IF(AND(D82="5 &amp; APS",D80="Options Buy"),CONCATENATE([1]AB3!$AP$19,INDEX([1]AB2!M:M,MATCH(D78,[1]AB2!B:B,0)),[1]AB3!$AQ$19),[1]AB3!$AR$6))))</f>
        <v>0</v>
      </c>
      <c r="BA79" s="51">
        <f>IF(AND(D80="Futures",AZ79=[1]AB3!$BC$7),[1]AB3!$BC$7,IF(AND(D80="Options Sell",AZ79=[1]AB3!$BC$13),[1]AB3!$BC$13,IF(AND(D80="Options Buy",AZ79=[1]AB3!$BC$19),[1]AB3!$BC$19,I78)))</f>
        <v>0</v>
      </c>
      <c r="BB79" s="52">
        <f t="shared" si="124"/>
        <v>0</v>
      </c>
      <c r="BC79" s="53"/>
      <c r="BD79" s="54" t="str">
        <f>IF(D80="Futures",[1]AB3!$BE$7,IF(D80="Options Sell",[1]AB3!$BE$13,IF(D80="Options Buy",[1]AB3!$BE$19)))</f>
        <v xml:space="preserve"> RC. Time</v>
      </c>
      <c r="BE79" s="55">
        <f>IF(D80="Futures",BE81+([1]AB3!$BF$7/1440),IF(D80="Options Sell",BE81+([1]AB3!$BF$13/1440),IF(D80="Options Buy",BE81+([1]AB3!$BF$19/1440))))</f>
        <v>0.38540972222222225</v>
      </c>
      <c r="BF79" s="55">
        <f>IF(D80="Futures",BE81+([1]AB3!$BG$7/1440),IF(D80="Options Sell",BE81+([1]AB3!$BG$13/1440),IF(D80="Options Buy",BE81+([1]AB3!$BG$19/1440))))</f>
        <v>0.38540972222222225</v>
      </c>
      <c r="BG79" s="55" t="str">
        <f>IF(D80="Futures",[1]AB3!$BH$7,IF(D80="Options Sell",[1]AB3!$BH$7,IF(D80="Options Buy",[1]AB3!$BH$7)))</f>
        <v>N.A.</v>
      </c>
      <c r="BH79" s="57"/>
      <c r="BI79" s="32"/>
      <c r="BJ79" s="61" t="str">
        <f>IF(D80="Futures",[1]AB3!$BK$7,IF(D80="Options Sell",[1]AB3!$BK$13,IF(D80="Options Buy",[1]AB3!$BK$19)))</f>
        <v>Short</v>
      </c>
      <c r="BK79" s="46">
        <v>1E-3</v>
      </c>
      <c r="BL79" s="46">
        <v>1E-3</v>
      </c>
      <c r="BM79" s="57"/>
      <c r="BN79" s="32"/>
      <c r="BO79" s="61" t="str">
        <f>IF(D80="Futures",[1]AB3!$BP$7,IF(D80="Options Sell",[1]AB3!$BP$13,IF(D80="Options Buy",[1]AB3!$BP$19)))</f>
        <v>Put</v>
      </c>
      <c r="BP79" s="43" t="str">
        <f t="array" ref="BP79">IF(A78="","",IF(D80="Futures","",IF(D80="EQUITY","",IF(D80="Options Sell",CONCATENATE([1]AB3!$BQ$13,INDEX([1]AB2!I:I,MATCH(A78,[1]AB2!A:A,0)),[1]AB3!$BR$13),IF(D80="Options Buy",CONCATENATE([1]AB3!$BQ$19,INDEX([1]AB2!I:I,MATCH(A78,[1]AB2!A:A,0)),[1]AB3!$BR$19))))))</f>
        <v/>
      </c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9"/>
      <c r="CL79" s="43"/>
      <c r="CM79" s="43"/>
      <c r="CN79" s="59"/>
      <c r="CO79" s="43"/>
      <c r="CP79" s="43"/>
      <c r="CQ79" s="59"/>
      <c r="CR79" s="43"/>
      <c r="CS79" s="43"/>
      <c r="CT79" s="59"/>
      <c r="CU79" s="43"/>
      <c r="CV79" s="59"/>
      <c r="CW79" s="59"/>
    </row>
    <row r="80" spans="1:101" ht="16.5" customHeight="1" x14ac:dyDescent="0.2">
      <c r="A80" s="60"/>
      <c r="B80" s="41" t="str">
        <f>CONCATENATE(D78,IF(D80="Futures",[1]AB3!$B$8,IF(D80="Options Sell",[1]AB3!$B$14,IF(D80="Options Buy",[1]AB3!$B$20))))</f>
        <v>S13C</v>
      </c>
      <c r="C80" s="42" t="str">
        <f>IF(D80="Futures",[1]AB3!$C$8,IF(D80="Options Sell",[1]AB3!$C$14,IF(D80="Options Buy",[1]AB3!$C$20)))</f>
        <v>Segment</v>
      </c>
      <c r="D80" s="43" t="str">
        <f t="array" ref="D80">IF(A78="","",INDEX([1]AB2!C:C,MATCH(D78,[1]AB2!B:B,0)))</f>
        <v>FUTURES</v>
      </c>
      <c r="E80" s="42" t="str">
        <f>IF(D80="Futures",[1]AB3!$E$8,IF(D80="Options Sell",[1]AB3!$E$14,IF(D80="Options Buy",[1]AB3!$E$20)))</f>
        <v>Contract</v>
      </c>
      <c r="F80" s="43" t="str">
        <f t="array" ref="F80">IF(A78="","",INDEX([1]AB2!F:F,MATCH(D78,[1]AB2!B:B,0)))</f>
        <v>MONTHLY</v>
      </c>
      <c r="G80" s="62"/>
      <c r="H80" s="62"/>
      <c r="I80" s="63"/>
      <c r="J80" s="64"/>
      <c r="K80" s="48"/>
      <c r="L80" s="62"/>
      <c r="M80" s="62"/>
      <c r="N80" s="63"/>
      <c r="O80" s="64"/>
      <c r="P80" s="63"/>
      <c r="Q80" s="64"/>
      <c r="R80" s="63"/>
      <c r="S80" s="64"/>
      <c r="T80" s="63"/>
      <c r="U80" s="64"/>
      <c r="V80" s="63"/>
      <c r="W80" s="64"/>
      <c r="X80" s="63"/>
      <c r="Y80" s="63"/>
      <c r="Z80" s="48"/>
      <c r="AA80" s="62"/>
      <c r="AB80" s="62"/>
      <c r="AC80" s="62"/>
      <c r="AD80" s="48"/>
      <c r="AE80" s="62"/>
      <c r="AF80" s="62"/>
      <c r="AG80" s="63"/>
      <c r="AH80" s="63"/>
      <c r="AI80" s="48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53"/>
      <c r="BD80" s="57"/>
      <c r="BE80" s="57"/>
      <c r="BF80" s="57"/>
      <c r="BG80" s="57"/>
      <c r="BH80" s="57"/>
      <c r="BI80" s="66"/>
      <c r="BJ80" s="62"/>
      <c r="BK80" s="63"/>
      <c r="BL80" s="63"/>
      <c r="BM80" s="57"/>
      <c r="BN80" s="66"/>
      <c r="BO80" s="62"/>
      <c r="BP80" s="62"/>
      <c r="BQ80" s="62"/>
      <c r="BR80" s="62"/>
      <c r="BS80" s="62"/>
      <c r="BT80" s="62"/>
      <c r="BU80" s="62"/>
      <c r="BV80" s="62"/>
      <c r="BW80" s="62"/>
      <c r="BX80" s="62"/>
      <c r="BY80" s="62"/>
      <c r="BZ80" s="62"/>
      <c r="CA80" s="62"/>
      <c r="CB80" s="62"/>
      <c r="CC80" s="62"/>
      <c r="CD80" s="62"/>
      <c r="CE80" s="62"/>
      <c r="CF80" s="62"/>
      <c r="CG80" s="62"/>
      <c r="CH80" s="62"/>
      <c r="CI80" s="62"/>
      <c r="CJ80" s="62"/>
      <c r="CK80" s="59"/>
      <c r="CL80" s="62"/>
      <c r="CM80" s="62"/>
      <c r="CN80" s="59"/>
      <c r="CO80" s="62"/>
      <c r="CP80" s="62"/>
      <c r="CQ80" s="59"/>
      <c r="CR80" s="62"/>
      <c r="CS80" s="62"/>
      <c r="CT80" s="59"/>
      <c r="CU80" s="62"/>
      <c r="CV80" s="59"/>
      <c r="CW80" s="59"/>
    </row>
    <row r="81" spans="1:101" ht="16.5" customHeight="1" x14ac:dyDescent="0.2">
      <c r="A81" s="60"/>
      <c r="B81" s="41" t="str">
        <f>CONCATENATE(D78,IF(D80="Futures",[1]AB3!$B$9,IF(D80="Options Sell",[1]AB3!$B$15,IF(D80="Options Buy",[1]AB3!$B$21))))</f>
        <v>S13D</v>
      </c>
      <c r="C81" s="42" t="str">
        <f>IF(D80="Futures",[1]AB3!$C$9,IF(D80="Options Sell",[1]AB3!$C$15,IF(D80="Options Buy",[1]AB3!$C$21)))</f>
        <v>Symbol</v>
      </c>
      <c r="D81" s="43" t="str">
        <f t="array" ref="D81">IF(A78="","",INDEX([1]AB2!E:E,MATCH(D78,[1]AB2!B:B,0)))</f>
        <v>SILVERM</v>
      </c>
      <c r="E81" s="44" t="str">
        <f>IF(D80="Futures",[1]AB3!$E$9,IF(D80="Options Sell",[1]AB3!$E$15,IF(D80="Options Buy",[1]AB3!$E$21)))</f>
        <v>Bear / 
Bear CF</v>
      </c>
      <c r="F81" s="45" t="str">
        <f>IF(D80="Futures",[1]AB3!$F$9,IF(D80="Options Sell",[1]AB3!$F$15,IF(D80="Options Buy",[1]AB3!$F$21)))</f>
        <v>Long</v>
      </c>
      <c r="G81" s="43" t="str">
        <f t="array" ref="G81">IF(A78="","",IF(D80="Futures",CONCATENATE([1]AB3!$G$9,INDEX([1]AB2!J:J,MATCH(D78,[1]AB2!B:B,0)),[1]AB3!$H$9),IF(D80="Options Sell",CONCATENATE([1]AB3!$G$15,INDEX([1]AB2!I:I,MATCH(D78,[1]AB2!B:B,0)),[1]AB3!$H$15),IF(D80="Options Buy",CONCATENATE([1]AB3!$G$21,INDEX([1]AB2!J:J,MATCH(D78,[1]AB2!B:B,0)),[1]AB3!$H$21)))))</f>
        <v>FUT : PRV : 3DHH</v>
      </c>
      <c r="H81" s="43" t="str">
        <f>IF(D80="Futures",[1]AB3!$I$9,IF(D80="Options Sell",[1]AB3!$I$15,IF(D80="Options Buy",[1]AB3!$I$21)))</f>
        <v xml:space="preserve"> + </v>
      </c>
      <c r="I81" s="46">
        <v>1E-3</v>
      </c>
      <c r="J81" s="47">
        <v>5</v>
      </c>
      <c r="K81" s="48"/>
      <c r="L81" s="43" t="str">
        <f>IF(D80="Futures",[1]AB3!$M$9,IF(D80="Options Sell",[1]AB3!$M$15,IF(D80="Options Buy",[1]AB3!$M$21)))</f>
        <v xml:space="preserve">L : Entry </v>
      </c>
      <c r="M81" s="43" t="str">
        <f>IF(D80="Futures",[1]AB3!$N$9,IF(D80="Options Sell",[1]AB3!$N$15,IF(D80="Options Buy",[1]AB3!$N$21)))</f>
        <v xml:space="preserve"> + </v>
      </c>
      <c r="N81" s="46">
        <v>1.4E-2</v>
      </c>
      <c r="O81" s="47">
        <v>1</v>
      </c>
      <c r="P81" s="46">
        <v>2.1000000000000001E-2</v>
      </c>
      <c r="Q81" s="47">
        <v>1</v>
      </c>
      <c r="R81" s="46">
        <v>2.8000000000000001E-2</v>
      </c>
      <c r="S81" s="47">
        <v>1</v>
      </c>
      <c r="T81" s="46">
        <v>3.5000000000000003E-2</v>
      </c>
      <c r="U81" s="47">
        <v>1</v>
      </c>
      <c r="V81" s="50" t="s">
        <v>51</v>
      </c>
      <c r="W81" s="47">
        <v>1</v>
      </c>
      <c r="X81" s="50" t="s">
        <v>52</v>
      </c>
      <c r="Y81" s="50" t="s">
        <v>52</v>
      </c>
      <c r="Z81" s="48"/>
      <c r="AA81" s="43" t="str">
        <f>IF(D80="Futures",[1]AB3!$AD$9,IF(D80="Options Sell",[1]AB3!$AD$15,IF(D80="Options Buy",[1]AB3!$AD$21)))</f>
        <v>Max</v>
      </c>
      <c r="AB81" s="43" t="str">
        <f>IF(D80="Futures",[1]AB3!$AE$9,IF(D80="Options Sell",[1]AB3!$AE$15,IF(D80="Options Buy",[1]AB3!$AE$21)))</f>
        <v>MSL &amp; TSL</v>
      </c>
      <c r="AC81" s="43" t="str">
        <f>IF(D80="Futures",[1]AB3!$AF$9,IF(D80="Options Sell",[1]AB3!$AF$15,IF(D80="Options Buy",[1]AB3!$AF$21)))</f>
        <v>Entry &amp; TRP</v>
      </c>
      <c r="AD81" s="48"/>
      <c r="AE81" s="43" t="str">
        <f>IF(D80="Futures",[1]AB3!$AH$9,IF(D80="Options Sell",[1]AB3!$AH$15,IF(D80="Options Buy",[1]AB3!$AH$21)))</f>
        <v>L : Entry</v>
      </c>
      <c r="AF81" s="43" t="str">
        <f>IF(D80="Futures",[1]AB3!$AI$9,IF(D80="Options Sell",[1]AB3!$AI$15,IF(D80="Options Buy",[1]AB3!$AI$21)))</f>
        <v xml:space="preserve"> - </v>
      </c>
      <c r="AG81" s="46">
        <v>1.4E-2</v>
      </c>
      <c r="AH81" s="46">
        <v>0</v>
      </c>
      <c r="AI81" s="48"/>
      <c r="AJ81" s="43" t="str">
        <f>IF(D80="Futures",[1]AB3!$AO$9,IF(D80="Options Sell",[1]AB3!$AO$15,IF(D80="Options Buy",[1]AB3!$AO$21)))</f>
        <v xml:space="preserve"> - </v>
      </c>
      <c r="AK81" s="43" t="str">
        <f t="array" ref="AK81">IF(A78="","",IF(D80="Futures",CONCATENATE([1]AB3!$AP$9,INDEX([1]AB2!M:M,MATCH(D78,[1]AB2!B:B,0)),[1]AB3!$AQ$9),IF(D80="Options Sell",CONCATENATE([1]AB3!$AP$15,INDEX([1]AB2!L:L,MATCH(D78,[1]AB2!B:B,0)),[1]AB3!$AQ$15),IF(D80="Options Buy",CONCATENATE([1]AB3!$AP$21,INDEX([1]AB2!M:M,MATCH(D78,[1]AB2!B:B,0)),[1]AB3!$AQ$21)))))</f>
        <v>FUT : PRV : 3DLL</v>
      </c>
      <c r="AL81" s="51">
        <f>IF(AND(D80="Futures",AK81=[1]AB3!$AS$9),[1]AB3!$AS$9,IF(AND(D80="Options Sell",AK81=[1]AB3!$AS$15),[1]AB3!$AS$15,IF(AND(D80="Options Buy",AK81=[1]AB3!$AS$21),[1]AB3!$AS$21,I82)))</f>
        <v>1E-3</v>
      </c>
      <c r="AM81" s="52">
        <f>J82</f>
        <v>5</v>
      </c>
      <c r="AN81" s="43" t="str">
        <f t="array" ref="AN81">IF(A78="","",IF(AND(OR(D82="1 &amp; APS",D82="2 &amp; APS",D82="3 &amp; APS",D82="4 &amp; APS",D82="5 &amp; APS"),D80="Futures"),CONCATENATE([1]AB3!$AP$9,INDEX([1]AB2!M:M,MATCH(D78,[1]AB2!B:B,0)),[1]AB3!$AQ$9),IF(AND(OR(D82="1 &amp; APS",D82="2 &amp; APS",D82="3 &amp; APS",D82="4 &amp; APS",D82="5 &amp; APS"),D80="Options Sell"),CONCATENATE([1]AB3!$AP$15,INDEX([1]AB2!L:L,MATCH(D78,[1]AB2!B:B,0)),[1]AB3!$AQ$15),IF(AND(OR(D82="1 &amp; APS",D82="2 &amp; APS",D82="3 &amp; APS",D82="4 &amp; APS",D82="5 &amp; APS"),D80="Options Buy"),CONCATENATE([1]AB3!$AP$21,INDEX([1]AB2!M:M,MATCH(D78,[1]AB2!B:B,0)),[1]AB3!$AQ$21),[1]AB3!$AR$6))))</f>
        <v>FUT : PRV : 3DLL</v>
      </c>
      <c r="AO81" s="51">
        <f>IF(AND(D80="Futures",AN81=[1]AB3!$AU$9),[1]AB3!$AU$9,IF(AND(D80="Options Sell",AN81=[1]AB3!$AU$15),[1]AB3!$AU$15,IF(AND(D80="Options Buy",AN81=[1]AB3!$AU$21),[1]AB3!$AU$21,I82)))</f>
        <v>1E-3</v>
      </c>
      <c r="AP81" s="52">
        <f t="shared" ref="AP81:AP82" si="125">AM81-O81</f>
        <v>4</v>
      </c>
      <c r="AQ81" s="43" t="str">
        <f t="array" ref="AQ81">IF(A78="","",IF(AND(OR(D82="2 &amp; APS",D82="3 &amp; APS",D82="4 &amp; APS",D82="5 &amp; APS"),D80="Futures"),CONCATENATE([1]AB3!$AP$9,INDEX([1]AB2!M:M,MATCH(D78,[1]AB2!B:B,0)),[1]AB3!$AQ$9),IF(AND(OR(D82="2 &amp; APS",D82="3 &amp; APS",D82="4 &amp; APS",D82="5 &amp; APS"),D80="Options Sell"),CONCATENATE([1]AB3!$AP$15,INDEX([1]AB2!L:L,MATCH(D78,[1]AB2!B:B,0)),[1]AB3!$AQ$15),IF(AND(OR(D82="2 &amp; APS",D82="3 &amp; APS",D82="4 &amp; APS",D82="5 &amp; APS"),D80="Options Buy"),CONCATENATE([1]AB3!$AP$21,INDEX([1]AB2!M:M,MATCH(D78,[1]AB2!B:B,0)),[1]AB3!$AQ$21),[1]AB3!$AR$6))))</f>
        <v>FUT : PRV : 3DLL</v>
      </c>
      <c r="AR81" s="51">
        <f>IF(AND(D80="Futures",AQ81=[1]AB3!$AW$9),[1]AB3!$AW$9,IF(AND(D80="Options Sell",AQ81=[1]AB3!$AW$15),[1]AB3!$AW$15,IF(AND(D80="Options Buy",AQ81=[1]AB3!$AW$21),[1]AB3!$AW$21,I82)))</f>
        <v>1E-3</v>
      </c>
      <c r="AS81" s="52">
        <f t="shared" ref="AS81:AS82" si="126">AP81-Q81</f>
        <v>3</v>
      </c>
      <c r="AT81" s="43" t="str">
        <f t="array" ref="AT81">IF(A78="","",IF(AND(OR(D82="3 &amp; APS",D82="4 &amp; APS",D82="5 &amp; APS"),D80="Futures"),CONCATENATE([1]AB3!$AP$9,INDEX([1]AB2!M:M,MATCH(D78,[1]AB2!B:B,0)),[1]AB3!$AQ$9),IF(AND(OR(D82="3 &amp; APS",D82="4 &amp; APS",D82="5 &amp; APS"),D80="Options Sell"),CONCATENATE([1]AB3!$AP$15,INDEX([1]AB2!L:L,MATCH(D78,[1]AB2!B:B,0)),[1]AB3!$AQ$15),IF(AND(OR(D82="3 &amp; APS",D82="4 &amp; APS",D82="5 &amp; APS"),D80="Options Buy"),CONCATENATE([1]AB3!$AP$21,INDEX([1]AB2!M:M,MATCH(D78,[1]AB2!B:B,0)),[1]AB3!$AQ$21),[1]AB3!$AR$6))))</f>
        <v>FUT : PRV : 3DLL</v>
      </c>
      <c r="AU81" s="51">
        <f>IF(AND(D80="Futures",AT81=[1]AB3!$AY$9),[1]AB3!$AY$9,IF(AND(D80="Options Sell",AT81=[1]AB3!$AY$15),[1]AB3!$AY$15,IF(AND(D80="Options Buy",AT81=[1]AB3!$AY$21),[1]AB3!$AY$21,I82)))</f>
        <v>1E-3</v>
      </c>
      <c r="AV81" s="52">
        <f t="shared" ref="AV81:AV82" si="127">AS81-S81</f>
        <v>2</v>
      </c>
      <c r="AW81" s="43" t="str">
        <f t="array" ref="AW81">IF(A78="","",IF(AND(OR(D82="4 &amp; APS",D82="5 &amp; APS"),D80="Futures"),CONCATENATE([1]AB3!$AP$9,INDEX([1]AB2!M:M,MATCH(D78,[1]AB2!B:B,0)),[1]AB3!$AQ$9),IF(AND(OR(D82="4 &amp; APS",D82="5 &amp; APS"),D80="Options Sell"),CONCATENATE([1]AB3!$AP$15,INDEX([1]AB2!L:L,MATCH(D78,[1]AB2!B:B,0)),[1]AB3!$AQ$15),IF(AND(OR(D82="4 &amp; APS",D82="5 &amp; APS"),D80="Options Buy"),CONCATENATE([1]AB3!$AP$21,INDEX([1]AB2!M:M,MATCH(D78,[1]AB2!B:B,0)),[1]AB3!$AQ$21),[1]AB3!$AR$6))))</f>
        <v>FUT : PRV : 3DLL</v>
      </c>
      <c r="AX81" s="51">
        <f>IF(AND(D80="Futures",AW81=[1]AB3!$BA$9),[1]AB3!$BA$9,IF(AND(D80="Options Sell",AW81=[1]AB3!$BA$15),[1]AB3!$BA$15,IF(AND(D80="Options Buy",AW81=[1]AB3!$BA$21),[1]AB3!$BA$21,I82)))</f>
        <v>1E-3</v>
      </c>
      <c r="AY81" s="52">
        <f t="shared" ref="AY81:AY82" si="128">AV81-S81</f>
        <v>1</v>
      </c>
      <c r="AZ81" s="51">
        <f t="array" ref="AZ81">IF(A78="","",IF(AND(D82="5 &amp; APS",D80="Futures"),CONCATENATE([1]AB3!$AP$9,INDEX([1]AB2!M:M,MATCH(D78,[1]AB2!B:B,0)),[1]AB3!$AQ$9),IF(AND(D82="5 &amp; APS",D80="Options Sell"),CONCATENATE([1]AB3!$AP$15,INDEX([1]AB2!L:L,MATCH(D78,[1]AB2!B:B,0)),[1]AB3!$AQ$15),IF(AND(D82="5 &amp; APS",D80="Options Buy"),CONCATENATE([1]AB3!$AP$21,INDEX([1]AB2!M:M,MATCH(D78,[1]AB2!B:B,0)),[1]AB3!$AQ$21),[1]AB3!$AR$6))))</f>
        <v>0</v>
      </c>
      <c r="BA81" s="51">
        <f>IF(AND(D80="Futures",AZ81=[1]AB3!$BC$9),[1]AB3!$BC$9,IF(AND(D80="Options Sell",AZ81=[1]AB3!$BC$15),[1]AB3!$BC$15,IF(AND(D80="Options Buy",AZ81=[1]AB3!$BC$21),[1]AB3!$BC$21,I82)))</f>
        <v>0</v>
      </c>
      <c r="BB81" s="52">
        <f t="shared" ref="BB81:BB82" si="129">AY81-W81</f>
        <v>0</v>
      </c>
      <c r="BC81" s="53"/>
      <c r="BD81" s="54" t="str">
        <f>IF(D80="Futures",[1]AB3!$BE$9,IF(D80="Options Sell",[1]AB3!$BE$15,IF(D80="Options Buy",[1]AB3!$BE$21)))</f>
        <v>Market Start Time</v>
      </c>
      <c r="BE81" s="67">
        <f t="array" ref="BE81">IF(D78="","",INDEX([1]AB2!AG:AG,MATCH(D78,[1]AB2!B:B,0)))</f>
        <v>0.375</v>
      </c>
      <c r="BF81" s="11"/>
      <c r="BG81" s="12"/>
      <c r="BH81" s="57"/>
      <c r="BI81" s="68" t="str">
        <f>IF(D80="Futures",[1]AB3!$BJ$9,IF(D80="Options Sell",[1]AB3!$BJ$15,IF(D80="Options Buy",[1]AB3!$BJ$21)))</f>
        <v>Bear / 
Bear CF</v>
      </c>
      <c r="BJ81" s="45" t="str">
        <f>IF(D80="Futures",[1]AB3!$BK$9,IF(D80="Options Sell",[1]AB3!$BK$15,IF(D80="Options Buy",[1]AB3!$BK$21)))</f>
        <v>Long</v>
      </c>
      <c r="BK81" s="46">
        <v>1E-3</v>
      </c>
      <c r="BL81" s="46">
        <v>1E-3</v>
      </c>
      <c r="BM81" s="57"/>
      <c r="BN81" s="68" t="str">
        <f>IF(D80="Futures",[1]AB3!$BO$9,IF(D80="Options Sell",[1]AB3!$BO$15,IF(D80="Options Buy",[1]AB3!$BO$21)))</f>
        <v>Bear | 
Bear CF</v>
      </c>
      <c r="BO81" s="45" t="str">
        <f>IF(D80="Futures",[1]AB3!$BP$9,IF(D80="Options Sell",[1]AB3!$BP$15,IF(D80="Options Buy",[1]AB3!$BP$21)))</f>
        <v>Call</v>
      </c>
      <c r="BP81" s="43" t="str">
        <f t="array" ref="BP81">IF(A78="","",IF(D80="Futures","",IF(D80="EQUITY","",IF(D80="Options Sell",CONCATENATE([1]AB3!$BQ$15,INDEX([1]AB2!I:I,MATCH(A78,[1]AB2!A:A,0)),[1]AB3!$BR$15),IF(D80="Options Buy",CONCATENATE([1]AB3!$BQ$21,INDEX([1]AB2!I:I,MATCH(A78,[1]AB2!A:A,0)),[1]AB3!$BR$21))))))</f>
        <v/>
      </c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9"/>
      <c r="CL81" s="43"/>
      <c r="CM81" s="43"/>
      <c r="CN81" s="59"/>
      <c r="CO81" s="43"/>
      <c r="CP81" s="43"/>
      <c r="CQ81" s="59"/>
      <c r="CR81" s="43"/>
      <c r="CS81" s="43"/>
      <c r="CT81" s="59"/>
      <c r="CU81" s="43"/>
      <c r="CV81" s="59"/>
      <c r="CW81" s="59"/>
    </row>
    <row r="82" spans="1:101" ht="16.5" customHeight="1" x14ac:dyDescent="0.2">
      <c r="A82" s="32"/>
      <c r="B82" s="41" t="str">
        <f>CONCATENATE(D78,IF(D80="Futures",[1]AB3!$B$10,IF(D80="Options Sell",[1]AB3!$B$16,IF(D80="Options Buy",[1]AB3!$B$22))))</f>
        <v>S13E</v>
      </c>
      <c r="C82" s="42" t="str">
        <f>IF(D80="Futures",[1]AB3!$C$10,IF(D80="Options Sell",[1]AB3!$C$16,IF(D80="Options Buy",[1]AB3!$C$22)))</f>
        <v>No. of Targets</v>
      </c>
      <c r="D82" s="43" t="str">
        <f t="array" ref="D82">IF(A78="","",INDEX([1]AB2!K:K,MATCH(D78,[1]AB2!B:B,0)))</f>
        <v>4 &amp; APS</v>
      </c>
      <c r="E82" s="32"/>
      <c r="F82" s="61" t="str">
        <f>IF(D80="Futures",[1]AB3!$F$10,IF(D80="Options Sell",[1]AB3!$F$16,IF(D80="Options Buy",[1]AB3!$F$22)))</f>
        <v>Short</v>
      </c>
      <c r="G82" s="43" t="str">
        <f t="array" ref="G82">(IF(A78="","",IF(D80="Futures",CONCATENATE([1]AB3!$G$10,INDEX([1]AB2!I:I,MATCH(D78,[1]AB2!B:B,0)),[1]AB3!$H$10),IF(D80="Options Sell",CONCATENATE([1]AB3!$G$16,INDEX([1]AB2!J:J,MATCH(D78,[1]AB2!B:B,0)),[1]AB3!$H$16),IF(D80="Options Buy",CONCATENATE([1]AB3!$G$22,INDEX([1]AB2!I:I,MATCH(D78,[1]AB2!B:B,0)),[1]AB3!$H$22))))))</f>
        <v>FUT : PRV : 3DLL</v>
      </c>
      <c r="H82" s="43" t="str">
        <f>IF(D80="Futures",[1]AB3!$I$10,IF(D80="Options Sell",[1]AB3!$I$16,IF(D80="Options Buy",[1]AB3!$I$22)))</f>
        <v xml:space="preserve"> - </v>
      </c>
      <c r="I82" s="46">
        <v>1E-3</v>
      </c>
      <c r="J82" s="47">
        <v>5</v>
      </c>
      <c r="K82" s="48"/>
      <c r="L82" s="43" t="str">
        <f>IF(D80="Futures",[1]AB3!$M$10,IF(D80="Options Sell",[1]AB3!$M$16,IF(D80="Options Buy",[1]AB3!$M$22)))</f>
        <v xml:space="preserve">S : Entry </v>
      </c>
      <c r="M82" s="43" t="str">
        <f>IF(D80="Futures",[1]AB3!$N$10,IF(D80="Options Sell",[1]AB3!$N$16,IF(D80="Options Buy",[1]AB3!$N$22)))</f>
        <v xml:space="preserve"> - </v>
      </c>
      <c r="N82" s="46">
        <v>1.4E-2</v>
      </c>
      <c r="O82" s="47">
        <v>1</v>
      </c>
      <c r="P82" s="46">
        <v>2.1000000000000001E-2</v>
      </c>
      <c r="Q82" s="47">
        <v>1</v>
      </c>
      <c r="R82" s="46">
        <v>2.8000000000000001E-2</v>
      </c>
      <c r="S82" s="47">
        <v>1</v>
      </c>
      <c r="T82" s="46">
        <v>3.5000000000000003E-2</v>
      </c>
      <c r="U82" s="47">
        <v>1</v>
      </c>
      <c r="V82" s="50" t="s">
        <v>51</v>
      </c>
      <c r="W82" s="47">
        <v>1</v>
      </c>
      <c r="X82" s="50" t="s">
        <v>52</v>
      </c>
      <c r="Y82" s="50" t="s">
        <v>52</v>
      </c>
      <c r="Z82" s="48"/>
      <c r="AA82" s="43" t="str">
        <f>IF(D80="Futures",[1]AB3!$AD$10,IF(D80="Options Sell",[1]AB3!$AD$16,IF(D80="Options Buy",[1]AB3!$AD$22)))</f>
        <v>Min</v>
      </c>
      <c r="AB82" s="43" t="str">
        <f>IF(D80="Futures",[1]AB3!$AE$10,IF(D80="Options Sell",[1]AB3!$AE$16,IF(D80="Options Buy",[1]AB3!$AE$22)))</f>
        <v>MSL &amp; TSL</v>
      </c>
      <c r="AC82" s="43" t="str">
        <f>IF(D80="Futures",[1]AB3!$AF$10,IF(D80="Options Sell",[1]AB3!$AF$16,IF(D80="Options Buy",[1]AB3!$AF$22)))</f>
        <v>Entry &amp; TRP</v>
      </c>
      <c r="AD82" s="48"/>
      <c r="AE82" s="43" t="str">
        <f>IF(D80="Futures",[1]AB3!$AH$10,IF(D80="Options Sell",[1]AB3!$AH$16,IF(D80="Options Buy",[1]AB3!$AH$22)))</f>
        <v>S : Entry</v>
      </c>
      <c r="AF82" s="43" t="str">
        <f>IF(D80="Futures",[1]AB3!$AI$10,IF(D80="Options Sell",[1]AB3!$AI$16,IF(D80="Options Buy",[1]AB3!$AI$22)))</f>
        <v xml:space="preserve"> + </v>
      </c>
      <c r="AG82" s="46">
        <v>1.4E-2</v>
      </c>
      <c r="AH82" s="46">
        <v>0</v>
      </c>
      <c r="AI82" s="48"/>
      <c r="AJ82" s="43" t="str">
        <f>IF(D80="Futures",[1]AB3!$AO$10,IF(D80="Options Sell",[1]AB3!$AO$16,IF(D80="Options Buy",[1]AB3!$AO$22)))</f>
        <v xml:space="preserve"> + </v>
      </c>
      <c r="AK82" s="43" t="str">
        <f t="array" ref="AK82">IF(A78="","",IF(D80="Futures",CONCATENATE([1]AB3!$AP$10,INDEX([1]AB2!L:L,MATCH(D78,[1]AB2!B:B,0)),[1]AB3!$AQ$10),IF(D80="Options Sell",CONCATENATE([1]AB3!$AP$16,INDEX([1]AB2!M:M,MATCH(D78,[1]AB2!B:B,0)),[1]AB3!$AQ$16),IF(D80="Options Buy",CONCATENATE([1]AB3!$AP$22,INDEX([1]AB2!L:L,MATCH(D78,[1]AB2!B:B,0)),[1]AB3!$AQ$22)))))</f>
        <v>FUT : PRV : 3DHH</v>
      </c>
      <c r="AL82" s="51">
        <f>IF(AND(D80="Futures",AK82=[1]AB3!$AS$10),[1]AB3!$AS$10,IF(AND(D80="Options Sell",AK82=[1]AB3!$AS$16),[1]AB3!$AS$16,IF(AND(D80="Options Buy",AK82=[1]AB3!$AS$22),[1]AB3!$AS$22,I81)))</f>
        <v>1E-3</v>
      </c>
      <c r="AM82" s="52">
        <f>J81</f>
        <v>5</v>
      </c>
      <c r="AN82" s="43" t="str">
        <f t="array" ref="AN82">IF(A78="","",IF(AND(OR(D82="1 &amp; APS",D82="2 &amp; APS",D82="3 &amp; APS",D82="4 &amp; APS",D82="5 &amp; APS"),D80="Futures"),CONCATENATE([1]AB3!$AP$10,INDEX([1]AB2!L:L,MATCH(D78,[1]AB2!B:B,0)),[1]AB3!$AQ$10),IF(AND(OR(D82="1 &amp; APS",D82="2 &amp; APS",D82="3 &amp; APS",D82="4 &amp; APS",D82="5 &amp; APS"),D80="Options Sell"),CONCATENATE([1]AB3!$AP$16,INDEX([1]AB2!M:M,MATCH(D78,[1]AB2!B:B,0)),[1]AB3!$AQ$16),IF(AND(OR(D82="1 &amp; APS",D82="2 &amp; APS",D82="3 &amp; APS",D82="4 &amp; APS",D82="5 &amp; APS"),D80="Options Buy"),CONCATENATE([1]AB3!$AP$22,INDEX([1]AB2!L:L,MATCH(D78,[1]AB2!B:B,0)),[1]AB3!$AQ$22),[1]AB3!$AR$6))))</f>
        <v>FUT : PRV : 3DHH</v>
      </c>
      <c r="AO82" s="51">
        <f>IF(AND(D80="Futures",AN82=[1]AB3!$AU$10),[1]AB3!$AU$10,IF(AND(D80="Options Sell",AN82=[1]AB3!$AU$16),[1]AB3!$AU$16,IF(AND(D80="Options Buy",AN82=[1]AB3!$AU$22),[1]AB3!$AU$22,I81)))</f>
        <v>1E-3</v>
      </c>
      <c r="AP82" s="52">
        <f t="shared" si="125"/>
        <v>4</v>
      </c>
      <c r="AQ82" s="43" t="str">
        <f t="array" ref="AQ82">IF(A78="","",IF(AND(OR(D82="2 &amp; APS",D82="3 &amp; APS",D82="4 &amp; APS",D82="5 &amp; APS"),D80="Futures"),CONCATENATE([1]AB3!$AP$10,INDEX([1]AB2!L:L,MATCH(D78,[1]AB2!B:B,0)),[1]AB3!$AQ$10),IF(AND(OR(D82="2 &amp; APS",D82="3 &amp; APS",D82="4 &amp; APS",D82="5 &amp; APS"),D80="Options Sell"),CONCATENATE([1]AB3!$AP$16,INDEX([1]AB2!M:M,MATCH(D78,[1]AB2!B:B,0)),[1]AB3!$AQ$16),IF(AND(OR(D82="2 &amp; APS",D82="3 &amp; APS",D82="4 &amp; APS",D82="5 &amp; APS"),D80="Options Buy"),CONCATENATE([1]AB3!$AP$22,INDEX([1]AB2!L:L,MATCH(D78,[1]AB2!B:B,0)),[1]AB3!$AQ$22),[1]AB3!$AR$6))))</f>
        <v>FUT : PRV : 3DHH</v>
      </c>
      <c r="AR82" s="51">
        <f>IF(AND(D80="Futures",AQ82=[1]AB3!$AW$10),[1]AB3!$AW$10,IF(AND(D80="Options Sell",AQ82=[1]AB3!$AW$16),[1]AB3!$AW$16,IF(AND(D80="Options Buy",AQ82=[1]AB3!$AW$22),[1]AB3!$AW$22,I81)))</f>
        <v>1E-3</v>
      </c>
      <c r="AS82" s="52">
        <f t="shared" si="126"/>
        <v>3</v>
      </c>
      <c r="AT82" s="43" t="str">
        <f t="array" ref="AT82">IF(A78="","",IF(AND(OR(D82="3 &amp; APS",D82="4 &amp; APS",D82="5 &amp; APS"),D80="Futures"),CONCATENATE([1]AB3!$AP$10,INDEX([1]AB2!L:L,MATCH(D78,[1]AB2!B:B,0)),[1]AB3!$AQ$10),IF(AND(OR(D82="3 &amp; APS",D82="4 &amp; APS",D82="5 &amp; APS"),D80="Options Sell"),CONCATENATE([1]AB3!$AP$16,INDEX([1]AB2!M:M,MATCH(D78,[1]AB2!B:B,0)),[1]AB3!$AQ$16),IF(AND(OR(D82="3 &amp; APS",D82="4 &amp; APS",D82="5 &amp; APS"),D80="Options Buy"),CONCATENATE([1]AB3!$AP$22,INDEX([1]AB2!L:L,MATCH(D78,[1]AB2!B:B,0)),[1]AB3!$AQ$22),[1]AB3!$AR$6))))</f>
        <v>FUT : PRV : 3DHH</v>
      </c>
      <c r="AU82" s="51">
        <f>IF(AND(D80="Futures",AT82=[1]AB3!$AY$10),[1]AB3!$AY$10,IF(AND(D80="Options Sell",AT82=[1]AB3!$AY$16),[1]AB3!$AY$16,IF(AND(D80="Options Buy",AT82=[1]AB3!$AY$22),[1]AB3!$AY$22,I81)))</f>
        <v>1E-3</v>
      </c>
      <c r="AV82" s="52">
        <f t="shared" si="127"/>
        <v>2</v>
      </c>
      <c r="AW82" s="43" t="str">
        <f t="array" ref="AW82">IF(A78="","",IF(AND(OR(D82="4 &amp; APS",D82="5 &amp; APS"),D80="Futures"),CONCATENATE([1]AB3!$AP$10,INDEX([1]AB2!L:L,MATCH(D78,[1]AB2!B:B,0)),[1]AB3!$AQ$10),IF(AND(OR(D82="4 &amp; APS",D82="5 &amp; APS"),D80="Options Sell"),CONCATENATE([1]AB3!$AP$16,INDEX([1]AB2!M:M,MATCH(D78,[1]AB2!B:B,0)),[1]AB3!$AQ$16),IF(AND(OR(D82="4 &amp; APS",D82="5 &amp; APS"),D80="Options Buy"),CONCATENATE([1]AB3!$AP$22,INDEX([1]AB2!L:L,MATCH(D78,[1]AB2!B:B,0)),[1]AB3!$AQ$22),[1]AB3!$AR$6))))</f>
        <v>FUT : PRV : 3DHH</v>
      </c>
      <c r="AX82" s="51">
        <f>IF(AND(D80="Futures",AW82=[1]AB3!$BA$10),[1]AB3!$BA$10,IF(AND(D80="Options Sell",AW82=[1]AB3!$BA$16),[1]AB3!$BA$16,IF(AND(D80="Options Buy",AW82=[1]AB3!$BA$22),[1]AB3!$BA$22,I81)))</f>
        <v>1E-3</v>
      </c>
      <c r="AY82" s="52">
        <f t="shared" si="128"/>
        <v>1</v>
      </c>
      <c r="AZ82" s="51">
        <f t="array" ref="AZ82">IF(A78="","",IF(AND(D82="5 &amp; APS",D80="Futures"),CONCATENATE([1]AB3!$AP$10,INDEX([1]AB2!L:L,MATCH(D78,[1]AB2!B:B,0)),[1]AB3!$AQ$10),IF(AND(D82="5 &amp; APS",D80="Options Sell"),CONCATENATE([1]AB3!$AP$16,INDEX([1]AB2!M:M,MATCH(D78,[1]AB2!B:B,0)),[1]AB3!$AQ$16),IF(AND(D82="5 &amp; APS",D80="Options Buy"),CONCATENATE([1]AB3!$AP$22,INDEX([1]AB2!L:L,MATCH(D78,[1]AB2!B:B,0)),[1]AB3!$AQ$22),[1]AB3!$AR$6))))</f>
        <v>0</v>
      </c>
      <c r="BA82" s="51">
        <f>IF(AND(D80="Futures",AZ82=[1]AB3!$BC$10),[1]AB3!$BC$10,IF(AND(D80="Options Sell",AZ82=[1]AB3!$BC$16),[1]AB3!$BC$16,IF(AND(D80="Options Buy",AZ82=[1]AB3!$BC$22),[1]AB3!$BC$22,I81)))</f>
        <v>0</v>
      </c>
      <c r="BB82" s="52">
        <f t="shared" si="129"/>
        <v>0</v>
      </c>
      <c r="BC82" s="53"/>
      <c r="BD82" s="54" t="str">
        <f>IF(D80="Futures",[1]AB3!$BE$10,IF(D80="Options Sell",[1]AB3!$BE$16,IF(D80="Options Buy",[1]AB3!$BE$22)))</f>
        <v>Market End Time</v>
      </c>
      <c r="BE82" s="67">
        <f t="array" ref="BE82">IF(D78="","",INDEX([1]AB2!AH:AH,MATCH(D78,[1]AB2!B:B,0)))</f>
        <v>0.97916666666666663</v>
      </c>
      <c r="BF82" s="11"/>
      <c r="BG82" s="12"/>
      <c r="BH82" s="57"/>
      <c r="BI82" s="32"/>
      <c r="BJ82" s="61" t="str">
        <f>IF(D80="Futures",[1]AB3!$BK$10,IF(D80="Options Sell",[1]AB3!$BK$16,IF(D80="Options Buy",[1]AB3!$BK$22)))</f>
        <v>Short</v>
      </c>
      <c r="BK82" s="46">
        <v>1E-3</v>
      </c>
      <c r="BL82" s="46">
        <v>1E-3</v>
      </c>
      <c r="BM82" s="57"/>
      <c r="BN82" s="32"/>
      <c r="BO82" s="61" t="str">
        <f>IF(D80="Futures",[1]AB3!$BP$10,IF(D80="Options Sell",[1]AB3!$BP$16,IF(D80="Options Buy",[1]AB3!$BP$22)))</f>
        <v>Put</v>
      </c>
      <c r="BP82" s="43" t="str">
        <f t="array" ref="BP82">IF(A78="","",IF(D80="Futures","",IF(D80="EQUITY","",IF(D80="Options Sell",CONCATENATE([1]AB3!$BQ$16,INDEX([1]AB2!J:J,MATCH(A78,[1]AB2!A:A,0)),[1]AB3!$BR$16),IF(D80="Options Buy",CONCATENATE([1]AB3!$BQ$22,INDEX([1]AB2!J:J,MATCH(A78,[1]AB2!A:A,0)),[1]AB3!$BR$22))))))</f>
        <v/>
      </c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9"/>
      <c r="CL82" s="43"/>
      <c r="CM82" s="43"/>
      <c r="CN82" s="59"/>
      <c r="CO82" s="43"/>
      <c r="CP82" s="43"/>
      <c r="CQ82" s="59"/>
      <c r="CR82" s="43"/>
      <c r="CS82" s="43"/>
      <c r="CT82" s="59"/>
      <c r="CU82" s="43"/>
      <c r="CV82" s="59"/>
      <c r="CW82" s="59"/>
    </row>
    <row r="83" spans="1:101" ht="15.75" customHeight="1" x14ac:dyDescent="0.2">
      <c r="A83" s="1"/>
      <c r="B83" s="2"/>
      <c r="C83" s="2"/>
      <c r="D83" s="2"/>
      <c r="E83" s="2"/>
      <c r="F83" s="2"/>
      <c r="G83" s="2"/>
      <c r="H83" s="2"/>
      <c r="I83" s="2"/>
      <c r="J83" s="64"/>
      <c r="K83" s="2"/>
      <c r="L83" s="2"/>
      <c r="M83" s="2"/>
      <c r="N83" s="2"/>
      <c r="O83" s="64"/>
      <c r="P83" s="2"/>
      <c r="Q83" s="64"/>
      <c r="R83" s="69"/>
      <c r="S83" s="64"/>
      <c r="T83" s="70"/>
      <c r="U83" s="64"/>
      <c r="V83" s="2"/>
      <c r="W83" s="64"/>
      <c r="X83" s="2"/>
      <c r="Y83" s="2"/>
      <c r="Z83" s="2"/>
      <c r="AA83" s="20"/>
      <c r="AB83" s="71"/>
      <c r="AC83" s="71"/>
      <c r="AD83" s="2"/>
      <c r="AE83" s="70"/>
      <c r="AF83" s="70"/>
      <c r="AG83" s="70"/>
      <c r="AH83" s="70"/>
      <c r="AI83" s="2"/>
      <c r="AJ83" s="70"/>
      <c r="AK83" s="70"/>
      <c r="AL83" s="70"/>
      <c r="AM83" s="64"/>
      <c r="AN83" s="70"/>
      <c r="AO83" s="70"/>
      <c r="AP83" s="64"/>
      <c r="AQ83" s="70"/>
      <c r="AR83" s="70"/>
      <c r="AS83" s="64"/>
      <c r="AT83" s="70"/>
      <c r="AU83" s="70"/>
      <c r="AV83" s="64"/>
      <c r="AW83" s="70"/>
      <c r="AX83" s="70"/>
      <c r="AY83" s="64"/>
      <c r="AZ83" s="70"/>
      <c r="BA83" s="70"/>
      <c r="BB83" s="64"/>
      <c r="BC83" s="70"/>
      <c r="BD83" s="70"/>
      <c r="BE83" s="70"/>
      <c r="BF83" s="70"/>
      <c r="BG83" s="70"/>
      <c r="BH83" s="70"/>
      <c r="BI83" s="70"/>
      <c r="BJ83" s="70"/>
      <c r="BK83" s="2"/>
      <c r="BL83" s="2"/>
      <c r="BM83" s="70"/>
      <c r="BN83" s="70"/>
      <c r="BO83" s="70"/>
      <c r="BP83" s="70"/>
      <c r="BQ83" s="70"/>
      <c r="BR83" s="70"/>
      <c r="BS83" s="70"/>
      <c r="BT83" s="70"/>
      <c r="BU83" s="70"/>
      <c r="BV83" s="70"/>
      <c r="BW83" s="70"/>
      <c r="BX83" s="70"/>
      <c r="BY83" s="70"/>
      <c r="BZ83" s="70"/>
      <c r="CA83" s="70"/>
      <c r="CB83" s="70"/>
      <c r="CC83" s="70"/>
      <c r="CD83" s="70"/>
      <c r="CE83" s="70"/>
      <c r="CF83" s="70"/>
      <c r="CG83" s="70"/>
      <c r="CH83" s="70"/>
      <c r="CI83" s="70"/>
      <c r="CJ83" s="70"/>
      <c r="CK83" s="70"/>
      <c r="CL83" s="2"/>
      <c r="CM83" s="2"/>
      <c r="CN83" s="70"/>
      <c r="CO83" s="70"/>
      <c r="CP83" s="70"/>
      <c r="CQ83" s="70"/>
      <c r="CR83" s="2"/>
      <c r="CS83" s="2"/>
      <c r="CT83" s="70"/>
      <c r="CU83" s="70"/>
      <c r="CV83" s="70"/>
      <c r="CW83" s="70"/>
    </row>
    <row r="84" spans="1:101" ht="15.75" customHeight="1" x14ac:dyDescent="0.2">
      <c r="A84" s="40">
        <v>14</v>
      </c>
      <c r="B84" s="41" t="str">
        <f>CONCATENATE(D84,IF(D86="Futures",[1]AB3!$B$6,IF(D86="Options Sell",[1]AB3!$B$12,IF(D86="Options Buy",[1]AB3!$B$18))))</f>
        <v>S14A</v>
      </c>
      <c r="C84" s="42" t="str">
        <f>IF(D86="Futures",[1]AB3!$C$6,IF(D86="Options Sell",[1]AB3!$C$12,IF(D86="Options Buy",[1]AB3!$C$18)))</f>
        <v>Strategy Code</v>
      </c>
      <c r="D84" s="43" t="str">
        <f t="array" ref="D84">IF(A84="","",INDEX([1]AB2!B:B,MATCH(A84,[1]AB2!A:A,0)))</f>
        <v>S14</v>
      </c>
      <c r="E84" s="44" t="str">
        <f>IF(D86="Futures",[1]AB3!$E$6,IF(D86="Options Sell",[1]AB3!$E$12,IF(D86="Options Buy",[1]AB3!$E$18)))</f>
        <v>Bull / 
Bull CF</v>
      </c>
      <c r="F84" s="45" t="str">
        <f>IF(D86="Futures",[1]AB3!$F$6,IF(D86="Options Sell",[1]AB3!$F$12,IF(D86="Options Buy",[1]AB3!$F$18)))</f>
        <v>Long</v>
      </c>
      <c r="G84" s="43" t="str">
        <f t="array" ref="G84">IF(A84="","",IF(D86="Futures",CONCATENATE([1]AB3!$G$6,INDEX([1]AB2!I:I,MATCH(D84,[1]AB2!B:B,0)),[1]AB3!$H$6),IF(D86="Options Sell",CONCATENATE([1]AB3!$G$12,INDEX([1]AB2!J:J,MATCH(D84,[1]AB2!B:B,0)),[1]AB3!$H$12),IF(D86="Options Buy",CONCATENATE([1]AB3!$G$18,INDEX([1]AB2!I:I,MATCH(D84,[1]AB2!B:B,0)),[1]AB3!$H$18)))))</f>
        <v>FUT : PRV : 2DHH</v>
      </c>
      <c r="H84" s="43" t="str">
        <f>IF(D86="Futures",[1]AB3!$I$6,IF(D86="Options Sell",[1]AB3!$I$12,IF(D86="Options Buy",[1]AB3!$I$18)))</f>
        <v xml:space="preserve"> + </v>
      </c>
      <c r="I84" s="46">
        <v>4.0000000000000001E-3</v>
      </c>
      <c r="J84" s="47">
        <v>5</v>
      </c>
      <c r="K84" s="48"/>
      <c r="L84" s="43" t="str">
        <f>IF(D86="Futures",[1]AB3!$M$6,IF(D86="Options Sell",[1]AB3!$M$12,IF(D86="Options Buy",[1]AB3!$M$18)))</f>
        <v xml:space="preserve">L : Entry </v>
      </c>
      <c r="M84" s="43" t="str">
        <f>IF(D86="Futures",[1]AB3!$N$6,IF(D86="Options Sell",[1]AB3!$N$12,IF(D86="Options Buy",[1]AB3!$N$18)))</f>
        <v xml:space="preserve"> + </v>
      </c>
      <c r="N84" s="46">
        <v>2.5000000000000001E-2</v>
      </c>
      <c r="O84" s="47">
        <v>1</v>
      </c>
      <c r="P84" s="46">
        <v>3.5000000000000003E-2</v>
      </c>
      <c r="Q84" s="47">
        <v>1</v>
      </c>
      <c r="R84" s="46">
        <v>4.4999999999999998E-2</v>
      </c>
      <c r="S84" s="47">
        <v>1</v>
      </c>
      <c r="T84" s="46">
        <v>5.5E-2</v>
      </c>
      <c r="U84" s="47">
        <v>1</v>
      </c>
      <c r="V84" s="50" t="s">
        <v>51</v>
      </c>
      <c r="W84" s="47">
        <v>1</v>
      </c>
      <c r="X84" s="50" t="s">
        <v>52</v>
      </c>
      <c r="Y84" s="50" t="s">
        <v>52</v>
      </c>
      <c r="Z84" s="48"/>
      <c r="AA84" s="43" t="str">
        <f>IF(D86="Futures",[1]AB3!$AD$6,IF(D86="Options Sell",[1]AB3!$AD$12,IF(D86="Options Buy",[1]AB3!$AD$18)))</f>
        <v>Max</v>
      </c>
      <c r="AB84" s="43" t="str">
        <f>IF(D86="Futures",[1]AB3!$AE$6,IF(D86="Options Sell",[1]AB3!$AE$12,IF(D86="Options Buy",[1]AB3!$AE$18)))</f>
        <v>MSL &amp; TSL</v>
      </c>
      <c r="AC84" s="43" t="str">
        <f>IF(D86="Futures",[1]AB3!$AF$6,IF(D86="Options Sell",[1]AB3!$AF$12,IF(D86="Options Buy",[1]AB3!$AF$18)))</f>
        <v>Entry &amp; TRP</v>
      </c>
      <c r="AD84" s="48"/>
      <c r="AE84" s="43" t="str">
        <f>IF(D86="Futures",[1]AB3!$AH$6,IF(D86="Options Sell",[1]AB3!$AH$12,IF(D86="Options Buy",[1]AB3!$AH$18)))</f>
        <v>L : Entry</v>
      </c>
      <c r="AF84" s="43" t="str">
        <f>IF(D86="Futures",[1]AB3!$AI$6,IF(D86="Options Sell",[1]AB3!$AI$12,IF(D86="Options Buy",[1]AB3!$AI$18)))</f>
        <v xml:space="preserve"> - </v>
      </c>
      <c r="AG84" s="46">
        <v>2.5000000000000001E-2</v>
      </c>
      <c r="AH84" s="46">
        <v>0</v>
      </c>
      <c r="AI84" s="48"/>
      <c r="AJ84" s="43" t="str">
        <f>IF(D86="Futures",[1]AB3!$AO$6,IF(D86="Options Sell",[1]AB3!$AO$12,IF(D86="Options Buy",[1]AB3!$AO$18)))</f>
        <v xml:space="preserve"> - </v>
      </c>
      <c r="AK84" s="43" t="str">
        <f t="array" ref="AK84">IF(A84="","",IF(D86="Futures",CONCATENATE([1]AB3!$AP$6,INDEX([1]AB2!L:L,MATCH(D84,[1]AB2!B:B,0)),[1]AB3!$AQ$6),IF(D86="Options Sell",CONCATENATE([1]AB3!$AP$12,INDEX([1]AB2!M:M,MATCH(D84,[1]AB2!B:B,0)),[1]AB3!$AQ$12),IF(D86="Options Buy",CONCATENATE([1]AB3!$AP$18,INDEX([1]AB2!L:L,MATCH(D84,[1]AB2!B:B,0)),[1]AB3!$AQ$18)))))</f>
        <v>FUT : PRV : 2DLL</v>
      </c>
      <c r="AL84" s="51">
        <f>IF(AND(D86="Futures",AK84=[1]AB3!$AS$6),[1]AB3!$AS$6,IF(AND(D86="Options Sell",AK84=[1]AB3!$AS$12),[1]AB3!$AS$12,IF(AND(D86="Options Buy",AK84=[1]AB3!$AS$18),[1]AB3!$AS$18,I85)))</f>
        <v>4.0000000000000001E-3</v>
      </c>
      <c r="AM84" s="52">
        <f>J85</f>
        <v>5</v>
      </c>
      <c r="AN84" s="43" t="str">
        <f t="array" ref="AN84">IF(A84="","",IF(AND(OR(D88="1 &amp; APS",D88="2 &amp; APS",D88="3 &amp; APS",D88="4 &amp; APS",D88="5 &amp; APS"),D86="Futures"),CONCATENATE([1]AB3!$AP$6,INDEX([1]AB2!L:L,MATCH(D84,[1]AB2!B:B,0)),[1]AB3!$AQ$6),IF(AND(OR(D88="1 &amp; APS",D88="2 &amp; APS",D88="3 &amp; APS",D88="4 &amp; APS",D88="5 &amp; APS"),D86="Options Sell"),CONCATENATE([1]AB3!$AP$12,INDEX([1]AB2!M:M,MATCH(D84,[1]AB2!B:B,0)),[1]AB3!$AQ$12),IF(AND(OR(D88="1 &amp; APS",D88="2 &amp; APS",D88="3 &amp; APS",D88="4 &amp; APS",D88="5 &amp; APS"),D86="Options Buy"),CONCATENATE([1]AB3!$AP$18,INDEX([1]AB2!L:L,MATCH(D84,[1]AB2!B:B,0)),[1]AB3!$AQ$18),[1]AB3!$AR$6))))</f>
        <v>FUT : PRV : 2DLL</v>
      </c>
      <c r="AO84" s="51">
        <f>IF(AND(D86="Futures",AN84=[1]AB3!$AU$6),[1]AB3!$AU$6,IF(AND(D86="Options Sell",AN84=[1]AB3!$AU$12),[1]AB3!$AU$12,IF(AND(D86="Options Buy",AN84=[1]AB3!$AU$18),[1]AB3!$AU$18,I85)))</f>
        <v>4.0000000000000001E-3</v>
      </c>
      <c r="AP84" s="52">
        <f t="shared" ref="AP84:AP85" si="130">AM84-O84</f>
        <v>4</v>
      </c>
      <c r="AQ84" s="43" t="str">
        <f t="array" ref="AQ84">IF(A84="","",IF(AND(OR(D88="2 &amp; APS",D88="3 &amp; APS",D88="4 &amp; APS",D88="5 &amp; APS"),D86="Futures"),CONCATENATE([1]AB3!$AP$6,INDEX([1]AB2!L:L,MATCH(D84,[1]AB2!B:B,0)),[1]AB3!$AQ$6),IF(AND(OR(D88="2 &amp; APS",D88="3 &amp; APS",D88="4 &amp; APS",D88="5 &amp; APS"),D86="Options Sell"),CONCATENATE([1]AB3!$AP$12,INDEX([1]AB2!M:M,MATCH(D84,[1]AB2!B:B,0)),[1]AB3!$AQ$12),IF(AND(OR(D88="2 &amp; APS",D88="3 &amp; APS",D88="4 &amp; APS",D88="5 &amp; APS"),D86="Options Buy"),CONCATENATE([1]AB3!$AP$18,INDEX([1]AB2!L:L,MATCH(D84,[1]AB2!B:B,0)),[1]AB3!$AQ$18),[1]AB3!$AR$6))))</f>
        <v>FUT : PRV : 2DLL</v>
      </c>
      <c r="AR84" s="51">
        <f>IF(AND(D86="Futures",AQ84=[1]AB3!$AW$6),[1]AB3!$AW$6,IF(AND(D86="Options Sell",AQ84=[1]AB3!$AW$12),[1]AB3!$AW$12,IF(AND(D86="Options Buy",AQ84=[1]AB3!$AW$18),[1]AB3!$AW$18,I85)))</f>
        <v>4.0000000000000001E-3</v>
      </c>
      <c r="AS84" s="52">
        <f t="shared" ref="AS84:AS85" si="131">AP84-Q84</f>
        <v>3</v>
      </c>
      <c r="AT84" s="43" t="str">
        <f t="array" ref="AT84">IF(A84="","",IF(AND(OR(D88="3 &amp; APS",D88="4 &amp; APS",D88="5 &amp; APS"),D86="Futures"),CONCATENATE([1]AB3!$AP$6,INDEX([1]AB2!L:L,MATCH(D84,[1]AB2!B:B,0)),[1]AB3!$AQ$6),IF(AND(OR(D88="3 &amp; APS",D88="4 &amp; APS",D88="5 &amp; APS"),D86="Options Sell"),CONCATENATE([1]AB3!$AP$12,INDEX([1]AB2!M:M,MATCH(D84,[1]AB2!B:B,0)),[1]AB3!$AQ$12),IF(AND(OR(D88="3 &amp; APS",D88="4 &amp; APS",D88="5 &amp; APS"),D86="Options Buy"),CONCATENATE([1]AB3!$AP$18,INDEX([1]AB2!L:L,MATCH(D84,[1]AB2!B:B,0)),[1]AB3!$AQ$18),[1]AB3!$AR$6))))</f>
        <v>FUT : PRV : 2DLL</v>
      </c>
      <c r="AU84" s="51">
        <f>IF(AND(D86="Futures",AT84=[1]AB3!$AY$6),[1]AB3!$AY$6,IF(AND(D86="Options Sell",AT84=[1]AB3!$AY$12),[1]AB3!$AY$12,IF(AND(D86="Options Buy",AT84=[1]AB3!$AY$18),[1]AB3!$AY$18,I85)))</f>
        <v>4.0000000000000001E-3</v>
      </c>
      <c r="AV84" s="52">
        <f t="shared" ref="AV84:AV85" si="132">AS84-S84</f>
        <v>2</v>
      </c>
      <c r="AW84" s="43" t="str">
        <f t="array" ref="AW84">IF(A84="","",IF(AND(OR(D88="4 &amp; APS",D88="5 &amp; APS"),D86="Futures"),CONCATENATE([1]AB3!$AP$6,INDEX([1]AB2!L:L,MATCH(D84,[1]AB2!B:B,0)),[1]AB3!$AQ$6),IF(AND(OR(D88="4 &amp; APS",D88="5 &amp; APS"),D86="Options Sell"),CONCATENATE([1]AB3!$AP$12,INDEX([1]AB2!M:M,MATCH(D84,[1]AB2!B:B,0)),[1]AB3!$AQ$12),IF(AND(OR(D88="4 &amp; APS",D88="5 &amp; APS"),D86="Options Buy"),CONCATENATE([1]AB3!$AP$18,INDEX([1]AB2!L:L,MATCH(D84,[1]AB2!B:B,0)),[1]AB3!$AQ$18),[1]AB3!$AR$6))))</f>
        <v>FUT : PRV : 2DLL</v>
      </c>
      <c r="AX84" s="51">
        <f>IF(AND(D86="Futures",AW84=[1]AB3!$BA$6),[1]AB3!$BA$6,IF(AND(D86="Options Sell",AW84=[1]AB3!$BA$12),[1]AB3!$BA$12,IF(AND(D86="Options Buy",AW84=[1]AB3!$BA$18),[1]AB3!$BA$18,I85)))</f>
        <v>4.0000000000000001E-3</v>
      </c>
      <c r="AY84" s="52">
        <f t="shared" ref="AY84:AY85" si="133">AV84-S84</f>
        <v>1</v>
      </c>
      <c r="AZ84" s="51">
        <f t="array" ref="AZ84">IF(A84="","",IF(AND(D88="5 &amp; APS",D86="Futures"),CONCATENATE([1]AB3!$AP$6,INDEX([1]AB2!L:L,MATCH(D84,[1]AB2!B:B,0)),[1]AB3!$AQ$6),IF(AND(D88="5 &amp; APS",D86="Options Sell"),CONCATENATE([1]AB3!$AP$12,INDEX([1]AB2!M:M,MATCH(D84,[1]AB2!B:B,0)),[1]AB3!$AQ$12),IF(AND(D88="5 &amp; APS",D86="Options Buy"),CONCATENATE([1]AB3!$AP$18,INDEX([1]AB2!L:L,MATCH(D84,[1]AB2!B:B,0)),[1]AB3!$AQ$18),[1]AB3!$AR$6))))</f>
        <v>0</v>
      </c>
      <c r="BA84" s="51">
        <f>IF(AND(D86="Futures",AZ84=[1]AB3!$BC$6),[1]AB3!$BC$6,IF(AND(D86="Options Sell",AZ84=[1]AB3!$BC$12),[1]AB3!$BC$12,IF(AND(D86="Options Buy",AZ84=[1]AB3!$BC$18),[1]AB3!$BC$18,I85)))</f>
        <v>0</v>
      </c>
      <c r="BB84" s="52">
        <f t="shared" ref="BB84:BB85" si="134">AY84-W84</f>
        <v>0</v>
      </c>
      <c r="BC84" s="53"/>
      <c r="BD84" s="54" t="str">
        <f>IF(D86="Futures",[1]AB3!$BE$6,IF(D86="Options Sell",[1]AB3!$BE$12,IF(D86="Options Buy",[1]AB3!$BE$18)))</f>
        <v xml:space="preserve">ORPT </v>
      </c>
      <c r="BE84" s="55">
        <f>IF(D86="Futures",BE87+([1]AB3!$BF$6/1440),IF(D86="Options Sell",BE87+([1]AB3!$BF$12/1440),IF(D86="Options Buy",BE87+([1]AB3!$BF$18/1440))))</f>
        <v>0.37846527777777778</v>
      </c>
      <c r="BF84" s="55">
        <f>IF(D86="Futures",BE87+([1]AB3!$BG$6/1440),IF(D86="Options Sell",BE87+([1]AB3!$BG$12/1440),IF(D86="Options Buy",BE87+([1]AB3!$BG$18/1440))))</f>
        <v>0.37846527777777778</v>
      </c>
      <c r="BG84" s="55">
        <f>IF(D86="Futures",BE87+([1]AB3!$BH$6/1440),IF(D86="Options Sell",BE87+([1]AB3!$BH$12/1440),IF(D86="Options Buy",BE87+([1]AB3!$BH$18/1440))))</f>
        <v>0.375</v>
      </c>
      <c r="BH84" s="57"/>
      <c r="BI84" s="44" t="str">
        <f>IF(D86="Futures",[1]AB3!$BJ$6,IF(D86="Options Sell",[1]AB3!$BJ$12,IF(D86="Options Buy",[1]AB3!$BJ$18)))</f>
        <v>Bull / 
Bull CF</v>
      </c>
      <c r="BJ84" s="45" t="str">
        <f>IF(D86="Futures",[1]AB3!$BK$6,IF(D86="Options Sell",[1]AB3!$BK$12,IF(D86="Options Buy",[1]AB3!$BK$18)))</f>
        <v>Long</v>
      </c>
      <c r="BK84" s="46">
        <v>4.0000000000000001E-3</v>
      </c>
      <c r="BL84" s="46">
        <v>4.0000000000000001E-3</v>
      </c>
      <c r="BM84" s="57"/>
      <c r="BN84" s="44" t="str">
        <f>IF(D86="Futures",[1]AB3!$BO$6,IF(D86="Options Sell",[1]AB3!$BO$12,IF(D86="Options Buy",[1]AB3!$BO$18)))</f>
        <v>Bull | 
Bull CF</v>
      </c>
      <c r="BO84" s="45" t="str">
        <f>IF(D86="Futures",[1]AB3!$BP$6,IF(D86="Options Sell",[1]AB3!$BP$12,IF(D86="Options Buy",[1]AB3!$BP$18)))</f>
        <v>Call</v>
      </c>
      <c r="BP84" s="43" t="str">
        <f t="array" ref="BP84">IF(A84="","",IF(D86="Futures","",IF(D86="EQUITY","",IF(D86="Options Sell",CONCATENATE([1]AB3!$BQ$12,INDEX([1]AB2!J:J,MATCH(A84,[1]AB2!A:A,0)),[1]AB3!$BR$12),IF(D86="Options Buy",CONCATENATE([1]AB3!$BQ$18,INDEX([1]AB2!J:J,MATCH(A84,[1]AB2!A:A,0)),[1]AB3!$BR$18))))))</f>
        <v/>
      </c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9"/>
      <c r="CL84" s="43"/>
      <c r="CM84" s="43"/>
      <c r="CN84" s="59"/>
      <c r="CO84" s="43"/>
      <c r="CP84" s="43"/>
      <c r="CQ84" s="59"/>
      <c r="CR84" s="43"/>
      <c r="CS84" s="43"/>
      <c r="CT84" s="59"/>
      <c r="CU84" s="55">
        <f>IF(D86="Futures",BE88-([1]AB3!$CG$6/1440),IF(D86="Options Sell",BE88-([1]AB3!$CG$12/1440),IF(D86="Options Buy",BE88-([1]AB3!$CG$18/1440),IF(D86="EQUITY",""))))</f>
        <v>0.95833333333333326</v>
      </c>
      <c r="CV84" s="59"/>
      <c r="CW84" s="59"/>
    </row>
    <row r="85" spans="1:101" ht="16.5" customHeight="1" x14ac:dyDescent="0.2">
      <c r="A85" s="60"/>
      <c r="B85" s="41" t="str">
        <f>CONCATENATE(D84,IF(D86="Futures",[1]AB3!$B$7,IF(D86="Options Sell",[1]AB3!$B$13,IF(D86="Options Buy",[1]AB3!$B$19))))</f>
        <v>S14B</v>
      </c>
      <c r="C85" s="42" t="str">
        <f>IF(D86="Futures",[1]AB3!$C$7,IF(D86="Options Sell",[1]AB3!$C$13,IF(D86="Options Buy",[1]AB3!$C$19)))</f>
        <v>Unique Code</v>
      </c>
      <c r="D85" s="43" t="str">
        <f t="array" ref="D85">IF(A84="","",INDEX([1]AB2!N:N,MATCH(D84,[1]AB2!B:B,0)))</f>
        <v>CRUDEOIL_FUT_MT_SAME_2D_2D</v>
      </c>
      <c r="E85" s="32"/>
      <c r="F85" s="61" t="str">
        <f>IF(D86="Futures",[1]AB3!$F$7,IF(D86="Options Sell",[1]AB3!$F$13,IF(D86="Options Buy",[1]AB3!$F$19)))</f>
        <v>Short</v>
      </c>
      <c r="G85" s="43" t="str">
        <f t="array" ref="G85">IF(A84="","",IF(D86="Futures",CONCATENATE([1]AB3!$G$7,INDEX([1]AB2!J:J,MATCH(D84,[1]AB2!B:B,0)),[1]AB3!$H$7),IF(D86="Options Sell",CONCATENATE([1]AB3!$G$13,INDEX([1]AB2!I:I,MATCH(D84,[1]AB2!B:B,0)),[1]AB3!$H$13),IF(D86="Options Buy",CONCATENATE([1]AB3!$G$19,INDEX([1]AB2!J:J,MATCH(D84,[1]AB2!B:B,0)),[1]AB3!$H$19)))))</f>
        <v>FUT : PRV : 2DLL</v>
      </c>
      <c r="H85" s="43" t="str">
        <f>IF(D86="Futures",[1]AB3!$I$7,IF(D86="Options Sell",[1]AB3!$I$13,IF(D86="Options Buy",[1]AB3!$I$19)))</f>
        <v xml:space="preserve"> - </v>
      </c>
      <c r="I85" s="46">
        <v>4.0000000000000001E-3</v>
      </c>
      <c r="J85" s="47">
        <v>5</v>
      </c>
      <c r="K85" s="48"/>
      <c r="L85" s="43" t="str">
        <f>IF(D86="Futures",[1]AB3!$M$7,IF(D86="Options Sell",[1]AB3!$M$13,IF(D86="Options Buy",[1]AB3!$M$19)))</f>
        <v xml:space="preserve">S : Entry </v>
      </c>
      <c r="M85" s="43" t="str">
        <f>IF(D86="Futures",[1]AB3!$N$7,IF(D86="Options Sell",[1]AB3!$N$13,IF(D86="Options Buy",[1]AB3!$N$19)))</f>
        <v xml:space="preserve"> - </v>
      </c>
      <c r="N85" s="46">
        <v>2.5000000000000001E-2</v>
      </c>
      <c r="O85" s="47">
        <v>1</v>
      </c>
      <c r="P85" s="46">
        <v>3.5000000000000003E-2</v>
      </c>
      <c r="Q85" s="47">
        <v>1</v>
      </c>
      <c r="R85" s="46">
        <v>4.4999999999999998E-2</v>
      </c>
      <c r="S85" s="47">
        <v>1</v>
      </c>
      <c r="T85" s="46">
        <v>5.5E-2</v>
      </c>
      <c r="U85" s="47">
        <v>1</v>
      </c>
      <c r="V85" s="50" t="s">
        <v>51</v>
      </c>
      <c r="W85" s="47">
        <v>1</v>
      </c>
      <c r="X85" s="50" t="s">
        <v>52</v>
      </c>
      <c r="Y85" s="50" t="s">
        <v>52</v>
      </c>
      <c r="Z85" s="48"/>
      <c r="AA85" s="43" t="str">
        <f>IF(D86="Futures",[1]AB3!$AD$7,IF(D86="Options Sell",[1]AB3!$AD$13,IF(D86="Options Buy",[1]AB3!$AD$19)))</f>
        <v>Min</v>
      </c>
      <c r="AB85" s="43" t="str">
        <f>IF(D86="Futures",[1]AB3!$AE$7,IF(D86="Options Sell",[1]AB3!$AE$13,IF(D86="Options Buy",[1]AB3!$AE$19)))</f>
        <v>MSL &amp; TSL</v>
      </c>
      <c r="AC85" s="43" t="str">
        <f>IF(D86="Futures",[1]AB3!$AF$7,IF(D86="Options Sell",[1]AB3!$AF$13,IF(D86="Options Buy",[1]AB3!$AF$19)))</f>
        <v>Entry &amp; TRP</v>
      </c>
      <c r="AD85" s="48"/>
      <c r="AE85" s="43" t="str">
        <f>IF(D86="Futures",[1]AB3!$AH$7,IF(D86="Options Sell",[1]AB3!$AH$13,IF(D86="Options Buy",[1]AB3!$AH$19)))</f>
        <v>S : Entry</v>
      </c>
      <c r="AF85" s="43" t="str">
        <f>IF(D86="Futures",[1]AB3!$AI$7,IF(D86="Options Sell",[1]AB3!$AI$13,IF(D86="Options Buy",[1]AB3!$AI$19)))</f>
        <v xml:space="preserve"> + </v>
      </c>
      <c r="AG85" s="46">
        <v>2.5000000000000001E-2</v>
      </c>
      <c r="AH85" s="46">
        <v>0</v>
      </c>
      <c r="AI85" s="48"/>
      <c r="AJ85" s="43" t="str">
        <f>IF(D86="Futures",[1]AB3!$AO$7,IF(D86="Options Sell",[1]AB3!$AO$13,IF(D86="Options Buy",[1]AB3!$AO$19)))</f>
        <v xml:space="preserve"> + </v>
      </c>
      <c r="AK85" s="43" t="str">
        <f t="array" ref="AK85">IF(A84="","",IF(D86="Futures",CONCATENATE([1]AB3!$AP$7,INDEX([1]AB2!M:M,MATCH(D84,[1]AB2!B:B,0)),[1]AB3!$AQ$7),IF(D86="Options Sell",CONCATENATE([1]AB3!$AP$13,INDEX([1]AB2!L:L,MATCH(D84,[1]AB2!B:B,0)),[1]AB3!$AQ$13),IF(D86="Options Buy",CONCATENATE([1]AB3!$AP$19,INDEX([1]AB2!M:M,MATCH(D84,[1]AB2!B:B,0)),[1]AB3!$AQ$19)))))</f>
        <v>FUT : PRV : 2DHH</v>
      </c>
      <c r="AL85" s="51">
        <f>IF(AND(D86="Futures",AK85=[1]AB3!$AS$7),[1]AB3!$AS$7,IF(AND(D86="Options Sell",AK85=[1]AB3!$AS$13),[1]AB3!$AS$13,IF(AND(D86="Options Buy",AK85=[1]AB3!$AS$19),[1]AB3!$AS$19,I84)))</f>
        <v>4.0000000000000001E-3</v>
      </c>
      <c r="AM85" s="52">
        <f>J84</f>
        <v>5</v>
      </c>
      <c r="AN85" s="43" t="str">
        <f t="array" ref="AN85">IF(A84="","",IF(AND(OR(D88="1 &amp; APS",D88="2 &amp; APS",D88="3 &amp; APS",D88="4 &amp; APS",D88="5 &amp; APS"),D86="Futures"),CONCATENATE([1]AB3!$AP$7,INDEX([1]AB2!M:M,MATCH(D84,[1]AB2!B:B,0)),[1]AB3!$AQ$7),IF(AND(OR(D88="1 &amp; APS",D88="2 &amp; APS",D88="3 &amp; APS",D88="4 &amp; APS",D88="5 &amp; APS"),D86="Options Sell"),CONCATENATE([1]AB3!$AP$13,INDEX([1]AB2!L:L,MATCH(D84,[1]AB2!B:B,0)),[1]AB3!$AQ$13),IF(AND(OR(D88="1 &amp; APS",D88="2 &amp; APS",D88="3 &amp; APS",D88="4 &amp; APS",D88="5 &amp; APS"),D86="Options Buy"),CONCATENATE([1]AB3!$AP$19,INDEX([1]AB2!M:M,MATCH(D84,[1]AB2!B:B,0)),[1]AB3!$AQ$19),[1]AB3!$AR$6))))</f>
        <v>FUT : PRV : 2DHH</v>
      </c>
      <c r="AO85" s="51">
        <f>IF(AND(D86="Futures",AN85=[1]AB3!$AU$7),[1]AB3!$AU$7,IF(AND(D86="Options Sell",AN85=[1]AB3!$AU$13),[1]AB3!$AU$13,IF(AND(D86="Options Buy",AN85=[1]AB3!$AU$19),[1]AB3!$AU$19,I84)))</f>
        <v>4.0000000000000001E-3</v>
      </c>
      <c r="AP85" s="52">
        <f t="shared" si="130"/>
        <v>4</v>
      </c>
      <c r="AQ85" s="43" t="str">
        <f t="array" ref="AQ85">IF(A84="","",IF(AND(OR(D88="2 &amp; APS",D88="3 &amp; APS",D88="4 &amp; APS",D88="5 &amp; APS"),D86="Futures"),CONCATENATE([1]AB3!$AP$7,INDEX([1]AB2!M:M,MATCH(D84,[1]AB2!B:B,0)),[1]AB3!$AQ$7),IF(AND(OR(D88="2 &amp; APS",D88="3 &amp; APS",D88="4 &amp; APS",D88="5 &amp; APS"),D86="Options Sell"),CONCATENATE([1]AB3!$AP$13,INDEX([1]AB2!L:L,MATCH(D84,[1]AB2!B:B,0)),[1]AB3!$AQ$13),IF(AND(OR(D88="2 &amp; APS",D88="3 &amp; APS",D88="4 &amp; APS",D88="5 &amp; APS"),D86="Options Buy"),CONCATENATE([1]AB3!$AP$19,INDEX([1]AB2!M:M,MATCH(D84,[1]AB2!B:B,0)),[1]AB3!$AQ$19),[1]AB3!$AR$6))))</f>
        <v>FUT : PRV : 2DHH</v>
      </c>
      <c r="AR85" s="51">
        <f>IF(AND(D86="Futures",AQ85=[1]AB3!$AW$7),[1]AB3!$AW$7,IF(AND(D86="Options Sell",AQ85=[1]AB3!$AW$13),[1]AB3!$AW$13,IF(AND(D86="Options Buy",AQ85=[1]AB3!$AW$19),[1]AB3!$AW$19,I84)))</f>
        <v>4.0000000000000001E-3</v>
      </c>
      <c r="AS85" s="52">
        <f t="shared" si="131"/>
        <v>3</v>
      </c>
      <c r="AT85" s="43" t="str">
        <f t="array" ref="AT85">IF(A84="","",IF(AND(OR(D88="3 &amp; APS",D88="4 &amp; APS",D88="5 &amp; APS"),D86="Futures"),CONCATENATE([1]AB3!$AP$7,INDEX([1]AB2!M:M,MATCH(D84,[1]AB2!B:B,0)),[1]AB3!$AQ$7),IF(AND(OR(D88="3 &amp; APS",D88="4 &amp; APS",D88="5 &amp; APS"),D86="Options Sell"),CONCATENATE([1]AB3!$AP$13,INDEX([1]AB2!L:L,MATCH(D84,[1]AB2!B:B,0)),[1]AB3!$AQ$13),IF(AND(OR(D88="3 &amp; APS",D88="4 &amp; APS",D88="5 &amp; APS"),D86="Options Buy"),CONCATENATE([1]AB3!$AP$19,INDEX([1]AB2!M:M,MATCH(D84,[1]AB2!B:B,0)),[1]AB3!$AQ$19),[1]AB3!$AR$6))))</f>
        <v>FUT : PRV : 2DHH</v>
      </c>
      <c r="AU85" s="51">
        <f>IF(AND(D86="Futures",AT85=[1]AB3!$AY$7),[1]AB3!$AY$7,IF(AND(D86="Options Sell",AT85=[1]AB3!$AY$13),[1]AB3!$AY$13,IF(AND(D86="Options Buy",AT85=[1]AB3!$AY$19),[1]AB3!$AY$19,I84)))</f>
        <v>4.0000000000000001E-3</v>
      </c>
      <c r="AV85" s="52">
        <f t="shared" si="132"/>
        <v>2</v>
      </c>
      <c r="AW85" s="43" t="str">
        <f t="array" ref="AW85">IF(A84="","",IF(AND(OR(D88="4 &amp; APS",D88="5 &amp; APS"),D86="Futures"),CONCATENATE([1]AB3!$AP$7,INDEX([1]AB2!M:M,MATCH(D84,[1]AB2!B:B,0)),[1]AB3!$AQ$7),IF(AND(OR(D88="4 &amp; APS",D88="5 &amp; APS"),D86="Options Sell"),CONCATENATE([1]AB3!$AP$13,INDEX([1]AB2!L:L,MATCH(D84,[1]AB2!B:B,0)),[1]AB3!$AQ$13),IF(AND(OR(D88="4 &amp; APS",D88="5 &amp; APS"),D86="Options Buy"),CONCATENATE([1]AB3!$AP$19,INDEX([1]AB2!M:M,MATCH(D84,[1]AB2!B:B,0)),[1]AB3!$AQ$19),[1]AB3!$AR$6))))</f>
        <v>FUT : PRV : 2DHH</v>
      </c>
      <c r="AX85" s="51">
        <f>IF(AND(D86="Futures",AW85=[1]AB3!$BA$7),[1]AB3!$BA$7,IF(AND(D86="Options Sell",AW85=[1]AB3!$BA$13),[1]AB3!$BA$13,IF(AND(D86="Options Buy",AW85=[1]AB3!$BA$19),[1]AB3!$BA$19,I84)))</f>
        <v>4.0000000000000001E-3</v>
      </c>
      <c r="AY85" s="52">
        <f t="shared" si="133"/>
        <v>1</v>
      </c>
      <c r="AZ85" s="51">
        <f t="array" ref="AZ85">IF(A84="","",IF(AND(D88="5 &amp; APS",D86="Futures"),CONCATENATE([1]AB3!$AP$7,INDEX([1]AB2!M:M,MATCH(D84,[1]AB2!B:B,0)),[1]AB3!$AQ$7),IF(AND(D88="5 &amp; APS",D86="Options Sell"),CONCATENATE([1]AB3!$AP$13,INDEX([1]AB2!L:L,MATCH(D84,[1]AB2!B:B,0)),[1]AB3!$AQ$13),IF(AND(D88="5 &amp; APS",D86="Options Buy"),CONCATENATE([1]AB3!$AP$19,INDEX([1]AB2!M:M,MATCH(D84,[1]AB2!B:B,0)),[1]AB3!$AQ$19),[1]AB3!$AR$6))))</f>
        <v>0</v>
      </c>
      <c r="BA85" s="51">
        <f>IF(AND(D86="Futures",AZ85=[1]AB3!$BC$7),[1]AB3!$BC$7,IF(AND(D86="Options Sell",AZ85=[1]AB3!$BC$13),[1]AB3!$BC$13,IF(AND(D86="Options Buy",AZ85=[1]AB3!$BC$19),[1]AB3!$BC$19,I84)))</f>
        <v>0</v>
      </c>
      <c r="BB85" s="52">
        <f t="shared" si="134"/>
        <v>0</v>
      </c>
      <c r="BC85" s="53"/>
      <c r="BD85" s="54" t="str">
        <f>IF(D86="Futures",[1]AB3!$BE$7,IF(D86="Options Sell",[1]AB3!$BE$13,IF(D86="Options Buy",[1]AB3!$BE$19)))</f>
        <v xml:space="preserve"> RC. Time</v>
      </c>
      <c r="BE85" s="55">
        <f>IF(D86="Futures",BE87+([1]AB3!$BF$7/1440),IF(D86="Options Sell",BE87+([1]AB3!$BF$13/1440),IF(D86="Options Buy",BE87+([1]AB3!$BF$19/1440))))</f>
        <v>0.38540972222222225</v>
      </c>
      <c r="BF85" s="55">
        <f>IF(D86="Futures",BE87+([1]AB3!$BG$7/1440),IF(D86="Options Sell",BE87+([1]AB3!$BG$13/1440),IF(D86="Options Buy",BE87+([1]AB3!$BG$19/1440))))</f>
        <v>0.38540972222222225</v>
      </c>
      <c r="BG85" s="55" t="str">
        <f>IF(D86="Futures",[1]AB3!$BH$7,IF(D86="Options Sell",[1]AB3!$BH$7,IF(D86="Options Buy",[1]AB3!$BH$7)))</f>
        <v>N.A.</v>
      </c>
      <c r="BH85" s="57"/>
      <c r="BI85" s="32"/>
      <c r="BJ85" s="61" t="str">
        <f>IF(D86="Futures",[1]AB3!$BK$7,IF(D86="Options Sell",[1]AB3!$BK$13,IF(D86="Options Buy",[1]AB3!$BK$19)))</f>
        <v>Short</v>
      </c>
      <c r="BK85" s="46">
        <v>4.0000000000000001E-3</v>
      </c>
      <c r="BL85" s="46">
        <v>4.0000000000000001E-3</v>
      </c>
      <c r="BM85" s="57"/>
      <c r="BN85" s="32"/>
      <c r="BO85" s="61" t="str">
        <f>IF(D86="Futures",[1]AB3!$BP$7,IF(D86="Options Sell",[1]AB3!$BP$13,IF(D86="Options Buy",[1]AB3!$BP$19)))</f>
        <v>Put</v>
      </c>
      <c r="BP85" s="43" t="str">
        <f t="array" ref="BP85">IF(A84="","",IF(D86="Futures","",IF(D86="EQUITY","",IF(D86="Options Sell",CONCATENATE([1]AB3!$BQ$13,INDEX([1]AB2!I:I,MATCH(A84,[1]AB2!A:A,0)),[1]AB3!$BR$13),IF(D86="Options Buy",CONCATENATE([1]AB3!$BQ$19,INDEX([1]AB2!I:I,MATCH(A84,[1]AB2!A:A,0)),[1]AB3!$BR$19))))))</f>
        <v/>
      </c>
      <c r="BQ85" s="58"/>
      <c r="BR85" s="58"/>
      <c r="BS85" s="58"/>
      <c r="BT85" s="58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9"/>
      <c r="CL85" s="43"/>
      <c r="CM85" s="43"/>
      <c r="CN85" s="59"/>
      <c r="CO85" s="43"/>
      <c r="CP85" s="43"/>
      <c r="CQ85" s="59"/>
      <c r="CR85" s="43"/>
      <c r="CS85" s="43"/>
      <c r="CT85" s="59"/>
      <c r="CU85" s="43"/>
      <c r="CV85" s="59"/>
      <c r="CW85" s="59"/>
    </row>
    <row r="86" spans="1:101" ht="16.5" customHeight="1" x14ac:dyDescent="0.2">
      <c r="A86" s="60"/>
      <c r="B86" s="41" t="str">
        <f>CONCATENATE(D84,IF(D86="Futures",[1]AB3!$B$8,IF(D86="Options Sell",[1]AB3!$B$14,IF(D86="Options Buy",[1]AB3!$B$20))))</f>
        <v>S14C</v>
      </c>
      <c r="C86" s="42" t="str">
        <f>IF(D86="Futures",[1]AB3!$C$8,IF(D86="Options Sell",[1]AB3!$C$14,IF(D86="Options Buy",[1]AB3!$C$20)))</f>
        <v>Segment</v>
      </c>
      <c r="D86" s="43" t="str">
        <f t="array" ref="D86">IF(A84="","",INDEX([1]AB2!C:C,MATCH(D84,[1]AB2!B:B,0)))</f>
        <v>FUTURES</v>
      </c>
      <c r="E86" s="42" t="str">
        <f>IF(D86="Futures",[1]AB3!$E$8,IF(D86="Options Sell",[1]AB3!$E$14,IF(D86="Options Buy",[1]AB3!$E$20)))</f>
        <v>Contract</v>
      </c>
      <c r="F86" s="43" t="str">
        <f t="array" ref="F86">IF(A84="","",INDEX([1]AB2!F:F,MATCH(D84,[1]AB2!B:B,0)))</f>
        <v>MONTHLY</v>
      </c>
      <c r="G86" s="62"/>
      <c r="H86" s="62"/>
      <c r="I86" s="63"/>
      <c r="J86" s="64"/>
      <c r="K86" s="48"/>
      <c r="L86" s="62"/>
      <c r="M86" s="62"/>
      <c r="N86" s="63"/>
      <c r="O86" s="64"/>
      <c r="P86" s="63"/>
      <c r="Q86" s="64"/>
      <c r="R86" s="63"/>
      <c r="S86" s="64"/>
      <c r="T86" s="63"/>
      <c r="U86" s="64"/>
      <c r="V86" s="63"/>
      <c r="W86" s="64"/>
      <c r="X86" s="63"/>
      <c r="Y86" s="63"/>
      <c r="Z86" s="48"/>
      <c r="AA86" s="62"/>
      <c r="AB86" s="62"/>
      <c r="AC86" s="62"/>
      <c r="AD86" s="48"/>
      <c r="AE86" s="62"/>
      <c r="AF86" s="62"/>
      <c r="AG86" s="63"/>
      <c r="AH86" s="63"/>
      <c r="AI86" s="48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53"/>
      <c r="BD86" s="57"/>
      <c r="BE86" s="57"/>
      <c r="BF86" s="57"/>
      <c r="BG86" s="57"/>
      <c r="BH86" s="57"/>
      <c r="BI86" s="66"/>
      <c r="BJ86" s="62"/>
      <c r="BK86" s="63"/>
      <c r="BL86" s="63"/>
      <c r="BM86" s="57"/>
      <c r="BN86" s="66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59"/>
      <c r="CL86" s="62"/>
      <c r="CM86" s="62"/>
      <c r="CN86" s="59"/>
      <c r="CO86" s="62"/>
      <c r="CP86" s="62"/>
      <c r="CQ86" s="59"/>
      <c r="CR86" s="62"/>
      <c r="CS86" s="62"/>
      <c r="CT86" s="59"/>
      <c r="CU86" s="62"/>
      <c r="CV86" s="59"/>
      <c r="CW86" s="59"/>
    </row>
    <row r="87" spans="1:101" ht="16.5" customHeight="1" x14ac:dyDescent="0.2">
      <c r="A87" s="60"/>
      <c r="B87" s="41" t="str">
        <f>CONCATENATE(D84,IF(D86="Futures",[1]AB3!$B$9,IF(D86="Options Sell",[1]AB3!$B$15,IF(D86="Options Buy",[1]AB3!$B$21))))</f>
        <v>S14D</v>
      </c>
      <c r="C87" s="42" t="str">
        <f>IF(D86="Futures",[1]AB3!$C$9,IF(D86="Options Sell",[1]AB3!$C$15,IF(D86="Options Buy",[1]AB3!$C$21)))</f>
        <v>Symbol</v>
      </c>
      <c r="D87" s="43" t="str">
        <f t="array" ref="D87">IF(A84="","",INDEX([1]AB2!E:E,MATCH(D84,[1]AB2!B:B,0)))</f>
        <v>CRUDEOIL</v>
      </c>
      <c r="E87" s="44" t="str">
        <f>IF(D86="Futures",[1]AB3!$E$9,IF(D86="Options Sell",[1]AB3!$E$15,IF(D86="Options Buy",[1]AB3!$E$21)))</f>
        <v>Bear / 
Bear CF</v>
      </c>
      <c r="F87" s="45" t="str">
        <f>IF(D86="Futures",[1]AB3!$F$9,IF(D86="Options Sell",[1]AB3!$F$15,IF(D86="Options Buy",[1]AB3!$F$21)))</f>
        <v>Long</v>
      </c>
      <c r="G87" s="43" t="str">
        <f t="array" ref="G87">IF(A84="","",IF(D86="Futures",CONCATENATE([1]AB3!$G$9,INDEX([1]AB2!J:J,MATCH(D84,[1]AB2!B:B,0)),[1]AB3!$H$9),IF(D86="Options Sell",CONCATENATE([1]AB3!$G$15,INDEX([1]AB2!I:I,MATCH(D84,[1]AB2!B:B,0)),[1]AB3!$H$15),IF(D86="Options Buy",CONCATENATE([1]AB3!$G$21,INDEX([1]AB2!J:J,MATCH(D84,[1]AB2!B:B,0)),[1]AB3!$H$21)))))</f>
        <v>FUT : PRV : 2DHH</v>
      </c>
      <c r="H87" s="43" t="str">
        <f>IF(D86="Futures",[1]AB3!$I$9,IF(D86="Options Sell",[1]AB3!$I$15,IF(D86="Options Buy",[1]AB3!$I$21)))</f>
        <v xml:space="preserve"> + </v>
      </c>
      <c r="I87" s="46">
        <v>4.0000000000000001E-3</v>
      </c>
      <c r="J87" s="47">
        <v>5</v>
      </c>
      <c r="K87" s="48"/>
      <c r="L87" s="43" t="str">
        <f>IF(D86="Futures",[1]AB3!$M$9,IF(D86="Options Sell",[1]AB3!$M$15,IF(D86="Options Buy",[1]AB3!$M$21)))</f>
        <v xml:space="preserve">L : Entry </v>
      </c>
      <c r="M87" s="43" t="str">
        <f>IF(D86="Futures",[1]AB3!$N$9,IF(D86="Options Sell",[1]AB3!$N$15,IF(D86="Options Buy",[1]AB3!$N$21)))</f>
        <v xml:space="preserve"> + </v>
      </c>
      <c r="N87" s="46">
        <v>2.5000000000000001E-2</v>
      </c>
      <c r="O87" s="47">
        <v>1</v>
      </c>
      <c r="P87" s="46">
        <v>3.5000000000000003E-2</v>
      </c>
      <c r="Q87" s="47">
        <v>1</v>
      </c>
      <c r="R87" s="46">
        <v>4.4999999999999998E-2</v>
      </c>
      <c r="S87" s="47">
        <v>1</v>
      </c>
      <c r="T87" s="46">
        <v>5.5E-2</v>
      </c>
      <c r="U87" s="47">
        <v>1</v>
      </c>
      <c r="V87" s="50" t="s">
        <v>51</v>
      </c>
      <c r="W87" s="47">
        <v>1</v>
      </c>
      <c r="X87" s="50" t="s">
        <v>52</v>
      </c>
      <c r="Y87" s="50" t="s">
        <v>52</v>
      </c>
      <c r="Z87" s="48"/>
      <c r="AA87" s="43" t="str">
        <f>IF(D86="Futures",[1]AB3!$AD$9,IF(D86="Options Sell",[1]AB3!$AD$15,IF(D86="Options Buy",[1]AB3!$AD$21)))</f>
        <v>Max</v>
      </c>
      <c r="AB87" s="43" t="str">
        <f>IF(D86="Futures",[1]AB3!$AE$9,IF(D86="Options Sell",[1]AB3!$AE$15,IF(D86="Options Buy",[1]AB3!$AE$21)))</f>
        <v>MSL &amp; TSL</v>
      </c>
      <c r="AC87" s="43" t="str">
        <f>IF(D86="Futures",[1]AB3!$AF$9,IF(D86="Options Sell",[1]AB3!$AF$15,IF(D86="Options Buy",[1]AB3!$AF$21)))</f>
        <v>Entry &amp; TRP</v>
      </c>
      <c r="AD87" s="48"/>
      <c r="AE87" s="43" t="str">
        <f>IF(D86="Futures",[1]AB3!$AH$9,IF(D86="Options Sell",[1]AB3!$AH$15,IF(D86="Options Buy",[1]AB3!$AH$21)))</f>
        <v>L : Entry</v>
      </c>
      <c r="AF87" s="43" t="str">
        <f>IF(D86="Futures",[1]AB3!$AI$9,IF(D86="Options Sell",[1]AB3!$AI$15,IF(D86="Options Buy",[1]AB3!$AI$21)))</f>
        <v xml:space="preserve"> - </v>
      </c>
      <c r="AG87" s="46">
        <v>2.5000000000000001E-2</v>
      </c>
      <c r="AH87" s="46">
        <v>0</v>
      </c>
      <c r="AI87" s="48"/>
      <c r="AJ87" s="43" t="str">
        <f>IF(D86="Futures",[1]AB3!$AO$9,IF(D86="Options Sell",[1]AB3!$AO$15,IF(D86="Options Buy",[1]AB3!$AO$21)))</f>
        <v xml:space="preserve"> - </v>
      </c>
      <c r="AK87" s="43" t="str">
        <f t="array" ref="AK87">IF(A84="","",IF(D86="Futures",CONCATENATE([1]AB3!$AP$9,INDEX([1]AB2!M:M,MATCH(D84,[1]AB2!B:B,0)),[1]AB3!$AQ$9),IF(D86="Options Sell",CONCATENATE([1]AB3!$AP$15,INDEX([1]AB2!L:L,MATCH(D84,[1]AB2!B:B,0)),[1]AB3!$AQ$15),IF(D86="Options Buy",CONCATENATE([1]AB3!$AP$21,INDEX([1]AB2!M:M,MATCH(D84,[1]AB2!B:B,0)),[1]AB3!$AQ$21)))))</f>
        <v>FUT : PRV : 2DLL</v>
      </c>
      <c r="AL87" s="51">
        <f>IF(AND(D86="Futures",AK87=[1]AB3!$AS$9),[1]AB3!$AS$9,IF(AND(D86="Options Sell",AK87=[1]AB3!$AS$15),[1]AB3!$AS$15,IF(AND(D86="Options Buy",AK87=[1]AB3!$AS$21),[1]AB3!$AS$21,I88)))</f>
        <v>4.0000000000000001E-3</v>
      </c>
      <c r="AM87" s="52">
        <f>J88</f>
        <v>5</v>
      </c>
      <c r="AN87" s="43" t="str">
        <f t="array" ref="AN87">IF(A84="","",IF(AND(OR(D88="1 &amp; APS",D88="2 &amp; APS",D88="3 &amp; APS",D88="4 &amp; APS",D88="5 &amp; APS"),D86="Futures"),CONCATENATE([1]AB3!$AP$9,INDEX([1]AB2!M:M,MATCH(D84,[1]AB2!B:B,0)),[1]AB3!$AQ$9),IF(AND(OR(D88="1 &amp; APS",D88="2 &amp; APS",D88="3 &amp; APS",D88="4 &amp; APS",D88="5 &amp; APS"),D86="Options Sell"),CONCATENATE([1]AB3!$AP$15,INDEX([1]AB2!L:L,MATCH(D84,[1]AB2!B:B,0)),[1]AB3!$AQ$15),IF(AND(OR(D88="1 &amp; APS",D88="2 &amp; APS",D88="3 &amp; APS",D88="4 &amp; APS",D88="5 &amp; APS"),D86="Options Buy"),CONCATENATE([1]AB3!$AP$21,INDEX([1]AB2!M:M,MATCH(D84,[1]AB2!B:B,0)),[1]AB3!$AQ$21),[1]AB3!$AR$6))))</f>
        <v>FUT : PRV : 2DLL</v>
      </c>
      <c r="AO87" s="51">
        <f>IF(AND(D86="Futures",AN87=[1]AB3!$AU$9),[1]AB3!$AU$9,IF(AND(D86="Options Sell",AN87=[1]AB3!$AU$15),[1]AB3!$AU$15,IF(AND(D86="Options Buy",AN87=[1]AB3!$AU$21),[1]AB3!$AU$21,I88)))</f>
        <v>4.0000000000000001E-3</v>
      </c>
      <c r="AP87" s="52">
        <f t="shared" ref="AP87:AP88" si="135">AM87-O87</f>
        <v>4</v>
      </c>
      <c r="AQ87" s="43" t="str">
        <f t="array" ref="AQ87">IF(A84="","",IF(AND(OR(D88="2 &amp; APS",D88="3 &amp; APS",D88="4 &amp; APS",D88="5 &amp; APS"),D86="Futures"),CONCATENATE([1]AB3!$AP$9,INDEX([1]AB2!M:M,MATCH(D84,[1]AB2!B:B,0)),[1]AB3!$AQ$9),IF(AND(OR(D88="2 &amp; APS",D88="3 &amp; APS",D88="4 &amp; APS",D88="5 &amp; APS"),D86="Options Sell"),CONCATENATE([1]AB3!$AP$15,INDEX([1]AB2!L:L,MATCH(D84,[1]AB2!B:B,0)),[1]AB3!$AQ$15),IF(AND(OR(D88="2 &amp; APS",D88="3 &amp; APS",D88="4 &amp; APS",D88="5 &amp; APS"),D86="Options Buy"),CONCATENATE([1]AB3!$AP$21,INDEX([1]AB2!M:M,MATCH(D84,[1]AB2!B:B,0)),[1]AB3!$AQ$21),[1]AB3!$AR$6))))</f>
        <v>FUT : PRV : 2DLL</v>
      </c>
      <c r="AR87" s="51">
        <f>IF(AND(D86="Futures",AQ87=[1]AB3!$AW$9),[1]AB3!$AW$9,IF(AND(D86="Options Sell",AQ87=[1]AB3!$AW$15),[1]AB3!$AW$15,IF(AND(D86="Options Buy",AQ87=[1]AB3!$AW$21),[1]AB3!$AW$21,I88)))</f>
        <v>4.0000000000000001E-3</v>
      </c>
      <c r="AS87" s="52">
        <f t="shared" ref="AS87:AS88" si="136">AP87-Q87</f>
        <v>3</v>
      </c>
      <c r="AT87" s="43" t="str">
        <f t="array" ref="AT87">IF(A84="","",IF(AND(OR(D88="3 &amp; APS",D88="4 &amp; APS",D88="5 &amp; APS"),D86="Futures"),CONCATENATE([1]AB3!$AP$9,INDEX([1]AB2!M:M,MATCH(D84,[1]AB2!B:B,0)),[1]AB3!$AQ$9),IF(AND(OR(D88="3 &amp; APS",D88="4 &amp; APS",D88="5 &amp; APS"),D86="Options Sell"),CONCATENATE([1]AB3!$AP$15,INDEX([1]AB2!L:L,MATCH(D84,[1]AB2!B:B,0)),[1]AB3!$AQ$15),IF(AND(OR(D88="3 &amp; APS",D88="4 &amp; APS",D88="5 &amp; APS"),D86="Options Buy"),CONCATENATE([1]AB3!$AP$21,INDEX([1]AB2!M:M,MATCH(D84,[1]AB2!B:B,0)),[1]AB3!$AQ$21),[1]AB3!$AR$6))))</f>
        <v>FUT : PRV : 2DLL</v>
      </c>
      <c r="AU87" s="51">
        <f>IF(AND(D86="Futures",AT87=[1]AB3!$AY$9),[1]AB3!$AY$9,IF(AND(D86="Options Sell",AT87=[1]AB3!$AY$15),[1]AB3!$AY$15,IF(AND(D86="Options Buy",AT87=[1]AB3!$AY$21),[1]AB3!$AY$21,I88)))</f>
        <v>4.0000000000000001E-3</v>
      </c>
      <c r="AV87" s="52">
        <f t="shared" ref="AV87:AV88" si="137">AS87-S87</f>
        <v>2</v>
      </c>
      <c r="AW87" s="43" t="str">
        <f t="array" ref="AW87">IF(A84="","",IF(AND(OR(D88="4 &amp; APS",D88="5 &amp; APS"),D86="Futures"),CONCATENATE([1]AB3!$AP$9,INDEX([1]AB2!M:M,MATCH(D84,[1]AB2!B:B,0)),[1]AB3!$AQ$9),IF(AND(OR(D88="4 &amp; APS",D88="5 &amp; APS"),D86="Options Sell"),CONCATENATE([1]AB3!$AP$15,INDEX([1]AB2!L:L,MATCH(D84,[1]AB2!B:B,0)),[1]AB3!$AQ$15),IF(AND(OR(D88="4 &amp; APS",D88="5 &amp; APS"),D86="Options Buy"),CONCATENATE([1]AB3!$AP$21,INDEX([1]AB2!M:M,MATCH(D84,[1]AB2!B:B,0)),[1]AB3!$AQ$21),[1]AB3!$AR$6))))</f>
        <v>FUT : PRV : 2DLL</v>
      </c>
      <c r="AX87" s="51">
        <f>IF(AND(D86="Futures",AW87=[1]AB3!$BA$9),[1]AB3!$BA$9,IF(AND(D86="Options Sell",AW87=[1]AB3!$BA$15),[1]AB3!$BA$15,IF(AND(D86="Options Buy",AW87=[1]AB3!$BA$21),[1]AB3!$BA$21,I88)))</f>
        <v>4.0000000000000001E-3</v>
      </c>
      <c r="AY87" s="52">
        <f t="shared" ref="AY87:AY88" si="138">AV87-S87</f>
        <v>1</v>
      </c>
      <c r="AZ87" s="51">
        <f t="array" ref="AZ87">IF(A84="","",IF(AND(D88="5 &amp; APS",D86="Futures"),CONCATENATE([1]AB3!$AP$9,INDEX([1]AB2!M:M,MATCH(D84,[1]AB2!B:B,0)),[1]AB3!$AQ$9),IF(AND(D88="5 &amp; APS",D86="Options Sell"),CONCATENATE([1]AB3!$AP$15,INDEX([1]AB2!L:L,MATCH(D84,[1]AB2!B:B,0)),[1]AB3!$AQ$15),IF(AND(D88="5 &amp; APS",D86="Options Buy"),CONCATENATE([1]AB3!$AP$21,INDEX([1]AB2!M:M,MATCH(D84,[1]AB2!B:B,0)),[1]AB3!$AQ$21),[1]AB3!$AR$6))))</f>
        <v>0</v>
      </c>
      <c r="BA87" s="51">
        <f>IF(AND(D86="Futures",AZ87=[1]AB3!$BC$9),[1]AB3!$BC$9,IF(AND(D86="Options Sell",AZ87=[1]AB3!$BC$15),[1]AB3!$BC$15,IF(AND(D86="Options Buy",AZ87=[1]AB3!$BC$21),[1]AB3!$BC$21,I88)))</f>
        <v>0</v>
      </c>
      <c r="BB87" s="52">
        <f t="shared" ref="BB87:BB88" si="139">AY87-W87</f>
        <v>0</v>
      </c>
      <c r="BC87" s="53"/>
      <c r="BD87" s="54" t="str">
        <f>IF(D86="Futures",[1]AB3!$BE$9,IF(D86="Options Sell",[1]AB3!$BE$15,IF(D86="Options Buy",[1]AB3!$BE$21)))</f>
        <v>Market Start Time</v>
      </c>
      <c r="BE87" s="67">
        <f t="array" ref="BE87">IF(D84="","",INDEX([1]AB2!AG:AG,MATCH(D84,[1]AB2!B:B,0)))</f>
        <v>0.375</v>
      </c>
      <c r="BF87" s="11"/>
      <c r="BG87" s="12"/>
      <c r="BH87" s="57"/>
      <c r="BI87" s="68" t="str">
        <f>IF(D86="Futures",[1]AB3!$BJ$9,IF(D86="Options Sell",[1]AB3!$BJ$15,IF(D86="Options Buy",[1]AB3!$BJ$21)))</f>
        <v>Bear / 
Bear CF</v>
      </c>
      <c r="BJ87" s="45" t="str">
        <f>IF(D86="Futures",[1]AB3!$BK$9,IF(D86="Options Sell",[1]AB3!$BK$15,IF(D86="Options Buy",[1]AB3!$BK$21)))</f>
        <v>Long</v>
      </c>
      <c r="BK87" s="46">
        <v>4.0000000000000001E-3</v>
      </c>
      <c r="BL87" s="46">
        <v>4.0000000000000001E-3</v>
      </c>
      <c r="BM87" s="57"/>
      <c r="BN87" s="68" t="str">
        <f>IF(D86="Futures",[1]AB3!$BO$9,IF(D86="Options Sell",[1]AB3!$BO$15,IF(D86="Options Buy",[1]AB3!$BO$21)))</f>
        <v>Bear | 
Bear CF</v>
      </c>
      <c r="BO87" s="45" t="str">
        <f>IF(D86="Futures",[1]AB3!$BP$9,IF(D86="Options Sell",[1]AB3!$BP$15,IF(D86="Options Buy",[1]AB3!$BP$21)))</f>
        <v>Call</v>
      </c>
      <c r="BP87" s="43" t="str">
        <f t="array" ref="BP87">IF(A84="","",IF(D86="Futures","",IF(D86="EQUITY","",IF(D86="Options Sell",CONCATENATE([1]AB3!$BQ$15,INDEX([1]AB2!I:I,MATCH(A84,[1]AB2!A:A,0)),[1]AB3!$BR$15),IF(D86="Options Buy",CONCATENATE([1]AB3!$BQ$21,INDEX([1]AB2!I:I,MATCH(A84,[1]AB2!A:A,0)),[1]AB3!$BR$21))))))</f>
        <v/>
      </c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9"/>
      <c r="CL87" s="43"/>
      <c r="CM87" s="43"/>
      <c r="CN87" s="59"/>
      <c r="CO87" s="43"/>
      <c r="CP87" s="43"/>
      <c r="CQ87" s="59"/>
      <c r="CR87" s="43"/>
      <c r="CS87" s="43"/>
      <c r="CT87" s="59"/>
      <c r="CU87" s="43"/>
      <c r="CV87" s="59"/>
      <c r="CW87" s="59"/>
    </row>
    <row r="88" spans="1:101" ht="16.5" customHeight="1" x14ac:dyDescent="0.2">
      <c r="A88" s="32"/>
      <c r="B88" s="41" t="str">
        <f>CONCATENATE(D84,IF(D86="Futures",[1]AB3!$B$10,IF(D86="Options Sell",[1]AB3!$B$16,IF(D86="Options Buy",[1]AB3!$B$22))))</f>
        <v>S14E</v>
      </c>
      <c r="C88" s="42" t="str">
        <f>IF(D86="Futures",[1]AB3!$C$10,IF(D86="Options Sell",[1]AB3!$C$16,IF(D86="Options Buy",[1]AB3!$C$22)))</f>
        <v>No. of Targets</v>
      </c>
      <c r="D88" s="43" t="str">
        <f t="array" ref="D88">IF(A84="","",INDEX([1]AB2!K:K,MATCH(D84,[1]AB2!B:B,0)))</f>
        <v>4 &amp; APS</v>
      </c>
      <c r="E88" s="32"/>
      <c r="F88" s="61" t="str">
        <f>IF(D86="Futures",[1]AB3!$F$10,IF(D86="Options Sell",[1]AB3!$F$16,IF(D86="Options Buy",[1]AB3!$F$22)))</f>
        <v>Short</v>
      </c>
      <c r="G88" s="43" t="str">
        <f t="array" ref="G88">(IF(A84="","",IF(D86="Futures",CONCATENATE([1]AB3!$G$10,INDEX([1]AB2!I:I,MATCH(D84,[1]AB2!B:B,0)),[1]AB3!$H$10),IF(D86="Options Sell",CONCATENATE([1]AB3!$G$16,INDEX([1]AB2!J:J,MATCH(D84,[1]AB2!B:B,0)),[1]AB3!$H$16),IF(D86="Options Buy",CONCATENATE([1]AB3!$G$22,INDEX([1]AB2!I:I,MATCH(D84,[1]AB2!B:B,0)),[1]AB3!$H$22))))))</f>
        <v>FUT : PRV : 2DLL</v>
      </c>
      <c r="H88" s="43" t="str">
        <f>IF(D86="Futures",[1]AB3!$I$10,IF(D86="Options Sell",[1]AB3!$I$16,IF(D86="Options Buy",[1]AB3!$I$22)))</f>
        <v xml:space="preserve"> - </v>
      </c>
      <c r="I88" s="46">
        <v>4.0000000000000001E-3</v>
      </c>
      <c r="J88" s="47">
        <v>5</v>
      </c>
      <c r="K88" s="48"/>
      <c r="L88" s="43" t="str">
        <f>IF(D86="Futures",[1]AB3!$M$10,IF(D86="Options Sell",[1]AB3!$M$16,IF(D86="Options Buy",[1]AB3!$M$22)))</f>
        <v xml:space="preserve">S : Entry </v>
      </c>
      <c r="M88" s="43" t="str">
        <f>IF(D86="Futures",[1]AB3!$N$10,IF(D86="Options Sell",[1]AB3!$N$16,IF(D86="Options Buy",[1]AB3!$N$22)))</f>
        <v xml:space="preserve"> - </v>
      </c>
      <c r="N88" s="46">
        <v>2.5000000000000001E-2</v>
      </c>
      <c r="O88" s="47">
        <v>1</v>
      </c>
      <c r="P88" s="46">
        <v>3.5000000000000003E-2</v>
      </c>
      <c r="Q88" s="47">
        <v>1</v>
      </c>
      <c r="R88" s="46">
        <v>4.4999999999999998E-2</v>
      </c>
      <c r="S88" s="47">
        <v>1</v>
      </c>
      <c r="T88" s="46">
        <v>5.5E-2</v>
      </c>
      <c r="U88" s="47">
        <v>1</v>
      </c>
      <c r="V88" s="50" t="s">
        <v>51</v>
      </c>
      <c r="W88" s="47">
        <v>1</v>
      </c>
      <c r="X88" s="50" t="s">
        <v>52</v>
      </c>
      <c r="Y88" s="50" t="s">
        <v>52</v>
      </c>
      <c r="Z88" s="48"/>
      <c r="AA88" s="43" t="str">
        <f>IF(D86="Futures",[1]AB3!$AD$10,IF(D86="Options Sell",[1]AB3!$AD$16,IF(D86="Options Buy",[1]AB3!$AD$22)))</f>
        <v>Min</v>
      </c>
      <c r="AB88" s="43" t="str">
        <f>IF(D86="Futures",[1]AB3!$AE$10,IF(D86="Options Sell",[1]AB3!$AE$16,IF(D86="Options Buy",[1]AB3!$AE$22)))</f>
        <v>MSL &amp; TSL</v>
      </c>
      <c r="AC88" s="43" t="str">
        <f>IF(D86="Futures",[1]AB3!$AF$10,IF(D86="Options Sell",[1]AB3!$AF$16,IF(D86="Options Buy",[1]AB3!$AF$22)))</f>
        <v>Entry &amp; TRP</v>
      </c>
      <c r="AD88" s="48"/>
      <c r="AE88" s="43" t="str">
        <f>IF(D86="Futures",[1]AB3!$AH$10,IF(D86="Options Sell",[1]AB3!$AH$16,IF(D86="Options Buy",[1]AB3!$AH$22)))</f>
        <v>S : Entry</v>
      </c>
      <c r="AF88" s="43" t="str">
        <f>IF(D86="Futures",[1]AB3!$AI$10,IF(D86="Options Sell",[1]AB3!$AI$16,IF(D86="Options Buy",[1]AB3!$AI$22)))</f>
        <v xml:space="preserve"> + </v>
      </c>
      <c r="AG88" s="46">
        <v>2.5000000000000001E-2</v>
      </c>
      <c r="AH88" s="46">
        <v>0</v>
      </c>
      <c r="AI88" s="48"/>
      <c r="AJ88" s="43" t="str">
        <f>IF(D86="Futures",[1]AB3!$AO$10,IF(D86="Options Sell",[1]AB3!$AO$16,IF(D86="Options Buy",[1]AB3!$AO$22)))</f>
        <v xml:space="preserve"> + </v>
      </c>
      <c r="AK88" s="43" t="str">
        <f t="array" ref="AK88">IF(A84="","",IF(D86="Futures",CONCATENATE([1]AB3!$AP$10,INDEX([1]AB2!L:L,MATCH(D84,[1]AB2!B:B,0)),[1]AB3!$AQ$10),IF(D86="Options Sell",CONCATENATE([1]AB3!$AP$16,INDEX([1]AB2!M:M,MATCH(D84,[1]AB2!B:B,0)),[1]AB3!$AQ$16),IF(D86="Options Buy",CONCATENATE([1]AB3!$AP$22,INDEX([1]AB2!L:L,MATCH(D84,[1]AB2!B:B,0)),[1]AB3!$AQ$22)))))</f>
        <v>FUT : PRV : 2DHH</v>
      </c>
      <c r="AL88" s="51">
        <f>IF(AND(D86="Futures",AK88=[1]AB3!$AS$10),[1]AB3!$AS$10,IF(AND(D86="Options Sell",AK88=[1]AB3!$AS$16),[1]AB3!$AS$16,IF(AND(D86="Options Buy",AK88=[1]AB3!$AS$22),[1]AB3!$AS$22,I87)))</f>
        <v>4.0000000000000001E-3</v>
      </c>
      <c r="AM88" s="52">
        <f>J87</f>
        <v>5</v>
      </c>
      <c r="AN88" s="43" t="str">
        <f t="array" ref="AN88">IF(A84="","",IF(AND(OR(D88="1 &amp; APS",D88="2 &amp; APS",D88="3 &amp; APS",D88="4 &amp; APS",D88="5 &amp; APS"),D86="Futures"),CONCATENATE([1]AB3!$AP$10,INDEX([1]AB2!L:L,MATCH(D84,[1]AB2!B:B,0)),[1]AB3!$AQ$10),IF(AND(OR(D88="1 &amp; APS",D88="2 &amp; APS",D88="3 &amp; APS",D88="4 &amp; APS",D88="5 &amp; APS"),D86="Options Sell"),CONCATENATE([1]AB3!$AP$16,INDEX([1]AB2!M:M,MATCH(D84,[1]AB2!B:B,0)),[1]AB3!$AQ$16),IF(AND(OR(D88="1 &amp; APS",D88="2 &amp; APS",D88="3 &amp; APS",D88="4 &amp; APS",D88="5 &amp; APS"),D86="Options Buy"),CONCATENATE([1]AB3!$AP$22,INDEX([1]AB2!L:L,MATCH(D84,[1]AB2!B:B,0)),[1]AB3!$AQ$22),[1]AB3!$AR$6))))</f>
        <v>FUT : PRV : 2DHH</v>
      </c>
      <c r="AO88" s="51">
        <f>IF(AND(D86="Futures",AN88=[1]AB3!$AU$10),[1]AB3!$AU$10,IF(AND(D86="Options Sell",AN88=[1]AB3!$AU$16),[1]AB3!$AU$16,IF(AND(D86="Options Buy",AN88=[1]AB3!$AU$22),[1]AB3!$AU$22,I87)))</f>
        <v>4.0000000000000001E-3</v>
      </c>
      <c r="AP88" s="52">
        <f t="shared" si="135"/>
        <v>4</v>
      </c>
      <c r="AQ88" s="43" t="str">
        <f t="array" ref="AQ88">IF(A84="","",IF(AND(OR(D88="2 &amp; APS",D88="3 &amp; APS",D88="4 &amp; APS",D88="5 &amp; APS"),D86="Futures"),CONCATENATE([1]AB3!$AP$10,INDEX([1]AB2!L:L,MATCH(D84,[1]AB2!B:B,0)),[1]AB3!$AQ$10),IF(AND(OR(D88="2 &amp; APS",D88="3 &amp; APS",D88="4 &amp; APS",D88="5 &amp; APS"),D86="Options Sell"),CONCATENATE([1]AB3!$AP$16,INDEX([1]AB2!M:M,MATCH(D84,[1]AB2!B:B,0)),[1]AB3!$AQ$16),IF(AND(OR(D88="2 &amp; APS",D88="3 &amp; APS",D88="4 &amp; APS",D88="5 &amp; APS"),D86="Options Buy"),CONCATENATE([1]AB3!$AP$22,INDEX([1]AB2!L:L,MATCH(D84,[1]AB2!B:B,0)),[1]AB3!$AQ$22),[1]AB3!$AR$6))))</f>
        <v>FUT : PRV : 2DHH</v>
      </c>
      <c r="AR88" s="51">
        <f>IF(AND(D86="Futures",AQ88=[1]AB3!$AW$10),[1]AB3!$AW$10,IF(AND(D86="Options Sell",AQ88=[1]AB3!$AW$16),[1]AB3!$AW$16,IF(AND(D86="Options Buy",AQ88=[1]AB3!$AW$22),[1]AB3!$AW$22,I87)))</f>
        <v>4.0000000000000001E-3</v>
      </c>
      <c r="AS88" s="52">
        <f t="shared" si="136"/>
        <v>3</v>
      </c>
      <c r="AT88" s="43" t="str">
        <f t="array" ref="AT88">IF(A84="","",IF(AND(OR(D88="3 &amp; APS",D88="4 &amp; APS",D88="5 &amp; APS"),D86="Futures"),CONCATENATE([1]AB3!$AP$10,INDEX([1]AB2!L:L,MATCH(D84,[1]AB2!B:B,0)),[1]AB3!$AQ$10),IF(AND(OR(D88="3 &amp; APS",D88="4 &amp; APS",D88="5 &amp; APS"),D86="Options Sell"),CONCATENATE([1]AB3!$AP$16,INDEX([1]AB2!M:M,MATCH(D84,[1]AB2!B:B,0)),[1]AB3!$AQ$16),IF(AND(OR(D88="3 &amp; APS",D88="4 &amp; APS",D88="5 &amp; APS"),D86="Options Buy"),CONCATENATE([1]AB3!$AP$22,INDEX([1]AB2!L:L,MATCH(D84,[1]AB2!B:B,0)),[1]AB3!$AQ$22),[1]AB3!$AR$6))))</f>
        <v>FUT : PRV : 2DHH</v>
      </c>
      <c r="AU88" s="51">
        <f>IF(AND(D86="Futures",AT88=[1]AB3!$AY$10),[1]AB3!$AY$10,IF(AND(D86="Options Sell",AT88=[1]AB3!$AY$16),[1]AB3!$AY$16,IF(AND(D86="Options Buy",AT88=[1]AB3!$AY$22),[1]AB3!$AY$22,I87)))</f>
        <v>4.0000000000000001E-3</v>
      </c>
      <c r="AV88" s="52">
        <f t="shared" si="137"/>
        <v>2</v>
      </c>
      <c r="AW88" s="43" t="str">
        <f t="array" ref="AW88">IF(A84="","",IF(AND(OR(D88="4 &amp; APS",D88="5 &amp; APS"),D86="Futures"),CONCATENATE([1]AB3!$AP$10,INDEX([1]AB2!L:L,MATCH(D84,[1]AB2!B:B,0)),[1]AB3!$AQ$10),IF(AND(OR(D88="4 &amp; APS",D88="5 &amp; APS"),D86="Options Sell"),CONCATENATE([1]AB3!$AP$16,INDEX([1]AB2!M:M,MATCH(D84,[1]AB2!B:B,0)),[1]AB3!$AQ$16),IF(AND(OR(D88="4 &amp; APS",D88="5 &amp; APS"),D86="Options Buy"),CONCATENATE([1]AB3!$AP$22,INDEX([1]AB2!L:L,MATCH(D84,[1]AB2!B:B,0)),[1]AB3!$AQ$22),[1]AB3!$AR$6))))</f>
        <v>FUT : PRV : 2DHH</v>
      </c>
      <c r="AX88" s="51">
        <f>IF(AND(D86="Futures",AW88=[1]AB3!$BA$10),[1]AB3!$BA$10,IF(AND(D86="Options Sell",AW88=[1]AB3!$BA$16),[1]AB3!$BA$16,IF(AND(D86="Options Buy",AW88=[1]AB3!$BA$22),[1]AB3!$BA$22,I87)))</f>
        <v>4.0000000000000001E-3</v>
      </c>
      <c r="AY88" s="52">
        <f t="shared" si="138"/>
        <v>1</v>
      </c>
      <c r="AZ88" s="51">
        <f t="array" ref="AZ88">IF(A84="","",IF(AND(D88="5 &amp; APS",D86="Futures"),CONCATENATE([1]AB3!$AP$10,INDEX([1]AB2!L:L,MATCH(D84,[1]AB2!B:B,0)),[1]AB3!$AQ$10),IF(AND(D88="5 &amp; APS",D86="Options Sell"),CONCATENATE([1]AB3!$AP$16,INDEX([1]AB2!M:M,MATCH(D84,[1]AB2!B:B,0)),[1]AB3!$AQ$16),IF(AND(D88="5 &amp; APS",D86="Options Buy"),CONCATENATE([1]AB3!$AP$22,INDEX([1]AB2!L:L,MATCH(D84,[1]AB2!B:B,0)),[1]AB3!$AQ$22),[1]AB3!$AR$6))))</f>
        <v>0</v>
      </c>
      <c r="BA88" s="51">
        <f>IF(AND(D86="Futures",AZ88=[1]AB3!$BC$10),[1]AB3!$BC$10,IF(AND(D86="Options Sell",AZ88=[1]AB3!$BC$16),[1]AB3!$BC$16,IF(AND(D86="Options Buy",AZ88=[1]AB3!$BC$22),[1]AB3!$BC$22,I87)))</f>
        <v>0</v>
      </c>
      <c r="BB88" s="52">
        <f t="shared" si="139"/>
        <v>0</v>
      </c>
      <c r="BC88" s="53"/>
      <c r="BD88" s="54" t="str">
        <f>IF(D86="Futures",[1]AB3!$BE$10,IF(D86="Options Sell",[1]AB3!$BE$16,IF(D86="Options Buy",[1]AB3!$BE$22)))</f>
        <v>Market End Time</v>
      </c>
      <c r="BE88" s="67">
        <f t="array" ref="BE88">IF(D84="","",INDEX([1]AB2!AH:AH,MATCH(D84,[1]AB2!B:B,0)))</f>
        <v>0.97916666666666663</v>
      </c>
      <c r="BF88" s="11"/>
      <c r="BG88" s="12"/>
      <c r="BH88" s="57"/>
      <c r="BI88" s="32"/>
      <c r="BJ88" s="61" t="str">
        <f>IF(D86="Futures",[1]AB3!$BK$10,IF(D86="Options Sell",[1]AB3!$BK$16,IF(D86="Options Buy",[1]AB3!$BK$22)))</f>
        <v>Short</v>
      </c>
      <c r="BK88" s="46">
        <v>4.0000000000000001E-3</v>
      </c>
      <c r="BL88" s="46">
        <v>4.0000000000000001E-3</v>
      </c>
      <c r="BM88" s="57"/>
      <c r="BN88" s="32"/>
      <c r="BO88" s="61" t="str">
        <f>IF(D86="Futures",[1]AB3!$BP$10,IF(D86="Options Sell",[1]AB3!$BP$16,IF(D86="Options Buy",[1]AB3!$BP$22)))</f>
        <v>Put</v>
      </c>
      <c r="BP88" s="43" t="str">
        <f t="array" ref="BP88">IF(A84="","",IF(D86="Futures","",IF(D86="EQUITY","",IF(D86="Options Sell",CONCATENATE([1]AB3!$BQ$16,INDEX([1]AB2!J:J,MATCH(A84,[1]AB2!A:A,0)),[1]AB3!$BR$16),IF(D86="Options Buy",CONCATENATE([1]AB3!$BQ$22,INDEX([1]AB2!J:J,MATCH(A84,[1]AB2!A:A,0)),[1]AB3!$BR$22))))))</f>
        <v/>
      </c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9"/>
      <c r="CL88" s="43"/>
      <c r="CM88" s="43"/>
      <c r="CN88" s="59"/>
      <c r="CO88" s="43"/>
      <c r="CP88" s="43"/>
      <c r="CQ88" s="59"/>
      <c r="CR88" s="43"/>
      <c r="CS88" s="43"/>
      <c r="CT88" s="59"/>
      <c r="CU88" s="43"/>
      <c r="CV88" s="59"/>
      <c r="CW88" s="59"/>
    </row>
    <row r="89" spans="1:101" ht="15.75" customHeight="1" x14ac:dyDescent="0.2">
      <c r="A89" s="1"/>
      <c r="B89" s="2"/>
      <c r="C89" s="2"/>
      <c r="D89" s="2"/>
      <c r="E89" s="2"/>
      <c r="F89" s="2"/>
      <c r="G89" s="2"/>
      <c r="H89" s="2"/>
      <c r="I89" s="2"/>
      <c r="J89" s="64"/>
      <c r="K89" s="2"/>
      <c r="L89" s="2"/>
      <c r="M89" s="2"/>
      <c r="N89" s="2"/>
      <c r="O89" s="64"/>
      <c r="P89" s="2"/>
      <c r="Q89" s="64"/>
      <c r="R89" s="69"/>
      <c r="S89" s="64"/>
      <c r="T89" s="70"/>
      <c r="U89" s="64"/>
      <c r="V89" s="2"/>
      <c r="W89" s="64"/>
      <c r="X89" s="2"/>
      <c r="Y89" s="2"/>
      <c r="Z89" s="2"/>
      <c r="AA89" s="20"/>
      <c r="AB89" s="71"/>
      <c r="AC89" s="71"/>
      <c r="AD89" s="2"/>
      <c r="AE89" s="70"/>
      <c r="AF89" s="70"/>
      <c r="AG89" s="70"/>
      <c r="AH89" s="70"/>
      <c r="AI89" s="2"/>
      <c r="AJ89" s="70"/>
      <c r="AK89" s="70"/>
      <c r="AL89" s="70"/>
      <c r="AM89" s="64"/>
      <c r="AN89" s="70"/>
      <c r="AO89" s="70"/>
      <c r="AP89" s="64"/>
      <c r="AQ89" s="70"/>
      <c r="AR89" s="70"/>
      <c r="AS89" s="64"/>
      <c r="AT89" s="70"/>
      <c r="AU89" s="70"/>
      <c r="AV89" s="64"/>
      <c r="AW89" s="70"/>
      <c r="AX89" s="70"/>
      <c r="AY89" s="64"/>
      <c r="AZ89" s="70"/>
      <c r="BA89" s="70"/>
      <c r="BB89" s="64"/>
      <c r="BC89" s="70"/>
      <c r="BD89" s="70"/>
      <c r="BE89" s="70"/>
      <c r="BF89" s="70"/>
      <c r="BG89" s="70"/>
      <c r="BH89" s="70"/>
      <c r="BI89" s="70"/>
      <c r="BJ89" s="70"/>
      <c r="BK89" s="2"/>
      <c r="BL89" s="2"/>
      <c r="BM89" s="70"/>
      <c r="BN89" s="70"/>
      <c r="BO89" s="70"/>
      <c r="BP89" s="70"/>
      <c r="BQ89" s="70"/>
      <c r="BR89" s="70"/>
      <c r="BS89" s="70"/>
      <c r="BT89" s="70"/>
      <c r="BU89" s="70"/>
      <c r="BV89" s="70"/>
      <c r="BW89" s="70"/>
      <c r="BX89" s="70"/>
      <c r="BY89" s="70"/>
      <c r="BZ89" s="70"/>
      <c r="CA89" s="70"/>
      <c r="CB89" s="70"/>
      <c r="CC89" s="70"/>
      <c r="CD89" s="70"/>
      <c r="CE89" s="70"/>
      <c r="CF89" s="70"/>
      <c r="CG89" s="70"/>
      <c r="CH89" s="70"/>
      <c r="CI89" s="70"/>
      <c r="CJ89" s="70"/>
      <c r="CK89" s="70"/>
      <c r="CL89" s="2"/>
      <c r="CM89" s="2"/>
      <c r="CN89" s="70"/>
      <c r="CO89" s="70"/>
      <c r="CP89" s="70"/>
      <c r="CQ89" s="70"/>
      <c r="CR89" s="2"/>
      <c r="CS89" s="2"/>
      <c r="CT89" s="70"/>
      <c r="CU89" s="70"/>
      <c r="CV89" s="70"/>
      <c r="CW89" s="70"/>
    </row>
    <row r="90" spans="1:101" ht="15.75" customHeight="1" x14ac:dyDescent="0.2">
      <c r="A90" s="40">
        <v>15</v>
      </c>
      <c r="B90" s="41" t="str">
        <f>CONCATENATE(D90,IF(D92="Futures",[1]AB3!$B$6,IF(D92="Options Sell",[1]AB3!$B$12,IF(D92="Options Buy",[1]AB3!$B$18))))</f>
        <v>S15A</v>
      </c>
      <c r="C90" s="42" t="str">
        <f>IF(D92="Futures",[1]AB3!$C$6,IF(D92="Options Sell",[1]AB3!$C$12,IF(D92="Options Buy",[1]AB3!$C$18)))</f>
        <v>Strategy Code</v>
      </c>
      <c r="D90" s="43" t="str">
        <f t="array" ref="D90">IF(A90="","",INDEX([1]AB2!B:B,MATCH(A90,[1]AB2!A:A,0)))</f>
        <v>S15</v>
      </c>
      <c r="E90" s="44" t="str">
        <f>IF(D92="Futures",[1]AB3!$E$6,IF(D92="Options Sell",[1]AB3!$E$12,IF(D92="Options Buy",[1]AB3!$E$18)))</f>
        <v>Bull / 
Bull CF</v>
      </c>
      <c r="F90" s="45" t="str">
        <f>IF(D92="Futures",[1]AB3!$F$6,IF(D92="Options Sell",[1]AB3!$F$12,IF(D92="Options Buy",[1]AB3!$F$18)))</f>
        <v>Long</v>
      </c>
      <c r="G90" s="43" t="str">
        <f t="array" ref="G90">IF(A90="","",IF(D92="Futures",CONCATENATE([1]AB3!$G$6,INDEX([1]AB2!I:I,MATCH(D90,[1]AB2!B:B,0)),[1]AB3!$H$6),IF(D92="Options Sell",CONCATENATE([1]AB3!$G$12,INDEX([1]AB2!J:J,MATCH(D90,[1]AB2!B:B,0)),[1]AB3!$H$12),IF(D92="Options Buy",CONCATENATE([1]AB3!$G$18,INDEX([1]AB2!I:I,MATCH(D90,[1]AB2!B:B,0)),[1]AB3!$H$18)))))</f>
        <v>FUT : PRV : 1DHH</v>
      </c>
      <c r="H90" s="43" t="str">
        <f>IF(D92="Futures",[1]AB3!$I$6,IF(D92="Options Sell",[1]AB3!$I$12,IF(D92="Options Buy",[1]AB3!$I$18)))</f>
        <v xml:space="preserve"> + </v>
      </c>
      <c r="I90" s="46">
        <v>0</v>
      </c>
      <c r="J90" s="47">
        <v>5</v>
      </c>
      <c r="K90" s="48"/>
      <c r="L90" s="43" t="str">
        <f>IF(D92="Futures",[1]AB3!$M$6,IF(D92="Options Sell",[1]AB3!$M$12,IF(D92="Options Buy",[1]AB3!$M$18)))</f>
        <v xml:space="preserve">L : Entry </v>
      </c>
      <c r="M90" s="43" t="str">
        <f>IF(D92="Futures",[1]AB3!$N$6,IF(D92="Options Sell",[1]AB3!$N$12,IF(D92="Options Buy",[1]AB3!$N$18)))</f>
        <v xml:space="preserve"> + </v>
      </c>
      <c r="N90" s="46">
        <v>2.5000000000000001E-2</v>
      </c>
      <c r="O90" s="47">
        <v>1</v>
      </c>
      <c r="P90" s="46">
        <v>3.5000000000000003E-2</v>
      </c>
      <c r="Q90" s="47">
        <v>1</v>
      </c>
      <c r="R90" s="46">
        <v>4.4999999999999998E-2</v>
      </c>
      <c r="S90" s="47">
        <v>1</v>
      </c>
      <c r="T90" s="46">
        <v>5.5E-2</v>
      </c>
      <c r="U90" s="47">
        <v>1</v>
      </c>
      <c r="V90" s="50" t="s">
        <v>51</v>
      </c>
      <c r="W90" s="47">
        <v>1</v>
      </c>
      <c r="X90" s="50" t="s">
        <v>52</v>
      </c>
      <c r="Y90" s="50" t="s">
        <v>52</v>
      </c>
      <c r="Z90" s="48"/>
      <c r="AA90" s="43" t="str">
        <f>IF(D92="Futures",[1]AB3!$AD$6,IF(D92="Options Sell",[1]AB3!$AD$12,IF(D92="Options Buy",[1]AB3!$AD$18)))</f>
        <v>Max</v>
      </c>
      <c r="AB90" s="43" t="str">
        <f>IF(D92="Futures",[1]AB3!$AE$6,IF(D92="Options Sell",[1]AB3!$AE$12,IF(D92="Options Buy",[1]AB3!$AE$18)))</f>
        <v>MSL &amp; TSL</v>
      </c>
      <c r="AC90" s="43" t="str">
        <f>IF(D92="Futures",[1]AB3!$AF$6,IF(D92="Options Sell",[1]AB3!$AF$12,IF(D92="Options Buy",[1]AB3!$AF$18)))</f>
        <v>Entry &amp; TRP</v>
      </c>
      <c r="AD90" s="48"/>
      <c r="AE90" s="43" t="str">
        <f>IF(D92="Futures",[1]AB3!$AH$6,IF(D92="Options Sell",[1]AB3!$AH$12,IF(D92="Options Buy",[1]AB3!$AH$18)))</f>
        <v>L : Entry</v>
      </c>
      <c r="AF90" s="43" t="str">
        <f>IF(D92="Futures",[1]AB3!$AI$6,IF(D92="Options Sell",[1]AB3!$AI$12,IF(D92="Options Buy",[1]AB3!$AI$18)))</f>
        <v xml:space="preserve"> - </v>
      </c>
      <c r="AG90" s="46">
        <v>2.5000000000000001E-2</v>
      </c>
      <c r="AH90" s="46">
        <v>0</v>
      </c>
      <c r="AI90" s="48"/>
      <c r="AJ90" s="43" t="str">
        <f>IF(D92="Futures",[1]AB3!$AO$6,IF(D92="Options Sell",[1]AB3!$AO$12,IF(D92="Options Buy",[1]AB3!$AO$18)))</f>
        <v xml:space="preserve"> - </v>
      </c>
      <c r="AK90" s="43" t="str">
        <f t="array" ref="AK90">IF(A90="","",IF(D92="Futures",CONCATENATE([1]AB3!$AP$6,INDEX([1]AB2!L:L,MATCH(D90,[1]AB2!B:B,0)),[1]AB3!$AQ$6),IF(D92="Options Sell",CONCATENATE([1]AB3!$AP$12,INDEX([1]AB2!M:M,MATCH(D90,[1]AB2!B:B,0)),[1]AB3!$AQ$12),IF(D92="Options Buy",CONCATENATE([1]AB3!$AP$18,INDEX([1]AB2!L:L,MATCH(D90,[1]AB2!B:B,0)),[1]AB3!$AQ$18)))))</f>
        <v>FUT : PRV : 2DLL</v>
      </c>
      <c r="AL90" s="51">
        <f>IF(AND(D92="Futures",AK90=[1]AB3!$AS$6),[1]AB3!$AS$6,IF(AND(D92="Options Sell",AK90=[1]AB3!$AS$12),[1]AB3!$AS$12,IF(AND(D92="Options Buy",AK90=[1]AB3!$AS$18),[1]AB3!$AS$18,I91)))</f>
        <v>4.0000000000000001E-3</v>
      </c>
      <c r="AM90" s="52">
        <f>J91</f>
        <v>5</v>
      </c>
      <c r="AN90" s="43" t="str">
        <f t="array" ref="AN90">IF(A90="","",IF(AND(OR(D94="1 &amp; APS",D94="2 &amp; APS",D94="3 &amp; APS",D94="4 &amp; APS",D94="5 &amp; APS"),D92="Futures"),CONCATENATE([1]AB3!$AP$6,INDEX([1]AB2!L:L,MATCH(D90,[1]AB2!B:B,0)),[1]AB3!$AQ$6),IF(AND(OR(D94="1 &amp; APS",D94="2 &amp; APS",D94="3 &amp; APS",D94="4 &amp; APS",D94="5 &amp; APS"),D92="Options Sell"),CONCATENATE([1]AB3!$AP$12,INDEX([1]AB2!M:M,MATCH(D90,[1]AB2!B:B,0)),[1]AB3!$AQ$12),IF(AND(OR(D94="1 &amp; APS",D94="2 &amp; APS",D94="3 &amp; APS",D94="4 &amp; APS",D94="5 &amp; APS"),D92="Options Buy"),CONCATENATE([1]AB3!$AP$18,INDEX([1]AB2!L:L,MATCH(D90,[1]AB2!B:B,0)),[1]AB3!$AQ$18),[1]AB3!$AR$6))))</f>
        <v>FUT : PRV : 2DLL</v>
      </c>
      <c r="AO90" s="51">
        <f>IF(AND(D92="Futures",AN90=[1]AB3!$AU$6),[1]AB3!$AU$6,IF(AND(D92="Options Sell",AN90=[1]AB3!$AU$12),[1]AB3!$AU$12,IF(AND(D92="Options Buy",AN90=[1]AB3!$AU$18),[1]AB3!$AU$18,I91)))</f>
        <v>4.0000000000000001E-3</v>
      </c>
      <c r="AP90" s="52">
        <f t="shared" ref="AP90:AP91" si="140">AM90-O90</f>
        <v>4</v>
      </c>
      <c r="AQ90" s="43" t="str">
        <f t="array" ref="AQ90">IF(A90="","",IF(AND(OR(D94="2 &amp; APS",D94="3 &amp; APS",D94="4 &amp; APS",D94="5 &amp; APS"),D92="Futures"),CONCATENATE([1]AB3!$AP$6,INDEX([1]AB2!L:L,MATCH(D90,[1]AB2!B:B,0)),[1]AB3!$AQ$6),IF(AND(OR(D94="2 &amp; APS",D94="3 &amp; APS",D94="4 &amp; APS",D94="5 &amp; APS"),D92="Options Sell"),CONCATENATE([1]AB3!$AP$12,INDEX([1]AB2!M:M,MATCH(D90,[1]AB2!B:B,0)),[1]AB3!$AQ$12),IF(AND(OR(D94="2 &amp; APS",D94="3 &amp; APS",D94="4 &amp; APS",D94="5 &amp; APS"),D92="Options Buy"),CONCATENATE([1]AB3!$AP$18,INDEX([1]AB2!L:L,MATCH(D90,[1]AB2!B:B,0)),[1]AB3!$AQ$18),[1]AB3!$AR$6))))</f>
        <v>FUT : PRV : 2DLL</v>
      </c>
      <c r="AR90" s="51">
        <f>IF(AND(D92="Futures",AQ90=[1]AB3!$AW$6),[1]AB3!$AW$6,IF(AND(D92="Options Sell",AQ90=[1]AB3!$AW$12),[1]AB3!$AW$12,IF(AND(D92="Options Buy",AQ90=[1]AB3!$AW$18),[1]AB3!$AW$18,I91)))</f>
        <v>4.0000000000000001E-3</v>
      </c>
      <c r="AS90" s="52">
        <f t="shared" ref="AS90:AS91" si="141">AP90-Q90</f>
        <v>3</v>
      </c>
      <c r="AT90" s="43" t="str">
        <f t="array" ref="AT90">IF(A90="","",IF(AND(OR(D94="3 &amp; APS",D94="4 &amp; APS",D94="5 &amp; APS"),D92="Futures"),CONCATENATE([1]AB3!$AP$6,INDEX([1]AB2!L:L,MATCH(D90,[1]AB2!B:B,0)),[1]AB3!$AQ$6),IF(AND(OR(D94="3 &amp; APS",D94="4 &amp; APS",D94="5 &amp; APS"),D92="Options Sell"),CONCATENATE([1]AB3!$AP$12,INDEX([1]AB2!M:M,MATCH(D90,[1]AB2!B:B,0)),[1]AB3!$AQ$12),IF(AND(OR(D94="3 &amp; APS",D94="4 &amp; APS",D94="5 &amp; APS"),D92="Options Buy"),CONCATENATE([1]AB3!$AP$18,INDEX([1]AB2!L:L,MATCH(D90,[1]AB2!B:B,0)),[1]AB3!$AQ$18),[1]AB3!$AR$6))))</f>
        <v>FUT : PRV : 2DLL</v>
      </c>
      <c r="AU90" s="51">
        <f>IF(AND(D92="Futures",AT90=[1]AB3!$AY$6),[1]AB3!$AY$6,IF(AND(D92="Options Sell",AT90=[1]AB3!$AY$12),[1]AB3!$AY$12,IF(AND(D92="Options Buy",AT90=[1]AB3!$AY$18),[1]AB3!$AY$18,I91)))</f>
        <v>4.0000000000000001E-3</v>
      </c>
      <c r="AV90" s="52">
        <f t="shared" ref="AV90:AV91" si="142">AS90-S90</f>
        <v>2</v>
      </c>
      <c r="AW90" s="43" t="str">
        <f t="array" ref="AW90">IF(A90="","",IF(AND(OR(D94="4 &amp; APS",D94="5 &amp; APS"),D92="Futures"),CONCATENATE([1]AB3!$AP$6,INDEX([1]AB2!L:L,MATCH(D90,[1]AB2!B:B,0)),[1]AB3!$AQ$6),IF(AND(OR(D94="4 &amp; APS",D94="5 &amp; APS"),D92="Options Sell"),CONCATENATE([1]AB3!$AP$12,INDEX([1]AB2!M:M,MATCH(D90,[1]AB2!B:B,0)),[1]AB3!$AQ$12),IF(AND(OR(D94="4 &amp; APS",D94="5 &amp; APS"),D92="Options Buy"),CONCATENATE([1]AB3!$AP$18,INDEX([1]AB2!L:L,MATCH(D90,[1]AB2!B:B,0)),[1]AB3!$AQ$18),[1]AB3!$AR$6))))</f>
        <v>FUT : PRV : 2DLL</v>
      </c>
      <c r="AX90" s="51">
        <f>IF(AND(D92="Futures",AW90=[1]AB3!$BA$6),[1]AB3!$BA$6,IF(AND(D92="Options Sell",AW90=[1]AB3!$BA$12),[1]AB3!$BA$12,IF(AND(D92="Options Buy",AW90=[1]AB3!$BA$18),[1]AB3!$BA$18,I91)))</f>
        <v>4.0000000000000001E-3</v>
      </c>
      <c r="AY90" s="52">
        <f t="shared" ref="AY90:AY91" si="143">AV90-S90</f>
        <v>1</v>
      </c>
      <c r="AZ90" s="51">
        <f t="array" ref="AZ90">IF(A90="","",IF(AND(D94="5 &amp; APS",D92="Futures"),CONCATENATE([1]AB3!$AP$6,INDEX([1]AB2!L:L,MATCH(D90,[1]AB2!B:B,0)),[1]AB3!$AQ$6),IF(AND(D94="5 &amp; APS",D92="Options Sell"),CONCATENATE([1]AB3!$AP$12,INDEX([1]AB2!M:M,MATCH(D90,[1]AB2!B:B,0)),[1]AB3!$AQ$12),IF(AND(D94="5 &amp; APS",D92="Options Buy"),CONCATENATE([1]AB3!$AP$18,INDEX([1]AB2!L:L,MATCH(D90,[1]AB2!B:B,0)),[1]AB3!$AQ$18),[1]AB3!$AR$6))))</f>
        <v>0</v>
      </c>
      <c r="BA90" s="51">
        <f>IF(AND(D92="Futures",AZ90=[1]AB3!$BC$6),[1]AB3!$BC$6,IF(AND(D92="Options Sell",AZ90=[1]AB3!$BC$12),[1]AB3!$BC$12,IF(AND(D92="Options Buy",AZ90=[1]AB3!$BC$18),[1]AB3!$BC$18,I91)))</f>
        <v>0</v>
      </c>
      <c r="BB90" s="52">
        <f t="shared" ref="BB90:BB91" si="144">AY90-W90</f>
        <v>0</v>
      </c>
      <c r="BC90" s="53"/>
      <c r="BD90" s="54" t="str">
        <f>IF(D92="Futures",[1]AB3!$BE$6,IF(D92="Options Sell",[1]AB3!$BE$12,IF(D92="Options Buy",[1]AB3!$BE$18)))</f>
        <v xml:space="preserve">ORPT </v>
      </c>
      <c r="BE90" s="55">
        <f>IF(D92="Futures",BE93+([1]AB3!$BF$6/1440),IF(D92="Options Sell",BE93+([1]AB3!$BF$12/1440),IF(D92="Options Buy",BE93+([1]AB3!$BF$18/1440))))</f>
        <v>0.37846527777777778</v>
      </c>
      <c r="BF90" s="55">
        <f>IF(D92="Futures",BE93+([1]AB3!$BG$6/1440),IF(D92="Options Sell",BE93+([1]AB3!$BG$12/1440),IF(D92="Options Buy",BE93+([1]AB3!$BG$18/1440))))</f>
        <v>0.37846527777777778</v>
      </c>
      <c r="BG90" s="55">
        <f>IF(D92="Futures",BE93+([1]AB3!$BH$6/1440),IF(D92="Options Sell",BE93+([1]AB3!$BH$12/1440),IF(D92="Options Buy",BE93+([1]AB3!$BH$18/1440))))</f>
        <v>0.375</v>
      </c>
      <c r="BH90" s="57"/>
      <c r="BI90" s="44" t="str">
        <f>IF(D92="Futures",[1]AB3!$BJ$6,IF(D92="Options Sell",[1]AB3!$BJ$12,IF(D92="Options Buy",[1]AB3!$BJ$18)))</f>
        <v>Bull / 
Bull CF</v>
      </c>
      <c r="BJ90" s="45" t="str">
        <f>IF(D92="Futures",[1]AB3!$BK$6,IF(D92="Options Sell",[1]AB3!$BK$12,IF(D92="Options Buy",[1]AB3!$BK$18)))</f>
        <v>Long</v>
      </c>
      <c r="BK90" s="46">
        <v>4.0000000000000001E-3</v>
      </c>
      <c r="BL90" s="46">
        <v>4.0000000000000001E-3</v>
      </c>
      <c r="BM90" s="57"/>
      <c r="BN90" s="44" t="str">
        <f>IF(D92="Futures",[1]AB3!$BO$6,IF(D92="Options Sell",[1]AB3!$BO$12,IF(D92="Options Buy",[1]AB3!$BO$18)))</f>
        <v>Bull | 
Bull CF</v>
      </c>
      <c r="BO90" s="45" t="str">
        <f>IF(D92="Futures",[1]AB3!$BP$6,IF(D92="Options Sell",[1]AB3!$BP$12,IF(D92="Options Buy",[1]AB3!$BP$18)))</f>
        <v>Call</v>
      </c>
      <c r="BP90" s="43" t="str">
        <f t="array" ref="BP90">IF(A90="","",IF(D92="Futures","",IF(D92="EQUITY","",IF(D92="Options Sell",CONCATENATE([1]AB3!$BQ$12,INDEX([1]AB2!J:J,MATCH(A90,[1]AB2!A:A,0)),[1]AB3!$BR$12),IF(D92="Options Buy",CONCATENATE([1]AB3!$BQ$18,INDEX([1]AB2!J:J,MATCH(A90,[1]AB2!A:A,0)),[1]AB3!$BR$18))))))</f>
        <v/>
      </c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9"/>
      <c r="CL90" s="43"/>
      <c r="CM90" s="43"/>
      <c r="CN90" s="59"/>
      <c r="CO90" s="43"/>
      <c r="CP90" s="43"/>
      <c r="CQ90" s="59"/>
      <c r="CR90" s="43"/>
      <c r="CS90" s="43"/>
      <c r="CT90" s="59"/>
      <c r="CU90" s="55">
        <f>IF(D92="Futures",BE94-([1]AB3!$CG$6/1440),IF(D92="Options Sell",BE94-([1]AB3!$CG$12/1440),IF(D92="Options Buy",BE94-([1]AB3!$CG$18/1440),IF(D92="EQUITY",""))))</f>
        <v>0.95833333333333326</v>
      </c>
      <c r="CV90" s="59"/>
      <c r="CW90" s="59"/>
    </row>
    <row r="91" spans="1:101" ht="16.5" customHeight="1" x14ac:dyDescent="0.2">
      <c r="A91" s="60"/>
      <c r="B91" s="41" t="str">
        <f>CONCATENATE(D90,IF(D92="Futures",[1]AB3!$B$7,IF(D92="Options Sell",[1]AB3!$B$13,IF(D92="Options Buy",[1]AB3!$B$19))))</f>
        <v>S15B</v>
      </c>
      <c r="C91" s="42" t="str">
        <f>IF(D92="Futures",[1]AB3!$C$7,IF(D92="Options Sell",[1]AB3!$C$13,IF(D92="Options Buy",[1]AB3!$C$19)))</f>
        <v>Unique Code</v>
      </c>
      <c r="D91" s="43" t="str">
        <f t="array" ref="D91">IF(A90="","",INDEX([1]AB2!N:N,MATCH(D90,[1]AB2!B:B,0)))</f>
        <v>CRUDEOIL_FUT_MT_DIFF_1D_2D</v>
      </c>
      <c r="E91" s="32"/>
      <c r="F91" s="61" t="str">
        <f>IF(D92="Futures",[1]AB3!$F$7,IF(D92="Options Sell",[1]AB3!$F$13,IF(D92="Options Buy",[1]AB3!$F$19)))</f>
        <v>Short</v>
      </c>
      <c r="G91" s="43" t="str">
        <f t="array" ref="G91">IF(A90="","",IF(D92="Futures",CONCATENATE([1]AB3!$G$7,INDEX([1]AB2!J:J,MATCH(D90,[1]AB2!B:B,0)),[1]AB3!$H$7),IF(D92="Options Sell",CONCATENATE([1]AB3!$G$13,INDEX([1]AB2!I:I,MATCH(D90,[1]AB2!B:B,0)),[1]AB3!$H$13),IF(D92="Options Buy",CONCATENATE([1]AB3!$G$19,INDEX([1]AB2!J:J,MATCH(D90,[1]AB2!B:B,0)),[1]AB3!$H$19)))))</f>
        <v>FUT : PRV : 2DLL</v>
      </c>
      <c r="H91" s="43" t="str">
        <f>IF(D92="Futures",[1]AB3!$I$7,IF(D92="Options Sell",[1]AB3!$I$13,IF(D92="Options Buy",[1]AB3!$I$19)))</f>
        <v xml:space="preserve"> - </v>
      </c>
      <c r="I91" s="46">
        <v>4.0000000000000001E-3</v>
      </c>
      <c r="J91" s="47">
        <v>5</v>
      </c>
      <c r="K91" s="48"/>
      <c r="L91" s="43" t="str">
        <f>IF(D92="Futures",[1]AB3!$M$7,IF(D92="Options Sell",[1]AB3!$M$13,IF(D92="Options Buy",[1]AB3!$M$19)))</f>
        <v xml:space="preserve">S : Entry </v>
      </c>
      <c r="M91" s="43" t="str">
        <f>IF(D92="Futures",[1]AB3!$N$7,IF(D92="Options Sell",[1]AB3!$N$13,IF(D92="Options Buy",[1]AB3!$N$19)))</f>
        <v xml:space="preserve"> - </v>
      </c>
      <c r="N91" s="46">
        <v>2.5000000000000001E-2</v>
      </c>
      <c r="O91" s="47">
        <v>1</v>
      </c>
      <c r="P91" s="46">
        <v>3.5000000000000003E-2</v>
      </c>
      <c r="Q91" s="47">
        <v>1</v>
      </c>
      <c r="R91" s="46">
        <v>4.4999999999999998E-2</v>
      </c>
      <c r="S91" s="47">
        <v>1</v>
      </c>
      <c r="T91" s="46">
        <v>5.5E-2</v>
      </c>
      <c r="U91" s="47">
        <v>1</v>
      </c>
      <c r="V91" s="50" t="s">
        <v>51</v>
      </c>
      <c r="W91" s="47">
        <v>1</v>
      </c>
      <c r="X91" s="50" t="s">
        <v>52</v>
      </c>
      <c r="Y91" s="50" t="s">
        <v>52</v>
      </c>
      <c r="Z91" s="48"/>
      <c r="AA91" s="43" t="str">
        <f>IF(D92="Futures",[1]AB3!$AD$7,IF(D92="Options Sell",[1]AB3!$AD$13,IF(D92="Options Buy",[1]AB3!$AD$19)))</f>
        <v>Min</v>
      </c>
      <c r="AB91" s="43" t="str">
        <f>IF(D92="Futures",[1]AB3!$AE$7,IF(D92="Options Sell",[1]AB3!$AE$13,IF(D92="Options Buy",[1]AB3!$AE$19)))</f>
        <v>MSL &amp; TSL</v>
      </c>
      <c r="AC91" s="43" t="str">
        <f>IF(D92="Futures",[1]AB3!$AF$7,IF(D92="Options Sell",[1]AB3!$AF$13,IF(D92="Options Buy",[1]AB3!$AF$19)))</f>
        <v>Entry &amp; TRP</v>
      </c>
      <c r="AD91" s="48"/>
      <c r="AE91" s="43" t="str">
        <f>IF(D92="Futures",[1]AB3!$AH$7,IF(D92="Options Sell",[1]AB3!$AH$13,IF(D92="Options Buy",[1]AB3!$AH$19)))</f>
        <v>S : Entry</v>
      </c>
      <c r="AF91" s="43" t="str">
        <f>IF(D92="Futures",[1]AB3!$AI$7,IF(D92="Options Sell",[1]AB3!$AI$13,IF(D92="Options Buy",[1]AB3!$AI$19)))</f>
        <v xml:space="preserve"> + </v>
      </c>
      <c r="AG91" s="46">
        <v>2.5000000000000001E-2</v>
      </c>
      <c r="AH91" s="46">
        <v>0</v>
      </c>
      <c r="AI91" s="48"/>
      <c r="AJ91" s="43" t="str">
        <f>IF(D92="Futures",[1]AB3!$AO$7,IF(D92="Options Sell",[1]AB3!$AO$13,IF(D92="Options Buy",[1]AB3!$AO$19)))</f>
        <v xml:space="preserve"> + </v>
      </c>
      <c r="AK91" s="43" t="str">
        <f t="array" ref="AK91">IF(A90="","",IF(D92="Futures",CONCATENATE([1]AB3!$AP$7,INDEX([1]AB2!M:M,MATCH(D90,[1]AB2!B:B,0)),[1]AB3!$AQ$7),IF(D92="Options Sell",CONCATENATE([1]AB3!$AP$13,INDEX([1]AB2!L:L,MATCH(D90,[1]AB2!B:B,0)),[1]AB3!$AQ$13),IF(D92="Options Buy",CONCATENATE([1]AB3!$AP$19,INDEX([1]AB2!M:M,MATCH(D90,[1]AB2!B:B,0)),[1]AB3!$AQ$19)))))</f>
        <v>FUT : PRV : 1DHH</v>
      </c>
      <c r="AL91" s="51">
        <f>IF(AND(D92="Futures",AK91=[1]AB3!$AS$7),[1]AB3!$AS$7,IF(AND(D92="Options Sell",AK91=[1]AB3!$AS$13),[1]AB3!$AS$13,IF(AND(D92="Options Buy",AK91=[1]AB3!$AS$19),[1]AB3!$AS$19,I90)))</f>
        <v>0</v>
      </c>
      <c r="AM91" s="52">
        <f>J90</f>
        <v>5</v>
      </c>
      <c r="AN91" s="43" t="str">
        <f t="array" ref="AN91">IF(A90="","",IF(AND(OR(D94="1 &amp; APS",D94="2 &amp; APS",D94="3 &amp; APS",D94="4 &amp; APS",D94="5 &amp; APS"),D92="Futures"),CONCATENATE([1]AB3!$AP$7,INDEX([1]AB2!M:M,MATCH(D90,[1]AB2!B:B,0)),[1]AB3!$AQ$7),IF(AND(OR(D94="1 &amp; APS",D94="2 &amp; APS",D94="3 &amp; APS",D94="4 &amp; APS",D94="5 &amp; APS"),D92="Options Sell"),CONCATENATE([1]AB3!$AP$13,INDEX([1]AB2!L:L,MATCH(D90,[1]AB2!B:B,0)),[1]AB3!$AQ$13),IF(AND(OR(D94="1 &amp; APS",D94="2 &amp; APS",D94="3 &amp; APS",D94="4 &amp; APS",D94="5 &amp; APS"),D92="Options Buy"),CONCATENATE([1]AB3!$AP$19,INDEX([1]AB2!M:M,MATCH(D90,[1]AB2!B:B,0)),[1]AB3!$AQ$19),[1]AB3!$AR$6))))</f>
        <v>FUT : PRV : 1DHH</v>
      </c>
      <c r="AO91" s="51">
        <f>IF(AND(D92="Futures",AN91=[1]AB3!$AU$7),[1]AB3!$AU$7,IF(AND(D92="Options Sell",AN91=[1]AB3!$AU$13),[1]AB3!$AU$13,IF(AND(D92="Options Buy",AN91=[1]AB3!$AU$19),[1]AB3!$AU$19,I90)))</f>
        <v>0</v>
      </c>
      <c r="AP91" s="52">
        <f t="shared" si="140"/>
        <v>4</v>
      </c>
      <c r="AQ91" s="43" t="str">
        <f t="array" ref="AQ91">IF(A90="","",IF(AND(OR(D94="2 &amp; APS",D94="3 &amp; APS",D94="4 &amp; APS",D94="5 &amp; APS"),D92="Futures"),CONCATENATE([1]AB3!$AP$7,INDEX([1]AB2!M:M,MATCH(D90,[1]AB2!B:B,0)),[1]AB3!$AQ$7),IF(AND(OR(D94="2 &amp; APS",D94="3 &amp; APS",D94="4 &amp; APS",D94="5 &amp; APS"),D92="Options Sell"),CONCATENATE([1]AB3!$AP$13,INDEX([1]AB2!L:L,MATCH(D90,[1]AB2!B:B,0)),[1]AB3!$AQ$13),IF(AND(OR(D94="2 &amp; APS",D94="3 &amp; APS",D94="4 &amp; APS",D94="5 &amp; APS"),D92="Options Buy"),CONCATENATE([1]AB3!$AP$19,INDEX([1]AB2!M:M,MATCH(D90,[1]AB2!B:B,0)),[1]AB3!$AQ$19),[1]AB3!$AR$6))))</f>
        <v>FUT : PRV : 1DHH</v>
      </c>
      <c r="AR91" s="51">
        <f>IF(AND(D92="Futures",AQ91=[1]AB3!$AW$7),[1]AB3!$AW$7,IF(AND(D92="Options Sell",AQ91=[1]AB3!$AW$13),[1]AB3!$AW$13,IF(AND(D92="Options Buy",AQ91=[1]AB3!$AW$19),[1]AB3!$AW$19,I90)))</f>
        <v>0</v>
      </c>
      <c r="AS91" s="52">
        <f t="shared" si="141"/>
        <v>3</v>
      </c>
      <c r="AT91" s="43" t="str">
        <f t="array" ref="AT91">IF(A90="","",IF(AND(OR(D94="3 &amp; APS",D94="4 &amp; APS",D94="5 &amp; APS"),D92="Futures"),CONCATENATE([1]AB3!$AP$7,INDEX([1]AB2!M:M,MATCH(D90,[1]AB2!B:B,0)),[1]AB3!$AQ$7),IF(AND(OR(D94="3 &amp; APS",D94="4 &amp; APS",D94="5 &amp; APS"),D92="Options Sell"),CONCATENATE([1]AB3!$AP$13,INDEX([1]AB2!L:L,MATCH(D90,[1]AB2!B:B,0)),[1]AB3!$AQ$13),IF(AND(OR(D94="3 &amp; APS",D94="4 &amp; APS",D94="5 &amp; APS"),D92="Options Buy"),CONCATENATE([1]AB3!$AP$19,INDEX([1]AB2!M:M,MATCH(D90,[1]AB2!B:B,0)),[1]AB3!$AQ$19),[1]AB3!$AR$6))))</f>
        <v>FUT : PRV : 1DHH</v>
      </c>
      <c r="AU91" s="51">
        <f>IF(AND(D92="Futures",AT91=[1]AB3!$AY$7),[1]AB3!$AY$7,IF(AND(D92="Options Sell",AT91=[1]AB3!$AY$13),[1]AB3!$AY$13,IF(AND(D92="Options Buy",AT91=[1]AB3!$AY$19),[1]AB3!$AY$19,I90)))</f>
        <v>0</v>
      </c>
      <c r="AV91" s="52">
        <f t="shared" si="142"/>
        <v>2</v>
      </c>
      <c r="AW91" s="43" t="str">
        <f t="array" ref="AW91">IF(A90="","",IF(AND(OR(D94="4 &amp; APS",D94="5 &amp; APS"),D92="Futures"),CONCATENATE([1]AB3!$AP$7,INDEX([1]AB2!M:M,MATCH(D90,[1]AB2!B:B,0)),[1]AB3!$AQ$7),IF(AND(OR(D94="4 &amp; APS",D94="5 &amp; APS"),D92="Options Sell"),CONCATENATE([1]AB3!$AP$13,INDEX([1]AB2!L:L,MATCH(D90,[1]AB2!B:B,0)),[1]AB3!$AQ$13),IF(AND(OR(D94="4 &amp; APS",D94="5 &amp; APS"),D92="Options Buy"),CONCATENATE([1]AB3!$AP$19,INDEX([1]AB2!M:M,MATCH(D90,[1]AB2!B:B,0)),[1]AB3!$AQ$19),[1]AB3!$AR$6))))</f>
        <v>FUT : PRV : 1DHH</v>
      </c>
      <c r="AX91" s="51">
        <f>IF(AND(D92="Futures",AW91=[1]AB3!$BA$7),[1]AB3!$BA$7,IF(AND(D92="Options Sell",AW91=[1]AB3!$BA$13),[1]AB3!$BA$13,IF(AND(D92="Options Buy",AW91=[1]AB3!$BA$19),[1]AB3!$BA$19,I90)))</f>
        <v>0</v>
      </c>
      <c r="AY91" s="52">
        <f t="shared" si="143"/>
        <v>1</v>
      </c>
      <c r="AZ91" s="51">
        <f t="array" ref="AZ91">IF(A90="","",IF(AND(D94="5 &amp; APS",D92="Futures"),CONCATENATE([1]AB3!$AP$7,INDEX([1]AB2!M:M,MATCH(D90,[1]AB2!B:B,0)),[1]AB3!$AQ$7),IF(AND(D94="5 &amp; APS",D92="Options Sell"),CONCATENATE([1]AB3!$AP$13,INDEX([1]AB2!L:L,MATCH(D90,[1]AB2!B:B,0)),[1]AB3!$AQ$13),IF(AND(D94="5 &amp; APS",D92="Options Buy"),CONCATENATE([1]AB3!$AP$19,INDEX([1]AB2!M:M,MATCH(D90,[1]AB2!B:B,0)),[1]AB3!$AQ$19),[1]AB3!$AR$6))))</f>
        <v>0</v>
      </c>
      <c r="BA91" s="51">
        <f>IF(AND(D92="Futures",AZ91=[1]AB3!$BC$7),[1]AB3!$BC$7,IF(AND(D92="Options Sell",AZ91=[1]AB3!$BC$13),[1]AB3!$BC$13,IF(AND(D92="Options Buy",AZ91=[1]AB3!$BC$19),[1]AB3!$BC$19,I90)))</f>
        <v>0</v>
      </c>
      <c r="BB91" s="52">
        <f t="shared" si="144"/>
        <v>0</v>
      </c>
      <c r="BC91" s="53"/>
      <c r="BD91" s="54" t="str">
        <f>IF(D92="Futures",[1]AB3!$BE$7,IF(D92="Options Sell",[1]AB3!$BE$13,IF(D92="Options Buy",[1]AB3!$BE$19)))</f>
        <v xml:space="preserve"> RC. Time</v>
      </c>
      <c r="BE91" s="55">
        <f>IF(D92="Futures",BE93+([1]AB3!$BF$7/1440),IF(D92="Options Sell",BE93+([1]AB3!$BF$13/1440),IF(D92="Options Buy",BE93+([1]AB3!$BF$19/1440))))</f>
        <v>0.38540972222222225</v>
      </c>
      <c r="BF91" s="55">
        <f>IF(D92="Futures",BE93+([1]AB3!$BG$7/1440),IF(D92="Options Sell",BE93+([1]AB3!$BG$13/1440),IF(D92="Options Buy",BE93+([1]AB3!$BG$19/1440))))</f>
        <v>0.38540972222222225</v>
      </c>
      <c r="BG91" s="55" t="str">
        <f>IF(D92="Futures",[1]AB3!$BH$7,IF(D92="Options Sell",[1]AB3!$BH$7,IF(D92="Options Buy",[1]AB3!$BH$7)))</f>
        <v>N.A.</v>
      </c>
      <c r="BH91" s="57"/>
      <c r="BI91" s="32"/>
      <c r="BJ91" s="61" t="str">
        <f>IF(D92="Futures",[1]AB3!$BK$7,IF(D92="Options Sell",[1]AB3!$BK$13,IF(D92="Options Buy",[1]AB3!$BK$19)))</f>
        <v>Short</v>
      </c>
      <c r="BK91" s="46">
        <v>4.0000000000000001E-3</v>
      </c>
      <c r="BL91" s="46">
        <v>4.0000000000000001E-3</v>
      </c>
      <c r="BM91" s="57"/>
      <c r="BN91" s="32"/>
      <c r="BO91" s="61" t="str">
        <f>IF(D92="Futures",[1]AB3!$BP$7,IF(D92="Options Sell",[1]AB3!$BP$13,IF(D92="Options Buy",[1]AB3!$BP$19)))</f>
        <v>Put</v>
      </c>
      <c r="BP91" s="43" t="str">
        <f t="array" ref="BP91">IF(A90="","",IF(D92="Futures","",IF(D92="EQUITY","",IF(D92="Options Sell",CONCATENATE([1]AB3!$BQ$13,INDEX([1]AB2!I:I,MATCH(A90,[1]AB2!A:A,0)),[1]AB3!$BR$13),IF(D92="Options Buy",CONCATENATE([1]AB3!$BQ$19,INDEX([1]AB2!I:I,MATCH(A90,[1]AB2!A:A,0)),[1]AB3!$BR$19))))))</f>
        <v/>
      </c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9"/>
      <c r="CL91" s="43"/>
      <c r="CM91" s="43"/>
      <c r="CN91" s="59"/>
      <c r="CO91" s="43"/>
      <c r="CP91" s="43"/>
      <c r="CQ91" s="59"/>
      <c r="CR91" s="43"/>
      <c r="CS91" s="43"/>
      <c r="CT91" s="59"/>
      <c r="CU91" s="43"/>
      <c r="CV91" s="59"/>
      <c r="CW91" s="59"/>
    </row>
    <row r="92" spans="1:101" ht="16.5" customHeight="1" x14ac:dyDescent="0.2">
      <c r="A92" s="60"/>
      <c r="B92" s="41" t="str">
        <f>CONCATENATE(D90,IF(D92="Futures",[1]AB3!$B$8,IF(D92="Options Sell",[1]AB3!$B$14,IF(D92="Options Buy",[1]AB3!$B$20))))</f>
        <v>S15C</v>
      </c>
      <c r="C92" s="42" t="str">
        <f>IF(D92="Futures",[1]AB3!$C$8,IF(D92="Options Sell",[1]AB3!$C$14,IF(D92="Options Buy",[1]AB3!$C$20)))</f>
        <v>Segment</v>
      </c>
      <c r="D92" s="43" t="str">
        <f t="array" ref="D92">IF(A90="","",INDEX([1]AB2!C:C,MATCH(D90,[1]AB2!B:B,0)))</f>
        <v>FUTURES</v>
      </c>
      <c r="E92" s="42" t="str">
        <f>IF(D92="Futures",[1]AB3!$E$8,IF(D92="Options Sell",[1]AB3!$E$14,IF(D92="Options Buy",[1]AB3!$E$20)))</f>
        <v>Contract</v>
      </c>
      <c r="F92" s="43" t="str">
        <f t="array" ref="F92">IF(A90="","",INDEX([1]AB2!F:F,MATCH(D90,[1]AB2!B:B,0)))</f>
        <v>MONTHLY</v>
      </c>
      <c r="G92" s="62"/>
      <c r="H92" s="62"/>
      <c r="I92" s="63"/>
      <c r="J92" s="64"/>
      <c r="K92" s="48"/>
      <c r="L92" s="62"/>
      <c r="M92" s="62"/>
      <c r="N92" s="63"/>
      <c r="O92" s="64"/>
      <c r="P92" s="63"/>
      <c r="Q92" s="64"/>
      <c r="R92" s="63"/>
      <c r="S92" s="64"/>
      <c r="T92" s="63"/>
      <c r="U92" s="64"/>
      <c r="V92" s="63"/>
      <c r="W92" s="64"/>
      <c r="X92" s="63"/>
      <c r="Y92" s="63"/>
      <c r="Z92" s="48"/>
      <c r="AA92" s="62"/>
      <c r="AB92" s="62"/>
      <c r="AC92" s="62"/>
      <c r="AD92" s="48"/>
      <c r="AE92" s="62"/>
      <c r="AF92" s="62"/>
      <c r="AG92" s="63"/>
      <c r="AH92" s="63"/>
      <c r="AI92" s="48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53"/>
      <c r="BD92" s="57"/>
      <c r="BE92" s="57"/>
      <c r="BF92" s="57"/>
      <c r="BG92" s="57"/>
      <c r="BH92" s="57"/>
      <c r="BI92" s="66"/>
      <c r="BJ92" s="62"/>
      <c r="BK92" s="63"/>
      <c r="BL92" s="63"/>
      <c r="BM92" s="57"/>
      <c r="BN92" s="66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59"/>
      <c r="CL92" s="62"/>
      <c r="CM92" s="62"/>
      <c r="CN92" s="59"/>
      <c r="CO92" s="62"/>
      <c r="CP92" s="62"/>
      <c r="CQ92" s="59"/>
      <c r="CR92" s="62"/>
      <c r="CS92" s="62"/>
      <c r="CT92" s="59"/>
      <c r="CU92" s="62"/>
      <c r="CV92" s="59"/>
      <c r="CW92" s="59"/>
    </row>
    <row r="93" spans="1:101" ht="16.5" customHeight="1" x14ac:dyDescent="0.2">
      <c r="A93" s="60"/>
      <c r="B93" s="41" t="str">
        <f>CONCATENATE(D90,IF(D92="Futures",[1]AB3!$B$9,IF(D92="Options Sell",[1]AB3!$B$15,IF(D92="Options Buy",[1]AB3!$B$21))))</f>
        <v>S15D</v>
      </c>
      <c r="C93" s="42" t="str">
        <f>IF(D92="Futures",[1]AB3!$C$9,IF(D92="Options Sell",[1]AB3!$C$15,IF(D92="Options Buy",[1]AB3!$C$21)))</f>
        <v>Symbol</v>
      </c>
      <c r="D93" s="43" t="str">
        <f t="array" ref="D93">IF(A90="","",INDEX([1]AB2!E:E,MATCH(D90,[1]AB2!B:B,0)))</f>
        <v>CRUDEOIL</v>
      </c>
      <c r="E93" s="44" t="str">
        <f>IF(D92="Futures",[1]AB3!$E$9,IF(D92="Options Sell",[1]AB3!$E$15,IF(D92="Options Buy",[1]AB3!$E$21)))</f>
        <v>Bear / 
Bear CF</v>
      </c>
      <c r="F93" s="45" t="str">
        <f>IF(D92="Futures",[1]AB3!$F$9,IF(D92="Options Sell",[1]AB3!$F$15,IF(D92="Options Buy",[1]AB3!$F$21)))</f>
        <v>Long</v>
      </c>
      <c r="G93" s="43" t="str">
        <f t="array" ref="G93">IF(A90="","",IF(D92="Futures",CONCATENATE([1]AB3!$G$9,INDEX([1]AB2!J:J,MATCH(D90,[1]AB2!B:B,0)),[1]AB3!$H$9),IF(D92="Options Sell",CONCATENATE([1]AB3!$G$15,INDEX([1]AB2!I:I,MATCH(D90,[1]AB2!B:B,0)),[1]AB3!$H$15),IF(D92="Options Buy",CONCATENATE([1]AB3!$G$21,INDEX([1]AB2!J:J,MATCH(D90,[1]AB2!B:B,0)),[1]AB3!$H$21)))))</f>
        <v>FUT : PRV : 2DHH</v>
      </c>
      <c r="H93" s="43" t="str">
        <f>IF(D92="Futures",[1]AB3!$I$9,IF(D92="Options Sell",[1]AB3!$I$15,IF(D92="Options Buy",[1]AB3!$I$21)))</f>
        <v xml:space="preserve"> + </v>
      </c>
      <c r="I93" s="46">
        <v>4.0000000000000001E-3</v>
      </c>
      <c r="J93" s="47">
        <v>5</v>
      </c>
      <c r="K93" s="48"/>
      <c r="L93" s="43" t="str">
        <f>IF(D92="Futures",[1]AB3!$M$9,IF(D92="Options Sell",[1]AB3!$M$15,IF(D92="Options Buy",[1]AB3!$M$21)))</f>
        <v xml:space="preserve">L : Entry </v>
      </c>
      <c r="M93" s="43" t="str">
        <f>IF(D92="Futures",[1]AB3!$N$9,IF(D92="Options Sell",[1]AB3!$N$15,IF(D92="Options Buy",[1]AB3!$N$21)))</f>
        <v xml:space="preserve"> + </v>
      </c>
      <c r="N93" s="46">
        <v>2.5000000000000001E-2</v>
      </c>
      <c r="O93" s="47">
        <v>1</v>
      </c>
      <c r="P93" s="46">
        <v>3.5000000000000003E-2</v>
      </c>
      <c r="Q93" s="47">
        <v>1</v>
      </c>
      <c r="R93" s="46">
        <v>4.4999999999999998E-2</v>
      </c>
      <c r="S93" s="47">
        <v>1</v>
      </c>
      <c r="T93" s="46">
        <v>5.5E-2</v>
      </c>
      <c r="U93" s="47">
        <v>1</v>
      </c>
      <c r="V93" s="50" t="s">
        <v>51</v>
      </c>
      <c r="W93" s="47">
        <v>1</v>
      </c>
      <c r="X93" s="50" t="s">
        <v>52</v>
      </c>
      <c r="Y93" s="50" t="s">
        <v>52</v>
      </c>
      <c r="Z93" s="48"/>
      <c r="AA93" s="43" t="str">
        <f>IF(D92="Futures",[1]AB3!$AD$9,IF(D92="Options Sell",[1]AB3!$AD$15,IF(D92="Options Buy",[1]AB3!$AD$21)))</f>
        <v>Max</v>
      </c>
      <c r="AB93" s="43" t="str">
        <f>IF(D92="Futures",[1]AB3!$AE$9,IF(D92="Options Sell",[1]AB3!$AE$15,IF(D92="Options Buy",[1]AB3!$AE$21)))</f>
        <v>MSL &amp; TSL</v>
      </c>
      <c r="AC93" s="43" t="str">
        <f>IF(D92="Futures",[1]AB3!$AF$9,IF(D92="Options Sell",[1]AB3!$AF$15,IF(D92="Options Buy",[1]AB3!$AF$21)))</f>
        <v>Entry &amp; TRP</v>
      </c>
      <c r="AD93" s="48"/>
      <c r="AE93" s="43" t="str">
        <f>IF(D92="Futures",[1]AB3!$AH$9,IF(D92="Options Sell",[1]AB3!$AH$15,IF(D92="Options Buy",[1]AB3!$AH$21)))</f>
        <v>L : Entry</v>
      </c>
      <c r="AF93" s="43" t="str">
        <f>IF(D92="Futures",[1]AB3!$AI$9,IF(D92="Options Sell",[1]AB3!$AI$15,IF(D92="Options Buy",[1]AB3!$AI$21)))</f>
        <v xml:space="preserve"> - </v>
      </c>
      <c r="AG93" s="46">
        <v>2.5000000000000001E-2</v>
      </c>
      <c r="AH93" s="46">
        <v>0</v>
      </c>
      <c r="AI93" s="48"/>
      <c r="AJ93" s="43" t="str">
        <f>IF(D92="Futures",[1]AB3!$AO$9,IF(D92="Options Sell",[1]AB3!$AO$15,IF(D92="Options Buy",[1]AB3!$AO$21)))</f>
        <v xml:space="preserve"> - </v>
      </c>
      <c r="AK93" s="43" t="str">
        <f t="array" ref="AK93">IF(A90="","",IF(D92="Futures",CONCATENATE([1]AB3!$AP$9,INDEX([1]AB2!M:M,MATCH(D90,[1]AB2!B:B,0)),[1]AB3!$AQ$9),IF(D92="Options Sell",CONCATENATE([1]AB3!$AP$15,INDEX([1]AB2!L:L,MATCH(D90,[1]AB2!B:B,0)),[1]AB3!$AQ$15),IF(D92="Options Buy",CONCATENATE([1]AB3!$AP$21,INDEX([1]AB2!M:M,MATCH(D90,[1]AB2!B:B,0)),[1]AB3!$AQ$21)))))</f>
        <v>FUT : PRV : 1DLL</v>
      </c>
      <c r="AL93" s="51">
        <f>IF(AND(D92="Futures",AK93=[1]AB3!$AS$9),[1]AB3!$AS$9,IF(AND(D92="Options Sell",AK93=[1]AB3!$AS$15),[1]AB3!$AS$15,IF(AND(D92="Options Buy",AK93=[1]AB3!$AS$21),[1]AB3!$AS$21,I94)))</f>
        <v>0</v>
      </c>
      <c r="AM93" s="52">
        <f>J94</f>
        <v>5</v>
      </c>
      <c r="AN93" s="43" t="str">
        <f t="array" ref="AN93">IF(A90="","",IF(AND(OR(D94="1 &amp; APS",D94="2 &amp; APS",D94="3 &amp; APS",D94="4 &amp; APS",D94="5 &amp; APS"),D92="Futures"),CONCATENATE([1]AB3!$AP$9,INDEX([1]AB2!M:M,MATCH(D90,[1]AB2!B:B,0)),[1]AB3!$AQ$9),IF(AND(OR(D94="1 &amp; APS",D94="2 &amp; APS",D94="3 &amp; APS",D94="4 &amp; APS",D94="5 &amp; APS"),D92="Options Sell"),CONCATENATE([1]AB3!$AP$15,INDEX([1]AB2!L:L,MATCH(D90,[1]AB2!B:B,0)),[1]AB3!$AQ$15),IF(AND(OR(D94="1 &amp; APS",D94="2 &amp; APS",D94="3 &amp; APS",D94="4 &amp; APS",D94="5 &amp; APS"),D92="Options Buy"),CONCATENATE([1]AB3!$AP$21,INDEX([1]AB2!M:M,MATCH(D90,[1]AB2!B:B,0)),[1]AB3!$AQ$21),[1]AB3!$AR$6))))</f>
        <v>FUT : PRV : 1DLL</v>
      </c>
      <c r="AO93" s="51">
        <f>IF(AND(D92="Futures",AN93=[1]AB3!$AU$9),[1]AB3!$AU$9,IF(AND(D92="Options Sell",AN93=[1]AB3!$AU$15),[1]AB3!$AU$15,IF(AND(D92="Options Buy",AN93=[1]AB3!$AU$21),[1]AB3!$AU$21,I94)))</f>
        <v>0</v>
      </c>
      <c r="AP93" s="52">
        <f t="shared" ref="AP93:AP94" si="145">AM93-O93</f>
        <v>4</v>
      </c>
      <c r="AQ93" s="43" t="str">
        <f t="array" ref="AQ93">IF(A90="","",IF(AND(OR(D94="2 &amp; APS",D94="3 &amp; APS",D94="4 &amp; APS",D94="5 &amp; APS"),D92="Futures"),CONCATENATE([1]AB3!$AP$9,INDEX([1]AB2!M:M,MATCH(D90,[1]AB2!B:B,0)),[1]AB3!$AQ$9),IF(AND(OR(D94="2 &amp; APS",D94="3 &amp; APS",D94="4 &amp; APS",D94="5 &amp; APS"),D92="Options Sell"),CONCATENATE([1]AB3!$AP$15,INDEX([1]AB2!L:L,MATCH(D90,[1]AB2!B:B,0)),[1]AB3!$AQ$15),IF(AND(OR(D94="2 &amp; APS",D94="3 &amp; APS",D94="4 &amp; APS",D94="5 &amp; APS"),D92="Options Buy"),CONCATENATE([1]AB3!$AP$21,INDEX([1]AB2!M:M,MATCH(D90,[1]AB2!B:B,0)),[1]AB3!$AQ$21),[1]AB3!$AR$6))))</f>
        <v>FUT : PRV : 1DLL</v>
      </c>
      <c r="AR93" s="51">
        <f>IF(AND(D92="Futures",AQ93=[1]AB3!$AW$9),[1]AB3!$AW$9,IF(AND(D92="Options Sell",AQ93=[1]AB3!$AW$15),[1]AB3!$AW$15,IF(AND(D92="Options Buy",AQ93=[1]AB3!$AW$21),[1]AB3!$AW$21,I94)))</f>
        <v>0</v>
      </c>
      <c r="AS93" s="52">
        <f t="shared" ref="AS93:AS94" si="146">AP93-Q93</f>
        <v>3</v>
      </c>
      <c r="AT93" s="43" t="str">
        <f t="array" ref="AT93">IF(A90="","",IF(AND(OR(D94="3 &amp; APS",D94="4 &amp; APS",D94="5 &amp; APS"),D92="Futures"),CONCATENATE([1]AB3!$AP$9,INDEX([1]AB2!M:M,MATCH(D90,[1]AB2!B:B,0)),[1]AB3!$AQ$9),IF(AND(OR(D94="3 &amp; APS",D94="4 &amp; APS",D94="5 &amp; APS"),D92="Options Sell"),CONCATENATE([1]AB3!$AP$15,INDEX([1]AB2!L:L,MATCH(D90,[1]AB2!B:B,0)),[1]AB3!$AQ$15),IF(AND(OR(D94="3 &amp; APS",D94="4 &amp; APS",D94="5 &amp; APS"),D92="Options Buy"),CONCATENATE([1]AB3!$AP$21,INDEX([1]AB2!M:M,MATCH(D90,[1]AB2!B:B,0)),[1]AB3!$AQ$21),[1]AB3!$AR$6))))</f>
        <v>FUT : PRV : 1DLL</v>
      </c>
      <c r="AU93" s="51">
        <f>IF(AND(D92="Futures",AT93=[1]AB3!$AY$9),[1]AB3!$AY$9,IF(AND(D92="Options Sell",AT93=[1]AB3!$AY$15),[1]AB3!$AY$15,IF(AND(D92="Options Buy",AT93=[1]AB3!$AY$21),[1]AB3!$AY$21,I94)))</f>
        <v>0</v>
      </c>
      <c r="AV93" s="52">
        <f t="shared" ref="AV93:AV94" si="147">AS93-S93</f>
        <v>2</v>
      </c>
      <c r="AW93" s="43" t="str">
        <f t="array" ref="AW93">IF(A90="","",IF(AND(OR(D94="4 &amp; APS",D94="5 &amp; APS"),D92="Futures"),CONCATENATE([1]AB3!$AP$9,INDEX([1]AB2!M:M,MATCH(D90,[1]AB2!B:B,0)),[1]AB3!$AQ$9),IF(AND(OR(D94="4 &amp; APS",D94="5 &amp; APS"),D92="Options Sell"),CONCATENATE([1]AB3!$AP$15,INDEX([1]AB2!L:L,MATCH(D90,[1]AB2!B:B,0)),[1]AB3!$AQ$15),IF(AND(OR(D94="4 &amp; APS",D94="5 &amp; APS"),D92="Options Buy"),CONCATENATE([1]AB3!$AP$21,INDEX([1]AB2!M:M,MATCH(D90,[1]AB2!B:B,0)),[1]AB3!$AQ$21),[1]AB3!$AR$6))))</f>
        <v>FUT : PRV : 1DLL</v>
      </c>
      <c r="AX93" s="51">
        <f>IF(AND(D92="Futures",AW93=[1]AB3!$BA$9),[1]AB3!$BA$9,IF(AND(D92="Options Sell",AW93=[1]AB3!$BA$15),[1]AB3!$BA$15,IF(AND(D92="Options Buy",AW93=[1]AB3!$BA$21),[1]AB3!$BA$21,I94)))</f>
        <v>0</v>
      </c>
      <c r="AY93" s="52">
        <f t="shared" ref="AY93:AY94" si="148">AV93-S93</f>
        <v>1</v>
      </c>
      <c r="AZ93" s="51">
        <f t="array" ref="AZ93">IF(A90="","",IF(AND(D94="5 &amp; APS",D92="Futures"),CONCATENATE([1]AB3!$AP$9,INDEX([1]AB2!M:M,MATCH(D90,[1]AB2!B:B,0)),[1]AB3!$AQ$9),IF(AND(D94="5 &amp; APS",D92="Options Sell"),CONCATENATE([1]AB3!$AP$15,INDEX([1]AB2!L:L,MATCH(D90,[1]AB2!B:B,0)),[1]AB3!$AQ$15),IF(AND(D94="5 &amp; APS",D92="Options Buy"),CONCATENATE([1]AB3!$AP$21,INDEX([1]AB2!M:M,MATCH(D90,[1]AB2!B:B,0)),[1]AB3!$AQ$21),[1]AB3!$AR$6))))</f>
        <v>0</v>
      </c>
      <c r="BA93" s="51">
        <f>IF(AND(D92="Futures",AZ93=[1]AB3!$BC$9),[1]AB3!$BC$9,IF(AND(D92="Options Sell",AZ93=[1]AB3!$BC$15),[1]AB3!$BC$15,IF(AND(D92="Options Buy",AZ93=[1]AB3!$BC$21),[1]AB3!$BC$21,I94)))</f>
        <v>0</v>
      </c>
      <c r="BB93" s="52">
        <f t="shared" ref="BB93:BB94" si="149">AY93-W93</f>
        <v>0</v>
      </c>
      <c r="BC93" s="53"/>
      <c r="BD93" s="54" t="str">
        <f>IF(D92="Futures",[1]AB3!$BE$9,IF(D92="Options Sell",[1]AB3!$BE$15,IF(D92="Options Buy",[1]AB3!$BE$21)))</f>
        <v>Market Start Time</v>
      </c>
      <c r="BE93" s="67">
        <f t="array" ref="BE93">IF(D90="","",INDEX([1]AB2!AG:AG,MATCH(D90,[1]AB2!B:B,0)))</f>
        <v>0.375</v>
      </c>
      <c r="BF93" s="11"/>
      <c r="BG93" s="12"/>
      <c r="BH93" s="57"/>
      <c r="BI93" s="68" t="str">
        <f>IF(D92="Futures",[1]AB3!$BJ$9,IF(D92="Options Sell",[1]AB3!$BJ$15,IF(D92="Options Buy",[1]AB3!$BJ$21)))</f>
        <v>Bear / 
Bear CF</v>
      </c>
      <c r="BJ93" s="45" t="str">
        <f>IF(D92="Futures",[1]AB3!$BK$9,IF(D92="Options Sell",[1]AB3!$BK$15,IF(D92="Options Buy",[1]AB3!$BK$21)))</f>
        <v>Long</v>
      </c>
      <c r="BK93" s="46">
        <v>4.0000000000000001E-3</v>
      </c>
      <c r="BL93" s="46">
        <v>4.0000000000000001E-3</v>
      </c>
      <c r="BM93" s="57"/>
      <c r="BN93" s="68" t="str">
        <f>IF(D92="Futures",[1]AB3!$BO$9,IF(D92="Options Sell",[1]AB3!$BO$15,IF(D92="Options Buy",[1]AB3!$BO$21)))</f>
        <v>Bear | 
Bear CF</v>
      </c>
      <c r="BO93" s="45" t="str">
        <f>IF(D92="Futures",[1]AB3!$BP$9,IF(D92="Options Sell",[1]AB3!$BP$15,IF(D92="Options Buy",[1]AB3!$BP$21)))</f>
        <v>Call</v>
      </c>
      <c r="BP93" s="43" t="str">
        <f t="array" ref="BP93">IF(A90="","",IF(D92="Futures","",IF(D92="EQUITY","",IF(D92="Options Sell",CONCATENATE([1]AB3!$BQ$15,INDEX([1]AB2!I:I,MATCH(A90,[1]AB2!A:A,0)),[1]AB3!$BR$15),IF(D92="Options Buy",CONCATENATE([1]AB3!$BQ$21,INDEX([1]AB2!I:I,MATCH(A90,[1]AB2!A:A,0)),[1]AB3!$BR$21))))))</f>
        <v/>
      </c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9"/>
      <c r="CL93" s="43"/>
      <c r="CM93" s="43"/>
      <c r="CN93" s="59"/>
      <c r="CO93" s="43"/>
      <c r="CP93" s="43"/>
      <c r="CQ93" s="59"/>
      <c r="CR93" s="43"/>
      <c r="CS93" s="43"/>
      <c r="CT93" s="59"/>
      <c r="CU93" s="43"/>
      <c r="CV93" s="59"/>
      <c r="CW93" s="59"/>
    </row>
    <row r="94" spans="1:101" ht="16.5" customHeight="1" x14ac:dyDescent="0.2">
      <c r="A94" s="32"/>
      <c r="B94" s="41" t="str">
        <f>CONCATENATE(D90,IF(D92="Futures",[1]AB3!$B$10,IF(D92="Options Sell",[1]AB3!$B$16,IF(D92="Options Buy",[1]AB3!$B$22))))</f>
        <v>S15E</v>
      </c>
      <c r="C94" s="42" t="str">
        <f>IF(D92="Futures",[1]AB3!$C$10,IF(D92="Options Sell",[1]AB3!$C$16,IF(D92="Options Buy",[1]AB3!$C$22)))</f>
        <v>No. of Targets</v>
      </c>
      <c r="D94" s="43" t="str">
        <f t="array" ref="D94">IF(A90="","",INDEX([1]AB2!K:K,MATCH(D90,[1]AB2!B:B,0)))</f>
        <v>4 &amp; APS</v>
      </c>
      <c r="E94" s="32"/>
      <c r="F94" s="61" t="str">
        <f>IF(D92="Futures",[1]AB3!$F$10,IF(D92="Options Sell",[1]AB3!$F$16,IF(D92="Options Buy",[1]AB3!$F$22)))</f>
        <v>Short</v>
      </c>
      <c r="G94" s="43" t="str">
        <f t="array" ref="G94">(IF(A90="","",IF(D92="Futures",CONCATENATE([1]AB3!$G$10,INDEX([1]AB2!I:I,MATCH(D90,[1]AB2!B:B,0)),[1]AB3!$H$10),IF(D92="Options Sell",CONCATENATE([1]AB3!$G$16,INDEX([1]AB2!J:J,MATCH(D90,[1]AB2!B:B,0)),[1]AB3!$H$16),IF(D92="Options Buy",CONCATENATE([1]AB3!$G$22,INDEX([1]AB2!I:I,MATCH(D90,[1]AB2!B:B,0)),[1]AB3!$H$22))))))</f>
        <v>FUT : PRV : 1DLL</v>
      </c>
      <c r="H94" s="43" t="str">
        <f>IF(D92="Futures",[1]AB3!$I$10,IF(D92="Options Sell",[1]AB3!$I$16,IF(D92="Options Buy",[1]AB3!$I$22)))</f>
        <v xml:space="preserve"> - </v>
      </c>
      <c r="I94" s="46">
        <v>0</v>
      </c>
      <c r="J94" s="47">
        <v>5</v>
      </c>
      <c r="K94" s="48"/>
      <c r="L94" s="43" t="str">
        <f>IF(D92="Futures",[1]AB3!$M$10,IF(D92="Options Sell",[1]AB3!$M$16,IF(D92="Options Buy",[1]AB3!$M$22)))</f>
        <v xml:space="preserve">S : Entry </v>
      </c>
      <c r="M94" s="43" t="str">
        <f>IF(D92="Futures",[1]AB3!$N$10,IF(D92="Options Sell",[1]AB3!$N$16,IF(D92="Options Buy",[1]AB3!$N$22)))</f>
        <v xml:space="preserve"> - </v>
      </c>
      <c r="N94" s="46">
        <v>2.5000000000000001E-2</v>
      </c>
      <c r="O94" s="47">
        <v>1</v>
      </c>
      <c r="P94" s="46">
        <v>3.5000000000000003E-2</v>
      </c>
      <c r="Q94" s="47">
        <v>1</v>
      </c>
      <c r="R94" s="46">
        <v>4.4999999999999998E-2</v>
      </c>
      <c r="S94" s="47">
        <v>1</v>
      </c>
      <c r="T94" s="46">
        <v>5.5E-2</v>
      </c>
      <c r="U94" s="47">
        <v>1</v>
      </c>
      <c r="V94" s="50" t="s">
        <v>51</v>
      </c>
      <c r="W94" s="47">
        <v>1</v>
      </c>
      <c r="X94" s="50" t="s">
        <v>52</v>
      </c>
      <c r="Y94" s="50" t="s">
        <v>52</v>
      </c>
      <c r="Z94" s="48"/>
      <c r="AA94" s="43" t="str">
        <f>IF(D92="Futures",[1]AB3!$AD$10,IF(D92="Options Sell",[1]AB3!$AD$16,IF(D92="Options Buy",[1]AB3!$AD$22)))</f>
        <v>Min</v>
      </c>
      <c r="AB94" s="43" t="str">
        <f>IF(D92="Futures",[1]AB3!$AE$10,IF(D92="Options Sell",[1]AB3!$AE$16,IF(D92="Options Buy",[1]AB3!$AE$22)))</f>
        <v>MSL &amp; TSL</v>
      </c>
      <c r="AC94" s="43" t="str">
        <f>IF(D92="Futures",[1]AB3!$AF$10,IF(D92="Options Sell",[1]AB3!$AF$16,IF(D92="Options Buy",[1]AB3!$AF$22)))</f>
        <v>Entry &amp; TRP</v>
      </c>
      <c r="AD94" s="48"/>
      <c r="AE94" s="43" t="str">
        <f>IF(D92="Futures",[1]AB3!$AH$10,IF(D92="Options Sell",[1]AB3!$AH$16,IF(D92="Options Buy",[1]AB3!$AH$22)))</f>
        <v>S : Entry</v>
      </c>
      <c r="AF94" s="43" t="str">
        <f>IF(D92="Futures",[1]AB3!$AI$10,IF(D92="Options Sell",[1]AB3!$AI$16,IF(D92="Options Buy",[1]AB3!$AI$22)))</f>
        <v xml:space="preserve"> + </v>
      </c>
      <c r="AG94" s="46">
        <v>2.5000000000000001E-2</v>
      </c>
      <c r="AH94" s="46">
        <v>0</v>
      </c>
      <c r="AI94" s="48"/>
      <c r="AJ94" s="43" t="str">
        <f>IF(D92="Futures",[1]AB3!$AO$10,IF(D92="Options Sell",[1]AB3!$AO$16,IF(D92="Options Buy",[1]AB3!$AO$22)))</f>
        <v xml:space="preserve"> + </v>
      </c>
      <c r="AK94" s="43" t="str">
        <f t="array" ref="AK94">IF(A90="","",IF(D92="Futures",CONCATENATE([1]AB3!$AP$10,INDEX([1]AB2!L:L,MATCH(D90,[1]AB2!B:B,0)),[1]AB3!$AQ$10),IF(D92="Options Sell",CONCATENATE([1]AB3!$AP$16,INDEX([1]AB2!M:M,MATCH(D90,[1]AB2!B:B,0)),[1]AB3!$AQ$16),IF(D92="Options Buy",CONCATENATE([1]AB3!$AP$22,INDEX([1]AB2!L:L,MATCH(D90,[1]AB2!B:B,0)),[1]AB3!$AQ$22)))))</f>
        <v>FUT : PRV : 2DHH</v>
      </c>
      <c r="AL94" s="51">
        <f>IF(AND(D92="Futures",AK94=[1]AB3!$AS$10),[1]AB3!$AS$10,IF(AND(D92="Options Sell",AK94=[1]AB3!$AS$16),[1]AB3!$AS$16,IF(AND(D92="Options Buy",AK94=[1]AB3!$AS$22),[1]AB3!$AS$22,I93)))</f>
        <v>4.0000000000000001E-3</v>
      </c>
      <c r="AM94" s="52">
        <f>J93</f>
        <v>5</v>
      </c>
      <c r="AN94" s="43" t="str">
        <f t="array" ref="AN94">IF(A90="","",IF(AND(OR(D94="1 &amp; APS",D94="2 &amp; APS",D94="3 &amp; APS",D94="4 &amp; APS",D94="5 &amp; APS"),D92="Futures"),CONCATENATE([1]AB3!$AP$10,INDEX([1]AB2!L:L,MATCH(D90,[1]AB2!B:B,0)),[1]AB3!$AQ$10),IF(AND(OR(D94="1 &amp; APS",D94="2 &amp; APS",D94="3 &amp; APS",D94="4 &amp; APS",D94="5 &amp; APS"),D92="Options Sell"),CONCATENATE([1]AB3!$AP$16,INDEX([1]AB2!M:M,MATCH(D90,[1]AB2!B:B,0)),[1]AB3!$AQ$16),IF(AND(OR(D94="1 &amp; APS",D94="2 &amp; APS",D94="3 &amp; APS",D94="4 &amp; APS",D94="5 &amp; APS"),D92="Options Buy"),CONCATENATE([1]AB3!$AP$22,INDEX([1]AB2!L:L,MATCH(D90,[1]AB2!B:B,0)),[1]AB3!$AQ$22),[1]AB3!$AR$6))))</f>
        <v>FUT : PRV : 2DHH</v>
      </c>
      <c r="AO94" s="51">
        <f>IF(AND(D92="Futures",AN94=[1]AB3!$AU$10),[1]AB3!$AU$10,IF(AND(D92="Options Sell",AN94=[1]AB3!$AU$16),[1]AB3!$AU$16,IF(AND(D92="Options Buy",AN94=[1]AB3!$AU$22),[1]AB3!$AU$22,I93)))</f>
        <v>4.0000000000000001E-3</v>
      </c>
      <c r="AP94" s="52">
        <f t="shared" si="145"/>
        <v>4</v>
      </c>
      <c r="AQ94" s="43" t="str">
        <f t="array" ref="AQ94">IF(A90="","",IF(AND(OR(D94="2 &amp; APS",D94="3 &amp; APS",D94="4 &amp; APS",D94="5 &amp; APS"),D92="Futures"),CONCATENATE([1]AB3!$AP$10,INDEX([1]AB2!L:L,MATCH(D90,[1]AB2!B:B,0)),[1]AB3!$AQ$10),IF(AND(OR(D94="2 &amp; APS",D94="3 &amp; APS",D94="4 &amp; APS",D94="5 &amp; APS"),D92="Options Sell"),CONCATENATE([1]AB3!$AP$16,INDEX([1]AB2!M:M,MATCH(D90,[1]AB2!B:B,0)),[1]AB3!$AQ$16),IF(AND(OR(D94="2 &amp; APS",D94="3 &amp; APS",D94="4 &amp; APS",D94="5 &amp; APS"),D92="Options Buy"),CONCATENATE([1]AB3!$AP$22,INDEX([1]AB2!L:L,MATCH(D90,[1]AB2!B:B,0)),[1]AB3!$AQ$22),[1]AB3!$AR$6))))</f>
        <v>FUT : PRV : 2DHH</v>
      </c>
      <c r="AR94" s="51">
        <f>IF(AND(D92="Futures",AQ94=[1]AB3!$AW$10),[1]AB3!$AW$10,IF(AND(D92="Options Sell",AQ94=[1]AB3!$AW$16),[1]AB3!$AW$16,IF(AND(D92="Options Buy",AQ94=[1]AB3!$AW$22),[1]AB3!$AW$22,I93)))</f>
        <v>4.0000000000000001E-3</v>
      </c>
      <c r="AS94" s="52">
        <f t="shared" si="146"/>
        <v>3</v>
      </c>
      <c r="AT94" s="43" t="str">
        <f t="array" ref="AT94">IF(A90="","",IF(AND(OR(D94="3 &amp; APS",D94="4 &amp; APS",D94="5 &amp; APS"),D92="Futures"),CONCATENATE([1]AB3!$AP$10,INDEX([1]AB2!L:L,MATCH(D90,[1]AB2!B:B,0)),[1]AB3!$AQ$10),IF(AND(OR(D94="3 &amp; APS",D94="4 &amp; APS",D94="5 &amp; APS"),D92="Options Sell"),CONCATENATE([1]AB3!$AP$16,INDEX([1]AB2!M:M,MATCH(D90,[1]AB2!B:B,0)),[1]AB3!$AQ$16),IF(AND(OR(D94="3 &amp; APS",D94="4 &amp; APS",D94="5 &amp; APS"),D92="Options Buy"),CONCATENATE([1]AB3!$AP$22,INDEX([1]AB2!L:L,MATCH(D90,[1]AB2!B:B,0)),[1]AB3!$AQ$22),[1]AB3!$AR$6))))</f>
        <v>FUT : PRV : 2DHH</v>
      </c>
      <c r="AU94" s="51">
        <f>IF(AND(D92="Futures",AT94=[1]AB3!$AY$10),[1]AB3!$AY$10,IF(AND(D92="Options Sell",AT94=[1]AB3!$AY$16),[1]AB3!$AY$16,IF(AND(D92="Options Buy",AT94=[1]AB3!$AY$22),[1]AB3!$AY$22,I93)))</f>
        <v>4.0000000000000001E-3</v>
      </c>
      <c r="AV94" s="52">
        <f t="shared" si="147"/>
        <v>2</v>
      </c>
      <c r="AW94" s="43" t="str">
        <f t="array" ref="AW94">IF(A90="","",IF(AND(OR(D94="4 &amp; APS",D94="5 &amp; APS"),D92="Futures"),CONCATENATE([1]AB3!$AP$10,INDEX([1]AB2!L:L,MATCH(D90,[1]AB2!B:B,0)),[1]AB3!$AQ$10),IF(AND(OR(D94="4 &amp; APS",D94="5 &amp; APS"),D92="Options Sell"),CONCATENATE([1]AB3!$AP$16,INDEX([1]AB2!M:M,MATCH(D90,[1]AB2!B:B,0)),[1]AB3!$AQ$16),IF(AND(OR(D94="4 &amp; APS",D94="5 &amp; APS"),D92="Options Buy"),CONCATENATE([1]AB3!$AP$22,INDEX([1]AB2!L:L,MATCH(D90,[1]AB2!B:B,0)),[1]AB3!$AQ$22),[1]AB3!$AR$6))))</f>
        <v>FUT : PRV : 2DHH</v>
      </c>
      <c r="AX94" s="51">
        <f>IF(AND(D92="Futures",AW94=[1]AB3!$BA$10),[1]AB3!$BA$10,IF(AND(D92="Options Sell",AW94=[1]AB3!$BA$16),[1]AB3!$BA$16,IF(AND(D92="Options Buy",AW94=[1]AB3!$BA$22),[1]AB3!$BA$22,I93)))</f>
        <v>4.0000000000000001E-3</v>
      </c>
      <c r="AY94" s="52">
        <f t="shared" si="148"/>
        <v>1</v>
      </c>
      <c r="AZ94" s="51">
        <f t="array" ref="AZ94">IF(A90="","",IF(AND(D94="5 &amp; APS",D92="Futures"),CONCATENATE([1]AB3!$AP$10,INDEX([1]AB2!L:L,MATCH(D90,[1]AB2!B:B,0)),[1]AB3!$AQ$10),IF(AND(D94="5 &amp; APS",D92="Options Sell"),CONCATENATE([1]AB3!$AP$16,INDEX([1]AB2!M:M,MATCH(D90,[1]AB2!B:B,0)),[1]AB3!$AQ$16),IF(AND(D94="5 &amp; APS",D92="Options Buy"),CONCATENATE([1]AB3!$AP$22,INDEX([1]AB2!L:L,MATCH(D90,[1]AB2!B:B,0)),[1]AB3!$AQ$22),[1]AB3!$AR$6))))</f>
        <v>0</v>
      </c>
      <c r="BA94" s="51">
        <f>IF(AND(D92="Futures",AZ94=[1]AB3!$BC$10),[1]AB3!$BC$10,IF(AND(D92="Options Sell",AZ94=[1]AB3!$BC$16),[1]AB3!$BC$16,IF(AND(D92="Options Buy",AZ94=[1]AB3!$BC$22),[1]AB3!$BC$22,I93)))</f>
        <v>0</v>
      </c>
      <c r="BB94" s="52">
        <f t="shared" si="149"/>
        <v>0</v>
      </c>
      <c r="BC94" s="53"/>
      <c r="BD94" s="54" t="str">
        <f>IF(D92="Futures",[1]AB3!$BE$10,IF(D92="Options Sell",[1]AB3!$BE$16,IF(D92="Options Buy",[1]AB3!$BE$22)))</f>
        <v>Market End Time</v>
      </c>
      <c r="BE94" s="67">
        <f t="array" ref="BE94">IF(D90="","",INDEX([1]AB2!AH:AH,MATCH(D90,[1]AB2!B:B,0)))</f>
        <v>0.97916666666666663</v>
      </c>
      <c r="BF94" s="11"/>
      <c r="BG94" s="12"/>
      <c r="BH94" s="57"/>
      <c r="BI94" s="32"/>
      <c r="BJ94" s="61" t="str">
        <f>IF(D92="Futures",[1]AB3!$BK$10,IF(D92="Options Sell",[1]AB3!$BK$16,IF(D92="Options Buy",[1]AB3!$BK$22)))</f>
        <v>Short</v>
      </c>
      <c r="BK94" s="46">
        <v>4.0000000000000001E-3</v>
      </c>
      <c r="BL94" s="46">
        <v>4.0000000000000001E-3</v>
      </c>
      <c r="BM94" s="57"/>
      <c r="BN94" s="32"/>
      <c r="BO94" s="61" t="str">
        <f>IF(D92="Futures",[1]AB3!$BP$10,IF(D92="Options Sell",[1]AB3!$BP$16,IF(D92="Options Buy",[1]AB3!$BP$22)))</f>
        <v>Put</v>
      </c>
      <c r="BP94" s="43" t="str">
        <f t="array" ref="BP94">IF(A90="","",IF(D92="Futures","",IF(D92="EQUITY","",IF(D92="Options Sell",CONCATENATE([1]AB3!$BQ$16,INDEX([1]AB2!J:J,MATCH(A90,[1]AB2!A:A,0)),[1]AB3!$BR$16),IF(D92="Options Buy",CONCATENATE([1]AB3!$BQ$22,INDEX([1]AB2!J:J,MATCH(A90,[1]AB2!A:A,0)),[1]AB3!$BR$22))))))</f>
        <v/>
      </c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9"/>
      <c r="CL94" s="43"/>
      <c r="CM94" s="43"/>
      <c r="CN94" s="59"/>
      <c r="CO94" s="43"/>
      <c r="CP94" s="43"/>
      <c r="CQ94" s="59"/>
      <c r="CR94" s="43"/>
      <c r="CS94" s="43"/>
      <c r="CT94" s="59"/>
      <c r="CU94" s="43"/>
      <c r="CV94" s="59"/>
      <c r="CW94" s="59"/>
    </row>
    <row r="95" spans="1:101" ht="15.75" customHeight="1" x14ac:dyDescent="0.2">
      <c r="A95" s="1"/>
      <c r="B95" s="2"/>
      <c r="C95" s="2"/>
      <c r="D95" s="2"/>
      <c r="E95" s="2"/>
      <c r="F95" s="2"/>
      <c r="G95" s="2"/>
      <c r="H95" s="2"/>
      <c r="I95" s="2"/>
      <c r="J95" s="64"/>
      <c r="K95" s="2"/>
      <c r="L95" s="2"/>
      <c r="M95" s="2"/>
      <c r="N95" s="2"/>
      <c r="O95" s="64"/>
      <c r="P95" s="2"/>
      <c r="Q95" s="64"/>
      <c r="R95" s="69"/>
      <c r="S95" s="64"/>
      <c r="T95" s="70"/>
      <c r="U95" s="64"/>
      <c r="V95" s="2"/>
      <c r="W95" s="64"/>
      <c r="X95" s="2"/>
      <c r="Y95" s="2"/>
      <c r="Z95" s="2"/>
      <c r="AA95" s="20"/>
      <c r="AB95" s="71"/>
      <c r="AC95" s="71"/>
      <c r="AD95" s="2"/>
      <c r="AE95" s="70"/>
      <c r="AF95" s="70"/>
      <c r="AG95" s="70"/>
      <c r="AH95" s="70"/>
      <c r="AI95" s="2"/>
      <c r="AJ95" s="70"/>
      <c r="AK95" s="70"/>
      <c r="AL95" s="70"/>
      <c r="AM95" s="64"/>
      <c r="AN95" s="70"/>
      <c r="AO95" s="70"/>
      <c r="AP95" s="64"/>
      <c r="AQ95" s="70"/>
      <c r="AR95" s="70"/>
      <c r="AS95" s="64"/>
      <c r="AT95" s="70"/>
      <c r="AU95" s="70"/>
      <c r="AV95" s="64"/>
      <c r="AW95" s="70"/>
      <c r="AX95" s="70"/>
      <c r="AY95" s="64"/>
      <c r="AZ95" s="70"/>
      <c r="BA95" s="70"/>
      <c r="BB95" s="64"/>
      <c r="BC95" s="70"/>
      <c r="BD95" s="70"/>
      <c r="BE95" s="70"/>
      <c r="BF95" s="70"/>
      <c r="BG95" s="70"/>
      <c r="BH95" s="70"/>
      <c r="BI95" s="70"/>
      <c r="BJ95" s="70"/>
      <c r="BK95" s="2"/>
      <c r="BL95" s="2"/>
      <c r="BM95" s="70"/>
      <c r="BN95" s="70"/>
      <c r="BO95" s="70"/>
      <c r="BP95" s="70"/>
      <c r="BQ95" s="70"/>
      <c r="BR95" s="70"/>
      <c r="BS95" s="70"/>
      <c r="BT95" s="70"/>
      <c r="BU95" s="70"/>
      <c r="BV95" s="70"/>
      <c r="BW95" s="70"/>
      <c r="BX95" s="70"/>
      <c r="BY95" s="70"/>
      <c r="BZ95" s="70"/>
      <c r="CA95" s="70"/>
      <c r="CB95" s="70"/>
      <c r="CC95" s="70"/>
      <c r="CD95" s="70"/>
      <c r="CE95" s="70"/>
      <c r="CF95" s="70"/>
      <c r="CG95" s="70"/>
      <c r="CH95" s="70"/>
      <c r="CI95" s="70"/>
      <c r="CJ95" s="70"/>
      <c r="CK95" s="70"/>
      <c r="CL95" s="2"/>
      <c r="CM95" s="2"/>
      <c r="CN95" s="70"/>
      <c r="CO95" s="70"/>
      <c r="CP95" s="70"/>
      <c r="CQ95" s="70"/>
      <c r="CR95" s="2"/>
      <c r="CS95" s="2"/>
      <c r="CT95" s="70"/>
      <c r="CU95" s="70"/>
      <c r="CV95" s="70"/>
      <c r="CW95" s="70"/>
    </row>
    <row r="96" spans="1:101" ht="15.75" customHeight="1" x14ac:dyDescent="0.2">
      <c r="A96" s="40">
        <v>16</v>
      </c>
      <c r="B96" s="41" t="str">
        <f>CONCATENATE(D96,IF(D98="Futures",[1]AB3!$B$6,IF(D98="Options Sell",[1]AB3!$B$12,IF(D98="Options Buy",[1]AB3!$B$18))))</f>
        <v>S16A</v>
      </c>
      <c r="C96" s="42" t="str">
        <f>IF(D98="Futures",[1]AB3!$C$6,IF(D98="Options Sell",[1]AB3!$C$12,IF(D98="Options Buy",[1]AB3!$C$18)))</f>
        <v>Strategy Code</v>
      </c>
      <c r="D96" s="43" t="str">
        <f t="array" ref="D96">IF(A96="","",INDEX([1]AB2!B:B,MATCH(A96,[1]AB2!A:A,0)))</f>
        <v>S16</v>
      </c>
      <c r="E96" s="44" t="str">
        <f>IF(D98="Futures",[1]AB3!$E$6,IF(D98="Options Sell",[1]AB3!$E$12,IF(D98="Options Buy",[1]AB3!$E$18)))</f>
        <v>Bull / 
Bull CF</v>
      </c>
      <c r="F96" s="45" t="str">
        <f>IF(D98="Futures",[1]AB3!$F$6,IF(D98="Options Sell",[1]AB3!$F$12,IF(D98="Options Buy",[1]AB3!$F$18)))</f>
        <v>Long</v>
      </c>
      <c r="G96" s="43" t="str">
        <f t="array" ref="G96">IF(A96="","",IF(D98="Futures",CONCATENATE([1]AB3!$G$6,INDEX([1]AB2!I:I,MATCH(D96,[1]AB2!B:B,0)),[1]AB3!$H$6),IF(D98="Options Sell",CONCATENATE([1]AB3!$G$12,INDEX([1]AB2!J:J,MATCH(D96,[1]AB2!B:B,0)),[1]AB3!$H$12),IF(D98="Options Buy",CONCATENATE([1]AB3!$G$18,INDEX([1]AB2!I:I,MATCH(D96,[1]AB2!B:B,0)),[1]AB3!$H$18)))))</f>
        <v>FUT : PRV : 2DHH</v>
      </c>
      <c r="H96" s="43" t="str">
        <f>IF(D98="Futures",[1]AB3!$I$6,IF(D98="Options Sell",[1]AB3!$I$12,IF(D98="Options Buy",[1]AB3!$I$18)))</f>
        <v xml:space="preserve"> + </v>
      </c>
      <c r="I96" s="46">
        <v>0</v>
      </c>
      <c r="J96" s="47">
        <v>5</v>
      </c>
      <c r="K96" s="48"/>
      <c r="L96" s="43" t="str">
        <f>IF(D98="Futures",[1]AB3!$M$6,IF(D98="Options Sell",[1]AB3!$M$12,IF(D98="Options Buy",[1]AB3!$M$18)))</f>
        <v xml:space="preserve">L : Entry </v>
      </c>
      <c r="M96" s="43" t="str">
        <f>IF(D98="Futures",[1]AB3!$N$6,IF(D98="Options Sell",[1]AB3!$N$12,IF(D98="Options Buy",[1]AB3!$N$18)))</f>
        <v xml:space="preserve"> + </v>
      </c>
      <c r="N96" s="46">
        <v>0.03</v>
      </c>
      <c r="O96" s="47">
        <v>1</v>
      </c>
      <c r="P96" s="46">
        <v>0.04</v>
      </c>
      <c r="Q96" s="47">
        <v>1</v>
      </c>
      <c r="R96" s="46">
        <v>0.05</v>
      </c>
      <c r="S96" s="47">
        <v>1</v>
      </c>
      <c r="T96" s="46">
        <v>0.06</v>
      </c>
      <c r="U96" s="47">
        <v>1</v>
      </c>
      <c r="V96" s="50" t="s">
        <v>51</v>
      </c>
      <c r="W96" s="47">
        <v>1</v>
      </c>
      <c r="X96" s="50" t="s">
        <v>52</v>
      </c>
      <c r="Y96" s="50" t="s">
        <v>52</v>
      </c>
      <c r="Z96" s="48"/>
      <c r="AA96" s="43" t="str">
        <f>IF(D98="Futures",[1]AB3!$AD$6,IF(D98="Options Sell",[1]AB3!$AD$12,IF(D98="Options Buy",[1]AB3!$AD$18)))</f>
        <v>Max</v>
      </c>
      <c r="AB96" s="43" t="str">
        <f>IF(D98="Futures",[1]AB3!$AE$6,IF(D98="Options Sell",[1]AB3!$AE$12,IF(D98="Options Buy",[1]AB3!$AE$18)))</f>
        <v>MSL &amp; TSL</v>
      </c>
      <c r="AC96" s="43" t="str">
        <f>IF(D98="Futures",[1]AB3!$AF$6,IF(D98="Options Sell",[1]AB3!$AF$12,IF(D98="Options Buy",[1]AB3!$AF$18)))</f>
        <v>Entry &amp; TRP</v>
      </c>
      <c r="AD96" s="48"/>
      <c r="AE96" s="43" t="str">
        <f>IF(D98="Futures",[1]AB3!$AH$6,IF(D98="Options Sell",[1]AB3!$AH$12,IF(D98="Options Buy",[1]AB3!$AH$18)))</f>
        <v>L : Entry</v>
      </c>
      <c r="AF96" s="43" t="str">
        <f>IF(D98="Futures",[1]AB3!$AI$6,IF(D98="Options Sell",[1]AB3!$AI$12,IF(D98="Options Buy",[1]AB3!$AI$18)))</f>
        <v xml:space="preserve"> - </v>
      </c>
      <c r="AG96" s="46">
        <v>0.03</v>
      </c>
      <c r="AH96" s="46">
        <v>0</v>
      </c>
      <c r="AI96" s="48"/>
      <c r="AJ96" s="43" t="str">
        <f>IF(D98="Futures",[1]AB3!$AO$6,IF(D98="Options Sell",[1]AB3!$AO$12,IF(D98="Options Buy",[1]AB3!$AO$18)))</f>
        <v xml:space="preserve"> - </v>
      </c>
      <c r="AK96" s="43" t="str">
        <f t="array" ref="AK96">IF(A96="","",IF(D98="Futures",CONCATENATE([1]AB3!$AP$6,INDEX([1]AB2!L:L,MATCH(D96,[1]AB2!B:B,0)),[1]AB3!$AQ$6),IF(D98="Options Sell",CONCATENATE([1]AB3!$AP$12,INDEX([1]AB2!M:M,MATCH(D96,[1]AB2!B:B,0)),[1]AB3!$AQ$12),IF(D98="Options Buy",CONCATENATE([1]AB3!$AP$18,INDEX([1]AB2!L:L,MATCH(D96,[1]AB2!B:B,0)),[1]AB3!$AQ$18)))))</f>
        <v>FUT : PRV : 3DLL</v>
      </c>
      <c r="AL96" s="51">
        <f>IF(AND(D98="Futures",AK96=[1]AB3!$AS$6),[1]AB3!$AS$6,IF(AND(D98="Options Sell",AK96=[1]AB3!$AS$12),[1]AB3!$AS$12,IF(AND(D98="Options Buy",AK96=[1]AB3!$AS$18),[1]AB3!$AS$18,I97)))</f>
        <v>0.01</v>
      </c>
      <c r="AM96" s="52">
        <f>J97</f>
        <v>5</v>
      </c>
      <c r="AN96" s="43" t="str">
        <f t="array" ref="AN96">IF(A96="","",IF(AND(OR(D100="1 &amp; APS",D100="2 &amp; APS",D100="3 &amp; APS",D100="4 &amp; APS",D100="5 &amp; APS"),D98="Futures"),CONCATENATE([1]AB3!$AP$6,INDEX([1]AB2!L:L,MATCH(D96,[1]AB2!B:B,0)),[1]AB3!$AQ$6),IF(AND(OR(D100="1 &amp; APS",D100="2 &amp; APS",D100="3 &amp; APS",D100="4 &amp; APS",D100="5 &amp; APS"),D98="Options Sell"),CONCATENATE([1]AB3!$AP$12,INDEX([1]AB2!M:M,MATCH(D96,[1]AB2!B:B,0)),[1]AB3!$AQ$12),IF(AND(OR(D100="1 &amp; APS",D100="2 &amp; APS",D100="3 &amp; APS",D100="4 &amp; APS",D100="5 &amp; APS"),D98="Options Buy"),CONCATENATE([1]AB3!$AP$18,INDEX([1]AB2!L:L,MATCH(D96,[1]AB2!B:B,0)),[1]AB3!$AQ$18),[1]AB3!$AR$6))))</f>
        <v>FUT : PRV : 3DLL</v>
      </c>
      <c r="AO96" s="51">
        <f>IF(AND(D98="Futures",AN96=[1]AB3!$AU$6),[1]AB3!$AU$6,IF(AND(D98="Options Sell",AN96=[1]AB3!$AU$12),[1]AB3!$AU$12,IF(AND(D98="Options Buy",AN96=[1]AB3!$AU$18),[1]AB3!$AU$18,I97)))</f>
        <v>0.01</v>
      </c>
      <c r="AP96" s="52">
        <f t="shared" ref="AP96:AP97" si="150">AM96-O96</f>
        <v>4</v>
      </c>
      <c r="AQ96" s="43" t="str">
        <f t="array" ref="AQ96">IF(A96="","",IF(AND(OR(D100="2 &amp; APS",D100="3 &amp; APS",D100="4 &amp; APS",D100="5 &amp; APS"),D98="Futures"),CONCATENATE([1]AB3!$AP$6,INDEX([1]AB2!L:L,MATCH(D96,[1]AB2!B:B,0)),[1]AB3!$AQ$6),IF(AND(OR(D100="2 &amp; APS",D100="3 &amp; APS",D100="4 &amp; APS",D100="5 &amp; APS"),D98="Options Sell"),CONCATENATE([1]AB3!$AP$12,INDEX([1]AB2!M:M,MATCH(D96,[1]AB2!B:B,0)),[1]AB3!$AQ$12),IF(AND(OR(D100="2 &amp; APS",D100="3 &amp; APS",D100="4 &amp; APS",D100="5 &amp; APS"),D98="Options Buy"),CONCATENATE([1]AB3!$AP$18,INDEX([1]AB2!L:L,MATCH(D96,[1]AB2!B:B,0)),[1]AB3!$AQ$18),[1]AB3!$AR$6))))</f>
        <v>FUT : PRV : 3DLL</v>
      </c>
      <c r="AR96" s="51">
        <f>IF(AND(D98="Futures",AQ96=[1]AB3!$AW$6),[1]AB3!$AW$6,IF(AND(D98="Options Sell",AQ96=[1]AB3!$AW$12),[1]AB3!$AW$12,IF(AND(D98="Options Buy",AQ96=[1]AB3!$AW$18),[1]AB3!$AW$18,I97)))</f>
        <v>0.01</v>
      </c>
      <c r="AS96" s="52">
        <f t="shared" ref="AS96:AS97" si="151">AP96-Q96</f>
        <v>3</v>
      </c>
      <c r="AT96" s="43" t="str">
        <f t="array" ref="AT96">IF(A96="","",IF(AND(OR(D100="3 &amp; APS",D100="4 &amp; APS",D100="5 &amp; APS"),D98="Futures"),CONCATENATE([1]AB3!$AP$6,INDEX([1]AB2!L:L,MATCH(D96,[1]AB2!B:B,0)),[1]AB3!$AQ$6),IF(AND(OR(D100="3 &amp; APS",D100="4 &amp; APS",D100="5 &amp; APS"),D98="Options Sell"),CONCATENATE([1]AB3!$AP$12,INDEX([1]AB2!M:M,MATCH(D96,[1]AB2!B:B,0)),[1]AB3!$AQ$12),IF(AND(OR(D100="3 &amp; APS",D100="4 &amp; APS",D100="5 &amp; APS"),D98="Options Buy"),CONCATENATE([1]AB3!$AP$18,INDEX([1]AB2!L:L,MATCH(D96,[1]AB2!B:B,0)),[1]AB3!$AQ$18),[1]AB3!$AR$6))))</f>
        <v>FUT : PRV : 3DLL</v>
      </c>
      <c r="AU96" s="51">
        <f>IF(AND(D98="Futures",AT96=[1]AB3!$AY$6),[1]AB3!$AY$6,IF(AND(D98="Options Sell",AT96=[1]AB3!$AY$12),[1]AB3!$AY$12,IF(AND(D98="Options Buy",AT96=[1]AB3!$AY$18),[1]AB3!$AY$18,I97)))</f>
        <v>0.01</v>
      </c>
      <c r="AV96" s="52">
        <f t="shared" ref="AV96:AV97" si="152">AS96-S96</f>
        <v>2</v>
      </c>
      <c r="AW96" s="43" t="str">
        <f t="array" ref="AW96">IF(A96="","",IF(AND(OR(D100="4 &amp; APS",D100="5 &amp; APS"),D98="Futures"),CONCATENATE([1]AB3!$AP$6,INDEX([1]AB2!L:L,MATCH(D96,[1]AB2!B:B,0)),[1]AB3!$AQ$6),IF(AND(OR(D100="4 &amp; APS",D100="5 &amp; APS"),D98="Options Sell"),CONCATENATE([1]AB3!$AP$12,INDEX([1]AB2!M:M,MATCH(D96,[1]AB2!B:B,0)),[1]AB3!$AQ$12),IF(AND(OR(D100="4 &amp; APS",D100="5 &amp; APS"),D98="Options Buy"),CONCATENATE([1]AB3!$AP$18,INDEX([1]AB2!L:L,MATCH(D96,[1]AB2!B:B,0)),[1]AB3!$AQ$18),[1]AB3!$AR$6))))</f>
        <v>FUT : PRV : 3DLL</v>
      </c>
      <c r="AX96" s="51">
        <f>IF(AND(D98="Futures",AW96=[1]AB3!$BA$6),[1]AB3!$BA$6,IF(AND(D98="Options Sell",AW96=[1]AB3!$BA$12),[1]AB3!$BA$12,IF(AND(D98="Options Buy",AW96=[1]AB3!$BA$18),[1]AB3!$BA$18,I97)))</f>
        <v>0.01</v>
      </c>
      <c r="AY96" s="52">
        <f t="shared" ref="AY96:AY97" si="153">AV96-S96</f>
        <v>1</v>
      </c>
      <c r="AZ96" s="51">
        <f t="array" ref="AZ96">IF(A96="","",IF(AND(D100="5 &amp; APS",D98="Futures"),CONCATENATE([1]AB3!$AP$6,INDEX([1]AB2!L:L,MATCH(D96,[1]AB2!B:B,0)),[1]AB3!$AQ$6),IF(AND(D100="5 &amp; APS",D98="Options Sell"),CONCATENATE([1]AB3!$AP$12,INDEX([1]AB2!M:M,MATCH(D96,[1]AB2!B:B,0)),[1]AB3!$AQ$12),IF(AND(D100="5 &amp; APS",D98="Options Buy"),CONCATENATE([1]AB3!$AP$18,INDEX([1]AB2!L:L,MATCH(D96,[1]AB2!B:B,0)),[1]AB3!$AQ$18),[1]AB3!$AR$6))))</f>
        <v>0</v>
      </c>
      <c r="BA96" s="51">
        <f>IF(AND(D98="Futures",AZ96=[1]AB3!$BC$6),[1]AB3!$BC$6,IF(AND(D98="Options Sell",AZ96=[1]AB3!$BC$12),[1]AB3!$BC$12,IF(AND(D98="Options Buy",AZ96=[1]AB3!$BC$18),[1]AB3!$BC$18,I97)))</f>
        <v>0</v>
      </c>
      <c r="BB96" s="52">
        <f t="shared" ref="BB96:BB97" si="154">AY96-W96</f>
        <v>0</v>
      </c>
      <c r="BC96" s="53"/>
      <c r="BD96" s="54" t="str">
        <f>IF(D98="Futures",[1]AB3!$BE$6,IF(D98="Options Sell",[1]AB3!$BE$12,IF(D98="Options Buy",[1]AB3!$BE$18)))</f>
        <v xml:space="preserve">ORPT </v>
      </c>
      <c r="BE96" s="55">
        <f>IF(D98="Futures",BE99+([1]AB3!$BF$6/1440),IF(D98="Options Sell",BE99+([1]AB3!$BF$12/1440),IF(D98="Options Buy",BE99+([1]AB3!$BF$18/1440))))</f>
        <v>0.37846527777777778</v>
      </c>
      <c r="BF96" s="55">
        <f>IF(D98="Futures",BE99+([1]AB3!$BG$6/1440),IF(D98="Options Sell",BE99+([1]AB3!$BG$12/1440),IF(D98="Options Buy",BE99+([1]AB3!$BG$18/1440))))</f>
        <v>0.37846527777777778</v>
      </c>
      <c r="BG96" s="55">
        <f>IF(D98="Futures",BE99+([1]AB3!$BH$6/1440),IF(D98="Options Sell",BE99+([1]AB3!$BH$12/1440),IF(D98="Options Buy",BE99+([1]AB3!$BH$18/1440))))</f>
        <v>0.375</v>
      </c>
      <c r="BH96" s="57"/>
      <c r="BI96" s="44" t="str">
        <f>IF(D98="Futures",[1]AB3!$BJ$6,IF(D98="Options Sell",[1]AB3!$BJ$12,IF(D98="Options Buy",[1]AB3!$BJ$18)))</f>
        <v>Bull / 
Bull CF</v>
      </c>
      <c r="BJ96" s="45" t="str">
        <f>IF(D98="Futures",[1]AB3!$BK$6,IF(D98="Options Sell",[1]AB3!$BK$12,IF(D98="Options Buy",[1]AB3!$BK$18)))</f>
        <v>Long</v>
      </c>
      <c r="BK96" s="46">
        <v>0.01</v>
      </c>
      <c r="BL96" s="46">
        <v>0.01</v>
      </c>
      <c r="BM96" s="57"/>
      <c r="BN96" s="44" t="str">
        <f>IF(D98="Futures",[1]AB3!$BO$6,IF(D98="Options Sell",[1]AB3!$BO$12,IF(D98="Options Buy",[1]AB3!$BO$18)))</f>
        <v>Bull | 
Bull CF</v>
      </c>
      <c r="BO96" s="45" t="str">
        <f>IF(D98="Futures",[1]AB3!$BP$6,IF(D98="Options Sell",[1]AB3!$BP$12,IF(D98="Options Buy",[1]AB3!$BP$18)))</f>
        <v>Call</v>
      </c>
      <c r="BP96" s="43" t="str">
        <f t="array" ref="BP96">IF(A96="","",IF(D98="Futures","",IF(D98="EQUITY","",IF(D98="Options Sell",CONCATENATE([1]AB3!$BQ$12,INDEX([1]AB2!J:J,MATCH(A96,[1]AB2!A:A,0)),[1]AB3!$BR$12),IF(D98="Options Buy",CONCATENATE([1]AB3!$BQ$18,INDEX([1]AB2!J:J,MATCH(A96,[1]AB2!A:A,0)),[1]AB3!$BR$18))))))</f>
        <v/>
      </c>
      <c r="BQ96" s="58"/>
      <c r="BR96" s="58"/>
      <c r="BS96" s="58"/>
      <c r="BT96" s="58"/>
      <c r="BU96" s="58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9"/>
      <c r="CL96" s="43"/>
      <c r="CM96" s="43"/>
      <c r="CN96" s="59"/>
      <c r="CO96" s="43"/>
      <c r="CP96" s="43"/>
      <c r="CQ96" s="59"/>
      <c r="CR96" s="43"/>
      <c r="CS96" s="43"/>
      <c r="CT96" s="59"/>
      <c r="CU96" s="55">
        <f>IF(D98="Futures",BE100-([1]AB3!$CG$6/1440),IF(D98="Options Sell",BE100-([1]AB3!$CG$12/1440),IF(D98="Options Buy",BE100-([1]AB3!$CG$18/1440),IF(D98="EQUITY",""))))</f>
        <v>0.95833333333333326</v>
      </c>
      <c r="CV96" s="59"/>
      <c r="CW96" s="59"/>
    </row>
    <row r="97" spans="1:101" ht="16.5" customHeight="1" x14ac:dyDescent="0.2">
      <c r="A97" s="60"/>
      <c r="B97" s="41" t="str">
        <f>CONCATENATE(D96,IF(D98="Futures",[1]AB3!$B$7,IF(D98="Options Sell",[1]AB3!$B$13,IF(D98="Options Buy",[1]AB3!$B$19))))</f>
        <v>S16B</v>
      </c>
      <c r="C97" s="42" t="str">
        <f>IF(D98="Futures",[1]AB3!$C$7,IF(D98="Options Sell",[1]AB3!$C$13,IF(D98="Options Buy",[1]AB3!$C$19)))</f>
        <v>Unique Code</v>
      </c>
      <c r="D97" s="43" t="str">
        <f t="array" ref="D97">IF(A96="","",INDEX([1]AB2!N:N,MATCH(D96,[1]AB2!B:B,0)))</f>
        <v>NATURALGAS_FUT_MT_DIFF_2D_3D</v>
      </c>
      <c r="E97" s="32"/>
      <c r="F97" s="61" t="str">
        <f>IF(D98="Futures",[1]AB3!$F$7,IF(D98="Options Sell",[1]AB3!$F$13,IF(D98="Options Buy",[1]AB3!$F$19)))</f>
        <v>Short</v>
      </c>
      <c r="G97" s="43" t="str">
        <f t="array" ref="G97">IF(A96="","",IF(D98="Futures",CONCATENATE([1]AB3!$G$7,INDEX([1]AB2!J:J,MATCH(D96,[1]AB2!B:B,0)),[1]AB3!$H$7),IF(D98="Options Sell",CONCATENATE([1]AB3!$G$13,INDEX([1]AB2!I:I,MATCH(D96,[1]AB2!B:B,0)),[1]AB3!$H$13),IF(D98="Options Buy",CONCATENATE([1]AB3!$G$19,INDEX([1]AB2!J:J,MATCH(D96,[1]AB2!B:B,0)),[1]AB3!$H$19)))))</f>
        <v>FUT : PRV : 3DLL</v>
      </c>
      <c r="H97" s="43" t="str">
        <f>IF(D98="Futures",[1]AB3!$I$7,IF(D98="Options Sell",[1]AB3!$I$13,IF(D98="Options Buy",[1]AB3!$I$19)))</f>
        <v xml:space="preserve"> - </v>
      </c>
      <c r="I97" s="46">
        <v>0.01</v>
      </c>
      <c r="J97" s="47">
        <v>5</v>
      </c>
      <c r="K97" s="48"/>
      <c r="L97" s="43" t="str">
        <f>IF(D98="Futures",[1]AB3!$M$7,IF(D98="Options Sell",[1]AB3!$M$13,IF(D98="Options Buy",[1]AB3!$M$19)))</f>
        <v xml:space="preserve">S : Entry </v>
      </c>
      <c r="M97" s="43" t="str">
        <f>IF(D98="Futures",[1]AB3!$N$7,IF(D98="Options Sell",[1]AB3!$N$13,IF(D98="Options Buy",[1]AB3!$N$19)))</f>
        <v xml:space="preserve"> - </v>
      </c>
      <c r="N97" s="46">
        <v>0.03</v>
      </c>
      <c r="O97" s="47">
        <v>1</v>
      </c>
      <c r="P97" s="46">
        <v>0.04</v>
      </c>
      <c r="Q97" s="47">
        <v>1</v>
      </c>
      <c r="R97" s="46">
        <v>0.05</v>
      </c>
      <c r="S97" s="47">
        <v>1</v>
      </c>
      <c r="T97" s="46">
        <v>0.06</v>
      </c>
      <c r="U97" s="47">
        <v>1</v>
      </c>
      <c r="V97" s="50" t="s">
        <v>51</v>
      </c>
      <c r="W97" s="47">
        <v>1</v>
      </c>
      <c r="X97" s="50" t="s">
        <v>52</v>
      </c>
      <c r="Y97" s="50" t="s">
        <v>52</v>
      </c>
      <c r="Z97" s="48"/>
      <c r="AA97" s="43" t="str">
        <f>IF(D98="Futures",[1]AB3!$AD$7,IF(D98="Options Sell",[1]AB3!$AD$13,IF(D98="Options Buy",[1]AB3!$AD$19)))</f>
        <v>Min</v>
      </c>
      <c r="AB97" s="43" t="str">
        <f>IF(D98="Futures",[1]AB3!$AE$7,IF(D98="Options Sell",[1]AB3!$AE$13,IF(D98="Options Buy",[1]AB3!$AE$19)))</f>
        <v>MSL &amp; TSL</v>
      </c>
      <c r="AC97" s="43" t="str">
        <f>IF(D98="Futures",[1]AB3!$AF$7,IF(D98="Options Sell",[1]AB3!$AF$13,IF(D98="Options Buy",[1]AB3!$AF$19)))</f>
        <v>Entry &amp; TRP</v>
      </c>
      <c r="AD97" s="48"/>
      <c r="AE97" s="43" t="str">
        <f>IF(D98="Futures",[1]AB3!$AH$7,IF(D98="Options Sell",[1]AB3!$AH$13,IF(D98="Options Buy",[1]AB3!$AH$19)))</f>
        <v>S : Entry</v>
      </c>
      <c r="AF97" s="43" t="str">
        <f>IF(D98="Futures",[1]AB3!$AI$7,IF(D98="Options Sell",[1]AB3!$AI$13,IF(D98="Options Buy",[1]AB3!$AI$19)))</f>
        <v xml:space="preserve"> + </v>
      </c>
      <c r="AG97" s="46">
        <v>0.03</v>
      </c>
      <c r="AH97" s="46">
        <v>0</v>
      </c>
      <c r="AI97" s="48"/>
      <c r="AJ97" s="43" t="str">
        <f>IF(D98="Futures",[1]AB3!$AO$7,IF(D98="Options Sell",[1]AB3!$AO$13,IF(D98="Options Buy",[1]AB3!$AO$19)))</f>
        <v xml:space="preserve"> + </v>
      </c>
      <c r="AK97" s="43" t="str">
        <f t="array" ref="AK97">IF(A96="","",IF(D98="Futures",CONCATENATE([1]AB3!$AP$7,INDEX([1]AB2!M:M,MATCH(D96,[1]AB2!B:B,0)),[1]AB3!$AQ$7),IF(D98="Options Sell",CONCATENATE([1]AB3!$AP$13,INDEX([1]AB2!L:L,MATCH(D96,[1]AB2!B:B,0)),[1]AB3!$AQ$13),IF(D98="Options Buy",CONCATENATE([1]AB3!$AP$19,INDEX([1]AB2!M:M,MATCH(D96,[1]AB2!B:B,0)),[1]AB3!$AQ$19)))))</f>
        <v>FUT : PRV : 2DHH</v>
      </c>
      <c r="AL97" s="51">
        <f>IF(AND(D98="Futures",AK97=[1]AB3!$AS$7),[1]AB3!$AS$7,IF(AND(D98="Options Sell",AK97=[1]AB3!$AS$13),[1]AB3!$AS$13,IF(AND(D98="Options Buy",AK97=[1]AB3!$AS$19),[1]AB3!$AS$19,I96)))</f>
        <v>0</v>
      </c>
      <c r="AM97" s="52">
        <f>J96</f>
        <v>5</v>
      </c>
      <c r="AN97" s="43" t="str">
        <f t="array" ref="AN97">IF(A96="","",IF(AND(OR(D100="1 &amp; APS",D100="2 &amp; APS",D100="3 &amp; APS",D100="4 &amp; APS",D100="5 &amp; APS"),D98="Futures"),CONCATENATE([1]AB3!$AP$7,INDEX([1]AB2!M:M,MATCH(D96,[1]AB2!B:B,0)),[1]AB3!$AQ$7),IF(AND(OR(D100="1 &amp; APS",D100="2 &amp; APS",D100="3 &amp; APS",D100="4 &amp; APS",D100="5 &amp; APS"),D98="Options Sell"),CONCATENATE([1]AB3!$AP$13,INDEX([1]AB2!L:L,MATCH(D96,[1]AB2!B:B,0)),[1]AB3!$AQ$13),IF(AND(OR(D100="1 &amp; APS",D100="2 &amp; APS",D100="3 &amp; APS",D100="4 &amp; APS",D100="5 &amp; APS"),D98="Options Buy"),CONCATENATE([1]AB3!$AP$19,INDEX([1]AB2!M:M,MATCH(D96,[1]AB2!B:B,0)),[1]AB3!$AQ$19),[1]AB3!$AR$6))))</f>
        <v>FUT : PRV : 2DHH</v>
      </c>
      <c r="AO97" s="51">
        <f>IF(AND(D98="Futures",AN97=[1]AB3!$AU$7),[1]AB3!$AU$7,IF(AND(D98="Options Sell",AN97=[1]AB3!$AU$13),[1]AB3!$AU$13,IF(AND(D98="Options Buy",AN97=[1]AB3!$AU$19),[1]AB3!$AU$19,I96)))</f>
        <v>0</v>
      </c>
      <c r="AP97" s="52">
        <f t="shared" si="150"/>
        <v>4</v>
      </c>
      <c r="AQ97" s="43" t="str">
        <f t="array" ref="AQ97">IF(A96="","",IF(AND(OR(D100="2 &amp; APS",D100="3 &amp; APS",D100="4 &amp; APS",D100="5 &amp; APS"),D98="Futures"),CONCATENATE([1]AB3!$AP$7,INDEX([1]AB2!M:M,MATCH(D96,[1]AB2!B:B,0)),[1]AB3!$AQ$7),IF(AND(OR(D100="2 &amp; APS",D100="3 &amp; APS",D100="4 &amp; APS",D100="5 &amp; APS"),D98="Options Sell"),CONCATENATE([1]AB3!$AP$13,INDEX([1]AB2!L:L,MATCH(D96,[1]AB2!B:B,0)),[1]AB3!$AQ$13),IF(AND(OR(D100="2 &amp; APS",D100="3 &amp; APS",D100="4 &amp; APS",D100="5 &amp; APS"),D98="Options Buy"),CONCATENATE([1]AB3!$AP$19,INDEX([1]AB2!M:M,MATCH(D96,[1]AB2!B:B,0)),[1]AB3!$AQ$19),[1]AB3!$AR$6))))</f>
        <v>FUT : PRV : 2DHH</v>
      </c>
      <c r="AR97" s="51">
        <f>IF(AND(D98="Futures",AQ97=[1]AB3!$AW$7),[1]AB3!$AW$7,IF(AND(D98="Options Sell",AQ97=[1]AB3!$AW$13),[1]AB3!$AW$13,IF(AND(D98="Options Buy",AQ97=[1]AB3!$AW$19),[1]AB3!$AW$19,I96)))</f>
        <v>0</v>
      </c>
      <c r="AS97" s="52">
        <f t="shared" si="151"/>
        <v>3</v>
      </c>
      <c r="AT97" s="43" t="str">
        <f t="array" ref="AT97">IF(A96="","",IF(AND(OR(D100="3 &amp; APS",D100="4 &amp; APS",D100="5 &amp; APS"),D98="Futures"),CONCATENATE([1]AB3!$AP$7,INDEX([1]AB2!M:M,MATCH(D96,[1]AB2!B:B,0)),[1]AB3!$AQ$7),IF(AND(OR(D100="3 &amp; APS",D100="4 &amp; APS",D100="5 &amp; APS"),D98="Options Sell"),CONCATENATE([1]AB3!$AP$13,INDEX([1]AB2!L:L,MATCH(D96,[1]AB2!B:B,0)),[1]AB3!$AQ$13),IF(AND(OR(D100="3 &amp; APS",D100="4 &amp; APS",D100="5 &amp; APS"),D98="Options Buy"),CONCATENATE([1]AB3!$AP$19,INDEX([1]AB2!M:M,MATCH(D96,[1]AB2!B:B,0)),[1]AB3!$AQ$19),[1]AB3!$AR$6))))</f>
        <v>FUT : PRV : 2DHH</v>
      </c>
      <c r="AU97" s="51">
        <f>IF(AND(D98="Futures",AT97=[1]AB3!$AY$7),[1]AB3!$AY$7,IF(AND(D98="Options Sell",AT97=[1]AB3!$AY$13),[1]AB3!$AY$13,IF(AND(D98="Options Buy",AT97=[1]AB3!$AY$19),[1]AB3!$AY$19,I96)))</f>
        <v>0</v>
      </c>
      <c r="AV97" s="52">
        <f t="shared" si="152"/>
        <v>2</v>
      </c>
      <c r="AW97" s="43" t="str">
        <f t="array" ref="AW97">IF(A96="","",IF(AND(OR(D100="4 &amp; APS",D100="5 &amp; APS"),D98="Futures"),CONCATENATE([1]AB3!$AP$7,INDEX([1]AB2!M:M,MATCH(D96,[1]AB2!B:B,0)),[1]AB3!$AQ$7),IF(AND(OR(D100="4 &amp; APS",D100="5 &amp; APS"),D98="Options Sell"),CONCATENATE([1]AB3!$AP$13,INDEX([1]AB2!L:L,MATCH(D96,[1]AB2!B:B,0)),[1]AB3!$AQ$13),IF(AND(OR(D100="4 &amp; APS",D100="5 &amp; APS"),D98="Options Buy"),CONCATENATE([1]AB3!$AP$19,INDEX([1]AB2!M:M,MATCH(D96,[1]AB2!B:B,0)),[1]AB3!$AQ$19),[1]AB3!$AR$6))))</f>
        <v>FUT : PRV : 2DHH</v>
      </c>
      <c r="AX97" s="51">
        <f>IF(AND(D98="Futures",AW97=[1]AB3!$BA$7),[1]AB3!$BA$7,IF(AND(D98="Options Sell",AW97=[1]AB3!$BA$13),[1]AB3!$BA$13,IF(AND(D98="Options Buy",AW97=[1]AB3!$BA$19),[1]AB3!$BA$19,I96)))</f>
        <v>0</v>
      </c>
      <c r="AY97" s="52">
        <f t="shared" si="153"/>
        <v>1</v>
      </c>
      <c r="AZ97" s="51">
        <f t="array" ref="AZ97">IF(A96="","",IF(AND(D100="5 &amp; APS",D98="Futures"),CONCATENATE([1]AB3!$AP$7,INDEX([1]AB2!M:M,MATCH(D96,[1]AB2!B:B,0)),[1]AB3!$AQ$7),IF(AND(D100="5 &amp; APS",D98="Options Sell"),CONCATENATE([1]AB3!$AP$13,INDEX([1]AB2!L:L,MATCH(D96,[1]AB2!B:B,0)),[1]AB3!$AQ$13),IF(AND(D100="5 &amp; APS",D98="Options Buy"),CONCATENATE([1]AB3!$AP$19,INDEX([1]AB2!M:M,MATCH(D96,[1]AB2!B:B,0)),[1]AB3!$AQ$19),[1]AB3!$AR$6))))</f>
        <v>0</v>
      </c>
      <c r="BA97" s="51">
        <f>IF(AND(D98="Futures",AZ97=[1]AB3!$BC$7),[1]AB3!$BC$7,IF(AND(D98="Options Sell",AZ97=[1]AB3!$BC$13),[1]AB3!$BC$13,IF(AND(D98="Options Buy",AZ97=[1]AB3!$BC$19),[1]AB3!$BC$19,I96)))</f>
        <v>0</v>
      </c>
      <c r="BB97" s="52">
        <f t="shared" si="154"/>
        <v>0</v>
      </c>
      <c r="BC97" s="53"/>
      <c r="BD97" s="54" t="str">
        <f>IF(D98="Futures",[1]AB3!$BE$7,IF(D98="Options Sell",[1]AB3!$BE$13,IF(D98="Options Buy",[1]AB3!$BE$19)))</f>
        <v xml:space="preserve"> RC. Time</v>
      </c>
      <c r="BE97" s="55">
        <f>IF(D98="Futures",BE99+([1]AB3!$BF$7/1440),IF(D98="Options Sell",BE99+([1]AB3!$BF$13/1440),IF(D98="Options Buy",BE99+([1]AB3!$BF$19/1440))))</f>
        <v>0.38540972222222225</v>
      </c>
      <c r="BF97" s="55">
        <f>IF(D98="Futures",BE99+([1]AB3!$BG$7/1440),IF(D98="Options Sell",BE99+([1]AB3!$BG$13/1440),IF(D98="Options Buy",BE99+([1]AB3!$BG$19/1440))))</f>
        <v>0.38540972222222225</v>
      </c>
      <c r="BG97" s="55" t="str">
        <f>IF(D98="Futures",[1]AB3!$BH$7,IF(D98="Options Sell",[1]AB3!$BH$7,IF(D98="Options Buy",[1]AB3!$BH$7)))</f>
        <v>N.A.</v>
      </c>
      <c r="BH97" s="57"/>
      <c r="BI97" s="32"/>
      <c r="BJ97" s="61" t="str">
        <f>IF(D98="Futures",[1]AB3!$BK$7,IF(D98="Options Sell",[1]AB3!$BK$13,IF(D98="Options Buy",[1]AB3!$BK$19)))</f>
        <v>Short</v>
      </c>
      <c r="BK97" s="46">
        <v>0.01</v>
      </c>
      <c r="BL97" s="46">
        <v>0.01</v>
      </c>
      <c r="BM97" s="57"/>
      <c r="BN97" s="32"/>
      <c r="BO97" s="61" t="str">
        <f>IF(D98="Futures",[1]AB3!$BP$7,IF(D98="Options Sell",[1]AB3!$BP$13,IF(D98="Options Buy",[1]AB3!$BP$19)))</f>
        <v>Put</v>
      </c>
      <c r="BP97" s="43" t="str">
        <f t="array" ref="BP97">IF(A96="","",IF(D98="Futures","",IF(D98="EQUITY","",IF(D98="Options Sell",CONCATENATE([1]AB3!$BQ$13,INDEX([1]AB2!I:I,MATCH(A96,[1]AB2!A:A,0)),[1]AB3!$BR$13),IF(D98="Options Buy",CONCATENATE([1]AB3!$BQ$19,INDEX([1]AB2!I:I,MATCH(A96,[1]AB2!A:A,0)),[1]AB3!$BR$19))))))</f>
        <v/>
      </c>
      <c r="BQ97" s="58"/>
      <c r="BR97" s="58"/>
      <c r="BS97" s="58"/>
      <c r="BT97" s="58"/>
      <c r="BU97" s="58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9"/>
      <c r="CL97" s="43"/>
      <c r="CM97" s="43"/>
      <c r="CN97" s="59"/>
      <c r="CO97" s="43"/>
      <c r="CP97" s="43"/>
      <c r="CQ97" s="59"/>
      <c r="CR97" s="43"/>
      <c r="CS97" s="43"/>
      <c r="CT97" s="59"/>
      <c r="CU97" s="43"/>
      <c r="CV97" s="59"/>
      <c r="CW97" s="59"/>
    </row>
    <row r="98" spans="1:101" ht="16.5" customHeight="1" x14ac:dyDescent="0.2">
      <c r="A98" s="60"/>
      <c r="B98" s="41" t="str">
        <f>CONCATENATE(D96,IF(D98="Futures",[1]AB3!$B$8,IF(D98="Options Sell",[1]AB3!$B$14,IF(D98="Options Buy",[1]AB3!$B$20))))</f>
        <v>S16C</v>
      </c>
      <c r="C98" s="42" t="str">
        <f>IF(D98="Futures",[1]AB3!$C$8,IF(D98="Options Sell",[1]AB3!$C$14,IF(D98="Options Buy",[1]AB3!$C$20)))</f>
        <v>Segment</v>
      </c>
      <c r="D98" s="43" t="str">
        <f t="array" ref="D98">IF(A96="","",INDEX([1]AB2!C:C,MATCH(D96,[1]AB2!B:B,0)))</f>
        <v>FUTURES</v>
      </c>
      <c r="E98" s="42" t="str">
        <f>IF(D98="Futures",[1]AB3!$E$8,IF(D98="Options Sell",[1]AB3!$E$14,IF(D98="Options Buy",[1]AB3!$E$20)))</f>
        <v>Contract</v>
      </c>
      <c r="F98" s="43" t="str">
        <f t="array" ref="F98">IF(A96="","",INDEX([1]AB2!F:F,MATCH(D96,[1]AB2!B:B,0)))</f>
        <v>MONTHLY</v>
      </c>
      <c r="G98" s="62"/>
      <c r="H98" s="62"/>
      <c r="I98" s="63"/>
      <c r="J98" s="64"/>
      <c r="K98" s="48"/>
      <c r="L98" s="62"/>
      <c r="M98" s="62"/>
      <c r="N98" s="63"/>
      <c r="O98" s="64"/>
      <c r="P98" s="63"/>
      <c r="Q98" s="64"/>
      <c r="R98" s="63"/>
      <c r="S98" s="64"/>
      <c r="T98" s="63"/>
      <c r="U98" s="64"/>
      <c r="V98" s="63"/>
      <c r="W98" s="64"/>
      <c r="X98" s="63"/>
      <c r="Y98" s="63"/>
      <c r="Z98" s="48"/>
      <c r="AA98" s="62"/>
      <c r="AB98" s="62"/>
      <c r="AC98" s="62"/>
      <c r="AD98" s="48"/>
      <c r="AE98" s="62"/>
      <c r="AF98" s="62"/>
      <c r="AG98" s="63"/>
      <c r="AH98" s="63"/>
      <c r="AI98" s="48"/>
      <c r="AJ98" s="62"/>
      <c r="AK98" s="62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  <c r="BA98" s="62"/>
      <c r="BB98" s="62"/>
      <c r="BC98" s="53"/>
      <c r="BD98" s="57"/>
      <c r="BE98" s="57"/>
      <c r="BF98" s="57"/>
      <c r="BG98" s="57"/>
      <c r="BH98" s="57"/>
      <c r="BI98" s="66"/>
      <c r="BJ98" s="62"/>
      <c r="BK98" s="63"/>
      <c r="BL98" s="63"/>
      <c r="BM98" s="57"/>
      <c r="BN98" s="66"/>
      <c r="BO98" s="62"/>
      <c r="BP98" s="62"/>
      <c r="BQ98" s="62"/>
      <c r="BR98" s="62"/>
      <c r="BS98" s="62"/>
      <c r="BT98" s="62"/>
      <c r="BU98" s="62"/>
      <c r="BV98" s="62"/>
      <c r="BW98" s="62"/>
      <c r="BX98" s="62"/>
      <c r="BY98" s="62"/>
      <c r="BZ98" s="62"/>
      <c r="CA98" s="62"/>
      <c r="CB98" s="62"/>
      <c r="CC98" s="62"/>
      <c r="CD98" s="62"/>
      <c r="CE98" s="62"/>
      <c r="CF98" s="62"/>
      <c r="CG98" s="62"/>
      <c r="CH98" s="62"/>
      <c r="CI98" s="62"/>
      <c r="CJ98" s="62"/>
      <c r="CK98" s="59"/>
      <c r="CL98" s="62"/>
      <c r="CM98" s="62"/>
      <c r="CN98" s="59"/>
      <c r="CO98" s="62"/>
      <c r="CP98" s="62"/>
      <c r="CQ98" s="59"/>
      <c r="CR98" s="62"/>
      <c r="CS98" s="62"/>
      <c r="CT98" s="59"/>
      <c r="CU98" s="62"/>
      <c r="CV98" s="59"/>
      <c r="CW98" s="59"/>
    </row>
    <row r="99" spans="1:101" ht="16.5" customHeight="1" x14ac:dyDescent="0.2">
      <c r="A99" s="60"/>
      <c r="B99" s="41" t="str">
        <f>CONCATENATE(D96,IF(D98="Futures",[1]AB3!$B$9,IF(D98="Options Sell",[1]AB3!$B$15,IF(D98="Options Buy",[1]AB3!$B$21))))</f>
        <v>S16D</v>
      </c>
      <c r="C99" s="42" t="str">
        <f>IF(D98="Futures",[1]AB3!$C$9,IF(D98="Options Sell",[1]AB3!$C$15,IF(D98="Options Buy",[1]AB3!$C$21)))</f>
        <v>Symbol</v>
      </c>
      <c r="D99" s="43" t="str">
        <f t="array" ref="D99">IF(A96="","",INDEX([1]AB2!E:E,MATCH(D96,[1]AB2!B:B,0)))</f>
        <v>NATURALGAS</v>
      </c>
      <c r="E99" s="44" t="str">
        <f>IF(D98="Futures",[1]AB3!$E$9,IF(D98="Options Sell",[1]AB3!$E$15,IF(D98="Options Buy",[1]AB3!$E$21)))</f>
        <v>Bear / 
Bear CF</v>
      </c>
      <c r="F99" s="45" t="str">
        <f>IF(D98="Futures",[1]AB3!$F$9,IF(D98="Options Sell",[1]AB3!$F$15,IF(D98="Options Buy",[1]AB3!$F$21)))</f>
        <v>Long</v>
      </c>
      <c r="G99" s="43" t="str">
        <f t="array" ref="G99">IF(A96="","",IF(D98="Futures",CONCATENATE([1]AB3!$G$9,INDEX([1]AB2!J:J,MATCH(D96,[1]AB2!B:B,0)),[1]AB3!$H$9),IF(D98="Options Sell",CONCATENATE([1]AB3!$G$15,INDEX([1]AB2!I:I,MATCH(D96,[1]AB2!B:B,0)),[1]AB3!$H$15),IF(D98="Options Buy",CONCATENATE([1]AB3!$G$21,INDEX([1]AB2!J:J,MATCH(D96,[1]AB2!B:B,0)),[1]AB3!$H$21)))))</f>
        <v>FUT : PRV : 3DHH</v>
      </c>
      <c r="H99" s="43" t="str">
        <f>IF(D98="Futures",[1]AB3!$I$9,IF(D98="Options Sell",[1]AB3!$I$15,IF(D98="Options Buy",[1]AB3!$I$21)))</f>
        <v xml:space="preserve"> + </v>
      </c>
      <c r="I99" s="46">
        <v>0.01</v>
      </c>
      <c r="J99" s="47">
        <v>5</v>
      </c>
      <c r="K99" s="48"/>
      <c r="L99" s="43" t="str">
        <f>IF(D98="Futures",[1]AB3!$M$9,IF(D98="Options Sell",[1]AB3!$M$15,IF(D98="Options Buy",[1]AB3!$M$21)))</f>
        <v xml:space="preserve">L : Entry </v>
      </c>
      <c r="M99" s="43" t="str">
        <f>IF(D98="Futures",[1]AB3!$N$9,IF(D98="Options Sell",[1]AB3!$N$15,IF(D98="Options Buy",[1]AB3!$N$21)))</f>
        <v xml:space="preserve"> + </v>
      </c>
      <c r="N99" s="46">
        <v>0.03</v>
      </c>
      <c r="O99" s="47">
        <v>1</v>
      </c>
      <c r="P99" s="46">
        <v>0.04</v>
      </c>
      <c r="Q99" s="47">
        <v>1</v>
      </c>
      <c r="R99" s="46">
        <v>0.05</v>
      </c>
      <c r="S99" s="47">
        <v>1</v>
      </c>
      <c r="T99" s="46">
        <v>0.06</v>
      </c>
      <c r="U99" s="47">
        <v>1</v>
      </c>
      <c r="V99" s="50" t="s">
        <v>51</v>
      </c>
      <c r="W99" s="47">
        <v>1</v>
      </c>
      <c r="X99" s="50" t="s">
        <v>52</v>
      </c>
      <c r="Y99" s="50" t="s">
        <v>52</v>
      </c>
      <c r="Z99" s="48"/>
      <c r="AA99" s="43" t="str">
        <f>IF(D98="Futures",[1]AB3!$AD$9,IF(D98="Options Sell",[1]AB3!$AD$15,IF(D98="Options Buy",[1]AB3!$AD$21)))</f>
        <v>Max</v>
      </c>
      <c r="AB99" s="43" t="str">
        <f>IF(D98="Futures",[1]AB3!$AE$9,IF(D98="Options Sell",[1]AB3!$AE$15,IF(D98="Options Buy",[1]AB3!$AE$21)))</f>
        <v>MSL &amp; TSL</v>
      </c>
      <c r="AC99" s="43" t="str">
        <f>IF(D98="Futures",[1]AB3!$AF$9,IF(D98="Options Sell",[1]AB3!$AF$15,IF(D98="Options Buy",[1]AB3!$AF$21)))</f>
        <v>Entry &amp; TRP</v>
      </c>
      <c r="AD99" s="48"/>
      <c r="AE99" s="43" t="str">
        <f>IF(D98="Futures",[1]AB3!$AH$9,IF(D98="Options Sell",[1]AB3!$AH$15,IF(D98="Options Buy",[1]AB3!$AH$21)))</f>
        <v>L : Entry</v>
      </c>
      <c r="AF99" s="43" t="str">
        <f>IF(D98="Futures",[1]AB3!$AI$9,IF(D98="Options Sell",[1]AB3!$AI$15,IF(D98="Options Buy",[1]AB3!$AI$21)))</f>
        <v xml:space="preserve"> - </v>
      </c>
      <c r="AG99" s="46">
        <v>0.03</v>
      </c>
      <c r="AH99" s="46">
        <v>0</v>
      </c>
      <c r="AI99" s="48"/>
      <c r="AJ99" s="43" t="str">
        <f>IF(D98="Futures",[1]AB3!$AO$9,IF(D98="Options Sell",[1]AB3!$AO$15,IF(D98="Options Buy",[1]AB3!$AO$21)))</f>
        <v xml:space="preserve"> - </v>
      </c>
      <c r="AK99" s="43" t="str">
        <f t="array" ref="AK99">IF(A96="","",IF(D98="Futures",CONCATENATE([1]AB3!$AP$9,INDEX([1]AB2!M:M,MATCH(D96,[1]AB2!B:B,0)),[1]AB3!$AQ$9),IF(D98="Options Sell",CONCATENATE([1]AB3!$AP$15,INDEX([1]AB2!L:L,MATCH(D96,[1]AB2!B:B,0)),[1]AB3!$AQ$15),IF(D98="Options Buy",CONCATENATE([1]AB3!$AP$21,INDEX([1]AB2!M:M,MATCH(D96,[1]AB2!B:B,0)),[1]AB3!$AQ$21)))))</f>
        <v>FUT : PRV : 2DLL</v>
      </c>
      <c r="AL99" s="51">
        <f>IF(AND(D98="Futures",AK99=[1]AB3!$AS$9),[1]AB3!$AS$9,IF(AND(D98="Options Sell",AK99=[1]AB3!$AS$15),[1]AB3!$AS$15,IF(AND(D98="Options Buy",AK99=[1]AB3!$AS$21),[1]AB3!$AS$21,I100)))</f>
        <v>0</v>
      </c>
      <c r="AM99" s="52">
        <f>J100</f>
        <v>5</v>
      </c>
      <c r="AN99" s="43" t="str">
        <f t="array" ref="AN99">IF(A96="","",IF(AND(OR(D100="1 &amp; APS",D100="2 &amp; APS",D100="3 &amp; APS",D100="4 &amp; APS",D100="5 &amp; APS"),D98="Futures"),CONCATENATE([1]AB3!$AP$9,INDEX([1]AB2!M:M,MATCH(D96,[1]AB2!B:B,0)),[1]AB3!$AQ$9),IF(AND(OR(D100="1 &amp; APS",D100="2 &amp; APS",D100="3 &amp; APS",D100="4 &amp; APS",D100="5 &amp; APS"),D98="Options Sell"),CONCATENATE([1]AB3!$AP$15,INDEX([1]AB2!L:L,MATCH(D96,[1]AB2!B:B,0)),[1]AB3!$AQ$15),IF(AND(OR(D100="1 &amp; APS",D100="2 &amp; APS",D100="3 &amp; APS",D100="4 &amp; APS",D100="5 &amp; APS"),D98="Options Buy"),CONCATENATE([1]AB3!$AP$21,INDEX([1]AB2!M:M,MATCH(D96,[1]AB2!B:B,0)),[1]AB3!$AQ$21),[1]AB3!$AR$6))))</f>
        <v>FUT : PRV : 2DLL</v>
      </c>
      <c r="AO99" s="51">
        <f>IF(AND(D98="Futures",AN99=[1]AB3!$AU$9),[1]AB3!$AU$9,IF(AND(D98="Options Sell",AN99=[1]AB3!$AU$15),[1]AB3!$AU$15,IF(AND(D98="Options Buy",AN99=[1]AB3!$AU$21),[1]AB3!$AU$21,I100)))</f>
        <v>0</v>
      </c>
      <c r="AP99" s="52">
        <f t="shared" ref="AP99:AP100" si="155">AM99-O99</f>
        <v>4</v>
      </c>
      <c r="AQ99" s="43" t="str">
        <f t="array" ref="AQ99">IF(A96="","",IF(AND(OR(D100="2 &amp; APS",D100="3 &amp; APS",D100="4 &amp; APS",D100="5 &amp; APS"),D98="Futures"),CONCATENATE([1]AB3!$AP$9,INDEX([1]AB2!M:M,MATCH(D96,[1]AB2!B:B,0)),[1]AB3!$AQ$9),IF(AND(OR(D100="2 &amp; APS",D100="3 &amp; APS",D100="4 &amp; APS",D100="5 &amp; APS"),D98="Options Sell"),CONCATENATE([1]AB3!$AP$15,INDEX([1]AB2!L:L,MATCH(D96,[1]AB2!B:B,0)),[1]AB3!$AQ$15),IF(AND(OR(D100="2 &amp; APS",D100="3 &amp; APS",D100="4 &amp; APS",D100="5 &amp; APS"),D98="Options Buy"),CONCATENATE([1]AB3!$AP$21,INDEX([1]AB2!M:M,MATCH(D96,[1]AB2!B:B,0)),[1]AB3!$AQ$21),[1]AB3!$AR$6))))</f>
        <v>FUT : PRV : 2DLL</v>
      </c>
      <c r="AR99" s="51">
        <f>IF(AND(D98="Futures",AQ99=[1]AB3!$AW$9),[1]AB3!$AW$9,IF(AND(D98="Options Sell",AQ99=[1]AB3!$AW$15),[1]AB3!$AW$15,IF(AND(D98="Options Buy",AQ99=[1]AB3!$AW$21),[1]AB3!$AW$21,I100)))</f>
        <v>0</v>
      </c>
      <c r="AS99" s="52">
        <f t="shared" ref="AS99:AS100" si="156">AP99-Q99</f>
        <v>3</v>
      </c>
      <c r="AT99" s="43" t="str">
        <f t="array" ref="AT99">IF(A96="","",IF(AND(OR(D100="3 &amp; APS",D100="4 &amp; APS",D100="5 &amp; APS"),D98="Futures"),CONCATENATE([1]AB3!$AP$9,INDEX([1]AB2!M:M,MATCH(D96,[1]AB2!B:B,0)),[1]AB3!$AQ$9),IF(AND(OR(D100="3 &amp; APS",D100="4 &amp; APS",D100="5 &amp; APS"),D98="Options Sell"),CONCATENATE([1]AB3!$AP$15,INDEX([1]AB2!L:L,MATCH(D96,[1]AB2!B:B,0)),[1]AB3!$AQ$15),IF(AND(OR(D100="3 &amp; APS",D100="4 &amp; APS",D100="5 &amp; APS"),D98="Options Buy"),CONCATENATE([1]AB3!$AP$21,INDEX([1]AB2!M:M,MATCH(D96,[1]AB2!B:B,0)),[1]AB3!$AQ$21),[1]AB3!$AR$6))))</f>
        <v>FUT : PRV : 2DLL</v>
      </c>
      <c r="AU99" s="51">
        <f>IF(AND(D98="Futures",AT99=[1]AB3!$AY$9),[1]AB3!$AY$9,IF(AND(D98="Options Sell",AT99=[1]AB3!$AY$15),[1]AB3!$AY$15,IF(AND(D98="Options Buy",AT99=[1]AB3!$AY$21),[1]AB3!$AY$21,I100)))</f>
        <v>0</v>
      </c>
      <c r="AV99" s="52">
        <f t="shared" ref="AV99:AV100" si="157">AS99-S99</f>
        <v>2</v>
      </c>
      <c r="AW99" s="43" t="str">
        <f t="array" ref="AW99">IF(A96="","",IF(AND(OR(D100="4 &amp; APS",D100="5 &amp; APS"),D98="Futures"),CONCATENATE([1]AB3!$AP$9,INDEX([1]AB2!M:M,MATCH(D96,[1]AB2!B:B,0)),[1]AB3!$AQ$9),IF(AND(OR(D100="4 &amp; APS",D100="5 &amp; APS"),D98="Options Sell"),CONCATENATE([1]AB3!$AP$15,INDEX([1]AB2!L:L,MATCH(D96,[1]AB2!B:B,0)),[1]AB3!$AQ$15),IF(AND(OR(D100="4 &amp; APS",D100="5 &amp; APS"),D98="Options Buy"),CONCATENATE([1]AB3!$AP$21,INDEX([1]AB2!M:M,MATCH(D96,[1]AB2!B:B,0)),[1]AB3!$AQ$21),[1]AB3!$AR$6))))</f>
        <v>FUT : PRV : 2DLL</v>
      </c>
      <c r="AX99" s="51">
        <f>IF(AND(D98="Futures",AW99=[1]AB3!$BA$9),[1]AB3!$BA$9,IF(AND(D98="Options Sell",AW99=[1]AB3!$BA$15),[1]AB3!$BA$15,IF(AND(D98="Options Buy",AW99=[1]AB3!$BA$21),[1]AB3!$BA$21,I100)))</f>
        <v>0</v>
      </c>
      <c r="AY99" s="52">
        <f t="shared" ref="AY99:AY100" si="158">AV99-S99</f>
        <v>1</v>
      </c>
      <c r="AZ99" s="51">
        <f t="array" ref="AZ99">IF(A96="","",IF(AND(D100="5 &amp; APS",D98="Futures"),CONCATENATE([1]AB3!$AP$9,INDEX([1]AB2!M:M,MATCH(D96,[1]AB2!B:B,0)),[1]AB3!$AQ$9),IF(AND(D100="5 &amp; APS",D98="Options Sell"),CONCATENATE([1]AB3!$AP$15,INDEX([1]AB2!L:L,MATCH(D96,[1]AB2!B:B,0)),[1]AB3!$AQ$15),IF(AND(D100="5 &amp; APS",D98="Options Buy"),CONCATENATE([1]AB3!$AP$21,INDEX([1]AB2!M:M,MATCH(D96,[1]AB2!B:B,0)),[1]AB3!$AQ$21),[1]AB3!$AR$6))))</f>
        <v>0</v>
      </c>
      <c r="BA99" s="51">
        <f>IF(AND(D98="Futures",AZ99=[1]AB3!$BC$9),[1]AB3!$BC$9,IF(AND(D98="Options Sell",AZ99=[1]AB3!$BC$15),[1]AB3!$BC$15,IF(AND(D98="Options Buy",AZ99=[1]AB3!$BC$21),[1]AB3!$BC$21,I100)))</f>
        <v>0</v>
      </c>
      <c r="BB99" s="52">
        <f t="shared" ref="BB99:BB100" si="159">AY99-W99</f>
        <v>0</v>
      </c>
      <c r="BC99" s="53"/>
      <c r="BD99" s="54" t="str">
        <f>IF(D98="Futures",[1]AB3!$BE$9,IF(D98="Options Sell",[1]AB3!$BE$15,IF(D98="Options Buy",[1]AB3!$BE$21)))</f>
        <v>Market Start Time</v>
      </c>
      <c r="BE99" s="67">
        <f t="array" ref="BE99">IF(D96="","",INDEX([1]AB2!AG:AG,MATCH(D96,[1]AB2!B:B,0)))</f>
        <v>0.375</v>
      </c>
      <c r="BF99" s="11"/>
      <c r="BG99" s="12"/>
      <c r="BH99" s="57"/>
      <c r="BI99" s="68" t="str">
        <f>IF(D98="Futures",[1]AB3!$BJ$9,IF(D98="Options Sell",[1]AB3!$BJ$15,IF(D98="Options Buy",[1]AB3!$BJ$21)))</f>
        <v>Bear / 
Bear CF</v>
      </c>
      <c r="BJ99" s="45" t="str">
        <f>IF(D98="Futures",[1]AB3!$BK$9,IF(D98="Options Sell",[1]AB3!$BK$15,IF(D98="Options Buy",[1]AB3!$BK$21)))</f>
        <v>Long</v>
      </c>
      <c r="BK99" s="46">
        <v>0.01</v>
      </c>
      <c r="BL99" s="46">
        <v>0.01</v>
      </c>
      <c r="BM99" s="57"/>
      <c r="BN99" s="68" t="str">
        <f>IF(D98="Futures",[1]AB3!$BO$9,IF(D98="Options Sell",[1]AB3!$BO$15,IF(D98="Options Buy",[1]AB3!$BO$21)))</f>
        <v>Bear | 
Bear CF</v>
      </c>
      <c r="BO99" s="45" t="str">
        <f>IF(D98="Futures",[1]AB3!$BP$9,IF(D98="Options Sell",[1]AB3!$BP$15,IF(D98="Options Buy",[1]AB3!$BP$21)))</f>
        <v>Call</v>
      </c>
      <c r="BP99" s="43" t="str">
        <f t="array" ref="BP99">IF(A96="","",IF(D98="Futures","",IF(D98="EQUITY","",IF(D98="Options Sell",CONCATENATE([1]AB3!$BQ$15,INDEX([1]AB2!I:I,MATCH(A96,[1]AB2!A:A,0)),[1]AB3!$BR$15),IF(D98="Options Buy",CONCATENATE([1]AB3!$BQ$21,INDEX([1]AB2!I:I,MATCH(A96,[1]AB2!A:A,0)),[1]AB3!$BR$21))))))</f>
        <v/>
      </c>
      <c r="BQ99" s="58"/>
      <c r="BR99" s="58"/>
      <c r="BS99" s="58"/>
      <c r="BT99" s="58"/>
      <c r="BU99" s="58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9"/>
      <c r="CL99" s="43"/>
      <c r="CM99" s="43"/>
      <c r="CN99" s="59"/>
      <c r="CO99" s="43"/>
      <c r="CP99" s="43"/>
      <c r="CQ99" s="59"/>
      <c r="CR99" s="43"/>
      <c r="CS99" s="43"/>
      <c r="CT99" s="59"/>
      <c r="CU99" s="43"/>
      <c r="CV99" s="59"/>
      <c r="CW99" s="59"/>
    </row>
    <row r="100" spans="1:101" ht="16.5" customHeight="1" x14ac:dyDescent="0.2">
      <c r="A100" s="32"/>
      <c r="B100" s="41" t="str">
        <f>CONCATENATE(D96,IF(D98="Futures",[1]AB3!$B$10,IF(D98="Options Sell",[1]AB3!$B$16,IF(D98="Options Buy",[1]AB3!$B$22))))</f>
        <v>S16E</v>
      </c>
      <c r="C100" s="42" t="str">
        <f>IF(D98="Futures",[1]AB3!$E$8,IF(D98="Options Sell",[1]AB3!$E$14,IF(D98="Options Buy",[1]AB3!$E$20)))</f>
        <v>Contract</v>
      </c>
      <c r="D100" s="43" t="str">
        <f t="array" ref="D100">IF(A96="","",INDEX([1]AB2!K:K,MATCH(D96,[1]AB2!B:B,0)))</f>
        <v>4 &amp; APS</v>
      </c>
      <c r="E100" s="32"/>
      <c r="F100" s="61" t="str">
        <f>IF(D98="Futures",[1]AB3!$F$10,IF(D98="Options Sell",[1]AB3!$F$16,IF(D98="Options Buy",[1]AB3!$F$22)))</f>
        <v>Short</v>
      </c>
      <c r="G100" s="43" t="str">
        <f t="array" ref="G100">(IF(A96="","",IF(D98="Futures",CONCATENATE([1]AB3!$G$10,INDEX([1]AB2!I:I,MATCH(D96,[1]AB2!B:B,0)),[1]AB3!$H$10),IF(D98="Options Sell",CONCATENATE([1]AB3!$G$16,INDEX([1]AB2!J:J,MATCH(D96,[1]AB2!B:B,0)),[1]AB3!$H$16),IF(D98="Options Buy",CONCATENATE([1]AB3!$G$22,INDEX([1]AB2!I:I,MATCH(D96,[1]AB2!B:B,0)),[1]AB3!$H$22))))))</f>
        <v>FUT : PRV : 2DLL</v>
      </c>
      <c r="H100" s="43" t="str">
        <f>IF(D98="Futures",[1]AB3!$I$10,IF(D98="Options Sell",[1]AB3!$I$16,IF(D98="Options Buy",[1]AB3!$I$22)))</f>
        <v xml:space="preserve"> - </v>
      </c>
      <c r="I100" s="46">
        <v>0</v>
      </c>
      <c r="J100" s="47">
        <v>5</v>
      </c>
      <c r="K100" s="48"/>
      <c r="L100" s="43" t="str">
        <f>IF(D98="Futures",[1]AB3!$M$10,IF(D98="Options Sell",[1]AB3!$M$16,IF(D98="Options Buy",[1]AB3!$M$22)))</f>
        <v xml:space="preserve">S : Entry </v>
      </c>
      <c r="M100" s="43" t="str">
        <f>IF(D98="Futures",[1]AB3!$N$10,IF(D98="Options Sell",[1]AB3!$N$16,IF(D98="Options Buy",[1]AB3!$N$22)))</f>
        <v xml:space="preserve"> - </v>
      </c>
      <c r="N100" s="46">
        <v>0.03</v>
      </c>
      <c r="O100" s="47">
        <v>1</v>
      </c>
      <c r="P100" s="46">
        <v>0.04</v>
      </c>
      <c r="Q100" s="47">
        <v>1</v>
      </c>
      <c r="R100" s="46">
        <v>0.05</v>
      </c>
      <c r="S100" s="47">
        <v>1</v>
      </c>
      <c r="T100" s="46">
        <v>0.06</v>
      </c>
      <c r="U100" s="47">
        <v>1</v>
      </c>
      <c r="V100" s="50" t="s">
        <v>51</v>
      </c>
      <c r="W100" s="47">
        <v>1</v>
      </c>
      <c r="X100" s="50" t="s">
        <v>52</v>
      </c>
      <c r="Y100" s="50" t="s">
        <v>52</v>
      </c>
      <c r="Z100" s="48"/>
      <c r="AA100" s="43" t="str">
        <f>IF(D98="Futures",[1]AB3!$AD$10,IF(D98="Options Sell",[1]AB3!$AD$16,IF(D98="Options Buy",[1]AB3!$AD$22)))</f>
        <v>Min</v>
      </c>
      <c r="AB100" s="43" t="str">
        <f>IF(D98="Futures",[1]AB3!$AE$10,IF(D98="Options Sell",[1]AB3!$AE$16,IF(D98="Options Buy",[1]AB3!$AE$22)))</f>
        <v>MSL &amp; TSL</v>
      </c>
      <c r="AC100" s="43" t="str">
        <f>IF(D98="Futures",[1]AB3!$AF$10,IF(D98="Options Sell",[1]AB3!$AF$16,IF(D98="Options Buy",[1]AB3!$AF$22)))</f>
        <v>Entry &amp; TRP</v>
      </c>
      <c r="AD100" s="48"/>
      <c r="AE100" s="43" t="str">
        <f>IF(D98="Futures",[1]AB3!$AH$10,IF(D98="Options Sell",[1]AB3!$AH$16,IF(D98="Options Buy",[1]AB3!$AH$22)))</f>
        <v>S : Entry</v>
      </c>
      <c r="AF100" s="43" t="str">
        <f>IF(D98="Futures",[1]AB3!$AI$10,IF(D98="Options Sell",[1]AB3!$AI$16,IF(D98="Options Buy",[1]AB3!$AI$22)))</f>
        <v xml:space="preserve"> + </v>
      </c>
      <c r="AG100" s="46">
        <v>0.03</v>
      </c>
      <c r="AH100" s="46">
        <v>0</v>
      </c>
      <c r="AI100" s="48"/>
      <c r="AJ100" s="43" t="str">
        <f>IF(D98="Futures",[1]AB3!$AO$10,IF(D98="Options Sell",[1]AB3!$AO$16,IF(D98="Options Buy",[1]AB3!$AO$22)))</f>
        <v xml:space="preserve"> + </v>
      </c>
      <c r="AK100" s="43" t="str">
        <f t="array" ref="AK100">IF(A96="","",IF(D98="Futures",CONCATENATE([1]AB3!$AP$10,INDEX([1]AB2!L:L,MATCH(D96,[1]AB2!B:B,0)),[1]AB3!$AQ$10),IF(D98="Options Sell",CONCATENATE([1]AB3!$AP$16,INDEX([1]AB2!M:M,MATCH(D96,[1]AB2!B:B,0)),[1]AB3!$AQ$16),IF(D98="Options Buy",CONCATENATE([1]AB3!$AP$22,INDEX([1]AB2!L:L,MATCH(D96,[1]AB2!B:B,0)),[1]AB3!$AQ$22)))))</f>
        <v>FUT : PRV : 3DHH</v>
      </c>
      <c r="AL100" s="51">
        <f>IF(AND(D98="Futures",AK100=[1]AB3!$AS$10),[1]AB3!$AS$10,IF(AND(D98="Options Sell",AK100=[1]AB3!$AS$16),[1]AB3!$AS$16,IF(AND(D98="Options Buy",AK100=[1]AB3!$AS$22),[1]AB3!$AS$22,I99)))</f>
        <v>0.01</v>
      </c>
      <c r="AM100" s="52">
        <f>J99</f>
        <v>5</v>
      </c>
      <c r="AN100" s="43" t="str">
        <f t="array" ref="AN100">IF(A96="","",IF(AND(OR(D100="1 &amp; APS",D100="2 &amp; APS",D100="3 &amp; APS",D100="4 &amp; APS",D100="5 &amp; APS"),D98="Futures"),CONCATENATE([1]AB3!$AP$10,INDEX([1]AB2!L:L,MATCH(D96,[1]AB2!B:B,0)),[1]AB3!$AQ$10),IF(AND(OR(D100="1 &amp; APS",D100="2 &amp; APS",D100="3 &amp; APS",D100="4 &amp; APS",D100="5 &amp; APS"),D98="Options Sell"),CONCATENATE([1]AB3!$AP$16,INDEX([1]AB2!M:M,MATCH(D96,[1]AB2!B:B,0)),[1]AB3!$AQ$16),IF(AND(OR(D100="1 &amp; APS",D100="2 &amp; APS",D100="3 &amp; APS",D100="4 &amp; APS",D100="5 &amp; APS"),D98="Options Buy"),CONCATENATE([1]AB3!$AP$22,INDEX([1]AB2!L:L,MATCH(D96,[1]AB2!B:B,0)),[1]AB3!$AQ$22),[1]AB3!$AR$6))))</f>
        <v>FUT : PRV : 3DHH</v>
      </c>
      <c r="AO100" s="51">
        <f>IF(AND(D98="Futures",AN100=[1]AB3!$AU$10),[1]AB3!$AU$10,IF(AND(D98="Options Sell",AN100=[1]AB3!$AU$16),[1]AB3!$AU$16,IF(AND(D98="Options Buy",AN100=[1]AB3!$AU$22),[1]AB3!$AU$22,I99)))</f>
        <v>0.01</v>
      </c>
      <c r="AP100" s="52">
        <f t="shared" si="155"/>
        <v>4</v>
      </c>
      <c r="AQ100" s="43" t="str">
        <f t="array" ref="AQ100">IF(A96="","",IF(AND(OR(D100="2 &amp; APS",D100="3 &amp; APS",D100="4 &amp; APS",D100="5 &amp; APS"),D98="Futures"),CONCATENATE([1]AB3!$AP$10,INDEX([1]AB2!L:L,MATCH(D96,[1]AB2!B:B,0)),[1]AB3!$AQ$10),IF(AND(OR(D100="2 &amp; APS",D100="3 &amp; APS",D100="4 &amp; APS",D100="5 &amp; APS"),D98="Options Sell"),CONCATENATE([1]AB3!$AP$16,INDEX([1]AB2!M:M,MATCH(D96,[1]AB2!B:B,0)),[1]AB3!$AQ$16),IF(AND(OR(D100="2 &amp; APS",D100="3 &amp; APS",D100="4 &amp; APS",D100="5 &amp; APS"),D98="Options Buy"),CONCATENATE([1]AB3!$AP$22,INDEX([1]AB2!L:L,MATCH(D96,[1]AB2!B:B,0)),[1]AB3!$AQ$22),[1]AB3!$AR$6))))</f>
        <v>FUT : PRV : 3DHH</v>
      </c>
      <c r="AR100" s="51">
        <f>IF(AND(D98="Futures",AQ100=[1]AB3!$AW$10),[1]AB3!$AW$10,IF(AND(D98="Options Sell",AQ100=[1]AB3!$AW$16),[1]AB3!$AW$16,IF(AND(D98="Options Buy",AQ100=[1]AB3!$AW$22),[1]AB3!$AW$22,I99)))</f>
        <v>0.01</v>
      </c>
      <c r="AS100" s="52">
        <f t="shared" si="156"/>
        <v>3</v>
      </c>
      <c r="AT100" s="43" t="str">
        <f t="array" ref="AT100">IF(A96="","",IF(AND(OR(D100="3 &amp; APS",D100="4 &amp; APS",D100="5 &amp; APS"),D98="Futures"),CONCATENATE([1]AB3!$AP$10,INDEX([1]AB2!L:L,MATCH(D96,[1]AB2!B:B,0)),[1]AB3!$AQ$10),IF(AND(OR(D100="3 &amp; APS",D100="4 &amp; APS",D100="5 &amp; APS"),D98="Options Sell"),CONCATENATE([1]AB3!$AP$16,INDEX([1]AB2!M:M,MATCH(D96,[1]AB2!B:B,0)),[1]AB3!$AQ$16),IF(AND(OR(D100="3 &amp; APS",D100="4 &amp; APS",D100="5 &amp; APS"),D98="Options Buy"),CONCATENATE([1]AB3!$AP$22,INDEX([1]AB2!L:L,MATCH(D96,[1]AB2!B:B,0)),[1]AB3!$AQ$22),[1]AB3!$AR$6))))</f>
        <v>FUT : PRV : 3DHH</v>
      </c>
      <c r="AU100" s="51">
        <f>IF(AND(D98="Futures",AT100=[1]AB3!$AY$10),[1]AB3!$AY$10,IF(AND(D98="Options Sell",AT100=[1]AB3!$AY$16),[1]AB3!$AY$16,IF(AND(D98="Options Buy",AT100=[1]AB3!$AY$22),[1]AB3!$AY$22,I99)))</f>
        <v>0.01</v>
      </c>
      <c r="AV100" s="52">
        <f t="shared" si="157"/>
        <v>2</v>
      </c>
      <c r="AW100" s="43" t="str">
        <f t="array" ref="AW100">IF(A96="","",IF(AND(OR(D100="4 &amp; APS",D100="5 &amp; APS"),D98="Futures"),CONCATENATE([1]AB3!$AP$10,INDEX([1]AB2!L:L,MATCH(D96,[1]AB2!B:B,0)),[1]AB3!$AQ$10),IF(AND(OR(D100="4 &amp; APS",D100="5 &amp; APS"),D98="Options Sell"),CONCATENATE([1]AB3!$AP$16,INDEX([1]AB2!M:M,MATCH(D96,[1]AB2!B:B,0)),[1]AB3!$AQ$16),IF(AND(OR(D100="4 &amp; APS",D100="5 &amp; APS"),D98="Options Buy"),CONCATENATE([1]AB3!$AP$22,INDEX([1]AB2!L:L,MATCH(D96,[1]AB2!B:B,0)),[1]AB3!$AQ$22),[1]AB3!$AR$6))))</f>
        <v>FUT : PRV : 3DHH</v>
      </c>
      <c r="AX100" s="51">
        <f>IF(AND(D98="Futures",AW100=[1]AB3!$BA$10),[1]AB3!$BA$10,IF(AND(D98="Options Sell",AW100=[1]AB3!$BA$16),[1]AB3!$BA$16,IF(AND(D98="Options Buy",AW100=[1]AB3!$BA$22),[1]AB3!$BA$22,I99)))</f>
        <v>0.01</v>
      </c>
      <c r="AY100" s="52">
        <f t="shared" si="158"/>
        <v>1</v>
      </c>
      <c r="AZ100" s="51">
        <f t="array" ref="AZ100">IF(A96="","",IF(AND(D100="5 &amp; APS",D98="Futures"),CONCATENATE([1]AB3!$AP$10,INDEX([1]AB2!L:L,MATCH(D96,[1]AB2!B:B,0)),[1]AB3!$AQ$10),IF(AND(D100="5 &amp; APS",D98="Options Sell"),CONCATENATE([1]AB3!$AP$16,INDEX([1]AB2!M:M,MATCH(D96,[1]AB2!B:B,0)),[1]AB3!$AQ$16),IF(AND(D100="5 &amp; APS",D98="Options Buy"),CONCATENATE([1]AB3!$AP$22,INDEX([1]AB2!L:L,MATCH(D96,[1]AB2!B:B,0)),[1]AB3!$AQ$22),[1]AB3!$AR$6))))</f>
        <v>0</v>
      </c>
      <c r="BA100" s="51">
        <f>IF(AND(D98="Futures",AZ100=[1]AB3!$BC$10),[1]AB3!$BC$10,IF(AND(D98="Options Sell",AZ100=[1]AB3!$BC$16),[1]AB3!$BC$16,IF(AND(D98="Options Buy",AZ100=[1]AB3!$BC$22),[1]AB3!$BC$22,I99)))</f>
        <v>0</v>
      </c>
      <c r="BB100" s="52">
        <f t="shared" si="159"/>
        <v>0</v>
      </c>
      <c r="BC100" s="53"/>
      <c r="BD100" s="54" t="str">
        <f>IF(D98="Futures",[1]AB3!$BE$10,IF(D98="Options Sell",[1]AB3!$BE$16,IF(D98="Options Buy",[1]AB3!$BE$22)))</f>
        <v>Market End Time</v>
      </c>
      <c r="BE100" s="67">
        <f t="array" ref="BE100">IF(D96="","",INDEX([1]AB2!AH:AH,MATCH(D96,[1]AB2!B:B,0)))</f>
        <v>0.97916666666666663</v>
      </c>
      <c r="BF100" s="11"/>
      <c r="BG100" s="12"/>
      <c r="BH100" s="57"/>
      <c r="BI100" s="32"/>
      <c r="BJ100" s="61" t="str">
        <f>IF(D98="Futures",[1]AB3!$BK$10,IF(D98="Options Sell",[1]AB3!$BK$16,IF(D98="Options Buy",[1]AB3!$BK$22)))</f>
        <v>Short</v>
      </c>
      <c r="BK100" s="46">
        <v>0.01</v>
      </c>
      <c r="BL100" s="46">
        <v>0.01</v>
      </c>
      <c r="BM100" s="57"/>
      <c r="BN100" s="32"/>
      <c r="BO100" s="61" t="str">
        <f>IF(D98="Futures",[1]AB3!$BP$10,IF(D98="Options Sell",[1]AB3!$BP$16,IF(D98="Options Buy",[1]AB3!$BP$22)))</f>
        <v>Put</v>
      </c>
      <c r="BP100" s="43" t="str">
        <f t="array" ref="BP100">IF(A96="","",IF(D98="Futures","",IF(D98="EQUITY","",IF(D98="Options Sell",CONCATENATE([1]AB3!$BQ$16,INDEX([1]AB2!J:J,MATCH(A96,[1]AB2!A:A,0)),[1]AB3!$BR$16),IF(D98="Options Buy",CONCATENATE([1]AB3!$BQ$22,INDEX([1]AB2!J:J,MATCH(A96,[1]AB2!A:A,0)),[1]AB3!$BR$22))))))</f>
        <v/>
      </c>
      <c r="BQ100" s="58"/>
      <c r="BR100" s="58"/>
      <c r="BS100" s="58"/>
      <c r="BT100" s="58"/>
      <c r="BU100" s="58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9"/>
      <c r="CL100" s="43"/>
      <c r="CM100" s="43"/>
      <c r="CN100" s="59"/>
      <c r="CO100" s="43"/>
      <c r="CP100" s="43"/>
      <c r="CQ100" s="59"/>
      <c r="CR100" s="43"/>
      <c r="CS100" s="43"/>
      <c r="CT100" s="59"/>
      <c r="CU100" s="43"/>
      <c r="CV100" s="59"/>
      <c r="CW100" s="59"/>
    </row>
    <row r="101" spans="1:101" ht="15.75" customHeight="1" x14ac:dyDescent="0.2">
      <c r="A101" s="1"/>
      <c r="B101" s="2"/>
      <c r="C101" s="2"/>
      <c r="D101" s="2"/>
      <c r="E101" s="2"/>
      <c r="F101" s="2"/>
      <c r="G101" s="2"/>
      <c r="H101" s="2"/>
      <c r="I101" s="2"/>
      <c r="J101" s="64"/>
      <c r="K101" s="2"/>
      <c r="L101" s="2"/>
      <c r="M101" s="2"/>
      <c r="N101" s="2"/>
      <c r="O101" s="64"/>
      <c r="P101" s="2"/>
      <c r="Q101" s="64"/>
      <c r="R101" s="69"/>
      <c r="S101" s="64"/>
      <c r="T101" s="70"/>
      <c r="U101" s="64"/>
      <c r="V101" s="2"/>
      <c r="W101" s="64"/>
      <c r="X101" s="2"/>
      <c r="Y101" s="2"/>
      <c r="Z101" s="2"/>
      <c r="AA101" s="20"/>
      <c r="AB101" s="71"/>
      <c r="AC101" s="71"/>
      <c r="AD101" s="2"/>
      <c r="AE101" s="70"/>
      <c r="AF101" s="70"/>
      <c r="AG101" s="70"/>
      <c r="AH101" s="70"/>
      <c r="AI101" s="2"/>
      <c r="AJ101" s="70"/>
      <c r="AK101" s="70"/>
      <c r="AL101" s="70"/>
      <c r="AM101" s="64"/>
      <c r="AN101" s="70"/>
      <c r="AO101" s="70"/>
      <c r="AP101" s="64"/>
      <c r="AQ101" s="70"/>
      <c r="AR101" s="70"/>
      <c r="AS101" s="64"/>
      <c r="AT101" s="70"/>
      <c r="AU101" s="70"/>
      <c r="AV101" s="64"/>
      <c r="AW101" s="70"/>
      <c r="AX101" s="70"/>
      <c r="AY101" s="64"/>
      <c r="AZ101" s="70"/>
      <c r="BA101" s="70"/>
      <c r="BB101" s="64"/>
      <c r="BC101" s="70"/>
      <c r="BD101" s="70"/>
      <c r="BE101" s="70"/>
      <c r="BF101" s="70"/>
      <c r="BG101" s="70"/>
      <c r="BH101" s="70"/>
      <c r="BI101" s="70"/>
      <c r="BJ101" s="70"/>
      <c r="BK101" s="2"/>
      <c r="BL101" s="2"/>
      <c r="BM101" s="70"/>
      <c r="BN101" s="70"/>
      <c r="BO101" s="70"/>
      <c r="BP101" s="70"/>
      <c r="BQ101" s="70"/>
      <c r="BR101" s="70"/>
      <c r="BS101" s="70"/>
      <c r="BT101" s="70"/>
      <c r="BU101" s="70"/>
      <c r="BV101" s="70"/>
      <c r="BW101" s="70"/>
      <c r="BX101" s="70"/>
      <c r="BY101" s="70"/>
      <c r="BZ101" s="70"/>
      <c r="CA101" s="70"/>
      <c r="CB101" s="70"/>
      <c r="CC101" s="70"/>
      <c r="CD101" s="70"/>
      <c r="CE101" s="70"/>
      <c r="CF101" s="70"/>
      <c r="CG101" s="70"/>
      <c r="CH101" s="70"/>
      <c r="CI101" s="70"/>
      <c r="CJ101" s="70"/>
      <c r="CK101" s="70"/>
      <c r="CL101" s="2"/>
      <c r="CM101" s="2"/>
      <c r="CN101" s="70"/>
      <c r="CO101" s="70"/>
      <c r="CP101" s="70"/>
      <c r="CQ101" s="70"/>
      <c r="CR101" s="2"/>
      <c r="CS101" s="2"/>
      <c r="CT101" s="70"/>
      <c r="CU101" s="70"/>
      <c r="CV101" s="70"/>
      <c r="CW101" s="70"/>
    </row>
    <row r="102" spans="1:101" ht="15.75" customHeight="1" x14ac:dyDescent="0.2">
      <c r="A102" s="40">
        <v>17</v>
      </c>
      <c r="B102" s="41" t="str">
        <f>CONCATENATE(D102,IF(D104="Futures",[1]AB3!$B$6,IF(D104="Options Sell",[1]AB3!$B$12,IF(D104="Options Buy",[1]AB3!$B$18))))</f>
        <v>S17A</v>
      </c>
      <c r="C102" s="42" t="str">
        <f>IF(D104="Futures",[1]AB3!$C$6,IF(D104="Options Sell",[1]AB3!$C$12,IF(D104="Options Buy",[1]AB3!$C$18)))</f>
        <v>Strategy Code</v>
      </c>
      <c r="D102" s="43" t="str">
        <f t="array" ref="D102">IF(A102="","",INDEX([1]AB2!B:B,MATCH(A102,[1]AB2!A:A,0)))</f>
        <v>S17</v>
      </c>
      <c r="E102" s="44" t="str">
        <f>IF(D104="Futures",[1]AB3!$E$6,IF(D104="Options Sell",[1]AB3!$E$12,IF(D104="Options Buy",[1]AB3!$E$18)))</f>
        <v>Bull / 
Bull CF</v>
      </c>
      <c r="F102" s="45" t="str">
        <f>IF(D104="Futures",[1]AB3!$F$6,IF(D104="Options Sell",[1]AB3!$F$12,IF(D104="Options Buy",[1]AB3!$F$18)))</f>
        <v>Long</v>
      </c>
      <c r="G102" s="43" t="str">
        <f t="array" ref="G102">IF(A102="","",IF(D104="Futures",CONCATENATE([1]AB3!$G$6,INDEX([1]AB2!I:I,MATCH(D102,[1]AB2!B:B,0)),[1]AB3!$H$6),IF(D104="Options Sell",CONCATENATE([1]AB3!$G$12,INDEX([1]AB2!J:J,MATCH(D102,[1]AB2!B:B,0)),[1]AB3!$H$12),IF(D104="Options Buy",CONCATENATE([1]AB3!$G$18,INDEX([1]AB2!I:I,MATCH(D102,[1]AB2!B:B,0)),[1]AB3!$H$18)))))</f>
        <v>FUT : PRV : 2DHH</v>
      </c>
      <c r="H102" s="43" t="str">
        <f>IF(D104="Futures",[1]AB3!$I$6,IF(D104="Options Sell",[1]AB3!$I$12,IF(D104="Options Buy",[1]AB3!$I$18)))</f>
        <v xml:space="preserve"> + </v>
      </c>
      <c r="I102" s="46">
        <v>0</v>
      </c>
      <c r="J102" s="47">
        <v>5</v>
      </c>
      <c r="K102" s="48"/>
      <c r="L102" s="43" t="str">
        <f>IF(D104="Futures",[1]AB3!$M$6,IF(D104="Options Sell",[1]AB3!$M$12,IF(D104="Options Buy",[1]AB3!$M$18)))</f>
        <v xml:space="preserve">L : Entry </v>
      </c>
      <c r="M102" s="43" t="str">
        <f>IF(D104="Futures",[1]AB3!$N$6,IF(D104="Options Sell",[1]AB3!$N$12,IF(D104="Options Buy",[1]AB3!$N$18)))</f>
        <v xml:space="preserve"> + </v>
      </c>
      <c r="N102" s="46">
        <v>0.03</v>
      </c>
      <c r="O102" s="47">
        <v>1</v>
      </c>
      <c r="P102" s="46">
        <v>0.04</v>
      </c>
      <c r="Q102" s="47">
        <v>1</v>
      </c>
      <c r="R102" s="46">
        <v>0.05</v>
      </c>
      <c r="S102" s="47">
        <v>1</v>
      </c>
      <c r="T102" s="46">
        <v>0.06</v>
      </c>
      <c r="U102" s="47">
        <v>1</v>
      </c>
      <c r="V102" s="50" t="s">
        <v>51</v>
      </c>
      <c r="W102" s="47">
        <v>1</v>
      </c>
      <c r="X102" s="50" t="s">
        <v>52</v>
      </c>
      <c r="Y102" s="50" t="s">
        <v>52</v>
      </c>
      <c r="Z102" s="48"/>
      <c r="AA102" s="43" t="str">
        <f>IF(D104="Futures",[1]AB3!$AD$6,IF(D104="Options Sell",[1]AB3!$AD$12,IF(D104="Options Buy",[1]AB3!$AD$18)))</f>
        <v>Max</v>
      </c>
      <c r="AB102" s="43" t="str">
        <f>IF(D104="Futures",[1]AB3!$AE$6,IF(D104="Options Sell",[1]AB3!$AE$12,IF(D104="Options Buy",[1]AB3!$AE$18)))</f>
        <v>MSL &amp; TSL</v>
      </c>
      <c r="AC102" s="43" t="str">
        <f>IF(D104="Futures",[1]AB3!$AF$6,IF(D104="Options Sell",[1]AB3!$AF$12,IF(D104="Options Buy",[1]AB3!$AF$18)))</f>
        <v>Entry &amp; TRP</v>
      </c>
      <c r="AD102" s="48"/>
      <c r="AE102" s="43" t="str">
        <f>IF(D104="Futures",[1]AB3!$AH$6,IF(D104="Options Sell",[1]AB3!$AH$12,IF(D104="Options Buy",[1]AB3!$AH$18)))</f>
        <v>L : Entry</v>
      </c>
      <c r="AF102" s="43" t="str">
        <f>IF(D104="Futures",[1]AB3!$AI$6,IF(D104="Options Sell",[1]AB3!$AI$12,IF(D104="Options Buy",[1]AB3!$AI$18)))</f>
        <v xml:space="preserve"> - </v>
      </c>
      <c r="AG102" s="46">
        <v>0.03</v>
      </c>
      <c r="AH102" s="46">
        <v>0</v>
      </c>
      <c r="AI102" s="48"/>
      <c r="AJ102" s="43" t="str">
        <f>IF(D104="Futures",[1]AB3!$AO$6,IF(D104="Options Sell",[1]AB3!$AO$12,IF(D104="Options Buy",[1]AB3!$AO$18)))</f>
        <v xml:space="preserve"> - </v>
      </c>
      <c r="AK102" s="43" t="str">
        <f t="array" ref="AK102">IF(A102="","",IF(D104="Futures",CONCATENATE([1]AB3!$AP$6,INDEX([1]AB2!L:L,MATCH(D102,[1]AB2!B:B,0)),[1]AB3!$AQ$6),IF(D104="Options Sell",CONCATENATE([1]AB3!$AP$12,INDEX([1]AB2!M:M,MATCH(D102,[1]AB2!B:B,0)),[1]AB3!$AQ$12),IF(D104="Options Buy",CONCATENATE([1]AB3!$AP$18,INDEX([1]AB2!L:L,MATCH(D102,[1]AB2!B:B,0)),[1]AB3!$AQ$18)))))</f>
        <v>FUT : PRV : PW&amp;CWLL</v>
      </c>
      <c r="AL102" s="51">
        <f>IF(AND(D104="Futures",AK102=[1]AB3!$AS$6),[1]AB3!$AS$6,IF(AND(D104="Options Sell",AK102=[1]AB3!$AS$12),[1]AB3!$AS$12,IF(AND(D104="Options Buy",AK102=[1]AB3!$AS$18),[1]AB3!$AS$18,I103)))</f>
        <v>0.01</v>
      </c>
      <c r="AM102" s="52">
        <f>J103</f>
        <v>5</v>
      </c>
      <c r="AN102" s="43" t="str">
        <f t="array" ref="AN102">IF(A102="","",IF(AND(OR(D106="1 &amp; APS",D106="2 &amp; APS",D106="3 &amp; APS",D106="4 &amp; APS",D106="5 &amp; APS"),D104="Futures"),CONCATENATE([1]AB3!$AP$6,INDEX([1]AB2!L:L,MATCH(D102,[1]AB2!B:B,0)),[1]AB3!$AQ$6),IF(AND(OR(D106="1 &amp; APS",D106="2 &amp; APS",D106="3 &amp; APS",D106="4 &amp; APS",D106="5 &amp; APS"),D104="Options Sell"),CONCATENATE([1]AB3!$AP$12,INDEX([1]AB2!M:M,MATCH(D102,[1]AB2!B:B,0)),[1]AB3!$AQ$12),IF(AND(OR(D106="1 &amp; APS",D106="2 &amp; APS",D106="3 &amp; APS",D106="4 &amp; APS",D106="5 &amp; APS"),D104="Options Buy"),CONCATENATE([1]AB3!$AP$18,INDEX([1]AB2!L:L,MATCH(D102,[1]AB2!B:B,0)),[1]AB3!$AQ$18),[1]AB3!$AR$6))))</f>
        <v>FUT : PRV : PW&amp;CWLL</v>
      </c>
      <c r="AO102" s="51">
        <f>IF(AND(D104="Futures",AN102=[1]AB3!$AU$6),[1]AB3!$AU$6,IF(AND(D104="Options Sell",AN102=[1]AB3!$AU$12),[1]AB3!$AU$12,IF(AND(D104="Options Buy",AN102=[1]AB3!$AU$18),[1]AB3!$AU$18,I103)))</f>
        <v>0.01</v>
      </c>
      <c r="AP102" s="52">
        <f t="shared" ref="AP102:AP103" si="160">AM102-O102</f>
        <v>4</v>
      </c>
      <c r="AQ102" s="43" t="str">
        <f t="array" ref="AQ102">IF(A102="","",IF(AND(OR(D106="2 &amp; APS",D106="3 &amp; APS",D106="4 &amp; APS",D106="5 &amp; APS"),D104="Futures"),CONCATENATE([1]AB3!$AP$6,INDEX([1]AB2!L:L,MATCH(D102,[1]AB2!B:B,0)),[1]AB3!$AQ$6),IF(AND(OR(D106="2 &amp; APS",D106="3 &amp; APS",D106="4 &amp; APS",D106="5 &amp; APS"),D104="Options Sell"),CONCATENATE([1]AB3!$AP$12,INDEX([1]AB2!M:M,MATCH(D102,[1]AB2!B:B,0)),[1]AB3!$AQ$12),IF(AND(OR(D106="2 &amp; APS",D106="3 &amp; APS",D106="4 &amp; APS",D106="5 &amp; APS"),D104="Options Buy"),CONCATENATE([1]AB3!$AP$18,INDEX([1]AB2!L:L,MATCH(D102,[1]AB2!B:B,0)),[1]AB3!$AQ$18),[1]AB3!$AR$6))))</f>
        <v>FUT : PRV : PW&amp;CWLL</v>
      </c>
      <c r="AR102" s="51">
        <f>IF(AND(D104="Futures",AQ102=[1]AB3!$AW$6),[1]AB3!$AW$6,IF(AND(D104="Options Sell",AQ102=[1]AB3!$AW$12),[1]AB3!$AW$12,IF(AND(D104="Options Buy",AQ102=[1]AB3!$AW$18),[1]AB3!$AW$18,I103)))</f>
        <v>0.01</v>
      </c>
      <c r="AS102" s="52">
        <f t="shared" ref="AS102:AS103" si="161">AP102-Q102</f>
        <v>3</v>
      </c>
      <c r="AT102" s="43" t="str">
        <f t="array" ref="AT102">IF(A102="","",IF(AND(OR(D106="3 &amp; APS",D106="4 &amp; APS",D106="5 &amp; APS"),D104="Futures"),CONCATENATE([1]AB3!$AP$6,INDEX([1]AB2!L:L,MATCH(D102,[1]AB2!B:B,0)),[1]AB3!$AQ$6),IF(AND(OR(D106="3 &amp; APS",D106="4 &amp; APS",D106="5 &amp; APS"),D104="Options Sell"),CONCATENATE([1]AB3!$AP$12,INDEX([1]AB2!M:M,MATCH(D102,[1]AB2!B:B,0)),[1]AB3!$AQ$12),IF(AND(OR(D106="3 &amp; APS",D106="4 &amp; APS",D106="5 &amp; APS"),D104="Options Buy"),CONCATENATE([1]AB3!$AP$18,INDEX([1]AB2!L:L,MATCH(D102,[1]AB2!B:B,0)),[1]AB3!$AQ$18),[1]AB3!$AR$6))))</f>
        <v>FUT : PRV : PW&amp;CWLL</v>
      </c>
      <c r="AU102" s="51">
        <f>IF(AND(D104="Futures",AT102=[1]AB3!$AY$6),[1]AB3!$AY$6,IF(AND(D104="Options Sell",AT102=[1]AB3!$AY$12),[1]AB3!$AY$12,IF(AND(D104="Options Buy",AT102=[1]AB3!$AY$18),[1]AB3!$AY$18,I103)))</f>
        <v>0.01</v>
      </c>
      <c r="AV102" s="52">
        <f t="shared" ref="AV102:AV103" si="162">AS102-S102</f>
        <v>2</v>
      </c>
      <c r="AW102" s="43" t="str">
        <f t="array" ref="AW102">IF(A102="","",IF(AND(OR(D106="4 &amp; APS",D106="5 &amp; APS"),D104="Futures"),CONCATENATE([1]AB3!$AP$6,INDEX([1]AB2!L:L,MATCH(D102,[1]AB2!B:B,0)),[1]AB3!$AQ$6),IF(AND(OR(D106="4 &amp; APS",D106="5 &amp; APS"),D104="Options Sell"),CONCATENATE([1]AB3!$AP$12,INDEX([1]AB2!M:M,MATCH(D102,[1]AB2!B:B,0)),[1]AB3!$AQ$12),IF(AND(OR(D106="4 &amp; APS",D106="5 &amp; APS"),D104="Options Buy"),CONCATENATE([1]AB3!$AP$18,INDEX([1]AB2!L:L,MATCH(D102,[1]AB2!B:B,0)),[1]AB3!$AQ$18),[1]AB3!$AR$6))))</f>
        <v>FUT : PRV : PW&amp;CWLL</v>
      </c>
      <c r="AX102" s="51">
        <f>IF(AND(D104="Futures",AW102=[1]AB3!$BA$6),[1]AB3!$BA$6,IF(AND(D104="Options Sell",AW102=[1]AB3!$BA$12),[1]AB3!$BA$12,IF(AND(D104="Options Buy",AW102=[1]AB3!$BA$18),[1]AB3!$BA$18,I103)))</f>
        <v>0.01</v>
      </c>
      <c r="AY102" s="52">
        <f t="shared" ref="AY102:AY103" si="163">AV102-S102</f>
        <v>1</v>
      </c>
      <c r="AZ102" s="51">
        <f t="array" ref="AZ102">IF(A102="","",IF(AND(D106="5 &amp; APS",D104="Futures"),CONCATENATE([1]AB3!$AP$6,INDEX([1]AB2!L:L,MATCH(D102,[1]AB2!B:B,0)),[1]AB3!$AQ$6),IF(AND(D106="5 &amp; APS",D104="Options Sell"),CONCATENATE([1]AB3!$AP$12,INDEX([1]AB2!M:M,MATCH(D102,[1]AB2!B:B,0)),[1]AB3!$AQ$12),IF(AND(D106="5 &amp; APS",D104="Options Buy"),CONCATENATE([1]AB3!$AP$18,INDEX([1]AB2!L:L,MATCH(D102,[1]AB2!B:B,0)),[1]AB3!$AQ$18),[1]AB3!$AR$6))))</f>
        <v>0</v>
      </c>
      <c r="BA102" s="51">
        <f>IF(AND(D104="Futures",AZ102=[1]AB3!$BC$6),[1]AB3!$BC$6,IF(AND(D104="Options Sell",AZ102=[1]AB3!$BC$12),[1]AB3!$BC$12,IF(AND(D104="Options Buy",AZ102=[1]AB3!$BC$18),[1]AB3!$BC$18,I103)))</f>
        <v>0</v>
      </c>
      <c r="BB102" s="52">
        <f t="shared" ref="BB102:BB103" si="164">AY102-W102</f>
        <v>0</v>
      </c>
      <c r="BC102" s="53"/>
      <c r="BD102" s="54" t="str">
        <f>IF(D104="Futures",[1]AB3!$BE$6,IF(D104="Options Sell",[1]AB3!$BE$12,IF(D104="Options Buy",[1]AB3!$BE$18)))</f>
        <v xml:space="preserve">ORPT </v>
      </c>
      <c r="BE102" s="55">
        <f>IF(D104="Futures",BE105+([1]AB3!$BF$6/1440),IF(D104="Options Sell",BE105+([1]AB3!$BF$12/1440),IF(D104="Options Buy",BE105+([1]AB3!$BF$18/1440))))</f>
        <v>0.37846527777777778</v>
      </c>
      <c r="BF102" s="55">
        <f>IF(D104="Futures",BE105+([1]AB3!$BG$6/1440),IF(D104="Options Sell",BE105+([1]AB3!$BG$12/1440),IF(D104="Options Buy",BE105+([1]AB3!$BG$18/1440))))</f>
        <v>0.37846527777777778</v>
      </c>
      <c r="BG102" s="55">
        <f>IF(D104="Futures",BE105+([1]AB3!$BH$6/1440),IF(D104="Options Sell",BE105+([1]AB3!$BH$12/1440),IF(D104="Options Buy",BE105+([1]AB3!$BH$18/1440))))</f>
        <v>0.375</v>
      </c>
      <c r="BH102" s="57"/>
      <c r="BI102" s="44" t="str">
        <f>IF(D104="Futures",[1]AB3!$BJ$6,IF(D104="Options Sell",[1]AB3!$BJ$12,IF(D104="Options Buy",[1]AB3!$BJ$18)))</f>
        <v>Bull / 
Bull CF</v>
      </c>
      <c r="BJ102" s="45" t="str">
        <f>IF(D104="Futures",[1]AB3!$BK$6,IF(D104="Options Sell",[1]AB3!$BK$12,IF(D104="Options Buy",[1]AB3!$BK$18)))</f>
        <v>Long</v>
      </c>
      <c r="BK102" s="46">
        <v>0.01</v>
      </c>
      <c r="BL102" s="46">
        <v>0.01</v>
      </c>
      <c r="BM102" s="57"/>
      <c r="BN102" s="44" t="str">
        <f>IF(D104="Futures",[1]AB3!$BO$6,IF(D104="Options Sell",[1]AB3!$BO$12,IF(D104="Options Buy",[1]AB3!$BO$18)))</f>
        <v>Bull | 
Bull CF</v>
      </c>
      <c r="BO102" s="45" t="str">
        <f>IF(D104="Futures",[1]AB3!$BP$6,IF(D104="Options Sell",[1]AB3!$BP$12,IF(D104="Options Buy",[1]AB3!$BP$18)))</f>
        <v>Call</v>
      </c>
      <c r="BP102" s="43" t="str">
        <f t="array" ref="BP102">IF(A102="","",IF(D104="Futures","",IF(D104="EQUITY","",IF(D104="Options Sell",CONCATENATE([1]AB3!$BQ$12,INDEX([1]AB2!J:J,MATCH(A102,[1]AB2!A:A,0)),[1]AB3!$BR$12),IF(D104="Options Buy",CONCATENATE([1]AB3!$BQ$18,INDEX([1]AB2!J:J,MATCH(A102,[1]AB2!A:A,0)),[1]AB3!$BR$18))))))</f>
        <v/>
      </c>
      <c r="BQ102" s="58"/>
      <c r="BR102" s="58"/>
      <c r="BS102" s="58"/>
      <c r="BT102" s="58"/>
      <c r="BU102" s="58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9"/>
      <c r="CL102" s="43"/>
      <c r="CM102" s="43"/>
      <c r="CN102" s="59"/>
      <c r="CO102" s="43"/>
      <c r="CP102" s="43"/>
      <c r="CQ102" s="59"/>
      <c r="CR102" s="43"/>
      <c r="CS102" s="43"/>
      <c r="CT102" s="59"/>
      <c r="CU102" s="55">
        <f>IF(D104="Futures",BE106-([1]AB3!$CG$6/1440),IF(D104="Options Sell",BE106-([1]AB3!$CG$12/1440),IF(D104="Options Buy",BE106-([1]AB3!$CG$18/1440),IF(D104="EQUITY",""))))</f>
        <v>0.95833333333333326</v>
      </c>
      <c r="CV102" s="59"/>
      <c r="CW102" s="59"/>
    </row>
    <row r="103" spans="1:101" ht="15.75" customHeight="1" x14ac:dyDescent="0.2">
      <c r="A103" s="60"/>
      <c r="B103" s="41" t="str">
        <f>CONCATENATE(D102,IF(D104="Futures",[1]AB3!$B$7,IF(D104="Options Sell",[1]AB3!$B$13,IF(D104="Options Buy",[1]AB3!$B$19))))</f>
        <v>S17B</v>
      </c>
      <c r="C103" s="42" t="str">
        <f>IF(D104="Futures",[1]AB3!$C$7,IF(D104="Options Sell",[1]AB3!$C$13,IF(D104="Options Buy",[1]AB3!$C$19)))</f>
        <v>Unique Code</v>
      </c>
      <c r="D103" s="43" t="str">
        <f t="array" ref="D103">IF(A102="","",INDEX([1]AB2!N:N,MATCH(D102,[1]AB2!B:B,0)))</f>
        <v>NATURALGAS_FUT_MT_DIFF_2D_PW&amp;CW</v>
      </c>
      <c r="E103" s="32"/>
      <c r="F103" s="61" t="str">
        <f>IF(D104="Futures",[1]AB3!$F$7,IF(D104="Options Sell",[1]AB3!$F$13,IF(D104="Options Buy",[1]AB3!$F$19)))</f>
        <v>Short</v>
      </c>
      <c r="G103" s="43" t="str">
        <f t="array" ref="G103">IF(A102="","",IF(D104="Futures",CONCATENATE([1]AB3!$G$7,INDEX([1]AB2!J:J,MATCH(D102,[1]AB2!B:B,0)),[1]AB3!$H$7),IF(D104="Options Sell",CONCATENATE([1]AB3!$G$13,INDEX([1]AB2!I:I,MATCH(D102,[1]AB2!B:B,0)),[1]AB3!$H$13),IF(D104="Options Buy",CONCATENATE([1]AB3!$G$19,INDEX([1]AB2!J:J,MATCH(D102,[1]AB2!B:B,0)),[1]AB3!$H$19)))))</f>
        <v>FUT : PRV : PW&amp;CWLL</v>
      </c>
      <c r="H103" s="43" t="str">
        <f>IF(D104="Futures",[1]AB3!$I$7,IF(D104="Options Sell",[1]AB3!$I$13,IF(D104="Options Buy",[1]AB3!$I$19)))</f>
        <v xml:space="preserve"> - </v>
      </c>
      <c r="I103" s="46">
        <v>0.01</v>
      </c>
      <c r="J103" s="47">
        <v>5</v>
      </c>
      <c r="K103" s="48"/>
      <c r="L103" s="43" t="str">
        <f>IF(D104="Futures",[1]AB3!$M$7,IF(D104="Options Sell",[1]AB3!$M$13,IF(D104="Options Buy",[1]AB3!$M$19)))</f>
        <v xml:space="preserve">S : Entry </v>
      </c>
      <c r="M103" s="43" t="str">
        <f>IF(D104="Futures",[1]AB3!$N$7,IF(D104="Options Sell",[1]AB3!$N$13,IF(D104="Options Buy",[1]AB3!$N$19)))</f>
        <v xml:space="preserve"> - </v>
      </c>
      <c r="N103" s="46">
        <v>0.03</v>
      </c>
      <c r="O103" s="47">
        <v>1</v>
      </c>
      <c r="P103" s="46">
        <v>0.04</v>
      </c>
      <c r="Q103" s="47">
        <v>1</v>
      </c>
      <c r="R103" s="46">
        <v>0.05</v>
      </c>
      <c r="S103" s="47">
        <v>1</v>
      </c>
      <c r="T103" s="46">
        <v>0.06</v>
      </c>
      <c r="U103" s="47">
        <v>1</v>
      </c>
      <c r="V103" s="50" t="s">
        <v>51</v>
      </c>
      <c r="W103" s="47">
        <v>1</v>
      </c>
      <c r="X103" s="50" t="s">
        <v>52</v>
      </c>
      <c r="Y103" s="50" t="s">
        <v>52</v>
      </c>
      <c r="Z103" s="48"/>
      <c r="AA103" s="43" t="str">
        <f>IF(D104="Futures",[1]AB3!$AD$7,IF(D104="Options Sell",[1]AB3!$AD$13,IF(D104="Options Buy",[1]AB3!$AD$19)))</f>
        <v>Min</v>
      </c>
      <c r="AB103" s="43" t="str">
        <f>IF(D104="Futures",[1]AB3!$AE$7,IF(D104="Options Sell",[1]AB3!$AE$13,IF(D104="Options Buy",[1]AB3!$AE$19)))</f>
        <v>MSL &amp; TSL</v>
      </c>
      <c r="AC103" s="43" t="str">
        <f>IF(D104="Futures",[1]AB3!$AF$7,IF(D104="Options Sell",[1]AB3!$AF$13,IF(D104="Options Buy",[1]AB3!$AF$19)))</f>
        <v>Entry &amp; TRP</v>
      </c>
      <c r="AD103" s="48"/>
      <c r="AE103" s="43" t="str">
        <f>IF(D104="Futures",[1]AB3!$AH$7,IF(D104="Options Sell",[1]AB3!$AH$13,IF(D104="Options Buy",[1]AB3!$AH$19)))</f>
        <v>S : Entry</v>
      </c>
      <c r="AF103" s="43" t="str">
        <f>IF(D104="Futures",[1]AB3!$AI$7,IF(D104="Options Sell",[1]AB3!$AI$13,IF(D104="Options Buy",[1]AB3!$AI$19)))</f>
        <v xml:space="preserve"> + </v>
      </c>
      <c r="AG103" s="46">
        <v>0.03</v>
      </c>
      <c r="AH103" s="46">
        <v>0</v>
      </c>
      <c r="AI103" s="48"/>
      <c r="AJ103" s="43" t="str">
        <f>IF(D104="Futures",[1]AB3!$AO$7,IF(D104="Options Sell",[1]AB3!$AO$13,IF(D104="Options Buy",[1]AB3!$AO$19)))</f>
        <v xml:space="preserve"> + </v>
      </c>
      <c r="AK103" s="43" t="str">
        <f t="array" ref="AK103">IF(A102="","",IF(D104="Futures",CONCATENATE([1]AB3!$AP$7,INDEX([1]AB2!M:M,MATCH(D102,[1]AB2!B:B,0)),[1]AB3!$AQ$7),IF(D104="Options Sell",CONCATENATE([1]AB3!$AP$13,INDEX([1]AB2!L:L,MATCH(D102,[1]AB2!B:B,0)),[1]AB3!$AQ$13),IF(D104="Options Buy",CONCATENATE([1]AB3!$AP$19,INDEX([1]AB2!M:M,MATCH(D102,[1]AB2!B:B,0)),[1]AB3!$AQ$19)))))</f>
        <v>FUT : PRV : 2DHH</v>
      </c>
      <c r="AL103" s="51">
        <f>IF(AND(D104="Futures",AK103=[1]AB3!$AS$7),[1]AB3!$AS$7,IF(AND(D104="Options Sell",AK103=[1]AB3!$AS$13),[1]AB3!$AS$13,IF(AND(D104="Options Buy",AK103=[1]AB3!$AS$19),[1]AB3!$AS$19,I102)))</f>
        <v>0</v>
      </c>
      <c r="AM103" s="52">
        <f>J102</f>
        <v>5</v>
      </c>
      <c r="AN103" s="43" t="str">
        <f t="array" ref="AN103">IF(A102="","",IF(AND(OR(D106="1 &amp; APS",D106="2 &amp; APS",D106="3 &amp; APS",D106="4 &amp; APS",D106="5 &amp; APS"),D104="Futures"),CONCATENATE([1]AB3!$AP$7,INDEX([1]AB2!M:M,MATCH(D102,[1]AB2!B:B,0)),[1]AB3!$AQ$7),IF(AND(OR(D106="1 &amp; APS",D106="2 &amp; APS",D106="3 &amp; APS",D106="4 &amp; APS",D106="5 &amp; APS"),D104="Options Sell"),CONCATENATE([1]AB3!$AP$13,INDEX([1]AB2!L:L,MATCH(D102,[1]AB2!B:B,0)),[1]AB3!$AQ$13),IF(AND(OR(D106="1 &amp; APS",D106="2 &amp; APS",D106="3 &amp; APS",D106="4 &amp; APS",D106="5 &amp; APS"),D104="Options Buy"),CONCATENATE([1]AB3!$AP$19,INDEX([1]AB2!M:M,MATCH(D102,[1]AB2!B:B,0)),[1]AB3!$AQ$19),[1]AB3!$AR$6))))</f>
        <v>FUT : PRV : 2DHH</v>
      </c>
      <c r="AO103" s="51">
        <f>IF(AND(D104="Futures",AN103=[1]AB3!$AU$7),[1]AB3!$AU$7,IF(AND(D104="Options Sell",AN103=[1]AB3!$AU$13),[1]AB3!$AU$13,IF(AND(D104="Options Buy",AN103=[1]AB3!$AU$19),[1]AB3!$AU$19,I102)))</f>
        <v>0</v>
      </c>
      <c r="AP103" s="52">
        <f t="shared" si="160"/>
        <v>4</v>
      </c>
      <c r="AQ103" s="43" t="str">
        <f t="array" ref="AQ103">IF(A102="","",IF(AND(OR(D106="2 &amp; APS",D106="3 &amp; APS",D106="4 &amp; APS",D106="5 &amp; APS"),D104="Futures"),CONCATENATE([1]AB3!$AP$7,INDEX([1]AB2!M:M,MATCH(D102,[1]AB2!B:B,0)),[1]AB3!$AQ$7),IF(AND(OR(D106="2 &amp; APS",D106="3 &amp; APS",D106="4 &amp; APS",D106="5 &amp; APS"),D104="Options Sell"),CONCATENATE([1]AB3!$AP$13,INDEX([1]AB2!L:L,MATCH(D102,[1]AB2!B:B,0)),[1]AB3!$AQ$13),IF(AND(OR(D106="2 &amp; APS",D106="3 &amp; APS",D106="4 &amp; APS",D106="5 &amp; APS"),D104="Options Buy"),CONCATENATE([1]AB3!$AP$19,INDEX([1]AB2!M:M,MATCH(D102,[1]AB2!B:B,0)),[1]AB3!$AQ$19),[1]AB3!$AR$6))))</f>
        <v>FUT : PRV : 2DHH</v>
      </c>
      <c r="AR103" s="51">
        <f>IF(AND(D104="Futures",AQ103=[1]AB3!$AW$7),[1]AB3!$AW$7,IF(AND(D104="Options Sell",AQ103=[1]AB3!$AW$13),[1]AB3!$AW$13,IF(AND(D104="Options Buy",AQ103=[1]AB3!$AW$19),[1]AB3!$AW$19,I102)))</f>
        <v>0</v>
      </c>
      <c r="AS103" s="52">
        <f t="shared" si="161"/>
        <v>3</v>
      </c>
      <c r="AT103" s="43" t="str">
        <f t="array" ref="AT103">IF(A102="","",IF(AND(OR(D106="3 &amp; APS",D106="4 &amp; APS",D106="5 &amp; APS"),D104="Futures"),CONCATENATE([1]AB3!$AP$7,INDEX([1]AB2!M:M,MATCH(D102,[1]AB2!B:B,0)),[1]AB3!$AQ$7),IF(AND(OR(D106="3 &amp; APS",D106="4 &amp; APS",D106="5 &amp; APS"),D104="Options Sell"),CONCATENATE([1]AB3!$AP$13,INDEX([1]AB2!L:L,MATCH(D102,[1]AB2!B:B,0)),[1]AB3!$AQ$13),IF(AND(OR(D106="3 &amp; APS",D106="4 &amp; APS",D106="5 &amp; APS"),D104="Options Buy"),CONCATENATE([1]AB3!$AP$19,INDEX([1]AB2!M:M,MATCH(D102,[1]AB2!B:B,0)),[1]AB3!$AQ$19),[1]AB3!$AR$6))))</f>
        <v>FUT : PRV : 2DHH</v>
      </c>
      <c r="AU103" s="51">
        <f>IF(AND(D104="Futures",AT103=[1]AB3!$AY$7),[1]AB3!$AY$7,IF(AND(D104="Options Sell",AT103=[1]AB3!$AY$13),[1]AB3!$AY$13,IF(AND(D104="Options Buy",AT103=[1]AB3!$AY$19),[1]AB3!$AY$19,I102)))</f>
        <v>0</v>
      </c>
      <c r="AV103" s="52">
        <f t="shared" si="162"/>
        <v>2</v>
      </c>
      <c r="AW103" s="43" t="str">
        <f t="array" ref="AW103">IF(A102="","",IF(AND(OR(D106="4 &amp; APS",D106="5 &amp; APS"),D104="Futures"),CONCATENATE([1]AB3!$AP$7,INDEX([1]AB2!M:M,MATCH(D102,[1]AB2!B:B,0)),[1]AB3!$AQ$7),IF(AND(OR(D106="4 &amp; APS",D106="5 &amp; APS"),D104="Options Sell"),CONCATENATE([1]AB3!$AP$13,INDEX([1]AB2!L:L,MATCH(D102,[1]AB2!B:B,0)),[1]AB3!$AQ$13),IF(AND(OR(D106="4 &amp; APS",D106="5 &amp; APS"),D104="Options Buy"),CONCATENATE([1]AB3!$AP$19,INDEX([1]AB2!M:M,MATCH(D102,[1]AB2!B:B,0)),[1]AB3!$AQ$19),[1]AB3!$AR$6))))</f>
        <v>FUT : PRV : 2DHH</v>
      </c>
      <c r="AX103" s="51">
        <f>IF(AND(D104="Futures",AW103=[1]AB3!$BA$7),[1]AB3!$BA$7,IF(AND(D104="Options Sell",AW103=[1]AB3!$BA$13),[1]AB3!$BA$13,IF(AND(D104="Options Buy",AW103=[1]AB3!$BA$19),[1]AB3!$BA$19,I102)))</f>
        <v>0</v>
      </c>
      <c r="AY103" s="52">
        <f t="shared" si="163"/>
        <v>1</v>
      </c>
      <c r="AZ103" s="51">
        <f t="array" ref="AZ103">IF(A102="","",IF(AND(D106="5 &amp; APS",D104="Futures"),CONCATENATE([1]AB3!$AP$7,INDEX([1]AB2!M:M,MATCH(D102,[1]AB2!B:B,0)),[1]AB3!$AQ$7),IF(AND(D106="5 &amp; APS",D104="Options Sell"),CONCATENATE([1]AB3!$AP$13,INDEX([1]AB2!L:L,MATCH(D102,[1]AB2!B:B,0)),[1]AB3!$AQ$13),IF(AND(D106="5 &amp; APS",D104="Options Buy"),CONCATENATE([1]AB3!$AP$19,INDEX([1]AB2!M:M,MATCH(D102,[1]AB2!B:B,0)),[1]AB3!$AQ$19),[1]AB3!$AR$6))))</f>
        <v>0</v>
      </c>
      <c r="BA103" s="51">
        <f>IF(AND(D104="Futures",AZ103=[1]AB3!$BC$7),[1]AB3!$BC$7,IF(AND(D104="Options Sell",AZ103=[1]AB3!$BC$13),[1]AB3!$BC$13,IF(AND(D104="Options Buy",AZ103=[1]AB3!$BC$19),[1]AB3!$BC$19,I102)))</f>
        <v>0</v>
      </c>
      <c r="BB103" s="52">
        <f t="shared" si="164"/>
        <v>0</v>
      </c>
      <c r="BC103" s="53"/>
      <c r="BD103" s="54" t="str">
        <f>IF(D104="Futures",[1]AB3!$BE$7,IF(D104="Options Sell",[1]AB3!$BE$13,IF(D104="Options Buy",[1]AB3!$BE$19)))</f>
        <v xml:space="preserve"> RC. Time</v>
      </c>
      <c r="BE103" s="55">
        <f>IF(D104="Futures",BE105+([1]AB3!$BF$7/1440),IF(D104="Options Sell",BE105+([1]AB3!$BF$13/1440),IF(D104="Options Buy",BE105+([1]AB3!$BF$19/1440))))</f>
        <v>0.38540972222222225</v>
      </c>
      <c r="BF103" s="55">
        <f>IF(D104="Futures",BE105+([1]AB3!$BG$7/1440),IF(D104="Options Sell",BE105+([1]AB3!$BG$13/1440),IF(D104="Options Buy",BE105+([1]AB3!$BG$19/1440))))</f>
        <v>0.38540972222222225</v>
      </c>
      <c r="BG103" s="55" t="str">
        <f>IF(D104="Futures",[1]AB3!$BH$7,IF(D104="Options Sell",[1]AB3!$BH$7,IF(D104="Options Buy",[1]AB3!$BH$7)))</f>
        <v>N.A.</v>
      </c>
      <c r="BH103" s="57"/>
      <c r="BI103" s="32"/>
      <c r="BJ103" s="61" t="str">
        <f>IF(D104="Futures",[1]AB3!$BK$7,IF(D104="Options Sell",[1]AB3!$BK$13,IF(D104="Options Buy",[1]AB3!$BK$19)))</f>
        <v>Short</v>
      </c>
      <c r="BK103" s="46">
        <v>0.01</v>
      </c>
      <c r="BL103" s="46">
        <v>0.01</v>
      </c>
      <c r="BM103" s="57"/>
      <c r="BN103" s="32"/>
      <c r="BO103" s="61" t="str">
        <f>IF(D104="Futures",[1]AB3!$BP$7,IF(D104="Options Sell",[1]AB3!$BP$13,IF(D104="Options Buy",[1]AB3!$BP$19)))</f>
        <v>Put</v>
      </c>
      <c r="BP103" s="43" t="str">
        <f t="array" ref="BP103">IF(A102="","",IF(D104="Futures","",IF(D104="EQUITY","",IF(D104="Options Sell",CONCATENATE([1]AB3!$BQ$13,INDEX([1]AB2!I:I,MATCH(A102,[1]AB2!A:A,0)),[1]AB3!$BR$13),IF(D104="Options Buy",CONCATENATE([1]AB3!$BQ$19,INDEX([1]AB2!I:I,MATCH(A102,[1]AB2!A:A,0)),[1]AB3!$BR$19))))))</f>
        <v/>
      </c>
      <c r="BQ103" s="58"/>
      <c r="BR103" s="58"/>
      <c r="BS103" s="58"/>
      <c r="BT103" s="58"/>
      <c r="BU103" s="58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9"/>
      <c r="CL103" s="43"/>
      <c r="CM103" s="43"/>
      <c r="CN103" s="59"/>
      <c r="CO103" s="43"/>
      <c r="CP103" s="43"/>
      <c r="CQ103" s="59"/>
      <c r="CR103" s="43"/>
      <c r="CS103" s="43"/>
      <c r="CT103" s="59"/>
      <c r="CU103" s="43"/>
      <c r="CV103" s="59"/>
      <c r="CW103" s="59"/>
    </row>
    <row r="104" spans="1:101" ht="15.75" customHeight="1" x14ac:dyDescent="0.2">
      <c r="A104" s="60"/>
      <c r="B104" s="41" t="str">
        <f>CONCATENATE(D102,IF(D104="Futures",[1]AB3!$B$8,IF(D104="Options Sell",[1]AB3!$B$14,IF(D104="Options Buy",[1]AB3!$B$20))))</f>
        <v>S17C</v>
      </c>
      <c r="C104" s="42" t="str">
        <f>IF(D104="Futures",[1]AB3!$C$8,IF(D104="Options Sell",[1]AB3!$C$14,IF(D104="Options Buy",[1]AB3!$C$20)))</f>
        <v>Segment</v>
      </c>
      <c r="D104" s="43" t="str">
        <f t="array" ref="D104">IF(A102="","",INDEX([1]AB2!C:C,MATCH(D102,[1]AB2!B:B,0)))</f>
        <v>FUTURES</v>
      </c>
      <c r="E104" s="42" t="str">
        <f>IF(D104="Futures",[1]AB3!$E$8,IF(D104="Options Sell",[1]AB3!$E$14,IF(D104="Options Buy",[1]AB3!$E$20)))</f>
        <v>Contract</v>
      </c>
      <c r="F104" s="43" t="str">
        <f t="array" ref="F104">IF(A102="","",INDEX([1]AB2!F:F,MATCH(D102,[1]AB2!B:B,0)))</f>
        <v>MONTHLY</v>
      </c>
      <c r="G104" s="62"/>
      <c r="H104" s="62"/>
      <c r="I104" s="63"/>
      <c r="J104" s="64"/>
      <c r="K104" s="48"/>
      <c r="L104" s="62"/>
      <c r="M104" s="62"/>
      <c r="N104" s="63"/>
      <c r="O104" s="64"/>
      <c r="P104" s="63"/>
      <c r="Q104" s="64"/>
      <c r="R104" s="63"/>
      <c r="S104" s="64"/>
      <c r="T104" s="63"/>
      <c r="U104" s="64"/>
      <c r="V104" s="63"/>
      <c r="W104" s="64"/>
      <c r="X104" s="63"/>
      <c r="Y104" s="63"/>
      <c r="Z104" s="48"/>
      <c r="AA104" s="62"/>
      <c r="AB104" s="62"/>
      <c r="AC104" s="62"/>
      <c r="AD104" s="48"/>
      <c r="AE104" s="62"/>
      <c r="AF104" s="62"/>
      <c r="AG104" s="63"/>
      <c r="AH104" s="63"/>
      <c r="AI104" s="48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53"/>
      <c r="BD104" s="57"/>
      <c r="BE104" s="57"/>
      <c r="BF104" s="57"/>
      <c r="BG104" s="57"/>
      <c r="BH104" s="57"/>
      <c r="BI104" s="66"/>
      <c r="BJ104" s="62"/>
      <c r="BK104" s="63"/>
      <c r="BL104" s="63"/>
      <c r="BM104" s="57"/>
      <c r="BN104" s="66"/>
      <c r="BO104" s="62"/>
      <c r="BP104" s="62"/>
      <c r="BQ104" s="62"/>
      <c r="BR104" s="62"/>
      <c r="BS104" s="62"/>
      <c r="BT104" s="62"/>
      <c r="BU104" s="62"/>
      <c r="BV104" s="62"/>
      <c r="BW104" s="62"/>
      <c r="BX104" s="62"/>
      <c r="BY104" s="62"/>
      <c r="BZ104" s="62"/>
      <c r="CA104" s="62"/>
      <c r="CB104" s="62"/>
      <c r="CC104" s="62"/>
      <c r="CD104" s="62"/>
      <c r="CE104" s="62"/>
      <c r="CF104" s="62"/>
      <c r="CG104" s="62"/>
      <c r="CH104" s="62"/>
      <c r="CI104" s="62"/>
      <c r="CJ104" s="62"/>
      <c r="CK104" s="59"/>
      <c r="CL104" s="62"/>
      <c r="CM104" s="62"/>
      <c r="CN104" s="59"/>
      <c r="CO104" s="62"/>
      <c r="CP104" s="62"/>
      <c r="CQ104" s="59"/>
      <c r="CR104" s="62"/>
      <c r="CS104" s="62"/>
      <c r="CT104" s="59"/>
      <c r="CU104" s="62"/>
      <c r="CV104" s="59"/>
      <c r="CW104" s="59"/>
    </row>
    <row r="105" spans="1:101" ht="15.75" customHeight="1" x14ac:dyDescent="0.2">
      <c r="A105" s="60"/>
      <c r="B105" s="41" t="str">
        <f>CONCATENATE(D102,IF(D104="Futures",[1]AB3!$B$9,IF(D104="Options Sell",[1]AB3!$B$15,IF(D104="Options Buy",[1]AB3!$B$21))))</f>
        <v>S17D</v>
      </c>
      <c r="C105" s="42" t="str">
        <f>IF(D104="Futures",[1]AB3!$C$9,IF(D104="Options Sell",[1]AB3!$C$15,IF(D104="Options Buy",[1]AB3!$C$21)))</f>
        <v>Symbol</v>
      </c>
      <c r="D105" s="43" t="str">
        <f t="array" ref="D105">IF(A102="","",INDEX([1]AB2!E:E,MATCH(D102,[1]AB2!B:B,0)))</f>
        <v>NATURALGAS</v>
      </c>
      <c r="E105" s="44" t="str">
        <f>IF(D104="Futures",[1]AB3!$E$9,IF(D104="Options Sell",[1]AB3!$E$15,IF(D104="Options Buy",[1]AB3!$E$21)))</f>
        <v>Bear / 
Bear CF</v>
      </c>
      <c r="F105" s="45" t="str">
        <f>IF(D104="Futures",[1]AB3!$F$9,IF(D104="Options Sell",[1]AB3!$F$15,IF(D104="Options Buy",[1]AB3!$F$21)))</f>
        <v>Long</v>
      </c>
      <c r="G105" s="43" t="str">
        <f t="array" ref="G105">IF(A102="","",IF(D104="Futures",CONCATENATE([1]AB3!$G$9,INDEX([1]AB2!J:J,MATCH(D102,[1]AB2!B:B,0)),[1]AB3!$H$9),IF(D104="Options Sell",CONCATENATE([1]AB3!$G$15,INDEX([1]AB2!I:I,MATCH(D102,[1]AB2!B:B,0)),[1]AB3!$H$15),IF(D104="Options Buy",CONCATENATE([1]AB3!$G$21,INDEX([1]AB2!J:J,MATCH(D102,[1]AB2!B:B,0)),[1]AB3!$H$21)))))</f>
        <v>FUT : PRV : PW&amp;CWHH</v>
      </c>
      <c r="H105" s="43" t="str">
        <f>IF(D104="Futures",[1]AB3!$I$9,IF(D104="Options Sell",[1]AB3!$I$15,IF(D104="Options Buy",[1]AB3!$I$21)))</f>
        <v xml:space="preserve"> + </v>
      </c>
      <c r="I105" s="46">
        <v>0.01</v>
      </c>
      <c r="J105" s="47">
        <v>5</v>
      </c>
      <c r="K105" s="48"/>
      <c r="L105" s="43" t="str">
        <f>IF(D104="Futures",[1]AB3!$M$9,IF(D104="Options Sell",[1]AB3!$M$15,IF(D104="Options Buy",[1]AB3!$M$21)))</f>
        <v xml:space="preserve">L : Entry </v>
      </c>
      <c r="M105" s="43" t="str">
        <f>IF(D104="Futures",[1]AB3!$N$9,IF(D104="Options Sell",[1]AB3!$N$15,IF(D104="Options Buy",[1]AB3!$N$21)))</f>
        <v xml:space="preserve"> + </v>
      </c>
      <c r="N105" s="46">
        <v>0.03</v>
      </c>
      <c r="O105" s="47">
        <v>1</v>
      </c>
      <c r="P105" s="46">
        <v>0.04</v>
      </c>
      <c r="Q105" s="47">
        <v>1</v>
      </c>
      <c r="R105" s="46">
        <v>0.05</v>
      </c>
      <c r="S105" s="47">
        <v>1</v>
      </c>
      <c r="T105" s="46">
        <v>0.06</v>
      </c>
      <c r="U105" s="47">
        <v>1</v>
      </c>
      <c r="V105" s="50" t="s">
        <v>51</v>
      </c>
      <c r="W105" s="47">
        <v>1</v>
      </c>
      <c r="X105" s="50" t="s">
        <v>52</v>
      </c>
      <c r="Y105" s="50" t="s">
        <v>52</v>
      </c>
      <c r="Z105" s="48"/>
      <c r="AA105" s="43" t="str">
        <f>IF(D104="Futures",[1]AB3!$AD$9,IF(D104="Options Sell",[1]AB3!$AD$15,IF(D104="Options Buy",[1]AB3!$AD$21)))</f>
        <v>Max</v>
      </c>
      <c r="AB105" s="43" t="str">
        <f>IF(D104="Futures",[1]AB3!$AE$9,IF(D104="Options Sell",[1]AB3!$AE$15,IF(D104="Options Buy",[1]AB3!$AE$21)))</f>
        <v>MSL &amp; TSL</v>
      </c>
      <c r="AC105" s="43" t="str">
        <f>IF(D104="Futures",[1]AB3!$AF$9,IF(D104="Options Sell",[1]AB3!$AF$15,IF(D104="Options Buy",[1]AB3!$AF$21)))</f>
        <v>Entry &amp; TRP</v>
      </c>
      <c r="AD105" s="48"/>
      <c r="AE105" s="43" t="str">
        <f>IF(D104="Futures",[1]AB3!$AH$9,IF(D104="Options Sell",[1]AB3!$AH$15,IF(D104="Options Buy",[1]AB3!$AH$21)))</f>
        <v>L : Entry</v>
      </c>
      <c r="AF105" s="43" t="str">
        <f>IF(D104="Futures",[1]AB3!$AI$9,IF(D104="Options Sell",[1]AB3!$AI$15,IF(D104="Options Buy",[1]AB3!$AI$21)))</f>
        <v xml:space="preserve"> - </v>
      </c>
      <c r="AG105" s="46">
        <v>0.03</v>
      </c>
      <c r="AH105" s="46">
        <v>0</v>
      </c>
      <c r="AI105" s="48"/>
      <c r="AJ105" s="43" t="str">
        <f>IF(D104="Futures",[1]AB3!$AO$9,IF(D104="Options Sell",[1]AB3!$AO$15,IF(D104="Options Buy",[1]AB3!$AO$21)))</f>
        <v xml:space="preserve"> - </v>
      </c>
      <c r="AK105" s="43" t="str">
        <f t="array" ref="AK105">IF(A102="","",IF(D104="Futures",CONCATENATE([1]AB3!$AP$9,INDEX([1]AB2!M:M,MATCH(D102,[1]AB2!B:B,0)),[1]AB3!$AQ$9),IF(D104="Options Sell",CONCATENATE([1]AB3!$AP$15,INDEX([1]AB2!L:L,MATCH(D102,[1]AB2!B:B,0)),[1]AB3!$AQ$15),IF(D104="Options Buy",CONCATENATE([1]AB3!$AP$21,INDEX([1]AB2!M:M,MATCH(D102,[1]AB2!B:B,0)),[1]AB3!$AQ$21)))))</f>
        <v>FUT : PRV : 2DLL</v>
      </c>
      <c r="AL105" s="51">
        <f>IF(AND(D104="Futures",AK105=[1]AB3!$AS$9),[1]AB3!$AS$9,IF(AND(D104="Options Sell",AK105=[1]AB3!$AS$15),[1]AB3!$AS$15,IF(AND(D104="Options Buy",AK105=[1]AB3!$AS$21),[1]AB3!$AS$21,I106)))</f>
        <v>0</v>
      </c>
      <c r="AM105" s="52">
        <f>J106</f>
        <v>5</v>
      </c>
      <c r="AN105" s="43" t="str">
        <f t="array" ref="AN105">IF(A102="","",IF(AND(OR(D106="1 &amp; APS",D106="2 &amp; APS",D106="3 &amp; APS",D106="4 &amp; APS",D106="5 &amp; APS"),D104="Futures"),CONCATENATE([1]AB3!$AP$9,INDEX([1]AB2!M:M,MATCH(D102,[1]AB2!B:B,0)),[1]AB3!$AQ$9),IF(AND(OR(D106="1 &amp; APS",D106="2 &amp; APS",D106="3 &amp; APS",D106="4 &amp; APS",D106="5 &amp; APS"),D104="Options Sell"),CONCATENATE([1]AB3!$AP$15,INDEX([1]AB2!L:L,MATCH(D102,[1]AB2!B:B,0)),[1]AB3!$AQ$15),IF(AND(OR(D106="1 &amp; APS",D106="2 &amp; APS",D106="3 &amp; APS",D106="4 &amp; APS",D106="5 &amp; APS"),D104="Options Buy"),CONCATENATE([1]AB3!$AP$21,INDEX([1]AB2!M:M,MATCH(D102,[1]AB2!B:B,0)),[1]AB3!$AQ$21),[1]AB3!$AR$6))))</f>
        <v>FUT : PRV : 2DLL</v>
      </c>
      <c r="AO105" s="51">
        <f>IF(AND(D104="Futures",AN105=[1]AB3!$AU$9),[1]AB3!$AU$9,IF(AND(D104="Options Sell",AN105=[1]AB3!$AU$15),[1]AB3!$AU$15,IF(AND(D104="Options Buy",AN105=[1]AB3!$AU$21),[1]AB3!$AU$21,I106)))</f>
        <v>0</v>
      </c>
      <c r="AP105" s="52">
        <f t="shared" ref="AP105:AP106" si="165">AM105-O105</f>
        <v>4</v>
      </c>
      <c r="AQ105" s="43" t="str">
        <f t="array" ref="AQ105">IF(A102="","",IF(AND(OR(D106="2 &amp; APS",D106="3 &amp; APS",D106="4 &amp; APS",D106="5 &amp; APS"),D104="Futures"),CONCATENATE([1]AB3!$AP$9,INDEX([1]AB2!M:M,MATCH(D102,[1]AB2!B:B,0)),[1]AB3!$AQ$9),IF(AND(OR(D106="2 &amp; APS",D106="3 &amp; APS",D106="4 &amp; APS",D106="5 &amp; APS"),D104="Options Sell"),CONCATENATE([1]AB3!$AP$15,INDEX([1]AB2!L:L,MATCH(D102,[1]AB2!B:B,0)),[1]AB3!$AQ$15),IF(AND(OR(D106="2 &amp; APS",D106="3 &amp; APS",D106="4 &amp; APS",D106="5 &amp; APS"),D104="Options Buy"),CONCATENATE([1]AB3!$AP$21,INDEX([1]AB2!M:M,MATCH(D102,[1]AB2!B:B,0)),[1]AB3!$AQ$21),[1]AB3!$AR$6))))</f>
        <v>FUT : PRV : 2DLL</v>
      </c>
      <c r="AR105" s="51">
        <f>IF(AND(D104="Futures",AQ105=[1]AB3!$AW$9),[1]AB3!$AW$9,IF(AND(D104="Options Sell",AQ105=[1]AB3!$AW$15),[1]AB3!$AW$15,IF(AND(D104="Options Buy",AQ105=[1]AB3!$AW$21),[1]AB3!$AW$21,I106)))</f>
        <v>0</v>
      </c>
      <c r="AS105" s="52">
        <f t="shared" ref="AS105:AS106" si="166">AP105-Q105</f>
        <v>3</v>
      </c>
      <c r="AT105" s="43" t="str">
        <f t="array" ref="AT105">IF(A102="","",IF(AND(OR(D106="3 &amp; APS",D106="4 &amp; APS",D106="5 &amp; APS"),D104="Futures"),CONCATENATE([1]AB3!$AP$9,INDEX([1]AB2!M:M,MATCH(D102,[1]AB2!B:B,0)),[1]AB3!$AQ$9),IF(AND(OR(D106="3 &amp; APS",D106="4 &amp; APS",D106="5 &amp; APS"),D104="Options Sell"),CONCATENATE([1]AB3!$AP$15,INDEX([1]AB2!L:L,MATCH(D102,[1]AB2!B:B,0)),[1]AB3!$AQ$15),IF(AND(OR(D106="3 &amp; APS",D106="4 &amp; APS",D106="5 &amp; APS"),D104="Options Buy"),CONCATENATE([1]AB3!$AP$21,INDEX([1]AB2!M:M,MATCH(D102,[1]AB2!B:B,0)),[1]AB3!$AQ$21),[1]AB3!$AR$6))))</f>
        <v>FUT : PRV : 2DLL</v>
      </c>
      <c r="AU105" s="51">
        <f>IF(AND(D104="Futures",AT105=[1]AB3!$AY$9),[1]AB3!$AY$9,IF(AND(D104="Options Sell",AT105=[1]AB3!$AY$15),[1]AB3!$AY$15,IF(AND(D104="Options Buy",AT105=[1]AB3!$AY$21),[1]AB3!$AY$21,I106)))</f>
        <v>0</v>
      </c>
      <c r="AV105" s="52">
        <f t="shared" ref="AV105:AV106" si="167">AS105-S105</f>
        <v>2</v>
      </c>
      <c r="AW105" s="43" t="str">
        <f t="array" ref="AW105">IF(A102="","",IF(AND(OR(D106="4 &amp; APS",D106="5 &amp; APS"),D104="Futures"),CONCATENATE([1]AB3!$AP$9,INDEX([1]AB2!M:M,MATCH(D102,[1]AB2!B:B,0)),[1]AB3!$AQ$9),IF(AND(OR(D106="4 &amp; APS",D106="5 &amp; APS"),D104="Options Sell"),CONCATENATE([1]AB3!$AP$15,INDEX([1]AB2!L:L,MATCH(D102,[1]AB2!B:B,0)),[1]AB3!$AQ$15),IF(AND(OR(D106="4 &amp; APS",D106="5 &amp; APS"),D104="Options Buy"),CONCATENATE([1]AB3!$AP$21,INDEX([1]AB2!M:M,MATCH(D102,[1]AB2!B:B,0)),[1]AB3!$AQ$21),[1]AB3!$AR$6))))</f>
        <v>FUT : PRV : 2DLL</v>
      </c>
      <c r="AX105" s="51">
        <f>IF(AND(D104="Futures",AW105=[1]AB3!$BA$9),[1]AB3!$BA$9,IF(AND(D104="Options Sell",AW105=[1]AB3!$BA$15),[1]AB3!$BA$15,IF(AND(D104="Options Buy",AW105=[1]AB3!$BA$21),[1]AB3!$BA$21,I106)))</f>
        <v>0</v>
      </c>
      <c r="AY105" s="52">
        <f t="shared" ref="AY105:AY106" si="168">AV105-S105</f>
        <v>1</v>
      </c>
      <c r="AZ105" s="51">
        <f t="array" ref="AZ105">IF(A102="","",IF(AND(D106="5 &amp; APS",D104="Futures"),CONCATENATE([1]AB3!$AP$9,INDEX([1]AB2!M:M,MATCH(D102,[1]AB2!B:B,0)),[1]AB3!$AQ$9),IF(AND(D106="5 &amp; APS",D104="Options Sell"),CONCATENATE([1]AB3!$AP$15,INDEX([1]AB2!L:L,MATCH(D102,[1]AB2!B:B,0)),[1]AB3!$AQ$15),IF(AND(D106="5 &amp; APS",D104="Options Buy"),CONCATENATE([1]AB3!$AP$21,INDEX([1]AB2!M:M,MATCH(D102,[1]AB2!B:B,0)),[1]AB3!$AQ$21),[1]AB3!$AR$6))))</f>
        <v>0</v>
      </c>
      <c r="BA105" s="51">
        <f>IF(AND(D104="Futures",AZ105=[1]AB3!$BC$9),[1]AB3!$BC$9,IF(AND(D104="Options Sell",AZ105=[1]AB3!$BC$15),[1]AB3!$BC$15,IF(AND(D104="Options Buy",AZ105=[1]AB3!$BC$21),[1]AB3!$BC$21,I106)))</f>
        <v>0</v>
      </c>
      <c r="BB105" s="52">
        <f t="shared" ref="BB105:BB106" si="169">AY105-W105</f>
        <v>0</v>
      </c>
      <c r="BC105" s="53"/>
      <c r="BD105" s="54" t="str">
        <f>IF(D104="Futures",[1]AB3!$BE$9,IF(D104="Options Sell",[1]AB3!$BE$15,IF(D104="Options Buy",[1]AB3!$BE$21)))</f>
        <v>Market Start Time</v>
      </c>
      <c r="BE105" s="67">
        <f t="array" ref="BE105">IF(D102="","",INDEX([1]AB2!AG:AG,MATCH(D102,[1]AB2!B:B,0)))</f>
        <v>0.375</v>
      </c>
      <c r="BF105" s="11"/>
      <c r="BG105" s="12"/>
      <c r="BH105" s="57"/>
      <c r="BI105" s="68" t="str">
        <f>IF(D104="Futures",[1]AB3!$BJ$9,IF(D104="Options Sell",[1]AB3!$BJ$15,IF(D104="Options Buy",[1]AB3!$BJ$21)))</f>
        <v>Bear / 
Bear CF</v>
      </c>
      <c r="BJ105" s="45" t="str">
        <f>IF(D104="Futures",[1]AB3!$BK$9,IF(D104="Options Sell",[1]AB3!$BK$15,IF(D104="Options Buy",[1]AB3!$BK$21)))</f>
        <v>Long</v>
      </c>
      <c r="BK105" s="46">
        <v>0.01</v>
      </c>
      <c r="BL105" s="46">
        <v>0.01</v>
      </c>
      <c r="BM105" s="57"/>
      <c r="BN105" s="68" t="str">
        <f>IF(D104="Futures",[1]AB3!$BO$9,IF(D104="Options Sell",[1]AB3!$BO$15,IF(D104="Options Buy",[1]AB3!$BO$21)))</f>
        <v>Bear | 
Bear CF</v>
      </c>
      <c r="BO105" s="45" t="str">
        <f>IF(D104="Futures",[1]AB3!$BP$9,IF(D104="Options Sell",[1]AB3!$BP$15,IF(D104="Options Buy",[1]AB3!$BP$21)))</f>
        <v>Call</v>
      </c>
      <c r="BP105" s="43" t="str">
        <f t="array" ref="BP105">IF(A102="","",IF(D104="Futures","",IF(D104="EQUITY","",IF(D104="Options Sell",CONCATENATE([1]AB3!$BQ$15,INDEX([1]AB2!I:I,MATCH(A102,[1]AB2!A:A,0)),[1]AB3!$BR$15),IF(D104="Options Buy",CONCATENATE([1]AB3!$BQ$21,INDEX([1]AB2!I:I,MATCH(A102,[1]AB2!A:A,0)),[1]AB3!$BR$21))))))</f>
        <v/>
      </c>
      <c r="BQ105" s="58"/>
      <c r="BR105" s="58"/>
      <c r="BS105" s="58"/>
      <c r="BT105" s="58"/>
      <c r="BU105" s="58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9"/>
      <c r="CL105" s="43"/>
      <c r="CM105" s="43"/>
      <c r="CN105" s="59"/>
      <c r="CO105" s="43"/>
      <c r="CP105" s="43"/>
      <c r="CQ105" s="59"/>
      <c r="CR105" s="43"/>
      <c r="CS105" s="43"/>
      <c r="CT105" s="59"/>
      <c r="CU105" s="43"/>
      <c r="CV105" s="59"/>
      <c r="CW105" s="59"/>
    </row>
    <row r="106" spans="1:101" ht="15.75" customHeight="1" x14ac:dyDescent="0.2">
      <c r="A106" s="32"/>
      <c r="B106" s="41" t="str">
        <f>CONCATENATE(D102,IF(D104="Futures",[1]AB3!$B$10,IF(D104="Options Sell",[1]AB3!$B$16,IF(D104="Options Buy",[1]AB3!$B$22))))</f>
        <v>S17E</v>
      </c>
      <c r="C106" s="42" t="str">
        <f>IF(D104="Futures",[1]AB3!$C$10,IF(D104="Options Sell",[1]AB3!$C$16,IF(D104="Options Buy",[1]AB3!$C$22)))</f>
        <v>No. of Targets</v>
      </c>
      <c r="D106" s="43" t="str">
        <f t="array" ref="D106">IF(A102="","",INDEX([1]AB2!K:K,MATCH(D102,[1]AB2!B:B,0)))</f>
        <v>4 &amp; APS</v>
      </c>
      <c r="E106" s="32"/>
      <c r="F106" s="61" t="str">
        <f>IF(D104="Futures",[1]AB3!$F$10,IF(D104="Options Sell",[1]AB3!$F$16,IF(D104="Options Buy",[1]AB3!$F$22)))</f>
        <v>Short</v>
      </c>
      <c r="G106" s="43" t="str">
        <f t="array" ref="G106">(IF(A102="","",IF(D104="Futures",CONCATENATE([1]AB3!$G$10,INDEX([1]AB2!I:I,MATCH(D102,[1]AB2!B:B,0)),[1]AB3!$H$10),IF(D104="Options Sell",CONCATENATE([1]AB3!$G$16,INDEX([1]AB2!J:J,MATCH(D102,[1]AB2!B:B,0)),[1]AB3!$H$16),IF(D104="Options Buy",CONCATENATE([1]AB3!$G$22,INDEX([1]AB2!I:I,MATCH(D102,[1]AB2!B:B,0)),[1]AB3!$H$22))))))</f>
        <v>FUT : PRV : 2DLL</v>
      </c>
      <c r="H106" s="43" t="str">
        <f>IF(D104="Futures",[1]AB3!$I$10,IF(D104="Options Sell",[1]AB3!$I$16,IF(D104="Options Buy",[1]AB3!$I$22)))</f>
        <v xml:space="preserve"> - </v>
      </c>
      <c r="I106" s="46">
        <v>0</v>
      </c>
      <c r="J106" s="47">
        <v>5</v>
      </c>
      <c r="K106" s="48"/>
      <c r="L106" s="43" t="str">
        <f>IF(D104="Futures",[1]AB3!$M$10,IF(D104="Options Sell",[1]AB3!$M$16,IF(D104="Options Buy",[1]AB3!$M$22)))</f>
        <v xml:space="preserve">S : Entry </v>
      </c>
      <c r="M106" s="43" t="str">
        <f>IF(D104="Futures",[1]AB3!$N$10,IF(D104="Options Sell",[1]AB3!$N$16,IF(D104="Options Buy",[1]AB3!$N$22)))</f>
        <v xml:space="preserve"> - </v>
      </c>
      <c r="N106" s="46">
        <v>0.03</v>
      </c>
      <c r="O106" s="47">
        <v>1</v>
      </c>
      <c r="P106" s="46">
        <v>0.04</v>
      </c>
      <c r="Q106" s="47">
        <v>1</v>
      </c>
      <c r="R106" s="46">
        <v>0.05</v>
      </c>
      <c r="S106" s="47">
        <v>1</v>
      </c>
      <c r="T106" s="46">
        <v>0.06</v>
      </c>
      <c r="U106" s="47">
        <v>1</v>
      </c>
      <c r="V106" s="50" t="s">
        <v>51</v>
      </c>
      <c r="W106" s="47">
        <v>1</v>
      </c>
      <c r="X106" s="50" t="s">
        <v>52</v>
      </c>
      <c r="Y106" s="50" t="s">
        <v>52</v>
      </c>
      <c r="Z106" s="48"/>
      <c r="AA106" s="43" t="str">
        <f>IF(D104="Futures",[1]AB3!$AD$10,IF(D104="Options Sell",[1]AB3!$AD$16,IF(D104="Options Buy",[1]AB3!$AD$22)))</f>
        <v>Min</v>
      </c>
      <c r="AB106" s="43" t="str">
        <f>IF(D104="Futures",[1]AB3!$AE$10,IF(D104="Options Sell",[1]AB3!$AE$16,IF(D104="Options Buy",[1]AB3!$AE$22)))</f>
        <v>MSL &amp; TSL</v>
      </c>
      <c r="AC106" s="43" t="str">
        <f>IF(D104="Futures",[1]AB3!$AF$10,IF(D104="Options Sell",[1]AB3!$AF$16,IF(D104="Options Buy",[1]AB3!$AF$22)))</f>
        <v>Entry &amp; TRP</v>
      </c>
      <c r="AD106" s="48"/>
      <c r="AE106" s="43" t="str">
        <f>IF(D104="Futures",[1]AB3!$AH$10,IF(D104="Options Sell",[1]AB3!$AH$16,IF(D104="Options Buy",[1]AB3!$AH$22)))</f>
        <v>S : Entry</v>
      </c>
      <c r="AF106" s="43" t="str">
        <f>IF(D104="Futures",[1]AB3!$AI$10,IF(D104="Options Sell",[1]AB3!$AI$16,IF(D104="Options Buy",[1]AB3!$AI$22)))</f>
        <v xml:space="preserve"> + </v>
      </c>
      <c r="AG106" s="46">
        <v>0.03</v>
      </c>
      <c r="AH106" s="46">
        <v>0</v>
      </c>
      <c r="AI106" s="48"/>
      <c r="AJ106" s="43" t="str">
        <f>IF(D104="Futures",[1]AB3!$AO$10,IF(D104="Options Sell",[1]AB3!$AO$16,IF(D104="Options Buy",[1]AB3!$AO$22)))</f>
        <v xml:space="preserve"> + </v>
      </c>
      <c r="AK106" s="43" t="str">
        <f t="array" ref="AK106">IF(A102="","",IF(D104="Futures",CONCATENATE([1]AB3!$AP$10,INDEX([1]AB2!L:L,MATCH(D102,[1]AB2!B:B,0)),[1]AB3!$AQ$10),IF(D104="Options Sell",CONCATENATE([1]AB3!$AP$16,INDEX([1]AB2!M:M,MATCH(D102,[1]AB2!B:B,0)),[1]AB3!$AQ$16),IF(D104="Options Buy",CONCATENATE([1]AB3!$AP$22,INDEX([1]AB2!L:L,MATCH(D102,[1]AB2!B:B,0)),[1]AB3!$AQ$22)))))</f>
        <v>FUT : PRV : PW&amp;CWHH</v>
      </c>
      <c r="AL106" s="51">
        <f>IF(AND(D104="Futures",AK106=[1]AB3!$AS$10),[1]AB3!$AS$10,IF(AND(D104="Options Sell",AK106=[1]AB3!$AS$16),[1]AB3!$AS$16,IF(AND(D104="Options Buy",AK106=[1]AB3!$AS$22),[1]AB3!$AS$22,I105)))</f>
        <v>0.01</v>
      </c>
      <c r="AM106" s="52">
        <f>J105</f>
        <v>5</v>
      </c>
      <c r="AN106" s="43" t="str">
        <f t="array" ref="AN106">IF(A102="","",IF(AND(OR(D106="1 &amp; APS",D106="2 &amp; APS",D106="3 &amp; APS",D106="4 &amp; APS",D106="5 &amp; APS"),D104="Futures"),CONCATENATE([1]AB3!$AP$10,INDEX([1]AB2!L:L,MATCH(D102,[1]AB2!B:B,0)),[1]AB3!$AQ$10),IF(AND(OR(D106="1 &amp; APS",D106="2 &amp; APS",D106="3 &amp; APS",D106="4 &amp; APS",D106="5 &amp; APS"),D104="Options Sell"),CONCATENATE([1]AB3!$AP$16,INDEX([1]AB2!M:M,MATCH(D102,[1]AB2!B:B,0)),[1]AB3!$AQ$16),IF(AND(OR(D106="1 &amp; APS",D106="2 &amp; APS",D106="3 &amp; APS",D106="4 &amp; APS",D106="5 &amp; APS"),D104="Options Buy"),CONCATENATE([1]AB3!$AP$22,INDEX([1]AB2!L:L,MATCH(D102,[1]AB2!B:B,0)),[1]AB3!$AQ$22),[1]AB3!$AR$6))))</f>
        <v>FUT : PRV : PW&amp;CWHH</v>
      </c>
      <c r="AO106" s="51">
        <f>IF(AND(D104="Futures",AN106=[1]AB3!$AU$10),[1]AB3!$AU$10,IF(AND(D104="Options Sell",AN106=[1]AB3!$AU$16),[1]AB3!$AU$16,IF(AND(D104="Options Buy",AN106=[1]AB3!$AU$22),[1]AB3!$AU$22,I105)))</f>
        <v>0.01</v>
      </c>
      <c r="AP106" s="52">
        <f t="shared" si="165"/>
        <v>4</v>
      </c>
      <c r="AQ106" s="43" t="str">
        <f t="array" ref="AQ106">IF(A102="","",IF(AND(OR(D106="2 &amp; APS",D106="3 &amp; APS",D106="4 &amp; APS",D106="5 &amp; APS"),D104="Futures"),CONCATENATE([1]AB3!$AP$10,INDEX([1]AB2!L:L,MATCH(D102,[1]AB2!B:B,0)),[1]AB3!$AQ$10),IF(AND(OR(D106="2 &amp; APS",D106="3 &amp; APS",D106="4 &amp; APS",D106="5 &amp; APS"),D104="Options Sell"),CONCATENATE([1]AB3!$AP$16,INDEX([1]AB2!M:M,MATCH(D102,[1]AB2!B:B,0)),[1]AB3!$AQ$16),IF(AND(OR(D106="2 &amp; APS",D106="3 &amp; APS",D106="4 &amp; APS",D106="5 &amp; APS"),D104="Options Buy"),CONCATENATE([1]AB3!$AP$22,INDEX([1]AB2!L:L,MATCH(D102,[1]AB2!B:B,0)),[1]AB3!$AQ$22),[1]AB3!$AR$6))))</f>
        <v>FUT : PRV : PW&amp;CWHH</v>
      </c>
      <c r="AR106" s="51">
        <f>IF(AND(D104="Futures",AQ106=[1]AB3!$AW$10),[1]AB3!$AW$10,IF(AND(D104="Options Sell",AQ106=[1]AB3!$AW$16),[1]AB3!$AW$16,IF(AND(D104="Options Buy",AQ106=[1]AB3!$AW$22),[1]AB3!$AW$22,I105)))</f>
        <v>0.01</v>
      </c>
      <c r="AS106" s="52">
        <f t="shared" si="166"/>
        <v>3</v>
      </c>
      <c r="AT106" s="43" t="str">
        <f t="array" ref="AT106">IF(A102="","",IF(AND(OR(D106="3 &amp; APS",D106="4 &amp; APS",D106="5 &amp; APS"),D104="Futures"),CONCATENATE([1]AB3!$AP$10,INDEX([1]AB2!L:L,MATCH(D102,[1]AB2!B:B,0)),[1]AB3!$AQ$10),IF(AND(OR(D106="3 &amp; APS",D106="4 &amp; APS",D106="5 &amp; APS"),D104="Options Sell"),CONCATENATE([1]AB3!$AP$16,INDEX([1]AB2!M:M,MATCH(D102,[1]AB2!B:B,0)),[1]AB3!$AQ$16),IF(AND(OR(D106="3 &amp; APS",D106="4 &amp; APS",D106="5 &amp; APS"),D104="Options Buy"),CONCATENATE([1]AB3!$AP$22,INDEX([1]AB2!L:L,MATCH(D102,[1]AB2!B:B,0)),[1]AB3!$AQ$22),[1]AB3!$AR$6))))</f>
        <v>FUT : PRV : PW&amp;CWHH</v>
      </c>
      <c r="AU106" s="51">
        <f>IF(AND(D104="Futures",AT106=[1]AB3!$AY$10),[1]AB3!$AY$10,IF(AND(D104="Options Sell",AT106=[1]AB3!$AY$16),[1]AB3!$AY$16,IF(AND(D104="Options Buy",AT106=[1]AB3!$AY$22),[1]AB3!$AY$22,I105)))</f>
        <v>0.01</v>
      </c>
      <c r="AV106" s="52">
        <f t="shared" si="167"/>
        <v>2</v>
      </c>
      <c r="AW106" s="43" t="str">
        <f t="array" ref="AW106">IF(A102="","",IF(AND(OR(D106="4 &amp; APS",D106="5 &amp; APS"),D104="Futures"),CONCATENATE([1]AB3!$AP$10,INDEX([1]AB2!L:L,MATCH(D102,[1]AB2!B:B,0)),[1]AB3!$AQ$10),IF(AND(OR(D106="4 &amp; APS",D106="5 &amp; APS"),D104="Options Sell"),CONCATENATE([1]AB3!$AP$16,INDEX([1]AB2!M:M,MATCH(D102,[1]AB2!B:B,0)),[1]AB3!$AQ$16),IF(AND(OR(D106="4 &amp; APS",D106="5 &amp; APS"),D104="Options Buy"),CONCATENATE([1]AB3!$AP$22,INDEX([1]AB2!L:L,MATCH(D102,[1]AB2!B:B,0)),[1]AB3!$AQ$22),[1]AB3!$AR$6))))</f>
        <v>FUT : PRV : PW&amp;CWHH</v>
      </c>
      <c r="AX106" s="51">
        <f>IF(AND(D104="Futures",AW106=[1]AB3!$BA$10),[1]AB3!$BA$10,IF(AND(D104="Options Sell",AW106=[1]AB3!$BA$16),[1]AB3!$BA$16,IF(AND(D104="Options Buy",AW106=[1]AB3!$BA$22),[1]AB3!$BA$22,I105)))</f>
        <v>0.01</v>
      </c>
      <c r="AY106" s="52">
        <f t="shared" si="168"/>
        <v>1</v>
      </c>
      <c r="AZ106" s="51">
        <f t="array" ref="AZ106">IF(A102="","",IF(AND(D106="5 &amp; APS",D104="Futures"),CONCATENATE([1]AB3!$AP$10,INDEX([1]AB2!L:L,MATCH(D102,[1]AB2!B:B,0)),[1]AB3!$AQ$10),IF(AND(D106="5 &amp; APS",D104="Options Sell"),CONCATENATE([1]AB3!$AP$16,INDEX([1]AB2!M:M,MATCH(D102,[1]AB2!B:B,0)),[1]AB3!$AQ$16),IF(AND(D106="5 &amp; APS",D104="Options Buy"),CONCATENATE([1]AB3!$AP$22,INDEX([1]AB2!L:L,MATCH(D102,[1]AB2!B:B,0)),[1]AB3!$AQ$22),[1]AB3!$AR$6))))</f>
        <v>0</v>
      </c>
      <c r="BA106" s="51">
        <f>IF(AND(D104="Futures",AZ106=[1]AB3!$BC$10),[1]AB3!$BC$10,IF(AND(D104="Options Sell",AZ106=[1]AB3!$BC$16),[1]AB3!$BC$16,IF(AND(D104="Options Buy",AZ106=[1]AB3!$BC$22),[1]AB3!$BC$22,I105)))</f>
        <v>0</v>
      </c>
      <c r="BB106" s="52">
        <f t="shared" si="169"/>
        <v>0</v>
      </c>
      <c r="BC106" s="53"/>
      <c r="BD106" s="54" t="str">
        <f>IF(D104="Futures",[1]AB3!$BE$10,IF(D104="Options Sell",[1]AB3!$BE$16,IF(D104="Options Buy",[1]AB3!$BE$22)))</f>
        <v>Market End Time</v>
      </c>
      <c r="BE106" s="67">
        <f t="array" ref="BE106">IF(D102="","",INDEX([1]AB2!AH:AH,MATCH(D102,[1]AB2!B:B,0)))</f>
        <v>0.97916666666666663</v>
      </c>
      <c r="BF106" s="11"/>
      <c r="BG106" s="12"/>
      <c r="BH106" s="57"/>
      <c r="BI106" s="32"/>
      <c r="BJ106" s="61" t="str">
        <f>IF(D104="Futures",[1]AB3!$BK$10,IF(D104="Options Sell",[1]AB3!$BK$16,IF(D104="Options Buy",[1]AB3!$BK$22)))</f>
        <v>Short</v>
      </c>
      <c r="BK106" s="46">
        <v>0.01</v>
      </c>
      <c r="BL106" s="46">
        <v>0.01</v>
      </c>
      <c r="BM106" s="57"/>
      <c r="BN106" s="32"/>
      <c r="BO106" s="61" t="str">
        <f>IF(D104="Futures",[1]AB3!$BP$10,IF(D104="Options Sell",[1]AB3!$BP$16,IF(D104="Options Buy",[1]AB3!$BP$22)))</f>
        <v>Put</v>
      </c>
      <c r="BP106" s="43" t="str">
        <f t="array" ref="BP106">IF(A102="","",IF(D104="Futures","",IF(D104="EQUITY","",IF(D104="Options Sell",CONCATENATE([1]AB3!$BQ$16,INDEX([1]AB2!J:J,MATCH(A102,[1]AB2!A:A,0)),[1]AB3!$BR$16),IF(D104="Options Buy",CONCATENATE([1]AB3!$BQ$22,INDEX([1]AB2!J:J,MATCH(A102,[1]AB2!A:A,0)),[1]AB3!$BR$22))))))</f>
        <v/>
      </c>
      <c r="BQ106" s="58"/>
      <c r="BR106" s="58"/>
      <c r="BS106" s="58"/>
      <c r="BT106" s="58"/>
      <c r="BU106" s="58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9"/>
      <c r="CL106" s="43"/>
      <c r="CM106" s="43"/>
      <c r="CN106" s="59"/>
      <c r="CO106" s="43"/>
      <c r="CP106" s="43"/>
      <c r="CQ106" s="59"/>
      <c r="CR106" s="43"/>
      <c r="CS106" s="43"/>
      <c r="CT106" s="59"/>
      <c r="CU106" s="43"/>
      <c r="CV106" s="59"/>
      <c r="CW106" s="59"/>
    </row>
    <row r="107" spans="1:101" ht="15.75" customHeight="1" x14ac:dyDescent="0.2">
      <c r="A107" s="1"/>
      <c r="B107" s="2"/>
      <c r="C107" s="2"/>
      <c r="D107" s="2"/>
      <c r="E107" s="2"/>
      <c r="F107" s="2"/>
      <c r="G107" s="2"/>
      <c r="H107" s="2"/>
      <c r="I107" s="2"/>
      <c r="J107" s="3"/>
      <c r="K107" s="2"/>
      <c r="L107" s="2"/>
      <c r="M107" s="2"/>
      <c r="N107" s="2"/>
      <c r="O107" s="2"/>
      <c r="P107" s="2"/>
      <c r="Q107" s="69"/>
      <c r="R107" s="69"/>
      <c r="S107" s="70"/>
      <c r="T107" s="70"/>
      <c r="U107" s="2"/>
      <c r="V107" s="2"/>
      <c r="W107" s="2"/>
      <c r="X107" s="2"/>
      <c r="Y107" s="2"/>
      <c r="Z107" s="2"/>
      <c r="AA107" s="20"/>
      <c r="AB107" s="71"/>
      <c r="AC107" s="71"/>
      <c r="AD107" s="2"/>
      <c r="AE107" s="70"/>
      <c r="AF107" s="70"/>
      <c r="AG107" s="70"/>
      <c r="AH107" s="70"/>
      <c r="AI107" s="2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  <c r="BC107" s="70"/>
      <c r="BD107" s="70"/>
      <c r="BE107" s="70"/>
      <c r="BF107" s="70"/>
      <c r="BG107" s="70"/>
      <c r="BH107" s="70"/>
      <c r="BI107" s="70"/>
      <c r="BJ107" s="70"/>
      <c r="BK107" s="70"/>
      <c r="BL107" s="70"/>
      <c r="BM107" s="70"/>
      <c r="BN107" s="70"/>
      <c r="BO107" s="70"/>
      <c r="BP107" s="70"/>
      <c r="BQ107" s="70"/>
      <c r="BR107" s="70"/>
      <c r="BS107" s="70"/>
      <c r="BT107" s="70"/>
      <c r="BU107" s="70"/>
      <c r="BV107" s="70"/>
      <c r="BW107" s="70"/>
      <c r="BX107" s="70"/>
      <c r="BY107" s="70"/>
      <c r="BZ107" s="70"/>
      <c r="CA107" s="70"/>
      <c r="CB107" s="70"/>
      <c r="CC107" s="70"/>
      <c r="CD107" s="70"/>
      <c r="CE107" s="70"/>
      <c r="CF107" s="70"/>
      <c r="CG107" s="70"/>
      <c r="CH107" s="70"/>
      <c r="CI107" s="70"/>
      <c r="CJ107" s="70"/>
      <c r="CK107" s="70"/>
      <c r="CL107" s="2"/>
      <c r="CM107" s="2"/>
      <c r="CN107" s="70"/>
      <c r="CO107" s="70"/>
      <c r="CP107" s="70"/>
      <c r="CQ107" s="70"/>
      <c r="CR107" s="2"/>
      <c r="CS107" s="2"/>
      <c r="CT107" s="70"/>
      <c r="CU107" s="70"/>
      <c r="CV107" s="70"/>
      <c r="CW107" s="70"/>
    </row>
    <row r="108" spans="1:101" ht="15.75" customHeight="1" x14ac:dyDescent="0.2">
      <c r="A108" s="40">
        <v>18</v>
      </c>
      <c r="B108" s="41" t="str">
        <f>CONCATENATE(D108,IF(D110="Futures",[1]AB3!$B$6,IF(D110="Options Sell",[1]AB3!$B$12,IF(D110="Options Buy",[1]AB3!$B$18))))</f>
        <v>S18A</v>
      </c>
      <c r="C108" s="42" t="str">
        <f>IF(D110="Futures",[1]AB3!$C$6,IF(D110="Options Sell",[1]AB3!$C$12,IF(D110="Options Buy",[1]AB3!$C$18)))</f>
        <v>Strategy Code</v>
      </c>
      <c r="D108" s="43" t="str">
        <f t="array" ref="D108">IF(A108="","",INDEX([1]AB2!B:B,MATCH(A108,[1]AB2!A:A,0)))</f>
        <v>S18</v>
      </c>
      <c r="E108" s="44" t="str">
        <f>IF(D110="Futures",[1]AB3!$E$6,IF(D110="Options Sell",[1]AB3!$E$12,IF(D110="Options Buy",[1]AB3!$E$18)))</f>
        <v>Bull / 
Bull CF</v>
      </c>
      <c r="F108" s="45" t="str">
        <f>IF(D110="Futures",[1]AB3!$F$6,IF(D110="Options Sell",[1]AB3!$F$12,IF(D110="Options Buy",[1]AB3!$F$18)))</f>
        <v>Call</v>
      </c>
      <c r="G108" s="43" t="str">
        <f t="array" ref="G108">IF(A108="","",IF(D110="Futures",CONCATENATE([1]AB3!$G$6,INDEX([1]AB2!I:I,MATCH(D108,[1]AB2!B:B,0)),[1]AB3!$H$6),IF(D110="Options Sell",CONCATENATE([1]AB3!$G$12,INDEX([1]AB2!J:J,MATCH(D108,[1]AB2!B:B,0)),[1]AB3!$H$12),IF(D110="Options Buy",CONCATENATE([1]AB3!$G$18,INDEX([1]AB2!I:I,MATCH(D108,[1]AB2!B:B,0)),[1]AB3!$H$18)))))</f>
        <v>OPT : PRV : 3DLL</v>
      </c>
      <c r="H108" s="43" t="str">
        <f>IF(D110="Futures",[1]AB3!$I$6,IF(D110="Options Sell",[1]AB3!$I$12,IF(D110="Options Buy",[1]AB3!$I$18)))</f>
        <v xml:space="preserve"> - </v>
      </c>
      <c r="I108" s="72">
        <v>7.4999999999999997E-2</v>
      </c>
      <c r="J108" s="73">
        <v>1</v>
      </c>
      <c r="K108" s="48"/>
      <c r="L108" s="43" t="str">
        <f>IF(D110="Futures",[1]AB3!$M$6,IF(D110="Options Sell",[1]AB3!$M$12,IF(D110="Options Buy",[1]AB3!$M$18)))</f>
        <v xml:space="preserve">CE : Entry </v>
      </c>
      <c r="M108" s="43" t="str">
        <f>IF(D110="Futures",[1]AB3!$N$6,IF(D110="Options Sell",[1]AB3!$N$12,IF(D110="Options Buy",[1]AB3!$N$18)))</f>
        <v xml:space="preserve"> - </v>
      </c>
      <c r="N108" s="74">
        <v>0.6</v>
      </c>
      <c r="O108" s="75">
        <v>1</v>
      </c>
      <c r="P108" s="58"/>
      <c r="Q108" s="75"/>
      <c r="R108" s="58"/>
      <c r="S108" s="75"/>
      <c r="T108" s="58"/>
      <c r="U108" s="75"/>
      <c r="V108" s="76"/>
      <c r="W108" s="75"/>
      <c r="X108" s="76"/>
      <c r="Y108" s="76"/>
      <c r="Z108" s="48"/>
      <c r="AA108" s="43" t="str">
        <f>IF(D110="Futures",[1]AB3!$AD$6,IF(D110="Options Sell",[1]AB3!$AD$12,IF(D110="Options Buy",[1]AB3!$AD$18)))</f>
        <v>Min</v>
      </c>
      <c r="AB108" s="43" t="str">
        <f>IF(D110="Futures",[1]AB3!$AE$6,IF(D110="Options Sell",[1]AB3!$AE$12,IF(D110="Options Buy",[1]AB3!$AE$18)))</f>
        <v>MSL &amp; TSL</v>
      </c>
      <c r="AC108" s="43" t="str">
        <f>IF(D110="Futures",[1]AB3!$AF$6,IF(D110="Options Sell",[1]AB3!$AF$12,IF(D110="Options Buy",[1]AB3!$AF$18)))</f>
        <v>Entry &amp; TRP</v>
      </c>
      <c r="AD108" s="48"/>
      <c r="AE108" s="43" t="str">
        <f>IF(D110="Futures",[1]AB3!$AH$6,IF(D110="Options Sell",[1]AB3!$AH$12,IF(D110="Options Buy",[1]AB3!$AH$18)))</f>
        <v xml:space="preserve">CE : Entry </v>
      </c>
      <c r="AF108" s="43" t="str">
        <f>IF(D110="Futures",[1]AB3!$AI$6,IF(D110="Options Sell",[1]AB3!$AI$12,IF(D110="Options Buy",[1]AB3!$AI$18)))</f>
        <v xml:space="preserve"> + </v>
      </c>
      <c r="AG108" s="77">
        <v>0.6</v>
      </c>
      <c r="AH108" s="78"/>
      <c r="AI108" s="48"/>
      <c r="AJ108" s="43" t="str">
        <f>IF(D110="Futures",[1]AB3!$AO$6,IF(D110="Options Sell",[1]AB3!$AO$12,IF(D110="Options Buy",[1]AB3!$AO$18)))</f>
        <v xml:space="preserve"> + </v>
      </c>
      <c r="AK108" s="43" t="str">
        <f t="array" ref="AK108">IF(A108="","",IF(D110="Futures",CONCATENATE([1]AB3!$AP$6,INDEX([1]AB2!L:L,MATCH(D108,[1]AB2!B:B,0)),[1]AB3!$AQ$6),IF(D110="Options Sell",CONCATENATE([1]AB3!$AP$12,INDEX([1]AB2!M:M,MATCH(D108,[1]AB2!B:B,0)),[1]AB3!$AQ$12),IF(D110="Options Buy",CONCATENATE([1]AB3!$AP$18,INDEX([1]AB2!L:L,MATCH(D108,[1]AB2!B:B,0)),[1]AB3!$AQ$18)))))</f>
        <v>OPT : PRV : 2DHH</v>
      </c>
      <c r="AL108" s="79">
        <v>7.0000000000000007E-2</v>
      </c>
      <c r="AM108" s="52">
        <f>J109</f>
        <v>1</v>
      </c>
      <c r="AN108" s="51">
        <f t="array" ref="AN108">IF(A108="","",IF(AND(OR(D112="1 &amp; APS",D112="2 &amp; APS",D112="3 &amp; APS",D112="4 &amp; APS",D112="5 &amp; APS"),D110="Futures"),CONCATENATE([1]AB3!$AP$6,INDEX([1]AB2!L:L,MATCH(D108,[1]AB2!B:B,0)),[1]AB3!$AQ$6),IF(AND(OR(D112="1 &amp; APS",D112="2 &amp; APS",D112="3 &amp; APS",D112="4 &amp; APS",D112="5 &amp; APS"),D110="Options Sell"),CONCATENATE([1]AB3!$AP$12,INDEX([1]AB2!M:M,MATCH(D108,[1]AB2!B:B,0)),[1]AB3!$AQ$12),IF(AND(OR(D112="1 &amp; APS",D112="2 &amp; APS",D112="3 &amp; APS",D112="4 &amp; APS",D112="5 &amp; APS"),D110="Options Buy"),CONCATENATE([1]AB3!$AP$18,INDEX([1]AB2!L:L,MATCH(D108,[1]AB2!B:B,0)),[1]AB3!$AQ$18),[1]AB3!$AR$6))))</f>
        <v>0</v>
      </c>
      <c r="AO108" s="58"/>
      <c r="AP108" s="52">
        <f t="shared" ref="AP108:AP109" si="170">AM108-O108</f>
        <v>0</v>
      </c>
      <c r="AQ108" s="51">
        <f t="array" ref="AQ108">IF(A108="","",IF(AND(OR(D112="2 &amp; APS",D112="3 &amp; APS",D112="4 &amp; APS",D112="5 &amp; APS"),D110="Futures"),CONCATENATE([1]AB3!$AP$6,INDEX([1]AB2!L:L,MATCH(D108,[1]AB2!B:B,0)),[1]AB3!$AQ$6),IF(AND(OR(D112="2 &amp; APS",D112="3 &amp; APS",D112="4 &amp; APS",D112="5 &amp; APS"),D110="Options Sell"),CONCATENATE([1]AB3!$AP$12,INDEX([1]AB2!M:M,MATCH(D108,[1]AB2!B:B,0)),[1]AB3!$AQ$12),IF(AND(OR(D112="2 &amp; APS",D112="3 &amp; APS",D112="4 &amp; APS",D112="5 &amp; APS"),D110="Options Buy"),CONCATENATE([1]AB3!$AP$18,INDEX([1]AB2!L:L,MATCH(D108,[1]AB2!B:B,0)),[1]AB3!$AQ$18),[1]AB3!$AR$6))))</f>
        <v>0</v>
      </c>
      <c r="AR108" s="58"/>
      <c r="AS108" s="52">
        <f t="shared" ref="AS108:AS109" si="171">AP108-Q108</f>
        <v>0</v>
      </c>
      <c r="AT108" s="51">
        <f t="array" ref="AT108">IF(A108="","",IF(AND(OR(D112="3 &amp; APS",D112="4 &amp; APS",D112="5 &amp; APS"),D110="Futures"),CONCATENATE([1]AB3!$AP$6,INDEX([1]AB2!L:L,MATCH(D108,[1]AB2!B:B,0)),[1]AB3!$AQ$6),IF(AND(OR(D112="3 &amp; APS",D112="4 &amp; APS",D112="5 &amp; APS"),D110="Options Sell"),CONCATENATE([1]AB3!$AP$12,INDEX([1]AB2!M:M,MATCH(D108,[1]AB2!B:B,0)),[1]AB3!$AQ$12),IF(AND(OR(D112="3 &amp; APS",D112="4 &amp; APS",D112="5 &amp; APS"),D110="Options Buy"),CONCATENATE([1]AB3!$AP$18,INDEX([1]AB2!L:L,MATCH(D108,[1]AB2!B:B,0)),[1]AB3!$AQ$18),[1]AB3!$AR$6))))</f>
        <v>0</v>
      </c>
      <c r="AU108" s="58"/>
      <c r="AV108" s="52">
        <f t="shared" ref="AV108:AV109" si="172">AS108-S108</f>
        <v>0</v>
      </c>
      <c r="AW108" s="51">
        <f t="array" ref="AW108">IF(A108="","",IF(AND(OR(D112="4 &amp; APS",D112="5 &amp; APS"),D110="Futures"),CONCATENATE([1]AB3!$AP$6,INDEX([1]AB2!L:L,MATCH(D108,[1]AB2!B:B,0)),[1]AB3!$AQ$6),IF(AND(OR(D112="4 &amp; APS",D112="5 &amp; APS"),D110="Options Sell"),CONCATENATE([1]AB3!$AP$12,INDEX([1]AB2!M:M,MATCH(D108,[1]AB2!B:B,0)),[1]AB3!$AQ$12),IF(AND(OR(D112="4 &amp; APS",D112="5 &amp; APS"),D110="Options Buy"),CONCATENATE([1]AB3!$AP$18,INDEX([1]AB2!L:L,MATCH(D108,[1]AB2!B:B,0)),[1]AB3!$AQ$18),[1]AB3!$AR$6))))</f>
        <v>0</v>
      </c>
      <c r="AX108" s="58"/>
      <c r="AY108" s="52">
        <f t="shared" ref="AY108:AY109" si="173">AV108-S108</f>
        <v>0</v>
      </c>
      <c r="AZ108" s="51">
        <f t="array" ref="AZ108">IF(A108="","",IF(AND(D112="5 &amp; APS",D110="Futures"),CONCATENATE([1]AB3!$AP$6,INDEX([1]AB2!L:L,MATCH(D108,[1]AB2!B:B,0)),[1]AB3!$AQ$6),IF(AND(D112="5 &amp; APS",D110="Options Sell"),CONCATENATE([1]AB3!$AP$12,INDEX([1]AB2!M:M,MATCH(D108,[1]AB2!B:B,0)),[1]AB3!$AQ$12),IF(AND(D112="5 &amp; APS",D110="Options Buy"),CONCATENATE([1]AB3!$AP$18,INDEX([1]AB2!L:L,MATCH(D108,[1]AB2!B:B,0)),[1]AB3!$AQ$18),[1]AB3!$AR$6))))</f>
        <v>0</v>
      </c>
      <c r="BA108" s="58"/>
      <c r="BB108" s="52">
        <f t="shared" ref="BB108:BB109" si="174">AY108-W108</f>
        <v>0</v>
      </c>
      <c r="BC108" s="53"/>
      <c r="BD108" s="54" t="str">
        <f>IF(D110="Futures",[1]AB3!$BE$6,IF(D110="Options Sell",[1]AB3!$BE$12,IF(D110="Options Buy",[1]AB3!$BE$18)))</f>
        <v xml:space="preserve">ORPT </v>
      </c>
      <c r="BE108" s="55">
        <f>IF(D110="Futures",BE111+([1]AB3!$BF$6/1440),IF(D110="Options Sell",BE111+([1]AB3!$BF$12/1440),IF(D110="Options Buy",BE111+([1]AB3!$BF$18/1440))))</f>
        <v>0.38193749999999999</v>
      </c>
      <c r="BF108" s="55">
        <f>IF(D110="Futures",BE111+([1]AB3!$BG$6/1440),IF(D110="Options Sell",BE111+([1]AB3!$BG$12/1440),IF(D110="Options Buy",BE111+([1]AB3!$BG$18/1440))))</f>
        <v>0.38193749999999999</v>
      </c>
      <c r="BG108" s="55">
        <f>IF(D110="Futures",BE111+([1]AB3!$BH$6/1440),IF(D110="Options Sell",BE111+([1]AB3!$BH$12/1440),IF(D110="Options Buy",BE111+([1]AB3!$BH$18/1440))))</f>
        <v>0.375</v>
      </c>
      <c r="BH108" s="57"/>
      <c r="BI108" s="44" t="str">
        <f>IF(D110="Futures",[1]AB3!$BJ$6,IF(D110="Options Sell",[1]AB3!$BJ$12,IF(D110="Options Buy",[1]AB3!$BJ$18)))</f>
        <v>Bull / 
Bull CF</v>
      </c>
      <c r="BJ108" s="45" t="str">
        <f>IF(D110="Futures",[1]AB3!$BK$6,IF(D110="Options Sell",[1]AB3!$BK$12,IF(D110="Options Buy",[1]AB3!$BK$18)))</f>
        <v>Call</v>
      </c>
      <c r="BK108" s="80">
        <v>7.4999999999999997E-2</v>
      </c>
      <c r="BL108" s="81">
        <v>7.0000000000000007E-2</v>
      </c>
      <c r="BM108" s="57"/>
      <c r="BN108" s="44" t="str">
        <f>IF(D110="Futures",[1]AB3!$BO$6,IF(D110="Options Sell",[1]AB3!$BO$12,IF(D110="Options Buy",[1]AB3!$BO$18)))</f>
        <v>Bull | 
Bull CF</v>
      </c>
      <c r="BO108" s="45" t="str">
        <f>IF(D110="Futures",[1]AB3!$BP$6,IF(D110="Options Sell",[1]AB3!$BP$12,IF(D110="Options Buy",[1]AB3!$BP$18)))</f>
        <v>Call</v>
      </c>
      <c r="BP108" s="43" t="str">
        <f t="array" ref="BP108">IF(A108="","",IF(D110="Futures","",IF(D110="EQUITY","",IF(D110="Options Sell",CONCATENATE([1]AB3!$BQ$12,INDEX([1]AB2!J:J,MATCH(A108,[1]AB2!A:A,0)),[1]AB3!$BR$12),IF(D110="Options Buy",CONCATENATE([1]AB3!$BQ$18,INDEX([1]AB2!J:J,MATCH(A108,[1]AB2!A:A,0)),[1]AB3!$BR$18))))))</f>
        <v>SPT : PRV : 3DLL</v>
      </c>
      <c r="BQ108" s="82" t="s">
        <v>53</v>
      </c>
      <c r="BR108" s="58">
        <v>0.02</v>
      </c>
      <c r="BS108" s="76" t="s">
        <v>54</v>
      </c>
      <c r="BT108" s="37" t="str">
        <f t="shared" ref="BT108:BT109" si="175">BP108</f>
        <v>SPT : PRV : 3DLL</v>
      </c>
      <c r="BU108" s="76"/>
      <c r="BV108" s="58"/>
      <c r="BW108" s="76" t="s">
        <v>54</v>
      </c>
      <c r="BX108" s="82" t="s">
        <v>55</v>
      </c>
      <c r="BY108" s="76">
        <v>1</v>
      </c>
      <c r="BZ108" s="58"/>
      <c r="CA108" s="58"/>
      <c r="CB108" s="58"/>
      <c r="CC108" s="58"/>
      <c r="CD108" s="58"/>
      <c r="CE108" s="43" t="str">
        <f t="shared" ref="CE108:CE109" si="176">BP108</f>
        <v>SPT : PRV : 3DLL</v>
      </c>
      <c r="CF108" s="58">
        <v>3.0000000000000001E-3</v>
      </c>
      <c r="CG108" s="43" t="str">
        <f t="shared" ref="CG108:CG109" si="177">BP108</f>
        <v>SPT : PRV : 3DLL</v>
      </c>
      <c r="CH108" s="58">
        <v>1.5E-3</v>
      </c>
      <c r="CI108" s="75">
        <v>100</v>
      </c>
      <c r="CJ108" s="75">
        <v>1</v>
      </c>
      <c r="CK108" s="59"/>
      <c r="CL108" s="43"/>
      <c r="CM108" s="43"/>
      <c r="CN108" s="59"/>
      <c r="CO108" s="43"/>
      <c r="CP108" s="43"/>
      <c r="CQ108" s="59"/>
      <c r="CR108" s="58">
        <v>0.02</v>
      </c>
      <c r="CS108" s="43"/>
      <c r="CT108" s="59"/>
      <c r="CU108" s="55">
        <f>IF(D110="Futures",BE112-([1]AB3!$CG$6/1440),IF(D110="Options Sell",BE112-([1]AB3!$CG$12/1440),IF(D110="Options Buy",BE112-([1]AB3!$CG$18/1440),IF(D110="EQUITY",""))))</f>
        <v>0.6875</v>
      </c>
      <c r="CV108" s="59"/>
      <c r="CW108" s="59"/>
    </row>
    <row r="109" spans="1:101" ht="15.75" customHeight="1" x14ac:dyDescent="0.2">
      <c r="A109" s="60"/>
      <c r="B109" s="41" t="str">
        <f>CONCATENATE(D108,IF(D110="Futures",[1]AB3!$B$7,IF(D110="Options Sell",[1]AB3!$B$13,IF(D110="Options Buy",[1]AB3!$B$19))))</f>
        <v>S18B</v>
      </c>
      <c r="C109" s="42" t="str">
        <f>IF(D110="Futures",[1]AB3!$C$7,IF(D110="Options Sell",[1]AB3!$C$13,IF(D110="Options Buy",[1]AB3!$C$19)))</f>
        <v>Unique Code</v>
      </c>
      <c r="D109" s="43" t="str">
        <f t="array" ref="D109">IF(A108="","",INDEX([1]AB2!N:N,MATCH(D108,[1]AB2!B:B,0)))</f>
        <v>USDINR_OP_SELL_WK_DIFF_2D_3D</v>
      </c>
      <c r="E109" s="32"/>
      <c r="F109" s="61" t="str">
        <f>IF(D110="Futures",[1]AB3!$F$7,IF(D110="Options Sell",[1]AB3!$F$13,IF(D110="Options Buy",[1]AB3!$F$19)))</f>
        <v>Put</v>
      </c>
      <c r="G109" s="43" t="str">
        <f t="array" ref="G109">IF(A108="","",IF(D110="Futures",CONCATENATE([1]AB3!$G$7,INDEX([1]AB2!J:J,MATCH(D108,[1]AB2!B:B,0)),[1]AB3!$H$7),IF(D110="Options Sell",CONCATENATE([1]AB3!$G$13,INDEX([1]AB2!I:I,MATCH(D108,[1]AB2!B:B,0)),[1]AB3!$H$13),IF(D110="Options Buy",CONCATENATE([1]AB3!$G$19,INDEX([1]AB2!J:J,MATCH(D108,[1]AB2!B:B,0)),[1]AB3!$H$19)))))</f>
        <v>OPT : PRV : 2DLL</v>
      </c>
      <c r="H109" s="43" t="str">
        <f>IF(D110="Futures",[1]AB3!$I$7,IF(D110="Options Sell",[1]AB3!$I$13,IF(D110="Options Buy",[1]AB3!$I$19)))</f>
        <v xml:space="preserve"> - </v>
      </c>
      <c r="I109" s="72">
        <v>7.4999999999999997E-2</v>
      </c>
      <c r="J109" s="73">
        <v>1</v>
      </c>
      <c r="K109" s="48"/>
      <c r="L109" s="43" t="str">
        <f>IF(D110="Futures",[1]AB3!$M$7,IF(D110="Options Sell",[1]AB3!$M$13,IF(D110="Options Buy",[1]AB3!$M$19)))</f>
        <v xml:space="preserve">PE : Entry </v>
      </c>
      <c r="M109" s="43" t="str">
        <f>IF(D110="Futures",[1]AB3!$N$7,IF(D110="Options Sell",[1]AB3!$N$13,IF(D110="Options Buy",[1]AB3!$N$19)))</f>
        <v xml:space="preserve"> - </v>
      </c>
      <c r="N109" s="74">
        <v>0.6</v>
      </c>
      <c r="O109" s="75">
        <v>1</v>
      </c>
      <c r="P109" s="58"/>
      <c r="Q109" s="75"/>
      <c r="R109" s="58"/>
      <c r="S109" s="75"/>
      <c r="T109" s="58"/>
      <c r="U109" s="75"/>
      <c r="V109" s="76"/>
      <c r="W109" s="75"/>
      <c r="X109" s="76"/>
      <c r="Y109" s="76"/>
      <c r="Z109" s="48"/>
      <c r="AA109" s="43" t="str">
        <f>IF(D110="Futures",[1]AB3!$AD$7,IF(D110="Options Sell",[1]AB3!$AD$13,IF(D110="Options Buy",[1]AB3!$AD$19)))</f>
        <v>Min</v>
      </c>
      <c r="AB109" s="43" t="str">
        <f>IF(D110="Futures",[1]AB3!$AE$7,IF(D110="Options Sell",[1]AB3!$AE$13,IF(D110="Options Buy",[1]AB3!$AE$19)))</f>
        <v>MSL &amp; TSL</v>
      </c>
      <c r="AC109" s="43" t="str">
        <f>IF(D110="Futures",[1]AB3!$AF$7,IF(D110="Options Sell",[1]AB3!$AF$13,IF(D110="Options Buy",[1]AB3!$AF$19)))</f>
        <v>Entry &amp; TRP</v>
      </c>
      <c r="AD109" s="48"/>
      <c r="AE109" s="43" t="str">
        <f>IF(D110="Futures",[1]AB3!$AH$7,IF(D110="Options Sell",[1]AB3!$AH$13,IF(D110="Options Buy",[1]AB3!$AH$19)))</f>
        <v xml:space="preserve">PE : Entry </v>
      </c>
      <c r="AF109" s="43" t="str">
        <f>IF(D110="Futures",[1]AB3!$AI$7,IF(D110="Options Sell",[1]AB3!$AI$13,IF(D110="Options Buy",[1]AB3!$AI$19)))</f>
        <v xml:space="preserve"> + </v>
      </c>
      <c r="AG109" s="77">
        <v>0.6</v>
      </c>
      <c r="AH109" s="78"/>
      <c r="AI109" s="48"/>
      <c r="AJ109" s="43" t="str">
        <f>IF(D110="Futures",[1]AB3!$AO$7,IF(D110="Options Sell",[1]AB3!$AO$13,IF(D110="Options Buy",[1]AB3!$AO$19)))</f>
        <v xml:space="preserve"> + </v>
      </c>
      <c r="AK109" s="43" t="str">
        <f t="array" ref="AK109">IF(A108="","",IF(D110="Futures",CONCATENATE([1]AB3!$AP$7,INDEX([1]AB2!M:M,MATCH(D108,[1]AB2!B:B,0)),[1]AB3!$AQ$7),IF(D110="Options Sell",CONCATENATE([1]AB3!$AP$13,INDEX([1]AB2!L:L,MATCH(D108,[1]AB2!B:B,0)),[1]AB3!$AQ$13),IF(D110="Options Buy",CONCATENATE([1]AB3!$AP$19,INDEX([1]AB2!M:M,MATCH(D108,[1]AB2!B:B,0)),[1]AB3!$AQ$19)))))</f>
        <v>OPT : PRV : 3DHH</v>
      </c>
      <c r="AL109" s="79">
        <v>0.1</v>
      </c>
      <c r="AM109" s="52">
        <f>J108</f>
        <v>1</v>
      </c>
      <c r="AN109" s="51">
        <f t="array" ref="AN109">IF(A108="","",IF(AND(OR(D112="1 &amp; APS",D112="2 &amp; APS",D112="3 &amp; APS",D112="4 &amp; APS",D112="5 &amp; APS"),D110="Futures"),CONCATENATE([1]AB3!$AP$7,INDEX([1]AB2!M:M,MATCH(D108,[1]AB2!B:B,0)),[1]AB3!$AQ$7),IF(AND(OR(D112="1 &amp; APS",D112="2 &amp; APS",D112="3 &amp; APS",D112="4 &amp; APS",D112="5 &amp; APS"),D110="Options Sell"),CONCATENATE([1]AB3!$AP$13,INDEX([1]AB2!L:L,MATCH(D108,[1]AB2!B:B,0)),[1]AB3!$AQ$13),IF(AND(OR(D112="1 &amp; APS",D112="2 &amp; APS",D112="3 &amp; APS",D112="4 &amp; APS",D112="5 &amp; APS"),D110="Options Buy"),CONCATENATE([1]AB3!$AP$19,INDEX([1]AB2!M:M,MATCH(D108,[1]AB2!B:B,0)),[1]AB3!$AQ$19),[1]AB3!$AR$6))))</f>
        <v>0</v>
      </c>
      <c r="AO109" s="58"/>
      <c r="AP109" s="52">
        <f t="shared" si="170"/>
        <v>0</v>
      </c>
      <c r="AQ109" s="51">
        <f t="array" ref="AQ109">IF(A108="","",IF(AND(OR(D112="2 &amp; APS",D112="3 &amp; APS",D112="4 &amp; APS",D112="5 &amp; APS"),D110="Futures"),CONCATENATE([1]AB3!$AP$7,INDEX([1]AB2!M:M,MATCH(D108,[1]AB2!B:B,0)),[1]AB3!$AQ$7),IF(AND(OR(D112="2 &amp; APS",D112="3 &amp; APS",D112="4 &amp; APS",D112="5 &amp; APS"),D110="Options Sell"),CONCATENATE([1]AB3!$AP$13,INDEX([1]AB2!L:L,MATCH(D108,[1]AB2!B:B,0)),[1]AB3!$AQ$13),IF(AND(OR(D112="2 &amp; APS",D112="3 &amp; APS",D112="4 &amp; APS",D112="5 &amp; APS"),D110="Options Buy"),CONCATENATE([1]AB3!$AP$19,INDEX([1]AB2!M:M,MATCH(D108,[1]AB2!B:B,0)),[1]AB3!$AQ$19),[1]AB3!$AR$6))))</f>
        <v>0</v>
      </c>
      <c r="AR109" s="58"/>
      <c r="AS109" s="52">
        <f t="shared" si="171"/>
        <v>0</v>
      </c>
      <c r="AT109" s="51">
        <f t="array" ref="AT109">IF(A108="","",IF(AND(OR(D112="3 &amp; APS",D112="4 &amp; APS",D112="5 &amp; APS"),D110="Futures"),CONCATENATE([1]AB3!$AP$7,INDEX([1]AB2!M:M,MATCH(D108,[1]AB2!B:B,0)),[1]AB3!$AQ$7),IF(AND(OR(D112="3 &amp; APS",D112="4 &amp; APS",D112="5 &amp; APS"),D110="Options Sell"),CONCATENATE([1]AB3!$AP$13,INDEX([1]AB2!L:L,MATCH(D108,[1]AB2!B:B,0)),[1]AB3!$AQ$13),IF(AND(OR(D112="3 &amp; APS",D112="4 &amp; APS",D112="5 &amp; APS"),D110="Options Buy"),CONCATENATE([1]AB3!$AP$19,INDEX([1]AB2!M:M,MATCH(D108,[1]AB2!B:B,0)),[1]AB3!$AQ$19),[1]AB3!$AR$6))))</f>
        <v>0</v>
      </c>
      <c r="AU109" s="58"/>
      <c r="AV109" s="52">
        <f t="shared" si="172"/>
        <v>0</v>
      </c>
      <c r="AW109" s="51">
        <f t="array" ref="AW109">IF(A108="","",IF(AND(OR(D112="4 &amp; APS",D112="5 &amp; APS"),D110="Futures"),CONCATENATE([1]AB3!$AP$7,INDEX([1]AB2!M:M,MATCH(D108,[1]AB2!B:B,0)),[1]AB3!$AQ$7),IF(AND(OR(D112="4 &amp; APS",D112="5 &amp; APS"),D110="Options Sell"),CONCATENATE([1]AB3!$AP$13,INDEX([1]AB2!L:L,MATCH(D108,[1]AB2!B:B,0)),[1]AB3!$AQ$13),IF(AND(OR(D112="4 &amp; APS",D112="5 &amp; APS"),D110="Options Buy"),CONCATENATE([1]AB3!$AP$19,INDEX([1]AB2!M:M,MATCH(D108,[1]AB2!B:B,0)),[1]AB3!$AQ$19),[1]AB3!$AR$6))))</f>
        <v>0</v>
      </c>
      <c r="AX109" s="58"/>
      <c r="AY109" s="52">
        <f t="shared" si="173"/>
        <v>0</v>
      </c>
      <c r="AZ109" s="51">
        <f t="array" ref="AZ109">IF(A108="","",IF(AND(D112="5 &amp; APS",D110="Futures"),CONCATENATE([1]AB3!$AP$7,INDEX([1]AB2!M:M,MATCH(D108,[1]AB2!B:B,0)),[1]AB3!$AQ$7),IF(AND(D112="5 &amp; APS",D110="Options Sell"),CONCATENATE([1]AB3!$AP$13,INDEX([1]AB2!L:L,MATCH(D108,[1]AB2!B:B,0)),[1]AB3!$AQ$13),IF(AND(D112="5 &amp; APS",D110="Options Buy"),CONCATENATE([1]AB3!$AP$19,INDEX([1]AB2!M:M,MATCH(D108,[1]AB2!B:B,0)),[1]AB3!$AQ$19),[1]AB3!$AR$6))))</f>
        <v>0</v>
      </c>
      <c r="BA109" s="58"/>
      <c r="BB109" s="52">
        <f t="shared" si="174"/>
        <v>0</v>
      </c>
      <c r="BC109" s="53"/>
      <c r="BD109" s="54" t="str">
        <f>IF(D110="Futures",[1]AB3!$BE$7,IF(D110="Options Sell",[1]AB3!$BE$13,IF(D110="Options Buy",[1]AB3!$BE$19)))</f>
        <v xml:space="preserve"> RC. Time</v>
      </c>
      <c r="BE109" s="55">
        <f>IF(D110="Futures",BE111+([1]AB3!$BF$7/1440),IF(D110="Options Sell",BE111+([1]AB3!$BF$13/1440),IF(D110="Options Buy",BE111+([1]AB3!$BF$19/1440))))</f>
        <v>0.38540972222222225</v>
      </c>
      <c r="BF109" s="55">
        <f>IF(D110="Futures",BE111+([1]AB3!$BG$7/1440),IF(D110="Options Sell",BE111+([1]AB3!$BG$13/1440),IF(D110="Options Buy",BE111+([1]AB3!$BG$19/1440))))</f>
        <v>0.38540972222222225</v>
      </c>
      <c r="BG109" s="55" t="str">
        <f>IF(D110="Futures",[1]AB3!$BH$7,IF(D110="Options Sell",[1]AB3!$BH$7,IF(D110="Options Buy",[1]AB3!$BH$7)))</f>
        <v>N.A.</v>
      </c>
      <c r="BH109" s="57"/>
      <c r="BI109" s="32"/>
      <c r="BJ109" s="61" t="str">
        <f>IF(D110="Futures",[1]AB3!$BK$7,IF(D110="Options Sell",[1]AB3!$BK$13,IF(D110="Options Buy",[1]AB3!$BK$19)))</f>
        <v>Put</v>
      </c>
      <c r="BK109" s="80">
        <v>7.4999999999999997E-2</v>
      </c>
      <c r="BL109" s="81">
        <v>0.1</v>
      </c>
      <c r="BM109" s="57"/>
      <c r="BN109" s="32"/>
      <c r="BO109" s="61" t="str">
        <f>IF(D110="Futures",[1]AB3!$BP$7,IF(D110="Options Sell",[1]AB3!$BP$13,IF(D110="Options Buy",[1]AB3!$BP$19)))</f>
        <v>Put</v>
      </c>
      <c r="BP109" s="43" t="str">
        <f t="array" ref="BP109">IF(A108="","",IF(D110="Futures","",IF(D110="EQUITY","",IF(D110="Options Sell",CONCATENATE([1]AB3!$BQ$13,INDEX([1]AB2!I:I,MATCH(A108,[1]AB2!A:A,0)),[1]AB3!$BR$13),IF(D110="Options Buy",CONCATENATE([1]AB3!$BQ$19,INDEX([1]AB2!I:I,MATCH(A108,[1]AB2!A:A,0)),[1]AB3!$BR$19))))))</f>
        <v>SPT : PRV : 2DHH</v>
      </c>
      <c r="BQ109" s="83" t="s">
        <v>55</v>
      </c>
      <c r="BR109" s="58">
        <v>0.02</v>
      </c>
      <c r="BS109" s="76" t="s">
        <v>56</v>
      </c>
      <c r="BT109" s="84" t="str">
        <f t="shared" si="175"/>
        <v>SPT : PRV : 2DHH</v>
      </c>
      <c r="BU109" s="85"/>
      <c r="BV109" s="58"/>
      <c r="BW109" s="76" t="s">
        <v>56</v>
      </c>
      <c r="BX109" s="82" t="s">
        <v>53</v>
      </c>
      <c r="BY109" s="76">
        <v>1</v>
      </c>
      <c r="BZ109" s="58"/>
      <c r="CA109" s="58"/>
      <c r="CB109" s="58"/>
      <c r="CC109" s="58"/>
      <c r="CD109" s="58"/>
      <c r="CE109" s="43" t="str">
        <f t="shared" si="176"/>
        <v>SPT : PRV : 2DHH</v>
      </c>
      <c r="CF109" s="58">
        <v>3.0000000000000001E-3</v>
      </c>
      <c r="CG109" s="43" t="str">
        <f t="shared" si="177"/>
        <v>SPT : PRV : 2DHH</v>
      </c>
      <c r="CH109" s="58">
        <v>1.5E-3</v>
      </c>
      <c r="CI109" s="75">
        <v>100</v>
      </c>
      <c r="CJ109" s="75">
        <v>1</v>
      </c>
      <c r="CK109" s="59"/>
      <c r="CL109" s="43"/>
      <c r="CM109" s="43"/>
      <c r="CN109" s="59"/>
      <c r="CO109" s="43"/>
      <c r="CP109" s="43"/>
      <c r="CQ109" s="59"/>
      <c r="CR109" s="58">
        <v>0.02</v>
      </c>
      <c r="CS109" s="43"/>
      <c r="CT109" s="59"/>
      <c r="CU109" s="43"/>
      <c r="CV109" s="59"/>
      <c r="CW109" s="59"/>
    </row>
    <row r="110" spans="1:101" ht="15.75" customHeight="1" x14ac:dyDescent="0.2">
      <c r="A110" s="60"/>
      <c r="B110" s="41" t="str">
        <f>CONCATENATE(D108,IF(D110="Futures",[1]AB3!$B$8,IF(D110="Options Sell",[1]AB3!$B$14,IF(D110="Options Buy",[1]AB3!$B$20))))</f>
        <v>S18C</v>
      </c>
      <c r="C110" s="42" t="str">
        <f>IF(D110="Futures",[1]AB3!$C$8,IF(D110="Options Sell",[1]AB3!$C$14,IF(D110="Options Buy",[1]AB3!$C$20)))</f>
        <v>Segment</v>
      </c>
      <c r="D110" s="43" t="str">
        <f t="array" ref="D110">IF(A108="","",INDEX([1]AB2!C:C,MATCH(D108,[1]AB2!B:B,0)))</f>
        <v>OPTIONS SELL</v>
      </c>
      <c r="E110" s="42" t="str">
        <f>IF(D110="Futures",[1]AB3!$E$8,IF(D110="Options Sell",[1]AB3!$E$14,IF(D110="Options Buy",[1]AB3!$E$20)))</f>
        <v>Contract</v>
      </c>
      <c r="F110" s="43" t="str">
        <f t="array" ref="F110">IF(A108="","",INDEX([1]AB2!F:F,MATCH(D108,[1]AB2!B:B,0)))</f>
        <v>WEEKLY</v>
      </c>
      <c r="G110" s="62"/>
      <c r="H110" s="62"/>
      <c r="I110" s="86"/>
      <c r="J110" s="87"/>
      <c r="K110" s="48"/>
      <c r="L110" s="62"/>
      <c r="M110" s="62"/>
      <c r="N110" s="88"/>
      <c r="O110" s="89"/>
      <c r="P110" s="62"/>
      <c r="Q110" s="89"/>
      <c r="R110" s="62"/>
      <c r="S110" s="89"/>
      <c r="T110" s="62"/>
      <c r="U110" s="89"/>
      <c r="V110" s="62"/>
      <c r="W110" s="89"/>
      <c r="X110" s="62"/>
      <c r="Y110" s="62"/>
      <c r="Z110" s="48"/>
      <c r="AA110" s="62"/>
      <c r="AB110" s="62"/>
      <c r="AC110" s="62"/>
      <c r="AD110" s="48"/>
      <c r="AE110" s="62"/>
      <c r="AF110" s="62"/>
      <c r="AG110" s="90"/>
      <c r="AH110" s="90"/>
      <c r="AI110" s="48"/>
      <c r="AJ110" s="62"/>
      <c r="AK110" s="62"/>
      <c r="AL110" s="91"/>
      <c r="AM110" s="62"/>
      <c r="AN110" s="62"/>
      <c r="AO110" s="62"/>
      <c r="AP110" s="62"/>
      <c r="AQ110" s="62"/>
      <c r="AR110" s="62"/>
      <c r="AS110" s="62"/>
      <c r="AT110" s="62"/>
      <c r="AU110" s="62"/>
      <c r="AV110" s="62"/>
      <c r="AW110" s="62"/>
      <c r="AX110" s="62"/>
      <c r="AY110" s="62"/>
      <c r="AZ110" s="62"/>
      <c r="BA110" s="62"/>
      <c r="BB110" s="62"/>
      <c r="BC110" s="53"/>
      <c r="BD110" s="57"/>
      <c r="BE110" s="57"/>
      <c r="BF110" s="57"/>
      <c r="BG110" s="57"/>
      <c r="BH110" s="57"/>
      <c r="BI110" s="66"/>
      <c r="BJ110" s="62"/>
      <c r="BK110" s="92"/>
      <c r="BL110" s="92"/>
      <c r="BM110" s="57"/>
      <c r="BN110" s="66"/>
      <c r="BO110" s="62"/>
      <c r="BP110" s="62"/>
      <c r="BQ110" s="93"/>
      <c r="BR110" s="62"/>
      <c r="BS110" s="62"/>
      <c r="BT110" s="94"/>
      <c r="BU110" s="93"/>
      <c r="BV110" s="62"/>
      <c r="BW110" s="62"/>
      <c r="BX110" s="62"/>
      <c r="BY110" s="62"/>
      <c r="BZ110" s="62"/>
      <c r="CA110" s="62"/>
      <c r="CB110" s="62"/>
      <c r="CC110" s="62"/>
      <c r="CD110" s="62"/>
      <c r="CE110" s="62"/>
      <c r="CF110" s="62"/>
      <c r="CG110" s="62"/>
      <c r="CH110" s="62"/>
      <c r="CI110" s="62"/>
      <c r="CJ110" s="62"/>
      <c r="CK110" s="59"/>
      <c r="CL110" s="62"/>
      <c r="CM110" s="62"/>
      <c r="CN110" s="59"/>
      <c r="CO110" s="62"/>
      <c r="CP110" s="62"/>
      <c r="CQ110" s="59"/>
      <c r="CR110" s="62"/>
      <c r="CS110" s="62"/>
      <c r="CT110" s="59"/>
      <c r="CU110" s="62"/>
      <c r="CV110" s="59"/>
      <c r="CW110" s="59"/>
    </row>
    <row r="111" spans="1:101" ht="15.75" customHeight="1" x14ac:dyDescent="0.2">
      <c r="A111" s="60"/>
      <c r="B111" s="41" t="str">
        <f>CONCATENATE(D108,IF(D110="Futures",[1]AB3!$B$9,IF(D110="Options Sell",[1]AB3!$B$15,IF(D110="Options Buy",[1]AB3!$B$21))))</f>
        <v>S18D</v>
      </c>
      <c r="C111" s="42" t="str">
        <f>IF(D110="Futures",[1]AB3!$C$9,IF(D110="Options Sell",[1]AB3!$C$15,IF(D110="Options Buy",[1]AB3!$C$21)))</f>
        <v>Symbol</v>
      </c>
      <c r="D111" s="43" t="str">
        <f t="array" ref="D111">IF(A108="","",INDEX([1]AB2!E:E,MATCH(D108,[1]AB2!B:B,0)))</f>
        <v>USDINR</v>
      </c>
      <c r="E111" s="44" t="str">
        <f>IF(D110="Futures",[1]AB3!$E$9,IF(D110="Options Sell",[1]AB3!$E$15,IF(D110="Options Buy",[1]AB3!$E$21)))</f>
        <v>Bear / 
Bear CF</v>
      </c>
      <c r="F111" s="45" t="str">
        <f>IF(D110="Futures",[1]AB3!$F$9,IF(D110="Options Sell",[1]AB3!$F$15,IF(D110="Options Buy",[1]AB3!$F$21)))</f>
        <v>Call</v>
      </c>
      <c r="G111" s="43" t="str">
        <f t="array" ref="G111">IF(A108="","",IF(D110="Futures",CONCATENATE([1]AB3!$G$9,INDEX([1]AB2!J:J,MATCH(D108,[1]AB2!B:B,0)),[1]AB3!$H$9),IF(D110="Options Sell",CONCATENATE([1]AB3!$G$15,INDEX([1]AB2!I:I,MATCH(D108,[1]AB2!B:B,0)),[1]AB3!$H$15),IF(D110="Options Buy",CONCATENATE([1]AB3!$G$21,INDEX([1]AB2!J:J,MATCH(D108,[1]AB2!B:B,0)),[1]AB3!$H$21)))))</f>
        <v>OPT : PRV : 2DLL</v>
      </c>
      <c r="H111" s="43" t="str">
        <f>IF(D110="Futures",[1]AB3!$I$9,IF(D110="Options Sell",[1]AB3!$I$15,IF(D110="Options Buy",[1]AB3!$I$21)))</f>
        <v xml:space="preserve"> - </v>
      </c>
      <c r="I111" s="72">
        <v>7.4999999999999997E-2</v>
      </c>
      <c r="J111" s="95">
        <v>1</v>
      </c>
      <c r="K111" s="48"/>
      <c r="L111" s="43" t="str">
        <f>IF(D110="Futures",[1]AB3!$M$9,IF(D110="Options Sell",[1]AB3!$M$15,IF(D110="Options Buy",[1]AB3!$M$21)))</f>
        <v xml:space="preserve">CE : Entry </v>
      </c>
      <c r="M111" s="43" t="str">
        <f>IF(D110="Futures",[1]AB3!$N$9,IF(D110="Options Sell",[1]AB3!$N$15,IF(D110="Options Buy",[1]AB3!$N$21)))</f>
        <v xml:space="preserve"> - </v>
      </c>
      <c r="N111" s="74">
        <v>0.6</v>
      </c>
      <c r="O111" s="75">
        <v>1</v>
      </c>
      <c r="P111" s="58"/>
      <c r="Q111" s="75"/>
      <c r="R111" s="58"/>
      <c r="S111" s="75"/>
      <c r="T111" s="58"/>
      <c r="U111" s="75"/>
      <c r="V111" s="76"/>
      <c r="W111" s="75"/>
      <c r="X111" s="76"/>
      <c r="Y111" s="76"/>
      <c r="Z111" s="48"/>
      <c r="AA111" s="43" t="str">
        <f>IF(D110="Futures",[1]AB3!$AD$9,IF(D110="Options Sell",[1]AB3!$AD$15,IF(D110="Options Buy",[1]AB3!$AD$21)))</f>
        <v>Min</v>
      </c>
      <c r="AB111" s="43" t="str">
        <f>IF(D110="Futures",[1]AB3!$AE$9,IF(D110="Options Sell",[1]AB3!$AE$15,IF(D110="Options Buy",[1]AB3!$AE$21)))</f>
        <v>MSL &amp; TSL</v>
      </c>
      <c r="AC111" s="43" t="str">
        <f>IF(D110="Futures",[1]AB3!$AF$9,IF(D110="Options Sell",[1]AB3!$AF$15,IF(D110="Options Buy",[1]AB3!$AF$21)))</f>
        <v>Entry &amp; TRP</v>
      </c>
      <c r="AD111" s="48"/>
      <c r="AE111" s="43" t="str">
        <f>IF(D110="Futures",[1]AB3!$AH$9,IF(D110="Options Sell",[1]AB3!$AH$15,IF(D110="Options Buy",[1]AB3!$AH$21)))</f>
        <v xml:space="preserve">CE : Entry </v>
      </c>
      <c r="AF111" s="43" t="str">
        <f>IF(D110="Futures",[1]AB3!$AI$9,IF(D110="Options Sell",[1]AB3!$AI$15,IF(D110="Options Buy",[1]AB3!$AI$21)))</f>
        <v xml:space="preserve"> + </v>
      </c>
      <c r="AG111" s="77">
        <v>0.6</v>
      </c>
      <c r="AH111" s="78"/>
      <c r="AI111" s="48"/>
      <c r="AJ111" s="43" t="str">
        <f>IF(D110="Futures",[1]AB3!$AO$9,IF(D110="Options Sell",[1]AB3!$AO$15,IF(D110="Options Buy",[1]AB3!$AO$21)))</f>
        <v xml:space="preserve"> + </v>
      </c>
      <c r="AK111" s="43" t="str">
        <f t="array" ref="AK111">IF(A108="","",IF(D110="Futures",CONCATENATE([1]AB3!$AP$9,INDEX([1]AB2!M:M,MATCH(D108,[1]AB2!B:B,0)),[1]AB3!$AQ$9),IF(D110="Options Sell",CONCATENATE([1]AB3!$AP$15,INDEX([1]AB2!L:L,MATCH(D108,[1]AB2!B:B,0)),[1]AB3!$AQ$15),IF(D110="Options Buy",CONCATENATE([1]AB3!$AP$21,INDEX([1]AB2!M:M,MATCH(D108,[1]AB2!B:B,0)),[1]AB3!$AQ$21)))))</f>
        <v>OPT : PRV : 3DHH</v>
      </c>
      <c r="AL111" s="79">
        <v>0.1</v>
      </c>
      <c r="AM111" s="52">
        <f>J112</f>
        <v>1</v>
      </c>
      <c r="AN111" s="51">
        <f t="array" ref="AN111">IF(A108="","",IF(AND(OR(D112="1 &amp; APS",D112="2 &amp; APS",D112="3 &amp; APS",D112="4 &amp; APS",D112="5 &amp; APS"),D110="Futures"),CONCATENATE([1]AB3!$AP$9,INDEX([1]AB2!M:M,MATCH(D108,[1]AB2!B:B,0)),[1]AB3!$AQ$9),IF(AND(OR(D112="1 &amp; APS",D112="2 &amp; APS",D112="3 &amp; APS",D112="4 &amp; APS",D112="5 &amp; APS"),D110="Options Sell"),CONCATENATE([1]AB3!$AP$15,INDEX([1]AB2!L:L,MATCH(D108,[1]AB2!B:B,0)),[1]AB3!$AQ$15),IF(AND(OR(D112="1 &amp; APS",D112="2 &amp; APS",D112="3 &amp; APS",D112="4 &amp; APS",D112="5 &amp; APS"),D110="Options Buy"),CONCATENATE([1]AB3!$AP$21,INDEX([1]AB2!M:M,MATCH(D108,[1]AB2!B:B,0)),[1]AB3!$AQ$21),[1]AB3!$AR$6))))</f>
        <v>0</v>
      </c>
      <c r="AO111" s="58"/>
      <c r="AP111" s="52">
        <f t="shared" ref="AP111:AP112" si="178">AM111-O111</f>
        <v>0</v>
      </c>
      <c r="AQ111" s="51">
        <f t="array" ref="AQ111">IF(A108="","",IF(AND(OR(D112="2 &amp; APS",D112="3 &amp; APS",D112="4 &amp; APS",D112="5 &amp; APS"),D110="Futures"),CONCATENATE([1]AB3!$AP$9,INDEX([1]AB2!M:M,MATCH(D108,[1]AB2!B:B,0)),[1]AB3!$AQ$9),IF(AND(OR(D112="2 &amp; APS",D112="3 &amp; APS",D112="4 &amp; APS",D112="5 &amp; APS"),D110="Options Sell"),CONCATENATE([1]AB3!$AP$15,INDEX([1]AB2!L:L,MATCH(D108,[1]AB2!B:B,0)),[1]AB3!$AQ$15),IF(AND(OR(D112="2 &amp; APS",D112="3 &amp; APS",D112="4 &amp; APS",D112="5 &amp; APS"),D110="Options Buy"),CONCATENATE([1]AB3!$AP$21,INDEX([1]AB2!M:M,MATCH(D108,[1]AB2!B:B,0)),[1]AB3!$AQ$21),[1]AB3!$AR$6))))</f>
        <v>0</v>
      </c>
      <c r="AR111" s="58"/>
      <c r="AS111" s="52">
        <f t="shared" ref="AS111:AS112" si="179">AP111-Q111</f>
        <v>0</v>
      </c>
      <c r="AT111" s="51">
        <f t="array" ref="AT111">IF(A108="","",IF(AND(OR(D112="3 &amp; APS",D112="4 &amp; APS",D112="5 &amp; APS"),D110="Futures"),CONCATENATE([1]AB3!$AP$9,INDEX([1]AB2!M:M,MATCH(D108,[1]AB2!B:B,0)),[1]AB3!$AQ$9),IF(AND(OR(D112="3 &amp; APS",D112="4 &amp; APS",D112="5 &amp; APS"),D110="Options Sell"),CONCATENATE([1]AB3!$AP$15,INDEX([1]AB2!L:L,MATCH(D108,[1]AB2!B:B,0)),[1]AB3!$AQ$15),IF(AND(OR(D112="3 &amp; APS",D112="4 &amp; APS",D112="5 &amp; APS"),D110="Options Buy"),CONCATENATE([1]AB3!$AP$21,INDEX([1]AB2!M:M,MATCH(D108,[1]AB2!B:B,0)),[1]AB3!$AQ$21),[1]AB3!$AR$6))))</f>
        <v>0</v>
      </c>
      <c r="AU111" s="58"/>
      <c r="AV111" s="52">
        <f t="shared" ref="AV111:AV112" si="180">AS111-S111</f>
        <v>0</v>
      </c>
      <c r="AW111" s="51">
        <f t="array" ref="AW111">IF(A108="","",IF(AND(OR(D112="4 &amp; APS",D112="5 &amp; APS"),D110="Futures"),CONCATENATE([1]AB3!$AP$9,INDEX([1]AB2!M:M,MATCH(D108,[1]AB2!B:B,0)),[1]AB3!$AQ$9),IF(AND(OR(D112="4 &amp; APS",D112="5 &amp; APS"),D110="Options Sell"),CONCATENATE([1]AB3!$AP$15,INDEX([1]AB2!L:L,MATCH(D108,[1]AB2!B:B,0)),[1]AB3!$AQ$15),IF(AND(OR(D112="4 &amp; APS",D112="5 &amp; APS"),D110="Options Buy"),CONCATENATE([1]AB3!$AP$21,INDEX([1]AB2!M:M,MATCH(D108,[1]AB2!B:B,0)),[1]AB3!$AQ$21),[1]AB3!$AR$6))))</f>
        <v>0</v>
      </c>
      <c r="AX111" s="58"/>
      <c r="AY111" s="52">
        <f t="shared" ref="AY111:AY112" si="181">AV111-S111</f>
        <v>0</v>
      </c>
      <c r="AZ111" s="51">
        <f t="array" ref="AZ111">IF(A108="","",IF(AND(D112="5 &amp; APS",D110="Futures"),CONCATENATE([1]AB3!$AP$9,INDEX([1]AB2!M:M,MATCH(D108,[1]AB2!B:B,0)),[1]AB3!$AQ$9),IF(AND(D112="5 &amp; APS",D110="Options Sell"),CONCATENATE([1]AB3!$AP$15,INDEX([1]AB2!L:L,MATCH(D108,[1]AB2!B:B,0)),[1]AB3!$AQ$15),IF(AND(D112="5 &amp; APS",D110="Options Buy"),CONCATENATE([1]AB3!$AP$21,INDEX([1]AB2!M:M,MATCH(D108,[1]AB2!B:B,0)),[1]AB3!$AQ$21),[1]AB3!$AR$6))))</f>
        <v>0</v>
      </c>
      <c r="BA111" s="58"/>
      <c r="BB111" s="52">
        <f t="shared" ref="BB111:BB112" si="182">AY111-W111</f>
        <v>0</v>
      </c>
      <c r="BC111" s="53"/>
      <c r="BD111" s="54" t="str">
        <f>IF(D110="Futures",[1]AB3!$BE$9,IF(D110="Options Sell",[1]AB3!$BE$15,IF(D110="Options Buy",[1]AB3!$BE$21)))</f>
        <v>Market Start Time</v>
      </c>
      <c r="BE111" s="67">
        <f t="array" ref="BE111">IF(D108="","",INDEX([1]AB2!AG:AG,MATCH(D108,[1]AB2!B:B,0)))</f>
        <v>0.375</v>
      </c>
      <c r="BF111" s="11"/>
      <c r="BG111" s="12"/>
      <c r="BH111" s="57"/>
      <c r="BI111" s="68" t="str">
        <f>IF(D110="Futures",[1]AB3!$BJ$9,IF(D110="Options Sell",[1]AB3!$BJ$15,IF(D110="Options Buy",[1]AB3!$BJ$21)))</f>
        <v>Bear / 
Bear CF</v>
      </c>
      <c r="BJ111" s="45" t="str">
        <f>IF(D110="Futures",[1]AB3!$BK$9,IF(D110="Options Sell",[1]AB3!$BK$15,IF(D110="Options Buy",[1]AB3!$BK$21)))</f>
        <v>Call</v>
      </c>
      <c r="BK111" s="80">
        <v>7.4999999999999997E-2</v>
      </c>
      <c r="BL111" s="81">
        <v>0.1</v>
      </c>
      <c r="BM111" s="57"/>
      <c r="BN111" s="68" t="str">
        <f>IF(D110="Futures",[1]AB3!$BO$9,IF(D110="Options Sell",[1]AB3!$BO$15,IF(D110="Options Buy",[1]AB3!$BO$21)))</f>
        <v>Bear | 
Bear CF</v>
      </c>
      <c r="BO111" s="45" t="str">
        <f>IF(D110="Futures",[1]AB3!$BP$9,IF(D110="Options Sell",[1]AB3!$BP$15,IF(D110="Options Buy",[1]AB3!$BP$21)))</f>
        <v>Call</v>
      </c>
      <c r="BP111" s="43" t="str">
        <f t="array" ref="BP111">IF(A108="","",IF(D110="Futures","",IF(D110="EQUITY","",IF(D110="Options Sell",CONCATENATE([1]AB3!$BQ$15,INDEX([1]AB2!I:I,MATCH(A108,[1]AB2!A:A,0)),[1]AB3!$BR$15),IF(D110="Options Buy",CONCATENATE([1]AB3!$BQ$21,INDEX([1]AB2!I:I,MATCH(A108,[1]AB2!A:A,0)),[1]AB3!$BR$21))))))</f>
        <v>SPT : PRV : 2DLL</v>
      </c>
      <c r="BQ111" s="82" t="s">
        <v>53</v>
      </c>
      <c r="BR111" s="58">
        <v>0.02</v>
      </c>
      <c r="BS111" s="76" t="s">
        <v>54</v>
      </c>
      <c r="BT111" s="84" t="str">
        <f t="shared" ref="BT111:BT112" si="183">BP111</f>
        <v>SPT : PRV : 2DLL</v>
      </c>
      <c r="BU111" s="76"/>
      <c r="BV111" s="58"/>
      <c r="BW111" s="76" t="s">
        <v>54</v>
      </c>
      <c r="BX111" s="82" t="s">
        <v>55</v>
      </c>
      <c r="BY111" s="76">
        <v>1</v>
      </c>
      <c r="BZ111" s="58"/>
      <c r="CA111" s="58"/>
      <c r="CB111" s="58"/>
      <c r="CC111" s="58"/>
      <c r="CD111" s="58"/>
      <c r="CE111" s="43" t="str">
        <f t="shared" ref="CE111:CE112" si="184">BP111</f>
        <v>SPT : PRV : 2DLL</v>
      </c>
      <c r="CF111" s="58">
        <v>3.0000000000000001E-3</v>
      </c>
      <c r="CG111" s="43" t="str">
        <f t="shared" ref="CG111:CG112" si="185">BP111</f>
        <v>SPT : PRV : 2DLL</v>
      </c>
      <c r="CH111" s="58">
        <v>1.5E-3</v>
      </c>
      <c r="CI111" s="75">
        <v>100</v>
      </c>
      <c r="CJ111" s="75">
        <v>1</v>
      </c>
      <c r="CK111" s="59"/>
      <c r="CL111" s="43"/>
      <c r="CM111" s="43"/>
      <c r="CN111" s="59"/>
      <c r="CO111" s="43"/>
      <c r="CP111" s="43"/>
      <c r="CQ111" s="59"/>
      <c r="CR111" s="58">
        <v>0.02</v>
      </c>
      <c r="CS111" s="43"/>
      <c r="CT111" s="59"/>
      <c r="CU111" s="43"/>
      <c r="CV111" s="59"/>
      <c r="CW111" s="59"/>
    </row>
    <row r="112" spans="1:101" ht="15.75" customHeight="1" x14ac:dyDescent="0.2">
      <c r="A112" s="32"/>
      <c r="B112" s="41" t="str">
        <f>CONCATENATE(D108,IF(D110="Futures",[1]AB3!$B$10,IF(D110="Options Sell",[1]AB3!$B$16,IF(D110="Options Buy",[1]AB3!$B$22))))</f>
        <v>S18E</v>
      </c>
      <c r="C112" s="42" t="str">
        <f>IF(D110="Futures",[1]AB3!$C$10,IF(D110="Options Sell",[1]AB3!$C$16,IF(D110="Options Buy",[1]AB3!$C$22)))</f>
        <v>No. of Targets</v>
      </c>
      <c r="D112" s="43" t="str">
        <f t="array" ref="D112">IF(A108="","",INDEX([1]AB2!K:K,MATCH(D108,[1]AB2!B:B,0)))</f>
        <v>APS</v>
      </c>
      <c r="E112" s="32"/>
      <c r="F112" s="61" t="str">
        <f>IF(D110="Futures",[1]AB3!$F$10,IF(D110="Options Sell",[1]AB3!$F$16,IF(D110="Options Buy",[1]AB3!$F$22)))</f>
        <v>Put</v>
      </c>
      <c r="G112" s="43" t="str">
        <f t="array" ref="G112">(IF(A108="","",IF(D110="Futures",CONCATENATE([1]AB3!$G$10,INDEX([1]AB2!I:I,MATCH(D108,[1]AB2!B:B,0)),[1]AB3!$H$10),IF(D110="Options Sell",CONCATENATE([1]AB3!$G$16,INDEX([1]AB2!J:J,MATCH(D108,[1]AB2!B:B,0)),[1]AB3!$H$16),IF(D110="Options Buy",CONCATENATE([1]AB3!$G$22,INDEX([1]AB2!I:I,MATCH(D108,[1]AB2!B:B,0)),[1]AB3!$H$22))))))</f>
        <v>OPT : PRV : 3DLL</v>
      </c>
      <c r="H112" s="43" t="str">
        <f>IF(D110="Futures",[1]AB3!$I$10,IF(D110="Options Sell",[1]AB3!$I$16,IF(D110="Options Buy",[1]AB3!$I$22)))</f>
        <v xml:space="preserve"> - </v>
      </c>
      <c r="I112" s="72">
        <v>7.4999999999999997E-2</v>
      </c>
      <c r="J112" s="95">
        <v>1</v>
      </c>
      <c r="K112" s="48"/>
      <c r="L112" s="43" t="str">
        <f>IF(D110="Futures",[1]AB3!$M$10,IF(D110="Options Sell",[1]AB3!$M$16,IF(D110="Options Buy",[1]AB3!$M$22)))</f>
        <v xml:space="preserve">PE : Entry </v>
      </c>
      <c r="M112" s="43" t="str">
        <f>IF(D110="Futures",[1]AB3!$N$10,IF(D110="Options Sell",[1]AB3!$N$16,IF(D110="Options Buy",[1]AB3!$N$22)))</f>
        <v xml:space="preserve"> - </v>
      </c>
      <c r="N112" s="74">
        <v>0.6</v>
      </c>
      <c r="O112" s="75">
        <v>1</v>
      </c>
      <c r="P112" s="58"/>
      <c r="Q112" s="75"/>
      <c r="R112" s="58"/>
      <c r="S112" s="75"/>
      <c r="T112" s="58"/>
      <c r="U112" s="75"/>
      <c r="V112" s="76"/>
      <c r="W112" s="75"/>
      <c r="X112" s="76"/>
      <c r="Y112" s="76"/>
      <c r="Z112" s="48"/>
      <c r="AA112" s="43" t="str">
        <f>IF(D110="Futures",[1]AB3!$AD$10,IF(D110="Options Sell",[1]AB3!$AD$16,IF(D110="Options Buy",[1]AB3!$AD$22)))</f>
        <v>Min</v>
      </c>
      <c r="AB112" s="43" t="str">
        <f>IF(D110="Futures",[1]AB3!$AE$10,IF(D110="Options Sell",[1]AB3!$AE$16,IF(D110="Options Buy",[1]AB3!$AE$22)))</f>
        <v>MSL &amp; TSL</v>
      </c>
      <c r="AC112" s="43" t="str">
        <f>IF(D110="Futures",[1]AB3!$AF$10,IF(D110="Options Sell",[1]AB3!$AF$16,IF(D110="Options Buy",[1]AB3!$AF$22)))</f>
        <v>Entry &amp; TRP</v>
      </c>
      <c r="AD112" s="48"/>
      <c r="AE112" s="43" t="str">
        <f>IF(D110="Futures",[1]AB3!$AH$10,IF(D110="Options Sell",[1]AB3!$AH$16,IF(D110="Options Buy",[1]AB3!$AH$22)))</f>
        <v xml:space="preserve">PE : Entry </v>
      </c>
      <c r="AF112" s="43" t="str">
        <f>IF(D110="Futures",[1]AB3!$AI$10,IF(D110="Options Sell",[1]AB3!$AI$16,IF(D110="Options Buy",[1]AB3!$AI$22)))</f>
        <v xml:space="preserve"> + </v>
      </c>
      <c r="AG112" s="77">
        <v>0.6</v>
      </c>
      <c r="AH112" s="78"/>
      <c r="AI112" s="48"/>
      <c r="AJ112" s="43" t="str">
        <f>IF(D110="Futures",[1]AB3!$AO$10,IF(D110="Options Sell",[1]AB3!$AO$16,IF(D110="Options Buy",[1]AB3!$AO$22)))</f>
        <v xml:space="preserve"> + </v>
      </c>
      <c r="AK112" s="43" t="str">
        <f t="array" ref="AK112">IF(A108="","",IF(D110="Futures",CONCATENATE([1]AB3!$AP$10,INDEX([1]AB2!L:L,MATCH(D108,[1]AB2!B:B,0)),[1]AB3!$AQ$10),IF(D110="Options Sell",CONCATENATE([1]AB3!$AP$16,INDEX([1]AB2!M:M,MATCH(D108,[1]AB2!B:B,0)),[1]AB3!$AQ$16),IF(D110="Options Buy",CONCATENATE([1]AB3!$AP$22,INDEX([1]AB2!L:L,MATCH(D108,[1]AB2!B:B,0)),[1]AB3!$AQ$22)))))</f>
        <v>OPT : PRV : 2DHH</v>
      </c>
      <c r="AL112" s="79">
        <v>7.0000000000000007E-2</v>
      </c>
      <c r="AM112" s="52">
        <f>J111</f>
        <v>1</v>
      </c>
      <c r="AN112" s="51">
        <f t="array" ref="AN112">IF(A108="","",IF(AND(OR(D112="1 &amp; APS",D112="2 &amp; APS",D112="3 &amp; APS",D112="4 &amp; APS",D112="5 &amp; APS"),D110="Futures"),CONCATENATE([1]AB3!$AP$10,INDEX([1]AB2!L:L,MATCH(D108,[1]AB2!B:B,0)),[1]AB3!$AQ$10),IF(AND(OR(D112="1 &amp; APS",D112="2 &amp; APS",D112="3 &amp; APS",D112="4 &amp; APS",D112="5 &amp; APS"),D110="Options Sell"),CONCATENATE([1]AB3!$AP$16,INDEX([1]AB2!M:M,MATCH(D108,[1]AB2!B:B,0)),[1]AB3!$AQ$16),IF(AND(OR(D112="1 &amp; APS",D112="2 &amp; APS",D112="3 &amp; APS",D112="4 &amp; APS",D112="5 &amp; APS"),D110="Options Buy"),CONCATENATE([1]AB3!$AP$22,INDEX([1]AB2!L:L,MATCH(D108,[1]AB2!B:B,0)),[1]AB3!$AQ$22),[1]AB3!$AR$6))))</f>
        <v>0</v>
      </c>
      <c r="AO112" s="58"/>
      <c r="AP112" s="52">
        <f t="shared" si="178"/>
        <v>0</v>
      </c>
      <c r="AQ112" s="51">
        <f t="array" ref="AQ112">IF(A108="","",IF(AND(OR(D112="2 &amp; APS",D112="3 &amp; APS",D112="4 &amp; APS",D112="5 &amp; APS"),D110="Futures"),CONCATENATE([1]AB3!$AP$10,INDEX([1]AB2!L:L,MATCH(D108,[1]AB2!B:B,0)),[1]AB3!$AQ$10),IF(AND(OR(D112="2 &amp; APS",D112="3 &amp; APS",D112="4 &amp; APS",D112="5 &amp; APS"),D110="Options Sell"),CONCATENATE([1]AB3!$AP$16,INDEX([1]AB2!M:M,MATCH(D108,[1]AB2!B:B,0)),[1]AB3!$AQ$16),IF(AND(OR(D112="2 &amp; APS",D112="3 &amp; APS",D112="4 &amp; APS",D112="5 &amp; APS"),D110="Options Buy"),CONCATENATE([1]AB3!$AP$22,INDEX([1]AB2!L:L,MATCH(D108,[1]AB2!B:B,0)),[1]AB3!$AQ$22),[1]AB3!$AR$6))))</f>
        <v>0</v>
      </c>
      <c r="AR112" s="58"/>
      <c r="AS112" s="52">
        <f t="shared" si="179"/>
        <v>0</v>
      </c>
      <c r="AT112" s="51">
        <f t="array" ref="AT112">IF(A108="","",IF(AND(OR(D112="3 &amp; APS",D112="4 &amp; APS",D112="5 &amp; APS"),D110="Futures"),CONCATENATE([1]AB3!$AP$10,INDEX([1]AB2!L:L,MATCH(D108,[1]AB2!B:B,0)),[1]AB3!$AQ$10),IF(AND(OR(D112="3 &amp; APS",D112="4 &amp; APS",D112="5 &amp; APS"),D110="Options Sell"),CONCATENATE([1]AB3!$AP$16,INDEX([1]AB2!M:M,MATCH(D108,[1]AB2!B:B,0)),[1]AB3!$AQ$16),IF(AND(OR(D112="3 &amp; APS",D112="4 &amp; APS",D112="5 &amp; APS"),D110="Options Buy"),CONCATENATE([1]AB3!$AP$22,INDEX([1]AB2!L:L,MATCH(D108,[1]AB2!B:B,0)),[1]AB3!$AQ$22),[1]AB3!$AR$6))))</f>
        <v>0</v>
      </c>
      <c r="AU112" s="58"/>
      <c r="AV112" s="52">
        <f t="shared" si="180"/>
        <v>0</v>
      </c>
      <c r="AW112" s="51">
        <f t="array" ref="AW112">IF(A108="","",IF(AND(OR(D112="4 &amp; APS",D112="5 &amp; APS"),D110="Futures"),CONCATENATE([1]AB3!$AP$10,INDEX([1]AB2!L:L,MATCH(D108,[1]AB2!B:B,0)),[1]AB3!$AQ$10),IF(AND(OR(D112="4 &amp; APS",D112="5 &amp; APS"),D110="Options Sell"),CONCATENATE([1]AB3!$AP$16,INDEX([1]AB2!M:M,MATCH(D108,[1]AB2!B:B,0)),[1]AB3!$AQ$16),IF(AND(OR(D112="4 &amp; APS",D112="5 &amp; APS"),D110="Options Buy"),CONCATENATE([1]AB3!$AP$22,INDEX([1]AB2!L:L,MATCH(D108,[1]AB2!B:B,0)),[1]AB3!$AQ$22),[1]AB3!$AR$6))))</f>
        <v>0</v>
      </c>
      <c r="AX112" s="58"/>
      <c r="AY112" s="52">
        <f t="shared" si="181"/>
        <v>0</v>
      </c>
      <c r="AZ112" s="51">
        <f t="array" ref="AZ112">IF(A108="","",IF(AND(D112="5 &amp; APS",D110="Futures"),CONCATENATE([1]AB3!$AP$10,INDEX([1]AB2!L:L,MATCH(D108,[1]AB2!B:B,0)),[1]AB3!$AQ$10),IF(AND(D112="5 &amp; APS",D110="Options Sell"),CONCATENATE([1]AB3!$AP$16,INDEX([1]AB2!M:M,MATCH(D108,[1]AB2!B:B,0)),[1]AB3!$AQ$16),IF(AND(D112="5 &amp; APS",D110="Options Buy"),CONCATENATE([1]AB3!$AP$22,INDEX([1]AB2!L:L,MATCH(D108,[1]AB2!B:B,0)),[1]AB3!$AQ$22),[1]AB3!$AR$6))))</f>
        <v>0</v>
      </c>
      <c r="BA112" s="58"/>
      <c r="BB112" s="52">
        <f t="shared" si="182"/>
        <v>0</v>
      </c>
      <c r="BC112" s="53"/>
      <c r="BD112" s="54" t="str">
        <f>IF(D110="Futures",[1]AB3!$BE$10,IF(D110="Options Sell",[1]AB3!$BE$16,IF(D110="Options Buy",[1]AB3!$BE$22)))</f>
        <v>Market End Time</v>
      </c>
      <c r="BE112" s="67">
        <f t="array" ref="BE112">IF(D108="","",INDEX([1]AB2!AH:AH,MATCH(D108,[1]AB2!B:B,0)))</f>
        <v>0.70833333333333337</v>
      </c>
      <c r="BF112" s="11"/>
      <c r="BG112" s="12"/>
      <c r="BH112" s="57"/>
      <c r="BI112" s="32"/>
      <c r="BJ112" s="61" t="str">
        <f>IF(D110="Futures",[1]AB3!$BK$10,IF(D110="Options Sell",[1]AB3!$BK$16,IF(D110="Options Buy",[1]AB3!$BK$22)))</f>
        <v>Put</v>
      </c>
      <c r="BK112" s="80">
        <v>7.4999999999999997E-2</v>
      </c>
      <c r="BL112" s="81">
        <v>7.0000000000000007E-2</v>
      </c>
      <c r="BM112" s="57"/>
      <c r="BN112" s="32"/>
      <c r="BO112" s="61" t="str">
        <f>IF(D110="Futures",[1]AB3!$BP$10,IF(D110="Options Sell",[1]AB3!$BP$16,IF(D110="Options Buy",[1]AB3!$BP$22)))</f>
        <v>Put</v>
      </c>
      <c r="BP112" s="43" t="str">
        <f t="array" ref="BP112">IF(A108="","",IF(D110="Futures","",IF(D110="EQUITY","",IF(D110="Options Sell",CONCATENATE([1]AB3!$BQ$16,INDEX([1]AB2!J:J,MATCH(A108,[1]AB2!A:A,0)),[1]AB3!$BR$16),IF(D110="Options Buy",CONCATENATE([1]AB3!$BQ$22,INDEX([1]AB2!J:J,MATCH(A108,[1]AB2!A:A,0)),[1]AB3!$BR$22))))))</f>
        <v>SPT : PRV : 3DHH</v>
      </c>
      <c r="BQ112" s="83" t="s">
        <v>55</v>
      </c>
      <c r="BR112" s="58">
        <v>0.02</v>
      </c>
      <c r="BS112" s="76" t="s">
        <v>56</v>
      </c>
      <c r="BT112" s="84" t="str">
        <f t="shared" si="183"/>
        <v>SPT : PRV : 3DHH</v>
      </c>
      <c r="BU112" s="85"/>
      <c r="BV112" s="58"/>
      <c r="BW112" s="76" t="s">
        <v>56</v>
      </c>
      <c r="BX112" s="82" t="s">
        <v>53</v>
      </c>
      <c r="BY112" s="76">
        <v>1</v>
      </c>
      <c r="BZ112" s="58"/>
      <c r="CA112" s="58"/>
      <c r="CB112" s="58"/>
      <c r="CC112" s="58"/>
      <c r="CD112" s="58"/>
      <c r="CE112" s="43" t="str">
        <f t="shared" si="184"/>
        <v>SPT : PRV : 3DHH</v>
      </c>
      <c r="CF112" s="58">
        <v>3.0000000000000001E-3</v>
      </c>
      <c r="CG112" s="43" t="str">
        <f t="shared" si="185"/>
        <v>SPT : PRV : 3DHH</v>
      </c>
      <c r="CH112" s="58">
        <v>1.5E-3</v>
      </c>
      <c r="CI112" s="75">
        <v>100</v>
      </c>
      <c r="CJ112" s="75">
        <v>1</v>
      </c>
      <c r="CK112" s="59"/>
      <c r="CL112" s="43"/>
      <c r="CM112" s="43"/>
      <c r="CN112" s="59"/>
      <c r="CO112" s="43"/>
      <c r="CP112" s="43"/>
      <c r="CQ112" s="59"/>
      <c r="CR112" s="58">
        <v>0.02</v>
      </c>
      <c r="CS112" s="43"/>
      <c r="CT112" s="59"/>
      <c r="CU112" s="43"/>
      <c r="CV112" s="59"/>
      <c r="CW112" s="59"/>
    </row>
    <row r="113" spans="1:101" ht="15.75" customHeight="1" x14ac:dyDescent="0.2">
      <c r="A113" s="1"/>
      <c r="B113" s="2"/>
      <c r="C113" s="2"/>
      <c r="D113" s="2"/>
      <c r="E113" s="2"/>
      <c r="F113" s="2"/>
      <c r="G113" s="2"/>
      <c r="H113" s="2"/>
      <c r="I113" s="96"/>
      <c r="J113" s="97"/>
      <c r="K113" s="2"/>
      <c r="L113" s="2"/>
      <c r="M113" s="2"/>
      <c r="N113" s="98"/>
      <c r="O113" s="2"/>
      <c r="P113" s="2"/>
      <c r="Q113" s="69"/>
      <c r="R113" s="69"/>
      <c r="S113" s="70"/>
      <c r="T113" s="70"/>
      <c r="U113" s="2"/>
      <c r="V113" s="2"/>
      <c r="W113" s="2"/>
      <c r="X113" s="2"/>
      <c r="Y113" s="2"/>
      <c r="Z113" s="2"/>
      <c r="AA113" s="20"/>
      <c r="AB113" s="71"/>
      <c r="AC113" s="71"/>
      <c r="AD113" s="2"/>
      <c r="AE113" s="70"/>
      <c r="AF113" s="70"/>
      <c r="AG113" s="99"/>
      <c r="AH113" s="100"/>
      <c r="AI113" s="2"/>
      <c r="AJ113" s="70"/>
      <c r="AK113" s="70"/>
      <c r="AL113" s="101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70"/>
      <c r="BC113" s="70"/>
      <c r="BD113" s="69"/>
      <c r="BE113" s="70"/>
      <c r="BF113" s="70"/>
      <c r="BG113" s="70"/>
      <c r="BH113" s="70"/>
      <c r="BI113" s="70"/>
      <c r="BJ113" s="70"/>
      <c r="BK113" s="102"/>
      <c r="BL113" s="103"/>
      <c r="BM113" s="70"/>
      <c r="BN113" s="70"/>
      <c r="BO113" s="70"/>
      <c r="BP113" s="70"/>
      <c r="BQ113" s="70"/>
      <c r="BR113" s="70"/>
      <c r="BS113" s="104"/>
      <c r="BT113" s="70"/>
      <c r="BU113" s="70"/>
      <c r="BV113" s="70"/>
      <c r="BW113" s="70"/>
      <c r="BX113" s="70"/>
      <c r="BY113" s="70"/>
      <c r="BZ113" s="70"/>
      <c r="CA113" s="70"/>
      <c r="CB113" s="70"/>
      <c r="CC113" s="70"/>
      <c r="CD113" s="70"/>
      <c r="CE113" s="70"/>
      <c r="CF113" s="70"/>
      <c r="CG113" s="70"/>
      <c r="CH113" s="70"/>
      <c r="CI113" s="70"/>
      <c r="CJ113" s="70"/>
      <c r="CK113" s="70"/>
      <c r="CL113" s="2"/>
      <c r="CM113" s="2"/>
      <c r="CN113" s="70"/>
      <c r="CO113" s="70"/>
      <c r="CP113" s="70"/>
      <c r="CQ113" s="70"/>
      <c r="CR113" s="70"/>
      <c r="CS113" s="2"/>
      <c r="CT113" s="70"/>
      <c r="CU113" s="70"/>
      <c r="CV113" s="70"/>
      <c r="CW113" s="70"/>
    </row>
    <row r="114" spans="1:101" ht="15.75" customHeight="1" x14ac:dyDescent="0.2">
      <c r="A114" s="40">
        <v>19</v>
      </c>
      <c r="B114" s="41" t="str">
        <f>CONCATENATE(D114,IF(D116="Futures",[1]AB3!$B$6,IF(D116="Options Sell",[1]AB3!$B$12,IF(D116="Options Buy",[1]AB3!$B$18))))</f>
        <v>S19A</v>
      </c>
      <c r="C114" s="42" t="str">
        <f>IF(D116="Futures",[1]AB3!$C$6,IF(D116="Options Sell",[1]AB3!$C$12,IF(D116="Options Buy",[1]AB3!$C$18)))</f>
        <v>Strategy Code</v>
      </c>
      <c r="D114" s="43" t="str">
        <f t="array" ref="D114">IF(A114="","",INDEX([1]AB2!B:B,MATCH(A114,[1]AB2!A:A,0)))</f>
        <v>S19</v>
      </c>
      <c r="E114" s="44" t="str">
        <f>IF(D116="Futures",[1]AB3!$E$6,IF(D116="Options Sell",[1]AB3!$E$12,IF(D116="Options Buy",[1]AB3!$E$18)))</f>
        <v>Bull / 
Bull CF</v>
      </c>
      <c r="F114" s="45" t="str">
        <f>IF(D116="Futures",[1]AB3!$F$6,IF(D116="Options Sell",[1]AB3!$F$12,IF(D116="Options Buy",[1]AB3!$F$18)))</f>
        <v>Call</v>
      </c>
      <c r="G114" s="37" t="str">
        <f t="array" ref="G114">IF(A114="","",IF(D116="Futures",CONCATENATE([1]AB3!$G$6,INDEX([1]AB2!I:I,MATCH(D114,[1]AB2!B:B,0)),[1]AB3!$H$6),IF(D116="Options Sell",CONCATENATE([1]AB3!$G$12,INDEX([1]AB2!J:J,MATCH(D114,[1]AB2!B:B,0)),[1]AB3!$H$12),IF(D116="Options Buy",CONCATENATE([1]AB3!$G$18,INDEX([1]AB2!I:I,MATCH(D114,[1]AB2!B:B,0)),[1]AB3!$H$18)))))</f>
        <v>OPT : PRV : 3DLL</v>
      </c>
      <c r="H114" s="43" t="str">
        <f>IF(D116="Futures",[1]AB3!$I$6,IF(D116="Options Sell",[1]AB3!$I$12,IF(D116="Options Buy",[1]AB3!$I$18)))</f>
        <v xml:space="preserve"> - </v>
      </c>
      <c r="I114" s="72">
        <v>7.4999999999999997E-2</v>
      </c>
      <c r="J114" s="73">
        <v>1</v>
      </c>
      <c r="K114" s="48"/>
      <c r="L114" s="43" t="str">
        <f>IF(D116="Futures",[1]AB3!$M$6,IF(D116="Options Sell",[1]AB3!$M$12,IF(D116="Options Buy",[1]AB3!$M$18)))</f>
        <v xml:space="preserve">CE : Entry </v>
      </c>
      <c r="M114" s="43" t="str">
        <f>IF(D116="Futures",[1]AB3!$N$6,IF(D116="Options Sell",[1]AB3!$N$12,IF(D116="Options Buy",[1]AB3!$N$18)))</f>
        <v xml:space="preserve"> - </v>
      </c>
      <c r="N114" s="74">
        <v>0.6</v>
      </c>
      <c r="O114" s="75">
        <v>1</v>
      </c>
      <c r="P114" s="58"/>
      <c r="Q114" s="75"/>
      <c r="R114" s="58"/>
      <c r="S114" s="75"/>
      <c r="T114" s="58"/>
      <c r="U114" s="75"/>
      <c r="V114" s="76"/>
      <c r="W114" s="75"/>
      <c r="X114" s="76"/>
      <c r="Y114" s="76"/>
      <c r="Z114" s="48"/>
      <c r="AA114" s="43" t="str">
        <f>IF(D116="Futures",[1]AB3!$AD$6,IF(D116="Options Sell",[1]AB3!$AD$12,IF(D116="Options Buy",[1]AB3!$AD$18)))</f>
        <v>Min</v>
      </c>
      <c r="AB114" s="43" t="str">
        <f>IF(D116="Futures",[1]AB3!$AE$6,IF(D116="Options Sell",[1]AB3!$AE$12,IF(D116="Options Buy",[1]AB3!$AE$18)))</f>
        <v>MSL &amp; TSL</v>
      </c>
      <c r="AC114" s="43" t="str">
        <f>IF(D116="Futures",[1]AB3!$AF$6,IF(D116="Options Sell",[1]AB3!$AF$12,IF(D116="Options Buy",[1]AB3!$AF$18)))</f>
        <v>Entry &amp; TRP</v>
      </c>
      <c r="AD114" s="48"/>
      <c r="AE114" s="43" t="str">
        <f>IF(D116="Futures",[1]AB3!$AH$6,IF(D116="Options Sell",[1]AB3!$AH$12,IF(D116="Options Buy",[1]AB3!$AH$18)))</f>
        <v xml:space="preserve">CE : Entry </v>
      </c>
      <c r="AF114" s="43" t="str">
        <f>IF(D116="Futures",[1]AB3!$AI$6,IF(D116="Options Sell",[1]AB3!$AI$12,IF(D116="Options Buy",[1]AB3!$AI$18)))</f>
        <v xml:space="preserve"> + </v>
      </c>
      <c r="AG114" s="77">
        <v>0.6</v>
      </c>
      <c r="AH114" s="78"/>
      <c r="AI114" s="48"/>
      <c r="AJ114" s="43" t="str">
        <f>IF(D116="Futures",[1]AB3!$AO$6,IF(D116="Options Sell",[1]AB3!$AO$12,IF(D116="Options Buy",[1]AB3!$AO$18)))</f>
        <v xml:space="preserve"> + </v>
      </c>
      <c r="AK114" s="43" t="str">
        <f t="array" ref="AK114">IF(A114="","",IF(D116="Futures",CONCATENATE([1]AB3!$AP$6,INDEX([1]AB2!L:L,MATCH(D114,[1]AB2!B:B,0)),[1]AB3!$AQ$6),IF(D116="Options Sell",CONCATENATE([1]AB3!$AP$12,INDEX([1]AB2!M:M,MATCH(D114,[1]AB2!B:B,0)),[1]AB3!$AQ$12),IF(D116="Options Buy",CONCATENATE([1]AB3!$AP$18,INDEX([1]AB2!L:L,MATCH(D114,[1]AB2!B:B,0)),[1]AB3!$AQ$18)))))</f>
        <v>OPT : PRV : 2DHH</v>
      </c>
      <c r="AL114" s="79">
        <v>7.0000000000000007E-2</v>
      </c>
      <c r="AM114" s="52">
        <f>J115</f>
        <v>1</v>
      </c>
      <c r="AN114" s="51">
        <f t="array" ref="AN114">IF(A114="","",IF(AND(OR(D118="1 &amp; APS",D118="2 &amp; APS",D118="3 &amp; APS",D118="4 &amp; APS",D118="5 &amp; APS"),D116="Futures"),CONCATENATE([1]AB3!$AP$6,INDEX([1]AB2!L:L,MATCH(D114,[1]AB2!B:B,0)),[1]AB3!$AQ$6),IF(AND(OR(D118="1 &amp; APS",D118="2 &amp; APS",D118="3 &amp; APS",D118="4 &amp; APS",D118="5 &amp; APS"),D116="Options Sell"),CONCATENATE([1]AB3!$AP$12,INDEX([1]AB2!M:M,MATCH(D114,[1]AB2!B:B,0)),[1]AB3!$AQ$12),IF(AND(OR(D118="1 &amp; APS",D118="2 &amp; APS",D118="3 &amp; APS",D118="4 &amp; APS",D118="5 &amp; APS"),D116="Options Buy"),CONCATENATE([1]AB3!$AP$18,INDEX([1]AB2!L:L,MATCH(D114,[1]AB2!B:B,0)),[1]AB3!$AQ$18),[1]AB3!$AR$6))))</f>
        <v>0</v>
      </c>
      <c r="AO114" s="58"/>
      <c r="AP114" s="52">
        <f t="shared" ref="AP114:AP115" si="186">AM114-O114</f>
        <v>0</v>
      </c>
      <c r="AQ114" s="51">
        <f t="array" ref="AQ114">IF(A114="","",IF(AND(OR(D118="2 &amp; APS",D118="3 &amp; APS",D118="4 &amp; APS",D118="5 &amp; APS"),D116="Futures"),CONCATENATE([1]AB3!$AP$6,INDEX([1]AB2!L:L,MATCH(D114,[1]AB2!B:B,0)),[1]AB3!$AQ$6),IF(AND(OR(D118="2 &amp; APS",D118="3 &amp; APS",D118="4 &amp; APS",D118="5 &amp; APS"),D116="Options Sell"),CONCATENATE([1]AB3!$AP$12,INDEX([1]AB2!M:M,MATCH(D114,[1]AB2!B:B,0)),[1]AB3!$AQ$12),IF(AND(OR(D118="2 &amp; APS",D118="3 &amp; APS",D118="4 &amp; APS",D118="5 &amp; APS"),D116="Options Buy"),CONCATENATE([1]AB3!$AP$18,INDEX([1]AB2!L:L,MATCH(D114,[1]AB2!B:B,0)),[1]AB3!$AQ$18),[1]AB3!$AR$6))))</f>
        <v>0</v>
      </c>
      <c r="AR114" s="58"/>
      <c r="AS114" s="52">
        <f t="shared" ref="AS114:AS115" si="187">AP114-Q114</f>
        <v>0</v>
      </c>
      <c r="AT114" s="51">
        <f t="array" ref="AT114">IF(A114="","",IF(AND(OR(D118="3 &amp; APS",D118="4 &amp; APS",D118="5 &amp; APS"),D116="Futures"),CONCATENATE([1]AB3!$AP$6,INDEX([1]AB2!L:L,MATCH(D114,[1]AB2!B:B,0)),[1]AB3!$AQ$6),IF(AND(OR(D118="3 &amp; APS",D118="4 &amp; APS",D118="5 &amp; APS"),D116="Options Sell"),CONCATENATE([1]AB3!$AP$12,INDEX([1]AB2!M:M,MATCH(D114,[1]AB2!B:B,0)),[1]AB3!$AQ$12),IF(AND(OR(D118="3 &amp; APS",D118="4 &amp; APS",D118="5 &amp; APS"),D116="Options Buy"),CONCATENATE([1]AB3!$AP$18,INDEX([1]AB2!L:L,MATCH(D114,[1]AB2!B:B,0)),[1]AB3!$AQ$18),[1]AB3!$AR$6))))</f>
        <v>0</v>
      </c>
      <c r="AU114" s="58"/>
      <c r="AV114" s="52">
        <f t="shared" ref="AV114:AV115" si="188">AS114-S114</f>
        <v>0</v>
      </c>
      <c r="AW114" s="51">
        <f t="array" ref="AW114">IF(A114="","",IF(AND(OR(D118="4 &amp; APS",D118="5 &amp; APS"),D116="Futures"),CONCATENATE([1]AB3!$AP$6,INDEX([1]AB2!L:L,MATCH(D114,[1]AB2!B:B,0)),[1]AB3!$AQ$6),IF(AND(OR(D118="4 &amp; APS",D118="5 &amp; APS"),D116="Options Sell"),CONCATENATE([1]AB3!$AP$12,INDEX([1]AB2!M:M,MATCH(D114,[1]AB2!B:B,0)),[1]AB3!$AQ$12),IF(AND(OR(D118="4 &amp; APS",D118="5 &amp; APS"),D116="Options Buy"),CONCATENATE([1]AB3!$AP$18,INDEX([1]AB2!L:L,MATCH(D114,[1]AB2!B:B,0)),[1]AB3!$AQ$18),[1]AB3!$AR$6))))</f>
        <v>0</v>
      </c>
      <c r="AX114" s="58"/>
      <c r="AY114" s="52">
        <f t="shared" ref="AY114:AY115" si="189">AV114-S114</f>
        <v>0</v>
      </c>
      <c r="AZ114" s="51">
        <f t="array" ref="AZ114">IF(A114="","",IF(AND(D118="5 &amp; APS",D116="Futures"),CONCATENATE([1]AB3!$AP$6,INDEX([1]AB2!L:L,MATCH(D114,[1]AB2!B:B,0)),[1]AB3!$AQ$6),IF(AND(D118="5 &amp; APS",D116="Options Sell"),CONCATENATE([1]AB3!$AP$12,INDEX([1]AB2!M:M,MATCH(D114,[1]AB2!B:B,0)),[1]AB3!$AQ$12),IF(AND(D118="5 &amp; APS",D116="Options Buy"),CONCATENATE([1]AB3!$AP$18,INDEX([1]AB2!L:L,MATCH(D114,[1]AB2!B:B,0)),[1]AB3!$AQ$18),[1]AB3!$AR$6))))</f>
        <v>0</v>
      </c>
      <c r="BA114" s="58"/>
      <c r="BB114" s="52">
        <f t="shared" ref="BB114:BB115" si="190">AY114-W114</f>
        <v>0</v>
      </c>
      <c r="BC114" s="53"/>
      <c r="BD114" s="54" t="str">
        <f>IF(D116="Futures",[1]AB3!$BE$6,IF(D116="Options Sell",[1]AB3!$BE$12,IF(D116="Options Buy",[1]AB3!$BE$18)))</f>
        <v xml:space="preserve">ORPT </v>
      </c>
      <c r="BE114" s="55">
        <f>IF(D116="Futures",BE117+([1]AB3!$BF$6/1440),IF(D116="Options Sell",BE117+([1]AB3!$BF$12/1440),IF(D116="Options Buy",BE117+([1]AB3!$BF$18/1440))))</f>
        <v>0.38193749999999999</v>
      </c>
      <c r="BF114" s="55">
        <f>IF(D116="Futures",BE117+([1]AB3!$BG$6/1440),IF(D116="Options Sell",BE117+([1]AB3!$BG$12/1440),IF(D116="Options Buy",BE117+([1]AB3!$BG$18/1440))))</f>
        <v>0.38193749999999999</v>
      </c>
      <c r="BG114" s="55">
        <f>IF(D116="Futures",BE117+([1]AB3!$BH$6/1440),IF(D116="Options Sell",BE117+([1]AB3!$BH$12/1440),IF(D116="Options Buy",BE117+([1]AB3!$BH$18/1440))))</f>
        <v>0.375</v>
      </c>
      <c r="BH114" s="57"/>
      <c r="BI114" s="44" t="str">
        <f>IF(D116="Futures",[1]AB3!$BJ$6,IF(D116="Options Sell",[1]AB3!$BJ$12,IF(D116="Options Buy",[1]AB3!$BJ$18)))</f>
        <v>Bull / 
Bull CF</v>
      </c>
      <c r="BJ114" s="45" t="str">
        <f>IF(D116="Futures",[1]AB3!$BK$6,IF(D116="Options Sell",[1]AB3!$BK$12,IF(D116="Options Buy",[1]AB3!$BK$18)))</f>
        <v>Call</v>
      </c>
      <c r="BK114" s="80">
        <v>7.4999999999999997E-2</v>
      </c>
      <c r="BL114" s="81">
        <v>7.0000000000000007E-2</v>
      </c>
      <c r="BM114" s="57"/>
      <c r="BN114" s="44" t="str">
        <f>IF(D116="Futures",[1]AB3!$BO$6,IF(D116="Options Sell",[1]AB3!$BO$12,IF(D116="Options Buy",[1]AB3!$BO$18)))</f>
        <v>Bull | 
Bull CF</v>
      </c>
      <c r="BO114" s="45" t="str">
        <f>IF(D116="Futures",[1]AB3!$BP$6,IF(D116="Options Sell",[1]AB3!$BP$12,IF(D116="Options Buy",[1]AB3!$BP$18)))</f>
        <v>Call</v>
      </c>
      <c r="BP114" s="43" t="str">
        <f t="array" ref="BP114">IF(A114="","",IF(D116="Futures","",IF(D116="EQUITY","",IF(D116="Options Sell",CONCATENATE([1]AB3!$BQ$12,INDEX([1]AB2!J:J,MATCH(A114,[1]AB2!A:A,0)),[1]AB3!$BR$12),IF(D116="Options Buy",CONCATENATE([1]AB3!$BQ$18,INDEX([1]AB2!J:J,MATCH(A114,[1]AB2!A:A,0)),[1]AB3!$BR$18))))))</f>
        <v>SPT : PRV : 3DLL</v>
      </c>
      <c r="BQ114" s="82" t="s">
        <v>53</v>
      </c>
      <c r="BR114" s="58">
        <v>0.02</v>
      </c>
      <c r="BS114" s="76" t="s">
        <v>54</v>
      </c>
      <c r="BT114" s="37" t="str">
        <f t="shared" ref="BT114:BT115" si="191">BP114</f>
        <v>SPT : PRV : 3DLL</v>
      </c>
      <c r="BU114" s="76"/>
      <c r="BV114" s="58"/>
      <c r="BW114" s="76" t="s">
        <v>54</v>
      </c>
      <c r="BX114" s="82" t="s">
        <v>55</v>
      </c>
      <c r="BY114" s="76">
        <v>1</v>
      </c>
      <c r="BZ114" s="58"/>
      <c r="CA114" s="58"/>
      <c r="CB114" s="58"/>
      <c r="CC114" s="58"/>
      <c r="CD114" s="58"/>
      <c r="CE114" s="43" t="str">
        <f t="shared" ref="CE114:CE115" si="192">BP114</f>
        <v>SPT : PRV : 3DLL</v>
      </c>
      <c r="CF114" s="58">
        <v>4.0000000000000001E-3</v>
      </c>
      <c r="CG114" s="43" t="str">
        <f t="shared" ref="CG114:CG115" si="193">BP114</f>
        <v>SPT : PRV : 3DLL</v>
      </c>
      <c r="CH114" s="58">
        <v>2E-3</v>
      </c>
      <c r="CI114" s="75">
        <v>100</v>
      </c>
      <c r="CJ114" s="75">
        <v>1</v>
      </c>
      <c r="CK114" s="59"/>
      <c r="CL114" s="43"/>
      <c r="CM114" s="43"/>
      <c r="CN114" s="59"/>
      <c r="CO114" s="70"/>
      <c r="CP114" s="43"/>
      <c r="CQ114" s="59"/>
      <c r="CR114" s="58">
        <v>0.02</v>
      </c>
      <c r="CS114" s="43"/>
      <c r="CT114" s="59"/>
      <c r="CU114" s="55">
        <f>IF(D116="Futures",BE118-([1]AB3!$CG$6/1440),IF(D116="Options Sell",BE118-([1]AB3!$CG$12/1440),IF(D116="Options Buy",BE118-([1]AB3!$CG$18/1440),IF(D116="EQUITY",""))))</f>
        <v>0.6875</v>
      </c>
      <c r="CV114" s="59"/>
      <c r="CW114" s="59"/>
    </row>
    <row r="115" spans="1:101" ht="15.75" customHeight="1" x14ac:dyDescent="0.2">
      <c r="A115" s="60"/>
      <c r="B115" s="41" t="str">
        <f>CONCATENATE(D114,IF(D116="Futures",[1]AB3!$B$7,IF(D116="Options Sell",[1]AB3!$B$13,IF(D116="Options Buy",[1]AB3!$B$19))))</f>
        <v>S19B</v>
      </c>
      <c r="C115" s="42" t="str">
        <f>IF(D116="Futures",[1]AB3!$C$7,IF(D116="Options Sell",[1]AB3!$C$13,IF(D116="Options Buy",[1]AB3!$C$19)))</f>
        <v>Unique Code</v>
      </c>
      <c r="D115" s="43" t="str">
        <f t="array" ref="D115">IF(A114="","",INDEX([1]AB2!N:N,MATCH(D114,[1]AB2!B:B,0)))</f>
        <v>USDINR_OP_SELL_MT_DIFF_2D_3D</v>
      </c>
      <c r="E115" s="32"/>
      <c r="F115" s="61" t="str">
        <f>IF(D116="Futures",[1]AB3!$F$7,IF(D116="Options Sell",[1]AB3!$F$13,IF(D116="Options Buy",[1]AB3!$F$19)))</f>
        <v>Put</v>
      </c>
      <c r="G115" s="84" t="str">
        <f t="array" ref="G115">IF(A114="","",IF(D116="Futures",CONCATENATE([1]AB3!$G$7,INDEX([1]AB2!J:J,MATCH(D114,[1]AB2!B:B,0)),[1]AB3!$H$7),IF(D116="Options Sell",CONCATENATE([1]AB3!$G$13,INDEX([1]AB2!I:I,MATCH(D114,[1]AB2!B:B,0)),[1]AB3!$H$13),IF(D116="Options Buy",CONCATENATE([1]AB3!$G$19,INDEX([1]AB2!J:J,MATCH(D114,[1]AB2!B:B,0)),[1]AB3!$H$19)))))</f>
        <v>OPT : PRV : 2DLL</v>
      </c>
      <c r="H115" s="43" t="str">
        <f>IF(D116="Futures",[1]AB3!$I$7,IF(D116="Options Sell",[1]AB3!$I$13,IF(D116="Options Buy",[1]AB3!$I$19)))</f>
        <v xml:space="preserve"> - </v>
      </c>
      <c r="I115" s="72">
        <v>7.4999999999999997E-2</v>
      </c>
      <c r="J115" s="73">
        <v>1</v>
      </c>
      <c r="K115" s="48"/>
      <c r="L115" s="43" t="str">
        <f>IF(D116="Futures",[1]AB3!$M$7,IF(D116="Options Sell",[1]AB3!$M$13,IF(D116="Options Buy",[1]AB3!$M$19)))</f>
        <v xml:space="preserve">PE : Entry </v>
      </c>
      <c r="M115" s="43" t="str">
        <f>IF(D116="Futures",[1]AB3!$N$7,IF(D116="Options Sell",[1]AB3!$N$13,IF(D116="Options Buy",[1]AB3!$N$19)))</f>
        <v xml:space="preserve"> - </v>
      </c>
      <c r="N115" s="74">
        <v>0.6</v>
      </c>
      <c r="O115" s="75">
        <v>1</v>
      </c>
      <c r="P115" s="58"/>
      <c r="Q115" s="75"/>
      <c r="R115" s="58"/>
      <c r="S115" s="75"/>
      <c r="T115" s="58"/>
      <c r="U115" s="75"/>
      <c r="V115" s="76"/>
      <c r="W115" s="75"/>
      <c r="X115" s="76"/>
      <c r="Y115" s="76"/>
      <c r="Z115" s="48"/>
      <c r="AA115" s="43" t="str">
        <f>IF(D116="Futures",[1]AB3!$AD$7,IF(D116="Options Sell",[1]AB3!$AD$13,IF(D116="Options Buy",[1]AB3!$AD$19)))</f>
        <v>Min</v>
      </c>
      <c r="AB115" s="43" t="str">
        <f>IF(D116="Futures",[1]AB3!$AE$7,IF(D116="Options Sell",[1]AB3!$AE$13,IF(D116="Options Buy",[1]AB3!$AE$19)))</f>
        <v>MSL &amp; TSL</v>
      </c>
      <c r="AC115" s="43" t="str">
        <f>IF(D116="Futures",[1]AB3!$AF$7,IF(D116="Options Sell",[1]AB3!$AF$13,IF(D116="Options Buy",[1]AB3!$AF$19)))</f>
        <v>Entry &amp; TRP</v>
      </c>
      <c r="AD115" s="48"/>
      <c r="AE115" s="43" t="str">
        <f>IF(D116="Futures",[1]AB3!$AH$7,IF(D116="Options Sell",[1]AB3!$AH$13,IF(D116="Options Buy",[1]AB3!$AH$19)))</f>
        <v xml:space="preserve">PE : Entry </v>
      </c>
      <c r="AF115" s="43" t="str">
        <f>IF(D116="Futures",[1]AB3!$AI$7,IF(D116="Options Sell",[1]AB3!$AI$13,IF(D116="Options Buy",[1]AB3!$AI$19)))</f>
        <v xml:space="preserve"> + </v>
      </c>
      <c r="AG115" s="77">
        <v>0.6</v>
      </c>
      <c r="AH115" s="78"/>
      <c r="AI115" s="48"/>
      <c r="AJ115" s="43" t="str">
        <f>IF(D116="Futures",[1]AB3!$AO$7,IF(D116="Options Sell",[1]AB3!$AO$13,IF(D116="Options Buy",[1]AB3!$AO$19)))</f>
        <v xml:space="preserve"> + </v>
      </c>
      <c r="AK115" s="43" t="str">
        <f t="array" ref="AK115">IF(A114="","",IF(D116="Futures",CONCATENATE([1]AB3!$AP$7,INDEX([1]AB2!M:M,MATCH(D114,[1]AB2!B:B,0)),[1]AB3!$AQ$7),IF(D116="Options Sell",CONCATENATE([1]AB3!$AP$13,INDEX([1]AB2!L:L,MATCH(D114,[1]AB2!B:B,0)),[1]AB3!$AQ$13),IF(D116="Options Buy",CONCATENATE([1]AB3!$AP$19,INDEX([1]AB2!M:M,MATCH(D114,[1]AB2!B:B,0)),[1]AB3!$AQ$19)))))</f>
        <v>OPT : PRV : 3DHH</v>
      </c>
      <c r="AL115" s="79">
        <v>0.1</v>
      </c>
      <c r="AM115" s="52">
        <f>J114</f>
        <v>1</v>
      </c>
      <c r="AN115" s="51">
        <f t="array" ref="AN115">IF(A114="","",IF(AND(OR(D118="1 &amp; APS",D118="2 &amp; APS",D118="3 &amp; APS",D118="4 &amp; APS",D118="5 &amp; APS"),D116="Futures"),CONCATENATE([1]AB3!$AP$7,INDEX([1]AB2!M:M,MATCH(D114,[1]AB2!B:B,0)),[1]AB3!$AQ$7),IF(AND(OR(D118="1 &amp; APS",D118="2 &amp; APS",D118="3 &amp; APS",D118="4 &amp; APS",D118="5 &amp; APS"),D116="Options Sell"),CONCATENATE([1]AB3!$AP$13,INDEX([1]AB2!L:L,MATCH(D114,[1]AB2!B:B,0)),[1]AB3!$AQ$13),IF(AND(OR(D118="1 &amp; APS",D118="2 &amp; APS",D118="3 &amp; APS",D118="4 &amp; APS",D118="5 &amp; APS"),D116="Options Buy"),CONCATENATE([1]AB3!$AP$19,INDEX([1]AB2!M:M,MATCH(D114,[1]AB2!B:B,0)),[1]AB3!$AQ$19),[1]AB3!$AR$6))))</f>
        <v>0</v>
      </c>
      <c r="AO115" s="58"/>
      <c r="AP115" s="52">
        <f t="shared" si="186"/>
        <v>0</v>
      </c>
      <c r="AQ115" s="51">
        <f t="array" ref="AQ115">IF(A114="","",IF(AND(OR(D118="2 &amp; APS",D118="3 &amp; APS",D118="4 &amp; APS",D118="5 &amp; APS"),D116="Futures"),CONCATENATE([1]AB3!$AP$7,INDEX([1]AB2!M:M,MATCH(D114,[1]AB2!B:B,0)),[1]AB3!$AQ$7),IF(AND(OR(D118="2 &amp; APS",D118="3 &amp; APS",D118="4 &amp; APS",D118="5 &amp; APS"),D116="Options Sell"),CONCATENATE([1]AB3!$AP$13,INDEX([1]AB2!L:L,MATCH(D114,[1]AB2!B:B,0)),[1]AB3!$AQ$13),IF(AND(OR(D118="2 &amp; APS",D118="3 &amp; APS",D118="4 &amp; APS",D118="5 &amp; APS"),D116="Options Buy"),CONCATENATE([1]AB3!$AP$19,INDEX([1]AB2!M:M,MATCH(D114,[1]AB2!B:B,0)),[1]AB3!$AQ$19),[1]AB3!$AR$6))))</f>
        <v>0</v>
      </c>
      <c r="AR115" s="58"/>
      <c r="AS115" s="52">
        <f t="shared" si="187"/>
        <v>0</v>
      </c>
      <c r="AT115" s="51">
        <f t="array" ref="AT115">IF(A114="","",IF(AND(OR(D118="3 &amp; APS",D118="4 &amp; APS",D118="5 &amp; APS"),D116="Futures"),CONCATENATE([1]AB3!$AP$7,INDEX([1]AB2!M:M,MATCH(D114,[1]AB2!B:B,0)),[1]AB3!$AQ$7),IF(AND(OR(D118="3 &amp; APS",D118="4 &amp; APS",D118="5 &amp; APS"),D116="Options Sell"),CONCATENATE([1]AB3!$AP$13,INDEX([1]AB2!L:L,MATCH(D114,[1]AB2!B:B,0)),[1]AB3!$AQ$13),IF(AND(OR(D118="3 &amp; APS",D118="4 &amp; APS",D118="5 &amp; APS"),D116="Options Buy"),CONCATENATE([1]AB3!$AP$19,INDEX([1]AB2!M:M,MATCH(D114,[1]AB2!B:B,0)),[1]AB3!$AQ$19),[1]AB3!$AR$6))))</f>
        <v>0</v>
      </c>
      <c r="AU115" s="58"/>
      <c r="AV115" s="52">
        <f t="shared" si="188"/>
        <v>0</v>
      </c>
      <c r="AW115" s="51">
        <f t="array" ref="AW115">IF(A114="","",IF(AND(OR(D118="4 &amp; APS",D118="5 &amp; APS"),D116="Futures"),CONCATENATE([1]AB3!$AP$7,INDEX([1]AB2!M:M,MATCH(D114,[1]AB2!B:B,0)),[1]AB3!$AQ$7),IF(AND(OR(D118="4 &amp; APS",D118="5 &amp; APS"),D116="Options Sell"),CONCATENATE([1]AB3!$AP$13,INDEX([1]AB2!L:L,MATCH(D114,[1]AB2!B:B,0)),[1]AB3!$AQ$13),IF(AND(OR(D118="4 &amp; APS",D118="5 &amp; APS"),D116="Options Buy"),CONCATENATE([1]AB3!$AP$19,INDEX([1]AB2!M:M,MATCH(D114,[1]AB2!B:B,0)),[1]AB3!$AQ$19),[1]AB3!$AR$6))))</f>
        <v>0</v>
      </c>
      <c r="AX115" s="58"/>
      <c r="AY115" s="52">
        <f t="shared" si="189"/>
        <v>0</v>
      </c>
      <c r="AZ115" s="51">
        <f t="array" ref="AZ115">IF(A114="","",IF(AND(D118="5 &amp; APS",D116="Futures"),CONCATENATE([1]AB3!$AP$7,INDEX([1]AB2!M:M,MATCH(D114,[1]AB2!B:B,0)),[1]AB3!$AQ$7),IF(AND(D118="5 &amp; APS",D116="Options Sell"),CONCATENATE([1]AB3!$AP$13,INDEX([1]AB2!L:L,MATCH(D114,[1]AB2!B:B,0)),[1]AB3!$AQ$13),IF(AND(D118="5 &amp; APS",D116="Options Buy"),CONCATENATE([1]AB3!$AP$19,INDEX([1]AB2!M:M,MATCH(D114,[1]AB2!B:B,0)),[1]AB3!$AQ$19),[1]AB3!$AR$6))))</f>
        <v>0</v>
      </c>
      <c r="BA115" s="58"/>
      <c r="BB115" s="52">
        <f t="shared" si="190"/>
        <v>0</v>
      </c>
      <c r="BC115" s="53"/>
      <c r="BD115" s="54" t="str">
        <f>IF(D116="Futures",[1]AB3!$BE$7,IF(D116="Options Sell",[1]AB3!$BE$13,IF(D116="Options Buy",[1]AB3!$BE$19)))</f>
        <v xml:space="preserve"> RC. Time</v>
      </c>
      <c r="BE115" s="55">
        <f>IF(D116="Futures",BE117+([1]AB3!$BF$7/1440),IF(D116="Options Sell",BE117+([1]AB3!$BF$13/1440),IF(D116="Options Buy",BE117+([1]AB3!$BF$19/1440))))</f>
        <v>0.38540972222222225</v>
      </c>
      <c r="BF115" s="55">
        <f>IF(D116="Futures",BE117+([1]AB3!$BG$7/1440),IF(D116="Options Sell",BE117+([1]AB3!$BG$13/1440),IF(D116="Options Buy",BE117+([1]AB3!$BG$19/1440))))</f>
        <v>0.38540972222222225</v>
      </c>
      <c r="BG115" s="55" t="str">
        <f>IF(D116="Futures",[1]AB3!$BH$7,IF(D116="Options Sell",[1]AB3!$BH$7,IF(D116="Options Buy",[1]AB3!$BH$7)))</f>
        <v>N.A.</v>
      </c>
      <c r="BH115" s="57"/>
      <c r="BI115" s="32"/>
      <c r="BJ115" s="61" t="str">
        <f>IF(D116="Futures",[1]AB3!$BK$7,IF(D116="Options Sell",[1]AB3!$BK$13,IF(D116="Options Buy",[1]AB3!$BK$19)))</f>
        <v>Put</v>
      </c>
      <c r="BK115" s="80">
        <v>7.4999999999999997E-2</v>
      </c>
      <c r="BL115" s="81">
        <v>0.1</v>
      </c>
      <c r="BM115" s="57"/>
      <c r="BN115" s="32"/>
      <c r="BO115" s="61" t="str">
        <f>IF(D116="Futures",[1]AB3!$BP$7,IF(D116="Options Sell",[1]AB3!$BP$13,IF(D116="Options Buy",[1]AB3!$BP$19)))</f>
        <v>Put</v>
      </c>
      <c r="BP115" s="43" t="str">
        <f t="array" ref="BP115">IF(A114="","",IF(D116="Futures","",IF(D116="EQUITY","",IF(D116="Options Sell",CONCATENATE([1]AB3!$BQ$13,INDEX([1]AB2!I:I,MATCH(A114,[1]AB2!A:A,0)),[1]AB3!$BR$13),IF(D116="Options Buy",CONCATENATE([1]AB3!$BQ$19,INDEX([1]AB2!I:I,MATCH(A114,[1]AB2!A:A,0)),[1]AB3!$BR$19))))))</f>
        <v>SPT : PRV : 2DHH</v>
      </c>
      <c r="BQ115" s="83" t="s">
        <v>55</v>
      </c>
      <c r="BR115" s="58">
        <v>0.02</v>
      </c>
      <c r="BS115" s="76" t="s">
        <v>56</v>
      </c>
      <c r="BT115" s="84" t="str">
        <f t="shared" si="191"/>
        <v>SPT : PRV : 2DHH</v>
      </c>
      <c r="BU115" s="85"/>
      <c r="BV115" s="58"/>
      <c r="BW115" s="76" t="s">
        <v>56</v>
      </c>
      <c r="BX115" s="82" t="s">
        <v>53</v>
      </c>
      <c r="BY115" s="76">
        <v>1</v>
      </c>
      <c r="BZ115" s="58"/>
      <c r="CA115" s="58"/>
      <c r="CB115" s="58"/>
      <c r="CC115" s="58"/>
      <c r="CD115" s="58"/>
      <c r="CE115" s="43" t="str">
        <f t="shared" si="192"/>
        <v>SPT : PRV : 2DHH</v>
      </c>
      <c r="CF115" s="58">
        <v>4.0000000000000001E-3</v>
      </c>
      <c r="CG115" s="43" t="str">
        <f t="shared" si="193"/>
        <v>SPT : PRV : 2DHH</v>
      </c>
      <c r="CH115" s="58">
        <v>2E-3</v>
      </c>
      <c r="CI115" s="75">
        <v>100</v>
      </c>
      <c r="CJ115" s="75">
        <v>1</v>
      </c>
      <c r="CK115" s="59"/>
      <c r="CL115" s="43"/>
      <c r="CM115" s="43"/>
      <c r="CN115" s="59"/>
      <c r="CO115" s="43"/>
      <c r="CP115" s="43"/>
      <c r="CQ115" s="59"/>
      <c r="CR115" s="58">
        <v>0.02</v>
      </c>
      <c r="CS115" s="43"/>
      <c r="CT115" s="59"/>
      <c r="CU115" s="43"/>
      <c r="CV115" s="59"/>
      <c r="CW115" s="59"/>
    </row>
    <row r="116" spans="1:101" ht="15.75" customHeight="1" x14ac:dyDescent="0.2">
      <c r="A116" s="60"/>
      <c r="B116" s="41" t="str">
        <f>CONCATENATE(D114,IF(D116="Futures",[1]AB3!$B$8,IF(D116="Options Sell",[1]AB3!$B$14,IF(D116="Options Buy",[1]AB3!$B$20))))</f>
        <v>S19C</v>
      </c>
      <c r="C116" s="42" t="str">
        <f>IF(D116="Futures",[1]AB3!$C$8,IF(D116="Options Sell",[1]AB3!$C$14,IF(D116="Options Buy",[1]AB3!$C$20)))</f>
        <v>Segment</v>
      </c>
      <c r="D116" s="43" t="str">
        <f t="array" ref="D116">IF(A114="","",INDEX([1]AB2!C:C,MATCH(D114,[1]AB2!B:B,0)))</f>
        <v>OPTIONS SELL</v>
      </c>
      <c r="E116" s="42" t="str">
        <f>IF(D116="Futures",[1]AB3!$E$8,IF(D116="Options Sell",[1]AB3!$E$14,IF(D116="Options Buy",[1]AB3!$E$20)))</f>
        <v>Contract</v>
      </c>
      <c r="F116" s="43" t="str">
        <f t="array" ref="F116">IF(A114="","",INDEX([1]AB2!F:F,MATCH(D114,[1]AB2!B:B,0)))</f>
        <v>MONTHLY</v>
      </c>
      <c r="G116" s="105"/>
      <c r="H116" s="62"/>
      <c r="I116" s="86"/>
      <c r="J116" s="87"/>
      <c r="K116" s="48"/>
      <c r="L116" s="62"/>
      <c r="M116" s="62"/>
      <c r="N116" s="88"/>
      <c r="O116" s="89"/>
      <c r="P116" s="62"/>
      <c r="Q116" s="89"/>
      <c r="R116" s="62"/>
      <c r="S116" s="89"/>
      <c r="T116" s="62"/>
      <c r="U116" s="89"/>
      <c r="V116" s="62"/>
      <c r="W116" s="89"/>
      <c r="X116" s="62"/>
      <c r="Y116" s="62"/>
      <c r="Z116" s="48"/>
      <c r="AA116" s="62"/>
      <c r="AB116" s="62"/>
      <c r="AC116" s="62"/>
      <c r="AD116" s="48"/>
      <c r="AE116" s="62"/>
      <c r="AF116" s="62"/>
      <c r="AG116" s="90"/>
      <c r="AH116" s="90"/>
      <c r="AI116" s="48"/>
      <c r="AJ116" s="62"/>
      <c r="AK116" s="62"/>
      <c r="AL116" s="91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  <c r="BA116" s="62"/>
      <c r="BB116" s="62"/>
      <c r="BC116" s="53"/>
      <c r="BD116" s="57"/>
      <c r="BE116" s="57"/>
      <c r="BF116" s="57"/>
      <c r="BG116" s="57"/>
      <c r="BH116" s="57"/>
      <c r="BI116" s="66"/>
      <c r="BJ116" s="62"/>
      <c r="BK116" s="92"/>
      <c r="BL116" s="92"/>
      <c r="BM116" s="57"/>
      <c r="BN116" s="66"/>
      <c r="BO116" s="62"/>
      <c r="BP116" s="62"/>
      <c r="BQ116" s="93"/>
      <c r="BR116" s="62"/>
      <c r="BS116" s="62"/>
      <c r="BT116" s="94"/>
      <c r="BU116" s="93"/>
      <c r="BV116" s="62"/>
      <c r="BW116" s="62"/>
      <c r="BX116" s="62"/>
      <c r="BY116" s="62"/>
      <c r="BZ116" s="62"/>
      <c r="CA116" s="62"/>
      <c r="CB116" s="62"/>
      <c r="CC116" s="62"/>
      <c r="CD116" s="62"/>
      <c r="CE116" s="62"/>
      <c r="CF116" s="62"/>
      <c r="CG116" s="62"/>
      <c r="CH116" s="62"/>
      <c r="CI116" s="62"/>
      <c r="CJ116" s="62"/>
      <c r="CK116" s="59"/>
      <c r="CL116" s="62"/>
      <c r="CM116" s="62"/>
      <c r="CN116" s="59"/>
      <c r="CO116" s="62"/>
      <c r="CP116" s="62"/>
      <c r="CQ116" s="59"/>
      <c r="CR116" s="62"/>
      <c r="CS116" s="62"/>
      <c r="CT116" s="59"/>
      <c r="CU116" s="62"/>
      <c r="CV116" s="59"/>
      <c r="CW116" s="59"/>
    </row>
    <row r="117" spans="1:101" ht="15.75" customHeight="1" x14ac:dyDescent="0.2">
      <c r="A117" s="60"/>
      <c r="B117" s="41" t="str">
        <f>CONCATENATE(D114,IF(D116="Futures",[1]AB3!$B$9,IF(D116="Options Sell",[1]AB3!$B$15,IF(D116="Options Buy",[1]AB3!$B$21))))</f>
        <v>S19D</v>
      </c>
      <c r="C117" s="42" t="str">
        <f>IF(D116="Futures",[1]AB3!$C$9,IF(D116="Options Sell",[1]AB3!$C$15,IF(D116="Options Buy",[1]AB3!$C$21)))</f>
        <v>Symbol</v>
      </c>
      <c r="D117" s="43" t="str">
        <f t="array" ref="D117">IF(A114="","",INDEX([1]AB2!E:E,MATCH(D114,[1]AB2!B:B,0)))</f>
        <v>USDINR</v>
      </c>
      <c r="E117" s="44" t="str">
        <f>IF(D116="Futures",[1]AB3!$E$9,IF(D116="Options Sell",[1]AB3!$E$15,IF(D116="Options Buy",[1]AB3!$E$21)))</f>
        <v>Bear / 
Bear CF</v>
      </c>
      <c r="F117" s="45" t="str">
        <f>IF(D116="Futures",[1]AB3!$F$9,IF(D116="Options Sell",[1]AB3!$F$15,IF(D116="Options Buy",[1]AB3!$F$21)))</f>
        <v>Call</v>
      </c>
      <c r="G117" s="84" t="str">
        <f t="array" ref="G117">IF(A114="","",IF(D116="Futures",CONCATENATE([1]AB3!$G$9,INDEX([1]AB2!J:J,MATCH(D114,[1]AB2!B:B,0)),[1]AB3!$H$9),IF(D116="Options Sell",CONCATENATE([1]AB3!$G$15,INDEX([1]AB2!I:I,MATCH(D114,[1]AB2!B:B,0)),[1]AB3!$H$15),IF(D116="Options Buy",CONCATENATE([1]AB3!$G$21,INDEX([1]AB2!J:J,MATCH(D114,[1]AB2!B:B,0)),[1]AB3!$H$21)))))</f>
        <v>OPT : PRV : 2DLL</v>
      </c>
      <c r="H117" s="43" t="str">
        <f>IF(D116="Futures",[1]AB3!$I$9,IF(D116="Options Sell",[1]AB3!$I$15,IF(D116="Options Buy",[1]AB3!$I$21)))</f>
        <v xml:space="preserve"> - </v>
      </c>
      <c r="I117" s="72">
        <v>7.4999999999999997E-2</v>
      </c>
      <c r="J117" s="73">
        <v>1</v>
      </c>
      <c r="K117" s="48"/>
      <c r="L117" s="43" t="str">
        <f>IF(D116="Futures",[1]AB3!$M$9,IF(D116="Options Sell",[1]AB3!$M$15,IF(D116="Options Buy",[1]AB3!$M$21)))</f>
        <v xml:space="preserve">CE : Entry </v>
      </c>
      <c r="M117" s="43" t="str">
        <f>IF(D116="Futures",[1]AB3!$N$9,IF(D116="Options Sell",[1]AB3!$N$15,IF(D116="Options Buy",[1]AB3!$N$21)))</f>
        <v xml:space="preserve"> - </v>
      </c>
      <c r="N117" s="74">
        <v>0.6</v>
      </c>
      <c r="O117" s="75">
        <v>1</v>
      </c>
      <c r="P117" s="58"/>
      <c r="Q117" s="75"/>
      <c r="R117" s="58"/>
      <c r="S117" s="75"/>
      <c r="T117" s="58"/>
      <c r="U117" s="75"/>
      <c r="V117" s="76"/>
      <c r="W117" s="75"/>
      <c r="X117" s="76"/>
      <c r="Y117" s="76"/>
      <c r="Z117" s="48"/>
      <c r="AA117" s="43" t="str">
        <f>IF(D116="Futures",[1]AB3!$AD$9,IF(D116="Options Sell",[1]AB3!$AD$15,IF(D116="Options Buy",[1]AB3!$AD$21)))</f>
        <v>Min</v>
      </c>
      <c r="AB117" s="43" t="str">
        <f>IF(D116="Futures",[1]AB3!$AE$9,IF(D116="Options Sell",[1]AB3!$AE$15,IF(D116="Options Buy",[1]AB3!$AE$21)))</f>
        <v>MSL &amp; TSL</v>
      </c>
      <c r="AC117" s="43" t="str">
        <f>IF(D116="Futures",[1]AB3!$AF$9,IF(D116="Options Sell",[1]AB3!$AF$15,IF(D116="Options Buy",[1]AB3!$AF$21)))</f>
        <v>Entry &amp; TRP</v>
      </c>
      <c r="AD117" s="48"/>
      <c r="AE117" s="43" t="str">
        <f>IF(D116="Futures",[1]AB3!$AH$9,IF(D116="Options Sell",[1]AB3!$AH$15,IF(D116="Options Buy",[1]AB3!$AH$21)))</f>
        <v xml:space="preserve">CE : Entry </v>
      </c>
      <c r="AF117" s="43" t="str">
        <f>IF(D116="Futures",[1]AB3!$AI$9,IF(D116="Options Sell",[1]AB3!$AI$15,IF(D116="Options Buy",[1]AB3!$AI$21)))</f>
        <v xml:space="preserve"> + </v>
      </c>
      <c r="AG117" s="77">
        <v>0.6</v>
      </c>
      <c r="AH117" s="78"/>
      <c r="AI117" s="48"/>
      <c r="AJ117" s="43" t="str">
        <f>IF(D116="Futures",[1]AB3!$AO$9,IF(D116="Options Sell",[1]AB3!$AO$15,IF(D116="Options Buy",[1]AB3!$AO$21)))</f>
        <v xml:space="preserve"> + </v>
      </c>
      <c r="AK117" s="43" t="str">
        <f t="array" ref="AK117">IF(A114="","",IF(D116="Futures",CONCATENATE([1]AB3!$AP$9,INDEX([1]AB2!M:M,MATCH(D114,[1]AB2!B:B,0)),[1]AB3!$AQ$9),IF(D116="Options Sell",CONCATENATE([1]AB3!$AP$15,INDEX([1]AB2!L:L,MATCH(D114,[1]AB2!B:B,0)),[1]AB3!$AQ$15),IF(D116="Options Buy",CONCATENATE([1]AB3!$AP$21,INDEX([1]AB2!M:M,MATCH(D114,[1]AB2!B:B,0)),[1]AB3!$AQ$21)))))</f>
        <v>OPT : PRV : 3DHH</v>
      </c>
      <c r="AL117" s="79">
        <v>0.1</v>
      </c>
      <c r="AM117" s="52">
        <f>J118</f>
        <v>1</v>
      </c>
      <c r="AN117" s="51">
        <f t="array" ref="AN117">IF(A114="","",IF(AND(OR(D118="1 &amp; APS",D118="2 &amp; APS",D118="3 &amp; APS",D118="4 &amp; APS",D118="5 &amp; APS"),D116="Futures"),CONCATENATE([1]AB3!$AP$9,INDEX([1]AB2!M:M,MATCH(D114,[1]AB2!B:B,0)),[1]AB3!$AQ$9),IF(AND(OR(D118="1 &amp; APS",D118="2 &amp; APS",D118="3 &amp; APS",D118="4 &amp; APS",D118="5 &amp; APS"),D116="Options Sell"),CONCATENATE([1]AB3!$AP$15,INDEX([1]AB2!L:L,MATCH(D114,[1]AB2!B:B,0)),[1]AB3!$AQ$15),IF(AND(OR(D118="1 &amp; APS",D118="2 &amp; APS",D118="3 &amp; APS",D118="4 &amp; APS",D118="5 &amp; APS"),D116="Options Buy"),CONCATENATE([1]AB3!$AP$21,INDEX([1]AB2!M:M,MATCH(D114,[1]AB2!B:B,0)),[1]AB3!$AQ$21),[1]AB3!$AR$6))))</f>
        <v>0</v>
      </c>
      <c r="AO117" s="58"/>
      <c r="AP117" s="52">
        <f t="shared" ref="AP117:AP118" si="194">AM117-O117</f>
        <v>0</v>
      </c>
      <c r="AQ117" s="51">
        <f t="array" ref="AQ117">IF(A114="","",IF(AND(OR(D118="2 &amp; APS",D118="3 &amp; APS",D118="4 &amp; APS",D118="5 &amp; APS"),D116="Futures"),CONCATENATE([1]AB3!$AP$9,INDEX([1]AB2!M:M,MATCH(D114,[1]AB2!B:B,0)),[1]AB3!$AQ$9),IF(AND(OR(D118="2 &amp; APS",D118="3 &amp; APS",D118="4 &amp; APS",D118="5 &amp; APS"),D116="Options Sell"),CONCATENATE([1]AB3!$AP$15,INDEX([1]AB2!L:L,MATCH(D114,[1]AB2!B:B,0)),[1]AB3!$AQ$15),IF(AND(OR(D118="2 &amp; APS",D118="3 &amp; APS",D118="4 &amp; APS",D118="5 &amp; APS"),D116="Options Buy"),CONCATENATE([1]AB3!$AP$21,INDEX([1]AB2!M:M,MATCH(D114,[1]AB2!B:B,0)),[1]AB3!$AQ$21),[1]AB3!$AR$6))))</f>
        <v>0</v>
      </c>
      <c r="AR117" s="58"/>
      <c r="AS117" s="52">
        <f t="shared" ref="AS117:AS118" si="195">AP117-Q117</f>
        <v>0</v>
      </c>
      <c r="AT117" s="51">
        <f t="array" ref="AT117">IF(A114="","",IF(AND(OR(D118="3 &amp; APS",D118="4 &amp; APS",D118="5 &amp; APS"),D116="Futures"),CONCATENATE([1]AB3!$AP$9,INDEX([1]AB2!M:M,MATCH(D114,[1]AB2!B:B,0)),[1]AB3!$AQ$9),IF(AND(OR(D118="3 &amp; APS",D118="4 &amp; APS",D118="5 &amp; APS"),D116="Options Sell"),CONCATENATE([1]AB3!$AP$15,INDEX([1]AB2!L:L,MATCH(D114,[1]AB2!B:B,0)),[1]AB3!$AQ$15),IF(AND(OR(D118="3 &amp; APS",D118="4 &amp; APS",D118="5 &amp; APS"),D116="Options Buy"),CONCATENATE([1]AB3!$AP$21,INDEX([1]AB2!M:M,MATCH(D114,[1]AB2!B:B,0)),[1]AB3!$AQ$21),[1]AB3!$AR$6))))</f>
        <v>0</v>
      </c>
      <c r="AU117" s="58"/>
      <c r="AV117" s="52">
        <f t="shared" ref="AV117:AV118" si="196">AS117-S117</f>
        <v>0</v>
      </c>
      <c r="AW117" s="51">
        <f t="array" ref="AW117">IF(A114="","",IF(AND(OR(D118="4 &amp; APS",D118="5 &amp; APS"),D116="Futures"),CONCATENATE([1]AB3!$AP$9,INDEX([1]AB2!M:M,MATCH(D114,[1]AB2!B:B,0)),[1]AB3!$AQ$9),IF(AND(OR(D118="4 &amp; APS",D118="5 &amp; APS"),D116="Options Sell"),CONCATENATE([1]AB3!$AP$15,INDEX([1]AB2!L:L,MATCH(D114,[1]AB2!B:B,0)),[1]AB3!$AQ$15),IF(AND(OR(D118="4 &amp; APS",D118="5 &amp; APS"),D116="Options Buy"),CONCATENATE([1]AB3!$AP$21,INDEX([1]AB2!M:M,MATCH(D114,[1]AB2!B:B,0)),[1]AB3!$AQ$21),[1]AB3!$AR$6))))</f>
        <v>0</v>
      </c>
      <c r="AX117" s="58"/>
      <c r="AY117" s="52">
        <f t="shared" ref="AY117:AY118" si="197">AV117-S117</f>
        <v>0</v>
      </c>
      <c r="AZ117" s="51">
        <f t="array" ref="AZ117">IF(A114="","",IF(AND(D118="5 &amp; APS",D116="Futures"),CONCATENATE([1]AB3!$AP$9,INDEX([1]AB2!M:M,MATCH(D114,[1]AB2!B:B,0)),[1]AB3!$AQ$9),IF(AND(D118="5 &amp; APS",D116="Options Sell"),CONCATENATE([1]AB3!$AP$15,INDEX([1]AB2!L:L,MATCH(D114,[1]AB2!B:B,0)),[1]AB3!$AQ$15),IF(AND(D118="5 &amp; APS",D116="Options Buy"),CONCATENATE([1]AB3!$AP$21,INDEX([1]AB2!M:M,MATCH(D114,[1]AB2!B:B,0)),[1]AB3!$AQ$21),[1]AB3!$AR$6))))</f>
        <v>0</v>
      </c>
      <c r="BA117" s="58"/>
      <c r="BB117" s="52">
        <f t="shared" ref="BB117:BB118" si="198">AY117-W117</f>
        <v>0</v>
      </c>
      <c r="BC117" s="53"/>
      <c r="BD117" s="54" t="str">
        <f>IF(D116="Futures",[1]AB3!$BE$9,IF(D116="Options Sell",[1]AB3!$BE$15,IF(D116="Options Buy",[1]AB3!$BE$21)))</f>
        <v>Market Start Time</v>
      </c>
      <c r="BE117" s="67">
        <f t="array" ref="BE117">IF(D114="","",INDEX([1]AB2!AG:AG,MATCH(D114,[1]AB2!B:B,0)))</f>
        <v>0.375</v>
      </c>
      <c r="BF117" s="11"/>
      <c r="BG117" s="12"/>
      <c r="BH117" s="57"/>
      <c r="BI117" s="68" t="str">
        <f>IF(D116="Futures",[1]AB3!$BJ$9,IF(D116="Options Sell",[1]AB3!$BJ$15,IF(D116="Options Buy",[1]AB3!$BJ$21)))</f>
        <v>Bear / 
Bear CF</v>
      </c>
      <c r="BJ117" s="45" t="str">
        <f>IF(D116="Futures",[1]AB3!$BK$9,IF(D116="Options Sell",[1]AB3!$BK$15,IF(D116="Options Buy",[1]AB3!$BK$21)))</f>
        <v>Call</v>
      </c>
      <c r="BK117" s="80">
        <v>7.4999999999999997E-2</v>
      </c>
      <c r="BL117" s="81">
        <v>0.1</v>
      </c>
      <c r="BM117" s="57"/>
      <c r="BN117" s="68" t="str">
        <f>IF(D116="Futures",[1]AB3!$BO$9,IF(D116="Options Sell",[1]AB3!$BO$15,IF(D116="Options Buy",[1]AB3!$BO$21)))</f>
        <v>Bear | 
Bear CF</v>
      </c>
      <c r="BO117" s="45" t="str">
        <f>IF(D116="Futures",[1]AB3!$BP$9,IF(D116="Options Sell",[1]AB3!$BP$15,IF(D116="Options Buy",[1]AB3!$BP$21)))</f>
        <v>Call</v>
      </c>
      <c r="BP117" s="43" t="str">
        <f t="array" ref="BP117">IF(A114="","",IF(D116="Futures","",IF(D116="EQUITY","",IF(D116="Options Sell",CONCATENATE([1]AB3!$BQ$15,INDEX([1]AB2!I:I,MATCH(A114,[1]AB2!A:A,0)),[1]AB3!$BR$15),IF(D116="Options Buy",CONCATENATE([1]AB3!$BQ$21,INDEX([1]AB2!I:I,MATCH(A114,[1]AB2!A:A,0)),[1]AB3!$BR$21))))))</f>
        <v>SPT : PRV : 2DLL</v>
      </c>
      <c r="BQ117" s="82" t="s">
        <v>53</v>
      </c>
      <c r="BR117" s="58">
        <v>0.02</v>
      </c>
      <c r="BS117" s="76" t="s">
        <v>54</v>
      </c>
      <c r="BT117" s="84" t="str">
        <f t="shared" ref="BT117:BT118" si="199">BP117</f>
        <v>SPT : PRV : 2DLL</v>
      </c>
      <c r="BU117" s="76"/>
      <c r="BV117" s="58"/>
      <c r="BW117" s="76" t="s">
        <v>54</v>
      </c>
      <c r="BX117" s="82" t="s">
        <v>55</v>
      </c>
      <c r="BY117" s="76">
        <v>1</v>
      </c>
      <c r="BZ117" s="58"/>
      <c r="CA117" s="58"/>
      <c r="CB117" s="58"/>
      <c r="CC117" s="58"/>
      <c r="CD117" s="58"/>
      <c r="CE117" s="43" t="str">
        <f t="shared" ref="CE117:CE118" si="200">BP117</f>
        <v>SPT : PRV : 2DLL</v>
      </c>
      <c r="CF117" s="58">
        <v>4.0000000000000001E-3</v>
      </c>
      <c r="CG117" s="43" t="str">
        <f t="shared" ref="CG117:CG118" si="201">BP117</f>
        <v>SPT : PRV : 2DLL</v>
      </c>
      <c r="CH117" s="58">
        <v>2E-3</v>
      </c>
      <c r="CI117" s="75">
        <v>100</v>
      </c>
      <c r="CJ117" s="75">
        <v>1</v>
      </c>
      <c r="CK117" s="59"/>
      <c r="CL117" s="43"/>
      <c r="CM117" s="43"/>
      <c r="CN117" s="59"/>
      <c r="CO117" s="43"/>
      <c r="CP117" s="43"/>
      <c r="CQ117" s="59"/>
      <c r="CR117" s="58">
        <v>0.02</v>
      </c>
      <c r="CS117" s="43"/>
      <c r="CT117" s="59"/>
      <c r="CU117" s="43"/>
      <c r="CV117" s="59"/>
      <c r="CW117" s="59"/>
    </row>
    <row r="118" spans="1:101" ht="15.75" customHeight="1" x14ac:dyDescent="0.2">
      <c r="A118" s="32"/>
      <c r="B118" s="41" t="str">
        <f>CONCATENATE(D114,IF(D116="Futures",[1]AB3!$B$10,IF(D116="Options Sell",[1]AB3!$B$16,IF(D116="Options Buy",[1]AB3!$B$22))))</f>
        <v>S19E</v>
      </c>
      <c r="C118" s="42" t="str">
        <f>IF(D116="Futures",[1]AB3!$C$10,IF(D116="Options Sell",[1]AB3!$C$16,IF(D116="Options Buy",[1]AB3!$C$22)))</f>
        <v>No. of Targets</v>
      </c>
      <c r="D118" s="43" t="str">
        <f t="array" ref="D118">IF(A114="","",INDEX([1]AB2!K:K,MATCH(D114,[1]AB2!B:B,0)))</f>
        <v>APS</v>
      </c>
      <c r="E118" s="32"/>
      <c r="F118" s="61" t="str">
        <f>IF(D116="Futures",[1]AB3!$F$10,IF(D116="Options Sell",[1]AB3!$F$16,IF(D116="Options Buy",[1]AB3!$F$22)))</f>
        <v>Put</v>
      </c>
      <c r="G118" s="84" t="str">
        <f t="array" ref="G118">(IF(A114="","",IF(D116="Futures",CONCATENATE([1]AB3!$G$10,INDEX([1]AB2!I:I,MATCH(D114,[1]AB2!B:B,0)),[1]AB3!$H$10),IF(D116="Options Sell",CONCATENATE([1]AB3!$G$16,INDEX([1]AB2!J:J,MATCH(D114,[1]AB2!B:B,0)),[1]AB3!$H$16),IF(D116="Options Buy",CONCATENATE([1]AB3!$G$22,INDEX([1]AB2!I:I,MATCH(D114,[1]AB2!B:B,0)),[1]AB3!$H$22))))))</f>
        <v>OPT : PRV : 3DLL</v>
      </c>
      <c r="H118" s="43" t="str">
        <f>IF(D116="Futures",[1]AB3!$I$10,IF(D116="Options Sell",[1]AB3!$I$16,IF(D116="Options Buy",[1]AB3!$I$22)))</f>
        <v xml:space="preserve"> - </v>
      </c>
      <c r="I118" s="72">
        <v>7.4999999999999997E-2</v>
      </c>
      <c r="J118" s="73">
        <v>1</v>
      </c>
      <c r="K118" s="48"/>
      <c r="L118" s="43" t="str">
        <f>IF(D116="Futures",[1]AB3!$M$10,IF(D116="Options Sell",[1]AB3!$M$16,IF(D116="Options Buy",[1]AB3!$M$22)))</f>
        <v xml:space="preserve">PE : Entry </v>
      </c>
      <c r="M118" s="43" t="str">
        <f>IF(D116="Futures",[1]AB3!$N$10,IF(D116="Options Sell",[1]AB3!$N$16,IF(D116="Options Buy",[1]AB3!$N$22)))</f>
        <v xml:space="preserve"> - </v>
      </c>
      <c r="N118" s="74">
        <v>0.6</v>
      </c>
      <c r="O118" s="75">
        <v>1</v>
      </c>
      <c r="P118" s="58"/>
      <c r="Q118" s="75"/>
      <c r="R118" s="58"/>
      <c r="S118" s="75"/>
      <c r="T118" s="58"/>
      <c r="U118" s="75"/>
      <c r="V118" s="76"/>
      <c r="W118" s="75"/>
      <c r="X118" s="76"/>
      <c r="Y118" s="76"/>
      <c r="Z118" s="48"/>
      <c r="AA118" s="43" t="str">
        <f>IF(D116="Futures",[1]AB3!$AD$10,IF(D116="Options Sell",[1]AB3!$AD$16,IF(D116="Options Buy",[1]AB3!$AD$22)))</f>
        <v>Min</v>
      </c>
      <c r="AB118" s="43" t="str">
        <f>IF(D116="Futures",[1]AB3!$AE$10,IF(D116="Options Sell",[1]AB3!$AE$16,IF(D116="Options Buy",[1]AB3!$AE$22)))</f>
        <v>MSL &amp; TSL</v>
      </c>
      <c r="AC118" s="43" t="str">
        <f>IF(D116="Futures",[1]AB3!$AF$10,IF(D116="Options Sell",[1]AB3!$AF$16,IF(D116="Options Buy",[1]AB3!$AF$22)))</f>
        <v>Entry &amp; TRP</v>
      </c>
      <c r="AD118" s="48"/>
      <c r="AE118" s="43" t="str">
        <f>IF(D116="Futures",[1]AB3!$AH$10,IF(D116="Options Sell",[1]AB3!$AH$16,IF(D116="Options Buy",[1]AB3!$AH$22)))</f>
        <v xml:space="preserve">PE : Entry </v>
      </c>
      <c r="AF118" s="43" t="str">
        <f>IF(D116="Futures",[1]AB3!$AI$10,IF(D116="Options Sell",[1]AB3!$AI$16,IF(D116="Options Buy",[1]AB3!$AI$22)))</f>
        <v xml:space="preserve"> + </v>
      </c>
      <c r="AG118" s="77">
        <v>0.6</v>
      </c>
      <c r="AH118" s="78"/>
      <c r="AI118" s="48"/>
      <c r="AJ118" s="43" t="str">
        <f>IF(D116="Futures",[1]AB3!$AO$10,IF(D116="Options Sell",[1]AB3!$AO$16,IF(D116="Options Buy",[1]AB3!$AO$22)))</f>
        <v xml:space="preserve"> + </v>
      </c>
      <c r="AK118" s="43" t="str">
        <f t="array" ref="AK118">IF(A114="","",IF(D116="Futures",CONCATENATE([1]AB3!$AP$10,INDEX([1]AB2!L:L,MATCH(D114,[1]AB2!B:B,0)),[1]AB3!$AQ$10),IF(D116="Options Sell",CONCATENATE([1]AB3!$AP$16,INDEX([1]AB2!M:M,MATCH(D114,[1]AB2!B:B,0)),[1]AB3!$AQ$16),IF(D116="Options Buy",CONCATENATE([1]AB3!$AP$22,INDEX([1]AB2!L:L,MATCH(D114,[1]AB2!B:B,0)),[1]AB3!$AQ$22)))))</f>
        <v>OPT : PRV : 2DHH</v>
      </c>
      <c r="AL118" s="79">
        <v>7.0000000000000007E-2</v>
      </c>
      <c r="AM118" s="52">
        <f>J117</f>
        <v>1</v>
      </c>
      <c r="AN118" s="51">
        <f t="array" ref="AN118">IF(A114="","",IF(AND(OR(D118="1 &amp; APS",D118="2 &amp; APS",D118="3 &amp; APS",D118="4 &amp; APS",D118="5 &amp; APS"),D116="Futures"),CONCATENATE([1]AB3!$AP$10,INDEX([1]AB2!L:L,MATCH(D114,[1]AB2!B:B,0)),[1]AB3!$AQ$10),IF(AND(OR(D118="1 &amp; APS",D118="2 &amp; APS",D118="3 &amp; APS",D118="4 &amp; APS",D118="5 &amp; APS"),D116="Options Sell"),CONCATENATE([1]AB3!$AP$16,INDEX([1]AB2!M:M,MATCH(D114,[1]AB2!B:B,0)),[1]AB3!$AQ$16),IF(AND(OR(D118="1 &amp; APS",D118="2 &amp; APS",D118="3 &amp; APS",D118="4 &amp; APS",D118="5 &amp; APS"),D116="Options Buy"),CONCATENATE([1]AB3!$AP$22,INDEX([1]AB2!L:L,MATCH(D114,[1]AB2!B:B,0)),[1]AB3!$AQ$22),[1]AB3!$AR$6))))</f>
        <v>0</v>
      </c>
      <c r="AO118" s="58"/>
      <c r="AP118" s="52">
        <f t="shared" si="194"/>
        <v>0</v>
      </c>
      <c r="AQ118" s="51">
        <f t="array" ref="AQ118">IF(A114="","",IF(AND(OR(D118="2 &amp; APS",D118="3 &amp; APS",D118="4 &amp; APS",D118="5 &amp; APS"),D116="Futures"),CONCATENATE([1]AB3!$AP$10,INDEX([1]AB2!L:L,MATCH(D114,[1]AB2!B:B,0)),[1]AB3!$AQ$10),IF(AND(OR(D118="2 &amp; APS",D118="3 &amp; APS",D118="4 &amp; APS",D118="5 &amp; APS"),D116="Options Sell"),CONCATENATE([1]AB3!$AP$16,INDEX([1]AB2!M:M,MATCH(D114,[1]AB2!B:B,0)),[1]AB3!$AQ$16),IF(AND(OR(D118="2 &amp; APS",D118="3 &amp; APS",D118="4 &amp; APS",D118="5 &amp; APS"),D116="Options Buy"),CONCATENATE([1]AB3!$AP$22,INDEX([1]AB2!L:L,MATCH(D114,[1]AB2!B:B,0)),[1]AB3!$AQ$22),[1]AB3!$AR$6))))</f>
        <v>0</v>
      </c>
      <c r="AR118" s="58"/>
      <c r="AS118" s="52">
        <f t="shared" si="195"/>
        <v>0</v>
      </c>
      <c r="AT118" s="51">
        <f t="array" ref="AT118">IF(A114="","",IF(AND(OR(D118="3 &amp; APS",D118="4 &amp; APS",D118="5 &amp; APS"),D116="Futures"),CONCATENATE([1]AB3!$AP$10,INDEX([1]AB2!L:L,MATCH(D114,[1]AB2!B:B,0)),[1]AB3!$AQ$10),IF(AND(OR(D118="3 &amp; APS",D118="4 &amp; APS",D118="5 &amp; APS"),D116="Options Sell"),CONCATENATE([1]AB3!$AP$16,INDEX([1]AB2!M:M,MATCH(D114,[1]AB2!B:B,0)),[1]AB3!$AQ$16),IF(AND(OR(D118="3 &amp; APS",D118="4 &amp; APS",D118="5 &amp; APS"),D116="Options Buy"),CONCATENATE([1]AB3!$AP$22,INDEX([1]AB2!L:L,MATCH(D114,[1]AB2!B:B,0)),[1]AB3!$AQ$22),[1]AB3!$AR$6))))</f>
        <v>0</v>
      </c>
      <c r="AU118" s="58"/>
      <c r="AV118" s="52">
        <f t="shared" si="196"/>
        <v>0</v>
      </c>
      <c r="AW118" s="51">
        <f t="array" ref="AW118">IF(A114="","",IF(AND(OR(D118="4 &amp; APS",D118="5 &amp; APS"),D116="Futures"),CONCATENATE([1]AB3!$AP$10,INDEX([1]AB2!L:L,MATCH(D114,[1]AB2!B:B,0)),[1]AB3!$AQ$10),IF(AND(OR(D118="4 &amp; APS",D118="5 &amp; APS"),D116="Options Sell"),CONCATENATE([1]AB3!$AP$16,INDEX([1]AB2!M:M,MATCH(D114,[1]AB2!B:B,0)),[1]AB3!$AQ$16),IF(AND(OR(D118="4 &amp; APS",D118="5 &amp; APS"),D116="Options Buy"),CONCATENATE([1]AB3!$AP$22,INDEX([1]AB2!L:L,MATCH(D114,[1]AB2!B:B,0)),[1]AB3!$AQ$22),[1]AB3!$AR$6))))</f>
        <v>0</v>
      </c>
      <c r="AX118" s="58"/>
      <c r="AY118" s="52">
        <f t="shared" si="197"/>
        <v>0</v>
      </c>
      <c r="AZ118" s="51">
        <f t="array" ref="AZ118">IF(A114="","",IF(AND(D118="5 &amp; APS",D116="Futures"),CONCATENATE([1]AB3!$AP$10,INDEX([1]AB2!L:L,MATCH(D114,[1]AB2!B:B,0)),[1]AB3!$AQ$10),IF(AND(D118="5 &amp; APS",D116="Options Sell"),CONCATENATE([1]AB3!$AP$16,INDEX([1]AB2!M:M,MATCH(D114,[1]AB2!B:B,0)),[1]AB3!$AQ$16),IF(AND(D118="5 &amp; APS",D116="Options Buy"),CONCATENATE([1]AB3!$AP$22,INDEX([1]AB2!L:L,MATCH(D114,[1]AB2!B:B,0)),[1]AB3!$AQ$22),[1]AB3!$AR$6))))</f>
        <v>0</v>
      </c>
      <c r="BA118" s="58"/>
      <c r="BB118" s="52">
        <f t="shared" si="198"/>
        <v>0</v>
      </c>
      <c r="BC118" s="53"/>
      <c r="BD118" s="54" t="str">
        <f>IF(D116="Futures",[1]AB3!$BE$10,IF(D116="Options Sell",[1]AB3!$BE$16,IF(D116="Options Buy",[1]AB3!$BE$22)))</f>
        <v>Market End Time</v>
      </c>
      <c r="BE118" s="67">
        <f t="array" ref="BE118">IF(D114="","",INDEX([1]AB2!AH:AH,MATCH(D114,[1]AB2!B:B,0)))</f>
        <v>0.70833333333333337</v>
      </c>
      <c r="BF118" s="11"/>
      <c r="BG118" s="12"/>
      <c r="BH118" s="57"/>
      <c r="BI118" s="32"/>
      <c r="BJ118" s="61" t="str">
        <f>IF(D116="Futures",[1]AB3!$BK$10,IF(D116="Options Sell",[1]AB3!$BK$16,IF(D116="Options Buy",[1]AB3!$BK$22)))</f>
        <v>Put</v>
      </c>
      <c r="BK118" s="80">
        <v>7.4999999999999997E-2</v>
      </c>
      <c r="BL118" s="81">
        <v>7.0000000000000007E-2</v>
      </c>
      <c r="BM118" s="57"/>
      <c r="BN118" s="32"/>
      <c r="BO118" s="61" t="str">
        <f>IF(D116="Futures",[1]AB3!$BP$10,IF(D116="Options Sell",[1]AB3!$BP$16,IF(D116="Options Buy",[1]AB3!$BP$22)))</f>
        <v>Put</v>
      </c>
      <c r="BP118" s="43" t="str">
        <f t="array" ref="BP118">IF(A114="","",IF(D116="Futures","",IF(D116="EQUITY","",IF(D116="Options Sell",CONCATENATE([1]AB3!$BQ$16,INDEX([1]AB2!J:J,MATCH(A114,[1]AB2!A:A,0)),[1]AB3!$BR$16),IF(D116="Options Buy",CONCATENATE([1]AB3!$BQ$22,INDEX([1]AB2!J:J,MATCH(A114,[1]AB2!A:A,0)),[1]AB3!$BR$22))))))</f>
        <v>SPT : PRV : 3DHH</v>
      </c>
      <c r="BQ118" s="83" t="s">
        <v>55</v>
      </c>
      <c r="BR118" s="58">
        <v>0.02</v>
      </c>
      <c r="BS118" s="76" t="s">
        <v>56</v>
      </c>
      <c r="BT118" s="84" t="str">
        <f t="shared" si="199"/>
        <v>SPT : PRV : 3DHH</v>
      </c>
      <c r="BU118" s="85"/>
      <c r="BV118" s="58"/>
      <c r="BW118" s="76" t="s">
        <v>56</v>
      </c>
      <c r="BX118" s="82" t="s">
        <v>53</v>
      </c>
      <c r="BY118" s="76">
        <v>1</v>
      </c>
      <c r="BZ118" s="58"/>
      <c r="CA118" s="58"/>
      <c r="CB118" s="58"/>
      <c r="CC118" s="58"/>
      <c r="CD118" s="58"/>
      <c r="CE118" s="43" t="str">
        <f t="shared" si="200"/>
        <v>SPT : PRV : 3DHH</v>
      </c>
      <c r="CF118" s="58">
        <v>4.0000000000000001E-3</v>
      </c>
      <c r="CG118" s="43" t="str">
        <f t="shared" si="201"/>
        <v>SPT : PRV : 3DHH</v>
      </c>
      <c r="CH118" s="58">
        <v>2E-3</v>
      </c>
      <c r="CI118" s="75">
        <v>100</v>
      </c>
      <c r="CJ118" s="75">
        <v>1</v>
      </c>
      <c r="CK118" s="59"/>
      <c r="CL118" s="43"/>
      <c r="CM118" s="43"/>
      <c r="CN118" s="59"/>
      <c r="CO118" s="43"/>
      <c r="CP118" s="43"/>
      <c r="CQ118" s="59"/>
      <c r="CR118" s="58">
        <v>0.02</v>
      </c>
      <c r="CS118" s="43"/>
      <c r="CT118" s="59"/>
      <c r="CU118" s="43"/>
      <c r="CV118" s="59"/>
      <c r="CW118" s="59"/>
    </row>
    <row r="119" spans="1:101" ht="15.75" customHeight="1" x14ac:dyDescent="0.2">
      <c r="A119" s="1"/>
      <c r="B119" s="2"/>
      <c r="C119" s="2"/>
      <c r="D119" s="2"/>
      <c r="E119" s="2"/>
      <c r="F119" s="2"/>
      <c r="G119" s="2"/>
      <c r="H119" s="2"/>
      <c r="I119" s="96"/>
      <c r="J119" s="97"/>
      <c r="K119" s="2"/>
      <c r="L119" s="2"/>
      <c r="M119" s="2"/>
      <c r="N119" s="98"/>
      <c r="O119" s="2"/>
      <c r="P119" s="2"/>
      <c r="Q119" s="69"/>
      <c r="R119" s="69"/>
      <c r="S119" s="70"/>
      <c r="T119" s="70"/>
      <c r="U119" s="2"/>
      <c r="V119" s="2"/>
      <c r="W119" s="2"/>
      <c r="X119" s="2"/>
      <c r="Y119" s="2"/>
      <c r="Z119" s="2"/>
      <c r="AA119" s="20"/>
      <c r="AB119" s="71"/>
      <c r="AC119" s="71"/>
      <c r="AD119" s="2"/>
      <c r="AE119" s="70"/>
      <c r="AF119" s="70"/>
      <c r="AG119" s="100"/>
      <c r="AH119" s="100"/>
      <c r="AI119" s="2"/>
      <c r="AJ119" s="70"/>
      <c r="AK119" s="70"/>
      <c r="AL119" s="101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70"/>
      <c r="AX119" s="70"/>
      <c r="AY119" s="70"/>
      <c r="AZ119" s="70"/>
      <c r="BA119" s="70"/>
      <c r="BB119" s="70"/>
      <c r="BC119" s="70"/>
      <c r="BD119" s="70"/>
      <c r="BE119" s="70"/>
      <c r="BF119" s="70"/>
      <c r="BG119" s="70"/>
      <c r="BH119" s="70"/>
      <c r="BI119" s="70"/>
      <c r="BJ119" s="70"/>
      <c r="BK119" s="103"/>
      <c r="BL119" s="103"/>
      <c r="BM119" s="70"/>
      <c r="BN119" s="70"/>
      <c r="BO119" s="70"/>
      <c r="BP119" s="70"/>
      <c r="BQ119" s="70"/>
      <c r="BR119" s="70"/>
      <c r="BS119" s="104"/>
      <c r="BT119" s="70"/>
      <c r="BU119" s="70"/>
      <c r="BV119" s="70"/>
      <c r="BW119" s="70"/>
      <c r="BX119" s="70"/>
      <c r="BY119" s="70"/>
      <c r="BZ119" s="70"/>
      <c r="CA119" s="70"/>
      <c r="CB119" s="70"/>
      <c r="CC119" s="70"/>
      <c r="CD119" s="70"/>
      <c r="CE119" s="70"/>
      <c r="CF119" s="70"/>
      <c r="CG119" s="70"/>
      <c r="CH119" s="70"/>
      <c r="CI119" s="70"/>
      <c r="CJ119" s="70"/>
      <c r="CK119" s="70"/>
      <c r="CL119" s="2"/>
      <c r="CM119" s="2"/>
      <c r="CN119" s="70"/>
      <c r="CO119" s="70"/>
      <c r="CP119" s="70"/>
      <c r="CQ119" s="70"/>
      <c r="CR119" s="2"/>
      <c r="CS119" s="2"/>
      <c r="CT119" s="70"/>
      <c r="CU119" s="70"/>
      <c r="CV119" s="70"/>
      <c r="CW119" s="70"/>
    </row>
    <row r="120" spans="1:101" ht="15.75" customHeight="1" x14ac:dyDescent="0.2">
      <c r="A120" s="40">
        <v>20</v>
      </c>
      <c r="B120" s="41" t="str">
        <f>CONCATENATE(D120,IF(D122="Futures",[1]AB3!$B$6,IF(D122="Options Sell",[1]AB3!$B$12,IF(D122="Options Buy",[1]AB3!$B$18))))</f>
        <v>S20A</v>
      </c>
      <c r="C120" s="42" t="str">
        <f>IF(D122="Futures",[1]AB3!$C$6,IF(D122="Options Sell",[1]AB3!$C$12,IF(D122="Options Buy",[1]AB3!$C$18)))</f>
        <v>Strategy Code</v>
      </c>
      <c r="D120" s="43" t="str">
        <f t="array" ref="D120">IF(A120="","",INDEX([1]AB2!B:B,MATCH(A120,[1]AB2!A:A,0)))</f>
        <v>S20</v>
      </c>
      <c r="E120" s="44" t="str">
        <f>IF(D122="Futures",[1]AB3!$E$6,IF(D122="Options Sell",[1]AB3!$E$12,IF(D122="Options Buy",[1]AB3!$E$18)))</f>
        <v>Bull / 
Bull CF</v>
      </c>
      <c r="F120" s="45" t="str">
        <f>IF(D122="Futures",[1]AB3!$F$6,IF(D122="Options Sell",[1]AB3!$F$12,IF(D122="Options Buy",[1]AB3!$F$18)))</f>
        <v>Call</v>
      </c>
      <c r="G120" s="37" t="str">
        <f t="array" ref="G120">IF(A120="","",IF(D122="Futures",CONCATENATE([1]AB3!$G$6,INDEX([1]AB2!I:I,MATCH(D120,[1]AB2!B:B,0)),[1]AB3!$H$6),IF(D122="Options Sell",CONCATENATE([1]AB3!$G$12,INDEX([1]AB2!J:J,MATCH(D120,[1]AB2!B:B,0)),[1]AB3!$H$12),IF(D122="Options Buy",CONCATENATE([1]AB3!$G$18,INDEX([1]AB2!I:I,MATCH(D120,[1]AB2!B:B,0)),[1]AB3!$H$18)))))</f>
        <v>OPT : PRV : 3DLL</v>
      </c>
      <c r="H120" s="43" t="str">
        <f>IF(D122="Futures",[1]AB3!$I$6,IF(D122="Options Sell",[1]AB3!$I$12,IF(D122="Options Buy",[1]AB3!$I$18)))</f>
        <v xml:space="preserve"> - </v>
      </c>
      <c r="I120" s="72">
        <v>7.4999999999999997E-2</v>
      </c>
      <c r="J120" s="73">
        <v>1</v>
      </c>
      <c r="K120" s="48"/>
      <c r="L120" s="43" t="str">
        <f>IF(D122="Futures",[1]AB3!$M$6,IF(D122="Options Sell",[1]AB3!$M$12,IF(D122="Options Buy",[1]AB3!$M$18)))</f>
        <v xml:space="preserve">CE : Entry </v>
      </c>
      <c r="M120" s="43" t="str">
        <f>IF(D122="Futures",[1]AB3!$N$6,IF(D122="Options Sell",[1]AB3!$N$12,IF(D122="Options Buy",[1]AB3!$N$18)))</f>
        <v xml:space="preserve"> - </v>
      </c>
      <c r="N120" s="74">
        <v>0.6</v>
      </c>
      <c r="O120" s="75">
        <v>1</v>
      </c>
      <c r="P120" s="58"/>
      <c r="Q120" s="75"/>
      <c r="R120" s="58"/>
      <c r="S120" s="75"/>
      <c r="T120" s="58"/>
      <c r="U120" s="75"/>
      <c r="V120" s="76"/>
      <c r="W120" s="75"/>
      <c r="X120" s="76"/>
      <c r="Y120" s="76"/>
      <c r="Z120" s="48"/>
      <c r="AA120" s="43" t="str">
        <f>IF(D122="Futures",[1]AB3!$AD$6,IF(D122="Options Sell",[1]AB3!$AD$12,IF(D122="Options Buy",[1]AB3!$AD$18)))</f>
        <v>Min</v>
      </c>
      <c r="AB120" s="43" t="str">
        <f>IF(D122="Futures",[1]AB3!$AE$6,IF(D122="Options Sell",[1]AB3!$AE$12,IF(D122="Options Buy",[1]AB3!$AE$18)))</f>
        <v>MSL &amp; TSL</v>
      </c>
      <c r="AC120" s="43" t="str">
        <f>IF(D122="Futures",[1]AB3!$AF$6,IF(D122="Options Sell",[1]AB3!$AF$12,IF(D122="Options Buy",[1]AB3!$AF$18)))</f>
        <v>Entry &amp; TRP</v>
      </c>
      <c r="AD120" s="48"/>
      <c r="AE120" s="43" t="str">
        <f>IF(D122="Futures",[1]AB3!$AH$6,IF(D122="Options Sell",[1]AB3!$AH$12,IF(D122="Options Buy",[1]AB3!$AH$18)))</f>
        <v xml:space="preserve">CE : Entry </v>
      </c>
      <c r="AF120" s="43" t="str">
        <f>IF(D122="Futures",[1]AB3!$AI$6,IF(D122="Options Sell",[1]AB3!$AI$12,IF(D122="Options Buy",[1]AB3!$AI$18)))</f>
        <v xml:space="preserve"> + </v>
      </c>
      <c r="AG120" s="77">
        <v>0.6</v>
      </c>
      <c r="AH120" s="77">
        <v>0</v>
      </c>
      <c r="AI120" s="48"/>
      <c r="AJ120" s="43" t="str">
        <f>IF(D122="Futures",[1]AB3!$AO$6,IF(D122="Options Sell",[1]AB3!$AO$12,IF(D122="Options Buy",[1]AB3!$AO$18)))</f>
        <v xml:space="preserve"> + </v>
      </c>
      <c r="AK120" s="43" t="str">
        <f t="array" ref="AK120">IF(A120="","",IF(D122="Futures",CONCATENATE([1]AB3!$AP$6,INDEX([1]AB2!L:L,MATCH(D120,[1]AB2!B:B,0)),[1]AB3!$AQ$6),IF(D122="Options Sell",CONCATENATE([1]AB3!$AP$12,INDEX([1]AB2!M:M,MATCH(D120,[1]AB2!B:B,0)),[1]AB3!$AQ$12),IF(D122="Options Buy",CONCATENATE([1]AB3!$AP$18,INDEX([1]AB2!L:L,MATCH(D120,[1]AB2!B:B,0)),[1]AB3!$AQ$18)))))</f>
        <v>OPT : PRV : 2DHH</v>
      </c>
      <c r="AL120" s="79">
        <v>7.0000000000000007E-2</v>
      </c>
      <c r="AM120" s="52">
        <f>J121</f>
        <v>1</v>
      </c>
      <c r="AN120" s="51">
        <f t="array" ref="AN120">IF(A120="","",IF(AND(OR(D124="1 &amp; APS",D124="2 &amp; APS",D124="3 &amp; APS",D124="4 &amp; APS",D124="5 &amp; APS"),D122="Futures"),CONCATENATE([1]AB3!$AP$6,INDEX([1]AB2!L:L,MATCH(D120,[1]AB2!B:B,0)),[1]AB3!$AQ$6),IF(AND(OR(D124="1 &amp; APS",D124="2 &amp; APS",D124="3 &amp; APS",D124="4 &amp; APS",D124="5 &amp; APS"),D122="Options Sell"),CONCATENATE([1]AB3!$AP$12,INDEX([1]AB2!M:M,MATCH(D120,[1]AB2!B:B,0)),[1]AB3!$AQ$12),IF(AND(OR(D124="1 &amp; APS",D124="2 &amp; APS",D124="3 &amp; APS",D124="4 &amp; APS",D124="5 &amp; APS"),D122="Options Buy"),CONCATENATE([1]AB3!$AP$18,INDEX([1]AB2!L:L,MATCH(D120,[1]AB2!B:B,0)),[1]AB3!$AQ$18),[1]AB3!$AR$6))))</f>
        <v>0</v>
      </c>
      <c r="AO120" s="58"/>
      <c r="AP120" s="52">
        <f t="shared" ref="AP120:AP121" si="202">AM120-O120</f>
        <v>0</v>
      </c>
      <c r="AQ120" s="51">
        <f t="array" ref="AQ120">IF(A120="","",IF(AND(OR(D124="2 &amp; APS",D124="3 &amp; APS",D124="4 &amp; APS",D124="5 &amp; APS"),D122="Futures"),CONCATENATE([1]AB3!$AP$6,INDEX([1]AB2!L:L,MATCH(D120,[1]AB2!B:B,0)),[1]AB3!$AQ$6),IF(AND(OR(D124="2 &amp; APS",D124="3 &amp; APS",D124="4 &amp; APS",D124="5 &amp; APS"),D122="Options Sell"),CONCATENATE([1]AB3!$AP$12,INDEX([1]AB2!M:M,MATCH(D120,[1]AB2!B:B,0)),[1]AB3!$AQ$12),IF(AND(OR(D124="2 &amp; APS",D124="3 &amp; APS",D124="4 &amp; APS",D124="5 &amp; APS"),D122="Options Buy"),CONCATENATE([1]AB3!$AP$18,INDEX([1]AB2!L:L,MATCH(D120,[1]AB2!B:B,0)),[1]AB3!$AQ$18),[1]AB3!$AR$6))))</f>
        <v>0</v>
      </c>
      <c r="AR120" s="58"/>
      <c r="AS120" s="52">
        <f t="shared" ref="AS120:AS121" si="203">AP120-Q120</f>
        <v>0</v>
      </c>
      <c r="AT120" s="51">
        <f t="array" ref="AT120">IF(A120="","",IF(AND(OR(D124="3 &amp; APS",D124="4 &amp; APS",D124="5 &amp; APS"),D122="Futures"),CONCATENATE([1]AB3!$AP$6,INDEX([1]AB2!L:L,MATCH(D120,[1]AB2!B:B,0)),[1]AB3!$AQ$6),IF(AND(OR(D124="3 &amp; APS",D124="4 &amp; APS",D124="5 &amp; APS"),D122="Options Sell"),CONCATENATE([1]AB3!$AP$12,INDEX([1]AB2!M:M,MATCH(D120,[1]AB2!B:B,0)),[1]AB3!$AQ$12),IF(AND(OR(D124="3 &amp; APS",D124="4 &amp; APS",D124="5 &amp; APS"),D122="Options Buy"),CONCATENATE([1]AB3!$AP$18,INDEX([1]AB2!L:L,MATCH(D120,[1]AB2!B:B,0)),[1]AB3!$AQ$18),[1]AB3!$AR$6))))</f>
        <v>0</v>
      </c>
      <c r="AU120" s="58"/>
      <c r="AV120" s="52">
        <f t="shared" ref="AV120:AV121" si="204">AS120-S120</f>
        <v>0</v>
      </c>
      <c r="AW120" s="51">
        <f t="array" ref="AW120">IF(A120="","",IF(AND(OR(D124="4 &amp; APS",D124="5 &amp; APS"),D122="Futures"),CONCATENATE([1]AB3!$AP$6,INDEX([1]AB2!L:L,MATCH(D120,[1]AB2!B:B,0)),[1]AB3!$AQ$6),IF(AND(OR(D124="4 &amp; APS",D124="5 &amp; APS"),D122="Options Sell"),CONCATENATE([1]AB3!$AP$12,INDEX([1]AB2!M:M,MATCH(D120,[1]AB2!B:B,0)),[1]AB3!$AQ$12),IF(AND(OR(D124="4 &amp; APS",D124="5 &amp; APS"),D122="Options Buy"),CONCATENATE([1]AB3!$AP$18,INDEX([1]AB2!L:L,MATCH(D120,[1]AB2!B:B,0)),[1]AB3!$AQ$18),[1]AB3!$AR$6))))</f>
        <v>0</v>
      </c>
      <c r="AX120" s="58"/>
      <c r="AY120" s="52">
        <f t="shared" ref="AY120:AY121" si="205">AV120-S120</f>
        <v>0</v>
      </c>
      <c r="AZ120" s="51">
        <f t="array" ref="AZ120">IF(A120="","",IF(AND(D124="5 &amp; APS",D122="Futures"),CONCATENATE([1]AB3!$AP$6,INDEX([1]AB2!L:L,MATCH(D120,[1]AB2!B:B,0)),[1]AB3!$AQ$6),IF(AND(D124="5 &amp; APS",D122="Options Sell"),CONCATENATE([1]AB3!$AP$12,INDEX([1]AB2!M:M,MATCH(D120,[1]AB2!B:B,0)),[1]AB3!$AQ$12),IF(AND(D124="5 &amp; APS",D122="Options Buy"),CONCATENATE([1]AB3!$AP$18,INDEX([1]AB2!L:L,MATCH(D120,[1]AB2!B:B,0)),[1]AB3!$AQ$18),[1]AB3!$AR$6))))</f>
        <v>0</v>
      </c>
      <c r="BA120" s="58"/>
      <c r="BB120" s="52">
        <f t="shared" ref="BB120:BB121" si="206">AY120-W120</f>
        <v>0</v>
      </c>
      <c r="BC120" s="53"/>
      <c r="BD120" s="54" t="str">
        <f>IF(D122="Futures",[1]AB3!$BE$6,IF(D122="Options Sell",[1]AB3!$BE$12,IF(D122="Options Buy",[1]AB3!$BE$18)))</f>
        <v xml:space="preserve">ORPT </v>
      </c>
      <c r="BE120" s="55">
        <f>IF(D122="Futures",BE123+([1]AB3!$BF$6/1440),IF(D122="Options Sell",BE123+([1]AB3!$BF$12/1440),IF(D122="Options Buy",BE123+([1]AB3!$BF$18/1440))))</f>
        <v>0.39235416666666667</v>
      </c>
      <c r="BF120" s="55">
        <f>IF(D122="Futures",BE123+([1]AB3!$BG$6/1440),IF(D122="Options Sell",BE123+([1]AB3!$BG$12/1440),IF(D122="Options Buy",BE123+([1]AB3!$BG$18/1440))))</f>
        <v>0.39235416666666667</v>
      </c>
      <c r="BG120" s="55">
        <f>IF(D122="Futures",BE123+([1]AB3!$BH$6/1440),IF(D122="Options Sell",BE123+([1]AB3!$BH$12/1440),IF(D122="Options Buy",BE123+([1]AB3!$BH$18/1440))))</f>
        <v>0.38541666666666669</v>
      </c>
      <c r="BH120" s="57"/>
      <c r="BI120" s="44" t="str">
        <f>IF(D122="Futures",[1]AB3!$BJ$6,IF(D122="Options Sell",[1]AB3!$BJ$12,IF(D122="Options Buy",[1]AB3!$BJ$18)))</f>
        <v>Bull / 
Bull CF</v>
      </c>
      <c r="BJ120" s="45" t="str">
        <f>IF(D122="Futures",[1]AB3!$BK$6,IF(D122="Options Sell",[1]AB3!$BK$12,IF(D122="Options Buy",[1]AB3!$BK$18)))</f>
        <v>Call</v>
      </c>
      <c r="BK120" s="80">
        <v>7.4999999999999997E-2</v>
      </c>
      <c r="BL120" s="81">
        <v>7.0000000000000007E-2</v>
      </c>
      <c r="BM120" s="57"/>
      <c r="BN120" s="44" t="str">
        <f>IF(D122="Futures",[1]AB3!$BO$6,IF(D122="Options Sell",[1]AB3!$BO$12,IF(D122="Options Buy",[1]AB3!$BO$18)))</f>
        <v>Bull | 
Bull CF</v>
      </c>
      <c r="BO120" s="45" t="str">
        <f>IF(D122="Futures",[1]AB3!$BP$6,IF(D122="Options Sell",[1]AB3!$BP$12,IF(D122="Options Buy",[1]AB3!$BP$18)))</f>
        <v>Call</v>
      </c>
      <c r="BP120" s="43" t="str">
        <f t="array" ref="BP120">IF(A120="","",IF(D122="Futures","",IF(D122="EQUITY","",IF(D122="Options Sell",CONCATENATE([1]AB3!$BQ$12,INDEX([1]AB2!J:J,MATCH(A120,[1]AB2!A:A,0)),[1]AB3!$BR$12),IF(D122="Options Buy",CONCATENATE([1]AB3!$BQ$18,INDEX([1]AB2!J:J,MATCH(A120,[1]AB2!A:A,0)),[1]AB3!$BR$18))))))</f>
        <v>SPT : PRV : 3DLL</v>
      </c>
      <c r="BQ120" s="82" t="s">
        <v>53</v>
      </c>
      <c r="BR120" s="58">
        <v>0.05</v>
      </c>
      <c r="BS120" s="76" t="s">
        <v>54</v>
      </c>
      <c r="BT120" s="37" t="str">
        <f t="shared" ref="BT120:BT121" si="207">BP120</f>
        <v>SPT : PRV : 3DLL</v>
      </c>
      <c r="BU120" s="76"/>
      <c r="BV120" s="58"/>
      <c r="BW120" s="76" t="s">
        <v>54</v>
      </c>
      <c r="BX120" s="82" t="s">
        <v>55</v>
      </c>
      <c r="BY120" s="76">
        <v>1</v>
      </c>
      <c r="BZ120" s="58"/>
      <c r="CA120" s="58"/>
      <c r="CB120" s="58"/>
      <c r="CC120" s="58"/>
      <c r="CD120" s="58"/>
      <c r="CE120" s="43" t="str">
        <f t="shared" ref="CE120:CE121" si="208">BP120</f>
        <v>SPT : PRV : 3DLL</v>
      </c>
      <c r="CF120" s="58">
        <v>1.4999999999999999E-2</v>
      </c>
      <c r="CG120" s="43" t="str">
        <f t="shared" ref="CG120:CG121" si="209">CE120</f>
        <v>SPT : PRV : 3DLL</v>
      </c>
      <c r="CH120" s="58">
        <v>1.0999999999999999E-2</v>
      </c>
      <c r="CI120" s="75">
        <v>500</v>
      </c>
      <c r="CJ120" s="75">
        <v>1</v>
      </c>
      <c r="CK120" s="59"/>
      <c r="CL120" s="43"/>
      <c r="CM120" s="43"/>
      <c r="CN120" s="59"/>
      <c r="CO120" s="43"/>
      <c r="CP120" s="43"/>
      <c r="CQ120" s="59"/>
      <c r="CR120" s="58">
        <v>0.05</v>
      </c>
      <c r="CS120" s="58"/>
      <c r="CT120" s="59"/>
      <c r="CU120" s="55">
        <f>IF(D122="Futures",BE124-([1]AB3!$CG$6/1440),IF(D122="Options Sell",BE124-([1]AB3!$CG$12/1440),IF(D122="Options Buy",BE124-([1]AB3!$CG$18/1440),IF(D122="EQUITY",""))))</f>
        <v>0.625</v>
      </c>
      <c r="CV120" s="59"/>
      <c r="CW120" s="59"/>
    </row>
    <row r="121" spans="1:101" ht="15.75" customHeight="1" x14ac:dyDescent="0.2">
      <c r="A121" s="60"/>
      <c r="B121" s="41" t="str">
        <f>CONCATENATE(D120,IF(D122="Futures",[1]AB3!$B$7,IF(D122="Options Sell",[1]AB3!$B$13,IF(D122="Options Buy",[1]AB3!$B$19))))</f>
        <v>S20B</v>
      </c>
      <c r="C121" s="42" t="str">
        <f>IF(D122="Futures",[1]AB3!$C$7,IF(D122="Options Sell",[1]AB3!$C$13,IF(D122="Options Buy",[1]AB3!$C$19)))</f>
        <v>Unique Code</v>
      </c>
      <c r="D121" s="43" t="str">
        <f t="array" ref="D121">IF(A120="","",INDEX([1]AB2!N:N,MATCH(D120,[1]AB2!B:B,0)))</f>
        <v>BANKNIFTY_OP_SELL_WK_DIFF_2D_3D</v>
      </c>
      <c r="E121" s="32"/>
      <c r="F121" s="61" t="str">
        <f>IF(D122="Futures",[1]AB3!$F$7,IF(D122="Options Sell",[1]AB3!$F$13,IF(D122="Options Buy",[1]AB3!$F$19)))</f>
        <v>Put</v>
      </c>
      <c r="G121" s="84" t="str">
        <f t="array" ref="G121">IF(A120="","",IF(D122="Futures",CONCATENATE([1]AB3!$G$7,INDEX([1]AB2!J:J,MATCH(D120,[1]AB2!B:B,0)),[1]AB3!$H$7),IF(D122="Options Sell",CONCATENATE([1]AB3!$G$13,INDEX([1]AB2!I:I,MATCH(D120,[1]AB2!B:B,0)),[1]AB3!$H$13),IF(D122="Options Buy",CONCATENATE([1]AB3!$G$19,INDEX([1]AB2!J:J,MATCH(D120,[1]AB2!B:B,0)),[1]AB3!$H$19)))))</f>
        <v>OPT : PRV : 2DLL</v>
      </c>
      <c r="H121" s="43" t="str">
        <f>IF(D122="Futures",[1]AB3!$I$7,IF(D122="Options Sell",[1]AB3!$I$13,IF(D122="Options Buy",[1]AB3!$I$19)))</f>
        <v xml:space="preserve"> - </v>
      </c>
      <c r="I121" s="72">
        <v>7.4999999999999997E-2</v>
      </c>
      <c r="J121" s="73">
        <v>1</v>
      </c>
      <c r="K121" s="48"/>
      <c r="L121" s="43" t="str">
        <f>IF(D122="Futures",[1]AB3!$M$7,IF(D122="Options Sell",[1]AB3!$M$13,IF(D122="Options Buy",[1]AB3!$M$19)))</f>
        <v xml:space="preserve">PE : Entry </v>
      </c>
      <c r="M121" s="43" t="str">
        <f>IF(D122="Futures",[1]AB3!$N$7,IF(D122="Options Sell",[1]AB3!$N$13,IF(D122="Options Buy",[1]AB3!$N$19)))</f>
        <v xml:space="preserve"> - </v>
      </c>
      <c r="N121" s="74">
        <v>0.6</v>
      </c>
      <c r="O121" s="75">
        <v>1</v>
      </c>
      <c r="P121" s="58"/>
      <c r="Q121" s="75"/>
      <c r="R121" s="58"/>
      <c r="S121" s="75"/>
      <c r="T121" s="58"/>
      <c r="U121" s="75"/>
      <c r="V121" s="76"/>
      <c r="W121" s="75"/>
      <c r="X121" s="76"/>
      <c r="Y121" s="76"/>
      <c r="Z121" s="48"/>
      <c r="AA121" s="43" t="str">
        <f>IF(D122="Futures",[1]AB3!$AD$7,IF(D122="Options Sell",[1]AB3!$AD$13,IF(D122="Options Buy",[1]AB3!$AD$19)))</f>
        <v>Min</v>
      </c>
      <c r="AB121" s="43" t="str">
        <f>IF(D122="Futures",[1]AB3!$AE$7,IF(D122="Options Sell",[1]AB3!$AE$13,IF(D122="Options Buy",[1]AB3!$AE$19)))</f>
        <v>MSL &amp; TSL</v>
      </c>
      <c r="AC121" s="43" t="str">
        <f>IF(D122="Futures",[1]AB3!$AF$7,IF(D122="Options Sell",[1]AB3!$AF$13,IF(D122="Options Buy",[1]AB3!$AF$19)))</f>
        <v>Entry &amp; TRP</v>
      </c>
      <c r="AD121" s="48"/>
      <c r="AE121" s="43" t="str">
        <f>IF(D122="Futures",[1]AB3!$AH$7,IF(D122="Options Sell",[1]AB3!$AH$13,IF(D122="Options Buy",[1]AB3!$AH$19)))</f>
        <v xml:space="preserve">PE : Entry </v>
      </c>
      <c r="AF121" s="43" t="str">
        <f>IF(D122="Futures",[1]AB3!$AI$7,IF(D122="Options Sell",[1]AB3!$AI$13,IF(D122="Options Buy",[1]AB3!$AI$19)))</f>
        <v xml:space="preserve"> + </v>
      </c>
      <c r="AG121" s="77">
        <v>0.6</v>
      </c>
      <c r="AH121" s="77">
        <v>0</v>
      </c>
      <c r="AI121" s="48"/>
      <c r="AJ121" s="43" t="str">
        <f>IF(D122="Futures",[1]AB3!$AO$7,IF(D122="Options Sell",[1]AB3!$AO$13,IF(D122="Options Buy",[1]AB3!$AO$19)))</f>
        <v xml:space="preserve"> + </v>
      </c>
      <c r="AK121" s="43" t="str">
        <f t="array" ref="AK121">IF(A120="","",IF(D122="Futures",CONCATENATE([1]AB3!$AP$7,INDEX([1]AB2!M:M,MATCH(D120,[1]AB2!B:B,0)),[1]AB3!$AQ$7),IF(D122="Options Sell",CONCATENATE([1]AB3!$AP$13,INDEX([1]AB2!L:L,MATCH(D120,[1]AB2!B:B,0)),[1]AB3!$AQ$13),IF(D122="Options Buy",CONCATENATE([1]AB3!$AP$19,INDEX([1]AB2!M:M,MATCH(D120,[1]AB2!B:B,0)),[1]AB3!$AQ$19)))))</f>
        <v>OPT : PRV : 3DHH</v>
      </c>
      <c r="AL121" s="79">
        <v>0.1</v>
      </c>
      <c r="AM121" s="52">
        <f>J120</f>
        <v>1</v>
      </c>
      <c r="AN121" s="51">
        <f t="array" ref="AN121">IF(A120="","",IF(AND(OR(D124="1 &amp; APS",D124="2 &amp; APS",D124="3 &amp; APS",D124="4 &amp; APS",D124="5 &amp; APS"),D122="Futures"),CONCATENATE([1]AB3!$AP$7,INDEX([1]AB2!M:M,MATCH(D120,[1]AB2!B:B,0)),[1]AB3!$AQ$7),IF(AND(OR(D124="1 &amp; APS",D124="2 &amp; APS",D124="3 &amp; APS",D124="4 &amp; APS",D124="5 &amp; APS"),D122="Options Sell"),CONCATENATE([1]AB3!$AP$13,INDEX([1]AB2!L:L,MATCH(D120,[1]AB2!B:B,0)),[1]AB3!$AQ$13),IF(AND(OR(D124="1 &amp; APS",D124="2 &amp; APS",D124="3 &amp; APS",D124="4 &amp; APS",D124="5 &amp; APS"),D122="Options Buy"),CONCATENATE([1]AB3!$AP$19,INDEX([1]AB2!M:M,MATCH(D120,[1]AB2!B:B,0)),[1]AB3!$AQ$19),[1]AB3!$AR$6))))</f>
        <v>0</v>
      </c>
      <c r="AO121" s="58"/>
      <c r="AP121" s="52">
        <f t="shared" si="202"/>
        <v>0</v>
      </c>
      <c r="AQ121" s="51">
        <f t="array" ref="AQ121">IF(A120="","",IF(AND(OR(D124="2 &amp; APS",D124="3 &amp; APS",D124="4 &amp; APS",D124="5 &amp; APS"),D122="Futures"),CONCATENATE([1]AB3!$AP$7,INDEX([1]AB2!M:M,MATCH(D120,[1]AB2!B:B,0)),[1]AB3!$AQ$7),IF(AND(OR(D124="2 &amp; APS",D124="3 &amp; APS",D124="4 &amp; APS",D124="5 &amp; APS"),D122="Options Sell"),CONCATENATE([1]AB3!$AP$13,INDEX([1]AB2!L:L,MATCH(D120,[1]AB2!B:B,0)),[1]AB3!$AQ$13),IF(AND(OR(D124="2 &amp; APS",D124="3 &amp; APS",D124="4 &amp; APS",D124="5 &amp; APS"),D122="Options Buy"),CONCATENATE([1]AB3!$AP$19,INDEX([1]AB2!M:M,MATCH(D120,[1]AB2!B:B,0)),[1]AB3!$AQ$19),[1]AB3!$AR$6))))</f>
        <v>0</v>
      </c>
      <c r="AR121" s="58"/>
      <c r="AS121" s="52">
        <f t="shared" si="203"/>
        <v>0</v>
      </c>
      <c r="AT121" s="51">
        <f t="array" ref="AT121">IF(A120="","",IF(AND(OR(D124="3 &amp; APS",D124="4 &amp; APS",D124="5 &amp; APS"),D122="Futures"),CONCATENATE([1]AB3!$AP$7,INDEX([1]AB2!M:M,MATCH(D120,[1]AB2!B:B,0)),[1]AB3!$AQ$7),IF(AND(OR(D124="3 &amp; APS",D124="4 &amp; APS",D124="5 &amp; APS"),D122="Options Sell"),CONCATENATE([1]AB3!$AP$13,INDEX([1]AB2!L:L,MATCH(D120,[1]AB2!B:B,0)),[1]AB3!$AQ$13),IF(AND(OR(D124="3 &amp; APS",D124="4 &amp; APS",D124="5 &amp; APS"),D122="Options Buy"),CONCATENATE([1]AB3!$AP$19,INDEX([1]AB2!M:M,MATCH(D120,[1]AB2!B:B,0)),[1]AB3!$AQ$19),[1]AB3!$AR$6))))</f>
        <v>0</v>
      </c>
      <c r="AU121" s="58"/>
      <c r="AV121" s="52">
        <f t="shared" si="204"/>
        <v>0</v>
      </c>
      <c r="AW121" s="51">
        <f t="array" ref="AW121">IF(A120="","",IF(AND(OR(D124="4 &amp; APS",D124="5 &amp; APS"),D122="Futures"),CONCATENATE([1]AB3!$AP$7,INDEX([1]AB2!M:M,MATCH(D120,[1]AB2!B:B,0)),[1]AB3!$AQ$7),IF(AND(OR(D124="4 &amp; APS",D124="5 &amp; APS"),D122="Options Sell"),CONCATENATE([1]AB3!$AP$13,INDEX([1]AB2!L:L,MATCH(D120,[1]AB2!B:B,0)),[1]AB3!$AQ$13),IF(AND(OR(D124="4 &amp; APS",D124="5 &amp; APS"),D122="Options Buy"),CONCATENATE([1]AB3!$AP$19,INDEX([1]AB2!M:M,MATCH(D120,[1]AB2!B:B,0)),[1]AB3!$AQ$19),[1]AB3!$AR$6))))</f>
        <v>0</v>
      </c>
      <c r="AX121" s="58"/>
      <c r="AY121" s="52">
        <f t="shared" si="205"/>
        <v>0</v>
      </c>
      <c r="AZ121" s="51">
        <f t="array" ref="AZ121">IF(A120="","",IF(AND(D124="5 &amp; APS",D122="Futures"),CONCATENATE([1]AB3!$AP$7,INDEX([1]AB2!M:M,MATCH(D120,[1]AB2!B:B,0)),[1]AB3!$AQ$7),IF(AND(D124="5 &amp; APS",D122="Options Sell"),CONCATENATE([1]AB3!$AP$13,INDEX([1]AB2!L:L,MATCH(D120,[1]AB2!B:B,0)),[1]AB3!$AQ$13),IF(AND(D124="5 &amp; APS",D122="Options Buy"),CONCATENATE([1]AB3!$AP$19,INDEX([1]AB2!M:M,MATCH(D120,[1]AB2!B:B,0)),[1]AB3!$AQ$19),[1]AB3!$AR$6))))</f>
        <v>0</v>
      </c>
      <c r="BA121" s="58"/>
      <c r="BB121" s="52">
        <f t="shared" si="206"/>
        <v>0</v>
      </c>
      <c r="BC121" s="53"/>
      <c r="BD121" s="54" t="str">
        <f>IF(D122="Futures",[1]AB3!$BE$7,IF(D122="Options Sell",[1]AB3!$BE$13,IF(D122="Options Buy",[1]AB3!$BE$19)))</f>
        <v xml:space="preserve"> RC. Time</v>
      </c>
      <c r="BE121" s="55">
        <f>IF(D122="Futures",BE123+([1]AB3!$BF$7/1440),IF(D122="Options Sell",BE123+([1]AB3!$BF$13/1440),IF(D122="Options Buy",BE123+([1]AB3!$BF$19/1440))))</f>
        <v>0.39582638888888888</v>
      </c>
      <c r="BF121" s="55">
        <f>IF(D122="Futures",BE123+([1]AB3!$BG$7/1440),IF(D122="Options Sell",BE123+([1]AB3!$BG$13/1440),IF(D122="Options Buy",BE123+([1]AB3!$BG$19/1440))))</f>
        <v>0.39582638888888888</v>
      </c>
      <c r="BG121" s="55" t="str">
        <f>IF(D122="Futures",[1]AB3!$BH$7,IF(D122="Options Sell",[1]AB3!$BH$7,IF(D122="Options Buy",[1]AB3!$BH$7)))</f>
        <v>N.A.</v>
      </c>
      <c r="BH121" s="57"/>
      <c r="BI121" s="32"/>
      <c r="BJ121" s="61" t="str">
        <f>IF(D122="Futures",[1]AB3!$BK$7,IF(D122="Options Sell",[1]AB3!$BK$13,IF(D122="Options Buy",[1]AB3!$BK$19)))</f>
        <v>Put</v>
      </c>
      <c r="BK121" s="80">
        <v>7.4999999999999997E-2</v>
      </c>
      <c r="BL121" s="81">
        <v>0.1</v>
      </c>
      <c r="BM121" s="57"/>
      <c r="BN121" s="32"/>
      <c r="BO121" s="61" t="str">
        <f>IF(D122="Futures",[1]AB3!$BP$7,IF(D122="Options Sell",[1]AB3!$BP$13,IF(D122="Options Buy",[1]AB3!$BP$19)))</f>
        <v>Put</v>
      </c>
      <c r="BP121" s="43" t="str">
        <f t="array" ref="BP121">IF(A120="","",IF(D122="Futures","",IF(D122="EQUITY","",IF(D122="Options Sell",CONCATENATE([1]AB3!$BQ$13,INDEX([1]AB2!I:I,MATCH(A120,[1]AB2!A:A,0)),[1]AB3!$BR$13),IF(D122="Options Buy",CONCATENATE([1]AB3!$BQ$19,INDEX([1]AB2!I:I,MATCH(A120,[1]AB2!A:A,0)),[1]AB3!$BR$19))))))</f>
        <v>SPT : PRV : 2DHH</v>
      </c>
      <c r="BQ121" s="83" t="s">
        <v>55</v>
      </c>
      <c r="BR121" s="58">
        <v>0.05</v>
      </c>
      <c r="BS121" s="76" t="s">
        <v>56</v>
      </c>
      <c r="BT121" s="84" t="str">
        <f t="shared" si="207"/>
        <v>SPT : PRV : 2DHH</v>
      </c>
      <c r="BU121" s="85"/>
      <c r="BV121" s="58"/>
      <c r="BW121" s="76" t="s">
        <v>56</v>
      </c>
      <c r="BX121" s="82" t="s">
        <v>53</v>
      </c>
      <c r="BY121" s="76">
        <v>1</v>
      </c>
      <c r="BZ121" s="58"/>
      <c r="CA121" s="58"/>
      <c r="CB121" s="58"/>
      <c r="CC121" s="58"/>
      <c r="CD121" s="58"/>
      <c r="CE121" s="43" t="str">
        <f t="shared" si="208"/>
        <v>SPT : PRV : 2DHH</v>
      </c>
      <c r="CF121" s="58">
        <v>1.4999999999999999E-2</v>
      </c>
      <c r="CG121" s="43" t="str">
        <f t="shared" si="209"/>
        <v>SPT : PRV : 2DHH</v>
      </c>
      <c r="CH121" s="58">
        <v>1.0999999999999999E-2</v>
      </c>
      <c r="CI121" s="75">
        <v>500</v>
      </c>
      <c r="CJ121" s="75">
        <v>1</v>
      </c>
      <c r="CK121" s="59"/>
      <c r="CL121" s="43"/>
      <c r="CM121" s="43"/>
      <c r="CN121" s="59"/>
      <c r="CO121" s="43"/>
      <c r="CP121" s="43"/>
      <c r="CQ121" s="59"/>
      <c r="CR121" s="58">
        <v>0.05</v>
      </c>
      <c r="CS121" s="58"/>
      <c r="CT121" s="59"/>
      <c r="CU121" s="43"/>
      <c r="CV121" s="59"/>
      <c r="CW121" s="59"/>
    </row>
    <row r="122" spans="1:101" ht="15.75" customHeight="1" x14ac:dyDescent="0.2">
      <c r="A122" s="60"/>
      <c r="B122" s="41" t="str">
        <f>CONCATENATE(D120,IF(D122="Futures",[1]AB3!$B$8,IF(D122="Options Sell",[1]AB3!$B$14,IF(D122="Options Buy",[1]AB3!$B$20))))</f>
        <v>S20C</v>
      </c>
      <c r="C122" s="42" t="str">
        <f>IF(D122="Futures",[1]AB3!$C$8,IF(D122="Options Sell",[1]AB3!$C$14,IF(D122="Options Buy",[1]AB3!$C$20)))</f>
        <v>Segment</v>
      </c>
      <c r="D122" s="43" t="str">
        <f t="array" ref="D122">IF(A120="","",INDEX([1]AB2!C:C,MATCH(D120,[1]AB2!B:B,0)))</f>
        <v>OPTIONS SELL</v>
      </c>
      <c r="E122" s="42" t="str">
        <f>IF(D122="Futures",[1]AB3!$E$8,IF(D122="Options Sell",[1]AB3!$E$14,IF(D122="Options Buy",[1]AB3!$E$20)))</f>
        <v>Contract</v>
      </c>
      <c r="F122" s="43" t="str">
        <f t="array" ref="F122">IF(A120="","",INDEX([1]AB2!F:F,MATCH(D120,[1]AB2!B:B,0)))</f>
        <v>WEEKLY</v>
      </c>
      <c r="G122" s="105"/>
      <c r="H122" s="62"/>
      <c r="I122" s="86"/>
      <c r="J122" s="87"/>
      <c r="K122" s="48"/>
      <c r="L122" s="62"/>
      <c r="M122" s="62"/>
      <c r="N122" s="88"/>
      <c r="O122" s="89"/>
      <c r="P122" s="62"/>
      <c r="Q122" s="89"/>
      <c r="R122" s="62"/>
      <c r="S122" s="89"/>
      <c r="T122" s="62"/>
      <c r="U122" s="89"/>
      <c r="V122" s="62"/>
      <c r="W122" s="89"/>
      <c r="X122" s="62"/>
      <c r="Y122" s="62"/>
      <c r="Z122" s="48"/>
      <c r="AA122" s="62"/>
      <c r="AB122" s="62"/>
      <c r="AC122" s="62"/>
      <c r="AD122" s="48"/>
      <c r="AE122" s="62"/>
      <c r="AF122" s="62"/>
      <c r="AG122" s="90"/>
      <c r="AH122" s="90"/>
      <c r="AI122" s="48"/>
      <c r="AJ122" s="62"/>
      <c r="AK122" s="62"/>
      <c r="AL122" s="91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  <c r="BA122" s="62"/>
      <c r="BB122" s="62"/>
      <c r="BC122" s="53"/>
      <c r="BD122" s="57"/>
      <c r="BE122" s="57"/>
      <c r="BF122" s="57"/>
      <c r="BG122" s="57"/>
      <c r="BH122" s="57"/>
      <c r="BI122" s="66"/>
      <c r="BJ122" s="62"/>
      <c r="BK122" s="92"/>
      <c r="BL122" s="92"/>
      <c r="BM122" s="57"/>
      <c r="BN122" s="66"/>
      <c r="BO122" s="62"/>
      <c r="BP122" s="62"/>
      <c r="BQ122" s="93"/>
      <c r="BR122" s="62"/>
      <c r="BS122" s="62"/>
      <c r="BT122" s="94"/>
      <c r="BU122" s="93"/>
      <c r="BV122" s="62"/>
      <c r="BW122" s="62"/>
      <c r="BX122" s="62"/>
      <c r="BY122" s="62"/>
      <c r="BZ122" s="62"/>
      <c r="CA122" s="62"/>
      <c r="CB122" s="62"/>
      <c r="CC122" s="62"/>
      <c r="CD122" s="62"/>
      <c r="CE122" s="62"/>
      <c r="CF122" s="62"/>
      <c r="CG122" s="62"/>
      <c r="CH122" s="62"/>
      <c r="CI122" s="62"/>
      <c r="CJ122" s="62"/>
      <c r="CK122" s="59"/>
      <c r="CL122" s="62"/>
      <c r="CM122" s="62"/>
      <c r="CN122" s="59"/>
      <c r="CO122" s="62"/>
      <c r="CP122" s="62"/>
      <c r="CQ122" s="59"/>
      <c r="CR122" s="62"/>
      <c r="CS122" s="62"/>
      <c r="CT122" s="59"/>
      <c r="CU122" s="62"/>
      <c r="CV122" s="59"/>
      <c r="CW122" s="59"/>
    </row>
    <row r="123" spans="1:101" ht="15.75" customHeight="1" x14ac:dyDescent="0.2">
      <c r="A123" s="60"/>
      <c r="B123" s="41" t="str">
        <f>CONCATENATE(D120,IF(D122="Futures",[1]AB3!$B$9,IF(D122="Options Sell",[1]AB3!$B$15,IF(D122="Options Buy",[1]AB3!$B$21))))</f>
        <v>S20D</v>
      </c>
      <c r="C123" s="42" t="str">
        <f>IF(D122="Futures",[1]AB3!$C$9,IF(D122="Options Sell",[1]AB3!$C$15,IF(D122="Options Buy",[1]AB3!$C$21)))</f>
        <v>Symbol</v>
      </c>
      <c r="D123" s="43" t="str">
        <f t="array" ref="D123">IF(A120="","",INDEX([1]AB2!E:E,MATCH(D120,[1]AB2!B:B,0)))</f>
        <v>BANKNIFTY</v>
      </c>
      <c r="E123" s="44" t="str">
        <f>IF(D122="Futures",[1]AB3!$E$9,IF(D122="Options Sell",[1]AB3!$E$15,IF(D122="Options Buy",[1]AB3!$E$21)))</f>
        <v>Bear / 
Bear CF</v>
      </c>
      <c r="F123" s="45" t="str">
        <f>IF(D122="Futures",[1]AB3!$F$9,IF(D122="Options Sell",[1]AB3!$F$15,IF(D122="Options Buy",[1]AB3!$F$21)))</f>
        <v>Call</v>
      </c>
      <c r="G123" s="84" t="str">
        <f t="array" ref="G123">IF(A120="","",IF(D122="Futures",CONCATENATE([1]AB3!$G$9,INDEX([1]AB2!J:J,MATCH(D120,[1]AB2!B:B,0)),[1]AB3!$H$9),IF(D122="Options Sell",CONCATENATE([1]AB3!$G$15,INDEX([1]AB2!I:I,MATCH(D120,[1]AB2!B:B,0)),[1]AB3!$H$15),IF(D122="Options Buy",CONCATENATE([1]AB3!$G$21,INDEX([1]AB2!J:J,MATCH(D120,[1]AB2!B:B,0)),[1]AB3!$H$21)))))</f>
        <v>OPT : PRV : 2DLL</v>
      </c>
      <c r="H123" s="43" t="str">
        <f>IF(D122="Futures",[1]AB3!$I$9,IF(D122="Options Sell",[1]AB3!$I$15,IF(D122="Options Buy",[1]AB3!$I$21)))</f>
        <v xml:space="preserve"> - </v>
      </c>
      <c r="I123" s="72">
        <v>7.4999999999999997E-2</v>
      </c>
      <c r="J123" s="73">
        <v>1</v>
      </c>
      <c r="K123" s="48"/>
      <c r="L123" s="43" t="str">
        <f>IF(D122="Futures",[1]AB3!$M$9,IF(D122="Options Sell",[1]AB3!$M$15,IF(D122="Options Buy",[1]AB3!$M$21)))</f>
        <v xml:space="preserve">CE : Entry </v>
      </c>
      <c r="M123" s="43" t="str">
        <f>IF(D122="Futures",[1]AB3!$N$9,IF(D122="Options Sell",[1]AB3!$N$15,IF(D122="Options Buy",[1]AB3!$N$21)))</f>
        <v xml:space="preserve"> - </v>
      </c>
      <c r="N123" s="74">
        <v>0.6</v>
      </c>
      <c r="O123" s="75">
        <v>1</v>
      </c>
      <c r="P123" s="58"/>
      <c r="Q123" s="75"/>
      <c r="R123" s="58"/>
      <c r="S123" s="75"/>
      <c r="T123" s="58"/>
      <c r="U123" s="75"/>
      <c r="V123" s="76"/>
      <c r="W123" s="75"/>
      <c r="X123" s="76"/>
      <c r="Y123" s="76"/>
      <c r="Z123" s="48"/>
      <c r="AA123" s="43" t="str">
        <f>IF(D122="Futures",[1]AB3!$AD$9,IF(D122="Options Sell",[1]AB3!$AD$15,IF(D122="Options Buy",[1]AB3!$AD$21)))</f>
        <v>Min</v>
      </c>
      <c r="AB123" s="43" t="str">
        <f>IF(D122="Futures",[1]AB3!$AE$9,IF(D122="Options Sell",[1]AB3!$AE$15,IF(D122="Options Buy",[1]AB3!$AE$21)))</f>
        <v>MSL &amp; TSL</v>
      </c>
      <c r="AC123" s="43" t="str">
        <f>IF(D122="Futures",[1]AB3!$AF$9,IF(D122="Options Sell",[1]AB3!$AF$15,IF(D122="Options Buy",[1]AB3!$AF$21)))</f>
        <v>Entry &amp; TRP</v>
      </c>
      <c r="AD123" s="48"/>
      <c r="AE123" s="43" t="str">
        <f>IF(D122="Futures",[1]AB3!$AH$9,IF(D122="Options Sell",[1]AB3!$AH$15,IF(D122="Options Buy",[1]AB3!$AH$21)))</f>
        <v xml:space="preserve">CE : Entry </v>
      </c>
      <c r="AF123" s="43" t="str">
        <f>IF(D122="Futures",[1]AB3!$AI$9,IF(D122="Options Sell",[1]AB3!$AI$15,IF(D122="Options Buy",[1]AB3!$AI$21)))</f>
        <v xml:space="preserve"> + </v>
      </c>
      <c r="AG123" s="77">
        <v>0.6</v>
      </c>
      <c r="AH123" s="77">
        <v>0</v>
      </c>
      <c r="AI123" s="48"/>
      <c r="AJ123" s="43" t="str">
        <f>IF(D122="Futures",[1]AB3!$AO$9,IF(D122="Options Sell",[1]AB3!$AO$15,IF(D122="Options Buy",[1]AB3!$AO$21)))</f>
        <v xml:space="preserve"> + </v>
      </c>
      <c r="AK123" s="43" t="str">
        <f t="array" ref="AK123">IF(A120="","",IF(D122="Futures",CONCATENATE([1]AB3!$AP$9,INDEX([1]AB2!M:M,MATCH(D120,[1]AB2!B:B,0)),[1]AB3!$AQ$9),IF(D122="Options Sell",CONCATENATE([1]AB3!$AP$15,INDEX([1]AB2!L:L,MATCH(D120,[1]AB2!B:B,0)),[1]AB3!$AQ$15),IF(D122="Options Buy",CONCATENATE([1]AB3!$AP$21,INDEX([1]AB2!M:M,MATCH(D120,[1]AB2!B:B,0)),[1]AB3!$AQ$21)))))</f>
        <v>OPT : PRV : 3DHH</v>
      </c>
      <c r="AL123" s="79">
        <v>0.1</v>
      </c>
      <c r="AM123" s="52">
        <f>J124</f>
        <v>1</v>
      </c>
      <c r="AN123" s="51">
        <f t="array" ref="AN123">IF(A120="","",IF(AND(OR(D124="1 &amp; APS",D124="2 &amp; APS",D124="3 &amp; APS",D124="4 &amp; APS",D124="5 &amp; APS"),D122="Futures"),CONCATENATE([1]AB3!$AP$9,INDEX([1]AB2!M:M,MATCH(D120,[1]AB2!B:B,0)),[1]AB3!$AQ$9),IF(AND(OR(D124="1 &amp; APS",D124="2 &amp; APS",D124="3 &amp; APS",D124="4 &amp; APS",D124="5 &amp; APS"),D122="Options Sell"),CONCATENATE([1]AB3!$AP$15,INDEX([1]AB2!L:L,MATCH(D120,[1]AB2!B:B,0)),[1]AB3!$AQ$15),IF(AND(OR(D124="1 &amp; APS",D124="2 &amp; APS",D124="3 &amp; APS",D124="4 &amp; APS",D124="5 &amp; APS"),D122="Options Buy"),CONCATENATE([1]AB3!$AP$21,INDEX([1]AB2!M:M,MATCH(D120,[1]AB2!B:B,0)),[1]AB3!$AQ$21),[1]AB3!$AR$6))))</f>
        <v>0</v>
      </c>
      <c r="AO123" s="58"/>
      <c r="AP123" s="52">
        <f t="shared" ref="AP123:AP124" si="210">AM123-O123</f>
        <v>0</v>
      </c>
      <c r="AQ123" s="51">
        <f t="array" ref="AQ123">IF(A120="","",IF(AND(OR(D124="2 &amp; APS",D124="3 &amp; APS",D124="4 &amp; APS",D124="5 &amp; APS"),D122="Futures"),CONCATENATE([1]AB3!$AP$9,INDEX([1]AB2!M:M,MATCH(D120,[1]AB2!B:B,0)),[1]AB3!$AQ$9),IF(AND(OR(D124="2 &amp; APS",D124="3 &amp; APS",D124="4 &amp; APS",D124="5 &amp; APS"),D122="Options Sell"),CONCATENATE([1]AB3!$AP$15,INDEX([1]AB2!L:L,MATCH(D120,[1]AB2!B:B,0)),[1]AB3!$AQ$15),IF(AND(OR(D124="2 &amp; APS",D124="3 &amp; APS",D124="4 &amp; APS",D124="5 &amp; APS"),D122="Options Buy"),CONCATENATE([1]AB3!$AP$21,INDEX([1]AB2!M:M,MATCH(D120,[1]AB2!B:B,0)),[1]AB3!$AQ$21),[1]AB3!$AR$6))))</f>
        <v>0</v>
      </c>
      <c r="AR123" s="58"/>
      <c r="AS123" s="52">
        <f t="shared" ref="AS123:AS124" si="211">AP123-Q123</f>
        <v>0</v>
      </c>
      <c r="AT123" s="51">
        <f t="array" ref="AT123">IF(A120="","",IF(AND(OR(D124="3 &amp; APS",D124="4 &amp; APS",D124="5 &amp; APS"),D122="Futures"),CONCATENATE([1]AB3!$AP$9,INDEX([1]AB2!M:M,MATCH(D120,[1]AB2!B:B,0)),[1]AB3!$AQ$9),IF(AND(OR(D124="3 &amp; APS",D124="4 &amp; APS",D124="5 &amp; APS"),D122="Options Sell"),CONCATENATE([1]AB3!$AP$15,INDEX([1]AB2!L:L,MATCH(D120,[1]AB2!B:B,0)),[1]AB3!$AQ$15),IF(AND(OR(D124="3 &amp; APS",D124="4 &amp; APS",D124="5 &amp; APS"),D122="Options Buy"),CONCATENATE([1]AB3!$AP$21,INDEX([1]AB2!M:M,MATCH(D120,[1]AB2!B:B,0)),[1]AB3!$AQ$21),[1]AB3!$AR$6))))</f>
        <v>0</v>
      </c>
      <c r="AU123" s="58"/>
      <c r="AV123" s="52">
        <f t="shared" ref="AV123:AV124" si="212">AS123-S123</f>
        <v>0</v>
      </c>
      <c r="AW123" s="51">
        <f t="array" ref="AW123">IF(A120="","",IF(AND(OR(D124="4 &amp; APS",D124="5 &amp; APS"),D122="Futures"),CONCATENATE([1]AB3!$AP$9,INDEX([1]AB2!M:M,MATCH(D120,[1]AB2!B:B,0)),[1]AB3!$AQ$9),IF(AND(OR(D124="4 &amp; APS",D124="5 &amp; APS"),D122="Options Sell"),CONCATENATE([1]AB3!$AP$15,INDEX([1]AB2!L:L,MATCH(D120,[1]AB2!B:B,0)),[1]AB3!$AQ$15),IF(AND(OR(D124="4 &amp; APS",D124="5 &amp; APS"),D122="Options Buy"),CONCATENATE([1]AB3!$AP$21,INDEX([1]AB2!M:M,MATCH(D120,[1]AB2!B:B,0)),[1]AB3!$AQ$21),[1]AB3!$AR$6))))</f>
        <v>0</v>
      </c>
      <c r="AX123" s="58"/>
      <c r="AY123" s="52">
        <f t="shared" ref="AY123:AY124" si="213">AV123-S123</f>
        <v>0</v>
      </c>
      <c r="AZ123" s="51">
        <f t="array" ref="AZ123">IF(A120="","",IF(AND(D124="5 &amp; APS",D122="Futures"),CONCATENATE([1]AB3!$AP$9,INDEX([1]AB2!M:M,MATCH(D120,[1]AB2!B:B,0)),[1]AB3!$AQ$9),IF(AND(D124="5 &amp; APS",D122="Options Sell"),CONCATENATE([1]AB3!$AP$15,INDEX([1]AB2!L:L,MATCH(D120,[1]AB2!B:B,0)),[1]AB3!$AQ$15),IF(AND(D124="5 &amp; APS",D122="Options Buy"),CONCATENATE([1]AB3!$AP$21,INDEX([1]AB2!M:M,MATCH(D120,[1]AB2!B:B,0)),[1]AB3!$AQ$21),[1]AB3!$AR$6))))</f>
        <v>0</v>
      </c>
      <c r="BA123" s="58"/>
      <c r="BB123" s="52">
        <f t="shared" ref="BB123:BB124" si="214">AY123-W123</f>
        <v>0</v>
      </c>
      <c r="BC123" s="53"/>
      <c r="BD123" s="54" t="str">
        <f>IF(D122="Futures",[1]AB3!$BE$9,IF(D122="Options Sell",[1]AB3!$BE$15,IF(D122="Options Buy",[1]AB3!$BE$21)))</f>
        <v>Market Start Time</v>
      </c>
      <c r="BE123" s="67">
        <f t="array" ref="BE123">IF(D120="","",INDEX([1]AB2!AG:AG,MATCH(D120,[1]AB2!B:B,0)))</f>
        <v>0.38541666666666669</v>
      </c>
      <c r="BF123" s="11"/>
      <c r="BG123" s="12"/>
      <c r="BH123" s="57"/>
      <c r="BI123" s="68" t="str">
        <f>IF(D122="Futures",[1]AB3!$BJ$9,IF(D122="Options Sell",[1]AB3!$BJ$15,IF(D122="Options Buy",[1]AB3!$BJ$21)))</f>
        <v>Bear / 
Bear CF</v>
      </c>
      <c r="BJ123" s="45" t="str">
        <f>IF(D122="Futures",[1]AB3!$BK$9,IF(D122="Options Sell",[1]AB3!$BK$15,IF(D122="Options Buy",[1]AB3!$BK$21)))</f>
        <v>Call</v>
      </c>
      <c r="BK123" s="80">
        <v>7.4999999999999997E-2</v>
      </c>
      <c r="BL123" s="81">
        <v>0.1</v>
      </c>
      <c r="BM123" s="57"/>
      <c r="BN123" s="68" t="str">
        <f>IF(D122="Futures",[1]AB3!$BO$9,IF(D122="Options Sell",[1]AB3!$BO$15,IF(D122="Options Buy",[1]AB3!$BO$21)))</f>
        <v>Bear | 
Bear CF</v>
      </c>
      <c r="BO123" s="45" t="str">
        <f>IF(D122="Futures",[1]AB3!$BP$9,IF(D122="Options Sell",[1]AB3!$BP$15,IF(D122="Options Buy",[1]AB3!$BP$21)))</f>
        <v>Call</v>
      </c>
      <c r="BP123" s="43" t="str">
        <f t="array" ref="BP123">IF(A120="","",IF(D122="Futures","",IF(D122="EQUITY","",IF(D122="Options Sell",CONCATENATE([1]AB3!$BQ$15,INDEX([1]AB2!I:I,MATCH(A120,[1]AB2!A:A,0)),[1]AB3!$BR$15),IF(D122="Options Buy",CONCATENATE([1]AB3!$BQ$21,INDEX([1]AB2!I:I,MATCH(A120,[1]AB2!A:A,0)),[1]AB3!$BR$21))))))</f>
        <v>SPT : PRV : 2DLL</v>
      </c>
      <c r="BQ123" s="82" t="s">
        <v>53</v>
      </c>
      <c r="BR123" s="58">
        <v>0.05</v>
      </c>
      <c r="BS123" s="76" t="s">
        <v>54</v>
      </c>
      <c r="BT123" s="84" t="str">
        <f t="shared" ref="BT123:BT124" si="215">BP123</f>
        <v>SPT : PRV : 2DLL</v>
      </c>
      <c r="BU123" s="76"/>
      <c r="BV123" s="58"/>
      <c r="BW123" s="76" t="s">
        <v>54</v>
      </c>
      <c r="BX123" s="82" t="s">
        <v>55</v>
      </c>
      <c r="BY123" s="76">
        <v>1</v>
      </c>
      <c r="BZ123" s="58"/>
      <c r="CA123" s="58"/>
      <c r="CB123" s="58"/>
      <c r="CC123" s="58"/>
      <c r="CD123" s="58"/>
      <c r="CE123" s="43" t="str">
        <f t="shared" ref="CE123:CE124" si="216">BP123</f>
        <v>SPT : PRV : 2DLL</v>
      </c>
      <c r="CF123" s="58">
        <v>1.4999999999999999E-2</v>
      </c>
      <c r="CG123" s="43" t="str">
        <f t="shared" ref="CG123:CG124" si="217">CE123</f>
        <v>SPT : PRV : 2DLL</v>
      </c>
      <c r="CH123" s="58">
        <v>1.0999999999999999E-2</v>
      </c>
      <c r="CI123" s="75">
        <v>500</v>
      </c>
      <c r="CJ123" s="75">
        <v>1</v>
      </c>
      <c r="CK123" s="59"/>
      <c r="CL123" s="43"/>
      <c r="CM123" s="43"/>
      <c r="CN123" s="59"/>
      <c r="CO123" s="43"/>
      <c r="CP123" s="43"/>
      <c r="CQ123" s="59"/>
      <c r="CR123" s="58">
        <v>0.05</v>
      </c>
      <c r="CS123" s="58"/>
      <c r="CT123" s="59"/>
      <c r="CU123" s="43"/>
      <c r="CV123" s="59"/>
      <c r="CW123" s="59"/>
    </row>
    <row r="124" spans="1:101" ht="15.75" customHeight="1" x14ac:dyDescent="0.2">
      <c r="A124" s="32"/>
      <c r="B124" s="41" t="str">
        <f>CONCATENATE(D120,IF(D122="Futures",[1]AB3!$B$10,IF(D122="Options Sell",[1]AB3!$B$16,IF(D122="Options Buy",[1]AB3!$B$22))))</f>
        <v>S20E</v>
      </c>
      <c r="C124" s="42" t="str">
        <f>IF(D122="Futures",[1]AB3!$E$8,IF(D122="Options Sell",[1]AB3!$E$14,IF(D122="Options Buy",[1]AB3!$E$20)))</f>
        <v>Contract</v>
      </c>
      <c r="D124" s="43" t="str">
        <f t="array" ref="D124">IF(A120="","",INDEX([1]AB2!K:K,MATCH(D120,[1]AB2!B:B,0)))</f>
        <v>APS</v>
      </c>
      <c r="E124" s="32"/>
      <c r="F124" s="61" t="str">
        <f>IF(D122="Futures",[1]AB3!$F$10,IF(D122="Options Sell",[1]AB3!$F$16,IF(D122="Options Buy",[1]AB3!$F$22)))</f>
        <v>Put</v>
      </c>
      <c r="G124" s="84" t="str">
        <f t="array" ref="G124">(IF(A120="","",IF(D122="Futures",CONCATENATE([1]AB3!$G$10,INDEX([1]AB2!I:I,MATCH(D120,[1]AB2!B:B,0)),[1]AB3!$H$10),IF(D122="Options Sell",CONCATENATE([1]AB3!$G$16,INDEX([1]AB2!J:J,MATCH(D120,[1]AB2!B:B,0)),[1]AB3!$H$16),IF(D122="Options Buy",CONCATENATE([1]AB3!$G$22,INDEX([1]AB2!I:I,MATCH(D120,[1]AB2!B:B,0)),[1]AB3!$H$22))))))</f>
        <v>OPT : PRV : 3DLL</v>
      </c>
      <c r="H124" s="43" t="str">
        <f>IF(D122="Futures",[1]AB3!$I$10,IF(D122="Options Sell",[1]AB3!$I$16,IF(D122="Options Buy",[1]AB3!$I$22)))</f>
        <v xml:space="preserve"> - </v>
      </c>
      <c r="I124" s="72">
        <v>7.4999999999999997E-2</v>
      </c>
      <c r="J124" s="73">
        <v>1</v>
      </c>
      <c r="K124" s="48"/>
      <c r="L124" s="43" t="str">
        <f>IF(D122="Futures",[1]AB3!$M$10,IF(D122="Options Sell",[1]AB3!$M$16,IF(D122="Options Buy",[1]AB3!$M$22)))</f>
        <v xml:space="preserve">PE : Entry </v>
      </c>
      <c r="M124" s="43" t="str">
        <f>IF(D122="Futures",[1]AB3!$N$10,IF(D122="Options Sell",[1]AB3!$N$16,IF(D122="Options Buy",[1]AB3!$N$22)))</f>
        <v xml:space="preserve"> - </v>
      </c>
      <c r="N124" s="74">
        <v>0.6</v>
      </c>
      <c r="O124" s="75">
        <v>1</v>
      </c>
      <c r="P124" s="58"/>
      <c r="Q124" s="75"/>
      <c r="R124" s="58"/>
      <c r="S124" s="75"/>
      <c r="T124" s="58"/>
      <c r="U124" s="75"/>
      <c r="V124" s="76"/>
      <c r="W124" s="75"/>
      <c r="X124" s="76"/>
      <c r="Y124" s="76"/>
      <c r="Z124" s="48"/>
      <c r="AA124" s="43" t="str">
        <f>IF(D122="Futures",[1]AB3!$AD$10,IF(D122="Options Sell",[1]AB3!$AD$16,IF(D122="Options Buy",[1]AB3!$AD$22)))</f>
        <v>Min</v>
      </c>
      <c r="AB124" s="43" t="str">
        <f>IF(D122="Futures",[1]AB3!$AE$10,IF(D122="Options Sell",[1]AB3!$AE$16,IF(D122="Options Buy",[1]AB3!$AE$22)))</f>
        <v>MSL &amp; TSL</v>
      </c>
      <c r="AC124" s="43" t="str">
        <f>IF(D122="Futures",[1]AB3!$AF$10,IF(D122="Options Sell",[1]AB3!$AF$16,IF(D122="Options Buy",[1]AB3!$AF$22)))</f>
        <v>Entry &amp; TRP</v>
      </c>
      <c r="AD124" s="48"/>
      <c r="AE124" s="43" t="str">
        <f>IF(D122="Futures",[1]AB3!$AH$10,IF(D122="Options Sell",[1]AB3!$AH$16,IF(D122="Options Buy",[1]AB3!$AH$22)))</f>
        <v xml:space="preserve">PE : Entry </v>
      </c>
      <c r="AF124" s="43" t="str">
        <f>IF(D122="Futures",[1]AB3!$AI$10,IF(D122="Options Sell",[1]AB3!$AI$16,IF(D122="Options Buy",[1]AB3!$AI$22)))</f>
        <v xml:space="preserve"> + </v>
      </c>
      <c r="AG124" s="77">
        <v>0.6</v>
      </c>
      <c r="AH124" s="77">
        <v>0</v>
      </c>
      <c r="AI124" s="48"/>
      <c r="AJ124" s="43" t="str">
        <f>IF(D122="Futures",[1]AB3!$AO$10,IF(D122="Options Sell",[1]AB3!$AO$16,IF(D122="Options Buy",[1]AB3!$AO$22)))</f>
        <v xml:space="preserve"> + </v>
      </c>
      <c r="AK124" s="43" t="str">
        <f t="array" ref="AK124">IF(A120="","",IF(D122="Futures",CONCATENATE([1]AB3!$AP$10,INDEX([1]AB2!L:L,MATCH(D120,[1]AB2!B:B,0)),[1]AB3!$AQ$10),IF(D122="Options Sell",CONCATENATE([1]AB3!$AP$16,INDEX([1]AB2!M:M,MATCH(D120,[1]AB2!B:B,0)),[1]AB3!$AQ$16),IF(D122="Options Buy",CONCATENATE([1]AB3!$AP$22,INDEX([1]AB2!L:L,MATCH(D120,[1]AB2!B:B,0)),[1]AB3!$AQ$22)))))</f>
        <v>OPT : PRV : 2DHH</v>
      </c>
      <c r="AL124" s="79">
        <v>7.0000000000000007E-2</v>
      </c>
      <c r="AM124" s="52">
        <f>J123</f>
        <v>1</v>
      </c>
      <c r="AN124" s="51">
        <f t="array" ref="AN124">IF(A120="","",IF(AND(OR(D124="1 &amp; APS",D124="2 &amp; APS",D124="3 &amp; APS",D124="4 &amp; APS",D124="5 &amp; APS"),D122="Futures"),CONCATENATE([1]AB3!$AP$10,INDEX([1]AB2!L:L,MATCH(D120,[1]AB2!B:B,0)),[1]AB3!$AQ$10),IF(AND(OR(D124="1 &amp; APS",D124="2 &amp; APS",D124="3 &amp; APS",D124="4 &amp; APS",D124="5 &amp; APS"),D122="Options Sell"),CONCATENATE([1]AB3!$AP$16,INDEX([1]AB2!M:M,MATCH(D120,[1]AB2!B:B,0)),[1]AB3!$AQ$16),IF(AND(OR(D124="1 &amp; APS",D124="2 &amp; APS",D124="3 &amp; APS",D124="4 &amp; APS",D124="5 &amp; APS"),D122="Options Buy"),CONCATENATE([1]AB3!$AP$22,INDEX([1]AB2!L:L,MATCH(D120,[1]AB2!B:B,0)),[1]AB3!$AQ$22),[1]AB3!$AR$6))))</f>
        <v>0</v>
      </c>
      <c r="AO124" s="58"/>
      <c r="AP124" s="52">
        <f t="shared" si="210"/>
        <v>0</v>
      </c>
      <c r="AQ124" s="51">
        <f t="array" ref="AQ124">IF(A120="","",IF(AND(OR(D124="2 &amp; APS",D124="3 &amp; APS",D124="4 &amp; APS",D124="5 &amp; APS"),D122="Futures"),CONCATENATE([1]AB3!$AP$10,INDEX([1]AB2!L:L,MATCH(D120,[1]AB2!B:B,0)),[1]AB3!$AQ$10),IF(AND(OR(D124="2 &amp; APS",D124="3 &amp; APS",D124="4 &amp; APS",D124="5 &amp; APS"),D122="Options Sell"),CONCATENATE([1]AB3!$AP$16,INDEX([1]AB2!M:M,MATCH(D120,[1]AB2!B:B,0)),[1]AB3!$AQ$16),IF(AND(OR(D124="2 &amp; APS",D124="3 &amp; APS",D124="4 &amp; APS",D124="5 &amp; APS"),D122="Options Buy"),CONCATENATE([1]AB3!$AP$22,INDEX([1]AB2!L:L,MATCH(D120,[1]AB2!B:B,0)),[1]AB3!$AQ$22),[1]AB3!$AR$6))))</f>
        <v>0</v>
      </c>
      <c r="AR124" s="58"/>
      <c r="AS124" s="52">
        <f t="shared" si="211"/>
        <v>0</v>
      </c>
      <c r="AT124" s="51">
        <f t="array" ref="AT124">IF(A120="","",IF(AND(OR(D124="3 &amp; APS",D124="4 &amp; APS",D124="5 &amp; APS"),D122="Futures"),CONCATENATE([1]AB3!$AP$10,INDEX([1]AB2!L:L,MATCH(D120,[1]AB2!B:B,0)),[1]AB3!$AQ$10),IF(AND(OR(D124="3 &amp; APS",D124="4 &amp; APS",D124="5 &amp; APS"),D122="Options Sell"),CONCATENATE([1]AB3!$AP$16,INDEX([1]AB2!M:M,MATCH(D120,[1]AB2!B:B,0)),[1]AB3!$AQ$16),IF(AND(OR(D124="3 &amp; APS",D124="4 &amp; APS",D124="5 &amp; APS"),D122="Options Buy"),CONCATENATE([1]AB3!$AP$22,INDEX([1]AB2!L:L,MATCH(D120,[1]AB2!B:B,0)),[1]AB3!$AQ$22),[1]AB3!$AR$6))))</f>
        <v>0</v>
      </c>
      <c r="AU124" s="58"/>
      <c r="AV124" s="52">
        <f t="shared" si="212"/>
        <v>0</v>
      </c>
      <c r="AW124" s="51">
        <f t="array" ref="AW124">IF(A120="","",IF(AND(OR(D124="4 &amp; APS",D124="5 &amp; APS"),D122="Futures"),CONCATENATE([1]AB3!$AP$10,INDEX([1]AB2!L:L,MATCH(D120,[1]AB2!B:B,0)),[1]AB3!$AQ$10),IF(AND(OR(D124="4 &amp; APS",D124="5 &amp; APS"),D122="Options Sell"),CONCATENATE([1]AB3!$AP$16,INDEX([1]AB2!M:M,MATCH(D120,[1]AB2!B:B,0)),[1]AB3!$AQ$16),IF(AND(OR(D124="4 &amp; APS",D124="5 &amp; APS"),D122="Options Buy"),CONCATENATE([1]AB3!$AP$22,INDEX([1]AB2!L:L,MATCH(D120,[1]AB2!B:B,0)),[1]AB3!$AQ$22),[1]AB3!$AR$6))))</f>
        <v>0</v>
      </c>
      <c r="AX124" s="58"/>
      <c r="AY124" s="52">
        <f t="shared" si="213"/>
        <v>0</v>
      </c>
      <c r="AZ124" s="51">
        <f t="array" ref="AZ124">IF(A120="","",IF(AND(D124="5 &amp; APS",D122="Futures"),CONCATENATE([1]AB3!$AP$10,INDEX([1]AB2!L:L,MATCH(D120,[1]AB2!B:B,0)),[1]AB3!$AQ$10),IF(AND(D124="5 &amp; APS",D122="Options Sell"),CONCATENATE([1]AB3!$AP$16,INDEX([1]AB2!M:M,MATCH(D120,[1]AB2!B:B,0)),[1]AB3!$AQ$16),IF(AND(D124="5 &amp; APS",D122="Options Buy"),CONCATENATE([1]AB3!$AP$22,INDEX([1]AB2!L:L,MATCH(D120,[1]AB2!B:B,0)),[1]AB3!$AQ$22),[1]AB3!$AR$6))))</f>
        <v>0</v>
      </c>
      <c r="BA124" s="58"/>
      <c r="BB124" s="52">
        <f t="shared" si="214"/>
        <v>0</v>
      </c>
      <c r="BC124" s="53"/>
      <c r="BD124" s="54" t="str">
        <f>IF(D122="Futures",[1]AB3!$BE$10,IF(D122="Options Sell",[1]AB3!$BE$16,IF(D122="Options Buy",[1]AB3!$BE$22)))</f>
        <v>Market End Time</v>
      </c>
      <c r="BE124" s="67">
        <f t="array" ref="BE124">IF(D120="","",INDEX([1]AB2!AH:AH,MATCH(D120,[1]AB2!B:B,0)))</f>
        <v>0.64583333333333337</v>
      </c>
      <c r="BF124" s="11"/>
      <c r="BG124" s="12"/>
      <c r="BH124" s="57"/>
      <c r="BI124" s="32"/>
      <c r="BJ124" s="61" t="str">
        <f>IF(D122="Futures",[1]AB3!$BK$10,IF(D122="Options Sell",[1]AB3!$BK$16,IF(D122="Options Buy",[1]AB3!$BK$22)))</f>
        <v>Put</v>
      </c>
      <c r="BK124" s="80">
        <v>7.4999999999999997E-2</v>
      </c>
      <c r="BL124" s="81">
        <v>7.0000000000000007E-2</v>
      </c>
      <c r="BM124" s="57"/>
      <c r="BN124" s="32"/>
      <c r="BO124" s="61" t="str">
        <f>IF(D122="Futures",[1]AB3!$BP$10,IF(D122="Options Sell",[1]AB3!$BP$16,IF(D122="Options Buy",[1]AB3!$BP$22)))</f>
        <v>Put</v>
      </c>
      <c r="BP124" s="43" t="str">
        <f t="array" ref="BP124">IF(A120="","",IF(D122="Futures","",IF(D122="EQUITY","",IF(D122="Options Sell",CONCATENATE([1]AB3!$BQ$16,INDEX([1]AB2!J:J,MATCH(A120,[1]AB2!A:A,0)),[1]AB3!$BR$16),IF(D122="Options Buy",CONCATENATE([1]AB3!$BQ$22,INDEX([1]AB2!J:J,MATCH(A120,[1]AB2!A:A,0)),[1]AB3!$BR$22))))))</f>
        <v>SPT : PRV : 3DHH</v>
      </c>
      <c r="BQ124" s="83" t="s">
        <v>55</v>
      </c>
      <c r="BR124" s="58">
        <v>0.05</v>
      </c>
      <c r="BS124" s="76" t="s">
        <v>56</v>
      </c>
      <c r="BT124" s="84" t="str">
        <f t="shared" si="215"/>
        <v>SPT : PRV : 3DHH</v>
      </c>
      <c r="BU124" s="85"/>
      <c r="BV124" s="58"/>
      <c r="BW124" s="76" t="s">
        <v>56</v>
      </c>
      <c r="BX124" s="82" t="s">
        <v>53</v>
      </c>
      <c r="BY124" s="76">
        <v>1</v>
      </c>
      <c r="BZ124" s="58"/>
      <c r="CA124" s="58"/>
      <c r="CB124" s="58"/>
      <c r="CC124" s="58"/>
      <c r="CD124" s="58"/>
      <c r="CE124" s="43" t="str">
        <f t="shared" si="216"/>
        <v>SPT : PRV : 3DHH</v>
      </c>
      <c r="CF124" s="58">
        <v>1.4999999999999999E-2</v>
      </c>
      <c r="CG124" s="43" t="str">
        <f t="shared" si="217"/>
        <v>SPT : PRV : 3DHH</v>
      </c>
      <c r="CH124" s="58">
        <v>1.0999999999999999E-2</v>
      </c>
      <c r="CI124" s="75">
        <v>500</v>
      </c>
      <c r="CJ124" s="75">
        <v>1</v>
      </c>
      <c r="CK124" s="59"/>
      <c r="CL124" s="43"/>
      <c r="CM124" s="43"/>
      <c r="CN124" s="59"/>
      <c r="CO124" s="43"/>
      <c r="CP124" s="43"/>
      <c r="CQ124" s="59"/>
      <c r="CR124" s="58">
        <v>0.05</v>
      </c>
      <c r="CS124" s="58"/>
      <c r="CT124" s="59"/>
      <c r="CU124" s="43"/>
      <c r="CV124" s="59"/>
      <c r="CW124" s="59"/>
    </row>
    <row r="125" spans="1:101" ht="15.75" customHeight="1" x14ac:dyDescent="0.2">
      <c r="A125" s="1"/>
      <c r="B125" s="2"/>
      <c r="C125" s="2"/>
      <c r="D125" s="2"/>
      <c r="E125" s="2"/>
      <c r="F125" s="2"/>
      <c r="G125" s="2"/>
      <c r="H125" s="2"/>
      <c r="I125" s="96"/>
      <c r="J125" s="97"/>
      <c r="K125" s="2"/>
      <c r="L125" s="2"/>
      <c r="M125" s="2"/>
      <c r="N125" s="98"/>
      <c r="O125" s="2"/>
      <c r="P125" s="2"/>
      <c r="Q125" s="69"/>
      <c r="R125" s="69"/>
      <c r="S125" s="70"/>
      <c r="T125" s="70"/>
      <c r="U125" s="2"/>
      <c r="V125" s="2"/>
      <c r="W125" s="2"/>
      <c r="X125" s="2"/>
      <c r="Y125" s="2"/>
      <c r="Z125" s="2"/>
      <c r="AA125" s="20"/>
      <c r="AB125" s="71"/>
      <c r="AC125" s="71"/>
      <c r="AD125" s="2"/>
      <c r="AE125" s="70"/>
      <c r="AF125" s="70"/>
      <c r="AG125" s="100"/>
      <c r="AH125" s="100"/>
      <c r="AI125" s="2"/>
      <c r="AJ125" s="70"/>
      <c r="AK125" s="106"/>
      <c r="AL125" s="107"/>
      <c r="AM125" s="70"/>
      <c r="AN125" s="106"/>
      <c r="AO125" s="106"/>
      <c r="AP125" s="70"/>
      <c r="AQ125" s="106"/>
      <c r="AR125" s="106"/>
      <c r="AS125" s="70"/>
      <c r="AT125" s="106"/>
      <c r="AU125" s="106"/>
      <c r="AV125" s="70"/>
      <c r="AW125" s="106"/>
      <c r="AX125" s="106"/>
      <c r="AY125" s="70"/>
      <c r="AZ125" s="106"/>
      <c r="BA125" s="106"/>
      <c r="BB125" s="70"/>
      <c r="BC125" s="70"/>
      <c r="BD125" s="70"/>
      <c r="BE125" s="70"/>
      <c r="BF125" s="70"/>
      <c r="BG125" s="70"/>
      <c r="BH125" s="70"/>
      <c r="BI125" s="70"/>
      <c r="BJ125" s="70"/>
      <c r="BK125" s="103"/>
      <c r="BL125" s="108"/>
      <c r="BM125" s="70"/>
      <c r="BN125" s="70"/>
      <c r="BO125" s="70"/>
      <c r="BP125" s="70"/>
      <c r="BQ125" s="70"/>
      <c r="BR125" s="70"/>
      <c r="BS125" s="70"/>
      <c r="BT125" s="70"/>
      <c r="BU125" s="70"/>
      <c r="BV125" s="70"/>
      <c r="BW125" s="70"/>
      <c r="BX125" s="70"/>
      <c r="BY125" s="70"/>
      <c r="BZ125" s="70"/>
      <c r="CA125" s="70"/>
      <c r="CB125" s="70"/>
      <c r="CC125" s="70"/>
      <c r="CD125" s="70"/>
      <c r="CE125" s="70"/>
      <c r="CF125" s="70"/>
      <c r="CG125" s="70"/>
      <c r="CH125" s="70"/>
      <c r="CI125" s="70"/>
      <c r="CJ125" s="70"/>
      <c r="CK125" s="70"/>
      <c r="CL125" s="2"/>
      <c r="CM125" s="2"/>
      <c r="CN125" s="70"/>
      <c r="CO125" s="70"/>
      <c r="CP125" s="70"/>
      <c r="CQ125" s="70"/>
      <c r="CR125" s="2"/>
      <c r="CS125" s="2"/>
      <c r="CT125" s="70"/>
      <c r="CU125" s="70"/>
      <c r="CV125" s="70"/>
      <c r="CW125" s="70"/>
    </row>
    <row r="126" spans="1:101" ht="15.75" customHeight="1" x14ac:dyDescent="0.2">
      <c r="A126" s="40">
        <v>21</v>
      </c>
      <c r="B126" s="41" t="str">
        <f>CONCATENATE(D126,IF(D128="Futures",[1]AB3!$B$6,IF(D128="Options Sell",[1]AB3!$B$12,IF(D128="Options Buy",[1]AB3!$B$18))))</f>
        <v>S21A</v>
      </c>
      <c r="C126" s="42" t="str">
        <f>IF(D128="Futures",[1]AB3!$C$6,IF(D128="Options Sell",[1]AB3!$C$12,IF(D128="Options Buy",[1]AB3!$C$18)))</f>
        <v>Strategy Code</v>
      </c>
      <c r="D126" s="43" t="str">
        <f t="array" ref="D126">IF(A126="","",INDEX([1]AB2!B:B,MATCH(A126,[1]AB2!A:A,0)))</f>
        <v>S21</v>
      </c>
      <c r="E126" s="44" t="str">
        <f>IF(D128="Futures",[1]AB3!$E$6,IF(D128="Options Sell",[1]AB3!$E$12,IF(D128="Options Buy",[1]AB3!$E$18)))</f>
        <v>Bull / 
Bull CF</v>
      </c>
      <c r="F126" s="45" t="str">
        <f>IF(D128="Futures",[1]AB3!$F$6,IF(D128="Options Sell",[1]AB3!$F$12,IF(D128="Options Buy",[1]AB3!$F$18)))</f>
        <v>Call</v>
      </c>
      <c r="G126" s="37" t="str">
        <f t="array" ref="G126">IF(A126="","",IF(D128="Futures",CONCATENATE([1]AB3!$G$6,INDEX([1]AB2!I:I,MATCH(D126,[1]AB2!B:B,0)),[1]AB3!$H$6),IF(D128="Options Sell",CONCATENATE([1]AB3!$G$12,INDEX([1]AB2!J:J,MATCH(D126,[1]AB2!B:B,0)),[1]AB3!$H$12),IF(D128="Options Buy",CONCATENATE([1]AB3!$G$18,INDEX([1]AB2!I:I,MATCH(D126,[1]AB2!B:B,0)),[1]AB3!$H$18)))))</f>
        <v>OPT : PRV : 3DLL</v>
      </c>
      <c r="H126" s="43" t="str">
        <f>IF(D128="Futures",[1]AB3!$I$6,IF(D128="Options Sell",[1]AB3!$I$12,IF(D128="Options Buy",[1]AB3!$I$18)))</f>
        <v xml:space="preserve"> - </v>
      </c>
      <c r="I126" s="72">
        <v>7.4999999999999997E-2</v>
      </c>
      <c r="J126" s="73">
        <v>1</v>
      </c>
      <c r="K126" s="48"/>
      <c r="L126" s="43" t="str">
        <f>IF(D128="Futures",[1]AB3!$M$6,IF(D128="Options Sell",[1]AB3!$M$12,IF(D128="Options Buy",[1]AB3!$M$18)))</f>
        <v xml:space="preserve">CE : Entry </v>
      </c>
      <c r="M126" s="43" t="str">
        <f>IF(D128="Futures",[1]AB3!$N$6,IF(D128="Options Sell",[1]AB3!$N$12,IF(D128="Options Buy",[1]AB3!$N$18)))</f>
        <v xml:space="preserve"> - </v>
      </c>
      <c r="N126" s="74">
        <v>0.6</v>
      </c>
      <c r="O126" s="75">
        <v>1</v>
      </c>
      <c r="P126" s="58"/>
      <c r="Q126" s="75"/>
      <c r="R126" s="58"/>
      <c r="S126" s="75"/>
      <c r="T126" s="58"/>
      <c r="U126" s="75"/>
      <c r="V126" s="76"/>
      <c r="W126" s="75"/>
      <c r="X126" s="76"/>
      <c r="Y126" s="76"/>
      <c r="Z126" s="48"/>
      <c r="AA126" s="43" t="str">
        <f>IF(D128="Futures",[1]AB3!$AD$6,IF(D128="Options Sell",[1]AB3!$AD$12,IF(D128="Options Buy",[1]AB3!$AD$18)))</f>
        <v>Min</v>
      </c>
      <c r="AB126" s="43" t="str">
        <f>IF(D128="Futures",[1]AB3!$AE$6,IF(D128="Options Sell",[1]AB3!$AE$12,IF(D128="Options Buy",[1]AB3!$AE$18)))</f>
        <v>MSL &amp; TSL</v>
      </c>
      <c r="AC126" s="43" t="str">
        <f>IF(D128="Futures",[1]AB3!$AF$6,IF(D128="Options Sell",[1]AB3!$AF$12,IF(D128="Options Buy",[1]AB3!$AF$18)))</f>
        <v>Entry &amp; TRP</v>
      </c>
      <c r="AD126" s="48"/>
      <c r="AE126" s="43" t="str">
        <f>IF(D128="Futures",[1]AB3!$AH$6,IF(D128="Options Sell",[1]AB3!$AH$12,IF(D128="Options Buy",[1]AB3!$AH$18)))</f>
        <v xml:space="preserve">CE : Entry </v>
      </c>
      <c r="AF126" s="43" t="str">
        <f>IF(D128="Futures",[1]AB3!$AI$6,IF(D128="Options Sell",[1]AB3!$AI$12,IF(D128="Options Buy",[1]AB3!$AI$18)))</f>
        <v xml:space="preserve"> + </v>
      </c>
      <c r="AG126" s="77">
        <v>0.6</v>
      </c>
      <c r="AH126" s="77">
        <v>0</v>
      </c>
      <c r="AI126" s="48"/>
      <c r="AJ126" s="43" t="str">
        <f>IF(D128="Futures",[1]AB3!$AO$6,IF(D128="Options Sell",[1]AB3!$AO$12,IF(D128="Options Buy",[1]AB3!$AO$18)))</f>
        <v xml:space="preserve"> + </v>
      </c>
      <c r="AK126" s="43" t="str">
        <f t="array" ref="AK126">IF(A126="","",IF(D128="Futures",CONCATENATE([1]AB3!$AP$6,INDEX([1]AB2!L:L,MATCH(D126,[1]AB2!B:B,0)),[1]AB3!$AQ$6),IF(D128="Options Sell",CONCATENATE([1]AB3!$AP$12,INDEX([1]AB2!M:M,MATCH(D126,[1]AB2!B:B,0)),[1]AB3!$AQ$12),IF(D128="Options Buy",CONCATENATE([1]AB3!$AP$18,INDEX([1]AB2!L:L,MATCH(D126,[1]AB2!B:B,0)),[1]AB3!$AQ$18)))))</f>
        <v>OPT : PRV : 2DHH</v>
      </c>
      <c r="AL126" s="79">
        <v>7.0000000000000007E-2</v>
      </c>
      <c r="AM126" s="52">
        <f>J127</f>
        <v>1</v>
      </c>
      <c r="AN126" s="51">
        <f t="array" ref="AN126">IF(A126="","",IF(AND(OR(D130="1 &amp; APS",D130="2 &amp; APS",D130="3 &amp; APS",D130="4 &amp; APS",D130="5 &amp; APS"),D128="Futures"),CONCATENATE([1]AB3!$AP$6,INDEX([1]AB2!L:L,MATCH(D126,[1]AB2!B:B,0)),[1]AB3!$AQ$6),IF(AND(OR(D130="1 &amp; APS",D130="2 &amp; APS",D130="3 &amp; APS",D130="4 &amp; APS",D130="5 &amp; APS"),D128="Options Sell"),CONCATENATE([1]AB3!$AP$12,INDEX([1]AB2!M:M,MATCH(D126,[1]AB2!B:B,0)),[1]AB3!$AQ$12),IF(AND(OR(D130="1 &amp; APS",D130="2 &amp; APS",D130="3 &amp; APS",D130="4 &amp; APS",D130="5 &amp; APS"),D128="Options Buy"),CONCATENATE([1]AB3!$AP$18,INDEX([1]AB2!L:L,MATCH(D126,[1]AB2!B:B,0)),[1]AB3!$AQ$18),[1]AB3!$AR$6))))</f>
        <v>0</v>
      </c>
      <c r="AO126" s="58"/>
      <c r="AP126" s="52">
        <f t="shared" ref="AP126:AP127" si="218">AM126-O126</f>
        <v>0</v>
      </c>
      <c r="AQ126" s="51">
        <f t="array" ref="AQ126">IF(A126="","",IF(AND(OR(D130="2 &amp; APS",D130="3 &amp; APS",D130="4 &amp; APS",D130="5 &amp; APS"),D128="Futures"),CONCATENATE([1]AB3!$AP$6,INDEX([1]AB2!L:L,MATCH(D126,[1]AB2!B:B,0)),[1]AB3!$AQ$6),IF(AND(OR(D130="2 &amp; APS",D130="3 &amp; APS",D130="4 &amp; APS",D130="5 &amp; APS"),D128="Options Sell"),CONCATENATE([1]AB3!$AP$12,INDEX([1]AB2!M:M,MATCH(D126,[1]AB2!B:B,0)),[1]AB3!$AQ$12),IF(AND(OR(D130="2 &amp; APS",D130="3 &amp; APS",D130="4 &amp; APS",D130="5 &amp; APS"),D128="Options Buy"),CONCATENATE([1]AB3!$AP$18,INDEX([1]AB2!L:L,MATCH(D126,[1]AB2!B:B,0)),[1]AB3!$AQ$18),[1]AB3!$AR$6))))</f>
        <v>0</v>
      </c>
      <c r="AR126" s="58"/>
      <c r="AS126" s="52">
        <f t="shared" ref="AS126:AS127" si="219">AP126-Q126</f>
        <v>0</v>
      </c>
      <c r="AT126" s="51">
        <f t="array" ref="AT126">IF(A126="","",IF(AND(OR(D130="3 &amp; APS",D130="4 &amp; APS",D130="5 &amp; APS"),D128="Futures"),CONCATENATE([1]AB3!$AP$6,INDEX([1]AB2!L:L,MATCH(D126,[1]AB2!B:B,0)),[1]AB3!$AQ$6),IF(AND(OR(D130="3 &amp; APS",D130="4 &amp; APS",D130="5 &amp; APS"),D128="Options Sell"),CONCATENATE([1]AB3!$AP$12,INDEX([1]AB2!M:M,MATCH(D126,[1]AB2!B:B,0)),[1]AB3!$AQ$12),IF(AND(OR(D130="3 &amp; APS",D130="4 &amp; APS",D130="5 &amp; APS"),D128="Options Buy"),CONCATENATE([1]AB3!$AP$18,INDEX([1]AB2!L:L,MATCH(D126,[1]AB2!B:B,0)),[1]AB3!$AQ$18),[1]AB3!$AR$6))))</f>
        <v>0</v>
      </c>
      <c r="AU126" s="58"/>
      <c r="AV126" s="52">
        <f t="shared" ref="AV126:AV127" si="220">AS126-S126</f>
        <v>0</v>
      </c>
      <c r="AW126" s="51">
        <f t="array" ref="AW126">IF(A126="","",IF(AND(OR(D130="4 &amp; APS",D130="5 &amp; APS"),D128="Futures"),CONCATENATE([1]AB3!$AP$6,INDEX([1]AB2!L:L,MATCH(D126,[1]AB2!B:B,0)),[1]AB3!$AQ$6),IF(AND(OR(D130="4 &amp; APS",D130="5 &amp; APS"),D128="Options Sell"),CONCATENATE([1]AB3!$AP$12,INDEX([1]AB2!M:M,MATCH(D126,[1]AB2!B:B,0)),[1]AB3!$AQ$12),IF(AND(OR(D130="4 &amp; APS",D130="5 &amp; APS"),D128="Options Buy"),CONCATENATE([1]AB3!$AP$18,INDEX([1]AB2!L:L,MATCH(D126,[1]AB2!B:B,0)),[1]AB3!$AQ$18),[1]AB3!$AR$6))))</f>
        <v>0</v>
      </c>
      <c r="AX126" s="58"/>
      <c r="AY126" s="52">
        <f t="shared" ref="AY126:AY127" si="221">AV126-S126</f>
        <v>0</v>
      </c>
      <c r="AZ126" s="51">
        <f t="array" ref="AZ126">IF(A126="","",IF(AND(D130="5 &amp; APS",D128="Futures"),CONCATENATE([1]AB3!$AP$6,INDEX([1]AB2!L:L,MATCH(D126,[1]AB2!B:B,0)),[1]AB3!$AQ$6),IF(AND(D130="5 &amp; APS",D128="Options Sell"),CONCATENATE([1]AB3!$AP$12,INDEX([1]AB2!M:M,MATCH(D126,[1]AB2!B:B,0)),[1]AB3!$AQ$12),IF(AND(D130="5 &amp; APS",D128="Options Buy"),CONCATENATE([1]AB3!$AP$18,INDEX([1]AB2!L:L,MATCH(D126,[1]AB2!B:B,0)),[1]AB3!$AQ$18),[1]AB3!$AR$6))))</f>
        <v>0</v>
      </c>
      <c r="BA126" s="58"/>
      <c r="BB126" s="52">
        <f t="shared" ref="BB126:BB127" si="222">AY126-W126</f>
        <v>0</v>
      </c>
      <c r="BC126" s="53"/>
      <c r="BD126" s="54" t="str">
        <f>IF(D128="Futures",[1]AB3!$BE$6,IF(D128="Options Sell",[1]AB3!$BE$12,IF(D128="Options Buy",[1]AB3!$BE$18)))</f>
        <v xml:space="preserve">ORPT </v>
      </c>
      <c r="BE126" s="55">
        <f>IF(D128="Futures",BE129+([1]AB3!$BF$6/1440),IF(D128="Options Sell",BE129+([1]AB3!$BF$12/1440),IF(D128="Options Buy",BE129+([1]AB3!$BF$18/1440))))</f>
        <v>0.39235416666666667</v>
      </c>
      <c r="BF126" s="55">
        <f>IF(D128="Futures",BE129+([1]AB3!$BG$6/1440),IF(D128="Options Sell",BE129+([1]AB3!$BG$12/1440),IF(D128="Options Buy",BE129+([1]AB3!$BG$18/1440))))</f>
        <v>0.39235416666666667</v>
      </c>
      <c r="BG126" s="55">
        <f>IF(D128="Futures",BE129+([1]AB3!$BH$6/1440),IF(D128="Options Sell",BE129+([1]AB3!$BH$12/1440),IF(D128="Options Buy",BE129+([1]AB3!$BH$18/1440))))</f>
        <v>0.38541666666666669</v>
      </c>
      <c r="BH126" s="56"/>
      <c r="BI126" s="44" t="str">
        <f>IF(D128="Futures",[1]AB3!$BJ$6,IF(D128="Options Sell",[1]AB3!$BJ$12,IF(D128="Options Buy",[1]AB3!$BJ$18)))</f>
        <v>Bull / 
Bull CF</v>
      </c>
      <c r="BJ126" s="45" t="str">
        <f>IF(D128="Futures",[1]AB3!$BK$6,IF(D128="Options Sell",[1]AB3!$BK$12,IF(D128="Options Buy",[1]AB3!$BK$18)))</f>
        <v>Call</v>
      </c>
      <c r="BK126" s="80">
        <v>7.4999999999999997E-2</v>
      </c>
      <c r="BL126" s="81">
        <v>7.0000000000000007E-2</v>
      </c>
      <c r="BM126" s="57"/>
      <c r="BN126" s="44" t="str">
        <f>IF(D128="Futures",[1]AB3!$BO$6,IF(D128="Options Sell",[1]AB3!$BO$12,IF(D128="Options Buy",[1]AB3!$BO$18)))</f>
        <v>Bull | 
Bull CF</v>
      </c>
      <c r="BO126" s="45" t="str">
        <f>IF(D128="Futures",[1]AB3!$BP$6,IF(D128="Options Sell",[1]AB3!$BP$12,IF(D128="Options Buy",[1]AB3!$BP$18)))</f>
        <v>Call</v>
      </c>
      <c r="BP126" s="43" t="str">
        <f t="array" ref="BP126">IF(A126="","",IF(D128="Futures","",IF(D128="EQUITY","",IF(D128="Options Sell",CONCATENATE([1]AB3!$BQ$12,INDEX([1]AB2!J:J,MATCH(A126,[1]AB2!A:A,0)),[1]AB3!$BR$12),IF(D128="Options Buy",CONCATENATE([1]AB3!$BQ$18,INDEX([1]AB2!J:J,MATCH(A126,[1]AB2!A:A,0)),[1]AB3!$BR$18))))))</f>
        <v>SPT : PRV : 3DLL</v>
      </c>
      <c r="BQ126" s="82" t="s">
        <v>53</v>
      </c>
      <c r="BR126" s="58">
        <v>0.05</v>
      </c>
      <c r="BS126" s="76" t="s">
        <v>54</v>
      </c>
      <c r="BT126" s="37" t="str">
        <f t="shared" ref="BT126:BT127" si="223">BP126</f>
        <v>SPT : PRV : 3DLL</v>
      </c>
      <c r="BU126" s="76"/>
      <c r="BV126" s="58"/>
      <c r="BW126" s="76" t="s">
        <v>54</v>
      </c>
      <c r="BX126" s="82" t="s">
        <v>55</v>
      </c>
      <c r="BY126" s="76">
        <v>1</v>
      </c>
      <c r="BZ126" s="58"/>
      <c r="CA126" s="58"/>
      <c r="CB126" s="58"/>
      <c r="CC126" s="58"/>
      <c r="CD126" s="58"/>
      <c r="CE126" s="43" t="str">
        <f t="shared" ref="CE126:CE127" si="224">BP126</f>
        <v>SPT : PRV : 3DLL</v>
      </c>
      <c r="CF126" s="58">
        <v>0.02</v>
      </c>
      <c r="CG126" s="43" t="str">
        <f t="shared" ref="CG126:CG127" si="225">CE126</f>
        <v>SPT : PRV : 3DLL</v>
      </c>
      <c r="CH126" s="58">
        <v>1.4999999999999999E-2</v>
      </c>
      <c r="CI126" s="75">
        <v>500</v>
      </c>
      <c r="CJ126" s="75">
        <v>1</v>
      </c>
      <c r="CK126" s="59"/>
      <c r="CL126" s="43"/>
      <c r="CM126" s="43"/>
      <c r="CN126" s="59"/>
      <c r="CO126" s="43"/>
      <c r="CP126" s="43"/>
      <c r="CQ126" s="59"/>
      <c r="CR126" s="58">
        <v>0.05</v>
      </c>
      <c r="CS126" s="58"/>
      <c r="CT126" s="59"/>
      <c r="CU126" s="55">
        <f>IF(D128="Futures",BE130-([1]AB3!$CG$6/1440),IF(D128="Options Sell",BE130-([1]AB3!$CG$12/1440),IF(D128="Options Buy",BE130-([1]AB3!$CG$18/1440),IF(D128="EQUITY",""))))</f>
        <v>0.625</v>
      </c>
      <c r="CV126" s="59"/>
      <c r="CW126" s="59"/>
    </row>
    <row r="127" spans="1:101" ht="15.75" customHeight="1" x14ac:dyDescent="0.2">
      <c r="A127" s="60"/>
      <c r="B127" s="41" t="str">
        <f>CONCATENATE(D126,IF(D128="Futures",[1]AB3!$B$7,IF(D128="Options Sell",[1]AB3!$B$13,IF(D128="Options Buy",[1]AB3!$B$19))))</f>
        <v>S21B</v>
      </c>
      <c r="C127" s="42" t="str">
        <f>IF(D128="Futures",[1]AB3!$C$7,IF(D128="Options Sell",[1]AB3!$C$13,IF(D128="Options Buy",[1]AB3!$C$19)))</f>
        <v>Unique Code</v>
      </c>
      <c r="D127" s="43" t="str">
        <f t="array" ref="D127">IF(A126="","",INDEX([1]AB2!N:N,MATCH(D126,[1]AB2!B:B,0)))</f>
        <v>BANKNIFTY_OP_SELL_MT_DIFF_2D_3D</v>
      </c>
      <c r="E127" s="32"/>
      <c r="F127" s="61" t="str">
        <f>IF(D128="Futures",[1]AB3!$F$7,IF(D128="Options Sell",[1]AB3!$F$13,IF(D128="Options Buy",[1]AB3!$F$19)))</f>
        <v>Put</v>
      </c>
      <c r="G127" s="84" t="str">
        <f t="array" ref="G127">IF(A126="","",IF(D128="Futures",CONCATENATE([1]AB3!$G$7,INDEX([1]AB2!J:J,MATCH(D126,[1]AB2!B:B,0)),[1]AB3!$H$7),IF(D128="Options Sell",CONCATENATE([1]AB3!$G$13,INDEX([1]AB2!I:I,MATCH(D126,[1]AB2!B:B,0)),[1]AB3!$H$13),IF(D128="Options Buy",CONCATENATE([1]AB3!$G$19,INDEX([1]AB2!J:J,MATCH(D126,[1]AB2!B:B,0)),[1]AB3!$H$19)))))</f>
        <v>OPT : PRV : 2DLL</v>
      </c>
      <c r="H127" s="43" t="str">
        <f>IF(D128="Futures",[1]AB3!$I$7,IF(D128="Options Sell",[1]AB3!$I$13,IF(D128="Options Buy",[1]AB3!$I$19)))</f>
        <v xml:space="preserve"> - </v>
      </c>
      <c r="I127" s="72">
        <v>7.4999999999999997E-2</v>
      </c>
      <c r="J127" s="73">
        <v>1</v>
      </c>
      <c r="K127" s="48"/>
      <c r="L127" s="43" t="str">
        <f>IF(D128="Futures",[1]AB3!$M$7,IF(D128="Options Sell",[1]AB3!$M$13,IF(D128="Options Buy",[1]AB3!$M$19)))</f>
        <v xml:space="preserve">PE : Entry </v>
      </c>
      <c r="M127" s="43" t="str">
        <f>IF(D128="Futures",[1]AB3!$N$7,IF(D128="Options Sell",[1]AB3!$N$13,IF(D128="Options Buy",[1]AB3!$N$19)))</f>
        <v xml:space="preserve"> - </v>
      </c>
      <c r="N127" s="74">
        <v>0.6</v>
      </c>
      <c r="O127" s="75">
        <v>1</v>
      </c>
      <c r="P127" s="58"/>
      <c r="Q127" s="75"/>
      <c r="R127" s="58"/>
      <c r="S127" s="75"/>
      <c r="T127" s="58"/>
      <c r="U127" s="75"/>
      <c r="V127" s="76"/>
      <c r="W127" s="75"/>
      <c r="X127" s="76"/>
      <c r="Y127" s="76"/>
      <c r="Z127" s="48"/>
      <c r="AA127" s="43" t="str">
        <f>IF(D128="Futures",[1]AB3!$AD$7,IF(D128="Options Sell",[1]AB3!$AD$13,IF(D128="Options Buy",[1]AB3!$AD$19)))</f>
        <v>Min</v>
      </c>
      <c r="AB127" s="43" t="str">
        <f>IF(D128="Futures",[1]AB3!$AE$7,IF(D128="Options Sell",[1]AB3!$AE$13,IF(D128="Options Buy",[1]AB3!$AE$19)))</f>
        <v>MSL &amp; TSL</v>
      </c>
      <c r="AC127" s="43" t="str">
        <f>IF(D128="Futures",[1]AB3!$AF$7,IF(D128="Options Sell",[1]AB3!$AF$13,IF(D128="Options Buy",[1]AB3!$AF$19)))</f>
        <v>Entry &amp; TRP</v>
      </c>
      <c r="AD127" s="48"/>
      <c r="AE127" s="43" t="str">
        <f>IF(D128="Futures",[1]AB3!$AH$7,IF(D128="Options Sell",[1]AB3!$AH$13,IF(D128="Options Buy",[1]AB3!$AH$19)))</f>
        <v xml:space="preserve">PE : Entry </v>
      </c>
      <c r="AF127" s="43" t="str">
        <f>IF(D128="Futures",[1]AB3!$AI$7,IF(D128="Options Sell",[1]AB3!$AI$13,IF(D128="Options Buy",[1]AB3!$AI$19)))</f>
        <v xml:space="preserve"> + </v>
      </c>
      <c r="AG127" s="77">
        <v>0.6</v>
      </c>
      <c r="AH127" s="77">
        <v>0</v>
      </c>
      <c r="AI127" s="48"/>
      <c r="AJ127" s="43" t="str">
        <f>IF(D128="Futures",[1]AB3!$AO$7,IF(D128="Options Sell",[1]AB3!$AO$13,IF(D128="Options Buy",[1]AB3!$AO$19)))</f>
        <v xml:space="preserve"> + </v>
      </c>
      <c r="AK127" s="43" t="str">
        <f t="array" ref="AK127">IF(A126="","",IF(D128="Futures",CONCATENATE([1]AB3!$AP$7,INDEX([1]AB2!M:M,MATCH(D126,[1]AB2!B:B,0)),[1]AB3!$AQ$7),IF(D128="Options Sell",CONCATENATE([1]AB3!$AP$13,INDEX([1]AB2!L:L,MATCH(D126,[1]AB2!B:B,0)),[1]AB3!$AQ$13),IF(D128="Options Buy",CONCATENATE([1]AB3!$AP$19,INDEX([1]AB2!M:M,MATCH(D126,[1]AB2!B:B,0)),[1]AB3!$AQ$19)))))</f>
        <v>OPT : PRV : 3DHH</v>
      </c>
      <c r="AL127" s="79">
        <v>0.1</v>
      </c>
      <c r="AM127" s="52">
        <f>J126</f>
        <v>1</v>
      </c>
      <c r="AN127" s="51">
        <f t="array" ref="AN127">IF(A126="","",IF(AND(OR(D130="1 &amp; APS",D130="2 &amp; APS",D130="3 &amp; APS",D130="4 &amp; APS",D130="5 &amp; APS"),D128="Futures"),CONCATENATE([1]AB3!$AP$7,INDEX([1]AB2!M:M,MATCH(D126,[1]AB2!B:B,0)),[1]AB3!$AQ$7),IF(AND(OR(D130="1 &amp; APS",D130="2 &amp; APS",D130="3 &amp; APS",D130="4 &amp; APS",D130="5 &amp; APS"),D128="Options Sell"),CONCATENATE([1]AB3!$AP$13,INDEX([1]AB2!L:L,MATCH(D126,[1]AB2!B:B,0)),[1]AB3!$AQ$13),IF(AND(OR(D130="1 &amp; APS",D130="2 &amp; APS",D130="3 &amp; APS",D130="4 &amp; APS",D130="5 &amp; APS"),D128="Options Buy"),CONCATENATE([1]AB3!$AP$19,INDEX([1]AB2!M:M,MATCH(D126,[1]AB2!B:B,0)),[1]AB3!$AQ$19),[1]AB3!$AR$6))))</f>
        <v>0</v>
      </c>
      <c r="AO127" s="58"/>
      <c r="AP127" s="52">
        <f t="shared" si="218"/>
        <v>0</v>
      </c>
      <c r="AQ127" s="51">
        <f t="array" ref="AQ127">IF(A126="","",IF(AND(OR(D130="2 &amp; APS",D130="3 &amp; APS",D130="4 &amp; APS",D130="5 &amp; APS"),D128="Futures"),CONCATENATE([1]AB3!$AP$7,INDEX([1]AB2!M:M,MATCH(D126,[1]AB2!B:B,0)),[1]AB3!$AQ$7),IF(AND(OR(D130="2 &amp; APS",D130="3 &amp; APS",D130="4 &amp; APS",D130="5 &amp; APS"),D128="Options Sell"),CONCATENATE([1]AB3!$AP$13,INDEX([1]AB2!L:L,MATCH(D126,[1]AB2!B:B,0)),[1]AB3!$AQ$13),IF(AND(OR(D130="2 &amp; APS",D130="3 &amp; APS",D130="4 &amp; APS",D130="5 &amp; APS"),D128="Options Buy"),CONCATENATE([1]AB3!$AP$19,INDEX([1]AB2!M:M,MATCH(D126,[1]AB2!B:B,0)),[1]AB3!$AQ$19),[1]AB3!$AR$6))))</f>
        <v>0</v>
      </c>
      <c r="AR127" s="58"/>
      <c r="AS127" s="52">
        <f t="shared" si="219"/>
        <v>0</v>
      </c>
      <c r="AT127" s="51">
        <f t="array" ref="AT127">IF(A126="","",IF(AND(OR(D130="3 &amp; APS",D130="4 &amp; APS",D130="5 &amp; APS"),D128="Futures"),CONCATENATE([1]AB3!$AP$7,INDEX([1]AB2!M:M,MATCH(D126,[1]AB2!B:B,0)),[1]AB3!$AQ$7),IF(AND(OR(D130="3 &amp; APS",D130="4 &amp; APS",D130="5 &amp; APS"),D128="Options Sell"),CONCATENATE([1]AB3!$AP$13,INDEX([1]AB2!L:L,MATCH(D126,[1]AB2!B:B,0)),[1]AB3!$AQ$13),IF(AND(OR(D130="3 &amp; APS",D130="4 &amp; APS",D130="5 &amp; APS"),D128="Options Buy"),CONCATENATE([1]AB3!$AP$19,INDEX([1]AB2!M:M,MATCH(D126,[1]AB2!B:B,0)),[1]AB3!$AQ$19),[1]AB3!$AR$6))))</f>
        <v>0</v>
      </c>
      <c r="AU127" s="58"/>
      <c r="AV127" s="52">
        <f t="shared" si="220"/>
        <v>0</v>
      </c>
      <c r="AW127" s="51">
        <f t="array" ref="AW127">IF(A126="","",IF(AND(OR(D130="4 &amp; APS",D130="5 &amp; APS"),D128="Futures"),CONCATENATE([1]AB3!$AP$7,INDEX([1]AB2!M:M,MATCH(D126,[1]AB2!B:B,0)),[1]AB3!$AQ$7),IF(AND(OR(D130="4 &amp; APS",D130="5 &amp; APS"),D128="Options Sell"),CONCATENATE([1]AB3!$AP$13,INDEX([1]AB2!L:L,MATCH(D126,[1]AB2!B:B,0)),[1]AB3!$AQ$13),IF(AND(OR(D130="4 &amp; APS",D130="5 &amp; APS"),D128="Options Buy"),CONCATENATE([1]AB3!$AP$19,INDEX([1]AB2!M:M,MATCH(D126,[1]AB2!B:B,0)),[1]AB3!$AQ$19),[1]AB3!$AR$6))))</f>
        <v>0</v>
      </c>
      <c r="AX127" s="58"/>
      <c r="AY127" s="52">
        <f t="shared" si="221"/>
        <v>0</v>
      </c>
      <c r="AZ127" s="51">
        <f t="array" ref="AZ127">IF(A126="","",IF(AND(D130="5 &amp; APS",D128="Futures"),CONCATENATE([1]AB3!$AP$7,INDEX([1]AB2!M:M,MATCH(D126,[1]AB2!B:B,0)),[1]AB3!$AQ$7),IF(AND(D130="5 &amp; APS",D128="Options Sell"),CONCATENATE([1]AB3!$AP$13,INDEX([1]AB2!L:L,MATCH(D126,[1]AB2!B:B,0)),[1]AB3!$AQ$13),IF(AND(D130="5 &amp; APS",D128="Options Buy"),CONCATENATE([1]AB3!$AP$19,INDEX([1]AB2!M:M,MATCH(D126,[1]AB2!B:B,0)),[1]AB3!$AQ$19),[1]AB3!$AR$6))))</f>
        <v>0</v>
      </c>
      <c r="BA127" s="58"/>
      <c r="BB127" s="52">
        <f t="shared" si="222"/>
        <v>0</v>
      </c>
      <c r="BC127" s="53"/>
      <c r="BD127" s="54" t="str">
        <f>IF(D128="Futures",[1]AB3!$BE$7,IF(D128="Options Sell",[1]AB3!$BE$13,IF(D128="Options Buy",[1]AB3!$BE$19)))</f>
        <v xml:space="preserve"> RC. Time</v>
      </c>
      <c r="BE127" s="55">
        <f>IF(D128="Futures",BE129+([1]AB3!$BF$7/1440),IF(D128="Options Sell",BE129+([1]AB3!$BF$13/1440),IF(D128="Options Buy",BE129+([1]AB3!$BF$19/1440))))</f>
        <v>0.39582638888888888</v>
      </c>
      <c r="BF127" s="55">
        <f>IF(D128="Futures",BE129+([1]AB3!$BG$7/1440),IF(D128="Options Sell",BE129+([1]AB3!$BG$13/1440),IF(D128="Options Buy",BE129+([1]AB3!$BG$19/1440))))</f>
        <v>0.39582638888888888</v>
      </c>
      <c r="BG127" s="55" t="str">
        <f>IF(D128="Futures",[1]AB3!$BH$7,IF(D128="Options Sell",[1]AB3!$BH$7,IF(D128="Options Buy",[1]AB3!$BH$7)))</f>
        <v>N.A.</v>
      </c>
      <c r="BH127" s="56"/>
      <c r="BI127" s="32"/>
      <c r="BJ127" s="61" t="str">
        <f>IF(D128="Futures",[1]AB3!$BK$7,IF(D128="Options Sell",[1]AB3!$BK$13,IF(D128="Options Buy",[1]AB3!$BK$19)))</f>
        <v>Put</v>
      </c>
      <c r="BK127" s="80">
        <v>7.4999999999999997E-2</v>
      </c>
      <c r="BL127" s="81">
        <v>0.1</v>
      </c>
      <c r="BM127" s="57"/>
      <c r="BN127" s="32"/>
      <c r="BO127" s="61" t="str">
        <f>IF(D128="Futures",[1]AB3!$BP$7,IF(D128="Options Sell",[1]AB3!$BP$13,IF(D128="Options Buy",[1]AB3!$BP$19)))</f>
        <v>Put</v>
      </c>
      <c r="BP127" s="43" t="str">
        <f t="array" ref="BP127">IF(A126="","",IF(D128="Futures","",IF(D128="EQUITY","",IF(D128="Options Sell",CONCATENATE([1]AB3!$BQ$13,INDEX([1]AB2!I:I,MATCH(A126,[1]AB2!A:A,0)),[1]AB3!$BR$13),IF(D128="Options Buy",CONCATENATE([1]AB3!$BQ$19,INDEX([1]AB2!I:I,MATCH(A126,[1]AB2!A:A,0)),[1]AB3!$BR$19))))))</f>
        <v>SPT : PRV : 2DHH</v>
      </c>
      <c r="BQ127" s="83" t="s">
        <v>55</v>
      </c>
      <c r="BR127" s="58">
        <v>0.05</v>
      </c>
      <c r="BS127" s="76" t="s">
        <v>56</v>
      </c>
      <c r="BT127" s="84" t="str">
        <f t="shared" si="223"/>
        <v>SPT : PRV : 2DHH</v>
      </c>
      <c r="BU127" s="85"/>
      <c r="BV127" s="58"/>
      <c r="BW127" s="76" t="s">
        <v>56</v>
      </c>
      <c r="BX127" s="82" t="s">
        <v>53</v>
      </c>
      <c r="BY127" s="76">
        <v>1</v>
      </c>
      <c r="BZ127" s="58"/>
      <c r="CA127" s="58"/>
      <c r="CB127" s="58"/>
      <c r="CC127" s="58"/>
      <c r="CD127" s="58"/>
      <c r="CE127" s="43" t="str">
        <f t="shared" si="224"/>
        <v>SPT : PRV : 2DHH</v>
      </c>
      <c r="CF127" s="58">
        <v>0.02</v>
      </c>
      <c r="CG127" s="43" t="str">
        <f t="shared" si="225"/>
        <v>SPT : PRV : 2DHH</v>
      </c>
      <c r="CH127" s="58">
        <v>1.4999999999999999E-2</v>
      </c>
      <c r="CI127" s="75">
        <v>500</v>
      </c>
      <c r="CJ127" s="75">
        <v>1</v>
      </c>
      <c r="CK127" s="59"/>
      <c r="CL127" s="43"/>
      <c r="CM127" s="43"/>
      <c r="CN127" s="59"/>
      <c r="CO127" s="43"/>
      <c r="CP127" s="43"/>
      <c r="CQ127" s="59"/>
      <c r="CR127" s="58">
        <v>0.05</v>
      </c>
      <c r="CS127" s="58"/>
      <c r="CT127" s="59"/>
      <c r="CU127" s="43"/>
      <c r="CV127" s="59"/>
      <c r="CW127" s="59"/>
    </row>
    <row r="128" spans="1:101" ht="15.75" customHeight="1" x14ac:dyDescent="0.2">
      <c r="A128" s="60"/>
      <c r="B128" s="41" t="str">
        <f>CONCATENATE(D126,IF(D128="Futures",[1]AB3!$B$8,IF(D128="Options Sell",[1]AB3!$B$14,IF(D128="Options Buy",[1]AB3!$B$20))))</f>
        <v>S21C</v>
      </c>
      <c r="C128" s="42" t="str">
        <f>IF(D128="Futures",[1]AB3!$C$8,IF(D128="Options Sell",[1]AB3!$C$14,IF(D128="Options Buy",[1]AB3!$C$20)))</f>
        <v>Segment</v>
      </c>
      <c r="D128" s="43" t="str">
        <f t="array" ref="D128">IF(A126="","",INDEX([1]AB2!C:C,MATCH(D126,[1]AB2!B:B,0)))</f>
        <v>OPTIONS SELL</v>
      </c>
      <c r="E128" s="42" t="str">
        <f>IF(D128="Futures",[1]AB3!$E$8,IF(D128="Options Sell",[1]AB3!$E$14,IF(D128="Options Buy",[1]AB3!$E$20)))</f>
        <v>Contract</v>
      </c>
      <c r="F128" s="43" t="str">
        <f t="array" ref="F128">IF(A126="","",INDEX([1]AB2!F:F,MATCH(D126,[1]AB2!B:B,0)))</f>
        <v>MONTHLY</v>
      </c>
      <c r="G128" s="105"/>
      <c r="H128" s="62"/>
      <c r="I128" s="86"/>
      <c r="J128" s="87"/>
      <c r="K128" s="48"/>
      <c r="L128" s="62"/>
      <c r="M128" s="62"/>
      <c r="N128" s="88"/>
      <c r="O128" s="89"/>
      <c r="P128" s="62"/>
      <c r="Q128" s="89"/>
      <c r="R128" s="62"/>
      <c r="S128" s="89"/>
      <c r="T128" s="62"/>
      <c r="U128" s="89"/>
      <c r="V128" s="62"/>
      <c r="W128" s="89"/>
      <c r="X128" s="62"/>
      <c r="Y128" s="62"/>
      <c r="Z128" s="48"/>
      <c r="AA128" s="62"/>
      <c r="AB128" s="62"/>
      <c r="AC128" s="62"/>
      <c r="AD128" s="48"/>
      <c r="AE128" s="62"/>
      <c r="AF128" s="62"/>
      <c r="AG128" s="90"/>
      <c r="AH128" s="90"/>
      <c r="AI128" s="48"/>
      <c r="AJ128" s="62"/>
      <c r="AK128" s="62"/>
      <c r="AL128" s="91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53"/>
      <c r="BD128" s="57"/>
      <c r="BE128" s="57"/>
      <c r="BF128" s="57"/>
      <c r="BG128" s="57"/>
      <c r="BH128" s="57"/>
      <c r="BI128" s="66"/>
      <c r="BJ128" s="62"/>
      <c r="BK128" s="92"/>
      <c r="BL128" s="92"/>
      <c r="BM128" s="57"/>
      <c r="BN128" s="66"/>
      <c r="BO128" s="62"/>
      <c r="BP128" s="62"/>
      <c r="BQ128" s="93"/>
      <c r="BR128" s="62"/>
      <c r="BS128" s="62"/>
      <c r="BT128" s="94"/>
      <c r="BU128" s="93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59"/>
      <c r="CL128" s="62"/>
      <c r="CM128" s="62"/>
      <c r="CN128" s="59"/>
      <c r="CO128" s="62"/>
      <c r="CP128" s="62"/>
      <c r="CQ128" s="59"/>
      <c r="CR128" s="62"/>
      <c r="CS128" s="62"/>
      <c r="CT128" s="59"/>
      <c r="CU128" s="62"/>
      <c r="CV128" s="59"/>
      <c r="CW128" s="59"/>
    </row>
    <row r="129" spans="1:101" ht="15.75" customHeight="1" x14ac:dyDescent="0.2">
      <c r="A129" s="60"/>
      <c r="B129" s="41" t="str">
        <f>CONCATENATE(D126,IF(D128="Futures",[1]AB3!$B$9,IF(D128="Options Sell",[1]AB3!$B$15,IF(D128="Options Buy",[1]AB3!$B$21))))</f>
        <v>S21D</v>
      </c>
      <c r="C129" s="42" t="str">
        <f>IF(D128="Futures",[1]AB3!$C$9,IF(D128="Options Sell",[1]AB3!$C$15,IF(D128="Options Buy",[1]AB3!$C$21)))</f>
        <v>Symbol</v>
      </c>
      <c r="D129" s="43" t="str">
        <f t="array" ref="D129">IF(A126="","",INDEX([1]AB2!E:E,MATCH(D126,[1]AB2!B:B,0)))</f>
        <v>BANKNIFTY</v>
      </c>
      <c r="E129" s="44" t="str">
        <f>IF(D128="Futures",[1]AB3!$E$9,IF(D128="Options Sell",[1]AB3!$E$15,IF(D128="Options Buy",[1]AB3!$E$21)))</f>
        <v>Bear / 
Bear CF</v>
      </c>
      <c r="F129" s="45" t="str">
        <f>IF(D128="Futures",[1]AB3!$F$9,IF(D128="Options Sell",[1]AB3!$F$15,IF(D128="Options Buy",[1]AB3!$F$21)))</f>
        <v>Call</v>
      </c>
      <c r="G129" s="84" t="str">
        <f t="array" ref="G129">IF(A126="","",IF(D128="Futures",CONCATENATE([1]AB3!$G$9,INDEX([1]AB2!J:J,MATCH(D126,[1]AB2!B:B,0)),[1]AB3!$H$9),IF(D128="Options Sell",CONCATENATE([1]AB3!$G$15,INDEX([1]AB2!I:I,MATCH(D126,[1]AB2!B:B,0)),[1]AB3!$H$15),IF(D128="Options Buy",CONCATENATE([1]AB3!$G$21,INDEX([1]AB2!J:J,MATCH(D126,[1]AB2!B:B,0)),[1]AB3!$H$21)))))</f>
        <v>OPT : PRV : 2DLL</v>
      </c>
      <c r="H129" s="43" t="str">
        <f>IF(D128="Futures",[1]AB3!$I$9,IF(D128="Options Sell",[1]AB3!$I$15,IF(D128="Options Buy",[1]AB3!$I$21)))</f>
        <v xml:space="preserve"> - </v>
      </c>
      <c r="I129" s="72">
        <v>7.4999999999999997E-2</v>
      </c>
      <c r="J129" s="73">
        <v>1</v>
      </c>
      <c r="K129" s="48"/>
      <c r="L129" s="43" t="str">
        <f>IF(D128="Futures",[1]AB3!$M$9,IF(D128="Options Sell",[1]AB3!$M$15,IF(D128="Options Buy",[1]AB3!$M$21)))</f>
        <v xml:space="preserve">CE : Entry </v>
      </c>
      <c r="M129" s="43" t="str">
        <f>IF(D128="Futures",[1]AB3!$N$9,IF(D128="Options Sell",[1]AB3!$N$15,IF(D128="Options Buy",[1]AB3!$N$21)))</f>
        <v xml:space="preserve"> - </v>
      </c>
      <c r="N129" s="74">
        <v>0.6</v>
      </c>
      <c r="O129" s="75">
        <v>1</v>
      </c>
      <c r="P129" s="58"/>
      <c r="Q129" s="75"/>
      <c r="R129" s="58"/>
      <c r="S129" s="75"/>
      <c r="T129" s="58"/>
      <c r="U129" s="75"/>
      <c r="V129" s="76"/>
      <c r="W129" s="75"/>
      <c r="X129" s="76"/>
      <c r="Y129" s="76"/>
      <c r="Z129" s="48"/>
      <c r="AA129" s="43" t="str">
        <f>IF(D128="Futures",[1]AB3!$AD$9,IF(D128="Options Sell",[1]AB3!$AD$15,IF(D128="Options Buy",[1]AB3!$AD$21)))</f>
        <v>Min</v>
      </c>
      <c r="AB129" s="43" t="str">
        <f>IF(D128="Futures",[1]AB3!$AE$9,IF(D128="Options Sell",[1]AB3!$AE$15,IF(D128="Options Buy",[1]AB3!$AE$21)))</f>
        <v>MSL &amp; TSL</v>
      </c>
      <c r="AC129" s="43" t="str">
        <f>IF(D128="Futures",[1]AB3!$AF$9,IF(D128="Options Sell",[1]AB3!$AF$15,IF(D128="Options Buy",[1]AB3!$AF$21)))</f>
        <v>Entry &amp; TRP</v>
      </c>
      <c r="AD129" s="48"/>
      <c r="AE129" s="43" t="str">
        <f>IF(D128="Futures",[1]AB3!$AH$9,IF(D128="Options Sell",[1]AB3!$AH$15,IF(D128="Options Buy",[1]AB3!$AH$21)))</f>
        <v xml:space="preserve">CE : Entry </v>
      </c>
      <c r="AF129" s="43" t="str">
        <f>IF(D128="Futures",[1]AB3!$AI$9,IF(D128="Options Sell",[1]AB3!$AI$15,IF(D128="Options Buy",[1]AB3!$AI$21)))</f>
        <v xml:space="preserve"> + </v>
      </c>
      <c r="AG129" s="77">
        <v>0.6</v>
      </c>
      <c r="AH129" s="77">
        <v>0</v>
      </c>
      <c r="AI129" s="48"/>
      <c r="AJ129" s="43" t="str">
        <f>IF(D128="Futures",[1]AB3!$AO$9,IF(D128="Options Sell",[1]AB3!$AO$15,IF(D128="Options Buy",[1]AB3!$AO$21)))</f>
        <v xml:space="preserve"> + </v>
      </c>
      <c r="AK129" s="43" t="str">
        <f t="array" ref="AK129">IF(A126="","",IF(D128="Futures",CONCATENATE([1]AB3!$AP$9,INDEX([1]AB2!M:M,MATCH(D126,[1]AB2!B:B,0)),[1]AB3!$AQ$9),IF(D128="Options Sell",CONCATENATE([1]AB3!$AP$15,INDEX([1]AB2!L:L,MATCH(D126,[1]AB2!B:B,0)),[1]AB3!$AQ$15),IF(D128="Options Buy",CONCATENATE([1]AB3!$AP$21,INDEX([1]AB2!M:M,MATCH(D126,[1]AB2!B:B,0)),[1]AB3!$AQ$21)))))</f>
        <v>OPT : PRV : 3DHH</v>
      </c>
      <c r="AL129" s="79">
        <v>0.1</v>
      </c>
      <c r="AM129" s="52">
        <f>J130</f>
        <v>1</v>
      </c>
      <c r="AN129" s="51">
        <f t="array" ref="AN129">IF(A126="","",IF(AND(OR(D130="1 &amp; APS",D130="2 &amp; APS",D130="3 &amp; APS",D130="4 &amp; APS",D130="5 &amp; APS"),D128="Futures"),CONCATENATE([1]AB3!$AP$9,INDEX([1]AB2!M:M,MATCH(D126,[1]AB2!B:B,0)),[1]AB3!$AQ$9),IF(AND(OR(D130="1 &amp; APS",D130="2 &amp; APS",D130="3 &amp; APS",D130="4 &amp; APS",D130="5 &amp; APS"),D128="Options Sell"),CONCATENATE([1]AB3!$AP$15,INDEX([1]AB2!L:L,MATCH(D126,[1]AB2!B:B,0)),[1]AB3!$AQ$15),IF(AND(OR(D130="1 &amp; APS",D130="2 &amp; APS",D130="3 &amp; APS",D130="4 &amp; APS",D130="5 &amp; APS"),D128="Options Buy"),CONCATENATE([1]AB3!$AP$21,INDEX([1]AB2!M:M,MATCH(D126,[1]AB2!B:B,0)),[1]AB3!$AQ$21),[1]AB3!$AR$6))))</f>
        <v>0</v>
      </c>
      <c r="AO129" s="58"/>
      <c r="AP129" s="52">
        <f t="shared" ref="AP129:AP130" si="226">AM129-O129</f>
        <v>0</v>
      </c>
      <c r="AQ129" s="51">
        <f t="array" ref="AQ129">IF(A126="","",IF(AND(OR(D130="2 &amp; APS",D130="3 &amp; APS",D130="4 &amp; APS",D130="5 &amp; APS"),D128="Futures"),CONCATENATE([1]AB3!$AP$9,INDEX([1]AB2!M:M,MATCH(D126,[1]AB2!B:B,0)),[1]AB3!$AQ$9),IF(AND(OR(D130="2 &amp; APS",D130="3 &amp; APS",D130="4 &amp; APS",D130="5 &amp; APS"),D128="Options Sell"),CONCATENATE([1]AB3!$AP$15,INDEX([1]AB2!L:L,MATCH(D126,[1]AB2!B:B,0)),[1]AB3!$AQ$15),IF(AND(OR(D130="2 &amp; APS",D130="3 &amp; APS",D130="4 &amp; APS",D130="5 &amp; APS"),D128="Options Buy"),CONCATENATE([1]AB3!$AP$21,INDEX([1]AB2!M:M,MATCH(D126,[1]AB2!B:B,0)),[1]AB3!$AQ$21),[1]AB3!$AR$6))))</f>
        <v>0</v>
      </c>
      <c r="AR129" s="58"/>
      <c r="AS129" s="52">
        <f t="shared" ref="AS129:AS130" si="227">AP129-Q129</f>
        <v>0</v>
      </c>
      <c r="AT129" s="51">
        <f t="array" ref="AT129">IF(A126="","",IF(AND(OR(D130="3 &amp; APS",D130="4 &amp; APS",D130="5 &amp; APS"),D128="Futures"),CONCATENATE([1]AB3!$AP$9,INDEX([1]AB2!M:M,MATCH(D126,[1]AB2!B:B,0)),[1]AB3!$AQ$9),IF(AND(OR(D130="3 &amp; APS",D130="4 &amp; APS",D130="5 &amp; APS"),D128="Options Sell"),CONCATENATE([1]AB3!$AP$15,INDEX([1]AB2!L:L,MATCH(D126,[1]AB2!B:B,0)),[1]AB3!$AQ$15),IF(AND(OR(D130="3 &amp; APS",D130="4 &amp; APS",D130="5 &amp; APS"),D128="Options Buy"),CONCATENATE([1]AB3!$AP$21,INDEX([1]AB2!M:M,MATCH(D126,[1]AB2!B:B,0)),[1]AB3!$AQ$21),[1]AB3!$AR$6))))</f>
        <v>0</v>
      </c>
      <c r="AU129" s="58"/>
      <c r="AV129" s="52">
        <f t="shared" ref="AV129:AV130" si="228">AS129-S129</f>
        <v>0</v>
      </c>
      <c r="AW129" s="51">
        <f t="array" ref="AW129">IF(A126="","",IF(AND(OR(D130="4 &amp; APS",D130="5 &amp; APS"),D128="Futures"),CONCATENATE([1]AB3!$AP$9,INDEX([1]AB2!M:M,MATCH(D126,[1]AB2!B:B,0)),[1]AB3!$AQ$9),IF(AND(OR(D130="4 &amp; APS",D130="5 &amp; APS"),D128="Options Sell"),CONCATENATE([1]AB3!$AP$15,INDEX([1]AB2!L:L,MATCH(D126,[1]AB2!B:B,0)),[1]AB3!$AQ$15),IF(AND(OR(D130="4 &amp; APS",D130="5 &amp; APS"),D128="Options Buy"),CONCATENATE([1]AB3!$AP$21,INDEX([1]AB2!M:M,MATCH(D126,[1]AB2!B:B,0)),[1]AB3!$AQ$21),[1]AB3!$AR$6))))</f>
        <v>0</v>
      </c>
      <c r="AX129" s="58"/>
      <c r="AY129" s="52">
        <f t="shared" ref="AY129:AY130" si="229">AV129-S129</f>
        <v>0</v>
      </c>
      <c r="AZ129" s="51">
        <f t="array" ref="AZ129">IF(A126="","",IF(AND(D130="5 &amp; APS",D128="Futures"),CONCATENATE([1]AB3!$AP$9,INDEX([1]AB2!M:M,MATCH(D126,[1]AB2!B:B,0)),[1]AB3!$AQ$9),IF(AND(D130="5 &amp; APS",D128="Options Sell"),CONCATENATE([1]AB3!$AP$15,INDEX([1]AB2!L:L,MATCH(D126,[1]AB2!B:B,0)),[1]AB3!$AQ$15),IF(AND(D130="5 &amp; APS",D128="Options Buy"),CONCATENATE([1]AB3!$AP$21,INDEX([1]AB2!M:M,MATCH(D126,[1]AB2!B:B,0)),[1]AB3!$AQ$21),[1]AB3!$AR$6))))</f>
        <v>0</v>
      </c>
      <c r="BA129" s="58"/>
      <c r="BB129" s="52">
        <f t="shared" ref="BB129:BB130" si="230">AY129-W129</f>
        <v>0</v>
      </c>
      <c r="BC129" s="53"/>
      <c r="BD129" s="54" t="str">
        <f>IF(D128="Futures",[1]AB3!$BE$9,IF(D128="Options Sell",[1]AB3!$BE$15,IF(D128="Options Buy",[1]AB3!$BE$21)))</f>
        <v>Market Start Time</v>
      </c>
      <c r="BE129" s="67">
        <f t="array" ref="BE129">IF(D126="","",INDEX([1]AB2!AG:AG,MATCH(D126,[1]AB2!B:B,0)))</f>
        <v>0.38541666666666669</v>
      </c>
      <c r="BF129" s="11"/>
      <c r="BG129" s="12"/>
      <c r="BH129" s="57"/>
      <c r="BI129" s="68" t="str">
        <f>IF(D128="Futures",[1]AB3!$BJ$9,IF(D128="Options Sell",[1]AB3!$BJ$15,IF(D128="Options Buy",[1]AB3!$BJ$21)))</f>
        <v>Bear / 
Bear CF</v>
      </c>
      <c r="BJ129" s="45" t="str">
        <f>IF(D128="Futures",[1]AB3!$BK$9,IF(D128="Options Sell",[1]AB3!$BK$15,IF(D128="Options Buy",[1]AB3!$BK$21)))</f>
        <v>Call</v>
      </c>
      <c r="BK129" s="80">
        <v>7.4999999999999997E-2</v>
      </c>
      <c r="BL129" s="81">
        <v>0.1</v>
      </c>
      <c r="BM129" s="57"/>
      <c r="BN129" s="68" t="str">
        <f>IF(D128="Futures",[1]AB3!$BO$9,IF(D128="Options Sell",[1]AB3!$BO$15,IF(D128="Options Buy",[1]AB3!$BO$21)))</f>
        <v>Bear | 
Bear CF</v>
      </c>
      <c r="BO129" s="45" t="str">
        <f>IF(D128="Futures",[1]AB3!$BP$9,IF(D128="Options Sell",[1]AB3!$BP$15,IF(D128="Options Buy",[1]AB3!$BP$21)))</f>
        <v>Call</v>
      </c>
      <c r="BP129" s="43" t="str">
        <f t="array" ref="BP129">IF(A126="","",IF(D128="Futures","",IF(D128="EQUITY","",IF(D128="Options Sell",CONCATENATE([1]AB3!$BQ$15,INDEX([1]AB2!I:I,MATCH(A126,[1]AB2!A:A,0)),[1]AB3!$BR$15),IF(D128="Options Buy",CONCATENATE([1]AB3!$BQ$21,INDEX([1]AB2!I:I,MATCH(A126,[1]AB2!A:A,0)),[1]AB3!$BR$21))))))</f>
        <v>SPT : PRV : 2DLL</v>
      </c>
      <c r="BQ129" s="82" t="s">
        <v>53</v>
      </c>
      <c r="BR129" s="58">
        <v>0.05</v>
      </c>
      <c r="BS129" s="76" t="s">
        <v>54</v>
      </c>
      <c r="BT129" s="84" t="str">
        <f t="shared" ref="BT129:BT130" si="231">BP129</f>
        <v>SPT : PRV : 2DLL</v>
      </c>
      <c r="BU129" s="76"/>
      <c r="BV129" s="58"/>
      <c r="BW129" s="76" t="s">
        <v>54</v>
      </c>
      <c r="BX129" s="82" t="s">
        <v>55</v>
      </c>
      <c r="BY129" s="76">
        <v>1</v>
      </c>
      <c r="BZ129" s="58"/>
      <c r="CA129" s="58"/>
      <c r="CB129" s="58"/>
      <c r="CC129" s="58"/>
      <c r="CD129" s="58"/>
      <c r="CE129" s="43" t="str">
        <f t="shared" ref="CE129:CE130" si="232">BP129</f>
        <v>SPT : PRV : 2DLL</v>
      </c>
      <c r="CF129" s="58">
        <v>0.02</v>
      </c>
      <c r="CG129" s="43" t="str">
        <f t="shared" ref="CG129:CG130" si="233">CE129</f>
        <v>SPT : PRV : 2DLL</v>
      </c>
      <c r="CH129" s="58">
        <v>1.4999999999999999E-2</v>
      </c>
      <c r="CI129" s="75">
        <v>500</v>
      </c>
      <c r="CJ129" s="75">
        <v>1</v>
      </c>
      <c r="CK129" s="59"/>
      <c r="CL129" s="43"/>
      <c r="CM129" s="43"/>
      <c r="CN129" s="59"/>
      <c r="CO129" s="43"/>
      <c r="CP129" s="43"/>
      <c r="CQ129" s="59"/>
      <c r="CR129" s="58">
        <v>0.05</v>
      </c>
      <c r="CS129" s="58"/>
      <c r="CT129" s="59"/>
      <c r="CU129" s="43"/>
      <c r="CV129" s="59"/>
      <c r="CW129" s="59"/>
    </row>
    <row r="130" spans="1:101" ht="15.75" customHeight="1" x14ac:dyDescent="0.2">
      <c r="A130" s="32"/>
      <c r="B130" s="41" t="str">
        <f>CONCATENATE(D126,IF(D128="Futures",[1]AB3!$B$10,IF(D128="Options Sell",[1]AB3!$B$16,IF(D128="Options Buy",[1]AB3!$B$22))))</f>
        <v>S21E</v>
      </c>
      <c r="C130" s="42" t="str">
        <f>IF(D128="Futures",[1]AB3!$C$10,IF(D128="Options Sell",[1]AB3!$C$16,IF(D128="Options Buy",[1]AB3!$C$22)))</f>
        <v>No. of Targets</v>
      </c>
      <c r="D130" s="43" t="str">
        <f t="array" ref="D130">IF(A126="","",INDEX([1]AB2!K:K,MATCH(D126,[1]AB2!B:B,0)))</f>
        <v>APS</v>
      </c>
      <c r="E130" s="32"/>
      <c r="F130" s="61" t="str">
        <f>IF(D128="Futures",[1]AB3!$F$10,IF(D128="Options Sell",[1]AB3!$F$16,IF(D128="Options Buy",[1]AB3!$F$22)))</f>
        <v>Put</v>
      </c>
      <c r="G130" s="84" t="str">
        <f t="array" ref="G130">(IF(A126="","",IF(D128="Futures",CONCATENATE([1]AB3!$G$10,INDEX([1]AB2!I:I,MATCH(D126,[1]AB2!B:B,0)),[1]AB3!$H$10),IF(D128="Options Sell",CONCATENATE([1]AB3!$G$16,INDEX([1]AB2!J:J,MATCH(D126,[1]AB2!B:B,0)),[1]AB3!$H$16),IF(D128="Options Buy",CONCATENATE([1]AB3!$G$22,INDEX([1]AB2!I:I,MATCH(D126,[1]AB2!B:B,0)),[1]AB3!$H$22))))))</f>
        <v>OPT : PRV : 3DLL</v>
      </c>
      <c r="H130" s="43" t="str">
        <f>IF(D128="Futures",[1]AB3!$I$10,IF(D128="Options Sell",[1]AB3!$I$16,IF(D128="Options Buy",[1]AB3!$I$22)))</f>
        <v xml:space="preserve"> - </v>
      </c>
      <c r="I130" s="72">
        <v>7.4999999999999997E-2</v>
      </c>
      <c r="J130" s="73">
        <v>1</v>
      </c>
      <c r="K130" s="48"/>
      <c r="L130" s="43" t="str">
        <f>IF(D128="Futures",[1]AB3!$M$10,IF(D128="Options Sell",[1]AB3!$M$16,IF(D128="Options Buy",[1]AB3!$M$22)))</f>
        <v xml:space="preserve">PE : Entry </v>
      </c>
      <c r="M130" s="43" t="str">
        <f>IF(D128="Futures",[1]AB3!$N$10,IF(D128="Options Sell",[1]AB3!$N$16,IF(D128="Options Buy",[1]AB3!$N$22)))</f>
        <v xml:space="preserve"> - </v>
      </c>
      <c r="N130" s="74">
        <v>0.6</v>
      </c>
      <c r="O130" s="75">
        <v>1</v>
      </c>
      <c r="P130" s="58"/>
      <c r="Q130" s="75"/>
      <c r="R130" s="58"/>
      <c r="S130" s="75"/>
      <c r="T130" s="58"/>
      <c r="U130" s="75"/>
      <c r="V130" s="76"/>
      <c r="W130" s="75"/>
      <c r="X130" s="76"/>
      <c r="Y130" s="76"/>
      <c r="Z130" s="48"/>
      <c r="AA130" s="43" t="str">
        <f>IF(D128="Futures",[1]AB3!$AD$10,IF(D128="Options Sell",[1]AB3!$AD$16,IF(D128="Options Buy",[1]AB3!$AD$22)))</f>
        <v>Min</v>
      </c>
      <c r="AB130" s="43" t="str">
        <f>IF(D128="Futures",[1]AB3!$AE$10,IF(D128="Options Sell",[1]AB3!$AE$16,IF(D128="Options Buy",[1]AB3!$AE$22)))</f>
        <v>MSL &amp; TSL</v>
      </c>
      <c r="AC130" s="43" t="str">
        <f>IF(D128="Futures",[1]AB3!$AF$10,IF(D128="Options Sell",[1]AB3!$AF$16,IF(D128="Options Buy",[1]AB3!$AF$22)))</f>
        <v>Entry &amp; TRP</v>
      </c>
      <c r="AD130" s="48"/>
      <c r="AE130" s="43" t="str">
        <f>IF(D128="Futures",[1]AB3!$AH$10,IF(D128="Options Sell",[1]AB3!$AH$16,IF(D128="Options Buy",[1]AB3!$AH$22)))</f>
        <v xml:space="preserve">PE : Entry </v>
      </c>
      <c r="AF130" s="43" t="str">
        <f>IF(D128="Futures",[1]AB3!$AI$10,IF(D128="Options Sell",[1]AB3!$AI$16,IF(D128="Options Buy",[1]AB3!$AI$22)))</f>
        <v xml:space="preserve"> + </v>
      </c>
      <c r="AG130" s="77">
        <v>0.6</v>
      </c>
      <c r="AH130" s="77">
        <v>0</v>
      </c>
      <c r="AI130" s="48"/>
      <c r="AJ130" s="43" t="str">
        <f>IF(D128="Futures",[1]AB3!$AO$10,IF(D128="Options Sell",[1]AB3!$AO$16,IF(D128="Options Buy",[1]AB3!$AO$22)))</f>
        <v xml:space="preserve"> + </v>
      </c>
      <c r="AK130" s="43" t="str">
        <f t="array" ref="AK130">IF(A126="","",IF(D128="Futures",CONCATENATE([1]AB3!$AP$10,INDEX([1]AB2!L:L,MATCH(D126,[1]AB2!B:B,0)),[1]AB3!$AQ$10),IF(D128="Options Sell",CONCATENATE([1]AB3!$AP$16,INDEX([1]AB2!M:M,MATCH(D126,[1]AB2!B:B,0)),[1]AB3!$AQ$16),IF(D128="Options Buy",CONCATENATE([1]AB3!$AP$22,INDEX([1]AB2!L:L,MATCH(D126,[1]AB2!B:B,0)),[1]AB3!$AQ$22)))))</f>
        <v>OPT : PRV : 2DHH</v>
      </c>
      <c r="AL130" s="79">
        <v>7.0000000000000007E-2</v>
      </c>
      <c r="AM130" s="52">
        <f>J129</f>
        <v>1</v>
      </c>
      <c r="AN130" s="51">
        <f t="array" ref="AN130">IF(A126="","",IF(AND(OR(D130="1 &amp; APS",D130="2 &amp; APS",D130="3 &amp; APS",D130="4 &amp; APS",D130="5 &amp; APS"),D128="Futures"),CONCATENATE([1]AB3!$AP$10,INDEX([1]AB2!L:L,MATCH(D126,[1]AB2!B:B,0)),[1]AB3!$AQ$10),IF(AND(OR(D130="1 &amp; APS",D130="2 &amp; APS",D130="3 &amp; APS",D130="4 &amp; APS",D130="5 &amp; APS"),D128="Options Sell"),CONCATENATE([1]AB3!$AP$16,INDEX([1]AB2!M:M,MATCH(D126,[1]AB2!B:B,0)),[1]AB3!$AQ$16),IF(AND(OR(D130="1 &amp; APS",D130="2 &amp; APS",D130="3 &amp; APS",D130="4 &amp; APS",D130="5 &amp; APS"),D128="Options Buy"),CONCATENATE([1]AB3!$AP$22,INDEX([1]AB2!L:L,MATCH(D126,[1]AB2!B:B,0)),[1]AB3!$AQ$22),[1]AB3!$AR$6))))</f>
        <v>0</v>
      </c>
      <c r="AO130" s="58"/>
      <c r="AP130" s="52">
        <f t="shared" si="226"/>
        <v>0</v>
      </c>
      <c r="AQ130" s="51">
        <f t="array" ref="AQ130">IF(A126="","",IF(AND(OR(D130="2 &amp; APS",D130="3 &amp; APS",D130="4 &amp; APS",D130="5 &amp; APS"),D128="Futures"),CONCATENATE([1]AB3!$AP$10,INDEX([1]AB2!L:L,MATCH(D126,[1]AB2!B:B,0)),[1]AB3!$AQ$10),IF(AND(OR(D130="2 &amp; APS",D130="3 &amp; APS",D130="4 &amp; APS",D130="5 &amp; APS"),D128="Options Sell"),CONCATENATE([1]AB3!$AP$16,INDEX([1]AB2!M:M,MATCH(D126,[1]AB2!B:B,0)),[1]AB3!$AQ$16),IF(AND(OR(D130="2 &amp; APS",D130="3 &amp; APS",D130="4 &amp; APS",D130="5 &amp; APS"),D128="Options Buy"),CONCATENATE([1]AB3!$AP$22,INDEX([1]AB2!L:L,MATCH(D126,[1]AB2!B:B,0)),[1]AB3!$AQ$22),[1]AB3!$AR$6))))</f>
        <v>0</v>
      </c>
      <c r="AR130" s="58"/>
      <c r="AS130" s="52">
        <f t="shared" si="227"/>
        <v>0</v>
      </c>
      <c r="AT130" s="51">
        <f t="array" ref="AT130">IF(A126="","",IF(AND(OR(D130="3 &amp; APS",D130="4 &amp; APS",D130="5 &amp; APS"),D128="Futures"),CONCATENATE([1]AB3!$AP$10,INDEX([1]AB2!L:L,MATCH(D126,[1]AB2!B:B,0)),[1]AB3!$AQ$10),IF(AND(OR(D130="3 &amp; APS",D130="4 &amp; APS",D130="5 &amp; APS"),D128="Options Sell"),CONCATENATE([1]AB3!$AP$16,INDEX([1]AB2!M:M,MATCH(D126,[1]AB2!B:B,0)),[1]AB3!$AQ$16),IF(AND(OR(D130="3 &amp; APS",D130="4 &amp; APS",D130="5 &amp; APS"),D128="Options Buy"),CONCATENATE([1]AB3!$AP$22,INDEX([1]AB2!L:L,MATCH(D126,[1]AB2!B:B,0)),[1]AB3!$AQ$22),[1]AB3!$AR$6))))</f>
        <v>0</v>
      </c>
      <c r="AU130" s="58"/>
      <c r="AV130" s="52">
        <f t="shared" si="228"/>
        <v>0</v>
      </c>
      <c r="AW130" s="51">
        <f t="array" ref="AW130">IF(A126="","",IF(AND(OR(D130="4 &amp; APS",D130="5 &amp; APS"),D128="Futures"),CONCATENATE([1]AB3!$AP$10,INDEX([1]AB2!L:L,MATCH(D126,[1]AB2!B:B,0)),[1]AB3!$AQ$10),IF(AND(OR(D130="4 &amp; APS",D130="5 &amp; APS"),D128="Options Sell"),CONCATENATE([1]AB3!$AP$16,INDEX([1]AB2!M:M,MATCH(D126,[1]AB2!B:B,0)),[1]AB3!$AQ$16),IF(AND(OR(D130="4 &amp; APS",D130="5 &amp; APS"),D128="Options Buy"),CONCATENATE([1]AB3!$AP$22,INDEX([1]AB2!L:L,MATCH(D126,[1]AB2!B:B,0)),[1]AB3!$AQ$22),[1]AB3!$AR$6))))</f>
        <v>0</v>
      </c>
      <c r="AX130" s="58"/>
      <c r="AY130" s="52">
        <f t="shared" si="229"/>
        <v>0</v>
      </c>
      <c r="AZ130" s="51">
        <f t="array" ref="AZ130">IF(A126="","",IF(AND(D130="5 &amp; APS",D128="Futures"),CONCATENATE([1]AB3!$AP$10,INDEX([1]AB2!L:L,MATCH(D126,[1]AB2!B:B,0)),[1]AB3!$AQ$10),IF(AND(D130="5 &amp; APS",D128="Options Sell"),CONCATENATE([1]AB3!$AP$16,INDEX([1]AB2!M:M,MATCH(D126,[1]AB2!B:B,0)),[1]AB3!$AQ$16),IF(AND(D130="5 &amp; APS",D128="Options Buy"),CONCATENATE([1]AB3!$AP$22,INDEX([1]AB2!L:L,MATCH(D126,[1]AB2!B:B,0)),[1]AB3!$AQ$22),[1]AB3!$AR$6))))</f>
        <v>0</v>
      </c>
      <c r="BA130" s="58"/>
      <c r="BB130" s="52">
        <f t="shared" si="230"/>
        <v>0</v>
      </c>
      <c r="BC130" s="53"/>
      <c r="BD130" s="54" t="str">
        <f>IF(D128="Futures",[1]AB3!$BE$10,IF(D128="Options Sell",[1]AB3!$BE$16,IF(D128="Options Buy",[1]AB3!$BE$22)))</f>
        <v>Market End Time</v>
      </c>
      <c r="BE130" s="67">
        <f t="array" ref="BE130">IF(D126="","",INDEX([1]AB2!AH:AH,MATCH(D126,[1]AB2!B:B,0)))</f>
        <v>0.64583333333333337</v>
      </c>
      <c r="BF130" s="11"/>
      <c r="BG130" s="12"/>
      <c r="BH130" s="57"/>
      <c r="BI130" s="32"/>
      <c r="BJ130" s="61" t="str">
        <f>IF(D128="Futures",[1]AB3!$BK$10,IF(D128="Options Sell",[1]AB3!$BK$16,IF(D128="Options Buy",[1]AB3!$BK$22)))</f>
        <v>Put</v>
      </c>
      <c r="BK130" s="80">
        <v>7.4999999999999997E-2</v>
      </c>
      <c r="BL130" s="81">
        <v>7.0000000000000007E-2</v>
      </c>
      <c r="BM130" s="57"/>
      <c r="BN130" s="32"/>
      <c r="BO130" s="61" t="str">
        <f>IF(D128="Futures",[1]AB3!$BP$10,IF(D128="Options Sell",[1]AB3!$BP$16,IF(D128="Options Buy",[1]AB3!$BP$22)))</f>
        <v>Put</v>
      </c>
      <c r="BP130" s="43" t="str">
        <f t="array" ref="BP130">IF(A126="","",IF(D128="Futures","",IF(D128="EQUITY","",IF(D128="Options Sell",CONCATENATE([1]AB3!$BQ$16,INDEX([1]AB2!J:J,MATCH(A126,[1]AB2!A:A,0)),[1]AB3!$BR$16),IF(D128="Options Buy",CONCATENATE([1]AB3!$BQ$22,INDEX([1]AB2!J:J,MATCH(A126,[1]AB2!A:A,0)),[1]AB3!$BR$22))))))</f>
        <v>SPT : PRV : 3DHH</v>
      </c>
      <c r="BQ130" s="83" t="s">
        <v>55</v>
      </c>
      <c r="BR130" s="58">
        <v>0.05</v>
      </c>
      <c r="BS130" s="76" t="s">
        <v>56</v>
      </c>
      <c r="BT130" s="84" t="str">
        <f t="shared" si="231"/>
        <v>SPT : PRV : 3DHH</v>
      </c>
      <c r="BU130" s="85"/>
      <c r="BV130" s="58"/>
      <c r="BW130" s="76" t="s">
        <v>56</v>
      </c>
      <c r="BX130" s="82" t="s">
        <v>53</v>
      </c>
      <c r="BY130" s="76">
        <v>1</v>
      </c>
      <c r="BZ130" s="58"/>
      <c r="CA130" s="58"/>
      <c r="CB130" s="58"/>
      <c r="CC130" s="58"/>
      <c r="CD130" s="58"/>
      <c r="CE130" s="43" t="str">
        <f t="shared" si="232"/>
        <v>SPT : PRV : 3DHH</v>
      </c>
      <c r="CF130" s="58">
        <v>0.02</v>
      </c>
      <c r="CG130" s="43" t="str">
        <f t="shared" si="233"/>
        <v>SPT : PRV : 3DHH</v>
      </c>
      <c r="CH130" s="58">
        <v>1.4999999999999999E-2</v>
      </c>
      <c r="CI130" s="75">
        <v>500</v>
      </c>
      <c r="CJ130" s="75">
        <v>1</v>
      </c>
      <c r="CK130" s="59"/>
      <c r="CL130" s="43"/>
      <c r="CM130" s="43"/>
      <c r="CN130" s="59"/>
      <c r="CO130" s="43"/>
      <c r="CP130" s="43"/>
      <c r="CQ130" s="59"/>
      <c r="CR130" s="58">
        <v>0.05</v>
      </c>
      <c r="CS130" s="58"/>
      <c r="CT130" s="59"/>
      <c r="CU130" s="43"/>
      <c r="CV130" s="59"/>
      <c r="CW130" s="59"/>
    </row>
    <row r="131" spans="1:101" ht="15.75" customHeight="1" x14ac:dyDescent="0.2">
      <c r="A131" s="1"/>
      <c r="B131" s="2"/>
      <c r="C131" s="2"/>
      <c r="D131" s="2"/>
      <c r="E131" s="2"/>
      <c r="F131" s="2"/>
      <c r="G131" s="2"/>
      <c r="H131" s="2"/>
      <c r="I131" s="96"/>
      <c r="J131" s="97"/>
      <c r="K131" s="2"/>
      <c r="L131" s="2"/>
      <c r="M131" s="2"/>
      <c r="N131" s="98"/>
      <c r="O131" s="2"/>
      <c r="P131" s="2"/>
      <c r="Q131" s="69"/>
      <c r="R131" s="69"/>
      <c r="S131" s="70"/>
      <c r="T131" s="70"/>
      <c r="U131" s="2"/>
      <c r="V131" s="2"/>
      <c r="W131" s="2"/>
      <c r="X131" s="2"/>
      <c r="Y131" s="2"/>
      <c r="Z131" s="2"/>
      <c r="AA131" s="20"/>
      <c r="AB131" s="71"/>
      <c r="AC131" s="71"/>
      <c r="AD131" s="2"/>
      <c r="AE131" s="70"/>
      <c r="AF131" s="70"/>
      <c r="AG131" s="100"/>
      <c r="AH131" s="100"/>
      <c r="AI131" s="2"/>
      <c r="AJ131" s="70"/>
      <c r="AK131" s="70"/>
      <c r="AL131" s="101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  <c r="AX131" s="70"/>
      <c r="AY131" s="70"/>
      <c r="AZ131" s="70"/>
      <c r="BA131" s="70"/>
      <c r="BB131" s="70"/>
      <c r="BC131" s="70"/>
      <c r="BD131" s="70"/>
      <c r="BE131" s="70"/>
      <c r="BF131" s="70"/>
      <c r="BG131" s="70"/>
      <c r="BH131" s="70"/>
      <c r="BI131" s="70"/>
      <c r="BJ131" s="70"/>
      <c r="BK131" s="103"/>
      <c r="BL131" s="103"/>
      <c r="BM131" s="70"/>
      <c r="BN131" s="70"/>
      <c r="BO131" s="70"/>
      <c r="BP131" s="70"/>
      <c r="BQ131" s="70"/>
      <c r="BR131" s="70"/>
      <c r="BS131" s="70"/>
      <c r="BT131" s="70"/>
      <c r="BU131" s="70"/>
      <c r="BV131" s="70"/>
      <c r="BW131" s="70"/>
      <c r="BX131" s="70"/>
      <c r="BY131" s="70"/>
      <c r="BZ131" s="70"/>
      <c r="CA131" s="70"/>
      <c r="CB131" s="70"/>
      <c r="CC131" s="70"/>
      <c r="CD131" s="70"/>
      <c r="CE131" s="70"/>
      <c r="CF131" s="70"/>
      <c r="CG131" s="70"/>
      <c r="CH131" s="70"/>
      <c r="CI131" s="70"/>
      <c r="CJ131" s="70"/>
      <c r="CK131" s="70"/>
      <c r="CL131" s="2"/>
      <c r="CM131" s="2"/>
      <c r="CN131" s="70"/>
      <c r="CO131" s="70"/>
      <c r="CP131" s="70"/>
      <c r="CQ131" s="70"/>
      <c r="CR131" s="2"/>
      <c r="CS131" s="2"/>
      <c r="CT131" s="70"/>
      <c r="CU131" s="70"/>
      <c r="CV131" s="70"/>
      <c r="CW131" s="70"/>
    </row>
    <row r="132" spans="1:101" ht="15.75" customHeight="1" x14ac:dyDescent="0.2">
      <c r="A132" s="40">
        <v>22</v>
      </c>
      <c r="B132" s="41" t="str">
        <f>CONCATENATE(D132,IF(D134="Futures",[1]AB3!$B$6,IF(D134="Options Sell",[1]AB3!$B$12,IF(D134="Options Buy",[1]AB3!$B$18))))</f>
        <v>S22A</v>
      </c>
      <c r="C132" s="42" t="str">
        <f>IF(D134="Futures",[1]AB3!$C$6,IF(D134="Options Sell",[1]AB3!$C$12,IF(D134="Options Buy",[1]AB3!$C$18)))</f>
        <v>Strategy Code</v>
      </c>
      <c r="D132" s="43" t="str">
        <f t="array" ref="D132">IF(A132="","",INDEX([1]AB2!B:B,MATCH(A132,[1]AB2!A:A,0)))</f>
        <v>S22</v>
      </c>
      <c r="E132" s="44" t="str">
        <f>IF(D134="Futures",[1]AB3!$E$6,IF(D134="Options Sell",[1]AB3!$E$12,IF(D134="Options Buy",[1]AB3!$E$18)))</f>
        <v>Bull / 
Bull CF</v>
      </c>
      <c r="F132" s="45" t="str">
        <f>IF(D134="Futures",[1]AB3!$F$6,IF(D134="Options Sell",[1]AB3!$F$12,IF(D134="Options Buy",[1]AB3!$F$18)))</f>
        <v>Call</v>
      </c>
      <c r="G132" s="37" t="str">
        <f t="array" ref="G132">IF(A132="","",IF(D134="Futures",CONCATENATE([1]AB3!$G$6,INDEX([1]AB2!I:I,MATCH(D132,[1]AB2!B:B,0)),[1]AB3!$H$6),IF(D134="Options Sell",CONCATENATE([1]AB3!$G$12,INDEX([1]AB2!J:J,MATCH(D132,[1]AB2!B:B,0)),[1]AB3!$H$12),IF(D134="Options Buy",CONCATENATE([1]AB3!$G$18,INDEX([1]AB2!I:I,MATCH(D132,[1]AB2!B:B,0)),[1]AB3!$H$18)))))</f>
        <v>OPT : PRV : 4DLL</v>
      </c>
      <c r="H132" s="43" t="str">
        <f>IF(D134="Futures",[1]AB3!$I$6,IF(D134="Options Sell",[1]AB3!$I$12,IF(D134="Options Buy",[1]AB3!$I$18)))</f>
        <v xml:space="preserve"> - </v>
      </c>
      <c r="I132" s="72">
        <v>0.1</v>
      </c>
      <c r="J132" s="73">
        <v>1</v>
      </c>
      <c r="K132" s="48"/>
      <c r="L132" s="43" t="str">
        <f>IF(D134="Futures",[1]AB3!$M$6,IF(D134="Options Sell",[1]AB3!$M$12,IF(D134="Options Buy",[1]AB3!$M$18)))</f>
        <v xml:space="preserve">CE : Entry </v>
      </c>
      <c r="M132" s="43" t="str">
        <f>IF(D134="Futures",[1]AB3!$N$6,IF(D134="Options Sell",[1]AB3!$N$12,IF(D134="Options Buy",[1]AB3!$N$18)))</f>
        <v xml:space="preserve"> - </v>
      </c>
      <c r="N132" s="74">
        <v>0.6</v>
      </c>
      <c r="O132" s="75">
        <v>1</v>
      </c>
      <c r="P132" s="58"/>
      <c r="Q132" s="75"/>
      <c r="R132" s="58"/>
      <c r="S132" s="75"/>
      <c r="T132" s="58"/>
      <c r="U132" s="75"/>
      <c r="V132" s="76"/>
      <c r="W132" s="75"/>
      <c r="X132" s="76"/>
      <c r="Y132" s="76"/>
      <c r="Z132" s="48"/>
      <c r="AA132" s="43" t="str">
        <f>IF(D134="Futures",[1]AB3!$AD$6,IF(D134="Options Sell",[1]AB3!$AD$12,IF(D134="Options Buy",[1]AB3!$AD$18)))</f>
        <v>Min</v>
      </c>
      <c r="AB132" s="43" t="str">
        <f>IF(D134="Futures",[1]AB3!$AE$6,IF(D134="Options Sell",[1]AB3!$AE$12,IF(D134="Options Buy",[1]AB3!$AE$18)))</f>
        <v>MSL &amp; TSL</v>
      </c>
      <c r="AC132" s="43" t="str">
        <f>IF(D134="Futures",[1]AB3!$AF$6,IF(D134="Options Sell",[1]AB3!$AF$12,IF(D134="Options Buy",[1]AB3!$AF$18)))</f>
        <v>Entry &amp; TRP</v>
      </c>
      <c r="AD132" s="48"/>
      <c r="AE132" s="43" t="str">
        <f>IF(D134="Futures",[1]AB3!$AH$6,IF(D134="Options Sell",[1]AB3!$AH$12,IF(D134="Options Buy",[1]AB3!$AH$18)))</f>
        <v xml:space="preserve">CE : Entry </v>
      </c>
      <c r="AF132" s="43" t="str">
        <f>IF(D134="Futures",[1]AB3!$AI$6,IF(D134="Options Sell",[1]AB3!$AI$12,IF(D134="Options Buy",[1]AB3!$AI$18)))</f>
        <v xml:space="preserve"> + </v>
      </c>
      <c r="AG132" s="77">
        <v>0.6</v>
      </c>
      <c r="AH132" s="77">
        <v>0</v>
      </c>
      <c r="AI132" s="48"/>
      <c r="AJ132" s="43" t="str">
        <f>IF(D134="Futures",[1]AB3!$AO$6,IF(D134="Options Sell",[1]AB3!$AO$12,IF(D134="Options Buy",[1]AB3!$AO$18)))</f>
        <v xml:space="preserve"> + </v>
      </c>
      <c r="AK132" s="43" t="str">
        <f t="array" ref="AK132">IF(A132="","",IF(D134="Futures",CONCATENATE([1]AB3!$AP$6,INDEX([1]AB2!L:L,MATCH(D132,[1]AB2!B:B,0)),[1]AB3!$AQ$6),IF(D134="Options Sell",CONCATENATE([1]AB3!$AP$12,INDEX([1]AB2!M:M,MATCH(D132,[1]AB2!B:B,0)),[1]AB3!$AQ$12),IF(D134="Options Buy",CONCATENATE([1]AB3!$AP$18,INDEX([1]AB2!L:L,MATCH(D132,[1]AB2!B:B,0)),[1]AB3!$AQ$18)))))</f>
        <v>OPT : PRV : 2DHH</v>
      </c>
      <c r="AL132" s="79">
        <v>7.0000000000000007E-2</v>
      </c>
      <c r="AM132" s="52">
        <f>J133</f>
        <v>1</v>
      </c>
      <c r="AN132" s="51">
        <f t="array" ref="AN132">IF(A132="","",IF(AND(OR(D136="1 &amp; APS",D136="2 &amp; APS",D136="3 &amp; APS",D136="4 &amp; APS",D136="5 &amp; APS"),D134="Futures"),CONCATENATE([1]AB3!$AP$6,INDEX([1]AB2!L:L,MATCH(D132,[1]AB2!B:B,0)),[1]AB3!$AQ$6),IF(AND(OR(D136="1 &amp; APS",D136="2 &amp; APS",D136="3 &amp; APS",D136="4 &amp; APS",D136="5 &amp; APS"),D134="Options Sell"),CONCATENATE([1]AB3!$AP$12,INDEX([1]AB2!M:M,MATCH(D132,[1]AB2!B:B,0)),[1]AB3!$AQ$12),IF(AND(OR(D136="1 &amp; APS",D136="2 &amp; APS",D136="3 &amp; APS",D136="4 &amp; APS",D136="5 &amp; APS"),D134="Options Buy"),CONCATENATE([1]AB3!$AP$18,INDEX([1]AB2!L:L,MATCH(D132,[1]AB2!B:B,0)),[1]AB3!$AQ$18),[1]AB3!$AR$6))))</f>
        <v>0</v>
      </c>
      <c r="AO132" s="58"/>
      <c r="AP132" s="52">
        <f t="shared" ref="AP132:AP133" si="234">AM132-O132</f>
        <v>0</v>
      </c>
      <c r="AQ132" s="51">
        <f t="array" ref="AQ132">IF(A132="","",IF(AND(OR(D136="2 &amp; APS",D136="3 &amp; APS",D136="4 &amp; APS",D136="5 &amp; APS"),D134="Futures"),CONCATENATE([1]AB3!$AP$6,INDEX([1]AB2!L:L,MATCH(D132,[1]AB2!B:B,0)),[1]AB3!$AQ$6),IF(AND(OR(D136="2 &amp; APS",D136="3 &amp; APS",D136="4 &amp; APS",D136="5 &amp; APS"),D134="Options Sell"),CONCATENATE([1]AB3!$AP$12,INDEX([1]AB2!M:M,MATCH(D132,[1]AB2!B:B,0)),[1]AB3!$AQ$12),IF(AND(OR(D136="2 &amp; APS",D136="3 &amp; APS",D136="4 &amp; APS",D136="5 &amp; APS"),D134="Options Buy"),CONCATENATE([1]AB3!$AP$18,INDEX([1]AB2!L:L,MATCH(D132,[1]AB2!B:B,0)),[1]AB3!$AQ$18),[1]AB3!$AR$6))))</f>
        <v>0</v>
      </c>
      <c r="AR132" s="58"/>
      <c r="AS132" s="52">
        <f t="shared" ref="AS132:AS133" si="235">AP132-Q132</f>
        <v>0</v>
      </c>
      <c r="AT132" s="51">
        <f t="array" ref="AT132">IF(A132="","",IF(AND(OR(D136="3 &amp; APS",D136="4 &amp; APS",D136="5 &amp; APS"),D134="Futures"),CONCATENATE([1]AB3!$AP$6,INDEX([1]AB2!L:L,MATCH(D132,[1]AB2!B:B,0)),[1]AB3!$AQ$6),IF(AND(OR(D136="3 &amp; APS",D136="4 &amp; APS",D136="5 &amp; APS"),D134="Options Sell"),CONCATENATE([1]AB3!$AP$12,INDEX([1]AB2!M:M,MATCH(D132,[1]AB2!B:B,0)),[1]AB3!$AQ$12),IF(AND(OR(D136="3 &amp; APS",D136="4 &amp; APS",D136="5 &amp; APS"),D134="Options Buy"),CONCATENATE([1]AB3!$AP$18,INDEX([1]AB2!L:L,MATCH(D132,[1]AB2!B:B,0)),[1]AB3!$AQ$18),[1]AB3!$AR$6))))</f>
        <v>0</v>
      </c>
      <c r="AU132" s="58"/>
      <c r="AV132" s="52">
        <f t="shared" ref="AV132:AV133" si="236">AS132-S132</f>
        <v>0</v>
      </c>
      <c r="AW132" s="51">
        <f t="array" ref="AW132">IF(A132="","",IF(AND(OR(D136="4 &amp; APS",D136="5 &amp; APS"),D134="Futures"),CONCATENATE([1]AB3!$AP$6,INDEX([1]AB2!L:L,MATCH(D132,[1]AB2!B:B,0)),[1]AB3!$AQ$6),IF(AND(OR(D136="4 &amp; APS",D136="5 &amp; APS"),D134="Options Sell"),CONCATENATE([1]AB3!$AP$12,INDEX([1]AB2!M:M,MATCH(D132,[1]AB2!B:B,0)),[1]AB3!$AQ$12),IF(AND(OR(D136="4 &amp; APS",D136="5 &amp; APS"),D134="Options Buy"),CONCATENATE([1]AB3!$AP$18,INDEX([1]AB2!L:L,MATCH(D132,[1]AB2!B:B,0)),[1]AB3!$AQ$18),[1]AB3!$AR$6))))</f>
        <v>0</v>
      </c>
      <c r="AX132" s="58"/>
      <c r="AY132" s="52">
        <f t="shared" ref="AY132:AY133" si="237">AV132-S132</f>
        <v>0</v>
      </c>
      <c r="AZ132" s="51">
        <f t="array" ref="AZ132">IF(A132="","",IF(AND(D136="5 &amp; APS",D134="Futures"),CONCATENATE([1]AB3!$AP$6,INDEX([1]AB2!L:L,MATCH(D132,[1]AB2!B:B,0)),[1]AB3!$AQ$6),IF(AND(D136="5 &amp; APS",D134="Options Sell"),CONCATENATE([1]AB3!$AP$12,INDEX([1]AB2!M:M,MATCH(D132,[1]AB2!B:B,0)),[1]AB3!$AQ$12),IF(AND(D136="5 &amp; APS",D134="Options Buy"),CONCATENATE([1]AB3!$AP$18,INDEX([1]AB2!L:L,MATCH(D132,[1]AB2!B:B,0)),[1]AB3!$AQ$18),[1]AB3!$AR$6))))</f>
        <v>0</v>
      </c>
      <c r="BA132" s="58"/>
      <c r="BB132" s="52">
        <f t="shared" ref="BB132:BB133" si="238">AY132-W132</f>
        <v>0</v>
      </c>
      <c r="BC132" s="53"/>
      <c r="BD132" s="54" t="str">
        <f>IF(D134="Futures",[1]AB3!$BE$6,IF(D134="Options Sell",[1]AB3!$BE$12,IF(D134="Options Buy",[1]AB3!$BE$18)))</f>
        <v xml:space="preserve">ORPT </v>
      </c>
      <c r="BE132" s="55">
        <f>IF(D134="Futures",BE135+([1]AB3!$BF$6/1440),IF(D134="Options Sell",BE135+([1]AB3!$BF$12/1440),IF(D134="Options Buy",BE135+([1]AB3!$BF$18/1440))))</f>
        <v>0.39235416666666667</v>
      </c>
      <c r="BF132" s="55">
        <f>IF(D134="Futures",BE135+([1]AB3!$BG$6/1440),IF(D134="Options Sell",BE135+([1]AB3!$BG$12/1440),IF(D134="Options Buy",BE135+([1]AB3!$BG$18/1440))))</f>
        <v>0.39235416666666667</v>
      </c>
      <c r="BG132" s="55">
        <f>IF(D134="Futures",BE135+([1]AB3!$BH$6/1440),IF(D134="Options Sell",BE135+([1]AB3!$BH$12/1440),IF(D134="Options Buy",BE135+([1]AB3!$BH$18/1440))))</f>
        <v>0.38541666666666669</v>
      </c>
      <c r="BH132" s="57"/>
      <c r="BI132" s="44" t="str">
        <f>IF(D134="Futures",[1]AB3!$BJ$6,IF(D134="Options Sell",[1]AB3!$BJ$12,IF(D134="Options Buy",[1]AB3!$BJ$18)))</f>
        <v>Bull / 
Bull CF</v>
      </c>
      <c r="BJ132" s="45" t="str">
        <f>IF(D134="Futures",[1]AB3!$BK$6,IF(D134="Options Sell",[1]AB3!$BK$12,IF(D134="Options Buy",[1]AB3!$BK$18)))</f>
        <v>Call</v>
      </c>
      <c r="BK132" s="80">
        <v>0.1</v>
      </c>
      <c r="BL132" s="81">
        <v>7.0000000000000007E-2</v>
      </c>
      <c r="BM132" s="57"/>
      <c r="BN132" s="44" t="str">
        <f>IF(D134="Futures",[1]AB3!$BO$6,IF(D134="Options Sell",[1]AB3!$BO$12,IF(D134="Options Buy",[1]AB3!$BO$18)))</f>
        <v>Bull | 
Bull CF</v>
      </c>
      <c r="BO132" s="45" t="str">
        <f>IF(D134="Futures",[1]AB3!$BP$6,IF(D134="Options Sell",[1]AB3!$BP$12,IF(D134="Options Buy",[1]AB3!$BP$18)))</f>
        <v>Call</v>
      </c>
      <c r="BP132" s="43" t="str">
        <f t="array" ref="BP132">IF(A132="","",IF(D134="Futures","",IF(D134="EQUITY","",IF(D134="Options Sell",CONCATENATE([1]AB3!$BQ$12,INDEX([1]AB2!J:J,MATCH(A132,[1]AB2!A:A,0)),[1]AB3!$BR$12),IF(D134="Options Buy",CONCATENATE([1]AB3!$BQ$18,INDEX([1]AB2!J:J,MATCH(A132,[1]AB2!A:A,0)),[1]AB3!$BR$18))))))</f>
        <v>SPT : PRV : 4DLL</v>
      </c>
      <c r="BQ132" s="82" t="s">
        <v>53</v>
      </c>
      <c r="BR132" s="58">
        <v>0.1</v>
      </c>
      <c r="BS132" s="76" t="s">
        <v>54</v>
      </c>
      <c r="BT132" s="37" t="str">
        <f t="shared" ref="BT132:BT133" si="239">BP132</f>
        <v>SPT : PRV : 4DLL</v>
      </c>
      <c r="BU132" s="76"/>
      <c r="BV132" s="58"/>
      <c r="BW132" s="76" t="s">
        <v>54</v>
      </c>
      <c r="BX132" s="82" t="s">
        <v>55</v>
      </c>
      <c r="BY132" s="76">
        <v>1</v>
      </c>
      <c r="BZ132" s="58"/>
      <c r="CA132" s="58"/>
      <c r="CB132" s="58"/>
      <c r="CC132" s="58"/>
      <c r="CD132" s="58"/>
      <c r="CE132" s="43" t="str">
        <f t="shared" ref="CE132:CE133" si="240">BP132</f>
        <v>SPT : PRV : 4DLL</v>
      </c>
      <c r="CF132" s="58">
        <v>0.04</v>
      </c>
      <c r="CG132" s="43" t="str">
        <f t="shared" ref="CG132:CG133" si="241">CE132</f>
        <v>SPT : PRV : 4DLL</v>
      </c>
      <c r="CH132" s="58">
        <v>0.03</v>
      </c>
      <c r="CI132" s="75">
        <v>100</v>
      </c>
      <c r="CJ132" s="75">
        <v>1</v>
      </c>
      <c r="CK132" s="59"/>
      <c r="CL132" s="43"/>
      <c r="CM132" s="43"/>
      <c r="CN132" s="59"/>
      <c r="CO132" s="43"/>
      <c r="CP132" s="43"/>
      <c r="CQ132" s="59"/>
      <c r="CR132" s="58">
        <v>0.1</v>
      </c>
      <c r="CS132" s="58"/>
      <c r="CT132" s="59"/>
      <c r="CU132" s="55">
        <f>IF(D134="Futures",BE136-([1]AB3!$CG$6/1440),IF(D134="Options Sell",BE136-([1]AB3!$CG$12/1440),IF(D134="Options Buy",BE136-([1]AB3!$CG$18/1440),IF(D134="EQUITY",""))))</f>
        <v>0.625</v>
      </c>
      <c r="CV132" s="59"/>
      <c r="CW132" s="59"/>
    </row>
    <row r="133" spans="1:101" ht="15.75" customHeight="1" x14ac:dyDescent="0.2">
      <c r="A133" s="60"/>
      <c r="B133" s="41" t="str">
        <f>CONCATENATE(D132,IF(D134="Futures",[1]AB3!$B$7,IF(D134="Options Sell",[1]AB3!$B$13,IF(D134="Options Buy",[1]AB3!$B$19))))</f>
        <v>S22B</v>
      </c>
      <c r="C133" s="42" t="str">
        <f>IF(D134="Futures",[1]AB3!$C$7,IF(D134="Options Sell",[1]AB3!$C$13,IF(D134="Options Buy",[1]AB3!$C$19)))</f>
        <v>Unique Code</v>
      </c>
      <c r="D133" s="43" t="str">
        <f t="array" ref="D133">IF(A132="","",INDEX([1]AB2!N:N,MATCH(D132,[1]AB2!B:B,0)))</f>
        <v>STOCKS_OP_SELL_MT_DIFF_2D_4D</v>
      </c>
      <c r="E133" s="32"/>
      <c r="F133" s="61" t="str">
        <f>IF(D134="Futures",[1]AB3!$F$7,IF(D134="Options Sell",[1]AB3!$F$13,IF(D134="Options Buy",[1]AB3!$F$19)))</f>
        <v>Put</v>
      </c>
      <c r="G133" s="84" t="str">
        <f t="array" ref="G133">IF(A132="","",IF(D134="Futures",CONCATENATE([1]AB3!$G$7,INDEX([1]AB2!J:J,MATCH(D132,[1]AB2!B:B,0)),[1]AB3!$H$7),IF(D134="Options Sell",CONCATENATE([1]AB3!$G$13,INDEX([1]AB2!I:I,MATCH(D132,[1]AB2!B:B,0)),[1]AB3!$H$13),IF(D134="Options Buy",CONCATENATE([1]AB3!$G$19,INDEX([1]AB2!J:J,MATCH(D132,[1]AB2!B:B,0)),[1]AB3!$H$19)))))</f>
        <v>OPT : PRV : 2DLL</v>
      </c>
      <c r="H133" s="43" t="str">
        <f>IF(D134="Futures",[1]AB3!$I$7,IF(D134="Options Sell",[1]AB3!$I$13,IF(D134="Options Buy",[1]AB3!$I$19)))</f>
        <v xml:space="preserve"> - </v>
      </c>
      <c r="I133" s="72">
        <v>0.1</v>
      </c>
      <c r="J133" s="73">
        <v>1</v>
      </c>
      <c r="K133" s="48"/>
      <c r="L133" s="43" t="str">
        <f>IF(D134="Futures",[1]AB3!$M$7,IF(D134="Options Sell",[1]AB3!$M$13,IF(D134="Options Buy",[1]AB3!$M$19)))</f>
        <v xml:space="preserve">PE : Entry </v>
      </c>
      <c r="M133" s="43" t="str">
        <f>IF(D134="Futures",[1]AB3!$N$7,IF(D134="Options Sell",[1]AB3!$N$13,IF(D134="Options Buy",[1]AB3!$N$19)))</f>
        <v xml:space="preserve"> - </v>
      </c>
      <c r="N133" s="74">
        <v>0.6</v>
      </c>
      <c r="O133" s="75">
        <v>1</v>
      </c>
      <c r="P133" s="58"/>
      <c r="Q133" s="75"/>
      <c r="R133" s="58"/>
      <c r="S133" s="75"/>
      <c r="T133" s="58"/>
      <c r="U133" s="75"/>
      <c r="V133" s="76"/>
      <c r="W133" s="75"/>
      <c r="X133" s="76"/>
      <c r="Y133" s="76"/>
      <c r="Z133" s="48"/>
      <c r="AA133" s="43" t="str">
        <f>IF(D134="Futures",[1]AB3!$AD$7,IF(D134="Options Sell",[1]AB3!$AD$13,IF(D134="Options Buy",[1]AB3!$AD$19)))</f>
        <v>Min</v>
      </c>
      <c r="AB133" s="43" t="str">
        <f>IF(D134="Futures",[1]AB3!$AE$7,IF(D134="Options Sell",[1]AB3!$AE$13,IF(D134="Options Buy",[1]AB3!$AE$19)))</f>
        <v>MSL &amp; TSL</v>
      </c>
      <c r="AC133" s="43" t="str">
        <f>IF(D134="Futures",[1]AB3!$AF$7,IF(D134="Options Sell",[1]AB3!$AF$13,IF(D134="Options Buy",[1]AB3!$AF$19)))</f>
        <v>Entry &amp; TRP</v>
      </c>
      <c r="AD133" s="48"/>
      <c r="AE133" s="43" t="str">
        <f>IF(D134="Futures",[1]AB3!$AH$7,IF(D134="Options Sell",[1]AB3!$AH$13,IF(D134="Options Buy",[1]AB3!$AH$19)))</f>
        <v xml:space="preserve">PE : Entry </v>
      </c>
      <c r="AF133" s="43" t="str">
        <f>IF(D134="Futures",[1]AB3!$AI$7,IF(D134="Options Sell",[1]AB3!$AI$13,IF(D134="Options Buy",[1]AB3!$AI$19)))</f>
        <v xml:space="preserve"> + </v>
      </c>
      <c r="AG133" s="77">
        <v>0.6</v>
      </c>
      <c r="AH133" s="77">
        <v>0</v>
      </c>
      <c r="AI133" s="48"/>
      <c r="AJ133" s="43" t="str">
        <f>IF(D134="Futures",[1]AB3!$AO$7,IF(D134="Options Sell",[1]AB3!$AO$13,IF(D134="Options Buy",[1]AB3!$AO$19)))</f>
        <v xml:space="preserve"> + </v>
      </c>
      <c r="AK133" s="43" t="str">
        <f t="array" ref="AK133">IF(A132="","",IF(D134="Futures",CONCATENATE([1]AB3!$AP$7,INDEX([1]AB2!M:M,MATCH(D132,[1]AB2!B:B,0)),[1]AB3!$AQ$7),IF(D134="Options Sell",CONCATENATE([1]AB3!$AP$13,INDEX([1]AB2!L:L,MATCH(D132,[1]AB2!B:B,0)),[1]AB3!$AQ$13),IF(D134="Options Buy",CONCATENATE([1]AB3!$AP$19,INDEX([1]AB2!M:M,MATCH(D132,[1]AB2!B:B,0)),[1]AB3!$AQ$19)))))</f>
        <v>OPT : PRV : 3DHH</v>
      </c>
      <c r="AL133" s="79">
        <v>0.1</v>
      </c>
      <c r="AM133" s="52">
        <f>J132</f>
        <v>1</v>
      </c>
      <c r="AN133" s="51">
        <f t="array" ref="AN133">IF(A132="","",IF(AND(OR(D136="1 &amp; APS",D136="2 &amp; APS",D136="3 &amp; APS",D136="4 &amp; APS",D136="5 &amp; APS"),D134="Futures"),CONCATENATE([1]AB3!$AP$7,INDEX([1]AB2!M:M,MATCH(D132,[1]AB2!B:B,0)),[1]AB3!$AQ$7),IF(AND(OR(D136="1 &amp; APS",D136="2 &amp; APS",D136="3 &amp; APS",D136="4 &amp; APS",D136="5 &amp; APS"),D134="Options Sell"),CONCATENATE([1]AB3!$AP$13,INDEX([1]AB2!L:L,MATCH(D132,[1]AB2!B:B,0)),[1]AB3!$AQ$13),IF(AND(OR(D136="1 &amp; APS",D136="2 &amp; APS",D136="3 &amp; APS",D136="4 &amp; APS",D136="5 &amp; APS"),D134="Options Buy"),CONCATENATE([1]AB3!$AP$19,INDEX([1]AB2!M:M,MATCH(D132,[1]AB2!B:B,0)),[1]AB3!$AQ$19),[1]AB3!$AR$6))))</f>
        <v>0</v>
      </c>
      <c r="AO133" s="58"/>
      <c r="AP133" s="52">
        <f t="shared" si="234"/>
        <v>0</v>
      </c>
      <c r="AQ133" s="51">
        <f t="array" ref="AQ133">IF(A132="","",IF(AND(OR(D136="2 &amp; APS",D136="3 &amp; APS",D136="4 &amp; APS",D136="5 &amp; APS"),D134="Futures"),CONCATENATE([1]AB3!$AP$7,INDEX([1]AB2!M:M,MATCH(D132,[1]AB2!B:B,0)),[1]AB3!$AQ$7),IF(AND(OR(D136="2 &amp; APS",D136="3 &amp; APS",D136="4 &amp; APS",D136="5 &amp; APS"),D134="Options Sell"),CONCATENATE([1]AB3!$AP$13,INDEX([1]AB2!L:L,MATCH(D132,[1]AB2!B:B,0)),[1]AB3!$AQ$13),IF(AND(OR(D136="2 &amp; APS",D136="3 &amp; APS",D136="4 &amp; APS",D136="5 &amp; APS"),D134="Options Buy"),CONCATENATE([1]AB3!$AP$19,INDEX([1]AB2!M:M,MATCH(D132,[1]AB2!B:B,0)),[1]AB3!$AQ$19),[1]AB3!$AR$6))))</f>
        <v>0</v>
      </c>
      <c r="AR133" s="58"/>
      <c r="AS133" s="52">
        <f t="shared" si="235"/>
        <v>0</v>
      </c>
      <c r="AT133" s="51">
        <f t="array" ref="AT133">IF(A132="","",IF(AND(OR(D136="3 &amp; APS",D136="4 &amp; APS",D136="5 &amp; APS"),D134="Futures"),CONCATENATE([1]AB3!$AP$7,INDEX([1]AB2!M:M,MATCH(D132,[1]AB2!B:B,0)),[1]AB3!$AQ$7),IF(AND(OR(D136="3 &amp; APS",D136="4 &amp; APS",D136="5 &amp; APS"),D134="Options Sell"),CONCATENATE([1]AB3!$AP$13,INDEX([1]AB2!L:L,MATCH(D132,[1]AB2!B:B,0)),[1]AB3!$AQ$13),IF(AND(OR(D136="3 &amp; APS",D136="4 &amp; APS",D136="5 &amp; APS"),D134="Options Buy"),CONCATENATE([1]AB3!$AP$19,INDEX([1]AB2!M:M,MATCH(D132,[1]AB2!B:B,0)),[1]AB3!$AQ$19),[1]AB3!$AR$6))))</f>
        <v>0</v>
      </c>
      <c r="AU133" s="58"/>
      <c r="AV133" s="52">
        <f t="shared" si="236"/>
        <v>0</v>
      </c>
      <c r="AW133" s="51">
        <f t="array" ref="AW133">IF(A132="","",IF(AND(OR(D136="4 &amp; APS",D136="5 &amp; APS"),D134="Futures"),CONCATENATE([1]AB3!$AP$7,INDEX([1]AB2!M:M,MATCH(D132,[1]AB2!B:B,0)),[1]AB3!$AQ$7),IF(AND(OR(D136="4 &amp; APS",D136="5 &amp; APS"),D134="Options Sell"),CONCATENATE([1]AB3!$AP$13,INDEX([1]AB2!L:L,MATCH(D132,[1]AB2!B:B,0)),[1]AB3!$AQ$13),IF(AND(OR(D136="4 &amp; APS",D136="5 &amp; APS"),D134="Options Buy"),CONCATENATE([1]AB3!$AP$19,INDEX([1]AB2!M:M,MATCH(D132,[1]AB2!B:B,0)),[1]AB3!$AQ$19),[1]AB3!$AR$6))))</f>
        <v>0</v>
      </c>
      <c r="AX133" s="58"/>
      <c r="AY133" s="52">
        <f t="shared" si="237"/>
        <v>0</v>
      </c>
      <c r="AZ133" s="51">
        <f t="array" ref="AZ133">IF(A132="","",IF(AND(D136="5 &amp; APS",D134="Futures"),CONCATENATE([1]AB3!$AP$7,INDEX([1]AB2!M:M,MATCH(D132,[1]AB2!B:B,0)),[1]AB3!$AQ$7),IF(AND(D136="5 &amp; APS",D134="Options Sell"),CONCATENATE([1]AB3!$AP$13,INDEX([1]AB2!L:L,MATCH(D132,[1]AB2!B:B,0)),[1]AB3!$AQ$13),IF(AND(D136="5 &amp; APS",D134="Options Buy"),CONCATENATE([1]AB3!$AP$19,INDEX([1]AB2!M:M,MATCH(D132,[1]AB2!B:B,0)),[1]AB3!$AQ$19),[1]AB3!$AR$6))))</f>
        <v>0</v>
      </c>
      <c r="BA133" s="58"/>
      <c r="BB133" s="52">
        <f t="shared" si="238"/>
        <v>0</v>
      </c>
      <c r="BC133" s="53"/>
      <c r="BD133" s="54" t="str">
        <f>IF(D134="Futures",[1]AB3!$BE$7,IF(D134="Options Sell",[1]AB3!$BE$13,IF(D134="Options Buy",[1]AB3!$BE$19)))</f>
        <v xml:space="preserve"> RC. Time</v>
      </c>
      <c r="BE133" s="55">
        <f>IF(D134="Futures",BE135+([1]AB3!$BF$7/1440),IF(D134="Options Sell",BE135+([1]AB3!$BF$13/1440),IF(D134="Options Buy",BE135+([1]AB3!$BF$19/1440))))</f>
        <v>0.39582638888888888</v>
      </c>
      <c r="BF133" s="55">
        <f>IF(D134="Futures",BE135+([1]AB3!$BG$7/1440),IF(D134="Options Sell",BE135+([1]AB3!$BG$13/1440),IF(D134="Options Buy",BE135+([1]AB3!$BG$19/1440))))</f>
        <v>0.39582638888888888</v>
      </c>
      <c r="BG133" s="55" t="str">
        <f>IF(D134="Futures",[1]AB3!$BH$7,IF(D134="Options Sell",[1]AB3!$BH$7,IF(D134="Options Buy",[1]AB3!$BH$7)))</f>
        <v>N.A.</v>
      </c>
      <c r="BH133" s="57"/>
      <c r="BI133" s="32"/>
      <c r="BJ133" s="61" t="str">
        <f>IF(D134="Futures",[1]AB3!$BK$7,IF(D134="Options Sell",[1]AB3!$BK$13,IF(D134="Options Buy",[1]AB3!$BK$19)))</f>
        <v>Put</v>
      </c>
      <c r="BK133" s="80">
        <v>0.1</v>
      </c>
      <c r="BL133" s="81">
        <v>0.1</v>
      </c>
      <c r="BM133" s="57"/>
      <c r="BN133" s="32"/>
      <c r="BO133" s="61" t="str">
        <f>IF(D134="Futures",[1]AB3!$BP$7,IF(D134="Options Sell",[1]AB3!$BP$13,IF(D134="Options Buy",[1]AB3!$BP$19)))</f>
        <v>Put</v>
      </c>
      <c r="BP133" s="43" t="str">
        <f t="array" ref="BP133">IF(A132="","",IF(D134="Futures","",IF(D134="EQUITY","",IF(D134="Options Sell",CONCATENATE([1]AB3!$BQ$13,INDEX([1]AB2!I:I,MATCH(A132,[1]AB2!A:A,0)),[1]AB3!$BR$13),IF(D134="Options Buy",CONCATENATE([1]AB3!$BQ$19,INDEX([1]AB2!I:I,MATCH(A132,[1]AB2!A:A,0)),[1]AB3!$BR$19))))))</f>
        <v>SPT : PRV : 2DHH</v>
      </c>
      <c r="BQ133" s="83" t="s">
        <v>55</v>
      </c>
      <c r="BR133" s="58">
        <v>0.1</v>
      </c>
      <c r="BS133" s="76" t="s">
        <v>56</v>
      </c>
      <c r="BT133" s="84" t="str">
        <f t="shared" si="239"/>
        <v>SPT : PRV : 2DHH</v>
      </c>
      <c r="BU133" s="85"/>
      <c r="BV133" s="58"/>
      <c r="BW133" s="76" t="s">
        <v>56</v>
      </c>
      <c r="BX133" s="82" t="s">
        <v>53</v>
      </c>
      <c r="BY133" s="76">
        <v>1</v>
      </c>
      <c r="BZ133" s="58"/>
      <c r="CA133" s="58"/>
      <c r="CB133" s="58"/>
      <c r="CC133" s="58"/>
      <c r="CD133" s="58"/>
      <c r="CE133" s="43" t="str">
        <f t="shared" si="240"/>
        <v>SPT : PRV : 2DHH</v>
      </c>
      <c r="CF133" s="58">
        <v>0.04</v>
      </c>
      <c r="CG133" s="43" t="str">
        <f t="shared" si="241"/>
        <v>SPT : PRV : 2DHH</v>
      </c>
      <c r="CH133" s="58">
        <v>0.03</v>
      </c>
      <c r="CI133" s="75">
        <v>100</v>
      </c>
      <c r="CJ133" s="75">
        <v>1</v>
      </c>
      <c r="CK133" s="59"/>
      <c r="CL133" s="43"/>
      <c r="CM133" s="43"/>
      <c r="CN133" s="59"/>
      <c r="CO133" s="43"/>
      <c r="CP133" s="43"/>
      <c r="CQ133" s="59"/>
      <c r="CR133" s="58">
        <v>0.1</v>
      </c>
      <c r="CS133" s="58"/>
      <c r="CT133" s="59"/>
      <c r="CU133" s="43"/>
      <c r="CV133" s="59"/>
      <c r="CW133" s="59"/>
    </row>
    <row r="134" spans="1:101" ht="15.75" customHeight="1" x14ac:dyDescent="0.2">
      <c r="A134" s="60"/>
      <c r="B134" s="41" t="str">
        <f>CONCATENATE(D132,IF(D134="Futures",[1]AB3!$B$8,IF(D134="Options Sell",[1]AB3!$B$14,IF(D134="Options Buy",[1]AB3!$B$20))))</f>
        <v>S22C</v>
      </c>
      <c r="C134" s="42" t="str">
        <f>IF(D134="Futures",[1]AB3!$C$8,IF(D134="Options Sell",[1]AB3!$C$14,IF(D134="Options Buy",[1]AB3!$C$20)))</f>
        <v>Segment</v>
      </c>
      <c r="D134" s="43" t="str">
        <f t="array" ref="D134">IF(A132="","",INDEX([1]AB2!C:C,MATCH(D132,[1]AB2!B:B,0)))</f>
        <v>OPTIONS SELL</v>
      </c>
      <c r="E134" s="42" t="str">
        <f>IF(D134="Futures",[1]AB3!$E$8,IF(D134="Options Sell",[1]AB3!$E$14,IF(D134="Options Buy",[1]AB3!$E$20)))</f>
        <v>Contract</v>
      </c>
      <c r="F134" s="43" t="str">
        <f t="array" ref="F134">IF(A132="","",INDEX([1]AB2!F:F,MATCH(D132,[1]AB2!B:B,0)))</f>
        <v>MONTHLY</v>
      </c>
      <c r="G134" s="105"/>
      <c r="H134" s="62"/>
      <c r="I134" s="86"/>
      <c r="J134" s="87"/>
      <c r="K134" s="48"/>
      <c r="L134" s="62"/>
      <c r="M134" s="62"/>
      <c r="N134" s="88"/>
      <c r="O134" s="89"/>
      <c r="P134" s="62"/>
      <c r="Q134" s="89"/>
      <c r="R134" s="62"/>
      <c r="S134" s="89"/>
      <c r="T134" s="62"/>
      <c r="U134" s="89"/>
      <c r="V134" s="62"/>
      <c r="W134" s="89"/>
      <c r="X134" s="62"/>
      <c r="Y134" s="62"/>
      <c r="Z134" s="48"/>
      <c r="AA134" s="62"/>
      <c r="AB134" s="62"/>
      <c r="AC134" s="62"/>
      <c r="AD134" s="48"/>
      <c r="AE134" s="62"/>
      <c r="AF134" s="62"/>
      <c r="AG134" s="90"/>
      <c r="AH134" s="90"/>
      <c r="AI134" s="48"/>
      <c r="AJ134" s="62"/>
      <c r="AK134" s="62"/>
      <c r="AL134" s="91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53"/>
      <c r="BD134" s="57"/>
      <c r="BE134" s="57"/>
      <c r="BF134" s="57"/>
      <c r="BG134" s="57"/>
      <c r="BH134" s="57"/>
      <c r="BI134" s="66"/>
      <c r="BJ134" s="62"/>
      <c r="BK134" s="92"/>
      <c r="BL134" s="92"/>
      <c r="BM134" s="57"/>
      <c r="BN134" s="66"/>
      <c r="BO134" s="62"/>
      <c r="BP134" s="62"/>
      <c r="BQ134" s="93"/>
      <c r="BR134" s="62"/>
      <c r="BS134" s="62"/>
      <c r="BT134" s="94"/>
      <c r="BU134" s="93"/>
      <c r="BV134" s="62"/>
      <c r="BW134" s="62"/>
      <c r="BX134" s="62"/>
      <c r="BY134" s="62"/>
      <c r="BZ134" s="62"/>
      <c r="CA134" s="62"/>
      <c r="CB134" s="62"/>
      <c r="CC134" s="62"/>
      <c r="CD134" s="62"/>
      <c r="CE134" s="62"/>
      <c r="CF134" s="62"/>
      <c r="CG134" s="62"/>
      <c r="CH134" s="62"/>
      <c r="CI134" s="62"/>
      <c r="CJ134" s="62"/>
      <c r="CK134" s="59"/>
      <c r="CL134" s="62"/>
      <c r="CM134" s="62"/>
      <c r="CN134" s="59"/>
      <c r="CO134" s="62"/>
      <c r="CP134" s="62"/>
      <c r="CQ134" s="59"/>
      <c r="CR134" s="62"/>
      <c r="CS134" s="62"/>
      <c r="CT134" s="59"/>
      <c r="CU134" s="62"/>
      <c r="CV134" s="59"/>
      <c r="CW134" s="59"/>
    </row>
    <row r="135" spans="1:101" ht="15.75" customHeight="1" x14ac:dyDescent="0.2">
      <c r="A135" s="60"/>
      <c r="B135" s="41" t="str">
        <f>CONCATENATE(D132,IF(D134="Futures",[1]AB3!$B$9,IF(D134="Options Sell",[1]AB3!$B$15,IF(D134="Options Buy",[1]AB3!$B$21))))</f>
        <v>S22D</v>
      </c>
      <c r="C135" s="42" t="str">
        <f>IF(D134="Futures",[1]AB3!$C$9,IF(D134="Options Sell",[1]AB3!$C$15,IF(D134="Options Buy",[1]AB3!$C$21)))</f>
        <v>Symbol</v>
      </c>
      <c r="D135" s="43" t="str">
        <f t="array" ref="D135">IF(A132="","",INDEX([1]AB2!E:E,MATCH(D132,[1]AB2!B:B,0)))</f>
        <v>STOCKS</v>
      </c>
      <c r="E135" s="44" t="str">
        <f>IF(D134="Futures",[1]AB3!$E$9,IF(D134="Options Sell",[1]AB3!$E$15,IF(D134="Options Buy",[1]AB3!$E$21)))</f>
        <v>Bear / 
Bear CF</v>
      </c>
      <c r="F135" s="45" t="str">
        <f>IF(D134="Futures",[1]AB3!$F$9,IF(D134="Options Sell",[1]AB3!$F$15,IF(D134="Options Buy",[1]AB3!$F$21)))</f>
        <v>Call</v>
      </c>
      <c r="G135" s="84" t="str">
        <f t="array" ref="G135">IF(A132="","",IF(D134="Futures",CONCATENATE([1]AB3!$G$9,INDEX([1]AB2!J:J,MATCH(D132,[1]AB2!B:B,0)),[1]AB3!$H$9),IF(D134="Options Sell",CONCATENATE([1]AB3!$G$15,INDEX([1]AB2!I:I,MATCH(D132,[1]AB2!B:B,0)),[1]AB3!$H$15),IF(D134="Options Buy",CONCATENATE([1]AB3!$G$21,INDEX([1]AB2!J:J,MATCH(D132,[1]AB2!B:B,0)),[1]AB3!$H$21)))))</f>
        <v>OPT : PRV : 2DLL</v>
      </c>
      <c r="H135" s="43" t="str">
        <f>IF(D134="Futures",[1]AB3!$I$9,IF(D134="Options Sell",[1]AB3!$I$15,IF(D134="Options Buy",[1]AB3!$I$21)))</f>
        <v xml:space="preserve"> - </v>
      </c>
      <c r="I135" s="72">
        <v>0.1</v>
      </c>
      <c r="J135" s="73">
        <v>1</v>
      </c>
      <c r="K135" s="48"/>
      <c r="L135" s="43" t="str">
        <f>IF(D134="Futures",[1]AB3!$M$9,IF(D134="Options Sell",[1]AB3!$M$15,IF(D134="Options Buy",[1]AB3!$M$21)))</f>
        <v xml:space="preserve">CE : Entry </v>
      </c>
      <c r="M135" s="43" t="str">
        <f>IF(D134="Futures",[1]AB3!$N$9,IF(D134="Options Sell",[1]AB3!$N$15,IF(D134="Options Buy",[1]AB3!$N$21)))</f>
        <v xml:space="preserve"> - </v>
      </c>
      <c r="N135" s="74">
        <v>0.6</v>
      </c>
      <c r="O135" s="75">
        <v>1</v>
      </c>
      <c r="P135" s="58"/>
      <c r="Q135" s="75"/>
      <c r="R135" s="58"/>
      <c r="S135" s="75"/>
      <c r="T135" s="58"/>
      <c r="U135" s="75"/>
      <c r="V135" s="76"/>
      <c r="W135" s="75"/>
      <c r="X135" s="76"/>
      <c r="Y135" s="76"/>
      <c r="Z135" s="48"/>
      <c r="AA135" s="43" t="str">
        <f>IF(D134="Futures",[1]AB3!$AD$9,IF(D134="Options Sell",[1]AB3!$AD$15,IF(D134="Options Buy",[1]AB3!$AD$21)))</f>
        <v>Min</v>
      </c>
      <c r="AB135" s="43" t="str">
        <f>IF(D134="Futures",[1]AB3!$AE$9,IF(D134="Options Sell",[1]AB3!$AE$15,IF(D134="Options Buy",[1]AB3!$AE$21)))</f>
        <v>MSL &amp; TSL</v>
      </c>
      <c r="AC135" s="43" t="str">
        <f>IF(D134="Futures",[1]AB3!$AF$9,IF(D134="Options Sell",[1]AB3!$AF$15,IF(D134="Options Buy",[1]AB3!$AF$21)))</f>
        <v>Entry &amp; TRP</v>
      </c>
      <c r="AD135" s="48"/>
      <c r="AE135" s="43" t="str">
        <f>IF(D134="Futures",[1]AB3!$AH$9,IF(D134="Options Sell",[1]AB3!$AH$15,IF(D134="Options Buy",[1]AB3!$AH$21)))</f>
        <v xml:space="preserve">CE : Entry </v>
      </c>
      <c r="AF135" s="43" t="str">
        <f>IF(D134="Futures",[1]AB3!$AI$9,IF(D134="Options Sell",[1]AB3!$AI$15,IF(D134="Options Buy",[1]AB3!$AI$21)))</f>
        <v xml:space="preserve"> + </v>
      </c>
      <c r="AG135" s="77">
        <v>0.6</v>
      </c>
      <c r="AH135" s="77">
        <v>0</v>
      </c>
      <c r="AI135" s="48"/>
      <c r="AJ135" s="43" t="str">
        <f>IF(D134="Futures",[1]AB3!$AO$9,IF(D134="Options Sell",[1]AB3!$AO$15,IF(D134="Options Buy",[1]AB3!$AO$21)))</f>
        <v xml:space="preserve"> + </v>
      </c>
      <c r="AK135" s="43" t="str">
        <f t="array" ref="AK135">IF(A132="","",IF(D134="Futures",CONCATENATE([1]AB3!$AP$9,INDEX([1]AB2!M:M,MATCH(D132,[1]AB2!B:B,0)),[1]AB3!$AQ$9),IF(D134="Options Sell",CONCATENATE([1]AB3!$AP$15,INDEX([1]AB2!L:L,MATCH(D132,[1]AB2!B:B,0)),[1]AB3!$AQ$15),IF(D134="Options Buy",CONCATENATE([1]AB3!$AP$21,INDEX([1]AB2!M:M,MATCH(D132,[1]AB2!B:B,0)),[1]AB3!$AQ$21)))))</f>
        <v>OPT : PRV : 3DHH</v>
      </c>
      <c r="AL135" s="79">
        <v>0.1</v>
      </c>
      <c r="AM135" s="52">
        <f>J136</f>
        <v>1</v>
      </c>
      <c r="AN135" s="51">
        <f t="array" ref="AN135">IF(A132="","",IF(AND(OR(D136="1 &amp; APS",D136="2 &amp; APS",D136="3 &amp; APS",D136="4 &amp; APS",D136="5 &amp; APS"),D134="Futures"),CONCATENATE([1]AB3!$AP$9,INDEX([1]AB2!M:M,MATCH(D132,[1]AB2!B:B,0)),[1]AB3!$AQ$9),IF(AND(OR(D136="1 &amp; APS",D136="2 &amp; APS",D136="3 &amp; APS",D136="4 &amp; APS",D136="5 &amp; APS"),D134="Options Sell"),CONCATENATE([1]AB3!$AP$15,INDEX([1]AB2!L:L,MATCH(D132,[1]AB2!B:B,0)),[1]AB3!$AQ$15),IF(AND(OR(D136="1 &amp; APS",D136="2 &amp; APS",D136="3 &amp; APS",D136="4 &amp; APS",D136="5 &amp; APS"),D134="Options Buy"),CONCATENATE([1]AB3!$AP$21,INDEX([1]AB2!M:M,MATCH(D132,[1]AB2!B:B,0)),[1]AB3!$AQ$21),[1]AB3!$AR$6))))</f>
        <v>0</v>
      </c>
      <c r="AO135" s="58"/>
      <c r="AP135" s="52">
        <f t="shared" ref="AP135:AP136" si="242">AM135-O135</f>
        <v>0</v>
      </c>
      <c r="AQ135" s="51">
        <f t="array" ref="AQ135">IF(A132="","",IF(AND(OR(D136="2 &amp; APS",D136="3 &amp; APS",D136="4 &amp; APS",D136="5 &amp; APS"),D134="Futures"),CONCATENATE([1]AB3!$AP$9,INDEX([1]AB2!M:M,MATCH(D132,[1]AB2!B:B,0)),[1]AB3!$AQ$9),IF(AND(OR(D136="2 &amp; APS",D136="3 &amp; APS",D136="4 &amp; APS",D136="5 &amp; APS"),D134="Options Sell"),CONCATENATE([1]AB3!$AP$15,INDEX([1]AB2!L:L,MATCH(D132,[1]AB2!B:B,0)),[1]AB3!$AQ$15),IF(AND(OR(D136="2 &amp; APS",D136="3 &amp; APS",D136="4 &amp; APS",D136="5 &amp; APS"),D134="Options Buy"),CONCATENATE([1]AB3!$AP$21,INDEX([1]AB2!M:M,MATCH(D132,[1]AB2!B:B,0)),[1]AB3!$AQ$21),[1]AB3!$AR$6))))</f>
        <v>0</v>
      </c>
      <c r="AR135" s="58"/>
      <c r="AS135" s="52">
        <f t="shared" ref="AS135:AS136" si="243">AP135-Q135</f>
        <v>0</v>
      </c>
      <c r="AT135" s="51">
        <f t="array" ref="AT135">IF(A132="","",IF(AND(OR(D136="3 &amp; APS",D136="4 &amp; APS",D136="5 &amp; APS"),D134="Futures"),CONCATENATE([1]AB3!$AP$9,INDEX([1]AB2!M:M,MATCH(D132,[1]AB2!B:B,0)),[1]AB3!$AQ$9),IF(AND(OR(D136="3 &amp; APS",D136="4 &amp; APS",D136="5 &amp; APS"),D134="Options Sell"),CONCATENATE([1]AB3!$AP$15,INDEX([1]AB2!L:L,MATCH(D132,[1]AB2!B:B,0)),[1]AB3!$AQ$15),IF(AND(OR(D136="3 &amp; APS",D136="4 &amp; APS",D136="5 &amp; APS"),D134="Options Buy"),CONCATENATE([1]AB3!$AP$21,INDEX([1]AB2!M:M,MATCH(D132,[1]AB2!B:B,0)),[1]AB3!$AQ$21),[1]AB3!$AR$6))))</f>
        <v>0</v>
      </c>
      <c r="AU135" s="58"/>
      <c r="AV135" s="52">
        <f t="shared" ref="AV135:AV136" si="244">AS135-S135</f>
        <v>0</v>
      </c>
      <c r="AW135" s="51">
        <f t="array" ref="AW135">IF(A132="","",IF(AND(OR(D136="4 &amp; APS",D136="5 &amp; APS"),D134="Futures"),CONCATENATE([1]AB3!$AP$9,INDEX([1]AB2!M:M,MATCH(D132,[1]AB2!B:B,0)),[1]AB3!$AQ$9),IF(AND(OR(D136="4 &amp; APS",D136="5 &amp; APS"),D134="Options Sell"),CONCATENATE([1]AB3!$AP$15,INDEX([1]AB2!L:L,MATCH(D132,[1]AB2!B:B,0)),[1]AB3!$AQ$15),IF(AND(OR(D136="4 &amp; APS",D136="5 &amp; APS"),D134="Options Buy"),CONCATENATE([1]AB3!$AP$21,INDEX([1]AB2!M:M,MATCH(D132,[1]AB2!B:B,0)),[1]AB3!$AQ$21),[1]AB3!$AR$6))))</f>
        <v>0</v>
      </c>
      <c r="AX135" s="58"/>
      <c r="AY135" s="52">
        <f t="shared" ref="AY135:AY136" si="245">AV135-S135</f>
        <v>0</v>
      </c>
      <c r="AZ135" s="51">
        <f t="array" ref="AZ135">IF(A132="","",IF(AND(D136="5 &amp; APS",D134="Futures"),CONCATENATE([1]AB3!$AP$9,INDEX([1]AB2!M:M,MATCH(D132,[1]AB2!B:B,0)),[1]AB3!$AQ$9),IF(AND(D136="5 &amp; APS",D134="Options Sell"),CONCATENATE([1]AB3!$AP$15,INDEX([1]AB2!L:L,MATCH(D132,[1]AB2!B:B,0)),[1]AB3!$AQ$15),IF(AND(D136="5 &amp; APS",D134="Options Buy"),CONCATENATE([1]AB3!$AP$21,INDEX([1]AB2!M:M,MATCH(D132,[1]AB2!B:B,0)),[1]AB3!$AQ$21),[1]AB3!$AR$6))))</f>
        <v>0</v>
      </c>
      <c r="BA135" s="58"/>
      <c r="BB135" s="52">
        <f t="shared" ref="BB135:BB136" si="246">AY135-W135</f>
        <v>0</v>
      </c>
      <c r="BC135" s="53"/>
      <c r="BD135" s="54" t="str">
        <f>IF(D134="Futures",[1]AB3!$BE$9,IF(D134="Options Sell",[1]AB3!$BE$15,IF(D134="Options Buy",[1]AB3!$BE$21)))</f>
        <v>Market Start Time</v>
      </c>
      <c r="BE135" s="67">
        <f t="array" ref="BE135">IF(D132="","",INDEX([1]AB2!AG:AG,MATCH(D132,[1]AB2!B:B,0)))</f>
        <v>0.38541666666666669</v>
      </c>
      <c r="BF135" s="11"/>
      <c r="BG135" s="12"/>
      <c r="BH135" s="57"/>
      <c r="BI135" s="68" t="str">
        <f>IF(D134="Futures",[1]AB3!$BJ$9,IF(D134="Options Sell",[1]AB3!$BJ$15,IF(D134="Options Buy",[1]AB3!$BJ$21)))</f>
        <v>Bear / 
Bear CF</v>
      </c>
      <c r="BJ135" s="45" t="str">
        <f>IF(D134="Futures",[1]AB3!$BK$9,IF(D134="Options Sell",[1]AB3!$BK$15,IF(D134="Options Buy",[1]AB3!$BK$21)))</f>
        <v>Call</v>
      </c>
      <c r="BK135" s="80">
        <v>0.1</v>
      </c>
      <c r="BL135" s="81">
        <v>0.1</v>
      </c>
      <c r="BM135" s="57"/>
      <c r="BN135" s="68" t="str">
        <f>IF(D134="Futures",[1]AB3!$BO$9,IF(D134="Options Sell",[1]AB3!$BO$15,IF(D134="Options Buy",[1]AB3!$BO$21)))</f>
        <v>Bear | 
Bear CF</v>
      </c>
      <c r="BO135" s="45" t="str">
        <f>IF(D134="Futures",[1]AB3!$BP$9,IF(D134="Options Sell",[1]AB3!$BP$15,IF(D134="Options Buy",[1]AB3!$BP$21)))</f>
        <v>Call</v>
      </c>
      <c r="BP135" s="43" t="str">
        <f t="array" ref="BP135">IF(A132="","",IF(D134="Futures","",IF(D134="EQUITY","",IF(D134="Options Sell",CONCATENATE([1]AB3!$BQ$15,INDEX([1]AB2!I:I,MATCH(A132,[1]AB2!A:A,0)),[1]AB3!$BR$15),IF(D134="Options Buy",CONCATENATE([1]AB3!$BQ$21,INDEX([1]AB2!I:I,MATCH(A132,[1]AB2!A:A,0)),[1]AB3!$BR$21))))))</f>
        <v>SPT : PRV : 2DLL</v>
      </c>
      <c r="BQ135" s="82" t="s">
        <v>53</v>
      </c>
      <c r="BR135" s="58">
        <v>0.1</v>
      </c>
      <c r="BS135" s="76" t="s">
        <v>54</v>
      </c>
      <c r="BT135" s="84" t="str">
        <f t="shared" ref="BT135:BT136" si="247">BP135</f>
        <v>SPT : PRV : 2DLL</v>
      </c>
      <c r="BU135" s="76"/>
      <c r="BV135" s="58"/>
      <c r="BW135" s="76" t="s">
        <v>54</v>
      </c>
      <c r="BX135" s="82" t="s">
        <v>55</v>
      </c>
      <c r="BY135" s="76">
        <v>1</v>
      </c>
      <c r="BZ135" s="58"/>
      <c r="CA135" s="58"/>
      <c r="CB135" s="58"/>
      <c r="CC135" s="58"/>
      <c r="CD135" s="58"/>
      <c r="CE135" s="43" t="str">
        <f t="shared" ref="CE135:CE136" si="248">BP135</f>
        <v>SPT : PRV : 2DLL</v>
      </c>
      <c r="CF135" s="58">
        <v>0.04</v>
      </c>
      <c r="CG135" s="43" t="str">
        <f t="shared" ref="CG135:CG136" si="249">CE135</f>
        <v>SPT : PRV : 2DLL</v>
      </c>
      <c r="CH135" s="58">
        <v>0.03</v>
      </c>
      <c r="CI135" s="75">
        <v>100</v>
      </c>
      <c r="CJ135" s="75">
        <v>1</v>
      </c>
      <c r="CK135" s="59"/>
      <c r="CL135" s="43"/>
      <c r="CM135" s="43"/>
      <c r="CN135" s="59"/>
      <c r="CO135" s="43"/>
      <c r="CP135" s="43"/>
      <c r="CQ135" s="59"/>
      <c r="CR135" s="58">
        <v>0.1</v>
      </c>
      <c r="CS135" s="58"/>
      <c r="CT135" s="59"/>
      <c r="CU135" s="43"/>
      <c r="CV135" s="59"/>
      <c r="CW135" s="59"/>
    </row>
    <row r="136" spans="1:101" ht="15.75" customHeight="1" x14ac:dyDescent="0.2">
      <c r="A136" s="32"/>
      <c r="B136" s="41" t="str">
        <f>CONCATENATE(D132,IF(D134="Futures",[1]AB3!$B$10,IF(D134="Options Sell",[1]AB3!$B$16,IF(D134="Options Buy",[1]AB3!$B$22))))</f>
        <v>S22E</v>
      </c>
      <c r="C136" s="42" t="str">
        <f>IF(D134="Futures",[1]AB3!$C$10,IF(D134="Options Sell",[1]AB3!$C$16,IF(D134="Options Buy",[1]AB3!$C$22)))</f>
        <v>No. of Targets</v>
      </c>
      <c r="D136" s="43" t="str">
        <f t="array" ref="D136">IF(A132="","",INDEX([1]AB2!K:K,MATCH(D132,[1]AB2!B:B,0)))</f>
        <v>APS</v>
      </c>
      <c r="E136" s="32"/>
      <c r="F136" s="61" t="str">
        <f>IF(D134="Futures",[1]AB3!$F$10,IF(D134="Options Sell",[1]AB3!$F$16,IF(D134="Options Buy",[1]AB3!$F$22)))</f>
        <v>Put</v>
      </c>
      <c r="G136" s="84" t="str">
        <f t="array" ref="G136">(IF(A132="","",IF(D134="Futures",CONCATENATE([1]AB3!$G$10,INDEX([1]AB2!I:I,MATCH(D132,[1]AB2!B:B,0)),[1]AB3!$H$10),IF(D134="Options Sell",CONCATENATE([1]AB3!$G$16,INDEX([1]AB2!J:J,MATCH(D132,[1]AB2!B:B,0)),[1]AB3!$H$16),IF(D134="Options Buy",CONCATENATE([1]AB3!$G$22,INDEX([1]AB2!I:I,MATCH(D132,[1]AB2!B:B,0)),[1]AB3!$H$22))))))</f>
        <v>OPT : PRV : 4DLL</v>
      </c>
      <c r="H136" s="43" t="str">
        <f>IF(D134="Futures",[1]AB3!$I$10,IF(D134="Options Sell",[1]AB3!$I$16,IF(D134="Options Buy",[1]AB3!$I$22)))</f>
        <v xml:space="preserve"> - </v>
      </c>
      <c r="I136" s="72">
        <v>0.1</v>
      </c>
      <c r="J136" s="73">
        <v>1</v>
      </c>
      <c r="K136" s="48"/>
      <c r="L136" s="43" t="str">
        <f>IF(D134="Futures",[1]AB3!$M$10,IF(D134="Options Sell",[1]AB3!$M$16,IF(D134="Options Buy",[1]AB3!$M$22)))</f>
        <v xml:space="preserve">PE : Entry </v>
      </c>
      <c r="M136" s="43" t="str">
        <f>IF(D134="Futures",[1]AB3!$N$10,IF(D134="Options Sell",[1]AB3!$N$16,IF(D134="Options Buy",[1]AB3!$N$22)))</f>
        <v xml:space="preserve"> - </v>
      </c>
      <c r="N136" s="74">
        <v>0.6</v>
      </c>
      <c r="O136" s="75">
        <v>1</v>
      </c>
      <c r="P136" s="58"/>
      <c r="Q136" s="75"/>
      <c r="R136" s="58"/>
      <c r="S136" s="75"/>
      <c r="T136" s="58"/>
      <c r="U136" s="75"/>
      <c r="V136" s="76"/>
      <c r="W136" s="75"/>
      <c r="X136" s="76"/>
      <c r="Y136" s="76"/>
      <c r="Z136" s="48"/>
      <c r="AA136" s="43" t="str">
        <f>IF(D134="Futures",[1]AB3!$AD$10,IF(D134="Options Sell",[1]AB3!$AD$16,IF(D134="Options Buy",[1]AB3!$AD$22)))</f>
        <v>Min</v>
      </c>
      <c r="AB136" s="43" t="str">
        <f>IF(D134="Futures",[1]AB3!$AE$10,IF(D134="Options Sell",[1]AB3!$AE$16,IF(D134="Options Buy",[1]AB3!$AE$22)))</f>
        <v>MSL &amp; TSL</v>
      </c>
      <c r="AC136" s="43" t="str">
        <f>IF(D134="Futures",[1]AB3!$AF$10,IF(D134="Options Sell",[1]AB3!$AF$16,IF(D134="Options Buy",[1]AB3!$AF$22)))</f>
        <v>Entry &amp; TRP</v>
      </c>
      <c r="AD136" s="48"/>
      <c r="AE136" s="43" t="str">
        <f>IF(D134="Futures",[1]AB3!$AH$10,IF(D134="Options Sell",[1]AB3!$AH$16,IF(D134="Options Buy",[1]AB3!$AH$22)))</f>
        <v xml:space="preserve">PE : Entry </v>
      </c>
      <c r="AF136" s="43" t="str">
        <f>IF(D134="Futures",[1]AB3!$AI$10,IF(D134="Options Sell",[1]AB3!$AI$16,IF(D134="Options Buy",[1]AB3!$AI$22)))</f>
        <v xml:space="preserve"> + </v>
      </c>
      <c r="AG136" s="77">
        <v>0.6</v>
      </c>
      <c r="AH136" s="77">
        <v>0</v>
      </c>
      <c r="AI136" s="48"/>
      <c r="AJ136" s="43" t="str">
        <f>IF(D134="Futures",[1]AB3!$AO$10,IF(D134="Options Sell",[1]AB3!$AO$16,IF(D134="Options Buy",[1]AB3!$AO$22)))</f>
        <v xml:space="preserve"> + </v>
      </c>
      <c r="AK136" s="43" t="str">
        <f t="array" ref="AK136">IF(A132="","",IF(D134="Futures",CONCATENATE([1]AB3!$AP$10,INDEX([1]AB2!L:L,MATCH(D132,[1]AB2!B:B,0)),[1]AB3!$AQ$10),IF(D134="Options Sell",CONCATENATE([1]AB3!$AP$16,INDEX([1]AB2!M:M,MATCH(D132,[1]AB2!B:B,0)),[1]AB3!$AQ$16),IF(D134="Options Buy",CONCATENATE([1]AB3!$AP$22,INDEX([1]AB2!L:L,MATCH(D132,[1]AB2!B:B,0)),[1]AB3!$AQ$22)))))</f>
        <v>OPT : PRV : 2DHH</v>
      </c>
      <c r="AL136" s="79">
        <v>7.0000000000000007E-2</v>
      </c>
      <c r="AM136" s="52">
        <f>J135</f>
        <v>1</v>
      </c>
      <c r="AN136" s="51">
        <f t="array" ref="AN136">IF(A132="","",IF(AND(OR(D136="1 &amp; APS",D136="2 &amp; APS",D136="3 &amp; APS",D136="4 &amp; APS",D136="5 &amp; APS"),D134="Futures"),CONCATENATE([1]AB3!$AP$10,INDEX([1]AB2!L:L,MATCH(D132,[1]AB2!B:B,0)),[1]AB3!$AQ$10),IF(AND(OR(D136="1 &amp; APS",D136="2 &amp; APS",D136="3 &amp; APS",D136="4 &amp; APS",D136="5 &amp; APS"),D134="Options Sell"),CONCATENATE([1]AB3!$AP$16,INDEX([1]AB2!M:M,MATCH(D132,[1]AB2!B:B,0)),[1]AB3!$AQ$16),IF(AND(OR(D136="1 &amp; APS",D136="2 &amp; APS",D136="3 &amp; APS",D136="4 &amp; APS",D136="5 &amp; APS"),D134="Options Buy"),CONCATENATE([1]AB3!$AP$22,INDEX([1]AB2!L:L,MATCH(D132,[1]AB2!B:B,0)),[1]AB3!$AQ$22),[1]AB3!$AR$6))))</f>
        <v>0</v>
      </c>
      <c r="AO136" s="58"/>
      <c r="AP136" s="52">
        <f t="shared" si="242"/>
        <v>0</v>
      </c>
      <c r="AQ136" s="51">
        <f t="array" ref="AQ136">IF(A132="","",IF(AND(OR(D136="2 &amp; APS",D136="3 &amp; APS",D136="4 &amp; APS",D136="5 &amp; APS"),D134="Futures"),CONCATENATE([1]AB3!$AP$10,INDEX([1]AB2!L:L,MATCH(D132,[1]AB2!B:B,0)),[1]AB3!$AQ$10),IF(AND(OR(D136="2 &amp; APS",D136="3 &amp; APS",D136="4 &amp; APS",D136="5 &amp; APS"),D134="Options Sell"),CONCATENATE([1]AB3!$AP$16,INDEX([1]AB2!M:M,MATCH(D132,[1]AB2!B:B,0)),[1]AB3!$AQ$16),IF(AND(OR(D136="2 &amp; APS",D136="3 &amp; APS",D136="4 &amp; APS",D136="5 &amp; APS"),D134="Options Buy"),CONCATENATE([1]AB3!$AP$22,INDEX([1]AB2!L:L,MATCH(D132,[1]AB2!B:B,0)),[1]AB3!$AQ$22),[1]AB3!$AR$6))))</f>
        <v>0</v>
      </c>
      <c r="AR136" s="58"/>
      <c r="AS136" s="52">
        <f t="shared" si="243"/>
        <v>0</v>
      </c>
      <c r="AT136" s="51">
        <f t="array" ref="AT136">IF(A132="","",IF(AND(OR(D136="3 &amp; APS",D136="4 &amp; APS",D136="5 &amp; APS"),D134="Futures"),CONCATENATE([1]AB3!$AP$10,INDEX([1]AB2!L:L,MATCH(D132,[1]AB2!B:B,0)),[1]AB3!$AQ$10),IF(AND(OR(D136="3 &amp; APS",D136="4 &amp; APS",D136="5 &amp; APS"),D134="Options Sell"),CONCATENATE([1]AB3!$AP$16,INDEX([1]AB2!M:M,MATCH(D132,[1]AB2!B:B,0)),[1]AB3!$AQ$16),IF(AND(OR(D136="3 &amp; APS",D136="4 &amp; APS",D136="5 &amp; APS"),D134="Options Buy"),CONCATENATE([1]AB3!$AP$22,INDEX([1]AB2!L:L,MATCH(D132,[1]AB2!B:B,0)),[1]AB3!$AQ$22),[1]AB3!$AR$6))))</f>
        <v>0</v>
      </c>
      <c r="AU136" s="58"/>
      <c r="AV136" s="52">
        <f t="shared" si="244"/>
        <v>0</v>
      </c>
      <c r="AW136" s="51">
        <f t="array" ref="AW136">IF(A132="","",IF(AND(OR(D136="4 &amp; APS",D136="5 &amp; APS"),D134="Futures"),CONCATENATE([1]AB3!$AP$10,INDEX([1]AB2!L:L,MATCH(D132,[1]AB2!B:B,0)),[1]AB3!$AQ$10),IF(AND(OR(D136="4 &amp; APS",D136="5 &amp; APS"),D134="Options Sell"),CONCATENATE([1]AB3!$AP$16,INDEX([1]AB2!M:M,MATCH(D132,[1]AB2!B:B,0)),[1]AB3!$AQ$16),IF(AND(OR(D136="4 &amp; APS",D136="5 &amp; APS"),D134="Options Buy"),CONCATENATE([1]AB3!$AP$22,INDEX([1]AB2!L:L,MATCH(D132,[1]AB2!B:B,0)),[1]AB3!$AQ$22),[1]AB3!$AR$6))))</f>
        <v>0</v>
      </c>
      <c r="AX136" s="58"/>
      <c r="AY136" s="52">
        <f t="shared" si="245"/>
        <v>0</v>
      </c>
      <c r="AZ136" s="51">
        <f t="array" ref="AZ136">IF(A132="","",IF(AND(D136="5 &amp; APS",D134="Futures"),CONCATENATE([1]AB3!$AP$10,INDEX([1]AB2!L:L,MATCH(D132,[1]AB2!B:B,0)),[1]AB3!$AQ$10),IF(AND(D136="5 &amp; APS",D134="Options Sell"),CONCATENATE([1]AB3!$AP$16,INDEX([1]AB2!M:M,MATCH(D132,[1]AB2!B:B,0)),[1]AB3!$AQ$16),IF(AND(D136="5 &amp; APS",D134="Options Buy"),CONCATENATE([1]AB3!$AP$22,INDEX([1]AB2!L:L,MATCH(D132,[1]AB2!B:B,0)),[1]AB3!$AQ$22),[1]AB3!$AR$6))))</f>
        <v>0</v>
      </c>
      <c r="BA136" s="58"/>
      <c r="BB136" s="52">
        <f t="shared" si="246"/>
        <v>0</v>
      </c>
      <c r="BC136" s="53"/>
      <c r="BD136" s="54" t="str">
        <f>IF(D134="Futures",[1]AB3!$BE$10,IF(D134="Options Sell",[1]AB3!$BE$16,IF(D134="Options Buy",[1]AB3!$BE$22)))</f>
        <v>Market End Time</v>
      </c>
      <c r="BE136" s="67">
        <f t="array" ref="BE136">IF(D132="","",INDEX([1]AB2!AH:AH,MATCH(D132,[1]AB2!B:B,0)))</f>
        <v>0.64583333333333337</v>
      </c>
      <c r="BF136" s="11"/>
      <c r="BG136" s="12"/>
      <c r="BH136" s="57"/>
      <c r="BI136" s="32"/>
      <c r="BJ136" s="61" t="str">
        <f>IF(D134="Futures",[1]AB3!$BK$10,IF(D134="Options Sell",[1]AB3!$BK$16,IF(D134="Options Buy",[1]AB3!$BK$22)))</f>
        <v>Put</v>
      </c>
      <c r="BK136" s="80">
        <v>0.1</v>
      </c>
      <c r="BL136" s="81">
        <v>7.0000000000000007E-2</v>
      </c>
      <c r="BM136" s="57"/>
      <c r="BN136" s="32"/>
      <c r="BO136" s="61" t="str">
        <f>IF(D134="Futures",[1]AB3!$BP$10,IF(D134="Options Sell",[1]AB3!$BP$16,IF(D134="Options Buy",[1]AB3!$BP$22)))</f>
        <v>Put</v>
      </c>
      <c r="BP136" s="43" t="str">
        <f t="array" ref="BP136">IF(A132="","",IF(D134="Futures","",IF(D134="EQUITY","",IF(D134="Options Sell",CONCATENATE([1]AB3!$BQ$16,INDEX([1]AB2!J:J,MATCH(A132,[1]AB2!A:A,0)),[1]AB3!$BR$16),IF(D134="Options Buy",CONCATENATE([1]AB3!$BQ$22,INDEX([1]AB2!J:J,MATCH(A132,[1]AB2!A:A,0)),[1]AB3!$BR$22))))))</f>
        <v>SPT : PRV : 4DHH</v>
      </c>
      <c r="BQ136" s="83" t="s">
        <v>55</v>
      </c>
      <c r="BR136" s="58">
        <v>0.1</v>
      </c>
      <c r="BS136" s="76" t="s">
        <v>56</v>
      </c>
      <c r="BT136" s="84" t="str">
        <f t="shared" si="247"/>
        <v>SPT : PRV : 4DHH</v>
      </c>
      <c r="BU136" s="85"/>
      <c r="BV136" s="58"/>
      <c r="BW136" s="76" t="s">
        <v>56</v>
      </c>
      <c r="BX136" s="82" t="s">
        <v>53</v>
      </c>
      <c r="BY136" s="76">
        <v>1</v>
      </c>
      <c r="BZ136" s="58"/>
      <c r="CA136" s="58"/>
      <c r="CB136" s="58"/>
      <c r="CC136" s="58"/>
      <c r="CD136" s="58"/>
      <c r="CE136" s="43" t="str">
        <f t="shared" si="248"/>
        <v>SPT : PRV : 4DHH</v>
      </c>
      <c r="CF136" s="58">
        <v>0.04</v>
      </c>
      <c r="CG136" s="43" t="str">
        <f t="shared" si="249"/>
        <v>SPT : PRV : 4DHH</v>
      </c>
      <c r="CH136" s="58">
        <v>0.03</v>
      </c>
      <c r="CI136" s="75">
        <v>100</v>
      </c>
      <c r="CJ136" s="75">
        <v>1</v>
      </c>
      <c r="CK136" s="59"/>
      <c r="CL136" s="43"/>
      <c r="CM136" s="43"/>
      <c r="CN136" s="59"/>
      <c r="CO136" s="43"/>
      <c r="CP136" s="43"/>
      <c r="CQ136" s="59"/>
      <c r="CR136" s="58">
        <v>0.1</v>
      </c>
      <c r="CS136" s="58"/>
      <c r="CT136" s="59"/>
      <c r="CU136" s="43"/>
      <c r="CV136" s="59"/>
      <c r="CW136" s="59"/>
    </row>
    <row r="137" spans="1:101" ht="15.75" customHeight="1" x14ac:dyDescent="0.2">
      <c r="A137" s="1"/>
      <c r="B137" s="2"/>
      <c r="C137" s="2"/>
      <c r="D137" s="2"/>
      <c r="E137" s="2"/>
      <c r="F137" s="2"/>
      <c r="G137" s="2"/>
      <c r="H137" s="2"/>
      <c r="I137" s="96"/>
      <c r="J137" s="97"/>
      <c r="K137" s="2"/>
      <c r="L137" s="2"/>
      <c r="M137" s="2"/>
      <c r="N137" s="98"/>
      <c r="O137" s="2"/>
      <c r="P137" s="2"/>
      <c r="Q137" s="69"/>
      <c r="R137" s="69"/>
      <c r="S137" s="70"/>
      <c r="T137" s="70"/>
      <c r="U137" s="2"/>
      <c r="V137" s="2"/>
      <c r="W137" s="2"/>
      <c r="X137" s="2"/>
      <c r="Y137" s="2"/>
      <c r="Z137" s="2"/>
      <c r="AA137" s="20"/>
      <c r="AB137" s="71"/>
      <c r="AC137" s="71"/>
      <c r="AD137" s="2"/>
      <c r="AE137" s="70"/>
      <c r="AF137" s="70"/>
      <c r="AG137" s="100"/>
      <c r="AH137" s="100"/>
      <c r="AI137" s="2"/>
      <c r="AJ137" s="70"/>
      <c r="AK137" s="70"/>
      <c r="AL137" s="101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0"/>
      <c r="AX137" s="70"/>
      <c r="AY137" s="70"/>
      <c r="AZ137" s="70"/>
      <c r="BA137" s="70"/>
      <c r="BB137" s="70"/>
      <c r="BC137" s="70"/>
      <c r="BD137" s="70"/>
      <c r="BE137" s="70"/>
      <c r="BF137" s="70"/>
      <c r="BG137" s="70"/>
      <c r="BH137" s="70"/>
      <c r="BI137" s="70"/>
      <c r="BJ137" s="70"/>
      <c r="BK137" s="103"/>
      <c r="BL137" s="103"/>
      <c r="BM137" s="70"/>
      <c r="BN137" s="70"/>
      <c r="BO137" s="70"/>
      <c r="BP137" s="70"/>
      <c r="BQ137" s="70"/>
      <c r="BR137" s="70"/>
      <c r="BS137" s="70"/>
      <c r="BT137" s="70"/>
      <c r="BU137" s="70"/>
      <c r="BV137" s="70"/>
      <c r="BW137" s="70"/>
      <c r="BX137" s="70"/>
      <c r="BY137" s="70"/>
      <c r="BZ137" s="70"/>
      <c r="CA137" s="70"/>
      <c r="CB137" s="70"/>
      <c r="CC137" s="70"/>
      <c r="CD137" s="70"/>
      <c r="CE137" s="70"/>
      <c r="CF137" s="70"/>
      <c r="CG137" s="70"/>
      <c r="CH137" s="70"/>
      <c r="CI137" s="70"/>
      <c r="CJ137" s="70"/>
      <c r="CK137" s="70"/>
      <c r="CL137" s="2"/>
      <c r="CM137" s="2"/>
      <c r="CN137" s="70"/>
      <c r="CO137" s="70"/>
      <c r="CP137" s="70"/>
      <c r="CQ137" s="70"/>
      <c r="CR137" s="70"/>
      <c r="CS137" s="70"/>
      <c r="CT137" s="70"/>
      <c r="CU137" s="70"/>
      <c r="CV137" s="70"/>
      <c r="CW137" s="70"/>
    </row>
    <row r="138" spans="1:101" ht="15.75" customHeight="1" x14ac:dyDescent="0.2">
      <c r="A138" s="40">
        <v>23</v>
      </c>
      <c r="B138" s="41" t="str">
        <f>CONCATENATE(D138,IF(D140="Futures",[1]AB3!$B$6,IF(D140="Options Sell",[1]AB3!$B$12,IF(D140="Options Buy",[1]AB3!$B$18))))</f>
        <v>S23A</v>
      </c>
      <c r="C138" s="42" t="str">
        <f>IF(D140="Futures",[1]AB3!$C$6,IF(D140="Options Sell",[1]AB3!$C$12,IF(D140="Options Buy",[1]AB3!$C$18)))</f>
        <v>Strategy Code</v>
      </c>
      <c r="D138" s="43" t="str">
        <f t="array" ref="D138">IF(A138="","",INDEX([1]AB2!B:B,MATCH(A138,[1]AB2!A:A,0)))</f>
        <v>S23</v>
      </c>
      <c r="E138" s="44" t="str">
        <f>IF(D140="Futures",[1]AB3!$E$6,IF(D140="Options Sell",[1]AB3!$E$12,IF(D140="Options Buy",[1]AB3!$E$18)))</f>
        <v>Bull / 
Bull CF</v>
      </c>
      <c r="F138" s="45" t="str">
        <f>IF(D140="Futures",[1]AB3!$F$6,IF(D140="Options Sell",[1]AB3!$F$12,IF(D140="Options Buy",[1]AB3!$F$18)))</f>
        <v>Call</v>
      </c>
      <c r="G138" s="37" t="str">
        <f t="array" ref="G138">IF(A138="","",IF(D140="Futures",CONCATENATE([1]AB3!$G$6,INDEX([1]AB2!I:I,MATCH(D138,[1]AB2!B:B,0)),[1]AB3!$H$6),IF(D140="Options Sell",CONCATENATE([1]AB3!$G$12,INDEX([1]AB2!J:J,MATCH(D138,[1]AB2!B:B,0)),[1]AB3!$H$12),IF(D140="Options Buy",CONCATENATE([1]AB3!$G$18,INDEX([1]AB2!I:I,MATCH(D138,[1]AB2!B:B,0)),[1]AB3!$H$18)))))</f>
        <v>OPT : PRV : 3DLL</v>
      </c>
      <c r="H138" s="43" t="str">
        <f>IF(D140="Futures",[1]AB3!$I$6,IF(D140="Options Sell",[1]AB3!$I$12,IF(D140="Options Buy",[1]AB3!$I$18)))</f>
        <v xml:space="preserve"> - </v>
      </c>
      <c r="I138" s="72">
        <v>7.4999999999999997E-2</v>
      </c>
      <c r="J138" s="73">
        <v>1</v>
      </c>
      <c r="K138" s="48"/>
      <c r="L138" s="43" t="str">
        <f>IF(D140="Futures",[1]AB3!$M$6,IF(D140="Options Sell",[1]AB3!$M$12,IF(D140="Options Buy",[1]AB3!$M$18)))</f>
        <v xml:space="preserve">CE : Entry </v>
      </c>
      <c r="M138" s="43" t="str">
        <f>IF(D140="Futures",[1]AB3!$N$6,IF(D140="Options Sell",[1]AB3!$N$12,IF(D140="Options Buy",[1]AB3!$N$18)))</f>
        <v xml:space="preserve"> - </v>
      </c>
      <c r="N138" s="74">
        <v>0.6</v>
      </c>
      <c r="O138" s="75">
        <v>1</v>
      </c>
      <c r="P138" s="58"/>
      <c r="Q138" s="75"/>
      <c r="R138" s="58"/>
      <c r="S138" s="75"/>
      <c r="T138" s="58"/>
      <c r="U138" s="75"/>
      <c r="V138" s="76"/>
      <c r="W138" s="75"/>
      <c r="X138" s="76"/>
      <c r="Y138" s="76"/>
      <c r="Z138" s="48"/>
      <c r="AA138" s="43" t="str">
        <f>IF(D140="Futures",[1]AB3!$AD$6,IF(D140="Options Sell",[1]AB3!$AD$12,IF(D140="Options Buy",[1]AB3!$AD$18)))</f>
        <v>Min</v>
      </c>
      <c r="AB138" s="43" t="str">
        <f>IF(D140="Futures",[1]AB3!$AE$6,IF(D140="Options Sell",[1]AB3!$AE$12,IF(D140="Options Buy",[1]AB3!$AE$18)))</f>
        <v>MSL &amp; TSL</v>
      </c>
      <c r="AC138" s="43" t="str">
        <f>IF(D140="Futures",[1]AB3!$AF$6,IF(D140="Options Sell",[1]AB3!$AF$12,IF(D140="Options Buy",[1]AB3!$AF$18)))</f>
        <v>Entry &amp; TRP</v>
      </c>
      <c r="AD138" s="48"/>
      <c r="AE138" s="43" t="str">
        <f>IF(D140="Futures",[1]AB3!$AH$6,IF(D140="Options Sell",[1]AB3!$AH$12,IF(D140="Options Buy",[1]AB3!$AH$18)))</f>
        <v xml:space="preserve">CE : Entry </v>
      </c>
      <c r="AF138" s="43" t="str">
        <f>IF(D140="Futures",[1]AB3!$AI$6,IF(D140="Options Sell",[1]AB3!$AI$12,IF(D140="Options Buy",[1]AB3!$AI$18)))</f>
        <v xml:space="preserve"> + </v>
      </c>
      <c r="AG138" s="77">
        <v>0.6</v>
      </c>
      <c r="AH138" s="77">
        <v>0</v>
      </c>
      <c r="AI138" s="48"/>
      <c r="AJ138" s="43" t="str">
        <f>IF(D140="Futures",[1]AB3!$AO$6,IF(D140="Options Sell",[1]AB3!$AO$12,IF(D140="Options Buy",[1]AB3!$AO$18)))</f>
        <v xml:space="preserve"> + </v>
      </c>
      <c r="AK138" s="43" t="str">
        <f t="array" ref="AK138">IF(A138="","",IF(D140="Futures",CONCATENATE([1]AB3!$AP$6,INDEX([1]AB2!L:L,MATCH(D138,[1]AB2!B:B,0)),[1]AB3!$AQ$6),IF(D140="Options Sell",CONCATENATE([1]AB3!$AP$12,INDEX([1]AB2!M:M,MATCH(D138,[1]AB2!B:B,0)),[1]AB3!$AQ$12),IF(D140="Options Buy",CONCATENATE([1]AB3!$AP$18,INDEX([1]AB2!L:L,MATCH(D138,[1]AB2!B:B,0)),[1]AB3!$AQ$18)))))</f>
        <v>OPT : PRV : 2DHH</v>
      </c>
      <c r="AL138" s="79">
        <v>7.0000000000000007E-2</v>
      </c>
      <c r="AM138" s="52">
        <f>J139</f>
        <v>1</v>
      </c>
      <c r="AN138" s="51">
        <f t="array" ref="AN138">IF(A138="","",IF(AND(OR(D142="1 &amp; APS",D142="2 &amp; APS",D142="3 &amp; APS",D142="4 &amp; APS",D142="5 &amp; APS"),D140="Futures"),CONCATENATE([1]AB3!$AP$6,INDEX([1]AB2!L:L,MATCH(D138,[1]AB2!B:B,0)),[1]AB3!$AQ$6),IF(AND(OR(D142="1 &amp; APS",D142="2 &amp; APS",D142="3 &amp; APS",D142="4 &amp; APS",D142="5 &amp; APS"),D140="Options Sell"),CONCATENATE([1]AB3!$AP$12,INDEX([1]AB2!M:M,MATCH(D138,[1]AB2!B:B,0)),[1]AB3!$AQ$12),IF(AND(OR(D142="1 &amp; APS",D142="2 &amp; APS",D142="3 &amp; APS",D142="4 &amp; APS",D142="5 &amp; APS"),D140="Options Buy"),CONCATENATE([1]AB3!$AP$18,INDEX([1]AB2!L:L,MATCH(D138,[1]AB2!B:B,0)),[1]AB3!$AQ$18),[1]AB3!$AR$6))))</f>
        <v>0</v>
      </c>
      <c r="AO138" s="58"/>
      <c r="AP138" s="52">
        <f t="shared" ref="AP138:AP139" si="250">AM138-O138</f>
        <v>0</v>
      </c>
      <c r="AQ138" s="51">
        <f t="array" ref="AQ138">IF(A138="","",IF(AND(OR(D142="2 &amp; APS",D142="3 &amp; APS",D142="4 &amp; APS",D142="5 &amp; APS"),D140="Futures"),CONCATENATE([1]AB3!$AP$6,INDEX([1]AB2!L:L,MATCH(D138,[1]AB2!B:B,0)),[1]AB3!$AQ$6),IF(AND(OR(D142="2 &amp; APS",D142="3 &amp; APS",D142="4 &amp; APS",D142="5 &amp; APS"),D140="Options Sell"),CONCATENATE([1]AB3!$AP$12,INDEX([1]AB2!M:M,MATCH(D138,[1]AB2!B:B,0)),[1]AB3!$AQ$12),IF(AND(OR(D142="2 &amp; APS",D142="3 &amp; APS",D142="4 &amp; APS",D142="5 &amp; APS"),D140="Options Buy"),CONCATENATE([1]AB3!$AP$18,INDEX([1]AB2!L:L,MATCH(D138,[1]AB2!B:B,0)),[1]AB3!$AQ$18),[1]AB3!$AR$6))))</f>
        <v>0</v>
      </c>
      <c r="AR138" s="58"/>
      <c r="AS138" s="52">
        <f t="shared" ref="AS138:AS139" si="251">AP138-Q138</f>
        <v>0</v>
      </c>
      <c r="AT138" s="51">
        <f t="array" ref="AT138">IF(A138="","",IF(AND(OR(D142="3 &amp; APS",D142="4 &amp; APS",D142="5 &amp; APS"),D140="Futures"),CONCATENATE([1]AB3!$AP$6,INDEX([1]AB2!L:L,MATCH(D138,[1]AB2!B:B,0)),[1]AB3!$AQ$6),IF(AND(OR(D142="3 &amp; APS",D142="4 &amp; APS",D142="5 &amp; APS"),D140="Options Sell"),CONCATENATE([1]AB3!$AP$12,INDEX([1]AB2!M:M,MATCH(D138,[1]AB2!B:B,0)),[1]AB3!$AQ$12),IF(AND(OR(D142="3 &amp; APS",D142="4 &amp; APS",D142="5 &amp; APS"),D140="Options Buy"),CONCATENATE([1]AB3!$AP$18,INDEX([1]AB2!L:L,MATCH(D138,[1]AB2!B:B,0)),[1]AB3!$AQ$18),[1]AB3!$AR$6))))</f>
        <v>0</v>
      </c>
      <c r="AU138" s="58"/>
      <c r="AV138" s="52">
        <f t="shared" ref="AV138:AV139" si="252">AS138-S138</f>
        <v>0</v>
      </c>
      <c r="AW138" s="51">
        <f t="array" ref="AW138">IF(A138="","",IF(AND(OR(D142="4 &amp; APS",D142="5 &amp; APS"),D140="Futures"),CONCATENATE([1]AB3!$AP$6,INDEX([1]AB2!L:L,MATCH(D138,[1]AB2!B:B,0)),[1]AB3!$AQ$6),IF(AND(OR(D142="4 &amp; APS",D142="5 &amp; APS"),D140="Options Sell"),CONCATENATE([1]AB3!$AP$12,INDEX([1]AB2!M:M,MATCH(D138,[1]AB2!B:B,0)),[1]AB3!$AQ$12),IF(AND(OR(D142="4 &amp; APS",D142="5 &amp; APS"),D140="Options Buy"),CONCATENATE([1]AB3!$AP$18,INDEX([1]AB2!L:L,MATCH(D138,[1]AB2!B:B,0)),[1]AB3!$AQ$18),[1]AB3!$AR$6))))</f>
        <v>0</v>
      </c>
      <c r="AX138" s="58"/>
      <c r="AY138" s="52">
        <f t="shared" ref="AY138:AY139" si="253">AV138-S138</f>
        <v>0</v>
      </c>
      <c r="AZ138" s="51">
        <f t="array" ref="AZ138">IF(A138="","",IF(AND(D142="5 &amp; APS",D140="Futures"),CONCATENATE([1]AB3!$AP$6,INDEX([1]AB2!L:L,MATCH(D138,[1]AB2!B:B,0)),[1]AB3!$AQ$6),IF(AND(D142="5 &amp; APS",D140="Options Sell"),CONCATENATE([1]AB3!$AP$12,INDEX([1]AB2!M:M,MATCH(D138,[1]AB2!B:B,0)),[1]AB3!$AQ$12),IF(AND(D142="5 &amp; APS",D140="Options Buy"),CONCATENATE([1]AB3!$AP$18,INDEX([1]AB2!L:L,MATCH(D138,[1]AB2!B:B,0)),[1]AB3!$AQ$18),[1]AB3!$AR$6))))</f>
        <v>0</v>
      </c>
      <c r="BA138" s="58"/>
      <c r="BB138" s="52">
        <f t="shared" ref="BB138:BB139" si="254">AY138-W138</f>
        <v>0</v>
      </c>
      <c r="BC138" s="53"/>
      <c r="BD138" s="54" t="str">
        <f>IF(D140="Futures",[1]AB3!$BE$6,IF(D140="Options Sell",[1]AB3!$BE$12,IF(D140="Options Buy",[1]AB3!$BE$18)))</f>
        <v xml:space="preserve">ORPT </v>
      </c>
      <c r="BE138" s="55">
        <f>IF(D140="Futures",BE141+([1]AB3!$BF$6/1440),IF(D140="Options Sell",BE141+([1]AB3!$BF$12/1440),IF(D140="Options Buy",BE141+([1]AB3!$BF$18/1440))))</f>
        <v>0.39235416666666667</v>
      </c>
      <c r="BF138" s="55">
        <f>IF(D140="Futures",BE141+([1]AB3!$BG$6/1440),IF(D140="Options Sell",BE141+([1]AB3!$BG$12/1440),IF(D140="Options Buy",BE141+([1]AB3!$BG$18/1440))))</f>
        <v>0.39235416666666667</v>
      </c>
      <c r="BG138" s="55">
        <f>IF(D140="Futures",BE141+([1]AB3!$BH$6/1440),IF(D140="Options Sell",BE141+([1]AB3!$BH$12/1440),IF(D140="Options Buy",BE141+([1]AB3!$BH$18/1440))))</f>
        <v>0.38541666666666669</v>
      </c>
      <c r="BH138" s="57"/>
      <c r="BI138" s="44" t="str">
        <f>IF(D140="Futures",[1]AB3!$BJ$6,IF(D140="Options Sell",[1]AB3!$BJ$12,IF(D140="Options Buy",[1]AB3!$BJ$18)))</f>
        <v>Bull / 
Bull CF</v>
      </c>
      <c r="BJ138" s="45" t="str">
        <f>IF(D140="Futures",[1]AB3!$BK$6,IF(D140="Options Sell",[1]AB3!$BK$12,IF(D140="Options Buy",[1]AB3!$BK$18)))</f>
        <v>Call</v>
      </c>
      <c r="BK138" s="80">
        <v>7.4999999999999997E-2</v>
      </c>
      <c r="BL138" s="81">
        <v>7.0000000000000007E-2</v>
      </c>
      <c r="BM138" s="57"/>
      <c r="BN138" s="44" t="str">
        <f>IF(D140="Futures",[1]AB3!$BO$6,IF(D140="Options Sell",[1]AB3!$BO$12,IF(D140="Options Buy",[1]AB3!$BO$18)))</f>
        <v>Bull | 
Bull CF</v>
      </c>
      <c r="BO138" s="45" t="str">
        <f>IF(D140="Futures",[1]AB3!$BP$6,IF(D140="Options Sell",[1]AB3!$BP$12,IF(D140="Options Buy",[1]AB3!$BP$18)))</f>
        <v>Call</v>
      </c>
      <c r="BP138" s="43" t="str">
        <f t="array" ref="BP138">IF(A138="","",IF(D140="Futures","",IF(D140="EQUITY","",IF(D140="Options Sell",CONCATENATE([1]AB3!$BQ$12,INDEX([1]AB2!J:J,MATCH(A138,[1]AB2!A:A,0)),[1]AB3!$BR$12),IF(D140="Options Buy",CONCATENATE([1]AB3!$BQ$18,INDEX([1]AB2!J:J,MATCH(A138,[1]AB2!A:A,0)),[1]AB3!$BR$18))))))</f>
        <v>SPT : PRV : 3DLL</v>
      </c>
      <c r="BQ138" s="82" t="s">
        <v>53</v>
      </c>
      <c r="BR138" s="58">
        <v>0.05</v>
      </c>
      <c r="BS138" s="76" t="s">
        <v>54</v>
      </c>
      <c r="BT138" s="37" t="str">
        <f t="shared" ref="BT138:BT139" si="255">BP138</f>
        <v>SPT : PRV : 3DLL</v>
      </c>
      <c r="BU138" s="76"/>
      <c r="BV138" s="58"/>
      <c r="BW138" s="76" t="s">
        <v>54</v>
      </c>
      <c r="BX138" s="82" t="s">
        <v>55</v>
      </c>
      <c r="BY138" s="76">
        <v>1</v>
      </c>
      <c r="BZ138" s="58"/>
      <c r="CA138" s="58"/>
      <c r="CB138" s="58"/>
      <c r="CC138" s="58"/>
      <c r="CD138" s="58"/>
      <c r="CE138" s="43" t="str">
        <f t="shared" ref="CE138:CE139" si="256">BP138</f>
        <v>SPT : PRV : 3DLL</v>
      </c>
      <c r="CF138" s="58">
        <v>1.2E-2</v>
      </c>
      <c r="CG138" s="43" t="str">
        <f t="shared" ref="CG138:CG139" si="257">CE138</f>
        <v>SPT : PRV : 3DLL</v>
      </c>
      <c r="CH138" s="58">
        <v>8.9999999999999993E-3</v>
      </c>
      <c r="CI138" s="75">
        <v>500</v>
      </c>
      <c r="CJ138" s="75">
        <v>1</v>
      </c>
      <c r="CK138" s="59"/>
      <c r="CL138" s="43"/>
      <c r="CM138" s="43"/>
      <c r="CN138" s="59"/>
      <c r="CO138" s="43"/>
      <c r="CP138" s="43"/>
      <c r="CQ138" s="59"/>
      <c r="CR138" s="58">
        <v>0.05</v>
      </c>
      <c r="CS138" s="58"/>
      <c r="CT138" s="59"/>
      <c r="CU138" s="55">
        <f>IF(D140="Futures",BE142-([1]AB3!$CG$6/1440),IF(D140="Options Sell",BE142-([1]AB3!$CG$12/1440),IF(D140="Options Buy",BE142-([1]AB3!$CG$18/1440),IF(D140="EQUITY",""))))</f>
        <v>0.625</v>
      </c>
      <c r="CV138" s="59"/>
      <c r="CW138" s="59"/>
    </row>
    <row r="139" spans="1:101" ht="15.75" customHeight="1" x14ac:dyDescent="0.2">
      <c r="A139" s="60"/>
      <c r="B139" s="41" t="str">
        <f>CONCATENATE(D138,IF(D140="Futures",[1]AB3!$B$7,IF(D140="Options Sell",[1]AB3!$B$13,IF(D140="Options Buy",[1]AB3!$B$19))))</f>
        <v>S23B</v>
      </c>
      <c r="C139" s="42" t="str">
        <f>IF(D140="Futures",[1]AB3!$C$7,IF(D140="Options Sell",[1]AB3!$C$13,IF(D140="Options Buy",[1]AB3!$C$19)))</f>
        <v>Unique Code</v>
      </c>
      <c r="D139" s="43" t="str">
        <f t="array" ref="D139">IF(A138="","",INDEX([1]AB2!N:N,MATCH(D138,[1]AB2!B:B,0)))</f>
        <v>NIFTY_OP_SELL_WK_DIFF_2D_3D</v>
      </c>
      <c r="E139" s="32"/>
      <c r="F139" s="61" t="str">
        <f>IF(D140="Futures",[1]AB3!$F$7,IF(D140="Options Sell",[1]AB3!$F$13,IF(D140="Options Buy",[1]AB3!$F$19)))</f>
        <v>Put</v>
      </c>
      <c r="G139" s="84" t="str">
        <f t="array" ref="G139">IF(A138="","",IF(D140="Futures",CONCATENATE([1]AB3!$G$7,INDEX([1]AB2!J:J,MATCH(D138,[1]AB2!B:B,0)),[1]AB3!$H$7),IF(D140="Options Sell",CONCATENATE([1]AB3!$G$13,INDEX([1]AB2!I:I,MATCH(D138,[1]AB2!B:B,0)),[1]AB3!$H$13),IF(D140="Options Buy",CONCATENATE([1]AB3!$G$19,INDEX([1]AB2!J:J,MATCH(D138,[1]AB2!B:B,0)),[1]AB3!$H$19)))))</f>
        <v>OPT : PRV : 2DLL</v>
      </c>
      <c r="H139" s="43" t="str">
        <f>IF(D140="Futures",[1]AB3!$I$7,IF(D140="Options Sell",[1]AB3!$I$13,IF(D140="Options Buy",[1]AB3!$I$19)))</f>
        <v xml:space="preserve"> - </v>
      </c>
      <c r="I139" s="72">
        <v>7.4999999999999997E-2</v>
      </c>
      <c r="J139" s="73">
        <v>1</v>
      </c>
      <c r="K139" s="48"/>
      <c r="L139" s="43" t="str">
        <f>IF(D140="Futures",[1]AB3!$M$7,IF(D140="Options Sell",[1]AB3!$M$13,IF(D140="Options Buy",[1]AB3!$M$19)))</f>
        <v xml:space="preserve">PE : Entry </v>
      </c>
      <c r="M139" s="43" t="str">
        <f>IF(D140="Futures",[1]AB3!$N$7,IF(D140="Options Sell",[1]AB3!$N$13,IF(D140="Options Buy",[1]AB3!$N$19)))</f>
        <v xml:space="preserve"> - </v>
      </c>
      <c r="N139" s="74">
        <v>0.6</v>
      </c>
      <c r="O139" s="75">
        <v>1</v>
      </c>
      <c r="P139" s="58"/>
      <c r="Q139" s="75"/>
      <c r="R139" s="58"/>
      <c r="S139" s="75"/>
      <c r="T139" s="58"/>
      <c r="U139" s="75"/>
      <c r="V139" s="76"/>
      <c r="W139" s="75"/>
      <c r="X139" s="76"/>
      <c r="Y139" s="76"/>
      <c r="Z139" s="48"/>
      <c r="AA139" s="43" t="str">
        <f>IF(D140="Futures",[1]AB3!$AD$7,IF(D140="Options Sell",[1]AB3!$AD$13,IF(D140="Options Buy",[1]AB3!$AD$19)))</f>
        <v>Min</v>
      </c>
      <c r="AB139" s="43" t="str">
        <f>IF(D140="Futures",[1]AB3!$AE$7,IF(D140="Options Sell",[1]AB3!$AE$13,IF(D140="Options Buy",[1]AB3!$AE$19)))</f>
        <v>MSL &amp; TSL</v>
      </c>
      <c r="AC139" s="43" t="str">
        <f>IF(D140="Futures",[1]AB3!$AF$7,IF(D140="Options Sell",[1]AB3!$AF$13,IF(D140="Options Buy",[1]AB3!$AF$19)))</f>
        <v>Entry &amp; TRP</v>
      </c>
      <c r="AD139" s="48"/>
      <c r="AE139" s="43" t="str">
        <f>IF(D140="Futures",[1]AB3!$AH$7,IF(D140="Options Sell",[1]AB3!$AH$13,IF(D140="Options Buy",[1]AB3!$AH$19)))</f>
        <v xml:space="preserve">PE : Entry </v>
      </c>
      <c r="AF139" s="43" t="str">
        <f>IF(D140="Futures",[1]AB3!$AI$7,IF(D140="Options Sell",[1]AB3!$AI$13,IF(D140="Options Buy",[1]AB3!$AI$19)))</f>
        <v xml:space="preserve"> + </v>
      </c>
      <c r="AG139" s="77">
        <v>0.6</v>
      </c>
      <c r="AH139" s="77">
        <v>0</v>
      </c>
      <c r="AI139" s="48"/>
      <c r="AJ139" s="43" t="str">
        <f>IF(D140="Futures",[1]AB3!$AO$7,IF(D140="Options Sell",[1]AB3!$AO$13,IF(D140="Options Buy",[1]AB3!$AO$19)))</f>
        <v xml:space="preserve"> + </v>
      </c>
      <c r="AK139" s="43" t="str">
        <f t="array" ref="AK139">IF(A138="","",IF(D140="Futures",CONCATENATE([1]AB3!$AP$7,INDEX([1]AB2!M:M,MATCH(D138,[1]AB2!B:B,0)),[1]AB3!$AQ$7),IF(D140="Options Sell",CONCATENATE([1]AB3!$AP$13,INDEX([1]AB2!L:L,MATCH(D138,[1]AB2!B:B,0)),[1]AB3!$AQ$13),IF(D140="Options Buy",CONCATENATE([1]AB3!$AP$19,INDEX([1]AB2!M:M,MATCH(D138,[1]AB2!B:B,0)),[1]AB3!$AQ$19)))))</f>
        <v>OPT : PRV : 3DHH</v>
      </c>
      <c r="AL139" s="79">
        <v>0.1</v>
      </c>
      <c r="AM139" s="52">
        <f>J138</f>
        <v>1</v>
      </c>
      <c r="AN139" s="51">
        <f t="array" ref="AN139">IF(A138="","",IF(AND(OR(D142="1 &amp; APS",D142="2 &amp; APS",D142="3 &amp; APS",D142="4 &amp; APS",D142="5 &amp; APS"),D140="Futures"),CONCATENATE([1]AB3!$AP$7,INDEX([1]AB2!M:M,MATCH(D138,[1]AB2!B:B,0)),[1]AB3!$AQ$7),IF(AND(OR(D142="1 &amp; APS",D142="2 &amp; APS",D142="3 &amp; APS",D142="4 &amp; APS",D142="5 &amp; APS"),D140="Options Sell"),CONCATENATE([1]AB3!$AP$13,INDEX([1]AB2!L:L,MATCH(D138,[1]AB2!B:B,0)),[1]AB3!$AQ$13),IF(AND(OR(D142="1 &amp; APS",D142="2 &amp; APS",D142="3 &amp; APS",D142="4 &amp; APS",D142="5 &amp; APS"),D140="Options Buy"),CONCATENATE([1]AB3!$AP$19,INDEX([1]AB2!M:M,MATCH(D138,[1]AB2!B:B,0)),[1]AB3!$AQ$19),[1]AB3!$AR$6))))</f>
        <v>0</v>
      </c>
      <c r="AO139" s="58"/>
      <c r="AP139" s="52">
        <f t="shared" si="250"/>
        <v>0</v>
      </c>
      <c r="AQ139" s="51">
        <f t="array" ref="AQ139">IF(A138="","",IF(AND(OR(D142="2 &amp; APS",D142="3 &amp; APS",D142="4 &amp; APS",D142="5 &amp; APS"),D140="Futures"),CONCATENATE([1]AB3!$AP$7,INDEX([1]AB2!M:M,MATCH(D138,[1]AB2!B:B,0)),[1]AB3!$AQ$7),IF(AND(OR(D142="2 &amp; APS",D142="3 &amp; APS",D142="4 &amp; APS",D142="5 &amp; APS"),D140="Options Sell"),CONCATENATE([1]AB3!$AP$13,INDEX([1]AB2!L:L,MATCH(D138,[1]AB2!B:B,0)),[1]AB3!$AQ$13),IF(AND(OR(D142="2 &amp; APS",D142="3 &amp; APS",D142="4 &amp; APS",D142="5 &amp; APS"),D140="Options Buy"),CONCATENATE([1]AB3!$AP$19,INDEX([1]AB2!M:M,MATCH(D138,[1]AB2!B:B,0)),[1]AB3!$AQ$19),[1]AB3!$AR$6))))</f>
        <v>0</v>
      </c>
      <c r="AR139" s="58"/>
      <c r="AS139" s="52">
        <f t="shared" si="251"/>
        <v>0</v>
      </c>
      <c r="AT139" s="51">
        <f t="array" ref="AT139">IF(A138="","",IF(AND(OR(D142="3 &amp; APS",D142="4 &amp; APS",D142="5 &amp; APS"),D140="Futures"),CONCATENATE([1]AB3!$AP$7,INDEX([1]AB2!M:M,MATCH(D138,[1]AB2!B:B,0)),[1]AB3!$AQ$7),IF(AND(OR(D142="3 &amp; APS",D142="4 &amp; APS",D142="5 &amp; APS"),D140="Options Sell"),CONCATENATE([1]AB3!$AP$13,INDEX([1]AB2!L:L,MATCH(D138,[1]AB2!B:B,0)),[1]AB3!$AQ$13),IF(AND(OR(D142="3 &amp; APS",D142="4 &amp; APS",D142="5 &amp; APS"),D140="Options Buy"),CONCATENATE([1]AB3!$AP$19,INDEX([1]AB2!M:M,MATCH(D138,[1]AB2!B:B,0)),[1]AB3!$AQ$19),[1]AB3!$AR$6))))</f>
        <v>0</v>
      </c>
      <c r="AU139" s="58"/>
      <c r="AV139" s="52">
        <f t="shared" si="252"/>
        <v>0</v>
      </c>
      <c r="AW139" s="51">
        <f t="array" ref="AW139">IF(A138="","",IF(AND(OR(D142="4 &amp; APS",D142="5 &amp; APS"),D140="Futures"),CONCATENATE([1]AB3!$AP$7,INDEX([1]AB2!M:M,MATCH(D138,[1]AB2!B:B,0)),[1]AB3!$AQ$7),IF(AND(OR(D142="4 &amp; APS",D142="5 &amp; APS"),D140="Options Sell"),CONCATENATE([1]AB3!$AP$13,INDEX([1]AB2!L:L,MATCH(D138,[1]AB2!B:B,0)),[1]AB3!$AQ$13),IF(AND(OR(D142="4 &amp; APS",D142="5 &amp; APS"),D140="Options Buy"),CONCATENATE([1]AB3!$AP$19,INDEX([1]AB2!M:M,MATCH(D138,[1]AB2!B:B,0)),[1]AB3!$AQ$19),[1]AB3!$AR$6))))</f>
        <v>0</v>
      </c>
      <c r="AX139" s="58"/>
      <c r="AY139" s="52">
        <f t="shared" si="253"/>
        <v>0</v>
      </c>
      <c r="AZ139" s="51">
        <f t="array" ref="AZ139">IF(A138="","",IF(AND(D142="5 &amp; APS",D140="Futures"),CONCATENATE([1]AB3!$AP$7,INDEX([1]AB2!M:M,MATCH(D138,[1]AB2!B:B,0)),[1]AB3!$AQ$7),IF(AND(D142="5 &amp; APS",D140="Options Sell"),CONCATENATE([1]AB3!$AP$13,INDEX([1]AB2!L:L,MATCH(D138,[1]AB2!B:B,0)),[1]AB3!$AQ$13),IF(AND(D142="5 &amp; APS",D140="Options Buy"),CONCATENATE([1]AB3!$AP$19,INDEX([1]AB2!M:M,MATCH(D138,[1]AB2!B:B,0)),[1]AB3!$AQ$19),[1]AB3!$AR$6))))</f>
        <v>0</v>
      </c>
      <c r="BA139" s="58"/>
      <c r="BB139" s="52">
        <f t="shared" si="254"/>
        <v>0</v>
      </c>
      <c r="BC139" s="53"/>
      <c r="BD139" s="54" t="str">
        <f>IF(D140="Futures",[1]AB3!$BE$7,IF(D140="Options Sell",[1]AB3!$BE$13,IF(D140="Options Buy",[1]AB3!$BE$19)))</f>
        <v xml:space="preserve"> RC. Time</v>
      </c>
      <c r="BE139" s="55">
        <f>IF(D140="Futures",BE141+([1]AB3!$BF$7/1440),IF(D140="Options Sell",BE141+([1]AB3!$BF$13/1440),IF(D140="Options Buy",BE141+([1]AB3!$BF$19/1440))))</f>
        <v>0.39582638888888888</v>
      </c>
      <c r="BF139" s="55">
        <f>IF(D140="Futures",BE141+([1]AB3!$BG$7/1440),IF(D140="Options Sell",BE141+([1]AB3!$BG$13/1440),IF(D140="Options Buy",BE141+([1]AB3!$BG$19/1440))))</f>
        <v>0.39582638888888888</v>
      </c>
      <c r="BG139" s="55" t="str">
        <f>IF(D140="Futures",[1]AB3!$BH$7,IF(D140="Options Sell",[1]AB3!$BH$7,IF(D140="Options Buy",[1]AB3!$BH$7)))</f>
        <v>N.A.</v>
      </c>
      <c r="BH139" s="57"/>
      <c r="BI139" s="32"/>
      <c r="BJ139" s="61" t="str">
        <f>IF(D140="Futures",[1]AB3!$BK$7,IF(D140="Options Sell",[1]AB3!$BK$13,IF(D140="Options Buy",[1]AB3!$BK$19)))</f>
        <v>Put</v>
      </c>
      <c r="BK139" s="80">
        <v>7.4999999999999997E-2</v>
      </c>
      <c r="BL139" s="81">
        <v>0.1</v>
      </c>
      <c r="BM139" s="57"/>
      <c r="BN139" s="32"/>
      <c r="BO139" s="61" t="str">
        <f>IF(D140="Futures",[1]AB3!$BP$7,IF(D140="Options Sell",[1]AB3!$BP$13,IF(D140="Options Buy",[1]AB3!$BP$19)))</f>
        <v>Put</v>
      </c>
      <c r="BP139" s="43" t="str">
        <f t="array" ref="BP139">IF(A138="","",IF(D140="Futures","",IF(D140="EQUITY","",IF(D140="Options Sell",CONCATENATE([1]AB3!$BQ$13,INDEX([1]AB2!I:I,MATCH(A138,[1]AB2!A:A,0)),[1]AB3!$BR$13),IF(D140="Options Buy",CONCATENATE([1]AB3!$BQ$19,INDEX([1]AB2!I:I,MATCH(A138,[1]AB2!A:A,0)),[1]AB3!$BR$19))))))</f>
        <v>SPT : PRV : 2DHH</v>
      </c>
      <c r="BQ139" s="83" t="s">
        <v>55</v>
      </c>
      <c r="BR139" s="58">
        <v>0.05</v>
      </c>
      <c r="BS139" s="76" t="s">
        <v>56</v>
      </c>
      <c r="BT139" s="84" t="str">
        <f t="shared" si="255"/>
        <v>SPT : PRV : 2DHH</v>
      </c>
      <c r="BU139" s="85"/>
      <c r="BV139" s="58"/>
      <c r="BW139" s="76" t="s">
        <v>56</v>
      </c>
      <c r="BX139" s="82" t="s">
        <v>53</v>
      </c>
      <c r="BY139" s="76">
        <v>1</v>
      </c>
      <c r="BZ139" s="58"/>
      <c r="CA139" s="58"/>
      <c r="CB139" s="58"/>
      <c r="CC139" s="58"/>
      <c r="CD139" s="58"/>
      <c r="CE139" s="43" t="str">
        <f t="shared" si="256"/>
        <v>SPT : PRV : 2DHH</v>
      </c>
      <c r="CF139" s="58">
        <v>1.2E-2</v>
      </c>
      <c r="CG139" s="43" t="str">
        <f t="shared" si="257"/>
        <v>SPT : PRV : 2DHH</v>
      </c>
      <c r="CH139" s="58">
        <v>8.9999999999999993E-3</v>
      </c>
      <c r="CI139" s="75">
        <v>500</v>
      </c>
      <c r="CJ139" s="75">
        <v>1</v>
      </c>
      <c r="CK139" s="59"/>
      <c r="CL139" s="43"/>
      <c r="CM139" s="43"/>
      <c r="CN139" s="59"/>
      <c r="CO139" s="43"/>
      <c r="CP139" s="43"/>
      <c r="CQ139" s="59"/>
      <c r="CR139" s="58">
        <v>0.05</v>
      </c>
      <c r="CS139" s="58"/>
      <c r="CT139" s="59"/>
      <c r="CU139" s="43"/>
      <c r="CV139" s="59"/>
      <c r="CW139" s="59"/>
    </row>
    <row r="140" spans="1:101" ht="15.75" customHeight="1" x14ac:dyDescent="0.2">
      <c r="A140" s="60"/>
      <c r="B140" s="41" t="str">
        <f>CONCATENATE(D138,IF(D140="Futures",[1]AB3!$B$8,IF(D140="Options Sell",[1]AB3!$B$14,IF(D140="Options Buy",[1]AB3!$B$20))))</f>
        <v>S23C</v>
      </c>
      <c r="C140" s="42" t="str">
        <f>IF(D140="Futures",[1]AB3!$C$8,IF(D140="Options Sell",[1]AB3!$C$14,IF(D140="Options Buy",[1]AB3!$C$20)))</f>
        <v>Segment</v>
      </c>
      <c r="D140" s="43" t="str">
        <f t="array" ref="D140">IF(A138="","",INDEX([1]AB2!C:C,MATCH(D138,[1]AB2!B:B,0)))</f>
        <v>OPTIONS SELL</v>
      </c>
      <c r="E140" s="42" t="str">
        <f>IF(D140="Futures",[1]AB3!$E$8,IF(D140="Options Sell",[1]AB3!$E$14,IF(D140="Options Buy",[1]AB3!$E$20)))</f>
        <v>Contract</v>
      </c>
      <c r="F140" s="43" t="str">
        <f t="array" ref="F140">IF(A138="","",INDEX([1]AB2!F:F,MATCH(D138,[1]AB2!B:B,0)))</f>
        <v>WEEKLY</v>
      </c>
      <c r="G140" s="105"/>
      <c r="H140" s="62"/>
      <c r="I140" s="86"/>
      <c r="J140" s="87"/>
      <c r="K140" s="48"/>
      <c r="L140" s="62"/>
      <c r="M140" s="62"/>
      <c r="N140" s="88"/>
      <c r="O140" s="89"/>
      <c r="P140" s="62"/>
      <c r="Q140" s="89"/>
      <c r="R140" s="62"/>
      <c r="S140" s="89"/>
      <c r="T140" s="62"/>
      <c r="U140" s="89"/>
      <c r="V140" s="62"/>
      <c r="W140" s="89"/>
      <c r="X140" s="62"/>
      <c r="Y140" s="62"/>
      <c r="Z140" s="48"/>
      <c r="AA140" s="62"/>
      <c r="AB140" s="62"/>
      <c r="AC140" s="62"/>
      <c r="AD140" s="48"/>
      <c r="AE140" s="62"/>
      <c r="AF140" s="62"/>
      <c r="AG140" s="90"/>
      <c r="AH140" s="90"/>
      <c r="AI140" s="48"/>
      <c r="AJ140" s="62"/>
      <c r="AK140" s="62"/>
      <c r="AL140" s="91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53"/>
      <c r="BD140" s="57"/>
      <c r="BE140" s="57"/>
      <c r="BF140" s="57"/>
      <c r="BG140" s="57"/>
      <c r="BH140" s="57"/>
      <c r="BI140" s="66"/>
      <c r="BJ140" s="62"/>
      <c r="BK140" s="92"/>
      <c r="BL140" s="92"/>
      <c r="BM140" s="57"/>
      <c r="BN140" s="66"/>
      <c r="BO140" s="62"/>
      <c r="BP140" s="62"/>
      <c r="BQ140" s="93"/>
      <c r="BR140" s="62"/>
      <c r="BS140" s="62"/>
      <c r="BT140" s="94"/>
      <c r="BU140" s="93"/>
      <c r="BV140" s="62"/>
      <c r="BW140" s="62"/>
      <c r="BX140" s="62"/>
      <c r="BY140" s="62"/>
      <c r="BZ140" s="62"/>
      <c r="CA140" s="62"/>
      <c r="CB140" s="62"/>
      <c r="CC140" s="62"/>
      <c r="CD140" s="62"/>
      <c r="CE140" s="62"/>
      <c r="CF140" s="62"/>
      <c r="CG140" s="62"/>
      <c r="CH140" s="62"/>
      <c r="CI140" s="62"/>
      <c r="CJ140" s="62"/>
      <c r="CK140" s="59"/>
      <c r="CL140" s="62"/>
      <c r="CM140" s="62"/>
      <c r="CN140" s="59"/>
      <c r="CO140" s="62"/>
      <c r="CP140" s="62"/>
      <c r="CQ140" s="59"/>
      <c r="CR140" s="62"/>
      <c r="CS140" s="62"/>
      <c r="CT140" s="59"/>
      <c r="CU140" s="62"/>
      <c r="CV140" s="59"/>
      <c r="CW140" s="59"/>
    </row>
    <row r="141" spans="1:101" ht="15.75" customHeight="1" x14ac:dyDescent="0.2">
      <c r="A141" s="60"/>
      <c r="B141" s="41" t="str">
        <f>CONCATENATE(D138,IF(D140="Futures",[1]AB3!$B$9,IF(D140="Options Sell",[1]AB3!$B$15,IF(D140="Options Buy",[1]AB3!$B$21))))</f>
        <v>S23D</v>
      </c>
      <c r="C141" s="42" t="str">
        <f>IF(D140="Futures",[1]AB3!$C$9,IF(D140="Options Sell",[1]AB3!$C$15,IF(D140="Options Buy",[1]AB3!$C$21)))</f>
        <v>Symbol</v>
      </c>
      <c r="D141" s="43" t="str">
        <f t="array" ref="D141">IF(A138="","",INDEX([1]AB2!E:E,MATCH(D138,[1]AB2!B:B,0)))</f>
        <v>NIFTY</v>
      </c>
      <c r="E141" s="44" t="str">
        <f>IF(D140="Futures",[1]AB3!$E$9,IF(D140="Options Sell",[1]AB3!$E$15,IF(D140="Options Buy",[1]AB3!$E$21)))</f>
        <v>Bear / 
Bear CF</v>
      </c>
      <c r="F141" s="45" t="str">
        <f>IF(D140="Futures",[1]AB3!$F$9,IF(D140="Options Sell",[1]AB3!$F$15,IF(D140="Options Buy",[1]AB3!$F$21)))</f>
        <v>Call</v>
      </c>
      <c r="G141" s="84" t="str">
        <f t="array" ref="G141">IF(A138="","",IF(D140="Futures",CONCATENATE([1]AB3!$G$9,INDEX([1]AB2!J:J,MATCH(D138,[1]AB2!B:B,0)),[1]AB3!$H$9),IF(D140="Options Sell",CONCATENATE([1]AB3!$G$15,INDEX([1]AB2!I:I,MATCH(D138,[1]AB2!B:B,0)),[1]AB3!$H$15),IF(D140="Options Buy",CONCATENATE([1]AB3!$G$21,INDEX([1]AB2!J:J,MATCH(D138,[1]AB2!B:B,0)),[1]AB3!$H$21)))))</f>
        <v>OPT : PRV : 2DLL</v>
      </c>
      <c r="H141" s="43" t="str">
        <f>IF(D140="Futures",[1]AB3!$I$9,IF(D140="Options Sell",[1]AB3!$I$15,IF(D140="Options Buy",[1]AB3!$I$21)))</f>
        <v xml:space="preserve"> - </v>
      </c>
      <c r="I141" s="72">
        <v>7.4999999999999997E-2</v>
      </c>
      <c r="J141" s="73">
        <v>1</v>
      </c>
      <c r="K141" s="48"/>
      <c r="L141" s="43" t="str">
        <f>IF(D140="Futures",[1]AB3!$M$9,IF(D140="Options Sell",[1]AB3!$M$15,IF(D140="Options Buy",[1]AB3!$M$21)))</f>
        <v xml:space="preserve">CE : Entry </v>
      </c>
      <c r="M141" s="43" t="str">
        <f>IF(D140="Futures",[1]AB3!$N$9,IF(D140="Options Sell",[1]AB3!$N$15,IF(D140="Options Buy",[1]AB3!$N$21)))</f>
        <v xml:space="preserve"> - </v>
      </c>
      <c r="N141" s="74">
        <v>0.6</v>
      </c>
      <c r="O141" s="75">
        <v>1</v>
      </c>
      <c r="P141" s="58"/>
      <c r="Q141" s="75"/>
      <c r="R141" s="58"/>
      <c r="S141" s="75"/>
      <c r="T141" s="58"/>
      <c r="U141" s="75"/>
      <c r="V141" s="76"/>
      <c r="W141" s="75"/>
      <c r="X141" s="76"/>
      <c r="Y141" s="76"/>
      <c r="Z141" s="48"/>
      <c r="AA141" s="43" t="str">
        <f>IF(D140="Futures",[1]AB3!$AD$9,IF(D140="Options Sell",[1]AB3!$AD$15,IF(D140="Options Buy",[1]AB3!$AD$21)))</f>
        <v>Min</v>
      </c>
      <c r="AB141" s="43" t="str">
        <f>IF(D140="Futures",[1]AB3!$AE$9,IF(D140="Options Sell",[1]AB3!$AE$15,IF(D140="Options Buy",[1]AB3!$AE$21)))</f>
        <v>MSL &amp; TSL</v>
      </c>
      <c r="AC141" s="43" t="str">
        <f>IF(D140="Futures",[1]AB3!$AF$9,IF(D140="Options Sell",[1]AB3!$AF$15,IF(D140="Options Buy",[1]AB3!$AF$21)))</f>
        <v>Entry &amp; TRP</v>
      </c>
      <c r="AD141" s="48"/>
      <c r="AE141" s="43" t="str">
        <f>IF(D140="Futures",[1]AB3!$AH$9,IF(D140="Options Sell",[1]AB3!$AH$15,IF(D140="Options Buy",[1]AB3!$AH$21)))</f>
        <v xml:space="preserve">CE : Entry </v>
      </c>
      <c r="AF141" s="43" t="str">
        <f>IF(D140="Futures",[1]AB3!$AI$9,IF(D140="Options Sell",[1]AB3!$AI$15,IF(D140="Options Buy",[1]AB3!$AI$21)))</f>
        <v xml:space="preserve"> + </v>
      </c>
      <c r="AG141" s="77">
        <v>0.6</v>
      </c>
      <c r="AH141" s="77">
        <v>0</v>
      </c>
      <c r="AI141" s="48"/>
      <c r="AJ141" s="43" t="str">
        <f>IF(D140="Futures",[1]AB3!$AO$9,IF(D140="Options Sell",[1]AB3!$AO$15,IF(D140="Options Buy",[1]AB3!$AO$21)))</f>
        <v xml:space="preserve"> + </v>
      </c>
      <c r="AK141" s="43" t="str">
        <f t="array" ref="AK141">IF(A138="","",IF(D140="Futures",CONCATENATE([1]AB3!$AP$9,INDEX([1]AB2!M:M,MATCH(D138,[1]AB2!B:B,0)),[1]AB3!$AQ$9),IF(D140="Options Sell",CONCATENATE([1]AB3!$AP$15,INDEX([1]AB2!L:L,MATCH(D138,[1]AB2!B:B,0)),[1]AB3!$AQ$15),IF(D140="Options Buy",CONCATENATE([1]AB3!$AP$21,INDEX([1]AB2!M:M,MATCH(D138,[1]AB2!B:B,0)),[1]AB3!$AQ$21)))))</f>
        <v>OPT : PRV : 3DHH</v>
      </c>
      <c r="AL141" s="79">
        <v>0.1</v>
      </c>
      <c r="AM141" s="52">
        <f>J142</f>
        <v>1</v>
      </c>
      <c r="AN141" s="51">
        <f t="array" ref="AN141">IF(A138="","",IF(AND(OR(D142="1 &amp; APS",D142="2 &amp; APS",D142="3 &amp; APS",D142="4 &amp; APS",D142="5 &amp; APS"),D140="Futures"),CONCATENATE([1]AB3!$AP$9,INDEX([1]AB2!M:M,MATCH(D138,[1]AB2!B:B,0)),[1]AB3!$AQ$9),IF(AND(OR(D142="1 &amp; APS",D142="2 &amp; APS",D142="3 &amp; APS",D142="4 &amp; APS",D142="5 &amp; APS"),D140="Options Sell"),CONCATENATE([1]AB3!$AP$15,INDEX([1]AB2!L:L,MATCH(D138,[1]AB2!B:B,0)),[1]AB3!$AQ$15),IF(AND(OR(D142="1 &amp; APS",D142="2 &amp; APS",D142="3 &amp; APS",D142="4 &amp; APS",D142="5 &amp; APS"),D140="Options Buy"),CONCATENATE([1]AB3!$AP$21,INDEX([1]AB2!M:M,MATCH(D138,[1]AB2!B:B,0)),[1]AB3!$AQ$21),[1]AB3!$AR$6))))</f>
        <v>0</v>
      </c>
      <c r="AO141" s="58"/>
      <c r="AP141" s="52">
        <f t="shared" ref="AP141:AP142" si="258">AM141-O141</f>
        <v>0</v>
      </c>
      <c r="AQ141" s="51">
        <f t="array" ref="AQ141">IF(A138="","",IF(AND(OR(D142="2 &amp; APS",D142="3 &amp; APS",D142="4 &amp; APS",D142="5 &amp; APS"),D140="Futures"),CONCATENATE([1]AB3!$AP$9,INDEX([1]AB2!M:M,MATCH(D138,[1]AB2!B:B,0)),[1]AB3!$AQ$9),IF(AND(OR(D142="2 &amp; APS",D142="3 &amp; APS",D142="4 &amp; APS",D142="5 &amp; APS"),D140="Options Sell"),CONCATENATE([1]AB3!$AP$15,INDEX([1]AB2!L:L,MATCH(D138,[1]AB2!B:B,0)),[1]AB3!$AQ$15),IF(AND(OR(D142="2 &amp; APS",D142="3 &amp; APS",D142="4 &amp; APS",D142="5 &amp; APS"),D140="Options Buy"),CONCATENATE([1]AB3!$AP$21,INDEX([1]AB2!M:M,MATCH(D138,[1]AB2!B:B,0)),[1]AB3!$AQ$21),[1]AB3!$AR$6))))</f>
        <v>0</v>
      </c>
      <c r="AR141" s="58"/>
      <c r="AS141" s="52">
        <f t="shared" ref="AS141:AS142" si="259">AP141-Q141</f>
        <v>0</v>
      </c>
      <c r="AT141" s="51">
        <f t="array" ref="AT141">IF(A138="","",IF(AND(OR(D142="3 &amp; APS",D142="4 &amp; APS",D142="5 &amp; APS"),D140="Futures"),CONCATENATE([1]AB3!$AP$9,INDEX([1]AB2!M:M,MATCH(D138,[1]AB2!B:B,0)),[1]AB3!$AQ$9),IF(AND(OR(D142="3 &amp; APS",D142="4 &amp; APS",D142="5 &amp; APS"),D140="Options Sell"),CONCATENATE([1]AB3!$AP$15,INDEX([1]AB2!L:L,MATCH(D138,[1]AB2!B:B,0)),[1]AB3!$AQ$15),IF(AND(OR(D142="3 &amp; APS",D142="4 &amp; APS",D142="5 &amp; APS"),D140="Options Buy"),CONCATENATE([1]AB3!$AP$21,INDEX([1]AB2!M:M,MATCH(D138,[1]AB2!B:B,0)),[1]AB3!$AQ$21),[1]AB3!$AR$6))))</f>
        <v>0</v>
      </c>
      <c r="AU141" s="58"/>
      <c r="AV141" s="52">
        <f t="shared" ref="AV141:AV142" si="260">AS141-S141</f>
        <v>0</v>
      </c>
      <c r="AW141" s="51">
        <f t="array" ref="AW141">IF(A138="","",IF(AND(OR(D142="4 &amp; APS",D142="5 &amp; APS"),D140="Futures"),CONCATENATE([1]AB3!$AP$9,INDEX([1]AB2!M:M,MATCH(D138,[1]AB2!B:B,0)),[1]AB3!$AQ$9),IF(AND(OR(D142="4 &amp; APS",D142="5 &amp; APS"),D140="Options Sell"),CONCATENATE([1]AB3!$AP$15,INDEX([1]AB2!L:L,MATCH(D138,[1]AB2!B:B,0)),[1]AB3!$AQ$15),IF(AND(OR(D142="4 &amp; APS",D142="5 &amp; APS"),D140="Options Buy"),CONCATENATE([1]AB3!$AP$21,INDEX([1]AB2!M:M,MATCH(D138,[1]AB2!B:B,0)),[1]AB3!$AQ$21),[1]AB3!$AR$6))))</f>
        <v>0</v>
      </c>
      <c r="AX141" s="58"/>
      <c r="AY141" s="52">
        <f t="shared" ref="AY141:AY142" si="261">AV141-S141</f>
        <v>0</v>
      </c>
      <c r="AZ141" s="51">
        <f t="array" ref="AZ141">IF(A138="","",IF(AND(D142="5 &amp; APS",D140="Futures"),CONCATENATE([1]AB3!$AP$9,INDEX([1]AB2!M:M,MATCH(D138,[1]AB2!B:B,0)),[1]AB3!$AQ$9),IF(AND(D142="5 &amp; APS",D140="Options Sell"),CONCATENATE([1]AB3!$AP$15,INDEX([1]AB2!L:L,MATCH(D138,[1]AB2!B:B,0)),[1]AB3!$AQ$15),IF(AND(D142="5 &amp; APS",D140="Options Buy"),CONCATENATE([1]AB3!$AP$21,INDEX([1]AB2!M:M,MATCH(D138,[1]AB2!B:B,0)),[1]AB3!$AQ$21),[1]AB3!$AR$6))))</f>
        <v>0</v>
      </c>
      <c r="BA141" s="58"/>
      <c r="BB141" s="52">
        <f t="shared" ref="BB141:BB142" si="262">AY141-W141</f>
        <v>0</v>
      </c>
      <c r="BC141" s="53"/>
      <c r="BD141" s="54" t="str">
        <f>IF(D140="Futures",[1]AB3!$BE$9,IF(D140="Options Sell",[1]AB3!$BE$15,IF(D140="Options Buy",[1]AB3!$BE$21)))</f>
        <v>Market Start Time</v>
      </c>
      <c r="BE141" s="67">
        <f t="array" ref="BE141">IF(D138="","",INDEX([1]AB2!AG:AG,MATCH(D138,[1]AB2!B:B,0)))</f>
        <v>0.38541666666666669</v>
      </c>
      <c r="BF141" s="11"/>
      <c r="BG141" s="12"/>
      <c r="BH141" s="57"/>
      <c r="BI141" s="68" t="str">
        <f>IF(D140="Futures",[1]AB3!$BJ$9,IF(D140="Options Sell",[1]AB3!$BJ$15,IF(D140="Options Buy",[1]AB3!$BJ$21)))</f>
        <v>Bear / 
Bear CF</v>
      </c>
      <c r="BJ141" s="45" t="str">
        <f>IF(D140="Futures",[1]AB3!$BK$9,IF(D140="Options Sell",[1]AB3!$BK$15,IF(D140="Options Buy",[1]AB3!$BK$21)))</f>
        <v>Call</v>
      </c>
      <c r="BK141" s="80">
        <v>7.4999999999999997E-2</v>
      </c>
      <c r="BL141" s="81">
        <v>0.1</v>
      </c>
      <c r="BM141" s="57"/>
      <c r="BN141" s="68" t="str">
        <f>IF(D140="Futures",[1]AB3!$BO$9,IF(D140="Options Sell",[1]AB3!$BO$15,IF(D140="Options Buy",[1]AB3!$BO$21)))</f>
        <v>Bear | 
Bear CF</v>
      </c>
      <c r="BO141" s="45" t="str">
        <f>IF(D140="Futures",[1]AB3!$BP$9,IF(D140="Options Sell",[1]AB3!$BP$15,IF(D140="Options Buy",[1]AB3!$BP$21)))</f>
        <v>Call</v>
      </c>
      <c r="BP141" s="43" t="str">
        <f t="array" ref="BP141">IF(A138="","",IF(D140="Futures","",IF(D140="EQUITY","",IF(D140="Options Sell",CONCATENATE([1]AB3!$BQ$15,INDEX([1]AB2!I:I,MATCH(A138,[1]AB2!A:A,0)),[1]AB3!$BR$15),IF(D140="Options Buy",CONCATENATE([1]AB3!$BQ$21,INDEX([1]AB2!I:I,MATCH(A138,[1]AB2!A:A,0)),[1]AB3!$BR$21))))))</f>
        <v>SPT : PRV : 2DLL</v>
      </c>
      <c r="BQ141" s="82" t="s">
        <v>53</v>
      </c>
      <c r="BR141" s="58">
        <v>0.05</v>
      </c>
      <c r="BS141" s="76" t="s">
        <v>54</v>
      </c>
      <c r="BT141" s="84" t="str">
        <f t="shared" ref="BT141:BT142" si="263">BP141</f>
        <v>SPT : PRV : 2DLL</v>
      </c>
      <c r="BU141" s="76"/>
      <c r="BV141" s="58"/>
      <c r="BW141" s="76" t="s">
        <v>54</v>
      </c>
      <c r="BX141" s="82" t="s">
        <v>55</v>
      </c>
      <c r="BY141" s="76">
        <v>1</v>
      </c>
      <c r="BZ141" s="58"/>
      <c r="CA141" s="58"/>
      <c r="CB141" s="58"/>
      <c r="CC141" s="58"/>
      <c r="CD141" s="58"/>
      <c r="CE141" s="43" t="str">
        <f t="shared" ref="CE141:CE142" si="264">BP141</f>
        <v>SPT : PRV : 2DLL</v>
      </c>
      <c r="CF141" s="58">
        <v>1.2E-2</v>
      </c>
      <c r="CG141" s="43" t="str">
        <f t="shared" ref="CG141:CG142" si="265">CE141</f>
        <v>SPT : PRV : 2DLL</v>
      </c>
      <c r="CH141" s="58">
        <v>8.9999999999999993E-3</v>
      </c>
      <c r="CI141" s="75">
        <v>500</v>
      </c>
      <c r="CJ141" s="75">
        <v>1</v>
      </c>
      <c r="CK141" s="59"/>
      <c r="CL141" s="43"/>
      <c r="CM141" s="43"/>
      <c r="CN141" s="59"/>
      <c r="CO141" s="43"/>
      <c r="CP141" s="43"/>
      <c r="CQ141" s="59"/>
      <c r="CR141" s="58">
        <v>0.05</v>
      </c>
      <c r="CS141" s="58"/>
      <c r="CT141" s="59"/>
      <c r="CU141" s="43"/>
      <c r="CV141" s="59"/>
      <c r="CW141" s="59"/>
    </row>
    <row r="142" spans="1:101" ht="15.75" customHeight="1" x14ac:dyDescent="0.2">
      <c r="A142" s="32"/>
      <c r="B142" s="41" t="str">
        <f>CONCATENATE(D138,IF(D140="Futures",[1]AB3!$B$10,IF(D140="Options Sell",[1]AB3!$B$16,IF(D140="Options Buy",[1]AB3!$B$22))))</f>
        <v>S23E</v>
      </c>
      <c r="C142" s="42" t="str">
        <f>IF(D140="Futures",[1]AB3!$C$10,IF(D140="Options Sell",[1]AB3!$C$16,IF(D140="Options Buy",[1]AB3!$C$22)))</f>
        <v>No. of Targets</v>
      </c>
      <c r="D142" s="43" t="str">
        <f t="array" ref="D142">IF(A138="","",INDEX([1]AB2!K:K,MATCH(D138,[1]AB2!B:B,0)))</f>
        <v>APS</v>
      </c>
      <c r="E142" s="32"/>
      <c r="F142" s="61" t="str">
        <f>IF(D140="Futures",[1]AB3!$F$10,IF(D140="Options Sell",[1]AB3!$F$16,IF(D140="Options Buy",[1]AB3!$F$22)))</f>
        <v>Put</v>
      </c>
      <c r="G142" s="84" t="str">
        <f t="array" ref="G142">(IF(A138="","",IF(D140="Futures",CONCATENATE([1]AB3!$G$10,INDEX([1]AB2!I:I,MATCH(D138,[1]AB2!B:B,0)),[1]AB3!$H$10),IF(D140="Options Sell",CONCATENATE([1]AB3!$G$16,INDEX([1]AB2!J:J,MATCH(D138,[1]AB2!B:B,0)),[1]AB3!$H$16),IF(D140="Options Buy",CONCATENATE([1]AB3!$G$22,INDEX([1]AB2!I:I,MATCH(D138,[1]AB2!B:B,0)),[1]AB3!$H$22))))))</f>
        <v>OPT : PRV : 3DLL</v>
      </c>
      <c r="H142" s="43" t="str">
        <f>IF(D140="Futures",[1]AB3!$I$10,IF(D140="Options Sell",[1]AB3!$I$16,IF(D140="Options Buy",[1]AB3!$I$22)))</f>
        <v xml:space="preserve"> - </v>
      </c>
      <c r="I142" s="72">
        <v>7.4999999999999997E-2</v>
      </c>
      <c r="J142" s="73">
        <v>1</v>
      </c>
      <c r="K142" s="48"/>
      <c r="L142" s="43" t="str">
        <f>IF(D140="Futures",[1]AB3!$M$10,IF(D140="Options Sell",[1]AB3!$M$16,IF(D140="Options Buy",[1]AB3!$M$22)))</f>
        <v xml:space="preserve">PE : Entry </v>
      </c>
      <c r="M142" s="43" t="str">
        <f>IF(D140="Futures",[1]AB3!$N$10,IF(D140="Options Sell",[1]AB3!$N$16,IF(D140="Options Buy",[1]AB3!$N$22)))</f>
        <v xml:space="preserve"> - </v>
      </c>
      <c r="N142" s="74">
        <v>0.6</v>
      </c>
      <c r="O142" s="75">
        <v>1</v>
      </c>
      <c r="P142" s="58"/>
      <c r="Q142" s="75"/>
      <c r="R142" s="58"/>
      <c r="S142" s="75"/>
      <c r="T142" s="58"/>
      <c r="U142" s="75"/>
      <c r="V142" s="76"/>
      <c r="W142" s="75"/>
      <c r="X142" s="76"/>
      <c r="Y142" s="76"/>
      <c r="Z142" s="48"/>
      <c r="AA142" s="43" t="str">
        <f>IF(D140="Futures",[1]AB3!$AD$10,IF(D140="Options Sell",[1]AB3!$AD$16,IF(D140="Options Buy",[1]AB3!$AD$22)))</f>
        <v>Min</v>
      </c>
      <c r="AB142" s="43" t="str">
        <f>IF(D140="Futures",[1]AB3!$AE$10,IF(D140="Options Sell",[1]AB3!$AE$16,IF(D140="Options Buy",[1]AB3!$AE$22)))</f>
        <v>MSL &amp; TSL</v>
      </c>
      <c r="AC142" s="43" t="str">
        <f>IF(D140="Futures",[1]AB3!$AF$10,IF(D140="Options Sell",[1]AB3!$AF$16,IF(D140="Options Buy",[1]AB3!$AF$22)))</f>
        <v>Entry &amp; TRP</v>
      </c>
      <c r="AD142" s="48"/>
      <c r="AE142" s="43" t="str">
        <f>IF(D140="Futures",[1]AB3!$AH$10,IF(D140="Options Sell",[1]AB3!$AH$16,IF(D140="Options Buy",[1]AB3!$AH$22)))</f>
        <v xml:space="preserve">PE : Entry </v>
      </c>
      <c r="AF142" s="43" t="str">
        <f>IF(D140="Futures",[1]AB3!$AI$10,IF(D140="Options Sell",[1]AB3!$AI$16,IF(D140="Options Buy",[1]AB3!$AI$22)))</f>
        <v xml:space="preserve"> + </v>
      </c>
      <c r="AG142" s="77">
        <v>0.6</v>
      </c>
      <c r="AH142" s="77">
        <v>0</v>
      </c>
      <c r="AI142" s="48"/>
      <c r="AJ142" s="43" t="str">
        <f>IF(D140="Futures",[1]AB3!$AO$10,IF(D140="Options Sell",[1]AB3!$AO$16,IF(D140="Options Buy",[1]AB3!$AO$22)))</f>
        <v xml:space="preserve"> + </v>
      </c>
      <c r="AK142" s="43" t="str">
        <f t="array" ref="AK142">IF(A138="","",IF(D140="Futures",CONCATENATE([1]AB3!$AP$10,INDEX([1]AB2!L:L,MATCH(D138,[1]AB2!B:B,0)),[1]AB3!$AQ$10),IF(D140="Options Sell",CONCATENATE([1]AB3!$AP$16,INDEX([1]AB2!M:M,MATCH(D138,[1]AB2!B:B,0)),[1]AB3!$AQ$16),IF(D140="Options Buy",CONCATENATE([1]AB3!$AP$22,INDEX([1]AB2!L:L,MATCH(D138,[1]AB2!B:B,0)),[1]AB3!$AQ$22)))))</f>
        <v>OPT : PRV : 2DHH</v>
      </c>
      <c r="AL142" s="79">
        <v>7.0000000000000007E-2</v>
      </c>
      <c r="AM142" s="52">
        <f>J141</f>
        <v>1</v>
      </c>
      <c r="AN142" s="51">
        <f t="array" ref="AN142">IF(A138="","",IF(AND(OR(D142="1 &amp; APS",D142="2 &amp; APS",D142="3 &amp; APS",D142="4 &amp; APS",D142="5 &amp; APS"),D140="Futures"),CONCATENATE([1]AB3!$AP$10,INDEX([1]AB2!L:L,MATCH(D138,[1]AB2!B:B,0)),[1]AB3!$AQ$10),IF(AND(OR(D142="1 &amp; APS",D142="2 &amp; APS",D142="3 &amp; APS",D142="4 &amp; APS",D142="5 &amp; APS"),D140="Options Sell"),CONCATENATE([1]AB3!$AP$16,INDEX([1]AB2!M:M,MATCH(D138,[1]AB2!B:B,0)),[1]AB3!$AQ$16),IF(AND(OR(D142="1 &amp; APS",D142="2 &amp; APS",D142="3 &amp; APS",D142="4 &amp; APS",D142="5 &amp; APS"),D140="Options Buy"),CONCATENATE([1]AB3!$AP$22,INDEX([1]AB2!L:L,MATCH(D138,[1]AB2!B:B,0)),[1]AB3!$AQ$22),[1]AB3!$AR$6))))</f>
        <v>0</v>
      </c>
      <c r="AO142" s="58"/>
      <c r="AP142" s="52">
        <f t="shared" si="258"/>
        <v>0</v>
      </c>
      <c r="AQ142" s="51">
        <f t="array" ref="AQ142">IF(A138="","",IF(AND(OR(D142="2 &amp; APS",D142="3 &amp; APS",D142="4 &amp; APS",D142="5 &amp; APS"),D140="Futures"),CONCATENATE([1]AB3!$AP$10,INDEX([1]AB2!L:L,MATCH(D138,[1]AB2!B:B,0)),[1]AB3!$AQ$10),IF(AND(OR(D142="2 &amp; APS",D142="3 &amp; APS",D142="4 &amp; APS",D142="5 &amp; APS"),D140="Options Sell"),CONCATENATE([1]AB3!$AP$16,INDEX([1]AB2!M:M,MATCH(D138,[1]AB2!B:B,0)),[1]AB3!$AQ$16),IF(AND(OR(D142="2 &amp; APS",D142="3 &amp; APS",D142="4 &amp; APS",D142="5 &amp; APS"),D140="Options Buy"),CONCATENATE([1]AB3!$AP$22,INDEX([1]AB2!L:L,MATCH(D138,[1]AB2!B:B,0)),[1]AB3!$AQ$22),[1]AB3!$AR$6))))</f>
        <v>0</v>
      </c>
      <c r="AR142" s="58"/>
      <c r="AS142" s="52">
        <f t="shared" si="259"/>
        <v>0</v>
      </c>
      <c r="AT142" s="51">
        <f t="array" ref="AT142">IF(A138="","",IF(AND(OR(D142="3 &amp; APS",D142="4 &amp; APS",D142="5 &amp; APS"),D140="Futures"),CONCATENATE([1]AB3!$AP$10,INDEX([1]AB2!L:L,MATCH(D138,[1]AB2!B:B,0)),[1]AB3!$AQ$10),IF(AND(OR(D142="3 &amp; APS",D142="4 &amp; APS",D142="5 &amp; APS"),D140="Options Sell"),CONCATENATE([1]AB3!$AP$16,INDEX([1]AB2!M:M,MATCH(D138,[1]AB2!B:B,0)),[1]AB3!$AQ$16),IF(AND(OR(D142="3 &amp; APS",D142="4 &amp; APS",D142="5 &amp; APS"),D140="Options Buy"),CONCATENATE([1]AB3!$AP$22,INDEX([1]AB2!L:L,MATCH(D138,[1]AB2!B:B,0)),[1]AB3!$AQ$22),[1]AB3!$AR$6))))</f>
        <v>0</v>
      </c>
      <c r="AU142" s="58"/>
      <c r="AV142" s="52">
        <f t="shared" si="260"/>
        <v>0</v>
      </c>
      <c r="AW142" s="51">
        <f t="array" ref="AW142">IF(A138="","",IF(AND(OR(D142="4 &amp; APS",D142="5 &amp; APS"),D140="Futures"),CONCATENATE([1]AB3!$AP$10,INDEX([1]AB2!L:L,MATCH(D138,[1]AB2!B:B,0)),[1]AB3!$AQ$10),IF(AND(OR(D142="4 &amp; APS",D142="5 &amp; APS"),D140="Options Sell"),CONCATENATE([1]AB3!$AP$16,INDEX([1]AB2!M:M,MATCH(D138,[1]AB2!B:B,0)),[1]AB3!$AQ$16),IF(AND(OR(D142="4 &amp; APS",D142="5 &amp; APS"),D140="Options Buy"),CONCATENATE([1]AB3!$AP$22,INDEX([1]AB2!L:L,MATCH(D138,[1]AB2!B:B,0)),[1]AB3!$AQ$22),[1]AB3!$AR$6))))</f>
        <v>0</v>
      </c>
      <c r="AX142" s="58"/>
      <c r="AY142" s="52">
        <f t="shared" si="261"/>
        <v>0</v>
      </c>
      <c r="AZ142" s="51">
        <f t="array" ref="AZ142">IF(A138="","",IF(AND(D142="5 &amp; APS",D140="Futures"),CONCATENATE([1]AB3!$AP$10,INDEX([1]AB2!L:L,MATCH(D138,[1]AB2!B:B,0)),[1]AB3!$AQ$10),IF(AND(D142="5 &amp; APS",D140="Options Sell"),CONCATENATE([1]AB3!$AP$16,INDEX([1]AB2!M:M,MATCH(D138,[1]AB2!B:B,0)),[1]AB3!$AQ$16),IF(AND(D142="5 &amp; APS",D140="Options Buy"),CONCATENATE([1]AB3!$AP$22,INDEX([1]AB2!L:L,MATCH(D138,[1]AB2!B:B,0)),[1]AB3!$AQ$22),[1]AB3!$AR$6))))</f>
        <v>0</v>
      </c>
      <c r="BA142" s="58"/>
      <c r="BB142" s="52">
        <f t="shared" si="262"/>
        <v>0</v>
      </c>
      <c r="BC142" s="53"/>
      <c r="BD142" s="54" t="str">
        <f>IF(D140="Futures",[1]AB3!$BE$10,IF(D140="Options Sell",[1]AB3!$BE$16,IF(D140="Options Buy",[1]AB3!$BE$22)))</f>
        <v>Market End Time</v>
      </c>
      <c r="BE142" s="67">
        <f t="array" ref="BE142">IF(D138="","",INDEX([1]AB2!AH:AH,MATCH(D138,[1]AB2!B:B,0)))</f>
        <v>0.64583333333333337</v>
      </c>
      <c r="BF142" s="11"/>
      <c r="BG142" s="12"/>
      <c r="BH142" s="57"/>
      <c r="BI142" s="32"/>
      <c r="BJ142" s="61" t="str">
        <f>IF(D140="Futures",[1]AB3!$BK$10,IF(D140="Options Sell",[1]AB3!$BK$16,IF(D140="Options Buy",[1]AB3!$BK$22)))</f>
        <v>Put</v>
      </c>
      <c r="BK142" s="80">
        <v>7.4999999999999997E-2</v>
      </c>
      <c r="BL142" s="81">
        <v>7.0000000000000007E-2</v>
      </c>
      <c r="BM142" s="57"/>
      <c r="BN142" s="32"/>
      <c r="BO142" s="61" t="str">
        <f>IF(D140="Futures",[1]AB3!$BP$10,IF(D140="Options Sell",[1]AB3!$BP$16,IF(D140="Options Buy",[1]AB3!$BP$22)))</f>
        <v>Put</v>
      </c>
      <c r="BP142" s="43" t="str">
        <f t="array" ref="BP142">IF(A138="","",IF(D140="Futures","",IF(D140="EQUITY","",IF(D140="Options Sell",CONCATENATE([1]AB3!$BQ$16,INDEX([1]AB2!J:J,MATCH(A138,[1]AB2!A:A,0)),[1]AB3!$BR$16),IF(D140="Options Buy",CONCATENATE([1]AB3!$BQ$22,INDEX([1]AB2!J:J,MATCH(A138,[1]AB2!A:A,0)),[1]AB3!$BR$22))))))</f>
        <v>SPT : PRV : 3DHH</v>
      </c>
      <c r="BQ142" s="83" t="s">
        <v>55</v>
      </c>
      <c r="BR142" s="58">
        <v>0.05</v>
      </c>
      <c r="BS142" s="76" t="s">
        <v>56</v>
      </c>
      <c r="BT142" s="84" t="str">
        <f t="shared" si="263"/>
        <v>SPT : PRV : 3DHH</v>
      </c>
      <c r="BU142" s="85"/>
      <c r="BV142" s="58"/>
      <c r="BW142" s="76" t="s">
        <v>56</v>
      </c>
      <c r="BX142" s="82" t="s">
        <v>53</v>
      </c>
      <c r="BY142" s="76">
        <v>1</v>
      </c>
      <c r="BZ142" s="58"/>
      <c r="CA142" s="58"/>
      <c r="CB142" s="58"/>
      <c r="CC142" s="58"/>
      <c r="CD142" s="58"/>
      <c r="CE142" s="43" t="str">
        <f t="shared" si="264"/>
        <v>SPT : PRV : 3DHH</v>
      </c>
      <c r="CF142" s="58">
        <v>1.2E-2</v>
      </c>
      <c r="CG142" s="43" t="str">
        <f t="shared" si="265"/>
        <v>SPT : PRV : 3DHH</v>
      </c>
      <c r="CH142" s="58">
        <v>8.9999999999999993E-3</v>
      </c>
      <c r="CI142" s="75">
        <v>500</v>
      </c>
      <c r="CJ142" s="75">
        <v>1</v>
      </c>
      <c r="CK142" s="59"/>
      <c r="CL142" s="43"/>
      <c r="CM142" s="43"/>
      <c r="CN142" s="59"/>
      <c r="CO142" s="43"/>
      <c r="CP142" s="43"/>
      <c r="CQ142" s="59"/>
      <c r="CR142" s="58">
        <v>0.05</v>
      </c>
      <c r="CS142" s="58"/>
      <c r="CT142" s="59"/>
      <c r="CU142" s="43"/>
      <c r="CV142" s="59"/>
      <c r="CW142" s="59"/>
    </row>
    <row r="143" spans="1:101" ht="15.75" customHeight="1" x14ac:dyDescent="0.2">
      <c r="A143" s="1"/>
      <c r="B143" s="2"/>
      <c r="C143" s="2"/>
      <c r="D143" s="2"/>
      <c r="E143" s="2"/>
      <c r="F143" s="2"/>
      <c r="G143" s="109"/>
      <c r="H143" s="2"/>
      <c r="I143" s="96"/>
      <c r="J143" s="97"/>
      <c r="K143" s="2"/>
      <c r="L143" s="2"/>
      <c r="M143" s="2"/>
      <c r="N143" s="98"/>
      <c r="O143" s="2"/>
      <c r="P143" s="2"/>
      <c r="Q143" s="69"/>
      <c r="R143" s="69"/>
      <c r="S143" s="70"/>
      <c r="T143" s="70"/>
      <c r="U143" s="2"/>
      <c r="V143" s="2"/>
      <c r="W143" s="2"/>
      <c r="X143" s="2"/>
      <c r="Y143" s="2"/>
      <c r="Z143" s="2"/>
      <c r="AA143" s="20"/>
      <c r="AB143" s="71"/>
      <c r="AC143" s="71"/>
      <c r="AD143" s="2"/>
      <c r="AE143" s="70"/>
      <c r="AF143" s="70"/>
      <c r="AG143" s="100"/>
      <c r="AH143" s="100"/>
      <c r="AI143" s="2"/>
      <c r="AJ143" s="70"/>
      <c r="AK143" s="106"/>
      <c r="AL143" s="107"/>
      <c r="AM143" s="70"/>
      <c r="AN143" s="106"/>
      <c r="AO143" s="106"/>
      <c r="AP143" s="70"/>
      <c r="AQ143" s="106"/>
      <c r="AR143" s="106"/>
      <c r="AS143" s="70"/>
      <c r="AT143" s="106"/>
      <c r="AU143" s="106"/>
      <c r="AV143" s="70"/>
      <c r="AW143" s="106"/>
      <c r="AX143" s="106"/>
      <c r="AY143" s="70"/>
      <c r="AZ143" s="106"/>
      <c r="BA143" s="106"/>
      <c r="BB143" s="70"/>
      <c r="BC143" s="70"/>
      <c r="BD143" s="70"/>
      <c r="BE143" s="70"/>
      <c r="BF143" s="70"/>
      <c r="BG143" s="70"/>
      <c r="BH143" s="70"/>
      <c r="BI143" s="70"/>
      <c r="BJ143" s="70"/>
      <c r="BK143" s="103"/>
      <c r="BL143" s="108"/>
      <c r="BM143" s="70"/>
      <c r="BN143" s="70"/>
      <c r="BO143" s="70"/>
      <c r="BP143" s="70"/>
      <c r="BQ143" s="70"/>
      <c r="BR143" s="70"/>
      <c r="BS143" s="70"/>
      <c r="BT143" s="70"/>
      <c r="BU143" s="70"/>
      <c r="BV143" s="70"/>
      <c r="BW143" s="70"/>
      <c r="BX143" s="70"/>
      <c r="BY143" s="70"/>
      <c r="BZ143" s="70"/>
      <c r="CA143" s="70"/>
      <c r="CB143" s="70"/>
      <c r="CC143" s="70"/>
      <c r="CD143" s="70"/>
      <c r="CE143" s="70"/>
      <c r="CF143" s="70"/>
      <c r="CG143" s="70"/>
      <c r="CH143" s="70"/>
      <c r="CI143" s="70"/>
      <c r="CJ143" s="70"/>
      <c r="CK143" s="70"/>
      <c r="CL143" s="2"/>
      <c r="CM143" s="2"/>
      <c r="CN143" s="70"/>
      <c r="CO143" s="70"/>
      <c r="CP143" s="70"/>
      <c r="CQ143" s="70"/>
      <c r="CR143" s="70"/>
      <c r="CS143" s="70"/>
      <c r="CT143" s="70"/>
      <c r="CU143" s="70"/>
      <c r="CV143" s="70"/>
      <c r="CW143" s="70"/>
    </row>
    <row r="144" spans="1:101" ht="15.75" customHeight="1" x14ac:dyDescent="0.2">
      <c r="A144" s="40">
        <v>24</v>
      </c>
      <c r="B144" s="41" t="str">
        <f>CONCATENATE(D144,IF(D146="Futures",[1]AB3!$B$6,IF(D146="Options Sell",[1]AB3!$B$12,IF(D146="Options Buy",[1]AB3!$B$18))))</f>
        <v>S24A</v>
      </c>
      <c r="C144" s="42" t="str">
        <f>IF(D146="Futures",[1]AB3!$C$6,IF(D146="Options Sell",[1]AB3!$C$12,IF(D146="Options Buy",[1]AB3!$C$18)))</f>
        <v>Strategy Code</v>
      </c>
      <c r="D144" s="43" t="str">
        <f t="array" ref="D144">IF(A144="","",INDEX([1]AB2!B:B,MATCH(A144,[1]AB2!A:A,0)))</f>
        <v>S24</v>
      </c>
      <c r="E144" s="44" t="str">
        <f>IF(D146="Futures",[1]AB3!$E$6,IF(D146="Options Sell",[1]AB3!$E$12,IF(D146="Options Buy",[1]AB3!$E$18)))</f>
        <v>Bull / 
Bull CF</v>
      </c>
      <c r="F144" s="45" t="str">
        <f>IF(D146="Futures",[1]AB3!$F$6,IF(D146="Options Sell",[1]AB3!$F$12,IF(D146="Options Buy",[1]AB3!$F$18)))</f>
        <v>Call</v>
      </c>
      <c r="G144" s="37" t="str">
        <f t="array" ref="G144">IF(A144="","",IF(D146="Futures",CONCATENATE([1]AB3!$G$6,INDEX([1]AB2!I:I,MATCH(D144,[1]AB2!B:B,0)),[1]AB3!$H$6),IF(D146="Options Sell",CONCATENATE([1]AB3!$G$12,INDEX([1]AB2!J:J,MATCH(D144,[1]AB2!B:B,0)),[1]AB3!$H$12),IF(D146="Options Buy",CONCATENATE([1]AB3!$G$18,INDEX([1]AB2!I:I,MATCH(D144,[1]AB2!B:B,0)),[1]AB3!$H$18)))))</f>
        <v>OPT : PRV : 3DLL</v>
      </c>
      <c r="H144" s="43" t="str">
        <f>IF(D146="Futures",[1]AB3!$I$6,IF(D146="Options Sell",[1]AB3!$I$12,IF(D146="Options Buy",[1]AB3!$I$18)))</f>
        <v xml:space="preserve"> - </v>
      </c>
      <c r="I144" s="72">
        <v>7.4999999999999997E-2</v>
      </c>
      <c r="J144" s="73">
        <v>1</v>
      </c>
      <c r="K144" s="48"/>
      <c r="L144" s="43" t="str">
        <f>IF(D146="Futures",[1]AB3!$M$6,IF(D146="Options Sell",[1]AB3!$M$12,IF(D146="Options Buy",[1]AB3!$M$18)))</f>
        <v xml:space="preserve">CE : Entry </v>
      </c>
      <c r="M144" s="43" t="str">
        <f>IF(D146="Futures",[1]AB3!$N$6,IF(D146="Options Sell",[1]AB3!$N$12,IF(D146="Options Buy",[1]AB3!$N$18)))</f>
        <v xml:space="preserve"> - </v>
      </c>
      <c r="N144" s="74">
        <v>0.6</v>
      </c>
      <c r="O144" s="75">
        <v>1</v>
      </c>
      <c r="P144" s="58"/>
      <c r="Q144" s="75"/>
      <c r="R144" s="58"/>
      <c r="S144" s="75"/>
      <c r="T144" s="58"/>
      <c r="U144" s="75"/>
      <c r="V144" s="76"/>
      <c r="W144" s="75"/>
      <c r="X144" s="76"/>
      <c r="Y144" s="76"/>
      <c r="Z144" s="48"/>
      <c r="AA144" s="43" t="str">
        <f>IF(D146="Futures",[1]AB3!$AD$6,IF(D146="Options Sell",[1]AB3!$AD$12,IF(D146="Options Buy",[1]AB3!$AD$18)))</f>
        <v>Min</v>
      </c>
      <c r="AB144" s="43" t="str">
        <f>IF(D146="Futures",[1]AB3!$AE$6,IF(D146="Options Sell",[1]AB3!$AE$12,IF(D146="Options Buy",[1]AB3!$AE$18)))</f>
        <v>MSL &amp; TSL</v>
      </c>
      <c r="AC144" s="43" t="str">
        <f>IF(D146="Futures",[1]AB3!$AF$6,IF(D146="Options Sell",[1]AB3!$AF$12,IF(D146="Options Buy",[1]AB3!$AF$18)))</f>
        <v>Entry &amp; TRP</v>
      </c>
      <c r="AD144" s="48"/>
      <c r="AE144" s="43" t="str">
        <f>IF(D146="Futures",[1]AB3!$AH$6,IF(D146="Options Sell",[1]AB3!$AH$12,IF(D146="Options Buy",[1]AB3!$AH$18)))</f>
        <v xml:space="preserve">CE : Entry </v>
      </c>
      <c r="AF144" s="43" t="str">
        <f>IF(D146="Futures",[1]AB3!$AI$6,IF(D146="Options Sell",[1]AB3!$AI$12,IF(D146="Options Buy",[1]AB3!$AI$18)))</f>
        <v xml:space="preserve"> + </v>
      </c>
      <c r="AG144" s="77">
        <v>0.6</v>
      </c>
      <c r="AH144" s="77">
        <v>0</v>
      </c>
      <c r="AI144" s="48"/>
      <c r="AJ144" s="43" t="str">
        <f>IF(D146="Futures",[1]AB3!$AO$6,IF(D146="Options Sell",[1]AB3!$AO$12,IF(D146="Options Buy",[1]AB3!$AO$18)))</f>
        <v xml:space="preserve"> + </v>
      </c>
      <c r="AK144" s="43" t="str">
        <f t="array" ref="AK144">IF(A144="","",IF(D146="Futures",CONCATENATE([1]AB3!$AP$6,INDEX([1]AB2!L:L,MATCH(D144,[1]AB2!B:B,0)),[1]AB3!$AQ$6),IF(D146="Options Sell",CONCATENATE([1]AB3!$AP$12,INDEX([1]AB2!M:M,MATCH(D144,[1]AB2!B:B,0)),[1]AB3!$AQ$12),IF(D146="Options Buy",CONCATENATE([1]AB3!$AP$18,INDEX([1]AB2!L:L,MATCH(D144,[1]AB2!B:B,0)),[1]AB3!$AQ$18)))))</f>
        <v>OPT : PRV : 2DHH</v>
      </c>
      <c r="AL144" s="79">
        <v>7.0000000000000007E-2</v>
      </c>
      <c r="AM144" s="52">
        <f>J145</f>
        <v>1</v>
      </c>
      <c r="AN144" s="51">
        <f t="array" ref="AN144">IF(A144="","",IF(AND(OR(D148="1 &amp; APS",D148="2 &amp; APS",D148="3 &amp; APS",D148="4 &amp; APS",D148="5 &amp; APS"),D146="Futures"),CONCATENATE([1]AB3!$AP$6,INDEX([1]AB2!L:L,MATCH(D144,[1]AB2!B:B,0)),[1]AB3!$AQ$6),IF(AND(OR(D148="1 &amp; APS",D148="2 &amp; APS",D148="3 &amp; APS",D148="4 &amp; APS",D148="5 &amp; APS"),D146="Options Sell"),CONCATENATE([1]AB3!$AP$12,INDEX([1]AB2!M:M,MATCH(D144,[1]AB2!B:B,0)),[1]AB3!$AQ$12),IF(AND(OR(D148="1 &amp; APS",D148="2 &amp; APS",D148="3 &amp; APS",D148="4 &amp; APS",D148="5 &amp; APS"),D146="Options Buy"),CONCATENATE([1]AB3!$AP$18,INDEX([1]AB2!L:L,MATCH(D144,[1]AB2!B:B,0)),[1]AB3!$AQ$18),[1]AB3!$AR$6))))</f>
        <v>0</v>
      </c>
      <c r="AO144" s="58"/>
      <c r="AP144" s="52">
        <f t="shared" ref="AP144:AP145" si="266">AM144-O144</f>
        <v>0</v>
      </c>
      <c r="AQ144" s="51">
        <f t="array" ref="AQ144">IF(A144="","",IF(AND(OR(D148="2 &amp; APS",D148="3 &amp; APS",D148="4 &amp; APS",D148="5 &amp; APS"),D146="Futures"),CONCATENATE([1]AB3!$AP$6,INDEX([1]AB2!L:L,MATCH(D144,[1]AB2!B:B,0)),[1]AB3!$AQ$6),IF(AND(OR(D148="2 &amp; APS",D148="3 &amp; APS",D148="4 &amp; APS",D148="5 &amp; APS"),D146="Options Sell"),CONCATENATE([1]AB3!$AP$12,INDEX([1]AB2!M:M,MATCH(D144,[1]AB2!B:B,0)),[1]AB3!$AQ$12),IF(AND(OR(D148="2 &amp; APS",D148="3 &amp; APS",D148="4 &amp; APS",D148="5 &amp; APS"),D146="Options Buy"),CONCATENATE([1]AB3!$AP$18,INDEX([1]AB2!L:L,MATCH(D144,[1]AB2!B:B,0)),[1]AB3!$AQ$18),[1]AB3!$AR$6))))</f>
        <v>0</v>
      </c>
      <c r="AR144" s="58"/>
      <c r="AS144" s="52">
        <f t="shared" ref="AS144:AS145" si="267">AP144-Q144</f>
        <v>0</v>
      </c>
      <c r="AT144" s="51">
        <f t="array" ref="AT144">IF(A144="","",IF(AND(OR(D148="3 &amp; APS",D148="4 &amp; APS",D148="5 &amp; APS"),D146="Futures"),CONCATENATE([1]AB3!$AP$6,INDEX([1]AB2!L:L,MATCH(D144,[1]AB2!B:B,0)),[1]AB3!$AQ$6),IF(AND(OR(D148="3 &amp; APS",D148="4 &amp; APS",D148="5 &amp; APS"),D146="Options Sell"),CONCATENATE([1]AB3!$AP$12,INDEX([1]AB2!M:M,MATCH(D144,[1]AB2!B:B,0)),[1]AB3!$AQ$12),IF(AND(OR(D148="3 &amp; APS",D148="4 &amp; APS",D148="5 &amp; APS"),D146="Options Buy"),CONCATENATE([1]AB3!$AP$18,INDEX([1]AB2!L:L,MATCH(D144,[1]AB2!B:B,0)),[1]AB3!$AQ$18),[1]AB3!$AR$6))))</f>
        <v>0</v>
      </c>
      <c r="AU144" s="58"/>
      <c r="AV144" s="52">
        <f t="shared" ref="AV144:AV145" si="268">AS144-S144</f>
        <v>0</v>
      </c>
      <c r="AW144" s="51">
        <f t="array" ref="AW144">IF(A144="","",IF(AND(OR(D148="4 &amp; APS",D148="5 &amp; APS"),D146="Futures"),CONCATENATE([1]AB3!$AP$6,INDEX([1]AB2!L:L,MATCH(D144,[1]AB2!B:B,0)),[1]AB3!$AQ$6),IF(AND(OR(D148="4 &amp; APS",D148="5 &amp; APS"),D146="Options Sell"),CONCATENATE([1]AB3!$AP$12,INDEX([1]AB2!M:M,MATCH(D144,[1]AB2!B:B,0)),[1]AB3!$AQ$12),IF(AND(OR(D148="4 &amp; APS",D148="5 &amp; APS"),D146="Options Buy"),CONCATENATE([1]AB3!$AP$18,INDEX([1]AB2!L:L,MATCH(D144,[1]AB2!B:B,0)),[1]AB3!$AQ$18),[1]AB3!$AR$6))))</f>
        <v>0</v>
      </c>
      <c r="AX144" s="58"/>
      <c r="AY144" s="52">
        <f t="shared" ref="AY144:AY145" si="269">AV144-S144</f>
        <v>0</v>
      </c>
      <c r="AZ144" s="51">
        <f t="array" ref="AZ144">IF(A144="","",IF(AND(D148="5 &amp; APS",D146="Futures"),CONCATENATE([1]AB3!$AP$6,INDEX([1]AB2!L:L,MATCH(D144,[1]AB2!B:B,0)),[1]AB3!$AQ$6),IF(AND(D148="5 &amp; APS",D146="Options Sell"),CONCATENATE([1]AB3!$AP$12,INDEX([1]AB2!M:M,MATCH(D144,[1]AB2!B:B,0)),[1]AB3!$AQ$12),IF(AND(D148="5 &amp; APS",D146="Options Buy"),CONCATENATE([1]AB3!$AP$18,INDEX([1]AB2!L:L,MATCH(D144,[1]AB2!B:B,0)),[1]AB3!$AQ$18),[1]AB3!$AR$6))))</f>
        <v>0</v>
      </c>
      <c r="BA144" s="58"/>
      <c r="BB144" s="52">
        <f t="shared" ref="BB144:BB145" si="270">AY144-W144</f>
        <v>0</v>
      </c>
      <c r="BC144" s="53"/>
      <c r="BD144" s="54" t="str">
        <f>IF(D146="Futures",[1]AB3!$BE$6,IF(D146="Options Sell",[1]AB3!$BE$12,IF(D146="Options Buy",[1]AB3!$BE$18)))</f>
        <v xml:space="preserve">ORPT </v>
      </c>
      <c r="BE144" s="55">
        <f>IF(D146="Futures",BE147+([1]AB3!$BF$6/1440),IF(D146="Options Sell",BE147+([1]AB3!$BF$12/1440),IF(D146="Options Buy",BE147+([1]AB3!$BF$18/1440))))</f>
        <v>0.39235416666666667</v>
      </c>
      <c r="BF144" s="55">
        <f>IF(D146="Futures",BE147+([1]AB3!$BG$6/1440),IF(D146="Options Sell",BE147+([1]AB3!$BG$12/1440),IF(D146="Options Buy",BE147+([1]AB3!$BG$18/1440))))</f>
        <v>0.39235416666666667</v>
      </c>
      <c r="BG144" s="55">
        <f>IF(D146="Futures",BE147+([1]AB3!$BH$6/1440),IF(D146="Options Sell",BE147+([1]AB3!$BH$12/1440),IF(D146="Options Buy",BE147+([1]AB3!$BH$18/1440))))</f>
        <v>0.38541666666666669</v>
      </c>
      <c r="BH144" s="57"/>
      <c r="BI144" s="44" t="str">
        <f>IF(D146="Futures",[1]AB3!$BJ$6,IF(D146="Options Sell",[1]AB3!$BJ$12,IF(D146="Options Buy",[1]AB3!$BJ$18)))</f>
        <v>Bull / 
Bull CF</v>
      </c>
      <c r="BJ144" s="45" t="str">
        <f>IF(D146="Futures",[1]AB3!$BK$6,IF(D146="Options Sell",[1]AB3!$BK$12,IF(D146="Options Buy",[1]AB3!$BK$18)))</f>
        <v>Call</v>
      </c>
      <c r="BK144" s="80">
        <v>7.4999999999999997E-2</v>
      </c>
      <c r="BL144" s="81">
        <v>7.0000000000000007E-2</v>
      </c>
      <c r="BM144" s="57"/>
      <c r="BN144" s="44" t="str">
        <f>IF(D146="Futures",[1]AB3!$BO$6,IF(D146="Options Sell",[1]AB3!$BO$12,IF(D146="Options Buy",[1]AB3!$BO$18)))</f>
        <v>Bull | 
Bull CF</v>
      </c>
      <c r="BO144" s="45" t="str">
        <f>IF(D146="Futures",[1]AB3!$BP$6,IF(D146="Options Sell",[1]AB3!$BP$12,IF(D146="Options Buy",[1]AB3!$BP$18)))</f>
        <v>Call</v>
      </c>
      <c r="BP144" s="43" t="str">
        <f t="array" ref="BP144">IF(A144="","",IF(D146="Futures","",IF(D146="EQUITY","",IF(D146="Options Sell",CONCATENATE([1]AB3!$BQ$12,INDEX([1]AB2!J:J,MATCH(A144,[1]AB2!A:A,0)),[1]AB3!$BR$12),IF(D146="Options Buy",CONCATENATE([1]AB3!$BQ$18,INDEX([1]AB2!J:J,MATCH(A144,[1]AB2!A:A,0)),[1]AB3!$BR$18))))))</f>
        <v>SPT : PRV : 3DLL</v>
      </c>
      <c r="BQ144" s="82" t="s">
        <v>53</v>
      </c>
      <c r="BR144" s="58">
        <v>0.05</v>
      </c>
      <c r="BS144" s="76" t="s">
        <v>54</v>
      </c>
      <c r="BT144" s="37" t="str">
        <f t="shared" ref="BT144:BT145" si="271">BP144</f>
        <v>SPT : PRV : 3DLL</v>
      </c>
      <c r="BU144" s="76"/>
      <c r="BV144" s="58"/>
      <c r="BW144" s="76" t="s">
        <v>54</v>
      </c>
      <c r="BX144" s="82" t="s">
        <v>55</v>
      </c>
      <c r="BY144" s="76">
        <v>1</v>
      </c>
      <c r="BZ144" s="58"/>
      <c r="CA144" s="58"/>
      <c r="CB144" s="58"/>
      <c r="CC144" s="58"/>
      <c r="CD144" s="58"/>
      <c r="CE144" s="43" t="str">
        <f t="shared" ref="CE144:CE145" si="272">BP144</f>
        <v>SPT : PRV : 3DLL</v>
      </c>
      <c r="CF144" s="58">
        <v>1.6E-2</v>
      </c>
      <c r="CG144" s="43" t="str">
        <f t="shared" ref="CG144:CG145" si="273">CE144</f>
        <v>SPT : PRV : 3DLL</v>
      </c>
      <c r="CH144" s="58">
        <v>1.2E-2</v>
      </c>
      <c r="CI144" s="75">
        <v>500</v>
      </c>
      <c r="CJ144" s="75">
        <v>1</v>
      </c>
      <c r="CK144" s="59"/>
      <c r="CL144" s="43"/>
      <c r="CM144" s="43"/>
      <c r="CN144" s="59"/>
      <c r="CO144" s="43"/>
      <c r="CP144" s="43"/>
      <c r="CQ144" s="59"/>
      <c r="CR144" s="58">
        <v>0.05</v>
      </c>
      <c r="CS144" s="58"/>
      <c r="CT144" s="59"/>
      <c r="CU144" s="55">
        <f>IF(D146="Futures",BE148-([1]AB3!$CG$6/1440),IF(D146="Options Sell",BE148-([1]AB3!$CG$12/1440),IF(D146="Options Buy",BE148-([1]AB3!$CG$18/1440),IF(D146="EQUITY",""))))</f>
        <v>0.625</v>
      </c>
      <c r="CV144" s="59"/>
      <c r="CW144" s="59"/>
    </row>
    <row r="145" spans="1:101" ht="15.75" customHeight="1" x14ac:dyDescent="0.2">
      <c r="A145" s="60"/>
      <c r="B145" s="41" t="str">
        <f>CONCATENATE(D144,IF(D146="Futures",[1]AB3!$B$7,IF(D146="Options Sell",[1]AB3!$B$13,IF(D146="Options Buy",[1]AB3!$B$19))))</f>
        <v>S24B</v>
      </c>
      <c r="C145" s="42" t="str">
        <f>IF(D146="Futures",[1]AB3!$C$7,IF(D146="Options Sell",[1]AB3!$C$13,IF(D146="Options Buy",[1]AB3!$C$19)))</f>
        <v>Unique Code</v>
      </c>
      <c r="D145" s="43" t="str">
        <f t="array" ref="D145">IF(A144="","",INDEX([1]AB2!N:N,MATCH(D144,[1]AB2!B:B,0)))</f>
        <v>NIFTY_OP_SELL_MT_DIFF_2D_3D</v>
      </c>
      <c r="E145" s="32"/>
      <c r="F145" s="61" t="str">
        <f>IF(D146="Futures",[1]AB3!$F$7,IF(D146="Options Sell",[1]AB3!$F$13,IF(D146="Options Buy",[1]AB3!$F$19)))</f>
        <v>Put</v>
      </c>
      <c r="G145" s="84" t="str">
        <f t="array" ref="G145">IF(A144="","",IF(D146="Futures",CONCATENATE([1]AB3!$G$7,INDEX([1]AB2!J:J,MATCH(D144,[1]AB2!B:B,0)),[1]AB3!$H$7),IF(D146="Options Sell",CONCATENATE([1]AB3!$G$13,INDEX([1]AB2!I:I,MATCH(D144,[1]AB2!B:B,0)),[1]AB3!$H$13),IF(D146="Options Buy",CONCATENATE([1]AB3!$G$19,INDEX([1]AB2!J:J,MATCH(D144,[1]AB2!B:B,0)),[1]AB3!$H$19)))))</f>
        <v>OPT : PRV : 2DLL</v>
      </c>
      <c r="H145" s="43" t="str">
        <f>IF(D146="Futures",[1]AB3!$I$7,IF(D146="Options Sell",[1]AB3!$I$13,IF(D146="Options Buy",[1]AB3!$I$19)))</f>
        <v xml:space="preserve"> - </v>
      </c>
      <c r="I145" s="72">
        <v>7.4999999999999997E-2</v>
      </c>
      <c r="J145" s="73">
        <v>1</v>
      </c>
      <c r="K145" s="48"/>
      <c r="L145" s="43" t="str">
        <f>IF(D146="Futures",[1]AB3!$M$7,IF(D146="Options Sell",[1]AB3!$M$13,IF(D146="Options Buy",[1]AB3!$M$19)))</f>
        <v xml:space="preserve">PE : Entry </v>
      </c>
      <c r="M145" s="43" t="str">
        <f>IF(D146="Futures",[1]AB3!$N$7,IF(D146="Options Sell",[1]AB3!$N$13,IF(D146="Options Buy",[1]AB3!$N$19)))</f>
        <v xml:space="preserve"> - </v>
      </c>
      <c r="N145" s="74">
        <v>0.6</v>
      </c>
      <c r="O145" s="75">
        <v>1</v>
      </c>
      <c r="P145" s="58"/>
      <c r="Q145" s="75"/>
      <c r="R145" s="58"/>
      <c r="S145" s="75"/>
      <c r="T145" s="58"/>
      <c r="U145" s="75"/>
      <c r="V145" s="76"/>
      <c r="W145" s="75"/>
      <c r="X145" s="76"/>
      <c r="Y145" s="76"/>
      <c r="Z145" s="48"/>
      <c r="AA145" s="43" t="str">
        <f>IF(D146="Futures",[1]AB3!$AD$7,IF(D146="Options Sell",[1]AB3!$AD$13,IF(D146="Options Buy",[1]AB3!$AD$19)))</f>
        <v>Min</v>
      </c>
      <c r="AB145" s="43" t="str">
        <f>IF(D146="Futures",[1]AB3!$AE$7,IF(D146="Options Sell",[1]AB3!$AE$13,IF(D146="Options Buy",[1]AB3!$AE$19)))</f>
        <v>MSL &amp; TSL</v>
      </c>
      <c r="AC145" s="43" t="str">
        <f>IF(D146="Futures",[1]AB3!$AF$7,IF(D146="Options Sell",[1]AB3!$AF$13,IF(D146="Options Buy",[1]AB3!$AF$19)))</f>
        <v>Entry &amp; TRP</v>
      </c>
      <c r="AD145" s="48"/>
      <c r="AE145" s="43" t="str">
        <f>IF(D146="Futures",[1]AB3!$AH$7,IF(D146="Options Sell",[1]AB3!$AH$13,IF(D146="Options Buy",[1]AB3!$AH$19)))</f>
        <v xml:space="preserve">PE : Entry </v>
      </c>
      <c r="AF145" s="43" t="str">
        <f>IF(D146="Futures",[1]AB3!$AI$7,IF(D146="Options Sell",[1]AB3!$AI$13,IF(D146="Options Buy",[1]AB3!$AI$19)))</f>
        <v xml:space="preserve"> + </v>
      </c>
      <c r="AG145" s="77">
        <v>0.6</v>
      </c>
      <c r="AH145" s="77">
        <v>0</v>
      </c>
      <c r="AI145" s="48"/>
      <c r="AJ145" s="43" t="str">
        <f>IF(D146="Futures",[1]AB3!$AO$7,IF(D146="Options Sell",[1]AB3!$AO$13,IF(D146="Options Buy",[1]AB3!$AO$19)))</f>
        <v xml:space="preserve"> + </v>
      </c>
      <c r="AK145" s="43" t="str">
        <f t="array" ref="AK145">IF(A144="","",IF(D146="Futures",CONCATENATE([1]AB3!$AP$7,INDEX([1]AB2!M:M,MATCH(D144,[1]AB2!B:B,0)),[1]AB3!$AQ$7),IF(D146="Options Sell",CONCATENATE([1]AB3!$AP$13,INDEX([1]AB2!L:L,MATCH(D144,[1]AB2!B:B,0)),[1]AB3!$AQ$13),IF(D146="Options Buy",CONCATENATE([1]AB3!$AP$19,INDEX([1]AB2!M:M,MATCH(D144,[1]AB2!B:B,0)),[1]AB3!$AQ$19)))))</f>
        <v>OPT : PRV : 3DHH</v>
      </c>
      <c r="AL145" s="79">
        <v>0.1</v>
      </c>
      <c r="AM145" s="52">
        <f>J144</f>
        <v>1</v>
      </c>
      <c r="AN145" s="51">
        <f t="array" ref="AN145">IF(A144="","",IF(AND(OR(D148="1 &amp; APS",D148="2 &amp; APS",D148="3 &amp; APS",D148="4 &amp; APS",D148="5 &amp; APS"),D146="Futures"),CONCATENATE([1]AB3!$AP$7,INDEX([1]AB2!M:M,MATCH(D144,[1]AB2!B:B,0)),[1]AB3!$AQ$7),IF(AND(OR(D148="1 &amp; APS",D148="2 &amp; APS",D148="3 &amp; APS",D148="4 &amp; APS",D148="5 &amp; APS"),D146="Options Sell"),CONCATENATE([1]AB3!$AP$13,INDEX([1]AB2!L:L,MATCH(D144,[1]AB2!B:B,0)),[1]AB3!$AQ$13),IF(AND(OR(D148="1 &amp; APS",D148="2 &amp; APS",D148="3 &amp; APS",D148="4 &amp; APS",D148="5 &amp; APS"),D146="Options Buy"),CONCATENATE([1]AB3!$AP$19,INDEX([1]AB2!M:M,MATCH(D144,[1]AB2!B:B,0)),[1]AB3!$AQ$19),[1]AB3!$AR$6))))</f>
        <v>0</v>
      </c>
      <c r="AO145" s="58"/>
      <c r="AP145" s="52">
        <f t="shared" si="266"/>
        <v>0</v>
      </c>
      <c r="AQ145" s="51">
        <f t="array" ref="AQ145">IF(A144="","",IF(AND(OR(D148="2 &amp; APS",D148="3 &amp; APS",D148="4 &amp; APS",D148="5 &amp; APS"),D146="Futures"),CONCATENATE([1]AB3!$AP$7,INDEX([1]AB2!M:M,MATCH(D144,[1]AB2!B:B,0)),[1]AB3!$AQ$7),IF(AND(OR(D148="2 &amp; APS",D148="3 &amp; APS",D148="4 &amp; APS",D148="5 &amp; APS"),D146="Options Sell"),CONCATENATE([1]AB3!$AP$13,INDEX([1]AB2!L:L,MATCH(D144,[1]AB2!B:B,0)),[1]AB3!$AQ$13),IF(AND(OR(D148="2 &amp; APS",D148="3 &amp; APS",D148="4 &amp; APS",D148="5 &amp; APS"),D146="Options Buy"),CONCATENATE([1]AB3!$AP$19,INDEX([1]AB2!M:M,MATCH(D144,[1]AB2!B:B,0)),[1]AB3!$AQ$19),[1]AB3!$AR$6))))</f>
        <v>0</v>
      </c>
      <c r="AR145" s="58"/>
      <c r="AS145" s="52">
        <f t="shared" si="267"/>
        <v>0</v>
      </c>
      <c r="AT145" s="51">
        <f t="array" ref="AT145">IF(A144="","",IF(AND(OR(D148="3 &amp; APS",D148="4 &amp; APS",D148="5 &amp; APS"),D146="Futures"),CONCATENATE([1]AB3!$AP$7,INDEX([1]AB2!M:M,MATCH(D144,[1]AB2!B:B,0)),[1]AB3!$AQ$7),IF(AND(OR(D148="3 &amp; APS",D148="4 &amp; APS",D148="5 &amp; APS"),D146="Options Sell"),CONCATENATE([1]AB3!$AP$13,INDEX([1]AB2!L:L,MATCH(D144,[1]AB2!B:B,0)),[1]AB3!$AQ$13),IF(AND(OR(D148="3 &amp; APS",D148="4 &amp; APS",D148="5 &amp; APS"),D146="Options Buy"),CONCATENATE([1]AB3!$AP$19,INDEX([1]AB2!M:M,MATCH(D144,[1]AB2!B:B,0)),[1]AB3!$AQ$19),[1]AB3!$AR$6))))</f>
        <v>0</v>
      </c>
      <c r="AU145" s="58"/>
      <c r="AV145" s="52">
        <f t="shared" si="268"/>
        <v>0</v>
      </c>
      <c r="AW145" s="51">
        <f t="array" ref="AW145">IF(A144="","",IF(AND(OR(D148="4 &amp; APS",D148="5 &amp; APS"),D146="Futures"),CONCATENATE([1]AB3!$AP$7,INDEX([1]AB2!M:M,MATCH(D144,[1]AB2!B:B,0)),[1]AB3!$AQ$7),IF(AND(OR(D148="4 &amp; APS",D148="5 &amp; APS"),D146="Options Sell"),CONCATENATE([1]AB3!$AP$13,INDEX([1]AB2!L:L,MATCH(D144,[1]AB2!B:B,0)),[1]AB3!$AQ$13),IF(AND(OR(D148="4 &amp; APS",D148="5 &amp; APS"),D146="Options Buy"),CONCATENATE([1]AB3!$AP$19,INDEX([1]AB2!M:M,MATCH(D144,[1]AB2!B:B,0)),[1]AB3!$AQ$19),[1]AB3!$AR$6))))</f>
        <v>0</v>
      </c>
      <c r="AX145" s="58"/>
      <c r="AY145" s="52">
        <f t="shared" si="269"/>
        <v>0</v>
      </c>
      <c r="AZ145" s="51">
        <f t="array" ref="AZ145">IF(A144="","",IF(AND(D148="5 &amp; APS",D146="Futures"),CONCATENATE([1]AB3!$AP$7,INDEX([1]AB2!M:M,MATCH(D144,[1]AB2!B:B,0)),[1]AB3!$AQ$7),IF(AND(D148="5 &amp; APS",D146="Options Sell"),CONCATENATE([1]AB3!$AP$13,INDEX([1]AB2!L:L,MATCH(D144,[1]AB2!B:B,0)),[1]AB3!$AQ$13),IF(AND(D148="5 &amp; APS",D146="Options Buy"),CONCATENATE([1]AB3!$AP$19,INDEX([1]AB2!M:M,MATCH(D144,[1]AB2!B:B,0)),[1]AB3!$AQ$19),[1]AB3!$AR$6))))</f>
        <v>0</v>
      </c>
      <c r="BA145" s="58"/>
      <c r="BB145" s="52">
        <f t="shared" si="270"/>
        <v>0</v>
      </c>
      <c r="BC145" s="53"/>
      <c r="BD145" s="54" t="str">
        <f>IF(D146="Futures",[1]AB3!$BE$7,IF(D146="Options Sell",[1]AB3!$BE$13,IF(D146="Options Buy",[1]AB3!$BE$19)))</f>
        <v xml:space="preserve"> RC. Time</v>
      </c>
      <c r="BE145" s="55">
        <f>IF(D146="Futures",BE147+([1]AB3!$BF$7/1440),IF(D146="Options Sell",BE147+([1]AB3!$BF$13/1440),IF(D146="Options Buy",BE147+([1]AB3!$BF$19/1440))))</f>
        <v>0.39582638888888888</v>
      </c>
      <c r="BF145" s="55">
        <f>IF(D146="Futures",BE147+([1]AB3!$BG$7/1440),IF(D146="Options Sell",BE147+([1]AB3!$BG$13/1440),IF(D146="Options Buy",BE147+([1]AB3!$BG$19/1440))))</f>
        <v>0.39582638888888888</v>
      </c>
      <c r="BG145" s="55" t="str">
        <f>IF(D146="Futures",[1]AB3!$BH$7,IF(D146="Options Sell",[1]AB3!$BH$7,IF(D146="Options Buy",[1]AB3!$BH$7)))</f>
        <v>N.A.</v>
      </c>
      <c r="BH145" s="57"/>
      <c r="BI145" s="32"/>
      <c r="BJ145" s="61" t="str">
        <f>IF(D146="Futures",[1]AB3!$BK$7,IF(D146="Options Sell",[1]AB3!$BK$13,IF(D146="Options Buy",[1]AB3!$BK$19)))</f>
        <v>Put</v>
      </c>
      <c r="BK145" s="80">
        <v>7.4999999999999997E-2</v>
      </c>
      <c r="BL145" s="81">
        <v>0.1</v>
      </c>
      <c r="BM145" s="57"/>
      <c r="BN145" s="32"/>
      <c r="BO145" s="61" t="str">
        <f>IF(D146="Futures",[1]AB3!$BP$7,IF(D146="Options Sell",[1]AB3!$BP$13,IF(D146="Options Buy",[1]AB3!$BP$19)))</f>
        <v>Put</v>
      </c>
      <c r="BP145" s="43" t="str">
        <f t="array" ref="BP145">IF(A144="","",IF(D146="Futures","",IF(D146="EQUITY","",IF(D146="Options Sell",CONCATENATE([1]AB3!$BQ$13,INDEX([1]AB2!I:I,MATCH(A144,[1]AB2!A:A,0)),[1]AB3!$BR$13),IF(D146="Options Buy",CONCATENATE([1]AB3!$BQ$19,INDEX([1]AB2!I:I,MATCH(A144,[1]AB2!A:A,0)),[1]AB3!$BR$19))))))</f>
        <v>SPT : PRV : 2DHH</v>
      </c>
      <c r="BQ145" s="83" t="s">
        <v>55</v>
      </c>
      <c r="BR145" s="58">
        <v>0.05</v>
      </c>
      <c r="BS145" s="76" t="s">
        <v>56</v>
      </c>
      <c r="BT145" s="84" t="str">
        <f t="shared" si="271"/>
        <v>SPT : PRV : 2DHH</v>
      </c>
      <c r="BU145" s="85"/>
      <c r="BV145" s="58"/>
      <c r="BW145" s="76" t="s">
        <v>56</v>
      </c>
      <c r="BX145" s="82" t="s">
        <v>53</v>
      </c>
      <c r="BY145" s="76">
        <v>1</v>
      </c>
      <c r="BZ145" s="58"/>
      <c r="CA145" s="58"/>
      <c r="CB145" s="58"/>
      <c r="CC145" s="58"/>
      <c r="CD145" s="58"/>
      <c r="CE145" s="43" t="str">
        <f t="shared" si="272"/>
        <v>SPT : PRV : 2DHH</v>
      </c>
      <c r="CF145" s="58">
        <v>1.6E-2</v>
      </c>
      <c r="CG145" s="43" t="str">
        <f t="shared" si="273"/>
        <v>SPT : PRV : 2DHH</v>
      </c>
      <c r="CH145" s="58">
        <v>1.2E-2</v>
      </c>
      <c r="CI145" s="75">
        <v>500</v>
      </c>
      <c r="CJ145" s="75">
        <v>1</v>
      </c>
      <c r="CK145" s="59"/>
      <c r="CL145" s="43"/>
      <c r="CM145" s="43"/>
      <c r="CN145" s="59"/>
      <c r="CO145" s="43"/>
      <c r="CP145" s="43"/>
      <c r="CQ145" s="59"/>
      <c r="CR145" s="58">
        <v>0.05</v>
      </c>
      <c r="CS145" s="58"/>
      <c r="CT145" s="59"/>
      <c r="CU145" s="43"/>
      <c r="CV145" s="59"/>
      <c r="CW145" s="59"/>
    </row>
    <row r="146" spans="1:101" ht="15.75" customHeight="1" x14ac:dyDescent="0.2">
      <c r="A146" s="60"/>
      <c r="B146" s="41" t="str">
        <f>CONCATENATE(D144,IF(D146="Futures",[1]AB3!$B$8,IF(D146="Options Sell",[1]AB3!$B$14,IF(D146="Options Buy",[1]AB3!$B$20))))</f>
        <v>S24C</v>
      </c>
      <c r="C146" s="42" t="str">
        <f>IF(D146="Futures",[1]AB3!$C$8,IF(D146="Options Sell",[1]AB3!$C$14,IF(D146="Options Buy",[1]AB3!$C$20)))</f>
        <v>Segment</v>
      </c>
      <c r="D146" s="43" t="str">
        <f t="array" ref="D146">IF(A144="","",INDEX([1]AB2!C:C,MATCH(D144,[1]AB2!B:B,0)))</f>
        <v>OPTIONS SELL</v>
      </c>
      <c r="E146" s="42" t="str">
        <f>IF(D146="Futures",[1]AB3!$E$8,IF(D146="Options Sell",[1]AB3!$E$14,IF(D146="Options Buy",[1]AB3!$E$20)))</f>
        <v>Contract</v>
      </c>
      <c r="F146" s="43" t="str">
        <f t="array" ref="F146">IF(A144="","",INDEX([1]AB2!F:F,MATCH(D144,[1]AB2!B:B,0)))</f>
        <v>MONTHLY</v>
      </c>
      <c r="G146" s="105"/>
      <c r="H146" s="62"/>
      <c r="I146" s="86"/>
      <c r="J146" s="87"/>
      <c r="K146" s="48"/>
      <c r="L146" s="62"/>
      <c r="M146" s="62"/>
      <c r="N146" s="88"/>
      <c r="O146" s="89"/>
      <c r="P146" s="62"/>
      <c r="Q146" s="89"/>
      <c r="R146" s="62"/>
      <c r="S146" s="89"/>
      <c r="T146" s="62"/>
      <c r="U146" s="89"/>
      <c r="V146" s="62"/>
      <c r="W146" s="89"/>
      <c r="X146" s="62"/>
      <c r="Y146" s="62"/>
      <c r="Z146" s="48"/>
      <c r="AA146" s="62"/>
      <c r="AB146" s="62"/>
      <c r="AC146" s="62"/>
      <c r="AD146" s="48"/>
      <c r="AE146" s="62"/>
      <c r="AF146" s="62"/>
      <c r="AG146" s="90"/>
      <c r="AH146" s="90"/>
      <c r="AI146" s="48"/>
      <c r="AJ146" s="62"/>
      <c r="AK146" s="62"/>
      <c r="AL146" s="91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53"/>
      <c r="BD146" s="57"/>
      <c r="BE146" s="57"/>
      <c r="BF146" s="57"/>
      <c r="BG146" s="57"/>
      <c r="BH146" s="57"/>
      <c r="BI146" s="66"/>
      <c r="BJ146" s="62"/>
      <c r="BK146" s="92"/>
      <c r="BL146" s="92"/>
      <c r="BM146" s="57"/>
      <c r="BN146" s="66"/>
      <c r="BO146" s="62"/>
      <c r="BP146" s="62"/>
      <c r="BQ146" s="93"/>
      <c r="BR146" s="62"/>
      <c r="BS146" s="62"/>
      <c r="BT146" s="94"/>
      <c r="BU146" s="93"/>
      <c r="BV146" s="62"/>
      <c r="BW146" s="62"/>
      <c r="BX146" s="62"/>
      <c r="BY146" s="62"/>
      <c r="BZ146" s="62"/>
      <c r="CA146" s="62"/>
      <c r="CB146" s="62"/>
      <c r="CC146" s="62"/>
      <c r="CD146" s="62"/>
      <c r="CE146" s="62"/>
      <c r="CF146" s="62"/>
      <c r="CG146" s="62"/>
      <c r="CH146" s="62"/>
      <c r="CI146" s="62"/>
      <c r="CJ146" s="62"/>
      <c r="CK146" s="59"/>
      <c r="CL146" s="62"/>
      <c r="CM146" s="62"/>
      <c r="CN146" s="59"/>
      <c r="CO146" s="62"/>
      <c r="CP146" s="62"/>
      <c r="CQ146" s="59"/>
      <c r="CR146" s="62"/>
      <c r="CS146" s="62"/>
      <c r="CT146" s="59"/>
      <c r="CU146" s="62"/>
      <c r="CV146" s="59"/>
      <c r="CW146" s="59"/>
    </row>
    <row r="147" spans="1:101" ht="15.75" customHeight="1" x14ac:dyDescent="0.2">
      <c r="A147" s="60"/>
      <c r="B147" s="41" t="str">
        <f>CONCATENATE(D144,IF(D146="Futures",[1]AB3!$B$9,IF(D146="Options Sell",[1]AB3!$B$15,IF(D146="Options Buy",[1]AB3!$B$21))))</f>
        <v>S24D</v>
      </c>
      <c r="C147" s="42" t="str">
        <f>IF(D146="Futures",[1]AB3!$C$9,IF(D146="Options Sell",[1]AB3!$C$15,IF(D146="Options Buy",[1]AB3!$C$21)))</f>
        <v>Symbol</v>
      </c>
      <c r="D147" s="43" t="str">
        <f t="array" ref="D147">IF(A144="","",INDEX([1]AB2!E:E,MATCH(D144,[1]AB2!B:B,0)))</f>
        <v>NIFTY</v>
      </c>
      <c r="E147" s="44" t="str">
        <f>IF(D146="Futures",[1]AB3!$E$9,IF(D146="Options Sell",[1]AB3!$E$15,IF(D146="Options Buy",[1]AB3!$E$21)))</f>
        <v>Bear / 
Bear CF</v>
      </c>
      <c r="F147" s="45" t="str">
        <f>IF(D146="Futures",[1]AB3!$F$9,IF(D146="Options Sell",[1]AB3!$F$15,IF(D146="Options Buy",[1]AB3!$F$21)))</f>
        <v>Call</v>
      </c>
      <c r="G147" s="84" t="str">
        <f t="array" ref="G147">IF(A144="","",IF(D146="Futures",CONCATENATE([1]AB3!$G$9,INDEX([1]AB2!J:J,MATCH(D144,[1]AB2!B:B,0)),[1]AB3!$H$9),IF(D146="Options Sell",CONCATENATE([1]AB3!$G$15,INDEX([1]AB2!I:I,MATCH(D144,[1]AB2!B:B,0)),[1]AB3!$H$15),IF(D146="Options Buy",CONCATENATE([1]AB3!$G$21,INDEX([1]AB2!J:J,MATCH(D144,[1]AB2!B:B,0)),[1]AB3!$H$21)))))</f>
        <v>OPT : PRV : 2DLL</v>
      </c>
      <c r="H147" s="43" t="str">
        <f>IF(D146="Futures",[1]AB3!$I$9,IF(D146="Options Sell",[1]AB3!$I$15,IF(D146="Options Buy",[1]AB3!$I$21)))</f>
        <v xml:space="preserve"> - </v>
      </c>
      <c r="I147" s="72">
        <v>7.4999999999999997E-2</v>
      </c>
      <c r="J147" s="73">
        <v>1</v>
      </c>
      <c r="K147" s="48"/>
      <c r="L147" s="43" t="str">
        <f>IF(D146="Futures",[1]AB3!$M$9,IF(D146="Options Sell",[1]AB3!$M$15,IF(D146="Options Buy",[1]AB3!$M$21)))</f>
        <v xml:space="preserve">CE : Entry </v>
      </c>
      <c r="M147" s="43" t="str">
        <f>IF(D146="Futures",[1]AB3!$N$9,IF(D146="Options Sell",[1]AB3!$N$15,IF(D146="Options Buy",[1]AB3!$N$21)))</f>
        <v xml:space="preserve"> - </v>
      </c>
      <c r="N147" s="74">
        <v>0.6</v>
      </c>
      <c r="O147" s="75">
        <v>1</v>
      </c>
      <c r="P147" s="58"/>
      <c r="Q147" s="75"/>
      <c r="R147" s="58"/>
      <c r="S147" s="75"/>
      <c r="T147" s="58"/>
      <c r="U147" s="75"/>
      <c r="V147" s="76"/>
      <c r="W147" s="75"/>
      <c r="X147" s="76"/>
      <c r="Y147" s="76"/>
      <c r="Z147" s="48"/>
      <c r="AA147" s="43" t="str">
        <f>IF(D146="Futures",[1]AB3!$AD$9,IF(D146="Options Sell",[1]AB3!$AD$15,IF(D146="Options Buy",[1]AB3!$AD$21)))</f>
        <v>Min</v>
      </c>
      <c r="AB147" s="43" t="str">
        <f>IF(D146="Futures",[1]AB3!$AE$9,IF(D146="Options Sell",[1]AB3!$AE$15,IF(D146="Options Buy",[1]AB3!$AE$21)))</f>
        <v>MSL &amp; TSL</v>
      </c>
      <c r="AC147" s="43" t="str">
        <f>IF(D146="Futures",[1]AB3!$AF$9,IF(D146="Options Sell",[1]AB3!$AF$15,IF(D146="Options Buy",[1]AB3!$AF$21)))</f>
        <v>Entry &amp; TRP</v>
      </c>
      <c r="AD147" s="48"/>
      <c r="AE147" s="43" t="str">
        <f>IF(D146="Futures",[1]AB3!$AH$9,IF(D146="Options Sell",[1]AB3!$AH$15,IF(D146="Options Buy",[1]AB3!$AH$21)))</f>
        <v xml:space="preserve">CE : Entry </v>
      </c>
      <c r="AF147" s="43" t="str">
        <f>IF(D146="Futures",[1]AB3!$AI$9,IF(D146="Options Sell",[1]AB3!$AI$15,IF(D146="Options Buy",[1]AB3!$AI$21)))</f>
        <v xml:space="preserve"> + </v>
      </c>
      <c r="AG147" s="77">
        <v>0.6</v>
      </c>
      <c r="AH147" s="77">
        <v>0</v>
      </c>
      <c r="AI147" s="48"/>
      <c r="AJ147" s="43" t="str">
        <f>IF(D146="Futures",[1]AB3!$AO$9,IF(D146="Options Sell",[1]AB3!$AO$15,IF(D146="Options Buy",[1]AB3!$AO$21)))</f>
        <v xml:space="preserve"> + </v>
      </c>
      <c r="AK147" s="43" t="str">
        <f t="array" ref="AK147">IF(A144="","",IF(D146="Futures",CONCATENATE([1]AB3!$AP$9,INDEX([1]AB2!M:M,MATCH(D144,[1]AB2!B:B,0)),[1]AB3!$AQ$9),IF(D146="Options Sell",CONCATENATE([1]AB3!$AP$15,INDEX([1]AB2!L:L,MATCH(D144,[1]AB2!B:B,0)),[1]AB3!$AQ$15),IF(D146="Options Buy",CONCATENATE([1]AB3!$AP$21,INDEX([1]AB2!M:M,MATCH(D144,[1]AB2!B:B,0)),[1]AB3!$AQ$21)))))</f>
        <v>OPT : PRV : 3DHH</v>
      </c>
      <c r="AL147" s="79">
        <v>0.1</v>
      </c>
      <c r="AM147" s="52">
        <f>J148</f>
        <v>1</v>
      </c>
      <c r="AN147" s="51">
        <f t="array" ref="AN147">IF(A144="","",IF(AND(OR(D148="1 &amp; APS",D148="2 &amp; APS",D148="3 &amp; APS",D148="4 &amp; APS",D148="5 &amp; APS"),D146="Futures"),CONCATENATE([1]AB3!$AP$9,INDEX([1]AB2!M:M,MATCH(D144,[1]AB2!B:B,0)),[1]AB3!$AQ$9),IF(AND(OR(D148="1 &amp; APS",D148="2 &amp; APS",D148="3 &amp; APS",D148="4 &amp; APS",D148="5 &amp; APS"),D146="Options Sell"),CONCATENATE([1]AB3!$AP$15,INDEX([1]AB2!L:L,MATCH(D144,[1]AB2!B:B,0)),[1]AB3!$AQ$15),IF(AND(OR(D148="1 &amp; APS",D148="2 &amp; APS",D148="3 &amp; APS",D148="4 &amp; APS",D148="5 &amp; APS"),D146="Options Buy"),CONCATENATE([1]AB3!$AP$21,INDEX([1]AB2!M:M,MATCH(D144,[1]AB2!B:B,0)),[1]AB3!$AQ$21),[1]AB3!$AR$6))))</f>
        <v>0</v>
      </c>
      <c r="AO147" s="58"/>
      <c r="AP147" s="52">
        <f t="shared" ref="AP147:AP148" si="274">AM147-O147</f>
        <v>0</v>
      </c>
      <c r="AQ147" s="51">
        <f t="array" ref="AQ147">IF(A144="","",IF(AND(OR(D148="2 &amp; APS",D148="3 &amp; APS",D148="4 &amp; APS",D148="5 &amp; APS"),D146="Futures"),CONCATENATE([1]AB3!$AP$9,INDEX([1]AB2!M:M,MATCH(D144,[1]AB2!B:B,0)),[1]AB3!$AQ$9),IF(AND(OR(D148="2 &amp; APS",D148="3 &amp; APS",D148="4 &amp; APS",D148="5 &amp; APS"),D146="Options Sell"),CONCATENATE([1]AB3!$AP$15,INDEX([1]AB2!L:L,MATCH(D144,[1]AB2!B:B,0)),[1]AB3!$AQ$15),IF(AND(OR(D148="2 &amp; APS",D148="3 &amp; APS",D148="4 &amp; APS",D148="5 &amp; APS"),D146="Options Buy"),CONCATENATE([1]AB3!$AP$21,INDEX([1]AB2!M:M,MATCH(D144,[1]AB2!B:B,0)),[1]AB3!$AQ$21),[1]AB3!$AR$6))))</f>
        <v>0</v>
      </c>
      <c r="AR147" s="58"/>
      <c r="AS147" s="52">
        <f t="shared" ref="AS147:AS148" si="275">AP147-Q147</f>
        <v>0</v>
      </c>
      <c r="AT147" s="51">
        <f t="array" ref="AT147">IF(A144="","",IF(AND(OR(D148="3 &amp; APS",D148="4 &amp; APS",D148="5 &amp; APS"),D146="Futures"),CONCATENATE([1]AB3!$AP$9,INDEX([1]AB2!M:M,MATCH(D144,[1]AB2!B:B,0)),[1]AB3!$AQ$9),IF(AND(OR(D148="3 &amp; APS",D148="4 &amp; APS",D148="5 &amp; APS"),D146="Options Sell"),CONCATENATE([1]AB3!$AP$15,INDEX([1]AB2!L:L,MATCH(D144,[1]AB2!B:B,0)),[1]AB3!$AQ$15),IF(AND(OR(D148="3 &amp; APS",D148="4 &amp; APS",D148="5 &amp; APS"),D146="Options Buy"),CONCATENATE([1]AB3!$AP$21,INDEX([1]AB2!M:M,MATCH(D144,[1]AB2!B:B,0)),[1]AB3!$AQ$21),[1]AB3!$AR$6))))</f>
        <v>0</v>
      </c>
      <c r="AU147" s="58"/>
      <c r="AV147" s="52">
        <f t="shared" ref="AV147:AV148" si="276">AS147-S147</f>
        <v>0</v>
      </c>
      <c r="AW147" s="51">
        <f t="array" ref="AW147">IF(A144="","",IF(AND(OR(D148="4 &amp; APS",D148="5 &amp; APS"),D146="Futures"),CONCATENATE([1]AB3!$AP$9,INDEX([1]AB2!M:M,MATCH(D144,[1]AB2!B:B,0)),[1]AB3!$AQ$9),IF(AND(OR(D148="4 &amp; APS",D148="5 &amp; APS"),D146="Options Sell"),CONCATENATE([1]AB3!$AP$15,INDEX([1]AB2!L:L,MATCH(D144,[1]AB2!B:B,0)),[1]AB3!$AQ$15),IF(AND(OR(D148="4 &amp; APS",D148="5 &amp; APS"),D146="Options Buy"),CONCATENATE([1]AB3!$AP$21,INDEX([1]AB2!M:M,MATCH(D144,[1]AB2!B:B,0)),[1]AB3!$AQ$21),[1]AB3!$AR$6))))</f>
        <v>0</v>
      </c>
      <c r="AX147" s="58"/>
      <c r="AY147" s="52">
        <f t="shared" ref="AY147:AY148" si="277">AV147-S147</f>
        <v>0</v>
      </c>
      <c r="AZ147" s="51">
        <f t="array" ref="AZ147">IF(A144="","",IF(AND(D148="5 &amp; APS",D146="Futures"),CONCATENATE([1]AB3!$AP$9,INDEX([1]AB2!M:M,MATCH(D144,[1]AB2!B:B,0)),[1]AB3!$AQ$9),IF(AND(D148="5 &amp; APS",D146="Options Sell"),CONCATENATE([1]AB3!$AP$15,INDEX([1]AB2!L:L,MATCH(D144,[1]AB2!B:B,0)),[1]AB3!$AQ$15),IF(AND(D148="5 &amp; APS",D146="Options Buy"),CONCATENATE([1]AB3!$AP$21,INDEX([1]AB2!M:M,MATCH(D144,[1]AB2!B:B,0)),[1]AB3!$AQ$21),[1]AB3!$AR$6))))</f>
        <v>0</v>
      </c>
      <c r="BA147" s="58"/>
      <c r="BB147" s="52">
        <f t="shared" ref="BB147:BB148" si="278">AY147-W147</f>
        <v>0</v>
      </c>
      <c r="BC147" s="53"/>
      <c r="BD147" s="54" t="str">
        <f>IF(D146="Futures",[1]AB3!$BE$9,IF(D146="Options Sell",[1]AB3!$BE$15,IF(D146="Options Buy",[1]AB3!$BE$21)))</f>
        <v>Market Start Time</v>
      </c>
      <c r="BE147" s="67">
        <f t="array" ref="BE147">IF(D144="","",INDEX([1]AB2!AG:AG,MATCH(D144,[1]AB2!B:B,0)))</f>
        <v>0.38541666666666669</v>
      </c>
      <c r="BF147" s="11"/>
      <c r="BG147" s="12"/>
      <c r="BH147" s="57"/>
      <c r="BI147" s="68" t="str">
        <f>IF(D146="Futures",[1]AB3!$BJ$9,IF(D146="Options Sell",[1]AB3!$BJ$15,IF(D146="Options Buy",[1]AB3!$BJ$21)))</f>
        <v>Bear / 
Bear CF</v>
      </c>
      <c r="BJ147" s="45" t="str">
        <f>IF(D146="Futures",[1]AB3!$BK$9,IF(D146="Options Sell",[1]AB3!$BK$15,IF(D146="Options Buy",[1]AB3!$BK$21)))</f>
        <v>Call</v>
      </c>
      <c r="BK147" s="80">
        <v>7.4999999999999997E-2</v>
      </c>
      <c r="BL147" s="81">
        <v>0.1</v>
      </c>
      <c r="BM147" s="57"/>
      <c r="BN147" s="68" t="str">
        <f>IF(D146="Futures",[1]AB3!$BO$9,IF(D146="Options Sell",[1]AB3!$BO$15,IF(D146="Options Buy",[1]AB3!$BO$21)))</f>
        <v>Bear | 
Bear CF</v>
      </c>
      <c r="BO147" s="45" t="str">
        <f>IF(D146="Futures",[1]AB3!$BP$9,IF(D146="Options Sell",[1]AB3!$BP$15,IF(D146="Options Buy",[1]AB3!$BP$21)))</f>
        <v>Call</v>
      </c>
      <c r="BP147" s="43" t="str">
        <f t="array" ref="BP147">IF(A144="","",IF(D146="Futures","",IF(D146="EQUITY","",IF(D146="Options Sell",CONCATENATE([1]AB3!$BQ$15,INDEX([1]AB2!I:I,MATCH(A144,[1]AB2!A:A,0)),[1]AB3!$BR$15),IF(D146="Options Buy",CONCATENATE([1]AB3!$BQ$21,INDEX([1]AB2!I:I,MATCH(A144,[1]AB2!A:A,0)),[1]AB3!$BR$21))))))</f>
        <v>SPT : PRV : 2DLL</v>
      </c>
      <c r="BQ147" s="82" t="s">
        <v>53</v>
      </c>
      <c r="BR147" s="58">
        <v>0.05</v>
      </c>
      <c r="BS147" s="76" t="s">
        <v>54</v>
      </c>
      <c r="BT147" s="84" t="str">
        <f t="shared" ref="BT147:BT148" si="279">BP147</f>
        <v>SPT : PRV : 2DLL</v>
      </c>
      <c r="BU147" s="76"/>
      <c r="BV147" s="58"/>
      <c r="BW147" s="76" t="s">
        <v>54</v>
      </c>
      <c r="BX147" s="82" t="s">
        <v>55</v>
      </c>
      <c r="BY147" s="76">
        <v>1</v>
      </c>
      <c r="BZ147" s="58"/>
      <c r="CA147" s="58"/>
      <c r="CB147" s="58"/>
      <c r="CC147" s="58"/>
      <c r="CD147" s="58"/>
      <c r="CE147" s="43" t="str">
        <f t="shared" ref="CE147:CE148" si="280">BP147</f>
        <v>SPT : PRV : 2DLL</v>
      </c>
      <c r="CF147" s="58">
        <v>1.6E-2</v>
      </c>
      <c r="CG147" s="43" t="str">
        <f t="shared" ref="CG147:CG148" si="281">CE147</f>
        <v>SPT : PRV : 2DLL</v>
      </c>
      <c r="CH147" s="58">
        <v>1.2E-2</v>
      </c>
      <c r="CI147" s="75">
        <v>500</v>
      </c>
      <c r="CJ147" s="75">
        <v>1</v>
      </c>
      <c r="CK147" s="59"/>
      <c r="CL147" s="43"/>
      <c r="CM147" s="43"/>
      <c r="CN147" s="59"/>
      <c r="CO147" s="43"/>
      <c r="CP147" s="43"/>
      <c r="CQ147" s="59"/>
      <c r="CR147" s="58">
        <v>0.05</v>
      </c>
      <c r="CS147" s="58"/>
      <c r="CT147" s="59"/>
      <c r="CU147" s="43"/>
      <c r="CV147" s="59"/>
      <c r="CW147" s="59"/>
    </row>
    <row r="148" spans="1:101" ht="15.75" customHeight="1" x14ac:dyDescent="0.2">
      <c r="A148" s="32"/>
      <c r="B148" s="41" t="str">
        <f>CONCATENATE(D144,IF(D146="Futures",[1]AB3!$B$10,IF(D146="Options Sell",[1]AB3!$B$16,IF(D146="Options Buy",[1]AB3!$B$22))))</f>
        <v>S24E</v>
      </c>
      <c r="C148" s="42" t="str">
        <f>IF(D146="Futures",[1]AB3!$E$8,IF(D146="Options Sell",[1]AB3!$E$14,IF(D146="Options Buy",[1]AB3!$E$20)))</f>
        <v>Contract</v>
      </c>
      <c r="D148" s="43" t="str">
        <f t="array" ref="D148">IF(A144="","",INDEX([1]AB2!K:K,MATCH(D144,[1]AB2!B:B,0)))</f>
        <v>APS</v>
      </c>
      <c r="E148" s="32"/>
      <c r="F148" s="61" t="str">
        <f>IF(D146="Futures",[1]AB3!$F$10,IF(D146="Options Sell",[1]AB3!$F$16,IF(D146="Options Buy",[1]AB3!$F$22)))</f>
        <v>Put</v>
      </c>
      <c r="G148" s="84" t="str">
        <f t="array" ref="G148">(IF(A144="","",IF(D146="Futures",CONCATENATE([1]AB3!$G$10,INDEX([1]AB2!I:I,MATCH(D144,[1]AB2!B:B,0)),[1]AB3!$H$10),IF(D146="Options Sell",CONCATENATE([1]AB3!$G$16,INDEX([1]AB2!J:J,MATCH(D144,[1]AB2!B:B,0)),[1]AB3!$H$16),IF(D146="Options Buy",CONCATENATE([1]AB3!$G$22,INDEX([1]AB2!I:I,MATCH(D144,[1]AB2!B:B,0)),[1]AB3!$H$22))))))</f>
        <v>OPT : PRV : 3DLL</v>
      </c>
      <c r="H148" s="43" t="str">
        <f>IF(D146="Futures",[1]AB3!$I$10,IF(D146="Options Sell",[1]AB3!$I$16,IF(D146="Options Buy",[1]AB3!$I$22)))</f>
        <v xml:space="preserve"> - </v>
      </c>
      <c r="I148" s="72">
        <v>7.4999999999999997E-2</v>
      </c>
      <c r="J148" s="73">
        <v>1</v>
      </c>
      <c r="K148" s="48"/>
      <c r="L148" s="43" t="str">
        <f>IF(D146="Futures",[1]AB3!$M$10,IF(D146="Options Sell",[1]AB3!$M$16,IF(D146="Options Buy",[1]AB3!$M$22)))</f>
        <v xml:space="preserve">PE : Entry </v>
      </c>
      <c r="M148" s="43" t="str">
        <f>IF(D146="Futures",[1]AB3!$N$10,IF(D146="Options Sell",[1]AB3!$N$16,IF(D146="Options Buy",[1]AB3!$N$22)))</f>
        <v xml:space="preserve"> - </v>
      </c>
      <c r="N148" s="74">
        <v>0.6</v>
      </c>
      <c r="O148" s="75">
        <v>1</v>
      </c>
      <c r="P148" s="58"/>
      <c r="Q148" s="75"/>
      <c r="R148" s="58"/>
      <c r="S148" s="75"/>
      <c r="T148" s="58"/>
      <c r="U148" s="75"/>
      <c r="V148" s="76"/>
      <c r="W148" s="75"/>
      <c r="X148" s="76"/>
      <c r="Y148" s="76"/>
      <c r="Z148" s="48"/>
      <c r="AA148" s="43" t="str">
        <f>IF(D146="Futures",[1]AB3!$AD$10,IF(D146="Options Sell",[1]AB3!$AD$16,IF(D146="Options Buy",[1]AB3!$AD$22)))</f>
        <v>Min</v>
      </c>
      <c r="AB148" s="43" t="str">
        <f>IF(D146="Futures",[1]AB3!$AE$10,IF(D146="Options Sell",[1]AB3!$AE$16,IF(D146="Options Buy",[1]AB3!$AE$22)))</f>
        <v>MSL &amp; TSL</v>
      </c>
      <c r="AC148" s="43" t="str">
        <f>IF(D146="Futures",[1]AB3!$AF$10,IF(D146="Options Sell",[1]AB3!$AF$16,IF(D146="Options Buy",[1]AB3!$AF$22)))</f>
        <v>Entry &amp; TRP</v>
      </c>
      <c r="AD148" s="48"/>
      <c r="AE148" s="43" t="str">
        <f>IF(D146="Futures",[1]AB3!$AH$10,IF(D146="Options Sell",[1]AB3!$AH$16,IF(D146="Options Buy",[1]AB3!$AH$22)))</f>
        <v xml:space="preserve">PE : Entry </v>
      </c>
      <c r="AF148" s="43" t="str">
        <f>IF(D146="Futures",[1]AB3!$AI$10,IF(D146="Options Sell",[1]AB3!$AI$16,IF(D146="Options Buy",[1]AB3!$AI$22)))</f>
        <v xml:space="preserve"> + </v>
      </c>
      <c r="AG148" s="77">
        <v>0.6</v>
      </c>
      <c r="AH148" s="77">
        <v>0</v>
      </c>
      <c r="AI148" s="48"/>
      <c r="AJ148" s="43" t="str">
        <f>IF(D146="Futures",[1]AB3!$AO$10,IF(D146="Options Sell",[1]AB3!$AO$16,IF(D146="Options Buy",[1]AB3!$AO$22)))</f>
        <v xml:space="preserve"> + </v>
      </c>
      <c r="AK148" s="43" t="str">
        <f t="array" ref="AK148">IF(A144="","",IF(D146="Futures",CONCATENATE([1]AB3!$AP$10,INDEX([1]AB2!L:L,MATCH(D144,[1]AB2!B:B,0)),[1]AB3!$AQ$10),IF(D146="Options Sell",CONCATENATE([1]AB3!$AP$16,INDEX([1]AB2!M:M,MATCH(D144,[1]AB2!B:B,0)),[1]AB3!$AQ$16),IF(D146="Options Buy",CONCATENATE([1]AB3!$AP$22,INDEX([1]AB2!L:L,MATCH(D144,[1]AB2!B:B,0)),[1]AB3!$AQ$22)))))</f>
        <v>OPT : PRV : 2DHH</v>
      </c>
      <c r="AL148" s="79">
        <v>7.0000000000000007E-2</v>
      </c>
      <c r="AM148" s="52">
        <f>J147</f>
        <v>1</v>
      </c>
      <c r="AN148" s="51">
        <f t="array" ref="AN148">IF(A144="","",IF(AND(OR(D148="1 &amp; APS",D148="2 &amp; APS",D148="3 &amp; APS",D148="4 &amp; APS",D148="5 &amp; APS"),D146="Futures"),CONCATENATE([1]AB3!$AP$10,INDEX([1]AB2!L:L,MATCH(D144,[1]AB2!B:B,0)),[1]AB3!$AQ$10),IF(AND(OR(D148="1 &amp; APS",D148="2 &amp; APS",D148="3 &amp; APS",D148="4 &amp; APS",D148="5 &amp; APS"),D146="Options Sell"),CONCATENATE([1]AB3!$AP$16,INDEX([1]AB2!M:M,MATCH(D144,[1]AB2!B:B,0)),[1]AB3!$AQ$16),IF(AND(OR(D148="1 &amp; APS",D148="2 &amp; APS",D148="3 &amp; APS",D148="4 &amp; APS",D148="5 &amp; APS"),D146="Options Buy"),CONCATENATE([1]AB3!$AP$22,INDEX([1]AB2!L:L,MATCH(D144,[1]AB2!B:B,0)),[1]AB3!$AQ$22),[1]AB3!$AR$6))))</f>
        <v>0</v>
      </c>
      <c r="AO148" s="58"/>
      <c r="AP148" s="52">
        <f t="shared" si="274"/>
        <v>0</v>
      </c>
      <c r="AQ148" s="51">
        <f t="array" ref="AQ148">IF(A144="","",IF(AND(OR(D148="2 &amp; APS",D148="3 &amp; APS",D148="4 &amp; APS",D148="5 &amp; APS"),D146="Futures"),CONCATENATE([1]AB3!$AP$10,INDEX([1]AB2!L:L,MATCH(D144,[1]AB2!B:B,0)),[1]AB3!$AQ$10),IF(AND(OR(D148="2 &amp; APS",D148="3 &amp; APS",D148="4 &amp; APS",D148="5 &amp; APS"),D146="Options Sell"),CONCATENATE([1]AB3!$AP$16,INDEX([1]AB2!M:M,MATCH(D144,[1]AB2!B:B,0)),[1]AB3!$AQ$16),IF(AND(OR(D148="2 &amp; APS",D148="3 &amp; APS",D148="4 &amp; APS",D148="5 &amp; APS"),D146="Options Buy"),CONCATENATE([1]AB3!$AP$22,INDEX([1]AB2!L:L,MATCH(D144,[1]AB2!B:B,0)),[1]AB3!$AQ$22),[1]AB3!$AR$6))))</f>
        <v>0</v>
      </c>
      <c r="AR148" s="58"/>
      <c r="AS148" s="52">
        <f t="shared" si="275"/>
        <v>0</v>
      </c>
      <c r="AT148" s="51">
        <f t="array" ref="AT148">IF(A144="","",IF(AND(OR(D148="3 &amp; APS",D148="4 &amp; APS",D148="5 &amp; APS"),D146="Futures"),CONCATENATE([1]AB3!$AP$10,INDEX([1]AB2!L:L,MATCH(D144,[1]AB2!B:B,0)),[1]AB3!$AQ$10),IF(AND(OR(D148="3 &amp; APS",D148="4 &amp; APS",D148="5 &amp; APS"),D146="Options Sell"),CONCATENATE([1]AB3!$AP$16,INDEX([1]AB2!M:M,MATCH(D144,[1]AB2!B:B,0)),[1]AB3!$AQ$16),IF(AND(OR(D148="3 &amp; APS",D148="4 &amp; APS",D148="5 &amp; APS"),D146="Options Buy"),CONCATENATE([1]AB3!$AP$22,INDEX([1]AB2!L:L,MATCH(D144,[1]AB2!B:B,0)),[1]AB3!$AQ$22),[1]AB3!$AR$6))))</f>
        <v>0</v>
      </c>
      <c r="AU148" s="58"/>
      <c r="AV148" s="52">
        <f t="shared" si="276"/>
        <v>0</v>
      </c>
      <c r="AW148" s="51">
        <f t="array" ref="AW148">IF(A144="","",IF(AND(OR(D148="4 &amp; APS",D148="5 &amp; APS"),D146="Futures"),CONCATENATE([1]AB3!$AP$10,INDEX([1]AB2!L:L,MATCH(D144,[1]AB2!B:B,0)),[1]AB3!$AQ$10),IF(AND(OR(D148="4 &amp; APS",D148="5 &amp; APS"),D146="Options Sell"),CONCATENATE([1]AB3!$AP$16,INDEX([1]AB2!M:M,MATCH(D144,[1]AB2!B:B,0)),[1]AB3!$AQ$16),IF(AND(OR(D148="4 &amp; APS",D148="5 &amp; APS"),D146="Options Buy"),CONCATENATE([1]AB3!$AP$22,INDEX([1]AB2!L:L,MATCH(D144,[1]AB2!B:B,0)),[1]AB3!$AQ$22),[1]AB3!$AR$6))))</f>
        <v>0</v>
      </c>
      <c r="AX148" s="58"/>
      <c r="AY148" s="52">
        <f t="shared" si="277"/>
        <v>0</v>
      </c>
      <c r="AZ148" s="51">
        <f t="array" ref="AZ148">IF(A144="","",IF(AND(D148="5 &amp; APS",D146="Futures"),CONCATENATE([1]AB3!$AP$10,INDEX([1]AB2!L:L,MATCH(D144,[1]AB2!B:B,0)),[1]AB3!$AQ$10),IF(AND(D148="5 &amp; APS",D146="Options Sell"),CONCATENATE([1]AB3!$AP$16,INDEX([1]AB2!M:M,MATCH(D144,[1]AB2!B:B,0)),[1]AB3!$AQ$16),IF(AND(D148="5 &amp; APS",D146="Options Buy"),CONCATENATE([1]AB3!$AP$22,INDEX([1]AB2!L:L,MATCH(D144,[1]AB2!B:B,0)),[1]AB3!$AQ$22),[1]AB3!$AR$6))))</f>
        <v>0</v>
      </c>
      <c r="BA148" s="58"/>
      <c r="BB148" s="52">
        <f t="shared" si="278"/>
        <v>0</v>
      </c>
      <c r="BC148" s="53"/>
      <c r="BD148" s="54" t="str">
        <f>IF(D146="Futures",[1]AB3!$BE$10,IF(D146="Options Sell",[1]AB3!$BE$16,IF(D146="Options Buy",[1]AB3!$BE$22)))</f>
        <v>Market End Time</v>
      </c>
      <c r="BE148" s="67">
        <f t="array" ref="BE148">IF(D144="","",INDEX([1]AB2!AH:AH,MATCH(D144,[1]AB2!B:B,0)))</f>
        <v>0.64583333333333337</v>
      </c>
      <c r="BF148" s="11"/>
      <c r="BG148" s="12"/>
      <c r="BH148" s="57"/>
      <c r="BI148" s="32"/>
      <c r="BJ148" s="61" t="str">
        <f>IF(D146="Futures",[1]AB3!$BK$10,IF(D146="Options Sell",[1]AB3!$BK$16,IF(D146="Options Buy",[1]AB3!$BK$22)))</f>
        <v>Put</v>
      </c>
      <c r="BK148" s="80">
        <v>7.4999999999999997E-2</v>
      </c>
      <c r="BL148" s="81">
        <v>7.0000000000000007E-2</v>
      </c>
      <c r="BM148" s="57"/>
      <c r="BN148" s="32"/>
      <c r="BO148" s="61" t="str">
        <f>IF(D146="Futures",[1]AB3!$BP$10,IF(D146="Options Sell",[1]AB3!$BP$16,IF(D146="Options Buy",[1]AB3!$BP$22)))</f>
        <v>Put</v>
      </c>
      <c r="BP148" s="43" t="str">
        <f t="array" ref="BP148">IF(A144="","",IF(D146="Futures","",IF(D146="EQUITY","",IF(D146="Options Sell",CONCATENATE([1]AB3!$BQ$16,INDEX([1]AB2!J:J,MATCH(A144,[1]AB2!A:A,0)),[1]AB3!$BR$16),IF(D146="Options Buy",CONCATENATE([1]AB3!$BQ$22,INDEX([1]AB2!J:J,MATCH(A144,[1]AB2!A:A,0)),[1]AB3!$BR$22))))))</f>
        <v>SPT : PRV : 3DHH</v>
      </c>
      <c r="BQ148" s="83" t="s">
        <v>55</v>
      </c>
      <c r="BR148" s="58">
        <v>0.05</v>
      </c>
      <c r="BS148" s="76" t="s">
        <v>56</v>
      </c>
      <c r="BT148" s="84" t="str">
        <f t="shared" si="279"/>
        <v>SPT : PRV : 3DHH</v>
      </c>
      <c r="BU148" s="85"/>
      <c r="BV148" s="58"/>
      <c r="BW148" s="76" t="s">
        <v>56</v>
      </c>
      <c r="BX148" s="82" t="s">
        <v>53</v>
      </c>
      <c r="BY148" s="76">
        <v>1</v>
      </c>
      <c r="BZ148" s="58"/>
      <c r="CA148" s="58"/>
      <c r="CB148" s="58"/>
      <c r="CC148" s="58"/>
      <c r="CD148" s="58"/>
      <c r="CE148" s="43" t="str">
        <f t="shared" si="280"/>
        <v>SPT : PRV : 3DHH</v>
      </c>
      <c r="CF148" s="58">
        <v>1.6E-2</v>
      </c>
      <c r="CG148" s="43" t="str">
        <f t="shared" si="281"/>
        <v>SPT : PRV : 3DHH</v>
      </c>
      <c r="CH148" s="58">
        <v>1.2E-2</v>
      </c>
      <c r="CI148" s="75">
        <v>500</v>
      </c>
      <c r="CJ148" s="75">
        <v>1</v>
      </c>
      <c r="CK148" s="59"/>
      <c r="CL148" s="43"/>
      <c r="CM148" s="43"/>
      <c r="CN148" s="59"/>
      <c r="CO148" s="43"/>
      <c r="CP148" s="43"/>
      <c r="CQ148" s="59"/>
      <c r="CR148" s="58">
        <v>0.05</v>
      </c>
      <c r="CS148" s="58"/>
      <c r="CT148" s="59"/>
      <c r="CU148" s="43"/>
      <c r="CV148" s="59"/>
      <c r="CW148" s="59"/>
    </row>
    <row r="149" spans="1:101" ht="15.75" customHeight="1" x14ac:dyDescent="0.2">
      <c r="A149" s="1"/>
      <c r="B149" s="2"/>
      <c r="C149" s="2"/>
      <c r="D149" s="2"/>
      <c r="E149" s="2"/>
      <c r="F149" s="2"/>
      <c r="G149" s="2"/>
      <c r="H149" s="2"/>
      <c r="I149" s="2"/>
      <c r="J149" s="3"/>
      <c r="K149" s="2"/>
      <c r="L149" s="2"/>
      <c r="M149" s="2"/>
      <c r="N149" s="2"/>
      <c r="O149" s="2"/>
      <c r="P149" s="2"/>
      <c r="Q149" s="69"/>
      <c r="R149" s="69"/>
      <c r="S149" s="70"/>
      <c r="T149" s="70"/>
      <c r="U149" s="2"/>
      <c r="V149" s="2"/>
      <c r="W149" s="2"/>
      <c r="X149" s="2"/>
      <c r="Y149" s="2"/>
      <c r="Z149" s="2"/>
      <c r="AA149" s="20"/>
      <c r="AB149" s="71"/>
      <c r="AC149" s="71"/>
      <c r="AD149" s="2"/>
      <c r="AE149" s="70"/>
      <c r="AF149" s="70"/>
      <c r="AG149" s="70"/>
      <c r="AH149" s="70"/>
      <c r="AI149" s="2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  <c r="AX149" s="70"/>
      <c r="AY149" s="70"/>
      <c r="AZ149" s="70"/>
      <c r="BA149" s="70"/>
      <c r="BB149" s="70"/>
      <c r="BC149" s="70"/>
      <c r="BD149" s="70"/>
      <c r="BE149" s="70"/>
      <c r="BF149" s="70"/>
      <c r="BG149" s="70"/>
      <c r="BH149" s="70"/>
      <c r="BI149" s="70"/>
      <c r="BJ149" s="70"/>
      <c r="BK149" s="70"/>
      <c r="BL149" s="70"/>
      <c r="BM149" s="70"/>
      <c r="BN149" s="70"/>
      <c r="BO149" s="70"/>
      <c r="BP149" s="70"/>
      <c r="BQ149" s="70"/>
      <c r="BR149" s="70"/>
      <c r="BS149" s="70"/>
      <c r="BT149" s="70"/>
      <c r="BU149" s="70"/>
      <c r="BV149" s="70"/>
      <c r="BW149" s="70"/>
      <c r="BX149" s="70"/>
      <c r="BY149" s="70"/>
      <c r="BZ149" s="70"/>
      <c r="CA149" s="70"/>
      <c r="CB149" s="70"/>
      <c r="CC149" s="70"/>
      <c r="CD149" s="70"/>
      <c r="CE149" s="70"/>
      <c r="CF149" s="70"/>
      <c r="CG149" s="70"/>
      <c r="CH149" s="70"/>
      <c r="CI149" s="70"/>
      <c r="CJ149" s="70"/>
      <c r="CK149" s="70"/>
      <c r="CL149" s="2"/>
      <c r="CM149" s="2"/>
      <c r="CN149" s="70"/>
      <c r="CO149" s="70"/>
      <c r="CP149" s="70"/>
      <c r="CQ149" s="70"/>
      <c r="CR149" s="70"/>
      <c r="CS149" s="70"/>
      <c r="CT149" s="70"/>
      <c r="CU149" s="70"/>
      <c r="CV149" s="70"/>
      <c r="CW149" s="70"/>
    </row>
    <row r="150" spans="1:101" ht="27" customHeight="1" x14ac:dyDescent="0.2">
      <c r="A150" s="40">
        <v>25</v>
      </c>
      <c r="B150" s="41" t="str">
        <f>CONCATENATE(D150,IF(D152="Futures",[1]AB3!$B$6,IF(D152="Options Sell",[1]AB3!$B$12,IF(D152="Options Buy",[1]AB3!$B$18))))</f>
        <v>S25A</v>
      </c>
      <c r="C150" s="42" t="str">
        <f>IF(D152="Futures",[1]AB3!$C$6,IF(D152="Options Sell",[1]AB3!$C$12,IF(D152="Options Buy",[1]AB3!$C$18)))</f>
        <v>Strategy Code</v>
      </c>
      <c r="D150" s="43" t="str">
        <f t="array" ref="D150">IF(A150="","",INDEX([1]AB2!B:B,MATCH(A150,[1]AB2!A:A,0)))</f>
        <v>S25</v>
      </c>
      <c r="E150" s="44" t="str">
        <f>IF(D152="Futures",[1]AB3!$E$6,IF(D152="Options Sell",[1]AB3!$E$12,IF(D152="Options Buy",[1]AB3!$E$18)))</f>
        <v>Bull / 
Bull CF</v>
      </c>
      <c r="F150" s="45" t="str">
        <f>IF(D152="Futures",[1]AB3!$F$6,IF(D152="Options Sell",[1]AB3!$F$12,IF(D152="Options Buy",[1]AB3!$F$18)))</f>
        <v>Call</v>
      </c>
      <c r="G150" s="37" t="str">
        <f t="array" ref="G150">IF(A150="","",IF(D152="Futures",CONCATENATE([1]AB3!$G$6,INDEX([1]AB2!I:I,MATCH(D150,[1]AB2!B:B,0)),[1]AB3!$H$6),IF(D152="Options Sell",CONCATENATE([1]AB3!$G$12,INDEX([1]AB2!J:J,MATCH(D150,[1]AB2!B:B,0)),[1]AB3!$H$12),IF(D152="Options Buy",CONCATENATE([1]AB3!$G$18,INDEX([1]AB2!I:I,MATCH(D150,[1]AB2!B:B,0)),[1]AB3!$H$18)))))</f>
        <v>OPT : PRV : 1D 75 Mins HH</v>
      </c>
      <c r="H150" s="43" t="str">
        <f>IF(D152="Futures",[1]AB3!$I$6,IF(D152="Options Sell",[1]AB3!$I$12,IF(D152="Options Buy",[1]AB3!$I$18)))</f>
        <v xml:space="preserve"> + </v>
      </c>
      <c r="I150" s="46">
        <v>0.1</v>
      </c>
      <c r="J150" s="47">
        <v>2</v>
      </c>
      <c r="K150" s="48"/>
      <c r="L150" s="43" t="str">
        <f>IF(D152="Futures",[1]AB3!$M$6,IF(D152="Options Sell",[1]AB3!$M$12,IF(D152="Options Buy",[1]AB3!$M$18)))</f>
        <v xml:space="preserve">CE : Entry </v>
      </c>
      <c r="M150" s="43" t="str">
        <f>IF(D152="Futures",[1]AB3!$N$6,IF(D152="Options Sell",[1]AB3!$N$12,IF(D152="Options Buy",[1]AB3!$N$18)))</f>
        <v xml:space="preserve"> + </v>
      </c>
      <c r="N150" s="58">
        <v>0.7</v>
      </c>
      <c r="O150" s="75">
        <v>1</v>
      </c>
      <c r="P150" s="50"/>
      <c r="Q150" s="75"/>
      <c r="R150" s="58"/>
      <c r="S150" s="75"/>
      <c r="T150" s="58"/>
      <c r="U150" s="75"/>
      <c r="V150" s="76"/>
      <c r="W150" s="75"/>
      <c r="X150" s="76"/>
      <c r="Y150" s="76"/>
      <c r="Z150" s="48"/>
      <c r="AA150" s="43" t="str">
        <f>IF(D152="Futures",[1]AB3!$AD$6,IF(D152="Options Sell",[1]AB3!$AD$12,IF(D152="Options Buy",[1]AB3!$AD$18)))</f>
        <v>Max</v>
      </c>
      <c r="AB150" s="43" t="str">
        <f>IF(D152="Futures",[1]AB3!$AE$6,IF(D152="Options Sell",[1]AB3!$AE$12,IF(D152="Options Buy",[1]AB3!$AE$18)))</f>
        <v>MSL &amp; TSL</v>
      </c>
      <c r="AC150" s="43" t="str">
        <f>IF(D152="Futures",[1]AB3!$AF$6,IF(D152="Options Sell",[1]AB3!$AF$12,IF(D152="Options Buy",[1]AB3!$AF$18)))</f>
        <v>Entry &amp; TRP</v>
      </c>
      <c r="AD150" s="48"/>
      <c r="AE150" s="43" t="str">
        <f>IF(D152="Futures",[1]AB3!$AH$6,IF(D152="Options Sell",[1]AB3!$AH$12,IF(D152="Options Buy",[1]AB3!$AH$18)))</f>
        <v xml:space="preserve">CE : Entry </v>
      </c>
      <c r="AF150" s="43" t="str">
        <f>IF(D152="Futures",[1]AB3!$AI$6,IF(D152="Options Sell",[1]AB3!$AI$12,IF(D152="Options Buy",[1]AB3!$AI$18)))</f>
        <v xml:space="preserve"> - </v>
      </c>
      <c r="AG150" s="58">
        <v>0.7</v>
      </c>
      <c r="AH150" s="58"/>
      <c r="AI150" s="48"/>
      <c r="AJ150" s="43" t="str">
        <f>IF(D152="Futures",[1]AB3!$AO$6,IF(D152="Options Sell",[1]AB3!$AO$12,IF(D152="Options Buy",[1]AB3!$AO$18)))</f>
        <v xml:space="preserve"> - </v>
      </c>
      <c r="AK150" s="43" t="str">
        <f t="array" ref="AK150">IF(A150="","",IF(D152="Futures",CONCATENATE([1]AB3!$AP$6,INDEX([1]AB2!L:L,MATCH(D150,[1]AB2!B:B,0)),[1]AB3!$AQ$6),IF(D152="Options Sell",CONCATENATE([1]AB3!$AP$12,INDEX([1]AB2!M:M,MATCH(D150,[1]AB2!B:B,0)),[1]AB3!$AQ$12),IF(D152="Options Buy",CONCATENATE([1]AB3!$AP$18,INDEX([1]AB2!L:L,MATCH(D150,[1]AB2!B:B,0)),[1]AB3!$AQ$18)))))</f>
        <v>OPT : PRV : 1D 75 MinsLL</v>
      </c>
      <c r="AL150" s="58">
        <v>0.1</v>
      </c>
      <c r="AM150" s="52">
        <f>J151</f>
        <v>2</v>
      </c>
      <c r="AN150" s="43" t="str">
        <f t="array" ref="AN150">IF(A150="","",IF(AND(OR(D154="1 &amp; APS",D154="2 &amp; APS",D154="3 &amp; APS",D154="4 &amp; APS",D154="5 &amp; APS"),D152="Futures"),CONCATENATE([1]AB3!$AP$6,INDEX([1]AB2!L:L,MATCH(D150,[1]AB2!B:B,0)),[1]AB3!$AQ$6),IF(AND(OR(D154="1 &amp; APS",D154="2 &amp; APS",D154="3 &amp; APS",D154="4 &amp; APS",D154="5 &amp; APS"),D152="Options Sell"),CONCATENATE([1]AB3!$AP$12,INDEX([1]AB2!M:M,MATCH(D150,[1]AB2!B:B,0)),[1]AB3!$AQ$12),IF(AND(OR(D154="1 &amp; APS",D154="2 &amp; APS",D154="3 &amp; APS",D154="4 &amp; APS",D154="5 &amp; APS"),D152="Options Buy"),CONCATENATE([1]AB3!$AP$18,INDEX([1]AB2!L:L,MATCH(D150,[1]AB2!B:B,0)),[1]AB3!$AQ$18),[1]AB3!$AR$6))))</f>
        <v>OPT : PRV : 1D 75 MinsLL</v>
      </c>
      <c r="AO150" s="58"/>
      <c r="AP150" s="52">
        <f t="shared" ref="AP150:AP151" si="282">AM150-O150</f>
        <v>1</v>
      </c>
      <c r="AQ150" s="51">
        <f t="array" ref="AQ150">IF(A150="","",IF(AND(OR(D154="2 &amp; APS",D154="3 &amp; APS",D154="4 &amp; APS",D154="5 &amp; APS"),D152="Futures"),CONCATENATE([1]AB3!$AP$6,INDEX([1]AB2!L:L,MATCH(D150,[1]AB2!B:B,0)),[1]AB3!$AQ$6),IF(AND(OR(D154="2 &amp; APS",D154="3 &amp; APS",D154="4 &amp; APS",D154="5 &amp; APS"),D152="Options Sell"),CONCATENATE([1]AB3!$AP$12,INDEX([1]AB2!M:M,MATCH(D150,[1]AB2!B:B,0)),[1]AB3!$AQ$12),IF(AND(OR(D154="2 &amp; APS",D154="3 &amp; APS",D154="4 &amp; APS",D154="5 &amp; APS"),D152="Options Buy"),CONCATENATE([1]AB3!$AP$18,INDEX([1]AB2!L:L,MATCH(D150,[1]AB2!B:B,0)),[1]AB3!$AQ$18),[1]AB3!$AR$6))))</f>
        <v>0</v>
      </c>
      <c r="AR150" s="58"/>
      <c r="AS150" s="52">
        <f t="shared" ref="AS150:AS151" si="283">AP150-Q150</f>
        <v>1</v>
      </c>
      <c r="AT150" s="51">
        <f t="array" ref="AT150">IF(A150="","",IF(AND(OR(D154="3 &amp; APS",D154="4 &amp; APS",D154="5 &amp; APS"),D152="Futures"),CONCATENATE([1]AB3!$AP$6,INDEX([1]AB2!L:L,MATCH(D150,[1]AB2!B:B,0)),[1]AB3!$AQ$6),IF(AND(OR(D154="3 &amp; APS",D154="4 &amp; APS",D154="5 &amp; APS"),D152="Options Sell"),CONCATENATE([1]AB3!$AP$12,INDEX([1]AB2!M:M,MATCH(D150,[1]AB2!B:B,0)),[1]AB3!$AQ$12),IF(AND(OR(D154="3 &amp; APS",D154="4 &amp; APS",D154="5 &amp; APS"),D152="Options Buy"),CONCATENATE([1]AB3!$AP$18,INDEX([1]AB2!L:L,MATCH(D150,[1]AB2!B:B,0)),[1]AB3!$AQ$18),[1]AB3!$AR$6))))</f>
        <v>0</v>
      </c>
      <c r="AU150" s="58"/>
      <c r="AV150" s="52">
        <f t="shared" ref="AV150:AV151" si="284">AS150-S150</f>
        <v>1</v>
      </c>
      <c r="AW150" s="51">
        <f t="array" ref="AW150">IF(A150="","",IF(AND(OR(D154="4 &amp; APS",D154="5 &amp; APS"),D152="Futures"),CONCATENATE([1]AB3!$AP$6,INDEX([1]AB2!L:L,MATCH(D150,[1]AB2!B:B,0)),[1]AB3!$AQ$6),IF(AND(OR(D154="4 &amp; APS",D154="5 &amp; APS"),D152="Options Sell"),CONCATENATE([1]AB3!$AP$12,INDEX([1]AB2!M:M,MATCH(D150,[1]AB2!B:B,0)),[1]AB3!$AQ$12),IF(AND(OR(D154="4 &amp; APS",D154="5 &amp; APS"),D152="Options Buy"),CONCATENATE([1]AB3!$AP$18,INDEX([1]AB2!L:L,MATCH(D150,[1]AB2!B:B,0)),[1]AB3!$AQ$18),[1]AB3!$AR$6))))</f>
        <v>0</v>
      </c>
      <c r="AX150" s="58"/>
      <c r="AY150" s="52">
        <f t="shared" ref="AY150:AY151" si="285">AV150-S150</f>
        <v>1</v>
      </c>
      <c r="AZ150" s="51">
        <f t="array" ref="AZ150">IF(A150="","",IF(AND(D154="5 &amp; APS",D152="Futures"),CONCATENATE([1]AB3!$AP$6,INDEX([1]AB2!L:L,MATCH(D150,[1]AB2!B:B,0)),[1]AB3!$AQ$6),IF(AND(D154="5 &amp; APS",D152="Options Sell"),CONCATENATE([1]AB3!$AP$12,INDEX([1]AB2!M:M,MATCH(D150,[1]AB2!B:B,0)),[1]AB3!$AQ$12),IF(AND(D154="5 &amp; APS",D152="Options Buy"),CONCATENATE([1]AB3!$AP$18,INDEX([1]AB2!L:L,MATCH(D150,[1]AB2!B:B,0)),[1]AB3!$AQ$18),[1]AB3!$AR$6))))</f>
        <v>0</v>
      </c>
      <c r="BA150" s="58"/>
      <c r="BB150" s="52">
        <f t="shared" ref="BB150:BB151" si="286">AY150-W150</f>
        <v>1</v>
      </c>
      <c r="BC150" s="53"/>
      <c r="BD150" s="54" t="str">
        <f>IF(D152="Futures",[1]AB3!$BE$6,IF(D152="Options Sell",[1]AB3!$BE$12,IF(D152="Options Buy",[1]AB3!$BE$18)))</f>
        <v xml:space="preserve">ORPT </v>
      </c>
      <c r="BE150" s="55">
        <f>IF(D152="Futures",BE153+([1]AB3!$BF$6/1440),IF(D152="Options Sell",BE153+([1]AB3!$BF$12/1440),IF(D152="Options Buy",BE153+([1]AB3!$BF$18/1440))))</f>
        <v>0.39235416666666667</v>
      </c>
      <c r="BF150" s="55">
        <f>IF(D152="Futures",BE153+([1]AB3!$BG$6/1440),IF(D152="Options Sell",BE153+([1]AB3!$BG$12/1440),IF(D152="Options Buy",BE153+([1]AB3!$BG$18/1440))))</f>
        <v>0.39235416666666667</v>
      </c>
      <c r="BG150" s="55">
        <f>IF(D152="Futures",BE153+([1]AB3!$BH$6/1440),IF(D152="Options Sell",BE153+([1]AB3!$BH$12/1440),IF(D152="Options Buy",BE153+([1]AB3!$BH$18/1440))))</f>
        <v>0.38541666666666669</v>
      </c>
      <c r="BH150" s="57"/>
      <c r="BI150" s="44" t="str">
        <f>IF(D152="Futures",[1]AB3!$BJ$6,IF(D152="Options Sell",[1]AB3!$BJ$12,IF(D152="Options Buy",[1]AB3!$BJ$18)))</f>
        <v>Bull / 
Bull CF</v>
      </c>
      <c r="BJ150" s="45" t="str">
        <f>IF(D152="Futures",[1]AB3!$BK$6,IF(D152="Options Sell",[1]AB3!$BK$12,IF(D152="Options Buy",[1]AB3!$BK$18)))</f>
        <v>Call</v>
      </c>
      <c r="BK150" s="58">
        <v>0.1</v>
      </c>
      <c r="BL150" s="58">
        <v>0.1</v>
      </c>
      <c r="BM150" s="57"/>
      <c r="BN150" s="44" t="str">
        <f>IF(D152="Futures",[1]AB3!$BO$6,IF(D152="Options Sell",[1]AB3!$BO$12,IF(D152="Options Buy",[1]AB3!$BO$18)))</f>
        <v>Bull | 
Bull CF</v>
      </c>
      <c r="BO150" s="45" t="str">
        <f>IF(D152="Futures",[1]AB3!$BP$6,IF(D152="Options Sell",[1]AB3!$BP$12,IF(D152="Options Buy",[1]AB3!$BP$18)))</f>
        <v>Call</v>
      </c>
      <c r="BP150" s="43" t="str">
        <f t="array" ref="BP150">IF(A150="","",IF(D152="Futures","",IF(D152="EQUITY","",IF(D152="Options Sell",CONCATENATE([1]AB3!$BQ$12,INDEX([1]AB2!J:J,MATCH(A150,[1]AB2!A:A,0)),[1]AB3!$BR$12),IF(D152="Options Buy",CONCATENATE([1]AB3!$BQ$18,INDEX([1]AB2!J:J,MATCH(A150,[1]AB2!A:A,0))," ",[1]AB3!$BR$18))))))</f>
        <v>SPT : PRV : 1D 75 Mins HH</v>
      </c>
      <c r="BQ150" s="76" t="s">
        <v>53</v>
      </c>
      <c r="BR150" s="58">
        <v>0.05</v>
      </c>
      <c r="BS150" s="76" t="s">
        <v>54</v>
      </c>
      <c r="BT150" s="37" t="str">
        <f t="shared" ref="BT150:BT151" si="287">BP150</f>
        <v>SPT : PRV : 1D 75 Mins HH</v>
      </c>
      <c r="BU150" s="76"/>
      <c r="BV150" s="58"/>
      <c r="BW150" s="76" t="s">
        <v>54</v>
      </c>
      <c r="BX150" s="82" t="s">
        <v>55</v>
      </c>
      <c r="BY150" s="76">
        <v>1</v>
      </c>
      <c r="BZ150" s="58"/>
      <c r="CA150" s="58"/>
      <c r="CB150" s="58"/>
      <c r="CC150" s="58"/>
      <c r="CD150" s="58"/>
      <c r="CE150" s="43" t="str">
        <f t="shared" ref="CE150:CE151" si="288">BP150</f>
        <v>SPT : PRV : 1D 75 Mins HH</v>
      </c>
      <c r="CF150" s="58"/>
      <c r="CG150" s="43" t="str">
        <f t="shared" ref="CG150:CG151" si="289">CE150</f>
        <v>SPT : PRV : 1D 75 Mins HH</v>
      </c>
      <c r="CH150" s="58"/>
      <c r="CI150" s="75">
        <v>1000</v>
      </c>
      <c r="CJ150" s="75"/>
      <c r="CK150" s="59"/>
      <c r="CL150" s="43"/>
      <c r="CM150" s="43"/>
      <c r="CN150" s="59"/>
      <c r="CO150" s="43"/>
      <c r="CP150" s="43"/>
      <c r="CQ150" s="59"/>
      <c r="CR150" s="58"/>
      <c r="CS150" s="58"/>
      <c r="CT150" s="59"/>
      <c r="CU150" s="55">
        <f>IF(D152="Futures",BE154-([1]AB3!$CG$6/1440),IF(D152="Options Sell",BE154-([1]AB3!$CG$12/1440),IF(D152="Options Buy",BE154-([1]AB3!$CG$18/1440),IF(D152="EQUITY",""))))</f>
        <v>0.625</v>
      </c>
      <c r="CV150" s="59"/>
      <c r="CW150" s="59"/>
    </row>
    <row r="151" spans="1:101" ht="24" customHeight="1" x14ac:dyDescent="0.2">
      <c r="A151" s="60"/>
      <c r="B151" s="41" t="str">
        <f>CONCATENATE(D150,IF(D152="Futures",[1]AB3!$B$7,IF(D152="Options Sell",[1]AB3!$B$13,IF(D152="Options Buy",[1]AB3!$B$19))))</f>
        <v>S25B</v>
      </c>
      <c r="C151" s="42" t="str">
        <f>IF(D152="Futures",[1]AB3!$C$7,IF(D152="Options Sell",[1]AB3!$C$13,IF(D152="Options Buy",[1]AB3!$C$19)))</f>
        <v>Unique Code</v>
      </c>
      <c r="D151" s="43" t="str">
        <f t="array" ref="D151">IF(A150="","",INDEX([1]AB2!N:N,MATCH(D150,[1]AB2!B:B,0)))</f>
        <v>BANKNIFTY_OP_BUY_WK_SAME_1D 75 Mins_1D 75 Mins</v>
      </c>
      <c r="E151" s="32"/>
      <c r="F151" s="61" t="str">
        <f>IF(D152="Futures",[1]AB3!$F$7,IF(D152="Options Sell",[1]AB3!$F$13,IF(D152="Options Buy",[1]AB3!$F$19)))</f>
        <v>Put</v>
      </c>
      <c r="G151" s="84" t="str">
        <f t="array" ref="G151">IF(A150="","",IF(D152="Futures",CONCATENATE([1]AB3!$G$7,INDEX([1]AB2!J:J,MATCH(D150,[1]AB2!B:B,0)),[1]AB3!$H$7),IF(D152="Options Sell",CONCATENATE([1]AB3!$G$13,INDEX([1]AB2!I:I,MATCH(D150,[1]AB2!B:B,0)),[1]AB3!$H$13),IF(D152="Options Buy",CONCATENATE([1]AB3!$G$19,INDEX([1]AB2!J:J,MATCH(D150,[1]AB2!B:B,0)),[1]AB3!$H$19)))))</f>
        <v>OPT : PRV : 1D 75 Mins HH</v>
      </c>
      <c r="H151" s="43" t="str">
        <f>IF(D152="Futures",[1]AB3!$I$7,IF(D152="Options Sell",[1]AB3!$I$13,IF(D152="Options Buy",[1]AB3!$I$19)))</f>
        <v xml:space="preserve"> + </v>
      </c>
      <c r="I151" s="46">
        <v>0.1</v>
      </c>
      <c r="J151" s="47">
        <v>2</v>
      </c>
      <c r="K151" s="48"/>
      <c r="L151" s="43" t="str">
        <f>IF(D152="Futures",[1]AB3!$M$7,IF(D152="Options Sell",[1]AB3!$M$13,IF(D152="Options Buy",[1]AB3!$M$19)))</f>
        <v xml:space="preserve">PE : Entry </v>
      </c>
      <c r="M151" s="43" t="str">
        <f>IF(D152="Futures",[1]AB3!$N$7,IF(D152="Options Sell",[1]AB3!$N$13,IF(D152="Options Buy",[1]AB3!$N$19)))</f>
        <v xml:space="preserve"> + </v>
      </c>
      <c r="N151" s="58">
        <v>0.7</v>
      </c>
      <c r="O151" s="75">
        <v>1</v>
      </c>
      <c r="P151" s="50"/>
      <c r="Q151" s="75"/>
      <c r="R151" s="58"/>
      <c r="S151" s="75"/>
      <c r="T151" s="58"/>
      <c r="U151" s="75"/>
      <c r="V151" s="76"/>
      <c r="W151" s="75"/>
      <c r="X151" s="76"/>
      <c r="Y151" s="76"/>
      <c r="Z151" s="48"/>
      <c r="AA151" s="43" t="str">
        <f>IF(D152="Futures",[1]AB3!$AD$7,IF(D152="Options Sell",[1]AB3!$AD$13,IF(D152="Options Buy",[1]AB3!$AD$19)))</f>
        <v>Max</v>
      </c>
      <c r="AB151" s="43" t="str">
        <f>IF(D152="Futures",[1]AB3!$AE$7,IF(D152="Options Sell",[1]AB3!$AE$13,IF(D152="Options Buy",[1]AB3!$AE$19)))</f>
        <v>MSL &amp; TSL</v>
      </c>
      <c r="AC151" s="43" t="str">
        <f>IF(D152="Futures",[1]AB3!$AF$7,IF(D152="Options Sell",[1]AB3!$AF$13,IF(D152="Options Buy",[1]AB3!$AF$19)))</f>
        <v>Entry &amp; TRP</v>
      </c>
      <c r="AD151" s="48"/>
      <c r="AE151" s="43" t="str">
        <f>IF(D152="Futures",[1]AB3!$AH$7,IF(D152="Options Sell",[1]AB3!$AH$13,IF(D152="Options Buy",[1]AB3!$AH$19)))</f>
        <v xml:space="preserve">PE : Entry </v>
      </c>
      <c r="AF151" s="43" t="str">
        <f>IF(D152="Futures",[1]AB3!$AI$7,IF(D152="Options Sell",[1]AB3!$AI$13,IF(D152="Options Buy",[1]AB3!$AI$19)))</f>
        <v xml:space="preserve"> - </v>
      </c>
      <c r="AG151" s="58">
        <v>0.7</v>
      </c>
      <c r="AH151" s="58"/>
      <c r="AI151" s="48"/>
      <c r="AJ151" s="43" t="str">
        <f>IF(D152="Futures",[1]AB3!$AO$7,IF(D152="Options Sell",[1]AB3!$AO$13,IF(D152="Options Buy",[1]AB3!$AO$19)))</f>
        <v xml:space="preserve"> - </v>
      </c>
      <c r="AK151" s="43" t="str">
        <f t="array" ref="AK151">IF(A150="","",IF(D152="Futures",CONCATENATE([1]AB3!$AP$7,INDEX([1]AB2!M:M,MATCH(D150,[1]AB2!B:B,0)),[1]AB3!$AQ$7),IF(D152="Options Sell",CONCATENATE([1]AB3!$AP$13,INDEX([1]AB2!L:L,MATCH(D150,[1]AB2!B:B,0)),[1]AB3!$AQ$13),IF(D152="Options Buy",CONCATENATE([1]AB3!$AP$19,INDEX([1]AB2!M:M,MATCH(D150,[1]AB2!B:B,0)),[1]AB3!$AQ$19)))))</f>
        <v>OPT : PRV : 1D 75 MinsLL</v>
      </c>
      <c r="AL151" s="58">
        <v>0.1</v>
      </c>
      <c r="AM151" s="52">
        <f>J150</f>
        <v>2</v>
      </c>
      <c r="AN151" s="43" t="str">
        <f t="array" ref="AN151">IF(A150="","",IF(AND(OR(D154="1 &amp; APS",D154="2 &amp; APS",D154="3 &amp; APS",D154="4 &amp; APS",D154="5 &amp; APS"),D152="Futures"),CONCATENATE([1]AB3!$AP$7,INDEX([1]AB2!M:M,MATCH(D150,[1]AB2!B:B,0)),[1]AB3!$AQ$7),IF(AND(OR(D154="1 &amp; APS",D154="2 &amp; APS",D154="3 &amp; APS",D154="4 &amp; APS",D154="5 &amp; APS"),D152="Options Sell"),CONCATENATE([1]AB3!$AP$13,INDEX([1]AB2!L:L,MATCH(D150,[1]AB2!B:B,0)),[1]AB3!$AQ$13),IF(AND(OR(D154="1 &amp; APS",D154="2 &amp; APS",D154="3 &amp; APS",D154="4 &amp; APS",D154="5 &amp; APS"),D152="Options Buy"),CONCATENATE([1]AB3!$AP$19,INDEX([1]AB2!M:M,MATCH(D150,[1]AB2!B:B,0)),[1]AB3!$AQ$19),[1]AB3!$AR$6))))</f>
        <v>OPT : PRV : 1D 75 MinsLL</v>
      </c>
      <c r="AO151" s="58"/>
      <c r="AP151" s="52">
        <f t="shared" si="282"/>
        <v>1</v>
      </c>
      <c r="AQ151" s="51">
        <f t="array" ref="AQ151">IF(A150="","",IF(AND(OR(D154="2 &amp; APS",D154="3 &amp; APS",D154="4 &amp; APS",D154="5 &amp; APS"),D152="Futures"),CONCATENATE([1]AB3!$AP$7,INDEX([1]AB2!M:M,MATCH(D150,[1]AB2!B:B,0)),[1]AB3!$AQ$7),IF(AND(OR(D154="2 &amp; APS",D154="3 &amp; APS",D154="4 &amp; APS",D154="5 &amp; APS"),D152="Options Sell"),CONCATENATE([1]AB3!$AP$13,INDEX([1]AB2!L:L,MATCH(D150,[1]AB2!B:B,0)),[1]AB3!$AQ$13),IF(AND(OR(D154="2 &amp; APS",D154="3 &amp; APS",D154="4 &amp; APS",D154="5 &amp; APS"),D152="Options Buy"),CONCATENATE([1]AB3!$AP$19,INDEX([1]AB2!M:M,MATCH(D150,[1]AB2!B:B,0)),[1]AB3!$AQ$19),[1]AB3!$AR$6))))</f>
        <v>0</v>
      </c>
      <c r="AR151" s="58"/>
      <c r="AS151" s="52">
        <f t="shared" si="283"/>
        <v>1</v>
      </c>
      <c r="AT151" s="51">
        <f t="array" ref="AT151">IF(A150="","",IF(AND(OR(D154="3 &amp; APS",D154="4 &amp; APS",D154="5 &amp; APS"),D152="Futures"),CONCATENATE([1]AB3!$AP$7,INDEX([1]AB2!M:M,MATCH(D150,[1]AB2!B:B,0)),[1]AB3!$AQ$7),IF(AND(OR(D154="3 &amp; APS",D154="4 &amp; APS",D154="5 &amp; APS"),D152="Options Sell"),CONCATENATE([1]AB3!$AP$13,INDEX([1]AB2!L:L,MATCH(D150,[1]AB2!B:B,0)),[1]AB3!$AQ$13),IF(AND(OR(D154="3 &amp; APS",D154="4 &amp; APS",D154="5 &amp; APS"),D152="Options Buy"),CONCATENATE([1]AB3!$AP$19,INDEX([1]AB2!M:M,MATCH(D150,[1]AB2!B:B,0)),[1]AB3!$AQ$19),[1]AB3!$AR$6))))</f>
        <v>0</v>
      </c>
      <c r="AU151" s="58"/>
      <c r="AV151" s="52">
        <f t="shared" si="284"/>
        <v>1</v>
      </c>
      <c r="AW151" s="51">
        <f t="array" ref="AW151">IF(A150="","",IF(AND(OR(D154="4 &amp; APS",D154="5 &amp; APS"),D152="Futures"),CONCATENATE([1]AB3!$AP$7,INDEX([1]AB2!M:M,MATCH(D150,[1]AB2!B:B,0)),[1]AB3!$AQ$7),IF(AND(OR(D154="4 &amp; APS",D154="5 &amp; APS"),D152="Options Sell"),CONCATENATE([1]AB3!$AP$13,INDEX([1]AB2!L:L,MATCH(D150,[1]AB2!B:B,0)),[1]AB3!$AQ$13),IF(AND(OR(D154="4 &amp; APS",D154="5 &amp; APS"),D152="Options Buy"),CONCATENATE([1]AB3!$AP$19,INDEX([1]AB2!M:M,MATCH(D150,[1]AB2!B:B,0)),[1]AB3!$AQ$19),[1]AB3!$AR$6))))</f>
        <v>0</v>
      </c>
      <c r="AX151" s="58"/>
      <c r="AY151" s="52">
        <f t="shared" si="285"/>
        <v>1</v>
      </c>
      <c r="AZ151" s="51">
        <f t="array" ref="AZ151">IF(A150="","",IF(AND(D154="5 &amp; APS",D152="Futures"),CONCATENATE([1]AB3!$AP$7,INDEX([1]AB2!M:M,MATCH(D150,[1]AB2!B:B,0)),[1]AB3!$AQ$7),IF(AND(D154="5 &amp; APS",D152="Options Sell"),CONCATENATE([1]AB3!$AP$13,INDEX([1]AB2!L:L,MATCH(D150,[1]AB2!B:B,0)),[1]AB3!$AQ$13),IF(AND(D154="5 &amp; APS",D152="Options Buy"),CONCATENATE([1]AB3!$AP$19,INDEX([1]AB2!M:M,MATCH(D150,[1]AB2!B:B,0)),[1]AB3!$AQ$19),[1]AB3!$AR$6))))</f>
        <v>0</v>
      </c>
      <c r="BA151" s="58"/>
      <c r="BB151" s="52">
        <f t="shared" si="286"/>
        <v>1</v>
      </c>
      <c r="BC151" s="53"/>
      <c r="BD151" s="54" t="str">
        <f>IF(D152="Futures",[1]AB3!$BE$7,IF(D152="Options Sell",[1]AB3!$BE$13,IF(D152="Options Buy",[1]AB3!$BE$19)))</f>
        <v xml:space="preserve"> RC. Time</v>
      </c>
      <c r="BE151" s="55">
        <f>IF(D152="Futures",BE153+([1]AB3!$BF$7/1440),IF(D152="Options Sell",BE153+([1]AB3!$BF$13/1440),IF(D152="Options Buy",BE153+([1]AB3!$BF$19/1440))))</f>
        <v>0.39582638888888888</v>
      </c>
      <c r="BF151" s="55">
        <f>IF(D152="Futures",BE153+([1]AB3!$BG$7/1440),IF(D152="Options Sell",BE153+([1]AB3!$BG$13/1440),IF(D152="Options Buy",BE153+([1]AB3!$BG$19/1440))))</f>
        <v>0.39582638888888888</v>
      </c>
      <c r="BG151" s="55" t="str">
        <f>IF(D152="Futures",[1]AB3!$BH$7,IF(D152="Options Sell",[1]AB3!$BH$7,IF(D152="Options Buy",[1]AB3!$BH$7)))</f>
        <v>N.A.</v>
      </c>
      <c r="BH151" s="57"/>
      <c r="BI151" s="32"/>
      <c r="BJ151" s="61" t="str">
        <f>IF(D152="Futures",[1]AB3!$BK$7,IF(D152="Options Sell",[1]AB3!$BK$13,IF(D152="Options Buy",[1]AB3!$BK$19)))</f>
        <v>Put</v>
      </c>
      <c r="BK151" s="58">
        <v>0.1</v>
      </c>
      <c r="BL151" s="58">
        <v>0.1</v>
      </c>
      <c r="BM151" s="57"/>
      <c r="BN151" s="32"/>
      <c r="BO151" s="61" t="str">
        <f>IF(D152="Futures",[1]AB3!$BP$7,IF(D152="Options Sell",[1]AB3!$BP$13,IF(D152="Options Buy",[1]AB3!$BP$19)))</f>
        <v>Put</v>
      </c>
      <c r="BP151" s="43" t="str">
        <f t="array" ref="BP151">IF(A150="","",IF(D152="Futures","",IF(D152="EQUITY","",IF(D152="Options Sell",CONCATENATE([1]AB3!$BQ$13,INDEX([1]AB2!I:I,MATCH(A150,[1]AB2!A:A,0)),[1]AB3!$BR$13),IF(D152="Options Buy",CONCATENATE([1]AB3!$BQ$19,INDEX([1]AB2!I:I,MATCH(A150,[1]AB2!A:A,0))," ",[1]AB3!$BR$19))))))</f>
        <v>SPT : PRV : 1D 75 Mins LL</v>
      </c>
      <c r="BQ151" s="85" t="s">
        <v>55</v>
      </c>
      <c r="BR151" s="58">
        <v>0.05</v>
      </c>
      <c r="BS151" s="76" t="s">
        <v>56</v>
      </c>
      <c r="BT151" s="84" t="str">
        <f t="shared" si="287"/>
        <v>SPT : PRV : 1D 75 Mins LL</v>
      </c>
      <c r="BU151" s="85"/>
      <c r="BV151" s="58"/>
      <c r="BW151" s="76" t="s">
        <v>56</v>
      </c>
      <c r="BX151" s="76" t="s">
        <v>53</v>
      </c>
      <c r="BY151" s="76">
        <v>1</v>
      </c>
      <c r="BZ151" s="58"/>
      <c r="CA151" s="58"/>
      <c r="CB151" s="58"/>
      <c r="CC151" s="58"/>
      <c r="CD151" s="58"/>
      <c r="CE151" s="43" t="str">
        <f t="shared" si="288"/>
        <v>SPT : PRV : 1D 75 Mins LL</v>
      </c>
      <c r="CF151" s="58"/>
      <c r="CG151" s="43" t="str">
        <f t="shared" si="289"/>
        <v>SPT : PRV : 1D 75 Mins LL</v>
      </c>
      <c r="CH151" s="58"/>
      <c r="CI151" s="75">
        <v>1000</v>
      </c>
      <c r="CJ151" s="75"/>
      <c r="CK151" s="59"/>
      <c r="CL151" s="43"/>
      <c r="CM151" s="43"/>
      <c r="CN151" s="59"/>
      <c r="CO151" s="43"/>
      <c r="CP151" s="43"/>
      <c r="CQ151" s="59"/>
      <c r="CR151" s="58"/>
      <c r="CS151" s="58"/>
      <c r="CT151" s="59"/>
      <c r="CU151" s="43"/>
      <c r="CV151" s="59"/>
      <c r="CW151" s="59"/>
    </row>
    <row r="152" spans="1:101" ht="15.75" customHeight="1" x14ac:dyDescent="0.2">
      <c r="A152" s="60"/>
      <c r="B152" s="41" t="str">
        <f>CONCATENATE(D150,IF(D152="Futures",[1]AB3!$B$8,IF(D152="Options Sell",[1]AB3!$B$14,IF(D152="Options Buy",[1]AB3!$B$20))))</f>
        <v>S25C</v>
      </c>
      <c r="C152" s="42" t="str">
        <f>IF(D152="Futures",[1]AB3!$C$8,IF(D152="Options Sell",[1]AB3!$C$14,IF(D152="Options Buy",[1]AB3!$C$20)))</f>
        <v>Segment</v>
      </c>
      <c r="D152" s="43" t="str">
        <f t="array" ref="D152">IF(A150="","",INDEX([1]AB2!C:C,MATCH(D150,[1]AB2!B:B,0)))</f>
        <v>OPTIONS BUY</v>
      </c>
      <c r="E152" s="42" t="str">
        <f>IF(D152="Futures",[1]AB3!$E$8,IF(D152="Options Sell",[1]AB3!$E$14,IF(D152="Options Buy",[1]AB3!$E$20)))</f>
        <v>Contract</v>
      </c>
      <c r="F152" s="43" t="str">
        <f t="array" ref="F152">IF(A150="","",INDEX([1]AB2!F:F,MATCH(D150,[1]AB2!B:B,0)))</f>
        <v>WEEKLY</v>
      </c>
      <c r="G152" s="105"/>
      <c r="H152" s="62"/>
      <c r="I152" s="62"/>
      <c r="J152" s="89"/>
      <c r="K152" s="48"/>
      <c r="L152" s="62"/>
      <c r="M152" s="62"/>
      <c r="N152" s="62"/>
      <c r="O152" s="89"/>
      <c r="P152" s="62"/>
      <c r="Q152" s="89"/>
      <c r="R152" s="62"/>
      <c r="S152" s="89"/>
      <c r="T152" s="62"/>
      <c r="U152" s="89"/>
      <c r="V152" s="62"/>
      <c r="W152" s="89"/>
      <c r="X152" s="62"/>
      <c r="Y152" s="62"/>
      <c r="Z152" s="48"/>
      <c r="AA152" s="62"/>
      <c r="AB152" s="62"/>
      <c r="AC152" s="62"/>
      <c r="AD152" s="48"/>
      <c r="AE152" s="62"/>
      <c r="AF152" s="62"/>
      <c r="AG152" s="62"/>
      <c r="AH152" s="62"/>
      <c r="AI152" s="48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53"/>
      <c r="BD152" s="57"/>
      <c r="BE152" s="57"/>
      <c r="BF152" s="57"/>
      <c r="BG152" s="57"/>
      <c r="BH152" s="57"/>
      <c r="BI152" s="66"/>
      <c r="BJ152" s="62"/>
      <c r="BK152" s="62"/>
      <c r="BL152" s="62"/>
      <c r="BM152" s="57"/>
      <c r="BN152" s="66"/>
      <c r="BO152" s="62"/>
      <c r="BP152" s="62"/>
      <c r="BQ152" s="93"/>
      <c r="BR152" s="62"/>
      <c r="BS152" s="62"/>
      <c r="BT152" s="94"/>
      <c r="BU152" s="93"/>
      <c r="BV152" s="62"/>
      <c r="BW152" s="62"/>
      <c r="BX152" s="62"/>
      <c r="BY152" s="62"/>
      <c r="BZ152" s="62"/>
      <c r="CA152" s="62"/>
      <c r="CB152" s="62"/>
      <c r="CC152" s="62"/>
      <c r="CD152" s="62"/>
      <c r="CE152" s="62"/>
      <c r="CF152" s="62"/>
      <c r="CG152" s="62"/>
      <c r="CH152" s="62"/>
      <c r="CI152" s="62"/>
      <c r="CJ152" s="62"/>
      <c r="CK152" s="59"/>
      <c r="CL152" s="62"/>
      <c r="CM152" s="62"/>
      <c r="CN152" s="59"/>
      <c r="CO152" s="62"/>
      <c r="CP152" s="62"/>
      <c r="CQ152" s="59"/>
      <c r="CR152" s="62"/>
      <c r="CS152" s="62"/>
      <c r="CT152" s="59"/>
      <c r="CU152" s="62"/>
      <c r="CV152" s="59"/>
      <c r="CW152" s="59"/>
    </row>
    <row r="153" spans="1:101" ht="27" customHeight="1" x14ac:dyDescent="0.2">
      <c r="A153" s="60"/>
      <c r="B153" s="41" t="str">
        <f>CONCATENATE(D150,IF(D152="Futures",[1]AB3!$B$9,IF(D152="Options Sell",[1]AB3!$B$15,IF(D152="Options Buy",[1]AB3!$B$21))))</f>
        <v>S25D</v>
      </c>
      <c r="C153" s="42" t="str">
        <f>IF(D152="Futures",[1]AB3!$C$9,IF(D152="Options Sell",[1]AB3!$C$15,IF(D152="Options Buy",[1]AB3!$C$21)))</f>
        <v>Symbol</v>
      </c>
      <c r="D153" s="43" t="str">
        <f t="array" ref="D153">IF(A150="","",INDEX([1]AB2!E:E,MATCH(D150,[1]AB2!B:B,0)))</f>
        <v>BANKNIFTY</v>
      </c>
      <c r="E153" s="44" t="str">
        <f>IF(D152="Futures",[1]AB3!$E$9,IF(D152="Options Sell",[1]AB3!$E$15,IF(D152="Options Buy",[1]AB3!$E$21)))</f>
        <v>Bear / 
Bear CF</v>
      </c>
      <c r="F153" s="45" t="str">
        <f>IF(D152="Futures",[1]AB3!$F$9,IF(D152="Options Sell",[1]AB3!$F$15,IF(D152="Options Buy",[1]AB3!$F$21)))</f>
        <v>Call</v>
      </c>
      <c r="G153" s="84" t="str">
        <f t="array" ref="G153">IF(A150="","",IF(D152="Futures",CONCATENATE([1]AB3!$G$9,INDEX([1]AB2!J:J,MATCH(D150,[1]AB2!B:B,0)),[1]AB3!$H$9),IF(D152="Options Sell",CONCATENATE([1]AB3!$G$15,INDEX([1]AB2!I:I,MATCH(D150,[1]AB2!B:B,0)),[1]AB3!$H$15),IF(D152="Options Buy",CONCATENATE([1]AB3!$G$21,INDEX([1]AB2!J:J,MATCH(D150,[1]AB2!B:B,0)),[1]AB3!$H$21)))))</f>
        <v>OPT : PRV : 1D 75 Mins HH</v>
      </c>
      <c r="H153" s="43" t="str">
        <f>IF(D152="Futures",[1]AB3!$I$9,IF(D152="Options Sell",[1]AB3!$I$15,IF(D152="Options Buy",[1]AB3!$I$21)))</f>
        <v xml:space="preserve"> + </v>
      </c>
      <c r="I153" s="46">
        <v>0.1</v>
      </c>
      <c r="J153" s="47">
        <v>2</v>
      </c>
      <c r="K153" s="48"/>
      <c r="L153" s="43" t="str">
        <f>IF(D152="Futures",[1]AB3!$M$9,IF(D152="Options Sell",[1]AB3!$M$15,IF(D152="Options Buy",[1]AB3!$M$21)))</f>
        <v xml:space="preserve">CE : Entry </v>
      </c>
      <c r="M153" s="43" t="str">
        <f>IF(D152="Futures",[1]AB3!$N$9,IF(D152="Options Sell",[1]AB3!$N$15,IF(D152="Options Buy",[1]AB3!$N$21)))</f>
        <v xml:space="preserve"> + </v>
      </c>
      <c r="N153" s="58">
        <v>0.7</v>
      </c>
      <c r="O153" s="75">
        <v>1</v>
      </c>
      <c r="P153" s="50"/>
      <c r="Q153" s="75"/>
      <c r="R153" s="58"/>
      <c r="S153" s="75"/>
      <c r="T153" s="58"/>
      <c r="U153" s="75"/>
      <c r="V153" s="76"/>
      <c r="W153" s="75"/>
      <c r="X153" s="76"/>
      <c r="Y153" s="76"/>
      <c r="Z153" s="48"/>
      <c r="AA153" s="43" t="str">
        <f>IF(D152="Futures",[1]AB3!$AD$9,IF(D152="Options Sell",[1]AB3!$AD$15,IF(D152="Options Buy",[1]AB3!$AD$21)))</f>
        <v>Max</v>
      </c>
      <c r="AB153" s="43" t="str">
        <f>IF(D152="Futures",[1]AB3!$AE$9,IF(D152="Options Sell",[1]AB3!$AE$15,IF(D152="Options Buy",[1]AB3!$AE$21)))</f>
        <v>MSL &amp; TSL</v>
      </c>
      <c r="AC153" s="43" t="str">
        <f>IF(D152="Futures",[1]AB3!$AF$9,IF(D152="Options Sell",[1]AB3!$AF$15,IF(D152="Options Buy",[1]AB3!$AF$21)))</f>
        <v>Entry &amp; TRP</v>
      </c>
      <c r="AD153" s="48"/>
      <c r="AE153" s="43" t="str">
        <f>IF(D152="Futures",[1]AB3!$AH$9,IF(D152="Options Sell",[1]AB3!$AH$15,IF(D152="Options Buy",[1]AB3!$AH$21)))</f>
        <v xml:space="preserve">CE : Entry </v>
      </c>
      <c r="AF153" s="43" t="str">
        <f>IF(D152="Futures",[1]AB3!$AI$9,IF(D152="Options Sell",[1]AB3!$AI$15,IF(D152="Options Buy",[1]AB3!$AI$21)))</f>
        <v xml:space="preserve"> - </v>
      </c>
      <c r="AG153" s="58">
        <v>0.7</v>
      </c>
      <c r="AH153" s="58"/>
      <c r="AI153" s="48"/>
      <c r="AJ153" s="43" t="str">
        <f>IF(D152="Futures",[1]AB3!$AO$9,IF(D152="Options Sell",[1]AB3!$AO$15,IF(D152="Options Buy",[1]AB3!$AO$21)))</f>
        <v xml:space="preserve"> - </v>
      </c>
      <c r="AK153" s="43" t="str">
        <f t="array" ref="AK153">IF(A150="","",IF(D152="Futures",CONCATENATE([1]AB3!$AP$9,INDEX([1]AB2!M:M,MATCH(D150,[1]AB2!B:B,0)),[1]AB3!$AQ$9),IF(D152="Options Sell",CONCATENATE([1]AB3!$AP$15,INDEX([1]AB2!L:L,MATCH(D150,[1]AB2!B:B,0)),[1]AB3!$AQ$15),IF(D152="Options Buy",CONCATENATE([1]AB3!$AP$21,INDEX([1]AB2!M:M,MATCH(D150,[1]AB2!B:B,0)),[1]AB3!$AQ$21)))))</f>
        <v>OPT : PRV : 1D 75 MinsLL</v>
      </c>
      <c r="AL153" s="58">
        <v>0.1</v>
      </c>
      <c r="AM153" s="52">
        <f>J154</f>
        <v>2</v>
      </c>
      <c r="AN153" s="43" t="str">
        <f t="array" ref="AN153">IF(A150="","",IF(AND(OR(D154="1 &amp; APS",D154="2 &amp; APS",D154="3 &amp; APS",D154="4 &amp; APS",D154="5 &amp; APS"),D152="Futures"),CONCATENATE([1]AB3!$AP$9,INDEX([1]AB2!M:M,MATCH(D150,[1]AB2!B:B,0)),[1]AB3!$AQ$9),IF(AND(OR(D154="1 &amp; APS",D154="2 &amp; APS",D154="3 &amp; APS",D154="4 &amp; APS",D154="5 &amp; APS"),D152="Options Sell"),CONCATENATE([1]AB3!$AP$15,INDEX([1]AB2!L:L,MATCH(D150,[1]AB2!B:B,0)),[1]AB3!$AQ$15),IF(AND(OR(D154="1 &amp; APS",D154="2 &amp; APS",D154="3 &amp; APS",D154="4 &amp; APS",D154="5 &amp; APS"),D152="Options Buy"),CONCATENATE([1]AB3!$AP$21,INDEX([1]AB2!M:M,MATCH(D150,[1]AB2!B:B,0)),[1]AB3!$AQ$21),[1]AB3!$AR$6))))</f>
        <v>OPT : PRV : 1D 75 MinsLL</v>
      </c>
      <c r="AO153" s="58"/>
      <c r="AP153" s="52">
        <f t="shared" ref="AP153:AP154" si="290">AM153-O153</f>
        <v>1</v>
      </c>
      <c r="AQ153" s="51">
        <f t="array" ref="AQ153">IF(A150="","",IF(AND(OR(D154="2 &amp; APS",D154="3 &amp; APS",D154="4 &amp; APS",D154="5 &amp; APS"),D152="Futures"),CONCATENATE([1]AB3!$AP$9,INDEX([1]AB2!M:M,MATCH(D150,[1]AB2!B:B,0)),[1]AB3!$AQ$9),IF(AND(OR(D154="2 &amp; APS",D154="3 &amp; APS",D154="4 &amp; APS",D154="5 &amp; APS"),D152="Options Sell"),CONCATENATE([1]AB3!$AP$15,INDEX([1]AB2!L:L,MATCH(D150,[1]AB2!B:B,0)),[1]AB3!$AQ$15),IF(AND(OR(D154="2 &amp; APS",D154="3 &amp; APS",D154="4 &amp; APS",D154="5 &amp; APS"),D152="Options Buy"),CONCATENATE([1]AB3!$AP$21,INDEX([1]AB2!M:M,MATCH(D150,[1]AB2!B:B,0)),[1]AB3!$AQ$21),[1]AB3!$AR$6))))</f>
        <v>0</v>
      </c>
      <c r="AR153" s="58"/>
      <c r="AS153" s="52">
        <f t="shared" ref="AS153:AS154" si="291">AP153-Q153</f>
        <v>1</v>
      </c>
      <c r="AT153" s="51">
        <f t="array" ref="AT153">IF(A150="","",IF(AND(OR(D154="3 &amp; APS",D154="4 &amp; APS",D154="5 &amp; APS"),D152="Futures"),CONCATENATE([1]AB3!$AP$9,INDEX([1]AB2!M:M,MATCH(D150,[1]AB2!B:B,0)),[1]AB3!$AQ$9),IF(AND(OR(D154="3 &amp; APS",D154="4 &amp; APS",D154="5 &amp; APS"),D152="Options Sell"),CONCATENATE([1]AB3!$AP$15,INDEX([1]AB2!L:L,MATCH(D150,[1]AB2!B:B,0)),[1]AB3!$AQ$15),IF(AND(OR(D154="3 &amp; APS",D154="4 &amp; APS",D154="5 &amp; APS"),D152="Options Buy"),CONCATENATE([1]AB3!$AP$21,INDEX([1]AB2!M:M,MATCH(D150,[1]AB2!B:B,0)),[1]AB3!$AQ$21),[1]AB3!$AR$6))))</f>
        <v>0</v>
      </c>
      <c r="AU153" s="58"/>
      <c r="AV153" s="52">
        <f t="shared" ref="AV153:AV154" si="292">AS153-S153</f>
        <v>1</v>
      </c>
      <c r="AW153" s="51">
        <f t="array" ref="AW153">IF(A150="","",IF(AND(OR(D154="4 &amp; APS",D154="5 &amp; APS"),D152="Futures"),CONCATENATE([1]AB3!$AP$9,INDEX([1]AB2!M:M,MATCH(D150,[1]AB2!B:B,0)),[1]AB3!$AQ$9),IF(AND(OR(D154="4 &amp; APS",D154="5 &amp; APS"),D152="Options Sell"),CONCATENATE([1]AB3!$AP$15,INDEX([1]AB2!L:L,MATCH(D150,[1]AB2!B:B,0)),[1]AB3!$AQ$15),IF(AND(OR(D154="4 &amp; APS",D154="5 &amp; APS"),D152="Options Buy"),CONCATENATE([1]AB3!$AP$21,INDEX([1]AB2!M:M,MATCH(D150,[1]AB2!B:B,0)),[1]AB3!$AQ$21),[1]AB3!$AR$6))))</f>
        <v>0</v>
      </c>
      <c r="AX153" s="58"/>
      <c r="AY153" s="52">
        <f t="shared" ref="AY153:AY154" si="293">AV153-S153</f>
        <v>1</v>
      </c>
      <c r="AZ153" s="51">
        <f t="array" ref="AZ153">IF(A150="","",IF(AND(D154="5 &amp; APS",D152="Futures"),CONCATENATE([1]AB3!$AP$9,INDEX([1]AB2!M:M,MATCH(D150,[1]AB2!B:B,0)),[1]AB3!$AQ$9),IF(AND(D154="5 &amp; APS",D152="Options Sell"),CONCATENATE([1]AB3!$AP$15,INDEX([1]AB2!L:L,MATCH(D150,[1]AB2!B:B,0)),[1]AB3!$AQ$15),IF(AND(D154="5 &amp; APS",D152="Options Buy"),CONCATENATE([1]AB3!$AP$21,INDEX([1]AB2!M:M,MATCH(D150,[1]AB2!B:B,0)),[1]AB3!$AQ$21),[1]AB3!$AR$6))))</f>
        <v>0</v>
      </c>
      <c r="BA153" s="58"/>
      <c r="BB153" s="52">
        <f t="shared" ref="BB153:BB154" si="294">AY153-W153</f>
        <v>1</v>
      </c>
      <c r="BC153" s="53"/>
      <c r="BD153" s="54" t="str">
        <f>IF(D152="Futures",[1]AB3!$BE$9,IF(D152="Options Sell",[1]AB3!$BE$15,IF(D152="Options Buy",[1]AB3!$BE$21)))</f>
        <v>Market Start Time</v>
      </c>
      <c r="BE153" s="67">
        <f t="array" ref="BE153">IF(D150="","",INDEX([1]AB2!AG:AG,MATCH(D150,[1]AB2!B:B,0)))</f>
        <v>0.38541666666666669</v>
      </c>
      <c r="BF153" s="11"/>
      <c r="BG153" s="12"/>
      <c r="BH153" s="57"/>
      <c r="BI153" s="68" t="str">
        <f>IF(D152="Futures",[1]AB3!$BJ$9,IF(D152="Options Sell",[1]AB3!$BJ$15,IF(D152="Options Buy",[1]AB3!$BJ$21)))</f>
        <v>Bear / 
Bear CF</v>
      </c>
      <c r="BJ153" s="45" t="str">
        <f>IF(D152="Futures",[1]AB3!$BK$9,IF(D152="Options Sell",[1]AB3!$BK$15,IF(D152="Options Buy",[1]AB3!$BK$21)))</f>
        <v>Call</v>
      </c>
      <c r="BK153" s="58">
        <v>0.1</v>
      </c>
      <c r="BL153" s="58">
        <v>0.1</v>
      </c>
      <c r="BM153" s="57"/>
      <c r="BN153" s="68" t="str">
        <f>IF(D152="Futures",[1]AB3!$BO$9,IF(D152="Options Sell",[1]AB3!$BO$15,IF(D152="Options Buy",[1]AB3!$BO$21)))</f>
        <v>Bear | 
Bear CF</v>
      </c>
      <c r="BO153" s="45" t="str">
        <f>IF(D152="Futures",[1]AB3!$BP$9,IF(D152="Options Sell",[1]AB3!$BP$15,IF(D152="Options Buy",[1]AB3!$BP$21)))</f>
        <v>Call</v>
      </c>
      <c r="BP153" s="43" t="str">
        <f t="array" ref="BP153">IF(A150="","",IF(D152="Futures","",IF(D152="EQUITY","",IF(D152="Options Sell",CONCATENATE([1]AB3!$BQ$15,INDEX([1]AB2!I:I,MATCH(A150,[1]AB2!A:A,0)),[1]AB3!$BR$15),IF(D152="Options Buy",CONCATENATE([1]AB3!$BQ$21,INDEX([1]AB2!I:I,MATCH(A150,[1]AB2!A:A,0))," ",[1]AB3!$BR$21))))))</f>
        <v>SPT : PRV : 1D 75 Mins HH</v>
      </c>
      <c r="BQ153" s="76" t="s">
        <v>53</v>
      </c>
      <c r="BR153" s="58">
        <v>0.05</v>
      </c>
      <c r="BS153" s="76" t="s">
        <v>54</v>
      </c>
      <c r="BT153" s="84" t="str">
        <f t="shared" ref="BT153:BT154" si="295">BP153</f>
        <v>SPT : PRV : 1D 75 Mins HH</v>
      </c>
      <c r="BU153" s="76"/>
      <c r="BV153" s="58"/>
      <c r="BW153" s="76" t="s">
        <v>54</v>
      </c>
      <c r="BX153" s="82" t="s">
        <v>55</v>
      </c>
      <c r="BY153" s="76">
        <v>1</v>
      </c>
      <c r="BZ153" s="58"/>
      <c r="CA153" s="58"/>
      <c r="CB153" s="58"/>
      <c r="CC153" s="58"/>
      <c r="CD153" s="58"/>
      <c r="CE153" s="43" t="str">
        <f t="shared" ref="CE153:CE154" si="296">BP153</f>
        <v>SPT : PRV : 1D 75 Mins HH</v>
      </c>
      <c r="CF153" s="58"/>
      <c r="CG153" s="43" t="str">
        <f t="shared" ref="CG153:CG154" si="297">CE153</f>
        <v>SPT : PRV : 1D 75 Mins HH</v>
      </c>
      <c r="CH153" s="58"/>
      <c r="CI153" s="75">
        <v>1000</v>
      </c>
      <c r="CJ153" s="75"/>
      <c r="CK153" s="59"/>
      <c r="CL153" s="43"/>
      <c r="CM153" s="43"/>
      <c r="CN153" s="59"/>
      <c r="CO153" s="43"/>
      <c r="CP153" s="43"/>
      <c r="CQ153" s="59"/>
      <c r="CR153" s="58"/>
      <c r="CS153" s="58"/>
      <c r="CT153" s="59"/>
      <c r="CU153" s="43"/>
      <c r="CV153" s="59"/>
      <c r="CW153" s="59"/>
    </row>
    <row r="154" spans="1:101" ht="24" customHeight="1" x14ac:dyDescent="0.2">
      <c r="A154" s="32"/>
      <c r="B154" s="41" t="str">
        <f>CONCATENATE(D150,IF(D152="Futures",[1]AB3!$B$10,IF(D152="Options Sell",[1]AB3!$B$16,IF(D152="Options Buy",[1]AB3!$B$22))))</f>
        <v>S25E</v>
      </c>
      <c r="C154" s="42" t="str">
        <f>IF(D152="Futures",[1]AB3!$C$10,IF(D152="Options Sell",[1]AB3!$C$16,IF(D152="Options Buy",[1]AB3!$C$22)))</f>
        <v>No. of Targets</v>
      </c>
      <c r="D154" s="43" t="str">
        <f t="array" ref="D154">IF(A150="","",INDEX([1]AB2!K:K,MATCH(D150,[1]AB2!B:B,0)))</f>
        <v>1 &amp; APS</v>
      </c>
      <c r="E154" s="32"/>
      <c r="F154" s="61" t="str">
        <f>IF(D152="Futures",[1]AB3!$F$10,IF(D152="Options Sell",[1]AB3!$F$16,IF(D152="Options Buy",[1]AB3!$F$22)))</f>
        <v>Put</v>
      </c>
      <c r="G154" s="84" t="str">
        <f t="array" ref="G154">(IF(A150="","",IF(D152="Futures",CONCATENATE([1]AB3!$G$10,INDEX([1]AB2!I:I,MATCH(D150,[1]AB2!B:B,0)),[1]AB3!$H$10),IF(D152="Options Sell",CONCATENATE([1]AB3!$G$16,INDEX([1]AB2!J:J,MATCH(D150,[1]AB2!B:B,0)),[1]AB3!$H$16),IF(D152="Options Buy",CONCATENATE([1]AB3!$G$22,INDEX([1]AB2!I:I,MATCH(D150,[1]AB2!B:B,0)),[1]AB3!$H$22))))))</f>
        <v>OPT : PRV : 1D 75 Mins HH</v>
      </c>
      <c r="H154" s="43" t="str">
        <f>IF(D152="Futures",[1]AB3!$I$10,IF(D152="Options Sell",[1]AB3!$I$16,IF(D152="Options Buy",[1]AB3!$I$22)))</f>
        <v xml:space="preserve"> + </v>
      </c>
      <c r="I154" s="46">
        <v>0.1</v>
      </c>
      <c r="J154" s="47">
        <v>2</v>
      </c>
      <c r="K154" s="48"/>
      <c r="L154" s="43" t="str">
        <f>IF(D152="Futures",[1]AB3!$M$10,IF(D152="Options Sell",[1]AB3!$M$16,IF(D152="Options Buy",[1]AB3!$M$22)))</f>
        <v xml:space="preserve">PE : Entry </v>
      </c>
      <c r="M154" s="43" t="str">
        <f>IF(D152="Futures",[1]AB3!$N$10,IF(D152="Options Sell",[1]AB3!$N$16,IF(D152="Options Buy",[1]AB3!$N$22)))</f>
        <v xml:space="preserve"> + </v>
      </c>
      <c r="N154" s="58">
        <v>0.7</v>
      </c>
      <c r="O154" s="75">
        <v>1</v>
      </c>
      <c r="P154" s="50"/>
      <c r="Q154" s="75"/>
      <c r="R154" s="58"/>
      <c r="S154" s="75"/>
      <c r="T154" s="58"/>
      <c r="U154" s="75"/>
      <c r="V154" s="76"/>
      <c r="W154" s="75"/>
      <c r="X154" s="76"/>
      <c r="Y154" s="76"/>
      <c r="Z154" s="48"/>
      <c r="AA154" s="43" t="str">
        <f>IF(D152="Futures",[1]AB3!$AD$10,IF(D152="Options Sell",[1]AB3!$AD$16,IF(D152="Options Buy",[1]AB3!$AD$22)))</f>
        <v>Max</v>
      </c>
      <c r="AB154" s="43" t="str">
        <f>IF(D152="Futures",[1]AB3!$AE$10,IF(D152="Options Sell",[1]AB3!$AE$16,IF(D152="Options Buy",[1]AB3!$AE$22)))</f>
        <v>MSL &amp; TSL</v>
      </c>
      <c r="AC154" s="43" t="str">
        <f>IF(D152="Futures",[1]AB3!$AF$10,IF(D152="Options Sell",[1]AB3!$AF$16,IF(D152="Options Buy",[1]AB3!$AF$22)))</f>
        <v>Entry &amp; TRP</v>
      </c>
      <c r="AD154" s="48"/>
      <c r="AE154" s="43" t="str">
        <f>IF(D152="Futures",[1]AB3!$AH$10,IF(D152="Options Sell",[1]AB3!$AH$16,IF(D152="Options Buy",[1]AB3!$AH$22)))</f>
        <v xml:space="preserve">PE : Entry </v>
      </c>
      <c r="AF154" s="43" t="str">
        <f>IF(D152="Futures",[1]AB3!$AI$10,IF(D152="Options Sell",[1]AB3!$AI$16,IF(D152="Options Buy",[1]AB3!$AI$22)))</f>
        <v xml:space="preserve"> - </v>
      </c>
      <c r="AG154" s="58">
        <v>0.7</v>
      </c>
      <c r="AH154" s="58"/>
      <c r="AI154" s="48"/>
      <c r="AJ154" s="43" t="str">
        <f>IF(D152="Futures",[1]AB3!$AO$10,IF(D152="Options Sell",[1]AB3!$AO$16,IF(D152="Options Buy",[1]AB3!$AO$22)))</f>
        <v xml:space="preserve"> - </v>
      </c>
      <c r="AK154" s="43" t="str">
        <f t="array" ref="AK154">IF(A150="","",IF(D152="Futures",CONCATENATE([1]AB3!$AP$10,INDEX([1]AB2!L:L,MATCH(D150,[1]AB2!B:B,0)),[1]AB3!$AQ$10),IF(D152="Options Sell",CONCATENATE([1]AB3!$AP$16,INDEX([1]AB2!M:M,MATCH(D150,[1]AB2!B:B,0)),[1]AB3!$AQ$16),IF(D152="Options Buy",CONCATENATE([1]AB3!$AP$22,INDEX([1]AB2!L:L,MATCH(D150,[1]AB2!B:B,0)),[1]AB3!$AQ$22)))))</f>
        <v>OPT : PRV : 1D 75 MinsLL</v>
      </c>
      <c r="AL154" s="58">
        <v>0.1</v>
      </c>
      <c r="AM154" s="52">
        <f>J153</f>
        <v>2</v>
      </c>
      <c r="AN154" s="43" t="str">
        <f t="array" ref="AN154">IF(A150="","",IF(AND(OR(D154="1 &amp; APS",D154="2 &amp; APS",D154="3 &amp; APS",D154="4 &amp; APS",D154="5 &amp; APS"),D152="Futures"),CONCATENATE([1]AB3!$AP$10,INDEX([1]AB2!L:L,MATCH(D150,[1]AB2!B:B,0)),[1]AB3!$AQ$10),IF(AND(OR(D154="1 &amp; APS",D154="2 &amp; APS",D154="3 &amp; APS",D154="4 &amp; APS",D154="5 &amp; APS"),D152="Options Sell"),CONCATENATE([1]AB3!$AP$16,INDEX([1]AB2!M:M,MATCH(D150,[1]AB2!B:B,0)),[1]AB3!$AQ$16),IF(AND(OR(D154="1 &amp; APS",D154="2 &amp; APS",D154="3 &amp; APS",D154="4 &amp; APS",D154="5 &amp; APS"),D152="Options Buy"),CONCATENATE([1]AB3!$AP$22,INDEX([1]AB2!L:L,MATCH(D150,[1]AB2!B:B,0)),[1]AB3!$AQ$22),[1]AB3!$AR$6))))</f>
        <v>OPT : PRV : 1D 75 MinsLL</v>
      </c>
      <c r="AO154" s="58"/>
      <c r="AP154" s="52">
        <f t="shared" si="290"/>
        <v>1</v>
      </c>
      <c r="AQ154" s="51">
        <f t="array" ref="AQ154">IF(A150="","",IF(AND(OR(D154="2 &amp; APS",D154="3 &amp; APS",D154="4 &amp; APS",D154="5 &amp; APS"),D152="Futures"),CONCATENATE([1]AB3!$AP$10,INDEX([1]AB2!L:L,MATCH(D150,[1]AB2!B:B,0)),[1]AB3!$AQ$10),IF(AND(OR(D154="2 &amp; APS",D154="3 &amp; APS",D154="4 &amp; APS",D154="5 &amp; APS"),D152="Options Sell"),CONCATENATE([1]AB3!$AP$16,INDEX([1]AB2!M:M,MATCH(D150,[1]AB2!B:B,0)),[1]AB3!$AQ$16),IF(AND(OR(D154="2 &amp; APS",D154="3 &amp; APS",D154="4 &amp; APS",D154="5 &amp; APS"),D152="Options Buy"),CONCATENATE([1]AB3!$AP$22,INDEX([1]AB2!L:L,MATCH(D150,[1]AB2!B:B,0)),[1]AB3!$AQ$22),[1]AB3!$AR$6))))</f>
        <v>0</v>
      </c>
      <c r="AR154" s="58"/>
      <c r="AS154" s="52">
        <f t="shared" si="291"/>
        <v>1</v>
      </c>
      <c r="AT154" s="51">
        <f t="array" ref="AT154">IF(A150="","",IF(AND(OR(D154="3 &amp; APS",D154="4 &amp; APS",D154="5 &amp; APS"),D152="Futures"),CONCATENATE([1]AB3!$AP$10,INDEX([1]AB2!L:L,MATCH(D150,[1]AB2!B:B,0)),[1]AB3!$AQ$10),IF(AND(OR(D154="3 &amp; APS",D154="4 &amp; APS",D154="5 &amp; APS"),D152="Options Sell"),CONCATENATE([1]AB3!$AP$16,INDEX([1]AB2!M:M,MATCH(D150,[1]AB2!B:B,0)),[1]AB3!$AQ$16),IF(AND(OR(D154="3 &amp; APS",D154="4 &amp; APS",D154="5 &amp; APS"),D152="Options Buy"),CONCATENATE([1]AB3!$AP$22,INDEX([1]AB2!L:L,MATCH(D150,[1]AB2!B:B,0)),[1]AB3!$AQ$22),[1]AB3!$AR$6))))</f>
        <v>0</v>
      </c>
      <c r="AU154" s="58"/>
      <c r="AV154" s="52">
        <f t="shared" si="292"/>
        <v>1</v>
      </c>
      <c r="AW154" s="51">
        <f t="array" ref="AW154">IF(A150="","",IF(AND(OR(D154="4 &amp; APS",D154="5 &amp; APS"),D152="Futures"),CONCATENATE([1]AB3!$AP$10,INDEX([1]AB2!L:L,MATCH(D150,[1]AB2!B:B,0)),[1]AB3!$AQ$10),IF(AND(OR(D154="4 &amp; APS",D154="5 &amp; APS"),D152="Options Sell"),CONCATENATE([1]AB3!$AP$16,INDEX([1]AB2!M:M,MATCH(D150,[1]AB2!B:B,0)),[1]AB3!$AQ$16),IF(AND(OR(D154="4 &amp; APS",D154="5 &amp; APS"),D152="Options Buy"),CONCATENATE([1]AB3!$AP$22,INDEX([1]AB2!L:L,MATCH(D150,[1]AB2!B:B,0)),[1]AB3!$AQ$22),[1]AB3!$AR$6))))</f>
        <v>0</v>
      </c>
      <c r="AX154" s="58"/>
      <c r="AY154" s="52">
        <f t="shared" si="293"/>
        <v>1</v>
      </c>
      <c r="AZ154" s="51">
        <f t="array" ref="AZ154">IF(A150="","",IF(AND(D154="5 &amp; APS",D152="Futures"),CONCATENATE([1]AB3!$AP$10,INDEX([1]AB2!L:L,MATCH(D150,[1]AB2!B:B,0)),[1]AB3!$AQ$10),IF(AND(D154="5 &amp; APS",D152="Options Sell"),CONCATENATE([1]AB3!$AP$16,INDEX([1]AB2!M:M,MATCH(D150,[1]AB2!B:B,0)),[1]AB3!$AQ$16),IF(AND(D154="5 &amp; APS",D152="Options Buy"),CONCATENATE([1]AB3!$AP$22,INDEX([1]AB2!L:L,MATCH(D150,[1]AB2!B:B,0)),[1]AB3!$AQ$22),[1]AB3!$AR$6))))</f>
        <v>0</v>
      </c>
      <c r="BA154" s="58"/>
      <c r="BB154" s="52">
        <f t="shared" si="294"/>
        <v>1</v>
      </c>
      <c r="BC154" s="53"/>
      <c r="BD154" s="54" t="str">
        <f>IF(D152="Futures",[1]AB3!$BE$10,IF(D152="Options Sell",[1]AB3!$BE$16,IF(D152="Options Buy",[1]AB3!$BE$22)))</f>
        <v>Market End Time</v>
      </c>
      <c r="BE154" s="67">
        <f t="array" ref="BE154">IF(D150="","",INDEX([1]AB2!AH:AH,MATCH(D150,[1]AB2!B:B,0)))</f>
        <v>0.64583333333333337</v>
      </c>
      <c r="BF154" s="11"/>
      <c r="BG154" s="12"/>
      <c r="BH154" s="57"/>
      <c r="BI154" s="32"/>
      <c r="BJ154" s="61" t="str">
        <f>IF(D152="Futures",[1]AB3!$BK$10,IF(D152="Options Sell",[1]AB3!$BK$16,IF(D152="Options Buy",[1]AB3!$BK$22)))</f>
        <v>Put</v>
      </c>
      <c r="BK154" s="58">
        <v>0.1</v>
      </c>
      <c r="BL154" s="58">
        <v>0.1</v>
      </c>
      <c r="BM154" s="57"/>
      <c r="BN154" s="32"/>
      <c r="BO154" s="61" t="str">
        <f>IF(D152="Futures",[1]AB3!$BP$10,IF(D152="Options Sell",[1]AB3!$BP$16,IF(D152="Options Buy",[1]AB3!$BP$22)))</f>
        <v>Put</v>
      </c>
      <c r="BP154" s="43" t="str">
        <f t="array" ref="BP154">IF(A150="","",IF(D152="Futures","",IF(D152="EQUITY","",IF(D152="Options Sell",CONCATENATE([1]AB3!$BQ$16,INDEX([1]AB2!J:J,MATCH(A150,[1]AB2!A:A,0)),[1]AB3!$BR$16),IF(D152="Options Buy",CONCATENATE([1]AB3!$BQ$22,INDEX([1]AB2!J:J,MATCH(A150,[1]AB2!A:A,0))," ",[1]AB3!$BR$22))))))</f>
        <v>SPT : PRV : 1D 75 Mins LL</v>
      </c>
      <c r="BQ154" s="85" t="s">
        <v>55</v>
      </c>
      <c r="BR154" s="58">
        <v>0.05</v>
      </c>
      <c r="BS154" s="76" t="s">
        <v>56</v>
      </c>
      <c r="BT154" s="84" t="str">
        <f t="shared" si="295"/>
        <v>SPT : PRV : 1D 75 Mins LL</v>
      </c>
      <c r="BU154" s="85"/>
      <c r="BV154" s="58"/>
      <c r="BW154" s="76" t="s">
        <v>56</v>
      </c>
      <c r="BX154" s="76" t="s">
        <v>53</v>
      </c>
      <c r="BY154" s="76">
        <v>1</v>
      </c>
      <c r="BZ154" s="58"/>
      <c r="CA154" s="58"/>
      <c r="CB154" s="58"/>
      <c r="CC154" s="58"/>
      <c r="CD154" s="58"/>
      <c r="CE154" s="43" t="str">
        <f t="shared" si="296"/>
        <v>SPT : PRV : 1D 75 Mins LL</v>
      </c>
      <c r="CF154" s="58"/>
      <c r="CG154" s="43" t="str">
        <f t="shared" si="297"/>
        <v>SPT : PRV : 1D 75 Mins LL</v>
      </c>
      <c r="CH154" s="58"/>
      <c r="CI154" s="75">
        <v>1000</v>
      </c>
      <c r="CJ154" s="75"/>
      <c r="CK154" s="59"/>
      <c r="CL154" s="43"/>
      <c r="CM154" s="43"/>
      <c r="CN154" s="59"/>
      <c r="CO154" s="43"/>
      <c r="CP154" s="43"/>
      <c r="CQ154" s="59"/>
      <c r="CR154" s="58"/>
      <c r="CS154" s="58"/>
      <c r="CT154" s="59"/>
      <c r="CU154" s="43"/>
      <c r="CV154" s="59"/>
      <c r="CW154" s="59"/>
    </row>
    <row r="155" spans="1:101" ht="15.75" customHeight="1" x14ac:dyDescent="0.2">
      <c r="A155" s="1"/>
      <c r="B155" s="2"/>
      <c r="C155" s="2"/>
      <c r="D155" s="2"/>
      <c r="E155" s="2"/>
      <c r="F155" s="2"/>
      <c r="G155" s="2"/>
      <c r="H155" s="2"/>
      <c r="I155" s="2"/>
      <c r="J155" s="3"/>
      <c r="K155" s="2"/>
      <c r="L155" s="2"/>
      <c r="M155" s="2"/>
      <c r="N155" s="2"/>
      <c r="O155" s="2"/>
      <c r="P155" s="2"/>
      <c r="Q155" s="69"/>
      <c r="R155" s="69"/>
      <c r="S155" s="70"/>
      <c r="T155" s="70"/>
      <c r="U155" s="2"/>
      <c r="V155" s="2"/>
      <c r="W155" s="2"/>
      <c r="X155" s="2"/>
      <c r="Y155" s="2"/>
      <c r="Z155" s="2"/>
      <c r="AA155" s="20"/>
      <c r="AB155" s="71"/>
      <c r="AC155" s="71"/>
      <c r="AD155" s="2"/>
      <c r="AE155" s="70"/>
      <c r="AF155" s="70"/>
      <c r="AG155" s="70"/>
      <c r="AH155" s="70"/>
      <c r="AI155" s="2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70"/>
      <c r="AX155" s="70"/>
      <c r="AY155" s="70"/>
      <c r="AZ155" s="70"/>
      <c r="BA155" s="70"/>
      <c r="BB155" s="70"/>
      <c r="BC155" s="70"/>
      <c r="BD155" s="70"/>
      <c r="BE155" s="70"/>
      <c r="BF155" s="70"/>
      <c r="BG155" s="70"/>
      <c r="BH155" s="70"/>
      <c r="BI155" s="70"/>
      <c r="BJ155" s="70"/>
      <c r="BK155" s="70"/>
      <c r="BL155" s="70"/>
      <c r="BM155" s="70"/>
      <c r="BN155" s="70"/>
      <c r="BO155" s="70"/>
      <c r="BP155" s="70"/>
      <c r="BQ155" s="70"/>
      <c r="BR155" s="70"/>
      <c r="BS155" s="70"/>
      <c r="BT155" s="70"/>
      <c r="BU155" s="70"/>
      <c r="BV155" s="70"/>
      <c r="BW155" s="70"/>
      <c r="BX155" s="70"/>
      <c r="BY155" s="70"/>
      <c r="BZ155" s="70"/>
      <c r="CA155" s="70"/>
      <c r="CB155" s="70"/>
      <c r="CC155" s="70"/>
      <c r="CD155" s="70"/>
      <c r="CE155" s="70"/>
      <c r="CF155" s="70"/>
      <c r="CG155" s="70"/>
      <c r="CH155" s="70"/>
      <c r="CI155" s="70"/>
      <c r="CJ155" s="70"/>
      <c r="CK155" s="70"/>
      <c r="CL155" s="2"/>
      <c r="CM155" s="2"/>
      <c r="CN155" s="70"/>
      <c r="CO155" s="70"/>
      <c r="CP155" s="70"/>
      <c r="CQ155" s="70"/>
      <c r="CR155" s="70"/>
      <c r="CS155" s="70"/>
      <c r="CT155" s="70"/>
      <c r="CU155" s="70"/>
      <c r="CV155" s="70"/>
      <c r="CW155" s="70"/>
    </row>
    <row r="156" spans="1:101" ht="30.75" customHeight="1" x14ac:dyDescent="0.2">
      <c r="A156" s="40">
        <v>26</v>
      </c>
      <c r="B156" s="41" t="str">
        <f>CONCATENATE(D156,IF(D158="Futures",[1]AB3!$B$6,IF(D158="Options Sell",[1]AB3!$B$12,IF(D158="Options Buy",[1]AB3!$B$18))))</f>
        <v>S26A</v>
      </c>
      <c r="C156" s="42" t="str">
        <f>IF(D158="Futures",[1]AB3!$C$6,IF(D158="Options Sell",[1]AB3!$C$12,IF(D158="Options Buy",[1]AB3!$C$18)))</f>
        <v>Strategy Code</v>
      </c>
      <c r="D156" s="43" t="str">
        <f t="array" ref="D156">IF(A156="","",INDEX([1]AB2!B:B,MATCH(A156,[1]AB2!A:A,0)))</f>
        <v>S26</v>
      </c>
      <c r="E156" s="44" t="str">
        <f>IF(D158="Futures",[1]AB3!$E$6,IF(D158="Options Sell",[1]AB3!$E$12,IF(D158="Options Buy",[1]AB3!$E$18)))</f>
        <v>Bull / 
Bull CF</v>
      </c>
      <c r="F156" s="45" t="str">
        <f>IF(D158="Futures",[1]AB3!$F$6,IF(D158="Options Sell",[1]AB3!$F$12,IF(D158="Options Buy",[1]AB3!$F$18)))</f>
        <v>Call</v>
      </c>
      <c r="G156" s="37" t="str">
        <f t="array" ref="G156">IF(A156="","",IF(D158="Futures",CONCATENATE([1]AB3!$G$6,INDEX([1]AB2!I:I,MATCH(D156,[1]AB2!B:B,0)),[1]AB3!$H$6),IF(D158="Options Sell",CONCATENATE([1]AB3!$G$12,INDEX([1]AB2!J:J,MATCH(D156,[1]AB2!B:B,0)),[1]AB3!$H$12),IF(D158="Options Buy",CONCATENATE([1]AB3!$G$18,INDEX([1]AB2!I:I,MATCH(D156,[1]AB2!B:B,0)),[1]AB3!$H$18)))))</f>
        <v>OPT : PRV : 2D HH</v>
      </c>
      <c r="H156" s="43" t="str">
        <f>IF(D158="Futures",[1]AB3!$I$6,IF(D158="Options Sell",[1]AB3!$I$12,IF(D158="Options Buy",[1]AB3!$I$18)))</f>
        <v xml:space="preserve"> + </v>
      </c>
      <c r="I156" s="46">
        <v>0.05</v>
      </c>
      <c r="J156" s="47">
        <v>5</v>
      </c>
      <c r="K156" s="48"/>
      <c r="L156" s="43" t="str">
        <f>IF(D158="Futures",[1]AB3!$M$6,IF(D158="Options Sell",[1]AB3!$M$12,IF(D158="Options Buy",[1]AB3!$M$18)))</f>
        <v xml:space="preserve">CE : Entry </v>
      </c>
      <c r="M156" s="43" t="str">
        <f>IF(D158="Futures",[1]AB3!$N$6,IF(D158="Options Sell",[1]AB3!$N$12,IF(D158="Options Buy",[1]AB3!$N$18)))</f>
        <v xml:space="preserve"> + </v>
      </c>
      <c r="N156" s="58">
        <v>0.03</v>
      </c>
      <c r="O156" s="75">
        <v>1</v>
      </c>
      <c r="P156" s="58">
        <v>4.4999999999999998E-2</v>
      </c>
      <c r="Q156" s="75">
        <v>1</v>
      </c>
      <c r="R156" s="58">
        <v>0.06</v>
      </c>
      <c r="S156" s="75">
        <v>1</v>
      </c>
      <c r="T156" s="58">
        <v>0.08</v>
      </c>
      <c r="U156" s="75">
        <v>1</v>
      </c>
      <c r="V156" s="50" t="s">
        <v>51</v>
      </c>
      <c r="W156" s="75">
        <v>1</v>
      </c>
      <c r="X156" s="76"/>
      <c r="Y156" s="76"/>
      <c r="Z156" s="48"/>
      <c r="AA156" s="43" t="str">
        <f>IF(D158="Futures",[1]AB3!$AD$6,IF(D158="Options Sell",[1]AB3!$AD$12,IF(D158="Options Buy",[1]AB3!$AD$18)))</f>
        <v>Max</v>
      </c>
      <c r="AB156" s="43" t="str">
        <f>IF(D158="Futures",[1]AB3!$AE$6,IF(D158="Options Sell",[1]AB3!$AE$12,IF(D158="Options Buy",[1]AB3!$AE$18)))</f>
        <v>MSL &amp; TSL</v>
      </c>
      <c r="AC156" s="43" t="str">
        <f>IF(D158="Futures",[1]AB3!$AF$6,IF(D158="Options Sell",[1]AB3!$AF$12,IF(D158="Options Buy",[1]AB3!$AF$18)))</f>
        <v>Entry &amp; TRP</v>
      </c>
      <c r="AD156" s="48"/>
      <c r="AE156" s="43" t="str">
        <f>IF(D158="Futures",[1]AB3!$AH$6,IF(D158="Options Sell",[1]AB3!$AH$12,IF(D158="Options Buy",[1]AB3!$AH$18)))</f>
        <v xml:space="preserve">CE : Entry </v>
      </c>
      <c r="AF156" s="43" t="str">
        <f>IF(D158="Futures",[1]AB3!$AI$6,IF(D158="Options Sell",[1]AB3!$AI$12,IF(D158="Options Buy",[1]AB3!$AI$18)))</f>
        <v xml:space="preserve"> - </v>
      </c>
      <c r="AG156" s="58">
        <v>0.03</v>
      </c>
      <c r="AH156" s="58"/>
      <c r="AI156" s="48"/>
      <c r="AJ156" s="43" t="str">
        <f>IF(D158="Futures",[1]AB3!$AO$6,IF(D158="Options Sell",[1]AB3!$AO$12,IF(D158="Options Buy",[1]AB3!$AO$18)))</f>
        <v xml:space="preserve"> - </v>
      </c>
      <c r="AK156" s="43" t="str">
        <f t="array" ref="AK156">IF(A156="","",IF(D158="Futures",CONCATENATE([1]AB3!$AP$6,INDEX([1]AB2!L:L,MATCH(D156,[1]AB2!B:B,0)),[1]AB3!$AQ$6),IF(D158="Options Sell",CONCATENATE([1]AB3!$AP$12,INDEX([1]AB2!M:M,MATCH(D156,[1]AB2!B:B,0)),[1]AB3!$AQ$12),IF(D158="Options Buy",CONCATENATE([1]AB3!$AP$18,INDEX([1]AB2!L:L,MATCH(D156,[1]AB2!B:B,0)),[1]AB3!$AQ$18)))))</f>
        <v>OPT : PRV : 3DLL</v>
      </c>
      <c r="AL156" s="58">
        <v>0.12</v>
      </c>
      <c r="AM156" s="52">
        <f>J157</f>
        <v>5</v>
      </c>
      <c r="AN156" s="43" t="str">
        <f t="array" ref="AN156">IF(A156="","",IF(AND(OR(D160="1 &amp; APS",D160="2 &amp; APS",D160="3 &amp; APS",D160="4 &amp; APS",D160="5 &amp; APS"),D158="Futures"),CONCATENATE([1]AB3!$AP$6,INDEX([1]AB2!L:L,MATCH(D156,[1]AB2!B:B,0)),[1]AB3!$AQ$6),IF(AND(OR(D160="1 &amp; APS",D160="2 &amp; APS",D160="3 &amp; APS",D160="4 &amp; APS",D160="5 &amp; APS"),D158="Options Sell"),CONCATENATE([1]AB3!$AP$12,INDEX([1]AB2!M:M,MATCH(D156,[1]AB2!B:B,0)),[1]AB3!$AQ$12),IF(AND(OR(D160="1 &amp; APS",D160="2 &amp; APS",D160="3 &amp; APS",D160="4 &amp; APS",D160="5 &amp; APS"),D158="Options Buy"),CONCATENATE([1]AB3!$AP$18,INDEX([1]AB2!L:L,MATCH(D156,[1]AB2!B:B,0)),[1]AB3!$AQ$18),[1]AB3!$AR$6))))</f>
        <v>OPT : PRV : 3DLL</v>
      </c>
      <c r="AO156" s="58">
        <v>0.12</v>
      </c>
      <c r="AP156" s="52">
        <f t="shared" ref="AP156:AP157" si="298">AM156-O156</f>
        <v>4</v>
      </c>
      <c r="AQ156" s="43" t="str">
        <f t="array" ref="AQ156">IF(A156="","",IF(AND(OR(D160="2 &amp; APS",D160="3 &amp; APS",D160="4 &amp; APS",D160="5 &amp; APS"),D158="Futures"),CONCATENATE([1]AB3!$AP$6,INDEX([1]AB2!L:L,MATCH(D156,[1]AB2!B:B,0)),[1]AB3!$AQ$6),IF(AND(OR(D160="2 &amp; APS",D160="3 &amp; APS",D160="4 &amp; APS",D160="5 &amp; APS"),D158="Options Sell"),CONCATENATE([1]AB3!$AP$12,INDEX([1]AB2!M:M,MATCH(D156,[1]AB2!B:B,0)),[1]AB3!$AQ$12),IF(AND(OR(D160="2 &amp; APS",D160="3 &amp; APS",D160="4 &amp; APS",D160="5 &amp; APS"),D158="Options Buy"),CONCATENATE([1]AB3!$AP$18,INDEX([1]AB2!L:L,MATCH(D156,[1]AB2!B:B,0)),[1]AB3!$AQ$18),[1]AB3!$AR$6))))</f>
        <v>OPT : PRV : 3DLL</v>
      </c>
      <c r="AR156" s="58">
        <v>0.12</v>
      </c>
      <c r="AS156" s="52">
        <f t="shared" ref="AS156:AS157" si="299">AP156-Q156</f>
        <v>3</v>
      </c>
      <c r="AT156" s="43" t="str">
        <f t="array" ref="AT156">IF(A156="","",IF(AND(OR(D160="3 &amp; APS",D160="4 &amp; APS",D160="5 &amp; APS"),D158="Futures"),CONCATENATE([1]AB3!$AP$6,INDEX([1]AB2!L:L,MATCH(D156,[1]AB2!B:B,0)),[1]AB3!$AQ$6),IF(AND(OR(D160="3 &amp; APS",D160="4 &amp; APS",D160="5 &amp; APS"),D158="Options Sell"),CONCATENATE([1]AB3!$AP$12,INDEX([1]AB2!M:M,MATCH(D156,[1]AB2!B:B,0)),[1]AB3!$AQ$12),IF(AND(OR(D160="3 &amp; APS",D160="4 &amp; APS",D160="5 &amp; APS"),D158="Options Buy"),CONCATENATE([1]AB3!$AP$18,INDEX([1]AB2!L:L,MATCH(D156,[1]AB2!B:B,0)),[1]AB3!$AQ$18),[1]AB3!$AR$6))))</f>
        <v>OPT : PRV : 3DLL</v>
      </c>
      <c r="AU156" s="58">
        <v>0.12</v>
      </c>
      <c r="AV156" s="52">
        <f t="shared" ref="AV156:AV157" si="300">AS156-S156</f>
        <v>2</v>
      </c>
      <c r="AW156" s="43" t="str">
        <f t="array" ref="AW156">IF(A156="","",IF(AND(OR(D160="4 &amp; APS",D160="5 &amp; APS"),D158="Futures"),CONCATENATE([1]AB3!$AP$6,INDEX([1]AB2!L:L,MATCH(D156,[1]AB2!B:B,0)),[1]AB3!$AQ$6),IF(AND(OR(D160="4 &amp; APS",D160="5 &amp; APS"),D158="Options Sell"),CONCATENATE([1]AB3!$AP$12,INDEX([1]AB2!M:M,MATCH(D156,[1]AB2!B:B,0)),[1]AB3!$AQ$12),IF(AND(OR(D160="4 &amp; APS",D160="5 &amp; APS"),D158="Options Buy"),CONCATENATE([1]AB3!$AP$18,INDEX([1]AB2!L:L,MATCH(D156,[1]AB2!B:B,0)),[1]AB3!$AQ$18),[1]AB3!$AR$6))))</f>
        <v>OPT : PRV : 3DLL</v>
      </c>
      <c r="AX156" s="58">
        <v>0.12</v>
      </c>
      <c r="AY156" s="52">
        <f t="shared" ref="AY156:AY157" si="301">AV156-S156</f>
        <v>1</v>
      </c>
      <c r="AZ156" s="51">
        <f t="array" ref="AZ156">IF(A156="","",IF(AND(D160="5 &amp; APS",D158="Futures"),CONCATENATE([1]AB3!$AP$6,INDEX([1]AB2!L:L,MATCH(D156,[1]AB2!B:B,0)),[1]AB3!$AQ$6),IF(AND(D160="5 &amp; APS",D158="Options Sell"),CONCATENATE([1]AB3!$AP$12,INDEX([1]AB2!M:M,MATCH(D156,[1]AB2!B:B,0)),[1]AB3!$AQ$12),IF(AND(D160="5 &amp; APS",D158="Options Buy"),CONCATENATE([1]AB3!$AP$18,INDEX([1]AB2!L:L,MATCH(D156,[1]AB2!B:B,0)),[1]AB3!$AQ$18),[1]AB3!$AR$6))))</f>
        <v>0</v>
      </c>
      <c r="BA156" s="58" t="s">
        <v>52</v>
      </c>
      <c r="BB156" s="52">
        <f t="shared" ref="BB156:BB157" si="302">AY156-W156</f>
        <v>0</v>
      </c>
      <c r="BC156" s="53"/>
      <c r="BD156" s="54" t="str">
        <f>IF(D158="Futures",[1]AB3!$BE$6,IF(D158="Options Sell",[1]AB3!$BE$12,IF(D158="Options Buy",[1]AB3!$BE$18)))</f>
        <v xml:space="preserve">ORPT </v>
      </c>
      <c r="BE156" s="55">
        <f>IF(D158="Futures",BE159+([1]AB3!$BF$6/1440),IF(D158="Options Sell",BE159+([1]AB3!$BF$12/1440),IF(D158="Options Buy",BE159+([1]AB3!$BF$18/1440))))</f>
        <v>0.39235416666666667</v>
      </c>
      <c r="BF156" s="55">
        <f>IF(D158="Futures",BE159+([1]AB3!$BG$6/1440),IF(D158="Options Sell",BE159+([1]AB3!$BG$12/1440),IF(D158="Options Buy",BE159+([1]AB3!$BG$18/1440))))</f>
        <v>0.39235416666666667</v>
      </c>
      <c r="BG156" s="55">
        <f>IF(D158="Futures",BE159+([1]AB3!$BH$6/1440),IF(D158="Options Sell",BE159+([1]AB3!$BH$12/1440),IF(D158="Options Buy",BE159+([1]AB3!$BH$18/1440))))</f>
        <v>0.38541666666666669</v>
      </c>
      <c r="BH156" s="57"/>
      <c r="BI156" s="44" t="str">
        <f>IF(D158="Futures",[1]AB3!$BJ$6,IF(D158="Options Sell",[1]AB3!$BJ$12,IF(D158="Options Buy",[1]AB3!$BJ$18)))</f>
        <v>Bull / 
Bull CF</v>
      </c>
      <c r="BJ156" s="45" t="str">
        <f>IF(D158="Futures",[1]AB3!$BK$6,IF(D158="Options Sell",[1]AB3!$BK$12,IF(D158="Options Buy",[1]AB3!$BK$18)))</f>
        <v>Call</v>
      </c>
      <c r="BK156" s="58">
        <v>0.05</v>
      </c>
      <c r="BL156" s="58">
        <v>0.12</v>
      </c>
      <c r="BM156" s="57"/>
      <c r="BN156" s="44" t="str">
        <f>IF(D158="Futures",[1]AB3!$BO$6,IF(D158="Options Sell",[1]AB3!$BO$12,IF(D158="Options Buy",[1]AB3!$BO$18)))</f>
        <v>Bull | 
Bull CF</v>
      </c>
      <c r="BO156" s="45" t="str">
        <f>IF(D158="Futures",[1]AB3!$BP$6,IF(D158="Options Sell",[1]AB3!$BP$12,IF(D158="Options Buy",[1]AB3!$BP$18)))</f>
        <v>Call</v>
      </c>
      <c r="BP156" s="43" t="str">
        <f t="array" ref="BP156">IF(A156="","",IF(D158="Futures","",IF(D158="EQUITY","",IF(D158="Options Sell",CONCATENATE([1]AB3!$BQ$12,INDEX([1]AB2!J:J,MATCH(A156,[1]AB2!A:A,0)),[1]AB3!$BR$12),IF(D158="Options Buy",CONCATENATE([1]AB3!$BQ$18,INDEX([1]AB2!I:I,MATCH(A156,[1]AB2!A:A,0)),[1]AB3!$BR$18))))))</f>
        <v>SPT : PRV : 2DHH</v>
      </c>
      <c r="BQ156" s="82" t="s">
        <v>55</v>
      </c>
      <c r="BR156" s="58">
        <v>0.03</v>
      </c>
      <c r="BS156" s="76" t="s">
        <v>54</v>
      </c>
      <c r="BT156" s="37" t="str">
        <f t="shared" ref="BT156:BT157" si="303">BP156</f>
        <v>SPT : PRV : 2DHH</v>
      </c>
      <c r="BU156" s="82" t="s">
        <v>53</v>
      </c>
      <c r="BV156" s="58">
        <v>0.03</v>
      </c>
      <c r="BW156" s="76" t="s">
        <v>54</v>
      </c>
      <c r="BX156" s="76"/>
      <c r="BY156" s="76"/>
      <c r="BZ156" s="58"/>
      <c r="CA156" s="58"/>
      <c r="CB156" s="58"/>
      <c r="CC156" s="58"/>
      <c r="CD156" s="58"/>
      <c r="CE156" s="43" t="str">
        <f t="shared" ref="CE156:CE157" si="304">BP156</f>
        <v>SPT : PRV : 2DHH</v>
      </c>
      <c r="CF156" s="58">
        <v>0.08</v>
      </c>
      <c r="CG156" s="43"/>
      <c r="CH156" s="58"/>
      <c r="CI156" s="75">
        <v>100</v>
      </c>
      <c r="CJ156" s="75"/>
      <c r="CK156" s="59"/>
      <c r="CL156" s="43" t="s">
        <v>57</v>
      </c>
      <c r="CM156" s="110" t="s">
        <v>41</v>
      </c>
      <c r="CN156" s="59"/>
      <c r="CO156" s="43" t="s">
        <v>57</v>
      </c>
      <c r="CP156" s="110" t="s">
        <v>41</v>
      </c>
      <c r="CQ156" s="59"/>
      <c r="CR156" s="58">
        <v>0.03</v>
      </c>
      <c r="CS156" s="58">
        <v>0.03</v>
      </c>
      <c r="CT156" s="59"/>
      <c r="CU156" s="55">
        <f>IF(D158="Futures",BE160-([1]AB3!$CG$6/1440),IF(D158="Options Sell",BE160-([1]AB3!$CG$12/1440),IF(D158="Options Buy",BE160-([1]AB3!$CG$18/1440),IF(D158="EQUITY",""))))</f>
        <v>0.625</v>
      </c>
      <c r="CV156" s="59"/>
      <c r="CW156" s="59"/>
    </row>
    <row r="157" spans="1:101" ht="15.75" customHeight="1" x14ac:dyDescent="0.2">
      <c r="A157" s="60"/>
      <c r="B157" s="41" t="str">
        <f>CONCATENATE(D156,IF(D158="Futures",[1]AB3!$B$7,IF(D158="Options Sell",[1]AB3!$B$13,IF(D158="Options Buy",[1]AB3!$B$19))))</f>
        <v>S26B</v>
      </c>
      <c r="C157" s="42" t="str">
        <f>IF(D158="Futures",[1]AB3!$C$7,IF(D158="Options Sell",[1]AB3!$C$13,IF(D158="Options Buy",[1]AB3!$C$19)))</f>
        <v>Unique Code</v>
      </c>
      <c r="D157" s="43" t="str">
        <f t="array" ref="D157">IF(A156="","",INDEX([1]AB2!N:N,MATCH(D156,[1]AB2!B:B,0)))</f>
        <v>STOCKS_OP_BUY_MT_DIFF_2D_4D</v>
      </c>
      <c r="E157" s="32"/>
      <c r="F157" s="61" t="str">
        <f>IF(D158="Futures",[1]AB3!$F$7,IF(D158="Options Sell",[1]AB3!$F$13,IF(D158="Options Buy",[1]AB3!$F$19)))</f>
        <v>Put</v>
      </c>
      <c r="G157" s="84" t="str">
        <f t="array" ref="G157">IF(A156="","",IF(D158="Futures",CONCATENATE([1]AB3!$G$7,INDEX([1]AB2!J:J,MATCH(D156,[1]AB2!B:B,0)),[1]AB3!$H$7),IF(D158="Options Sell",CONCATENATE([1]AB3!$G$13,INDEX([1]AB2!I:I,MATCH(D156,[1]AB2!B:B,0)),[1]AB3!$H$13),IF(D158="Options Buy",CONCATENATE([1]AB3!$G$19,INDEX([1]AB2!J:J,MATCH(D156,[1]AB2!B:B,0)),[1]AB3!$H$19)))))</f>
        <v>OPT : PRV : 4D HH</v>
      </c>
      <c r="H157" s="43" t="str">
        <f>IF(D158="Futures",[1]AB3!$I$7,IF(D158="Options Sell",[1]AB3!$I$13,IF(D158="Options Buy",[1]AB3!$I$19)))</f>
        <v xml:space="preserve"> + </v>
      </c>
      <c r="I157" s="46">
        <v>7.0000000000000007E-2</v>
      </c>
      <c r="J157" s="47">
        <v>5</v>
      </c>
      <c r="K157" s="48"/>
      <c r="L157" s="43" t="str">
        <f>IF(D158="Futures",[1]AB3!$M$7,IF(D158="Options Sell",[1]AB3!$M$13,IF(D158="Options Buy",[1]AB3!$M$19)))</f>
        <v xml:space="preserve">PE : Entry </v>
      </c>
      <c r="M157" s="43" t="str">
        <f>IF(D158="Futures",[1]AB3!$N$7,IF(D158="Options Sell",[1]AB3!$N$13,IF(D158="Options Buy",[1]AB3!$N$19)))</f>
        <v xml:space="preserve"> + </v>
      </c>
      <c r="N157" s="58">
        <v>0.03</v>
      </c>
      <c r="O157" s="75">
        <v>1</v>
      </c>
      <c r="P157" s="58">
        <v>4.4999999999999998E-2</v>
      </c>
      <c r="Q157" s="75">
        <v>1</v>
      </c>
      <c r="R157" s="58">
        <v>0.06</v>
      </c>
      <c r="S157" s="75">
        <v>1</v>
      </c>
      <c r="T157" s="58">
        <v>0.08</v>
      </c>
      <c r="U157" s="75">
        <v>1</v>
      </c>
      <c r="V157" s="50" t="s">
        <v>51</v>
      </c>
      <c r="W157" s="75">
        <v>1</v>
      </c>
      <c r="X157" s="76"/>
      <c r="Y157" s="76"/>
      <c r="Z157" s="48"/>
      <c r="AA157" s="43" t="str">
        <f>IF(D158="Futures",[1]AB3!$AD$7,IF(D158="Options Sell",[1]AB3!$AD$13,IF(D158="Options Buy",[1]AB3!$AD$19)))</f>
        <v>Max</v>
      </c>
      <c r="AB157" s="43" t="str">
        <f>IF(D158="Futures",[1]AB3!$AE$7,IF(D158="Options Sell",[1]AB3!$AE$13,IF(D158="Options Buy",[1]AB3!$AE$19)))</f>
        <v>MSL &amp; TSL</v>
      </c>
      <c r="AC157" s="43" t="str">
        <f>IF(D158="Futures",[1]AB3!$AF$7,IF(D158="Options Sell",[1]AB3!$AF$13,IF(D158="Options Buy",[1]AB3!$AF$19)))</f>
        <v>Entry &amp; TRP</v>
      </c>
      <c r="AD157" s="48"/>
      <c r="AE157" s="43" t="str">
        <f>IF(D158="Futures",[1]AB3!$AH$7,IF(D158="Options Sell",[1]AB3!$AH$13,IF(D158="Options Buy",[1]AB3!$AH$19)))</f>
        <v xml:space="preserve">PE : Entry </v>
      </c>
      <c r="AF157" s="43" t="str">
        <f>IF(D158="Futures",[1]AB3!$AI$7,IF(D158="Options Sell",[1]AB3!$AI$13,IF(D158="Options Buy",[1]AB3!$AI$19)))</f>
        <v xml:space="preserve"> - </v>
      </c>
      <c r="AG157" s="58">
        <v>0.03</v>
      </c>
      <c r="AH157" s="58"/>
      <c r="AI157" s="48"/>
      <c r="AJ157" s="43" t="str">
        <f>IF(D158="Futures",[1]AB3!$AO$7,IF(D158="Options Sell",[1]AB3!$AO$13,IF(D158="Options Buy",[1]AB3!$AO$19)))</f>
        <v xml:space="preserve"> - </v>
      </c>
      <c r="AK157" s="43" t="str">
        <f t="array" ref="AK157">IF(A156="","",IF(D158="Futures",CONCATENATE([1]AB3!$AP$7,INDEX([1]AB2!M:M,MATCH(D156,[1]AB2!B:B,0)),[1]AB3!$AQ$7),IF(D158="Options Sell",CONCATENATE([1]AB3!$AP$13,INDEX([1]AB2!L:L,MATCH(D156,[1]AB2!B:B,0)),[1]AB3!$AQ$13),IF(D158="Options Buy",CONCATENATE([1]AB3!$AP$19,INDEX([1]AB2!M:M,MATCH(D156,[1]AB2!B:B,0)),[1]AB3!$AQ$19)))))</f>
        <v>OPT : PRV : 2DLL</v>
      </c>
      <c r="AL157" s="58">
        <v>0.1</v>
      </c>
      <c r="AM157" s="52">
        <f>J156</f>
        <v>5</v>
      </c>
      <c r="AN157" s="43" t="str">
        <f t="array" ref="AN157">IF(A156="","",IF(AND(OR(D160="1 &amp; APS",D160="2 &amp; APS",D160="3 &amp; APS",D160="4 &amp; APS",D160="5 &amp; APS"),D158="Futures"),CONCATENATE([1]AB3!$AP$7,INDEX([1]AB2!M:M,MATCH(D156,[1]AB2!B:B,0)),[1]AB3!$AQ$7),IF(AND(OR(D160="1 &amp; APS",D160="2 &amp; APS",D160="3 &amp; APS",D160="4 &amp; APS",D160="5 &amp; APS"),D158="Options Sell"),CONCATENATE([1]AB3!$AP$13,INDEX([1]AB2!L:L,MATCH(D156,[1]AB2!B:B,0)),[1]AB3!$AQ$13),IF(AND(OR(D160="1 &amp; APS",D160="2 &amp; APS",D160="3 &amp; APS",D160="4 &amp; APS",D160="5 &amp; APS"),D158="Options Buy"),CONCATENATE([1]AB3!$AP$19,INDEX([1]AB2!M:M,MATCH(D156,[1]AB2!B:B,0)),[1]AB3!$AQ$19),[1]AB3!$AR$6))))</f>
        <v>OPT : PRV : 2DLL</v>
      </c>
      <c r="AO157" s="58">
        <v>0.1</v>
      </c>
      <c r="AP157" s="52">
        <f t="shared" si="298"/>
        <v>4</v>
      </c>
      <c r="AQ157" s="43" t="str">
        <f t="array" ref="AQ157">IF(A156="","",IF(AND(OR(D160="2 &amp; APS",D160="3 &amp; APS",D160="4 &amp; APS",D160="5 &amp; APS"),D158="Futures"),CONCATENATE([1]AB3!$AP$7,INDEX([1]AB2!M:M,MATCH(D156,[1]AB2!B:B,0)),[1]AB3!$AQ$7),IF(AND(OR(D160="2 &amp; APS",D160="3 &amp; APS",D160="4 &amp; APS",D160="5 &amp; APS"),D158="Options Sell"),CONCATENATE([1]AB3!$AP$13,INDEX([1]AB2!L:L,MATCH(D156,[1]AB2!B:B,0)),[1]AB3!$AQ$13),IF(AND(OR(D160="2 &amp; APS",D160="3 &amp; APS",D160="4 &amp; APS",D160="5 &amp; APS"),D158="Options Buy"),CONCATENATE([1]AB3!$AP$19,INDEX([1]AB2!M:M,MATCH(D156,[1]AB2!B:B,0)),[1]AB3!$AQ$19),[1]AB3!$AR$6))))</f>
        <v>OPT : PRV : 2DLL</v>
      </c>
      <c r="AR157" s="58">
        <v>0.1</v>
      </c>
      <c r="AS157" s="52">
        <f t="shared" si="299"/>
        <v>3</v>
      </c>
      <c r="AT157" s="43" t="str">
        <f t="array" ref="AT157">IF(A156="","",IF(AND(OR(D160="3 &amp; APS",D160="4 &amp; APS",D160="5 &amp; APS"),D158="Futures"),CONCATENATE([1]AB3!$AP$7,INDEX([1]AB2!M:M,MATCH(D156,[1]AB2!B:B,0)),[1]AB3!$AQ$7),IF(AND(OR(D160="3 &amp; APS",D160="4 &amp; APS",D160="5 &amp; APS"),D158="Options Sell"),CONCATENATE([1]AB3!$AP$13,INDEX([1]AB2!L:L,MATCH(D156,[1]AB2!B:B,0)),[1]AB3!$AQ$13),IF(AND(OR(D160="3 &amp; APS",D160="4 &amp; APS",D160="5 &amp; APS"),D158="Options Buy"),CONCATENATE([1]AB3!$AP$19,INDEX([1]AB2!M:M,MATCH(D156,[1]AB2!B:B,0)),[1]AB3!$AQ$19),[1]AB3!$AR$6))))</f>
        <v>OPT : PRV : 2DLL</v>
      </c>
      <c r="AU157" s="58">
        <v>0.1</v>
      </c>
      <c r="AV157" s="52">
        <f t="shared" si="300"/>
        <v>2</v>
      </c>
      <c r="AW157" s="43" t="str">
        <f t="array" ref="AW157">IF(A156="","",IF(AND(OR(D160="4 &amp; APS",D160="5 &amp; APS"),D158="Futures"),CONCATENATE([1]AB3!$AP$7,INDEX([1]AB2!M:M,MATCH(D156,[1]AB2!B:B,0)),[1]AB3!$AQ$7),IF(AND(OR(D160="4 &amp; APS",D160="5 &amp; APS"),D158="Options Sell"),CONCATENATE([1]AB3!$AP$13,INDEX([1]AB2!L:L,MATCH(D156,[1]AB2!B:B,0)),[1]AB3!$AQ$13),IF(AND(OR(D160="4 &amp; APS",D160="5 &amp; APS"),D158="Options Buy"),CONCATENATE([1]AB3!$AP$19,INDEX([1]AB2!M:M,MATCH(D156,[1]AB2!B:B,0)),[1]AB3!$AQ$19),[1]AB3!$AR$6))))</f>
        <v>OPT : PRV : 2DLL</v>
      </c>
      <c r="AX157" s="58">
        <v>0.1</v>
      </c>
      <c r="AY157" s="52">
        <f t="shared" si="301"/>
        <v>1</v>
      </c>
      <c r="AZ157" s="51">
        <f t="array" ref="AZ157">IF(A156="","",IF(AND(D160="5 &amp; APS",D158="Futures"),CONCATENATE([1]AB3!$AP$7,INDEX([1]AB2!M:M,MATCH(D156,[1]AB2!B:B,0)),[1]AB3!$AQ$7),IF(AND(D160="5 &amp; APS",D158="Options Sell"),CONCATENATE([1]AB3!$AP$13,INDEX([1]AB2!L:L,MATCH(D156,[1]AB2!B:B,0)),[1]AB3!$AQ$13),IF(AND(D160="5 &amp; APS",D158="Options Buy"),CONCATENATE([1]AB3!$AP$19,INDEX([1]AB2!M:M,MATCH(D156,[1]AB2!B:B,0)),[1]AB3!$AQ$19),[1]AB3!$AR$6))))</f>
        <v>0</v>
      </c>
      <c r="BA157" s="58" t="s">
        <v>52</v>
      </c>
      <c r="BB157" s="52">
        <f t="shared" si="302"/>
        <v>0</v>
      </c>
      <c r="BC157" s="53"/>
      <c r="BD157" s="54" t="str">
        <f>IF(D158="Futures",[1]AB3!$BE$7,IF(D158="Options Sell",[1]AB3!$BE$13,IF(D158="Options Buy",[1]AB3!$BE$19)))</f>
        <v xml:space="preserve"> RC. Time</v>
      </c>
      <c r="BE157" s="55">
        <f>IF(D158="Futures",BE159+([1]AB3!$BF$7/1440),IF(D158="Options Sell",BE159+([1]AB3!$BF$13/1440),IF(D158="Options Buy",BE159+([1]AB3!$BF$19/1440))))</f>
        <v>0.39582638888888888</v>
      </c>
      <c r="BF157" s="55">
        <f>IF(D158="Futures",BE159+([1]AB3!$BG$7/1440),IF(D158="Options Sell",BE159+([1]AB3!$BG$13/1440),IF(D158="Options Buy",BE159+([1]AB3!$BG$19/1440))))</f>
        <v>0.39582638888888888</v>
      </c>
      <c r="BG157" s="55" t="str">
        <f>IF(D158="Futures",[1]AB3!$BH$7,IF(D158="Options Sell",[1]AB3!$BH$7,IF(D158="Options Buy",[1]AB3!$BH$7)))</f>
        <v>N.A.</v>
      </c>
      <c r="BH157" s="57"/>
      <c r="BI157" s="32"/>
      <c r="BJ157" s="61" t="str">
        <f>IF(D158="Futures",[1]AB3!$BK$7,IF(D158="Options Sell",[1]AB3!$BK$13,IF(D158="Options Buy",[1]AB3!$BK$19)))</f>
        <v>Put</v>
      </c>
      <c r="BK157" s="58">
        <v>7.0000000000000007E-2</v>
      </c>
      <c r="BL157" s="58">
        <v>0.1</v>
      </c>
      <c r="BM157" s="57"/>
      <c r="BN157" s="32"/>
      <c r="BO157" s="61" t="str">
        <f>IF(D158="Futures",[1]AB3!$BP$7,IF(D158="Options Sell",[1]AB3!$BP$13,IF(D158="Options Buy",[1]AB3!$BP$19)))</f>
        <v>Put</v>
      </c>
      <c r="BP157" s="43" t="str">
        <f t="array" ref="BP157">IF(A156="","",IF(D158="Futures","",IF(D158="EQUITY","",IF(D158="Options Sell",CONCATENATE([1]AB3!$BQ$13,INDEX([1]AB2!I:I,MATCH(A156,[1]AB2!A:A,0)),[1]AB3!$BR$13),IF(D158="Options Buy",CONCATENATE([1]AB3!$BQ$19,INDEX([1]AB2!J:J,MATCH(A156,[1]AB2!A:A,0)),[1]AB3!$BR$19))))))</f>
        <v>SPT : PRV : 4DLL</v>
      </c>
      <c r="BQ157" s="82" t="s">
        <v>53</v>
      </c>
      <c r="BR157" s="58">
        <v>0.03</v>
      </c>
      <c r="BS157" s="76" t="s">
        <v>56</v>
      </c>
      <c r="BT157" s="84" t="str">
        <f t="shared" si="303"/>
        <v>SPT : PRV : 4DLL</v>
      </c>
      <c r="BU157" s="83" t="s">
        <v>55</v>
      </c>
      <c r="BV157" s="58">
        <v>0.03</v>
      </c>
      <c r="BW157" s="76" t="s">
        <v>56</v>
      </c>
      <c r="BX157" s="85"/>
      <c r="BY157" s="76"/>
      <c r="BZ157" s="58"/>
      <c r="CA157" s="58"/>
      <c r="CB157" s="58"/>
      <c r="CC157" s="58"/>
      <c r="CD157" s="58"/>
      <c r="CE157" s="43" t="str">
        <f t="shared" si="304"/>
        <v>SPT : PRV : 4DLL</v>
      </c>
      <c r="CF157" s="58">
        <v>0.08</v>
      </c>
      <c r="CG157" s="43"/>
      <c r="CH157" s="58"/>
      <c r="CI157" s="75">
        <v>100</v>
      </c>
      <c r="CJ157" s="75"/>
      <c r="CK157" s="59"/>
      <c r="CL157" s="43" t="s">
        <v>57</v>
      </c>
      <c r="CM157" s="110" t="s">
        <v>41</v>
      </c>
      <c r="CN157" s="59"/>
      <c r="CO157" s="43" t="s">
        <v>57</v>
      </c>
      <c r="CP157" s="110" t="s">
        <v>41</v>
      </c>
      <c r="CQ157" s="59"/>
      <c r="CR157" s="58">
        <v>0.03</v>
      </c>
      <c r="CS157" s="58">
        <v>0.03</v>
      </c>
      <c r="CT157" s="59"/>
      <c r="CU157" s="43"/>
      <c r="CV157" s="59"/>
      <c r="CW157" s="59"/>
    </row>
    <row r="158" spans="1:101" ht="15.75" customHeight="1" x14ac:dyDescent="0.2">
      <c r="A158" s="60"/>
      <c r="B158" s="41" t="str">
        <f>CONCATENATE(D156,IF(D158="Futures",[1]AB3!$B$8,IF(D158="Options Sell",[1]AB3!$B$14,IF(D158="Options Buy",[1]AB3!$B$20))))</f>
        <v>S26C</v>
      </c>
      <c r="C158" s="42" t="str">
        <f>IF(D158="Futures",[1]AB3!$C$8,IF(D158="Options Sell",[1]AB3!$C$14,IF(D158="Options Buy",[1]AB3!$C$20)))</f>
        <v>Segment</v>
      </c>
      <c r="D158" s="43" t="str">
        <f t="array" ref="D158">IF(A156="","",INDEX([1]AB2!C:C,MATCH(D156,[1]AB2!B:B,0)))</f>
        <v>OPTIONS BUY</v>
      </c>
      <c r="E158" s="42" t="str">
        <f>IF(D158="Futures",[1]AB3!$E$8,IF(D158="Options Sell",[1]AB3!$E$14,IF(D158="Options Buy",[1]AB3!$E$20)))</f>
        <v>Contract</v>
      </c>
      <c r="F158" s="43" t="str">
        <f t="array" ref="F158">IF(A156="","",INDEX([1]AB2!F:F,MATCH(D156,[1]AB2!B:B,0)))</f>
        <v>MONTHLY</v>
      </c>
      <c r="G158" s="105"/>
      <c r="H158" s="62"/>
      <c r="I158" s="62"/>
      <c r="J158" s="89"/>
      <c r="K158" s="48"/>
      <c r="L158" s="62"/>
      <c r="M158" s="62"/>
      <c r="N158" s="62"/>
      <c r="O158" s="89"/>
      <c r="P158" s="62"/>
      <c r="Q158" s="89"/>
      <c r="R158" s="62"/>
      <c r="S158" s="89"/>
      <c r="T158" s="62"/>
      <c r="U158" s="89"/>
      <c r="V158" s="62"/>
      <c r="W158" s="89"/>
      <c r="X158" s="62"/>
      <c r="Y158" s="62"/>
      <c r="Z158" s="48"/>
      <c r="AA158" s="62"/>
      <c r="AB158" s="62"/>
      <c r="AC158" s="62"/>
      <c r="AD158" s="48"/>
      <c r="AE158" s="62"/>
      <c r="AF158" s="62"/>
      <c r="AG158" s="62"/>
      <c r="AH158" s="62"/>
      <c r="AI158" s="48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  <c r="BC158" s="53"/>
      <c r="BD158" s="57"/>
      <c r="BE158" s="57"/>
      <c r="BF158" s="57"/>
      <c r="BG158" s="57"/>
      <c r="BH158" s="57"/>
      <c r="BI158" s="66"/>
      <c r="BJ158" s="62"/>
      <c r="BK158" s="62"/>
      <c r="BL158" s="62"/>
      <c r="BM158" s="57"/>
      <c r="BN158" s="66"/>
      <c r="BO158" s="62"/>
      <c r="BP158" s="62"/>
      <c r="BQ158" s="93"/>
      <c r="BR158" s="62"/>
      <c r="BS158" s="62"/>
      <c r="BT158" s="94"/>
      <c r="BU158" s="93"/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59"/>
      <c r="CL158" s="62"/>
      <c r="CM158" s="62"/>
      <c r="CN158" s="59"/>
      <c r="CO158" s="62"/>
      <c r="CP158" s="62"/>
      <c r="CQ158" s="59"/>
      <c r="CR158" s="62"/>
      <c r="CS158" s="62"/>
      <c r="CT158" s="59"/>
      <c r="CU158" s="62"/>
      <c r="CV158" s="59"/>
      <c r="CW158" s="59"/>
    </row>
    <row r="159" spans="1:101" ht="15.75" customHeight="1" x14ac:dyDescent="0.2">
      <c r="A159" s="60"/>
      <c r="B159" s="41" t="str">
        <f>CONCATENATE(D156,IF(D158="Futures",[1]AB3!$B$9,IF(D158="Options Sell",[1]AB3!$B$15,IF(D158="Options Buy",[1]AB3!$B$21))))</f>
        <v>S26D</v>
      </c>
      <c r="C159" s="42" t="str">
        <f>IF(D158="Futures",[1]AB3!$C$9,IF(D158="Options Sell",[1]AB3!$C$15,IF(D158="Options Buy",[1]AB3!$C$21)))</f>
        <v>Symbol</v>
      </c>
      <c r="D159" s="43" t="str">
        <f t="array" ref="D159">IF(A156="","",INDEX([1]AB2!E:E,MATCH(D156,[1]AB2!B:B,0)))</f>
        <v>STOCKS</v>
      </c>
      <c r="E159" s="44" t="str">
        <f>IF(D158="Futures",[1]AB3!$E$9,IF(D158="Options Sell",[1]AB3!$E$15,IF(D158="Options Buy",[1]AB3!$E$21)))</f>
        <v>Bear / 
Bear CF</v>
      </c>
      <c r="F159" s="45" t="str">
        <f>IF(D158="Futures",[1]AB3!$F$9,IF(D158="Options Sell",[1]AB3!$F$15,IF(D158="Options Buy",[1]AB3!$F$21)))</f>
        <v>Call</v>
      </c>
      <c r="G159" s="84" t="str">
        <f t="array" ref="G159">IF(A156="","",IF(D158="Futures",CONCATENATE([1]AB3!$G$9,INDEX([1]AB2!J:J,MATCH(D156,[1]AB2!B:B,0)),[1]AB3!$H$9),IF(D158="Options Sell",CONCATENATE([1]AB3!$G$15,INDEX([1]AB2!I:I,MATCH(D156,[1]AB2!B:B,0)),[1]AB3!$H$15),IF(D158="Options Buy",CONCATENATE([1]AB3!$G$21,INDEX([1]AB2!J:J,MATCH(D156,[1]AB2!B:B,0)),[1]AB3!$H$21)))))</f>
        <v>OPT : PRV : 4D HH</v>
      </c>
      <c r="H159" s="43" t="str">
        <f>IF(D158="Futures",[1]AB3!$I$9,IF(D158="Options Sell",[1]AB3!$I$15,IF(D158="Options Buy",[1]AB3!$I$21)))</f>
        <v xml:space="preserve"> + </v>
      </c>
      <c r="I159" s="58">
        <v>7.0000000000000007E-2</v>
      </c>
      <c r="J159" s="75">
        <v>5</v>
      </c>
      <c r="K159" s="48"/>
      <c r="L159" s="43" t="str">
        <f>IF(D158="Futures",[1]AB3!$M$9,IF(D158="Options Sell",[1]AB3!$M$15,IF(D158="Options Buy",[1]AB3!$M$21)))</f>
        <v xml:space="preserve">CE : Entry </v>
      </c>
      <c r="M159" s="43" t="str">
        <f>IF(D158="Futures",[1]AB3!$N$9,IF(D158="Options Sell",[1]AB3!$N$15,IF(D158="Options Buy",[1]AB3!$N$21)))</f>
        <v xml:space="preserve"> + </v>
      </c>
      <c r="N159" s="58">
        <v>0.03</v>
      </c>
      <c r="O159" s="75">
        <v>1</v>
      </c>
      <c r="P159" s="58">
        <v>4.4999999999999998E-2</v>
      </c>
      <c r="Q159" s="75">
        <v>1</v>
      </c>
      <c r="R159" s="58">
        <v>0.06</v>
      </c>
      <c r="S159" s="75">
        <v>1</v>
      </c>
      <c r="T159" s="58">
        <v>0.08</v>
      </c>
      <c r="U159" s="75">
        <v>1</v>
      </c>
      <c r="V159" s="50" t="s">
        <v>51</v>
      </c>
      <c r="W159" s="75">
        <v>1</v>
      </c>
      <c r="X159" s="76"/>
      <c r="Y159" s="76"/>
      <c r="Z159" s="48"/>
      <c r="AA159" s="43" t="str">
        <f>IF(D158="Futures",[1]AB3!$AD$9,IF(D158="Options Sell",[1]AB3!$AD$15,IF(D158="Options Buy",[1]AB3!$AD$21)))</f>
        <v>Max</v>
      </c>
      <c r="AB159" s="43" t="str">
        <f>IF(D158="Futures",[1]AB3!$AE$9,IF(D158="Options Sell",[1]AB3!$AE$15,IF(D158="Options Buy",[1]AB3!$AE$21)))</f>
        <v>MSL &amp; TSL</v>
      </c>
      <c r="AC159" s="43" t="str">
        <f>IF(D158="Futures",[1]AB3!$AF$9,IF(D158="Options Sell",[1]AB3!$AF$15,IF(D158="Options Buy",[1]AB3!$AF$21)))</f>
        <v>Entry &amp; TRP</v>
      </c>
      <c r="AD159" s="48"/>
      <c r="AE159" s="43" t="str">
        <f>IF(D158="Futures",[1]AB3!$AH$9,IF(D158="Options Sell",[1]AB3!$AH$15,IF(D158="Options Buy",[1]AB3!$AH$21)))</f>
        <v xml:space="preserve">CE : Entry </v>
      </c>
      <c r="AF159" s="43" t="str">
        <f>IF(D158="Futures",[1]AB3!$AI$9,IF(D158="Options Sell",[1]AB3!$AI$15,IF(D158="Options Buy",[1]AB3!$AI$21)))</f>
        <v xml:space="preserve"> - </v>
      </c>
      <c r="AG159" s="58">
        <v>0.03</v>
      </c>
      <c r="AH159" s="58"/>
      <c r="AI159" s="48"/>
      <c r="AJ159" s="43" t="str">
        <f>IF(D158="Futures",[1]AB3!$AO$9,IF(D158="Options Sell",[1]AB3!$AO$15,IF(D158="Options Buy",[1]AB3!$AO$21)))</f>
        <v xml:space="preserve"> - </v>
      </c>
      <c r="AK159" s="43" t="str">
        <f t="array" ref="AK159">IF(A156="","",IF(D158="Futures",CONCATENATE([1]AB3!$AP$9,INDEX([1]AB2!M:M,MATCH(D156,[1]AB2!B:B,0)),[1]AB3!$AQ$9),IF(D158="Options Sell",CONCATENATE([1]AB3!$AP$15,INDEX([1]AB2!L:L,MATCH(D156,[1]AB2!B:B,0)),[1]AB3!$AQ$15),IF(D158="Options Buy",CONCATENATE([1]AB3!$AP$21,INDEX([1]AB2!M:M,MATCH(D156,[1]AB2!B:B,0)),[1]AB3!$AQ$21)))))</f>
        <v>OPT : PRV : 2DLL</v>
      </c>
      <c r="AL159" s="58">
        <v>0.1</v>
      </c>
      <c r="AM159" s="52">
        <f>J160</f>
        <v>5</v>
      </c>
      <c r="AN159" s="43" t="str">
        <f t="array" ref="AN159">IF(A156="","",IF(AND(OR(D160="1 &amp; APS",D160="2 &amp; APS",D160="3 &amp; APS",D160="4 &amp; APS",D160="5 &amp; APS"),D158="Futures"),CONCATENATE([1]AB3!$AP$9,INDEX([1]AB2!M:M,MATCH(D156,[1]AB2!B:B,0)),[1]AB3!$AQ$9),IF(AND(OR(D160="1 &amp; APS",D160="2 &amp; APS",D160="3 &amp; APS",D160="4 &amp; APS",D160="5 &amp; APS"),D158="Options Sell"),CONCATENATE([1]AB3!$AP$15,INDEX([1]AB2!L:L,MATCH(D156,[1]AB2!B:B,0)),[1]AB3!$AQ$15),IF(AND(OR(D160="1 &amp; APS",D160="2 &amp; APS",D160="3 &amp; APS",D160="4 &amp; APS",D160="5 &amp; APS"),D158="Options Buy"),CONCATENATE([1]AB3!$AP$21,INDEX([1]AB2!M:M,MATCH(D156,[1]AB2!B:B,0)),[1]AB3!$AQ$21),[1]AB3!$AR$6))))</f>
        <v>OPT : PRV : 2DLL</v>
      </c>
      <c r="AO159" s="58">
        <v>0.1</v>
      </c>
      <c r="AP159" s="52">
        <f t="shared" ref="AP159:AP160" si="305">AM159-O159</f>
        <v>4</v>
      </c>
      <c r="AQ159" s="43" t="str">
        <f t="array" ref="AQ159">IF(A156="","",IF(AND(OR(D160="2 &amp; APS",D160="3 &amp; APS",D160="4 &amp; APS",D160="5 &amp; APS"),D158="Futures"),CONCATENATE([1]AB3!$AP$9,INDEX([1]AB2!M:M,MATCH(D156,[1]AB2!B:B,0)),[1]AB3!$AQ$9),IF(AND(OR(D160="2 &amp; APS",D160="3 &amp; APS",D160="4 &amp; APS",D160="5 &amp; APS"),D158="Options Sell"),CONCATENATE([1]AB3!$AP$15,INDEX([1]AB2!L:L,MATCH(D156,[1]AB2!B:B,0)),[1]AB3!$AQ$15),IF(AND(OR(D160="2 &amp; APS",D160="3 &amp; APS",D160="4 &amp; APS",D160="5 &amp; APS"),D158="Options Buy"),CONCATENATE([1]AB3!$AP$21,INDEX([1]AB2!M:M,MATCH(D156,[1]AB2!B:B,0)),[1]AB3!$AQ$21),[1]AB3!$AR$6))))</f>
        <v>OPT : PRV : 2DLL</v>
      </c>
      <c r="AR159" s="58">
        <v>0.1</v>
      </c>
      <c r="AS159" s="52">
        <f t="shared" ref="AS159:AS160" si="306">AP159-Q159</f>
        <v>3</v>
      </c>
      <c r="AT159" s="43" t="str">
        <f t="array" ref="AT159">IF(A156="","",IF(AND(OR(D160="3 &amp; APS",D160="4 &amp; APS",D160="5 &amp; APS"),D158="Futures"),CONCATENATE([1]AB3!$AP$9,INDEX([1]AB2!M:M,MATCH(D156,[1]AB2!B:B,0)),[1]AB3!$AQ$9),IF(AND(OR(D160="3 &amp; APS",D160="4 &amp; APS",D160="5 &amp; APS"),D158="Options Sell"),CONCATENATE([1]AB3!$AP$15,INDEX([1]AB2!L:L,MATCH(D156,[1]AB2!B:B,0)),[1]AB3!$AQ$15),IF(AND(OR(D160="3 &amp; APS",D160="4 &amp; APS",D160="5 &amp; APS"),D158="Options Buy"),CONCATENATE([1]AB3!$AP$21,INDEX([1]AB2!M:M,MATCH(D156,[1]AB2!B:B,0)),[1]AB3!$AQ$21),[1]AB3!$AR$6))))</f>
        <v>OPT : PRV : 2DLL</v>
      </c>
      <c r="AU159" s="58">
        <v>0.1</v>
      </c>
      <c r="AV159" s="52">
        <f t="shared" ref="AV159:AV160" si="307">AS159-S159</f>
        <v>2</v>
      </c>
      <c r="AW159" s="43" t="str">
        <f t="array" ref="AW159">IF(A156="","",IF(AND(OR(D160="4 &amp; APS",D160="5 &amp; APS"),D158="Futures"),CONCATENATE([1]AB3!$AP$9,INDEX([1]AB2!M:M,MATCH(D156,[1]AB2!B:B,0)),[1]AB3!$AQ$9),IF(AND(OR(D160="4 &amp; APS",D160="5 &amp; APS"),D158="Options Sell"),CONCATENATE([1]AB3!$AP$15,INDEX([1]AB2!L:L,MATCH(D156,[1]AB2!B:B,0)),[1]AB3!$AQ$15),IF(AND(OR(D160="4 &amp; APS",D160="5 &amp; APS"),D158="Options Buy"),CONCATENATE([1]AB3!$AP$21,INDEX([1]AB2!M:M,MATCH(D156,[1]AB2!B:B,0)),[1]AB3!$AQ$21),[1]AB3!$AR$6))))</f>
        <v>OPT : PRV : 2DLL</v>
      </c>
      <c r="AX159" s="58">
        <v>0.1</v>
      </c>
      <c r="AY159" s="52">
        <f t="shared" ref="AY159:AY160" si="308">AV159-S159</f>
        <v>1</v>
      </c>
      <c r="AZ159" s="51">
        <f t="array" ref="AZ159">IF(A156="","",IF(AND(D160="5 &amp; APS",D158="Futures"),CONCATENATE([1]AB3!$AP$9,INDEX([1]AB2!M:M,MATCH(D156,[1]AB2!B:B,0)),[1]AB3!$AQ$9),IF(AND(D160="5 &amp; APS",D158="Options Sell"),CONCATENATE([1]AB3!$AP$15,INDEX([1]AB2!L:L,MATCH(D156,[1]AB2!B:B,0)),[1]AB3!$AQ$15),IF(AND(D160="5 &amp; APS",D158="Options Buy"),CONCATENATE([1]AB3!$AP$21,INDEX([1]AB2!M:M,MATCH(D156,[1]AB2!B:B,0)),[1]AB3!$AQ$21),[1]AB3!$AR$6))))</f>
        <v>0</v>
      </c>
      <c r="BA159" s="58" t="s">
        <v>52</v>
      </c>
      <c r="BB159" s="52">
        <f t="shared" ref="BB159:BB160" si="309">AY159-W159</f>
        <v>0</v>
      </c>
      <c r="BC159" s="53"/>
      <c r="BD159" s="54" t="str">
        <f>IF(D158="Futures",[1]AB3!$BE$9,IF(D158="Options Sell",[1]AB3!$BE$15,IF(D158="Options Buy",[1]AB3!$BE$21)))</f>
        <v>Market Start Time</v>
      </c>
      <c r="BE159" s="67">
        <f t="array" ref="BE159">IF(D156="","",INDEX([1]AB2!AG:AG,MATCH(D156,[1]AB2!B:B,0)))</f>
        <v>0.38541666666666669</v>
      </c>
      <c r="BF159" s="11"/>
      <c r="BG159" s="12"/>
      <c r="BH159" s="57"/>
      <c r="BI159" s="68" t="str">
        <f>IF(D158="Futures",[1]AB3!$BJ$9,IF(D158="Options Sell",[1]AB3!$BJ$15,IF(D158="Options Buy",[1]AB3!$BJ$21)))</f>
        <v>Bear / 
Bear CF</v>
      </c>
      <c r="BJ159" s="45" t="str">
        <f>IF(D158="Futures",[1]AB3!$BK$9,IF(D158="Options Sell",[1]AB3!$BK$15,IF(D158="Options Buy",[1]AB3!$BK$21)))</f>
        <v>Call</v>
      </c>
      <c r="BK159" s="58">
        <v>7.0000000000000007E-2</v>
      </c>
      <c r="BL159" s="58">
        <v>0.1</v>
      </c>
      <c r="BM159" s="57"/>
      <c r="BN159" s="68" t="str">
        <f>IF(D158="Futures",[1]AB3!$BO$9,IF(D158="Options Sell",[1]AB3!$BO$15,IF(D158="Options Buy",[1]AB3!$BO$21)))</f>
        <v>Bear | 
Bear CF</v>
      </c>
      <c r="BO159" s="45" t="str">
        <f>IF(D158="Futures",[1]AB3!$BP$9,IF(D158="Options Sell",[1]AB3!$BP$15,IF(D158="Options Buy",[1]AB3!$BP$21)))</f>
        <v>Call</v>
      </c>
      <c r="BP159" s="43" t="str">
        <f t="array" ref="BP159">IF(A156="","",IF(D158="Futures","",IF(D158="EQUITY","",IF(D158="Options Sell",CONCATENATE([1]AB3!$BQ$15,INDEX([1]AB2!I:I,MATCH(A156,[1]AB2!A:A,0)),[1]AB3!$BR$15),IF(D158="Options Buy",CONCATENATE([1]AB3!$BQ$21,INDEX([1]AB2!J:J,MATCH(A156,[1]AB2!A:A,0)),[1]AB3!$BR$21))))))</f>
        <v>SPT : PRV : 4DHH</v>
      </c>
      <c r="BQ159" s="82" t="s">
        <v>55</v>
      </c>
      <c r="BR159" s="58">
        <v>0.03</v>
      </c>
      <c r="BS159" s="76" t="s">
        <v>54</v>
      </c>
      <c r="BT159" s="84" t="str">
        <f t="shared" ref="BT159:BT160" si="310">BP159</f>
        <v>SPT : PRV : 4DHH</v>
      </c>
      <c r="BU159" s="82" t="s">
        <v>53</v>
      </c>
      <c r="BV159" s="58">
        <v>0.03</v>
      </c>
      <c r="BW159" s="76" t="s">
        <v>54</v>
      </c>
      <c r="BX159" s="76"/>
      <c r="BY159" s="76"/>
      <c r="BZ159" s="58"/>
      <c r="CA159" s="58"/>
      <c r="CB159" s="58"/>
      <c r="CC159" s="58"/>
      <c r="CD159" s="58"/>
      <c r="CE159" s="43" t="str">
        <f t="shared" ref="CE159:CE160" si="311">BP159</f>
        <v>SPT : PRV : 4DHH</v>
      </c>
      <c r="CF159" s="58">
        <v>0.08</v>
      </c>
      <c r="CG159" s="43"/>
      <c r="CH159" s="58"/>
      <c r="CI159" s="75">
        <v>100</v>
      </c>
      <c r="CJ159" s="75"/>
      <c r="CK159" s="59"/>
      <c r="CL159" s="43" t="s">
        <v>57</v>
      </c>
      <c r="CM159" s="110" t="s">
        <v>41</v>
      </c>
      <c r="CN159" s="59"/>
      <c r="CO159" s="43" t="s">
        <v>57</v>
      </c>
      <c r="CP159" s="110" t="s">
        <v>41</v>
      </c>
      <c r="CQ159" s="59"/>
      <c r="CR159" s="58">
        <v>0.03</v>
      </c>
      <c r="CS159" s="58">
        <v>0.03</v>
      </c>
      <c r="CT159" s="59"/>
      <c r="CU159" s="43"/>
      <c r="CV159" s="59"/>
      <c r="CW159" s="59"/>
    </row>
    <row r="160" spans="1:101" ht="15.75" customHeight="1" x14ac:dyDescent="0.2">
      <c r="A160" s="32"/>
      <c r="B160" s="41" t="str">
        <f>CONCATENATE(D156,IF(D158="Futures",[1]AB3!$B$10,IF(D158="Options Sell",[1]AB3!$B$16,IF(D158="Options Buy",[1]AB3!$B$22))))</f>
        <v>S26E</v>
      </c>
      <c r="C160" s="42" t="str">
        <f>IF(D158="Futures",[1]AB3!$C$10,IF(D158="Options Sell",[1]AB3!$C$16,IF(D158="Options Buy",[1]AB3!$C$22)))</f>
        <v>No. of Targets</v>
      </c>
      <c r="D160" s="43" t="str">
        <f t="array" ref="D160">IF(A156="","",INDEX([1]AB2!K:K,MATCH(D156,[1]AB2!B:B,0)))</f>
        <v>4 &amp; APS</v>
      </c>
      <c r="E160" s="32"/>
      <c r="F160" s="61" t="str">
        <f>IF(D158="Futures",[1]AB3!$F$10,IF(D158="Options Sell",[1]AB3!$F$16,IF(D158="Options Buy",[1]AB3!$F$22)))</f>
        <v>Put</v>
      </c>
      <c r="G160" s="84" t="str">
        <f t="array" ref="G160">(IF(A156="","",IF(D158="Futures",CONCATENATE([1]AB3!$G$10,INDEX([1]AB2!I:I,MATCH(D156,[1]AB2!B:B,0)),[1]AB3!$H$10),IF(D158="Options Sell",CONCATENATE([1]AB3!$G$16,INDEX([1]AB2!J:J,MATCH(D156,[1]AB2!B:B,0)),[1]AB3!$H$16),IF(D158="Options Buy",CONCATENATE([1]AB3!$G$22,INDEX([1]AB2!I:I,MATCH(D156,[1]AB2!B:B,0)),[1]AB3!$H$22))))))</f>
        <v>OPT : PRV : 2D HH</v>
      </c>
      <c r="H160" s="43" t="str">
        <f>IF(D158="Futures",[1]AB3!$I$10,IF(D158="Options Sell",[1]AB3!$I$16,IF(D158="Options Buy",[1]AB3!$I$22)))</f>
        <v xml:space="preserve"> + </v>
      </c>
      <c r="I160" s="58">
        <v>0.05</v>
      </c>
      <c r="J160" s="75">
        <v>5</v>
      </c>
      <c r="K160" s="48"/>
      <c r="L160" s="43" t="str">
        <f>IF(D158="Futures",[1]AB3!$M$10,IF(D158="Options Sell",[1]AB3!$M$16,IF(D158="Options Buy",[1]AB3!$M$22)))</f>
        <v xml:space="preserve">PE : Entry </v>
      </c>
      <c r="M160" s="43" t="str">
        <f>IF(D158="Futures",[1]AB3!$N$10,IF(D158="Options Sell",[1]AB3!$N$16,IF(D158="Options Buy",[1]AB3!$N$22)))</f>
        <v xml:space="preserve"> + </v>
      </c>
      <c r="N160" s="58">
        <v>0.03</v>
      </c>
      <c r="O160" s="75">
        <v>1</v>
      </c>
      <c r="P160" s="58">
        <v>4.4999999999999998E-2</v>
      </c>
      <c r="Q160" s="75">
        <v>1</v>
      </c>
      <c r="R160" s="58">
        <v>0.06</v>
      </c>
      <c r="S160" s="75">
        <v>1</v>
      </c>
      <c r="T160" s="58">
        <v>0.08</v>
      </c>
      <c r="U160" s="75">
        <v>1</v>
      </c>
      <c r="V160" s="50" t="s">
        <v>51</v>
      </c>
      <c r="W160" s="75">
        <v>1</v>
      </c>
      <c r="X160" s="76"/>
      <c r="Y160" s="76"/>
      <c r="Z160" s="48"/>
      <c r="AA160" s="43" t="str">
        <f>IF(D158="Futures",[1]AB3!$AD$10,IF(D158="Options Sell",[1]AB3!$AD$16,IF(D158="Options Buy",[1]AB3!$AD$22)))</f>
        <v>Max</v>
      </c>
      <c r="AB160" s="43" t="str">
        <f>IF(D158="Futures",[1]AB3!$AE$10,IF(D158="Options Sell",[1]AB3!$AE$16,IF(D158="Options Buy",[1]AB3!$AE$22)))</f>
        <v>MSL &amp; TSL</v>
      </c>
      <c r="AC160" s="43" t="str">
        <f>IF(D158="Futures",[1]AB3!$AF$10,IF(D158="Options Sell",[1]AB3!$AF$16,IF(D158="Options Buy",[1]AB3!$AF$22)))</f>
        <v>Entry &amp; TRP</v>
      </c>
      <c r="AD160" s="48"/>
      <c r="AE160" s="43" t="str">
        <f>IF(D158="Futures",[1]AB3!$AH$10,IF(D158="Options Sell",[1]AB3!$AH$16,IF(D158="Options Buy",[1]AB3!$AH$22)))</f>
        <v xml:space="preserve">PE : Entry </v>
      </c>
      <c r="AF160" s="43" t="str">
        <f>IF(D158="Futures",[1]AB3!$AI$10,IF(D158="Options Sell",[1]AB3!$AI$16,IF(D158="Options Buy",[1]AB3!$AI$22)))</f>
        <v xml:space="preserve"> - </v>
      </c>
      <c r="AG160" s="58">
        <v>0.03</v>
      </c>
      <c r="AH160" s="58"/>
      <c r="AI160" s="48"/>
      <c r="AJ160" s="43" t="str">
        <f>IF(D158="Futures",[1]AB3!$AO$10,IF(D158="Options Sell",[1]AB3!$AO$16,IF(D158="Options Buy",[1]AB3!$AO$22)))</f>
        <v xml:space="preserve"> - </v>
      </c>
      <c r="AK160" s="43" t="str">
        <f t="array" ref="AK160">IF(A156="","",IF(D158="Futures",CONCATENATE([1]AB3!$AP$10,INDEX([1]AB2!L:L,MATCH(D156,[1]AB2!B:B,0)),[1]AB3!$AQ$10),IF(D158="Options Sell",CONCATENATE([1]AB3!$AP$16,INDEX([1]AB2!M:M,MATCH(D156,[1]AB2!B:B,0)),[1]AB3!$AQ$16),IF(D158="Options Buy",CONCATENATE([1]AB3!$AP$22,INDEX([1]AB2!L:L,MATCH(D156,[1]AB2!B:B,0)),[1]AB3!$AQ$22)))))</f>
        <v>OPT : PRV : 3DLL</v>
      </c>
      <c r="AL160" s="58">
        <v>0.12</v>
      </c>
      <c r="AM160" s="52">
        <f>J159</f>
        <v>5</v>
      </c>
      <c r="AN160" s="43" t="str">
        <f t="array" ref="AN160">IF(A156="","",IF(AND(OR(D160="1 &amp; APS",D160="2 &amp; APS",D160="3 &amp; APS",D160="4 &amp; APS",D160="5 &amp; APS"),D158="Futures"),CONCATENATE([1]AB3!$AP$10,INDEX([1]AB2!L:L,MATCH(D156,[1]AB2!B:B,0)),[1]AB3!$AQ$10),IF(AND(OR(D160="1 &amp; APS",D160="2 &amp; APS",D160="3 &amp; APS",D160="4 &amp; APS",D160="5 &amp; APS"),D158="Options Sell"),CONCATENATE([1]AB3!$AP$16,INDEX([1]AB2!M:M,MATCH(D156,[1]AB2!B:B,0)),[1]AB3!$AQ$16),IF(AND(OR(D160="1 &amp; APS",D160="2 &amp; APS",D160="3 &amp; APS",D160="4 &amp; APS",D160="5 &amp; APS"),D158="Options Buy"),CONCATENATE([1]AB3!$AP$22,INDEX([1]AB2!L:L,MATCH(D156,[1]AB2!B:B,0)),[1]AB3!$AQ$22),[1]AB3!$AR$6))))</f>
        <v>OPT : PRV : 3DLL</v>
      </c>
      <c r="AO160" s="58">
        <v>0.12</v>
      </c>
      <c r="AP160" s="52">
        <f t="shared" si="305"/>
        <v>4</v>
      </c>
      <c r="AQ160" s="43" t="str">
        <f t="array" ref="AQ160">IF(A156="","",IF(AND(OR(D160="2 &amp; APS",D160="3 &amp; APS",D160="4 &amp; APS",D160="5 &amp; APS"),D158="Futures"),CONCATENATE([1]AB3!$AP$10,INDEX([1]AB2!L:L,MATCH(D156,[1]AB2!B:B,0)),[1]AB3!$AQ$10),IF(AND(OR(D160="2 &amp; APS",D160="3 &amp; APS",D160="4 &amp; APS",D160="5 &amp; APS"),D158="Options Sell"),CONCATENATE([1]AB3!$AP$16,INDEX([1]AB2!M:M,MATCH(D156,[1]AB2!B:B,0)),[1]AB3!$AQ$16),IF(AND(OR(D160="2 &amp; APS",D160="3 &amp; APS",D160="4 &amp; APS",D160="5 &amp; APS"),D158="Options Buy"),CONCATENATE([1]AB3!$AP$22,INDEX([1]AB2!L:L,MATCH(D156,[1]AB2!B:B,0)),[1]AB3!$AQ$22),[1]AB3!$AR$6))))</f>
        <v>OPT : PRV : 3DLL</v>
      </c>
      <c r="AR160" s="58">
        <v>0.12</v>
      </c>
      <c r="AS160" s="52">
        <f t="shared" si="306"/>
        <v>3</v>
      </c>
      <c r="AT160" s="43" t="str">
        <f t="array" ref="AT160">IF(A156="","",IF(AND(OR(D160="3 &amp; APS",D160="4 &amp; APS",D160="5 &amp; APS"),D158="Futures"),CONCATENATE([1]AB3!$AP$10,INDEX([1]AB2!L:L,MATCH(D156,[1]AB2!B:B,0)),[1]AB3!$AQ$10),IF(AND(OR(D160="3 &amp; APS",D160="4 &amp; APS",D160="5 &amp; APS"),D158="Options Sell"),CONCATENATE([1]AB3!$AP$16,INDEX([1]AB2!M:M,MATCH(D156,[1]AB2!B:B,0)),[1]AB3!$AQ$16),IF(AND(OR(D160="3 &amp; APS",D160="4 &amp; APS",D160="5 &amp; APS"),D158="Options Buy"),CONCATENATE([1]AB3!$AP$22,INDEX([1]AB2!L:L,MATCH(D156,[1]AB2!B:B,0)),[1]AB3!$AQ$22),[1]AB3!$AR$6))))</f>
        <v>OPT : PRV : 3DLL</v>
      </c>
      <c r="AU160" s="58">
        <v>0.12</v>
      </c>
      <c r="AV160" s="52">
        <f t="shared" si="307"/>
        <v>2</v>
      </c>
      <c r="AW160" s="43" t="str">
        <f t="array" ref="AW160">IF(A156="","",IF(AND(OR(D160="4 &amp; APS",D160="5 &amp; APS"),D158="Futures"),CONCATENATE([1]AB3!$AP$10,INDEX([1]AB2!L:L,MATCH(D156,[1]AB2!B:B,0)),[1]AB3!$AQ$10),IF(AND(OR(D160="4 &amp; APS",D160="5 &amp; APS"),D158="Options Sell"),CONCATENATE([1]AB3!$AP$16,INDEX([1]AB2!M:M,MATCH(D156,[1]AB2!B:B,0)),[1]AB3!$AQ$16),IF(AND(OR(D160="4 &amp; APS",D160="5 &amp; APS"),D158="Options Buy"),CONCATENATE([1]AB3!$AP$22,INDEX([1]AB2!L:L,MATCH(D156,[1]AB2!B:B,0)),[1]AB3!$AQ$22),[1]AB3!$AR$6))))</f>
        <v>OPT : PRV : 3DLL</v>
      </c>
      <c r="AX160" s="58">
        <v>0.12</v>
      </c>
      <c r="AY160" s="52">
        <f t="shared" si="308"/>
        <v>1</v>
      </c>
      <c r="AZ160" s="51">
        <f t="array" ref="AZ160">IF(A156="","",IF(AND(D160="5 &amp; APS",D158="Futures"),CONCATENATE([1]AB3!$AP$10,INDEX([1]AB2!L:L,MATCH(D156,[1]AB2!B:B,0)),[1]AB3!$AQ$10),IF(AND(D160="5 &amp; APS",D158="Options Sell"),CONCATENATE([1]AB3!$AP$16,INDEX([1]AB2!M:M,MATCH(D156,[1]AB2!B:B,0)),[1]AB3!$AQ$16),IF(AND(D160="5 &amp; APS",D158="Options Buy"),CONCATENATE([1]AB3!$AP$22,INDEX([1]AB2!L:L,MATCH(D156,[1]AB2!B:B,0)),[1]AB3!$AQ$22),[1]AB3!$AR$6))))</f>
        <v>0</v>
      </c>
      <c r="BA160" s="58" t="s">
        <v>52</v>
      </c>
      <c r="BB160" s="52">
        <f t="shared" si="309"/>
        <v>0</v>
      </c>
      <c r="BC160" s="53"/>
      <c r="BD160" s="54" t="str">
        <f>IF(D158="Futures",[1]AB3!$BE$10,IF(D158="Options Sell",[1]AB3!$BE$16,IF(D158="Options Buy",[1]AB3!$BE$22)))</f>
        <v>Market End Time</v>
      </c>
      <c r="BE160" s="67">
        <f t="array" ref="BE160">IF(D156="","",INDEX([1]AB2!AH:AH,MATCH(D156,[1]AB2!B:B,0)))</f>
        <v>0.64583333333333337</v>
      </c>
      <c r="BF160" s="11"/>
      <c r="BG160" s="12"/>
      <c r="BH160" s="57"/>
      <c r="BI160" s="32"/>
      <c r="BJ160" s="61" t="str">
        <f>IF(D158="Futures",[1]AB3!$BK$10,IF(D158="Options Sell",[1]AB3!$BK$16,IF(D158="Options Buy",[1]AB3!$BK$22)))</f>
        <v>Put</v>
      </c>
      <c r="BK160" s="58">
        <v>0.05</v>
      </c>
      <c r="BL160" s="58">
        <v>0.12</v>
      </c>
      <c r="BM160" s="57"/>
      <c r="BN160" s="32"/>
      <c r="BO160" s="61" t="str">
        <f>IF(D158="Futures",[1]AB3!$BP$10,IF(D158="Options Sell",[1]AB3!$BP$16,IF(D158="Options Buy",[1]AB3!$BP$22)))</f>
        <v>Put</v>
      </c>
      <c r="BP160" s="43" t="str">
        <f t="array" ref="BP160">IF(A156="","",IF(D158="Futures","",IF(D158="EQUITY","",IF(D158="Options Sell",CONCATENATE([1]AB3!$BQ$16,INDEX([1]AB2!J:J,MATCH(A156,[1]AB2!A:A,0)),[1]AB3!$BR$16),IF(D158="Options Buy",CONCATENATE([1]AB3!$BQ$22,INDEX([1]AB2!I:I,MATCH(A156,[1]AB2!A:A,0)),[1]AB3!$BR$22))))))</f>
        <v>SPT : PRV : 2DLL</v>
      </c>
      <c r="BQ160" s="82" t="s">
        <v>53</v>
      </c>
      <c r="BR160" s="58">
        <v>0.03</v>
      </c>
      <c r="BS160" s="76" t="s">
        <v>56</v>
      </c>
      <c r="BT160" s="84" t="str">
        <f t="shared" si="310"/>
        <v>SPT : PRV : 2DLL</v>
      </c>
      <c r="BU160" s="83" t="s">
        <v>55</v>
      </c>
      <c r="BV160" s="58">
        <v>0.03</v>
      </c>
      <c r="BW160" s="76" t="s">
        <v>56</v>
      </c>
      <c r="BX160" s="76"/>
      <c r="BY160" s="76"/>
      <c r="BZ160" s="58"/>
      <c r="CA160" s="58"/>
      <c r="CB160" s="58"/>
      <c r="CC160" s="58"/>
      <c r="CD160" s="58"/>
      <c r="CE160" s="43" t="str">
        <f t="shared" si="311"/>
        <v>SPT : PRV : 2DLL</v>
      </c>
      <c r="CF160" s="58">
        <v>0.08</v>
      </c>
      <c r="CG160" s="43"/>
      <c r="CH160" s="58"/>
      <c r="CI160" s="75">
        <v>100</v>
      </c>
      <c r="CJ160" s="75"/>
      <c r="CK160" s="59"/>
      <c r="CL160" s="43" t="s">
        <v>57</v>
      </c>
      <c r="CM160" s="110" t="s">
        <v>41</v>
      </c>
      <c r="CN160" s="59"/>
      <c r="CO160" s="43" t="s">
        <v>57</v>
      </c>
      <c r="CP160" s="110" t="s">
        <v>41</v>
      </c>
      <c r="CQ160" s="59"/>
      <c r="CR160" s="58">
        <v>0.03</v>
      </c>
      <c r="CS160" s="58">
        <v>0.03</v>
      </c>
      <c r="CT160" s="59"/>
      <c r="CU160" s="43"/>
      <c r="CV160" s="59"/>
      <c r="CW160" s="59"/>
    </row>
    <row r="161" spans="1:101" ht="15.75" customHeight="1" x14ac:dyDescent="0.2">
      <c r="A161" s="1"/>
      <c r="B161" s="2"/>
      <c r="C161" s="2"/>
      <c r="D161" s="2"/>
      <c r="E161" s="2"/>
      <c r="F161" s="2"/>
      <c r="G161" s="2"/>
      <c r="H161" s="2"/>
      <c r="I161" s="2"/>
      <c r="J161" s="3"/>
      <c r="K161" s="2"/>
      <c r="L161" s="2"/>
      <c r="M161" s="2"/>
      <c r="N161" s="2"/>
      <c r="O161" s="2"/>
      <c r="P161" s="2"/>
      <c r="Q161" s="69"/>
      <c r="R161" s="69"/>
      <c r="S161" s="70"/>
      <c r="T161" s="70"/>
      <c r="U161" s="2"/>
      <c r="V161" s="2"/>
      <c r="W161" s="2"/>
      <c r="X161" s="2"/>
      <c r="Y161" s="2"/>
      <c r="Z161" s="2"/>
      <c r="AA161" s="20"/>
      <c r="AB161" s="71"/>
      <c r="AC161" s="71"/>
      <c r="AD161" s="2"/>
      <c r="AE161" s="70"/>
      <c r="AF161" s="70"/>
      <c r="AG161" s="70"/>
      <c r="AH161" s="70"/>
      <c r="AI161" s="2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  <c r="AW161" s="70"/>
      <c r="AX161" s="70"/>
      <c r="AY161" s="70"/>
      <c r="AZ161" s="70"/>
      <c r="BA161" s="70"/>
      <c r="BB161" s="70"/>
      <c r="BC161" s="70"/>
      <c r="BD161" s="70"/>
      <c r="BE161" s="70"/>
      <c r="BF161" s="70"/>
      <c r="BG161" s="70"/>
      <c r="BH161" s="70"/>
      <c r="BI161" s="70"/>
      <c r="BJ161" s="70"/>
      <c r="BK161" s="70"/>
      <c r="BL161" s="70"/>
      <c r="BM161" s="70"/>
      <c r="BN161" s="70"/>
      <c r="BO161" s="70"/>
      <c r="BP161" s="70"/>
      <c r="BQ161" s="70"/>
      <c r="BR161" s="70"/>
      <c r="BS161" s="70"/>
      <c r="BT161" s="70"/>
      <c r="BU161" s="70"/>
      <c r="BV161" s="70"/>
      <c r="BW161" s="70"/>
      <c r="BX161" s="70"/>
      <c r="BY161" s="70"/>
      <c r="BZ161" s="70"/>
      <c r="CA161" s="70"/>
      <c r="CB161" s="70"/>
      <c r="CC161" s="70"/>
      <c r="CD161" s="70"/>
      <c r="CE161" s="70"/>
      <c r="CF161" s="70"/>
      <c r="CG161" s="70"/>
      <c r="CH161" s="70"/>
      <c r="CI161" s="70"/>
      <c r="CJ161" s="70"/>
      <c r="CK161" s="70"/>
      <c r="CL161" s="2"/>
      <c r="CM161" s="2"/>
      <c r="CN161" s="70"/>
      <c r="CO161" s="70"/>
      <c r="CP161" s="70"/>
      <c r="CQ161" s="70"/>
      <c r="CR161" s="70"/>
      <c r="CS161" s="70"/>
      <c r="CT161" s="70"/>
      <c r="CU161" s="70"/>
      <c r="CV161" s="70"/>
      <c r="CW161" s="70"/>
    </row>
    <row r="162" spans="1:101" ht="21.75" customHeight="1" x14ac:dyDescent="0.2">
      <c r="A162" s="40">
        <v>27</v>
      </c>
      <c r="B162" s="41" t="str">
        <f>CONCATENATE(D162,IF(D164="Futures",[1]AB3!$B$6,IF(D164="Options Sell",[1]AB3!$B$12,IF(D164="Options Buy",[1]AB3!$B$18))))</f>
        <v>S27A</v>
      </c>
      <c r="C162" s="42" t="str">
        <f>IF(D164="Futures",[1]AB3!$C$6,IF(D164="Options Sell",[1]AB3!$C$12,IF(D164="Options Buy",[1]AB3!$C$18)))</f>
        <v>Strategy Code</v>
      </c>
      <c r="D162" s="43" t="str">
        <f t="array" ref="D162">IF(A162="","",INDEX([1]AB2!B:B,MATCH(A162,[1]AB2!A:A,0)))</f>
        <v>S27</v>
      </c>
      <c r="E162" s="44" t="str">
        <f>IF(D164="Futures",[1]AB3!$E$6,IF(D164="Options Sell",[1]AB3!$E$12,IF(D164="Options Buy",[1]AB3!$E$18)))</f>
        <v>Bull / 
Bull CF</v>
      </c>
      <c r="F162" s="45" t="str">
        <f>IF(D164="Futures",[1]AB3!$F$6,IF(D164="Options Sell",[1]AB3!$F$12,IF(D164="Options Buy",[1]AB3!$F$18)))</f>
        <v>Call</v>
      </c>
      <c r="G162" s="37" t="str">
        <f t="array" ref="G162">IF(A162="","",IF(D164="Futures",CONCATENATE([1]AB3!$G$6,INDEX([1]AB2!I:I,MATCH(D162,[1]AB2!B:B,0)),[1]AB3!$H$6),IF(D164="Options Sell",CONCATENATE([1]AB3!$G$12,INDEX([1]AB2!J:J,MATCH(D162,[1]AB2!B:B,0)),[1]AB3!$H$12),IF(D164="Options Buy",CONCATENATE([1]AB3!$G$18,INDEX([1]AB2!I:I,MATCH(D162,[1]AB2!B:B,0)),[1]AB3!$H$18)))))</f>
        <v>OPT : PRV : 2D HH</v>
      </c>
      <c r="H162" s="43" t="str">
        <f>IF(D164="Futures",[1]AB3!$I$6,IF(D164="Options Sell",[1]AB3!$I$12,IF(D164="Options Buy",[1]AB3!$I$18)))</f>
        <v xml:space="preserve"> + </v>
      </c>
      <c r="I162" s="46">
        <v>0.05</v>
      </c>
      <c r="J162" s="47">
        <v>5</v>
      </c>
      <c r="K162" s="48"/>
      <c r="L162" s="43" t="str">
        <f>IF(D164="Futures",[1]AB3!$M$6,IF(D164="Options Sell",[1]AB3!$M$12,IF(D164="Options Buy",[1]AB3!$M$18)))</f>
        <v xml:space="preserve">CE : Entry </v>
      </c>
      <c r="M162" s="43" t="str">
        <f>IF(D164="Futures",[1]AB3!$N$6,IF(D164="Options Sell",[1]AB3!$N$12,IF(D164="Options Buy",[1]AB3!$N$18)))</f>
        <v xml:space="preserve"> + </v>
      </c>
      <c r="N162" s="58">
        <v>0.03</v>
      </c>
      <c r="O162" s="75">
        <v>1</v>
      </c>
      <c r="P162" s="58">
        <v>4.4999999999999998E-2</v>
      </c>
      <c r="Q162" s="75">
        <v>1</v>
      </c>
      <c r="R162" s="58">
        <v>0.06</v>
      </c>
      <c r="S162" s="75">
        <v>1</v>
      </c>
      <c r="T162" s="58">
        <v>0.08</v>
      </c>
      <c r="U162" s="75">
        <v>1</v>
      </c>
      <c r="V162" s="50" t="s">
        <v>51</v>
      </c>
      <c r="W162" s="75">
        <v>1</v>
      </c>
      <c r="X162" s="76"/>
      <c r="Y162" s="76"/>
      <c r="Z162" s="48"/>
      <c r="AA162" s="43" t="str">
        <f>IF(D164="Futures",[1]AB3!$AD$6,IF(D164="Options Sell",[1]AB3!$AD$12,IF(D164="Options Buy",[1]AB3!$AD$18)))</f>
        <v>Max</v>
      </c>
      <c r="AB162" s="43" t="str">
        <f>IF(D164="Futures",[1]AB3!$AE$6,IF(D164="Options Sell",[1]AB3!$AE$12,IF(D164="Options Buy",[1]AB3!$AE$18)))</f>
        <v>MSL &amp; TSL</v>
      </c>
      <c r="AC162" s="43" t="str">
        <f>IF(D164="Futures",[1]AB3!$AF$6,IF(D164="Options Sell",[1]AB3!$AF$12,IF(D164="Options Buy",[1]AB3!$AF$18)))</f>
        <v>Entry &amp; TRP</v>
      </c>
      <c r="AD162" s="48"/>
      <c r="AE162" s="43" t="str">
        <f>IF(D164="Futures",[1]AB3!$AH$6,IF(D164="Options Sell",[1]AB3!$AH$12,IF(D164="Options Buy",[1]AB3!$AH$18)))</f>
        <v xml:space="preserve">CE : Entry </v>
      </c>
      <c r="AF162" s="43" t="str">
        <f>IF(D164="Futures",[1]AB3!$AI$6,IF(D164="Options Sell",[1]AB3!$AI$12,IF(D164="Options Buy",[1]AB3!$AI$18)))</f>
        <v xml:space="preserve"> - </v>
      </c>
      <c r="AG162" s="58">
        <v>0.03</v>
      </c>
      <c r="AH162" s="58"/>
      <c r="AI162" s="48"/>
      <c r="AJ162" s="43" t="str">
        <f>IF(D164="Futures",[1]AB3!$AO$6,IF(D164="Options Sell",[1]AB3!$AO$12,IF(D164="Options Buy",[1]AB3!$AO$18)))</f>
        <v xml:space="preserve"> - </v>
      </c>
      <c r="AK162" s="43"/>
      <c r="AL162" s="58"/>
      <c r="AM162" s="52">
        <f t="shared" ref="AM162:AM163" si="312">J162</f>
        <v>5</v>
      </c>
      <c r="AN162" s="43"/>
      <c r="AO162" s="58"/>
      <c r="AP162" s="52">
        <f>AM162-O162</f>
        <v>4</v>
      </c>
      <c r="AQ162" s="43"/>
      <c r="AR162" s="58"/>
      <c r="AS162" s="52">
        <f>AP162-Q162</f>
        <v>3</v>
      </c>
      <c r="AT162" s="43"/>
      <c r="AU162" s="58"/>
      <c r="AV162" s="52">
        <f>AS162-S162</f>
        <v>2</v>
      </c>
      <c r="AW162" s="43"/>
      <c r="AX162" s="58"/>
      <c r="AY162" s="52">
        <f>AV162-S162</f>
        <v>1</v>
      </c>
      <c r="AZ162" s="43"/>
      <c r="BA162" s="58"/>
      <c r="BB162" s="52"/>
      <c r="BC162" s="53"/>
      <c r="BD162" s="54" t="str">
        <f>IF(D164="Futures",[1]AB3!$BE$6,IF(D164="Options Sell",[1]AB3!$BE$12,IF(D164="Options Buy",[1]AB3!$BE$18)))</f>
        <v xml:space="preserve">ORPT </v>
      </c>
      <c r="BE162" s="55">
        <f>IF(D164="Futures",BE165+([1]AB3!$BF$6/1440),IF(D164="Options Sell",BE165+([1]AB3!$BF$12/1440),IF(D164="Options Buy",BE165+([1]AB3!$BF$18/1440))))</f>
        <v>0.39235416666666667</v>
      </c>
      <c r="BF162" s="55">
        <f>IF(D164="Futures",BE165+([1]AB3!$BG$6/1440),IF(D164="Options Sell",BE165+([1]AB3!$BG$12/1440),IF(D164="Options Buy",BE165+([1]AB3!$BG$18/1440))))</f>
        <v>0.39235416666666667</v>
      </c>
      <c r="BG162" s="55">
        <f>IF(D164="Futures",BE165+([1]AB3!$BH$6/1440),IF(D164="Options Sell",BE165+([1]AB3!$BH$12/1440),IF(D164="Options Buy",BE165+([1]AB3!$BH$18/1440))))</f>
        <v>0.38541666666666669</v>
      </c>
      <c r="BH162" s="57"/>
      <c r="BI162" s="44" t="str">
        <f>IF(D164="Futures",[1]AB3!$BJ$6,IF(D164="Options Sell",[1]AB3!$BJ$12,IF(D164="Options Buy",[1]AB3!$BJ$18)))</f>
        <v>Bull / 
Bull CF</v>
      </c>
      <c r="BJ162" s="45" t="str">
        <f>IF(D164="Futures",[1]AB3!$BK$6,IF(D164="Options Sell",[1]AB3!$BK$12,IF(D164="Options Buy",[1]AB3!$BK$18)))</f>
        <v>Call</v>
      </c>
      <c r="BK162" s="46">
        <v>0.05</v>
      </c>
      <c r="BL162" s="58"/>
      <c r="BM162" s="57"/>
      <c r="BN162" s="44" t="str">
        <f>IF(D164="Futures",[1]AB3!$BO$6,IF(D164="Options Sell",[1]AB3!$BO$12,IF(D164="Options Buy",[1]AB3!$BO$18)))</f>
        <v>Bull | 
Bull CF</v>
      </c>
      <c r="BO162" s="45" t="str">
        <f>IF(D164="Futures",[1]AB3!$BP$6,IF(D164="Options Sell",[1]AB3!$BP$12,IF(D164="Options Buy",[1]AB3!$BP$18)))</f>
        <v>Call</v>
      </c>
      <c r="BP162" s="43" t="str">
        <f t="array" ref="BP162">IF(A162="","",IF(D164="Futures","",IF(D164="EQUITY","",IF(D164="Options Sell",CONCATENATE([1]AB3!$BQ$12,INDEX([1]AB2!J:J,MATCH(A162,[1]AB2!A:A,0)),[1]AB3!$BR$12),IF(D164="Options Buy",CONCATENATE([1]AB3!$BQ$18,INDEX([1]AB2!J:J,MATCH(A162,[1]AB2!A:A,0)),[1]AB3!$BR$18))))))</f>
        <v>SPT : PRV : 2DHH</v>
      </c>
      <c r="BQ162" s="76"/>
      <c r="BR162" s="58"/>
      <c r="BS162" s="76" t="s">
        <v>58</v>
      </c>
      <c r="BT162" s="37" t="str">
        <f t="shared" ref="BT162:BT163" si="313">BP162</f>
        <v>SPT : PRV : 2DHH</v>
      </c>
      <c r="BU162" s="76"/>
      <c r="BV162" s="58"/>
      <c r="BW162" s="76" t="s">
        <v>59</v>
      </c>
      <c r="BX162" s="76" t="s">
        <v>55</v>
      </c>
      <c r="BY162" s="76">
        <v>1</v>
      </c>
      <c r="BZ162" s="37" t="str">
        <f t="shared" ref="BZ162:BZ163" si="314">BP162</f>
        <v>SPT : PRV : 2DHH</v>
      </c>
      <c r="CA162" s="76" t="s">
        <v>59</v>
      </c>
      <c r="CB162" s="82" t="s">
        <v>53</v>
      </c>
      <c r="CC162" s="76">
        <v>1</v>
      </c>
      <c r="CD162" s="58"/>
      <c r="CE162" s="43"/>
      <c r="CF162" s="58"/>
      <c r="CG162" s="43"/>
      <c r="CH162" s="58"/>
      <c r="CI162" s="75">
        <v>100</v>
      </c>
      <c r="CJ162" s="75"/>
      <c r="CK162" s="59"/>
      <c r="CL162" s="43" t="s">
        <v>57</v>
      </c>
      <c r="CM162" s="110" t="s">
        <v>41</v>
      </c>
      <c r="CN162" s="59"/>
      <c r="CO162" s="43" t="s">
        <v>57</v>
      </c>
      <c r="CP162" s="110" t="s">
        <v>41</v>
      </c>
      <c r="CQ162" s="59"/>
      <c r="CR162" s="46"/>
      <c r="CS162" s="46"/>
      <c r="CT162" s="59"/>
      <c r="CU162" s="55">
        <f>IF(D164="Futures",BE166-([1]AB3!$CG$6/1440),IF(D164="Options Sell",BE166-([1]AB3!$CG$12/1440),IF(D164="Options Buy",BE166-([1]AB3!$CG$18/1440),IF(D164="EQUITY",""))))</f>
        <v>0.625</v>
      </c>
      <c r="CV162" s="59"/>
      <c r="CW162" s="59"/>
    </row>
    <row r="163" spans="1:101" ht="15.75" customHeight="1" x14ac:dyDescent="0.2">
      <c r="A163" s="60"/>
      <c r="B163" s="41" t="str">
        <f>CONCATENATE(D162,IF(D164="Futures",[1]AB3!$B$7,IF(D164="Options Sell",[1]AB3!$B$13,IF(D164="Options Buy",[1]AB3!$B$19))))</f>
        <v>S27B</v>
      </c>
      <c r="C163" s="42" t="str">
        <f>IF(D164="Futures",[1]AB3!$C$7,IF(D164="Options Sell",[1]AB3!$C$13,IF(D164="Options Buy",[1]AB3!$C$19)))</f>
        <v>Unique Code</v>
      </c>
      <c r="D163" s="43" t="str">
        <f t="array" ref="D163">IF(A162="","",INDEX([1]AB2!N:N,MATCH(D162,[1]AB2!B:B,0)))</f>
        <v>STOCKS_OP_BUY_MT_DIFF_2D_2D</v>
      </c>
      <c r="E163" s="32"/>
      <c r="F163" s="61" t="str">
        <f>IF(D164="Futures",[1]AB3!$F$7,IF(D164="Options Sell",[1]AB3!$F$13,IF(D164="Options Buy",[1]AB3!$F$19)))</f>
        <v>Put</v>
      </c>
      <c r="G163" s="84"/>
      <c r="H163" s="43"/>
      <c r="I163" s="46"/>
      <c r="J163" s="47"/>
      <c r="K163" s="48"/>
      <c r="L163" s="43"/>
      <c r="M163" s="43"/>
      <c r="N163" s="58"/>
      <c r="O163" s="75"/>
      <c r="P163" s="58"/>
      <c r="Q163" s="75"/>
      <c r="R163" s="58"/>
      <c r="S163" s="75"/>
      <c r="T163" s="58"/>
      <c r="U163" s="75"/>
      <c r="V163" s="50"/>
      <c r="W163" s="75"/>
      <c r="X163" s="76"/>
      <c r="Y163" s="76"/>
      <c r="Z163" s="48"/>
      <c r="AA163" s="43"/>
      <c r="AB163" s="43"/>
      <c r="AC163" s="43"/>
      <c r="AD163" s="48"/>
      <c r="AE163" s="43"/>
      <c r="AF163" s="43"/>
      <c r="AG163" s="58"/>
      <c r="AH163" s="58"/>
      <c r="AI163" s="48"/>
      <c r="AJ163" s="43"/>
      <c r="AK163" s="43"/>
      <c r="AL163" s="58"/>
      <c r="AM163" s="52">
        <f t="shared" si="312"/>
        <v>0</v>
      </c>
      <c r="AN163" s="43"/>
      <c r="AO163" s="58"/>
      <c r="AP163" s="52"/>
      <c r="AQ163" s="43"/>
      <c r="AR163" s="58"/>
      <c r="AS163" s="52"/>
      <c r="AT163" s="43"/>
      <c r="AU163" s="58"/>
      <c r="AV163" s="52"/>
      <c r="AW163" s="43"/>
      <c r="AX163" s="58"/>
      <c r="AY163" s="52"/>
      <c r="AZ163" s="43"/>
      <c r="BA163" s="58"/>
      <c r="BB163" s="52"/>
      <c r="BC163" s="53"/>
      <c r="BD163" s="54" t="str">
        <f>IF(D164="Futures",[1]AB3!$BE$7,IF(D164="Options Sell",[1]AB3!$BE$13,IF(D164="Options Buy",[1]AB3!$BE$19)))</f>
        <v xml:space="preserve"> RC. Time</v>
      </c>
      <c r="BE163" s="55">
        <f>IF(D164="Futures",BE165+([1]AB3!$BF$7/1440),IF(D164="Options Sell",BE165+([1]AB3!$BF$13/1440),IF(D164="Options Buy",BE165+([1]AB3!$BF$19/1440))))</f>
        <v>0.39582638888888888</v>
      </c>
      <c r="BF163" s="55">
        <f>IF(D164="Futures",BE165+([1]AB3!$BG$7/1440),IF(D164="Options Sell",BE165+([1]AB3!$BG$13/1440),IF(D164="Options Buy",BE165+([1]AB3!$BG$19/1440))))</f>
        <v>0.39582638888888888</v>
      </c>
      <c r="BG163" s="55" t="str">
        <f>IF(D164="Futures",[1]AB3!$BH$7,IF(D164="Options Sell",[1]AB3!$BH$7,IF(D164="Options Buy",[1]AB3!$BH$7)))</f>
        <v>N.A.</v>
      </c>
      <c r="BH163" s="57"/>
      <c r="BI163" s="32"/>
      <c r="BJ163" s="61" t="str">
        <f>IF(D164="Futures",[1]AB3!$BK$7,IF(D164="Options Sell",[1]AB3!$BK$13,IF(D164="Options Buy",[1]AB3!$BK$19)))</f>
        <v>Put</v>
      </c>
      <c r="BK163" s="46"/>
      <c r="BL163" s="58"/>
      <c r="BM163" s="57"/>
      <c r="BN163" s="32"/>
      <c r="BO163" s="61" t="str">
        <f>IF(D164="Futures",[1]AB3!$BP$7,IF(D164="Options Sell",[1]AB3!$BP$13,IF(D164="Options Buy",[1]AB3!$BP$19)))</f>
        <v>Put</v>
      </c>
      <c r="BP163" s="43"/>
      <c r="BQ163" s="85"/>
      <c r="BR163" s="58"/>
      <c r="BS163" s="76"/>
      <c r="BT163" s="84">
        <f t="shared" si="313"/>
        <v>0</v>
      </c>
      <c r="BU163" s="85"/>
      <c r="BV163" s="58"/>
      <c r="BW163" s="76"/>
      <c r="BX163" s="76"/>
      <c r="BY163" s="76"/>
      <c r="BZ163" s="37">
        <f t="shared" si="314"/>
        <v>0</v>
      </c>
      <c r="CA163" s="76"/>
      <c r="CB163" s="76"/>
      <c r="CC163" s="76"/>
      <c r="CD163" s="58"/>
      <c r="CE163" s="43">
        <f>BP163</f>
        <v>0</v>
      </c>
      <c r="CF163" s="58"/>
      <c r="CG163" s="43">
        <f>CE163</f>
        <v>0</v>
      </c>
      <c r="CH163" s="58"/>
      <c r="CI163" s="75"/>
      <c r="CJ163" s="75"/>
      <c r="CK163" s="59"/>
      <c r="CL163" s="43" t="s">
        <v>57</v>
      </c>
      <c r="CM163" s="110" t="s">
        <v>41</v>
      </c>
      <c r="CN163" s="59"/>
      <c r="CO163" s="43" t="s">
        <v>57</v>
      </c>
      <c r="CP163" s="110" t="s">
        <v>41</v>
      </c>
      <c r="CQ163" s="59"/>
      <c r="CR163" s="46"/>
      <c r="CS163" s="46"/>
      <c r="CT163" s="59"/>
      <c r="CU163" s="43"/>
      <c r="CV163" s="59"/>
      <c r="CW163" s="59"/>
    </row>
    <row r="164" spans="1:101" ht="15.75" customHeight="1" x14ac:dyDescent="0.2">
      <c r="A164" s="60"/>
      <c r="B164" s="41" t="str">
        <f>CONCATENATE(D162,IF(D164="Futures",[1]AB3!$B$8,IF(D164="Options Sell",[1]AB3!$B$14,IF(D164="Options Buy",[1]AB3!$B$20))))</f>
        <v>S27C</v>
      </c>
      <c r="C164" s="42" t="str">
        <f>IF(D164="Futures",[1]AB3!$C$8,IF(D164="Options Sell",[1]AB3!$C$14,IF(D164="Options Buy",[1]AB3!$C$20)))</f>
        <v>Segment</v>
      </c>
      <c r="D164" s="43" t="str">
        <f t="array" ref="D164">IF(A162="","",INDEX([1]AB2!C:C,MATCH(D162,[1]AB2!B:B,0)))</f>
        <v>OPTIONS BUY</v>
      </c>
      <c r="E164" s="42" t="str">
        <f>IF(D164="Futures",[1]AB3!$E$8,IF(D164="Options Sell",[1]AB3!$E$14,IF(D164="Options Buy",[1]AB3!$E$20)))</f>
        <v>Contract</v>
      </c>
      <c r="F164" s="43" t="str">
        <f t="array" ref="F164">IF(A162="","",INDEX([1]AB2!F:F,MATCH(D162,[1]AB2!B:B,0)))</f>
        <v>MONTHLY</v>
      </c>
      <c r="G164" s="105"/>
      <c r="H164" s="62"/>
      <c r="I164" s="62"/>
      <c r="J164" s="89"/>
      <c r="K164" s="48"/>
      <c r="L164" s="62"/>
      <c r="M164" s="62"/>
      <c r="N164" s="62"/>
      <c r="O164" s="89"/>
      <c r="P164" s="62"/>
      <c r="Q164" s="89"/>
      <c r="R164" s="62"/>
      <c r="S164" s="89"/>
      <c r="T164" s="62"/>
      <c r="U164" s="89"/>
      <c r="V164" s="62"/>
      <c r="W164" s="89"/>
      <c r="X164" s="62"/>
      <c r="Y164" s="62"/>
      <c r="Z164" s="48"/>
      <c r="AA164" s="62"/>
      <c r="AB164" s="62"/>
      <c r="AC164" s="62"/>
      <c r="AD164" s="48"/>
      <c r="AE164" s="62"/>
      <c r="AF164" s="62"/>
      <c r="AG164" s="62"/>
      <c r="AH164" s="62"/>
      <c r="AI164" s="48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53"/>
      <c r="BD164" s="57"/>
      <c r="BE164" s="57"/>
      <c r="BF164" s="57"/>
      <c r="BG164" s="57"/>
      <c r="BH164" s="57"/>
      <c r="BI164" s="66"/>
      <c r="BJ164" s="62"/>
      <c r="BK164" s="62"/>
      <c r="BL164" s="62"/>
      <c r="BM164" s="57"/>
      <c r="BN164" s="66"/>
      <c r="BO164" s="62"/>
      <c r="BP164" s="62"/>
      <c r="BQ164" s="93"/>
      <c r="BR164" s="62"/>
      <c r="BS164" s="62"/>
      <c r="BT164" s="94"/>
      <c r="BU164" s="93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59"/>
      <c r="CL164" s="62"/>
      <c r="CM164" s="62"/>
      <c r="CN164" s="59"/>
      <c r="CO164" s="62"/>
      <c r="CP164" s="62"/>
      <c r="CQ164" s="59"/>
      <c r="CR164" s="62"/>
      <c r="CS164" s="62"/>
      <c r="CT164" s="59"/>
      <c r="CU164" s="62"/>
      <c r="CV164" s="59"/>
      <c r="CW164" s="59"/>
    </row>
    <row r="165" spans="1:101" ht="15.75" customHeight="1" x14ac:dyDescent="0.2">
      <c r="A165" s="60"/>
      <c r="B165" s="41" t="str">
        <f>CONCATENATE(D162,IF(D164="Futures",[1]AB3!$B$9,IF(D164="Options Sell",[1]AB3!$B$15,IF(D164="Options Buy",[1]AB3!$B$21))))</f>
        <v>S27D</v>
      </c>
      <c r="C165" s="42" t="str">
        <f>IF(D164="Futures",[1]AB3!$C$9,IF(D164="Options Sell",[1]AB3!$C$15,IF(D164="Options Buy",[1]AB3!$C$21)))</f>
        <v>Symbol</v>
      </c>
      <c r="D165" s="43" t="str">
        <f t="array" ref="D165">IF(A162="","",INDEX([1]AB2!E:E,MATCH(D162,[1]AB2!B:B,0)))</f>
        <v>STOCKS</v>
      </c>
      <c r="E165" s="44" t="str">
        <f>IF(D164="Futures",[1]AB3!$E$9,IF(D164="Options Sell",[1]AB3!$E$15,IF(D164="Options Buy",[1]AB3!$E$21)))</f>
        <v>Bear / 
Bear CF</v>
      </c>
      <c r="F165" s="45" t="str">
        <f>IF(D164="Futures",[1]AB3!$F$9,IF(D164="Options Sell",[1]AB3!$F$15,IF(D164="Options Buy",[1]AB3!$F$21)))</f>
        <v>Call</v>
      </c>
      <c r="G165" s="84"/>
      <c r="H165" s="43"/>
      <c r="I165" s="58"/>
      <c r="J165" s="75"/>
      <c r="K165" s="48"/>
      <c r="L165" s="43"/>
      <c r="M165" s="43"/>
      <c r="N165" s="58"/>
      <c r="O165" s="75"/>
      <c r="P165" s="58"/>
      <c r="Q165" s="75"/>
      <c r="R165" s="58"/>
      <c r="S165" s="75"/>
      <c r="T165" s="58"/>
      <c r="U165" s="75"/>
      <c r="V165" s="50"/>
      <c r="W165" s="75"/>
      <c r="X165" s="76"/>
      <c r="Y165" s="76"/>
      <c r="Z165" s="48"/>
      <c r="AA165" s="43"/>
      <c r="AB165" s="43"/>
      <c r="AC165" s="43"/>
      <c r="AD165" s="48"/>
      <c r="AE165" s="43"/>
      <c r="AF165" s="43"/>
      <c r="AG165" s="58"/>
      <c r="AH165" s="58"/>
      <c r="AI165" s="48"/>
      <c r="AJ165" s="43"/>
      <c r="AK165" s="43"/>
      <c r="AL165" s="58"/>
      <c r="AM165" s="52">
        <f t="shared" ref="AM165:AM166" si="315">J165</f>
        <v>0</v>
      </c>
      <c r="AN165" s="43"/>
      <c r="AO165" s="58"/>
      <c r="AP165" s="52"/>
      <c r="AQ165" s="43"/>
      <c r="AR165" s="58"/>
      <c r="AS165" s="52"/>
      <c r="AT165" s="43"/>
      <c r="AU165" s="58"/>
      <c r="AV165" s="52"/>
      <c r="AW165" s="43"/>
      <c r="AX165" s="58"/>
      <c r="AY165" s="52"/>
      <c r="AZ165" s="43"/>
      <c r="BA165" s="58"/>
      <c r="BB165" s="52"/>
      <c r="BC165" s="53"/>
      <c r="BD165" s="54" t="str">
        <f>IF(D164="Futures",[1]AB3!$BE$9,IF(D164="Options Sell",[1]AB3!$BE$15,IF(D164="Options Buy",[1]AB3!$BE$21)))</f>
        <v>Market Start Time</v>
      </c>
      <c r="BE165" s="67">
        <f t="array" ref="BE165">IF(D162="","",INDEX([1]AB2!AG:AG,MATCH(D162,[1]AB2!B:B,0)))</f>
        <v>0.38541666666666669</v>
      </c>
      <c r="BF165" s="11"/>
      <c r="BG165" s="12"/>
      <c r="BH165" s="57"/>
      <c r="BI165" s="68" t="str">
        <f>IF(D164="Futures",[1]AB3!$BJ$9,IF(D164="Options Sell",[1]AB3!$BJ$15,IF(D164="Options Buy",[1]AB3!$BJ$21)))</f>
        <v>Bear / 
Bear CF</v>
      </c>
      <c r="BJ165" s="45" t="str">
        <f>IF(D164="Futures",[1]AB3!$BK$9,IF(D164="Options Sell",[1]AB3!$BK$15,IF(D164="Options Buy",[1]AB3!$BK$21)))</f>
        <v>Call</v>
      </c>
      <c r="BK165" s="58"/>
      <c r="BL165" s="58"/>
      <c r="BM165" s="57"/>
      <c r="BN165" s="68" t="str">
        <f>IF(D164="Futures",[1]AB3!$BO$9,IF(D164="Options Sell",[1]AB3!$BO$15,IF(D164="Options Buy",[1]AB3!$BO$21)))</f>
        <v>Bear | 
Bear CF</v>
      </c>
      <c r="BO165" s="45" t="str">
        <f>IF(D164="Futures",[1]AB3!$BP$9,IF(D164="Options Sell",[1]AB3!$BP$15,IF(D164="Options Buy",[1]AB3!$BP$21)))</f>
        <v>Call</v>
      </c>
      <c r="BP165" s="43"/>
      <c r="BQ165" s="76"/>
      <c r="BR165" s="58"/>
      <c r="BS165" s="76"/>
      <c r="BT165" s="84"/>
      <c r="BU165" s="76"/>
      <c r="BV165" s="58"/>
      <c r="BW165" s="76"/>
      <c r="BX165" s="76"/>
      <c r="BY165" s="76"/>
      <c r="BZ165" s="37"/>
      <c r="CA165" s="76"/>
      <c r="CB165" s="76"/>
      <c r="CC165" s="76"/>
      <c r="CD165" s="58"/>
      <c r="CE165" s="43"/>
      <c r="CF165" s="58"/>
      <c r="CG165" s="43"/>
      <c r="CH165" s="58"/>
      <c r="CI165" s="75"/>
      <c r="CJ165" s="75"/>
      <c r="CK165" s="59"/>
      <c r="CL165" s="43" t="s">
        <v>57</v>
      </c>
      <c r="CM165" s="110" t="s">
        <v>41</v>
      </c>
      <c r="CN165" s="59"/>
      <c r="CO165" s="43" t="s">
        <v>57</v>
      </c>
      <c r="CP165" s="110" t="s">
        <v>41</v>
      </c>
      <c r="CQ165" s="59"/>
      <c r="CR165" s="58"/>
      <c r="CS165" s="58"/>
      <c r="CT165" s="59"/>
      <c r="CU165" s="43"/>
      <c r="CV165" s="59"/>
      <c r="CW165" s="59"/>
    </row>
    <row r="166" spans="1:101" ht="15.75" customHeight="1" x14ac:dyDescent="0.2">
      <c r="A166" s="32"/>
      <c r="B166" s="41" t="str">
        <f>CONCATENATE(D162,IF(D164="Futures",[1]AB3!$B$10,IF(D164="Options Sell",[1]AB3!$B$16,IF(D164="Options Buy",[1]AB3!$B$22))))</f>
        <v>S27E</v>
      </c>
      <c r="C166" s="42" t="str">
        <f>IF(D164="Futures",[1]AB3!$C$10,IF(D164="Options Sell",[1]AB3!$C$16,IF(D164="Options Buy",[1]AB3!$C$22)))</f>
        <v>No. of Targets</v>
      </c>
      <c r="D166" s="43" t="str">
        <f t="array" ref="D166">IF(A162="","",INDEX([1]AB2!K:K,MATCH(D162,[1]AB2!B:B,0)))</f>
        <v>4 &amp; APS</v>
      </c>
      <c r="E166" s="32"/>
      <c r="F166" s="61" t="str">
        <f>IF(D164="Futures",[1]AB3!$F$10,IF(D164="Options Sell",[1]AB3!$F$16,IF(D164="Options Buy",[1]AB3!$F$22)))</f>
        <v>Put</v>
      </c>
      <c r="G166" s="84" t="str">
        <f t="array" ref="G166">(IF(A162="","",IF(D164="Futures",CONCATENATE([1]AB3!$G$10,INDEX([1]AB2!I:I,MATCH(D162,[1]AB2!B:B,0)),[1]AB3!$H$10),IF(D164="Options Sell",CONCATENATE([1]AB3!$G$16,INDEX([1]AB2!J:J,MATCH(D162,[1]AB2!B:B,0)),[1]AB3!$H$16),IF(D164="Options Buy",CONCATENATE([1]AB3!$G$22,INDEX([1]AB2!I:I,MATCH(D162,[1]AB2!B:B,0)),[1]AB3!$H$22))))))</f>
        <v>OPT : PRV : 2D HH</v>
      </c>
      <c r="H166" s="43" t="str">
        <f>IF(D164="Futures",[1]AB3!$I$10,IF(D164="Options Sell",[1]AB3!$I$16,IF(D164="Options Buy",[1]AB3!$I$22)))</f>
        <v xml:space="preserve"> + </v>
      </c>
      <c r="I166" s="58">
        <v>0.05</v>
      </c>
      <c r="J166" s="75">
        <v>5</v>
      </c>
      <c r="K166" s="48"/>
      <c r="L166" s="43" t="str">
        <f>IF(D164="Futures",[1]AB3!$M$10,IF(D164="Options Sell",[1]AB3!$M$16,IF(D164="Options Buy",[1]AB3!$M$22)))</f>
        <v xml:space="preserve">PE : Entry </v>
      </c>
      <c r="M166" s="43" t="str">
        <f>IF(D164="Futures",[1]AB3!$N$10,IF(D164="Options Sell",[1]AB3!$N$16,IF(D164="Options Buy",[1]AB3!$N$22)))</f>
        <v xml:space="preserve"> + </v>
      </c>
      <c r="N166" s="58">
        <v>0.03</v>
      </c>
      <c r="O166" s="75">
        <v>1</v>
      </c>
      <c r="P166" s="58">
        <v>4.4999999999999998E-2</v>
      </c>
      <c r="Q166" s="75">
        <v>1</v>
      </c>
      <c r="R166" s="58">
        <v>0.06</v>
      </c>
      <c r="S166" s="75">
        <v>1</v>
      </c>
      <c r="T166" s="58">
        <v>0.08</v>
      </c>
      <c r="U166" s="75">
        <v>1</v>
      </c>
      <c r="V166" s="50" t="s">
        <v>51</v>
      </c>
      <c r="W166" s="75">
        <v>1</v>
      </c>
      <c r="X166" s="76"/>
      <c r="Y166" s="76"/>
      <c r="Z166" s="48"/>
      <c r="AA166" s="43" t="str">
        <f>IF(D164="Futures",[1]AB3!$AD$10,IF(D164="Options Sell",[1]AB3!$AD$16,IF(D164="Options Buy",[1]AB3!$AD$22)))</f>
        <v>Max</v>
      </c>
      <c r="AB166" s="43" t="str">
        <f>IF(D164="Futures",[1]AB3!$AE$10,IF(D164="Options Sell",[1]AB3!$AE$16,IF(D164="Options Buy",[1]AB3!$AE$22)))</f>
        <v>MSL &amp; TSL</v>
      </c>
      <c r="AC166" s="43" t="str">
        <f>IF(D164="Futures",[1]AB3!$AF$10,IF(D164="Options Sell",[1]AB3!$AF$16,IF(D164="Options Buy",[1]AB3!$AF$22)))</f>
        <v>Entry &amp; TRP</v>
      </c>
      <c r="AD166" s="48"/>
      <c r="AE166" s="43" t="str">
        <f>IF(D164="Futures",[1]AB3!$AH$10,IF(D164="Options Sell",[1]AB3!$AH$16,IF(D164="Options Buy",[1]AB3!$AH$22)))</f>
        <v xml:space="preserve">PE : Entry </v>
      </c>
      <c r="AF166" s="43" t="str">
        <f>IF(D164="Futures",[1]AB3!$AI$10,IF(D164="Options Sell",[1]AB3!$AI$16,IF(D164="Options Buy",[1]AB3!$AI$22)))</f>
        <v xml:space="preserve"> - </v>
      </c>
      <c r="AG166" s="58">
        <v>0.03</v>
      </c>
      <c r="AH166" s="58"/>
      <c r="AI166" s="48"/>
      <c r="AJ166" s="43" t="str">
        <f>IF(D164="Futures",[1]AB3!$AO$10,IF(D164="Options Sell",[1]AB3!$AO$16,IF(D164="Options Buy",[1]AB3!$AO$22)))</f>
        <v xml:space="preserve"> - </v>
      </c>
      <c r="AK166" s="43"/>
      <c r="AL166" s="58"/>
      <c r="AM166" s="52">
        <f t="shared" si="315"/>
        <v>5</v>
      </c>
      <c r="AN166" s="43"/>
      <c r="AO166" s="58"/>
      <c r="AP166" s="52">
        <f>AM166-O166</f>
        <v>4</v>
      </c>
      <c r="AQ166" s="43"/>
      <c r="AR166" s="58"/>
      <c r="AS166" s="52">
        <f>AP166-Q166</f>
        <v>3</v>
      </c>
      <c r="AT166" s="43"/>
      <c r="AU166" s="58"/>
      <c r="AV166" s="52">
        <f>AS166-S166</f>
        <v>2</v>
      </c>
      <c r="AW166" s="43"/>
      <c r="AX166" s="58"/>
      <c r="AY166" s="52">
        <f>AV166-S166</f>
        <v>1</v>
      </c>
      <c r="AZ166" s="43"/>
      <c r="BA166" s="58"/>
      <c r="BB166" s="52"/>
      <c r="BC166" s="53"/>
      <c r="BD166" s="54" t="str">
        <f>IF(D164="Futures",[1]AB3!$BE$10,IF(D164="Options Sell",[1]AB3!$BE$16,IF(D164="Options Buy",[1]AB3!$BE$22)))</f>
        <v>Market End Time</v>
      </c>
      <c r="BE166" s="67">
        <f t="array" ref="BE166">IF(D162="","",INDEX([1]AB2!AH:AH,MATCH(D162,[1]AB2!B:B,0)))</f>
        <v>0.64583333333333337</v>
      </c>
      <c r="BF166" s="11"/>
      <c r="BG166" s="12"/>
      <c r="BH166" s="57"/>
      <c r="BI166" s="32"/>
      <c r="BJ166" s="61" t="str">
        <f>IF(D164="Futures",[1]AB3!$BK$10,IF(D164="Options Sell",[1]AB3!$BK$16,IF(D164="Options Buy",[1]AB3!$BK$22)))</f>
        <v>Put</v>
      </c>
      <c r="BK166" s="58">
        <v>0.05</v>
      </c>
      <c r="BL166" s="58"/>
      <c r="BM166" s="57"/>
      <c r="BN166" s="32"/>
      <c r="BO166" s="61" t="str">
        <f>IF(D164="Futures",[1]AB3!$BP$10,IF(D164="Options Sell",[1]AB3!$BP$16,IF(D164="Options Buy",[1]AB3!$BP$22)))</f>
        <v>Put</v>
      </c>
      <c r="BP166" s="43" t="str">
        <f t="array" ref="BP166">IF(A162="","",IF(D164="Futures","",IF(D164="EQUITY","",IF(D164="Options Sell",CONCATENATE([1]AB3!$BQ$16,INDEX([1]AB2!J:J,MATCH(A162,[1]AB2!A:A,0)),[1]AB3!$BR$16),IF(D164="Options Buy",CONCATENATE([1]AB3!$BQ$22,INDEX([1]AB2!J:J,MATCH(A162,[1]AB2!A:A,0)),[1]AB3!$BR$22))))))</f>
        <v>SPT : PRV : 2DLL</v>
      </c>
      <c r="BQ166" s="85"/>
      <c r="BR166" s="58"/>
      <c r="BS166" s="76" t="s">
        <v>58</v>
      </c>
      <c r="BT166" s="84" t="str">
        <f>BP166</f>
        <v>SPT : PRV : 2DLL</v>
      </c>
      <c r="BU166" s="85"/>
      <c r="BV166" s="58"/>
      <c r="BW166" s="76" t="s">
        <v>59</v>
      </c>
      <c r="BX166" s="82" t="s">
        <v>53</v>
      </c>
      <c r="BY166" s="76">
        <v>1</v>
      </c>
      <c r="BZ166" s="37" t="str">
        <f>BP166</f>
        <v>SPT : PRV : 2DLL</v>
      </c>
      <c r="CA166" s="76" t="s">
        <v>59</v>
      </c>
      <c r="CB166" s="76" t="s">
        <v>55</v>
      </c>
      <c r="CC166" s="76">
        <v>1</v>
      </c>
      <c r="CD166" s="58"/>
      <c r="CE166" s="43"/>
      <c r="CF166" s="58"/>
      <c r="CG166" s="43"/>
      <c r="CH166" s="58"/>
      <c r="CI166" s="75">
        <v>100</v>
      </c>
      <c r="CJ166" s="75"/>
      <c r="CK166" s="59"/>
      <c r="CL166" s="43" t="s">
        <v>57</v>
      </c>
      <c r="CM166" s="110" t="s">
        <v>41</v>
      </c>
      <c r="CN166" s="59"/>
      <c r="CO166" s="43" t="s">
        <v>57</v>
      </c>
      <c r="CP166" s="110" t="s">
        <v>41</v>
      </c>
      <c r="CQ166" s="59"/>
      <c r="CR166" s="58"/>
      <c r="CS166" s="58"/>
      <c r="CT166" s="59"/>
      <c r="CU166" s="43"/>
      <c r="CV166" s="59"/>
      <c r="CW166" s="59"/>
    </row>
    <row r="167" spans="1:101" ht="15.75" customHeight="1" x14ac:dyDescent="0.2">
      <c r="A167" s="1"/>
      <c r="B167" s="2"/>
      <c r="C167" s="2"/>
      <c r="D167" s="2"/>
      <c r="E167" s="2"/>
      <c r="F167" s="2"/>
      <c r="G167" s="2"/>
      <c r="H167" s="2"/>
      <c r="I167" s="2"/>
      <c r="J167" s="3"/>
      <c r="K167" s="2"/>
      <c r="L167" s="2"/>
      <c r="M167" s="2"/>
      <c r="N167" s="2"/>
      <c r="O167" s="2"/>
      <c r="P167" s="2"/>
      <c r="Q167" s="69"/>
      <c r="R167" s="69"/>
      <c r="S167" s="70"/>
      <c r="T167" s="70"/>
      <c r="U167" s="2"/>
      <c r="V167" s="2"/>
      <c r="W167" s="2"/>
      <c r="X167" s="2"/>
      <c r="Y167" s="2"/>
      <c r="Z167" s="2"/>
      <c r="AA167" s="20"/>
      <c r="AB167" s="71"/>
      <c r="AC167" s="71"/>
      <c r="AD167" s="2"/>
      <c r="AE167" s="70"/>
      <c r="AF167" s="70"/>
      <c r="AG167" s="70"/>
      <c r="AH167" s="70"/>
      <c r="AI167" s="2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70"/>
      <c r="AX167" s="70"/>
      <c r="AY167" s="70"/>
      <c r="AZ167" s="70"/>
      <c r="BA167" s="70"/>
      <c r="BB167" s="70"/>
      <c r="BC167" s="70"/>
      <c r="BD167" s="70"/>
      <c r="BE167" s="70"/>
      <c r="BF167" s="70"/>
      <c r="BG167" s="70"/>
      <c r="BH167" s="70"/>
      <c r="BI167" s="70"/>
      <c r="BJ167" s="70"/>
      <c r="BK167" s="70"/>
      <c r="BL167" s="70"/>
      <c r="BM167" s="70"/>
      <c r="BN167" s="70"/>
      <c r="BO167" s="70"/>
      <c r="BP167" s="70"/>
      <c r="BQ167" s="70"/>
      <c r="BR167" s="70"/>
      <c r="BS167" s="70"/>
      <c r="BT167" s="70"/>
      <c r="BU167" s="70"/>
      <c r="BV167" s="70"/>
      <c r="BW167" s="70"/>
      <c r="BX167" s="70"/>
      <c r="BY167" s="70"/>
      <c r="BZ167" s="70"/>
      <c r="CA167" s="70"/>
      <c r="CB167" s="70"/>
      <c r="CC167" s="70"/>
      <c r="CD167" s="70"/>
      <c r="CE167" s="70"/>
      <c r="CF167" s="70"/>
      <c r="CG167" s="70"/>
      <c r="CH167" s="70"/>
      <c r="CI167" s="70"/>
      <c r="CJ167" s="70"/>
      <c r="CK167" s="70"/>
      <c r="CL167" s="2"/>
      <c r="CM167" s="2"/>
      <c r="CN167" s="70"/>
      <c r="CO167" s="70"/>
      <c r="CP167" s="70"/>
      <c r="CQ167" s="70"/>
      <c r="CR167" s="70"/>
      <c r="CS167" s="70"/>
      <c r="CT167" s="70"/>
      <c r="CU167" s="70"/>
      <c r="CV167" s="70"/>
      <c r="CW167" s="70"/>
    </row>
    <row r="168" spans="1:101" ht="15.75" customHeight="1" x14ac:dyDescent="0.2">
      <c r="A168" s="40">
        <v>28</v>
      </c>
      <c r="B168" s="111" t="str">
        <f>CONCATENATE(D168,IF(D170="Futures",[1]AB3!$B$6,IF(D170="Options Sell",[1]AB3!$B$12,IF(D170="Options Buy",[1]AB3!$B$18,IF(D170="EQUITY",[1]AB3!$B$24)))))</f>
        <v>S28A</v>
      </c>
      <c r="C168" s="112" t="str">
        <f>IF(D170="Futures",[1]AB3!$C$6,IF(D170="Options Sell",[1]AB3!$C$12,IF(D170="Options Buy",[1]AB3!$C$18,IF(D170="EQUITY",[1]AB3!$C$24))))</f>
        <v>Strategy Code</v>
      </c>
      <c r="D168" s="49" t="str">
        <f t="array" ref="D168">IF(A168="","",INDEX([1]AB2!B:B,MATCH(A168,[1]AB2!A:A,0)))</f>
        <v>S28</v>
      </c>
      <c r="E168" s="113">
        <f>IF(D170="Futures",[1]AB3!$E$6,IF(D170="Options Sell",[1]AB3!$E$12,IF(D170="Options Buy",[1]AB3!$E$18,IF(D170="EQUITY",[1]AB3!$E$24))))</f>
        <v>0</v>
      </c>
      <c r="F168" s="114" t="str">
        <f>IF(D170="Futures",[1]AB3!$F$6,IF(D170="Options Sell",[1]AB3!$F$12,IF(D170="Options Buy",[1]AB3!$F$18,IF(D170="EQUITY",[1]AB3!$F$24))))</f>
        <v>Long</v>
      </c>
      <c r="G168" s="43" t="str">
        <f t="array" ref="G168">IF(A168="","",IF(D170="Futures",CONCATENATE([1]AB3!$G$6,INDEX([1]AB2!I:I,MATCH(A168,[1]AB2!A:A,0)),[1]AB3!$H$6),IF(D170="Options Sell",CONCATENATE([1]AB3!$G$12,INDEX([1]AB2!I:I,MATCH(A168,[1]AB2!A:A,0)),[1]AB3!$H$12),IF(D170="Options Buy",CONCATENATE([1]AB3!$G$18,INDEX([1]AB2!I:I,MATCH(A168,[1]AB2!A:A,0)),[1]AB3!$H$18),IF(D170="EQUITY",CONCATENATE([1]AB3!$G$24,INDEX([1]AB2!I:I,MATCH(A168,[1]AB2!A:A,0)),[1]AB3!$H$18))))))</f>
        <v>SPT : DCC HH</v>
      </c>
      <c r="H168" s="43" t="str">
        <f>IF(D170="Futures",[1]AB3!$I$6,IF(D170="Options Sell",[1]AB3!$I$12,IF(D170="Options Buy",[1]AB3!$I$18,IF(D170="EQUITY",[1]AB3!$I$24))))</f>
        <v xml:space="preserve"> + </v>
      </c>
      <c r="I168" s="46">
        <v>0.01</v>
      </c>
      <c r="J168" s="115">
        <v>1</v>
      </c>
      <c r="K168" s="48"/>
      <c r="L168" s="43" t="str">
        <f>IF(D170="Futures",[1]AB3!$M$6,IF(D170="Options Sell",[1]AB3!$M$12,IF(D170="Options Buy",[1]AB3!$M$18,IF(D170="EQUITY",[1]AB3!$M$24))))</f>
        <v xml:space="preserve">L : Entry </v>
      </c>
      <c r="M168" s="43" t="str">
        <f>IF(D170="Futures",[1]AB3!$N$6,IF(D170="Options Sell",[1]AB3!$N$12,IF(D170="Options Buy",[1]AB3!$N$18,IF(D170="EQUITY",[1]AB3!$N$24))))</f>
        <v xml:space="preserve"> + </v>
      </c>
      <c r="N168" s="58">
        <v>0.125</v>
      </c>
      <c r="O168" s="116">
        <v>0.2</v>
      </c>
      <c r="P168" s="58">
        <v>0.25</v>
      </c>
      <c r="Q168" s="116">
        <v>0.2</v>
      </c>
      <c r="R168" s="58">
        <v>0.5</v>
      </c>
      <c r="S168" s="116">
        <v>0.1</v>
      </c>
      <c r="T168" s="58">
        <v>0.75</v>
      </c>
      <c r="U168" s="116">
        <v>0.1</v>
      </c>
      <c r="V168" s="58">
        <v>1</v>
      </c>
      <c r="W168" s="116">
        <v>0.1</v>
      </c>
      <c r="X168" s="50" t="s">
        <v>60</v>
      </c>
      <c r="Y168" s="116">
        <v>0.3</v>
      </c>
      <c r="Z168" s="48"/>
      <c r="AA168" s="43" t="str">
        <f>IF(D170="Futures",[1]AB3!$AD$6,IF(D170="Options Sell",[1]AB3!$AD$12,IF(D170="Options Buy",[1]AB3!$AD$18,IF(D170="EQUITY",[1]AB3!$AD$24))))</f>
        <v>Max</v>
      </c>
      <c r="AB168" s="43" t="str">
        <f>IF(D170="Futures",[1]AB3!$AE$6,IF(D170="Options Sell",[1]AB3!$AE$12,IF(D170="Options Buy",[1]AB3!$AE$18,IF(D170="EQUITY",[1]AB3!$AE$24))))</f>
        <v>MSL &amp; TSL</v>
      </c>
      <c r="AC168" s="43" t="str">
        <f>IF(D170="Futures",[1]AB3!$AF$6,IF(D170="Options Sell",[1]AB3!$AF$12,IF(D170="Options Buy",[1]AB3!$AF$18,IF(D170="EQUITY",[1]AB3!$AF$24))))</f>
        <v>Entry &amp; TRP</v>
      </c>
      <c r="AD168" s="48"/>
      <c r="AE168" s="43" t="str">
        <f>IF(D170="Futures",[1]AB3!$AH$6,IF(D170="Options Sell",[1]AB3!$AH$12,IF(D170="Options Buy",[1]AB3!$AH$18,IF(D170="EQUITY",[1]AB3!$AH$24))))</f>
        <v>L : Entry</v>
      </c>
      <c r="AF168" s="43" t="str">
        <f>IF(D170="Futures",[1]AB3!$AI$6,IF(D170="Options Sell",[1]AB3!$AI$12,IF(D170="Options Buy",[1]AB3!$AI$18,IF(D170="EQUITY",[1]AB3!$AI$24))))</f>
        <v xml:space="preserve"> - </v>
      </c>
      <c r="AG168" s="58">
        <v>0.25</v>
      </c>
      <c r="AH168" s="58"/>
      <c r="AI168" s="48"/>
      <c r="AJ168" s="43" t="str">
        <f>IF(D170="Futures",[1]AB3!$AO$6,IF(D170="Options Sell",[1]AB3!$AO$12,IF(D170="Options Buy",[1]AB3!$AO$18,IF(D170="EQUITY",[1]AB3!$AO$24))))</f>
        <v xml:space="preserve"> - </v>
      </c>
      <c r="AK168" s="43" t="str">
        <f t="array" ref="AK168">IF(A168="","",IF(D170="Futures",CONCATENATE([1]AB3!$AP$6,INDEX([1]AB2!L:L,MATCH(D168,[1]AB2!B:B,0)),[1]AB3!$AQ$6),IF(D170="Options Sell",CONCATENATE([1]AB3!$AP$12,INDEX([1]AB2!M:M,MATCH(D168,[1]AB2!B:B,0)),[1]AB3!$AQ$12),IF(D170="Options Buy",CONCATENATE([1]AB3!$AP$18,INDEX([1]AB2!L:L,MATCH(D168,[1]AB2!B:B,0)),[1]AB3!$AQ$18),IF(D170="EQUITY",CONCATENATE([1]AB3!$AP$24,[1]AB3!$AR$24))))))</f>
        <v>SPT : PRV M : 20 SMA</v>
      </c>
      <c r="AL168" s="51"/>
      <c r="AM168" s="117">
        <f>J168</f>
        <v>1</v>
      </c>
      <c r="AN168" s="43" t="str">
        <f t="array" ref="AN168">IF(A168="","",IF(AND(OR(D172="1 &amp; APS",D172="2 &amp; APS",D172="3 &amp; APS",D172="4 &amp; APS",D172="5 &amp; APS"),D170="Futures"),CONCATENATE([1]AB3!$AP$6,INDEX([1]AB2!L:L,MATCH(D168,[1]AB2!B:B,0)),[1]AB3!$AQ$6),IF(AND(OR(D172="1 &amp; APS",D172="2 &amp; APS",D172="3 &amp; APS",D172="4 &amp; APS",D172="5 &amp; APS"),D170="Options Sell"),CONCATENATE([1]AB3!$AP$12,INDEX([1]AB2!M:M,MATCH(D168,[1]AB2!B:B,0)),[1]AB3!$AQ$12),IF(AND(OR(D172="1 &amp; APS",D172="2 &amp; APS",D172="3 &amp; APS",D172="4 &amp; APS",D172="5 &amp; APS"),D170="Options Buy"),CONCATENATE([1]AB3!$AP$18,INDEX([1]AB2!L:L,MATCH(D168,[1]AB2!B:B,0)),[1]AB3!$AQ$18),IF(D170="EQUITY",CONCATENATE([1]AB3!$AP$24,[1]AB3!$AT$24),[1]AB3!$AR$6)))))</f>
        <v>SPT : PRV M : 20 SMA</v>
      </c>
      <c r="AO168" s="51" t="str">
        <f>IF(AND(D170="Futures",AN168=[1]AB3!$AU$6),[1]AB3!$AU$6,IF(AND(D170="Options Sell",AN168=[1]AB3!$AU$12),[1]AB3!$AU$12,IF(AND(D170="Options Buy",AN168=[1]AB3!$AU$18),[1]AB3!$AU$18,IF(D170="EQUITY","",I169))))</f>
        <v/>
      </c>
      <c r="AP168" s="117">
        <f>AM168-O168</f>
        <v>0.8</v>
      </c>
      <c r="AQ168" s="43" t="str">
        <f t="array" ref="AQ168">IF(A168="","",IF(AND(OR(D172="2 &amp; APS",D172="3 &amp; APS",D172="4 &amp; APS",D172="5 &amp; APS"),D170="Futures"),CONCATENATE([1]AB3!$AP$6,INDEX([1]AB2!L:L,MATCH(D168,[1]AB2!B:B,0)),[1]AB3!$AQ$6),IF(AND(OR(D172="2 &amp; APS",D172="3 &amp; APS",D172="4 &amp; APS",D172="5 &amp; APS"),D170="Options Sell"),CONCATENATE([1]AB3!$AP$12,INDEX([1]AB2!M:M,MATCH(D168,[1]AB2!B:B,0)),[1]AB3!$AQ$12),IF(AND(OR(D172="2 &amp; APS",D172="3 &amp; APS",D172="4 &amp; APS",D172="5 &amp; APS"),D170="Options Buy"),CONCATENATE([1]AB3!$AP$18,INDEX([1]AB2!L:L,MATCH(D168,[1]AB2!B:B,0)),[1]AB3!$AQ$18),IF(D170="EQUITY",CONCATENATE([1]AB3!$AP$24,[1]AB3!$AV$24),[1]AB3!$AR$6)))))</f>
        <v>SPT : PRV M : 20 SMA</v>
      </c>
      <c r="AR168" s="51" t="str">
        <f>IF(AND(D170="Futures",AQ168=[1]AB3!$AW$6),[1]AB3!$AW$6,IF(AND(D170="Options Sell",AQ168=[1]AB3!$AW$12),[1]AB3!$AW$12,IF(AND(D170="Options Buy",AQ168=[1]AB3!$AW$18),[1]AB3!$AW$18,IF(D170="EQUITY","",I169))))</f>
        <v/>
      </c>
      <c r="AS168" s="117">
        <f>AP168-Q168</f>
        <v>0.60000000000000009</v>
      </c>
      <c r="AT168" s="43" t="str">
        <f t="array" ref="AT168">IF(A168="","",IF(AND(OR(D172="3 &amp; APS",D172="4 &amp; APS",D172="5 &amp; APS"),D170="Futures"),CONCATENATE([1]AB3!$AP$6,INDEX([1]AB2!L:L,MATCH(D168,[1]AB2!B:B,0)),[1]AB3!$AQ$6),IF(AND(OR(D172="3 &amp; APS",D172="4 &amp; APS",D172="5 &amp; APS"),D170="Options Sell"),CONCATENATE([1]AB3!$AP$12,INDEX([1]AB2!M:M,MATCH(D168,[1]AB2!B:B,0)),[1]AB3!$AQ$12),IF(AND(OR(D172="3 &amp; APS",D172="4 &amp; APS",D172="5 &amp; APS"),D170="Options Buy"),CONCATENATE([1]AB3!$AP$18,INDEX([1]AB2!L:L,MATCH(D168,[1]AB2!B:B,0)),[1]AB3!$AQ$18),IF(D170="EQUITY",CONCATENATE([1]AB3!$AP$24,[1]AB3!$AX$24),[1]AB3!$AR$6)))))</f>
        <v>SPT : PRV M : 20 SMA</v>
      </c>
      <c r="AU168" s="51" t="str">
        <f>IF(AND(D170="Futures",AT168=[1]AB3!$AY$6),[1]AB3!$AY$6,IF(AND(D170="Options Sell",AT168=[1]AB3!$AY$12),[1]AB3!$AY$12,IF(AND(D170="Options Buy",AT168=[1]AB3!$AY$18),[1]AB3!$AY$18,IF(D170="EQUITY","",I169))))</f>
        <v/>
      </c>
      <c r="AV168" s="117">
        <f>AS168-S168</f>
        <v>0.50000000000000011</v>
      </c>
      <c r="AW168" s="43" t="str">
        <f t="array" ref="AW168">IF(A168="","",IF(AND(OR(D172="4 &amp; APS",D172="5 &amp; APS"),D170="Futures"),CONCATENATE([1]AB3!$AP$6,INDEX([1]AB2!L:L,MATCH(D168,[1]AB2!B:B,0)),[1]AB3!$AQ$6),IF(AND(OR(D172="4 &amp; APS",D172="5 &amp; APS"),D170="Options Sell"),CONCATENATE([1]AB3!$AP$12,INDEX([1]AB2!M:M,MATCH(D168,[1]AB2!B:B,0)),[1]AB3!$AQ$12),IF(AND(OR(D172="4 &amp; APS",D172="5 &amp; APS"),D170="Options Buy"),CONCATENATE([1]AB3!$AP$18,INDEX([1]AB2!L:L,MATCH(D168,[1]AB2!B:B,0)),[1]AB3!$AQ$18),IF(D170="EQUITY",CONCATENATE([1]AB3!$AP$24,[1]AB3!$AZ$24),[1]AB3!$AR$6)))))</f>
        <v>SPT : PRV M : 20 SMA</v>
      </c>
      <c r="AX168" s="51" t="str">
        <f>IF(AND(D170="Futures",AW168=[1]AB3!$BA$6),[1]AB3!$BA$6,IF(AND(D170="Options Sell",AW168=[1]AB3!$BA$12),[1]AB3!$BA$12,IF(AND(D170="Options Buy",AW168=[1]AB3!$BA$18),[1]AB3!$BA$18,IF(D170="EQUITY","",I169))))</f>
        <v/>
      </c>
      <c r="AY168" s="117">
        <f>AV168-S168</f>
        <v>0.40000000000000013</v>
      </c>
      <c r="AZ168" s="43" t="str">
        <f t="array" ref="AZ168">IF(A168="","",IF(AND(D172="5 &amp; APS",D170="Futures"),CONCATENATE([1]AB3!$AP$6,INDEX([1]AB2!L:L,MATCH(D168,[1]AB2!B:B,0)),[1]AB3!$AQ$6),IF(AND(D172="5 &amp; APS",D170="Options Sell"),CONCATENATE([1]AB3!$AP$12,INDEX([1]AB2!M:M,MATCH(D168,[1]AB2!B:B,0)),[1]AB3!$AQ$12),IF(AND(D172="5 &amp; APS",D170="Options Buy"),CONCATENATE([1]AB3!$AP$18,INDEX([1]AB2!L:L,MATCH(D168,[1]AB2!B:B,0)),[1]AB3!$AQ$18),IF(D170="EQUITY",CONCATENATE([1]AB3!$AP$24,[1]AB3!$BB$24),[1]AB3!$AR$6)))))</f>
        <v>SPT : PRV M : 10 SMA</v>
      </c>
      <c r="BA168" s="51" t="str">
        <f>IF(AND(D170="Futures",AZ168=[1]AB3!$BC$6),[1]AB3!$BC$6,IF(AND(D170="Options Sell",AZ168=[1]AB3!$BC$12),[1]AB3!$BC$12,IF(AND(D170="Options Buy",AZ168=[1]AB3!$BC$18),[1]AB3!$BC$18,IF(D170="EQUITY","",I169))))</f>
        <v/>
      </c>
      <c r="BB168" s="117">
        <f>AY168-W168</f>
        <v>0.30000000000000016</v>
      </c>
      <c r="BC168" s="53"/>
      <c r="BD168" s="118" t="str">
        <f>IF(D170="Futures",[1]AB3!$BE$6,IF(D170="Options Sell",[1]AB3!$BE$12,IF(D170="Options Buy",[1]AB3!$BE$18,IF(D170="EQUITY",[1]AB3!$BE$24))))</f>
        <v xml:space="preserve">ORPT </v>
      </c>
      <c r="BE168" s="119">
        <f>IF(D170="Futures",BE171+([1]AB3!$BF$6/1440),IF(D170="Options Sell",BE171+([1]AB3!$BF$12/1440),IF(D170="Options Buy",BE171+([1]AB3!$BF$18/1440),IF(D170="EQUITY",BE171+([1]AB3!$BF$24/1440)))))</f>
        <v>0.38888194444444446</v>
      </c>
      <c r="BF168" s="119">
        <f>IF(D170="Futures",BE171+([1]AB3!$BG$6/1440),IF(D170="Options Sell",BE171+([1]AB3!$BG$12/1440),IF(D170="Options Buy",BE171+([1]AB3!$BG$18/1440),IF(D170="EQUITY",BE171+([1]AB3!$BG$24/1440)))))</f>
        <v>0.38888194444444446</v>
      </c>
      <c r="BG168" s="119">
        <f>IF(D170="Futures",BE171+([1]AB3!$BH$6/1440),IF(D170="Options Sell",BE171+([1]AB3!$BH$12/1440),IF(D170="Options Buy",BE171+([1]AB3!$BH$18/1440),IF(D170="EQUITY",BE171+([1]AB3!$BH$24/1440)))))</f>
        <v>0.38541666666666669</v>
      </c>
      <c r="BH168" s="57"/>
      <c r="BI168" s="44">
        <f>IF(D170="Futures",[1]AB3!$BJ$6,IF(D170="Options Sell",[1]AB3!$BJ$12,IF(D170="Options Buy",[1]AB3!$BJ$18,IF(D170="EQUITY",[1]AB3!$BJ$24))))</f>
        <v>0</v>
      </c>
      <c r="BJ168" s="114" t="str">
        <f>IF(D170="Futures",[1]AB3!$BK$6,IF(D170="Options Sell",[1]AB3!$BK$12,IF(D170="Options Buy",[1]AB3!$BK$18,IF(D170="EQUITY",[1]AB3!$BK$24))))</f>
        <v>Long</v>
      </c>
      <c r="BK168" s="58">
        <v>0.01</v>
      </c>
      <c r="BL168" s="58">
        <v>0.01</v>
      </c>
      <c r="BM168" s="57"/>
      <c r="BN168" s="44">
        <f>IF(D170="Futures",[1]AB3!$BO$6,IF(D170="Options Sell",[1]AB3!$BO$12,IF(D170="Options Buy",[1]AB3!$BO$18,IF(D170="EQUITY",[1]AB3!$BO$24))))</f>
        <v>0</v>
      </c>
      <c r="BO168" s="45" t="str">
        <f>IF(D170="Futures",[1]AB3!$BP$6,IF(D170="Options Sell",[1]AB3!$BP$12,IF(D170="Options Buy",[1]AB3!$BP$18,IF(D170="EQUITY",[1]AB3!$BP$24))))</f>
        <v>Long</v>
      </c>
      <c r="BP168" s="43" t="str">
        <f t="array" ref="BP168">IF(A168="","",IF(D170="Futures","",IF(D170="EQUITY","",IF(D170="Options Sell",CONCATENATE([1]AB3!$BQ$12,INDEX([1]AB2!J:J,MATCH(A168,[1]AB2!A:A,0)),[1]AB3!$BR$12),IF(D170="Options Buy",CONCATENATE([1]AB3!$BQ$18,INDEX([1]AB2!J:J,MATCH(A168,[1]AB2!A:A,0)),[1]AB3!$BR$18))))))</f>
        <v/>
      </c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9"/>
      <c r="CL168" s="43"/>
      <c r="CM168" s="43"/>
      <c r="CN168" s="59"/>
      <c r="CO168" s="43"/>
      <c r="CP168" s="43"/>
      <c r="CQ168" s="59"/>
      <c r="CR168" s="58"/>
      <c r="CS168" s="58"/>
      <c r="CT168" s="59"/>
      <c r="CU168" s="55" t="str">
        <f>IF(D170="Futures",BE172-([1]AB3!$CG$6/1440),IF(D170="Options Sell",BE172-([1]AB3!$CG$12/1440),IF(D170="Options Buy",BE172-([1]AB3!$CG$18/1440),IF(D170="EQUITY",""))))</f>
        <v/>
      </c>
      <c r="CV168" s="59"/>
      <c r="CW168" s="59"/>
    </row>
    <row r="169" spans="1:101" ht="15.75" customHeight="1" x14ac:dyDescent="0.2">
      <c r="A169" s="60"/>
      <c r="B169" s="111" t="str">
        <f>CONCATENATE(D168,IF(D170="Futures",[1]AB3!$B$7,IF(D170="Options Sell",[1]AB3!$B$13,IF(D170="Options Buy",[1]AB3!$B$19,IF(D170="EQUITY",[1]AB3!$B$25)))))</f>
        <v>S28B</v>
      </c>
      <c r="C169" s="112" t="str">
        <f>IF(D170="Futures",[1]AB3!$C$7,IF(D170="Options Sell",[1]AB3!$C$13,IF(D170="Options Buy",[1]AB3!$C$19,IF(D170="EQUITY",[1]AB3!$C$25))))</f>
        <v>Unique Code</v>
      </c>
      <c r="D169" s="49" t="str">
        <f t="array" ref="D169">IF(A168="","",INDEX([1]AB2!N:N,MATCH(D168,[1]AB2!B:B,0)))</f>
        <v>STOCKS_EQ_DCC</v>
      </c>
      <c r="E169" s="32"/>
      <c r="F169" s="120">
        <f>IF(D170="Futures",[1]AB3!$F$7,IF(D170="Options Sell",[1]AB3!$F$13,IF(D170="Options Buy",[1]AB3!$F$19,IF(D170="EQUITY",[1]AB3!$F$25))))</f>
        <v>0</v>
      </c>
      <c r="G169" s="84" t="str">
        <f t="array" ref="G169">IF(A168="","",IF(D170="Futures",CONCATENATE([1]AB3!$G$7,INDEX([1]AB2!J:J,MATCH(D168,[1]AB2!B:B,0)),[1]AB3!$H$7),IF(D170="Options Sell",CONCATENATE([1]AB3!$G$13,INDEX([1]AB2!I:I,MATCH(D168,[1]AB2!B:B,0)),[1]AB3!$H$13),IF(D170="Options Buy",CONCATENATE([1]AB3!$G$19,INDEX([1]AB2!J:J,MATCH(D168,[1]AB2!B:B,0)),[1]AB3!$H$19),IF(D170="EQUITY","")))))</f>
        <v/>
      </c>
      <c r="H169" s="43" t="str">
        <f>IF(D170="Futures",[1]AB3!$I$7,IF(D170="Options Sell",[1]AB3!$I$13,IF(D170="Options Buy",[1]AB3!$I$19,IF(D170="EQUITY",""))))</f>
        <v/>
      </c>
      <c r="I169" s="46"/>
      <c r="J169" s="47"/>
      <c r="K169" s="48"/>
      <c r="L169" s="43" t="str">
        <f>IF(D170="Futures",[1]AB3!$M$7,IF(D170="Options Sell",[1]AB3!$M$13,IF(D170="Options Buy",[1]AB3!$M$19,IF(D170="EQUITY",""))))</f>
        <v/>
      </c>
      <c r="M169" s="43" t="str">
        <f>IF(D170="Futures",[1]AB3!$N$7,IF(D170="Options Sell",[1]AB3!$N$13,IF(D170="Options Buy",[1]AB3!$N$19,IF(D170="EQUITY",""))))</f>
        <v/>
      </c>
      <c r="N169" s="58"/>
      <c r="O169" s="75"/>
      <c r="P169" s="58"/>
      <c r="Q169" s="75"/>
      <c r="R169" s="58"/>
      <c r="S169" s="75"/>
      <c r="T169" s="58"/>
      <c r="U169" s="75"/>
      <c r="V169" s="76"/>
      <c r="W169" s="75"/>
      <c r="X169" s="76"/>
      <c r="Y169" s="76"/>
      <c r="Z169" s="48"/>
      <c r="AA169" s="43" t="str">
        <f>IF(D170="Futures",[1]AB3!$AD$7,IF(D170="Options Sell",[1]AB3!$AD$13,IF(D170="Options Buy",[1]AB3!$AD$19,IF(D170="EQUITY",""))))</f>
        <v/>
      </c>
      <c r="AB169" s="43" t="str">
        <f>IF(D170="Futures",[1]AB3!$AE$7,IF(D170="Options Sell",[1]AB3!$AE$13,IF(D170="Options Buy",[1]AB3!$AE$19,IF(D170="EQUITY",""))))</f>
        <v/>
      </c>
      <c r="AC169" s="43" t="str">
        <f>IF(D170="Futures",[1]AB3!$AF$7,IF(D170="Options Sell",[1]AB3!$AF$13,IF(D170="Options Buy",[1]AB3!$AF$19,IF(D170="EQUITY",""))))</f>
        <v/>
      </c>
      <c r="AD169" s="48"/>
      <c r="AE169" s="43" t="str">
        <f>IF(D170="Futures",[1]AB3!$AH$7,IF(D170="Options Sell",[1]AB3!$AH$13,IF(D170="Options Buy",[1]AB3!$AH$19,IF(D170="EQUITY",""))))</f>
        <v/>
      </c>
      <c r="AF169" s="43" t="str">
        <f>IF(D170="Futures",[1]AB3!$AI$7,IF(D170="Options Sell",[1]AB3!$AI$13,IF(D170="Options Buy",[1]AB3!$AI$19,IF(D170="EQUITY",""))))</f>
        <v/>
      </c>
      <c r="AG169" s="58"/>
      <c r="AH169" s="58"/>
      <c r="AI169" s="48"/>
      <c r="AJ169" s="43" t="str">
        <f>IF(D170="Futures",[1]AB3!$AO$7,IF(D170="Options Sell",[1]AB3!$AO$13,IF(D170="Options Buy",[1]AB3!$AO$19,IF(D170="EQUITY",""))))</f>
        <v/>
      </c>
      <c r="AK169" s="43" t="str">
        <f t="array" ref="AK169">IF(A168="","",IF(D170="Futures",CONCATENATE([1]AB3!$AP$7,INDEX([1]AB2!M:M,MATCH(D168,[1]AB2!B:B,0)),[1]AB3!$AQ$7),IF(D170="Options Sell",CONCATENATE([1]AB3!$AP$13,INDEX([1]AB2!L:L,MATCH(D168,[1]AB2!B:B,0)),[1]AB3!$AQ$13),IF(D170="Options Buy",CONCATENATE([1]AB3!$AP$19,INDEX([1]AB2!M:M,MATCH(D168,[1]AB2!B:B,0)),[1]AB3!$AQ$19),IF(D170="EQUITY","")))))</f>
        <v/>
      </c>
      <c r="AL169" s="51"/>
      <c r="AM169" s="52" t="str">
        <f>IF(D170="EQUITY","",J168)</f>
        <v/>
      </c>
      <c r="AN169" s="43" t="str">
        <f t="array" ref="AN169">IF(A168="","",IF(AND(OR(D172="1 &amp; APS",D172="2 &amp; APS",D172="3 &amp; APS",D172="4 &amp; APS",D172="5 &amp; APS"),D170="Futures"),CONCATENATE([1]AB3!$AP$7,INDEX([1]AB2!M:M,MATCH(D168,[1]AB2!B:B,0)),[1]AB3!$AQ$7),IF(AND(OR(D172="1 &amp; APS",D172="2 &amp; APS",D172="3 &amp; APS",D172="4 &amp; APS",D172="5 &amp; APS"),D170="Options Sell"),CONCATENATE([1]AB3!$AP$13,INDEX([1]AB2!L:L,MATCH(D168,[1]AB2!B:B,0)),[1]AB3!$AQ$13),IF(AND(OR(D172="1 &amp; APS",D172="2 &amp; APS",D172="3 &amp; APS",D172="4 &amp; APS",D172="5 &amp; APS"),D170="Options Buy"),CONCATENATE([1]AB3!$AP$19,INDEX([1]AB2!M:M,MATCH(D168,[1]AB2!B:B,0)),[1]AB3!$AQ$19),IF(D170="EQUITY","",[1]AB3!$AR$6)))))</f>
        <v/>
      </c>
      <c r="AO169" s="51" t="str">
        <f>IF(AND(D170="Futures",AN169=[1]AB3!$AU$7),[1]AB3!$AU$7,IF(AND(D170="Options Sell",AN169=[1]AB3!$AU$13),[1]AB3!$AU$13,IF(AND(D170="Options Buy",AN169=[1]AB3!$AU$19),[1]AB3!$AU$19,IF(D170="EQUITY","",I168))))</f>
        <v/>
      </c>
      <c r="AP169" s="52" t="str">
        <f>IF(D170="EQUITY","",AM169-O169)</f>
        <v/>
      </c>
      <c r="AQ169" s="43" t="str">
        <f t="array" ref="AQ169">IF(A168="","",IF(AND(OR(D172="2 &amp; APS",D172="3 &amp; APS",D172="4 &amp; APS",D172="5 &amp; APS"),D170="Futures"),CONCATENATE([1]AB3!$AP$7,INDEX([1]AB2!M:M,MATCH(D168,[1]AB2!B:B,0)),[1]AB3!$AQ$7),IF(AND(OR(D172="2 &amp; APS",D172="3 &amp; APS",D172="4 &amp; APS",D172="5 &amp; APS"),D170="Options Sell"),CONCATENATE([1]AB3!$AP$13,INDEX([1]AB2!L:L,MATCH(D168,[1]AB2!B:B,0)),[1]AB3!$AQ$13),IF(AND(OR(D172="2 &amp; APS",D172="3 &amp; APS",D172="4 &amp; APS",D172="5 &amp; APS"),D170="Options Buy"),CONCATENATE([1]AB3!$AP$19,INDEX([1]AB2!M:M,MATCH(D168,[1]AB2!B:B,0)),[1]AB3!$AQ$19),IF(D170="EQUITY","",[1]AB3!$AR$6)))))</f>
        <v/>
      </c>
      <c r="AR169" s="51" t="str">
        <f>IF(AND(D170="Futures",AQ169=[1]AB3!$AW$7),[1]AB3!$AW$7,IF(AND(D170="Options Sell",AQ169=[1]AB3!$AW$13),[1]AB3!$AW$13,IF(AND(D170="Options Buy",AQ169=[1]AB3!$AW$19),[1]AB3!$AW$19,IF(D170="EQUITY","",I168))))</f>
        <v/>
      </c>
      <c r="AS169" s="52" t="str">
        <f>IF(D170="EQUITY","",AP169-Q169)</f>
        <v/>
      </c>
      <c r="AT169" s="43" t="str">
        <f t="array" ref="AT169">IF(A168="","",IF(AND(OR(D172="3 &amp; APS",D172="4 &amp; APS",D172="5 &amp; APS"),D170="Futures"),CONCATENATE([1]AB3!$AP$7,INDEX([1]AB2!M:M,MATCH(D168,[1]AB2!B:B,0)),[1]AB3!$AQ$7),IF(AND(OR(D172="3 &amp; APS",D172="4 &amp; APS",D172="5 &amp; APS"),D170="Options Sell"),CONCATENATE([1]AB3!$AP$13,INDEX([1]AB2!L:L,MATCH(D168,[1]AB2!B:B,0)),[1]AB3!$AQ$13),IF(AND(OR(D172="3 &amp; APS",D172="4 &amp; APS",D172="5 &amp; APS"),D170="Options Buy"),CONCATENATE([1]AB3!$AP$19,INDEX([1]AB2!M:M,MATCH(D168,[1]AB2!B:B,0)),[1]AB3!$AQ$19),IF(D170="EQUITY","",[1]AB3!$AR$6)))))</f>
        <v/>
      </c>
      <c r="AU169" s="51" t="str">
        <f>IF(AND(D170="Futures",AT169=[1]AB3!$AY$7),[1]AB3!$AY$7,IF(AND(D170="Options Sell",AT169=[1]AB3!$AY$13),[1]AB3!$AY$13,IF(AND(D170="Options Buy",AT169=[1]AB3!$AY$19),[1]AB3!$AY$19,IF(D170="EQUITY","",I168))))</f>
        <v/>
      </c>
      <c r="AV169" s="52" t="str">
        <f>IF(D170="EQUITY","",AS169-S169)</f>
        <v/>
      </c>
      <c r="AW169" s="43" t="str">
        <f t="array" ref="AW169">IF(A168="","",IF(AND(OR(D172="4 &amp; APS",D172="5 &amp; APS"),D170="Futures"),CONCATENATE([1]AB3!$AP$7,INDEX([1]AB2!M:M,MATCH(D168,[1]AB2!B:B,0)),[1]AB3!$AQ$7),IF(AND(OR(D172="4 &amp; APS",D172="5 &amp; APS"),D170="Options Sell"),CONCATENATE([1]AB3!$AP$13,INDEX([1]AB2!L:L,MATCH(D168,[1]AB2!B:B,0)),[1]AB3!$AQ$13),IF(AND(OR(D172="4 &amp; APS",D172="5 &amp; APS"),D170="Options Buy"),CONCATENATE([1]AB3!$AP$19,INDEX([1]AB2!M:M,MATCH(D168,[1]AB2!B:B,0)),[1]AB3!$AQ$19),IF(D170="EQUITY","",[1]AB3!$AR$6)))))</f>
        <v/>
      </c>
      <c r="AX169" s="51" t="str">
        <f>IF(AND(D170="Futures",AW169=[1]AB3!$BA$7),[1]AB3!$BA$7,IF(AND(D170="Options Sell",AW169=[1]AB3!$BA$13),[1]AB3!$BA$13,IF(AND(D170="Options Buy",AW169=[1]AB3!$BA$19),[1]AB3!$BA$19,IF(D170="EQUITY","",I168))))</f>
        <v/>
      </c>
      <c r="AY169" s="52" t="str">
        <f>IF(D170="EQUITY","",AV169-S169)</f>
        <v/>
      </c>
      <c r="AZ169" s="43" t="str">
        <f t="array" ref="AZ169">IF(A168="","",IF(AND(D172="5 &amp; APS",D170="Futures"),CONCATENATE([1]AB3!$AP$7,INDEX([1]AB2!M:M,MATCH(D168,[1]AB2!B:B,0)),[1]AB3!$AQ$7),IF(AND(D172="5 &amp; APS",D170="Options Sell"),CONCATENATE([1]AB3!$AP$13,INDEX([1]AB2!L:L,MATCH(D168,[1]AB2!B:B,0)),[1]AB3!$AQ$13),IF(AND(D172="5 &amp; APS",D170="Options Buy"),CONCATENATE([1]AB3!$AP$19,INDEX([1]AB2!M:M,MATCH(D168,[1]AB2!B:B,0)),[1]AB3!$AQ$19),IF(D170="EQUITY","",[1]AB3!$AR$6)))))</f>
        <v/>
      </c>
      <c r="BA169" s="51" t="str">
        <f>IF(AND(D170="Futures",AZ169=[1]AB3!$BC$7),[1]AB3!$BC$7,IF(AND(D170="Options Sell",AZ169=[1]AB3!$BC$13),[1]AB3!$BC$13,IF(AND(D170="Options Buy",AZ169=[1]AB3!$BC$19),[1]AB3!$BC$19,IF(D170="EQUITY","",I168))))</f>
        <v/>
      </c>
      <c r="BB169" s="52" t="str">
        <f>IF(D170="EQUITY","",AY169-W169)</f>
        <v/>
      </c>
      <c r="BC169" s="53"/>
      <c r="BD169" s="118" t="str">
        <f>IF(D170="Futures",[1]AB3!$BE$7,IF(D170="Options Sell",[1]AB3!$BE$13,IF(D170="Options Buy",[1]AB3!$BE$19,IF(D170="EQUITY",[1]AB3!$BE$25))))</f>
        <v xml:space="preserve"> RC. Time</v>
      </c>
      <c r="BE169" s="119">
        <f>IF(D170="Futures",BE171+([1]AB3!$BF$7/1440),IF(D170="Options Sell",BE171+([1]AB3!$BF$13/1440),IF(D170="Options Buy",BE171+([1]AB3!$BF$19/1440),IF(D170="EQUITY",BE171+([1]AB3!$BF$25/1440)))))</f>
        <v>0.39582638888888888</v>
      </c>
      <c r="BF169" s="119">
        <f>IF(D170="Futures",BE171+([1]AB3!$BG$7/1440),IF(D170="Options Sell",BE171+([1]AB3!$BG$13/1440),IF(D170="Options Buy",BE171+([1]AB3!$BG$19/1440),IF(D170="EQUITY",BE171+([1]AB3!$BG$25/1440)))))</f>
        <v>0.39582638888888888</v>
      </c>
      <c r="BG169" s="119" t="str">
        <f>IF(D170="Futures",[1]AB3!$BH$7,IF(D170="Options Sell",[1]AB3!$BH$7,IF(D170="Options Buy",[1]AB3!$BH$7,IF(D170="EQUITY",[1]AB3!$BH$25))))</f>
        <v>N.A.</v>
      </c>
      <c r="BH169" s="57"/>
      <c r="BI169" s="32"/>
      <c r="BJ169" s="120">
        <f>IF(D170="Futures",[1]AB3!$BK$7,IF(D170="Options Sell",[1]AB3!$BK$13,IF(D170="Options Buy",[1]AB3!$BK$19,IF(D170="EQUITY",[1]AB3!$BK$25))))</f>
        <v>0</v>
      </c>
      <c r="BK169" s="58"/>
      <c r="BL169" s="58"/>
      <c r="BM169" s="57"/>
      <c r="BN169" s="32"/>
      <c r="BO169" s="61">
        <f>IF(D170="Futures",[1]AB3!$BP$7,IF(D170="Options Sell",[1]AB3!$BP$13,IF(D170="Options Buy",[1]AB3!$BP$19,IF(D170="EQUITY",[1]AB3!$BP$25))))</f>
        <v>0</v>
      </c>
      <c r="BP169" s="43" t="str">
        <f t="array" ref="BP169">IF(A168="","",IF(D170="Futures","",IF(D170="EQUITY","",IF(D170="Options Sell",CONCATENATE([1]AB3!$BQ$13,INDEX([1]AB2!I:I,MATCH(A168,[1]AB2!A:A,0)),[1]AB3!$BR$13),IF(D170="Options Buy",CONCATENATE([1]AB3!$BQ$19,INDEX([1]AB2!I:I,MATCH(A168,[1]AB2!A:A,0)),[1]AB3!$BR$19))))))</f>
        <v/>
      </c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9"/>
      <c r="CL169" s="43"/>
      <c r="CM169" s="43"/>
      <c r="CN169" s="59"/>
      <c r="CO169" s="43"/>
      <c r="CP169" s="43"/>
      <c r="CQ169" s="59"/>
      <c r="CR169" s="58"/>
      <c r="CS169" s="58"/>
      <c r="CT169" s="59"/>
      <c r="CU169" s="43"/>
      <c r="CV169" s="59"/>
      <c r="CW169" s="59"/>
    </row>
    <row r="170" spans="1:101" ht="15.75" customHeight="1" x14ac:dyDescent="0.2">
      <c r="A170" s="60"/>
      <c r="B170" s="111" t="str">
        <f>CONCATENATE(D168,IF(D170="Futures",[1]AB3!$B$8,IF(D170="Options Sell",[1]AB3!$B$14,IF(D170="Options Buy",[1]AB3!$B$20,IF(D170="EQUITY",[1]AB3!$B$26)))))</f>
        <v>S28C</v>
      </c>
      <c r="C170" s="112" t="str">
        <f>IF(D170="Futures",[1]AB3!$C$8,IF(D170="Options Sell",[1]AB3!$C$14,IF(D170="Options Buy",[1]AB3!$C$20,IF(D170="EQUITY",[1]AB3!$C$26))))</f>
        <v>Segment</v>
      </c>
      <c r="D170" s="49" t="str">
        <f t="array" ref="D170">IF(A168="","",INDEX([1]AB2!C:C,MATCH(D168,[1]AB2!B:B,0)))</f>
        <v>EQUITY</v>
      </c>
      <c r="E170" s="112" t="str">
        <f>IF(D170="Futures",[1]AB3!$E$8,IF(D170="Options Sell",[1]AB3!$E$14,IF(D170="Options Buy",[1]AB3!$E$20,IF(D170="EQUITY",[1]AB3!$E$26))))</f>
        <v>Contract</v>
      </c>
      <c r="F170" s="49" t="str">
        <f t="array" ref="F170">IF(A168="","",INDEX([1]AB2!F:F,MATCH(D168,[1]AB2!B:B,0)))</f>
        <v>DCC</v>
      </c>
      <c r="G170" s="62"/>
      <c r="H170" s="62"/>
      <c r="I170" s="62"/>
      <c r="J170" s="89"/>
      <c r="K170" s="48"/>
      <c r="L170" s="62"/>
      <c r="M170" s="62"/>
      <c r="N170" s="62"/>
      <c r="O170" s="89"/>
      <c r="P170" s="62"/>
      <c r="Q170" s="89"/>
      <c r="R170" s="62"/>
      <c r="S170" s="89"/>
      <c r="T170" s="62"/>
      <c r="U170" s="89"/>
      <c r="V170" s="62"/>
      <c r="W170" s="89"/>
      <c r="X170" s="62"/>
      <c r="Y170" s="62"/>
      <c r="Z170" s="48"/>
      <c r="AA170" s="62"/>
      <c r="AB170" s="62"/>
      <c r="AC170" s="62"/>
      <c r="AD170" s="48"/>
      <c r="AE170" s="62"/>
      <c r="AF170" s="62"/>
      <c r="AG170" s="62"/>
      <c r="AH170" s="62"/>
      <c r="AI170" s="48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53"/>
      <c r="BD170" s="121"/>
      <c r="BE170" s="57"/>
      <c r="BF170" s="57"/>
      <c r="BG170" s="57"/>
      <c r="BH170" s="57"/>
      <c r="BI170" s="66"/>
      <c r="BJ170" s="65"/>
      <c r="BK170" s="62"/>
      <c r="BL170" s="62"/>
      <c r="BM170" s="57"/>
      <c r="BN170" s="66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59"/>
      <c r="CL170" s="62"/>
      <c r="CM170" s="62"/>
      <c r="CN170" s="59"/>
      <c r="CO170" s="62"/>
      <c r="CP170" s="62"/>
      <c r="CQ170" s="59"/>
      <c r="CR170" s="62"/>
      <c r="CS170" s="62"/>
      <c r="CT170" s="59"/>
      <c r="CU170" s="62"/>
      <c r="CV170" s="59"/>
      <c r="CW170" s="59"/>
    </row>
    <row r="171" spans="1:101" ht="15.75" customHeight="1" x14ac:dyDescent="0.2">
      <c r="A171" s="60"/>
      <c r="B171" s="111" t="str">
        <f>CONCATENATE(D168,IF(D170="Futures",[1]AB3!$B$9,IF(D170="Options Sell",[1]AB3!$B$15,IF(D170="Options Buy",[1]AB3!$B$21,IF(D170="EQUITY",[1]AB3!$B$27)))))</f>
        <v>S28D</v>
      </c>
      <c r="C171" s="112" t="str">
        <f>IF(D170="Futures",[1]AB3!$C$9,IF(D170="Options Sell",[1]AB3!$C$15,IF(D170="Options Buy",[1]AB3!$C$21,IF(D170="EQUITY",[1]AB3!$C$27))))</f>
        <v>Symbol</v>
      </c>
      <c r="D171" s="49" t="str">
        <f t="array" ref="D171">IF(A168="","",INDEX([1]AB2!E:E,MATCH(D168,[1]AB2!B:B,0)))</f>
        <v>STOCKS</v>
      </c>
      <c r="E171" s="113">
        <f>IF(D170="Futures",[1]AB3!$E$9,IF(D170="Options Sell",[1]AB3!$E$15,IF(D170="Options Buy",[1]AB3!$E$21,IF(D170="EQUITY",[1]AB3!$E$27))))</f>
        <v>0</v>
      </c>
      <c r="F171" s="114">
        <f>IF(D170="Futures",[1]AB3!$F$9,IF(D170="Options Sell",[1]AB3!$F$15,IF(D170="Options Buy",[1]AB3!$F$21,IF(D170="EQUITY",[1]AB3!$F$26))))</f>
        <v>0</v>
      </c>
      <c r="G171" s="84" t="str">
        <f t="array" ref="G171">IF(A168="","",IF(D170="Futures",CONCATENATE([1]AB3!$G$9,INDEX([1]AB2!J:J,MATCH(D168,[1]AB2!B:B,0)),[1]AB3!$H$9),IF(D170="Options Sell",CONCATENATE([1]AB3!$G$15,INDEX([1]AB2!I:I,MATCH(D168,[1]AB2!B:B,0)),[1]AB3!$H$15),IF(D170="Options Buy",CONCATENATE([1]AB3!$G$21,INDEX([1]AB2!J:J,MATCH(D168,[1]AB2!B:B,0)),[1]AB3!$H$21),IF(D170="EQUITY","")))))</f>
        <v/>
      </c>
      <c r="H171" s="43" t="str">
        <f>IF(D170="Futures",[1]AB3!$I$9,IF(D170="Options Sell",[1]AB3!$I$15,IF(D170="Options Buy",[1]AB3!$I$21,IF(D170="EQUITY",""))))</f>
        <v/>
      </c>
      <c r="I171" s="58"/>
      <c r="J171" s="75"/>
      <c r="K171" s="48"/>
      <c r="L171" s="43" t="str">
        <f>IF(D170="Futures",[1]AB3!$M$9,IF(D170="Options Sell",[1]AB3!$M$15,IF(D170="Options Buy",[1]AB3!$M$21,IF(D170="EQUITY",""))))</f>
        <v/>
      </c>
      <c r="M171" s="43" t="str">
        <f>IF(D170="Futures",[1]AB3!$N$9,IF(D170="Options Sell",[1]AB3!$N$15,IF(D170="Options Buy",[1]AB3!$N$21,IF(D170="EQUITY",""))))</f>
        <v/>
      </c>
      <c r="N171" s="58"/>
      <c r="O171" s="75"/>
      <c r="P171" s="58"/>
      <c r="Q171" s="75"/>
      <c r="R171" s="58"/>
      <c r="S171" s="75"/>
      <c r="T171" s="58"/>
      <c r="U171" s="75"/>
      <c r="V171" s="76"/>
      <c r="W171" s="75"/>
      <c r="X171" s="76"/>
      <c r="Y171" s="76"/>
      <c r="Z171" s="48"/>
      <c r="AA171" s="43" t="str">
        <f>IF(D170="Futures",[1]AB3!$AD$9,IF(D170="Options Sell",[1]AB3!$AD$15,IF(D170="Options Buy",[1]AB3!$AD$21,IF(D170="EQUITY",""))))</f>
        <v/>
      </c>
      <c r="AB171" s="43" t="str">
        <f>IF(D170="Futures",[1]AB3!$AE$9,IF(D170="Options Sell",[1]AB3!$AE$15,IF(D170="Options Buy",[1]AB3!$AE$21,IF(D170="EQUITY",""))))</f>
        <v/>
      </c>
      <c r="AC171" s="43" t="str">
        <f>IF(D170="Futures",[1]AB3!$AF$9,IF(D170="Options Sell",[1]AB3!$AF$15,IF(D170="Options Buy",[1]AB3!$AF$21,IF(D170="EQUITY",""))))</f>
        <v/>
      </c>
      <c r="AD171" s="48"/>
      <c r="AE171" s="43" t="str">
        <f>IF(D170="Futures",[1]AB3!$AH$9,IF(D170="Options Sell",[1]AB3!$AH$15,IF(D170="Options Buy",[1]AB3!$AH$21,IF(D170="EQUITY",""))))</f>
        <v/>
      </c>
      <c r="AF171" s="43" t="str">
        <f>IF(D170="Futures",[1]AB3!$AI$9,IF(D170="Options Sell",[1]AB3!$AI$15,IF(D170="Options Buy",[1]AB3!$AI$21,IF(D170="EQUITY",""))))</f>
        <v/>
      </c>
      <c r="AG171" s="58"/>
      <c r="AH171" s="58"/>
      <c r="AI171" s="48"/>
      <c r="AJ171" s="43" t="str">
        <f>IF(D170="Futures",[1]AB3!$AO$9,IF(D170="Options Sell",[1]AB3!$AO$15,IF(D170="Options Buy",[1]AB3!$AO$21,IF(D170="EQUITY",""))))</f>
        <v/>
      </c>
      <c r="AK171" s="43" t="str">
        <f t="array" ref="AK171">IF(A168="","",IF(D170="Futures",CONCATENATE([1]AB3!$AP$9,INDEX([1]AB2!M:M,MATCH(D168,[1]AB2!B:B,0)),[1]AB3!$AQ$9),IF(D170="Options Sell",CONCATENATE([1]AB3!$AP$15,INDEX([1]AB2!L:L,MATCH(D168,[1]AB2!B:B,0)),[1]AB3!$AQ$15),IF(D170="Options Buy",CONCATENATE([1]AB3!$AP$21,INDEX([1]AB2!M:M,MATCH(D168,[1]AB2!B:B,0)),[1]AB3!$AQ$21),IF(D170="EQUITY","")))))</f>
        <v/>
      </c>
      <c r="AL171" s="52"/>
      <c r="AM171" s="52">
        <f>J172</f>
        <v>0</v>
      </c>
      <c r="AN171" s="43" t="str">
        <f t="array" ref="AN171">IF(A168="","",IF(AND(OR(D172="1 &amp; APS",D172="2 &amp; APS",D172="3 &amp; APS",D172="4 &amp; APS",D172="5 &amp; APS"),D170="Futures"),CONCATENATE([1]AB3!$AP$9,INDEX([1]AB2!M:M,MATCH(D168,[1]AB2!B:B,0)),[1]AB3!$AQ$9),IF(AND(OR(D172="1 &amp; APS",D172="2 &amp; APS",D172="3 &amp; APS",D172="4 &amp; APS",D172="5 &amp; APS"),D170="Options Sell"),CONCATENATE([1]AB3!$AP$15,INDEX([1]AB2!L:L,MATCH(D168,[1]AB2!B:B,0)),[1]AB3!$AQ$15),IF(AND(OR(D172="1 &amp; APS",D172="2 &amp; APS",D172="3 &amp; APS",D172="4 &amp; APS",D172="5 &amp; APS"),D170="Options Buy"),CONCATENATE([1]AB3!$AP$21,INDEX([1]AB2!M:M,MATCH(D168,[1]AB2!B:B,0)),[1]AB3!$AQ$21),IF(D170="EQUITY","",[1]AB3!$AR$6)))))</f>
        <v/>
      </c>
      <c r="AO171" s="52" t="str">
        <f>IF(AND(D170="Futures",AN171=[1]AB3!$AU$9),[1]AB3!$AU$9,IF(AND(D170="Options Sell",AN171=[1]AB3!$AU$15),[1]AB3!$AU$15,IF(AND(D170="Options Buy",AN171=[1]AB3!$AU$21),[1]AB3!$AU$21,IF(D170="EQUITY","",I172))))</f>
        <v/>
      </c>
      <c r="AP171" s="52" t="str">
        <f>IF(D170="EQUITY","",AM171-O171)</f>
        <v/>
      </c>
      <c r="AQ171" s="43" t="str">
        <f t="array" ref="AQ171">IF(A168="","",IF(AND(OR(D172="2 &amp; APS",D172="3 &amp; APS",D172="4 &amp; APS",D172="5 &amp; APS"),D170="Futures"),CONCATENATE([1]AB3!$AP$9,INDEX([1]AB2!M:M,MATCH(D168,[1]AB2!B:B,0)),[1]AB3!$AQ$9),IF(AND(OR(D172="2 &amp; APS",D172="3 &amp; APS",D172="4 &amp; APS",D172="5 &amp; APS"),D170="Options Sell"),CONCATENATE([1]AB3!$AP$15,INDEX([1]AB2!L:L,MATCH(D168,[1]AB2!B:B,0)),[1]AB3!$AQ$15),IF(AND(OR(D172="2 &amp; APS",D172="3 &amp; APS",D172="4 &amp; APS",D172="5 &amp; APS"),D170="Options Buy"),CONCATENATE([1]AB3!$AP$21,INDEX([1]AB2!M:M,MATCH(D168,[1]AB2!B:B,0)),[1]AB3!$AQ$21),IF(D170="EQUITY","",[1]AB3!$AR$6)))))</f>
        <v/>
      </c>
      <c r="AR171" s="52" t="str">
        <f>IF(AND(D170="Futures",AQ171=[1]AB3!$AW$9),[1]AB3!$AW$9,IF(AND(D170="Options Sell",AQ171=[1]AB3!$AW$15),[1]AB3!$AW$15,IF(AND(D170="Options Buy",AQ171=[1]AB3!$AW$21),[1]AB3!$AW$21,IF(D170="EQUITY","",I172))))</f>
        <v/>
      </c>
      <c r="AS171" s="52" t="str">
        <f>IF(D170="EQUITY","",AP171-Q171)</f>
        <v/>
      </c>
      <c r="AT171" s="43" t="str">
        <f t="array" ref="AT171">IF(A168="","",IF(AND(OR(D172="3 &amp; APS",D172="4 &amp; APS",D172="5 &amp; APS"),D170="Futures"),CONCATENATE([1]AB3!$AP$9,INDEX([1]AB2!M:M,MATCH(D168,[1]AB2!B:B,0)),[1]AB3!$AQ$9),IF(AND(OR(D172="3 &amp; APS",D172="4 &amp; APS",D172="5 &amp; APS"),D170="Options Sell"),CONCATENATE([1]AB3!$AP$15,INDEX([1]AB2!L:L,MATCH(D168,[1]AB2!B:B,0)),[1]AB3!$AQ$15),IF(AND(OR(D172="3 &amp; APS",D172="4 &amp; APS",D172="5 &amp; APS"),D170="Options Buy"),CONCATENATE([1]AB3!$AP$21,INDEX([1]AB2!M:M,MATCH(D168,[1]AB2!B:B,0)),[1]AB3!$AQ$21),IF(D170="EQUITY","",[1]AB3!$AR$6)))))</f>
        <v/>
      </c>
      <c r="AU171" s="52" t="str">
        <f>IF(AND(D170="Futures",AT171=[1]AB3!$AY$9),[1]AB3!$AY$9,IF(AND(D170="Options Sell",AT171=[1]AB3!$AY$15),[1]AB3!$AY$15,IF(AND(D170="Options Buy",AT171=[1]AB3!$AY$21),[1]AB3!$AY$21,IF(D170="EQUITY","",I172))))</f>
        <v/>
      </c>
      <c r="AV171" s="52" t="str">
        <f>IF(D170="EQUITY","",AS171-S171)</f>
        <v/>
      </c>
      <c r="AW171" s="43" t="str">
        <f t="array" ref="AW171">IF(A168="","",IF(AND(OR(D172="4 &amp; APS",D172="5 &amp; APS"),D170="Futures"),CONCATENATE([1]AB3!$AP$9,INDEX([1]AB2!M:M,MATCH(D168,[1]AB2!B:B,0)),[1]AB3!$AQ$9),IF(AND(OR(D172="4 &amp; APS",D172="5 &amp; APS"),D170="Options Sell"),CONCATENATE([1]AB3!$AP$15,INDEX([1]AB2!L:L,MATCH(D168,[1]AB2!B:B,0)),[1]AB3!$AQ$15),IF(AND(OR(D172="4 &amp; APS",D172="5 &amp; APS"),D170="Options Buy"),CONCATENATE([1]AB3!$AP$21,INDEX([1]AB2!M:M,MATCH(D168,[1]AB2!B:B,0)),[1]AB3!$AQ$21),IF(D170="EQUITY","",[1]AB3!$AR$6)))))</f>
        <v/>
      </c>
      <c r="AX171" s="52" t="str">
        <f>IF(AND(D170="Futures",AW171=[1]AB3!$BA$9),[1]AB3!$BA$9,IF(AND(D170="Options Sell",AW171=[1]AB3!$BA$15),[1]AB3!$BA$15,IF(AND(D170="Options Buy",AW171=[1]AB3!$BA$21),[1]AB3!$BA$21,IF(D170="EQUITY","",I172))))</f>
        <v/>
      </c>
      <c r="AY171" s="52" t="str">
        <f>IF(D170="EQUITY","",AV171-S171)</f>
        <v/>
      </c>
      <c r="AZ171" s="43" t="str">
        <f t="array" ref="AZ171">IF(A168="","",IF(AND(D172="5 &amp; APS",D170="Futures"),CONCATENATE([1]AB3!$AP$9,INDEX([1]AB2!M:M,MATCH(D168,[1]AB2!B:B,0)),[1]AB3!$AQ$9),IF(AND(D172="5 &amp; APS",D170="Options Sell"),CONCATENATE([1]AB3!$AP$15,INDEX([1]AB2!L:L,MATCH(D168,[1]AB2!B:B,0)),[1]AB3!$AQ$15),IF(AND(D172="5 &amp; APS",D170="Options Buy"),CONCATENATE([1]AB3!$AP$21,INDEX([1]AB2!M:M,MATCH(D168,[1]AB2!B:B,0)),[1]AB3!$AQ$21),IF(D170="EQUITY","",[1]AB3!$AR$6)))))</f>
        <v/>
      </c>
      <c r="BA171" s="52" t="str">
        <f>IF(AND(D170="Futures",AZ171=[1]AB3!$BC$9),[1]AB3!$BC$9,IF(AND(D170="Options Sell",AZ171=[1]AB3!$BC$15),[1]AB3!$BC$15,IF(AND(D170="Options Buy",AZ171=[1]AB3!$BC$21),[1]AB3!$BC$21,IF(D170="EQUITY","",I172))))</f>
        <v/>
      </c>
      <c r="BB171" s="52" t="str">
        <f>IF(D170="EQUITY","",AY171-W171)</f>
        <v/>
      </c>
      <c r="BC171" s="53"/>
      <c r="BD171" s="118" t="str">
        <f>IF(D170="Futures",[1]AB3!$BE$9,IF(D170="Options Sell",[1]AB3!$BE$15,IF(D170="Options Buy",[1]AB3!$BE$21,IF(D170="EQUITY",[1]AB3!$BE$27))))</f>
        <v>Market Start Time</v>
      </c>
      <c r="BE171" s="67">
        <f t="array" ref="BE171">IF(D168="","",INDEX([1]AB2!AG:AG,MATCH(D168,[1]AB2!B:B,0)))</f>
        <v>0.38541666666666669</v>
      </c>
      <c r="BF171" s="11"/>
      <c r="BG171" s="12"/>
      <c r="BH171" s="57"/>
      <c r="BI171" s="68">
        <f>IF(D170="Futures",[1]AB3!$BJ$9,IF(D170="Options Sell",[1]AB3!$BJ$15,IF(D170="Options Buy",[1]AB3!$BJ$21,IF(D170="EQUITY",[1]AB3!$BJ$27))))</f>
        <v>0</v>
      </c>
      <c r="BJ171" s="114">
        <f>IF(D170="Futures",[1]AB3!$BK$9,IF(D170="Options Sell",[1]AB3!$BK$15,IF(D170="Options Buy",[1]AB3!$BK$21,IF(D170="EQUITY",[1]AB3!$BK$27))))</f>
        <v>0</v>
      </c>
      <c r="BK171" s="58"/>
      <c r="BL171" s="58"/>
      <c r="BM171" s="57"/>
      <c r="BN171" s="68">
        <f>IF(D170="Futures",[1]AB3!$BO$9,IF(D170="Options Sell",[1]AB3!$BO$15,IF(D170="Options Buy",[1]AB3!$BO$21,IF(D170="EQUITY",[1]AB3!$BO$27))))</f>
        <v>0</v>
      </c>
      <c r="BO171" s="45">
        <f>IF(D170="Futures",[1]AB3!$BP$9,IF(D170="Options Sell",[1]AB3!$BP$15,IF(D170="Options Buy",[1]AB3!$BP$21,IF(D170="EQUITY",[1]AB3!$BP$27))))</f>
        <v>0</v>
      </c>
      <c r="BP171" s="43" t="str">
        <f t="array" ref="BP171">IF(A168="","",IF(D170="Futures","",IF(D170="EQUITY","",IF(D170="Options Sell",CONCATENATE([1]AB3!$BQ$15,INDEX([1]AB2!I:I,MATCH(A168,[1]AB2!A:A,0)),[1]AB3!$BR$15),IF(D170="Options Buy",CONCATENATE([1]AB3!$BQ$21,INDEX([1]AB2!I:I,MATCH(A168,[1]AB2!A:A,0)),[1]AB3!$BR$21))))))</f>
        <v/>
      </c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9"/>
      <c r="CL171" s="43"/>
      <c r="CM171" s="43"/>
      <c r="CN171" s="59"/>
      <c r="CO171" s="43"/>
      <c r="CP171" s="43"/>
      <c r="CQ171" s="59"/>
      <c r="CR171" s="58"/>
      <c r="CS171" s="58"/>
      <c r="CT171" s="59"/>
      <c r="CU171" s="43"/>
      <c r="CV171" s="59"/>
      <c r="CW171" s="59"/>
    </row>
    <row r="172" spans="1:101" ht="15.75" customHeight="1" x14ac:dyDescent="0.2">
      <c r="A172" s="32"/>
      <c r="B172" s="111" t="str">
        <f>CONCATENATE(D168,IF(D170="Futures",[1]AB3!$B$10,IF(D170="Options Sell",[1]AB3!$B$16,IF(D170="Options Buy",[1]AB3!$B$22,IF(D170="EQUITY",[1]AB3!$B$28)))))</f>
        <v>S28E</v>
      </c>
      <c r="C172" s="112" t="str">
        <f>IF(D170="Futures",[1]AB3!$C$10,IF(D170="Options Sell",[1]AB3!$C$16,IF(D170="Options Buy",[1]AB3!$C$22,IF(D170="EQUITY",[1]AB3!$C$28))))</f>
        <v>No. of Targets</v>
      </c>
      <c r="D172" s="49" t="str">
        <f t="array" ref="D172">IF(A168="","",INDEX([1]AB2!K:K,MATCH(D168,[1]AB2!B:B,0)))</f>
        <v>5 &amp; APS</v>
      </c>
      <c r="E172" s="32"/>
      <c r="F172" s="120">
        <f>IF(D170="Futures",[1]AB3!$F$10,IF(D170="Options Sell",[1]AB3!$F$16,IF(D170="Options Buy",[1]AB3!$F$22,IF(D170="EQUITY",[1]AB3!$F$27))))</f>
        <v>0</v>
      </c>
      <c r="G172" s="84" t="str">
        <f t="array" ref="G172">(IF(A168="","",IF(D170="Futures",CONCATENATE([1]AB3!$G$10,INDEX([1]AB2!I:I,MATCH(D168,[1]AB2!B:B,0)),[1]AB3!$H$10),IF(D170="Options Sell",CONCATENATE([1]AB3!$G$16,INDEX([1]AB2!J:J,MATCH(D168,[1]AB2!B:B,0)),[1]AB3!$H$16),IF(D170="Options Buy",CONCATENATE([1]AB3!$G$22,INDEX([1]AB2!I:I,MATCH(D168,[1]AB2!B:B,0)),[1]AB3!$H$22),IF(D170="EQUITY",""))))))</f>
        <v/>
      </c>
      <c r="H172" s="43" t="str">
        <f>IF(D170="Futures",[1]AB3!$I$10,IF(D170="Options Sell",[1]AB3!$I$16,IF(D170="Options Buy",[1]AB3!$I$22,IF(D170="EQUITY",""))))</f>
        <v/>
      </c>
      <c r="I172" s="58"/>
      <c r="J172" s="75"/>
      <c r="K172" s="48"/>
      <c r="L172" s="43" t="str">
        <f>IF(D170="Futures",[1]AB3!$M$10,IF(D170="Options Sell",[1]AB3!$M$16,IF(D170="Options Buy",[1]AB3!$M$22,IF(D170="EQUITY",""))))</f>
        <v/>
      </c>
      <c r="M172" s="43" t="str">
        <f>IF(D170="Futures",[1]AB3!$N$10,IF(D170="Options Sell",[1]AB3!$N$16,IF(D170="Options Buy",[1]AB3!$N$22,IF(D170="EQUITY",""))))</f>
        <v/>
      </c>
      <c r="N172" s="58"/>
      <c r="O172" s="75"/>
      <c r="P172" s="58"/>
      <c r="Q172" s="75"/>
      <c r="R172" s="58"/>
      <c r="S172" s="75"/>
      <c r="T172" s="58"/>
      <c r="U172" s="75"/>
      <c r="V172" s="76"/>
      <c r="W172" s="75"/>
      <c r="X172" s="76"/>
      <c r="Y172" s="76"/>
      <c r="Z172" s="48"/>
      <c r="AA172" s="43" t="str">
        <f>IF(D170="Futures",[1]AB3!$AD$10,IF(D170="Options Sell",[1]AB3!$AD$16,IF(D170="Options Buy",[1]AB3!$AD$22,IF(D170="EQUITY",""))))</f>
        <v/>
      </c>
      <c r="AB172" s="43" t="str">
        <f>IF(D170="Futures",[1]AB3!$AE$10,IF(D170="Options Sell",[1]AB3!$AE$16,IF(D170="Options Buy",[1]AB3!$AE$22,IF(D170="EQUITY",""))))</f>
        <v/>
      </c>
      <c r="AC172" s="43" t="str">
        <f>IF(D170="Futures",[1]AB3!$AF$10,IF(D170="Options Sell",[1]AB3!$AF$16,IF(D170="Options Buy",[1]AB3!$AF$22,IF(D170="EQUITY",""))))</f>
        <v/>
      </c>
      <c r="AD172" s="48"/>
      <c r="AE172" s="43" t="str">
        <f>IF(D170="Futures",[1]AB3!$AH$10,IF(D170="Options Sell",[1]AB3!$AH$16,IF(D170="Options Buy",[1]AB3!$AH$22,IF(D170="EQUITY",""))))</f>
        <v/>
      </c>
      <c r="AF172" s="43" t="str">
        <f>IF(D170="Futures",[1]AB3!$AI$10,IF(D170="Options Sell",[1]AB3!$AI$16,IF(D170="Options Buy",[1]AB3!$AI$22,IF(D170="EQUITY",""))))</f>
        <v/>
      </c>
      <c r="AG172" s="58"/>
      <c r="AH172" s="58"/>
      <c r="AI172" s="48"/>
      <c r="AJ172" s="43" t="str">
        <f>IF(D170="Futures",[1]AB3!$AO$10,IF(D170="Options Sell",[1]AB3!$AO$16,IF(D170="Options Buy",[1]AB3!$AO$22,IF(D170="EQUITY",""))))</f>
        <v/>
      </c>
      <c r="AK172" s="43" t="str">
        <f t="array" ref="AK172">IF(A168="","",IF(D170="Futures",CONCATENATE([1]AB3!$AP$10,INDEX([1]AB2!L:L,MATCH(D168,[1]AB2!B:B,0)),[1]AB3!$AQ$10),IF(D170="Options Sell",CONCATENATE([1]AB3!$AP$16,INDEX([1]AB2!M:M,MATCH(D168,[1]AB2!B:B,0)),[1]AB3!$AQ$16),IF(D170="Options Buy",CONCATENATE([1]AB3!$AP$22,INDEX([1]AB2!L:L,MATCH(D168,[1]AB2!B:B,0)),[1]AB3!$AQ$22),IF(D170="EQUITY","")))))</f>
        <v/>
      </c>
      <c r="AL172" s="52"/>
      <c r="AM172" s="52">
        <f>J171</f>
        <v>0</v>
      </c>
      <c r="AN172" s="43" t="str">
        <f t="array" ref="AN172">IF(A168="","",IF(AND(OR(D172="1 &amp; APS",D172="2 &amp; APS",D172="3 &amp; APS",D172="4 &amp; APS",D172="5 &amp; APS"),D170="Futures"),CONCATENATE([1]AB3!$AP$10,INDEX([1]AB2!L:L,MATCH(D168,[1]AB2!B:B,0)),[1]AB3!$AQ$10),IF(AND(OR(D172="1 &amp; APS",D172="2 &amp; APS",D172="3 &amp; APS",D172="4 &amp; APS",D172="5 &amp; APS"),D170="Options Sell"),CONCATENATE([1]AB3!$AP$16,INDEX([1]AB2!M:M,MATCH(D168,[1]AB2!B:B,0)),[1]AB3!$AQ$16),IF(AND(OR(D172="1 &amp; APS",D172="2 &amp; APS",D172="3 &amp; APS",D172="4 &amp; APS",D172="5 &amp; APS"),D170="Options Buy"),CONCATENATE([1]AB3!$AP$22,INDEX([1]AB2!L:L,MATCH(D168,[1]AB2!B:B,0)),[1]AB3!$AQ$22),IF(D170="EQUITY","",[1]AB3!$AR$6)))))</f>
        <v/>
      </c>
      <c r="AO172" s="52" t="str">
        <f>IF(AND(D170="Futures",AN172=[1]AB3!$AU$10),[1]AB3!$AU$10,IF(AND(D170="Options Sell",AN172=[1]AB3!$AU$16),[1]AB3!$AU$16,IF(AND(D170="Options Buy",AN172=[1]AB3!$AU$22),[1]AB3!$AU$22,IF(D170="EQUITY","",I171))))</f>
        <v/>
      </c>
      <c r="AP172" s="52" t="str">
        <f>IF(D170="EQUITY","",AM172-O172)</f>
        <v/>
      </c>
      <c r="AQ172" s="43" t="str">
        <f t="array" ref="AQ172">IF(A168="","",IF(AND(OR(D172="2 &amp; APS",D172="3 &amp; APS",D172="4 &amp; APS",D172="5 &amp; APS"),D170="Futures"),CONCATENATE([1]AB3!$AP$10,INDEX([1]AB2!L:L,MATCH(D168,[1]AB2!B:B,0)),[1]AB3!$AQ$10),IF(AND(OR(D172="2 &amp; APS",D172="3 &amp; APS",D172="4 &amp; APS",D172="5 &amp; APS"),D170="Options Sell"),CONCATENATE([1]AB3!$AP$16,INDEX([1]AB2!M:M,MATCH(D168,[1]AB2!B:B,0)),[1]AB3!$AQ$16),IF(AND(OR(D172="2 &amp; APS",D172="3 &amp; APS",D172="4 &amp; APS",D172="5 &amp; APS"),D170="Options Buy"),CONCATENATE([1]AB3!$AP$22,INDEX([1]AB2!L:L,MATCH(D168,[1]AB2!B:B,0)),[1]AB3!$AQ$22),IF(D170="EQUITY","",[1]AB3!$AR$6)))))</f>
        <v/>
      </c>
      <c r="AR172" s="52" t="str">
        <f>IF(AND(D170="Futures",AQ172=[1]AB3!$AW$10),[1]AB3!$AW$10,IF(AND(D170="Options Sell",AQ172=[1]AB3!$AW$16),[1]AB3!$AW$16,IF(AND(D170="Options Buy",AQ172=[1]AB3!$AW$22),[1]AB3!$AW$22,IF(D170="EQUITY","",I171))))</f>
        <v/>
      </c>
      <c r="AS172" s="52" t="str">
        <f>IF(D170="EQUITY","",AP172-Q172)</f>
        <v/>
      </c>
      <c r="AT172" s="43" t="str">
        <f t="array" ref="AT172">IF(A168="","",IF(AND(OR(D172="3 &amp; APS",D172="4 &amp; APS",D172="5 &amp; APS"),D170="Futures"),CONCATENATE([1]AB3!$AP$10,INDEX([1]AB2!L:L,MATCH(D168,[1]AB2!B:B,0)),[1]AB3!$AQ$10),IF(AND(OR(D172="3 &amp; APS",D172="4 &amp; APS",D172="5 &amp; APS"),D170="Options Sell"),CONCATENATE([1]AB3!$AP$16,INDEX([1]AB2!M:M,MATCH(D168,[1]AB2!B:B,0)),[1]AB3!$AQ$16),IF(AND(OR(D172="3 &amp; APS",D172="4 &amp; APS",D172="5 &amp; APS"),D170="Options Buy"),CONCATENATE([1]AB3!$AP$22,INDEX([1]AB2!L:L,MATCH(D168,[1]AB2!B:B,0)),[1]AB3!$AQ$22),IF(D170="EQUITY","",[1]AB3!$AR$6)))))</f>
        <v/>
      </c>
      <c r="AU172" s="52" t="str">
        <f>IF(AND(D170="Futures",AT172=[1]AB3!$AY$10),[1]AB3!$AY$10,IF(AND(D170="Options Sell",AT172=[1]AB3!$AY$16),[1]AB3!$AY$16,IF(AND(D170="Options Buy",AT172=[1]AB3!$AY$22),[1]AB3!$AY$22,IF(D170="EQUITY","",I171))))</f>
        <v/>
      </c>
      <c r="AV172" s="52" t="str">
        <f>IF(D170="EQUITY","",AS172-S172)</f>
        <v/>
      </c>
      <c r="AW172" s="43" t="str">
        <f t="array" ref="AW172">IF(A168="","",IF(AND(OR(D172="4 &amp; APS",D172="5 &amp; APS"),D170="Futures"),CONCATENATE([1]AB3!$AP$10,INDEX([1]AB2!L:L,MATCH(D168,[1]AB2!B:B,0)),[1]AB3!$AQ$10),IF(AND(OR(D172="4 &amp; APS",D172="5 &amp; APS"),D170="Options Sell"),CONCATENATE([1]AB3!$AP$16,INDEX([1]AB2!M:M,MATCH(D168,[1]AB2!B:B,0)),[1]AB3!$AQ$16),IF(AND(OR(D172="4 &amp; APS",D172="5 &amp; APS"),D170="Options Buy"),CONCATENATE([1]AB3!$AP$22,INDEX([1]AB2!L:L,MATCH(D168,[1]AB2!B:B,0)),[1]AB3!$AQ$22),IF(D170="EQUITY","",[1]AB3!$AR$6)))))</f>
        <v/>
      </c>
      <c r="AX172" s="52" t="str">
        <f>IF(AND(D170="Futures",AW172=[1]AB3!$BA$10),[1]AB3!$BA$10,IF(AND(D170="Options Sell",AW172=[1]AB3!$BA$16),[1]AB3!$BA$16,IF(AND(D170="Options Buy",AW172=[1]AB3!$BA$22),[1]AB3!$BA$22,IF(D170="EQUITY","",I171))))</f>
        <v/>
      </c>
      <c r="AY172" s="52" t="str">
        <f>IF(D170="EQUITY","",AV172-S172)</f>
        <v/>
      </c>
      <c r="AZ172" s="43" t="str">
        <f t="array" ref="AZ172">IF(A168="","",IF(AND(D172="5 &amp; APS",D170="Futures"),CONCATENATE([1]AB3!$AP$10,INDEX([1]AB2!L:L,MATCH(D168,[1]AB2!B:B,0)),[1]AB3!$AQ$10),IF(AND(D172="5 &amp; APS",D170="Options Sell"),CONCATENATE([1]AB3!$AP$16,INDEX([1]AB2!M:M,MATCH(D168,[1]AB2!B:B,0)),[1]AB3!$AQ$16),IF(AND(D172="5 &amp; APS",D170="Options Buy"),CONCATENATE([1]AB3!$AP$22,INDEX([1]AB2!L:L,MATCH(D168,[1]AB2!B:B,0)),[1]AB3!$AQ$22),IF(D170="EQUITY","",[1]AB3!$AR$6)))))</f>
        <v/>
      </c>
      <c r="BA172" s="52" t="str">
        <f>IF(AND(D170="Futures",AZ172=[1]AB3!$BC$10),[1]AB3!$BC$10,IF(AND(D170="Options Sell",AZ172=[1]AB3!$BC$16),[1]AB3!$BC$16,IF(AND(D170="Options Buy",AZ172=[1]AB3!$BC$22),[1]AB3!$BC$22,IF(D170="EQUITY","",I171))))</f>
        <v/>
      </c>
      <c r="BB172" s="52" t="str">
        <f>IF(D170="EQUITY","",AY172-W172)</f>
        <v/>
      </c>
      <c r="BC172" s="53"/>
      <c r="BD172" s="118" t="str">
        <f>IF(D170="Futures",[1]AB3!$BE$10,IF(D170="Options Sell",[1]AB3!$BE$16,IF(D170="Options Buy",[1]AB3!$BE$22,IF(D170="EQUITY",[1]AB3!$BE$28))))</f>
        <v>Market End Time</v>
      </c>
      <c r="BE172" s="67">
        <f t="array" ref="BE172">IF(D168="","",INDEX([1]AB2!AH:AH,MATCH(D168,[1]AB2!B:B,0)))</f>
        <v>0.64583333333333337</v>
      </c>
      <c r="BF172" s="11"/>
      <c r="BG172" s="12"/>
      <c r="BH172" s="57"/>
      <c r="BI172" s="32"/>
      <c r="BJ172" s="120">
        <f>IF(D170="Futures",[1]AB3!$BK$10,IF(D170="Options Sell",[1]AB3!$BK$16,IF(D170="Options Buy",[1]AB3!$BK$22,IF(D170="EQUITY",[1]AB3!$BK$28))))</f>
        <v>0</v>
      </c>
      <c r="BK172" s="58"/>
      <c r="BL172" s="58"/>
      <c r="BM172" s="57"/>
      <c r="BN172" s="32"/>
      <c r="BO172" s="61">
        <f>IF(D170="Futures",[1]AB3!$BP$10,IF(D170="Options Sell",[1]AB3!$BP$16,IF(D170="Options Buy",[1]AB3!$BP$22,IF(D170="EQUITY",[1]AB3!$BP$28))))</f>
        <v>0</v>
      </c>
      <c r="BP172" s="43" t="str">
        <f t="array" ref="BP172">IF(A168="","",IF(D170="Futures","",IF(D170="EQUITY","",IF(D170="Options Sell",CONCATENATE([1]AB3!$BQ$16,INDEX([1]AB2!J:J,MATCH(A168,[1]AB2!A:A,0)),[1]AB3!$BR$16),IF(D170="Options Buy",CONCATENATE([1]AB3!$BQ$22,INDEX([1]AB2!J:J,MATCH(A168,[1]AB2!A:A,0)),[1]AB3!$BR$22))))))</f>
        <v/>
      </c>
      <c r="BQ172" s="58"/>
      <c r="BR172" s="58"/>
      <c r="BS172" s="58"/>
      <c r="BT172" s="58"/>
      <c r="BU172" s="58"/>
      <c r="BV172" s="58"/>
      <c r="BW172" s="58"/>
      <c r="BX172" s="58"/>
      <c r="BY172" s="58"/>
      <c r="BZ172" s="58"/>
      <c r="CA172" s="58"/>
      <c r="CB172" s="58"/>
      <c r="CC172" s="58"/>
      <c r="CD172" s="58"/>
      <c r="CE172" s="58"/>
      <c r="CF172" s="58"/>
      <c r="CG172" s="58"/>
      <c r="CH172" s="58"/>
      <c r="CI172" s="58"/>
      <c r="CJ172" s="58"/>
      <c r="CK172" s="59"/>
      <c r="CL172" s="43"/>
      <c r="CM172" s="43"/>
      <c r="CN172" s="59"/>
      <c r="CO172" s="43"/>
      <c r="CP172" s="43"/>
      <c r="CQ172" s="59"/>
      <c r="CR172" s="58"/>
      <c r="CS172" s="58"/>
      <c r="CT172" s="59"/>
      <c r="CU172" s="43"/>
      <c r="CV172" s="59"/>
      <c r="CW172" s="59"/>
    </row>
    <row r="173" spans="1:101" ht="15.75" customHeight="1" x14ac:dyDescent="0.2">
      <c r="A173" s="1"/>
      <c r="B173" s="2"/>
      <c r="C173" s="2"/>
      <c r="D173" s="2"/>
      <c r="E173" s="2"/>
      <c r="F173" s="2"/>
      <c r="G173" s="2"/>
      <c r="H173" s="2"/>
      <c r="I173" s="2"/>
      <c r="J173" s="3"/>
      <c r="K173" s="2"/>
      <c r="L173" s="2"/>
      <c r="M173" s="2"/>
      <c r="N173" s="2"/>
      <c r="O173" s="2"/>
      <c r="P173" s="2"/>
      <c r="Q173" s="69"/>
      <c r="R173" s="69"/>
      <c r="S173" s="70"/>
      <c r="T173" s="70"/>
      <c r="U173" s="2"/>
      <c r="V173" s="2"/>
      <c r="W173" s="2"/>
      <c r="X173" s="2"/>
      <c r="Y173" s="2"/>
      <c r="Z173" s="2"/>
      <c r="AA173" s="20"/>
      <c r="AB173" s="71"/>
      <c r="AC173" s="71"/>
      <c r="AD173" s="2"/>
      <c r="AE173" s="70"/>
      <c r="AF173" s="70"/>
      <c r="AG173" s="70"/>
      <c r="AH173" s="70"/>
      <c r="AI173" s="2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70"/>
      <c r="AX173" s="70"/>
      <c r="AY173" s="70"/>
      <c r="AZ173" s="70"/>
      <c r="BA173" s="70"/>
      <c r="BB173" s="70"/>
      <c r="BC173" s="70"/>
      <c r="BD173" s="70"/>
      <c r="BE173" s="70"/>
      <c r="BF173" s="70"/>
      <c r="BG173" s="70"/>
      <c r="BH173" s="70"/>
      <c r="BI173" s="70"/>
      <c r="BJ173" s="70"/>
      <c r="BK173" s="70"/>
      <c r="BL173" s="70"/>
      <c r="BM173" s="70"/>
      <c r="BN173" s="70"/>
      <c r="BO173" s="70"/>
      <c r="BP173" s="70"/>
      <c r="BQ173" s="70"/>
      <c r="BR173" s="70"/>
      <c r="BS173" s="70"/>
      <c r="BT173" s="70"/>
      <c r="BU173" s="70"/>
      <c r="BV173" s="70"/>
      <c r="BW173" s="70"/>
      <c r="BX173" s="70"/>
      <c r="BY173" s="70"/>
      <c r="BZ173" s="70"/>
      <c r="CA173" s="70"/>
      <c r="CB173" s="70"/>
      <c r="CC173" s="70"/>
      <c r="CD173" s="70"/>
      <c r="CE173" s="70"/>
      <c r="CF173" s="70"/>
      <c r="CG173" s="70"/>
      <c r="CH173" s="70"/>
      <c r="CI173" s="70"/>
      <c r="CJ173" s="70"/>
      <c r="CK173" s="70"/>
      <c r="CL173" s="2"/>
      <c r="CM173" s="2"/>
      <c r="CN173" s="70"/>
      <c r="CO173" s="70"/>
      <c r="CP173" s="70"/>
      <c r="CQ173" s="70"/>
      <c r="CR173" s="70"/>
      <c r="CS173" s="70"/>
      <c r="CT173" s="70"/>
      <c r="CU173" s="70"/>
      <c r="CV173" s="70"/>
      <c r="CW173" s="70"/>
    </row>
    <row r="174" spans="1:101" ht="15.75" customHeight="1" x14ac:dyDescent="0.2">
      <c r="A174" s="40">
        <v>29</v>
      </c>
      <c r="B174" s="111" t="str">
        <f>CONCATENATE(D174,IF(D176="Futures",[1]AB3!$B$6,IF(D176="Options Sell",[1]AB3!$B$12,IF(D176="Options Buy",[1]AB3!$B$18,IF(D176="EQUITY",[1]AB3!$B$24)))))</f>
        <v>S29A</v>
      </c>
      <c r="C174" s="112" t="str">
        <f>IF(D176="Futures",[1]AB3!$C$6,IF(D176="Options Sell",[1]AB3!$C$12,IF(D176="Options Buy",[1]AB3!$C$18,IF(D176="EQUITY",[1]AB3!$C$24))))</f>
        <v>Strategy Code</v>
      </c>
      <c r="D174" s="49" t="str">
        <f t="array" ref="D174">IF(A174="","",INDEX([1]AB2!B:B,MATCH(A174,[1]AB2!A:A,0)))</f>
        <v>S29</v>
      </c>
      <c r="E174" s="113">
        <f>IF(D176="Futures",[1]AB3!$E$6,IF(D176="Options Sell",[1]AB3!$E$12,IF(D176="Options Buy",[1]AB3!$E$18,IF(D176="EQUITY",[1]AB3!$E$24))))</f>
        <v>0</v>
      </c>
      <c r="F174" s="114" t="str">
        <f>IF(D176="Futures",[1]AB3!$F$6,IF(D176="Options Sell",[1]AB3!$F$12,IF(D176="Options Buy",[1]AB3!$F$18,IF(D176="EQUITY",[1]AB3!$F$24))))</f>
        <v>Long</v>
      </c>
      <c r="G174" s="43" t="str">
        <f t="array" ref="G174">IF(A174="","",IF(D176="Futures",CONCATENATE([1]AB3!$G$6,INDEX([1]AB2!I:I,MATCH(A174,[1]AB2!A:A,0)),[1]AB3!$H$6),IF(D176="Options Sell",CONCATENATE([1]AB3!$G$12,INDEX([1]AB2!I:I,MATCH(A174,[1]AB2!A:A,0)),[1]AB3!$H$12),IF(D176="Options Buy",CONCATENATE([1]AB3!$G$18,INDEX([1]AB2!I:I,MATCH(A174,[1]AB2!A:A,0)),[1]AB3!$H$18),IF(D176="EQUITY",CONCATENATE([1]AB3!$G$24,INDEX([1]AB2!I:I,MATCH(A174,[1]AB2!A:A,0)),[1]AB3!$H$18))))))</f>
        <v>SPT : WCC HH</v>
      </c>
      <c r="H174" s="43" t="str">
        <f>IF(D176="Futures",[1]AB3!$I$6,IF(D176="Options Sell",[1]AB3!$I$12,IF(D176="Options Buy",[1]AB3!$I$18,IF(D176="EQUITY",[1]AB3!$I$24))))</f>
        <v xml:space="preserve"> + </v>
      </c>
      <c r="I174" s="46">
        <v>0.01</v>
      </c>
      <c r="J174" s="115">
        <v>1</v>
      </c>
      <c r="K174" s="48"/>
      <c r="L174" s="43" t="str">
        <f>IF(D176="Futures",[1]AB3!$M$6,IF(D176="Options Sell",[1]AB3!$M$12,IF(D176="Options Buy",[1]AB3!$M$18,IF(D176="EQUITY",[1]AB3!$M$24))))</f>
        <v xml:space="preserve">L : Entry </v>
      </c>
      <c r="M174" s="43" t="str">
        <f>IF(D176="Futures",[1]AB3!$N$6,IF(D176="Options Sell",[1]AB3!$N$12,IF(D176="Options Buy",[1]AB3!$N$18,IF(D176="EQUITY",[1]AB3!$N$24))))</f>
        <v xml:space="preserve"> + </v>
      </c>
      <c r="N174" s="58">
        <v>0.125</v>
      </c>
      <c r="O174" s="116">
        <v>0.2</v>
      </c>
      <c r="P174" s="58">
        <v>0.25</v>
      </c>
      <c r="Q174" s="116">
        <v>0.2</v>
      </c>
      <c r="R174" s="58">
        <v>0.5</v>
      </c>
      <c r="S174" s="116">
        <v>0.1</v>
      </c>
      <c r="T174" s="58">
        <v>0.75</v>
      </c>
      <c r="U174" s="116">
        <v>0.1</v>
      </c>
      <c r="V174" s="58">
        <v>1</v>
      </c>
      <c r="W174" s="116">
        <v>0.1</v>
      </c>
      <c r="X174" s="50" t="s">
        <v>60</v>
      </c>
      <c r="Y174" s="116">
        <v>0.3</v>
      </c>
      <c r="Z174" s="48"/>
      <c r="AA174" s="43" t="str">
        <f>IF(D176="Futures",[1]AB3!$AD$6,IF(D176="Options Sell",[1]AB3!$AD$12,IF(D176="Options Buy",[1]AB3!$AD$18,IF(D176="EQUITY",[1]AB3!$AD$24))))</f>
        <v>Max</v>
      </c>
      <c r="AB174" s="43" t="str">
        <f>IF(D176="Futures",[1]AB3!$AE$6,IF(D176="Options Sell",[1]AB3!$AE$12,IF(D176="Options Buy",[1]AB3!$AE$18,IF(D176="EQUITY",[1]AB3!$AE$24))))</f>
        <v>MSL &amp; TSL</v>
      </c>
      <c r="AC174" s="43" t="str">
        <f>IF(D176="Futures",[1]AB3!$AF$6,IF(D176="Options Sell",[1]AB3!$AF$12,IF(D176="Options Buy",[1]AB3!$AF$18,IF(D176="EQUITY",[1]AB3!$AF$24))))</f>
        <v>Entry &amp; TRP</v>
      </c>
      <c r="AD174" s="48"/>
      <c r="AE174" s="43" t="str">
        <f>IF(D176="Futures",[1]AB3!$AH$6,IF(D176="Options Sell",[1]AB3!$AH$12,IF(D176="Options Buy",[1]AB3!$AH$18,IF(D176="EQUITY",[1]AB3!$AH$24))))</f>
        <v>L : Entry</v>
      </c>
      <c r="AF174" s="43" t="str">
        <f>IF(D176="Futures",[1]AB3!$AI$6,IF(D176="Options Sell",[1]AB3!$AI$12,IF(D176="Options Buy",[1]AB3!$AI$18,IF(D176="EQUITY",[1]AB3!$AI$24))))</f>
        <v xml:space="preserve"> - </v>
      </c>
      <c r="AG174" s="58">
        <v>0.25</v>
      </c>
      <c r="AH174" s="58"/>
      <c r="AI174" s="48"/>
      <c r="AJ174" s="43" t="str">
        <f>IF(D176="Futures",[1]AB3!$AO$6,IF(D176="Options Sell",[1]AB3!$AO$12,IF(D176="Options Buy",[1]AB3!$AO$18,IF(D176="EQUITY",[1]AB3!$AO$24))))</f>
        <v xml:space="preserve"> - </v>
      </c>
      <c r="AK174" s="43" t="str">
        <f t="array" ref="AK174">IF(A174="","",IF(D176="Futures",CONCATENATE([1]AB3!$AP$6,INDEX([1]AB2!L:L,MATCH(D174,[1]AB2!B:B,0)),[1]AB3!$AQ$6),IF(D176="Options Sell",CONCATENATE([1]AB3!$AP$12,INDEX([1]AB2!M:M,MATCH(D174,[1]AB2!B:B,0)),[1]AB3!$AQ$12),IF(D176="Options Buy",CONCATENATE([1]AB3!$AP$18,INDEX([1]AB2!L:L,MATCH(D174,[1]AB2!B:B,0)),[1]AB3!$AQ$18),IF(D176="EQUITY",CONCATENATE([1]AB3!$AP$24,[1]AB3!$AR$24))))))</f>
        <v>SPT : PRV M : 20 SMA</v>
      </c>
      <c r="AL174" s="51" t="str">
        <f>IF(AND(D176="Futures",AK174=[1]AB3!$AS$6),[1]AB3!$AS$6,IF(AND(D176="Options Sell",AK174=[1]AB3!$AS$12),[1]AB3!$AS$12,IF(AND(D176="Options Buy",AK174=[1]AB3!$AS$18),[1]AB3!$AS$18,IF(D176="EQUITY","",I175))))</f>
        <v/>
      </c>
      <c r="AM174" s="117">
        <f>J174</f>
        <v>1</v>
      </c>
      <c r="AN174" s="43" t="str">
        <f t="array" ref="AN174">IF(A174="","",IF(AND(OR(D178="1 &amp; APS",D178="2 &amp; APS",D178="3 &amp; APS",D178="4 &amp; APS",D178="5 &amp; APS"),D176="Futures"),CONCATENATE([1]AB3!$AP$6,INDEX([1]AB2!L:L,MATCH(D174,[1]AB2!B:B,0)),[1]AB3!$AQ$6),IF(AND(OR(D178="1 &amp; APS",D178="2 &amp; APS",D178="3 &amp; APS",D178="4 &amp; APS",D178="5 &amp; APS"),D176="Options Sell"),CONCATENATE([1]AB3!$AP$12,INDEX([1]AB2!M:M,MATCH(D174,[1]AB2!B:B,0)),[1]AB3!$AQ$12),IF(AND(OR(D178="1 &amp; APS",D178="2 &amp; APS",D178="3 &amp; APS",D178="4 &amp; APS",D178="5 &amp; APS"),D176="Options Buy"),CONCATENATE([1]AB3!$AP$18,INDEX([1]AB2!L:L,MATCH(D174,[1]AB2!B:B,0)),[1]AB3!$AQ$18),IF(D176="EQUITY",CONCATENATE([1]AB3!$AP$24,[1]AB3!$AT$24),[1]AB3!$AR$6)))))</f>
        <v>SPT : PRV M : 20 SMA</v>
      </c>
      <c r="AO174" s="51" t="str">
        <f>IF(AND(D176="Futures",AN174=[1]AB3!$AU$6),[1]AB3!$AU$6,IF(AND(D176="Options Sell",AN174=[1]AB3!$AU$12),[1]AB3!$AU$12,IF(AND(D176="Options Buy",AN174=[1]AB3!$AU$18),[1]AB3!$AU$18,IF(D176="EQUITY","",I175))))</f>
        <v/>
      </c>
      <c r="AP174" s="117">
        <f>AM174-O174</f>
        <v>0.8</v>
      </c>
      <c r="AQ174" s="43" t="str">
        <f t="array" ref="AQ174">IF(A174="","",IF(AND(OR(D178="2 &amp; APS",D178="3 &amp; APS",D178="4 &amp; APS",D178="5 &amp; APS"),D176="Futures"),CONCATENATE([1]AB3!$AP$6,INDEX([1]AB2!L:L,MATCH(D174,[1]AB2!B:B,0)),[1]AB3!$AQ$6),IF(AND(OR(D178="2 &amp; APS",D178="3 &amp; APS",D178="4 &amp; APS",D178="5 &amp; APS"),D176="Options Sell"),CONCATENATE([1]AB3!$AP$12,INDEX([1]AB2!M:M,MATCH(D174,[1]AB2!B:B,0)),[1]AB3!$AQ$12),IF(AND(OR(D178="2 &amp; APS",D178="3 &amp; APS",D178="4 &amp; APS",D178="5 &amp; APS"),D176="Options Buy"),CONCATENATE([1]AB3!$AP$18,INDEX([1]AB2!L:L,MATCH(D174,[1]AB2!B:B,0)),[1]AB3!$AQ$18),IF(D176="EQUITY",CONCATENATE([1]AB3!$AP$24,[1]AB3!$AV$24),[1]AB3!$AR$6)))))</f>
        <v>SPT : PRV M : 20 SMA</v>
      </c>
      <c r="AR174" s="51" t="str">
        <f>IF(AND(D176="Futures",AQ174=[1]AB3!$AW$6),[1]AB3!$AW$6,IF(AND(D176="Options Sell",AQ174=[1]AB3!$AW$12),[1]AB3!$AW$12,IF(AND(D176="Options Buy",AQ174=[1]AB3!$AW$18),[1]AB3!$AW$18,IF(D176="EQUITY","",I175))))</f>
        <v/>
      </c>
      <c r="AS174" s="117">
        <f>AP174-Q174</f>
        <v>0.60000000000000009</v>
      </c>
      <c r="AT174" s="43" t="str">
        <f t="array" ref="AT174">IF(A174="","",IF(AND(OR(D178="3 &amp; APS",D178="4 &amp; APS",D178="5 &amp; APS"),D176="Futures"),CONCATENATE([1]AB3!$AP$6,INDEX([1]AB2!L:L,MATCH(D174,[1]AB2!B:B,0)),[1]AB3!$AQ$6),IF(AND(OR(D178="3 &amp; APS",D178="4 &amp; APS",D178="5 &amp; APS"),D176="Options Sell"),CONCATENATE([1]AB3!$AP$12,INDEX([1]AB2!M:M,MATCH(D174,[1]AB2!B:B,0)),[1]AB3!$AQ$12),IF(AND(OR(D178="3 &amp; APS",D178="4 &amp; APS",D178="5 &amp; APS"),D176="Options Buy"),CONCATENATE([1]AB3!$AP$18,INDEX([1]AB2!L:L,MATCH(D174,[1]AB2!B:B,0)),[1]AB3!$AQ$18),IF(D176="EQUITY",CONCATENATE([1]AB3!$AP$24,[1]AB3!$AX$24),[1]AB3!$AR$6)))))</f>
        <v>SPT : PRV M : 20 SMA</v>
      </c>
      <c r="AU174" s="51" t="str">
        <f>IF(AND(D176="Futures",AT174=[1]AB3!$AY$6),[1]AB3!$AY$6,IF(AND(D176="Options Sell",AT174=[1]AB3!$AY$12),[1]AB3!$AY$12,IF(AND(D176="Options Buy",AT174=[1]AB3!$AY$18),[1]AB3!$AY$18,IF(D176="EQUITY","",I175))))</f>
        <v/>
      </c>
      <c r="AV174" s="117">
        <f>AS174-S174</f>
        <v>0.50000000000000011</v>
      </c>
      <c r="AW174" s="43" t="str">
        <f t="array" ref="AW174">IF(A174="","",IF(AND(OR(D178="4 &amp; APS",D178="5 &amp; APS"),D176="Futures"),CONCATENATE([1]AB3!$AP$6,INDEX([1]AB2!L:L,MATCH(D174,[1]AB2!B:B,0)),[1]AB3!$AQ$6),IF(AND(OR(D178="4 &amp; APS",D178="5 &amp; APS"),D176="Options Sell"),CONCATENATE([1]AB3!$AP$12,INDEX([1]AB2!M:M,MATCH(D174,[1]AB2!B:B,0)),[1]AB3!$AQ$12),IF(AND(OR(D178="4 &amp; APS",D178="5 &amp; APS"),D176="Options Buy"),CONCATENATE([1]AB3!$AP$18,INDEX([1]AB2!L:L,MATCH(D174,[1]AB2!B:B,0)),[1]AB3!$AQ$18),IF(D176="EQUITY",CONCATENATE([1]AB3!$AP$24,[1]AB3!$AZ$24),[1]AB3!$AR$6)))))</f>
        <v>SPT : PRV M : 20 SMA</v>
      </c>
      <c r="AX174" s="51" t="str">
        <f>IF(AND(D176="Futures",AW174=[1]AB3!$BA$6),[1]AB3!$BA$6,IF(AND(D176="Options Sell",AW174=[1]AB3!$BA$12),[1]AB3!$BA$12,IF(AND(D176="Options Buy",AW174=[1]AB3!$BA$18),[1]AB3!$BA$18,IF(D176="EQUITY","",I175))))</f>
        <v/>
      </c>
      <c r="AY174" s="117">
        <f>AV174-S174</f>
        <v>0.40000000000000013</v>
      </c>
      <c r="AZ174" s="43" t="str">
        <f t="array" ref="AZ174">IF(A174="","",IF(AND(D178="5 &amp; APS",D176="Futures"),CONCATENATE([1]AB3!$AP$6,INDEX([1]AB2!L:L,MATCH(D174,[1]AB2!B:B,0)),[1]AB3!$AQ$6),IF(AND(D178="5 &amp; APS",D176="Options Sell"),CONCATENATE([1]AB3!$AP$12,INDEX([1]AB2!M:M,MATCH(D174,[1]AB2!B:B,0)),[1]AB3!$AQ$12),IF(AND(D178="5 &amp; APS",D176="Options Buy"),CONCATENATE([1]AB3!$AP$18,INDEX([1]AB2!L:L,MATCH(D174,[1]AB2!B:B,0)),[1]AB3!$AQ$18),IF(D176="EQUITY",CONCATENATE([1]AB3!$AP$24,[1]AB3!$BB$24),[1]AB3!$AR$6)))))</f>
        <v>SPT : PRV M : 10 SMA</v>
      </c>
      <c r="BA174" s="51" t="str">
        <f>IF(AND(D176="Futures",AZ174=[1]AB3!$BC$6),[1]AB3!$BC$6,IF(AND(D176="Options Sell",AZ174=[1]AB3!$BC$12),[1]AB3!$BC$12,IF(AND(D176="Options Buy",AZ174=[1]AB3!$BC$18),[1]AB3!$BC$18,IF(D176="EQUITY","",I175))))</f>
        <v/>
      </c>
      <c r="BB174" s="117">
        <f>AY174-W174</f>
        <v>0.30000000000000016</v>
      </c>
      <c r="BC174" s="53"/>
      <c r="BD174" s="118" t="str">
        <f>IF(D176="Futures",[1]AB3!$BE$6,IF(D176="Options Sell",[1]AB3!$BE$12,IF(D176="Options Buy",[1]AB3!$BE$18,IF(D176="EQUITY",[1]AB3!$BE$24))))</f>
        <v xml:space="preserve">ORPT </v>
      </c>
      <c r="BE174" s="119">
        <f>IF(D176="Futures",BE177+([1]AB3!$BF$6/1440),IF(D176="Options Sell",BE177+([1]AB3!$BF$12/1440),IF(D176="Options Buy",BE177+([1]AB3!$BF$18/1440),IF(D176="EQUITY",BE177+([1]AB3!$BF$24/1440)))))</f>
        <v>0.38888194444444446</v>
      </c>
      <c r="BF174" s="119">
        <f>IF(D176="Futures",BE177+([1]AB3!$BG$6/1440),IF(D176="Options Sell",BE177+([1]AB3!$BG$12/1440),IF(D176="Options Buy",BE177+([1]AB3!$BG$18/1440),IF(D176="EQUITY",BE177+([1]AB3!$BG$24/1440)))))</f>
        <v>0.38888194444444446</v>
      </c>
      <c r="BG174" s="119">
        <f>IF(D176="Futures",BE177+([1]AB3!$BH$6/1440),IF(D176="Options Sell",BE177+([1]AB3!$BH$12/1440),IF(D176="Options Buy",BE177+([1]AB3!$BH$18/1440),IF(D176="EQUITY",BE177+([1]AB3!$BH$24/1440)))))</f>
        <v>0.38541666666666669</v>
      </c>
      <c r="BH174" s="57"/>
      <c r="BI174" s="44">
        <f>IF(D176="Futures",[1]AB3!$BJ$6,IF(D176="Options Sell",[1]AB3!$BJ$12,IF(D176="Options Buy",[1]AB3!$BJ$18,IF(D176="EQUITY",[1]AB3!$BJ$24))))</f>
        <v>0</v>
      </c>
      <c r="BJ174" s="114" t="str">
        <f>IF(D176="Futures",[1]AB3!$BK$6,IF(D176="Options Sell",[1]AB3!$BK$12,IF(D176="Options Buy",[1]AB3!$BK$18,IF(D176="EQUITY",[1]AB3!$BK$24))))</f>
        <v>Long</v>
      </c>
      <c r="BK174" s="58">
        <v>0.01</v>
      </c>
      <c r="BL174" s="58">
        <v>0.01</v>
      </c>
      <c r="BM174" s="57"/>
      <c r="BN174" s="44">
        <f>IF(D176="Futures",[1]AB3!$BO$6,IF(D176="Options Sell",[1]AB3!$BO$12,IF(D176="Options Buy",[1]AB3!$BO$18,IF(D176="EQUITY",[1]AB3!$BO$24))))</f>
        <v>0</v>
      </c>
      <c r="BO174" s="45" t="str">
        <f>IF(D176="Futures",[1]AB3!$BP$6,IF(D176="Options Sell",[1]AB3!$BP$12,IF(D176="Options Buy",[1]AB3!$BP$18,IF(D176="EQUITY",[1]AB3!$BP$24))))</f>
        <v>Long</v>
      </c>
      <c r="BP174" s="43" t="str">
        <f t="array" ref="BP174">IF(A174="","",IF(D176="Futures","",IF(D176="EQUITY","",IF(D176="Options Sell",CONCATENATE([1]AB3!$BQ$12,INDEX([1]AB2!J:J,MATCH(A174,[1]AB2!A:A,0)),[1]AB3!$BR$12),IF(D176="Options Buy",CONCATENATE([1]AB3!$BQ$18,INDEX([1]AB2!J:J,MATCH(A174,[1]AB2!A:A,0)),[1]AB3!$BR$18))))))</f>
        <v/>
      </c>
      <c r="BQ174" s="58"/>
      <c r="BR174" s="58"/>
      <c r="BS174" s="58"/>
      <c r="BT174" s="58"/>
      <c r="BU174" s="58"/>
      <c r="BV174" s="58"/>
      <c r="BW174" s="58"/>
      <c r="BX174" s="58"/>
      <c r="BY174" s="58"/>
      <c r="BZ174" s="58"/>
      <c r="CA174" s="58"/>
      <c r="CB174" s="58"/>
      <c r="CC174" s="58"/>
      <c r="CD174" s="58"/>
      <c r="CE174" s="58"/>
      <c r="CF174" s="58"/>
      <c r="CG174" s="58"/>
      <c r="CH174" s="58"/>
      <c r="CI174" s="58"/>
      <c r="CJ174" s="58"/>
      <c r="CK174" s="59"/>
      <c r="CL174" s="43"/>
      <c r="CM174" s="43"/>
      <c r="CN174" s="59"/>
      <c r="CO174" s="43"/>
      <c r="CP174" s="43"/>
      <c r="CQ174" s="59"/>
      <c r="CR174" s="58"/>
      <c r="CS174" s="58"/>
      <c r="CT174" s="59"/>
      <c r="CU174" s="55" t="str">
        <f>IF(D176="Futures",BE178-([1]AB3!$CG$6/1440),IF(D176="Options Sell",BE178-([1]AB3!$CG$12/1440),IF(D176="Options Buy",BE178-([1]AB3!$CG$18/1440),IF(D176="EQUITY",""))))</f>
        <v/>
      </c>
      <c r="CV174" s="59"/>
      <c r="CW174" s="59"/>
    </row>
    <row r="175" spans="1:101" ht="15.75" customHeight="1" x14ac:dyDescent="0.2">
      <c r="A175" s="60"/>
      <c r="B175" s="111" t="str">
        <f>CONCATENATE(D174,IF(D176="Futures",[1]AB3!$B$7,IF(D176="Options Sell",[1]AB3!$B$13,IF(D176="Options Buy",[1]AB3!$B$19,IF(D176="EQUITY",[1]AB3!$B$25)))))</f>
        <v>S29B</v>
      </c>
      <c r="C175" s="112" t="str">
        <f>IF(D176="Futures",[1]AB3!$C$7,IF(D176="Options Sell",[1]AB3!$C$13,IF(D176="Options Buy",[1]AB3!$C$19,IF(D176="EQUITY",[1]AB3!$C$25))))</f>
        <v>Unique Code</v>
      </c>
      <c r="D175" s="49" t="str">
        <f t="array" ref="D175">IF(A174="","",INDEX([1]AB2!N:N,MATCH(D174,[1]AB2!B:B,0)))</f>
        <v>STOCKS_EQ_WCC</v>
      </c>
      <c r="E175" s="32"/>
      <c r="F175" s="120">
        <f>IF(D176="Futures",[1]AB3!$F$7,IF(D176="Options Sell",[1]AB3!$F$13,IF(D176="Options Buy",[1]AB3!$F$19,IF(D176="EQUITY",[1]AB3!$F$25))))</f>
        <v>0</v>
      </c>
      <c r="G175" s="84" t="str">
        <f t="array" ref="G175">IF(A174="","",IF(D176="Futures",CONCATENATE([1]AB3!$G$7,INDEX([1]AB2!J:J,MATCH(D174,[1]AB2!B:B,0)),[1]AB3!$H$7),IF(D176="Options Sell",CONCATENATE([1]AB3!$G$13,INDEX([1]AB2!I:I,MATCH(D174,[1]AB2!B:B,0)),[1]AB3!$H$13),IF(D176="Options Buy",CONCATENATE([1]AB3!$G$19,INDEX([1]AB2!J:J,MATCH(D174,[1]AB2!B:B,0)),[1]AB3!$H$19),IF(D176="EQUITY","")))))</f>
        <v/>
      </c>
      <c r="H175" s="43" t="str">
        <f>IF(D176="Futures",[1]AB3!$I$7,IF(D176="Options Sell",[1]AB3!$I$13,IF(D176="Options Buy",[1]AB3!$I$19,IF(D176="EQUITY",""))))</f>
        <v/>
      </c>
      <c r="I175" s="46"/>
      <c r="J175" s="47"/>
      <c r="K175" s="48"/>
      <c r="L175" s="43" t="str">
        <f>IF(D176="Futures",[1]AB3!$M$7,IF(D176="Options Sell",[1]AB3!$M$13,IF(D176="Options Buy",[1]AB3!$M$19,IF(D176="EQUITY",""))))</f>
        <v/>
      </c>
      <c r="M175" s="43" t="str">
        <f>IF(D176="Futures",[1]AB3!$N$7,IF(D176="Options Sell",[1]AB3!$N$13,IF(D176="Options Buy",[1]AB3!$N$19,IF(D176="EQUITY",""))))</f>
        <v/>
      </c>
      <c r="N175" s="58"/>
      <c r="O175" s="75"/>
      <c r="P175" s="58"/>
      <c r="Q175" s="75"/>
      <c r="R175" s="58"/>
      <c r="S175" s="75"/>
      <c r="T175" s="58"/>
      <c r="U175" s="75"/>
      <c r="V175" s="76"/>
      <c r="W175" s="75"/>
      <c r="X175" s="76"/>
      <c r="Y175" s="76"/>
      <c r="Z175" s="48"/>
      <c r="AA175" s="43" t="str">
        <f>IF(D176="Futures",[1]AB3!$AD$7,IF(D176="Options Sell",[1]AB3!$AD$13,IF(D176="Options Buy",[1]AB3!$AD$19,IF(D176="EQUITY",""))))</f>
        <v/>
      </c>
      <c r="AB175" s="43" t="str">
        <f>IF(D176="Futures",[1]AB3!$AE$7,IF(D176="Options Sell",[1]AB3!$AE$13,IF(D176="Options Buy",[1]AB3!$AE$19,IF(D176="EQUITY",""))))</f>
        <v/>
      </c>
      <c r="AC175" s="43" t="str">
        <f>IF(D176="Futures",[1]AB3!$AF$7,IF(D176="Options Sell",[1]AB3!$AF$13,IF(D176="Options Buy",[1]AB3!$AF$19,IF(D176="EQUITY",""))))</f>
        <v/>
      </c>
      <c r="AD175" s="48"/>
      <c r="AE175" s="43" t="str">
        <f>IF(D176="Futures",[1]AB3!$AH$7,IF(D176="Options Sell",[1]AB3!$AH$13,IF(D176="Options Buy",[1]AB3!$AH$19,IF(D176="EQUITY",""))))</f>
        <v/>
      </c>
      <c r="AF175" s="43" t="str">
        <f>IF(D176="Futures",[1]AB3!$AI$7,IF(D176="Options Sell",[1]AB3!$AI$13,IF(D176="Options Buy",[1]AB3!$AI$19,IF(D176="EQUITY",""))))</f>
        <v/>
      </c>
      <c r="AG175" s="58"/>
      <c r="AH175" s="58"/>
      <c r="AI175" s="48"/>
      <c r="AJ175" s="43" t="str">
        <f>IF(D176="Futures",[1]AB3!$AO$7,IF(D176="Options Sell",[1]AB3!$AO$13,IF(D176="Options Buy",[1]AB3!$AO$19,IF(D176="EQUITY",""))))</f>
        <v/>
      </c>
      <c r="AK175" s="43" t="str">
        <f t="array" ref="AK175">IF(A174="","",IF(D176="Futures",CONCATENATE([1]AB3!$AP$7,INDEX([1]AB2!M:M,MATCH(D174,[1]AB2!B:B,0)),[1]AB3!$AQ$7),IF(D176="Options Sell",CONCATENATE([1]AB3!$AP$13,INDEX([1]AB2!L:L,MATCH(D174,[1]AB2!B:B,0)),[1]AB3!$AQ$13),IF(D176="Options Buy",CONCATENATE([1]AB3!$AP$19,INDEX([1]AB2!M:M,MATCH(D174,[1]AB2!B:B,0)),[1]AB3!$AQ$19),IF(D176="EQUITY","")))))</f>
        <v/>
      </c>
      <c r="AL175" s="51" t="str">
        <f>IF(AND(D176="Futures",AK175=[1]AB3!$AS$7),[1]AB3!$AS$7,IF(AND(D176="Options Sell",AK175=[1]AB3!$AS$13),[1]AB3!$AS$13,IF(AND(D176="Options Buy",AK175=[1]AB3!$AS$19),[1]AB3!$AS$19,IF(D176="EQUITY","",I174))))</f>
        <v/>
      </c>
      <c r="AM175" s="52" t="str">
        <f>IF(D176="EQUITY","",J174)</f>
        <v/>
      </c>
      <c r="AN175" s="43" t="str">
        <f t="array" ref="AN175">IF(A174="","",IF(AND(OR(D178="1 &amp; APS",D178="2 &amp; APS",D178="3 &amp; APS",D178="4 &amp; APS",D178="5 &amp; APS"),D176="Futures"),CONCATENATE([1]AB3!$AP$7,INDEX([1]AB2!M:M,MATCH(D174,[1]AB2!B:B,0)),[1]AB3!$AQ$7),IF(AND(OR(D178="1 &amp; APS",D178="2 &amp; APS",D178="3 &amp; APS",D178="4 &amp; APS",D178="5 &amp; APS"),D176="Options Sell"),CONCATENATE([1]AB3!$AP$13,INDEX([1]AB2!L:L,MATCH(D174,[1]AB2!B:B,0)),[1]AB3!$AQ$13),IF(AND(OR(D178="1 &amp; APS",D178="2 &amp; APS",D178="3 &amp; APS",D178="4 &amp; APS",D178="5 &amp; APS"),D176="Options Buy"),CONCATENATE([1]AB3!$AP$19,INDEX([1]AB2!M:M,MATCH(D174,[1]AB2!B:B,0)),[1]AB3!$AQ$19),IF(D176="EQUITY","",[1]AB3!$AR$6)))))</f>
        <v/>
      </c>
      <c r="AO175" s="51" t="str">
        <f>IF(AND(D176="Futures",AN175=[1]AB3!$AU$7),[1]AB3!$AU$7,IF(AND(D176="Options Sell",AN175=[1]AB3!$AU$13),[1]AB3!$AU$13,IF(AND(D176="Options Buy",AN175=[1]AB3!$AU$19),[1]AB3!$AU$19,IF(D176="EQUITY","",I174))))</f>
        <v/>
      </c>
      <c r="AP175" s="52" t="str">
        <f>IF(D176="EQUITY","",AM175-O175)</f>
        <v/>
      </c>
      <c r="AQ175" s="43" t="str">
        <f t="array" ref="AQ175">IF(A174="","",IF(AND(OR(D178="2 &amp; APS",D178="3 &amp; APS",D178="4 &amp; APS",D178="5 &amp; APS"),D176="Futures"),CONCATENATE([1]AB3!$AP$7,INDEX([1]AB2!M:M,MATCH(D174,[1]AB2!B:B,0)),[1]AB3!$AQ$7),IF(AND(OR(D178="2 &amp; APS",D178="3 &amp; APS",D178="4 &amp; APS",D178="5 &amp; APS"),D176="Options Sell"),CONCATENATE([1]AB3!$AP$13,INDEX([1]AB2!L:L,MATCH(D174,[1]AB2!B:B,0)),[1]AB3!$AQ$13),IF(AND(OR(D178="2 &amp; APS",D178="3 &amp; APS",D178="4 &amp; APS",D178="5 &amp; APS"),D176="Options Buy"),CONCATENATE([1]AB3!$AP$19,INDEX([1]AB2!M:M,MATCH(D174,[1]AB2!B:B,0)),[1]AB3!$AQ$19),IF(D176="EQUITY","",[1]AB3!$AR$6)))))</f>
        <v/>
      </c>
      <c r="AR175" s="51" t="str">
        <f>IF(AND(D176="Futures",AQ175=[1]AB3!$AW$7),[1]AB3!$AW$7,IF(AND(D176="Options Sell",AQ175=[1]AB3!$AW$13),[1]AB3!$AW$13,IF(AND(D176="Options Buy",AQ175=[1]AB3!$AW$19),[1]AB3!$AW$19,IF(D176="EQUITY","",I174))))</f>
        <v/>
      </c>
      <c r="AS175" s="52" t="str">
        <f>IF(D176="EQUITY","",AP175-Q175)</f>
        <v/>
      </c>
      <c r="AT175" s="43" t="str">
        <f t="array" ref="AT175">IF(A174="","",IF(AND(OR(D178="3 &amp; APS",D178="4 &amp; APS",D178="5 &amp; APS"),D176="Futures"),CONCATENATE([1]AB3!$AP$7,INDEX([1]AB2!M:M,MATCH(D174,[1]AB2!B:B,0)),[1]AB3!$AQ$7),IF(AND(OR(D178="3 &amp; APS",D178="4 &amp; APS",D178="5 &amp; APS"),D176="Options Sell"),CONCATENATE([1]AB3!$AP$13,INDEX([1]AB2!L:L,MATCH(D174,[1]AB2!B:B,0)),[1]AB3!$AQ$13),IF(AND(OR(D178="3 &amp; APS",D178="4 &amp; APS",D178="5 &amp; APS"),D176="Options Buy"),CONCATENATE([1]AB3!$AP$19,INDEX([1]AB2!M:M,MATCH(D174,[1]AB2!B:B,0)),[1]AB3!$AQ$19),IF(D176="EQUITY","",[1]AB3!$AR$6)))))</f>
        <v/>
      </c>
      <c r="AU175" s="51" t="str">
        <f>IF(AND(D176="Futures",AT175=[1]AB3!$AY$7),[1]AB3!$AY$7,IF(AND(D176="Options Sell",AT175=[1]AB3!$AY$13),[1]AB3!$AY$13,IF(AND(D176="Options Buy",AT175=[1]AB3!$AY$19),[1]AB3!$AY$19,IF(D176="EQUITY","",I174))))</f>
        <v/>
      </c>
      <c r="AV175" s="52" t="str">
        <f>IF(D176="EQUITY","",AS175-S175)</f>
        <v/>
      </c>
      <c r="AW175" s="43" t="str">
        <f t="array" ref="AW175">IF(A174="","",IF(AND(OR(D178="4 &amp; APS",D178="5 &amp; APS"),D176="Futures"),CONCATENATE([1]AB3!$AP$7,INDEX([1]AB2!M:M,MATCH(D174,[1]AB2!B:B,0)),[1]AB3!$AQ$7),IF(AND(OR(D178="4 &amp; APS",D178="5 &amp; APS"),D176="Options Sell"),CONCATENATE([1]AB3!$AP$13,INDEX([1]AB2!L:L,MATCH(D174,[1]AB2!B:B,0)),[1]AB3!$AQ$13),IF(AND(OR(D178="4 &amp; APS",D178="5 &amp; APS"),D176="Options Buy"),CONCATENATE([1]AB3!$AP$19,INDEX([1]AB2!M:M,MATCH(D174,[1]AB2!B:B,0)),[1]AB3!$AQ$19),IF(D176="EQUITY","",[1]AB3!$AR$6)))))</f>
        <v/>
      </c>
      <c r="AX175" s="51" t="str">
        <f>IF(AND(D176="Futures",AW175=[1]AB3!$BA$7),[1]AB3!$BA$7,IF(AND(D176="Options Sell",AW175=[1]AB3!$BA$13),[1]AB3!$BA$13,IF(AND(D176="Options Buy",AW175=[1]AB3!$BA$19),[1]AB3!$BA$19,IF(D176="EQUITY","",I174))))</f>
        <v/>
      </c>
      <c r="AY175" s="52" t="str">
        <f>IF(D176="EQUITY","",AV175-S175)</f>
        <v/>
      </c>
      <c r="AZ175" s="43" t="str">
        <f t="array" ref="AZ175">IF(A174="","",IF(AND(D178="5 &amp; APS",D176="Futures"),CONCATENATE([1]AB3!$AP$7,INDEX([1]AB2!M:M,MATCH(D174,[1]AB2!B:B,0)),[1]AB3!$AQ$7),IF(AND(D178="5 &amp; APS",D176="Options Sell"),CONCATENATE([1]AB3!$AP$13,INDEX([1]AB2!L:L,MATCH(D174,[1]AB2!B:B,0)),[1]AB3!$AQ$13),IF(AND(D178="5 &amp; APS",D176="Options Buy"),CONCATENATE([1]AB3!$AP$19,INDEX([1]AB2!M:M,MATCH(D174,[1]AB2!B:B,0)),[1]AB3!$AQ$19),IF(D176="EQUITY","",[1]AB3!$AR$6)))))</f>
        <v/>
      </c>
      <c r="BA175" s="51" t="str">
        <f>IF(AND(D176="Futures",AZ175=[1]AB3!$BC$7),[1]AB3!$BC$7,IF(AND(D176="Options Sell",AZ175=[1]AB3!$BC$13),[1]AB3!$BC$13,IF(AND(D176="Options Buy",AZ175=[1]AB3!$BC$19),[1]AB3!$BC$19,IF(D176="EQUITY","",I174))))</f>
        <v/>
      </c>
      <c r="BB175" s="52" t="str">
        <f>IF(D176="EQUITY","",AY175-W175)</f>
        <v/>
      </c>
      <c r="BC175" s="53"/>
      <c r="BD175" s="118" t="str">
        <f>IF(D176="Futures",[1]AB3!$BE$7,IF(D176="Options Sell",[1]AB3!$BE$13,IF(D176="Options Buy",[1]AB3!$BE$19,IF(D176="EQUITY",[1]AB3!$BE$25))))</f>
        <v xml:space="preserve"> RC. Time</v>
      </c>
      <c r="BE175" s="119">
        <f>IF(D176="Futures",BE177+([1]AB3!$BF$7/1440),IF(D176="Options Sell",BE177+([1]AB3!$BF$13/1440),IF(D176="Options Buy",BE177+([1]AB3!$BF$19/1440),IF(D176="EQUITY",BE177+([1]AB3!$BF$25/1440)))))</f>
        <v>0.39582638888888888</v>
      </c>
      <c r="BF175" s="119">
        <f>IF(D176="Futures",BE177+([1]AB3!$BG$7/1440),IF(D176="Options Sell",BE177+([1]AB3!$BG$13/1440),IF(D176="Options Buy",BE177+([1]AB3!$BG$19/1440),IF(D176="EQUITY",BE177+([1]AB3!$BG$25/1440)))))</f>
        <v>0.39582638888888888</v>
      </c>
      <c r="BG175" s="119" t="str">
        <f>IF(D176="Futures",[1]AB3!$BH$7,IF(D176="Options Sell",[1]AB3!$BH$7,IF(D176="Options Buy",[1]AB3!$BH$7,IF(D176="EQUITY",[1]AB3!$BH$25))))</f>
        <v>N.A.</v>
      </c>
      <c r="BH175" s="57"/>
      <c r="BI175" s="32"/>
      <c r="BJ175" s="120">
        <f>IF(D176="Futures",[1]AB3!$BK$7,IF(D176="Options Sell",[1]AB3!$BK$13,IF(D176="Options Buy",[1]AB3!$BK$19,IF(D176="EQUITY",[1]AB3!$BK$25))))</f>
        <v>0</v>
      </c>
      <c r="BK175" s="58"/>
      <c r="BL175" s="58"/>
      <c r="BM175" s="57"/>
      <c r="BN175" s="32"/>
      <c r="BO175" s="61">
        <f>IF(D176="Futures",[1]AB3!$BP$7,IF(D176="Options Sell",[1]AB3!$BP$13,IF(D176="Options Buy",[1]AB3!$BP$19,IF(D176="EQUITY",[1]AB3!$BP$25))))</f>
        <v>0</v>
      </c>
      <c r="BP175" s="43" t="str">
        <f t="array" ref="BP175">IF(A174="","",IF(D176="Futures","",IF(D176="EQUITY","",IF(D176="Options Sell",CONCATENATE([1]AB3!$BQ$13,INDEX([1]AB2!I:I,MATCH(A174,[1]AB2!A:A,0)),[1]AB3!$BR$13),IF(D176="Options Buy",CONCATENATE([1]AB3!$BQ$19,INDEX([1]AB2!I:I,MATCH(A174,[1]AB2!A:A,0)),[1]AB3!$BR$19))))))</f>
        <v/>
      </c>
      <c r="BQ175" s="58"/>
      <c r="BR175" s="58"/>
      <c r="BS175" s="58"/>
      <c r="BT175" s="58"/>
      <c r="BU175" s="58"/>
      <c r="BV175" s="58"/>
      <c r="BW175" s="58"/>
      <c r="BX175" s="58"/>
      <c r="BY175" s="58"/>
      <c r="BZ175" s="58"/>
      <c r="CA175" s="58"/>
      <c r="CB175" s="58"/>
      <c r="CC175" s="58"/>
      <c r="CD175" s="58"/>
      <c r="CE175" s="58"/>
      <c r="CF175" s="58"/>
      <c r="CG175" s="58"/>
      <c r="CH175" s="58"/>
      <c r="CI175" s="58"/>
      <c r="CJ175" s="58"/>
      <c r="CK175" s="59"/>
      <c r="CL175" s="43"/>
      <c r="CM175" s="43"/>
      <c r="CN175" s="59"/>
      <c r="CO175" s="43"/>
      <c r="CP175" s="43"/>
      <c r="CQ175" s="59"/>
      <c r="CR175" s="58"/>
      <c r="CS175" s="58"/>
      <c r="CT175" s="59"/>
      <c r="CU175" s="43"/>
      <c r="CV175" s="59"/>
      <c r="CW175" s="59"/>
    </row>
    <row r="176" spans="1:101" ht="15.75" customHeight="1" x14ac:dyDescent="0.2">
      <c r="A176" s="60"/>
      <c r="B176" s="111" t="str">
        <f>CONCATENATE(D174,IF(D176="Futures",[1]AB3!$B$8,IF(D176="Options Sell",[1]AB3!$B$14,IF(D176="Options Buy",[1]AB3!$B$20,IF(D176="EQUITY",[1]AB3!$B$26)))))</f>
        <v>S29C</v>
      </c>
      <c r="C176" s="112" t="str">
        <f>IF(D176="Futures",[1]AB3!$C$8,IF(D176="Options Sell",[1]AB3!$C$14,IF(D176="Options Buy",[1]AB3!$C$20,IF(D176="EQUITY",[1]AB3!$C$26))))</f>
        <v>Segment</v>
      </c>
      <c r="D176" s="49" t="str">
        <f t="array" ref="D176">IF(A174="","",INDEX([1]AB2!C:C,MATCH(D174,[1]AB2!B:B,0)))</f>
        <v>EQUITY</v>
      </c>
      <c r="E176" s="112" t="str">
        <f>IF(D176="Futures",[1]AB3!$E$8,IF(D176="Options Sell",[1]AB3!$E$14,IF(D176="Options Buy",[1]AB3!$E$20,IF(D176="EQUITY",[1]AB3!$E$26))))</f>
        <v>Contract</v>
      </c>
      <c r="F176" s="49" t="str">
        <f t="array" ref="F176">IF(A174="","",INDEX([1]AB2!F:F,MATCH(D174,[1]AB2!B:B,0)))</f>
        <v>WCC</v>
      </c>
      <c r="G176" s="62"/>
      <c r="H176" s="62"/>
      <c r="I176" s="62"/>
      <c r="J176" s="89"/>
      <c r="K176" s="48"/>
      <c r="L176" s="62"/>
      <c r="M176" s="62"/>
      <c r="N176" s="62"/>
      <c r="O176" s="89"/>
      <c r="P176" s="62"/>
      <c r="Q176" s="89"/>
      <c r="R176" s="62"/>
      <c r="S176" s="89"/>
      <c r="T176" s="62"/>
      <c r="U176" s="89"/>
      <c r="V176" s="62"/>
      <c r="W176" s="89"/>
      <c r="X176" s="62"/>
      <c r="Y176" s="62"/>
      <c r="Z176" s="48"/>
      <c r="AA176" s="62"/>
      <c r="AB176" s="62"/>
      <c r="AC176" s="62"/>
      <c r="AD176" s="48"/>
      <c r="AE176" s="62"/>
      <c r="AF176" s="62"/>
      <c r="AG176" s="62"/>
      <c r="AH176" s="62"/>
      <c r="AI176" s="48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  <c r="BC176" s="53"/>
      <c r="BD176" s="121"/>
      <c r="BE176" s="57"/>
      <c r="BF176" s="57"/>
      <c r="BG176" s="57"/>
      <c r="BH176" s="57"/>
      <c r="BI176" s="66"/>
      <c r="BJ176" s="65"/>
      <c r="BK176" s="62"/>
      <c r="BL176" s="62"/>
      <c r="BM176" s="57"/>
      <c r="BN176" s="66"/>
      <c r="BO176" s="62"/>
      <c r="BP176" s="62"/>
      <c r="BQ176" s="62"/>
      <c r="BR176" s="62"/>
      <c r="BS176" s="62"/>
      <c r="BT176" s="62"/>
      <c r="BU176" s="62"/>
      <c r="BV176" s="62"/>
      <c r="BW176" s="62"/>
      <c r="BX176" s="62"/>
      <c r="BY176" s="62"/>
      <c r="BZ176" s="62"/>
      <c r="CA176" s="62"/>
      <c r="CB176" s="62"/>
      <c r="CC176" s="62"/>
      <c r="CD176" s="62"/>
      <c r="CE176" s="62"/>
      <c r="CF176" s="62"/>
      <c r="CG176" s="62"/>
      <c r="CH176" s="62"/>
      <c r="CI176" s="62"/>
      <c r="CJ176" s="62"/>
      <c r="CK176" s="59"/>
      <c r="CL176" s="62"/>
      <c r="CM176" s="62"/>
      <c r="CN176" s="59"/>
      <c r="CO176" s="62"/>
      <c r="CP176" s="62"/>
      <c r="CQ176" s="59"/>
      <c r="CR176" s="62"/>
      <c r="CS176" s="62"/>
      <c r="CT176" s="59"/>
      <c r="CU176" s="62"/>
      <c r="CV176" s="59"/>
      <c r="CW176" s="59"/>
    </row>
    <row r="177" spans="1:101" ht="15.75" customHeight="1" x14ac:dyDescent="0.2">
      <c r="A177" s="60"/>
      <c r="B177" s="111" t="str">
        <f>CONCATENATE(D174,IF(D176="Futures",[1]AB3!$B$9,IF(D176="Options Sell",[1]AB3!$B$15,IF(D176="Options Buy",[1]AB3!$B$21,IF(D176="EQUITY",[1]AB3!$B$27)))))</f>
        <v>S29D</v>
      </c>
      <c r="C177" s="112" t="str">
        <f>IF(D176="Futures",[1]AB3!$C$9,IF(D176="Options Sell",[1]AB3!$C$15,IF(D176="Options Buy",[1]AB3!$C$21,IF(D176="EQUITY",[1]AB3!$C$27))))</f>
        <v>Symbol</v>
      </c>
      <c r="D177" s="49" t="str">
        <f t="array" ref="D177">IF(A174="","",INDEX([1]AB2!E:E,MATCH(D174,[1]AB2!B:B,0)))</f>
        <v>STOCKS</v>
      </c>
      <c r="E177" s="113">
        <f>IF(D176="Futures",[1]AB3!$E$9,IF(D176="Options Sell",[1]AB3!$E$15,IF(D176="Options Buy",[1]AB3!$E$21,IF(D176="EQUITY",[1]AB3!$E$27))))</f>
        <v>0</v>
      </c>
      <c r="F177" s="114">
        <f>IF(D176="Futures",[1]AB3!$F$9,IF(D176="Options Sell",[1]AB3!$F$15,IF(D176="Options Buy",[1]AB3!$F$21,IF(D176="EQUITY",[1]AB3!$F$26))))</f>
        <v>0</v>
      </c>
      <c r="G177" s="84" t="str">
        <f t="array" ref="G177">IF(A174="","",IF(D176="Futures",CONCATENATE([1]AB3!$G$9,INDEX([1]AB2!J:J,MATCH(D174,[1]AB2!B:B,0)),[1]AB3!$H$9),IF(D176="Options Sell",CONCATENATE([1]AB3!$G$15,INDEX([1]AB2!I:I,MATCH(D174,[1]AB2!B:B,0)),[1]AB3!$H$15),IF(D176="Options Buy",CONCATENATE([1]AB3!$G$21,INDEX([1]AB2!J:J,MATCH(D174,[1]AB2!B:B,0)),[1]AB3!$H$21),IF(D176="EQUITY","")))))</f>
        <v/>
      </c>
      <c r="H177" s="43" t="str">
        <f>IF(D176="Futures",[1]AB3!$I$9,IF(D176="Options Sell",[1]AB3!$I$15,IF(D176="Options Buy",[1]AB3!$I$21,IF(D176="EQUITY",""))))</f>
        <v/>
      </c>
      <c r="I177" s="58"/>
      <c r="J177" s="75"/>
      <c r="K177" s="48"/>
      <c r="L177" s="43" t="str">
        <f>IF(D176="Futures",[1]AB3!$M$9,IF(D176="Options Sell",[1]AB3!$M$15,IF(D176="Options Buy",[1]AB3!$M$21,IF(D176="EQUITY",""))))</f>
        <v/>
      </c>
      <c r="M177" s="43" t="str">
        <f>IF(D176="Futures",[1]AB3!$N$9,IF(D176="Options Sell",[1]AB3!$N$15,IF(D176="Options Buy",[1]AB3!$N$21,IF(D176="EQUITY",""))))</f>
        <v/>
      </c>
      <c r="N177" s="58"/>
      <c r="O177" s="75"/>
      <c r="P177" s="58"/>
      <c r="Q177" s="75"/>
      <c r="R177" s="58"/>
      <c r="S177" s="75"/>
      <c r="T177" s="58"/>
      <c r="U177" s="75"/>
      <c r="V177" s="76"/>
      <c r="W177" s="75"/>
      <c r="X177" s="76"/>
      <c r="Y177" s="76"/>
      <c r="Z177" s="48"/>
      <c r="AA177" s="43" t="str">
        <f>IF(D176="Futures",[1]AB3!$AD$9,IF(D176="Options Sell",[1]AB3!$AD$15,IF(D176="Options Buy",[1]AB3!$AD$21,IF(D176="EQUITY",""))))</f>
        <v/>
      </c>
      <c r="AB177" s="43" t="str">
        <f>IF(D176="Futures",[1]AB3!$AE$9,IF(D176="Options Sell",[1]AB3!$AE$15,IF(D176="Options Buy",[1]AB3!$AE$21,IF(D176="EQUITY",""))))</f>
        <v/>
      </c>
      <c r="AC177" s="43" t="str">
        <f>IF(D176="Futures",[1]AB3!$AF$9,IF(D176="Options Sell",[1]AB3!$AF$15,IF(D176="Options Buy",[1]AB3!$AF$21,IF(D176="EQUITY",""))))</f>
        <v/>
      </c>
      <c r="AD177" s="48"/>
      <c r="AE177" s="43" t="str">
        <f>IF(D176="Futures",[1]AB3!$AH$9,IF(D176="Options Sell",[1]AB3!$AH$15,IF(D176="Options Buy",[1]AB3!$AH$21,IF(D176="EQUITY",""))))</f>
        <v/>
      </c>
      <c r="AF177" s="43" t="str">
        <f>IF(D176="Futures",[1]AB3!$AI$9,IF(D176="Options Sell",[1]AB3!$AI$15,IF(D176="Options Buy",[1]AB3!$AI$21,IF(D176="EQUITY",""))))</f>
        <v/>
      </c>
      <c r="AG177" s="58"/>
      <c r="AH177" s="58"/>
      <c r="AI177" s="48"/>
      <c r="AJ177" s="43" t="str">
        <f>IF(D176="Futures",[1]AB3!$AO$9,IF(D176="Options Sell",[1]AB3!$AO$15,IF(D176="Options Buy",[1]AB3!$AO$21,IF(D176="EQUITY",""))))</f>
        <v/>
      </c>
      <c r="AK177" s="43" t="str">
        <f t="array" ref="AK177">IF(A174="","",IF(D176="Futures",CONCATENATE([1]AB3!$AP$9,INDEX([1]AB2!M:M,MATCH(D174,[1]AB2!B:B,0)),[1]AB3!$AQ$9),IF(D176="Options Sell",CONCATENATE([1]AB3!$AP$15,INDEX([1]AB2!L:L,MATCH(D174,[1]AB2!B:B,0)),[1]AB3!$AQ$15),IF(D176="Options Buy",CONCATENATE([1]AB3!$AP$21,INDEX([1]AB2!M:M,MATCH(D174,[1]AB2!B:B,0)),[1]AB3!$AQ$21),IF(D176="EQUITY","")))))</f>
        <v/>
      </c>
      <c r="AL177" s="52" t="str">
        <f>IF(AND(D176="Futures",AK177=[1]AB3!$AS$9),[1]AB3!$AS$9,IF(AND(D176="Options Sell",AK177=[1]AB3!$AS$15),[1]AB3!$AS$15,IF(AND(D176="Options Buy",AK177=[1]AB3!$AS$21),[1]AB3!$AS$21,IF(D176="EQUITY","",I178))))</f>
        <v/>
      </c>
      <c r="AM177" s="52">
        <f>J178</f>
        <v>0</v>
      </c>
      <c r="AN177" s="43" t="str">
        <f t="array" ref="AN177">IF(A174="","",IF(AND(OR(D178="1 &amp; APS",D178="2 &amp; APS",D178="3 &amp; APS",D178="4 &amp; APS",D178="5 &amp; APS"),D176="Futures"),CONCATENATE([1]AB3!$AP$9,INDEX([1]AB2!M:M,MATCH(D174,[1]AB2!B:B,0)),[1]AB3!$AQ$9),IF(AND(OR(D178="1 &amp; APS",D178="2 &amp; APS",D178="3 &amp; APS",D178="4 &amp; APS",D178="5 &amp; APS"),D176="Options Sell"),CONCATENATE([1]AB3!$AP$15,INDEX([1]AB2!L:L,MATCH(D174,[1]AB2!B:B,0)),[1]AB3!$AQ$15),IF(AND(OR(D178="1 &amp; APS",D178="2 &amp; APS",D178="3 &amp; APS",D178="4 &amp; APS",D178="5 &amp; APS"),D176="Options Buy"),CONCATENATE([1]AB3!$AP$21,INDEX([1]AB2!M:M,MATCH(D174,[1]AB2!B:B,0)),[1]AB3!$AQ$21),IF(D176="EQUITY","",[1]AB3!$AR$6)))))</f>
        <v/>
      </c>
      <c r="AO177" s="52" t="str">
        <f>IF(AND(D176="Futures",AN177=[1]AB3!$AU$9),[1]AB3!$AU$9,IF(AND(D176="Options Sell",AN177=[1]AB3!$AU$15),[1]AB3!$AU$15,IF(AND(D176="Options Buy",AN177=[1]AB3!$AU$21),[1]AB3!$AU$21,IF(D176="EQUITY","",I178))))</f>
        <v/>
      </c>
      <c r="AP177" s="52" t="str">
        <f>IF(D176="EQUITY","",AM177-O177)</f>
        <v/>
      </c>
      <c r="AQ177" s="43" t="str">
        <f t="array" ref="AQ177">IF(A174="","",IF(AND(OR(D178="2 &amp; APS",D178="3 &amp; APS",D178="4 &amp; APS",D178="5 &amp; APS"),D176="Futures"),CONCATENATE([1]AB3!$AP$9,INDEX([1]AB2!M:M,MATCH(D174,[1]AB2!B:B,0)),[1]AB3!$AQ$9),IF(AND(OR(D178="2 &amp; APS",D178="3 &amp; APS",D178="4 &amp; APS",D178="5 &amp; APS"),D176="Options Sell"),CONCATENATE([1]AB3!$AP$15,INDEX([1]AB2!L:L,MATCH(D174,[1]AB2!B:B,0)),[1]AB3!$AQ$15),IF(AND(OR(D178="2 &amp; APS",D178="3 &amp; APS",D178="4 &amp; APS",D178="5 &amp; APS"),D176="Options Buy"),CONCATENATE([1]AB3!$AP$21,INDEX([1]AB2!M:M,MATCH(D174,[1]AB2!B:B,0)),[1]AB3!$AQ$21),IF(D176="EQUITY","",[1]AB3!$AR$6)))))</f>
        <v/>
      </c>
      <c r="AR177" s="52" t="str">
        <f>IF(AND(D176="Futures",AQ177=[1]AB3!$AW$9),[1]AB3!$AW$9,IF(AND(D176="Options Sell",AQ177=[1]AB3!$AW$15),[1]AB3!$AW$15,IF(AND(D176="Options Buy",AQ177=[1]AB3!$AW$21),[1]AB3!$AW$21,IF(D176="EQUITY","",I178))))</f>
        <v/>
      </c>
      <c r="AS177" s="52" t="str">
        <f>IF(D176="EQUITY","",AP177-Q177)</f>
        <v/>
      </c>
      <c r="AT177" s="43" t="str">
        <f t="array" ref="AT177">IF(A174="","",IF(AND(OR(D178="3 &amp; APS",D178="4 &amp; APS",D178="5 &amp; APS"),D176="Futures"),CONCATENATE([1]AB3!$AP$9,INDEX([1]AB2!M:M,MATCH(D174,[1]AB2!B:B,0)),[1]AB3!$AQ$9),IF(AND(OR(D178="3 &amp; APS",D178="4 &amp; APS",D178="5 &amp; APS"),D176="Options Sell"),CONCATENATE([1]AB3!$AP$15,INDEX([1]AB2!L:L,MATCH(D174,[1]AB2!B:B,0)),[1]AB3!$AQ$15),IF(AND(OR(D178="3 &amp; APS",D178="4 &amp; APS",D178="5 &amp; APS"),D176="Options Buy"),CONCATENATE([1]AB3!$AP$21,INDEX([1]AB2!M:M,MATCH(D174,[1]AB2!B:B,0)),[1]AB3!$AQ$21),IF(D176="EQUITY","",[1]AB3!$AR$6)))))</f>
        <v/>
      </c>
      <c r="AU177" s="52" t="str">
        <f>IF(AND(D176="Futures",AT177=[1]AB3!$AY$9),[1]AB3!$AY$9,IF(AND(D176="Options Sell",AT177=[1]AB3!$AY$15),[1]AB3!$AY$15,IF(AND(D176="Options Buy",AT177=[1]AB3!$AY$21),[1]AB3!$AY$21,IF(D176="EQUITY","",I178))))</f>
        <v/>
      </c>
      <c r="AV177" s="52" t="str">
        <f>IF(D176="EQUITY","",AS177-S177)</f>
        <v/>
      </c>
      <c r="AW177" s="43" t="str">
        <f t="array" ref="AW177">IF(A174="","",IF(AND(OR(D178="4 &amp; APS",D178="5 &amp; APS"),D176="Futures"),CONCATENATE([1]AB3!$AP$9,INDEX([1]AB2!M:M,MATCH(D174,[1]AB2!B:B,0)),[1]AB3!$AQ$9),IF(AND(OR(D178="4 &amp; APS",D178="5 &amp; APS"),D176="Options Sell"),CONCATENATE([1]AB3!$AP$15,INDEX([1]AB2!L:L,MATCH(D174,[1]AB2!B:B,0)),[1]AB3!$AQ$15),IF(AND(OR(D178="4 &amp; APS",D178="5 &amp; APS"),D176="Options Buy"),CONCATENATE([1]AB3!$AP$21,INDEX([1]AB2!M:M,MATCH(D174,[1]AB2!B:B,0)),[1]AB3!$AQ$21),IF(D176="EQUITY","",[1]AB3!$AR$6)))))</f>
        <v/>
      </c>
      <c r="AX177" s="52" t="str">
        <f>IF(AND(D176="Futures",AW177=[1]AB3!$BA$9),[1]AB3!$BA$9,IF(AND(D176="Options Sell",AW177=[1]AB3!$BA$15),[1]AB3!$BA$15,IF(AND(D176="Options Buy",AW177=[1]AB3!$BA$21),[1]AB3!$BA$21,IF(D176="EQUITY","",I178))))</f>
        <v/>
      </c>
      <c r="AY177" s="52" t="str">
        <f>IF(D176="EQUITY","",AV177-S177)</f>
        <v/>
      </c>
      <c r="AZ177" s="43" t="str">
        <f t="array" ref="AZ177">IF(A174="","",IF(AND(D178="5 &amp; APS",D176="Futures"),CONCATENATE([1]AB3!$AP$9,INDEX([1]AB2!M:M,MATCH(D174,[1]AB2!B:B,0)),[1]AB3!$AQ$9),IF(AND(D178="5 &amp; APS",D176="Options Sell"),CONCATENATE([1]AB3!$AP$15,INDEX([1]AB2!L:L,MATCH(D174,[1]AB2!B:B,0)),[1]AB3!$AQ$15),IF(AND(D178="5 &amp; APS",D176="Options Buy"),CONCATENATE([1]AB3!$AP$21,INDEX([1]AB2!M:M,MATCH(D174,[1]AB2!B:B,0)),[1]AB3!$AQ$21),IF(D176="EQUITY","",[1]AB3!$AR$6)))))</f>
        <v/>
      </c>
      <c r="BA177" s="52" t="str">
        <f>IF(AND(D176="Futures",AZ177=[1]AB3!$BC$9),[1]AB3!$BC$9,IF(AND(D176="Options Sell",AZ177=[1]AB3!$BC$15),[1]AB3!$BC$15,IF(AND(D176="Options Buy",AZ177=[1]AB3!$BC$21),[1]AB3!$BC$21,IF(D176="EQUITY","",I178))))</f>
        <v/>
      </c>
      <c r="BB177" s="52" t="str">
        <f>IF(D176="EQUITY","",AY177-W177)</f>
        <v/>
      </c>
      <c r="BC177" s="53"/>
      <c r="BD177" s="118" t="str">
        <f>IF(D176="Futures",[1]AB3!$BE$9,IF(D176="Options Sell",[1]AB3!$BE$15,IF(D176="Options Buy",[1]AB3!$BE$21,IF(D176="EQUITY",[1]AB3!$BE$27))))</f>
        <v>Market Start Time</v>
      </c>
      <c r="BE177" s="67">
        <f t="array" ref="BE177">IF(D174="","",INDEX([1]AB2!AG:AG,MATCH(D174,[1]AB2!B:B,0)))</f>
        <v>0.38541666666666669</v>
      </c>
      <c r="BF177" s="11"/>
      <c r="BG177" s="12"/>
      <c r="BH177" s="57"/>
      <c r="BI177" s="68">
        <f>IF(D176="Futures",[1]AB3!$BJ$9,IF(D176="Options Sell",[1]AB3!$BJ$15,IF(D176="Options Buy",[1]AB3!$BJ$21,IF(D176="EQUITY",[1]AB3!$BJ$27))))</f>
        <v>0</v>
      </c>
      <c r="BJ177" s="114">
        <f>IF(D176="Futures",[1]AB3!$BK$9,IF(D176="Options Sell",[1]AB3!$BK$15,IF(D176="Options Buy",[1]AB3!$BK$21,IF(D176="EQUITY",[1]AB3!$BK$27))))</f>
        <v>0</v>
      </c>
      <c r="BK177" s="58"/>
      <c r="BL177" s="58"/>
      <c r="BM177" s="57"/>
      <c r="BN177" s="68">
        <f>IF(D176="Futures",[1]AB3!$BO$9,IF(D176="Options Sell",[1]AB3!$BO$15,IF(D176="Options Buy",[1]AB3!$BO$21,IF(D176="EQUITY",[1]AB3!$BO$27))))</f>
        <v>0</v>
      </c>
      <c r="BO177" s="45">
        <f>IF(D176="Futures",[1]AB3!$BP$9,IF(D176="Options Sell",[1]AB3!$BP$15,IF(D176="Options Buy",[1]AB3!$BP$21,IF(D176="EQUITY",[1]AB3!$BP$27))))</f>
        <v>0</v>
      </c>
      <c r="BP177" s="43" t="str">
        <f t="array" ref="BP177">IF(A174="","",IF(D176="Futures","",IF(D176="EQUITY","",IF(D176="Options Sell",CONCATENATE([1]AB3!$BQ$15,INDEX([1]AB2!I:I,MATCH(A174,[1]AB2!A:A,0)),[1]AB3!$BR$15),IF(D176="Options Buy",CONCATENATE([1]AB3!$BQ$21,INDEX([1]AB2!I:I,MATCH(A174,[1]AB2!A:A,0)),[1]AB3!$BR$21))))))</f>
        <v/>
      </c>
      <c r="BQ177" s="58"/>
      <c r="BR177" s="58"/>
      <c r="BS177" s="58"/>
      <c r="BT177" s="58"/>
      <c r="BU177" s="58"/>
      <c r="BV177" s="58"/>
      <c r="BW177" s="58"/>
      <c r="BX177" s="58"/>
      <c r="BY177" s="58"/>
      <c r="BZ177" s="58"/>
      <c r="CA177" s="58"/>
      <c r="CB177" s="58"/>
      <c r="CC177" s="58"/>
      <c r="CD177" s="58"/>
      <c r="CE177" s="58"/>
      <c r="CF177" s="58"/>
      <c r="CG177" s="58"/>
      <c r="CH177" s="58"/>
      <c r="CI177" s="58"/>
      <c r="CJ177" s="58"/>
      <c r="CK177" s="59"/>
      <c r="CL177" s="43"/>
      <c r="CM177" s="43"/>
      <c r="CN177" s="59"/>
      <c r="CO177" s="43"/>
      <c r="CP177" s="43"/>
      <c r="CQ177" s="59"/>
      <c r="CR177" s="58"/>
      <c r="CS177" s="58"/>
      <c r="CT177" s="59"/>
      <c r="CU177" s="43"/>
      <c r="CV177" s="59"/>
      <c r="CW177" s="59"/>
    </row>
    <row r="178" spans="1:101" ht="15.75" customHeight="1" x14ac:dyDescent="0.2">
      <c r="A178" s="32"/>
      <c r="B178" s="111" t="str">
        <f>CONCATENATE(D174,IF(D176="Futures",[1]AB3!$B$10,IF(D176="Options Sell",[1]AB3!$B$16,IF(D176="Options Buy",[1]AB3!$B$22,IF(D176="EQUITY",[1]AB3!$B$28)))))</f>
        <v>S29E</v>
      </c>
      <c r="C178" s="112" t="str">
        <f>IF(D176="Futures",[1]AB3!$C$10,IF(D176="Options Sell",[1]AB3!$C$16,IF(D176="Options Buy",[1]AB3!$C$22,IF(D176="EQUITY",[1]AB3!$C$28))))</f>
        <v>No. of Targets</v>
      </c>
      <c r="D178" s="49" t="str">
        <f t="array" ref="D178">IF(A174="","",INDEX([1]AB2!K:K,MATCH(D174,[1]AB2!B:B,0)))</f>
        <v>5 &amp; APS</v>
      </c>
      <c r="E178" s="32"/>
      <c r="F178" s="120">
        <f>IF(D176="Futures",[1]AB3!$F$10,IF(D176="Options Sell",[1]AB3!$F$16,IF(D176="Options Buy",[1]AB3!$F$22,IF(D176="EQUITY",[1]AB3!$F$27))))</f>
        <v>0</v>
      </c>
      <c r="G178" s="84" t="str">
        <f t="array" ref="G178">(IF(A174="","",IF(D176="Futures",CONCATENATE([1]AB3!$G$10,INDEX([1]AB2!I:I,MATCH(D174,[1]AB2!B:B,0)),[1]AB3!$H$10),IF(D176="Options Sell",CONCATENATE([1]AB3!$G$16,INDEX([1]AB2!J:J,MATCH(D174,[1]AB2!B:B,0)),[1]AB3!$H$16),IF(D176="Options Buy",CONCATENATE([1]AB3!$G$22,INDEX([1]AB2!I:I,MATCH(D174,[1]AB2!B:B,0)),[1]AB3!$H$22),IF(D176="EQUITY",""))))))</f>
        <v/>
      </c>
      <c r="H178" s="43" t="str">
        <f>IF(D176="Futures",[1]AB3!$I$10,IF(D176="Options Sell",[1]AB3!$I$16,IF(D176="Options Buy",[1]AB3!$I$22,IF(D176="EQUITY",""))))</f>
        <v/>
      </c>
      <c r="I178" s="58"/>
      <c r="J178" s="75"/>
      <c r="K178" s="48"/>
      <c r="L178" s="43" t="str">
        <f>IF(D176="Futures",[1]AB3!$M$10,IF(D176="Options Sell",[1]AB3!$M$16,IF(D176="Options Buy",[1]AB3!$M$22,IF(D176="EQUITY",""))))</f>
        <v/>
      </c>
      <c r="M178" s="43" t="str">
        <f>IF(D176="Futures",[1]AB3!$N$10,IF(D176="Options Sell",[1]AB3!$N$16,IF(D176="Options Buy",[1]AB3!$N$22,IF(D176="EQUITY",""))))</f>
        <v/>
      </c>
      <c r="N178" s="58"/>
      <c r="O178" s="75"/>
      <c r="P178" s="58"/>
      <c r="Q178" s="75"/>
      <c r="R178" s="58"/>
      <c r="S178" s="75"/>
      <c r="T178" s="58"/>
      <c r="U178" s="75"/>
      <c r="V178" s="76"/>
      <c r="W178" s="75"/>
      <c r="X178" s="76"/>
      <c r="Y178" s="76"/>
      <c r="Z178" s="48"/>
      <c r="AA178" s="43" t="str">
        <f>IF(D176="Futures",[1]AB3!$AD$10,IF(D176="Options Sell",[1]AB3!$AD$16,IF(D176="Options Buy",[1]AB3!$AD$22,IF(D176="EQUITY",""))))</f>
        <v/>
      </c>
      <c r="AB178" s="43" t="str">
        <f>IF(D176="Futures",[1]AB3!$AE$10,IF(D176="Options Sell",[1]AB3!$AE$16,IF(D176="Options Buy",[1]AB3!$AE$22,IF(D176="EQUITY",""))))</f>
        <v/>
      </c>
      <c r="AC178" s="43" t="str">
        <f>IF(D176="Futures",[1]AB3!$AF$10,IF(D176="Options Sell",[1]AB3!$AF$16,IF(D176="Options Buy",[1]AB3!$AF$22,IF(D176="EQUITY",""))))</f>
        <v/>
      </c>
      <c r="AD178" s="48"/>
      <c r="AE178" s="43" t="str">
        <f>IF(D176="Futures",[1]AB3!$AH$10,IF(D176="Options Sell",[1]AB3!$AH$16,IF(D176="Options Buy",[1]AB3!$AH$22,IF(D176="EQUITY",""))))</f>
        <v/>
      </c>
      <c r="AF178" s="43" t="str">
        <f>IF(D176="Futures",[1]AB3!$AI$10,IF(D176="Options Sell",[1]AB3!$AI$16,IF(D176="Options Buy",[1]AB3!$AI$22,IF(D176="EQUITY",""))))</f>
        <v/>
      </c>
      <c r="AG178" s="58"/>
      <c r="AH178" s="58"/>
      <c r="AI178" s="48"/>
      <c r="AJ178" s="43" t="str">
        <f>IF(D176="Futures",[1]AB3!$AO$10,IF(D176="Options Sell",[1]AB3!$AO$16,IF(D176="Options Buy",[1]AB3!$AO$22,IF(D176="EQUITY",""))))</f>
        <v/>
      </c>
      <c r="AK178" s="43" t="str">
        <f t="array" ref="AK178">IF(A174="","",IF(D176="Futures",CONCATENATE([1]AB3!$AP$10,INDEX([1]AB2!L:L,MATCH(D174,[1]AB2!B:B,0)),[1]AB3!$AQ$10),IF(D176="Options Sell",CONCATENATE([1]AB3!$AP$16,INDEX([1]AB2!M:M,MATCH(D174,[1]AB2!B:B,0)),[1]AB3!$AQ$16),IF(D176="Options Buy",CONCATENATE([1]AB3!$AP$22,INDEX([1]AB2!L:L,MATCH(D174,[1]AB2!B:B,0)),[1]AB3!$AQ$22),IF(D176="EQUITY","")))))</f>
        <v/>
      </c>
      <c r="AL178" s="52" t="str">
        <f>IF(AND(D176="Futures",AK178=[1]AB3!$AS$10),[1]AB3!$AS$10,IF(AND(D176="Options Sell",AK178=[1]AB3!$AS$16),[1]AB3!$AS$16,IF(AND(D176="Options Buy",AK178=[1]AB3!$AS$22),[1]AB3!$AS$22,IF(D176="EQUITY","",I177))))</f>
        <v/>
      </c>
      <c r="AM178" s="52">
        <f>J177</f>
        <v>0</v>
      </c>
      <c r="AN178" s="43" t="str">
        <f t="array" ref="AN178">IF(A174="","",IF(AND(OR(D178="1 &amp; APS",D178="2 &amp; APS",D178="3 &amp; APS",D178="4 &amp; APS",D178="5 &amp; APS"),D176="Futures"),CONCATENATE([1]AB3!$AP$10,INDEX([1]AB2!L:L,MATCH(D174,[1]AB2!B:B,0)),[1]AB3!$AQ$10),IF(AND(OR(D178="1 &amp; APS",D178="2 &amp; APS",D178="3 &amp; APS",D178="4 &amp; APS",D178="5 &amp; APS"),D176="Options Sell"),CONCATENATE([1]AB3!$AP$16,INDEX([1]AB2!M:M,MATCH(D174,[1]AB2!B:B,0)),[1]AB3!$AQ$16),IF(AND(OR(D178="1 &amp; APS",D178="2 &amp; APS",D178="3 &amp; APS",D178="4 &amp; APS",D178="5 &amp; APS"),D176="Options Buy"),CONCATENATE([1]AB3!$AP$22,INDEX([1]AB2!L:L,MATCH(D174,[1]AB2!B:B,0)),[1]AB3!$AQ$22),IF(D176="EQUITY","",[1]AB3!$AR$6)))))</f>
        <v/>
      </c>
      <c r="AO178" s="52" t="str">
        <f>IF(AND(D176="Futures",AN178=[1]AB3!$AU$10),[1]AB3!$AU$10,IF(AND(D176="Options Sell",AN178=[1]AB3!$AU$16),[1]AB3!$AU$16,IF(AND(D176="Options Buy",AN178=[1]AB3!$AU$22),[1]AB3!$AU$22,IF(D176="EQUITY","",I177))))</f>
        <v/>
      </c>
      <c r="AP178" s="52" t="str">
        <f>IF(D176="EQUITY","",AM178-O178)</f>
        <v/>
      </c>
      <c r="AQ178" s="43" t="str">
        <f t="array" ref="AQ178">IF(A174="","",IF(AND(OR(D178="2 &amp; APS",D178="3 &amp; APS",D178="4 &amp; APS",D178="5 &amp; APS"),D176="Futures"),CONCATENATE([1]AB3!$AP$10,INDEX([1]AB2!L:L,MATCH(D174,[1]AB2!B:B,0)),[1]AB3!$AQ$10),IF(AND(OR(D178="2 &amp; APS",D178="3 &amp; APS",D178="4 &amp; APS",D178="5 &amp; APS"),D176="Options Sell"),CONCATENATE([1]AB3!$AP$16,INDEX([1]AB2!M:M,MATCH(D174,[1]AB2!B:B,0)),[1]AB3!$AQ$16),IF(AND(OR(D178="2 &amp; APS",D178="3 &amp; APS",D178="4 &amp; APS",D178="5 &amp; APS"),D176="Options Buy"),CONCATENATE([1]AB3!$AP$22,INDEX([1]AB2!L:L,MATCH(D174,[1]AB2!B:B,0)),[1]AB3!$AQ$22),IF(D176="EQUITY","",[1]AB3!$AR$6)))))</f>
        <v/>
      </c>
      <c r="AR178" s="52" t="str">
        <f>IF(AND(D176="Futures",AQ178=[1]AB3!$AW$10),[1]AB3!$AW$10,IF(AND(D176="Options Sell",AQ178=[1]AB3!$AW$16),[1]AB3!$AW$16,IF(AND(D176="Options Buy",AQ178=[1]AB3!$AW$22),[1]AB3!$AW$22,IF(D176="EQUITY","",I177))))</f>
        <v/>
      </c>
      <c r="AS178" s="52" t="str">
        <f>IF(D176="EQUITY","",AP178-Q178)</f>
        <v/>
      </c>
      <c r="AT178" s="43" t="str">
        <f t="array" ref="AT178">IF(A174="","",IF(AND(OR(D178="3 &amp; APS",D178="4 &amp; APS",D178="5 &amp; APS"),D176="Futures"),CONCATENATE([1]AB3!$AP$10,INDEX([1]AB2!L:L,MATCH(D174,[1]AB2!B:B,0)),[1]AB3!$AQ$10),IF(AND(OR(D178="3 &amp; APS",D178="4 &amp; APS",D178="5 &amp; APS"),D176="Options Sell"),CONCATENATE([1]AB3!$AP$16,INDEX([1]AB2!M:M,MATCH(D174,[1]AB2!B:B,0)),[1]AB3!$AQ$16),IF(AND(OR(D178="3 &amp; APS",D178="4 &amp; APS",D178="5 &amp; APS"),D176="Options Buy"),CONCATENATE([1]AB3!$AP$22,INDEX([1]AB2!L:L,MATCH(D174,[1]AB2!B:B,0)),[1]AB3!$AQ$22),IF(D176="EQUITY","",[1]AB3!$AR$6)))))</f>
        <v/>
      </c>
      <c r="AU178" s="52" t="str">
        <f>IF(AND(D176="Futures",AT178=[1]AB3!$AY$10),[1]AB3!$AY$10,IF(AND(D176="Options Sell",AT178=[1]AB3!$AY$16),[1]AB3!$AY$16,IF(AND(D176="Options Buy",AT178=[1]AB3!$AY$22),[1]AB3!$AY$22,IF(D176="EQUITY","",I177))))</f>
        <v/>
      </c>
      <c r="AV178" s="52" t="str">
        <f>IF(D176="EQUITY","",AS178-S178)</f>
        <v/>
      </c>
      <c r="AW178" s="43" t="str">
        <f t="array" ref="AW178">IF(A174="","",IF(AND(OR(D178="4 &amp; APS",D178="5 &amp; APS"),D176="Futures"),CONCATENATE([1]AB3!$AP$10,INDEX([1]AB2!L:L,MATCH(D174,[1]AB2!B:B,0)),[1]AB3!$AQ$10),IF(AND(OR(D178="4 &amp; APS",D178="5 &amp; APS"),D176="Options Sell"),CONCATENATE([1]AB3!$AP$16,INDEX([1]AB2!M:M,MATCH(D174,[1]AB2!B:B,0)),[1]AB3!$AQ$16),IF(AND(OR(D178="4 &amp; APS",D178="5 &amp; APS"),D176="Options Buy"),CONCATENATE([1]AB3!$AP$22,INDEX([1]AB2!L:L,MATCH(D174,[1]AB2!B:B,0)),[1]AB3!$AQ$22),IF(D176="EQUITY","",[1]AB3!$AR$6)))))</f>
        <v/>
      </c>
      <c r="AX178" s="52" t="str">
        <f>IF(AND(D176="Futures",AW178=[1]AB3!$BA$10),[1]AB3!$BA$10,IF(AND(D176="Options Sell",AW178=[1]AB3!$BA$16),[1]AB3!$BA$16,IF(AND(D176="Options Buy",AW178=[1]AB3!$BA$22),[1]AB3!$BA$22,IF(D176="EQUITY","",I177))))</f>
        <v/>
      </c>
      <c r="AY178" s="52" t="str">
        <f>IF(D176="EQUITY","",AV178-S178)</f>
        <v/>
      </c>
      <c r="AZ178" s="43" t="str">
        <f t="array" ref="AZ178">IF(A174="","",IF(AND(D178="5 &amp; APS",D176="Futures"),CONCATENATE([1]AB3!$AP$10,INDEX([1]AB2!L:L,MATCH(D174,[1]AB2!B:B,0)),[1]AB3!$AQ$10),IF(AND(D178="5 &amp; APS",D176="Options Sell"),CONCATENATE([1]AB3!$AP$16,INDEX([1]AB2!M:M,MATCH(D174,[1]AB2!B:B,0)),[1]AB3!$AQ$16),IF(AND(D178="5 &amp; APS",D176="Options Buy"),CONCATENATE([1]AB3!$AP$22,INDEX([1]AB2!L:L,MATCH(D174,[1]AB2!B:B,0)),[1]AB3!$AQ$22),IF(D176="EQUITY","",[1]AB3!$AR$6)))))</f>
        <v/>
      </c>
      <c r="BA178" s="52" t="str">
        <f>IF(AND(D176="Futures",AZ178=[1]AB3!$BC$10),[1]AB3!$BC$10,IF(AND(D176="Options Sell",AZ178=[1]AB3!$BC$16),[1]AB3!$BC$16,IF(AND(D176="Options Buy",AZ178=[1]AB3!$BC$22),[1]AB3!$BC$22,IF(D176="EQUITY","",I177))))</f>
        <v/>
      </c>
      <c r="BB178" s="52" t="str">
        <f>IF(D176="EQUITY","",AY178-W178)</f>
        <v/>
      </c>
      <c r="BC178" s="53"/>
      <c r="BD178" s="118" t="str">
        <f>IF(D176="Futures",[1]AB3!$BE$10,IF(D176="Options Sell",[1]AB3!$BE$16,IF(D176="Options Buy",[1]AB3!$BE$22,IF(D176="EQUITY",[1]AB3!$BE$28))))</f>
        <v>Market End Time</v>
      </c>
      <c r="BE178" s="67">
        <f t="array" ref="BE178">IF(D174="","",INDEX([1]AB2!AH:AH,MATCH(D174,[1]AB2!B:B,0)))</f>
        <v>0.64583333333333337</v>
      </c>
      <c r="BF178" s="11"/>
      <c r="BG178" s="12"/>
      <c r="BH178" s="57"/>
      <c r="BI178" s="32"/>
      <c r="BJ178" s="120">
        <f>IF(D176="Futures",[1]AB3!$BK$10,IF(D176="Options Sell",[1]AB3!$BK$16,IF(D176="Options Buy",[1]AB3!$BK$22,IF(D176="EQUITY",[1]AB3!$BK$28))))</f>
        <v>0</v>
      </c>
      <c r="BK178" s="58"/>
      <c r="BL178" s="58"/>
      <c r="BM178" s="57"/>
      <c r="BN178" s="32"/>
      <c r="BO178" s="61">
        <f>IF(D176="Futures",[1]AB3!$BP$10,IF(D176="Options Sell",[1]AB3!$BP$16,IF(D176="Options Buy",[1]AB3!$BP$22,IF(D176="EQUITY",[1]AB3!$BP$28))))</f>
        <v>0</v>
      </c>
      <c r="BP178" s="43" t="str">
        <f t="array" ref="BP178">IF(A174="","",IF(D176="Futures","",IF(D176="EQUITY","",IF(D176="Options Sell",CONCATENATE([1]AB3!$BQ$16,INDEX([1]AB2!J:J,MATCH(A174,[1]AB2!A:A,0)),[1]AB3!$BR$16),IF(D176="Options Buy",CONCATENATE([1]AB3!$BQ$22,INDEX([1]AB2!J:J,MATCH(A174,[1]AB2!A:A,0)),[1]AB3!$BR$22))))))</f>
        <v/>
      </c>
      <c r="BQ178" s="58"/>
      <c r="BR178" s="58"/>
      <c r="BS178" s="58"/>
      <c r="BT178" s="58"/>
      <c r="BU178" s="58"/>
      <c r="BV178" s="58"/>
      <c r="BW178" s="58"/>
      <c r="BX178" s="58"/>
      <c r="BY178" s="58"/>
      <c r="BZ178" s="58"/>
      <c r="CA178" s="58"/>
      <c r="CB178" s="58"/>
      <c r="CC178" s="58"/>
      <c r="CD178" s="58"/>
      <c r="CE178" s="58"/>
      <c r="CF178" s="58"/>
      <c r="CG178" s="58"/>
      <c r="CH178" s="58"/>
      <c r="CI178" s="58"/>
      <c r="CJ178" s="58"/>
      <c r="CK178" s="59"/>
      <c r="CL178" s="43"/>
      <c r="CM178" s="43"/>
      <c r="CN178" s="59"/>
      <c r="CO178" s="43"/>
      <c r="CP178" s="43"/>
      <c r="CQ178" s="59"/>
      <c r="CR178" s="58"/>
      <c r="CS178" s="58"/>
      <c r="CT178" s="59"/>
      <c r="CU178" s="43"/>
      <c r="CV178" s="59"/>
      <c r="CW178" s="59"/>
    </row>
    <row r="179" spans="1:101" ht="15.75" customHeight="1" x14ac:dyDescent="0.2">
      <c r="A179" s="1"/>
      <c r="B179" s="2"/>
      <c r="C179" s="2"/>
      <c r="D179" s="2"/>
      <c r="E179" s="2"/>
      <c r="F179" s="2"/>
      <c r="G179" s="2"/>
      <c r="H179" s="2"/>
      <c r="I179" s="2"/>
      <c r="J179" s="3"/>
      <c r="K179" s="2"/>
      <c r="L179" s="2"/>
      <c r="M179" s="2"/>
      <c r="N179" s="2"/>
      <c r="O179" s="2"/>
      <c r="P179" s="2"/>
      <c r="Q179" s="69"/>
      <c r="R179" s="69"/>
      <c r="S179" s="70"/>
      <c r="T179" s="70"/>
      <c r="U179" s="2"/>
      <c r="V179" s="2"/>
      <c r="W179" s="2"/>
      <c r="X179" s="2"/>
      <c r="Y179" s="2"/>
      <c r="Z179" s="2"/>
      <c r="AA179" s="20"/>
      <c r="AB179" s="71"/>
      <c r="AC179" s="71"/>
      <c r="AD179" s="2"/>
      <c r="AE179" s="70"/>
      <c r="AF179" s="70"/>
      <c r="AG179" s="70"/>
      <c r="AH179" s="70"/>
      <c r="AI179" s="2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0"/>
      <c r="AX179" s="70"/>
      <c r="AY179" s="70"/>
      <c r="AZ179" s="70"/>
      <c r="BA179" s="70"/>
      <c r="BB179" s="70"/>
      <c r="BC179" s="70"/>
      <c r="BD179" s="70"/>
      <c r="BE179" s="70"/>
      <c r="BF179" s="70"/>
      <c r="BG179" s="70"/>
      <c r="BH179" s="70"/>
      <c r="BI179" s="70"/>
      <c r="BJ179" s="70"/>
      <c r="BK179" s="70"/>
      <c r="BL179" s="70"/>
      <c r="BM179" s="70"/>
      <c r="BN179" s="70"/>
      <c r="BO179" s="70"/>
      <c r="BP179" s="70"/>
      <c r="BQ179" s="70"/>
      <c r="BR179" s="70"/>
      <c r="BS179" s="70"/>
      <c r="BT179" s="70"/>
      <c r="BU179" s="70"/>
      <c r="BV179" s="70"/>
      <c r="BW179" s="70"/>
      <c r="BX179" s="70"/>
      <c r="BY179" s="70"/>
      <c r="BZ179" s="70"/>
      <c r="CA179" s="70"/>
      <c r="CB179" s="70"/>
      <c r="CC179" s="70"/>
      <c r="CD179" s="70"/>
      <c r="CE179" s="70"/>
      <c r="CF179" s="70"/>
      <c r="CG179" s="70"/>
      <c r="CH179" s="70"/>
      <c r="CI179" s="70"/>
      <c r="CJ179" s="70"/>
      <c r="CK179" s="70"/>
      <c r="CL179" s="2"/>
      <c r="CM179" s="2"/>
      <c r="CN179" s="70"/>
      <c r="CO179" s="70"/>
      <c r="CP179" s="70"/>
      <c r="CQ179" s="70"/>
      <c r="CR179" s="70"/>
      <c r="CS179" s="2"/>
      <c r="CT179" s="70"/>
      <c r="CU179" s="70"/>
      <c r="CV179" s="70"/>
      <c r="CW179" s="70"/>
    </row>
    <row r="180" spans="1:101" ht="15.75" customHeight="1" x14ac:dyDescent="0.2">
      <c r="A180" s="40">
        <v>30</v>
      </c>
      <c r="B180" s="111" t="str">
        <f>CONCATENATE(D180,IF(D182="Futures",[1]AB3!$B$6,IF(D182="Options Sell",[1]AB3!$B$12,IF(D182="Options Buy",[1]AB3!$B$18,IF(D182="EQUITY",[1]AB3!$B$24)))))</f>
        <v>S30A</v>
      </c>
      <c r="C180" s="112" t="str">
        <f>IF(D182="Futures",[1]AB3!$C$6,IF(D182="Options Sell",[1]AB3!$C$12,IF(D182="Options Buy",[1]AB3!$C$18,IF(D182="EQUITY",[1]AB3!$C$24))))</f>
        <v>Strategy Code</v>
      </c>
      <c r="D180" s="49" t="str">
        <f t="array" ref="D180">IF(A180="","",INDEX([1]AB2!B:B,MATCH(A180,[1]AB2!A:A,0)))</f>
        <v>S30</v>
      </c>
      <c r="E180" s="113">
        <f>IF(D182="Futures",[1]AB3!$E$6,IF(D182="Options Sell",[1]AB3!$E$12,IF(D182="Options Buy",[1]AB3!$E$18,IF(D182="EQUITY",[1]AB3!$E$24))))</f>
        <v>0</v>
      </c>
      <c r="F180" s="114" t="str">
        <f>IF(D182="Futures",[1]AB3!$F$6,IF(D182="Options Sell",[1]AB3!$F$12,IF(D182="Options Buy",[1]AB3!$F$18,IF(D182="EQUITY",[1]AB3!$F$24))))</f>
        <v>Long</v>
      </c>
      <c r="G180" s="43" t="str">
        <f t="array" ref="G180">IF(A180="","",IF(D182="Futures",CONCATENATE([1]AB3!$G$6,INDEX([1]AB2!I:I,MATCH(A180,[1]AB2!A:A,0)),[1]AB3!$H$6),IF(D182="Options Sell",CONCATENATE([1]AB3!$G$12,INDEX([1]AB2!I:I,MATCH(A180,[1]AB2!A:A,0)),[1]AB3!$H$12),IF(D182="Options Buy",CONCATENATE([1]AB3!$G$18,INDEX([1]AB2!I:I,MATCH(A180,[1]AB2!A:A,0)),[1]AB3!$H$18),IF(D182="EQUITY",CONCATENATE([1]AB3!$G$24,INDEX([1]AB2!I:I,MATCH(A180,[1]AB2!A:A,0)),[1]AB3!$H$18))))))</f>
        <v>SPT : MCC HH</v>
      </c>
      <c r="H180" s="43" t="str">
        <f>IF(D182="Futures",[1]AB3!$I$6,IF(D182="Options Sell",[1]AB3!$I$12,IF(D182="Options Buy",[1]AB3!$I$18,IF(D182="EQUITY",[1]AB3!$I$24))))</f>
        <v xml:space="preserve"> + </v>
      </c>
      <c r="I180" s="46">
        <v>0.01</v>
      </c>
      <c r="J180" s="115">
        <v>1</v>
      </c>
      <c r="K180" s="48"/>
      <c r="L180" s="43" t="str">
        <f>IF(D182="Futures",[1]AB3!$M$6,IF(D182="Options Sell",[1]AB3!$M$12,IF(D182="Options Buy",[1]AB3!$M$18,IF(D182="EQUITY",[1]AB3!$M$24))))</f>
        <v xml:space="preserve">L : Entry </v>
      </c>
      <c r="M180" s="43" t="str">
        <f>IF(D182="Futures",[1]AB3!$N$6,IF(D182="Options Sell",[1]AB3!$N$12,IF(D182="Options Buy",[1]AB3!$N$18,IF(D182="EQUITY",[1]AB3!$N$24))))</f>
        <v xml:space="preserve"> + </v>
      </c>
      <c r="N180" s="58">
        <v>0.125</v>
      </c>
      <c r="O180" s="116">
        <v>0.2</v>
      </c>
      <c r="P180" s="58">
        <v>0.25</v>
      </c>
      <c r="Q180" s="116">
        <v>0.2</v>
      </c>
      <c r="R180" s="58">
        <v>0.5</v>
      </c>
      <c r="S180" s="116">
        <v>0.1</v>
      </c>
      <c r="T180" s="58">
        <v>0.75</v>
      </c>
      <c r="U180" s="116">
        <v>0.1</v>
      </c>
      <c r="V180" s="58">
        <v>1</v>
      </c>
      <c r="W180" s="116">
        <v>0.1</v>
      </c>
      <c r="X180" s="50" t="s">
        <v>60</v>
      </c>
      <c r="Y180" s="116">
        <v>0.3</v>
      </c>
      <c r="Z180" s="48"/>
      <c r="AA180" s="43" t="str">
        <f>IF(D182="Futures",[1]AB3!$AD$6,IF(D182="Options Sell",[1]AB3!$AD$12,IF(D182="Options Buy",[1]AB3!$AD$18,IF(D182="EQUITY",[1]AB3!$AD$24))))</f>
        <v>Max</v>
      </c>
      <c r="AB180" s="43" t="str">
        <f>IF(D182="Futures",[1]AB3!$AE$6,IF(D182="Options Sell",[1]AB3!$AE$12,IF(D182="Options Buy",[1]AB3!$AE$18,IF(D182="EQUITY",[1]AB3!$AE$24))))</f>
        <v>MSL &amp; TSL</v>
      </c>
      <c r="AC180" s="43" t="str">
        <f>IF(D182="Futures",[1]AB3!$AF$6,IF(D182="Options Sell",[1]AB3!$AF$12,IF(D182="Options Buy",[1]AB3!$AF$18,IF(D182="EQUITY",[1]AB3!$AF$24))))</f>
        <v>Entry &amp; TRP</v>
      </c>
      <c r="AD180" s="48"/>
      <c r="AE180" s="43" t="str">
        <f>IF(D182="Futures",[1]AB3!$AH$6,IF(D182="Options Sell",[1]AB3!$AH$12,IF(D182="Options Buy",[1]AB3!$AH$18,IF(D182="EQUITY",[1]AB3!$AH$24))))</f>
        <v>L : Entry</v>
      </c>
      <c r="AF180" s="43" t="str">
        <f>IF(D182="Futures",[1]AB3!$AI$6,IF(D182="Options Sell",[1]AB3!$AI$12,IF(D182="Options Buy",[1]AB3!$AI$18,IF(D182="EQUITY",[1]AB3!$AI$24))))</f>
        <v xml:space="preserve"> - </v>
      </c>
      <c r="AG180" s="58">
        <v>0.25</v>
      </c>
      <c r="AH180" s="58"/>
      <c r="AI180" s="48"/>
      <c r="AJ180" s="43" t="str">
        <f>IF(D182="Futures",[1]AB3!$AO$6,IF(D182="Options Sell",[1]AB3!$AO$12,IF(D182="Options Buy",[1]AB3!$AO$18,IF(D182="EQUITY",[1]AB3!$AO$24))))</f>
        <v xml:space="preserve"> - </v>
      </c>
      <c r="AK180" s="43" t="str">
        <f t="array" ref="AK180">IF(A180="","",IF(D182="Futures",CONCATENATE([1]AB3!$AP$6,INDEX([1]AB2!L:L,MATCH(D180,[1]AB2!B:B,0)),[1]AB3!$AQ$6),IF(D182="Options Sell",CONCATENATE([1]AB3!$AP$12,INDEX([1]AB2!M:M,MATCH(D180,[1]AB2!B:B,0)),[1]AB3!$AQ$12),IF(D182="Options Buy",CONCATENATE([1]AB3!$AP$18,INDEX([1]AB2!L:L,MATCH(D180,[1]AB2!B:B,0)),[1]AB3!$AQ$18),IF(D182="EQUITY",CONCATENATE([1]AB3!$AP$24,[1]AB3!$AR$24))))))</f>
        <v>SPT : PRV M : 20 SMA</v>
      </c>
      <c r="AL180" s="51" t="str">
        <f>IF(AND(D182="Futures",AK180=[1]AB3!$AS$6),[1]AB3!$AS$6,IF(AND(D182="Options Sell",AK180=[1]AB3!$AS$12),[1]AB3!$AS$12,IF(AND(D182="Options Buy",AK180=[1]AB3!$AS$18),[1]AB3!$AS$18,IF(D182="EQUITY","",I181))))</f>
        <v/>
      </c>
      <c r="AM180" s="117">
        <f>J180</f>
        <v>1</v>
      </c>
      <c r="AN180" s="43" t="str">
        <f t="array" ref="AN180">IF(A180="","",IF(AND(OR(D184="1 &amp; APS",D184="2 &amp; APS",D184="3 &amp; APS",D184="4 &amp; APS",D184="5 &amp; APS"),D182="Futures"),CONCATENATE([1]AB3!$AP$6,INDEX([1]AB2!L:L,MATCH(D180,[1]AB2!B:B,0)),[1]AB3!$AQ$6),IF(AND(OR(D184="1 &amp; APS",D184="2 &amp; APS",D184="3 &amp; APS",D184="4 &amp; APS",D184="5 &amp; APS"),D182="Options Sell"),CONCATENATE([1]AB3!$AP$12,INDEX([1]AB2!M:M,MATCH(D180,[1]AB2!B:B,0)),[1]AB3!$AQ$12),IF(AND(OR(D184="1 &amp; APS",D184="2 &amp; APS",D184="3 &amp; APS",D184="4 &amp; APS",D184="5 &amp; APS"),D182="Options Buy"),CONCATENATE([1]AB3!$AP$18,INDEX([1]AB2!L:L,MATCH(D180,[1]AB2!B:B,0)),[1]AB3!$AQ$18),IF(D182="EQUITY",CONCATENATE([1]AB3!$AP$24,[1]AB3!$AT$24),[1]AB3!$AR$6)))))</f>
        <v>SPT : PRV M : 20 SMA</v>
      </c>
      <c r="AO180" s="51" t="str">
        <f>IF(AND(D182="Futures",AN180=[1]AB3!$AU$6),[1]AB3!$AU$6,IF(AND(D182="Options Sell",AN180=[1]AB3!$AU$12),[1]AB3!$AU$12,IF(AND(D182="Options Buy",AN180=[1]AB3!$AU$18),[1]AB3!$AU$18,IF(D182="EQUITY","",I181))))</f>
        <v/>
      </c>
      <c r="AP180" s="117">
        <f>AM180-O180</f>
        <v>0.8</v>
      </c>
      <c r="AQ180" s="43" t="str">
        <f t="array" ref="AQ180">IF(A180="","",IF(AND(OR(D184="2 &amp; APS",D184="3 &amp; APS",D184="4 &amp; APS",D184="5 &amp; APS"),D182="Futures"),CONCATENATE([1]AB3!$AP$6,INDEX([1]AB2!L:L,MATCH(D180,[1]AB2!B:B,0)),[1]AB3!$AQ$6),IF(AND(OR(D184="2 &amp; APS",D184="3 &amp; APS",D184="4 &amp; APS",D184="5 &amp; APS"),D182="Options Sell"),CONCATENATE([1]AB3!$AP$12,INDEX([1]AB2!M:M,MATCH(D180,[1]AB2!B:B,0)),[1]AB3!$AQ$12),IF(AND(OR(D184="2 &amp; APS",D184="3 &amp; APS",D184="4 &amp; APS",D184="5 &amp; APS"),D182="Options Buy"),CONCATENATE([1]AB3!$AP$18,INDEX([1]AB2!L:L,MATCH(D180,[1]AB2!B:B,0)),[1]AB3!$AQ$18),IF(D182="EQUITY",CONCATENATE([1]AB3!$AP$24,[1]AB3!$AV$24),[1]AB3!$AR$6)))))</f>
        <v>SPT : PRV M : 20 SMA</v>
      </c>
      <c r="AR180" s="51" t="str">
        <f>IF(AND(D182="Futures",AQ180=[1]AB3!$AW$6),[1]AB3!$AW$6,IF(AND(D182="Options Sell",AQ180=[1]AB3!$AW$12),[1]AB3!$AW$12,IF(AND(D182="Options Buy",AQ180=[1]AB3!$AW$18),[1]AB3!$AW$18,IF(D182="EQUITY","",I181))))</f>
        <v/>
      </c>
      <c r="AS180" s="117">
        <f>AP180-Q180</f>
        <v>0.60000000000000009</v>
      </c>
      <c r="AT180" s="43" t="str">
        <f t="array" ref="AT180">IF(A180="","",IF(AND(OR(D184="3 &amp; APS",D184="4 &amp; APS",D184="5 &amp; APS"),D182="Futures"),CONCATENATE([1]AB3!$AP$6,INDEX([1]AB2!L:L,MATCH(D180,[1]AB2!B:B,0)),[1]AB3!$AQ$6),IF(AND(OR(D184="3 &amp; APS",D184="4 &amp; APS",D184="5 &amp; APS"),D182="Options Sell"),CONCATENATE([1]AB3!$AP$12,INDEX([1]AB2!M:M,MATCH(D180,[1]AB2!B:B,0)),[1]AB3!$AQ$12),IF(AND(OR(D184="3 &amp; APS",D184="4 &amp; APS",D184="5 &amp; APS"),D182="Options Buy"),CONCATENATE([1]AB3!$AP$18,INDEX([1]AB2!L:L,MATCH(D180,[1]AB2!B:B,0)),[1]AB3!$AQ$18),IF(D182="EQUITY",CONCATENATE([1]AB3!$AP$24,[1]AB3!$AX$24),[1]AB3!$AR$6)))))</f>
        <v>SPT : PRV M : 20 SMA</v>
      </c>
      <c r="AU180" s="51" t="str">
        <f>IF(AND(D182="Futures",AT180=[1]AB3!$AY$6),[1]AB3!$AY$6,IF(AND(D182="Options Sell",AT180=[1]AB3!$AY$12),[1]AB3!$AY$12,IF(AND(D182="Options Buy",AT180=[1]AB3!$AY$18),[1]AB3!$AY$18,IF(D182="EQUITY","",I181))))</f>
        <v/>
      </c>
      <c r="AV180" s="117">
        <f>AS180-S180</f>
        <v>0.50000000000000011</v>
      </c>
      <c r="AW180" s="43" t="str">
        <f t="array" ref="AW180">IF(A180="","",IF(AND(OR(D184="4 &amp; APS",D184="5 &amp; APS"),D182="Futures"),CONCATENATE([1]AB3!$AP$6,INDEX([1]AB2!L:L,MATCH(D180,[1]AB2!B:B,0)),[1]AB3!$AQ$6),IF(AND(OR(D184="4 &amp; APS",D184="5 &amp; APS"),D182="Options Sell"),CONCATENATE([1]AB3!$AP$12,INDEX([1]AB2!M:M,MATCH(D180,[1]AB2!B:B,0)),[1]AB3!$AQ$12),IF(AND(OR(D184="4 &amp; APS",D184="5 &amp; APS"),D182="Options Buy"),CONCATENATE([1]AB3!$AP$18,INDEX([1]AB2!L:L,MATCH(D180,[1]AB2!B:B,0)),[1]AB3!$AQ$18),IF(D182="EQUITY",CONCATENATE([1]AB3!$AP$24,[1]AB3!$AZ$24),[1]AB3!$AR$6)))))</f>
        <v>SPT : PRV M : 20 SMA</v>
      </c>
      <c r="AX180" s="51" t="str">
        <f>IF(AND(D182="Futures",AW180=[1]AB3!$BA$6),[1]AB3!$BA$6,IF(AND(D182="Options Sell",AW180=[1]AB3!$BA$12),[1]AB3!$BA$12,IF(AND(D182="Options Buy",AW180=[1]AB3!$BA$18),[1]AB3!$BA$18,IF(D182="EQUITY","",I181))))</f>
        <v/>
      </c>
      <c r="AY180" s="117">
        <f>AV180-S180</f>
        <v>0.40000000000000013</v>
      </c>
      <c r="AZ180" s="43" t="str">
        <f t="array" ref="AZ180">IF(A180="","",IF(AND(D184="5 &amp; APS",D182="Futures"),CONCATENATE([1]AB3!$AP$6,INDEX([1]AB2!L:L,MATCH(D180,[1]AB2!B:B,0)),[1]AB3!$AQ$6),IF(AND(D184="5 &amp; APS",D182="Options Sell"),CONCATENATE([1]AB3!$AP$12,INDEX([1]AB2!M:M,MATCH(D180,[1]AB2!B:B,0)),[1]AB3!$AQ$12),IF(AND(D184="5 &amp; APS",D182="Options Buy"),CONCATENATE([1]AB3!$AP$18,INDEX([1]AB2!L:L,MATCH(D180,[1]AB2!B:B,0)),[1]AB3!$AQ$18),IF(D182="EQUITY",CONCATENATE([1]AB3!$AP$24,[1]AB3!$BB$24),[1]AB3!$AR$6)))))</f>
        <v>SPT : PRV M : 10 SMA</v>
      </c>
      <c r="BA180" s="51" t="str">
        <f>IF(AND(D182="Futures",AZ180=[1]AB3!$BC$6),[1]AB3!$BC$6,IF(AND(D182="Options Sell",AZ180=[1]AB3!$BC$12),[1]AB3!$BC$12,IF(AND(D182="Options Buy",AZ180=[1]AB3!$BC$18),[1]AB3!$BC$18,IF(D182="EQUITY","",I181))))</f>
        <v/>
      </c>
      <c r="BB180" s="117">
        <f>AY180-W180</f>
        <v>0.30000000000000016</v>
      </c>
      <c r="BC180" s="53"/>
      <c r="BD180" s="118" t="str">
        <f>IF(D182="Futures",[1]AB3!$BE$6,IF(D182="Options Sell",[1]AB3!$BE$12,IF(D182="Options Buy",[1]AB3!$BE$18,IF(D182="EQUITY",[1]AB3!$BE$24))))</f>
        <v xml:space="preserve">ORPT </v>
      </c>
      <c r="BE180" s="119">
        <f>IF(D182="Futures",BE183+([1]AB3!$BF$6/1440),IF(D182="Options Sell",BE183+([1]AB3!$BF$12/1440),IF(D182="Options Buy",BE183+([1]AB3!$BF$18/1440),IF(D182="EQUITY",BE183+([1]AB3!$BF$24/1440)))))</f>
        <v>0.38888194444444446</v>
      </c>
      <c r="BF180" s="119">
        <f>IF(D182="Futures",BE183+([1]AB3!$BG$6/1440),IF(D182="Options Sell",BE183+([1]AB3!$BG$12/1440),IF(D182="Options Buy",BE183+([1]AB3!$BG$18/1440),IF(D182="EQUITY",BE183+([1]AB3!$BG$24/1440)))))</f>
        <v>0.38888194444444446</v>
      </c>
      <c r="BG180" s="119">
        <f>IF(D182="Futures",BE183+([1]AB3!$BH$6/1440),IF(D182="Options Sell",BE183+([1]AB3!$BH$12/1440),IF(D182="Options Buy",BE183+([1]AB3!$BH$18/1440),IF(D182="EQUITY",BE183+([1]AB3!$BH$24/1440)))))</f>
        <v>0.38541666666666669</v>
      </c>
      <c r="BH180" s="57"/>
      <c r="BI180" s="44">
        <f>IF(D182="Futures",[1]AB3!$BJ$6,IF(D182="Options Sell",[1]AB3!$BJ$12,IF(D182="Options Buy",[1]AB3!$BJ$18,IF(D182="EQUITY",[1]AB3!$BJ$24))))</f>
        <v>0</v>
      </c>
      <c r="BJ180" s="114" t="str">
        <f>IF(D182="Futures",[1]AB3!$BK$6,IF(D182="Options Sell",[1]AB3!$BK$12,IF(D182="Options Buy",[1]AB3!$BK$18,IF(D182="EQUITY",[1]AB3!$BK$24))))</f>
        <v>Long</v>
      </c>
      <c r="BK180" s="58">
        <v>0.01</v>
      </c>
      <c r="BL180" s="58">
        <v>0.01</v>
      </c>
      <c r="BM180" s="57"/>
      <c r="BN180" s="44">
        <f>IF(D182="Futures",[1]AB3!$BO$6,IF(D182="Options Sell",[1]AB3!$BO$12,IF(D182="Options Buy",[1]AB3!$BO$18,IF(D182="EQUITY",[1]AB3!$BO$24))))</f>
        <v>0</v>
      </c>
      <c r="BO180" s="45" t="str">
        <f>IF(D182="Futures",[1]AB3!$BP$6,IF(D182="Options Sell",[1]AB3!$BP$12,IF(D182="Options Buy",[1]AB3!$BP$18,IF(D182="EQUITY",[1]AB3!$BP$24))))</f>
        <v>Long</v>
      </c>
      <c r="BP180" s="43" t="str">
        <f t="array" ref="BP180">IF(A180="","",IF(D182="Futures","",IF(D182="EQUITY","",IF(D182="Options Sell",CONCATENATE([1]AB3!$BQ$12,INDEX([1]AB2!J:J,MATCH(A180,[1]AB2!A:A,0)),[1]AB3!$BR$12),IF(D182="Options Buy",CONCATENATE([1]AB3!$BQ$18,INDEX([1]AB2!J:J,MATCH(A180,[1]AB2!A:A,0)),[1]AB3!$BR$18))))))</f>
        <v/>
      </c>
      <c r="BQ180" s="58"/>
      <c r="BR180" s="58"/>
      <c r="BS180" s="58"/>
      <c r="BT180" s="58"/>
      <c r="BU180" s="58"/>
      <c r="BV180" s="58"/>
      <c r="BW180" s="58"/>
      <c r="BX180" s="58"/>
      <c r="BY180" s="58"/>
      <c r="BZ180" s="58"/>
      <c r="CA180" s="58"/>
      <c r="CB180" s="58"/>
      <c r="CC180" s="58"/>
      <c r="CD180" s="58"/>
      <c r="CE180" s="58"/>
      <c r="CF180" s="58"/>
      <c r="CG180" s="58"/>
      <c r="CH180" s="58"/>
      <c r="CI180" s="58"/>
      <c r="CJ180" s="58"/>
      <c r="CK180" s="59"/>
      <c r="CL180" s="43"/>
      <c r="CM180" s="43"/>
      <c r="CN180" s="59"/>
      <c r="CO180" s="43"/>
      <c r="CP180" s="43"/>
      <c r="CQ180" s="59"/>
      <c r="CR180" s="58"/>
      <c r="CS180" s="58"/>
      <c r="CT180" s="59"/>
      <c r="CU180" s="55" t="str">
        <f>IF(D182="Futures",BE184-([1]AB3!$CG$6/1440),IF(D182="Options Sell",BE184-([1]AB3!$CG$12/1440),IF(D182="Options Buy",BE184-([1]AB3!$CG$18/1440),IF(D182="EQUITY",""))))</f>
        <v/>
      </c>
      <c r="CV180" s="59"/>
      <c r="CW180" s="59"/>
    </row>
    <row r="181" spans="1:101" ht="15.75" customHeight="1" x14ac:dyDescent="0.2">
      <c r="A181" s="60"/>
      <c r="B181" s="111" t="str">
        <f>CONCATENATE(D180,IF(D182="Futures",[1]AB3!$B$7,IF(D182="Options Sell",[1]AB3!$B$13,IF(D182="Options Buy",[1]AB3!$B$19,IF(D182="EQUITY",[1]AB3!$B$25)))))</f>
        <v>S30B</v>
      </c>
      <c r="C181" s="112" t="str">
        <f>IF(D182="Futures",[1]AB3!$C$7,IF(D182="Options Sell",[1]AB3!$C$13,IF(D182="Options Buy",[1]AB3!$C$19,IF(D182="EQUITY",[1]AB3!$C$25))))</f>
        <v>Unique Code</v>
      </c>
      <c r="D181" s="49" t="str">
        <f t="array" ref="D181">IF(A180="","",INDEX([1]AB2!N:N,MATCH(D180,[1]AB2!B:B,0)))</f>
        <v>STOCKS_EQ_MCC</v>
      </c>
      <c r="E181" s="32"/>
      <c r="F181" s="120">
        <f>IF(D182="Futures",[1]AB3!$F$7,IF(D182="Options Sell",[1]AB3!$F$13,IF(D182="Options Buy",[1]AB3!$F$19,IF(D182="EQUITY",[1]AB3!$F$25))))</f>
        <v>0</v>
      </c>
      <c r="G181" s="84" t="str">
        <f t="array" ref="G181">IF(A180="","",IF(D182="Futures",CONCATENATE([1]AB3!$G$7,INDEX([1]AB2!J:J,MATCH(D180,[1]AB2!B:B,0)),[1]AB3!$H$7),IF(D182="Options Sell",CONCATENATE([1]AB3!$G$13,INDEX([1]AB2!I:I,MATCH(D180,[1]AB2!B:B,0)),[1]AB3!$H$13),IF(D182="Options Buy",CONCATENATE([1]AB3!$G$19,INDEX([1]AB2!J:J,MATCH(D180,[1]AB2!B:B,0)),[1]AB3!$H$19),IF(D182="EQUITY","")))))</f>
        <v/>
      </c>
      <c r="H181" s="43" t="str">
        <f>IF(D182="Futures",[1]AB3!$I$7,IF(D182="Options Sell",[1]AB3!$I$13,IF(D182="Options Buy",[1]AB3!$I$19,IF(D182="EQUITY",""))))</f>
        <v/>
      </c>
      <c r="I181" s="46"/>
      <c r="J181" s="47"/>
      <c r="K181" s="48"/>
      <c r="L181" s="43" t="str">
        <f>IF(D182="Futures",[1]AB3!$M$7,IF(D182="Options Sell",[1]AB3!$M$13,IF(D182="Options Buy",[1]AB3!$M$19,IF(D182="EQUITY",""))))</f>
        <v/>
      </c>
      <c r="M181" s="43" t="str">
        <f>IF(D182="Futures",[1]AB3!$N$7,IF(D182="Options Sell",[1]AB3!$N$13,IF(D182="Options Buy",[1]AB3!$N$19,IF(D182="EQUITY",""))))</f>
        <v/>
      </c>
      <c r="N181" s="58"/>
      <c r="O181" s="75"/>
      <c r="P181" s="58"/>
      <c r="Q181" s="75"/>
      <c r="R181" s="58"/>
      <c r="S181" s="75"/>
      <c r="T181" s="58"/>
      <c r="U181" s="75"/>
      <c r="V181" s="76"/>
      <c r="W181" s="75"/>
      <c r="X181" s="76"/>
      <c r="Y181" s="76"/>
      <c r="Z181" s="48"/>
      <c r="AA181" s="43" t="str">
        <f>IF(D182="Futures",[1]AB3!$AD$7,IF(D182="Options Sell",[1]AB3!$AD$13,IF(D182="Options Buy",[1]AB3!$AD$19,IF(D182="EQUITY",""))))</f>
        <v/>
      </c>
      <c r="AB181" s="43" t="str">
        <f>IF(D182="Futures",[1]AB3!$AE$7,IF(D182="Options Sell",[1]AB3!$AE$13,IF(D182="Options Buy",[1]AB3!$AE$19,IF(D182="EQUITY",""))))</f>
        <v/>
      </c>
      <c r="AC181" s="43" t="str">
        <f>IF(D182="Futures",[1]AB3!$AF$7,IF(D182="Options Sell",[1]AB3!$AF$13,IF(D182="Options Buy",[1]AB3!$AF$19,IF(D182="EQUITY",""))))</f>
        <v/>
      </c>
      <c r="AD181" s="48"/>
      <c r="AE181" s="43" t="str">
        <f>IF(D182="Futures",[1]AB3!$AH$7,IF(D182="Options Sell",[1]AB3!$AH$13,IF(D182="Options Buy",[1]AB3!$AH$19,IF(D182="EQUITY",""))))</f>
        <v/>
      </c>
      <c r="AF181" s="43" t="str">
        <f>IF(D182="Futures",[1]AB3!$AI$7,IF(D182="Options Sell",[1]AB3!$AI$13,IF(D182="Options Buy",[1]AB3!$AI$19,IF(D182="EQUITY",""))))</f>
        <v/>
      </c>
      <c r="AG181" s="58"/>
      <c r="AH181" s="58"/>
      <c r="AI181" s="48"/>
      <c r="AJ181" s="43" t="str">
        <f>IF(D182="Futures",[1]AB3!$AO$7,IF(D182="Options Sell",[1]AB3!$AO$13,IF(D182="Options Buy",[1]AB3!$AO$19,IF(D182="EQUITY",""))))</f>
        <v/>
      </c>
      <c r="AK181" s="43" t="str">
        <f t="array" ref="AK181">IF(A180="","",IF(D182="Futures",CONCATENATE([1]AB3!$AP$7,INDEX([1]AB2!M:M,MATCH(D180,[1]AB2!B:B,0)),[1]AB3!$AQ$7),IF(D182="Options Sell",CONCATENATE([1]AB3!$AP$13,INDEX([1]AB2!L:L,MATCH(D180,[1]AB2!B:B,0)),[1]AB3!$AQ$13),IF(D182="Options Buy",CONCATENATE([1]AB3!$AP$19,INDEX([1]AB2!M:M,MATCH(D180,[1]AB2!B:B,0)),[1]AB3!$AQ$19),IF(D182="EQUITY","")))))</f>
        <v/>
      </c>
      <c r="AL181" s="51" t="str">
        <f>IF(AND(D182="Futures",AK181=[1]AB3!$AS$7),[1]AB3!$AS$7,IF(AND(D182="Options Sell",AK181=[1]AB3!$AS$13),[1]AB3!$AS$13,IF(AND(D182="Options Buy",AK181=[1]AB3!$AS$19),[1]AB3!$AS$19,IF(D182="EQUITY","",I180))))</f>
        <v/>
      </c>
      <c r="AM181" s="52" t="str">
        <f>IF(D182="EQUITY","",J180)</f>
        <v/>
      </c>
      <c r="AN181" s="43" t="str">
        <f t="array" ref="AN181">IF(A180="","",IF(AND(OR(D184="1 &amp; APS",D184="2 &amp; APS",D184="3 &amp; APS",D184="4 &amp; APS",D184="5 &amp; APS"),D182="Futures"),CONCATENATE([1]AB3!$AP$7,INDEX([1]AB2!M:M,MATCH(D180,[1]AB2!B:B,0)),[1]AB3!$AQ$7),IF(AND(OR(D184="1 &amp; APS",D184="2 &amp; APS",D184="3 &amp; APS",D184="4 &amp; APS",D184="5 &amp; APS"),D182="Options Sell"),CONCATENATE([1]AB3!$AP$13,INDEX([1]AB2!L:L,MATCH(D180,[1]AB2!B:B,0)),[1]AB3!$AQ$13),IF(AND(OR(D184="1 &amp; APS",D184="2 &amp; APS",D184="3 &amp; APS",D184="4 &amp; APS",D184="5 &amp; APS"),D182="Options Buy"),CONCATENATE([1]AB3!$AP$19,INDEX([1]AB2!M:M,MATCH(D180,[1]AB2!B:B,0)),[1]AB3!$AQ$19),IF(D182="EQUITY","",[1]AB3!$AR$6)))))</f>
        <v/>
      </c>
      <c r="AO181" s="51" t="str">
        <f>IF(AND(D182="Futures",AN181=[1]AB3!$AU$7),[1]AB3!$AU$7,IF(AND(D182="Options Sell",AN181=[1]AB3!$AU$13),[1]AB3!$AU$13,IF(AND(D182="Options Buy",AN181=[1]AB3!$AU$19),[1]AB3!$AU$19,IF(D182="EQUITY","",I180))))</f>
        <v/>
      </c>
      <c r="AP181" s="52" t="str">
        <f>IF(D182="EQUITY","",AM181-O181)</f>
        <v/>
      </c>
      <c r="AQ181" s="43" t="str">
        <f t="array" ref="AQ181">IF(A180="","",IF(AND(OR(D184="2 &amp; APS",D184="3 &amp; APS",D184="4 &amp; APS",D184="5 &amp; APS"),D182="Futures"),CONCATENATE([1]AB3!$AP$7,INDEX([1]AB2!M:M,MATCH(D180,[1]AB2!B:B,0)),[1]AB3!$AQ$7),IF(AND(OR(D184="2 &amp; APS",D184="3 &amp; APS",D184="4 &amp; APS",D184="5 &amp; APS"),D182="Options Sell"),CONCATENATE([1]AB3!$AP$13,INDEX([1]AB2!L:L,MATCH(D180,[1]AB2!B:B,0)),[1]AB3!$AQ$13),IF(AND(OR(D184="2 &amp; APS",D184="3 &amp; APS",D184="4 &amp; APS",D184="5 &amp; APS"),D182="Options Buy"),CONCATENATE([1]AB3!$AP$19,INDEX([1]AB2!M:M,MATCH(D180,[1]AB2!B:B,0)),[1]AB3!$AQ$19),IF(D182="EQUITY","",[1]AB3!$AR$6)))))</f>
        <v/>
      </c>
      <c r="AR181" s="51" t="str">
        <f>IF(AND(D182="Futures",AQ181=[1]AB3!$AW$7),[1]AB3!$AW$7,IF(AND(D182="Options Sell",AQ181=[1]AB3!$AW$13),[1]AB3!$AW$13,IF(AND(D182="Options Buy",AQ181=[1]AB3!$AW$19),[1]AB3!$AW$19,IF(D182="EQUITY","",I180))))</f>
        <v/>
      </c>
      <c r="AS181" s="52" t="str">
        <f>IF(D182="EQUITY","",AP181-Q181)</f>
        <v/>
      </c>
      <c r="AT181" s="43" t="str">
        <f t="array" ref="AT181">IF(A180="","",IF(AND(OR(D184="3 &amp; APS",D184="4 &amp; APS",D184="5 &amp; APS"),D182="Futures"),CONCATENATE([1]AB3!$AP$7,INDEX([1]AB2!M:M,MATCH(D180,[1]AB2!B:B,0)),[1]AB3!$AQ$7),IF(AND(OR(D184="3 &amp; APS",D184="4 &amp; APS",D184="5 &amp; APS"),D182="Options Sell"),CONCATENATE([1]AB3!$AP$13,INDEX([1]AB2!L:L,MATCH(D180,[1]AB2!B:B,0)),[1]AB3!$AQ$13),IF(AND(OR(D184="3 &amp; APS",D184="4 &amp; APS",D184="5 &amp; APS"),D182="Options Buy"),CONCATENATE([1]AB3!$AP$19,INDEX([1]AB2!M:M,MATCH(D180,[1]AB2!B:B,0)),[1]AB3!$AQ$19),IF(D182="EQUITY","",[1]AB3!$AR$6)))))</f>
        <v/>
      </c>
      <c r="AU181" s="51" t="str">
        <f>IF(AND(D182="Futures",AT181=[1]AB3!$AY$7),[1]AB3!$AY$7,IF(AND(D182="Options Sell",AT181=[1]AB3!$AY$13),[1]AB3!$AY$13,IF(AND(D182="Options Buy",AT181=[1]AB3!$AY$19),[1]AB3!$AY$19,IF(D182="EQUITY","",I180))))</f>
        <v/>
      </c>
      <c r="AV181" s="52" t="str">
        <f>IF(D182="EQUITY","",AS181-S181)</f>
        <v/>
      </c>
      <c r="AW181" s="43" t="str">
        <f t="array" ref="AW181">IF(A180="","",IF(AND(OR(D184="4 &amp; APS",D184="5 &amp; APS"),D182="Futures"),CONCATENATE([1]AB3!$AP$7,INDEX([1]AB2!M:M,MATCH(D180,[1]AB2!B:B,0)),[1]AB3!$AQ$7),IF(AND(OR(D184="4 &amp; APS",D184="5 &amp; APS"),D182="Options Sell"),CONCATENATE([1]AB3!$AP$13,INDEX([1]AB2!L:L,MATCH(D180,[1]AB2!B:B,0)),[1]AB3!$AQ$13),IF(AND(OR(D184="4 &amp; APS",D184="5 &amp; APS"),D182="Options Buy"),CONCATENATE([1]AB3!$AP$19,INDEX([1]AB2!M:M,MATCH(D180,[1]AB2!B:B,0)),[1]AB3!$AQ$19),IF(D182="EQUITY","",[1]AB3!$AR$6)))))</f>
        <v/>
      </c>
      <c r="AX181" s="51" t="str">
        <f>IF(AND(D182="Futures",AW181=[1]AB3!$BA$7),[1]AB3!$BA$7,IF(AND(D182="Options Sell",AW181=[1]AB3!$BA$13),[1]AB3!$BA$13,IF(AND(D182="Options Buy",AW181=[1]AB3!$BA$19),[1]AB3!$BA$19,IF(D182="EQUITY","",I180))))</f>
        <v/>
      </c>
      <c r="AY181" s="52" t="str">
        <f>IF(D182="EQUITY","",AV181-S181)</f>
        <v/>
      </c>
      <c r="AZ181" s="43" t="str">
        <f t="array" ref="AZ181">IF(A180="","",IF(AND(D184="5 &amp; APS",D182="Futures"),CONCATENATE([1]AB3!$AP$7,INDEX([1]AB2!M:M,MATCH(D180,[1]AB2!B:B,0)),[1]AB3!$AQ$7),IF(AND(D184="5 &amp; APS",D182="Options Sell"),CONCATENATE([1]AB3!$AP$13,INDEX([1]AB2!L:L,MATCH(D180,[1]AB2!B:B,0)),[1]AB3!$AQ$13),IF(AND(D184="5 &amp; APS",D182="Options Buy"),CONCATENATE([1]AB3!$AP$19,INDEX([1]AB2!M:M,MATCH(D180,[1]AB2!B:B,0)),[1]AB3!$AQ$19),IF(D182="EQUITY","",[1]AB3!$AR$6)))))</f>
        <v/>
      </c>
      <c r="BA181" s="51" t="str">
        <f>IF(AND(D182="Futures",AZ181=[1]AB3!$BC$7),[1]AB3!$BC$7,IF(AND(D182="Options Sell",AZ181=[1]AB3!$BC$13),[1]AB3!$BC$13,IF(AND(D182="Options Buy",AZ181=[1]AB3!$BC$19),[1]AB3!$BC$19,IF(D182="EQUITY","",I180))))</f>
        <v/>
      </c>
      <c r="BB181" s="52" t="str">
        <f>IF(D182="EQUITY","",AY181-W181)</f>
        <v/>
      </c>
      <c r="BC181" s="53"/>
      <c r="BD181" s="118" t="str">
        <f>IF(D182="Futures",[1]AB3!$BE$7,IF(D182="Options Sell",[1]AB3!$BE$13,IF(D182="Options Buy",[1]AB3!$BE$19,IF(D182="EQUITY",[1]AB3!$BE$25))))</f>
        <v xml:space="preserve"> RC. Time</v>
      </c>
      <c r="BE181" s="119">
        <f>IF(D182="Futures",BE183+([1]AB3!$BF$7/1440),IF(D182="Options Sell",BE183+([1]AB3!$BF$13/1440),IF(D182="Options Buy",BE183+([1]AB3!$BF$19/1440),IF(D182="EQUITY",BE183+([1]AB3!$BF$25/1440)))))</f>
        <v>0.39582638888888888</v>
      </c>
      <c r="BF181" s="119">
        <f>IF(D182="Futures",BE183+([1]AB3!$BG$7/1440),IF(D182="Options Sell",BE183+([1]AB3!$BG$13/1440),IF(D182="Options Buy",BE183+([1]AB3!$BG$19/1440),IF(D182="EQUITY",BE183+([1]AB3!$BG$25/1440)))))</f>
        <v>0.39582638888888888</v>
      </c>
      <c r="BG181" s="119" t="str">
        <f>IF(D182="Futures",[1]AB3!$BH$7,IF(D182="Options Sell",[1]AB3!$BH$7,IF(D182="Options Buy",[1]AB3!$BH$7,IF(D182="EQUITY",[1]AB3!$BH$25))))</f>
        <v>N.A.</v>
      </c>
      <c r="BH181" s="57"/>
      <c r="BI181" s="32"/>
      <c r="BJ181" s="120">
        <f>IF(D182="Futures",[1]AB3!$BK$7,IF(D182="Options Sell",[1]AB3!$BK$13,IF(D182="Options Buy",[1]AB3!$BK$19,IF(D182="EQUITY",[1]AB3!$BK$25))))</f>
        <v>0</v>
      </c>
      <c r="BK181" s="58"/>
      <c r="BL181" s="58"/>
      <c r="BM181" s="57"/>
      <c r="BN181" s="32"/>
      <c r="BO181" s="61">
        <f>IF(D182="Futures",[1]AB3!$BP$7,IF(D182="Options Sell",[1]AB3!$BP$13,IF(D182="Options Buy",[1]AB3!$BP$19,IF(D182="EQUITY",[1]AB3!$BP$25))))</f>
        <v>0</v>
      </c>
      <c r="BP181" s="43" t="str">
        <f t="array" ref="BP181">IF(A180="","",IF(D182="Futures","",IF(D182="EQUITY","",IF(D182="Options Sell",CONCATENATE([1]AB3!$BQ$13,INDEX([1]AB2!I:I,MATCH(A180,[1]AB2!A:A,0)),[1]AB3!$BR$13),IF(D182="Options Buy",CONCATENATE([1]AB3!$BQ$19,INDEX([1]AB2!I:I,MATCH(A180,[1]AB2!A:A,0)),[1]AB3!$BR$19))))))</f>
        <v/>
      </c>
      <c r="BQ181" s="58"/>
      <c r="BR181" s="58"/>
      <c r="BS181" s="58"/>
      <c r="BT181" s="58"/>
      <c r="BU181" s="58"/>
      <c r="BV181" s="58"/>
      <c r="BW181" s="58"/>
      <c r="BX181" s="58"/>
      <c r="BY181" s="58"/>
      <c r="BZ181" s="58"/>
      <c r="CA181" s="58"/>
      <c r="CB181" s="58"/>
      <c r="CC181" s="58"/>
      <c r="CD181" s="58"/>
      <c r="CE181" s="58"/>
      <c r="CF181" s="58"/>
      <c r="CG181" s="58"/>
      <c r="CH181" s="58"/>
      <c r="CI181" s="58"/>
      <c r="CJ181" s="58"/>
      <c r="CK181" s="59"/>
      <c r="CL181" s="43"/>
      <c r="CM181" s="43"/>
      <c r="CN181" s="59"/>
      <c r="CO181" s="43"/>
      <c r="CP181" s="43"/>
      <c r="CQ181" s="59"/>
      <c r="CR181" s="58"/>
      <c r="CS181" s="58"/>
      <c r="CT181" s="59"/>
      <c r="CU181" s="43"/>
      <c r="CV181" s="59"/>
      <c r="CW181" s="59"/>
    </row>
    <row r="182" spans="1:101" ht="15.75" customHeight="1" x14ac:dyDescent="0.2">
      <c r="A182" s="60"/>
      <c r="B182" s="111" t="str">
        <f>CONCATENATE(D180,IF(D182="Futures",[1]AB3!$B$8,IF(D182="Options Sell",[1]AB3!$B$14,IF(D182="Options Buy",[1]AB3!$B$20,IF(D182="EQUITY",[1]AB3!$B$26)))))</f>
        <v>S30C</v>
      </c>
      <c r="C182" s="112" t="str">
        <f>IF(D182="Futures",[1]AB3!$C$8,IF(D182="Options Sell",[1]AB3!$C$14,IF(D182="Options Buy",[1]AB3!$C$20,IF(D182="EQUITY",[1]AB3!$C$26))))</f>
        <v>Segment</v>
      </c>
      <c r="D182" s="49" t="str">
        <f t="array" ref="D182">IF(A180="","",INDEX([1]AB2!C:C,MATCH(D180,[1]AB2!B:B,0)))</f>
        <v>EQUITY</v>
      </c>
      <c r="E182" s="112" t="str">
        <f>IF(D182="Futures",[1]AB3!$E$8,IF(D182="Options Sell",[1]AB3!$E$14,IF(D182="Options Buy",[1]AB3!$E$20,IF(D182="EQUITY",[1]AB3!$E$26))))</f>
        <v>Contract</v>
      </c>
      <c r="F182" s="49" t="str">
        <f t="array" ref="F182">IF(A180="","",INDEX([1]AB2!F:F,MATCH(D180,[1]AB2!B:B,0)))</f>
        <v>MCC</v>
      </c>
      <c r="G182" s="62"/>
      <c r="H182" s="62"/>
      <c r="I182" s="62"/>
      <c r="J182" s="89"/>
      <c r="K182" s="48"/>
      <c r="L182" s="62"/>
      <c r="M182" s="62"/>
      <c r="N182" s="62"/>
      <c r="O182" s="89"/>
      <c r="P182" s="62"/>
      <c r="Q182" s="89"/>
      <c r="R182" s="62"/>
      <c r="S182" s="89"/>
      <c r="T182" s="62"/>
      <c r="U182" s="89"/>
      <c r="V182" s="62"/>
      <c r="W182" s="89"/>
      <c r="X182" s="62"/>
      <c r="Y182" s="62"/>
      <c r="Z182" s="48"/>
      <c r="AA182" s="62"/>
      <c r="AB182" s="62"/>
      <c r="AC182" s="62"/>
      <c r="AD182" s="48"/>
      <c r="AE182" s="62"/>
      <c r="AF182" s="62"/>
      <c r="AG182" s="62"/>
      <c r="AH182" s="62"/>
      <c r="AI182" s="48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  <c r="BC182" s="53"/>
      <c r="BD182" s="121"/>
      <c r="BE182" s="57"/>
      <c r="BF182" s="57"/>
      <c r="BG182" s="57"/>
      <c r="BH182" s="57"/>
      <c r="BI182" s="66"/>
      <c r="BJ182" s="65"/>
      <c r="BK182" s="62"/>
      <c r="BL182" s="62"/>
      <c r="BM182" s="57"/>
      <c r="BN182" s="66"/>
      <c r="BO182" s="62"/>
      <c r="BP182" s="62"/>
      <c r="BQ182" s="62"/>
      <c r="BR182" s="62"/>
      <c r="BS182" s="62"/>
      <c r="BT182" s="62"/>
      <c r="BU182" s="62"/>
      <c r="BV182" s="62"/>
      <c r="BW182" s="62"/>
      <c r="BX182" s="62"/>
      <c r="BY182" s="62"/>
      <c r="BZ182" s="62"/>
      <c r="CA182" s="62"/>
      <c r="CB182" s="62"/>
      <c r="CC182" s="62"/>
      <c r="CD182" s="62"/>
      <c r="CE182" s="62"/>
      <c r="CF182" s="62"/>
      <c r="CG182" s="62"/>
      <c r="CH182" s="62"/>
      <c r="CI182" s="62"/>
      <c r="CJ182" s="62"/>
      <c r="CK182" s="59"/>
      <c r="CL182" s="62"/>
      <c r="CM182" s="62"/>
      <c r="CN182" s="59"/>
      <c r="CO182" s="62"/>
      <c r="CP182" s="62"/>
      <c r="CQ182" s="59"/>
      <c r="CR182" s="62"/>
      <c r="CS182" s="62"/>
      <c r="CT182" s="59"/>
      <c r="CU182" s="62"/>
      <c r="CV182" s="59"/>
      <c r="CW182" s="59"/>
    </row>
    <row r="183" spans="1:101" ht="15.75" customHeight="1" x14ac:dyDescent="0.2">
      <c r="A183" s="60"/>
      <c r="B183" s="111" t="str">
        <f>CONCATENATE(D180,IF(D182="Futures",[1]AB3!$B$9,IF(D182="Options Sell",[1]AB3!$B$15,IF(D182="Options Buy",[1]AB3!$B$21,IF(D182="EQUITY",[1]AB3!$B$27)))))</f>
        <v>S30D</v>
      </c>
      <c r="C183" s="112" t="str">
        <f>IF(D182="Futures",[1]AB3!$C$9,IF(D182="Options Sell",[1]AB3!$C$15,IF(D182="Options Buy",[1]AB3!$C$21,IF(D182="EQUITY",[1]AB3!$C$27))))</f>
        <v>Symbol</v>
      </c>
      <c r="D183" s="49" t="str">
        <f t="array" ref="D183">IF(A180="","",INDEX([1]AB2!E:E,MATCH(D180,[1]AB2!B:B,0)))</f>
        <v>STOCKS</v>
      </c>
      <c r="E183" s="113">
        <f>IF(D182="Futures",[1]AB3!$E$9,IF(D182="Options Sell",[1]AB3!$E$15,IF(D182="Options Buy",[1]AB3!$E$21,IF(D182="EQUITY",[1]AB3!$E$27))))</f>
        <v>0</v>
      </c>
      <c r="F183" s="114">
        <f>IF(D182="Futures",[1]AB3!$F$9,IF(D182="Options Sell",[1]AB3!$F$15,IF(D182="Options Buy",[1]AB3!$F$21,IF(D182="EQUITY",[1]AB3!$F$26))))</f>
        <v>0</v>
      </c>
      <c r="G183" s="84" t="str">
        <f t="array" ref="G183">IF(A180="","",IF(D182="Futures",CONCATENATE([1]AB3!$G$9,INDEX([1]AB2!J:J,MATCH(D180,[1]AB2!B:B,0)),[1]AB3!$H$9),IF(D182="Options Sell",CONCATENATE([1]AB3!$G$15,INDEX([1]AB2!I:I,MATCH(D180,[1]AB2!B:B,0)),[1]AB3!$H$15),IF(D182="Options Buy",CONCATENATE([1]AB3!$G$21,INDEX([1]AB2!J:J,MATCH(D180,[1]AB2!B:B,0)),[1]AB3!$H$21),IF(D182="EQUITY","")))))</f>
        <v/>
      </c>
      <c r="H183" s="43" t="str">
        <f>IF(D182="Futures",[1]AB3!$I$9,IF(D182="Options Sell",[1]AB3!$I$15,IF(D182="Options Buy",[1]AB3!$I$21,IF(D182="EQUITY",""))))</f>
        <v/>
      </c>
      <c r="I183" s="58"/>
      <c r="J183" s="75"/>
      <c r="K183" s="48"/>
      <c r="L183" s="43" t="str">
        <f>IF(D182="Futures",[1]AB3!$M$9,IF(D182="Options Sell",[1]AB3!$M$15,IF(D182="Options Buy",[1]AB3!$M$21,IF(D182="EQUITY",""))))</f>
        <v/>
      </c>
      <c r="M183" s="43" t="str">
        <f>IF(D182="Futures",[1]AB3!$N$9,IF(D182="Options Sell",[1]AB3!$N$15,IF(D182="Options Buy",[1]AB3!$N$21,IF(D182="EQUITY",""))))</f>
        <v/>
      </c>
      <c r="N183" s="58"/>
      <c r="O183" s="75"/>
      <c r="P183" s="58"/>
      <c r="Q183" s="75"/>
      <c r="R183" s="58"/>
      <c r="S183" s="75"/>
      <c r="T183" s="58"/>
      <c r="U183" s="75"/>
      <c r="V183" s="76"/>
      <c r="W183" s="75"/>
      <c r="X183" s="76"/>
      <c r="Y183" s="76"/>
      <c r="Z183" s="48"/>
      <c r="AA183" s="43" t="str">
        <f>IF(D182="Futures",[1]AB3!$AD$9,IF(D182="Options Sell",[1]AB3!$AD$15,IF(D182="Options Buy",[1]AB3!$AD$21,IF(D182="EQUITY",""))))</f>
        <v/>
      </c>
      <c r="AB183" s="43" t="str">
        <f>IF(D182="Futures",[1]AB3!$AE$9,IF(D182="Options Sell",[1]AB3!$AE$15,IF(D182="Options Buy",[1]AB3!$AE$21,IF(D182="EQUITY",""))))</f>
        <v/>
      </c>
      <c r="AC183" s="43" t="str">
        <f>IF(D182="Futures",[1]AB3!$AF$9,IF(D182="Options Sell",[1]AB3!$AF$15,IF(D182="Options Buy",[1]AB3!$AF$21,IF(D182="EQUITY",""))))</f>
        <v/>
      </c>
      <c r="AD183" s="48"/>
      <c r="AE183" s="43" t="str">
        <f>IF(D182="Futures",[1]AB3!$AH$9,IF(D182="Options Sell",[1]AB3!$AH$15,IF(D182="Options Buy",[1]AB3!$AH$21,IF(D182="EQUITY",""))))</f>
        <v/>
      </c>
      <c r="AF183" s="43" t="str">
        <f>IF(D182="Futures",[1]AB3!$AI$9,IF(D182="Options Sell",[1]AB3!$AI$15,IF(D182="Options Buy",[1]AB3!$AI$21,IF(D182="EQUITY",""))))</f>
        <v/>
      </c>
      <c r="AG183" s="58"/>
      <c r="AH183" s="58"/>
      <c r="AI183" s="48"/>
      <c r="AJ183" s="43" t="str">
        <f>IF(D182="Futures",[1]AB3!$AO$9,IF(D182="Options Sell",[1]AB3!$AO$15,IF(D182="Options Buy",[1]AB3!$AO$21,IF(D182="EQUITY",""))))</f>
        <v/>
      </c>
      <c r="AK183" s="43" t="str">
        <f t="array" ref="AK183">IF(A180="","",IF(D182="Futures",CONCATENATE([1]AB3!$AP$9,INDEX([1]AB2!M:M,MATCH(D180,[1]AB2!B:B,0)),[1]AB3!$AQ$9),IF(D182="Options Sell",CONCATENATE([1]AB3!$AP$15,INDEX([1]AB2!L:L,MATCH(D180,[1]AB2!B:B,0)),[1]AB3!$AQ$15),IF(D182="Options Buy",CONCATENATE([1]AB3!$AP$21,INDEX([1]AB2!M:M,MATCH(D180,[1]AB2!B:B,0)),[1]AB3!$AQ$21),IF(D182="EQUITY","")))))</f>
        <v/>
      </c>
      <c r="AL183" s="52" t="str">
        <f>IF(AND(D182="Futures",AK183=[1]AB3!$AS$9),[1]AB3!$AS$9,IF(AND(D182="Options Sell",AK183=[1]AB3!$AS$15),[1]AB3!$AS$15,IF(AND(D182="Options Buy",AK183=[1]AB3!$AS$21),[1]AB3!$AS$21,IF(D182="EQUITY","",I184))))</f>
        <v/>
      </c>
      <c r="AM183" s="52">
        <f>J184</f>
        <v>0</v>
      </c>
      <c r="AN183" s="43" t="str">
        <f t="array" ref="AN183">IF(A180="","",IF(AND(OR(D184="1 &amp; APS",D184="2 &amp; APS",D184="3 &amp; APS",D184="4 &amp; APS",D184="5 &amp; APS"),D182="Futures"),CONCATENATE([1]AB3!$AP$9,INDEX([1]AB2!M:M,MATCH(D180,[1]AB2!B:B,0)),[1]AB3!$AQ$9),IF(AND(OR(D184="1 &amp; APS",D184="2 &amp; APS",D184="3 &amp; APS",D184="4 &amp; APS",D184="5 &amp; APS"),D182="Options Sell"),CONCATENATE([1]AB3!$AP$15,INDEX([1]AB2!L:L,MATCH(D180,[1]AB2!B:B,0)),[1]AB3!$AQ$15),IF(AND(OR(D184="1 &amp; APS",D184="2 &amp; APS",D184="3 &amp; APS",D184="4 &amp; APS",D184="5 &amp; APS"),D182="Options Buy"),CONCATENATE([1]AB3!$AP$21,INDEX([1]AB2!M:M,MATCH(D180,[1]AB2!B:B,0)),[1]AB3!$AQ$21),IF(D182="EQUITY","",[1]AB3!$AR$6)))))</f>
        <v/>
      </c>
      <c r="AO183" s="52" t="str">
        <f>IF(AND(D182="Futures",AN183=[1]AB3!$AU$9),[1]AB3!$AU$9,IF(AND(D182="Options Sell",AN183=[1]AB3!$AU$15),[1]AB3!$AU$15,IF(AND(D182="Options Buy",AN183=[1]AB3!$AU$21),[1]AB3!$AU$21,IF(D182="EQUITY","",I184))))</f>
        <v/>
      </c>
      <c r="AP183" s="52" t="str">
        <f>IF(D182="EQUITY","",AM183-O183)</f>
        <v/>
      </c>
      <c r="AQ183" s="43" t="str">
        <f t="array" ref="AQ183">IF(A180="","",IF(AND(OR(D184="2 &amp; APS",D184="3 &amp; APS",D184="4 &amp; APS",D184="5 &amp; APS"),D182="Futures"),CONCATENATE([1]AB3!$AP$9,INDEX([1]AB2!M:M,MATCH(D180,[1]AB2!B:B,0)),[1]AB3!$AQ$9),IF(AND(OR(D184="2 &amp; APS",D184="3 &amp; APS",D184="4 &amp; APS",D184="5 &amp; APS"),D182="Options Sell"),CONCATENATE([1]AB3!$AP$15,INDEX([1]AB2!L:L,MATCH(D180,[1]AB2!B:B,0)),[1]AB3!$AQ$15),IF(AND(OR(D184="2 &amp; APS",D184="3 &amp; APS",D184="4 &amp; APS",D184="5 &amp; APS"),D182="Options Buy"),CONCATENATE([1]AB3!$AP$21,INDEX([1]AB2!M:M,MATCH(D180,[1]AB2!B:B,0)),[1]AB3!$AQ$21),IF(D182="EQUITY","",[1]AB3!$AR$6)))))</f>
        <v/>
      </c>
      <c r="AR183" s="52" t="str">
        <f>IF(AND(D182="Futures",AQ183=[1]AB3!$AW$9),[1]AB3!$AW$9,IF(AND(D182="Options Sell",AQ183=[1]AB3!$AW$15),[1]AB3!$AW$15,IF(AND(D182="Options Buy",AQ183=[1]AB3!$AW$21),[1]AB3!$AW$21,IF(D182="EQUITY","",I184))))</f>
        <v/>
      </c>
      <c r="AS183" s="52" t="str">
        <f>IF(D182="EQUITY","",AP183-Q183)</f>
        <v/>
      </c>
      <c r="AT183" s="43" t="str">
        <f t="array" ref="AT183">IF(A180="","",IF(AND(OR(D184="3 &amp; APS",D184="4 &amp; APS",D184="5 &amp; APS"),D182="Futures"),CONCATENATE([1]AB3!$AP$9,INDEX([1]AB2!M:M,MATCH(D180,[1]AB2!B:B,0)),[1]AB3!$AQ$9),IF(AND(OR(D184="3 &amp; APS",D184="4 &amp; APS",D184="5 &amp; APS"),D182="Options Sell"),CONCATENATE([1]AB3!$AP$15,INDEX([1]AB2!L:L,MATCH(D180,[1]AB2!B:B,0)),[1]AB3!$AQ$15),IF(AND(OR(D184="3 &amp; APS",D184="4 &amp; APS",D184="5 &amp; APS"),D182="Options Buy"),CONCATENATE([1]AB3!$AP$21,INDEX([1]AB2!M:M,MATCH(D180,[1]AB2!B:B,0)),[1]AB3!$AQ$21),IF(D182="EQUITY","",[1]AB3!$AR$6)))))</f>
        <v/>
      </c>
      <c r="AU183" s="52" t="str">
        <f>IF(AND(D182="Futures",AT183=[1]AB3!$AY$9),[1]AB3!$AY$9,IF(AND(D182="Options Sell",AT183=[1]AB3!$AY$15),[1]AB3!$AY$15,IF(AND(D182="Options Buy",AT183=[1]AB3!$AY$21),[1]AB3!$AY$21,IF(D182="EQUITY","",I184))))</f>
        <v/>
      </c>
      <c r="AV183" s="52" t="str">
        <f>IF(D182="EQUITY","",AS183-S183)</f>
        <v/>
      </c>
      <c r="AW183" s="43" t="str">
        <f t="array" ref="AW183">IF(A180="","",IF(AND(OR(D184="4 &amp; APS",D184="5 &amp; APS"),D182="Futures"),CONCATENATE([1]AB3!$AP$9,INDEX([1]AB2!M:M,MATCH(D180,[1]AB2!B:B,0)),[1]AB3!$AQ$9),IF(AND(OR(D184="4 &amp; APS",D184="5 &amp; APS"),D182="Options Sell"),CONCATENATE([1]AB3!$AP$15,INDEX([1]AB2!L:L,MATCH(D180,[1]AB2!B:B,0)),[1]AB3!$AQ$15),IF(AND(OR(D184="4 &amp; APS",D184="5 &amp; APS"),D182="Options Buy"),CONCATENATE([1]AB3!$AP$21,INDEX([1]AB2!M:M,MATCH(D180,[1]AB2!B:B,0)),[1]AB3!$AQ$21),IF(D182="EQUITY","",[1]AB3!$AR$6)))))</f>
        <v/>
      </c>
      <c r="AX183" s="52" t="str">
        <f>IF(AND(D182="Futures",AW183=[1]AB3!$BA$9),[1]AB3!$BA$9,IF(AND(D182="Options Sell",AW183=[1]AB3!$BA$15),[1]AB3!$BA$15,IF(AND(D182="Options Buy",AW183=[1]AB3!$BA$21),[1]AB3!$BA$21,IF(D182="EQUITY","",I184))))</f>
        <v/>
      </c>
      <c r="AY183" s="52" t="str">
        <f>IF(D182="EQUITY","",AV183-S183)</f>
        <v/>
      </c>
      <c r="AZ183" s="43" t="str">
        <f t="array" ref="AZ183">IF(A180="","",IF(AND(D184="5 &amp; APS",D182="Futures"),CONCATENATE([1]AB3!$AP$9,INDEX([1]AB2!M:M,MATCH(D180,[1]AB2!B:B,0)),[1]AB3!$AQ$9),IF(AND(D184="5 &amp; APS",D182="Options Sell"),CONCATENATE([1]AB3!$AP$15,INDEX([1]AB2!L:L,MATCH(D180,[1]AB2!B:B,0)),[1]AB3!$AQ$15),IF(AND(D184="5 &amp; APS",D182="Options Buy"),CONCATENATE([1]AB3!$AP$21,INDEX([1]AB2!M:M,MATCH(D180,[1]AB2!B:B,0)),[1]AB3!$AQ$21),IF(D182="EQUITY","",[1]AB3!$AR$6)))))</f>
        <v/>
      </c>
      <c r="BA183" s="52" t="str">
        <f>IF(AND(D182="Futures",AZ183=[1]AB3!$BC$9),[1]AB3!$BC$9,IF(AND(D182="Options Sell",AZ183=[1]AB3!$BC$15),[1]AB3!$BC$15,IF(AND(D182="Options Buy",AZ183=[1]AB3!$BC$21),[1]AB3!$BC$21,IF(D182="EQUITY","",I184))))</f>
        <v/>
      </c>
      <c r="BB183" s="52" t="str">
        <f>IF(D182="EQUITY","",AY183-W183)</f>
        <v/>
      </c>
      <c r="BC183" s="53"/>
      <c r="BD183" s="118" t="str">
        <f>IF(D182="Futures",[1]AB3!$BE$9,IF(D182="Options Sell",[1]AB3!$BE$15,IF(D182="Options Buy",[1]AB3!$BE$21,IF(D182="EQUITY",[1]AB3!$BE$27))))</f>
        <v>Market Start Time</v>
      </c>
      <c r="BE183" s="67">
        <f t="array" ref="BE183">IF(D180="","",INDEX([1]AB2!AG:AG,MATCH(D180,[1]AB2!B:B,0)))</f>
        <v>0.38541666666666669</v>
      </c>
      <c r="BF183" s="11"/>
      <c r="BG183" s="12"/>
      <c r="BH183" s="57"/>
      <c r="BI183" s="68">
        <f>IF(D182="Futures",[1]AB3!$BJ$9,IF(D182="Options Sell",[1]AB3!$BJ$15,IF(D182="Options Buy",[1]AB3!$BJ$21,IF(D182="EQUITY",[1]AB3!$BJ$27))))</f>
        <v>0</v>
      </c>
      <c r="BJ183" s="114">
        <f>IF(D182="Futures",[1]AB3!$BK$9,IF(D182="Options Sell",[1]AB3!$BK$15,IF(D182="Options Buy",[1]AB3!$BK$21,IF(D182="EQUITY",[1]AB3!$BK$27))))</f>
        <v>0</v>
      </c>
      <c r="BK183" s="58"/>
      <c r="BL183" s="58"/>
      <c r="BM183" s="57"/>
      <c r="BN183" s="68">
        <f>IF(D182="Futures",[1]AB3!$BO$9,IF(D182="Options Sell",[1]AB3!$BO$15,IF(D182="Options Buy",[1]AB3!$BO$21,IF(D182="EQUITY",[1]AB3!$BO$27))))</f>
        <v>0</v>
      </c>
      <c r="BO183" s="45">
        <f>IF(D182="Futures",[1]AB3!$BP$9,IF(D182="Options Sell",[1]AB3!$BP$15,IF(D182="Options Buy",[1]AB3!$BP$21,IF(D182="EQUITY",[1]AB3!$BP$27))))</f>
        <v>0</v>
      </c>
      <c r="BP183" s="43" t="str">
        <f t="array" ref="BP183">IF(A180="","",IF(D182="Futures","",IF(D182="EQUITY","",IF(D182="Options Sell",CONCATENATE([1]AB3!$BQ$15,INDEX([1]AB2!I:I,MATCH(A180,[1]AB2!A:A,0)),[1]AB3!$BR$15),IF(D182="Options Buy",CONCATENATE([1]AB3!$BQ$21,INDEX([1]AB2!I:I,MATCH(A180,[1]AB2!A:A,0)),[1]AB3!$BR$21))))))</f>
        <v/>
      </c>
      <c r="BQ183" s="58"/>
      <c r="BR183" s="58"/>
      <c r="BS183" s="58"/>
      <c r="BT183" s="58"/>
      <c r="BU183" s="58"/>
      <c r="BV183" s="58"/>
      <c r="BW183" s="58"/>
      <c r="BX183" s="58"/>
      <c r="BY183" s="58"/>
      <c r="BZ183" s="58"/>
      <c r="CA183" s="58"/>
      <c r="CB183" s="58"/>
      <c r="CC183" s="58"/>
      <c r="CD183" s="58"/>
      <c r="CE183" s="58"/>
      <c r="CF183" s="58"/>
      <c r="CG183" s="58"/>
      <c r="CH183" s="58"/>
      <c r="CI183" s="58"/>
      <c r="CJ183" s="58"/>
      <c r="CK183" s="59"/>
      <c r="CL183" s="43"/>
      <c r="CM183" s="43"/>
      <c r="CN183" s="59"/>
      <c r="CO183" s="43"/>
      <c r="CP183" s="43"/>
      <c r="CQ183" s="59"/>
      <c r="CR183" s="58"/>
      <c r="CS183" s="58"/>
      <c r="CT183" s="59"/>
      <c r="CU183" s="43"/>
      <c r="CV183" s="59"/>
      <c r="CW183" s="59"/>
    </row>
    <row r="184" spans="1:101" ht="15.75" customHeight="1" x14ac:dyDescent="0.2">
      <c r="A184" s="32"/>
      <c r="B184" s="111" t="str">
        <f>CONCATENATE(D180,IF(D182="Futures",[1]AB3!$B$10,IF(D182="Options Sell",[1]AB3!$B$16,IF(D182="Options Buy",[1]AB3!$B$22,IF(D182="EQUITY",[1]AB3!$B$28)))))</f>
        <v>S30E</v>
      </c>
      <c r="C184" s="112" t="str">
        <f>IF(D182="Futures",[1]AB3!$C$10,IF(D182="Options Sell",[1]AB3!$C$16,IF(D182="Options Buy",[1]AB3!$C$22,IF(D182="EQUITY",[1]AB3!$C$28))))</f>
        <v>No. of Targets</v>
      </c>
      <c r="D184" s="49" t="str">
        <f t="array" ref="D184">IF(A180="","",INDEX([1]AB2!K:K,MATCH(D180,[1]AB2!B:B,0)))</f>
        <v>5 &amp; APS</v>
      </c>
      <c r="E184" s="32"/>
      <c r="F184" s="120">
        <f>IF(D182="Futures",[1]AB3!$F$10,IF(D182="Options Sell",[1]AB3!$F$16,IF(D182="Options Buy",[1]AB3!$F$22,IF(D182="EQUITY",[1]AB3!$F$27))))</f>
        <v>0</v>
      </c>
      <c r="G184" s="84" t="str">
        <f t="array" ref="G184">(IF(A180="","",IF(D182="Futures",CONCATENATE([1]AB3!$G$10,INDEX([1]AB2!I:I,MATCH(D180,[1]AB2!B:B,0)),[1]AB3!$H$10),IF(D182="Options Sell",CONCATENATE([1]AB3!$G$16,INDEX([1]AB2!J:J,MATCH(D180,[1]AB2!B:B,0)),[1]AB3!$H$16),IF(D182="Options Buy",CONCATENATE([1]AB3!$G$22,INDEX([1]AB2!I:I,MATCH(D180,[1]AB2!B:B,0)),[1]AB3!$H$22),IF(D182="EQUITY",""))))))</f>
        <v/>
      </c>
      <c r="H184" s="43" t="str">
        <f>IF(D182="Futures",[1]AB3!$I$10,IF(D182="Options Sell",[1]AB3!$I$16,IF(D182="Options Buy",[1]AB3!$I$22,IF(D182="EQUITY",""))))</f>
        <v/>
      </c>
      <c r="I184" s="58"/>
      <c r="J184" s="75"/>
      <c r="K184" s="48"/>
      <c r="L184" s="43" t="str">
        <f>IF(D182="Futures",[1]AB3!$M$10,IF(D182="Options Sell",[1]AB3!$M$16,IF(D182="Options Buy",[1]AB3!$M$22,IF(D182="EQUITY",""))))</f>
        <v/>
      </c>
      <c r="M184" s="43" t="str">
        <f>IF(D182="Futures",[1]AB3!$N$10,IF(D182="Options Sell",[1]AB3!$N$16,IF(D182="Options Buy",[1]AB3!$N$22,IF(D182="EQUITY",""))))</f>
        <v/>
      </c>
      <c r="N184" s="58"/>
      <c r="O184" s="75"/>
      <c r="P184" s="58"/>
      <c r="Q184" s="75"/>
      <c r="R184" s="58"/>
      <c r="S184" s="75"/>
      <c r="T184" s="58"/>
      <c r="U184" s="75"/>
      <c r="V184" s="76"/>
      <c r="W184" s="75"/>
      <c r="X184" s="76"/>
      <c r="Y184" s="76"/>
      <c r="Z184" s="48"/>
      <c r="AA184" s="43" t="str">
        <f>IF(D182="Futures",[1]AB3!$AD$10,IF(D182="Options Sell",[1]AB3!$AD$16,IF(D182="Options Buy",[1]AB3!$AD$22,IF(D182="EQUITY",""))))</f>
        <v/>
      </c>
      <c r="AB184" s="43" t="str">
        <f>IF(D182="Futures",[1]AB3!$AE$10,IF(D182="Options Sell",[1]AB3!$AE$16,IF(D182="Options Buy",[1]AB3!$AE$22,IF(D182="EQUITY",""))))</f>
        <v/>
      </c>
      <c r="AC184" s="43" t="str">
        <f>IF(D182="Futures",[1]AB3!$AF$10,IF(D182="Options Sell",[1]AB3!$AF$16,IF(D182="Options Buy",[1]AB3!$AF$22,IF(D182="EQUITY",""))))</f>
        <v/>
      </c>
      <c r="AD184" s="48"/>
      <c r="AE184" s="43" t="str">
        <f>IF(D182="Futures",[1]AB3!$AH$10,IF(D182="Options Sell",[1]AB3!$AH$16,IF(D182="Options Buy",[1]AB3!$AH$22,IF(D182="EQUITY",""))))</f>
        <v/>
      </c>
      <c r="AF184" s="43" t="str">
        <f>IF(D182="Futures",[1]AB3!$AI$10,IF(D182="Options Sell",[1]AB3!$AI$16,IF(D182="Options Buy",[1]AB3!$AI$22,IF(D182="EQUITY",""))))</f>
        <v/>
      </c>
      <c r="AG184" s="58"/>
      <c r="AH184" s="58"/>
      <c r="AI184" s="48"/>
      <c r="AJ184" s="43" t="str">
        <f>IF(D182="Futures",[1]AB3!$AO$10,IF(D182="Options Sell",[1]AB3!$AO$16,IF(D182="Options Buy",[1]AB3!$AO$22,IF(D182="EQUITY",""))))</f>
        <v/>
      </c>
      <c r="AK184" s="43" t="str">
        <f t="array" ref="AK184">IF(A180="","",IF(D182="Futures",CONCATENATE([1]AB3!$AP$10,INDEX([1]AB2!L:L,MATCH(D180,[1]AB2!B:B,0)),[1]AB3!$AQ$10),IF(D182="Options Sell",CONCATENATE([1]AB3!$AP$16,INDEX([1]AB2!M:M,MATCH(D180,[1]AB2!B:B,0)),[1]AB3!$AQ$16),IF(D182="Options Buy",CONCATENATE([1]AB3!$AP$22,INDEX([1]AB2!L:L,MATCH(D180,[1]AB2!B:B,0)),[1]AB3!$AQ$22),IF(D182="EQUITY","")))))</f>
        <v/>
      </c>
      <c r="AL184" s="52" t="str">
        <f>IF(AND(D182="Futures",AK184=[1]AB3!$AS$10),[1]AB3!$AS$10,IF(AND(D182="Options Sell",AK184=[1]AB3!$AS$16),[1]AB3!$AS$16,IF(AND(D182="Options Buy",AK184=[1]AB3!$AS$22),[1]AB3!$AS$22,IF(D182="EQUITY","",I183))))</f>
        <v/>
      </c>
      <c r="AM184" s="52">
        <f>J183</f>
        <v>0</v>
      </c>
      <c r="AN184" s="43" t="str">
        <f t="array" ref="AN184">IF(A180="","",IF(AND(OR(D184="1 &amp; APS",D184="2 &amp; APS",D184="3 &amp; APS",D184="4 &amp; APS",D184="5 &amp; APS"),D182="Futures"),CONCATENATE([1]AB3!$AP$10,INDEX([1]AB2!L:L,MATCH(D180,[1]AB2!B:B,0)),[1]AB3!$AQ$10),IF(AND(OR(D184="1 &amp; APS",D184="2 &amp; APS",D184="3 &amp; APS",D184="4 &amp; APS",D184="5 &amp; APS"),D182="Options Sell"),CONCATENATE([1]AB3!$AP$16,INDEX([1]AB2!M:M,MATCH(D180,[1]AB2!B:B,0)),[1]AB3!$AQ$16),IF(AND(OR(D184="1 &amp; APS",D184="2 &amp; APS",D184="3 &amp; APS",D184="4 &amp; APS",D184="5 &amp; APS"),D182="Options Buy"),CONCATENATE([1]AB3!$AP$22,INDEX([1]AB2!L:L,MATCH(D180,[1]AB2!B:B,0)),[1]AB3!$AQ$22),IF(D182="EQUITY","",[1]AB3!$AR$6)))))</f>
        <v/>
      </c>
      <c r="AO184" s="52" t="str">
        <f>IF(AND(D182="Futures",AN184=[1]AB3!$AU$10),[1]AB3!$AU$10,IF(AND(D182="Options Sell",AN184=[1]AB3!$AU$16),[1]AB3!$AU$16,IF(AND(D182="Options Buy",AN184=[1]AB3!$AU$22),[1]AB3!$AU$22,IF(D182="EQUITY","",I183))))</f>
        <v/>
      </c>
      <c r="AP184" s="52" t="str">
        <f>IF(D182="EQUITY","",AM184-O184)</f>
        <v/>
      </c>
      <c r="AQ184" s="43" t="str">
        <f t="array" ref="AQ184">IF(A180="","",IF(AND(OR(D184="2 &amp; APS",D184="3 &amp; APS",D184="4 &amp; APS",D184="5 &amp; APS"),D182="Futures"),CONCATENATE([1]AB3!$AP$10,INDEX([1]AB2!L:L,MATCH(D180,[1]AB2!B:B,0)),[1]AB3!$AQ$10),IF(AND(OR(D184="2 &amp; APS",D184="3 &amp; APS",D184="4 &amp; APS",D184="5 &amp; APS"),D182="Options Sell"),CONCATENATE([1]AB3!$AP$16,INDEX([1]AB2!M:M,MATCH(D180,[1]AB2!B:B,0)),[1]AB3!$AQ$16),IF(AND(OR(D184="2 &amp; APS",D184="3 &amp; APS",D184="4 &amp; APS",D184="5 &amp; APS"),D182="Options Buy"),CONCATENATE([1]AB3!$AP$22,INDEX([1]AB2!L:L,MATCH(D180,[1]AB2!B:B,0)),[1]AB3!$AQ$22),IF(D182="EQUITY","",[1]AB3!$AR$6)))))</f>
        <v/>
      </c>
      <c r="AR184" s="52" t="str">
        <f>IF(AND(D182="Futures",AQ184=[1]AB3!$AW$10),[1]AB3!$AW$10,IF(AND(D182="Options Sell",AQ184=[1]AB3!$AW$16),[1]AB3!$AW$16,IF(AND(D182="Options Buy",AQ184=[1]AB3!$AW$22),[1]AB3!$AW$22,IF(D182="EQUITY","",I183))))</f>
        <v/>
      </c>
      <c r="AS184" s="52" t="str">
        <f>IF(D182="EQUITY","",AP184-Q184)</f>
        <v/>
      </c>
      <c r="AT184" s="43" t="str">
        <f t="array" ref="AT184">IF(A180="","",IF(AND(OR(D184="3 &amp; APS",D184="4 &amp; APS",D184="5 &amp; APS"),D182="Futures"),CONCATENATE([1]AB3!$AP$10,INDEX([1]AB2!L:L,MATCH(D180,[1]AB2!B:B,0)),[1]AB3!$AQ$10),IF(AND(OR(D184="3 &amp; APS",D184="4 &amp; APS",D184="5 &amp; APS"),D182="Options Sell"),CONCATENATE([1]AB3!$AP$16,INDEX([1]AB2!M:M,MATCH(D180,[1]AB2!B:B,0)),[1]AB3!$AQ$16),IF(AND(OR(D184="3 &amp; APS",D184="4 &amp; APS",D184="5 &amp; APS"),D182="Options Buy"),CONCATENATE([1]AB3!$AP$22,INDEX([1]AB2!L:L,MATCH(D180,[1]AB2!B:B,0)),[1]AB3!$AQ$22),IF(D182="EQUITY","",[1]AB3!$AR$6)))))</f>
        <v/>
      </c>
      <c r="AU184" s="52" t="str">
        <f>IF(AND(D182="Futures",AT184=[1]AB3!$AY$10),[1]AB3!$AY$10,IF(AND(D182="Options Sell",AT184=[1]AB3!$AY$16),[1]AB3!$AY$16,IF(AND(D182="Options Buy",AT184=[1]AB3!$AY$22),[1]AB3!$AY$22,IF(D182="EQUITY","",I183))))</f>
        <v/>
      </c>
      <c r="AV184" s="52" t="str">
        <f>IF(D182="EQUITY","",AS184-S184)</f>
        <v/>
      </c>
      <c r="AW184" s="43" t="str">
        <f t="array" ref="AW184">IF(A180="","",IF(AND(OR(D184="4 &amp; APS",D184="5 &amp; APS"),D182="Futures"),CONCATENATE([1]AB3!$AP$10,INDEX([1]AB2!L:L,MATCH(D180,[1]AB2!B:B,0)),[1]AB3!$AQ$10),IF(AND(OR(D184="4 &amp; APS",D184="5 &amp; APS"),D182="Options Sell"),CONCATENATE([1]AB3!$AP$16,INDEX([1]AB2!M:M,MATCH(D180,[1]AB2!B:B,0)),[1]AB3!$AQ$16),IF(AND(OR(D184="4 &amp; APS",D184="5 &amp; APS"),D182="Options Buy"),CONCATENATE([1]AB3!$AP$22,INDEX([1]AB2!L:L,MATCH(D180,[1]AB2!B:B,0)),[1]AB3!$AQ$22),IF(D182="EQUITY","",[1]AB3!$AR$6)))))</f>
        <v/>
      </c>
      <c r="AX184" s="52" t="str">
        <f>IF(AND(D182="Futures",AW184=[1]AB3!$BA$10),[1]AB3!$BA$10,IF(AND(D182="Options Sell",AW184=[1]AB3!$BA$16),[1]AB3!$BA$16,IF(AND(D182="Options Buy",AW184=[1]AB3!$BA$22),[1]AB3!$BA$22,IF(D182="EQUITY","",I183))))</f>
        <v/>
      </c>
      <c r="AY184" s="52" t="str">
        <f>IF(D182="EQUITY","",AV184-S184)</f>
        <v/>
      </c>
      <c r="AZ184" s="43" t="str">
        <f t="array" ref="AZ184">IF(A180="","",IF(AND(D184="5 &amp; APS",D182="Futures"),CONCATENATE([1]AB3!$AP$10,INDEX([1]AB2!L:L,MATCH(D180,[1]AB2!B:B,0)),[1]AB3!$AQ$10),IF(AND(D184="5 &amp; APS",D182="Options Sell"),CONCATENATE([1]AB3!$AP$16,INDEX([1]AB2!M:M,MATCH(D180,[1]AB2!B:B,0)),[1]AB3!$AQ$16),IF(AND(D184="5 &amp; APS",D182="Options Buy"),CONCATENATE([1]AB3!$AP$22,INDEX([1]AB2!L:L,MATCH(D180,[1]AB2!B:B,0)),[1]AB3!$AQ$22),IF(D182="EQUITY","",[1]AB3!$AR$6)))))</f>
        <v/>
      </c>
      <c r="BA184" s="52" t="str">
        <f>IF(AND(D182="Futures",AZ184=[1]AB3!$BC$10),[1]AB3!$BC$10,IF(AND(D182="Options Sell",AZ184=[1]AB3!$BC$16),[1]AB3!$BC$16,IF(AND(D182="Options Buy",AZ184=[1]AB3!$BC$22),[1]AB3!$BC$22,IF(D182="EQUITY","",I183))))</f>
        <v/>
      </c>
      <c r="BB184" s="52" t="str">
        <f>IF(D182="EQUITY","",AY184-W184)</f>
        <v/>
      </c>
      <c r="BC184" s="53"/>
      <c r="BD184" s="118" t="str">
        <f>IF(D182="Futures",[1]AB3!$BE$10,IF(D182="Options Sell",[1]AB3!$BE$16,IF(D182="Options Buy",[1]AB3!$BE$22,IF(D182="EQUITY",[1]AB3!$BE$28))))</f>
        <v>Market End Time</v>
      </c>
      <c r="BE184" s="67">
        <f t="array" ref="BE184">IF(D180="","",INDEX([1]AB2!AH:AH,MATCH(D180,[1]AB2!B:B,0)))</f>
        <v>0.64583333333333337</v>
      </c>
      <c r="BF184" s="11"/>
      <c r="BG184" s="12"/>
      <c r="BH184" s="57"/>
      <c r="BI184" s="32"/>
      <c r="BJ184" s="120">
        <f>IF(D182="Futures",[1]AB3!$BK$10,IF(D182="Options Sell",[1]AB3!$BK$16,IF(D182="Options Buy",[1]AB3!$BK$22,IF(D182="EQUITY",[1]AB3!$BK$28))))</f>
        <v>0</v>
      </c>
      <c r="BK184" s="58"/>
      <c r="BL184" s="58"/>
      <c r="BM184" s="57"/>
      <c r="BN184" s="32"/>
      <c r="BO184" s="61">
        <f>IF(D182="Futures",[1]AB3!$BP$10,IF(D182="Options Sell",[1]AB3!$BP$16,IF(D182="Options Buy",[1]AB3!$BP$22,IF(D182="EQUITY",[1]AB3!$BP$28))))</f>
        <v>0</v>
      </c>
      <c r="BP184" s="43" t="str">
        <f t="array" ref="BP184">IF(A180="","",IF(D182="Futures","",IF(D182="EQUITY","",IF(D182="Options Sell",CONCATENATE([1]AB3!$BQ$16,INDEX([1]AB2!J:J,MATCH(A180,[1]AB2!A:A,0)),[1]AB3!$BR$16),IF(D182="Options Buy",CONCATENATE([1]AB3!$BQ$22,INDEX([1]AB2!J:J,MATCH(A180,[1]AB2!A:A,0)),[1]AB3!$BR$22))))))</f>
        <v/>
      </c>
      <c r="BQ184" s="58"/>
      <c r="BR184" s="58"/>
      <c r="BS184" s="58"/>
      <c r="BT184" s="58"/>
      <c r="BU184" s="58"/>
      <c r="BV184" s="58"/>
      <c r="BW184" s="58"/>
      <c r="BX184" s="58"/>
      <c r="BY184" s="58"/>
      <c r="BZ184" s="58"/>
      <c r="CA184" s="58"/>
      <c r="CB184" s="58"/>
      <c r="CC184" s="58"/>
      <c r="CD184" s="58"/>
      <c r="CE184" s="58"/>
      <c r="CF184" s="58"/>
      <c r="CG184" s="58"/>
      <c r="CH184" s="58"/>
      <c r="CI184" s="58"/>
      <c r="CJ184" s="58"/>
      <c r="CK184" s="59"/>
      <c r="CL184" s="43"/>
      <c r="CM184" s="43"/>
      <c r="CN184" s="59"/>
      <c r="CO184" s="43"/>
      <c r="CP184" s="43"/>
      <c r="CQ184" s="59"/>
      <c r="CR184" s="58"/>
      <c r="CS184" s="58"/>
      <c r="CT184" s="59"/>
      <c r="CU184" s="43"/>
      <c r="CV184" s="59"/>
      <c r="CW184" s="59"/>
    </row>
    <row r="185" spans="1:101" ht="15.75" customHeight="1" x14ac:dyDescent="0.2">
      <c r="A185" s="1"/>
      <c r="B185" s="2"/>
      <c r="C185" s="2"/>
      <c r="D185" s="2"/>
      <c r="E185" s="2"/>
      <c r="F185" s="2"/>
      <c r="G185" s="2"/>
      <c r="H185" s="2"/>
      <c r="I185" s="2"/>
      <c r="J185" s="3"/>
      <c r="K185" s="2"/>
      <c r="L185" s="2"/>
      <c r="M185" s="2"/>
      <c r="N185" s="2"/>
      <c r="O185" s="2"/>
      <c r="P185" s="2"/>
      <c r="Q185" s="69"/>
      <c r="R185" s="69"/>
      <c r="S185" s="70"/>
      <c r="T185" s="70"/>
      <c r="U185" s="2"/>
      <c r="V185" s="2"/>
      <c r="W185" s="2"/>
      <c r="X185" s="2"/>
      <c r="Y185" s="2"/>
      <c r="Z185" s="2"/>
      <c r="AA185" s="20"/>
      <c r="AB185" s="71"/>
      <c r="AC185" s="71"/>
      <c r="AD185" s="2"/>
      <c r="AE185" s="70"/>
      <c r="AF185" s="70"/>
      <c r="AG185" s="70"/>
      <c r="AH185" s="70"/>
      <c r="AI185" s="2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0"/>
      <c r="AX185" s="70"/>
      <c r="AY185" s="70"/>
      <c r="AZ185" s="70"/>
      <c r="BA185" s="70"/>
      <c r="BB185" s="70"/>
      <c r="BC185" s="70"/>
      <c r="BD185" s="70"/>
      <c r="BE185" s="70"/>
      <c r="BF185" s="70"/>
      <c r="BG185" s="70"/>
      <c r="BH185" s="70"/>
      <c r="BI185" s="70"/>
      <c r="BJ185" s="70"/>
      <c r="BK185" s="70"/>
      <c r="BL185" s="70"/>
      <c r="BM185" s="70"/>
      <c r="BN185" s="70"/>
      <c r="BO185" s="70"/>
      <c r="BP185" s="70"/>
      <c r="BQ185" s="70"/>
      <c r="BR185" s="70"/>
      <c r="BS185" s="70"/>
      <c r="BT185" s="70"/>
      <c r="BU185" s="70"/>
      <c r="BV185" s="70"/>
      <c r="BW185" s="70"/>
      <c r="BX185" s="70"/>
      <c r="BY185" s="70"/>
      <c r="BZ185" s="70"/>
      <c r="CA185" s="70"/>
      <c r="CB185" s="70"/>
      <c r="CC185" s="70"/>
      <c r="CD185" s="70"/>
      <c r="CE185" s="70"/>
      <c r="CF185" s="70"/>
      <c r="CG185" s="70"/>
      <c r="CH185" s="70"/>
      <c r="CI185" s="70"/>
      <c r="CJ185" s="70"/>
      <c r="CK185" s="70"/>
      <c r="CL185" s="2"/>
      <c r="CM185" s="2"/>
      <c r="CN185" s="70"/>
      <c r="CO185" s="70"/>
      <c r="CP185" s="70"/>
      <c r="CQ185" s="70"/>
      <c r="CR185" s="2"/>
      <c r="CS185" s="2"/>
      <c r="CT185" s="70"/>
      <c r="CU185" s="70"/>
      <c r="CV185" s="70"/>
      <c r="CW185" s="70"/>
    </row>
    <row r="186" spans="1:101" ht="15.75" customHeight="1" x14ac:dyDescent="0.2">
      <c r="A186" s="1"/>
      <c r="B186" s="2"/>
      <c r="C186" s="2"/>
      <c r="D186" s="2"/>
      <c r="E186" s="2"/>
      <c r="F186" s="2"/>
      <c r="G186" s="2"/>
      <c r="H186" s="2"/>
      <c r="I186" s="2"/>
      <c r="J186" s="3"/>
      <c r="K186" s="2"/>
      <c r="L186" s="2"/>
      <c r="M186" s="2"/>
      <c r="N186" s="2"/>
      <c r="O186" s="2"/>
      <c r="P186" s="2"/>
      <c r="Q186" s="69"/>
      <c r="R186" s="69"/>
      <c r="S186" s="70"/>
      <c r="T186" s="70"/>
      <c r="U186" s="2"/>
      <c r="V186" s="2"/>
      <c r="W186" s="2"/>
      <c r="X186" s="2"/>
      <c r="Y186" s="2"/>
      <c r="Z186" s="2"/>
      <c r="AA186" s="20"/>
      <c r="AB186" s="71"/>
      <c r="AC186" s="71"/>
      <c r="AD186" s="2"/>
      <c r="AE186" s="70"/>
      <c r="AF186" s="70"/>
      <c r="AG186" s="70"/>
      <c r="AH186" s="70"/>
      <c r="AI186" s="2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0"/>
      <c r="AX186" s="70"/>
      <c r="AY186" s="70"/>
      <c r="AZ186" s="70"/>
      <c r="BA186" s="70"/>
      <c r="BB186" s="70"/>
      <c r="BC186" s="70"/>
      <c r="BD186" s="70"/>
      <c r="BE186" s="70"/>
      <c r="BF186" s="70"/>
      <c r="BG186" s="70"/>
      <c r="BH186" s="70"/>
      <c r="BI186" s="70"/>
      <c r="BJ186" s="70"/>
      <c r="BK186" s="70"/>
      <c r="BL186" s="70"/>
      <c r="BM186" s="70"/>
      <c r="BN186" s="70"/>
      <c r="BO186" s="70"/>
      <c r="BP186" s="70"/>
      <c r="BQ186" s="70"/>
      <c r="BR186" s="70"/>
      <c r="BS186" s="70"/>
      <c r="BT186" s="70"/>
      <c r="BU186" s="70"/>
      <c r="BV186" s="70"/>
      <c r="BW186" s="70"/>
      <c r="BX186" s="70"/>
      <c r="BY186" s="70"/>
      <c r="BZ186" s="70"/>
      <c r="CA186" s="70"/>
      <c r="CB186" s="70"/>
      <c r="CC186" s="70"/>
      <c r="CD186" s="70"/>
      <c r="CE186" s="70"/>
      <c r="CF186" s="70"/>
      <c r="CG186" s="70"/>
      <c r="CH186" s="70"/>
      <c r="CI186" s="70"/>
      <c r="CJ186" s="70"/>
      <c r="CK186" s="70"/>
      <c r="CL186" s="2"/>
      <c r="CM186" s="2"/>
      <c r="CN186" s="70"/>
      <c r="CO186" s="70"/>
      <c r="CP186" s="70"/>
      <c r="CQ186" s="70"/>
      <c r="CR186" s="2"/>
      <c r="CS186" s="2"/>
      <c r="CT186" s="70"/>
      <c r="CU186" s="70"/>
      <c r="CV186" s="70"/>
      <c r="CW186" s="70"/>
    </row>
    <row r="187" spans="1:101" ht="15.75" customHeight="1" x14ac:dyDescent="0.2">
      <c r="A187" s="1"/>
      <c r="B187" s="2"/>
      <c r="C187" s="2"/>
      <c r="D187" s="2"/>
      <c r="E187" s="2"/>
      <c r="F187" s="2"/>
      <c r="G187" s="2"/>
      <c r="H187" s="2"/>
      <c r="I187" s="2"/>
      <c r="J187" s="3"/>
      <c r="K187" s="2"/>
      <c r="L187" s="2"/>
      <c r="M187" s="2"/>
      <c r="N187" s="2"/>
      <c r="O187" s="2"/>
      <c r="P187" s="2"/>
      <c r="Q187" s="69"/>
      <c r="R187" s="69"/>
      <c r="S187" s="70"/>
      <c r="T187" s="70"/>
      <c r="U187" s="2"/>
      <c r="V187" s="2"/>
      <c r="W187" s="2"/>
      <c r="X187" s="2"/>
      <c r="Y187" s="2"/>
      <c r="Z187" s="2"/>
      <c r="AA187" s="20"/>
      <c r="AB187" s="71"/>
      <c r="AC187" s="71"/>
      <c r="AD187" s="2"/>
      <c r="AE187" s="70"/>
      <c r="AF187" s="70"/>
      <c r="AG187" s="70"/>
      <c r="AH187" s="70"/>
      <c r="AI187" s="2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0"/>
      <c r="AX187" s="70"/>
      <c r="AY187" s="70"/>
      <c r="AZ187" s="70"/>
      <c r="BA187" s="70"/>
      <c r="BB187" s="70"/>
      <c r="BC187" s="70"/>
      <c r="BD187" s="70"/>
      <c r="BE187" s="70"/>
      <c r="BF187" s="70"/>
      <c r="BG187" s="70"/>
      <c r="BH187" s="70"/>
      <c r="BI187" s="70"/>
      <c r="BJ187" s="70"/>
      <c r="BK187" s="70"/>
      <c r="BL187" s="70"/>
      <c r="BM187" s="70"/>
      <c r="BN187" s="70"/>
      <c r="BO187" s="70"/>
      <c r="BP187" s="70"/>
      <c r="BQ187" s="70"/>
      <c r="BR187" s="70"/>
      <c r="BS187" s="70"/>
      <c r="BT187" s="70"/>
      <c r="BU187" s="70"/>
      <c r="BV187" s="70"/>
      <c r="BW187" s="70"/>
      <c r="BX187" s="70"/>
      <c r="BY187" s="70"/>
      <c r="BZ187" s="70"/>
      <c r="CA187" s="70"/>
      <c r="CB187" s="70"/>
      <c r="CC187" s="70"/>
      <c r="CD187" s="70"/>
      <c r="CE187" s="70"/>
      <c r="CF187" s="70"/>
      <c r="CG187" s="70"/>
      <c r="CH187" s="70"/>
      <c r="CI187" s="70"/>
      <c r="CJ187" s="70"/>
      <c r="CK187" s="70"/>
      <c r="CL187" s="2"/>
      <c r="CM187" s="2"/>
      <c r="CN187" s="70"/>
      <c r="CO187" s="70"/>
      <c r="CP187" s="70"/>
      <c r="CQ187" s="70"/>
      <c r="CR187" s="2"/>
      <c r="CS187" s="2"/>
      <c r="CT187" s="70"/>
      <c r="CU187" s="70"/>
      <c r="CV187" s="70"/>
      <c r="CW187" s="70"/>
    </row>
    <row r="188" spans="1:101" ht="15.75" customHeight="1" x14ac:dyDescent="0.2">
      <c r="A188" s="1"/>
      <c r="B188" s="2"/>
      <c r="C188" s="2"/>
      <c r="D188" s="2"/>
      <c r="E188" s="2"/>
      <c r="F188" s="2"/>
      <c r="G188" s="2"/>
      <c r="H188" s="2"/>
      <c r="I188" s="2"/>
      <c r="J188" s="3"/>
      <c r="K188" s="2"/>
      <c r="L188" s="2"/>
      <c r="M188" s="2"/>
      <c r="N188" s="2"/>
      <c r="O188" s="2"/>
      <c r="P188" s="2"/>
      <c r="Q188" s="69"/>
      <c r="R188" s="69"/>
      <c r="S188" s="70"/>
      <c r="T188" s="70"/>
      <c r="U188" s="2"/>
      <c r="V188" s="2"/>
      <c r="W188" s="2"/>
      <c r="X188" s="2"/>
      <c r="Y188" s="2"/>
      <c r="Z188" s="2"/>
      <c r="AA188" s="20"/>
      <c r="AB188" s="71"/>
      <c r="AC188" s="71"/>
      <c r="AD188" s="2"/>
      <c r="AE188" s="70"/>
      <c r="AF188" s="70"/>
      <c r="AG188" s="70"/>
      <c r="AH188" s="70"/>
      <c r="AI188" s="2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0"/>
      <c r="AX188" s="70"/>
      <c r="AY188" s="70"/>
      <c r="AZ188" s="70"/>
      <c r="BA188" s="70"/>
      <c r="BB188" s="70"/>
      <c r="BC188" s="70"/>
      <c r="BD188" s="70"/>
      <c r="BE188" s="70"/>
      <c r="BF188" s="70"/>
      <c r="BG188" s="70"/>
      <c r="BH188" s="70"/>
      <c r="BI188" s="70"/>
      <c r="BJ188" s="70"/>
      <c r="BK188" s="70"/>
      <c r="BL188" s="70"/>
      <c r="BM188" s="70"/>
      <c r="BN188" s="70"/>
      <c r="BO188" s="70"/>
      <c r="BP188" s="70"/>
      <c r="BQ188" s="70"/>
      <c r="BR188" s="70"/>
      <c r="BS188" s="70"/>
      <c r="BT188" s="70"/>
      <c r="BU188" s="70"/>
      <c r="BV188" s="70"/>
      <c r="BW188" s="70"/>
      <c r="BX188" s="70"/>
      <c r="BY188" s="70"/>
      <c r="BZ188" s="70"/>
      <c r="CA188" s="70"/>
      <c r="CB188" s="70"/>
      <c r="CC188" s="70"/>
      <c r="CD188" s="70"/>
      <c r="CE188" s="70"/>
      <c r="CF188" s="70"/>
      <c r="CG188" s="70"/>
      <c r="CH188" s="70"/>
      <c r="CI188" s="70"/>
      <c r="CJ188" s="70"/>
      <c r="CK188" s="70"/>
      <c r="CL188" s="2"/>
      <c r="CM188" s="2"/>
      <c r="CN188" s="70"/>
      <c r="CO188" s="70"/>
      <c r="CP188" s="70"/>
      <c r="CQ188" s="70"/>
      <c r="CR188" s="2"/>
      <c r="CS188" s="2"/>
      <c r="CT188" s="70"/>
      <c r="CU188" s="70"/>
      <c r="CV188" s="70"/>
      <c r="CW188" s="70"/>
    </row>
    <row r="189" spans="1:101" ht="15.75" customHeight="1" x14ac:dyDescent="0.2">
      <c r="A189" s="1"/>
      <c r="B189" s="2"/>
      <c r="C189" s="2"/>
      <c r="D189" s="2"/>
      <c r="E189" s="2"/>
      <c r="F189" s="2"/>
      <c r="G189" s="2"/>
      <c r="H189" s="2"/>
      <c r="I189" s="2"/>
      <c r="J189" s="3"/>
      <c r="K189" s="2"/>
      <c r="L189" s="2"/>
      <c r="M189" s="2"/>
      <c r="N189" s="2"/>
      <c r="O189" s="2"/>
      <c r="P189" s="2"/>
      <c r="Q189" s="69"/>
      <c r="R189" s="69"/>
      <c r="S189" s="70"/>
      <c r="T189" s="70"/>
      <c r="U189" s="2"/>
      <c r="V189" s="2"/>
      <c r="W189" s="2"/>
      <c r="X189" s="2"/>
      <c r="Y189" s="2"/>
      <c r="Z189" s="2"/>
      <c r="AA189" s="20"/>
      <c r="AB189" s="71"/>
      <c r="AC189" s="71"/>
      <c r="AD189" s="2"/>
      <c r="AE189" s="70"/>
      <c r="AF189" s="70"/>
      <c r="AG189" s="70"/>
      <c r="AH189" s="70"/>
      <c r="AI189" s="2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0"/>
      <c r="AX189" s="70"/>
      <c r="AY189" s="70"/>
      <c r="AZ189" s="70"/>
      <c r="BA189" s="70"/>
      <c r="BB189" s="70"/>
      <c r="BC189" s="70"/>
      <c r="BD189" s="70"/>
      <c r="BE189" s="70"/>
      <c r="BF189" s="70"/>
      <c r="BG189" s="70"/>
      <c r="BH189" s="70"/>
      <c r="BI189" s="70"/>
      <c r="BJ189" s="70"/>
      <c r="BK189" s="70"/>
      <c r="BL189" s="70"/>
      <c r="BM189" s="70"/>
      <c r="BN189" s="70"/>
      <c r="BO189" s="70"/>
      <c r="BP189" s="70"/>
      <c r="BQ189" s="70"/>
      <c r="BR189" s="70"/>
      <c r="BS189" s="70"/>
      <c r="BT189" s="70"/>
      <c r="BU189" s="70"/>
      <c r="BV189" s="70"/>
      <c r="BW189" s="70"/>
      <c r="BX189" s="70"/>
      <c r="BY189" s="70"/>
      <c r="BZ189" s="70"/>
      <c r="CA189" s="70"/>
      <c r="CB189" s="70"/>
      <c r="CC189" s="70"/>
      <c r="CD189" s="70"/>
      <c r="CE189" s="70"/>
      <c r="CF189" s="70"/>
      <c r="CG189" s="70"/>
      <c r="CH189" s="70"/>
      <c r="CI189" s="70"/>
      <c r="CJ189" s="70"/>
      <c r="CK189" s="70"/>
      <c r="CL189" s="2"/>
      <c r="CM189" s="2"/>
      <c r="CN189" s="70"/>
      <c r="CO189" s="70"/>
      <c r="CP189" s="70"/>
      <c r="CQ189" s="70"/>
      <c r="CR189" s="2"/>
      <c r="CS189" s="2"/>
      <c r="CT189" s="70"/>
      <c r="CU189" s="70"/>
      <c r="CV189" s="70"/>
      <c r="CW189" s="70"/>
    </row>
    <row r="190" spans="1:101" ht="15.75" customHeight="1" x14ac:dyDescent="0.2">
      <c r="A190" s="1"/>
      <c r="B190" s="2"/>
      <c r="C190" s="2"/>
      <c r="D190" s="2"/>
      <c r="E190" s="2"/>
      <c r="F190" s="2"/>
      <c r="G190" s="2"/>
      <c r="H190" s="2"/>
      <c r="I190" s="2"/>
      <c r="J190" s="3"/>
      <c r="K190" s="2"/>
      <c r="L190" s="2"/>
      <c r="M190" s="2"/>
      <c r="N190" s="2"/>
      <c r="O190" s="2"/>
      <c r="P190" s="2"/>
      <c r="Q190" s="69"/>
      <c r="R190" s="69"/>
      <c r="S190" s="70"/>
      <c r="T190" s="70"/>
      <c r="U190" s="2"/>
      <c r="V190" s="2"/>
      <c r="W190" s="2"/>
      <c r="X190" s="2"/>
      <c r="Y190" s="2"/>
      <c r="Z190" s="2"/>
      <c r="AA190" s="20"/>
      <c r="AB190" s="71"/>
      <c r="AC190" s="71"/>
      <c r="AD190" s="2"/>
      <c r="AE190" s="70"/>
      <c r="AF190" s="70"/>
      <c r="AG190" s="70"/>
      <c r="AH190" s="70"/>
      <c r="AI190" s="2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0"/>
      <c r="AX190" s="70"/>
      <c r="AY190" s="70"/>
      <c r="AZ190" s="70"/>
      <c r="BA190" s="70"/>
      <c r="BB190" s="70"/>
      <c r="BC190" s="70"/>
      <c r="BD190" s="70"/>
      <c r="BE190" s="70"/>
      <c r="BF190" s="70"/>
      <c r="BG190" s="70"/>
      <c r="BH190" s="70"/>
      <c r="BI190" s="70"/>
      <c r="BJ190" s="70"/>
      <c r="BK190" s="70"/>
      <c r="BL190" s="70"/>
      <c r="BM190" s="70"/>
      <c r="BN190" s="70"/>
      <c r="BO190" s="70"/>
      <c r="BP190" s="70"/>
      <c r="BQ190" s="70"/>
      <c r="BR190" s="70"/>
      <c r="BS190" s="70"/>
      <c r="BT190" s="70"/>
      <c r="BU190" s="70"/>
      <c r="BV190" s="70"/>
      <c r="BW190" s="70"/>
      <c r="BX190" s="70"/>
      <c r="BY190" s="70"/>
      <c r="BZ190" s="70"/>
      <c r="CA190" s="70"/>
      <c r="CB190" s="70"/>
      <c r="CC190" s="70"/>
      <c r="CD190" s="70"/>
      <c r="CE190" s="70"/>
      <c r="CF190" s="70"/>
      <c r="CG190" s="70"/>
      <c r="CH190" s="70"/>
      <c r="CI190" s="70"/>
      <c r="CJ190" s="70"/>
      <c r="CK190" s="70"/>
      <c r="CL190" s="2"/>
      <c r="CM190" s="2"/>
      <c r="CN190" s="70"/>
      <c r="CO190" s="70"/>
      <c r="CP190" s="70"/>
      <c r="CQ190" s="70"/>
      <c r="CR190" s="2"/>
      <c r="CS190" s="2"/>
      <c r="CT190" s="70"/>
      <c r="CU190" s="70"/>
      <c r="CV190" s="70"/>
      <c r="CW190" s="70"/>
    </row>
    <row r="191" spans="1:101" ht="15.75" customHeight="1" x14ac:dyDescent="0.2">
      <c r="A191" s="1"/>
      <c r="B191" s="2"/>
      <c r="C191" s="2"/>
      <c r="D191" s="2"/>
      <c r="E191" s="2"/>
      <c r="F191" s="2"/>
      <c r="G191" s="2"/>
      <c r="H191" s="2"/>
      <c r="I191" s="2"/>
      <c r="J191" s="3"/>
      <c r="K191" s="2"/>
      <c r="L191" s="2"/>
      <c r="M191" s="2"/>
      <c r="N191" s="2"/>
      <c r="O191" s="2"/>
      <c r="P191" s="2"/>
      <c r="Q191" s="69"/>
      <c r="R191" s="69"/>
      <c r="S191" s="70"/>
      <c r="T191" s="70"/>
      <c r="U191" s="2"/>
      <c r="V191" s="2"/>
      <c r="W191" s="2"/>
      <c r="X191" s="2"/>
      <c r="Y191" s="2"/>
      <c r="Z191" s="2"/>
      <c r="AA191" s="20"/>
      <c r="AB191" s="71"/>
      <c r="AC191" s="71"/>
      <c r="AD191" s="2"/>
      <c r="AE191" s="70"/>
      <c r="AF191" s="70"/>
      <c r="AG191" s="70"/>
      <c r="AH191" s="70"/>
      <c r="AI191" s="2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70"/>
      <c r="AX191" s="70"/>
      <c r="AY191" s="70"/>
      <c r="AZ191" s="70"/>
      <c r="BA191" s="70"/>
      <c r="BB191" s="70"/>
      <c r="BC191" s="70"/>
      <c r="BD191" s="70"/>
      <c r="BE191" s="70"/>
      <c r="BF191" s="70"/>
      <c r="BG191" s="70"/>
      <c r="BH191" s="70"/>
      <c r="BI191" s="70"/>
      <c r="BJ191" s="70"/>
      <c r="BK191" s="70"/>
      <c r="BL191" s="70"/>
      <c r="BM191" s="70"/>
      <c r="BN191" s="70"/>
      <c r="BO191" s="70"/>
      <c r="BP191" s="70"/>
      <c r="BQ191" s="70"/>
      <c r="BR191" s="70"/>
      <c r="BS191" s="70"/>
      <c r="BT191" s="70"/>
      <c r="BU191" s="70"/>
      <c r="BV191" s="70"/>
      <c r="BW191" s="70"/>
      <c r="BX191" s="70"/>
      <c r="BY191" s="70"/>
      <c r="BZ191" s="70"/>
      <c r="CA191" s="70"/>
      <c r="CB191" s="70"/>
      <c r="CC191" s="70"/>
      <c r="CD191" s="70"/>
      <c r="CE191" s="70"/>
      <c r="CF191" s="70"/>
      <c r="CG191" s="70"/>
      <c r="CH191" s="70"/>
      <c r="CI191" s="70"/>
      <c r="CJ191" s="70"/>
      <c r="CK191" s="70"/>
      <c r="CL191" s="2"/>
      <c r="CM191" s="2"/>
      <c r="CN191" s="70"/>
      <c r="CO191" s="70"/>
      <c r="CP191" s="70"/>
      <c r="CQ191" s="70"/>
      <c r="CR191" s="2"/>
      <c r="CS191" s="2"/>
      <c r="CT191" s="70"/>
      <c r="CU191" s="70"/>
      <c r="CV191" s="70"/>
      <c r="CW191" s="70"/>
    </row>
    <row r="192" spans="1:101" ht="15.75" customHeight="1" x14ac:dyDescent="0.2">
      <c r="A192" s="1"/>
      <c r="B192" s="2"/>
      <c r="C192" s="2"/>
      <c r="D192" s="2"/>
      <c r="E192" s="2"/>
      <c r="F192" s="2"/>
      <c r="G192" s="2"/>
      <c r="H192" s="2"/>
      <c r="I192" s="2"/>
      <c r="J192" s="3"/>
      <c r="K192" s="2"/>
      <c r="L192" s="2"/>
      <c r="M192" s="2"/>
      <c r="N192" s="2"/>
      <c r="O192" s="2"/>
      <c r="P192" s="2"/>
      <c r="Q192" s="69"/>
      <c r="R192" s="69"/>
      <c r="S192" s="70"/>
      <c r="T192" s="70"/>
      <c r="U192" s="2"/>
      <c r="V192" s="2"/>
      <c r="W192" s="2"/>
      <c r="X192" s="2"/>
      <c r="Y192" s="2"/>
      <c r="Z192" s="2"/>
      <c r="AA192" s="20"/>
      <c r="AB192" s="71"/>
      <c r="AC192" s="71"/>
      <c r="AD192" s="2"/>
      <c r="AE192" s="70"/>
      <c r="AF192" s="70"/>
      <c r="AG192" s="70"/>
      <c r="AH192" s="70"/>
      <c r="AI192" s="2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  <c r="AW192" s="70"/>
      <c r="AX192" s="70"/>
      <c r="AY192" s="70"/>
      <c r="AZ192" s="70"/>
      <c r="BA192" s="70"/>
      <c r="BB192" s="70"/>
      <c r="BC192" s="70"/>
      <c r="BD192" s="70"/>
      <c r="BE192" s="70"/>
      <c r="BF192" s="70"/>
      <c r="BG192" s="70"/>
      <c r="BH192" s="70"/>
      <c r="BI192" s="70"/>
      <c r="BJ192" s="70"/>
      <c r="BK192" s="70"/>
      <c r="BL192" s="70"/>
      <c r="BM192" s="70"/>
      <c r="BN192" s="70"/>
      <c r="BO192" s="70"/>
      <c r="BP192" s="70"/>
      <c r="BQ192" s="70"/>
      <c r="BR192" s="70"/>
      <c r="BS192" s="70"/>
      <c r="BT192" s="70"/>
      <c r="BU192" s="70"/>
      <c r="BV192" s="70"/>
      <c r="BW192" s="70"/>
      <c r="BX192" s="70"/>
      <c r="BY192" s="70"/>
      <c r="BZ192" s="70"/>
      <c r="CA192" s="70"/>
      <c r="CB192" s="70"/>
      <c r="CC192" s="70"/>
      <c r="CD192" s="70"/>
      <c r="CE192" s="70"/>
      <c r="CF192" s="70"/>
      <c r="CG192" s="70"/>
      <c r="CH192" s="70"/>
      <c r="CI192" s="70"/>
      <c r="CJ192" s="70"/>
      <c r="CK192" s="70"/>
      <c r="CL192" s="2"/>
      <c r="CM192" s="2"/>
      <c r="CN192" s="70"/>
      <c r="CO192" s="70"/>
      <c r="CP192" s="70"/>
      <c r="CQ192" s="70"/>
      <c r="CR192" s="2"/>
      <c r="CS192" s="2"/>
      <c r="CT192" s="70"/>
      <c r="CU192" s="70"/>
      <c r="CV192" s="70"/>
      <c r="CW192" s="70"/>
    </row>
    <row r="193" spans="1:101" ht="15.75" customHeight="1" x14ac:dyDescent="0.2">
      <c r="A193" s="1"/>
      <c r="B193" s="2"/>
      <c r="C193" s="2"/>
      <c r="D193" s="2"/>
      <c r="E193" s="2"/>
      <c r="F193" s="2"/>
      <c r="G193" s="2"/>
      <c r="H193" s="2"/>
      <c r="I193" s="2"/>
      <c r="J193" s="3"/>
      <c r="K193" s="2"/>
      <c r="L193" s="2"/>
      <c r="M193" s="2"/>
      <c r="N193" s="2"/>
      <c r="O193" s="2"/>
      <c r="P193" s="2"/>
      <c r="Q193" s="69"/>
      <c r="R193" s="69"/>
      <c r="S193" s="70"/>
      <c r="T193" s="70"/>
      <c r="U193" s="2"/>
      <c r="V193" s="2"/>
      <c r="W193" s="2"/>
      <c r="X193" s="2"/>
      <c r="Y193" s="2"/>
      <c r="Z193" s="2"/>
      <c r="AA193" s="20"/>
      <c r="AB193" s="71"/>
      <c r="AC193" s="71"/>
      <c r="AD193" s="2"/>
      <c r="AE193" s="70"/>
      <c r="AF193" s="70"/>
      <c r="AG193" s="70"/>
      <c r="AH193" s="70"/>
      <c r="AI193" s="2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70"/>
      <c r="AX193" s="70"/>
      <c r="AY193" s="70"/>
      <c r="AZ193" s="70"/>
      <c r="BA193" s="70"/>
      <c r="BB193" s="70"/>
      <c r="BC193" s="70"/>
      <c r="BD193" s="70"/>
      <c r="BE193" s="70"/>
      <c r="BF193" s="70"/>
      <c r="BG193" s="70"/>
      <c r="BH193" s="70"/>
      <c r="BI193" s="70"/>
      <c r="BJ193" s="70"/>
      <c r="BK193" s="70"/>
      <c r="BL193" s="70"/>
      <c r="BM193" s="70"/>
      <c r="BN193" s="70"/>
      <c r="BO193" s="70"/>
      <c r="BP193" s="70"/>
      <c r="BQ193" s="70"/>
      <c r="BR193" s="70"/>
      <c r="BS193" s="70"/>
      <c r="BT193" s="70"/>
      <c r="BU193" s="70"/>
      <c r="BV193" s="70"/>
      <c r="BW193" s="70"/>
      <c r="BX193" s="70"/>
      <c r="BY193" s="70"/>
      <c r="BZ193" s="70"/>
      <c r="CA193" s="70"/>
      <c r="CB193" s="70"/>
      <c r="CC193" s="70"/>
      <c r="CD193" s="70"/>
      <c r="CE193" s="70"/>
      <c r="CF193" s="70"/>
      <c r="CG193" s="70"/>
      <c r="CH193" s="70"/>
      <c r="CI193" s="70"/>
      <c r="CJ193" s="70"/>
      <c r="CK193" s="70"/>
      <c r="CL193" s="2"/>
      <c r="CM193" s="2"/>
      <c r="CN193" s="70"/>
      <c r="CO193" s="70"/>
      <c r="CP193" s="70"/>
      <c r="CQ193" s="70"/>
      <c r="CR193" s="2"/>
      <c r="CS193" s="2"/>
      <c r="CT193" s="70"/>
      <c r="CU193" s="70"/>
      <c r="CV193" s="70"/>
      <c r="CW193" s="70"/>
    </row>
    <row r="194" spans="1:101" ht="15.75" customHeight="1" x14ac:dyDescent="0.2">
      <c r="A194" s="1"/>
      <c r="B194" s="2"/>
      <c r="C194" s="2"/>
      <c r="D194" s="2"/>
      <c r="E194" s="2"/>
      <c r="F194" s="2"/>
      <c r="G194" s="2"/>
      <c r="H194" s="2"/>
      <c r="I194" s="2"/>
      <c r="J194" s="3"/>
      <c r="K194" s="2"/>
      <c r="L194" s="2"/>
      <c r="M194" s="2"/>
      <c r="N194" s="2"/>
      <c r="O194" s="2"/>
      <c r="P194" s="2"/>
      <c r="Q194" s="69"/>
      <c r="R194" s="69"/>
      <c r="S194" s="70"/>
      <c r="T194" s="70"/>
      <c r="U194" s="2"/>
      <c r="V194" s="2"/>
      <c r="W194" s="2"/>
      <c r="X194" s="2"/>
      <c r="Y194" s="2"/>
      <c r="Z194" s="2"/>
      <c r="AA194" s="20"/>
      <c r="AB194" s="71"/>
      <c r="AC194" s="71"/>
      <c r="AD194" s="2"/>
      <c r="AE194" s="70"/>
      <c r="AF194" s="70"/>
      <c r="AG194" s="70"/>
      <c r="AH194" s="70"/>
      <c r="AI194" s="2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70"/>
      <c r="AX194" s="70"/>
      <c r="AY194" s="70"/>
      <c r="AZ194" s="70"/>
      <c r="BA194" s="70"/>
      <c r="BB194" s="70"/>
      <c r="BC194" s="70"/>
      <c r="BD194" s="70"/>
      <c r="BE194" s="70"/>
      <c r="BF194" s="70"/>
      <c r="BG194" s="70"/>
      <c r="BH194" s="70"/>
      <c r="BI194" s="70"/>
      <c r="BJ194" s="70"/>
      <c r="BK194" s="70"/>
      <c r="BL194" s="70"/>
      <c r="BM194" s="70"/>
      <c r="BN194" s="70"/>
      <c r="BO194" s="70"/>
      <c r="BP194" s="70"/>
      <c r="BQ194" s="70"/>
      <c r="BR194" s="70"/>
      <c r="BS194" s="70"/>
      <c r="BT194" s="70"/>
      <c r="BU194" s="70"/>
      <c r="BV194" s="70"/>
      <c r="BW194" s="70"/>
      <c r="BX194" s="70"/>
      <c r="BY194" s="70"/>
      <c r="BZ194" s="70"/>
      <c r="CA194" s="70"/>
      <c r="CB194" s="70"/>
      <c r="CC194" s="70"/>
      <c r="CD194" s="70"/>
      <c r="CE194" s="70"/>
      <c r="CF194" s="70"/>
      <c r="CG194" s="70"/>
      <c r="CH194" s="70"/>
      <c r="CI194" s="70"/>
      <c r="CJ194" s="70"/>
      <c r="CK194" s="70"/>
      <c r="CL194" s="2"/>
      <c r="CM194" s="2"/>
      <c r="CN194" s="70"/>
      <c r="CO194" s="70"/>
      <c r="CP194" s="70"/>
      <c r="CQ194" s="70"/>
      <c r="CR194" s="2"/>
      <c r="CS194" s="2"/>
      <c r="CT194" s="70"/>
      <c r="CU194" s="70"/>
      <c r="CV194" s="70"/>
      <c r="CW194" s="70"/>
    </row>
    <row r="195" spans="1:101" ht="15.75" customHeight="1" x14ac:dyDescent="0.2">
      <c r="A195" s="1"/>
      <c r="B195" s="2"/>
      <c r="C195" s="2"/>
      <c r="D195" s="2"/>
      <c r="E195" s="2"/>
      <c r="F195" s="2"/>
      <c r="G195" s="2"/>
      <c r="H195" s="2"/>
      <c r="I195" s="2"/>
      <c r="J195" s="3"/>
      <c r="K195" s="2"/>
      <c r="L195" s="2"/>
      <c r="M195" s="2"/>
      <c r="N195" s="2"/>
      <c r="O195" s="2"/>
      <c r="P195" s="2"/>
      <c r="Q195" s="69"/>
      <c r="R195" s="69"/>
      <c r="S195" s="70"/>
      <c r="T195" s="70"/>
      <c r="U195" s="2"/>
      <c r="V195" s="2"/>
      <c r="W195" s="2"/>
      <c r="X195" s="2"/>
      <c r="Y195" s="2"/>
      <c r="Z195" s="2"/>
      <c r="AA195" s="20"/>
      <c r="AB195" s="71"/>
      <c r="AC195" s="71"/>
      <c r="AD195" s="2"/>
      <c r="AE195" s="70"/>
      <c r="AF195" s="70"/>
      <c r="AG195" s="70"/>
      <c r="AH195" s="70"/>
      <c r="AI195" s="2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70"/>
      <c r="AX195" s="70"/>
      <c r="AY195" s="70"/>
      <c r="AZ195" s="70"/>
      <c r="BA195" s="70"/>
      <c r="BB195" s="70"/>
      <c r="BC195" s="70"/>
      <c r="BD195" s="70"/>
      <c r="BE195" s="70"/>
      <c r="BF195" s="70"/>
      <c r="BG195" s="70"/>
      <c r="BH195" s="70"/>
      <c r="BI195" s="70"/>
      <c r="BJ195" s="70"/>
      <c r="BK195" s="70"/>
      <c r="BL195" s="70"/>
      <c r="BM195" s="70"/>
      <c r="BN195" s="70"/>
      <c r="BO195" s="70"/>
      <c r="BP195" s="70"/>
      <c r="BQ195" s="70"/>
      <c r="BR195" s="70"/>
      <c r="BS195" s="70"/>
      <c r="BT195" s="70"/>
      <c r="BU195" s="70"/>
      <c r="BV195" s="70"/>
      <c r="BW195" s="70"/>
      <c r="BX195" s="70"/>
      <c r="BY195" s="70"/>
      <c r="BZ195" s="70"/>
      <c r="CA195" s="70"/>
      <c r="CB195" s="70"/>
      <c r="CC195" s="70"/>
      <c r="CD195" s="70"/>
      <c r="CE195" s="70"/>
      <c r="CF195" s="70"/>
      <c r="CG195" s="70"/>
      <c r="CH195" s="70"/>
      <c r="CI195" s="70"/>
      <c r="CJ195" s="70"/>
      <c r="CK195" s="70"/>
      <c r="CL195" s="2"/>
      <c r="CM195" s="2"/>
      <c r="CN195" s="70"/>
      <c r="CO195" s="70"/>
      <c r="CP195" s="70"/>
      <c r="CQ195" s="70"/>
      <c r="CR195" s="2"/>
      <c r="CS195" s="2"/>
      <c r="CT195" s="70"/>
      <c r="CU195" s="70"/>
      <c r="CV195" s="70"/>
      <c r="CW195" s="70"/>
    </row>
    <row r="196" spans="1:101" ht="15.75" customHeight="1" x14ac:dyDescent="0.2">
      <c r="A196" s="1"/>
      <c r="B196" s="2"/>
      <c r="C196" s="2"/>
      <c r="D196" s="2"/>
      <c r="E196" s="2"/>
      <c r="F196" s="2"/>
      <c r="G196" s="2"/>
      <c r="H196" s="2"/>
      <c r="I196" s="2"/>
      <c r="J196" s="3"/>
      <c r="K196" s="2"/>
      <c r="L196" s="2"/>
      <c r="M196" s="2"/>
      <c r="N196" s="2"/>
      <c r="O196" s="2"/>
      <c r="P196" s="2"/>
      <c r="Q196" s="69"/>
      <c r="R196" s="69"/>
      <c r="S196" s="70"/>
      <c r="T196" s="70"/>
      <c r="U196" s="2"/>
      <c r="V196" s="2"/>
      <c r="W196" s="2"/>
      <c r="X196" s="2"/>
      <c r="Y196" s="2"/>
      <c r="Z196" s="2"/>
      <c r="AA196" s="20"/>
      <c r="AB196" s="71"/>
      <c r="AC196" s="71"/>
      <c r="AD196" s="2"/>
      <c r="AE196" s="70"/>
      <c r="AF196" s="70"/>
      <c r="AG196" s="70"/>
      <c r="AH196" s="70"/>
      <c r="AI196" s="2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70"/>
      <c r="AX196" s="70"/>
      <c r="AY196" s="70"/>
      <c r="AZ196" s="70"/>
      <c r="BA196" s="70"/>
      <c r="BB196" s="70"/>
      <c r="BC196" s="70"/>
      <c r="BD196" s="70"/>
      <c r="BE196" s="70"/>
      <c r="BF196" s="70"/>
      <c r="BG196" s="70"/>
      <c r="BH196" s="70"/>
      <c r="BI196" s="70"/>
      <c r="BJ196" s="70"/>
      <c r="BK196" s="70"/>
      <c r="BL196" s="70"/>
      <c r="BM196" s="70"/>
      <c r="BN196" s="70"/>
      <c r="BO196" s="70"/>
      <c r="BP196" s="70"/>
      <c r="BQ196" s="70"/>
      <c r="BR196" s="70"/>
      <c r="BS196" s="70"/>
      <c r="BT196" s="70"/>
      <c r="BU196" s="70"/>
      <c r="BV196" s="70"/>
      <c r="BW196" s="70"/>
      <c r="BX196" s="70"/>
      <c r="BY196" s="70"/>
      <c r="BZ196" s="70"/>
      <c r="CA196" s="70"/>
      <c r="CB196" s="70"/>
      <c r="CC196" s="70"/>
      <c r="CD196" s="70"/>
      <c r="CE196" s="70"/>
      <c r="CF196" s="70"/>
      <c r="CG196" s="70"/>
      <c r="CH196" s="70"/>
      <c r="CI196" s="70"/>
      <c r="CJ196" s="70"/>
      <c r="CK196" s="70"/>
      <c r="CL196" s="2"/>
      <c r="CM196" s="2"/>
      <c r="CN196" s="70"/>
      <c r="CO196" s="70"/>
      <c r="CP196" s="70"/>
      <c r="CQ196" s="70"/>
      <c r="CR196" s="2"/>
      <c r="CS196" s="2"/>
      <c r="CT196" s="70"/>
      <c r="CU196" s="70"/>
      <c r="CV196" s="70"/>
      <c r="CW196" s="70"/>
    </row>
    <row r="197" spans="1:101" ht="15.75" customHeight="1" x14ac:dyDescent="0.2">
      <c r="A197" s="1"/>
      <c r="B197" s="2"/>
      <c r="C197" s="2"/>
      <c r="D197" s="2"/>
      <c r="E197" s="2"/>
      <c r="F197" s="2"/>
      <c r="G197" s="2"/>
      <c r="H197" s="2"/>
      <c r="I197" s="2"/>
      <c r="J197" s="3"/>
      <c r="K197" s="2"/>
      <c r="L197" s="2"/>
      <c r="M197" s="2"/>
      <c r="N197" s="2"/>
      <c r="O197" s="2"/>
      <c r="P197" s="2"/>
      <c r="Q197" s="69"/>
      <c r="R197" s="69"/>
      <c r="S197" s="70"/>
      <c r="T197" s="70"/>
      <c r="U197" s="2"/>
      <c r="V197" s="2"/>
      <c r="W197" s="2"/>
      <c r="X197" s="2"/>
      <c r="Y197" s="2"/>
      <c r="Z197" s="2"/>
      <c r="AA197" s="20"/>
      <c r="AB197" s="71"/>
      <c r="AC197" s="71"/>
      <c r="AD197" s="2"/>
      <c r="AE197" s="70"/>
      <c r="AF197" s="70"/>
      <c r="AG197" s="70"/>
      <c r="AH197" s="70"/>
      <c r="AI197" s="2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70"/>
      <c r="AX197" s="70"/>
      <c r="AY197" s="70"/>
      <c r="AZ197" s="70"/>
      <c r="BA197" s="70"/>
      <c r="BB197" s="70"/>
      <c r="BC197" s="70"/>
      <c r="BD197" s="70"/>
      <c r="BE197" s="70"/>
      <c r="BF197" s="70"/>
      <c r="BG197" s="70"/>
      <c r="BH197" s="70"/>
      <c r="BI197" s="70"/>
      <c r="BJ197" s="70"/>
      <c r="BK197" s="70"/>
      <c r="BL197" s="70"/>
      <c r="BM197" s="70"/>
      <c r="BN197" s="70"/>
      <c r="BO197" s="70"/>
      <c r="BP197" s="70"/>
      <c r="BQ197" s="70"/>
      <c r="BR197" s="70"/>
      <c r="BS197" s="70"/>
      <c r="BT197" s="70"/>
      <c r="BU197" s="70"/>
      <c r="BV197" s="70"/>
      <c r="BW197" s="70"/>
      <c r="BX197" s="70"/>
      <c r="BY197" s="70"/>
      <c r="BZ197" s="70"/>
      <c r="CA197" s="70"/>
      <c r="CB197" s="70"/>
      <c r="CC197" s="70"/>
      <c r="CD197" s="70"/>
      <c r="CE197" s="70"/>
      <c r="CF197" s="70"/>
      <c r="CG197" s="70"/>
      <c r="CH197" s="70"/>
      <c r="CI197" s="70"/>
      <c r="CJ197" s="70"/>
      <c r="CK197" s="70"/>
      <c r="CL197" s="2"/>
      <c r="CM197" s="2"/>
      <c r="CN197" s="70"/>
      <c r="CO197" s="70"/>
      <c r="CP197" s="70"/>
      <c r="CQ197" s="70"/>
      <c r="CR197" s="2"/>
      <c r="CS197" s="2"/>
      <c r="CT197" s="70"/>
      <c r="CU197" s="70"/>
      <c r="CV197" s="70"/>
      <c r="CW197" s="70"/>
    </row>
    <row r="198" spans="1:101" ht="15.75" customHeight="1" x14ac:dyDescent="0.2">
      <c r="A198" s="1"/>
      <c r="B198" s="2"/>
      <c r="C198" s="2"/>
      <c r="D198" s="2"/>
      <c r="E198" s="2"/>
      <c r="F198" s="2"/>
      <c r="G198" s="2"/>
      <c r="H198" s="2"/>
      <c r="I198" s="2"/>
      <c r="J198" s="3"/>
      <c r="K198" s="2"/>
      <c r="L198" s="2"/>
      <c r="M198" s="2"/>
      <c r="N198" s="2"/>
      <c r="O198" s="2"/>
      <c r="P198" s="2"/>
      <c r="Q198" s="69"/>
      <c r="R198" s="69"/>
      <c r="S198" s="70"/>
      <c r="T198" s="70"/>
      <c r="U198" s="2"/>
      <c r="V198" s="2"/>
      <c r="W198" s="2"/>
      <c r="X198" s="2"/>
      <c r="Y198" s="2"/>
      <c r="Z198" s="2"/>
      <c r="AA198" s="20"/>
      <c r="AB198" s="71"/>
      <c r="AC198" s="71"/>
      <c r="AD198" s="2"/>
      <c r="AE198" s="70"/>
      <c r="AF198" s="70"/>
      <c r="AG198" s="70"/>
      <c r="AH198" s="70"/>
      <c r="AI198" s="2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  <c r="AW198" s="70"/>
      <c r="AX198" s="70"/>
      <c r="AY198" s="70"/>
      <c r="AZ198" s="70"/>
      <c r="BA198" s="70"/>
      <c r="BB198" s="70"/>
      <c r="BC198" s="70"/>
      <c r="BD198" s="70"/>
      <c r="BE198" s="70"/>
      <c r="BF198" s="70"/>
      <c r="BG198" s="70"/>
      <c r="BH198" s="70"/>
      <c r="BI198" s="70"/>
      <c r="BJ198" s="70"/>
      <c r="BK198" s="70"/>
      <c r="BL198" s="70"/>
      <c r="BM198" s="70"/>
      <c r="BN198" s="70"/>
      <c r="BO198" s="70"/>
      <c r="BP198" s="70"/>
      <c r="BQ198" s="70"/>
      <c r="BR198" s="70"/>
      <c r="BS198" s="70"/>
      <c r="BT198" s="70"/>
      <c r="BU198" s="70"/>
      <c r="BV198" s="70"/>
      <c r="BW198" s="70"/>
      <c r="BX198" s="70"/>
      <c r="BY198" s="70"/>
      <c r="BZ198" s="70"/>
      <c r="CA198" s="70"/>
      <c r="CB198" s="70"/>
      <c r="CC198" s="70"/>
      <c r="CD198" s="70"/>
      <c r="CE198" s="70"/>
      <c r="CF198" s="70"/>
      <c r="CG198" s="70"/>
      <c r="CH198" s="70"/>
      <c r="CI198" s="70"/>
      <c r="CJ198" s="70"/>
      <c r="CK198" s="70"/>
      <c r="CL198" s="2"/>
      <c r="CM198" s="2"/>
      <c r="CN198" s="70"/>
      <c r="CO198" s="70"/>
      <c r="CP198" s="70"/>
      <c r="CQ198" s="70"/>
      <c r="CR198" s="2"/>
      <c r="CS198" s="2"/>
      <c r="CT198" s="70"/>
      <c r="CU198" s="70"/>
      <c r="CV198" s="70"/>
      <c r="CW198" s="70"/>
    </row>
    <row r="199" spans="1:101" ht="15.75" customHeight="1" x14ac:dyDescent="0.2">
      <c r="A199" s="1"/>
      <c r="B199" s="2"/>
      <c r="C199" s="2"/>
      <c r="D199" s="2"/>
      <c r="E199" s="2"/>
      <c r="F199" s="2"/>
      <c r="G199" s="2"/>
      <c r="H199" s="2"/>
      <c r="I199" s="2"/>
      <c r="J199" s="3"/>
      <c r="K199" s="2"/>
      <c r="L199" s="2"/>
      <c r="M199" s="2"/>
      <c r="N199" s="2"/>
      <c r="O199" s="2"/>
      <c r="P199" s="2"/>
      <c r="Q199" s="69"/>
      <c r="R199" s="69"/>
      <c r="S199" s="70"/>
      <c r="T199" s="70"/>
      <c r="U199" s="2"/>
      <c r="V199" s="2"/>
      <c r="W199" s="2"/>
      <c r="X199" s="2"/>
      <c r="Y199" s="2"/>
      <c r="Z199" s="2"/>
      <c r="AA199" s="20"/>
      <c r="AB199" s="71"/>
      <c r="AC199" s="71"/>
      <c r="AD199" s="2"/>
      <c r="AE199" s="70"/>
      <c r="AF199" s="70"/>
      <c r="AG199" s="70"/>
      <c r="AH199" s="70"/>
      <c r="AI199" s="2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70"/>
      <c r="AX199" s="70"/>
      <c r="AY199" s="70"/>
      <c r="AZ199" s="70"/>
      <c r="BA199" s="70"/>
      <c r="BB199" s="70"/>
      <c r="BC199" s="70"/>
      <c r="BD199" s="70"/>
      <c r="BE199" s="70"/>
      <c r="BF199" s="70"/>
      <c r="BG199" s="70"/>
      <c r="BH199" s="70"/>
      <c r="BI199" s="70"/>
      <c r="BJ199" s="70"/>
      <c r="BK199" s="70"/>
      <c r="BL199" s="70"/>
      <c r="BM199" s="70"/>
      <c r="BN199" s="70"/>
      <c r="BO199" s="70"/>
      <c r="BP199" s="70"/>
      <c r="BQ199" s="70"/>
      <c r="BR199" s="70"/>
      <c r="BS199" s="70"/>
      <c r="BT199" s="70"/>
      <c r="BU199" s="70"/>
      <c r="BV199" s="70"/>
      <c r="BW199" s="70"/>
      <c r="BX199" s="70"/>
      <c r="BY199" s="70"/>
      <c r="BZ199" s="70"/>
      <c r="CA199" s="70"/>
      <c r="CB199" s="70"/>
      <c r="CC199" s="70"/>
      <c r="CD199" s="70"/>
      <c r="CE199" s="70"/>
      <c r="CF199" s="70"/>
      <c r="CG199" s="70"/>
      <c r="CH199" s="70"/>
      <c r="CI199" s="70"/>
      <c r="CJ199" s="70"/>
      <c r="CK199" s="70"/>
      <c r="CL199" s="2"/>
      <c r="CM199" s="2"/>
      <c r="CN199" s="70"/>
      <c r="CO199" s="70"/>
      <c r="CP199" s="70"/>
      <c r="CQ199" s="70"/>
      <c r="CR199" s="2"/>
      <c r="CS199" s="2"/>
      <c r="CT199" s="70"/>
      <c r="CU199" s="70"/>
      <c r="CV199" s="70"/>
      <c r="CW199" s="70"/>
    </row>
    <row r="200" spans="1:101" ht="15.75" customHeight="1" x14ac:dyDescent="0.2">
      <c r="A200" s="1"/>
      <c r="B200" s="2"/>
      <c r="C200" s="2"/>
      <c r="D200" s="2"/>
      <c r="E200" s="2"/>
      <c r="F200" s="2"/>
      <c r="G200" s="2"/>
      <c r="H200" s="2"/>
      <c r="I200" s="2"/>
      <c r="J200" s="3"/>
      <c r="K200" s="2"/>
      <c r="L200" s="2"/>
      <c r="M200" s="2"/>
      <c r="N200" s="2"/>
      <c r="O200" s="2"/>
      <c r="P200" s="2"/>
      <c r="Q200" s="69"/>
      <c r="R200" s="69"/>
      <c r="S200" s="70"/>
      <c r="T200" s="70"/>
      <c r="U200" s="2"/>
      <c r="V200" s="2"/>
      <c r="W200" s="2"/>
      <c r="X200" s="2"/>
      <c r="Y200" s="2"/>
      <c r="Z200" s="2"/>
      <c r="AA200" s="20"/>
      <c r="AB200" s="71"/>
      <c r="AC200" s="71"/>
      <c r="AD200" s="2"/>
      <c r="AE200" s="70"/>
      <c r="AF200" s="70"/>
      <c r="AG200" s="70"/>
      <c r="AH200" s="70"/>
      <c r="AI200" s="2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70"/>
      <c r="AX200" s="70"/>
      <c r="AY200" s="70"/>
      <c r="AZ200" s="70"/>
      <c r="BA200" s="70"/>
      <c r="BB200" s="70"/>
      <c r="BC200" s="70"/>
      <c r="BD200" s="70"/>
      <c r="BE200" s="70"/>
      <c r="BF200" s="70"/>
      <c r="BG200" s="70"/>
      <c r="BH200" s="70"/>
      <c r="BI200" s="70"/>
      <c r="BJ200" s="70"/>
      <c r="BK200" s="70"/>
      <c r="BL200" s="70"/>
      <c r="BM200" s="70"/>
      <c r="BN200" s="70"/>
      <c r="BO200" s="70"/>
      <c r="BP200" s="70"/>
      <c r="BQ200" s="70"/>
      <c r="BR200" s="70"/>
      <c r="BS200" s="70"/>
      <c r="BT200" s="70"/>
      <c r="BU200" s="70"/>
      <c r="BV200" s="70"/>
      <c r="BW200" s="70"/>
      <c r="BX200" s="70"/>
      <c r="BY200" s="70"/>
      <c r="BZ200" s="70"/>
      <c r="CA200" s="70"/>
      <c r="CB200" s="70"/>
      <c r="CC200" s="70"/>
      <c r="CD200" s="70"/>
      <c r="CE200" s="70"/>
      <c r="CF200" s="70"/>
      <c r="CG200" s="70"/>
      <c r="CH200" s="70"/>
      <c r="CI200" s="70"/>
      <c r="CJ200" s="70"/>
      <c r="CK200" s="70"/>
      <c r="CL200" s="2"/>
      <c r="CM200" s="2"/>
      <c r="CN200" s="70"/>
      <c r="CO200" s="70"/>
      <c r="CP200" s="70"/>
      <c r="CQ200" s="70"/>
      <c r="CR200" s="2"/>
      <c r="CS200" s="2"/>
      <c r="CT200" s="70"/>
      <c r="CU200" s="70"/>
      <c r="CV200" s="70"/>
      <c r="CW200" s="70"/>
    </row>
    <row r="201" spans="1:101" ht="15.75" customHeight="1" x14ac:dyDescent="0.2">
      <c r="A201" s="1"/>
      <c r="B201" s="2"/>
      <c r="C201" s="2"/>
      <c r="D201" s="2"/>
      <c r="E201" s="2"/>
      <c r="F201" s="2"/>
      <c r="G201" s="2"/>
      <c r="H201" s="2"/>
      <c r="I201" s="2"/>
      <c r="J201" s="3"/>
      <c r="K201" s="2"/>
      <c r="L201" s="2"/>
      <c r="M201" s="2"/>
      <c r="N201" s="2"/>
      <c r="O201" s="2"/>
      <c r="P201" s="2"/>
      <c r="Q201" s="69"/>
      <c r="R201" s="69"/>
      <c r="S201" s="70"/>
      <c r="T201" s="70"/>
      <c r="U201" s="2"/>
      <c r="V201" s="2"/>
      <c r="W201" s="2"/>
      <c r="X201" s="2"/>
      <c r="Y201" s="2"/>
      <c r="Z201" s="2"/>
      <c r="AA201" s="20"/>
      <c r="AB201" s="71"/>
      <c r="AC201" s="71"/>
      <c r="AD201" s="2"/>
      <c r="AE201" s="70"/>
      <c r="AF201" s="70"/>
      <c r="AG201" s="70"/>
      <c r="AH201" s="70"/>
      <c r="AI201" s="2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70"/>
      <c r="AX201" s="70"/>
      <c r="AY201" s="70"/>
      <c r="AZ201" s="70"/>
      <c r="BA201" s="70"/>
      <c r="BB201" s="70"/>
      <c r="BC201" s="70"/>
      <c r="BD201" s="70"/>
      <c r="BE201" s="70"/>
      <c r="BF201" s="70"/>
      <c r="BG201" s="70"/>
      <c r="BH201" s="70"/>
      <c r="BI201" s="70"/>
      <c r="BJ201" s="70"/>
      <c r="BK201" s="70"/>
      <c r="BL201" s="70"/>
      <c r="BM201" s="70"/>
      <c r="BN201" s="70"/>
      <c r="BO201" s="70"/>
      <c r="BP201" s="70"/>
      <c r="BQ201" s="70"/>
      <c r="BR201" s="70"/>
      <c r="BS201" s="70"/>
      <c r="BT201" s="70"/>
      <c r="BU201" s="70"/>
      <c r="BV201" s="70"/>
      <c r="BW201" s="70"/>
      <c r="BX201" s="70"/>
      <c r="BY201" s="70"/>
      <c r="BZ201" s="70"/>
      <c r="CA201" s="70"/>
      <c r="CB201" s="70"/>
      <c r="CC201" s="70"/>
      <c r="CD201" s="70"/>
      <c r="CE201" s="70"/>
      <c r="CF201" s="70"/>
      <c r="CG201" s="70"/>
      <c r="CH201" s="70"/>
      <c r="CI201" s="70"/>
      <c r="CJ201" s="70"/>
      <c r="CK201" s="70"/>
      <c r="CL201" s="2"/>
      <c r="CM201" s="2"/>
      <c r="CN201" s="70"/>
      <c r="CO201" s="70"/>
      <c r="CP201" s="70"/>
      <c r="CQ201" s="70"/>
      <c r="CR201" s="2"/>
      <c r="CS201" s="2"/>
      <c r="CT201" s="70"/>
      <c r="CU201" s="70"/>
      <c r="CV201" s="70"/>
      <c r="CW201" s="70"/>
    </row>
    <row r="202" spans="1:101" ht="15.75" customHeight="1" x14ac:dyDescent="0.2">
      <c r="A202" s="1"/>
      <c r="B202" s="2"/>
      <c r="C202" s="2"/>
      <c r="D202" s="2"/>
      <c r="E202" s="2"/>
      <c r="F202" s="2"/>
      <c r="G202" s="2"/>
      <c r="H202" s="2"/>
      <c r="I202" s="2"/>
      <c r="J202" s="3"/>
      <c r="K202" s="2"/>
      <c r="L202" s="2"/>
      <c r="M202" s="2"/>
      <c r="N202" s="2"/>
      <c r="O202" s="2"/>
      <c r="P202" s="2"/>
      <c r="Q202" s="69"/>
      <c r="R202" s="69"/>
      <c r="S202" s="70"/>
      <c r="T202" s="70"/>
      <c r="U202" s="2"/>
      <c r="V202" s="2"/>
      <c r="W202" s="2"/>
      <c r="X202" s="2"/>
      <c r="Y202" s="2"/>
      <c r="Z202" s="2"/>
      <c r="AA202" s="20"/>
      <c r="AB202" s="71"/>
      <c r="AC202" s="71"/>
      <c r="AD202" s="2"/>
      <c r="AE202" s="70"/>
      <c r="AF202" s="70"/>
      <c r="AG202" s="70"/>
      <c r="AH202" s="70"/>
      <c r="AI202" s="2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70"/>
      <c r="AX202" s="70"/>
      <c r="AY202" s="70"/>
      <c r="AZ202" s="70"/>
      <c r="BA202" s="70"/>
      <c r="BB202" s="70"/>
      <c r="BC202" s="70"/>
      <c r="BD202" s="70"/>
      <c r="BE202" s="70"/>
      <c r="BF202" s="70"/>
      <c r="BG202" s="70"/>
      <c r="BH202" s="70"/>
      <c r="BI202" s="70"/>
      <c r="BJ202" s="70"/>
      <c r="BK202" s="70"/>
      <c r="BL202" s="70"/>
      <c r="BM202" s="70"/>
      <c r="BN202" s="70"/>
      <c r="BO202" s="70"/>
      <c r="BP202" s="70"/>
      <c r="BQ202" s="70"/>
      <c r="BR202" s="70"/>
      <c r="BS202" s="70"/>
      <c r="BT202" s="70"/>
      <c r="BU202" s="70"/>
      <c r="BV202" s="70"/>
      <c r="BW202" s="70"/>
      <c r="BX202" s="70"/>
      <c r="BY202" s="70"/>
      <c r="BZ202" s="70"/>
      <c r="CA202" s="70"/>
      <c r="CB202" s="70"/>
      <c r="CC202" s="70"/>
      <c r="CD202" s="70"/>
      <c r="CE202" s="70"/>
      <c r="CF202" s="70"/>
      <c r="CG202" s="70"/>
      <c r="CH202" s="70"/>
      <c r="CI202" s="70"/>
      <c r="CJ202" s="70"/>
      <c r="CK202" s="70"/>
      <c r="CL202" s="2"/>
      <c r="CM202" s="2"/>
      <c r="CN202" s="70"/>
      <c r="CO202" s="70"/>
      <c r="CP202" s="70"/>
      <c r="CQ202" s="70"/>
      <c r="CR202" s="2"/>
      <c r="CS202" s="2"/>
      <c r="CT202" s="70"/>
      <c r="CU202" s="70"/>
      <c r="CV202" s="70"/>
      <c r="CW202" s="70"/>
    </row>
    <row r="203" spans="1:101" ht="15.75" customHeight="1" x14ac:dyDescent="0.2">
      <c r="A203" s="1"/>
      <c r="B203" s="2"/>
      <c r="C203" s="2"/>
      <c r="D203" s="2"/>
      <c r="E203" s="2"/>
      <c r="F203" s="2"/>
      <c r="G203" s="2"/>
      <c r="H203" s="2"/>
      <c r="I203" s="2"/>
      <c r="J203" s="3"/>
      <c r="K203" s="2"/>
      <c r="L203" s="2"/>
      <c r="M203" s="2"/>
      <c r="N203" s="2"/>
      <c r="O203" s="2"/>
      <c r="P203" s="2"/>
      <c r="Q203" s="69"/>
      <c r="R203" s="69"/>
      <c r="S203" s="70"/>
      <c r="T203" s="70"/>
      <c r="U203" s="2"/>
      <c r="V203" s="2"/>
      <c r="W203" s="2"/>
      <c r="X203" s="2"/>
      <c r="Y203" s="2"/>
      <c r="Z203" s="2"/>
      <c r="AA203" s="20"/>
      <c r="AB203" s="71"/>
      <c r="AC203" s="71"/>
      <c r="AD203" s="2"/>
      <c r="AE203" s="70"/>
      <c r="AF203" s="70"/>
      <c r="AG203" s="70"/>
      <c r="AH203" s="70"/>
      <c r="AI203" s="2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70"/>
      <c r="AX203" s="70"/>
      <c r="AY203" s="70"/>
      <c r="AZ203" s="70"/>
      <c r="BA203" s="70"/>
      <c r="BB203" s="70"/>
      <c r="BC203" s="70"/>
      <c r="BD203" s="70"/>
      <c r="BE203" s="70"/>
      <c r="BF203" s="70"/>
      <c r="BG203" s="70"/>
      <c r="BH203" s="70"/>
      <c r="BI203" s="70"/>
      <c r="BJ203" s="70"/>
      <c r="BK203" s="70"/>
      <c r="BL203" s="70"/>
      <c r="BM203" s="70"/>
      <c r="BN203" s="70"/>
      <c r="BO203" s="70"/>
      <c r="BP203" s="70"/>
      <c r="BQ203" s="70"/>
      <c r="BR203" s="70"/>
      <c r="BS203" s="70"/>
      <c r="BT203" s="70"/>
      <c r="BU203" s="70"/>
      <c r="BV203" s="70"/>
      <c r="BW203" s="70"/>
      <c r="BX203" s="70"/>
      <c r="BY203" s="70"/>
      <c r="BZ203" s="70"/>
      <c r="CA203" s="70"/>
      <c r="CB203" s="70"/>
      <c r="CC203" s="70"/>
      <c r="CD203" s="70"/>
      <c r="CE203" s="70"/>
      <c r="CF203" s="70"/>
      <c r="CG203" s="70"/>
      <c r="CH203" s="70"/>
      <c r="CI203" s="70"/>
      <c r="CJ203" s="70"/>
      <c r="CK203" s="70"/>
      <c r="CL203" s="2"/>
      <c r="CM203" s="2"/>
      <c r="CN203" s="70"/>
      <c r="CO203" s="70"/>
      <c r="CP203" s="70"/>
      <c r="CQ203" s="70"/>
      <c r="CR203" s="2"/>
      <c r="CS203" s="2"/>
      <c r="CT203" s="70"/>
      <c r="CU203" s="70"/>
      <c r="CV203" s="70"/>
      <c r="CW203" s="70"/>
    </row>
    <row r="204" spans="1:101" ht="15.75" customHeight="1" x14ac:dyDescent="0.2">
      <c r="A204" s="1"/>
      <c r="B204" s="2"/>
      <c r="C204" s="2"/>
      <c r="D204" s="2"/>
      <c r="E204" s="2"/>
      <c r="F204" s="2"/>
      <c r="G204" s="2"/>
      <c r="H204" s="2"/>
      <c r="I204" s="2"/>
      <c r="J204" s="3"/>
      <c r="K204" s="2"/>
      <c r="L204" s="2"/>
      <c r="M204" s="2"/>
      <c r="N204" s="2"/>
      <c r="O204" s="2"/>
      <c r="P204" s="2"/>
      <c r="Q204" s="69"/>
      <c r="R204" s="69"/>
      <c r="S204" s="70"/>
      <c r="T204" s="70"/>
      <c r="U204" s="2"/>
      <c r="V204" s="2"/>
      <c r="W204" s="2"/>
      <c r="X204" s="2"/>
      <c r="Y204" s="2"/>
      <c r="Z204" s="2"/>
      <c r="AA204" s="20"/>
      <c r="AB204" s="71"/>
      <c r="AC204" s="71"/>
      <c r="AD204" s="2"/>
      <c r="AE204" s="70"/>
      <c r="AF204" s="70"/>
      <c r="AG204" s="70"/>
      <c r="AH204" s="70"/>
      <c r="AI204" s="2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70"/>
      <c r="AX204" s="70"/>
      <c r="AY204" s="70"/>
      <c r="AZ204" s="70"/>
      <c r="BA204" s="70"/>
      <c r="BB204" s="70"/>
      <c r="BC204" s="70"/>
      <c r="BD204" s="70"/>
      <c r="BE204" s="70"/>
      <c r="BF204" s="70"/>
      <c r="BG204" s="70"/>
      <c r="BH204" s="70"/>
      <c r="BI204" s="70"/>
      <c r="BJ204" s="70"/>
      <c r="BK204" s="70"/>
      <c r="BL204" s="70"/>
      <c r="BM204" s="70"/>
      <c r="BN204" s="70"/>
      <c r="BO204" s="70"/>
      <c r="BP204" s="70"/>
      <c r="BQ204" s="70"/>
      <c r="BR204" s="70"/>
      <c r="BS204" s="70"/>
      <c r="BT204" s="70"/>
      <c r="BU204" s="70"/>
      <c r="BV204" s="70"/>
      <c r="BW204" s="70"/>
      <c r="BX204" s="70"/>
      <c r="BY204" s="70"/>
      <c r="BZ204" s="70"/>
      <c r="CA204" s="70"/>
      <c r="CB204" s="70"/>
      <c r="CC204" s="70"/>
      <c r="CD204" s="70"/>
      <c r="CE204" s="70"/>
      <c r="CF204" s="70"/>
      <c r="CG204" s="70"/>
      <c r="CH204" s="70"/>
      <c r="CI204" s="70"/>
      <c r="CJ204" s="70"/>
      <c r="CK204" s="70"/>
      <c r="CL204" s="2"/>
      <c r="CM204" s="2"/>
      <c r="CN204" s="70"/>
      <c r="CO204" s="70"/>
      <c r="CP204" s="70"/>
      <c r="CQ204" s="70"/>
      <c r="CR204" s="2"/>
      <c r="CS204" s="2"/>
      <c r="CT204" s="70"/>
      <c r="CU204" s="70"/>
      <c r="CV204" s="70"/>
      <c r="CW204" s="70"/>
    </row>
    <row r="205" spans="1:101" ht="15.75" customHeight="1" x14ac:dyDescent="0.2">
      <c r="A205" s="1"/>
      <c r="B205" s="2"/>
      <c r="C205" s="2"/>
      <c r="D205" s="2"/>
      <c r="E205" s="2"/>
      <c r="F205" s="2"/>
      <c r="G205" s="2"/>
      <c r="H205" s="2"/>
      <c r="I205" s="2"/>
      <c r="J205" s="3"/>
      <c r="K205" s="2"/>
      <c r="L205" s="2"/>
      <c r="M205" s="2"/>
      <c r="N205" s="2"/>
      <c r="O205" s="2"/>
      <c r="P205" s="2"/>
      <c r="Q205" s="69"/>
      <c r="R205" s="69"/>
      <c r="S205" s="70"/>
      <c r="T205" s="70"/>
      <c r="U205" s="2"/>
      <c r="V205" s="2"/>
      <c r="W205" s="2"/>
      <c r="X205" s="2"/>
      <c r="Y205" s="2"/>
      <c r="Z205" s="2"/>
      <c r="AA205" s="20"/>
      <c r="AB205" s="71"/>
      <c r="AC205" s="71"/>
      <c r="AD205" s="2"/>
      <c r="AE205" s="70"/>
      <c r="AF205" s="70"/>
      <c r="AG205" s="70"/>
      <c r="AH205" s="70"/>
      <c r="AI205" s="2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70"/>
      <c r="AX205" s="70"/>
      <c r="AY205" s="70"/>
      <c r="AZ205" s="70"/>
      <c r="BA205" s="70"/>
      <c r="BB205" s="70"/>
      <c r="BC205" s="70"/>
      <c r="BD205" s="70"/>
      <c r="BE205" s="70"/>
      <c r="BF205" s="70"/>
      <c r="BG205" s="70"/>
      <c r="BH205" s="70"/>
      <c r="BI205" s="70"/>
      <c r="BJ205" s="70"/>
      <c r="BK205" s="70"/>
      <c r="BL205" s="70"/>
      <c r="BM205" s="70"/>
      <c r="BN205" s="70"/>
      <c r="BO205" s="70"/>
      <c r="BP205" s="70"/>
      <c r="BQ205" s="70"/>
      <c r="BR205" s="70"/>
      <c r="BS205" s="70"/>
      <c r="BT205" s="70"/>
      <c r="BU205" s="70"/>
      <c r="BV205" s="70"/>
      <c r="BW205" s="70"/>
      <c r="BX205" s="70"/>
      <c r="BY205" s="70"/>
      <c r="BZ205" s="70"/>
      <c r="CA205" s="70"/>
      <c r="CB205" s="70"/>
      <c r="CC205" s="70"/>
      <c r="CD205" s="70"/>
      <c r="CE205" s="70"/>
      <c r="CF205" s="70"/>
      <c r="CG205" s="70"/>
      <c r="CH205" s="70"/>
      <c r="CI205" s="70"/>
      <c r="CJ205" s="70"/>
      <c r="CK205" s="70"/>
      <c r="CL205" s="2"/>
      <c r="CM205" s="2"/>
      <c r="CN205" s="70"/>
      <c r="CO205" s="70"/>
      <c r="CP205" s="70"/>
      <c r="CQ205" s="70"/>
      <c r="CR205" s="2"/>
      <c r="CS205" s="2"/>
      <c r="CT205" s="70"/>
      <c r="CU205" s="70"/>
      <c r="CV205" s="70"/>
      <c r="CW205" s="70"/>
    </row>
    <row r="206" spans="1:101" ht="15.75" customHeight="1" x14ac:dyDescent="0.2">
      <c r="A206" s="1"/>
      <c r="B206" s="2"/>
      <c r="C206" s="2"/>
      <c r="D206" s="2"/>
      <c r="E206" s="2"/>
      <c r="F206" s="2"/>
      <c r="G206" s="2"/>
      <c r="H206" s="2"/>
      <c r="I206" s="2"/>
      <c r="J206" s="3"/>
      <c r="K206" s="2"/>
      <c r="L206" s="2"/>
      <c r="M206" s="2"/>
      <c r="N206" s="2"/>
      <c r="O206" s="2"/>
      <c r="P206" s="2"/>
      <c r="Q206" s="69"/>
      <c r="R206" s="69"/>
      <c r="S206" s="70"/>
      <c r="T206" s="70"/>
      <c r="U206" s="2"/>
      <c r="V206" s="2"/>
      <c r="W206" s="2"/>
      <c r="X206" s="2"/>
      <c r="Y206" s="2"/>
      <c r="Z206" s="2"/>
      <c r="AA206" s="20"/>
      <c r="AB206" s="71"/>
      <c r="AC206" s="71"/>
      <c r="AD206" s="2"/>
      <c r="AE206" s="70"/>
      <c r="AF206" s="70"/>
      <c r="AG206" s="70"/>
      <c r="AH206" s="70"/>
      <c r="AI206" s="2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70"/>
      <c r="AX206" s="70"/>
      <c r="AY206" s="70"/>
      <c r="AZ206" s="70"/>
      <c r="BA206" s="70"/>
      <c r="BB206" s="70"/>
      <c r="BC206" s="70"/>
      <c r="BD206" s="70"/>
      <c r="BE206" s="70"/>
      <c r="BF206" s="70"/>
      <c r="BG206" s="70"/>
      <c r="BH206" s="70"/>
      <c r="BI206" s="70"/>
      <c r="BJ206" s="70"/>
      <c r="BK206" s="70"/>
      <c r="BL206" s="70"/>
      <c r="BM206" s="70"/>
      <c r="BN206" s="70"/>
      <c r="BO206" s="70"/>
      <c r="BP206" s="70"/>
      <c r="BQ206" s="70"/>
      <c r="BR206" s="70"/>
      <c r="BS206" s="70"/>
      <c r="BT206" s="70"/>
      <c r="BU206" s="70"/>
      <c r="BV206" s="70"/>
      <c r="BW206" s="70"/>
      <c r="BX206" s="70"/>
      <c r="BY206" s="70"/>
      <c r="BZ206" s="70"/>
      <c r="CA206" s="70"/>
      <c r="CB206" s="70"/>
      <c r="CC206" s="70"/>
      <c r="CD206" s="70"/>
      <c r="CE206" s="70"/>
      <c r="CF206" s="70"/>
      <c r="CG206" s="70"/>
      <c r="CH206" s="70"/>
      <c r="CI206" s="70"/>
      <c r="CJ206" s="70"/>
      <c r="CK206" s="70"/>
      <c r="CL206" s="2"/>
      <c r="CM206" s="2"/>
      <c r="CN206" s="70"/>
      <c r="CO206" s="70"/>
      <c r="CP206" s="70"/>
      <c r="CQ206" s="70"/>
      <c r="CR206" s="2"/>
      <c r="CS206" s="2"/>
      <c r="CT206" s="70"/>
      <c r="CU206" s="70"/>
      <c r="CV206" s="70"/>
      <c r="CW206" s="70"/>
    </row>
    <row r="207" spans="1:101" ht="15.75" customHeight="1" x14ac:dyDescent="0.2">
      <c r="A207" s="1"/>
      <c r="B207" s="2"/>
      <c r="C207" s="2"/>
      <c r="D207" s="2"/>
      <c r="E207" s="2"/>
      <c r="F207" s="2"/>
      <c r="G207" s="2"/>
      <c r="H207" s="2"/>
      <c r="I207" s="2"/>
      <c r="J207" s="3"/>
      <c r="K207" s="2"/>
      <c r="L207" s="2"/>
      <c r="M207" s="2"/>
      <c r="N207" s="2"/>
      <c r="O207" s="2"/>
      <c r="P207" s="2"/>
      <c r="Q207" s="69"/>
      <c r="R207" s="69"/>
      <c r="S207" s="70"/>
      <c r="T207" s="70"/>
      <c r="U207" s="2"/>
      <c r="V207" s="2"/>
      <c r="W207" s="2"/>
      <c r="X207" s="2"/>
      <c r="Y207" s="2"/>
      <c r="Z207" s="2"/>
      <c r="AA207" s="20"/>
      <c r="AB207" s="71"/>
      <c r="AC207" s="71"/>
      <c r="AD207" s="2"/>
      <c r="AE207" s="70"/>
      <c r="AF207" s="70"/>
      <c r="AG207" s="70"/>
      <c r="AH207" s="70"/>
      <c r="AI207" s="2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70"/>
      <c r="AX207" s="70"/>
      <c r="AY207" s="70"/>
      <c r="AZ207" s="70"/>
      <c r="BA207" s="70"/>
      <c r="BB207" s="70"/>
      <c r="BC207" s="70"/>
      <c r="BD207" s="70"/>
      <c r="BE207" s="70"/>
      <c r="BF207" s="70"/>
      <c r="BG207" s="70"/>
      <c r="BH207" s="70"/>
      <c r="BI207" s="70"/>
      <c r="BJ207" s="70"/>
      <c r="BK207" s="70"/>
      <c r="BL207" s="70"/>
      <c r="BM207" s="70"/>
      <c r="BN207" s="70"/>
      <c r="BO207" s="70"/>
      <c r="BP207" s="70"/>
      <c r="BQ207" s="70"/>
      <c r="BR207" s="70"/>
      <c r="BS207" s="70"/>
      <c r="BT207" s="70"/>
      <c r="BU207" s="70"/>
      <c r="BV207" s="70"/>
      <c r="BW207" s="70"/>
      <c r="BX207" s="70"/>
      <c r="BY207" s="70"/>
      <c r="BZ207" s="70"/>
      <c r="CA207" s="70"/>
      <c r="CB207" s="70"/>
      <c r="CC207" s="70"/>
      <c r="CD207" s="70"/>
      <c r="CE207" s="70"/>
      <c r="CF207" s="70"/>
      <c r="CG207" s="70"/>
      <c r="CH207" s="70"/>
      <c r="CI207" s="70"/>
      <c r="CJ207" s="70"/>
      <c r="CK207" s="70"/>
      <c r="CL207" s="2"/>
      <c r="CM207" s="2"/>
      <c r="CN207" s="70"/>
      <c r="CO207" s="70"/>
      <c r="CP207" s="70"/>
      <c r="CQ207" s="70"/>
      <c r="CR207" s="2"/>
      <c r="CS207" s="2"/>
      <c r="CT207" s="70"/>
      <c r="CU207" s="70"/>
      <c r="CV207" s="70"/>
      <c r="CW207" s="70"/>
    </row>
    <row r="208" spans="1:101" ht="15.75" customHeight="1" x14ac:dyDescent="0.2">
      <c r="A208" s="1"/>
      <c r="B208" s="2"/>
      <c r="C208" s="2"/>
      <c r="D208" s="2"/>
      <c r="E208" s="2"/>
      <c r="F208" s="2"/>
      <c r="G208" s="2"/>
      <c r="H208" s="2"/>
      <c r="I208" s="2"/>
      <c r="J208" s="3"/>
      <c r="K208" s="2"/>
      <c r="L208" s="2"/>
      <c r="M208" s="2"/>
      <c r="N208" s="2"/>
      <c r="O208" s="2"/>
      <c r="P208" s="2"/>
      <c r="Q208" s="69"/>
      <c r="R208" s="69"/>
      <c r="S208" s="70"/>
      <c r="T208" s="70"/>
      <c r="U208" s="2"/>
      <c r="V208" s="2"/>
      <c r="W208" s="2"/>
      <c r="X208" s="2"/>
      <c r="Y208" s="2"/>
      <c r="Z208" s="2"/>
      <c r="AA208" s="20"/>
      <c r="AB208" s="71"/>
      <c r="AC208" s="71"/>
      <c r="AD208" s="2"/>
      <c r="AE208" s="70"/>
      <c r="AF208" s="70"/>
      <c r="AG208" s="70"/>
      <c r="AH208" s="70"/>
      <c r="AI208" s="2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70"/>
      <c r="AX208" s="70"/>
      <c r="AY208" s="70"/>
      <c r="AZ208" s="70"/>
      <c r="BA208" s="70"/>
      <c r="BB208" s="70"/>
      <c r="BC208" s="70"/>
      <c r="BD208" s="70"/>
      <c r="BE208" s="70"/>
      <c r="BF208" s="70"/>
      <c r="BG208" s="70"/>
      <c r="BH208" s="70"/>
      <c r="BI208" s="70"/>
      <c r="BJ208" s="70"/>
      <c r="BK208" s="70"/>
      <c r="BL208" s="70"/>
      <c r="BM208" s="70"/>
      <c r="BN208" s="70"/>
      <c r="BO208" s="70"/>
      <c r="BP208" s="70"/>
      <c r="BQ208" s="70"/>
      <c r="BR208" s="70"/>
      <c r="BS208" s="70"/>
      <c r="BT208" s="70"/>
      <c r="BU208" s="70"/>
      <c r="BV208" s="70"/>
      <c r="BW208" s="70"/>
      <c r="BX208" s="70"/>
      <c r="BY208" s="70"/>
      <c r="BZ208" s="70"/>
      <c r="CA208" s="70"/>
      <c r="CB208" s="70"/>
      <c r="CC208" s="70"/>
      <c r="CD208" s="70"/>
      <c r="CE208" s="70"/>
      <c r="CF208" s="70"/>
      <c r="CG208" s="70"/>
      <c r="CH208" s="70"/>
      <c r="CI208" s="70"/>
      <c r="CJ208" s="70"/>
      <c r="CK208" s="70"/>
      <c r="CL208" s="2"/>
      <c r="CM208" s="2"/>
      <c r="CN208" s="70"/>
      <c r="CO208" s="70"/>
      <c r="CP208" s="70"/>
      <c r="CQ208" s="70"/>
      <c r="CR208" s="2"/>
      <c r="CS208" s="2"/>
      <c r="CT208" s="70"/>
      <c r="CU208" s="70"/>
      <c r="CV208" s="70"/>
      <c r="CW208" s="70"/>
    </row>
    <row r="209" spans="1:101" ht="15.75" customHeight="1" x14ac:dyDescent="0.2">
      <c r="A209" s="1"/>
      <c r="B209" s="2"/>
      <c r="C209" s="2"/>
      <c r="D209" s="2"/>
      <c r="E209" s="2"/>
      <c r="F209" s="2"/>
      <c r="G209" s="2"/>
      <c r="H209" s="2"/>
      <c r="I209" s="2"/>
      <c r="J209" s="3"/>
      <c r="K209" s="2"/>
      <c r="L209" s="2"/>
      <c r="M209" s="2"/>
      <c r="N209" s="2"/>
      <c r="O209" s="2"/>
      <c r="P209" s="2"/>
      <c r="Q209" s="69"/>
      <c r="R209" s="69"/>
      <c r="S209" s="70"/>
      <c r="T209" s="70"/>
      <c r="U209" s="2"/>
      <c r="V209" s="2"/>
      <c r="W209" s="2"/>
      <c r="X209" s="2"/>
      <c r="Y209" s="2"/>
      <c r="Z209" s="2"/>
      <c r="AA209" s="20"/>
      <c r="AB209" s="71"/>
      <c r="AC209" s="71"/>
      <c r="AD209" s="2"/>
      <c r="AE209" s="70"/>
      <c r="AF209" s="70"/>
      <c r="AG209" s="70"/>
      <c r="AH209" s="70"/>
      <c r="AI209" s="2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70"/>
      <c r="AX209" s="70"/>
      <c r="AY209" s="70"/>
      <c r="AZ209" s="70"/>
      <c r="BA209" s="70"/>
      <c r="BB209" s="70"/>
      <c r="BC209" s="70"/>
      <c r="BD209" s="70"/>
      <c r="BE209" s="70"/>
      <c r="BF209" s="70"/>
      <c r="BG209" s="70"/>
      <c r="BH209" s="70"/>
      <c r="BI209" s="70"/>
      <c r="BJ209" s="70"/>
      <c r="BK209" s="70"/>
      <c r="BL209" s="70"/>
      <c r="BM209" s="70"/>
      <c r="BN209" s="70"/>
      <c r="BO209" s="70"/>
      <c r="BP209" s="70"/>
      <c r="BQ209" s="70"/>
      <c r="BR209" s="70"/>
      <c r="BS209" s="70"/>
      <c r="BT209" s="70"/>
      <c r="BU209" s="70"/>
      <c r="BV209" s="70"/>
      <c r="BW209" s="70"/>
      <c r="BX209" s="70"/>
      <c r="BY209" s="70"/>
      <c r="BZ209" s="70"/>
      <c r="CA209" s="70"/>
      <c r="CB209" s="70"/>
      <c r="CC209" s="70"/>
      <c r="CD209" s="70"/>
      <c r="CE209" s="70"/>
      <c r="CF209" s="70"/>
      <c r="CG209" s="70"/>
      <c r="CH209" s="70"/>
      <c r="CI209" s="70"/>
      <c r="CJ209" s="70"/>
      <c r="CK209" s="70"/>
      <c r="CL209" s="2"/>
      <c r="CM209" s="2"/>
      <c r="CN209" s="70"/>
      <c r="CO209" s="70"/>
      <c r="CP209" s="70"/>
      <c r="CQ209" s="70"/>
      <c r="CR209" s="2"/>
      <c r="CS209" s="2"/>
      <c r="CT209" s="70"/>
      <c r="CU209" s="70"/>
      <c r="CV209" s="70"/>
      <c r="CW209" s="70"/>
    </row>
    <row r="210" spans="1:101" ht="15.75" customHeight="1" x14ac:dyDescent="0.2">
      <c r="A210" s="1"/>
      <c r="B210" s="2"/>
      <c r="C210" s="2"/>
      <c r="D210" s="2"/>
      <c r="E210" s="2"/>
      <c r="F210" s="2"/>
      <c r="G210" s="2"/>
      <c r="H210" s="2"/>
      <c r="I210" s="2"/>
      <c r="J210" s="3"/>
      <c r="K210" s="2"/>
      <c r="L210" s="2"/>
      <c r="M210" s="2"/>
      <c r="N210" s="2"/>
      <c r="O210" s="2"/>
      <c r="P210" s="2"/>
      <c r="Q210" s="69"/>
      <c r="R210" s="69"/>
      <c r="S210" s="70"/>
      <c r="T210" s="70"/>
      <c r="U210" s="2"/>
      <c r="V210" s="2"/>
      <c r="W210" s="2"/>
      <c r="X210" s="2"/>
      <c r="Y210" s="2"/>
      <c r="Z210" s="2"/>
      <c r="AA210" s="20"/>
      <c r="AB210" s="71"/>
      <c r="AC210" s="71"/>
      <c r="AD210" s="2"/>
      <c r="AE210" s="70"/>
      <c r="AF210" s="70"/>
      <c r="AG210" s="70"/>
      <c r="AH210" s="70"/>
      <c r="AI210" s="2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70"/>
      <c r="AX210" s="70"/>
      <c r="AY210" s="70"/>
      <c r="AZ210" s="70"/>
      <c r="BA210" s="70"/>
      <c r="BB210" s="70"/>
      <c r="BC210" s="70"/>
      <c r="BD210" s="70"/>
      <c r="BE210" s="70"/>
      <c r="BF210" s="70"/>
      <c r="BG210" s="70"/>
      <c r="BH210" s="70"/>
      <c r="BI210" s="70"/>
      <c r="BJ210" s="70"/>
      <c r="BK210" s="70"/>
      <c r="BL210" s="70"/>
      <c r="BM210" s="70"/>
      <c r="BN210" s="70"/>
      <c r="BO210" s="70"/>
      <c r="BP210" s="70"/>
      <c r="BQ210" s="70"/>
      <c r="BR210" s="70"/>
      <c r="BS210" s="70"/>
      <c r="BT210" s="70"/>
      <c r="BU210" s="70"/>
      <c r="BV210" s="70"/>
      <c r="BW210" s="70"/>
      <c r="BX210" s="70"/>
      <c r="BY210" s="70"/>
      <c r="BZ210" s="70"/>
      <c r="CA210" s="70"/>
      <c r="CB210" s="70"/>
      <c r="CC210" s="70"/>
      <c r="CD210" s="70"/>
      <c r="CE210" s="70"/>
      <c r="CF210" s="70"/>
      <c r="CG210" s="70"/>
      <c r="CH210" s="70"/>
      <c r="CI210" s="70"/>
      <c r="CJ210" s="70"/>
      <c r="CK210" s="70"/>
      <c r="CL210" s="2"/>
      <c r="CM210" s="2"/>
      <c r="CN210" s="70"/>
      <c r="CO210" s="70"/>
      <c r="CP210" s="70"/>
      <c r="CQ210" s="70"/>
      <c r="CR210" s="2"/>
      <c r="CS210" s="2"/>
      <c r="CT210" s="70"/>
      <c r="CU210" s="70"/>
      <c r="CV210" s="70"/>
      <c r="CW210" s="70"/>
    </row>
    <row r="211" spans="1:101" ht="15.75" customHeight="1" x14ac:dyDescent="0.2">
      <c r="A211" s="1"/>
      <c r="B211" s="2"/>
      <c r="C211" s="2"/>
      <c r="D211" s="2"/>
      <c r="E211" s="2"/>
      <c r="F211" s="2"/>
      <c r="G211" s="2"/>
      <c r="H211" s="2"/>
      <c r="I211" s="2"/>
      <c r="J211" s="3"/>
      <c r="K211" s="2"/>
      <c r="L211" s="2"/>
      <c r="M211" s="2"/>
      <c r="N211" s="2"/>
      <c r="O211" s="2"/>
      <c r="P211" s="2"/>
      <c r="Q211" s="69"/>
      <c r="R211" s="69"/>
      <c r="S211" s="70"/>
      <c r="T211" s="70"/>
      <c r="U211" s="2"/>
      <c r="V211" s="2"/>
      <c r="W211" s="2"/>
      <c r="X211" s="2"/>
      <c r="Y211" s="2"/>
      <c r="Z211" s="2"/>
      <c r="AA211" s="20"/>
      <c r="AB211" s="71"/>
      <c r="AC211" s="71"/>
      <c r="AD211" s="2"/>
      <c r="AE211" s="70"/>
      <c r="AF211" s="70"/>
      <c r="AG211" s="70"/>
      <c r="AH211" s="70"/>
      <c r="AI211" s="2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70"/>
      <c r="AX211" s="70"/>
      <c r="AY211" s="70"/>
      <c r="AZ211" s="70"/>
      <c r="BA211" s="70"/>
      <c r="BB211" s="70"/>
      <c r="BC211" s="70"/>
      <c r="BD211" s="70"/>
      <c r="BE211" s="70"/>
      <c r="BF211" s="70"/>
      <c r="BG211" s="70"/>
      <c r="BH211" s="70"/>
      <c r="BI211" s="70"/>
      <c r="BJ211" s="70"/>
      <c r="BK211" s="70"/>
      <c r="BL211" s="70"/>
      <c r="BM211" s="70"/>
      <c r="BN211" s="70"/>
      <c r="BO211" s="70"/>
      <c r="BP211" s="70"/>
      <c r="BQ211" s="70"/>
      <c r="BR211" s="70"/>
      <c r="BS211" s="70"/>
      <c r="BT211" s="70"/>
      <c r="BU211" s="70"/>
      <c r="BV211" s="70"/>
      <c r="BW211" s="70"/>
      <c r="BX211" s="70"/>
      <c r="BY211" s="70"/>
      <c r="BZ211" s="70"/>
      <c r="CA211" s="70"/>
      <c r="CB211" s="70"/>
      <c r="CC211" s="70"/>
      <c r="CD211" s="70"/>
      <c r="CE211" s="70"/>
      <c r="CF211" s="70"/>
      <c r="CG211" s="70"/>
      <c r="CH211" s="70"/>
      <c r="CI211" s="70"/>
      <c r="CJ211" s="70"/>
      <c r="CK211" s="70"/>
      <c r="CL211" s="2"/>
      <c r="CM211" s="2"/>
      <c r="CN211" s="70"/>
      <c r="CO211" s="70"/>
      <c r="CP211" s="70"/>
      <c r="CQ211" s="70"/>
      <c r="CR211" s="2"/>
      <c r="CS211" s="2"/>
      <c r="CT211" s="70"/>
      <c r="CU211" s="70"/>
      <c r="CV211" s="70"/>
      <c r="CW211" s="70"/>
    </row>
    <row r="212" spans="1:101" ht="15.75" customHeight="1" x14ac:dyDescent="0.2">
      <c r="A212" s="1"/>
      <c r="B212" s="2"/>
      <c r="C212" s="2"/>
      <c r="D212" s="2"/>
      <c r="E212" s="2"/>
      <c r="F212" s="2"/>
      <c r="G212" s="2"/>
      <c r="H212" s="2"/>
      <c r="I212" s="2"/>
      <c r="J212" s="3"/>
      <c r="K212" s="2"/>
      <c r="L212" s="2"/>
      <c r="M212" s="2"/>
      <c r="N212" s="2"/>
      <c r="O212" s="2"/>
      <c r="P212" s="2"/>
      <c r="Q212" s="69"/>
      <c r="R212" s="69"/>
      <c r="S212" s="70"/>
      <c r="T212" s="70"/>
      <c r="U212" s="2"/>
      <c r="V212" s="2"/>
      <c r="W212" s="2"/>
      <c r="X212" s="2"/>
      <c r="Y212" s="2"/>
      <c r="Z212" s="2"/>
      <c r="AA212" s="20"/>
      <c r="AB212" s="71"/>
      <c r="AC212" s="71"/>
      <c r="AD212" s="2"/>
      <c r="AE212" s="70"/>
      <c r="AF212" s="70"/>
      <c r="AG212" s="70"/>
      <c r="AH212" s="70"/>
      <c r="AI212" s="2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  <c r="AW212" s="70"/>
      <c r="AX212" s="70"/>
      <c r="AY212" s="70"/>
      <c r="AZ212" s="70"/>
      <c r="BA212" s="70"/>
      <c r="BB212" s="70"/>
      <c r="BC212" s="70"/>
      <c r="BD212" s="70"/>
      <c r="BE212" s="70"/>
      <c r="BF212" s="70"/>
      <c r="BG212" s="70"/>
      <c r="BH212" s="70"/>
      <c r="BI212" s="70"/>
      <c r="BJ212" s="70"/>
      <c r="BK212" s="70"/>
      <c r="BL212" s="70"/>
      <c r="BM212" s="70"/>
      <c r="BN212" s="70"/>
      <c r="BO212" s="70"/>
      <c r="BP212" s="70"/>
      <c r="BQ212" s="70"/>
      <c r="BR212" s="70"/>
      <c r="BS212" s="70"/>
      <c r="BT212" s="70"/>
      <c r="BU212" s="70"/>
      <c r="BV212" s="70"/>
      <c r="BW212" s="70"/>
      <c r="BX212" s="70"/>
      <c r="BY212" s="70"/>
      <c r="BZ212" s="70"/>
      <c r="CA212" s="70"/>
      <c r="CB212" s="70"/>
      <c r="CC212" s="70"/>
      <c r="CD212" s="70"/>
      <c r="CE212" s="70"/>
      <c r="CF212" s="70"/>
      <c r="CG212" s="70"/>
      <c r="CH212" s="70"/>
      <c r="CI212" s="70"/>
      <c r="CJ212" s="70"/>
      <c r="CK212" s="70"/>
      <c r="CL212" s="2"/>
      <c r="CM212" s="2"/>
      <c r="CN212" s="70"/>
      <c r="CO212" s="70"/>
      <c r="CP212" s="70"/>
      <c r="CQ212" s="70"/>
      <c r="CR212" s="2"/>
      <c r="CS212" s="2"/>
      <c r="CT212" s="70"/>
      <c r="CU212" s="70"/>
      <c r="CV212" s="70"/>
      <c r="CW212" s="70"/>
    </row>
    <row r="213" spans="1:101" ht="15.75" customHeight="1" x14ac:dyDescent="0.2">
      <c r="A213" s="1"/>
      <c r="B213" s="2"/>
      <c r="C213" s="2"/>
      <c r="D213" s="2"/>
      <c r="E213" s="2"/>
      <c r="F213" s="2"/>
      <c r="G213" s="2"/>
      <c r="H213" s="2"/>
      <c r="I213" s="2"/>
      <c r="J213" s="3"/>
      <c r="K213" s="2"/>
      <c r="L213" s="2"/>
      <c r="M213" s="2"/>
      <c r="N213" s="2"/>
      <c r="O213" s="2"/>
      <c r="P213" s="2"/>
      <c r="Q213" s="69"/>
      <c r="R213" s="69"/>
      <c r="S213" s="70"/>
      <c r="T213" s="70"/>
      <c r="U213" s="2"/>
      <c r="V213" s="2"/>
      <c r="W213" s="2"/>
      <c r="X213" s="2"/>
      <c r="Y213" s="2"/>
      <c r="Z213" s="2"/>
      <c r="AA213" s="20"/>
      <c r="AB213" s="71"/>
      <c r="AC213" s="71"/>
      <c r="AD213" s="2"/>
      <c r="AE213" s="70"/>
      <c r="AF213" s="70"/>
      <c r="AG213" s="70"/>
      <c r="AH213" s="70"/>
      <c r="AI213" s="2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70"/>
      <c r="AX213" s="70"/>
      <c r="AY213" s="70"/>
      <c r="AZ213" s="70"/>
      <c r="BA213" s="70"/>
      <c r="BB213" s="70"/>
      <c r="BC213" s="70"/>
      <c r="BD213" s="70"/>
      <c r="BE213" s="70"/>
      <c r="BF213" s="70"/>
      <c r="BG213" s="70"/>
      <c r="BH213" s="70"/>
      <c r="BI213" s="70"/>
      <c r="BJ213" s="70"/>
      <c r="BK213" s="70"/>
      <c r="BL213" s="70"/>
      <c r="BM213" s="70"/>
      <c r="BN213" s="70"/>
      <c r="BO213" s="70"/>
      <c r="BP213" s="70"/>
      <c r="BQ213" s="70"/>
      <c r="BR213" s="70"/>
      <c r="BS213" s="70"/>
      <c r="BT213" s="70"/>
      <c r="BU213" s="70"/>
      <c r="BV213" s="70"/>
      <c r="BW213" s="70"/>
      <c r="BX213" s="70"/>
      <c r="BY213" s="70"/>
      <c r="BZ213" s="70"/>
      <c r="CA213" s="70"/>
      <c r="CB213" s="70"/>
      <c r="CC213" s="70"/>
      <c r="CD213" s="70"/>
      <c r="CE213" s="70"/>
      <c r="CF213" s="70"/>
      <c r="CG213" s="70"/>
      <c r="CH213" s="70"/>
      <c r="CI213" s="70"/>
      <c r="CJ213" s="70"/>
      <c r="CK213" s="70"/>
      <c r="CL213" s="2"/>
      <c r="CM213" s="2"/>
      <c r="CN213" s="70"/>
      <c r="CO213" s="70"/>
      <c r="CP213" s="70"/>
      <c r="CQ213" s="70"/>
      <c r="CR213" s="2"/>
      <c r="CS213" s="2"/>
      <c r="CT213" s="70"/>
      <c r="CU213" s="70"/>
      <c r="CV213" s="70"/>
      <c r="CW213" s="70"/>
    </row>
    <row r="214" spans="1:101" ht="15.75" customHeight="1" x14ac:dyDescent="0.2">
      <c r="A214" s="1"/>
      <c r="B214" s="2"/>
      <c r="C214" s="2"/>
      <c r="D214" s="2"/>
      <c r="E214" s="2"/>
      <c r="F214" s="2"/>
      <c r="G214" s="2"/>
      <c r="H214" s="2"/>
      <c r="I214" s="2"/>
      <c r="J214" s="3"/>
      <c r="K214" s="2"/>
      <c r="L214" s="2"/>
      <c r="M214" s="2"/>
      <c r="N214" s="2"/>
      <c r="O214" s="2"/>
      <c r="P214" s="2"/>
      <c r="Q214" s="69"/>
      <c r="R214" s="69"/>
      <c r="S214" s="70"/>
      <c r="T214" s="70"/>
      <c r="U214" s="2"/>
      <c r="V214" s="2"/>
      <c r="W214" s="2"/>
      <c r="X214" s="2"/>
      <c r="Y214" s="2"/>
      <c r="Z214" s="2"/>
      <c r="AA214" s="20"/>
      <c r="AB214" s="71"/>
      <c r="AC214" s="71"/>
      <c r="AD214" s="2"/>
      <c r="AE214" s="70"/>
      <c r="AF214" s="70"/>
      <c r="AG214" s="70"/>
      <c r="AH214" s="70"/>
      <c r="AI214" s="2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0"/>
      <c r="AX214" s="70"/>
      <c r="AY214" s="70"/>
      <c r="AZ214" s="70"/>
      <c r="BA214" s="70"/>
      <c r="BB214" s="70"/>
      <c r="BC214" s="70"/>
      <c r="BD214" s="70"/>
      <c r="BE214" s="70"/>
      <c r="BF214" s="70"/>
      <c r="BG214" s="70"/>
      <c r="BH214" s="70"/>
      <c r="BI214" s="70"/>
      <c r="BJ214" s="70"/>
      <c r="BK214" s="70"/>
      <c r="BL214" s="70"/>
      <c r="BM214" s="70"/>
      <c r="BN214" s="70"/>
      <c r="BO214" s="70"/>
      <c r="BP214" s="70"/>
      <c r="BQ214" s="70"/>
      <c r="BR214" s="70"/>
      <c r="BS214" s="70"/>
      <c r="BT214" s="70"/>
      <c r="BU214" s="70"/>
      <c r="BV214" s="70"/>
      <c r="BW214" s="70"/>
      <c r="BX214" s="70"/>
      <c r="BY214" s="70"/>
      <c r="BZ214" s="70"/>
      <c r="CA214" s="70"/>
      <c r="CB214" s="70"/>
      <c r="CC214" s="70"/>
      <c r="CD214" s="70"/>
      <c r="CE214" s="70"/>
      <c r="CF214" s="70"/>
      <c r="CG214" s="70"/>
      <c r="CH214" s="70"/>
      <c r="CI214" s="70"/>
      <c r="CJ214" s="70"/>
      <c r="CK214" s="70"/>
      <c r="CL214" s="2"/>
      <c r="CM214" s="2"/>
      <c r="CN214" s="70"/>
      <c r="CO214" s="70"/>
      <c r="CP214" s="70"/>
      <c r="CQ214" s="70"/>
      <c r="CR214" s="2"/>
      <c r="CS214" s="2"/>
      <c r="CT214" s="70"/>
      <c r="CU214" s="70"/>
      <c r="CV214" s="70"/>
      <c r="CW214" s="70"/>
    </row>
    <row r="215" spans="1:101" ht="15.75" customHeight="1" x14ac:dyDescent="0.2">
      <c r="A215" s="1"/>
      <c r="B215" s="2"/>
      <c r="C215" s="2"/>
      <c r="D215" s="2"/>
      <c r="E215" s="2"/>
      <c r="F215" s="2"/>
      <c r="G215" s="2"/>
      <c r="H215" s="2"/>
      <c r="I215" s="2"/>
      <c r="J215" s="3"/>
      <c r="K215" s="2"/>
      <c r="L215" s="2"/>
      <c r="M215" s="2"/>
      <c r="N215" s="2"/>
      <c r="O215" s="2"/>
      <c r="P215" s="2"/>
      <c r="Q215" s="69"/>
      <c r="R215" s="69"/>
      <c r="S215" s="70"/>
      <c r="T215" s="70"/>
      <c r="U215" s="2"/>
      <c r="V215" s="2"/>
      <c r="W215" s="2"/>
      <c r="X215" s="2"/>
      <c r="Y215" s="2"/>
      <c r="Z215" s="2"/>
      <c r="AA215" s="20"/>
      <c r="AB215" s="71"/>
      <c r="AC215" s="71"/>
      <c r="AD215" s="2"/>
      <c r="AE215" s="70"/>
      <c r="AF215" s="70"/>
      <c r="AG215" s="70"/>
      <c r="AH215" s="70"/>
      <c r="AI215" s="2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0"/>
      <c r="AX215" s="70"/>
      <c r="AY215" s="70"/>
      <c r="AZ215" s="70"/>
      <c r="BA215" s="70"/>
      <c r="BB215" s="70"/>
      <c r="BC215" s="70"/>
      <c r="BD215" s="70"/>
      <c r="BE215" s="70"/>
      <c r="BF215" s="70"/>
      <c r="BG215" s="70"/>
      <c r="BH215" s="70"/>
      <c r="BI215" s="70"/>
      <c r="BJ215" s="70"/>
      <c r="BK215" s="70"/>
      <c r="BL215" s="70"/>
      <c r="BM215" s="70"/>
      <c r="BN215" s="70"/>
      <c r="BO215" s="70"/>
      <c r="BP215" s="70"/>
      <c r="BQ215" s="70"/>
      <c r="BR215" s="70"/>
      <c r="BS215" s="70"/>
      <c r="BT215" s="70"/>
      <c r="BU215" s="70"/>
      <c r="BV215" s="70"/>
      <c r="BW215" s="70"/>
      <c r="BX215" s="70"/>
      <c r="BY215" s="70"/>
      <c r="BZ215" s="70"/>
      <c r="CA215" s="70"/>
      <c r="CB215" s="70"/>
      <c r="CC215" s="70"/>
      <c r="CD215" s="70"/>
      <c r="CE215" s="70"/>
      <c r="CF215" s="70"/>
      <c r="CG215" s="70"/>
      <c r="CH215" s="70"/>
      <c r="CI215" s="70"/>
      <c r="CJ215" s="70"/>
      <c r="CK215" s="70"/>
      <c r="CL215" s="2"/>
      <c r="CM215" s="2"/>
      <c r="CN215" s="70"/>
      <c r="CO215" s="70"/>
      <c r="CP215" s="70"/>
      <c r="CQ215" s="70"/>
      <c r="CR215" s="2"/>
      <c r="CS215" s="2"/>
      <c r="CT215" s="70"/>
      <c r="CU215" s="70"/>
      <c r="CV215" s="70"/>
      <c r="CW215" s="70"/>
    </row>
    <row r="216" spans="1:101" ht="15.75" customHeight="1" x14ac:dyDescent="0.2">
      <c r="A216" s="1"/>
      <c r="B216" s="2"/>
      <c r="C216" s="2"/>
      <c r="D216" s="2"/>
      <c r="E216" s="2"/>
      <c r="F216" s="2"/>
      <c r="G216" s="2"/>
      <c r="H216" s="2"/>
      <c r="I216" s="2"/>
      <c r="J216" s="3"/>
      <c r="K216" s="2"/>
      <c r="L216" s="2"/>
      <c r="M216" s="2"/>
      <c r="N216" s="2"/>
      <c r="O216" s="2"/>
      <c r="P216" s="2"/>
      <c r="Q216" s="69"/>
      <c r="R216" s="69"/>
      <c r="S216" s="70"/>
      <c r="T216" s="70"/>
      <c r="U216" s="2"/>
      <c r="V216" s="2"/>
      <c r="W216" s="2"/>
      <c r="X216" s="2"/>
      <c r="Y216" s="2"/>
      <c r="Z216" s="2"/>
      <c r="AA216" s="20"/>
      <c r="AB216" s="71"/>
      <c r="AC216" s="71"/>
      <c r="AD216" s="2"/>
      <c r="AE216" s="70"/>
      <c r="AF216" s="70"/>
      <c r="AG216" s="70"/>
      <c r="AH216" s="70"/>
      <c r="AI216" s="2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0"/>
      <c r="AX216" s="70"/>
      <c r="AY216" s="70"/>
      <c r="AZ216" s="70"/>
      <c r="BA216" s="70"/>
      <c r="BB216" s="70"/>
      <c r="BC216" s="70"/>
      <c r="BD216" s="70"/>
      <c r="BE216" s="70"/>
      <c r="BF216" s="70"/>
      <c r="BG216" s="70"/>
      <c r="BH216" s="70"/>
      <c r="BI216" s="70"/>
      <c r="BJ216" s="70"/>
      <c r="BK216" s="70"/>
      <c r="BL216" s="70"/>
      <c r="BM216" s="70"/>
      <c r="BN216" s="70"/>
      <c r="BO216" s="70"/>
      <c r="BP216" s="70"/>
      <c r="BQ216" s="70"/>
      <c r="BR216" s="70"/>
      <c r="BS216" s="70"/>
      <c r="BT216" s="70"/>
      <c r="BU216" s="70"/>
      <c r="BV216" s="70"/>
      <c r="BW216" s="70"/>
      <c r="BX216" s="70"/>
      <c r="BY216" s="70"/>
      <c r="BZ216" s="70"/>
      <c r="CA216" s="70"/>
      <c r="CB216" s="70"/>
      <c r="CC216" s="70"/>
      <c r="CD216" s="70"/>
      <c r="CE216" s="70"/>
      <c r="CF216" s="70"/>
      <c r="CG216" s="70"/>
      <c r="CH216" s="70"/>
      <c r="CI216" s="70"/>
      <c r="CJ216" s="70"/>
      <c r="CK216" s="70"/>
      <c r="CL216" s="2"/>
      <c r="CM216" s="2"/>
      <c r="CN216" s="70"/>
      <c r="CO216" s="70"/>
      <c r="CP216" s="70"/>
      <c r="CQ216" s="70"/>
      <c r="CR216" s="2"/>
      <c r="CS216" s="2"/>
      <c r="CT216" s="70"/>
      <c r="CU216" s="70"/>
      <c r="CV216" s="70"/>
      <c r="CW216" s="70"/>
    </row>
    <row r="217" spans="1:101" ht="15.75" customHeight="1" x14ac:dyDescent="0.2">
      <c r="A217" s="1"/>
      <c r="B217" s="2"/>
      <c r="C217" s="2"/>
      <c r="D217" s="2"/>
      <c r="E217" s="2"/>
      <c r="F217" s="2"/>
      <c r="G217" s="2"/>
      <c r="H217" s="2"/>
      <c r="I217" s="2"/>
      <c r="J217" s="3"/>
      <c r="K217" s="2"/>
      <c r="L217" s="2"/>
      <c r="M217" s="2"/>
      <c r="N217" s="2"/>
      <c r="O217" s="2"/>
      <c r="P217" s="2"/>
      <c r="Q217" s="69"/>
      <c r="R217" s="69"/>
      <c r="S217" s="70"/>
      <c r="T217" s="70"/>
      <c r="U217" s="2"/>
      <c r="V217" s="2"/>
      <c r="W217" s="2"/>
      <c r="X217" s="2"/>
      <c r="Y217" s="2"/>
      <c r="Z217" s="2"/>
      <c r="AA217" s="20"/>
      <c r="AB217" s="71"/>
      <c r="AC217" s="71"/>
      <c r="AD217" s="2"/>
      <c r="AE217" s="70"/>
      <c r="AF217" s="70"/>
      <c r="AG217" s="70"/>
      <c r="AH217" s="70"/>
      <c r="AI217" s="2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70"/>
      <c r="AX217" s="70"/>
      <c r="AY217" s="70"/>
      <c r="AZ217" s="70"/>
      <c r="BA217" s="70"/>
      <c r="BB217" s="70"/>
      <c r="BC217" s="70"/>
      <c r="BD217" s="70"/>
      <c r="BE217" s="70"/>
      <c r="BF217" s="70"/>
      <c r="BG217" s="70"/>
      <c r="BH217" s="70"/>
      <c r="BI217" s="70"/>
      <c r="BJ217" s="70"/>
      <c r="BK217" s="70"/>
      <c r="BL217" s="70"/>
      <c r="BM217" s="70"/>
      <c r="BN217" s="70"/>
      <c r="BO217" s="70"/>
      <c r="BP217" s="70"/>
      <c r="BQ217" s="70"/>
      <c r="BR217" s="70"/>
      <c r="BS217" s="70"/>
      <c r="BT217" s="70"/>
      <c r="BU217" s="70"/>
      <c r="BV217" s="70"/>
      <c r="BW217" s="70"/>
      <c r="BX217" s="70"/>
      <c r="BY217" s="70"/>
      <c r="BZ217" s="70"/>
      <c r="CA217" s="70"/>
      <c r="CB217" s="70"/>
      <c r="CC217" s="70"/>
      <c r="CD217" s="70"/>
      <c r="CE217" s="70"/>
      <c r="CF217" s="70"/>
      <c r="CG217" s="70"/>
      <c r="CH217" s="70"/>
      <c r="CI217" s="70"/>
      <c r="CJ217" s="70"/>
      <c r="CK217" s="70"/>
      <c r="CL217" s="2"/>
      <c r="CM217" s="2"/>
      <c r="CN217" s="70"/>
      <c r="CO217" s="70"/>
      <c r="CP217" s="70"/>
      <c r="CQ217" s="70"/>
      <c r="CR217" s="2"/>
      <c r="CS217" s="2"/>
      <c r="CT217" s="70"/>
      <c r="CU217" s="70"/>
      <c r="CV217" s="70"/>
      <c r="CW217" s="70"/>
    </row>
    <row r="218" spans="1:101" ht="15.75" customHeight="1" x14ac:dyDescent="0.2">
      <c r="A218" s="1"/>
      <c r="B218" s="2"/>
      <c r="C218" s="2"/>
      <c r="D218" s="2"/>
      <c r="E218" s="2"/>
      <c r="F218" s="2"/>
      <c r="G218" s="2"/>
      <c r="H218" s="2"/>
      <c r="I218" s="2"/>
      <c r="J218" s="3"/>
      <c r="K218" s="2"/>
      <c r="L218" s="2"/>
      <c r="M218" s="2"/>
      <c r="N218" s="2"/>
      <c r="O218" s="2"/>
      <c r="P218" s="2"/>
      <c r="Q218" s="69"/>
      <c r="R218" s="69"/>
      <c r="S218" s="70"/>
      <c r="T218" s="70"/>
      <c r="U218" s="2"/>
      <c r="V218" s="2"/>
      <c r="W218" s="2"/>
      <c r="X218" s="2"/>
      <c r="Y218" s="2"/>
      <c r="Z218" s="2"/>
      <c r="AA218" s="20"/>
      <c r="AB218" s="71"/>
      <c r="AC218" s="71"/>
      <c r="AD218" s="2"/>
      <c r="AE218" s="70"/>
      <c r="AF218" s="70"/>
      <c r="AG218" s="70"/>
      <c r="AH218" s="70"/>
      <c r="AI218" s="2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70"/>
      <c r="AX218" s="70"/>
      <c r="AY218" s="70"/>
      <c r="AZ218" s="70"/>
      <c r="BA218" s="70"/>
      <c r="BB218" s="70"/>
      <c r="BC218" s="70"/>
      <c r="BD218" s="70"/>
      <c r="BE218" s="70"/>
      <c r="BF218" s="70"/>
      <c r="BG218" s="70"/>
      <c r="BH218" s="70"/>
      <c r="BI218" s="70"/>
      <c r="BJ218" s="70"/>
      <c r="BK218" s="70"/>
      <c r="BL218" s="70"/>
      <c r="BM218" s="70"/>
      <c r="BN218" s="70"/>
      <c r="BO218" s="70"/>
      <c r="BP218" s="70"/>
      <c r="BQ218" s="70"/>
      <c r="BR218" s="70"/>
      <c r="BS218" s="70"/>
      <c r="BT218" s="70"/>
      <c r="BU218" s="70"/>
      <c r="BV218" s="70"/>
      <c r="BW218" s="70"/>
      <c r="BX218" s="70"/>
      <c r="BY218" s="70"/>
      <c r="BZ218" s="70"/>
      <c r="CA218" s="70"/>
      <c r="CB218" s="70"/>
      <c r="CC218" s="70"/>
      <c r="CD218" s="70"/>
      <c r="CE218" s="70"/>
      <c r="CF218" s="70"/>
      <c r="CG218" s="70"/>
      <c r="CH218" s="70"/>
      <c r="CI218" s="70"/>
      <c r="CJ218" s="70"/>
      <c r="CK218" s="70"/>
      <c r="CL218" s="2"/>
      <c r="CM218" s="2"/>
      <c r="CN218" s="70"/>
      <c r="CO218" s="70"/>
      <c r="CP218" s="70"/>
      <c r="CQ218" s="70"/>
      <c r="CR218" s="2"/>
      <c r="CS218" s="2"/>
      <c r="CT218" s="70"/>
      <c r="CU218" s="70"/>
      <c r="CV218" s="70"/>
      <c r="CW218" s="70"/>
    </row>
    <row r="219" spans="1:101" ht="15.75" customHeight="1" x14ac:dyDescent="0.2">
      <c r="A219" s="1"/>
      <c r="B219" s="2"/>
      <c r="C219" s="2"/>
      <c r="D219" s="2"/>
      <c r="E219" s="2"/>
      <c r="F219" s="2"/>
      <c r="G219" s="2"/>
      <c r="H219" s="2"/>
      <c r="I219" s="2"/>
      <c r="J219" s="3"/>
      <c r="K219" s="2"/>
      <c r="L219" s="2"/>
      <c r="M219" s="2"/>
      <c r="N219" s="2"/>
      <c r="O219" s="2"/>
      <c r="P219" s="2"/>
      <c r="Q219" s="69"/>
      <c r="R219" s="69"/>
      <c r="S219" s="70"/>
      <c r="T219" s="70"/>
      <c r="U219" s="2"/>
      <c r="V219" s="2"/>
      <c r="W219" s="2"/>
      <c r="X219" s="2"/>
      <c r="Y219" s="2"/>
      <c r="Z219" s="2"/>
      <c r="AA219" s="20"/>
      <c r="AB219" s="71"/>
      <c r="AC219" s="71"/>
      <c r="AD219" s="2"/>
      <c r="AE219" s="70"/>
      <c r="AF219" s="70"/>
      <c r="AG219" s="70"/>
      <c r="AH219" s="70"/>
      <c r="AI219" s="2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70"/>
      <c r="AX219" s="70"/>
      <c r="AY219" s="70"/>
      <c r="AZ219" s="70"/>
      <c r="BA219" s="70"/>
      <c r="BB219" s="70"/>
      <c r="BC219" s="70"/>
      <c r="BD219" s="70"/>
      <c r="BE219" s="70"/>
      <c r="BF219" s="70"/>
      <c r="BG219" s="70"/>
      <c r="BH219" s="70"/>
      <c r="BI219" s="70"/>
      <c r="BJ219" s="70"/>
      <c r="BK219" s="70"/>
      <c r="BL219" s="70"/>
      <c r="BM219" s="70"/>
      <c r="BN219" s="70"/>
      <c r="BO219" s="70"/>
      <c r="BP219" s="70"/>
      <c r="BQ219" s="70"/>
      <c r="BR219" s="70"/>
      <c r="BS219" s="70"/>
      <c r="BT219" s="70"/>
      <c r="BU219" s="70"/>
      <c r="BV219" s="70"/>
      <c r="BW219" s="70"/>
      <c r="BX219" s="70"/>
      <c r="BY219" s="70"/>
      <c r="BZ219" s="70"/>
      <c r="CA219" s="70"/>
      <c r="CB219" s="70"/>
      <c r="CC219" s="70"/>
      <c r="CD219" s="70"/>
      <c r="CE219" s="70"/>
      <c r="CF219" s="70"/>
      <c r="CG219" s="70"/>
      <c r="CH219" s="70"/>
      <c r="CI219" s="70"/>
      <c r="CJ219" s="70"/>
      <c r="CK219" s="70"/>
      <c r="CL219" s="2"/>
      <c r="CM219" s="2"/>
      <c r="CN219" s="70"/>
      <c r="CO219" s="70"/>
      <c r="CP219" s="70"/>
      <c r="CQ219" s="70"/>
      <c r="CR219" s="2"/>
      <c r="CS219" s="2"/>
      <c r="CT219" s="70"/>
      <c r="CU219" s="70"/>
      <c r="CV219" s="70"/>
      <c r="CW219" s="70"/>
    </row>
    <row r="220" spans="1:101" ht="15.75" customHeight="1" x14ac:dyDescent="0.2">
      <c r="A220" s="1"/>
      <c r="B220" s="2"/>
      <c r="C220" s="2"/>
      <c r="D220" s="2"/>
      <c r="E220" s="2"/>
      <c r="F220" s="2"/>
      <c r="G220" s="2"/>
      <c r="H220" s="2"/>
      <c r="I220" s="2"/>
      <c r="J220" s="3"/>
      <c r="K220" s="2"/>
      <c r="L220" s="2"/>
      <c r="M220" s="2"/>
      <c r="N220" s="2"/>
      <c r="O220" s="2"/>
      <c r="P220" s="2"/>
      <c r="Q220" s="69"/>
      <c r="R220" s="69"/>
      <c r="S220" s="70"/>
      <c r="T220" s="70"/>
      <c r="U220" s="2"/>
      <c r="V220" s="2"/>
      <c r="W220" s="2"/>
      <c r="X220" s="2"/>
      <c r="Y220" s="2"/>
      <c r="Z220" s="2"/>
      <c r="AA220" s="20"/>
      <c r="AB220" s="71"/>
      <c r="AC220" s="71"/>
      <c r="AD220" s="2"/>
      <c r="AE220" s="70"/>
      <c r="AF220" s="70"/>
      <c r="AG220" s="70"/>
      <c r="AH220" s="70"/>
      <c r="AI220" s="2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 s="70"/>
      <c r="AX220" s="70"/>
      <c r="AY220" s="70"/>
      <c r="AZ220" s="70"/>
      <c r="BA220" s="70"/>
      <c r="BB220" s="70"/>
      <c r="BC220" s="70"/>
      <c r="BD220" s="70"/>
      <c r="BE220" s="70"/>
      <c r="BF220" s="70"/>
      <c r="BG220" s="70"/>
      <c r="BH220" s="70"/>
      <c r="BI220" s="70"/>
      <c r="BJ220" s="70"/>
      <c r="BK220" s="70"/>
      <c r="BL220" s="70"/>
      <c r="BM220" s="70"/>
      <c r="BN220" s="70"/>
      <c r="BO220" s="70"/>
      <c r="BP220" s="70"/>
      <c r="BQ220" s="70"/>
      <c r="BR220" s="70"/>
      <c r="BS220" s="70"/>
      <c r="BT220" s="70"/>
      <c r="BU220" s="70"/>
      <c r="BV220" s="70"/>
      <c r="BW220" s="70"/>
      <c r="BX220" s="70"/>
      <c r="BY220" s="70"/>
      <c r="BZ220" s="70"/>
      <c r="CA220" s="70"/>
      <c r="CB220" s="70"/>
      <c r="CC220" s="70"/>
      <c r="CD220" s="70"/>
      <c r="CE220" s="70"/>
      <c r="CF220" s="70"/>
      <c r="CG220" s="70"/>
      <c r="CH220" s="70"/>
      <c r="CI220" s="70"/>
      <c r="CJ220" s="70"/>
      <c r="CK220" s="70"/>
      <c r="CL220" s="2"/>
      <c r="CM220" s="2"/>
      <c r="CN220" s="70"/>
      <c r="CO220" s="70"/>
      <c r="CP220" s="70"/>
      <c r="CQ220" s="70"/>
      <c r="CR220" s="2"/>
      <c r="CS220" s="2"/>
      <c r="CT220" s="70"/>
      <c r="CU220" s="70"/>
      <c r="CV220" s="70"/>
      <c r="CW220" s="70"/>
    </row>
    <row r="221" spans="1:101" ht="15.75" customHeight="1" x14ac:dyDescent="0.2">
      <c r="A221" s="1"/>
      <c r="B221" s="2"/>
      <c r="C221" s="2"/>
      <c r="D221" s="2"/>
      <c r="E221" s="2"/>
      <c r="F221" s="2"/>
      <c r="G221" s="2"/>
      <c r="H221" s="2"/>
      <c r="I221" s="2"/>
      <c r="J221" s="3"/>
      <c r="K221" s="2"/>
      <c r="L221" s="2"/>
      <c r="M221" s="2"/>
      <c r="N221" s="2"/>
      <c r="O221" s="2"/>
      <c r="P221" s="2"/>
      <c r="Q221" s="69"/>
      <c r="R221" s="69"/>
      <c r="S221" s="70"/>
      <c r="T221" s="70"/>
      <c r="U221" s="2"/>
      <c r="V221" s="2"/>
      <c r="W221" s="2"/>
      <c r="X221" s="2"/>
      <c r="Y221" s="2"/>
      <c r="Z221" s="2"/>
      <c r="AA221" s="20"/>
      <c r="AB221" s="71"/>
      <c r="AC221" s="71"/>
      <c r="AD221" s="2"/>
      <c r="AE221" s="70"/>
      <c r="AF221" s="70"/>
      <c r="AG221" s="70"/>
      <c r="AH221" s="70"/>
      <c r="AI221" s="2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 s="70"/>
      <c r="AX221" s="70"/>
      <c r="AY221" s="70"/>
      <c r="AZ221" s="70"/>
      <c r="BA221" s="70"/>
      <c r="BB221" s="70"/>
      <c r="BC221" s="70"/>
      <c r="BD221" s="70"/>
      <c r="BE221" s="70"/>
      <c r="BF221" s="70"/>
      <c r="BG221" s="70"/>
      <c r="BH221" s="70"/>
      <c r="BI221" s="70"/>
      <c r="BJ221" s="70"/>
      <c r="BK221" s="70"/>
      <c r="BL221" s="70"/>
      <c r="BM221" s="70"/>
      <c r="BN221" s="70"/>
      <c r="BO221" s="70"/>
      <c r="BP221" s="70"/>
      <c r="BQ221" s="70"/>
      <c r="BR221" s="70"/>
      <c r="BS221" s="70"/>
      <c r="BT221" s="70"/>
      <c r="BU221" s="70"/>
      <c r="BV221" s="70"/>
      <c r="BW221" s="70"/>
      <c r="BX221" s="70"/>
      <c r="BY221" s="70"/>
      <c r="BZ221" s="70"/>
      <c r="CA221" s="70"/>
      <c r="CB221" s="70"/>
      <c r="CC221" s="70"/>
      <c r="CD221" s="70"/>
      <c r="CE221" s="70"/>
      <c r="CF221" s="70"/>
      <c r="CG221" s="70"/>
      <c r="CH221" s="70"/>
      <c r="CI221" s="70"/>
      <c r="CJ221" s="70"/>
      <c r="CK221" s="70"/>
      <c r="CL221" s="2"/>
      <c r="CM221" s="2"/>
      <c r="CN221" s="70"/>
      <c r="CO221" s="70"/>
      <c r="CP221" s="70"/>
      <c r="CQ221" s="70"/>
      <c r="CR221" s="2"/>
      <c r="CS221" s="2"/>
      <c r="CT221" s="70"/>
      <c r="CU221" s="70"/>
      <c r="CV221" s="70"/>
      <c r="CW221" s="70"/>
    </row>
    <row r="222" spans="1:101" ht="15.75" customHeight="1" x14ac:dyDescent="0.2">
      <c r="A222" s="1"/>
      <c r="B222" s="2"/>
      <c r="C222" s="2"/>
      <c r="D222" s="2"/>
      <c r="E222" s="2"/>
      <c r="F222" s="2"/>
      <c r="G222" s="2"/>
      <c r="H222" s="2"/>
      <c r="I222" s="2"/>
      <c r="J222" s="3"/>
      <c r="K222" s="2"/>
      <c r="L222" s="2"/>
      <c r="M222" s="2"/>
      <c r="N222" s="2"/>
      <c r="O222" s="2"/>
      <c r="P222" s="2"/>
      <c r="Q222" s="69"/>
      <c r="R222" s="69"/>
      <c r="S222" s="70"/>
      <c r="T222" s="70"/>
      <c r="U222" s="2"/>
      <c r="V222" s="2"/>
      <c r="W222" s="2"/>
      <c r="X222" s="2"/>
      <c r="Y222" s="2"/>
      <c r="Z222" s="2"/>
      <c r="AA222" s="20"/>
      <c r="AB222" s="71"/>
      <c r="AC222" s="71"/>
      <c r="AD222" s="2"/>
      <c r="AE222" s="70"/>
      <c r="AF222" s="70"/>
      <c r="AG222" s="70"/>
      <c r="AH222" s="70"/>
      <c r="AI222" s="2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 s="70"/>
      <c r="AX222" s="70"/>
      <c r="AY222" s="70"/>
      <c r="AZ222" s="70"/>
      <c r="BA222" s="70"/>
      <c r="BB222" s="70"/>
      <c r="BC222" s="70"/>
      <c r="BD222" s="70"/>
      <c r="BE222" s="70"/>
      <c r="BF222" s="70"/>
      <c r="BG222" s="70"/>
      <c r="BH222" s="70"/>
      <c r="BI222" s="70"/>
      <c r="BJ222" s="70"/>
      <c r="BK222" s="70"/>
      <c r="BL222" s="70"/>
      <c r="BM222" s="70"/>
      <c r="BN222" s="70"/>
      <c r="BO222" s="70"/>
      <c r="BP222" s="70"/>
      <c r="BQ222" s="70"/>
      <c r="BR222" s="70"/>
      <c r="BS222" s="70"/>
      <c r="BT222" s="70"/>
      <c r="BU222" s="70"/>
      <c r="BV222" s="70"/>
      <c r="BW222" s="70"/>
      <c r="BX222" s="70"/>
      <c r="BY222" s="70"/>
      <c r="BZ222" s="70"/>
      <c r="CA222" s="70"/>
      <c r="CB222" s="70"/>
      <c r="CC222" s="70"/>
      <c r="CD222" s="70"/>
      <c r="CE222" s="70"/>
      <c r="CF222" s="70"/>
      <c r="CG222" s="70"/>
      <c r="CH222" s="70"/>
      <c r="CI222" s="70"/>
      <c r="CJ222" s="70"/>
      <c r="CK222" s="70"/>
      <c r="CL222" s="2"/>
      <c r="CM222" s="2"/>
      <c r="CN222" s="70"/>
      <c r="CO222" s="70"/>
      <c r="CP222" s="70"/>
      <c r="CQ222" s="70"/>
      <c r="CR222" s="2"/>
      <c r="CS222" s="2"/>
      <c r="CT222" s="70"/>
      <c r="CU222" s="70"/>
      <c r="CV222" s="70"/>
      <c r="CW222" s="70"/>
    </row>
    <row r="223" spans="1:101" ht="15.75" customHeight="1" x14ac:dyDescent="0.2">
      <c r="A223" s="1"/>
      <c r="B223" s="2"/>
      <c r="C223" s="2"/>
      <c r="D223" s="2"/>
      <c r="E223" s="2"/>
      <c r="F223" s="2"/>
      <c r="G223" s="2"/>
      <c r="H223" s="2"/>
      <c r="I223" s="2"/>
      <c r="J223" s="3"/>
      <c r="K223" s="2"/>
      <c r="L223" s="2"/>
      <c r="M223" s="2"/>
      <c r="N223" s="2"/>
      <c r="O223" s="2"/>
      <c r="P223" s="2"/>
      <c r="Q223" s="69"/>
      <c r="R223" s="69"/>
      <c r="S223" s="70"/>
      <c r="T223" s="70"/>
      <c r="U223" s="2"/>
      <c r="V223" s="2"/>
      <c r="W223" s="2"/>
      <c r="X223" s="2"/>
      <c r="Y223" s="2"/>
      <c r="Z223" s="2"/>
      <c r="AA223" s="20"/>
      <c r="AB223" s="71"/>
      <c r="AC223" s="71"/>
      <c r="AD223" s="2"/>
      <c r="AE223" s="70"/>
      <c r="AF223" s="70"/>
      <c r="AG223" s="70"/>
      <c r="AH223" s="70"/>
      <c r="AI223" s="2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70"/>
      <c r="AX223" s="70"/>
      <c r="AY223" s="70"/>
      <c r="AZ223" s="70"/>
      <c r="BA223" s="70"/>
      <c r="BB223" s="70"/>
      <c r="BC223" s="70"/>
      <c r="BD223" s="70"/>
      <c r="BE223" s="70"/>
      <c r="BF223" s="70"/>
      <c r="BG223" s="70"/>
      <c r="BH223" s="70"/>
      <c r="BI223" s="70"/>
      <c r="BJ223" s="70"/>
      <c r="BK223" s="70"/>
      <c r="BL223" s="70"/>
      <c r="BM223" s="70"/>
      <c r="BN223" s="70"/>
      <c r="BO223" s="70"/>
      <c r="BP223" s="70"/>
      <c r="BQ223" s="70"/>
      <c r="BR223" s="70"/>
      <c r="BS223" s="70"/>
      <c r="BT223" s="70"/>
      <c r="BU223" s="70"/>
      <c r="BV223" s="70"/>
      <c r="BW223" s="70"/>
      <c r="BX223" s="70"/>
      <c r="BY223" s="70"/>
      <c r="BZ223" s="70"/>
      <c r="CA223" s="70"/>
      <c r="CB223" s="70"/>
      <c r="CC223" s="70"/>
      <c r="CD223" s="70"/>
      <c r="CE223" s="70"/>
      <c r="CF223" s="70"/>
      <c r="CG223" s="70"/>
      <c r="CH223" s="70"/>
      <c r="CI223" s="70"/>
      <c r="CJ223" s="70"/>
      <c r="CK223" s="70"/>
      <c r="CL223" s="2"/>
      <c r="CM223" s="2"/>
      <c r="CN223" s="70"/>
      <c r="CO223" s="70"/>
      <c r="CP223" s="70"/>
      <c r="CQ223" s="70"/>
      <c r="CR223" s="2"/>
      <c r="CS223" s="2"/>
      <c r="CT223" s="70"/>
      <c r="CU223" s="70"/>
      <c r="CV223" s="70"/>
      <c r="CW223" s="70"/>
    </row>
    <row r="224" spans="1:101" ht="15.75" customHeight="1" x14ac:dyDescent="0.2">
      <c r="A224" s="1"/>
      <c r="B224" s="2"/>
      <c r="C224" s="2"/>
      <c r="D224" s="2"/>
      <c r="E224" s="2"/>
      <c r="F224" s="2"/>
      <c r="G224" s="2"/>
      <c r="H224" s="2"/>
      <c r="I224" s="2"/>
      <c r="J224" s="3"/>
      <c r="K224" s="2"/>
      <c r="L224" s="2"/>
      <c r="M224" s="2"/>
      <c r="N224" s="2"/>
      <c r="O224" s="2"/>
      <c r="P224" s="2"/>
      <c r="Q224" s="69"/>
      <c r="R224" s="69"/>
      <c r="S224" s="70"/>
      <c r="T224" s="70"/>
      <c r="U224" s="2"/>
      <c r="V224" s="2"/>
      <c r="W224" s="2"/>
      <c r="X224" s="2"/>
      <c r="Y224" s="2"/>
      <c r="Z224" s="2"/>
      <c r="AA224" s="20"/>
      <c r="AB224" s="71"/>
      <c r="AC224" s="71"/>
      <c r="AD224" s="2"/>
      <c r="AE224" s="70"/>
      <c r="AF224" s="70"/>
      <c r="AG224" s="70"/>
      <c r="AH224" s="70"/>
      <c r="AI224" s="2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0"/>
      <c r="AX224" s="70"/>
      <c r="AY224" s="70"/>
      <c r="AZ224" s="70"/>
      <c r="BA224" s="70"/>
      <c r="BB224" s="70"/>
      <c r="BC224" s="70"/>
      <c r="BD224" s="70"/>
      <c r="BE224" s="70"/>
      <c r="BF224" s="70"/>
      <c r="BG224" s="70"/>
      <c r="BH224" s="70"/>
      <c r="BI224" s="70"/>
      <c r="BJ224" s="70"/>
      <c r="BK224" s="70"/>
      <c r="BL224" s="70"/>
      <c r="BM224" s="70"/>
      <c r="BN224" s="70"/>
      <c r="BO224" s="70"/>
      <c r="BP224" s="70"/>
      <c r="BQ224" s="70"/>
      <c r="BR224" s="70"/>
      <c r="BS224" s="70"/>
      <c r="BT224" s="70"/>
      <c r="BU224" s="70"/>
      <c r="BV224" s="70"/>
      <c r="BW224" s="70"/>
      <c r="BX224" s="70"/>
      <c r="BY224" s="70"/>
      <c r="BZ224" s="70"/>
      <c r="CA224" s="70"/>
      <c r="CB224" s="70"/>
      <c r="CC224" s="70"/>
      <c r="CD224" s="70"/>
      <c r="CE224" s="70"/>
      <c r="CF224" s="70"/>
      <c r="CG224" s="70"/>
      <c r="CH224" s="70"/>
      <c r="CI224" s="70"/>
      <c r="CJ224" s="70"/>
      <c r="CK224" s="70"/>
      <c r="CL224" s="2"/>
      <c r="CM224" s="2"/>
      <c r="CN224" s="70"/>
      <c r="CO224" s="70"/>
      <c r="CP224" s="70"/>
      <c r="CQ224" s="70"/>
      <c r="CR224" s="2"/>
      <c r="CS224" s="2"/>
      <c r="CT224" s="70"/>
      <c r="CU224" s="70"/>
      <c r="CV224" s="70"/>
      <c r="CW224" s="70"/>
    </row>
    <row r="225" spans="1:101" ht="15.75" customHeight="1" x14ac:dyDescent="0.2">
      <c r="A225" s="1"/>
      <c r="B225" s="2"/>
      <c r="C225" s="2"/>
      <c r="D225" s="2"/>
      <c r="E225" s="2"/>
      <c r="F225" s="2"/>
      <c r="G225" s="2"/>
      <c r="H225" s="2"/>
      <c r="I225" s="2"/>
      <c r="J225" s="3"/>
      <c r="K225" s="2"/>
      <c r="L225" s="2"/>
      <c r="M225" s="2"/>
      <c r="N225" s="2"/>
      <c r="O225" s="2"/>
      <c r="P225" s="2"/>
      <c r="Q225" s="69"/>
      <c r="R225" s="69"/>
      <c r="S225" s="70"/>
      <c r="T225" s="70"/>
      <c r="U225" s="2"/>
      <c r="V225" s="2"/>
      <c r="W225" s="2"/>
      <c r="X225" s="2"/>
      <c r="Y225" s="2"/>
      <c r="Z225" s="2"/>
      <c r="AA225" s="20"/>
      <c r="AB225" s="71"/>
      <c r="AC225" s="71"/>
      <c r="AD225" s="2"/>
      <c r="AE225" s="70"/>
      <c r="AF225" s="70"/>
      <c r="AG225" s="70"/>
      <c r="AH225" s="70"/>
      <c r="AI225" s="2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0"/>
      <c r="AX225" s="70"/>
      <c r="AY225" s="70"/>
      <c r="AZ225" s="70"/>
      <c r="BA225" s="70"/>
      <c r="BB225" s="70"/>
      <c r="BC225" s="70"/>
      <c r="BD225" s="70"/>
      <c r="BE225" s="70"/>
      <c r="BF225" s="70"/>
      <c r="BG225" s="70"/>
      <c r="BH225" s="70"/>
      <c r="BI225" s="70"/>
      <c r="BJ225" s="70"/>
      <c r="BK225" s="70"/>
      <c r="BL225" s="70"/>
      <c r="BM225" s="70"/>
      <c r="BN225" s="70"/>
      <c r="BO225" s="70"/>
      <c r="BP225" s="70"/>
      <c r="BQ225" s="70"/>
      <c r="BR225" s="70"/>
      <c r="BS225" s="70"/>
      <c r="BT225" s="70"/>
      <c r="BU225" s="70"/>
      <c r="BV225" s="70"/>
      <c r="BW225" s="70"/>
      <c r="BX225" s="70"/>
      <c r="BY225" s="70"/>
      <c r="BZ225" s="70"/>
      <c r="CA225" s="70"/>
      <c r="CB225" s="70"/>
      <c r="CC225" s="70"/>
      <c r="CD225" s="70"/>
      <c r="CE225" s="70"/>
      <c r="CF225" s="70"/>
      <c r="CG225" s="70"/>
      <c r="CH225" s="70"/>
      <c r="CI225" s="70"/>
      <c r="CJ225" s="70"/>
      <c r="CK225" s="70"/>
      <c r="CL225" s="2"/>
      <c r="CM225" s="2"/>
      <c r="CN225" s="70"/>
      <c r="CO225" s="70"/>
      <c r="CP225" s="70"/>
      <c r="CQ225" s="70"/>
      <c r="CR225" s="2"/>
      <c r="CS225" s="2"/>
      <c r="CT225" s="70"/>
      <c r="CU225" s="70"/>
      <c r="CV225" s="70"/>
      <c r="CW225" s="70"/>
    </row>
    <row r="226" spans="1:101" ht="15.75" customHeight="1" x14ac:dyDescent="0.2">
      <c r="A226" s="1"/>
      <c r="B226" s="2"/>
      <c r="C226" s="2"/>
      <c r="D226" s="2"/>
      <c r="E226" s="2"/>
      <c r="F226" s="2"/>
      <c r="G226" s="2"/>
      <c r="H226" s="2"/>
      <c r="I226" s="2"/>
      <c r="J226" s="3"/>
      <c r="K226" s="2"/>
      <c r="L226" s="2"/>
      <c r="M226" s="2"/>
      <c r="N226" s="2"/>
      <c r="O226" s="2"/>
      <c r="P226" s="2"/>
      <c r="Q226" s="69"/>
      <c r="R226" s="69"/>
      <c r="S226" s="70"/>
      <c r="T226" s="70"/>
      <c r="U226" s="2"/>
      <c r="V226" s="2"/>
      <c r="W226" s="2"/>
      <c r="X226" s="2"/>
      <c r="Y226" s="2"/>
      <c r="Z226" s="2"/>
      <c r="AA226" s="20"/>
      <c r="AB226" s="71"/>
      <c r="AC226" s="71"/>
      <c r="AD226" s="2"/>
      <c r="AE226" s="70"/>
      <c r="AF226" s="70"/>
      <c r="AG226" s="70"/>
      <c r="AH226" s="70"/>
      <c r="AI226" s="2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0"/>
      <c r="AX226" s="70"/>
      <c r="AY226" s="70"/>
      <c r="AZ226" s="70"/>
      <c r="BA226" s="70"/>
      <c r="BB226" s="70"/>
      <c r="BC226" s="70"/>
      <c r="BD226" s="70"/>
      <c r="BE226" s="70"/>
      <c r="BF226" s="70"/>
      <c r="BG226" s="70"/>
      <c r="BH226" s="70"/>
      <c r="BI226" s="70"/>
      <c r="BJ226" s="70"/>
      <c r="BK226" s="70"/>
      <c r="BL226" s="70"/>
      <c r="BM226" s="70"/>
      <c r="BN226" s="70"/>
      <c r="BO226" s="70"/>
      <c r="BP226" s="70"/>
      <c r="BQ226" s="70"/>
      <c r="BR226" s="70"/>
      <c r="BS226" s="70"/>
      <c r="BT226" s="70"/>
      <c r="BU226" s="70"/>
      <c r="BV226" s="70"/>
      <c r="BW226" s="70"/>
      <c r="BX226" s="70"/>
      <c r="BY226" s="70"/>
      <c r="BZ226" s="70"/>
      <c r="CA226" s="70"/>
      <c r="CB226" s="70"/>
      <c r="CC226" s="70"/>
      <c r="CD226" s="70"/>
      <c r="CE226" s="70"/>
      <c r="CF226" s="70"/>
      <c r="CG226" s="70"/>
      <c r="CH226" s="70"/>
      <c r="CI226" s="70"/>
      <c r="CJ226" s="70"/>
      <c r="CK226" s="70"/>
      <c r="CL226" s="2"/>
      <c r="CM226" s="2"/>
      <c r="CN226" s="70"/>
      <c r="CO226" s="70"/>
      <c r="CP226" s="70"/>
      <c r="CQ226" s="70"/>
      <c r="CR226" s="2"/>
      <c r="CS226" s="2"/>
      <c r="CT226" s="70"/>
      <c r="CU226" s="70"/>
      <c r="CV226" s="70"/>
      <c r="CW226" s="70"/>
    </row>
    <row r="227" spans="1:101" ht="15.75" customHeight="1" x14ac:dyDescent="0.2">
      <c r="A227" s="1"/>
      <c r="B227" s="2"/>
      <c r="C227" s="2"/>
      <c r="D227" s="2"/>
      <c r="E227" s="2"/>
      <c r="F227" s="2"/>
      <c r="G227" s="2"/>
      <c r="H227" s="2"/>
      <c r="I227" s="2"/>
      <c r="J227" s="3"/>
      <c r="K227" s="2"/>
      <c r="L227" s="2"/>
      <c r="M227" s="2"/>
      <c r="N227" s="2"/>
      <c r="O227" s="2"/>
      <c r="P227" s="2"/>
      <c r="Q227" s="69"/>
      <c r="R227" s="69"/>
      <c r="S227" s="70"/>
      <c r="T227" s="70"/>
      <c r="U227" s="2"/>
      <c r="V227" s="2"/>
      <c r="W227" s="2"/>
      <c r="X227" s="2"/>
      <c r="Y227" s="2"/>
      <c r="Z227" s="2"/>
      <c r="AA227" s="20"/>
      <c r="AB227" s="71"/>
      <c r="AC227" s="71"/>
      <c r="AD227" s="2"/>
      <c r="AE227" s="70"/>
      <c r="AF227" s="70"/>
      <c r="AG227" s="70"/>
      <c r="AH227" s="70"/>
      <c r="AI227" s="2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0"/>
      <c r="AX227" s="70"/>
      <c r="AY227" s="70"/>
      <c r="AZ227" s="70"/>
      <c r="BA227" s="70"/>
      <c r="BB227" s="70"/>
      <c r="BC227" s="70"/>
      <c r="BD227" s="70"/>
      <c r="BE227" s="70"/>
      <c r="BF227" s="70"/>
      <c r="BG227" s="70"/>
      <c r="BH227" s="70"/>
      <c r="BI227" s="70"/>
      <c r="BJ227" s="70"/>
      <c r="BK227" s="70"/>
      <c r="BL227" s="70"/>
      <c r="BM227" s="70"/>
      <c r="BN227" s="70"/>
      <c r="BO227" s="70"/>
      <c r="BP227" s="70"/>
      <c r="BQ227" s="70"/>
      <c r="BR227" s="70"/>
      <c r="BS227" s="70"/>
      <c r="BT227" s="70"/>
      <c r="BU227" s="70"/>
      <c r="BV227" s="70"/>
      <c r="BW227" s="70"/>
      <c r="BX227" s="70"/>
      <c r="BY227" s="70"/>
      <c r="BZ227" s="70"/>
      <c r="CA227" s="70"/>
      <c r="CB227" s="70"/>
      <c r="CC227" s="70"/>
      <c r="CD227" s="70"/>
      <c r="CE227" s="70"/>
      <c r="CF227" s="70"/>
      <c r="CG227" s="70"/>
      <c r="CH227" s="70"/>
      <c r="CI227" s="70"/>
      <c r="CJ227" s="70"/>
      <c r="CK227" s="70"/>
      <c r="CL227" s="2"/>
      <c r="CM227" s="2"/>
      <c r="CN227" s="70"/>
      <c r="CO227" s="70"/>
      <c r="CP227" s="70"/>
      <c r="CQ227" s="70"/>
      <c r="CR227" s="2"/>
      <c r="CS227" s="2"/>
      <c r="CT227" s="70"/>
      <c r="CU227" s="70"/>
      <c r="CV227" s="70"/>
      <c r="CW227" s="70"/>
    </row>
    <row r="228" spans="1:101" ht="15.75" customHeight="1" x14ac:dyDescent="0.2">
      <c r="A228" s="1"/>
      <c r="B228" s="2"/>
      <c r="C228" s="2"/>
      <c r="D228" s="2"/>
      <c r="E228" s="2"/>
      <c r="F228" s="2"/>
      <c r="G228" s="2"/>
      <c r="H228" s="2"/>
      <c r="I228" s="2"/>
      <c r="J228" s="3"/>
      <c r="K228" s="2"/>
      <c r="L228" s="2"/>
      <c r="M228" s="2"/>
      <c r="N228" s="2"/>
      <c r="O228" s="2"/>
      <c r="P228" s="2"/>
      <c r="Q228" s="69"/>
      <c r="R228" s="69"/>
      <c r="S228" s="70"/>
      <c r="T228" s="70"/>
      <c r="U228" s="2"/>
      <c r="V228" s="2"/>
      <c r="W228" s="2"/>
      <c r="X228" s="2"/>
      <c r="Y228" s="2"/>
      <c r="Z228" s="2"/>
      <c r="AA228" s="20"/>
      <c r="AB228" s="71"/>
      <c r="AC228" s="71"/>
      <c r="AD228" s="2"/>
      <c r="AE228" s="70"/>
      <c r="AF228" s="70"/>
      <c r="AG228" s="70"/>
      <c r="AH228" s="70"/>
      <c r="AI228" s="2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0"/>
      <c r="AX228" s="70"/>
      <c r="AY228" s="70"/>
      <c r="AZ228" s="70"/>
      <c r="BA228" s="70"/>
      <c r="BB228" s="70"/>
      <c r="BC228" s="70"/>
      <c r="BD228" s="70"/>
      <c r="BE228" s="70"/>
      <c r="BF228" s="70"/>
      <c r="BG228" s="70"/>
      <c r="BH228" s="70"/>
      <c r="BI228" s="70"/>
      <c r="BJ228" s="70"/>
      <c r="BK228" s="70"/>
      <c r="BL228" s="70"/>
      <c r="BM228" s="70"/>
      <c r="BN228" s="70"/>
      <c r="BO228" s="70"/>
      <c r="BP228" s="70"/>
      <c r="BQ228" s="70"/>
      <c r="BR228" s="70"/>
      <c r="BS228" s="70"/>
      <c r="BT228" s="70"/>
      <c r="BU228" s="70"/>
      <c r="BV228" s="70"/>
      <c r="BW228" s="70"/>
      <c r="BX228" s="70"/>
      <c r="BY228" s="70"/>
      <c r="BZ228" s="70"/>
      <c r="CA228" s="70"/>
      <c r="CB228" s="70"/>
      <c r="CC228" s="70"/>
      <c r="CD228" s="70"/>
      <c r="CE228" s="70"/>
      <c r="CF228" s="70"/>
      <c r="CG228" s="70"/>
      <c r="CH228" s="70"/>
      <c r="CI228" s="70"/>
      <c r="CJ228" s="70"/>
      <c r="CK228" s="70"/>
      <c r="CL228" s="2"/>
      <c r="CM228" s="2"/>
      <c r="CN228" s="70"/>
      <c r="CO228" s="70"/>
      <c r="CP228" s="70"/>
      <c r="CQ228" s="70"/>
      <c r="CR228" s="2"/>
      <c r="CS228" s="2"/>
      <c r="CT228" s="70"/>
      <c r="CU228" s="70"/>
      <c r="CV228" s="70"/>
      <c r="CW228" s="70"/>
    </row>
    <row r="229" spans="1:101" ht="15.75" customHeight="1" x14ac:dyDescent="0.2">
      <c r="A229" s="1"/>
      <c r="B229" s="2"/>
      <c r="C229" s="2"/>
      <c r="D229" s="2"/>
      <c r="E229" s="2"/>
      <c r="F229" s="2"/>
      <c r="G229" s="2"/>
      <c r="H229" s="2"/>
      <c r="I229" s="2"/>
      <c r="J229" s="3"/>
      <c r="K229" s="2"/>
      <c r="L229" s="2"/>
      <c r="M229" s="2"/>
      <c r="N229" s="2"/>
      <c r="O229" s="2"/>
      <c r="P229" s="2"/>
      <c r="Q229" s="69"/>
      <c r="R229" s="69"/>
      <c r="S229" s="70"/>
      <c r="T229" s="70"/>
      <c r="U229" s="2"/>
      <c r="V229" s="2"/>
      <c r="W229" s="2"/>
      <c r="X229" s="2"/>
      <c r="Y229" s="2"/>
      <c r="Z229" s="2"/>
      <c r="AA229" s="20"/>
      <c r="AB229" s="71"/>
      <c r="AC229" s="71"/>
      <c r="AD229" s="2"/>
      <c r="AE229" s="70"/>
      <c r="AF229" s="70"/>
      <c r="AG229" s="70"/>
      <c r="AH229" s="70"/>
      <c r="AI229" s="2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  <c r="AX229" s="70"/>
      <c r="AY229" s="70"/>
      <c r="AZ229" s="70"/>
      <c r="BA229" s="70"/>
      <c r="BB229" s="70"/>
      <c r="BC229" s="70"/>
      <c r="BD229" s="70"/>
      <c r="BE229" s="70"/>
      <c r="BF229" s="70"/>
      <c r="BG229" s="70"/>
      <c r="BH229" s="70"/>
      <c r="BI229" s="70"/>
      <c r="BJ229" s="70"/>
      <c r="BK229" s="70"/>
      <c r="BL229" s="70"/>
      <c r="BM229" s="70"/>
      <c r="BN229" s="70"/>
      <c r="BO229" s="70"/>
      <c r="BP229" s="70"/>
      <c r="BQ229" s="70"/>
      <c r="BR229" s="70"/>
      <c r="BS229" s="70"/>
      <c r="BT229" s="70"/>
      <c r="BU229" s="70"/>
      <c r="BV229" s="70"/>
      <c r="BW229" s="70"/>
      <c r="BX229" s="70"/>
      <c r="BY229" s="70"/>
      <c r="BZ229" s="70"/>
      <c r="CA229" s="70"/>
      <c r="CB229" s="70"/>
      <c r="CC229" s="70"/>
      <c r="CD229" s="70"/>
      <c r="CE229" s="70"/>
      <c r="CF229" s="70"/>
      <c r="CG229" s="70"/>
      <c r="CH229" s="70"/>
      <c r="CI229" s="70"/>
      <c r="CJ229" s="70"/>
      <c r="CK229" s="70"/>
      <c r="CL229" s="2"/>
      <c r="CM229" s="2"/>
      <c r="CN229" s="70"/>
      <c r="CO229" s="70"/>
      <c r="CP229" s="70"/>
      <c r="CQ229" s="70"/>
      <c r="CR229" s="2"/>
      <c r="CS229" s="2"/>
      <c r="CT229" s="70"/>
      <c r="CU229" s="70"/>
      <c r="CV229" s="70"/>
      <c r="CW229" s="70"/>
    </row>
    <row r="230" spans="1:101" ht="15.75" customHeight="1" x14ac:dyDescent="0.2">
      <c r="A230" s="1"/>
      <c r="B230" s="2"/>
      <c r="C230" s="2"/>
      <c r="D230" s="2"/>
      <c r="E230" s="2"/>
      <c r="F230" s="2"/>
      <c r="G230" s="2"/>
      <c r="H230" s="2"/>
      <c r="I230" s="2"/>
      <c r="J230" s="3"/>
      <c r="K230" s="2"/>
      <c r="L230" s="2"/>
      <c r="M230" s="2"/>
      <c r="N230" s="2"/>
      <c r="O230" s="2"/>
      <c r="P230" s="2"/>
      <c r="Q230" s="69"/>
      <c r="R230" s="69"/>
      <c r="S230" s="70"/>
      <c r="T230" s="70"/>
      <c r="U230" s="2"/>
      <c r="V230" s="2"/>
      <c r="W230" s="2"/>
      <c r="X230" s="2"/>
      <c r="Y230" s="2"/>
      <c r="Z230" s="2"/>
      <c r="AA230" s="20"/>
      <c r="AB230" s="71"/>
      <c r="AC230" s="71"/>
      <c r="AD230" s="2"/>
      <c r="AE230" s="70"/>
      <c r="AF230" s="70"/>
      <c r="AG230" s="70"/>
      <c r="AH230" s="70"/>
      <c r="AI230" s="2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  <c r="AX230" s="70"/>
      <c r="AY230" s="70"/>
      <c r="AZ230" s="70"/>
      <c r="BA230" s="70"/>
      <c r="BB230" s="70"/>
      <c r="BC230" s="70"/>
      <c r="BD230" s="70"/>
      <c r="BE230" s="70"/>
      <c r="BF230" s="70"/>
      <c r="BG230" s="70"/>
      <c r="BH230" s="70"/>
      <c r="BI230" s="70"/>
      <c r="BJ230" s="70"/>
      <c r="BK230" s="70"/>
      <c r="BL230" s="70"/>
      <c r="BM230" s="70"/>
      <c r="BN230" s="70"/>
      <c r="BO230" s="70"/>
      <c r="BP230" s="70"/>
      <c r="BQ230" s="70"/>
      <c r="BR230" s="70"/>
      <c r="BS230" s="70"/>
      <c r="BT230" s="70"/>
      <c r="BU230" s="70"/>
      <c r="BV230" s="70"/>
      <c r="BW230" s="70"/>
      <c r="BX230" s="70"/>
      <c r="BY230" s="70"/>
      <c r="BZ230" s="70"/>
      <c r="CA230" s="70"/>
      <c r="CB230" s="70"/>
      <c r="CC230" s="70"/>
      <c r="CD230" s="70"/>
      <c r="CE230" s="70"/>
      <c r="CF230" s="70"/>
      <c r="CG230" s="70"/>
      <c r="CH230" s="70"/>
      <c r="CI230" s="70"/>
      <c r="CJ230" s="70"/>
      <c r="CK230" s="70"/>
      <c r="CL230" s="2"/>
      <c r="CM230" s="2"/>
      <c r="CN230" s="70"/>
      <c r="CO230" s="70"/>
      <c r="CP230" s="70"/>
      <c r="CQ230" s="70"/>
      <c r="CR230" s="2"/>
      <c r="CS230" s="2"/>
      <c r="CT230" s="70"/>
      <c r="CU230" s="70"/>
      <c r="CV230" s="70"/>
      <c r="CW230" s="70"/>
    </row>
    <row r="231" spans="1:101" ht="15.75" customHeight="1" x14ac:dyDescent="0.2">
      <c r="A231" s="1"/>
      <c r="B231" s="2"/>
      <c r="C231" s="2"/>
      <c r="D231" s="2"/>
      <c r="E231" s="2"/>
      <c r="F231" s="2"/>
      <c r="G231" s="2"/>
      <c r="H231" s="2"/>
      <c r="I231" s="2"/>
      <c r="J231" s="3"/>
      <c r="K231" s="2"/>
      <c r="L231" s="2"/>
      <c r="M231" s="2"/>
      <c r="N231" s="2"/>
      <c r="O231" s="2"/>
      <c r="P231" s="2"/>
      <c r="Q231" s="69"/>
      <c r="R231" s="69"/>
      <c r="S231" s="70"/>
      <c r="T231" s="70"/>
      <c r="U231" s="2"/>
      <c r="V231" s="2"/>
      <c r="W231" s="2"/>
      <c r="X231" s="2"/>
      <c r="Y231" s="2"/>
      <c r="Z231" s="2"/>
      <c r="AA231" s="20"/>
      <c r="AB231" s="71"/>
      <c r="AC231" s="71"/>
      <c r="AD231" s="2"/>
      <c r="AE231" s="70"/>
      <c r="AF231" s="70"/>
      <c r="AG231" s="70"/>
      <c r="AH231" s="70"/>
      <c r="AI231" s="2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  <c r="AX231" s="70"/>
      <c r="AY231" s="70"/>
      <c r="AZ231" s="70"/>
      <c r="BA231" s="70"/>
      <c r="BB231" s="70"/>
      <c r="BC231" s="70"/>
      <c r="BD231" s="70"/>
      <c r="BE231" s="70"/>
      <c r="BF231" s="70"/>
      <c r="BG231" s="70"/>
      <c r="BH231" s="70"/>
      <c r="BI231" s="70"/>
      <c r="BJ231" s="70"/>
      <c r="BK231" s="70"/>
      <c r="BL231" s="70"/>
      <c r="BM231" s="70"/>
      <c r="BN231" s="70"/>
      <c r="BO231" s="70"/>
      <c r="BP231" s="70"/>
      <c r="BQ231" s="70"/>
      <c r="BR231" s="70"/>
      <c r="BS231" s="70"/>
      <c r="BT231" s="70"/>
      <c r="BU231" s="70"/>
      <c r="BV231" s="70"/>
      <c r="BW231" s="70"/>
      <c r="BX231" s="70"/>
      <c r="BY231" s="70"/>
      <c r="BZ231" s="70"/>
      <c r="CA231" s="70"/>
      <c r="CB231" s="70"/>
      <c r="CC231" s="70"/>
      <c r="CD231" s="70"/>
      <c r="CE231" s="70"/>
      <c r="CF231" s="70"/>
      <c r="CG231" s="70"/>
      <c r="CH231" s="70"/>
      <c r="CI231" s="70"/>
      <c r="CJ231" s="70"/>
      <c r="CK231" s="70"/>
      <c r="CL231" s="2"/>
      <c r="CM231" s="2"/>
      <c r="CN231" s="70"/>
      <c r="CO231" s="70"/>
      <c r="CP231" s="70"/>
      <c r="CQ231" s="70"/>
      <c r="CR231" s="2"/>
      <c r="CS231" s="2"/>
      <c r="CT231" s="70"/>
      <c r="CU231" s="70"/>
      <c r="CV231" s="70"/>
      <c r="CW231" s="70"/>
    </row>
    <row r="232" spans="1:101" ht="15.75" customHeight="1" x14ac:dyDescent="0.2">
      <c r="A232" s="1"/>
      <c r="B232" s="2"/>
      <c r="C232" s="2"/>
      <c r="D232" s="2"/>
      <c r="E232" s="2"/>
      <c r="F232" s="2"/>
      <c r="G232" s="2"/>
      <c r="H232" s="2"/>
      <c r="I232" s="2"/>
      <c r="J232" s="3"/>
      <c r="K232" s="2"/>
      <c r="L232" s="2"/>
      <c r="M232" s="2"/>
      <c r="N232" s="2"/>
      <c r="O232" s="2"/>
      <c r="P232" s="2"/>
      <c r="Q232" s="69"/>
      <c r="R232" s="69"/>
      <c r="S232" s="70"/>
      <c r="T232" s="70"/>
      <c r="U232" s="2"/>
      <c r="V232" s="2"/>
      <c r="W232" s="2"/>
      <c r="X232" s="2"/>
      <c r="Y232" s="2"/>
      <c r="Z232" s="2"/>
      <c r="AA232" s="20"/>
      <c r="AB232" s="71"/>
      <c r="AC232" s="71"/>
      <c r="AD232" s="2"/>
      <c r="AE232" s="70"/>
      <c r="AF232" s="70"/>
      <c r="AG232" s="70"/>
      <c r="AH232" s="70"/>
      <c r="AI232" s="2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0"/>
      <c r="AX232" s="70"/>
      <c r="AY232" s="70"/>
      <c r="AZ232" s="70"/>
      <c r="BA232" s="70"/>
      <c r="BB232" s="70"/>
      <c r="BC232" s="70"/>
      <c r="BD232" s="70"/>
      <c r="BE232" s="70"/>
      <c r="BF232" s="70"/>
      <c r="BG232" s="70"/>
      <c r="BH232" s="70"/>
      <c r="BI232" s="70"/>
      <c r="BJ232" s="70"/>
      <c r="BK232" s="70"/>
      <c r="BL232" s="70"/>
      <c r="BM232" s="70"/>
      <c r="BN232" s="70"/>
      <c r="BO232" s="70"/>
      <c r="BP232" s="70"/>
      <c r="BQ232" s="70"/>
      <c r="BR232" s="70"/>
      <c r="BS232" s="70"/>
      <c r="BT232" s="70"/>
      <c r="BU232" s="70"/>
      <c r="BV232" s="70"/>
      <c r="BW232" s="70"/>
      <c r="BX232" s="70"/>
      <c r="BY232" s="70"/>
      <c r="BZ232" s="70"/>
      <c r="CA232" s="70"/>
      <c r="CB232" s="70"/>
      <c r="CC232" s="70"/>
      <c r="CD232" s="70"/>
      <c r="CE232" s="70"/>
      <c r="CF232" s="70"/>
      <c r="CG232" s="70"/>
      <c r="CH232" s="70"/>
      <c r="CI232" s="70"/>
      <c r="CJ232" s="70"/>
      <c r="CK232" s="70"/>
      <c r="CL232" s="2"/>
      <c r="CM232" s="2"/>
      <c r="CN232" s="70"/>
      <c r="CO232" s="70"/>
      <c r="CP232" s="70"/>
      <c r="CQ232" s="70"/>
      <c r="CR232" s="2"/>
      <c r="CS232" s="2"/>
      <c r="CT232" s="70"/>
      <c r="CU232" s="70"/>
      <c r="CV232" s="70"/>
      <c r="CW232" s="70"/>
    </row>
    <row r="233" spans="1:101" ht="15.75" customHeight="1" x14ac:dyDescent="0.2">
      <c r="A233" s="1"/>
      <c r="B233" s="2"/>
      <c r="C233" s="2"/>
      <c r="D233" s="2"/>
      <c r="E233" s="2"/>
      <c r="F233" s="2"/>
      <c r="G233" s="2"/>
      <c r="H233" s="2"/>
      <c r="I233" s="2"/>
      <c r="J233" s="3"/>
      <c r="K233" s="2"/>
      <c r="L233" s="2"/>
      <c r="M233" s="2"/>
      <c r="N233" s="2"/>
      <c r="O233" s="2"/>
      <c r="P233" s="2"/>
      <c r="Q233" s="69"/>
      <c r="R233" s="69"/>
      <c r="S233" s="70"/>
      <c r="T233" s="70"/>
      <c r="U233" s="2"/>
      <c r="V233" s="2"/>
      <c r="W233" s="2"/>
      <c r="X233" s="2"/>
      <c r="Y233" s="2"/>
      <c r="Z233" s="2"/>
      <c r="AA233" s="20"/>
      <c r="AB233" s="71"/>
      <c r="AC233" s="71"/>
      <c r="AD233" s="2"/>
      <c r="AE233" s="70"/>
      <c r="AF233" s="70"/>
      <c r="AG233" s="70"/>
      <c r="AH233" s="70"/>
      <c r="AI233" s="2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70"/>
      <c r="AX233" s="70"/>
      <c r="AY233" s="70"/>
      <c r="AZ233" s="70"/>
      <c r="BA233" s="70"/>
      <c r="BB233" s="70"/>
      <c r="BC233" s="70"/>
      <c r="BD233" s="70"/>
      <c r="BE233" s="70"/>
      <c r="BF233" s="70"/>
      <c r="BG233" s="70"/>
      <c r="BH233" s="70"/>
      <c r="BI233" s="70"/>
      <c r="BJ233" s="70"/>
      <c r="BK233" s="70"/>
      <c r="BL233" s="70"/>
      <c r="BM233" s="70"/>
      <c r="BN233" s="70"/>
      <c r="BO233" s="70"/>
      <c r="BP233" s="70"/>
      <c r="BQ233" s="70"/>
      <c r="BR233" s="70"/>
      <c r="BS233" s="70"/>
      <c r="BT233" s="70"/>
      <c r="BU233" s="70"/>
      <c r="BV233" s="70"/>
      <c r="BW233" s="70"/>
      <c r="BX233" s="70"/>
      <c r="BY233" s="70"/>
      <c r="BZ233" s="70"/>
      <c r="CA233" s="70"/>
      <c r="CB233" s="70"/>
      <c r="CC233" s="70"/>
      <c r="CD233" s="70"/>
      <c r="CE233" s="70"/>
      <c r="CF233" s="70"/>
      <c r="CG233" s="70"/>
      <c r="CH233" s="70"/>
      <c r="CI233" s="70"/>
      <c r="CJ233" s="70"/>
      <c r="CK233" s="70"/>
      <c r="CL233" s="2"/>
      <c r="CM233" s="2"/>
      <c r="CN233" s="70"/>
      <c r="CO233" s="70"/>
      <c r="CP233" s="70"/>
      <c r="CQ233" s="70"/>
      <c r="CR233" s="2"/>
      <c r="CS233" s="2"/>
      <c r="CT233" s="70"/>
      <c r="CU233" s="70"/>
      <c r="CV233" s="70"/>
      <c r="CW233" s="70"/>
    </row>
    <row r="234" spans="1:101" ht="15.75" customHeight="1" x14ac:dyDescent="0.2">
      <c r="A234" s="1"/>
      <c r="B234" s="2"/>
      <c r="C234" s="2"/>
      <c r="D234" s="2"/>
      <c r="E234" s="2"/>
      <c r="F234" s="2"/>
      <c r="G234" s="2"/>
      <c r="H234" s="2"/>
      <c r="I234" s="2"/>
      <c r="J234" s="3"/>
      <c r="K234" s="2"/>
      <c r="L234" s="2"/>
      <c r="M234" s="2"/>
      <c r="N234" s="2"/>
      <c r="O234" s="2"/>
      <c r="P234" s="2"/>
      <c r="Q234" s="69"/>
      <c r="R234" s="69"/>
      <c r="S234" s="70"/>
      <c r="T234" s="70"/>
      <c r="U234" s="2"/>
      <c r="V234" s="2"/>
      <c r="W234" s="2"/>
      <c r="X234" s="2"/>
      <c r="Y234" s="2"/>
      <c r="Z234" s="2"/>
      <c r="AA234" s="20"/>
      <c r="AB234" s="71"/>
      <c r="AC234" s="71"/>
      <c r="AD234" s="2"/>
      <c r="AE234" s="70"/>
      <c r="AF234" s="70"/>
      <c r="AG234" s="70"/>
      <c r="AH234" s="70"/>
      <c r="AI234" s="2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 s="70"/>
      <c r="AX234" s="70"/>
      <c r="AY234" s="70"/>
      <c r="AZ234" s="70"/>
      <c r="BA234" s="70"/>
      <c r="BB234" s="70"/>
      <c r="BC234" s="70"/>
      <c r="BD234" s="70"/>
      <c r="BE234" s="70"/>
      <c r="BF234" s="70"/>
      <c r="BG234" s="70"/>
      <c r="BH234" s="70"/>
      <c r="BI234" s="70"/>
      <c r="BJ234" s="70"/>
      <c r="BK234" s="70"/>
      <c r="BL234" s="70"/>
      <c r="BM234" s="70"/>
      <c r="BN234" s="70"/>
      <c r="BO234" s="70"/>
      <c r="BP234" s="70"/>
      <c r="BQ234" s="70"/>
      <c r="BR234" s="70"/>
      <c r="BS234" s="70"/>
      <c r="BT234" s="70"/>
      <c r="BU234" s="70"/>
      <c r="BV234" s="70"/>
      <c r="BW234" s="70"/>
      <c r="BX234" s="70"/>
      <c r="BY234" s="70"/>
      <c r="BZ234" s="70"/>
      <c r="CA234" s="70"/>
      <c r="CB234" s="70"/>
      <c r="CC234" s="70"/>
      <c r="CD234" s="70"/>
      <c r="CE234" s="70"/>
      <c r="CF234" s="70"/>
      <c r="CG234" s="70"/>
      <c r="CH234" s="70"/>
      <c r="CI234" s="70"/>
      <c r="CJ234" s="70"/>
      <c r="CK234" s="70"/>
      <c r="CL234" s="2"/>
      <c r="CM234" s="2"/>
      <c r="CN234" s="70"/>
      <c r="CO234" s="70"/>
      <c r="CP234" s="70"/>
      <c r="CQ234" s="70"/>
      <c r="CR234" s="2"/>
      <c r="CS234" s="2"/>
      <c r="CT234" s="70"/>
      <c r="CU234" s="70"/>
      <c r="CV234" s="70"/>
      <c r="CW234" s="70"/>
    </row>
    <row r="235" spans="1:101" ht="15.75" customHeight="1" x14ac:dyDescent="0.2">
      <c r="A235" s="1"/>
      <c r="B235" s="2"/>
      <c r="C235" s="2"/>
      <c r="D235" s="2"/>
      <c r="E235" s="2"/>
      <c r="F235" s="2"/>
      <c r="G235" s="2"/>
      <c r="H235" s="2"/>
      <c r="I235" s="2"/>
      <c r="J235" s="3"/>
      <c r="K235" s="2"/>
      <c r="L235" s="2"/>
      <c r="M235" s="2"/>
      <c r="N235" s="2"/>
      <c r="O235" s="2"/>
      <c r="P235" s="2"/>
      <c r="Q235" s="69"/>
      <c r="R235" s="69"/>
      <c r="S235" s="70"/>
      <c r="T235" s="70"/>
      <c r="U235" s="2"/>
      <c r="V235" s="2"/>
      <c r="W235" s="2"/>
      <c r="X235" s="2"/>
      <c r="Y235" s="2"/>
      <c r="Z235" s="2"/>
      <c r="AA235" s="20"/>
      <c r="AB235" s="71"/>
      <c r="AC235" s="71"/>
      <c r="AD235" s="2"/>
      <c r="AE235" s="70"/>
      <c r="AF235" s="70"/>
      <c r="AG235" s="70"/>
      <c r="AH235" s="70"/>
      <c r="AI235" s="2"/>
      <c r="AJ235" s="70"/>
      <c r="AK235" s="70"/>
      <c r="AL235" s="70"/>
      <c r="AM235" s="70"/>
      <c r="AN235" s="70"/>
      <c r="AO235" s="70"/>
      <c r="AP235" s="70"/>
      <c r="AQ235" s="70"/>
      <c r="AR235" s="70"/>
      <c r="AS235" s="70"/>
      <c r="AT235" s="70"/>
      <c r="AU235" s="70"/>
      <c r="AV235" s="70"/>
      <c r="AW235" s="70"/>
      <c r="AX235" s="70"/>
      <c r="AY235" s="70"/>
      <c r="AZ235" s="70"/>
      <c r="BA235" s="70"/>
      <c r="BB235" s="70"/>
      <c r="BC235" s="70"/>
      <c r="BD235" s="70"/>
      <c r="BE235" s="70"/>
      <c r="BF235" s="70"/>
      <c r="BG235" s="70"/>
      <c r="BH235" s="70"/>
      <c r="BI235" s="70"/>
      <c r="BJ235" s="70"/>
      <c r="BK235" s="70"/>
      <c r="BL235" s="70"/>
      <c r="BM235" s="70"/>
      <c r="BN235" s="70"/>
      <c r="BO235" s="70"/>
      <c r="BP235" s="70"/>
      <c r="BQ235" s="70"/>
      <c r="BR235" s="70"/>
      <c r="BS235" s="70"/>
      <c r="BT235" s="70"/>
      <c r="BU235" s="70"/>
      <c r="BV235" s="70"/>
      <c r="BW235" s="70"/>
      <c r="BX235" s="70"/>
      <c r="BY235" s="70"/>
      <c r="BZ235" s="70"/>
      <c r="CA235" s="70"/>
      <c r="CB235" s="70"/>
      <c r="CC235" s="70"/>
      <c r="CD235" s="70"/>
      <c r="CE235" s="70"/>
      <c r="CF235" s="70"/>
      <c r="CG235" s="70"/>
      <c r="CH235" s="70"/>
      <c r="CI235" s="70"/>
      <c r="CJ235" s="70"/>
      <c r="CK235" s="70"/>
      <c r="CL235" s="2"/>
      <c r="CM235" s="2"/>
      <c r="CN235" s="70"/>
      <c r="CO235" s="70"/>
      <c r="CP235" s="70"/>
      <c r="CQ235" s="70"/>
      <c r="CR235" s="2"/>
      <c r="CS235" s="2"/>
      <c r="CT235" s="70"/>
      <c r="CU235" s="70"/>
      <c r="CV235" s="70"/>
      <c r="CW235" s="70"/>
    </row>
    <row r="236" spans="1:101" ht="15.75" customHeight="1" x14ac:dyDescent="0.2">
      <c r="A236" s="1"/>
      <c r="B236" s="2"/>
      <c r="C236" s="2"/>
      <c r="D236" s="2"/>
      <c r="E236" s="2"/>
      <c r="F236" s="2"/>
      <c r="G236" s="2"/>
      <c r="H236" s="2"/>
      <c r="I236" s="2"/>
      <c r="J236" s="3"/>
      <c r="K236" s="2"/>
      <c r="L236" s="2"/>
      <c r="M236" s="2"/>
      <c r="N236" s="2"/>
      <c r="O236" s="2"/>
      <c r="P236" s="2"/>
      <c r="Q236" s="69"/>
      <c r="R236" s="69"/>
      <c r="S236" s="70"/>
      <c r="T236" s="70"/>
      <c r="U236" s="2"/>
      <c r="V236" s="2"/>
      <c r="W236" s="2"/>
      <c r="X236" s="2"/>
      <c r="Y236" s="2"/>
      <c r="Z236" s="2"/>
      <c r="AA236" s="20"/>
      <c r="AB236" s="71"/>
      <c r="AC236" s="71"/>
      <c r="AD236" s="2"/>
      <c r="AE236" s="70"/>
      <c r="AF236" s="70"/>
      <c r="AG236" s="70"/>
      <c r="AH236" s="70"/>
      <c r="AI236" s="2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 s="70"/>
      <c r="AX236" s="70"/>
      <c r="AY236" s="70"/>
      <c r="AZ236" s="70"/>
      <c r="BA236" s="70"/>
      <c r="BB236" s="70"/>
      <c r="BC236" s="70"/>
      <c r="BD236" s="70"/>
      <c r="BE236" s="70"/>
      <c r="BF236" s="70"/>
      <c r="BG236" s="70"/>
      <c r="BH236" s="70"/>
      <c r="BI236" s="70"/>
      <c r="BJ236" s="70"/>
      <c r="BK236" s="70"/>
      <c r="BL236" s="70"/>
      <c r="BM236" s="70"/>
      <c r="BN236" s="70"/>
      <c r="BO236" s="70"/>
      <c r="BP236" s="70"/>
      <c r="BQ236" s="70"/>
      <c r="BR236" s="70"/>
      <c r="BS236" s="70"/>
      <c r="BT236" s="70"/>
      <c r="BU236" s="70"/>
      <c r="BV236" s="70"/>
      <c r="BW236" s="70"/>
      <c r="BX236" s="70"/>
      <c r="BY236" s="70"/>
      <c r="BZ236" s="70"/>
      <c r="CA236" s="70"/>
      <c r="CB236" s="70"/>
      <c r="CC236" s="70"/>
      <c r="CD236" s="70"/>
      <c r="CE236" s="70"/>
      <c r="CF236" s="70"/>
      <c r="CG236" s="70"/>
      <c r="CH236" s="70"/>
      <c r="CI236" s="70"/>
      <c r="CJ236" s="70"/>
      <c r="CK236" s="70"/>
      <c r="CL236" s="2"/>
      <c r="CM236" s="2"/>
      <c r="CN236" s="70"/>
      <c r="CO236" s="70"/>
      <c r="CP236" s="70"/>
      <c r="CQ236" s="70"/>
      <c r="CR236" s="2"/>
      <c r="CS236" s="2"/>
      <c r="CT236" s="70"/>
      <c r="CU236" s="70"/>
      <c r="CV236" s="70"/>
      <c r="CW236" s="70"/>
    </row>
    <row r="237" spans="1:101" ht="15.75" customHeight="1" x14ac:dyDescent="0.2">
      <c r="A237" s="1"/>
      <c r="B237" s="2"/>
      <c r="C237" s="2"/>
      <c r="D237" s="2"/>
      <c r="E237" s="2"/>
      <c r="F237" s="2"/>
      <c r="G237" s="2"/>
      <c r="H237" s="2"/>
      <c r="I237" s="2"/>
      <c r="J237" s="3"/>
      <c r="K237" s="2"/>
      <c r="L237" s="2"/>
      <c r="M237" s="2"/>
      <c r="N237" s="2"/>
      <c r="O237" s="2"/>
      <c r="P237" s="2"/>
      <c r="Q237" s="69"/>
      <c r="R237" s="69"/>
      <c r="S237" s="70"/>
      <c r="T237" s="70"/>
      <c r="U237" s="2"/>
      <c r="V237" s="2"/>
      <c r="W237" s="2"/>
      <c r="X237" s="2"/>
      <c r="Y237" s="2"/>
      <c r="Z237" s="2"/>
      <c r="AA237" s="20"/>
      <c r="AB237" s="71"/>
      <c r="AC237" s="71"/>
      <c r="AD237" s="2"/>
      <c r="AE237" s="70"/>
      <c r="AF237" s="70"/>
      <c r="AG237" s="70"/>
      <c r="AH237" s="70"/>
      <c r="AI237" s="2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 s="70"/>
      <c r="AX237" s="70"/>
      <c r="AY237" s="70"/>
      <c r="AZ237" s="70"/>
      <c r="BA237" s="70"/>
      <c r="BB237" s="70"/>
      <c r="BC237" s="70"/>
      <c r="BD237" s="70"/>
      <c r="BE237" s="70"/>
      <c r="BF237" s="70"/>
      <c r="BG237" s="70"/>
      <c r="BH237" s="70"/>
      <c r="BI237" s="70"/>
      <c r="BJ237" s="70"/>
      <c r="BK237" s="70"/>
      <c r="BL237" s="70"/>
      <c r="BM237" s="70"/>
      <c r="BN237" s="70"/>
      <c r="BO237" s="70"/>
      <c r="BP237" s="70"/>
      <c r="BQ237" s="70"/>
      <c r="BR237" s="70"/>
      <c r="BS237" s="70"/>
      <c r="BT237" s="70"/>
      <c r="BU237" s="70"/>
      <c r="BV237" s="70"/>
      <c r="BW237" s="70"/>
      <c r="BX237" s="70"/>
      <c r="BY237" s="70"/>
      <c r="BZ237" s="70"/>
      <c r="CA237" s="70"/>
      <c r="CB237" s="70"/>
      <c r="CC237" s="70"/>
      <c r="CD237" s="70"/>
      <c r="CE237" s="70"/>
      <c r="CF237" s="70"/>
      <c r="CG237" s="70"/>
      <c r="CH237" s="70"/>
      <c r="CI237" s="70"/>
      <c r="CJ237" s="70"/>
      <c r="CK237" s="70"/>
      <c r="CL237" s="2"/>
      <c r="CM237" s="2"/>
      <c r="CN237" s="70"/>
      <c r="CO237" s="70"/>
      <c r="CP237" s="70"/>
      <c r="CQ237" s="70"/>
      <c r="CR237" s="2"/>
      <c r="CS237" s="2"/>
      <c r="CT237" s="70"/>
      <c r="CU237" s="70"/>
      <c r="CV237" s="70"/>
      <c r="CW237" s="70"/>
    </row>
    <row r="238" spans="1:101" ht="15.75" customHeight="1" x14ac:dyDescent="0.2">
      <c r="A238" s="1"/>
      <c r="B238" s="2"/>
      <c r="C238" s="2"/>
      <c r="D238" s="2"/>
      <c r="E238" s="2"/>
      <c r="F238" s="2"/>
      <c r="G238" s="2"/>
      <c r="H238" s="2"/>
      <c r="I238" s="2"/>
      <c r="J238" s="3"/>
      <c r="K238" s="2"/>
      <c r="L238" s="2"/>
      <c r="M238" s="2"/>
      <c r="N238" s="2"/>
      <c r="O238" s="2"/>
      <c r="P238" s="2"/>
      <c r="Q238" s="69"/>
      <c r="R238" s="69"/>
      <c r="S238" s="70"/>
      <c r="T238" s="70"/>
      <c r="U238" s="2"/>
      <c r="V238" s="2"/>
      <c r="W238" s="2"/>
      <c r="X238" s="2"/>
      <c r="Y238" s="2"/>
      <c r="Z238" s="2"/>
      <c r="AA238" s="20"/>
      <c r="AB238" s="71"/>
      <c r="AC238" s="71"/>
      <c r="AD238" s="2"/>
      <c r="AE238" s="70"/>
      <c r="AF238" s="70"/>
      <c r="AG238" s="70"/>
      <c r="AH238" s="70"/>
      <c r="AI238" s="2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 s="70"/>
      <c r="AX238" s="70"/>
      <c r="AY238" s="70"/>
      <c r="AZ238" s="70"/>
      <c r="BA238" s="70"/>
      <c r="BB238" s="70"/>
      <c r="BC238" s="70"/>
      <c r="BD238" s="70"/>
      <c r="BE238" s="70"/>
      <c r="BF238" s="70"/>
      <c r="BG238" s="70"/>
      <c r="BH238" s="70"/>
      <c r="BI238" s="70"/>
      <c r="BJ238" s="70"/>
      <c r="BK238" s="70"/>
      <c r="BL238" s="70"/>
      <c r="BM238" s="70"/>
      <c r="BN238" s="70"/>
      <c r="BO238" s="70"/>
      <c r="BP238" s="70"/>
      <c r="BQ238" s="70"/>
      <c r="BR238" s="70"/>
      <c r="BS238" s="70"/>
      <c r="BT238" s="70"/>
      <c r="BU238" s="70"/>
      <c r="BV238" s="70"/>
      <c r="BW238" s="70"/>
      <c r="BX238" s="70"/>
      <c r="BY238" s="70"/>
      <c r="BZ238" s="70"/>
      <c r="CA238" s="70"/>
      <c r="CB238" s="70"/>
      <c r="CC238" s="70"/>
      <c r="CD238" s="70"/>
      <c r="CE238" s="70"/>
      <c r="CF238" s="70"/>
      <c r="CG238" s="70"/>
      <c r="CH238" s="70"/>
      <c r="CI238" s="70"/>
      <c r="CJ238" s="70"/>
      <c r="CK238" s="70"/>
      <c r="CL238" s="2"/>
      <c r="CM238" s="2"/>
      <c r="CN238" s="70"/>
      <c r="CO238" s="70"/>
      <c r="CP238" s="70"/>
      <c r="CQ238" s="70"/>
      <c r="CR238" s="2"/>
      <c r="CS238" s="2"/>
      <c r="CT238" s="70"/>
      <c r="CU238" s="70"/>
      <c r="CV238" s="70"/>
      <c r="CW238" s="70"/>
    </row>
    <row r="239" spans="1:101" ht="15.75" customHeight="1" x14ac:dyDescent="0.2">
      <c r="A239" s="1"/>
      <c r="B239" s="2"/>
      <c r="C239" s="2"/>
      <c r="D239" s="2"/>
      <c r="E239" s="2"/>
      <c r="F239" s="2"/>
      <c r="G239" s="2"/>
      <c r="H239" s="2"/>
      <c r="I239" s="2"/>
      <c r="J239" s="3"/>
      <c r="K239" s="2"/>
      <c r="L239" s="2"/>
      <c r="M239" s="2"/>
      <c r="N239" s="2"/>
      <c r="O239" s="2"/>
      <c r="P239" s="2"/>
      <c r="Q239" s="69"/>
      <c r="R239" s="69"/>
      <c r="S239" s="70"/>
      <c r="T239" s="70"/>
      <c r="U239" s="2"/>
      <c r="V239" s="2"/>
      <c r="W239" s="2"/>
      <c r="X239" s="2"/>
      <c r="Y239" s="2"/>
      <c r="Z239" s="2"/>
      <c r="AA239" s="20"/>
      <c r="AB239" s="71"/>
      <c r="AC239" s="71"/>
      <c r="AD239" s="2"/>
      <c r="AE239" s="70"/>
      <c r="AF239" s="70"/>
      <c r="AG239" s="70"/>
      <c r="AH239" s="70"/>
      <c r="AI239" s="2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 s="70"/>
      <c r="AX239" s="70"/>
      <c r="AY239" s="70"/>
      <c r="AZ239" s="70"/>
      <c r="BA239" s="70"/>
      <c r="BB239" s="70"/>
      <c r="BC239" s="70"/>
      <c r="BD239" s="70"/>
      <c r="BE239" s="70"/>
      <c r="BF239" s="70"/>
      <c r="BG239" s="70"/>
      <c r="BH239" s="70"/>
      <c r="BI239" s="70"/>
      <c r="BJ239" s="70"/>
      <c r="BK239" s="70"/>
      <c r="BL239" s="70"/>
      <c r="BM239" s="70"/>
      <c r="BN239" s="70"/>
      <c r="BO239" s="70"/>
      <c r="BP239" s="70"/>
      <c r="BQ239" s="70"/>
      <c r="BR239" s="70"/>
      <c r="BS239" s="70"/>
      <c r="BT239" s="70"/>
      <c r="BU239" s="70"/>
      <c r="BV239" s="70"/>
      <c r="BW239" s="70"/>
      <c r="BX239" s="70"/>
      <c r="BY239" s="70"/>
      <c r="BZ239" s="70"/>
      <c r="CA239" s="70"/>
      <c r="CB239" s="70"/>
      <c r="CC239" s="70"/>
      <c r="CD239" s="70"/>
      <c r="CE239" s="70"/>
      <c r="CF239" s="70"/>
      <c r="CG239" s="70"/>
      <c r="CH239" s="70"/>
      <c r="CI239" s="70"/>
      <c r="CJ239" s="70"/>
      <c r="CK239" s="70"/>
      <c r="CL239" s="2"/>
      <c r="CM239" s="2"/>
      <c r="CN239" s="70"/>
      <c r="CO239" s="70"/>
      <c r="CP239" s="70"/>
      <c r="CQ239" s="70"/>
      <c r="CR239" s="2"/>
      <c r="CS239" s="2"/>
      <c r="CT239" s="70"/>
      <c r="CU239" s="70"/>
      <c r="CV239" s="70"/>
      <c r="CW239" s="70"/>
    </row>
    <row r="240" spans="1:101" ht="15.75" customHeight="1" x14ac:dyDescent="0.2">
      <c r="A240" s="1"/>
      <c r="B240" s="2"/>
      <c r="C240" s="2"/>
      <c r="D240" s="2"/>
      <c r="E240" s="2"/>
      <c r="F240" s="2"/>
      <c r="G240" s="2"/>
      <c r="H240" s="2"/>
      <c r="I240" s="2"/>
      <c r="J240" s="3"/>
      <c r="K240" s="2"/>
      <c r="L240" s="2"/>
      <c r="M240" s="2"/>
      <c r="N240" s="2"/>
      <c r="O240" s="2"/>
      <c r="P240" s="2"/>
      <c r="Q240" s="69"/>
      <c r="R240" s="69"/>
      <c r="S240" s="70"/>
      <c r="T240" s="70"/>
      <c r="U240" s="2"/>
      <c r="V240" s="2"/>
      <c r="W240" s="2"/>
      <c r="X240" s="2"/>
      <c r="Y240" s="2"/>
      <c r="Z240" s="2"/>
      <c r="AA240" s="20"/>
      <c r="AB240" s="71"/>
      <c r="AC240" s="71"/>
      <c r="AD240" s="2"/>
      <c r="AE240" s="70"/>
      <c r="AF240" s="70"/>
      <c r="AG240" s="70"/>
      <c r="AH240" s="70"/>
      <c r="AI240" s="2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0"/>
      <c r="AX240" s="70"/>
      <c r="AY240" s="70"/>
      <c r="AZ240" s="70"/>
      <c r="BA240" s="70"/>
      <c r="BB240" s="70"/>
      <c r="BC240" s="70"/>
      <c r="BD240" s="70"/>
      <c r="BE240" s="70"/>
      <c r="BF240" s="70"/>
      <c r="BG240" s="70"/>
      <c r="BH240" s="70"/>
      <c r="BI240" s="70"/>
      <c r="BJ240" s="70"/>
      <c r="BK240" s="70"/>
      <c r="BL240" s="70"/>
      <c r="BM240" s="70"/>
      <c r="BN240" s="70"/>
      <c r="BO240" s="70"/>
      <c r="BP240" s="70"/>
      <c r="BQ240" s="70"/>
      <c r="BR240" s="70"/>
      <c r="BS240" s="70"/>
      <c r="BT240" s="70"/>
      <c r="BU240" s="70"/>
      <c r="BV240" s="70"/>
      <c r="BW240" s="70"/>
      <c r="BX240" s="70"/>
      <c r="BY240" s="70"/>
      <c r="BZ240" s="70"/>
      <c r="CA240" s="70"/>
      <c r="CB240" s="70"/>
      <c r="CC240" s="70"/>
      <c r="CD240" s="70"/>
      <c r="CE240" s="70"/>
      <c r="CF240" s="70"/>
      <c r="CG240" s="70"/>
      <c r="CH240" s="70"/>
      <c r="CI240" s="70"/>
      <c r="CJ240" s="70"/>
      <c r="CK240" s="70"/>
      <c r="CL240" s="2"/>
      <c r="CM240" s="2"/>
      <c r="CN240" s="70"/>
      <c r="CO240" s="70"/>
      <c r="CP240" s="70"/>
      <c r="CQ240" s="70"/>
      <c r="CR240" s="2"/>
      <c r="CS240" s="2"/>
      <c r="CT240" s="70"/>
      <c r="CU240" s="70"/>
      <c r="CV240" s="70"/>
      <c r="CW240" s="70"/>
    </row>
    <row r="241" spans="1:101" ht="15.75" customHeight="1" x14ac:dyDescent="0.2">
      <c r="A241" s="1"/>
      <c r="B241" s="2"/>
      <c r="C241" s="2"/>
      <c r="D241" s="2"/>
      <c r="E241" s="2"/>
      <c r="F241" s="2"/>
      <c r="G241" s="2"/>
      <c r="H241" s="2"/>
      <c r="I241" s="2"/>
      <c r="J241" s="3"/>
      <c r="K241" s="2"/>
      <c r="L241" s="2"/>
      <c r="M241" s="2"/>
      <c r="N241" s="2"/>
      <c r="O241" s="2"/>
      <c r="P241" s="2"/>
      <c r="Q241" s="69"/>
      <c r="R241" s="69"/>
      <c r="S241" s="70"/>
      <c r="T241" s="70"/>
      <c r="U241" s="2"/>
      <c r="V241" s="2"/>
      <c r="W241" s="2"/>
      <c r="X241" s="2"/>
      <c r="Y241" s="2"/>
      <c r="Z241" s="2"/>
      <c r="AA241" s="20"/>
      <c r="AB241" s="71"/>
      <c r="AC241" s="71"/>
      <c r="AD241" s="2"/>
      <c r="AE241" s="70"/>
      <c r="AF241" s="70"/>
      <c r="AG241" s="70"/>
      <c r="AH241" s="70"/>
      <c r="AI241" s="2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0"/>
      <c r="AX241" s="70"/>
      <c r="AY241" s="70"/>
      <c r="AZ241" s="70"/>
      <c r="BA241" s="70"/>
      <c r="BB241" s="70"/>
      <c r="BC241" s="70"/>
      <c r="BD241" s="70"/>
      <c r="BE241" s="70"/>
      <c r="BF241" s="70"/>
      <c r="BG241" s="70"/>
      <c r="BH241" s="70"/>
      <c r="BI241" s="70"/>
      <c r="BJ241" s="70"/>
      <c r="BK241" s="70"/>
      <c r="BL241" s="70"/>
      <c r="BM241" s="70"/>
      <c r="BN241" s="70"/>
      <c r="BO241" s="70"/>
      <c r="BP241" s="70"/>
      <c r="BQ241" s="70"/>
      <c r="BR241" s="70"/>
      <c r="BS241" s="70"/>
      <c r="BT241" s="70"/>
      <c r="BU241" s="70"/>
      <c r="BV241" s="70"/>
      <c r="BW241" s="70"/>
      <c r="BX241" s="70"/>
      <c r="BY241" s="70"/>
      <c r="BZ241" s="70"/>
      <c r="CA241" s="70"/>
      <c r="CB241" s="70"/>
      <c r="CC241" s="70"/>
      <c r="CD241" s="70"/>
      <c r="CE241" s="70"/>
      <c r="CF241" s="70"/>
      <c r="CG241" s="70"/>
      <c r="CH241" s="70"/>
      <c r="CI241" s="70"/>
      <c r="CJ241" s="70"/>
      <c r="CK241" s="70"/>
      <c r="CL241" s="2"/>
      <c r="CM241" s="2"/>
      <c r="CN241" s="70"/>
      <c r="CO241" s="70"/>
      <c r="CP241" s="70"/>
      <c r="CQ241" s="70"/>
      <c r="CR241" s="2"/>
      <c r="CS241" s="2"/>
      <c r="CT241" s="70"/>
      <c r="CU241" s="70"/>
      <c r="CV241" s="70"/>
      <c r="CW241" s="70"/>
    </row>
    <row r="242" spans="1:101" ht="15.75" customHeight="1" x14ac:dyDescent="0.2">
      <c r="A242" s="1"/>
      <c r="B242" s="2"/>
      <c r="C242" s="2"/>
      <c r="D242" s="2"/>
      <c r="E242" s="2"/>
      <c r="F242" s="2"/>
      <c r="G242" s="2"/>
      <c r="H242" s="2"/>
      <c r="I242" s="2"/>
      <c r="J242" s="3"/>
      <c r="K242" s="2"/>
      <c r="L242" s="2"/>
      <c r="M242" s="2"/>
      <c r="N242" s="2"/>
      <c r="O242" s="2"/>
      <c r="P242" s="2"/>
      <c r="Q242" s="69"/>
      <c r="R242" s="69"/>
      <c r="S242" s="70"/>
      <c r="T242" s="70"/>
      <c r="U242" s="2"/>
      <c r="V242" s="2"/>
      <c r="W242" s="2"/>
      <c r="X242" s="2"/>
      <c r="Y242" s="2"/>
      <c r="Z242" s="2"/>
      <c r="AA242" s="20"/>
      <c r="AB242" s="71"/>
      <c r="AC242" s="71"/>
      <c r="AD242" s="2"/>
      <c r="AE242" s="70"/>
      <c r="AF242" s="70"/>
      <c r="AG242" s="70"/>
      <c r="AH242" s="70"/>
      <c r="AI242" s="2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0"/>
      <c r="AX242" s="70"/>
      <c r="AY242" s="70"/>
      <c r="AZ242" s="70"/>
      <c r="BA242" s="70"/>
      <c r="BB242" s="70"/>
      <c r="BC242" s="70"/>
      <c r="BD242" s="70"/>
      <c r="BE242" s="70"/>
      <c r="BF242" s="70"/>
      <c r="BG242" s="70"/>
      <c r="BH242" s="70"/>
      <c r="BI242" s="70"/>
      <c r="BJ242" s="70"/>
      <c r="BK242" s="70"/>
      <c r="BL242" s="70"/>
      <c r="BM242" s="70"/>
      <c r="BN242" s="70"/>
      <c r="BO242" s="70"/>
      <c r="BP242" s="70"/>
      <c r="BQ242" s="70"/>
      <c r="BR242" s="70"/>
      <c r="BS242" s="70"/>
      <c r="BT242" s="70"/>
      <c r="BU242" s="70"/>
      <c r="BV242" s="70"/>
      <c r="BW242" s="70"/>
      <c r="BX242" s="70"/>
      <c r="BY242" s="70"/>
      <c r="BZ242" s="70"/>
      <c r="CA242" s="70"/>
      <c r="CB242" s="70"/>
      <c r="CC242" s="70"/>
      <c r="CD242" s="70"/>
      <c r="CE242" s="70"/>
      <c r="CF242" s="70"/>
      <c r="CG242" s="70"/>
      <c r="CH242" s="70"/>
      <c r="CI242" s="70"/>
      <c r="CJ242" s="70"/>
      <c r="CK242" s="70"/>
      <c r="CL242" s="2"/>
      <c r="CM242" s="2"/>
      <c r="CN242" s="70"/>
      <c r="CO242" s="70"/>
      <c r="CP242" s="70"/>
      <c r="CQ242" s="70"/>
      <c r="CR242" s="2"/>
      <c r="CS242" s="2"/>
      <c r="CT242" s="70"/>
      <c r="CU242" s="70"/>
      <c r="CV242" s="70"/>
      <c r="CW242" s="70"/>
    </row>
    <row r="243" spans="1:101" ht="15.75" customHeight="1" x14ac:dyDescent="0.2">
      <c r="A243" s="1"/>
      <c r="B243" s="2"/>
      <c r="C243" s="2"/>
      <c r="D243" s="2"/>
      <c r="E243" s="2"/>
      <c r="F243" s="2"/>
      <c r="G243" s="2"/>
      <c r="H243" s="2"/>
      <c r="I243" s="2"/>
      <c r="J243" s="3"/>
      <c r="K243" s="2"/>
      <c r="L243" s="2"/>
      <c r="M243" s="2"/>
      <c r="N243" s="2"/>
      <c r="O243" s="2"/>
      <c r="P243" s="2"/>
      <c r="Q243" s="69"/>
      <c r="R243" s="69"/>
      <c r="S243" s="70"/>
      <c r="T243" s="70"/>
      <c r="U243" s="2"/>
      <c r="V243" s="2"/>
      <c r="W243" s="2"/>
      <c r="X243" s="2"/>
      <c r="Y243" s="2"/>
      <c r="Z243" s="2"/>
      <c r="AA243" s="20"/>
      <c r="AB243" s="71"/>
      <c r="AC243" s="71"/>
      <c r="AD243" s="2"/>
      <c r="AE243" s="70"/>
      <c r="AF243" s="70"/>
      <c r="AG243" s="70"/>
      <c r="AH243" s="70"/>
      <c r="AI243" s="2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0"/>
      <c r="AX243" s="70"/>
      <c r="AY243" s="70"/>
      <c r="AZ243" s="70"/>
      <c r="BA243" s="70"/>
      <c r="BB243" s="70"/>
      <c r="BC243" s="70"/>
      <c r="BD243" s="70"/>
      <c r="BE243" s="70"/>
      <c r="BF243" s="70"/>
      <c r="BG243" s="70"/>
      <c r="BH243" s="70"/>
      <c r="BI243" s="70"/>
      <c r="BJ243" s="70"/>
      <c r="BK243" s="70"/>
      <c r="BL243" s="70"/>
      <c r="BM243" s="70"/>
      <c r="BN243" s="70"/>
      <c r="BO243" s="70"/>
      <c r="BP243" s="70"/>
      <c r="BQ243" s="70"/>
      <c r="BR243" s="70"/>
      <c r="BS243" s="70"/>
      <c r="BT243" s="70"/>
      <c r="BU243" s="70"/>
      <c r="BV243" s="70"/>
      <c r="BW243" s="70"/>
      <c r="BX243" s="70"/>
      <c r="BY243" s="70"/>
      <c r="BZ243" s="70"/>
      <c r="CA243" s="70"/>
      <c r="CB243" s="70"/>
      <c r="CC243" s="70"/>
      <c r="CD243" s="70"/>
      <c r="CE243" s="70"/>
      <c r="CF243" s="70"/>
      <c r="CG243" s="70"/>
      <c r="CH243" s="70"/>
      <c r="CI243" s="70"/>
      <c r="CJ243" s="70"/>
      <c r="CK243" s="70"/>
      <c r="CL243" s="2"/>
      <c r="CM243" s="2"/>
      <c r="CN243" s="70"/>
      <c r="CO243" s="70"/>
      <c r="CP243" s="70"/>
      <c r="CQ243" s="70"/>
      <c r="CR243" s="2"/>
      <c r="CS243" s="2"/>
      <c r="CT243" s="70"/>
      <c r="CU243" s="70"/>
      <c r="CV243" s="70"/>
      <c r="CW243" s="70"/>
    </row>
    <row r="244" spans="1:101" ht="15.75" customHeight="1" x14ac:dyDescent="0.2">
      <c r="A244" s="1"/>
      <c r="B244" s="2"/>
      <c r="C244" s="2"/>
      <c r="D244" s="2"/>
      <c r="E244" s="2"/>
      <c r="F244" s="2"/>
      <c r="G244" s="2"/>
      <c r="H244" s="2"/>
      <c r="I244" s="2"/>
      <c r="J244" s="3"/>
      <c r="K244" s="2"/>
      <c r="L244" s="2"/>
      <c r="M244" s="2"/>
      <c r="N244" s="2"/>
      <c r="O244" s="2"/>
      <c r="P244" s="2"/>
      <c r="Q244" s="69"/>
      <c r="R244" s="69"/>
      <c r="S244" s="70"/>
      <c r="T244" s="70"/>
      <c r="U244" s="2"/>
      <c r="V244" s="2"/>
      <c r="W244" s="2"/>
      <c r="X244" s="2"/>
      <c r="Y244" s="2"/>
      <c r="Z244" s="2"/>
      <c r="AA244" s="20"/>
      <c r="AB244" s="71"/>
      <c r="AC244" s="71"/>
      <c r="AD244" s="2"/>
      <c r="AE244" s="70"/>
      <c r="AF244" s="70"/>
      <c r="AG244" s="70"/>
      <c r="AH244" s="70"/>
      <c r="AI244" s="2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0"/>
      <c r="AX244" s="70"/>
      <c r="AY244" s="70"/>
      <c r="AZ244" s="70"/>
      <c r="BA244" s="70"/>
      <c r="BB244" s="70"/>
      <c r="BC244" s="70"/>
      <c r="BD244" s="70"/>
      <c r="BE244" s="70"/>
      <c r="BF244" s="70"/>
      <c r="BG244" s="70"/>
      <c r="BH244" s="70"/>
      <c r="BI244" s="70"/>
      <c r="BJ244" s="70"/>
      <c r="BK244" s="70"/>
      <c r="BL244" s="70"/>
      <c r="BM244" s="70"/>
      <c r="BN244" s="70"/>
      <c r="BO244" s="70"/>
      <c r="BP244" s="70"/>
      <c r="BQ244" s="70"/>
      <c r="BR244" s="70"/>
      <c r="BS244" s="70"/>
      <c r="BT244" s="70"/>
      <c r="BU244" s="70"/>
      <c r="BV244" s="70"/>
      <c r="BW244" s="70"/>
      <c r="BX244" s="70"/>
      <c r="BY244" s="70"/>
      <c r="BZ244" s="70"/>
      <c r="CA244" s="70"/>
      <c r="CB244" s="70"/>
      <c r="CC244" s="70"/>
      <c r="CD244" s="70"/>
      <c r="CE244" s="70"/>
      <c r="CF244" s="70"/>
      <c r="CG244" s="70"/>
      <c r="CH244" s="70"/>
      <c r="CI244" s="70"/>
      <c r="CJ244" s="70"/>
      <c r="CK244" s="70"/>
      <c r="CL244" s="2"/>
      <c r="CM244" s="2"/>
      <c r="CN244" s="70"/>
      <c r="CO244" s="70"/>
      <c r="CP244" s="70"/>
      <c r="CQ244" s="70"/>
      <c r="CR244" s="2"/>
      <c r="CS244" s="2"/>
      <c r="CT244" s="70"/>
      <c r="CU244" s="70"/>
      <c r="CV244" s="70"/>
      <c r="CW244" s="70"/>
    </row>
    <row r="245" spans="1:101" ht="15.75" customHeight="1" x14ac:dyDescent="0.2">
      <c r="A245" s="1"/>
      <c r="B245" s="2"/>
      <c r="C245" s="2"/>
      <c r="D245" s="2"/>
      <c r="E245" s="2"/>
      <c r="F245" s="2"/>
      <c r="G245" s="2"/>
      <c r="H245" s="2"/>
      <c r="I245" s="2"/>
      <c r="J245" s="3"/>
      <c r="K245" s="2"/>
      <c r="L245" s="2"/>
      <c r="M245" s="2"/>
      <c r="N245" s="2"/>
      <c r="O245" s="2"/>
      <c r="P245" s="2"/>
      <c r="Q245" s="69"/>
      <c r="R245" s="69"/>
      <c r="S245" s="70"/>
      <c r="T245" s="70"/>
      <c r="U245" s="2"/>
      <c r="V245" s="2"/>
      <c r="W245" s="2"/>
      <c r="X245" s="2"/>
      <c r="Y245" s="2"/>
      <c r="Z245" s="2"/>
      <c r="AA245" s="20"/>
      <c r="AB245" s="71"/>
      <c r="AC245" s="71"/>
      <c r="AD245" s="2"/>
      <c r="AE245" s="70"/>
      <c r="AF245" s="70"/>
      <c r="AG245" s="70"/>
      <c r="AH245" s="70"/>
      <c r="AI245" s="2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70"/>
      <c r="AX245" s="70"/>
      <c r="AY245" s="70"/>
      <c r="AZ245" s="70"/>
      <c r="BA245" s="70"/>
      <c r="BB245" s="70"/>
      <c r="BC245" s="70"/>
      <c r="BD245" s="70"/>
      <c r="BE245" s="70"/>
      <c r="BF245" s="70"/>
      <c r="BG245" s="70"/>
      <c r="BH245" s="70"/>
      <c r="BI245" s="70"/>
      <c r="BJ245" s="70"/>
      <c r="BK245" s="70"/>
      <c r="BL245" s="70"/>
      <c r="BM245" s="70"/>
      <c r="BN245" s="70"/>
      <c r="BO245" s="70"/>
      <c r="BP245" s="70"/>
      <c r="BQ245" s="70"/>
      <c r="BR245" s="70"/>
      <c r="BS245" s="70"/>
      <c r="BT245" s="70"/>
      <c r="BU245" s="70"/>
      <c r="BV245" s="70"/>
      <c r="BW245" s="70"/>
      <c r="BX245" s="70"/>
      <c r="BY245" s="70"/>
      <c r="BZ245" s="70"/>
      <c r="CA245" s="70"/>
      <c r="CB245" s="70"/>
      <c r="CC245" s="70"/>
      <c r="CD245" s="70"/>
      <c r="CE245" s="70"/>
      <c r="CF245" s="70"/>
      <c r="CG245" s="70"/>
      <c r="CH245" s="70"/>
      <c r="CI245" s="70"/>
      <c r="CJ245" s="70"/>
      <c r="CK245" s="70"/>
      <c r="CL245" s="2"/>
      <c r="CM245" s="2"/>
      <c r="CN245" s="70"/>
      <c r="CO245" s="70"/>
      <c r="CP245" s="70"/>
      <c r="CQ245" s="70"/>
      <c r="CR245" s="2"/>
      <c r="CS245" s="2"/>
      <c r="CT245" s="70"/>
      <c r="CU245" s="70"/>
      <c r="CV245" s="70"/>
      <c r="CW245" s="70"/>
    </row>
    <row r="246" spans="1:101" ht="15.75" customHeight="1" x14ac:dyDescent="0.2">
      <c r="A246" s="1"/>
      <c r="B246" s="2"/>
      <c r="C246" s="2"/>
      <c r="D246" s="2"/>
      <c r="E246" s="2"/>
      <c r="F246" s="2"/>
      <c r="G246" s="2"/>
      <c r="H246" s="2"/>
      <c r="I246" s="2"/>
      <c r="J246" s="3"/>
      <c r="K246" s="2"/>
      <c r="L246" s="2"/>
      <c r="M246" s="2"/>
      <c r="N246" s="2"/>
      <c r="O246" s="2"/>
      <c r="P246" s="2"/>
      <c r="Q246" s="69"/>
      <c r="R246" s="69"/>
      <c r="S246" s="70"/>
      <c r="T246" s="70"/>
      <c r="U246" s="2"/>
      <c r="V246" s="2"/>
      <c r="W246" s="2"/>
      <c r="X246" s="2"/>
      <c r="Y246" s="2"/>
      <c r="Z246" s="2"/>
      <c r="AA246" s="20"/>
      <c r="AB246" s="71"/>
      <c r="AC246" s="71"/>
      <c r="AD246" s="2"/>
      <c r="AE246" s="70"/>
      <c r="AF246" s="70"/>
      <c r="AG246" s="70"/>
      <c r="AH246" s="70"/>
      <c r="AI246" s="2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70"/>
      <c r="AX246" s="70"/>
      <c r="AY246" s="70"/>
      <c r="AZ246" s="70"/>
      <c r="BA246" s="70"/>
      <c r="BB246" s="70"/>
      <c r="BC246" s="70"/>
      <c r="BD246" s="70"/>
      <c r="BE246" s="70"/>
      <c r="BF246" s="70"/>
      <c r="BG246" s="70"/>
      <c r="BH246" s="70"/>
      <c r="BI246" s="70"/>
      <c r="BJ246" s="70"/>
      <c r="BK246" s="70"/>
      <c r="BL246" s="70"/>
      <c r="BM246" s="70"/>
      <c r="BN246" s="70"/>
      <c r="BO246" s="70"/>
      <c r="BP246" s="70"/>
      <c r="BQ246" s="70"/>
      <c r="BR246" s="70"/>
      <c r="BS246" s="70"/>
      <c r="BT246" s="70"/>
      <c r="BU246" s="70"/>
      <c r="BV246" s="70"/>
      <c r="BW246" s="70"/>
      <c r="BX246" s="70"/>
      <c r="BY246" s="70"/>
      <c r="BZ246" s="70"/>
      <c r="CA246" s="70"/>
      <c r="CB246" s="70"/>
      <c r="CC246" s="70"/>
      <c r="CD246" s="70"/>
      <c r="CE246" s="70"/>
      <c r="CF246" s="70"/>
      <c r="CG246" s="70"/>
      <c r="CH246" s="70"/>
      <c r="CI246" s="70"/>
      <c r="CJ246" s="70"/>
      <c r="CK246" s="70"/>
      <c r="CL246" s="2"/>
      <c r="CM246" s="2"/>
      <c r="CN246" s="70"/>
      <c r="CO246" s="70"/>
      <c r="CP246" s="70"/>
      <c r="CQ246" s="70"/>
      <c r="CR246" s="2"/>
      <c r="CS246" s="2"/>
      <c r="CT246" s="70"/>
      <c r="CU246" s="70"/>
      <c r="CV246" s="70"/>
      <c r="CW246" s="70"/>
    </row>
    <row r="247" spans="1:101" ht="15.75" customHeight="1" x14ac:dyDescent="0.2">
      <c r="A247" s="1"/>
      <c r="B247" s="2"/>
      <c r="C247" s="2"/>
      <c r="D247" s="2"/>
      <c r="E247" s="2"/>
      <c r="F247" s="2"/>
      <c r="G247" s="2"/>
      <c r="H247" s="2"/>
      <c r="I247" s="2"/>
      <c r="J247" s="3"/>
      <c r="K247" s="2"/>
      <c r="L247" s="2"/>
      <c r="M247" s="2"/>
      <c r="N247" s="2"/>
      <c r="O247" s="2"/>
      <c r="P247" s="2"/>
      <c r="Q247" s="69"/>
      <c r="R247" s="69"/>
      <c r="S247" s="70"/>
      <c r="T247" s="70"/>
      <c r="U247" s="2"/>
      <c r="V247" s="2"/>
      <c r="W247" s="2"/>
      <c r="X247" s="2"/>
      <c r="Y247" s="2"/>
      <c r="Z247" s="2"/>
      <c r="AA247" s="20"/>
      <c r="AB247" s="71"/>
      <c r="AC247" s="71"/>
      <c r="AD247" s="2"/>
      <c r="AE247" s="70"/>
      <c r="AF247" s="70"/>
      <c r="AG247" s="70"/>
      <c r="AH247" s="70"/>
      <c r="AI247" s="2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70"/>
      <c r="AX247" s="70"/>
      <c r="AY247" s="70"/>
      <c r="AZ247" s="70"/>
      <c r="BA247" s="70"/>
      <c r="BB247" s="70"/>
      <c r="BC247" s="70"/>
      <c r="BD247" s="70"/>
      <c r="BE247" s="70"/>
      <c r="BF247" s="70"/>
      <c r="BG247" s="70"/>
      <c r="BH247" s="70"/>
      <c r="BI247" s="70"/>
      <c r="BJ247" s="70"/>
      <c r="BK247" s="70"/>
      <c r="BL247" s="70"/>
      <c r="BM247" s="70"/>
      <c r="BN247" s="70"/>
      <c r="BO247" s="70"/>
      <c r="BP247" s="70"/>
      <c r="BQ247" s="70"/>
      <c r="BR247" s="70"/>
      <c r="BS247" s="70"/>
      <c r="BT247" s="70"/>
      <c r="BU247" s="70"/>
      <c r="BV247" s="70"/>
      <c r="BW247" s="70"/>
      <c r="BX247" s="70"/>
      <c r="BY247" s="70"/>
      <c r="BZ247" s="70"/>
      <c r="CA247" s="70"/>
      <c r="CB247" s="70"/>
      <c r="CC247" s="70"/>
      <c r="CD247" s="70"/>
      <c r="CE247" s="70"/>
      <c r="CF247" s="70"/>
      <c r="CG247" s="70"/>
      <c r="CH247" s="70"/>
      <c r="CI247" s="70"/>
      <c r="CJ247" s="70"/>
      <c r="CK247" s="70"/>
      <c r="CL247" s="2"/>
      <c r="CM247" s="2"/>
      <c r="CN247" s="70"/>
      <c r="CO247" s="70"/>
      <c r="CP247" s="70"/>
      <c r="CQ247" s="70"/>
      <c r="CR247" s="2"/>
      <c r="CS247" s="2"/>
      <c r="CT247" s="70"/>
      <c r="CU247" s="70"/>
      <c r="CV247" s="70"/>
      <c r="CW247" s="70"/>
    </row>
    <row r="248" spans="1:101" ht="15.75" customHeight="1" x14ac:dyDescent="0.2">
      <c r="A248" s="1"/>
      <c r="B248" s="2"/>
      <c r="C248" s="2"/>
      <c r="D248" s="2"/>
      <c r="E248" s="2"/>
      <c r="F248" s="2"/>
      <c r="G248" s="2"/>
      <c r="H248" s="2"/>
      <c r="I248" s="2"/>
      <c r="J248" s="3"/>
      <c r="K248" s="2"/>
      <c r="L248" s="2"/>
      <c r="M248" s="2"/>
      <c r="N248" s="2"/>
      <c r="O248" s="2"/>
      <c r="P248" s="2"/>
      <c r="Q248" s="69"/>
      <c r="R248" s="69"/>
      <c r="S248" s="70"/>
      <c r="T248" s="70"/>
      <c r="U248" s="2"/>
      <c r="V248" s="2"/>
      <c r="W248" s="2"/>
      <c r="X248" s="2"/>
      <c r="Y248" s="2"/>
      <c r="Z248" s="2"/>
      <c r="AA248" s="20"/>
      <c r="AB248" s="71"/>
      <c r="AC248" s="71"/>
      <c r="AD248" s="2"/>
      <c r="AE248" s="70"/>
      <c r="AF248" s="70"/>
      <c r="AG248" s="70"/>
      <c r="AH248" s="70"/>
      <c r="AI248" s="2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  <c r="AW248" s="70"/>
      <c r="AX248" s="70"/>
      <c r="AY248" s="70"/>
      <c r="AZ248" s="70"/>
      <c r="BA248" s="70"/>
      <c r="BB248" s="70"/>
      <c r="BC248" s="70"/>
      <c r="BD248" s="70"/>
      <c r="BE248" s="70"/>
      <c r="BF248" s="70"/>
      <c r="BG248" s="70"/>
      <c r="BH248" s="70"/>
      <c r="BI248" s="70"/>
      <c r="BJ248" s="70"/>
      <c r="BK248" s="70"/>
      <c r="BL248" s="70"/>
      <c r="BM248" s="70"/>
      <c r="BN248" s="70"/>
      <c r="BO248" s="70"/>
      <c r="BP248" s="70"/>
      <c r="BQ248" s="70"/>
      <c r="BR248" s="70"/>
      <c r="BS248" s="70"/>
      <c r="BT248" s="70"/>
      <c r="BU248" s="70"/>
      <c r="BV248" s="70"/>
      <c r="BW248" s="70"/>
      <c r="BX248" s="70"/>
      <c r="BY248" s="70"/>
      <c r="BZ248" s="70"/>
      <c r="CA248" s="70"/>
      <c r="CB248" s="70"/>
      <c r="CC248" s="70"/>
      <c r="CD248" s="70"/>
      <c r="CE248" s="70"/>
      <c r="CF248" s="70"/>
      <c r="CG248" s="70"/>
      <c r="CH248" s="70"/>
      <c r="CI248" s="70"/>
      <c r="CJ248" s="70"/>
      <c r="CK248" s="70"/>
      <c r="CL248" s="2"/>
      <c r="CM248" s="2"/>
      <c r="CN248" s="70"/>
      <c r="CO248" s="70"/>
      <c r="CP248" s="70"/>
      <c r="CQ248" s="70"/>
      <c r="CR248" s="2"/>
      <c r="CS248" s="2"/>
      <c r="CT248" s="70"/>
      <c r="CU248" s="70"/>
      <c r="CV248" s="70"/>
      <c r="CW248" s="70"/>
    </row>
    <row r="249" spans="1:101" ht="15.75" customHeight="1" x14ac:dyDescent="0.2">
      <c r="A249" s="1"/>
      <c r="B249" s="2"/>
      <c r="C249" s="2"/>
      <c r="D249" s="2"/>
      <c r="E249" s="2"/>
      <c r="F249" s="2"/>
      <c r="G249" s="2"/>
      <c r="H249" s="2"/>
      <c r="I249" s="2"/>
      <c r="J249" s="3"/>
      <c r="K249" s="2"/>
      <c r="L249" s="2"/>
      <c r="M249" s="2"/>
      <c r="N249" s="2"/>
      <c r="O249" s="2"/>
      <c r="P249" s="2"/>
      <c r="Q249" s="69"/>
      <c r="R249" s="69"/>
      <c r="S249" s="70"/>
      <c r="T249" s="70"/>
      <c r="U249" s="2"/>
      <c r="V249" s="2"/>
      <c r="W249" s="2"/>
      <c r="X249" s="2"/>
      <c r="Y249" s="2"/>
      <c r="Z249" s="2"/>
      <c r="AA249" s="20"/>
      <c r="AB249" s="71"/>
      <c r="AC249" s="71"/>
      <c r="AD249" s="2"/>
      <c r="AE249" s="70"/>
      <c r="AF249" s="70"/>
      <c r="AG249" s="70"/>
      <c r="AH249" s="70"/>
      <c r="AI249" s="2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70"/>
      <c r="AX249" s="70"/>
      <c r="AY249" s="70"/>
      <c r="AZ249" s="70"/>
      <c r="BA249" s="70"/>
      <c r="BB249" s="70"/>
      <c r="BC249" s="70"/>
      <c r="BD249" s="70"/>
      <c r="BE249" s="70"/>
      <c r="BF249" s="70"/>
      <c r="BG249" s="70"/>
      <c r="BH249" s="70"/>
      <c r="BI249" s="70"/>
      <c r="BJ249" s="70"/>
      <c r="BK249" s="70"/>
      <c r="BL249" s="70"/>
      <c r="BM249" s="70"/>
      <c r="BN249" s="70"/>
      <c r="BO249" s="70"/>
      <c r="BP249" s="70"/>
      <c r="BQ249" s="70"/>
      <c r="BR249" s="70"/>
      <c r="BS249" s="70"/>
      <c r="BT249" s="70"/>
      <c r="BU249" s="70"/>
      <c r="BV249" s="70"/>
      <c r="BW249" s="70"/>
      <c r="BX249" s="70"/>
      <c r="BY249" s="70"/>
      <c r="BZ249" s="70"/>
      <c r="CA249" s="70"/>
      <c r="CB249" s="70"/>
      <c r="CC249" s="70"/>
      <c r="CD249" s="70"/>
      <c r="CE249" s="70"/>
      <c r="CF249" s="70"/>
      <c r="CG249" s="70"/>
      <c r="CH249" s="70"/>
      <c r="CI249" s="70"/>
      <c r="CJ249" s="70"/>
      <c r="CK249" s="70"/>
      <c r="CL249" s="2"/>
      <c r="CM249" s="2"/>
      <c r="CN249" s="70"/>
      <c r="CO249" s="70"/>
      <c r="CP249" s="70"/>
      <c r="CQ249" s="70"/>
      <c r="CR249" s="2"/>
      <c r="CS249" s="2"/>
      <c r="CT249" s="70"/>
      <c r="CU249" s="70"/>
      <c r="CV249" s="70"/>
      <c r="CW249" s="70"/>
    </row>
    <row r="250" spans="1:101" ht="15.75" customHeight="1" x14ac:dyDescent="0.2">
      <c r="A250" s="1"/>
      <c r="B250" s="2"/>
      <c r="C250" s="2"/>
      <c r="D250" s="2"/>
      <c r="E250" s="2"/>
      <c r="F250" s="2"/>
      <c r="G250" s="2"/>
      <c r="H250" s="2"/>
      <c r="I250" s="2"/>
      <c r="J250" s="3"/>
      <c r="K250" s="2"/>
      <c r="L250" s="2"/>
      <c r="M250" s="2"/>
      <c r="N250" s="2"/>
      <c r="O250" s="2"/>
      <c r="P250" s="2"/>
      <c r="Q250" s="69"/>
      <c r="R250" s="69"/>
      <c r="S250" s="70"/>
      <c r="T250" s="70"/>
      <c r="U250" s="2"/>
      <c r="V250" s="2"/>
      <c r="W250" s="2"/>
      <c r="X250" s="2"/>
      <c r="Y250" s="2"/>
      <c r="Z250" s="2"/>
      <c r="AA250" s="20"/>
      <c r="AB250" s="71"/>
      <c r="AC250" s="71"/>
      <c r="AD250" s="2"/>
      <c r="AE250" s="70"/>
      <c r="AF250" s="70"/>
      <c r="AG250" s="70"/>
      <c r="AH250" s="70"/>
      <c r="AI250" s="2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  <c r="AW250" s="70"/>
      <c r="AX250" s="70"/>
      <c r="AY250" s="70"/>
      <c r="AZ250" s="70"/>
      <c r="BA250" s="70"/>
      <c r="BB250" s="70"/>
      <c r="BC250" s="70"/>
      <c r="BD250" s="70"/>
      <c r="BE250" s="70"/>
      <c r="BF250" s="70"/>
      <c r="BG250" s="70"/>
      <c r="BH250" s="70"/>
      <c r="BI250" s="70"/>
      <c r="BJ250" s="70"/>
      <c r="BK250" s="70"/>
      <c r="BL250" s="70"/>
      <c r="BM250" s="70"/>
      <c r="BN250" s="70"/>
      <c r="BO250" s="70"/>
      <c r="BP250" s="70"/>
      <c r="BQ250" s="70"/>
      <c r="BR250" s="70"/>
      <c r="BS250" s="70"/>
      <c r="BT250" s="70"/>
      <c r="BU250" s="70"/>
      <c r="BV250" s="70"/>
      <c r="BW250" s="70"/>
      <c r="BX250" s="70"/>
      <c r="BY250" s="70"/>
      <c r="BZ250" s="70"/>
      <c r="CA250" s="70"/>
      <c r="CB250" s="70"/>
      <c r="CC250" s="70"/>
      <c r="CD250" s="70"/>
      <c r="CE250" s="70"/>
      <c r="CF250" s="70"/>
      <c r="CG250" s="70"/>
      <c r="CH250" s="70"/>
      <c r="CI250" s="70"/>
      <c r="CJ250" s="70"/>
      <c r="CK250" s="70"/>
      <c r="CL250" s="2"/>
      <c r="CM250" s="2"/>
      <c r="CN250" s="70"/>
      <c r="CO250" s="70"/>
      <c r="CP250" s="70"/>
      <c r="CQ250" s="70"/>
      <c r="CR250" s="2"/>
      <c r="CS250" s="2"/>
      <c r="CT250" s="70"/>
      <c r="CU250" s="70"/>
      <c r="CV250" s="70"/>
      <c r="CW250" s="70"/>
    </row>
    <row r="251" spans="1:101" ht="15.75" customHeight="1" x14ac:dyDescent="0.2">
      <c r="A251" s="1"/>
      <c r="B251" s="2"/>
      <c r="C251" s="2"/>
      <c r="D251" s="2"/>
      <c r="E251" s="2"/>
      <c r="F251" s="2"/>
      <c r="G251" s="2"/>
      <c r="H251" s="2"/>
      <c r="I251" s="2"/>
      <c r="J251" s="3"/>
      <c r="K251" s="2"/>
      <c r="L251" s="2"/>
      <c r="M251" s="2"/>
      <c r="N251" s="2"/>
      <c r="O251" s="2"/>
      <c r="P251" s="2"/>
      <c r="Q251" s="69"/>
      <c r="R251" s="69"/>
      <c r="S251" s="70"/>
      <c r="T251" s="70"/>
      <c r="U251" s="2"/>
      <c r="V251" s="2"/>
      <c r="W251" s="2"/>
      <c r="X251" s="2"/>
      <c r="Y251" s="2"/>
      <c r="Z251" s="2"/>
      <c r="AA251" s="20"/>
      <c r="AB251" s="71"/>
      <c r="AC251" s="71"/>
      <c r="AD251" s="2"/>
      <c r="AE251" s="70"/>
      <c r="AF251" s="70"/>
      <c r="AG251" s="70"/>
      <c r="AH251" s="70"/>
      <c r="AI251" s="2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  <c r="AW251" s="70"/>
      <c r="AX251" s="70"/>
      <c r="AY251" s="70"/>
      <c r="AZ251" s="70"/>
      <c r="BA251" s="70"/>
      <c r="BB251" s="70"/>
      <c r="BC251" s="70"/>
      <c r="BD251" s="70"/>
      <c r="BE251" s="70"/>
      <c r="BF251" s="70"/>
      <c r="BG251" s="70"/>
      <c r="BH251" s="70"/>
      <c r="BI251" s="70"/>
      <c r="BJ251" s="70"/>
      <c r="BK251" s="70"/>
      <c r="BL251" s="70"/>
      <c r="BM251" s="70"/>
      <c r="BN251" s="70"/>
      <c r="BO251" s="70"/>
      <c r="BP251" s="70"/>
      <c r="BQ251" s="70"/>
      <c r="BR251" s="70"/>
      <c r="BS251" s="70"/>
      <c r="BT251" s="70"/>
      <c r="BU251" s="70"/>
      <c r="BV251" s="70"/>
      <c r="BW251" s="70"/>
      <c r="BX251" s="70"/>
      <c r="BY251" s="70"/>
      <c r="BZ251" s="70"/>
      <c r="CA251" s="70"/>
      <c r="CB251" s="70"/>
      <c r="CC251" s="70"/>
      <c r="CD251" s="70"/>
      <c r="CE251" s="70"/>
      <c r="CF251" s="70"/>
      <c r="CG251" s="70"/>
      <c r="CH251" s="70"/>
      <c r="CI251" s="70"/>
      <c r="CJ251" s="70"/>
      <c r="CK251" s="70"/>
      <c r="CL251" s="2"/>
      <c r="CM251" s="2"/>
      <c r="CN251" s="70"/>
      <c r="CO251" s="70"/>
      <c r="CP251" s="70"/>
      <c r="CQ251" s="70"/>
      <c r="CR251" s="2"/>
      <c r="CS251" s="2"/>
      <c r="CT251" s="70"/>
      <c r="CU251" s="70"/>
      <c r="CV251" s="70"/>
      <c r="CW251" s="70"/>
    </row>
    <row r="252" spans="1:101" ht="15.75" customHeight="1" x14ac:dyDescent="0.2">
      <c r="A252" s="1"/>
      <c r="B252" s="2"/>
      <c r="C252" s="2"/>
      <c r="D252" s="2"/>
      <c r="E252" s="2"/>
      <c r="F252" s="2"/>
      <c r="G252" s="2"/>
      <c r="H252" s="2"/>
      <c r="I252" s="2"/>
      <c r="J252" s="3"/>
      <c r="K252" s="2"/>
      <c r="L252" s="2"/>
      <c r="M252" s="2"/>
      <c r="N252" s="2"/>
      <c r="O252" s="2"/>
      <c r="P252" s="2"/>
      <c r="Q252" s="69"/>
      <c r="R252" s="69"/>
      <c r="S252" s="70"/>
      <c r="T252" s="70"/>
      <c r="U252" s="2"/>
      <c r="V252" s="2"/>
      <c r="W252" s="2"/>
      <c r="X252" s="2"/>
      <c r="Y252" s="2"/>
      <c r="Z252" s="2"/>
      <c r="AA252" s="20"/>
      <c r="AB252" s="71"/>
      <c r="AC252" s="71"/>
      <c r="AD252" s="2"/>
      <c r="AE252" s="70"/>
      <c r="AF252" s="70"/>
      <c r="AG252" s="70"/>
      <c r="AH252" s="70"/>
      <c r="AI252" s="2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  <c r="AW252" s="70"/>
      <c r="AX252" s="70"/>
      <c r="AY252" s="70"/>
      <c r="AZ252" s="70"/>
      <c r="BA252" s="70"/>
      <c r="BB252" s="70"/>
      <c r="BC252" s="70"/>
      <c r="BD252" s="70"/>
      <c r="BE252" s="70"/>
      <c r="BF252" s="70"/>
      <c r="BG252" s="70"/>
      <c r="BH252" s="70"/>
      <c r="BI252" s="70"/>
      <c r="BJ252" s="70"/>
      <c r="BK252" s="70"/>
      <c r="BL252" s="70"/>
      <c r="BM252" s="70"/>
      <c r="BN252" s="70"/>
      <c r="BO252" s="70"/>
      <c r="BP252" s="70"/>
      <c r="BQ252" s="70"/>
      <c r="BR252" s="70"/>
      <c r="BS252" s="70"/>
      <c r="BT252" s="70"/>
      <c r="BU252" s="70"/>
      <c r="BV252" s="70"/>
      <c r="BW252" s="70"/>
      <c r="BX252" s="70"/>
      <c r="BY252" s="70"/>
      <c r="BZ252" s="70"/>
      <c r="CA252" s="70"/>
      <c r="CB252" s="70"/>
      <c r="CC252" s="70"/>
      <c r="CD252" s="70"/>
      <c r="CE252" s="70"/>
      <c r="CF252" s="70"/>
      <c r="CG252" s="70"/>
      <c r="CH252" s="70"/>
      <c r="CI252" s="70"/>
      <c r="CJ252" s="70"/>
      <c r="CK252" s="70"/>
      <c r="CL252" s="2"/>
      <c r="CM252" s="2"/>
      <c r="CN252" s="70"/>
      <c r="CO252" s="70"/>
      <c r="CP252" s="70"/>
      <c r="CQ252" s="70"/>
      <c r="CR252" s="2"/>
      <c r="CS252" s="2"/>
      <c r="CT252" s="70"/>
      <c r="CU252" s="70"/>
      <c r="CV252" s="70"/>
      <c r="CW252" s="70"/>
    </row>
    <row r="253" spans="1:101" ht="15.75" customHeight="1" x14ac:dyDescent="0.2">
      <c r="A253" s="1"/>
      <c r="B253" s="2"/>
      <c r="C253" s="2"/>
      <c r="D253" s="2"/>
      <c r="E253" s="2"/>
      <c r="F253" s="2"/>
      <c r="G253" s="2"/>
      <c r="H253" s="2"/>
      <c r="I253" s="2"/>
      <c r="J253" s="3"/>
      <c r="K253" s="2"/>
      <c r="L253" s="2"/>
      <c r="M253" s="2"/>
      <c r="N253" s="2"/>
      <c r="O253" s="2"/>
      <c r="P253" s="2"/>
      <c r="Q253" s="69"/>
      <c r="R253" s="69"/>
      <c r="S253" s="70"/>
      <c r="T253" s="70"/>
      <c r="U253" s="2"/>
      <c r="V253" s="2"/>
      <c r="W253" s="2"/>
      <c r="X253" s="2"/>
      <c r="Y253" s="2"/>
      <c r="Z253" s="2"/>
      <c r="AA253" s="20"/>
      <c r="AB253" s="71"/>
      <c r="AC253" s="71"/>
      <c r="AD253" s="2"/>
      <c r="AE253" s="70"/>
      <c r="AF253" s="70"/>
      <c r="AG253" s="70"/>
      <c r="AH253" s="70"/>
      <c r="AI253" s="2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70"/>
      <c r="AX253" s="70"/>
      <c r="AY253" s="70"/>
      <c r="AZ253" s="70"/>
      <c r="BA253" s="70"/>
      <c r="BB253" s="70"/>
      <c r="BC253" s="70"/>
      <c r="BD253" s="70"/>
      <c r="BE253" s="70"/>
      <c r="BF253" s="70"/>
      <c r="BG253" s="70"/>
      <c r="BH253" s="70"/>
      <c r="BI253" s="70"/>
      <c r="BJ253" s="70"/>
      <c r="BK253" s="70"/>
      <c r="BL253" s="70"/>
      <c r="BM253" s="70"/>
      <c r="BN253" s="70"/>
      <c r="BO253" s="70"/>
      <c r="BP253" s="70"/>
      <c r="BQ253" s="70"/>
      <c r="BR253" s="70"/>
      <c r="BS253" s="70"/>
      <c r="BT253" s="70"/>
      <c r="BU253" s="70"/>
      <c r="BV253" s="70"/>
      <c r="BW253" s="70"/>
      <c r="BX253" s="70"/>
      <c r="BY253" s="70"/>
      <c r="BZ253" s="70"/>
      <c r="CA253" s="70"/>
      <c r="CB253" s="70"/>
      <c r="CC253" s="70"/>
      <c r="CD253" s="70"/>
      <c r="CE253" s="70"/>
      <c r="CF253" s="70"/>
      <c r="CG253" s="70"/>
      <c r="CH253" s="70"/>
      <c r="CI253" s="70"/>
      <c r="CJ253" s="70"/>
      <c r="CK253" s="70"/>
      <c r="CL253" s="2"/>
      <c r="CM253" s="2"/>
      <c r="CN253" s="70"/>
      <c r="CO253" s="70"/>
      <c r="CP253" s="70"/>
      <c r="CQ253" s="70"/>
      <c r="CR253" s="2"/>
      <c r="CS253" s="2"/>
      <c r="CT253" s="70"/>
      <c r="CU253" s="70"/>
      <c r="CV253" s="70"/>
      <c r="CW253" s="70"/>
    </row>
    <row r="254" spans="1:101" ht="15.75" customHeight="1" x14ac:dyDescent="0.2">
      <c r="A254" s="1"/>
      <c r="B254" s="2"/>
      <c r="C254" s="2"/>
      <c r="D254" s="2"/>
      <c r="E254" s="2"/>
      <c r="F254" s="2"/>
      <c r="G254" s="2"/>
      <c r="H254" s="2"/>
      <c r="I254" s="2"/>
      <c r="J254" s="3"/>
      <c r="K254" s="2"/>
      <c r="L254" s="2"/>
      <c r="M254" s="2"/>
      <c r="N254" s="2"/>
      <c r="O254" s="2"/>
      <c r="P254" s="2"/>
      <c r="Q254" s="69"/>
      <c r="R254" s="69"/>
      <c r="S254" s="70"/>
      <c r="T254" s="70"/>
      <c r="U254" s="2"/>
      <c r="V254" s="2"/>
      <c r="W254" s="2"/>
      <c r="X254" s="2"/>
      <c r="Y254" s="2"/>
      <c r="Z254" s="2"/>
      <c r="AA254" s="20"/>
      <c r="AB254" s="71"/>
      <c r="AC254" s="71"/>
      <c r="AD254" s="2"/>
      <c r="AE254" s="70"/>
      <c r="AF254" s="70"/>
      <c r="AG254" s="70"/>
      <c r="AH254" s="70"/>
      <c r="AI254" s="2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  <c r="AW254" s="70"/>
      <c r="AX254" s="70"/>
      <c r="AY254" s="70"/>
      <c r="AZ254" s="70"/>
      <c r="BA254" s="70"/>
      <c r="BB254" s="70"/>
      <c r="BC254" s="70"/>
      <c r="BD254" s="70"/>
      <c r="BE254" s="70"/>
      <c r="BF254" s="70"/>
      <c r="BG254" s="70"/>
      <c r="BH254" s="70"/>
      <c r="BI254" s="70"/>
      <c r="BJ254" s="70"/>
      <c r="BK254" s="70"/>
      <c r="BL254" s="70"/>
      <c r="BM254" s="70"/>
      <c r="BN254" s="70"/>
      <c r="BO254" s="70"/>
      <c r="BP254" s="70"/>
      <c r="BQ254" s="70"/>
      <c r="BR254" s="70"/>
      <c r="BS254" s="70"/>
      <c r="BT254" s="70"/>
      <c r="BU254" s="70"/>
      <c r="BV254" s="70"/>
      <c r="BW254" s="70"/>
      <c r="BX254" s="70"/>
      <c r="BY254" s="70"/>
      <c r="BZ254" s="70"/>
      <c r="CA254" s="70"/>
      <c r="CB254" s="70"/>
      <c r="CC254" s="70"/>
      <c r="CD254" s="70"/>
      <c r="CE254" s="70"/>
      <c r="CF254" s="70"/>
      <c r="CG254" s="70"/>
      <c r="CH254" s="70"/>
      <c r="CI254" s="70"/>
      <c r="CJ254" s="70"/>
      <c r="CK254" s="70"/>
      <c r="CL254" s="2"/>
      <c r="CM254" s="2"/>
      <c r="CN254" s="70"/>
      <c r="CO254" s="70"/>
      <c r="CP254" s="70"/>
      <c r="CQ254" s="70"/>
      <c r="CR254" s="2"/>
      <c r="CS254" s="2"/>
      <c r="CT254" s="70"/>
      <c r="CU254" s="70"/>
      <c r="CV254" s="70"/>
      <c r="CW254" s="70"/>
    </row>
    <row r="255" spans="1:101" ht="15.75" customHeight="1" x14ac:dyDescent="0.2">
      <c r="A255" s="1"/>
      <c r="B255" s="2"/>
      <c r="C255" s="2"/>
      <c r="D255" s="2"/>
      <c r="E255" s="2"/>
      <c r="F255" s="2"/>
      <c r="G255" s="2"/>
      <c r="H255" s="2"/>
      <c r="I255" s="2"/>
      <c r="J255" s="3"/>
      <c r="K255" s="2"/>
      <c r="L255" s="2"/>
      <c r="M255" s="2"/>
      <c r="N255" s="2"/>
      <c r="O255" s="2"/>
      <c r="P255" s="2"/>
      <c r="Q255" s="69"/>
      <c r="R255" s="69"/>
      <c r="S255" s="70"/>
      <c r="T255" s="70"/>
      <c r="U255" s="2"/>
      <c r="V255" s="2"/>
      <c r="W255" s="2"/>
      <c r="X255" s="2"/>
      <c r="Y255" s="2"/>
      <c r="Z255" s="2"/>
      <c r="AA255" s="20"/>
      <c r="AB255" s="71"/>
      <c r="AC255" s="71"/>
      <c r="AD255" s="2"/>
      <c r="AE255" s="70"/>
      <c r="AF255" s="70"/>
      <c r="AG255" s="70"/>
      <c r="AH255" s="70"/>
      <c r="AI255" s="2"/>
      <c r="AJ255" s="70"/>
      <c r="AK255" s="70"/>
      <c r="AL255" s="70"/>
      <c r="AM255" s="70"/>
      <c r="AN255" s="70"/>
      <c r="AO255" s="70"/>
      <c r="AP255" s="70"/>
      <c r="AQ255" s="70"/>
      <c r="AR255" s="70"/>
      <c r="AS255" s="70"/>
      <c r="AT255" s="70"/>
      <c r="AU255" s="70"/>
      <c r="AV255" s="70"/>
      <c r="AW255" s="70"/>
      <c r="AX255" s="70"/>
      <c r="AY255" s="70"/>
      <c r="AZ255" s="70"/>
      <c r="BA255" s="70"/>
      <c r="BB255" s="70"/>
      <c r="BC255" s="70"/>
      <c r="BD255" s="70"/>
      <c r="BE255" s="70"/>
      <c r="BF255" s="70"/>
      <c r="BG255" s="70"/>
      <c r="BH255" s="70"/>
      <c r="BI255" s="70"/>
      <c r="BJ255" s="70"/>
      <c r="BK255" s="70"/>
      <c r="BL255" s="70"/>
      <c r="BM255" s="70"/>
      <c r="BN255" s="70"/>
      <c r="BO255" s="70"/>
      <c r="BP255" s="70"/>
      <c r="BQ255" s="70"/>
      <c r="BR255" s="70"/>
      <c r="BS255" s="70"/>
      <c r="BT255" s="70"/>
      <c r="BU255" s="70"/>
      <c r="BV255" s="70"/>
      <c r="BW255" s="70"/>
      <c r="BX255" s="70"/>
      <c r="BY255" s="70"/>
      <c r="BZ255" s="70"/>
      <c r="CA255" s="70"/>
      <c r="CB255" s="70"/>
      <c r="CC255" s="70"/>
      <c r="CD255" s="70"/>
      <c r="CE255" s="70"/>
      <c r="CF255" s="70"/>
      <c r="CG255" s="70"/>
      <c r="CH255" s="70"/>
      <c r="CI255" s="70"/>
      <c r="CJ255" s="70"/>
      <c r="CK255" s="70"/>
      <c r="CL255" s="2"/>
      <c r="CM255" s="2"/>
      <c r="CN255" s="70"/>
      <c r="CO255" s="70"/>
      <c r="CP255" s="70"/>
      <c r="CQ255" s="70"/>
      <c r="CR255" s="2"/>
      <c r="CS255" s="2"/>
      <c r="CT255" s="70"/>
      <c r="CU255" s="70"/>
      <c r="CV255" s="70"/>
      <c r="CW255" s="70"/>
    </row>
    <row r="256" spans="1:101" ht="15.75" customHeight="1" x14ac:dyDescent="0.2">
      <c r="A256" s="1"/>
      <c r="B256" s="2"/>
      <c r="C256" s="2"/>
      <c r="D256" s="2"/>
      <c r="E256" s="2"/>
      <c r="F256" s="2"/>
      <c r="G256" s="2"/>
      <c r="H256" s="2"/>
      <c r="I256" s="2"/>
      <c r="J256" s="3"/>
      <c r="K256" s="2"/>
      <c r="L256" s="2"/>
      <c r="M256" s="2"/>
      <c r="N256" s="2"/>
      <c r="O256" s="2"/>
      <c r="P256" s="2"/>
      <c r="Q256" s="69"/>
      <c r="R256" s="69"/>
      <c r="S256" s="70"/>
      <c r="T256" s="70"/>
      <c r="U256" s="2"/>
      <c r="V256" s="2"/>
      <c r="W256" s="2"/>
      <c r="X256" s="2"/>
      <c r="Y256" s="2"/>
      <c r="Z256" s="2"/>
      <c r="AA256" s="20"/>
      <c r="AB256" s="71"/>
      <c r="AC256" s="71"/>
      <c r="AD256" s="2"/>
      <c r="AE256" s="70"/>
      <c r="AF256" s="70"/>
      <c r="AG256" s="70"/>
      <c r="AH256" s="70"/>
      <c r="AI256" s="2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  <c r="AW256" s="70"/>
      <c r="AX256" s="70"/>
      <c r="AY256" s="70"/>
      <c r="AZ256" s="70"/>
      <c r="BA256" s="70"/>
      <c r="BB256" s="70"/>
      <c r="BC256" s="70"/>
      <c r="BD256" s="70"/>
      <c r="BE256" s="70"/>
      <c r="BF256" s="70"/>
      <c r="BG256" s="70"/>
      <c r="BH256" s="70"/>
      <c r="BI256" s="70"/>
      <c r="BJ256" s="70"/>
      <c r="BK256" s="70"/>
      <c r="BL256" s="70"/>
      <c r="BM256" s="70"/>
      <c r="BN256" s="70"/>
      <c r="BO256" s="70"/>
      <c r="BP256" s="70"/>
      <c r="BQ256" s="70"/>
      <c r="BR256" s="70"/>
      <c r="BS256" s="70"/>
      <c r="BT256" s="70"/>
      <c r="BU256" s="70"/>
      <c r="BV256" s="70"/>
      <c r="BW256" s="70"/>
      <c r="BX256" s="70"/>
      <c r="BY256" s="70"/>
      <c r="BZ256" s="70"/>
      <c r="CA256" s="70"/>
      <c r="CB256" s="70"/>
      <c r="CC256" s="70"/>
      <c r="CD256" s="70"/>
      <c r="CE256" s="70"/>
      <c r="CF256" s="70"/>
      <c r="CG256" s="70"/>
      <c r="CH256" s="70"/>
      <c r="CI256" s="70"/>
      <c r="CJ256" s="70"/>
      <c r="CK256" s="70"/>
      <c r="CL256" s="2"/>
      <c r="CM256" s="2"/>
      <c r="CN256" s="70"/>
      <c r="CO256" s="70"/>
      <c r="CP256" s="70"/>
      <c r="CQ256" s="70"/>
      <c r="CR256" s="2"/>
      <c r="CS256" s="2"/>
      <c r="CT256" s="70"/>
      <c r="CU256" s="70"/>
      <c r="CV256" s="70"/>
      <c r="CW256" s="70"/>
    </row>
    <row r="257" spans="1:101" ht="15.75" customHeight="1" x14ac:dyDescent="0.2">
      <c r="A257" s="1"/>
      <c r="B257" s="2"/>
      <c r="C257" s="2"/>
      <c r="D257" s="2"/>
      <c r="E257" s="2"/>
      <c r="F257" s="2"/>
      <c r="G257" s="2"/>
      <c r="H257" s="2"/>
      <c r="I257" s="2"/>
      <c r="J257" s="3"/>
      <c r="K257" s="2"/>
      <c r="L257" s="2"/>
      <c r="M257" s="2"/>
      <c r="N257" s="2"/>
      <c r="O257" s="2"/>
      <c r="P257" s="2"/>
      <c r="Q257" s="69"/>
      <c r="R257" s="69"/>
      <c r="S257" s="70"/>
      <c r="T257" s="70"/>
      <c r="U257" s="2"/>
      <c r="V257" s="2"/>
      <c r="W257" s="2"/>
      <c r="X257" s="2"/>
      <c r="Y257" s="2"/>
      <c r="Z257" s="2"/>
      <c r="AA257" s="20"/>
      <c r="AB257" s="71"/>
      <c r="AC257" s="71"/>
      <c r="AD257" s="2"/>
      <c r="AE257" s="70"/>
      <c r="AF257" s="70"/>
      <c r="AG257" s="70"/>
      <c r="AH257" s="70"/>
      <c r="AI257" s="2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 s="70"/>
      <c r="AX257" s="70"/>
      <c r="AY257" s="70"/>
      <c r="AZ257" s="70"/>
      <c r="BA257" s="70"/>
      <c r="BB257" s="70"/>
      <c r="BC257" s="70"/>
      <c r="BD257" s="70"/>
      <c r="BE257" s="70"/>
      <c r="BF257" s="70"/>
      <c r="BG257" s="70"/>
      <c r="BH257" s="70"/>
      <c r="BI257" s="70"/>
      <c r="BJ257" s="70"/>
      <c r="BK257" s="70"/>
      <c r="BL257" s="70"/>
      <c r="BM257" s="70"/>
      <c r="BN257" s="70"/>
      <c r="BO257" s="70"/>
      <c r="BP257" s="70"/>
      <c r="BQ257" s="70"/>
      <c r="BR257" s="70"/>
      <c r="BS257" s="70"/>
      <c r="BT257" s="70"/>
      <c r="BU257" s="70"/>
      <c r="BV257" s="70"/>
      <c r="BW257" s="70"/>
      <c r="BX257" s="70"/>
      <c r="BY257" s="70"/>
      <c r="BZ257" s="70"/>
      <c r="CA257" s="70"/>
      <c r="CB257" s="70"/>
      <c r="CC257" s="70"/>
      <c r="CD257" s="70"/>
      <c r="CE257" s="70"/>
      <c r="CF257" s="70"/>
      <c r="CG257" s="70"/>
      <c r="CH257" s="70"/>
      <c r="CI257" s="70"/>
      <c r="CJ257" s="70"/>
      <c r="CK257" s="70"/>
      <c r="CL257" s="2"/>
      <c r="CM257" s="2"/>
      <c r="CN257" s="70"/>
      <c r="CO257" s="70"/>
      <c r="CP257" s="70"/>
      <c r="CQ257" s="70"/>
      <c r="CR257" s="2"/>
      <c r="CS257" s="2"/>
      <c r="CT257" s="70"/>
      <c r="CU257" s="70"/>
      <c r="CV257" s="70"/>
      <c r="CW257" s="70"/>
    </row>
    <row r="258" spans="1:101" ht="15.75" customHeight="1" x14ac:dyDescent="0.2">
      <c r="A258" s="1"/>
      <c r="B258" s="2"/>
      <c r="C258" s="2"/>
      <c r="D258" s="2"/>
      <c r="E258" s="2"/>
      <c r="F258" s="2"/>
      <c r="G258" s="2"/>
      <c r="H258" s="2"/>
      <c r="I258" s="2"/>
      <c r="J258" s="3"/>
      <c r="K258" s="2"/>
      <c r="L258" s="2"/>
      <c r="M258" s="2"/>
      <c r="N258" s="2"/>
      <c r="O258" s="2"/>
      <c r="P258" s="2"/>
      <c r="Q258" s="69"/>
      <c r="R258" s="69"/>
      <c r="S258" s="70"/>
      <c r="T258" s="70"/>
      <c r="U258" s="2"/>
      <c r="V258" s="2"/>
      <c r="W258" s="2"/>
      <c r="X258" s="2"/>
      <c r="Y258" s="2"/>
      <c r="Z258" s="2"/>
      <c r="AA258" s="20"/>
      <c r="AB258" s="71"/>
      <c r="AC258" s="71"/>
      <c r="AD258" s="2"/>
      <c r="AE258" s="70"/>
      <c r="AF258" s="70"/>
      <c r="AG258" s="70"/>
      <c r="AH258" s="70"/>
      <c r="AI258" s="2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 s="70"/>
      <c r="AX258" s="70"/>
      <c r="AY258" s="70"/>
      <c r="AZ258" s="70"/>
      <c r="BA258" s="70"/>
      <c r="BB258" s="70"/>
      <c r="BC258" s="70"/>
      <c r="BD258" s="70"/>
      <c r="BE258" s="70"/>
      <c r="BF258" s="70"/>
      <c r="BG258" s="70"/>
      <c r="BH258" s="70"/>
      <c r="BI258" s="70"/>
      <c r="BJ258" s="70"/>
      <c r="BK258" s="70"/>
      <c r="BL258" s="70"/>
      <c r="BM258" s="70"/>
      <c r="BN258" s="70"/>
      <c r="BO258" s="70"/>
      <c r="BP258" s="70"/>
      <c r="BQ258" s="70"/>
      <c r="BR258" s="70"/>
      <c r="BS258" s="70"/>
      <c r="BT258" s="70"/>
      <c r="BU258" s="70"/>
      <c r="BV258" s="70"/>
      <c r="BW258" s="70"/>
      <c r="BX258" s="70"/>
      <c r="BY258" s="70"/>
      <c r="BZ258" s="70"/>
      <c r="CA258" s="70"/>
      <c r="CB258" s="70"/>
      <c r="CC258" s="70"/>
      <c r="CD258" s="70"/>
      <c r="CE258" s="70"/>
      <c r="CF258" s="70"/>
      <c r="CG258" s="70"/>
      <c r="CH258" s="70"/>
      <c r="CI258" s="70"/>
      <c r="CJ258" s="70"/>
      <c r="CK258" s="70"/>
      <c r="CL258" s="2"/>
      <c r="CM258" s="2"/>
      <c r="CN258" s="70"/>
      <c r="CO258" s="70"/>
      <c r="CP258" s="70"/>
      <c r="CQ258" s="70"/>
      <c r="CR258" s="2"/>
      <c r="CS258" s="2"/>
      <c r="CT258" s="70"/>
      <c r="CU258" s="70"/>
      <c r="CV258" s="70"/>
      <c r="CW258" s="70"/>
    </row>
    <row r="259" spans="1:101" ht="15.75" customHeight="1" x14ac:dyDescent="0.2">
      <c r="A259" s="1"/>
      <c r="B259" s="2"/>
      <c r="C259" s="2"/>
      <c r="D259" s="2"/>
      <c r="E259" s="2"/>
      <c r="F259" s="2"/>
      <c r="G259" s="2"/>
      <c r="H259" s="2"/>
      <c r="I259" s="2"/>
      <c r="J259" s="3"/>
      <c r="K259" s="2"/>
      <c r="L259" s="2"/>
      <c r="M259" s="2"/>
      <c r="N259" s="2"/>
      <c r="O259" s="2"/>
      <c r="P259" s="2"/>
      <c r="Q259" s="69"/>
      <c r="R259" s="69"/>
      <c r="S259" s="70"/>
      <c r="T259" s="70"/>
      <c r="U259" s="2"/>
      <c r="V259" s="2"/>
      <c r="W259" s="2"/>
      <c r="X259" s="2"/>
      <c r="Y259" s="2"/>
      <c r="Z259" s="2"/>
      <c r="AA259" s="20"/>
      <c r="AB259" s="71"/>
      <c r="AC259" s="71"/>
      <c r="AD259" s="2"/>
      <c r="AE259" s="70"/>
      <c r="AF259" s="70"/>
      <c r="AG259" s="70"/>
      <c r="AH259" s="70"/>
      <c r="AI259" s="2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0"/>
      <c r="AX259" s="70"/>
      <c r="AY259" s="70"/>
      <c r="AZ259" s="70"/>
      <c r="BA259" s="70"/>
      <c r="BB259" s="70"/>
      <c r="BC259" s="70"/>
      <c r="BD259" s="70"/>
      <c r="BE259" s="70"/>
      <c r="BF259" s="70"/>
      <c r="BG259" s="70"/>
      <c r="BH259" s="70"/>
      <c r="BI259" s="70"/>
      <c r="BJ259" s="70"/>
      <c r="BK259" s="70"/>
      <c r="BL259" s="70"/>
      <c r="BM259" s="70"/>
      <c r="BN259" s="70"/>
      <c r="BO259" s="70"/>
      <c r="BP259" s="70"/>
      <c r="BQ259" s="70"/>
      <c r="BR259" s="70"/>
      <c r="BS259" s="70"/>
      <c r="BT259" s="70"/>
      <c r="BU259" s="70"/>
      <c r="BV259" s="70"/>
      <c r="BW259" s="70"/>
      <c r="BX259" s="70"/>
      <c r="BY259" s="70"/>
      <c r="BZ259" s="70"/>
      <c r="CA259" s="70"/>
      <c r="CB259" s="70"/>
      <c r="CC259" s="70"/>
      <c r="CD259" s="70"/>
      <c r="CE259" s="70"/>
      <c r="CF259" s="70"/>
      <c r="CG259" s="70"/>
      <c r="CH259" s="70"/>
      <c r="CI259" s="70"/>
      <c r="CJ259" s="70"/>
      <c r="CK259" s="70"/>
      <c r="CL259" s="2"/>
      <c r="CM259" s="2"/>
      <c r="CN259" s="70"/>
      <c r="CO259" s="70"/>
      <c r="CP259" s="70"/>
      <c r="CQ259" s="70"/>
      <c r="CR259" s="2"/>
      <c r="CS259" s="2"/>
      <c r="CT259" s="70"/>
      <c r="CU259" s="70"/>
      <c r="CV259" s="70"/>
      <c r="CW259" s="70"/>
    </row>
    <row r="260" spans="1:101" ht="15.75" customHeight="1" x14ac:dyDescent="0.2">
      <c r="A260" s="1"/>
      <c r="B260" s="2"/>
      <c r="C260" s="2"/>
      <c r="D260" s="2"/>
      <c r="E260" s="2"/>
      <c r="F260" s="2"/>
      <c r="G260" s="2"/>
      <c r="H260" s="2"/>
      <c r="I260" s="2"/>
      <c r="J260" s="3"/>
      <c r="K260" s="2"/>
      <c r="L260" s="2"/>
      <c r="M260" s="2"/>
      <c r="N260" s="2"/>
      <c r="O260" s="2"/>
      <c r="P260" s="2"/>
      <c r="Q260" s="69"/>
      <c r="R260" s="69"/>
      <c r="S260" s="70"/>
      <c r="T260" s="70"/>
      <c r="U260" s="2"/>
      <c r="V260" s="2"/>
      <c r="W260" s="2"/>
      <c r="X260" s="2"/>
      <c r="Y260" s="2"/>
      <c r="Z260" s="2"/>
      <c r="AA260" s="20"/>
      <c r="AB260" s="71"/>
      <c r="AC260" s="71"/>
      <c r="AD260" s="2"/>
      <c r="AE260" s="70"/>
      <c r="AF260" s="70"/>
      <c r="AG260" s="70"/>
      <c r="AH260" s="70"/>
      <c r="AI260" s="2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0"/>
      <c r="AX260" s="70"/>
      <c r="AY260" s="70"/>
      <c r="AZ260" s="70"/>
      <c r="BA260" s="70"/>
      <c r="BB260" s="70"/>
      <c r="BC260" s="70"/>
      <c r="BD260" s="70"/>
      <c r="BE260" s="70"/>
      <c r="BF260" s="70"/>
      <c r="BG260" s="70"/>
      <c r="BH260" s="70"/>
      <c r="BI260" s="70"/>
      <c r="BJ260" s="70"/>
      <c r="BK260" s="70"/>
      <c r="BL260" s="70"/>
      <c r="BM260" s="70"/>
      <c r="BN260" s="70"/>
      <c r="BO260" s="70"/>
      <c r="BP260" s="70"/>
      <c r="BQ260" s="70"/>
      <c r="BR260" s="70"/>
      <c r="BS260" s="70"/>
      <c r="BT260" s="70"/>
      <c r="BU260" s="70"/>
      <c r="BV260" s="70"/>
      <c r="BW260" s="70"/>
      <c r="BX260" s="70"/>
      <c r="BY260" s="70"/>
      <c r="BZ260" s="70"/>
      <c r="CA260" s="70"/>
      <c r="CB260" s="70"/>
      <c r="CC260" s="70"/>
      <c r="CD260" s="70"/>
      <c r="CE260" s="70"/>
      <c r="CF260" s="70"/>
      <c r="CG260" s="70"/>
      <c r="CH260" s="70"/>
      <c r="CI260" s="70"/>
      <c r="CJ260" s="70"/>
      <c r="CK260" s="70"/>
      <c r="CL260" s="2"/>
      <c r="CM260" s="2"/>
      <c r="CN260" s="70"/>
      <c r="CO260" s="70"/>
      <c r="CP260" s="70"/>
      <c r="CQ260" s="70"/>
      <c r="CR260" s="2"/>
      <c r="CS260" s="2"/>
      <c r="CT260" s="70"/>
      <c r="CU260" s="70"/>
      <c r="CV260" s="70"/>
      <c r="CW260" s="70"/>
    </row>
    <row r="261" spans="1:101" ht="15.75" customHeight="1" x14ac:dyDescent="0.2">
      <c r="A261" s="1"/>
      <c r="B261" s="2"/>
      <c r="C261" s="2"/>
      <c r="D261" s="2"/>
      <c r="E261" s="2"/>
      <c r="F261" s="2"/>
      <c r="G261" s="2"/>
      <c r="H261" s="2"/>
      <c r="I261" s="2"/>
      <c r="J261" s="3"/>
      <c r="K261" s="2"/>
      <c r="L261" s="2"/>
      <c r="M261" s="2"/>
      <c r="N261" s="2"/>
      <c r="O261" s="2"/>
      <c r="P261" s="2"/>
      <c r="Q261" s="69"/>
      <c r="R261" s="69"/>
      <c r="S261" s="70"/>
      <c r="T261" s="70"/>
      <c r="U261" s="2"/>
      <c r="V261" s="2"/>
      <c r="W261" s="2"/>
      <c r="X261" s="2"/>
      <c r="Y261" s="2"/>
      <c r="Z261" s="2"/>
      <c r="AA261" s="20"/>
      <c r="AB261" s="71"/>
      <c r="AC261" s="71"/>
      <c r="AD261" s="2"/>
      <c r="AE261" s="70"/>
      <c r="AF261" s="70"/>
      <c r="AG261" s="70"/>
      <c r="AH261" s="70"/>
      <c r="AI261" s="2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70"/>
      <c r="AX261" s="70"/>
      <c r="AY261" s="70"/>
      <c r="AZ261" s="70"/>
      <c r="BA261" s="70"/>
      <c r="BB261" s="70"/>
      <c r="BC261" s="70"/>
      <c r="BD261" s="70"/>
      <c r="BE261" s="70"/>
      <c r="BF261" s="70"/>
      <c r="BG261" s="70"/>
      <c r="BH261" s="70"/>
      <c r="BI261" s="70"/>
      <c r="BJ261" s="70"/>
      <c r="BK261" s="70"/>
      <c r="BL261" s="70"/>
      <c r="BM261" s="70"/>
      <c r="BN261" s="70"/>
      <c r="BO261" s="70"/>
      <c r="BP261" s="70"/>
      <c r="BQ261" s="70"/>
      <c r="BR261" s="70"/>
      <c r="BS261" s="70"/>
      <c r="BT261" s="70"/>
      <c r="BU261" s="70"/>
      <c r="BV261" s="70"/>
      <c r="BW261" s="70"/>
      <c r="BX261" s="70"/>
      <c r="BY261" s="70"/>
      <c r="BZ261" s="70"/>
      <c r="CA261" s="70"/>
      <c r="CB261" s="70"/>
      <c r="CC261" s="70"/>
      <c r="CD261" s="70"/>
      <c r="CE261" s="70"/>
      <c r="CF261" s="70"/>
      <c r="CG261" s="70"/>
      <c r="CH261" s="70"/>
      <c r="CI261" s="70"/>
      <c r="CJ261" s="70"/>
      <c r="CK261" s="70"/>
      <c r="CL261" s="2"/>
      <c r="CM261" s="2"/>
      <c r="CN261" s="70"/>
      <c r="CO261" s="70"/>
      <c r="CP261" s="70"/>
      <c r="CQ261" s="70"/>
      <c r="CR261" s="2"/>
      <c r="CS261" s="2"/>
      <c r="CT261" s="70"/>
      <c r="CU261" s="70"/>
      <c r="CV261" s="70"/>
      <c r="CW261" s="70"/>
    </row>
    <row r="262" spans="1:101" ht="15.75" customHeight="1" x14ac:dyDescent="0.2">
      <c r="A262" s="1"/>
      <c r="B262" s="2"/>
      <c r="C262" s="2"/>
      <c r="D262" s="2"/>
      <c r="E262" s="2"/>
      <c r="F262" s="2"/>
      <c r="G262" s="2"/>
      <c r="H262" s="2"/>
      <c r="I262" s="2"/>
      <c r="J262" s="3"/>
      <c r="K262" s="2"/>
      <c r="L262" s="2"/>
      <c r="M262" s="2"/>
      <c r="N262" s="2"/>
      <c r="O262" s="2"/>
      <c r="P262" s="2"/>
      <c r="Q262" s="69"/>
      <c r="R262" s="69"/>
      <c r="S262" s="70"/>
      <c r="T262" s="70"/>
      <c r="U262" s="2"/>
      <c r="V262" s="2"/>
      <c r="W262" s="2"/>
      <c r="X262" s="2"/>
      <c r="Y262" s="2"/>
      <c r="Z262" s="2"/>
      <c r="AA262" s="20"/>
      <c r="AB262" s="71"/>
      <c r="AC262" s="71"/>
      <c r="AD262" s="2"/>
      <c r="AE262" s="70"/>
      <c r="AF262" s="70"/>
      <c r="AG262" s="70"/>
      <c r="AH262" s="70"/>
      <c r="AI262" s="2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70"/>
      <c r="AX262" s="70"/>
      <c r="AY262" s="70"/>
      <c r="AZ262" s="70"/>
      <c r="BA262" s="70"/>
      <c r="BB262" s="70"/>
      <c r="BC262" s="70"/>
      <c r="BD262" s="70"/>
      <c r="BE262" s="70"/>
      <c r="BF262" s="70"/>
      <c r="BG262" s="70"/>
      <c r="BH262" s="70"/>
      <c r="BI262" s="70"/>
      <c r="BJ262" s="70"/>
      <c r="BK262" s="70"/>
      <c r="BL262" s="70"/>
      <c r="BM262" s="70"/>
      <c r="BN262" s="70"/>
      <c r="BO262" s="70"/>
      <c r="BP262" s="70"/>
      <c r="BQ262" s="70"/>
      <c r="BR262" s="70"/>
      <c r="BS262" s="70"/>
      <c r="BT262" s="70"/>
      <c r="BU262" s="70"/>
      <c r="BV262" s="70"/>
      <c r="BW262" s="70"/>
      <c r="BX262" s="70"/>
      <c r="BY262" s="70"/>
      <c r="BZ262" s="70"/>
      <c r="CA262" s="70"/>
      <c r="CB262" s="70"/>
      <c r="CC262" s="70"/>
      <c r="CD262" s="70"/>
      <c r="CE262" s="70"/>
      <c r="CF262" s="70"/>
      <c r="CG262" s="70"/>
      <c r="CH262" s="70"/>
      <c r="CI262" s="70"/>
      <c r="CJ262" s="70"/>
      <c r="CK262" s="70"/>
      <c r="CL262" s="2"/>
      <c r="CM262" s="2"/>
      <c r="CN262" s="70"/>
      <c r="CO262" s="70"/>
      <c r="CP262" s="70"/>
      <c r="CQ262" s="70"/>
      <c r="CR262" s="2"/>
      <c r="CS262" s="2"/>
      <c r="CT262" s="70"/>
      <c r="CU262" s="70"/>
      <c r="CV262" s="70"/>
      <c r="CW262" s="70"/>
    </row>
    <row r="263" spans="1:101" ht="15.75" customHeight="1" x14ac:dyDescent="0.2">
      <c r="A263" s="1"/>
      <c r="B263" s="2"/>
      <c r="C263" s="2"/>
      <c r="D263" s="2"/>
      <c r="E263" s="2"/>
      <c r="F263" s="2"/>
      <c r="G263" s="2"/>
      <c r="H263" s="2"/>
      <c r="I263" s="2"/>
      <c r="J263" s="3"/>
      <c r="K263" s="2"/>
      <c r="L263" s="2"/>
      <c r="M263" s="2"/>
      <c r="N263" s="2"/>
      <c r="O263" s="2"/>
      <c r="P263" s="2"/>
      <c r="Q263" s="69"/>
      <c r="R263" s="69"/>
      <c r="S263" s="70"/>
      <c r="T263" s="70"/>
      <c r="U263" s="2"/>
      <c r="V263" s="2"/>
      <c r="W263" s="2"/>
      <c r="X263" s="2"/>
      <c r="Y263" s="2"/>
      <c r="Z263" s="2"/>
      <c r="AA263" s="20"/>
      <c r="AB263" s="71"/>
      <c r="AC263" s="71"/>
      <c r="AD263" s="2"/>
      <c r="AE263" s="70"/>
      <c r="AF263" s="70"/>
      <c r="AG263" s="70"/>
      <c r="AH263" s="70"/>
      <c r="AI263" s="2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  <c r="AW263" s="70"/>
      <c r="AX263" s="70"/>
      <c r="AY263" s="70"/>
      <c r="AZ263" s="70"/>
      <c r="BA263" s="70"/>
      <c r="BB263" s="70"/>
      <c r="BC263" s="70"/>
      <c r="BD263" s="70"/>
      <c r="BE263" s="70"/>
      <c r="BF263" s="70"/>
      <c r="BG263" s="70"/>
      <c r="BH263" s="70"/>
      <c r="BI263" s="70"/>
      <c r="BJ263" s="70"/>
      <c r="BK263" s="70"/>
      <c r="BL263" s="70"/>
      <c r="BM263" s="70"/>
      <c r="BN263" s="70"/>
      <c r="BO263" s="70"/>
      <c r="BP263" s="70"/>
      <c r="BQ263" s="70"/>
      <c r="BR263" s="70"/>
      <c r="BS263" s="70"/>
      <c r="BT263" s="70"/>
      <c r="BU263" s="70"/>
      <c r="BV263" s="70"/>
      <c r="BW263" s="70"/>
      <c r="BX263" s="70"/>
      <c r="BY263" s="70"/>
      <c r="BZ263" s="70"/>
      <c r="CA263" s="70"/>
      <c r="CB263" s="70"/>
      <c r="CC263" s="70"/>
      <c r="CD263" s="70"/>
      <c r="CE263" s="70"/>
      <c r="CF263" s="70"/>
      <c r="CG263" s="70"/>
      <c r="CH263" s="70"/>
      <c r="CI263" s="70"/>
      <c r="CJ263" s="70"/>
      <c r="CK263" s="70"/>
      <c r="CL263" s="2"/>
      <c r="CM263" s="2"/>
      <c r="CN263" s="70"/>
      <c r="CO263" s="70"/>
      <c r="CP263" s="70"/>
      <c r="CQ263" s="70"/>
      <c r="CR263" s="2"/>
      <c r="CS263" s="2"/>
      <c r="CT263" s="70"/>
      <c r="CU263" s="70"/>
      <c r="CV263" s="70"/>
      <c r="CW263" s="70"/>
    </row>
    <row r="264" spans="1:101" ht="15.75" customHeight="1" x14ac:dyDescent="0.2">
      <c r="A264" s="1"/>
      <c r="B264" s="2"/>
      <c r="C264" s="2"/>
      <c r="D264" s="2"/>
      <c r="E264" s="2"/>
      <c r="F264" s="2"/>
      <c r="G264" s="2"/>
      <c r="H264" s="2"/>
      <c r="I264" s="2"/>
      <c r="J264" s="3"/>
      <c r="K264" s="2"/>
      <c r="L264" s="2"/>
      <c r="M264" s="2"/>
      <c r="N264" s="2"/>
      <c r="O264" s="2"/>
      <c r="P264" s="2"/>
      <c r="Q264" s="69"/>
      <c r="R264" s="69"/>
      <c r="S264" s="70"/>
      <c r="T264" s="70"/>
      <c r="U264" s="2"/>
      <c r="V264" s="2"/>
      <c r="W264" s="2"/>
      <c r="X264" s="2"/>
      <c r="Y264" s="2"/>
      <c r="Z264" s="2"/>
      <c r="AA264" s="20"/>
      <c r="AB264" s="71"/>
      <c r="AC264" s="71"/>
      <c r="AD264" s="2"/>
      <c r="AE264" s="70"/>
      <c r="AF264" s="70"/>
      <c r="AG264" s="70"/>
      <c r="AH264" s="70"/>
      <c r="AI264" s="2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  <c r="AW264" s="70"/>
      <c r="AX264" s="70"/>
      <c r="AY264" s="70"/>
      <c r="AZ264" s="70"/>
      <c r="BA264" s="70"/>
      <c r="BB264" s="70"/>
      <c r="BC264" s="70"/>
      <c r="BD264" s="70"/>
      <c r="BE264" s="70"/>
      <c r="BF264" s="70"/>
      <c r="BG264" s="70"/>
      <c r="BH264" s="70"/>
      <c r="BI264" s="70"/>
      <c r="BJ264" s="70"/>
      <c r="BK264" s="70"/>
      <c r="BL264" s="70"/>
      <c r="BM264" s="70"/>
      <c r="BN264" s="70"/>
      <c r="BO264" s="70"/>
      <c r="BP264" s="70"/>
      <c r="BQ264" s="70"/>
      <c r="BR264" s="70"/>
      <c r="BS264" s="70"/>
      <c r="BT264" s="70"/>
      <c r="BU264" s="70"/>
      <c r="BV264" s="70"/>
      <c r="BW264" s="70"/>
      <c r="BX264" s="70"/>
      <c r="BY264" s="70"/>
      <c r="BZ264" s="70"/>
      <c r="CA264" s="70"/>
      <c r="CB264" s="70"/>
      <c r="CC264" s="70"/>
      <c r="CD264" s="70"/>
      <c r="CE264" s="70"/>
      <c r="CF264" s="70"/>
      <c r="CG264" s="70"/>
      <c r="CH264" s="70"/>
      <c r="CI264" s="70"/>
      <c r="CJ264" s="70"/>
      <c r="CK264" s="70"/>
      <c r="CL264" s="2"/>
      <c r="CM264" s="2"/>
      <c r="CN264" s="70"/>
      <c r="CO264" s="70"/>
      <c r="CP264" s="70"/>
      <c r="CQ264" s="70"/>
      <c r="CR264" s="2"/>
      <c r="CS264" s="2"/>
      <c r="CT264" s="70"/>
      <c r="CU264" s="70"/>
      <c r="CV264" s="70"/>
      <c r="CW264" s="70"/>
    </row>
    <row r="265" spans="1:101" ht="15.75" customHeight="1" x14ac:dyDescent="0.2">
      <c r="A265" s="1"/>
      <c r="B265" s="2"/>
      <c r="C265" s="2"/>
      <c r="D265" s="2"/>
      <c r="E265" s="2"/>
      <c r="F265" s="2"/>
      <c r="G265" s="2"/>
      <c r="H265" s="2"/>
      <c r="I265" s="2"/>
      <c r="J265" s="3"/>
      <c r="K265" s="2"/>
      <c r="L265" s="2"/>
      <c r="M265" s="2"/>
      <c r="N265" s="2"/>
      <c r="O265" s="2"/>
      <c r="P265" s="2"/>
      <c r="Q265" s="69"/>
      <c r="R265" s="69"/>
      <c r="S265" s="70"/>
      <c r="T265" s="70"/>
      <c r="U265" s="2"/>
      <c r="V265" s="2"/>
      <c r="W265" s="2"/>
      <c r="X265" s="2"/>
      <c r="Y265" s="2"/>
      <c r="Z265" s="2"/>
      <c r="AA265" s="20"/>
      <c r="AB265" s="71"/>
      <c r="AC265" s="71"/>
      <c r="AD265" s="2"/>
      <c r="AE265" s="70"/>
      <c r="AF265" s="70"/>
      <c r="AG265" s="70"/>
      <c r="AH265" s="70"/>
      <c r="AI265" s="2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  <c r="AW265" s="70"/>
      <c r="AX265" s="70"/>
      <c r="AY265" s="70"/>
      <c r="AZ265" s="70"/>
      <c r="BA265" s="70"/>
      <c r="BB265" s="70"/>
      <c r="BC265" s="70"/>
      <c r="BD265" s="70"/>
      <c r="BE265" s="70"/>
      <c r="BF265" s="70"/>
      <c r="BG265" s="70"/>
      <c r="BH265" s="70"/>
      <c r="BI265" s="70"/>
      <c r="BJ265" s="70"/>
      <c r="BK265" s="70"/>
      <c r="BL265" s="70"/>
      <c r="BM265" s="70"/>
      <c r="BN265" s="70"/>
      <c r="BO265" s="70"/>
      <c r="BP265" s="70"/>
      <c r="BQ265" s="70"/>
      <c r="BR265" s="70"/>
      <c r="BS265" s="70"/>
      <c r="BT265" s="70"/>
      <c r="BU265" s="70"/>
      <c r="BV265" s="70"/>
      <c r="BW265" s="70"/>
      <c r="BX265" s="70"/>
      <c r="BY265" s="70"/>
      <c r="BZ265" s="70"/>
      <c r="CA265" s="70"/>
      <c r="CB265" s="70"/>
      <c r="CC265" s="70"/>
      <c r="CD265" s="70"/>
      <c r="CE265" s="70"/>
      <c r="CF265" s="70"/>
      <c r="CG265" s="70"/>
      <c r="CH265" s="70"/>
      <c r="CI265" s="70"/>
      <c r="CJ265" s="70"/>
      <c r="CK265" s="70"/>
      <c r="CL265" s="2"/>
      <c r="CM265" s="2"/>
      <c r="CN265" s="70"/>
      <c r="CO265" s="70"/>
      <c r="CP265" s="70"/>
      <c r="CQ265" s="70"/>
      <c r="CR265" s="2"/>
      <c r="CS265" s="2"/>
      <c r="CT265" s="70"/>
      <c r="CU265" s="70"/>
      <c r="CV265" s="70"/>
      <c r="CW265" s="70"/>
    </row>
    <row r="266" spans="1:101" ht="15.75" customHeight="1" x14ac:dyDescent="0.2">
      <c r="A266" s="1"/>
      <c r="B266" s="2"/>
      <c r="C266" s="2"/>
      <c r="D266" s="2"/>
      <c r="E266" s="2"/>
      <c r="F266" s="2"/>
      <c r="G266" s="2"/>
      <c r="H266" s="2"/>
      <c r="I266" s="2"/>
      <c r="J266" s="3"/>
      <c r="K266" s="2"/>
      <c r="L266" s="2"/>
      <c r="M266" s="2"/>
      <c r="N266" s="2"/>
      <c r="O266" s="2"/>
      <c r="P266" s="2"/>
      <c r="Q266" s="69"/>
      <c r="R266" s="69"/>
      <c r="S266" s="70"/>
      <c r="T266" s="70"/>
      <c r="U266" s="2"/>
      <c r="V266" s="2"/>
      <c r="W266" s="2"/>
      <c r="X266" s="2"/>
      <c r="Y266" s="2"/>
      <c r="Z266" s="2"/>
      <c r="AA266" s="20"/>
      <c r="AB266" s="71"/>
      <c r="AC266" s="71"/>
      <c r="AD266" s="2"/>
      <c r="AE266" s="70"/>
      <c r="AF266" s="70"/>
      <c r="AG266" s="70"/>
      <c r="AH266" s="70"/>
      <c r="AI266" s="2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 s="70"/>
      <c r="AX266" s="70"/>
      <c r="AY266" s="70"/>
      <c r="AZ266" s="70"/>
      <c r="BA266" s="70"/>
      <c r="BB266" s="70"/>
      <c r="BC266" s="70"/>
      <c r="BD266" s="70"/>
      <c r="BE266" s="70"/>
      <c r="BF266" s="70"/>
      <c r="BG266" s="70"/>
      <c r="BH266" s="70"/>
      <c r="BI266" s="70"/>
      <c r="BJ266" s="70"/>
      <c r="BK266" s="70"/>
      <c r="BL266" s="70"/>
      <c r="BM266" s="70"/>
      <c r="BN266" s="70"/>
      <c r="BO266" s="70"/>
      <c r="BP266" s="70"/>
      <c r="BQ266" s="70"/>
      <c r="BR266" s="70"/>
      <c r="BS266" s="70"/>
      <c r="BT266" s="70"/>
      <c r="BU266" s="70"/>
      <c r="BV266" s="70"/>
      <c r="BW266" s="70"/>
      <c r="BX266" s="70"/>
      <c r="BY266" s="70"/>
      <c r="BZ266" s="70"/>
      <c r="CA266" s="70"/>
      <c r="CB266" s="70"/>
      <c r="CC266" s="70"/>
      <c r="CD266" s="70"/>
      <c r="CE266" s="70"/>
      <c r="CF266" s="70"/>
      <c r="CG266" s="70"/>
      <c r="CH266" s="70"/>
      <c r="CI266" s="70"/>
      <c r="CJ266" s="70"/>
      <c r="CK266" s="70"/>
      <c r="CL266" s="2"/>
      <c r="CM266" s="2"/>
      <c r="CN266" s="70"/>
      <c r="CO266" s="70"/>
      <c r="CP266" s="70"/>
      <c r="CQ266" s="70"/>
      <c r="CR266" s="2"/>
      <c r="CS266" s="2"/>
      <c r="CT266" s="70"/>
      <c r="CU266" s="70"/>
      <c r="CV266" s="70"/>
      <c r="CW266" s="70"/>
    </row>
    <row r="267" spans="1:101" ht="15.75" customHeight="1" x14ac:dyDescent="0.2">
      <c r="A267" s="1"/>
      <c r="B267" s="2"/>
      <c r="C267" s="2"/>
      <c r="D267" s="2"/>
      <c r="E267" s="2"/>
      <c r="F267" s="2"/>
      <c r="G267" s="2"/>
      <c r="H267" s="2"/>
      <c r="I267" s="2"/>
      <c r="J267" s="3"/>
      <c r="K267" s="2"/>
      <c r="L267" s="2"/>
      <c r="M267" s="2"/>
      <c r="N267" s="2"/>
      <c r="O267" s="2"/>
      <c r="P267" s="2"/>
      <c r="Q267" s="69"/>
      <c r="R267" s="69"/>
      <c r="S267" s="70"/>
      <c r="T267" s="70"/>
      <c r="U267" s="2"/>
      <c r="V267" s="2"/>
      <c r="W267" s="2"/>
      <c r="X267" s="2"/>
      <c r="Y267" s="2"/>
      <c r="Z267" s="2"/>
      <c r="AA267" s="20"/>
      <c r="AB267" s="71"/>
      <c r="AC267" s="71"/>
      <c r="AD267" s="2"/>
      <c r="AE267" s="70"/>
      <c r="AF267" s="70"/>
      <c r="AG267" s="70"/>
      <c r="AH267" s="70"/>
      <c r="AI267" s="2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 s="70"/>
      <c r="AX267" s="70"/>
      <c r="AY267" s="70"/>
      <c r="AZ267" s="70"/>
      <c r="BA267" s="70"/>
      <c r="BB267" s="70"/>
      <c r="BC267" s="70"/>
      <c r="BD267" s="70"/>
      <c r="BE267" s="70"/>
      <c r="BF267" s="70"/>
      <c r="BG267" s="70"/>
      <c r="BH267" s="70"/>
      <c r="BI267" s="70"/>
      <c r="BJ267" s="70"/>
      <c r="BK267" s="70"/>
      <c r="BL267" s="70"/>
      <c r="BM267" s="70"/>
      <c r="BN267" s="70"/>
      <c r="BO267" s="70"/>
      <c r="BP267" s="70"/>
      <c r="BQ267" s="70"/>
      <c r="BR267" s="70"/>
      <c r="BS267" s="70"/>
      <c r="BT267" s="70"/>
      <c r="BU267" s="70"/>
      <c r="BV267" s="70"/>
      <c r="BW267" s="70"/>
      <c r="BX267" s="70"/>
      <c r="BY267" s="70"/>
      <c r="BZ267" s="70"/>
      <c r="CA267" s="70"/>
      <c r="CB267" s="70"/>
      <c r="CC267" s="70"/>
      <c r="CD267" s="70"/>
      <c r="CE267" s="70"/>
      <c r="CF267" s="70"/>
      <c r="CG267" s="70"/>
      <c r="CH267" s="70"/>
      <c r="CI267" s="70"/>
      <c r="CJ267" s="70"/>
      <c r="CK267" s="70"/>
      <c r="CL267" s="2"/>
      <c r="CM267" s="2"/>
      <c r="CN267" s="70"/>
      <c r="CO267" s="70"/>
      <c r="CP267" s="70"/>
      <c r="CQ267" s="70"/>
      <c r="CR267" s="2"/>
      <c r="CS267" s="2"/>
      <c r="CT267" s="70"/>
      <c r="CU267" s="70"/>
      <c r="CV267" s="70"/>
      <c r="CW267" s="70"/>
    </row>
    <row r="268" spans="1:101" ht="15.75" customHeight="1" x14ac:dyDescent="0.2">
      <c r="A268" s="1"/>
      <c r="B268" s="2"/>
      <c r="C268" s="2"/>
      <c r="D268" s="2"/>
      <c r="E268" s="2"/>
      <c r="F268" s="2"/>
      <c r="G268" s="2"/>
      <c r="H268" s="2"/>
      <c r="I268" s="2"/>
      <c r="J268" s="3"/>
      <c r="K268" s="2"/>
      <c r="L268" s="2"/>
      <c r="M268" s="2"/>
      <c r="N268" s="2"/>
      <c r="O268" s="2"/>
      <c r="P268" s="2"/>
      <c r="Q268" s="69"/>
      <c r="R268" s="69"/>
      <c r="S268" s="70"/>
      <c r="T268" s="70"/>
      <c r="U268" s="2"/>
      <c r="V268" s="2"/>
      <c r="W268" s="2"/>
      <c r="X268" s="2"/>
      <c r="Y268" s="2"/>
      <c r="Z268" s="2"/>
      <c r="AA268" s="20"/>
      <c r="AB268" s="71"/>
      <c r="AC268" s="71"/>
      <c r="AD268" s="2"/>
      <c r="AE268" s="70"/>
      <c r="AF268" s="70"/>
      <c r="AG268" s="70"/>
      <c r="AH268" s="70"/>
      <c r="AI268" s="2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 s="70"/>
      <c r="AX268" s="70"/>
      <c r="AY268" s="70"/>
      <c r="AZ268" s="70"/>
      <c r="BA268" s="70"/>
      <c r="BB268" s="70"/>
      <c r="BC268" s="70"/>
      <c r="BD268" s="70"/>
      <c r="BE268" s="70"/>
      <c r="BF268" s="70"/>
      <c r="BG268" s="70"/>
      <c r="BH268" s="70"/>
      <c r="BI268" s="70"/>
      <c r="BJ268" s="70"/>
      <c r="BK268" s="70"/>
      <c r="BL268" s="70"/>
      <c r="BM268" s="70"/>
      <c r="BN268" s="70"/>
      <c r="BO268" s="70"/>
      <c r="BP268" s="70"/>
      <c r="BQ268" s="70"/>
      <c r="BR268" s="70"/>
      <c r="BS268" s="70"/>
      <c r="BT268" s="70"/>
      <c r="BU268" s="70"/>
      <c r="BV268" s="70"/>
      <c r="BW268" s="70"/>
      <c r="BX268" s="70"/>
      <c r="BY268" s="70"/>
      <c r="BZ268" s="70"/>
      <c r="CA268" s="70"/>
      <c r="CB268" s="70"/>
      <c r="CC268" s="70"/>
      <c r="CD268" s="70"/>
      <c r="CE268" s="70"/>
      <c r="CF268" s="70"/>
      <c r="CG268" s="70"/>
      <c r="CH268" s="70"/>
      <c r="CI268" s="70"/>
      <c r="CJ268" s="70"/>
      <c r="CK268" s="70"/>
      <c r="CL268" s="2"/>
      <c r="CM268" s="2"/>
      <c r="CN268" s="70"/>
      <c r="CO268" s="70"/>
      <c r="CP268" s="70"/>
      <c r="CQ268" s="70"/>
      <c r="CR268" s="2"/>
      <c r="CS268" s="2"/>
      <c r="CT268" s="70"/>
      <c r="CU268" s="70"/>
      <c r="CV268" s="70"/>
      <c r="CW268" s="70"/>
    </row>
    <row r="269" spans="1:101" ht="15.75" customHeight="1" x14ac:dyDescent="0.2">
      <c r="A269" s="1"/>
      <c r="B269" s="2"/>
      <c r="C269" s="2"/>
      <c r="D269" s="2"/>
      <c r="E269" s="2"/>
      <c r="F269" s="2"/>
      <c r="G269" s="2"/>
      <c r="H269" s="2"/>
      <c r="I269" s="2"/>
      <c r="J269" s="3"/>
      <c r="K269" s="2"/>
      <c r="L269" s="2"/>
      <c r="M269" s="2"/>
      <c r="N269" s="2"/>
      <c r="O269" s="2"/>
      <c r="P269" s="2"/>
      <c r="Q269" s="69"/>
      <c r="R269" s="69"/>
      <c r="S269" s="70"/>
      <c r="T269" s="70"/>
      <c r="U269" s="2"/>
      <c r="V269" s="2"/>
      <c r="W269" s="2"/>
      <c r="X269" s="2"/>
      <c r="Y269" s="2"/>
      <c r="Z269" s="2"/>
      <c r="AA269" s="20"/>
      <c r="AB269" s="71"/>
      <c r="AC269" s="71"/>
      <c r="AD269" s="2"/>
      <c r="AE269" s="70"/>
      <c r="AF269" s="70"/>
      <c r="AG269" s="70"/>
      <c r="AH269" s="70"/>
      <c r="AI269" s="2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 s="70"/>
      <c r="AX269" s="70"/>
      <c r="AY269" s="70"/>
      <c r="AZ269" s="70"/>
      <c r="BA269" s="70"/>
      <c r="BB269" s="70"/>
      <c r="BC269" s="70"/>
      <c r="BD269" s="70"/>
      <c r="BE269" s="70"/>
      <c r="BF269" s="70"/>
      <c r="BG269" s="70"/>
      <c r="BH269" s="70"/>
      <c r="BI269" s="70"/>
      <c r="BJ269" s="70"/>
      <c r="BK269" s="70"/>
      <c r="BL269" s="70"/>
      <c r="BM269" s="70"/>
      <c r="BN269" s="70"/>
      <c r="BO269" s="70"/>
      <c r="BP269" s="70"/>
      <c r="BQ269" s="70"/>
      <c r="BR269" s="70"/>
      <c r="BS269" s="70"/>
      <c r="BT269" s="70"/>
      <c r="BU269" s="70"/>
      <c r="BV269" s="70"/>
      <c r="BW269" s="70"/>
      <c r="BX269" s="70"/>
      <c r="BY269" s="70"/>
      <c r="BZ269" s="70"/>
      <c r="CA269" s="70"/>
      <c r="CB269" s="70"/>
      <c r="CC269" s="70"/>
      <c r="CD269" s="70"/>
      <c r="CE269" s="70"/>
      <c r="CF269" s="70"/>
      <c r="CG269" s="70"/>
      <c r="CH269" s="70"/>
      <c r="CI269" s="70"/>
      <c r="CJ269" s="70"/>
      <c r="CK269" s="70"/>
      <c r="CL269" s="2"/>
      <c r="CM269" s="2"/>
      <c r="CN269" s="70"/>
      <c r="CO269" s="70"/>
      <c r="CP269" s="70"/>
      <c r="CQ269" s="70"/>
      <c r="CR269" s="2"/>
      <c r="CS269" s="2"/>
      <c r="CT269" s="70"/>
      <c r="CU269" s="70"/>
      <c r="CV269" s="70"/>
      <c r="CW269" s="70"/>
    </row>
    <row r="270" spans="1:101" ht="15.75" customHeight="1" x14ac:dyDescent="0.2">
      <c r="A270" s="1"/>
      <c r="B270" s="2"/>
      <c r="C270" s="2"/>
      <c r="D270" s="2"/>
      <c r="E270" s="2"/>
      <c r="F270" s="2"/>
      <c r="G270" s="2"/>
      <c r="H270" s="2"/>
      <c r="I270" s="2"/>
      <c r="J270" s="3"/>
      <c r="K270" s="2"/>
      <c r="L270" s="2"/>
      <c r="M270" s="2"/>
      <c r="N270" s="2"/>
      <c r="O270" s="2"/>
      <c r="P270" s="2"/>
      <c r="Q270" s="69"/>
      <c r="R270" s="69"/>
      <c r="S270" s="70"/>
      <c r="T270" s="70"/>
      <c r="U270" s="2"/>
      <c r="V270" s="2"/>
      <c r="W270" s="2"/>
      <c r="X270" s="2"/>
      <c r="Y270" s="2"/>
      <c r="Z270" s="2"/>
      <c r="AA270" s="20"/>
      <c r="AB270" s="71"/>
      <c r="AC270" s="71"/>
      <c r="AD270" s="2"/>
      <c r="AE270" s="70"/>
      <c r="AF270" s="70"/>
      <c r="AG270" s="70"/>
      <c r="AH270" s="70"/>
      <c r="AI270" s="2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 s="70"/>
      <c r="AX270" s="70"/>
      <c r="AY270" s="70"/>
      <c r="AZ270" s="70"/>
      <c r="BA270" s="70"/>
      <c r="BB270" s="70"/>
      <c r="BC270" s="70"/>
      <c r="BD270" s="70"/>
      <c r="BE270" s="70"/>
      <c r="BF270" s="70"/>
      <c r="BG270" s="70"/>
      <c r="BH270" s="70"/>
      <c r="BI270" s="70"/>
      <c r="BJ270" s="70"/>
      <c r="BK270" s="70"/>
      <c r="BL270" s="70"/>
      <c r="BM270" s="70"/>
      <c r="BN270" s="70"/>
      <c r="BO270" s="70"/>
      <c r="BP270" s="70"/>
      <c r="BQ270" s="70"/>
      <c r="BR270" s="70"/>
      <c r="BS270" s="70"/>
      <c r="BT270" s="70"/>
      <c r="BU270" s="70"/>
      <c r="BV270" s="70"/>
      <c r="BW270" s="70"/>
      <c r="BX270" s="70"/>
      <c r="BY270" s="70"/>
      <c r="BZ270" s="70"/>
      <c r="CA270" s="70"/>
      <c r="CB270" s="70"/>
      <c r="CC270" s="70"/>
      <c r="CD270" s="70"/>
      <c r="CE270" s="70"/>
      <c r="CF270" s="70"/>
      <c r="CG270" s="70"/>
      <c r="CH270" s="70"/>
      <c r="CI270" s="70"/>
      <c r="CJ270" s="70"/>
      <c r="CK270" s="70"/>
      <c r="CL270" s="2"/>
      <c r="CM270" s="2"/>
      <c r="CN270" s="70"/>
      <c r="CO270" s="70"/>
      <c r="CP270" s="70"/>
      <c r="CQ270" s="70"/>
      <c r="CR270" s="2"/>
      <c r="CS270" s="2"/>
      <c r="CT270" s="70"/>
      <c r="CU270" s="70"/>
      <c r="CV270" s="70"/>
      <c r="CW270" s="70"/>
    </row>
    <row r="271" spans="1:101" ht="15.75" customHeight="1" x14ac:dyDescent="0.2">
      <c r="A271" s="1"/>
      <c r="B271" s="2"/>
      <c r="C271" s="2"/>
      <c r="D271" s="2"/>
      <c r="E271" s="2"/>
      <c r="F271" s="2"/>
      <c r="G271" s="2"/>
      <c r="H271" s="2"/>
      <c r="I271" s="2"/>
      <c r="J271" s="3"/>
      <c r="K271" s="2"/>
      <c r="L271" s="2"/>
      <c r="M271" s="2"/>
      <c r="N271" s="2"/>
      <c r="O271" s="2"/>
      <c r="P271" s="2"/>
      <c r="Q271" s="69"/>
      <c r="R271" s="69"/>
      <c r="S271" s="70"/>
      <c r="T271" s="70"/>
      <c r="U271" s="2"/>
      <c r="V271" s="2"/>
      <c r="W271" s="2"/>
      <c r="X271" s="2"/>
      <c r="Y271" s="2"/>
      <c r="Z271" s="2"/>
      <c r="AA271" s="20"/>
      <c r="AB271" s="71"/>
      <c r="AC271" s="71"/>
      <c r="AD271" s="2"/>
      <c r="AE271" s="70"/>
      <c r="AF271" s="70"/>
      <c r="AG271" s="70"/>
      <c r="AH271" s="70"/>
      <c r="AI271" s="2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70"/>
      <c r="AX271" s="70"/>
      <c r="AY271" s="70"/>
      <c r="AZ271" s="70"/>
      <c r="BA271" s="70"/>
      <c r="BB271" s="70"/>
      <c r="BC271" s="70"/>
      <c r="BD271" s="70"/>
      <c r="BE271" s="70"/>
      <c r="BF271" s="70"/>
      <c r="BG271" s="70"/>
      <c r="BH271" s="70"/>
      <c r="BI271" s="70"/>
      <c r="BJ271" s="70"/>
      <c r="BK271" s="70"/>
      <c r="BL271" s="70"/>
      <c r="BM271" s="70"/>
      <c r="BN271" s="70"/>
      <c r="BO271" s="70"/>
      <c r="BP271" s="70"/>
      <c r="BQ271" s="70"/>
      <c r="BR271" s="70"/>
      <c r="BS271" s="70"/>
      <c r="BT271" s="70"/>
      <c r="BU271" s="70"/>
      <c r="BV271" s="70"/>
      <c r="BW271" s="70"/>
      <c r="BX271" s="70"/>
      <c r="BY271" s="70"/>
      <c r="BZ271" s="70"/>
      <c r="CA271" s="70"/>
      <c r="CB271" s="70"/>
      <c r="CC271" s="70"/>
      <c r="CD271" s="70"/>
      <c r="CE271" s="70"/>
      <c r="CF271" s="70"/>
      <c r="CG271" s="70"/>
      <c r="CH271" s="70"/>
      <c r="CI271" s="70"/>
      <c r="CJ271" s="70"/>
      <c r="CK271" s="70"/>
      <c r="CL271" s="2"/>
      <c r="CM271" s="2"/>
      <c r="CN271" s="70"/>
      <c r="CO271" s="70"/>
      <c r="CP271" s="70"/>
      <c r="CQ271" s="70"/>
      <c r="CR271" s="2"/>
      <c r="CS271" s="2"/>
      <c r="CT271" s="70"/>
      <c r="CU271" s="70"/>
      <c r="CV271" s="70"/>
      <c r="CW271" s="70"/>
    </row>
    <row r="272" spans="1:101" ht="15.75" customHeight="1" x14ac:dyDescent="0.2">
      <c r="A272" s="1"/>
      <c r="B272" s="2"/>
      <c r="C272" s="2"/>
      <c r="D272" s="2"/>
      <c r="E272" s="2"/>
      <c r="F272" s="2"/>
      <c r="G272" s="2"/>
      <c r="H272" s="2"/>
      <c r="I272" s="2"/>
      <c r="J272" s="3"/>
      <c r="K272" s="2"/>
      <c r="L272" s="2"/>
      <c r="M272" s="2"/>
      <c r="N272" s="2"/>
      <c r="O272" s="2"/>
      <c r="P272" s="2"/>
      <c r="Q272" s="69"/>
      <c r="R272" s="69"/>
      <c r="S272" s="70"/>
      <c r="T272" s="70"/>
      <c r="U272" s="2"/>
      <c r="V272" s="2"/>
      <c r="W272" s="2"/>
      <c r="X272" s="2"/>
      <c r="Y272" s="2"/>
      <c r="Z272" s="2"/>
      <c r="AA272" s="20"/>
      <c r="AB272" s="71"/>
      <c r="AC272" s="71"/>
      <c r="AD272" s="2"/>
      <c r="AE272" s="70"/>
      <c r="AF272" s="70"/>
      <c r="AG272" s="70"/>
      <c r="AH272" s="70"/>
      <c r="AI272" s="2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 s="70"/>
      <c r="AX272" s="70"/>
      <c r="AY272" s="70"/>
      <c r="AZ272" s="70"/>
      <c r="BA272" s="70"/>
      <c r="BB272" s="70"/>
      <c r="BC272" s="70"/>
      <c r="BD272" s="70"/>
      <c r="BE272" s="70"/>
      <c r="BF272" s="70"/>
      <c r="BG272" s="70"/>
      <c r="BH272" s="70"/>
      <c r="BI272" s="70"/>
      <c r="BJ272" s="70"/>
      <c r="BK272" s="70"/>
      <c r="BL272" s="70"/>
      <c r="BM272" s="70"/>
      <c r="BN272" s="70"/>
      <c r="BO272" s="70"/>
      <c r="BP272" s="70"/>
      <c r="BQ272" s="70"/>
      <c r="BR272" s="70"/>
      <c r="BS272" s="70"/>
      <c r="BT272" s="70"/>
      <c r="BU272" s="70"/>
      <c r="BV272" s="70"/>
      <c r="BW272" s="70"/>
      <c r="BX272" s="70"/>
      <c r="BY272" s="70"/>
      <c r="BZ272" s="70"/>
      <c r="CA272" s="70"/>
      <c r="CB272" s="70"/>
      <c r="CC272" s="70"/>
      <c r="CD272" s="70"/>
      <c r="CE272" s="70"/>
      <c r="CF272" s="70"/>
      <c r="CG272" s="70"/>
      <c r="CH272" s="70"/>
      <c r="CI272" s="70"/>
      <c r="CJ272" s="70"/>
      <c r="CK272" s="70"/>
      <c r="CL272" s="2"/>
      <c r="CM272" s="2"/>
      <c r="CN272" s="70"/>
      <c r="CO272" s="70"/>
      <c r="CP272" s="70"/>
      <c r="CQ272" s="70"/>
      <c r="CR272" s="2"/>
      <c r="CS272" s="2"/>
      <c r="CT272" s="70"/>
      <c r="CU272" s="70"/>
      <c r="CV272" s="70"/>
      <c r="CW272" s="70"/>
    </row>
    <row r="273" spans="1:101" ht="15.75" customHeight="1" x14ac:dyDescent="0.2">
      <c r="A273" s="1"/>
      <c r="B273" s="2"/>
      <c r="C273" s="2"/>
      <c r="D273" s="2"/>
      <c r="E273" s="2"/>
      <c r="F273" s="2"/>
      <c r="G273" s="2"/>
      <c r="H273" s="2"/>
      <c r="I273" s="2"/>
      <c r="J273" s="3"/>
      <c r="K273" s="2"/>
      <c r="L273" s="2"/>
      <c r="M273" s="2"/>
      <c r="N273" s="2"/>
      <c r="O273" s="2"/>
      <c r="P273" s="2"/>
      <c r="Q273" s="69"/>
      <c r="R273" s="69"/>
      <c r="S273" s="70"/>
      <c r="T273" s="70"/>
      <c r="U273" s="2"/>
      <c r="V273" s="2"/>
      <c r="W273" s="2"/>
      <c r="X273" s="2"/>
      <c r="Y273" s="2"/>
      <c r="Z273" s="2"/>
      <c r="AA273" s="20"/>
      <c r="AB273" s="71"/>
      <c r="AC273" s="71"/>
      <c r="AD273" s="2"/>
      <c r="AE273" s="70"/>
      <c r="AF273" s="70"/>
      <c r="AG273" s="70"/>
      <c r="AH273" s="70"/>
      <c r="AI273" s="2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 s="70"/>
      <c r="AX273" s="70"/>
      <c r="AY273" s="70"/>
      <c r="AZ273" s="70"/>
      <c r="BA273" s="70"/>
      <c r="BB273" s="70"/>
      <c r="BC273" s="70"/>
      <c r="BD273" s="70"/>
      <c r="BE273" s="70"/>
      <c r="BF273" s="70"/>
      <c r="BG273" s="70"/>
      <c r="BH273" s="70"/>
      <c r="BI273" s="70"/>
      <c r="BJ273" s="70"/>
      <c r="BK273" s="70"/>
      <c r="BL273" s="70"/>
      <c r="BM273" s="70"/>
      <c r="BN273" s="70"/>
      <c r="BO273" s="70"/>
      <c r="BP273" s="70"/>
      <c r="BQ273" s="70"/>
      <c r="BR273" s="70"/>
      <c r="BS273" s="70"/>
      <c r="BT273" s="70"/>
      <c r="BU273" s="70"/>
      <c r="BV273" s="70"/>
      <c r="BW273" s="70"/>
      <c r="BX273" s="70"/>
      <c r="BY273" s="70"/>
      <c r="BZ273" s="70"/>
      <c r="CA273" s="70"/>
      <c r="CB273" s="70"/>
      <c r="CC273" s="70"/>
      <c r="CD273" s="70"/>
      <c r="CE273" s="70"/>
      <c r="CF273" s="70"/>
      <c r="CG273" s="70"/>
      <c r="CH273" s="70"/>
      <c r="CI273" s="70"/>
      <c r="CJ273" s="70"/>
      <c r="CK273" s="70"/>
      <c r="CL273" s="2"/>
      <c r="CM273" s="2"/>
      <c r="CN273" s="70"/>
      <c r="CO273" s="70"/>
      <c r="CP273" s="70"/>
      <c r="CQ273" s="70"/>
      <c r="CR273" s="2"/>
      <c r="CS273" s="2"/>
      <c r="CT273" s="70"/>
      <c r="CU273" s="70"/>
      <c r="CV273" s="70"/>
      <c r="CW273" s="70"/>
    </row>
    <row r="274" spans="1:101" ht="15.75" customHeight="1" x14ac:dyDescent="0.2">
      <c r="A274" s="1"/>
      <c r="B274" s="2"/>
      <c r="C274" s="2"/>
      <c r="D274" s="2"/>
      <c r="E274" s="2"/>
      <c r="F274" s="2"/>
      <c r="G274" s="2"/>
      <c r="H274" s="2"/>
      <c r="I274" s="2"/>
      <c r="J274" s="3"/>
      <c r="K274" s="2"/>
      <c r="L274" s="2"/>
      <c r="M274" s="2"/>
      <c r="N274" s="2"/>
      <c r="O274" s="2"/>
      <c r="P274" s="2"/>
      <c r="Q274" s="69"/>
      <c r="R274" s="69"/>
      <c r="S274" s="70"/>
      <c r="T274" s="70"/>
      <c r="U274" s="2"/>
      <c r="V274" s="2"/>
      <c r="W274" s="2"/>
      <c r="X274" s="2"/>
      <c r="Y274" s="2"/>
      <c r="Z274" s="2"/>
      <c r="AA274" s="20"/>
      <c r="AB274" s="71"/>
      <c r="AC274" s="71"/>
      <c r="AD274" s="2"/>
      <c r="AE274" s="70"/>
      <c r="AF274" s="70"/>
      <c r="AG274" s="70"/>
      <c r="AH274" s="70"/>
      <c r="AI274" s="2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 s="70"/>
      <c r="AX274" s="70"/>
      <c r="AY274" s="70"/>
      <c r="AZ274" s="70"/>
      <c r="BA274" s="70"/>
      <c r="BB274" s="70"/>
      <c r="BC274" s="70"/>
      <c r="BD274" s="70"/>
      <c r="BE274" s="70"/>
      <c r="BF274" s="70"/>
      <c r="BG274" s="70"/>
      <c r="BH274" s="70"/>
      <c r="BI274" s="70"/>
      <c r="BJ274" s="70"/>
      <c r="BK274" s="70"/>
      <c r="BL274" s="70"/>
      <c r="BM274" s="70"/>
      <c r="BN274" s="70"/>
      <c r="BO274" s="70"/>
      <c r="BP274" s="70"/>
      <c r="BQ274" s="70"/>
      <c r="BR274" s="70"/>
      <c r="BS274" s="70"/>
      <c r="BT274" s="70"/>
      <c r="BU274" s="70"/>
      <c r="BV274" s="70"/>
      <c r="BW274" s="70"/>
      <c r="BX274" s="70"/>
      <c r="BY274" s="70"/>
      <c r="BZ274" s="70"/>
      <c r="CA274" s="70"/>
      <c r="CB274" s="70"/>
      <c r="CC274" s="70"/>
      <c r="CD274" s="70"/>
      <c r="CE274" s="70"/>
      <c r="CF274" s="70"/>
      <c r="CG274" s="70"/>
      <c r="CH274" s="70"/>
      <c r="CI274" s="70"/>
      <c r="CJ274" s="70"/>
      <c r="CK274" s="70"/>
      <c r="CL274" s="2"/>
      <c r="CM274" s="2"/>
      <c r="CN274" s="70"/>
      <c r="CO274" s="70"/>
      <c r="CP274" s="70"/>
      <c r="CQ274" s="70"/>
      <c r="CR274" s="2"/>
      <c r="CS274" s="2"/>
      <c r="CT274" s="70"/>
      <c r="CU274" s="70"/>
      <c r="CV274" s="70"/>
      <c r="CW274" s="70"/>
    </row>
    <row r="275" spans="1:101" ht="15.75" customHeight="1" x14ac:dyDescent="0.2">
      <c r="A275" s="1"/>
      <c r="B275" s="2"/>
      <c r="C275" s="2"/>
      <c r="D275" s="2"/>
      <c r="E275" s="2"/>
      <c r="F275" s="2"/>
      <c r="G275" s="2"/>
      <c r="H275" s="2"/>
      <c r="I275" s="2"/>
      <c r="J275" s="3"/>
      <c r="K275" s="2"/>
      <c r="L275" s="2"/>
      <c r="M275" s="2"/>
      <c r="N275" s="2"/>
      <c r="O275" s="2"/>
      <c r="P275" s="2"/>
      <c r="Q275" s="69"/>
      <c r="R275" s="69"/>
      <c r="S275" s="70"/>
      <c r="T275" s="70"/>
      <c r="U275" s="2"/>
      <c r="V275" s="2"/>
      <c r="W275" s="2"/>
      <c r="X275" s="2"/>
      <c r="Y275" s="2"/>
      <c r="Z275" s="2"/>
      <c r="AA275" s="20"/>
      <c r="AB275" s="71"/>
      <c r="AC275" s="71"/>
      <c r="AD275" s="2"/>
      <c r="AE275" s="70"/>
      <c r="AF275" s="70"/>
      <c r="AG275" s="70"/>
      <c r="AH275" s="70"/>
      <c r="AI275" s="2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70"/>
      <c r="AX275" s="70"/>
      <c r="AY275" s="70"/>
      <c r="AZ275" s="70"/>
      <c r="BA275" s="70"/>
      <c r="BB275" s="70"/>
      <c r="BC275" s="70"/>
      <c r="BD275" s="70"/>
      <c r="BE275" s="70"/>
      <c r="BF275" s="70"/>
      <c r="BG275" s="70"/>
      <c r="BH275" s="70"/>
      <c r="BI275" s="70"/>
      <c r="BJ275" s="70"/>
      <c r="BK275" s="70"/>
      <c r="BL275" s="70"/>
      <c r="BM275" s="70"/>
      <c r="BN275" s="70"/>
      <c r="BO275" s="70"/>
      <c r="BP275" s="70"/>
      <c r="BQ275" s="70"/>
      <c r="BR275" s="70"/>
      <c r="BS275" s="70"/>
      <c r="BT275" s="70"/>
      <c r="BU275" s="70"/>
      <c r="BV275" s="70"/>
      <c r="BW275" s="70"/>
      <c r="BX275" s="70"/>
      <c r="BY275" s="70"/>
      <c r="BZ275" s="70"/>
      <c r="CA275" s="70"/>
      <c r="CB275" s="70"/>
      <c r="CC275" s="70"/>
      <c r="CD275" s="70"/>
      <c r="CE275" s="70"/>
      <c r="CF275" s="70"/>
      <c r="CG275" s="70"/>
      <c r="CH275" s="70"/>
      <c r="CI275" s="70"/>
      <c r="CJ275" s="70"/>
      <c r="CK275" s="70"/>
      <c r="CL275" s="2"/>
      <c r="CM275" s="2"/>
      <c r="CN275" s="70"/>
      <c r="CO275" s="70"/>
      <c r="CP275" s="70"/>
      <c r="CQ275" s="70"/>
      <c r="CR275" s="2"/>
      <c r="CS275" s="2"/>
      <c r="CT275" s="70"/>
      <c r="CU275" s="70"/>
      <c r="CV275" s="70"/>
      <c r="CW275" s="70"/>
    </row>
    <row r="276" spans="1:101" ht="15.75" customHeight="1" x14ac:dyDescent="0.2">
      <c r="A276" s="1"/>
      <c r="B276" s="2"/>
      <c r="C276" s="2"/>
      <c r="D276" s="2"/>
      <c r="E276" s="2"/>
      <c r="F276" s="2"/>
      <c r="G276" s="2"/>
      <c r="H276" s="2"/>
      <c r="I276" s="2"/>
      <c r="J276" s="3"/>
      <c r="K276" s="2"/>
      <c r="L276" s="2"/>
      <c r="M276" s="2"/>
      <c r="N276" s="2"/>
      <c r="O276" s="2"/>
      <c r="P276" s="2"/>
      <c r="Q276" s="69"/>
      <c r="R276" s="69"/>
      <c r="S276" s="70"/>
      <c r="T276" s="70"/>
      <c r="U276" s="2"/>
      <c r="V276" s="2"/>
      <c r="W276" s="2"/>
      <c r="X276" s="2"/>
      <c r="Y276" s="2"/>
      <c r="Z276" s="2"/>
      <c r="AA276" s="20"/>
      <c r="AB276" s="71"/>
      <c r="AC276" s="71"/>
      <c r="AD276" s="2"/>
      <c r="AE276" s="70"/>
      <c r="AF276" s="70"/>
      <c r="AG276" s="70"/>
      <c r="AH276" s="70"/>
      <c r="AI276" s="2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  <c r="AW276" s="70"/>
      <c r="AX276" s="70"/>
      <c r="AY276" s="70"/>
      <c r="AZ276" s="70"/>
      <c r="BA276" s="70"/>
      <c r="BB276" s="70"/>
      <c r="BC276" s="70"/>
      <c r="BD276" s="70"/>
      <c r="BE276" s="70"/>
      <c r="BF276" s="70"/>
      <c r="BG276" s="70"/>
      <c r="BH276" s="70"/>
      <c r="BI276" s="70"/>
      <c r="BJ276" s="70"/>
      <c r="BK276" s="70"/>
      <c r="BL276" s="70"/>
      <c r="BM276" s="70"/>
      <c r="BN276" s="70"/>
      <c r="BO276" s="70"/>
      <c r="BP276" s="70"/>
      <c r="BQ276" s="70"/>
      <c r="BR276" s="70"/>
      <c r="BS276" s="70"/>
      <c r="BT276" s="70"/>
      <c r="BU276" s="70"/>
      <c r="BV276" s="70"/>
      <c r="BW276" s="70"/>
      <c r="BX276" s="70"/>
      <c r="BY276" s="70"/>
      <c r="BZ276" s="70"/>
      <c r="CA276" s="70"/>
      <c r="CB276" s="70"/>
      <c r="CC276" s="70"/>
      <c r="CD276" s="70"/>
      <c r="CE276" s="70"/>
      <c r="CF276" s="70"/>
      <c r="CG276" s="70"/>
      <c r="CH276" s="70"/>
      <c r="CI276" s="70"/>
      <c r="CJ276" s="70"/>
      <c r="CK276" s="70"/>
      <c r="CL276" s="2"/>
      <c r="CM276" s="2"/>
      <c r="CN276" s="70"/>
      <c r="CO276" s="70"/>
      <c r="CP276" s="70"/>
      <c r="CQ276" s="70"/>
      <c r="CR276" s="2"/>
      <c r="CS276" s="2"/>
      <c r="CT276" s="70"/>
      <c r="CU276" s="70"/>
      <c r="CV276" s="70"/>
      <c r="CW276" s="70"/>
    </row>
    <row r="277" spans="1:101" ht="15.75" customHeight="1" x14ac:dyDescent="0.2">
      <c r="A277" s="1"/>
      <c r="B277" s="2"/>
      <c r="C277" s="2"/>
      <c r="D277" s="2"/>
      <c r="E277" s="2"/>
      <c r="F277" s="2"/>
      <c r="G277" s="2"/>
      <c r="H277" s="2"/>
      <c r="I277" s="2"/>
      <c r="J277" s="3"/>
      <c r="K277" s="2"/>
      <c r="L277" s="2"/>
      <c r="M277" s="2"/>
      <c r="N277" s="2"/>
      <c r="O277" s="2"/>
      <c r="P277" s="2"/>
      <c r="Q277" s="69"/>
      <c r="R277" s="69"/>
      <c r="S277" s="70"/>
      <c r="T277" s="70"/>
      <c r="U277" s="2"/>
      <c r="V277" s="2"/>
      <c r="W277" s="2"/>
      <c r="X277" s="2"/>
      <c r="Y277" s="2"/>
      <c r="Z277" s="2"/>
      <c r="AA277" s="20"/>
      <c r="AB277" s="71"/>
      <c r="AC277" s="71"/>
      <c r="AD277" s="2"/>
      <c r="AE277" s="70"/>
      <c r="AF277" s="70"/>
      <c r="AG277" s="70"/>
      <c r="AH277" s="70"/>
      <c r="AI277" s="2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  <c r="AW277" s="70"/>
      <c r="AX277" s="70"/>
      <c r="AY277" s="70"/>
      <c r="AZ277" s="70"/>
      <c r="BA277" s="70"/>
      <c r="BB277" s="70"/>
      <c r="BC277" s="70"/>
      <c r="BD277" s="70"/>
      <c r="BE277" s="70"/>
      <c r="BF277" s="70"/>
      <c r="BG277" s="70"/>
      <c r="BH277" s="70"/>
      <c r="BI277" s="70"/>
      <c r="BJ277" s="70"/>
      <c r="BK277" s="70"/>
      <c r="BL277" s="70"/>
      <c r="BM277" s="70"/>
      <c r="BN277" s="70"/>
      <c r="BO277" s="70"/>
      <c r="BP277" s="70"/>
      <c r="BQ277" s="70"/>
      <c r="BR277" s="70"/>
      <c r="BS277" s="70"/>
      <c r="BT277" s="70"/>
      <c r="BU277" s="70"/>
      <c r="BV277" s="70"/>
      <c r="BW277" s="70"/>
      <c r="BX277" s="70"/>
      <c r="BY277" s="70"/>
      <c r="BZ277" s="70"/>
      <c r="CA277" s="70"/>
      <c r="CB277" s="70"/>
      <c r="CC277" s="70"/>
      <c r="CD277" s="70"/>
      <c r="CE277" s="70"/>
      <c r="CF277" s="70"/>
      <c r="CG277" s="70"/>
      <c r="CH277" s="70"/>
      <c r="CI277" s="70"/>
      <c r="CJ277" s="70"/>
      <c r="CK277" s="70"/>
      <c r="CL277" s="2"/>
      <c r="CM277" s="2"/>
      <c r="CN277" s="70"/>
      <c r="CO277" s="70"/>
      <c r="CP277" s="70"/>
      <c r="CQ277" s="70"/>
      <c r="CR277" s="2"/>
      <c r="CS277" s="2"/>
      <c r="CT277" s="70"/>
      <c r="CU277" s="70"/>
      <c r="CV277" s="70"/>
      <c r="CW277" s="70"/>
    </row>
    <row r="278" spans="1:101" ht="15.75" customHeight="1" x14ac:dyDescent="0.2">
      <c r="A278" s="1"/>
      <c r="B278" s="2"/>
      <c r="C278" s="2"/>
      <c r="D278" s="2"/>
      <c r="E278" s="2"/>
      <c r="F278" s="2"/>
      <c r="G278" s="2"/>
      <c r="H278" s="2"/>
      <c r="I278" s="2"/>
      <c r="J278" s="3"/>
      <c r="K278" s="2"/>
      <c r="L278" s="2"/>
      <c r="M278" s="2"/>
      <c r="N278" s="2"/>
      <c r="O278" s="2"/>
      <c r="P278" s="2"/>
      <c r="Q278" s="69"/>
      <c r="R278" s="69"/>
      <c r="S278" s="70"/>
      <c r="T278" s="70"/>
      <c r="U278" s="2"/>
      <c r="V278" s="2"/>
      <c r="W278" s="2"/>
      <c r="X278" s="2"/>
      <c r="Y278" s="2"/>
      <c r="Z278" s="2"/>
      <c r="AA278" s="20"/>
      <c r="AB278" s="71"/>
      <c r="AC278" s="71"/>
      <c r="AD278" s="2"/>
      <c r="AE278" s="70"/>
      <c r="AF278" s="70"/>
      <c r="AG278" s="70"/>
      <c r="AH278" s="70"/>
      <c r="AI278" s="2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  <c r="AW278" s="70"/>
      <c r="AX278" s="70"/>
      <c r="AY278" s="70"/>
      <c r="AZ278" s="70"/>
      <c r="BA278" s="70"/>
      <c r="BB278" s="70"/>
      <c r="BC278" s="70"/>
      <c r="BD278" s="70"/>
      <c r="BE278" s="70"/>
      <c r="BF278" s="70"/>
      <c r="BG278" s="70"/>
      <c r="BH278" s="70"/>
      <c r="BI278" s="70"/>
      <c r="BJ278" s="70"/>
      <c r="BK278" s="70"/>
      <c r="BL278" s="70"/>
      <c r="BM278" s="70"/>
      <c r="BN278" s="70"/>
      <c r="BO278" s="70"/>
      <c r="BP278" s="70"/>
      <c r="BQ278" s="70"/>
      <c r="BR278" s="70"/>
      <c r="BS278" s="70"/>
      <c r="BT278" s="70"/>
      <c r="BU278" s="70"/>
      <c r="BV278" s="70"/>
      <c r="BW278" s="70"/>
      <c r="BX278" s="70"/>
      <c r="BY278" s="70"/>
      <c r="BZ278" s="70"/>
      <c r="CA278" s="70"/>
      <c r="CB278" s="70"/>
      <c r="CC278" s="70"/>
      <c r="CD278" s="70"/>
      <c r="CE278" s="70"/>
      <c r="CF278" s="70"/>
      <c r="CG278" s="70"/>
      <c r="CH278" s="70"/>
      <c r="CI278" s="70"/>
      <c r="CJ278" s="70"/>
      <c r="CK278" s="70"/>
      <c r="CL278" s="2"/>
      <c r="CM278" s="2"/>
      <c r="CN278" s="70"/>
      <c r="CO278" s="70"/>
      <c r="CP278" s="70"/>
      <c r="CQ278" s="70"/>
      <c r="CR278" s="2"/>
      <c r="CS278" s="2"/>
      <c r="CT278" s="70"/>
      <c r="CU278" s="70"/>
      <c r="CV278" s="70"/>
      <c r="CW278" s="70"/>
    </row>
    <row r="279" spans="1:101" ht="15.75" customHeight="1" x14ac:dyDescent="0.2">
      <c r="A279" s="1"/>
      <c r="B279" s="2"/>
      <c r="C279" s="2"/>
      <c r="D279" s="2"/>
      <c r="E279" s="2"/>
      <c r="F279" s="2"/>
      <c r="G279" s="2"/>
      <c r="H279" s="2"/>
      <c r="I279" s="2"/>
      <c r="J279" s="3"/>
      <c r="K279" s="2"/>
      <c r="L279" s="2"/>
      <c r="M279" s="2"/>
      <c r="N279" s="2"/>
      <c r="O279" s="2"/>
      <c r="P279" s="2"/>
      <c r="Q279" s="69"/>
      <c r="R279" s="69"/>
      <c r="S279" s="70"/>
      <c r="T279" s="70"/>
      <c r="U279" s="2"/>
      <c r="V279" s="2"/>
      <c r="W279" s="2"/>
      <c r="X279" s="2"/>
      <c r="Y279" s="2"/>
      <c r="Z279" s="2"/>
      <c r="AA279" s="20"/>
      <c r="AB279" s="71"/>
      <c r="AC279" s="71"/>
      <c r="AD279" s="2"/>
      <c r="AE279" s="70"/>
      <c r="AF279" s="70"/>
      <c r="AG279" s="70"/>
      <c r="AH279" s="70"/>
      <c r="AI279" s="2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0"/>
      <c r="AX279" s="70"/>
      <c r="AY279" s="70"/>
      <c r="AZ279" s="70"/>
      <c r="BA279" s="70"/>
      <c r="BB279" s="70"/>
      <c r="BC279" s="70"/>
      <c r="BD279" s="70"/>
      <c r="BE279" s="70"/>
      <c r="BF279" s="70"/>
      <c r="BG279" s="70"/>
      <c r="BH279" s="70"/>
      <c r="BI279" s="70"/>
      <c r="BJ279" s="70"/>
      <c r="BK279" s="70"/>
      <c r="BL279" s="70"/>
      <c r="BM279" s="70"/>
      <c r="BN279" s="70"/>
      <c r="BO279" s="70"/>
      <c r="BP279" s="70"/>
      <c r="BQ279" s="70"/>
      <c r="BR279" s="70"/>
      <c r="BS279" s="70"/>
      <c r="BT279" s="70"/>
      <c r="BU279" s="70"/>
      <c r="BV279" s="70"/>
      <c r="BW279" s="70"/>
      <c r="BX279" s="70"/>
      <c r="BY279" s="70"/>
      <c r="BZ279" s="70"/>
      <c r="CA279" s="70"/>
      <c r="CB279" s="70"/>
      <c r="CC279" s="70"/>
      <c r="CD279" s="70"/>
      <c r="CE279" s="70"/>
      <c r="CF279" s="70"/>
      <c r="CG279" s="70"/>
      <c r="CH279" s="70"/>
      <c r="CI279" s="70"/>
      <c r="CJ279" s="70"/>
      <c r="CK279" s="70"/>
      <c r="CL279" s="2"/>
      <c r="CM279" s="2"/>
      <c r="CN279" s="70"/>
      <c r="CO279" s="70"/>
      <c r="CP279" s="70"/>
      <c r="CQ279" s="70"/>
      <c r="CR279" s="2"/>
      <c r="CS279" s="2"/>
      <c r="CT279" s="70"/>
      <c r="CU279" s="70"/>
      <c r="CV279" s="70"/>
      <c r="CW279" s="70"/>
    </row>
    <row r="280" spans="1:101" ht="15.75" customHeight="1" x14ac:dyDescent="0.2">
      <c r="A280" s="1"/>
      <c r="B280" s="2"/>
      <c r="C280" s="2"/>
      <c r="D280" s="2"/>
      <c r="E280" s="2"/>
      <c r="F280" s="2"/>
      <c r="G280" s="2"/>
      <c r="H280" s="2"/>
      <c r="I280" s="2"/>
      <c r="J280" s="3"/>
      <c r="K280" s="2"/>
      <c r="L280" s="2"/>
      <c r="M280" s="2"/>
      <c r="N280" s="2"/>
      <c r="O280" s="2"/>
      <c r="P280" s="2"/>
      <c r="Q280" s="69"/>
      <c r="R280" s="69"/>
      <c r="S280" s="70"/>
      <c r="T280" s="70"/>
      <c r="U280" s="2"/>
      <c r="V280" s="2"/>
      <c r="W280" s="2"/>
      <c r="X280" s="2"/>
      <c r="Y280" s="2"/>
      <c r="Z280" s="2"/>
      <c r="AA280" s="20"/>
      <c r="AB280" s="71"/>
      <c r="AC280" s="71"/>
      <c r="AD280" s="2"/>
      <c r="AE280" s="70"/>
      <c r="AF280" s="70"/>
      <c r="AG280" s="70"/>
      <c r="AH280" s="70"/>
      <c r="AI280" s="2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0"/>
      <c r="AX280" s="70"/>
      <c r="AY280" s="70"/>
      <c r="AZ280" s="70"/>
      <c r="BA280" s="70"/>
      <c r="BB280" s="70"/>
      <c r="BC280" s="70"/>
      <c r="BD280" s="70"/>
      <c r="BE280" s="70"/>
      <c r="BF280" s="70"/>
      <c r="BG280" s="70"/>
      <c r="BH280" s="70"/>
      <c r="BI280" s="70"/>
      <c r="BJ280" s="70"/>
      <c r="BK280" s="70"/>
      <c r="BL280" s="70"/>
      <c r="BM280" s="70"/>
      <c r="BN280" s="70"/>
      <c r="BO280" s="70"/>
      <c r="BP280" s="70"/>
      <c r="BQ280" s="70"/>
      <c r="BR280" s="70"/>
      <c r="BS280" s="70"/>
      <c r="BT280" s="70"/>
      <c r="BU280" s="70"/>
      <c r="BV280" s="70"/>
      <c r="BW280" s="70"/>
      <c r="BX280" s="70"/>
      <c r="BY280" s="70"/>
      <c r="BZ280" s="70"/>
      <c r="CA280" s="70"/>
      <c r="CB280" s="70"/>
      <c r="CC280" s="70"/>
      <c r="CD280" s="70"/>
      <c r="CE280" s="70"/>
      <c r="CF280" s="70"/>
      <c r="CG280" s="70"/>
      <c r="CH280" s="70"/>
      <c r="CI280" s="70"/>
      <c r="CJ280" s="70"/>
      <c r="CK280" s="70"/>
      <c r="CL280" s="2"/>
      <c r="CM280" s="2"/>
      <c r="CN280" s="70"/>
      <c r="CO280" s="70"/>
      <c r="CP280" s="70"/>
      <c r="CQ280" s="70"/>
      <c r="CR280" s="2"/>
      <c r="CS280" s="2"/>
      <c r="CT280" s="70"/>
      <c r="CU280" s="70"/>
      <c r="CV280" s="70"/>
      <c r="CW280" s="70"/>
    </row>
    <row r="281" spans="1:101" ht="15.75" customHeight="1" x14ac:dyDescent="0.2">
      <c r="A281" s="1"/>
      <c r="B281" s="2"/>
      <c r="C281" s="2"/>
      <c r="D281" s="2"/>
      <c r="E281" s="2"/>
      <c r="F281" s="2"/>
      <c r="G281" s="2"/>
      <c r="H281" s="2"/>
      <c r="I281" s="2"/>
      <c r="J281" s="3"/>
      <c r="K281" s="2"/>
      <c r="L281" s="2"/>
      <c r="M281" s="2"/>
      <c r="N281" s="2"/>
      <c r="O281" s="2"/>
      <c r="P281" s="2"/>
      <c r="Q281" s="69"/>
      <c r="R281" s="69"/>
      <c r="S281" s="70"/>
      <c r="T281" s="70"/>
      <c r="U281" s="2"/>
      <c r="V281" s="2"/>
      <c r="W281" s="2"/>
      <c r="X281" s="2"/>
      <c r="Y281" s="2"/>
      <c r="Z281" s="2"/>
      <c r="AA281" s="20"/>
      <c r="AB281" s="71"/>
      <c r="AC281" s="71"/>
      <c r="AD281" s="2"/>
      <c r="AE281" s="70"/>
      <c r="AF281" s="70"/>
      <c r="AG281" s="70"/>
      <c r="AH281" s="70"/>
      <c r="AI281" s="2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0"/>
      <c r="AX281" s="70"/>
      <c r="AY281" s="70"/>
      <c r="AZ281" s="70"/>
      <c r="BA281" s="70"/>
      <c r="BB281" s="70"/>
      <c r="BC281" s="70"/>
      <c r="BD281" s="70"/>
      <c r="BE281" s="70"/>
      <c r="BF281" s="70"/>
      <c r="BG281" s="70"/>
      <c r="BH281" s="70"/>
      <c r="BI281" s="70"/>
      <c r="BJ281" s="70"/>
      <c r="BK281" s="70"/>
      <c r="BL281" s="70"/>
      <c r="BM281" s="70"/>
      <c r="BN281" s="70"/>
      <c r="BO281" s="70"/>
      <c r="BP281" s="70"/>
      <c r="BQ281" s="70"/>
      <c r="BR281" s="70"/>
      <c r="BS281" s="70"/>
      <c r="BT281" s="70"/>
      <c r="BU281" s="70"/>
      <c r="BV281" s="70"/>
      <c r="BW281" s="70"/>
      <c r="BX281" s="70"/>
      <c r="BY281" s="70"/>
      <c r="BZ281" s="70"/>
      <c r="CA281" s="70"/>
      <c r="CB281" s="70"/>
      <c r="CC281" s="70"/>
      <c r="CD281" s="70"/>
      <c r="CE281" s="70"/>
      <c r="CF281" s="70"/>
      <c r="CG281" s="70"/>
      <c r="CH281" s="70"/>
      <c r="CI281" s="70"/>
      <c r="CJ281" s="70"/>
      <c r="CK281" s="70"/>
      <c r="CL281" s="2"/>
      <c r="CM281" s="2"/>
      <c r="CN281" s="70"/>
      <c r="CO281" s="70"/>
      <c r="CP281" s="70"/>
      <c r="CQ281" s="70"/>
      <c r="CR281" s="2"/>
      <c r="CS281" s="2"/>
      <c r="CT281" s="70"/>
      <c r="CU281" s="70"/>
      <c r="CV281" s="70"/>
      <c r="CW281" s="70"/>
    </row>
    <row r="282" spans="1:101" ht="15.75" customHeight="1" x14ac:dyDescent="0.2">
      <c r="A282" s="1"/>
      <c r="B282" s="2"/>
      <c r="C282" s="2"/>
      <c r="D282" s="2"/>
      <c r="E282" s="2"/>
      <c r="F282" s="2"/>
      <c r="G282" s="2"/>
      <c r="H282" s="2"/>
      <c r="I282" s="2"/>
      <c r="J282" s="3"/>
      <c r="K282" s="2"/>
      <c r="L282" s="2"/>
      <c r="M282" s="2"/>
      <c r="N282" s="2"/>
      <c r="O282" s="2"/>
      <c r="P282" s="2"/>
      <c r="Q282" s="69"/>
      <c r="R282" s="69"/>
      <c r="S282" s="70"/>
      <c r="T282" s="70"/>
      <c r="U282" s="2"/>
      <c r="V282" s="2"/>
      <c r="W282" s="2"/>
      <c r="X282" s="2"/>
      <c r="Y282" s="2"/>
      <c r="Z282" s="2"/>
      <c r="AA282" s="20"/>
      <c r="AB282" s="71"/>
      <c r="AC282" s="71"/>
      <c r="AD282" s="2"/>
      <c r="AE282" s="70"/>
      <c r="AF282" s="70"/>
      <c r="AG282" s="70"/>
      <c r="AH282" s="70"/>
      <c r="AI282" s="2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0"/>
      <c r="AX282" s="70"/>
      <c r="AY282" s="70"/>
      <c r="AZ282" s="70"/>
      <c r="BA282" s="70"/>
      <c r="BB282" s="70"/>
      <c r="BC282" s="70"/>
      <c r="BD282" s="70"/>
      <c r="BE282" s="70"/>
      <c r="BF282" s="70"/>
      <c r="BG282" s="70"/>
      <c r="BH282" s="70"/>
      <c r="BI282" s="70"/>
      <c r="BJ282" s="70"/>
      <c r="BK282" s="70"/>
      <c r="BL282" s="70"/>
      <c r="BM282" s="70"/>
      <c r="BN282" s="70"/>
      <c r="BO282" s="70"/>
      <c r="BP282" s="70"/>
      <c r="BQ282" s="70"/>
      <c r="BR282" s="70"/>
      <c r="BS282" s="70"/>
      <c r="BT282" s="70"/>
      <c r="BU282" s="70"/>
      <c r="BV282" s="70"/>
      <c r="BW282" s="70"/>
      <c r="BX282" s="70"/>
      <c r="BY282" s="70"/>
      <c r="BZ282" s="70"/>
      <c r="CA282" s="70"/>
      <c r="CB282" s="70"/>
      <c r="CC282" s="70"/>
      <c r="CD282" s="70"/>
      <c r="CE282" s="70"/>
      <c r="CF282" s="70"/>
      <c r="CG282" s="70"/>
      <c r="CH282" s="70"/>
      <c r="CI282" s="70"/>
      <c r="CJ282" s="70"/>
      <c r="CK282" s="70"/>
      <c r="CL282" s="2"/>
      <c r="CM282" s="2"/>
      <c r="CN282" s="70"/>
      <c r="CO282" s="70"/>
      <c r="CP282" s="70"/>
      <c r="CQ282" s="70"/>
      <c r="CR282" s="2"/>
      <c r="CS282" s="2"/>
      <c r="CT282" s="70"/>
      <c r="CU282" s="70"/>
      <c r="CV282" s="70"/>
      <c r="CW282" s="70"/>
    </row>
    <row r="283" spans="1:101" ht="15.75" customHeight="1" x14ac:dyDescent="0.2">
      <c r="A283" s="1"/>
      <c r="B283" s="2"/>
      <c r="C283" s="2"/>
      <c r="D283" s="2"/>
      <c r="E283" s="2"/>
      <c r="F283" s="2"/>
      <c r="G283" s="2"/>
      <c r="H283" s="2"/>
      <c r="I283" s="2"/>
      <c r="J283" s="3"/>
      <c r="K283" s="2"/>
      <c r="L283" s="2"/>
      <c r="M283" s="2"/>
      <c r="N283" s="2"/>
      <c r="O283" s="2"/>
      <c r="P283" s="2"/>
      <c r="Q283" s="69"/>
      <c r="R283" s="69"/>
      <c r="S283" s="70"/>
      <c r="T283" s="70"/>
      <c r="U283" s="2"/>
      <c r="V283" s="2"/>
      <c r="W283" s="2"/>
      <c r="X283" s="2"/>
      <c r="Y283" s="2"/>
      <c r="Z283" s="2"/>
      <c r="AA283" s="20"/>
      <c r="AB283" s="71"/>
      <c r="AC283" s="71"/>
      <c r="AD283" s="2"/>
      <c r="AE283" s="70"/>
      <c r="AF283" s="70"/>
      <c r="AG283" s="70"/>
      <c r="AH283" s="70"/>
      <c r="AI283" s="2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0"/>
      <c r="AX283" s="70"/>
      <c r="AY283" s="70"/>
      <c r="AZ283" s="70"/>
      <c r="BA283" s="70"/>
      <c r="BB283" s="70"/>
      <c r="BC283" s="70"/>
      <c r="BD283" s="70"/>
      <c r="BE283" s="70"/>
      <c r="BF283" s="70"/>
      <c r="BG283" s="70"/>
      <c r="BH283" s="70"/>
      <c r="BI283" s="70"/>
      <c r="BJ283" s="70"/>
      <c r="BK283" s="70"/>
      <c r="BL283" s="70"/>
      <c r="BM283" s="70"/>
      <c r="BN283" s="70"/>
      <c r="BO283" s="70"/>
      <c r="BP283" s="70"/>
      <c r="BQ283" s="70"/>
      <c r="BR283" s="70"/>
      <c r="BS283" s="70"/>
      <c r="BT283" s="70"/>
      <c r="BU283" s="70"/>
      <c r="BV283" s="70"/>
      <c r="BW283" s="70"/>
      <c r="BX283" s="70"/>
      <c r="BY283" s="70"/>
      <c r="BZ283" s="70"/>
      <c r="CA283" s="70"/>
      <c r="CB283" s="70"/>
      <c r="CC283" s="70"/>
      <c r="CD283" s="70"/>
      <c r="CE283" s="70"/>
      <c r="CF283" s="70"/>
      <c r="CG283" s="70"/>
      <c r="CH283" s="70"/>
      <c r="CI283" s="70"/>
      <c r="CJ283" s="70"/>
      <c r="CK283" s="70"/>
      <c r="CL283" s="2"/>
      <c r="CM283" s="2"/>
      <c r="CN283" s="70"/>
      <c r="CO283" s="70"/>
      <c r="CP283" s="70"/>
      <c r="CQ283" s="70"/>
      <c r="CR283" s="2"/>
      <c r="CS283" s="2"/>
      <c r="CT283" s="70"/>
      <c r="CU283" s="70"/>
      <c r="CV283" s="70"/>
      <c r="CW283" s="70"/>
    </row>
    <row r="284" spans="1:101" ht="15.75" customHeight="1" x14ac:dyDescent="0.2">
      <c r="A284" s="1"/>
      <c r="B284" s="2"/>
      <c r="C284" s="2"/>
      <c r="D284" s="2"/>
      <c r="E284" s="2"/>
      <c r="F284" s="2"/>
      <c r="G284" s="2"/>
      <c r="H284" s="2"/>
      <c r="I284" s="2"/>
      <c r="J284" s="3"/>
      <c r="K284" s="2"/>
      <c r="L284" s="2"/>
      <c r="M284" s="2"/>
      <c r="N284" s="2"/>
      <c r="O284" s="2"/>
      <c r="P284" s="2"/>
      <c r="Q284" s="69"/>
      <c r="R284" s="69"/>
      <c r="S284" s="70"/>
      <c r="T284" s="70"/>
      <c r="U284" s="2"/>
      <c r="V284" s="2"/>
      <c r="W284" s="2"/>
      <c r="X284" s="2"/>
      <c r="Y284" s="2"/>
      <c r="Z284" s="2"/>
      <c r="AA284" s="20"/>
      <c r="AB284" s="71"/>
      <c r="AC284" s="71"/>
      <c r="AD284" s="2"/>
      <c r="AE284" s="70"/>
      <c r="AF284" s="70"/>
      <c r="AG284" s="70"/>
      <c r="AH284" s="70"/>
      <c r="AI284" s="2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70"/>
      <c r="AX284" s="70"/>
      <c r="AY284" s="70"/>
      <c r="AZ284" s="70"/>
      <c r="BA284" s="70"/>
      <c r="BB284" s="70"/>
      <c r="BC284" s="70"/>
      <c r="BD284" s="70"/>
      <c r="BE284" s="70"/>
      <c r="BF284" s="70"/>
      <c r="BG284" s="70"/>
      <c r="BH284" s="70"/>
      <c r="BI284" s="70"/>
      <c r="BJ284" s="70"/>
      <c r="BK284" s="70"/>
      <c r="BL284" s="70"/>
      <c r="BM284" s="70"/>
      <c r="BN284" s="70"/>
      <c r="BO284" s="70"/>
      <c r="BP284" s="70"/>
      <c r="BQ284" s="70"/>
      <c r="BR284" s="70"/>
      <c r="BS284" s="70"/>
      <c r="BT284" s="70"/>
      <c r="BU284" s="70"/>
      <c r="BV284" s="70"/>
      <c r="BW284" s="70"/>
      <c r="BX284" s="70"/>
      <c r="BY284" s="70"/>
      <c r="BZ284" s="70"/>
      <c r="CA284" s="70"/>
      <c r="CB284" s="70"/>
      <c r="CC284" s="70"/>
      <c r="CD284" s="70"/>
      <c r="CE284" s="70"/>
      <c r="CF284" s="70"/>
      <c r="CG284" s="70"/>
      <c r="CH284" s="70"/>
      <c r="CI284" s="70"/>
      <c r="CJ284" s="70"/>
      <c r="CK284" s="70"/>
      <c r="CL284" s="2"/>
      <c r="CM284" s="2"/>
      <c r="CN284" s="70"/>
      <c r="CO284" s="70"/>
      <c r="CP284" s="70"/>
      <c r="CQ284" s="70"/>
      <c r="CR284" s="2"/>
      <c r="CS284" s="2"/>
      <c r="CT284" s="70"/>
      <c r="CU284" s="70"/>
      <c r="CV284" s="70"/>
      <c r="CW284" s="70"/>
    </row>
    <row r="285" spans="1:101" ht="15.75" customHeight="1" x14ac:dyDescent="0.2">
      <c r="A285" s="1"/>
      <c r="B285" s="2"/>
      <c r="C285" s="2"/>
      <c r="D285" s="2"/>
      <c r="E285" s="2"/>
      <c r="F285" s="2"/>
      <c r="G285" s="2"/>
      <c r="H285" s="2"/>
      <c r="I285" s="2"/>
      <c r="J285" s="3"/>
      <c r="K285" s="2"/>
      <c r="L285" s="2"/>
      <c r="M285" s="2"/>
      <c r="N285" s="2"/>
      <c r="O285" s="2"/>
      <c r="P285" s="2"/>
      <c r="Q285" s="69"/>
      <c r="R285" s="69"/>
      <c r="S285" s="70"/>
      <c r="T285" s="70"/>
      <c r="U285" s="2"/>
      <c r="V285" s="2"/>
      <c r="W285" s="2"/>
      <c r="X285" s="2"/>
      <c r="Y285" s="2"/>
      <c r="Z285" s="2"/>
      <c r="AA285" s="20"/>
      <c r="AB285" s="71"/>
      <c r="AC285" s="71"/>
      <c r="AD285" s="2"/>
      <c r="AE285" s="70"/>
      <c r="AF285" s="70"/>
      <c r="AG285" s="70"/>
      <c r="AH285" s="70"/>
      <c r="AI285" s="2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70"/>
      <c r="AX285" s="70"/>
      <c r="AY285" s="70"/>
      <c r="AZ285" s="70"/>
      <c r="BA285" s="70"/>
      <c r="BB285" s="70"/>
      <c r="BC285" s="70"/>
      <c r="BD285" s="70"/>
      <c r="BE285" s="70"/>
      <c r="BF285" s="70"/>
      <c r="BG285" s="70"/>
      <c r="BH285" s="70"/>
      <c r="BI285" s="70"/>
      <c r="BJ285" s="70"/>
      <c r="BK285" s="70"/>
      <c r="BL285" s="70"/>
      <c r="BM285" s="70"/>
      <c r="BN285" s="70"/>
      <c r="BO285" s="70"/>
      <c r="BP285" s="70"/>
      <c r="BQ285" s="70"/>
      <c r="BR285" s="70"/>
      <c r="BS285" s="70"/>
      <c r="BT285" s="70"/>
      <c r="BU285" s="70"/>
      <c r="BV285" s="70"/>
      <c r="BW285" s="70"/>
      <c r="BX285" s="70"/>
      <c r="BY285" s="70"/>
      <c r="BZ285" s="70"/>
      <c r="CA285" s="70"/>
      <c r="CB285" s="70"/>
      <c r="CC285" s="70"/>
      <c r="CD285" s="70"/>
      <c r="CE285" s="70"/>
      <c r="CF285" s="70"/>
      <c r="CG285" s="70"/>
      <c r="CH285" s="70"/>
      <c r="CI285" s="70"/>
      <c r="CJ285" s="70"/>
      <c r="CK285" s="70"/>
      <c r="CL285" s="2"/>
      <c r="CM285" s="2"/>
      <c r="CN285" s="70"/>
      <c r="CO285" s="70"/>
      <c r="CP285" s="70"/>
      <c r="CQ285" s="70"/>
      <c r="CR285" s="2"/>
      <c r="CS285" s="2"/>
      <c r="CT285" s="70"/>
      <c r="CU285" s="70"/>
      <c r="CV285" s="70"/>
      <c r="CW285" s="70"/>
    </row>
    <row r="286" spans="1:101" ht="15.75" customHeight="1" x14ac:dyDescent="0.2">
      <c r="A286" s="1"/>
      <c r="B286" s="2"/>
      <c r="C286" s="2"/>
      <c r="D286" s="2"/>
      <c r="E286" s="2"/>
      <c r="F286" s="2"/>
      <c r="G286" s="2"/>
      <c r="H286" s="2"/>
      <c r="I286" s="2"/>
      <c r="J286" s="3"/>
      <c r="K286" s="2"/>
      <c r="L286" s="2"/>
      <c r="M286" s="2"/>
      <c r="N286" s="2"/>
      <c r="O286" s="2"/>
      <c r="P286" s="2"/>
      <c r="Q286" s="69"/>
      <c r="R286" s="69"/>
      <c r="S286" s="70"/>
      <c r="T286" s="70"/>
      <c r="U286" s="2"/>
      <c r="V286" s="2"/>
      <c r="W286" s="2"/>
      <c r="X286" s="2"/>
      <c r="Y286" s="2"/>
      <c r="Z286" s="2"/>
      <c r="AA286" s="20"/>
      <c r="AB286" s="71"/>
      <c r="AC286" s="71"/>
      <c r="AD286" s="2"/>
      <c r="AE286" s="70"/>
      <c r="AF286" s="70"/>
      <c r="AG286" s="70"/>
      <c r="AH286" s="70"/>
      <c r="AI286" s="2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70"/>
      <c r="AX286" s="70"/>
      <c r="AY286" s="70"/>
      <c r="AZ286" s="70"/>
      <c r="BA286" s="70"/>
      <c r="BB286" s="70"/>
      <c r="BC286" s="70"/>
      <c r="BD286" s="70"/>
      <c r="BE286" s="70"/>
      <c r="BF286" s="70"/>
      <c r="BG286" s="70"/>
      <c r="BH286" s="70"/>
      <c r="BI286" s="70"/>
      <c r="BJ286" s="70"/>
      <c r="BK286" s="70"/>
      <c r="BL286" s="70"/>
      <c r="BM286" s="70"/>
      <c r="BN286" s="70"/>
      <c r="BO286" s="70"/>
      <c r="BP286" s="70"/>
      <c r="BQ286" s="70"/>
      <c r="BR286" s="70"/>
      <c r="BS286" s="70"/>
      <c r="BT286" s="70"/>
      <c r="BU286" s="70"/>
      <c r="BV286" s="70"/>
      <c r="BW286" s="70"/>
      <c r="BX286" s="70"/>
      <c r="BY286" s="70"/>
      <c r="BZ286" s="70"/>
      <c r="CA286" s="70"/>
      <c r="CB286" s="70"/>
      <c r="CC286" s="70"/>
      <c r="CD286" s="70"/>
      <c r="CE286" s="70"/>
      <c r="CF286" s="70"/>
      <c r="CG286" s="70"/>
      <c r="CH286" s="70"/>
      <c r="CI286" s="70"/>
      <c r="CJ286" s="70"/>
      <c r="CK286" s="70"/>
      <c r="CL286" s="2"/>
      <c r="CM286" s="2"/>
      <c r="CN286" s="70"/>
      <c r="CO286" s="70"/>
      <c r="CP286" s="70"/>
      <c r="CQ286" s="70"/>
      <c r="CR286" s="2"/>
      <c r="CS286" s="2"/>
      <c r="CT286" s="70"/>
      <c r="CU286" s="70"/>
      <c r="CV286" s="70"/>
      <c r="CW286" s="70"/>
    </row>
    <row r="287" spans="1:101" ht="15.75" customHeight="1" x14ac:dyDescent="0.2">
      <c r="A287" s="1"/>
      <c r="B287" s="2"/>
      <c r="C287" s="2"/>
      <c r="D287" s="2"/>
      <c r="E287" s="2"/>
      <c r="F287" s="2"/>
      <c r="G287" s="2"/>
      <c r="H287" s="2"/>
      <c r="I287" s="2"/>
      <c r="J287" s="3"/>
      <c r="K287" s="2"/>
      <c r="L287" s="2"/>
      <c r="M287" s="2"/>
      <c r="N287" s="2"/>
      <c r="O287" s="2"/>
      <c r="P287" s="2"/>
      <c r="Q287" s="69"/>
      <c r="R287" s="69"/>
      <c r="S287" s="70"/>
      <c r="T287" s="70"/>
      <c r="U287" s="2"/>
      <c r="V287" s="2"/>
      <c r="W287" s="2"/>
      <c r="X287" s="2"/>
      <c r="Y287" s="2"/>
      <c r="Z287" s="2"/>
      <c r="AA287" s="20"/>
      <c r="AB287" s="71"/>
      <c r="AC287" s="71"/>
      <c r="AD287" s="2"/>
      <c r="AE287" s="70"/>
      <c r="AF287" s="70"/>
      <c r="AG287" s="70"/>
      <c r="AH287" s="70"/>
      <c r="AI287" s="2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70"/>
      <c r="AX287" s="70"/>
      <c r="AY287" s="70"/>
      <c r="AZ287" s="70"/>
      <c r="BA287" s="70"/>
      <c r="BB287" s="70"/>
      <c r="BC287" s="70"/>
      <c r="BD287" s="70"/>
      <c r="BE287" s="70"/>
      <c r="BF287" s="70"/>
      <c r="BG287" s="70"/>
      <c r="BH287" s="70"/>
      <c r="BI287" s="70"/>
      <c r="BJ287" s="70"/>
      <c r="BK287" s="70"/>
      <c r="BL287" s="70"/>
      <c r="BM287" s="70"/>
      <c r="BN287" s="70"/>
      <c r="BO287" s="70"/>
      <c r="BP287" s="70"/>
      <c r="BQ287" s="70"/>
      <c r="BR287" s="70"/>
      <c r="BS287" s="70"/>
      <c r="BT287" s="70"/>
      <c r="BU287" s="70"/>
      <c r="BV287" s="70"/>
      <c r="BW287" s="70"/>
      <c r="BX287" s="70"/>
      <c r="BY287" s="70"/>
      <c r="BZ287" s="70"/>
      <c r="CA287" s="70"/>
      <c r="CB287" s="70"/>
      <c r="CC287" s="70"/>
      <c r="CD287" s="70"/>
      <c r="CE287" s="70"/>
      <c r="CF287" s="70"/>
      <c r="CG287" s="70"/>
      <c r="CH287" s="70"/>
      <c r="CI287" s="70"/>
      <c r="CJ287" s="70"/>
      <c r="CK287" s="70"/>
      <c r="CL287" s="2"/>
      <c r="CM287" s="2"/>
      <c r="CN287" s="70"/>
      <c r="CO287" s="70"/>
      <c r="CP287" s="70"/>
      <c r="CQ287" s="70"/>
      <c r="CR287" s="2"/>
      <c r="CS287" s="2"/>
      <c r="CT287" s="70"/>
      <c r="CU287" s="70"/>
      <c r="CV287" s="70"/>
      <c r="CW287" s="70"/>
    </row>
    <row r="288" spans="1:101" ht="15.75" customHeight="1" x14ac:dyDescent="0.2">
      <c r="A288" s="1"/>
      <c r="B288" s="2"/>
      <c r="C288" s="2"/>
      <c r="D288" s="2"/>
      <c r="E288" s="2"/>
      <c r="F288" s="2"/>
      <c r="G288" s="2"/>
      <c r="H288" s="2"/>
      <c r="I288" s="2"/>
      <c r="J288" s="3"/>
      <c r="K288" s="2"/>
      <c r="L288" s="2"/>
      <c r="M288" s="2"/>
      <c r="N288" s="2"/>
      <c r="O288" s="2"/>
      <c r="P288" s="2"/>
      <c r="Q288" s="69"/>
      <c r="R288" s="69"/>
      <c r="S288" s="70"/>
      <c r="T288" s="70"/>
      <c r="U288" s="2"/>
      <c r="V288" s="2"/>
      <c r="W288" s="2"/>
      <c r="X288" s="2"/>
      <c r="Y288" s="2"/>
      <c r="Z288" s="2"/>
      <c r="AA288" s="20"/>
      <c r="AB288" s="71"/>
      <c r="AC288" s="71"/>
      <c r="AD288" s="2"/>
      <c r="AE288" s="70"/>
      <c r="AF288" s="70"/>
      <c r="AG288" s="70"/>
      <c r="AH288" s="70"/>
      <c r="AI288" s="2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70"/>
      <c r="AX288" s="70"/>
      <c r="AY288" s="70"/>
      <c r="AZ288" s="70"/>
      <c r="BA288" s="70"/>
      <c r="BB288" s="70"/>
      <c r="BC288" s="70"/>
      <c r="BD288" s="70"/>
      <c r="BE288" s="70"/>
      <c r="BF288" s="70"/>
      <c r="BG288" s="70"/>
      <c r="BH288" s="70"/>
      <c r="BI288" s="70"/>
      <c r="BJ288" s="70"/>
      <c r="BK288" s="70"/>
      <c r="BL288" s="70"/>
      <c r="BM288" s="70"/>
      <c r="BN288" s="70"/>
      <c r="BO288" s="70"/>
      <c r="BP288" s="70"/>
      <c r="BQ288" s="70"/>
      <c r="BR288" s="70"/>
      <c r="BS288" s="70"/>
      <c r="BT288" s="70"/>
      <c r="BU288" s="70"/>
      <c r="BV288" s="70"/>
      <c r="BW288" s="70"/>
      <c r="BX288" s="70"/>
      <c r="BY288" s="70"/>
      <c r="BZ288" s="70"/>
      <c r="CA288" s="70"/>
      <c r="CB288" s="70"/>
      <c r="CC288" s="70"/>
      <c r="CD288" s="70"/>
      <c r="CE288" s="70"/>
      <c r="CF288" s="70"/>
      <c r="CG288" s="70"/>
      <c r="CH288" s="70"/>
      <c r="CI288" s="70"/>
      <c r="CJ288" s="70"/>
      <c r="CK288" s="70"/>
      <c r="CL288" s="2"/>
      <c r="CM288" s="2"/>
      <c r="CN288" s="70"/>
      <c r="CO288" s="70"/>
      <c r="CP288" s="70"/>
      <c r="CQ288" s="70"/>
      <c r="CR288" s="2"/>
      <c r="CS288" s="2"/>
      <c r="CT288" s="70"/>
      <c r="CU288" s="70"/>
      <c r="CV288" s="70"/>
      <c r="CW288" s="70"/>
    </row>
    <row r="289" spans="1:101" ht="15.75" customHeight="1" x14ac:dyDescent="0.2">
      <c r="A289" s="1"/>
      <c r="B289" s="2"/>
      <c r="C289" s="2"/>
      <c r="D289" s="2"/>
      <c r="E289" s="2"/>
      <c r="F289" s="2"/>
      <c r="G289" s="2"/>
      <c r="H289" s="2"/>
      <c r="I289" s="2"/>
      <c r="J289" s="3"/>
      <c r="K289" s="2"/>
      <c r="L289" s="2"/>
      <c r="M289" s="2"/>
      <c r="N289" s="2"/>
      <c r="O289" s="2"/>
      <c r="P289" s="2"/>
      <c r="Q289" s="69"/>
      <c r="R289" s="69"/>
      <c r="S289" s="70"/>
      <c r="T289" s="70"/>
      <c r="U289" s="2"/>
      <c r="V289" s="2"/>
      <c r="W289" s="2"/>
      <c r="X289" s="2"/>
      <c r="Y289" s="2"/>
      <c r="Z289" s="2"/>
      <c r="AA289" s="20"/>
      <c r="AB289" s="71"/>
      <c r="AC289" s="71"/>
      <c r="AD289" s="2"/>
      <c r="AE289" s="70"/>
      <c r="AF289" s="70"/>
      <c r="AG289" s="70"/>
      <c r="AH289" s="70"/>
      <c r="AI289" s="2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70"/>
      <c r="AX289" s="70"/>
      <c r="AY289" s="70"/>
      <c r="AZ289" s="70"/>
      <c r="BA289" s="70"/>
      <c r="BB289" s="70"/>
      <c r="BC289" s="70"/>
      <c r="BD289" s="70"/>
      <c r="BE289" s="70"/>
      <c r="BF289" s="70"/>
      <c r="BG289" s="70"/>
      <c r="BH289" s="70"/>
      <c r="BI289" s="70"/>
      <c r="BJ289" s="70"/>
      <c r="BK289" s="70"/>
      <c r="BL289" s="70"/>
      <c r="BM289" s="70"/>
      <c r="BN289" s="70"/>
      <c r="BO289" s="70"/>
      <c r="BP289" s="70"/>
      <c r="BQ289" s="70"/>
      <c r="BR289" s="70"/>
      <c r="BS289" s="70"/>
      <c r="BT289" s="70"/>
      <c r="BU289" s="70"/>
      <c r="BV289" s="70"/>
      <c r="BW289" s="70"/>
      <c r="BX289" s="70"/>
      <c r="BY289" s="70"/>
      <c r="BZ289" s="70"/>
      <c r="CA289" s="70"/>
      <c r="CB289" s="70"/>
      <c r="CC289" s="70"/>
      <c r="CD289" s="70"/>
      <c r="CE289" s="70"/>
      <c r="CF289" s="70"/>
      <c r="CG289" s="70"/>
      <c r="CH289" s="70"/>
      <c r="CI289" s="70"/>
      <c r="CJ289" s="70"/>
      <c r="CK289" s="70"/>
      <c r="CL289" s="2"/>
      <c r="CM289" s="2"/>
      <c r="CN289" s="70"/>
      <c r="CO289" s="70"/>
      <c r="CP289" s="70"/>
      <c r="CQ289" s="70"/>
      <c r="CR289" s="2"/>
      <c r="CS289" s="2"/>
      <c r="CT289" s="70"/>
      <c r="CU289" s="70"/>
      <c r="CV289" s="70"/>
      <c r="CW289" s="70"/>
    </row>
    <row r="290" spans="1:101" ht="15.75" customHeight="1" x14ac:dyDescent="0.2">
      <c r="A290" s="1"/>
      <c r="B290" s="2"/>
      <c r="C290" s="2"/>
      <c r="D290" s="2"/>
      <c r="E290" s="2"/>
      <c r="F290" s="2"/>
      <c r="G290" s="2"/>
      <c r="H290" s="2"/>
      <c r="I290" s="2"/>
      <c r="J290" s="3"/>
      <c r="K290" s="2"/>
      <c r="L290" s="2"/>
      <c r="M290" s="2"/>
      <c r="N290" s="2"/>
      <c r="O290" s="2"/>
      <c r="P290" s="2"/>
      <c r="Q290" s="69"/>
      <c r="R290" s="69"/>
      <c r="S290" s="70"/>
      <c r="T290" s="70"/>
      <c r="U290" s="2"/>
      <c r="V290" s="2"/>
      <c r="W290" s="2"/>
      <c r="X290" s="2"/>
      <c r="Y290" s="2"/>
      <c r="Z290" s="2"/>
      <c r="AA290" s="20"/>
      <c r="AB290" s="71"/>
      <c r="AC290" s="71"/>
      <c r="AD290" s="2"/>
      <c r="AE290" s="70"/>
      <c r="AF290" s="70"/>
      <c r="AG290" s="70"/>
      <c r="AH290" s="70"/>
      <c r="AI290" s="2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 s="70"/>
      <c r="AX290" s="70"/>
      <c r="AY290" s="70"/>
      <c r="AZ290" s="70"/>
      <c r="BA290" s="70"/>
      <c r="BB290" s="70"/>
      <c r="BC290" s="70"/>
      <c r="BD290" s="70"/>
      <c r="BE290" s="70"/>
      <c r="BF290" s="70"/>
      <c r="BG290" s="70"/>
      <c r="BH290" s="70"/>
      <c r="BI290" s="70"/>
      <c r="BJ290" s="70"/>
      <c r="BK290" s="70"/>
      <c r="BL290" s="70"/>
      <c r="BM290" s="70"/>
      <c r="BN290" s="70"/>
      <c r="BO290" s="70"/>
      <c r="BP290" s="70"/>
      <c r="BQ290" s="70"/>
      <c r="BR290" s="70"/>
      <c r="BS290" s="70"/>
      <c r="BT290" s="70"/>
      <c r="BU290" s="70"/>
      <c r="BV290" s="70"/>
      <c r="BW290" s="70"/>
      <c r="BX290" s="70"/>
      <c r="BY290" s="70"/>
      <c r="BZ290" s="70"/>
      <c r="CA290" s="70"/>
      <c r="CB290" s="70"/>
      <c r="CC290" s="70"/>
      <c r="CD290" s="70"/>
      <c r="CE290" s="70"/>
      <c r="CF290" s="70"/>
      <c r="CG290" s="70"/>
      <c r="CH290" s="70"/>
      <c r="CI290" s="70"/>
      <c r="CJ290" s="70"/>
      <c r="CK290" s="70"/>
      <c r="CL290" s="2"/>
      <c r="CM290" s="2"/>
      <c r="CN290" s="70"/>
      <c r="CO290" s="70"/>
      <c r="CP290" s="70"/>
      <c r="CQ290" s="70"/>
      <c r="CR290" s="2"/>
      <c r="CS290" s="2"/>
      <c r="CT290" s="70"/>
      <c r="CU290" s="70"/>
      <c r="CV290" s="70"/>
      <c r="CW290" s="70"/>
    </row>
    <row r="291" spans="1:101" ht="15.75" customHeight="1" x14ac:dyDescent="0.2">
      <c r="A291" s="1"/>
      <c r="B291" s="2"/>
      <c r="C291" s="2"/>
      <c r="D291" s="2"/>
      <c r="E291" s="2"/>
      <c r="F291" s="2"/>
      <c r="G291" s="2"/>
      <c r="H291" s="2"/>
      <c r="I291" s="2"/>
      <c r="J291" s="3"/>
      <c r="K291" s="2"/>
      <c r="L291" s="2"/>
      <c r="M291" s="2"/>
      <c r="N291" s="2"/>
      <c r="O291" s="2"/>
      <c r="P291" s="2"/>
      <c r="Q291" s="69"/>
      <c r="R291" s="69"/>
      <c r="S291" s="70"/>
      <c r="T291" s="70"/>
      <c r="U291" s="2"/>
      <c r="V291" s="2"/>
      <c r="W291" s="2"/>
      <c r="X291" s="2"/>
      <c r="Y291" s="2"/>
      <c r="Z291" s="2"/>
      <c r="AA291" s="20"/>
      <c r="AB291" s="71"/>
      <c r="AC291" s="71"/>
      <c r="AD291" s="2"/>
      <c r="AE291" s="70"/>
      <c r="AF291" s="70"/>
      <c r="AG291" s="70"/>
      <c r="AH291" s="70"/>
      <c r="AI291" s="2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 s="70"/>
      <c r="AX291" s="70"/>
      <c r="AY291" s="70"/>
      <c r="AZ291" s="70"/>
      <c r="BA291" s="70"/>
      <c r="BB291" s="70"/>
      <c r="BC291" s="70"/>
      <c r="BD291" s="70"/>
      <c r="BE291" s="70"/>
      <c r="BF291" s="70"/>
      <c r="BG291" s="70"/>
      <c r="BH291" s="70"/>
      <c r="BI291" s="70"/>
      <c r="BJ291" s="70"/>
      <c r="BK291" s="70"/>
      <c r="BL291" s="70"/>
      <c r="BM291" s="70"/>
      <c r="BN291" s="70"/>
      <c r="BO291" s="70"/>
      <c r="BP291" s="70"/>
      <c r="BQ291" s="70"/>
      <c r="BR291" s="70"/>
      <c r="BS291" s="70"/>
      <c r="BT291" s="70"/>
      <c r="BU291" s="70"/>
      <c r="BV291" s="70"/>
      <c r="BW291" s="70"/>
      <c r="BX291" s="70"/>
      <c r="BY291" s="70"/>
      <c r="BZ291" s="70"/>
      <c r="CA291" s="70"/>
      <c r="CB291" s="70"/>
      <c r="CC291" s="70"/>
      <c r="CD291" s="70"/>
      <c r="CE291" s="70"/>
      <c r="CF291" s="70"/>
      <c r="CG291" s="70"/>
      <c r="CH291" s="70"/>
      <c r="CI291" s="70"/>
      <c r="CJ291" s="70"/>
      <c r="CK291" s="70"/>
      <c r="CL291" s="2"/>
      <c r="CM291" s="2"/>
      <c r="CN291" s="70"/>
      <c r="CO291" s="70"/>
      <c r="CP291" s="70"/>
      <c r="CQ291" s="70"/>
      <c r="CR291" s="2"/>
      <c r="CS291" s="2"/>
      <c r="CT291" s="70"/>
      <c r="CU291" s="70"/>
      <c r="CV291" s="70"/>
      <c r="CW291" s="70"/>
    </row>
    <row r="292" spans="1:101" ht="15.75" customHeight="1" x14ac:dyDescent="0.2">
      <c r="A292" s="1"/>
      <c r="B292" s="2"/>
      <c r="C292" s="2"/>
      <c r="D292" s="2"/>
      <c r="E292" s="2"/>
      <c r="F292" s="2"/>
      <c r="G292" s="2"/>
      <c r="H292" s="2"/>
      <c r="I292" s="2"/>
      <c r="J292" s="3"/>
      <c r="K292" s="2"/>
      <c r="L292" s="2"/>
      <c r="M292" s="2"/>
      <c r="N292" s="2"/>
      <c r="O292" s="2"/>
      <c r="P292" s="2"/>
      <c r="Q292" s="69"/>
      <c r="R292" s="69"/>
      <c r="S292" s="70"/>
      <c r="T292" s="70"/>
      <c r="U292" s="2"/>
      <c r="V292" s="2"/>
      <c r="W292" s="2"/>
      <c r="X292" s="2"/>
      <c r="Y292" s="2"/>
      <c r="Z292" s="2"/>
      <c r="AA292" s="20"/>
      <c r="AB292" s="71"/>
      <c r="AC292" s="71"/>
      <c r="AD292" s="2"/>
      <c r="AE292" s="70"/>
      <c r="AF292" s="70"/>
      <c r="AG292" s="70"/>
      <c r="AH292" s="70"/>
      <c r="AI292" s="2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 s="70"/>
      <c r="AX292" s="70"/>
      <c r="AY292" s="70"/>
      <c r="AZ292" s="70"/>
      <c r="BA292" s="70"/>
      <c r="BB292" s="70"/>
      <c r="BC292" s="70"/>
      <c r="BD292" s="70"/>
      <c r="BE292" s="70"/>
      <c r="BF292" s="70"/>
      <c r="BG292" s="70"/>
      <c r="BH292" s="70"/>
      <c r="BI292" s="70"/>
      <c r="BJ292" s="70"/>
      <c r="BK292" s="70"/>
      <c r="BL292" s="70"/>
      <c r="BM292" s="70"/>
      <c r="BN292" s="70"/>
      <c r="BO292" s="70"/>
      <c r="BP292" s="70"/>
      <c r="BQ292" s="70"/>
      <c r="BR292" s="70"/>
      <c r="BS292" s="70"/>
      <c r="BT292" s="70"/>
      <c r="BU292" s="70"/>
      <c r="BV292" s="70"/>
      <c r="BW292" s="70"/>
      <c r="BX292" s="70"/>
      <c r="BY292" s="70"/>
      <c r="BZ292" s="70"/>
      <c r="CA292" s="70"/>
      <c r="CB292" s="70"/>
      <c r="CC292" s="70"/>
      <c r="CD292" s="70"/>
      <c r="CE292" s="70"/>
      <c r="CF292" s="70"/>
      <c r="CG292" s="70"/>
      <c r="CH292" s="70"/>
      <c r="CI292" s="70"/>
      <c r="CJ292" s="70"/>
      <c r="CK292" s="70"/>
      <c r="CL292" s="2"/>
      <c r="CM292" s="2"/>
      <c r="CN292" s="70"/>
      <c r="CO292" s="70"/>
      <c r="CP292" s="70"/>
      <c r="CQ292" s="70"/>
      <c r="CR292" s="2"/>
      <c r="CS292" s="2"/>
      <c r="CT292" s="70"/>
      <c r="CU292" s="70"/>
      <c r="CV292" s="70"/>
      <c r="CW292" s="70"/>
    </row>
    <row r="293" spans="1:101" ht="15.75" customHeight="1" x14ac:dyDescent="0.2">
      <c r="A293" s="1"/>
      <c r="B293" s="2"/>
      <c r="C293" s="2"/>
      <c r="D293" s="2"/>
      <c r="E293" s="2"/>
      <c r="F293" s="2"/>
      <c r="G293" s="2"/>
      <c r="H293" s="2"/>
      <c r="I293" s="2"/>
      <c r="J293" s="3"/>
      <c r="K293" s="2"/>
      <c r="L293" s="2"/>
      <c r="M293" s="2"/>
      <c r="N293" s="2"/>
      <c r="O293" s="2"/>
      <c r="P293" s="2"/>
      <c r="Q293" s="69"/>
      <c r="R293" s="69"/>
      <c r="S293" s="70"/>
      <c r="T293" s="70"/>
      <c r="U293" s="2"/>
      <c r="V293" s="2"/>
      <c r="W293" s="2"/>
      <c r="X293" s="2"/>
      <c r="Y293" s="2"/>
      <c r="Z293" s="2"/>
      <c r="AA293" s="20"/>
      <c r="AB293" s="71"/>
      <c r="AC293" s="71"/>
      <c r="AD293" s="2"/>
      <c r="AE293" s="70"/>
      <c r="AF293" s="70"/>
      <c r="AG293" s="70"/>
      <c r="AH293" s="70"/>
      <c r="AI293" s="2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 s="70"/>
      <c r="AX293" s="70"/>
      <c r="AY293" s="70"/>
      <c r="AZ293" s="70"/>
      <c r="BA293" s="70"/>
      <c r="BB293" s="70"/>
      <c r="BC293" s="70"/>
      <c r="BD293" s="70"/>
      <c r="BE293" s="70"/>
      <c r="BF293" s="70"/>
      <c r="BG293" s="70"/>
      <c r="BH293" s="70"/>
      <c r="BI293" s="70"/>
      <c r="BJ293" s="70"/>
      <c r="BK293" s="70"/>
      <c r="BL293" s="70"/>
      <c r="BM293" s="70"/>
      <c r="BN293" s="70"/>
      <c r="BO293" s="70"/>
      <c r="BP293" s="70"/>
      <c r="BQ293" s="70"/>
      <c r="BR293" s="70"/>
      <c r="BS293" s="70"/>
      <c r="BT293" s="70"/>
      <c r="BU293" s="70"/>
      <c r="BV293" s="70"/>
      <c r="BW293" s="70"/>
      <c r="BX293" s="70"/>
      <c r="BY293" s="70"/>
      <c r="BZ293" s="70"/>
      <c r="CA293" s="70"/>
      <c r="CB293" s="70"/>
      <c r="CC293" s="70"/>
      <c r="CD293" s="70"/>
      <c r="CE293" s="70"/>
      <c r="CF293" s="70"/>
      <c r="CG293" s="70"/>
      <c r="CH293" s="70"/>
      <c r="CI293" s="70"/>
      <c r="CJ293" s="70"/>
      <c r="CK293" s="70"/>
      <c r="CL293" s="2"/>
      <c r="CM293" s="2"/>
      <c r="CN293" s="70"/>
      <c r="CO293" s="70"/>
      <c r="CP293" s="70"/>
      <c r="CQ293" s="70"/>
      <c r="CR293" s="2"/>
      <c r="CS293" s="2"/>
      <c r="CT293" s="70"/>
      <c r="CU293" s="70"/>
      <c r="CV293" s="70"/>
      <c r="CW293" s="70"/>
    </row>
    <row r="294" spans="1:101" ht="15.75" customHeight="1" x14ac:dyDescent="0.2">
      <c r="A294" s="1"/>
      <c r="B294" s="2"/>
      <c r="C294" s="2"/>
      <c r="D294" s="2"/>
      <c r="E294" s="2"/>
      <c r="F294" s="2"/>
      <c r="G294" s="2"/>
      <c r="H294" s="2"/>
      <c r="I294" s="2"/>
      <c r="J294" s="3"/>
      <c r="K294" s="2"/>
      <c r="L294" s="2"/>
      <c r="M294" s="2"/>
      <c r="N294" s="2"/>
      <c r="O294" s="2"/>
      <c r="P294" s="2"/>
      <c r="Q294" s="69"/>
      <c r="R294" s="69"/>
      <c r="S294" s="70"/>
      <c r="T294" s="70"/>
      <c r="U294" s="2"/>
      <c r="V294" s="2"/>
      <c r="W294" s="2"/>
      <c r="X294" s="2"/>
      <c r="Y294" s="2"/>
      <c r="Z294" s="2"/>
      <c r="AA294" s="20"/>
      <c r="AB294" s="71"/>
      <c r="AC294" s="71"/>
      <c r="AD294" s="2"/>
      <c r="AE294" s="70"/>
      <c r="AF294" s="70"/>
      <c r="AG294" s="70"/>
      <c r="AH294" s="70"/>
      <c r="AI294" s="2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 s="70"/>
      <c r="AX294" s="70"/>
      <c r="AY294" s="70"/>
      <c r="AZ294" s="70"/>
      <c r="BA294" s="70"/>
      <c r="BB294" s="70"/>
      <c r="BC294" s="70"/>
      <c r="BD294" s="70"/>
      <c r="BE294" s="70"/>
      <c r="BF294" s="70"/>
      <c r="BG294" s="70"/>
      <c r="BH294" s="70"/>
      <c r="BI294" s="70"/>
      <c r="BJ294" s="70"/>
      <c r="BK294" s="70"/>
      <c r="BL294" s="70"/>
      <c r="BM294" s="70"/>
      <c r="BN294" s="70"/>
      <c r="BO294" s="70"/>
      <c r="BP294" s="70"/>
      <c r="BQ294" s="70"/>
      <c r="BR294" s="70"/>
      <c r="BS294" s="70"/>
      <c r="BT294" s="70"/>
      <c r="BU294" s="70"/>
      <c r="BV294" s="70"/>
      <c r="BW294" s="70"/>
      <c r="BX294" s="70"/>
      <c r="BY294" s="70"/>
      <c r="BZ294" s="70"/>
      <c r="CA294" s="70"/>
      <c r="CB294" s="70"/>
      <c r="CC294" s="70"/>
      <c r="CD294" s="70"/>
      <c r="CE294" s="70"/>
      <c r="CF294" s="70"/>
      <c r="CG294" s="70"/>
      <c r="CH294" s="70"/>
      <c r="CI294" s="70"/>
      <c r="CJ294" s="70"/>
      <c r="CK294" s="70"/>
      <c r="CL294" s="2"/>
      <c r="CM294" s="2"/>
      <c r="CN294" s="70"/>
      <c r="CO294" s="70"/>
      <c r="CP294" s="70"/>
      <c r="CQ294" s="70"/>
      <c r="CR294" s="2"/>
      <c r="CS294" s="2"/>
      <c r="CT294" s="70"/>
      <c r="CU294" s="70"/>
      <c r="CV294" s="70"/>
      <c r="CW294" s="70"/>
    </row>
    <row r="295" spans="1:101" ht="15.75" customHeight="1" x14ac:dyDescent="0.2">
      <c r="A295" s="1"/>
      <c r="B295" s="2"/>
      <c r="C295" s="2"/>
      <c r="D295" s="2"/>
      <c r="E295" s="2"/>
      <c r="F295" s="2"/>
      <c r="G295" s="2"/>
      <c r="H295" s="2"/>
      <c r="I295" s="2"/>
      <c r="J295" s="3"/>
      <c r="K295" s="2"/>
      <c r="L295" s="2"/>
      <c r="M295" s="2"/>
      <c r="N295" s="2"/>
      <c r="O295" s="2"/>
      <c r="P295" s="2"/>
      <c r="Q295" s="69"/>
      <c r="R295" s="69"/>
      <c r="S295" s="70"/>
      <c r="T295" s="70"/>
      <c r="U295" s="2"/>
      <c r="V295" s="2"/>
      <c r="W295" s="2"/>
      <c r="X295" s="2"/>
      <c r="Y295" s="2"/>
      <c r="Z295" s="2"/>
      <c r="AA295" s="20"/>
      <c r="AB295" s="71"/>
      <c r="AC295" s="71"/>
      <c r="AD295" s="2"/>
      <c r="AE295" s="70"/>
      <c r="AF295" s="70"/>
      <c r="AG295" s="70"/>
      <c r="AH295" s="70"/>
      <c r="AI295" s="2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70"/>
      <c r="AX295" s="70"/>
      <c r="AY295" s="70"/>
      <c r="AZ295" s="70"/>
      <c r="BA295" s="70"/>
      <c r="BB295" s="70"/>
      <c r="BC295" s="70"/>
      <c r="BD295" s="70"/>
      <c r="BE295" s="70"/>
      <c r="BF295" s="70"/>
      <c r="BG295" s="70"/>
      <c r="BH295" s="70"/>
      <c r="BI295" s="70"/>
      <c r="BJ295" s="70"/>
      <c r="BK295" s="70"/>
      <c r="BL295" s="70"/>
      <c r="BM295" s="70"/>
      <c r="BN295" s="70"/>
      <c r="BO295" s="70"/>
      <c r="BP295" s="70"/>
      <c r="BQ295" s="70"/>
      <c r="BR295" s="70"/>
      <c r="BS295" s="70"/>
      <c r="BT295" s="70"/>
      <c r="BU295" s="70"/>
      <c r="BV295" s="70"/>
      <c r="BW295" s="70"/>
      <c r="BX295" s="70"/>
      <c r="BY295" s="70"/>
      <c r="BZ295" s="70"/>
      <c r="CA295" s="70"/>
      <c r="CB295" s="70"/>
      <c r="CC295" s="70"/>
      <c r="CD295" s="70"/>
      <c r="CE295" s="70"/>
      <c r="CF295" s="70"/>
      <c r="CG295" s="70"/>
      <c r="CH295" s="70"/>
      <c r="CI295" s="70"/>
      <c r="CJ295" s="70"/>
      <c r="CK295" s="70"/>
      <c r="CL295" s="2"/>
      <c r="CM295" s="2"/>
      <c r="CN295" s="70"/>
      <c r="CO295" s="70"/>
      <c r="CP295" s="70"/>
      <c r="CQ295" s="70"/>
      <c r="CR295" s="2"/>
      <c r="CS295" s="2"/>
      <c r="CT295" s="70"/>
      <c r="CU295" s="70"/>
      <c r="CV295" s="70"/>
      <c r="CW295" s="70"/>
    </row>
    <row r="296" spans="1:101" ht="15.75" customHeight="1" x14ac:dyDescent="0.2">
      <c r="A296" s="1"/>
      <c r="B296" s="2"/>
      <c r="C296" s="2"/>
      <c r="D296" s="2"/>
      <c r="E296" s="2"/>
      <c r="F296" s="2"/>
      <c r="G296" s="2"/>
      <c r="H296" s="2"/>
      <c r="I296" s="2"/>
      <c r="J296" s="3"/>
      <c r="K296" s="2"/>
      <c r="L296" s="2"/>
      <c r="M296" s="2"/>
      <c r="N296" s="2"/>
      <c r="O296" s="2"/>
      <c r="P296" s="2"/>
      <c r="Q296" s="69"/>
      <c r="R296" s="69"/>
      <c r="S296" s="70"/>
      <c r="T296" s="70"/>
      <c r="U296" s="2"/>
      <c r="V296" s="2"/>
      <c r="W296" s="2"/>
      <c r="X296" s="2"/>
      <c r="Y296" s="2"/>
      <c r="Z296" s="2"/>
      <c r="AA296" s="20"/>
      <c r="AB296" s="71"/>
      <c r="AC296" s="71"/>
      <c r="AD296" s="2"/>
      <c r="AE296" s="70"/>
      <c r="AF296" s="70"/>
      <c r="AG296" s="70"/>
      <c r="AH296" s="70"/>
      <c r="AI296" s="2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70"/>
      <c r="AX296" s="70"/>
      <c r="AY296" s="70"/>
      <c r="AZ296" s="70"/>
      <c r="BA296" s="70"/>
      <c r="BB296" s="70"/>
      <c r="BC296" s="70"/>
      <c r="BD296" s="70"/>
      <c r="BE296" s="70"/>
      <c r="BF296" s="70"/>
      <c r="BG296" s="70"/>
      <c r="BH296" s="70"/>
      <c r="BI296" s="70"/>
      <c r="BJ296" s="70"/>
      <c r="BK296" s="70"/>
      <c r="BL296" s="70"/>
      <c r="BM296" s="70"/>
      <c r="BN296" s="70"/>
      <c r="BO296" s="70"/>
      <c r="BP296" s="70"/>
      <c r="BQ296" s="70"/>
      <c r="BR296" s="70"/>
      <c r="BS296" s="70"/>
      <c r="BT296" s="70"/>
      <c r="BU296" s="70"/>
      <c r="BV296" s="70"/>
      <c r="BW296" s="70"/>
      <c r="BX296" s="70"/>
      <c r="BY296" s="70"/>
      <c r="BZ296" s="70"/>
      <c r="CA296" s="70"/>
      <c r="CB296" s="70"/>
      <c r="CC296" s="70"/>
      <c r="CD296" s="70"/>
      <c r="CE296" s="70"/>
      <c r="CF296" s="70"/>
      <c r="CG296" s="70"/>
      <c r="CH296" s="70"/>
      <c r="CI296" s="70"/>
      <c r="CJ296" s="70"/>
      <c r="CK296" s="70"/>
      <c r="CL296" s="2"/>
      <c r="CM296" s="2"/>
      <c r="CN296" s="70"/>
      <c r="CO296" s="70"/>
      <c r="CP296" s="70"/>
      <c r="CQ296" s="70"/>
      <c r="CR296" s="2"/>
      <c r="CS296" s="2"/>
      <c r="CT296" s="70"/>
      <c r="CU296" s="70"/>
      <c r="CV296" s="70"/>
      <c r="CW296" s="70"/>
    </row>
    <row r="297" spans="1:101" ht="15.75" customHeight="1" x14ac:dyDescent="0.2">
      <c r="A297" s="1"/>
      <c r="B297" s="2"/>
      <c r="C297" s="2"/>
      <c r="D297" s="2"/>
      <c r="E297" s="2"/>
      <c r="F297" s="2"/>
      <c r="G297" s="2"/>
      <c r="H297" s="2"/>
      <c r="I297" s="2"/>
      <c r="J297" s="3"/>
      <c r="K297" s="2"/>
      <c r="L297" s="2"/>
      <c r="M297" s="2"/>
      <c r="N297" s="2"/>
      <c r="O297" s="2"/>
      <c r="P297" s="2"/>
      <c r="Q297" s="69"/>
      <c r="R297" s="69"/>
      <c r="S297" s="70"/>
      <c r="T297" s="70"/>
      <c r="U297" s="2"/>
      <c r="V297" s="2"/>
      <c r="W297" s="2"/>
      <c r="X297" s="2"/>
      <c r="Y297" s="2"/>
      <c r="Z297" s="2"/>
      <c r="AA297" s="20"/>
      <c r="AB297" s="71"/>
      <c r="AC297" s="71"/>
      <c r="AD297" s="2"/>
      <c r="AE297" s="70"/>
      <c r="AF297" s="70"/>
      <c r="AG297" s="70"/>
      <c r="AH297" s="70"/>
      <c r="AI297" s="2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 s="70"/>
      <c r="AX297" s="70"/>
      <c r="AY297" s="70"/>
      <c r="AZ297" s="70"/>
      <c r="BA297" s="70"/>
      <c r="BB297" s="70"/>
      <c r="BC297" s="70"/>
      <c r="BD297" s="70"/>
      <c r="BE297" s="70"/>
      <c r="BF297" s="70"/>
      <c r="BG297" s="70"/>
      <c r="BH297" s="70"/>
      <c r="BI297" s="70"/>
      <c r="BJ297" s="70"/>
      <c r="BK297" s="70"/>
      <c r="BL297" s="70"/>
      <c r="BM297" s="70"/>
      <c r="BN297" s="70"/>
      <c r="BO297" s="70"/>
      <c r="BP297" s="70"/>
      <c r="BQ297" s="70"/>
      <c r="BR297" s="70"/>
      <c r="BS297" s="70"/>
      <c r="BT297" s="70"/>
      <c r="BU297" s="70"/>
      <c r="BV297" s="70"/>
      <c r="BW297" s="70"/>
      <c r="BX297" s="70"/>
      <c r="BY297" s="70"/>
      <c r="BZ297" s="70"/>
      <c r="CA297" s="70"/>
      <c r="CB297" s="70"/>
      <c r="CC297" s="70"/>
      <c r="CD297" s="70"/>
      <c r="CE297" s="70"/>
      <c r="CF297" s="70"/>
      <c r="CG297" s="70"/>
      <c r="CH297" s="70"/>
      <c r="CI297" s="70"/>
      <c r="CJ297" s="70"/>
      <c r="CK297" s="70"/>
      <c r="CL297" s="2"/>
      <c r="CM297" s="2"/>
      <c r="CN297" s="70"/>
      <c r="CO297" s="70"/>
      <c r="CP297" s="70"/>
      <c r="CQ297" s="70"/>
      <c r="CR297" s="2"/>
      <c r="CS297" s="2"/>
      <c r="CT297" s="70"/>
      <c r="CU297" s="70"/>
      <c r="CV297" s="70"/>
      <c r="CW297" s="70"/>
    </row>
    <row r="298" spans="1:101" ht="15.75" customHeight="1" x14ac:dyDescent="0.2">
      <c r="A298" s="1"/>
      <c r="B298" s="2"/>
      <c r="C298" s="2"/>
      <c r="D298" s="2"/>
      <c r="E298" s="2"/>
      <c r="F298" s="2"/>
      <c r="G298" s="2"/>
      <c r="H298" s="2"/>
      <c r="I298" s="2"/>
      <c r="J298" s="3"/>
      <c r="K298" s="2"/>
      <c r="L298" s="2"/>
      <c r="M298" s="2"/>
      <c r="N298" s="2"/>
      <c r="O298" s="2"/>
      <c r="P298" s="2"/>
      <c r="Q298" s="69"/>
      <c r="R298" s="69"/>
      <c r="S298" s="70"/>
      <c r="T298" s="70"/>
      <c r="U298" s="2"/>
      <c r="V298" s="2"/>
      <c r="W298" s="2"/>
      <c r="X298" s="2"/>
      <c r="Y298" s="2"/>
      <c r="Z298" s="2"/>
      <c r="AA298" s="20"/>
      <c r="AB298" s="71"/>
      <c r="AC298" s="71"/>
      <c r="AD298" s="2"/>
      <c r="AE298" s="70"/>
      <c r="AF298" s="70"/>
      <c r="AG298" s="70"/>
      <c r="AH298" s="70"/>
      <c r="AI298" s="2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 s="70"/>
      <c r="AX298" s="70"/>
      <c r="AY298" s="70"/>
      <c r="AZ298" s="70"/>
      <c r="BA298" s="70"/>
      <c r="BB298" s="70"/>
      <c r="BC298" s="70"/>
      <c r="BD298" s="70"/>
      <c r="BE298" s="70"/>
      <c r="BF298" s="70"/>
      <c r="BG298" s="70"/>
      <c r="BH298" s="70"/>
      <c r="BI298" s="70"/>
      <c r="BJ298" s="70"/>
      <c r="BK298" s="70"/>
      <c r="BL298" s="70"/>
      <c r="BM298" s="70"/>
      <c r="BN298" s="70"/>
      <c r="BO298" s="70"/>
      <c r="BP298" s="70"/>
      <c r="BQ298" s="70"/>
      <c r="BR298" s="70"/>
      <c r="BS298" s="70"/>
      <c r="BT298" s="70"/>
      <c r="BU298" s="70"/>
      <c r="BV298" s="70"/>
      <c r="BW298" s="70"/>
      <c r="BX298" s="70"/>
      <c r="BY298" s="70"/>
      <c r="BZ298" s="70"/>
      <c r="CA298" s="70"/>
      <c r="CB298" s="70"/>
      <c r="CC298" s="70"/>
      <c r="CD298" s="70"/>
      <c r="CE298" s="70"/>
      <c r="CF298" s="70"/>
      <c r="CG298" s="70"/>
      <c r="CH298" s="70"/>
      <c r="CI298" s="70"/>
      <c r="CJ298" s="70"/>
      <c r="CK298" s="70"/>
      <c r="CL298" s="2"/>
      <c r="CM298" s="2"/>
      <c r="CN298" s="70"/>
      <c r="CO298" s="70"/>
      <c r="CP298" s="70"/>
      <c r="CQ298" s="70"/>
      <c r="CR298" s="2"/>
      <c r="CS298" s="2"/>
      <c r="CT298" s="70"/>
      <c r="CU298" s="70"/>
      <c r="CV298" s="70"/>
      <c r="CW298" s="70"/>
    </row>
    <row r="299" spans="1:101" ht="15.75" customHeight="1" x14ac:dyDescent="0.2">
      <c r="A299" s="1"/>
      <c r="B299" s="2"/>
      <c r="C299" s="2"/>
      <c r="D299" s="2"/>
      <c r="E299" s="2"/>
      <c r="F299" s="2"/>
      <c r="G299" s="2"/>
      <c r="H299" s="2"/>
      <c r="I299" s="2"/>
      <c r="J299" s="3"/>
      <c r="K299" s="2"/>
      <c r="L299" s="2"/>
      <c r="M299" s="2"/>
      <c r="N299" s="2"/>
      <c r="O299" s="2"/>
      <c r="P299" s="2"/>
      <c r="Q299" s="69"/>
      <c r="R299" s="69"/>
      <c r="S299" s="70"/>
      <c r="T299" s="70"/>
      <c r="U299" s="2"/>
      <c r="V299" s="2"/>
      <c r="W299" s="2"/>
      <c r="X299" s="2"/>
      <c r="Y299" s="2"/>
      <c r="Z299" s="2"/>
      <c r="AA299" s="20"/>
      <c r="AB299" s="71"/>
      <c r="AC299" s="71"/>
      <c r="AD299" s="2"/>
      <c r="AE299" s="70"/>
      <c r="AF299" s="70"/>
      <c r="AG299" s="70"/>
      <c r="AH299" s="70"/>
      <c r="AI299" s="2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70"/>
      <c r="AX299" s="70"/>
      <c r="AY299" s="70"/>
      <c r="AZ299" s="70"/>
      <c r="BA299" s="70"/>
      <c r="BB299" s="70"/>
      <c r="BC299" s="70"/>
      <c r="BD299" s="70"/>
      <c r="BE299" s="70"/>
      <c r="BF299" s="70"/>
      <c r="BG299" s="70"/>
      <c r="BH299" s="70"/>
      <c r="BI299" s="70"/>
      <c r="BJ299" s="70"/>
      <c r="BK299" s="70"/>
      <c r="BL299" s="70"/>
      <c r="BM299" s="70"/>
      <c r="BN299" s="70"/>
      <c r="BO299" s="70"/>
      <c r="BP299" s="70"/>
      <c r="BQ299" s="70"/>
      <c r="BR299" s="70"/>
      <c r="BS299" s="70"/>
      <c r="BT299" s="70"/>
      <c r="BU299" s="70"/>
      <c r="BV299" s="70"/>
      <c r="BW299" s="70"/>
      <c r="BX299" s="70"/>
      <c r="BY299" s="70"/>
      <c r="BZ299" s="70"/>
      <c r="CA299" s="70"/>
      <c r="CB299" s="70"/>
      <c r="CC299" s="70"/>
      <c r="CD299" s="70"/>
      <c r="CE299" s="70"/>
      <c r="CF299" s="70"/>
      <c r="CG299" s="70"/>
      <c r="CH299" s="70"/>
      <c r="CI299" s="70"/>
      <c r="CJ299" s="70"/>
      <c r="CK299" s="70"/>
      <c r="CL299" s="2"/>
      <c r="CM299" s="2"/>
      <c r="CN299" s="70"/>
      <c r="CO299" s="70"/>
      <c r="CP299" s="70"/>
      <c r="CQ299" s="70"/>
      <c r="CR299" s="2"/>
      <c r="CS299" s="2"/>
      <c r="CT299" s="70"/>
      <c r="CU299" s="70"/>
      <c r="CV299" s="70"/>
      <c r="CW299" s="70"/>
    </row>
    <row r="300" spans="1:101" ht="15.75" customHeight="1" x14ac:dyDescent="0.2">
      <c r="A300" s="1"/>
      <c r="B300" s="2"/>
      <c r="C300" s="2"/>
      <c r="D300" s="2"/>
      <c r="E300" s="2"/>
      <c r="F300" s="2"/>
      <c r="G300" s="2"/>
      <c r="H300" s="2"/>
      <c r="I300" s="2"/>
      <c r="J300" s="3"/>
      <c r="K300" s="2"/>
      <c r="L300" s="2"/>
      <c r="M300" s="2"/>
      <c r="N300" s="2"/>
      <c r="O300" s="2"/>
      <c r="P300" s="2"/>
      <c r="Q300" s="69"/>
      <c r="R300" s="69"/>
      <c r="S300" s="70"/>
      <c r="T300" s="70"/>
      <c r="U300" s="2"/>
      <c r="V300" s="2"/>
      <c r="W300" s="2"/>
      <c r="X300" s="2"/>
      <c r="Y300" s="2"/>
      <c r="Z300" s="2"/>
      <c r="AA300" s="20"/>
      <c r="AB300" s="71"/>
      <c r="AC300" s="71"/>
      <c r="AD300" s="2"/>
      <c r="AE300" s="70"/>
      <c r="AF300" s="70"/>
      <c r="AG300" s="70"/>
      <c r="AH300" s="70"/>
      <c r="AI300" s="2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70"/>
      <c r="AX300" s="70"/>
      <c r="AY300" s="70"/>
      <c r="AZ300" s="70"/>
      <c r="BA300" s="70"/>
      <c r="BB300" s="70"/>
      <c r="BC300" s="70"/>
      <c r="BD300" s="70"/>
      <c r="BE300" s="70"/>
      <c r="BF300" s="70"/>
      <c r="BG300" s="70"/>
      <c r="BH300" s="70"/>
      <c r="BI300" s="70"/>
      <c r="BJ300" s="70"/>
      <c r="BK300" s="70"/>
      <c r="BL300" s="70"/>
      <c r="BM300" s="70"/>
      <c r="BN300" s="70"/>
      <c r="BO300" s="70"/>
      <c r="BP300" s="70"/>
      <c r="BQ300" s="70"/>
      <c r="BR300" s="70"/>
      <c r="BS300" s="70"/>
      <c r="BT300" s="70"/>
      <c r="BU300" s="70"/>
      <c r="BV300" s="70"/>
      <c r="BW300" s="70"/>
      <c r="BX300" s="70"/>
      <c r="BY300" s="70"/>
      <c r="BZ300" s="70"/>
      <c r="CA300" s="70"/>
      <c r="CB300" s="70"/>
      <c r="CC300" s="70"/>
      <c r="CD300" s="70"/>
      <c r="CE300" s="70"/>
      <c r="CF300" s="70"/>
      <c r="CG300" s="70"/>
      <c r="CH300" s="70"/>
      <c r="CI300" s="70"/>
      <c r="CJ300" s="70"/>
      <c r="CK300" s="70"/>
      <c r="CL300" s="2"/>
      <c r="CM300" s="2"/>
      <c r="CN300" s="70"/>
      <c r="CO300" s="70"/>
      <c r="CP300" s="70"/>
      <c r="CQ300" s="70"/>
      <c r="CR300" s="2"/>
      <c r="CS300" s="2"/>
      <c r="CT300" s="70"/>
      <c r="CU300" s="70"/>
      <c r="CV300" s="70"/>
      <c r="CW300" s="70"/>
    </row>
    <row r="301" spans="1:101" ht="15.75" customHeight="1" x14ac:dyDescent="0.2">
      <c r="A301" s="1"/>
      <c r="B301" s="2"/>
      <c r="C301" s="2"/>
      <c r="D301" s="2"/>
      <c r="E301" s="2"/>
      <c r="F301" s="2"/>
      <c r="G301" s="2"/>
      <c r="H301" s="2"/>
      <c r="I301" s="2"/>
      <c r="J301" s="3"/>
      <c r="K301" s="2"/>
      <c r="L301" s="2"/>
      <c r="M301" s="2"/>
      <c r="N301" s="2"/>
      <c r="O301" s="2"/>
      <c r="P301" s="2"/>
      <c r="Q301" s="69"/>
      <c r="R301" s="69"/>
      <c r="S301" s="70"/>
      <c r="T301" s="70"/>
      <c r="U301" s="2"/>
      <c r="V301" s="2"/>
      <c r="W301" s="2"/>
      <c r="X301" s="2"/>
      <c r="Y301" s="2"/>
      <c r="Z301" s="2"/>
      <c r="AA301" s="20"/>
      <c r="AB301" s="71"/>
      <c r="AC301" s="71"/>
      <c r="AD301" s="2"/>
      <c r="AE301" s="70"/>
      <c r="AF301" s="70"/>
      <c r="AG301" s="70"/>
      <c r="AH301" s="70"/>
      <c r="AI301" s="2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 s="70"/>
      <c r="AX301" s="70"/>
      <c r="AY301" s="70"/>
      <c r="AZ301" s="70"/>
      <c r="BA301" s="70"/>
      <c r="BB301" s="70"/>
      <c r="BC301" s="70"/>
      <c r="BD301" s="70"/>
      <c r="BE301" s="70"/>
      <c r="BF301" s="70"/>
      <c r="BG301" s="70"/>
      <c r="BH301" s="70"/>
      <c r="BI301" s="70"/>
      <c r="BJ301" s="70"/>
      <c r="BK301" s="70"/>
      <c r="BL301" s="70"/>
      <c r="BM301" s="70"/>
      <c r="BN301" s="70"/>
      <c r="BO301" s="70"/>
      <c r="BP301" s="70"/>
      <c r="BQ301" s="70"/>
      <c r="BR301" s="70"/>
      <c r="BS301" s="70"/>
      <c r="BT301" s="70"/>
      <c r="BU301" s="70"/>
      <c r="BV301" s="70"/>
      <c r="BW301" s="70"/>
      <c r="BX301" s="70"/>
      <c r="BY301" s="70"/>
      <c r="BZ301" s="70"/>
      <c r="CA301" s="70"/>
      <c r="CB301" s="70"/>
      <c r="CC301" s="70"/>
      <c r="CD301" s="70"/>
      <c r="CE301" s="70"/>
      <c r="CF301" s="70"/>
      <c r="CG301" s="70"/>
      <c r="CH301" s="70"/>
      <c r="CI301" s="70"/>
      <c r="CJ301" s="70"/>
      <c r="CK301" s="70"/>
      <c r="CL301" s="2"/>
      <c r="CM301" s="2"/>
      <c r="CN301" s="70"/>
      <c r="CO301" s="70"/>
      <c r="CP301" s="70"/>
      <c r="CQ301" s="70"/>
      <c r="CR301" s="2"/>
      <c r="CS301" s="2"/>
      <c r="CT301" s="70"/>
      <c r="CU301" s="70"/>
      <c r="CV301" s="70"/>
      <c r="CW301" s="70"/>
    </row>
    <row r="302" spans="1:101" ht="15.75" customHeight="1" x14ac:dyDescent="0.2">
      <c r="A302" s="1"/>
      <c r="B302" s="2"/>
      <c r="C302" s="2"/>
      <c r="D302" s="2"/>
      <c r="E302" s="2"/>
      <c r="F302" s="2"/>
      <c r="G302" s="2"/>
      <c r="H302" s="2"/>
      <c r="I302" s="2"/>
      <c r="J302" s="3"/>
      <c r="K302" s="2"/>
      <c r="L302" s="2"/>
      <c r="M302" s="2"/>
      <c r="N302" s="2"/>
      <c r="O302" s="2"/>
      <c r="P302" s="2"/>
      <c r="Q302" s="69"/>
      <c r="R302" s="69"/>
      <c r="S302" s="70"/>
      <c r="T302" s="70"/>
      <c r="U302" s="2"/>
      <c r="V302" s="2"/>
      <c r="W302" s="2"/>
      <c r="X302" s="2"/>
      <c r="Y302" s="2"/>
      <c r="Z302" s="2"/>
      <c r="AA302" s="20"/>
      <c r="AB302" s="71"/>
      <c r="AC302" s="71"/>
      <c r="AD302" s="2"/>
      <c r="AE302" s="70"/>
      <c r="AF302" s="70"/>
      <c r="AG302" s="70"/>
      <c r="AH302" s="70"/>
      <c r="AI302" s="2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 s="70"/>
      <c r="AX302" s="70"/>
      <c r="AY302" s="70"/>
      <c r="AZ302" s="70"/>
      <c r="BA302" s="70"/>
      <c r="BB302" s="70"/>
      <c r="BC302" s="70"/>
      <c r="BD302" s="70"/>
      <c r="BE302" s="70"/>
      <c r="BF302" s="70"/>
      <c r="BG302" s="70"/>
      <c r="BH302" s="70"/>
      <c r="BI302" s="70"/>
      <c r="BJ302" s="70"/>
      <c r="BK302" s="70"/>
      <c r="BL302" s="70"/>
      <c r="BM302" s="70"/>
      <c r="BN302" s="70"/>
      <c r="BO302" s="70"/>
      <c r="BP302" s="70"/>
      <c r="BQ302" s="70"/>
      <c r="BR302" s="70"/>
      <c r="BS302" s="70"/>
      <c r="BT302" s="70"/>
      <c r="BU302" s="70"/>
      <c r="BV302" s="70"/>
      <c r="BW302" s="70"/>
      <c r="BX302" s="70"/>
      <c r="BY302" s="70"/>
      <c r="BZ302" s="70"/>
      <c r="CA302" s="70"/>
      <c r="CB302" s="70"/>
      <c r="CC302" s="70"/>
      <c r="CD302" s="70"/>
      <c r="CE302" s="70"/>
      <c r="CF302" s="70"/>
      <c r="CG302" s="70"/>
      <c r="CH302" s="70"/>
      <c r="CI302" s="70"/>
      <c r="CJ302" s="70"/>
      <c r="CK302" s="70"/>
      <c r="CL302" s="2"/>
      <c r="CM302" s="2"/>
      <c r="CN302" s="70"/>
      <c r="CO302" s="70"/>
      <c r="CP302" s="70"/>
      <c r="CQ302" s="70"/>
      <c r="CR302" s="2"/>
      <c r="CS302" s="2"/>
      <c r="CT302" s="70"/>
      <c r="CU302" s="70"/>
      <c r="CV302" s="70"/>
      <c r="CW302" s="70"/>
    </row>
    <row r="303" spans="1:101" ht="15.75" customHeight="1" x14ac:dyDescent="0.2">
      <c r="A303" s="1"/>
      <c r="B303" s="2"/>
      <c r="C303" s="2"/>
      <c r="D303" s="2"/>
      <c r="E303" s="2"/>
      <c r="F303" s="2"/>
      <c r="G303" s="2"/>
      <c r="H303" s="2"/>
      <c r="I303" s="2"/>
      <c r="J303" s="3"/>
      <c r="K303" s="2"/>
      <c r="L303" s="2"/>
      <c r="M303" s="2"/>
      <c r="N303" s="2"/>
      <c r="O303" s="2"/>
      <c r="P303" s="2"/>
      <c r="Q303" s="69"/>
      <c r="R303" s="69"/>
      <c r="S303" s="70"/>
      <c r="T303" s="70"/>
      <c r="U303" s="2"/>
      <c r="V303" s="2"/>
      <c r="W303" s="2"/>
      <c r="X303" s="2"/>
      <c r="Y303" s="2"/>
      <c r="Z303" s="2"/>
      <c r="AA303" s="20"/>
      <c r="AB303" s="71"/>
      <c r="AC303" s="71"/>
      <c r="AD303" s="2"/>
      <c r="AE303" s="70"/>
      <c r="AF303" s="70"/>
      <c r="AG303" s="70"/>
      <c r="AH303" s="70"/>
      <c r="AI303" s="2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  <c r="AW303" s="70"/>
      <c r="AX303" s="70"/>
      <c r="AY303" s="70"/>
      <c r="AZ303" s="70"/>
      <c r="BA303" s="70"/>
      <c r="BB303" s="70"/>
      <c r="BC303" s="70"/>
      <c r="BD303" s="70"/>
      <c r="BE303" s="70"/>
      <c r="BF303" s="70"/>
      <c r="BG303" s="70"/>
      <c r="BH303" s="70"/>
      <c r="BI303" s="70"/>
      <c r="BJ303" s="70"/>
      <c r="BK303" s="70"/>
      <c r="BL303" s="70"/>
      <c r="BM303" s="70"/>
      <c r="BN303" s="70"/>
      <c r="BO303" s="70"/>
      <c r="BP303" s="70"/>
      <c r="BQ303" s="70"/>
      <c r="BR303" s="70"/>
      <c r="BS303" s="70"/>
      <c r="BT303" s="70"/>
      <c r="BU303" s="70"/>
      <c r="BV303" s="70"/>
      <c r="BW303" s="70"/>
      <c r="BX303" s="70"/>
      <c r="BY303" s="70"/>
      <c r="BZ303" s="70"/>
      <c r="CA303" s="70"/>
      <c r="CB303" s="70"/>
      <c r="CC303" s="70"/>
      <c r="CD303" s="70"/>
      <c r="CE303" s="70"/>
      <c r="CF303" s="70"/>
      <c r="CG303" s="70"/>
      <c r="CH303" s="70"/>
      <c r="CI303" s="70"/>
      <c r="CJ303" s="70"/>
      <c r="CK303" s="70"/>
      <c r="CL303" s="2"/>
      <c r="CM303" s="2"/>
      <c r="CN303" s="70"/>
      <c r="CO303" s="70"/>
      <c r="CP303" s="70"/>
      <c r="CQ303" s="70"/>
      <c r="CR303" s="2"/>
      <c r="CS303" s="2"/>
      <c r="CT303" s="70"/>
      <c r="CU303" s="70"/>
      <c r="CV303" s="70"/>
      <c r="CW303" s="70"/>
    </row>
    <row r="304" spans="1:101" ht="15.75" customHeight="1" x14ac:dyDescent="0.2">
      <c r="A304" s="1"/>
      <c r="B304" s="2"/>
      <c r="C304" s="2"/>
      <c r="D304" s="2"/>
      <c r="E304" s="2"/>
      <c r="F304" s="2"/>
      <c r="G304" s="2"/>
      <c r="H304" s="2"/>
      <c r="I304" s="2"/>
      <c r="J304" s="3"/>
      <c r="K304" s="2"/>
      <c r="L304" s="2"/>
      <c r="M304" s="2"/>
      <c r="N304" s="2"/>
      <c r="O304" s="2"/>
      <c r="P304" s="2"/>
      <c r="Q304" s="69"/>
      <c r="R304" s="69"/>
      <c r="S304" s="70"/>
      <c r="T304" s="70"/>
      <c r="U304" s="2"/>
      <c r="V304" s="2"/>
      <c r="W304" s="2"/>
      <c r="X304" s="2"/>
      <c r="Y304" s="2"/>
      <c r="Z304" s="2"/>
      <c r="AA304" s="20"/>
      <c r="AB304" s="71"/>
      <c r="AC304" s="71"/>
      <c r="AD304" s="2"/>
      <c r="AE304" s="70"/>
      <c r="AF304" s="70"/>
      <c r="AG304" s="70"/>
      <c r="AH304" s="70"/>
      <c r="AI304" s="2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  <c r="AW304" s="70"/>
      <c r="AX304" s="70"/>
      <c r="AY304" s="70"/>
      <c r="AZ304" s="70"/>
      <c r="BA304" s="70"/>
      <c r="BB304" s="70"/>
      <c r="BC304" s="70"/>
      <c r="BD304" s="70"/>
      <c r="BE304" s="70"/>
      <c r="BF304" s="70"/>
      <c r="BG304" s="70"/>
      <c r="BH304" s="70"/>
      <c r="BI304" s="70"/>
      <c r="BJ304" s="70"/>
      <c r="BK304" s="70"/>
      <c r="BL304" s="70"/>
      <c r="BM304" s="70"/>
      <c r="BN304" s="70"/>
      <c r="BO304" s="70"/>
      <c r="BP304" s="70"/>
      <c r="BQ304" s="70"/>
      <c r="BR304" s="70"/>
      <c r="BS304" s="70"/>
      <c r="BT304" s="70"/>
      <c r="BU304" s="70"/>
      <c r="BV304" s="70"/>
      <c r="BW304" s="70"/>
      <c r="BX304" s="70"/>
      <c r="BY304" s="70"/>
      <c r="BZ304" s="70"/>
      <c r="CA304" s="70"/>
      <c r="CB304" s="70"/>
      <c r="CC304" s="70"/>
      <c r="CD304" s="70"/>
      <c r="CE304" s="70"/>
      <c r="CF304" s="70"/>
      <c r="CG304" s="70"/>
      <c r="CH304" s="70"/>
      <c r="CI304" s="70"/>
      <c r="CJ304" s="70"/>
      <c r="CK304" s="70"/>
      <c r="CL304" s="2"/>
      <c r="CM304" s="2"/>
      <c r="CN304" s="70"/>
      <c r="CO304" s="70"/>
      <c r="CP304" s="70"/>
      <c r="CQ304" s="70"/>
      <c r="CR304" s="2"/>
      <c r="CS304" s="2"/>
      <c r="CT304" s="70"/>
      <c r="CU304" s="70"/>
      <c r="CV304" s="70"/>
      <c r="CW304" s="70"/>
    </row>
    <row r="305" spans="1:101" ht="15.75" customHeight="1" x14ac:dyDescent="0.2">
      <c r="A305" s="1"/>
      <c r="B305" s="2"/>
      <c r="C305" s="2"/>
      <c r="D305" s="2"/>
      <c r="E305" s="2"/>
      <c r="F305" s="2"/>
      <c r="G305" s="2"/>
      <c r="H305" s="2"/>
      <c r="I305" s="2"/>
      <c r="J305" s="3"/>
      <c r="K305" s="2"/>
      <c r="L305" s="2"/>
      <c r="M305" s="2"/>
      <c r="N305" s="2"/>
      <c r="O305" s="2"/>
      <c r="P305" s="2"/>
      <c r="Q305" s="69"/>
      <c r="R305" s="69"/>
      <c r="S305" s="70"/>
      <c r="T305" s="70"/>
      <c r="U305" s="2"/>
      <c r="V305" s="2"/>
      <c r="W305" s="2"/>
      <c r="X305" s="2"/>
      <c r="Y305" s="2"/>
      <c r="Z305" s="2"/>
      <c r="AA305" s="20"/>
      <c r="AB305" s="71"/>
      <c r="AC305" s="71"/>
      <c r="AD305" s="2"/>
      <c r="AE305" s="70"/>
      <c r="AF305" s="70"/>
      <c r="AG305" s="70"/>
      <c r="AH305" s="70"/>
      <c r="AI305" s="2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0"/>
      <c r="AX305" s="70"/>
      <c r="AY305" s="70"/>
      <c r="AZ305" s="70"/>
      <c r="BA305" s="70"/>
      <c r="BB305" s="70"/>
      <c r="BC305" s="70"/>
      <c r="BD305" s="70"/>
      <c r="BE305" s="70"/>
      <c r="BF305" s="70"/>
      <c r="BG305" s="70"/>
      <c r="BH305" s="70"/>
      <c r="BI305" s="70"/>
      <c r="BJ305" s="70"/>
      <c r="BK305" s="70"/>
      <c r="BL305" s="70"/>
      <c r="BM305" s="70"/>
      <c r="BN305" s="70"/>
      <c r="BO305" s="70"/>
      <c r="BP305" s="70"/>
      <c r="BQ305" s="70"/>
      <c r="BR305" s="70"/>
      <c r="BS305" s="70"/>
      <c r="BT305" s="70"/>
      <c r="BU305" s="70"/>
      <c r="BV305" s="70"/>
      <c r="BW305" s="70"/>
      <c r="BX305" s="70"/>
      <c r="BY305" s="70"/>
      <c r="BZ305" s="70"/>
      <c r="CA305" s="70"/>
      <c r="CB305" s="70"/>
      <c r="CC305" s="70"/>
      <c r="CD305" s="70"/>
      <c r="CE305" s="70"/>
      <c r="CF305" s="70"/>
      <c r="CG305" s="70"/>
      <c r="CH305" s="70"/>
      <c r="CI305" s="70"/>
      <c r="CJ305" s="70"/>
      <c r="CK305" s="70"/>
      <c r="CL305" s="2"/>
      <c r="CM305" s="2"/>
      <c r="CN305" s="70"/>
      <c r="CO305" s="70"/>
      <c r="CP305" s="70"/>
      <c r="CQ305" s="70"/>
      <c r="CR305" s="2"/>
      <c r="CS305" s="2"/>
      <c r="CT305" s="70"/>
      <c r="CU305" s="70"/>
      <c r="CV305" s="70"/>
      <c r="CW305" s="70"/>
    </row>
    <row r="306" spans="1:101" ht="15.75" customHeight="1" x14ac:dyDescent="0.2">
      <c r="A306" s="1"/>
      <c r="B306" s="2"/>
      <c r="C306" s="2"/>
      <c r="D306" s="2"/>
      <c r="E306" s="2"/>
      <c r="F306" s="2"/>
      <c r="G306" s="2"/>
      <c r="H306" s="2"/>
      <c r="I306" s="2"/>
      <c r="J306" s="3"/>
      <c r="K306" s="2"/>
      <c r="L306" s="2"/>
      <c r="M306" s="2"/>
      <c r="N306" s="2"/>
      <c r="O306" s="2"/>
      <c r="P306" s="2"/>
      <c r="Q306" s="69"/>
      <c r="R306" s="69"/>
      <c r="S306" s="70"/>
      <c r="T306" s="70"/>
      <c r="U306" s="2"/>
      <c r="V306" s="2"/>
      <c r="W306" s="2"/>
      <c r="X306" s="2"/>
      <c r="Y306" s="2"/>
      <c r="Z306" s="2"/>
      <c r="AA306" s="20"/>
      <c r="AB306" s="71"/>
      <c r="AC306" s="71"/>
      <c r="AD306" s="2"/>
      <c r="AE306" s="70"/>
      <c r="AF306" s="70"/>
      <c r="AG306" s="70"/>
      <c r="AH306" s="70"/>
      <c r="AI306" s="2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0"/>
      <c r="AX306" s="70"/>
      <c r="AY306" s="70"/>
      <c r="AZ306" s="70"/>
      <c r="BA306" s="70"/>
      <c r="BB306" s="70"/>
      <c r="BC306" s="70"/>
      <c r="BD306" s="70"/>
      <c r="BE306" s="70"/>
      <c r="BF306" s="70"/>
      <c r="BG306" s="70"/>
      <c r="BH306" s="70"/>
      <c r="BI306" s="70"/>
      <c r="BJ306" s="70"/>
      <c r="BK306" s="70"/>
      <c r="BL306" s="70"/>
      <c r="BM306" s="70"/>
      <c r="BN306" s="70"/>
      <c r="BO306" s="70"/>
      <c r="BP306" s="70"/>
      <c r="BQ306" s="70"/>
      <c r="BR306" s="70"/>
      <c r="BS306" s="70"/>
      <c r="BT306" s="70"/>
      <c r="BU306" s="70"/>
      <c r="BV306" s="70"/>
      <c r="BW306" s="70"/>
      <c r="BX306" s="70"/>
      <c r="BY306" s="70"/>
      <c r="BZ306" s="70"/>
      <c r="CA306" s="70"/>
      <c r="CB306" s="70"/>
      <c r="CC306" s="70"/>
      <c r="CD306" s="70"/>
      <c r="CE306" s="70"/>
      <c r="CF306" s="70"/>
      <c r="CG306" s="70"/>
      <c r="CH306" s="70"/>
      <c r="CI306" s="70"/>
      <c r="CJ306" s="70"/>
      <c r="CK306" s="70"/>
      <c r="CL306" s="2"/>
      <c r="CM306" s="2"/>
      <c r="CN306" s="70"/>
      <c r="CO306" s="70"/>
      <c r="CP306" s="70"/>
      <c r="CQ306" s="70"/>
      <c r="CR306" s="2"/>
      <c r="CS306" s="2"/>
      <c r="CT306" s="70"/>
      <c r="CU306" s="70"/>
      <c r="CV306" s="70"/>
      <c r="CW306" s="70"/>
    </row>
    <row r="307" spans="1:101" ht="15.75" customHeight="1" x14ac:dyDescent="0.2">
      <c r="A307" s="1"/>
      <c r="B307" s="2"/>
      <c r="C307" s="2"/>
      <c r="D307" s="2"/>
      <c r="E307" s="2"/>
      <c r="F307" s="2"/>
      <c r="G307" s="2"/>
      <c r="H307" s="2"/>
      <c r="I307" s="2"/>
      <c r="J307" s="3"/>
      <c r="K307" s="2"/>
      <c r="L307" s="2"/>
      <c r="M307" s="2"/>
      <c r="N307" s="2"/>
      <c r="O307" s="2"/>
      <c r="P307" s="2"/>
      <c r="Q307" s="69"/>
      <c r="R307" s="69"/>
      <c r="S307" s="70"/>
      <c r="T307" s="70"/>
      <c r="U307" s="2"/>
      <c r="V307" s="2"/>
      <c r="W307" s="2"/>
      <c r="X307" s="2"/>
      <c r="Y307" s="2"/>
      <c r="Z307" s="2"/>
      <c r="AA307" s="20"/>
      <c r="AB307" s="71"/>
      <c r="AC307" s="71"/>
      <c r="AD307" s="2"/>
      <c r="AE307" s="70"/>
      <c r="AF307" s="70"/>
      <c r="AG307" s="70"/>
      <c r="AH307" s="70"/>
      <c r="AI307" s="2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0"/>
      <c r="AX307" s="70"/>
      <c r="AY307" s="70"/>
      <c r="AZ307" s="70"/>
      <c r="BA307" s="70"/>
      <c r="BB307" s="70"/>
      <c r="BC307" s="70"/>
      <c r="BD307" s="70"/>
      <c r="BE307" s="70"/>
      <c r="BF307" s="70"/>
      <c r="BG307" s="70"/>
      <c r="BH307" s="70"/>
      <c r="BI307" s="70"/>
      <c r="BJ307" s="70"/>
      <c r="BK307" s="70"/>
      <c r="BL307" s="70"/>
      <c r="BM307" s="70"/>
      <c r="BN307" s="70"/>
      <c r="BO307" s="70"/>
      <c r="BP307" s="70"/>
      <c r="BQ307" s="70"/>
      <c r="BR307" s="70"/>
      <c r="BS307" s="70"/>
      <c r="BT307" s="70"/>
      <c r="BU307" s="70"/>
      <c r="BV307" s="70"/>
      <c r="BW307" s="70"/>
      <c r="BX307" s="70"/>
      <c r="BY307" s="70"/>
      <c r="BZ307" s="70"/>
      <c r="CA307" s="70"/>
      <c r="CB307" s="70"/>
      <c r="CC307" s="70"/>
      <c r="CD307" s="70"/>
      <c r="CE307" s="70"/>
      <c r="CF307" s="70"/>
      <c r="CG307" s="70"/>
      <c r="CH307" s="70"/>
      <c r="CI307" s="70"/>
      <c r="CJ307" s="70"/>
      <c r="CK307" s="70"/>
      <c r="CL307" s="2"/>
      <c r="CM307" s="2"/>
      <c r="CN307" s="70"/>
      <c r="CO307" s="70"/>
      <c r="CP307" s="70"/>
      <c r="CQ307" s="70"/>
      <c r="CR307" s="2"/>
      <c r="CS307" s="2"/>
      <c r="CT307" s="70"/>
      <c r="CU307" s="70"/>
      <c r="CV307" s="70"/>
      <c r="CW307" s="70"/>
    </row>
    <row r="308" spans="1:101" ht="15.75" customHeight="1" x14ac:dyDescent="0.2">
      <c r="A308" s="1"/>
      <c r="B308" s="2"/>
      <c r="C308" s="2"/>
      <c r="D308" s="2"/>
      <c r="E308" s="2"/>
      <c r="F308" s="2"/>
      <c r="G308" s="2"/>
      <c r="H308" s="2"/>
      <c r="I308" s="2"/>
      <c r="J308" s="3"/>
      <c r="K308" s="2"/>
      <c r="L308" s="2"/>
      <c r="M308" s="2"/>
      <c r="N308" s="2"/>
      <c r="O308" s="2"/>
      <c r="P308" s="2"/>
      <c r="Q308" s="69"/>
      <c r="R308" s="69"/>
      <c r="S308" s="70"/>
      <c r="T308" s="70"/>
      <c r="U308" s="2"/>
      <c r="V308" s="2"/>
      <c r="W308" s="2"/>
      <c r="X308" s="2"/>
      <c r="Y308" s="2"/>
      <c r="Z308" s="2"/>
      <c r="AA308" s="20"/>
      <c r="AB308" s="71"/>
      <c r="AC308" s="71"/>
      <c r="AD308" s="2"/>
      <c r="AE308" s="70"/>
      <c r="AF308" s="70"/>
      <c r="AG308" s="70"/>
      <c r="AH308" s="70"/>
      <c r="AI308" s="2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0"/>
      <c r="AX308" s="70"/>
      <c r="AY308" s="70"/>
      <c r="AZ308" s="70"/>
      <c r="BA308" s="70"/>
      <c r="BB308" s="70"/>
      <c r="BC308" s="70"/>
      <c r="BD308" s="70"/>
      <c r="BE308" s="70"/>
      <c r="BF308" s="70"/>
      <c r="BG308" s="70"/>
      <c r="BH308" s="70"/>
      <c r="BI308" s="70"/>
      <c r="BJ308" s="70"/>
      <c r="BK308" s="70"/>
      <c r="BL308" s="70"/>
      <c r="BM308" s="70"/>
      <c r="BN308" s="70"/>
      <c r="BO308" s="70"/>
      <c r="BP308" s="70"/>
      <c r="BQ308" s="70"/>
      <c r="BR308" s="70"/>
      <c r="BS308" s="70"/>
      <c r="BT308" s="70"/>
      <c r="BU308" s="70"/>
      <c r="BV308" s="70"/>
      <c r="BW308" s="70"/>
      <c r="BX308" s="70"/>
      <c r="BY308" s="70"/>
      <c r="BZ308" s="70"/>
      <c r="CA308" s="70"/>
      <c r="CB308" s="70"/>
      <c r="CC308" s="70"/>
      <c r="CD308" s="70"/>
      <c r="CE308" s="70"/>
      <c r="CF308" s="70"/>
      <c r="CG308" s="70"/>
      <c r="CH308" s="70"/>
      <c r="CI308" s="70"/>
      <c r="CJ308" s="70"/>
      <c r="CK308" s="70"/>
      <c r="CL308" s="2"/>
      <c r="CM308" s="2"/>
      <c r="CN308" s="70"/>
      <c r="CO308" s="70"/>
      <c r="CP308" s="70"/>
      <c r="CQ308" s="70"/>
      <c r="CR308" s="2"/>
      <c r="CS308" s="2"/>
      <c r="CT308" s="70"/>
      <c r="CU308" s="70"/>
      <c r="CV308" s="70"/>
      <c r="CW308" s="70"/>
    </row>
    <row r="309" spans="1:101" ht="15.75" customHeight="1" x14ac:dyDescent="0.2">
      <c r="A309" s="1"/>
      <c r="B309" s="2"/>
      <c r="C309" s="2"/>
      <c r="D309" s="2"/>
      <c r="E309" s="2"/>
      <c r="F309" s="2"/>
      <c r="G309" s="2"/>
      <c r="H309" s="2"/>
      <c r="I309" s="2"/>
      <c r="J309" s="3"/>
      <c r="K309" s="2"/>
      <c r="L309" s="2"/>
      <c r="M309" s="2"/>
      <c r="N309" s="2"/>
      <c r="O309" s="2"/>
      <c r="P309" s="2"/>
      <c r="Q309" s="69"/>
      <c r="R309" s="69"/>
      <c r="S309" s="70"/>
      <c r="T309" s="70"/>
      <c r="U309" s="2"/>
      <c r="V309" s="2"/>
      <c r="W309" s="2"/>
      <c r="X309" s="2"/>
      <c r="Y309" s="2"/>
      <c r="Z309" s="2"/>
      <c r="AA309" s="20"/>
      <c r="AB309" s="71"/>
      <c r="AC309" s="71"/>
      <c r="AD309" s="2"/>
      <c r="AE309" s="70"/>
      <c r="AF309" s="70"/>
      <c r="AG309" s="70"/>
      <c r="AH309" s="70"/>
      <c r="AI309" s="2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0"/>
      <c r="AX309" s="70"/>
      <c r="AY309" s="70"/>
      <c r="AZ309" s="70"/>
      <c r="BA309" s="70"/>
      <c r="BB309" s="70"/>
      <c r="BC309" s="70"/>
      <c r="BD309" s="70"/>
      <c r="BE309" s="70"/>
      <c r="BF309" s="70"/>
      <c r="BG309" s="70"/>
      <c r="BH309" s="70"/>
      <c r="BI309" s="70"/>
      <c r="BJ309" s="70"/>
      <c r="BK309" s="70"/>
      <c r="BL309" s="70"/>
      <c r="BM309" s="70"/>
      <c r="BN309" s="70"/>
      <c r="BO309" s="70"/>
      <c r="BP309" s="70"/>
      <c r="BQ309" s="70"/>
      <c r="BR309" s="70"/>
      <c r="BS309" s="70"/>
      <c r="BT309" s="70"/>
      <c r="BU309" s="70"/>
      <c r="BV309" s="70"/>
      <c r="BW309" s="70"/>
      <c r="BX309" s="70"/>
      <c r="BY309" s="70"/>
      <c r="BZ309" s="70"/>
      <c r="CA309" s="70"/>
      <c r="CB309" s="70"/>
      <c r="CC309" s="70"/>
      <c r="CD309" s="70"/>
      <c r="CE309" s="70"/>
      <c r="CF309" s="70"/>
      <c r="CG309" s="70"/>
      <c r="CH309" s="70"/>
      <c r="CI309" s="70"/>
      <c r="CJ309" s="70"/>
      <c r="CK309" s="70"/>
      <c r="CL309" s="2"/>
      <c r="CM309" s="2"/>
      <c r="CN309" s="70"/>
      <c r="CO309" s="70"/>
      <c r="CP309" s="70"/>
      <c r="CQ309" s="70"/>
      <c r="CR309" s="2"/>
      <c r="CS309" s="2"/>
      <c r="CT309" s="70"/>
      <c r="CU309" s="70"/>
      <c r="CV309" s="70"/>
      <c r="CW309" s="70"/>
    </row>
    <row r="310" spans="1:101" ht="15.75" customHeight="1" x14ac:dyDescent="0.2">
      <c r="A310" s="1"/>
      <c r="B310" s="2"/>
      <c r="C310" s="2"/>
      <c r="D310" s="2"/>
      <c r="E310" s="2"/>
      <c r="F310" s="2"/>
      <c r="G310" s="2"/>
      <c r="H310" s="2"/>
      <c r="I310" s="2"/>
      <c r="J310" s="3"/>
      <c r="K310" s="2"/>
      <c r="L310" s="2"/>
      <c r="M310" s="2"/>
      <c r="N310" s="2"/>
      <c r="O310" s="2"/>
      <c r="P310" s="2"/>
      <c r="Q310" s="69"/>
      <c r="R310" s="69"/>
      <c r="S310" s="70"/>
      <c r="T310" s="70"/>
      <c r="U310" s="2"/>
      <c r="V310" s="2"/>
      <c r="W310" s="2"/>
      <c r="X310" s="2"/>
      <c r="Y310" s="2"/>
      <c r="Z310" s="2"/>
      <c r="AA310" s="20"/>
      <c r="AB310" s="71"/>
      <c r="AC310" s="71"/>
      <c r="AD310" s="2"/>
      <c r="AE310" s="70"/>
      <c r="AF310" s="70"/>
      <c r="AG310" s="70"/>
      <c r="AH310" s="70"/>
      <c r="AI310" s="2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0"/>
      <c r="AX310" s="70"/>
      <c r="AY310" s="70"/>
      <c r="AZ310" s="70"/>
      <c r="BA310" s="70"/>
      <c r="BB310" s="70"/>
      <c r="BC310" s="70"/>
      <c r="BD310" s="70"/>
      <c r="BE310" s="70"/>
      <c r="BF310" s="70"/>
      <c r="BG310" s="70"/>
      <c r="BH310" s="70"/>
      <c r="BI310" s="70"/>
      <c r="BJ310" s="70"/>
      <c r="BK310" s="70"/>
      <c r="BL310" s="70"/>
      <c r="BM310" s="70"/>
      <c r="BN310" s="70"/>
      <c r="BO310" s="70"/>
      <c r="BP310" s="70"/>
      <c r="BQ310" s="70"/>
      <c r="BR310" s="70"/>
      <c r="BS310" s="70"/>
      <c r="BT310" s="70"/>
      <c r="BU310" s="70"/>
      <c r="BV310" s="70"/>
      <c r="BW310" s="70"/>
      <c r="BX310" s="70"/>
      <c r="BY310" s="70"/>
      <c r="BZ310" s="70"/>
      <c r="CA310" s="70"/>
      <c r="CB310" s="70"/>
      <c r="CC310" s="70"/>
      <c r="CD310" s="70"/>
      <c r="CE310" s="70"/>
      <c r="CF310" s="70"/>
      <c r="CG310" s="70"/>
      <c r="CH310" s="70"/>
      <c r="CI310" s="70"/>
      <c r="CJ310" s="70"/>
      <c r="CK310" s="70"/>
      <c r="CL310" s="2"/>
      <c r="CM310" s="2"/>
      <c r="CN310" s="70"/>
      <c r="CO310" s="70"/>
      <c r="CP310" s="70"/>
      <c r="CQ310" s="70"/>
      <c r="CR310" s="2"/>
      <c r="CS310" s="2"/>
      <c r="CT310" s="70"/>
      <c r="CU310" s="70"/>
      <c r="CV310" s="70"/>
      <c r="CW310" s="70"/>
    </row>
    <row r="311" spans="1:101" ht="15.75" customHeight="1" x14ac:dyDescent="0.2">
      <c r="A311" s="1"/>
      <c r="B311" s="2"/>
      <c r="C311" s="2"/>
      <c r="D311" s="2"/>
      <c r="E311" s="2"/>
      <c r="F311" s="2"/>
      <c r="G311" s="2"/>
      <c r="H311" s="2"/>
      <c r="I311" s="2"/>
      <c r="J311" s="3"/>
      <c r="K311" s="2"/>
      <c r="L311" s="2"/>
      <c r="M311" s="2"/>
      <c r="N311" s="2"/>
      <c r="O311" s="2"/>
      <c r="P311" s="2"/>
      <c r="Q311" s="69"/>
      <c r="R311" s="69"/>
      <c r="S311" s="70"/>
      <c r="T311" s="70"/>
      <c r="U311" s="2"/>
      <c r="V311" s="2"/>
      <c r="W311" s="2"/>
      <c r="X311" s="2"/>
      <c r="Y311" s="2"/>
      <c r="Z311" s="2"/>
      <c r="AA311" s="20"/>
      <c r="AB311" s="71"/>
      <c r="AC311" s="71"/>
      <c r="AD311" s="2"/>
      <c r="AE311" s="70"/>
      <c r="AF311" s="70"/>
      <c r="AG311" s="70"/>
      <c r="AH311" s="70"/>
      <c r="AI311" s="2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70"/>
      <c r="AX311" s="70"/>
      <c r="AY311" s="70"/>
      <c r="AZ311" s="70"/>
      <c r="BA311" s="70"/>
      <c r="BB311" s="70"/>
      <c r="BC311" s="70"/>
      <c r="BD311" s="70"/>
      <c r="BE311" s="70"/>
      <c r="BF311" s="70"/>
      <c r="BG311" s="70"/>
      <c r="BH311" s="70"/>
      <c r="BI311" s="70"/>
      <c r="BJ311" s="70"/>
      <c r="BK311" s="70"/>
      <c r="BL311" s="70"/>
      <c r="BM311" s="70"/>
      <c r="BN311" s="70"/>
      <c r="BO311" s="70"/>
      <c r="BP311" s="70"/>
      <c r="BQ311" s="70"/>
      <c r="BR311" s="70"/>
      <c r="BS311" s="70"/>
      <c r="BT311" s="70"/>
      <c r="BU311" s="70"/>
      <c r="BV311" s="70"/>
      <c r="BW311" s="70"/>
      <c r="BX311" s="70"/>
      <c r="BY311" s="70"/>
      <c r="BZ311" s="70"/>
      <c r="CA311" s="70"/>
      <c r="CB311" s="70"/>
      <c r="CC311" s="70"/>
      <c r="CD311" s="70"/>
      <c r="CE311" s="70"/>
      <c r="CF311" s="70"/>
      <c r="CG311" s="70"/>
      <c r="CH311" s="70"/>
      <c r="CI311" s="70"/>
      <c r="CJ311" s="70"/>
      <c r="CK311" s="70"/>
      <c r="CL311" s="2"/>
      <c r="CM311" s="2"/>
      <c r="CN311" s="70"/>
      <c r="CO311" s="70"/>
      <c r="CP311" s="70"/>
      <c r="CQ311" s="70"/>
      <c r="CR311" s="2"/>
      <c r="CS311" s="2"/>
      <c r="CT311" s="70"/>
      <c r="CU311" s="70"/>
      <c r="CV311" s="70"/>
      <c r="CW311" s="70"/>
    </row>
    <row r="312" spans="1:101" ht="15.75" customHeight="1" x14ac:dyDescent="0.2">
      <c r="A312" s="1"/>
      <c r="B312" s="2"/>
      <c r="C312" s="2"/>
      <c r="D312" s="2"/>
      <c r="E312" s="2"/>
      <c r="F312" s="2"/>
      <c r="G312" s="2"/>
      <c r="H312" s="2"/>
      <c r="I312" s="2"/>
      <c r="J312" s="3"/>
      <c r="K312" s="2"/>
      <c r="L312" s="2"/>
      <c r="M312" s="2"/>
      <c r="N312" s="2"/>
      <c r="O312" s="2"/>
      <c r="P312" s="2"/>
      <c r="Q312" s="69"/>
      <c r="R312" s="69"/>
      <c r="S312" s="70"/>
      <c r="T312" s="70"/>
      <c r="U312" s="2"/>
      <c r="V312" s="2"/>
      <c r="W312" s="2"/>
      <c r="X312" s="2"/>
      <c r="Y312" s="2"/>
      <c r="Z312" s="2"/>
      <c r="AA312" s="20"/>
      <c r="AB312" s="71"/>
      <c r="AC312" s="71"/>
      <c r="AD312" s="2"/>
      <c r="AE312" s="70"/>
      <c r="AF312" s="70"/>
      <c r="AG312" s="70"/>
      <c r="AH312" s="70"/>
      <c r="AI312" s="2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0"/>
      <c r="AX312" s="70"/>
      <c r="AY312" s="70"/>
      <c r="AZ312" s="70"/>
      <c r="BA312" s="70"/>
      <c r="BB312" s="70"/>
      <c r="BC312" s="70"/>
      <c r="BD312" s="70"/>
      <c r="BE312" s="70"/>
      <c r="BF312" s="70"/>
      <c r="BG312" s="70"/>
      <c r="BH312" s="70"/>
      <c r="BI312" s="70"/>
      <c r="BJ312" s="70"/>
      <c r="BK312" s="70"/>
      <c r="BL312" s="70"/>
      <c r="BM312" s="70"/>
      <c r="BN312" s="70"/>
      <c r="BO312" s="70"/>
      <c r="BP312" s="70"/>
      <c r="BQ312" s="70"/>
      <c r="BR312" s="70"/>
      <c r="BS312" s="70"/>
      <c r="BT312" s="70"/>
      <c r="BU312" s="70"/>
      <c r="BV312" s="70"/>
      <c r="BW312" s="70"/>
      <c r="BX312" s="70"/>
      <c r="BY312" s="70"/>
      <c r="BZ312" s="70"/>
      <c r="CA312" s="70"/>
      <c r="CB312" s="70"/>
      <c r="CC312" s="70"/>
      <c r="CD312" s="70"/>
      <c r="CE312" s="70"/>
      <c r="CF312" s="70"/>
      <c r="CG312" s="70"/>
      <c r="CH312" s="70"/>
      <c r="CI312" s="70"/>
      <c r="CJ312" s="70"/>
      <c r="CK312" s="70"/>
      <c r="CL312" s="2"/>
      <c r="CM312" s="2"/>
      <c r="CN312" s="70"/>
      <c r="CO312" s="70"/>
      <c r="CP312" s="70"/>
      <c r="CQ312" s="70"/>
      <c r="CR312" s="2"/>
      <c r="CS312" s="2"/>
      <c r="CT312" s="70"/>
      <c r="CU312" s="70"/>
      <c r="CV312" s="70"/>
      <c r="CW312" s="70"/>
    </row>
    <row r="313" spans="1:101" ht="15.75" customHeight="1" x14ac:dyDescent="0.2">
      <c r="A313" s="1"/>
      <c r="B313" s="2"/>
      <c r="C313" s="2"/>
      <c r="D313" s="2"/>
      <c r="E313" s="2"/>
      <c r="F313" s="2"/>
      <c r="G313" s="2"/>
      <c r="H313" s="2"/>
      <c r="I313" s="2"/>
      <c r="J313" s="3"/>
      <c r="K313" s="2"/>
      <c r="L313" s="2"/>
      <c r="M313" s="2"/>
      <c r="N313" s="2"/>
      <c r="O313" s="2"/>
      <c r="P313" s="2"/>
      <c r="Q313" s="69"/>
      <c r="R313" s="69"/>
      <c r="S313" s="70"/>
      <c r="T313" s="70"/>
      <c r="U313" s="2"/>
      <c r="V313" s="2"/>
      <c r="W313" s="2"/>
      <c r="X313" s="2"/>
      <c r="Y313" s="2"/>
      <c r="Z313" s="2"/>
      <c r="AA313" s="20"/>
      <c r="AB313" s="71"/>
      <c r="AC313" s="71"/>
      <c r="AD313" s="2"/>
      <c r="AE313" s="70"/>
      <c r="AF313" s="70"/>
      <c r="AG313" s="70"/>
      <c r="AH313" s="70"/>
      <c r="AI313" s="2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0"/>
      <c r="AX313" s="70"/>
      <c r="AY313" s="70"/>
      <c r="AZ313" s="70"/>
      <c r="BA313" s="70"/>
      <c r="BB313" s="70"/>
      <c r="BC313" s="70"/>
      <c r="BD313" s="70"/>
      <c r="BE313" s="70"/>
      <c r="BF313" s="70"/>
      <c r="BG313" s="70"/>
      <c r="BH313" s="70"/>
      <c r="BI313" s="70"/>
      <c r="BJ313" s="70"/>
      <c r="BK313" s="70"/>
      <c r="BL313" s="70"/>
      <c r="BM313" s="70"/>
      <c r="BN313" s="70"/>
      <c r="BO313" s="70"/>
      <c r="BP313" s="70"/>
      <c r="BQ313" s="70"/>
      <c r="BR313" s="70"/>
      <c r="BS313" s="70"/>
      <c r="BT313" s="70"/>
      <c r="BU313" s="70"/>
      <c r="BV313" s="70"/>
      <c r="BW313" s="70"/>
      <c r="BX313" s="70"/>
      <c r="BY313" s="70"/>
      <c r="BZ313" s="70"/>
      <c r="CA313" s="70"/>
      <c r="CB313" s="70"/>
      <c r="CC313" s="70"/>
      <c r="CD313" s="70"/>
      <c r="CE313" s="70"/>
      <c r="CF313" s="70"/>
      <c r="CG313" s="70"/>
      <c r="CH313" s="70"/>
      <c r="CI313" s="70"/>
      <c r="CJ313" s="70"/>
      <c r="CK313" s="70"/>
      <c r="CL313" s="2"/>
      <c r="CM313" s="2"/>
      <c r="CN313" s="70"/>
      <c r="CO313" s="70"/>
      <c r="CP313" s="70"/>
      <c r="CQ313" s="70"/>
      <c r="CR313" s="2"/>
      <c r="CS313" s="2"/>
      <c r="CT313" s="70"/>
      <c r="CU313" s="70"/>
      <c r="CV313" s="70"/>
      <c r="CW313" s="70"/>
    </row>
    <row r="314" spans="1:101" ht="15.75" customHeight="1" x14ac:dyDescent="0.2">
      <c r="A314" s="1"/>
      <c r="B314" s="2"/>
      <c r="C314" s="2"/>
      <c r="D314" s="2"/>
      <c r="E314" s="2"/>
      <c r="F314" s="2"/>
      <c r="G314" s="2"/>
      <c r="H314" s="2"/>
      <c r="I314" s="2"/>
      <c r="J314" s="3"/>
      <c r="K314" s="2"/>
      <c r="L314" s="2"/>
      <c r="M314" s="2"/>
      <c r="N314" s="2"/>
      <c r="O314" s="2"/>
      <c r="P314" s="2"/>
      <c r="Q314" s="69"/>
      <c r="R314" s="69"/>
      <c r="S314" s="70"/>
      <c r="T314" s="70"/>
      <c r="U314" s="2"/>
      <c r="V314" s="2"/>
      <c r="W314" s="2"/>
      <c r="X314" s="2"/>
      <c r="Y314" s="2"/>
      <c r="Z314" s="2"/>
      <c r="AA314" s="20"/>
      <c r="AB314" s="71"/>
      <c r="AC314" s="71"/>
      <c r="AD314" s="2"/>
      <c r="AE314" s="70"/>
      <c r="AF314" s="70"/>
      <c r="AG314" s="70"/>
      <c r="AH314" s="70"/>
      <c r="AI314" s="2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0"/>
      <c r="AX314" s="70"/>
      <c r="AY314" s="70"/>
      <c r="AZ314" s="70"/>
      <c r="BA314" s="70"/>
      <c r="BB314" s="70"/>
      <c r="BC314" s="70"/>
      <c r="BD314" s="70"/>
      <c r="BE314" s="70"/>
      <c r="BF314" s="70"/>
      <c r="BG314" s="70"/>
      <c r="BH314" s="70"/>
      <c r="BI314" s="70"/>
      <c r="BJ314" s="70"/>
      <c r="BK314" s="70"/>
      <c r="BL314" s="70"/>
      <c r="BM314" s="70"/>
      <c r="BN314" s="70"/>
      <c r="BO314" s="70"/>
      <c r="BP314" s="70"/>
      <c r="BQ314" s="70"/>
      <c r="BR314" s="70"/>
      <c r="BS314" s="70"/>
      <c r="BT314" s="70"/>
      <c r="BU314" s="70"/>
      <c r="BV314" s="70"/>
      <c r="BW314" s="70"/>
      <c r="BX314" s="70"/>
      <c r="BY314" s="70"/>
      <c r="BZ314" s="70"/>
      <c r="CA314" s="70"/>
      <c r="CB314" s="70"/>
      <c r="CC314" s="70"/>
      <c r="CD314" s="70"/>
      <c r="CE314" s="70"/>
      <c r="CF314" s="70"/>
      <c r="CG314" s="70"/>
      <c r="CH314" s="70"/>
      <c r="CI314" s="70"/>
      <c r="CJ314" s="70"/>
      <c r="CK314" s="70"/>
      <c r="CL314" s="2"/>
      <c r="CM314" s="2"/>
      <c r="CN314" s="70"/>
      <c r="CO314" s="70"/>
      <c r="CP314" s="70"/>
      <c r="CQ314" s="70"/>
      <c r="CR314" s="2"/>
      <c r="CS314" s="2"/>
      <c r="CT314" s="70"/>
      <c r="CU314" s="70"/>
      <c r="CV314" s="70"/>
      <c r="CW314" s="70"/>
    </row>
    <row r="315" spans="1:101" ht="15.75" customHeight="1" x14ac:dyDescent="0.2">
      <c r="A315" s="1"/>
      <c r="B315" s="2"/>
      <c r="C315" s="2"/>
      <c r="D315" s="2"/>
      <c r="E315" s="2"/>
      <c r="F315" s="2"/>
      <c r="G315" s="2"/>
      <c r="H315" s="2"/>
      <c r="I315" s="2"/>
      <c r="J315" s="3"/>
      <c r="K315" s="2"/>
      <c r="L315" s="2"/>
      <c r="M315" s="2"/>
      <c r="N315" s="2"/>
      <c r="O315" s="2"/>
      <c r="P315" s="2"/>
      <c r="Q315" s="69"/>
      <c r="R315" s="69"/>
      <c r="S315" s="70"/>
      <c r="T315" s="70"/>
      <c r="U315" s="2"/>
      <c r="V315" s="2"/>
      <c r="W315" s="2"/>
      <c r="X315" s="2"/>
      <c r="Y315" s="2"/>
      <c r="Z315" s="2"/>
      <c r="AA315" s="20"/>
      <c r="AB315" s="71"/>
      <c r="AC315" s="71"/>
      <c r="AD315" s="2"/>
      <c r="AE315" s="70"/>
      <c r="AF315" s="70"/>
      <c r="AG315" s="70"/>
      <c r="AH315" s="70"/>
      <c r="AI315" s="2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0"/>
      <c r="AX315" s="70"/>
      <c r="AY315" s="70"/>
      <c r="AZ315" s="70"/>
      <c r="BA315" s="70"/>
      <c r="BB315" s="70"/>
      <c r="BC315" s="70"/>
      <c r="BD315" s="70"/>
      <c r="BE315" s="70"/>
      <c r="BF315" s="70"/>
      <c r="BG315" s="70"/>
      <c r="BH315" s="70"/>
      <c r="BI315" s="70"/>
      <c r="BJ315" s="70"/>
      <c r="BK315" s="70"/>
      <c r="BL315" s="70"/>
      <c r="BM315" s="70"/>
      <c r="BN315" s="70"/>
      <c r="BO315" s="70"/>
      <c r="BP315" s="70"/>
      <c r="BQ315" s="70"/>
      <c r="BR315" s="70"/>
      <c r="BS315" s="70"/>
      <c r="BT315" s="70"/>
      <c r="BU315" s="70"/>
      <c r="BV315" s="70"/>
      <c r="BW315" s="70"/>
      <c r="BX315" s="70"/>
      <c r="BY315" s="70"/>
      <c r="BZ315" s="70"/>
      <c r="CA315" s="70"/>
      <c r="CB315" s="70"/>
      <c r="CC315" s="70"/>
      <c r="CD315" s="70"/>
      <c r="CE315" s="70"/>
      <c r="CF315" s="70"/>
      <c r="CG315" s="70"/>
      <c r="CH315" s="70"/>
      <c r="CI315" s="70"/>
      <c r="CJ315" s="70"/>
      <c r="CK315" s="70"/>
      <c r="CL315" s="2"/>
      <c r="CM315" s="2"/>
      <c r="CN315" s="70"/>
      <c r="CO315" s="70"/>
      <c r="CP315" s="70"/>
      <c r="CQ315" s="70"/>
      <c r="CR315" s="2"/>
      <c r="CS315" s="2"/>
      <c r="CT315" s="70"/>
      <c r="CU315" s="70"/>
      <c r="CV315" s="70"/>
      <c r="CW315" s="70"/>
    </row>
    <row r="316" spans="1:101" ht="15.75" customHeight="1" x14ac:dyDescent="0.2">
      <c r="A316" s="1"/>
      <c r="B316" s="2"/>
      <c r="C316" s="2"/>
      <c r="D316" s="2"/>
      <c r="E316" s="2"/>
      <c r="F316" s="2"/>
      <c r="G316" s="2"/>
      <c r="H316" s="2"/>
      <c r="I316" s="2"/>
      <c r="J316" s="3"/>
      <c r="K316" s="2"/>
      <c r="L316" s="2"/>
      <c r="M316" s="2"/>
      <c r="N316" s="2"/>
      <c r="O316" s="2"/>
      <c r="P316" s="2"/>
      <c r="Q316" s="69"/>
      <c r="R316" s="69"/>
      <c r="S316" s="70"/>
      <c r="T316" s="70"/>
      <c r="U316" s="2"/>
      <c r="V316" s="2"/>
      <c r="W316" s="2"/>
      <c r="X316" s="2"/>
      <c r="Y316" s="2"/>
      <c r="Z316" s="2"/>
      <c r="AA316" s="20"/>
      <c r="AB316" s="71"/>
      <c r="AC316" s="71"/>
      <c r="AD316" s="2"/>
      <c r="AE316" s="70"/>
      <c r="AF316" s="70"/>
      <c r="AG316" s="70"/>
      <c r="AH316" s="70"/>
      <c r="AI316" s="2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0"/>
      <c r="AX316" s="70"/>
      <c r="AY316" s="70"/>
      <c r="AZ316" s="70"/>
      <c r="BA316" s="70"/>
      <c r="BB316" s="70"/>
      <c r="BC316" s="70"/>
      <c r="BD316" s="70"/>
      <c r="BE316" s="70"/>
      <c r="BF316" s="70"/>
      <c r="BG316" s="70"/>
      <c r="BH316" s="70"/>
      <c r="BI316" s="70"/>
      <c r="BJ316" s="70"/>
      <c r="BK316" s="70"/>
      <c r="BL316" s="70"/>
      <c r="BM316" s="70"/>
      <c r="BN316" s="70"/>
      <c r="BO316" s="70"/>
      <c r="BP316" s="70"/>
      <c r="BQ316" s="70"/>
      <c r="BR316" s="70"/>
      <c r="BS316" s="70"/>
      <c r="BT316" s="70"/>
      <c r="BU316" s="70"/>
      <c r="BV316" s="70"/>
      <c r="BW316" s="70"/>
      <c r="BX316" s="70"/>
      <c r="BY316" s="70"/>
      <c r="BZ316" s="70"/>
      <c r="CA316" s="70"/>
      <c r="CB316" s="70"/>
      <c r="CC316" s="70"/>
      <c r="CD316" s="70"/>
      <c r="CE316" s="70"/>
      <c r="CF316" s="70"/>
      <c r="CG316" s="70"/>
      <c r="CH316" s="70"/>
      <c r="CI316" s="70"/>
      <c r="CJ316" s="70"/>
      <c r="CK316" s="70"/>
      <c r="CL316" s="2"/>
      <c r="CM316" s="2"/>
      <c r="CN316" s="70"/>
      <c r="CO316" s="70"/>
      <c r="CP316" s="70"/>
      <c r="CQ316" s="70"/>
      <c r="CR316" s="2"/>
      <c r="CS316" s="2"/>
      <c r="CT316" s="70"/>
      <c r="CU316" s="70"/>
      <c r="CV316" s="70"/>
      <c r="CW316" s="70"/>
    </row>
    <row r="317" spans="1:101" ht="15.75" customHeight="1" x14ac:dyDescent="0.2">
      <c r="A317" s="1"/>
      <c r="B317" s="2"/>
      <c r="C317" s="2"/>
      <c r="D317" s="2"/>
      <c r="E317" s="2"/>
      <c r="F317" s="2"/>
      <c r="G317" s="2"/>
      <c r="H317" s="2"/>
      <c r="I317" s="2"/>
      <c r="J317" s="3"/>
      <c r="K317" s="2"/>
      <c r="L317" s="2"/>
      <c r="M317" s="2"/>
      <c r="N317" s="2"/>
      <c r="O317" s="2"/>
      <c r="P317" s="2"/>
      <c r="Q317" s="69"/>
      <c r="R317" s="69"/>
      <c r="S317" s="70"/>
      <c r="T317" s="70"/>
      <c r="U317" s="2"/>
      <c r="V317" s="2"/>
      <c r="W317" s="2"/>
      <c r="X317" s="2"/>
      <c r="Y317" s="2"/>
      <c r="Z317" s="2"/>
      <c r="AA317" s="20"/>
      <c r="AB317" s="71"/>
      <c r="AC317" s="71"/>
      <c r="AD317" s="2"/>
      <c r="AE317" s="70"/>
      <c r="AF317" s="70"/>
      <c r="AG317" s="70"/>
      <c r="AH317" s="70"/>
      <c r="AI317" s="2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0"/>
      <c r="AX317" s="70"/>
      <c r="AY317" s="70"/>
      <c r="AZ317" s="70"/>
      <c r="BA317" s="70"/>
      <c r="BB317" s="70"/>
      <c r="BC317" s="70"/>
      <c r="BD317" s="70"/>
      <c r="BE317" s="70"/>
      <c r="BF317" s="70"/>
      <c r="BG317" s="70"/>
      <c r="BH317" s="70"/>
      <c r="BI317" s="70"/>
      <c r="BJ317" s="70"/>
      <c r="BK317" s="70"/>
      <c r="BL317" s="70"/>
      <c r="BM317" s="70"/>
      <c r="BN317" s="70"/>
      <c r="BO317" s="70"/>
      <c r="BP317" s="70"/>
      <c r="BQ317" s="70"/>
      <c r="BR317" s="70"/>
      <c r="BS317" s="70"/>
      <c r="BT317" s="70"/>
      <c r="BU317" s="70"/>
      <c r="BV317" s="70"/>
      <c r="BW317" s="70"/>
      <c r="BX317" s="70"/>
      <c r="BY317" s="70"/>
      <c r="BZ317" s="70"/>
      <c r="CA317" s="70"/>
      <c r="CB317" s="70"/>
      <c r="CC317" s="70"/>
      <c r="CD317" s="70"/>
      <c r="CE317" s="70"/>
      <c r="CF317" s="70"/>
      <c r="CG317" s="70"/>
      <c r="CH317" s="70"/>
      <c r="CI317" s="70"/>
      <c r="CJ317" s="70"/>
      <c r="CK317" s="70"/>
      <c r="CL317" s="2"/>
      <c r="CM317" s="2"/>
      <c r="CN317" s="70"/>
      <c r="CO317" s="70"/>
      <c r="CP317" s="70"/>
      <c r="CQ317" s="70"/>
      <c r="CR317" s="2"/>
      <c r="CS317" s="2"/>
      <c r="CT317" s="70"/>
      <c r="CU317" s="70"/>
      <c r="CV317" s="70"/>
      <c r="CW317" s="70"/>
    </row>
    <row r="318" spans="1:101" ht="15.75" customHeight="1" x14ac:dyDescent="0.2">
      <c r="A318" s="1"/>
      <c r="B318" s="2"/>
      <c r="C318" s="2"/>
      <c r="D318" s="2"/>
      <c r="E318" s="2"/>
      <c r="F318" s="2"/>
      <c r="G318" s="2"/>
      <c r="H318" s="2"/>
      <c r="I318" s="2"/>
      <c r="J318" s="3"/>
      <c r="K318" s="2"/>
      <c r="L318" s="2"/>
      <c r="M318" s="2"/>
      <c r="N318" s="2"/>
      <c r="O318" s="2"/>
      <c r="P318" s="2"/>
      <c r="Q318" s="69"/>
      <c r="R318" s="69"/>
      <c r="S318" s="70"/>
      <c r="T318" s="70"/>
      <c r="U318" s="2"/>
      <c r="V318" s="2"/>
      <c r="W318" s="2"/>
      <c r="X318" s="2"/>
      <c r="Y318" s="2"/>
      <c r="Z318" s="2"/>
      <c r="AA318" s="20"/>
      <c r="AB318" s="71"/>
      <c r="AC318" s="71"/>
      <c r="AD318" s="2"/>
      <c r="AE318" s="70"/>
      <c r="AF318" s="70"/>
      <c r="AG318" s="70"/>
      <c r="AH318" s="70"/>
      <c r="AI318" s="2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0"/>
      <c r="AX318" s="70"/>
      <c r="AY318" s="70"/>
      <c r="AZ318" s="70"/>
      <c r="BA318" s="70"/>
      <c r="BB318" s="70"/>
      <c r="BC318" s="70"/>
      <c r="BD318" s="70"/>
      <c r="BE318" s="70"/>
      <c r="BF318" s="70"/>
      <c r="BG318" s="70"/>
      <c r="BH318" s="70"/>
      <c r="BI318" s="70"/>
      <c r="BJ318" s="70"/>
      <c r="BK318" s="70"/>
      <c r="BL318" s="70"/>
      <c r="BM318" s="70"/>
      <c r="BN318" s="70"/>
      <c r="BO318" s="70"/>
      <c r="BP318" s="70"/>
      <c r="BQ318" s="70"/>
      <c r="BR318" s="70"/>
      <c r="BS318" s="70"/>
      <c r="BT318" s="70"/>
      <c r="BU318" s="70"/>
      <c r="BV318" s="70"/>
      <c r="BW318" s="70"/>
      <c r="BX318" s="70"/>
      <c r="BY318" s="70"/>
      <c r="BZ318" s="70"/>
      <c r="CA318" s="70"/>
      <c r="CB318" s="70"/>
      <c r="CC318" s="70"/>
      <c r="CD318" s="70"/>
      <c r="CE318" s="70"/>
      <c r="CF318" s="70"/>
      <c r="CG318" s="70"/>
      <c r="CH318" s="70"/>
      <c r="CI318" s="70"/>
      <c r="CJ318" s="70"/>
      <c r="CK318" s="70"/>
      <c r="CL318" s="2"/>
      <c r="CM318" s="2"/>
      <c r="CN318" s="70"/>
      <c r="CO318" s="70"/>
      <c r="CP318" s="70"/>
      <c r="CQ318" s="70"/>
      <c r="CR318" s="2"/>
      <c r="CS318" s="2"/>
      <c r="CT318" s="70"/>
      <c r="CU318" s="70"/>
      <c r="CV318" s="70"/>
      <c r="CW318" s="70"/>
    </row>
    <row r="319" spans="1:101" ht="15.75" customHeight="1" x14ac:dyDescent="0.2">
      <c r="A319" s="1"/>
      <c r="B319" s="2"/>
      <c r="C319" s="2"/>
      <c r="D319" s="2"/>
      <c r="E319" s="2"/>
      <c r="F319" s="2"/>
      <c r="G319" s="2"/>
      <c r="H319" s="2"/>
      <c r="I319" s="2"/>
      <c r="J319" s="3"/>
      <c r="K319" s="2"/>
      <c r="L319" s="2"/>
      <c r="M319" s="2"/>
      <c r="N319" s="2"/>
      <c r="O319" s="2"/>
      <c r="P319" s="2"/>
      <c r="Q319" s="69"/>
      <c r="R319" s="69"/>
      <c r="S319" s="70"/>
      <c r="T319" s="70"/>
      <c r="U319" s="2"/>
      <c r="V319" s="2"/>
      <c r="W319" s="2"/>
      <c r="X319" s="2"/>
      <c r="Y319" s="2"/>
      <c r="Z319" s="2"/>
      <c r="AA319" s="20"/>
      <c r="AB319" s="71"/>
      <c r="AC319" s="71"/>
      <c r="AD319" s="2"/>
      <c r="AE319" s="70"/>
      <c r="AF319" s="70"/>
      <c r="AG319" s="70"/>
      <c r="AH319" s="70"/>
      <c r="AI319" s="2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0"/>
      <c r="AX319" s="70"/>
      <c r="AY319" s="70"/>
      <c r="AZ319" s="70"/>
      <c r="BA319" s="70"/>
      <c r="BB319" s="70"/>
      <c r="BC319" s="70"/>
      <c r="BD319" s="70"/>
      <c r="BE319" s="70"/>
      <c r="BF319" s="70"/>
      <c r="BG319" s="70"/>
      <c r="BH319" s="70"/>
      <c r="BI319" s="70"/>
      <c r="BJ319" s="70"/>
      <c r="BK319" s="70"/>
      <c r="BL319" s="70"/>
      <c r="BM319" s="70"/>
      <c r="BN319" s="70"/>
      <c r="BO319" s="70"/>
      <c r="BP319" s="70"/>
      <c r="BQ319" s="70"/>
      <c r="BR319" s="70"/>
      <c r="BS319" s="70"/>
      <c r="BT319" s="70"/>
      <c r="BU319" s="70"/>
      <c r="BV319" s="70"/>
      <c r="BW319" s="70"/>
      <c r="BX319" s="70"/>
      <c r="BY319" s="70"/>
      <c r="BZ319" s="70"/>
      <c r="CA319" s="70"/>
      <c r="CB319" s="70"/>
      <c r="CC319" s="70"/>
      <c r="CD319" s="70"/>
      <c r="CE319" s="70"/>
      <c r="CF319" s="70"/>
      <c r="CG319" s="70"/>
      <c r="CH319" s="70"/>
      <c r="CI319" s="70"/>
      <c r="CJ319" s="70"/>
      <c r="CK319" s="70"/>
      <c r="CL319" s="2"/>
      <c r="CM319" s="2"/>
      <c r="CN319" s="70"/>
      <c r="CO319" s="70"/>
      <c r="CP319" s="70"/>
      <c r="CQ319" s="70"/>
      <c r="CR319" s="2"/>
      <c r="CS319" s="2"/>
      <c r="CT319" s="70"/>
      <c r="CU319" s="70"/>
      <c r="CV319" s="70"/>
      <c r="CW319" s="70"/>
    </row>
    <row r="320" spans="1:101" ht="15.75" customHeight="1" x14ac:dyDescent="0.2">
      <c r="A320" s="1"/>
      <c r="B320" s="2"/>
      <c r="C320" s="2"/>
      <c r="D320" s="2"/>
      <c r="E320" s="2"/>
      <c r="F320" s="2"/>
      <c r="G320" s="2"/>
      <c r="H320" s="2"/>
      <c r="I320" s="2"/>
      <c r="J320" s="3"/>
      <c r="K320" s="2"/>
      <c r="L320" s="2"/>
      <c r="M320" s="2"/>
      <c r="N320" s="2"/>
      <c r="O320" s="2"/>
      <c r="P320" s="2"/>
      <c r="Q320" s="69"/>
      <c r="R320" s="69"/>
      <c r="S320" s="70"/>
      <c r="T320" s="70"/>
      <c r="U320" s="2"/>
      <c r="V320" s="2"/>
      <c r="W320" s="2"/>
      <c r="X320" s="2"/>
      <c r="Y320" s="2"/>
      <c r="Z320" s="2"/>
      <c r="AA320" s="20"/>
      <c r="AB320" s="71"/>
      <c r="AC320" s="71"/>
      <c r="AD320" s="2"/>
      <c r="AE320" s="70"/>
      <c r="AF320" s="70"/>
      <c r="AG320" s="70"/>
      <c r="AH320" s="70"/>
      <c r="AI320" s="2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 s="70"/>
      <c r="AX320" s="70"/>
      <c r="AY320" s="70"/>
      <c r="AZ320" s="70"/>
      <c r="BA320" s="70"/>
      <c r="BB320" s="70"/>
      <c r="BC320" s="70"/>
      <c r="BD320" s="70"/>
      <c r="BE320" s="70"/>
      <c r="BF320" s="70"/>
      <c r="BG320" s="70"/>
      <c r="BH320" s="70"/>
      <c r="BI320" s="70"/>
      <c r="BJ320" s="70"/>
      <c r="BK320" s="70"/>
      <c r="BL320" s="70"/>
      <c r="BM320" s="70"/>
      <c r="BN320" s="70"/>
      <c r="BO320" s="70"/>
      <c r="BP320" s="70"/>
      <c r="BQ320" s="70"/>
      <c r="BR320" s="70"/>
      <c r="BS320" s="70"/>
      <c r="BT320" s="70"/>
      <c r="BU320" s="70"/>
      <c r="BV320" s="70"/>
      <c r="BW320" s="70"/>
      <c r="BX320" s="70"/>
      <c r="BY320" s="70"/>
      <c r="BZ320" s="70"/>
      <c r="CA320" s="70"/>
      <c r="CB320" s="70"/>
      <c r="CC320" s="70"/>
      <c r="CD320" s="70"/>
      <c r="CE320" s="70"/>
      <c r="CF320" s="70"/>
      <c r="CG320" s="70"/>
      <c r="CH320" s="70"/>
      <c r="CI320" s="70"/>
      <c r="CJ320" s="70"/>
      <c r="CK320" s="70"/>
      <c r="CL320" s="2"/>
      <c r="CM320" s="2"/>
      <c r="CN320" s="70"/>
      <c r="CO320" s="70"/>
      <c r="CP320" s="70"/>
      <c r="CQ320" s="70"/>
      <c r="CR320" s="2"/>
      <c r="CS320" s="2"/>
      <c r="CT320" s="70"/>
      <c r="CU320" s="70"/>
      <c r="CV320" s="70"/>
      <c r="CW320" s="70"/>
    </row>
    <row r="321" spans="1:101" ht="15.75" customHeight="1" x14ac:dyDescent="0.2">
      <c r="A321" s="1"/>
      <c r="B321" s="2"/>
      <c r="C321" s="2"/>
      <c r="D321" s="2"/>
      <c r="E321" s="2"/>
      <c r="F321" s="2"/>
      <c r="G321" s="2"/>
      <c r="H321" s="2"/>
      <c r="I321" s="2"/>
      <c r="J321" s="3"/>
      <c r="K321" s="2"/>
      <c r="L321" s="2"/>
      <c r="M321" s="2"/>
      <c r="N321" s="2"/>
      <c r="O321" s="2"/>
      <c r="P321" s="2"/>
      <c r="Q321" s="69"/>
      <c r="R321" s="69"/>
      <c r="S321" s="70"/>
      <c r="T321" s="70"/>
      <c r="U321" s="2"/>
      <c r="V321" s="2"/>
      <c r="W321" s="2"/>
      <c r="X321" s="2"/>
      <c r="Y321" s="2"/>
      <c r="Z321" s="2"/>
      <c r="AA321" s="20"/>
      <c r="AB321" s="71"/>
      <c r="AC321" s="71"/>
      <c r="AD321" s="2"/>
      <c r="AE321" s="70"/>
      <c r="AF321" s="70"/>
      <c r="AG321" s="70"/>
      <c r="AH321" s="70"/>
      <c r="AI321" s="2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70"/>
      <c r="AX321" s="70"/>
      <c r="AY321" s="70"/>
      <c r="AZ321" s="70"/>
      <c r="BA321" s="70"/>
      <c r="BB321" s="70"/>
      <c r="BC321" s="70"/>
      <c r="BD321" s="70"/>
      <c r="BE321" s="70"/>
      <c r="BF321" s="70"/>
      <c r="BG321" s="70"/>
      <c r="BH321" s="70"/>
      <c r="BI321" s="70"/>
      <c r="BJ321" s="70"/>
      <c r="BK321" s="70"/>
      <c r="BL321" s="70"/>
      <c r="BM321" s="70"/>
      <c r="BN321" s="70"/>
      <c r="BO321" s="70"/>
      <c r="BP321" s="70"/>
      <c r="BQ321" s="70"/>
      <c r="BR321" s="70"/>
      <c r="BS321" s="70"/>
      <c r="BT321" s="70"/>
      <c r="BU321" s="70"/>
      <c r="BV321" s="70"/>
      <c r="BW321" s="70"/>
      <c r="BX321" s="70"/>
      <c r="BY321" s="70"/>
      <c r="BZ321" s="70"/>
      <c r="CA321" s="70"/>
      <c r="CB321" s="70"/>
      <c r="CC321" s="70"/>
      <c r="CD321" s="70"/>
      <c r="CE321" s="70"/>
      <c r="CF321" s="70"/>
      <c r="CG321" s="70"/>
      <c r="CH321" s="70"/>
      <c r="CI321" s="70"/>
      <c r="CJ321" s="70"/>
      <c r="CK321" s="70"/>
      <c r="CL321" s="2"/>
      <c r="CM321" s="2"/>
      <c r="CN321" s="70"/>
      <c r="CO321" s="70"/>
      <c r="CP321" s="70"/>
      <c r="CQ321" s="70"/>
      <c r="CR321" s="2"/>
      <c r="CS321" s="2"/>
      <c r="CT321" s="70"/>
      <c r="CU321" s="70"/>
      <c r="CV321" s="70"/>
      <c r="CW321" s="70"/>
    </row>
    <row r="322" spans="1:101" ht="15.75" customHeight="1" x14ac:dyDescent="0.2">
      <c r="A322" s="1"/>
      <c r="B322" s="2"/>
      <c r="C322" s="2"/>
      <c r="D322" s="2"/>
      <c r="E322" s="2"/>
      <c r="F322" s="2"/>
      <c r="G322" s="2"/>
      <c r="H322" s="2"/>
      <c r="I322" s="2"/>
      <c r="J322" s="3"/>
      <c r="K322" s="2"/>
      <c r="L322" s="2"/>
      <c r="M322" s="2"/>
      <c r="N322" s="2"/>
      <c r="O322" s="2"/>
      <c r="P322" s="2"/>
      <c r="Q322" s="69"/>
      <c r="R322" s="69"/>
      <c r="S322" s="70"/>
      <c r="T322" s="70"/>
      <c r="U322" s="2"/>
      <c r="V322" s="2"/>
      <c r="W322" s="2"/>
      <c r="X322" s="2"/>
      <c r="Y322" s="2"/>
      <c r="Z322" s="2"/>
      <c r="AA322" s="20"/>
      <c r="AB322" s="71"/>
      <c r="AC322" s="71"/>
      <c r="AD322" s="2"/>
      <c r="AE322" s="70"/>
      <c r="AF322" s="70"/>
      <c r="AG322" s="70"/>
      <c r="AH322" s="70"/>
      <c r="AI322" s="2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 s="70"/>
      <c r="AX322" s="70"/>
      <c r="AY322" s="70"/>
      <c r="AZ322" s="70"/>
      <c r="BA322" s="70"/>
      <c r="BB322" s="70"/>
      <c r="BC322" s="70"/>
      <c r="BD322" s="70"/>
      <c r="BE322" s="70"/>
      <c r="BF322" s="70"/>
      <c r="BG322" s="70"/>
      <c r="BH322" s="70"/>
      <c r="BI322" s="70"/>
      <c r="BJ322" s="70"/>
      <c r="BK322" s="70"/>
      <c r="BL322" s="70"/>
      <c r="BM322" s="70"/>
      <c r="BN322" s="70"/>
      <c r="BO322" s="70"/>
      <c r="BP322" s="70"/>
      <c r="BQ322" s="70"/>
      <c r="BR322" s="70"/>
      <c r="BS322" s="70"/>
      <c r="BT322" s="70"/>
      <c r="BU322" s="70"/>
      <c r="BV322" s="70"/>
      <c r="BW322" s="70"/>
      <c r="BX322" s="70"/>
      <c r="BY322" s="70"/>
      <c r="BZ322" s="70"/>
      <c r="CA322" s="70"/>
      <c r="CB322" s="70"/>
      <c r="CC322" s="70"/>
      <c r="CD322" s="70"/>
      <c r="CE322" s="70"/>
      <c r="CF322" s="70"/>
      <c r="CG322" s="70"/>
      <c r="CH322" s="70"/>
      <c r="CI322" s="70"/>
      <c r="CJ322" s="70"/>
      <c r="CK322" s="70"/>
      <c r="CL322" s="2"/>
      <c r="CM322" s="2"/>
      <c r="CN322" s="70"/>
      <c r="CO322" s="70"/>
      <c r="CP322" s="70"/>
      <c r="CQ322" s="70"/>
      <c r="CR322" s="2"/>
      <c r="CS322" s="2"/>
      <c r="CT322" s="70"/>
      <c r="CU322" s="70"/>
      <c r="CV322" s="70"/>
      <c r="CW322" s="70"/>
    </row>
    <row r="323" spans="1:101" ht="15.75" customHeight="1" x14ac:dyDescent="0.2">
      <c r="A323" s="1"/>
      <c r="B323" s="2"/>
      <c r="C323" s="2"/>
      <c r="D323" s="2"/>
      <c r="E323" s="2"/>
      <c r="F323" s="2"/>
      <c r="G323" s="2"/>
      <c r="H323" s="2"/>
      <c r="I323" s="2"/>
      <c r="J323" s="3"/>
      <c r="K323" s="2"/>
      <c r="L323" s="2"/>
      <c r="M323" s="2"/>
      <c r="N323" s="2"/>
      <c r="O323" s="2"/>
      <c r="P323" s="2"/>
      <c r="Q323" s="69"/>
      <c r="R323" s="69"/>
      <c r="S323" s="70"/>
      <c r="T323" s="70"/>
      <c r="U323" s="2"/>
      <c r="V323" s="2"/>
      <c r="W323" s="2"/>
      <c r="X323" s="2"/>
      <c r="Y323" s="2"/>
      <c r="Z323" s="2"/>
      <c r="AA323" s="20"/>
      <c r="AB323" s="71"/>
      <c r="AC323" s="71"/>
      <c r="AD323" s="2"/>
      <c r="AE323" s="70"/>
      <c r="AF323" s="70"/>
      <c r="AG323" s="70"/>
      <c r="AH323" s="70"/>
      <c r="AI323" s="2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 s="70"/>
      <c r="AX323" s="70"/>
      <c r="AY323" s="70"/>
      <c r="AZ323" s="70"/>
      <c r="BA323" s="70"/>
      <c r="BB323" s="70"/>
      <c r="BC323" s="70"/>
      <c r="BD323" s="70"/>
      <c r="BE323" s="70"/>
      <c r="BF323" s="70"/>
      <c r="BG323" s="70"/>
      <c r="BH323" s="70"/>
      <c r="BI323" s="70"/>
      <c r="BJ323" s="70"/>
      <c r="BK323" s="70"/>
      <c r="BL323" s="70"/>
      <c r="BM323" s="70"/>
      <c r="BN323" s="70"/>
      <c r="BO323" s="70"/>
      <c r="BP323" s="70"/>
      <c r="BQ323" s="70"/>
      <c r="BR323" s="70"/>
      <c r="BS323" s="70"/>
      <c r="BT323" s="70"/>
      <c r="BU323" s="70"/>
      <c r="BV323" s="70"/>
      <c r="BW323" s="70"/>
      <c r="BX323" s="70"/>
      <c r="BY323" s="70"/>
      <c r="BZ323" s="70"/>
      <c r="CA323" s="70"/>
      <c r="CB323" s="70"/>
      <c r="CC323" s="70"/>
      <c r="CD323" s="70"/>
      <c r="CE323" s="70"/>
      <c r="CF323" s="70"/>
      <c r="CG323" s="70"/>
      <c r="CH323" s="70"/>
      <c r="CI323" s="70"/>
      <c r="CJ323" s="70"/>
      <c r="CK323" s="70"/>
      <c r="CL323" s="2"/>
      <c r="CM323" s="2"/>
      <c r="CN323" s="70"/>
      <c r="CO323" s="70"/>
      <c r="CP323" s="70"/>
      <c r="CQ323" s="70"/>
      <c r="CR323" s="2"/>
      <c r="CS323" s="2"/>
      <c r="CT323" s="70"/>
      <c r="CU323" s="70"/>
      <c r="CV323" s="70"/>
      <c r="CW323" s="70"/>
    </row>
    <row r="324" spans="1:101" ht="15.75" customHeight="1" x14ac:dyDescent="0.2">
      <c r="A324" s="1"/>
      <c r="B324" s="2"/>
      <c r="C324" s="2"/>
      <c r="D324" s="2"/>
      <c r="E324" s="2"/>
      <c r="F324" s="2"/>
      <c r="G324" s="2"/>
      <c r="H324" s="2"/>
      <c r="I324" s="2"/>
      <c r="J324" s="3"/>
      <c r="K324" s="2"/>
      <c r="L324" s="2"/>
      <c r="M324" s="2"/>
      <c r="N324" s="2"/>
      <c r="O324" s="2"/>
      <c r="P324" s="2"/>
      <c r="Q324" s="69"/>
      <c r="R324" s="69"/>
      <c r="S324" s="70"/>
      <c r="T324" s="70"/>
      <c r="U324" s="2"/>
      <c r="V324" s="2"/>
      <c r="W324" s="2"/>
      <c r="X324" s="2"/>
      <c r="Y324" s="2"/>
      <c r="Z324" s="2"/>
      <c r="AA324" s="20"/>
      <c r="AB324" s="71"/>
      <c r="AC324" s="71"/>
      <c r="AD324" s="2"/>
      <c r="AE324" s="70"/>
      <c r="AF324" s="70"/>
      <c r="AG324" s="70"/>
      <c r="AH324" s="70"/>
      <c r="AI324" s="2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 s="70"/>
      <c r="AX324" s="70"/>
      <c r="AY324" s="70"/>
      <c r="AZ324" s="70"/>
      <c r="BA324" s="70"/>
      <c r="BB324" s="70"/>
      <c r="BC324" s="70"/>
      <c r="BD324" s="70"/>
      <c r="BE324" s="70"/>
      <c r="BF324" s="70"/>
      <c r="BG324" s="70"/>
      <c r="BH324" s="70"/>
      <c r="BI324" s="70"/>
      <c r="BJ324" s="70"/>
      <c r="BK324" s="70"/>
      <c r="BL324" s="70"/>
      <c r="BM324" s="70"/>
      <c r="BN324" s="70"/>
      <c r="BO324" s="70"/>
      <c r="BP324" s="70"/>
      <c r="BQ324" s="70"/>
      <c r="BR324" s="70"/>
      <c r="BS324" s="70"/>
      <c r="BT324" s="70"/>
      <c r="BU324" s="70"/>
      <c r="BV324" s="70"/>
      <c r="BW324" s="70"/>
      <c r="BX324" s="70"/>
      <c r="BY324" s="70"/>
      <c r="BZ324" s="70"/>
      <c r="CA324" s="70"/>
      <c r="CB324" s="70"/>
      <c r="CC324" s="70"/>
      <c r="CD324" s="70"/>
      <c r="CE324" s="70"/>
      <c r="CF324" s="70"/>
      <c r="CG324" s="70"/>
      <c r="CH324" s="70"/>
      <c r="CI324" s="70"/>
      <c r="CJ324" s="70"/>
      <c r="CK324" s="70"/>
      <c r="CL324" s="2"/>
      <c r="CM324" s="2"/>
      <c r="CN324" s="70"/>
      <c r="CO324" s="70"/>
      <c r="CP324" s="70"/>
      <c r="CQ324" s="70"/>
      <c r="CR324" s="2"/>
      <c r="CS324" s="2"/>
      <c r="CT324" s="70"/>
      <c r="CU324" s="70"/>
      <c r="CV324" s="70"/>
      <c r="CW324" s="70"/>
    </row>
    <row r="325" spans="1:101" ht="15.75" customHeight="1" x14ac:dyDescent="0.2">
      <c r="A325" s="1"/>
      <c r="B325" s="2"/>
      <c r="C325" s="2"/>
      <c r="D325" s="2"/>
      <c r="E325" s="2"/>
      <c r="F325" s="2"/>
      <c r="G325" s="2"/>
      <c r="H325" s="2"/>
      <c r="I325" s="2"/>
      <c r="J325" s="3"/>
      <c r="K325" s="2"/>
      <c r="L325" s="2"/>
      <c r="M325" s="2"/>
      <c r="N325" s="2"/>
      <c r="O325" s="2"/>
      <c r="P325" s="2"/>
      <c r="Q325" s="69"/>
      <c r="R325" s="69"/>
      <c r="S325" s="70"/>
      <c r="T325" s="70"/>
      <c r="U325" s="2"/>
      <c r="V325" s="2"/>
      <c r="W325" s="2"/>
      <c r="X325" s="2"/>
      <c r="Y325" s="2"/>
      <c r="Z325" s="2"/>
      <c r="AA325" s="20"/>
      <c r="AB325" s="71"/>
      <c r="AC325" s="71"/>
      <c r="AD325" s="2"/>
      <c r="AE325" s="70"/>
      <c r="AF325" s="70"/>
      <c r="AG325" s="70"/>
      <c r="AH325" s="70"/>
      <c r="AI325" s="2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 s="70"/>
      <c r="AX325" s="70"/>
      <c r="AY325" s="70"/>
      <c r="AZ325" s="70"/>
      <c r="BA325" s="70"/>
      <c r="BB325" s="70"/>
      <c r="BC325" s="70"/>
      <c r="BD325" s="70"/>
      <c r="BE325" s="70"/>
      <c r="BF325" s="70"/>
      <c r="BG325" s="70"/>
      <c r="BH325" s="70"/>
      <c r="BI325" s="70"/>
      <c r="BJ325" s="70"/>
      <c r="BK325" s="70"/>
      <c r="BL325" s="70"/>
      <c r="BM325" s="70"/>
      <c r="BN325" s="70"/>
      <c r="BO325" s="70"/>
      <c r="BP325" s="70"/>
      <c r="BQ325" s="70"/>
      <c r="BR325" s="70"/>
      <c r="BS325" s="70"/>
      <c r="BT325" s="70"/>
      <c r="BU325" s="70"/>
      <c r="BV325" s="70"/>
      <c r="BW325" s="70"/>
      <c r="BX325" s="70"/>
      <c r="BY325" s="70"/>
      <c r="BZ325" s="70"/>
      <c r="CA325" s="70"/>
      <c r="CB325" s="70"/>
      <c r="CC325" s="70"/>
      <c r="CD325" s="70"/>
      <c r="CE325" s="70"/>
      <c r="CF325" s="70"/>
      <c r="CG325" s="70"/>
      <c r="CH325" s="70"/>
      <c r="CI325" s="70"/>
      <c r="CJ325" s="70"/>
      <c r="CK325" s="70"/>
      <c r="CL325" s="2"/>
      <c r="CM325" s="2"/>
      <c r="CN325" s="70"/>
      <c r="CO325" s="70"/>
      <c r="CP325" s="70"/>
      <c r="CQ325" s="70"/>
      <c r="CR325" s="2"/>
      <c r="CS325" s="2"/>
      <c r="CT325" s="70"/>
      <c r="CU325" s="70"/>
      <c r="CV325" s="70"/>
      <c r="CW325" s="70"/>
    </row>
    <row r="326" spans="1:101" ht="15.75" customHeight="1" x14ac:dyDescent="0.2">
      <c r="A326" s="1"/>
      <c r="B326" s="2"/>
      <c r="C326" s="2"/>
      <c r="D326" s="2"/>
      <c r="E326" s="2"/>
      <c r="F326" s="2"/>
      <c r="G326" s="2"/>
      <c r="H326" s="2"/>
      <c r="I326" s="2"/>
      <c r="J326" s="3"/>
      <c r="K326" s="2"/>
      <c r="L326" s="2"/>
      <c r="M326" s="2"/>
      <c r="N326" s="2"/>
      <c r="O326" s="2"/>
      <c r="P326" s="2"/>
      <c r="Q326" s="69"/>
      <c r="R326" s="69"/>
      <c r="S326" s="70"/>
      <c r="T326" s="70"/>
      <c r="U326" s="2"/>
      <c r="V326" s="2"/>
      <c r="W326" s="2"/>
      <c r="X326" s="2"/>
      <c r="Y326" s="2"/>
      <c r="Z326" s="2"/>
      <c r="AA326" s="20"/>
      <c r="AB326" s="71"/>
      <c r="AC326" s="71"/>
      <c r="AD326" s="2"/>
      <c r="AE326" s="70"/>
      <c r="AF326" s="70"/>
      <c r="AG326" s="70"/>
      <c r="AH326" s="70"/>
      <c r="AI326" s="2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 s="70"/>
      <c r="AX326" s="70"/>
      <c r="AY326" s="70"/>
      <c r="AZ326" s="70"/>
      <c r="BA326" s="70"/>
      <c r="BB326" s="70"/>
      <c r="BC326" s="70"/>
      <c r="BD326" s="70"/>
      <c r="BE326" s="70"/>
      <c r="BF326" s="70"/>
      <c r="BG326" s="70"/>
      <c r="BH326" s="70"/>
      <c r="BI326" s="70"/>
      <c r="BJ326" s="70"/>
      <c r="BK326" s="70"/>
      <c r="BL326" s="70"/>
      <c r="BM326" s="70"/>
      <c r="BN326" s="70"/>
      <c r="BO326" s="70"/>
      <c r="BP326" s="70"/>
      <c r="BQ326" s="70"/>
      <c r="BR326" s="70"/>
      <c r="BS326" s="70"/>
      <c r="BT326" s="70"/>
      <c r="BU326" s="70"/>
      <c r="BV326" s="70"/>
      <c r="BW326" s="70"/>
      <c r="BX326" s="70"/>
      <c r="BY326" s="70"/>
      <c r="BZ326" s="70"/>
      <c r="CA326" s="70"/>
      <c r="CB326" s="70"/>
      <c r="CC326" s="70"/>
      <c r="CD326" s="70"/>
      <c r="CE326" s="70"/>
      <c r="CF326" s="70"/>
      <c r="CG326" s="70"/>
      <c r="CH326" s="70"/>
      <c r="CI326" s="70"/>
      <c r="CJ326" s="70"/>
      <c r="CK326" s="70"/>
      <c r="CL326" s="2"/>
      <c r="CM326" s="2"/>
      <c r="CN326" s="70"/>
      <c r="CO326" s="70"/>
      <c r="CP326" s="70"/>
      <c r="CQ326" s="70"/>
      <c r="CR326" s="2"/>
      <c r="CS326" s="2"/>
      <c r="CT326" s="70"/>
      <c r="CU326" s="70"/>
      <c r="CV326" s="70"/>
      <c r="CW326" s="70"/>
    </row>
    <row r="327" spans="1:101" ht="15.75" customHeight="1" x14ac:dyDescent="0.2">
      <c r="A327" s="1"/>
      <c r="B327" s="2"/>
      <c r="C327" s="2"/>
      <c r="D327" s="2"/>
      <c r="E327" s="2"/>
      <c r="F327" s="2"/>
      <c r="G327" s="2"/>
      <c r="H327" s="2"/>
      <c r="I327" s="2"/>
      <c r="J327" s="3"/>
      <c r="K327" s="2"/>
      <c r="L327" s="2"/>
      <c r="M327" s="2"/>
      <c r="N327" s="2"/>
      <c r="O327" s="2"/>
      <c r="P327" s="2"/>
      <c r="Q327" s="69"/>
      <c r="R327" s="69"/>
      <c r="S327" s="70"/>
      <c r="T327" s="70"/>
      <c r="U327" s="2"/>
      <c r="V327" s="2"/>
      <c r="W327" s="2"/>
      <c r="X327" s="2"/>
      <c r="Y327" s="2"/>
      <c r="Z327" s="2"/>
      <c r="AA327" s="20"/>
      <c r="AB327" s="71"/>
      <c r="AC327" s="71"/>
      <c r="AD327" s="2"/>
      <c r="AE327" s="70"/>
      <c r="AF327" s="70"/>
      <c r="AG327" s="70"/>
      <c r="AH327" s="70"/>
      <c r="AI327" s="2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 s="70"/>
      <c r="AX327" s="70"/>
      <c r="AY327" s="70"/>
      <c r="AZ327" s="70"/>
      <c r="BA327" s="70"/>
      <c r="BB327" s="70"/>
      <c r="BC327" s="70"/>
      <c r="BD327" s="70"/>
      <c r="BE327" s="70"/>
      <c r="BF327" s="70"/>
      <c r="BG327" s="70"/>
      <c r="BH327" s="70"/>
      <c r="BI327" s="70"/>
      <c r="BJ327" s="70"/>
      <c r="BK327" s="70"/>
      <c r="BL327" s="70"/>
      <c r="BM327" s="70"/>
      <c r="BN327" s="70"/>
      <c r="BO327" s="70"/>
      <c r="BP327" s="70"/>
      <c r="BQ327" s="70"/>
      <c r="BR327" s="70"/>
      <c r="BS327" s="70"/>
      <c r="BT327" s="70"/>
      <c r="BU327" s="70"/>
      <c r="BV327" s="70"/>
      <c r="BW327" s="70"/>
      <c r="BX327" s="70"/>
      <c r="BY327" s="70"/>
      <c r="BZ327" s="70"/>
      <c r="CA327" s="70"/>
      <c r="CB327" s="70"/>
      <c r="CC327" s="70"/>
      <c r="CD327" s="70"/>
      <c r="CE327" s="70"/>
      <c r="CF327" s="70"/>
      <c r="CG327" s="70"/>
      <c r="CH327" s="70"/>
      <c r="CI327" s="70"/>
      <c r="CJ327" s="70"/>
      <c r="CK327" s="70"/>
      <c r="CL327" s="2"/>
      <c r="CM327" s="2"/>
      <c r="CN327" s="70"/>
      <c r="CO327" s="70"/>
      <c r="CP327" s="70"/>
      <c r="CQ327" s="70"/>
      <c r="CR327" s="2"/>
      <c r="CS327" s="2"/>
      <c r="CT327" s="70"/>
      <c r="CU327" s="70"/>
      <c r="CV327" s="70"/>
      <c r="CW327" s="70"/>
    </row>
    <row r="328" spans="1:101" ht="15.75" customHeight="1" x14ac:dyDescent="0.2">
      <c r="A328" s="1"/>
      <c r="B328" s="2"/>
      <c r="C328" s="2"/>
      <c r="D328" s="2"/>
      <c r="E328" s="2"/>
      <c r="F328" s="2"/>
      <c r="G328" s="2"/>
      <c r="H328" s="2"/>
      <c r="I328" s="2"/>
      <c r="J328" s="3"/>
      <c r="K328" s="2"/>
      <c r="L328" s="2"/>
      <c r="M328" s="2"/>
      <c r="N328" s="2"/>
      <c r="O328" s="2"/>
      <c r="P328" s="2"/>
      <c r="Q328" s="69"/>
      <c r="R328" s="69"/>
      <c r="S328" s="70"/>
      <c r="T328" s="70"/>
      <c r="U328" s="2"/>
      <c r="V328" s="2"/>
      <c r="W328" s="2"/>
      <c r="X328" s="2"/>
      <c r="Y328" s="2"/>
      <c r="Z328" s="2"/>
      <c r="AA328" s="20"/>
      <c r="AB328" s="71"/>
      <c r="AC328" s="71"/>
      <c r="AD328" s="2"/>
      <c r="AE328" s="70"/>
      <c r="AF328" s="70"/>
      <c r="AG328" s="70"/>
      <c r="AH328" s="70"/>
      <c r="AI328" s="2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 s="70"/>
      <c r="AX328" s="70"/>
      <c r="AY328" s="70"/>
      <c r="AZ328" s="70"/>
      <c r="BA328" s="70"/>
      <c r="BB328" s="70"/>
      <c r="BC328" s="70"/>
      <c r="BD328" s="70"/>
      <c r="BE328" s="70"/>
      <c r="BF328" s="70"/>
      <c r="BG328" s="70"/>
      <c r="BH328" s="70"/>
      <c r="BI328" s="70"/>
      <c r="BJ328" s="70"/>
      <c r="BK328" s="70"/>
      <c r="BL328" s="70"/>
      <c r="BM328" s="70"/>
      <c r="BN328" s="70"/>
      <c r="BO328" s="70"/>
      <c r="BP328" s="70"/>
      <c r="BQ328" s="70"/>
      <c r="BR328" s="70"/>
      <c r="BS328" s="70"/>
      <c r="BT328" s="70"/>
      <c r="BU328" s="70"/>
      <c r="BV328" s="70"/>
      <c r="BW328" s="70"/>
      <c r="BX328" s="70"/>
      <c r="BY328" s="70"/>
      <c r="BZ328" s="70"/>
      <c r="CA328" s="70"/>
      <c r="CB328" s="70"/>
      <c r="CC328" s="70"/>
      <c r="CD328" s="70"/>
      <c r="CE328" s="70"/>
      <c r="CF328" s="70"/>
      <c r="CG328" s="70"/>
      <c r="CH328" s="70"/>
      <c r="CI328" s="70"/>
      <c r="CJ328" s="70"/>
      <c r="CK328" s="70"/>
      <c r="CL328" s="2"/>
      <c r="CM328" s="2"/>
      <c r="CN328" s="70"/>
      <c r="CO328" s="70"/>
      <c r="CP328" s="70"/>
      <c r="CQ328" s="70"/>
      <c r="CR328" s="2"/>
      <c r="CS328" s="2"/>
      <c r="CT328" s="70"/>
      <c r="CU328" s="70"/>
      <c r="CV328" s="70"/>
      <c r="CW328" s="70"/>
    </row>
    <row r="329" spans="1:101" ht="15.75" customHeight="1" x14ac:dyDescent="0.2">
      <c r="A329" s="1"/>
      <c r="B329" s="2"/>
      <c r="C329" s="2"/>
      <c r="D329" s="2"/>
      <c r="E329" s="2"/>
      <c r="F329" s="2"/>
      <c r="G329" s="2"/>
      <c r="H329" s="2"/>
      <c r="I329" s="2"/>
      <c r="J329" s="3"/>
      <c r="K329" s="2"/>
      <c r="L329" s="2"/>
      <c r="M329" s="2"/>
      <c r="N329" s="2"/>
      <c r="O329" s="2"/>
      <c r="P329" s="2"/>
      <c r="Q329" s="69"/>
      <c r="R329" s="69"/>
      <c r="S329" s="70"/>
      <c r="T329" s="70"/>
      <c r="U329" s="2"/>
      <c r="V329" s="2"/>
      <c r="W329" s="2"/>
      <c r="X329" s="2"/>
      <c r="Y329" s="2"/>
      <c r="Z329" s="2"/>
      <c r="AA329" s="20"/>
      <c r="AB329" s="71"/>
      <c r="AC329" s="71"/>
      <c r="AD329" s="2"/>
      <c r="AE329" s="70"/>
      <c r="AF329" s="70"/>
      <c r="AG329" s="70"/>
      <c r="AH329" s="70"/>
      <c r="AI329" s="2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 s="70"/>
      <c r="AX329" s="70"/>
      <c r="AY329" s="70"/>
      <c r="AZ329" s="70"/>
      <c r="BA329" s="70"/>
      <c r="BB329" s="70"/>
      <c r="BC329" s="70"/>
      <c r="BD329" s="70"/>
      <c r="BE329" s="70"/>
      <c r="BF329" s="70"/>
      <c r="BG329" s="70"/>
      <c r="BH329" s="70"/>
      <c r="BI329" s="70"/>
      <c r="BJ329" s="70"/>
      <c r="BK329" s="70"/>
      <c r="BL329" s="70"/>
      <c r="BM329" s="70"/>
      <c r="BN329" s="70"/>
      <c r="BO329" s="70"/>
      <c r="BP329" s="70"/>
      <c r="BQ329" s="70"/>
      <c r="BR329" s="70"/>
      <c r="BS329" s="70"/>
      <c r="BT329" s="70"/>
      <c r="BU329" s="70"/>
      <c r="BV329" s="70"/>
      <c r="BW329" s="70"/>
      <c r="BX329" s="70"/>
      <c r="BY329" s="70"/>
      <c r="BZ329" s="70"/>
      <c r="CA329" s="70"/>
      <c r="CB329" s="70"/>
      <c r="CC329" s="70"/>
      <c r="CD329" s="70"/>
      <c r="CE329" s="70"/>
      <c r="CF329" s="70"/>
      <c r="CG329" s="70"/>
      <c r="CH329" s="70"/>
      <c r="CI329" s="70"/>
      <c r="CJ329" s="70"/>
      <c r="CK329" s="70"/>
      <c r="CL329" s="2"/>
      <c r="CM329" s="2"/>
      <c r="CN329" s="70"/>
      <c r="CO329" s="70"/>
      <c r="CP329" s="70"/>
      <c r="CQ329" s="70"/>
      <c r="CR329" s="2"/>
      <c r="CS329" s="2"/>
      <c r="CT329" s="70"/>
      <c r="CU329" s="70"/>
      <c r="CV329" s="70"/>
      <c r="CW329" s="70"/>
    </row>
    <row r="330" spans="1:101" ht="15.75" customHeight="1" x14ac:dyDescent="0.2">
      <c r="A330" s="1"/>
      <c r="B330" s="2"/>
      <c r="C330" s="2"/>
      <c r="D330" s="2"/>
      <c r="E330" s="2"/>
      <c r="F330" s="2"/>
      <c r="G330" s="2"/>
      <c r="H330" s="2"/>
      <c r="I330" s="2"/>
      <c r="J330" s="3"/>
      <c r="K330" s="2"/>
      <c r="L330" s="2"/>
      <c r="M330" s="2"/>
      <c r="N330" s="2"/>
      <c r="O330" s="2"/>
      <c r="P330" s="2"/>
      <c r="Q330" s="69"/>
      <c r="R330" s="69"/>
      <c r="S330" s="70"/>
      <c r="T330" s="70"/>
      <c r="U330" s="2"/>
      <c r="V330" s="2"/>
      <c r="W330" s="2"/>
      <c r="X330" s="2"/>
      <c r="Y330" s="2"/>
      <c r="Z330" s="2"/>
      <c r="AA330" s="20"/>
      <c r="AB330" s="71"/>
      <c r="AC330" s="71"/>
      <c r="AD330" s="2"/>
      <c r="AE330" s="70"/>
      <c r="AF330" s="70"/>
      <c r="AG330" s="70"/>
      <c r="AH330" s="70"/>
      <c r="AI330" s="2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 s="70"/>
      <c r="AX330" s="70"/>
      <c r="AY330" s="70"/>
      <c r="AZ330" s="70"/>
      <c r="BA330" s="70"/>
      <c r="BB330" s="70"/>
      <c r="BC330" s="70"/>
      <c r="BD330" s="70"/>
      <c r="BE330" s="70"/>
      <c r="BF330" s="70"/>
      <c r="BG330" s="70"/>
      <c r="BH330" s="70"/>
      <c r="BI330" s="70"/>
      <c r="BJ330" s="70"/>
      <c r="BK330" s="70"/>
      <c r="BL330" s="70"/>
      <c r="BM330" s="70"/>
      <c r="BN330" s="70"/>
      <c r="BO330" s="70"/>
      <c r="BP330" s="70"/>
      <c r="BQ330" s="70"/>
      <c r="BR330" s="70"/>
      <c r="BS330" s="70"/>
      <c r="BT330" s="70"/>
      <c r="BU330" s="70"/>
      <c r="BV330" s="70"/>
      <c r="BW330" s="70"/>
      <c r="BX330" s="70"/>
      <c r="BY330" s="70"/>
      <c r="BZ330" s="70"/>
      <c r="CA330" s="70"/>
      <c r="CB330" s="70"/>
      <c r="CC330" s="70"/>
      <c r="CD330" s="70"/>
      <c r="CE330" s="70"/>
      <c r="CF330" s="70"/>
      <c r="CG330" s="70"/>
      <c r="CH330" s="70"/>
      <c r="CI330" s="70"/>
      <c r="CJ330" s="70"/>
      <c r="CK330" s="70"/>
      <c r="CL330" s="2"/>
      <c r="CM330" s="2"/>
      <c r="CN330" s="70"/>
      <c r="CO330" s="70"/>
      <c r="CP330" s="70"/>
      <c r="CQ330" s="70"/>
      <c r="CR330" s="2"/>
      <c r="CS330" s="2"/>
      <c r="CT330" s="70"/>
      <c r="CU330" s="70"/>
      <c r="CV330" s="70"/>
      <c r="CW330" s="70"/>
    </row>
    <row r="331" spans="1:101" ht="15.75" customHeight="1" x14ac:dyDescent="0.2">
      <c r="A331" s="1"/>
      <c r="B331" s="2"/>
      <c r="C331" s="2"/>
      <c r="D331" s="2"/>
      <c r="E331" s="2"/>
      <c r="F331" s="2"/>
      <c r="G331" s="2"/>
      <c r="H331" s="2"/>
      <c r="I331" s="2"/>
      <c r="J331" s="3"/>
      <c r="K331" s="2"/>
      <c r="L331" s="2"/>
      <c r="M331" s="2"/>
      <c r="N331" s="2"/>
      <c r="O331" s="2"/>
      <c r="P331" s="2"/>
      <c r="Q331" s="69"/>
      <c r="R331" s="69"/>
      <c r="S331" s="70"/>
      <c r="T331" s="70"/>
      <c r="U331" s="2"/>
      <c r="V331" s="2"/>
      <c r="W331" s="2"/>
      <c r="X331" s="2"/>
      <c r="Y331" s="2"/>
      <c r="Z331" s="2"/>
      <c r="AA331" s="20"/>
      <c r="AB331" s="71"/>
      <c r="AC331" s="71"/>
      <c r="AD331" s="2"/>
      <c r="AE331" s="70"/>
      <c r="AF331" s="70"/>
      <c r="AG331" s="70"/>
      <c r="AH331" s="70"/>
      <c r="AI331" s="2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 s="70"/>
      <c r="AX331" s="70"/>
      <c r="AY331" s="70"/>
      <c r="AZ331" s="70"/>
      <c r="BA331" s="70"/>
      <c r="BB331" s="70"/>
      <c r="BC331" s="70"/>
      <c r="BD331" s="70"/>
      <c r="BE331" s="70"/>
      <c r="BF331" s="70"/>
      <c r="BG331" s="70"/>
      <c r="BH331" s="70"/>
      <c r="BI331" s="70"/>
      <c r="BJ331" s="70"/>
      <c r="BK331" s="70"/>
      <c r="BL331" s="70"/>
      <c r="BM331" s="70"/>
      <c r="BN331" s="70"/>
      <c r="BO331" s="70"/>
      <c r="BP331" s="70"/>
      <c r="BQ331" s="70"/>
      <c r="BR331" s="70"/>
      <c r="BS331" s="70"/>
      <c r="BT331" s="70"/>
      <c r="BU331" s="70"/>
      <c r="BV331" s="70"/>
      <c r="BW331" s="70"/>
      <c r="BX331" s="70"/>
      <c r="BY331" s="70"/>
      <c r="BZ331" s="70"/>
      <c r="CA331" s="70"/>
      <c r="CB331" s="70"/>
      <c r="CC331" s="70"/>
      <c r="CD331" s="70"/>
      <c r="CE331" s="70"/>
      <c r="CF331" s="70"/>
      <c r="CG331" s="70"/>
      <c r="CH331" s="70"/>
      <c r="CI331" s="70"/>
      <c r="CJ331" s="70"/>
      <c r="CK331" s="70"/>
      <c r="CL331" s="2"/>
      <c r="CM331" s="2"/>
      <c r="CN331" s="70"/>
      <c r="CO331" s="70"/>
      <c r="CP331" s="70"/>
      <c r="CQ331" s="70"/>
      <c r="CR331" s="2"/>
      <c r="CS331" s="2"/>
      <c r="CT331" s="70"/>
      <c r="CU331" s="70"/>
      <c r="CV331" s="70"/>
      <c r="CW331" s="70"/>
    </row>
    <row r="332" spans="1:101" ht="15.75" customHeight="1" x14ac:dyDescent="0.2">
      <c r="A332" s="1"/>
      <c r="B332" s="2"/>
      <c r="C332" s="2"/>
      <c r="D332" s="2"/>
      <c r="E332" s="2"/>
      <c r="F332" s="2"/>
      <c r="G332" s="2"/>
      <c r="H332" s="2"/>
      <c r="I332" s="2"/>
      <c r="J332" s="3"/>
      <c r="K332" s="2"/>
      <c r="L332" s="2"/>
      <c r="M332" s="2"/>
      <c r="N332" s="2"/>
      <c r="O332" s="2"/>
      <c r="P332" s="2"/>
      <c r="Q332" s="69"/>
      <c r="R332" s="69"/>
      <c r="S332" s="70"/>
      <c r="T332" s="70"/>
      <c r="U332" s="2"/>
      <c r="V332" s="2"/>
      <c r="W332" s="2"/>
      <c r="X332" s="2"/>
      <c r="Y332" s="2"/>
      <c r="Z332" s="2"/>
      <c r="AA332" s="20"/>
      <c r="AB332" s="71"/>
      <c r="AC332" s="71"/>
      <c r="AD332" s="2"/>
      <c r="AE332" s="70"/>
      <c r="AF332" s="70"/>
      <c r="AG332" s="70"/>
      <c r="AH332" s="70"/>
      <c r="AI332" s="2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0"/>
      <c r="AX332" s="70"/>
      <c r="AY332" s="70"/>
      <c r="AZ332" s="70"/>
      <c r="BA332" s="70"/>
      <c r="BB332" s="70"/>
      <c r="BC332" s="70"/>
      <c r="BD332" s="70"/>
      <c r="BE332" s="70"/>
      <c r="BF332" s="70"/>
      <c r="BG332" s="70"/>
      <c r="BH332" s="70"/>
      <c r="BI332" s="70"/>
      <c r="BJ332" s="70"/>
      <c r="BK332" s="70"/>
      <c r="BL332" s="70"/>
      <c r="BM332" s="70"/>
      <c r="BN332" s="70"/>
      <c r="BO332" s="70"/>
      <c r="BP332" s="70"/>
      <c r="BQ332" s="70"/>
      <c r="BR332" s="70"/>
      <c r="BS332" s="70"/>
      <c r="BT332" s="70"/>
      <c r="BU332" s="70"/>
      <c r="BV332" s="70"/>
      <c r="BW332" s="70"/>
      <c r="BX332" s="70"/>
      <c r="BY332" s="70"/>
      <c r="BZ332" s="70"/>
      <c r="CA332" s="70"/>
      <c r="CB332" s="70"/>
      <c r="CC332" s="70"/>
      <c r="CD332" s="70"/>
      <c r="CE332" s="70"/>
      <c r="CF332" s="70"/>
      <c r="CG332" s="70"/>
      <c r="CH332" s="70"/>
      <c r="CI332" s="70"/>
      <c r="CJ332" s="70"/>
      <c r="CK332" s="70"/>
      <c r="CL332" s="2"/>
      <c r="CM332" s="2"/>
      <c r="CN332" s="70"/>
      <c r="CO332" s="70"/>
      <c r="CP332" s="70"/>
      <c r="CQ332" s="70"/>
      <c r="CR332" s="2"/>
      <c r="CS332" s="2"/>
      <c r="CT332" s="70"/>
      <c r="CU332" s="70"/>
      <c r="CV332" s="70"/>
      <c r="CW332" s="70"/>
    </row>
    <row r="333" spans="1:101" ht="15.75" customHeight="1" x14ac:dyDescent="0.2">
      <c r="A333" s="1"/>
      <c r="B333" s="2"/>
      <c r="C333" s="2"/>
      <c r="D333" s="2"/>
      <c r="E333" s="2"/>
      <c r="F333" s="2"/>
      <c r="G333" s="2"/>
      <c r="H333" s="2"/>
      <c r="I333" s="2"/>
      <c r="J333" s="3"/>
      <c r="K333" s="2"/>
      <c r="L333" s="2"/>
      <c r="M333" s="2"/>
      <c r="N333" s="2"/>
      <c r="O333" s="2"/>
      <c r="P333" s="2"/>
      <c r="Q333" s="69"/>
      <c r="R333" s="69"/>
      <c r="S333" s="70"/>
      <c r="T333" s="70"/>
      <c r="U333" s="2"/>
      <c r="V333" s="2"/>
      <c r="W333" s="2"/>
      <c r="X333" s="2"/>
      <c r="Y333" s="2"/>
      <c r="Z333" s="2"/>
      <c r="AA333" s="20"/>
      <c r="AB333" s="71"/>
      <c r="AC333" s="71"/>
      <c r="AD333" s="2"/>
      <c r="AE333" s="70"/>
      <c r="AF333" s="70"/>
      <c r="AG333" s="70"/>
      <c r="AH333" s="70"/>
      <c r="AI333" s="2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70"/>
      <c r="AX333" s="70"/>
      <c r="AY333" s="70"/>
      <c r="AZ333" s="70"/>
      <c r="BA333" s="70"/>
      <c r="BB333" s="70"/>
      <c r="BC333" s="70"/>
      <c r="BD333" s="70"/>
      <c r="BE333" s="70"/>
      <c r="BF333" s="70"/>
      <c r="BG333" s="70"/>
      <c r="BH333" s="70"/>
      <c r="BI333" s="70"/>
      <c r="BJ333" s="70"/>
      <c r="BK333" s="70"/>
      <c r="BL333" s="70"/>
      <c r="BM333" s="70"/>
      <c r="BN333" s="70"/>
      <c r="BO333" s="70"/>
      <c r="BP333" s="70"/>
      <c r="BQ333" s="70"/>
      <c r="BR333" s="70"/>
      <c r="BS333" s="70"/>
      <c r="BT333" s="70"/>
      <c r="BU333" s="70"/>
      <c r="BV333" s="70"/>
      <c r="BW333" s="70"/>
      <c r="BX333" s="70"/>
      <c r="BY333" s="70"/>
      <c r="BZ333" s="70"/>
      <c r="CA333" s="70"/>
      <c r="CB333" s="70"/>
      <c r="CC333" s="70"/>
      <c r="CD333" s="70"/>
      <c r="CE333" s="70"/>
      <c r="CF333" s="70"/>
      <c r="CG333" s="70"/>
      <c r="CH333" s="70"/>
      <c r="CI333" s="70"/>
      <c r="CJ333" s="70"/>
      <c r="CK333" s="70"/>
      <c r="CL333" s="2"/>
      <c r="CM333" s="2"/>
      <c r="CN333" s="70"/>
      <c r="CO333" s="70"/>
      <c r="CP333" s="70"/>
      <c r="CQ333" s="70"/>
      <c r="CR333" s="2"/>
      <c r="CS333" s="2"/>
      <c r="CT333" s="70"/>
      <c r="CU333" s="70"/>
      <c r="CV333" s="70"/>
      <c r="CW333" s="70"/>
    </row>
    <row r="334" spans="1:101" ht="15.75" customHeight="1" x14ac:dyDescent="0.2">
      <c r="A334" s="1"/>
      <c r="B334" s="2"/>
      <c r="C334" s="2"/>
      <c r="D334" s="2"/>
      <c r="E334" s="2"/>
      <c r="F334" s="2"/>
      <c r="G334" s="2"/>
      <c r="H334" s="2"/>
      <c r="I334" s="2"/>
      <c r="J334" s="3"/>
      <c r="K334" s="2"/>
      <c r="L334" s="2"/>
      <c r="M334" s="2"/>
      <c r="N334" s="2"/>
      <c r="O334" s="2"/>
      <c r="P334" s="2"/>
      <c r="Q334" s="69"/>
      <c r="R334" s="69"/>
      <c r="S334" s="70"/>
      <c r="T334" s="70"/>
      <c r="U334" s="2"/>
      <c r="V334" s="2"/>
      <c r="W334" s="2"/>
      <c r="X334" s="2"/>
      <c r="Y334" s="2"/>
      <c r="Z334" s="2"/>
      <c r="AA334" s="20"/>
      <c r="AB334" s="71"/>
      <c r="AC334" s="71"/>
      <c r="AD334" s="2"/>
      <c r="AE334" s="70"/>
      <c r="AF334" s="70"/>
      <c r="AG334" s="70"/>
      <c r="AH334" s="70"/>
      <c r="AI334" s="2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  <c r="AW334" s="70"/>
      <c r="AX334" s="70"/>
      <c r="AY334" s="70"/>
      <c r="AZ334" s="70"/>
      <c r="BA334" s="70"/>
      <c r="BB334" s="70"/>
      <c r="BC334" s="70"/>
      <c r="BD334" s="70"/>
      <c r="BE334" s="70"/>
      <c r="BF334" s="70"/>
      <c r="BG334" s="70"/>
      <c r="BH334" s="70"/>
      <c r="BI334" s="70"/>
      <c r="BJ334" s="70"/>
      <c r="BK334" s="70"/>
      <c r="BL334" s="70"/>
      <c r="BM334" s="70"/>
      <c r="BN334" s="70"/>
      <c r="BO334" s="70"/>
      <c r="BP334" s="70"/>
      <c r="BQ334" s="70"/>
      <c r="BR334" s="70"/>
      <c r="BS334" s="70"/>
      <c r="BT334" s="70"/>
      <c r="BU334" s="70"/>
      <c r="BV334" s="70"/>
      <c r="BW334" s="70"/>
      <c r="BX334" s="70"/>
      <c r="BY334" s="70"/>
      <c r="BZ334" s="70"/>
      <c r="CA334" s="70"/>
      <c r="CB334" s="70"/>
      <c r="CC334" s="70"/>
      <c r="CD334" s="70"/>
      <c r="CE334" s="70"/>
      <c r="CF334" s="70"/>
      <c r="CG334" s="70"/>
      <c r="CH334" s="70"/>
      <c r="CI334" s="70"/>
      <c r="CJ334" s="70"/>
      <c r="CK334" s="70"/>
      <c r="CL334" s="2"/>
      <c r="CM334" s="2"/>
      <c r="CN334" s="70"/>
      <c r="CO334" s="70"/>
      <c r="CP334" s="70"/>
      <c r="CQ334" s="70"/>
      <c r="CR334" s="2"/>
      <c r="CS334" s="2"/>
      <c r="CT334" s="70"/>
      <c r="CU334" s="70"/>
      <c r="CV334" s="70"/>
      <c r="CW334" s="70"/>
    </row>
    <row r="335" spans="1:101" ht="15.75" customHeight="1" x14ac:dyDescent="0.2">
      <c r="A335" s="1"/>
      <c r="B335" s="2"/>
      <c r="C335" s="2"/>
      <c r="D335" s="2"/>
      <c r="E335" s="2"/>
      <c r="F335" s="2"/>
      <c r="G335" s="2"/>
      <c r="H335" s="2"/>
      <c r="I335" s="2"/>
      <c r="J335" s="3"/>
      <c r="K335" s="2"/>
      <c r="L335" s="2"/>
      <c r="M335" s="2"/>
      <c r="N335" s="2"/>
      <c r="O335" s="2"/>
      <c r="P335" s="2"/>
      <c r="Q335" s="69"/>
      <c r="R335" s="69"/>
      <c r="S335" s="70"/>
      <c r="T335" s="70"/>
      <c r="U335" s="2"/>
      <c r="V335" s="2"/>
      <c r="W335" s="2"/>
      <c r="X335" s="2"/>
      <c r="Y335" s="2"/>
      <c r="Z335" s="2"/>
      <c r="AA335" s="20"/>
      <c r="AB335" s="71"/>
      <c r="AC335" s="71"/>
      <c r="AD335" s="2"/>
      <c r="AE335" s="70"/>
      <c r="AF335" s="70"/>
      <c r="AG335" s="70"/>
      <c r="AH335" s="70"/>
      <c r="AI335" s="2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  <c r="AW335" s="70"/>
      <c r="AX335" s="70"/>
      <c r="AY335" s="70"/>
      <c r="AZ335" s="70"/>
      <c r="BA335" s="70"/>
      <c r="BB335" s="70"/>
      <c r="BC335" s="70"/>
      <c r="BD335" s="70"/>
      <c r="BE335" s="70"/>
      <c r="BF335" s="70"/>
      <c r="BG335" s="70"/>
      <c r="BH335" s="70"/>
      <c r="BI335" s="70"/>
      <c r="BJ335" s="70"/>
      <c r="BK335" s="70"/>
      <c r="BL335" s="70"/>
      <c r="BM335" s="70"/>
      <c r="BN335" s="70"/>
      <c r="BO335" s="70"/>
      <c r="BP335" s="70"/>
      <c r="BQ335" s="70"/>
      <c r="BR335" s="70"/>
      <c r="BS335" s="70"/>
      <c r="BT335" s="70"/>
      <c r="BU335" s="70"/>
      <c r="BV335" s="70"/>
      <c r="BW335" s="70"/>
      <c r="BX335" s="70"/>
      <c r="BY335" s="70"/>
      <c r="BZ335" s="70"/>
      <c r="CA335" s="70"/>
      <c r="CB335" s="70"/>
      <c r="CC335" s="70"/>
      <c r="CD335" s="70"/>
      <c r="CE335" s="70"/>
      <c r="CF335" s="70"/>
      <c r="CG335" s="70"/>
      <c r="CH335" s="70"/>
      <c r="CI335" s="70"/>
      <c r="CJ335" s="70"/>
      <c r="CK335" s="70"/>
      <c r="CL335" s="2"/>
      <c r="CM335" s="2"/>
      <c r="CN335" s="70"/>
      <c r="CO335" s="70"/>
      <c r="CP335" s="70"/>
      <c r="CQ335" s="70"/>
      <c r="CR335" s="2"/>
      <c r="CS335" s="2"/>
      <c r="CT335" s="70"/>
      <c r="CU335" s="70"/>
      <c r="CV335" s="70"/>
      <c r="CW335" s="70"/>
    </row>
    <row r="336" spans="1:101" ht="15.75" customHeight="1" x14ac:dyDescent="0.2">
      <c r="A336" s="1"/>
      <c r="B336" s="2"/>
      <c r="C336" s="2"/>
      <c r="D336" s="2"/>
      <c r="E336" s="2"/>
      <c r="F336" s="2"/>
      <c r="G336" s="2"/>
      <c r="H336" s="2"/>
      <c r="I336" s="2"/>
      <c r="J336" s="3"/>
      <c r="K336" s="2"/>
      <c r="L336" s="2"/>
      <c r="M336" s="2"/>
      <c r="N336" s="2"/>
      <c r="O336" s="2"/>
      <c r="P336" s="2"/>
      <c r="Q336" s="69"/>
      <c r="R336" s="69"/>
      <c r="S336" s="70"/>
      <c r="T336" s="70"/>
      <c r="U336" s="2"/>
      <c r="V336" s="2"/>
      <c r="W336" s="2"/>
      <c r="X336" s="2"/>
      <c r="Y336" s="2"/>
      <c r="Z336" s="2"/>
      <c r="AA336" s="20"/>
      <c r="AB336" s="71"/>
      <c r="AC336" s="71"/>
      <c r="AD336" s="2"/>
      <c r="AE336" s="70"/>
      <c r="AF336" s="70"/>
      <c r="AG336" s="70"/>
      <c r="AH336" s="70"/>
      <c r="AI336" s="2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  <c r="AW336" s="70"/>
      <c r="AX336" s="70"/>
      <c r="AY336" s="70"/>
      <c r="AZ336" s="70"/>
      <c r="BA336" s="70"/>
      <c r="BB336" s="70"/>
      <c r="BC336" s="70"/>
      <c r="BD336" s="70"/>
      <c r="BE336" s="70"/>
      <c r="BF336" s="70"/>
      <c r="BG336" s="70"/>
      <c r="BH336" s="70"/>
      <c r="BI336" s="70"/>
      <c r="BJ336" s="70"/>
      <c r="BK336" s="70"/>
      <c r="BL336" s="70"/>
      <c r="BM336" s="70"/>
      <c r="BN336" s="70"/>
      <c r="BO336" s="70"/>
      <c r="BP336" s="70"/>
      <c r="BQ336" s="70"/>
      <c r="BR336" s="70"/>
      <c r="BS336" s="70"/>
      <c r="BT336" s="70"/>
      <c r="BU336" s="70"/>
      <c r="BV336" s="70"/>
      <c r="BW336" s="70"/>
      <c r="BX336" s="70"/>
      <c r="BY336" s="70"/>
      <c r="BZ336" s="70"/>
      <c r="CA336" s="70"/>
      <c r="CB336" s="70"/>
      <c r="CC336" s="70"/>
      <c r="CD336" s="70"/>
      <c r="CE336" s="70"/>
      <c r="CF336" s="70"/>
      <c r="CG336" s="70"/>
      <c r="CH336" s="70"/>
      <c r="CI336" s="70"/>
      <c r="CJ336" s="70"/>
      <c r="CK336" s="70"/>
      <c r="CL336" s="2"/>
      <c r="CM336" s="2"/>
      <c r="CN336" s="70"/>
      <c r="CO336" s="70"/>
      <c r="CP336" s="70"/>
      <c r="CQ336" s="70"/>
      <c r="CR336" s="2"/>
      <c r="CS336" s="2"/>
      <c r="CT336" s="70"/>
      <c r="CU336" s="70"/>
      <c r="CV336" s="70"/>
      <c r="CW336" s="70"/>
    </row>
    <row r="337" spans="1:101" ht="15.75" customHeight="1" x14ac:dyDescent="0.2">
      <c r="A337" s="1"/>
      <c r="B337" s="2"/>
      <c r="C337" s="2"/>
      <c r="D337" s="2"/>
      <c r="E337" s="2"/>
      <c r="F337" s="2"/>
      <c r="G337" s="2"/>
      <c r="H337" s="2"/>
      <c r="I337" s="2"/>
      <c r="J337" s="3"/>
      <c r="K337" s="2"/>
      <c r="L337" s="2"/>
      <c r="M337" s="2"/>
      <c r="N337" s="2"/>
      <c r="O337" s="2"/>
      <c r="P337" s="2"/>
      <c r="Q337" s="69"/>
      <c r="R337" s="69"/>
      <c r="S337" s="70"/>
      <c r="T337" s="70"/>
      <c r="U337" s="2"/>
      <c r="V337" s="2"/>
      <c r="W337" s="2"/>
      <c r="X337" s="2"/>
      <c r="Y337" s="2"/>
      <c r="Z337" s="2"/>
      <c r="AA337" s="20"/>
      <c r="AB337" s="71"/>
      <c r="AC337" s="71"/>
      <c r="AD337" s="2"/>
      <c r="AE337" s="70"/>
      <c r="AF337" s="70"/>
      <c r="AG337" s="70"/>
      <c r="AH337" s="70"/>
      <c r="AI337" s="2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0"/>
      <c r="AX337" s="70"/>
      <c r="AY337" s="70"/>
      <c r="AZ337" s="70"/>
      <c r="BA337" s="70"/>
      <c r="BB337" s="70"/>
      <c r="BC337" s="70"/>
      <c r="BD337" s="70"/>
      <c r="BE337" s="70"/>
      <c r="BF337" s="70"/>
      <c r="BG337" s="70"/>
      <c r="BH337" s="70"/>
      <c r="BI337" s="70"/>
      <c r="BJ337" s="70"/>
      <c r="BK337" s="70"/>
      <c r="BL337" s="70"/>
      <c r="BM337" s="70"/>
      <c r="BN337" s="70"/>
      <c r="BO337" s="70"/>
      <c r="BP337" s="70"/>
      <c r="BQ337" s="70"/>
      <c r="BR337" s="70"/>
      <c r="BS337" s="70"/>
      <c r="BT337" s="70"/>
      <c r="BU337" s="70"/>
      <c r="BV337" s="70"/>
      <c r="BW337" s="70"/>
      <c r="BX337" s="70"/>
      <c r="BY337" s="70"/>
      <c r="BZ337" s="70"/>
      <c r="CA337" s="70"/>
      <c r="CB337" s="70"/>
      <c r="CC337" s="70"/>
      <c r="CD337" s="70"/>
      <c r="CE337" s="70"/>
      <c r="CF337" s="70"/>
      <c r="CG337" s="70"/>
      <c r="CH337" s="70"/>
      <c r="CI337" s="70"/>
      <c r="CJ337" s="70"/>
      <c r="CK337" s="70"/>
      <c r="CL337" s="2"/>
      <c r="CM337" s="2"/>
      <c r="CN337" s="70"/>
      <c r="CO337" s="70"/>
      <c r="CP337" s="70"/>
      <c r="CQ337" s="70"/>
      <c r="CR337" s="2"/>
      <c r="CS337" s="2"/>
      <c r="CT337" s="70"/>
      <c r="CU337" s="70"/>
      <c r="CV337" s="70"/>
      <c r="CW337" s="70"/>
    </row>
    <row r="338" spans="1:101" ht="15.75" customHeight="1" x14ac:dyDescent="0.2">
      <c r="A338" s="1"/>
      <c r="B338" s="2"/>
      <c r="C338" s="2"/>
      <c r="D338" s="2"/>
      <c r="E338" s="2"/>
      <c r="F338" s="2"/>
      <c r="G338" s="2"/>
      <c r="H338" s="2"/>
      <c r="I338" s="2"/>
      <c r="J338" s="3"/>
      <c r="K338" s="2"/>
      <c r="L338" s="2"/>
      <c r="M338" s="2"/>
      <c r="N338" s="2"/>
      <c r="O338" s="2"/>
      <c r="P338" s="2"/>
      <c r="Q338" s="69"/>
      <c r="R338" s="69"/>
      <c r="S338" s="70"/>
      <c r="T338" s="70"/>
      <c r="U338" s="2"/>
      <c r="V338" s="2"/>
      <c r="W338" s="2"/>
      <c r="X338" s="2"/>
      <c r="Y338" s="2"/>
      <c r="Z338" s="2"/>
      <c r="AA338" s="20"/>
      <c r="AB338" s="71"/>
      <c r="AC338" s="71"/>
      <c r="AD338" s="2"/>
      <c r="AE338" s="70"/>
      <c r="AF338" s="70"/>
      <c r="AG338" s="70"/>
      <c r="AH338" s="70"/>
      <c r="AI338" s="2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0"/>
      <c r="AX338" s="70"/>
      <c r="AY338" s="70"/>
      <c r="AZ338" s="70"/>
      <c r="BA338" s="70"/>
      <c r="BB338" s="70"/>
      <c r="BC338" s="70"/>
      <c r="BD338" s="70"/>
      <c r="BE338" s="70"/>
      <c r="BF338" s="70"/>
      <c r="BG338" s="70"/>
      <c r="BH338" s="70"/>
      <c r="BI338" s="70"/>
      <c r="BJ338" s="70"/>
      <c r="BK338" s="70"/>
      <c r="BL338" s="70"/>
      <c r="BM338" s="70"/>
      <c r="BN338" s="70"/>
      <c r="BO338" s="70"/>
      <c r="BP338" s="70"/>
      <c r="BQ338" s="70"/>
      <c r="BR338" s="70"/>
      <c r="BS338" s="70"/>
      <c r="BT338" s="70"/>
      <c r="BU338" s="70"/>
      <c r="BV338" s="70"/>
      <c r="BW338" s="70"/>
      <c r="BX338" s="70"/>
      <c r="BY338" s="70"/>
      <c r="BZ338" s="70"/>
      <c r="CA338" s="70"/>
      <c r="CB338" s="70"/>
      <c r="CC338" s="70"/>
      <c r="CD338" s="70"/>
      <c r="CE338" s="70"/>
      <c r="CF338" s="70"/>
      <c r="CG338" s="70"/>
      <c r="CH338" s="70"/>
      <c r="CI338" s="70"/>
      <c r="CJ338" s="70"/>
      <c r="CK338" s="70"/>
      <c r="CL338" s="2"/>
      <c r="CM338" s="2"/>
      <c r="CN338" s="70"/>
      <c r="CO338" s="70"/>
      <c r="CP338" s="70"/>
      <c r="CQ338" s="70"/>
      <c r="CR338" s="2"/>
      <c r="CS338" s="2"/>
      <c r="CT338" s="70"/>
      <c r="CU338" s="70"/>
      <c r="CV338" s="70"/>
      <c r="CW338" s="70"/>
    </row>
    <row r="339" spans="1:101" ht="15.75" customHeight="1" x14ac:dyDescent="0.2">
      <c r="A339" s="1"/>
      <c r="B339" s="2"/>
      <c r="C339" s="2"/>
      <c r="D339" s="2"/>
      <c r="E339" s="2"/>
      <c r="F339" s="2"/>
      <c r="G339" s="2"/>
      <c r="H339" s="2"/>
      <c r="I339" s="2"/>
      <c r="J339" s="3"/>
      <c r="K339" s="2"/>
      <c r="L339" s="2"/>
      <c r="M339" s="2"/>
      <c r="N339" s="2"/>
      <c r="O339" s="2"/>
      <c r="P339" s="2"/>
      <c r="Q339" s="69"/>
      <c r="R339" s="69"/>
      <c r="S339" s="70"/>
      <c r="T339" s="70"/>
      <c r="U339" s="2"/>
      <c r="V339" s="2"/>
      <c r="W339" s="2"/>
      <c r="X339" s="2"/>
      <c r="Y339" s="2"/>
      <c r="Z339" s="2"/>
      <c r="AA339" s="20"/>
      <c r="AB339" s="71"/>
      <c r="AC339" s="71"/>
      <c r="AD339" s="2"/>
      <c r="AE339" s="70"/>
      <c r="AF339" s="70"/>
      <c r="AG339" s="70"/>
      <c r="AH339" s="70"/>
      <c r="AI339" s="2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0"/>
      <c r="AX339" s="70"/>
      <c r="AY339" s="70"/>
      <c r="AZ339" s="70"/>
      <c r="BA339" s="70"/>
      <c r="BB339" s="70"/>
      <c r="BC339" s="70"/>
      <c r="BD339" s="70"/>
      <c r="BE339" s="70"/>
      <c r="BF339" s="70"/>
      <c r="BG339" s="70"/>
      <c r="BH339" s="70"/>
      <c r="BI339" s="70"/>
      <c r="BJ339" s="70"/>
      <c r="BK339" s="70"/>
      <c r="BL339" s="70"/>
      <c r="BM339" s="70"/>
      <c r="BN339" s="70"/>
      <c r="BO339" s="70"/>
      <c r="BP339" s="70"/>
      <c r="BQ339" s="70"/>
      <c r="BR339" s="70"/>
      <c r="BS339" s="70"/>
      <c r="BT339" s="70"/>
      <c r="BU339" s="70"/>
      <c r="BV339" s="70"/>
      <c r="BW339" s="70"/>
      <c r="BX339" s="70"/>
      <c r="BY339" s="70"/>
      <c r="BZ339" s="70"/>
      <c r="CA339" s="70"/>
      <c r="CB339" s="70"/>
      <c r="CC339" s="70"/>
      <c r="CD339" s="70"/>
      <c r="CE339" s="70"/>
      <c r="CF339" s="70"/>
      <c r="CG339" s="70"/>
      <c r="CH339" s="70"/>
      <c r="CI339" s="70"/>
      <c r="CJ339" s="70"/>
      <c r="CK339" s="70"/>
      <c r="CL339" s="2"/>
      <c r="CM339" s="2"/>
      <c r="CN339" s="70"/>
      <c r="CO339" s="70"/>
      <c r="CP339" s="70"/>
      <c r="CQ339" s="70"/>
      <c r="CR339" s="2"/>
      <c r="CS339" s="2"/>
      <c r="CT339" s="70"/>
      <c r="CU339" s="70"/>
      <c r="CV339" s="70"/>
      <c r="CW339" s="70"/>
    </row>
    <row r="340" spans="1:101" ht="15.75" customHeight="1" x14ac:dyDescent="0.2">
      <c r="A340" s="1"/>
      <c r="B340" s="2"/>
      <c r="C340" s="2"/>
      <c r="D340" s="2"/>
      <c r="E340" s="2"/>
      <c r="F340" s="2"/>
      <c r="G340" s="2"/>
      <c r="H340" s="2"/>
      <c r="I340" s="2"/>
      <c r="J340" s="3"/>
      <c r="K340" s="2"/>
      <c r="L340" s="2"/>
      <c r="M340" s="2"/>
      <c r="N340" s="2"/>
      <c r="O340" s="2"/>
      <c r="P340" s="2"/>
      <c r="Q340" s="69"/>
      <c r="R340" s="69"/>
      <c r="S340" s="70"/>
      <c r="T340" s="70"/>
      <c r="U340" s="2"/>
      <c r="V340" s="2"/>
      <c r="W340" s="2"/>
      <c r="X340" s="2"/>
      <c r="Y340" s="2"/>
      <c r="Z340" s="2"/>
      <c r="AA340" s="20"/>
      <c r="AB340" s="71"/>
      <c r="AC340" s="71"/>
      <c r="AD340" s="2"/>
      <c r="AE340" s="70"/>
      <c r="AF340" s="70"/>
      <c r="AG340" s="70"/>
      <c r="AH340" s="70"/>
      <c r="AI340" s="2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  <c r="AW340" s="70"/>
      <c r="AX340" s="70"/>
      <c r="AY340" s="70"/>
      <c r="AZ340" s="70"/>
      <c r="BA340" s="70"/>
      <c r="BB340" s="70"/>
      <c r="BC340" s="70"/>
      <c r="BD340" s="70"/>
      <c r="BE340" s="70"/>
      <c r="BF340" s="70"/>
      <c r="BG340" s="70"/>
      <c r="BH340" s="70"/>
      <c r="BI340" s="70"/>
      <c r="BJ340" s="70"/>
      <c r="BK340" s="70"/>
      <c r="BL340" s="70"/>
      <c r="BM340" s="70"/>
      <c r="BN340" s="70"/>
      <c r="BO340" s="70"/>
      <c r="BP340" s="70"/>
      <c r="BQ340" s="70"/>
      <c r="BR340" s="70"/>
      <c r="BS340" s="70"/>
      <c r="BT340" s="70"/>
      <c r="BU340" s="70"/>
      <c r="BV340" s="70"/>
      <c r="BW340" s="70"/>
      <c r="BX340" s="70"/>
      <c r="BY340" s="70"/>
      <c r="BZ340" s="70"/>
      <c r="CA340" s="70"/>
      <c r="CB340" s="70"/>
      <c r="CC340" s="70"/>
      <c r="CD340" s="70"/>
      <c r="CE340" s="70"/>
      <c r="CF340" s="70"/>
      <c r="CG340" s="70"/>
      <c r="CH340" s="70"/>
      <c r="CI340" s="70"/>
      <c r="CJ340" s="70"/>
      <c r="CK340" s="70"/>
      <c r="CL340" s="2"/>
      <c r="CM340" s="2"/>
      <c r="CN340" s="70"/>
      <c r="CO340" s="70"/>
      <c r="CP340" s="70"/>
      <c r="CQ340" s="70"/>
      <c r="CR340" s="2"/>
      <c r="CS340" s="2"/>
      <c r="CT340" s="70"/>
      <c r="CU340" s="70"/>
      <c r="CV340" s="70"/>
      <c r="CW340" s="70"/>
    </row>
    <row r="341" spans="1:101" ht="15.75" customHeight="1" x14ac:dyDescent="0.2">
      <c r="A341" s="1"/>
      <c r="B341" s="2"/>
      <c r="C341" s="2"/>
      <c r="D341" s="2"/>
      <c r="E341" s="2"/>
      <c r="F341" s="2"/>
      <c r="G341" s="2"/>
      <c r="H341" s="2"/>
      <c r="I341" s="2"/>
      <c r="J341" s="3"/>
      <c r="K341" s="2"/>
      <c r="L341" s="2"/>
      <c r="M341" s="2"/>
      <c r="N341" s="2"/>
      <c r="O341" s="2"/>
      <c r="P341" s="2"/>
      <c r="Q341" s="69"/>
      <c r="R341" s="69"/>
      <c r="S341" s="70"/>
      <c r="T341" s="70"/>
      <c r="U341" s="2"/>
      <c r="V341" s="2"/>
      <c r="W341" s="2"/>
      <c r="X341" s="2"/>
      <c r="Y341" s="2"/>
      <c r="Z341" s="2"/>
      <c r="AA341" s="20"/>
      <c r="AB341" s="71"/>
      <c r="AC341" s="71"/>
      <c r="AD341" s="2"/>
      <c r="AE341" s="70"/>
      <c r="AF341" s="70"/>
      <c r="AG341" s="70"/>
      <c r="AH341" s="70"/>
      <c r="AI341" s="2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70"/>
      <c r="AX341" s="70"/>
      <c r="AY341" s="70"/>
      <c r="AZ341" s="70"/>
      <c r="BA341" s="70"/>
      <c r="BB341" s="70"/>
      <c r="BC341" s="70"/>
      <c r="BD341" s="70"/>
      <c r="BE341" s="70"/>
      <c r="BF341" s="70"/>
      <c r="BG341" s="70"/>
      <c r="BH341" s="70"/>
      <c r="BI341" s="70"/>
      <c r="BJ341" s="70"/>
      <c r="BK341" s="70"/>
      <c r="BL341" s="70"/>
      <c r="BM341" s="70"/>
      <c r="BN341" s="70"/>
      <c r="BO341" s="70"/>
      <c r="BP341" s="70"/>
      <c r="BQ341" s="70"/>
      <c r="BR341" s="70"/>
      <c r="BS341" s="70"/>
      <c r="BT341" s="70"/>
      <c r="BU341" s="70"/>
      <c r="BV341" s="70"/>
      <c r="BW341" s="70"/>
      <c r="BX341" s="70"/>
      <c r="BY341" s="70"/>
      <c r="BZ341" s="70"/>
      <c r="CA341" s="70"/>
      <c r="CB341" s="70"/>
      <c r="CC341" s="70"/>
      <c r="CD341" s="70"/>
      <c r="CE341" s="70"/>
      <c r="CF341" s="70"/>
      <c r="CG341" s="70"/>
      <c r="CH341" s="70"/>
      <c r="CI341" s="70"/>
      <c r="CJ341" s="70"/>
      <c r="CK341" s="70"/>
      <c r="CL341" s="2"/>
      <c r="CM341" s="2"/>
      <c r="CN341" s="70"/>
      <c r="CO341" s="70"/>
      <c r="CP341" s="70"/>
      <c r="CQ341" s="70"/>
      <c r="CR341" s="2"/>
      <c r="CS341" s="2"/>
      <c r="CT341" s="70"/>
      <c r="CU341" s="70"/>
      <c r="CV341" s="70"/>
      <c r="CW341" s="70"/>
    </row>
    <row r="342" spans="1:101" ht="15.75" customHeight="1" x14ac:dyDescent="0.2">
      <c r="A342" s="1"/>
      <c r="B342" s="2"/>
      <c r="C342" s="2"/>
      <c r="D342" s="2"/>
      <c r="E342" s="2"/>
      <c r="F342" s="2"/>
      <c r="G342" s="2"/>
      <c r="H342" s="2"/>
      <c r="I342" s="2"/>
      <c r="J342" s="3"/>
      <c r="K342" s="2"/>
      <c r="L342" s="2"/>
      <c r="M342" s="2"/>
      <c r="N342" s="2"/>
      <c r="O342" s="2"/>
      <c r="P342" s="2"/>
      <c r="Q342" s="69"/>
      <c r="R342" s="69"/>
      <c r="S342" s="70"/>
      <c r="T342" s="70"/>
      <c r="U342" s="2"/>
      <c r="V342" s="2"/>
      <c r="W342" s="2"/>
      <c r="X342" s="2"/>
      <c r="Y342" s="2"/>
      <c r="Z342" s="2"/>
      <c r="AA342" s="20"/>
      <c r="AB342" s="71"/>
      <c r="AC342" s="71"/>
      <c r="AD342" s="2"/>
      <c r="AE342" s="70"/>
      <c r="AF342" s="70"/>
      <c r="AG342" s="70"/>
      <c r="AH342" s="70"/>
      <c r="AI342" s="2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70"/>
      <c r="AX342" s="70"/>
      <c r="AY342" s="70"/>
      <c r="AZ342" s="70"/>
      <c r="BA342" s="70"/>
      <c r="BB342" s="70"/>
      <c r="BC342" s="70"/>
      <c r="BD342" s="70"/>
      <c r="BE342" s="70"/>
      <c r="BF342" s="70"/>
      <c r="BG342" s="70"/>
      <c r="BH342" s="70"/>
      <c r="BI342" s="70"/>
      <c r="BJ342" s="70"/>
      <c r="BK342" s="70"/>
      <c r="BL342" s="70"/>
      <c r="BM342" s="70"/>
      <c r="BN342" s="70"/>
      <c r="BO342" s="70"/>
      <c r="BP342" s="70"/>
      <c r="BQ342" s="70"/>
      <c r="BR342" s="70"/>
      <c r="BS342" s="70"/>
      <c r="BT342" s="70"/>
      <c r="BU342" s="70"/>
      <c r="BV342" s="70"/>
      <c r="BW342" s="70"/>
      <c r="BX342" s="70"/>
      <c r="BY342" s="70"/>
      <c r="BZ342" s="70"/>
      <c r="CA342" s="70"/>
      <c r="CB342" s="70"/>
      <c r="CC342" s="70"/>
      <c r="CD342" s="70"/>
      <c r="CE342" s="70"/>
      <c r="CF342" s="70"/>
      <c r="CG342" s="70"/>
      <c r="CH342" s="70"/>
      <c r="CI342" s="70"/>
      <c r="CJ342" s="70"/>
      <c r="CK342" s="70"/>
      <c r="CL342" s="2"/>
      <c r="CM342" s="2"/>
      <c r="CN342" s="70"/>
      <c r="CO342" s="70"/>
      <c r="CP342" s="70"/>
      <c r="CQ342" s="70"/>
      <c r="CR342" s="2"/>
      <c r="CS342" s="2"/>
      <c r="CT342" s="70"/>
      <c r="CU342" s="70"/>
      <c r="CV342" s="70"/>
      <c r="CW342" s="70"/>
    </row>
    <row r="343" spans="1:101" ht="15.75" customHeight="1" x14ac:dyDescent="0.2">
      <c r="A343" s="1"/>
      <c r="B343" s="2"/>
      <c r="C343" s="2"/>
      <c r="D343" s="2"/>
      <c r="E343" s="2"/>
      <c r="F343" s="2"/>
      <c r="G343" s="2"/>
      <c r="H343" s="2"/>
      <c r="I343" s="2"/>
      <c r="J343" s="3"/>
      <c r="K343" s="2"/>
      <c r="L343" s="2"/>
      <c r="M343" s="2"/>
      <c r="N343" s="2"/>
      <c r="O343" s="2"/>
      <c r="P343" s="2"/>
      <c r="Q343" s="69"/>
      <c r="R343" s="69"/>
      <c r="S343" s="70"/>
      <c r="T343" s="70"/>
      <c r="U343" s="2"/>
      <c r="V343" s="2"/>
      <c r="W343" s="2"/>
      <c r="X343" s="2"/>
      <c r="Y343" s="2"/>
      <c r="Z343" s="2"/>
      <c r="AA343" s="20"/>
      <c r="AB343" s="71"/>
      <c r="AC343" s="71"/>
      <c r="AD343" s="2"/>
      <c r="AE343" s="70"/>
      <c r="AF343" s="70"/>
      <c r="AG343" s="70"/>
      <c r="AH343" s="70"/>
      <c r="AI343" s="2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70"/>
      <c r="AX343" s="70"/>
      <c r="AY343" s="70"/>
      <c r="AZ343" s="70"/>
      <c r="BA343" s="70"/>
      <c r="BB343" s="70"/>
      <c r="BC343" s="70"/>
      <c r="BD343" s="70"/>
      <c r="BE343" s="70"/>
      <c r="BF343" s="70"/>
      <c r="BG343" s="70"/>
      <c r="BH343" s="70"/>
      <c r="BI343" s="70"/>
      <c r="BJ343" s="70"/>
      <c r="BK343" s="70"/>
      <c r="BL343" s="70"/>
      <c r="BM343" s="70"/>
      <c r="BN343" s="70"/>
      <c r="BO343" s="70"/>
      <c r="BP343" s="70"/>
      <c r="BQ343" s="70"/>
      <c r="BR343" s="70"/>
      <c r="BS343" s="70"/>
      <c r="BT343" s="70"/>
      <c r="BU343" s="70"/>
      <c r="BV343" s="70"/>
      <c r="BW343" s="70"/>
      <c r="BX343" s="70"/>
      <c r="BY343" s="70"/>
      <c r="BZ343" s="70"/>
      <c r="CA343" s="70"/>
      <c r="CB343" s="70"/>
      <c r="CC343" s="70"/>
      <c r="CD343" s="70"/>
      <c r="CE343" s="70"/>
      <c r="CF343" s="70"/>
      <c r="CG343" s="70"/>
      <c r="CH343" s="70"/>
      <c r="CI343" s="70"/>
      <c r="CJ343" s="70"/>
      <c r="CK343" s="70"/>
      <c r="CL343" s="2"/>
      <c r="CM343" s="2"/>
      <c r="CN343" s="70"/>
      <c r="CO343" s="70"/>
      <c r="CP343" s="70"/>
      <c r="CQ343" s="70"/>
      <c r="CR343" s="2"/>
      <c r="CS343" s="2"/>
      <c r="CT343" s="70"/>
      <c r="CU343" s="70"/>
      <c r="CV343" s="70"/>
      <c r="CW343" s="70"/>
    </row>
    <row r="344" spans="1:101" ht="15.75" customHeight="1" x14ac:dyDescent="0.2">
      <c r="A344" s="1"/>
      <c r="B344" s="2"/>
      <c r="C344" s="2"/>
      <c r="D344" s="2"/>
      <c r="E344" s="2"/>
      <c r="F344" s="2"/>
      <c r="G344" s="2"/>
      <c r="H344" s="2"/>
      <c r="I344" s="2"/>
      <c r="J344" s="3"/>
      <c r="K344" s="2"/>
      <c r="L344" s="2"/>
      <c r="M344" s="2"/>
      <c r="N344" s="2"/>
      <c r="O344" s="2"/>
      <c r="P344" s="2"/>
      <c r="Q344" s="69"/>
      <c r="R344" s="69"/>
      <c r="S344" s="70"/>
      <c r="T344" s="70"/>
      <c r="U344" s="2"/>
      <c r="V344" s="2"/>
      <c r="W344" s="2"/>
      <c r="X344" s="2"/>
      <c r="Y344" s="2"/>
      <c r="Z344" s="2"/>
      <c r="AA344" s="20"/>
      <c r="AB344" s="71"/>
      <c r="AC344" s="71"/>
      <c r="AD344" s="2"/>
      <c r="AE344" s="70"/>
      <c r="AF344" s="70"/>
      <c r="AG344" s="70"/>
      <c r="AH344" s="70"/>
      <c r="AI344" s="2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70"/>
      <c r="AX344" s="70"/>
      <c r="AY344" s="70"/>
      <c r="AZ344" s="70"/>
      <c r="BA344" s="70"/>
      <c r="BB344" s="70"/>
      <c r="BC344" s="70"/>
      <c r="BD344" s="70"/>
      <c r="BE344" s="70"/>
      <c r="BF344" s="70"/>
      <c r="BG344" s="70"/>
      <c r="BH344" s="70"/>
      <c r="BI344" s="70"/>
      <c r="BJ344" s="70"/>
      <c r="BK344" s="70"/>
      <c r="BL344" s="70"/>
      <c r="BM344" s="70"/>
      <c r="BN344" s="70"/>
      <c r="BO344" s="70"/>
      <c r="BP344" s="70"/>
      <c r="BQ344" s="70"/>
      <c r="BR344" s="70"/>
      <c r="BS344" s="70"/>
      <c r="BT344" s="70"/>
      <c r="BU344" s="70"/>
      <c r="BV344" s="70"/>
      <c r="BW344" s="70"/>
      <c r="BX344" s="70"/>
      <c r="BY344" s="70"/>
      <c r="BZ344" s="70"/>
      <c r="CA344" s="70"/>
      <c r="CB344" s="70"/>
      <c r="CC344" s="70"/>
      <c r="CD344" s="70"/>
      <c r="CE344" s="70"/>
      <c r="CF344" s="70"/>
      <c r="CG344" s="70"/>
      <c r="CH344" s="70"/>
      <c r="CI344" s="70"/>
      <c r="CJ344" s="70"/>
      <c r="CK344" s="70"/>
      <c r="CL344" s="2"/>
      <c r="CM344" s="2"/>
      <c r="CN344" s="70"/>
      <c r="CO344" s="70"/>
      <c r="CP344" s="70"/>
      <c r="CQ344" s="70"/>
      <c r="CR344" s="2"/>
      <c r="CS344" s="2"/>
      <c r="CT344" s="70"/>
      <c r="CU344" s="70"/>
      <c r="CV344" s="70"/>
      <c r="CW344" s="70"/>
    </row>
    <row r="345" spans="1:101" ht="15.75" customHeight="1" x14ac:dyDescent="0.2">
      <c r="A345" s="1"/>
      <c r="B345" s="2"/>
      <c r="C345" s="2"/>
      <c r="D345" s="2"/>
      <c r="E345" s="2"/>
      <c r="F345" s="2"/>
      <c r="G345" s="2"/>
      <c r="H345" s="2"/>
      <c r="I345" s="2"/>
      <c r="J345" s="3"/>
      <c r="K345" s="2"/>
      <c r="L345" s="2"/>
      <c r="M345" s="2"/>
      <c r="N345" s="2"/>
      <c r="O345" s="2"/>
      <c r="P345" s="2"/>
      <c r="Q345" s="69"/>
      <c r="R345" s="69"/>
      <c r="S345" s="70"/>
      <c r="T345" s="70"/>
      <c r="U345" s="2"/>
      <c r="V345" s="2"/>
      <c r="W345" s="2"/>
      <c r="X345" s="2"/>
      <c r="Y345" s="2"/>
      <c r="Z345" s="2"/>
      <c r="AA345" s="20"/>
      <c r="AB345" s="71"/>
      <c r="AC345" s="71"/>
      <c r="AD345" s="2"/>
      <c r="AE345" s="70"/>
      <c r="AF345" s="70"/>
      <c r="AG345" s="70"/>
      <c r="AH345" s="70"/>
      <c r="AI345" s="2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 s="70"/>
      <c r="AX345" s="70"/>
      <c r="AY345" s="70"/>
      <c r="AZ345" s="70"/>
      <c r="BA345" s="70"/>
      <c r="BB345" s="70"/>
      <c r="BC345" s="70"/>
      <c r="BD345" s="70"/>
      <c r="BE345" s="70"/>
      <c r="BF345" s="70"/>
      <c r="BG345" s="70"/>
      <c r="BH345" s="70"/>
      <c r="BI345" s="70"/>
      <c r="BJ345" s="70"/>
      <c r="BK345" s="70"/>
      <c r="BL345" s="70"/>
      <c r="BM345" s="70"/>
      <c r="BN345" s="70"/>
      <c r="BO345" s="70"/>
      <c r="BP345" s="70"/>
      <c r="BQ345" s="70"/>
      <c r="BR345" s="70"/>
      <c r="BS345" s="70"/>
      <c r="BT345" s="70"/>
      <c r="BU345" s="70"/>
      <c r="BV345" s="70"/>
      <c r="BW345" s="70"/>
      <c r="BX345" s="70"/>
      <c r="BY345" s="70"/>
      <c r="BZ345" s="70"/>
      <c r="CA345" s="70"/>
      <c r="CB345" s="70"/>
      <c r="CC345" s="70"/>
      <c r="CD345" s="70"/>
      <c r="CE345" s="70"/>
      <c r="CF345" s="70"/>
      <c r="CG345" s="70"/>
      <c r="CH345" s="70"/>
      <c r="CI345" s="70"/>
      <c r="CJ345" s="70"/>
      <c r="CK345" s="70"/>
      <c r="CL345" s="2"/>
      <c r="CM345" s="2"/>
      <c r="CN345" s="70"/>
      <c r="CO345" s="70"/>
      <c r="CP345" s="70"/>
      <c r="CQ345" s="70"/>
      <c r="CR345" s="2"/>
      <c r="CS345" s="2"/>
      <c r="CT345" s="70"/>
      <c r="CU345" s="70"/>
      <c r="CV345" s="70"/>
      <c r="CW345" s="70"/>
    </row>
    <row r="346" spans="1:101" ht="15.75" customHeight="1" x14ac:dyDescent="0.2">
      <c r="A346" s="1"/>
      <c r="B346" s="2"/>
      <c r="C346" s="2"/>
      <c r="D346" s="2"/>
      <c r="E346" s="2"/>
      <c r="F346" s="2"/>
      <c r="G346" s="2"/>
      <c r="H346" s="2"/>
      <c r="I346" s="2"/>
      <c r="J346" s="3"/>
      <c r="K346" s="2"/>
      <c r="L346" s="2"/>
      <c r="M346" s="2"/>
      <c r="N346" s="2"/>
      <c r="O346" s="2"/>
      <c r="P346" s="2"/>
      <c r="Q346" s="69"/>
      <c r="R346" s="69"/>
      <c r="S346" s="70"/>
      <c r="T346" s="70"/>
      <c r="U346" s="2"/>
      <c r="V346" s="2"/>
      <c r="W346" s="2"/>
      <c r="X346" s="2"/>
      <c r="Y346" s="2"/>
      <c r="Z346" s="2"/>
      <c r="AA346" s="20"/>
      <c r="AB346" s="71"/>
      <c r="AC346" s="71"/>
      <c r="AD346" s="2"/>
      <c r="AE346" s="70"/>
      <c r="AF346" s="70"/>
      <c r="AG346" s="70"/>
      <c r="AH346" s="70"/>
      <c r="AI346" s="2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70"/>
      <c r="AX346" s="70"/>
      <c r="AY346" s="70"/>
      <c r="AZ346" s="70"/>
      <c r="BA346" s="70"/>
      <c r="BB346" s="70"/>
      <c r="BC346" s="70"/>
      <c r="BD346" s="70"/>
      <c r="BE346" s="70"/>
      <c r="BF346" s="70"/>
      <c r="BG346" s="70"/>
      <c r="BH346" s="70"/>
      <c r="BI346" s="70"/>
      <c r="BJ346" s="70"/>
      <c r="BK346" s="70"/>
      <c r="BL346" s="70"/>
      <c r="BM346" s="70"/>
      <c r="BN346" s="70"/>
      <c r="BO346" s="70"/>
      <c r="BP346" s="70"/>
      <c r="BQ346" s="70"/>
      <c r="BR346" s="70"/>
      <c r="BS346" s="70"/>
      <c r="BT346" s="70"/>
      <c r="BU346" s="70"/>
      <c r="BV346" s="70"/>
      <c r="BW346" s="70"/>
      <c r="BX346" s="70"/>
      <c r="BY346" s="70"/>
      <c r="BZ346" s="70"/>
      <c r="CA346" s="70"/>
      <c r="CB346" s="70"/>
      <c r="CC346" s="70"/>
      <c r="CD346" s="70"/>
      <c r="CE346" s="70"/>
      <c r="CF346" s="70"/>
      <c r="CG346" s="70"/>
      <c r="CH346" s="70"/>
      <c r="CI346" s="70"/>
      <c r="CJ346" s="70"/>
      <c r="CK346" s="70"/>
      <c r="CL346" s="2"/>
      <c r="CM346" s="2"/>
      <c r="CN346" s="70"/>
      <c r="CO346" s="70"/>
      <c r="CP346" s="70"/>
      <c r="CQ346" s="70"/>
      <c r="CR346" s="2"/>
      <c r="CS346" s="2"/>
      <c r="CT346" s="70"/>
      <c r="CU346" s="70"/>
      <c r="CV346" s="70"/>
      <c r="CW346" s="70"/>
    </row>
    <row r="347" spans="1:101" ht="15.75" customHeight="1" x14ac:dyDescent="0.2">
      <c r="A347" s="1"/>
      <c r="B347" s="2"/>
      <c r="C347" s="2"/>
      <c r="D347" s="2"/>
      <c r="E347" s="2"/>
      <c r="F347" s="2"/>
      <c r="G347" s="2"/>
      <c r="H347" s="2"/>
      <c r="I347" s="2"/>
      <c r="J347" s="3"/>
      <c r="K347" s="2"/>
      <c r="L347" s="2"/>
      <c r="M347" s="2"/>
      <c r="N347" s="2"/>
      <c r="O347" s="2"/>
      <c r="P347" s="2"/>
      <c r="Q347" s="69"/>
      <c r="R347" s="69"/>
      <c r="S347" s="70"/>
      <c r="T347" s="70"/>
      <c r="U347" s="2"/>
      <c r="V347" s="2"/>
      <c r="W347" s="2"/>
      <c r="X347" s="2"/>
      <c r="Y347" s="2"/>
      <c r="Z347" s="2"/>
      <c r="AA347" s="20"/>
      <c r="AB347" s="71"/>
      <c r="AC347" s="71"/>
      <c r="AD347" s="2"/>
      <c r="AE347" s="70"/>
      <c r="AF347" s="70"/>
      <c r="AG347" s="70"/>
      <c r="AH347" s="70"/>
      <c r="AI347" s="2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70"/>
      <c r="AX347" s="70"/>
      <c r="AY347" s="70"/>
      <c r="AZ347" s="70"/>
      <c r="BA347" s="70"/>
      <c r="BB347" s="70"/>
      <c r="BC347" s="70"/>
      <c r="BD347" s="70"/>
      <c r="BE347" s="70"/>
      <c r="BF347" s="70"/>
      <c r="BG347" s="70"/>
      <c r="BH347" s="70"/>
      <c r="BI347" s="70"/>
      <c r="BJ347" s="70"/>
      <c r="BK347" s="70"/>
      <c r="BL347" s="70"/>
      <c r="BM347" s="70"/>
      <c r="BN347" s="70"/>
      <c r="BO347" s="70"/>
      <c r="BP347" s="70"/>
      <c r="BQ347" s="70"/>
      <c r="BR347" s="70"/>
      <c r="BS347" s="70"/>
      <c r="BT347" s="70"/>
      <c r="BU347" s="70"/>
      <c r="BV347" s="70"/>
      <c r="BW347" s="70"/>
      <c r="BX347" s="70"/>
      <c r="BY347" s="70"/>
      <c r="BZ347" s="70"/>
      <c r="CA347" s="70"/>
      <c r="CB347" s="70"/>
      <c r="CC347" s="70"/>
      <c r="CD347" s="70"/>
      <c r="CE347" s="70"/>
      <c r="CF347" s="70"/>
      <c r="CG347" s="70"/>
      <c r="CH347" s="70"/>
      <c r="CI347" s="70"/>
      <c r="CJ347" s="70"/>
      <c r="CK347" s="70"/>
      <c r="CL347" s="2"/>
      <c r="CM347" s="2"/>
      <c r="CN347" s="70"/>
      <c r="CO347" s="70"/>
      <c r="CP347" s="70"/>
      <c r="CQ347" s="70"/>
      <c r="CR347" s="2"/>
      <c r="CS347" s="2"/>
      <c r="CT347" s="70"/>
      <c r="CU347" s="70"/>
      <c r="CV347" s="70"/>
      <c r="CW347" s="70"/>
    </row>
    <row r="348" spans="1:101" ht="15.75" customHeight="1" x14ac:dyDescent="0.2">
      <c r="A348" s="1"/>
      <c r="B348" s="2"/>
      <c r="C348" s="2"/>
      <c r="D348" s="2"/>
      <c r="E348" s="2"/>
      <c r="F348" s="2"/>
      <c r="G348" s="2"/>
      <c r="H348" s="2"/>
      <c r="I348" s="2"/>
      <c r="J348" s="3"/>
      <c r="K348" s="2"/>
      <c r="L348" s="2"/>
      <c r="M348" s="2"/>
      <c r="N348" s="2"/>
      <c r="O348" s="2"/>
      <c r="P348" s="2"/>
      <c r="Q348" s="69"/>
      <c r="R348" s="69"/>
      <c r="S348" s="70"/>
      <c r="T348" s="70"/>
      <c r="U348" s="2"/>
      <c r="V348" s="2"/>
      <c r="W348" s="2"/>
      <c r="X348" s="2"/>
      <c r="Y348" s="2"/>
      <c r="Z348" s="2"/>
      <c r="AA348" s="20"/>
      <c r="AB348" s="71"/>
      <c r="AC348" s="71"/>
      <c r="AD348" s="2"/>
      <c r="AE348" s="70"/>
      <c r="AF348" s="70"/>
      <c r="AG348" s="70"/>
      <c r="AH348" s="70"/>
      <c r="AI348" s="2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70"/>
      <c r="AX348" s="70"/>
      <c r="AY348" s="70"/>
      <c r="AZ348" s="70"/>
      <c r="BA348" s="70"/>
      <c r="BB348" s="70"/>
      <c r="BC348" s="70"/>
      <c r="BD348" s="70"/>
      <c r="BE348" s="70"/>
      <c r="BF348" s="70"/>
      <c r="BG348" s="70"/>
      <c r="BH348" s="70"/>
      <c r="BI348" s="70"/>
      <c r="BJ348" s="70"/>
      <c r="BK348" s="70"/>
      <c r="BL348" s="70"/>
      <c r="BM348" s="70"/>
      <c r="BN348" s="70"/>
      <c r="BO348" s="70"/>
      <c r="BP348" s="70"/>
      <c r="BQ348" s="70"/>
      <c r="BR348" s="70"/>
      <c r="BS348" s="70"/>
      <c r="BT348" s="70"/>
      <c r="BU348" s="70"/>
      <c r="BV348" s="70"/>
      <c r="BW348" s="70"/>
      <c r="BX348" s="70"/>
      <c r="BY348" s="70"/>
      <c r="BZ348" s="70"/>
      <c r="CA348" s="70"/>
      <c r="CB348" s="70"/>
      <c r="CC348" s="70"/>
      <c r="CD348" s="70"/>
      <c r="CE348" s="70"/>
      <c r="CF348" s="70"/>
      <c r="CG348" s="70"/>
      <c r="CH348" s="70"/>
      <c r="CI348" s="70"/>
      <c r="CJ348" s="70"/>
      <c r="CK348" s="70"/>
      <c r="CL348" s="2"/>
      <c r="CM348" s="2"/>
      <c r="CN348" s="70"/>
      <c r="CO348" s="70"/>
      <c r="CP348" s="70"/>
      <c r="CQ348" s="70"/>
      <c r="CR348" s="2"/>
      <c r="CS348" s="2"/>
      <c r="CT348" s="70"/>
      <c r="CU348" s="70"/>
      <c r="CV348" s="70"/>
      <c r="CW348" s="70"/>
    </row>
    <row r="349" spans="1:101" ht="15.75" customHeight="1" x14ac:dyDescent="0.2">
      <c r="A349" s="1"/>
      <c r="B349" s="2"/>
      <c r="C349" s="2"/>
      <c r="D349" s="2"/>
      <c r="E349" s="2"/>
      <c r="F349" s="2"/>
      <c r="G349" s="2"/>
      <c r="H349" s="2"/>
      <c r="I349" s="2"/>
      <c r="J349" s="3"/>
      <c r="K349" s="2"/>
      <c r="L349" s="2"/>
      <c r="M349" s="2"/>
      <c r="N349" s="2"/>
      <c r="O349" s="2"/>
      <c r="P349" s="2"/>
      <c r="Q349" s="69"/>
      <c r="R349" s="69"/>
      <c r="S349" s="70"/>
      <c r="T349" s="70"/>
      <c r="U349" s="2"/>
      <c r="V349" s="2"/>
      <c r="W349" s="2"/>
      <c r="X349" s="2"/>
      <c r="Y349" s="2"/>
      <c r="Z349" s="2"/>
      <c r="AA349" s="20"/>
      <c r="AB349" s="71"/>
      <c r="AC349" s="71"/>
      <c r="AD349" s="2"/>
      <c r="AE349" s="70"/>
      <c r="AF349" s="70"/>
      <c r="AG349" s="70"/>
      <c r="AH349" s="70"/>
      <c r="AI349" s="2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70"/>
      <c r="AX349" s="70"/>
      <c r="AY349" s="70"/>
      <c r="AZ349" s="70"/>
      <c r="BA349" s="70"/>
      <c r="BB349" s="70"/>
      <c r="BC349" s="70"/>
      <c r="BD349" s="70"/>
      <c r="BE349" s="70"/>
      <c r="BF349" s="70"/>
      <c r="BG349" s="70"/>
      <c r="BH349" s="70"/>
      <c r="BI349" s="70"/>
      <c r="BJ349" s="70"/>
      <c r="BK349" s="70"/>
      <c r="BL349" s="70"/>
      <c r="BM349" s="70"/>
      <c r="BN349" s="70"/>
      <c r="BO349" s="70"/>
      <c r="BP349" s="70"/>
      <c r="BQ349" s="70"/>
      <c r="BR349" s="70"/>
      <c r="BS349" s="70"/>
      <c r="BT349" s="70"/>
      <c r="BU349" s="70"/>
      <c r="BV349" s="70"/>
      <c r="BW349" s="70"/>
      <c r="BX349" s="70"/>
      <c r="BY349" s="70"/>
      <c r="BZ349" s="70"/>
      <c r="CA349" s="70"/>
      <c r="CB349" s="70"/>
      <c r="CC349" s="70"/>
      <c r="CD349" s="70"/>
      <c r="CE349" s="70"/>
      <c r="CF349" s="70"/>
      <c r="CG349" s="70"/>
      <c r="CH349" s="70"/>
      <c r="CI349" s="70"/>
      <c r="CJ349" s="70"/>
      <c r="CK349" s="70"/>
      <c r="CL349" s="2"/>
      <c r="CM349" s="2"/>
      <c r="CN349" s="70"/>
      <c r="CO349" s="70"/>
      <c r="CP349" s="70"/>
      <c r="CQ349" s="70"/>
      <c r="CR349" s="2"/>
      <c r="CS349" s="2"/>
      <c r="CT349" s="70"/>
      <c r="CU349" s="70"/>
      <c r="CV349" s="70"/>
      <c r="CW349" s="70"/>
    </row>
    <row r="350" spans="1:101" ht="15.75" customHeight="1" x14ac:dyDescent="0.2">
      <c r="A350" s="1"/>
      <c r="B350" s="2"/>
      <c r="C350" s="2"/>
      <c r="D350" s="2"/>
      <c r="E350" s="2"/>
      <c r="F350" s="2"/>
      <c r="G350" s="2"/>
      <c r="H350" s="2"/>
      <c r="I350" s="2"/>
      <c r="J350" s="3"/>
      <c r="K350" s="2"/>
      <c r="L350" s="2"/>
      <c r="M350" s="2"/>
      <c r="N350" s="2"/>
      <c r="O350" s="2"/>
      <c r="P350" s="2"/>
      <c r="Q350" s="69"/>
      <c r="R350" s="69"/>
      <c r="S350" s="70"/>
      <c r="T350" s="70"/>
      <c r="U350" s="2"/>
      <c r="V350" s="2"/>
      <c r="W350" s="2"/>
      <c r="X350" s="2"/>
      <c r="Y350" s="2"/>
      <c r="Z350" s="2"/>
      <c r="AA350" s="20"/>
      <c r="AB350" s="71"/>
      <c r="AC350" s="71"/>
      <c r="AD350" s="2"/>
      <c r="AE350" s="70"/>
      <c r="AF350" s="70"/>
      <c r="AG350" s="70"/>
      <c r="AH350" s="70"/>
      <c r="AI350" s="2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70"/>
      <c r="AX350" s="70"/>
      <c r="AY350" s="70"/>
      <c r="AZ350" s="70"/>
      <c r="BA350" s="70"/>
      <c r="BB350" s="70"/>
      <c r="BC350" s="70"/>
      <c r="BD350" s="70"/>
      <c r="BE350" s="70"/>
      <c r="BF350" s="70"/>
      <c r="BG350" s="70"/>
      <c r="BH350" s="70"/>
      <c r="BI350" s="70"/>
      <c r="BJ350" s="70"/>
      <c r="BK350" s="70"/>
      <c r="BL350" s="70"/>
      <c r="BM350" s="70"/>
      <c r="BN350" s="70"/>
      <c r="BO350" s="70"/>
      <c r="BP350" s="70"/>
      <c r="BQ350" s="70"/>
      <c r="BR350" s="70"/>
      <c r="BS350" s="70"/>
      <c r="BT350" s="70"/>
      <c r="BU350" s="70"/>
      <c r="BV350" s="70"/>
      <c r="BW350" s="70"/>
      <c r="BX350" s="70"/>
      <c r="BY350" s="70"/>
      <c r="BZ350" s="70"/>
      <c r="CA350" s="70"/>
      <c r="CB350" s="70"/>
      <c r="CC350" s="70"/>
      <c r="CD350" s="70"/>
      <c r="CE350" s="70"/>
      <c r="CF350" s="70"/>
      <c r="CG350" s="70"/>
      <c r="CH350" s="70"/>
      <c r="CI350" s="70"/>
      <c r="CJ350" s="70"/>
      <c r="CK350" s="70"/>
      <c r="CL350" s="2"/>
      <c r="CM350" s="2"/>
      <c r="CN350" s="70"/>
      <c r="CO350" s="70"/>
      <c r="CP350" s="70"/>
      <c r="CQ350" s="70"/>
      <c r="CR350" s="2"/>
      <c r="CS350" s="2"/>
      <c r="CT350" s="70"/>
      <c r="CU350" s="70"/>
      <c r="CV350" s="70"/>
      <c r="CW350" s="70"/>
    </row>
    <row r="351" spans="1:101" ht="15.75" customHeight="1" x14ac:dyDescent="0.2">
      <c r="A351" s="1"/>
      <c r="B351" s="2"/>
      <c r="C351" s="2"/>
      <c r="D351" s="2"/>
      <c r="E351" s="2"/>
      <c r="F351" s="2"/>
      <c r="G351" s="2"/>
      <c r="H351" s="2"/>
      <c r="I351" s="2"/>
      <c r="J351" s="3"/>
      <c r="K351" s="2"/>
      <c r="L351" s="2"/>
      <c r="M351" s="2"/>
      <c r="N351" s="2"/>
      <c r="O351" s="2"/>
      <c r="P351" s="2"/>
      <c r="Q351" s="69"/>
      <c r="R351" s="69"/>
      <c r="S351" s="70"/>
      <c r="T351" s="70"/>
      <c r="U351" s="2"/>
      <c r="V351" s="2"/>
      <c r="W351" s="2"/>
      <c r="X351" s="2"/>
      <c r="Y351" s="2"/>
      <c r="Z351" s="2"/>
      <c r="AA351" s="20"/>
      <c r="AB351" s="71"/>
      <c r="AC351" s="71"/>
      <c r="AD351" s="2"/>
      <c r="AE351" s="70"/>
      <c r="AF351" s="70"/>
      <c r="AG351" s="70"/>
      <c r="AH351" s="70"/>
      <c r="AI351" s="2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70"/>
      <c r="AX351" s="70"/>
      <c r="AY351" s="70"/>
      <c r="AZ351" s="70"/>
      <c r="BA351" s="70"/>
      <c r="BB351" s="70"/>
      <c r="BC351" s="70"/>
      <c r="BD351" s="70"/>
      <c r="BE351" s="70"/>
      <c r="BF351" s="70"/>
      <c r="BG351" s="70"/>
      <c r="BH351" s="70"/>
      <c r="BI351" s="70"/>
      <c r="BJ351" s="70"/>
      <c r="BK351" s="70"/>
      <c r="BL351" s="70"/>
      <c r="BM351" s="70"/>
      <c r="BN351" s="70"/>
      <c r="BO351" s="70"/>
      <c r="BP351" s="70"/>
      <c r="BQ351" s="70"/>
      <c r="BR351" s="70"/>
      <c r="BS351" s="70"/>
      <c r="BT351" s="70"/>
      <c r="BU351" s="70"/>
      <c r="BV351" s="70"/>
      <c r="BW351" s="70"/>
      <c r="BX351" s="70"/>
      <c r="BY351" s="70"/>
      <c r="BZ351" s="70"/>
      <c r="CA351" s="70"/>
      <c r="CB351" s="70"/>
      <c r="CC351" s="70"/>
      <c r="CD351" s="70"/>
      <c r="CE351" s="70"/>
      <c r="CF351" s="70"/>
      <c r="CG351" s="70"/>
      <c r="CH351" s="70"/>
      <c r="CI351" s="70"/>
      <c r="CJ351" s="70"/>
      <c r="CK351" s="70"/>
      <c r="CL351" s="2"/>
      <c r="CM351" s="2"/>
      <c r="CN351" s="70"/>
      <c r="CO351" s="70"/>
      <c r="CP351" s="70"/>
      <c r="CQ351" s="70"/>
      <c r="CR351" s="2"/>
      <c r="CS351" s="2"/>
      <c r="CT351" s="70"/>
      <c r="CU351" s="70"/>
      <c r="CV351" s="70"/>
      <c r="CW351" s="70"/>
    </row>
    <row r="352" spans="1:101" ht="15.75" customHeight="1" x14ac:dyDescent="0.2">
      <c r="A352" s="1"/>
      <c r="B352" s="2"/>
      <c r="C352" s="2"/>
      <c r="D352" s="2"/>
      <c r="E352" s="2"/>
      <c r="F352" s="2"/>
      <c r="G352" s="2"/>
      <c r="H352" s="2"/>
      <c r="I352" s="2"/>
      <c r="J352" s="3"/>
      <c r="K352" s="2"/>
      <c r="L352" s="2"/>
      <c r="M352" s="2"/>
      <c r="N352" s="2"/>
      <c r="O352" s="2"/>
      <c r="P352" s="2"/>
      <c r="Q352" s="69"/>
      <c r="R352" s="69"/>
      <c r="S352" s="70"/>
      <c r="T352" s="70"/>
      <c r="U352" s="2"/>
      <c r="V352" s="2"/>
      <c r="W352" s="2"/>
      <c r="X352" s="2"/>
      <c r="Y352" s="2"/>
      <c r="Z352" s="2"/>
      <c r="AA352" s="20"/>
      <c r="AB352" s="71"/>
      <c r="AC352" s="71"/>
      <c r="AD352" s="2"/>
      <c r="AE352" s="70"/>
      <c r="AF352" s="70"/>
      <c r="AG352" s="70"/>
      <c r="AH352" s="70"/>
      <c r="AI352" s="2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70"/>
      <c r="AX352" s="70"/>
      <c r="AY352" s="70"/>
      <c r="AZ352" s="70"/>
      <c r="BA352" s="70"/>
      <c r="BB352" s="70"/>
      <c r="BC352" s="70"/>
      <c r="BD352" s="70"/>
      <c r="BE352" s="70"/>
      <c r="BF352" s="70"/>
      <c r="BG352" s="70"/>
      <c r="BH352" s="70"/>
      <c r="BI352" s="70"/>
      <c r="BJ352" s="70"/>
      <c r="BK352" s="70"/>
      <c r="BL352" s="70"/>
      <c r="BM352" s="70"/>
      <c r="BN352" s="70"/>
      <c r="BO352" s="70"/>
      <c r="BP352" s="70"/>
      <c r="BQ352" s="70"/>
      <c r="BR352" s="70"/>
      <c r="BS352" s="70"/>
      <c r="BT352" s="70"/>
      <c r="BU352" s="70"/>
      <c r="BV352" s="70"/>
      <c r="BW352" s="70"/>
      <c r="BX352" s="70"/>
      <c r="BY352" s="70"/>
      <c r="BZ352" s="70"/>
      <c r="CA352" s="70"/>
      <c r="CB352" s="70"/>
      <c r="CC352" s="70"/>
      <c r="CD352" s="70"/>
      <c r="CE352" s="70"/>
      <c r="CF352" s="70"/>
      <c r="CG352" s="70"/>
      <c r="CH352" s="70"/>
      <c r="CI352" s="70"/>
      <c r="CJ352" s="70"/>
      <c r="CK352" s="70"/>
      <c r="CL352" s="2"/>
      <c r="CM352" s="2"/>
      <c r="CN352" s="70"/>
      <c r="CO352" s="70"/>
      <c r="CP352" s="70"/>
      <c r="CQ352" s="70"/>
      <c r="CR352" s="2"/>
      <c r="CS352" s="2"/>
      <c r="CT352" s="70"/>
      <c r="CU352" s="70"/>
      <c r="CV352" s="70"/>
      <c r="CW352" s="70"/>
    </row>
    <row r="353" spans="1:101" ht="15.75" customHeight="1" x14ac:dyDescent="0.2">
      <c r="A353" s="1"/>
      <c r="B353" s="2"/>
      <c r="C353" s="2"/>
      <c r="D353" s="2"/>
      <c r="E353" s="2"/>
      <c r="F353" s="2"/>
      <c r="G353" s="2"/>
      <c r="H353" s="2"/>
      <c r="I353" s="2"/>
      <c r="J353" s="3"/>
      <c r="K353" s="2"/>
      <c r="L353" s="2"/>
      <c r="M353" s="2"/>
      <c r="N353" s="2"/>
      <c r="O353" s="2"/>
      <c r="P353" s="2"/>
      <c r="Q353" s="69"/>
      <c r="R353" s="69"/>
      <c r="S353" s="70"/>
      <c r="T353" s="70"/>
      <c r="U353" s="2"/>
      <c r="V353" s="2"/>
      <c r="W353" s="2"/>
      <c r="X353" s="2"/>
      <c r="Y353" s="2"/>
      <c r="Z353" s="2"/>
      <c r="AA353" s="20"/>
      <c r="AB353" s="71"/>
      <c r="AC353" s="71"/>
      <c r="AD353" s="2"/>
      <c r="AE353" s="70"/>
      <c r="AF353" s="70"/>
      <c r="AG353" s="70"/>
      <c r="AH353" s="70"/>
      <c r="AI353" s="2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70"/>
      <c r="AX353" s="70"/>
      <c r="AY353" s="70"/>
      <c r="AZ353" s="70"/>
      <c r="BA353" s="70"/>
      <c r="BB353" s="70"/>
      <c r="BC353" s="70"/>
      <c r="BD353" s="70"/>
      <c r="BE353" s="70"/>
      <c r="BF353" s="70"/>
      <c r="BG353" s="70"/>
      <c r="BH353" s="70"/>
      <c r="BI353" s="70"/>
      <c r="BJ353" s="70"/>
      <c r="BK353" s="70"/>
      <c r="BL353" s="70"/>
      <c r="BM353" s="70"/>
      <c r="BN353" s="70"/>
      <c r="BO353" s="70"/>
      <c r="BP353" s="70"/>
      <c r="BQ353" s="70"/>
      <c r="BR353" s="70"/>
      <c r="BS353" s="70"/>
      <c r="BT353" s="70"/>
      <c r="BU353" s="70"/>
      <c r="BV353" s="70"/>
      <c r="BW353" s="70"/>
      <c r="BX353" s="70"/>
      <c r="BY353" s="70"/>
      <c r="BZ353" s="70"/>
      <c r="CA353" s="70"/>
      <c r="CB353" s="70"/>
      <c r="CC353" s="70"/>
      <c r="CD353" s="70"/>
      <c r="CE353" s="70"/>
      <c r="CF353" s="70"/>
      <c r="CG353" s="70"/>
      <c r="CH353" s="70"/>
      <c r="CI353" s="70"/>
      <c r="CJ353" s="70"/>
      <c r="CK353" s="70"/>
      <c r="CL353" s="2"/>
      <c r="CM353" s="2"/>
      <c r="CN353" s="70"/>
      <c r="CO353" s="70"/>
      <c r="CP353" s="70"/>
      <c r="CQ353" s="70"/>
      <c r="CR353" s="2"/>
      <c r="CS353" s="2"/>
      <c r="CT353" s="70"/>
      <c r="CU353" s="70"/>
      <c r="CV353" s="70"/>
      <c r="CW353" s="70"/>
    </row>
    <row r="354" spans="1:101" ht="15.75" customHeight="1" x14ac:dyDescent="0.2">
      <c r="A354" s="1"/>
      <c r="B354" s="2"/>
      <c r="C354" s="2"/>
      <c r="D354" s="2"/>
      <c r="E354" s="2"/>
      <c r="F354" s="2"/>
      <c r="G354" s="2"/>
      <c r="H354" s="2"/>
      <c r="I354" s="2"/>
      <c r="J354" s="3"/>
      <c r="K354" s="2"/>
      <c r="L354" s="2"/>
      <c r="M354" s="2"/>
      <c r="N354" s="2"/>
      <c r="O354" s="2"/>
      <c r="P354" s="2"/>
      <c r="Q354" s="69"/>
      <c r="R354" s="69"/>
      <c r="S354" s="70"/>
      <c r="T354" s="70"/>
      <c r="U354" s="2"/>
      <c r="V354" s="2"/>
      <c r="W354" s="2"/>
      <c r="X354" s="2"/>
      <c r="Y354" s="2"/>
      <c r="Z354" s="2"/>
      <c r="AA354" s="20"/>
      <c r="AB354" s="71"/>
      <c r="AC354" s="71"/>
      <c r="AD354" s="2"/>
      <c r="AE354" s="70"/>
      <c r="AF354" s="70"/>
      <c r="AG354" s="70"/>
      <c r="AH354" s="70"/>
      <c r="AI354" s="2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70"/>
      <c r="AX354" s="70"/>
      <c r="AY354" s="70"/>
      <c r="AZ354" s="70"/>
      <c r="BA354" s="70"/>
      <c r="BB354" s="70"/>
      <c r="BC354" s="70"/>
      <c r="BD354" s="70"/>
      <c r="BE354" s="70"/>
      <c r="BF354" s="70"/>
      <c r="BG354" s="70"/>
      <c r="BH354" s="70"/>
      <c r="BI354" s="70"/>
      <c r="BJ354" s="70"/>
      <c r="BK354" s="70"/>
      <c r="BL354" s="70"/>
      <c r="BM354" s="70"/>
      <c r="BN354" s="70"/>
      <c r="BO354" s="70"/>
      <c r="BP354" s="70"/>
      <c r="BQ354" s="70"/>
      <c r="BR354" s="70"/>
      <c r="BS354" s="70"/>
      <c r="BT354" s="70"/>
      <c r="BU354" s="70"/>
      <c r="BV354" s="70"/>
      <c r="BW354" s="70"/>
      <c r="BX354" s="70"/>
      <c r="BY354" s="70"/>
      <c r="BZ354" s="70"/>
      <c r="CA354" s="70"/>
      <c r="CB354" s="70"/>
      <c r="CC354" s="70"/>
      <c r="CD354" s="70"/>
      <c r="CE354" s="70"/>
      <c r="CF354" s="70"/>
      <c r="CG354" s="70"/>
      <c r="CH354" s="70"/>
      <c r="CI354" s="70"/>
      <c r="CJ354" s="70"/>
      <c r="CK354" s="70"/>
      <c r="CL354" s="2"/>
      <c r="CM354" s="2"/>
      <c r="CN354" s="70"/>
      <c r="CO354" s="70"/>
      <c r="CP354" s="70"/>
      <c r="CQ354" s="70"/>
      <c r="CR354" s="2"/>
      <c r="CS354" s="2"/>
      <c r="CT354" s="70"/>
      <c r="CU354" s="70"/>
      <c r="CV354" s="70"/>
      <c r="CW354" s="70"/>
    </row>
    <row r="355" spans="1:101" ht="15.75" customHeight="1" x14ac:dyDescent="0.2">
      <c r="A355" s="1"/>
      <c r="B355" s="2"/>
      <c r="C355" s="2"/>
      <c r="D355" s="2"/>
      <c r="E355" s="2"/>
      <c r="F355" s="2"/>
      <c r="G355" s="2"/>
      <c r="H355" s="2"/>
      <c r="I355" s="2"/>
      <c r="J355" s="3"/>
      <c r="K355" s="2"/>
      <c r="L355" s="2"/>
      <c r="M355" s="2"/>
      <c r="N355" s="2"/>
      <c r="O355" s="2"/>
      <c r="P355" s="2"/>
      <c r="Q355" s="69"/>
      <c r="R355" s="69"/>
      <c r="S355" s="70"/>
      <c r="T355" s="70"/>
      <c r="U355" s="2"/>
      <c r="V355" s="2"/>
      <c r="W355" s="2"/>
      <c r="X355" s="2"/>
      <c r="Y355" s="2"/>
      <c r="Z355" s="2"/>
      <c r="AA355" s="20"/>
      <c r="AB355" s="71"/>
      <c r="AC355" s="71"/>
      <c r="AD355" s="2"/>
      <c r="AE355" s="70"/>
      <c r="AF355" s="70"/>
      <c r="AG355" s="70"/>
      <c r="AH355" s="70"/>
      <c r="AI355" s="2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70"/>
      <c r="AX355" s="70"/>
      <c r="AY355" s="70"/>
      <c r="AZ355" s="70"/>
      <c r="BA355" s="70"/>
      <c r="BB355" s="70"/>
      <c r="BC355" s="70"/>
      <c r="BD355" s="70"/>
      <c r="BE355" s="70"/>
      <c r="BF355" s="70"/>
      <c r="BG355" s="70"/>
      <c r="BH355" s="70"/>
      <c r="BI355" s="70"/>
      <c r="BJ355" s="70"/>
      <c r="BK355" s="70"/>
      <c r="BL355" s="70"/>
      <c r="BM355" s="70"/>
      <c r="BN355" s="70"/>
      <c r="BO355" s="70"/>
      <c r="BP355" s="70"/>
      <c r="BQ355" s="70"/>
      <c r="BR355" s="70"/>
      <c r="BS355" s="70"/>
      <c r="BT355" s="70"/>
      <c r="BU355" s="70"/>
      <c r="BV355" s="70"/>
      <c r="BW355" s="70"/>
      <c r="BX355" s="70"/>
      <c r="BY355" s="70"/>
      <c r="BZ355" s="70"/>
      <c r="CA355" s="70"/>
      <c r="CB355" s="70"/>
      <c r="CC355" s="70"/>
      <c r="CD355" s="70"/>
      <c r="CE355" s="70"/>
      <c r="CF355" s="70"/>
      <c r="CG355" s="70"/>
      <c r="CH355" s="70"/>
      <c r="CI355" s="70"/>
      <c r="CJ355" s="70"/>
      <c r="CK355" s="70"/>
      <c r="CL355" s="2"/>
      <c r="CM355" s="2"/>
      <c r="CN355" s="70"/>
      <c r="CO355" s="70"/>
      <c r="CP355" s="70"/>
      <c r="CQ355" s="70"/>
      <c r="CR355" s="2"/>
      <c r="CS355" s="2"/>
      <c r="CT355" s="70"/>
      <c r="CU355" s="70"/>
      <c r="CV355" s="70"/>
      <c r="CW355" s="70"/>
    </row>
    <row r="356" spans="1:101" ht="15.75" customHeight="1" x14ac:dyDescent="0.2">
      <c r="A356" s="1"/>
      <c r="B356" s="2"/>
      <c r="C356" s="2"/>
      <c r="D356" s="2"/>
      <c r="E356" s="2"/>
      <c r="F356" s="2"/>
      <c r="G356" s="2"/>
      <c r="H356" s="2"/>
      <c r="I356" s="2"/>
      <c r="J356" s="3"/>
      <c r="K356" s="2"/>
      <c r="L356" s="2"/>
      <c r="M356" s="2"/>
      <c r="N356" s="2"/>
      <c r="O356" s="2"/>
      <c r="P356" s="2"/>
      <c r="Q356" s="69"/>
      <c r="R356" s="69"/>
      <c r="S356" s="70"/>
      <c r="T356" s="70"/>
      <c r="U356" s="2"/>
      <c r="V356" s="2"/>
      <c r="W356" s="2"/>
      <c r="X356" s="2"/>
      <c r="Y356" s="2"/>
      <c r="Z356" s="2"/>
      <c r="AA356" s="20"/>
      <c r="AB356" s="71"/>
      <c r="AC356" s="71"/>
      <c r="AD356" s="2"/>
      <c r="AE356" s="70"/>
      <c r="AF356" s="70"/>
      <c r="AG356" s="70"/>
      <c r="AH356" s="70"/>
      <c r="AI356" s="2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  <c r="AW356" s="70"/>
      <c r="AX356" s="70"/>
      <c r="AY356" s="70"/>
      <c r="AZ356" s="70"/>
      <c r="BA356" s="70"/>
      <c r="BB356" s="70"/>
      <c r="BC356" s="70"/>
      <c r="BD356" s="70"/>
      <c r="BE356" s="70"/>
      <c r="BF356" s="70"/>
      <c r="BG356" s="70"/>
      <c r="BH356" s="70"/>
      <c r="BI356" s="70"/>
      <c r="BJ356" s="70"/>
      <c r="BK356" s="70"/>
      <c r="BL356" s="70"/>
      <c r="BM356" s="70"/>
      <c r="BN356" s="70"/>
      <c r="BO356" s="70"/>
      <c r="BP356" s="70"/>
      <c r="BQ356" s="70"/>
      <c r="BR356" s="70"/>
      <c r="BS356" s="70"/>
      <c r="BT356" s="70"/>
      <c r="BU356" s="70"/>
      <c r="BV356" s="70"/>
      <c r="BW356" s="70"/>
      <c r="BX356" s="70"/>
      <c r="BY356" s="70"/>
      <c r="BZ356" s="70"/>
      <c r="CA356" s="70"/>
      <c r="CB356" s="70"/>
      <c r="CC356" s="70"/>
      <c r="CD356" s="70"/>
      <c r="CE356" s="70"/>
      <c r="CF356" s="70"/>
      <c r="CG356" s="70"/>
      <c r="CH356" s="70"/>
      <c r="CI356" s="70"/>
      <c r="CJ356" s="70"/>
      <c r="CK356" s="70"/>
      <c r="CL356" s="2"/>
      <c r="CM356" s="2"/>
      <c r="CN356" s="70"/>
      <c r="CO356" s="70"/>
      <c r="CP356" s="70"/>
      <c r="CQ356" s="70"/>
      <c r="CR356" s="2"/>
      <c r="CS356" s="2"/>
      <c r="CT356" s="70"/>
      <c r="CU356" s="70"/>
      <c r="CV356" s="70"/>
      <c r="CW356" s="70"/>
    </row>
    <row r="357" spans="1:101" ht="15.75" customHeight="1" x14ac:dyDescent="0.2">
      <c r="A357" s="1"/>
      <c r="B357" s="2"/>
      <c r="C357" s="2"/>
      <c r="D357" s="2"/>
      <c r="E357" s="2"/>
      <c r="F357" s="2"/>
      <c r="G357" s="2"/>
      <c r="H357" s="2"/>
      <c r="I357" s="2"/>
      <c r="J357" s="3"/>
      <c r="K357" s="2"/>
      <c r="L357" s="2"/>
      <c r="M357" s="2"/>
      <c r="N357" s="2"/>
      <c r="O357" s="2"/>
      <c r="P357" s="2"/>
      <c r="Q357" s="69"/>
      <c r="R357" s="69"/>
      <c r="S357" s="70"/>
      <c r="T357" s="70"/>
      <c r="U357" s="2"/>
      <c r="V357" s="2"/>
      <c r="W357" s="2"/>
      <c r="X357" s="2"/>
      <c r="Y357" s="2"/>
      <c r="Z357" s="2"/>
      <c r="AA357" s="20"/>
      <c r="AB357" s="71"/>
      <c r="AC357" s="71"/>
      <c r="AD357" s="2"/>
      <c r="AE357" s="70"/>
      <c r="AF357" s="70"/>
      <c r="AG357" s="70"/>
      <c r="AH357" s="70"/>
      <c r="AI357" s="2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70"/>
      <c r="AX357" s="70"/>
      <c r="AY357" s="70"/>
      <c r="AZ357" s="70"/>
      <c r="BA357" s="70"/>
      <c r="BB357" s="70"/>
      <c r="BC357" s="70"/>
      <c r="BD357" s="70"/>
      <c r="BE357" s="70"/>
      <c r="BF357" s="70"/>
      <c r="BG357" s="70"/>
      <c r="BH357" s="70"/>
      <c r="BI357" s="70"/>
      <c r="BJ357" s="70"/>
      <c r="BK357" s="70"/>
      <c r="BL357" s="70"/>
      <c r="BM357" s="70"/>
      <c r="BN357" s="70"/>
      <c r="BO357" s="70"/>
      <c r="BP357" s="70"/>
      <c r="BQ357" s="70"/>
      <c r="BR357" s="70"/>
      <c r="BS357" s="70"/>
      <c r="BT357" s="70"/>
      <c r="BU357" s="70"/>
      <c r="BV357" s="70"/>
      <c r="BW357" s="70"/>
      <c r="BX357" s="70"/>
      <c r="BY357" s="70"/>
      <c r="BZ357" s="70"/>
      <c r="CA357" s="70"/>
      <c r="CB357" s="70"/>
      <c r="CC357" s="70"/>
      <c r="CD357" s="70"/>
      <c r="CE357" s="70"/>
      <c r="CF357" s="70"/>
      <c r="CG357" s="70"/>
      <c r="CH357" s="70"/>
      <c r="CI357" s="70"/>
      <c r="CJ357" s="70"/>
      <c r="CK357" s="70"/>
      <c r="CL357" s="2"/>
      <c r="CM357" s="2"/>
      <c r="CN357" s="70"/>
      <c r="CO357" s="70"/>
      <c r="CP357" s="70"/>
      <c r="CQ357" s="70"/>
      <c r="CR357" s="2"/>
      <c r="CS357" s="2"/>
      <c r="CT357" s="70"/>
      <c r="CU357" s="70"/>
      <c r="CV357" s="70"/>
      <c r="CW357" s="70"/>
    </row>
    <row r="358" spans="1:101" ht="15.75" customHeight="1" x14ac:dyDescent="0.2">
      <c r="A358" s="1"/>
      <c r="B358" s="2"/>
      <c r="C358" s="2"/>
      <c r="D358" s="2"/>
      <c r="E358" s="2"/>
      <c r="F358" s="2"/>
      <c r="G358" s="2"/>
      <c r="H358" s="2"/>
      <c r="I358" s="2"/>
      <c r="J358" s="3"/>
      <c r="K358" s="2"/>
      <c r="L358" s="2"/>
      <c r="M358" s="2"/>
      <c r="N358" s="2"/>
      <c r="O358" s="2"/>
      <c r="P358" s="2"/>
      <c r="Q358" s="69"/>
      <c r="R358" s="69"/>
      <c r="S358" s="70"/>
      <c r="T358" s="70"/>
      <c r="U358" s="2"/>
      <c r="V358" s="2"/>
      <c r="W358" s="2"/>
      <c r="X358" s="2"/>
      <c r="Y358" s="2"/>
      <c r="Z358" s="2"/>
      <c r="AA358" s="20"/>
      <c r="AB358" s="71"/>
      <c r="AC358" s="71"/>
      <c r="AD358" s="2"/>
      <c r="AE358" s="70"/>
      <c r="AF358" s="70"/>
      <c r="AG358" s="70"/>
      <c r="AH358" s="70"/>
      <c r="AI358" s="2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  <c r="AW358" s="70"/>
      <c r="AX358" s="70"/>
      <c r="AY358" s="70"/>
      <c r="AZ358" s="70"/>
      <c r="BA358" s="70"/>
      <c r="BB358" s="70"/>
      <c r="BC358" s="70"/>
      <c r="BD358" s="70"/>
      <c r="BE358" s="70"/>
      <c r="BF358" s="70"/>
      <c r="BG358" s="70"/>
      <c r="BH358" s="70"/>
      <c r="BI358" s="70"/>
      <c r="BJ358" s="70"/>
      <c r="BK358" s="70"/>
      <c r="BL358" s="70"/>
      <c r="BM358" s="70"/>
      <c r="BN358" s="70"/>
      <c r="BO358" s="70"/>
      <c r="BP358" s="70"/>
      <c r="BQ358" s="70"/>
      <c r="BR358" s="70"/>
      <c r="BS358" s="70"/>
      <c r="BT358" s="70"/>
      <c r="BU358" s="70"/>
      <c r="BV358" s="70"/>
      <c r="BW358" s="70"/>
      <c r="BX358" s="70"/>
      <c r="BY358" s="70"/>
      <c r="BZ358" s="70"/>
      <c r="CA358" s="70"/>
      <c r="CB358" s="70"/>
      <c r="CC358" s="70"/>
      <c r="CD358" s="70"/>
      <c r="CE358" s="70"/>
      <c r="CF358" s="70"/>
      <c r="CG358" s="70"/>
      <c r="CH358" s="70"/>
      <c r="CI358" s="70"/>
      <c r="CJ358" s="70"/>
      <c r="CK358" s="70"/>
      <c r="CL358" s="2"/>
      <c r="CM358" s="2"/>
      <c r="CN358" s="70"/>
      <c r="CO358" s="70"/>
      <c r="CP358" s="70"/>
      <c r="CQ358" s="70"/>
      <c r="CR358" s="2"/>
      <c r="CS358" s="2"/>
      <c r="CT358" s="70"/>
      <c r="CU358" s="70"/>
      <c r="CV358" s="70"/>
      <c r="CW358" s="70"/>
    </row>
    <row r="359" spans="1:101" ht="15.75" customHeight="1" x14ac:dyDescent="0.2">
      <c r="A359" s="1"/>
      <c r="B359" s="2"/>
      <c r="C359" s="2"/>
      <c r="D359" s="2"/>
      <c r="E359" s="2"/>
      <c r="F359" s="2"/>
      <c r="G359" s="2"/>
      <c r="H359" s="2"/>
      <c r="I359" s="2"/>
      <c r="J359" s="3"/>
      <c r="K359" s="2"/>
      <c r="L359" s="2"/>
      <c r="M359" s="2"/>
      <c r="N359" s="2"/>
      <c r="O359" s="2"/>
      <c r="P359" s="2"/>
      <c r="Q359" s="69"/>
      <c r="R359" s="69"/>
      <c r="S359" s="70"/>
      <c r="T359" s="70"/>
      <c r="U359" s="2"/>
      <c r="V359" s="2"/>
      <c r="W359" s="2"/>
      <c r="X359" s="2"/>
      <c r="Y359" s="2"/>
      <c r="Z359" s="2"/>
      <c r="AA359" s="20"/>
      <c r="AB359" s="71"/>
      <c r="AC359" s="71"/>
      <c r="AD359" s="2"/>
      <c r="AE359" s="70"/>
      <c r="AF359" s="70"/>
      <c r="AG359" s="70"/>
      <c r="AH359" s="70"/>
      <c r="AI359" s="2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  <c r="AW359" s="70"/>
      <c r="AX359" s="70"/>
      <c r="AY359" s="70"/>
      <c r="AZ359" s="70"/>
      <c r="BA359" s="70"/>
      <c r="BB359" s="70"/>
      <c r="BC359" s="70"/>
      <c r="BD359" s="70"/>
      <c r="BE359" s="70"/>
      <c r="BF359" s="70"/>
      <c r="BG359" s="70"/>
      <c r="BH359" s="70"/>
      <c r="BI359" s="70"/>
      <c r="BJ359" s="70"/>
      <c r="BK359" s="70"/>
      <c r="BL359" s="70"/>
      <c r="BM359" s="70"/>
      <c r="BN359" s="70"/>
      <c r="BO359" s="70"/>
      <c r="BP359" s="70"/>
      <c r="BQ359" s="70"/>
      <c r="BR359" s="70"/>
      <c r="BS359" s="70"/>
      <c r="BT359" s="70"/>
      <c r="BU359" s="70"/>
      <c r="BV359" s="70"/>
      <c r="BW359" s="70"/>
      <c r="BX359" s="70"/>
      <c r="BY359" s="70"/>
      <c r="BZ359" s="70"/>
      <c r="CA359" s="70"/>
      <c r="CB359" s="70"/>
      <c r="CC359" s="70"/>
      <c r="CD359" s="70"/>
      <c r="CE359" s="70"/>
      <c r="CF359" s="70"/>
      <c r="CG359" s="70"/>
      <c r="CH359" s="70"/>
      <c r="CI359" s="70"/>
      <c r="CJ359" s="70"/>
      <c r="CK359" s="70"/>
      <c r="CL359" s="2"/>
      <c r="CM359" s="2"/>
      <c r="CN359" s="70"/>
      <c r="CO359" s="70"/>
      <c r="CP359" s="70"/>
      <c r="CQ359" s="70"/>
      <c r="CR359" s="2"/>
      <c r="CS359" s="2"/>
      <c r="CT359" s="70"/>
      <c r="CU359" s="70"/>
      <c r="CV359" s="70"/>
      <c r="CW359" s="70"/>
    </row>
    <row r="360" spans="1:101" ht="15.75" customHeight="1" x14ac:dyDescent="0.2">
      <c r="A360" s="1"/>
      <c r="B360" s="2"/>
      <c r="C360" s="2"/>
      <c r="D360" s="2"/>
      <c r="E360" s="2"/>
      <c r="F360" s="2"/>
      <c r="G360" s="2"/>
      <c r="H360" s="2"/>
      <c r="I360" s="2"/>
      <c r="J360" s="3"/>
      <c r="K360" s="2"/>
      <c r="L360" s="2"/>
      <c r="M360" s="2"/>
      <c r="N360" s="2"/>
      <c r="O360" s="2"/>
      <c r="P360" s="2"/>
      <c r="Q360" s="69"/>
      <c r="R360" s="69"/>
      <c r="S360" s="70"/>
      <c r="T360" s="70"/>
      <c r="U360" s="2"/>
      <c r="V360" s="2"/>
      <c r="W360" s="2"/>
      <c r="X360" s="2"/>
      <c r="Y360" s="2"/>
      <c r="Z360" s="2"/>
      <c r="AA360" s="20"/>
      <c r="AB360" s="71"/>
      <c r="AC360" s="71"/>
      <c r="AD360" s="2"/>
      <c r="AE360" s="70"/>
      <c r="AF360" s="70"/>
      <c r="AG360" s="70"/>
      <c r="AH360" s="70"/>
      <c r="AI360" s="2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  <c r="AW360" s="70"/>
      <c r="AX360" s="70"/>
      <c r="AY360" s="70"/>
      <c r="AZ360" s="70"/>
      <c r="BA360" s="70"/>
      <c r="BB360" s="70"/>
      <c r="BC360" s="70"/>
      <c r="BD360" s="70"/>
      <c r="BE360" s="70"/>
      <c r="BF360" s="70"/>
      <c r="BG360" s="70"/>
      <c r="BH360" s="70"/>
      <c r="BI360" s="70"/>
      <c r="BJ360" s="70"/>
      <c r="BK360" s="70"/>
      <c r="BL360" s="70"/>
      <c r="BM360" s="70"/>
      <c r="BN360" s="70"/>
      <c r="BO360" s="70"/>
      <c r="BP360" s="70"/>
      <c r="BQ360" s="70"/>
      <c r="BR360" s="70"/>
      <c r="BS360" s="70"/>
      <c r="BT360" s="70"/>
      <c r="BU360" s="70"/>
      <c r="BV360" s="70"/>
      <c r="BW360" s="70"/>
      <c r="BX360" s="70"/>
      <c r="BY360" s="70"/>
      <c r="BZ360" s="70"/>
      <c r="CA360" s="70"/>
      <c r="CB360" s="70"/>
      <c r="CC360" s="70"/>
      <c r="CD360" s="70"/>
      <c r="CE360" s="70"/>
      <c r="CF360" s="70"/>
      <c r="CG360" s="70"/>
      <c r="CH360" s="70"/>
      <c r="CI360" s="70"/>
      <c r="CJ360" s="70"/>
      <c r="CK360" s="70"/>
      <c r="CL360" s="2"/>
      <c r="CM360" s="2"/>
      <c r="CN360" s="70"/>
      <c r="CO360" s="70"/>
      <c r="CP360" s="70"/>
      <c r="CQ360" s="70"/>
      <c r="CR360" s="2"/>
      <c r="CS360" s="2"/>
      <c r="CT360" s="70"/>
      <c r="CU360" s="70"/>
      <c r="CV360" s="70"/>
      <c r="CW360" s="70"/>
    </row>
    <row r="361" spans="1:101" ht="15.75" customHeight="1" x14ac:dyDescent="0.2">
      <c r="A361" s="1"/>
      <c r="B361" s="2"/>
      <c r="C361" s="2"/>
      <c r="D361" s="2"/>
      <c r="E361" s="2"/>
      <c r="F361" s="2"/>
      <c r="G361" s="2"/>
      <c r="H361" s="2"/>
      <c r="I361" s="2"/>
      <c r="J361" s="3"/>
      <c r="K361" s="2"/>
      <c r="L361" s="2"/>
      <c r="M361" s="2"/>
      <c r="N361" s="2"/>
      <c r="O361" s="2"/>
      <c r="P361" s="2"/>
      <c r="Q361" s="69"/>
      <c r="R361" s="69"/>
      <c r="S361" s="70"/>
      <c r="T361" s="70"/>
      <c r="U361" s="2"/>
      <c r="V361" s="2"/>
      <c r="W361" s="2"/>
      <c r="X361" s="2"/>
      <c r="Y361" s="2"/>
      <c r="Z361" s="2"/>
      <c r="AA361" s="20"/>
      <c r="AB361" s="71"/>
      <c r="AC361" s="71"/>
      <c r="AD361" s="2"/>
      <c r="AE361" s="70"/>
      <c r="AF361" s="70"/>
      <c r="AG361" s="70"/>
      <c r="AH361" s="70"/>
      <c r="AI361" s="2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 s="70"/>
      <c r="AX361" s="70"/>
      <c r="AY361" s="70"/>
      <c r="AZ361" s="70"/>
      <c r="BA361" s="70"/>
      <c r="BB361" s="70"/>
      <c r="BC361" s="70"/>
      <c r="BD361" s="70"/>
      <c r="BE361" s="70"/>
      <c r="BF361" s="70"/>
      <c r="BG361" s="70"/>
      <c r="BH361" s="70"/>
      <c r="BI361" s="70"/>
      <c r="BJ361" s="70"/>
      <c r="BK361" s="70"/>
      <c r="BL361" s="70"/>
      <c r="BM361" s="70"/>
      <c r="BN361" s="70"/>
      <c r="BO361" s="70"/>
      <c r="BP361" s="70"/>
      <c r="BQ361" s="70"/>
      <c r="BR361" s="70"/>
      <c r="BS361" s="70"/>
      <c r="BT361" s="70"/>
      <c r="BU361" s="70"/>
      <c r="BV361" s="70"/>
      <c r="BW361" s="70"/>
      <c r="BX361" s="70"/>
      <c r="BY361" s="70"/>
      <c r="BZ361" s="70"/>
      <c r="CA361" s="70"/>
      <c r="CB361" s="70"/>
      <c r="CC361" s="70"/>
      <c r="CD361" s="70"/>
      <c r="CE361" s="70"/>
      <c r="CF361" s="70"/>
      <c r="CG361" s="70"/>
      <c r="CH361" s="70"/>
      <c r="CI361" s="70"/>
      <c r="CJ361" s="70"/>
      <c r="CK361" s="70"/>
      <c r="CL361" s="2"/>
      <c r="CM361" s="2"/>
      <c r="CN361" s="70"/>
      <c r="CO361" s="70"/>
      <c r="CP361" s="70"/>
      <c r="CQ361" s="70"/>
      <c r="CR361" s="2"/>
      <c r="CS361" s="2"/>
      <c r="CT361" s="70"/>
      <c r="CU361" s="70"/>
      <c r="CV361" s="70"/>
      <c r="CW361" s="70"/>
    </row>
    <row r="362" spans="1:101" ht="15.75" customHeight="1" x14ac:dyDescent="0.2">
      <c r="A362" s="1"/>
      <c r="B362" s="2"/>
      <c r="C362" s="2"/>
      <c r="D362" s="2"/>
      <c r="E362" s="2"/>
      <c r="F362" s="2"/>
      <c r="G362" s="2"/>
      <c r="H362" s="2"/>
      <c r="I362" s="2"/>
      <c r="J362" s="3"/>
      <c r="K362" s="2"/>
      <c r="L362" s="2"/>
      <c r="M362" s="2"/>
      <c r="N362" s="2"/>
      <c r="O362" s="2"/>
      <c r="P362" s="2"/>
      <c r="Q362" s="69"/>
      <c r="R362" s="69"/>
      <c r="S362" s="70"/>
      <c r="T362" s="70"/>
      <c r="U362" s="2"/>
      <c r="V362" s="2"/>
      <c r="W362" s="2"/>
      <c r="X362" s="2"/>
      <c r="Y362" s="2"/>
      <c r="Z362" s="2"/>
      <c r="AA362" s="20"/>
      <c r="AB362" s="71"/>
      <c r="AC362" s="71"/>
      <c r="AD362" s="2"/>
      <c r="AE362" s="70"/>
      <c r="AF362" s="70"/>
      <c r="AG362" s="70"/>
      <c r="AH362" s="70"/>
      <c r="AI362" s="2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 s="70"/>
      <c r="AX362" s="70"/>
      <c r="AY362" s="70"/>
      <c r="AZ362" s="70"/>
      <c r="BA362" s="70"/>
      <c r="BB362" s="70"/>
      <c r="BC362" s="70"/>
      <c r="BD362" s="70"/>
      <c r="BE362" s="70"/>
      <c r="BF362" s="70"/>
      <c r="BG362" s="70"/>
      <c r="BH362" s="70"/>
      <c r="BI362" s="70"/>
      <c r="BJ362" s="70"/>
      <c r="BK362" s="70"/>
      <c r="BL362" s="70"/>
      <c r="BM362" s="70"/>
      <c r="BN362" s="70"/>
      <c r="BO362" s="70"/>
      <c r="BP362" s="70"/>
      <c r="BQ362" s="70"/>
      <c r="BR362" s="70"/>
      <c r="BS362" s="70"/>
      <c r="BT362" s="70"/>
      <c r="BU362" s="70"/>
      <c r="BV362" s="70"/>
      <c r="BW362" s="70"/>
      <c r="BX362" s="70"/>
      <c r="BY362" s="70"/>
      <c r="BZ362" s="70"/>
      <c r="CA362" s="70"/>
      <c r="CB362" s="70"/>
      <c r="CC362" s="70"/>
      <c r="CD362" s="70"/>
      <c r="CE362" s="70"/>
      <c r="CF362" s="70"/>
      <c r="CG362" s="70"/>
      <c r="CH362" s="70"/>
      <c r="CI362" s="70"/>
      <c r="CJ362" s="70"/>
      <c r="CK362" s="70"/>
      <c r="CL362" s="2"/>
      <c r="CM362" s="2"/>
      <c r="CN362" s="70"/>
      <c r="CO362" s="70"/>
      <c r="CP362" s="70"/>
      <c r="CQ362" s="70"/>
      <c r="CR362" s="2"/>
      <c r="CS362" s="2"/>
      <c r="CT362" s="70"/>
      <c r="CU362" s="70"/>
      <c r="CV362" s="70"/>
      <c r="CW362" s="70"/>
    </row>
    <row r="363" spans="1:101" ht="15.75" customHeight="1" x14ac:dyDescent="0.2">
      <c r="A363" s="1"/>
      <c r="B363" s="2"/>
      <c r="C363" s="2"/>
      <c r="D363" s="2"/>
      <c r="E363" s="2"/>
      <c r="F363" s="2"/>
      <c r="G363" s="2"/>
      <c r="H363" s="2"/>
      <c r="I363" s="2"/>
      <c r="J363" s="3"/>
      <c r="K363" s="2"/>
      <c r="L363" s="2"/>
      <c r="M363" s="2"/>
      <c r="N363" s="2"/>
      <c r="O363" s="2"/>
      <c r="P363" s="2"/>
      <c r="Q363" s="69"/>
      <c r="R363" s="69"/>
      <c r="S363" s="70"/>
      <c r="T363" s="70"/>
      <c r="U363" s="2"/>
      <c r="V363" s="2"/>
      <c r="W363" s="2"/>
      <c r="X363" s="2"/>
      <c r="Y363" s="2"/>
      <c r="Z363" s="2"/>
      <c r="AA363" s="20"/>
      <c r="AB363" s="71"/>
      <c r="AC363" s="71"/>
      <c r="AD363" s="2"/>
      <c r="AE363" s="70"/>
      <c r="AF363" s="70"/>
      <c r="AG363" s="70"/>
      <c r="AH363" s="70"/>
      <c r="AI363" s="2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 s="70"/>
      <c r="AX363" s="70"/>
      <c r="AY363" s="70"/>
      <c r="AZ363" s="70"/>
      <c r="BA363" s="70"/>
      <c r="BB363" s="70"/>
      <c r="BC363" s="70"/>
      <c r="BD363" s="70"/>
      <c r="BE363" s="70"/>
      <c r="BF363" s="70"/>
      <c r="BG363" s="70"/>
      <c r="BH363" s="70"/>
      <c r="BI363" s="70"/>
      <c r="BJ363" s="70"/>
      <c r="BK363" s="70"/>
      <c r="BL363" s="70"/>
      <c r="BM363" s="70"/>
      <c r="BN363" s="70"/>
      <c r="BO363" s="70"/>
      <c r="BP363" s="70"/>
      <c r="BQ363" s="70"/>
      <c r="BR363" s="70"/>
      <c r="BS363" s="70"/>
      <c r="BT363" s="70"/>
      <c r="BU363" s="70"/>
      <c r="BV363" s="70"/>
      <c r="BW363" s="70"/>
      <c r="BX363" s="70"/>
      <c r="BY363" s="70"/>
      <c r="BZ363" s="70"/>
      <c r="CA363" s="70"/>
      <c r="CB363" s="70"/>
      <c r="CC363" s="70"/>
      <c r="CD363" s="70"/>
      <c r="CE363" s="70"/>
      <c r="CF363" s="70"/>
      <c r="CG363" s="70"/>
      <c r="CH363" s="70"/>
      <c r="CI363" s="70"/>
      <c r="CJ363" s="70"/>
      <c r="CK363" s="70"/>
      <c r="CL363" s="2"/>
      <c r="CM363" s="2"/>
      <c r="CN363" s="70"/>
      <c r="CO363" s="70"/>
      <c r="CP363" s="70"/>
      <c r="CQ363" s="70"/>
      <c r="CR363" s="2"/>
      <c r="CS363" s="2"/>
      <c r="CT363" s="70"/>
      <c r="CU363" s="70"/>
      <c r="CV363" s="70"/>
      <c r="CW363" s="70"/>
    </row>
    <row r="364" spans="1:101" ht="15.75" customHeight="1" x14ac:dyDescent="0.2">
      <c r="A364" s="1"/>
      <c r="B364" s="2"/>
      <c r="C364" s="2"/>
      <c r="D364" s="2"/>
      <c r="E364" s="2"/>
      <c r="F364" s="2"/>
      <c r="G364" s="2"/>
      <c r="H364" s="2"/>
      <c r="I364" s="2"/>
      <c r="J364" s="3"/>
      <c r="K364" s="2"/>
      <c r="L364" s="2"/>
      <c r="M364" s="2"/>
      <c r="N364" s="2"/>
      <c r="O364" s="2"/>
      <c r="P364" s="2"/>
      <c r="Q364" s="69"/>
      <c r="R364" s="69"/>
      <c r="S364" s="70"/>
      <c r="T364" s="70"/>
      <c r="U364" s="2"/>
      <c r="V364" s="2"/>
      <c r="W364" s="2"/>
      <c r="X364" s="2"/>
      <c r="Y364" s="2"/>
      <c r="Z364" s="2"/>
      <c r="AA364" s="20"/>
      <c r="AB364" s="71"/>
      <c r="AC364" s="71"/>
      <c r="AD364" s="2"/>
      <c r="AE364" s="70"/>
      <c r="AF364" s="70"/>
      <c r="AG364" s="70"/>
      <c r="AH364" s="70"/>
      <c r="AI364" s="2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 s="70"/>
      <c r="AX364" s="70"/>
      <c r="AY364" s="70"/>
      <c r="AZ364" s="70"/>
      <c r="BA364" s="70"/>
      <c r="BB364" s="70"/>
      <c r="BC364" s="70"/>
      <c r="BD364" s="70"/>
      <c r="BE364" s="70"/>
      <c r="BF364" s="70"/>
      <c r="BG364" s="70"/>
      <c r="BH364" s="70"/>
      <c r="BI364" s="70"/>
      <c r="BJ364" s="70"/>
      <c r="BK364" s="70"/>
      <c r="BL364" s="70"/>
      <c r="BM364" s="70"/>
      <c r="BN364" s="70"/>
      <c r="BO364" s="70"/>
      <c r="BP364" s="70"/>
      <c r="BQ364" s="70"/>
      <c r="BR364" s="70"/>
      <c r="BS364" s="70"/>
      <c r="BT364" s="70"/>
      <c r="BU364" s="70"/>
      <c r="BV364" s="70"/>
      <c r="BW364" s="70"/>
      <c r="BX364" s="70"/>
      <c r="BY364" s="70"/>
      <c r="BZ364" s="70"/>
      <c r="CA364" s="70"/>
      <c r="CB364" s="70"/>
      <c r="CC364" s="70"/>
      <c r="CD364" s="70"/>
      <c r="CE364" s="70"/>
      <c r="CF364" s="70"/>
      <c r="CG364" s="70"/>
      <c r="CH364" s="70"/>
      <c r="CI364" s="70"/>
      <c r="CJ364" s="70"/>
      <c r="CK364" s="70"/>
      <c r="CL364" s="2"/>
      <c r="CM364" s="2"/>
      <c r="CN364" s="70"/>
      <c r="CO364" s="70"/>
      <c r="CP364" s="70"/>
      <c r="CQ364" s="70"/>
      <c r="CR364" s="2"/>
      <c r="CS364" s="2"/>
      <c r="CT364" s="70"/>
      <c r="CU364" s="70"/>
      <c r="CV364" s="70"/>
      <c r="CW364" s="70"/>
    </row>
    <row r="365" spans="1:101" ht="15.75" customHeight="1" x14ac:dyDescent="0.2">
      <c r="A365" s="1"/>
      <c r="B365" s="2"/>
      <c r="C365" s="2"/>
      <c r="D365" s="2"/>
      <c r="E365" s="2"/>
      <c r="F365" s="2"/>
      <c r="G365" s="2"/>
      <c r="H365" s="2"/>
      <c r="I365" s="2"/>
      <c r="J365" s="3"/>
      <c r="K365" s="2"/>
      <c r="L365" s="2"/>
      <c r="M365" s="2"/>
      <c r="N365" s="2"/>
      <c r="O365" s="2"/>
      <c r="P365" s="2"/>
      <c r="Q365" s="69"/>
      <c r="R365" s="69"/>
      <c r="S365" s="70"/>
      <c r="T365" s="70"/>
      <c r="U365" s="2"/>
      <c r="V365" s="2"/>
      <c r="W365" s="2"/>
      <c r="X365" s="2"/>
      <c r="Y365" s="2"/>
      <c r="Z365" s="2"/>
      <c r="AA365" s="20"/>
      <c r="AB365" s="71"/>
      <c r="AC365" s="71"/>
      <c r="AD365" s="2"/>
      <c r="AE365" s="70"/>
      <c r="AF365" s="70"/>
      <c r="AG365" s="70"/>
      <c r="AH365" s="70"/>
      <c r="AI365" s="2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 s="70"/>
      <c r="AX365" s="70"/>
      <c r="AY365" s="70"/>
      <c r="AZ365" s="70"/>
      <c r="BA365" s="70"/>
      <c r="BB365" s="70"/>
      <c r="BC365" s="70"/>
      <c r="BD365" s="70"/>
      <c r="BE365" s="70"/>
      <c r="BF365" s="70"/>
      <c r="BG365" s="70"/>
      <c r="BH365" s="70"/>
      <c r="BI365" s="70"/>
      <c r="BJ365" s="70"/>
      <c r="BK365" s="70"/>
      <c r="BL365" s="70"/>
      <c r="BM365" s="70"/>
      <c r="BN365" s="70"/>
      <c r="BO365" s="70"/>
      <c r="BP365" s="70"/>
      <c r="BQ365" s="70"/>
      <c r="BR365" s="70"/>
      <c r="BS365" s="70"/>
      <c r="BT365" s="70"/>
      <c r="BU365" s="70"/>
      <c r="BV365" s="70"/>
      <c r="BW365" s="70"/>
      <c r="BX365" s="70"/>
      <c r="BY365" s="70"/>
      <c r="BZ365" s="70"/>
      <c r="CA365" s="70"/>
      <c r="CB365" s="70"/>
      <c r="CC365" s="70"/>
      <c r="CD365" s="70"/>
      <c r="CE365" s="70"/>
      <c r="CF365" s="70"/>
      <c r="CG365" s="70"/>
      <c r="CH365" s="70"/>
      <c r="CI365" s="70"/>
      <c r="CJ365" s="70"/>
      <c r="CK365" s="70"/>
      <c r="CL365" s="2"/>
      <c r="CM365" s="2"/>
      <c r="CN365" s="70"/>
      <c r="CO365" s="70"/>
      <c r="CP365" s="70"/>
      <c r="CQ365" s="70"/>
      <c r="CR365" s="2"/>
      <c r="CS365" s="2"/>
      <c r="CT365" s="70"/>
      <c r="CU365" s="70"/>
      <c r="CV365" s="70"/>
      <c r="CW365" s="70"/>
    </row>
    <row r="366" spans="1:101" ht="15.75" customHeight="1" x14ac:dyDescent="0.2">
      <c r="A366" s="1"/>
      <c r="B366" s="2"/>
      <c r="C366" s="2"/>
      <c r="D366" s="2"/>
      <c r="E366" s="2"/>
      <c r="F366" s="2"/>
      <c r="G366" s="2"/>
      <c r="H366" s="2"/>
      <c r="I366" s="2"/>
      <c r="J366" s="3"/>
      <c r="K366" s="2"/>
      <c r="L366" s="2"/>
      <c r="M366" s="2"/>
      <c r="N366" s="2"/>
      <c r="O366" s="2"/>
      <c r="P366" s="2"/>
      <c r="Q366" s="69"/>
      <c r="R366" s="69"/>
      <c r="S366" s="70"/>
      <c r="T366" s="70"/>
      <c r="U366" s="2"/>
      <c r="V366" s="2"/>
      <c r="W366" s="2"/>
      <c r="X366" s="2"/>
      <c r="Y366" s="2"/>
      <c r="Z366" s="2"/>
      <c r="AA366" s="20"/>
      <c r="AB366" s="71"/>
      <c r="AC366" s="71"/>
      <c r="AD366" s="2"/>
      <c r="AE366" s="70"/>
      <c r="AF366" s="70"/>
      <c r="AG366" s="70"/>
      <c r="AH366" s="70"/>
      <c r="AI366" s="2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0"/>
      <c r="AX366" s="70"/>
      <c r="AY366" s="70"/>
      <c r="AZ366" s="70"/>
      <c r="BA366" s="70"/>
      <c r="BB366" s="70"/>
      <c r="BC366" s="70"/>
      <c r="BD366" s="70"/>
      <c r="BE366" s="70"/>
      <c r="BF366" s="70"/>
      <c r="BG366" s="70"/>
      <c r="BH366" s="70"/>
      <c r="BI366" s="70"/>
      <c r="BJ366" s="70"/>
      <c r="BK366" s="70"/>
      <c r="BL366" s="70"/>
      <c r="BM366" s="70"/>
      <c r="BN366" s="70"/>
      <c r="BO366" s="70"/>
      <c r="BP366" s="70"/>
      <c r="BQ366" s="70"/>
      <c r="BR366" s="70"/>
      <c r="BS366" s="70"/>
      <c r="BT366" s="70"/>
      <c r="BU366" s="70"/>
      <c r="BV366" s="70"/>
      <c r="BW366" s="70"/>
      <c r="BX366" s="70"/>
      <c r="BY366" s="70"/>
      <c r="BZ366" s="70"/>
      <c r="CA366" s="70"/>
      <c r="CB366" s="70"/>
      <c r="CC366" s="70"/>
      <c r="CD366" s="70"/>
      <c r="CE366" s="70"/>
      <c r="CF366" s="70"/>
      <c r="CG366" s="70"/>
      <c r="CH366" s="70"/>
      <c r="CI366" s="70"/>
      <c r="CJ366" s="70"/>
      <c r="CK366" s="70"/>
      <c r="CL366" s="2"/>
      <c r="CM366" s="2"/>
      <c r="CN366" s="70"/>
      <c r="CO366" s="70"/>
      <c r="CP366" s="70"/>
      <c r="CQ366" s="70"/>
      <c r="CR366" s="2"/>
      <c r="CS366" s="2"/>
      <c r="CT366" s="70"/>
      <c r="CU366" s="70"/>
      <c r="CV366" s="70"/>
      <c r="CW366" s="70"/>
    </row>
    <row r="367" spans="1:101" ht="15.75" customHeight="1" x14ac:dyDescent="0.2">
      <c r="A367" s="1"/>
      <c r="B367" s="2"/>
      <c r="C367" s="2"/>
      <c r="D367" s="2"/>
      <c r="E367" s="2"/>
      <c r="F367" s="2"/>
      <c r="G367" s="2"/>
      <c r="H367" s="2"/>
      <c r="I367" s="2"/>
      <c r="J367" s="3"/>
      <c r="K367" s="2"/>
      <c r="L367" s="2"/>
      <c r="M367" s="2"/>
      <c r="N367" s="2"/>
      <c r="O367" s="2"/>
      <c r="P367" s="2"/>
      <c r="Q367" s="69"/>
      <c r="R367" s="69"/>
      <c r="S367" s="70"/>
      <c r="T367" s="70"/>
      <c r="U367" s="2"/>
      <c r="V367" s="2"/>
      <c r="W367" s="2"/>
      <c r="X367" s="2"/>
      <c r="Y367" s="2"/>
      <c r="Z367" s="2"/>
      <c r="AA367" s="20"/>
      <c r="AB367" s="71"/>
      <c r="AC367" s="71"/>
      <c r="AD367" s="2"/>
      <c r="AE367" s="70"/>
      <c r="AF367" s="70"/>
      <c r="AG367" s="70"/>
      <c r="AH367" s="70"/>
      <c r="AI367" s="2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0"/>
      <c r="AX367" s="70"/>
      <c r="AY367" s="70"/>
      <c r="AZ367" s="70"/>
      <c r="BA367" s="70"/>
      <c r="BB367" s="70"/>
      <c r="BC367" s="70"/>
      <c r="BD367" s="70"/>
      <c r="BE367" s="70"/>
      <c r="BF367" s="70"/>
      <c r="BG367" s="70"/>
      <c r="BH367" s="70"/>
      <c r="BI367" s="70"/>
      <c r="BJ367" s="70"/>
      <c r="BK367" s="70"/>
      <c r="BL367" s="70"/>
      <c r="BM367" s="70"/>
      <c r="BN367" s="70"/>
      <c r="BO367" s="70"/>
      <c r="BP367" s="70"/>
      <c r="BQ367" s="70"/>
      <c r="BR367" s="70"/>
      <c r="BS367" s="70"/>
      <c r="BT367" s="70"/>
      <c r="BU367" s="70"/>
      <c r="BV367" s="70"/>
      <c r="BW367" s="70"/>
      <c r="BX367" s="70"/>
      <c r="BY367" s="70"/>
      <c r="BZ367" s="70"/>
      <c r="CA367" s="70"/>
      <c r="CB367" s="70"/>
      <c r="CC367" s="70"/>
      <c r="CD367" s="70"/>
      <c r="CE367" s="70"/>
      <c r="CF367" s="70"/>
      <c r="CG367" s="70"/>
      <c r="CH367" s="70"/>
      <c r="CI367" s="70"/>
      <c r="CJ367" s="70"/>
      <c r="CK367" s="70"/>
      <c r="CL367" s="2"/>
      <c r="CM367" s="2"/>
      <c r="CN367" s="70"/>
      <c r="CO367" s="70"/>
      <c r="CP367" s="70"/>
      <c r="CQ367" s="70"/>
      <c r="CR367" s="2"/>
      <c r="CS367" s="2"/>
      <c r="CT367" s="70"/>
      <c r="CU367" s="70"/>
      <c r="CV367" s="70"/>
      <c r="CW367" s="70"/>
    </row>
    <row r="368" spans="1:101" ht="15.75" customHeight="1" x14ac:dyDescent="0.2">
      <c r="A368" s="1"/>
      <c r="B368" s="2"/>
      <c r="C368" s="2"/>
      <c r="D368" s="2"/>
      <c r="E368" s="2"/>
      <c r="F368" s="2"/>
      <c r="G368" s="2"/>
      <c r="H368" s="2"/>
      <c r="I368" s="2"/>
      <c r="J368" s="3"/>
      <c r="K368" s="2"/>
      <c r="L368" s="2"/>
      <c r="M368" s="2"/>
      <c r="N368" s="2"/>
      <c r="O368" s="2"/>
      <c r="P368" s="2"/>
      <c r="Q368" s="69"/>
      <c r="R368" s="69"/>
      <c r="S368" s="70"/>
      <c r="T368" s="70"/>
      <c r="U368" s="2"/>
      <c r="V368" s="2"/>
      <c r="W368" s="2"/>
      <c r="X368" s="2"/>
      <c r="Y368" s="2"/>
      <c r="Z368" s="2"/>
      <c r="AA368" s="20"/>
      <c r="AB368" s="71"/>
      <c r="AC368" s="71"/>
      <c r="AD368" s="2"/>
      <c r="AE368" s="70"/>
      <c r="AF368" s="70"/>
      <c r="AG368" s="70"/>
      <c r="AH368" s="70"/>
      <c r="AI368" s="2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0"/>
      <c r="AX368" s="70"/>
      <c r="AY368" s="70"/>
      <c r="AZ368" s="70"/>
      <c r="BA368" s="70"/>
      <c r="BB368" s="70"/>
      <c r="BC368" s="70"/>
      <c r="BD368" s="70"/>
      <c r="BE368" s="70"/>
      <c r="BF368" s="70"/>
      <c r="BG368" s="70"/>
      <c r="BH368" s="70"/>
      <c r="BI368" s="70"/>
      <c r="BJ368" s="70"/>
      <c r="BK368" s="70"/>
      <c r="BL368" s="70"/>
      <c r="BM368" s="70"/>
      <c r="BN368" s="70"/>
      <c r="BO368" s="70"/>
      <c r="BP368" s="70"/>
      <c r="BQ368" s="70"/>
      <c r="BR368" s="70"/>
      <c r="BS368" s="70"/>
      <c r="BT368" s="70"/>
      <c r="BU368" s="70"/>
      <c r="BV368" s="70"/>
      <c r="BW368" s="70"/>
      <c r="BX368" s="70"/>
      <c r="BY368" s="70"/>
      <c r="BZ368" s="70"/>
      <c r="CA368" s="70"/>
      <c r="CB368" s="70"/>
      <c r="CC368" s="70"/>
      <c r="CD368" s="70"/>
      <c r="CE368" s="70"/>
      <c r="CF368" s="70"/>
      <c r="CG368" s="70"/>
      <c r="CH368" s="70"/>
      <c r="CI368" s="70"/>
      <c r="CJ368" s="70"/>
      <c r="CK368" s="70"/>
      <c r="CL368" s="2"/>
      <c r="CM368" s="2"/>
      <c r="CN368" s="70"/>
      <c r="CO368" s="70"/>
      <c r="CP368" s="70"/>
      <c r="CQ368" s="70"/>
      <c r="CR368" s="2"/>
      <c r="CS368" s="2"/>
      <c r="CT368" s="70"/>
      <c r="CU368" s="70"/>
      <c r="CV368" s="70"/>
      <c r="CW368" s="70"/>
    </row>
    <row r="369" spans="1:101" ht="15.75" customHeight="1" x14ac:dyDescent="0.2">
      <c r="A369" s="1"/>
      <c r="B369" s="2"/>
      <c r="C369" s="2"/>
      <c r="D369" s="2"/>
      <c r="E369" s="2"/>
      <c r="F369" s="2"/>
      <c r="G369" s="2"/>
      <c r="H369" s="2"/>
      <c r="I369" s="2"/>
      <c r="J369" s="3"/>
      <c r="K369" s="2"/>
      <c r="L369" s="2"/>
      <c r="M369" s="2"/>
      <c r="N369" s="2"/>
      <c r="O369" s="2"/>
      <c r="P369" s="2"/>
      <c r="Q369" s="69"/>
      <c r="R369" s="69"/>
      <c r="S369" s="70"/>
      <c r="T369" s="70"/>
      <c r="U369" s="2"/>
      <c r="V369" s="2"/>
      <c r="W369" s="2"/>
      <c r="X369" s="2"/>
      <c r="Y369" s="2"/>
      <c r="Z369" s="2"/>
      <c r="AA369" s="20"/>
      <c r="AB369" s="71"/>
      <c r="AC369" s="71"/>
      <c r="AD369" s="2"/>
      <c r="AE369" s="70"/>
      <c r="AF369" s="70"/>
      <c r="AG369" s="70"/>
      <c r="AH369" s="70"/>
      <c r="AI369" s="2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0"/>
      <c r="AX369" s="70"/>
      <c r="AY369" s="70"/>
      <c r="AZ369" s="70"/>
      <c r="BA369" s="70"/>
      <c r="BB369" s="70"/>
      <c r="BC369" s="70"/>
      <c r="BD369" s="70"/>
      <c r="BE369" s="70"/>
      <c r="BF369" s="70"/>
      <c r="BG369" s="70"/>
      <c r="BH369" s="70"/>
      <c r="BI369" s="70"/>
      <c r="BJ369" s="70"/>
      <c r="BK369" s="70"/>
      <c r="BL369" s="70"/>
      <c r="BM369" s="70"/>
      <c r="BN369" s="70"/>
      <c r="BO369" s="70"/>
      <c r="BP369" s="70"/>
      <c r="BQ369" s="70"/>
      <c r="BR369" s="70"/>
      <c r="BS369" s="70"/>
      <c r="BT369" s="70"/>
      <c r="BU369" s="70"/>
      <c r="BV369" s="70"/>
      <c r="BW369" s="70"/>
      <c r="BX369" s="70"/>
      <c r="BY369" s="70"/>
      <c r="BZ369" s="70"/>
      <c r="CA369" s="70"/>
      <c r="CB369" s="70"/>
      <c r="CC369" s="70"/>
      <c r="CD369" s="70"/>
      <c r="CE369" s="70"/>
      <c r="CF369" s="70"/>
      <c r="CG369" s="70"/>
      <c r="CH369" s="70"/>
      <c r="CI369" s="70"/>
      <c r="CJ369" s="70"/>
      <c r="CK369" s="70"/>
      <c r="CL369" s="2"/>
      <c r="CM369" s="2"/>
      <c r="CN369" s="70"/>
      <c r="CO369" s="70"/>
      <c r="CP369" s="70"/>
      <c r="CQ369" s="70"/>
      <c r="CR369" s="2"/>
      <c r="CS369" s="2"/>
      <c r="CT369" s="70"/>
      <c r="CU369" s="70"/>
      <c r="CV369" s="70"/>
      <c r="CW369" s="70"/>
    </row>
    <row r="370" spans="1:101" ht="15.75" customHeight="1" x14ac:dyDescent="0.2">
      <c r="A370" s="1"/>
      <c r="B370" s="2"/>
      <c r="C370" s="2"/>
      <c r="D370" s="2"/>
      <c r="E370" s="2"/>
      <c r="F370" s="2"/>
      <c r="G370" s="2"/>
      <c r="H370" s="2"/>
      <c r="I370" s="2"/>
      <c r="J370" s="3"/>
      <c r="K370" s="2"/>
      <c r="L370" s="2"/>
      <c r="M370" s="2"/>
      <c r="N370" s="2"/>
      <c r="O370" s="2"/>
      <c r="P370" s="2"/>
      <c r="Q370" s="69"/>
      <c r="R370" s="69"/>
      <c r="S370" s="70"/>
      <c r="T370" s="70"/>
      <c r="U370" s="2"/>
      <c r="V370" s="2"/>
      <c r="W370" s="2"/>
      <c r="X370" s="2"/>
      <c r="Y370" s="2"/>
      <c r="Z370" s="2"/>
      <c r="AA370" s="20"/>
      <c r="AB370" s="71"/>
      <c r="AC370" s="71"/>
      <c r="AD370" s="2"/>
      <c r="AE370" s="70"/>
      <c r="AF370" s="70"/>
      <c r="AG370" s="70"/>
      <c r="AH370" s="70"/>
      <c r="AI370" s="2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0"/>
      <c r="AX370" s="70"/>
      <c r="AY370" s="70"/>
      <c r="AZ370" s="70"/>
      <c r="BA370" s="70"/>
      <c r="BB370" s="70"/>
      <c r="BC370" s="70"/>
      <c r="BD370" s="70"/>
      <c r="BE370" s="70"/>
      <c r="BF370" s="70"/>
      <c r="BG370" s="70"/>
      <c r="BH370" s="70"/>
      <c r="BI370" s="70"/>
      <c r="BJ370" s="70"/>
      <c r="BK370" s="70"/>
      <c r="BL370" s="70"/>
      <c r="BM370" s="70"/>
      <c r="BN370" s="70"/>
      <c r="BO370" s="70"/>
      <c r="BP370" s="70"/>
      <c r="BQ370" s="70"/>
      <c r="BR370" s="70"/>
      <c r="BS370" s="70"/>
      <c r="BT370" s="70"/>
      <c r="BU370" s="70"/>
      <c r="BV370" s="70"/>
      <c r="BW370" s="70"/>
      <c r="BX370" s="70"/>
      <c r="BY370" s="70"/>
      <c r="BZ370" s="70"/>
      <c r="CA370" s="70"/>
      <c r="CB370" s="70"/>
      <c r="CC370" s="70"/>
      <c r="CD370" s="70"/>
      <c r="CE370" s="70"/>
      <c r="CF370" s="70"/>
      <c r="CG370" s="70"/>
      <c r="CH370" s="70"/>
      <c r="CI370" s="70"/>
      <c r="CJ370" s="70"/>
      <c r="CK370" s="70"/>
      <c r="CL370" s="2"/>
      <c r="CM370" s="2"/>
      <c r="CN370" s="70"/>
      <c r="CO370" s="70"/>
      <c r="CP370" s="70"/>
      <c r="CQ370" s="70"/>
      <c r="CR370" s="2"/>
      <c r="CS370" s="2"/>
      <c r="CT370" s="70"/>
      <c r="CU370" s="70"/>
      <c r="CV370" s="70"/>
      <c r="CW370" s="70"/>
    </row>
    <row r="371" spans="1:101" ht="15.75" customHeight="1" x14ac:dyDescent="0.2">
      <c r="A371" s="1"/>
      <c r="B371" s="2"/>
      <c r="C371" s="2"/>
      <c r="D371" s="2"/>
      <c r="E371" s="2"/>
      <c r="F371" s="2"/>
      <c r="G371" s="2"/>
      <c r="H371" s="2"/>
      <c r="I371" s="2"/>
      <c r="J371" s="3"/>
      <c r="K371" s="2"/>
      <c r="L371" s="2"/>
      <c r="M371" s="2"/>
      <c r="N371" s="2"/>
      <c r="O371" s="2"/>
      <c r="P371" s="2"/>
      <c r="Q371" s="69"/>
      <c r="R371" s="69"/>
      <c r="S371" s="70"/>
      <c r="T371" s="70"/>
      <c r="U371" s="2"/>
      <c r="V371" s="2"/>
      <c r="W371" s="2"/>
      <c r="X371" s="2"/>
      <c r="Y371" s="2"/>
      <c r="Z371" s="2"/>
      <c r="AA371" s="20"/>
      <c r="AB371" s="71"/>
      <c r="AC371" s="71"/>
      <c r="AD371" s="2"/>
      <c r="AE371" s="70"/>
      <c r="AF371" s="70"/>
      <c r="AG371" s="70"/>
      <c r="AH371" s="70"/>
      <c r="AI371" s="2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0"/>
      <c r="AX371" s="70"/>
      <c r="AY371" s="70"/>
      <c r="AZ371" s="70"/>
      <c r="BA371" s="70"/>
      <c r="BB371" s="70"/>
      <c r="BC371" s="70"/>
      <c r="BD371" s="70"/>
      <c r="BE371" s="70"/>
      <c r="BF371" s="70"/>
      <c r="BG371" s="70"/>
      <c r="BH371" s="70"/>
      <c r="BI371" s="70"/>
      <c r="BJ371" s="70"/>
      <c r="BK371" s="70"/>
      <c r="BL371" s="70"/>
      <c r="BM371" s="70"/>
      <c r="BN371" s="70"/>
      <c r="BO371" s="70"/>
      <c r="BP371" s="70"/>
      <c r="BQ371" s="70"/>
      <c r="BR371" s="70"/>
      <c r="BS371" s="70"/>
      <c r="BT371" s="70"/>
      <c r="BU371" s="70"/>
      <c r="BV371" s="70"/>
      <c r="BW371" s="70"/>
      <c r="BX371" s="70"/>
      <c r="BY371" s="70"/>
      <c r="BZ371" s="70"/>
      <c r="CA371" s="70"/>
      <c r="CB371" s="70"/>
      <c r="CC371" s="70"/>
      <c r="CD371" s="70"/>
      <c r="CE371" s="70"/>
      <c r="CF371" s="70"/>
      <c r="CG371" s="70"/>
      <c r="CH371" s="70"/>
      <c r="CI371" s="70"/>
      <c r="CJ371" s="70"/>
      <c r="CK371" s="70"/>
      <c r="CL371" s="2"/>
      <c r="CM371" s="2"/>
      <c r="CN371" s="70"/>
      <c r="CO371" s="70"/>
      <c r="CP371" s="70"/>
      <c r="CQ371" s="70"/>
      <c r="CR371" s="2"/>
      <c r="CS371" s="2"/>
      <c r="CT371" s="70"/>
      <c r="CU371" s="70"/>
      <c r="CV371" s="70"/>
      <c r="CW371" s="70"/>
    </row>
    <row r="372" spans="1:101" ht="15.75" customHeight="1" x14ac:dyDescent="0.2">
      <c r="A372" s="1"/>
      <c r="B372" s="2"/>
      <c r="C372" s="2"/>
      <c r="D372" s="2"/>
      <c r="E372" s="2"/>
      <c r="F372" s="2"/>
      <c r="G372" s="2"/>
      <c r="H372" s="2"/>
      <c r="I372" s="2"/>
      <c r="J372" s="3"/>
      <c r="K372" s="2"/>
      <c r="L372" s="2"/>
      <c r="M372" s="2"/>
      <c r="N372" s="2"/>
      <c r="O372" s="2"/>
      <c r="P372" s="2"/>
      <c r="Q372" s="69"/>
      <c r="R372" s="69"/>
      <c r="S372" s="70"/>
      <c r="T372" s="70"/>
      <c r="U372" s="2"/>
      <c r="V372" s="2"/>
      <c r="W372" s="2"/>
      <c r="X372" s="2"/>
      <c r="Y372" s="2"/>
      <c r="Z372" s="2"/>
      <c r="AA372" s="20"/>
      <c r="AB372" s="71"/>
      <c r="AC372" s="71"/>
      <c r="AD372" s="2"/>
      <c r="AE372" s="70"/>
      <c r="AF372" s="70"/>
      <c r="AG372" s="70"/>
      <c r="AH372" s="70"/>
      <c r="AI372" s="2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0"/>
      <c r="AX372" s="70"/>
      <c r="AY372" s="70"/>
      <c r="AZ372" s="70"/>
      <c r="BA372" s="70"/>
      <c r="BB372" s="70"/>
      <c r="BC372" s="70"/>
      <c r="BD372" s="70"/>
      <c r="BE372" s="70"/>
      <c r="BF372" s="70"/>
      <c r="BG372" s="70"/>
      <c r="BH372" s="70"/>
      <c r="BI372" s="70"/>
      <c r="BJ372" s="70"/>
      <c r="BK372" s="70"/>
      <c r="BL372" s="70"/>
      <c r="BM372" s="70"/>
      <c r="BN372" s="70"/>
      <c r="BO372" s="70"/>
      <c r="BP372" s="70"/>
      <c r="BQ372" s="70"/>
      <c r="BR372" s="70"/>
      <c r="BS372" s="70"/>
      <c r="BT372" s="70"/>
      <c r="BU372" s="70"/>
      <c r="BV372" s="70"/>
      <c r="BW372" s="70"/>
      <c r="BX372" s="70"/>
      <c r="BY372" s="70"/>
      <c r="BZ372" s="70"/>
      <c r="CA372" s="70"/>
      <c r="CB372" s="70"/>
      <c r="CC372" s="70"/>
      <c r="CD372" s="70"/>
      <c r="CE372" s="70"/>
      <c r="CF372" s="70"/>
      <c r="CG372" s="70"/>
      <c r="CH372" s="70"/>
      <c r="CI372" s="70"/>
      <c r="CJ372" s="70"/>
      <c r="CK372" s="70"/>
      <c r="CL372" s="2"/>
      <c r="CM372" s="2"/>
      <c r="CN372" s="70"/>
      <c r="CO372" s="70"/>
      <c r="CP372" s="70"/>
      <c r="CQ372" s="70"/>
      <c r="CR372" s="2"/>
      <c r="CS372" s="2"/>
      <c r="CT372" s="70"/>
      <c r="CU372" s="70"/>
      <c r="CV372" s="70"/>
      <c r="CW372" s="70"/>
    </row>
    <row r="373" spans="1:101" ht="15.75" customHeight="1" x14ac:dyDescent="0.2">
      <c r="A373" s="1"/>
      <c r="B373" s="2"/>
      <c r="C373" s="2"/>
      <c r="D373" s="2"/>
      <c r="E373" s="2"/>
      <c r="F373" s="2"/>
      <c r="G373" s="2"/>
      <c r="H373" s="2"/>
      <c r="I373" s="2"/>
      <c r="J373" s="3"/>
      <c r="K373" s="2"/>
      <c r="L373" s="2"/>
      <c r="M373" s="2"/>
      <c r="N373" s="2"/>
      <c r="O373" s="2"/>
      <c r="P373" s="2"/>
      <c r="Q373" s="69"/>
      <c r="R373" s="69"/>
      <c r="S373" s="70"/>
      <c r="T373" s="70"/>
      <c r="U373" s="2"/>
      <c r="V373" s="2"/>
      <c r="W373" s="2"/>
      <c r="X373" s="2"/>
      <c r="Y373" s="2"/>
      <c r="Z373" s="2"/>
      <c r="AA373" s="20"/>
      <c r="AB373" s="71"/>
      <c r="AC373" s="71"/>
      <c r="AD373" s="2"/>
      <c r="AE373" s="70"/>
      <c r="AF373" s="70"/>
      <c r="AG373" s="70"/>
      <c r="AH373" s="70"/>
      <c r="AI373" s="2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0"/>
      <c r="AX373" s="70"/>
      <c r="AY373" s="70"/>
      <c r="AZ373" s="70"/>
      <c r="BA373" s="70"/>
      <c r="BB373" s="70"/>
      <c r="BC373" s="70"/>
      <c r="BD373" s="70"/>
      <c r="BE373" s="70"/>
      <c r="BF373" s="70"/>
      <c r="BG373" s="70"/>
      <c r="BH373" s="70"/>
      <c r="BI373" s="70"/>
      <c r="BJ373" s="70"/>
      <c r="BK373" s="70"/>
      <c r="BL373" s="70"/>
      <c r="BM373" s="70"/>
      <c r="BN373" s="70"/>
      <c r="BO373" s="70"/>
      <c r="BP373" s="70"/>
      <c r="BQ373" s="70"/>
      <c r="BR373" s="70"/>
      <c r="BS373" s="70"/>
      <c r="BT373" s="70"/>
      <c r="BU373" s="70"/>
      <c r="BV373" s="70"/>
      <c r="BW373" s="70"/>
      <c r="BX373" s="70"/>
      <c r="BY373" s="70"/>
      <c r="BZ373" s="70"/>
      <c r="CA373" s="70"/>
      <c r="CB373" s="70"/>
      <c r="CC373" s="70"/>
      <c r="CD373" s="70"/>
      <c r="CE373" s="70"/>
      <c r="CF373" s="70"/>
      <c r="CG373" s="70"/>
      <c r="CH373" s="70"/>
      <c r="CI373" s="70"/>
      <c r="CJ373" s="70"/>
      <c r="CK373" s="70"/>
      <c r="CL373" s="2"/>
      <c r="CM373" s="2"/>
      <c r="CN373" s="70"/>
      <c r="CO373" s="70"/>
      <c r="CP373" s="70"/>
      <c r="CQ373" s="70"/>
      <c r="CR373" s="2"/>
      <c r="CS373" s="2"/>
      <c r="CT373" s="70"/>
      <c r="CU373" s="70"/>
      <c r="CV373" s="70"/>
      <c r="CW373" s="70"/>
    </row>
    <row r="374" spans="1:101" ht="15.75" customHeight="1" x14ac:dyDescent="0.2">
      <c r="A374" s="1"/>
      <c r="B374" s="2"/>
      <c r="C374" s="2"/>
      <c r="D374" s="2"/>
      <c r="E374" s="2"/>
      <c r="F374" s="2"/>
      <c r="G374" s="2"/>
      <c r="H374" s="2"/>
      <c r="I374" s="2"/>
      <c r="J374" s="3"/>
      <c r="K374" s="2"/>
      <c r="L374" s="2"/>
      <c r="M374" s="2"/>
      <c r="N374" s="2"/>
      <c r="O374" s="2"/>
      <c r="P374" s="2"/>
      <c r="Q374" s="69"/>
      <c r="R374" s="69"/>
      <c r="S374" s="70"/>
      <c r="T374" s="70"/>
      <c r="U374" s="2"/>
      <c r="V374" s="2"/>
      <c r="W374" s="2"/>
      <c r="X374" s="2"/>
      <c r="Y374" s="2"/>
      <c r="Z374" s="2"/>
      <c r="AA374" s="20"/>
      <c r="AB374" s="71"/>
      <c r="AC374" s="71"/>
      <c r="AD374" s="2"/>
      <c r="AE374" s="70"/>
      <c r="AF374" s="70"/>
      <c r="AG374" s="70"/>
      <c r="AH374" s="70"/>
      <c r="AI374" s="2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0"/>
      <c r="AX374" s="70"/>
      <c r="AY374" s="70"/>
      <c r="AZ374" s="70"/>
      <c r="BA374" s="70"/>
      <c r="BB374" s="70"/>
      <c r="BC374" s="70"/>
      <c r="BD374" s="70"/>
      <c r="BE374" s="70"/>
      <c r="BF374" s="70"/>
      <c r="BG374" s="70"/>
      <c r="BH374" s="70"/>
      <c r="BI374" s="70"/>
      <c r="BJ374" s="70"/>
      <c r="BK374" s="70"/>
      <c r="BL374" s="70"/>
      <c r="BM374" s="70"/>
      <c r="BN374" s="70"/>
      <c r="BO374" s="70"/>
      <c r="BP374" s="70"/>
      <c r="BQ374" s="70"/>
      <c r="BR374" s="70"/>
      <c r="BS374" s="70"/>
      <c r="BT374" s="70"/>
      <c r="BU374" s="70"/>
      <c r="BV374" s="70"/>
      <c r="BW374" s="70"/>
      <c r="BX374" s="70"/>
      <c r="BY374" s="70"/>
      <c r="BZ374" s="70"/>
      <c r="CA374" s="70"/>
      <c r="CB374" s="70"/>
      <c r="CC374" s="70"/>
      <c r="CD374" s="70"/>
      <c r="CE374" s="70"/>
      <c r="CF374" s="70"/>
      <c r="CG374" s="70"/>
      <c r="CH374" s="70"/>
      <c r="CI374" s="70"/>
      <c r="CJ374" s="70"/>
      <c r="CK374" s="70"/>
      <c r="CL374" s="2"/>
      <c r="CM374" s="2"/>
      <c r="CN374" s="70"/>
      <c r="CO374" s="70"/>
      <c r="CP374" s="70"/>
      <c r="CQ374" s="70"/>
      <c r="CR374" s="2"/>
      <c r="CS374" s="2"/>
      <c r="CT374" s="70"/>
      <c r="CU374" s="70"/>
      <c r="CV374" s="70"/>
      <c r="CW374" s="70"/>
    </row>
    <row r="375" spans="1:101" ht="15.75" customHeight="1" x14ac:dyDescent="0.2">
      <c r="A375" s="1"/>
      <c r="B375" s="2"/>
      <c r="C375" s="2"/>
      <c r="D375" s="2"/>
      <c r="E375" s="2"/>
      <c r="F375" s="2"/>
      <c r="G375" s="2"/>
      <c r="H375" s="2"/>
      <c r="I375" s="2"/>
      <c r="J375" s="3"/>
      <c r="K375" s="2"/>
      <c r="L375" s="2"/>
      <c r="M375" s="2"/>
      <c r="N375" s="2"/>
      <c r="O375" s="2"/>
      <c r="P375" s="2"/>
      <c r="Q375" s="69"/>
      <c r="R375" s="69"/>
      <c r="S375" s="70"/>
      <c r="T375" s="70"/>
      <c r="U375" s="2"/>
      <c r="V375" s="2"/>
      <c r="W375" s="2"/>
      <c r="X375" s="2"/>
      <c r="Y375" s="2"/>
      <c r="Z375" s="2"/>
      <c r="AA375" s="20"/>
      <c r="AB375" s="71"/>
      <c r="AC375" s="71"/>
      <c r="AD375" s="2"/>
      <c r="AE375" s="70"/>
      <c r="AF375" s="70"/>
      <c r="AG375" s="70"/>
      <c r="AH375" s="70"/>
      <c r="AI375" s="2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0"/>
      <c r="AX375" s="70"/>
      <c r="AY375" s="70"/>
      <c r="AZ375" s="70"/>
      <c r="BA375" s="70"/>
      <c r="BB375" s="70"/>
      <c r="BC375" s="70"/>
      <c r="BD375" s="70"/>
      <c r="BE375" s="70"/>
      <c r="BF375" s="70"/>
      <c r="BG375" s="70"/>
      <c r="BH375" s="70"/>
      <c r="BI375" s="70"/>
      <c r="BJ375" s="70"/>
      <c r="BK375" s="70"/>
      <c r="BL375" s="70"/>
      <c r="BM375" s="70"/>
      <c r="BN375" s="70"/>
      <c r="BO375" s="70"/>
      <c r="BP375" s="70"/>
      <c r="BQ375" s="70"/>
      <c r="BR375" s="70"/>
      <c r="BS375" s="70"/>
      <c r="BT375" s="70"/>
      <c r="BU375" s="70"/>
      <c r="BV375" s="70"/>
      <c r="BW375" s="70"/>
      <c r="BX375" s="70"/>
      <c r="BY375" s="70"/>
      <c r="BZ375" s="70"/>
      <c r="CA375" s="70"/>
      <c r="CB375" s="70"/>
      <c r="CC375" s="70"/>
      <c r="CD375" s="70"/>
      <c r="CE375" s="70"/>
      <c r="CF375" s="70"/>
      <c r="CG375" s="70"/>
      <c r="CH375" s="70"/>
      <c r="CI375" s="70"/>
      <c r="CJ375" s="70"/>
      <c r="CK375" s="70"/>
      <c r="CL375" s="2"/>
      <c r="CM375" s="2"/>
      <c r="CN375" s="70"/>
      <c r="CO375" s="70"/>
      <c r="CP375" s="70"/>
      <c r="CQ375" s="70"/>
      <c r="CR375" s="2"/>
      <c r="CS375" s="2"/>
      <c r="CT375" s="70"/>
      <c r="CU375" s="70"/>
      <c r="CV375" s="70"/>
      <c r="CW375" s="70"/>
    </row>
    <row r="376" spans="1:101" ht="15.75" customHeight="1" x14ac:dyDescent="0.2">
      <c r="A376" s="1"/>
      <c r="B376" s="2"/>
      <c r="C376" s="2"/>
      <c r="D376" s="2"/>
      <c r="E376" s="2"/>
      <c r="F376" s="2"/>
      <c r="G376" s="2"/>
      <c r="H376" s="2"/>
      <c r="I376" s="2"/>
      <c r="J376" s="3"/>
      <c r="K376" s="2"/>
      <c r="L376" s="2"/>
      <c r="M376" s="2"/>
      <c r="N376" s="2"/>
      <c r="O376" s="2"/>
      <c r="P376" s="2"/>
      <c r="Q376" s="69"/>
      <c r="R376" s="69"/>
      <c r="S376" s="70"/>
      <c r="T376" s="70"/>
      <c r="U376" s="2"/>
      <c r="V376" s="2"/>
      <c r="W376" s="2"/>
      <c r="X376" s="2"/>
      <c r="Y376" s="2"/>
      <c r="Z376" s="2"/>
      <c r="AA376" s="20"/>
      <c r="AB376" s="71"/>
      <c r="AC376" s="71"/>
      <c r="AD376" s="2"/>
      <c r="AE376" s="70"/>
      <c r="AF376" s="70"/>
      <c r="AG376" s="70"/>
      <c r="AH376" s="70"/>
      <c r="AI376" s="2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0"/>
      <c r="AX376" s="70"/>
      <c r="AY376" s="70"/>
      <c r="AZ376" s="70"/>
      <c r="BA376" s="70"/>
      <c r="BB376" s="70"/>
      <c r="BC376" s="70"/>
      <c r="BD376" s="70"/>
      <c r="BE376" s="70"/>
      <c r="BF376" s="70"/>
      <c r="BG376" s="70"/>
      <c r="BH376" s="70"/>
      <c r="BI376" s="70"/>
      <c r="BJ376" s="70"/>
      <c r="BK376" s="70"/>
      <c r="BL376" s="70"/>
      <c r="BM376" s="70"/>
      <c r="BN376" s="70"/>
      <c r="BO376" s="70"/>
      <c r="BP376" s="70"/>
      <c r="BQ376" s="70"/>
      <c r="BR376" s="70"/>
      <c r="BS376" s="70"/>
      <c r="BT376" s="70"/>
      <c r="BU376" s="70"/>
      <c r="BV376" s="70"/>
      <c r="BW376" s="70"/>
      <c r="BX376" s="70"/>
      <c r="BY376" s="70"/>
      <c r="BZ376" s="70"/>
      <c r="CA376" s="70"/>
      <c r="CB376" s="70"/>
      <c r="CC376" s="70"/>
      <c r="CD376" s="70"/>
      <c r="CE376" s="70"/>
      <c r="CF376" s="70"/>
      <c r="CG376" s="70"/>
      <c r="CH376" s="70"/>
      <c r="CI376" s="70"/>
      <c r="CJ376" s="70"/>
      <c r="CK376" s="70"/>
      <c r="CL376" s="2"/>
      <c r="CM376" s="2"/>
      <c r="CN376" s="70"/>
      <c r="CO376" s="70"/>
      <c r="CP376" s="70"/>
      <c r="CQ376" s="70"/>
      <c r="CR376" s="2"/>
      <c r="CS376" s="2"/>
      <c r="CT376" s="70"/>
      <c r="CU376" s="70"/>
      <c r="CV376" s="70"/>
      <c r="CW376" s="70"/>
    </row>
    <row r="377" spans="1:101" ht="15.75" customHeight="1" x14ac:dyDescent="0.2">
      <c r="A377" s="1"/>
      <c r="B377" s="2"/>
      <c r="C377" s="2"/>
      <c r="D377" s="2"/>
      <c r="E377" s="2"/>
      <c r="F377" s="2"/>
      <c r="G377" s="2"/>
      <c r="H377" s="2"/>
      <c r="I377" s="2"/>
      <c r="J377" s="3"/>
      <c r="K377" s="2"/>
      <c r="L377" s="2"/>
      <c r="M377" s="2"/>
      <c r="N377" s="2"/>
      <c r="O377" s="2"/>
      <c r="P377" s="2"/>
      <c r="Q377" s="69"/>
      <c r="R377" s="69"/>
      <c r="S377" s="70"/>
      <c r="T377" s="70"/>
      <c r="U377" s="2"/>
      <c r="V377" s="2"/>
      <c r="W377" s="2"/>
      <c r="X377" s="2"/>
      <c r="Y377" s="2"/>
      <c r="Z377" s="2"/>
      <c r="AA377" s="20"/>
      <c r="AB377" s="71"/>
      <c r="AC377" s="71"/>
      <c r="AD377" s="2"/>
      <c r="AE377" s="70"/>
      <c r="AF377" s="70"/>
      <c r="AG377" s="70"/>
      <c r="AH377" s="70"/>
      <c r="AI377" s="2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0"/>
      <c r="AX377" s="70"/>
      <c r="AY377" s="70"/>
      <c r="AZ377" s="70"/>
      <c r="BA377" s="70"/>
      <c r="BB377" s="70"/>
      <c r="BC377" s="70"/>
      <c r="BD377" s="70"/>
      <c r="BE377" s="70"/>
      <c r="BF377" s="70"/>
      <c r="BG377" s="70"/>
      <c r="BH377" s="70"/>
      <c r="BI377" s="70"/>
      <c r="BJ377" s="70"/>
      <c r="BK377" s="70"/>
      <c r="BL377" s="70"/>
      <c r="BM377" s="70"/>
      <c r="BN377" s="70"/>
      <c r="BO377" s="70"/>
      <c r="BP377" s="70"/>
      <c r="BQ377" s="70"/>
      <c r="BR377" s="70"/>
      <c r="BS377" s="70"/>
      <c r="BT377" s="70"/>
      <c r="BU377" s="70"/>
      <c r="BV377" s="70"/>
      <c r="BW377" s="70"/>
      <c r="BX377" s="70"/>
      <c r="BY377" s="70"/>
      <c r="BZ377" s="70"/>
      <c r="CA377" s="70"/>
      <c r="CB377" s="70"/>
      <c r="CC377" s="70"/>
      <c r="CD377" s="70"/>
      <c r="CE377" s="70"/>
      <c r="CF377" s="70"/>
      <c r="CG377" s="70"/>
      <c r="CH377" s="70"/>
      <c r="CI377" s="70"/>
      <c r="CJ377" s="70"/>
      <c r="CK377" s="70"/>
      <c r="CL377" s="2"/>
      <c r="CM377" s="2"/>
      <c r="CN377" s="70"/>
      <c r="CO377" s="70"/>
      <c r="CP377" s="70"/>
      <c r="CQ377" s="70"/>
      <c r="CR377" s="2"/>
      <c r="CS377" s="2"/>
      <c r="CT377" s="70"/>
      <c r="CU377" s="70"/>
      <c r="CV377" s="70"/>
      <c r="CW377" s="70"/>
    </row>
    <row r="378" spans="1:101" ht="15.75" customHeight="1" x14ac:dyDescent="0.2">
      <c r="A378" s="1"/>
      <c r="B378" s="2"/>
      <c r="C378" s="2"/>
      <c r="D378" s="2"/>
      <c r="E378" s="2"/>
      <c r="F378" s="2"/>
      <c r="G378" s="2"/>
      <c r="H378" s="2"/>
      <c r="I378" s="2"/>
      <c r="J378" s="3"/>
      <c r="K378" s="2"/>
      <c r="L378" s="2"/>
      <c r="M378" s="2"/>
      <c r="N378" s="2"/>
      <c r="O378" s="2"/>
      <c r="P378" s="2"/>
      <c r="Q378" s="69"/>
      <c r="R378" s="69"/>
      <c r="S378" s="70"/>
      <c r="T378" s="70"/>
      <c r="U378" s="2"/>
      <c r="V378" s="2"/>
      <c r="W378" s="2"/>
      <c r="X378" s="2"/>
      <c r="Y378" s="2"/>
      <c r="Z378" s="2"/>
      <c r="AA378" s="20"/>
      <c r="AB378" s="71"/>
      <c r="AC378" s="71"/>
      <c r="AD378" s="2"/>
      <c r="AE378" s="70"/>
      <c r="AF378" s="70"/>
      <c r="AG378" s="70"/>
      <c r="AH378" s="70"/>
      <c r="AI378" s="2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0"/>
      <c r="AX378" s="70"/>
      <c r="AY378" s="70"/>
      <c r="AZ378" s="70"/>
      <c r="BA378" s="70"/>
      <c r="BB378" s="70"/>
      <c r="BC378" s="70"/>
      <c r="BD378" s="70"/>
      <c r="BE378" s="70"/>
      <c r="BF378" s="70"/>
      <c r="BG378" s="70"/>
      <c r="BH378" s="70"/>
      <c r="BI378" s="70"/>
      <c r="BJ378" s="70"/>
      <c r="BK378" s="70"/>
      <c r="BL378" s="70"/>
      <c r="BM378" s="70"/>
      <c r="BN378" s="70"/>
      <c r="BO378" s="70"/>
      <c r="BP378" s="70"/>
      <c r="BQ378" s="70"/>
      <c r="BR378" s="70"/>
      <c r="BS378" s="70"/>
      <c r="BT378" s="70"/>
      <c r="BU378" s="70"/>
      <c r="BV378" s="70"/>
      <c r="BW378" s="70"/>
      <c r="BX378" s="70"/>
      <c r="BY378" s="70"/>
      <c r="BZ378" s="70"/>
      <c r="CA378" s="70"/>
      <c r="CB378" s="70"/>
      <c r="CC378" s="70"/>
      <c r="CD378" s="70"/>
      <c r="CE378" s="70"/>
      <c r="CF378" s="70"/>
      <c r="CG378" s="70"/>
      <c r="CH378" s="70"/>
      <c r="CI378" s="70"/>
      <c r="CJ378" s="70"/>
      <c r="CK378" s="70"/>
      <c r="CL378" s="2"/>
      <c r="CM378" s="2"/>
      <c r="CN378" s="70"/>
      <c r="CO378" s="70"/>
      <c r="CP378" s="70"/>
      <c r="CQ378" s="70"/>
      <c r="CR378" s="2"/>
      <c r="CS378" s="2"/>
      <c r="CT378" s="70"/>
      <c r="CU378" s="70"/>
      <c r="CV378" s="70"/>
      <c r="CW378" s="70"/>
    </row>
    <row r="379" spans="1:101" ht="15.75" customHeight="1" x14ac:dyDescent="0.2">
      <c r="A379" s="1"/>
      <c r="B379" s="2"/>
      <c r="C379" s="2"/>
      <c r="D379" s="2"/>
      <c r="E379" s="2"/>
      <c r="F379" s="2"/>
      <c r="G379" s="2"/>
      <c r="H379" s="2"/>
      <c r="I379" s="2"/>
      <c r="J379" s="3"/>
      <c r="K379" s="2"/>
      <c r="L379" s="2"/>
      <c r="M379" s="2"/>
      <c r="N379" s="2"/>
      <c r="O379" s="2"/>
      <c r="P379" s="2"/>
      <c r="Q379" s="69"/>
      <c r="R379" s="69"/>
      <c r="S379" s="70"/>
      <c r="T379" s="70"/>
      <c r="U379" s="2"/>
      <c r="V379" s="2"/>
      <c r="W379" s="2"/>
      <c r="X379" s="2"/>
      <c r="Y379" s="2"/>
      <c r="Z379" s="2"/>
      <c r="AA379" s="20"/>
      <c r="AB379" s="71"/>
      <c r="AC379" s="71"/>
      <c r="AD379" s="2"/>
      <c r="AE379" s="70"/>
      <c r="AF379" s="70"/>
      <c r="AG379" s="70"/>
      <c r="AH379" s="70"/>
      <c r="AI379" s="2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0"/>
      <c r="AX379" s="70"/>
      <c r="AY379" s="70"/>
      <c r="AZ379" s="70"/>
      <c r="BA379" s="70"/>
      <c r="BB379" s="70"/>
      <c r="BC379" s="70"/>
      <c r="BD379" s="70"/>
      <c r="BE379" s="70"/>
      <c r="BF379" s="70"/>
      <c r="BG379" s="70"/>
      <c r="BH379" s="70"/>
      <c r="BI379" s="70"/>
      <c r="BJ379" s="70"/>
      <c r="BK379" s="70"/>
      <c r="BL379" s="70"/>
      <c r="BM379" s="70"/>
      <c r="BN379" s="70"/>
      <c r="BO379" s="70"/>
      <c r="BP379" s="70"/>
      <c r="BQ379" s="70"/>
      <c r="BR379" s="70"/>
      <c r="BS379" s="70"/>
      <c r="BT379" s="70"/>
      <c r="BU379" s="70"/>
      <c r="BV379" s="70"/>
      <c r="BW379" s="70"/>
      <c r="BX379" s="70"/>
      <c r="BY379" s="70"/>
      <c r="BZ379" s="70"/>
      <c r="CA379" s="70"/>
      <c r="CB379" s="70"/>
      <c r="CC379" s="70"/>
      <c r="CD379" s="70"/>
      <c r="CE379" s="70"/>
      <c r="CF379" s="70"/>
      <c r="CG379" s="70"/>
      <c r="CH379" s="70"/>
      <c r="CI379" s="70"/>
      <c r="CJ379" s="70"/>
      <c r="CK379" s="70"/>
      <c r="CL379" s="2"/>
      <c r="CM379" s="2"/>
      <c r="CN379" s="70"/>
      <c r="CO379" s="70"/>
      <c r="CP379" s="70"/>
      <c r="CQ379" s="70"/>
      <c r="CR379" s="2"/>
      <c r="CS379" s="2"/>
      <c r="CT379" s="70"/>
      <c r="CU379" s="70"/>
      <c r="CV379" s="70"/>
      <c r="CW379" s="70"/>
    </row>
    <row r="380" spans="1:101" ht="15.75" customHeight="1" x14ac:dyDescent="0.2">
      <c r="A380" s="1"/>
      <c r="B380" s="2"/>
      <c r="C380" s="2"/>
      <c r="D380" s="2"/>
      <c r="E380" s="2"/>
      <c r="F380" s="2"/>
      <c r="G380" s="2"/>
      <c r="H380" s="2"/>
      <c r="I380" s="2"/>
      <c r="J380" s="3"/>
      <c r="K380" s="2"/>
      <c r="L380" s="2"/>
      <c r="M380" s="2"/>
      <c r="N380" s="2"/>
      <c r="O380" s="2"/>
      <c r="P380" s="2"/>
      <c r="Q380" s="69"/>
      <c r="R380" s="69"/>
      <c r="S380" s="70"/>
      <c r="T380" s="70"/>
      <c r="U380" s="2"/>
      <c r="V380" s="2"/>
      <c r="W380" s="2"/>
      <c r="X380" s="2"/>
      <c r="Y380" s="2"/>
      <c r="Z380" s="2"/>
      <c r="AA380" s="20"/>
      <c r="AB380" s="71"/>
      <c r="AC380" s="71"/>
      <c r="AD380" s="2"/>
      <c r="AE380" s="70"/>
      <c r="AF380" s="70"/>
      <c r="AG380" s="70"/>
      <c r="AH380" s="70"/>
      <c r="AI380" s="2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70"/>
      <c r="AX380" s="70"/>
      <c r="AY380" s="70"/>
      <c r="AZ380" s="70"/>
      <c r="BA380" s="70"/>
      <c r="BB380" s="70"/>
      <c r="BC380" s="70"/>
      <c r="BD380" s="70"/>
      <c r="BE380" s="70"/>
      <c r="BF380" s="70"/>
      <c r="BG380" s="70"/>
      <c r="BH380" s="70"/>
      <c r="BI380" s="70"/>
      <c r="BJ380" s="70"/>
      <c r="BK380" s="70"/>
      <c r="BL380" s="70"/>
      <c r="BM380" s="70"/>
      <c r="BN380" s="70"/>
      <c r="BO380" s="70"/>
      <c r="BP380" s="70"/>
      <c r="BQ380" s="70"/>
      <c r="BR380" s="70"/>
      <c r="BS380" s="70"/>
      <c r="BT380" s="70"/>
      <c r="BU380" s="70"/>
      <c r="BV380" s="70"/>
      <c r="BW380" s="70"/>
      <c r="BX380" s="70"/>
      <c r="BY380" s="70"/>
      <c r="BZ380" s="70"/>
      <c r="CA380" s="70"/>
      <c r="CB380" s="70"/>
      <c r="CC380" s="70"/>
      <c r="CD380" s="70"/>
      <c r="CE380" s="70"/>
      <c r="CF380" s="70"/>
      <c r="CG380" s="70"/>
      <c r="CH380" s="70"/>
      <c r="CI380" s="70"/>
      <c r="CJ380" s="70"/>
      <c r="CK380" s="70"/>
      <c r="CL380" s="2"/>
      <c r="CM380" s="2"/>
      <c r="CN380" s="70"/>
      <c r="CO380" s="70"/>
      <c r="CP380" s="70"/>
      <c r="CQ380" s="70"/>
      <c r="CR380" s="2"/>
      <c r="CS380" s="2"/>
      <c r="CT380" s="70"/>
      <c r="CU380" s="70"/>
      <c r="CV380" s="70"/>
      <c r="CW380" s="70"/>
    </row>
    <row r="381" spans="1:101" ht="15.75" customHeight="1" x14ac:dyDescent="0.2">
      <c r="A381" s="1"/>
      <c r="B381" s="2"/>
      <c r="C381" s="2"/>
      <c r="D381" s="2"/>
      <c r="E381" s="2"/>
      <c r="F381" s="2"/>
      <c r="G381" s="2"/>
      <c r="H381" s="2"/>
      <c r="I381" s="2"/>
      <c r="J381" s="3"/>
      <c r="K381" s="2"/>
      <c r="L381" s="2"/>
      <c r="M381" s="2"/>
      <c r="N381" s="2"/>
      <c r="O381" s="2"/>
      <c r="P381" s="2"/>
      <c r="Q381" s="69"/>
      <c r="R381" s="69"/>
      <c r="S381" s="70"/>
      <c r="T381" s="70"/>
      <c r="U381" s="2"/>
      <c r="V381" s="2"/>
      <c r="W381" s="2"/>
      <c r="X381" s="2"/>
      <c r="Y381" s="2"/>
      <c r="Z381" s="2"/>
      <c r="AA381" s="20"/>
      <c r="AB381" s="71"/>
      <c r="AC381" s="71"/>
      <c r="AD381" s="2"/>
      <c r="AE381" s="70"/>
      <c r="AF381" s="70"/>
      <c r="AG381" s="70"/>
      <c r="AH381" s="70"/>
      <c r="AI381" s="2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70"/>
      <c r="AX381" s="70"/>
      <c r="AY381" s="70"/>
      <c r="AZ381" s="70"/>
      <c r="BA381" s="70"/>
      <c r="BB381" s="70"/>
      <c r="BC381" s="70"/>
      <c r="BD381" s="70"/>
      <c r="BE381" s="70"/>
      <c r="BF381" s="70"/>
      <c r="BG381" s="70"/>
      <c r="BH381" s="70"/>
      <c r="BI381" s="70"/>
      <c r="BJ381" s="70"/>
      <c r="BK381" s="70"/>
      <c r="BL381" s="70"/>
      <c r="BM381" s="70"/>
      <c r="BN381" s="70"/>
      <c r="BO381" s="70"/>
      <c r="BP381" s="70"/>
      <c r="BQ381" s="70"/>
      <c r="BR381" s="70"/>
      <c r="BS381" s="70"/>
      <c r="BT381" s="70"/>
      <c r="BU381" s="70"/>
      <c r="BV381" s="70"/>
      <c r="BW381" s="70"/>
      <c r="BX381" s="70"/>
      <c r="BY381" s="70"/>
      <c r="BZ381" s="70"/>
      <c r="CA381" s="70"/>
      <c r="CB381" s="70"/>
      <c r="CC381" s="70"/>
      <c r="CD381" s="70"/>
      <c r="CE381" s="70"/>
      <c r="CF381" s="70"/>
      <c r="CG381" s="70"/>
      <c r="CH381" s="70"/>
      <c r="CI381" s="70"/>
      <c r="CJ381" s="70"/>
      <c r="CK381" s="70"/>
      <c r="CL381" s="2"/>
      <c r="CM381" s="2"/>
      <c r="CN381" s="70"/>
      <c r="CO381" s="70"/>
      <c r="CP381" s="70"/>
      <c r="CQ381" s="70"/>
      <c r="CR381" s="2"/>
      <c r="CS381" s="2"/>
      <c r="CT381" s="70"/>
      <c r="CU381" s="70"/>
      <c r="CV381" s="70"/>
      <c r="CW381" s="70"/>
    </row>
    <row r="382" spans="1:101" ht="15.75" customHeight="1" x14ac:dyDescent="0.2">
      <c r="A382" s="1"/>
      <c r="B382" s="2"/>
      <c r="C382" s="2"/>
      <c r="D382" s="2"/>
      <c r="E382" s="2"/>
      <c r="F382" s="2"/>
      <c r="G382" s="2"/>
      <c r="H382" s="2"/>
      <c r="I382" s="2"/>
      <c r="J382" s="3"/>
      <c r="K382" s="2"/>
      <c r="L382" s="2"/>
      <c r="M382" s="2"/>
      <c r="N382" s="2"/>
      <c r="O382" s="2"/>
      <c r="P382" s="2"/>
      <c r="Q382" s="69"/>
      <c r="R382" s="69"/>
      <c r="S382" s="70"/>
      <c r="T382" s="70"/>
      <c r="U382" s="2"/>
      <c r="V382" s="2"/>
      <c r="W382" s="2"/>
      <c r="X382" s="2"/>
      <c r="Y382" s="2"/>
      <c r="Z382" s="2"/>
      <c r="AA382" s="20"/>
      <c r="AB382" s="71"/>
      <c r="AC382" s="71"/>
      <c r="AD382" s="2"/>
      <c r="AE382" s="70"/>
      <c r="AF382" s="70"/>
      <c r="AG382" s="70"/>
      <c r="AH382" s="70"/>
      <c r="AI382" s="2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0"/>
      <c r="AX382" s="70"/>
      <c r="AY382" s="70"/>
      <c r="AZ382" s="70"/>
      <c r="BA382" s="70"/>
      <c r="BB382" s="70"/>
      <c r="BC382" s="70"/>
      <c r="BD382" s="70"/>
      <c r="BE382" s="70"/>
      <c r="BF382" s="70"/>
      <c r="BG382" s="70"/>
      <c r="BH382" s="70"/>
      <c r="BI382" s="70"/>
      <c r="BJ382" s="70"/>
      <c r="BK382" s="70"/>
      <c r="BL382" s="70"/>
      <c r="BM382" s="70"/>
      <c r="BN382" s="70"/>
      <c r="BO382" s="70"/>
      <c r="BP382" s="70"/>
      <c r="BQ382" s="70"/>
      <c r="BR382" s="70"/>
      <c r="BS382" s="70"/>
      <c r="BT382" s="70"/>
      <c r="BU382" s="70"/>
      <c r="BV382" s="70"/>
      <c r="BW382" s="70"/>
      <c r="BX382" s="70"/>
      <c r="BY382" s="70"/>
      <c r="BZ382" s="70"/>
      <c r="CA382" s="70"/>
      <c r="CB382" s="70"/>
      <c r="CC382" s="70"/>
      <c r="CD382" s="70"/>
      <c r="CE382" s="70"/>
      <c r="CF382" s="70"/>
      <c r="CG382" s="70"/>
      <c r="CH382" s="70"/>
      <c r="CI382" s="70"/>
      <c r="CJ382" s="70"/>
      <c r="CK382" s="70"/>
      <c r="CL382" s="2"/>
      <c r="CM382" s="2"/>
      <c r="CN382" s="70"/>
      <c r="CO382" s="70"/>
      <c r="CP382" s="70"/>
      <c r="CQ382" s="70"/>
      <c r="CR382" s="2"/>
      <c r="CS382" s="2"/>
      <c r="CT382" s="70"/>
      <c r="CU382" s="70"/>
      <c r="CV382" s="70"/>
      <c r="CW382" s="70"/>
    </row>
    <row r="383" spans="1:101" ht="15.75" customHeight="1" x14ac:dyDescent="0.2">
      <c r="A383" s="1"/>
      <c r="B383" s="2"/>
      <c r="C383" s="2"/>
      <c r="D383" s="2"/>
      <c r="E383" s="2"/>
      <c r="F383" s="2"/>
      <c r="G383" s="2"/>
      <c r="H383" s="2"/>
      <c r="I383" s="2"/>
      <c r="J383" s="3"/>
      <c r="K383" s="2"/>
      <c r="L383" s="2"/>
      <c r="M383" s="2"/>
      <c r="N383" s="2"/>
      <c r="O383" s="2"/>
      <c r="P383" s="2"/>
      <c r="Q383" s="69"/>
      <c r="R383" s="69"/>
      <c r="S383" s="70"/>
      <c r="T383" s="70"/>
      <c r="U383" s="2"/>
      <c r="V383" s="2"/>
      <c r="W383" s="2"/>
      <c r="X383" s="2"/>
      <c r="Y383" s="2"/>
      <c r="Z383" s="2"/>
      <c r="AA383" s="20"/>
      <c r="AB383" s="71"/>
      <c r="AC383" s="71"/>
      <c r="AD383" s="2"/>
      <c r="AE383" s="70"/>
      <c r="AF383" s="70"/>
      <c r="AG383" s="70"/>
      <c r="AH383" s="70"/>
      <c r="AI383" s="2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0"/>
      <c r="AX383" s="70"/>
      <c r="AY383" s="70"/>
      <c r="AZ383" s="70"/>
      <c r="BA383" s="70"/>
      <c r="BB383" s="70"/>
      <c r="BC383" s="70"/>
      <c r="BD383" s="70"/>
      <c r="BE383" s="70"/>
      <c r="BF383" s="70"/>
      <c r="BG383" s="70"/>
      <c r="BH383" s="70"/>
      <c r="BI383" s="70"/>
      <c r="BJ383" s="70"/>
      <c r="BK383" s="70"/>
      <c r="BL383" s="70"/>
      <c r="BM383" s="70"/>
      <c r="BN383" s="70"/>
      <c r="BO383" s="70"/>
      <c r="BP383" s="70"/>
      <c r="BQ383" s="70"/>
      <c r="BR383" s="70"/>
      <c r="BS383" s="70"/>
      <c r="BT383" s="70"/>
      <c r="BU383" s="70"/>
      <c r="BV383" s="70"/>
      <c r="BW383" s="70"/>
      <c r="BX383" s="70"/>
      <c r="BY383" s="70"/>
      <c r="BZ383" s="70"/>
      <c r="CA383" s="70"/>
      <c r="CB383" s="70"/>
      <c r="CC383" s="70"/>
      <c r="CD383" s="70"/>
      <c r="CE383" s="70"/>
      <c r="CF383" s="70"/>
      <c r="CG383" s="70"/>
      <c r="CH383" s="70"/>
      <c r="CI383" s="70"/>
      <c r="CJ383" s="70"/>
      <c r="CK383" s="70"/>
      <c r="CL383" s="2"/>
      <c r="CM383" s="2"/>
      <c r="CN383" s="70"/>
      <c r="CO383" s="70"/>
      <c r="CP383" s="70"/>
      <c r="CQ383" s="70"/>
      <c r="CR383" s="2"/>
      <c r="CS383" s="2"/>
      <c r="CT383" s="70"/>
      <c r="CU383" s="70"/>
      <c r="CV383" s="70"/>
      <c r="CW383" s="70"/>
    </row>
    <row r="384" spans="1:101" ht="15.75" customHeight="1" x14ac:dyDescent="0.2">
      <c r="A384" s="1"/>
      <c r="B384" s="2"/>
      <c r="C384" s="2"/>
      <c r="D384" s="2"/>
      <c r="E384" s="2"/>
      <c r="F384" s="2"/>
      <c r="G384" s="2"/>
      <c r="H384" s="2"/>
      <c r="I384" s="2"/>
      <c r="J384" s="3"/>
      <c r="K384" s="2"/>
      <c r="L384" s="2"/>
      <c r="M384" s="2"/>
      <c r="N384" s="2"/>
      <c r="O384" s="2"/>
      <c r="P384" s="2"/>
      <c r="Q384" s="69"/>
      <c r="R384" s="69"/>
      <c r="S384" s="70"/>
      <c r="T384" s="70"/>
      <c r="U384" s="2"/>
      <c r="V384" s="2"/>
      <c r="W384" s="2"/>
      <c r="X384" s="2"/>
      <c r="Y384" s="2"/>
      <c r="Z384" s="2"/>
      <c r="AA384" s="20"/>
      <c r="AB384" s="71"/>
      <c r="AC384" s="71"/>
      <c r="AD384" s="2"/>
      <c r="AE384" s="70"/>
      <c r="AF384" s="70"/>
      <c r="AG384" s="70"/>
      <c r="AH384" s="70"/>
      <c r="AI384" s="2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0"/>
      <c r="AX384" s="70"/>
      <c r="AY384" s="70"/>
      <c r="AZ384" s="70"/>
      <c r="BA384" s="70"/>
      <c r="BB384" s="70"/>
      <c r="BC384" s="70"/>
      <c r="BD384" s="70"/>
      <c r="BE384" s="70"/>
      <c r="BF384" s="70"/>
      <c r="BG384" s="70"/>
      <c r="BH384" s="70"/>
      <c r="BI384" s="70"/>
      <c r="BJ384" s="70"/>
      <c r="BK384" s="70"/>
      <c r="BL384" s="70"/>
      <c r="BM384" s="70"/>
      <c r="BN384" s="70"/>
      <c r="BO384" s="70"/>
      <c r="BP384" s="70"/>
      <c r="BQ384" s="70"/>
      <c r="BR384" s="70"/>
      <c r="BS384" s="70"/>
      <c r="BT384" s="70"/>
      <c r="BU384" s="70"/>
      <c r="BV384" s="70"/>
      <c r="BW384" s="70"/>
      <c r="BX384" s="70"/>
      <c r="BY384" s="70"/>
      <c r="BZ384" s="70"/>
      <c r="CA384" s="70"/>
      <c r="CB384" s="70"/>
      <c r="CC384" s="70"/>
      <c r="CD384" s="70"/>
      <c r="CE384" s="70"/>
      <c r="CF384" s="70"/>
      <c r="CG384" s="70"/>
      <c r="CH384" s="70"/>
      <c r="CI384" s="70"/>
      <c r="CJ384" s="70"/>
      <c r="CK384" s="70"/>
      <c r="CL384" s="2"/>
      <c r="CM384" s="2"/>
      <c r="CN384" s="70"/>
      <c r="CO384" s="70"/>
      <c r="CP384" s="70"/>
      <c r="CQ384" s="70"/>
      <c r="CR384" s="2"/>
      <c r="CS384" s="2"/>
      <c r="CT384" s="70"/>
      <c r="CU384" s="70"/>
      <c r="CV384" s="70"/>
      <c r="CW384" s="70"/>
    </row>
  </sheetData>
  <mergeCells count="316">
    <mergeCell ref="A180:A184"/>
    <mergeCell ref="E180:E181"/>
    <mergeCell ref="BI180:BI181"/>
    <mergeCell ref="BN180:BN181"/>
    <mergeCell ref="E183:E184"/>
    <mergeCell ref="BE183:BG183"/>
    <mergeCell ref="BI183:BI184"/>
    <mergeCell ref="BN183:BN184"/>
    <mergeCell ref="BE184:BG184"/>
    <mergeCell ref="A174:A178"/>
    <mergeCell ref="E174:E175"/>
    <mergeCell ref="BI174:BI175"/>
    <mergeCell ref="BN174:BN175"/>
    <mergeCell ref="E177:E178"/>
    <mergeCell ref="BE177:BG177"/>
    <mergeCell ref="BI177:BI178"/>
    <mergeCell ref="BN177:BN178"/>
    <mergeCell ref="BE178:BG178"/>
    <mergeCell ref="A168:A172"/>
    <mergeCell ref="E168:E169"/>
    <mergeCell ref="BI168:BI169"/>
    <mergeCell ref="BN168:BN169"/>
    <mergeCell ref="E171:E172"/>
    <mergeCell ref="BE171:BG171"/>
    <mergeCell ref="BI171:BI172"/>
    <mergeCell ref="BN171:BN172"/>
    <mergeCell ref="BE172:BG172"/>
    <mergeCell ref="A162:A166"/>
    <mergeCell ref="E162:E163"/>
    <mergeCell ref="BI162:BI163"/>
    <mergeCell ref="BN162:BN163"/>
    <mergeCell ref="E165:E166"/>
    <mergeCell ref="BE165:BG165"/>
    <mergeCell ref="BI165:BI166"/>
    <mergeCell ref="BN165:BN166"/>
    <mergeCell ref="BE166:BG166"/>
    <mergeCell ref="A156:A160"/>
    <mergeCell ref="E156:E157"/>
    <mergeCell ref="BI156:BI157"/>
    <mergeCell ref="BN156:BN157"/>
    <mergeCell ref="E159:E160"/>
    <mergeCell ref="BE159:BG159"/>
    <mergeCell ref="BI159:BI160"/>
    <mergeCell ref="BN159:BN160"/>
    <mergeCell ref="BE160:BG160"/>
    <mergeCell ref="A150:A154"/>
    <mergeCell ref="E150:E151"/>
    <mergeCell ref="BI150:BI151"/>
    <mergeCell ref="BN150:BN151"/>
    <mergeCell ref="E153:E154"/>
    <mergeCell ref="BE153:BG153"/>
    <mergeCell ref="BI153:BI154"/>
    <mergeCell ref="BN153:BN154"/>
    <mergeCell ref="BE154:BG154"/>
    <mergeCell ref="A144:A148"/>
    <mergeCell ref="E144:E145"/>
    <mergeCell ref="BI144:BI145"/>
    <mergeCell ref="BN144:BN145"/>
    <mergeCell ref="E147:E148"/>
    <mergeCell ref="BE147:BG147"/>
    <mergeCell ref="BI147:BI148"/>
    <mergeCell ref="BN147:BN148"/>
    <mergeCell ref="BE148:BG148"/>
    <mergeCell ref="A138:A142"/>
    <mergeCell ref="E138:E139"/>
    <mergeCell ref="BI138:BI139"/>
    <mergeCell ref="BN138:BN139"/>
    <mergeCell ref="E141:E142"/>
    <mergeCell ref="BE141:BG141"/>
    <mergeCell ref="BI141:BI142"/>
    <mergeCell ref="BN141:BN142"/>
    <mergeCell ref="BE142:BG142"/>
    <mergeCell ref="A132:A136"/>
    <mergeCell ref="E132:E133"/>
    <mergeCell ref="BI132:BI133"/>
    <mergeCell ref="BN132:BN133"/>
    <mergeCell ref="E135:E136"/>
    <mergeCell ref="BE135:BG135"/>
    <mergeCell ref="BI135:BI136"/>
    <mergeCell ref="BN135:BN136"/>
    <mergeCell ref="BE136:BG136"/>
    <mergeCell ref="A126:A130"/>
    <mergeCell ref="E126:E127"/>
    <mergeCell ref="BI126:BI127"/>
    <mergeCell ref="BN126:BN127"/>
    <mergeCell ref="E129:E130"/>
    <mergeCell ref="BE129:BG129"/>
    <mergeCell ref="BI129:BI130"/>
    <mergeCell ref="BN129:BN130"/>
    <mergeCell ref="BE130:BG130"/>
    <mergeCell ref="A120:A124"/>
    <mergeCell ref="E120:E121"/>
    <mergeCell ref="BI120:BI121"/>
    <mergeCell ref="BN120:BN121"/>
    <mergeCell ref="E123:E124"/>
    <mergeCell ref="BE123:BG123"/>
    <mergeCell ref="BI123:BI124"/>
    <mergeCell ref="BN123:BN124"/>
    <mergeCell ref="BE124:BG124"/>
    <mergeCell ref="A114:A118"/>
    <mergeCell ref="E114:E115"/>
    <mergeCell ref="BI114:BI115"/>
    <mergeCell ref="BN114:BN115"/>
    <mergeCell ref="E117:E118"/>
    <mergeCell ref="BE117:BG117"/>
    <mergeCell ref="BI117:BI118"/>
    <mergeCell ref="BN117:BN118"/>
    <mergeCell ref="BE118:BG118"/>
    <mergeCell ref="A108:A112"/>
    <mergeCell ref="E108:E109"/>
    <mergeCell ref="BI108:BI109"/>
    <mergeCell ref="BN108:BN109"/>
    <mergeCell ref="E111:E112"/>
    <mergeCell ref="BE111:BG111"/>
    <mergeCell ref="BI111:BI112"/>
    <mergeCell ref="BN111:BN112"/>
    <mergeCell ref="BE112:BG112"/>
    <mergeCell ref="A102:A106"/>
    <mergeCell ref="E102:E103"/>
    <mergeCell ref="BI102:BI103"/>
    <mergeCell ref="BN102:BN103"/>
    <mergeCell ref="E105:E106"/>
    <mergeCell ref="BE105:BG105"/>
    <mergeCell ref="BI105:BI106"/>
    <mergeCell ref="BN105:BN106"/>
    <mergeCell ref="BE106:BG106"/>
    <mergeCell ref="A96:A100"/>
    <mergeCell ref="E96:E97"/>
    <mergeCell ref="BI96:BI97"/>
    <mergeCell ref="BN96:BN97"/>
    <mergeCell ref="E99:E100"/>
    <mergeCell ref="BE99:BG99"/>
    <mergeCell ref="BI99:BI100"/>
    <mergeCell ref="BN99:BN100"/>
    <mergeCell ref="BE100:BG100"/>
    <mergeCell ref="A90:A94"/>
    <mergeCell ref="E90:E91"/>
    <mergeCell ref="BI90:BI91"/>
    <mergeCell ref="BN90:BN91"/>
    <mergeCell ref="E93:E94"/>
    <mergeCell ref="BE93:BG93"/>
    <mergeCell ref="BI93:BI94"/>
    <mergeCell ref="BN93:BN94"/>
    <mergeCell ref="BE94:BG94"/>
    <mergeCell ref="A84:A88"/>
    <mergeCell ref="E84:E85"/>
    <mergeCell ref="BI84:BI85"/>
    <mergeCell ref="BN84:BN85"/>
    <mergeCell ref="E87:E88"/>
    <mergeCell ref="BE87:BG87"/>
    <mergeCell ref="BI87:BI88"/>
    <mergeCell ref="BN87:BN88"/>
    <mergeCell ref="BE88:BG88"/>
    <mergeCell ref="A78:A82"/>
    <mergeCell ref="E78:E79"/>
    <mergeCell ref="BI78:BI79"/>
    <mergeCell ref="BN78:BN79"/>
    <mergeCell ref="E81:E82"/>
    <mergeCell ref="BE81:BG81"/>
    <mergeCell ref="BI81:BI82"/>
    <mergeCell ref="BN81:BN82"/>
    <mergeCell ref="BE82:BG82"/>
    <mergeCell ref="A72:A76"/>
    <mergeCell ref="E72:E73"/>
    <mergeCell ref="BI72:BI73"/>
    <mergeCell ref="BN72:BN73"/>
    <mergeCell ref="E75:E76"/>
    <mergeCell ref="BE75:BG75"/>
    <mergeCell ref="BI75:BI76"/>
    <mergeCell ref="BN75:BN76"/>
    <mergeCell ref="BE76:BG76"/>
    <mergeCell ref="A66:A70"/>
    <mergeCell ref="E66:E67"/>
    <mergeCell ref="BI66:BI67"/>
    <mergeCell ref="BN66:BN67"/>
    <mergeCell ref="E69:E70"/>
    <mergeCell ref="BE69:BG69"/>
    <mergeCell ref="BI69:BI70"/>
    <mergeCell ref="BN69:BN70"/>
    <mergeCell ref="BE70:BG70"/>
    <mergeCell ref="A60:A64"/>
    <mergeCell ref="E60:E61"/>
    <mergeCell ref="BI60:BI61"/>
    <mergeCell ref="BN60:BN61"/>
    <mergeCell ref="E63:E64"/>
    <mergeCell ref="BE63:BG63"/>
    <mergeCell ref="BI63:BI64"/>
    <mergeCell ref="BN63:BN64"/>
    <mergeCell ref="BE64:BG64"/>
    <mergeCell ref="A54:A58"/>
    <mergeCell ref="E54:E55"/>
    <mergeCell ref="BI54:BI55"/>
    <mergeCell ref="BN54:BN55"/>
    <mergeCell ref="E57:E58"/>
    <mergeCell ref="BE57:BG57"/>
    <mergeCell ref="BI57:BI58"/>
    <mergeCell ref="BN57:BN58"/>
    <mergeCell ref="BE58:BG58"/>
    <mergeCell ref="A48:A52"/>
    <mergeCell ref="E48:E49"/>
    <mergeCell ref="BI48:BI49"/>
    <mergeCell ref="BN48:BN49"/>
    <mergeCell ref="E51:E52"/>
    <mergeCell ref="BE51:BG51"/>
    <mergeCell ref="BI51:BI52"/>
    <mergeCell ref="BN51:BN52"/>
    <mergeCell ref="BE52:BG52"/>
    <mergeCell ref="A42:A46"/>
    <mergeCell ref="E42:E43"/>
    <mergeCell ref="BI42:BI43"/>
    <mergeCell ref="BN42:BN43"/>
    <mergeCell ref="E45:E46"/>
    <mergeCell ref="BE45:BG45"/>
    <mergeCell ref="BI45:BI46"/>
    <mergeCell ref="BN45:BN46"/>
    <mergeCell ref="BE46:BG46"/>
    <mergeCell ref="A36:A40"/>
    <mergeCell ref="E36:E37"/>
    <mergeCell ref="BI36:BI37"/>
    <mergeCell ref="BN36:BN37"/>
    <mergeCell ref="E39:E40"/>
    <mergeCell ref="BE39:BG39"/>
    <mergeCell ref="BI39:BI40"/>
    <mergeCell ref="BN39:BN40"/>
    <mergeCell ref="BE40:BG40"/>
    <mergeCell ref="A30:A34"/>
    <mergeCell ref="E30:E31"/>
    <mergeCell ref="BI30:BI31"/>
    <mergeCell ref="BN30:BN31"/>
    <mergeCell ref="E33:E34"/>
    <mergeCell ref="BE33:BG33"/>
    <mergeCell ref="BI33:BI34"/>
    <mergeCell ref="BN33:BN34"/>
    <mergeCell ref="BE34:BG34"/>
    <mergeCell ref="A24:A28"/>
    <mergeCell ref="E24:E25"/>
    <mergeCell ref="BI24:BI25"/>
    <mergeCell ref="BN24:BN25"/>
    <mergeCell ref="E27:E28"/>
    <mergeCell ref="BE27:BG27"/>
    <mergeCell ref="BI27:BI28"/>
    <mergeCell ref="BN27:BN28"/>
    <mergeCell ref="BE28:BG28"/>
    <mergeCell ref="A18:A22"/>
    <mergeCell ref="E18:E19"/>
    <mergeCell ref="BI18:BI19"/>
    <mergeCell ref="BN18:BN19"/>
    <mergeCell ref="E21:E22"/>
    <mergeCell ref="BE21:BG21"/>
    <mergeCell ref="BI21:BI22"/>
    <mergeCell ref="BN21:BN22"/>
    <mergeCell ref="BE22:BG22"/>
    <mergeCell ref="BE10:BG10"/>
    <mergeCell ref="A12:A16"/>
    <mergeCell ref="E12:E13"/>
    <mergeCell ref="BI12:BI13"/>
    <mergeCell ref="BN12:BN13"/>
    <mergeCell ref="E15:E16"/>
    <mergeCell ref="BE15:BG15"/>
    <mergeCell ref="BI15:BI16"/>
    <mergeCell ref="BN15:BN16"/>
    <mergeCell ref="BE16:BG16"/>
    <mergeCell ref="CO3:CP3"/>
    <mergeCell ref="CU3:CU4"/>
    <mergeCell ref="A6:A10"/>
    <mergeCell ref="E6:E7"/>
    <mergeCell ref="BI6:BI7"/>
    <mergeCell ref="BN6:BN7"/>
    <mergeCell ref="E9:E10"/>
    <mergeCell ref="BE9:BG9"/>
    <mergeCell ref="BI9:BI10"/>
    <mergeCell ref="BN9:BN10"/>
    <mergeCell ref="BP3:BR3"/>
    <mergeCell ref="BT3:BY3"/>
    <mergeCell ref="BZ3:CD3"/>
    <mergeCell ref="CE3:CF3"/>
    <mergeCell ref="CG3:CH3"/>
    <mergeCell ref="CM3:CM4"/>
    <mergeCell ref="BG3:BG4"/>
    <mergeCell ref="BI3:BI4"/>
    <mergeCell ref="BJ3:BJ4"/>
    <mergeCell ref="BK3:BK4"/>
    <mergeCell ref="BL3:BL4"/>
    <mergeCell ref="BN3:BO4"/>
    <mergeCell ref="AE3:AF3"/>
    <mergeCell ref="AK3:AM3"/>
    <mergeCell ref="AN3:AP3"/>
    <mergeCell ref="AQ3:AS3"/>
    <mergeCell ref="AT3:AV3"/>
    <mergeCell ref="AW3:AY3"/>
    <mergeCell ref="T3:U3"/>
    <mergeCell ref="V3:W3"/>
    <mergeCell ref="X3:Y3"/>
    <mergeCell ref="AA3:AA4"/>
    <mergeCell ref="AB3:AB4"/>
    <mergeCell ref="AC3:AC4"/>
    <mergeCell ref="AJ2:AJ3"/>
    <mergeCell ref="AK2:BB2"/>
    <mergeCell ref="BD2:BG2"/>
    <mergeCell ref="BI2:BL2"/>
    <mergeCell ref="CE2:CF2"/>
    <mergeCell ref="CO2:CP2"/>
    <mergeCell ref="AZ3:BB3"/>
    <mergeCell ref="BD3:BD4"/>
    <mergeCell ref="BE3:BE4"/>
    <mergeCell ref="BF3:BF4"/>
    <mergeCell ref="B2:B4"/>
    <mergeCell ref="C2:F4"/>
    <mergeCell ref="G2:J3"/>
    <mergeCell ref="L2:Y2"/>
    <mergeCell ref="AA2:AC2"/>
    <mergeCell ref="AE2:AH2"/>
    <mergeCell ref="M3:M4"/>
    <mergeCell ref="N3:O3"/>
    <mergeCell ref="P3:Q3"/>
    <mergeCell ref="R3:S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Kumar</dc:creator>
  <cp:lastModifiedBy>Mukesh Kumar</cp:lastModifiedBy>
  <dcterms:created xsi:type="dcterms:W3CDTF">2026-07-28T02:25:17Z</dcterms:created>
  <dcterms:modified xsi:type="dcterms:W3CDTF">2026-07-28T02:26:01Z</dcterms:modified>
</cp:coreProperties>
</file>