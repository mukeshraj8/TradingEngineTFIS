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TFIS\ChatGpt\"/>
    </mc:Choice>
  </mc:AlternateContent>
  <xr:revisionPtr revIDLastSave="0" documentId="8_{8C9C1C40-1E9F-4419-B484-4A38751CF559}" xr6:coauthVersionLast="47" xr6:coauthVersionMax="47" xr10:uidLastSave="{00000000-0000-0000-0000-000000000000}"/>
  <bookViews>
    <workbookView xWindow="-120" yWindow="-120" windowWidth="29040" windowHeight="15840" xr2:uid="{77E29F14-D0F8-4292-9186-19241FC17A9C}"/>
  </bookViews>
  <sheets>
    <sheet name="AB5" sheetId="1" r:id="rId1"/>
  </sheets>
  <externalReferences>
    <externalReference r:id="rId2"/>
  </externalReferences>
  <definedNames>
    <definedName name="STOCKS">[1]AB8!$B$8:$B$257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20" i="1" l="1"/>
  <c r="L219" i="1"/>
  <c r="L217" i="1"/>
  <c r="C217" i="1"/>
  <c r="B217" i="1"/>
  <c r="L216" i="1"/>
  <c r="C216" i="1"/>
  <c r="B216" i="1"/>
  <c r="C215" i="1"/>
  <c r="B215" i="1"/>
  <c r="L214" i="1"/>
  <c r="L213" i="1"/>
  <c r="C212" i="1"/>
  <c r="B212" i="1"/>
  <c r="L211" i="1"/>
  <c r="C211" i="1"/>
  <c r="A218" i="1" s="1"/>
  <c r="B211" i="1"/>
  <c r="L210" i="1"/>
  <c r="B210" i="1"/>
  <c r="A184" i="1"/>
  <c r="A182" i="1"/>
  <c r="C181" i="1"/>
  <c r="B181" i="1"/>
  <c r="C180" i="1"/>
  <c r="B180" i="1"/>
  <c r="A180" i="1"/>
  <c r="C179" i="1"/>
  <c r="B179" i="1"/>
  <c r="A179" i="1"/>
  <c r="A178" i="1"/>
  <c r="C176" i="1"/>
  <c r="B176" i="1"/>
  <c r="A176" i="1"/>
  <c r="C175" i="1"/>
  <c r="A183" i="1" s="1"/>
  <c r="B175" i="1"/>
  <c r="A175" i="1"/>
  <c r="B174" i="1"/>
  <c r="A174" i="1"/>
  <c r="Z172" i="1"/>
  <c r="X172" i="1"/>
  <c r="AA171" i="1"/>
  <c r="Z171" i="1"/>
  <c r="Y171" i="1"/>
  <c r="X171" i="1"/>
  <c r="A171" i="1"/>
  <c r="L138" i="1"/>
  <c r="A138" i="1"/>
  <c r="L137" i="1"/>
  <c r="A137" i="1"/>
  <c r="L135" i="1"/>
  <c r="C135" i="1"/>
  <c r="B135" i="1"/>
  <c r="L134" i="1"/>
  <c r="C134" i="1"/>
  <c r="B134" i="1"/>
  <c r="C133" i="1"/>
  <c r="B133" i="1"/>
  <c r="A133" i="1"/>
  <c r="L132" i="1"/>
  <c r="A132" i="1"/>
  <c r="L131" i="1"/>
  <c r="A131" i="1"/>
  <c r="C130" i="1"/>
  <c r="B130" i="1"/>
  <c r="A130" i="1"/>
  <c r="L129" i="1"/>
  <c r="C129" i="1"/>
  <c r="A136" i="1" s="1"/>
  <c r="B129" i="1"/>
  <c r="A129" i="1"/>
  <c r="L128" i="1"/>
  <c r="B128" i="1"/>
  <c r="A128" i="1"/>
  <c r="Z126" i="1"/>
  <c r="X126" i="1"/>
  <c r="V126" i="1"/>
  <c r="T126" i="1"/>
  <c r="R126" i="1"/>
  <c r="O126" i="1"/>
  <c r="M126" i="1"/>
  <c r="I126" i="1"/>
  <c r="G126" i="1"/>
  <c r="AA125" i="1"/>
  <c r="Z125" i="1"/>
  <c r="Y125" i="1"/>
  <c r="X125" i="1"/>
  <c r="W125" i="1"/>
  <c r="V125" i="1"/>
  <c r="U125" i="1"/>
  <c r="T125" i="1"/>
  <c r="S125" i="1"/>
  <c r="R125" i="1"/>
  <c r="P125" i="1"/>
  <c r="O125" i="1"/>
  <c r="N125" i="1"/>
  <c r="M125" i="1"/>
  <c r="K125" i="1"/>
  <c r="J125" i="1"/>
  <c r="I125" i="1"/>
  <c r="H125" i="1"/>
  <c r="G125" i="1"/>
  <c r="F125" i="1"/>
  <c r="D125" i="1"/>
  <c r="A125" i="1"/>
  <c r="L102" i="1"/>
  <c r="A102" i="1"/>
  <c r="L101" i="1"/>
  <c r="A101" i="1"/>
  <c r="B100" i="1"/>
  <c r="A100" i="1"/>
  <c r="L99" i="1"/>
  <c r="B99" i="1"/>
  <c r="A99" i="1"/>
  <c r="L98" i="1"/>
  <c r="B98" i="1"/>
  <c r="A98" i="1"/>
  <c r="B97" i="1"/>
  <c r="A97" i="1"/>
  <c r="L96" i="1"/>
  <c r="A96" i="1"/>
  <c r="L95" i="1"/>
  <c r="A95" i="1"/>
  <c r="B94" i="1"/>
  <c r="A94" i="1"/>
  <c r="L93" i="1"/>
  <c r="B93" i="1"/>
  <c r="A93" i="1"/>
  <c r="L92" i="1"/>
  <c r="B92" i="1"/>
  <c r="A92" i="1"/>
  <c r="L69" i="1"/>
  <c r="A69" i="1"/>
  <c r="L68" i="1"/>
  <c r="A68" i="1"/>
  <c r="A67" i="1"/>
  <c r="L66" i="1"/>
  <c r="A66" i="1"/>
  <c r="L65" i="1"/>
  <c r="A65" i="1"/>
  <c r="A64" i="1"/>
  <c r="L63" i="1"/>
  <c r="A63" i="1"/>
  <c r="L62" i="1"/>
  <c r="A62" i="1"/>
  <c r="A61" i="1"/>
  <c r="L60" i="1"/>
  <c r="A60" i="1"/>
  <c r="L59" i="1"/>
  <c r="A59" i="1"/>
  <c r="A134" i="1" l="1"/>
  <c r="A135" i="1"/>
  <c r="A177" i="1"/>
  <c r="A181" i="1"/>
  <c r="A213" i="1"/>
  <c r="A215" i="1"/>
  <c r="A219" i="1"/>
  <c r="A211" i="1"/>
  <c r="A212" i="1"/>
  <c r="A210" i="1"/>
  <c r="A214" i="1"/>
  <c r="A220" i="1"/>
  <c r="A216" i="1"/>
  <c r="A217" i="1"/>
</calcChain>
</file>

<file path=xl/sharedStrings.xml><?xml version="1.0" encoding="utf-8"?>
<sst xmlns="http://schemas.openxmlformats.org/spreadsheetml/2006/main" count="2064" uniqueCount="224">
  <si>
    <t>Wishing You A Peace, Joy &amp; Prosperity !!</t>
  </si>
  <si>
    <t>ENTRY</t>
  </si>
  <si>
    <t>LOTS</t>
  </si>
  <si>
    <t>TGT 1</t>
  </si>
  <si>
    <t>TGT 2</t>
  </si>
  <si>
    <t>TGT 3</t>
  </si>
  <si>
    <t>TGT 4</t>
  </si>
  <si>
    <t>TGT 5</t>
  </si>
  <si>
    <t>TGT 6</t>
  </si>
  <si>
    <t>SL AFTER ENTRY</t>
  </si>
  <si>
    <t>TR PROFIT AFTER TGT 1</t>
  </si>
  <si>
    <t>TR PROFIT AFTER TGT 2</t>
  </si>
  <si>
    <t>TR PROFIT AFTER TGT 3</t>
  </si>
  <si>
    <t>TR PROFIT AFTER TGT 4</t>
  </si>
  <si>
    <t>TR PROFIT AFTER TGT 5</t>
  </si>
  <si>
    <t>TR PROFIT AFTER TGT 6</t>
  </si>
  <si>
    <t>A</t>
  </si>
  <si>
    <t>Sr. No.</t>
  </si>
  <si>
    <t>BULL / BULL CF</t>
  </si>
  <si>
    <t>BUY</t>
  </si>
  <si>
    <t>E &amp; T</t>
  </si>
  <si>
    <t>Strategy Code</t>
  </si>
  <si>
    <t>SL / TRP</t>
  </si>
  <si>
    <t>Unique Code</t>
  </si>
  <si>
    <t>B</t>
  </si>
  <si>
    <t>SELL</t>
  </si>
  <si>
    <t>C</t>
  </si>
  <si>
    <t>Segment</t>
  </si>
  <si>
    <t>D</t>
  </si>
  <si>
    <t>Symbol</t>
  </si>
  <si>
    <t>BEAR / BEAR CF</t>
  </si>
  <si>
    <t>No. of TGT</t>
  </si>
  <si>
    <t>Stay Blessed !!!</t>
  </si>
  <si>
    <t>E</t>
  </si>
  <si>
    <t>For Entry</t>
  </si>
  <si>
    <t>Gap Check</t>
  </si>
  <si>
    <t>Process</t>
  </si>
  <si>
    <t>Y / N</t>
  </si>
  <si>
    <t>Order Status</t>
  </si>
  <si>
    <t>Step 1</t>
  </si>
  <si>
    <t>Order Placement Timings</t>
  </si>
  <si>
    <t>Time</t>
  </si>
  <si>
    <t>Rules For Gaps</t>
  </si>
  <si>
    <t>Data</t>
  </si>
  <si>
    <t>Buffer</t>
  </si>
  <si>
    <t>+ | -</t>
  </si>
  <si>
    <t>Rules For Re Entry</t>
  </si>
  <si>
    <t xml:space="preserve">ORPT </t>
  </si>
  <si>
    <t xml:space="preserve"> RC. Time</t>
  </si>
  <si>
    <t>For Long Entry</t>
  </si>
  <si>
    <t xml:space="preserve">Check If  </t>
  </si>
  <si>
    <t xml:space="preserve"> HH &gt; Long Entry</t>
  </si>
  <si>
    <t>No</t>
  </si>
  <si>
    <t>Entry Not Missed</t>
  </si>
  <si>
    <t>Place the Order at ORPT</t>
  </si>
  <si>
    <t>ORPT Time</t>
  </si>
  <si>
    <t>N.A.</t>
  </si>
  <si>
    <t xml:space="preserve">Long Entry : Bull/ Bull CF : </t>
  </si>
  <si>
    <t>Yes</t>
  </si>
  <si>
    <t>Entry Missed</t>
  </si>
  <si>
    <t>Recalcuate : Long Entry : Bull / Bull CF</t>
  </si>
  <si>
    <t>Wait Till Recalculation Time</t>
  </si>
  <si>
    <t>Max</t>
  </si>
  <si>
    <t xml:space="preserve"> HH</t>
  </si>
  <si>
    <t>+</t>
  </si>
  <si>
    <t xml:space="preserve"> CDHH</t>
  </si>
  <si>
    <t>Recalcuate : Long Entry : Bear / Bear CF</t>
  </si>
  <si>
    <t xml:space="preserve">Long Entry : Bear/ Bear CF : </t>
  </si>
  <si>
    <t>For SL (Position = Open)</t>
  </si>
  <si>
    <t>For Short Entry</t>
  </si>
  <si>
    <t xml:space="preserve"> LL &lt; Short Entry</t>
  </si>
  <si>
    <t>Recalcuate : Short Entry : Bull / Bull CF</t>
  </si>
  <si>
    <t>Min</t>
  </si>
  <si>
    <t xml:space="preserve"> LL</t>
  </si>
  <si>
    <t>-</t>
  </si>
  <si>
    <t>When Your Long Position is Exited</t>
  </si>
  <si>
    <t>Recalcuate : Short Entry : Bear / Bear CF</t>
  </si>
  <si>
    <t>This is Only Applicable for Same Day</t>
  </si>
  <si>
    <t>For TGT (Position = Open)</t>
  </si>
  <si>
    <t>Status</t>
  </si>
  <si>
    <t>For Long SL</t>
  </si>
  <si>
    <t xml:space="preserve">Check If </t>
  </si>
  <si>
    <t xml:space="preserve"> LL &lt; Long SL</t>
  </si>
  <si>
    <t>FSL / TRP Not Missed</t>
  </si>
  <si>
    <t xml:space="preserve">Short Entry : Bull/ Bull CF : </t>
  </si>
  <si>
    <t>FSL / TRP Missed</t>
  </si>
  <si>
    <t>Recalcuate : Long FSL / TRP : Bull / Bull CF</t>
  </si>
  <si>
    <t xml:space="preserve"> CDLL</t>
  </si>
  <si>
    <t>I Commit To Follow The Rules &amp; Process</t>
  </si>
  <si>
    <t>Recalcuate : Long FSL / TRP : Bear / Bear CF</t>
  </si>
  <si>
    <t xml:space="preserve">Short Entry : Bear/ Bear CF : </t>
  </si>
  <si>
    <t>By Asmita Patel.</t>
  </si>
  <si>
    <t>For Short SL</t>
  </si>
  <si>
    <t xml:space="preserve"> HH &gt; Short SL</t>
  </si>
  <si>
    <t>Recalcuate : Short FSL / TRP : Bull / Bull CF</t>
  </si>
  <si>
    <t>Recalcuate : Short FSL / TRP : Bear / Bear CF</t>
  </si>
  <si>
    <t>When Your Short Position is Exited</t>
  </si>
  <si>
    <t>For Missed SL (Position = Open)</t>
  </si>
  <si>
    <t>Check time</t>
  </si>
  <si>
    <t>Note: ( Optional )</t>
  </si>
  <si>
    <t xml:space="preserve">Check If Close at </t>
  </si>
  <si>
    <t xml:space="preserve">  &lt; Long Original SL</t>
  </si>
  <si>
    <t xml:space="preserve"> Then Square Off The Position At CMP at </t>
  </si>
  <si>
    <t xml:space="preserve">  &gt; Short Original SL</t>
  </si>
  <si>
    <t xml:space="preserve">  &gt; Long Original SL</t>
  </si>
  <si>
    <t xml:space="preserve"> Then Continue the Position for Next Day And Calculate Stop Loss Price as per the Rules</t>
  </si>
  <si>
    <t xml:space="preserve">  &lt; Short Original SL</t>
  </si>
  <si>
    <t>EQUITY</t>
  </si>
  <si>
    <t>ATH</t>
  </si>
  <si>
    <t>Check All Time High Price Till Previous Month</t>
  </si>
  <si>
    <t>Candle should Close Above All Time High</t>
  </si>
  <si>
    <t>Check All Time High Price Till Previous Month &amp; Current Month</t>
  </si>
  <si>
    <t xml:space="preserve">ENTRY : </t>
  </si>
  <si>
    <t>OB</t>
  </si>
  <si>
    <t>MONTHLY STATUS</t>
  </si>
  <si>
    <t>OPTION TYPE</t>
  </si>
  <si>
    <t>START STRIKE</t>
  </si>
  <si>
    <t>IDEAL PREMIUM</t>
  </si>
  <si>
    <t>MINIMUM OI</t>
  </si>
  <si>
    <t>END STRIKE</t>
  </si>
  <si>
    <t>MINIMUM  PREMIUM</t>
  </si>
  <si>
    <t>NO OF EXP</t>
  </si>
  <si>
    <t>Call</t>
  </si>
  <si>
    <t>&amp;</t>
  </si>
  <si>
    <t xml:space="preserve"> * </t>
  </si>
  <si>
    <t xml:space="preserve"> Lots</t>
  </si>
  <si>
    <t xml:space="preserve"> Exp</t>
  </si>
  <si>
    <t>Put</t>
  </si>
  <si>
    <t>Yes / No</t>
  </si>
  <si>
    <t>Rules For Gap = Step 1 Start Strike</t>
  </si>
  <si>
    <t>Start Strike Buffer</t>
  </si>
  <si>
    <t>Rules For Gap = Step 2 End Strike</t>
  </si>
  <si>
    <t>End Strike Buffer</t>
  </si>
  <si>
    <t xml:space="preserve"> Ideal Premium</t>
  </si>
  <si>
    <t>Minimum Premium</t>
  </si>
  <si>
    <t>Minimum OI</t>
  </si>
  <si>
    <t>Rules For Gap = Step 3 Revised Option Entry</t>
  </si>
  <si>
    <t>S1A</t>
  </si>
  <si>
    <t>For Call Sell Entry</t>
  </si>
  <si>
    <t xml:space="preserve"> LL &lt; Call Sell Entry</t>
  </si>
  <si>
    <t>S1B</t>
  </si>
  <si>
    <t>Recalcuate : Call Sell Entry : Bull / Bull CF</t>
  </si>
  <si>
    <t xml:space="preserve">Min of </t>
  </si>
  <si>
    <t>0.05%</t>
  </si>
  <si>
    <t>Recalcuate : Call Sell Entry : Bear / Bear CF</t>
  </si>
  <si>
    <t>For Put Sell Entry</t>
  </si>
  <si>
    <t xml:space="preserve"> LL &lt; Put Sell Entry</t>
  </si>
  <si>
    <t>Recalcuate : Put Sell Entry : Bull / Bull CF</t>
  </si>
  <si>
    <t xml:space="preserve">Max of </t>
  </si>
  <si>
    <t>Recalcuate : Put Sell Entry : Bear / Bear CF</t>
  </si>
  <si>
    <t>Monthly Status</t>
  </si>
  <si>
    <t>Options Type</t>
  </si>
  <si>
    <t>Start Strike</t>
  </si>
  <si>
    <t>End Strike</t>
  </si>
  <si>
    <t>Ideal Premium</t>
  </si>
  <si>
    <t>Option Entry</t>
  </si>
  <si>
    <t>For Call Sell SL</t>
  </si>
  <si>
    <t xml:space="preserve"> HH &gt; Call Sell SL</t>
  </si>
  <si>
    <t>SPT : CDLL</t>
  </si>
  <si>
    <t>OPT : CDLL</t>
  </si>
  <si>
    <t>Recalcuate : Call Sell FSL / TRP : Bull / Bull CF</t>
  </si>
  <si>
    <t>SPT : CDHH</t>
  </si>
  <si>
    <t>Recalcuate : Call Sell FSL / TRP : Bear / Bear CF</t>
  </si>
  <si>
    <t>For Put Sell SL</t>
  </si>
  <si>
    <t>When You Call And Put Position is Exited</t>
  </si>
  <si>
    <t>OS</t>
  </si>
  <si>
    <t>Options Buy</t>
  </si>
  <si>
    <t>Maximum Premium</t>
  </si>
  <si>
    <t>Steps</t>
  </si>
  <si>
    <t>Start strike</t>
  </si>
  <si>
    <t>End strike</t>
  </si>
  <si>
    <t>Min Premium</t>
  </si>
  <si>
    <t>Max premium</t>
  </si>
  <si>
    <t>Min OI</t>
  </si>
  <si>
    <t>Re- entry</t>
  </si>
  <si>
    <t>N.A</t>
  </si>
  <si>
    <t>09:14:59 am HH</t>
  </si>
  <si>
    <t>09:14:59 am LL</t>
  </si>
  <si>
    <t>CDLL</t>
  </si>
  <si>
    <t>CDHH</t>
  </si>
  <si>
    <t>For Call SL</t>
  </si>
  <si>
    <t>For Put SL</t>
  </si>
  <si>
    <t xml:space="preserve">  &gt; Call Original SL</t>
  </si>
  <si>
    <t xml:space="preserve">  &gt; Put Original SL</t>
  </si>
  <si>
    <t xml:space="preserve">  &lt; Call Original SL</t>
  </si>
  <si>
    <t xml:space="preserve">  &lt; Put Original SL</t>
  </si>
  <si>
    <t>OB MONTHLY</t>
  </si>
  <si>
    <t>MINIMUM PREMIUM</t>
  </si>
  <si>
    <t xml:space="preserve">Final Strike * </t>
  </si>
  <si>
    <t>Final Strike *</t>
  </si>
  <si>
    <t>Start Strike - 1 Strike</t>
  </si>
  <si>
    <t>Final strike</t>
  </si>
  <si>
    <t xml:space="preserve">I Commit To Follow The Rules &amp; Process
</t>
  </si>
  <si>
    <t>Start Strike + 1 Strike</t>
  </si>
  <si>
    <t>Last Choice Strike</t>
  </si>
  <si>
    <t>For Call Buy Entry</t>
  </si>
  <si>
    <t xml:space="preserve"> HH &gt; Call Buy Entry</t>
  </si>
  <si>
    <t>Recalcuate : Call Buy Entry : Bull / Bull CF</t>
  </si>
  <si>
    <t>Recalcuate : Call Buy Entry : Bear / Bear CF</t>
  </si>
  <si>
    <t>For Put Buy Entry</t>
  </si>
  <si>
    <t xml:space="preserve"> HH &gt; Put Buy Entry</t>
  </si>
  <si>
    <t>Recalcuate : Put Buy Entry : Bull / Bull CF</t>
  </si>
  <si>
    <t>Recalcuate : Put Buy Entry : Bear / Bear CF</t>
  </si>
  <si>
    <t>For Call Buy SL</t>
  </si>
  <si>
    <t xml:space="preserve"> LL &lt; Call Buy SL</t>
  </si>
  <si>
    <t>OPT : CDHH</t>
  </si>
  <si>
    <t>For Put Buy SL</t>
  </si>
  <si>
    <t xml:space="preserve"> LL &lt; Put Buy SL</t>
  </si>
  <si>
    <t xml:space="preserve">  &lt; Call Buy Original SL</t>
  </si>
  <si>
    <t xml:space="preserve">  &gt; Put Buy Original SL</t>
  </si>
  <si>
    <t xml:space="preserve">  &gt; Call Buy Original SL</t>
  </si>
  <si>
    <t xml:space="preserve">  &lt; Put Buy Original SL</t>
  </si>
  <si>
    <t>ROLLOVER</t>
  </si>
  <si>
    <t>Expiry specail</t>
  </si>
  <si>
    <t>FINAL STIKE</t>
  </si>
  <si>
    <t xml:space="preserve">round off to Nearest Strike </t>
  </si>
  <si>
    <t xml:space="preserve"> of Final strike</t>
  </si>
  <si>
    <t xml:space="preserve"> round off to Nearest Strike</t>
  </si>
  <si>
    <t>of Final strike</t>
  </si>
  <si>
    <t>Rules For Gap = Final Strike</t>
  </si>
  <si>
    <t>Final Strike</t>
  </si>
  <si>
    <t>OB MONTHLY - 27</t>
  </si>
  <si>
    <t>&amp; Round off to the Nearest Strike</t>
  </si>
  <si>
    <t>Last Choosen Strike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</si>
</sst>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&quot;:&quot;mm&quot;:&quot;ss&quot; &quot;AM/PM"/>
  </numFmts>
  <fonts count="13" x14ac:knownFonts="1">
    <font>
      <sz val="10"/>
      <color rgb="FF000000"/>
      <name val="Arial"/>
      <scheme val="minor"/>
    </font>
    <font>
      <sz val="12"/>
      <color rgb="FF9900FF"/>
      <name val="Pacifico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rial"/>
      <family val="2"/>
    </font>
    <font>
      <sz val="12"/>
      <color rgb="FF0000FF"/>
      <name val="Pacifico"/>
    </font>
    <font>
      <b/>
      <sz val="10"/>
      <color rgb="FF434343"/>
      <name val="Calibri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3DAF4"/>
        <bgColor rgb="FFE3DAF4"/>
      </patternFill>
    </fill>
    <fill>
      <patternFill patternType="solid">
        <fgColor rgb="FFFBE8D4"/>
        <bgColor rgb="FFFBE8D4"/>
      </patternFill>
    </fill>
    <fill>
      <patternFill patternType="solid">
        <fgColor rgb="FFBDEBEC"/>
        <bgColor rgb="FFBDEBEC"/>
      </patternFill>
    </fill>
    <fill>
      <patternFill patternType="solid">
        <fgColor rgb="FFCDF1F4"/>
        <bgColor rgb="FFCDF1F4"/>
      </patternFill>
    </fill>
    <fill>
      <patternFill patternType="solid">
        <fgColor rgb="FFFFF2CC"/>
        <bgColor rgb="FFFFF2CC"/>
      </patternFill>
    </fill>
    <fill>
      <patternFill patternType="solid">
        <fgColor rgb="FFC5F2D5"/>
        <bgColor rgb="FFC5F2D5"/>
      </patternFill>
    </fill>
    <fill>
      <patternFill patternType="solid">
        <fgColor rgb="FFF3F3F3"/>
        <bgColor rgb="FFF3F3F3"/>
      </patternFill>
    </fill>
    <fill>
      <patternFill patternType="solid">
        <fgColor rgb="FFE7F8ED"/>
        <bgColor rgb="FFE7F8ED"/>
      </patternFill>
    </fill>
    <fill>
      <patternFill patternType="solid">
        <fgColor rgb="FFFFEEFF"/>
        <bgColor rgb="FFFFEEFF"/>
      </patternFill>
    </fill>
    <fill>
      <patternFill patternType="solid">
        <fgColor rgb="FFFECCFE"/>
        <bgColor rgb="FFFECCFE"/>
      </patternFill>
    </fill>
    <fill>
      <patternFill patternType="solid">
        <fgColor rgb="FFDFF4F6"/>
        <bgColor rgb="FFDFF4F6"/>
      </patternFill>
    </fill>
    <fill>
      <patternFill patternType="solid">
        <fgColor rgb="FF00FFFF"/>
        <bgColor rgb="FF00FFFF"/>
      </patternFill>
    </fill>
  </fills>
  <borders count="82">
    <border>
      <left/>
      <right/>
      <top/>
      <bottom/>
      <diagonal/>
    </border>
    <border>
      <left style="thin">
        <color rgb="FF34A853"/>
      </left>
      <right/>
      <top style="thin">
        <color rgb="FF34A853"/>
      </top>
      <bottom/>
      <diagonal/>
    </border>
    <border>
      <left/>
      <right/>
      <top style="thin">
        <color rgb="FF34A853"/>
      </top>
      <bottom/>
      <diagonal/>
    </border>
    <border>
      <left/>
      <right style="thin">
        <color rgb="FF34A853"/>
      </right>
      <top style="thin">
        <color rgb="FF34A853"/>
      </top>
      <bottom/>
      <diagonal/>
    </border>
    <border>
      <left style="thin">
        <color rgb="FF000000"/>
      </left>
      <right style="thin">
        <color rgb="FF999999"/>
      </right>
      <top style="thin">
        <color rgb="FF434343"/>
      </top>
      <bottom style="thin">
        <color rgb="FF999999"/>
      </bottom>
      <diagonal/>
    </border>
    <border>
      <left style="thin">
        <color rgb="FF999999"/>
      </left>
      <right/>
      <top style="thin">
        <color rgb="FF434343"/>
      </top>
      <bottom/>
      <diagonal/>
    </border>
    <border>
      <left/>
      <right style="thin">
        <color rgb="FF434343"/>
      </right>
      <top style="thin">
        <color rgb="FF434343"/>
      </top>
      <bottom/>
      <diagonal/>
    </border>
    <border>
      <left style="thin">
        <color rgb="FF434343"/>
      </left>
      <right style="thin">
        <color rgb="FF999999"/>
      </right>
      <top style="thin">
        <color rgb="FF434343"/>
      </top>
      <bottom style="thin">
        <color rgb="FF999999"/>
      </bottom>
      <diagonal/>
    </border>
    <border>
      <left style="thin">
        <color rgb="FF34A853"/>
      </left>
      <right/>
      <top/>
      <bottom style="thin">
        <color rgb="FF9900FF"/>
      </bottom>
      <diagonal/>
    </border>
    <border>
      <left/>
      <right/>
      <top/>
      <bottom style="thin">
        <color rgb="FF9900FF"/>
      </bottom>
      <diagonal/>
    </border>
    <border>
      <left/>
      <right style="thin">
        <color rgb="FF34A853"/>
      </right>
      <top/>
      <bottom style="thin">
        <color rgb="FF9900FF"/>
      </bottom>
      <diagonal/>
    </border>
    <border>
      <left style="thin">
        <color rgb="FF000000"/>
      </left>
      <right style="thin">
        <color rgb="FF999999"/>
      </right>
      <top style="thin">
        <color rgb="FF999999"/>
      </top>
      <bottom style="thin">
        <color rgb="FF434343"/>
      </bottom>
      <diagonal/>
    </border>
    <border>
      <left style="thin">
        <color rgb="FF999999"/>
      </left>
      <right/>
      <top/>
      <bottom style="thin">
        <color rgb="FF434343"/>
      </bottom>
      <diagonal/>
    </border>
    <border>
      <left/>
      <right style="thin">
        <color rgb="FF434343"/>
      </right>
      <top/>
      <bottom style="thin">
        <color rgb="FF434343"/>
      </bottom>
      <diagonal/>
    </border>
    <border>
      <left style="thin">
        <color rgb="FF434343"/>
      </left>
      <right style="thin">
        <color rgb="FF999999"/>
      </right>
      <top style="thin">
        <color rgb="FF999999"/>
      </top>
      <bottom style="thin">
        <color rgb="FF434343"/>
      </bottom>
      <diagonal/>
    </border>
    <border>
      <left style="medium">
        <color rgb="FF999999"/>
      </left>
      <right style="thin">
        <color rgb="FF999999"/>
      </right>
      <top style="medium">
        <color rgb="FF999999"/>
      </top>
      <bottom style="thin">
        <color rgb="FF999999"/>
      </bottom>
      <diagonal/>
    </border>
    <border>
      <left style="thin">
        <color rgb="FF999999"/>
      </left>
      <right style="medium">
        <color rgb="FF999999"/>
      </right>
      <top style="medium">
        <color rgb="FF999999"/>
      </top>
      <bottom style="thin">
        <color rgb="FF999999"/>
      </bottom>
      <diagonal/>
    </border>
    <border>
      <left/>
      <right style="medium">
        <color rgb="FF999999"/>
      </right>
      <top style="medium">
        <color rgb="FF999999"/>
      </top>
      <bottom/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/>
      <top style="medium">
        <color rgb="FF999999"/>
      </top>
      <bottom/>
      <diagonal/>
    </border>
    <border>
      <left style="thin">
        <color rgb="FF999999"/>
      </left>
      <right style="thin">
        <color rgb="FF999999"/>
      </right>
      <top style="medium">
        <color rgb="FF999999"/>
      </top>
      <bottom style="thin">
        <color rgb="FF999999"/>
      </bottom>
      <diagonal/>
    </border>
    <border>
      <left style="thin">
        <color rgb="FF999999"/>
      </left>
      <right/>
      <top style="medium">
        <color rgb="FF999999"/>
      </top>
      <bottom style="thin">
        <color rgb="FF999999"/>
      </bottom>
      <diagonal/>
    </border>
    <border>
      <left/>
      <right style="thin">
        <color rgb="FF999999"/>
      </right>
      <top style="medium">
        <color rgb="FF999999"/>
      </top>
      <bottom style="thin">
        <color rgb="FF999999"/>
      </bottom>
      <diagonal/>
    </border>
    <border>
      <left/>
      <right style="medium">
        <color rgb="FF999999"/>
      </right>
      <top style="medium">
        <color rgb="FF999999"/>
      </top>
      <bottom style="thin">
        <color rgb="FF999999"/>
      </bottom>
      <diagonal/>
    </border>
    <border>
      <left style="medium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medium">
        <color rgb="FF999999"/>
      </right>
      <top style="thin">
        <color rgb="FF999999"/>
      </top>
      <bottom style="thin">
        <color rgb="FF999999"/>
      </bottom>
      <diagonal/>
    </border>
    <border>
      <left/>
      <right style="medium">
        <color rgb="FF999999"/>
      </right>
      <top/>
      <bottom/>
      <diagonal/>
    </border>
    <border>
      <left style="medium">
        <color rgb="FF999999"/>
      </left>
      <right/>
      <top/>
      <bottom style="medium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medium">
        <color rgb="FF999999"/>
      </bottom>
      <diagonal/>
    </border>
    <border>
      <left style="thin">
        <color rgb="FF999999"/>
      </left>
      <right/>
      <top style="thin">
        <color rgb="FF999999"/>
      </top>
      <bottom style="medium">
        <color rgb="FF999999"/>
      </bottom>
      <diagonal/>
    </border>
    <border>
      <left/>
      <right style="thin">
        <color rgb="FF999999"/>
      </right>
      <top style="thin">
        <color rgb="FF999999"/>
      </top>
      <bottom style="medium">
        <color rgb="FF999999"/>
      </bottom>
      <diagonal/>
    </border>
    <border>
      <left/>
      <right style="medium">
        <color rgb="FF999999"/>
      </right>
      <top style="thin">
        <color rgb="FF999999"/>
      </top>
      <bottom style="medium">
        <color rgb="FF999999"/>
      </bottom>
      <diagonal/>
    </border>
    <border>
      <left style="medium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medium">
        <color rgb="FF999999"/>
      </right>
      <top style="thin">
        <color rgb="FF999999"/>
      </top>
      <bottom/>
      <diagonal/>
    </border>
    <border>
      <left style="medium">
        <color rgb="FF999999"/>
      </left>
      <right/>
      <top/>
      <bottom/>
      <diagonal/>
    </border>
    <border>
      <left style="medium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medium">
        <color rgb="FF999999"/>
      </right>
      <top/>
      <bottom/>
      <diagonal/>
    </border>
    <border>
      <left style="medium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medium">
        <color rgb="FF999999"/>
      </right>
      <top/>
      <bottom style="thin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 style="medium">
        <color rgb="FF999999"/>
      </left>
      <right/>
      <top style="thin">
        <color rgb="FF999999"/>
      </top>
      <bottom/>
      <diagonal/>
    </border>
    <border>
      <left/>
      <right style="medium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/>
      <right/>
      <top style="medium">
        <color rgb="FF999999"/>
      </top>
      <bottom/>
      <diagonal/>
    </border>
    <border>
      <left style="medium">
        <color rgb="FF999999"/>
      </left>
      <right style="thin">
        <color rgb="FF999999"/>
      </right>
      <top style="medium">
        <color rgb="FF999999"/>
      </top>
      <bottom/>
      <diagonal/>
    </border>
    <border>
      <left style="medium">
        <color rgb="FF999999"/>
      </left>
      <right style="thin">
        <color rgb="FF999999"/>
      </right>
      <top/>
      <bottom style="medium">
        <color rgb="FF999999"/>
      </bottom>
      <diagonal/>
    </border>
    <border>
      <left style="thin">
        <color rgb="FF999999"/>
      </left>
      <right style="medium">
        <color rgb="FF999999"/>
      </right>
      <top/>
      <bottom style="medium">
        <color rgb="FF999999"/>
      </bottom>
      <diagonal/>
    </border>
    <border>
      <left style="thin">
        <color rgb="FF999999"/>
      </left>
      <right style="thin">
        <color rgb="FF999999"/>
      </right>
      <top/>
      <bottom style="medium">
        <color rgb="FF999999"/>
      </bottom>
      <diagonal/>
    </border>
    <border>
      <left style="thin">
        <color rgb="FF999999"/>
      </left>
      <right/>
      <top/>
      <bottom style="medium">
        <color rgb="FF999999"/>
      </bottom>
      <diagonal/>
    </border>
    <border>
      <left/>
      <right style="thin">
        <color rgb="FF999999"/>
      </right>
      <top/>
      <bottom style="medium">
        <color rgb="FF999999"/>
      </bottom>
      <diagonal/>
    </border>
    <border>
      <left/>
      <right/>
      <top style="medium">
        <color rgb="FF999999"/>
      </top>
      <bottom style="thin">
        <color rgb="FF999999"/>
      </bottom>
      <diagonal/>
    </border>
    <border>
      <left style="medium">
        <color rgb="FF999999"/>
      </left>
      <right/>
      <top style="medium">
        <color rgb="FF999999"/>
      </top>
      <bottom style="thin">
        <color rgb="FF999999"/>
      </bottom>
      <diagonal/>
    </border>
    <border>
      <left style="medium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medium">
        <color rgb="FF999999"/>
      </right>
      <top style="thin">
        <color rgb="FF999999"/>
      </top>
      <bottom style="thin">
        <color rgb="FF999999"/>
      </bottom>
      <diagonal/>
    </border>
    <border>
      <left style="medium">
        <color rgb="FF999999"/>
      </left>
      <right style="thin">
        <color rgb="FF999999"/>
      </right>
      <top style="thin">
        <color rgb="FF999999"/>
      </top>
      <bottom style="medium">
        <color rgb="FF999999"/>
      </bottom>
      <diagonal/>
    </border>
    <border>
      <left/>
      <right/>
      <top style="thin">
        <color rgb="FF999999"/>
      </top>
      <bottom style="medium">
        <color rgb="FF999999"/>
      </bottom>
      <diagonal/>
    </border>
    <border>
      <left/>
      <right/>
      <top/>
      <bottom style="medium">
        <color rgb="FF999999"/>
      </bottom>
      <diagonal/>
    </border>
    <border>
      <left style="thin">
        <color rgb="FF999999"/>
      </left>
      <right style="medium">
        <color rgb="FF999999"/>
      </right>
      <top style="thin">
        <color rgb="FF999999"/>
      </top>
      <bottom style="medium">
        <color rgb="FF999999"/>
      </bottom>
      <diagonal/>
    </border>
    <border>
      <left style="thin">
        <color rgb="FF999999"/>
      </left>
      <right/>
      <top style="medium">
        <color rgb="FF999999"/>
      </top>
      <bottom/>
      <diagonal/>
    </border>
    <border>
      <left style="thin">
        <color rgb="FF999999"/>
      </left>
      <right style="thin">
        <color rgb="FF999999"/>
      </right>
      <top style="medium">
        <color rgb="FF999999"/>
      </top>
      <bottom/>
      <diagonal/>
    </border>
    <border>
      <left style="medium">
        <color rgb="FF999999"/>
      </left>
      <right/>
      <top/>
      <bottom style="thin">
        <color rgb="FF999999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999999"/>
      </right>
      <top style="medium">
        <color rgb="FF999999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2" xfId="0" applyFont="1" applyBorder="1"/>
    <xf numFmtId="0" fontId="2" fillId="0" borderId="3" xfId="0" applyFont="1" applyBorder="1"/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3" fillId="4" borderId="7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3" fillId="3" borderId="11" xfId="0" applyFont="1" applyFill="1" applyBorder="1" applyAlignment="1">
      <alignment horizontal="center" vertical="center" wrapText="1"/>
    </xf>
    <xf numFmtId="0" fontId="2" fillId="0" borderId="12" xfId="0" applyFont="1" applyBorder="1"/>
    <xf numFmtId="0" fontId="2" fillId="0" borderId="13" xfId="0" applyFont="1" applyBorder="1"/>
    <xf numFmtId="0" fontId="3" fillId="4" borderId="14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6" borderId="15" xfId="0" applyFont="1" applyFill="1" applyBorder="1" applyAlignment="1">
      <alignment horizontal="left" vertical="center" wrapText="1"/>
    </xf>
    <xf numFmtId="0" fontId="5" fillId="7" borderId="16" xfId="0" applyFont="1" applyFill="1" applyBorder="1" applyAlignment="1">
      <alignment horizontal="left" vertical="center" wrapText="1"/>
    </xf>
    <xf numFmtId="0" fontId="5" fillId="8" borderId="17" xfId="0" applyFont="1" applyFill="1" applyBorder="1" applyAlignment="1">
      <alignment horizontal="left" vertical="center" wrapText="1"/>
    </xf>
    <xf numFmtId="0" fontId="5" fillId="8" borderId="18" xfId="0" applyFont="1" applyFill="1" applyBorder="1" applyAlignment="1">
      <alignment horizontal="left" vertical="center" wrapText="1"/>
    </xf>
    <xf numFmtId="0" fontId="5" fillId="8" borderId="19" xfId="0" applyFont="1" applyFill="1" applyBorder="1" applyAlignment="1">
      <alignment horizontal="left" vertical="center" wrapText="1"/>
    </xf>
    <xf numFmtId="0" fontId="6" fillId="9" borderId="20" xfId="0" applyFont="1" applyFill="1" applyBorder="1" applyAlignment="1">
      <alignment horizontal="center" vertical="center" wrapText="1"/>
    </xf>
    <xf numFmtId="0" fontId="6" fillId="10" borderId="20" xfId="0" applyFont="1" applyFill="1" applyBorder="1" applyAlignment="1">
      <alignment horizontal="center" vertical="center" wrapText="1"/>
    </xf>
    <xf numFmtId="3" fontId="6" fillId="9" borderId="21" xfId="0" applyNumberFormat="1" applyFont="1" applyFill="1" applyBorder="1" applyAlignment="1">
      <alignment horizontal="center" vertical="center" wrapText="1"/>
    </xf>
    <xf numFmtId="0" fontId="2" fillId="0" borderId="22" xfId="0" applyFont="1" applyBorder="1"/>
    <xf numFmtId="0" fontId="6" fillId="11" borderId="20" xfId="0" applyFont="1" applyFill="1" applyBorder="1" applyAlignment="1">
      <alignment horizontal="center" vertical="center" wrapText="1"/>
    </xf>
    <xf numFmtId="0" fontId="2" fillId="0" borderId="23" xfId="0" applyFont="1" applyBorder="1"/>
    <xf numFmtId="0" fontId="5" fillId="6" borderId="24" xfId="0" applyFont="1" applyFill="1" applyBorder="1" applyAlignment="1">
      <alignment horizontal="left" vertical="center" wrapText="1"/>
    </xf>
    <xf numFmtId="0" fontId="5" fillId="9" borderId="25" xfId="0" applyFont="1" applyFill="1" applyBorder="1" applyAlignment="1">
      <alignment horizontal="left" vertical="center" wrapText="1"/>
    </xf>
    <xf numFmtId="0" fontId="2" fillId="0" borderId="26" xfId="0" applyFont="1" applyBorder="1"/>
    <xf numFmtId="0" fontId="2" fillId="0" borderId="27" xfId="0" applyFont="1" applyBorder="1"/>
    <xf numFmtId="0" fontId="6" fillId="9" borderId="28" xfId="0" applyFont="1" applyFill="1" applyBorder="1" applyAlignment="1">
      <alignment horizontal="center" vertical="center" wrapText="1"/>
    </xf>
    <xf numFmtId="0" fontId="6" fillId="11" borderId="28" xfId="0" applyFont="1" applyFill="1" applyBorder="1" applyAlignment="1">
      <alignment horizontal="center" vertical="center" wrapText="1"/>
    </xf>
    <xf numFmtId="3" fontId="6" fillId="9" borderId="29" xfId="0" applyNumberFormat="1" applyFont="1" applyFill="1" applyBorder="1" applyAlignment="1">
      <alignment horizontal="center" vertical="center" wrapText="1"/>
    </xf>
    <xf numFmtId="0" fontId="2" fillId="0" borderId="30" xfId="0" applyFont="1" applyBorder="1"/>
    <xf numFmtId="10" fontId="6" fillId="11" borderId="28" xfId="0" applyNumberFormat="1" applyFont="1" applyFill="1" applyBorder="1" applyAlignment="1">
      <alignment horizontal="center" vertical="center" wrapText="1"/>
    </xf>
    <xf numFmtId="0" fontId="2" fillId="0" borderId="31" xfId="0" applyFont="1" applyBorder="1"/>
    <xf numFmtId="0" fontId="5" fillId="6" borderId="32" xfId="0" applyFont="1" applyFill="1" applyBorder="1" applyAlignment="1">
      <alignment horizontal="left" vertical="center" wrapText="1"/>
    </xf>
    <xf numFmtId="0" fontId="5" fillId="9" borderId="33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34" xfId="0" applyFont="1" applyFill="1" applyBorder="1" applyAlignment="1">
      <alignment horizontal="left" vertical="center" wrapText="1"/>
    </xf>
    <xf numFmtId="0" fontId="6" fillId="2" borderId="26" xfId="0" applyFont="1" applyFill="1" applyBorder="1" applyAlignment="1">
      <alignment horizontal="left" vertical="center" wrapText="1"/>
    </xf>
    <xf numFmtId="0" fontId="2" fillId="0" borderId="35" xfId="0" applyFont="1" applyBorder="1"/>
    <xf numFmtId="0" fontId="2" fillId="0" borderId="36" xfId="0" applyFont="1" applyBorder="1"/>
    <xf numFmtId="0" fontId="5" fillId="12" borderId="18" xfId="0" applyFont="1" applyFill="1" applyBorder="1" applyAlignment="1">
      <alignment horizontal="left" vertical="center" wrapText="1"/>
    </xf>
    <xf numFmtId="0" fontId="5" fillId="12" borderId="19" xfId="0" applyFont="1" applyFill="1" applyBorder="1" applyAlignment="1">
      <alignment horizontal="left" vertical="center" wrapText="1"/>
    </xf>
    <xf numFmtId="0" fontId="2" fillId="0" borderId="37" xfId="0" applyFont="1" applyBorder="1"/>
    <xf numFmtId="0" fontId="2" fillId="0" borderId="38" xfId="0" applyFont="1" applyBorder="1"/>
    <xf numFmtId="0" fontId="2" fillId="0" borderId="39" xfId="0" applyFont="1" applyBorder="1"/>
    <xf numFmtId="0" fontId="5" fillId="0" borderId="0" xfId="0" applyFont="1" applyAlignment="1">
      <alignment horizontal="left" vertical="center" wrapText="1"/>
    </xf>
    <xf numFmtId="0" fontId="5" fillId="12" borderId="17" xfId="0" applyFont="1" applyFill="1" applyBorder="1" applyAlignment="1">
      <alignment horizontal="left" vertical="center" wrapText="1"/>
    </xf>
    <xf numFmtId="0" fontId="5" fillId="6" borderId="40" xfId="0" applyFont="1" applyFill="1" applyBorder="1" applyAlignment="1">
      <alignment horizontal="left" vertical="center" wrapText="1"/>
    </xf>
    <xf numFmtId="0" fontId="2" fillId="0" borderId="41" xfId="0" applyFont="1" applyBorder="1"/>
    <xf numFmtId="0" fontId="2" fillId="0" borderId="34" xfId="0" applyFont="1" applyBorder="1"/>
    <xf numFmtId="0" fontId="7" fillId="0" borderId="0" xfId="0" applyFont="1"/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6" borderId="42" xfId="0" applyFont="1" applyFill="1" applyBorder="1" applyAlignment="1">
      <alignment horizontal="left" vertical="center" wrapText="1"/>
    </xf>
    <xf numFmtId="0" fontId="2" fillId="0" borderId="43" xfId="0" applyFont="1" applyBorder="1"/>
    <xf numFmtId="0" fontId="3" fillId="0" borderId="42" xfId="0" applyFont="1" applyBorder="1" applyAlignment="1">
      <alignment horizontal="left" vertical="center" wrapText="1"/>
    </xf>
    <xf numFmtId="0" fontId="2" fillId="0" borderId="44" xfId="0" applyFont="1" applyBorder="1"/>
    <xf numFmtId="0" fontId="3" fillId="0" borderId="42" xfId="0" applyFont="1" applyBorder="1" applyAlignment="1">
      <alignment vertical="center"/>
    </xf>
    <xf numFmtId="0" fontId="3" fillId="0" borderId="45" xfId="0" applyFont="1" applyBorder="1" applyAlignment="1">
      <alignment vertical="center"/>
    </xf>
    <xf numFmtId="0" fontId="3" fillId="0" borderId="42" xfId="0" applyFont="1" applyBorder="1" applyAlignment="1">
      <alignment horizontal="left" vertical="center"/>
    </xf>
    <xf numFmtId="0" fontId="3" fillId="0" borderId="45" xfId="0" quotePrefix="1" applyFont="1" applyBorder="1" applyAlignment="1">
      <alignment horizontal="left" vertical="center"/>
    </xf>
    <xf numFmtId="0" fontId="5" fillId="5" borderId="42" xfId="0" applyFont="1" applyFill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13" borderId="45" xfId="0" applyFont="1" applyFill="1" applyBorder="1" applyAlignment="1">
      <alignment vertical="center"/>
    </xf>
    <xf numFmtId="0" fontId="3" fillId="8" borderId="46" xfId="0" applyFont="1" applyFill="1" applyBorder="1" applyAlignment="1">
      <alignment horizontal="left" vertical="center" wrapText="1"/>
    </xf>
    <xf numFmtId="0" fontId="2" fillId="0" borderId="47" xfId="0" applyFont="1" applyBorder="1"/>
    <xf numFmtId="0" fontId="2" fillId="0" borderId="48" xfId="0" applyFont="1" applyBorder="1"/>
    <xf numFmtId="0" fontId="4" fillId="10" borderId="49" xfId="0" applyFont="1" applyFill="1" applyBorder="1" applyAlignment="1">
      <alignment horizontal="left" vertical="center" wrapText="1"/>
    </xf>
    <xf numFmtId="0" fontId="4" fillId="8" borderId="42" xfId="0" applyFont="1" applyFill="1" applyBorder="1" applyAlignment="1">
      <alignment vertical="center"/>
    </xf>
    <xf numFmtId="0" fontId="4" fillId="10" borderId="45" xfId="0" applyFont="1" applyFill="1" applyBorder="1" applyAlignment="1">
      <alignment vertical="center"/>
    </xf>
    <xf numFmtId="0" fontId="4" fillId="10" borderId="42" xfId="0" applyFont="1" applyFill="1" applyBorder="1" applyAlignment="1">
      <alignment vertical="center"/>
    </xf>
    <xf numFmtId="10" fontId="4" fillId="10" borderId="42" xfId="0" applyNumberFormat="1" applyFont="1" applyFill="1" applyBorder="1" applyAlignment="1">
      <alignment horizontal="left" vertical="center"/>
    </xf>
    <xf numFmtId="0" fontId="4" fillId="10" borderId="45" xfId="0" applyFont="1" applyFill="1" applyBorder="1" applyAlignment="1">
      <alignment horizontal="left" vertical="center"/>
    </xf>
    <xf numFmtId="0" fontId="5" fillId="13" borderId="42" xfId="0" applyFont="1" applyFill="1" applyBorder="1" applyAlignment="1">
      <alignment vertical="center"/>
    </xf>
    <xf numFmtId="0" fontId="4" fillId="0" borderId="49" xfId="0" applyFont="1" applyBorder="1" applyAlignment="1">
      <alignment vertical="center"/>
    </xf>
    <xf numFmtId="0" fontId="2" fillId="0" borderId="50" xfId="0" applyFont="1" applyBorder="1"/>
    <xf numFmtId="0" fontId="0" fillId="0" borderId="0" xfId="0"/>
    <xf numFmtId="0" fontId="2" fillId="0" borderId="51" xfId="0" applyFont="1" applyBorder="1"/>
    <xf numFmtId="0" fontId="2" fillId="0" borderId="52" xfId="0" applyFont="1" applyBorder="1"/>
    <xf numFmtId="0" fontId="4" fillId="8" borderId="46" xfId="0" applyFont="1" applyFill="1" applyBorder="1" applyAlignment="1">
      <alignment vertical="center"/>
    </xf>
    <xf numFmtId="0" fontId="4" fillId="7" borderId="49" xfId="0" applyFont="1" applyFill="1" applyBorder="1" applyAlignment="1">
      <alignment vertical="center"/>
    </xf>
    <xf numFmtId="0" fontId="4" fillId="7" borderId="42" xfId="0" applyFont="1" applyFill="1" applyBorder="1" applyAlignment="1">
      <alignment vertical="center"/>
    </xf>
    <xf numFmtId="0" fontId="4" fillId="7" borderId="45" xfId="0" applyFont="1" applyFill="1" applyBorder="1" applyAlignment="1">
      <alignment vertical="center"/>
    </xf>
    <xf numFmtId="0" fontId="4" fillId="7" borderId="45" xfId="0" applyFont="1" applyFill="1" applyBorder="1" applyAlignment="1">
      <alignment horizontal="left" vertical="center" wrapText="1"/>
    </xf>
    <xf numFmtId="10" fontId="4" fillId="7" borderId="42" xfId="0" applyNumberFormat="1" applyFont="1" applyFill="1" applyBorder="1" applyAlignment="1">
      <alignment horizontal="left" vertical="center"/>
    </xf>
    <xf numFmtId="0" fontId="4" fillId="7" borderId="45" xfId="0" quotePrefix="1" applyFont="1" applyFill="1" applyBorder="1" applyAlignment="1">
      <alignment horizontal="left" vertical="center"/>
    </xf>
    <xf numFmtId="0" fontId="6" fillId="7" borderId="42" xfId="0" applyFont="1" applyFill="1" applyBorder="1" applyAlignment="1">
      <alignment vertical="center" wrapText="1"/>
    </xf>
    <xf numFmtId="0" fontId="2" fillId="0" borderId="53" xfId="0" applyFont="1" applyBorder="1"/>
    <xf numFmtId="0" fontId="2" fillId="0" borderId="54" xfId="0" applyFont="1" applyBorder="1"/>
    <xf numFmtId="0" fontId="2" fillId="0" borderId="55" xfId="0" applyFont="1" applyBorder="1"/>
    <xf numFmtId="0" fontId="2" fillId="0" borderId="56" xfId="0" applyFont="1" applyBorder="1"/>
    <xf numFmtId="0" fontId="3" fillId="12" borderId="46" xfId="0" applyFont="1" applyFill="1" applyBorder="1" applyAlignment="1">
      <alignment horizontal="left" vertical="center" wrapText="1"/>
    </xf>
    <xf numFmtId="10" fontId="4" fillId="10" borderId="45" xfId="0" applyNumberFormat="1" applyFont="1" applyFill="1" applyBorder="1" applyAlignment="1">
      <alignment horizontal="left" vertical="center"/>
    </xf>
    <xf numFmtId="0" fontId="4" fillId="12" borderId="46" xfId="0" applyFont="1" applyFill="1" applyBorder="1" applyAlignment="1">
      <alignment vertical="center"/>
    </xf>
    <xf numFmtId="0" fontId="5" fillId="6" borderId="42" xfId="0" applyFont="1" applyFill="1" applyBorder="1" applyAlignment="1">
      <alignment horizontal="left" vertical="center" wrapText="1"/>
    </xf>
    <xf numFmtId="0" fontId="4" fillId="0" borderId="45" xfId="0" applyFont="1" applyBorder="1" applyAlignment="1">
      <alignment vertical="center"/>
    </xf>
    <xf numFmtId="0" fontId="3" fillId="0" borderId="45" xfId="0" applyFont="1" applyBorder="1" applyAlignment="1">
      <alignment horizontal="left" vertical="center"/>
    </xf>
    <xf numFmtId="0" fontId="4" fillId="11" borderId="49" xfId="0" applyFont="1" applyFill="1" applyBorder="1" applyAlignment="1">
      <alignment horizontal="left" vertical="center" wrapText="1"/>
    </xf>
    <xf numFmtId="0" fontId="4" fillId="11" borderId="42" xfId="0" applyFont="1" applyFill="1" applyBorder="1" applyAlignment="1">
      <alignment vertical="center"/>
    </xf>
    <xf numFmtId="0" fontId="4" fillId="11" borderId="45" xfId="0" applyFont="1" applyFill="1" applyBorder="1" applyAlignment="1">
      <alignment vertical="center"/>
    </xf>
    <xf numFmtId="10" fontId="4" fillId="11" borderId="42" xfId="0" applyNumberFormat="1" applyFont="1" applyFill="1" applyBorder="1" applyAlignment="1">
      <alignment horizontal="left" vertical="center"/>
    </xf>
    <xf numFmtId="10" fontId="4" fillId="11" borderId="45" xfId="0" applyNumberFormat="1" applyFont="1" applyFill="1" applyBorder="1" applyAlignment="1">
      <alignment horizontal="left" vertical="center"/>
    </xf>
    <xf numFmtId="0" fontId="4" fillId="7" borderId="46" xfId="0" applyFont="1" applyFill="1" applyBorder="1" applyAlignment="1">
      <alignment vertical="center"/>
    </xf>
    <xf numFmtId="0" fontId="6" fillId="7" borderId="46" xfId="0" applyFont="1" applyFill="1" applyBorder="1" applyAlignment="1">
      <alignment vertical="center" wrapText="1"/>
    </xf>
    <xf numFmtId="0" fontId="3" fillId="5" borderId="46" xfId="0" applyFont="1" applyFill="1" applyBorder="1" applyAlignment="1">
      <alignment horizontal="left" vertical="center" wrapText="1"/>
    </xf>
    <xf numFmtId="10" fontId="4" fillId="11" borderId="46" xfId="0" applyNumberFormat="1" applyFont="1" applyFill="1" applyBorder="1" applyAlignment="1">
      <alignment horizontal="left" vertical="center"/>
    </xf>
    <xf numFmtId="0" fontId="5" fillId="6" borderId="45" xfId="0" applyFont="1" applyFill="1" applyBorder="1" applyAlignment="1">
      <alignment horizontal="left" vertical="center" wrapText="1"/>
    </xf>
    <xf numFmtId="0" fontId="4" fillId="11" borderId="49" xfId="0" applyFont="1" applyFill="1" applyBorder="1" applyAlignment="1">
      <alignment horizontal="left" vertical="center" wrapText="1"/>
    </xf>
    <xf numFmtId="0" fontId="7" fillId="12" borderId="0" xfId="0" applyFont="1" applyFill="1"/>
    <xf numFmtId="0" fontId="7" fillId="8" borderId="0" xfId="0" applyFont="1" applyFill="1"/>
    <xf numFmtId="0" fontId="3" fillId="13" borderId="42" xfId="0" applyFont="1" applyFill="1" applyBorder="1" applyAlignment="1">
      <alignment vertical="center"/>
    </xf>
    <xf numFmtId="0" fontId="5" fillId="5" borderId="57" xfId="0" applyFont="1" applyFill="1" applyBorder="1" applyAlignment="1">
      <alignment horizontal="left" vertical="center" wrapText="1"/>
    </xf>
    <xf numFmtId="0" fontId="2" fillId="0" borderId="57" xfId="0" applyFont="1" applyBorder="1"/>
    <xf numFmtId="0" fontId="2" fillId="0" borderId="17" xfId="0" applyFont="1" applyBorder="1"/>
    <xf numFmtId="0" fontId="7" fillId="7" borderId="55" xfId="0" applyFont="1" applyFill="1" applyBorder="1" applyAlignment="1">
      <alignment vertical="center"/>
    </xf>
    <xf numFmtId="0" fontId="7" fillId="2" borderId="0" xfId="0" applyFont="1" applyFill="1"/>
    <xf numFmtId="0" fontId="7" fillId="2" borderId="0" xfId="0" applyFont="1" applyFill="1"/>
    <xf numFmtId="0" fontId="4" fillId="11" borderId="46" xfId="0" applyFont="1" applyFill="1" applyBorder="1" applyAlignment="1">
      <alignment horizontal="left" vertical="center" wrapText="1"/>
    </xf>
    <xf numFmtId="20" fontId="4" fillId="0" borderId="45" xfId="0" applyNumberFormat="1" applyFont="1" applyBorder="1" applyAlignment="1">
      <alignment vertical="center"/>
    </xf>
    <xf numFmtId="0" fontId="7" fillId="0" borderId="0" xfId="0" applyFont="1"/>
    <xf numFmtId="0" fontId="6" fillId="14" borderId="0" xfId="0" applyFont="1" applyFill="1" applyAlignment="1">
      <alignment horizontal="left" vertical="center" wrapText="1"/>
    </xf>
    <xf numFmtId="0" fontId="5" fillId="14" borderId="0" xfId="0" applyFont="1" applyFill="1" applyAlignment="1">
      <alignment horizontal="left" vertical="center" wrapText="1"/>
    </xf>
    <xf numFmtId="0" fontId="6" fillId="14" borderId="0" xfId="0" applyFont="1" applyFill="1" applyAlignment="1">
      <alignment horizontal="center" vertical="center" wrapText="1"/>
    </xf>
    <xf numFmtId="3" fontId="6" fillId="14" borderId="0" xfId="0" applyNumberFormat="1" applyFont="1" applyFill="1" applyAlignment="1">
      <alignment horizontal="center" vertical="center" wrapText="1"/>
    </xf>
    <xf numFmtId="0" fontId="6" fillId="9" borderId="15" xfId="0" applyFont="1" applyFill="1" applyBorder="1" applyAlignment="1">
      <alignment horizontal="center" vertical="center" wrapText="1"/>
    </xf>
    <xf numFmtId="0" fontId="5" fillId="9" borderId="16" xfId="0" applyFont="1" applyFill="1" applyBorder="1" applyAlignment="1">
      <alignment horizontal="left" vertical="center" wrapText="1"/>
    </xf>
    <xf numFmtId="0" fontId="5" fillId="8" borderId="58" xfId="0" applyFont="1" applyFill="1" applyBorder="1" applyAlignment="1">
      <alignment horizontal="left" vertical="center" wrapText="1"/>
    </xf>
    <xf numFmtId="0" fontId="6" fillId="9" borderId="32" xfId="0" applyFont="1" applyFill="1" applyBorder="1" applyAlignment="1">
      <alignment horizontal="center" vertical="center" wrapText="1"/>
    </xf>
    <xf numFmtId="0" fontId="6" fillId="9" borderId="49" xfId="0" applyFont="1" applyFill="1" applyBorder="1" applyAlignment="1">
      <alignment horizontal="center" vertical="center" wrapText="1"/>
    </xf>
    <xf numFmtId="0" fontId="6" fillId="11" borderId="49" xfId="0" applyFont="1" applyFill="1" applyBorder="1" applyAlignment="1">
      <alignment horizontal="center" vertical="center" wrapText="1"/>
    </xf>
    <xf numFmtId="3" fontId="6" fillId="9" borderId="46" xfId="0" applyNumberFormat="1" applyFont="1" applyFill="1" applyBorder="1" applyAlignment="1">
      <alignment horizontal="center" vertical="center" wrapText="1"/>
    </xf>
    <xf numFmtId="10" fontId="6" fillId="11" borderId="49" xfId="0" applyNumberFormat="1" applyFont="1" applyFill="1" applyBorder="1" applyAlignment="1">
      <alignment horizontal="center" vertical="center" wrapText="1"/>
    </xf>
    <xf numFmtId="0" fontId="2" fillId="0" borderId="59" xfId="0" applyFont="1" applyBorder="1"/>
    <xf numFmtId="0" fontId="2" fillId="0" borderId="60" xfId="0" applyFont="1" applyBorder="1"/>
    <xf numFmtId="0" fontId="2" fillId="0" borderId="61" xfId="0" applyFont="1" applyBorder="1"/>
    <xf numFmtId="0" fontId="2" fillId="0" borderId="62" xfId="0" applyFont="1" applyBorder="1"/>
    <xf numFmtId="0" fontId="2" fillId="0" borderId="63" xfId="0" applyFont="1" applyBorder="1"/>
    <xf numFmtId="0" fontId="3" fillId="6" borderId="15" xfId="0" applyFont="1" applyFill="1" applyBorder="1" applyAlignment="1">
      <alignment horizontal="left" vertical="center" wrapText="1"/>
    </xf>
    <xf numFmtId="0" fontId="3" fillId="13" borderId="20" xfId="0" applyFont="1" applyFill="1" applyBorder="1" applyAlignment="1">
      <alignment vertical="center"/>
    </xf>
    <xf numFmtId="0" fontId="3" fillId="13" borderId="16" xfId="0" applyFont="1" applyFill="1" applyBorder="1" applyAlignment="1">
      <alignment vertical="center"/>
    </xf>
    <xf numFmtId="0" fontId="3" fillId="0" borderId="15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21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2" fillId="0" borderId="64" xfId="0" applyFont="1" applyBorder="1"/>
    <xf numFmtId="0" fontId="3" fillId="0" borderId="21" xfId="0" applyFont="1" applyBorder="1" applyAlignment="1">
      <alignment horizontal="left" vertical="center"/>
    </xf>
    <xf numFmtId="0" fontId="3" fillId="0" borderId="21" xfId="0" quotePrefix="1" applyFont="1" applyBorder="1" applyAlignment="1">
      <alignment horizontal="left" vertical="center"/>
    </xf>
    <xf numFmtId="0" fontId="5" fillId="5" borderId="65" xfId="0" applyFont="1" applyFill="1" applyBorder="1" applyAlignment="1">
      <alignment vertical="center"/>
    </xf>
    <xf numFmtId="0" fontId="3" fillId="6" borderId="24" xfId="0" applyFont="1" applyFill="1" applyBorder="1" applyAlignment="1">
      <alignment horizontal="left" vertical="center" wrapText="1"/>
    </xf>
    <xf numFmtId="0" fontId="4" fillId="0" borderId="25" xfId="0" applyFont="1" applyBorder="1" applyAlignment="1">
      <alignment vertical="center"/>
    </xf>
    <xf numFmtId="0" fontId="3" fillId="8" borderId="24" xfId="0" applyFont="1" applyFill="1" applyBorder="1" applyAlignment="1">
      <alignment horizontal="left" vertical="center" wrapText="1"/>
    </xf>
    <xf numFmtId="0" fontId="4" fillId="8" borderId="42" xfId="0" applyFont="1" applyFill="1" applyBorder="1" applyAlignment="1">
      <alignment vertical="center"/>
    </xf>
    <xf numFmtId="0" fontId="4" fillId="10" borderId="42" xfId="0" applyFont="1" applyFill="1" applyBorder="1" applyAlignment="1">
      <alignment horizontal="left" vertical="center"/>
    </xf>
    <xf numFmtId="0" fontId="5" fillId="9" borderId="66" xfId="0" applyFont="1" applyFill="1" applyBorder="1" applyAlignment="1">
      <alignment horizontal="left" vertical="center" wrapText="1"/>
    </xf>
    <xf numFmtId="0" fontId="2" fillId="0" borderId="67" xfId="0" applyFont="1" applyBorder="1"/>
    <xf numFmtId="0" fontId="4" fillId="7" borderId="42" xfId="0" quotePrefix="1" applyFont="1" applyFill="1" applyBorder="1" applyAlignment="1">
      <alignment horizontal="left" vertical="center"/>
    </xf>
    <xf numFmtId="0" fontId="3" fillId="6" borderId="32" xfId="0" applyFont="1" applyFill="1" applyBorder="1" applyAlignment="1">
      <alignment horizontal="left" vertical="center" wrapText="1"/>
    </xf>
    <xf numFmtId="0" fontId="4" fillId="0" borderId="33" xfId="0" applyFont="1" applyBorder="1" applyAlignment="1">
      <alignment vertical="center"/>
    </xf>
    <xf numFmtId="0" fontId="3" fillId="12" borderId="24" xfId="0" applyFont="1" applyFill="1" applyBorder="1" applyAlignment="1">
      <alignment horizontal="left" vertical="center" wrapText="1"/>
    </xf>
    <xf numFmtId="0" fontId="4" fillId="11" borderId="42" xfId="0" applyFont="1" applyFill="1" applyBorder="1" applyAlignment="1">
      <alignment vertical="center"/>
    </xf>
    <xf numFmtId="10" fontId="4" fillId="11" borderId="42" xfId="0" applyNumberFormat="1" applyFont="1" applyFill="1" applyBorder="1" applyAlignment="1">
      <alignment horizontal="left" vertical="center"/>
    </xf>
    <xf numFmtId="0" fontId="5" fillId="9" borderId="40" xfId="0" applyFont="1" applyFill="1" applyBorder="1" applyAlignment="1">
      <alignment horizontal="left" vertical="center" wrapText="1"/>
    </xf>
    <xf numFmtId="0" fontId="3" fillId="12" borderId="68" xfId="0" applyFont="1" applyFill="1" applyBorder="1" applyAlignment="1">
      <alignment horizontal="left" vertical="center" wrapText="1"/>
    </xf>
    <xf numFmtId="0" fontId="4" fillId="7" borderId="29" xfId="0" applyFont="1" applyFill="1" applyBorder="1" applyAlignment="1">
      <alignment vertical="center"/>
    </xf>
    <xf numFmtId="0" fontId="4" fillId="7" borderId="28" xfId="0" applyFont="1" applyFill="1" applyBorder="1" applyAlignment="1">
      <alignment vertical="center"/>
    </xf>
    <xf numFmtId="0" fontId="4" fillId="7" borderId="29" xfId="0" applyFont="1" applyFill="1" applyBorder="1" applyAlignment="1">
      <alignment vertical="center"/>
    </xf>
    <xf numFmtId="0" fontId="2" fillId="0" borderId="69" xfId="0" applyFont="1" applyBorder="1"/>
    <xf numFmtId="0" fontId="4" fillId="7" borderId="28" xfId="0" applyFont="1" applyFill="1" applyBorder="1" applyAlignment="1">
      <alignment horizontal="left" vertical="center" wrapText="1"/>
    </xf>
    <xf numFmtId="10" fontId="4" fillId="7" borderId="29" xfId="0" applyNumberFormat="1" applyFont="1" applyFill="1" applyBorder="1" applyAlignment="1">
      <alignment horizontal="left" vertical="center"/>
    </xf>
    <xf numFmtId="0" fontId="4" fillId="7" borderId="29" xfId="0" quotePrefix="1" applyFont="1" applyFill="1" applyBorder="1" applyAlignment="1">
      <alignment horizontal="left" vertical="center"/>
    </xf>
    <xf numFmtId="0" fontId="2" fillId="0" borderId="70" xfId="0" applyFont="1" applyBorder="1"/>
    <xf numFmtId="0" fontId="8" fillId="2" borderId="1" xfId="0" applyFont="1" applyFill="1" applyBorder="1" applyAlignment="1">
      <alignment horizontal="left" vertical="center" wrapText="1"/>
    </xf>
    <xf numFmtId="0" fontId="9" fillId="3" borderId="46" xfId="0" applyFont="1" applyFill="1" applyBorder="1" applyAlignment="1">
      <alignment horizontal="center" vertical="center" wrapText="1"/>
    </xf>
    <xf numFmtId="0" fontId="9" fillId="3" borderId="49" xfId="0" applyFont="1" applyFill="1" applyBorder="1" applyAlignment="1">
      <alignment horizontal="center" vertical="center" wrapText="1"/>
    </xf>
    <xf numFmtId="0" fontId="9" fillId="3" borderId="45" xfId="0" applyFont="1" applyFill="1" applyBorder="1" applyAlignment="1">
      <alignment horizontal="center" vertical="center" wrapText="1"/>
    </xf>
    <xf numFmtId="0" fontId="9" fillId="4" borderId="45" xfId="0" applyFont="1" applyFill="1" applyBorder="1" applyAlignment="1">
      <alignment horizontal="center" vertical="center" wrapText="1"/>
    </xf>
    <xf numFmtId="0" fontId="9" fillId="5" borderId="45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8" borderId="57" xfId="0" applyFont="1" applyFill="1" applyBorder="1" applyAlignment="1">
      <alignment horizontal="left" vertical="center" wrapText="1"/>
    </xf>
    <xf numFmtId="3" fontId="6" fillId="9" borderId="20" xfId="0" applyNumberFormat="1" applyFont="1" applyFill="1" applyBorder="1" applyAlignment="1">
      <alignment horizontal="center" vertical="center" wrapText="1"/>
    </xf>
    <xf numFmtId="3" fontId="6" fillId="9" borderId="16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0" borderId="0" xfId="0" applyFont="1"/>
    <xf numFmtId="3" fontId="6" fillId="9" borderId="28" xfId="0" applyNumberFormat="1" applyFont="1" applyFill="1" applyBorder="1" applyAlignment="1">
      <alignment horizontal="center" vertical="center" wrapText="1"/>
    </xf>
    <xf numFmtId="3" fontId="6" fillId="9" borderId="71" xfId="0" applyNumberFormat="1" applyFont="1" applyFill="1" applyBorder="1" applyAlignment="1">
      <alignment horizontal="center" vertical="center" wrapText="1"/>
    </xf>
    <xf numFmtId="0" fontId="5" fillId="12" borderId="57" xfId="0" applyFont="1" applyFill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5" fillId="6" borderId="65" xfId="0" applyFont="1" applyFill="1" applyBorder="1" applyAlignment="1">
      <alignment horizontal="left" vertical="center" wrapText="1"/>
    </xf>
    <xf numFmtId="0" fontId="5" fillId="5" borderId="19" xfId="0" applyFont="1" applyFill="1" applyBorder="1" applyAlignment="1">
      <alignment horizontal="left" vertical="center" wrapText="1"/>
    </xf>
    <xf numFmtId="0" fontId="5" fillId="5" borderId="19" xfId="0" applyFont="1" applyFill="1" applyBorder="1" applyAlignment="1">
      <alignment horizontal="left" vertical="center" wrapText="1"/>
    </xf>
    <xf numFmtId="0" fontId="5" fillId="5" borderId="72" xfId="0" applyFont="1" applyFill="1" applyBorder="1" applyAlignment="1">
      <alignment horizontal="left" vertical="center" wrapText="1"/>
    </xf>
    <xf numFmtId="0" fontId="5" fillId="5" borderId="73" xfId="0" applyFont="1" applyFill="1" applyBorder="1" applyAlignment="1">
      <alignment vertical="center" wrapText="1"/>
    </xf>
    <xf numFmtId="0" fontId="5" fillId="5" borderId="72" xfId="0" applyFont="1" applyFill="1" applyBorder="1" applyAlignment="1">
      <alignment vertical="center" wrapText="1"/>
    </xf>
    <xf numFmtId="0" fontId="5" fillId="5" borderId="72" xfId="0" applyFont="1" applyFill="1" applyBorder="1" applyAlignment="1">
      <alignment horizontal="left" vertical="center" wrapText="1"/>
    </xf>
    <xf numFmtId="0" fontId="5" fillId="5" borderId="73" xfId="0" applyFont="1" applyFill="1" applyBorder="1" applyAlignment="1">
      <alignment horizontal="left" vertical="center" wrapText="1"/>
    </xf>
    <xf numFmtId="0" fontId="5" fillId="5" borderId="72" xfId="0" applyFont="1" applyFill="1" applyBorder="1" applyAlignment="1">
      <alignment vertical="center" wrapText="1"/>
    </xf>
    <xf numFmtId="0" fontId="5" fillId="13" borderId="24" xfId="0" applyFont="1" applyFill="1" applyBorder="1" applyAlignment="1">
      <alignment vertical="center" wrapText="1"/>
    </xf>
    <xf numFmtId="0" fontId="5" fillId="13" borderId="42" xfId="0" applyFont="1" applyFill="1" applyBorder="1" applyAlignment="1">
      <alignment vertical="center" wrapText="1"/>
    </xf>
    <xf numFmtId="0" fontId="5" fillId="8" borderId="40" xfId="0" applyFont="1" applyFill="1" applyBorder="1" applyAlignment="1">
      <alignment horizontal="left" vertical="center" wrapText="1"/>
    </xf>
    <xf numFmtId="0" fontId="5" fillId="8" borderId="42" xfId="0" applyFont="1" applyFill="1" applyBorder="1" applyAlignment="1">
      <alignment vertical="center" wrapText="1"/>
    </xf>
    <xf numFmtId="0" fontId="6" fillId="10" borderId="45" xfId="0" applyFont="1" applyFill="1" applyBorder="1" applyAlignment="1">
      <alignment vertical="center" wrapText="1"/>
    </xf>
    <xf numFmtId="0" fontId="6" fillId="10" borderId="42" xfId="0" applyFont="1" applyFill="1" applyBorder="1" applyAlignment="1">
      <alignment vertical="center" wrapText="1"/>
    </xf>
    <xf numFmtId="0" fontId="6" fillId="10" borderId="42" xfId="0" applyFont="1" applyFill="1" applyBorder="1" applyAlignment="1">
      <alignment vertical="center" wrapText="1"/>
    </xf>
    <xf numFmtId="10" fontId="4" fillId="10" borderId="42" xfId="0" applyNumberFormat="1" applyFont="1" applyFill="1" applyBorder="1" applyAlignment="1">
      <alignment horizontal="left" vertical="center" wrapText="1"/>
    </xf>
    <xf numFmtId="10" fontId="4" fillId="10" borderId="42" xfId="0" applyNumberFormat="1" applyFont="1" applyFill="1" applyBorder="1" applyAlignment="1">
      <alignment horizontal="left" vertical="center" wrapText="1"/>
    </xf>
    <xf numFmtId="0" fontId="6" fillId="10" borderId="44" xfId="0" applyFont="1" applyFill="1" applyBorder="1" applyAlignment="1">
      <alignment vertical="center" wrapText="1"/>
    </xf>
    <xf numFmtId="0" fontId="6" fillId="0" borderId="68" xfId="0" applyFont="1" applyBorder="1" applyAlignment="1">
      <alignment vertical="center" wrapText="1"/>
    </xf>
    <xf numFmtId="0" fontId="6" fillId="0" borderId="29" xfId="0" applyFont="1" applyBorder="1" applyAlignment="1">
      <alignment vertical="center" wrapText="1"/>
    </xf>
    <xf numFmtId="0" fontId="5" fillId="8" borderId="46" xfId="0" applyFont="1" applyFill="1" applyBorder="1" applyAlignment="1">
      <alignment vertical="center" wrapText="1"/>
    </xf>
    <xf numFmtId="0" fontId="6" fillId="10" borderId="49" xfId="0" applyFont="1" applyFill="1" applyBorder="1" applyAlignment="1">
      <alignment vertical="center" wrapText="1"/>
    </xf>
    <xf numFmtId="0" fontId="4" fillId="10" borderId="42" xfId="0" applyFont="1" applyFill="1" applyBorder="1" applyAlignment="1">
      <alignment horizontal="left" vertical="center" wrapText="1"/>
    </xf>
    <xf numFmtId="0" fontId="4" fillId="10" borderId="42" xfId="0" applyFont="1" applyFill="1" applyBorder="1" applyAlignment="1">
      <alignment horizontal="left" vertical="center" wrapText="1"/>
    </xf>
    <xf numFmtId="0" fontId="6" fillId="10" borderId="45" xfId="0" applyFont="1" applyFill="1" applyBorder="1" applyAlignment="1">
      <alignment horizontal="left" vertical="center" wrapText="1"/>
    </xf>
    <xf numFmtId="0" fontId="6" fillId="10" borderId="42" xfId="0" applyFont="1" applyFill="1" applyBorder="1" applyAlignment="1">
      <alignment horizontal="left" vertical="center" wrapText="1"/>
    </xf>
    <xf numFmtId="0" fontId="2" fillId="0" borderId="74" xfId="0" applyFont="1" applyBorder="1"/>
    <xf numFmtId="0" fontId="5" fillId="12" borderId="40" xfId="0" applyFont="1" applyFill="1" applyBorder="1" applyAlignment="1">
      <alignment horizontal="left" vertical="center" wrapText="1"/>
    </xf>
    <xf numFmtId="0" fontId="5" fillId="12" borderId="42" xfId="0" applyFont="1" applyFill="1" applyBorder="1" applyAlignment="1">
      <alignment vertical="center" wrapText="1"/>
    </xf>
    <xf numFmtId="0" fontId="6" fillId="11" borderId="45" xfId="0" applyFont="1" applyFill="1" applyBorder="1" applyAlignment="1">
      <alignment vertical="center" wrapText="1"/>
    </xf>
    <xf numFmtId="0" fontId="6" fillId="11" borderId="42" xfId="0" applyFont="1" applyFill="1" applyBorder="1" applyAlignment="1">
      <alignment vertical="center" wrapText="1"/>
    </xf>
    <xf numFmtId="0" fontId="6" fillId="11" borderId="42" xfId="0" applyFont="1" applyFill="1" applyBorder="1" applyAlignment="1">
      <alignment vertical="center" wrapText="1"/>
    </xf>
    <xf numFmtId="164" fontId="6" fillId="11" borderId="45" xfId="0" applyNumberFormat="1" applyFont="1" applyFill="1" applyBorder="1" applyAlignment="1">
      <alignment vertical="center" wrapText="1"/>
    </xf>
    <xf numFmtId="10" fontId="6" fillId="11" borderId="42" xfId="0" applyNumberFormat="1" applyFont="1" applyFill="1" applyBorder="1" applyAlignment="1">
      <alignment horizontal="left" vertical="center" wrapText="1"/>
    </xf>
    <xf numFmtId="10" fontId="6" fillId="11" borderId="42" xfId="0" applyNumberFormat="1" applyFont="1" applyFill="1" applyBorder="1" applyAlignment="1">
      <alignment horizontal="left" vertical="center" wrapText="1"/>
    </xf>
    <xf numFmtId="0" fontId="6" fillId="11" borderId="44" xfId="0" applyFont="1" applyFill="1" applyBorder="1" applyAlignment="1">
      <alignment vertical="center" wrapText="1"/>
    </xf>
    <xf numFmtId="0" fontId="5" fillId="12" borderId="46" xfId="0" applyFont="1" applyFill="1" applyBorder="1" applyAlignment="1">
      <alignment vertical="center" wrapText="1"/>
    </xf>
    <xf numFmtId="0" fontId="6" fillId="11" borderId="49" xfId="0" applyFont="1" applyFill="1" applyBorder="1" applyAlignment="1">
      <alignment vertical="center" wrapText="1"/>
    </xf>
    <xf numFmtId="0" fontId="6" fillId="11" borderId="45" xfId="0" applyFont="1" applyFill="1" applyBorder="1" applyAlignment="1">
      <alignment horizontal="left" vertical="center" wrapText="1"/>
    </xf>
    <xf numFmtId="0" fontId="6" fillId="11" borderId="42" xfId="0" applyFont="1" applyFill="1" applyBorder="1" applyAlignment="1">
      <alignment horizontal="left" vertical="center" wrapText="1"/>
    </xf>
    <xf numFmtId="0" fontId="6" fillId="11" borderId="29" xfId="0" applyFont="1" applyFill="1" applyBorder="1" applyAlignment="1">
      <alignment vertical="center" wrapText="1"/>
    </xf>
    <xf numFmtId="0" fontId="6" fillId="11" borderId="29" xfId="0" applyFont="1" applyFill="1" applyBorder="1" applyAlignment="1">
      <alignment vertical="center" wrapText="1"/>
    </xf>
    <xf numFmtId="164" fontId="6" fillId="11" borderId="28" xfId="0" applyNumberFormat="1" applyFont="1" applyFill="1" applyBorder="1" applyAlignment="1">
      <alignment vertical="center" wrapText="1"/>
    </xf>
    <xf numFmtId="10" fontId="6" fillId="11" borderId="29" xfId="0" applyNumberFormat="1" applyFont="1" applyFill="1" applyBorder="1" applyAlignment="1">
      <alignment horizontal="left" vertical="center" wrapText="1"/>
    </xf>
    <xf numFmtId="10" fontId="6" fillId="11" borderId="29" xfId="0" applyNumberFormat="1" applyFont="1" applyFill="1" applyBorder="1" applyAlignment="1">
      <alignment horizontal="left" vertical="center" wrapText="1"/>
    </xf>
    <xf numFmtId="0" fontId="6" fillId="11" borderId="69" xfId="0" applyFont="1" applyFill="1" applyBorder="1" applyAlignment="1">
      <alignment vertical="center" wrapText="1"/>
    </xf>
    <xf numFmtId="0" fontId="6" fillId="11" borderId="29" xfId="0" applyFont="1" applyFill="1" applyBorder="1" applyAlignment="1">
      <alignment horizontal="left" vertical="center" wrapText="1"/>
    </xf>
    <xf numFmtId="0" fontId="4" fillId="6" borderId="45" xfId="0" applyFont="1" applyFill="1" applyBorder="1" applyAlignment="1">
      <alignment horizontal="center" vertical="center" wrapText="1"/>
    </xf>
    <xf numFmtId="0" fontId="4" fillId="6" borderId="75" xfId="0" applyFont="1" applyFill="1" applyBorder="1" applyAlignment="1">
      <alignment horizontal="center" vertical="center" wrapText="1"/>
    </xf>
    <xf numFmtId="0" fontId="2" fillId="0" borderId="76" xfId="0" applyFont="1" applyBorder="1"/>
    <xf numFmtId="0" fontId="4" fillId="6" borderId="77" xfId="0" applyFont="1" applyFill="1" applyBorder="1" applyAlignment="1">
      <alignment horizontal="center" vertical="center" wrapText="1"/>
    </xf>
    <xf numFmtId="0" fontId="4" fillId="6" borderId="77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5" fillId="13" borderId="24" xfId="0" applyFont="1" applyFill="1" applyBorder="1" applyAlignment="1">
      <alignment vertical="center"/>
    </xf>
    <xf numFmtId="0" fontId="5" fillId="13" borderId="42" xfId="0" applyFont="1" applyFill="1" applyBorder="1" applyAlignment="1">
      <alignment vertical="center"/>
    </xf>
    <xf numFmtId="0" fontId="6" fillId="11" borderId="40" xfId="0" applyFont="1" applyFill="1" applyBorder="1" applyAlignment="1">
      <alignment horizontal="left" vertical="center" wrapText="1"/>
    </xf>
    <xf numFmtId="0" fontId="5" fillId="12" borderId="42" xfId="0" applyFont="1" applyFill="1" applyBorder="1" applyAlignment="1">
      <alignment vertical="center"/>
    </xf>
    <xf numFmtId="0" fontId="6" fillId="11" borderId="45" xfId="0" applyFont="1" applyFill="1" applyBorder="1" applyAlignment="1">
      <alignment vertical="center"/>
    </xf>
    <xf numFmtId="0" fontId="6" fillId="11" borderId="42" xfId="0" applyFont="1" applyFill="1" applyBorder="1" applyAlignment="1">
      <alignment vertical="center"/>
    </xf>
    <xf numFmtId="0" fontId="6" fillId="11" borderId="42" xfId="0" applyFont="1" applyFill="1" applyBorder="1" applyAlignment="1">
      <alignment vertical="center"/>
    </xf>
    <xf numFmtId="164" fontId="6" fillId="11" borderId="45" xfId="0" applyNumberFormat="1" applyFont="1" applyFill="1" applyBorder="1" applyAlignment="1">
      <alignment vertical="center"/>
    </xf>
    <xf numFmtId="10" fontId="6" fillId="11" borderId="42" xfId="0" applyNumberFormat="1" applyFont="1" applyFill="1" applyBorder="1" applyAlignment="1">
      <alignment horizontal="left" vertical="center"/>
    </xf>
    <xf numFmtId="0" fontId="5" fillId="8" borderId="49" xfId="0" applyFont="1" applyFill="1" applyBorder="1" applyAlignment="1">
      <alignment horizontal="left" vertical="center" wrapText="1"/>
    </xf>
    <xf numFmtId="0" fontId="5" fillId="8" borderId="45" xfId="0" applyFont="1" applyFill="1" applyBorder="1" applyAlignment="1">
      <alignment horizontal="left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75" xfId="0" applyFont="1" applyBorder="1" applyAlignment="1">
      <alignment horizontal="center" vertical="center" wrapText="1"/>
    </xf>
    <xf numFmtId="0" fontId="4" fillId="0" borderId="77" xfId="0" applyFont="1" applyBorder="1" applyAlignment="1">
      <alignment horizontal="center" vertical="center" wrapText="1"/>
    </xf>
    <xf numFmtId="0" fontId="4" fillId="0" borderId="77" xfId="0" applyFont="1" applyBorder="1" applyAlignment="1">
      <alignment horizontal="center" vertical="center"/>
    </xf>
    <xf numFmtId="0" fontId="6" fillId="0" borderId="68" xfId="0" applyFont="1" applyBorder="1" applyAlignment="1">
      <alignment vertical="center"/>
    </xf>
    <xf numFmtId="0" fontId="6" fillId="0" borderId="29" xfId="0" applyFont="1" applyBorder="1" applyAlignment="1">
      <alignment vertical="center"/>
    </xf>
    <xf numFmtId="0" fontId="5" fillId="12" borderId="46" xfId="0" applyFont="1" applyFill="1" applyBorder="1" applyAlignment="1">
      <alignment vertical="center"/>
    </xf>
    <xf numFmtId="0" fontId="6" fillId="11" borderId="49" xfId="0" applyFont="1" applyFill="1" applyBorder="1" applyAlignment="1">
      <alignment vertical="center"/>
    </xf>
    <xf numFmtId="0" fontId="6" fillId="11" borderId="42" xfId="0" quotePrefix="1" applyFont="1" applyFill="1" applyBorder="1" applyAlignment="1">
      <alignment vertical="center"/>
    </xf>
    <xf numFmtId="0" fontId="5" fillId="12" borderId="45" xfId="0" applyFont="1" applyFill="1" applyBorder="1" applyAlignment="1">
      <alignment horizontal="left" vertical="center" wrapText="1"/>
    </xf>
    <xf numFmtId="0" fontId="5" fillId="12" borderId="49" xfId="0" applyFont="1" applyFill="1" applyBorder="1" applyAlignment="1">
      <alignment horizontal="left" vertical="center" wrapText="1"/>
    </xf>
    <xf numFmtId="0" fontId="6" fillId="2" borderId="45" xfId="0" applyFont="1" applyFill="1" applyBorder="1" applyAlignment="1">
      <alignment horizontal="center" vertical="center" wrapText="1"/>
    </xf>
    <xf numFmtId="0" fontId="4" fillId="2" borderId="75" xfId="0" applyFont="1" applyFill="1" applyBorder="1" applyAlignment="1">
      <alignment horizontal="center" vertical="center"/>
    </xf>
    <xf numFmtId="0" fontId="4" fillId="0" borderId="78" xfId="0" applyFont="1" applyBorder="1" applyAlignment="1">
      <alignment wrapText="1"/>
    </xf>
    <xf numFmtId="0" fontId="5" fillId="8" borderId="42" xfId="0" applyFont="1" applyFill="1" applyBorder="1" applyAlignment="1">
      <alignment vertical="center"/>
    </xf>
    <xf numFmtId="0" fontId="6" fillId="10" borderId="45" xfId="0" applyFont="1" applyFill="1" applyBorder="1" applyAlignment="1">
      <alignment vertical="center"/>
    </xf>
    <xf numFmtId="0" fontId="6" fillId="10" borderId="42" xfId="0" applyFont="1" applyFill="1" applyBorder="1" applyAlignment="1">
      <alignment vertical="center"/>
    </xf>
    <xf numFmtId="0" fontId="6" fillId="10" borderId="42" xfId="0" applyFont="1" applyFill="1" applyBorder="1" applyAlignment="1">
      <alignment vertical="center"/>
    </xf>
    <xf numFmtId="10" fontId="4" fillId="10" borderId="42" xfId="0" applyNumberFormat="1" applyFont="1" applyFill="1" applyBorder="1" applyAlignment="1">
      <alignment horizontal="left" vertical="center"/>
    </xf>
    <xf numFmtId="0" fontId="5" fillId="8" borderId="46" xfId="0" applyFont="1" applyFill="1" applyBorder="1" applyAlignment="1">
      <alignment vertical="center"/>
    </xf>
    <xf numFmtId="0" fontId="6" fillId="10" borderId="49" xfId="0" applyFont="1" applyFill="1" applyBorder="1" applyAlignment="1">
      <alignment vertical="center"/>
    </xf>
    <xf numFmtId="0" fontId="6" fillId="10" borderId="42" xfId="0" quotePrefix="1" applyFont="1" applyFill="1" applyBorder="1" applyAlignment="1">
      <alignment vertical="center"/>
    </xf>
    <xf numFmtId="0" fontId="5" fillId="6" borderId="0" xfId="0" applyFont="1" applyFill="1" applyAlignment="1">
      <alignment horizontal="left" vertical="center" wrapText="1"/>
    </xf>
    <xf numFmtId="0" fontId="5" fillId="6" borderId="70" xfId="0" applyFont="1" applyFill="1" applyBorder="1" applyAlignment="1">
      <alignment horizontal="left" vertical="center" wrapText="1"/>
    </xf>
    <xf numFmtId="3" fontId="6" fillId="0" borderId="0" xfId="0" applyNumberFormat="1" applyFont="1" applyAlignment="1">
      <alignment horizontal="center" vertical="center" wrapText="1"/>
    </xf>
    <xf numFmtId="0" fontId="5" fillId="5" borderId="73" xfId="0" applyFont="1" applyFill="1" applyBorder="1" applyAlignment="1">
      <alignment vertical="center"/>
    </xf>
    <xf numFmtId="0" fontId="5" fillId="5" borderId="72" xfId="0" applyFont="1" applyFill="1" applyBorder="1" applyAlignment="1">
      <alignment vertical="center"/>
    </xf>
    <xf numFmtId="0" fontId="4" fillId="6" borderId="78" xfId="0" applyFont="1" applyFill="1" applyBorder="1" applyAlignment="1">
      <alignment horizontal="center" vertical="center"/>
    </xf>
    <xf numFmtId="0" fontId="4" fillId="6" borderId="77" xfId="0" applyFont="1" applyFill="1" applyBorder="1" applyAlignment="1">
      <alignment horizontal="center" vertical="center"/>
    </xf>
    <xf numFmtId="0" fontId="4" fillId="6" borderId="77" xfId="0" applyFont="1" applyFill="1" applyBorder="1" applyAlignment="1">
      <alignment horizontal="center" vertical="center"/>
    </xf>
    <xf numFmtId="0" fontId="4" fillId="6" borderId="78" xfId="0" applyFont="1" applyFill="1" applyBorder="1" applyAlignment="1">
      <alignment horizontal="center" vertical="center" wrapText="1"/>
    </xf>
    <xf numFmtId="0" fontId="4" fillId="0" borderId="78" xfId="0" applyFont="1" applyBorder="1" applyAlignment="1">
      <alignment horizontal="center" vertical="center" wrapText="1"/>
    </xf>
    <xf numFmtId="0" fontId="5" fillId="2" borderId="77" xfId="0" applyFont="1" applyFill="1" applyBorder="1" applyAlignment="1">
      <alignment horizontal="center" vertical="center" wrapText="1"/>
    </xf>
    <xf numFmtId="0" fontId="4" fillId="2" borderId="77" xfId="0" applyFont="1" applyFill="1" applyBorder="1" applyAlignment="1">
      <alignment horizontal="center" vertical="center"/>
    </xf>
    <xf numFmtId="0" fontId="5" fillId="2" borderId="77" xfId="0" applyFont="1" applyFill="1" applyBorder="1" applyAlignment="1">
      <alignment horizontal="center" vertical="center" wrapText="1"/>
    </xf>
    <xf numFmtId="0" fontId="5" fillId="14" borderId="0" xfId="0" applyFont="1" applyFill="1" applyAlignment="1">
      <alignment horizontal="left" vertical="center" wrapText="1"/>
    </xf>
    <xf numFmtId="0" fontId="6" fillId="9" borderId="16" xfId="0" applyFont="1" applyFill="1" applyBorder="1" applyAlignment="1">
      <alignment horizontal="center" vertical="center" wrapText="1"/>
    </xf>
    <xf numFmtId="0" fontId="6" fillId="9" borderId="71" xfId="0" applyFont="1" applyFill="1" applyBorder="1" applyAlignment="1">
      <alignment horizontal="center" vertical="center" wrapText="1"/>
    </xf>
    <xf numFmtId="0" fontId="6" fillId="11" borderId="42" xfId="0" applyFont="1" applyFill="1" applyBorder="1" applyAlignment="1">
      <alignment horizontal="left" vertical="center" wrapText="1"/>
    </xf>
    <xf numFmtId="0" fontId="6" fillId="11" borderId="29" xfId="0" applyFont="1" applyFill="1" applyBorder="1" applyAlignment="1">
      <alignment horizontal="left" vertical="center" wrapText="1"/>
    </xf>
    <xf numFmtId="0" fontId="9" fillId="3" borderId="46" xfId="0" applyFont="1" applyFill="1" applyBorder="1" applyAlignment="1">
      <alignment horizontal="center" vertical="center" wrapText="1"/>
    </xf>
    <xf numFmtId="0" fontId="9" fillId="3" borderId="48" xfId="0" applyFont="1" applyFill="1" applyBorder="1" applyAlignment="1">
      <alignment horizontal="center" vertical="center" wrapText="1"/>
    </xf>
    <xf numFmtId="0" fontId="9" fillId="3" borderId="42" xfId="0" applyFont="1" applyFill="1" applyBorder="1" applyAlignment="1">
      <alignment horizontal="center" vertical="center" wrapText="1"/>
    </xf>
    <xf numFmtId="0" fontId="9" fillId="3" borderId="54" xfId="0" applyFont="1" applyFill="1" applyBorder="1" applyAlignment="1">
      <alignment horizontal="center" vertical="center" wrapText="1"/>
    </xf>
    <xf numFmtId="0" fontId="9" fillId="3" borderId="56" xfId="0" applyFont="1" applyFill="1" applyBorder="1" applyAlignment="1">
      <alignment horizontal="center" vertical="center" wrapText="1"/>
    </xf>
    <xf numFmtId="0" fontId="6" fillId="10" borderId="73" xfId="0" applyFont="1" applyFill="1" applyBorder="1" applyAlignment="1">
      <alignment horizontal="center" vertical="center" wrapText="1"/>
    </xf>
    <xf numFmtId="0" fontId="11" fillId="8" borderId="58" xfId="0" applyFont="1" applyFill="1" applyBorder="1" applyAlignment="1">
      <alignment horizontal="center" wrapText="1"/>
    </xf>
    <xf numFmtId="0" fontId="12" fillId="9" borderId="72" xfId="0" applyFont="1" applyFill="1" applyBorder="1" applyAlignment="1">
      <alignment horizontal="center" wrapText="1"/>
    </xf>
    <xf numFmtId="0" fontId="6" fillId="9" borderId="57" xfId="0" applyFont="1" applyFill="1" applyBorder="1" applyAlignment="1">
      <alignment horizontal="center" vertical="center" wrapText="1"/>
    </xf>
    <xf numFmtId="0" fontId="12" fillId="9" borderId="50" xfId="0" applyFont="1" applyFill="1" applyBorder="1" applyAlignment="1">
      <alignment horizontal="center" wrapText="1"/>
    </xf>
    <xf numFmtId="0" fontId="6" fillId="9" borderId="79" xfId="0" applyFont="1" applyFill="1" applyBorder="1" applyAlignment="1">
      <alignment horizontal="center" vertical="center" wrapText="1"/>
    </xf>
    <xf numFmtId="0" fontId="5" fillId="8" borderId="0" xfId="0" applyFont="1" applyFill="1" applyAlignment="1">
      <alignment horizontal="left" vertical="center" wrapText="1"/>
    </xf>
    <xf numFmtId="0" fontId="5" fillId="8" borderId="26" xfId="0" applyFont="1" applyFill="1" applyBorder="1" applyAlignment="1">
      <alignment horizontal="left" vertical="center" wrapText="1"/>
    </xf>
    <xf numFmtId="10" fontId="6" fillId="10" borderId="45" xfId="0" applyNumberFormat="1" applyFont="1" applyFill="1" applyBorder="1" applyAlignment="1">
      <alignment horizontal="left" vertical="center" wrapText="1"/>
    </xf>
    <xf numFmtId="9" fontId="4" fillId="10" borderId="42" xfId="0" applyNumberFormat="1" applyFont="1" applyFill="1" applyBorder="1" applyAlignment="1">
      <alignment horizontal="left" vertical="center" wrapText="1"/>
    </xf>
    <xf numFmtId="0" fontId="4" fillId="6" borderId="42" xfId="0" applyFont="1" applyFill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10" fontId="6" fillId="10" borderId="42" xfId="0" applyNumberFormat="1" applyFont="1" applyFill="1" applyBorder="1" applyAlignment="1">
      <alignment horizontal="left" vertical="center" wrapText="1"/>
    </xf>
    <xf numFmtId="10" fontId="4" fillId="0" borderId="77" xfId="0" applyNumberFormat="1" applyFont="1" applyBorder="1" applyAlignment="1">
      <alignment horizontal="center" vertical="center"/>
    </xf>
    <xf numFmtId="0" fontId="6" fillId="2" borderId="42" xfId="0" applyFont="1" applyFill="1" applyBorder="1" applyAlignment="1">
      <alignment horizontal="center" vertical="center" wrapText="1"/>
    </xf>
    <xf numFmtId="10" fontId="4" fillId="0" borderId="78" xfId="0" applyNumberFormat="1" applyFont="1" applyBorder="1" applyAlignment="1">
      <alignment wrapText="1"/>
    </xf>
    <xf numFmtId="0" fontId="6" fillId="11" borderId="29" xfId="0" applyFont="1" applyFill="1" applyBorder="1" applyAlignment="1">
      <alignment horizontal="center" vertical="center" wrapText="1"/>
    </xf>
    <xf numFmtId="0" fontId="4" fillId="6" borderId="75" xfId="0" applyFont="1" applyFill="1" applyBorder="1" applyAlignment="1">
      <alignment horizontal="center" vertical="center" wrapText="1"/>
    </xf>
    <xf numFmtId="0" fontId="2" fillId="0" borderId="75" xfId="0" applyFont="1" applyBorder="1"/>
    <xf numFmtId="0" fontId="4" fillId="0" borderId="76" xfId="0" applyFont="1" applyBorder="1" applyAlignment="1">
      <alignment horizontal="center" vertical="center" wrapText="1"/>
    </xf>
    <xf numFmtId="0" fontId="4" fillId="0" borderId="54" xfId="0" applyFont="1" applyBorder="1" applyAlignment="1">
      <alignment horizontal="center" vertical="center" wrapText="1"/>
    </xf>
    <xf numFmtId="0" fontId="4" fillId="0" borderId="54" xfId="0" applyFont="1" applyBorder="1" applyAlignment="1">
      <alignment horizontal="center" vertical="center" wrapText="1"/>
    </xf>
    <xf numFmtId="0" fontId="6" fillId="10" borderId="21" xfId="0" applyFont="1" applyFill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80" xfId="0" applyFont="1" applyBorder="1" applyAlignment="1">
      <alignment horizontal="center" vertical="center" wrapText="1"/>
    </xf>
    <xf numFmtId="0" fontId="2" fillId="0" borderId="81" xfId="0" applyFont="1" applyBorder="1"/>
    <xf numFmtId="0" fontId="4" fillId="0" borderId="8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TFIS\Selected\All_in_One_TFIS_26-12-2023_Unprotected_Copy.xlsx" TargetMode="External"/><Relationship Id="rId1" Type="http://schemas.openxmlformats.org/officeDocument/2006/relationships/externalLinkPath" Target="/TFIS/Selected/All_in_One_TFIS_26-12-2023_Unprotected_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eps"/>
      <sheetName val="Index"/>
      <sheetName val="AB1"/>
      <sheetName val="AB2"/>
      <sheetName val="AB3"/>
      <sheetName val="AB4"/>
      <sheetName val="AB5"/>
      <sheetName val="AB6 FUT"/>
      <sheetName val="AB6 OS"/>
      <sheetName val="AB6 OB"/>
      <sheetName val="AB6 EQ"/>
      <sheetName val="AB8"/>
      <sheetName val="AB9"/>
      <sheetName val="AB10"/>
      <sheetName val="AB11"/>
      <sheetName val="AB12"/>
      <sheetName val="AB13"/>
      <sheetName val="AB14"/>
      <sheetName val="AB15"/>
      <sheetName val="AB16"/>
      <sheetName val="AB17"/>
      <sheetName val="AB18"/>
      <sheetName val="AB19 PA"/>
      <sheetName val="1. 0900 TGT"/>
      <sheetName val="2. 0905 E &amp; SL"/>
      <sheetName val="3. 0910 E &amp; SL"/>
      <sheetName val="4. 0915 E &amp; SL 4"/>
      <sheetName val="5. 0915 TGT"/>
      <sheetName val="6. 0920 E &amp; SL 2"/>
      <sheetName val="7. 0925 E &amp; SL 1"/>
      <sheetName val="8. 0930 E &amp; SL"/>
    </sheetNames>
    <sheetDataSet>
      <sheetData sheetId="0"/>
      <sheetData sheetId="1"/>
      <sheetData sheetId="2"/>
      <sheetData sheetId="3">
        <row r="1">
          <cell r="A1" t="str">
            <v>SR. NO.</v>
          </cell>
          <cell r="B1" t="str">
            <v>STRATEGY CODE</v>
          </cell>
          <cell r="C1" t="str">
            <v>SEGMENT</v>
          </cell>
          <cell r="D1" t="str">
            <v>INSTRUMENT</v>
          </cell>
          <cell r="E1" t="str">
            <v>SYMBOL</v>
          </cell>
          <cell r="F1" t="str">
            <v>CONTRACT</v>
          </cell>
          <cell r="H1" t="str">
            <v>Rules For Favour &amp; Against</v>
          </cell>
          <cell r="I1" t="str">
            <v>Favour Entry Data</v>
          </cell>
          <cell r="J1" t="str">
            <v>Against Entry Data</v>
          </cell>
          <cell r="K1" t="str">
            <v>No. of Targets</v>
          </cell>
          <cell r="L1" t="str">
            <v>FAVOUR EXIT DATA</v>
          </cell>
          <cell r="M1" t="str">
            <v>AGAINST EXIT DATA</v>
          </cell>
          <cell r="N1" t="str">
            <v>Unique Code</v>
          </cell>
          <cell r="P1" t="str">
            <v>Instrument Short Name</v>
          </cell>
          <cell r="Q1" t="str">
            <v>SYMBOL Short Name</v>
          </cell>
          <cell r="R1" t="str">
            <v>Short Name For Contract</v>
          </cell>
          <cell r="T1" t="str">
            <v>Exchange</v>
          </cell>
          <cell r="U1" t="str">
            <v>Tick Size</v>
          </cell>
          <cell r="V1" t="str">
            <v>Expiry : To Be Traded</v>
          </cell>
          <cell r="X1" t="str">
            <v>For Open Position :
Rollover Day 
(Expiry Day - No. of Trading Days )</v>
          </cell>
        </row>
        <row r="6">
          <cell r="A6">
            <v>1</v>
          </cell>
          <cell r="B6" t="str">
            <v>S1</v>
          </cell>
          <cell r="C6" t="str">
            <v>FUTURES</v>
          </cell>
          <cell r="D6" t="str">
            <v>CURRENCY</v>
          </cell>
          <cell r="E6" t="str">
            <v>USDINR</v>
          </cell>
          <cell r="F6" t="str">
            <v>MONTHLY</v>
          </cell>
          <cell r="H6" t="str">
            <v>SAME</v>
          </cell>
          <cell r="I6" t="str">
            <v>2D</v>
          </cell>
          <cell r="J6" t="str">
            <v>2D</v>
          </cell>
          <cell r="K6" t="str">
            <v>4 &amp; APS</v>
          </cell>
          <cell r="L6" t="str">
            <v>2D</v>
          </cell>
          <cell r="M6" t="str">
            <v>2D</v>
          </cell>
          <cell r="N6" t="str">
            <v>USDINR_FUT_MT_SAME_2D_2D</v>
          </cell>
          <cell r="P6" t="str">
            <v>FUT</v>
          </cell>
          <cell r="Q6" t="str">
            <v>USDINR</v>
          </cell>
          <cell r="R6" t="str">
            <v>MT</v>
          </cell>
          <cell r="T6" t="str">
            <v>NSECURR</v>
          </cell>
          <cell r="U6">
            <v>2.5000000000000001E-3</v>
          </cell>
          <cell r="V6" t="str">
            <v>Monthly : NEAR</v>
          </cell>
          <cell r="W6" t="str">
            <v>Last TD of the Month - 2 TD</v>
          </cell>
          <cell r="X6" t="str">
            <v>EXP Day - 1 TRD Day</v>
          </cell>
        </row>
        <row r="7">
          <cell r="A7">
            <v>2</v>
          </cell>
          <cell r="B7" t="str">
            <v>S2</v>
          </cell>
          <cell r="C7" t="str">
            <v>FUTURES</v>
          </cell>
          <cell r="D7" t="str">
            <v>CURRENCY</v>
          </cell>
          <cell r="E7" t="str">
            <v>USDINR</v>
          </cell>
          <cell r="F7" t="str">
            <v>MONTHLY</v>
          </cell>
          <cell r="H7" t="str">
            <v>DIFF</v>
          </cell>
          <cell r="I7" t="str">
            <v>2D</v>
          </cell>
          <cell r="J7" t="str">
            <v>4D</v>
          </cell>
          <cell r="K7" t="str">
            <v>4 &amp; APS</v>
          </cell>
          <cell r="L7" t="str">
            <v>4D</v>
          </cell>
          <cell r="M7" t="str">
            <v>2D</v>
          </cell>
          <cell r="N7" t="str">
            <v>USDINR_FUT_MT_DIFF_2D_4D</v>
          </cell>
          <cell r="P7" t="str">
            <v>FUT</v>
          </cell>
          <cell r="Q7" t="str">
            <v>USDINR</v>
          </cell>
          <cell r="R7" t="str">
            <v>MT</v>
          </cell>
          <cell r="T7" t="str">
            <v>NSECURR</v>
          </cell>
          <cell r="U7">
            <v>2.5000000000000001E-3</v>
          </cell>
          <cell r="V7" t="str">
            <v>Monthly : NEAR</v>
          </cell>
          <cell r="W7" t="str">
            <v>Last TD of the Month - 2 TD</v>
          </cell>
          <cell r="X7" t="str">
            <v>EXP Day - 1 TRD Day</v>
          </cell>
        </row>
        <row r="8">
          <cell r="A8">
            <v>3</v>
          </cell>
          <cell r="B8" t="str">
            <v>S3</v>
          </cell>
          <cell r="C8" t="str">
            <v>FUTURES</v>
          </cell>
          <cell r="D8" t="str">
            <v>INDEX</v>
          </cell>
          <cell r="E8" t="str">
            <v>BANKNIFTY</v>
          </cell>
          <cell r="F8" t="str">
            <v>MONTHLY</v>
          </cell>
          <cell r="H8" t="str">
            <v>DIFF</v>
          </cell>
          <cell r="I8" t="str">
            <v>1D</v>
          </cell>
          <cell r="J8" t="str">
            <v>2D</v>
          </cell>
          <cell r="K8" t="str">
            <v>4 &amp; APS</v>
          </cell>
          <cell r="L8" t="str">
            <v>2D</v>
          </cell>
          <cell r="M8" t="str">
            <v>1D</v>
          </cell>
          <cell r="N8" t="str">
            <v>BANKNIFTY_FUT_MT_DIFF_1D_2D</v>
          </cell>
          <cell r="P8" t="str">
            <v>FUT</v>
          </cell>
          <cell r="Q8" t="str">
            <v>BNF</v>
          </cell>
          <cell r="R8" t="str">
            <v>MT</v>
          </cell>
          <cell r="T8" t="str">
            <v>NSEFO</v>
          </cell>
          <cell r="U8">
            <v>0.05</v>
          </cell>
          <cell r="V8" t="str">
            <v>Monthly : NEAR</v>
          </cell>
          <cell r="W8" t="str">
            <v>Last Thurs (TD) of a Month</v>
          </cell>
          <cell r="X8" t="str">
            <v>EXP Day - 0 TRD Day</v>
          </cell>
        </row>
        <row r="9">
          <cell r="A9">
            <v>4</v>
          </cell>
          <cell r="B9" t="str">
            <v>S4</v>
          </cell>
          <cell r="C9" t="str">
            <v>FUTURES</v>
          </cell>
          <cell r="D9" t="str">
            <v>INDEX</v>
          </cell>
          <cell r="E9" t="str">
            <v>BANKNIFTY</v>
          </cell>
          <cell r="F9" t="str">
            <v>MONTHLY</v>
          </cell>
          <cell r="H9" t="str">
            <v>SAME</v>
          </cell>
          <cell r="I9" t="str">
            <v>2D</v>
          </cell>
          <cell r="J9" t="str">
            <v>2D</v>
          </cell>
          <cell r="K9" t="str">
            <v>4 &amp; APS</v>
          </cell>
          <cell r="L9" t="str">
            <v>2D</v>
          </cell>
          <cell r="M9" t="str">
            <v>2D</v>
          </cell>
          <cell r="N9" t="str">
            <v>BANKNIFTY_FUT_MT_SAME_2D_2D</v>
          </cell>
          <cell r="P9" t="str">
            <v>FUT</v>
          </cell>
          <cell r="Q9" t="str">
            <v>BNF</v>
          </cell>
          <cell r="R9" t="str">
            <v>MT</v>
          </cell>
          <cell r="T9" t="str">
            <v>NSEFO</v>
          </cell>
          <cell r="U9">
            <v>0.05</v>
          </cell>
          <cell r="V9" t="str">
            <v>Monthly : NEAR</v>
          </cell>
          <cell r="W9" t="str">
            <v>Last Thurs (TD) of a Month</v>
          </cell>
          <cell r="X9" t="str">
            <v>EXP Day - 0 TRD Day</v>
          </cell>
        </row>
        <row r="10">
          <cell r="A10">
            <v>5</v>
          </cell>
          <cell r="B10" t="str">
            <v>S5</v>
          </cell>
          <cell r="C10" t="str">
            <v>FUTURES</v>
          </cell>
          <cell r="D10" t="str">
            <v>STOCKS</v>
          </cell>
          <cell r="E10" t="str">
            <v>STOCKS</v>
          </cell>
          <cell r="F10" t="str">
            <v>MONTHLY</v>
          </cell>
          <cell r="H10" t="str">
            <v>DIFF</v>
          </cell>
          <cell r="I10" t="str">
            <v>2D</v>
          </cell>
          <cell r="J10" t="str">
            <v>3D</v>
          </cell>
          <cell r="K10" t="str">
            <v>4 &amp; APS</v>
          </cell>
          <cell r="L10" t="str">
            <v>3D</v>
          </cell>
          <cell r="M10" t="str">
            <v>2D</v>
          </cell>
          <cell r="N10" t="str">
            <v>STOCKS_FUT_MT_DIFF_2D_3D</v>
          </cell>
          <cell r="P10" t="str">
            <v>FUT</v>
          </cell>
          <cell r="Q10" t="str">
            <v>STK</v>
          </cell>
          <cell r="R10" t="str">
            <v>MT</v>
          </cell>
          <cell r="T10" t="str">
            <v>NSEFO</v>
          </cell>
          <cell r="U10">
            <v>0.05</v>
          </cell>
          <cell r="V10" t="str">
            <v>Monthly : NEAR</v>
          </cell>
          <cell r="W10" t="str">
            <v>Last Thurs (TD) of a Month</v>
          </cell>
          <cell r="X10" t="str">
            <v>EXP Day - 1 TRD Day</v>
          </cell>
        </row>
        <row r="11">
          <cell r="A11">
            <v>6</v>
          </cell>
          <cell r="B11" t="str">
            <v>S6</v>
          </cell>
          <cell r="C11" t="str">
            <v>FUTURES</v>
          </cell>
          <cell r="D11" t="str">
            <v>STOCKS</v>
          </cell>
          <cell r="E11" t="str">
            <v>STOCKS</v>
          </cell>
          <cell r="F11" t="str">
            <v>MONTHLY</v>
          </cell>
          <cell r="H11" t="str">
            <v>SAME</v>
          </cell>
          <cell r="I11" t="str">
            <v>3D</v>
          </cell>
          <cell r="J11" t="str">
            <v>3D</v>
          </cell>
          <cell r="K11" t="str">
            <v>4 &amp; APS</v>
          </cell>
          <cell r="L11" t="str">
            <v>3D</v>
          </cell>
          <cell r="M11" t="str">
            <v>3D</v>
          </cell>
          <cell r="N11" t="str">
            <v>STOCKS_FUT_MT_SAME_3D_3D</v>
          </cell>
          <cell r="P11" t="str">
            <v>FUT</v>
          </cell>
          <cell r="Q11" t="str">
            <v>STK</v>
          </cell>
          <cell r="R11" t="str">
            <v>MT</v>
          </cell>
          <cell r="T11" t="str">
            <v>NSEFO</v>
          </cell>
          <cell r="U11">
            <v>0.05</v>
          </cell>
          <cell r="V11" t="str">
            <v>Monthly : NEAR</v>
          </cell>
          <cell r="W11" t="str">
            <v>Last Thurs (TD) of a Month</v>
          </cell>
          <cell r="X11" t="str">
            <v>EXP Day - 1 TRD Day</v>
          </cell>
        </row>
        <row r="12">
          <cell r="A12">
            <v>7</v>
          </cell>
          <cell r="B12" t="str">
            <v>S7</v>
          </cell>
          <cell r="C12" t="str">
            <v>FUTURES</v>
          </cell>
          <cell r="D12" t="str">
            <v>STOCKS</v>
          </cell>
          <cell r="E12" t="str">
            <v>STOCKS</v>
          </cell>
          <cell r="F12" t="str">
            <v>MONTHLY</v>
          </cell>
          <cell r="H12" t="str">
            <v>DIFF</v>
          </cell>
          <cell r="I12" t="str">
            <v>2D</v>
          </cell>
          <cell r="J12" t="str">
            <v>PW&amp;CW</v>
          </cell>
          <cell r="K12" t="str">
            <v>4 &amp; APS</v>
          </cell>
          <cell r="L12" t="str">
            <v>PW&amp;CW</v>
          </cell>
          <cell r="M12" t="str">
            <v>2D</v>
          </cell>
          <cell r="N12" t="str">
            <v>STOCKS_FUT_MT_DIFF_2D_PW&amp;CW</v>
          </cell>
          <cell r="P12" t="str">
            <v>FUT</v>
          </cell>
          <cell r="Q12" t="str">
            <v>STK</v>
          </cell>
          <cell r="R12" t="str">
            <v>MT</v>
          </cell>
          <cell r="T12" t="str">
            <v>NSEFO</v>
          </cell>
          <cell r="U12">
            <v>0.05</v>
          </cell>
          <cell r="V12" t="str">
            <v>Monthly : NEAR</v>
          </cell>
          <cell r="W12" t="str">
            <v>Last Thurs (TD) of a Month</v>
          </cell>
          <cell r="X12" t="str">
            <v>EXP Day - 1 TRD Day</v>
          </cell>
        </row>
        <row r="13">
          <cell r="A13">
            <v>8</v>
          </cell>
          <cell r="B13" t="str">
            <v>S8</v>
          </cell>
          <cell r="C13" t="str">
            <v>FUTURES</v>
          </cell>
          <cell r="D13" t="str">
            <v>INDEX</v>
          </cell>
          <cell r="E13" t="str">
            <v>NIFTY</v>
          </cell>
          <cell r="F13" t="str">
            <v>MONTHLY</v>
          </cell>
          <cell r="H13" t="str">
            <v>DIFF</v>
          </cell>
          <cell r="I13" t="str">
            <v>1D</v>
          </cell>
          <cell r="J13" t="str">
            <v>2D</v>
          </cell>
          <cell r="K13" t="str">
            <v>4 &amp; APS</v>
          </cell>
          <cell r="L13" t="str">
            <v>2D</v>
          </cell>
          <cell r="M13" t="str">
            <v>1D</v>
          </cell>
          <cell r="N13" t="str">
            <v>NIFTY_FUT_MT_DIFF_1D_2D</v>
          </cell>
          <cell r="P13" t="str">
            <v>FUT</v>
          </cell>
          <cell r="Q13" t="str">
            <v>NFT</v>
          </cell>
          <cell r="R13" t="str">
            <v>MT</v>
          </cell>
          <cell r="T13" t="str">
            <v>NSEFO</v>
          </cell>
          <cell r="U13">
            <v>0.05</v>
          </cell>
          <cell r="V13" t="str">
            <v>Monthly : NEAR</v>
          </cell>
          <cell r="W13" t="str">
            <v>Last Thurs (TD) of a Month</v>
          </cell>
          <cell r="X13" t="str">
            <v>EXP Day - 0 TRD Day</v>
          </cell>
        </row>
        <row r="14">
          <cell r="A14">
            <v>9</v>
          </cell>
          <cell r="B14" t="str">
            <v>S9</v>
          </cell>
          <cell r="C14" t="str">
            <v>FUTURES</v>
          </cell>
          <cell r="D14" t="str">
            <v>INDEX</v>
          </cell>
          <cell r="E14" t="str">
            <v>NIFTY</v>
          </cell>
          <cell r="F14" t="str">
            <v>MONTHLY</v>
          </cell>
          <cell r="H14" t="str">
            <v>SAME</v>
          </cell>
          <cell r="I14" t="str">
            <v>2D</v>
          </cell>
          <cell r="J14" t="str">
            <v>2D</v>
          </cell>
          <cell r="K14" t="str">
            <v>4 &amp; APS</v>
          </cell>
          <cell r="L14" t="str">
            <v>2D</v>
          </cell>
          <cell r="M14" t="str">
            <v>2D</v>
          </cell>
          <cell r="N14" t="str">
            <v>NIFTY_FUT_MT_SAME_2D_2D</v>
          </cell>
          <cell r="P14" t="str">
            <v>FUT</v>
          </cell>
          <cell r="Q14" t="str">
            <v>NFT</v>
          </cell>
          <cell r="R14" t="str">
            <v>MT</v>
          </cell>
          <cell r="T14" t="str">
            <v>NSEFO</v>
          </cell>
          <cell r="U14">
            <v>0.05</v>
          </cell>
          <cell r="V14" t="str">
            <v>Monthly : NEAR</v>
          </cell>
          <cell r="W14" t="str">
            <v>Last Thurs (TD) of a Month</v>
          </cell>
          <cell r="X14" t="str">
            <v>EXP Day - 0 TRD Day</v>
          </cell>
        </row>
        <row r="15">
          <cell r="A15">
            <v>10</v>
          </cell>
          <cell r="B15" t="str">
            <v>S10</v>
          </cell>
          <cell r="C15" t="str">
            <v>FUTURES</v>
          </cell>
          <cell r="D15" t="str">
            <v>COMMODITY</v>
          </cell>
          <cell r="E15" t="str">
            <v>GOLDM</v>
          </cell>
          <cell r="F15" t="str">
            <v>MONTHLY</v>
          </cell>
          <cell r="H15" t="str">
            <v>DIFF</v>
          </cell>
          <cell r="I15" t="str">
            <v>2D</v>
          </cell>
          <cell r="J15" t="str">
            <v>3D</v>
          </cell>
          <cell r="K15" t="str">
            <v>4 &amp; APS</v>
          </cell>
          <cell r="L15" t="str">
            <v>3D</v>
          </cell>
          <cell r="M15" t="str">
            <v>2D</v>
          </cell>
          <cell r="N15" t="str">
            <v>GOLDM_FUT_MT_DIFF_2D_3D</v>
          </cell>
          <cell r="P15" t="str">
            <v>FUT</v>
          </cell>
          <cell r="Q15" t="str">
            <v>GLD</v>
          </cell>
          <cell r="R15" t="str">
            <v>MT</v>
          </cell>
          <cell r="T15" t="str">
            <v>MCX</v>
          </cell>
          <cell r="U15">
            <v>1</v>
          </cell>
          <cell r="V15" t="str">
            <v>Monthly : NEAR</v>
          </cell>
          <cell r="W15" t="str">
            <v>5th TD of the Contract Month</v>
          </cell>
          <cell r="X15" t="str">
            <v>EXP Day - 5 TRD Day</v>
          </cell>
        </row>
        <row r="16">
          <cell r="A16">
            <v>11</v>
          </cell>
          <cell r="B16" t="str">
            <v>S11</v>
          </cell>
          <cell r="C16" t="str">
            <v>FUTURES</v>
          </cell>
          <cell r="D16" t="str">
            <v>COMMODITY</v>
          </cell>
          <cell r="E16" t="str">
            <v>GOLDM</v>
          </cell>
          <cell r="F16" t="str">
            <v>MONTHLY</v>
          </cell>
          <cell r="H16" t="str">
            <v>SAME</v>
          </cell>
          <cell r="I16" t="str">
            <v>3D</v>
          </cell>
          <cell r="J16" t="str">
            <v>3D</v>
          </cell>
          <cell r="K16" t="str">
            <v>4 &amp; APS</v>
          </cell>
          <cell r="L16" t="str">
            <v>3D</v>
          </cell>
          <cell r="M16" t="str">
            <v>3D</v>
          </cell>
          <cell r="N16" t="str">
            <v>GOLDM_FUT_MT_SAME_3D_3D</v>
          </cell>
          <cell r="P16" t="str">
            <v>FUT</v>
          </cell>
          <cell r="Q16" t="str">
            <v>GLD</v>
          </cell>
          <cell r="R16" t="str">
            <v>MT</v>
          </cell>
          <cell r="T16" t="str">
            <v>MCX</v>
          </cell>
          <cell r="U16">
            <v>1</v>
          </cell>
          <cell r="V16" t="str">
            <v>Monthly : NEAR</v>
          </cell>
          <cell r="W16" t="str">
            <v>5th TD of the Contract Month</v>
          </cell>
          <cell r="X16" t="str">
            <v>EXP Day - 5 TRD Day</v>
          </cell>
        </row>
        <row r="17">
          <cell r="A17">
            <v>12</v>
          </cell>
          <cell r="B17" t="str">
            <v>S12</v>
          </cell>
          <cell r="C17" t="str">
            <v>FUTURES</v>
          </cell>
          <cell r="D17" t="str">
            <v>COMMODITY</v>
          </cell>
          <cell r="E17" t="str">
            <v>SILVERM</v>
          </cell>
          <cell r="F17" t="str">
            <v>MONTHLY</v>
          </cell>
          <cell r="H17" t="str">
            <v>DIFF</v>
          </cell>
          <cell r="I17" t="str">
            <v>2D</v>
          </cell>
          <cell r="J17" t="str">
            <v>3D</v>
          </cell>
          <cell r="K17" t="str">
            <v>4 &amp; APS</v>
          </cell>
          <cell r="L17" t="str">
            <v>3D</v>
          </cell>
          <cell r="M17" t="str">
            <v>2D</v>
          </cell>
          <cell r="N17" t="str">
            <v>SILVERM_FUT_MT_DIFF_2D_3D</v>
          </cell>
          <cell r="P17" t="str">
            <v>FUT</v>
          </cell>
          <cell r="Q17" t="str">
            <v>SLV</v>
          </cell>
          <cell r="R17" t="str">
            <v>MT</v>
          </cell>
          <cell r="T17" t="str">
            <v>MCX</v>
          </cell>
          <cell r="U17">
            <v>1</v>
          </cell>
          <cell r="V17" t="str">
            <v>Monthly : NEAR</v>
          </cell>
          <cell r="W17" t="str">
            <v>Last TD of the Contract Month</v>
          </cell>
          <cell r="X17" t="str">
            <v>EXP Day - 5 TRD Day</v>
          </cell>
        </row>
        <row r="18">
          <cell r="A18">
            <v>13</v>
          </cell>
          <cell r="B18" t="str">
            <v>S13</v>
          </cell>
          <cell r="C18" t="str">
            <v>FUTURES</v>
          </cell>
          <cell r="D18" t="str">
            <v>COMMODITY</v>
          </cell>
          <cell r="E18" t="str">
            <v>SILVERM</v>
          </cell>
          <cell r="F18" t="str">
            <v>MONTHLY</v>
          </cell>
          <cell r="H18" t="str">
            <v>SAME</v>
          </cell>
          <cell r="I18" t="str">
            <v>3D</v>
          </cell>
          <cell r="J18" t="str">
            <v>3D</v>
          </cell>
          <cell r="K18" t="str">
            <v>4 &amp; APS</v>
          </cell>
          <cell r="L18" t="str">
            <v>3D</v>
          </cell>
          <cell r="M18" t="str">
            <v>3D</v>
          </cell>
          <cell r="N18" t="str">
            <v>SILVERM_FUT_MT_SAME_3D_3D</v>
          </cell>
          <cell r="P18" t="str">
            <v>FUT</v>
          </cell>
          <cell r="Q18" t="str">
            <v>SLV</v>
          </cell>
          <cell r="R18" t="str">
            <v>MT</v>
          </cell>
          <cell r="T18" t="str">
            <v>MCX</v>
          </cell>
          <cell r="U18">
            <v>1</v>
          </cell>
          <cell r="V18" t="str">
            <v>Monthly : NEAR</v>
          </cell>
          <cell r="W18" t="str">
            <v>Last TD of the Contract Month</v>
          </cell>
          <cell r="X18" t="str">
            <v>EXP Day - 5 TRD Day</v>
          </cell>
        </row>
        <row r="19">
          <cell r="A19">
            <v>14</v>
          </cell>
          <cell r="B19" t="str">
            <v>S14</v>
          </cell>
          <cell r="C19" t="str">
            <v>FUTURES</v>
          </cell>
          <cell r="D19" t="str">
            <v>COMMODITY</v>
          </cell>
          <cell r="E19" t="str">
            <v>CRUDEOIL</v>
          </cell>
          <cell r="F19" t="str">
            <v>MONTHLY</v>
          </cell>
          <cell r="H19" t="str">
            <v>SAME</v>
          </cell>
          <cell r="I19" t="str">
            <v>2D</v>
          </cell>
          <cell r="J19" t="str">
            <v>2D</v>
          </cell>
          <cell r="K19" t="str">
            <v>4 &amp; APS</v>
          </cell>
          <cell r="L19" t="str">
            <v>2D</v>
          </cell>
          <cell r="M19" t="str">
            <v>2D</v>
          </cell>
          <cell r="N19" t="str">
            <v>CRUDEOIL_FUT_MT_SAME_2D_2D</v>
          </cell>
          <cell r="P19" t="str">
            <v>FUT</v>
          </cell>
          <cell r="Q19" t="str">
            <v>CO</v>
          </cell>
          <cell r="R19" t="str">
            <v>MT</v>
          </cell>
          <cell r="T19" t="str">
            <v>MCX</v>
          </cell>
          <cell r="U19">
            <v>1</v>
          </cell>
          <cell r="V19" t="str">
            <v>Monthly : NEAR</v>
          </cell>
          <cell r="W19" t="str">
            <v>18th - 22nd Day of the Contract Month</v>
          </cell>
          <cell r="X19" t="str">
            <v>EXP Day - 0 TRD Day</v>
          </cell>
        </row>
        <row r="20">
          <cell r="A20">
            <v>15</v>
          </cell>
          <cell r="B20" t="str">
            <v>S15</v>
          </cell>
          <cell r="C20" t="str">
            <v>FUTURES</v>
          </cell>
          <cell r="D20" t="str">
            <v>COMMODITY</v>
          </cell>
          <cell r="E20" t="str">
            <v>CRUDEOIL</v>
          </cell>
          <cell r="F20" t="str">
            <v>MONTHLY</v>
          </cell>
          <cell r="H20" t="str">
            <v>DIFF</v>
          </cell>
          <cell r="I20" t="str">
            <v>1D</v>
          </cell>
          <cell r="J20" t="str">
            <v>2D</v>
          </cell>
          <cell r="K20" t="str">
            <v>4 &amp; APS</v>
          </cell>
          <cell r="L20" t="str">
            <v>2D</v>
          </cell>
          <cell r="M20" t="str">
            <v>1D</v>
          </cell>
          <cell r="N20" t="str">
            <v>CRUDEOIL_FUT_MT_DIFF_1D_2D</v>
          </cell>
          <cell r="P20" t="str">
            <v>FUT</v>
          </cell>
          <cell r="Q20" t="str">
            <v>CO</v>
          </cell>
          <cell r="R20" t="str">
            <v>MT</v>
          </cell>
          <cell r="T20" t="str">
            <v>MCX</v>
          </cell>
          <cell r="U20">
            <v>1</v>
          </cell>
          <cell r="V20" t="str">
            <v>Monthly : NEAR</v>
          </cell>
          <cell r="W20" t="str">
            <v>18th - 22nd Day of the Contract Month</v>
          </cell>
          <cell r="X20" t="str">
            <v>EXP Day - 0 TRD Day</v>
          </cell>
        </row>
        <row r="21">
          <cell r="A21">
            <v>16</v>
          </cell>
          <cell r="B21" t="str">
            <v>S16</v>
          </cell>
          <cell r="C21" t="str">
            <v>FUTURES</v>
          </cell>
          <cell r="D21" t="str">
            <v>COMMODITY</v>
          </cell>
          <cell r="E21" t="str">
            <v>NATURALGAS</v>
          </cell>
          <cell r="F21" t="str">
            <v>MONTHLY</v>
          </cell>
          <cell r="H21" t="str">
            <v>DIFF</v>
          </cell>
          <cell r="I21" t="str">
            <v>2D</v>
          </cell>
          <cell r="J21" t="str">
            <v>3D</v>
          </cell>
          <cell r="K21" t="str">
            <v>4 &amp; APS</v>
          </cell>
          <cell r="L21" t="str">
            <v>3D</v>
          </cell>
          <cell r="M21" t="str">
            <v>2D</v>
          </cell>
          <cell r="N21" t="str">
            <v>NATURALGAS_FUT_MT_DIFF_2D_3D</v>
          </cell>
          <cell r="P21" t="str">
            <v>FUT</v>
          </cell>
          <cell r="Q21" t="str">
            <v>NG</v>
          </cell>
          <cell r="R21" t="str">
            <v>MT</v>
          </cell>
          <cell r="T21" t="str">
            <v>MCX</v>
          </cell>
          <cell r="U21">
            <v>0.1</v>
          </cell>
          <cell r="V21" t="str">
            <v>Monthly : NEAR</v>
          </cell>
          <cell r="W21" t="str">
            <v>25th - 28th Day of the Contract Month</v>
          </cell>
          <cell r="X21" t="str">
            <v>EXP Day - 0 TRD Day</v>
          </cell>
        </row>
        <row r="22">
          <cell r="A22">
            <v>17</v>
          </cell>
          <cell r="B22" t="str">
            <v>S17</v>
          </cell>
          <cell r="C22" t="str">
            <v>FUTURES</v>
          </cell>
          <cell r="D22" t="str">
            <v>COMMODITY</v>
          </cell>
          <cell r="E22" t="str">
            <v>NATURALGAS</v>
          </cell>
          <cell r="F22" t="str">
            <v>MONTHLY</v>
          </cell>
          <cell r="H22" t="str">
            <v>DIFF</v>
          </cell>
          <cell r="I22" t="str">
            <v>2D</v>
          </cell>
          <cell r="J22" t="str">
            <v>PW&amp;CW</v>
          </cell>
          <cell r="K22" t="str">
            <v>4 &amp; APS</v>
          </cell>
          <cell r="L22" t="str">
            <v>PW&amp;CW</v>
          </cell>
          <cell r="M22" t="str">
            <v>2D</v>
          </cell>
          <cell r="N22" t="str">
            <v>NATURALGAS_FUT_MT_DIFF_2D_PW&amp;CW</v>
          </cell>
          <cell r="P22" t="str">
            <v>FUT</v>
          </cell>
          <cell r="Q22" t="str">
            <v>NG</v>
          </cell>
          <cell r="R22" t="str">
            <v>MT</v>
          </cell>
          <cell r="T22" t="str">
            <v>MCX</v>
          </cell>
          <cell r="U22">
            <v>0.1</v>
          </cell>
          <cell r="V22" t="str">
            <v>Monthly : NEAR</v>
          </cell>
          <cell r="W22" t="str">
            <v>25th - 28th Day of the Contract Month</v>
          </cell>
          <cell r="X22" t="str">
            <v>EXP Day - 0 TRD Day</v>
          </cell>
        </row>
        <row r="23">
          <cell r="A23">
            <v>18</v>
          </cell>
          <cell r="B23" t="str">
            <v>S18</v>
          </cell>
          <cell r="C23" t="str">
            <v>OPTIONS SELL</v>
          </cell>
          <cell r="D23" t="str">
            <v>CURRENCY</v>
          </cell>
          <cell r="E23" t="str">
            <v>USDINR</v>
          </cell>
          <cell r="F23" t="str">
            <v>WEEKLY</v>
          </cell>
          <cell r="H23" t="str">
            <v>DIFF</v>
          </cell>
          <cell r="I23" t="str">
            <v>2D</v>
          </cell>
          <cell r="J23" t="str">
            <v>3D</v>
          </cell>
          <cell r="K23" t="str">
            <v>APS</v>
          </cell>
          <cell r="L23" t="str">
            <v>3D</v>
          </cell>
          <cell r="M23" t="str">
            <v>2D</v>
          </cell>
          <cell r="N23" t="str">
            <v>USDINR_OP_SELL_WK_DIFF_2D_3D</v>
          </cell>
          <cell r="P23" t="str">
            <v>OP_SELL</v>
          </cell>
          <cell r="Q23" t="str">
            <v>USDINR</v>
          </cell>
          <cell r="R23" t="str">
            <v>WK</v>
          </cell>
          <cell r="T23" t="str">
            <v>NSECURR</v>
          </cell>
          <cell r="U23">
            <v>2.5000000000000001E-3</v>
          </cell>
          <cell r="V23" t="str">
            <v>Weekly : WEEK 1</v>
          </cell>
          <cell r="W23" t="str">
            <v xml:space="preserve">Every Week On Fri (TD) </v>
          </cell>
          <cell r="X23" t="str">
            <v>EXP Day - 1 TRD Day</v>
          </cell>
        </row>
        <row r="24">
          <cell r="A24">
            <v>19</v>
          </cell>
          <cell r="B24" t="str">
            <v>S19</v>
          </cell>
          <cell r="C24" t="str">
            <v>OPTIONS SELL</v>
          </cell>
          <cell r="D24" t="str">
            <v>CURRENCY</v>
          </cell>
          <cell r="E24" t="str">
            <v>USDINR</v>
          </cell>
          <cell r="F24" t="str">
            <v>MONTHLY</v>
          </cell>
          <cell r="H24" t="str">
            <v>DIFF</v>
          </cell>
          <cell r="I24" t="str">
            <v>2D</v>
          </cell>
          <cell r="J24" t="str">
            <v>3D</v>
          </cell>
          <cell r="K24" t="str">
            <v>APS</v>
          </cell>
          <cell r="L24" t="str">
            <v>3D</v>
          </cell>
          <cell r="M24" t="str">
            <v>2D</v>
          </cell>
          <cell r="N24" t="str">
            <v>USDINR_OP_SELL_MT_DIFF_2D_3D</v>
          </cell>
          <cell r="P24" t="str">
            <v>OP_SELL</v>
          </cell>
          <cell r="Q24" t="str">
            <v>USDINR</v>
          </cell>
          <cell r="R24" t="str">
            <v>MT</v>
          </cell>
          <cell r="T24" t="str">
            <v>NSECURR</v>
          </cell>
          <cell r="U24">
            <v>2.5000000000000001E-3</v>
          </cell>
          <cell r="V24" t="str">
            <v>Monthly : NEAR</v>
          </cell>
          <cell r="W24" t="str">
            <v xml:space="preserve">Every Week On Fri (TD) </v>
          </cell>
          <cell r="X24" t="str">
            <v>EXP Day - 1 TRD Day</v>
          </cell>
        </row>
        <row r="25">
          <cell r="A25">
            <v>20</v>
          </cell>
          <cell r="B25" t="str">
            <v>S20</v>
          </cell>
          <cell r="C25" t="str">
            <v>OPTIONS SELL</v>
          </cell>
          <cell r="D25" t="str">
            <v>INDEX</v>
          </cell>
          <cell r="E25" t="str">
            <v>BANKNIFTY</v>
          </cell>
          <cell r="F25" t="str">
            <v>WEEKLY</v>
          </cell>
          <cell r="H25" t="str">
            <v>DIFF</v>
          </cell>
          <cell r="I25" t="str">
            <v>2D</v>
          </cell>
          <cell r="J25" t="str">
            <v>3D</v>
          </cell>
          <cell r="K25" t="str">
            <v>APS</v>
          </cell>
          <cell r="L25" t="str">
            <v>3D</v>
          </cell>
          <cell r="M25" t="str">
            <v>2D</v>
          </cell>
          <cell r="N25" t="str">
            <v>BANKNIFTY_OP_SELL_WK_DIFF_2D_3D</v>
          </cell>
          <cell r="P25" t="str">
            <v>OP_SELL</v>
          </cell>
          <cell r="Q25" t="str">
            <v>BNF</v>
          </cell>
          <cell r="R25" t="str">
            <v>WK</v>
          </cell>
          <cell r="T25" t="str">
            <v>NSEFO</v>
          </cell>
          <cell r="U25">
            <v>0.05</v>
          </cell>
          <cell r="V25" t="str">
            <v>Weekly : WEEK 1</v>
          </cell>
          <cell r="W25" t="str">
            <v xml:space="preserve">Every Week On Wed (TD) </v>
          </cell>
          <cell r="X25" t="str">
            <v>EXP Day - 0 TRD Day</v>
          </cell>
        </row>
        <row r="26">
          <cell r="A26">
            <v>21</v>
          </cell>
          <cell r="B26" t="str">
            <v>S21</v>
          </cell>
          <cell r="C26" t="str">
            <v>OPTIONS SELL</v>
          </cell>
          <cell r="D26" t="str">
            <v>INDEX</v>
          </cell>
          <cell r="E26" t="str">
            <v>BANKNIFTY</v>
          </cell>
          <cell r="F26" t="str">
            <v>MONTHLY</v>
          </cell>
          <cell r="H26" t="str">
            <v>DIFF</v>
          </cell>
          <cell r="I26" t="str">
            <v>2D</v>
          </cell>
          <cell r="J26" t="str">
            <v>3D</v>
          </cell>
          <cell r="K26" t="str">
            <v>APS</v>
          </cell>
          <cell r="L26" t="str">
            <v>3D</v>
          </cell>
          <cell r="M26" t="str">
            <v>2D</v>
          </cell>
          <cell r="N26" t="str">
            <v>BANKNIFTY_OP_SELL_MT_DIFF_2D_3D</v>
          </cell>
          <cell r="P26" t="str">
            <v>OP_SELL</v>
          </cell>
          <cell r="Q26" t="str">
            <v>BNF</v>
          </cell>
          <cell r="R26" t="str">
            <v>MT</v>
          </cell>
          <cell r="T26" t="str">
            <v>NSEFO</v>
          </cell>
          <cell r="U26">
            <v>0.05</v>
          </cell>
          <cell r="V26" t="str">
            <v>Monthly : NEAR</v>
          </cell>
          <cell r="W26" t="str">
            <v xml:space="preserve">Every Week On Wed (TD) </v>
          </cell>
          <cell r="X26" t="str">
            <v>EXP Day - 0 TRD Day</v>
          </cell>
        </row>
        <row r="27">
          <cell r="A27">
            <v>22</v>
          </cell>
          <cell r="B27" t="str">
            <v>S22</v>
          </cell>
          <cell r="C27" t="str">
            <v>OPTIONS SELL</v>
          </cell>
          <cell r="D27" t="str">
            <v>STOCKS</v>
          </cell>
          <cell r="E27" t="str">
            <v>STOCKS</v>
          </cell>
          <cell r="F27" t="str">
            <v>MONTHLY</v>
          </cell>
          <cell r="H27" t="str">
            <v>DIFF</v>
          </cell>
          <cell r="I27" t="str">
            <v>2D</v>
          </cell>
          <cell r="J27" t="str">
            <v>4D</v>
          </cell>
          <cell r="K27" t="str">
            <v>APS</v>
          </cell>
          <cell r="L27" t="str">
            <v>3D</v>
          </cell>
          <cell r="M27" t="str">
            <v>2D</v>
          </cell>
          <cell r="N27" t="str">
            <v>STOCKS_OP_SELL_MT_DIFF_2D_4D</v>
          </cell>
          <cell r="P27" t="str">
            <v>OP_SELL</v>
          </cell>
          <cell r="Q27" t="str">
            <v>STK</v>
          </cell>
          <cell r="R27" t="str">
            <v>MT</v>
          </cell>
          <cell r="T27" t="str">
            <v>NSEFO</v>
          </cell>
          <cell r="U27">
            <v>0.05</v>
          </cell>
          <cell r="V27" t="str">
            <v>Monthly : NEAR</v>
          </cell>
          <cell r="W27" t="str">
            <v>Last Thurs (TD) of a Month</v>
          </cell>
          <cell r="X27" t="str">
            <v>EXP Day - 1 TRD Day</v>
          </cell>
        </row>
        <row r="28">
          <cell r="A28">
            <v>23</v>
          </cell>
          <cell r="B28" t="str">
            <v>S23</v>
          </cell>
          <cell r="C28" t="str">
            <v>OPTIONS SELL</v>
          </cell>
          <cell r="D28" t="str">
            <v>INDEX</v>
          </cell>
          <cell r="E28" t="str">
            <v>NIFTY</v>
          </cell>
          <cell r="F28" t="str">
            <v>WEEKLY</v>
          </cell>
          <cell r="H28" t="str">
            <v>DIFF</v>
          </cell>
          <cell r="I28" t="str">
            <v>2D</v>
          </cell>
          <cell r="J28" t="str">
            <v>3D</v>
          </cell>
          <cell r="K28" t="str">
            <v>APS</v>
          </cell>
          <cell r="L28" t="str">
            <v>3D</v>
          </cell>
          <cell r="M28" t="str">
            <v>2D</v>
          </cell>
          <cell r="N28" t="str">
            <v>NIFTY_OP_SELL_WK_DIFF_2D_3D</v>
          </cell>
          <cell r="P28" t="str">
            <v>OP_SELL</v>
          </cell>
          <cell r="Q28" t="str">
            <v>NFT</v>
          </cell>
          <cell r="R28" t="str">
            <v>WK</v>
          </cell>
          <cell r="T28" t="str">
            <v>NSEFO</v>
          </cell>
          <cell r="U28">
            <v>0.05</v>
          </cell>
          <cell r="V28" t="str">
            <v>Weekly : WEEK 1</v>
          </cell>
          <cell r="W28" t="str">
            <v xml:space="preserve">Every Week On Thurs (TD) </v>
          </cell>
          <cell r="X28" t="str">
            <v>EXP Day - 0 TRD Day</v>
          </cell>
        </row>
        <row r="29">
          <cell r="A29">
            <v>24</v>
          </cell>
          <cell r="B29" t="str">
            <v>S24</v>
          </cell>
          <cell r="C29" t="str">
            <v>OPTIONS SELL</v>
          </cell>
          <cell r="D29" t="str">
            <v>INDEX</v>
          </cell>
          <cell r="E29" t="str">
            <v>NIFTY</v>
          </cell>
          <cell r="F29" t="str">
            <v>MONTHLY</v>
          </cell>
          <cell r="H29" t="str">
            <v>DIFF</v>
          </cell>
          <cell r="I29" t="str">
            <v>2D</v>
          </cell>
          <cell r="J29" t="str">
            <v>3D</v>
          </cell>
          <cell r="K29" t="str">
            <v>APS</v>
          </cell>
          <cell r="L29" t="str">
            <v>3D</v>
          </cell>
          <cell r="M29" t="str">
            <v>2D</v>
          </cell>
          <cell r="N29" t="str">
            <v>NIFTY_OP_SELL_MT_DIFF_2D_3D</v>
          </cell>
          <cell r="P29" t="str">
            <v>OP_SELL</v>
          </cell>
          <cell r="Q29" t="str">
            <v>NFT</v>
          </cell>
          <cell r="R29" t="str">
            <v>MT</v>
          </cell>
          <cell r="T29" t="str">
            <v>NSEFO</v>
          </cell>
          <cell r="U29">
            <v>0.05</v>
          </cell>
          <cell r="V29" t="str">
            <v>Monthly : NEAR</v>
          </cell>
          <cell r="W29" t="str">
            <v xml:space="preserve">Every Week On Thurs (TD) </v>
          </cell>
          <cell r="X29" t="str">
            <v>EXP Day - 0 TRD Day</v>
          </cell>
        </row>
        <row r="30">
          <cell r="A30">
            <v>25</v>
          </cell>
          <cell r="B30" t="str">
            <v>S25</v>
          </cell>
          <cell r="C30" t="str">
            <v>OPTIONS BUY</v>
          </cell>
          <cell r="D30" t="str">
            <v>INDEX</v>
          </cell>
          <cell r="E30" t="str">
            <v>BANKNIFTY</v>
          </cell>
          <cell r="F30" t="str">
            <v>WEEKLY</v>
          </cell>
          <cell r="H30" t="str">
            <v>SAME</v>
          </cell>
          <cell r="I30" t="str">
            <v>1D 75 Mins</v>
          </cell>
          <cell r="J30" t="str">
            <v>1D 75 Mins</v>
          </cell>
          <cell r="K30" t="str">
            <v>1 &amp; APS</v>
          </cell>
          <cell r="L30" t="str">
            <v>1D 75 Mins</v>
          </cell>
          <cell r="M30" t="str">
            <v>1D 75 Mins</v>
          </cell>
          <cell r="N30" t="str">
            <v>BANKNIFTY_OP_BUY_WK_SAME_1D 75 Mins_1D 75 Mins</v>
          </cell>
          <cell r="P30" t="str">
            <v>OP_BUY</v>
          </cell>
          <cell r="Q30" t="str">
            <v>BNF</v>
          </cell>
          <cell r="R30" t="str">
            <v>WK</v>
          </cell>
          <cell r="T30" t="str">
            <v>NSEFO</v>
          </cell>
          <cell r="U30">
            <v>0.05</v>
          </cell>
          <cell r="V30" t="str">
            <v>Weekly : WEEK 1</v>
          </cell>
          <cell r="W30" t="str">
            <v xml:space="preserve">Every Week On Wed (TD) </v>
          </cell>
          <cell r="X30" t="str">
            <v>EXP Day - 0 TRD Day</v>
          </cell>
        </row>
        <row r="31">
          <cell r="A31">
            <v>26</v>
          </cell>
          <cell r="B31" t="str">
            <v>S26</v>
          </cell>
          <cell r="C31" t="str">
            <v>OPTIONS BUY</v>
          </cell>
          <cell r="D31" t="str">
            <v>STOCKS</v>
          </cell>
          <cell r="E31" t="str">
            <v>STOCKS</v>
          </cell>
          <cell r="F31" t="str">
            <v>MONTHLY</v>
          </cell>
          <cell r="H31" t="str">
            <v>DIFF</v>
          </cell>
          <cell r="I31" t="str">
            <v>2D</v>
          </cell>
          <cell r="J31" t="str">
            <v>4D</v>
          </cell>
          <cell r="K31" t="str">
            <v>4 &amp; APS</v>
          </cell>
          <cell r="L31" t="str">
            <v>3D</v>
          </cell>
          <cell r="M31" t="str">
            <v>2D</v>
          </cell>
          <cell r="N31" t="str">
            <v>STOCKS_OP_BUY_MT_DIFF_2D_4D</v>
          </cell>
          <cell r="P31" t="str">
            <v>OP_BUY</v>
          </cell>
          <cell r="Q31" t="str">
            <v>STK</v>
          </cell>
          <cell r="R31" t="str">
            <v>MT</v>
          </cell>
          <cell r="T31" t="str">
            <v>NSEFO</v>
          </cell>
          <cell r="U31">
            <v>0.05</v>
          </cell>
          <cell r="V31" t="str">
            <v>Monthly : NEAR</v>
          </cell>
          <cell r="W31" t="str">
            <v>Last Thurs (TD) of a Month</v>
          </cell>
          <cell r="X31" t="str">
            <v>EXP Day - 1 TRD Day</v>
          </cell>
        </row>
        <row r="32">
          <cell r="A32">
            <v>27</v>
          </cell>
          <cell r="B32" t="str">
            <v>S27</v>
          </cell>
          <cell r="C32" t="str">
            <v>OPTIONS BUY</v>
          </cell>
          <cell r="D32" t="str">
            <v>STOCKS</v>
          </cell>
          <cell r="E32" t="str">
            <v>STOCKS</v>
          </cell>
          <cell r="F32" t="str">
            <v>MONTHLY</v>
          </cell>
          <cell r="H32" t="str">
            <v>DIFF</v>
          </cell>
          <cell r="I32" t="str">
            <v>2D</v>
          </cell>
          <cell r="J32" t="str">
            <v>2D</v>
          </cell>
          <cell r="K32" t="str">
            <v>4 &amp; APS</v>
          </cell>
          <cell r="N32" t="str">
            <v>STOCKS_OP_BUY_MT_DIFF_2D_2D</v>
          </cell>
          <cell r="P32" t="str">
            <v>OP_BUY</v>
          </cell>
          <cell r="Q32" t="str">
            <v>STK</v>
          </cell>
          <cell r="R32" t="str">
            <v>MT</v>
          </cell>
          <cell r="T32" t="str">
            <v>NSEFO</v>
          </cell>
          <cell r="U32">
            <v>0.05</v>
          </cell>
          <cell r="V32" t="str">
            <v>Monthly : NEAR</v>
          </cell>
          <cell r="W32" t="str">
            <v>Last Thurs (TD) of a Month</v>
          </cell>
          <cell r="X32" t="str">
            <v>EXP Day - 1 TRD Day</v>
          </cell>
        </row>
        <row r="33">
          <cell r="A33">
            <v>28</v>
          </cell>
          <cell r="B33" t="str">
            <v>S28</v>
          </cell>
          <cell r="C33" t="str">
            <v>EQUITY</v>
          </cell>
          <cell r="D33" t="str">
            <v>EQUITY</v>
          </cell>
          <cell r="E33" t="str">
            <v>STOCKS</v>
          </cell>
          <cell r="F33" t="str">
            <v>DCC</v>
          </cell>
          <cell r="H33" t="str">
            <v>N.A.</v>
          </cell>
          <cell r="I33" t="str">
            <v>DCC</v>
          </cell>
          <cell r="K33" t="str">
            <v>5 &amp; APS</v>
          </cell>
          <cell r="N33" t="str">
            <v>STOCKS_EQ_DCC</v>
          </cell>
          <cell r="P33" t="str">
            <v>EQ</v>
          </cell>
          <cell r="Q33" t="str">
            <v>STK</v>
          </cell>
          <cell r="R33" t="str">
            <v>DCC</v>
          </cell>
          <cell r="T33" t="str">
            <v>NSE</v>
          </cell>
          <cell r="U33">
            <v>0.05</v>
          </cell>
          <cell r="V33" t="str">
            <v>N.A.</v>
          </cell>
          <cell r="W33" t="str">
            <v>N.A.</v>
          </cell>
          <cell r="X33" t="str">
            <v>N.A.</v>
          </cell>
        </row>
        <row r="34">
          <cell r="A34">
            <v>29</v>
          </cell>
          <cell r="B34" t="str">
            <v>S29</v>
          </cell>
          <cell r="C34" t="str">
            <v>EQUITY</v>
          </cell>
          <cell r="D34" t="str">
            <v>EQUITY</v>
          </cell>
          <cell r="E34" t="str">
            <v>STOCKS</v>
          </cell>
          <cell r="F34" t="str">
            <v>WCC</v>
          </cell>
          <cell r="H34" t="str">
            <v>N.A.</v>
          </cell>
          <cell r="I34" t="str">
            <v>WCC</v>
          </cell>
          <cell r="K34" t="str">
            <v>5 &amp; APS</v>
          </cell>
          <cell r="N34" t="str">
            <v>STOCKS_EQ_WCC</v>
          </cell>
          <cell r="P34" t="str">
            <v>EQ</v>
          </cell>
          <cell r="Q34" t="str">
            <v>STK</v>
          </cell>
          <cell r="R34" t="str">
            <v>WCC</v>
          </cell>
          <cell r="T34" t="str">
            <v>NSE</v>
          </cell>
          <cell r="U34">
            <v>0.05</v>
          </cell>
          <cell r="V34" t="str">
            <v>N.A.</v>
          </cell>
          <cell r="W34" t="str">
            <v>N.A.</v>
          </cell>
          <cell r="X34" t="str">
            <v>N.A.</v>
          </cell>
        </row>
        <row r="35">
          <cell r="A35">
            <v>30</v>
          </cell>
          <cell r="B35" t="str">
            <v>S30</v>
          </cell>
          <cell r="C35" t="str">
            <v>EQUITY</v>
          </cell>
          <cell r="D35" t="str">
            <v>EQUITY</v>
          </cell>
          <cell r="E35" t="str">
            <v>STOCKS</v>
          </cell>
          <cell r="F35" t="str">
            <v>MCC</v>
          </cell>
          <cell r="H35" t="str">
            <v>N.A.</v>
          </cell>
          <cell r="I35" t="str">
            <v>MCC</v>
          </cell>
          <cell r="K35" t="str">
            <v>5 &amp; APS</v>
          </cell>
          <cell r="N35" t="str">
            <v>STOCKS_EQ_MCC</v>
          </cell>
          <cell r="P35" t="str">
            <v>EQ</v>
          </cell>
          <cell r="Q35" t="str">
            <v>STK</v>
          </cell>
          <cell r="R35" t="str">
            <v>MCC</v>
          </cell>
          <cell r="T35" t="str">
            <v>NSE</v>
          </cell>
          <cell r="U35">
            <v>0.05</v>
          </cell>
          <cell r="V35" t="str">
            <v>N.A.</v>
          </cell>
          <cell r="W35" t="str">
            <v>N.A.</v>
          </cell>
          <cell r="X35" t="str">
            <v>N.A.</v>
          </cell>
        </row>
        <row r="36">
          <cell r="A36">
            <v>31</v>
          </cell>
          <cell r="B36" t="str">
            <v>S31</v>
          </cell>
          <cell r="U36" t="str">
            <v/>
          </cell>
          <cell r="V36" t="str">
            <v/>
          </cell>
        </row>
        <row r="37">
          <cell r="A37">
            <v>32</v>
          </cell>
          <cell r="B37" t="str">
            <v>S32</v>
          </cell>
          <cell r="U37" t="str">
            <v/>
          </cell>
          <cell r="V37" t="str">
            <v/>
          </cell>
        </row>
        <row r="38">
          <cell r="A38">
            <v>33</v>
          </cell>
          <cell r="B38" t="str">
            <v>S33</v>
          </cell>
          <cell r="U38" t="str">
            <v/>
          </cell>
          <cell r="V38" t="str">
            <v/>
          </cell>
        </row>
        <row r="39">
          <cell r="A39">
            <v>34</v>
          </cell>
          <cell r="B39" t="str">
            <v>S34</v>
          </cell>
          <cell r="U39" t="str">
            <v/>
          </cell>
          <cell r="V39" t="str">
            <v/>
          </cell>
        </row>
        <row r="40">
          <cell r="A40">
            <v>35</v>
          </cell>
          <cell r="B40" t="str">
            <v>S35</v>
          </cell>
          <cell r="U40" t="str">
            <v/>
          </cell>
          <cell r="V40" t="str">
            <v/>
          </cell>
        </row>
        <row r="41">
          <cell r="A41">
            <v>36</v>
          </cell>
          <cell r="B41" t="str">
            <v>S36</v>
          </cell>
          <cell r="U41" t="str">
            <v/>
          </cell>
          <cell r="V41" t="str">
            <v/>
          </cell>
        </row>
        <row r="42">
          <cell r="A42">
            <v>37</v>
          </cell>
          <cell r="B42" t="str">
            <v>S37</v>
          </cell>
          <cell r="U42" t="str">
            <v/>
          </cell>
          <cell r="V42" t="str">
            <v/>
          </cell>
        </row>
        <row r="43">
          <cell r="A43">
            <v>38</v>
          </cell>
          <cell r="B43" t="str">
            <v>S38</v>
          </cell>
          <cell r="U43" t="str">
            <v/>
          </cell>
          <cell r="V43" t="str">
            <v/>
          </cell>
        </row>
        <row r="44">
          <cell r="A44">
            <v>39</v>
          </cell>
          <cell r="B44" t="str">
            <v>S39</v>
          </cell>
          <cell r="U44" t="str">
            <v/>
          </cell>
          <cell r="V44" t="str">
            <v/>
          </cell>
        </row>
        <row r="45">
          <cell r="A45">
            <v>40</v>
          </cell>
          <cell r="B45" t="str">
            <v>S40</v>
          </cell>
          <cell r="U45" t="str">
            <v/>
          </cell>
          <cell r="V45" t="str">
            <v/>
          </cell>
        </row>
        <row r="46">
          <cell r="A46">
            <v>41</v>
          </cell>
          <cell r="B46" t="str">
            <v>S41</v>
          </cell>
          <cell r="U46" t="str">
            <v/>
          </cell>
          <cell r="V46" t="str">
            <v/>
          </cell>
        </row>
        <row r="47">
          <cell r="A47">
            <v>42</v>
          </cell>
          <cell r="B47" t="str">
            <v>S42</v>
          </cell>
          <cell r="U47" t="str">
            <v/>
          </cell>
          <cell r="V47" t="str">
            <v/>
          </cell>
        </row>
        <row r="48">
          <cell r="A48">
            <v>43</v>
          </cell>
          <cell r="B48" t="str">
            <v>S43</v>
          </cell>
          <cell r="U48" t="str">
            <v/>
          </cell>
          <cell r="V48" t="str">
            <v/>
          </cell>
        </row>
        <row r="49">
          <cell r="A49">
            <v>44</v>
          </cell>
          <cell r="B49" t="str">
            <v>S44</v>
          </cell>
          <cell r="U49" t="str">
            <v/>
          </cell>
          <cell r="V49" t="str">
            <v/>
          </cell>
        </row>
        <row r="50">
          <cell r="A50">
            <v>45</v>
          </cell>
          <cell r="B50" t="str">
            <v>S45</v>
          </cell>
          <cell r="U50" t="str">
            <v/>
          </cell>
          <cell r="V50" t="str">
            <v/>
          </cell>
        </row>
        <row r="51">
          <cell r="A51">
            <v>46</v>
          </cell>
          <cell r="B51" t="str">
            <v>S46</v>
          </cell>
          <cell r="U51" t="str">
            <v/>
          </cell>
          <cell r="V51" t="str">
            <v/>
          </cell>
        </row>
        <row r="52">
          <cell r="A52">
            <v>47</v>
          </cell>
          <cell r="B52" t="str">
            <v>S47</v>
          </cell>
          <cell r="U52" t="str">
            <v/>
          </cell>
          <cell r="V52" t="str">
            <v/>
          </cell>
        </row>
        <row r="53">
          <cell r="A53">
            <v>48</v>
          </cell>
          <cell r="B53" t="str">
            <v>S48</v>
          </cell>
          <cell r="U53" t="str">
            <v/>
          </cell>
          <cell r="V53" t="str">
            <v/>
          </cell>
        </row>
        <row r="54">
          <cell r="A54">
            <v>49</v>
          </cell>
          <cell r="B54" t="str">
            <v>S49</v>
          </cell>
          <cell r="U54" t="str">
            <v/>
          </cell>
          <cell r="V54" t="str">
            <v/>
          </cell>
        </row>
        <row r="55">
          <cell r="A55">
            <v>50</v>
          </cell>
          <cell r="B55" t="str">
            <v>S50</v>
          </cell>
          <cell r="U55" t="str">
            <v/>
          </cell>
          <cell r="V55" t="str">
            <v/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>
        <row r="8">
          <cell r="B8" t="str">
            <v>AARTIIND</v>
          </cell>
        </row>
        <row r="9">
          <cell r="B9" t="str">
            <v>ABB</v>
          </cell>
        </row>
        <row r="10">
          <cell r="B10" t="str">
            <v>ABBOTINDIA</v>
          </cell>
        </row>
        <row r="11">
          <cell r="B11" t="str">
            <v>ABCAPITAL</v>
          </cell>
        </row>
        <row r="12">
          <cell r="B12" t="str">
            <v>ABFRL</v>
          </cell>
        </row>
        <row r="13">
          <cell r="B13" t="str">
            <v>ACC</v>
          </cell>
        </row>
        <row r="14">
          <cell r="B14" t="str">
            <v>ADANIENT</v>
          </cell>
        </row>
        <row r="15">
          <cell r="B15" t="str">
            <v>ADANIPORTS</v>
          </cell>
        </row>
        <row r="16">
          <cell r="B16" t="str">
            <v>ALKEM</v>
          </cell>
        </row>
        <row r="17">
          <cell r="B17" t="str">
            <v>AMBUJACEM</v>
          </cell>
        </row>
        <row r="18">
          <cell r="B18" t="str">
            <v>APOLLOHOSP</v>
          </cell>
        </row>
        <row r="19">
          <cell r="B19" t="str">
            <v>APOLLOTYRE</v>
          </cell>
        </row>
        <row r="20">
          <cell r="B20" t="str">
            <v>ASHOKLEY</v>
          </cell>
        </row>
        <row r="21">
          <cell r="B21" t="str">
            <v>ASIANPAINT</v>
          </cell>
        </row>
        <row r="22">
          <cell r="B22" t="str">
            <v>ASTRAL</v>
          </cell>
        </row>
        <row r="23">
          <cell r="B23" t="str">
            <v>ATUL</v>
          </cell>
        </row>
        <row r="24">
          <cell r="B24" t="str">
            <v>AUBANK</v>
          </cell>
        </row>
        <row r="25">
          <cell r="B25" t="str">
            <v>AUROPHARMA</v>
          </cell>
        </row>
        <row r="26">
          <cell r="B26" t="str">
            <v>AXISBANK</v>
          </cell>
        </row>
        <row r="27">
          <cell r="B27" t="str">
            <v>BAJAJ-AUTO</v>
          </cell>
        </row>
        <row r="28">
          <cell r="B28" t="str">
            <v>BAJAJFINSV</v>
          </cell>
        </row>
        <row r="29">
          <cell r="B29" t="str">
            <v>BAJFINANCE</v>
          </cell>
        </row>
        <row r="30">
          <cell r="B30" t="str">
            <v>BALKRISIND</v>
          </cell>
        </row>
        <row r="31">
          <cell r="B31" t="str">
            <v>BALRAMCHIN</v>
          </cell>
        </row>
        <row r="32">
          <cell r="B32" t="str">
            <v>BANDHANBNK</v>
          </cell>
        </row>
        <row r="33">
          <cell r="B33" t="str">
            <v>BANKBARODA</v>
          </cell>
        </row>
        <row r="34">
          <cell r="B34" t="str">
            <v>BANKNIFTY</v>
          </cell>
        </row>
        <row r="35">
          <cell r="B35" t="str">
            <v>BATAINDIA</v>
          </cell>
        </row>
        <row r="36">
          <cell r="B36" t="str">
            <v>BEL</v>
          </cell>
        </row>
        <row r="37">
          <cell r="B37" t="str">
            <v>BERGEPAINT</v>
          </cell>
        </row>
        <row r="38">
          <cell r="B38" t="str">
            <v>BHARATFORG</v>
          </cell>
        </row>
        <row r="39">
          <cell r="B39" t="str">
            <v>BHARTIARTL</v>
          </cell>
        </row>
        <row r="40">
          <cell r="B40" t="str">
            <v>BHEL</v>
          </cell>
        </row>
        <row r="41">
          <cell r="B41" t="str">
            <v>BIOCON</v>
          </cell>
        </row>
        <row r="42">
          <cell r="B42" t="str">
            <v>BOSCHLTD</v>
          </cell>
        </row>
        <row r="43">
          <cell r="B43" t="str">
            <v>BPCL</v>
          </cell>
        </row>
        <row r="44">
          <cell r="B44" t="str">
            <v>BRITANNIA</v>
          </cell>
        </row>
        <row r="45">
          <cell r="B45" t="str">
            <v>BSOFT</v>
          </cell>
        </row>
        <row r="46">
          <cell r="B46" t="str">
            <v>CANBK</v>
          </cell>
        </row>
        <row r="47">
          <cell r="B47" t="str">
            <v>CANFINHOME</v>
          </cell>
        </row>
        <row r="48">
          <cell r="B48" t="str">
            <v>CHAMBLFERT</v>
          </cell>
        </row>
        <row r="49">
          <cell r="B49" t="str">
            <v>CHOLAFIN</v>
          </cell>
        </row>
        <row r="50">
          <cell r="B50" t="str">
            <v>CIPLA</v>
          </cell>
        </row>
        <row r="51">
          <cell r="B51" t="str">
            <v>COALINDIA</v>
          </cell>
        </row>
        <row r="52">
          <cell r="B52" t="str">
            <v>COFORGE</v>
          </cell>
        </row>
        <row r="53">
          <cell r="B53" t="str">
            <v>COLPAL</v>
          </cell>
        </row>
        <row r="54">
          <cell r="B54" t="str">
            <v>CONCOR</v>
          </cell>
        </row>
        <row r="55">
          <cell r="B55" t="str">
            <v>COROMANDEL</v>
          </cell>
        </row>
        <row r="56">
          <cell r="B56" t="str">
            <v>CROMPTON</v>
          </cell>
        </row>
        <row r="57">
          <cell r="B57" t="str">
            <v>CUB</v>
          </cell>
        </row>
        <row r="58">
          <cell r="B58" t="str">
            <v>CUMMINSIND</v>
          </cell>
        </row>
        <row r="59">
          <cell r="B59" t="str">
            <v>DABUR</v>
          </cell>
        </row>
        <row r="60">
          <cell r="B60" t="str">
            <v>DALBHARAT</v>
          </cell>
        </row>
        <row r="61">
          <cell r="B61" t="str">
            <v>DEEPAKNTR</v>
          </cell>
        </row>
        <row r="62">
          <cell r="B62" t="str">
            <v>DELTACORP</v>
          </cell>
        </row>
        <row r="63">
          <cell r="B63" t="str">
            <v>DIVISLAB</v>
          </cell>
        </row>
        <row r="64">
          <cell r="B64" t="str">
            <v>DIXON</v>
          </cell>
        </row>
        <row r="65">
          <cell r="B65" t="str">
            <v>DLF</v>
          </cell>
        </row>
        <row r="66">
          <cell r="B66" t="str">
            <v>DRREDDY</v>
          </cell>
        </row>
        <row r="67">
          <cell r="B67" t="str">
            <v>EICHERMOT</v>
          </cell>
        </row>
        <row r="68">
          <cell r="B68" t="str">
            <v>ESCORTS</v>
          </cell>
        </row>
        <row r="69">
          <cell r="B69" t="str">
            <v>EXIDEIND</v>
          </cell>
        </row>
        <row r="70">
          <cell r="B70" t="str">
            <v>FEDERALBNK</v>
          </cell>
        </row>
        <row r="71">
          <cell r="B71" t="str">
            <v>FINNIFTY</v>
          </cell>
        </row>
        <row r="72">
          <cell r="B72" t="str">
            <v>GAIL</v>
          </cell>
        </row>
        <row r="73">
          <cell r="B73" t="str">
            <v>GLENMARK</v>
          </cell>
        </row>
        <row r="74">
          <cell r="B74" t="str">
            <v>GMRINFRA</v>
          </cell>
        </row>
        <row r="75">
          <cell r="B75" t="str">
            <v>GNFC</v>
          </cell>
        </row>
        <row r="76">
          <cell r="B76" t="str">
            <v>GODREJCP</v>
          </cell>
        </row>
        <row r="77">
          <cell r="B77" t="str">
            <v>GODREJPROP</v>
          </cell>
        </row>
        <row r="78">
          <cell r="B78" t="str">
            <v>GRANULES</v>
          </cell>
        </row>
        <row r="79">
          <cell r="B79" t="str">
            <v>GRASIM</v>
          </cell>
        </row>
        <row r="80">
          <cell r="B80" t="str">
            <v>GUJGASLTD</v>
          </cell>
        </row>
        <row r="81">
          <cell r="B81" t="str">
            <v>HAL</v>
          </cell>
        </row>
        <row r="82">
          <cell r="B82" t="str">
            <v>HAVELLS</v>
          </cell>
        </row>
        <row r="83">
          <cell r="B83" t="str">
            <v>HCLTECH</v>
          </cell>
        </row>
        <row r="84">
          <cell r="B84" t="str">
            <v>HDFCAMC</v>
          </cell>
        </row>
        <row r="85">
          <cell r="B85" t="str">
            <v>HDFCBANK</v>
          </cell>
        </row>
        <row r="86">
          <cell r="B86" t="str">
            <v>HDFCLIFE</v>
          </cell>
        </row>
        <row r="87">
          <cell r="B87" t="str">
            <v>HEROMOTOCO</v>
          </cell>
        </row>
        <row r="88">
          <cell r="B88" t="str">
            <v>HINDALCO</v>
          </cell>
        </row>
        <row r="89">
          <cell r="B89" t="str">
            <v>HINDCOPPER</v>
          </cell>
        </row>
        <row r="90">
          <cell r="B90" t="str">
            <v>HINDPETRO</v>
          </cell>
        </row>
        <row r="91">
          <cell r="B91" t="str">
            <v>HINDUNILVR</v>
          </cell>
        </row>
        <row r="92">
          <cell r="B92" t="str">
            <v>IBULHSGFIN</v>
          </cell>
        </row>
        <row r="93">
          <cell r="B93" t="str">
            <v>ICICIBANK</v>
          </cell>
        </row>
        <row r="94">
          <cell r="B94" t="str">
            <v>ICICIGI</v>
          </cell>
        </row>
        <row r="95">
          <cell r="B95" t="str">
            <v>ICICIPRULI</v>
          </cell>
        </row>
        <row r="96">
          <cell r="B96" t="str">
            <v>IDEA</v>
          </cell>
        </row>
        <row r="97">
          <cell r="B97" t="str">
            <v>IDFC</v>
          </cell>
        </row>
        <row r="98">
          <cell r="B98" t="str">
            <v>IDFCFIRSTB</v>
          </cell>
        </row>
        <row r="99">
          <cell r="B99" t="str">
            <v>IEX</v>
          </cell>
        </row>
        <row r="100">
          <cell r="B100" t="str">
            <v>IGL</v>
          </cell>
        </row>
        <row r="101">
          <cell r="B101" t="str">
            <v>INDHOTEL</v>
          </cell>
        </row>
        <row r="102">
          <cell r="B102" t="str">
            <v>INDIACEM</v>
          </cell>
        </row>
        <row r="103">
          <cell r="B103" t="str">
            <v>INDIAMART</v>
          </cell>
        </row>
        <row r="104">
          <cell r="B104" t="str">
            <v>INDIGO</v>
          </cell>
        </row>
        <row r="105">
          <cell r="B105" t="str">
            <v>INDUSINDBK</v>
          </cell>
        </row>
        <row r="106">
          <cell r="B106" t="str">
            <v>INDUSTOWER</v>
          </cell>
        </row>
        <row r="107">
          <cell r="B107" t="str">
            <v>INFY</v>
          </cell>
        </row>
        <row r="108">
          <cell r="B108" t="str">
            <v>IOC</v>
          </cell>
        </row>
        <row r="109">
          <cell r="B109" t="str">
            <v>IPCALAB</v>
          </cell>
        </row>
        <row r="110">
          <cell r="B110" t="str">
            <v>IRCTC</v>
          </cell>
        </row>
        <row r="111">
          <cell r="B111" t="str">
            <v>ITC</v>
          </cell>
        </row>
        <row r="112">
          <cell r="B112" t="str">
            <v>JINDALSTEL</v>
          </cell>
        </row>
        <row r="113">
          <cell r="B113" t="str">
            <v>JKCEMENT</v>
          </cell>
        </row>
        <row r="114">
          <cell r="B114" t="str">
            <v>JSWSTEEL</v>
          </cell>
        </row>
        <row r="115">
          <cell r="B115" t="str">
            <v>JUBLFOOD</v>
          </cell>
        </row>
        <row r="116">
          <cell r="B116" t="str">
            <v>KOTAKBANK</v>
          </cell>
        </row>
        <row r="117">
          <cell r="B117" t="str">
            <v>L&amp;TFH</v>
          </cell>
        </row>
        <row r="118">
          <cell r="B118" t="str">
            <v>LALPATHLAB</v>
          </cell>
        </row>
        <row r="119">
          <cell r="B119" t="str">
            <v>LAURUSLABS</v>
          </cell>
        </row>
        <row r="120">
          <cell r="B120" t="str">
            <v>LICHSGFIN</v>
          </cell>
        </row>
        <row r="121">
          <cell r="B121" t="str">
            <v>LT</v>
          </cell>
        </row>
        <row r="122">
          <cell r="B122" t="str">
            <v>LTIM</v>
          </cell>
        </row>
        <row r="123">
          <cell r="B123" t="str">
            <v>LTTS</v>
          </cell>
        </row>
        <row r="124">
          <cell r="B124" t="str">
            <v>LUPIN</v>
          </cell>
        </row>
        <row r="125">
          <cell r="B125" t="str">
            <v>M&amp;M</v>
          </cell>
        </row>
        <row r="126">
          <cell r="B126" t="str">
            <v>M&amp;MFIN</v>
          </cell>
        </row>
        <row r="127">
          <cell r="B127" t="str">
            <v>MANAPPURAM</v>
          </cell>
        </row>
        <row r="128">
          <cell r="B128" t="str">
            <v>MARICO</v>
          </cell>
        </row>
        <row r="129">
          <cell r="B129" t="str">
            <v>MARUTI</v>
          </cell>
        </row>
        <row r="130">
          <cell r="B130" t="str">
            <v>MCDOWELL-N</v>
          </cell>
        </row>
        <row r="131">
          <cell r="B131" t="str">
            <v>MCX</v>
          </cell>
        </row>
        <row r="132">
          <cell r="B132" t="str">
            <v>METROPOLIS</v>
          </cell>
        </row>
        <row r="133">
          <cell r="B133" t="str">
            <v>MFSL</v>
          </cell>
        </row>
        <row r="134">
          <cell r="B134" t="str">
            <v>MGL</v>
          </cell>
        </row>
        <row r="135">
          <cell r="B135" t="str">
            <v>MIDCPNIFTY</v>
          </cell>
        </row>
        <row r="136">
          <cell r="B136" t="str">
            <v>MOTHERSON</v>
          </cell>
        </row>
        <row r="137">
          <cell r="B137" t="str">
            <v>MPHASIS</v>
          </cell>
        </row>
        <row r="138">
          <cell r="B138" t="str">
            <v>MRF</v>
          </cell>
        </row>
        <row r="139">
          <cell r="B139" t="str">
            <v>MUTHOOTFIN</v>
          </cell>
        </row>
        <row r="140">
          <cell r="B140" t="str">
            <v>NATIONALUM</v>
          </cell>
        </row>
        <row r="141">
          <cell r="B141" t="str">
            <v>NAUKRI</v>
          </cell>
        </row>
        <row r="142">
          <cell r="B142" t="str">
            <v>NAVINFLUOR</v>
          </cell>
        </row>
        <row r="143">
          <cell r="B143" t="str">
            <v>NESTLEIND</v>
          </cell>
        </row>
        <row r="144">
          <cell r="B144" t="str">
            <v>NIFTY</v>
          </cell>
        </row>
        <row r="145">
          <cell r="B145" t="str">
            <v>NMDC</v>
          </cell>
        </row>
        <row r="146">
          <cell r="B146" t="str">
            <v>NTPC</v>
          </cell>
        </row>
        <row r="147">
          <cell r="B147" t="str">
            <v>OBEROIRLTY</v>
          </cell>
        </row>
        <row r="148">
          <cell r="B148" t="str">
            <v>OFSS</v>
          </cell>
        </row>
        <row r="149">
          <cell r="B149" t="str">
            <v>ONGC</v>
          </cell>
        </row>
        <row r="150">
          <cell r="B150" t="str">
            <v>PAGEIND</v>
          </cell>
        </row>
        <row r="151">
          <cell r="B151" t="str">
            <v>PEL</v>
          </cell>
        </row>
        <row r="152">
          <cell r="B152" t="str">
            <v>PERSISTENT</v>
          </cell>
        </row>
        <row r="153">
          <cell r="B153" t="str">
            <v>PETRONET</v>
          </cell>
        </row>
        <row r="154">
          <cell r="B154" t="str">
            <v>PFC</v>
          </cell>
        </row>
        <row r="155">
          <cell r="B155" t="str">
            <v>PIDILITIND</v>
          </cell>
        </row>
        <row r="156">
          <cell r="B156" t="str">
            <v>PIIND</v>
          </cell>
        </row>
        <row r="157">
          <cell r="B157" t="str">
            <v>PNB</v>
          </cell>
        </row>
        <row r="158">
          <cell r="B158" t="str">
            <v>POLYCAB</v>
          </cell>
        </row>
        <row r="159">
          <cell r="B159" t="str">
            <v>POWERGRID</v>
          </cell>
        </row>
        <row r="160">
          <cell r="B160" t="str">
            <v>PVRINOX</v>
          </cell>
        </row>
        <row r="161">
          <cell r="B161" t="str">
            <v>RAMCOCEM</v>
          </cell>
        </row>
        <row r="162">
          <cell r="B162" t="str">
            <v>RBLBANK</v>
          </cell>
        </row>
        <row r="163">
          <cell r="B163" t="str">
            <v>RECLTD</v>
          </cell>
        </row>
        <row r="164">
          <cell r="B164" t="str">
            <v>RELIANCE</v>
          </cell>
        </row>
        <row r="165">
          <cell r="B165" t="str">
            <v>SAIL</v>
          </cell>
        </row>
        <row r="166">
          <cell r="B166" t="str">
            <v>SBICARD</v>
          </cell>
        </row>
        <row r="167">
          <cell r="B167" t="str">
            <v>SBILIFE</v>
          </cell>
        </row>
        <row r="168">
          <cell r="B168" t="str">
            <v>SBIN</v>
          </cell>
        </row>
        <row r="169">
          <cell r="B169" t="str">
            <v>SHREECEM</v>
          </cell>
        </row>
        <row r="170">
          <cell r="B170" t="str">
            <v>SHRIRAMFIN</v>
          </cell>
        </row>
        <row r="171">
          <cell r="B171" t="str">
            <v>SIEMENS</v>
          </cell>
        </row>
        <row r="172">
          <cell r="B172" t="str">
            <v>SRF</v>
          </cell>
        </row>
        <row r="173">
          <cell r="B173" t="str">
            <v>SUNPHARMA</v>
          </cell>
        </row>
        <row r="174">
          <cell r="B174" t="str">
            <v>SUNTV</v>
          </cell>
        </row>
        <row r="175">
          <cell r="B175" t="str">
            <v>SYNGENE</v>
          </cell>
        </row>
        <row r="176">
          <cell r="B176" t="str">
            <v>TATACHEM</v>
          </cell>
        </row>
        <row r="177">
          <cell r="B177" t="str">
            <v>TATACOMM</v>
          </cell>
        </row>
        <row r="178">
          <cell r="B178" t="str">
            <v>TATACONSUM</v>
          </cell>
        </row>
        <row r="179">
          <cell r="B179" t="str">
            <v>TATAMOTORS</v>
          </cell>
        </row>
        <row r="180">
          <cell r="B180" t="str">
            <v>TATAPOWER</v>
          </cell>
        </row>
        <row r="181">
          <cell r="B181" t="str">
            <v>TATASTEEL</v>
          </cell>
        </row>
        <row r="182">
          <cell r="B182" t="str">
            <v>TCS</v>
          </cell>
        </row>
        <row r="183">
          <cell r="B183" t="str">
            <v>TECHM</v>
          </cell>
        </row>
        <row r="184">
          <cell r="B184" t="str">
            <v>TITAN</v>
          </cell>
        </row>
        <row r="185">
          <cell r="B185" t="str">
            <v>TORNTPHARM</v>
          </cell>
        </row>
        <row r="186">
          <cell r="B186" t="str">
            <v>TRENT</v>
          </cell>
        </row>
        <row r="187">
          <cell r="B187" t="str">
            <v>TVSMOTOR</v>
          </cell>
        </row>
        <row r="188">
          <cell r="B188" t="str">
            <v>UBL</v>
          </cell>
        </row>
        <row r="189">
          <cell r="B189" t="str">
            <v>ULTRACEMCO</v>
          </cell>
        </row>
        <row r="190">
          <cell r="B190" t="str">
            <v>UPL</v>
          </cell>
        </row>
        <row r="191">
          <cell r="B191" t="str">
            <v>VEDL</v>
          </cell>
        </row>
        <row r="192">
          <cell r="B192" t="str">
            <v>VOLTAS</v>
          </cell>
        </row>
        <row r="193">
          <cell r="B193" t="str">
            <v>WIPRO</v>
          </cell>
        </row>
        <row r="194">
          <cell r="B194" t="str">
            <v>ZEEL</v>
          </cell>
        </row>
        <row r="195">
          <cell r="B195" t="str">
            <v>ZYDUSLIFE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D693A-5DE3-4C38-8B89-9403F100AE8A}">
  <sheetPr>
    <outlinePr summaryBelow="0" summaryRight="0"/>
  </sheetPr>
  <dimension ref="A1:AM1008"/>
  <sheetViews>
    <sheetView showGridLines="0" tabSelected="1" topLeftCell="I1" workbookViewId="0">
      <selection sqref="A1:XFD1048576"/>
    </sheetView>
  </sheetViews>
  <sheetFormatPr defaultColWidth="12.7109375" defaultRowHeight="15" customHeight="1" x14ac:dyDescent="0.2"/>
  <cols>
    <col min="1" max="1" width="5.28515625" customWidth="1"/>
    <col min="2" max="2" width="7.140625" customWidth="1"/>
    <col min="3" max="3" width="12.28515625" customWidth="1"/>
    <col min="4" max="4" width="9.140625" customWidth="1"/>
    <col min="5" max="6" width="6.28515625" customWidth="1"/>
    <col min="7" max="7" width="11.7109375" customWidth="1"/>
    <col min="8" max="8" width="19.7109375" customWidth="1"/>
    <col min="9" max="9" width="12.28515625" customWidth="1"/>
    <col min="10" max="10" width="14.85546875" customWidth="1"/>
    <col min="11" max="11" width="19.7109375" customWidth="1"/>
    <col min="12" max="12" width="9.42578125" customWidth="1"/>
    <col min="13" max="13" width="14.28515625" customWidth="1"/>
    <col min="14" max="14" width="23" customWidth="1"/>
    <col min="15" max="15" width="9.28515625" customWidth="1"/>
    <col min="16" max="16" width="9.7109375" customWidth="1"/>
    <col min="17" max="17" width="19.7109375" customWidth="1"/>
    <col min="18" max="18" width="17.140625" customWidth="1"/>
    <col min="19" max="19" width="9.140625" customWidth="1"/>
    <col min="20" max="20" width="19.7109375" customWidth="1"/>
    <col min="21" max="21" width="3.42578125" customWidth="1"/>
    <col min="22" max="22" width="14.7109375" customWidth="1"/>
    <col min="23" max="23" width="19.7109375" customWidth="1"/>
    <col min="24" max="24" width="10.140625" customWidth="1"/>
    <col min="25" max="25" width="5.85546875" customWidth="1"/>
    <col min="26" max="26" width="19.28515625" customWidth="1"/>
    <col min="27" max="27" width="5.7109375" customWidth="1"/>
    <col min="28" max="28" width="2.42578125" customWidth="1"/>
    <col min="29" max="29" width="1.85546875" customWidth="1"/>
    <col min="30" max="39" width="11.42578125" customWidth="1"/>
  </cols>
  <sheetData>
    <row r="1" spans="1:39" ht="15.75" customHeight="1" x14ac:dyDescent="0.2">
      <c r="A1" s="1" t="s">
        <v>0</v>
      </c>
      <c r="B1" s="2"/>
      <c r="C1" s="2"/>
      <c r="D1" s="2"/>
      <c r="E1" s="2"/>
      <c r="F1" s="2"/>
      <c r="G1" s="3"/>
      <c r="H1" s="4" t="s">
        <v>1</v>
      </c>
      <c r="I1" s="5" t="s">
        <v>2</v>
      </c>
      <c r="J1" s="6"/>
      <c r="K1" s="7" t="s">
        <v>3</v>
      </c>
      <c r="L1" s="5" t="s">
        <v>2</v>
      </c>
      <c r="M1" s="6"/>
      <c r="N1" s="8" t="s">
        <v>4</v>
      </c>
      <c r="O1" s="5" t="s">
        <v>2</v>
      </c>
      <c r="P1" s="6"/>
      <c r="Q1" s="9" t="s">
        <v>5</v>
      </c>
      <c r="R1" s="5" t="s">
        <v>2</v>
      </c>
      <c r="S1" s="6"/>
      <c r="T1" s="7" t="s">
        <v>6</v>
      </c>
      <c r="U1" s="5" t="s">
        <v>2</v>
      </c>
      <c r="V1" s="6"/>
      <c r="W1" s="8" t="s">
        <v>7</v>
      </c>
      <c r="X1" s="5" t="s">
        <v>2</v>
      </c>
      <c r="Y1" s="6"/>
      <c r="Z1" s="9" t="s">
        <v>8</v>
      </c>
      <c r="AA1" s="5" t="s">
        <v>2</v>
      </c>
      <c r="AB1" s="6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</row>
    <row r="2" spans="1:39" ht="15.75" customHeight="1" x14ac:dyDescent="0.2">
      <c r="A2" s="11"/>
      <c r="B2" s="12"/>
      <c r="C2" s="12"/>
      <c r="D2" s="12"/>
      <c r="E2" s="12"/>
      <c r="F2" s="12"/>
      <c r="G2" s="13"/>
      <c r="H2" s="14" t="s">
        <v>9</v>
      </c>
      <c r="I2" s="15"/>
      <c r="J2" s="16"/>
      <c r="K2" s="17" t="s">
        <v>10</v>
      </c>
      <c r="L2" s="15"/>
      <c r="M2" s="16"/>
      <c r="N2" s="18" t="s">
        <v>11</v>
      </c>
      <c r="O2" s="15"/>
      <c r="P2" s="16"/>
      <c r="Q2" s="19" t="s">
        <v>12</v>
      </c>
      <c r="R2" s="15"/>
      <c r="S2" s="16"/>
      <c r="T2" s="17" t="s">
        <v>13</v>
      </c>
      <c r="U2" s="15"/>
      <c r="V2" s="16"/>
      <c r="W2" s="18" t="s">
        <v>14</v>
      </c>
      <c r="X2" s="15"/>
      <c r="Y2" s="16"/>
      <c r="Z2" s="19" t="s">
        <v>15</v>
      </c>
      <c r="AA2" s="15"/>
      <c r="AB2" s="16"/>
      <c r="AC2" s="10"/>
      <c r="AD2" s="20"/>
      <c r="AE2" s="20"/>
      <c r="AF2" s="10"/>
      <c r="AG2" s="10"/>
      <c r="AH2" s="10"/>
      <c r="AI2" s="10"/>
      <c r="AJ2" s="10"/>
      <c r="AK2" s="10"/>
      <c r="AL2" s="10"/>
      <c r="AM2" s="10"/>
    </row>
    <row r="3" spans="1:39" ht="12.75" customHeight="1" thickBot="1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1"/>
      <c r="AE3" s="21"/>
      <c r="AF3" s="20"/>
      <c r="AG3" s="20"/>
      <c r="AH3" s="20"/>
      <c r="AI3" s="20"/>
      <c r="AJ3" s="20"/>
      <c r="AK3" s="20"/>
      <c r="AL3" s="20"/>
      <c r="AM3" s="20"/>
    </row>
    <row r="4" spans="1:39" ht="15.75" customHeight="1" thickBot="1" x14ac:dyDescent="0.25">
      <c r="A4" s="20" t="s">
        <v>16</v>
      </c>
      <c r="B4" s="22" t="s">
        <v>17</v>
      </c>
      <c r="C4" s="23"/>
      <c r="D4" s="24" t="s">
        <v>18</v>
      </c>
      <c r="E4" s="25"/>
      <c r="F4" s="26" t="s">
        <v>19</v>
      </c>
      <c r="G4" s="27" t="s">
        <v>20</v>
      </c>
      <c r="H4" s="28"/>
      <c r="I4" s="29"/>
      <c r="J4" s="30"/>
      <c r="K4" s="31"/>
      <c r="L4" s="29"/>
      <c r="M4" s="30"/>
      <c r="N4" s="31"/>
      <c r="O4" s="29"/>
      <c r="P4" s="30"/>
      <c r="Q4" s="31"/>
      <c r="R4" s="29"/>
      <c r="S4" s="30"/>
      <c r="T4" s="31"/>
      <c r="U4" s="29"/>
      <c r="V4" s="30"/>
      <c r="W4" s="31"/>
      <c r="X4" s="29"/>
      <c r="Y4" s="30"/>
      <c r="Z4" s="31"/>
      <c r="AA4" s="29"/>
      <c r="AB4" s="32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</row>
    <row r="5" spans="1:39" ht="15.75" customHeight="1" thickBot="1" x14ac:dyDescent="0.25">
      <c r="A5" s="20" t="s">
        <v>16</v>
      </c>
      <c r="B5" s="33" t="s">
        <v>21</v>
      </c>
      <c r="C5" s="34"/>
      <c r="D5" s="35"/>
      <c r="E5" s="25"/>
      <c r="F5" s="36"/>
      <c r="G5" s="37" t="s">
        <v>22</v>
      </c>
      <c r="H5" s="38"/>
      <c r="I5" s="39"/>
      <c r="J5" s="40"/>
      <c r="K5" s="38"/>
      <c r="L5" s="39"/>
      <c r="M5" s="40"/>
      <c r="N5" s="38"/>
      <c r="O5" s="39"/>
      <c r="P5" s="40"/>
      <c r="Q5" s="38"/>
      <c r="R5" s="39"/>
      <c r="S5" s="40"/>
      <c r="T5" s="38"/>
      <c r="U5" s="39"/>
      <c r="V5" s="40"/>
      <c r="W5" s="38"/>
      <c r="X5" s="39"/>
      <c r="Y5" s="40"/>
      <c r="Z5" s="41"/>
      <c r="AA5" s="39"/>
      <c r="AB5" s="42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</row>
    <row r="6" spans="1:39" ht="6" customHeight="1" thickBot="1" x14ac:dyDescent="0.25">
      <c r="A6" s="20"/>
      <c r="B6" s="43" t="s">
        <v>23</v>
      </c>
      <c r="C6" s="44"/>
      <c r="D6" s="35"/>
      <c r="E6" s="45"/>
      <c r="F6" s="46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7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</row>
    <row r="7" spans="1:39" ht="15.75" customHeight="1" thickBot="1" x14ac:dyDescent="0.25">
      <c r="A7" s="20" t="s">
        <v>24</v>
      </c>
      <c r="B7" s="48"/>
      <c r="C7" s="49"/>
      <c r="D7" s="35"/>
      <c r="E7" s="50"/>
      <c r="F7" s="51" t="s">
        <v>25</v>
      </c>
      <c r="G7" s="27" t="s">
        <v>20</v>
      </c>
      <c r="H7" s="28"/>
      <c r="I7" s="29"/>
      <c r="J7" s="30"/>
      <c r="K7" s="31"/>
      <c r="L7" s="29"/>
      <c r="M7" s="30"/>
      <c r="N7" s="31"/>
      <c r="O7" s="29"/>
      <c r="P7" s="30"/>
      <c r="Q7" s="31"/>
      <c r="R7" s="29"/>
      <c r="S7" s="30"/>
      <c r="T7" s="31"/>
      <c r="U7" s="29"/>
      <c r="V7" s="30"/>
      <c r="W7" s="31"/>
      <c r="X7" s="29"/>
      <c r="Y7" s="30"/>
      <c r="Z7" s="31"/>
      <c r="AA7" s="29"/>
      <c r="AB7" s="32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</row>
    <row r="8" spans="1:39" ht="15.75" customHeight="1" thickBot="1" x14ac:dyDescent="0.25">
      <c r="A8" s="20" t="s">
        <v>24</v>
      </c>
      <c r="B8" s="52"/>
      <c r="C8" s="53"/>
      <c r="D8" s="54"/>
      <c r="E8" s="50"/>
      <c r="F8" s="36"/>
      <c r="G8" s="37" t="s">
        <v>22</v>
      </c>
      <c r="H8" s="38"/>
      <c r="I8" s="39"/>
      <c r="J8" s="40"/>
      <c r="K8" s="38"/>
      <c r="L8" s="39"/>
      <c r="M8" s="40"/>
      <c r="N8" s="38"/>
      <c r="O8" s="39"/>
      <c r="P8" s="40"/>
      <c r="Q8" s="38"/>
      <c r="R8" s="39"/>
      <c r="S8" s="40"/>
      <c r="T8" s="38"/>
      <c r="U8" s="39"/>
      <c r="V8" s="40"/>
      <c r="W8" s="38"/>
      <c r="X8" s="39"/>
      <c r="Y8" s="40"/>
      <c r="Z8" s="41"/>
      <c r="AA8" s="39"/>
      <c r="AB8" s="42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</row>
    <row r="9" spans="1:39" ht="15.75" customHeight="1" thickBot="1" x14ac:dyDescent="0.25">
      <c r="A9" s="20" t="s">
        <v>26</v>
      </c>
      <c r="B9" s="33" t="s">
        <v>27</v>
      </c>
      <c r="C9" s="34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</row>
    <row r="10" spans="1:39" ht="15.75" customHeight="1" thickBot="1" x14ac:dyDescent="0.25">
      <c r="A10" s="20" t="s">
        <v>28</v>
      </c>
      <c r="B10" s="33" t="s">
        <v>29</v>
      </c>
      <c r="C10" s="34"/>
      <c r="D10" s="56" t="s">
        <v>30</v>
      </c>
      <c r="E10" s="25"/>
      <c r="F10" s="26" t="s">
        <v>19</v>
      </c>
      <c r="G10" s="27" t="s">
        <v>20</v>
      </c>
      <c r="H10" s="28"/>
      <c r="I10" s="29"/>
      <c r="J10" s="30"/>
      <c r="K10" s="31"/>
      <c r="L10" s="29"/>
      <c r="M10" s="30"/>
      <c r="N10" s="31"/>
      <c r="O10" s="29"/>
      <c r="P10" s="30"/>
      <c r="Q10" s="31"/>
      <c r="R10" s="29"/>
      <c r="S10" s="30"/>
      <c r="T10" s="31"/>
      <c r="U10" s="29"/>
      <c r="V10" s="30"/>
      <c r="W10" s="31"/>
      <c r="X10" s="29"/>
      <c r="Y10" s="30"/>
      <c r="Z10" s="31"/>
      <c r="AA10" s="29"/>
      <c r="AB10" s="32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</row>
    <row r="11" spans="1:39" ht="15.75" customHeight="1" thickBot="1" x14ac:dyDescent="0.25">
      <c r="A11" s="20" t="s">
        <v>28</v>
      </c>
      <c r="B11" s="33" t="s">
        <v>31</v>
      </c>
      <c r="C11" s="34"/>
      <c r="D11" s="35"/>
      <c r="E11" s="25"/>
      <c r="F11" s="36"/>
      <c r="G11" s="37" t="s">
        <v>22</v>
      </c>
      <c r="H11" s="38"/>
      <c r="I11" s="39"/>
      <c r="J11" s="40"/>
      <c r="K11" s="38"/>
      <c r="L11" s="39"/>
      <c r="M11" s="40"/>
      <c r="N11" s="38"/>
      <c r="O11" s="39"/>
      <c r="P11" s="40"/>
      <c r="Q11" s="38"/>
      <c r="R11" s="39"/>
      <c r="S11" s="40"/>
      <c r="T11" s="38"/>
      <c r="U11" s="39"/>
      <c r="V11" s="40"/>
      <c r="W11" s="38"/>
      <c r="X11" s="39"/>
      <c r="Y11" s="40"/>
      <c r="Z11" s="41"/>
      <c r="AA11" s="39"/>
      <c r="AB11" s="42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</row>
    <row r="12" spans="1:39" ht="6" customHeight="1" thickBot="1" x14ac:dyDescent="0.25">
      <c r="A12" s="20"/>
      <c r="B12" s="57" t="s">
        <v>32</v>
      </c>
      <c r="C12" s="58"/>
      <c r="D12" s="35"/>
      <c r="E12" s="45"/>
      <c r="F12" s="46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7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</row>
    <row r="13" spans="1:39" ht="15.75" customHeight="1" thickBot="1" x14ac:dyDescent="0.25">
      <c r="A13" s="20" t="s">
        <v>33</v>
      </c>
      <c r="B13" s="59"/>
      <c r="C13" s="35"/>
      <c r="D13" s="35"/>
      <c r="E13" s="50"/>
      <c r="F13" s="51" t="s">
        <v>25</v>
      </c>
      <c r="G13" s="27" t="s">
        <v>20</v>
      </c>
      <c r="H13" s="28"/>
      <c r="I13" s="29"/>
      <c r="J13" s="30"/>
      <c r="K13" s="31"/>
      <c r="L13" s="29"/>
      <c r="M13" s="30"/>
      <c r="N13" s="31"/>
      <c r="O13" s="29"/>
      <c r="P13" s="30"/>
      <c r="Q13" s="31"/>
      <c r="R13" s="29"/>
      <c r="S13" s="30"/>
      <c r="T13" s="31"/>
      <c r="U13" s="29"/>
      <c r="V13" s="30"/>
      <c r="W13" s="31"/>
      <c r="X13" s="29"/>
      <c r="Y13" s="30"/>
      <c r="Z13" s="31"/>
      <c r="AA13" s="29"/>
      <c r="AB13" s="32"/>
      <c r="AC13" s="21"/>
      <c r="AD13" s="60"/>
      <c r="AE13" s="60"/>
      <c r="AF13" s="21"/>
      <c r="AG13" s="21"/>
      <c r="AH13" s="21"/>
      <c r="AI13" s="21"/>
      <c r="AJ13" s="21"/>
      <c r="AK13" s="21"/>
      <c r="AL13" s="21"/>
      <c r="AM13" s="21"/>
    </row>
    <row r="14" spans="1:39" ht="15.75" customHeight="1" thickBot="1" x14ac:dyDescent="0.25">
      <c r="A14" s="20" t="s">
        <v>33</v>
      </c>
      <c r="B14" s="36"/>
      <c r="C14" s="54"/>
      <c r="D14" s="54"/>
      <c r="E14" s="50"/>
      <c r="F14" s="36"/>
      <c r="G14" s="37" t="s">
        <v>22</v>
      </c>
      <c r="H14" s="38"/>
      <c r="I14" s="39"/>
      <c r="J14" s="40"/>
      <c r="K14" s="38"/>
      <c r="L14" s="39"/>
      <c r="M14" s="40"/>
      <c r="N14" s="38"/>
      <c r="O14" s="39"/>
      <c r="P14" s="40"/>
      <c r="Q14" s="38"/>
      <c r="R14" s="39"/>
      <c r="S14" s="40"/>
      <c r="T14" s="38"/>
      <c r="U14" s="39"/>
      <c r="V14" s="40"/>
      <c r="W14" s="38"/>
      <c r="X14" s="39"/>
      <c r="Y14" s="40"/>
      <c r="Z14" s="41"/>
      <c r="AA14" s="39"/>
      <c r="AB14" s="42"/>
      <c r="AC14" s="21"/>
      <c r="AD14" s="60"/>
      <c r="AE14" s="60"/>
      <c r="AF14" s="21"/>
      <c r="AG14" s="21"/>
      <c r="AH14" s="21"/>
      <c r="AI14" s="21"/>
      <c r="AJ14" s="21"/>
      <c r="AK14" s="21"/>
      <c r="AL14" s="21"/>
      <c r="AM14" s="21"/>
    </row>
    <row r="15" spans="1:39" ht="15.75" customHeight="1" x14ac:dyDescent="0.2">
      <c r="A15" s="20"/>
      <c r="B15" s="61"/>
      <c r="C15" s="61"/>
      <c r="D15" s="61"/>
      <c r="E15" s="20"/>
      <c r="F15" s="20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20"/>
      <c r="AB15" s="20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</row>
    <row r="16" spans="1:39" ht="15.75" customHeight="1" x14ac:dyDescent="0.2">
      <c r="A16" s="61"/>
      <c r="B16" s="64" t="s">
        <v>34</v>
      </c>
      <c r="C16" s="65"/>
      <c r="D16" s="66" t="s">
        <v>35</v>
      </c>
      <c r="E16" s="67"/>
      <c r="F16" s="65"/>
      <c r="G16" s="66" t="s">
        <v>36</v>
      </c>
      <c r="H16" s="65"/>
      <c r="I16" s="68" t="s">
        <v>37</v>
      </c>
      <c r="J16" s="65"/>
      <c r="K16" s="69" t="s">
        <v>38</v>
      </c>
      <c r="L16" s="68" t="s">
        <v>39</v>
      </c>
      <c r="M16" s="67"/>
      <c r="N16" s="67"/>
      <c r="O16" s="65"/>
      <c r="P16" s="68" t="s">
        <v>40</v>
      </c>
      <c r="Q16" s="65"/>
      <c r="R16" s="68" t="s">
        <v>41</v>
      </c>
      <c r="S16" s="65"/>
      <c r="T16" s="68" t="s">
        <v>42</v>
      </c>
      <c r="U16" s="67"/>
      <c r="V16" s="65"/>
      <c r="W16" s="69" t="s">
        <v>43</v>
      </c>
      <c r="X16" s="70" t="s">
        <v>44</v>
      </c>
      <c r="Y16" s="65"/>
      <c r="Z16" s="71" t="s">
        <v>45</v>
      </c>
      <c r="AA16" s="72" t="s">
        <v>46</v>
      </c>
      <c r="AB16" s="67"/>
      <c r="AC16" s="67"/>
      <c r="AD16" s="65"/>
      <c r="AE16" s="73"/>
      <c r="AF16" s="73"/>
      <c r="AG16" s="73"/>
      <c r="AH16" s="73"/>
      <c r="AI16" s="73"/>
      <c r="AJ16" s="73"/>
      <c r="AK16" s="73"/>
      <c r="AL16" s="73"/>
      <c r="AM16" s="73"/>
    </row>
    <row r="17" spans="1:39" ht="15.75" customHeight="1" x14ac:dyDescent="0.2">
      <c r="A17" s="20" t="s">
        <v>16</v>
      </c>
      <c r="B17" s="74" t="s">
        <v>47</v>
      </c>
      <c r="C17" s="74" t="s">
        <v>48</v>
      </c>
      <c r="D17" s="75" t="s">
        <v>49</v>
      </c>
      <c r="E17" s="76"/>
      <c r="F17" s="77"/>
      <c r="G17" s="78" t="s">
        <v>50</v>
      </c>
      <c r="H17" s="78" t="s">
        <v>51</v>
      </c>
      <c r="I17" s="79" t="s">
        <v>52</v>
      </c>
      <c r="J17" s="65"/>
      <c r="K17" s="80" t="s">
        <v>53</v>
      </c>
      <c r="L17" s="81" t="s">
        <v>54</v>
      </c>
      <c r="M17" s="67"/>
      <c r="N17" s="67"/>
      <c r="O17" s="65"/>
      <c r="P17" s="81" t="s">
        <v>55</v>
      </c>
      <c r="Q17" s="65"/>
      <c r="R17" s="81"/>
      <c r="S17" s="65"/>
      <c r="T17" s="80" t="s">
        <v>56</v>
      </c>
      <c r="U17" s="80"/>
      <c r="V17" s="80"/>
      <c r="W17" s="80" t="s">
        <v>56</v>
      </c>
      <c r="X17" s="82" t="s">
        <v>56</v>
      </c>
      <c r="Y17" s="65"/>
      <c r="Z17" s="83"/>
      <c r="AA17" s="84" t="s">
        <v>57</v>
      </c>
      <c r="AB17" s="67"/>
      <c r="AC17" s="67"/>
      <c r="AD17" s="65"/>
      <c r="AE17" s="63"/>
      <c r="AF17" s="63"/>
      <c r="AG17" s="63"/>
      <c r="AH17" s="63"/>
      <c r="AI17" s="63"/>
      <c r="AJ17" s="63"/>
      <c r="AK17" s="63"/>
      <c r="AL17" s="63"/>
      <c r="AM17" s="63"/>
    </row>
    <row r="18" spans="1:39" ht="15.75" customHeight="1" x14ac:dyDescent="0.2">
      <c r="A18" s="20" t="s">
        <v>24</v>
      </c>
      <c r="B18" s="85"/>
      <c r="C18" s="85"/>
      <c r="D18" s="86"/>
      <c r="E18" s="87"/>
      <c r="F18" s="88"/>
      <c r="G18" s="89"/>
      <c r="H18" s="89"/>
      <c r="I18" s="90" t="s">
        <v>58</v>
      </c>
      <c r="J18" s="77"/>
      <c r="K18" s="91" t="s">
        <v>59</v>
      </c>
      <c r="L18" s="92" t="s">
        <v>60</v>
      </c>
      <c r="M18" s="67"/>
      <c r="N18" s="67"/>
      <c r="O18" s="65"/>
      <c r="P18" s="92" t="s">
        <v>61</v>
      </c>
      <c r="Q18" s="65"/>
      <c r="R18" s="92"/>
      <c r="S18" s="65"/>
      <c r="T18" s="93" t="s">
        <v>62</v>
      </c>
      <c r="U18" s="93" t="s">
        <v>63</v>
      </c>
      <c r="V18" s="93"/>
      <c r="W18" s="94"/>
      <c r="X18" s="95"/>
      <c r="Y18" s="65"/>
      <c r="Z18" s="96" t="s">
        <v>64</v>
      </c>
      <c r="AA18" s="97" t="s">
        <v>65</v>
      </c>
      <c r="AB18" s="67"/>
      <c r="AC18" s="67"/>
      <c r="AD18" s="65"/>
      <c r="AE18" s="63"/>
      <c r="AF18" s="63"/>
      <c r="AG18" s="63"/>
      <c r="AH18" s="63"/>
      <c r="AI18" s="63"/>
      <c r="AJ18" s="63"/>
      <c r="AK18" s="63"/>
      <c r="AL18" s="63"/>
      <c r="AM18" s="63"/>
    </row>
    <row r="19" spans="1:39" ht="15.75" customHeight="1" x14ac:dyDescent="0.2">
      <c r="A19" s="20"/>
      <c r="B19" s="98"/>
      <c r="C19" s="98"/>
      <c r="D19" s="99"/>
      <c r="E19" s="100"/>
      <c r="F19" s="101"/>
      <c r="G19" s="98"/>
      <c r="H19" s="98"/>
      <c r="I19" s="99"/>
      <c r="J19" s="101"/>
      <c r="K19" s="98"/>
      <c r="L19" s="92" t="s">
        <v>66</v>
      </c>
      <c r="M19" s="67"/>
      <c r="N19" s="67"/>
      <c r="O19" s="65"/>
      <c r="P19" s="92" t="s">
        <v>61</v>
      </c>
      <c r="Q19" s="65"/>
      <c r="R19" s="92"/>
      <c r="S19" s="65"/>
      <c r="T19" s="93" t="s">
        <v>62</v>
      </c>
      <c r="U19" s="93" t="s">
        <v>63</v>
      </c>
      <c r="V19" s="93"/>
      <c r="W19" s="94"/>
      <c r="X19" s="95"/>
      <c r="Y19" s="65"/>
      <c r="Z19" s="96" t="s">
        <v>64</v>
      </c>
      <c r="AA19" s="84" t="s">
        <v>67</v>
      </c>
      <c r="AB19" s="67"/>
      <c r="AC19" s="67"/>
      <c r="AD19" s="65"/>
      <c r="AE19" s="63"/>
      <c r="AF19" s="63"/>
      <c r="AG19" s="63"/>
      <c r="AH19" s="63"/>
      <c r="AI19" s="63"/>
      <c r="AJ19" s="63"/>
      <c r="AK19" s="63"/>
      <c r="AL19" s="63"/>
      <c r="AM19" s="63"/>
    </row>
    <row r="20" spans="1:39" ht="15.75" customHeight="1" x14ac:dyDescent="0.2">
      <c r="A20" s="20"/>
      <c r="B20" s="64" t="s">
        <v>68</v>
      </c>
      <c r="C20" s="65"/>
      <c r="D20" s="102" t="s">
        <v>69</v>
      </c>
      <c r="E20" s="76"/>
      <c r="F20" s="77"/>
      <c r="G20" s="78" t="s">
        <v>50</v>
      </c>
      <c r="H20" s="78" t="s">
        <v>70</v>
      </c>
      <c r="I20" s="79" t="s">
        <v>52</v>
      </c>
      <c r="J20" s="65"/>
      <c r="K20" s="80" t="s">
        <v>53</v>
      </c>
      <c r="L20" s="81" t="s">
        <v>54</v>
      </c>
      <c r="M20" s="67"/>
      <c r="N20" s="67"/>
      <c r="O20" s="65"/>
      <c r="P20" s="81" t="s">
        <v>55</v>
      </c>
      <c r="Q20" s="65"/>
      <c r="R20" s="81"/>
      <c r="S20" s="65"/>
      <c r="T20" s="80" t="s">
        <v>56</v>
      </c>
      <c r="U20" s="80"/>
      <c r="V20" s="80"/>
      <c r="W20" s="80" t="s">
        <v>56</v>
      </c>
      <c r="X20" s="82" t="s">
        <v>56</v>
      </c>
      <c r="Y20" s="65"/>
      <c r="Z20" s="103"/>
      <c r="AA20" s="97" t="s">
        <v>65</v>
      </c>
      <c r="AB20" s="67"/>
      <c r="AC20" s="67"/>
      <c r="AD20" s="65"/>
      <c r="AE20" s="63"/>
      <c r="AF20" s="63"/>
      <c r="AG20" s="63"/>
      <c r="AH20" s="63"/>
      <c r="AI20" s="63"/>
      <c r="AJ20" s="63"/>
      <c r="AK20" s="63"/>
      <c r="AL20" s="63"/>
      <c r="AM20" s="63"/>
    </row>
    <row r="21" spans="1:39" ht="15.75" customHeight="1" x14ac:dyDescent="0.2">
      <c r="A21" s="20" t="s">
        <v>16</v>
      </c>
      <c r="B21" s="74" t="s">
        <v>47</v>
      </c>
      <c r="C21" s="74" t="s">
        <v>48</v>
      </c>
      <c r="D21" s="86"/>
      <c r="E21" s="87"/>
      <c r="F21" s="88"/>
      <c r="G21" s="89"/>
      <c r="H21" s="89"/>
      <c r="I21" s="104" t="s">
        <v>58</v>
      </c>
      <c r="J21" s="77"/>
      <c r="K21" s="91" t="s">
        <v>59</v>
      </c>
      <c r="L21" s="92" t="s">
        <v>71</v>
      </c>
      <c r="M21" s="67"/>
      <c r="N21" s="67"/>
      <c r="O21" s="65"/>
      <c r="P21" s="92" t="s">
        <v>61</v>
      </c>
      <c r="Q21" s="65"/>
      <c r="R21" s="92"/>
      <c r="S21" s="65"/>
      <c r="T21" s="93" t="s">
        <v>72</v>
      </c>
      <c r="U21" s="93" t="s">
        <v>73</v>
      </c>
      <c r="V21" s="93"/>
      <c r="W21" s="94"/>
      <c r="X21" s="95"/>
      <c r="Y21" s="65"/>
      <c r="Z21" s="96" t="s">
        <v>74</v>
      </c>
      <c r="AA21" s="105" t="s">
        <v>75</v>
      </c>
      <c r="AB21" s="67"/>
      <c r="AC21" s="67"/>
      <c r="AD21" s="65"/>
      <c r="AE21" s="63"/>
      <c r="AF21" s="63"/>
      <c r="AG21" s="63"/>
      <c r="AH21" s="63"/>
      <c r="AI21" s="63"/>
      <c r="AJ21" s="63"/>
      <c r="AK21" s="63"/>
      <c r="AL21" s="63"/>
      <c r="AM21" s="63"/>
    </row>
    <row r="22" spans="1:39" ht="15.75" customHeight="1" x14ac:dyDescent="0.2">
      <c r="A22" s="20" t="s">
        <v>24</v>
      </c>
      <c r="B22" s="106"/>
      <c r="C22" s="106"/>
      <c r="D22" s="99"/>
      <c r="E22" s="100"/>
      <c r="F22" s="101"/>
      <c r="G22" s="98"/>
      <c r="H22" s="98"/>
      <c r="I22" s="99"/>
      <c r="J22" s="101"/>
      <c r="K22" s="98"/>
      <c r="L22" s="92" t="s">
        <v>76</v>
      </c>
      <c r="M22" s="67"/>
      <c r="N22" s="67"/>
      <c r="O22" s="65"/>
      <c r="P22" s="92" t="s">
        <v>61</v>
      </c>
      <c r="Q22" s="65"/>
      <c r="R22" s="92"/>
      <c r="S22" s="65"/>
      <c r="T22" s="93" t="s">
        <v>72</v>
      </c>
      <c r="U22" s="93" t="s">
        <v>73</v>
      </c>
      <c r="V22" s="93"/>
      <c r="W22" s="94"/>
      <c r="X22" s="95"/>
      <c r="Y22" s="65"/>
      <c r="Z22" s="96" t="s">
        <v>74</v>
      </c>
      <c r="AA22" s="105" t="s">
        <v>77</v>
      </c>
      <c r="AB22" s="67"/>
      <c r="AC22" s="67"/>
      <c r="AD22" s="65"/>
      <c r="AE22" s="63"/>
      <c r="AF22" s="63"/>
      <c r="AG22" s="63"/>
      <c r="AH22" s="63"/>
      <c r="AI22" s="63"/>
      <c r="AJ22" s="63"/>
      <c r="AK22" s="63"/>
      <c r="AL22" s="63"/>
      <c r="AM22" s="63"/>
    </row>
    <row r="23" spans="1:39" ht="15.75" customHeight="1" x14ac:dyDescent="0.2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</row>
    <row r="24" spans="1:39" ht="15.75" customHeight="1" x14ac:dyDescent="0.2">
      <c r="A24" s="61"/>
      <c r="B24" s="64" t="s">
        <v>78</v>
      </c>
      <c r="C24" s="65"/>
      <c r="D24" s="66" t="s">
        <v>35</v>
      </c>
      <c r="E24" s="67"/>
      <c r="F24" s="65"/>
      <c r="G24" s="66" t="s">
        <v>36</v>
      </c>
      <c r="H24" s="65"/>
      <c r="I24" s="68" t="s">
        <v>37</v>
      </c>
      <c r="J24" s="65"/>
      <c r="K24" s="69" t="s">
        <v>79</v>
      </c>
      <c r="L24" s="68" t="s">
        <v>39</v>
      </c>
      <c r="M24" s="67"/>
      <c r="N24" s="67"/>
      <c r="O24" s="65"/>
      <c r="P24" s="68" t="s">
        <v>40</v>
      </c>
      <c r="Q24" s="65"/>
      <c r="R24" s="68" t="s">
        <v>41</v>
      </c>
      <c r="S24" s="65"/>
      <c r="T24" s="68" t="s">
        <v>42</v>
      </c>
      <c r="U24" s="67"/>
      <c r="V24" s="65"/>
      <c r="W24" s="69" t="s">
        <v>43</v>
      </c>
      <c r="X24" s="70" t="s">
        <v>44</v>
      </c>
      <c r="Y24" s="65"/>
      <c r="Z24" s="107"/>
      <c r="AA24" s="72" t="s">
        <v>46</v>
      </c>
      <c r="AB24" s="67"/>
      <c r="AC24" s="67"/>
      <c r="AD24" s="65"/>
      <c r="AE24" s="73"/>
      <c r="AF24" s="73"/>
      <c r="AG24" s="73"/>
      <c r="AH24" s="73"/>
      <c r="AI24" s="73"/>
      <c r="AJ24" s="73"/>
      <c r="AK24" s="73"/>
      <c r="AL24" s="73"/>
      <c r="AM24" s="73"/>
    </row>
    <row r="25" spans="1:39" ht="15.75" customHeight="1" x14ac:dyDescent="0.2">
      <c r="A25" s="20" t="s">
        <v>16</v>
      </c>
      <c r="B25" s="74" t="s">
        <v>47</v>
      </c>
      <c r="C25" s="74" t="s">
        <v>48</v>
      </c>
      <c r="D25" s="102" t="s">
        <v>80</v>
      </c>
      <c r="E25" s="76"/>
      <c r="F25" s="77"/>
      <c r="G25" s="108" t="s">
        <v>81</v>
      </c>
      <c r="H25" s="108" t="s">
        <v>82</v>
      </c>
      <c r="I25" s="109" t="s">
        <v>52</v>
      </c>
      <c r="J25" s="65"/>
      <c r="K25" s="110" t="s">
        <v>83</v>
      </c>
      <c r="L25" s="109" t="s">
        <v>54</v>
      </c>
      <c r="M25" s="67"/>
      <c r="N25" s="67"/>
      <c r="O25" s="65"/>
      <c r="P25" s="109" t="s">
        <v>55</v>
      </c>
      <c r="Q25" s="65"/>
      <c r="R25" s="109"/>
      <c r="S25" s="65"/>
      <c r="T25" s="110"/>
      <c r="U25" s="110" t="s">
        <v>56</v>
      </c>
      <c r="V25" s="110"/>
      <c r="W25" s="110" t="s">
        <v>56</v>
      </c>
      <c r="X25" s="111" t="s">
        <v>56</v>
      </c>
      <c r="Y25" s="65"/>
      <c r="Z25" s="112"/>
      <c r="AA25" s="84" t="s">
        <v>84</v>
      </c>
      <c r="AB25" s="67"/>
      <c r="AC25" s="67"/>
      <c r="AD25" s="65"/>
      <c r="AE25" s="63"/>
      <c r="AF25" s="63"/>
      <c r="AG25" s="63"/>
      <c r="AH25" s="63"/>
      <c r="AI25" s="63"/>
      <c r="AJ25" s="63"/>
      <c r="AK25" s="63"/>
      <c r="AL25" s="63"/>
      <c r="AM25" s="63"/>
    </row>
    <row r="26" spans="1:39" ht="15.75" customHeight="1" x14ac:dyDescent="0.2">
      <c r="A26" s="20" t="s">
        <v>24</v>
      </c>
      <c r="B26" s="106"/>
      <c r="C26" s="106"/>
      <c r="D26" s="86"/>
      <c r="E26" s="87"/>
      <c r="F26" s="88"/>
      <c r="G26" s="89"/>
      <c r="H26" s="89"/>
      <c r="I26" s="113" t="s">
        <v>58</v>
      </c>
      <c r="J26" s="77"/>
      <c r="K26" s="91" t="s">
        <v>85</v>
      </c>
      <c r="L26" s="92" t="s">
        <v>86</v>
      </c>
      <c r="M26" s="67"/>
      <c r="N26" s="67"/>
      <c r="O26" s="65"/>
      <c r="P26" s="92" t="s">
        <v>61</v>
      </c>
      <c r="Q26" s="65"/>
      <c r="R26" s="92"/>
      <c r="S26" s="65"/>
      <c r="T26" s="93"/>
      <c r="U26" s="93" t="s">
        <v>73</v>
      </c>
      <c r="V26" s="93"/>
      <c r="W26" s="94"/>
      <c r="X26" s="95"/>
      <c r="Y26" s="65"/>
      <c r="Z26" s="96" t="s">
        <v>74</v>
      </c>
      <c r="AA26" s="114" t="s">
        <v>87</v>
      </c>
      <c r="AB26" s="76"/>
      <c r="AC26" s="76"/>
      <c r="AD26" s="77"/>
      <c r="AE26" s="63"/>
      <c r="AF26" s="63"/>
      <c r="AG26" s="63"/>
      <c r="AH26" s="63"/>
      <c r="AI26" s="63"/>
      <c r="AJ26" s="63"/>
      <c r="AK26" s="63"/>
      <c r="AL26" s="63"/>
      <c r="AM26" s="63"/>
    </row>
    <row r="27" spans="1:39" ht="15.75" customHeight="1" x14ac:dyDescent="0.2">
      <c r="A27" s="20"/>
      <c r="B27" s="115" t="s">
        <v>88</v>
      </c>
      <c r="C27" s="77"/>
      <c r="D27" s="86"/>
      <c r="E27" s="87"/>
      <c r="F27" s="88"/>
      <c r="G27" s="89"/>
      <c r="H27" s="89"/>
      <c r="I27" s="86"/>
      <c r="J27" s="88"/>
      <c r="K27" s="89"/>
      <c r="L27" s="92" t="s">
        <v>89</v>
      </c>
      <c r="M27" s="67"/>
      <c r="N27" s="67"/>
      <c r="O27" s="65"/>
      <c r="P27" s="92" t="s">
        <v>61</v>
      </c>
      <c r="Q27" s="65"/>
      <c r="R27" s="93"/>
      <c r="S27" s="93"/>
      <c r="T27" s="93"/>
      <c r="U27" s="93" t="s">
        <v>73</v>
      </c>
      <c r="V27" s="93"/>
      <c r="W27" s="94"/>
      <c r="X27" s="95"/>
      <c r="Y27" s="65"/>
      <c r="Z27" s="96" t="s">
        <v>74</v>
      </c>
      <c r="AA27" s="86"/>
      <c r="AB27" s="87"/>
      <c r="AC27" s="87"/>
      <c r="AD27" s="88"/>
      <c r="AE27" s="63"/>
      <c r="AF27" s="63"/>
      <c r="AG27" s="63"/>
      <c r="AH27" s="63"/>
      <c r="AI27" s="63"/>
      <c r="AJ27" s="63"/>
      <c r="AK27" s="63"/>
      <c r="AL27" s="63"/>
      <c r="AM27" s="63"/>
    </row>
    <row r="28" spans="1:39" ht="15.75" customHeight="1" x14ac:dyDescent="0.2">
      <c r="A28" s="20"/>
      <c r="B28" s="86"/>
      <c r="C28" s="88"/>
      <c r="D28" s="86"/>
      <c r="E28" s="87"/>
      <c r="F28" s="88"/>
      <c r="G28" s="89"/>
      <c r="H28" s="89"/>
      <c r="I28" s="86"/>
      <c r="J28" s="88"/>
      <c r="K28" s="89"/>
      <c r="L28" s="92" t="s">
        <v>71</v>
      </c>
      <c r="M28" s="67"/>
      <c r="N28" s="67"/>
      <c r="O28" s="65"/>
      <c r="P28" s="92" t="s">
        <v>61</v>
      </c>
      <c r="Q28" s="65"/>
      <c r="R28" s="92"/>
      <c r="S28" s="65"/>
      <c r="T28" s="93" t="s">
        <v>72</v>
      </c>
      <c r="U28" s="93" t="s">
        <v>73</v>
      </c>
      <c r="V28" s="93"/>
      <c r="W28" s="94"/>
      <c r="X28" s="95"/>
      <c r="Y28" s="65"/>
      <c r="Z28" s="96" t="s">
        <v>74</v>
      </c>
      <c r="AA28" s="99"/>
      <c r="AB28" s="100"/>
      <c r="AC28" s="100"/>
      <c r="AD28" s="101"/>
      <c r="AE28" s="63"/>
      <c r="AF28" s="63"/>
      <c r="AG28" s="63"/>
      <c r="AH28" s="63"/>
      <c r="AI28" s="63"/>
      <c r="AJ28" s="63"/>
      <c r="AK28" s="63"/>
      <c r="AL28" s="63"/>
      <c r="AM28" s="63"/>
    </row>
    <row r="29" spans="1:39" ht="15.75" customHeight="1" x14ac:dyDescent="0.2">
      <c r="A29" s="20"/>
      <c r="B29" s="86"/>
      <c r="C29" s="88"/>
      <c r="D29" s="99"/>
      <c r="E29" s="100"/>
      <c r="F29" s="101"/>
      <c r="G29" s="98"/>
      <c r="H29" s="98"/>
      <c r="I29" s="99"/>
      <c r="J29" s="101"/>
      <c r="K29" s="98"/>
      <c r="L29" s="92" t="s">
        <v>76</v>
      </c>
      <c r="M29" s="67"/>
      <c r="N29" s="67"/>
      <c r="O29" s="65"/>
      <c r="P29" s="92" t="s">
        <v>61</v>
      </c>
      <c r="Q29" s="65"/>
      <c r="R29" s="92"/>
      <c r="S29" s="65"/>
      <c r="T29" s="93" t="s">
        <v>72</v>
      </c>
      <c r="U29" s="93" t="s">
        <v>73</v>
      </c>
      <c r="V29" s="93"/>
      <c r="W29" s="94"/>
      <c r="X29" s="95"/>
      <c r="Y29" s="65"/>
      <c r="Z29" s="96" t="s">
        <v>74</v>
      </c>
      <c r="AA29" s="84" t="s">
        <v>90</v>
      </c>
      <c r="AB29" s="67"/>
      <c r="AC29" s="67"/>
      <c r="AD29" s="65"/>
      <c r="AE29" s="63"/>
      <c r="AF29" s="63"/>
      <c r="AG29" s="63"/>
      <c r="AH29" s="63"/>
      <c r="AI29" s="63"/>
      <c r="AJ29" s="63"/>
      <c r="AK29" s="63"/>
      <c r="AL29" s="63"/>
      <c r="AM29" s="63"/>
    </row>
    <row r="30" spans="1:39" ht="15.75" customHeight="1" x14ac:dyDescent="0.2">
      <c r="A30" s="20"/>
      <c r="B30" s="115" t="s">
        <v>91</v>
      </c>
      <c r="C30" s="77"/>
      <c r="D30" s="75" t="s">
        <v>92</v>
      </c>
      <c r="E30" s="76"/>
      <c r="F30" s="77"/>
      <c r="G30" s="108" t="s">
        <v>81</v>
      </c>
      <c r="H30" s="108" t="s">
        <v>93</v>
      </c>
      <c r="I30" s="109" t="s">
        <v>52</v>
      </c>
      <c r="J30" s="65"/>
      <c r="K30" s="110" t="s">
        <v>83</v>
      </c>
      <c r="L30" s="109" t="s">
        <v>54</v>
      </c>
      <c r="M30" s="67"/>
      <c r="N30" s="67"/>
      <c r="O30" s="65"/>
      <c r="P30" s="109" t="s">
        <v>55</v>
      </c>
      <c r="Q30" s="65"/>
      <c r="R30" s="109"/>
      <c r="S30" s="65"/>
      <c r="T30" s="110" t="s">
        <v>56</v>
      </c>
      <c r="U30" s="110"/>
      <c r="V30" s="110"/>
      <c r="W30" s="110" t="s">
        <v>56</v>
      </c>
      <c r="X30" s="111" t="s">
        <v>56</v>
      </c>
      <c r="Y30" s="65"/>
      <c r="Z30" s="112"/>
      <c r="AA30" s="116" t="s">
        <v>87</v>
      </c>
      <c r="AB30" s="76"/>
      <c r="AC30" s="76"/>
      <c r="AD30" s="77"/>
      <c r="AE30" s="63"/>
      <c r="AF30" s="63"/>
      <c r="AG30" s="63"/>
      <c r="AH30" s="63"/>
      <c r="AI30" s="63"/>
      <c r="AJ30" s="63"/>
      <c r="AK30" s="63"/>
      <c r="AL30" s="63"/>
      <c r="AM30" s="63"/>
    </row>
    <row r="31" spans="1:39" ht="15.75" customHeight="1" x14ac:dyDescent="0.2">
      <c r="B31" s="86"/>
      <c r="C31" s="88"/>
      <c r="D31" s="86"/>
      <c r="E31" s="87"/>
      <c r="F31" s="88"/>
      <c r="G31" s="89"/>
      <c r="H31" s="89"/>
      <c r="I31" s="113" t="s">
        <v>58</v>
      </c>
      <c r="J31" s="77"/>
      <c r="K31" s="91" t="s">
        <v>85</v>
      </c>
      <c r="L31" s="92" t="s">
        <v>94</v>
      </c>
      <c r="M31" s="67"/>
      <c r="N31" s="67"/>
      <c r="O31" s="65"/>
      <c r="P31" s="92" t="s">
        <v>61</v>
      </c>
      <c r="Q31" s="65"/>
      <c r="R31" s="92"/>
      <c r="S31" s="65"/>
      <c r="T31" s="93"/>
      <c r="U31" s="93" t="s">
        <v>63</v>
      </c>
      <c r="V31" s="93"/>
      <c r="W31" s="94"/>
      <c r="X31" s="95">
        <v>0</v>
      </c>
      <c r="Y31" s="65"/>
      <c r="Z31" s="96" t="s">
        <v>64</v>
      </c>
      <c r="AA31" s="99"/>
      <c r="AB31" s="100"/>
      <c r="AC31" s="100"/>
      <c r="AD31" s="101"/>
      <c r="AE31" s="63"/>
      <c r="AF31" s="63"/>
      <c r="AG31" s="63"/>
      <c r="AH31" s="63"/>
      <c r="AI31" s="63"/>
      <c r="AJ31" s="63"/>
      <c r="AK31" s="63"/>
      <c r="AL31" s="63"/>
      <c r="AM31" s="63"/>
    </row>
    <row r="32" spans="1:39" ht="15.75" customHeight="1" x14ac:dyDescent="0.2">
      <c r="B32" s="86"/>
      <c r="C32" s="88"/>
      <c r="D32" s="86"/>
      <c r="E32" s="87"/>
      <c r="F32" s="88"/>
      <c r="G32" s="89"/>
      <c r="H32" s="89"/>
      <c r="I32" s="86"/>
      <c r="J32" s="88"/>
      <c r="K32" s="89"/>
      <c r="L32" s="92" t="s">
        <v>95</v>
      </c>
      <c r="M32" s="67"/>
      <c r="N32" s="67"/>
      <c r="O32" s="65"/>
      <c r="P32" s="92" t="s">
        <v>61</v>
      </c>
      <c r="Q32" s="65"/>
      <c r="R32" s="93"/>
      <c r="S32" s="93"/>
      <c r="T32" s="93"/>
      <c r="U32" s="93" t="s">
        <v>63</v>
      </c>
      <c r="V32" s="93"/>
      <c r="W32" s="94"/>
      <c r="X32" s="95">
        <v>0</v>
      </c>
      <c r="Y32" s="65"/>
      <c r="Z32" s="96" t="s">
        <v>64</v>
      </c>
      <c r="AA32" s="117"/>
      <c r="AB32" s="117"/>
      <c r="AC32" s="117"/>
      <c r="AD32" s="117"/>
      <c r="AE32" s="63"/>
      <c r="AF32" s="63"/>
      <c r="AG32" s="63"/>
      <c r="AH32" s="63"/>
      <c r="AI32" s="63"/>
      <c r="AJ32" s="63"/>
      <c r="AK32" s="63"/>
      <c r="AL32" s="63"/>
      <c r="AM32" s="63"/>
    </row>
    <row r="33" spans="1:39" ht="15.75" customHeight="1" x14ac:dyDescent="0.2">
      <c r="B33" s="86"/>
      <c r="C33" s="88"/>
      <c r="D33" s="86"/>
      <c r="E33" s="87"/>
      <c r="F33" s="88"/>
      <c r="G33" s="89"/>
      <c r="H33" s="89"/>
      <c r="I33" s="86"/>
      <c r="J33" s="88"/>
      <c r="K33" s="89"/>
      <c r="L33" s="92" t="s">
        <v>60</v>
      </c>
      <c r="M33" s="67"/>
      <c r="N33" s="67"/>
      <c r="O33" s="65"/>
      <c r="P33" s="92" t="s">
        <v>61</v>
      </c>
      <c r="Q33" s="65"/>
      <c r="R33" s="92"/>
      <c r="S33" s="65"/>
      <c r="T33" s="93" t="s">
        <v>62</v>
      </c>
      <c r="U33" s="93" t="s">
        <v>63</v>
      </c>
      <c r="V33" s="93"/>
      <c r="W33" s="94"/>
      <c r="X33" s="95"/>
      <c r="Y33" s="65"/>
      <c r="Z33" s="96" t="s">
        <v>64</v>
      </c>
      <c r="AA33" s="105" t="s">
        <v>96</v>
      </c>
      <c r="AB33" s="67"/>
      <c r="AC33" s="67"/>
      <c r="AD33" s="65"/>
      <c r="AE33" s="63"/>
      <c r="AF33" s="63"/>
      <c r="AG33" s="63"/>
      <c r="AH33" s="63"/>
      <c r="AI33" s="63"/>
      <c r="AJ33" s="63"/>
      <c r="AK33" s="63"/>
      <c r="AL33" s="63"/>
      <c r="AM33" s="63"/>
    </row>
    <row r="34" spans="1:39" ht="15.75" customHeight="1" x14ac:dyDescent="0.2">
      <c r="B34" s="99"/>
      <c r="C34" s="101"/>
      <c r="D34" s="99"/>
      <c r="E34" s="100"/>
      <c r="F34" s="101"/>
      <c r="G34" s="98"/>
      <c r="H34" s="98"/>
      <c r="I34" s="99"/>
      <c r="J34" s="101"/>
      <c r="K34" s="98"/>
      <c r="L34" s="92" t="s">
        <v>66</v>
      </c>
      <c r="M34" s="67"/>
      <c r="N34" s="67"/>
      <c r="O34" s="65"/>
      <c r="P34" s="92" t="s">
        <v>61</v>
      </c>
      <c r="Q34" s="65"/>
      <c r="R34" s="92"/>
      <c r="S34" s="65"/>
      <c r="T34" s="93" t="s">
        <v>62</v>
      </c>
      <c r="U34" s="93" t="s">
        <v>63</v>
      </c>
      <c r="V34" s="93"/>
      <c r="W34" s="94"/>
      <c r="X34" s="95"/>
      <c r="Y34" s="65"/>
      <c r="Z34" s="96" t="s">
        <v>64</v>
      </c>
      <c r="AA34" s="105" t="s">
        <v>77</v>
      </c>
      <c r="AB34" s="67"/>
      <c r="AC34" s="67"/>
      <c r="AD34" s="65"/>
      <c r="AE34" s="63"/>
      <c r="AF34" s="63"/>
      <c r="AG34" s="63"/>
      <c r="AH34" s="63"/>
      <c r="AI34" s="63"/>
      <c r="AJ34" s="63"/>
      <c r="AK34" s="63"/>
      <c r="AL34" s="63"/>
      <c r="AM34" s="63"/>
    </row>
    <row r="35" spans="1:39" ht="15.75" customHeight="1" thickBot="1" x14ac:dyDescent="0.25">
      <c r="A35" s="20"/>
      <c r="B35" s="64" t="s">
        <v>97</v>
      </c>
      <c r="C35" s="65"/>
      <c r="G35" s="118"/>
      <c r="H35" s="118"/>
      <c r="I35" s="119" t="s">
        <v>80</v>
      </c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120" t="s">
        <v>92</v>
      </c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63"/>
      <c r="AF35" s="63"/>
      <c r="AG35" s="63"/>
      <c r="AH35" s="63"/>
      <c r="AI35" s="63"/>
      <c r="AJ35" s="63"/>
      <c r="AK35" s="63"/>
      <c r="AL35" s="63"/>
      <c r="AM35" s="63"/>
    </row>
    <row r="36" spans="1:39" ht="15.75" customHeight="1" x14ac:dyDescent="0.2">
      <c r="A36" s="20" t="s">
        <v>16</v>
      </c>
      <c r="B36" s="121" t="s">
        <v>98</v>
      </c>
      <c r="C36" s="65"/>
      <c r="D36" s="122" t="s">
        <v>99</v>
      </c>
      <c r="E36" s="123"/>
      <c r="F36" s="124"/>
      <c r="G36" s="118" t="s">
        <v>100</v>
      </c>
      <c r="H36" s="118" t="s">
        <v>101</v>
      </c>
      <c r="I36" s="125" t="s">
        <v>58</v>
      </c>
      <c r="J36" s="101"/>
      <c r="K36" s="126" t="s">
        <v>102</v>
      </c>
      <c r="L36" s="87"/>
      <c r="M36" s="87"/>
      <c r="N36" s="87"/>
      <c r="O36" s="87"/>
      <c r="P36" s="87"/>
      <c r="Q36" s="87"/>
      <c r="R36" s="87"/>
      <c r="S36" s="127"/>
      <c r="T36" s="118" t="s">
        <v>100</v>
      </c>
      <c r="U36" s="128" t="s">
        <v>103</v>
      </c>
      <c r="V36" s="77"/>
      <c r="W36" s="126" t="s">
        <v>102</v>
      </c>
      <c r="X36" s="87"/>
      <c r="Y36" s="87"/>
      <c r="Z36" s="87"/>
      <c r="AA36" s="87"/>
      <c r="AB36" s="87"/>
      <c r="AC36" s="87"/>
      <c r="AD36" s="87"/>
      <c r="AE36" s="63"/>
      <c r="AF36" s="63"/>
      <c r="AG36" s="63"/>
      <c r="AH36" s="63"/>
      <c r="AI36" s="63"/>
      <c r="AJ36" s="63"/>
      <c r="AK36" s="63"/>
      <c r="AL36" s="63"/>
      <c r="AM36" s="63"/>
    </row>
    <row r="37" spans="1:39" ht="15.75" customHeight="1" x14ac:dyDescent="0.2">
      <c r="B37" s="129"/>
      <c r="C37" s="106"/>
      <c r="D37" s="87"/>
      <c r="E37" s="87"/>
      <c r="F37" s="35"/>
      <c r="G37" s="118" t="s">
        <v>100</v>
      </c>
      <c r="H37" s="118" t="s">
        <v>104</v>
      </c>
      <c r="I37" s="125" t="s">
        <v>58</v>
      </c>
      <c r="J37" s="101"/>
      <c r="K37" s="130" t="s">
        <v>105</v>
      </c>
      <c r="L37" s="87"/>
      <c r="M37" s="87"/>
      <c r="N37" s="87"/>
      <c r="O37" s="87"/>
      <c r="P37" s="87"/>
      <c r="Q37" s="87"/>
      <c r="R37" s="87"/>
      <c r="S37" s="60"/>
      <c r="T37" s="118" t="s">
        <v>100</v>
      </c>
      <c r="U37" s="128" t="s">
        <v>106</v>
      </c>
      <c r="V37" s="77"/>
      <c r="W37" s="130" t="s">
        <v>105</v>
      </c>
      <c r="X37" s="87"/>
      <c r="Y37" s="87"/>
      <c r="Z37" s="87"/>
      <c r="AA37" s="87"/>
      <c r="AB37" s="87"/>
      <c r="AC37" s="87"/>
      <c r="AD37" s="87"/>
    </row>
    <row r="38" spans="1:39" ht="15.75" customHeight="1" x14ac:dyDescent="0.2"/>
    <row r="39" spans="1:39" ht="15.75" customHeight="1" x14ac:dyDescent="0.2">
      <c r="A39" s="131"/>
      <c r="B39" s="132" t="s">
        <v>107</v>
      </c>
      <c r="C39" s="132"/>
      <c r="D39" s="132"/>
      <c r="E39" s="132"/>
      <c r="F39" s="132"/>
      <c r="G39" s="133"/>
      <c r="H39" s="133"/>
      <c r="I39" s="133"/>
      <c r="J39" s="132"/>
      <c r="K39" s="132"/>
      <c r="L39" s="133"/>
      <c r="M39" s="133"/>
      <c r="N39" s="134"/>
      <c r="O39" s="133"/>
      <c r="P39" s="134"/>
      <c r="Q39" s="134"/>
      <c r="R39" s="133"/>
      <c r="S39" s="134"/>
      <c r="T39" s="133"/>
      <c r="U39" s="134"/>
      <c r="V39" s="133"/>
      <c r="W39" s="134"/>
      <c r="X39" s="133"/>
      <c r="Y39" s="134"/>
      <c r="Z39" s="133"/>
      <c r="AA39" s="134"/>
      <c r="AB39" s="133"/>
      <c r="AC39" s="133"/>
      <c r="AD39" s="63"/>
      <c r="AE39" s="63"/>
      <c r="AF39" s="63"/>
      <c r="AG39" s="63"/>
      <c r="AH39" s="63"/>
      <c r="AI39" s="63"/>
      <c r="AJ39" s="63"/>
      <c r="AK39" s="63"/>
      <c r="AL39" s="63"/>
      <c r="AM39" s="63"/>
    </row>
    <row r="40" spans="1:39" ht="15.75" customHeight="1" x14ac:dyDescent="0.2">
      <c r="A40" s="20"/>
      <c r="B40" s="61"/>
      <c r="C40" s="61"/>
      <c r="D40" s="61"/>
      <c r="E40" s="20"/>
      <c r="F40" s="20"/>
      <c r="I40" s="20"/>
      <c r="J40" s="20"/>
      <c r="K40" s="20"/>
      <c r="L40" s="20"/>
      <c r="M40" s="20"/>
      <c r="N40" s="20"/>
      <c r="O40" s="20"/>
      <c r="P40" s="20"/>
      <c r="Q40" s="61"/>
      <c r="R40" s="20"/>
      <c r="S40" s="20"/>
      <c r="T40" s="63"/>
      <c r="U40" s="20"/>
      <c r="V40" s="20"/>
      <c r="W40" s="20"/>
      <c r="X40" s="20"/>
      <c r="Y40" s="20"/>
      <c r="Z40" s="20"/>
      <c r="AA40" s="20"/>
      <c r="AB40" s="20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</row>
    <row r="41" spans="1:39" ht="21.75" customHeight="1" x14ac:dyDescent="0.2">
      <c r="A41" s="1" t="s">
        <v>0</v>
      </c>
      <c r="B41" s="2"/>
      <c r="C41" s="2"/>
      <c r="D41" s="2"/>
      <c r="E41" s="2"/>
      <c r="F41" s="2"/>
      <c r="G41" s="3"/>
      <c r="H41" s="4" t="s">
        <v>1</v>
      </c>
      <c r="I41" s="5" t="s">
        <v>2</v>
      </c>
      <c r="J41" s="6"/>
      <c r="K41" s="7" t="s">
        <v>3</v>
      </c>
      <c r="L41" s="5" t="s">
        <v>2</v>
      </c>
      <c r="M41" s="6"/>
      <c r="N41" s="8" t="s">
        <v>4</v>
      </c>
      <c r="O41" s="5" t="s">
        <v>2</v>
      </c>
      <c r="P41" s="6"/>
      <c r="Q41" s="9" t="s">
        <v>5</v>
      </c>
      <c r="R41" s="5" t="s">
        <v>2</v>
      </c>
      <c r="S41" s="6"/>
      <c r="T41" s="7" t="s">
        <v>6</v>
      </c>
      <c r="U41" s="5" t="s">
        <v>2</v>
      </c>
      <c r="V41" s="6"/>
      <c r="W41" s="8" t="s">
        <v>7</v>
      </c>
      <c r="X41" s="5" t="s">
        <v>2</v>
      </c>
      <c r="Y41" s="6"/>
      <c r="Z41" s="9" t="s">
        <v>8</v>
      </c>
      <c r="AA41" s="5" t="s">
        <v>2</v>
      </c>
      <c r="AB41" s="6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</row>
    <row r="42" spans="1:39" ht="21.75" customHeight="1" x14ac:dyDescent="0.2">
      <c r="A42" s="11"/>
      <c r="B42" s="12"/>
      <c r="C42" s="12"/>
      <c r="D42" s="12"/>
      <c r="E42" s="12"/>
      <c r="F42" s="12"/>
      <c r="G42" s="13"/>
      <c r="H42" s="14" t="s">
        <v>9</v>
      </c>
      <c r="I42" s="15"/>
      <c r="J42" s="16"/>
      <c r="K42" s="17" t="s">
        <v>10</v>
      </c>
      <c r="L42" s="15"/>
      <c r="M42" s="16"/>
      <c r="N42" s="18" t="s">
        <v>11</v>
      </c>
      <c r="O42" s="15"/>
      <c r="P42" s="16"/>
      <c r="Q42" s="19" t="s">
        <v>12</v>
      </c>
      <c r="R42" s="15"/>
      <c r="S42" s="16"/>
      <c r="T42" s="17" t="s">
        <v>13</v>
      </c>
      <c r="U42" s="15"/>
      <c r="V42" s="16"/>
      <c r="W42" s="18" t="s">
        <v>14</v>
      </c>
      <c r="X42" s="15"/>
      <c r="Y42" s="16"/>
      <c r="Z42" s="19" t="s">
        <v>15</v>
      </c>
      <c r="AA42" s="15"/>
      <c r="AB42" s="16"/>
      <c r="AC42" s="20"/>
      <c r="AD42" s="20"/>
      <c r="AE42" s="10"/>
      <c r="AF42" s="10"/>
      <c r="AG42" s="10"/>
      <c r="AH42" s="10"/>
      <c r="AI42" s="10"/>
      <c r="AJ42" s="10"/>
      <c r="AK42" s="10"/>
      <c r="AL42" s="10"/>
      <c r="AM42" s="10"/>
    </row>
    <row r="43" spans="1:39" ht="12.75" customHeight="1" thickBot="1" x14ac:dyDescent="0.25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1"/>
      <c r="AD43" s="21"/>
      <c r="AE43" s="20"/>
      <c r="AF43" s="20"/>
      <c r="AG43" s="20"/>
      <c r="AH43" s="20"/>
      <c r="AI43" s="20"/>
      <c r="AJ43" s="20"/>
      <c r="AK43" s="20"/>
      <c r="AL43" s="20"/>
      <c r="AM43" s="20"/>
    </row>
    <row r="44" spans="1:39" ht="82.5" customHeight="1" x14ac:dyDescent="0.2">
      <c r="A44" s="20" t="s">
        <v>16</v>
      </c>
      <c r="B44" s="22" t="s">
        <v>17</v>
      </c>
      <c r="C44" s="23"/>
      <c r="D44" s="135" t="s">
        <v>108</v>
      </c>
      <c r="E44" s="136" t="s">
        <v>109</v>
      </c>
      <c r="F44" s="137" t="s">
        <v>19</v>
      </c>
      <c r="G44" s="27" t="s">
        <v>20</v>
      </c>
      <c r="H44" s="28"/>
      <c r="I44" s="29"/>
      <c r="J44" s="30"/>
      <c r="K44" s="31"/>
      <c r="L44" s="29"/>
      <c r="M44" s="30"/>
      <c r="N44" s="31"/>
      <c r="O44" s="29"/>
      <c r="P44" s="30"/>
      <c r="Q44" s="31"/>
      <c r="R44" s="29"/>
      <c r="S44" s="30"/>
      <c r="T44" s="31"/>
      <c r="U44" s="29"/>
      <c r="V44" s="30"/>
      <c r="W44" s="31"/>
      <c r="X44" s="29"/>
      <c r="Y44" s="30"/>
      <c r="Z44" s="31"/>
      <c r="AA44" s="29"/>
      <c r="AB44" s="32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</row>
    <row r="45" spans="1:39" ht="15.75" customHeight="1" x14ac:dyDescent="0.2">
      <c r="A45" s="20" t="s">
        <v>16</v>
      </c>
      <c r="B45" s="33" t="s">
        <v>21</v>
      </c>
      <c r="C45" s="34"/>
      <c r="D45" s="138"/>
      <c r="E45" s="44" t="s">
        <v>110</v>
      </c>
      <c r="F45" s="48"/>
      <c r="G45" s="139" t="s">
        <v>22</v>
      </c>
      <c r="H45" s="140"/>
      <c r="I45" s="141"/>
      <c r="J45" s="77"/>
      <c r="K45" s="140"/>
      <c r="L45" s="141"/>
      <c r="M45" s="77"/>
      <c r="N45" s="140"/>
      <c r="O45" s="141"/>
      <c r="P45" s="77"/>
      <c r="Q45" s="140"/>
      <c r="R45" s="141"/>
      <c r="S45" s="77"/>
      <c r="T45" s="140"/>
      <c r="U45" s="141"/>
      <c r="V45" s="77"/>
      <c r="W45" s="140"/>
      <c r="X45" s="141"/>
      <c r="Y45" s="77"/>
      <c r="Z45" s="142" t="s">
        <v>56</v>
      </c>
      <c r="AA45" s="141"/>
      <c r="AB45" s="58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</row>
    <row r="46" spans="1:39" ht="22.5" customHeight="1" thickBot="1" x14ac:dyDescent="0.25">
      <c r="A46" s="20"/>
      <c r="B46" s="43" t="s">
        <v>23</v>
      </c>
      <c r="C46" s="44"/>
      <c r="D46" s="143"/>
      <c r="E46" s="144"/>
      <c r="F46" s="143"/>
      <c r="G46" s="145"/>
      <c r="H46" s="145"/>
      <c r="I46" s="146"/>
      <c r="J46" s="147"/>
      <c r="K46" s="145"/>
      <c r="L46" s="146"/>
      <c r="M46" s="147"/>
      <c r="N46" s="145"/>
      <c r="O46" s="146"/>
      <c r="P46" s="147"/>
      <c r="Q46" s="145"/>
      <c r="R46" s="146"/>
      <c r="S46" s="147"/>
      <c r="T46" s="145"/>
      <c r="U46" s="146"/>
      <c r="V46" s="147"/>
      <c r="W46" s="145"/>
      <c r="X46" s="146"/>
      <c r="Y46" s="147"/>
      <c r="Z46" s="145"/>
      <c r="AA46" s="146"/>
      <c r="AB46" s="54"/>
      <c r="AC46" s="21"/>
      <c r="AD46" s="21"/>
      <c r="AE46" s="63"/>
      <c r="AF46" s="63"/>
      <c r="AG46" s="63"/>
      <c r="AH46" s="63"/>
      <c r="AI46" s="63"/>
      <c r="AJ46" s="21"/>
      <c r="AK46" s="21"/>
      <c r="AL46" s="21"/>
      <c r="AM46" s="21"/>
    </row>
    <row r="47" spans="1:39" ht="15.75" customHeight="1" thickBot="1" x14ac:dyDescent="0.25">
      <c r="A47" s="20"/>
      <c r="B47" s="52"/>
      <c r="C47" s="53"/>
      <c r="D47" s="61"/>
      <c r="E47" s="20"/>
      <c r="F47" s="20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20"/>
      <c r="AB47" s="20"/>
      <c r="AC47" s="63"/>
      <c r="AD47" s="63"/>
      <c r="AE47" s="63"/>
      <c r="AF47" s="63"/>
      <c r="AG47" s="63"/>
      <c r="AH47" s="63"/>
      <c r="AI47" s="63"/>
      <c r="AJ47" s="63"/>
      <c r="AK47" s="63"/>
      <c r="AL47" s="63"/>
      <c r="AM47" s="63"/>
    </row>
    <row r="48" spans="1:39" ht="15.75" customHeight="1" x14ac:dyDescent="0.2">
      <c r="A48" s="61"/>
      <c r="B48" s="33" t="s">
        <v>27</v>
      </c>
      <c r="C48" s="34"/>
      <c r="D48" s="148"/>
      <c r="E48" s="149" t="s">
        <v>47</v>
      </c>
      <c r="F48" s="150" t="s">
        <v>48</v>
      </c>
      <c r="G48" s="151" t="s">
        <v>35</v>
      </c>
      <c r="H48" s="152" t="s">
        <v>36</v>
      </c>
      <c r="I48" s="152"/>
      <c r="J48" s="153" t="s">
        <v>37</v>
      </c>
      <c r="K48" s="154" t="s">
        <v>38</v>
      </c>
      <c r="L48" s="155" t="s">
        <v>39</v>
      </c>
      <c r="M48" s="156"/>
      <c r="N48" s="156"/>
      <c r="O48" s="30"/>
      <c r="P48" s="155" t="s">
        <v>40</v>
      </c>
      <c r="Q48" s="30"/>
      <c r="R48" s="155" t="s">
        <v>41</v>
      </c>
      <c r="S48" s="30"/>
      <c r="T48" s="154" t="s">
        <v>42</v>
      </c>
      <c r="U48" s="154"/>
      <c r="V48" s="154" t="s">
        <v>43</v>
      </c>
      <c r="W48" s="157" t="s">
        <v>44</v>
      </c>
      <c r="X48" s="30"/>
      <c r="Y48" s="158" t="s">
        <v>45</v>
      </c>
      <c r="Z48" s="159" t="s">
        <v>46</v>
      </c>
      <c r="AA48" s="156"/>
      <c r="AB48" s="32"/>
      <c r="AD48" s="73"/>
      <c r="AE48" s="63"/>
      <c r="AF48" s="63"/>
      <c r="AG48" s="63"/>
      <c r="AH48" s="63"/>
      <c r="AI48" s="63"/>
      <c r="AJ48" s="73"/>
      <c r="AK48" s="73"/>
      <c r="AL48" s="73"/>
      <c r="AM48" s="73"/>
    </row>
    <row r="49" spans="1:39" ht="15.75" customHeight="1" x14ac:dyDescent="0.2">
      <c r="A49" s="20" t="s">
        <v>16</v>
      </c>
      <c r="B49" s="33" t="s">
        <v>29</v>
      </c>
      <c r="C49" s="34"/>
      <c r="D49" s="160" t="s">
        <v>34</v>
      </c>
      <c r="E49" s="106"/>
      <c r="F49" s="161"/>
      <c r="G49" s="162" t="s">
        <v>49</v>
      </c>
      <c r="H49" s="78" t="s">
        <v>50</v>
      </c>
      <c r="I49" s="78" t="s">
        <v>51</v>
      </c>
      <c r="J49" s="163" t="s">
        <v>52</v>
      </c>
      <c r="K49" s="80" t="s">
        <v>53</v>
      </c>
      <c r="L49" s="81" t="s">
        <v>54</v>
      </c>
      <c r="M49" s="67"/>
      <c r="N49" s="67"/>
      <c r="O49" s="65"/>
      <c r="P49" s="81" t="s">
        <v>55</v>
      </c>
      <c r="Q49" s="65"/>
      <c r="R49" s="81"/>
      <c r="S49" s="65"/>
      <c r="T49" s="80" t="s">
        <v>56</v>
      </c>
      <c r="U49" s="80"/>
      <c r="V49" s="80" t="s">
        <v>56</v>
      </c>
      <c r="W49" s="82" t="s">
        <v>56</v>
      </c>
      <c r="X49" s="65"/>
      <c r="Y49" s="164"/>
      <c r="Z49" s="165" t="s">
        <v>111</v>
      </c>
      <c r="AA49" s="67"/>
      <c r="AB49" s="166"/>
      <c r="AD49" s="63"/>
      <c r="AE49" s="63"/>
      <c r="AF49" s="63"/>
      <c r="AG49" s="63"/>
      <c r="AH49" s="63"/>
      <c r="AI49" s="63"/>
      <c r="AJ49" s="63"/>
      <c r="AK49" s="63"/>
      <c r="AL49" s="63"/>
      <c r="AM49" s="63"/>
    </row>
    <row r="50" spans="1:39" ht="15.75" customHeight="1" x14ac:dyDescent="0.2">
      <c r="A50" s="20" t="s">
        <v>24</v>
      </c>
      <c r="B50" s="33" t="s">
        <v>31</v>
      </c>
      <c r="C50" s="34"/>
      <c r="D50" s="160" t="s">
        <v>68</v>
      </c>
      <c r="E50" s="106"/>
      <c r="F50" s="161"/>
      <c r="G50" s="162"/>
      <c r="H50" s="98"/>
      <c r="I50" s="98"/>
      <c r="J50" s="163" t="s">
        <v>58</v>
      </c>
      <c r="K50" s="93" t="s">
        <v>59</v>
      </c>
      <c r="L50" s="92" t="s">
        <v>60</v>
      </c>
      <c r="M50" s="67"/>
      <c r="N50" s="67"/>
      <c r="O50" s="65"/>
      <c r="P50" s="92" t="s">
        <v>61</v>
      </c>
      <c r="Q50" s="65"/>
      <c r="R50" s="92"/>
      <c r="S50" s="65"/>
      <c r="T50" s="93" t="s">
        <v>62</v>
      </c>
      <c r="U50" s="93" t="s">
        <v>63</v>
      </c>
      <c r="V50" s="94"/>
      <c r="W50" s="95"/>
      <c r="X50" s="65"/>
      <c r="Y50" s="167" t="s">
        <v>64</v>
      </c>
      <c r="Z50" s="165" t="s">
        <v>110</v>
      </c>
      <c r="AA50" s="67"/>
      <c r="AB50" s="166"/>
      <c r="AD50" s="63"/>
      <c r="AE50" s="63"/>
      <c r="AF50" s="63"/>
      <c r="AG50" s="63"/>
      <c r="AH50" s="63"/>
      <c r="AI50" s="63"/>
      <c r="AJ50" s="63"/>
      <c r="AK50" s="63"/>
      <c r="AL50" s="63"/>
      <c r="AM50" s="63"/>
    </row>
    <row r="51" spans="1:39" ht="15.75" customHeight="1" x14ac:dyDescent="0.2">
      <c r="A51" s="20" t="s">
        <v>16</v>
      </c>
      <c r="B51" s="57" t="s">
        <v>88</v>
      </c>
      <c r="C51" s="58"/>
      <c r="D51" s="168" t="s">
        <v>78</v>
      </c>
      <c r="E51" s="85"/>
      <c r="F51" s="169"/>
      <c r="G51" s="170" t="s">
        <v>80</v>
      </c>
      <c r="H51" s="108" t="s">
        <v>81</v>
      </c>
      <c r="I51" s="108" t="s">
        <v>82</v>
      </c>
      <c r="J51" s="171" t="s">
        <v>52</v>
      </c>
      <c r="K51" s="110" t="s">
        <v>83</v>
      </c>
      <c r="L51" s="109" t="s">
        <v>54</v>
      </c>
      <c r="M51" s="67"/>
      <c r="N51" s="67"/>
      <c r="O51" s="65"/>
      <c r="P51" s="109" t="s">
        <v>55</v>
      </c>
      <c r="Q51" s="65"/>
      <c r="R51" s="109"/>
      <c r="S51" s="65"/>
      <c r="T51" s="110"/>
      <c r="U51" s="110" t="s">
        <v>56</v>
      </c>
      <c r="V51" s="110" t="s">
        <v>56</v>
      </c>
      <c r="W51" s="111" t="s">
        <v>56</v>
      </c>
      <c r="X51" s="65"/>
      <c r="Y51" s="172"/>
      <c r="Z51" s="173" t="s">
        <v>112</v>
      </c>
      <c r="AA51" s="76"/>
      <c r="AB51" s="58"/>
      <c r="AD51" s="63"/>
      <c r="AE51" s="63"/>
      <c r="AF51" s="63"/>
      <c r="AG51" s="63"/>
      <c r="AH51" s="63"/>
      <c r="AI51" s="63"/>
      <c r="AJ51" s="63"/>
      <c r="AK51" s="63"/>
      <c r="AL51" s="63"/>
      <c r="AM51" s="63"/>
    </row>
    <row r="52" spans="1:39" ht="15.75" customHeight="1" thickBot="1" x14ac:dyDescent="0.25">
      <c r="A52" s="20" t="s">
        <v>24</v>
      </c>
      <c r="B52" s="36"/>
      <c r="C52" s="54"/>
      <c r="D52" s="143"/>
      <c r="E52" s="145"/>
      <c r="F52" s="144"/>
      <c r="G52" s="174"/>
      <c r="H52" s="145"/>
      <c r="I52" s="145"/>
      <c r="J52" s="175" t="s">
        <v>58</v>
      </c>
      <c r="K52" s="176" t="s">
        <v>85</v>
      </c>
      <c r="L52" s="177" t="s">
        <v>86</v>
      </c>
      <c r="M52" s="178"/>
      <c r="N52" s="178"/>
      <c r="O52" s="40"/>
      <c r="P52" s="177" t="s">
        <v>61</v>
      </c>
      <c r="Q52" s="40"/>
      <c r="R52" s="177"/>
      <c r="S52" s="40"/>
      <c r="T52" s="176"/>
      <c r="U52" s="176" t="s">
        <v>73</v>
      </c>
      <c r="V52" s="179"/>
      <c r="W52" s="180"/>
      <c r="X52" s="40"/>
      <c r="Y52" s="181" t="s">
        <v>74</v>
      </c>
      <c r="Z52" s="36"/>
      <c r="AA52" s="182"/>
      <c r="AB52" s="54"/>
      <c r="AD52" s="63"/>
      <c r="AE52" s="63"/>
      <c r="AF52" s="63"/>
      <c r="AG52" s="63"/>
      <c r="AH52" s="63"/>
      <c r="AI52" s="63"/>
      <c r="AJ52" s="63"/>
      <c r="AK52" s="63"/>
      <c r="AL52" s="63"/>
      <c r="AM52" s="63"/>
    </row>
    <row r="53" spans="1:39" ht="15.75" customHeight="1" x14ac:dyDescent="0.2">
      <c r="A53" s="20"/>
      <c r="B53" s="61"/>
      <c r="C53" s="61"/>
      <c r="D53" s="61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61"/>
      <c r="R53" s="20"/>
      <c r="S53" s="20"/>
      <c r="T53" s="63"/>
      <c r="U53" s="20"/>
      <c r="V53" s="20"/>
      <c r="W53" s="20"/>
      <c r="X53" s="20"/>
      <c r="Y53" s="20"/>
      <c r="Z53" s="20"/>
      <c r="AA53" s="20"/>
      <c r="AB53" s="20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</row>
    <row r="54" spans="1:39" ht="15.75" customHeight="1" x14ac:dyDescent="0.2">
      <c r="A54" s="131"/>
      <c r="B54" s="132" t="s">
        <v>113</v>
      </c>
      <c r="C54" s="132"/>
      <c r="D54" s="132"/>
      <c r="E54" s="132"/>
      <c r="F54" s="132"/>
      <c r="G54" s="133"/>
      <c r="H54" s="133"/>
      <c r="I54" s="133"/>
      <c r="J54" s="132"/>
      <c r="K54" s="132"/>
      <c r="L54" s="133"/>
      <c r="M54" s="133"/>
      <c r="N54" s="134"/>
      <c r="O54" s="133"/>
      <c r="P54" s="134"/>
      <c r="Q54" s="134"/>
      <c r="R54" s="133"/>
      <c r="S54" s="134"/>
      <c r="T54" s="133"/>
      <c r="U54" s="134"/>
      <c r="V54" s="133"/>
      <c r="W54" s="134"/>
      <c r="X54" s="133"/>
      <c r="Y54" s="134"/>
      <c r="Z54" s="133"/>
      <c r="AA54" s="134"/>
      <c r="AB54" s="133"/>
      <c r="AC54" s="133"/>
      <c r="AD54" s="63"/>
      <c r="AE54" s="63"/>
      <c r="AF54" s="63"/>
      <c r="AG54" s="63"/>
      <c r="AH54" s="63"/>
      <c r="AI54" s="63"/>
      <c r="AJ54" s="63"/>
      <c r="AK54" s="63"/>
      <c r="AL54" s="63"/>
      <c r="AM54" s="63"/>
    </row>
    <row r="55" spans="1:39" ht="15.75" customHeight="1" x14ac:dyDescent="0.2">
      <c r="A55" s="20"/>
      <c r="B55" s="61"/>
      <c r="C55" s="61"/>
      <c r="D55" s="61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61"/>
      <c r="R55" s="20"/>
      <c r="S55" s="20"/>
      <c r="T55" s="63"/>
      <c r="U55" s="20"/>
      <c r="V55" s="20"/>
      <c r="W55" s="20"/>
      <c r="X55" s="20"/>
      <c r="Y55" s="20"/>
      <c r="Z55" s="20"/>
      <c r="AA55" s="20"/>
      <c r="AB55" s="20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</row>
    <row r="56" spans="1:39" ht="23.25" customHeight="1" x14ac:dyDescent="0.2">
      <c r="A56" s="183" t="s">
        <v>0</v>
      </c>
      <c r="B56" s="2"/>
      <c r="C56" s="2"/>
      <c r="D56" s="184" t="s">
        <v>114</v>
      </c>
      <c r="E56" s="77"/>
      <c r="F56" s="185" t="s">
        <v>115</v>
      </c>
      <c r="G56" s="186" t="s">
        <v>116</v>
      </c>
      <c r="H56" s="186" t="s">
        <v>117</v>
      </c>
      <c r="I56" s="186" t="s">
        <v>118</v>
      </c>
      <c r="J56" s="185" t="s">
        <v>114</v>
      </c>
      <c r="K56" s="184" t="s">
        <v>115</v>
      </c>
      <c r="L56" s="77"/>
      <c r="M56" s="186" t="s">
        <v>1</v>
      </c>
      <c r="N56" s="185" t="s">
        <v>2</v>
      </c>
      <c r="O56" s="187" t="s">
        <v>3</v>
      </c>
      <c r="P56" s="184" t="s">
        <v>2</v>
      </c>
      <c r="Q56" s="77"/>
      <c r="R56" s="188" t="s">
        <v>4</v>
      </c>
      <c r="S56" s="185" t="s">
        <v>2</v>
      </c>
      <c r="T56" s="186" t="s">
        <v>5</v>
      </c>
      <c r="U56" s="185" t="s">
        <v>2</v>
      </c>
      <c r="V56" s="187" t="s">
        <v>6</v>
      </c>
      <c r="W56" s="185" t="s">
        <v>2</v>
      </c>
      <c r="X56" s="188" t="s">
        <v>7</v>
      </c>
      <c r="Y56" s="185" t="s">
        <v>2</v>
      </c>
      <c r="Z56" s="186" t="s">
        <v>8</v>
      </c>
      <c r="AA56" s="185" t="s">
        <v>2</v>
      </c>
      <c r="AB56" s="189"/>
      <c r="AC56" s="189"/>
      <c r="AD56" s="63"/>
      <c r="AE56" s="63"/>
      <c r="AF56" s="63"/>
      <c r="AG56" s="63"/>
      <c r="AH56" s="63"/>
      <c r="AI56" s="63"/>
      <c r="AJ56" s="63"/>
      <c r="AK56" s="63"/>
      <c r="AL56" s="63"/>
      <c r="AM56" s="63"/>
    </row>
    <row r="57" spans="1:39" ht="15.75" customHeight="1" x14ac:dyDescent="0.2">
      <c r="A57" s="11"/>
      <c r="B57" s="12"/>
      <c r="C57" s="12"/>
      <c r="D57" s="99"/>
      <c r="E57" s="101"/>
      <c r="F57" s="98"/>
      <c r="G57" s="186" t="s">
        <v>119</v>
      </c>
      <c r="H57" s="186" t="s">
        <v>120</v>
      </c>
      <c r="I57" s="186" t="s">
        <v>121</v>
      </c>
      <c r="J57" s="98"/>
      <c r="K57" s="99"/>
      <c r="L57" s="101"/>
      <c r="M57" s="186" t="s">
        <v>9</v>
      </c>
      <c r="N57" s="98"/>
      <c r="O57" s="187" t="s">
        <v>10</v>
      </c>
      <c r="P57" s="99"/>
      <c r="Q57" s="101"/>
      <c r="R57" s="188" t="s">
        <v>11</v>
      </c>
      <c r="S57" s="98"/>
      <c r="T57" s="186" t="s">
        <v>12</v>
      </c>
      <c r="U57" s="98"/>
      <c r="V57" s="187" t="s">
        <v>13</v>
      </c>
      <c r="W57" s="98"/>
      <c r="X57" s="188" t="s">
        <v>14</v>
      </c>
      <c r="Y57" s="98"/>
      <c r="Z57" s="186" t="s">
        <v>15</v>
      </c>
      <c r="AA57" s="98"/>
      <c r="AB57" s="189"/>
      <c r="AC57" s="189"/>
      <c r="AD57" s="63"/>
      <c r="AE57" s="63"/>
      <c r="AF57" s="63"/>
      <c r="AG57" s="63"/>
      <c r="AH57" s="63"/>
      <c r="AI57" s="63"/>
      <c r="AJ57" s="63"/>
      <c r="AK57" s="63"/>
      <c r="AL57" s="63"/>
      <c r="AM57" s="63"/>
    </row>
    <row r="58" spans="1:39" ht="12.75" customHeight="1" thickBot="1" x14ac:dyDescent="0.25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63"/>
      <c r="AE58" s="63"/>
      <c r="AF58" s="63"/>
      <c r="AG58" s="63"/>
      <c r="AH58" s="63"/>
      <c r="AI58" s="63"/>
      <c r="AJ58" s="63"/>
      <c r="AK58" s="63"/>
      <c r="AL58" s="63"/>
      <c r="AM58" s="63"/>
    </row>
    <row r="59" spans="1:39" ht="15.75" customHeight="1" x14ac:dyDescent="0.2">
      <c r="A59" s="190" t="str">
        <f>IF(C59="","",CONCATENATE(C60,'AB5'!$A$4))</f>
        <v/>
      </c>
      <c r="B59" s="22" t="s">
        <v>17</v>
      </c>
      <c r="C59" s="23"/>
      <c r="D59" s="191" t="s">
        <v>18</v>
      </c>
      <c r="E59" s="124"/>
      <c r="F59" s="26" t="s">
        <v>122</v>
      </c>
      <c r="G59" s="28" t="s">
        <v>123</v>
      </c>
      <c r="H59" s="28" t="s">
        <v>124</v>
      </c>
      <c r="I59" s="28" t="s">
        <v>125</v>
      </c>
      <c r="J59" s="24" t="s">
        <v>18</v>
      </c>
      <c r="K59" s="26" t="s">
        <v>122</v>
      </c>
      <c r="L59" s="27" t="str">
        <f>IF(C59="","",'AB5'!$G$4)</f>
        <v/>
      </c>
      <c r="M59" s="28"/>
      <c r="N59" s="192"/>
      <c r="O59" s="31"/>
      <c r="P59" s="192"/>
      <c r="Q59" s="192"/>
      <c r="R59" s="31"/>
      <c r="S59" s="192"/>
      <c r="T59" s="31"/>
      <c r="U59" s="192"/>
      <c r="V59" s="31"/>
      <c r="W59" s="192"/>
      <c r="X59" s="31"/>
      <c r="Y59" s="192"/>
      <c r="Z59" s="31"/>
      <c r="AA59" s="193"/>
      <c r="AB59" s="194"/>
      <c r="AC59" s="194"/>
      <c r="AD59" s="63"/>
      <c r="AE59" s="63"/>
      <c r="AF59" s="63"/>
      <c r="AG59" s="63"/>
      <c r="AH59" s="63"/>
      <c r="AI59" s="63"/>
      <c r="AJ59" s="63"/>
      <c r="AK59" s="63"/>
      <c r="AL59" s="63"/>
      <c r="AM59" s="63"/>
    </row>
    <row r="60" spans="1:39" ht="15.75" customHeight="1" thickBot="1" x14ac:dyDescent="0.25">
      <c r="A60" s="190" t="str">
        <f>IF(C59="","",CONCATENATE(C60,'AB5'!$A$5))</f>
        <v/>
      </c>
      <c r="B60" s="33" t="s">
        <v>21</v>
      </c>
      <c r="C60" s="34"/>
      <c r="D60" s="195"/>
      <c r="E60" s="35"/>
      <c r="F60" s="36"/>
      <c r="G60" s="38" t="s">
        <v>123</v>
      </c>
      <c r="H60" s="38" t="s">
        <v>124</v>
      </c>
      <c r="I60" s="38" t="s">
        <v>126</v>
      </c>
      <c r="J60" s="35"/>
      <c r="K60" s="36"/>
      <c r="L60" s="37" t="str">
        <f>IF(C59="","",'AB5'!$G$5)</f>
        <v/>
      </c>
      <c r="M60" s="38"/>
      <c r="N60" s="196"/>
      <c r="O60" s="38"/>
      <c r="P60" s="196"/>
      <c r="Q60" s="196"/>
      <c r="R60" s="38"/>
      <c r="S60" s="196"/>
      <c r="T60" s="38"/>
      <c r="U60" s="196"/>
      <c r="V60" s="38"/>
      <c r="W60" s="196"/>
      <c r="X60" s="38"/>
      <c r="Y60" s="196"/>
      <c r="Z60" s="41"/>
      <c r="AA60" s="197"/>
      <c r="AB60" s="194"/>
      <c r="AC60" s="194"/>
      <c r="AD60" s="63"/>
      <c r="AE60" s="63"/>
      <c r="AF60" s="63"/>
      <c r="AG60" s="63"/>
      <c r="AH60" s="63"/>
      <c r="AI60" s="63"/>
      <c r="AJ60" s="63"/>
      <c r="AK60" s="63"/>
      <c r="AL60" s="63"/>
      <c r="AM60" s="63"/>
    </row>
    <row r="61" spans="1:39" ht="6" customHeight="1" thickBot="1" x14ac:dyDescent="0.25">
      <c r="A61" s="190" t="str">
        <f>IF(C59="","",CONCATENATE(C60,'AB5'!A6))</f>
        <v/>
      </c>
      <c r="B61" s="43" t="s">
        <v>23</v>
      </c>
      <c r="C61" s="44"/>
      <c r="D61" s="195"/>
      <c r="E61" s="35"/>
      <c r="F61" s="46"/>
      <c r="G61" s="45"/>
      <c r="H61" s="45"/>
      <c r="I61" s="45"/>
      <c r="J61" s="35"/>
      <c r="K61" s="46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194"/>
      <c r="AC61" s="194"/>
      <c r="AD61" s="63"/>
      <c r="AE61" s="63"/>
      <c r="AF61" s="63"/>
      <c r="AG61" s="63"/>
      <c r="AH61" s="63"/>
      <c r="AI61" s="63"/>
      <c r="AJ61" s="63"/>
      <c r="AK61" s="63"/>
      <c r="AL61" s="63"/>
      <c r="AM61" s="63"/>
    </row>
    <row r="62" spans="1:39" ht="15.75" customHeight="1" x14ac:dyDescent="0.2">
      <c r="A62" s="190" t="str">
        <f>IF(C59="","",CONCATENATE(C60,'AB5'!$A$7))</f>
        <v/>
      </c>
      <c r="B62" s="48"/>
      <c r="C62" s="49"/>
      <c r="D62" s="195"/>
      <c r="E62" s="35"/>
      <c r="F62" s="51" t="s">
        <v>127</v>
      </c>
      <c r="G62" s="28"/>
      <c r="H62" s="28" t="s">
        <v>124</v>
      </c>
      <c r="I62" s="28" t="s">
        <v>125</v>
      </c>
      <c r="J62" s="35"/>
      <c r="K62" s="51" t="s">
        <v>127</v>
      </c>
      <c r="L62" s="27" t="str">
        <f>IF(C59="","",'AB5'!$G$7)</f>
        <v/>
      </c>
      <c r="M62" s="28"/>
      <c r="N62" s="192"/>
      <c r="O62" s="31"/>
      <c r="P62" s="192"/>
      <c r="Q62" s="192"/>
      <c r="R62" s="31"/>
      <c r="S62" s="192"/>
      <c r="T62" s="31"/>
      <c r="U62" s="192"/>
      <c r="V62" s="31"/>
      <c r="W62" s="192"/>
      <c r="X62" s="31"/>
      <c r="Y62" s="192"/>
      <c r="Z62" s="31"/>
      <c r="AA62" s="193"/>
      <c r="AB62" s="194"/>
      <c r="AC62" s="194"/>
      <c r="AD62" s="63"/>
      <c r="AE62" s="63"/>
      <c r="AF62" s="63"/>
      <c r="AG62" s="63"/>
      <c r="AH62" s="63"/>
      <c r="AI62" s="63"/>
      <c r="AJ62" s="63"/>
      <c r="AK62" s="63"/>
      <c r="AL62" s="63"/>
      <c r="AM62" s="63"/>
    </row>
    <row r="63" spans="1:39" ht="15.75" customHeight="1" thickBot="1" x14ac:dyDescent="0.25">
      <c r="A63" s="190" t="str">
        <f>IF(C59="","",CONCATENATE(C60,'AB5'!$A$8))</f>
        <v/>
      </c>
      <c r="B63" s="52"/>
      <c r="C63" s="53"/>
      <c r="D63" s="182"/>
      <c r="E63" s="54"/>
      <c r="F63" s="36"/>
      <c r="G63" s="38"/>
      <c r="H63" s="38" t="s">
        <v>124</v>
      </c>
      <c r="I63" s="38" t="s">
        <v>126</v>
      </c>
      <c r="J63" s="54"/>
      <c r="K63" s="36"/>
      <c r="L63" s="37" t="str">
        <f>IF(C59="","",'AB5'!$G$8)</f>
        <v/>
      </c>
      <c r="M63" s="38"/>
      <c r="N63" s="196"/>
      <c r="O63" s="38"/>
      <c r="P63" s="196"/>
      <c r="Q63" s="196"/>
      <c r="R63" s="38"/>
      <c r="S63" s="196"/>
      <c r="T63" s="38"/>
      <c r="U63" s="196"/>
      <c r="V63" s="38"/>
      <c r="W63" s="196"/>
      <c r="X63" s="38"/>
      <c r="Y63" s="196"/>
      <c r="Z63" s="41"/>
      <c r="AA63" s="197"/>
      <c r="AB63" s="194"/>
      <c r="AC63" s="194"/>
      <c r="AD63" s="63"/>
      <c r="AE63" s="63"/>
      <c r="AF63" s="63"/>
      <c r="AG63" s="63"/>
      <c r="AH63" s="63"/>
      <c r="AI63" s="63"/>
      <c r="AJ63" s="63"/>
      <c r="AK63" s="63"/>
      <c r="AL63" s="63"/>
      <c r="AM63" s="63"/>
    </row>
    <row r="64" spans="1:39" ht="15.75" customHeight="1" thickBot="1" x14ac:dyDescent="0.25">
      <c r="A64" s="190" t="str">
        <f>IF(C59="","",CONCATENATE(C60,'AB5'!$A$9))</f>
        <v/>
      </c>
      <c r="B64" s="33" t="s">
        <v>27</v>
      </c>
      <c r="C64" s="34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194"/>
      <c r="AC64" s="194"/>
      <c r="AD64" s="63"/>
      <c r="AE64" s="63"/>
      <c r="AF64" s="63"/>
      <c r="AG64" s="63"/>
      <c r="AH64" s="63"/>
      <c r="AI64" s="63"/>
      <c r="AJ64" s="63"/>
      <c r="AK64" s="63"/>
      <c r="AL64" s="63"/>
      <c r="AM64" s="63"/>
    </row>
    <row r="65" spans="1:39" ht="15.75" customHeight="1" x14ac:dyDescent="0.2">
      <c r="A65" s="190" t="str">
        <f>IF(C59="","",CONCATENATE(C60,'AB5'!$A$10))</f>
        <v/>
      </c>
      <c r="B65" s="33" t="s">
        <v>29</v>
      </c>
      <c r="C65" s="34"/>
      <c r="D65" s="198" t="s">
        <v>30</v>
      </c>
      <c r="E65" s="124"/>
      <c r="F65" s="26" t="s">
        <v>122</v>
      </c>
      <c r="G65" s="28"/>
      <c r="H65" s="28" t="s">
        <v>124</v>
      </c>
      <c r="I65" s="28" t="s">
        <v>125</v>
      </c>
      <c r="J65" s="56" t="s">
        <v>30</v>
      </c>
      <c r="K65" s="26" t="s">
        <v>122</v>
      </c>
      <c r="L65" s="27" t="str">
        <f>IF(C59="","",'AB5'!$G$10)</f>
        <v/>
      </c>
      <c r="M65" s="28"/>
      <c r="N65" s="192"/>
      <c r="O65" s="31"/>
      <c r="P65" s="192"/>
      <c r="Q65" s="192"/>
      <c r="R65" s="31"/>
      <c r="S65" s="192"/>
      <c r="T65" s="31"/>
      <c r="U65" s="192"/>
      <c r="V65" s="31"/>
      <c r="W65" s="192"/>
      <c r="X65" s="31"/>
      <c r="Y65" s="192"/>
      <c r="Z65" s="31"/>
      <c r="AA65" s="193"/>
      <c r="AB65" s="194"/>
      <c r="AC65" s="194"/>
      <c r="AD65" s="63"/>
      <c r="AE65" s="63"/>
      <c r="AF65" s="63"/>
      <c r="AG65" s="63"/>
      <c r="AH65" s="63"/>
      <c r="AI65" s="63"/>
      <c r="AJ65" s="63"/>
      <c r="AK65" s="63"/>
      <c r="AL65" s="63"/>
      <c r="AM65" s="63"/>
    </row>
    <row r="66" spans="1:39" ht="15.75" customHeight="1" thickBot="1" x14ac:dyDescent="0.25">
      <c r="A66" s="190" t="str">
        <f>IF(C59="","",CONCATENATE(C60,'AB5'!$A$11))</f>
        <v/>
      </c>
      <c r="B66" s="33" t="s">
        <v>31</v>
      </c>
      <c r="C66" s="34"/>
      <c r="D66" s="195"/>
      <c r="E66" s="35"/>
      <c r="F66" s="36"/>
      <c r="G66" s="38"/>
      <c r="H66" s="38" t="s">
        <v>124</v>
      </c>
      <c r="I66" s="38" t="s">
        <v>126</v>
      </c>
      <c r="J66" s="35"/>
      <c r="K66" s="36"/>
      <c r="L66" s="37" t="str">
        <f>IF(C59="","",'AB5'!$G$11)</f>
        <v/>
      </c>
      <c r="M66" s="38"/>
      <c r="N66" s="196"/>
      <c r="O66" s="38"/>
      <c r="P66" s="196"/>
      <c r="Q66" s="196"/>
      <c r="R66" s="38"/>
      <c r="S66" s="196"/>
      <c r="T66" s="38"/>
      <c r="U66" s="196"/>
      <c r="V66" s="38"/>
      <c r="W66" s="196"/>
      <c r="X66" s="38"/>
      <c r="Y66" s="196"/>
      <c r="Z66" s="41"/>
      <c r="AA66" s="197"/>
      <c r="AB66" s="194"/>
      <c r="AC66" s="194"/>
      <c r="AD66" s="63"/>
      <c r="AE66" s="63"/>
      <c r="AF66" s="63"/>
      <c r="AG66" s="63"/>
      <c r="AH66" s="63"/>
      <c r="AI66" s="63"/>
      <c r="AJ66" s="63"/>
      <c r="AK66" s="63"/>
      <c r="AL66" s="63"/>
      <c r="AM66" s="63"/>
    </row>
    <row r="67" spans="1:39" ht="6" customHeight="1" thickBot="1" x14ac:dyDescent="0.25">
      <c r="A67" s="190" t="str">
        <f>IF(C59="","",CONCATENATE(C60,'AB5'!A12))</f>
        <v/>
      </c>
      <c r="B67" s="57" t="s">
        <v>88</v>
      </c>
      <c r="C67" s="58"/>
      <c r="D67" s="195"/>
      <c r="E67" s="35"/>
      <c r="F67" s="46"/>
      <c r="G67" s="45"/>
      <c r="H67" s="45"/>
      <c r="I67" s="45"/>
      <c r="J67" s="35"/>
      <c r="K67" s="46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194"/>
      <c r="AC67" s="194"/>
      <c r="AD67" s="63"/>
      <c r="AE67" s="63"/>
      <c r="AF67" s="63"/>
      <c r="AG67" s="63"/>
      <c r="AH67" s="63"/>
      <c r="AI67" s="63"/>
      <c r="AJ67" s="63"/>
      <c r="AK67" s="63"/>
      <c r="AL67" s="63"/>
      <c r="AM67" s="63"/>
    </row>
    <row r="68" spans="1:39" ht="15.75" customHeight="1" x14ac:dyDescent="0.2">
      <c r="A68" s="190" t="str">
        <f>IF(C59="","",CONCATENATE(C60,'AB5'!$A$13))</f>
        <v/>
      </c>
      <c r="B68" s="59"/>
      <c r="C68" s="35"/>
      <c r="D68" s="195"/>
      <c r="E68" s="35"/>
      <c r="F68" s="51" t="s">
        <v>127</v>
      </c>
      <c r="G68" s="28"/>
      <c r="H68" s="28" t="s">
        <v>124</v>
      </c>
      <c r="I68" s="28" t="s">
        <v>125</v>
      </c>
      <c r="J68" s="35"/>
      <c r="K68" s="51" t="s">
        <v>127</v>
      </c>
      <c r="L68" s="27" t="str">
        <f>IF(C59="","",'AB5'!$G$13)</f>
        <v/>
      </c>
      <c r="M68" s="28"/>
      <c r="N68" s="192"/>
      <c r="O68" s="31"/>
      <c r="P68" s="192"/>
      <c r="Q68" s="192"/>
      <c r="R68" s="31"/>
      <c r="S68" s="192"/>
      <c r="T68" s="31"/>
      <c r="U68" s="192"/>
      <c r="V68" s="31"/>
      <c r="W68" s="192"/>
      <c r="X68" s="31"/>
      <c r="Y68" s="192"/>
      <c r="Z68" s="31"/>
      <c r="AA68" s="193"/>
      <c r="AB68" s="194"/>
      <c r="AC68" s="194"/>
      <c r="AD68" s="63"/>
      <c r="AE68" s="63"/>
      <c r="AF68" s="63"/>
      <c r="AG68" s="63"/>
      <c r="AH68" s="63"/>
      <c r="AI68" s="63"/>
      <c r="AJ68" s="63"/>
      <c r="AK68" s="63"/>
      <c r="AL68" s="63"/>
      <c r="AM68" s="63"/>
    </row>
    <row r="69" spans="1:39" ht="15.75" customHeight="1" thickBot="1" x14ac:dyDescent="0.25">
      <c r="A69" s="190" t="str">
        <f>IF(C59="","",CONCATENATE(C60,'AB5'!$A$14))</f>
        <v/>
      </c>
      <c r="B69" s="36"/>
      <c r="C69" s="54"/>
      <c r="D69" s="182"/>
      <c r="E69" s="54"/>
      <c r="F69" s="36"/>
      <c r="G69" s="38"/>
      <c r="H69" s="38" t="s">
        <v>124</v>
      </c>
      <c r="I69" s="38" t="s">
        <v>126</v>
      </c>
      <c r="J69" s="54"/>
      <c r="K69" s="36"/>
      <c r="L69" s="37" t="str">
        <f>IF(C59="","",'AB5'!$G$14)</f>
        <v/>
      </c>
      <c r="M69" s="38"/>
      <c r="N69" s="196"/>
      <c r="O69" s="38"/>
      <c r="P69" s="196"/>
      <c r="Q69" s="196"/>
      <c r="R69" s="38"/>
      <c r="S69" s="196"/>
      <c r="T69" s="38"/>
      <c r="U69" s="196"/>
      <c r="V69" s="38"/>
      <c r="W69" s="196"/>
      <c r="X69" s="38"/>
      <c r="Y69" s="196"/>
      <c r="Z69" s="41"/>
      <c r="AA69" s="197"/>
      <c r="AB69" s="194"/>
      <c r="AC69" s="194"/>
      <c r="AD69" s="63"/>
      <c r="AE69" s="63"/>
      <c r="AF69" s="63"/>
      <c r="AG69" s="63"/>
      <c r="AH69" s="63"/>
      <c r="AI69" s="63"/>
      <c r="AJ69" s="63"/>
      <c r="AK69" s="63"/>
      <c r="AL69" s="63"/>
      <c r="AM69" s="63"/>
    </row>
    <row r="70" spans="1:39" ht="15.75" customHeight="1" thickBot="1" x14ac:dyDescent="0.25">
      <c r="A70" s="190"/>
      <c r="B70" s="55"/>
      <c r="C70" s="55"/>
      <c r="D70" s="55"/>
      <c r="E70" s="55"/>
      <c r="F70" s="55"/>
      <c r="G70" s="55"/>
      <c r="H70" s="55"/>
      <c r="I70" s="55"/>
      <c r="J70" s="55"/>
      <c r="K70" s="190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199"/>
      <c r="W70" s="199"/>
      <c r="X70" s="199"/>
      <c r="Y70" s="199"/>
      <c r="Z70" s="199"/>
      <c r="AA70" s="190"/>
      <c r="AB70" s="200"/>
      <c r="AC70" s="200"/>
      <c r="AD70" s="63"/>
      <c r="AE70" s="63"/>
      <c r="AF70" s="63"/>
      <c r="AG70" s="63"/>
      <c r="AH70" s="63"/>
      <c r="AI70" s="63"/>
      <c r="AJ70" s="63"/>
      <c r="AK70" s="63"/>
      <c r="AL70" s="63"/>
      <c r="AM70" s="63"/>
    </row>
    <row r="71" spans="1:39" ht="15.75" customHeight="1" x14ac:dyDescent="0.2">
      <c r="A71" s="190"/>
      <c r="B71" s="201" t="s">
        <v>34</v>
      </c>
      <c r="C71" s="32"/>
      <c r="D71" s="202" t="s">
        <v>35</v>
      </c>
      <c r="E71" s="203" t="s">
        <v>36</v>
      </c>
      <c r="F71" s="123"/>
      <c r="G71" s="204" t="s">
        <v>128</v>
      </c>
      <c r="H71" s="205" t="s">
        <v>38</v>
      </c>
      <c r="I71" s="206" t="s">
        <v>39</v>
      </c>
      <c r="J71" s="207" t="s">
        <v>40</v>
      </c>
      <c r="K71" s="123"/>
      <c r="L71" s="208" t="s">
        <v>41</v>
      </c>
      <c r="M71" s="206" t="s">
        <v>129</v>
      </c>
      <c r="N71" s="204" t="s">
        <v>130</v>
      </c>
      <c r="O71" s="206" t="s">
        <v>131</v>
      </c>
      <c r="P71" s="207" t="s">
        <v>132</v>
      </c>
      <c r="Q71" s="123"/>
      <c r="R71" s="123"/>
      <c r="S71" s="205" t="s">
        <v>43</v>
      </c>
      <c r="T71" s="207" t="s">
        <v>133</v>
      </c>
      <c r="U71" s="123"/>
      <c r="V71" s="204" t="s">
        <v>134</v>
      </c>
      <c r="W71" s="204" t="s">
        <v>135</v>
      </c>
      <c r="X71" s="209" t="s">
        <v>136</v>
      </c>
      <c r="Y71" s="123"/>
      <c r="Z71" s="206" t="s">
        <v>43</v>
      </c>
      <c r="AA71" s="204" t="s">
        <v>44</v>
      </c>
      <c r="AB71" s="60"/>
      <c r="AC71" s="60"/>
      <c r="AD71" s="63"/>
      <c r="AE71" s="63"/>
      <c r="AF71" s="63"/>
      <c r="AG71" s="63"/>
      <c r="AH71" s="63"/>
      <c r="AI71" s="63"/>
      <c r="AJ71" s="63"/>
      <c r="AK71" s="63"/>
      <c r="AL71" s="63"/>
      <c r="AM71" s="63"/>
    </row>
    <row r="72" spans="1:39" ht="15.75" customHeight="1" x14ac:dyDescent="0.2">
      <c r="A72" s="190" t="s">
        <v>137</v>
      </c>
      <c r="B72" s="210" t="s">
        <v>47</v>
      </c>
      <c r="C72" s="211" t="s">
        <v>48</v>
      </c>
      <c r="D72" s="212" t="s">
        <v>138</v>
      </c>
      <c r="E72" s="78" t="s">
        <v>81</v>
      </c>
      <c r="F72" s="78" t="s">
        <v>139</v>
      </c>
      <c r="G72" s="213" t="s">
        <v>52</v>
      </c>
      <c r="H72" s="214" t="s">
        <v>53</v>
      </c>
      <c r="I72" s="215" t="s">
        <v>54</v>
      </c>
      <c r="J72" s="216" t="s">
        <v>55</v>
      </c>
      <c r="K72" s="65"/>
      <c r="L72" s="214"/>
      <c r="M72" s="215" t="s">
        <v>56</v>
      </c>
      <c r="N72" s="217" t="s">
        <v>56</v>
      </c>
      <c r="O72" s="215" t="s">
        <v>56</v>
      </c>
      <c r="P72" s="218" t="s">
        <v>56</v>
      </c>
      <c r="Q72" s="67"/>
      <c r="R72" s="67"/>
      <c r="S72" s="214" t="s">
        <v>56</v>
      </c>
      <c r="T72" s="218" t="s">
        <v>56</v>
      </c>
      <c r="U72" s="67"/>
      <c r="V72" s="217" t="s">
        <v>56</v>
      </c>
      <c r="W72" s="217" t="s">
        <v>56</v>
      </c>
      <c r="X72" s="219" t="s">
        <v>56</v>
      </c>
      <c r="Y72" s="65"/>
      <c r="Z72" s="215" t="s">
        <v>56</v>
      </c>
      <c r="AA72" s="217" t="s">
        <v>56</v>
      </c>
      <c r="AB72" s="60"/>
      <c r="AC72" s="60"/>
      <c r="AD72" s="63"/>
      <c r="AE72" s="63"/>
      <c r="AF72" s="63"/>
      <c r="AG72" s="63"/>
      <c r="AH72" s="63"/>
      <c r="AI72" s="63"/>
      <c r="AJ72" s="63"/>
      <c r="AK72" s="63"/>
      <c r="AL72" s="63"/>
      <c r="AM72" s="63"/>
    </row>
    <row r="73" spans="1:39" ht="27.75" customHeight="1" thickBot="1" x14ac:dyDescent="0.25">
      <c r="A73" s="190" t="s">
        <v>140</v>
      </c>
      <c r="B73" s="220"/>
      <c r="C73" s="221"/>
      <c r="D73" s="59"/>
      <c r="E73" s="89"/>
      <c r="F73" s="89"/>
      <c r="G73" s="222" t="s">
        <v>58</v>
      </c>
      <c r="H73" s="223" t="s">
        <v>59</v>
      </c>
      <c r="I73" s="215" t="s">
        <v>141</v>
      </c>
      <c r="J73" s="216" t="s">
        <v>61</v>
      </c>
      <c r="K73" s="67"/>
      <c r="L73" s="214"/>
      <c r="M73" s="215" t="s">
        <v>142</v>
      </c>
      <c r="N73" s="224"/>
      <c r="O73" s="215" t="s">
        <v>142</v>
      </c>
      <c r="P73" s="225"/>
      <c r="Q73" s="67"/>
      <c r="R73" s="67"/>
      <c r="S73" s="226" t="s">
        <v>73</v>
      </c>
      <c r="T73" s="225" t="s">
        <v>142</v>
      </c>
      <c r="U73" s="67"/>
      <c r="V73" s="224" t="s">
        <v>142</v>
      </c>
      <c r="W73" s="224"/>
      <c r="X73" s="219" t="s">
        <v>142</v>
      </c>
      <c r="Y73" s="65"/>
      <c r="Z73" s="227" t="s">
        <v>73</v>
      </c>
      <c r="AA73" s="224" t="s">
        <v>143</v>
      </c>
      <c r="AB73" s="60"/>
      <c r="AC73" s="60"/>
      <c r="AD73" s="63"/>
      <c r="AE73" s="63"/>
      <c r="AF73" s="63"/>
      <c r="AG73" s="63"/>
      <c r="AH73" s="63"/>
      <c r="AI73" s="63"/>
      <c r="AJ73" s="63"/>
      <c r="AK73" s="63"/>
      <c r="AL73" s="63"/>
      <c r="AM73" s="63"/>
    </row>
    <row r="74" spans="1:39" ht="15.75" customHeight="1" thickBot="1" x14ac:dyDescent="0.25">
      <c r="A74" s="190"/>
      <c r="B74" s="55"/>
      <c r="C74" s="55"/>
      <c r="D74" s="228"/>
      <c r="E74" s="98"/>
      <c r="F74" s="98"/>
      <c r="G74" s="99"/>
      <c r="H74" s="98"/>
      <c r="I74" s="215" t="s">
        <v>144</v>
      </c>
      <c r="J74" s="216" t="s">
        <v>61</v>
      </c>
      <c r="K74" s="67"/>
      <c r="L74" s="214"/>
      <c r="M74" s="215" t="s">
        <v>142</v>
      </c>
      <c r="N74" s="224"/>
      <c r="O74" s="215" t="s">
        <v>142</v>
      </c>
      <c r="P74" s="225"/>
      <c r="Q74" s="67"/>
      <c r="R74" s="67"/>
      <c r="S74" s="226" t="s">
        <v>73</v>
      </c>
      <c r="T74" s="225" t="s">
        <v>142</v>
      </c>
      <c r="U74" s="67"/>
      <c r="V74" s="224" t="s">
        <v>142</v>
      </c>
      <c r="W74" s="224"/>
      <c r="X74" s="219" t="s">
        <v>142</v>
      </c>
      <c r="Y74" s="65"/>
      <c r="Z74" s="227" t="s">
        <v>73</v>
      </c>
      <c r="AA74" s="224" t="s">
        <v>143</v>
      </c>
      <c r="AB74" s="60"/>
      <c r="AC74" s="60"/>
      <c r="AD74" s="63"/>
      <c r="AE74" s="63"/>
      <c r="AF74" s="63"/>
      <c r="AG74" s="63"/>
      <c r="AH74" s="63"/>
      <c r="AI74" s="63"/>
      <c r="AJ74" s="63"/>
      <c r="AK74" s="63"/>
      <c r="AL74" s="63"/>
      <c r="AM74" s="63"/>
    </row>
    <row r="75" spans="1:39" ht="15.75" customHeight="1" x14ac:dyDescent="0.2">
      <c r="A75" s="190"/>
      <c r="B75" s="201" t="s">
        <v>68</v>
      </c>
      <c r="C75" s="32"/>
      <c r="D75" s="229" t="s">
        <v>145</v>
      </c>
      <c r="E75" s="78" t="s">
        <v>81</v>
      </c>
      <c r="F75" s="78" t="s">
        <v>146</v>
      </c>
      <c r="G75" s="230" t="s">
        <v>52</v>
      </c>
      <c r="H75" s="231" t="s">
        <v>53</v>
      </c>
      <c r="I75" s="232" t="s">
        <v>54</v>
      </c>
      <c r="J75" s="233" t="s">
        <v>55</v>
      </c>
      <c r="K75" s="65"/>
      <c r="L75" s="234"/>
      <c r="M75" s="232" t="s">
        <v>56</v>
      </c>
      <c r="N75" s="235" t="s">
        <v>56</v>
      </c>
      <c r="O75" s="232" t="s">
        <v>56</v>
      </c>
      <c r="P75" s="236" t="s">
        <v>56</v>
      </c>
      <c r="Q75" s="67"/>
      <c r="R75" s="67"/>
      <c r="S75" s="231" t="s">
        <v>56</v>
      </c>
      <c r="T75" s="236" t="s">
        <v>56</v>
      </c>
      <c r="U75" s="67"/>
      <c r="V75" s="235" t="s">
        <v>56</v>
      </c>
      <c r="W75" s="235" t="s">
        <v>56</v>
      </c>
      <c r="X75" s="237" t="s">
        <v>56</v>
      </c>
      <c r="Y75" s="65"/>
      <c r="Z75" s="232" t="s">
        <v>56</v>
      </c>
      <c r="AA75" s="235" t="s">
        <v>56</v>
      </c>
      <c r="AB75" s="60"/>
      <c r="AC75" s="60"/>
      <c r="AD75" s="63"/>
      <c r="AE75" s="63"/>
      <c r="AF75" s="63"/>
      <c r="AG75" s="63"/>
      <c r="AH75" s="63"/>
      <c r="AI75" s="63"/>
      <c r="AJ75" s="63"/>
      <c r="AK75" s="63"/>
      <c r="AL75" s="63"/>
      <c r="AM75" s="63"/>
    </row>
    <row r="76" spans="1:39" ht="15.75" customHeight="1" x14ac:dyDescent="0.2">
      <c r="A76" s="190" t="s">
        <v>137</v>
      </c>
      <c r="B76" s="210" t="s">
        <v>47</v>
      </c>
      <c r="C76" s="211" t="s">
        <v>48</v>
      </c>
      <c r="D76" s="59"/>
      <c r="E76" s="89"/>
      <c r="F76" s="89"/>
      <c r="G76" s="238" t="s">
        <v>58</v>
      </c>
      <c r="H76" s="239" t="s">
        <v>59</v>
      </c>
      <c r="I76" s="232" t="s">
        <v>147</v>
      </c>
      <c r="J76" s="233" t="s">
        <v>61</v>
      </c>
      <c r="K76" s="67"/>
      <c r="L76" s="234"/>
      <c r="M76" s="232" t="s">
        <v>148</v>
      </c>
      <c r="N76" s="235"/>
      <c r="O76" s="232" t="s">
        <v>148</v>
      </c>
      <c r="P76" s="236"/>
      <c r="Q76" s="67"/>
      <c r="R76" s="67"/>
      <c r="S76" s="240" t="s">
        <v>73</v>
      </c>
      <c r="T76" s="236" t="s">
        <v>142</v>
      </c>
      <c r="U76" s="67"/>
      <c r="V76" s="235" t="s">
        <v>142</v>
      </c>
      <c r="W76" s="235"/>
      <c r="X76" s="237" t="s">
        <v>142</v>
      </c>
      <c r="Y76" s="65"/>
      <c r="Z76" s="241" t="s">
        <v>73</v>
      </c>
      <c r="AA76" s="235" t="s">
        <v>143</v>
      </c>
      <c r="AB76" s="60"/>
      <c r="AC76" s="60"/>
      <c r="AD76" s="63"/>
      <c r="AE76" s="63"/>
      <c r="AF76" s="63"/>
      <c r="AG76" s="63"/>
      <c r="AH76" s="63"/>
      <c r="AI76" s="63"/>
      <c r="AJ76" s="63"/>
      <c r="AK76" s="63"/>
      <c r="AL76" s="63"/>
      <c r="AM76" s="63"/>
    </row>
    <row r="77" spans="1:39" ht="15.75" customHeight="1" thickBot="1" x14ac:dyDescent="0.25">
      <c r="A77" s="190" t="s">
        <v>140</v>
      </c>
      <c r="B77" s="220"/>
      <c r="C77" s="221"/>
      <c r="D77" s="36"/>
      <c r="E77" s="98"/>
      <c r="F77" s="98"/>
      <c r="G77" s="146"/>
      <c r="H77" s="145"/>
      <c r="I77" s="242" t="s">
        <v>149</v>
      </c>
      <c r="J77" s="243" t="s">
        <v>61</v>
      </c>
      <c r="K77" s="178"/>
      <c r="L77" s="244"/>
      <c r="M77" s="242" t="s">
        <v>148</v>
      </c>
      <c r="N77" s="245"/>
      <c r="O77" s="242" t="s">
        <v>148</v>
      </c>
      <c r="P77" s="246"/>
      <c r="Q77" s="178"/>
      <c r="R77" s="178"/>
      <c r="S77" s="240" t="s">
        <v>73</v>
      </c>
      <c r="T77" s="246" t="s">
        <v>142</v>
      </c>
      <c r="U77" s="178"/>
      <c r="V77" s="245" t="s">
        <v>142</v>
      </c>
      <c r="W77" s="245"/>
      <c r="X77" s="247" t="s">
        <v>142</v>
      </c>
      <c r="Y77" s="40"/>
      <c r="Z77" s="248" t="s">
        <v>73</v>
      </c>
      <c r="AA77" s="245" t="s">
        <v>143</v>
      </c>
      <c r="AB77" s="60"/>
      <c r="AC77" s="60"/>
      <c r="AD77" s="63"/>
      <c r="AE77" s="63"/>
      <c r="AF77" s="63"/>
      <c r="AG77" s="63"/>
      <c r="AH77" s="63"/>
      <c r="AI77" s="63"/>
      <c r="AJ77" s="63"/>
      <c r="AK77" s="63"/>
      <c r="AL77" s="63"/>
      <c r="AM77" s="63"/>
    </row>
    <row r="78" spans="1:39" ht="15.75" customHeight="1" thickBot="1" x14ac:dyDescent="0.25">
      <c r="A78" s="190"/>
      <c r="B78" s="190"/>
      <c r="C78" s="190"/>
      <c r="D78" s="190"/>
      <c r="E78" s="190"/>
      <c r="F78" s="190"/>
      <c r="G78" s="190"/>
      <c r="H78" s="190"/>
      <c r="I78" s="190"/>
      <c r="J78" s="190"/>
      <c r="K78" s="190"/>
      <c r="L78" s="190"/>
      <c r="M78" s="190"/>
      <c r="N78" s="190"/>
      <c r="P78" s="190"/>
      <c r="Q78" s="190"/>
      <c r="R78" s="190"/>
      <c r="T78" s="190"/>
      <c r="U78" s="190"/>
      <c r="V78" s="190"/>
      <c r="W78" s="190"/>
      <c r="X78" s="190"/>
      <c r="Y78" s="190"/>
      <c r="AD78" s="63"/>
      <c r="AE78" s="63"/>
      <c r="AF78" s="63"/>
      <c r="AG78" s="63"/>
      <c r="AH78" s="63"/>
      <c r="AI78" s="63"/>
      <c r="AJ78" s="63"/>
      <c r="AK78" s="63"/>
      <c r="AL78" s="63"/>
      <c r="AM78" s="63"/>
    </row>
    <row r="79" spans="1:39" ht="15.75" customHeight="1" x14ac:dyDescent="0.2">
      <c r="A79" s="190"/>
      <c r="B79" s="201" t="s">
        <v>78</v>
      </c>
      <c r="C79" s="32"/>
      <c r="D79" s="202" t="s">
        <v>35</v>
      </c>
      <c r="E79" s="203" t="s">
        <v>36</v>
      </c>
      <c r="F79" s="123"/>
      <c r="G79" s="204" t="s">
        <v>37</v>
      </c>
      <c r="H79" s="205" t="s">
        <v>79</v>
      </c>
      <c r="I79" s="206" t="s">
        <v>39</v>
      </c>
      <c r="J79" s="207" t="s">
        <v>40</v>
      </c>
      <c r="K79" s="123"/>
      <c r="L79" s="208" t="s">
        <v>41</v>
      </c>
      <c r="M79" s="206" t="s">
        <v>42</v>
      </c>
      <c r="N79" s="205" t="s">
        <v>43</v>
      </c>
      <c r="O79" s="204" t="s">
        <v>44</v>
      </c>
      <c r="P79" s="249" t="s">
        <v>150</v>
      </c>
      <c r="Q79" s="249" t="s">
        <v>151</v>
      </c>
      <c r="R79" s="249" t="s">
        <v>152</v>
      </c>
      <c r="S79" s="250" t="s">
        <v>153</v>
      </c>
      <c r="T79" s="251"/>
      <c r="U79" s="252" t="s">
        <v>154</v>
      </c>
      <c r="V79" s="251"/>
      <c r="W79" s="252" t="s">
        <v>134</v>
      </c>
      <c r="X79" s="251"/>
      <c r="Y79" s="253" t="s">
        <v>135</v>
      </c>
      <c r="Z79" s="252" t="s">
        <v>155</v>
      </c>
      <c r="AA79" s="251"/>
      <c r="AB79" s="254"/>
      <c r="AC79" s="254"/>
      <c r="AD79" s="63"/>
      <c r="AE79" s="63"/>
      <c r="AF79" s="63"/>
      <c r="AG79" s="63"/>
      <c r="AH79" s="63"/>
      <c r="AI79" s="63"/>
      <c r="AJ79" s="63"/>
      <c r="AK79" s="63"/>
      <c r="AL79" s="63"/>
      <c r="AM79" s="63"/>
    </row>
    <row r="80" spans="1:39" ht="15.75" customHeight="1" x14ac:dyDescent="0.2">
      <c r="A80" s="190" t="s">
        <v>137</v>
      </c>
      <c r="B80" s="255" t="s">
        <v>47</v>
      </c>
      <c r="C80" s="256" t="s">
        <v>48</v>
      </c>
      <c r="D80" s="229" t="s">
        <v>156</v>
      </c>
      <c r="E80" s="257" t="s">
        <v>50</v>
      </c>
      <c r="F80" s="257" t="s">
        <v>157</v>
      </c>
      <c r="G80" s="258" t="s">
        <v>52</v>
      </c>
      <c r="H80" s="259" t="s">
        <v>83</v>
      </c>
      <c r="I80" s="260" t="s">
        <v>54</v>
      </c>
      <c r="J80" s="261" t="s">
        <v>55</v>
      </c>
      <c r="K80" s="67"/>
      <c r="L80" s="262"/>
      <c r="M80" s="260" t="s">
        <v>56</v>
      </c>
      <c r="N80" s="259" t="s">
        <v>56</v>
      </c>
      <c r="O80" s="263" t="s">
        <v>56</v>
      </c>
      <c r="P80" s="264" t="s">
        <v>18</v>
      </c>
      <c r="Q80" s="265" t="s">
        <v>122</v>
      </c>
      <c r="R80" s="266" t="s">
        <v>158</v>
      </c>
      <c r="S80" s="267" t="s">
        <v>158</v>
      </c>
      <c r="T80" s="251"/>
      <c r="U80" s="268" t="s">
        <v>158</v>
      </c>
      <c r="V80" s="251"/>
      <c r="W80" s="268" t="s">
        <v>158</v>
      </c>
      <c r="X80" s="251"/>
      <c r="Y80" s="269"/>
      <c r="Z80" s="268" t="s">
        <v>159</v>
      </c>
      <c r="AA80" s="251"/>
      <c r="AD80" s="63"/>
      <c r="AE80" s="63"/>
      <c r="AF80" s="63"/>
      <c r="AG80" s="63"/>
      <c r="AH80" s="63"/>
      <c r="AI80" s="63"/>
      <c r="AJ80" s="63"/>
      <c r="AK80" s="63"/>
      <c r="AL80" s="63"/>
      <c r="AM80" s="63"/>
    </row>
    <row r="81" spans="1:39" ht="15.75" customHeight="1" thickBot="1" x14ac:dyDescent="0.25">
      <c r="A81" s="190" t="s">
        <v>140</v>
      </c>
      <c r="B81" s="270"/>
      <c r="C81" s="271"/>
      <c r="D81" s="59"/>
      <c r="E81" s="59"/>
      <c r="F81" s="59"/>
      <c r="G81" s="272" t="s">
        <v>58</v>
      </c>
      <c r="H81" s="273" t="s">
        <v>85</v>
      </c>
      <c r="I81" s="232" t="s">
        <v>160</v>
      </c>
      <c r="J81" s="261" t="s">
        <v>61</v>
      </c>
      <c r="K81" s="67"/>
      <c r="L81" s="262"/>
      <c r="M81" s="274" t="s">
        <v>64</v>
      </c>
      <c r="N81" s="240" t="s">
        <v>63</v>
      </c>
      <c r="O81" s="263"/>
      <c r="P81" s="98"/>
      <c r="Q81" s="275" t="s">
        <v>127</v>
      </c>
      <c r="R81" s="266" t="s">
        <v>161</v>
      </c>
      <c r="S81" s="267" t="s">
        <v>161</v>
      </c>
      <c r="T81" s="251"/>
      <c r="U81" s="268" t="s">
        <v>158</v>
      </c>
      <c r="V81" s="251"/>
      <c r="W81" s="268" t="s">
        <v>158</v>
      </c>
      <c r="X81" s="251"/>
      <c r="Y81" s="269"/>
      <c r="Z81" s="268" t="s">
        <v>159</v>
      </c>
      <c r="AA81" s="251"/>
      <c r="AD81" s="63"/>
      <c r="AE81" s="63"/>
      <c r="AF81" s="63"/>
      <c r="AG81" s="63"/>
      <c r="AH81" s="63"/>
      <c r="AI81" s="63"/>
      <c r="AJ81" s="63"/>
      <c r="AK81" s="63"/>
      <c r="AL81" s="63"/>
      <c r="AM81" s="63"/>
    </row>
    <row r="82" spans="1:39" ht="15.75" customHeight="1" thickBot="1" x14ac:dyDescent="0.25">
      <c r="A82" s="190"/>
      <c r="D82" s="228"/>
      <c r="E82" s="228"/>
      <c r="F82" s="228"/>
      <c r="G82" s="86"/>
      <c r="H82" s="98"/>
      <c r="I82" s="232" t="s">
        <v>162</v>
      </c>
      <c r="J82" s="261" t="s">
        <v>61</v>
      </c>
      <c r="K82" s="67"/>
      <c r="L82" s="262"/>
      <c r="M82" s="274" t="s">
        <v>64</v>
      </c>
      <c r="N82" s="240" t="s">
        <v>63</v>
      </c>
      <c r="O82" s="263"/>
      <c r="P82" s="276" t="s">
        <v>30</v>
      </c>
      <c r="Q82" s="265" t="s">
        <v>122</v>
      </c>
      <c r="R82" s="277" t="s">
        <v>158</v>
      </c>
      <c r="S82" s="278" t="s">
        <v>158</v>
      </c>
      <c r="T82" s="251"/>
      <c r="U82" s="268" t="s">
        <v>158</v>
      </c>
      <c r="V82" s="251"/>
      <c r="W82" s="268" t="s">
        <v>158</v>
      </c>
      <c r="X82" s="251"/>
      <c r="Y82" s="279"/>
      <c r="Z82" s="268" t="s">
        <v>159</v>
      </c>
      <c r="AA82" s="251"/>
      <c r="AD82" s="63"/>
      <c r="AE82" s="63"/>
      <c r="AF82" s="63"/>
      <c r="AG82" s="63"/>
      <c r="AH82" s="63"/>
      <c r="AI82" s="63"/>
      <c r="AJ82" s="63"/>
      <c r="AK82" s="63"/>
      <c r="AL82" s="63"/>
      <c r="AM82" s="63"/>
    </row>
    <row r="83" spans="1:39" ht="15.75" customHeight="1" x14ac:dyDescent="0.2">
      <c r="A83" s="190"/>
      <c r="B83" s="203" t="s">
        <v>32</v>
      </c>
      <c r="C83" s="124"/>
      <c r="D83" s="212" t="s">
        <v>163</v>
      </c>
      <c r="E83" s="257" t="s">
        <v>50</v>
      </c>
      <c r="F83" s="257" t="s">
        <v>93</v>
      </c>
      <c r="G83" s="280" t="s">
        <v>52</v>
      </c>
      <c r="H83" s="281" t="s">
        <v>83</v>
      </c>
      <c r="I83" s="215" t="s">
        <v>54</v>
      </c>
      <c r="J83" s="282" t="s">
        <v>55</v>
      </c>
      <c r="K83" s="65"/>
      <c r="L83" s="281"/>
      <c r="M83" s="283" t="s">
        <v>56</v>
      </c>
      <c r="N83" s="281" t="s">
        <v>56</v>
      </c>
      <c r="O83" s="284" t="s">
        <v>56</v>
      </c>
      <c r="P83" s="98"/>
      <c r="Q83" s="275" t="s">
        <v>127</v>
      </c>
      <c r="R83" s="277" t="s">
        <v>161</v>
      </c>
      <c r="S83" s="278" t="s">
        <v>161</v>
      </c>
      <c r="T83" s="251"/>
      <c r="U83" s="268" t="s">
        <v>158</v>
      </c>
      <c r="V83" s="251"/>
      <c r="W83" s="268" t="s">
        <v>158</v>
      </c>
      <c r="X83" s="251"/>
      <c r="Y83" s="279"/>
      <c r="Z83" s="268" t="s">
        <v>159</v>
      </c>
      <c r="AA83" s="251"/>
      <c r="AD83" s="63"/>
      <c r="AE83" s="63"/>
      <c r="AF83" s="63"/>
      <c r="AG83" s="63"/>
      <c r="AH83" s="63"/>
      <c r="AI83" s="63"/>
      <c r="AJ83" s="63"/>
      <c r="AK83" s="63"/>
      <c r="AL83" s="63"/>
      <c r="AM83" s="63"/>
    </row>
    <row r="84" spans="1:39" ht="15.75" customHeight="1" x14ac:dyDescent="0.2">
      <c r="B84" s="59"/>
      <c r="C84" s="35"/>
      <c r="D84" s="59"/>
      <c r="E84" s="59"/>
      <c r="F84" s="59"/>
      <c r="G84" s="285" t="s">
        <v>58</v>
      </c>
      <c r="H84" s="286" t="s">
        <v>85</v>
      </c>
      <c r="I84" s="215" t="s">
        <v>94</v>
      </c>
      <c r="J84" s="282" t="s">
        <v>61</v>
      </c>
      <c r="K84" s="65"/>
      <c r="L84" s="281"/>
      <c r="M84" s="287" t="s">
        <v>64</v>
      </c>
      <c r="N84" s="226" t="s">
        <v>63</v>
      </c>
      <c r="O84" s="284"/>
      <c r="P84" s="288" t="s">
        <v>164</v>
      </c>
      <c r="Q84" s="195"/>
      <c r="R84" s="195"/>
      <c r="S84" s="195"/>
      <c r="T84" s="195"/>
      <c r="U84" s="195"/>
      <c r="V84" s="195"/>
      <c r="W84" s="195"/>
      <c r="X84" s="195"/>
      <c r="Y84" s="195"/>
      <c r="Z84" s="195"/>
      <c r="AA84" s="35"/>
      <c r="AD84" s="63"/>
      <c r="AE84" s="63"/>
      <c r="AF84" s="63"/>
      <c r="AG84" s="63"/>
      <c r="AH84" s="63"/>
      <c r="AI84" s="63"/>
      <c r="AJ84" s="63"/>
      <c r="AK84" s="63"/>
      <c r="AL84" s="63"/>
      <c r="AM84" s="63"/>
    </row>
    <row r="85" spans="1:39" ht="15.75" customHeight="1" thickBot="1" x14ac:dyDescent="0.25">
      <c r="B85" s="36"/>
      <c r="C85" s="54"/>
      <c r="D85" s="36"/>
      <c r="E85" s="228"/>
      <c r="F85" s="36"/>
      <c r="G85" s="86"/>
      <c r="H85" s="145"/>
      <c r="I85" s="215" t="s">
        <v>95</v>
      </c>
      <c r="J85" s="282" t="s">
        <v>61</v>
      </c>
      <c r="K85" s="65"/>
      <c r="L85" s="281"/>
      <c r="M85" s="287" t="s">
        <v>64</v>
      </c>
      <c r="N85" s="226" t="s">
        <v>63</v>
      </c>
      <c r="O85" s="284"/>
      <c r="P85" s="289" t="s">
        <v>77</v>
      </c>
      <c r="Q85" s="182"/>
      <c r="R85" s="182"/>
      <c r="S85" s="182"/>
      <c r="T85" s="182"/>
      <c r="U85" s="182"/>
      <c r="V85" s="182"/>
      <c r="W85" s="182"/>
      <c r="X85" s="182"/>
      <c r="Y85" s="182"/>
      <c r="Z85" s="182"/>
      <c r="AA85" s="54"/>
      <c r="AD85" s="63"/>
      <c r="AE85" s="63"/>
      <c r="AF85" s="63"/>
      <c r="AG85" s="63"/>
      <c r="AH85" s="63"/>
      <c r="AI85" s="63"/>
      <c r="AJ85" s="63"/>
      <c r="AK85" s="63"/>
      <c r="AL85" s="63"/>
      <c r="AM85" s="63"/>
    </row>
    <row r="86" spans="1:39" ht="15.75" customHeight="1" thickBot="1" x14ac:dyDescent="0.25">
      <c r="A86" s="20"/>
      <c r="B86" s="64" t="s">
        <v>97</v>
      </c>
      <c r="C86" s="65"/>
      <c r="G86" s="118"/>
      <c r="H86" s="118"/>
      <c r="I86" s="119" t="s">
        <v>80</v>
      </c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120" t="s">
        <v>92</v>
      </c>
      <c r="U86" s="87"/>
      <c r="V86" s="87"/>
      <c r="W86" s="87"/>
      <c r="X86" s="87"/>
      <c r="Y86" s="87"/>
      <c r="Z86" s="87"/>
      <c r="AA86" s="87"/>
      <c r="AB86" s="87"/>
      <c r="AC86" s="87"/>
      <c r="AD86" s="87"/>
      <c r="AE86" s="63"/>
      <c r="AF86" s="63"/>
      <c r="AG86" s="63"/>
      <c r="AH86" s="63"/>
      <c r="AI86" s="63"/>
      <c r="AJ86" s="63"/>
      <c r="AK86" s="63"/>
      <c r="AL86" s="63"/>
      <c r="AM86" s="63"/>
    </row>
    <row r="87" spans="1:39" ht="15.75" customHeight="1" x14ac:dyDescent="0.2">
      <c r="A87" s="20" t="s">
        <v>16</v>
      </c>
      <c r="B87" s="121" t="s">
        <v>98</v>
      </c>
      <c r="C87" s="65"/>
      <c r="D87" s="122" t="s">
        <v>99</v>
      </c>
      <c r="E87" s="123"/>
      <c r="F87" s="124"/>
      <c r="G87" s="118" t="s">
        <v>100</v>
      </c>
      <c r="H87" s="118" t="s">
        <v>101</v>
      </c>
      <c r="I87" s="125" t="s">
        <v>58</v>
      </c>
      <c r="J87" s="101"/>
      <c r="K87" s="126" t="s">
        <v>102</v>
      </c>
      <c r="L87" s="87"/>
      <c r="M87" s="87"/>
      <c r="N87" s="87"/>
      <c r="O87" s="87"/>
      <c r="P87" s="87"/>
      <c r="Q87" s="87"/>
      <c r="R87" s="87"/>
      <c r="S87" s="127"/>
      <c r="T87" s="118" t="s">
        <v>100</v>
      </c>
      <c r="U87" s="128" t="s">
        <v>103</v>
      </c>
      <c r="V87" s="77"/>
      <c r="W87" s="126" t="s">
        <v>102</v>
      </c>
      <c r="X87" s="87"/>
      <c r="Y87" s="87"/>
      <c r="Z87" s="87"/>
      <c r="AA87" s="87"/>
      <c r="AB87" s="87"/>
      <c r="AC87" s="87"/>
      <c r="AD87" s="87"/>
      <c r="AE87" s="63"/>
      <c r="AF87" s="63"/>
      <c r="AG87" s="63"/>
      <c r="AH87" s="63"/>
      <c r="AI87" s="63"/>
      <c r="AJ87" s="63"/>
      <c r="AK87" s="63"/>
      <c r="AL87" s="63"/>
      <c r="AM87" s="63"/>
    </row>
    <row r="88" spans="1:39" ht="15.75" customHeight="1" x14ac:dyDescent="0.2">
      <c r="B88" s="129"/>
      <c r="C88" s="106"/>
      <c r="D88" s="87"/>
      <c r="E88" s="87"/>
      <c r="F88" s="35"/>
      <c r="G88" s="118" t="s">
        <v>100</v>
      </c>
      <c r="H88" s="118" t="s">
        <v>104</v>
      </c>
      <c r="I88" s="125" t="s">
        <v>58</v>
      </c>
      <c r="J88" s="101"/>
      <c r="K88" s="130" t="s">
        <v>105</v>
      </c>
      <c r="L88" s="87"/>
      <c r="M88" s="87"/>
      <c r="N88" s="87"/>
      <c r="O88" s="87"/>
      <c r="P88" s="87"/>
      <c r="Q88" s="87"/>
      <c r="R88" s="87"/>
      <c r="S88" s="60"/>
      <c r="T88" s="118" t="s">
        <v>100</v>
      </c>
      <c r="U88" s="128" t="s">
        <v>106</v>
      </c>
      <c r="V88" s="77"/>
      <c r="W88" s="130" t="s">
        <v>105</v>
      </c>
      <c r="X88" s="87"/>
      <c r="Y88" s="87"/>
      <c r="Z88" s="87"/>
      <c r="AA88" s="87"/>
      <c r="AB88" s="87"/>
      <c r="AC88" s="87"/>
      <c r="AD88" s="87"/>
    </row>
    <row r="89" spans="1:39" ht="15.75" customHeight="1" x14ac:dyDescent="0.2">
      <c r="AD89" s="63"/>
      <c r="AE89" s="63"/>
      <c r="AF89" s="63"/>
      <c r="AG89" s="63"/>
      <c r="AH89" s="63"/>
      <c r="AI89" s="63"/>
      <c r="AJ89" s="63"/>
      <c r="AK89" s="63"/>
      <c r="AL89" s="63"/>
      <c r="AM89" s="63"/>
    </row>
    <row r="90" spans="1:39" ht="15.75" customHeight="1" x14ac:dyDescent="0.2">
      <c r="A90" s="131"/>
      <c r="B90" s="132" t="s">
        <v>165</v>
      </c>
      <c r="C90" s="132"/>
      <c r="D90" s="132"/>
      <c r="E90" s="132"/>
      <c r="F90" s="132"/>
      <c r="G90" s="133"/>
      <c r="H90" s="133"/>
      <c r="I90" s="133"/>
      <c r="J90" s="132"/>
      <c r="K90" s="132"/>
      <c r="L90" s="133"/>
      <c r="M90" s="133"/>
      <c r="N90" s="134"/>
      <c r="O90" s="133"/>
      <c r="P90" s="134"/>
      <c r="Q90" s="134"/>
      <c r="R90" s="133"/>
      <c r="S90" s="134"/>
      <c r="T90" s="133"/>
      <c r="U90" s="134"/>
      <c r="V90" s="133"/>
      <c r="W90" s="134"/>
      <c r="X90" s="133"/>
      <c r="Y90" s="134"/>
      <c r="Z90" s="133"/>
      <c r="AA90" s="134"/>
      <c r="AB90" s="133"/>
      <c r="AC90" s="133"/>
      <c r="AD90" s="63"/>
      <c r="AE90" s="63"/>
      <c r="AF90" s="63"/>
      <c r="AG90" s="63"/>
      <c r="AH90" s="63"/>
      <c r="AI90" s="63"/>
      <c r="AJ90" s="63"/>
      <c r="AK90" s="63"/>
      <c r="AL90" s="63"/>
      <c r="AM90" s="63"/>
    </row>
    <row r="91" spans="1:39" ht="15.75" customHeight="1" thickBot="1" x14ac:dyDescent="0.25">
      <c r="A91" s="190"/>
      <c r="B91" s="55"/>
      <c r="C91" s="55"/>
      <c r="D91" s="55"/>
      <c r="E91" s="55"/>
      <c r="F91" s="55"/>
      <c r="G91" s="194"/>
      <c r="H91" s="194"/>
      <c r="I91" s="194"/>
      <c r="J91" s="55"/>
      <c r="K91" s="55"/>
      <c r="L91" s="194"/>
      <c r="M91" s="194"/>
      <c r="N91" s="290"/>
      <c r="O91" s="194"/>
      <c r="P91" s="290"/>
      <c r="Q91" s="290"/>
      <c r="R91" s="194"/>
      <c r="S91" s="290"/>
      <c r="T91" s="194"/>
      <c r="U91" s="290"/>
      <c r="V91" s="194"/>
      <c r="W91" s="290"/>
      <c r="X91" s="194"/>
      <c r="Y91" s="290"/>
      <c r="Z91" s="194"/>
      <c r="AA91" s="290"/>
      <c r="AB91" s="194"/>
      <c r="AC91" s="194"/>
      <c r="AD91" s="63"/>
      <c r="AE91" s="63"/>
      <c r="AF91" s="63"/>
      <c r="AG91" s="63"/>
      <c r="AH91" s="63"/>
      <c r="AI91" s="63"/>
      <c r="AJ91" s="63"/>
      <c r="AK91" s="63"/>
      <c r="AL91" s="63"/>
      <c r="AM91" s="63"/>
    </row>
    <row r="92" spans="1:39" ht="15.75" customHeight="1" x14ac:dyDescent="0.2">
      <c r="A92" s="190" t="str">
        <f>IF(C92="","",CONCATENATE(C93,'AB5'!$A$4))</f>
        <v>A</v>
      </c>
      <c r="B92" s="22" t="str">
        <f>IF(C92="","",IF('AB5'!$B$4="","",'AB5'!$B$4))</f>
        <v>Sr. No.</v>
      </c>
      <c r="C92" s="23">
        <v>1</v>
      </c>
      <c r="D92" s="191" t="s">
        <v>18</v>
      </c>
      <c r="E92" s="124"/>
      <c r="F92" s="26" t="s">
        <v>122</v>
      </c>
      <c r="G92" s="28" t="s">
        <v>123</v>
      </c>
      <c r="H92" s="28" t="s">
        <v>124</v>
      </c>
      <c r="I92" s="28" t="s">
        <v>125</v>
      </c>
      <c r="J92" s="24" t="s">
        <v>18</v>
      </c>
      <c r="K92" s="26" t="s">
        <v>122</v>
      </c>
      <c r="L92" s="27" t="str">
        <f>IF(C92="","",'AB5'!$G$4)</f>
        <v>E &amp; T</v>
      </c>
      <c r="M92" s="28"/>
      <c r="N92" s="192"/>
      <c r="O92" s="31"/>
      <c r="P92" s="192"/>
      <c r="Q92" s="192"/>
      <c r="R92" s="31"/>
      <c r="S92" s="192"/>
      <c r="T92" s="31"/>
      <c r="U92" s="192"/>
      <c r="V92" s="31"/>
      <c r="W92" s="192"/>
      <c r="X92" s="31"/>
      <c r="Y92" s="192"/>
      <c r="Z92" s="31"/>
      <c r="AA92" s="193"/>
      <c r="AB92" s="194"/>
      <c r="AC92" s="194"/>
      <c r="AD92" s="63"/>
      <c r="AE92" s="63"/>
      <c r="AF92" s="63"/>
      <c r="AG92" s="63"/>
      <c r="AH92" s="63"/>
      <c r="AI92" s="63"/>
      <c r="AJ92" s="63"/>
      <c r="AK92" s="63"/>
      <c r="AL92" s="63"/>
      <c r="AM92" s="63"/>
    </row>
    <row r="93" spans="1:39" ht="15.75" customHeight="1" thickBot="1" x14ac:dyDescent="0.25">
      <c r="A93" s="190" t="str">
        <f>IF(C92="","",CONCATENATE(C93,'AB5'!$A$5))</f>
        <v>A</v>
      </c>
      <c r="B93" s="33" t="str">
        <f>IF(C92="","",IF('AB5'!$B$5="","",'AB5'!$B$5))</f>
        <v>Strategy Code</v>
      </c>
      <c r="C93" s="34"/>
      <c r="D93" s="195"/>
      <c r="E93" s="35"/>
      <c r="F93" s="36"/>
      <c r="G93" s="38" t="s">
        <v>123</v>
      </c>
      <c r="H93" s="38" t="s">
        <v>124</v>
      </c>
      <c r="I93" s="38" t="s">
        <v>126</v>
      </c>
      <c r="J93" s="35"/>
      <c r="K93" s="36"/>
      <c r="L93" s="37" t="str">
        <f>IF(C92="","",'AB5'!$G$5)</f>
        <v>SL / TRP</v>
      </c>
      <c r="M93" s="38"/>
      <c r="N93" s="196"/>
      <c r="O93" s="38"/>
      <c r="P93" s="196"/>
      <c r="Q93" s="196"/>
      <c r="R93" s="38"/>
      <c r="S93" s="196"/>
      <c r="T93" s="38"/>
      <c r="U93" s="196"/>
      <c r="V93" s="38"/>
      <c r="W93" s="196"/>
      <c r="X93" s="38"/>
      <c r="Y93" s="196"/>
      <c r="Z93" s="41"/>
      <c r="AA93" s="197"/>
      <c r="AB93" s="194"/>
      <c r="AC93" s="194"/>
      <c r="AD93" s="63"/>
      <c r="AE93" s="63"/>
      <c r="AF93" s="63"/>
      <c r="AG93" s="63"/>
      <c r="AH93" s="63"/>
      <c r="AI93" s="63"/>
      <c r="AJ93" s="63"/>
      <c r="AK93" s="63"/>
      <c r="AL93" s="63"/>
      <c r="AM93" s="63"/>
    </row>
    <row r="94" spans="1:39" ht="6" customHeight="1" thickBot="1" x14ac:dyDescent="0.25">
      <c r="A94" s="190" t="str">
        <f>IF(C92="","",CONCATENATE(C93,'AB5'!A34))</f>
        <v/>
      </c>
      <c r="B94" s="43" t="str">
        <f>IF(C92="","",IF('AB5'!$B$6="","",'AB5'!$B$6))</f>
        <v>Unique Code</v>
      </c>
      <c r="C94" s="44"/>
      <c r="D94" s="195"/>
      <c r="E94" s="35"/>
      <c r="F94" s="46"/>
      <c r="G94" s="45"/>
      <c r="H94" s="45"/>
      <c r="I94" s="45"/>
      <c r="J94" s="35"/>
      <c r="K94" s="46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194"/>
      <c r="AC94" s="194"/>
      <c r="AD94" s="63"/>
      <c r="AE94" s="63"/>
      <c r="AF94" s="63"/>
      <c r="AG94" s="63"/>
      <c r="AH94" s="63"/>
      <c r="AI94" s="63"/>
      <c r="AJ94" s="63"/>
      <c r="AK94" s="63"/>
      <c r="AL94" s="63"/>
      <c r="AM94" s="63"/>
    </row>
    <row r="95" spans="1:39" ht="15.75" customHeight="1" x14ac:dyDescent="0.2">
      <c r="A95" s="190" t="str">
        <f>IF(C92="","",CONCATENATE(C93,'AB5'!$A$7))</f>
        <v>B</v>
      </c>
      <c r="B95" s="48"/>
      <c r="C95" s="49"/>
      <c r="D95" s="195"/>
      <c r="E95" s="35"/>
      <c r="F95" s="51" t="s">
        <v>127</v>
      </c>
      <c r="G95" s="28"/>
      <c r="H95" s="28" t="s">
        <v>124</v>
      </c>
      <c r="I95" s="28" t="s">
        <v>125</v>
      </c>
      <c r="J95" s="35"/>
      <c r="K95" s="51" t="s">
        <v>127</v>
      </c>
      <c r="L95" s="27" t="str">
        <f>IF(C92="","",'AB5'!$G$7)</f>
        <v>E &amp; T</v>
      </c>
      <c r="M95" s="28"/>
      <c r="N95" s="192"/>
      <c r="O95" s="31"/>
      <c r="P95" s="192"/>
      <c r="Q95" s="192"/>
      <c r="R95" s="31"/>
      <c r="S95" s="192"/>
      <c r="T95" s="31"/>
      <c r="U95" s="192"/>
      <c r="V95" s="31"/>
      <c r="W95" s="192"/>
      <c r="X95" s="31"/>
      <c r="Y95" s="192"/>
      <c r="Z95" s="31"/>
      <c r="AA95" s="193"/>
      <c r="AB95" s="194"/>
      <c r="AC95" s="194"/>
      <c r="AD95" s="63"/>
      <c r="AE95" s="63"/>
      <c r="AF95" s="63"/>
      <c r="AG95" s="63"/>
      <c r="AH95" s="63"/>
      <c r="AI95" s="63"/>
      <c r="AJ95" s="63"/>
      <c r="AK95" s="63"/>
      <c r="AL95" s="63"/>
      <c r="AM95" s="63"/>
    </row>
    <row r="96" spans="1:39" ht="15.75" customHeight="1" thickBot="1" x14ac:dyDescent="0.25">
      <c r="A96" s="190" t="str">
        <f>IF(C92="","",CONCATENATE(C93,'AB5'!$A$8))</f>
        <v>B</v>
      </c>
      <c r="B96" s="52"/>
      <c r="C96" s="53"/>
      <c r="D96" s="182"/>
      <c r="E96" s="54"/>
      <c r="F96" s="36"/>
      <c r="G96" s="38"/>
      <c r="H96" s="38" t="s">
        <v>124</v>
      </c>
      <c r="I96" s="38" t="s">
        <v>126</v>
      </c>
      <c r="J96" s="54"/>
      <c r="K96" s="36"/>
      <c r="L96" s="37" t="str">
        <f>IF(C92="","",'AB5'!$G$8)</f>
        <v>SL / TRP</v>
      </c>
      <c r="M96" s="38"/>
      <c r="N96" s="196"/>
      <c r="O96" s="38"/>
      <c r="P96" s="196"/>
      <c r="Q96" s="196"/>
      <c r="R96" s="38"/>
      <c r="S96" s="196"/>
      <c r="T96" s="38"/>
      <c r="U96" s="196"/>
      <c r="V96" s="38"/>
      <c r="W96" s="196"/>
      <c r="X96" s="38"/>
      <c r="Y96" s="196"/>
      <c r="Z96" s="41"/>
      <c r="AA96" s="197"/>
      <c r="AB96" s="194"/>
      <c r="AC96" s="194"/>
      <c r="AD96" s="63"/>
      <c r="AE96" s="63"/>
      <c r="AF96" s="63"/>
      <c r="AG96" s="63"/>
      <c r="AH96" s="63"/>
      <c r="AI96" s="63"/>
      <c r="AJ96" s="63"/>
      <c r="AK96" s="63"/>
      <c r="AL96" s="63"/>
      <c r="AM96" s="63"/>
    </row>
    <row r="97" spans="1:39" ht="15.75" customHeight="1" thickBot="1" x14ac:dyDescent="0.25">
      <c r="A97" s="190" t="str">
        <f>IF(C92="","",CONCATENATE(C93,'AB5'!$A$9))</f>
        <v>C</v>
      </c>
      <c r="B97" s="33" t="str">
        <f>IF(C92="","",IF('AB5'!$B$9="","",'AB5'!$B$9))</f>
        <v>Segment</v>
      </c>
      <c r="C97" s="34" t="s">
        <v>166</v>
      </c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194"/>
      <c r="AC97" s="194"/>
      <c r="AD97" s="63"/>
      <c r="AE97" s="63"/>
      <c r="AF97" s="63"/>
      <c r="AG97" s="63"/>
      <c r="AH97" s="63"/>
      <c r="AI97" s="63"/>
      <c r="AJ97" s="63"/>
      <c r="AK97" s="63"/>
      <c r="AL97" s="63"/>
      <c r="AM97" s="63"/>
    </row>
    <row r="98" spans="1:39" ht="15.75" customHeight="1" x14ac:dyDescent="0.2">
      <c r="A98" s="190" t="str">
        <f>IF(C92="","",CONCATENATE(C93,'AB5'!$A$10))</f>
        <v>D</v>
      </c>
      <c r="B98" s="33" t="str">
        <f>IF(C92="","",IF('AB5'!$B$10="","",'AB5'!$B$10))</f>
        <v>Symbol</v>
      </c>
      <c r="C98" s="34"/>
      <c r="D98" s="198" t="s">
        <v>30</v>
      </c>
      <c r="E98" s="124"/>
      <c r="F98" s="26" t="s">
        <v>122</v>
      </c>
      <c r="G98" s="28"/>
      <c r="H98" s="28" t="s">
        <v>124</v>
      </c>
      <c r="I98" s="28" t="s">
        <v>125</v>
      </c>
      <c r="J98" s="56" t="s">
        <v>30</v>
      </c>
      <c r="K98" s="26" t="s">
        <v>122</v>
      </c>
      <c r="L98" s="27" t="str">
        <f>IF(C92="","",'AB5'!$G$10)</f>
        <v>E &amp; T</v>
      </c>
      <c r="M98" s="28"/>
      <c r="N98" s="192"/>
      <c r="O98" s="31"/>
      <c r="P98" s="192"/>
      <c r="Q98" s="192"/>
      <c r="R98" s="31"/>
      <c r="S98" s="192"/>
      <c r="T98" s="31"/>
      <c r="U98" s="192"/>
      <c r="V98" s="31"/>
      <c r="W98" s="192"/>
      <c r="X98" s="31"/>
      <c r="Y98" s="192"/>
      <c r="Z98" s="31"/>
      <c r="AA98" s="193"/>
      <c r="AB98" s="194"/>
      <c r="AC98" s="194"/>
      <c r="AD98" s="63"/>
      <c r="AE98" s="63"/>
      <c r="AF98" s="63"/>
      <c r="AG98" s="63"/>
      <c r="AH98" s="63"/>
      <c r="AI98" s="63"/>
      <c r="AJ98" s="63"/>
      <c r="AK98" s="63"/>
      <c r="AL98" s="63"/>
      <c r="AM98" s="63"/>
    </row>
    <row r="99" spans="1:39" ht="15.75" customHeight="1" thickBot="1" x14ac:dyDescent="0.25">
      <c r="A99" s="190" t="str">
        <f>IF(C92="","",CONCATENATE(C93,'AB5'!$A$11))</f>
        <v>D</v>
      </c>
      <c r="B99" s="33" t="str">
        <f>IF(C92="","",IF('AB5'!$B$11="","",'AB5'!$B$11))</f>
        <v>No. of TGT</v>
      </c>
      <c r="C99" s="34"/>
      <c r="D99" s="195"/>
      <c r="E99" s="35"/>
      <c r="F99" s="36"/>
      <c r="G99" s="38"/>
      <c r="H99" s="38" t="s">
        <v>124</v>
      </c>
      <c r="I99" s="38" t="s">
        <v>126</v>
      </c>
      <c r="J99" s="35"/>
      <c r="K99" s="36"/>
      <c r="L99" s="37" t="str">
        <f>IF(C92="","",'AB5'!$G$11)</f>
        <v>SL / TRP</v>
      </c>
      <c r="M99" s="38"/>
      <c r="N99" s="37"/>
      <c r="O99" s="38"/>
      <c r="P99" s="196"/>
      <c r="Q99" s="196"/>
      <c r="R99" s="38"/>
      <c r="S99" s="196"/>
      <c r="T99" s="38"/>
      <c r="U99" s="196"/>
      <c r="V99" s="38"/>
      <c r="W99" s="196"/>
      <c r="X99" s="38"/>
      <c r="Y99" s="196"/>
      <c r="Z99" s="41"/>
      <c r="AA99" s="197"/>
      <c r="AB99" s="194"/>
      <c r="AC99" s="194"/>
      <c r="AD99" s="63"/>
      <c r="AE99" s="63"/>
      <c r="AF99" s="63"/>
      <c r="AG99" s="63"/>
      <c r="AH99" s="63"/>
      <c r="AI99" s="63"/>
      <c r="AJ99" s="63"/>
      <c r="AK99" s="63"/>
      <c r="AL99" s="63"/>
      <c r="AM99" s="63"/>
    </row>
    <row r="100" spans="1:39" ht="6" customHeight="1" thickBot="1" x14ac:dyDescent="0.25">
      <c r="A100" s="190" t="e">
        <f>IF(C92="","",CONCATENATE(C93,#REF!))</f>
        <v>#REF!</v>
      </c>
      <c r="B100" s="57" t="str">
        <f>IF(C92="","",IF('AB5'!$B$12="","",'AB5'!$B$12))</f>
        <v>Stay Blessed !!!</v>
      </c>
      <c r="C100" s="58"/>
      <c r="D100" s="195"/>
      <c r="E100" s="35"/>
      <c r="F100" s="46"/>
      <c r="G100" s="45"/>
      <c r="H100" s="45"/>
      <c r="I100" s="45"/>
      <c r="J100" s="35"/>
      <c r="K100" s="46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194"/>
      <c r="AC100" s="194"/>
      <c r="AD100" s="63"/>
      <c r="AE100" s="63"/>
      <c r="AF100" s="63"/>
      <c r="AG100" s="63"/>
      <c r="AH100" s="63"/>
      <c r="AI100" s="63"/>
      <c r="AJ100" s="63"/>
      <c r="AK100" s="63"/>
      <c r="AL100" s="63"/>
      <c r="AM100" s="63"/>
    </row>
    <row r="101" spans="1:39" ht="15.75" customHeight="1" x14ac:dyDescent="0.2">
      <c r="A101" s="190" t="str">
        <f>IF(C92="","",CONCATENATE(C93,'AB5'!$A$13))</f>
        <v>E</v>
      </c>
      <c r="B101" s="59"/>
      <c r="C101" s="35"/>
      <c r="D101" s="195"/>
      <c r="E101" s="35"/>
      <c r="F101" s="51" t="s">
        <v>127</v>
      </c>
      <c r="G101" s="28"/>
      <c r="H101" s="28" t="s">
        <v>124</v>
      </c>
      <c r="I101" s="28" t="s">
        <v>125</v>
      </c>
      <c r="J101" s="35"/>
      <c r="K101" s="51" t="s">
        <v>127</v>
      </c>
      <c r="L101" s="27" t="str">
        <f>IF(C92="","",'AB5'!$G$13)</f>
        <v>E &amp; T</v>
      </c>
      <c r="M101" s="28"/>
      <c r="N101" s="192"/>
      <c r="O101" s="31"/>
      <c r="P101" s="192"/>
      <c r="Q101" s="192"/>
      <c r="R101" s="31"/>
      <c r="S101" s="192"/>
      <c r="T101" s="31"/>
      <c r="U101" s="192"/>
      <c r="V101" s="31"/>
      <c r="W101" s="192"/>
      <c r="X101" s="31"/>
      <c r="Y101" s="192"/>
      <c r="Z101" s="31"/>
      <c r="AA101" s="193"/>
      <c r="AB101" s="194"/>
      <c r="AC101" s="194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</row>
    <row r="102" spans="1:39" ht="15.75" customHeight="1" thickBot="1" x14ac:dyDescent="0.25">
      <c r="A102" s="190" t="str">
        <f>IF(C92="","",CONCATENATE(C93,'AB5'!$A$14))</f>
        <v>E</v>
      </c>
      <c r="B102" s="36"/>
      <c r="C102" s="54"/>
      <c r="D102" s="182"/>
      <c r="E102" s="54"/>
      <c r="F102" s="36"/>
      <c r="G102" s="38"/>
      <c r="H102" s="38" t="s">
        <v>124</v>
      </c>
      <c r="I102" s="38" t="s">
        <v>126</v>
      </c>
      <c r="J102" s="54"/>
      <c r="K102" s="36"/>
      <c r="L102" s="37" t="str">
        <f>IF(C92="","",'AB5'!$G$14)</f>
        <v>SL / TRP</v>
      </c>
      <c r="M102" s="38"/>
      <c r="N102" s="37"/>
      <c r="O102" s="38"/>
      <c r="P102" s="196"/>
      <c r="Q102" s="196"/>
      <c r="R102" s="38"/>
      <c r="S102" s="196"/>
      <c r="T102" s="38"/>
      <c r="U102" s="196"/>
      <c r="V102" s="38"/>
      <c r="W102" s="196"/>
      <c r="X102" s="38"/>
      <c r="Y102" s="196"/>
      <c r="Z102" s="41"/>
      <c r="AA102" s="197"/>
      <c r="AB102" s="194"/>
      <c r="AC102" s="194"/>
      <c r="AD102" s="63"/>
      <c r="AE102" s="63"/>
      <c r="AF102" s="63"/>
      <c r="AG102" s="63"/>
      <c r="AH102" s="63"/>
      <c r="AI102" s="63"/>
      <c r="AJ102" s="63"/>
      <c r="AK102" s="63"/>
      <c r="AL102" s="63"/>
      <c r="AM102" s="63"/>
    </row>
    <row r="103" spans="1:39" ht="15.75" customHeight="1" thickBot="1" x14ac:dyDescent="0.25">
      <c r="A103" s="190"/>
      <c r="B103" s="55"/>
      <c r="C103" s="55"/>
      <c r="D103" s="55"/>
      <c r="E103" s="55"/>
      <c r="F103" s="55"/>
      <c r="G103" s="55"/>
      <c r="H103" s="55"/>
      <c r="I103" s="55"/>
      <c r="J103" s="55"/>
      <c r="K103" s="190"/>
      <c r="L103" s="199"/>
      <c r="M103" s="199"/>
      <c r="N103" s="199"/>
      <c r="O103" s="199"/>
      <c r="P103" s="199"/>
      <c r="Q103" s="199"/>
      <c r="R103" s="199"/>
      <c r="S103" s="199"/>
      <c r="T103" s="199"/>
      <c r="U103" s="199"/>
      <c r="V103" s="199"/>
      <c r="W103" s="199"/>
      <c r="X103" s="199"/>
      <c r="Y103" s="199"/>
      <c r="Z103" s="199"/>
      <c r="AA103" s="190"/>
      <c r="AB103" s="200"/>
      <c r="AC103" s="200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</row>
    <row r="104" spans="1:39" ht="15.75" customHeight="1" x14ac:dyDescent="0.2">
      <c r="A104" s="190"/>
      <c r="B104" s="201" t="s">
        <v>34</v>
      </c>
      <c r="C104" s="32"/>
      <c r="D104" s="202" t="s">
        <v>35</v>
      </c>
      <c r="E104" s="203" t="s">
        <v>36</v>
      </c>
      <c r="F104" s="123"/>
      <c r="G104" s="204" t="s">
        <v>128</v>
      </c>
      <c r="H104" s="205" t="s">
        <v>38</v>
      </c>
      <c r="I104" s="206" t="s">
        <v>39</v>
      </c>
      <c r="J104" s="207" t="s">
        <v>40</v>
      </c>
      <c r="K104" s="123"/>
      <c r="L104" s="208" t="s">
        <v>41</v>
      </c>
      <c r="M104" s="206" t="s">
        <v>129</v>
      </c>
      <c r="N104" s="204" t="s">
        <v>130</v>
      </c>
      <c r="O104" s="206" t="s">
        <v>131</v>
      </c>
      <c r="P104" s="207" t="s">
        <v>132</v>
      </c>
      <c r="Q104" s="123"/>
      <c r="R104" s="123"/>
      <c r="S104" s="205" t="s">
        <v>43</v>
      </c>
      <c r="T104" s="207" t="s">
        <v>167</v>
      </c>
      <c r="U104" s="123"/>
      <c r="V104" s="204" t="s">
        <v>134</v>
      </c>
      <c r="W104" s="204" t="s">
        <v>135</v>
      </c>
      <c r="X104" s="209" t="s">
        <v>136</v>
      </c>
      <c r="Y104" s="123"/>
      <c r="Z104" s="206" t="s">
        <v>43</v>
      </c>
      <c r="AA104" s="204" t="s">
        <v>44</v>
      </c>
      <c r="AB104" s="60"/>
      <c r="AC104" s="60"/>
      <c r="AD104" s="63"/>
      <c r="AE104" s="63"/>
      <c r="AF104" s="63"/>
      <c r="AG104" s="63"/>
      <c r="AH104" s="63"/>
      <c r="AI104" s="63"/>
      <c r="AJ104" s="63"/>
      <c r="AK104" s="63"/>
      <c r="AL104" s="63"/>
      <c r="AM104" s="63"/>
    </row>
    <row r="105" spans="1:39" ht="15.75" customHeight="1" x14ac:dyDescent="0.2">
      <c r="A105" s="190" t="s">
        <v>137</v>
      </c>
      <c r="B105" s="210" t="s">
        <v>47</v>
      </c>
      <c r="C105" s="211" t="s">
        <v>48</v>
      </c>
      <c r="D105" s="212" t="s">
        <v>138</v>
      </c>
      <c r="E105" s="78" t="s">
        <v>81</v>
      </c>
      <c r="F105" s="78" t="s">
        <v>139</v>
      </c>
      <c r="G105" s="213" t="s">
        <v>52</v>
      </c>
      <c r="H105" s="214" t="s">
        <v>53</v>
      </c>
      <c r="I105" s="215" t="s">
        <v>54</v>
      </c>
      <c r="J105" s="216" t="s">
        <v>55</v>
      </c>
      <c r="K105" s="65"/>
      <c r="L105" s="214"/>
      <c r="M105" s="215" t="s">
        <v>56</v>
      </c>
      <c r="N105" s="217" t="s">
        <v>56</v>
      </c>
      <c r="O105" s="215" t="s">
        <v>56</v>
      </c>
      <c r="P105" s="218" t="s">
        <v>56</v>
      </c>
      <c r="Q105" s="67"/>
      <c r="R105" s="67"/>
      <c r="S105" s="214" t="s">
        <v>56</v>
      </c>
      <c r="T105" s="218" t="s">
        <v>56</v>
      </c>
      <c r="U105" s="67"/>
      <c r="V105" s="217" t="s">
        <v>56</v>
      </c>
      <c r="W105" s="217" t="s">
        <v>56</v>
      </c>
      <c r="X105" s="219" t="s">
        <v>56</v>
      </c>
      <c r="Y105" s="65"/>
      <c r="Z105" s="215" t="s">
        <v>56</v>
      </c>
      <c r="AA105" s="217" t="s">
        <v>56</v>
      </c>
      <c r="AB105" s="60"/>
      <c r="AC105" s="60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</row>
    <row r="106" spans="1:39" ht="27.75" customHeight="1" thickBot="1" x14ac:dyDescent="0.25">
      <c r="A106" s="190" t="s">
        <v>140</v>
      </c>
      <c r="B106" s="220"/>
      <c r="C106" s="221"/>
      <c r="D106" s="59"/>
      <c r="E106" s="89"/>
      <c r="F106" s="89"/>
      <c r="G106" s="222" t="s">
        <v>58</v>
      </c>
      <c r="H106" s="223" t="s">
        <v>59</v>
      </c>
      <c r="I106" s="215" t="s">
        <v>141</v>
      </c>
      <c r="J106" s="216" t="s">
        <v>61</v>
      </c>
      <c r="K106" s="67"/>
      <c r="L106" s="214"/>
      <c r="M106" s="215" t="s">
        <v>142</v>
      </c>
      <c r="N106" s="224"/>
      <c r="O106" s="215" t="s">
        <v>142</v>
      </c>
      <c r="P106" s="225"/>
      <c r="Q106" s="67"/>
      <c r="R106" s="67"/>
      <c r="S106" s="226" t="s">
        <v>73</v>
      </c>
      <c r="T106" s="225" t="s">
        <v>142</v>
      </c>
      <c r="U106" s="67"/>
      <c r="V106" s="224" t="s">
        <v>142</v>
      </c>
      <c r="W106" s="224"/>
      <c r="X106" s="219" t="s">
        <v>142</v>
      </c>
      <c r="Y106" s="65"/>
      <c r="Z106" s="227" t="s">
        <v>73</v>
      </c>
      <c r="AA106" s="224" t="s">
        <v>143</v>
      </c>
      <c r="AB106" s="60"/>
      <c r="AC106" s="60"/>
      <c r="AD106" s="63"/>
      <c r="AE106" s="63"/>
      <c r="AF106" s="63"/>
      <c r="AG106" s="63"/>
      <c r="AH106" s="63"/>
      <c r="AI106" s="63"/>
      <c r="AJ106" s="63"/>
      <c r="AK106" s="63"/>
      <c r="AL106" s="63"/>
      <c r="AM106" s="63"/>
    </row>
    <row r="107" spans="1:39" ht="15.75" customHeight="1" thickBot="1" x14ac:dyDescent="0.25">
      <c r="A107" s="190"/>
      <c r="B107" s="55"/>
      <c r="C107" s="55"/>
      <c r="D107" s="228"/>
      <c r="E107" s="98"/>
      <c r="F107" s="98"/>
      <c r="G107" s="99"/>
      <c r="H107" s="98"/>
      <c r="I107" s="215" t="s">
        <v>144</v>
      </c>
      <c r="J107" s="216" t="s">
        <v>61</v>
      </c>
      <c r="K107" s="67"/>
      <c r="L107" s="214"/>
      <c r="M107" s="215" t="s">
        <v>142</v>
      </c>
      <c r="N107" s="224"/>
      <c r="O107" s="215" t="s">
        <v>142</v>
      </c>
      <c r="P107" s="225"/>
      <c r="Q107" s="67"/>
      <c r="R107" s="67"/>
      <c r="S107" s="226" t="s">
        <v>73</v>
      </c>
      <c r="T107" s="225" t="s">
        <v>142</v>
      </c>
      <c r="U107" s="67"/>
      <c r="V107" s="224" t="s">
        <v>142</v>
      </c>
      <c r="W107" s="224"/>
      <c r="X107" s="219" t="s">
        <v>142</v>
      </c>
      <c r="Y107" s="65"/>
      <c r="Z107" s="227" t="s">
        <v>73</v>
      </c>
      <c r="AA107" s="224" t="s">
        <v>143</v>
      </c>
      <c r="AB107" s="60"/>
      <c r="AC107" s="60"/>
      <c r="AD107" s="63"/>
      <c r="AE107" s="63"/>
      <c r="AF107" s="63"/>
      <c r="AG107" s="63"/>
      <c r="AH107" s="63"/>
      <c r="AI107" s="63"/>
      <c r="AJ107" s="63"/>
      <c r="AK107" s="63"/>
      <c r="AL107" s="63"/>
      <c r="AM107" s="63"/>
    </row>
    <row r="108" spans="1:39" ht="15.75" customHeight="1" x14ac:dyDescent="0.2">
      <c r="A108" s="190"/>
      <c r="B108" s="201" t="s">
        <v>68</v>
      </c>
      <c r="C108" s="32"/>
      <c r="D108" s="229" t="s">
        <v>145</v>
      </c>
      <c r="E108" s="78" t="s">
        <v>81</v>
      </c>
      <c r="F108" s="78" t="s">
        <v>146</v>
      </c>
      <c r="G108" s="230" t="s">
        <v>52</v>
      </c>
      <c r="H108" s="231" t="s">
        <v>53</v>
      </c>
      <c r="I108" s="232" t="s">
        <v>54</v>
      </c>
      <c r="J108" s="233" t="s">
        <v>55</v>
      </c>
      <c r="K108" s="65"/>
      <c r="L108" s="234"/>
      <c r="M108" s="232" t="s">
        <v>56</v>
      </c>
      <c r="N108" s="235" t="s">
        <v>56</v>
      </c>
      <c r="O108" s="232" t="s">
        <v>56</v>
      </c>
      <c r="P108" s="236" t="s">
        <v>56</v>
      </c>
      <c r="Q108" s="67"/>
      <c r="R108" s="67"/>
      <c r="S108" s="231" t="s">
        <v>56</v>
      </c>
      <c r="T108" s="236" t="s">
        <v>56</v>
      </c>
      <c r="U108" s="67"/>
      <c r="V108" s="235" t="s">
        <v>56</v>
      </c>
      <c r="W108" s="235" t="s">
        <v>56</v>
      </c>
      <c r="X108" s="237" t="s">
        <v>56</v>
      </c>
      <c r="Y108" s="65"/>
      <c r="Z108" s="232" t="s">
        <v>56</v>
      </c>
      <c r="AA108" s="235" t="s">
        <v>56</v>
      </c>
      <c r="AB108" s="60"/>
      <c r="AC108" s="60"/>
      <c r="AD108" s="63"/>
      <c r="AE108" s="63"/>
      <c r="AF108" s="63"/>
      <c r="AG108" s="63"/>
      <c r="AH108" s="63"/>
      <c r="AI108" s="63"/>
      <c r="AJ108" s="63"/>
      <c r="AK108" s="63"/>
      <c r="AL108" s="63"/>
      <c r="AM108" s="63"/>
    </row>
    <row r="109" spans="1:39" ht="15.75" customHeight="1" x14ac:dyDescent="0.2">
      <c r="A109" s="190" t="s">
        <v>137</v>
      </c>
      <c r="B109" s="210" t="s">
        <v>47</v>
      </c>
      <c r="C109" s="211" t="s">
        <v>48</v>
      </c>
      <c r="D109" s="59"/>
      <c r="E109" s="89"/>
      <c r="F109" s="89"/>
      <c r="G109" s="238" t="s">
        <v>58</v>
      </c>
      <c r="H109" s="239" t="s">
        <v>59</v>
      </c>
      <c r="I109" s="232" t="s">
        <v>147</v>
      </c>
      <c r="J109" s="233" t="s">
        <v>61</v>
      </c>
      <c r="K109" s="67"/>
      <c r="L109" s="234"/>
      <c r="M109" s="232" t="s">
        <v>148</v>
      </c>
      <c r="N109" s="235"/>
      <c r="O109" s="232" t="s">
        <v>148</v>
      </c>
      <c r="P109" s="236"/>
      <c r="Q109" s="67"/>
      <c r="R109" s="67"/>
      <c r="S109" s="240" t="s">
        <v>63</v>
      </c>
      <c r="T109" s="236" t="s">
        <v>142</v>
      </c>
      <c r="U109" s="67"/>
      <c r="V109" s="235" t="s">
        <v>142</v>
      </c>
      <c r="W109" s="235"/>
      <c r="X109" s="237" t="s">
        <v>142</v>
      </c>
      <c r="Y109" s="65"/>
      <c r="Z109" s="241" t="s">
        <v>73</v>
      </c>
      <c r="AA109" s="235" t="s">
        <v>143</v>
      </c>
      <c r="AB109" s="60"/>
      <c r="AC109" s="60"/>
      <c r="AD109" s="63"/>
      <c r="AE109" s="63"/>
      <c r="AF109" s="63"/>
      <c r="AG109" s="63"/>
      <c r="AH109" s="63"/>
      <c r="AI109" s="63"/>
      <c r="AJ109" s="63"/>
      <c r="AK109" s="63"/>
      <c r="AL109" s="63"/>
      <c r="AM109" s="63"/>
    </row>
    <row r="110" spans="1:39" ht="15.75" customHeight="1" thickBot="1" x14ac:dyDescent="0.25">
      <c r="A110" s="190" t="s">
        <v>140</v>
      </c>
      <c r="B110" s="220"/>
      <c r="C110" s="221"/>
      <c r="D110" s="36"/>
      <c r="E110" s="98"/>
      <c r="F110" s="98"/>
      <c r="G110" s="146"/>
      <c r="H110" s="145"/>
      <c r="I110" s="242" t="s">
        <v>149</v>
      </c>
      <c r="J110" s="243" t="s">
        <v>61</v>
      </c>
      <c r="K110" s="178"/>
      <c r="L110" s="244"/>
      <c r="M110" s="242" t="s">
        <v>148</v>
      </c>
      <c r="N110" s="245"/>
      <c r="O110" s="242" t="s">
        <v>148</v>
      </c>
      <c r="P110" s="246"/>
      <c r="Q110" s="178"/>
      <c r="R110" s="178"/>
      <c r="S110" s="240" t="s">
        <v>63</v>
      </c>
      <c r="T110" s="246" t="s">
        <v>142</v>
      </c>
      <c r="U110" s="178"/>
      <c r="V110" s="245" t="s">
        <v>142</v>
      </c>
      <c r="W110" s="245"/>
      <c r="X110" s="247" t="s">
        <v>142</v>
      </c>
      <c r="Y110" s="40"/>
      <c r="Z110" s="248" t="s">
        <v>73</v>
      </c>
      <c r="AA110" s="245" t="s">
        <v>143</v>
      </c>
      <c r="AB110" s="60"/>
      <c r="AC110" s="60"/>
      <c r="AD110" s="63"/>
      <c r="AE110" s="63"/>
      <c r="AF110" s="63"/>
      <c r="AG110" s="63"/>
      <c r="AH110" s="63"/>
      <c r="AI110" s="63"/>
      <c r="AJ110" s="63"/>
      <c r="AK110" s="63"/>
      <c r="AL110" s="63"/>
      <c r="AM110" s="63"/>
    </row>
    <row r="111" spans="1:39" ht="15.75" customHeight="1" thickBot="1" x14ac:dyDescent="0.25">
      <c r="A111" s="190"/>
      <c r="B111" s="190"/>
      <c r="C111" s="190"/>
      <c r="D111" s="190"/>
      <c r="E111" s="190"/>
      <c r="F111" s="190"/>
      <c r="G111" s="190"/>
      <c r="H111" s="190"/>
      <c r="I111" s="190"/>
      <c r="J111" s="190"/>
      <c r="K111" s="190"/>
      <c r="L111" s="190"/>
      <c r="M111" s="190"/>
      <c r="N111" s="190"/>
      <c r="P111" s="190"/>
      <c r="Q111" s="190"/>
      <c r="R111" s="190"/>
      <c r="T111" s="190"/>
      <c r="U111" s="190"/>
      <c r="V111" s="190"/>
      <c r="W111" s="190"/>
      <c r="X111" s="190"/>
      <c r="Y111" s="190"/>
      <c r="AD111" s="63"/>
      <c r="AE111" s="63"/>
      <c r="AF111" s="63"/>
      <c r="AG111" s="63"/>
      <c r="AH111" s="63"/>
      <c r="AI111" s="63"/>
      <c r="AJ111" s="63"/>
      <c r="AK111" s="63"/>
      <c r="AL111" s="63"/>
      <c r="AM111" s="63"/>
    </row>
    <row r="112" spans="1:39" ht="15.75" customHeight="1" x14ac:dyDescent="0.2">
      <c r="A112" s="190"/>
      <c r="B112" s="201" t="s">
        <v>78</v>
      </c>
      <c r="C112" s="32"/>
      <c r="D112" s="202" t="s">
        <v>35</v>
      </c>
      <c r="E112" s="203" t="s">
        <v>36</v>
      </c>
      <c r="F112" s="123"/>
      <c r="G112" s="204" t="s">
        <v>37</v>
      </c>
      <c r="H112" s="291" t="s">
        <v>79</v>
      </c>
      <c r="I112" s="292" t="s">
        <v>39</v>
      </c>
      <c r="J112" s="207" t="s">
        <v>40</v>
      </c>
      <c r="K112" s="123"/>
      <c r="L112" s="208" t="s">
        <v>41</v>
      </c>
      <c r="M112" s="292" t="s">
        <v>42</v>
      </c>
      <c r="N112" s="291" t="s">
        <v>43</v>
      </c>
      <c r="O112" s="204" t="s">
        <v>44</v>
      </c>
      <c r="P112" s="293" t="s">
        <v>168</v>
      </c>
      <c r="Q112" s="293"/>
      <c r="R112" s="293" t="s">
        <v>169</v>
      </c>
      <c r="S112" s="294" t="s">
        <v>170</v>
      </c>
      <c r="T112" s="251"/>
      <c r="U112" s="294" t="s">
        <v>171</v>
      </c>
      <c r="V112" s="251"/>
      <c r="W112" s="294" t="s">
        <v>172</v>
      </c>
      <c r="X112" s="251"/>
      <c r="Y112" s="295" t="s">
        <v>173</v>
      </c>
      <c r="Z112" s="294" t="s">
        <v>174</v>
      </c>
      <c r="AA112" s="251"/>
      <c r="AD112" s="63"/>
      <c r="AE112" s="63"/>
      <c r="AF112" s="63"/>
      <c r="AG112" s="63"/>
      <c r="AH112" s="63"/>
      <c r="AI112" s="63"/>
      <c r="AJ112" s="63"/>
      <c r="AK112" s="63"/>
      <c r="AL112" s="63"/>
      <c r="AM112" s="63"/>
    </row>
    <row r="113" spans="1:39" ht="15.75" customHeight="1" x14ac:dyDescent="0.2">
      <c r="A113" s="190" t="s">
        <v>137</v>
      </c>
      <c r="B113" s="255" t="s">
        <v>47</v>
      </c>
      <c r="C113" s="256" t="s">
        <v>48</v>
      </c>
      <c r="D113" s="229" t="s">
        <v>156</v>
      </c>
      <c r="E113" s="257" t="s">
        <v>50</v>
      </c>
      <c r="F113" s="257" t="s">
        <v>157</v>
      </c>
      <c r="G113" s="258" t="s">
        <v>52</v>
      </c>
      <c r="H113" s="259" t="s">
        <v>83</v>
      </c>
      <c r="I113" s="260" t="s">
        <v>54</v>
      </c>
      <c r="J113" s="261" t="s">
        <v>55</v>
      </c>
      <c r="K113" s="67"/>
      <c r="L113" s="262"/>
      <c r="M113" s="260" t="s">
        <v>56</v>
      </c>
      <c r="N113" s="259" t="s">
        <v>56</v>
      </c>
      <c r="O113" s="263" t="s">
        <v>56</v>
      </c>
      <c r="P113" s="296"/>
      <c r="Q113" s="296"/>
      <c r="R113" s="297" t="s">
        <v>175</v>
      </c>
      <c r="S113" s="268" t="s">
        <v>175</v>
      </c>
      <c r="T113" s="251"/>
      <c r="U113" s="268" t="s">
        <v>175</v>
      </c>
      <c r="V113" s="251"/>
      <c r="W113" s="268" t="s">
        <v>175</v>
      </c>
      <c r="X113" s="251"/>
      <c r="Y113" s="269"/>
      <c r="Z113" s="268" t="s">
        <v>175</v>
      </c>
      <c r="AA113" s="251"/>
      <c r="AD113" s="63"/>
      <c r="AE113" s="63"/>
      <c r="AF113" s="63"/>
      <c r="AG113" s="63"/>
      <c r="AH113" s="63"/>
      <c r="AI113" s="63"/>
      <c r="AJ113" s="63"/>
      <c r="AK113" s="63"/>
      <c r="AL113" s="63"/>
      <c r="AM113" s="63"/>
    </row>
    <row r="114" spans="1:39" ht="15.75" customHeight="1" thickBot="1" x14ac:dyDescent="0.25">
      <c r="A114" s="190" t="s">
        <v>140</v>
      </c>
      <c r="B114" s="270"/>
      <c r="C114" s="271"/>
      <c r="D114" s="59"/>
      <c r="E114" s="59"/>
      <c r="F114" s="59"/>
      <c r="G114" s="272" t="s">
        <v>58</v>
      </c>
      <c r="H114" s="273" t="s">
        <v>85</v>
      </c>
      <c r="I114" s="232" t="s">
        <v>160</v>
      </c>
      <c r="J114" s="261" t="s">
        <v>61</v>
      </c>
      <c r="K114" s="67"/>
      <c r="L114" s="262"/>
      <c r="M114" s="260" t="s">
        <v>176</v>
      </c>
      <c r="N114" s="240" t="s">
        <v>177</v>
      </c>
      <c r="O114" s="263" t="s">
        <v>143</v>
      </c>
      <c r="P114" s="296"/>
      <c r="Q114" s="296"/>
      <c r="R114" s="297" t="s">
        <v>178</v>
      </c>
      <c r="S114" s="268" t="s">
        <v>178</v>
      </c>
      <c r="T114" s="251"/>
      <c r="U114" s="268" t="s">
        <v>178</v>
      </c>
      <c r="V114" s="251"/>
      <c r="W114" s="268" t="s">
        <v>178</v>
      </c>
      <c r="X114" s="251"/>
      <c r="Y114" s="269"/>
      <c r="Z114" s="268" t="s">
        <v>178</v>
      </c>
      <c r="AA114" s="251"/>
      <c r="AD114" s="63"/>
      <c r="AE114" s="63"/>
      <c r="AF114" s="63"/>
      <c r="AG114" s="63"/>
      <c r="AH114" s="63"/>
      <c r="AI114" s="63"/>
      <c r="AJ114" s="63"/>
      <c r="AK114" s="63"/>
      <c r="AL114" s="63"/>
      <c r="AM114" s="63"/>
    </row>
    <row r="115" spans="1:39" ht="15.75" customHeight="1" thickBot="1" x14ac:dyDescent="0.25">
      <c r="A115" s="190"/>
      <c r="D115" s="228"/>
      <c r="E115" s="228"/>
      <c r="F115" s="228"/>
      <c r="G115" s="86"/>
      <c r="H115" s="98"/>
      <c r="I115" s="232" t="s">
        <v>162</v>
      </c>
      <c r="J115" s="261" t="s">
        <v>61</v>
      </c>
      <c r="K115" s="67"/>
      <c r="L115" s="262"/>
      <c r="M115" s="260" t="s">
        <v>176</v>
      </c>
      <c r="N115" s="240" t="s">
        <v>177</v>
      </c>
      <c r="O115" s="263" t="s">
        <v>143</v>
      </c>
      <c r="P115" s="296"/>
      <c r="Q115" s="296"/>
      <c r="R115" s="297" t="s">
        <v>179</v>
      </c>
      <c r="S115" s="268" t="s">
        <v>179</v>
      </c>
      <c r="T115" s="251"/>
      <c r="U115" s="268" t="s">
        <v>179</v>
      </c>
      <c r="V115" s="251"/>
      <c r="W115" s="268" t="s">
        <v>179</v>
      </c>
      <c r="X115" s="251"/>
      <c r="Y115" s="269"/>
      <c r="Z115" s="268" t="s">
        <v>179</v>
      </c>
      <c r="AA115" s="251"/>
      <c r="AD115" s="63"/>
      <c r="AE115" s="63"/>
      <c r="AF115" s="63"/>
      <c r="AG115" s="63"/>
      <c r="AH115" s="63"/>
      <c r="AI115" s="63"/>
      <c r="AJ115" s="63"/>
      <c r="AK115" s="63"/>
      <c r="AL115" s="63"/>
      <c r="AM115" s="63"/>
    </row>
    <row r="116" spans="1:39" ht="15.75" customHeight="1" x14ac:dyDescent="0.2">
      <c r="A116" s="190"/>
      <c r="B116" s="203" t="s">
        <v>32</v>
      </c>
      <c r="C116" s="124"/>
      <c r="D116" s="212" t="s">
        <v>163</v>
      </c>
      <c r="E116" s="257" t="s">
        <v>50</v>
      </c>
      <c r="F116" s="257" t="s">
        <v>93</v>
      </c>
      <c r="G116" s="280" t="s">
        <v>52</v>
      </c>
      <c r="H116" s="281" t="s">
        <v>83</v>
      </c>
      <c r="I116" s="215" t="s">
        <v>54</v>
      </c>
      <c r="J116" s="282" t="s">
        <v>55</v>
      </c>
      <c r="K116" s="65"/>
      <c r="L116" s="281"/>
      <c r="M116" s="283" t="s">
        <v>56</v>
      </c>
      <c r="N116" s="281" t="s">
        <v>56</v>
      </c>
      <c r="O116" s="284" t="s">
        <v>56</v>
      </c>
      <c r="P116" s="296"/>
      <c r="Q116" s="296"/>
      <c r="R116" s="297" t="s">
        <v>175</v>
      </c>
      <c r="S116" s="268" t="s">
        <v>175</v>
      </c>
      <c r="T116" s="251"/>
      <c r="U116" s="268" t="s">
        <v>175</v>
      </c>
      <c r="V116" s="251"/>
      <c r="W116" s="268" t="s">
        <v>175</v>
      </c>
      <c r="X116" s="251"/>
      <c r="Y116" s="269"/>
      <c r="Z116" s="268" t="s">
        <v>175</v>
      </c>
      <c r="AA116" s="251"/>
      <c r="AD116" s="63"/>
      <c r="AE116" s="63"/>
      <c r="AF116" s="63"/>
      <c r="AG116" s="63"/>
      <c r="AH116" s="63"/>
      <c r="AI116" s="63"/>
      <c r="AJ116" s="63"/>
      <c r="AK116" s="63"/>
      <c r="AL116" s="63"/>
      <c r="AM116" s="63"/>
    </row>
    <row r="117" spans="1:39" ht="15.75" customHeight="1" x14ac:dyDescent="0.2">
      <c r="B117" s="59"/>
      <c r="C117" s="35"/>
      <c r="D117" s="59"/>
      <c r="E117" s="59"/>
      <c r="F117" s="59"/>
      <c r="G117" s="285" t="s">
        <v>58</v>
      </c>
      <c r="H117" s="286" t="s">
        <v>85</v>
      </c>
      <c r="I117" s="215" t="s">
        <v>94</v>
      </c>
      <c r="J117" s="282" t="s">
        <v>61</v>
      </c>
      <c r="K117" s="65"/>
      <c r="L117" s="281"/>
      <c r="M117" s="283" t="s">
        <v>176</v>
      </c>
      <c r="N117" s="226" t="s">
        <v>176</v>
      </c>
      <c r="O117" s="284" t="s">
        <v>143</v>
      </c>
      <c r="P117" s="296"/>
      <c r="Q117" s="253"/>
      <c r="R117" s="298" t="s">
        <v>178</v>
      </c>
      <c r="S117" s="299" t="s">
        <v>178</v>
      </c>
      <c r="T117" s="251"/>
      <c r="U117" s="300" t="s">
        <v>178</v>
      </c>
      <c r="V117" s="251"/>
      <c r="W117" s="299" t="s">
        <v>178</v>
      </c>
      <c r="X117" s="251"/>
      <c r="Y117" s="279"/>
      <c r="Z117" s="299" t="s">
        <v>178</v>
      </c>
      <c r="AA117" s="251"/>
      <c r="AD117" s="63"/>
      <c r="AE117" s="63"/>
      <c r="AF117" s="63"/>
      <c r="AG117" s="63"/>
      <c r="AH117" s="63"/>
      <c r="AI117" s="63"/>
      <c r="AJ117" s="63"/>
      <c r="AK117" s="63"/>
      <c r="AL117" s="63"/>
      <c r="AM117" s="63"/>
    </row>
    <row r="118" spans="1:39" ht="15.75" customHeight="1" thickBot="1" x14ac:dyDescent="0.25">
      <c r="B118" s="36"/>
      <c r="C118" s="54"/>
      <c r="D118" s="36"/>
      <c r="E118" s="228"/>
      <c r="F118" s="36"/>
      <c r="G118" s="86"/>
      <c r="H118" s="145"/>
      <c r="I118" s="215" t="s">
        <v>95</v>
      </c>
      <c r="J118" s="282" t="s">
        <v>61</v>
      </c>
      <c r="K118" s="65"/>
      <c r="L118" s="281"/>
      <c r="M118" s="283" t="s">
        <v>176</v>
      </c>
      <c r="N118" s="226" t="s">
        <v>176</v>
      </c>
      <c r="O118" s="284" t="s">
        <v>143</v>
      </c>
      <c r="P118" s="296"/>
      <c r="Q118" s="253"/>
      <c r="R118" s="298" t="s">
        <v>179</v>
      </c>
      <c r="S118" s="299" t="s">
        <v>179</v>
      </c>
      <c r="T118" s="251"/>
      <c r="U118" s="300" t="s">
        <v>179</v>
      </c>
      <c r="V118" s="251"/>
      <c r="W118" s="299" t="s">
        <v>179</v>
      </c>
      <c r="X118" s="251"/>
      <c r="Y118" s="279"/>
      <c r="Z118" s="299" t="s">
        <v>179</v>
      </c>
      <c r="AA118" s="251"/>
      <c r="AD118" s="63"/>
      <c r="AE118" s="63"/>
      <c r="AF118" s="63"/>
      <c r="AG118" s="63"/>
      <c r="AH118" s="63"/>
      <c r="AI118" s="63"/>
      <c r="AJ118" s="63"/>
      <c r="AK118" s="63"/>
      <c r="AL118" s="63"/>
      <c r="AM118" s="63"/>
    </row>
    <row r="119" spans="1:39" ht="15.75" customHeight="1" thickBot="1" x14ac:dyDescent="0.25">
      <c r="A119" s="20"/>
      <c r="B119" s="64" t="s">
        <v>97</v>
      </c>
      <c r="C119" s="65"/>
      <c r="G119" s="118"/>
      <c r="H119" s="118"/>
      <c r="I119" s="119" t="s">
        <v>180</v>
      </c>
      <c r="J119" s="87"/>
      <c r="K119" s="87"/>
      <c r="L119" s="87"/>
      <c r="M119" s="87"/>
      <c r="N119" s="87"/>
      <c r="O119" s="87"/>
      <c r="P119" s="87"/>
      <c r="Q119" s="87"/>
      <c r="R119" s="120" t="s">
        <v>181</v>
      </c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63"/>
      <c r="AF119" s="63"/>
      <c r="AG119" s="63"/>
      <c r="AH119" s="63"/>
      <c r="AI119" s="63"/>
      <c r="AJ119" s="63"/>
      <c r="AK119" s="63"/>
      <c r="AL119" s="63"/>
      <c r="AM119" s="63"/>
    </row>
    <row r="120" spans="1:39" ht="15.75" customHeight="1" x14ac:dyDescent="0.2">
      <c r="A120" s="20"/>
      <c r="B120" s="121" t="s">
        <v>98</v>
      </c>
      <c r="C120" s="65"/>
      <c r="D120" s="122" t="s">
        <v>99</v>
      </c>
      <c r="E120" s="123"/>
      <c r="F120" s="124"/>
      <c r="G120" s="118" t="s">
        <v>100</v>
      </c>
      <c r="H120" s="118" t="s">
        <v>182</v>
      </c>
      <c r="I120" s="125" t="s">
        <v>58</v>
      </c>
      <c r="J120" s="101"/>
      <c r="K120" s="126" t="s">
        <v>102</v>
      </c>
      <c r="L120" s="87"/>
      <c r="M120" s="87"/>
      <c r="N120" s="87"/>
      <c r="O120" s="87"/>
      <c r="P120" s="87"/>
      <c r="Q120" s="87"/>
      <c r="R120" s="118" t="s">
        <v>100</v>
      </c>
      <c r="S120" s="128" t="s">
        <v>183</v>
      </c>
      <c r="T120" s="77"/>
      <c r="U120" s="125" t="s">
        <v>58</v>
      </c>
      <c r="V120" s="101"/>
      <c r="W120" s="126" t="s">
        <v>102</v>
      </c>
      <c r="X120" s="87"/>
      <c r="Y120" s="87"/>
      <c r="Z120" s="87"/>
      <c r="AA120" s="87"/>
      <c r="AB120" s="87"/>
      <c r="AC120" s="87"/>
      <c r="AD120" s="87"/>
      <c r="AE120" s="63"/>
      <c r="AF120" s="63"/>
      <c r="AG120" s="63"/>
      <c r="AH120" s="63"/>
      <c r="AI120" s="63"/>
      <c r="AJ120" s="63"/>
      <c r="AK120" s="63"/>
      <c r="AL120" s="63"/>
      <c r="AM120" s="63"/>
    </row>
    <row r="121" spans="1:39" ht="15.75" customHeight="1" x14ac:dyDescent="0.2">
      <c r="B121" s="129"/>
      <c r="C121" s="106"/>
      <c r="D121" s="87"/>
      <c r="E121" s="87"/>
      <c r="F121" s="35"/>
      <c r="G121" s="118" t="s">
        <v>100</v>
      </c>
      <c r="H121" s="118" t="s">
        <v>184</v>
      </c>
      <c r="I121" s="125" t="s">
        <v>58</v>
      </c>
      <c r="J121" s="101"/>
      <c r="K121" s="130" t="s">
        <v>105</v>
      </c>
      <c r="L121" s="87"/>
      <c r="M121" s="87"/>
      <c r="N121" s="87"/>
      <c r="O121" s="87"/>
      <c r="P121" s="87"/>
      <c r="Q121" s="87"/>
      <c r="R121" s="118" t="s">
        <v>100</v>
      </c>
      <c r="S121" s="128" t="s">
        <v>185</v>
      </c>
      <c r="T121" s="77"/>
      <c r="U121" s="125" t="s">
        <v>58</v>
      </c>
      <c r="V121" s="101"/>
      <c r="W121" s="130" t="s">
        <v>105</v>
      </c>
      <c r="X121" s="87"/>
      <c r="Y121" s="87"/>
      <c r="Z121" s="87"/>
      <c r="AA121" s="87"/>
      <c r="AB121" s="87"/>
      <c r="AC121" s="87"/>
      <c r="AD121" s="87"/>
    </row>
    <row r="122" spans="1:39" ht="15.75" customHeight="1" x14ac:dyDescent="0.2">
      <c r="AD122" s="63"/>
      <c r="AE122" s="63"/>
      <c r="AF122" s="63"/>
      <c r="AG122" s="63"/>
      <c r="AH122" s="63"/>
      <c r="AI122" s="63"/>
      <c r="AJ122" s="63"/>
      <c r="AK122" s="63"/>
      <c r="AL122" s="63"/>
      <c r="AM122" s="63"/>
    </row>
    <row r="123" spans="1:39" ht="15.75" customHeight="1" x14ac:dyDescent="0.2">
      <c r="A123" s="131"/>
      <c r="B123" s="301" t="s">
        <v>186</v>
      </c>
      <c r="C123" s="195"/>
      <c r="D123" s="132"/>
      <c r="E123" s="132"/>
      <c r="F123" s="132"/>
      <c r="G123" s="133"/>
      <c r="H123" s="133"/>
      <c r="I123" s="133"/>
      <c r="J123" s="132"/>
      <c r="K123" s="132"/>
      <c r="L123" s="133"/>
      <c r="M123" s="133"/>
      <c r="N123" s="134"/>
      <c r="O123" s="133"/>
      <c r="P123" s="134"/>
      <c r="Q123" s="134"/>
      <c r="R123" s="133"/>
      <c r="S123" s="134"/>
      <c r="T123" s="133"/>
      <c r="U123" s="134"/>
      <c r="V123" s="133"/>
      <c r="W123" s="134"/>
      <c r="X123" s="133"/>
      <c r="Y123" s="134"/>
      <c r="Z123" s="133"/>
      <c r="AA123" s="134"/>
      <c r="AB123" s="133"/>
      <c r="AC123" s="13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</row>
    <row r="124" spans="1:39" ht="15.75" customHeight="1" x14ac:dyDescent="0.2">
      <c r="AD124" s="63"/>
      <c r="AE124" s="63"/>
      <c r="AF124" s="63"/>
      <c r="AG124" s="63"/>
      <c r="AH124" s="63"/>
      <c r="AI124" s="63"/>
      <c r="AJ124" s="63"/>
      <c r="AK124" s="63"/>
      <c r="AL124" s="63"/>
      <c r="AM124" s="63"/>
    </row>
    <row r="125" spans="1:39" ht="23.25" customHeight="1" x14ac:dyDescent="0.2">
      <c r="A125" s="183" t="str">
        <f>IF('AB5'!A56="","",'AB5'!A56)</f>
        <v>Wishing You A Peace, Joy &amp; Prosperity !!</v>
      </c>
      <c r="B125" s="2"/>
      <c r="C125" s="2"/>
      <c r="D125" s="184" t="str">
        <f>IF('AB5'!D56="","",'AB5'!D56)</f>
        <v>MONTHLY STATUS</v>
      </c>
      <c r="E125" s="77"/>
      <c r="F125" s="185" t="str">
        <f>IF('AB5'!F56="","",'AB5'!F56)</f>
        <v>OPTION TYPE</v>
      </c>
      <c r="G125" s="186" t="str">
        <f>IF('AB5'!G56="","",'AB5'!G56)</f>
        <v>START STRIKE</v>
      </c>
      <c r="H125" s="186" t="str">
        <f>IF('AB5'!H56="","",'AB5'!H56)</f>
        <v>IDEAL PREMIUM</v>
      </c>
      <c r="I125" s="186" t="str">
        <f>IF('AB5'!I56="","",'AB5'!I56)</f>
        <v>MINIMUM OI</v>
      </c>
      <c r="J125" s="185" t="str">
        <f>IF('AB5'!J56="","",'AB5'!J56)</f>
        <v>MONTHLY STATUS</v>
      </c>
      <c r="K125" s="184" t="str">
        <f>IF('AB5'!K56="","",'AB5'!K56)</f>
        <v>OPTION TYPE</v>
      </c>
      <c r="L125" s="77"/>
      <c r="M125" s="186" t="str">
        <f>IF('AB5'!M56="","",'AB5'!M56)</f>
        <v>ENTRY</v>
      </c>
      <c r="N125" s="185" t="str">
        <f>IF('AB5'!N56="","",'AB5'!N56)</f>
        <v>LOTS</v>
      </c>
      <c r="O125" s="187" t="str">
        <f>IF('AB5'!O56="","",'AB5'!O56)</f>
        <v>TGT 1</v>
      </c>
      <c r="P125" s="184" t="str">
        <f>IF('AB5'!P56="","",'AB5'!P56)</f>
        <v>LOTS</v>
      </c>
      <c r="Q125" s="77"/>
      <c r="R125" s="188" t="str">
        <f>IF('AB5'!R56="","",'AB5'!R56)</f>
        <v>TGT 2</v>
      </c>
      <c r="S125" s="185" t="str">
        <f>IF('AB5'!S56="","",'AB5'!S56)</f>
        <v>LOTS</v>
      </c>
      <c r="T125" s="186" t="str">
        <f>IF('AB5'!T56="","",'AB5'!T56)</f>
        <v>TGT 3</v>
      </c>
      <c r="U125" s="185" t="str">
        <f>IF('AB5'!U56="","",'AB5'!U56)</f>
        <v>LOTS</v>
      </c>
      <c r="V125" s="187" t="str">
        <f>IF('AB5'!V56="","",'AB5'!V56)</f>
        <v>TGT 4</v>
      </c>
      <c r="W125" s="185" t="str">
        <f>IF('AB5'!W56="","",'AB5'!W56)</f>
        <v>LOTS</v>
      </c>
      <c r="X125" s="188" t="str">
        <f>IF('AB5'!X56="","",'AB5'!X56)</f>
        <v>TGT 5</v>
      </c>
      <c r="Y125" s="185" t="str">
        <f>IF('AB5'!Y56="","",'AB5'!Y56)</f>
        <v>LOTS</v>
      </c>
      <c r="Z125" s="186" t="str">
        <f>IF('AB5'!Z56="","",'AB5'!Z56)</f>
        <v>TGT 6</v>
      </c>
      <c r="AA125" s="185" t="str">
        <f>IF('AB5'!AA56="","",'AB5'!AA56)</f>
        <v>LOTS</v>
      </c>
      <c r="AB125" s="189"/>
      <c r="AC125" s="189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</row>
    <row r="126" spans="1:39" ht="15.75" customHeight="1" x14ac:dyDescent="0.2">
      <c r="A126" s="11"/>
      <c r="B126" s="12"/>
      <c r="C126" s="12"/>
      <c r="D126" s="99"/>
      <c r="E126" s="101"/>
      <c r="F126" s="98"/>
      <c r="G126" s="186" t="str">
        <f>IF('AB5'!G57="","",'AB5'!G57)</f>
        <v>END STRIKE</v>
      </c>
      <c r="H126" s="186" t="s">
        <v>187</v>
      </c>
      <c r="I126" s="186" t="str">
        <f>IF('AB5'!I57="","",'AB5'!I57)</f>
        <v>NO OF EXP</v>
      </c>
      <c r="J126" s="98"/>
      <c r="K126" s="99"/>
      <c r="L126" s="101"/>
      <c r="M126" s="186" t="str">
        <f>IF('AB5'!M57="","",'AB5'!M57)</f>
        <v>SL AFTER ENTRY</v>
      </c>
      <c r="N126" s="98"/>
      <c r="O126" s="187" t="str">
        <f>IF('AB5'!O57="","",'AB5'!O57)</f>
        <v>TR PROFIT AFTER TGT 1</v>
      </c>
      <c r="P126" s="99"/>
      <c r="Q126" s="101"/>
      <c r="R126" s="188" t="str">
        <f>IF('AB5'!R57="","",'AB5'!R57)</f>
        <v>TR PROFIT AFTER TGT 2</v>
      </c>
      <c r="S126" s="98"/>
      <c r="T126" s="186" t="str">
        <f>IF('AB5'!T57="","",'AB5'!T57)</f>
        <v>TR PROFIT AFTER TGT 3</v>
      </c>
      <c r="U126" s="98"/>
      <c r="V126" s="187" t="str">
        <f>IF('AB5'!V57="","",'AB5'!V57)</f>
        <v>TR PROFIT AFTER TGT 4</v>
      </c>
      <c r="W126" s="98"/>
      <c r="X126" s="188" t="str">
        <f>IF('AB5'!X57="","",'AB5'!X57)</f>
        <v>TR PROFIT AFTER TGT 5</v>
      </c>
      <c r="Y126" s="98"/>
      <c r="Z126" s="186" t="str">
        <f>IF('AB5'!Z57="","",'AB5'!Z57)</f>
        <v>TR PROFIT AFTER TGT 6</v>
      </c>
      <c r="AA126" s="98"/>
      <c r="AB126" s="189"/>
      <c r="AC126" s="189"/>
      <c r="AD126" s="63"/>
      <c r="AE126" s="63"/>
      <c r="AF126" s="63"/>
      <c r="AG126" s="63"/>
      <c r="AH126" s="63"/>
      <c r="AI126" s="63"/>
      <c r="AJ126" s="63"/>
      <c r="AK126" s="63"/>
      <c r="AL126" s="63"/>
      <c r="AM126" s="63"/>
    </row>
    <row r="127" spans="1:39" ht="12.75" customHeight="1" thickBot="1" x14ac:dyDescent="0.25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63"/>
      <c r="AE127" s="63"/>
      <c r="AF127" s="63"/>
      <c r="AG127" s="63"/>
      <c r="AH127" s="63"/>
      <c r="AI127" s="63"/>
      <c r="AJ127" s="63"/>
      <c r="AK127" s="63"/>
      <c r="AL127" s="63"/>
      <c r="AM127" s="63"/>
    </row>
    <row r="128" spans="1:39" ht="15.75" customHeight="1" thickBot="1" x14ac:dyDescent="0.25">
      <c r="A128" s="190" t="str">
        <f>IF(C128="","",CONCATENATE(C129,'AB5'!$A$4))</f>
        <v>S1A</v>
      </c>
      <c r="B128" s="22" t="str">
        <f>IF(C128="","",IF('AB5'!$B$4="","",'AB5'!$B$4))</f>
        <v>Sr. No.</v>
      </c>
      <c r="C128" s="23">
        <v>1</v>
      </c>
      <c r="D128" s="191" t="s">
        <v>18</v>
      </c>
      <c r="E128" s="124"/>
      <c r="F128" s="26" t="s">
        <v>122</v>
      </c>
      <c r="G128" s="28" t="s">
        <v>123</v>
      </c>
      <c r="H128" s="28" t="s">
        <v>124</v>
      </c>
      <c r="I128" s="28" t="s">
        <v>125</v>
      </c>
      <c r="J128" s="24" t="s">
        <v>18</v>
      </c>
      <c r="K128" s="26" t="s">
        <v>122</v>
      </c>
      <c r="L128" s="27" t="str">
        <f>IF(C128="","",'AB5'!$G$4)</f>
        <v>E &amp; T</v>
      </c>
      <c r="M128" s="28"/>
      <c r="N128" s="192"/>
      <c r="O128" s="38" t="s">
        <v>188</v>
      </c>
      <c r="P128" s="192"/>
      <c r="Q128" s="192"/>
      <c r="R128" s="38" t="s">
        <v>188</v>
      </c>
      <c r="S128" s="192"/>
      <c r="T128" s="38" t="s">
        <v>188</v>
      </c>
      <c r="U128" s="192"/>
      <c r="V128" s="38" t="s">
        <v>188</v>
      </c>
      <c r="W128" s="192"/>
      <c r="X128" s="38" t="s">
        <v>188</v>
      </c>
      <c r="Y128" s="192"/>
      <c r="Z128" s="38" t="s">
        <v>189</v>
      </c>
      <c r="AA128" s="193"/>
      <c r="AB128" s="194"/>
      <c r="AC128" s="194"/>
      <c r="AD128" s="63"/>
      <c r="AE128" s="63"/>
      <c r="AF128" s="63"/>
      <c r="AG128" s="63"/>
      <c r="AH128" s="63"/>
      <c r="AI128" s="63"/>
      <c r="AJ128" s="63"/>
      <c r="AK128" s="63"/>
      <c r="AL128" s="63"/>
      <c r="AM128" s="63"/>
    </row>
    <row r="129" spans="1:39" ht="15.75" customHeight="1" thickBot="1" x14ac:dyDescent="0.25">
      <c r="A129" s="190" t="str">
        <f>IF(C128="","",CONCATENATE(C129,'AB5'!$A$5))</f>
        <v>S1A</v>
      </c>
      <c r="B129" s="33" t="str">
        <f>IF(C128="","",IF('AB5'!$B$5="","",'AB5'!$B$5))</f>
        <v>Strategy Code</v>
      </c>
      <c r="C129" s="34" t="str">
        <f>IF(C128="","",VLOOKUP(C128,[1]AB2!A:X,2,FALSE))</f>
        <v>S1</v>
      </c>
      <c r="D129" s="195"/>
      <c r="E129" s="35"/>
      <c r="F129" s="36"/>
      <c r="G129" s="38" t="s">
        <v>190</v>
      </c>
      <c r="H129" s="38" t="s">
        <v>56</v>
      </c>
      <c r="I129" s="38" t="s">
        <v>56</v>
      </c>
      <c r="J129" s="35"/>
      <c r="K129" s="36"/>
      <c r="L129" s="37" t="str">
        <f>IF(C128="","",'AB5'!$G$5)</f>
        <v>SL / TRP</v>
      </c>
      <c r="M129" s="38" t="s">
        <v>191</v>
      </c>
      <c r="N129" s="196"/>
      <c r="O129" s="38" t="s">
        <v>188</v>
      </c>
      <c r="P129" s="196"/>
      <c r="Q129" s="196"/>
      <c r="R129" s="38" t="s">
        <v>188</v>
      </c>
      <c r="S129" s="196"/>
      <c r="T129" s="38" t="s">
        <v>188</v>
      </c>
      <c r="U129" s="196"/>
      <c r="V129" s="38" t="s">
        <v>188</v>
      </c>
      <c r="W129" s="196"/>
      <c r="X129" s="38" t="s">
        <v>188</v>
      </c>
      <c r="Y129" s="196"/>
      <c r="Z129" s="38" t="s">
        <v>189</v>
      </c>
      <c r="AA129" s="197"/>
      <c r="AB129" s="194"/>
      <c r="AC129" s="194"/>
      <c r="AD129" s="63"/>
      <c r="AE129" s="63"/>
      <c r="AF129" s="63"/>
      <c r="AG129" s="63"/>
      <c r="AH129" s="63"/>
      <c r="AI129" s="63"/>
      <c r="AJ129" s="63"/>
      <c r="AK129" s="63"/>
      <c r="AL129" s="63"/>
      <c r="AM129" s="63"/>
    </row>
    <row r="130" spans="1:39" ht="6" customHeight="1" thickBot="1" x14ac:dyDescent="0.25">
      <c r="A130" s="190" t="str">
        <f>IF(C128="","",CONCATENATE(C129,'AB5'!A6))</f>
        <v>S1</v>
      </c>
      <c r="B130" s="43" t="str">
        <f>IF(C128="","",IF('AB5'!$B$6="","",'AB5'!$B$6))</f>
        <v>Unique Code</v>
      </c>
      <c r="C130" s="44" t="str">
        <f>IF(C128="","",VLOOKUP(C128,[1]AB2!A:X,12,FALSE))</f>
        <v>2D</v>
      </c>
      <c r="D130" s="195"/>
      <c r="E130" s="35"/>
      <c r="F130" s="46"/>
      <c r="G130" s="45"/>
      <c r="H130" s="45"/>
      <c r="I130" s="45"/>
      <c r="J130" s="35"/>
      <c r="K130" s="46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194"/>
      <c r="AC130" s="194"/>
      <c r="AD130" s="63"/>
      <c r="AE130" s="63"/>
      <c r="AF130" s="63"/>
      <c r="AG130" s="63"/>
      <c r="AH130" s="63"/>
      <c r="AI130" s="63"/>
      <c r="AJ130" s="63"/>
      <c r="AK130" s="63"/>
      <c r="AL130" s="63"/>
      <c r="AM130" s="63"/>
    </row>
    <row r="131" spans="1:39" ht="15.75" customHeight="1" thickBot="1" x14ac:dyDescent="0.25">
      <c r="A131" s="190" t="str">
        <f>IF(C128="","",CONCATENATE(C129,'AB5'!$A$7))</f>
        <v>S1B</v>
      </c>
      <c r="B131" s="48"/>
      <c r="C131" s="49"/>
      <c r="D131" s="195"/>
      <c r="E131" s="35"/>
      <c r="F131" s="51" t="s">
        <v>127</v>
      </c>
      <c r="G131" s="28" t="s">
        <v>56</v>
      </c>
      <c r="H131" s="28" t="s">
        <v>56</v>
      </c>
      <c r="I131" s="28" t="s">
        <v>56</v>
      </c>
      <c r="J131" s="35"/>
      <c r="K131" s="51" t="s">
        <v>127</v>
      </c>
      <c r="L131" s="27" t="str">
        <f>IF(C128="","",'AB5'!$G$7)</f>
        <v>E &amp; T</v>
      </c>
      <c r="M131" s="28" t="s">
        <v>175</v>
      </c>
      <c r="N131" s="192" t="s">
        <v>175</v>
      </c>
      <c r="O131" s="38" t="s">
        <v>188</v>
      </c>
      <c r="P131" s="27" t="s">
        <v>175</v>
      </c>
      <c r="Q131" s="27" t="s">
        <v>175</v>
      </c>
      <c r="R131" s="38" t="s">
        <v>188</v>
      </c>
      <c r="S131" s="27" t="s">
        <v>175</v>
      </c>
      <c r="T131" s="38" t="s">
        <v>188</v>
      </c>
      <c r="U131" s="27" t="s">
        <v>175</v>
      </c>
      <c r="V131" s="38" t="s">
        <v>188</v>
      </c>
      <c r="W131" s="27" t="s">
        <v>175</v>
      </c>
      <c r="X131" s="38" t="s">
        <v>188</v>
      </c>
      <c r="Y131" s="27" t="s">
        <v>175</v>
      </c>
      <c r="Z131" s="38" t="s">
        <v>188</v>
      </c>
      <c r="AA131" s="302" t="s">
        <v>175</v>
      </c>
      <c r="AB131" s="194"/>
      <c r="AC131" s="194"/>
      <c r="AD131" s="63"/>
      <c r="AE131" s="63"/>
      <c r="AF131" s="63"/>
      <c r="AG131" s="63"/>
      <c r="AH131" s="63"/>
      <c r="AI131" s="63"/>
      <c r="AJ131" s="63"/>
      <c r="AK131" s="63"/>
      <c r="AL131" s="63"/>
      <c r="AM131" s="63"/>
    </row>
    <row r="132" spans="1:39" ht="15.75" customHeight="1" thickBot="1" x14ac:dyDescent="0.25">
      <c r="A132" s="190" t="str">
        <f>IF(C128="","",CONCATENATE(C129,'AB5'!$A$8))</f>
        <v>S1B</v>
      </c>
      <c r="B132" s="52"/>
      <c r="C132" s="53"/>
      <c r="D132" s="182"/>
      <c r="E132" s="54"/>
      <c r="F132" s="36"/>
      <c r="G132" s="38" t="s">
        <v>56</v>
      </c>
      <c r="H132" s="38" t="s">
        <v>56</v>
      </c>
      <c r="I132" s="38" t="s">
        <v>56</v>
      </c>
      <c r="J132" s="54"/>
      <c r="K132" s="36"/>
      <c r="L132" s="37" t="str">
        <f>IF(C128="","",'AB5'!$G$8)</f>
        <v>SL / TRP</v>
      </c>
      <c r="M132" s="38" t="s">
        <v>175</v>
      </c>
      <c r="N132" s="196" t="s">
        <v>175</v>
      </c>
      <c r="O132" s="38" t="s">
        <v>188</v>
      </c>
      <c r="P132" s="37" t="s">
        <v>175</v>
      </c>
      <c r="Q132" s="37" t="s">
        <v>175</v>
      </c>
      <c r="R132" s="38" t="s">
        <v>188</v>
      </c>
      <c r="S132" s="37" t="s">
        <v>175</v>
      </c>
      <c r="T132" s="38" t="s">
        <v>188</v>
      </c>
      <c r="U132" s="37" t="s">
        <v>175</v>
      </c>
      <c r="V132" s="38" t="s">
        <v>188</v>
      </c>
      <c r="W132" s="37" t="s">
        <v>175</v>
      </c>
      <c r="X132" s="38" t="s">
        <v>188</v>
      </c>
      <c r="Y132" s="37" t="s">
        <v>175</v>
      </c>
      <c r="Z132" s="38" t="s">
        <v>188</v>
      </c>
      <c r="AA132" s="303" t="s">
        <v>175</v>
      </c>
      <c r="AB132" s="194"/>
      <c r="AC132" s="194"/>
      <c r="AD132" s="63"/>
      <c r="AE132" s="63"/>
      <c r="AF132" s="63"/>
      <c r="AG132" s="63"/>
      <c r="AH132" s="63"/>
      <c r="AI132" s="63"/>
      <c r="AJ132" s="63"/>
      <c r="AK132" s="63"/>
      <c r="AL132" s="63"/>
      <c r="AM132" s="63"/>
    </row>
    <row r="133" spans="1:39" ht="15.75" customHeight="1" thickBot="1" x14ac:dyDescent="0.25">
      <c r="A133" s="190" t="str">
        <f>IF(C128="","",CONCATENATE(C129,'AB5'!$A$9))</f>
        <v>S1C</v>
      </c>
      <c r="B133" s="33" t="str">
        <f>IF(C128="","",IF('AB5'!$B$9="","",'AB5'!$B$9))</f>
        <v>Segment</v>
      </c>
      <c r="C133" s="34">
        <f>IF(C128="","",VLOOKUP(C128,[1]AB2!A:X,21,FALSE))</f>
        <v>2.5000000000000001E-3</v>
      </c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194"/>
      <c r="AC133" s="194"/>
      <c r="AD133" s="63"/>
      <c r="AE133" s="63"/>
      <c r="AF133" s="63"/>
      <c r="AG133" s="63"/>
      <c r="AH133" s="63"/>
      <c r="AI133" s="63"/>
      <c r="AJ133" s="63"/>
      <c r="AK133" s="63"/>
      <c r="AL133" s="63"/>
      <c r="AM133" s="63"/>
    </row>
    <row r="134" spans="1:39" ht="15.75" customHeight="1" thickBot="1" x14ac:dyDescent="0.25">
      <c r="A134" s="190" t="str">
        <f>IF(C128="","",CONCATENATE(C129,'AB5'!$A$10))</f>
        <v>S1D</v>
      </c>
      <c r="B134" s="33" t="str">
        <f>IF(C128="","",IF('AB5'!$B$10="","",'AB5'!$B$10))</f>
        <v>Symbol</v>
      </c>
      <c r="C134" s="34" t="str">
        <f>IF(C128="","",VLOOKUP(C128,[1]AB2!A:X,22,FALSE))</f>
        <v>Monthly : NEAR</v>
      </c>
      <c r="D134" s="198" t="s">
        <v>30</v>
      </c>
      <c r="E134" s="124"/>
      <c r="F134" s="26" t="s">
        <v>122</v>
      </c>
      <c r="G134" s="28" t="s">
        <v>56</v>
      </c>
      <c r="H134" s="28" t="s">
        <v>56</v>
      </c>
      <c r="I134" s="28" t="s">
        <v>56</v>
      </c>
      <c r="J134" s="56" t="s">
        <v>30</v>
      </c>
      <c r="K134" s="26" t="s">
        <v>122</v>
      </c>
      <c r="L134" s="27" t="str">
        <f>IF(C128="","",'AB5'!$G$10)</f>
        <v>E &amp; T</v>
      </c>
      <c r="M134" s="28" t="s">
        <v>175</v>
      </c>
      <c r="N134" s="192" t="s">
        <v>175</v>
      </c>
      <c r="O134" s="38" t="s">
        <v>188</v>
      </c>
      <c r="P134" s="27" t="s">
        <v>175</v>
      </c>
      <c r="Q134" s="27" t="s">
        <v>175</v>
      </c>
      <c r="R134" s="38" t="s">
        <v>188</v>
      </c>
      <c r="S134" s="27" t="s">
        <v>175</v>
      </c>
      <c r="T134" s="38" t="s">
        <v>188</v>
      </c>
      <c r="U134" s="27" t="s">
        <v>175</v>
      </c>
      <c r="V134" s="38" t="s">
        <v>188</v>
      </c>
      <c r="W134" s="27" t="s">
        <v>175</v>
      </c>
      <c r="X134" s="38" t="s">
        <v>188</v>
      </c>
      <c r="Y134" s="27" t="s">
        <v>175</v>
      </c>
      <c r="Z134" s="38" t="s">
        <v>188</v>
      </c>
      <c r="AA134" s="193"/>
      <c r="AB134" s="194"/>
      <c r="AC134" s="194"/>
      <c r="AD134" s="63"/>
      <c r="AE134" s="63"/>
      <c r="AF134" s="63"/>
      <c r="AG134" s="63"/>
      <c r="AH134" s="63"/>
      <c r="AI134" s="63"/>
      <c r="AJ134" s="63"/>
      <c r="AK134" s="63"/>
      <c r="AL134" s="63"/>
      <c r="AM134" s="63"/>
    </row>
    <row r="135" spans="1:39" ht="15.75" customHeight="1" thickBot="1" x14ac:dyDescent="0.25">
      <c r="A135" s="190" t="str">
        <f>IF(C128="","",CONCATENATE(C129,'AB5'!$A$11))</f>
        <v>S1D</v>
      </c>
      <c r="B135" s="33" t="str">
        <f>IF(C128="","",IF('AB5'!$B$11="","",'AB5'!$B$11))</f>
        <v>No. of TGT</v>
      </c>
      <c r="C135" s="34" t="str">
        <f>IF(C128="","",VLOOKUP(C128,[1]AB2!A:X,11,FALSE))</f>
        <v>4 &amp; APS</v>
      </c>
      <c r="D135" s="195"/>
      <c r="E135" s="35"/>
      <c r="F135" s="36"/>
      <c r="G135" s="38" t="s">
        <v>56</v>
      </c>
      <c r="H135" s="38" t="s">
        <v>56</v>
      </c>
      <c r="I135" s="38" t="s">
        <v>56</v>
      </c>
      <c r="J135" s="35"/>
      <c r="K135" s="36"/>
      <c r="L135" s="37" t="str">
        <f>IF(C128="","",'AB5'!$G$11)</f>
        <v>SL / TRP</v>
      </c>
      <c r="M135" s="38" t="s">
        <v>175</v>
      </c>
      <c r="N135" s="196" t="s">
        <v>175</v>
      </c>
      <c r="O135" s="38" t="s">
        <v>188</v>
      </c>
      <c r="P135" s="37" t="s">
        <v>175</v>
      </c>
      <c r="Q135" s="37" t="s">
        <v>175</v>
      </c>
      <c r="R135" s="38" t="s">
        <v>188</v>
      </c>
      <c r="S135" s="37" t="s">
        <v>175</v>
      </c>
      <c r="T135" s="38" t="s">
        <v>188</v>
      </c>
      <c r="U135" s="37" t="s">
        <v>175</v>
      </c>
      <c r="V135" s="38" t="s">
        <v>188</v>
      </c>
      <c r="W135" s="37" t="s">
        <v>175</v>
      </c>
      <c r="X135" s="38" t="s">
        <v>188</v>
      </c>
      <c r="Y135" s="37" t="s">
        <v>175</v>
      </c>
      <c r="Z135" s="38" t="s">
        <v>188</v>
      </c>
      <c r="AA135" s="197"/>
      <c r="AB135" s="194"/>
      <c r="AC135" s="194"/>
      <c r="AD135" s="63"/>
      <c r="AE135" s="63"/>
      <c r="AF135" s="63"/>
      <c r="AG135" s="63"/>
      <c r="AH135" s="63"/>
      <c r="AI135" s="63"/>
      <c r="AJ135" s="63"/>
      <c r="AK135" s="63"/>
      <c r="AL135" s="63"/>
      <c r="AM135" s="63"/>
    </row>
    <row r="136" spans="1:39" ht="6" customHeight="1" thickBot="1" x14ac:dyDescent="0.25">
      <c r="A136" s="190" t="str">
        <f>IF(C128="","",CONCATENATE(C129,'AB5'!A12))</f>
        <v>S1</v>
      </c>
      <c r="B136" s="57" t="s">
        <v>192</v>
      </c>
      <c r="C136" s="58"/>
      <c r="D136" s="195"/>
      <c r="E136" s="35"/>
      <c r="F136" s="46"/>
      <c r="G136" s="45"/>
      <c r="H136" s="45"/>
      <c r="I136" s="45"/>
      <c r="J136" s="35"/>
      <c r="K136" s="46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194"/>
      <c r="AC136" s="194"/>
      <c r="AD136" s="63"/>
      <c r="AE136" s="63"/>
      <c r="AF136" s="63"/>
      <c r="AG136" s="63"/>
      <c r="AH136" s="63"/>
      <c r="AI136" s="63"/>
      <c r="AJ136" s="63"/>
      <c r="AK136" s="63"/>
      <c r="AL136" s="63"/>
      <c r="AM136" s="63"/>
    </row>
    <row r="137" spans="1:39" ht="15.75" customHeight="1" thickBot="1" x14ac:dyDescent="0.25">
      <c r="A137" s="190" t="str">
        <f>IF(C128="","",CONCATENATE(C129,'AB5'!$A$13))</f>
        <v>S1E</v>
      </c>
      <c r="B137" s="59"/>
      <c r="C137" s="35"/>
      <c r="D137" s="195"/>
      <c r="E137" s="35"/>
      <c r="F137" s="51" t="s">
        <v>127</v>
      </c>
      <c r="G137" s="28" t="s">
        <v>123</v>
      </c>
      <c r="H137" s="28" t="s">
        <v>190</v>
      </c>
      <c r="I137" s="28" t="s">
        <v>125</v>
      </c>
      <c r="J137" s="35"/>
      <c r="K137" s="51" t="s">
        <v>127</v>
      </c>
      <c r="L137" s="27" t="str">
        <f>IF(C128="","",'AB5'!$G$13)</f>
        <v>E &amp; T</v>
      </c>
      <c r="M137" s="28"/>
      <c r="N137" s="192"/>
      <c r="O137" s="38" t="s">
        <v>188</v>
      </c>
      <c r="P137" s="192"/>
      <c r="Q137" s="192"/>
      <c r="R137" s="38" t="s">
        <v>188</v>
      </c>
      <c r="S137" s="192"/>
      <c r="T137" s="38" t="s">
        <v>188</v>
      </c>
      <c r="U137" s="192"/>
      <c r="V137" s="38" t="s">
        <v>188</v>
      </c>
      <c r="W137" s="192"/>
      <c r="X137" s="38" t="s">
        <v>188</v>
      </c>
      <c r="Y137" s="192"/>
      <c r="Z137" s="38" t="s">
        <v>188</v>
      </c>
      <c r="AA137" s="193"/>
      <c r="AB137" s="194"/>
      <c r="AC137" s="194"/>
      <c r="AD137" s="63"/>
      <c r="AE137" s="63"/>
      <c r="AF137" s="63"/>
      <c r="AG137" s="63"/>
      <c r="AH137" s="63"/>
      <c r="AI137" s="63"/>
      <c r="AJ137" s="63"/>
      <c r="AK137" s="63"/>
      <c r="AL137" s="63"/>
      <c r="AM137" s="63"/>
    </row>
    <row r="138" spans="1:39" ht="15.75" customHeight="1" thickBot="1" x14ac:dyDescent="0.25">
      <c r="A138" s="190" t="str">
        <f>IF(C128="","",CONCATENATE(C129,'AB5'!$A$14))</f>
        <v>S1E</v>
      </c>
      <c r="B138" s="36"/>
      <c r="C138" s="54"/>
      <c r="D138" s="182"/>
      <c r="E138" s="54"/>
      <c r="F138" s="36"/>
      <c r="G138" s="38" t="s">
        <v>193</v>
      </c>
      <c r="H138" s="38" t="s">
        <v>56</v>
      </c>
      <c r="I138" s="38" t="s">
        <v>56</v>
      </c>
      <c r="J138" s="54"/>
      <c r="K138" s="36"/>
      <c r="L138" s="37" t="str">
        <f>IF(C128="","",'AB5'!$G$14)</f>
        <v>SL / TRP</v>
      </c>
      <c r="M138" s="38"/>
      <c r="N138" s="196"/>
      <c r="O138" s="38" t="s">
        <v>188</v>
      </c>
      <c r="P138" s="196"/>
      <c r="Q138" s="196"/>
      <c r="R138" s="38" t="s">
        <v>188</v>
      </c>
      <c r="S138" s="196"/>
      <c r="T138" s="38" t="s">
        <v>188</v>
      </c>
      <c r="U138" s="196"/>
      <c r="V138" s="38" t="s">
        <v>188</v>
      </c>
      <c r="W138" s="196"/>
      <c r="X138" s="38" t="s">
        <v>188</v>
      </c>
      <c r="Y138" s="196"/>
      <c r="Z138" s="38" t="s">
        <v>188</v>
      </c>
      <c r="AA138" s="197"/>
      <c r="AB138" s="194"/>
      <c r="AC138" s="194"/>
      <c r="AD138" s="63"/>
      <c r="AE138" s="63"/>
      <c r="AF138" s="63"/>
      <c r="AG138" s="63"/>
      <c r="AH138" s="63"/>
      <c r="AI138" s="63"/>
      <c r="AJ138" s="63"/>
      <c r="AK138" s="63"/>
      <c r="AL138" s="63"/>
      <c r="AM138" s="63"/>
    </row>
    <row r="139" spans="1:39" ht="15.75" customHeight="1" thickBot="1" x14ac:dyDescent="0.25">
      <c r="A139" s="190"/>
      <c r="B139" s="55"/>
      <c r="C139" s="55"/>
      <c r="D139" s="55"/>
      <c r="E139" s="55"/>
      <c r="F139" s="55"/>
      <c r="G139" s="55"/>
      <c r="H139" s="55"/>
      <c r="I139" s="55"/>
      <c r="J139" s="55"/>
      <c r="K139" s="190"/>
      <c r="L139" s="199"/>
      <c r="M139" s="199"/>
      <c r="N139" s="199"/>
      <c r="O139" s="199"/>
      <c r="P139" s="199"/>
      <c r="Q139" s="199"/>
      <c r="R139" s="199"/>
      <c r="S139" s="199"/>
      <c r="T139" s="199"/>
      <c r="U139" s="199"/>
      <c r="V139" s="199"/>
      <c r="W139" s="199"/>
      <c r="X139" s="199"/>
      <c r="Y139" s="199"/>
      <c r="Z139" s="199"/>
      <c r="AA139" s="190"/>
      <c r="AB139" s="200"/>
      <c r="AC139" s="200"/>
      <c r="AD139" s="63"/>
      <c r="AE139" s="63"/>
      <c r="AF139" s="63"/>
      <c r="AG139" s="63"/>
      <c r="AH139" s="63"/>
      <c r="AI139" s="63"/>
      <c r="AJ139" s="63"/>
      <c r="AK139" s="63"/>
      <c r="AL139" s="63"/>
      <c r="AM139" s="63"/>
    </row>
    <row r="140" spans="1:39" ht="15.75" customHeight="1" x14ac:dyDescent="0.2">
      <c r="A140" s="190"/>
      <c r="B140" s="201" t="s">
        <v>34</v>
      </c>
      <c r="C140" s="32"/>
      <c r="D140" s="202" t="s">
        <v>35</v>
      </c>
      <c r="E140" s="203" t="s">
        <v>36</v>
      </c>
      <c r="F140" s="123"/>
      <c r="G140" s="204" t="s">
        <v>128</v>
      </c>
      <c r="H140" s="205" t="s">
        <v>38</v>
      </c>
      <c r="I140" s="206" t="s">
        <v>39</v>
      </c>
      <c r="J140" s="207" t="s">
        <v>40</v>
      </c>
      <c r="K140" s="123"/>
      <c r="L140" s="208" t="s">
        <v>41</v>
      </c>
      <c r="M140" s="206" t="s">
        <v>129</v>
      </c>
      <c r="N140" s="204" t="s">
        <v>130</v>
      </c>
      <c r="O140" s="206" t="s">
        <v>131</v>
      </c>
      <c r="P140" s="207" t="s">
        <v>194</v>
      </c>
      <c r="Q140" s="123"/>
      <c r="R140" s="123"/>
      <c r="S140" s="205" t="s">
        <v>43</v>
      </c>
      <c r="T140" s="207" t="s">
        <v>133</v>
      </c>
      <c r="U140" s="123"/>
      <c r="V140" s="204" t="s">
        <v>134</v>
      </c>
      <c r="W140" s="204" t="s">
        <v>135</v>
      </c>
      <c r="X140" s="209" t="s">
        <v>136</v>
      </c>
      <c r="Y140" s="123"/>
      <c r="Z140" s="206" t="s">
        <v>43</v>
      </c>
      <c r="AA140" s="204" t="s">
        <v>44</v>
      </c>
      <c r="AB140" s="60"/>
      <c r="AC140" s="60"/>
      <c r="AD140" s="63"/>
      <c r="AE140" s="63"/>
      <c r="AF140" s="63"/>
      <c r="AG140" s="63"/>
      <c r="AH140" s="63"/>
      <c r="AI140" s="63"/>
      <c r="AJ140" s="63"/>
      <c r="AK140" s="63"/>
      <c r="AL140" s="63"/>
      <c r="AM140" s="63"/>
    </row>
    <row r="141" spans="1:39" ht="15.75" customHeight="1" x14ac:dyDescent="0.2">
      <c r="A141" s="190" t="s">
        <v>137</v>
      </c>
      <c r="B141" s="210" t="s">
        <v>47</v>
      </c>
      <c r="C141" s="211" t="s">
        <v>48</v>
      </c>
      <c r="D141" s="212" t="s">
        <v>195</v>
      </c>
      <c r="E141" s="78" t="s">
        <v>81</v>
      </c>
      <c r="F141" s="78" t="s">
        <v>196</v>
      </c>
      <c r="G141" s="213" t="s">
        <v>52</v>
      </c>
      <c r="H141" s="214" t="s">
        <v>53</v>
      </c>
      <c r="I141" s="215" t="s">
        <v>54</v>
      </c>
      <c r="J141" s="216" t="s">
        <v>55</v>
      </c>
      <c r="K141" s="65"/>
      <c r="L141" s="214"/>
      <c r="M141" s="215" t="s">
        <v>56</v>
      </c>
      <c r="N141" s="217" t="s">
        <v>56</v>
      </c>
      <c r="O141" s="215" t="s">
        <v>56</v>
      </c>
      <c r="P141" s="218" t="s">
        <v>56</v>
      </c>
      <c r="Q141" s="67"/>
      <c r="R141" s="67"/>
      <c r="S141" s="214" t="s">
        <v>56</v>
      </c>
      <c r="T141" s="218" t="s">
        <v>56</v>
      </c>
      <c r="U141" s="67"/>
      <c r="V141" s="217" t="s">
        <v>56</v>
      </c>
      <c r="W141" s="217" t="s">
        <v>56</v>
      </c>
      <c r="X141" s="219" t="s">
        <v>56</v>
      </c>
      <c r="Y141" s="65"/>
      <c r="Z141" s="215" t="s">
        <v>56</v>
      </c>
      <c r="AA141" s="217" t="s">
        <v>56</v>
      </c>
      <c r="AB141" s="60"/>
      <c r="AC141" s="60"/>
      <c r="AD141" s="63"/>
      <c r="AE141" s="63"/>
      <c r="AF141" s="63"/>
      <c r="AG141" s="63"/>
      <c r="AH141" s="63"/>
      <c r="AI141" s="63"/>
      <c r="AJ141" s="63"/>
      <c r="AK141" s="63"/>
      <c r="AL141" s="63"/>
      <c r="AM141" s="63"/>
    </row>
    <row r="142" spans="1:39" ht="27.75" customHeight="1" thickBot="1" x14ac:dyDescent="0.25">
      <c r="A142" s="190" t="s">
        <v>140</v>
      </c>
      <c r="B142" s="220"/>
      <c r="C142" s="221"/>
      <c r="D142" s="59"/>
      <c r="E142" s="89"/>
      <c r="F142" s="89"/>
      <c r="G142" s="222" t="s">
        <v>58</v>
      </c>
      <c r="H142" s="223" t="s">
        <v>59</v>
      </c>
      <c r="I142" s="215" t="s">
        <v>197</v>
      </c>
      <c r="J142" s="216" t="s">
        <v>61</v>
      </c>
      <c r="K142" s="67"/>
      <c r="L142" s="214"/>
      <c r="M142" s="215" t="s">
        <v>148</v>
      </c>
      <c r="N142" s="224"/>
      <c r="O142" s="215" t="s">
        <v>148</v>
      </c>
      <c r="P142" s="225"/>
      <c r="Q142" s="67"/>
      <c r="R142" s="67"/>
      <c r="S142" s="226" t="s">
        <v>63</v>
      </c>
      <c r="T142" s="225" t="s">
        <v>148</v>
      </c>
      <c r="U142" s="67"/>
      <c r="V142" s="224" t="s">
        <v>142</v>
      </c>
      <c r="W142" s="224"/>
      <c r="X142" s="219" t="s">
        <v>148</v>
      </c>
      <c r="Y142" s="65"/>
      <c r="Z142" s="227" t="s">
        <v>63</v>
      </c>
      <c r="AA142" s="224" t="s">
        <v>143</v>
      </c>
      <c r="AB142" s="60"/>
      <c r="AC142" s="60"/>
      <c r="AD142" s="63"/>
      <c r="AE142" s="63"/>
      <c r="AF142" s="63"/>
      <c r="AG142" s="63"/>
      <c r="AH142" s="63"/>
      <c r="AI142" s="63"/>
      <c r="AJ142" s="63"/>
      <c r="AK142" s="63"/>
      <c r="AL142" s="63"/>
      <c r="AM142" s="63"/>
    </row>
    <row r="143" spans="1:39" ht="15.75" customHeight="1" thickBot="1" x14ac:dyDescent="0.25">
      <c r="A143" s="190"/>
      <c r="B143" s="55"/>
      <c r="C143" s="55"/>
      <c r="D143" s="228"/>
      <c r="E143" s="98"/>
      <c r="F143" s="98"/>
      <c r="G143" s="99"/>
      <c r="H143" s="98"/>
      <c r="I143" s="215" t="s">
        <v>198</v>
      </c>
      <c r="J143" s="216" t="s">
        <v>61</v>
      </c>
      <c r="K143" s="67"/>
      <c r="L143" s="214"/>
      <c r="M143" s="215" t="s">
        <v>148</v>
      </c>
      <c r="N143" s="224"/>
      <c r="O143" s="215" t="s">
        <v>148</v>
      </c>
      <c r="P143" s="225"/>
      <c r="Q143" s="67"/>
      <c r="R143" s="67"/>
      <c r="S143" s="226" t="s">
        <v>63</v>
      </c>
      <c r="T143" s="225" t="s">
        <v>148</v>
      </c>
      <c r="U143" s="67"/>
      <c r="V143" s="224" t="s">
        <v>142</v>
      </c>
      <c r="W143" s="224"/>
      <c r="X143" s="219" t="s">
        <v>148</v>
      </c>
      <c r="Y143" s="65"/>
      <c r="Z143" s="227" t="s">
        <v>63</v>
      </c>
      <c r="AA143" s="224" t="s">
        <v>143</v>
      </c>
      <c r="AB143" s="60"/>
      <c r="AC143" s="60"/>
      <c r="AD143" s="63"/>
      <c r="AE143" s="63"/>
      <c r="AF143" s="63"/>
      <c r="AG143" s="63"/>
      <c r="AH143" s="63"/>
      <c r="AI143" s="63"/>
      <c r="AJ143" s="63"/>
      <c r="AK143" s="63"/>
      <c r="AL143" s="63"/>
      <c r="AM143" s="63"/>
    </row>
    <row r="144" spans="1:39" ht="15.75" customHeight="1" x14ac:dyDescent="0.2">
      <c r="A144" s="190"/>
      <c r="B144" s="201" t="s">
        <v>68</v>
      </c>
      <c r="C144" s="32"/>
      <c r="D144" s="229" t="s">
        <v>199</v>
      </c>
      <c r="E144" s="78" t="s">
        <v>81</v>
      </c>
      <c r="F144" s="78" t="s">
        <v>200</v>
      </c>
      <c r="G144" s="230" t="s">
        <v>52</v>
      </c>
      <c r="H144" s="231" t="s">
        <v>53</v>
      </c>
      <c r="I144" s="232" t="s">
        <v>54</v>
      </c>
      <c r="J144" s="233" t="s">
        <v>55</v>
      </c>
      <c r="K144" s="65"/>
      <c r="L144" s="234"/>
      <c r="M144" s="232" t="s">
        <v>56</v>
      </c>
      <c r="N144" s="235" t="s">
        <v>56</v>
      </c>
      <c r="O144" s="232" t="s">
        <v>56</v>
      </c>
      <c r="P144" s="236" t="s">
        <v>56</v>
      </c>
      <c r="Q144" s="67"/>
      <c r="R144" s="67"/>
      <c r="S144" s="231" t="s">
        <v>56</v>
      </c>
      <c r="T144" s="304" t="s">
        <v>56</v>
      </c>
      <c r="U144" s="67"/>
      <c r="V144" s="235" t="s">
        <v>56</v>
      </c>
      <c r="W144" s="235" t="s">
        <v>56</v>
      </c>
      <c r="X144" s="237" t="s">
        <v>56</v>
      </c>
      <c r="Y144" s="65"/>
      <c r="Z144" s="232" t="s">
        <v>56</v>
      </c>
      <c r="AA144" s="235" t="s">
        <v>56</v>
      </c>
      <c r="AB144" s="60"/>
      <c r="AC144" s="60"/>
      <c r="AD144" s="63"/>
      <c r="AE144" s="63"/>
      <c r="AF144" s="63"/>
      <c r="AG144" s="63"/>
      <c r="AH144" s="63"/>
      <c r="AI144" s="63"/>
      <c r="AJ144" s="63"/>
      <c r="AK144" s="63"/>
      <c r="AL144" s="63"/>
      <c r="AM144" s="63"/>
    </row>
    <row r="145" spans="1:39" ht="15.75" customHeight="1" x14ac:dyDescent="0.2">
      <c r="A145" s="190" t="s">
        <v>137</v>
      </c>
      <c r="B145" s="210" t="s">
        <v>47</v>
      </c>
      <c r="C145" s="211" t="s">
        <v>48</v>
      </c>
      <c r="D145" s="59"/>
      <c r="E145" s="89"/>
      <c r="F145" s="89"/>
      <c r="G145" s="238" t="s">
        <v>58</v>
      </c>
      <c r="H145" s="239" t="s">
        <v>59</v>
      </c>
      <c r="I145" s="232" t="s">
        <v>201</v>
      </c>
      <c r="J145" s="233" t="s">
        <v>61</v>
      </c>
      <c r="K145" s="67"/>
      <c r="L145" s="234"/>
      <c r="M145" s="232" t="s">
        <v>142</v>
      </c>
      <c r="N145" s="235"/>
      <c r="O145" s="232" t="s">
        <v>142</v>
      </c>
      <c r="P145" s="236"/>
      <c r="Q145" s="67"/>
      <c r="R145" s="67"/>
      <c r="S145" s="240" t="s">
        <v>63</v>
      </c>
      <c r="T145" s="304" t="s">
        <v>142</v>
      </c>
      <c r="U145" s="67"/>
      <c r="V145" s="235" t="s">
        <v>142</v>
      </c>
      <c r="W145" s="235"/>
      <c r="X145" s="237" t="s">
        <v>148</v>
      </c>
      <c r="Y145" s="65"/>
      <c r="Z145" s="241" t="s">
        <v>63</v>
      </c>
      <c r="AA145" s="235" t="s">
        <v>143</v>
      </c>
      <c r="AB145" s="60"/>
      <c r="AC145" s="60"/>
      <c r="AD145" s="63"/>
      <c r="AE145" s="63"/>
      <c r="AF145" s="63"/>
      <c r="AG145" s="63"/>
      <c r="AH145" s="63"/>
      <c r="AI145" s="63"/>
      <c r="AJ145" s="63"/>
      <c r="AK145" s="63"/>
      <c r="AL145" s="63"/>
      <c r="AM145" s="63"/>
    </row>
    <row r="146" spans="1:39" ht="15.75" customHeight="1" thickBot="1" x14ac:dyDescent="0.25">
      <c r="A146" s="190" t="s">
        <v>140</v>
      </c>
      <c r="B146" s="220"/>
      <c r="C146" s="221"/>
      <c r="D146" s="36"/>
      <c r="E146" s="98"/>
      <c r="F146" s="98"/>
      <c r="G146" s="146"/>
      <c r="H146" s="145"/>
      <c r="I146" s="242" t="s">
        <v>202</v>
      </c>
      <c r="J146" s="243" t="s">
        <v>61</v>
      </c>
      <c r="K146" s="178"/>
      <c r="L146" s="244"/>
      <c r="M146" s="242" t="s">
        <v>142</v>
      </c>
      <c r="N146" s="245"/>
      <c r="O146" s="242" t="s">
        <v>142</v>
      </c>
      <c r="P146" s="246"/>
      <c r="Q146" s="178"/>
      <c r="R146" s="178"/>
      <c r="S146" s="240" t="s">
        <v>63</v>
      </c>
      <c r="T146" s="305" t="s">
        <v>142</v>
      </c>
      <c r="U146" s="178"/>
      <c r="V146" s="245" t="s">
        <v>142</v>
      </c>
      <c r="W146" s="245"/>
      <c r="X146" s="247" t="s">
        <v>148</v>
      </c>
      <c r="Y146" s="40"/>
      <c r="Z146" s="248" t="s">
        <v>63</v>
      </c>
      <c r="AA146" s="245" t="s">
        <v>143</v>
      </c>
      <c r="AB146" s="60"/>
      <c r="AC146" s="60"/>
      <c r="AD146" s="63"/>
      <c r="AE146" s="63"/>
      <c r="AF146" s="63"/>
      <c r="AG146" s="63"/>
      <c r="AH146" s="63"/>
      <c r="AI146" s="63"/>
      <c r="AJ146" s="63"/>
      <c r="AK146" s="63"/>
      <c r="AL146" s="63"/>
      <c r="AM146" s="63"/>
    </row>
    <row r="147" spans="1:39" ht="15.75" customHeight="1" thickBot="1" x14ac:dyDescent="0.25">
      <c r="A147" s="190"/>
      <c r="B147" s="190"/>
      <c r="C147" s="190"/>
      <c r="D147" s="190"/>
      <c r="E147" s="190"/>
      <c r="F147" s="190"/>
      <c r="G147" s="190"/>
      <c r="H147" s="190"/>
      <c r="I147" s="190"/>
      <c r="J147" s="190"/>
      <c r="K147" s="190"/>
      <c r="L147" s="190"/>
      <c r="M147" s="190"/>
      <c r="N147" s="190"/>
      <c r="P147" s="190"/>
      <c r="Q147" s="190"/>
      <c r="R147" s="190"/>
      <c r="T147" s="190"/>
      <c r="U147" s="190"/>
      <c r="V147" s="190"/>
      <c r="W147" s="190"/>
      <c r="X147" s="190"/>
      <c r="Y147" s="190"/>
      <c r="AD147" s="63"/>
      <c r="AE147" s="63"/>
      <c r="AF147" s="63"/>
      <c r="AG147" s="63"/>
      <c r="AH147" s="63"/>
      <c r="AI147" s="63"/>
      <c r="AJ147" s="63"/>
      <c r="AK147" s="63"/>
      <c r="AL147" s="63"/>
      <c r="AM147" s="63"/>
    </row>
    <row r="148" spans="1:39" ht="15.75" customHeight="1" x14ac:dyDescent="0.2">
      <c r="A148" s="190"/>
      <c r="B148" s="201" t="s">
        <v>78</v>
      </c>
      <c r="C148" s="32"/>
      <c r="D148" s="202" t="s">
        <v>35</v>
      </c>
      <c r="E148" s="203" t="s">
        <v>36</v>
      </c>
      <c r="F148" s="123"/>
      <c r="G148" s="204" t="s">
        <v>37</v>
      </c>
      <c r="H148" s="205" t="s">
        <v>79</v>
      </c>
      <c r="I148" s="206" t="s">
        <v>39</v>
      </c>
      <c r="J148" s="207" t="s">
        <v>40</v>
      </c>
      <c r="K148" s="123"/>
      <c r="L148" s="208" t="s">
        <v>41</v>
      </c>
      <c r="M148" s="206" t="s">
        <v>42</v>
      </c>
      <c r="N148" s="205" t="s">
        <v>43</v>
      </c>
      <c r="O148" s="204" t="s">
        <v>44</v>
      </c>
      <c r="P148" s="249" t="s">
        <v>150</v>
      </c>
      <c r="Q148" s="249" t="s">
        <v>151</v>
      </c>
      <c r="R148" s="249" t="s">
        <v>152</v>
      </c>
      <c r="S148" s="250" t="s">
        <v>153</v>
      </c>
      <c r="T148" s="251"/>
      <c r="U148" s="252" t="s">
        <v>154</v>
      </c>
      <c r="V148" s="251"/>
      <c r="W148" s="252" t="s">
        <v>134</v>
      </c>
      <c r="X148" s="251"/>
      <c r="Y148" s="253" t="s">
        <v>135</v>
      </c>
      <c r="Z148" s="252" t="s">
        <v>155</v>
      </c>
      <c r="AA148" s="251"/>
      <c r="AB148" s="254"/>
      <c r="AC148" s="254"/>
      <c r="AD148" s="63"/>
      <c r="AE148" s="63"/>
      <c r="AF148" s="63"/>
      <c r="AG148" s="63"/>
      <c r="AH148" s="63"/>
      <c r="AI148" s="63"/>
      <c r="AJ148" s="63"/>
      <c r="AK148" s="63"/>
      <c r="AL148" s="63"/>
      <c r="AM148" s="63"/>
    </row>
    <row r="149" spans="1:39" ht="15.75" customHeight="1" x14ac:dyDescent="0.2">
      <c r="A149" s="190" t="s">
        <v>137</v>
      </c>
      <c r="B149" s="255" t="s">
        <v>47</v>
      </c>
      <c r="C149" s="256" t="s">
        <v>48</v>
      </c>
      <c r="D149" s="229" t="s">
        <v>203</v>
      </c>
      <c r="E149" s="257" t="s">
        <v>50</v>
      </c>
      <c r="F149" s="257" t="s">
        <v>204</v>
      </c>
      <c r="G149" s="258" t="s">
        <v>52</v>
      </c>
      <c r="H149" s="259" t="s">
        <v>83</v>
      </c>
      <c r="I149" s="260" t="s">
        <v>54</v>
      </c>
      <c r="J149" s="261" t="s">
        <v>55</v>
      </c>
      <c r="K149" s="67"/>
      <c r="L149" s="262"/>
      <c r="M149" s="260" t="s">
        <v>56</v>
      </c>
      <c r="N149" s="259" t="s">
        <v>56</v>
      </c>
      <c r="O149" s="263" t="s">
        <v>56</v>
      </c>
      <c r="P149" s="264" t="s">
        <v>18</v>
      </c>
      <c r="Q149" s="265" t="s">
        <v>122</v>
      </c>
      <c r="R149" s="266" t="s">
        <v>161</v>
      </c>
      <c r="S149" s="267" t="s">
        <v>161</v>
      </c>
      <c r="T149" s="251"/>
      <c r="U149" s="268" t="s">
        <v>161</v>
      </c>
      <c r="V149" s="251"/>
      <c r="W149" s="268" t="s">
        <v>161</v>
      </c>
      <c r="X149" s="251"/>
      <c r="Y149" s="269"/>
      <c r="Z149" s="268" t="s">
        <v>205</v>
      </c>
      <c r="AA149" s="251"/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</row>
    <row r="150" spans="1:39" ht="15.75" customHeight="1" thickBot="1" x14ac:dyDescent="0.25">
      <c r="A150" s="190" t="s">
        <v>140</v>
      </c>
      <c r="B150" s="270"/>
      <c r="C150" s="271"/>
      <c r="D150" s="59"/>
      <c r="E150" s="59"/>
      <c r="F150" s="59"/>
      <c r="G150" s="272" t="s">
        <v>58</v>
      </c>
      <c r="H150" s="273" t="s">
        <v>85</v>
      </c>
      <c r="I150" s="232" t="s">
        <v>160</v>
      </c>
      <c r="J150" s="261" t="s">
        <v>61</v>
      </c>
      <c r="K150" s="67"/>
      <c r="L150" s="262"/>
      <c r="M150" s="260" t="s">
        <v>74</v>
      </c>
      <c r="N150" s="240" t="s">
        <v>73</v>
      </c>
      <c r="O150" s="263"/>
      <c r="P150" s="98"/>
      <c r="Q150" s="275" t="s">
        <v>127</v>
      </c>
      <c r="R150" s="266" t="s">
        <v>158</v>
      </c>
      <c r="S150" s="267" t="s">
        <v>158</v>
      </c>
      <c r="T150" s="251"/>
      <c r="U150" s="268" t="s">
        <v>161</v>
      </c>
      <c r="V150" s="251"/>
      <c r="W150" s="268" t="s">
        <v>161</v>
      </c>
      <c r="X150" s="251"/>
      <c r="Y150" s="269"/>
      <c r="Z150" s="268" t="s">
        <v>205</v>
      </c>
      <c r="AA150" s="251"/>
      <c r="AD150" s="63"/>
      <c r="AE150" s="63"/>
      <c r="AF150" s="63"/>
      <c r="AG150" s="63"/>
      <c r="AH150" s="63"/>
      <c r="AI150" s="63"/>
      <c r="AJ150" s="63"/>
      <c r="AK150" s="63"/>
      <c r="AL150" s="63"/>
      <c r="AM150" s="63"/>
    </row>
    <row r="151" spans="1:39" ht="15.75" customHeight="1" thickBot="1" x14ac:dyDescent="0.25">
      <c r="A151" s="190"/>
      <c r="D151" s="228"/>
      <c r="E151" s="228"/>
      <c r="F151" s="228"/>
      <c r="G151" s="86"/>
      <c r="H151" s="98"/>
      <c r="I151" s="232" t="s">
        <v>162</v>
      </c>
      <c r="J151" s="261" t="s">
        <v>61</v>
      </c>
      <c r="K151" s="67"/>
      <c r="L151" s="262"/>
      <c r="M151" s="260" t="s">
        <v>74</v>
      </c>
      <c r="N151" s="240" t="s">
        <v>73</v>
      </c>
      <c r="O151" s="263"/>
      <c r="P151" s="276" t="s">
        <v>30</v>
      </c>
      <c r="Q151" s="265" t="s">
        <v>122</v>
      </c>
      <c r="R151" s="277" t="s">
        <v>161</v>
      </c>
      <c r="S151" s="278" t="s">
        <v>161</v>
      </c>
      <c r="T151" s="251"/>
      <c r="U151" s="268" t="s">
        <v>161</v>
      </c>
      <c r="V151" s="251"/>
      <c r="W151" s="268" t="s">
        <v>161</v>
      </c>
      <c r="X151" s="251"/>
      <c r="Y151" s="279"/>
      <c r="Z151" s="268" t="s">
        <v>205</v>
      </c>
      <c r="AA151" s="251"/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</row>
    <row r="152" spans="1:39" ht="15.75" customHeight="1" x14ac:dyDescent="0.2">
      <c r="A152" s="190"/>
      <c r="B152" s="203" t="s">
        <v>32</v>
      </c>
      <c r="C152" s="124"/>
      <c r="D152" s="212" t="s">
        <v>206</v>
      </c>
      <c r="E152" s="257" t="s">
        <v>50</v>
      </c>
      <c r="F152" s="257" t="s">
        <v>207</v>
      </c>
      <c r="G152" s="280" t="s">
        <v>52</v>
      </c>
      <c r="H152" s="281" t="s">
        <v>83</v>
      </c>
      <c r="I152" s="215" t="s">
        <v>54</v>
      </c>
      <c r="J152" s="282" t="s">
        <v>55</v>
      </c>
      <c r="K152" s="65"/>
      <c r="L152" s="281"/>
      <c r="M152" s="283" t="s">
        <v>56</v>
      </c>
      <c r="N152" s="281" t="s">
        <v>56</v>
      </c>
      <c r="O152" s="284" t="s">
        <v>56</v>
      </c>
      <c r="P152" s="98"/>
      <c r="Q152" s="275" t="s">
        <v>127</v>
      </c>
      <c r="R152" s="277" t="s">
        <v>158</v>
      </c>
      <c r="S152" s="278" t="s">
        <v>158</v>
      </c>
      <c r="T152" s="251"/>
      <c r="U152" s="268" t="s">
        <v>161</v>
      </c>
      <c r="V152" s="251"/>
      <c r="W152" s="268" t="s">
        <v>161</v>
      </c>
      <c r="X152" s="251"/>
      <c r="Y152" s="279"/>
      <c r="Z152" s="268" t="s">
        <v>205</v>
      </c>
      <c r="AA152" s="251"/>
      <c r="AD152" s="63"/>
      <c r="AE152" s="63"/>
      <c r="AF152" s="63"/>
      <c r="AG152" s="63"/>
      <c r="AH152" s="63"/>
      <c r="AI152" s="63"/>
      <c r="AJ152" s="63"/>
      <c r="AK152" s="63"/>
      <c r="AL152" s="63"/>
      <c r="AM152" s="63"/>
    </row>
    <row r="153" spans="1:39" ht="15.75" customHeight="1" x14ac:dyDescent="0.2">
      <c r="B153" s="59"/>
      <c r="C153" s="35"/>
      <c r="D153" s="59"/>
      <c r="E153" s="59"/>
      <c r="F153" s="59"/>
      <c r="G153" s="285" t="s">
        <v>58</v>
      </c>
      <c r="H153" s="286" t="s">
        <v>85</v>
      </c>
      <c r="I153" s="215" t="s">
        <v>94</v>
      </c>
      <c r="J153" s="282" t="s">
        <v>61</v>
      </c>
      <c r="K153" s="65"/>
      <c r="L153" s="281"/>
      <c r="M153" s="283" t="s">
        <v>74</v>
      </c>
      <c r="N153" s="226" t="s">
        <v>73</v>
      </c>
      <c r="O153" s="284"/>
      <c r="AD153" s="63"/>
      <c r="AE153" s="63"/>
      <c r="AF153" s="63"/>
      <c r="AG153" s="63"/>
      <c r="AH153" s="63"/>
      <c r="AI153" s="63"/>
      <c r="AJ153" s="63"/>
      <c r="AK153" s="63"/>
      <c r="AL153" s="63"/>
      <c r="AM153" s="63"/>
    </row>
    <row r="154" spans="1:39" ht="15.75" customHeight="1" thickBot="1" x14ac:dyDescent="0.25">
      <c r="B154" s="36"/>
      <c r="C154" s="54"/>
      <c r="D154" s="36"/>
      <c r="E154" s="228"/>
      <c r="F154" s="228"/>
      <c r="G154" s="86"/>
      <c r="H154" s="145"/>
      <c r="I154" s="215" t="s">
        <v>95</v>
      </c>
      <c r="J154" s="282" t="s">
        <v>61</v>
      </c>
      <c r="K154" s="65"/>
      <c r="L154" s="281"/>
      <c r="M154" s="283" t="s">
        <v>74</v>
      </c>
      <c r="N154" s="226" t="s">
        <v>73</v>
      </c>
      <c r="O154" s="284"/>
      <c r="AD154" s="63"/>
      <c r="AE154" s="63"/>
      <c r="AF154" s="63"/>
      <c r="AG154" s="63"/>
      <c r="AH154" s="63"/>
      <c r="AI154" s="63"/>
      <c r="AJ154" s="63"/>
      <c r="AK154" s="63"/>
      <c r="AL154" s="63"/>
      <c r="AM154" s="63"/>
    </row>
    <row r="155" spans="1:39" ht="15.75" customHeight="1" thickBot="1" x14ac:dyDescent="0.25">
      <c r="A155" s="20"/>
      <c r="B155" s="64" t="s">
        <v>97</v>
      </c>
      <c r="C155" s="65"/>
      <c r="G155" s="118"/>
      <c r="H155" s="118"/>
      <c r="I155" s="119" t="s">
        <v>203</v>
      </c>
      <c r="J155" s="87"/>
      <c r="K155" s="87"/>
      <c r="L155" s="87"/>
      <c r="M155" s="87"/>
      <c r="N155" s="87"/>
      <c r="O155" s="87"/>
      <c r="P155" s="87"/>
      <c r="Q155" s="87"/>
      <c r="R155" s="120" t="s">
        <v>206</v>
      </c>
      <c r="S155" s="87"/>
      <c r="T155" s="87"/>
      <c r="U155" s="87"/>
      <c r="V155" s="87"/>
      <c r="W155" s="87"/>
      <c r="X155" s="87"/>
      <c r="Y155" s="87"/>
      <c r="Z155" s="87"/>
      <c r="AA155" s="87"/>
      <c r="AB155" s="87"/>
      <c r="AC155" s="87"/>
      <c r="AD155" s="87"/>
      <c r="AE155" s="63"/>
      <c r="AF155" s="63"/>
      <c r="AG155" s="63"/>
      <c r="AH155" s="63"/>
      <c r="AI155" s="63"/>
      <c r="AJ155" s="63"/>
      <c r="AK155" s="63"/>
      <c r="AL155" s="63"/>
      <c r="AM155" s="63"/>
    </row>
    <row r="156" spans="1:39" ht="15.75" customHeight="1" x14ac:dyDescent="0.2">
      <c r="A156" s="20" t="s">
        <v>16</v>
      </c>
      <c r="B156" s="121" t="s">
        <v>98</v>
      </c>
      <c r="C156" s="65"/>
      <c r="D156" s="122" t="s">
        <v>99</v>
      </c>
      <c r="E156" s="123"/>
      <c r="F156" s="124"/>
      <c r="G156" s="118" t="s">
        <v>100</v>
      </c>
      <c r="H156" s="118" t="s">
        <v>208</v>
      </c>
      <c r="I156" s="125" t="s">
        <v>58</v>
      </c>
      <c r="J156" s="101"/>
      <c r="K156" s="126" t="s">
        <v>102</v>
      </c>
      <c r="L156" s="87"/>
      <c r="M156" s="87"/>
      <c r="N156" s="87"/>
      <c r="O156" s="87"/>
      <c r="P156" s="87"/>
      <c r="Q156" s="87"/>
      <c r="R156" s="118" t="s">
        <v>100</v>
      </c>
      <c r="S156" s="128" t="s">
        <v>209</v>
      </c>
      <c r="T156" s="77"/>
      <c r="U156" s="125" t="s">
        <v>58</v>
      </c>
      <c r="V156" s="101"/>
      <c r="W156" s="126" t="s">
        <v>102</v>
      </c>
      <c r="X156" s="87"/>
      <c r="Y156" s="87"/>
      <c r="Z156" s="87"/>
      <c r="AA156" s="87"/>
      <c r="AB156" s="87"/>
      <c r="AC156" s="87"/>
      <c r="AD156" s="87"/>
      <c r="AE156" s="63"/>
      <c r="AF156" s="63"/>
      <c r="AG156" s="63"/>
      <c r="AH156" s="63"/>
      <c r="AI156" s="63"/>
      <c r="AJ156" s="63"/>
      <c r="AK156" s="63"/>
      <c r="AL156" s="63"/>
      <c r="AM156" s="63"/>
    </row>
    <row r="157" spans="1:39" ht="15.75" customHeight="1" x14ac:dyDescent="0.2">
      <c r="B157" s="129"/>
      <c r="C157" s="106"/>
      <c r="D157" s="87"/>
      <c r="E157" s="87"/>
      <c r="F157" s="35"/>
      <c r="G157" s="118" t="s">
        <v>100</v>
      </c>
      <c r="H157" s="118" t="s">
        <v>210</v>
      </c>
      <c r="I157" s="125" t="s">
        <v>58</v>
      </c>
      <c r="J157" s="101"/>
      <c r="K157" s="60" t="s">
        <v>105</v>
      </c>
      <c r="L157" s="60"/>
      <c r="M157" s="60"/>
      <c r="N157" s="60"/>
      <c r="O157" s="60"/>
      <c r="P157" s="60"/>
      <c r="Q157" s="60"/>
      <c r="R157" s="118" t="s">
        <v>100</v>
      </c>
      <c r="S157" s="128" t="s">
        <v>211</v>
      </c>
      <c r="T157" s="77"/>
      <c r="U157" s="125" t="s">
        <v>58</v>
      </c>
      <c r="V157" s="101"/>
      <c r="W157" s="130" t="s">
        <v>105</v>
      </c>
      <c r="X157" s="87"/>
      <c r="Y157" s="87"/>
      <c r="Z157" s="87"/>
      <c r="AA157" s="87"/>
      <c r="AB157" s="87"/>
      <c r="AC157" s="87"/>
      <c r="AD157" s="87"/>
    </row>
    <row r="158" spans="1:39" ht="12.75" x14ac:dyDescent="0.2">
      <c r="A158" s="20"/>
      <c r="B158" s="61"/>
      <c r="C158" s="61"/>
      <c r="D158" s="61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61"/>
      <c r="R158" s="20"/>
      <c r="S158" s="20"/>
      <c r="T158" s="63"/>
      <c r="U158" s="20"/>
      <c r="V158" s="20"/>
      <c r="W158" s="20"/>
      <c r="X158" s="20"/>
      <c r="Y158" s="20"/>
      <c r="Z158" s="20"/>
      <c r="AA158" s="20"/>
      <c r="AB158" s="20"/>
      <c r="AC158" s="63"/>
      <c r="AD158" s="63"/>
      <c r="AE158" s="63"/>
      <c r="AF158" s="63"/>
      <c r="AG158" s="63"/>
      <c r="AH158" s="63"/>
      <c r="AI158" s="63"/>
      <c r="AJ158" s="63"/>
      <c r="AK158" s="63"/>
      <c r="AL158" s="63"/>
      <c r="AM158" s="63"/>
    </row>
    <row r="159" spans="1:39" ht="15.75" customHeight="1" x14ac:dyDescent="0.2">
      <c r="A159" s="131"/>
      <c r="B159" s="301" t="s">
        <v>212</v>
      </c>
      <c r="C159" s="195"/>
      <c r="D159" s="132"/>
      <c r="E159" s="132"/>
      <c r="F159" s="132"/>
      <c r="G159" s="133"/>
      <c r="H159" s="133"/>
      <c r="I159" s="133"/>
      <c r="J159" s="132"/>
      <c r="K159" s="132"/>
      <c r="L159" s="133"/>
      <c r="M159" s="133"/>
      <c r="N159" s="134"/>
      <c r="O159" s="133"/>
      <c r="P159" s="134"/>
      <c r="Q159" s="134"/>
      <c r="R159" s="133"/>
      <c r="S159" s="134"/>
      <c r="T159" s="133"/>
      <c r="U159" s="134"/>
      <c r="V159" s="133"/>
      <c r="W159" s="134"/>
      <c r="X159" s="133"/>
      <c r="Y159" s="134"/>
      <c r="Z159" s="133"/>
      <c r="AA159" s="134"/>
      <c r="AB159" s="133"/>
      <c r="AC159" s="133"/>
      <c r="AD159" s="63"/>
      <c r="AE159" s="63"/>
      <c r="AF159" s="63"/>
      <c r="AG159" s="63"/>
      <c r="AH159" s="63"/>
      <c r="AI159" s="63"/>
      <c r="AJ159" s="63"/>
      <c r="AK159" s="63"/>
      <c r="AL159" s="63"/>
      <c r="AM159" s="63"/>
    </row>
    <row r="160" spans="1:39" ht="15.75" customHeight="1" x14ac:dyDescent="0.2">
      <c r="A160" s="20"/>
      <c r="B160" s="61"/>
      <c r="C160" s="61"/>
      <c r="D160" s="61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61"/>
      <c r="R160" s="20"/>
      <c r="S160" s="20"/>
      <c r="T160" s="63"/>
      <c r="U160" s="20"/>
      <c r="V160" s="20"/>
      <c r="W160" s="20"/>
      <c r="X160" s="20"/>
      <c r="Y160" s="20"/>
      <c r="Z160" s="20"/>
      <c r="AA160" s="20"/>
      <c r="AB160" s="20"/>
      <c r="AC160" s="63"/>
      <c r="AD160" s="63"/>
      <c r="AE160" s="63"/>
      <c r="AF160" s="63"/>
      <c r="AG160" s="63"/>
      <c r="AH160" s="63"/>
      <c r="AI160" s="63"/>
      <c r="AJ160" s="63"/>
      <c r="AK160" s="63"/>
      <c r="AL160" s="63"/>
      <c r="AM160" s="63"/>
    </row>
    <row r="161" spans="1:39" ht="15.75" customHeight="1" x14ac:dyDescent="0.2">
      <c r="A161" s="61"/>
      <c r="B161" s="64" t="s">
        <v>34</v>
      </c>
      <c r="C161" s="65"/>
      <c r="D161" s="66" t="s">
        <v>35</v>
      </c>
      <c r="E161" s="67"/>
      <c r="F161" s="65"/>
      <c r="G161" s="66" t="s">
        <v>36</v>
      </c>
      <c r="H161" s="65"/>
      <c r="I161" s="68" t="s">
        <v>37</v>
      </c>
      <c r="J161" s="65"/>
      <c r="K161" s="69" t="s">
        <v>38</v>
      </c>
      <c r="L161" s="68" t="s">
        <v>39</v>
      </c>
      <c r="M161" s="67"/>
      <c r="N161" s="67"/>
      <c r="O161" s="65"/>
      <c r="P161" s="68" t="s">
        <v>40</v>
      </c>
      <c r="Q161" s="65"/>
      <c r="R161" s="68" t="s">
        <v>41</v>
      </c>
      <c r="S161" s="65"/>
      <c r="T161" s="68" t="s">
        <v>42</v>
      </c>
      <c r="U161" s="67"/>
      <c r="V161" s="65"/>
      <c r="W161" s="69" t="s">
        <v>43</v>
      </c>
      <c r="X161" s="70" t="s">
        <v>44</v>
      </c>
      <c r="Y161" s="65"/>
      <c r="Z161" s="71" t="s">
        <v>45</v>
      </c>
      <c r="AA161" s="72" t="s">
        <v>46</v>
      </c>
      <c r="AB161" s="67"/>
      <c r="AC161" s="67"/>
      <c r="AD161" s="65"/>
      <c r="AE161" s="73"/>
      <c r="AF161" s="73"/>
      <c r="AG161" s="73"/>
      <c r="AH161" s="73"/>
      <c r="AI161" s="73"/>
      <c r="AJ161" s="73"/>
      <c r="AK161" s="73"/>
      <c r="AL161" s="73"/>
      <c r="AM161" s="73"/>
    </row>
    <row r="162" spans="1:39" ht="15.75" customHeight="1" x14ac:dyDescent="0.2">
      <c r="A162" s="20" t="s">
        <v>16</v>
      </c>
      <c r="B162" s="74" t="s">
        <v>47</v>
      </c>
      <c r="C162" s="74" t="s">
        <v>48</v>
      </c>
      <c r="D162" s="75" t="s">
        <v>49</v>
      </c>
      <c r="E162" s="76"/>
      <c r="F162" s="77"/>
      <c r="G162" s="78" t="s">
        <v>50</v>
      </c>
      <c r="H162" s="78" t="s">
        <v>51</v>
      </c>
      <c r="I162" s="79" t="s">
        <v>52</v>
      </c>
      <c r="J162" s="65"/>
      <c r="K162" s="80" t="s">
        <v>53</v>
      </c>
      <c r="L162" s="81" t="s">
        <v>54</v>
      </c>
      <c r="M162" s="67"/>
      <c r="N162" s="67"/>
      <c r="O162" s="65"/>
      <c r="P162" s="81" t="s">
        <v>55</v>
      </c>
      <c r="Q162" s="65"/>
      <c r="R162" s="81"/>
      <c r="S162" s="65"/>
      <c r="T162" s="80" t="s">
        <v>56</v>
      </c>
      <c r="U162" s="80"/>
      <c r="V162" s="80"/>
      <c r="W162" s="80" t="s">
        <v>56</v>
      </c>
      <c r="X162" s="82" t="s">
        <v>56</v>
      </c>
      <c r="Y162" s="65"/>
      <c r="Z162" s="83"/>
      <c r="AA162" s="84" t="s">
        <v>57</v>
      </c>
      <c r="AB162" s="67"/>
      <c r="AC162" s="67"/>
      <c r="AD162" s="65"/>
      <c r="AE162" s="63"/>
      <c r="AF162" s="63"/>
      <c r="AG162" s="63"/>
      <c r="AH162" s="63"/>
      <c r="AI162" s="63"/>
      <c r="AJ162" s="63"/>
      <c r="AK162" s="63"/>
      <c r="AL162" s="63"/>
      <c r="AM162" s="63"/>
    </row>
    <row r="163" spans="1:39" ht="15.75" customHeight="1" x14ac:dyDescent="0.2">
      <c r="A163" s="20" t="s">
        <v>24</v>
      </c>
      <c r="B163" s="85"/>
      <c r="C163" s="85"/>
      <c r="D163" s="86"/>
      <c r="E163" s="87"/>
      <c r="F163" s="88"/>
      <c r="G163" s="89"/>
      <c r="H163" s="89"/>
      <c r="I163" s="90" t="s">
        <v>58</v>
      </c>
      <c r="J163" s="77"/>
      <c r="K163" s="91" t="s">
        <v>59</v>
      </c>
      <c r="L163" s="92" t="s">
        <v>60</v>
      </c>
      <c r="M163" s="67"/>
      <c r="N163" s="67"/>
      <c r="O163" s="65"/>
      <c r="P163" s="92" t="s">
        <v>61</v>
      </c>
      <c r="Q163" s="65"/>
      <c r="R163" s="92"/>
      <c r="S163" s="65"/>
      <c r="T163" s="93" t="s">
        <v>62</v>
      </c>
      <c r="U163" s="93" t="s">
        <v>63</v>
      </c>
      <c r="V163" s="93"/>
      <c r="W163" s="94"/>
      <c r="X163" s="95"/>
      <c r="Y163" s="65"/>
      <c r="Z163" s="96" t="s">
        <v>64</v>
      </c>
      <c r="AA163" s="97" t="s">
        <v>65</v>
      </c>
      <c r="AB163" s="67"/>
      <c r="AC163" s="67"/>
      <c r="AD163" s="65"/>
      <c r="AE163" s="63"/>
      <c r="AF163" s="63"/>
      <c r="AG163" s="63"/>
      <c r="AH163" s="63"/>
      <c r="AI163" s="63"/>
      <c r="AJ163" s="63"/>
      <c r="AK163" s="63"/>
      <c r="AL163" s="63"/>
      <c r="AM163" s="63"/>
    </row>
    <row r="164" spans="1:39" ht="15.75" customHeight="1" x14ac:dyDescent="0.2">
      <c r="A164" s="20"/>
      <c r="B164" s="98"/>
      <c r="C164" s="98"/>
      <c r="D164" s="99"/>
      <c r="E164" s="100"/>
      <c r="F164" s="101"/>
      <c r="G164" s="98"/>
      <c r="H164" s="98"/>
      <c r="I164" s="99"/>
      <c r="J164" s="101"/>
      <c r="K164" s="98"/>
      <c r="L164" s="92" t="s">
        <v>66</v>
      </c>
      <c r="M164" s="67"/>
      <c r="N164" s="67"/>
      <c r="O164" s="65"/>
      <c r="P164" s="92" t="s">
        <v>61</v>
      </c>
      <c r="Q164" s="65"/>
      <c r="R164" s="92"/>
      <c r="S164" s="65"/>
      <c r="T164" s="93" t="s">
        <v>62</v>
      </c>
      <c r="U164" s="93" t="s">
        <v>63</v>
      </c>
      <c r="V164" s="93"/>
      <c r="W164" s="94"/>
      <c r="X164" s="95"/>
      <c r="Y164" s="65"/>
      <c r="Z164" s="96" t="s">
        <v>64</v>
      </c>
      <c r="AA164" s="84" t="s">
        <v>67</v>
      </c>
      <c r="AB164" s="67"/>
      <c r="AC164" s="67"/>
      <c r="AD164" s="65"/>
      <c r="AE164" s="63"/>
      <c r="AF164" s="63"/>
      <c r="AG164" s="63"/>
      <c r="AH164" s="63"/>
      <c r="AI164" s="63"/>
      <c r="AJ164" s="63"/>
      <c r="AK164" s="63"/>
      <c r="AL164" s="63"/>
      <c r="AM164" s="63"/>
    </row>
    <row r="165" spans="1:39" ht="15.75" customHeight="1" x14ac:dyDescent="0.2">
      <c r="A165" s="20"/>
      <c r="B165" s="64" t="s">
        <v>68</v>
      </c>
      <c r="C165" s="65"/>
      <c r="D165" s="102" t="s">
        <v>69</v>
      </c>
      <c r="E165" s="76"/>
      <c r="F165" s="77"/>
      <c r="G165" s="78" t="s">
        <v>50</v>
      </c>
      <c r="H165" s="78" t="s">
        <v>70</v>
      </c>
      <c r="I165" s="79" t="s">
        <v>52</v>
      </c>
      <c r="J165" s="65"/>
      <c r="K165" s="80" t="s">
        <v>53</v>
      </c>
      <c r="L165" s="81" t="s">
        <v>54</v>
      </c>
      <c r="M165" s="67"/>
      <c r="N165" s="67"/>
      <c r="O165" s="65"/>
      <c r="P165" s="81" t="s">
        <v>55</v>
      </c>
      <c r="Q165" s="65"/>
      <c r="R165" s="81"/>
      <c r="S165" s="65"/>
      <c r="T165" s="80" t="s">
        <v>56</v>
      </c>
      <c r="U165" s="80"/>
      <c r="V165" s="80"/>
      <c r="W165" s="80" t="s">
        <v>56</v>
      </c>
      <c r="X165" s="82" t="s">
        <v>56</v>
      </c>
      <c r="Y165" s="65"/>
      <c r="Z165" s="103"/>
      <c r="AA165" s="97" t="s">
        <v>65</v>
      </c>
      <c r="AB165" s="67"/>
      <c r="AC165" s="67"/>
      <c r="AD165" s="65"/>
      <c r="AE165" s="63"/>
      <c r="AF165" s="63"/>
      <c r="AG165" s="63"/>
      <c r="AH165" s="63"/>
      <c r="AI165" s="63"/>
      <c r="AJ165" s="63"/>
      <c r="AK165" s="63"/>
      <c r="AL165" s="63"/>
      <c r="AM165" s="63"/>
    </row>
    <row r="166" spans="1:39" ht="15.75" customHeight="1" x14ac:dyDescent="0.2">
      <c r="A166" s="20" t="s">
        <v>16</v>
      </c>
      <c r="B166" s="74" t="s">
        <v>47</v>
      </c>
      <c r="C166" s="74" t="s">
        <v>48</v>
      </c>
      <c r="D166" s="86"/>
      <c r="E166" s="87"/>
      <c r="F166" s="88"/>
      <c r="G166" s="89"/>
      <c r="H166" s="89"/>
      <c r="I166" s="104" t="s">
        <v>58</v>
      </c>
      <c r="J166" s="77"/>
      <c r="K166" s="91" t="s">
        <v>59</v>
      </c>
      <c r="L166" s="92" t="s">
        <v>71</v>
      </c>
      <c r="M166" s="67"/>
      <c r="N166" s="67"/>
      <c r="O166" s="65"/>
      <c r="P166" s="92" t="s">
        <v>61</v>
      </c>
      <c r="Q166" s="65"/>
      <c r="R166" s="92"/>
      <c r="S166" s="65"/>
      <c r="T166" s="93" t="s">
        <v>72</v>
      </c>
      <c r="U166" s="93" t="s">
        <v>73</v>
      </c>
      <c r="V166" s="93"/>
      <c r="W166" s="94"/>
      <c r="X166" s="95"/>
      <c r="Y166" s="65"/>
      <c r="Z166" s="96" t="s">
        <v>74</v>
      </c>
      <c r="AA166" s="105" t="s">
        <v>75</v>
      </c>
      <c r="AB166" s="67"/>
      <c r="AC166" s="67"/>
      <c r="AD166" s="65"/>
      <c r="AE166" s="63"/>
      <c r="AF166" s="63"/>
      <c r="AG166" s="63"/>
      <c r="AH166" s="63"/>
      <c r="AI166" s="63"/>
      <c r="AJ166" s="63"/>
      <c r="AK166" s="63"/>
      <c r="AL166" s="63"/>
      <c r="AM166" s="63"/>
    </row>
    <row r="167" spans="1:39" ht="15.75" customHeight="1" x14ac:dyDescent="0.2">
      <c r="A167" s="20" t="s">
        <v>24</v>
      </c>
      <c r="B167" s="106"/>
      <c r="C167" s="106"/>
      <c r="D167" s="99"/>
      <c r="E167" s="100"/>
      <c r="F167" s="101"/>
      <c r="G167" s="98"/>
      <c r="H167" s="98"/>
      <c r="I167" s="99"/>
      <c r="J167" s="101"/>
      <c r="K167" s="98"/>
      <c r="L167" s="92" t="s">
        <v>76</v>
      </c>
      <c r="M167" s="67"/>
      <c r="N167" s="67"/>
      <c r="O167" s="65"/>
      <c r="P167" s="92" t="s">
        <v>61</v>
      </c>
      <c r="Q167" s="65"/>
      <c r="R167" s="92"/>
      <c r="S167" s="65"/>
      <c r="T167" s="93" t="s">
        <v>72</v>
      </c>
      <c r="U167" s="93" t="s">
        <v>73</v>
      </c>
      <c r="V167" s="93"/>
      <c r="W167" s="94"/>
      <c r="X167" s="95"/>
      <c r="Y167" s="65"/>
      <c r="Z167" s="96" t="s">
        <v>74</v>
      </c>
      <c r="AA167" s="105" t="s">
        <v>77</v>
      </c>
      <c r="AB167" s="67"/>
      <c r="AC167" s="67"/>
      <c r="AD167" s="65"/>
      <c r="AE167" s="63"/>
      <c r="AF167" s="63"/>
      <c r="AG167" s="63"/>
      <c r="AH167" s="63"/>
      <c r="AI167" s="63"/>
      <c r="AJ167" s="63"/>
      <c r="AK167" s="63"/>
      <c r="AL167" s="63"/>
      <c r="AM167" s="63"/>
    </row>
    <row r="168" spans="1:39" ht="15.75" customHeight="1" x14ac:dyDescent="0.2">
      <c r="A168" s="20"/>
      <c r="B168" s="61"/>
      <c r="C168" s="61"/>
      <c r="D168" s="61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61"/>
      <c r="R168" s="20"/>
      <c r="S168" s="20"/>
      <c r="T168" s="63"/>
      <c r="U168" s="20"/>
      <c r="V168" s="20"/>
      <c r="W168" s="20"/>
      <c r="X168" s="20"/>
      <c r="Y168" s="20"/>
      <c r="Z168" s="20"/>
      <c r="AA168" s="20"/>
      <c r="AB168" s="20"/>
      <c r="AC168" s="63"/>
      <c r="AD168" s="63"/>
      <c r="AE168" s="63"/>
      <c r="AF168" s="63"/>
      <c r="AG168" s="63"/>
      <c r="AH168" s="63"/>
      <c r="AI168" s="63"/>
      <c r="AJ168" s="63"/>
      <c r="AK168" s="63"/>
      <c r="AL168" s="63"/>
      <c r="AM168" s="63"/>
    </row>
    <row r="169" spans="1:39" ht="15.75" customHeight="1" x14ac:dyDescent="0.2">
      <c r="A169" s="131"/>
      <c r="B169" s="301" t="s">
        <v>213</v>
      </c>
      <c r="C169" s="195"/>
      <c r="D169" s="132"/>
      <c r="E169" s="132"/>
      <c r="F169" s="132"/>
      <c r="G169" s="133"/>
      <c r="H169" s="133"/>
      <c r="I169" s="133"/>
      <c r="J169" s="132"/>
      <c r="K169" s="132"/>
      <c r="L169" s="133"/>
      <c r="M169" s="133"/>
      <c r="N169" s="134"/>
      <c r="O169" s="133"/>
      <c r="P169" s="134"/>
      <c r="Q169" s="134"/>
      <c r="R169" s="133"/>
      <c r="S169" s="134"/>
      <c r="T169" s="133"/>
      <c r="U169" s="134"/>
      <c r="V169" s="133"/>
      <c r="W169" s="134"/>
      <c r="X169" s="133"/>
      <c r="Y169" s="134"/>
      <c r="Z169" s="133"/>
      <c r="AA169" s="134"/>
      <c r="AB169" s="133"/>
      <c r="AC169" s="133"/>
      <c r="AD169" s="63"/>
      <c r="AE169" s="63"/>
      <c r="AF169" s="63"/>
      <c r="AG169" s="63"/>
      <c r="AH169" s="63"/>
      <c r="AI169" s="63"/>
      <c r="AJ169" s="63"/>
      <c r="AK169" s="63"/>
      <c r="AL169" s="63"/>
      <c r="AM169" s="63"/>
    </row>
    <row r="170" spans="1:39" ht="15.75" customHeight="1" x14ac:dyDescent="0.2">
      <c r="AD170" s="63"/>
      <c r="AE170" s="63"/>
      <c r="AF170" s="63"/>
      <c r="AG170" s="63"/>
      <c r="AH170" s="63"/>
      <c r="AI170" s="63"/>
      <c r="AJ170" s="63"/>
      <c r="AK170" s="63"/>
      <c r="AL170" s="63"/>
      <c r="AM170" s="63"/>
    </row>
    <row r="171" spans="1:39" ht="23.25" customHeight="1" x14ac:dyDescent="0.2">
      <c r="A171" s="183" t="str">
        <f>IF('AB5'!A102="","",'AB5'!A102)</f>
        <v>E</v>
      </c>
      <c r="B171" s="2"/>
      <c r="C171" s="2"/>
      <c r="D171" s="184" t="s">
        <v>150</v>
      </c>
      <c r="E171" s="76"/>
      <c r="F171" s="77"/>
      <c r="G171" s="185" t="s">
        <v>214</v>
      </c>
      <c r="H171" s="306" t="s">
        <v>115</v>
      </c>
      <c r="I171" s="307"/>
      <c r="J171" s="308" t="s">
        <v>1</v>
      </c>
      <c r="K171" s="65"/>
      <c r="L171" s="185" t="s">
        <v>2</v>
      </c>
      <c r="M171" s="187" t="s">
        <v>3</v>
      </c>
      <c r="N171" s="185" t="s">
        <v>2</v>
      </c>
      <c r="O171" s="188" t="s">
        <v>4</v>
      </c>
      <c r="P171" s="185" t="s">
        <v>2</v>
      </c>
      <c r="Q171" s="186" t="s">
        <v>5</v>
      </c>
      <c r="R171" s="185" t="s">
        <v>2</v>
      </c>
      <c r="S171" s="187" t="s">
        <v>6</v>
      </c>
      <c r="T171" s="185" t="s">
        <v>2</v>
      </c>
      <c r="U171" s="188" t="s">
        <v>7</v>
      </c>
      <c r="V171" s="185" t="s">
        <v>2</v>
      </c>
      <c r="W171" s="188" t="s">
        <v>8</v>
      </c>
      <c r="X171" s="188" t="str">
        <f>IF('AB5'!X102="","",'AB5'!X102)</f>
        <v/>
      </c>
      <c r="Y171" s="185" t="str">
        <f>IF('AB5'!Y102="","",'AB5'!Y102)</f>
        <v/>
      </c>
      <c r="Z171" s="186" t="str">
        <f>IF('AB5'!Z102="","",'AB5'!Z102)</f>
        <v/>
      </c>
      <c r="AA171" s="185" t="str">
        <f>IF('AB5'!AA102="","",'AB5'!AA102)</f>
        <v/>
      </c>
      <c r="AB171" s="189"/>
      <c r="AC171" s="189"/>
      <c r="AD171" s="63"/>
      <c r="AE171" s="63"/>
      <c r="AF171" s="63"/>
      <c r="AG171" s="63"/>
      <c r="AH171" s="63"/>
      <c r="AI171" s="63"/>
      <c r="AJ171" s="63"/>
      <c r="AK171" s="63"/>
      <c r="AL171" s="63"/>
      <c r="AM171" s="63"/>
    </row>
    <row r="172" spans="1:39" ht="15.75" customHeight="1" x14ac:dyDescent="0.2">
      <c r="A172" s="11"/>
      <c r="B172" s="12"/>
      <c r="C172" s="12"/>
      <c r="D172" s="99"/>
      <c r="E172" s="100"/>
      <c r="F172" s="101"/>
      <c r="G172" s="98"/>
      <c r="H172" s="309"/>
      <c r="I172" s="310"/>
      <c r="J172" s="308" t="s">
        <v>9</v>
      </c>
      <c r="K172" s="65"/>
      <c r="L172" s="98"/>
      <c r="M172" s="187" t="s">
        <v>10</v>
      </c>
      <c r="N172" s="98"/>
      <c r="O172" s="188" t="s">
        <v>11</v>
      </c>
      <c r="P172" s="98"/>
      <c r="Q172" s="186" t="s">
        <v>12</v>
      </c>
      <c r="R172" s="98"/>
      <c r="S172" s="187" t="s">
        <v>13</v>
      </c>
      <c r="T172" s="98"/>
      <c r="U172" s="188" t="s">
        <v>14</v>
      </c>
      <c r="V172" s="98"/>
      <c r="W172" s="188" t="s">
        <v>15</v>
      </c>
      <c r="X172" s="188" t="str">
        <f>IF('AB5'!X103="","",'AB5'!X103)</f>
        <v/>
      </c>
      <c r="Y172" s="98"/>
      <c r="Z172" s="186" t="str">
        <f>IF('AB5'!Z103="","",'AB5'!Z103)</f>
        <v/>
      </c>
      <c r="AA172" s="98"/>
      <c r="AB172" s="189"/>
      <c r="AC172" s="189"/>
      <c r="AD172" s="63"/>
      <c r="AE172" s="63"/>
      <c r="AF172" s="63"/>
      <c r="AG172" s="63"/>
      <c r="AH172" s="63"/>
      <c r="AI172" s="63"/>
      <c r="AJ172" s="63"/>
      <c r="AK172" s="63"/>
      <c r="AL172" s="63"/>
      <c r="AM172" s="63"/>
    </row>
    <row r="173" spans="1:39" ht="12.75" customHeight="1" thickBot="1" x14ac:dyDescent="0.25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63"/>
      <c r="AE173" s="63"/>
      <c r="AF173" s="63"/>
      <c r="AG173" s="63"/>
      <c r="AH173" s="63"/>
      <c r="AI173" s="63"/>
      <c r="AJ173" s="63"/>
      <c r="AK173" s="63"/>
      <c r="AL173" s="63"/>
      <c r="AM173" s="63"/>
    </row>
    <row r="174" spans="1:39" ht="15.75" customHeight="1" thickBot="1" x14ac:dyDescent="0.25">
      <c r="A174" s="190" t="str">
        <f>IF(C174="","",CONCATENATE(C175,'AB5'!$A$4))</f>
        <v>S1A</v>
      </c>
      <c r="B174" s="22" t="str">
        <f>IF(C174="","",IF('AB5'!$B$4="","",'AB5'!$B$4))</f>
        <v>Sr. No.</v>
      </c>
      <c r="C174" s="23">
        <v>1</v>
      </c>
      <c r="D174" s="191" t="s">
        <v>122</v>
      </c>
      <c r="E174" s="123"/>
      <c r="F174" s="124"/>
      <c r="G174" s="311" t="s">
        <v>215</v>
      </c>
      <c r="H174" s="312" t="s">
        <v>122</v>
      </c>
      <c r="I174" s="313" t="s">
        <v>20</v>
      </c>
      <c r="J174" s="191" t="s">
        <v>216</v>
      </c>
      <c r="K174" s="124"/>
      <c r="L174" s="314">
        <v>2</v>
      </c>
      <c r="M174" s="38" t="s">
        <v>216</v>
      </c>
      <c r="N174" s="192">
        <v>1</v>
      </c>
      <c r="O174" s="38" t="s">
        <v>56</v>
      </c>
      <c r="P174" s="38" t="s">
        <v>56</v>
      </c>
      <c r="Q174" s="38" t="s">
        <v>56</v>
      </c>
      <c r="R174" s="38" t="s">
        <v>56</v>
      </c>
      <c r="S174" s="38" t="s">
        <v>56</v>
      </c>
      <c r="T174" s="38" t="s">
        <v>56</v>
      </c>
      <c r="U174" s="38" t="s">
        <v>56</v>
      </c>
      <c r="V174" s="38" t="s">
        <v>56</v>
      </c>
      <c r="W174" s="38" t="s">
        <v>56</v>
      </c>
      <c r="X174" s="38" t="s">
        <v>56</v>
      </c>
      <c r="Y174" s="38" t="s">
        <v>56</v>
      </c>
      <c r="Z174" s="38" t="s">
        <v>56</v>
      </c>
      <c r="AA174" s="38" t="s">
        <v>56</v>
      </c>
      <c r="AB174" s="194"/>
      <c r="AC174" s="194"/>
      <c r="AD174" s="63"/>
      <c r="AE174" s="63"/>
      <c r="AF174" s="63"/>
      <c r="AG174" s="63"/>
      <c r="AH174" s="63"/>
      <c r="AI174" s="63"/>
      <c r="AJ174" s="63"/>
      <c r="AK174" s="63"/>
      <c r="AL174" s="63"/>
      <c r="AM174" s="63"/>
    </row>
    <row r="175" spans="1:39" ht="15.75" customHeight="1" thickBot="1" x14ac:dyDescent="0.25">
      <c r="A175" s="190" t="str">
        <f>IF(C174="","",CONCATENATE(C175,'AB5'!$A$5))</f>
        <v>S1A</v>
      </c>
      <c r="B175" s="33" t="str">
        <f>IF(C174="","",IF('AB5'!$B$5="","",'AB5'!$B$5))</f>
        <v>Strategy Code</v>
      </c>
      <c r="C175" s="34" t="str">
        <f>IF(C174="","",VLOOKUP(C174,[1]AB2!A:X,2,FALSE))</f>
        <v>S1</v>
      </c>
      <c r="D175" s="195"/>
      <c r="E175" s="87"/>
      <c r="F175" s="35"/>
      <c r="G175" s="145"/>
      <c r="H175" s="48"/>
      <c r="I175" s="86"/>
      <c r="J175" s="195"/>
      <c r="K175" s="35"/>
      <c r="L175" s="195"/>
      <c r="M175" s="38" t="s">
        <v>216</v>
      </c>
      <c r="N175" s="196">
        <v>1</v>
      </c>
      <c r="O175" s="38" t="s">
        <v>56</v>
      </c>
      <c r="P175" s="38" t="s">
        <v>56</v>
      </c>
      <c r="Q175" s="38" t="s">
        <v>56</v>
      </c>
      <c r="R175" s="38" t="s">
        <v>56</v>
      </c>
      <c r="S175" s="38" t="s">
        <v>56</v>
      </c>
      <c r="T175" s="38" t="s">
        <v>56</v>
      </c>
      <c r="U175" s="38" t="s">
        <v>56</v>
      </c>
      <c r="V175" s="38" t="s">
        <v>56</v>
      </c>
      <c r="W175" s="38" t="s">
        <v>56</v>
      </c>
      <c r="X175" s="38" t="s">
        <v>56</v>
      </c>
      <c r="Y175" s="38" t="s">
        <v>56</v>
      </c>
      <c r="Z175" s="38" t="s">
        <v>56</v>
      </c>
      <c r="AA175" s="38" t="s">
        <v>56</v>
      </c>
      <c r="AB175" s="194"/>
      <c r="AC175" s="194"/>
      <c r="AD175" s="63"/>
      <c r="AE175" s="63"/>
      <c r="AF175" s="63"/>
      <c r="AG175" s="63"/>
      <c r="AH175" s="63"/>
      <c r="AI175" s="63"/>
      <c r="AJ175" s="63"/>
      <c r="AK175" s="63"/>
      <c r="AL175" s="63"/>
      <c r="AM175" s="63"/>
    </row>
    <row r="176" spans="1:39" ht="6" customHeight="1" thickBot="1" x14ac:dyDescent="0.25">
      <c r="A176" s="190" t="str">
        <f>IF(C174="","",CONCATENATE(C175,'AB5'!A52))</f>
        <v>S1B</v>
      </c>
      <c r="B176" s="43" t="str">
        <f>IF(C174="","",IF('AB5'!$B$6="","",'AB5'!$B$6))</f>
        <v>Unique Code</v>
      </c>
      <c r="C176" s="44" t="str">
        <f>IF(C174="","",VLOOKUP(C174,[1]AB2!A:X,12,FALSE))</f>
        <v>2D</v>
      </c>
      <c r="D176" s="195"/>
      <c r="E176" s="87"/>
      <c r="F176" s="35"/>
      <c r="G176" s="45"/>
      <c r="H176" s="48"/>
      <c r="I176" s="86"/>
      <c r="J176" s="195"/>
      <c r="K176" s="35"/>
      <c r="L176" s="19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194"/>
      <c r="AC176" s="194"/>
      <c r="AD176" s="63"/>
      <c r="AE176" s="63"/>
      <c r="AF176" s="63"/>
      <c r="AG176" s="63"/>
      <c r="AH176" s="63"/>
      <c r="AI176" s="63"/>
      <c r="AJ176" s="63"/>
      <c r="AK176" s="63"/>
      <c r="AL176" s="63"/>
      <c r="AM176" s="63"/>
    </row>
    <row r="177" spans="1:39" ht="15.75" customHeight="1" thickBot="1" x14ac:dyDescent="0.25">
      <c r="A177" s="190" t="str">
        <f>IF(C174="","",CONCATENATE(C175,'AB5'!$A$7))</f>
        <v>S1B</v>
      </c>
      <c r="B177" s="48"/>
      <c r="C177" s="49"/>
      <c r="D177" s="195"/>
      <c r="E177" s="87"/>
      <c r="F177" s="35"/>
      <c r="G177" s="311" t="s">
        <v>217</v>
      </c>
      <c r="H177" s="48"/>
      <c r="I177" s="315" t="s">
        <v>22</v>
      </c>
      <c r="J177" s="191" t="s">
        <v>216</v>
      </c>
      <c r="K177" s="124"/>
      <c r="L177" s="316">
        <v>2</v>
      </c>
      <c r="M177" s="28" t="s">
        <v>175</v>
      </c>
      <c r="N177" s="192">
        <v>1</v>
      </c>
      <c r="O177" s="38" t="s">
        <v>56</v>
      </c>
      <c r="P177" s="38" t="s">
        <v>56</v>
      </c>
      <c r="Q177" s="38" t="s">
        <v>56</v>
      </c>
      <c r="R177" s="38" t="s">
        <v>56</v>
      </c>
      <c r="S177" s="38" t="s">
        <v>56</v>
      </c>
      <c r="T177" s="38" t="s">
        <v>56</v>
      </c>
      <c r="U177" s="38" t="s">
        <v>56</v>
      </c>
      <c r="V177" s="38" t="s">
        <v>56</v>
      </c>
      <c r="W177" s="38" t="s">
        <v>56</v>
      </c>
      <c r="X177" s="38" t="s">
        <v>56</v>
      </c>
      <c r="Y177" s="38" t="s">
        <v>56</v>
      </c>
      <c r="Z177" s="38" t="s">
        <v>56</v>
      </c>
      <c r="AA177" s="38" t="s">
        <v>56</v>
      </c>
      <c r="AB177" s="194"/>
      <c r="AC177" s="194"/>
      <c r="AD177" s="63"/>
      <c r="AE177" s="63"/>
      <c r="AF177" s="63"/>
      <c r="AG177" s="63"/>
      <c r="AH177" s="63"/>
      <c r="AI177" s="63"/>
      <c r="AJ177" s="63"/>
      <c r="AK177" s="63"/>
      <c r="AL177" s="63"/>
      <c r="AM177" s="63"/>
    </row>
    <row r="178" spans="1:39" ht="15.75" customHeight="1" thickBot="1" x14ac:dyDescent="0.25">
      <c r="A178" s="190" t="str">
        <f>IF(C174="","",CONCATENATE(C175,'AB5'!$A$8))</f>
        <v>S1B</v>
      </c>
      <c r="B178" s="52"/>
      <c r="C178" s="53"/>
      <c r="D178" s="182"/>
      <c r="E178" s="182"/>
      <c r="F178" s="54"/>
      <c r="G178" s="145"/>
      <c r="H178" s="143"/>
      <c r="I178" s="146"/>
      <c r="J178" s="182"/>
      <c r="K178" s="54"/>
      <c r="L178" s="147"/>
      <c r="M178" s="38" t="s">
        <v>216</v>
      </c>
      <c r="N178" s="196">
        <v>1</v>
      </c>
      <c r="O178" s="38" t="s">
        <v>56</v>
      </c>
      <c r="P178" s="38" t="s">
        <v>56</v>
      </c>
      <c r="Q178" s="38" t="s">
        <v>56</v>
      </c>
      <c r="R178" s="38" t="s">
        <v>56</v>
      </c>
      <c r="S178" s="38" t="s">
        <v>56</v>
      </c>
      <c r="T178" s="38" t="s">
        <v>56</v>
      </c>
      <c r="U178" s="38" t="s">
        <v>56</v>
      </c>
      <c r="V178" s="38" t="s">
        <v>56</v>
      </c>
      <c r="W178" s="38" t="s">
        <v>56</v>
      </c>
      <c r="X178" s="38" t="s">
        <v>56</v>
      </c>
      <c r="Y178" s="38" t="s">
        <v>56</v>
      </c>
      <c r="Z178" s="38" t="s">
        <v>56</v>
      </c>
      <c r="AA178" s="38" t="s">
        <v>56</v>
      </c>
      <c r="AB178" s="194"/>
      <c r="AC178" s="194"/>
      <c r="AD178" s="63"/>
      <c r="AE178" s="63"/>
      <c r="AF178" s="63"/>
      <c r="AG178" s="63"/>
      <c r="AH178" s="63"/>
      <c r="AI178" s="63"/>
      <c r="AJ178" s="63"/>
      <c r="AK178" s="63"/>
      <c r="AL178" s="63"/>
      <c r="AM178" s="63"/>
    </row>
    <row r="179" spans="1:39" ht="15.75" customHeight="1" thickBot="1" x14ac:dyDescent="0.25">
      <c r="A179" s="190" t="str">
        <f>IF(C174="","",CONCATENATE(C175,'AB5'!$A$9))</f>
        <v>S1C</v>
      </c>
      <c r="B179" s="33" t="str">
        <f>IF(C174="","",IF('AB5'!$B$9="","",'AB5'!$B$9))</f>
        <v>Segment</v>
      </c>
      <c r="C179" s="34">
        <f>IF(C174="","",VLOOKUP(C174,[1]AB2!A:X,21,FALSE))</f>
        <v>2.5000000000000001E-3</v>
      </c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  <c r="AB179" s="194"/>
      <c r="AC179" s="194"/>
      <c r="AD179" s="63"/>
      <c r="AE179" s="63"/>
      <c r="AF179" s="63"/>
      <c r="AG179" s="63"/>
      <c r="AH179" s="63"/>
      <c r="AI179" s="63"/>
      <c r="AJ179" s="63"/>
      <c r="AK179" s="63"/>
      <c r="AL179" s="63"/>
      <c r="AM179" s="63"/>
    </row>
    <row r="180" spans="1:39" ht="15.75" customHeight="1" thickBot="1" x14ac:dyDescent="0.25">
      <c r="A180" s="190" t="str">
        <f>IF(C174="","",CONCATENATE(C175,'AB5'!$A$10))</f>
        <v>S1D</v>
      </c>
      <c r="B180" s="33" t="str">
        <f>IF(C174="","",IF('AB5'!$B$10="","",'AB5'!$B$10))</f>
        <v>Symbol</v>
      </c>
      <c r="C180" s="34" t="str">
        <f>IF(C174="","",VLOOKUP(C174,[1]AB2!A:X,22,FALSE))</f>
        <v>Monthly : NEAR</v>
      </c>
      <c r="D180" s="198" t="s">
        <v>127</v>
      </c>
      <c r="E180" s="123"/>
      <c r="F180" s="124"/>
      <c r="G180" s="28" t="s">
        <v>56</v>
      </c>
      <c r="H180" s="56" t="s">
        <v>127</v>
      </c>
      <c r="I180" s="313" t="s">
        <v>20</v>
      </c>
      <c r="J180" s="191" t="s">
        <v>216</v>
      </c>
      <c r="K180" s="124"/>
      <c r="L180" s="314">
        <v>2</v>
      </c>
      <c r="M180" s="38" t="s">
        <v>218</v>
      </c>
      <c r="N180" s="192">
        <v>1</v>
      </c>
      <c r="O180" s="38" t="s">
        <v>56</v>
      </c>
      <c r="P180" s="38" t="s">
        <v>56</v>
      </c>
      <c r="Q180" s="38" t="s">
        <v>56</v>
      </c>
      <c r="R180" s="38" t="s">
        <v>56</v>
      </c>
      <c r="S180" s="38" t="s">
        <v>56</v>
      </c>
      <c r="T180" s="38" t="s">
        <v>56</v>
      </c>
      <c r="U180" s="38" t="s">
        <v>56</v>
      </c>
      <c r="V180" s="38" t="s">
        <v>56</v>
      </c>
      <c r="W180" s="38" t="s">
        <v>56</v>
      </c>
      <c r="X180" s="38" t="s">
        <v>56</v>
      </c>
      <c r="Y180" s="38" t="s">
        <v>56</v>
      </c>
      <c r="Z180" s="38" t="s">
        <v>56</v>
      </c>
      <c r="AA180" s="38" t="s">
        <v>56</v>
      </c>
      <c r="AB180" s="194"/>
      <c r="AC180" s="194"/>
      <c r="AD180" s="63"/>
      <c r="AE180" s="63"/>
      <c r="AF180" s="63"/>
      <c r="AG180" s="63"/>
      <c r="AH180" s="63"/>
      <c r="AI180" s="63"/>
      <c r="AJ180" s="63"/>
      <c r="AK180" s="63"/>
      <c r="AL180" s="63"/>
      <c r="AM180" s="63"/>
    </row>
    <row r="181" spans="1:39" ht="15.75" customHeight="1" thickBot="1" x14ac:dyDescent="0.25">
      <c r="A181" s="190" t="str">
        <f>IF(C174="","",CONCATENATE(C175,'AB5'!$A$11))</f>
        <v>S1D</v>
      </c>
      <c r="B181" s="33" t="str">
        <f>IF(C174="","",IF('AB5'!$B$11="","",'AB5'!$B$11))</f>
        <v>No. of TGT</v>
      </c>
      <c r="C181" s="34" t="str">
        <f>IF(C174="","",VLOOKUP(C174,[1]AB2!A:X,11,FALSE))</f>
        <v>4 &amp; APS</v>
      </c>
      <c r="D181" s="195"/>
      <c r="E181" s="87"/>
      <c r="F181" s="35"/>
      <c r="G181" s="38" t="s">
        <v>56</v>
      </c>
      <c r="H181" s="35"/>
      <c r="I181" s="86"/>
      <c r="J181" s="195"/>
      <c r="K181" s="35"/>
      <c r="L181" s="195"/>
      <c r="M181" s="38" t="s">
        <v>218</v>
      </c>
      <c r="N181" s="196">
        <v>1</v>
      </c>
      <c r="O181" s="38" t="s">
        <v>56</v>
      </c>
      <c r="P181" s="38" t="s">
        <v>56</v>
      </c>
      <c r="Q181" s="38" t="s">
        <v>56</v>
      </c>
      <c r="R181" s="38" t="s">
        <v>56</v>
      </c>
      <c r="S181" s="38" t="s">
        <v>56</v>
      </c>
      <c r="T181" s="38" t="s">
        <v>56</v>
      </c>
      <c r="U181" s="38" t="s">
        <v>56</v>
      </c>
      <c r="V181" s="38" t="s">
        <v>56</v>
      </c>
      <c r="W181" s="38" t="s">
        <v>56</v>
      </c>
      <c r="X181" s="38" t="s">
        <v>56</v>
      </c>
      <c r="Y181" s="38" t="s">
        <v>56</v>
      </c>
      <c r="Z181" s="38" t="s">
        <v>56</v>
      </c>
      <c r="AA181" s="38" t="s">
        <v>56</v>
      </c>
      <c r="AB181" s="194"/>
      <c r="AC181" s="194"/>
      <c r="AD181" s="63"/>
      <c r="AE181" s="63"/>
      <c r="AF181" s="63"/>
      <c r="AG181" s="63"/>
      <c r="AH181" s="63"/>
      <c r="AI181" s="63"/>
      <c r="AJ181" s="63"/>
      <c r="AK181" s="63"/>
      <c r="AL181" s="63"/>
      <c r="AM181" s="63"/>
    </row>
    <row r="182" spans="1:39" ht="6" customHeight="1" thickBot="1" x14ac:dyDescent="0.25">
      <c r="A182" s="190" t="str">
        <f>IF(C174="","",CONCATENATE(C175,'AB5'!A58))</f>
        <v>S1</v>
      </c>
      <c r="B182" s="57" t="s">
        <v>192</v>
      </c>
      <c r="C182" s="58"/>
      <c r="D182" s="195"/>
      <c r="E182" s="87"/>
      <c r="F182" s="35"/>
      <c r="G182" s="45"/>
      <c r="H182" s="35"/>
      <c r="I182" s="86"/>
      <c r="J182" s="317"/>
      <c r="K182" s="318"/>
      <c r="L182" s="19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194"/>
      <c r="AC182" s="194"/>
      <c r="AD182" s="63"/>
      <c r="AE182" s="63"/>
      <c r="AF182" s="63"/>
      <c r="AG182" s="63"/>
      <c r="AH182" s="63"/>
      <c r="AI182" s="63"/>
      <c r="AJ182" s="63"/>
      <c r="AK182" s="63"/>
      <c r="AL182" s="63"/>
      <c r="AM182" s="63"/>
    </row>
    <row r="183" spans="1:39" ht="15.75" customHeight="1" thickBot="1" x14ac:dyDescent="0.25">
      <c r="A183" s="190" t="str">
        <f>IF(C174="","",CONCATENATE(C175,'AB5'!$A$13))</f>
        <v>S1E</v>
      </c>
      <c r="B183" s="59"/>
      <c r="C183" s="35"/>
      <c r="D183" s="195"/>
      <c r="E183" s="87"/>
      <c r="F183" s="35"/>
      <c r="G183" s="28" t="s">
        <v>123</v>
      </c>
      <c r="H183" s="35"/>
      <c r="I183" s="315" t="s">
        <v>22</v>
      </c>
      <c r="J183" s="191" t="s">
        <v>216</v>
      </c>
      <c r="K183" s="124"/>
      <c r="L183" s="316">
        <v>2</v>
      </c>
      <c r="M183" s="38" t="s">
        <v>218</v>
      </c>
      <c r="N183" s="192">
        <v>1</v>
      </c>
      <c r="O183" s="38" t="s">
        <v>56</v>
      </c>
      <c r="P183" s="38" t="s">
        <v>56</v>
      </c>
      <c r="Q183" s="38" t="s">
        <v>56</v>
      </c>
      <c r="R183" s="38" t="s">
        <v>56</v>
      </c>
      <c r="S183" s="38" t="s">
        <v>56</v>
      </c>
      <c r="T183" s="38" t="s">
        <v>56</v>
      </c>
      <c r="U183" s="38" t="s">
        <v>56</v>
      </c>
      <c r="V183" s="38" t="s">
        <v>56</v>
      </c>
      <c r="W183" s="38" t="s">
        <v>56</v>
      </c>
      <c r="X183" s="38" t="s">
        <v>56</v>
      </c>
      <c r="Y183" s="38" t="s">
        <v>56</v>
      </c>
      <c r="Z183" s="38" t="s">
        <v>56</v>
      </c>
      <c r="AA183" s="38" t="s">
        <v>56</v>
      </c>
      <c r="AB183" s="194"/>
      <c r="AC183" s="194"/>
      <c r="AD183" s="63"/>
      <c r="AE183" s="63"/>
      <c r="AF183" s="63"/>
      <c r="AG183" s="63"/>
      <c r="AH183" s="63"/>
      <c r="AI183" s="63"/>
      <c r="AJ183" s="63"/>
      <c r="AK183" s="63"/>
      <c r="AL183" s="63"/>
      <c r="AM183" s="63"/>
    </row>
    <row r="184" spans="1:39" ht="15.75" customHeight="1" thickBot="1" x14ac:dyDescent="0.25">
      <c r="A184" s="190" t="str">
        <f>IF(C174="","",CONCATENATE(C175,'AB5'!$A$14))</f>
        <v>S1E</v>
      </c>
      <c r="B184" s="36"/>
      <c r="C184" s="54"/>
      <c r="D184" s="182"/>
      <c r="E184" s="182"/>
      <c r="F184" s="54"/>
      <c r="G184" s="38" t="s">
        <v>193</v>
      </c>
      <c r="H184" s="54"/>
      <c r="I184" s="146"/>
      <c r="J184" s="182"/>
      <c r="K184" s="54"/>
      <c r="L184" s="147"/>
      <c r="M184" s="38" t="s">
        <v>218</v>
      </c>
      <c r="N184" s="196">
        <v>1</v>
      </c>
      <c r="O184" s="38" t="s">
        <v>56</v>
      </c>
      <c r="P184" s="38" t="s">
        <v>56</v>
      </c>
      <c r="Q184" s="38" t="s">
        <v>56</v>
      </c>
      <c r="R184" s="38" t="s">
        <v>56</v>
      </c>
      <c r="S184" s="38" t="s">
        <v>56</v>
      </c>
      <c r="T184" s="38" t="s">
        <v>56</v>
      </c>
      <c r="U184" s="38" t="s">
        <v>56</v>
      </c>
      <c r="V184" s="38" t="s">
        <v>56</v>
      </c>
      <c r="W184" s="38" t="s">
        <v>56</v>
      </c>
      <c r="X184" s="38" t="s">
        <v>56</v>
      </c>
      <c r="Y184" s="38" t="s">
        <v>56</v>
      </c>
      <c r="Z184" s="38" t="s">
        <v>56</v>
      </c>
      <c r="AA184" s="38" t="s">
        <v>56</v>
      </c>
      <c r="AB184" s="194"/>
      <c r="AC184" s="194"/>
      <c r="AD184" s="63"/>
      <c r="AE184" s="63"/>
      <c r="AF184" s="63"/>
      <c r="AG184" s="63"/>
      <c r="AH184" s="63"/>
      <c r="AI184" s="63"/>
      <c r="AJ184" s="63"/>
      <c r="AK184" s="63"/>
      <c r="AL184" s="63"/>
      <c r="AM184" s="63"/>
    </row>
    <row r="185" spans="1:39" ht="15.75" customHeight="1" thickBot="1" x14ac:dyDescent="0.25">
      <c r="A185" s="190"/>
      <c r="B185" s="55"/>
      <c r="C185" s="55"/>
      <c r="D185" s="55"/>
      <c r="E185" s="55"/>
      <c r="F185" s="55"/>
      <c r="G185" s="55"/>
      <c r="H185" s="55"/>
      <c r="I185" s="55"/>
      <c r="J185" s="55"/>
      <c r="K185" s="190"/>
      <c r="L185" s="199"/>
      <c r="M185" s="199"/>
      <c r="N185" s="199"/>
      <c r="O185" s="199"/>
      <c r="P185" s="199"/>
      <c r="Q185" s="199"/>
      <c r="R185" s="199"/>
      <c r="S185" s="199"/>
      <c r="T185" s="199"/>
      <c r="U185" s="199"/>
      <c r="V185" s="199"/>
      <c r="W185" s="199"/>
      <c r="X185" s="199"/>
      <c r="Y185" s="199"/>
      <c r="Z185" s="199"/>
      <c r="AA185" s="190"/>
      <c r="AB185" s="200"/>
      <c r="AC185" s="200"/>
      <c r="AD185" s="63"/>
      <c r="AE185" s="63"/>
      <c r="AF185" s="63"/>
      <c r="AG185" s="63"/>
      <c r="AH185" s="63"/>
      <c r="AI185" s="63"/>
      <c r="AJ185" s="63"/>
      <c r="AK185" s="63"/>
      <c r="AL185" s="63"/>
      <c r="AM185" s="63"/>
    </row>
    <row r="186" spans="1:39" ht="39.75" customHeight="1" x14ac:dyDescent="0.2">
      <c r="A186" s="190"/>
      <c r="B186" s="201" t="s">
        <v>34</v>
      </c>
      <c r="C186" s="32"/>
      <c r="D186" s="202" t="s">
        <v>35</v>
      </c>
      <c r="E186" s="203" t="s">
        <v>36</v>
      </c>
      <c r="F186" s="123"/>
      <c r="G186" s="204" t="s">
        <v>128</v>
      </c>
      <c r="H186" s="205" t="s">
        <v>38</v>
      </c>
      <c r="I186" s="206" t="s">
        <v>39</v>
      </c>
      <c r="J186" s="207" t="s">
        <v>40</v>
      </c>
      <c r="K186" s="123"/>
      <c r="L186" s="208" t="s">
        <v>41</v>
      </c>
      <c r="M186" s="206" t="s">
        <v>219</v>
      </c>
      <c r="N186" s="204" t="s">
        <v>130</v>
      </c>
      <c r="O186" s="206" t="s">
        <v>131</v>
      </c>
      <c r="P186" s="207" t="s">
        <v>194</v>
      </c>
      <c r="Q186" s="123"/>
      <c r="R186" s="123"/>
      <c r="S186" s="205" t="s">
        <v>43</v>
      </c>
      <c r="T186" s="207" t="s">
        <v>133</v>
      </c>
      <c r="U186" s="123"/>
      <c r="V186" s="204" t="s">
        <v>134</v>
      </c>
      <c r="W186" s="204" t="s">
        <v>135</v>
      </c>
      <c r="X186" s="209" t="s">
        <v>136</v>
      </c>
      <c r="Y186" s="123"/>
      <c r="Z186" s="206" t="s">
        <v>43</v>
      </c>
      <c r="AA186" s="204" t="s">
        <v>44</v>
      </c>
      <c r="AB186" s="60"/>
      <c r="AC186" s="60"/>
      <c r="AD186" s="63"/>
      <c r="AE186" s="63"/>
      <c r="AF186" s="63"/>
      <c r="AG186" s="63"/>
      <c r="AH186" s="63"/>
      <c r="AI186" s="63"/>
      <c r="AJ186" s="63"/>
      <c r="AK186" s="63"/>
      <c r="AL186" s="63"/>
      <c r="AM186" s="63"/>
    </row>
    <row r="187" spans="1:39" ht="15.75" customHeight="1" x14ac:dyDescent="0.2">
      <c r="A187" s="190" t="s">
        <v>137</v>
      </c>
      <c r="B187" s="210" t="s">
        <v>47</v>
      </c>
      <c r="C187" s="211" t="s">
        <v>48</v>
      </c>
      <c r="D187" s="212" t="s">
        <v>195</v>
      </c>
      <c r="E187" s="78" t="s">
        <v>81</v>
      </c>
      <c r="F187" s="78" t="s">
        <v>196</v>
      </c>
      <c r="G187" s="213" t="s">
        <v>52</v>
      </c>
      <c r="H187" s="214" t="s">
        <v>53</v>
      </c>
      <c r="I187" s="215" t="s">
        <v>54</v>
      </c>
      <c r="J187" s="216" t="s">
        <v>55</v>
      </c>
      <c r="K187" s="65"/>
      <c r="L187" s="214"/>
      <c r="M187" s="215" t="s">
        <v>56</v>
      </c>
      <c r="N187" s="217" t="s">
        <v>56</v>
      </c>
      <c r="O187" s="215" t="s">
        <v>56</v>
      </c>
      <c r="P187" s="218" t="s">
        <v>56</v>
      </c>
      <c r="Q187" s="67"/>
      <c r="R187" s="67"/>
      <c r="S187" s="319" t="s">
        <v>56</v>
      </c>
      <c r="T187" s="218" t="s">
        <v>56</v>
      </c>
      <c r="U187" s="67"/>
      <c r="V187" s="319" t="s">
        <v>56</v>
      </c>
      <c r="W187" s="319" t="s">
        <v>56</v>
      </c>
      <c r="X187" s="219" t="s">
        <v>56</v>
      </c>
      <c r="Y187" s="65"/>
      <c r="Z187" s="215" t="s">
        <v>56</v>
      </c>
      <c r="AA187" s="217" t="s">
        <v>56</v>
      </c>
      <c r="AB187" s="60"/>
      <c r="AC187" s="60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</row>
    <row r="188" spans="1:39" ht="27.75" customHeight="1" thickBot="1" x14ac:dyDescent="0.25">
      <c r="A188" s="190" t="s">
        <v>140</v>
      </c>
      <c r="B188" s="220"/>
      <c r="C188" s="221"/>
      <c r="D188" s="59"/>
      <c r="E188" s="89"/>
      <c r="F188" s="89"/>
      <c r="G188" s="222" t="s">
        <v>58</v>
      </c>
      <c r="H188" s="223" t="s">
        <v>59</v>
      </c>
      <c r="I188" s="215" t="s">
        <v>197</v>
      </c>
      <c r="J188" s="216" t="s">
        <v>61</v>
      </c>
      <c r="K188" s="67"/>
      <c r="L188" s="214"/>
      <c r="M188" s="215" t="s">
        <v>148</v>
      </c>
      <c r="N188" s="224"/>
      <c r="O188" s="215" t="s">
        <v>148</v>
      </c>
      <c r="P188" s="218" t="s">
        <v>56</v>
      </c>
      <c r="Q188" s="67"/>
      <c r="R188" s="67"/>
      <c r="S188" s="226" t="s">
        <v>63</v>
      </c>
      <c r="T188" s="218" t="s">
        <v>56</v>
      </c>
      <c r="U188" s="67"/>
      <c r="V188" s="319" t="s">
        <v>56</v>
      </c>
      <c r="W188" s="319" t="s">
        <v>56</v>
      </c>
      <c r="X188" s="219" t="s">
        <v>148</v>
      </c>
      <c r="Y188" s="65"/>
      <c r="Z188" s="227" t="s">
        <v>63</v>
      </c>
      <c r="AA188" s="320">
        <v>0.1</v>
      </c>
      <c r="AB188" s="60"/>
      <c r="AC188" s="60"/>
      <c r="AD188" s="63"/>
      <c r="AE188" s="63"/>
      <c r="AF188" s="63"/>
      <c r="AG188" s="63"/>
      <c r="AH188" s="63"/>
      <c r="AI188" s="63"/>
      <c r="AJ188" s="63"/>
      <c r="AK188" s="63"/>
      <c r="AL188" s="63"/>
      <c r="AM188" s="63"/>
    </row>
    <row r="189" spans="1:39" ht="15.75" customHeight="1" thickBot="1" x14ac:dyDescent="0.25">
      <c r="A189" s="190"/>
      <c r="B189" s="55"/>
      <c r="C189" s="55"/>
      <c r="D189" s="228"/>
      <c r="E189" s="98"/>
      <c r="F189" s="98"/>
      <c r="G189" s="99"/>
      <c r="H189" s="98"/>
      <c r="I189" s="215" t="s">
        <v>198</v>
      </c>
      <c r="J189" s="216" t="s">
        <v>61</v>
      </c>
      <c r="K189" s="67"/>
      <c r="L189" s="214"/>
      <c r="M189" s="215" t="s">
        <v>148</v>
      </c>
      <c r="N189" s="224"/>
      <c r="O189" s="215" t="s">
        <v>148</v>
      </c>
      <c r="P189" s="218" t="s">
        <v>56</v>
      </c>
      <c r="Q189" s="67"/>
      <c r="R189" s="67"/>
      <c r="S189" s="226" t="s">
        <v>63</v>
      </c>
      <c r="T189" s="218" t="s">
        <v>56</v>
      </c>
      <c r="U189" s="67"/>
      <c r="V189" s="319" t="s">
        <v>56</v>
      </c>
      <c r="W189" s="319" t="s">
        <v>56</v>
      </c>
      <c r="X189" s="219" t="s">
        <v>148</v>
      </c>
      <c r="Y189" s="65"/>
      <c r="Z189" s="227" t="s">
        <v>63</v>
      </c>
      <c r="AA189" s="320">
        <v>0.1</v>
      </c>
      <c r="AB189" s="60"/>
      <c r="AC189" s="60"/>
      <c r="AD189" s="63"/>
      <c r="AE189" s="63"/>
      <c r="AF189" s="63"/>
      <c r="AG189" s="63"/>
      <c r="AH189" s="63"/>
      <c r="AI189" s="63"/>
      <c r="AJ189" s="63"/>
      <c r="AK189" s="63"/>
      <c r="AL189" s="63"/>
      <c r="AM189" s="63"/>
    </row>
    <row r="190" spans="1:39" ht="15.75" customHeight="1" x14ac:dyDescent="0.2">
      <c r="A190" s="190"/>
      <c r="B190" s="201" t="s">
        <v>68</v>
      </c>
      <c r="C190" s="32"/>
      <c r="D190" s="229" t="s">
        <v>199</v>
      </c>
      <c r="E190" s="78" t="s">
        <v>81</v>
      </c>
      <c r="F190" s="78" t="s">
        <v>200</v>
      </c>
      <c r="G190" s="230" t="s">
        <v>52</v>
      </c>
      <c r="H190" s="231" t="s">
        <v>53</v>
      </c>
      <c r="I190" s="232" t="s">
        <v>54</v>
      </c>
      <c r="J190" s="233" t="s">
        <v>55</v>
      </c>
      <c r="K190" s="65"/>
      <c r="L190" s="234"/>
      <c r="M190" s="232" t="s">
        <v>56</v>
      </c>
      <c r="N190" s="235" t="s">
        <v>56</v>
      </c>
      <c r="O190" s="232" t="s">
        <v>56</v>
      </c>
      <c r="P190" s="236" t="s">
        <v>56</v>
      </c>
      <c r="Q190" s="67"/>
      <c r="R190" s="67"/>
      <c r="S190" s="231" t="s">
        <v>56</v>
      </c>
      <c r="T190" s="304" t="s">
        <v>56</v>
      </c>
      <c r="U190" s="67"/>
      <c r="V190" s="231" t="s">
        <v>56</v>
      </c>
      <c r="W190" s="231" t="s">
        <v>56</v>
      </c>
      <c r="X190" s="237" t="s">
        <v>56</v>
      </c>
      <c r="Y190" s="65"/>
      <c r="Z190" s="232" t="s">
        <v>56</v>
      </c>
      <c r="AA190" s="235" t="s">
        <v>56</v>
      </c>
      <c r="AB190" s="60"/>
      <c r="AC190" s="60"/>
      <c r="AD190" s="63"/>
      <c r="AE190" s="63"/>
      <c r="AF190" s="63"/>
      <c r="AG190" s="63"/>
      <c r="AH190" s="63"/>
      <c r="AI190" s="63"/>
      <c r="AJ190" s="63"/>
      <c r="AK190" s="63"/>
      <c r="AL190" s="63"/>
      <c r="AM190" s="63"/>
    </row>
    <row r="191" spans="1:39" ht="15.75" customHeight="1" x14ac:dyDescent="0.2">
      <c r="A191" s="190" t="s">
        <v>137</v>
      </c>
      <c r="B191" s="210" t="s">
        <v>47</v>
      </c>
      <c r="C191" s="211" t="s">
        <v>48</v>
      </c>
      <c r="D191" s="59"/>
      <c r="E191" s="89"/>
      <c r="F191" s="89"/>
      <c r="G191" s="238" t="s">
        <v>58</v>
      </c>
      <c r="H191" s="239" t="s">
        <v>59</v>
      </c>
      <c r="I191" s="232" t="s">
        <v>201</v>
      </c>
      <c r="J191" s="233" t="s">
        <v>61</v>
      </c>
      <c r="K191" s="67"/>
      <c r="L191" s="234"/>
      <c r="M191" s="232" t="s">
        <v>142</v>
      </c>
      <c r="N191" s="235"/>
      <c r="O191" s="232" t="s">
        <v>142</v>
      </c>
      <c r="P191" s="236" t="s">
        <v>56</v>
      </c>
      <c r="Q191" s="67"/>
      <c r="R191" s="67"/>
      <c r="S191" s="231" t="s">
        <v>73</v>
      </c>
      <c r="T191" s="304" t="s">
        <v>56</v>
      </c>
      <c r="U191" s="67"/>
      <c r="V191" s="231" t="s">
        <v>56</v>
      </c>
      <c r="W191" s="231" t="s">
        <v>56</v>
      </c>
      <c r="X191" s="237" t="s">
        <v>148</v>
      </c>
      <c r="Y191" s="65"/>
      <c r="Z191" s="241" t="s">
        <v>63</v>
      </c>
      <c r="AA191" s="235">
        <v>0.1</v>
      </c>
      <c r="AB191" s="60"/>
      <c r="AC191" s="60"/>
      <c r="AD191" s="63"/>
      <c r="AE191" s="63"/>
      <c r="AF191" s="63"/>
      <c r="AG191" s="63"/>
      <c r="AH191" s="63"/>
      <c r="AI191" s="63"/>
      <c r="AJ191" s="63"/>
      <c r="AK191" s="63"/>
      <c r="AL191" s="63"/>
      <c r="AM191" s="63"/>
    </row>
    <row r="192" spans="1:39" ht="15.75" customHeight="1" thickBot="1" x14ac:dyDescent="0.25">
      <c r="A192" s="190" t="s">
        <v>140</v>
      </c>
      <c r="B192" s="220"/>
      <c r="C192" s="221"/>
      <c r="D192" s="36"/>
      <c r="E192" s="98"/>
      <c r="F192" s="98"/>
      <c r="G192" s="146"/>
      <c r="H192" s="145"/>
      <c r="I192" s="242" t="s">
        <v>202</v>
      </c>
      <c r="J192" s="243" t="s">
        <v>61</v>
      </c>
      <c r="K192" s="178"/>
      <c r="L192" s="244"/>
      <c r="M192" s="242" t="s">
        <v>142</v>
      </c>
      <c r="N192" s="245"/>
      <c r="O192" s="242" t="s">
        <v>142</v>
      </c>
      <c r="P192" s="236" t="s">
        <v>56</v>
      </c>
      <c r="Q192" s="67"/>
      <c r="R192" s="67"/>
      <c r="S192" s="231" t="s">
        <v>73</v>
      </c>
      <c r="T192" s="305" t="s">
        <v>56</v>
      </c>
      <c r="U192" s="178"/>
      <c r="V192" s="231" t="s">
        <v>56</v>
      </c>
      <c r="W192" s="231" t="s">
        <v>56</v>
      </c>
      <c r="X192" s="247" t="s">
        <v>148</v>
      </c>
      <c r="Y192" s="40"/>
      <c r="Z192" s="248" t="s">
        <v>63</v>
      </c>
      <c r="AA192" s="245">
        <v>0.1</v>
      </c>
      <c r="AB192" s="60"/>
      <c r="AC192" s="60"/>
      <c r="AD192" s="63"/>
      <c r="AE192" s="63"/>
      <c r="AF192" s="63"/>
      <c r="AG192" s="63"/>
      <c r="AH192" s="63"/>
      <c r="AI192" s="63"/>
      <c r="AJ192" s="63"/>
      <c r="AK192" s="63"/>
      <c r="AL192" s="63"/>
      <c r="AM192" s="63"/>
    </row>
    <row r="193" spans="1:39" ht="15.75" customHeight="1" thickBot="1" x14ac:dyDescent="0.25">
      <c r="A193" s="190"/>
      <c r="B193" s="190"/>
      <c r="C193" s="190"/>
      <c r="D193" s="190"/>
      <c r="E193" s="190"/>
      <c r="F193" s="190"/>
      <c r="G193" s="190"/>
      <c r="H193" s="190"/>
      <c r="I193" s="190"/>
      <c r="J193" s="190"/>
      <c r="K193" s="190"/>
      <c r="L193" s="190"/>
      <c r="M193" s="190"/>
      <c r="N193" s="190"/>
      <c r="P193" s="190"/>
      <c r="Q193" s="190"/>
      <c r="R193" s="190"/>
      <c r="T193" s="190"/>
      <c r="U193" s="190"/>
      <c r="V193" s="190"/>
      <c r="W193" s="190"/>
      <c r="X193" s="190"/>
      <c r="Y193" s="190"/>
      <c r="AD193" s="63"/>
      <c r="AE193" s="63"/>
      <c r="AF193" s="63"/>
      <c r="AG193" s="63"/>
      <c r="AH193" s="63"/>
      <c r="AI193" s="63"/>
      <c r="AJ193" s="63"/>
      <c r="AK193" s="63"/>
      <c r="AL193" s="63"/>
      <c r="AM193" s="63"/>
    </row>
    <row r="194" spans="1:39" ht="15.75" customHeight="1" x14ac:dyDescent="0.2">
      <c r="A194" s="190"/>
      <c r="B194" s="201" t="s">
        <v>78</v>
      </c>
      <c r="C194" s="32"/>
      <c r="D194" s="202" t="s">
        <v>35</v>
      </c>
      <c r="E194" s="203" t="s">
        <v>36</v>
      </c>
      <c r="F194" s="123"/>
      <c r="G194" s="204" t="s">
        <v>37</v>
      </c>
      <c r="H194" s="205" t="s">
        <v>79</v>
      </c>
      <c r="I194" s="206" t="s">
        <v>39</v>
      </c>
      <c r="J194" s="207" t="s">
        <v>40</v>
      </c>
      <c r="K194" s="123"/>
      <c r="L194" s="208" t="s">
        <v>41</v>
      </c>
      <c r="M194" s="206" t="s">
        <v>42</v>
      </c>
      <c r="N194" s="205" t="s">
        <v>43</v>
      </c>
      <c r="O194" s="204" t="s">
        <v>44</v>
      </c>
      <c r="P194" s="249" t="s">
        <v>150</v>
      </c>
      <c r="Q194" s="249" t="s">
        <v>151</v>
      </c>
      <c r="R194" s="321" t="s">
        <v>220</v>
      </c>
      <c r="S194" s="67"/>
      <c r="T194" s="65"/>
      <c r="U194" s="252" t="s">
        <v>154</v>
      </c>
      <c r="V194" s="251"/>
      <c r="W194" s="252" t="s">
        <v>134</v>
      </c>
      <c r="X194" s="251"/>
      <c r="Y194" s="253" t="s">
        <v>135</v>
      </c>
      <c r="Z194" s="252" t="s">
        <v>155</v>
      </c>
      <c r="AA194" s="251"/>
      <c r="AB194" s="254"/>
      <c r="AC194" s="254"/>
      <c r="AD194" s="63"/>
      <c r="AE194" s="63"/>
      <c r="AF194" s="63"/>
      <c r="AG194" s="63"/>
      <c r="AH194" s="63"/>
      <c r="AI194" s="63"/>
      <c r="AJ194" s="63"/>
      <c r="AK194" s="63"/>
      <c r="AL194" s="63"/>
      <c r="AM194" s="63"/>
    </row>
    <row r="195" spans="1:39" ht="15.75" customHeight="1" x14ac:dyDescent="0.2">
      <c r="A195" s="190" t="s">
        <v>137</v>
      </c>
      <c r="B195" s="255" t="s">
        <v>47</v>
      </c>
      <c r="C195" s="256" t="s">
        <v>48</v>
      </c>
      <c r="D195" s="229" t="s">
        <v>203</v>
      </c>
      <c r="E195" s="257" t="s">
        <v>50</v>
      </c>
      <c r="F195" s="257" t="s">
        <v>204</v>
      </c>
      <c r="G195" s="258" t="s">
        <v>52</v>
      </c>
      <c r="H195" s="259" t="s">
        <v>83</v>
      </c>
      <c r="I195" s="260" t="s">
        <v>54</v>
      </c>
      <c r="J195" s="261" t="s">
        <v>55</v>
      </c>
      <c r="K195" s="67"/>
      <c r="L195" s="262"/>
      <c r="M195" s="260" t="s">
        <v>56</v>
      </c>
      <c r="N195" s="259" t="s">
        <v>56</v>
      </c>
      <c r="O195" s="263" t="s">
        <v>56</v>
      </c>
      <c r="P195" s="264" t="s">
        <v>18</v>
      </c>
      <c r="Q195" s="265" t="s">
        <v>122</v>
      </c>
      <c r="R195" s="322" t="s">
        <v>161</v>
      </c>
      <c r="S195" s="67"/>
      <c r="T195" s="65"/>
      <c r="U195" s="323" t="s">
        <v>56</v>
      </c>
      <c r="V195" s="65"/>
      <c r="W195" s="323" t="s">
        <v>56</v>
      </c>
      <c r="X195" s="65"/>
      <c r="Y195" s="324" t="s">
        <v>56</v>
      </c>
      <c r="Z195" s="323" t="s">
        <v>56</v>
      </c>
      <c r="AA195" s="65"/>
      <c r="AD195" s="63"/>
      <c r="AE195" s="63"/>
      <c r="AF195" s="63"/>
      <c r="AG195" s="63"/>
      <c r="AH195" s="63"/>
      <c r="AI195" s="63"/>
      <c r="AJ195" s="63"/>
      <c r="AK195" s="63"/>
      <c r="AL195" s="63"/>
      <c r="AM195" s="63"/>
    </row>
    <row r="196" spans="1:39" ht="15.75" customHeight="1" thickBot="1" x14ac:dyDescent="0.25">
      <c r="A196" s="190" t="s">
        <v>140</v>
      </c>
      <c r="B196" s="270"/>
      <c r="C196" s="271"/>
      <c r="D196" s="59"/>
      <c r="E196" s="59"/>
      <c r="F196" s="59"/>
      <c r="G196" s="272" t="s">
        <v>58</v>
      </c>
      <c r="H196" s="273" t="s">
        <v>85</v>
      </c>
      <c r="I196" s="232" t="s">
        <v>160</v>
      </c>
      <c r="J196" s="261" t="s">
        <v>61</v>
      </c>
      <c r="K196" s="67"/>
      <c r="L196" s="262"/>
      <c r="M196" s="260" t="s">
        <v>74</v>
      </c>
      <c r="N196" s="240" t="s">
        <v>73</v>
      </c>
      <c r="O196" s="263">
        <v>0.1</v>
      </c>
      <c r="P196" s="98"/>
      <c r="Q196" s="275" t="s">
        <v>127</v>
      </c>
      <c r="R196" s="322" t="s">
        <v>158</v>
      </c>
      <c r="S196" s="67"/>
      <c r="T196" s="65"/>
      <c r="U196" s="323" t="s">
        <v>56</v>
      </c>
      <c r="V196" s="65"/>
      <c r="W196" s="323" t="s">
        <v>56</v>
      </c>
      <c r="X196" s="65"/>
      <c r="Y196" s="324" t="s">
        <v>56</v>
      </c>
      <c r="Z196" s="323" t="s">
        <v>56</v>
      </c>
      <c r="AA196" s="65"/>
      <c r="AD196" s="63"/>
      <c r="AE196" s="63"/>
      <c r="AF196" s="63"/>
      <c r="AG196" s="63"/>
      <c r="AH196" s="63"/>
      <c r="AI196" s="63"/>
      <c r="AJ196" s="63"/>
      <c r="AK196" s="63"/>
      <c r="AL196" s="63"/>
      <c r="AM196" s="63"/>
    </row>
    <row r="197" spans="1:39" ht="15.75" customHeight="1" thickBot="1" x14ac:dyDescent="0.25">
      <c r="A197" s="190"/>
      <c r="D197" s="228"/>
      <c r="E197" s="228"/>
      <c r="F197" s="228"/>
      <c r="G197" s="86"/>
      <c r="H197" s="98"/>
      <c r="I197" s="232" t="s">
        <v>162</v>
      </c>
      <c r="J197" s="261" t="s">
        <v>61</v>
      </c>
      <c r="K197" s="67"/>
      <c r="L197" s="262"/>
      <c r="M197" s="260" t="s">
        <v>74</v>
      </c>
      <c r="N197" s="240" t="s">
        <v>73</v>
      </c>
      <c r="O197" s="263">
        <v>0.1</v>
      </c>
      <c r="P197" s="276" t="s">
        <v>30</v>
      </c>
      <c r="Q197" s="265" t="s">
        <v>122</v>
      </c>
      <c r="R197" s="325" t="s">
        <v>161</v>
      </c>
      <c r="S197" s="67"/>
      <c r="T197" s="65"/>
      <c r="U197" s="323" t="s">
        <v>56</v>
      </c>
      <c r="V197" s="65"/>
      <c r="W197" s="323" t="s">
        <v>56</v>
      </c>
      <c r="X197" s="65"/>
      <c r="Y197" s="326" t="s">
        <v>56</v>
      </c>
      <c r="Z197" s="323" t="s">
        <v>56</v>
      </c>
      <c r="AA197" s="65"/>
      <c r="AD197" s="63"/>
      <c r="AE197" s="63"/>
      <c r="AF197" s="63"/>
      <c r="AG197" s="63"/>
      <c r="AH197" s="63"/>
      <c r="AI197" s="63"/>
      <c r="AJ197" s="63"/>
      <c r="AK197" s="63"/>
      <c r="AL197" s="63"/>
      <c r="AM197" s="63"/>
    </row>
    <row r="198" spans="1:39" ht="15.75" customHeight="1" x14ac:dyDescent="0.2">
      <c r="A198" s="190"/>
      <c r="B198" s="203" t="s">
        <v>32</v>
      </c>
      <c r="C198" s="124"/>
      <c r="D198" s="212" t="s">
        <v>206</v>
      </c>
      <c r="E198" s="257" t="s">
        <v>50</v>
      </c>
      <c r="F198" s="257" t="s">
        <v>207</v>
      </c>
      <c r="G198" s="280" t="s">
        <v>52</v>
      </c>
      <c r="H198" s="281" t="s">
        <v>83</v>
      </c>
      <c r="I198" s="215" t="s">
        <v>54</v>
      </c>
      <c r="J198" s="282" t="s">
        <v>55</v>
      </c>
      <c r="K198" s="65"/>
      <c r="L198" s="281"/>
      <c r="M198" s="283" t="s">
        <v>56</v>
      </c>
      <c r="N198" s="281" t="s">
        <v>56</v>
      </c>
      <c r="O198" s="284" t="s">
        <v>56</v>
      </c>
      <c r="P198" s="98"/>
      <c r="Q198" s="275" t="s">
        <v>127</v>
      </c>
      <c r="R198" s="325" t="s">
        <v>158</v>
      </c>
      <c r="S198" s="67"/>
      <c r="T198" s="65"/>
      <c r="U198" s="323" t="s">
        <v>56</v>
      </c>
      <c r="V198" s="65"/>
      <c r="W198" s="323" t="s">
        <v>56</v>
      </c>
      <c r="X198" s="65"/>
      <c r="Y198" s="326" t="s">
        <v>56</v>
      </c>
      <c r="Z198" s="323" t="s">
        <v>56</v>
      </c>
      <c r="AA198" s="65"/>
      <c r="AD198" s="63"/>
      <c r="AE198" s="63"/>
      <c r="AF198" s="63"/>
      <c r="AG198" s="63"/>
      <c r="AH198" s="63"/>
      <c r="AI198" s="63"/>
      <c r="AJ198" s="63"/>
      <c r="AK198" s="63"/>
      <c r="AL198" s="63"/>
      <c r="AM198" s="63"/>
    </row>
    <row r="199" spans="1:39" ht="15.75" customHeight="1" x14ac:dyDescent="0.2">
      <c r="B199" s="59"/>
      <c r="C199" s="35"/>
      <c r="D199" s="59"/>
      <c r="E199" s="59"/>
      <c r="F199" s="59"/>
      <c r="G199" s="285" t="s">
        <v>58</v>
      </c>
      <c r="H199" s="286" t="s">
        <v>85</v>
      </c>
      <c r="I199" s="215" t="s">
        <v>94</v>
      </c>
      <c r="J199" s="282" t="s">
        <v>61</v>
      </c>
      <c r="K199" s="65"/>
      <c r="L199" s="281"/>
      <c r="M199" s="283" t="s">
        <v>74</v>
      </c>
      <c r="N199" s="226" t="s">
        <v>73</v>
      </c>
      <c r="O199" s="284">
        <v>0.1</v>
      </c>
      <c r="AD199" s="63"/>
      <c r="AE199" s="63"/>
      <c r="AF199" s="63"/>
      <c r="AG199" s="63"/>
      <c r="AH199" s="63"/>
      <c r="AI199" s="63"/>
      <c r="AJ199" s="63"/>
      <c r="AK199" s="63"/>
      <c r="AL199" s="63"/>
      <c r="AM199" s="63"/>
    </row>
    <row r="200" spans="1:39" ht="15.75" customHeight="1" thickBot="1" x14ac:dyDescent="0.25">
      <c r="B200" s="36"/>
      <c r="C200" s="54"/>
      <c r="D200" s="36"/>
      <c r="E200" s="228"/>
      <c r="F200" s="228"/>
      <c r="G200" s="86"/>
      <c r="H200" s="145"/>
      <c r="I200" s="215" t="s">
        <v>95</v>
      </c>
      <c r="J200" s="282" t="s">
        <v>61</v>
      </c>
      <c r="K200" s="65"/>
      <c r="L200" s="281"/>
      <c r="M200" s="283" t="s">
        <v>74</v>
      </c>
      <c r="N200" s="226" t="s">
        <v>73</v>
      </c>
      <c r="O200" s="284">
        <v>0.1</v>
      </c>
      <c r="AD200" s="63"/>
      <c r="AE200" s="63"/>
      <c r="AF200" s="63"/>
      <c r="AG200" s="63"/>
      <c r="AH200" s="63"/>
      <c r="AI200" s="63"/>
      <c r="AJ200" s="63"/>
      <c r="AK200" s="63"/>
      <c r="AL200" s="63"/>
      <c r="AM200" s="63"/>
    </row>
    <row r="201" spans="1:39" ht="15.75" customHeight="1" thickBot="1" x14ac:dyDescent="0.25">
      <c r="A201" s="20"/>
      <c r="B201" s="64" t="s">
        <v>97</v>
      </c>
      <c r="C201" s="65"/>
      <c r="G201" s="118"/>
      <c r="H201" s="118"/>
      <c r="I201" s="119" t="s">
        <v>203</v>
      </c>
      <c r="J201" s="87"/>
      <c r="K201" s="87"/>
      <c r="L201" s="87"/>
      <c r="M201" s="87"/>
      <c r="N201" s="87"/>
      <c r="O201" s="87"/>
      <c r="P201" s="87"/>
      <c r="Q201" s="87"/>
      <c r="R201" s="120" t="s">
        <v>206</v>
      </c>
      <c r="S201" s="87"/>
      <c r="T201" s="87"/>
      <c r="U201" s="87"/>
      <c r="V201" s="87"/>
      <c r="W201" s="87"/>
      <c r="X201" s="87"/>
      <c r="Y201" s="87"/>
      <c r="Z201" s="87"/>
      <c r="AA201" s="87"/>
      <c r="AB201" s="87"/>
      <c r="AC201" s="87"/>
      <c r="AD201" s="87"/>
      <c r="AE201" s="63"/>
      <c r="AF201" s="63"/>
      <c r="AG201" s="63"/>
      <c r="AH201" s="63"/>
      <c r="AI201" s="63"/>
      <c r="AJ201" s="63"/>
      <c r="AK201" s="63"/>
      <c r="AL201" s="63"/>
      <c r="AM201" s="63"/>
    </row>
    <row r="202" spans="1:39" ht="15.75" customHeight="1" x14ac:dyDescent="0.2">
      <c r="A202" s="20" t="s">
        <v>16</v>
      </c>
      <c r="B202" s="121" t="s">
        <v>98</v>
      </c>
      <c r="C202" s="65"/>
      <c r="D202" s="122" t="s">
        <v>99</v>
      </c>
      <c r="E202" s="123"/>
      <c r="F202" s="124"/>
      <c r="G202" s="118" t="s">
        <v>100</v>
      </c>
      <c r="H202" s="118" t="s">
        <v>208</v>
      </c>
      <c r="I202" s="125" t="s">
        <v>58</v>
      </c>
      <c r="J202" s="101"/>
      <c r="K202" s="126" t="s">
        <v>102</v>
      </c>
      <c r="L202" s="87"/>
      <c r="M202" s="87"/>
      <c r="N202" s="87"/>
      <c r="O202" s="87"/>
      <c r="P202" s="87"/>
      <c r="Q202" s="87"/>
      <c r="R202" s="118" t="s">
        <v>100</v>
      </c>
      <c r="S202" s="128" t="s">
        <v>209</v>
      </c>
      <c r="T202" s="77"/>
      <c r="U202" s="125" t="s">
        <v>58</v>
      </c>
      <c r="V202" s="101"/>
      <c r="W202" s="126" t="s">
        <v>102</v>
      </c>
      <c r="X202" s="87"/>
      <c r="Y202" s="87"/>
      <c r="Z202" s="87"/>
      <c r="AA202" s="87"/>
      <c r="AB202" s="87"/>
      <c r="AC202" s="87"/>
      <c r="AD202" s="87"/>
      <c r="AE202" s="63"/>
      <c r="AF202" s="63"/>
      <c r="AG202" s="63"/>
      <c r="AH202" s="63"/>
      <c r="AI202" s="63"/>
      <c r="AJ202" s="63"/>
      <c r="AK202" s="63"/>
      <c r="AL202" s="63"/>
      <c r="AM202" s="63"/>
    </row>
    <row r="203" spans="1:39" ht="15.75" customHeight="1" x14ac:dyDescent="0.2">
      <c r="B203" s="129"/>
      <c r="C203" s="106"/>
      <c r="D203" s="87"/>
      <c r="E203" s="87"/>
      <c r="F203" s="35"/>
      <c r="G203" s="118" t="s">
        <v>100</v>
      </c>
      <c r="H203" s="118" t="s">
        <v>210</v>
      </c>
      <c r="I203" s="125" t="s">
        <v>58</v>
      </c>
      <c r="J203" s="101"/>
      <c r="K203" s="60" t="s">
        <v>105</v>
      </c>
      <c r="L203" s="60"/>
      <c r="M203" s="60"/>
      <c r="N203" s="60"/>
      <c r="O203" s="60"/>
      <c r="P203" s="60"/>
      <c r="Q203" s="60"/>
      <c r="R203" s="118" t="s">
        <v>100</v>
      </c>
      <c r="S203" s="128" t="s">
        <v>211</v>
      </c>
      <c r="T203" s="77"/>
      <c r="U203" s="125" t="s">
        <v>58</v>
      </c>
      <c r="V203" s="101"/>
      <c r="W203" s="130" t="s">
        <v>105</v>
      </c>
      <c r="X203" s="87"/>
      <c r="Y203" s="87"/>
      <c r="Z203" s="87"/>
      <c r="AA203" s="87"/>
      <c r="AB203" s="87"/>
      <c r="AC203" s="87"/>
      <c r="AD203" s="87"/>
    </row>
    <row r="204" spans="1:39" ht="15.75" customHeight="1" x14ac:dyDescent="0.2">
      <c r="A204" s="20"/>
      <c r="B204" s="61"/>
      <c r="C204" s="61"/>
      <c r="D204" s="61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61"/>
      <c r="R204" s="20"/>
      <c r="S204" s="20"/>
      <c r="T204" s="63"/>
      <c r="U204" s="20"/>
      <c r="V204" s="20"/>
      <c r="W204" s="20"/>
      <c r="X204" s="20"/>
      <c r="Y204" s="20"/>
      <c r="Z204" s="20"/>
      <c r="AA204" s="20"/>
      <c r="AB204" s="20"/>
      <c r="AC204" s="63"/>
      <c r="AD204" s="63"/>
      <c r="AE204" s="63"/>
      <c r="AF204" s="63"/>
      <c r="AG204" s="63"/>
      <c r="AH204" s="63"/>
      <c r="AI204" s="63"/>
      <c r="AJ204" s="63"/>
      <c r="AK204" s="63"/>
      <c r="AL204" s="63"/>
      <c r="AM204" s="63"/>
    </row>
    <row r="205" spans="1:39" ht="15.75" customHeight="1" x14ac:dyDescent="0.2">
      <c r="A205" s="131"/>
      <c r="B205" s="301" t="s">
        <v>221</v>
      </c>
      <c r="C205" s="195"/>
      <c r="D205" s="132"/>
      <c r="E205" s="132"/>
      <c r="F205" s="132"/>
      <c r="G205" s="133"/>
      <c r="H205" s="133"/>
      <c r="I205" s="133"/>
      <c r="J205" s="132"/>
      <c r="K205" s="132"/>
      <c r="L205" s="133"/>
      <c r="M205" s="133"/>
      <c r="N205" s="134"/>
      <c r="O205" s="133"/>
      <c r="P205" s="134"/>
      <c r="Q205" s="134"/>
      <c r="R205" s="133"/>
      <c r="S205" s="134"/>
      <c r="T205" s="133"/>
      <c r="U205" s="134"/>
      <c r="V205" s="133"/>
      <c r="W205" s="134"/>
      <c r="X205" s="133"/>
      <c r="Y205" s="134"/>
      <c r="Z205" s="133"/>
      <c r="AA205" s="134"/>
      <c r="AB205" s="133"/>
      <c r="AC205" s="133"/>
      <c r="AD205" s="63"/>
      <c r="AE205" s="63"/>
      <c r="AF205" s="63"/>
      <c r="AG205" s="63"/>
      <c r="AH205" s="63"/>
      <c r="AI205" s="63"/>
      <c r="AJ205" s="63"/>
      <c r="AK205" s="63"/>
      <c r="AL205" s="63"/>
      <c r="AM205" s="63"/>
    </row>
    <row r="206" spans="1:39" ht="15.75" customHeight="1" x14ac:dyDescent="0.2">
      <c r="AD206" s="63"/>
      <c r="AE206" s="63"/>
      <c r="AF206" s="63"/>
      <c r="AG206" s="63"/>
      <c r="AH206" s="63"/>
      <c r="AI206" s="63"/>
      <c r="AJ206" s="63"/>
      <c r="AK206" s="63"/>
      <c r="AL206" s="63"/>
      <c r="AM206" s="63"/>
    </row>
    <row r="207" spans="1:39" ht="23.25" customHeight="1" x14ac:dyDescent="0.2">
      <c r="A207" s="183" t="s">
        <v>0</v>
      </c>
      <c r="B207" s="2"/>
      <c r="C207" s="2"/>
      <c r="D207" s="184" t="s">
        <v>114</v>
      </c>
      <c r="E207" s="77"/>
      <c r="F207" s="185" t="s">
        <v>115</v>
      </c>
      <c r="G207" s="186" t="s">
        <v>116</v>
      </c>
      <c r="H207" s="186" t="s">
        <v>117</v>
      </c>
      <c r="I207" s="186" t="s">
        <v>118</v>
      </c>
      <c r="J207" s="185" t="s">
        <v>114</v>
      </c>
      <c r="K207" s="184" t="s">
        <v>115</v>
      </c>
      <c r="L207" s="77"/>
      <c r="M207" s="186" t="s">
        <v>1</v>
      </c>
      <c r="N207" s="185" t="s">
        <v>2</v>
      </c>
      <c r="O207" s="187" t="s">
        <v>3</v>
      </c>
      <c r="P207" s="184" t="s">
        <v>2</v>
      </c>
      <c r="Q207" s="77"/>
      <c r="R207" s="188" t="s">
        <v>4</v>
      </c>
      <c r="S207" s="185" t="s">
        <v>2</v>
      </c>
      <c r="T207" s="186" t="s">
        <v>5</v>
      </c>
      <c r="U207" s="185" t="s">
        <v>2</v>
      </c>
      <c r="V207" s="187" t="s">
        <v>6</v>
      </c>
      <c r="W207" s="185" t="s">
        <v>2</v>
      </c>
      <c r="X207" s="188" t="s">
        <v>7</v>
      </c>
      <c r="Y207" s="185" t="s">
        <v>2</v>
      </c>
      <c r="Z207" s="186" t="s">
        <v>8</v>
      </c>
      <c r="AA207" s="185" t="s">
        <v>2</v>
      </c>
      <c r="AB207" s="189"/>
      <c r="AC207" s="189"/>
      <c r="AD207" s="63"/>
      <c r="AE207" s="63"/>
      <c r="AF207" s="63"/>
      <c r="AG207" s="63"/>
      <c r="AH207" s="63"/>
      <c r="AI207" s="63"/>
      <c r="AJ207" s="63"/>
      <c r="AK207" s="63"/>
      <c r="AL207" s="63"/>
      <c r="AM207" s="63"/>
    </row>
    <row r="208" spans="1:39" ht="15.75" customHeight="1" x14ac:dyDescent="0.2">
      <c r="A208" s="11"/>
      <c r="B208" s="12"/>
      <c r="C208" s="12"/>
      <c r="D208" s="99"/>
      <c r="E208" s="101"/>
      <c r="F208" s="98"/>
      <c r="G208" s="186" t="s">
        <v>119</v>
      </c>
      <c r="H208" s="186" t="s">
        <v>187</v>
      </c>
      <c r="I208" s="186" t="s">
        <v>121</v>
      </c>
      <c r="J208" s="98"/>
      <c r="K208" s="99"/>
      <c r="L208" s="101"/>
      <c r="M208" s="186" t="s">
        <v>9</v>
      </c>
      <c r="N208" s="98"/>
      <c r="O208" s="187" t="s">
        <v>10</v>
      </c>
      <c r="P208" s="99"/>
      <c r="Q208" s="101"/>
      <c r="R208" s="188" t="s">
        <v>11</v>
      </c>
      <c r="S208" s="98"/>
      <c r="T208" s="186" t="s">
        <v>12</v>
      </c>
      <c r="U208" s="98"/>
      <c r="V208" s="187" t="s">
        <v>13</v>
      </c>
      <c r="W208" s="98"/>
      <c r="X208" s="188" t="s">
        <v>14</v>
      </c>
      <c r="Y208" s="98"/>
      <c r="Z208" s="186" t="s">
        <v>15</v>
      </c>
      <c r="AA208" s="98"/>
      <c r="AB208" s="189"/>
      <c r="AC208" s="189"/>
      <c r="AD208" s="63"/>
      <c r="AE208" s="63"/>
      <c r="AF208" s="63"/>
      <c r="AG208" s="63"/>
      <c r="AH208" s="63"/>
      <c r="AI208" s="63"/>
      <c r="AJ208" s="63"/>
      <c r="AK208" s="63"/>
      <c r="AL208" s="63"/>
      <c r="AM208" s="63"/>
    </row>
    <row r="209" spans="1:39" ht="12.75" customHeight="1" thickBot="1" x14ac:dyDescent="0.25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63"/>
      <c r="AE209" s="63"/>
      <c r="AF209" s="63"/>
      <c r="AG209" s="63"/>
      <c r="AH209" s="63"/>
      <c r="AI209" s="63"/>
      <c r="AJ209" s="63"/>
      <c r="AK209" s="63"/>
      <c r="AL209" s="63"/>
      <c r="AM209" s="63"/>
    </row>
    <row r="210" spans="1:39" ht="15.75" customHeight="1" thickBot="1" x14ac:dyDescent="0.25">
      <c r="A210" s="190" t="str">
        <f>IF(C210="","",CONCATENATE(C211,'AB5'!$A$4))</f>
        <v>S1A</v>
      </c>
      <c r="B210" s="22" t="str">
        <f>IF(C210="","",IF('AB5'!$B$4="","",'AB5'!$B$4))</f>
        <v>Sr. No.</v>
      </c>
      <c r="C210" s="23">
        <v>1</v>
      </c>
      <c r="D210" s="191" t="s">
        <v>18</v>
      </c>
      <c r="E210" s="124"/>
      <c r="F210" s="26" t="s">
        <v>122</v>
      </c>
      <c r="G210" s="28" t="s">
        <v>222</v>
      </c>
      <c r="H210" s="28" t="s">
        <v>56</v>
      </c>
      <c r="I210" s="28" t="s">
        <v>125</v>
      </c>
      <c r="J210" s="24" t="s">
        <v>18</v>
      </c>
      <c r="K210" s="26" t="s">
        <v>122</v>
      </c>
      <c r="L210" s="27" t="str">
        <f>IF(C210="","",'AB5'!$G$4)</f>
        <v>E &amp; T</v>
      </c>
      <c r="M210" s="28"/>
      <c r="N210" s="192">
        <v>5</v>
      </c>
      <c r="O210" s="38" t="s">
        <v>188</v>
      </c>
      <c r="P210" s="192"/>
      <c r="Q210" s="192">
        <v>1</v>
      </c>
      <c r="R210" s="38" t="s">
        <v>188</v>
      </c>
      <c r="S210" s="192">
        <v>1</v>
      </c>
      <c r="T210" s="38" t="s">
        <v>188</v>
      </c>
      <c r="U210" s="192">
        <v>1</v>
      </c>
      <c r="V210" s="38" t="s">
        <v>188</v>
      </c>
      <c r="W210" s="192">
        <v>1</v>
      </c>
      <c r="X210" s="38" t="s">
        <v>188</v>
      </c>
      <c r="Y210" s="28" t="s">
        <v>56</v>
      </c>
      <c r="Z210" s="28" t="s">
        <v>56</v>
      </c>
      <c r="AA210" s="28" t="s">
        <v>56</v>
      </c>
      <c r="AB210" s="194"/>
      <c r="AC210" s="194"/>
      <c r="AD210" s="63"/>
      <c r="AE210" s="63"/>
      <c r="AF210" s="63"/>
      <c r="AG210" s="63"/>
      <c r="AH210" s="63"/>
      <c r="AI210" s="63"/>
      <c r="AJ210" s="63"/>
      <c r="AK210" s="63"/>
      <c r="AL210" s="63"/>
      <c r="AM210" s="63"/>
    </row>
    <row r="211" spans="1:39" ht="15.75" customHeight="1" thickBot="1" x14ac:dyDescent="0.25">
      <c r="A211" s="190" t="str">
        <f>IF(C210="","",CONCATENATE(C211,'AB5'!$A$5))</f>
        <v>S1A</v>
      </c>
      <c r="B211" s="33" t="str">
        <f>IF(C210="","",IF('AB5'!$B$5="","",'AB5'!$B$5))</f>
        <v>Strategy Code</v>
      </c>
      <c r="C211" s="34" t="str">
        <f>IF(C210="","",VLOOKUP(C210,[1]AB2!A:X,2,FALSE))</f>
        <v>S1</v>
      </c>
      <c r="D211" s="195"/>
      <c r="E211" s="35"/>
      <c r="F211" s="36"/>
      <c r="G211" s="38" t="s">
        <v>190</v>
      </c>
      <c r="H211" s="28" t="s">
        <v>56</v>
      </c>
      <c r="I211" s="28" t="s">
        <v>56</v>
      </c>
      <c r="J211" s="35"/>
      <c r="K211" s="36"/>
      <c r="L211" s="37" t="str">
        <f>IF(C210="","",'AB5'!$G$5)</f>
        <v>SL / TRP</v>
      </c>
      <c r="M211" s="38" t="s">
        <v>188</v>
      </c>
      <c r="N211" s="196">
        <v>5</v>
      </c>
      <c r="O211" s="38" t="s">
        <v>188</v>
      </c>
      <c r="P211" s="196"/>
      <c r="Q211" s="196">
        <v>4</v>
      </c>
      <c r="R211" s="38" t="s">
        <v>188</v>
      </c>
      <c r="S211" s="196">
        <v>3</v>
      </c>
      <c r="T211" s="38" t="s">
        <v>188</v>
      </c>
      <c r="U211" s="196">
        <v>2</v>
      </c>
      <c r="V211" s="38" t="s">
        <v>188</v>
      </c>
      <c r="W211" s="196">
        <v>1</v>
      </c>
      <c r="X211" s="38" t="s">
        <v>188</v>
      </c>
      <c r="Y211" s="196">
        <v>1</v>
      </c>
      <c r="Z211" s="28" t="s">
        <v>56</v>
      </c>
      <c r="AA211" s="28" t="s">
        <v>56</v>
      </c>
      <c r="AB211" s="194"/>
      <c r="AC211" s="194"/>
      <c r="AD211" s="63"/>
      <c r="AE211" s="63"/>
      <c r="AF211" s="63"/>
      <c r="AG211" s="63"/>
      <c r="AH211" s="63"/>
      <c r="AI211" s="63"/>
      <c r="AJ211" s="63"/>
      <c r="AK211" s="63"/>
      <c r="AL211" s="63"/>
      <c r="AM211" s="63"/>
    </row>
    <row r="212" spans="1:39" ht="6" customHeight="1" thickBot="1" x14ac:dyDescent="0.25">
      <c r="A212" s="190" t="str">
        <f>IF(C210="","",CONCATENATE(C211,'AB5'!A88))</f>
        <v>S1</v>
      </c>
      <c r="B212" s="43" t="str">
        <f>IF(C210="","",IF('AB5'!$B$6="","",'AB5'!$B$6))</f>
        <v>Unique Code</v>
      </c>
      <c r="C212" s="44" t="str">
        <f>IF(C210="","",VLOOKUP(C210,[1]AB2!A:X,12,FALSE))</f>
        <v>2D</v>
      </c>
      <c r="D212" s="195"/>
      <c r="E212" s="35"/>
      <c r="F212" s="46"/>
      <c r="G212" s="45"/>
      <c r="H212" s="45"/>
      <c r="I212" s="45"/>
      <c r="J212" s="35"/>
      <c r="K212" s="46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194"/>
      <c r="AC212" s="194"/>
      <c r="AD212" s="63"/>
      <c r="AE212" s="63"/>
      <c r="AF212" s="63"/>
      <c r="AG212" s="63"/>
      <c r="AH212" s="63"/>
      <c r="AI212" s="63"/>
      <c r="AJ212" s="63"/>
      <c r="AK212" s="63"/>
      <c r="AL212" s="63"/>
      <c r="AM212" s="63"/>
    </row>
    <row r="213" spans="1:39" ht="15.75" customHeight="1" thickBot="1" x14ac:dyDescent="0.25">
      <c r="A213" s="190" t="str">
        <f>IF(C210="","",CONCATENATE(C211,'AB5'!$A$7))</f>
        <v>S1B</v>
      </c>
      <c r="B213" s="48"/>
      <c r="C213" s="49"/>
      <c r="D213" s="195"/>
      <c r="E213" s="35"/>
      <c r="F213" s="51" t="s">
        <v>127</v>
      </c>
      <c r="G213" s="28" t="s">
        <v>56</v>
      </c>
      <c r="H213" s="28" t="s">
        <v>56</v>
      </c>
      <c r="I213" s="28" t="s">
        <v>56</v>
      </c>
      <c r="J213" s="35"/>
      <c r="K213" s="51" t="s">
        <v>127</v>
      </c>
      <c r="L213" s="27" t="str">
        <f>IF(C210="","",'AB5'!$G$7)</f>
        <v>E &amp; T</v>
      </c>
      <c r="M213" s="28" t="s">
        <v>56</v>
      </c>
      <c r="N213" s="28" t="s">
        <v>56</v>
      </c>
      <c r="O213" s="28" t="s">
        <v>56</v>
      </c>
      <c r="P213" s="28" t="s">
        <v>56</v>
      </c>
      <c r="Q213" s="28" t="s">
        <v>56</v>
      </c>
      <c r="R213" s="28" t="s">
        <v>56</v>
      </c>
      <c r="S213" s="28" t="s">
        <v>56</v>
      </c>
      <c r="T213" s="28" t="s">
        <v>56</v>
      </c>
      <c r="U213" s="28" t="s">
        <v>56</v>
      </c>
      <c r="V213" s="28" t="s">
        <v>56</v>
      </c>
      <c r="W213" s="28" t="s">
        <v>56</v>
      </c>
      <c r="X213" s="28" t="s">
        <v>56</v>
      </c>
      <c r="Y213" s="28" t="s">
        <v>56</v>
      </c>
      <c r="Z213" s="28" t="s">
        <v>56</v>
      </c>
      <c r="AA213" s="28" t="s">
        <v>56</v>
      </c>
      <c r="AB213" s="194"/>
      <c r="AC213" s="194"/>
      <c r="AD213" s="63"/>
      <c r="AE213" s="63"/>
      <c r="AF213" s="63"/>
      <c r="AG213" s="63"/>
      <c r="AH213" s="63"/>
      <c r="AI213" s="63"/>
      <c r="AJ213" s="63"/>
      <c r="AK213" s="63"/>
      <c r="AL213" s="63"/>
      <c r="AM213" s="63"/>
    </row>
    <row r="214" spans="1:39" ht="15.75" customHeight="1" thickBot="1" x14ac:dyDescent="0.25">
      <c r="A214" s="190" t="str">
        <f>IF(C210="","",CONCATENATE(C211,'AB5'!$A$8))</f>
        <v>S1B</v>
      </c>
      <c r="B214" s="52"/>
      <c r="C214" s="53"/>
      <c r="D214" s="182"/>
      <c r="E214" s="54"/>
      <c r="F214" s="36"/>
      <c r="G214" s="28" t="s">
        <v>56</v>
      </c>
      <c r="H214" s="28" t="s">
        <v>56</v>
      </c>
      <c r="I214" s="28" t="s">
        <v>56</v>
      </c>
      <c r="J214" s="54"/>
      <c r="K214" s="36"/>
      <c r="L214" s="37" t="str">
        <f>IF(C210="","",'AB5'!$G$8)</f>
        <v>SL / TRP</v>
      </c>
      <c r="M214" s="28" t="s">
        <v>56</v>
      </c>
      <c r="N214" s="28" t="s">
        <v>56</v>
      </c>
      <c r="O214" s="28" t="s">
        <v>56</v>
      </c>
      <c r="P214" s="28" t="s">
        <v>56</v>
      </c>
      <c r="Q214" s="28" t="s">
        <v>56</v>
      </c>
      <c r="R214" s="28" t="s">
        <v>56</v>
      </c>
      <c r="S214" s="28" t="s">
        <v>56</v>
      </c>
      <c r="T214" s="28" t="s">
        <v>56</v>
      </c>
      <c r="U214" s="28" t="s">
        <v>56</v>
      </c>
      <c r="V214" s="28" t="s">
        <v>56</v>
      </c>
      <c r="W214" s="28" t="s">
        <v>56</v>
      </c>
      <c r="X214" s="28" t="s">
        <v>56</v>
      </c>
      <c r="Y214" s="28" t="s">
        <v>56</v>
      </c>
      <c r="Z214" s="28" t="s">
        <v>56</v>
      </c>
      <c r="AA214" s="28" t="s">
        <v>56</v>
      </c>
      <c r="AB214" s="194"/>
      <c r="AC214" s="194"/>
      <c r="AD214" s="63"/>
      <c r="AE214" s="63"/>
      <c r="AF214" s="63"/>
      <c r="AG214" s="63"/>
      <c r="AH214" s="63"/>
      <c r="AI214" s="63"/>
      <c r="AJ214" s="63"/>
      <c r="AK214" s="63"/>
      <c r="AL214" s="63"/>
      <c r="AM214" s="63"/>
    </row>
    <row r="215" spans="1:39" ht="15.75" customHeight="1" thickBot="1" x14ac:dyDescent="0.25">
      <c r="A215" s="190" t="str">
        <f>IF(C210="","",CONCATENATE(C211,'AB5'!$A$9))</f>
        <v>S1C</v>
      </c>
      <c r="B215" s="33" t="str">
        <f>IF(C210="","",IF('AB5'!$B$9="","",'AB5'!$B$9))</f>
        <v>Segment</v>
      </c>
      <c r="C215" s="34">
        <f>IF(C210="","",VLOOKUP(C210,[1]AB2!A:X,21,FALSE))</f>
        <v>2.5000000000000001E-3</v>
      </c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  <c r="AB215" s="194"/>
      <c r="AC215" s="194"/>
      <c r="AD215" s="63"/>
      <c r="AE215" s="63"/>
      <c r="AF215" s="63"/>
      <c r="AG215" s="63"/>
      <c r="AH215" s="63"/>
      <c r="AI215" s="63"/>
      <c r="AJ215" s="63"/>
      <c r="AK215" s="63"/>
      <c r="AL215" s="63"/>
      <c r="AM215" s="63"/>
    </row>
    <row r="216" spans="1:39" ht="15.75" customHeight="1" thickBot="1" x14ac:dyDescent="0.25">
      <c r="A216" s="190" t="str">
        <f>IF(C210="","",CONCATENATE(C211,'AB5'!$A$10))</f>
        <v>S1D</v>
      </c>
      <c r="B216" s="33" t="str">
        <f>IF(C210="","",IF('AB5'!$B$10="","",'AB5'!$B$10))</f>
        <v>Symbol</v>
      </c>
      <c r="C216" s="34" t="str">
        <f>IF(C210="","",VLOOKUP(C210,[1]AB2!A:X,22,FALSE))</f>
        <v>Monthly : NEAR</v>
      </c>
      <c r="D216" s="198" t="s">
        <v>30</v>
      </c>
      <c r="E216" s="124"/>
      <c r="F216" s="26" t="s">
        <v>122</v>
      </c>
      <c r="G216" s="28" t="s">
        <v>56</v>
      </c>
      <c r="H216" s="28" t="s">
        <v>56</v>
      </c>
      <c r="I216" s="28" t="s">
        <v>56</v>
      </c>
      <c r="J216" s="56" t="s">
        <v>30</v>
      </c>
      <c r="K216" s="26" t="s">
        <v>122</v>
      </c>
      <c r="L216" s="27" t="str">
        <f>IF(C210="","",'AB5'!$G$10)</f>
        <v>E &amp; T</v>
      </c>
      <c r="M216" s="28" t="s">
        <v>56</v>
      </c>
      <c r="N216" s="28" t="s">
        <v>56</v>
      </c>
      <c r="O216" s="28" t="s">
        <v>56</v>
      </c>
      <c r="P216" s="28" t="s">
        <v>56</v>
      </c>
      <c r="Q216" s="28" t="s">
        <v>56</v>
      </c>
      <c r="R216" s="28" t="s">
        <v>56</v>
      </c>
      <c r="S216" s="28" t="s">
        <v>56</v>
      </c>
      <c r="T216" s="28" t="s">
        <v>56</v>
      </c>
      <c r="U216" s="28" t="s">
        <v>56</v>
      </c>
      <c r="V216" s="28" t="s">
        <v>56</v>
      </c>
      <c r="W216" s="28" t="s">
        <v>56</v>
      </c>
      <c r="X216" s="28" t="s">
        <v>56</v>
      </c>
      <c r="Y216" s="28" t="s">
        <v>56</v>
      </c>
      <c r="Z216" s="28" t="s">
        <v>56</v>
      </c>
      <c r="AA216" s="28" t="s">
        <v>56</v>
      </c>
      <c r="AB216" s="194"/>
      <c r="AC216" s="194"/>
      <c r="AD216" s="63"/>
      <c r="AE216" s="63"/>
      <c r="AF216" s="63"/>
      <c r="AG216" s="63"/>
      <c r="AH216" s="63"/>
      <c r="AI216" s="63"/>
      <c r="AJ216" s="63"/>
      <c r="AK216" s="63"/>
      <c r="AL216" s="63"/>
      <c r="AM216" s="63"/>
    </row>
    <row r="217" spans="1:39" ht="15.75" customHeight="1" thickBot="1" x14ac:dyDescent="0.25">
      <c r="A217" s="190" t="str">
        <f>IF(C210="","",CONCATENATE(C211,'AB5'!$A$11))</f>
        <v>S1D</v>
      </c>
      <c r="B217" s="33" t="str">
        <f>IF(C210="","",IF('AB5'!$B$11="","",'AB5'!$B$11))</f>
        <v>No. of TGT</v>
      </c>
      <c r="C217" s="34" t="str">
        <f>IF(C210="","",VLOOKUP(C210,[1]AB2!A:X,11,FALSE))</f>
        <v>4 &amp; APS</v>
      </c>
      <c r="D217" s="195"/>
      <c r="E217" s="35"/>
      <c r="F217" s="36"/>
      <c r="G217" s="28" t="s">
        <v>56</v>
      </c>
      <c r="H217" s="28" t="s">
        <v>56</v>
      </c>
      <c r="I217" s="28" t="s">
        <v>56</v>
      </c>
      <c r="J217" s="35"/>
      <c r="K217" s="36"/>
      <c r="L217" s="37" t="str">
        <f>IF(C210="","",'AB5'!$G$11)</f>
        <v>SL / TRP</v>
      </c>
      <c r="M217" s="28" t="s">
        <v>56</v>
      </c>
      <c r="N217" s="28" t="s">
        <v>56</v>
      </c>
      <c r="O217" s="28" t="s">
        <v>56</v>
      </c>
      <c r="P217" s="28" t="s">
        <v>56</v>
      </c>
      <c r="Q217" s="28" t="s">
        <v>56</v>
      </c>
      <c r="R217" s="28" t="s">
        <v>56</v>
      </c>
      <c r="S217" s="28" t="s">
        <v>56</v>
      </c>
      <c r="T217" s="28" t="s">
        <v>56</v>
      </c>
      <c r="U217" s="28" t="s">
        <v>56</v>
      </c>
      <c r="V217" s="28" t="s">
        <v>56</v>
      </c>
      <c r="W217" s="28" t="s">
        <v>56</v>
      </c>
      <c r="X217" s="28" t="s">
        <v>56</v>
      </c>
      <c r="Y217" s="28" t="s">
        <v>56</v>
      </c>
      <c r="Z217" s="28" t="s">
        <v>56</v>
      </c>
      <c r="AA217" s="28" t="s">
        <v>56</v>
      </c>
      <c r="AB217" s="194"/>
      <c r="AC217" s="194"/>
      <c r="AD217" s="63"/>
      <c r="AE217" s="63"/>
      <c r="AF217" s="63"/>
      <c r="AG217" s="63"/>
      <c r="AH217" s="63"/>
      <c r="AI217" s="63"/>
      <c r="AJ217" s="63"/>
      <c r="AK217" s="63"/>
      <c r="AL217" s="63"/>
      <c r="AM217" s="63"/>
    </row>
    <row r="218" spans="1:39" ht="6" customHeight="1" thickBot="1" x14ac:dyDescent="0.25">
      <c r="A218" s="190" t="str">
        <f>IF(C210="","",CONCATENATE(C211,'AB5'!A94))</f>
        <v>S1</v>
      </c>
      <c r="B218" s="57" t="s">
        <v>192</v>
      </c>
      <c r="C218" s="58"/>
      <c r="D218" s="195"/>
      <c r="E218" s="35"/>
      <c r="F218" s="46"/>
      <c r="G218" s="45"/>
      <c r="H218" s="45"/>
      <c r="I218" s="45"/>
      <c r="J218" s="35"/>
      <c r="K218" s="46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194"/>
      <c r="AC218" s="194"/>
      <c r="AD218" s="63"/>
      <c r="AE218" s="63"/>
      <c r="AF218" s="63"/>
      <c r="AG218" s="63"/>
      <c r="AH218" s="63"/>
      <c r="AI218" s="63"/>
      <c r="AJ218" s="63"/>
      <c r="AK218" s="63"/>
      <c r="AL218" s="63"/>
      <c r="AM218" s="63"/>
    </row>
    <row r="219" spans="1:39" ht="15.75" customHeight="1" thickBot="1" x14ac:dyDescent="0.25">
      <c r="A219" s="190" t="str">
        <f>IF(C210="","",CONCATENATE(C211,'AB5'!$A$13))</f>
        <v>S1E</v>
      </c>
      <c r="B219" s="59"/>
      <c r="C219" s="35"/>
      <c r="D219" s="195"/>
      <c r="E219" s="35"/>
      <c r="F219" s="51" t="s">
        <v>127</v>
      </c>
      <c r="G219" s="28" t="s">
        <v>123</v>
      </c>
      <c r="H219" s="28" t="s">
        <v>56</v>
      </c>
      <c r="I219" s="28" t="s">
        <v>125</v>
      </c>
      <c r="J219" s="35"/>
      <c r="K219" s="51" t="s">
        <v>127</v>
      </c>
      <c r="L219" s="27" t="str">
        <f>IF(C210="","",'AB5'!$G$13)</f>
        <v>E &amp; T</v>
      </c>
      <c r="M219" s="38" t="s">
        <v>188</v>
      </c>
      <c r="N219" s="192">
        <v>5</v>
      </c>
      <c r="O219" s="38" t="s">
        <v>188</v>
      </c>
      <c r="P219" s="192"/>
      <c r="Q219" s="192">
        <v>1</v>
      </c>
      <c r="R219" s="38" t="s">
        <v>188</v>
      </c>
      <c r="S219" s="192">
        <v>1</v>
      </c>
      <c r="T219" s="38" t="s">
        <v>188</v>
      </c>
      <c r="U219" s="192">
        <v>1</v>
      </c>
      <c r="V219" s="38" t="s">
        <v>188</v>
      </c>
      <c r="W219" s="192">
        <v>1</v>
      </c>
      <c r="X219" s="38" t="s">
        <v>188</v>
      </c>
      <c r="Y219" s="192" t="s">
        <v>74</v>
      </c>
      <c r="Z219" s="38" t="s">
        <v>74</v>
      </c>
      <c r="AA219" s="193" t="s">
        <v>74</v>
      </c>
      <c r="AB219" s="194"/>
      <c r="AC219" s="194"/>
      <c r="AD219" s="63"/>
      <c r="AE219" s="63"/>
      <c r="AF219" s="63"/>
      <c r="AG219" s="63"/>
      <c r="AH219" s="63"/>
      <c r="AI219" s="63"/>
      <c r="AJ219" s="63"/>
      <c r="AK219" s="63"/>
      <c r="AL219" s="63"/>
      <c r="AM219" s="63"/>
    </row>
    <row r="220" spans="1:39" ht="15.75" customHeight="1" thickBot="1" x14ac:dyDescent="0.25">
      <c r="A220" s="190" t="str">
        <f>IF(C210="","",CONCATENATE(C211,'AB5'!$A$14))</f>
        <v>S1E</v>
      </c>
      <c r="B220" s="36"/>
      <c r="C220" s="54"/>
      <c r="D220" s="182"/>
      <c r="E220" s="54"/>
      <c r="F220" s="36"/>
      <c r="G220" s="38" t="s">
        <v>193</v>
      </c>
      <c r="H220" s="28" t="s">
        <v>56</v>
      </c>
      <c r="I220" s="28" t="s">
        <v>56</v>
      </c>
      <c r="J220" s="54"/>
      <c r="K220" s="36"/>
      <c r="L220" s="37" t="str">
        <f>IF(C210="","",'AB5'!$G$14)</f>
        <v>SL / TRP</v>
      </c>
      <c r="M220" s="38" t="s">
        <v>188</v>
      </c>
      <c r="N220" s="196">
        <v>5</v>
      </c>
      <c r="O220" s="38" t="s">
        <v>188</v>
      </c>
      <c r="P220" s="196"/>
      <c r="Q220" s="196">
        <v>4</v>
      </c>
      <c r="R220" s="38" t="s">
        <v>188</v>
      </c>
      <c r="S220" s="196">
        <v>3</v>
      </c>
      <c r="T220" s="38" t="s">
        <v>188</v>
      </c>
      <c r="U220" s="196">
        <v>2</v>
      </c>
      <c r="V220" s="38" t="s">
        <v>188</v>
      </c>
      <c r="W220" s="196">
        <v>1</v>
      </c>
      <c r="X220" s="38" t="s">
        <v>188</v>
      </c>
      <c r="Y220" s="196">
        <v>1</v>
      </c>
      <c r="Z220" s="38" t="s">
        <v>74</v>
      </c>
      <c r="AA220" s="197" t="s">
        <v>74</v>
      </c>
      <c r="AB220" s="194"/>
      <c r="AC220" s="194"/>
      <c r="AD220" s="63"/>
      <c r="AE220" s="63"/>
      <c r="AF220" s="63"/>
      <c r="AG220" s="63"/>
      <c r="AH220" s="63"/>
      <c r="AI220" s="63"/>
      <c r="AJ220" s="63"/>
      <c r="AK220" s="63"/>
      <c r="AL220" s="63"/>
      <c r="AM220" s="63"/>
    </row>
    <row r="221" spans="1:39" ht="15.75" customHeight="1" thickBot="1" x14ac:dyDescent="0.25">
      <c r="A221" s="190"/>
      <c r="B221" s="55"/>
      <c r="C221" s="55"/>
      <c r="D221" s="55"/>
      <c r="E221" s="55"/>
      <c r="F221" s="55"/>
      <c r="G221" s="55"/>
      <c r="H221" s="55"/>
      <c r="I221" s="55"/>
      <c r="J221" s="55"/>
      <c r="K221" s="190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0"/>
      <c r="AB221" s="200"/>
      <c r="AC221" s="200"/>
      <c r="AD221" s="63"/>
      <c r="AE221" s="63"/>
      <c r="AF221" s="63"/>
      <c r="AG221" s="63"/>
      <c r="AH221" s="63"/>
      <c r="AI221" s="63"/>
      <c r="AJ221" s="63"/>
      <c r="AK221" s="63"/>
      <c r="AL221" s="63"/>
      <c r="AM221" s="63"/>
    </row>
    <row r="222" spans="1:39" ht="15.75" customHeight="1" x14ac:dyDescent="0.2">
      <c r="A222" s="190"/>
      <c r="B222" s="201" t="s">
        <v>34</v>
      </c>
      <c r="C222" s="32"/>
      <c r="D222" s="202" t="s">
        <v>35</v>
      </c>
      <c r="E222" s="203" t="s">
        <v>36</v>
      </c>
      <c r="F222" s="123"/>
      <c r="G222" s="204" t="s">
        <v>128</v>
      </c>
      <c r="H222" s="205" t="s">
        <v>38</v>
      </c>
      <c r="I222" s="206" t="s">
        <v>39</v>
      </c>
      <c r="J222" s="207" t="s">
        <v>40</v>
      </c>
      <c r="K222" s="123"/>
      <c r="L222" s="208" t="s">
        <v>41</v>
      </c>
      <c r="M222" s="206" t="s">
        <v>129</v>
      </c>
      <c r="N222" s="204" t="s">
        <v>130</v>
      </c>
      <c r="O222" s="206" t="s">
        <v>131</v>
      </c>
      <c r="P222" s="207" t="s">
        <v>194</v>
      </c>
      <c r="Q222" s="123"/>
      <c r="R222" s="123"/>
      <c r="S222" s="205" t="s">
        <v>43</v>
      </c>
      <c r="T222" s="207" t="s">
        <v>133</v>
      </c>
      <c r="U222" s="123"/>
      <c r="V222" s="204" t="s">
        <v>134</v>
      </c>
      <c r="W222" s="204" t="s">
        <v>135</v>
      </c>
      <c r="X222" s="209" t="s">
        <v>136</v>
      </c>
      <c r="Y222" s="123"/>
      <c r="Z222" s="206" t="s">
        <v>43</v>
      </c>
      <c r="AA222" s="204" t="s">
        <v>44</v>
      </c>
      <c r="AB222" s="60"/>
      <c r="AC222" s="60"/>
      <c r="AD222" s="63"/>
      <c r="AE222" s="63"/>
      <c r="AF222" s="63"/>
      <c r="AG222" s="63"/>
      <c r="AH222" s="63"/>
      <c r="AI222" s="63"/>
      <c r="AJ222" s="63"/>
      <c r="AK222" s="63"/>
      <c r="AL222" s="63"/>
      <c r="AM222" s="63"/>
    </row>
    <row r="223" spans="1:39" ht="15.75" customHeight="1" x14ac:dyDescent="0.2">
      <c r="A223" s="190" t="s">
        <v>137</v>
      </c>
      <c r="B223" s="210" t="s">
        <v>47</v>
      </c>
      <c r="C223" s="211" t="s">
        <v>48</v>
      </c>
      <c r="D223" s="212" t="s">
        <v>195</v>
      </c>
      <c r="E223" s="78" t="s">
        <v>81</v>
      </c>
      <c r="F223" s="78" t="s">
        <v>196</v>
      </c>
      <c r="G223" s="213" t="s">
        <v>52</v>
      </c>
      <c r="H223" s="214" t="s">
        <v>53</v>
      </c>
      <c r="I223" s="215" t="s">
        <v>54</v>
      </c>
      <c r="J223" s="216" t="s">
        <v>55</v>
      </c>
      <c r="K223" s="65"/>
      <c r="L223" s="214"/>
      <c r="M223" s="215" t="s">
        <v>56</v>
      </c>
      <c r="N223" s="217" t="s">
        <v>56</v>
      </c>
      <c r="O223" s="215" t="s">
        <v>56</v>
      </c>
      <c r="P223" s="218" t="s">
        <v>56</v>
      </c>
      <c r="Q223" s="67"/>
      <c r="R223" s="67"/>
      <c r="S223" s="214" t="s">
        <v>56</v>
      </c>
      <c r="T223" s="218" t="s">
        <v>56</v>
      </c>
      <c r="U223" s="67"/>
      <c r="V223" s="217" t="s">
        <v>56</v>
      </c>
      <c r="W223" s="217" t="s">
        <v>56</v>
      </c>
      <c r="X223" s="219" t="s">
        <v>56</v>
      </c>
      <c r="Y223" s="65"/>
      <c r="Z223" s="215" t="s">
        <v>56</v>
      </c>
      <c r="AA223" s="217" t="s">
        <v>56</v>
      </c>
      <c r="AB223" s="60"/>
      <c r="AC223" s="60"/>
      <c r="AD223" s="63"/>
      <c r="AE223" s="63"/>
      <c r="AF223" s="63"/>
      <c r="AG223" s="63"/>
      <c r="AH223" s="63"/>
      <c r="AI223" s="63"/>
      <c r="AJ223" s="63"/>
      <c r="AK223" s="63"/>
      <c r="AL223" s="63"/>
      <c r="AM223" s="63"/>
    </row>
    <row r="224" spans="1:39" ht="27.75" customHeight="1" thickBot="1" x14ac:dyDescent="0.25">
      <c r="A224" s="190" t="s">
        <v>140</v>
      </c>
      <c r="B224" s="220"/>
      <c r="C224" s="221"/>
      <c r="D224" s="59"/>
      <c r="E224" s="89"/>
      <c r="F224" s="89"/>
      <c r="G224" s="222" t="s">
        <v>58</v>
      </c>
      <c r="H224" s="223" t="s">
        <v>59</v>
      </c>
      <c r="I224" s="215" t="s">
        <v>197</v>
      </c>
      <c r="J224" s="216" t="s">
        <v>61</v>
      </c>
      <c r="K224" s="67"/>
      <c r="L224" s="214"/>
      <c r="M224" s="215" t="s">
        <v>148</v>
      </c>
      <c r="N224" s="224"/>
      <c r="O224" s="38" t="s">
        <v>190</v>
      </c>
      <c r="P224" s="327" t="s">
        <v>193</v>
      </c>
      <c r="Q224" s="178"/>
      <c r="R224" s="40"/>
      <c r="S224" s="226" t="s">
        <v>63</v>
      </c>
      <c r="T224" s="225" t="s">
        <v>56</v>
      </c>
      <c r="U224" s="67"/>
      <c r="V224" s="224" t="s">
        <v>142</v>
      </c>
      <c r="W224" s="224"/>
      <c r="X224" s="219" t="s">
        <v>148</v>
      </c>
      <c r="Y224" s="65"/>
      <c r="Z224" s="227" t="s">
        <v>63</v>
      </c>
      <c r="AA224" s="224" t="s">
        <v>143</v>
      </c>
      <c r="AB224" s="60"/>
      <c r="AC224" s="60"/>
      <c r="AD224" s="63"/>
      <c r="AE224" s="63"/>
      <c r="AF224" s="63"/>
      <c r="AG224" s="63"/>
      <c r="AH224" s="63"/>
      <c r="AI224" s="63"/>
      <c r="AJ224" s="63"/>
      <c r="AK224" s="63"/>
      <c r="AL224" s="63"/>
      <c r="AM224" s="63"/>
    </row>
    <row r="225" spans="1:39" ht="15.75" customHeight="1" thickBot="1" x14ac:dyDescent="0.25">
      <c r="A225" s="190"/>
      <c r="B225" s="55"/>
      <c r="C225" s="55"/>
      <c r="D225" s="228"/>
      <c r="E225" s="98"/>
      <c r="F225" s="98"/>
      <c r="G225" s="99"/>
      <c r="H225" s="98"/>
      <c r="I225" s="215" t="s">
        <v>198</v>
      </c>
      <c r="J225" s="216" t="s">
        <v>56</v>
      </c>
      <c r="K225" s="67"/>
      <c r="L225" s="214" t="s">
        <v>56</v>
      </c>
      <c r="M225" s="214" t="s">
        <v>56</v>
      </c>
      <c r="N225" s="214" t="s">
        <v>56</v>
      </c>
      <c r="O225" s="214" t="s">
        <v>56</v>
      </c>
      <c r="P225" s="216" t="s">
        <v>56</v>
      </c>
      <c r="Q225" s="67"/>
      <c r="R225" s="65"/>
      <c r="S225" s="214" t="s">
        <v>56</v>
      </c>
      <c r="T225" s="216" t="s">
        <v>56</v>
      </c>
      <c r="U225" s="65"/>
      <c r="V225" s="214" t="s">
        <v>56</v>
      </c>
      <c r="W225" s="214" t="s">
        <v>56</v>
      </c>
      <c r="X225" s="216" t="s">
        <v>56</v>
      </c>
      <c r="Y225" s="65"/>
      <c r="Z225" s="214" t="s">
        <v>56</v>
      </c>
      <c r="AA225" s="214" t="s">
        <v>56</v>
      </c>
      <c r="AB225" s="60"/>
      <c r="AC225" s="60"/>
      <c r="AD225" s="63"/>
      <c r="AE225" s="63"/>
      <c r="AF225" s="63"/>
      <c r="AG225" s="63"/>
      <c r="AH225" s="63"/>
      <c r="AI225" s="63"/>
      <c r="AJ225" s="63"/>
      <c r="AK225" s="63"/>
      <c r="AL225" s="63"/>
      <c r="AM225" s="63"/>
    </row>
    <row r="226" spans="1:39" ht="15.75" customHeight="1" x14ac:dyDescent="0.2">
      <c r="A226" s="190"/>
      <c r="B226" s="201" t="s">
        <v>68</v>
      </c>
      <c r="C226" s="32"/>
      <c r="D226" s="229" t="s">
        <v>199</v>
      </c>
      <c r="E226" s="78" t="s">
        <v>81</v>
      </c>
      <c r="F226" s="78" t="s">
        <v>200</v>
      </c>
      <c r="G226" s="230" t="s">
        <v>52</v>
      </c>
      <c r="H226" s="231" t="s">
        <v>53</v>
      </c>
      <c r="I226" s="232" t="s">
        <v>54</v>
      </c>
      <c r="J226" s="233" t="s">
        <v>55</v>
      </c>
      <c r="K226" s="65"/>
      <c r="L226" s="234"/>
      <c r="M226" s="232" t="s">
        <v>56</v>
      </c>
      <c r="N226" s="235" t="s">
        <v>56</v>
      </c>
      <c r="O226" s="232" t="s">
        <v>56</v>
      </c>
      <c r="P226" s="236" t="s">
        <v>56</v>
      </c>
      <c r="Q226" s="67"/>
      <c r="R226" s="67"/>
      <c r="S226" s="231" t="s">
        <v>56</v>
      </c>
      <c r="T226" s="304" t="s">
        <v>56</v>
      </c>
      <c r="U226" s="67"/>
      <c r="V226" s="235" t="s">
        <v>56</v>
      </c>
      <c r="W226" s="235" t="s">
        <v>56</v>
      </c>
      <c r="X226" s="237" t="s">
        <v>56</v>
      </c>
      <c r="Y226" s="65"/>
      <c r="Z226" s="232" t="s">
        <v>56</v>
      </c>
      <c r="AA226" s="235" t="s">
        <v>56</v>
      </c>
      <c r="AB226" s="60"/>
      <c r="AC226" s="60"/>
      <c r="AD226" s="63"/>
      <c r="AE226" s="63"/>
      <c r="AF226" s="63"/>
      <c r="AG226" s="63"/>
      <c r="AH226" s="63"/>
      <c r="AI226" s="63"/>
      <c r="AJ226" s="63"/>
      <c r="AK226" s="63"/>
      <c r="AL226" s="63"/>
      <c r="AM226" s="63"/>
    </row>
    <row r="227" spans="1:39" ht="15.75" customHeight="1" x14ac:dyDescent="0.2">
      <c r="A227" s="190" t="s">
        <v>137</v>
      </c>
      <c r="B227" s="210" t="s">
        <v>47</v>
      </c>
      <c r="C227" s="211" t="s">
        <v>48</v>
      </c>
      <c r="D227" s="59"/>
      <c r="E227" s="89"/>
      <c r="F227" s="89"/>
      <c r="G227" s="238" t="s">
        <v>58</v>
      </c>
      <c r="H227" s="239" t="s">
        <v>59</v>
      </c>
      <c r="I227" s="232" t="s">
        <v>201</v>
      </c>
      <c r="J227" s="216" t="s">
        <v>56</v>
      </c>
      <c r="K227" s="67"/>
      <c r="L227" s="214" t="s">
        <v>56</v>
      </c>
      <c r="M227" s="214" t="s">
        <v>56</v>
      </c>
      <c r="N227" s="214" t="s">
        <v>56</v>
      </c>
      <c r="O227" s="214" t="s">
        <v>56</v>
      </c>
      <c r="P227" s="216" t="s">
        <v>56</v>
      </c>
      <c r="Q227" s="67"/>
      <c r="R227" s="65"/>
      <c r="S227" s="214" t="s">
        <v>56</v>
      </c>
      <c r="T227" s="216" t="s">
        <v>56</v>
      </c>
      <c r="U227" s="65"/>
      <c r="V227" s="214" t="s">
        <v>56</v>
      </c>
      <c r="W227" s="214" t="s">
        <v>56</v>
      </c>
      <c r="X227" s="216" t="s">
        <v>56</v>
      </c>
      <c r="Y227" s="65"/>
      <c r="Z227" s="214" t="s">
        <v>56</v>
      </c>
      <c r="AA227" s="214" t="s">
        <v>56</v>
      </c>
      <c r="AB227" s="60"/>
      <c r="AC227" s="60"/>
      <c r="AD227" s="63"/>
      <c r="AE227" s="63"/>
      <c r="AF227" s="63"/>
      <c r="AG227" s="63"/>
      <c r="AH227" s="63"/>
      <c r="AI227" s="63"/>
      <c r="AJ227" s="63"/>
      <c r="AK227" s="63"/>
      <c r="AL227" s="63"/>
      <c r="AM227" s="63"/>
    </row>
    <row r="228" spans="1:39" ht="15.75" customHeight="1" thickBot="1" x14ac:dyDescent="0.25">
      <c r="A228" s="190" t="s">
        <v>140</v>
      </c>
      <c r="B228" s="220"/>
      <c r="C228" s="221"/>
      <c r="D228" s="36"/>
      <c r="E228" s="98"/>
      <c r="F228" s="98"/>
      <c r="G228" s="146"/>
      <c r="H228" s="145"/>
      <c r="I228" s="242" t="s">
        <v>202</v>
      </c>
      <c r="J228" s="243" t="s">
        <v>61</v>
      </c>
      <c r="K228" s="178"/>
      <c r="L228" s="244"/>
      <c r="M228" s="242" t="s">
        <v>142</v>
      </c>
      <c r="N228" s="245"/>
      <c r="O228" s="38" t="s">
        <v>193</v>
      </c>
      <c r="P228" s="327" t="s">
        <v>190</v>
      </c>
      <c r="Q228" s="178"/>
      <c r="R228" s="40"/>
      <c r="S228" s="240" t="s">
        <v>73</v>
      </c>
      <c r="T228" s="225" t="s">
        <v>56</v>
      </c>
      <c r="U228" s="67"/>
      <c r="V228" s="245" t="s">
        <v>142</v>
      </c>
      <c r="W228" s="245"/>
      <c r="X228" s="247" t="s">
        <v>148</v>
      </c>
      <c r="Y228" s="40"/>
      <c r="Z228" s="248" t="s">
        <v>63</v>
      </c>
      <c r="AA228" s="245" t="s">
        <v>143</v>
      </c>
      <c r="AB228" s="60"/>
      <c r="AC228" s="60"/>
      <c r="AD228" s="63"/>
      <c r="AE228" s="63"/>
      <c r="AF228" s="63"/>
      <c r="AG228" s="63"/>
      <c r="AH228" s="63"/>
      <c r="AI228" s="63"/>
      <c r="AJ228" s="63"/>
      <c r="AK228" s="63"/>
      <c r="AL228" s="63"/>
      <c r="AM228" s="63"/>
    </row>
    <row r="229" spans="1:39" ht="15.75" customHeight="1" thickBot="1" x14ac:dyDescent="0.25">
      <c r="A229" s="190"/>
      <c r="B229" s="190"/>
      <c r="C229" s="190"/>
      <c r="D229" s="190"/>
      <c r="E229" s="190"/>
      <c r="F229" s="190"/>
      <c r="G229" s="190"/>
      <c r="H229" s="190"/>
      <c r="I229" s="190"/>
      <c r="J229" s="190"/>
      <c r="K229" s="190"/>
      <c r="L229" s="190"/>
      <c r="M229" s="190"/>
      <c r="N229" s="190"/>
      <c r="P229" s="190"/>
      <c r="Q229" s="190"/>
      <c r="R229" s="190"/>
      <c r="T229" s="190"/>
      <c r="U229" s="190"/>
      <c r="V229" s="190"/>
      <c r="W229" s="190"/>
      <c r="X229" s="190"/>
      <c r="Y229" s="190"/>
      <c r="AD229" s="63"/>
      <c r="AE229" s="63"/>
      <c r="AF229" s="63"/>
      <c r="AG229" s="63"/>
      <c r="AH229" s="63"/>
      <c r="AI229" s="63"/>
      <c r="AJ229" s="63"/>
      <c r="AK229" s="63"/>
      <c r="AL229" s="63"/>
      <c r="AM229" s="63"/>
    </row>
    <row r="230" spans="1:39" ht="15.75" customHeight="1" x14ac:dyDescent="0.2">
      <c r="A230" s="190"/>
      <c r="B230" s="201" t="s">
        <v>78</v>
      </c>
      <c r="C230" s="32"/>
      <c r="D230" s="202" t="s">
        <v>35</v>
      </c>
      <c r="E230" s="203" t="s">
        <v>36</v>
      </c>
      <c r="F230" s="123"/>
      <c r="G230" s="204" t="s">
        <v>37</v>
      </c>
      <c r="H230" s="205" t="s">
        <v>79</v>
      </c>
      <c r="I230" s="206" t="s">
        <v>39</v>
      </c>
      <c r="J230" s="207" t="s">
        <v>40</v>
      </c>
      <c r="K230" s="123"/>
      <c r="L230" s="208" t="s">
        <v>41</v>
      </c>
      <c r="M230" s="206" t="s">
        <v>42</v>
      </c>
      <c r="N230" s="205" t="s">
        <v>43</v>
      </c>
      <c r="O230" s="204" t="s">
        <v>44</v>
      </c>
      <c r="P230" s="249" t="s">
        <v>150</v>
      </c>
      <c r="Q230" s="249" t="s">
        <v>151</v>
      </c>
      <c r="R230" s="249" t="s">
        <v>152</v>
      </c>
      <c r="S230" s="328" t="s">
        <v>153</v>
      </c>
      <c r="T230" s="252" t="s">
        <v>223</v>
      </c>
      <c r="U230" s="251"/>
      <c r="V230" s="252" t="s">
        <v>134</v>
      </c>
      <c r="W230" s="251"/>
      <c r="X230" s="253" t="s">
        <v>135</v>
      </c>
      <c r="Y230" s="252" t="s">
        <v>155</v>
      </c>
      <c r="Z230" s="329"/>
      <c r="AA230" s="251"/>
      <c r="AB230" s="254"/>
      <c r="AC230" s="254"/>
      <c r="AD230" s="63"/>
      <c r="AE230" s="63"/>
      <c r="AF230" s="63"/>
      <c r="AG230" s="63"/>
      <c r="AH230" s="63"/>
      <c r="AI230" s="63"/>
      <c r="AJ230" s="63"/>
      <c r="AK230" s="63"/>
      <c r="AL230" s="63"/>
      <c r="AM230" s="63"/>
    </row>
    <row r="231" spans="1:39" ht="15.75" customHeight="1" thickBot="1" x14ac:dyDescent="0.25">
      <c r="A231" s="190" t="s">
        <v>137</v>
      </c>
      <c r="B231" s="255" t="s">
        <v>47</v>
      </c>
      <c r="C231" s="256" t="s">
        <v>48</v>
      </c>
      <c r="D231" s="229" t="s">
        <v>203</v>
      </c>
      <c r="E231" s="257" t="s">
        <v>50</v>
      </c>
      <c r="F231" s="257" t="s">
        <v>204</v>
      </c>
      <c r="G231" s="258" t="s">
        <v>52</v>
      </c>
      <c r="H231" s="259" t="s">
        <v>83</v>
      </c>
      <c r="I231" s="260" t="s">
        <v>54</v>
      </c>
      <c r="J231" s="261" t="s">
        <v>55</v>
      </c>
      <c r="K231" s="67"/>
      <c r="L231" s="262"/>
      <c r="M231" s="260" t="s">
        <v>56</v>
      </c>
      <c r="N231" s="259" t="s">
        <v>56</v>
      </c>
      <c r="O231" s="263" t="s">
        <v>56</v>
      </c>
      <c r="P231" s="264" t="s">
        <v>18</v>
      </c>
      <c r="Q231" s="265" t="s">
        <v>122</v>
      </c>
      <c r="R231" s="266" t="s">
        <v>161</v>
      </c>
      <c r="S231" s="38" t="s">
        <v>190</v>
      </c>
      <c r="T231" s="327" t="s">
        <v>193</v>
      </c>
      <c r="U231" s="40"/>
      <c r="V231" s="268" t="s">
        <v>161</v>
      </c>
      <c r="W231" s="251"/>
      <c r="X231" s="330"/>
      <c r="Y231" s="268" t="s">
        <v>205</v>
      </c>
      <c r="Z231" s="329"/>
      <c r="AA231" s="251"/>
      <c r="AD231" s="63"/>
      <c r="AE231" s="63"/>
      <c r="AF231" s="63"/>
      <c r="AG231" s="63"/>
      <c r="AH231" s="63"/>
      <c r="AI231" s="63"/>
      <c r="AJ231" s="63"/>
      <c r="AK231" s="63"/>
      <c r="AL231" s="63"/>
      <c r="AM231" s="63"/>
    </row>
    <row r="232" spans="1:39" ht="15.75" customHeight="1" thickBot="1" x14ac:dyDescent="0.25">
      <c r="A232" s="190" t="s">
        <v>140</v>
      </c>
      <c r="B232" s="270"/>
      <c r="C232" s="271"/>
      <c r="D232" s="59"/>
      <c r="E232" s="59"/>
      <c r="F232" s="59"/>
      <c r="G232" s="272" t="s">
        <v>58</v>
      </c>
      <c r="H232" s="273" t="s">
        <v>85</v>
      </c>
      <c r="I232" s="232" t="s">
        <v>160</v>
      </c>
      <c r="J232" s="261" t="s">
        <v>61</v>
      </c>
      <c r="K232" s="67"/>
      <c r="L232" s="262"/>
      <c r="M232" s="260" t="s">
        <v>74</v>
      </c>
      <c r="N232" s="240" t="s">
        <v>73</v>
      </c>
      <c r="O232" s="263"/>
      <c r="P232" s="98"/>
      <c r="Q232" s="275" t="s">
        <v>127</v>
      </c>
      <c r="R232" s="266" t="s">
        <v>56</v>
      </c>
      <c r="S232" s="331" t="s">
        <v>56</v>
      </c>
      <c r="T232" s="332" t="s">
        <v>56</v>
      </c>
      <c r="U232" s="101"/>
      <c r="V232" s="332" t="s">
        <v>56</v>
      </c>
      <c r="W232" s="101"/>
      <c r="X232" s="331" t="s">
        <v>56</v>
      </c>
      <c r="Y232" s="322" t="s">
        <v>56</v>
      </c>
      <c r="Z232" s="67"/>
      <c r="AA232" s="65"/>
      <c r="AD232" s="63"/>
      <c r="AE232" s="63"/>
      <c r="AF232" s="63"/>
      <c r="AG232" s="63"/>
      <c r="AH232" s="63"/>
      <c r="AI232" s="63"/>
      <c r="AJ232" s="63"/>
      <c r="AK232" s="63"/>
      <c r="AL232" s="63"/>
      <c r="AM232" s="63"/>
    </row>
    <row r="233" spans="1:39" ht="15.75" customHeight="1" thickBot="1" x14ac:dyDescent="0.25">
      <c r="A233" s="190"/>
      <c r="D233" s="228"/>
      <c r="E233" s="228"/>
      <c r="F233" s="228"/>
      <c r="G233" s="86"/>
      <c r="H233" s="98"/>
      <c r="I233" s="28" t="s">
        <v>56</v>
      </c>
      <c r="J233" s="333" t="s">
        <v>56</v>
      </c>
      <c r="K233" s="30"/>
      <c r="L233" s="28" t="s">
        <v>56</v>
      </c>
      <c r="M233" s="28" t="s">
        <v>56</v>
      </c>
      <c r="N233" s="28" t="s">
        <v>56</v>
      </c>
      <c r="O233" s="28" t="s">
        <v>56</v>
      </c>
      <c r="P233" s="276" t="s">
        <v>30</v>
      </c>
      <c r="Q233" s="265" t="s">
        <v>122</v>
      </c>
      <c r="R233" s="266" t="s">
        <v>56</v>
      </c>
      <c r="S233" s="334" t="s">
        <v>56</v>
      </c>
      <c r="T233" s="322" t="s">
        <v>56</v>
      </c>
      <c r="U233" s="65"/>
      <c r="V233" s="322" t="s">
        <v>56</v>
      </c>
      <c r="W233" s="65"/>
      <c r="X233" s="331" t="s">
        <v>56</v>
      </c>
      <c r="Y233" s="322" t="s">
        <v>56</v>
      </c>
      <c r="Z233" s="67"/>
      <c r="AA233" s="65"/>
      <c r="AD233" s="63"/>
      <c r="AE233" s="63"/>
      <c r="AF233" s="63"/>
      <c r="AG233" s="63"/>
      <c r="AH233" s="63"/>
      <c r="AI233" s="63"/>
      <c r="AJ233" s="63"/>
      <c r="AK233" s="63"/>
      <c r="AL233" s="63"/>
      <c r="AM233" s="63"/>
    </row>
    <row r="234" spans="1:39" ht="15.75" customHeight="1" thickBot="1" x14ac:dyDescent="0.25">
      <c r="A234" s="190"/>
      <c r="B234" s="203" t="s">
        <v>32</v>
      </c>
      <c r="C234" s="124"/>
      <c r="D234" s="212" t="s">
        <v>206</v>
      </c>
      <c r="E234" s="257" t="s">
        <v>50</v>
      </c>
      <c r="F234" s="257" t="s">
        <v>207</v>
      </c>
      <c r="G234" s="280" t="s">
        <v>52</v>
      </c>
      <c r="H234" s="281" t="s">
        <v>83</v>
      </c>
      <c r="I234" s="215" t="s">
        <v>54</v>
      </c>
      <c r="J234" s="282" t="s">
        <v>55</v>
      </c>
      <c r="K234" s="65"/>
      <c r="L234" s="281"/>
      <c r="M234" s="283" t="s">
        <v>56</v>
      </c>
      <c r="N234" s="281" t="s">
        <v>56</v>
      </c>
      <c r="O234" s="284" t="s">
        <v>56</v>
      </c>
      <c r="P234" s="98"/>
      <c r="Q234" s="275" t="s">
        <v>127</v>
      </c>
      <c r="R234" s="277" t="s">
        <v>158</v>
      </c>
      <c r="S234" s="38" t="s">
        <v>193</v>
      </c>
      <c r="T234" s="327" t="s">
        <v>190</v>
      </c>
      <c r="U234" s="40"/>
      <c r="V234" s="335" t="s">
        <v>161</v>
      </c>
      <c r="W234" s="336"/>
      <c r="X234" s="337"/>
      <c r="Y234" s="268" t="s">
        <v>205</v>
      </c>
      <c r="Z234" s="329"/>
      <c r="AA234" s="251"/>
      <c r="AD234" s="63"/>
      <c r="AE234" s="63"/>
      <c r="AF234" s="63"/>
      <c r="AG234" s="63"/>
      <c r="AH234" s="63"/>
      <c r="AI234" s="63"/>
      <c r="AJ234" s="63"/>
      <c r="AK234" s="63"/>
      <c r="AL234" s="63"/>
      <c r="AM234" s="63"/>
    </row>
    <row r="235" spans="1:39" ht="15.75" customHeight="1" thickBot="1" x14ac:dyDescent="0.25">
      <c r="B235" s="59"/>
      <c r="C235" s="35"/>
      <c r="D235" s="59"/>
      <c r="E235" s="59"/>
      <c r="F235" s="59"/>
      <c r="G235" s="285" t="s">
        <v>58</v>
      </c>
      <c r="H235" s="286" t="s">
        <v>85</v>
      </c>
      <c r="I235" s="215" t="s">
        <v>94</v>
      </c>
      <c r="J235" s="333" t="s">
        <v>56</v>
      </c>
      <c r="K235" s="30"/>
      <c r="L235" s="28" t="s">
        <v>56</v>
      </c>
      <c r="M235" s="28" t="s">
        <v>56</v>
      </c>
      <c r="N235" s="28" t="s">
        <v>56</v>
      </c>
      <c r="O235" s="28" t="s">
        <v>56</v>
      </c>
      <c r="AD235" s="63"/>
      <c r="AE235" s="63"/>
      <c r="AF235" s="63"/>
      <c r="AG235" s="63"/>
      <c r="AH235" s="63"/>
      <c r="AI235" s="63"/>
      <c r="AJ235" s="63"/>
      <c r="AK235" s="63"/>
      <c r="AL235" s="63"/>
      <c r="AM235" s="63"/>
    </row>
    <row r="236" spans="1:39" ht="15.75" customHeight="1" thickBot="1" x14ac:dyDescent="0.25">
      <c r="B236" s="36"/>
      <c r="C236" s="54"/>
      <c r="D236" s="36"/>
      <c r="E236" s="228"/>
      <c r="F236" s="228"/>
      <c r="G236" s="86"/>
      <c r="H236" s="145"/>
      <c r="I236" s="215" t="s">
        <v>95</v>
      </c>
      <c r="J236" s="282" t="s">
        <v>61</v>
      </c>
      <c r="K236" s="65"/>
      <c r="L236" s="281"/>
      <c r="M236" s="28" t="s">
        <v>56</v>
      </c>
      <c r="N236" s="226" t="s">
        <v>73</v>
      </c>
      <c r="O236" s="284"/>
      <c r="AD236" s="63"/>
      <c r="AE236" s="63"/>
      <c r="AF236" s="63"/>
      <c r="AG236" s="63"/>
      <c r="AH236" s="63"/>
      <c r="AI236" s="63"/>
      <c r="AJ236" s="63"/>
      <c r="AK236" s="63"/>
      <c r="AL236" s="63"/>
      <c r="AM236" s="63"/>
    </row>
    <row r="237" spans="1:39" ht="15.75" customHeight="1" thickBot="1" x14ac:dyDescent="0.25">
      <c r="A237" s="20"/>
      <c r="B237" s="64" t="s">
        <v>97</v>
      </c>
      <c r="C237" s="65"/>
      <c r="G237" s="118"/>
      <c r="H237" s="118"/>
      <c r="I237" s="119" t="s">
        <v>203</v>
      </c>
      <c r="J237" s="87"/>
      <c r="K237" s="87"/>
      <c r="L237" s="87"/>
      <c r="M237" s="87"/>
      <c r="N237" s="87"/>
      <c r="O237" s="87"/>
      <c r="P237" s="87"/>
      <c r="Q237" s="87"/>
      <c r="R237" s="120" t="s">
        <v>206</v>
      </c>
      <c r="S237" s="87"/>
      <c r="T237" s="87"/>
      <c r="U237" s="87"/>
      <c r="V237" s="87"/>
      <c r="W237" s="87"/>
      <c r="X237" s="87"/>
      <c r="Y237" s="87"/>
      <c r="Z237" s="87"/>
      <c r="AA237" s="87"/>
      <c r="AB237" s="87"/>
      <c r="AC237" s="87"/>
      <c r="AD237" s="87"/>
      <c r="AE237" s="63"/>
      <c r="AF237" s="63"/>
      <c r="AG237" s="63"/>
      <c r="AH237" s="63"/>
      <c r="AI237" s="63"/>
      <c r="AJ237" s="63"/>
      <c r="AK237" s="63"/>
      <c r="AL237" s="63"/>
      <c r="AM237" s="63"/>
    </row>
    <row r="238" spans="1:39" ht="15.75" customHeight="1" x14ac:dyDescent="0.2">
      <c r="A238" s="20" t="s">
        <v>16</v>
      </c>
      <c r="B238" s="121" t="s">
        <v>98</v>
      </c>
      <c r="C238" s="65"/>
      <c r="D238" s="122" t="s">
        <v>99</v>
      </c>
      <c r="E238" s="123"/>
      <c r="F238" s="124"/>
      <c r="G238" s="118" t="s">
        <v>100</v>
      </c>
      <c r="H238" s="118" t="s">
        <v>208</v>
      </c>
      <c r="I238" s="125" t="s">
        <v>58</v>
      </c>
      <c r="J238" s="101"/>
      <c r="K238" s="126" t="s">
        <v>102</v>
      </c>
      <c r="L238" s="87"/>
      <c r="M238" s="87"/>
      <c r="N238" s="87"/>
      <c r="O238" s="87"/>
      <c r="P238" s="87"/>
      <c r="Q238" s="87"/>
      <c r="R238" s="118" t="s">
        <v>100</v>
      </c>
      <c r="S238" s="128" t="s">
        <v>209</v>
      </c>
      <c r="T238" s="77"/>
      <c r="U238" s="125" t="s">
        <v>58</v>
      </c>
      <c r="V238" s="101"/>
      <c r="W238" s="126" t="s">
        <v>102</v>
      </c>
      <c r="X238" s="87"/>
      <c r="Y238" s="87"/>
      <c r="Z238" s="87"/>
      <c r="AA238" s="87"/>
      <c r="AB238" s="87"/>
      <c r="AC238" s="87"/>
      <c r="AD238" s="87"/>
      <c r="AE238" s="63"/>
      <c r="AF238" s="63"/>
      <c r="AG238" s="63"/>
      <c r="AH238" s="63"/>
      <c r="AI238" s="63"/>
      <c r="AJ238" s="63"/>
      <c r="AK238" s="63"/>
      <c r="AL238" s="63"/>
      <c r="AM238" s="63"/>
    </row>
    <row r="239" spans="1:39" ht="15.75" customHeight="1" x14ac:dyDescent="0.2">
      <c r="B239" s="129"/>
      <c r="C239" s="106"/>
      <c r="D239" s="87"/>
      <c r="E239" s="87"/>
      <c r="F239" s="35"/>
      <c r="G239" s="118" t="s">
        <v>100</v>
      </c>
      <c r="H239" s="118" t="s">
        <v>210</v>
      </c>
      <c r="I239" s="125" t="s">
        <v>58</v>
      </c>
      <c r="J239" s="101"/>
      <c r="K239" s="60" t="s">
        <v>105</v>
      </c>
      <c r="L239" s="60"/>
      <c r="M239" s="60"/>
      <c r="N239" s="60"/>
      <c r="O239" s="60"/>
      <c r="P239" s="60"/>
      <c r="Q239" s="60"/>
      <c r="R239" s="118" t="s">
        <v>100</v>
      </c>
      <c r="S239" s="128" t="s">
        <v>211</v>
      </c>
      <c r="T239" s="77"/>
      <c r="U239" s="125" t="s">
        <v>58</v>
      </c>
      <c r="V239" s="101"/>
      <c r="W239" s="130" t="s">
        <v>105</v>
      </c>
      <c r="X239" s="87"/>
      <c r="Y239" s="87"/>
      <c r="Z239" s="87"/>
      <c r="AA239" s="87"/>
      <c r="AB239" s="87"/>
      <c r="AC239" s="87"/>
      <c r="AD239" s="87"/>
    </row>
    <row r="240" spans="1:39" ht="15.75" customHeight="1" x14ac:dyDescent="0.2">
      <c r="A240" s="20"/>
      <c r="B240" s="61"/>
      <c r="C240" s="61"/>
      <c r="D240" s="61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61"/>
      <c r="R240" s="20"/>
      <c r="S240" s="20"/>
      <c r="T240" s="63"/>
      <c r="U240" s="20"/>
      <c r="V240" s="20"/>
      <c r="W240" s="20"/>
      <c r="X240" s="20"/>
      <c r="Y240" s="20"/>
      <c r="Z240" s="20"/>
      <c r="AA240" s="20"/>
      <c r="AB240" s="20"/>
      <c r="AC240" s="63"/>
      <c r="AD240" s="63"/>
      <c r="AE240" s="63"/>
      <c r="AF240" s="63"/>
      <c r="AG240" s="63"/>
      <c r="AH240" s="63"/>
      <c r="AI240" s="63"/>
      <c r="AJ240" s="63"/>
      <c r="AK240" s="63"/>
      <c r="AL240" s="63"/>
      <c r="AM240" s="63"/>
    </row>
    <row r="241" spans="1:39" ht="15.75" customHeight="1" x14ac:dyDescent="0.2">
      <c r="A241" s="20"/>
      <c r="B241" s="61"/>
      <c r="C241" s="61"/>
      <c r="D241" s="61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61"/>
      <c r="R241" s="20"/>
      <c r="S241" s="20"/>
      <c r="T241" s="63"/>
      <c r="U241" s="20"/>
      <c r="V241" s="20"/>
      <c r="W241" s="20"/>
      <c r="X241" s="20"/>
      <c r="Y241" s="20"/>
      <c r="Z241" s="20"/>
      <c r="AA241" s="20"/>
      <c r="AB241" s="20"/>
      <c r="AC241" s="63"/>
      <c r="AD241" s="63"/>
      <c r="AE241" s="63"/>
      <c r="AF241" s="63"/>
      <c r="AG241" s="63"/>
      <c r="AH241" s="63"/>
      <c r="AI241" s="63"/>
      <c r="AJ241" s="63"/>
      <c r="AK241" s="63"/>
      <c r="AL241" s="63"/>
      <c r="AM241" s="63"/>
    </row>
    <row r="242" spans="1:39" ht="15.75" customHeight="1" x14ac:dyDescent="0.2">
      <c r="A242" s="20"/>
      <c r="B242" s="61"/>
      <c r="C242" s="61"/>
      <c r="D242" s="61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61"/>
      <c r="R242" s="20"/>
      <c r="S242" s="20"/>
      <c r="T242" s="63"/>
      <c r="U242" s="20"/>
      <c r="V242" s="20"/>
      <c r="W242" s="20"/>
      <c r="X242" s="20"/>
      <c r="Y242" s="20"/>
      <c r="Z242" s="20"/>
      <c r="AA242" s="20"/>
      <c r="AB242" s="20"/>
      <c r="AC242" s="63"/>
      <c r="AD242" s="63"/>
      <c r="AE242" s="63"/>
      <c r="AF242" s="63"/>
      <c r="AG242" s="63"/>
      <c r="AH242" s="63"/>
      <c r="AI242" s="63"/>
      <c r="AJ242" s="63"/>
      <c r="AK242" s="63"/>
      <c r="AL242" s="63"/>
      <c r="AM242" s="63"/>
    </row>
    <row r="243" spans="1:39" ht="15.75" customHeight="1" x14ac:dyDescent="0.2">
      <c r="A243" s="20"/>
      <c r="B243" s="61"/>
      <c r="C243" s="61"/>
      <c r="D243" s="61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61"/>
      <c r="R243" s="20"/>
      <c r="S243" s="20"/>
      <c r="T243" s="63"/>
      <c r="U243" s="20"/>
      <c r="V243" s="20"/>
      <c r="W243" s="20"/>
      <c r="X243" s="20"/>
      <c r="Y243" s="20"/>
      <c r="Z243" s="20"/>
      <c r="AA243" s="20"/>
      <c r="AB243" s="20"/>
      <c r="AC243" s="63"/>
      <c r="AD243" s="63"/>
      <c r="AE243" s="63"/>
      <c r="AF243" s="63"/>
      <c r="AG243" s="63"/>
      <c r="AH243" s="63"/>
      <c r="AI243" s="63"/>
      <c r="AJ243" s="63"/>
      <c r="AK243" s="63"/>
      <c r="AL243" s="63"/>
      <c r="AM243" s="63"/>
    </row>
    <row r="244" spans="1:39" ht="15.75" customHeight="1" x14ac:dyDescent="0.2">
      <c r="A244" s="20"/>
      <c r="B244" s="61"/>
      <c r="C244" s="61"/>
      <c r="D244" s="61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61"/>
      <c r="R244" s="20"/>
      <c r="S244" s="20"/>
      <c r="T244" s="63"/>
      <c r="U244" s="20"/>
      <c r="V244" s="20"/>
      <c r="W244" s="20"/>
      <c r="X244" s="20"/>
      <c r="Y244" s="20"/>
      <c r="Z244" s="20"/>
      <c r="AA244" s="20"/>
      <c r="AB244" s="20"/>
      <c r="AC244" s="63"/>
      <c r="AD244" s="63"/>
      <c r="AE244" s="63"/>
      <c r="AF244" s="63"/>
      <c r="AG244" s="63"/>
      <c r="AH244" s="63"/>
      <c r="AI244" s="63"/>
      <c r="AJ244" s="63"/>
      <c r="AK244" s="63"/>
      <c r="AL244" s="63"/>
      <c r="AM244" s="63"/>
    </row>
    <row r="245" spans="1:39" ht="15.75" customHeight="1" x14ac:dyDescent="0.2">
      <c r="A245" s="20"/>
      <c r="B245" s="61"/>
      <c r="C245" s="61"/>
      <c r="D245" s="61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61"/>
      <c r="R245" s="20"/>
      <c r="S245" s="20"/>
      <c r="T245" s="63"/>
      <c r="U245" s="20"/>
      <c r="V245" s="20"/>
      <c r="W245" s="20"/>
      <c r="X245" s="20"/>
      <c r="Y245" s="20"/>
      <c r="Z245" s="20"/>
      <c r="AA245" s="20"/>
      <c r="AB245" s="20"/>
      <c r="AC245" s="63"/>
      <c r="AD245" s="63"/>
      <c r="AE245" s="63"/>
      <c r="AF245" s="63"/>
      <c r="AG245" s="63"/>
      <c r="AH245" s="63"/>
      <c r="AI245" s="63"/>
      <c r="AJ245" s="63"/>
      <c r="AK245" s="63"/>
      <c r="AL245" s="63"/>
      <c r="AM245" s="63"/>
    </row>
    <row r="246" spans="1:39" ht="15.75" customHeight="1" x14ac:dyDescent="0.2">
      <c r="A246" s="20"/>
      <c r="B246" s="61"/>
      <c r="C246" s="61"/>
      <c r="D246" s="61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61"/>
      <c r="R246" s="20"/>
      <c r="S246" s="20"/>
      <c r="T246" s="63"/>
      <c r="U246" s="20"/>
      <c r="V246" s="20"/>
      <c r="W246" s="20"/>
      <c r="X246" s="20"/>
      <c r="Y246" s="20"/>
      <c r="Z246" s="20"/>
      <c r="AA246" s="20"/>
      <c r="AB246" s="20"/>
      <c r="AC246" s="63"/>
      <c r="AD246" s="63"/>
      <c r="AE246" s="63"/>
      <c r="AF246" s="63"/>
      <c r="AG246" s="63"/>
      <c r="AH246" s="63"/>
      <c r="AI246" s="63"/>
      <c r="AJ246" s="63"/>
      <c r="AK246" s="63"/>
      <c r="AL246" s="63"/>
      <c r="AM246" s="63"/>
    </row>
    <row r="247" spans="1:39" ht="15.75" customHeight="1" x14ac:dyDescent="0.2">
      <c r="A247" s="20"/>
      <c r="B247" s="61"/>
      <c r="C247" s="61"/>
      <c r="D247" s="61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61"/>
      <c r="R247" s="20"/>
      <c r="S247" s="20"/>
      <c r="T247" s="63"/>
      <c r="U247" s="20"/>
      <c r="V247" s="20"/>
      <c r="W247" s="20"/>
      <c r="X247" s="20"/>
      <c r="Y247" s="20"/>
      <c r="Z247" s="20"/>
      <c r="AA247" s="20"/>
      <c r="AB247" s="20"/>
      <c r="AC247" s="63"/>
      <c r="AD247" s="63"/>
      <c r="AE247" s="63"/>
      <c r="AF247" s="63"/>
      <c r="AG247" s="63"/>
      <c r="AH247" s="63"/>
      <c r="AI247" s="63"/>
      <c r="AJ247" s="63"/>
      <c r="AK247" s="63"/>
      <c r="AL247" s="63"/>
      <c r="AM247" s="63"/>
    </row>
    <row r="248" spans="1:39" ht="15.75" customHeight="1" x14ac:dyDescent="0.2">
      <c r="A248" s="20"/>
      <c r="B248" s="61"/>
      <c r="C248" s="61"/>
      <c r="D248" s="61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61"/>
      <c r="R248" s="20"/>
      <c r="S248" s="20"/>
      <c r="T248" s="63"/>
      <c r="U248" s="20"/>
      <c r="V248" s="20"/>
      <c r="W248" s="20"/>
      <c r="X248" s="20"/>
      <c r="Y248" s="20"/>
      <c r="Z248" s="20"/>
      <c r="AA248" s="20"/>
      <c r="AB248" s="20"/>
      <c r="AC248" s="63"/>
      <c r="AD248" s="63"/>
      <c r="AE248" s="63"/>
      <c r="AF248" s="63"/>
      <c r="AG248" s="63"/>
      <c r="AH248" s="63"/>
      <c r="AI248" s="63"/>
      <c r="AJ248" s="63"/>
      <c r="AK248" s="63"/>
      <c r="AL248" s="63"/>
      <c r="AM248" s="63"/>
    </row>
    <row r="249" spans="1:39" ht="15.75" customHeight="1" x14ac:dyDescent="0.2">
      <c r="A249" s="20"/>
      <c r="B249" s="61"/>
      <c r="C249" s="61"/>
      <c r="D249" s="61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61"/>
      <c r="R249" s="20"/>
      <c r="S249" s="20"/>
      <c r="T249" s="63"/>
      <c r="U249" s="20"/>
      <c r="V249" s="20"/>
      <c r="W249" s="20"/>
      <c r="X249" s="20"/>
      <c r="Y249" s="20"/>
      <c r="Z249" s="20"/>
      <c r="AA249" s="20"/>
      <c r="AB249" s="20"/>
      <c r="AC249" s="63"/>
      <c r="AD249" s="63"/>
      <c r="AE249" s="63"/>
      <c r="AF249" s="63"/>
      <c r="AG249" s="63"/>
      <c r="AH249" s="63"/>
      <c r="AI249" s="63"/>
      <c r="AJ249" s="63"/>
      <c r="AK249" s="63"/>
      <c r="AL249" s="63"/>
      <c r="AM249" s="63"/>
    </row>
    <row r="250" spans="1:39" ht="15.75" customHeight="1" x14ac:dyDescent="0.2">
      <c r="A250" s="20"/>
      <c r="B250" s="61"/>
      <c r="C250" s="61"/>
      <c r="D250" s="61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61"/>
      <c r="R250" s="20"/>
      <c r="S250" s="20"/>
      <c r="T250" s="63"/>
      <c r="U250" s="20"/>
      <c r="V250" s="20"/>
      <c r="W250" s="20"/>
      <c r="X250" s="20"/>
      <c r="Y250" s="20"/>
      <c r="Z250" s="20"/>
      <c r="AA250" s="20"/>
      <c r="AB250" s="20"/>
      <c r="AC250" s="63"/>
      <c r="AD250" s="63"/>
      <c r="AE250" s="63"/>
      <c r="AF250" s="63"/>
      <c r="AG250" s="63"/>
      <c r="AH250" s="63"/>
      <c r="AI250" s="63"/>
      <c r="AJ250" s="63"/>
      <c r="AK250" s="63"/>
      <c r="AL250" s="63"/>
      <c r="AM250" s="63"/>
    </row>
    <row r="251" spans="1:39" ht="15.75" customHeight="1" x14ac:dyDescent="0.2"/>
    <row r="252" spans="1:39" ht="15.75" customHeight="1" x14ac:dyDescent="0.2"/>
    <row r="253" spans="1:39" ht="15.75" customHeight="1" x14ac:dyDescent="0.2"/>
    <row r="254" spans="1:39" ht="15.75" customHeight="1" x14ac:dyDescent="0.2"/>
    <row r="255" spans="1:39" ht="15.75" customHeight="1" x14ac:dyDescent="0.2"/>
    <row r="256" spans="1:39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</sheetData>
  <mergeCells count="953">
    <mergeCell ref="U239:V239"/>
    <mergeCell ref="W239:AD239"/>
    <mergeCell ref="R237:AD237"/>
    <mergeCell ref="B238:C238"/>
    <mergeCell ref="D238:F239"/>
    <mergeCell ref="I238:J238"/>
    <mergeCell ref="K238:Q238"/>
    <mergeCell ref="S238:T238"/>
    <mergeCell ref="U238:V238"/>
    <mergeCell ref="W238:AD238"/>
    <mergeCell ref="I239:J239"/>
    <mergeCell ref="S239:T239"/>
    <mergeCell ref="G235:G236"/>
    <mergeCell ref="H235:H236"/>
    <mergeCell ref="J235:K235"/>
    <mergeCell ref="J236:K236"/>
    <mergeCell ref="B237:C237"/>
    <mergeCell ref="I237:Q237"/>
    <mergeCell ref="V233:W233"/>
    <mergeCell ref="Y233:AA233"/>
    <mergeCell ref="B234:C236"/>
    <mergeCell ref="D234:D236"/>
    <mergeCell ref="E234:E236"/>
    <mergeCell ref="F234:F236"/>
    <mergeCell ref="J234:K234"/>
    <mergeCell ref="T234:U234"/>
    <mergeCell ref="V234:W234"/>
    <mergeCell ref="Y234:AA234"/>
    <mergeCell ref="V231:W231"/>
    <mergeCell ref="Y231:AA231"/>
    <mergeCell ref="G232:G233"/>
    <mergeCell ref="H232:H233"/>
    <mergeCell ref="J232:K232"/>
    <mergeCell ref="T232:U232"/>
    <mergeCell ref="V232:W232"/>
    <mergeCell ref="Y232:AA232"/>
    <mergeCell ref="J233:K233"/>
    <mergeCell ref="P233:P234"/>
    <mergeCell ref="D231:D233"/>
    <mergeCell ref="E231:E233"/>
    <mergeCell ref="F231:F233"/>
    <mergeCell ref="J231:K231"/>
    <mergeCell ref="P231:P232"/>
    <mergeCell ref="T231:U231"/>
    <mergeCell ref="T233:U233"/>
    <mergeCell ref="B230:C230"/>
    <mergeCell ref="E230:F230"/>
    <mergeCell ref="J230:K230"/>
    <mergeCell ref="T230:U230"/>
    <mergeCell ref="V230:W230"/>
    <mergeCell ref="Y230:AA230"/>
    <mergeCell ref="H227:H228"/>
    <mergeCell ref="J227:K227"/>
    <mergeCell ref="P227:R227"/>
    <mergeCell ref="T227:U227"/>
    <mergeCell ref="X227:Y227"/>
    <mergeCell ref="J228:K228"/>
    <mergeCell ref="P228:R228"/>
    <mergeCell ref="T228:U228"/>
    <mergeCell ref="X228:Y228"/>
    <mergeCell ref="X225:Y225"/>
    <mergeCell ref="B226:C226"/>
    <mergeCell ref="D226:D228"/>
    <mergeCell ref="E226:E228"/>
    <mergeCell ref="F226:F228"/>
    <mergeCell ref="J226:K226"/>
    <mergeCell ref="P226:R226"/>
    <mergeCell ref="T226:U226"/>
    <mergeCell ref="X226:Y226"/>
    <mergeCell ref="G227:G228"/>
    <mergeCell ref="X223:Y223"/>
    <mergeCell ref="G224:G225"/>
    <mergeCell ref="H224:H225"/>
    <mergeCell ref="J224:K224"/>
    <mergeCell ref="P224:R224"/>
    <mergeCell ref="T224:U224"/>
    <mergeCell ref="X224:Y224"/>
    <mergeCell ref="J225:K225"/>
    <mergeCell ref="P225:R225"/>
    <mergeCell ref="T225:U225"/>
    <mergeCell ref="D223:D225"/>
    <mergeCell ref="E223:E225"/>
    <mergeCell ref="F223:F225"/>
    <mergeCell ref="J223:K223"/>
    <mergeCell ref="P223:R223"/>
    <mergeCell ref="T223:U223"/>
    <mergeCell ref="B222:C222"/>
    <mergeCell ref="E222:F222"/>
    <mergeCell ref="J222:K222"/>
    <mergeCell ref="P222:R222"/>
    <mergeCell ref="T222:U222"/>
    <mergeCell ref="X222:Y222"/>
    <mergeCell ref="D216:E220"/>
    <mergeCell ref="F216:F217"/>
    <mergeCell ref="J216:J220"/>
    <mergeCell ref="K216:K217"/>
    <mergeCell ref="B218:C220"/>
    <mergeCell ref="F219:F220"/>
    <mergeCell ref="K219:K220"/>
    <mergeCell ref="AA207:AA208"/>
    <mergeCell ref="D210:E214"/>
    <mergeCell ref="F210:F211"/>
    <mergeCell ref="J210:J214"/>
    <mergeCell ref="K210:K211"/>
    <mergeCell ref="B212:B214"/>
    <mergeCell ref="C212:C214"/>
    <mergeCell ref="F213:F214"/>
    <mergeCell ref="K213:K214"/>
    <mergeCell ref="N207:N208"/>
    <mergeCell ref="P207:Q208"/>
    <mergeCell ref="S207:S208"/>
    <mergeCell ref="U207:U208"/>
    <mergeCell ref="W207:W208"/>
    <mergeCell ref="Y207:Y208"/>
    <mergeCell ref="I203:J203"/>
    <mergeCell ref="S203:T203"/>
    <mergeCell ref="U203:V203"/>
    <mergeCell ref="W203:AD203"/>
    <mergeCell ref="B205:C205"/>
    <mergeCell ref="A207:C208"/>
    <mergeCell ref="D207:E208"/>
    <mergeCell ref="F207:F208"/>
    <mergeCell ref="J207:J208"/>
    <mergeCell ref="K207:L208"/>
    <mergeCell ref="B201:C201"/>
    <mergeCell ref="I201:Q201"/>
    <mergeCell ref="R201:AD201"/>
    <mergeCell ref="B202:C202"/>
    <mergeCell ref="D202:F203"/>
    <mergeCell ref="I202:J202"/>
    <mergeCell ref="K202:Q202"/>
    <mergeCell ref="S202:T202"/>
    <mergeCell ref="U202:V202"/>
    <mergeCell ref="W202:AD202"/>
    <mergeCell ref="B198:C200"/>
    <mergeCell ref="D198:D200"/>
    <mergeCell ref="E198:E200"/>
    <mergeCell ref="F198:F200"/>
    <mergeCell ref="J198:K198"/>
    <mergeCell ref="R198:T198"/>
    <mergeCell ref="G199:G200"/>
    <mergeCell ref="H199:H200"/>
    <mergeCell ref="J199:K199"/>
    <mergeCell ref="J200:K200"/>
    <mergeCell ref="Z196:AA196"/>
    <mergeCell ref="J197:K197"/>
    <mergeCell ref="P197:P198"/>
    <mergeCell ref="R197:T197"/>
    <mergeCell ref="U197:V197"/>
    <mergeCell ref="W197:X197"/>
    <mergeCell ref="Z197:AA197"/>
    <mergeCell ref="U198:V198"/>
    <mergeCell ref="W198:X198"/>
    <mergeCell ref="Z198:AA198"/>
    <mergeCell ref="G196:G197"/>
    <mergeCell ref="H196:H197"/>
    <mergeCell ref="J196:K196"/>
    <mergeCell ref="R196:T196"/>
    <mergeCell ref="U196:V196"/>
    <mergeCell ref="W196:X196"/>
    <mergeCell ref="Z194:AA194"/>
    <mergeCell ref="D195:D197"/>
    <mergeCell ref="E195:E197"/>
    <mergeCell ref="F195:F197"/>
    <mergeCell ref="J195:K195"/>
    <mergeCell ref="P195:P196"/>
    <mergeCell ref="R195:T195"/>
    <mergeCell ref="U195:V195"/>
    <mergeCell ref="W195:X195"/>
    <mergeCell ref="Z195:AA195"/>
    <mergeCell ref="B194:C194"/>
    <mergeCell ref="E194:F194"/>
    <mergeCell ref="J194:K194"/>
    <mergeCell ref="R194:T194"/>
    <mergeCell ref="U194:V194"/>
    <mergeCell ref="W194:X194"/>
    <mergeCell ref="H191:H192"/>
    <mergeCell ref="J191:K191"/>
    <mergeCell ref="P191:R191"/>
    <mergeCell ref="T191:U191"/>
    <mergeCell ref="X191:Y191"/>
    <mergeCell ref="J192:K192"/>
    <mergeCell ref="P192:R192"/>
    <mergeCell ref="T192:U192"/>
    <mergeCell ref="X192:Y192"/>
    <mergeCell ref="X189:Y189"/>
    <mergeCell ref="B190:C190"/>
    <mergeCell ref="D190:D192"/>
    <mergeCell ref="E190:E192"/>
    <mergeCell ref="F190:F192"/>
    <mergeCell ref="J190:K190"/>
    <mergeCell ref="P190:R190"/>
    <mergeCell ref="T190:U190"/>
    <mergeCell ref="X190:Y190"/>
    <mergeCell ref="G191:G192"/>
    <mergeCell ref="X187:Y187"/>
    <mergeCell ref="G188:G189"/>
    <mergeCell ref="H188:H189"/>
    <mergeCell ref="J188:K188"/>
    <mergeCell ref="P188:R188"/>
    <mergeCell ref="T188:U188"/>
    <mergeCell ref="X188:Y188"/>
    <mergeCell ref="J189:K189"/>
    <mergeCell ref="P189:R189"/>
    <mergeCell ref="T189:U189"/>
    <mergeCell ref="D187:D189"/>
    <mergeCell ref="E187:E189"/>
    <mergeCell ref="F187:F189"/>
    <mergeCell ref="J187:K187"/>
    <mergeCell ref="P187:R187"/>
    <mergeCell ref="T187:U187"/>
    <mergeCell ref="B186:C186"/>
    <mergeCell ref="E186:F186"/>
    <mergeCell ref="J186:K186"/>
    <mergeCell ref="P186:R186"/>
    <mergeCell ref="T186:U186"/>
    <mergeCell ref="X186:Y186"/>
    <mergeCell ref="D180:F184"/>
    <mergeCell ref="H180:H184"/>
    <mergeCell ref="I180:I182"/>
    <mergeCell ref="J180:K181"/>
    <mergeCell ref="L180:L182"/>
    <mergeCell ref="B182:C184"/>
    <mergeCell ref="I183:I184"/>
    <mergeCell ref="J183:K184"/>
    <mergeCell ref="L183:L184"/>
    <mergeCell ref="B176:B178"/>
    <mergeCell ref="C176:C178"/>
    <mergeCell ref="G177:G178"/>
    <mergeCell ref="I177:I178"/>
    <mergeCell ref="J177:K178"/>
    <mergeCell ref="L177:L178"/>
    <mergeCell ref="AA171:AA172"/>
    <mergeCell ref="J172:K172"/>
    <mergeCell ref="D174:F178"/>
    <mergeCell ref="G174:G175"/>
    <mergeCell ref="H174:H178"/>
    <mergeCell ref="I174:I176"/>
    <mergeCell ref="J174:K176"/>
    <mergeCell ref="L174:L176"/>
    <mergeCell ref="N171:N172"/>
    <mergeCell ref="P171:P172"/>
    <mergeCell ref="R171:R172"/>
    <mergeCell ref="T171:T172"/>
    <mergeCell ref="V171:V172"/>
    <mergeCell ref="Y171:Y172"/>
    <mergeCell ref="B169:C169"/>
    <mergeCell ref="A171:C172"/>
    <mergeCell ref="D171:F172"/>
    <mergeCell ref="G171:G172"/>
    <mergeCell ref="J171:K171"/>
    <mergeCell ref="L171:L172"/>
    <mergeCell ref="AA166:AD166"/>
    <mergeCell ref="L167:O167"/>
    <mergeCell ref="P167:Q167"/>
    <mergeCell ref="R167:S167"/>
    <mergeCell ref="X167:Y167"/>
    <mergeCell ref="AA167:AD167"/>
    <mergeCell ref="P165:Q165"/>
    <mergeCell ref="R165:S165"/>
    <mergeCell ref="X165:Y165"/>
    <mergeCell ref="AA165:AD165"/>
    <mergeCell ref="I166:J167"/>
    <mergeCell ref="K166:K167"/>
    <mergeCell ref="L166:O166"/>
    <mergeCell ref="P166:Q166"/>
    <mergeCell ref="R166:S166"/>
    <mergeCell ref="X166:Y166"/>
    <mergeCell ref="B165:C165"/>
    <mergeCell ref="D165:F167"/>
    <mergeCell ref="G165:G167"/>
    <mergeCell ref="H165:H167"/>
    <mergeCell ref="I165:J165"/>
    <mergeCell ref="L165:O165"/>
    <mergeCell ref="R163:S163"/>
    <mergeCell ref="X163:Y163"/>
    <mergeCell ref="AA163:AD163"/>
    <mergeCell ref="L164:O164"/>
    <mergeCell ref="P164:Q164"/>
    <mergeCell ref="R164:S164"/>
    <mergeCell ref="X164:Y164"/>
    <mergeCell ref="AA164:AD164"/>
    <mergeCell ref="P162:Q162"/>
    <mergeCell ref="R162:S162"/>
    <mergeCell ref="X162:Y162"/>
    <mergeCell ref="AA162:AD162"/>
    <mergeCell ref="B163:B164"/>
    <mergeCell ref="C163:C164"/>
    <mergeCell ref="I163:J164"/>
    <mergeCell ref="K163:K164"/>
    <mergeCell ref="L163:O163"/>
    <mergeCell ref="P163:Q163"/>
    <mergeCell ref="P161:Q161"/>
    <mergeCell ref="R161:S161"/>
    <mergeCell ref="T161:V161"/>
    <mergeCell ref="X161:Y161"/>
    <mergeCell ref="AA161:AD161"/>
    <mergeCell ref="D162:F164"/>
    <mergeCell ref="G162:G164"/>
    <mergeCell ref="H162:H164"/>
    <mergeCell ref="I162:J162"/>
    <mergeCell ref="L162:O162"/>
    <mergeCell ref="I157:J157"/>
    <mergeCell ref="S157:T157"/>
    <mergeCell ref="U157:V157"/>
    <mergeCell ref="W157:AD157"/>
    <mergeCell ref="B159:C159"/>
    <mergeCell ref="B161:C161"/>
    <mergeCell ref="D161:F161"/>
    <mergeCell ref="G161:H161"/>
    <mergeCell ref="I161:J161"/>
    <mergeCell ref="L161:O161"/>
    <mergeCell ref="B155:C155"/>
    <mergeCell ref="I155:Q155"/>
    <mergeCell ref="R155:AD155"/>
    <mergeCell ref="B156:C156"/>
    <mergeCell ref="D156:F157"/>
    <mergeCell ref="I156:J156"/>
    <mergeCell ref="K156:Q156"/>
    <mergeCell ref="S156:T156"/>
    <mergeCell ref="U156:V156"/>
    <mergeCell ref="W156:AD156"/>
    <mergeCell ref="B152:C154"/>
    <mergeCell ref="D152:D154"/>
    <mergeCell ref="E152:E154"/>
    <mergeCell ref="F152:F154"/>
    <mergeCell ref="J152:K152"/>
    <mergeCell ref="S152:T152"/>
    <mergeCell ref="G153:G154"/>
    <mergeCell ref="H153:H154"/>
    <mergeCell ref="J153:K153"/>
    <mergeCell ref="J154:K154"/>
    <mergeCell ref="Z150:AA150"/>
    <mergeCell ref="J151:K151"/>
    <mergeCell ref="P151:P152"/>
    <mergeCell ref="S151:T151"/>
    <mergeCell ref="U151:V151"/>
    <mergeCell ref="W151:X151"/>
    <mergeCell ref="Z151:AA151"/>
    <mergeCell ref="U152:V152"/>
    <mergeCell ref="W152:X152"/>
    <mergeCell ref="Z152:AA152"/>
    <mergeCell ref="G150:G151"/>
    <mergeCell ref="H150:H151"/>
    <mergeCell ref="J150:K150"/>
    <mergeCell ref="S150:T150"/>
    <mergeCell ref="U150:V150"/>
    <mergeCell ref="W150:X150"/>
    <mergeCell ref="Z148:AA148"/>
    <mergeCell ref="D149:D151"/>
    <mergeCell ref="E149:E151"/>
    <mergeCell ref="F149:F151"/>
    <mergeCell ref="J149:K149"/>
    <mergeCell ref="P149:P150"/>
    <mergeCell ref="S149:T149"/>
    <mergeCell ref="U149:V149"/>
    <mergeCell ref="W149:X149"/>
    <mergeCell ref="Z149:AA149"/>
    <mergeCell ref="B148:C148"/>
    <mergeCell ref="E148:F148"/>
    <mergeCell ref="J148:K148"/>
    <mergeCell ref="S148:T148"/>
    <mergeCell ref="U148:V148"/>
    <mergeCell ref="W148:X148"/>
    <mergeCell ref="H145:H146"/>
    <mergeCell ref="J145:K145"/>
    <mergeCell ref="P145:R145"/>
    <mergeCell ref="T145:U145"/>
    <mergeCell ref="X145:Y145"/>
    <mergeCell ref="J146:K146"/>
    <mergeCell ref="P146:R146"/>
    <mergeCell ref="T146:U146"/>
    <mergeCell ref="X146:Y146"/>
    <mergeCell ref="X143:Y143"/>
    <mergeCell ref="B144:C144"/>
    <mergeCell ref="D144:D146"/>
    <mergeCell ref="E144:E146"/>
    <mergeCell ref="F144:F146"/>
    <mergeCell ref="J144:K144"/>
    <mergeCell ref="P144:R144"/>
    <mergeCell ref="T144:U144"/>
    <mergeCell ref="X144:Y144"/>
    <mergeCell ref="G145:G146"/>
    <mergeCell ref="X141:Y141"/>
    <mergeCell ref="G142:G143"/>
    <mergeCell ref="H142:H143"/>
    <mergeCell ref="J142:K142"/>
    <mergeCell ref="P142:R142"/>
    <mergeCell ref="T142:U142"/>
    <mergeCell ref="X142:Y142"/>
    <mergeCell ref="J143:K143"/>
    <mergeCell ref="P143:R143"/>
    <mergeCell ref="T143:U143"/>
    <mergeCell ref="D141:D143"/>
    <mergeCell ref="E141:E143"/>
    <mergeCell ref="F141:F143"/>
    <mergeCell ref="J141:K141"/>
    <mergeCell ref="P141:R141"/>
    <mergeCell ref="T141:U141"/>
    <mergeCell ref="B140:C140"/>
    <mergeCell ref="E140:F140"/>
    <mergeCell ref="J140:K140"/>
    <mergeCell ref="P140:R140"/>
    <mergeCell ref="T140:U140"/>
    <mergeCell ref="X140:Y140"/>
    <mergeCell ref="D134:E138"/>
    <mergeCell ref="F134:F135"/>
    <mergeCell ref="J134:J138"/>
    <mergeCell ref="K134:K135"/>
    <mergeCell ref="B136:C138"/>
    <mergeCell ref="F137:F138"/>
    <mergeCell ref="K137:K138"/>
    <mergeCell ref="D128:E132"/>
    <mergeCell ref="F128:F129"/>
    <mergeCell ref="J128:J132"/>
    <mergeCell ref="K128:K129"/>
    <mergeCell ref="B130:B132"/>
    <mergeCell ref="C130:C132"/>
    <mergeCell ref="F131:F132"/>
    <mergeCell ref="K131:K132"/>
    <mergeCell ref="P125:Q126"/>
    <mergeCell ref="S125:S126"/>
    <mergeCell ref="U125:U126"/>
    <mergeCell ref="W125:W126"/>
    <mergeCell ref="Y125:Y126"/>
    <mergeCell ref="AA125:AA126"/>
    <mergeCell ref="A125:C126"/>
    <mergeCell ref="D125:E126"/>
    <mergeCell ref="F125:F126"/>
    <mergeCell ref="J125:J126"/>
    <mergeCell ref="K125:L126"/>
    <mergeCell ref="N125:N126"/>
    <mergeCell ref="I121:J121"/>
    <mergeCell ref="K121:Q121"/>
    <mergeCell ref="S121:T121"/>
    <mergeCell ref="U121:V121"/>
    <mergeCell ref="W121:AD121"/>
    <mergeCell ref="B123:C123"/>
    <mergeCell ref="B119:C119"/>
    <mergeCell ref="I119:Q119"/>
    <mergeCell ref="R119:AD119"/>
    <mergeCell ref="B120:C120"/>
    <mergeCell ref="D120:F121"/>
    <mergeCell ref="I120:J120"/>
    <mergeCell ref="K120:Q120"/>
    <mergeCell ref="S120:T120"/>
    <mergeCell ref="U120:V120"/>
    <mergeCell ref="W120:AD120"/>
    <mergeCell ref="Z117:AA117"/>
    <mergeCell ref="J118:K118"/>
    <mergeCell ref="S118:T118"/>
    <mergeCell ref="U118:V118"/>
    <mergeCell ref="W118:X118"/>
    <mergeCell ref="Z118:AA118"/>
    <mergeCell ref="G117:G118"/>
    <mergeCell ref="H117:H118"/>
    <mergeCell ref="J117:K117"/>
    <mergeCell ref="S117:T117"/>
    <mergeCell ref="U117:V117"/>
    <mergeCell ref="W117:X117"/>
    <mergeCell ref="Z115:AA115"/>
    <mergeCell ref="B116:C118"/>
    <mergeCell ref="D116:D118"/>
    <mergeCell ref="E116:E118"/>
    <mergeCell ref="F116:F118"/>
    <mergeCell ref="J116:K116"/>
    <mergeCell ref="S116:T116"/>
    <mergeCell ref="U116:V116"/>
    <mergeCell ref="W116:X116"/>
    <mergeCell ref="Z116:AA116"/>
    <mergeCell ref="H114:H115"/>
    <mergeCell ref="J114:K114"/>
    <mergeCell ref="S114:T114"/>
    <mergeCell ref="U114:V114"/>
    <mergeCell ref="W114:X114"/>
    <mergeCell ref="Z114:AA114"/>
    <mergeCell ref="J115:K115"/>
    <mergeCell ref="S115:T115"/>
    <mergeCell ref="U115:V115"/>
    <mergeCell ref="W115:X115"/>
    <mergeCell ref="Z112:AA112"/>
    <mergeCell ref="D113:D115"/>
    <mergeCell ref="E113:E115"/>
    <mergeCell ref="F113:F115"/>
    <mergeCell ref="J113:K113"/>
    <mergeCell ref="S113:T113"/>
    <mergeCell ref="U113:V113"/>
    <mergeCell ref="W113:X113"/>
    <mergeCell ref="Z113:AA113"/>
    <mergeCell ref="G114:G115"/>
    <mergeCell ref="T110:U110"/>
    <mergeCell ref="X110:Y110"/>
    <mergeCell ref="B112:C112"/>
    <mergeCell ref="E112:F112"/>
    <mergeCell ref="J112:K112"/>
    <mergeCell ref="S112:T112"/>
    <mergeCell ref="U112:V112"/>
    <mergeCell ref="W112:X112"/>
    <mergeCell ref="T108:U108"/>
    <mergeCell ref="X108:Y108"/>
    <mergeCell ref="G109:G110"/>
    <mergeCell ref="H109:H110"/>
    <mergeCell ref="J109:K109"/>
    <mergeCell ref="P109:R109"/>
    <mergeCell ref="T109:U109"/>
    <mergeCell ref="X109:Y109"/>
    <mergeCell ref="J110:K110"/>
    <mergeCell ref="P110:R110"/>
    <mergeCell ref="B108:C108"/>
    <mergeCell ref="D108:D110"/>
    <mergeCell ref="E108:E110"/>
    <mergeCell ref="F108:F110"/>
    <mergeCell ref="J108:K108"/>
    <mergeCell ref="P108:R108"/>
    <mergeCell ref="J106:K106"/>
    <mergeCell ref="P106:R106"/>
    <mergeCell ref="T106:U106"/>
    <mergeCell ref="X106:Y106"/>
    <mergeCell ref="J107:K107"/>
    <mergeCell ref="P107:R107"/>
    <mergeCell ref="T107:U107"/>
    <mergeCell ref="X107:Y107"/>
    <mergeCell ref="X104:Y104"/>
    <mergeCell ref="D105:D107"/>
    <mergeCell ref="E105:E107"/>
    <mergeCell ref="F105:F107"/>
    <mergeCell ref="J105:K105"/>
    <mergeCell ref="P105:R105"/>
    <mergeCell ref="T105:U105"/>
    <mergeCell ref="X105:Y105"/>
    <mergeCell ref="G106:G107"/>
    <mergeCell ref="H106:H107"/>
    <mergeCell ref="K101:K102"/>
    <mergeCell ref="B104:C104"/>
    <mergeCell ref="E104:F104"/>
    <mergeCell ref="J104:K104"/>
    <mergeCell ref="P104:R104"/>
    <mergeCell ref="T104:U104"/>
    <mergeCell ref="B94:B96"/>
    <mergeCell ref="C94:C96"/>
    <mergeCell ref="F95:F96"/>
    <mergeCell ref="K95:K96"/>
    <mergeCell ref="D98:E102"/>
    <mergeCell ref="F98:F99"/>
    <mergeCell ref="J98:J102"/>
    <mergeCell ref="K98:K99"/>
    <mergeCell ref="B100:C102"/>
    <mergeCell ref="F101:F102"/>
    <mergeCell ref="W87:AD87"/>
    <mergeCell ref="I88:J88"/>
    <mergeCell ref="K88:R88"/>
    <mergeCell ref="U88:V88"/>
    <mergeCell ref="W88:AD88"/>
    <mergeCell ref="D92:E96"/>
    <mergeCell ref="F92:F93"/>
    <mergeCell ref="J92:J96"/>
    <mergeCell ref="K92:K93"/>
    <mergeCell ref="J85:K85"/>
    <mergeCell ref="P85:AA85"/>
    <mergeCell ref="B86:C86"/>
    <mergeCell ref="I86:S86"/>
    <mergeCell ref="T86:AD86"/>
    <mergeCell ref="B87:C87"/>
    <mergeCell ref="D87:F88"/>
    <mergeCell ref="I87:J87"/>
    <mergeCell ref="K87:R87"/>
    <mergeCell ref="U87:V87"/>
    <mergeCell ref="B83:C85"/>
    <mergeCell ref="D83:D85"/>
    <mergeCell ref="E83:E85"/>
    <mergeCell ref="F83:F85"/>
    <mergeCell ref="J83:K83"/>
    <mergeCell ref="S83:T83"/>
    <mergeCell ref="G84:G85"/>
    <mergeCell ref="H84:H85"/>
    <mergeCell ref="J84:K84"/>
    <mergeCell ref="P84:AA84"/>
    <mergeCell ref="Z81:AA81"/>
    <mergeCell ref="J82:K82"/>
    <mergeCell ref="P82:P83"/>
    <mergeCell ref="S82:T82"/>
    <mergeCell ref="U82:V82"/>
    <mergeCell ref="W82:X82"/>
    <mergeCell ref="Z82:AA82"/>
    <mergeCell ref="U83:V83"/>
    <mergeCell ref="W83:X83"/>
    <mergeCell ref="Z83:AA83"/>
    <mergeCell ref="G81:G82"/>
    <mergeCell ref="H81:H82"/>
    <mergeCell ref="J81:K81"/>
    <mergeCell ref="S81:T81"/>
    <mergeCell ref="U81:V81"/>
    <mergeCell ref="W81:X81"/>
    <mergeCell ref="Z79:AA79"/>
    <mergeCell ref="D80:D82"/>
    <mergeCell ref="E80:E82"/>
    <mergeCell ref="F80:F82"/>
    <mergeCell ref="J80:K80"/>
    <mergeCell ref="P80:P81"/>
    <mergeCell ref="S80:T80"/>
    <mergeCell ref="U80:V80"/>
    <mergeCell ref="W80:X80"/>
    <mergeCell ref="Z80:AA80"/>
    <mergeCell ref="B79:C79"/>
    <mergeCell ref="E79:F79"/>
    <mergeCell ref="J79:K79"/>
    <mergeCell ref="S79:T79"/>
    <mergeCell ref="U79:V79"/>
    <mergeCell ref="W79:X79"/>
    <mergeCell ref="H76:H77"/>
    <mergeCell ref="J76:K76"/>
    <mergeCell ref="P76:R76"/>
    <mergeCell ref="T76:U76"/>
    <mergeCell ref="X76:Y76"/>
    <mergeCell ref="J77:K77"/>
    <mergeCell ref="P77:R77"/>
    <mergeCell ref="T77:U77"/>
    <mergeCell ref="X77:Y77"/>
    <mergeCell ref="X74:Y74"/>
    <mergeCell ref="B75:C75"/>
    <mergeCell ref="D75:D77"/>
    <mergeCell ref="E75:E77"/>
    <mergeCell ref="F75:F77"/>
    <mergeCell ref="J75:K75"/>
    <mergeCell ref="P75:R75"/>
    <mergeCell ref="T75:U75"/>
    <mergeCell ref="X75:Y75"/>
    <mergeCell ref="G76:G77"/>
    <mergeCell ref="X72:Y72"/>
    <mergeCell ref="G73:G74"/>
    <mergeCell ref="H73:H74"/>
    <mergeCell ref="J73:K73"/>
    <mergeCell ref="P73:R73"/>
    <mergeCell ref="T73:U73"/>
    <mergeCell ref="X73:Y73"/>
    <mergeCell ref="J74:K74"/>
    <mergeCell ref="P74:R74"/>
    <mergeCell ref="T74:U74"/>
    <mergeCell ref="D72:D74"/>
    <mergeCell ref="E72:E74"/>
    <mergeCell ref="F72:F74"/>
    <mergeCell ref="J72:K72"/>
    <mergeCell ref="P72:R72"/>
    <mergeCell ref="T72:U72"/>
    <mergeCell ref="B71:C71"/>
    <mergeCell ref="E71:F71"/>
    <mergeCell ref="J71:K71"/>
    <mergeCell ref="P71:R71"/>
    <mergeCell ref="T71:U71"/>
    <mergeCell ref="X71:Y71"/>
    <mergeCell ref="D65:E69"/>
    <mergeCell ref="F65:F66"/>
    <mergeCell ref="J65:J69"/>
    <mergeCell ref="K65:K66"/>
    <mergeCell ref="B67:C69"/>
    <mergeCell ref="F68:F69"/>
    <mergeCell ref="K68:K69"/>
    <mergeCell ref="D59:E63"/>
    <mergeCell ref="F59:F60"/>
    <mergeCell ref="J59:J63"/>
    <mergeCell ref="K59:K60"/>
    <mergeCell ref="B61:B63"/>
    <mergeCell ref="C61:C63"/>
    <mergeCell ref="F62:F63"/>
    <mergeCell ref="K62:K63"/>
    <mergeCell ref="P56:Q57"/>
    <mergeCell ref="S56:S57"/>
    <mergeCell ref="U56:U57"/>
    <mergeCell ref="W56:W57"/>
    <mergeCell ref="Y56:Y57"/>
    <mergeCell ref="AA56:AA57"/>
    <mergeCell ref="A56:C57"/>
    <mergeCell ref="D56:E57"/>
    <mergeCell ref="F56:F57"/>
    <mergeCell ref="J56:J57"/>
    <mergeCell ref="K56:L57"/>
    <mergeCell ref="N56:N57"/>
    <mergeCell ref="L51:O51"/>
    <mergeCell ref="P51:Q51"/>
    <mergeCell ref="R51:S51"/>
    <mergeCell ref="W51:X51"/>
    <mergeCell ref="Z51:AB52"/>
    <mergeCell ref="L52:O52"/>
    <mergeCell ref="P52:Q52"/>
    <mergeCell ref="R52:S52"/>
    <mergeCell ref="W52:X52"/>
    <mergeCell ref="B51:C52"/>
    <mergeCell ref="D51:D52"/>
    <mergeCell ref="E51:E52"/>
    <mergeCell ref="F51:F52"/>
    <mergeCell ref="H51:H52"/>
    <mergeCell ref="I51:I52"/>
    <mergeCell ref="W49:X49"/>
    <mergeCell ref="Z49:AB49"/>
    <mergeCell ref="L50:O50"/>
    <mergeCell ref="P50:Q50"/>
    <mergeCell ref="R50:S50"/>
    <mergeCell ref="W50:X50"/>
    <mergeCell ref="Z50:AB50"/>
    <mergeCell ref="L48:O48"/>
    <mergeCell ref="P48:Q48"/>
    <mergeCell ref="R48:S48"/>
    <mergeCell ref="W48:X48"/>
    <mergeCell ref="Z48:AB48"/>
    <mergeCell ref="H49:H50"/>
    <mergeCell ref="I49:I50"/>
    <mergeCell ref="L49:O49"/>
    <mergeCell ref="P49:Q49"/>
    <mergeCell ref="R49:S49"/>
    <mergeCell ref="W45:W46"/>
    <mergeCell ref="X45:Y46"/>
    <mergeCell ref="Z45:Z46"/>
    <mergeCell ref="AA45:AB46"/>
    <mergeCell ref="B46:B47"/>
    <mergeCell ref="C46:C47"/>
    <mergeCell ref="N45:N46"/>
    <mergeCell ref="O45:P46"/>
    <mergeCell ref="Q45:Q46"/>
    <mergeCell ref="R45:S46"/>
    <mergeCell ref="T45:T46"/>
    <mergeCell ref="U45:V46"/>
    <mergeCell ref="D45:D46"/>
    <mergeCell ref="E45:E46"/>
    <mergeCell ref="G45:G46"/>
    <mergeCell ref="H45:H46"/>
    <mergeCell ref="I45:J46"/>
    <mergeCell ref="K45:K46"/>
    <mergeCell ref="AA41:AB42"/>
    <mergeCell ref="F44:F46"/>
    <mergeCell ref="I44:J44"/>
    <mergeCell ref="L44:M44"/>
    <mergeCell ref="O44:P44"/>
    <mergeCell ref="R44:S44"/>
    <mergeCell ref="U44:V44"/>
    <mergeCell ref="X44:Y44"/>
    <mergeCell ref="AA44:AB44"/>
    <mergeCell ref="L45:M46"/>
    <mergeCell ref="K37:R37"/>
    <mergeCell ref="U37:V37"/>
    <mergeCell ref="W37:AD37"/>
    <mergeCell ref="A41:G42"/>
    <mergeCell ref="I41:J42"/>
    <mergeCell ref="L41:M42"/>
    <mergeCell ref="O41:P42"/>
    <mergeCell ref="R41:S42"/>
    <mergeCell ref="U41:V42"/>
    <mergeCell ref="X41:Y42"/>
    <mergeCell ref="B35:C35"/>
    <mergeCell ref="I35:S35"/>
    <mergeCell ref="T35:AD35"/>
    <mergeCell ref="B36:C36"/>
    <mergeCell ref="D36:F37"/>
    <mergeCell ref="I36:J36"/>
    <mergeCell ref="K36:R36"/>
    <mergeCell ref="U36:V36"/>
    <mergeCell ref="W36:AD36"/>
    <mergeCell ref="I37:J37"/>
    <mergeCell ref="AA33:AD33"/>
    <mergeCell ref="L34:O34"/>
    <mergeCell ref="P34:Q34"/>
    <mergeCell ref="R34:S34"/>
    <mergeCell ref="X34:Y34"/>
    <mergeCell ref="AA34:AD34"/>
    <mergeCell ref="P32:Q32"/>
    <mergeCell ref="X32:Y32"/>
    <mergeCell ref="L33:O33"/>
    <mergeCell ref="P33:Q33"/>
    <mergeCell ref="R33:S33"/>
    <mergeCell ref="X33:Y33"/>
    <mergeCell ref="R30:S30"/>
    <mergeCell ref="X30:Y30"/>
    <mergeCell ref="AA30:AD31"/>
    <mergeCell ref="I31:J34"/>
    <mergeCell ref="K31:K34"/>
    <mergeCell ref="L31:O31"/>
    <mergeCell ref="P31:Q31"/>
    <mergeCell ref="R31:S31"/>
    <mergeCell ref="X31:Y31"/>
    <mergeCell ref="L32:O32"/>
    <mergeCell ref="R29:S29"/>
    <mergeCell ref="X29:Y29"/>
    <mergeCell ref="AA29:AD29"/>
    <mergeCell ref="B30:C34"/>
    <mergeCell ref="D30:F34"/>
    <mergeCell ref="G30:G34"/>
    <mergeCell ref="H30:H34"/>
    <mergeCell ref="I30:J30"/>
    <mergeCell ref="L30:O30"/>
    <mergeCell ref="P30:Q30"/>
    <mergeCell ref="B27:C29"/>
    <mergeCell ref="L27:O27"/>
    <mergeCell ref="P27:Q27"/>
    <mergeCell ref="X27:Y27"/>
    <mergeCell ref="L28:O28"/>
    <mergeCell ref="P28:Q28"/>
    <mergeCell ref="R28:S28"/>
    <mergeCell ref="X28:Y28"/>
    <mergeCell ref="L29:O29"/>
    <mergeCell ref="P29:Q29"/>
    <mergeCell ref="R25:S25"/>
    <mergeCell ref="X25:Y25"/>
    <mergeCell ref="AA25:AD25"/>
    <mergeCell ref="I26:J29"/>
    <mergeCell ref="K26:K29"/>
    <mergeCell ref="L26:O26"/>
    <mergeCell ref="P26:Q26"/>
    <mergeCell ref="R26:S26"/>
    <mergeCell ref="X26:Y26"/>
    <mergeCell ref="AA26:AD28"/>
    <mergeCell ref="R24:S24"/>
    <mergeCell ref="T24:V24"/>
    <mergeCell ref="X24:Y24"/>
    <mergeCell ref="AA24:AD24"/>
    <mergeCell ref="D25:F29"/>
    <mergeCell ref="G25:G29"/>
    <mergeCell ref="H25:H29"/>
    <mergeCell ref="I25:J25"/>
    <mergeCell ref="L25:O25"/>
    <mergeCell ref="P25:Q25"/>
    <mergeCell ref="B24:C24"/>
    <mergeCell ref="D24:F24"/>
    <mergeCell ref="G24:H24"/>
    <mergeCell ref="I24:J24"/>
    <mergeCell ref="L24:O24"/>
    <mergeCell ref="P24:Q24"/>
    <mergeCell ref="AA21:AD21"/>
    <mergeCell ref="L22:O22"/>
    <mergeCell ref="P22:Q22"/>
    <mergeCell ref="R22:S22"/>
    <mergeCell ref="X22:Y22"/>
    <mergeCell ref="AA22:AD22"/>
    <mergeCell ref="P20:Q20"/>
    <mergeCell ref="R20:S20"/>
    <mergeCell ref="X20:Y20"/>
    <mergeCell ref="AA20:AD20"/>
    <mergeCell ref="I21:J22"/>
    <mergeCell ref="K21:K22"/>
    <mergeCell ref="L21:O21"/>
    <mergeCell ref="P21:Q21"/>
    <mergeCell ref="R21:S21"/>
    <mergeCell ref="X21:Y21"/>
    <mergeCell ref="B20:C20"/>
    <mergeCell ref="D20:F22"/>
    <mergeCell ref="G20:G22"/>
    <mergeCell ref="H20:H22"/>
    <mergeCell ref="I20:J20"/>
    <mergeCell ref="L20:O20"/>
    <mergeCell ref="R18:S18"/>
    <mergeCell ref="X18:Y18"/>
    <mergeCell ref="AA18:AD18"/>
    <mergeCell ref="L19:O19"/>
    <mergeCell ref="P19:Q19"/>
    <mergeCell ref="R19:S19"/>
    <mergeCell ref="X19:Y19"/>
    <mergeCell ref="AA19:AD19"/>
    <mergeCell ref="B18:B19"/>
    <mergeCell ref="C18:C19"/>
    <mergeCell ref="I18:J19"/>
    <mergeCell ref="K18:K19"/>
    <mergeCell ref="L18:O18"/>
    <mergeCell ref="P18:Q18"/>
    <mergeCell ref="AA16:AD16"/>
    <mergeCell ref="D17:F19"/>
    <mergeCell ref="G17:G19"/>
    <mergeCell ref="H17:H19"/>
    <mergeCell ref="I17:J17"/>
    <mergeCell ref="L17:O17"/>
    <mergeCell ref="P17:Q17"/>
    <mergeCell ref="R17:S17"/>
    <mergeCell ref="X17:Y17"/>
    <mergeCell ref="AA17:AD17"/>
    <mergeCell ref="AA14:AB14"/>
    <mergeCell ref="B16:C16"/>
    <mergeCell ref="D16:F16"/>
    <mergeCell ref="G16:H16"/>
    <mergeCell ref="I16:J16"/>
    <mergeCell ref="L16:O16"/>
    <mergeCell ref="P16:Q16"/>
    <mergeCell ref="R16:S16"/>
    <mergeCell ref="T16:V16"/>
    <mergeCell ref="X16:Y16"/>
    <mergeCell ref="I14:J14"/>
    <mergeCell ref="L14:M14"/>
    <mergeCell ref="O14:P14"/>
    <mergeCell ref="R14:S14"/>
    <mergeCell ref="U14:V14"/>
    <mergeCell ref="X14:Y14"/>
    <mergeCell ref="AA11:AB11"/>
    <mergeCell ref="B12:C14"/>
    <mergeCell ref="F13:F14"/>
    <mergeCell ref="I13:J13"/>
    <mergeCell ref="L13:M13"/>
    <mergeCell ref="O13:P13"/>
    <mergeCell ref="R13:S13"/>
    <mergeCell ref="U13:V13"/>
    <mergeCell ref="X13:Y13"/>
    <mergeCell ref="AA13:AB13"/>
    <mergeCell ref="I11:J11"/>
    <mergeCell ref="L11:M11"/>
    <mergeCell ref="O11:P11"/>
    <mergeCell ref="R11:S11"/>
    <mergeCell ref="U11:V11"/>
    <mergeCell ref="X11:Y11"/>
    <mergeCell ref="AA8:AB8"/>
    <mergeCell ref="D10:D14"/>
    <mergeCell ref="F10:F11"/>
    <mergeCell ref="I10:J10"/>
    <mergeCell ref="L10:M10"/>
    <mergeCell ref="O10:P10"/>
    <mergeCell ref="R10:S10"/>
    <mergeCell ref="U10:V10"/>
    <mergeCell ref="X10:Y10"/>
    <mergeCell ref="AA10:AB10"/>
    <mergeCell ref="R7:S7"/>
    <mergeCell ref="U7:V7"/>
    <mergeCell ref="X7:Y7"/>
    <mergeCell ref="AA7:AB7"/>
    <mergeCell ref="I8:J8"/>
    <mergeCell ref="L8:M8"/>
    <mergeCell ref="O8:P8"/>
    <mergeCell ref="R8:S8"/>
    <mergeCell ref="U8:V8"/>
    <mergeCell ref="X8:Y8"/>
    <mergeCell ref="B6:B8"/>
    <mergeCell ref="C6:C8"/>
    <mergeCell ref="F7:F8"/>
    <mergeCell ref="I7:J7"/>
    <mergeCell ref="L7:M7"/>
    <mergeCell ref="O7:P7"/>
    <mergeCell ref="AA4:AB4"/>
    <mergeCell ref="I5:J5"/>
    <mergeCell ref="L5:M5"/>
    <mergeCell ref="O5:P5"/>
    <mergeCell ref="R5:S5"/>
    <mergeCell ref="U5:V5"/>
    <mergeCell ref="X5:Y5"/>
    <mergeCell ref="AA5:AB5"/>
    <mergeCell ref="X1:Y2"/>
    <mergeCell ref="AA1:AB2"/>
    <mergeCell ref="D4:D8"/>
    <mergeCell ref="F4:F5"/>
    <mergeCell ref="I4:J4"/>
    <mergeCell ref="L4:M4"/>
    <mergeCell ref="O4:P4"/>
    <mergeCell ref="R4:S4"/>
    <mergeCell ref="U4:V4"/>
    <mergeCell ref="X4:Y4"/>
    <mergeCell ref="A1:G2"/>
    <mergeCell ref="I1:J2"/>
    <mergeCell ref="L1:M2"/>
    <mergeCell ref="O1:P2"/>
    <mergeCell ref="R1:S2"/>
    <mergeCell ref="U1:V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Kumar</dc:creator>
  <cp:lastModifiedBy>Mukesh Kumar</cp:lastModifiedBy>
  <dcterms:created xsi:type="dcterms:W3CDTF">2026-07-28T02:28:02Z</dcterms:created>
  <dcterms:modified xsi:type="dcterms:W3CDTF">2026-07-28T02:28:27Z</dcterms:modified>
</cp:coreProperties>
</file>