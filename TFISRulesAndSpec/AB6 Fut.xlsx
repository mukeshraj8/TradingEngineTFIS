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6208E4B0-7E42-4207-8DE5-5ACCCC2CC793}" xr6:coauthVersionLast="47" xr6:coauthVersionMax="47" xr10:uidLastSave="{00000000-0000-0000-0000-000000000000}"/>
  <bookViews>
    <workbookView xWindow="-120" yWindow="-120" windowWidth="29040" windowHeight="15840" xr2:uid="{B634B3B6-5E62-471F-8197-3DFB0B9220C2}"/>
  </bookViews>
  <sheets>
    <sheet name="AB6 FUT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97" i="1" l="1"/>
  <c r="J597" i="1"/>
  <c r="H597" i="1"/>
  <c r="T596" i="1"/>
  <c r="H596" i="1"/>
  <c r="B596" i="1"/>
  <c r="F595" i="1"/>
  <c r="D595" i="1"/>
  <c r="B595" i="1"/>
  <c r="Y594" i="1"/>
  <c r="O594" i="1"/>
  <c r="K594" i="1"/>
  <c r="Y593" i="1"/>
  <c r="O593" i="1"/>
  <c r="K593" i="1"/>
  <c r="Q592" i="1"/>
  <c r="O592" i="1"/>
  <c r="K592" i="1"/>
  <c r="O591" i="1"/>
  <c r="K591" i="1"/>
  <c r="J591" i="1"/>
  <c r="H591" i="1"/>
  <c r="W590" i="1"/>
  <c r="V590" i="1"/>
  <c r="S590" i="1"/>
  <c r="O590" i="1"/>
  <c r="K590" i="1"/>
  <c r="J590" i="1"/>
  <c r="H590" i="1"/>
  <c r="D590" i="1"/>
  <c r="B590" i="1"/>
  <c r="Y589" i="1"/>
  <c r="O589" i="1"/>
  <c r="K589" i="1"/>
  <c r="O588" i="1"/>
  <c r="K588" i="1"/>
  <c r="O587" i="1"/>
  <c r="K587" i="1"/>
  <c r="B587" i="1"/>
  <c r="Q586" i="1"/>
  <c r="O586" i="1"/>
  <c r="K586" i="1"/>
  <c r="J586" i="1"/>
  <c r="H586" i="1"/>
  <c r="Y585" i="1"/>
  <c r="W585" i="1"/>
  <c r="V585" i="1"/>
  <c r="S585" i="1"/>
  <c r="O585" i="1"/>
  <c r="K585" i="1"/>
  <c r="J585" i="1"/>
  <c r="H585" i="1"/>
  <c r="D585" i="1"/>
  <c r="C585" i="1"/>
  <c r="B585" i="1"/>
  <c r="A585" i="1"/>
  <c r="Y584" i="1"/>
  <c r="W584" i="1"/>
  <c r="V584" i="1"/>
  <c r="S584" i="1"/>
  <c r="Q584" i="1"/>
  <c r="O584" i="1"/>
  <c r="K584" i="1"/>
  <c r="J584" i="1"/>
  <c r="H584" i="1"/>
  <c r="F584" i="1"/>
  <c r="D584" i="1"/>
  <c r="B584" i="1"/>
  <c r="Y582" i="1"/>
  <c r="O582" i="1"/>
  <c r="K582" i="1"/>
  <c r="A582" i="1"/>
  <c r="C582" i="1" s="1" a="1"/>
  <c r="C582" i="1" s="1"/>
  <c r="Y581" i="1"/>
  <c r="O581" i="1"/>
  <c r="K581" i="1"/>
  <c r="J581" i="1"/>
  <c r="H581" i="1"/>
  <c r="C581" i="1"/>
  <c r="B581" i="1"/>
  <c r="W580" i="1"/>
  <c r="V580" i="1"/>
  <c r="S580" i="1"/>
  <c r="O580" i="1"/>
  <c r="K580" i="1"/>
  <c r="J580" i="1"/>
  <c r="H580" i="1"/>
  <c r="D580" i="1"/>
  <c r="B580" i="1"/>
  <c r="Y579" i="1"/>
  <c r="O579" i="1"/>
  <c r="K579" i="1"/>
  <c r="O578" i="1"/>
  <c r="K578" i="1"/>
  <c r="J578" i="1"/>
  <c r="H578" i="1"/>
  <c r="C578" i="1"/>
  <c r="Y577" i="1"/>
  <c r="W577" i="1"/>
  <c r="V577" i="1"/>
  <c r="S577" i="1"/>
  <c r="O577" i="1"/>
  <c r="K577" i="1"/>
  <c r="J577" i="1"/>
  <c r="H577" i="1"/>
  <c r="D577" i="1"/>
  <c r="C577" i="1"/>
  <c r="B577" i="1"/>
  <c r="Y576" i="1"/>
  <c r="W576" i="1"/>
  <c r="V576" i="1"/>
  <c r="S576" i="1"/>
  <c r="Q576" i="1"/>
  <c r="O576" i="1"/>
  <c r="K576" i="1"/>
  <c r="J576" i="1"/>
  <c r="H576" i="1"/>
  <c r="F576" i="1"/>
  <c r="D576" i="1"/>
  <c r="B576" i="1"/>
  <c r="F574" i="1"/>
  <c r="F573" i="1"/>
  <c r="E573" i="1"/>
  <c r="B572" i="1"/>
  <c r="F571" i="1"/>
  <c r="C571" i="1" a="1"/>
  <c r="C571" i="1" s="1"/>
  <c r="B571" i="1"/>
  <c r="F570" i="1"/>
  <c r="E570" i="1"/>
  <c r="D570" i="1"/>
  <c r="C570" i="1" a="1"/>
  <c r="C570" i="1" s="1"/>
  <c r="B570" i="1"/>
  <c r="C569" i="1" a="1"/>
  <c r="C569" i="1" s="1"/>
  <c r="B569" i="1"/>
  <c r="F568" i="1"/>
  <c r="F567" i="1"/>
  <c r="E567" i="1"/>
  <c r="C566" i="1" a="1"/>
  <c r="C566" i="1" s="1"/>
  <c r="B566" i="1"/>
  <c r="F565" i="1"/>
  <c r="C565" i="1"/>
  <c r="A578" i="1" s="1"/>
  <c r="C578" i="1" s="1" a="1"/>
  <c r="C565" i="1" a="1"/>
  <c r="B565" i="1"/>
  <c r="A565" i="1"/>
  <c r="F564" i="1"/>
  <c r="E564" i="1"/>
  <c r="D564" i="1"/>
  <c r="B564" i="1"/>
  <c r="A564" i="1"/>
  <c r="U562" i="1"/>
  <c r="J562" i="1"/>
  <c r="H562" i="1"/>
  <c r="T561" i="1"/>
  <c r="H561" i="1"/>
  <c r="B561" i="1"/>
  <c r="F560" i="1"/>
  <c r="D560" i="1"/>
  <c r="B560" i="1"/>
  <c r="Y559" i="1"/>
  <c r="O559" i="1"/>
  <c r="K559" i="1"/>
  <c r="Y558" i="1"/>
  <c r="O558" i="1"/>
  <c r="K558" i="1"/>
  <c r="O557" i="1"/>
  <c r="K557" i="1"/>
  <c r="O556" i="1"/>
  <c r="K556" i="1"/>
  <c r="J556" i="1"/>
  <c r="H556" i="1"/>
  <c r="W555" i="1"/>
  <c r="V555" i="1"/>
  <c r="S555" i="1"/>
  <c r="O555" i="1"/>
  <c r="K555" i="1"/>
  <c r="J555" i="1"/>
  <c r="H555" i="1"/>
  <c r="D555" i="1"/>
  <c r="B555" i="1"/>
  <c r="Y554" i="1"/>
  <c r="O554" i="1"/>
  <c r="K554" i="1"/>
  <c r="O553" i="1"/>
  <c r="K553" i="1"/>
  <c r="O552" i="1"/>
  <c r="K552" i="1"/>
  <c r="B552" i="1"/>
  <c r="O551" i="1"/>
  <c r="K551" i="1"/>
  <c r="J551" i="1"/>
  <c r="H551" i="1"/>
  <c r="Y550" i="1"/>
  <c r="W550" i="1"/>
  <c r="V550" i="1"/>
  <c r="S550" i="1"/>
  <c r="O550" i="1"/>
  <c r="K550" i="1"/>
  <c r="J550" i="1"/>
  <c r="H550" i="1"/>
  <c r="D550" i="1"/>
  <c r="C550" i="1"/>
  <c r="B550" i="1"/>
  <c r="Y549" i="1"/>
  <c r="W549" i="1"/>
  <c r="V549" i="1"/>
  <c r="S549" i="1"/>
  <c r="Q549" i="1"/>
  <c r="O549" i="1"/>
  <c r="K549" i="1"/>
  <c r="J549" i="1"/>
  <c r="H549" i="1"/>
  <c r="F549" i="1"/>
  <c r="D549" i="1"/>
  <c r="B549" i="1"/>
  <c r="Y547" i="1"/>
  <c r="O547" i="1"/>
  <c r="K547" i="1"/>
  <c r="Y546" i="1"/>
  <c r="O546" i="1"/>
  <c r="K546" i="1"/>
  <c r="J546" i="1"/>
  <c r="H546" i="1"/>
  <c r="C546" i="1"/>
  <c r="B546" i="1"/>
  <c r="W545" i="1"/>
  <c r="V545" i="1"/>
  <c r="S545" i="1"/>
  <c r="O545" i="1"/>
  <c r="K545" i="1"/>
  <c r="J545" i="1"/>
  <c r="H545" i="1"/>
  <c r="D545" i="1"/>
  <c r="B545" i="1"/>
  <c r="Y544" i="1"/>
  <c r="O544" i="1"/>
  <c r="K544" i="1"/>
  <c r="O543" i="1"/>
  <c r="K543" i="1"/>
  <c r="J543" i="1"/>
  <c r="H543" i="1"/>
  <c r="Y542" i="1"/>
  <c r="W542" i="1"/>
  <c r="V542" i="1"/>
  <c r="S542" i="1"/>
  <c r="O542" i="1"/>
  <c r="K542" i="1"/>
  <c r="J542" i="1"/>
  <c r="H542" i="1"/>
  <c r="D542" i="1"/>
  <c r="C542" i="1"/>
  <c r="B542" i="1"/>
  <c r="Y541" i="1"/>
  <c r="W541" i="1"/>
  <c r="V541" i="1"/>
  <c r="S541" i="1"/>
  <c r="Q541" i="1"/>
  <c r="O541" i="1"/>
  <c r="K541" i="1"/>
  <c r="J541" i="1"/>
  <c r="H541" i="1"/>
  <c r="F541" i="1"/>
  <c r="D541" i="1"/>
  <c r="B541" i="1"/>
  <c r="F539" i="1"/>
  <c r="F538" i="1"/>
  <c r="E538" i="1"/>
  <c r="B537" i="1"/>
  <c r="F536" i="1"/>
  <c r="C536" i="1" a="1"/>
  <c r="C536" i="1" s="1"/>
  <c r="B536" i="1"/>
  <c r="F535" i="1"/>
  <c r="E535" i="1"/>
  <c r="D535" i="1"/>
  <c r="C535" i="1"/>
  <c r="C535" i="1" a="1"/>
  <c r="B535" i="1"/>
  <c r="C534" i="1" a="1"/>
  <c r="C534" i="1" s="1"/>
  <c r="B534" i="1"/>
  <c r="F533" i="1"/>
  <c r="F532" i="1"/>
  <c r="E532" i="1"/>
  <c r="C531" i="1" a="1"/>
  <c r="C531" i="1" s="1"/>
  <c r="B531" i="1"/>
  <c r="F530" i="1"/>
  <c r="C530" i="1"/>
  <c r="C530" i="1" a="1"/>
  <c r="B530" i="1"/>
  <c r="F529" i="1"/>
  <c r="E529" i="1"/>
  <c r="D529" i="1"/>
  <c r="B529" i="1"/>
  <c r="U527" i="1"/>
  <c r="J527" i="1"/>
  <c r="H527" i="1"/>
  <c r="T526" i="1"/>
  <c r="H526" i="1"/>
  <c r="B526" i="1"/>
  <c r="F525" i="1"/>
  <c r="D525" i="1"/>
  <c r="B525" i="1"/>
  <c r="Y524" i="1"/>
  <c r="O524" i="1"/>
  <c r="K524" i="1"/>
  <c r="Y523" i="1"/>
  <c r="O523" i="1"/>
  <c r="K523" i="1"/>
  <c r="O522" i="1"/>
  <c r="K522" i="1"/>
  <c r="O521" i="1"/>
  <c r="K521" i="1"/>
  <c r="J521" i="1"/>
  <c r="H521" i="1"/>
  <c r="W520" i="1"/>
  <c r="V520" i="1"/>
  <c r="S520" i="1"/>
  <c r="O520" i="1"/>
  <c r="K520" i="1"/>
  <c r="J520" i="1"/>
  <c r="H520" i="1"/>
  <c r="D520" i="1"/>
  <c r="B520" i="1"/>
  <c r="Y519" i="1"/>
  <c r="O519" i="1"/>
  <c r="K519" i="1"/>
  <c r="O518" i="1"/>
  <c r="K518" i="1"/>
  <c r="O517" i="1"/>
  <c r="K517" i="1"/>
  <c r="B517" i="1"/>
  <c r="O516" i="1"/>
  <c r="K516" i="1"/>
  <c r="J516" i="1"/>
  <c r="H516" i="1"/>
  <c r="A516" i="1"/>
  <c r="C516" i="1" s="1" a="1"/>
  <c r="C516" i="1" s="1"/>
  <c r="Y515" i="1"/>
  <c r="W515" i="1"/>
  <c r="V515" i="1"/>
  <c r="S515" i="1"/>
  <c r="O515" i="1"/>
  <c r="K515" i="1"/>
  <c r="J515" i="1"/>
  <c r="H515" i="1"/>
  <c r="D515" i="1"/>
  <c r="C515" i="1"/>
  <c r="B515" i="1"/>
  <c r="Y514" i="1"/>
  <c r="W514" i="1"/>
  <c r="V514" i="1"/>
  <c r="S514" i="1"/>
  <c r="Q514" i="1"/>
  <c r="O514" i="1"/>
  <c r="K514" i="1"/>
  <c r="J514" i="1"/>
  <c r="H514" i="1"/>
  <c r="F514" i="1"/>
  <c r="D514" i="1"/>
  <c r="B514" i="1"/>
  <c r="Y512" i="1"/>
  <c r="O512" i="1"/>
  <c r="K512" i="1"/>
  <c r="B512" i="1" a="1"/>
  <c r="B512" i="1" s="1"/>
  <c r="Y511" i="1"/>
  <c r="O511" i="1"/>
  <c r="K511" i="1"/>
  <c r="J511" i="1"/>
  <c r="H511" i="1"/>
  <c r="C511" i="1"/>
  <c r="B511" i="1"/>
  <c r="A511" i="1"/>
  <c r="W510" i="1"/>
  <c r="V510" i="1"/>
  <c r="S510" i="1"/>
  <c r="O510" i="1"/>
  <c r="K510" i="1"/>
  <c r="J510" i="1"/>
  <c r="H510" i="1"/>
  <c r="D510" i="1"/>
  <c r="B510" i="1"/>
  <c r="Y509" i="1"/>
  <c r="O509" i="1"/>
  <c r="K509" i="1"/>
  <c r="O508" i="1"/>
  <c r="K508" i="1"/>
  <c r="J508" i="1"/>
  <c r="H508" i="1"/>
  <c r="Y507" i="1"/>
  <c r="W507" i="1"/>
  <c r="V507" i="1"/>
  <c r="S507" i="1"/>
  <c r="O507" i="1"/>
  <c r="K507" i="1"/>
  <c r="J507" i="1"/>
  <c r="H507" i="1"/>
  <c r="D507" i="1"/>
  <c r="C507" i="1"/>
  <c r="B507" i="1"/>
  <c r="Y506" i="1"/>
  <c r="W506" i="1"/>
  <c r="V506" i="1"/>
  <c r="S506" i="1"/>
  <c r="Q506" i="1"/>
  <c r="O506" i="1"/>
  <c r="K506" i="1"/>
  <c r="J506" i="1"/>
  <c r="H506" i="1"/>
  <c r="F506" i="1"/>
  <c r="D506" i="1"/>
  <c r="B506" i="1"/>
  <c r="F504" i="1"/>
  <c r="P503" i="1" a="1"/>
  <c r="P503" i="1" s="1"/>
  <c r="G503" i="1" a="1"/>
  <c r="G503" i="1" s="1"/>
  <c r="F503" i="1"/>
  <c r="E503" i="1"/>
  <c r="A503" i="1"/>
  <c r="B502" i="1"/>
  <c r="F501" i="1"/>
  <c r="C501" i="1"/>
  <c r="C501" i="1" a="1"/>
  <c r="B501" i="1"/>
  <c r="F500" i="1"/>
  <c r="E500" i="1"/>
  <c r="D500" i="1"/>
  <c r="C500" i="1" a="1"/>
  <c r="C500" i="1" s="1"/>
  <c r="B500" i="1"/>
  <c r="C499" i="1" a="1"/>
  <c r="C499" i="1" s="1"/>
  <c r="B499" i="1"/>
  <c r="F498" i="1"/>
  <c r="F497" i="1"/>
  <c r="E497" i="1"/>
  <c r="C496" i="1" a="1"/>
  <c r="C496" i="1" s="1"/>
  <c r="B496" i="1"/>
  <c r="Q495" i="1" a="1"/>
  <c r="Q495" i="1" s="1"/>
  <c r="N495" i="1" a="1"/>
  <c r="N495" i="1" s="1"/>
  <c r="F495" i="1"/>
  <c r="C495" i="1"/>
  <c r="C495" i="1" a="1"/>
  <c r="B495" i="1"/>
  <c r="A495" i="1"/>
  <c r="F494" i="1"/>
  <c r="E494" i="1"/>
  <c r="D494" i="1"/>
  <c r="B494" i="1"/>
  <c r="U492" i="1"/>
  <c r="J492" i="1"/>
  <c r="H492" i="1"/>
  <c r="T491" i="1"/>
  <c r="H491" i="1"/>
  <c r="B491" i="1"/>
  <c r="F490" i="1"/>
  <c r="D490" i="1"/>
  <c r="B490" i="1"/>
  <c r="Y489" i="1"/>
  <c r="O489" i="1"/>
  <c r="K489" i="1"/>
  <c r="Y488" i="1"/>
  <c r="O488" i="1"/>
  <c r="K488" i="1"/>
  <c r="O487" i="1"/>
  <c r="K487" i="1"/>
  <c r="O486" i="1"/>
  <c r="K486" i="1"/>
  <c r="J486" i="1"/>
  <c r="H486" i="1"/>
  <c r="W485" i="1"/>
  <c r="V485" i="1"/>
  <c r="S485" i="1"/>
  <c r="O485" i="1"/>
  <c r="K485" i="1"/>
  <c r="J485" i="1"/>
  <c r="H485" i="1"/>
  <c r="D485" i="1"/>
  <c r="B485" i="1"/>
  <c r="Y484" i="1"/>
  <c r="O484" i="1"/>
  <c r="K484" i="1"/>
  <c r="O483" i="1"/>
  <c r="K483" i="1"/>
  <c r="O482" i="1"/>
  <c r="K482" i="1"/>
  <c r="B482" i="1"/>
  <c r="O481" i="1"/>
  <c r="K481" i="1"/>
  <c r="J481" i="1"/>
  <c r="H481" i="1"/>
  <c r="Y480" i="1"/>
  <c r="W480" i="1"/>
  <c r="V480" i="1"/>
  <c r="S480" i="1"/>
  <c r="O480" i="1"/>
  <c r="K480" i="1"/>
  <c r="J480" i="1"/>
  <c r="H480" i="1"/>
  <c r="D480" i="1"/>
  <c r="C480" i="1"/>
  <c r="B480" i="1"/>
  <c r="Y479" i="1"/>
  <c r="W479" i="1"/>
  <c r="V479" i="1"/>
  <c r="S479" i="1"/>
  <c r="Q479" i="1"/>
  <c r="O479" i="1"/>
  <c r="K479" i="1"/>
  <c r="J479" i="1"/>
  <c r="H479" i="1"/>
  <c r="F479" i="1"/>
  <c r="D479" i="1"/>
  <c r="B479" i="1"/>
  <c r="Y477" i="1"/>
  <c r="O477" i="1"/>
  <c r="K477" i="1"/>
  <c r="A477" i="1"/>
  <c r="C477" i="1" s="1" a="1"/>
  <c r="C477" i="1" s="1"/>
  <c r="Y476" i="1"/>
  <c r="O476" i="1"/>
  <c r="K476" i="1"/>
  <c r="J476" i="1"/>
  <c r="H476" i="1"/>
  <c r="C476" i="1"/>
  <c r="B476" i="1"/>
  <c r="W475" i="1"/>
  <c r="V475" i="1"/>
  <c r="S475" i="1"/>
  <c r="O475" i="1"/>
  <c r="K475" i="1"/>
  <c r="J475" i="1"/>
  <c r="H475" i="1"/>
  <c r="D475" i="1"/>
  <c r="B475" i="1"/>
  <c r="Y474" i="1"/>
  <c r="O474" i="1"/>
  <c r="K474" i="1"/>
  <c r="O473" i="1"/>
  <c r="K473" i="1"/>
  <c r="J473" i="1"/>
  <c r="H473" i="1"/>
  <c r="A473" i="1"/>
  <c r="C473" i="1" s="1" a="1"/>
  <c r="C473" i="1" s="1"/>
  <c r="Y472" i="1"/>
  <c r="W472" i="1"/>
  <c r="V472" i="1"/>
  <c r="S472" i="1"/>
  <c r="O472" i="1"/>
  <c r="K472" i="1"/>
  <c r="J472" i="1"/>
  <c r="H472" i="1"/>
  <c r="D472" i="1"/>
  <c r="C472" i="1"/>
  <c r="B472" i="1"/>
  <c r="Y471" i="1"/>
  <c r="W471" i="1"/>
  <c r="V471" i="1"/>
  <c r="S471" i="1"/>
  <c r="Q471" i="1"/>
  <c r="O471" i="1"/>
  <c r="K471" i="1"/>
  <c r="J471" i="1"/>
  <c r="H471" i="1"/>
  <c r="F471" i="1"/>
  <c r="D471" i="1"/>
  <c r="B471" i="1"/>
  <c r="F469" i="1"/>
  <c r="S468" i="1" a="1"/>
  <c r="S468" i="1" s="1"/>
  <c r="G468" i="1" a="1"/>
  <c r="G468" i="1" s="1"/>
  <c r="F468" i="1"/>
  <c r="E468" i="1"/>
  <c r="A468" i="1"/>
  <c r="B467" i="1"/>
  <c r="F466" i="1"/>
  <c r="C466" i="1"/>
  <c r="C466" i="1" a="1"/>
  <c r="B466" i="1"/>
  <c r="F465" i="1"/>
  <c r="E465" i="1"/>
  <c r="D465" i="1"/>
  <c r="C465" i="1" a="1"/>
  <c r="C465" i="1" s="1"/>
  <c r="B465" i="1"/>
  <c r="C464" i="1"/>
  <c r="C464" i="1" a="1"/>
  <c r="B464" i="1"/>
  <c r="F463" i="1"/>
  <c r="V462" i="1" a="1"/>
  <c r="V462" i="1" s="1"/>
  <c r="S462" i="1" a="1"/>
  <c r="S462" i="1" s="1"/>
  <c r="K462" i="1" a="1"/>
  <c r="K462" i="1" s="1"/>
  <c r="F462" i="1"/>
  <c r="E462" i="1"/>
  <c r="A462" i="1"/>
  <c r="C461" i="1" a="1"/>
  <c r="C461" i="1" s="1"/>
  <c r="B461" i="1"/>
  <c r="F460" i="1"/>
  <c r="C460" i="1" a="1"/>
  <c r="C460" i="1" s="1"/>
  <c r="B460" i="1"/>
  <c r="F459" i="1"/>
  <c r="E459" i="1"/>
  <c r="D459" i="1"/>
  <c r="B459" i="1"/>
  <c r="U457" i="1"/>
  <c r="J457" i="1"/>
  <c r="H457" i="1"/>
  <c r="T456" i="1"/>
  <c r="H456" i="1"/>
  <c r="B456" i="1"/>
  <c r="F455" i="1"/>
  <c r="D455" i="1"/>
  <c r="B455" i="1"/>
  <c r="Y454" i="1"/>
  <c r="W454" i="1" a="1"/>
  <c r="W454" i="1" s="1"/>
  <c r="O454" i="1"/>
  <c r="K454" i="1"/>
  <c r="Y453" i="1"/>
  <c r="O453" i="1"/>
  <c r="K453" i="1"/>
  <c r="O452" i="1"/>
  <c r="K452" i="1"/>
  <c r="O451" i="1"/>
  <c r="K451" i="1"/>
  <c r="J451" i="1"/>
  <c r="H451" i="1"/>
  <c r="W450" i="1"/>
  <c r="V450" i="1"/>
  <c r="S450" i="1"/>
  <c r="O450" i="1"/>
  <c r="K450" i="1"/>
  <c r="J450" i="1"/>
  <c r="H450" i="1"/>
  <c r="D450" i="1"/>
  <c r="B450" i="1"/>
  <c r="Y449" i="1"/>
  <c r="O449" i="1"/>
  <c r="K449" i="1"/>
  <c r="W448" i="1" a="1"/>
  <c r="W448" i="1" s="1"/>
  <c r="O448" i="1"/>
  <c r="K448" i="1"/>
  <c r="O447" i="1"/>
  <c r="K447" i="1"/>
  <c r="B447" i="1"/>
  <c r="O446" i="1"/>
  <c r="K446" i="1"/>
  <c r="J446" i="1"/>
  <c r="H446" i="1"/>
  <c r="Y445" i="1"/>
  <c r="W445" i="1"/>
  <c r="V445" i="1"/>
  <c r="S445" i="1"/>
  <c r="O445" i="1"/>
  <c r="K445" i="1"/>
  <c r="J445" i="1"/>
  <c r="H445" i="1"/>
  <c r="D445" i="1"/>
  <c r="C445" i="1"/>
  <c r="B445" i="1"/>
  <c r="Y444" i="1"/>
  <c r="W444" i="1"/>
  <c r="V444" i="1"/>
  <c r="S444" i="1"/>
  <c r="Q444" i="1"/>
  <c r="O444" i="1"/>
  <c r="K444" i="1"/>
  <c r="J444" i="1"/>
  <c r="H444" i="1"/>
  <c r="F444" i="1"/>
  <c r="D444" i="1"/>
  <c r="B444" i="1"/>
  <c r="Y442" i="1"/>
  <c r="O442" i="1"/>
  <c r="K442" i="1"/>
  <c r="Y441" i="1"/>
  <c r="O441" i="1"/>
  <c r="K441" i="1"/>
  <c r="J441" i="1"/>
  <c r="H441" i="1"/>
  <c r="C441" i="1"/>
  <c r="B441" i="1"/>
  <c r="A441" i="1"/>
  <c r="B442" i="1" s="1" a="1"/>
  <c r="B442" i="1" s="1"/>
  <c r="W440" i="1"/>
  <c r="V440" i="1"/>
  <c r="S440" i="1"/>
  <c r="O440" i="1"/>
  <c r="K440" i="1"/>
  <c r="J440" i="1"/>
  <c r="H440" i="1"/>
  <c r="D440" i="1"/>
  <c r="B440" i="1"/>
  <c r="Y439" i="1"/>
  <c r="O439" i="1"/>
  <c r="K439" i="1"/>
  <c r="O438" i="1"/>
  <c r="K438" i="1"/>
  <c r="J438" i="1"/>
  <c r="H438" i="1"/>
  <c r="Y437" i="1"/>
  <c r="W437" i="1"/>
  <c r="V437" i="1"/>
  <c r="S437" i="1"/>
  <c r="O437" i="1"/>
  <c r="K437" i="1"/>
  <c r="J437" i="1"/>
  <c r="H437" i="1"/>
  <c r="D437" i="1"/>
  <c r="C437" i="1"/>
  <c r="B437" i="1"/>
  <c r="A437" i="1"/>
  <c r="B438" i="1" s="1" a="1"/>
  <c r="B438" i="1" s="1"/>
  <c r="Y436" i="1"/>
  <c r="W436" i="1"/>
  <c r="V436" i="1"/>
  <c r="S436" i="1"/>
  <c r="Q436" i="1"/>
  <c r="O436" i="1"/>
  <c r="K436" i="1"/>
  <c r="J436" i="1"/>
  <c r="H436" i="1"/>
  <c r="F436" i="1"/>
  <c r="D436" i="1"/>
  <c r="B436" i="1"/>
  <c r="F434" i="1"/>
  <c r="F433" i="1"/>
  <c r="E433" i="1"/>
  <c r="B432" i="1"/>
  <c r="A432" i="1"/>
  <c r="F431" i="1"/>
  <c r="C431" i="1" a="1"/>
  <c r="C431" i="1" s="1"/>
  <c r="B431" i="1"/>
  <c r="Y430" i="1" a="1"/>
  <c r="Y430" i="1" s="1"/>
  <c r="S430" i="1" a="1"/>
  <c r="S430" i="1" s="1"/>
  <c r="M430" i="1" a="1"/>
  <c r="M430" i="1" s="1"/>
  <c r="G430" i="1" a="1"/>
  <c r="G430" i="1" s="1"/>
  <c r="F430" i="1"/>
  <c r="E430" i="1"/>
  <c r="D430" i="1"/>
  <c r="C430" i="1"/>
  <c r="C430" i="1" a="1"/>
  <c r="B430" i="1"/>
  <c r="A430" i="1"/>
  <c r="C429" i="1"/>
  <c r="C429" i="1" a="1"/>
  <c r="B429" i="1"/>
  <c r="A429" i="1"/>
  <c r="F428" i="1"/>
  <c r="F427" i="1"/>
  <c r="E427" i="1"/>
  <c r="A427" i="1"/>
  <c r="C426" i="1" a="1"/>
  <c r="C426" i="1" s="1"/>
  <c r="B426" i="1"/>
  <c r="F425" i="1"/>
  <c r="C425" i="1" a="1"/>
  <c r="C425" i="1" s="1"/>
  <c r="B425" i="1"/>
  <c r="F424" i="1"/>
  <c r="E424" i="1"/>
  <c r="D424" i="1"/>
  <c r="B424" i="1"/>
  <c r="U422" i="1"/>
  <c r="J422" i="1"/>
  <c r="H422" i="1"/>
  <c r="T421" i="1"/>
  <c r="H421" i="1"/>
  <c r="B421" i="1"/>
  <c r="F420" i="1"/>
  <c r="D420" i="1"/>
  <c r="B420" i="1"/>
  <c r="Y419" i="1"/>
  <c r="O419" i="1"/>
  <c r="K419" i="1"/>
  <c r="Y418" i="1"/>
  <c r="O418" i="1"/>
  <c r="K418" i="1"/>
  <c r="O417" i="1"/>
  <c r="K417" i="1"/>
  <c r="O416" i="1"/>
  <c r="K416" i="1"/>
  <c r="J416" i="1"/>
  <c r="H416" i="1"/>
  <c r="W415" i="1"/>
  <c r="V415" i="1"/>
  <c r="S415" i="1"/>
  <c r="O415" i="1"/>
  <c r="K415" i="1"/>
  <c r="J415" i="1"/>
  <c r="H415" i="1"/>
  <c r="D415" i="1"/>
  <c r="B415" i="1"/>
  <c r="Y414" i="1"/>
  <c r="O414" i="1"/>
  <c r="K414" i="1"/>
  <c r="O413" i="1"/>
  <c r="K413" i="1"/>
  <c r="O412" i="1"/>
  <c r="K412" i="1"/>
  <c r="B412" i="1"/>
  <c r="O411" i="1"/>
  <c r="K411" i="1"/>
  <c r="J411" i="1"/>
  <c r="H411" i="1"/>
  <c r="Y410" i="1"/>
  <c r="W410" i="1"/>
  <c r="V410" i="1"/>
  <c r="S410" i="1"/>
  <c r="O410" i="1"/>
  <c r="K410" i="1"/>
  <c r="J410" i="1"/>
  <c r="H410" i="1"/>
  <c r="D410" i="1"/>
  <c r="C410" i="1"/>
  <c r="B410" i="1"/>
  <c r="Y409" i="1"/>
  <c r="W409" i="1"/>
  <c r="V409" i="1"/>
  <c r="S409" i="1"/>
  <c r="Q409" i="1"/>
  <c r="O409" i="1"/>
  <c r="K409" i="1"/>
  <c r="J409" i="1"/>
  <c r="H409" i="1"/>
  <c r="F409" i="1"/>
  <c r="D409" i="1"/>
  <c r="B409" i="1"/>
  <c r="Y407" i="1"/>
  <c r="O407" i="1"/>
  <c r="K407" i="1"/>
  <c r="Y406" i="1"/>
  <c r="O406" i="1"/>
  <c r="K406" i="1"/>
  <c r="J406" i="1"/>
  <c r="H406" i="1"/>
  <c r="C406" i="1"/>
  <c r="B406" i="1"/>
  <c r="W405" i="1"/>
  <c r="V405" i="1"/>
  <c r="S405" i="1"/>
  <c r="O405" i="1"/>
  <c r="K405" i="1"/>
  <c r="J405" i="1"/>
  <c r="H405" i="1"/>
  <c r="D405" i="1"/>
  <c r="B405" i="1"/>
  <c r="Y404" i="1"/>
  <c r="O404" i="1"/>
  <c r="K404" i="1"/>
  <c r="O403" i="1"/>
  <c r="K403" i="1"/>
  <c r="J403" i="1"/>
  <c r="H403" i="1"/>
  <c r="Y402" i="1"/>
  <c r="W402" i="1"/>
  <c r="V402" i="1"/>
  <c r="S402" i="1"/>
  <c r="O402" i="1"/>
  <c r="K402" i="1"/>
  <c r="J402" i="1"/>
  <c r="H402" i="1"/>
  <c r="D402" i="1"/>
  <c r="C402" i="1"/>
  <c r="B402" i="1"/>
  <c r="A402" i="1"/>
  <c r="B403" i="1" s="1" a="1"/>
  <c r="B403" i="1" s="1"/>
  <c r="Y401" i="1"/>
  <c r="W401" i="1"/>
  <c r="V401" i="1"/>
  <c r="S401" i="1"/>
  <c r="Q401" i="1"/>
  <c r="O401" i="1"/>
  <c r="K401" i="1"/>
  <c r="J401" i="1"/>
  <c r="H401" i="1"/>
  <c r="F401" i="1"/>
  <c r="D401" i="1"/>
  <c r="B401" i="1"/>
  <c r="F399" i="1"/>
  <c r="F398" i="1"/>
  <c r="E398" i="1"/>
  <c r="B397" i="1"/>
  <c r="F396" i="1"/>
  <c r="C396" i="1" a="1"/>
  <c r="C396" i="1" s="1"/>
  <c r="B396" i="1"/>
  <c r="A396" i="1"/>
  <c r="F395" i="1"/>
  <c r="E395" i="1"/>
  <c r="D395" i="1"/>
  <c r="C395" i="1"/>
  <c r="C395" i="1" a="1"/>
  <c r="B395" i="1"/>
  <c r="C394" i="1"/>
  <c r="C394" i="1" a="1"/>
  <c r="B394" i="1"/>
  <c r="F393" i="1"/>
  <c r="F392" i="1"/>
  <c r="E392" i="1"/>
  <c r="C391" i="1" a="1"/>
  <c r="C391" i="1" s="1"/>
  <c r="B391" i="1"/>
  <c r="F390" i="1"/>
  <c r="C390" i="1" a="1"/>
  <c r="C390" i="1" s="1"/>
  <c r="B390" i="1"/>
  <c r="F389" i="1"/>
  <c r="E389" i="1"/>
  <c r="D389" i="1"/>
  <c r="B389" i="1"/>
  <c r="U387" i="1"/>
  <c r="J387" i="1"/>
  <c r="H387" i="1"/>
  <c r="T386" i="1"/>
  <c r="H386" i="1"/>
  <c r="B386" i="1"/>
  <c r="F385" i="1"/>
  <c r="D385" i="1"/>
  <c r="B385" i="1"/>
  <c r="Y384" i="1"/>
  <c r="O384" i="1"/>
  <c r="K384" i="1"/>
  <c r="Y383" i="1"/>
  <c r="O383" i="1"/>
  <c r="K383" i="1"/>
  <c r="O382" i="1"/>
  <c r="K382" i="1"/>
  <c r="O381" i="1"/>
  <c r="K381" i="1"/>
  <c r="J381" i="1"/>
  <c r="H381" i="1"/>
  <c r="W380" i="1"/>
  <c r="V380" i="1"/>
  <c r="S380" i="1"/>
  <c r="O380" i="1"/>
  <c r="K380" i="1"/>
  <c r="J380" i="1"/>
  <c r="H380" i="1"/>
  <c r="D380" i="1"/>
  <c r="B380" i="1"/>
  <c r="Y379" i="1"/>
  <c r="O379" i="1"/>
  <c r="K379" i="1"/>
  <c r="O378" i="1"/>
  <c r="K378" i="1"/>
  <c r="O377" i="1"/>
  <c r="K377" i="1"/>
  <c r="B377" i="1"/>
  <c r="O376" i="1"/>
  <c r="K376" i="1"/>
  <c r="J376" i="1"/>
  <c r="H376" i="1"/>
  <c r="Y375" i="1"/>
  <c r="W375" i="1"/>
  <c r="V375" i="1"/>
  <c r="S375" i="1"/>
  <c r="O375" i="1"/>
  <c r="K375" i="1"/>
  <c r="J375" i="1"/>
  <c r="H375" i="1"/>
  <c r="D375" i="1"/>
  <c r="C375" i="1"/>
  <c r="B375" i="1"/>
  <c r="Y374" i="1"/>
  <c r="W374" i="1"/>
  <c r="V374" i="1"/>
  <c r="S374" i="1"/>
  <c r="Q374" i="1"/>
  <c r="O374" i="1"/>
  <c r="K374" i="1"/>
  <c r="J374" i="1"/>
  <c r="H374" i="1"/>
  <c r="F374" i="1"/>
  <c r="D374" i="1"/>
  <c r="B374" i="1"/>
  <c r="Y372" i="1"/>
  <c r="O372" i="1"/>
  <c r="K372" i="1"/>
  <c r="Y371" i="1"/>
  <c r="O371" i="1"/>
  <c r="K371" i="1"/>
  <c r="J371" i="1"/>
  <c r="H371" i="1"/>
  <c r="C371" i="1"/>
  <c r="B371" i="1"/>
  <c r="W370" i="1"/>
  <c r="V370" i="1"/>
  <c r="S370" i="1"/>
  <c r="O370" i="1"/>
  <c r="K370" i="1"/>
  <c r="J370" i="1"/>
  <c r="H370" i="1"/>
  <c r="D370" i="1"/>
  <c r="B370" i="1"/>
  <c r="Y369" i="1"/>
  <c r="O369" i="1"/>
  <c r="K369" i="1"/>
  <c r="O368" i="1"/>
  <c r="K368" i="1"/>
  <c r="J368" i="1"/>
  <c r="H368" i="1"/>
  <c r="Y367" i="1"/>
  <c r="W367" i="1"/>
  <c r="V367" i="1"/>
  <c r="S367" i="1"/>
  <c r="O367" i="1"/>
  <c r="K367" i="1"/>
  <c r="J367" i="1"/>
  <c r="H367" i="1"/>
  <c r="D367" i="1"/>
  <c r="C367" i="1"/>
  <c r="B367" i="1"/>
  <c r="Y366" i="1"/>
  <c r="W366" i="1"/>
  <c r="V366" i="1"/>
  <c r="S366" i="1"/>
  <c r="Q366" i="1"/>
  <c r="O366" i="1"/>
  <c r="K366" i="1"/>
  <c r="J366" i="1"/>
  <c r="H366" i="1"/>
  <c r="F366" i="1"/>
  <c r="D366" i="1"/>
  <c r="B366" i="1"/>
  <c r="F364" i="1"/>
  <c r="F363" i="1"/>
  <c r="E363" i="1"/>
  <c r="B362" i="1"/>
  <c r="F361" i="1"/>
  <c r="C361" i="1" a="1"/>
  <c r="C361" i="1" s="1"/>
  <c r="B361" i="1"/>
  <c r="F360" i="1"/>
  <c r="E360" i="1"/>
  <c r="D360" i="1"/>
  <c r="C360" i="1"/>
  <c r="C360" i="1" a="1"/>
  <c r="B360" i="1"/>
  <c r="C359" i="1"/>
  <c r="C359" i="1" a="1"/>
  <c r="B359" i="1"/>
  <c r="F358" i="1"/>
  <c r="F357" i="1"/>
  <c r="E357" i="1"/>
  <c r="C356" i="1" a="1"/>
  <c r="C356" i="1" s="1"/>
  <c r="B356" i="1"/>
  <c r="F355" i="1"/>
  <c r="C355" i="1" a="1"/>
  <c r="C355" i="1" s="1"/>
  <c r="B355" i="1"/>
  <c r="F354" i="1"/>
  <c r="E354" i="1"/>
  <c r="D354" i="1"/>
  <c r="B354" i="1"/>
  <c r="U352" i="1"/>
  <c r="J352" i="1"/>
  <c r="H352" i="1"/>
  <c r="T351" i="1"/>
  <c r="H351" i="1"/>
  <c r="B351" i="1"/>
  <c r="F350" i="1"/>
  <c r="D350" i="1"/>
  <c r="B350" i="1"/>
  <c r="Y349" i="1"/>
  <c r="O349" i="1"/>
  <c r="K349" i="1"/>
  <c r="Y348" i="1"/>
  <c r="O348" i="1"/>
  <c r="K348" i="1"/>
  <c r="O347" i="1"/>
  <c r="K347" i="1"/>
  <c r="O346" i="1"/>
  <c r="K346" i="1"/>
  <c r="J346" i="1"/>
  <c r="H346" i="1"/>
  <c r="W345" i="1"/>
  <c r="V345" i="1"/>
  <c r="S345" i="1"/>
  <c r="O345" i="1"/>
  <c r="K345" i="1"/>
  <c r="J345" i="1"/>
  <c r="H345" i="1"/>
  <c r="D345" i="1"/>
  <c r="B345" i="1"/>
  <c r="Y344" i="1"/>
  <c r="O344" i="1"/>
  <c r="K344" i="1"/>
  <c r="O343" i="1"/>
  <c r="K343" i="1"/>
  <c r="O342" i="1"/>
  <c r="K342" i="1"/>
  <c r="B342" i="1"/>
  <c r="O341" i="1"/>
  <c r="K341" i="1"/>
  <c r="J341" i="1"/>
  <c r="H341" i="1"/>
  <c r="Y340" i="1"/>
  <c r="W340" i="1"/>
  <c r="V340" i="1"/>
  <c r="S340" i="1"/>
  <c r="O340" i="1"/>
  <c r="K340" i="1"/>
  <c r="J340" i="1"/>
  <c r="H340" i="1"/>
  <c r="D340" i="1"/>
  <c r="C340" i="1"/>
  <c r="B340" i="1"/>
  <c r="Y339" i="1"/>
  <c r="W339" i="1"/>
  <c r="V339" i="1"/>
  <c r="S339" i="1"/>
  <c r="Q339" i="1"/>
  <c r="O339" i="1"/>
  <c r="K339" i="1"/>
  <c r="J339" i="1"/>
  <c r="H339" i="1"/>
  <c r="F339" i="1"/>
  <c r="D339" i="1"/>
  <c r="B339" i="1"/>
  <c r="Y337" i="1"/>
  <c r="O337" i="1"/>
  <c r="K337" i="1"/>
  <c r="Y336" i="1"/>
  <c r="O336" i="1"/>
  <c r="K336" i="1"/>
  <c r="J336" i="1"/>
  <c r="H336" i="1"/>
  <c r="C336" i="1"/>
  <c r="B336" i="1"/>
  <c r="W335" i="1"/>
  <c r="V335" i="1"/>
  <c r="S335" i="1"/>
  <c r="O335" i="1"/>
  <c r="K335" i="1"/>
  <c r="J335" i="1"/>
  <c r="H335" i="1"/>
  <c r="D335" i="1"/>
  <c r="B335" i="1"/>
  <c r="Y334" i="1"/>
  <c r="O334" i="1"/>
  <c r="K334" i="1"/>
  <c r="O333" i="1"/>
  <c r="K333" i="1"/>
  <c r="J333" i="1"/>
  <c r="H333" i="1"/>
  <c r="Y332" i="1"/>
  <c r="W332" i="1"/>
  <c r="V332" i="1"/>
  <c r="S332" i="1"/>
  <c r="O332" i="1"/>
  <c r="K332" i="1"/>
  <c r="J332" i="1"/>
  <c r="H332" i="1"/>
  <c r="D332" i="1"/>
  <c r="C332" i="1"/>
  <c r="B332" i="1"/>
  <c r="Y331" i="1"/>
  <c r="W331" i="1"/>
  <c r="V331" i="1"/>
  <c r="S331" i="1"/>
  <c r="Q331" i="1"/>
  <c r="O331" i="1"/>
  <c r="K331" i="1"/>
  <c r="J331" i="1"/>
  <c r="H331" i="1"/>
  <c r="F331" i="1"/>
  <c r="D331" i="1"/>
  <c r="B331" i="1"/>
  <c r="F329" i="1"/>
  <c r="F328" i="1"/>
  <c r="E328" i="1"/>
  <c r="B327" i="1"/>
  <c r="F326" i="1"/>
  <c r="C326" i="1"/>
  <c r="C326" i="1" a="1"/>
  <c r="B326" i="1"/>
  <c r="F325" i="1"/>
  <c r="E325" i="1"/>
  <c r="D325" i="1"/>
  <c r="C325" i="1" a="1"/>
  <c r="C325" i="1" s="1"/>
  <c r="B325" i="1"/>
  <c r="C324" i="1" a="1"/>
  <c r="C324" i="1" s="1"/>
  <c r="B324" i="1"/>
  <c r="F323" i="1"/>
  <c r="F322" i="1"/>
  <c r="E322" i="1"/>
  <c r="C321" i="1" a="1"/>
  <c r="C321" i="1" s="1"/>
  <c r="B321" i="1"/>
  <c r="F320" i="1"/>
  <c r="C320" i="1"/>
  <c r="C320" i="1" a="1"/>
  <c r="B320" i="1"/>
  <c r="F319" i="1"/>
  <c r="E319" i="1"/>
  <c r="D319" i="1"/>
  <c r="B319" i="1"/>
  <c r="U317" i="1"/>
  <c r="J317" i="1"/>
  <c r="H317" i="1"/>
  <c r="T316" i="1"/>
  <c r="H316" i="1"/>
  <c r="B316" i="1"/>
  <c r="F315" i="1"/>
  <c r="D315" i="1"/>
  <c r="B315" i="1"/>
  <c r="Y314" i="1"/>
  <c r="O314" i="1"/>
  <c r="K314" i="1"/>
  <c r="Y313" i="1"/>
  <c r="O313" i="1"/>
  <c r="K313" i="1"/>
  <c r="O312" i="1"/>
  <c r="K312" i="1"/>
  <c r="O311" i="1"/>
  <c r="K311" i="1"/>
  <c r="J311" i="1"/>
  <c r="H311" i="1"/>
  <c r="W310" i="1"/>
  <c r="V310" i="1"/>
  <c r="S310" i="1"/>
  <c r="O310" i="1"/>
  <c r="K310" i="1"/>
  <c r="J310" i="1"/>
  <c r="H310" i="1"/>
  <c r="D310" i="1"/>
  <c r="B310" i="1"/>
  <c r="Y309" i="1"/>
  <c r="O309" i="1"/>
  <c r="K309" i="1"/>
  <c r="O308" i="1"/>
  <c r="K308" i="1"/>
  <c r="O307" i="1"/>
  <c r="K307" i="1"/>
  <c r="B307" i="1"/>
  <c r="O306" i="1"/>
  <c r="K306" i="1"/>
  <c r="J306" i="1"/>
  <c r="H306" i="1"/>
  <c r="Y305" i="1"/>
  <c r="W305" i="1"/>
  <c r="V305" i="1"/>
  <c r="S305" i="1"/>
  <c r="O305" i="1"/>
  <c r="K305" i="1"/>
  <c r="J305" i="1"/>
  <c r="H305" i="1"/>
  <c r="D305" i="1"/>
  <c r="C305" i="1"/>
  <c r="B305" i="1"/>
  <c r="Y304" i="1"/>
  <c r="W304" i="1"/>
  <c r="V304" i="1"/>
  <c r="S304" i="1"/>
  <c r="Q304" i="1"/>
  <c r="O304" i="1"/>
  <c r="K304" i="1"/>
  <c r="J304" i="1"/>
  <c r="H304" i="1"/>
  <c r="F304" i="1"/>
  <c r="D304" i="1"/>
  <c r="B304" i="1"/>
  <c r="Y302" i="1"/>
  <c r="O302" i="1"/>
  <c r="K302" i="1"/>
  <c r="Y301" i="1"/>
  <c r="O301" i="1"/>
  <c r="K301" i="1"/>
  <c r="J301" i="1"/>
  <c r="H301" i="1"/>
  <c r="C301" i="1"/>
  <c r="B301" i="1"/>
  <c r="W300" i="1"/>
  <c r="V300" i="1"/>
  <c r="S300" i="1"/>
  <c r="O300" i="1"/>
  <c r="K300" i="1"/>
  <c r="J300" i="1"/>
  <c r="H300" i="1"/>
  <c r="D300" i="1"/>
  <c r="B300" i="1"/>
  <c r="Y299" i="1"/>
  <c r="O299" i="1"/>
  <c r="K299" i="1"/>
  <c r="O298" i="1"/>
  <c r="K298" i="1"/>
  <c r="J298" i="1"/>
  <c r="H298" i="1"/>
  <c r="Y297" i="1"/>
  <c r="W297" i="1"/>
  <c r="V297" i="1"/>
  <c r="S297" i="1"/>
  <c r="O297" i="1"/>
  <c r="K297" i="1"/>
  <c r="J297" i="1"/>
  <c r="H297" i="1"/>
  <c r="D297" i="1"/>
  <c r="C297" i="1"/>
  <c r="B297" i="1"/>
  <c r="Y296" i="1"/>
  <c r="W296" i="1"/>
  <c r="V296" i="1"/>
  <c r="S296" i="1"/>
  <c r="Q296" i="1"/>
  <c r="O296" i="1"/>
  <c r="K296" i="1"/>
  <c r="J296" i="1"/>
  <c r="H296" i="1"/>
  <c r="F296" i="1"/>
  <c r="D296" i="1"/>
  <c r="B296" i="1"/>
  <c r="F294" i="1"/>
  <c r="F293" i="1"/>
  <c r="E293" i="1"/>
  <c r="B292" i="1"/>
  <c r="F291" i="1"/>
  <c r="C291" i="1"/>
  <c r="C291" i="1" a="1"/>
  <c r="B291" i="1"/>
  <c r="F290" i="1"/>
  <c r="E290" i="1"/>
  <c r="D290" i="1"/>
  <c r="C290" i="1" a="1"/>
  <c r="C290" i="1" s="1"/>
  <c r="B290" i="1"/>
  <c r="C289" i="1" a="1"/>
  <c r="C289" i="1" s="1"/>
  <c r="B289" i="1"/>
  <c r="F288" i="1"/>
  <c r="F287" i="1"/>
  <c r="E287" i="1"/>
  <c r="C286" i="1"/>
  <c r="C286" i="1" a="1"/>
  <c r="B286" i="1"/>
  <c r="F285" i="1"/>
  <c r="C285" i="1" a="1"/>
  <c r="C285" i="1" s="1"/>
  <c r="B285" i="1"/>
  <c r="F284" i="1"/>
  <c r="E284" i="1"/>
  <c r="D284" i="1"/>
  <c r="B284" i="1"/>
  <c r="U282" i="1"/>
  <c r="J282" i="1"/>
  <c r="H282" i="1"/>
  <c r="T281" i="1"/>
  <c r="J281" i="1"/>
  <c r="H281" i="1"/>
  <c r="B281" i="1"/>
  <c r="F280" i="1"/>
  <c r="D280" i="1"/>
  <c r="B280" i="1"/>
  <c r="Y279" i="1"/>
  <c r="O279" i="1"/>
  <c r="K279" i="1"/>
  <c r="Y278" i="1"/>
  <c r="O278" i="1"/>
  <c r="K278" i="1"/>
  <c r="O277" i="1"/>
  <c r="K277" i="1"/>
  <c r="O276" i="1"/>
  <c r="K276" i="1"/>
  <c r="J276" i="1"/>
  <c r="H276" i="1"/>
  <c r="W275" i="1"/>
  <c r="V275" i="1"/>
  <c r="S275" i="1"/>
  <c r="O275" i="1"/>
  <c r="K275" i="1"/>
  <c r="J275" i="1"/>
  <c r="H275" i="1"/>
  <c r="D275" i="1"/>
  <c r="B275" i="1"/>
  <c r="Y274" i="1"/>
  <c r="O274" i="1"/>
  <c r="K274" i="1"/>
  <c r="O273" i="1"/>
  <c r="K273" i="1"/>
  <c r="O272" i="1"/>
  <c r="K272" i="1"/>
  <c r="B272" i="1"/>
  <c r="O271" i="1"/>
  <c r="K271" i="1"/>
  <c r="J271" i="1"/>
  <c r="H271" i="1"/>
  <c r="Y270" i="1"/>
  <c r="W270" i="1"/>
  <c r="V270" i="1"/>
  <c r="S270" i="1"/>
  <c r="O270" i="1"/>
  <c r="K270" i="1"/>
  <c r="J270" i="1"/>
  <c r="H270" i="1"/>
  <c r="D270" i="1"/>
  <c r="C270" i="1"/>
  <c r="B270" i="1"/>
  <c r="A270" i="1"/>
  <c r="B282" i="1" s="1" a="1"/>
  <c r="B282" i="1" s="1"/>
  <c r="Y269" i="1"/>
  <c r="W269" i="1"/>
  <c r="V269" i="1"/>
  <c r="S269" i="1"/>
  <c r="Q269" i="1"/>
  <c r="O269" i="1"/>
  <c r="K269" i="1"/>
  <c r="J269" i="1"/>
  <c r="H269" i="1"/>
  <c r="F269" i="1"/>
  <c r="D269" i="1"/>
  <c r="B269" i="1"/>
  <c r="Y267" i="1"/>
  <c r="O267" i="1"/>
  <c r="K267" i="1"/>
  <c r="Y266" i="1"/>
  <c r="O266" i="1"/>
  <c r="K266" i="1"/>
  <c r="J266" i="1"/>
  <c r="H266" i="1"/>
  <c r="C266" i="1"/>
  <c r="B266" i="1"/>
  <c r="A266" i="1"/>
  <c r="B267" i="1" s="1" a="1"/>
  <c r="B267" i="1" s="1"/>
  <c r="F275" i="1" s="1"/>
  <c r="W265" i="1"/>
  <c r="V265" i="1"/>
  <c r="S265" i="1"/>
  <c r="O265" i="1"/>
  <c r="K265" i="1"/>
  <c r="J265" i="1"/>
  <c r="H265" i="1"/>
  <c r="D265" i="1"/>
  <c r="B265" i="1"/>
  <c r="Y264" i="1"/>
  <c r="O264" i="1"/>
  <c r="K264" i="1"/>
  <c r="O263" i="1"/>
  <c r="K263" i="1"/>
  <c r="J263" i="1"/>
  <c r="H263" i="1"/>
  <c r="Y262" i="1"/>
  <c r="W262" i="1"/>
  <c r="V262" i="1"/>
  <c r="S262" i="1"/>
  <c r="O262" i="1"/>
  <c r="K262" i="1"/>
  <c r="J262" i="1"/>
  <c r="H262" i="1"/>
  <c r="D262" i="1"/>
  <c r="C262" i="1"/>
  <c r="B262" i="1"/>
  <c r="Y261" i="1"/>
  <c r="W261" i="1"/>
  <c r="V261" i="1"/>
  <c r="S261" i="1"/>
  <c r="Q261" i="1"/>
  <c r="O261" i="1"/>
  <c r="K261" i="1"/>
  <c r="J261" i="1"/>
  <c r="H261" i="1"/>
  <c r="F261" i="1"/>
  <c r="D261" i="1"/>
  <c r="B261" i="1"/>
  <c r="W259" i="1" a="1"/>
  <c r="W259" i="1" s="1"/>
  <c r="Q259" i="1" a="1"/>
  <c r="Q259" i="1" s="1"/>
  <c r="F259" i="1"/>
  <c r="A259" i="1"/>
  <c r="F258" i="1"/>
  <c r="E258" i="1"/>
  <c r="A258" i="1"/>
  <c r="B257" i="1"/>
  <c r="F256" i="1"/>
  <c r="C256" i="1" a="1"/>
  <c r="C256" i="1" s="1"/>
  <c r="B256" i="1"/>
  <c r="F255" i="1"/>
  <c r="E255" i="1"/>
  <c r="D255" i="1"/>
  <c r="C255" i="1" a="1"/>
  <c r="C255" i="1" s="1"/>
  <c r="B255" i="1"/>
  <c r="A255" i="1"/>
  <c r="C254" i="1" a="1"/>
  <c r="C254" i="1" s="1"/>
  <c r="B254" i="1"/>
  <c r="Y253" i="1" a="1"/>
  <c r="Y253" i="1" s="1"/>
  <c r="N253" i="1" a="1"/>
  <c r="N253" i="1" s="1"/>
  <c r="H253" i="1" a="1"/>
  <c r="H253" i="1" s="1"/>
  <c r="G253" i="1" a="1"/>
  <c r="G253" i="1" s="1"/>
  <c r="F253" i="1"/>
  <c r="A253" i="1"/>
  <c r="F252" i="1"/>
  <c r="E252" i="1"/>
  <c r="C251" i="1"/>
  <c r="C251" i="1" a="1"/>
  <c r="B251" i="1"/>
  <c r="N250" i="1" a="1"/>
  <c r="N250" i="1" s="1"/>
  <c r="F250" i="1"/>
  <c r="C250" i="1" a="1"/>
  <c r="C250" i="1" s="1"/>
  <c r="B250" i="1"/>
  <c r="A250" i="1"/>
  <c r="Z249" i="1" a="1"/>
  <c r="Z249" i="1" s="1"/>
  <c r="T249" i="1" a="1"/>
  <c r="T249" i="1" s="1"/>
  <c r="J249" i="1" a="1"/>
  <c r="J249" i="1" s="1"/>
  <c r="F249" i="1"/>
  <c r="E249" i="1"/>
  <c r="D249" i="1"/>
  <c r="B249" i="1"/>
  <c r="A249" i="1"/>
  <c r="U247" i="1"/>
  <c r="J247" i="1"/>
  <c r="H247" i="1"/>
  <c r="T246" i="1"/>
  <c r="H246" i="1"/>
  <c r="B246" i="1"/>
  <c r="F245" i="1"/>
  <c r="D245" i="1"/>
  <c r="B245" i="1"/>
  <c r="Y244" i="1"/>
  <c r="O244" i="1"/>
  <c r="K244" i="1"/>
  <c r="Y243" i="1"/>
  <c r="O243" i="1"/>
  <c r="K243" i="1"/>
  <c r="O242" i="1"/>
  <c r="K242" i="1"/>
  <c r="O241" i="1"/>
  <c r="K241" i="1"/>
  <c r="J241" i="1"/>
  <c r="H241" i="1"/>
  <c r="W240" i="1"/>
  <c r="V240" i="1"/>
  <c r="S240" i="1"/>
  <c r="O240" i="1"/>
  <c r="K240" i="1"/>
  <c r="J240" i="1"/>
  <c r="H240" i="1"/>
  <c r="D240" i="1"/>
  <c r="B240" i="1"/>
  <c r="Y239" i="1"/>
  <c r="O239" i="1"/>
  <c r="K239" i="1"/>
  <c r="O238" i="1"/>
  <c r="K238" i="1"/>
  <c r="O237" i="1"/>
  <c r="K237" i="1"/>
  <c r="B237" i="1"/>
  <c r="O236" i="1"/>
  <c r="K236" i="1"/>
  <c r="J236" i="1"/>
  <c r="H236" i="1"/>
  <c r="Y235" i="1"/>
  <c r="W235" i="1"/>
  <c r="V235" i="1"/>
  <c r="S235" i="1"/>
  <c r="O235" i="1"/>
  <c r="K235" i="1"/>
  <c r="J235" i="1"/>
  <c r="H235" i="1"/>
  <c r="D235" i="1"/>
  <c r="C235" i="1"/>
  <c r="B235" i="1"/>
  <c r="A235" i="1"/>
  <c r="B247" i="1" s="1" a="1"/>
  <c r="B247" i="1" s="1"/>
  <c r="Y234" i="1"/>
  <c r="W234" i="1"/>
  <c r="V234" i="1"/>
  <c r="S234" i="1"/>
  <c r="Q234" i="1"/>
  <c r="O234" i="1"/>
  <c r="K234" i="1"/>
  <c r="J234" i="1"/>
  <c r="H234" i="1"/>
  <c r="F234" i="1"/>
  <c r="D234" i="1"/>
  <c r="B234" i="1"/>
  <c r="Y232" i="1"/>
  <c r="O232" i="1"/>
  <c r="K232" i="1"/>
  <c r="Y231" i="1"/>
  <c r="O231" i="1"/>
  <c r="K231" i="1"/>
  <c r="J231" i="1"/>
  <c r="H231" i="1"/>
  <c r="C231" i="1"/>
  <c r="B231" i="1"/>
  <c r="A231" i="1"/>
  <c r="B232" i="1" s="1" a="1"/>
  <c r="B232" i="1" s="1"/>
  <c r="W230" i="1"/>
  <c r="V230" i="1"/>
  <c r="S230" i="1"/>
  <c r="O230" i="1"/>
  <c r="K230" i="1"/>
  <c r="J230" i="1"/>
  <c r="H230" i="1"/>
  <c r="D230" i="1"/>
  <c r="B230" i="1"/>
  <c r="Y229" i="1"/>
  <c r="O229" i="1"/>
  <c r="K229" i="1"/>
  <c r="O228" i="1"/>
  <c r="K228" i="1"/>
  <c r="J228" i="1"/>
  <c r="H228" i="1"/>
  <c r="Y227" i="1"/>
  <c r="W227" i="1"/>
  <c r="V227" i="1"/>
  <c r="S227" i="1"/>
  <c r="O227" i="1"/>
  <c r="K227" i="1"/>
  <c r="J227" i="1"/>
  <c r="H227" i="1"/>
  <c r="D227" i="1"/>
  <c r="C227" i="1"/>
  <c r="B227" i="1"/>
  <c r="Y226" i="1"/>
  <c r="W226" i="1"/>
  <c r="V226" i="1"/>
  <c r="S226" i="1"/>
  <c r="Q226" i="1"/>
  <c r="O226" i="1"/>
  <c r="K226" i="1"/>
  <c r="J226" i="1"/>
  <c r="H226" i="1"/>
  <c r="F226" i="1"/>
  <c r="D226" i="1"/>
  <c r="B226" i="1"/>
  <c r="F224" i="1"/>
  <c r="A224" i="1"/>
  <c r="F223" i="1"/>
  <c r="E223" i="1"/>
  <c r="B222" i="1"/>
  <c r="A222" i="1"/>
  <c r="F221" i="1"/>
  <c r="C221" i="1" a="1"/>
  <c r="C221" i="1" s="1"/>
  <c r="B221" i="1"/>
  <c r="F220" i="1"/>
  <c r="E220" i="1"/>
  <c r="D220" i="1"/>
  <c r="C220" i="1" a="1"/>
  <c r="C220" i="1" s="1"/>
  <c r="B220" i="1"/>
  <c r="C219" i="1" a="1"/>
  <c r="C219" i="1" s="1"/>
  <c r="B219" i="1"/>
  <c r="F218" i="1"/>
  <c r="F217" i="1"/>
  <c r="E217" i="1"/>
  <c r="C216" i="1"/>
  <c r="C216" i="1" a="1"/>
  <c r="B216" i="1"/>
  <c r="F215" i="1"/>
  <c r="C215" i="1" a="1"/>
  <c r="C215" i="1" s="1"/>
  <c r="B215" i="1"/>
  <c r="F214" i="1"/>
  <c r="E214" i="1"/>
  <c r="D214" i="1"/>
  <c r="B214" i="1"/>
  <c r="U212" i="1"/>
  <c r="J212" i="1"/>
  <c r="H212" i="1"/>
  <c r="T211" i="1"/>
  <c r="H211" i="1"/>
  <c r="B211" i="1"/>
  <c r="F210" i="1"/>
  <c r="D210" i="1"/>
  <c r="B210" i="1"/>
  <c r="Y209" i="1"/>
  <c r="O209" i="1"/>
  <c r="K209" i="1"/>
  <c r="Y208" i="1"/>
  <c r="O208" i="1"/>
  <c r="K208" i="1"/>
  <c r="O207" i="1"/>
  <c r="K207" i="1"/>
  <c r="O206" i="1"/>
  <c r="K206" i="1"/>
  <c r="J206" i="1"/>
  <c r="H206" i="1"/>
  <c r="W205" i="1"/>
  <c r="V205" i="1"/>
  <c r="S205" i="1"/>
  <c r="O205" i="1"/>
  <c r="K205" i="1"/>
  <c r="J205" i="1"/>
  <c r="H205" i="1"/>
  <c r="D205" i="1"/>
  <c r="B205" i="1"/>
  <c r="Y204" i="1"/>
  <c r="O204" i="1"/>
  <c r="K204" i="1"/>
  <c r="O203" i="1"/>
  <c r="K203" i="1"/>
  <c r="O202" i="1"/>
  <c r="K202" i="1"/>
  <c r="B202" i="1"/>
  <c r="O201" i="1"/>
  <c r="K201" i="1"/>
  <c r="J201" i="1"/>
  <c r="H201" i="1"/>
  <c r="Y200" i="1"/>
  <c r="W200" i="1"/>
  <c r="V200" i="1"/>
  <c r="S200" i="1"/>
  <c r="O200" i="1"/>
  <c r="K200" i="1"/>
  <c r="J200" i="1"/>
  <c r="H200" i="1"/>
  <c r="D200" i="1"/>
  <c r="C200" i="1"/>
  <c r="B200" i="1"/>
  <c r="Y199" i="1"/>
  <c r="W199" i="1"/>
  <c r="V199" i="1"/>
  <c r="S199" i="1"/>
  <c r="Q199" i="1"/>
  <c r="O199" i="1"/>
  <c r="K199" i="1"/>
  <c r="J199" i="1"/>
  <c r="H199" i="1"/>
  <c r="F199" i="1"/>
  <c r="D199" i="1"/>
  <c r="B199" i="1"/>
  <c r="Y197" i="1"/>
  <c r="O197" i="1"/>
  <c r="K197" i="1"/>
  <c r="Y196" i="1"/>
  <c r="O196" i="1"/>
  <c r="K196" i="1"/>
  <c r="J196" i="1"/>
  <c r="H196" i="1"/>
  <c r="C196" i="1"/>
  <c r="B196" i="1"/>
  <c r="W195" i="1"/>
  <c r="V195" i="1"/>
  <c r="S195" i="1"/>
  <c r="O195" i="1"/>
  <c r="K195" i="1"/>
  <c r="J195" i="1"/>
  <c r="H195" i="1"/>
  <c r="D195" i="1"/>
  <c r="B195" i="1"/>
  <c r="Y194" i="1"/>
  <c r="O194" i="1"/>
  <c r="K194" i="1"/>
  <c r="O193" i="1"/>
  <c r="K193" i="1"/>
  <c r="J193" i="1"/>
  <c r="H193" i="1"/>
  <c r="Y192" i="1"/>
  <c r="W192" i="1"/>
  <c r="V192" i="1"/>
  <c r="S192" i="1"/>
  <c r="O192" i="1"/>
  <c r="K192" i="1"/>
  <c r="J192" i="1"/>
  <c r="H192" i="1"/>
  <c r="D192" i="1"/>
  <c r="C192" i="1"/>
  <c r="B192" i="1"/>
  <c r="Y191" i="1"/>
  <c r="W191" i="1"/>
  <c r="V191" i="1"/>
  <c r="S191" i="1"/>
  <c r="Q191" i="1"/>
  <c r="O191" i="1"/>
  <c r="K191" i="1"/>
  <c r="J191" i="1"/>
  <c r="H191" i="1"/>
  <c r="F191" i="1"/>
  <c r="D191" i="1"/>
  <c r="B191" i="1"/>
  <c r="F189" i="1"/>
  <c r="F188" i="1"/>
  <c r="E188" i="1"/>
  <c r="A188" i="1"/>
  <c r="P188" i="1" s="1" a="1"/>
  <c r="P188" i="1" s="1"/>
  <c r="B187" i="1"/>
  <c r="F186" i="1"/>
  <c r="C186" i="1" a="1"/>
  <c r="C186" i="1" s="1"/>
  <c r="B186" i="1"/>
  <c r="F185" i="1"/>
  <c r="E185" i="1"/>
  <c r="D185" i="1"/>
  <c r="C185" i="1"/>
  <c r="C185" i="1" a="1"/>
  <c r="B185" i="1"/>
  <c r="C184" i="1"/>
  <c r="C184" i="1" a="1"/>
  <c r="B184" i="1"/>
  <c r="F183" i="1"/>
  <c r="F182" i="1"/>
  <c r="E182" i="1"/>
  <c r="C181" i="1" a="1"/>
  <c r="C181" i="1" s="1"/>
  <c r="B181" i="1"/>
  <c r="F180" i="1"/>
  <c r="C180" i="1"/>
  <c r="C180" i="1" a="1"/>
  <c r="B180" i="1"/>
  <c r="F179" i="1"/>
  <c r="E179" i="1"/>
  <c r="D179" i="1"/>
  <c r="B179" i="1"/>
  <c r="U177" i="1"/>
  <c r="J177" i="1"/>
  <c r="H177" i="1"/>
  <c r="T176" i="1"/>
  <c r="H176" i="1"/>
  <c r="B176" i="1"/>
  <c r="F175" i="1"/>
  <c r="D175" i="1"/>
  <c r="B175" i="1"/>
  <c r="Y174" i="1"/>
  <c r="O174" i="1"/>
  <c r="K174" i="1"/>
  <c r="Y173" i="1"/>
  <c r="O173" i="1"/>
  <c r="K173" i="1"/>
  <c r="O172" i="1"/>
  <c r="K172" i="1"/>
  <c r="O171" i="1"/>
  <c r="K171" i="1"/>
  <c r="J171" i="1"/>
  <c r="H171" i="1"/>
  <c r="W170" i="1"/>
  <c r="V170" i="1"/>
  <c r="S170" i="1"/>
  <c r="O170" i="1"/>
  <c r="K170" i="1"/>
  <c r="J170" i="1"/>
  <c r="H170" i="1"/>
  <c r="D170" i="1"/>
  <c r="B170" i="1"/>
  <c r="Y169" i="1"/>
  <c r="O169" i="1"/>
  <c r="K169" i="1"/>
  <c r="O168" i="1"/>
  <c r="K168" i="1"/>
  <c r="O167" i="1"/>
  <c r="K167" i="1"/>
  <c r="B167" i="1"/>
  <c r="O166" i="1"/>
  <c r="K166" i="1"/>
  <c r="J166" i="1"/>
  <c r="H166" i="1"/>
  <c r="Y165" i="1"/>
  <c r="W165" i="1"/>
  <c r="V165" i="1"/>
  <c r="S165" i="1"/>
  <c r="O165" i="1"/>
  <c r="K165" i="1"/>
  <c r="J165" i="1"/>
  <c r="H165" i="1"/>
  <c r="D165" i="1"/>
  <c r="C165" i="1"/>
  <c r="B165" i="1"/>
  <c r="Y164" i="1"/>
  <c r="W164" i="1"/>
  <c r="V164" i="1"/>
  <c r="S164" i="1"/>
  <c r="Q164" i="1"/>
  <c r="O164" i="1"/>
  <c r="K164" i="1"/>
  <c r="J164" i="1"/>
  <c r="H164" i="1"/>
  <c r="F164" i="1"/>
  <c r="D164" i="1"/>
  <c r="B164" i="1"/>
  <c r="Y162" i="1"/>
  <c r="O162" i="1"/>
  <c r="K162" i="1"/>
  <c r="Y161" i="1"/>
  <c r="O161" i="1"/>
  <c r="K161" i="1"/>
  <c r="J161" i="1"/>
  <c r="H161" i="1"/>
  <c r="C161" i="1"/>
  <c r="B161" i="1"/>
  <c r="W160" i="1"/>
  <c r="V160" i="1"/>
  <c r="S160" i="1"/>
  <c r="O160" i="1"/>
  <c r="K160" i="1"/>
  <c r="J160" i="1"/>
  <c r="H160" i="1"/>
  <c r="D160" i="1"/>
  <c r="B160" i="1"/>
  <c r="Y159" i="1"/>
  <c r="O159" i="1"/>
  <c r="K159" i="1"/>
  <c r="O158" i="1"/>
  <c r="K158" i="1"/>
  <c r="J158" i="1"/>
  <c r="H158" i="1"/>
  <c r="Y157" i="1"/>
  <c r="W157" i="1"/>
  <c r="V157" i="1"/>
  <c r="S157" i="1"/>
  <c r="O157" i="1"/>
  <c r="K157" i="1"/>
  <c r="J157" i="1"/>
  <c r="H157" i="1"/>
  <c r="D157" i="1"/>
  <c r="C157" i="1"/>
  <c r="B157" i="1"/>
  <c r="Y156" i="1"/>
  <c r="W156" i="1"/>
  <c r="V156" i="1"/>
  <c r="S156" i="1"/>
  <c r="Q156" i="1"/>
  <c r="O156" i="1"/>
  <c r="K156" i="1"/>
  <c r="J156" i="1"/>
  <c r="H156" i="1"/>
  <c r="F156" i="1"/>
  <c r="D156" i="1"/>
  <c r="B156" i="1"/>
  <c r="F154" i="1"/>
  <c r="F153" i="1"/>
  <c r="E153" i="1"/>
  <c r="B152" i="1"/>
  <c r="F151" i="1"/>
  <c r="C151" i="1" a="1"/>
  <c r="C151" i="1" s="1"/>
  <c r="B151" i="1"/>
  <c r="F150" i="1"/>
  <c r="E150" i="1"/>
  <c r="D150" i="1"/>
  <c r="C150" i="1"/>
  <c r="C150" i="1" a="1"/>
  <c r="B150" i="1"/>
  <c r="C149" i="1"/>
  <c r="C149" i="1" a="1"/>
  <c r="B149" i="1"/>
  <c r="F148" i="1"/>
  <c r="F147" i="1"/>
  <c r="E147" i="1"/>
  <c r="C146" i="1" a="1"/>
  <c r="C146" i="1" s="1"/>
  <c r="B146" i="1"/>
  <c r="F145" i="1"/>
  <c r="C145" i="1"/>
  <c r="C145" i="1" a="1"/>
  <c r="B145" i="1"/>
  <c r="F144" i="1"/>
  <c r="E144" i="1"/>
  <c r="D144" i="1"/>
  <c r="B144" i="1"/>
  <c r="U142" i="1"/>
  <c r="J142" i="1"/>
  <c r="H142" i="1"/>
  <c r="T141" i="1"/>
  <c r="H141" i="1"/>
  <c r="B141" i="1"/>
  <c r="F140" i="1"/>
  <c r="D140" i="1"/>
  <c r="B140" i="1"/>
  <c r="Y139" i="1"/>
  <c r="O139" i="1"/>
  <c r="K139" i="1"/>
  <c r="Y138" i="1"/>
  <c r="O138" i="1"/>
  <c r="K138" i="1"/>
  <c r="O137" i="1"/>
  <c r="K137" i="1"/>
  <c r="O136" i="1"/>
  <c r="K136" i="1"/>
  <c r="J136" i="1"/>
  <c r="H136" i="1"/>
  <c r="W135" i="1"/>
  <c r="V135" i="1"/>
  <c r="S135" i="1"/>
  <c r="O135" i="1"/>
  <c r="K135" i="1"/>
  <c r="J135" i="1"/>
  <c r="H135" i="1"/>
  <c r="D135" i="1"/>
  <c r="B135" i="1"/>
  <c r="Y134" i="1"/>
  <c r="O134" i="1"/>
  <c r="K134" i="1"/>
  <c r="O133" i="1"/>
  <c r="K133" i="1"/>
  <c r="O132" i="1"/>
  <c r="K132" i="1"/>
  <c r="B132" i="1"/>
  <c r="O131" i="1"/>
  <c r="K131" i="1"/>
  <c r="J131" i="1"/>
  <c r="H131" i="1"/>
  <c r="Y130" i="1"/>
  <c r="W130" i="1"/>
  <c r="V130" i="1"/>
  <c r="S130" i="1"/>
  <c r="O130" i="1"/>
  <c r="K130" i="1"/>
  <c r="J130" i="1"/>
  <c r="H130" i="1"/>
  <c r="D130" i="1"/>
  <c r="C130" i="1"/>
  <c r="B130" i="1"/>
  <c r="Y129" i="1"/>
  <c r="W129" i="1"/>
  <c r="V129" i="1"/>
  <c r="S129" i="1"/>
  <c r="Q129" i="1"/>
  <c r="O129" i="1"/>
  <c r="K129" i="1"/>
  <c r="J129" i="1"/>
  <c r="H129" i="1"/>
  <c r="F129" i="1"/>
  <c r="D129" i="1"/>
  <c r="B129" i="1"/>
  <c r="Y127" i="1"/>
  <c r="O127" i="1"/>
  <c r="K127" i="1"/>
  <c r="Y126" i="1"/>
  <c r="O126" i="1"/>
  <c r="K126" i="1"/>
  <c r="J126" i="1"/>
  <c r="H126" i="1"/>
  <c r="C126" i="1"/>
  <c r="B126" i="1"/>
  <c r="W125" i="1"/>
  <c r="V125" i="1"/>
  <c r="S125" i="1"/>
  <c r="O125" i="1"/>
  <c r="K125" i="1"/>
  <c r="J125" i="1"/>
  <c r="H125" i="1"/>
  <c r="D125" i="1"/>
  <c r="B125" i="1"/>
  <c r="Y124" i="1"/>
  <c r="O124" i="1"/>
  <c r="K124" i="1"/>
  <c r="O123" i="1"/>
  <c r="K123" i="1"/>
  <c r="J123" i="1"/>
  <c r="H123" i="1"/>
  <c r="Y122" i="1"/>
  <c r="W122" i="1"/>
  <c r="V122" i="1"/>
  <c r="S122" i="1"/>
  <c r="O122" i="1"/>
  <c r="K122" i="1"/>
  <c r="J122" i="1"/>
  <c r="H122" i="1"/>
  <c r="D122" i="1"/>
  <c r="C122" i="1"/>
  <c r="B122" i="1"/>
  <c r="Y121" i="1"/>
  <c r="W121" i="1"/>
  <c r="V121" i="1"/>
  <c r="S121" i="1"/>
  <c r="Q121" i="1"/>
  <c r="O121" i="1"/>
  <c r="K121" i="1"/>
  <c r="J121" i="1"/>
  <c r="H121" i="1"/>
  <c r="F121" i="1"/>
  <c r="D121" i="1"/>
  <c r="B121" i="1"/>
  <c r="F119" i="1"/>
  <c r="F118" i="1"/>
  <c r="E118" i="1"/>
  <c r="B117" i="1"/>
  <c r="F116" i="1"/>
  <c r="C116" i="1"/>
  <c r="C116" i="1" a="1"/>
  <c r="B116" i="1"/>
  <c r="F115" i="1"/>
  <c r="E115" i="1"/>
  <c r="D115" i="1"/>
  <c r="C115" i="1" a="1"/>
  <c r="C115" i="1" s="1"/>
  <c r="B115" i="1"/>
  <c r="C114" i="1" a="1"/>
  <c r="C114" i="1" s="1"/>
  <c r="B114" i="1"/>
  <c r="F113" i="1"/>
  <c r="A113" i="1"/>
  <c r="F112" i="1"/>
  <c r="E112" i="1"/>
  <c r="C111" i="1"/>
  <c r="C111" i="1" a="1"/>
  <c r="B111" i="1"/>
  <c r="F110" i="1"/>
  <c r="C110" i="1" a="1"/>
  <c r="C110" i="1" s="1"/>
  <c r="B110" i="1"/>
  <c r="F109" i="1"/>
  <c r="E109" i="1"/>
  <c r="D109" i="1"/>
  <c r="B109" i="1"/>
  <c r="U107" i="1"/>
  <c r="J107" i="1"/>
  <c r="H107" i="1"/>
  <c r="T106" i="1"/>
  <c r="H106" i="1"/>
  <c r="B106" i="1"/>
  <c r="F105" i="1"/>
  <c r="D105" i="1"/>
  <c r="B105" i="1"/>
  <c r="Y104" i="1"/>
  <c r="O104" i="1"/>
  <c r="K104" i="1"/>
  <c r="Y103" i="1"/>
  <c r="O103" i="1"/>
  <c r="K103" i="1"/>
  <c r="O102" i="1"/>
  <c r="K102" i="1"/>
  <c r="O101" i="1"/>
  <c r="K101" i="1"/>
  <c r="J101" i="1"/>
  <c r="H101" i="1"/>
  <c r="W100" i="1"/>
  <c r="V100" i="1"/>
  <c r="S100" i="1"/>
  <c r="O100" i="1"/>
  <c r="K100" i="1"/>
  <c r="J100" i="1"/>
  <c r="H100" i="1"/>
  <c r="D100" i="1"/>
  <c r="B100" i="1"/>
  <c r="Y99" i="1"/>
  <c r="O99" i="1"/>
  <c r="K99" i="1"/>
  <c r="O98" i="1"/>
  <c r="K98" i="1"/>
  <c r="O97" i="1"/>
  <c r="K97" i="1"/>
  <c r="B97" i="1"/>
  <c r="O96" i="1"/>
  <c r="K96" i="1"/>
  <c r="J96" i="1"/>
  <c r="H96" i="1"/>
  <c r="Y95" i="1"/>
  <c r="W95" i="1"/>
  <c r="V95" i="1"/>
  <c r="S95" i="1"/>
  <c r="O95" i="1"/>
  <c r="K95" i="1"/>
  <c r="J95" i="1"/>
  <c r="H95" i="1"/>
  <c r="D95" i="1"/>
  <c r="C95" i="1"/>
  <c r="B95" i="1"/>
  <c r="Y94" i="1"/>
  <c r="W94" i="1"/>
  <c r="V94" i="1"/>
  <c r="S94" i="1"/>
  <c r="Q94" i="1"/>
  <c r="O94" i="1"/>
  <c r="K94" i="1"/>
  <c r="J94" i="1"/>
  <c r="H94" i="1"/>
  <c r="F94" i="1"/>
  <c r="D94" i="1"/>
  <c r="B94" i="1"/>
  <c r="Y92" i="1"/>
  <c r="O92" i="1"/>
  <c r="K92" i="1"/>
  <c r="Y91" i="1"/>
  <c r="O91" i="1"/>
  <c r="K91" i="1"/>
  <c r="J91" i="1"/>
  <c r="H91" i="1"/>
  <c r="C91" i="1"/>
  <c r="B91" i="1"/>
  <c r="W90" i="1"/>
  <c r="V90" i="1"/>
  <c r="S90" i="1"/>
  <c r="O90" i="1"/>
  <c r="K90" i="1"/>
  <c r="J90" i="1"/>
  <c r="H90" i="1"/>
  <c r="D90" i="1"/>
  <c r="B90" i="1"/>
  <c r="Y89" i="1"/>
  <c r="O89" i="1"/>
  <c r="K89" i="1"/>
  <c r="O88" i="1"/>
  <c r="K88" i="1"/>
  <c r="J88" i="1"/>
  <c r="H88" i="1"/>
  <c r="Y87" i="1"/>
  <c r="W87" i="1"/>
  <c r="V87" i="1"/>
  <c r="S87" i="1"/>
  <c r="O87" i="1"/>
  <c r="K87" i="1"/>
  <c r="J87" i="1"/>
  <c r="H87" i="1"/>
  <c r="D87" i="1"/>
  <c r="C87" i="1"/>
  <c r="B87" i="1"/>
  <c r="Y86" i="1"/>
  <c r="W86" i="1"/>
  <c r="V86" i="1"/>
  <c r="S86" i="1"/>
  <c r="Q86" i="1"/>
  <c r="O86" i="1"/>
  <c r="K86" i="1"/>
  <c r="J86" i="1"/>
  <c r="H86" i="1"/>
  <c r="F86" i="1"/>
  <c r="D86" i="1"/>
  <c r="B86" i="1"/>
  <c r="F84" i="1"/>
  <c r="F83" i="1"/>
  <c r="E83" i="1"/>
  <c r="B82" i="1"/>
  <c r="F81" i="1"/>
  <c r="C81" i="1"/>
  <c r="C81" i="1" a="1"/>
  <c r="B81" i="1"/>
  <c r="F80" i="1"/>
  <c r="E80" i="1"/>
  <c r="D80" i="1"/>
  <c r="C80" i="1" a="1"/>
  <c r="C80" i="1" s="1"/>
  <c r="B80" i="1"/>
  <c r="C79" i="1" a="1"/>
  <c r="C79" i="1" s="1"/>
  <c r="B79" i="1"/>
  <c r="F78" i="1"/>
  <c r="F77" i="1"/>
  <c r="E77" i="1"/>
  <c r="C76" i="1"/>
  <c r="C76" i="1" a="1"/>
  <c r="B76" i="1"/>
  <c r="F75" i="1"/>
  <c r="C75" i="1" a="1"/>
  <c r="C75" i="1" s="1"/>
  <c r="T107" i="1" s="1"/>
  <c r="B75" i="1"/>
  <c r="F74" i="1"/>
  <c r="E74" i="1"/>
  <c r="D74" i="1"/>
  <c r="B74" i="1"/>
  <c r="U72" i="1"/>
  <c r="J72" i="1"/>
  <c r="H72" i="1"/>
  <c r="T71" i="1"/>
  <c r="H71" i="1"/>
  <c r="B71" i="1"/>
  <c r="F70" i="1"/>
  <c r="D70" i="1"/>
  <c r="B70" i="1"/>
  <c r="Y69" i="1"/>
  <c r="O69" i="1"/>
  <c r="K69" i="1"/>
  <c r="Y68" i="1"/>
  <c r="O68" i="1"/>
  <c r="K68" i="1"/>
  <c r="O67" i="1"/>
  <c r="K67" i="1"/>
  <c r="O66" i="1"/>
  <c r="K66" i="1"/>
  <c r="J66" i="1"/>
  <c r="H66" i="1"/>
  <c r="W65" i="1"/>
  <c r="V65" i="1"/>
  <c r="S65" i="1"/>
  <c r="O65" i="1"/>
  <c r="K65" i="1"/>
  <c r="J65" i="1"/>
  <c r="H65" i="1"/>
  <c r="D65" i="1"/>
  <c r="B65" i="1"/>
  <c r="Y64" i="1"/>
  <c r="O64" i="1"/>
  <c r="K64" i="1"/>
  <c r="O63" i="1"/>
  <c r="K63" i="1"/>
  <c r="O62" i="1"/>
  <c r="K62" i="1"/>
  <c r="B62" i="1"/>
  <c r="O61" i="1"/>
  <c r="K61" i="1"/>
  <c r="J61" i="1"/>
  <c r="H61" i="1"/>
  <c r="Y60" i="1"/>
  <c r="W60" i="1"/>
  <c r="V60" i="1"/>
  <c r="S60" i="1"/>
  <c r="O60" i="1"/>
  <c r="K60" i="1"/>
  <c r="J60" i="1"/>
  <c r="H60" i="1"/>
  <c r="D60" i="1"/>
  <c r="C60" i="1"/>
  <c r="B60" i="1"/>
  <c r="A60" i="1"/>
  <c r="B72" i="1" s="1" a="1"/>
  <c r="B72" i="1" s="1"/>
  <c r="Y59" i="1"/>
  <c r="W59" i="1"/>
  <c r="V59" i="1"/>
  <c r="S59" i="1"/>
  <c r="Q59" i="1"/>
  <c r="O59" i="1"/>
  <c r="K59" i="1"/>
  <c r="J59" i="1"/>
  <c r="H59" i="1"/>
  <c r="F59" i="1"/>
  <c r="D59" i="1"/>
  <c r="B59" i="1"/>
  <c r="Y57" i="1"/>
  <c r="O57" i="1"/>
  <c r="K57" i="1"/>
  <c r="Y56" i="1"/>
  <c r="O56" i="1"/>
  <c r="K56" i="1"/>
  <c r="J56" i="1"/>
  <c r="H56" i="1"/>
  <c r="C56" i="1"/>
  <c r="B56" i="1"/>
  <c r="W55" i="1"/>
  <c r="V55" i="1"/>
  <c r="S55" i="1"/>
  <c r="O55" i="1"/>
  <c r="K55" i="1"/>
  <c r="J55" i="1"/>
  <c r="H55" i="1"/>
  <c r="D55" i="1"/>
  <c r="B55" i="1"/>
  <c r="Y54" i="1"/>
  <c r="O54" i="1"/>
  <c r="K54" i="1"/>
  <c r="O53" i="1"/>
  <c r="K53" i="1"/>
  <c r="J53" i="1"/>
  <c r="H53" i="1"/>
  <c r="Y52" i="1"/>
  <c r="W52" i="1"/>
  <c r="V52" i="1"/>
  <c r="S52" i="1"/>
  <c r="O52" i="1"/>
  <c r="K52" i="1"/>
  <c r="J52" i="1"/>
  <c r="H52" i="1"/>
  <c r="D52" i="1"/>
  <c r="C52" i="1"/>
  <c r="B52" i="1"/>
  <c r="Y51" i="1"/>
  <c r="W51" i="1"/>
  <c r="V51" i="1"/>
  <c r="S51" i="1"/>
  <c r="Q51" i="1"/>
  <c r="O51" i="1"/>
  <c r="K51" i="1"/>
  <c r="J51" i="1"/>
  <c r="H51" i="1"/>
  <c r="F51" i="1"/>
  <c r="D51" i="1"/>
  <c r="B51" i="1"/>
  <c r="F49" i="1"/>
  <c r="F48" i="1"/>
  <c r="E48" i="1"/>
  <c r="A48" i="1"/>
  <c r="W66" i="1" s="1" a="1"/>
  <c r="W66" i="1" s="1"/>
  <c r="B47" i="1"/>
  <c r="F46" i="1"/>
  <c r="C46" i="1"/>
  <c r="C46" i="1" a="1"/>
  <c r="B46" i="1"/>
  <c r="F45" i="1"/>
  <c r="E45" i="1"/>
  <c r="D45" i="1"/>
  <c r="C45" i="1" a="1"/>
  <c r="C45" i="1" s="1"/>
  <c r="B45" i="1"/>
  <c r="C44" i="1" a="1"/>
  <c r="C44" i="1" s="1"/>
  <c r="B44" i="1"/>
  <c r="F43" i="1"/>
  <c r="A43" i="1"/>
  <c r="W43" i="1" s="1" a="1"/>
  <c r="W43" i="1" s="1"/>
  <c r="F42" i="1"/>
  <c r="E42" i="1"/>
  <c r="C41" i="1"/>
  <c r="C41" i="1" a="1"/>
  <c r="B41" i="1"/>
  <c r="F40" i="1"/>
  <c r="C40" i="1"/>
  <c r="A57" i="1" s="1"/>
  <c r="C57" i="1" s="1" a="1"/>
  <c r="C57" i="1" s="1"/>
  <c r="C40" i="1" a="1"/>
  <c r="B40" i="1"/>
  <c r="A40" i="1"/>
  <c r="Z40" i="1" s="1" a="1"/>
  <c r="Z40" i="1" s="1"/>
  <c r="Y39" i="1" a="1"/>
  <c r="Y39" i="1" s="1"/>
  <c r="V39" i="1" a="1"/>
  <c r="V39" i="1" s="1"/>
  <c r="S39" i="1" a="1"/>
  <c r="S39" i="1" s="1"/>
  <c r="P39" i="1" a="1"/>
  <c r="P39" i="1" s="1"/>
  <c r="M39" i="1" a="1"/>
  <c r="M39" i="1" s="1"/>
  <c r="J39" i="1" a="1"/>
  <c r="J39" i="1" s="1"/>
  <c r="G39" i="1" a="1"/>
  <c r="G39" i="1" s="1"/>
  <c r="F39" i="1"/>
  <c r="E39" i="1"/>
  <c r="D39" i="1"/>
  <c r="B39" i="1"/>
  <c r="A39" i="1"/>
  <c r="W53" i="1" s="1" a="1"/>
  <c r="W53" i="1" s="1"/>
  <c r="U37" i="1"/>
  <c r="J37" i="1"/>
  <c r="H37" i="1"/>
  <c r="T36" i="1"/>
  <c r="H36" i="1"/>
  <c r="B36" i="1"/>
  <c r="F35" i="1"/>
  <c r="D35" i="1"/>
  <c r="B35" i="1"/>
  <c r="Y34" i="1"/>
  <c r="O34" i="1"/>
  <c r="K34" i="1"/>
  <c r="Y33" i="1"/>
  <c r="O33" i="1"/>
  <c r="K33" i="1"/>
  <c r="O32" i="1"/>
  <c r="K32" i="1"/>
  <c r="O31" i="1"/>
  <c r="K31" i="1"/>
  <c r="J31" i="1"/>
  <c r="H31" i="1"/>
  <c r="W30" i="1"/>
  <c r="V30" i="1"/>
  <c r="S30" i="1"/>
  <c r="O30" i="1"/>
  <c r="K30" i="1"/>
  <c r="J30" i="1"/>
  <c r="H30" i="1"/>
  <c r="D30" i="1"/>
  <c r="B30" i="1"/>
  <c r="Y29" i="1"/>
  <c r="O29" i="1"/>
  <c r="K29" i="1"/>
  <c r="O28" i="1"/>
  <c r="K28" i="1"/>
  <c r="O27" i="1"/>
  <c r="K27" i="1"/>
  <c r="B27" i="1"/>
  <c r="O26" i="1"/>
  <c r="K26" i="1"/>
  <c r="J26" i="1"/>
  <c r="H26" i="1"/>
  <c r="Y25" i="1"/>
  <c r="W25" i="1"/>
  <c r="V25" i="1"/>
  <c r="S25" i="1"/>
  <c r="O25" i="1"/>
  <c r="K25" i="1"/>
  <c r="J25" i="1"/>
  <c r="H25" i="1"/>
  <c r="D25" i="1"/>
  <c r="C25" i="1"/>
  <c r="B25" i="1"/>
  <c r="A25" i="1"/>
  <c r="B37" i="1" s="1" a="1"/>
  <c r="B37" i="1" s="1"/>
  <c r="Y24" i="1"/>
  <c r="W24" i="1"/>
  <c r="V24" i="1"/>
  <c r="S24" i="1"/>
  <c r="Q24" i="1"/>
  <c r="O24" i="1"/>
  <c r="K24" i="1"/>
  <c r="J24" i="1"/>
  <c r="H24" i="1"/>
  <c r="F24" i="1"/>
  <c r="D24" i="1"/>
  <c r="B24" i="1"/>
  <c r="Y22" i="1"/>
  <c r="O22" i="1"/>
  <c r="K22" i="1"/>
  <c r="Y21" i="1"/>
  <c r="W21" i="1" a="1"/>
  <c r="W21" i="1" s="1"/>
  <c r="O21" i="1"/>
  <c r="K21" i="1"/>
  <c r="J21" i="1"/>
  <c r="H21" i="1"/>
  <c r="C21" i="1"/>
  <c r="B21" i="1"/>
  <c r="W20" i="1"/>
  <c r="V20" i="1"/>
  <c r="S20" i="1"/>
  <c r="O20" i="1"/>
  <c r="K20" i="1"/>
  <c r="J20" i="1"/>
  <c r="H20" i="1"/>
  <c r="D20" i="1"/>
  <c r="B20" i="1"/>
  <c r="Y19" i="1"/>
  <c r="O19" i="1"/>
  <c r="K19" i="1"/>
  <c r="O18" i="1"/>
  <c r="K18" i="1"/>
  <c r="J18" i="1"/>
  <c r="H18" i="1"/>
  <c r="Y17" i="1"/>
  <c r="W17" i="1"/>
  <c r="V17" i="1"/>
  <c r="S17" i="1"/>
  <c r="O17" i="1"/>
  <c r="K17" i="1"/>
  <c r="J17" i="1"/>
  <c r="H17" i="1"/>
  <c r="D17" i="1"/>
  <c r="C17" i="1"/>
  <c r="B17" i="1"/>
  <c r="Y16" i="1"/>
  <c r="W16" i="1"/>
  <c r="V16" i="1"/>
  <c r="S16" i="1"/>
  <c r="Q16" i="1"/>
  <c r="O16" i="1"/>
  <c r="K16" i="1"/>
  <c r="J16" i="1"/>
  <c r="H16" i="1"/>
  <c r="F16" i="1"/>
  <c r="D16" i="1"/>
  <c r="B16" i="1"/>
  <c r="F14" i="1"/>
  <c r="F13" i="1"/>
  <c r="E13" i="1"/>
  <c r="A13" i="1"/>
  <c r="W31" i="1" s="1" a="1"/>
  <c r="W31" i="1" s="1"/>
  <c r="B12" i="1"/>
  <c r="Z11" i="1" a="1"/>
  <c r="Z11" i="1" s="1"/>
  <c r="W11" i="1" a="1"/>
  <c r="W11" i="1" s="1"/>
  <c r="T11" i="1" a="1"/>
  <c r="T11" i="1" s="1"/>
  <c r="Q11" i="1" a="1"/>
  <c r="Q11" i="1" s="1"/>
  <c r="N11" i="1" a="1"/>
  <c r="N11" i="1" s="1"/>
  <c r="K11" i="1" a="1"/>
  <c r="K11" i="1" s="1"/>
  <c r="H11" i="1" a="1"/>
  <c r="H11" i="1" s="1"/>
  <c r="F11" i="1"/>
  <c r="C11" i="1"/>
  <c r="C11" i="1" a="1"/>
  <c r="B11" i="1"/>
  <c r="A11" i="1"/>
  <c r="Y11" i="1" s="1" a="1"/>
  <c r="Y11" i="1" s="1"/>
  <c r="F10" i="1"/>
  <c r="E10" i="1"/>
  <c r="D10" i="1"/>
  <c r="C10" i="1" a="1"/>
  <c r="C10" i="1" s="1"/>
  <c r="B10" i="1"/>
  <c r="C9" i="1" a="1"/>
  <c r="C9" i="1" s="1"/>
  <c r="B9" i="1"/>
  <c r="F8" i="1"/>
  <c r="A8" i="1"/>
  <c r="K8" i="1" s="1" a="1"/>
  <c r="K8" i="1" s="1"/>
  <c r="Y7" i="1" a="1"/>
  <c r="Y7" i="1" s="1"/>
  <c r="V7" i="1" a="1"/>
  <c r="V7" i="1" s="1"/>
  <c r="S7" i="1" a="1"/>
  <c r="S7" i="1" s="1"/>
  <c r="P7" i="1" a="1"/>
  <c r="P7" i="1" s="1"/>
  <c r="M7" i="1" a="1"/>
  <c r="M7" i="1" s="1"/>
  <c r="J7" i="1" a="1"/>
  <c r="J7" i="1" s="1"/>
  <c r="G7" i="1" a="1"/>
  <c r="G7" i="1" s="1"/>
  <c r="F7" i="1"/>
  <c r="E7" i="1"/>
  <c r="A7" i="1"/>
  <c r="W28" i="1" s="1" a="1"/>
  <c r="W28" i="1" s="1"/>
  <c r="C6" i="1"/>
  <c r="C6" i="1" a="1"/>
  <c r="B6" i="1"/>
  <c r="A6" i="1"/>
  <c r="F5" i="1"/>
  <c r="C5" i="1"/>
  <c r="A22" i="1" s="1"/>
  <c r="C22" i="1" s="1" a="1"/>
  <c r="C22" i="1" s="1"/>
  <c r="C5" i="1" a="1"/>
  <c r="B5" i="1"/>
  <c r="A5" i="1"/>
  <c r="Z5" i="1" s="1" a="1"/>
  <c r="Z5" i="1" s="1"/>
  <c r="Y4" i="1" a="1"/>
  <c r="Y4" i="1" s="1"/>
  <c r="V4" i="1" a="1"/>
  <c r="V4" i="1" s="1"/>
  <c r="S4" i="1" a="1"/>
  <c r="S4" i="1" s="1"/>
  <c r="P4" i="1" a="1"/>
  <c r="P4" i="1" s="1"/>
  <c r="M4" i="1" a="1"/>
  <c r="M4" i="1" s="1"/>
  <c r="J4" i="1" a="1"/>
  <c r="J4" i="1" s="1"/>
  <c r="G4" i="1" a="1"/>
  <c r="G4" i="1" s="1"/>
  <c r="F4" i="1"/>
  <c r="E4" i="1"/>
  <c r="D4" i="1"/>
  <c r="B4" i="1"/>
  <c r="A4" i="1"/>
  <c r="W18" i="1" s="1" a="1"/>
  <c r="W18" i="1" s="1"/>
  <c r="Y2" i="1"/>
  <c r="V2" i="1"/>
  <c r="S2" i="1"/>
  <c r="P2" i="1"/>
  <c r="M2" i="1"/>
  <c r="J2" i="1"/>
  <c r="G2" i="1"/>
  <c r="Z1" i="1"/>
  <c r="Y1" i="1"/>
  <c r="W1" i="1"/>
  <c r="V1" i="1"/>
  <c r="T1" i="1"/>
  <c r="S1" i="1"/>
  <c r="Q1" i="1"/>
  <c r="P1" i="1"/>
  <c r="N1" i="1"/>
  <c r="M1" i="1"/>
  <c r="K1" i="1"/>
  <c r="J1" i="1"/>
  <c r="H1" i="1"/>
  <c r="G1" i="1"/>
  <c r="B1" i="1"/>
  <c r="Q32" i="1" l="1"/>
  <c r="Q27" i="1"/>
  <c r="Q26" i="1"/>
  <c r="Q31" i="1"/>
  <c r="J36" i="1"/>
  <c r="Q37" i="1"/>
  <c r="Q36" i="1"/>
  <c r="U36" i="1"/>
  <c r="F37" i="1"/>
  <c r="F36" i="1"/>
  <c r="F247" i="1"/>
  <c r="F246" i="1"/>
  <c r="Q246" i="1"/>
  <c r="U246" i="1"/>
  <c r="J246" i="1"/>
  <c r="Q247" i="1"/>
  <c r="Y18" i="1"/>
  <c r="Y53" i="1"/>
  <c r="J71" i="1"/>
  <c r="Q72" i="1"/>
  <c r="Q71" i="1"/>
  <c r="U71" i="1"/>
  <c r="F72" i="1"/>
  <c r="F71" i="1"/>
  <c r="Y27" i="1"/>
  <c r="Q67" i="1"/>
  <c r="Q62" i="1"/>
  <c r="Q61" i="1"/>
  <c r="Q66" i="1"/>
  <c r="Q235" i="1"/>
  <c r="Q240" i="1"/>
  <c r="F240" i="1"/>
  <c r="F235" i="1"/>
  <c r="G5" i="1" a="1"/>
  <c r="G5" i="1" s="1"/>
  <c r="J5" i="1" a="1"/>
  <c r="J5" i="1" s="1"/>
  <c r="M5" i="1" a="1"/>
  <c r="M5" i="1" s="1"/>
  <c r="P5" i="1" a="1"/>
  <c r="P5" i="1" s="1"/>
  <c r="S5" i="1" a="1"/>
  <c r="S5" i="1" s="1"/>
  <c r="V5" i="1" a="1"/>
  <c r="V5" i="1" s="1"/>
  <c r="Y5" i="1" a="1"/>
  <c r="Y5" i="1" s="1"/>
  <c r="H13" i="1" a="1"/>
  <c r="H13" i="1" s="1"/>
  <c r="K13" i="1" a="1"/>
  <c r="K13" i="1" s="1"/>
  <c r="N13" i="1" a="1"/>
  <c r="N13" i="1" s="1"/>
  <c r="Q13" i="1" a="1"/>
  <c r="Q13" i="1" s="1"/>
  <c r="T13" i="1" a="1"/>
  <c r="T13" i="1" s="1"/>
  <c r="W13" i="1" a="1"/>
  <c r="W13" i="1" s="1"/>
  <c r="Z13" i="1" a="1"/>
  <c r="Z13" i="1" s="1"/>
  <c r="A17" i="1"/>
  <c r="B18" i="1" s="1" a="1"/>
  <c r="B18" i="1" s="1"/>
  <c r="W22" i="1" a="1"/>
  <c r="W22" i="1" s="1"/>
  <c r="W29" i="1" a="1"/>
  <c r="W29" i="1" s="1"/>
  <c r="W33" i="1" a="1"/>
  <c r="W33" i="1" s="1"/>
  <c r="T37" i="1"/>
  <c r="G40" i="1" a="1"/>
  <c r="G40" i="1" s="1"/>
  <c r="J40" i="1" a="1"/>
  <c r="J40" i="1" s="1"/>
  <c r="M40" i="1" a="1"/>
  <c r="M40" i="1" s="1"/>
  <c r="P40" i="1" a="1"/>
  <c r="P40" i="1" s="1"/>
  <c r="S40" i="1" a="1"/>
  <c r="S40" i="1" s="1"/>
  <c r="V40" i="1" a="1"/>
  <c r="V40" i="1" s="1"/>
  <c r="Y40" i="1" a="1"/>
  <c r="Y40" i="1" s="1"/>
  <c r="A41" i="1"/>
  <c r="A42" i="1"/>
  <c r="A46" i="1"/>
  <c r="H48" i="1" a="1"/>
  <c r="H48" i="1" s="1"/>
  <c r="K48" i="1" a="1"/>
  <c r="K48" i="1" s="1"/>
  <c r="N48" i="1" a="1"/>
  <c r="N48" i="1" s="1"/>
  <c r="Q48" i="1" a="1"/>
  <c r="Q48" i="1" s="1"/>
  <c r="T48" i="1" a="1"/>
  <c r="T48" i="1" s="1"/>
  <c r="W48" i="1" a="1"/>
  <c r="W48" i="1" s="1"/>
  <c r="Z48" i="1" a="1"/>
  <c r="Z48" i="1" s="1"/>
  <c r="A52" i="1"/>
  <c r="B53" i="1" s="1" a="1"/>
  <c r="B53" i="1" s="1"/>
  <c r="W57" i="1" a="1"/>
  <c r="W57" i="1" s="1"/>
  <c r="W64" i="1" a="1"/>
  <c r="W64" i="1" s="1"/>
  <c r="W68" i="1" a="1"/>
  <c r="W68" i="1" s="1"/>
  <c r="T72" i="1"/>
  <c r="A95" i="1"/>
  <c r="A110" i="1"/>
  <c r="A130" i="1"/>
  <c r="T247" i="1"/>
  <c r="A227" i="1"/>
  <c r="B228" i="1" s="1" a="1"/>
  <c r="B228" i="1" s="1"/>
  <c r="A221" i="1"/>
  <c r="A217" i="1"/>
  <c r="A216" i="1"/>
  <c r="A236" i="1"/>
  <c r="C236" i="1" s="1" a="1"/>
  <c r="C236" i="1" s="1"/>
  <c r="A232" i="1"/>
  <c r="C232" i="1" s="1" a="1"/>
  <c r="C232" i="1" s="1"/>
  <c r="A228" i="1"/>
  <c r="C228" i="1" s="1" a="1"/>
  <c r="C228" i="1" s="1"/>
  <c r="A219" i="1"/>
  <c r="A223" i="1"/>
  <c r="A220" i="1"/>
  <c r="H215" i="1" a="1"/>
  <c r="H215" i="1" s="1"/>
  <c r="A215" i="1"/>
  <c r="N215" i="1" s="1" a="1"/>
  <c r="N215" i="1" s="1"/>
  <c r="A218" i="1"/>
  <c r="B236" i="1" a="1"/>
  <c r="B236" i="1" s="1"/>
  <c r="W274" i="1" a="1"/>
  <c r="W274" i="1" s="1"/>
  <c r="W267" i="1" a="1"/>
  <c r="W267" i="1" s="1"/>
  <c r="Z258" i="1" a="1"/>
  <c r="Z258" i="1" s="1"/>
  <c r="W258" i="1" a="1"/>
  <c r="W258" i="1" s="1"/>
  <c r="T258" i="1" a="1"/>
  <c r="T258" i="1" s="1"/>
  <c r="Q258" i="1" a="1"/>
  <c r="Q258" i="1" s="1"/>
  <c r="N258" i="1" a="1"/>
  <c r="N258" i="1" s="1"/>
  <c r="K258" i="1" a="1"/>
  <c r="K258" i="1" s="1"/>
  <c r="H258" i="1" a="1"/>
  <c r="H258" i="1" s="1"/>
  <c r="Y258" i="1" a="1"/>
  <c r="Y258" i="1" s="1"/>
  <c r="M258" i="1" a="1"/>
  <c r="M258" i="1" s="1"/>
  <c r="S258" i="1" a="1"/>
  <c r="S258" i="1" s="1"/>
  <c r="G258" i="1" a="1"/>
  <c r="G258" i="1" s="1"/>
  <c r="V258" i="1" a="1"/>
  <c r="V258" i="1" s="1"/>
  <c r="J258" i="1" a="1"/>
  <c r="J258" i="1" s="1"/>
  <c r="T317" i="1"/>
  <c r="A301" i="1"/>
  <c r="B302" i="1" s="1" a="1"/>
  <c r="B302" i="1" s="1"/>
  <c r="A297" i="1"/>
  <c r="B298" i="1" s="1" a="1"/>
  <c r="B298" i="1" s="1"/>
  <c r="A291" i="1"/>
  <c r="A287" i="1"/>
  <c r="A286" i="1"/>
  <c r="A305" i="1"/>
  <c r="A298" i="1"/>
  <c r="C298" i="1" s="1" a="1"/>
  <c r="C298" i="1" s="1"/>
  <c r="A294" i="1"/>
  <c r="A302" i="1"/>
  <c r="C302" i="1" s="1" a="1"/>
  <c r="C302" i="1" s="1"/>
  <c r="A289" i="1"/>
  <c r="A306" i="1"/>
  <c r="C306" i="1" s="1" a="1"/>
  <c r="C306" i="1" s="1"/>
  <c r="A292" i="1"/>
  <c r="A288" i="1"/>
  <c r="A290" i="1"/>
  <c r="A285" i="1"/>
  <c r="A293" i="1"/>
  <c r="H8" i="1" a="1"/>
  <c r="H8" i="1" s="1"/>
  <c r="N8" i="1" a="1"/>
  <c r="N8" i="1" s="1"/>
  <c r="Q8" i="1" a="1"/>
  <c r="Q8" i="1" s="1"/>
  <c r="T8" i="1" a="1"/>
  <c r="T8" i="1" s="1"/>
  <c r="W8" i="1" a="1"/>
  <c r="W8" i="1" s="1"/>
  <c r="Z8" i="1" a="1"/>
  <c r="Z8" i="1" s="1"/>
  <c r="H43" i="1" a="1"/>
  <c r="H43" i="1" s="1"/>
  <c r="K43" i="1" a="1"/>
  <c r="K43" i="1" s="1"/>
  <c r="Q43" i="1" a="1"/>
  <c r="Q43" i="1" s="1"/>
  <c r="Z43" i="1" a="1"/>
  <c r="Z43" i="1" s="1"/>
  <c r="A92" i="1"/>
  <c r="C92" i="1" s="1" a="1"/>
  <c r="C92" i="1" s="1"/>
  <c r="A88" i="1"/>
  <c r="C88" i="1" s="1" a="1"/>
  <c r="C88" i="1" s="1"/>
  <c r="A84" i="1"/>
  <c r="N75" i="1" a="1"/>
  <c r="N75" i="1" s="1"/>
  <c r="A96" i="1"/>
  <c r="C96" i="1" s="1" a="1"/>
  <c r="C96" i="1" s="1"/>
  <c r="A91" i="1"/>
  <c r="B92" i="1" s="1" a="1"/>
  <c r="B92" i="1" s="1"/>
  <c r="A82" i="1"/>
  <c r="A87" i="1"/>
  <c r="B88" i="1" s="1" a="1"/>
  <c r="B88" i="1" s="1"/>
  <c r="Y113" i="1" a="1"/>
  <c r="Y113" i="1" s="1"/>
  <c r="V113" i="1" a="1"/>
  <c r="V113" i="1" s="1"/>
  <c r="S113" i="1" a="1"/>
  <c r="S113" i="1" s="1"/>
  <c r="P113" i="1" a="1"/>
  <c r="P113" i="1" s="1"/>
  <c r="M113" i="1" a="1"/>
  <c r="M113" i="1" s="1"/>
  <c r="J113" i="1" a="1"/>
  <c r="J113" i="1" s="1"/>
  <c r="G113" i="1" a="1"/>
  <c r="G113" i="1" s="1"/>
  <c r="K113" i="1" a="1"/>
  <c r="K113" i="1" s="1"/>
  <c r="Q113" i="1" a="1"/>
  <c r="Q113" i="1" s="1"/>
  <c r="W113" i="1" a="1"/>
  <c r="W113" i="1" s="1"/>
  <c r="A165" i="1"/>
  <c r="A153" i="1"/>
  <c r="A148" i="1"/>
  <c r="A145" i="1"/>
  <c r="A166" i="1"/>
  <c r="C166" i="1" s="1" a="1"/>
  <c r="C166" i="1" s="1"/>
  <c r="A161" i="1"/>
  <c r="B162" i="1" s="1" a="1"/>
  <c r="B162" i="1" s="1"/>
  <c r="A152" i="1"/>
  <c r="A150" i="1"/>
  <c r="A149" i="1"/>
  <c r="A162" i="1"/>
  <c r="C162" i="1" s="1" a="1"/>
  <c r="C162" i="1" s="1"/>
  <c r="A158" i="1"/>
  <c r="C158" i="1" s="1" a="1"/>
  <c r="C158" i="1" s="1"/>
  <c r="A151" i="1"/>
  <c r="A146" i="1"/>
  <c r="A157" i="1"/>
  <c r="B158" i="1" s="1" a="1"/>
  <c r="B158" i="1" s="1"/>
  <c r="A154" i="1"/>
  <c r="A147" i="1"/>
  <c r="N145" i="1" a="1"/>
  <c r="N145" i="1" s="1"/>
  <c r="W204" i="1" a="1"/>
  <c r="W204" i="1" s="1"/>
  <c r="W197" i="1" a="1"/>
  <c r="W197" i="1" s="1"/>
  <c r="Z188" i="1" a="1"/>
  <c r="Z188" i="1" s="1"/>
  <c r="W188" i="1" a="1"/>
  <c r="W188" i="1" s="1"/>
  <c r="T188" i="1" a="1"/>
  <c r="T188" i="1" s="1"/>
  <c r="Q188" i="1" a="1"/>
  <c r="Q188" i="1" s="1"/>
  <c r="N188" i="1" a="1"/>
  <c r="N188" i="1" s="1"/>
  <c r="K188" i="1" a="1"/>
  <c r="K188" i="1" s="1"/>
  <c r="H188" i="1" a="1"/>
  <c r="H188" i="1" s="1"/>
  <c r="Y188" i="1" a="1"/>
  <c r="Y188" i="1" s="1"/>
  <c r="M188" i="1" a="1"/>
  <c r="M188" i="1" s="1"/>
  <c r="S188" i="1" a="1"/>
  <c r="S188" i="1" s="1"/>
  <c r="G188" i="1" a="1"/>
  <c r="G188" i="1" s="1"/>
  <c r="V188" i="1" a="1"/>
  <c r="V188" i="1" s="1"/>
  <c r="J188" i="1" a="1"/>
  <c r="J188" i="1" s="1"/>
  <c r="Y224" i="1" a="1"/>
  <c r="Y224" i="1" s="1"/>
  <c r="V224" i="1" a="1"/>
  <c r="V224" i="1" s="1"/>
  <c r="S224" i="1" a="1"/>
  <c r="S224" i="1" s="1"/>
  <c r="P224" i="1" a="1"/>
  <c r="P224" i="1" s="1"/>
  <c r="M224" i="1" a="1"/>
  <c r="M224" i="1" s="1"/>
  <c r="J224" i="1" a="1"/>
  <c r="J224" i="1" s="1"/>
  <c r="G224" i="1" a="1"/>
  <c r="G224" i="1" s="1"/>
  <c r="T224" i="1" a="1"/>
  <c r="T224" i="1" s="1"/>
  <c r="H224" i="1" a="1"/>
  <c r="H224" i="1" s="1"/>
  <c r="Z224" i="1" a="1"/>
  <c r="Z224" i="1" s="1"/>
  <c r="N224" i="1" a="1"/>
  <c r="N224" i="1" s="1"/>
  <c r="Q224" i="1" a="1"/>
  <c r="Q224" i="1" s="1"/>
  <c r="W224" i="1" a="1"/>
  <c r="W224" i="1" s="1"/>
  <c r="W279" i="1" a="1"/>
  <c r="W279" i="1" s="1"/>
  <c r="Y255" i="1" a="1"/>
  <c r="Y255" i="1" s="1"/>
  <c r="V255" i="1" a="1"/>
  <c r="V255" i="1" s="1"/>
  <c r="S255" i="1" a="1"/>
  <c r="S255" i="1" s="1"/>
  <c r="P255" i="1" a="1"/>
  <c r="P255" i="1" s="1"/>
  <c r="M255" i="1" a="1"/>
  <c r="M255" i="1" s="1"/>
  <c r="J255" i="1" a="1"/>
  <c r="J255" i="1" s="1"/>
  <c r="G255" i="1" a="1"/>
  <c r="G255" i="1" s="1"/>
  <c r="T255" i="1" a="1"/>
  <c r="T255" i="1" s="1"/>
  <c r="H255" i="1" a="1"/>
  <c r="H255" i="1" s="1"/>
  <c r="W264" i="1" a="1"/>
  <c r="W264" i="1" s="1"/>
  <c r="Z255" i="1" a="1"/>
  <c r="Z255" i="1" s="1"/>
  <c r="N255" i="1" a="1"/>
  <c r="N255" i="1" s="1"/>
  <c r="W255" i="1" a="1"/>
  <c r="W255" i="1" s="1"/>
  <c r="Q255" i="1" a="1"/>
  <c r="Q255" i="1" s="1"/>
  <c r="Q270" i="1"/>
  <c r="Q275" i="1"/>
  <c r="F270" i="1"/>
  <c r="Q594" i="1"/>
  <c r="V594" i="1" s="1"/>
  <c r="Q593" i="1"/>
  <c r="V593" i="1" s="1"/>
  <c r="Q589" i="1"/>
  <c r="V589" i="1" s="1"/>
  <c r="Q582" i="1"/>
  <c r="V582" i="1" s="1"/>
  <c r="Q581" i="1"/>
  <c r="V581" i="1" s="1"/>
  <c r="Q579" i="1"/>
  <c r="V579" i="1" s="1"/>
  <c r="Q588" i="1"/>
  <c r="V588" i="1" s="1"/>
  <c r="Q578" i="1"/>
  <c r="V578" i="1" s="1"/>
  <c r="H4" i="1" a="1"/>
  <c r="H4" i="1" s="1"/>
  <c r="K4" i="1" a="1"/>
  <c r="K4" i="1" s="1"/>
  <c r="N4" i="1" a="1"/>
  <c r="N4" i="1" s="1"/>
  <c r="Q35" i="1" s="1"/>
  <c r="Q4" i="1" a="1"/>
  <c r="Q4" i="1" s="1"/>
  <c r="T4" i="1" a="1"/>
  <c r="T4" i="1" s="1"/>
  <c r="W4" i="1" a="1"/>
  <c r="W4" i="1" s="1"/>
  <c r="Z4" i="1" a="1"/>
  <c r="Z4" i="1" s="1"/>
  <c r="H7" i="1" a="1"/>
  <c r="H7" i="1" s="1"/>
  <c r="K7" i="1" a="1"/>
  <c r="K7" i="1" s="1"/>
  <c r="N7" i="1" a="1"/>
  <c r="N7" i="1" s="1"/>
  <c r="Q7" i="1" a="1"/>
  <c r="Q7" i="1" s="1"/>
  <c r="T7" i="1" a="1"/>
  <c r="T7" i="1" s="1"/>
  <c r="W7" i="1" a="1"/>
  <c r="W7" i="1" s="1"/>
  <c r="Z7" i="1" a="1"/>
  <c r="Z7" i="1" s="1"/>
  <c r="G8" i="1" a="1"/>
  <c r="G8" i="1" s="1"/>
  <c r="J8" i="1" a="1"/>
  <c r="J8" i="1" s="1"/>
  <c r="M8" i="1" a="1"/>
  <c r="M8" i="1" s="1"/>
  <c r="P8" i="1" a="1"/>
  <c r="P8" i="1" s="1"/>
  <c r="S8" i="1" a="1"/>
  <c r="S8" i="1" s="1"/>
  <c r="V8" i="1" a="1"/>
  <c r="V8" i="1" s="1"/>
  <c r="Y8" i="1" a="1"/>
  <c r="Y8" i="1" s="1"/>
  <c r="A9" i="1"/>
  <c r="A10" i="1"/>
  <c r="G11" i="1" a="1"/>
  <c r="G11" i="1" s="1"/>
  <c r="J11" i="1" a="1"/>
  <c r="J11" i="1" s="1"/>
  <c r="M11" i="1" a="1"/>
  <c r="M11" i="1" s="1"/>
  <c r="P11" i="1" a="1"/>
  <c r="P11" i="1" s="1"/>
  <c r="S11" i="1" a="1"/>
  <c r="S11" i="1" s="1"/>
  <c r="V11" i="1" a="1"/>
  <c r="V11" i="1" s="1"/>
  <c r="A12" i="1"/>
  <c r="A21" i="1"/>
  <c r="B22" i="1" s="1" a="1"/>
  <c r="B22" i="1" s="1"/>
  <c r="A26" i="1"/>
  <c r="C26" i="1" s="1" a="1"/>
  <c r="C26" i="1" s="1"/>
  <c r="W26" i="1" a="1"/>
  <c r="W26" i="1" s="1"/>
  <c r="W27" i="1" a="1"/>
  <c r="W27" i="1" s="1"/>
  <c r="W32" i="1" a="1"/>
  <c r="W32" i="1" s="1"/>
  <c r="H39" i="1" a="1"/>
  <c r="H39" i="1" s="1"/>
  <c r="K39" i="1" a="1"/>
  <c r="K39" i="1" s="1"/>
  <c r="N39" i="1" a="1"/>
  <c r="N39" i="1" s="1"/>
  <c r="Q70" i="1" s="1"/>
  <c r="Q39" i="1" a="1"/>
  <c r="Q39" i="1" s="1"/>
  <c r="T39" i="1" a="1"/>
  <c r="T39" i="1" s="1"/>
  <c r="W39" i="1" a="1"/>
  <c r="W39" i="1" s="1"/>
  <c r="Z39" i="1" a="1"/>
  <c r="Z39" i="1" s="1"/>
  <c r="G43" i="1" a="1"/>
  <c r="G43" i="1" s="1"/>
  <c r="J43" i="1" a="1"/>
  <c r="J43" i="1" s="1"/>
  <c r="M43" i="1" a="1"/>
  <c r="M43" i="1" s="1"/>
  <c r="P43" i="1" a="1"/>
  <c r="P43" i="1" s="1"/>
  <c r="S43" i="1" a="1"/>
  <c r="S43" i="1" s="1"/>
  <c r="V43" i="1" a="1"/>
  <c r="V43" i="1" s="1"/>
  <c r="Y43" i="1" a="1"/>
  <c r="Y43" i="1" s="1"/>
  <c r="A44" i="1"/>
  <c r="A45" i="1"/>
  <c r="A47" i="1"/>
  <c r="A56" i="1"/>
  <c r="B57" i="1" s="1" a="1"/>
  <c r="B57" i="1" s="1"/>
  <c r="A61" i="1"/>
  <c r="C61" i="1" s="1" a="1"/>
  <c r="C61" i="1" s="1"/>
  <c r="W61" i="1" a="1"/>
  <c r="W61" i="1" s="1"/>
  <c r="W62" i="1" a="1"/>
  <c r="W62" i="1" s="1"/>
  <c r="W67" i="1" a="1"/>
  <c r="W67" i="1" s="1"/>
  <c r="A75" i="1"/>
  <c r="A79" i="1"/>
  <c r="A80" i="1"/>
  <c r="A81" i="1"/>
  <c r="A83" i="1"/>
  <c r="H113" i="1" a="1"/>
  <c r="H113" i="1" s="1"/>
  <c r="N113" i="1" a="1"/>
  <c r="N113" i="1" s="1"/>
  <c r="T113" i="1" a="1"/>
  <c r="T113" i="1" s="1"/>
  <c r="Z113" i="1" a="1"/>
  <c r="Z113" i="1" s="1"/>
  <c r="A144" i="1"/>
  <c r="H145" i="1" a="1"/>
  <c r="H145" i="1" s="1"/>
  <c r="W206" i="1" a="1"/>
  <c r="W206" i="1" s="1"/>
  <c r="W207" i="1" a="1"/>
  <c r="W207" i="1" s="1"/>
  <c r="A214" i="1"/>
  <c r="K224" i="1" a="1"/>
  <c r="K224" i="1" s="1"/>
  <c r="Y250" i="1" a="1"/>
  <c r="Y250" i="1" s="1"/>
  <c r="V250" i="1" a="1"/>
  <c r="V250" i="1" s="1"/>
  <c r="S250" i="1" a="1"/>
  <c r="S250" i="1" s="1"/>
  <c r="P250" i="1" a="1"/>
  <c r="P250" i="1" s="1"/>
  <c r="M250" i="1" a="1"/>
  <c r="M250" i="1" s="1"/>
  <c r="J250" i="1" a="1"/>
  <c r="J250" i="1" s="1"/>
  <c r="G250" i="1" a="1"/>
  <c r="G250" i="1" s="1"/>
  <c r="W271" i="1" a="1"/>
  <c r="W271" i="1" s="1"/>
  <c r="W250" i="1" a="1"/>
  <c r="W250" i="1" s="1"/>
  <c r="K250" i="1" a="1"/>
  <c r="K250" i="1" s="1"/>
  <c r="W272" i="1" a="1"/>
  <c r="W272" i="1" s="1"/>
  <c r="T250" i="1" a="1"/>
  <c r="T250" i="1" s="1"/>
  <c r="Z250" i="1" a="1"/>
  <c r="Z250" i="1" s="1"/>
  <c r="H250" i="1" a="1"/>
  <c r="H250" i="1" s="1"/>
  <c r="P258" i="1" a="1"/>
  <c r="P258" i="1" s="1"/>
  <c r="F282" i="1"/>
  <c r="F281" i="1"/>
  <c r="U281" i="1"/>
  <c r="Q281" i="1"/>
  <c r="Q282" i="1"/>
  <c r="W276" i="1" a="1"/>
  <c r="W276" i="1" s="1"/>
  <c r="W277" i="1" a="1"/>
  <c r="W277" i="1" s="1"/>
  <c r="A284" i="1"/>
  <c r="N43" i="1" a="1"/>
  <c r="N43" i="1" s="1"/>
  <c r="T43" i="1" a="1"/>
  <c r="T43" i="1" s="1"/>
  <c r="H5" i="1" a="1"/>
  <c r="H5" i="1" s="1"/>
  <c r="K5" i="1" a="1"/>
  <c r="K5" i="1" s="1"/>
  <c r="N5" i="1" a="1"/>
  <c r="N5" i="1" s="1"/>
  <c r="Q5" i="1" a="1"/>
  <c r="Q5" i="1" s="1"/>
  <c r="T5" i="1" a="1"/>
  <c r="T5" i="1" s="1"/>
  <c r="W5" i="1" a="1"/>
  <c r="W5" i="1" s="1"/>
  <c r="G13" i="1" a="1"/>
  <c r="G13" i="1" s="1"/>
  <c r="J13" i="1" a="1"/>
  <c r="J13" i="1" s="1"/>
  <c r="M13" i="1" a="1"/>
  <c r="M13" i="1" s="1"/>
  <c r="P13" i="1" a="1"/>
  <c r="P13" i="1" s="1"/>
  <c r="S13" i="1" a="1"/>
  <c r="S13" i="1" s="1"/>
  <c r="V13" i="1" a="1"/>
  <c r="V13" i="1" s="1"/>
  <c r="Y13" i="1" a="1"/>
  <c r="Y13" i="1" s="1"/>
  <c r="A14" i="1"/>
  <c r="A18" i="1"/>
  <c r="C18" i="1" s="1" a="1"/>
  <c r="C18" i="1" s="1"/>
  <c r="B26" i="1" a="1"/>
  <c r="B26" i="1" s="1"/>
  <c r="H40" i="1" a="1"/>
  <c r="H40" i="1" s="1"/>
  <c r="K40" i="1" a="1"/>
  <c r="K40" i="1" s="1"/>
  <c r="N40" i="1" a="1"/>
  <c r="N40" i="1" s="1"/>
  <c r="Q40" i="1" a="1"/>
  <c r="Q40" i="1" s="1"/>
  <c r="T40" i="1" a="1"/>
  <c r="T40" i="1" s="1"/>
  <c r="W40" i="1" a="1"/>
  <c r="W40" i="1" s="1"/>
  <c r="G48" i="1" a="1"/>
  <c r="G48" i="1" s="1"/>
  <c r="J48" i="1" a="1"/>
  <c r="J48" i="1" s="1"/>
  <c r="M48" i="1" a="1"/>
  <c r="M48" i="1" s="1"/>
  <c r="P48" i="1" a="1"/>
  <c r="P48" i="1" s="1"/>
  <c r="S48" i="1" a="1"/>
  <c r="S48" i="1" s="1"/>
  <c r="V48" i="1" a="1"/>
  <c r="V48" i="1" s="1"/>
  <c r="Y48" i="1" a="1"/>
  <c r="Y48" i="1" s="1"/>
  <c r="A49" i="1"/>
  <c r="A53" i="1"/>
  <c r="C53" i="1" s="1" a="1"/>
  <c r="C53" i="1" s="1"/>
  <c r="B61" i="1" a="1"/>
  <c r="B61" i="1" s="1"/>
  <c r="A74" i="1"/>
  <c r="A76" i="1"/>
  <c r="A77" i="1"/>
  <c r="A78" i="1"/>
  <c r="A127" i="1"/>
  <c r="C127" i="1" s="1" a="1"/>
  <c r="C127" i="1" s="1"/>
  <c r="A123" i="1"/>
  <c r="C123" i="1" s="1" a="1"/>
  <c r="C123" i="1" s="1"/>
  <c r="A119" i="1"/>
  <c r="Q110" i="1" a="1"/>
  <c r="Q110" i="1" s="1"/>
  <c r="A109" i="1"/>
  <c r="T142" i="1"/>
  <c r="A131" i="1"/>
  <c r="C131" i="1" s="1" a="1"/>
  <c r="C131" i="1" s="1"/>
  <c r="A126" i="1"/>
  <c r="B127" i="1" s="1" a="1"/>
  <c r="B127" i="1" s="1"/>
  <c r="A117" i="1"/>
  <c r="A115" i="1"/>
  <c r="A114" i="1"/>
  <c r="A111" i="1"/>
  <c r="A112" i="1"/>
  <c r="A116" i="1"/>
  <c r="A118" i="1"/>
  <c r="A122" i="1"/>
  <c r="B123" i="1" s="1" a="1"/>
  <c r="B123" i="1" s="1"/>
  <c r="Q145" i="1" a="1"/>
  <c r="Q145" i="1" s="1"/>
  <c r="T177" i="1"/>
  <c r="T212" i="1"/>
  <c r="A192" i="1"/>
  <c r="B193" i="1" s="1" a="1"/>
  <c r="B193" i="1" s="1"/>
  <c r="A186" i="1"/>
  <c r="A183" i="1"/>
  <c r="A180" i="1"/>
  <c r="A201" i="1"/>
  <c r="C201" i="1" s="1" a="1"/>
  <c r="C201" i="1" s="1"/>
  <c r="A197" i="1"/>
  <c r="C197" i="1" s="1" a="1"/>
  <c r="C197" i="1" s="1"/>
  <c r="A193" i="1"/>
  <c r="C193" i="1" s="1" a="1"/>
  <c r="C193" i="1" s="1"/>
  <c r="A185" i="1"/>
  <c r="A184" i="1"/>
  <c r="A187" i="1"/>
  <c r="A182" i="1"/>
  <c r="N180" i="1" a="1"/>
  <c r="N180" i="1" s="1"/>
  <c r="H180" i="1" a="1"/>
  <c r="H180" i="1" s="1"/>
  <c r="A179" i="1"/>
  <c r="A200" i="1"/>
  <c r="A196" i="1"/>
  <c r="B197" i="1" s="1" a="1"/>
  <c r="B197" i="1" s="1"/>
  <c r="A189" i="1"/>
  <c r="A181" i="1"/>
  <c r="K255" i="1" a="1"/>
  <c r="K255" i="1" s="1"/>
  <c r="W278" i="1" a="1"/>
  <c r="W278" i="1" s="1"/>
  <c r="W263" i="1" a="1"/>
  <c r="W263" i="1" s="1"/>
  <c r="Y249" i="1" a="1"/>
  <c r="Y249" i="1" s="1"/>
  <c r="Q249" i="1" a="1"/>
  <c r="Q249" i="1" s="1"/>
  <c r="M249" i="1" a="1"/>
  <c r="M249" i="1" s="1"/>
  <c r="W249" i="1" a="1"/>
  <c r="W249" i="1" s="1"/>
  <c r="S249" i="1" a="1"/>
  <c r="S249" i="1" s="1"/>
  <c r="K249" i="1" a="1"/>
  <c r="K249" i="1" s="1"/>
  <c r="G249" i="1" a="1"/>
  <c r="G249" i="1" s="1"/>
  <c r="N249" i="1" a="1"/>
  <c r="N249" i="1" s="1"/>
  <c r="Q280" i="1" s="1"/>
  <c r="V249" i="1" a="1"/>
  <c r="V249" i="1" s="1"/>
  <c r="V253" i="1" a="1"/>
  <c r="V253" i="1" s="1"/>
  <c r="Q253" i="1" a="1"/>
  <c r="Q253" i="1" s="1"/>
  <c r="J253" i="1" a="1"/>
  <c r="J253" i="1" s="1"/>
  <c r="W253" i="1" a="1"/>
  <c r="W253" i="1" s="1"/>
  <c r="P253" i="1" a="1"/>
  <c r="P253" i="1" s="1"/>
  <c r="K253" i="1" a="1"/>
  <c r="K253" i="1" s="1"/>
  <c r="S253" i="1" a="1"/>
  <c r="S253" i="1" s="1"/>
  <c r="Z253" i="1" a="1"/>
  <c r="Z253" i="1" s="1"/>
  <c r="Y259" i="1" a="1"/>
  <c r="Y259" i="1" s="1"/>
  <c r="V259" i="1" a="1"/>
  <c r="V259" i="1" s="1"/>
  <c r="S259" i="1" a="1"/>
  <c r="S259" i="1" s="1"/>
  <c r="P259" i="1" a="1"/>
  <c r="P259" i="1" s="1"/>
  <c r="M259" i="1" a="1"/>
  <c r="M259" i="1" s="1"/>
  <c r="J259" i="1" a="1"/>
  <c r="J259" i="1" s="1"/>
  <c r="G259" i="1" a="1"/>
  <c r="G259" i="1" s="1"/>
  <c r="Z259" i="1" a="1"/>
  <c r="Z259" i="1" s="1"/>
  <c r="N259" i="1" a="1"/>
  <c r="N259" i="1" s="1"/>
  <c r="T259" i="1" a="1"/>
  <c r="T259" i="1" s="1"/>
  <c r="H259" i="1" a="1"/>
  <c r="H259" i="1" s="1"/>
  <c r="K259" i="1" a="1"/>
  <c r="K259" i="1" s="1"/>
  <c r="T352" i="1"/>
  <c r="A332" i="1"/>
  <c r="B333" i="1" s="1" a="1"/>
  <c r="B333" i="1" s="1"/>
  <c r="A326" i="1"/>
  <c r="A322" i="1"/>
  <c r="A321" i="1"/>
  <c r="A340" i="1"/>
  <c r="A341" i="1"/>
  <c r="C341" i="1" s="1" a="1"/>
  <c r="C341" i="1" s="1"/>
  <c r="A337" i="1"/>
  <c r="C337" i="1" s="1" a="1"/>
  <c r="C337" i="1" s="1"/>
  <c r="A327" i="1"/>
  <c r="A325" i="1"/>
  <c r="A319" i="1"/>
  <c r="A333" i="1"/>
  <c r="C333" i="1" s="1" a="1"/>
  <c r="C333" i="1" s="1"/>
  <c r="A329" i="1"/>
  <c r="A336" i="1"/>
  <c r="B337" i="1" s="1" a="1"/>
  <c r="B337" i="1" s="1"/>
  <c r="A328" i="1"/>
  <c r="A323" i="1"/>
  <c r="N320" i="1" a="1"/>
  <c r="N320" i="1" s="1"/>
  <c r="A320" i="1"/>
  <c r="A324" i="1"/>
  <c r="Q320" i="1" a="1"/>
  <c r="Q320" i="1" s="1"/>
  <c r="H249" i="1" a="1"/>
  <c r="H249" i="1" s="1"/>
  <c r="P249" i="1" a="1"/>
  <c r="P249" i="1" s="1"/>
  <c r="T282" i="1"/>
  <c r="A262" i="1"/>
  <c r="B263" i="1" s="1" a="1"/>
  <c r="B263" i="1" s="1"/>
  <c r="A256" i="1"/>
  <c r="A252" i="1"/>
  <c r="A251" i="1"/>
  <c r="A271" i="1"/>
  <c r="C271" i="1" s="1" a="1"/>
  <c r="C271" i="1" s="1"/>
  <c r="A267" i="1"/>
  <c r="C267" i="1" s="1" a="1"/>
  <c r="C267" i="1" s="1"/>
  <c r="A263" i="1"/>
  <c r="C263" i="1" s="1" a="1"/>
  <c r="C263" i="1" s="1"/>
  <c r="A254" i="1"/>
  <c r="Q250" i="1" a="1"/>
  <c r="Q250" i="1" s="1"/>
  <c r="M253" i="1" a="1"/>
  <c r="M253" i="1" s="1"/>
  <c r="T253" i="1" a="1"/>
  <c r="T253" i="1" s="1"/>
  <c r="A257" i="1"/>
  <c r="B271" i="1" a="1"/>
  <c r="B271" i="1" s="1"/>
  <c r="A375" i="1"/>
  <c r="A363" i="1"/>
  <c r="A372" i="1"/>
  <c r="C372" i="1" s="1" a="1"/>
  <c r="C372" i="1" s="1"/>
  <c r="A368" i="1"/>
  <c r="C368" i="1" s="1" a="1"/>
  <c r="C368" i="1" s="1"/>
  <c r="A364" i="1"/>
  <c r="A367" i="1"/>
  <c r="B368" i="1" s="1" a="1"/>
  <c r="B368" i="1" s="1"/>
  <c r="A360" i="1"/>
  <c r="A359" i="1"/>
  <c r="A357" i="1"/>
  <c r="A356" i="1"/>
  <c r="A371" i="1"/>
  <c r="B372" i="1" s="1" a="1"/>
  <c r="B372" i="1" s="1"/>
  <c r="A362" i="1"/>
  <c r="A358" i="1"/>
  <c r="A355" i="1"/>
  <c r="A376" i="1"/>
  <c r="C376" i="1" s="1" a="1"/>
  <c r="C376" i="1" s="1"/>
  <c r="N355" i="1" a="1"/>
  <c r="N355" i="1" s="1"/>
  <c r="H355" i="1" a="1"/>
  <c r="H355" i="1" s="1"/>
  <c r="A354" i="1"/>
  <c r="T387" i="1"/>
  <c r="A361" i="1"/>
  <c r="F440" i="1"/>
  <c r="Q440" i="1"/>
  <c r="Q437" i="1"/>
  <c r="F437" i="1"/>
  <c r="Z396" i="1" a="1"/>
  <c r="Z396" i="1" s="1"/>
  <c r="W396" i="1" a="1"/>
  <c r="W396" i="1" s="1"/>
  <c r="T396" i="1" a="1"/>
  <c r="T396" i="1" s="1"/>
  <c r="Q396" i="1" a="1"/>
  <c r="Q396" i="1" s="1"/>
  <c r="N396" i="1" a="1"/>
  <c r="N396" i="1" s="1"/>
  <c r="K396" i="1" a="1"/>
  <c r="K396" i="1" s="1"/>
  <c r="H396" i="1" a="1"/>
  <c r="H396" i="1" s="1"/>
  <c r="V396" i="1" a="1"/>
  <c r="V396" i="1" s="1"/>
  <c r="P396" i="1" a="1"/>
  <c r="P396" i="1" s="1"/>
  <c r="J396" i="1" a="1"/>
  <c r="J396" i="1" s="1"/>
  <c r="G396" i="1" a="1"/>
  <c r="G396" i="1" s="1"/>
  <c r="S396" i="1" a="1"/>
  <c r="S396" i="1" s="1"/>
  <c r="F405" i="1"/>
  <c r="Q405" i="1"/>
  <c r="F402" i="1"/>
  <c r="Y440" i="1"/>
  <c r="F445" i="1"/>
  <c r="Q450" i="1"/>
  <c r="Q445" i="1"/>
  <c r="F450" i="1"/>
  <c r="A410" i="1"/>
  <c r="A398" i="1"/>
  <c r="A393" i="1"/>
  <c r="A390" i="1"/>
  <c r="N390" i="1" s="1" a="1"/>
  <c r="N390" i="1" s="1"/>
  <c r="A407" i="1"/>
  <c r="C407" i="1" s="1" a="1"/>
  <c r="C407" i="1" s="1"/>
  <c r="A403" i="1"/>
  <c r="C403" i="1" s="1" a="1"/>
  <c r="C403" i="1" s="1"/>
  <c r="A399" i="1"/>
  <c r="Q390" i="1" a="1"/>
  <c r="Q390" i="1" s="1"/>
  <c r="A389" i="1"/>
  <c r="A406" i="1"/>
  <c r="B407" i="1" s="1" a="1"/>
  <c r="B407" i="1" s="1"/>
  <c r="A397" i="1"/>
  <c r="A411" i="1"/>
  <c r="C411" i="1" s="1" a="1"/>
  <c r="C411" i="1" s="1"/>
  <c r="A392" i="1"/>
  <c r="Q402" i="1"/>
  <c r="Q515" i="1"/>
  <c r="F520" i="1"/>
  <c r="F515" i="1"/>
  <c r="Q520" i="1"/>
  <c r="A391" i="1"/>
  <c r="A394" i="1"/>
  <c r="A395" i="1"/>
  <c r="M396" i="1" a="1"/>
  <c r="M396" i="1" s="1"/>
  <c r="Y396" i="1" a="1"/>
  <c r="Y396" i="1" s="1"/>
  <c r="T422" i="1"/>
  <c r="W441" i="1" a="1"/>
  <c r="W441" i="1" s="1"/>
  <c r="Y427" i="1" a="1"/>
  <c r="Y427" i="1" s="1"/>
  <c r="V427" i="1" a="1"/>
  <c r="V427" i="1" s="1"/>
  <c r="S427" i="1" a="1"/>
  <c r="S427" i="1" s="1"/>
  <c r="P427" i="1" a="1"/>
  <c r="P427" i="1" s="1"/>
  <c r="M427" i="1" a="1"/>
  <c r="M427" i="1" s="1"/>
  <c r="J427" i="1" a="1"/>
  <c r="J427" i="1" s="1"/>
  <c r="G427" i="1" a="1"/>
  <c r="G427" i="1" s="1"/>
  <c r="H427" i="1" a="1"/>
  <c r="H427" i="1" s="1"/>
  <c r="N427" i="1" a="1"/>
  <c r="N427" i="1" s="1"/>
  <c r="T427" i="1" a="1"/>
  <c r="T427" i="1" s="1"/>
  <c r="Z427" i="1" a="1"/>
  <c r="Z427" i="1" s="1"/>
  <c r="W439" i="1" a="1"/>
  <c r="W439" i="1" s="1"/>
  <c r="Z430" i="1" a="1"/>
  <c r="Z430" i="1" s="1"/>
  <c r="W430" i="1" a="1"/>
  <c r="W430" i="1" s="1"/>
  <c r="T430" i="1" a="1"/>
  <c r="T430" i="1" s="1"/>
  <c r="Q430" i="1" a="1"/>
  <c r="Q430" i="1" s="1"/>
  <c r="N430" i="1" a="1"/>
  <c r="N430" i="1" s="1"/>
  <c r="K430" i="1" a="1"/>
  <c r="K430" i="1" s="1"/>
  <c r="H430" i="1" a="1"/>
  <c r="H430" i="1" s="1"/>
  <c r="Q488" i="1"/>
  <c r="V488" i="1" s="1"/>
  <c r="Q484" i="1"/>
  <c r="V484" i="1" s="1"/>
  <c r="S484" i="1" s="1"/>
  <c r="Q477" i="1"/>
  <c r="V477" i="1" s="1"/>
  <c r="Q489" i="1"/>
  <c r="V489" i="1" s="1"/>
  <c r="Q476" i="1"/>
  <c r="V476" i="1" s="1"/>
  <c r="Q483" i="1"/>
  <c r="V483" i="1" s="1"/>
  <c r="Q487" i="1"/>
  <c r="Q481" i="1"/>
  <c r="Q486" i="1"/>
  <c r="T562" i="1"/>
  <c r="A542" i="1"/>
  <c r="B543" i="1" s="1" a="1"/>
  <c r="B543" i="1" s="1"/>
  <c r="A550" i="1"/>
  <c r="A538" i="1"/>
  <c r="A537" i="1"/>
  <c r="A536" i="1"/>
  <c r="A535" i="1"/>
  <c r="A534" i="1"/>
  <c r="A551" i="1"/>
  <c r="C551" i="1" s="1" a="1"/>
  <c r="C551" i="1" s="1"/>
  <c r="A547" i="1"/>
  <c r="C547" i="1" s="1" a="1"/>
  <c r="C547" i="1" s="1"/>
  <c r="A532" i="1"/>
  <c r="A531" i="1"/>
  <c r="A543" i="1"/>
  <c r="C543" i="1" s="1" a="1"/>
  <c r="C543" i="1" s="1"/>
  <c r="A533" i="1"/>
  <c r="A539" i="1"/>
  <c r="A529" i="1"/>
  <c r="A546" i="1"/>
  <c r="B547" i="1" s="1" a="1"/>
  <c r="B547" i="1" s="1"/>
  <c r="A530" i="1"/>
  <c r="H530" i="1" s="1" a="1"/>
  <c r="H530" i="1" s="1"/>
  <c r="A445" i="1"/>
  <c r="A433" i="1"/>
  <c r="A428" i="1"/>
  <c r="A425" i="1"/>
  <c r="A442" i="1"/>
  <c r="C442" i="1" s="1" a="1"/>
  <c r="C442" i="1" s="1"/>
  <c r="A438" i="1"/>
  <c r="C438" i="1" s="1" a="1"/>
  <c r="C438" i="1" s="1"/>
  <c r="A434" i="1"/>
  <c r="Q425" i="1" a="1"/>
  <c r="Q425" i="1" s="1"/>
  <c r="N425" i="1" a="1"/>
  <c r="N425" i="1" s="1"/>
  <c r="H425" i="1" a="1"/>
  <c r="H425" i="1" s="1"/>
  <c r="A424" i="1"/>
  <c r="A426" i="1"/>
  <c r="J430" i="1" a="1"/>
  <c r="J430" i="1" s="1"/>
  <c r="P430" i="1" a="1"/>
  <c r="P430" i="1" s="1"/>
  <c r="V430" i="1" a="1"/>
  <c r="V430" i="1" s="1"/>
  <c r="A431" i="1"/>
  <c r="T457" i="1"/>
  <c r="W483" i="1" a="1"/>
  <c r="W483" i="1" s="1"/>
  <c r="Z462" i="1" a="1"/>
  <c r="Z462" i="1" s="1"/>
  <c r="W462" i="1" a="1"/>
  <c r="W462" i="1" s="1"/>
  <c r="T462" i="1" a="1"/>
  <c r="T462" i="1" s="1"/>
  <c r="Q462" i="1" a="1"/>
  <c r="Q462" i="1" s="1"/>
  <c r="N462" i="1" a="1"/>
  <c r="N462" i="1" s="1"/>
  <c r="Y462" i="1" a="1"/>
  <c r="Y462" i="1" s="1"/>
  <c r="M462" i="1" a="1"/>
  <c r="M462" i="1" s="1"/>
  <c r="J462" i="1" a="1"/>
  <c r="J462" i="1" s="1"/>
  <c r="G462" i="1" a="1"/>
  <c r="G462" i="1" s="1"/>
  <c r="W476" i="1" a="1"/>
  <c r="W476" i="1" s="1"/>
  <c r="P462" i="1" a="1"/>
  <c r="P462" i="1" s="1"/>
  <c r="H462" i="1" a="1"/>
  <c r="H462" i="1" s="1"/>
  <c r="W487" i="1" a="1"/>
  <c r="W487" i="1" s="1"/>
  <c r="W484" i="1" a="1"/>
  <c r="W484" i="1" s="1"/>
  <c r="Y485" i="1" s="1"/>
  <c r="W477" i="1" a="1"/>
  <c r="W477" i="1" s="1"/>
  <c r="Z468" i="1" a="1"/>
  <c r="Z468" i="1" s="1"/>
  <c r="W468" i="1" a="1"/>
  <c r="W468" i="1" s="1"/>
  <c r="T468" i="1" a="1"/>
  <c r="T468" i="1" s="1"/>
  <c r="Q468" i="1" a="1"/>
  <c r="Q468" i="1" s="1"/>
  <c r="N468" i="1" a="1"/>
  <c r="N468" i="1" s="1"/>
  <c r="K468" i="1" a="1"/>
  <c r="K468" i="1" s="1"/>
  <c r="H468" i="1" a="1"/>
  <c r="H468" i="1" s="1"/>
  <c r="W486" i="1" a="1"/>
  <c r="W486" i="1" s="1"/>
  <c r="V468" i="1" a="1"/>
  <c r="V468" i="1" s="1"/>
  <c r="P468" i="1" a="1"/>
  <c r="P468" i="1" s="1"/>
  <c r="J468" i="1" a="1"/>
  <c r="J468" i="1" s="1"/>
  <c r="Q473" i="1"/>
  <c r="V473" i="1" s="1"/>
  <c r="Q474" i="1"/>
  <c r="V474" i="1" s="1"/>
  <c r="Q482" i="1"/>
  <c r="Y495" i="1" a="1"/>
  <c r="Y495" i="1" s="1"/>
  <c r="V495" i="1" a="1"/>
  <c r="V495" i="1" s="1"/>
  <c r="S495" i="1" a="1"/>
  <c r="S495" i="1" s="1"/>
  <c r="P495" i="1" a="1"/>
  <c r="P495" i="1" s="1"/>
  <c r="M495" i="1" a="1"/>
  <c r="M495" i="1" s="1"/>
  <c r="J495" i="1" a="1"/>
  <c r="J495" i="1" s="1"/>
  <c r="G495" i="1" a="1"/>
  <c r="G495" i="1" s="1"/>
  <c r="T495" i="1" a="1"/>
  <c r="T495" i="1" s="1"/>
  <c r="W516" i="1" a="1"/>
  <c r="W516" i="1" s="1"/>
  <c r="W495" i="1" a="1"/>
  <c r="W495" i="1" s="1"/>
  <c r="K495" i="1" a="1"/>
  <c r="K495" i="1" s="1"/>
  <c r="Z495" i="1" a="1"/>
  <c r="Z495" i="1" s="1"/>
  <c r="W517" i="1" a="1"/>
  <c r="W517" i="1" s="1"/>
  <c r="K427" i="1" a="1"/>
  <c r="K427" i="1" s="1"/>
  <c r="Q427" i="1" a="1"/>
  <c r="Q427" i="1" s="1"/>
  <c r="W427" i="1" a="1"/>
  <c r="W427" i="1" s="1"/>
  <c r="A446" i="1"/>
  <c r="C446" i="1" s="1" a="1"/>
  <c r="C446" i="1" s="1"/>
  <c r="T492" i="1"/>
  <c r="A481" i="1"/>
  <c r="C481" i="1" s="1" a="1"/>
  <c r="C481" i="1" s="1"/>
  <c r="A476" i="1"/>
  <c r="B477" i="1" s="1" a="1"/>
  <c r="B477" i="1" s="1"/>
  <c r="A467" i="1"/>
  <c r="A465" i="1"/>
  <c r="A464" i="1"/>
  <c r="A472" i="1"/>
  <c r="B473" i="1" s="1" a="1"/>
  <c r="B473" i="1" s="1"/>
  <c r="A466" i="1"/>
  <c r="A460" i="1"/>
  <c r="Q460" i="1" s="1" a="1"/>
  <c r="Q460" i="1" s="1"/>
  <c r="A469" i="1"/>
  <c r="A463" i="1"/>
  <c r="A459" i="1"/>
  <c r="A461" i="1"/>
  <c r="M468" i="1" a="1"/>
  <c r="M468" i="1" s="1"/>
  <c r="Y468" i="1" a="1"/>
  <c r="Y468" i="1" s="1"/>
  <c r="A480" i="1"/>
  <c r="W519" i="1" a="1"/>
  <c r="W519" i="1" s="1"/>
  <c r="Y520" i="1" s="1"/>
  <c r="W512" i="1" a="1"/>
  <c r="W512" i="1" s="1"/>
  <c r="Z503" i="1" a="1"/>
  <c r="Z503" i="1" s="1"/>
  <c r="W503" i="1" a="1"/>
  <c r="W503" i="1" s="1"/>
  <c r="T503" i="1" a="1"/>
  <c r="T503" i="1" s="1"/>
  <c r="Q503" i="1" a="1"/>
  <c r="Q503" i="1" s="1"/>
  <c r="N503" i="1" a="1"/>
  <c r="N503" i="1" s="1"/>
  <c r="K503" i="1" a="1"/>
  <c r="K503" i="1" s="1"/>
  <c r="H503" i="1" a="1"/>
  <c r="H503" i="1" s="1"/>
  <c r="W521" i="1" a="1"/>
  <c r="W521" i="1" s="1"/>
  <c r="V503" i="1" a="1"/>
  <c r="V503" i="1" s="1"/>
  <c r="J503" i="1" a="1"/>
  <c r="J503" i="1" s="1"/>
  <c r="Y503" i="1" a="1"/>
  <c r="Y503" i="1" s="1"/>
  <c r="M503" i="1" a="1"/>
  <c r="M503" i="1" s="1"/>
  <c r="W522" i="1" a="1"/>
  <c r="W522" i="1" s="1"/>
  <c r="S503" i="1" a="1"/>
  <c r="S503" i="1" s="1"/>
  <c r="W587" i="1" a="1"/>
  <c r="W587" i="1" s="1"/>
  <c r="S587" i="1" s="1"/>
  <c r="W586" i="1" a="1"/>
  <c r="W586" i="1" s="1"/>
  <c r="Y565" i="1" a="1"/>
  <c r="Y565" i="1" s="1"/>
  <c r="V565" i="1" a="1"/>
  <c r="V565" i="1" s="1"/>
  <c r="S565" i="1" a="1"/>
  <c r="S565" i="1" s="1"/>
  <c r="P565" i="1" a="1"/>
  <c r="P565" i="1" s="1"/>
  <c r="M565" i="1" a="1"/>
  <c r="M565" i="1" s="1"/>
  <c r="J565" i="1" a="1"/>
  <c r="J565" i="1" s="1"/>
  <c r="G565" i="1" a="1"/>
  <c r="G565" i="1" s="1"/>
  <c r="W565" i="1" a="1"/>
  <c r="W565" i="1" s="1"/>
  <c r="K565" i="1" a="1"/>
  <c r="K565" i="1" s="1"/>
  <c r="Z565" i="1" a="1"/>
  <c r="Z565" i="1" s="1"/>
  <c r="N565" i="1" a="1"/>
  <c r="N565" i="1" s="1"/>
  <c r="H565" i="1" a="1"/>
  <c r="H565" i="1" s="1"/>
  <c r="T565" i="1" a="1"/>
  <c r="T565" i="1" s="1"/>
  <c r="A508" i="1"/>
  <c r="C508" i="1" s="1" a="1"/>
  <c r="C508" i="1" s="1"/>
  <c r="W593" i="1" a="1"/>
  <c r="W593" i="1" s="1"/>
  <c r="W564" i="1" a="1"/>
  <c r="W564" i="1" s="1"/>
  <c r="S564" i="1" a="1"/>
  <c r="S564" i="1" s="1"/>
  <c r="K564" i="1" a="1"/>
  <c r="K564" i="1" s="1"/>
  <c r="W578" i="1" a="1"/>
  <c r="W578" i="1" s="1"/>
  <c r="Z564" i="1" a="1"/>
  <c r="Z564" i="1" s="1"/>
  <c r="V564" i="1" a="1"/>
  <c r="V564" i="1" s="1"/>
  <c r="N564" i="1" a="1"/>
  <c r="N564" i="1" s="1"/>
  <c r="Q595" i="1" s="1"/>
  <c r="J564" i="1" a="1"/>
  <c r="J564" i="1" s="1"/>
  <c r="G564" i="1" a="1"/>
  <c r="G564" i="1" s="1"/>
  <c r="Y564" i="1" a="1"/>
  <c r="Y564" i="1" s="1"/>
  <c r="Q564" i="1" a="1"/>
  <c r="Q564" i="1" s="1"/>
  <c r="P564" i="1" a="1"/>
  <c r="P564" i="1" s="1"/>
  <c r="H564" i="1" a="1"/>
  <c r="H564" i="1" s="1"/>
  <c r="T564" i="1" a="1"/>
  <c r="T564" i="1" s="1"/>
  <c r="M564" i="1" a="1"/>
  <c r="M564" i="1" s="1"/>
  <c r="T527" i="1"/>
  <c r="A507" i="1"/>
  <c r="B508" i="1" s="1" a="1"/>
  <c r="B508" i="1" s="1"/>
  <c r="A501" i="1"/>
  <c r="A497" i="1"/>
  <c r="A496" i="1"/>
  <c r="A515" i="1"/>
  <c r="A502" i="1"/>
  <c r="A500" i="1"/>
  <c r="H495" i="1" a="1"/>
  <c r="H495" i="1" s="1"/>
  <c r="A494" i="1"/>
  <c r="A498" i="1"/>
  <c r="A499" i="1"/>
  <c r="A504" i="1"/>
  <c r="A512" i="1"/>
  <c r="C512" i="1" s="1" a="1"/>
  <c r="C512" i="1" s="1"/>
  <c r="V587" i="1"/>
  <c r="V586" i="1"/>
  <c r="S586" i="1" s="1"/>
  <c r="Q591" i="1"/>
  <c r="Q587" i="1"/>
  <c r="B597" i="1" a="1"/>
  <c r="B597" i="1" s="1"/>
  <c r="B586" i="1" a="1"/>
  <c r="B586" i="1" s="1"/>
  <c r="A568" i="1"/>
  <c r="A573" i="1"/>
  <c r="A586" i="1"/>
  <c r="C586" i="1" s="1" a="1"/>
  <c r="C586" i="1" s="1"/>
  <c r="A581" i="1"/>
  <c r="B582" i="1" s="1" a="1"/>
  <c r="B582" i="1" s="1"/>
  <c r="A572" i="1"/>
  <c r="A570" i="1"/>
  <c r="A569" i="1"/>
  <c r="T597" i="1"/>
  <c r="A577" i="1"/>
  <c r="B578" i="1" s="1" a="1"/>
  <c r="B578" i="1" s="1"/>
  <c r="A571" i="1"/>
  <c r="A567" i="1"/>
  <c r="A566" i="1"/>
  <c r="Q565" i="1" a="1"/>
  <c r="Q565" i="1" s="1"/>
  <c r="A574" i="1"/>
  <c r="Q524" i="1" l="1"/>
  <c r="V524" i="1" s="1"/>
  <c r="Q511" i="1"/>
  <c r="V511" i="1" s="1"/>
  <c r="Q518" i="1"/>
  <c r="V518" i="1" s="1"/>
  <c r="Q512" i="1"/>
  <c r="V512" i="1" s="1"/>
  <c r="S512" i="1" s="1"/>
  <c r="Q509" i="1"/>
  <c r="V509" i="1" s="1"/>
  <c r="Q523" i="1"/>
  <c r="V523" i="1" s="1"/>
  <c r="Q519" i="1"/>
  <c r="V519" i="1" s="1"/>
  <c r="S519" i="1" s="1"/>
  <c r="Q508" i="1"/>
  <c r="V508" i="1" s="1"/>
  <c r="W489" i="1" a="1"/>
  <c r="W489" i="1" s="1"/>
  <c r="Y465" i="1" a="1"/>
  <c r="Y465" i="1" s="1"/>
  <c r="T465" i="1" a="1"/>
  <c r="T465" i="1" s="1"/>
  <c r="P465" i="1" a="1"/>
  <c r="P465" i="1" s="1"/>
  <c r="H465" i="1" a="1"/>
  <c r="H465" i="1" s="1"/>
  <c r="W474" i="1" a="1"/>
  <c r="W474" i="1" s="1"/>
  <c r="W465" i="1" a="1"/>
  <c r="W465" i="1" s="1"/>
  <c r="S465" i="1" a="1"/>
  <c r="S465" i="1" s="1"/>
  <c r="K465" i="1" a="1"/>
  <c r="K465" i="1" s="1"/>
  <c r="G465" i="1" a="1"/>
  <c r="G465" i="1" s="1"/>
  <c r="M465" i="1" a="1"/>
  <c r="M465" i="1" s="1"/>
  <c r="J465" i="1" a="1"/>
  <c r="J465" i="1" s="1"/>
  <c r="Z465" i="1" a="1"/>
  <c r="Z465" i="1" s="1"/>
  <c r="Q465" i="1" a="1"/>
  <c r="Q465" i="1" s="1"/>
  <c r="V465" i="1" a="1"/>
  <c r="V465" i="1" s="1"/>
  <c r="N465" i="1" a="1"/>
  <c r="N465" i="1" s="1"/>
  <c r="S477" i="1"/>
  <c r="W54" i="1" a="1"/>
  <c r="W54" i="1" s="1"/>
  <c r="Z45" i="1" a="1"/>
  <c r="Z45" i="1" s="1"/>
  <c r="W45" i="1" a="1"/>
  <c r="W45" i="1" s="1"/>
  <c r="T45" i="1" a="1"/>
  <c r="T45" i="1" s="1"/>
  <c r="Q45" i="1" a="1"/>
  <c r="Q45" i="1" s="1"/>
  <c r="N45" i="1" a="1"/>
  <c r="N45" i="1" s="1"/>
  <c r="K45" i="1" a="1"/>
  <c r="K45" i="1" s="1"/>
  <c r="H45" i="1" a="1"/>
  <c r="H45" i="1" s="1"/>
  <c r="W69" i="1" a="1"/>
  <c r="W69" i="1" s="1"/>
  <c r="Y45" i="1" a="1"/>
  <c r="Y45" i="1" s="1"/>
  <c r="V45" i="1" a="1"/>
  <c r="V45" i="1" s="1"/>
  <c r="S45" i="1" a="1"/>
  <c r="S45" i="1" s="1"/>
  <c r="P45" i="1" a="1"/>
  <c r="P45" i="1" s="1"/>
  <c r="M45" i="1" a="1"/>
  <c r="M45" i="1" s="1"/>
  <c r="J45" i="1" a="1"/>
  <c r="J45" i="1" s="1"/>
  <c r="G45" i="1" a="1"/>
  <c r="G45" i="1" s="1"/>
  <c r="W19" i="1" a="1"/>
  <c r="W19" i="1" s="1"/>
  <c r="Z10" i="1" a="1"/>
  <c r="Z10" i="1" s="1"/>
  <c r="W10" i="1" a="1"/>
  <c r="W10" i="1" s="1"/>
  <c r="T10" i="1" a="1"/>
  <c r="T10" i="1" s="1"/>
  <c r="Q10" i="1" a="1"/>
  <c r="Q10" i="1" s="1"/>
  <c r="N10" i="1" a="1"/>
  <c r="N10" i="1" s="1"/>
  <c r="K10" i="1" a="1"/>
  <c r="K10" i="1" s="1"/>
  <c r="H10" i="1" a="1"/>
  <c r="H10" i="1" s="1"/>
  <c r="W34" i="1" a="1"/>
  <c r="W34" i="1" s="1"/>
  <c r="Y10" i="1" a="1"/>
  <c r="Y10" i="1" s="1"/>
  <c r="V10" i="1" a="1"/>
  <c r="V10" i="1" s="1"/>
  <c r="S10" i="1" a="1"/>
  <c r="S10" i="1" s="1"/>
  <c r="P10" i="1" a="1"/>
  <c r="P10" i="1" s="1"/>
  <c r="M10" i="1" a="1"/>
  <c r="M10" i="1" s="1"/>
  <c r="J10" i="1" a="1"/>
  <c r="J10" i="1" s="1"/>
  <c r="G10" i="1" a="1"/>
  <c r="G10" i="1" s="1"/>
  <c r="F160" i="1"/>
  <c r="Q157" i="1"/>
  <c r="F157" i="1"/>
  <c r="Q160" i="1"/>
  <c r="F165" i="1"/>
  <c r="F170" i="1"/>
  <c r="Q170" i="1"/>
  <c r="Q165" i="1"/>
  <c r="W172" i="1" a="1"/>
  <c r="W172" i="1" s="1"/>
  <c r="W153" i="1" a="1"/>
  <c r="W153" i="1" s="1"/>
  <c r="Q153" i="1" a="1"/>
  <c r="Q153" i="1" s="1"/>
  <c r="K153" i="1" a="1"/>
  <c r="K153" i="1" s="1"/>
  <c r="W169" i="1" a="1"/>
  <c r="W169" i="1" s="1"/>
  <c r="V153" i="1" a="1"/>
  <c r="V153" i="1" s="1"/>
  <c r="P153" i="1" a="1"/>
  <c r="P153" i="1" s="1"/>
  <c r="J153" i="1" a="1"/>
  <c r="J153" i="1" s="1"/>
  <c r="W171" i="1" a="1"/>
  <c r="W171" i="1" s="1"/>
  <c r="T153" i="1" a="1"/>
  <c r="T153" i="1" s="1"/>
  <c r="H153" i="1" a="1"/>
  <c r="H153" i="1" s="1"/>
  <c r="W162" i="1" a="1"/>
  <c r="W162" i="1" s="1"/>
  <c r="S153" i="1" a="1"/>
  <c r="S153" i="1" s="1"/>
  <c r="G153" i="1" a="1"/>
  <c r="G153" i="1" s="1"/>
  <c r="Y153" i="1" a="1"/>
  <c r="Y153" i="1" s="1"/>
  <c r="M153" i="1" a="1"/>
  <c r="M153" i="1" s="1"/>
  <c r="Z153" i="1" a="1"/>
  <c r="Z153" i="1" s="1"/>
  <c r="N153" i="1" a="1"/>
  <c r="N153" i="1" s="1"/>
  <c r="Y221" i="1" a="1"/>
  <c r="Y221" i="1" s="1"/>
  <c r="T221" i="1" a="1"/>
  <c r="T221" i="1" s="1"/>
  <c r="M221" i="1" a="1"/>
  <c r="M221" i="1" s="1"/>
  <c r="H221" i="1" a="1"/>
  <c r="H221" i="1" s="1"/>
  <c r="Z221" i="1" a="1"/>
  <c r="Z221" i="1" s="1"/>
  <c r="S221" i="1" a="1"/>
  <c r="S221" i="1" s="1"/>
  <c r="N221" i="1" a="1"/>
  <c r="N221" i="1" s="1"/>
  <c r="G221" i="1" a="1"/>
  <c r="G221" i="1" s="1"/>
  <c r="W221" i="1" a="1"/>
  <c r="W221" i="1" s="1"/>
  <c r="P221" i="1" a="1"/>
  <c r="P221" i="1" s="1"/>
  <c r="V221" i="1" a="1"/>
  <c r="V221" i="1" s="1"/>
  <c r="J221" i="1" a="1"/>
  <c r="J221" i="1" s="1"/>
  <c r="K221" i="1" a="1"/>
  <c r="K221" i="1" s="1"/>
  <c r="Q221" i="1" a="1"/>
  <c r="Q221" i="1" s="1"/>
  <c r="Z110" i="1" a="1"/>
  <c r="Z110" i="1" s="1"/>
  <c r="W110" i="1" a="1"/>
  <c r="W110" i="1" s="1"/>
  <c r="T110" i="1" a="1"/>
  <c r="T110" i="1" s="1"/>
  <c r="K110" i="1" a="1"/>
  <c r="K110" i="1" s="1"/>
  <c r="W132" i="1" a="1"/>
  <c r="W132" i="1" s="1"/>
  <c r="W131" i="1" a="1"/>
  <c r="W131" i="1" s="1"/>
  <c r="V110" i="1" a="1"/>
  <c r="V110" i="1" s="1"/>
  <c r="P110" i="1" a="1"/>
  <c r="P110" i="1" s="1"/>
  <c r="J110" i="1" a="1"/>
  <c r="J110" i="1" s="1"/>
  <c r="Y110" i="1" a="1"/>
  <c r="Y110" i="1" s="1"/>
  <c r="S110" i="1" a="1"/>
  <c r="S110" i="1" s="1"/>
  <c r="M110" i="1" a="1"/>
  <c r="M110" i="1" s="1"/>
  <c r="G110" i="1" a="1"/>
  <c r="G110" i="1" s="1"/>
  <c r="U596" i="1"/>
  <c r="F597" i="1"/>
  <c r="F596" i="1"/>
  <c r="J596" i="1"/>
  <c r="Q597" i="1"/>
  <c r="Q596" i="1"/>
  <c r="Z498" i="1" a="1"/>
  <c r="Z498" i="1" s="1"/>
  <c r="S498" i="1" a="1"/>
  <c r="S498" i="1" s="1"/>
  <c r="N498" i="1" a="1"/>
  <c r="N498" i="1" s="1"/>
  <c r="G498" i="1" a="1"/>
  <c r="G498" i="1" s="1"/>
  <c r="V498" i="1" a="1"/>
  <c r="V498" i="1" s="1"/>
  <c r="Q498" i="1" a="1"/>
  <c r="Q498" i="1" s="1"/>
  <c r="J498" i="1" a="1"/>
  <c r="J498" i="1" s="1"/>
  <c r="K498" i="1" a="1"/>
  <c r="K498" i="1" s="1"/>
  <c r="Y498" i="1" a="1"/>
  <c r="Y498" i="1" s="1"/>
  <c r="H498" i="1" a="1"/>
  <c r="H498" i="1" s="1"/>
  <c r="T498" i="1" a="1"/>
  <c r="T498" i="1" s="1"/>
  <c r="P498" i="1" a="1"/>
  <c r="P498" i="1" s="1"/>
  <c r="M498" i="1" a="1"/>
  <c r="M498" i="1" s="1"/>
  <c r="W498" i="1" a="1"/>
  <c r="W498" i="1" s="1"/>
  <c r="W501" i="1" a="1"/>
  <c r="W501" i="1" s="1"/>
  <c r="P501" i="1" a="1"/>
  <c r="P501" i="1" s="1"/>
  <c r="K501" i="1" a="1"/>
  <c r="K501" i="1" s="1"/>
  <c r="Z501" i="1" a="1"/>
  <c r="Z501" i="1" s="1"/>
  <c r="S501" i="1" a="1"/>
  <c r="S501" i="1" s="1"/>
  <c r="N501" i="1" a="1"/>
  <c r="N501" i="1" s="1"/>
  <c r="G501" i="1" a="1"/>
  <c r="G501" i="1" s="1"/>
  <c r="Q501" i="1" a="1"/>
  <c r="Q501" i="1" s="1"/>
  <c r="J501" i="1" a="1"/>
  <c r="J501" i="1" s="1"/>
  <c r="Y501" i="1" a="1"/>
  <c r="Y501" i="1" s="1"/>
  <c r="H501" i="1" a="1"/>
  <c r="H501" i="1" s="1"/>
  <c r="M501" i="1" a="1"/>
  <c r="M501" i="1" s="1"/>
  <c r="V501" i="1" a="1"/>
  <c r="V501" i="1" s="1"/>
  <c r="T501" i="1" a="1"/>
  <c r="T501" i="1" s="1"/>
  <c r="Q346" i="1"/>
  <c r="Q347" i="1"/>
  <c r="Q341" i="1"/>
  <c r="Q342" i="1"/>
  <c r="Y263" i="1"/>
  <c r="W209" i="1" a="1"/>
  <c r="W209" i="1" s="1"/>
  <c r="Y185" i="1" a="1"/>
  <c r="Y185" i="1" s="1"/>
  <c r="W194" i="1" a="1"/>
  <c r="W194" i="1" s="1"/>
  <c r="Z185" i="1" a="1"/>
  <c r="Z185" i="1" s="1"/>
  <c r="W185" i="1" a="1"/>
  <c r="W185" i="1" s="1"/>
  <c r="Q185" i="1" a="1"/>
  <c r="Q185" i="1" s="1"/>
  <c r="K185" i="1" a="1"/>
  <c r="K185" i="1" s="1"/>
  <c r="V185" i="1" a="1"/>
  <c r="V185" i="1" s="1"/>
  <c r="P185" i="1" a="1"/>
  <c r="P185" i="1" s="1"/>
  <c r="J185" i="1" a="1"/>
  <c r="J185" i="1" s="1"/>
  <c r="S185" i="1" a="1"/>
  <c r="S185" i="1" s="1"/>
  <c r="G185" i="1" a="1"/>
  <c r="G185" i="1" s="1"/>
  <c r="N185" i="1" a="1"/>
  <c r="N185" i="1" s="1"/>
  <c r="T185" i="1" a="1"/>
  <c r="T185" i="1" s="1"/>
  <c r="H185" i="1" a="1"/>
  <c r="H185" i="1" s="1"/>
  <c r="M185" i="1" a="1"/>
  <c r="M185" i="1" s="1"/>
  <c r="Z186" i="1" a="1"/>
  <c r="Z186" i="1" s="1"/>
  <c r="S186" i="1" a="1"/>
  <c r="S186" i="1" s="1"/>
  <c r="N186" i="1" a="1"/>
  <c r="N186" i="1" s="1"/>
  <c r="G186" i="1" a="1"/>
  <c r="G186" i="1" s="1"/>
  <c r="Y186" i="1" a="1"/>
  <c r="Y186" i="1" s="1"/>
  <c r="T186" i="1" a="1"/>
  <c r="T186" i="1" s="1"/>
  <c r="M186" i="1" a="1"/>
  <c r="M186" i="1" s="1"/>
  <c r="H186" i="1" a="1"/>
  <c r="H186" i="1" s="1"/>
  <c r="K186" i="1" a="1"/>
  <c r="K186" i="1" s="1"/>
  <c r="Q186" i="1" a="1"/>
  <c r="Q186" i="1" s="1"/>
  <c r="J186" i="1" a="1"/>
  <c r="J186" i="1" s="1"/>
  <c r="W186" i="1" a="1"/>
  <c r="W186" i="1" s="1"/>
  <c r="P186" i="1" a="1"/>
  <c r="P186" i="1" s="1"/>
  <c r="V186" i="1" a="1"/>
  <c r="V186" i="1" s="1"/>
  <c r="Z112" i="1" a="1"/>
  <c r="Z112" i="1" s="1"/>
  <c r="W112" i="1" a="1"/>
  <c r="W112" i="1" s="1"/>
  <c r="T112" i="1" a="1"/>
  <c r="T112" i="1" s="1"/>
  <c r="Q112" i="1" a="1"/>
  <c r="Q112" i="1" s="1"/>
  <c r="N112" i="1" a="1"/>
  <c r="N112" i="1" s="1"/>
  <c r="K112" i="1" a="1"/>
  <c r="K112" i="1" s="1"/>
  <c r="H112" i="1" a="1"/>
  <c r="H112" i="1" s="1"/>
  <c r="W126" i="1" a="1"/>
  <c r="W126" i="1" s="1"/>
  <c r="V112" i="1" a="1"/>
  <c r="V112" i="1" s="1"/>
  <c r="W133" i="1" a="1"/>
  <c r="W133" i="1" s="1"/>
  <c r="Y112" i="1" a="1"/>
  <c r="Y112" i="1" s="1"/>
  <c r="S112" i="1" a="1"/>
  <c r="S112" i="1" s="1"/>
  <c r="M112" i="1" a="1"/>
  <c r="M112" i="1" s="1"/>
  <c r="G112" i="1" a="1"/>
  <c r="G112" i="1" s="1"/>
  <c r="P112" i="1" a="1"/>
  <c r="P112" i="1" s="1"/>
  <c r="J112" i="1" a="1"/>
  <c r="J112" i="1" s="1"/>
  <c r="W123" i="1" a="1"/>
  <c r="W123" i="1" s="1"/>
  <c r="W138" i="1" a="1"/>
  <c r="W138" i="1" s="1"/>
  <c r="Z109" i="1" a="1"/>
  <c r="Z109" i="1" s="1"/>
  <c r="W109" i="1" a="1"/>
  <c r="W109" i="1" s="1"/>
  <c r="T109" i="1" a="1"/>
  <c r="T109" i="1" s="1"/>
  <c r="Q109" i="1" a="1"/>
  <c r="Q109" i="1" s="1"/>
  <c r="N109" i="1" a="1"/>
  <c r="N109" i="1" s="1"/>
  <c r="Q140" i="1" s="1"/>
  <c r="K109" i="1" a="1"/>
  <c r="K109" i="1" s="1"/>
  <c r="H109" i="1" a="1"/>
  <c r="H109" i="1" s="1"/>
  <c r="Y109" i="1" a="1"/>
  <c r="Y109" i="1" s="1"/>
  <c r="S109" i="1" a="1"/>
  <c r="S109" i="1" s="1"/>
  <c r="M109" i="1" a="1"/>
  <c r="M109" i="1" s="1"/>
  <c r="G109" i="1" a="1"/>
  <c r="G109" i="1" s="1"/>
  <c r="V109" i="1" a="1"/>
  <c r="V109" i="1" s="1"/>
  <c r="P109" i="1" a="1"/>
  <c r="P109" i="1" s="1"/>
  <c r="J109" i="1" a="1"/>
  <c r="J109" i="1" s="1"/>
  <c r="Z119" i="1" a="1"/>
  <c r="Z119" i="1" s="1"/>
  <c r="W119" i="1" a="1"/>
  <c r="W119" i="1" s="1"/>
  <c r="T119" i="1" a="1"/>
  <c r="T119" i="1" s="1"/>
  <c r="Q119" i="1" a="1"/>
  <c r="Q119" i="1" s="1"/>
  <c r="N119" i="1" a="1"/>
  <c r="N119" i="1" s="1"/>
  <c r="K119" i="1" a="1"/>
  <c r="K119" i="1" s="1"/>
  <c r="H119" i="1" a="1"/>
  <c r="H119" i="1" s="1"/>
  <c r="V119" i="1" a="1"/>
  <c r="V119" i="1" s="1"/>
  <c r="P119" i="1" a="1"/>
  <c r="P119" i="1" s="1"/>
  <c r="J119" i="1" a="1"/>
  <c r="J119" i="1" s="1"/>
  <c r="Y119" i="1" a="1"/>
  <c r="Y119" i="1" s="1"/>
  <c r="S119" i="1" a="1"/>
  <c r="S119" i="1" s="1"/>
  <c r="M119" i="1" a="1"/>
  <c r="M119" i="1" s="1"/>
  <c r="G119" i="1" a="1"/>
  <c r="G119" i="1" s="1"/>
  <c r="Y78" i="1" a="1"/>
  <c r="Y78" i="1" s="1"/>
  <c r="Q78" i="1" a="1"/>
  <c r="Q78" i="1" s="1"/>
  <c r="M78" i="1" a="1"/>
  <c r="M78" i="1" s="1"/>
  <c r="T78" i="1" a="1"/>
  <c r="T78" i="1" s="1"/>
  <c r="P78" i="1" a="1"/>
  <c r="P78" i="1" s="1"/>
  <c r="H78" i="1" a="1"/>
  <c r="H78" i="1" s="1"/>
  <c r="Z78" i="1" a="1"/>
  <c r="Z78" i="1" s="1"/>
  <c r="V78" i="1" a="1"/>
  <c r="V78" i="1" s="1"/>
  <c r="N78" i="1" a="1"/>
  <c r="N78" i="1" s="1"/>
  <c r="J78" i="1" a="1"/>
  <c r="J78" i="1" s="1"/>
  <c r="W78" i="1" a="1"/>
  <c r="W78" i="1" s="1"/>
  <c r="S78" i="1" a="1"/>
  <c r="S78" i="1" s="1"/>
  <c r="K78" i="1" a="1"/>
  <c r="K78" i="1" s="1"/>
  <c r="G78" i="1" a="1"/>
  <c r="G78" i="1" s="1"/>
  <c r="W101" i="1" a="1"/>
  <c r="W101" i="1" s="1"/>
  <c r="Y83" i="1" a="1"/>
  <c r="Y83" i="1" s="1"/>
  <c r="V83" i="1" a="1"/>
  <c r="V83" i="1" s="1"/>
  <c r="S83" i="1" a="1"/>
  <c r="S83" i="1" s="1"/>
  <c r="P83" i="1" a="1"/>
  <c r="P83" i="1" s="1"/>
  <c r="M83" i="1" a="1"/>
  <c r="M83" i="1" s="1"/>
  <c r="J83" i="1" a="1"/>
  <c r="J83" i="1" s="1"/>
  <c r="G83" i="1" a="1"/>
  <c r="G83" i="1" s="1"/>
  <c r="W102" i="1" a="1"/>
  <c r="W102" i="1" s="1"/>
  <c r="W92" i="1" a="1"/>
  <c r="W92" i="1" s="1"/>
  <c r="Q83" i="1" a="1"/>
  <c r="Q83" i="1" s="1"/>
  <c r="T83" i="1" a="1"/>
  <c r="T83" i="1" s="1"/>
  <c r="H83" i="1" a="1"/>
  <c r="H83" i="1" s="1"/>
  <c r="W99" i="1" a="1"/>
  <c r="W99" i="1" s="1"/>
  <c r="Z83" i="1" a="1"/>
  <c r="Z83" i="1" s="1"/>
  <c r="N83" i="1" a="1"/>
  <c r="N83" i="1" s="1"/>
  <c r="W83" i="1" a="1"/>
  <c r="W83" i="1" s="1"/>
  <c r="K83" i="1" a="1"/>
  <c r="K83" i="1" s="1"/>
  <c r="Z75" i="1" a="1"/>
  <c r="Z75" i="1" s="1"/>
  <c r="W75" i="1" a="1"/>
  <c r="W75" i="1" s="1"/>
  <c r="T75" i="1" a="1"/>
  <c r="T75" i="1" s="1"/>
  <c r="K75" i="1" a="1"/>
  <c r="K75" i="1" s="1"/>
  <c r="W97" i="1" a="1"/>
  <c r="W97" i="1" s="1"/>
  <c r="W96" i="1" a="1"/>
  <c r="W96" i="1" s="1"/>
  <c r="P75" i="1" a="1"/>
  <c r="P75" i="1" s="1"/>
  <c r="Y75" i="1" a="1"/>
  <c r="Y75" i="1" s="1"/>
  <c r="M75" i="1" a="1"/>
  <c r="M75" i="1" s="1"/>
  <c r="S75" i="1" a="1"/>
  <c r="S75" i="1" s="1"/>
  <c r="G75" i="1" a="1"/>
  <c r="G75" i="1" s="1"/>
  <c r="V75" i="1" a="1"/>
  <c r="V75" i="1" s="1"/>
  <c r="J75" i="1" a="1"/>
  <c r="J75" i="1" s="1"/>
  <c r="Y265" i="1"/>
  <c r="B166" i="1" a="1"/>
  <c r="B166" i="1" s="1"/>
  <c r="B177" i="1" a="1"/>
  <c r="B177" i="1" s="1"/>
  <c r="Q100" i="1"/>
  <c r="F100" i="1"/>
  <c r="Q95" i="1"/>
  <c r="F95" i="1"/>
  <c r="Q75" i="1" a="1"/>
  <c r="Q75" i="1" s="1"/>
  <c r="W307" i="1" a="1"/>
  <c r="W307" i="1" s="1"/>
  <c r="Y285" i="1" a="1"/>
  <c r="Y285" i="1" s="1"/>
  <c r="V285" i="1" a="1"/>
  <c r="V285" i="1" s="1"/>
  <c r="S285" i="1" a="1"/>
  <c r="S285" i="1" s="1"/>
  <c r="P285" i="1" a="1"/>
  <c r="P285" i="1" s="1"/>
  <c r="M285" i="1" a="1"/>
  <c r="M285" i="1" s="1"/>
  <c r="J285" i="1" a="1"/>
  <c r="J285" i="1" s="1"/>
  <c r="G285" i="1" a="1"/>
  <c r="G285" i="1" s="1"/>
  <c r="W285" i="1" a="1"/>
  <c r="W285" i="1" s="1"/>
  <c r="K285" i="1" a="1"/>
  <c r="K285" i="1" s="1"/>
  <c r="Z285" i="1" a="1"/>
  <c r="Z285" i="1" s="1"/>
  <c r="W306" i="1" a="1"/>
  <c r="W306" i="1" s="1"/>
  <c r="T285" i="1" a="1"/>
  <c r="T285" i="1" s="1"/>
  <c r="Q285" i="1" a="1"/>
  <c r="Q285" i="1" s="1"/>
  <c r="Q301" i="1"/>
  <c r="V301" i="1" s="1"/>
  <c r="Q313" i="1"/>
  <c r="V313" i="1" s="1"/>
  <c r="Q314" i="1"/>
  <c r="V314" i="1" s="1"/>
  <c r="Q302" i="1"/>
  <c r="V302" i="1" s="1"/>
  <c r="Q298" i="1"/>
  <c r="V298" i="1" s="1"/>
  <c r="Q299" i="1"/>
  <c r="V299" i="1" s="1"/>
  <c r="Q308" i="1"/>
  <c r="V308" i="1" s="1"/>
  <c r="Q309" i="1"/>
  <c r="V309" i="1" s="1"/>
  <c r="W291" i="1" a="1"/>
  <c r="W291" i="1" s="1"/>
  <c r="Q291" i="1" a="1"/>
  <c r="Q291" i="1" s="1"/>
  <c r="K291" i="1" a="1"/>
  <c r="K291" i="1" s="1"/>
  <c r="Z291" i="1" a="1"/>
  <c r="Z291" i="1" s="1"/>
  <c r="T291" i="1" a="1"/>
  <c r="T291" i="1" s="1"/>
  <c r="N291" i="1" a="1"/>
  <c r="N291" i="1" s="1"/>
  <c r="H291" i="1" a="1"/>
  <c r="H291" i="1" s="1"/>
  <c r="P291" i="1" a="1"/>
  <c r="P291" i="1" s="1"/>
  <c r="Y291" i="1" a="1"/>
  <c r="Y291" i="1" s="1"/>
  <c r="M291" i="1" a="1"/>
  <c r="M291" i="1" s="1"/>
  <c r="V291" i="1" a="1"/>
  <c r="V291" i="1" s="1"/>
  <c r="J291" i="1" a="1"/>
  <c r="J291" i="1" s="1"/>
  <c r="G291" i="1" a="1"/>
  <c r="G291" i="1" s="1"/>
  <c r="S291" i="1" a="1"/>
  <c r="S291" i="1" s="1"/>
  <c r="W218" i="1" a="1"/>
  <c r="W218" i="1" s="1"/>
  <c r="P218" i="1" a="1"/>
  <c r="P218" i="1" s="1"/>
  <c r="K218" i="1" a="1"/>
  <c r="K218" i="1" s="1"/>
  <c r="V218" i="1" a="1"/>
  <c r="V218" i="1" s="1"/>
  <c r="Q218" i="1" a="1"/>
  <c r="Q218" i="1" s="1"/>
  <c r="J218" i="1" a="1"/>
  <c r="J218" i="1" s="1"/>
  <c r="Y218" i="1" a="1"/>
  <c r="Y218" i="1" s="1"/>
  <c r="H218" i="1" a="1"/>
  <c r="H218" i="1" s="1"/>
  <c r="N218" i="1" a="1"/>
  <c r="N218" i="1" s="1"/>
  <c r="G218" i="1" a="1"/>
  <c r="G218" i="1" s="1"/>
  <c r="Z218" i="1" a="1"/>
  <c r="Z218" i="1" s="1"/>
  <c r="T218" i="1" a="1"/>
  <c r="T218" i="1" s="1"/>
  <c r="M218" i="1" a="1"/>
  <c r="M218" i="1" s="1"/>
  <c r="S218" i="1" a="1"/>
  <c r="S218" i="1" s="1"/>
  <c r="W244" i="1" a="1"/>
  <c r="W244" i="1" s="1"/>
  <c r="Y220" i="1" a="1"/>
  <c r="Y220" i="1" s="1"/>
  <c r="V220" i="1" a="1"/>
  <c r="V220" i="1" s="1"/>
  <c r="S220" i="1" a="1"/>
  <c r="S220" i="1" s="1"/>
  <c r="P220" i="1" a="1"/>
  <c r="P220" i="1" s="1"/>
  <c r="M220" i="1" a="1"/>
  <c r="M220" i="1" s="1"/>
  <c r="J220" i="1" a="1"/>
  <c r="J220" i="1" s="1"/>
  <c r="G220" i="1" a="1"/>
  <c r="G220" i="1" s="1"/>
  <c r="W229" i="1" a="1"/>
  <c r="W229" i="1" s="1"/>
  <c r="Z220" i="1" a="1"/>
  <c r="Z220" i="1" s="1"/>
  <c r="N220" i="1" a="1"/>
  <c r="N220" i="1" s="1"/>
  <c r="T220" i="1" a="1"/>
  <c r="T220" i="1" s="1"/>
  <c r="H220" i="1" a="1"/>
  <c r="H220" i="1" s="1"/>
  <c r="K220" i="1" a="1"/>
  <c r="K220" i="1" s="1"/>
  <c r="Q220" i="1" a="1"/>
  <c r="Q220" i="1" s="1"/>
  <c r="W220" i="1" a="1"/>
  <c r="W220" i="1" s="1"/>
  <c r="Q231" i="1"/>
  <c r="V231" i="1" s="1"/>
  <c r="Q244" i="1"/>
  <c r="V244" i="1" s="1"/>
  <c r="Q239" i="1"/>
  <c r="V239" i="1" s="1"/>
  <c r="Q228" i="1"/>
  <c r="V228" i="1" s="1"/>
  <c r="Q238" i="1"/>
  <c r="V238" i="1" s="1"/>
  <c r="Q232" i="1"/>
  <c r="V232" i="1" s="1"/>
  <c r="Q229" i="1"/>
  <c r="V229" i="1" s="1"/>
  <c r="S229" i="1" s="1"/>
  <c r="Q243" i="1"/>
  <c r="V243" i="1" s="1"/>
  <c r="Q230" i="1"/>
  <c r="F227" i="1"/>
  <c r="F230" i="1"/>
  <c r="Q227" i="1"/>
  <c r="B107" i="1" a="1"/>
  <c r="B107" i="1" s="1"/>
  <c r="B96" i="1" a="1"/>
  <c r="B96" i="1" s="1"/>
  <c r="V27" i="1"/>
  <c r="S27" i="1" s="1"/>
  <c r="V26" i="1"/>
  <c r="S26" i="1" s="1"/>
  <c r="F590" i="1"/>
  <c r="Q585" i="1"/>
  <c r="Q590" i="1"/>
  <c r="F585" i="1"/>
  <c r="W524" i="1" a="1"/>
  <c r="W524" i="1" s="1"/>
  <c r="Y500" i="1" a="1"/>
  <c r="Y500" i="1" s="1"/>
  <c r="V500" i="1" a="1"/>
  <c r="V500" i="1" s="1"/>
  <c r="S500" i="1" a="1"/>
  <c r="S500" i="1" s="1"/>
  <c r="P500" i="1" a="1"/>
  <c r="P500" i="1" s="1"/>
  <c r="M500" i="1" a="1"/>
  <c r="M500" i="1" s="1"/>
  <c r="J500" i="1" a="1"/>
  <c r="J500" i="1" s="1"/>
  <c r="G500" i="1" a="1"/>
  <c r="G500" i="1" s="1"/>
  <c r="Q500" i="1" a="1"/>
  <c r="Q500" i="1" s="1"/>
  <c r="T500" i="1" a="1"/>
  <c r="T500" i="1" s="1"/>
  <c r="H500" i="1" a="1"/>
  <c r="H500" i="1" s="1"/>
  <c r="W500" i="1" a="1"/>
  <c r="W500" i="1" s="1"/>
  <c r="N500" i="1" a="1"/>
  <c r="N500" i="1" s="1"/>
  <c r="W509" i="1" a="1"/>
  <c r="W509" i="1" s="1"/>
  <c r="K500" i="1" a="1"/>
  <c r="K500" i="1" s="1"/>
  <c r="Z500" i="1" a="1"/>
  <c r="Z500" i="1" s="1"/>
  <c r="Z497" i="1" a="1"/>
  <c r="Z497" i="1" s="1"/>
  <c r="V497" i="1" a="1"/>
  <c r="V497" i="1" s="1"/>
  <c r="N497" i="1" a="1"/>
  <c r="N497" i="1" s="1"/>
  <c r="J497" i="1" a="1"/>
  <c r="J497" i="1" s="1"/>
  <c r="W511" i="1" a="1"/>
  <c r="W511" i="1" s="1"/>
  <c r="Y497" i="1" a="1"/>
  <c r="Y497" i="1" s="1"/>
  <c r="Q497" i="1" a="1"/>
  <c r="Q497" i="1" s="1"/>
  <c r="M497" i="1" a="1"/>
  <c r="M497" i="1" s="1"/>
  <c r="T497" i="1" a="1"/>
  <c r="T497" i="1" s="1"/>
  <c r="S497" i="1" a="1"/>
  <c r="S497" i="1" s="1"/>
  <c r="K497" i="1" a="1"/>
  <c r="K497" i="1" s="1"/>
  <c r="H497" i="1" a="1"/>
  <c r="H497" i="1" s="1"/>
  <c r="W518" i="1" a="1"/>
  <c r="W518" i="1" s="1"/>
  <c r="W497" i="1" a="1"/>
  <c r="W497" i="1" s="1"/>
  <c r="G497" i="1" a="1"/>
  <c r="G497" i="1" s="1"/>
  <c r="P497" i="1" a="1"/>
  <c r="P497" i="1" s="1"/>
  <c r="W482" i="1" a="1"/>
  <c r="W482" i="1" s="1"/>
  <c r="W481" i="1" a="1"/>
  <c r="W481" i="1" s="1"/>
  <c r="Z460" i="1" a="1"/>
  <c r="Z460" i="1" s="1"/>
  <c r="W460" i="1" a="1"/>
  <c r="W460" i="1" s="1"/>
  <c r="T460" i="1" a="1"/>
  <c r="T460" i="1" s="1"/>
  <c r="K460" i="1" a="1"/>
  <c r="K460" i="1" s="1"/>
  <c r="V460" i="1" a="1"/>
  <c r="V460" i="1" s="1"/>
  <c r="P460" i="1" a="1"/>
  <c r="P460" i="1" s="1"/>
  <c r="J460" i="1" a="1"/>
  <c r="J460" i="1" s="1"/>
  <c r="Y460" i="1" a="1"/>
  <c r="Y460" i="1" s="1"/>
  <c r="S460" i="1" a="1"/>
  <c r="S460" i="1" s="1"/>
  <c r="M460" i="1" a="1"/>
  <c r="M460" i="1" s="1"/>
  <c r="G460" i="1" a="1"/>
  <c r="G460" i="1" s="1"/>
  <c r="Q451" i="1"/>
  <c r="Q452" i="1"/>
  <c r="Q447" i="1"/>
  <c r="Q446" i="1"/>
  <c r="B457" i="1" a="1"/>
  <c r="B457" i="1" s="1"/>
  <c r="B446" i="1" a="1"/>
  <c r="B446" i="1" s="1"/>
  <c r="Y539" i="1" a="1"/>
  <c r="Y539" i="1" s="1"/>
  <c r="V539" i="1" a="1"/>
  <c r="V539" i="1" s="1"/>
  <c r="S539" i="1" a="1"/>
  <c r="S539" i="1" s="1"/>
  <c r="P539" i="1" a="1"/>
  <c r="P539" i="1" s="1"/>
  <c r="M539" i="1" a="1"/>
  <c r="M539" i="1" s="1"/>
  <c r="J539" i="1" a="1"/>
  <c r="J539" i="1" s="1"/>
  <c r="G539" i="1" a="1"/>
  <c r="G539" i="1" s="1"/>
  <c r="W539" i="1" a="1"/>
  <c r="W539" i="1" s="1"/>
  <c r="Q539" i="1" a="1"/>
  <c r="Q539" i="1" s="1"/>
  <c r="K539" i="1" a="1"/>
  <c r="K539" i="1" s="1"/>
  <c r="Z539" i="1" a="1"/>
  <c r="Z539" i="1" s="1"/>
  <c r="N539" i="1" a="1"/>
  <c r="N539" i="1" s="1"/>
  <c r="T539" i="1" a="1"/>
  <c r="T539" i="1" s="1"/>
  <c r="H539" i="1" a="1"/>
  <c r="H539" i="1" s="1"/>
  <c r="W559" i="1" a="1"/>
  <c r="W559" i="1" s="1"/>
  <c r="W535" i="1" a="1"/>
  <c r="W535" i="1" s="1"/>
  <c r="P535" i="1" a="1"/>
  <c r="P535" i="1" s="1"/>
  <c r="K535" i="1" a="1"/>
  <c r="K535" i="1" s="1"/>
  <c r="Z535" i="1" a="1"/>
  <c r="Z535" i="1" s="1"/>
  <c r="S535" i="1" a="1"/>
  <c r="S535" i="1" s="1"/>
  <c r="N535" i="1" a="1"/>
  <c r="N535" i="1" s="1"/>
  <c r="G535" i="1" a="1"/>
  <c r="G535" i="1" s="1"/>
  <c r="Y535" i="1" a="1"/>
  <c r="Y535" i="1" s="1"/>
  <c r="H535" i="1" a="1"/>
  <c r="H535" i="1" s="1"/>
  <c r="V535" i="1" a="1"/>
  <c r="V535" i="1" s="1"/>
  <c r="T535" i="1" a="1"/>
  <c r="T535" i="1" s="1"/>
  <c r="Q535" i="1" a="1"/>
  <c r="Q535" i="1" s="1"/>
  <c r="W544" i="1" a="1"/>
  <c r="W544" i="1" s="1"/>
  <c r="M535" i="1" a="1"/>
  <c r="M535" i="1" s="1"/>
  <c r="J535" i="1" a="1"/>
  <c r="J535" i="1" s="1"/>
  <c r="W406" i="1" a="1"/>
  <c r="W406" i="1" s="1"/>
  <c r="Y392" i="1" a="1"/>
  <c r="Y392" i="1" s="1"/>
  <c r="V392" i="1" a="1"/>
  <c r="V392" i="1" s="1"/>
  <c r="S392" i="1" a="1"/>
  <c r="S392" i="1" s="1"/>
  <c r="P392" i="1" a="1"/>
  <c r="P392" i="1" s="1"/>
  <c r="M392" i="1" a="1"/>
  <c r="M392" i="1" s="1"/>
  <c r="J392" i="1" a="1"/>
  <c r="J392" i="1" s="1"/>
  <c r="G392" i="1" a="1"/>
  <c r="G392" i="1" s="1"/>
  <c r="W413" i="1" a="1"/>
  <c r="W413" i="1" s="1"/>
  <c r="W392" i="1" a="1"/>
  <c r="W392" i="1" s="1"/>
  <c r="Q392" i="1" a="1"/>
  <c r="Q392" i="1" s="1"/>
  <c r="K392" i="1" a="1"/>
  <c r="K392" i="1" s="1"/>
  <c r="Z392" i="1" a="1"/>
  <c r="Z392" i="1" s="1"/>
  <c r="N392" i="1" a="1"/>
  <c r="N392" i="1" s="1"/>
  <c r="T392" i="1" a="1"/>
  <c r="T392" i="1" s="1"/>
  <c r="H392" i="1" a="1"/>
  <c r="H392" i="1" s="1"/>
  <c r="Y389" i="1" a="1"/>
  <c r="Y389" i="1" s="1"/>
  <c r="V389" i="1" a="1"/>
  <c r="V389" i="1" s="1"/>
  <c r="S389" i="1" a="1"/>
  <c r="S389" i="1" s="1"/>
  <c r="P389" i="1" a="1"/>
  <c r="P389" i="1" s="1"/>
  <c r="M389" i="1" a="1"/>
  <c r="M389" i="1" s="1"/>
  <c r="J389" i="1" a="1"/>
  <c r="J389" i="1" s="1"/>
  <c r="G389" i="1" a="1"/>
  <c r="G389" i="1" s="1"/>
  <c r="W403" i="1" a="1"/>
  <c r="W403" i="1" s="1"/>
  <c r="Z389" i="1" a="1"/>
  <c r="Z389" i="1" s="1"/>
  <c r="T389" i="1" a="1"/>
  <c r="T389" i="1" s="1"/>
  <c r="N389" i="1" a="1"/>
  <c r="N389" i="1" s="1"/>
  <c r="Q420" i="1" s="1"/>
  <c r="H389" i="1" a="1"/>
  <c r="H389" i="1" s="1"/>
  <c r="Q389" i="1" a="1"/>
  <c r="Q389" i="1" s="1"/>
  <c r="K389" i="1" a="1"/>
  <c r="K389" i="1" s="1"/>
  <c r="W389" i="1" a="1"/>
  <c r="W389" i="1" s="1"/>
  <c r="W418" i="1" a="1"/>
  <c r="W418" i="1" s="1"/>
  <c r="Z399" i="1" a="1"/>
  <c r="Z399" i="1" s="1"/>
  <c r="W399" i="1" a="1"/>
  <c r="W399" i="1" s="1"/>
  <c r="T399" i="1" a="1"/>
  <c r="T399" i="1" s="1"/>
  <c r="Q399" i="1" a="1"/>
  <c r="Q399" i="1" s="1"/>
  <c r="N399" i="1" a="1"/>
  <c r="N399" i="1" s="1"/>
  <c r="K399" i="1" a="1"/>
  <c r="K399" i="1" s="1"/>
  <c r="H399" i="1" a="1"/>
  <c r="H399" i="1" s="1"/>
  <c r="Y399" i="1" a="1"/>
  <c r="Y399" i="1" s="1"/>
  <c r="S399" i="1" a="1"/>
  <c r="S399" i="1" s="1"/>
  <c r="M399" i="1" a="1"/>
  <c r="M399" i="1" s="1"/>
  <c r="G399" i="1" a="1"/>
  <c r="G399" i="1" s="1"/>
  <c r="V399" i="1" a="1"/>
  <c r="V399" i="1" s="1"/>
  <c r="J399" i="1" a="1"/>
  <c r="J399" i="1" s="1"/>
  <c r="P399" i="1" a="1"/>
  <c r="P399" i="1" s="1"/>
  <c r="Z361" i="1" a="1"/>
  <c r="Z361" i="1" s="1"/>
  <c r="W361" i="1" a="1"/>
  <c r="W361" i="1" s="1"/>
  <c r="T361" i="1" a="1"/>
  <c r="T361" i="1" s="1"/>
  <c r="Q361" i="1" a="1"/>
  <c r="Q361" i="1" s="1"/>
  <c r="N361" i="1" a="1"/>
  <c r="N361" i="1" s="1"/>
  <c r="K361" i="1" a="1"/>
  <c r="K361" i="1" s="1"/>
  <c r="H361" i="1" a="1"/>
  <c r="H361" i="1" s="1"/>
  <c r="V361" i="1" a="1"/>
  <c r="V361" i="1" s="1"/>
  <c r="P361" i="1" a="1"/>
  <c r="P361" i="1" s="1"/>
  <c r="J361" i="1" a="1"/>
  <c r="J361" i="1" s="1"/>
  <c r="Y361" i="1" a="1"/>
  <c r="Y361" i="1" s="1"/>
  <c r="M361" i="1" a="1"/>
  <c r="M361" i="1" s="1"/>
  <c r="S361" i="1" a="1"/>
  <c r="S361" i="1" s="1"/>
  <c r="G361" i="1" a="1"/>
  <c r="G361" i="1" s="1"/>
  <c r="Q369" i="1"/>
  <c r="V369" i="1" s="1"/>
  <c r="Q368" i="1"/>
  <c r="V368" i="1" s="1"/>
  <c r="Q378" i="1"/>
  <c r="V378" i="1" s="1"/>
  <c r="Q383" i="1"/>
  <c r="V383" i="1" s="1"/>
  <c r="Q371" i="1"/>
  <c r="V371" i="1" s="1"/>
  <c r="Q379" i="1"/>
  <c r="V379" i="1" s="1"/>
  <c r="Q372" i="1"/>
  <c r="V372" i="1" s="1"/>
  <c r="Q384" i="1"/>
  <c r="V384" i="1" s="1"/>
  <c r="Q266" i="1"/>
  <c r="V266" i="1" s="1"/>
  <c r="Q273" i="1"/>
  <c r="V273" i="1" s="1"/>
  <c r="Q267" i="1"/>
  <c r="V267" i="1" s="1"/>
  <c r="S267" i="1" s="1"/>
  <c r="Q264" i="1"/>
  <c r="V264" i="1" s="1"/>
  <c r="S264" i="1" s="1"/>
  <c r="Q279" i="1"/>
  <c r="V279" i="1" s="1"/>
  <c r="S279" i="1" s="1"/>
  <c r="Q274" i="1"/>
  <c r="V274" i="1" s="1"/>
  <c r="Q263" i="1"/>
  <c r="V263" i="1" s="1"/>
  <c r="S263" i="1" s="1"/>
  <c r="Q278" i="1"/>
  <c r="V278" i="1" s="1"/>
  <c r="S278" i="1" s="1"/>
  <c r="Q265" i="1"/>
  <c r="F262" i="1"/>
  <c r="F265" i="1"/>
  <c r="Q262" i="1"/>
  <c r="Z323" i="1" a="1"/>
  <c r="Z323" i="1" s="1"/>
  <c r="S323" i="1" a="1"/>
  <c r="S323" i="1" s="1"/>
  <c r="N323" i="1" a="1"/>
  <c r="N323" i="1" s="1"/>
  <c r="G323" i="1" a="1"/>
  <c r="G323" i="1" s="1"/>
  <c r="Y323" i="1" a="1"/>
  <c r="Y323" i="1" s="1"/>
  <c r="T323" i="1" a="1"/>
  <c r="T323" i="1" s="1"/>
  <c r="M323" i="1" a="1"/>
  <c r="M323" i="1" s="1"/>
  <c r="H323" i="1" a="1"/>
  <c r="H323" i="1" s="1"/>
  <c r="K323" i="1" a="1"/>
  <c r="K323" i="1" s="1"/>
  <c r="Q323" i="1" a="1"/>
  <c r="Q323" i="1" s="1"/>
  <c r="J323" i="1" a="1"/>
  <c r="J323" i="1" s="1"/>
  <c r="W323" i="1" a="1"/>
  <c r="W323" i="1" s="1"/>
  <c r="P323" i="1" a="1"/>
  <c r="P323" i="1" s="1"/>
  <c r="V323" i="1" a="1"/>
  <c r="V323" i="1" s="1"/>
  <c r="Q336" i="1"/>
  <c r="V336" i="1" s="1"/>
  <c r="Q334" i="1"/>
  <c r="V334" i="1" s="1"/>
  <c r="Q333" i="1"/>
  <c r="V333" i="1" s="1"/>
  <c r="Q348" i="1"/>
  <c r="V348" i="1" s="1"/>
  <c r="Q344" i="1"/>
  <c r="V344" i="1" s="1"/>
  <c r="Q349" i="1"/>
  <c r="V349" i="1" s="1"/>
  <c r="Q343" i="1"/>
  <c r="V343" i="1" s="1"/>
  <c r="Q337" i="1"/>
  <c r="V337" i="1" s="1"/>
  <c r="W326" i="1" a="1"/>
  <c r="W326" i="1" s="1"/>
  <c r="P326" i="1" a="1"/>
  <c r="P326" i="1" s="1"/>
  <c r="K326" i="1" a="1"/>
  <c r="K326" i="1" s="1"/>
  <c r="Z326" i="1" a="1"/>
  <c r="Z326" i="1" s="1"/>
  <c r="S326" i="1" a="1"/>
  <c r="S326" i="1" s="1"/>
  <c r="N326" i="1" a="1"/>
  <c r="N326" i="1" s="1"/>
  <c r="G326" i="1" a="1"/>
  <c r="G326" i="1" s="1"/>
  <c r="V326" i="1" a="1"/>
  <c r="V326" i="1" s="1"/>
  <c r="Q326" i="1" a="1"/>
  <c r="Q326" i="1" s="1"/>
  <c r="J326" i="1" a="1"/>
  <c r="J326" i="1" s="1"/>
  <c r="M326" i="1" a="1"/>
  <c r="M326" i="1" s="1"/>
  <c r="Y326" i="1" a="1"/>
  <c r="Y326" i="1" s="1"/>
  <c r="H326" i="1" a="1"/>
  <c r="H326" i="1" s="1"/>
  <c r="T326" i="1" a="1"/>
  <c r="T326" i="1" s="1"/>
  <c r="Y189" i="1" a="1"/>
  <c r="Y189" i="1" s="1"/>
  <c r="V189" i="1" a="1"/>
  <c r="V189" i="1" s="1"/>
  <c r="S189" i="1" a="1"/>
  <c r="S189" i="1" s="1"/>
  <c r="P189" i="1" a="1"/>
  <c r="P189" i="1" s="1"/>
  <c r="M189" i="1" a="1"/>
  <c r="M189" i="1" s="1"/>
  <c r="J189" i="1" a="1"/>
  <c r="J189" i="1" s="1"/>
  <c r="G189" i="1" a="1"/>
  <c r="G189" i="1" s="1"/>
  <c r="Z189" i="1" a="1"/>
  <c r="Z189" i="1" s="1"/>
  <c r="N189" i="1" a="1"/>
  <c r="N189" i="1" s="1"/>
  <c r="T189" i="1" a="1"/>
  <c r="T189" i="1" s="1"/>
  <c r="H189" i="1" a="1"/>
  <c r="H189" i="1" s="1"/>
  <c r="K189" i="1" a="1"/>
  <c r="K189" i="1" s="1"/>
  <c r="W189" i="1" a="1"/>
  <c r="W189" i="1" s="1"/>
  <c r="Q189" i="1" a="1"/>
  <c r="Q189" i="1" s="1"/>
  <c r="Z183" i="1" a="1"/>
  <c r="Z183" i="1" s="1"/>
  <c r="W183" i="1" a="1"/>
  <c r="W183" i="1" s="1"/>
  <c r="T183" i="1" a="1"/>
  <c r="T183" i="1" s="1"/>
  <c r="Q183" i="1" a="1"/>
  <c r="Q183" i="1" s="1"/>
  <c r="N183" i="1" a="1"/>
  <c r="N183" i="1" s="1"/>
  <c r="K183" i="1" a="1"/>
  <c r="K183" i="1" s="1"/>
  <c r="H183" i="1" a="1"/>
  <c r="H183" i="1" s="1"/>
  <c r="Y183" i="1" a="1"/>
  <c r="Y183" i="1" s="1"/>
  <c r="V183" i="1" a="1"/>
  <c r="V183" i="1" s="1"/>
  <c r="S183" i="1" a="1"/>
  <c r="S183" i="1" s="1"/>
  <c r="P183" i="1" a="1"/>
  <c r="P183" i="1" s="1"/>
  <c r="M183" i="1" a="1"/>
  <c r="M183" i="1" s="1"/>
  <c r="J183" i="1" a="1"/>
  <c r="J183" i="1" s="1"/>
  <c r="G183" i="1" a="1"/>
  <c r="G183" i="1" s="1"/>
  <c r="Y116" i="1" a="1"/>
  <c r="Y116" i="1" s="1"/>
  <c r="V116" i="1" a="1"/>
  <c r="V116" i="1" s="1"/>
  <c r="S116" i="1" a="1"/>
  <c r="S116" i="1" s="1"/>
  <c r="P116" i="1" a="1"/>
  <c r="P116" i="1" s="1"/>
  <c r="M116" i="1" a="1"/>
  <c r="M116" i="1" s="1"/>
  <c r="J116" i="1" a="1"/>
  <c r="J116" i="1" s="1"/>
  <c r="G116" i="1" a="1"/>
  <c r="G116" i="1" s="1"/>
  <c r="W116" i="1" a="1"/>
  <c r="W116" i="1" s="1"/>
  <c r="Q116" i="1" a="1"/>
  <c r="Q116" i="1" s="1"/>
  <c r="K116" i="1" a="1"/>
  <c r="K116" i="1" s="1"/>
  <c r="Z116" i="1" a="1"/>
  <c r="Z116" i="1" s="1"/>
  <c r="T116" i="1" a="1"/>
  <c r="T116" i="1" s="1"/>
  <c r="N116" i="1" a="1"/>
  <c r="N116" i="1" s="1"/>
  <c r="H116" i="1" a="1"/>
  <c r="H116" i="1" s="1"/>
  <c r="W124" i="1" a="1"/>
  <c r="W124" i="1" s="1"/>
  <c r="Z115" i="1" a="1"/>
  <c r="Z115" i="1" s="1"/>
  <c r="W115" i="1" a="1"/>
  <c r="W115" i="1" s="1"/>
  <c r="T115" i="1" a="1"/>
  <c r="T115" i="1" s="1"/>
  <c r="Q115" i="1" a="1"/>
  <c r="Q115" i="1" s="1"/>
  <c r="N115" i="1" a="1"/>
  <c r="N115" i="1" s="1"/>
  <c r="K115" i="1" a="1"/>
  <c r="K115" i="1" s="1"/>
  <c r="H115" i="1" a="1"/>
  <c r="H115" i="1" s="1"/>
  <c r="V115" i="1" a="1"/>
  <c r="V115" i="1" s="1"/>
  <c r="P115" i="1" a="1"/>
  <c r="P115" i="1" s="1"/>
  <c r="J115" i="1" a="1"/>
  <c r="J115" i="1" s="1"/>
  <c r="W139" i="1" a="1"/>
  <c r="W139" i="1" s="1"/>
  <c r="Y115" i="1" a="1"/>
  <c r="Y115" i="1" s="1"/>
  <c r="S115" i="1" a="1"/>
  <c r="S115" i="1" s="1"/>
  <c r="M115" i="1" a="1"/>
  <c r="M115" i="1" s="1"/>
  <c r="G115" i="1" a="1"/>
  <c r="G115" i="1" s="1"/>
  <c r="W88" i="1" a="1"/>
  <c r="W88" i="1" s="1"/>
  <c r="Y74" i="1" a="1"/>
  <c r="Y74" i="1" s="1"/>
  <c r="V74" i="1" a="1"/>
  <c r="V74" i="1" s="1"/>
  <c r="S74" i="1" a="1"/>
  <c r="S74" i="1" s="1"/>
  <c r="P74" i="1" a="1"/>
  <c r="P74" i="1" s="1"/>
  <c r="M74" i="1" a="1"/>
  <c r="M74" i="1" s="1"/>
  <c r="J74" i="1" a="1"/>
  <c r="J74" i="1" s="1"/>
  <c r="G74" i="1" a="1"/>
  <c r="G74" i="1" s="1"/>
  <c r="W74" i="1" a="1"/>
  <c r="W74" i="1" s="1"/>
  <c r="T74" i="1" a="1"/>
  <c r="T74" i="1" s="1"/>
  <c r="Q74" i="1" a="1"/>
  <c r="Q74" i="1" s="1"/>
  <c r="N74" i="1" a="1"/>
  <c r="N74" i="1" s="1"/>
  <c r="Q105" i="1" s="1"/>
  <c r="K74" i="1" a="1"/>
  <c r="K74" i="1" s="1"/>
  <c r="H74" i="1" a="1"/>
  <c r="H74" i="1" s="1"/>
  <c r="W103" i="1" a="1"/>
  <c r="W103" i="1" s="1"/>
  <c r="Z74" i="1" a="1"/>
  <c r="Z74" i="1" s="1"/>
  <c r="Q30" i="1"/>
  <c r="F30" i="1"/>
  <c r="F25" i="1"/>
  <c r="Q25" i="1"/>
  <c r="Y205" i="1"/>
  <c r="Q171" i="1"/>
  <c r="Q172" i="1"/>
  <c r="Q167" i="1"/>
  <c r="Q166" i="1"/>
  <c r="Q102" i="1"/>
  <c r="Q97" i="1"/>
  <c r="Q96" i="1"/>
  <c r="Q101" i="1"/>
  <c r="W309" i="1" a="1"/>
  <c r="W309" i="1" s="1"/>
  <c r="W302" i="1" a="1"/>
  <c r="W302" i="1" s="1"/>
  <c r="W312" i="1" a="1"/>
  <c r="W312" i="1" s="1"/>
  <c r="Z293" i="1" a="1"/>
  <c r="Z293" i="1" s="1"/>
  <c r="W293" i="1" a="1"/>
  <c r="W293" i="1" s="1"/>
  <c r="T293" i="1" a="1"/>
  <c r="T293" i="1" s="1"/>
  <c r="Q293" i="1" a="1"/>
  <c r="Q293" i="1" s="1"/>
  <c r="N293" i="1" a="1"/>
  <c r="N293" i="1" s="1"/>
  <c r="K293" i="1" a="1"/>
  <c r="K293" i="1" s="1"/>
  <c r="H293" i="1" a="1"/>
  <c r="H293" i="1" s="1"/>
  <c r="W311" i="1" a="1"/>
  <c r="W311" i="1" s="1"/>
  <c r="Y293" i="1" a="1"/>
  <c r="Y293" i="1" s="1"/>
  <c r="V293" i="1" a="1"/>
  <c r="V293" i="1" s="1"/>
  <c r="S293" i="1" a="1"/>
  <c r="S293" i="1" s="1"/>
  <c r="P293" i="1" a="1"/>
  <c r="P293" i="1" s="1"/>
  <c r="M293" i="1" a="1"/>
  <c r="M293" i="1" s="1"/>
  <c r="J293" i="1" a="1"/>
  <c r="J293" i="1" s="1"/>
  <c r="G293" i="1" a="1"/>
  <c r="G293" i="1" s="1"/>
  <c r="Y294" i="1" a="1"/>
  <c r="Y294" i="1" s="1"/>
  <c r="V294" i="1" a="1"/>
  <c r="V294" i="1" s="1"/>
  <c r="S294" i="1" a="1"/>
  <c r="S294" i="1" s="1"/>
  <c r="P294" i="1" a="1"/>
  <c r="P294" i="1" s="1"/>
  <c r="M294" i="1" a="1"/>
  <c r="M294" i="1" s="1"/>
  <c r="J294" i="1" a="1"/>
  <c r="J294" i="1" s="1"/>
  <c r="G294" i="1" a="1"/>
  <c r="G294" i="1" s="1"/>
  <c r="Z294" i="1" a="1"/>
  <c r="Z294" i="1" s="1"/>
  <c r="W294" i="1" a="1"/>
  <c r="W294" i="1" s="1"/>
  <c r="T294" i="1" a="1"/>
  <c r="T294" i="1" s="1"/>
  <c r="Q294" i="1" a="1"/>
  <c r="Q294" i="1" s="1"/>
  <c r="N294" i="1" a="1"/>
  <c r="N294" i="1" s="1"/>
  <c r="K294" i="1" a="1"/>
  <c r="K294" i="1" s="1"/>
  <c r="H294" i="1" a="1"/>
  <c r="H294" i="1" s="1"/>
  <c r="W287" i="1" a="1"/>
  <c r="W287" i="1" s="1"/>
  <c r="S287" i="1" a="1"/>
  <c r="S287" i="1" s="1"/>
  <c r="K287" i="1" a="1"/>
  <c r="K287" i="1" s="1"/>
  <c r="G287" i="1" a="1"/>
  <c r="G287" i="1" s="1"/>
  <c r="W308" i="1" a="1"/>
  <c r="W308" i="1" s="1"/>
  <c r="W301" i="1" a="1"/>
  <c r="W301" i="1" s="1"/>
  <c r="Y287" i="1" a="1"/>
  <c r="Y287" i="1" s="1"/>
  <c r="Q287" i="1" a="1"/>
  <c r="Q287" i="1" s="1"/>
  <c r="M287" i="1" a="1"/>
  <c r="M287" i="1" s="1"/>
  <c r="T287" i="1" a="1"/>
  <c r="T287" i="1" s="1"/>
  <c r="Z287" i="1" a="1"/>
  <c r="Z287" i="1" s="1"/>
  <c r="J287" i="1" a="1"/>
  <c r="J287" i="1" s="1"/>
  <c r="P287" i="1" a="1"/>
  <c r="P287" i="1" s="1"/>
  <c r="H287" i="1" a="1"/>
  <c r="H287" i="1" s="1"/>
  <c r="V287" i="1" a="1"/>
  <c r="V287" i="1" s="1"/>
  <c r="N287" i="1" a="1"/>
  <c r="N287" i="1" s="1"/>
  <c r="F20" i="1"/>
  <c r="Q17" i="1"/>
  <c r="Q20" i="1"/>
  <c r="F17" i="1"/>
  <c r="V62" i="1"/>
  <c r="S62" i="1" s="1"/>
  <c r="V61" i="1"/>
  <c r="S61" i="1" s="1"/>
  <c r="V31" i="1"/>
  <c r="S31" i="1" s="1"/>
  <c r="V32" i="1"/>
  <c r="S32" i="1" s="1"/>
  <c r="W588" i="1" a="1"/>
  <c r="W588" i="1" s="1"/>
  <c r="Z567" i="1" a="1"/>
  <c r="Z567" i="1" s="1"/>
  <c r="W567" i="1" a="1"/>
  <c r="W567" i="1" s="1"/>
  <c r="T567" i="1" a="1"/>
  <c r="T567" i="1" s="1"/>
  <c r="Q567" i="1" a="1"/>
  <c r="Q567" i="1" s="1"/>
  <c r="N567" i="1" a="1"/>
  <c r="N567" i="1" s="1"/>
  <c r="K567" i="1" a="1"/>
  <c r="K567" i="1" s="1"/>
  <c r="H567" i="1" a="1"/>
  <c r="H567" i="1" s="1"/>
  <c r="W581" i="1" a="1"/>
  <c r="W581" i="1" s="1"/>
  <c r="V567" i="1" a="1"/>
  <c r="V567" i="1" s="1"/>
  <c r="P567" i="1" a="1"/>
  <c r="P567" i="1" s="1"/>
  <c r="J567" i="1" a="1"/>
  <c r="J567" i="1" s="1"/>
  <c r="Y567" i="1" a="1"/>
  <c r="Y567" i="1" s="1"/>
  <c r="M567" i="1" a="1"/>
  <c r="M567" i="1" s="1"/>
  <c r="S567" i="1" a="1"/>
  <c r="S567" i="1" s="1"/>
  <c r="G567" i="1" a="1"/>
  <c r="G567" i="1" s="1"/>
  <c r="B492" i="1" a="1"/>
  <c r="B492" i="1" s="1"/>
  <c r="B481" i="1" a="1"/>
  <c r="B481" i="1" s="1"/>
  <c r="W488" i="1" a="1"/>
  <c r="W488" i="1" s="1"/>
  <c r="Y459" i="1" a="1"/>
  <c r="Y459" i="1" s="1"/>
  <c r="V459" i="1" a="1"/>
  <c r="V459" i="1" s="1"/>
  <c r="S459" i="1" a="1"/>
  <c r="S459" i="1" s="1"/>
  <c r="P459" i="1" a="1"/>
  <c r="P459" i="1" s="1"/>
  <c r="M459" i="1" a="1"/>
  <c r="M459" i="1" s="1"/>
  <c r="J459" i="1" a="1"/>
  <c r="J459" i="1" s="1"/>
  <c r="G459" i="1" a="1"/>
  <c r="G459" i="1" s="1"/>
  <c r="W473" i="1" a="1"/>
  <c r="W473" i="1" s="1"/>
  <c r="S473" i="1" s="1"/>
  <c r="W459" i="1" a="1"/>
  <c r="W459" i="1" s="1"/>
  <c r="Q459" i="1" a="1"/>
  <c r="Q459" i="1" s="1"/>
  <c r="K459" i="1" a="1"/>
  <c r="K459" i="1" s="1"/>
  <c r="Z459" i="1" a="1"/>
  <c r="Z459" i="1" s="1"/>
  <c r="T459" i="1" a="1"/>
  <c r="T459" i="1" s="1"/>
  <c r="N459" i="1" a="1"/>
  <c r="N459" i="1" s="1"/>
  <c r="Q490" i="1" s="1"/>
  <c r="H459" i="1" a="1"/>
  <c r="H459" i="1" s="1"/>
  <c r="Y463" i="1" a="1"/>
  <c r="Y463" i="1" s="1"/>
  <c r="V463" i="1" a="1"/>
  <c r="V463" i="1" s="1"/>
  <c r="S463" i="1" a="1"/>
  <c r="S463" i="1" s="1"/>
  <c r="P463" i="1" a="1"/>
  <c r="P463" i="1" s="1"/>
  <c r="M463" i="1" a="1"/>
  <c r="M463" i="1" s="1"/>
  <c r="J463" i="1" a="1"/>
  <c r="J463" i="1" s="1"/>
  <c r="G463" i="1" a="1"/>
  <c r="G463" i="1" s="1"/>
  <c r="Z463" i="1" a="1"/>
  <c r="Z463" i="1" s="1"/>
  <c r="N463" i="1" a="1"/>
  <c r="N463" i="1" s="1"/>
  <c r="Q463" i="1" a="1"/>
  <c r="Q463" i="1" s="1"/>
  <c r="H463" i="1" a="1"/>
  <c r="H463" i="1" s="1"/>
  <c r="W463" i="1" a="1"/>
  <c r="W463" i="1" s="1"/>
  <c r="T463" i="1" a="1"/>
  <c r="T463" i="1" s="1"/>
  <c r="K463" i="1" a="1"/>
  <c r="K463" i="1" s="1"/>
  <c r="Y466" i="1" a="1"/>
  <c r="Y466" i="1" s="1"/>
  <c r="V466" i="1" a="1"/>
  <c r="V466" i="1" s="1"/>
  <c r="S466" i="1" a="1"/>
  <c r="S466" i="1" s="1"/>
  <c r="P466" i="1" a="1"/>
  <c r="P466" i="1" s="1"/>
  <c r="M466" i="1" a="1"/>
  <c r="M466" i="1" s="1"/>
  <c r="J466" i="1" a="1"/>
  <c r="J466" i="1" s="1"/>
  <c r="G466" i="1" a="1"/>
  <c r="G466" i="1" s="1"/>
  <c r="Z466" i="1" a="1"/>
  <c r="Z466" i="1" s="1"/>
  <c r="T466" i="1" a="1"/>
  <c r="T466" i="1" s="1"/>
  <c r="N466" i="1" a="1"/>
  <c r="N466" i="1" s="1"/>
  <c r="H466" i="1" a="1"/>
  <c r="H466" i="1" s="1"/>
  <c r="Q466" i="1" a="1"/>
  <c r="Q466" i="1" s="1"/>
  <c r="W466" i="1" a="1"/>
  <c r="W466" i="1" s="1"/>
  <c r="K466" i="1" a="1"/>
  <c r="K466" i="1" s="1"/>
  <c r="Z431" i="1" a="1"/>
  <c r="Z431" i="1" s="1"/>
  <c r="W431" i="1" a="1"/>
  <c r="W431" i="1" s="1"/>
  <c r="T431" i="1" a="1"/>
  <c r="T431" i="1" s="1"/>
  <c r="Q431" i="1" a="1"/>
  <c r="Q431" i="1" s="1"/>
  <c r="N431" i="1" a="1"/>
  <c r="N431" i="1" s="1"/>
  <c r="K431" i="1" a="1"/>
  <c r="K431" i="1" s="1"/>
  <c r="H431" i="1" a="1"/>
  <c r="H431" i="1" s="1"/>
  <c r="Y431" i="1" a="1"/>
  <c r="Y431" i="1" s="1"/>
  <c r="S431" i="1" a="1"/>
  <c r="S431" i="1" s="1"/>
  <c r="M431" i="1" a="1"/>
  <c r="M431" i="1" s="1"/>
  <c r="G431" i="1" a="1"/>
  <c r="G431" i="1" s="1"/>
  <c r="V431" i="1" a="1"/>
  <c r="V431" i="1" s="1"/>
  <c r="P431" i="1" a="1"/>
  <c r="P431" i="1" s="1"/>
  <c r="J431" i="1" a="1"/>
  <c r="J431" i="1" s="1"/>
  <c r="Z425" i="1" a="1"/>
  <c r="Z425" i="1" s="1"/>
  <c r="W425" i="1" a="1"/>
  <c r="W425" i="1" s="1"/>
  <c r="T425" i="1" a="1"/>
  <c r="T425" i="1" s="1"/>
  <c r="K425" i="1" a="1"/>
  <c r="K425" i="1" s="1"/>
  <c r="W446" i="1" a="1"/>
  <c r="W446" i="1" s="1"/>
  <c r="V425" i="1" a="1"/>
  <c r="V425" i="1" s="1"/>
  <c r="P425" i="1" a="1"/>
  <c r="P425" i="1" s="1"/>
  <c r="J425" i="1" a="1"/>
  <c r="J425" i="1" s="1"/>
  <c r="Y425" i="1" a="1"/>
  <c r="Y425" i="1" s="1"/>
  <c r="W447" i="1" a="1"/>
  <c r="W447" i="1" s="1"/>
  <c r="S425" i="1" a="1"/>
  <c r="S425" i="1" s="1"/>
  <c r="M425" i="1" a="1"/>
  <c r="M425" i="1" s="1"/>
  <c r="G425" i="1" a="1"/>
  <c r="G425" i="1" s="1"/>
  <c r="W558" i="1" a="1"/>
  <c r="W558" i="1" s="1"/>
  <c r="Z529" i="1" a="1"/>
  <c r="Z529" i="1" s="1"/>
  <c r="W529" i="1" a="1"/>
  <c r="W529" i="1" s="1"/>
  <c r="T529" i="1" a="1"/>
  <c r="T529" i="1" s="1"/>
  <c r="Q529" i="1" a="1"/>
  <c r="Q529" i="1" s="1"/>
  <c r="N529" i="1" a="1"/>
  <c r="N529" i="1" s="1"/>
  <c r="Q560" i="1" s="1"/>
  <c r="K529" i="1" a="1"/>
  <c r="K529" i="1" s="1"/>
  <c r="H529" i="1" a="1"/>
  <c r="H529" i="1" s="1"/>
  <c r="Y529" i="1" a="1"/>
  <c r="Y529" i="1" s="1"/>
  <c r="S529" i="1" a="1"/>
  <c r="S529" i="1" s="1"/>
  <c r="M529" i="1" a="1"/>
  <c r="M529" i="1" s="1"/>
  <c r="G529" i="1" a="1"/>
  <c r="G529" i="1" s="1"/>
  <c r="P529" i="1" a="1"/>
  <c r="P529" i="1" s="1"/>
  <c r="J529" i="1" a="1"/>
  <c r="J529" i="1" s="1"/>
  <c r="V529" i="1" a="1"/>
  <c r="V529" i="1" s="1"/>
  <c r="W543" i="1" a="1"/>
  <c r="W543" i="1" s="1"/>
  <c r="Y533" i="1" a="1"/>
  <c r="Y533" i="1" s="1"/>
  <c r="V533" i="1" a="1"/>
  <c r="V533" i="1" s="1"/>
  <c r="S533" i="1" a="1"/>
  <c r="S533" i="1" s="1"/>
  <c r="P533" i="1" a="1"/>
  <c r="P533" i="1" s="1"/>
  <c r="M533" i="1" a="1"/>
  <c r="M533" i="1" s="1"/>
  <c r="J533" i="1" a="1"/>
  <c r="J533" i="1" s="1"/>
  <c r="G533" i="1" a="1"/>
  <c r="G533" i="1" s="1"/>
  <c r="Z533" i="1" a="1"/>
  <c r="Z533" i="1" s="1"/>
  <c r="T533" i="1" a="1"/>
  <c r="T533" i="1" s="1"/>
  <c r="N533" i="1" a="1"/>
  <c r="N533" i="1" s="1"/>
  <c r="H533" i="1" a="1"/>
  <c r="H533" i="1" s="1"/>
  <c r="W533" i="1" a="1"/>
  <c r="W533" i="1" s="1"/>
  <c r="K533" i="1" a="1"/>
  <c r="K533" i="1" s="1"/>
  <c r="Q533" i="1" a="1"/>
  <c r="Q533" i="1" s="1"/>
  <c r="Q556" i="1"/>
  <c r="Q552" i="1"/>
  <c r="Q557" i="1"/>
  <c r="Q551" i="1"/>
  <c r="Z536" i="1" a="1"/>
  <c r="Z536" i="1" s="1"/>
  <c r="W536" i="1" a="1"/>
  <c r="W536" i="1" s="1"/>
  <c r="T536" i="1" a="1"/>
  <c r="T536" i="1" s="1"/>
  <c r="Q536" i="1" a="1"/>
  <c r="Q536" i="1" s="1"/>
  <c r="N536" i="1" a="1"/>
  <c r="N536" i="1" s="1"/>
  <c r="K536" i="1" a="1"/>
  <c r="K536" i="1" s="1"/>
  <c r="H536" i="1" a="1"/>
  <c r="H536" i="1" s="1"/>
  <c r="V536" i="1" a="1"/>
  <c r="V536" i="1" s="1"/>
  <c r="P536" i="1" a="1"/>
  <c r="P536" i="1" s="1"/>
  <c r="G536" i="1" a="1"/>
  <c r="G536" i="1" s="1"/>
  <c r="J536" i="1" a="1"/>
  <c r="J536" i="1" s="1"/>
  <c r="Y536" i="1" a="1"/>
  <c r="Y536" i="1" s="1"/>
  <c r="M536" i="1" a="1"/>
  <c r="M536" i="1" s="1"/>
  <c r="S536" i="1" a="1"/>
  <c r="S536" i="1" s="1"/>
  <c r="H390" i="1" a="1"/>
  <c r="H390" i="1" s="1"/>
  <c r="Q404" i="1"/>
  <c r="V404" i="1" s="1"/>
  <c r="S404" i="1" s="1"/>
  <c r="Q403" i="1"/>
  <c r="V403" i="1" s="1"/>
  <c r="S403" i="1" s="1"/>
  <c r="Q413" i="1"/>
  <c r="V413" i="1" s="1"/>
  <c r="Q419" i="1"/>
  <c r="V419" i="1" s="1"/>
  <c r="Q414" i="1"/>
  <c r="V414" i="1" s="1"/>
  <c r="Q407" i="1"/>
  <c r="V407" i="1" s="1"/>
  <c r="Q406" i="1"/>
  <c r="V406" i="1" s="1"/>
  <c r="S406" i="1" s="1"/>
  <c r="Q418" i="1"/>
  <c r="V418" i="1" s="1"/>
  <c r="W416" i="1" a="1"/>
  <c r="W416" i="1" s="1"/>
  <c r="Y398" i="1" a="1"/>
  <c r="Y398" i="1" s="1"/>
  <c r="V398" i="1" a="1"/>
  <c r="V398" i="1" s="1"/>
  <c r="S398" i="1" a="1"/>
  <c r="S398" i="1" s="1"/>
  <c r="P398" i="1" a="1"/>
  <c r="P398" i="1" s="1"/>
  <c r="M398" i="1" a="1"/>
  <c r="M398" i="1" s="1"/>
  <c r="J398" i="1" a="1"/>
  <c r="J398" i="1" s="1"/>
  <c r="G398" i="1" a="1"/>
  <c r="G398" i="1" s="1"/>
  <c r="W414" i="1" a="1"/>
  <c r="W414" i="1" s="1"/>
  <c r="W407" i="1" a="1"/>
  <c r="W407" i="1" s="1"/>
  <c r="Z398" i="1" a="1"/>
  <c r="Z398" i="1" s="1"/>
  <c r="T398" i="1" a="1"/>
  <c r="T398" i="1" s="1"/>
  <c r="N398" i="1" a="1"/>
  <c r="N398" i="1" s="1"/>
  <c r="H398" i="1" a="1"/>
  <c r="H398" i="1" s="1"/>
  <c r="Q398" i="1" a="1"/>
  <c r="Q398" i="1" s="1"/>
  <c r="W417" i="1" a="1"/>
  <c r="W417" i="1" s="1"/>
  <c r="W398" i="1" a="1"/>
  <c r="W398" i="1" s="1"/>
  <c r="K398" i="1" a="1"/>
  <c r="K398" i="1" s="1"/>
  <c r="F375" i="1"/>
  <c r="Q380" i="1"/>
  <c r="F380" i="1"/>
  <c r="Q375" i="1"/>
  <c r="W369" i="1" a="1"/>
  <c r="W369" i="1" s="1"/>
  <c r="Z360" i="1" a="1"/>
  <c r="Z360" i="1" s="1"/>
  <c r="W360" i="1" a="1"/>
  <c r="W360" i="1" s="1"/>
  <c r="T360" i="1" a="1"/>
  <c r="T360" i="1" s="1"/>
  <c r="Q360" i="1" a="1"/>
  <c r="Q360" i="1" s="1"/>
  <c r="N360" i="1" a="1"/>
  <c r="N360" i="1" s="1"/>
  <c r="K360" i="1" a="1"/>
  <c r="K360" i="1" s="1"/>
  <c r="H360" i="1" a="1"/>
  <c r="H360" i="1" s="1"/>
  <c r="W384" i="1" a="1"/>
  <c r="W384" i="1" s="1"/>
  <c r="Y360" i="1" a="1"/>
  <c r="Y360" i="1" s="1"/>
  <c r="S360" i="1" a="1"/>
  <c r="S360" i="1" s="1"/>
  <c r="M360" i="1" a="1"/>
  <c r="M360" i="1" s="1"/>
  <c r="G360" i="1" a="1"/>
  <c r="G360" i="1" s="1"/>
  <c r="V360" i="1" a="1"/>
  <c r="V360" i="1" s="1"/>
  <c r="J360" i="1" a="1"/>
  <c r="J360" i="1" s="1"/>
  <c r="P360" i="1" a="1"/>
  <c r="P360" i="1" s="1"/>
  <c r="Q381" i="1"/>
  <c r="Q382" i="1"/>
  <c r="Q377" i="1"/>
  <c r="Q376" i="1"/>
  <c r="Q271" i="1"/>
  <c r="Q272" i="1"/>
  <c r="Q277" i="1"/>
  <c r="Q276" i="1"/>
  <c r="W344" i="1" a="1"/>
  <c r="W344" i="1" s="1"/>
  <c r="W337" i="1" a="1"/>
  <c r="W337" i="1" s="1"/>
  <c r="Z328" i="1" a="1"/>
  <c r="Z328" i="1" s="1"/>
  <c r="W328" i="1" a="1"/>
  <c r="W328" i="1" s="1"/>
  <c r="T328" i="1" a="1"/>
  <c r="T328" i="1" s="1"/>
  <c r="Q328" i="1" a="1"/>
  <c r="Q328" i="1" s="1"/>
  <c r="N328" i="1" a="1"/>
  <c r="N328" i="1" s="1"/>
  <c r="K328" i="1" a="1"/>
  <c r="K328" i="1" s="1"/>
  <c r="H328" i="1" a="1"/>
  <c r="H328" i="1" s="1"/>
  <c r="W347" i="1" a="1"/>
  <c r="W347" i="1" s="1"/>
  <c r="W346" i="1" a="1"/>
  <c r="W346" i="1" s="1"/>
  <c r="J328" i="1" a="1"/>
  <c r="J328" i="1" s="1"/>
  <c r="V328" i="1" a="1"/>
  <c r="V328" i="1" s="1"/>
  <c r="M328" i="1" a="1"/>
  <c r="M328" i="1" s="1"/>
  <c r="P328" i="1" a="1"/>
  <c r="P328" i="1" s="1"/>
  <c r="Y328" i="1" a="1"/>
  <c r="Y328" i="1" s="1"/>
  <c r="G328" i="1" a="1"/>
  <c r="G328" i="1" s="1"/>
  <c r="S328" i="1" a="1"/>
  <c r="S328" i="1" s="1"/>
  <c r="W348" i="1" a="1"/>
  <c r="W348" i="1" s="1"/>
  <c r="Z319" i="1" a="1"/>
  <c r="Z319" i="1" s="1"/>
  <c r="V319" i="1" a="1"/>
  <c r="V319" i="1" s="1"/>
  <c r="N319" i="1" a="1"/>
  <c r="N319" i="1" s="1"/>
  <c r="Q350" i="1" s="1"/>
  <c r="J319" i="1" a="1"/>
  <c r="J319" i="1" s="1"/>
  <c r="W333" i="1" a="1"/>
  <c r="W333" i="1" s="1"/>
  <c r="T319" i="1" a="1"/>
  <c r="T319" i="1" s="1"/>
  <c r="P319" i="1" a="1"/>
  <c r="P319" i="1" s="1"/>
  <c r="H319" i="1" a="1"/>
  <c r="H319" i="1" s="1"/>
  <c r="W319" i="1" a="1"/>
  <c r="W319" i="1" s="1"/>
  <c r="G319" i="1" a="1"/>
  <c r="G319" i="1" s="1"/>
  <c r="S319" i="1" a="1"/>
  <c r="S319" i="1" s="1"/>
  <c r="K319" i="1" a="1"/>
  <c r="K319" i="1" s="1"/>
  <c r="M319" i="1" a="1"/>
  <c r="M319" i="1" s="1"/>
  <c r="Y319" i="1" a="1"/>
  <c r="Y319" i="1" s="1"/>
  <c r="Q319" i="1" a="1"/>
  <c r="Q319" i="1" s="1"/>
  <c r="Q335" i="1"/>
  <c r="F332" i="1"/>
  <c r="F335" i="1"/>
  <c r="Q332" i="1"/>
  <c r="Q200" i="1"/>
  <c r="Q205" i="1"/>
  <c r="F200" i="1"/>
  <c r="F205" i="1"/>
  <c r="Y574" i="1" a="1"/>
  <c r="Y574" i="1" s="1"/>
  <c r="V574" i="1" a="1"/>
  <c r="V574" i="1" s="1"/>
  <c r="S574" i="1" a="1"/>
  <c r="S574" i="1" s="1"/>
  <c r="P574" i="1" a="1"/>
  <c r="P574" i="1" s="1"/>
  <c r="M574" i="1" a="1"/>
  <c r="M574" i="1" s="1"/>
  <c r="J574" i="1" a="1"/>
  <c r="J574" i="1" s="1"/>
  <c r="G574" i="1" a="1"/>
  <c r="G574" i="1" s="1"/>
  <c r="W574" i="1" a="1"/>
  <c r="W574" i="1" s="1"/>
  <c r="Q574" i="1" a="1"/>
  <c r="Q574" i="1" s="1"/>
  <c r="K574" i="1" a="1"/>
  <c r="K574" i="1" s="1"/>
  <c r="T574" i="1" a="1"/>
  <c r="T574" i="1" s="1"/>
  <c r="H574" i="1" a="1"/>
  <c r="H574" i="1" s="1"/>
  <c r="N574" i="1" a="1"/>
  <c r="N574" i="1" s="1"/>
  <c r="Z574" i="1" a="1"/>
  <c r="Z574" i="1" s="1"/>
  <c r="Y571" i="1" a="1"/>
  <c r="Y571" i="1" s="1"/>
  <c r="V571" i="1" a="1"/>
  <c r="V571" i="1" s="1"/>
  <c r="S571" i="1" a="1"/>
  <c r="S571" i="1" s="1"/>
  <c r="P571" i="1" a="1"/>
  <c r="P571" i="1" s="1"/>
  <c r="M571" i="1" a="1"/>
  <c r="M571" i="1" s="1"/>
  <c r="J571" i="1" a="1"/>
  <c r="J571" i="1" s="1"/>
  <c r="G571" i="1" a="1"/>
  <c r="G571" i="1" s="1"/>
  <c r="W571" i="1" a="1"/>
  <c r="W571" i="1" s="1"/>
  <c r="Q571" i="1" a="1"/>
  <c r="Q571" i="1" s="1"/>
  <c r="K571" i="1" a="1"/>
  <c r="K571" i="1" s="1"/>
  <c r="Z571" i="1" a="1"/>
  <c r="Z571" i="1" s="1"/>
  <c r="N571" i="1" a="1"/>
  <c r="N571" i="1" s="1"/>
  <c r="H571" i="1" a="1"/>
  <c r="H571" i="1" s="1"/>
  <c r="T571" i="1" a="1"/>
  <c r="T571" i="1" s="1"/>
  <c r="W594" i="1" a="1"/>
  <c r="W594" i="1" s="1"/>
  <c r="Y570" i="1" a="1"/>
  <c r="Y570" i="1" s="1"/>
  <c r="V570" i="1" a="1"/>
  <c r="V570" i="1" s="1"/>
  <c r="S570" i="1" a="1"/>
  <c r="S570" i="1" s="1"/>
  <c r="P570" i="1" a="1"/>
  <c r="P570" i="1" s="1"/>
  <c r="M570" i="1" a="1"/>
  <c r="M570" i="1" s="1"/>
  <c r="J570" i="1" a="1"/>
  <c r="J570" i="1" s="1"/>
  <c r="G570" i="1" a="1"/>
  <c r="G570" i="1" s="1"/>
  <c r="W579" i="1" a="1"/>
  <c r="W579" i="1" s="1"/>
  <c r="S579" i="1" s="1"/>
  <c r="W570" i="1" a="1"/>
  <c r="W570" i="1" s="1"/>
  <c r="Q570" i="1" a="1"/>
  <c r="Q570" i="1" s="1"/>
  <c r="K570" i="1" a="1"/>
  <c r="K570" i="1" s="1"/>
  <c r="Z570" i="1" a="1"/>
  <c r="Z570" i="1" s="1"/>
  <c r="N570" i="1" a="1"/>
  <c r="N570" i="1" s="1"/>
  <c r="T570" i="1" a="1"/>
  <c r="T570" i="1" s="1"/>
  <c r="H570" i="1" a="1"/>
  <c r="H570" i="1" s="1"/>
  <c r="W592" i="1" a="1"/>
  <c r="W592" i="1" s="1"/>
  <c r="W589" i="1" a="1"/>
  <c r="W589" i="1" s="1"/>
  <c r="W582" i="1" a="1"/>
  <c r="W582" i="1" s="1"/>
  <c r="Z573" i="1" a="1"/>
  <c r="Z573" i="1" s="1"/>
  <c r="W573" i="1" a="1"/>
  <c r="W573" i="1" s="1"/>
  <c r="T573" i="1" a="1"/>
  <c r="T573" i="1" s="1"/>
  <c r="Q573" i="1" a="1"/>
  <c r="Q573" i="1" s="1"/>
  <c r="N573" i="1" a="1"/>
  <c r="N573" i="1" s="1"/>
  <c r="K573" i="1" a="1"/>
  <c r="K573" i="1" s="1"/>
  <c r="H573" i="1" a="1"/>
  <c r="H573" i="1" s="1"/>
  <c r="V573" i="1" a="1"/>
  <c r="V573" i="1" s="1"/>
  <c r="P573" i="1" a="1"/>
  <c r="P573" i="1" s="1"/>
  <c r="J573" i="1" a="1"/>
  <c r="J573" i="1" s="1"/>
  <c r="S573" i="1" a="1"/>
  <c r="S573" i="1" s="1"/>
  <c r="G573" i="1" a="1"/>
  <c r="G573" i="1" s="1"/>
  <c r="M573" i="1" a="1"/>
  <c r="M573" i="1" s="1"/>
  <c r="W591" i="1" a="1"/>
  <c r="W591" i="1" s="1"/>
  <c r="Y573" i="1" a="1"/>
  <c r="Y573" i="1" s="1"/>
  <c r="Q522" i="1"/>
  <c r="Q517" i="1"/>
  <c r="Q516" i="1"/>
  <c r="Q521" i="1"/>
  <c r="W523" i="1" a="1"/>
  <c r="W523" i="1" s="1"/>
  <c r="Z494" i="1" a="1"/>
  <c r="Z494" i="1" s="1"/>
  <c r="V494" i="1" a="1"/>
  <c r="V494" i="1" s="1"/>
  <c r="N494" i="1" a="1"/>
  <c r="N494" i="1" s="1"/>
  <c r="Q525" i="1" s="1"/>
  <c r="J494" i="1" a="1"/>
  <c r="J494" i="1" s="1"/>
  <c r="W508" i="1" a="1"/>
  <c r="W508" i="1" s="1"/>
  <c r="Y494" i="1" a="1"/>
  <c r="Y494" i="1" s="1"/>
  <c r="Q494" i="1" a="1"/>
  <c r="Q494" i="1" s="1"/>
  <c r="M494" i="1" a="1"/>
  <c r="M494" i="1" s="1"/>
  <c r="S494" i="1" a="1"/>
  <c r="S494" i="1" s="1"/>
  <c r="K494" i="1" a="1"/>
  <c r="K494" i="1" s="1"/>
  <c r="P494" i="1" a="1"/>
  <c r="P494" i="1" s="1"/>
  <c r="H494" i="1" a="1"/>
  <c r="H494" i="1" s="1"/>
  <c r="W494" i="1" a="1"/>
  <c r="W494" i="1" s="1"/>
  <c r="G494" i="1" a="1"/>
  <c r="G494" i="1" s="1"/>
  <c r="T494" i="1" a="1"/>
  <c r="T494" i="1" s="1"/>
  <c r="B516" i="1" a="1"/>
  <c r="B516" i="1" s="1"/>
  <c r="B527" i="1" a="1"/>
  <c r="B527" i="1" s="1"/>
  <c r="Q510" i="1"/>
  <c r="F507" i="1"/>
  <c r="Q507" i="1"/>
  <c r="F510" i="1"/>
  <c r="Y578" i="1"/>
  <c r="S593" i="1"/>
  <c r="H460" i="1" a="1"/>
  <c r="H460" i="1" s="1"/>
  <c r="Y469" i="1" a="1"/>
  <c r="Y469" i="1" s="1"/>
  <c r="V469" i="1" a="1"/>
  <c r="V469" i="1" s="1"/>
  <c r="S469" i="1" a="1"/>
  <c r="S469" i="1" s="1"/>
  <c r="P469" i="1" a="1"/>
  <c r="P469" i="1" s="1"/>
  <c r="M469" i="1" a="1"/>
  <c r="M469" i="1" s="1"/>
  <c r="J469" i="1" a="1"/>
  <c r="J469" i="1" s="1"/>
  <c r="G469" i="1" a="1"/>
  <c r="G469" i="1" s="1"/>
  <c r="W469" i="1" a="1"/>
  <c r="W469" i="1" s="1"/>
  <c r="Q469" i="1" a="1"/>
  <c r="Q469" i="1" s="1"/>
  <c r="K469" i="1" a="1"/>
  <c r="K469" i="1" s="1"/>
  <c r="T469" i="1" a="1"/>
  <c r="T469" i="1" s="1"/>
  <c r="H469" i="1" a="1"/>
  <c r="H469" i="1" s="1"/>
  <c r="Z469" i="1" a="1"/>
  <c r="Z469" i="1" s="1"/>
  <c r="N469" i="1" a="1"/>
  <c r="N469" i="1" s="1"/>
  <c r="Q472" i="1"/>
  <c r="Q475" i="1"/>
  <c r="F472" i="1"/>
  <c r="F475" i="1"/>
  <c r="F485" i="1"/>
  <c r="Q480" i="1"/>
  <c r="Q485" i="1"/>
  <c r="F480" i="1"/>
  <c r="Y482" i="1"/>
  <c r="S483" i="1"/>
  <c r="Y424" i="1" a="1"/>
  <c r="Y424" i="1" s="1"/>
  <c r="V424" i="1" a="1"/>
  <c r="V424" i="1" s="1"/>
  <c r="S424" i="1" a="1"/>
  <c r="S424" i="1" s="1"/>
  <c r="P424" i="1" a="1"/>
  <c r="P424" i="1" s="1"/>
  <c r="M424" i="1" a="1"/>
  <c r="M424" i="1" s="1"/>
  <c r="J424" i="1" a="1"/>
  <c r="J424" i="1" s="1"/>
  <c r="G424" i="1" a="1"/>
  <c r="G424" i="1" s="1"/>
  <c r="W438" i="1" a="1"/>
  <c r="W438" i="1" s="1"/>
  <c r="W453" i="1" a="1"/>
  <c r="W453" i="1" s="1"/>
  <c r="W424" i="1" a="1"/>
  <c r="W424" i="1" s="1"/>
  <c r="Q424" i="1" a="1"/>
  <c r="Q424" i="1" s="1"/>
  <c r="K424" i="1" a="1"/>
  <c r="K424" i="1" s="1"/>
  <c r="T424" i="1" a="1"/>
  <c r="T424" i="1" s="1"/>
  <c r="N424" i="1" a="1"/>
  <c r="N424" i="1" s="1"/>
  <c r="Q455" i="1" s="1"/>
  <c r="H424" i="1" a="1"/>
  <c r="H424" i="1" s="1"/>
  <c r="Z424" i="1" a="1"/>
  <c r="Z424" i="1" s="1"/>
  <c r="Z434" i="1" a="1"/>
  <c r="Z434" i="1" s="1"/>
  <c r="W434" i="1" a="1"/>
  <c r="W434" i="1" s="1"/>
  <c r="T434" i="1" a="1"/>
  <c r="T434" i="1" s="1"/>
  <c r="Q434" i="1" a="1"/>
  <c r="Q434" i="1" s="1"/>
  <c r="N434" i="1" a="1"/>
  <c r="N434" i="1" s="1"/>
  <c r="K434" i="1" a="1"/>
  <c r="K434" i="1" s="1"/>
  <c r="H434" i="1" a="1"/>
  <c r="H434" i="1" s="1"/>
  <c r="Y434" i="1" a="1"/>
  <c r="Y434" i="1" s="1"/>
  <c r="S434" i="1" a="1"/>
  <c r="S434" i="1" s="1"/>
  <c r="M434" i="1" a="1"/>
  <c r="M434" i="1" s="1"/>
  <c r="G434" i="1" a="1"/>
  <c r="G434" i="1" s="1"/>
  <c r="V434" i="1" a="1"/>
  <c r="V434" i="1" s="1"/>
  <c r="P434" i="1" a="1"/>
  <c r="P434" i="1" s="1"/>
  <c r="J434" i="1" a="1"/>
  <c r="J434" i="1" s="1"/>
  <c r="Z428" i="1" a="1"/>
  <c r="Z428" i="1" s="1"/>
  <c r="W428" i="1" a="1"/>
  <c r="W428" i="1" s="1"/>
  <c r="T428" i="1" a="1"/>
  <c r="T428" i="1" s="1"/>
  <c r="Q428" i="1" a="1"/>
  <c r="Q428" i="1" s="1"/>
  <c r="N428" i="1" a="1"/>
  <c r="N428" i="1" s="1"/>
  <c r="K428" i="1" a="1"/>
  <c r="K428" i="1" s="1"/>
  <c r="H428" i="1" a="1"/>
  <c r="H428" i="1" s="1"/>
  <c r="Y428" i="1" a="1"/>
  <c r="Y428" i="1" s="1"/>
  <c r="S428" i="1" a="1"/>
  <c r="S428" i="1" s="1"/>
  <c r="M428" i="1" a="1"/>
  <c r="M428" i="1" s="1"/>
  <c r="G428" i="1" a="1"/>
  <c r="G428" i="1" s="1"/>
  <c r="V428" i="1" a="1"/>
  <c r="V428" i="1" s="1"/>
  <c r="P428" i="1" a="1"/>
  <c r="P428" i="1" s="1"/>
  <c r="J428" i="1" a="1"/>
  <c r="J428" i="1" s="1"/>
  <c r="Q546" i="1"/>
  <c r="V546" i="1" s="1"/>
  <c r="S546" i="1" s="1"/>
  <c r="Q544" i="1"/>
  <c r="V544" i="1" s="1"/>
  <c r="S544" i="1" s="1"/>
  <c r="Q543" i="1"/>
  <c r="V543" i="1" s="1"/>
  <c r="S543" i="1" s="1"/>
  <c r="Q547" i="1"/>
  <c r="V547" i="1" s="1"/>
  <c r="Q558" i="1"/>
  <c r="V558" i="1" s="1"/>
  <c r="Q554" i="1"/>
  <c r="V554" i="1" s="1"/>
  <c r="Q553" i="1"/>
  <c r="V553" i="1" s="1"/>
  <c r="Q559" i="1"/>
  <c r="V559" i="1" s="1"/>
  <c r="V486" i="1"/>
  <c r="S486" i="1" s="1"/>
  <c r="V487" i="1"/>
  <c r="S487" i="1" s="1"/>
  <c r="S476" i="1"/>
  <c r="W404" i="1" a="1"/>
  <c r="W404" i="1" s="1"/>
  <c r="Z395" i="1" a="1"/>
  <c r="Z395" i="1" s="1"/>
  <c r="W395" i="1" a="1"/>
  <c r="W395" i="1" s="1"/>
  <c r="T395" i="1" a="1"/>
  <c r="T395" i="1" s="1"/>
  <c r="Q395" i="1" a="1"/>
  <c r="Q395" i="1" s="1"/>
  <c r="N395" i="1" a="1"/>
  <c r="N395" i="1" s="1"/>
  <c r="K395" i="1" a="1"/>
  <c r="K395" i="1" s="1"/>
  <c r="H395" i="1" a="1"/>
  <c r="H395" i="1" s="1"/>
  <c r="W419" i="1" a="1"/>
  <c r="W419" i="1" s="1"/>
  <c r="Y395" i="1" a="1"/>
  <c r="Y395" i="1" s="1"/>
  <c r="S395" i="1" a="1"/>
  <c r="S395" i="1" s="1"/>
  <c r="M395" i="1" a="1"/>
  <c r="M395" i="1" s="1"/>
  <c r="G395" i="1" a="1"/>
  <c r="G395" i="1" s="1"/>
  <c r="V395" i="1" a="1"/>
  <c r="V395" i="1" s="1"/>
  <c r="J395" i="1" a="1"/>
  <c r="J395" i="1" s="1"/>
  <c r="P395" i="1" a="1"/>
  <c r="P395" i="1" s="1"/>
  <c r="Q416" i="1"/>
  <c r="Q417" i="1"/>
  <c r="Q412" i="1"/>
  <c r="Q411" i="1"/>
  <c r="B422" i="1" a="1"/>
  <c r="B422" i="1" s="1"/>
  <c r="B411" i="1" a="1"/>
  <c r="B411" i="1" s="1"/>
  <c r="W368" i="1" a="1"/>
  <c r="W368" i="1" s="1"/>
  <c r="Y354" i="1" a="1"/>
  <c r="Y354" i="1" s="1"/>
  <c r="V354" i="1" a="1"/>
  <c r="V354" i="1" s="1"/>
  <c r="S354" i="1" a="1"/>
  <c r="S354" i="1" s="1"/>
  <c r="P354" i="1" a="1"/>
  <c r="P354" i="1" s="1"/>
  <c r="M354" i="1" a="1"/>
  <c r="M354" i="1" s="1"/>
  <c r="J354" i="1" a="1"/>
  <c r="J354" i="1" s="1"/>
  <c r="G354" i="1" a="1"/>
  <c r="G354" i="1" s="1"/>
  <c r="W383" i="1" a="1"/>
  <c r="W383" i="1" s="1"/>
  <c r="Z354" i="1" a="1"/>
  <c r="Z354" i="1" s="1"/>
  <c r="T354" i="1" a="1"/>
  <c r="T354" i="1" s="1"/>
  <c r="N354" i="1" a="1"/>
  <c r="N354" i="1" s="1"/>
  <c r="Q385" i="1" s="1"/>
  <c r="H354" i="1" a="1"/>
  <c r="H354" i="1" s="1"/>
  <c r="W354" i="1" a="1"/>
  <c r="W354" i="1" s="1"/>
  <c r="Q354" i="1" a="1"/>
  <c r="Q354" i="1" s="1"/>
  <c r="K354" i="1" a="1"/>
  <c r="K354" i="1" s="1"/>
  <c r="Y355" i="1" a="1"/>
  <c r="Y355" i="1" s="1"/>
  <c r="V355" i="1" a="1"/>
  <c r="V355" i="1" s="1"/>
  <c r="S355" i="1" a="1"/>
  <c r="S355" i="1" s="1"/>
  <c r="P355" i="1" a="1"/>
  <c r="P355" i="1" s="1"/>
  <c r="M355" i="1" a="1"/>
  <c r="M355" i="1" s="1"/>
  <c r="J355" i="1" a="1"/>
  <c r="J355" i="1" s="1"/>
  <c r="G355" i="1" a="1"/>
  <c r="G355" i="1" s="1"/>
  <c r="W377" i="1" a="1"/>
  <c r="W377" i="1" s="1"/>
  <c r="Z355" i="1" a="1"/>
  <c r="Z355" i="1" s="1"/>
  <c r="T355" i="1" a="1"/>
  <c r="T355" i="1" s="1"/>
  <c r="W355" i="1" a="1"/>
  <c r="W355" i="1" s="1"/>
  <c r="Q355" i="1" a="1"/>
  <c r="Q355" i="1" s="1"/>
  <c r="K355" i="1" a="1"/>
  <c r="K355" i="1" s="1"/>
  <c r="W376" i="1" a="1"/>
  <c r="W376" i="1" s="1"/>
  <c r="F370" i="1"/>
  <c r="F367" i="1"/>
  <c r="Q367" i="1"/>
  <c r="Q370" i="1"/>
  <c r="W381" i="1" a="1"/>
  <c r="W381" i="1" s="1"/>
  <c r="Y363" i="1" a="1"/>
  <c r="Y363" i="1" s="1"/>
  <c r="V363" i="1" a="1"/>
  <c r="V363" i="1" s="1"/>
  <c r="S363" i="1" a="1"/>
  <c r="S363" i="1" s="1"/>
  <c r="P363" i="1" a="1"/>
  <c r="P363" i="1" s="1"/>
  <c r="M363" i="1" a="1"/>
  <c r="M363" i="1" s="1"/>
  <c r="J363" i="1" a="1"/>
  <c r="J363" i="1" s="1"/>
  <c r="G363" i="1" a="1"/>
  <c r="G363" i="1" s="1"/>
  <c r="W379" i="1" a="1"/>
  <c r="W379" i="1" s="1"/>
  <c r="W372" i="1" a="1"/>
  <c r="W372" i="1" s="1"/>
  <c r="Z363" i="1" a="1"/>
  <c r="Z363" i="1" s="1"/>
  <c r="T363" i="1" a="1"/>
  <c r="T363" i="1" s="1"/>
  <c r="N363" i="1" a="1"/>
  <c r="N363" i="1" s="1"/>
  <c r="H363" i="1" a="1"/>
  <c r="H363" i="1" s="1"/>
  <c r="Q363" i="1" a="1"/>
  <c r="Q363" i="1" s="1"/>
  <c r="W363" i="1" a="1"/>
  <c r="W363" i="1" s="1"/>
  <c r="K363" i="1" a="1"/>
  <c r="K363" i="1" s="1"/>
  <c r="W382" i="1" a="1"/>
  <c r="W382" i="1" s="1"/>
  <c r="W266" i="1" a="1"/>
  <c r="W266" i="1" s="1"/>
  <c r="Y252" i="1" a="1"/>
  <c r="Y252" i="1" s="1"/>
  <c r="Q252" i="1" a="1"/>
  <c r="Q252" i="1" s="1"/>
  <c r="M252" i="1" a="1"/>
  <c r="M252" i="1" s="1"/>
  <c r="W273" i="1" a="1"/>
  <c r="W273" i="1" s="1"/>
  <c r="W252" i="1" a="1"/>
  <c r="W252" i="1" s="1"/>
  <c r="S252" i="1" a="1"/>
  <c r="S252" i="1" s="1"/>
  <c r="K252" i="1" a="1"/>
  <c r="K252" i="1" s="1"/>
  <c r="G252" i="1" a="1"/>
  <c r="G252" i="1" s="1"/>
  <c r="V252" i="1" a="1"/>
  <c r="V252" i="1" s="1"/>
  <c r="N252" i="1" a="1"/>
  <c r="N252" i="1" s="1"/>
  <c r="T252" i="1" a="1"/>
  <c r="T252" i="1" s="1"/>
  <c r="P252" i="1" a="1"/>
  <c r="P252" i="1" s="1"/>
  <c r="H252" i="1" a="1"/>
  <c r="H252" i="1" s="1"/>
  <c r="Z252" i="1" a="1"/>
  <c r="Z252" i="1" s="1"/>
  <c r="J252" i="1" a="1"/>
  <c r="J252" i="1" s="1"/>
  <c r="Y320" i="1" a="1"/>
  <c r="Y320" i="1" s="1"/>
  <c r="V320" i="1" a="1"/>
  <c r="V320" i="1" s="1"/>
  <c r="S320" i="1" a="1"/>
  <c r="S320" i="1" s="1"/>
  <c r="P320" i="1" a="1"/>
  <c r="P320" i="1" s="1"/>
  <c r="M320" i="1" a="1"/>
  <c r="M320" i="1" s="1"/>
  <c r="J320" i="1" a="1"/>
  <c r="J320" i="1" s="1"/>
  <c r="G320" i="1" a="1"/>
  <c r="G320" i="1" s="1"/>
  <c r="W341" i="1" a="1"/>
  <c r="W341" i="1" s="1"/>
  <c r="T320" i="1" a="1"/>
  <c r="T320" i="1" s="1"/>
  <c r="W342" i="1" a="1"/>
  <c r="W342" i="1" s="1"/>
  <c r="Z320" i="1" a="1"/>
  <c r="Z320" i="1" s="1"/>
  <c r="W320" i="1" a="1"/>
  <c r="W320" i="1" s="1"/>
  <c r="K320" i="1" a="1"/>
  <c r="K320" i="1" s="1"/>
  <c r="Q340" i="1"/>
  <c r="F340" i="1"/>
  <c r="Q345" i="1"/>
  <c r="F345" i="1"/>
  <c r="H320" i="1" a="1"/>
  <c r="H320" i="1" s="1"/>
  <c r="B212" i="1" a="1"/>
  <c r="B212" i="1" s="1"/>
  <c r="B201" i="1" a="1"/>
  <c r="B201" i="1" s="1"/>
  <c r="W196" i="1" a="1"/>
  <c r="W196" i="1" s="1"/>
  <c r="Y182" i="1" a="1"/>
  <c r="Y182" i="1" s="1"/>
  <c r="V182" i="1" a="1"/>
  <c r="V182" i="1" s="1"/>
  <c r="S182" i="1" a="1"/>
  <c r="S182" i="1" s="1"/>
  <c r="P182" i="1" a="1"/>
  <c r="P182" i="1" s="1"/>
  <c r="M182" i="1" a="1"/>
  <c r="M182" i="1" s="1"/>
  <c r="J182" i="1" a="1"/>
  <c r="J182" i="1" s="1"/>
  <c r="G182" i="1" a="1"/>
  <c r="G182" i="1" s="1"/>
  <c r="W203" i="1" a="1"/>
  <c r="W203" i="1" s="1"/>
  <c r="Z182" i="1" a="1"/>
  <c r="Z182" i="1" s="1"/>
  <c r="W182" i="1" a="1"/>
  <c r="W182" i="1" s="1"/>
  <c r="T182" i="1" a="1"/>
  <c r="T182" i="1" s="1"/>
  <c r="Q182" i="1" a="1"/>
  <c r="Q182" i="1" s="1"/>
  <c r="N182" i="1" a="1"/>
  <c r="N182" i="1" s="1"/>
  <c r="K182" i="1" a="1"/>
  <c r="K182" i="1" s="1"/>
  <c r="H182" i="1" a="1"/>
  <c r="H182" i="1" s="1"/>
  <c r="Q196" i="1"/>
  <c r="V196" i="1" s="1"/>
  <c r="S196" i="1" s="1"/>
  <c r="Q203" i="1"/>
  <c r="V203" i="1" s="1"/>
  <c r="Q197" i="1"/>
  <c r="V197" i="1" s="1"/>
  <c r="S197" i="1" s="1"/>
  <c r="Q194" i="1"/>
  <c r="V194" i="1" s="1"/>
  <c r="S194" i="1" s="1"/>
  <c r="Q209" i="1"/>
  <c r="V209" i="1" s="1"/>
  <c r="Q204" i="1"/>
  <c r="V204" i="1" s="1"/>
  <c r="S204" i="1" s="1"/>
  <c r="Q193" i="1"/>
  <c r="V193" i="1" s="1"/>
  <c r="Q208" i="1"/>
  <c r="V208" i="1" s="1"/>
  <c r="Q195" i="1"/>
  <c r="F192" i="1"/>
  <c r="F195" i="1"/>
  <c r="Q192" i="1"/>
  <c r="Q122" i="1"/>
  <c r="Q125" i="1"/>
  <c r="F122" i="1"/>
  <c r="F125" i="1"/>
  <c r="F135" i="1"/>
  <c r="Q135" i="1"/>
  <c r="Q130" i="1"/>
  <c r="F130" i="1"/>
  <c r="H110" i="1" a="1"/>
  <c r="H110" i="1" s="1"/>
  <c r="Q139" i="1"/>
  <c r="V139" i="1" s="1"/>
  <c r="Q133" i="1"/>
  <c r="V133" i="1" s="1"/>
  <c r="Q127" i="1"/>
  <c r="V127" i="1" s="1"/>
  <c r="S127" i="1" s="1"/>
  <c r="Q138" i="1"/>
  <c r="V138" i="1" s="1"/>
  <c r="Q134" i="1"/>
  <c r="V134" i="1" s="1"/>
  <c r="Q126" i="1"/>
  <c r="V126" i="1" s="1"/>
  <c r="S126" i="1" s="1"/>
  <c r="Q123" i="1"/>
  <c r="V123" i="1" s="1"/>
  <c r="S123" i="1" s="1"/>
  <c r="Q124" i="1"/>
  <c r="V124" i="1" s="1"/>
  <c r="S124" i="1" s="1"/>
  <c r="W98" i="1" a="1"/>
  <c r="W98" i="1" s="1"/>
  <c r="W91" i="1" a="1"/>
  <c r="W91" i="1" s="1"/>
  <c r="W77" i="1" a="1"/>
  <c r="W77" i="1" s="1"/>
  <c r="P77" i="1" a="1"/>
  <c r="P77" i="1" s="1"/>
  <c r="K77" i="1" a="1"/>
  <c r="K77" i="1" s="1"/>
  <c r="T77" i="1" a="1"/>
  <c r="T77" i="1" s="1"/>
  <c r="Z77" i="1" a="1"/>
  <c r="Z77" i="1" s="1"/>
  <c r="S77" i="1" a="1"/>
  <c r="S77" i="1" s="1"/>
  <c r="N77" i="1" a="1"/>
  <c r="N77" i="1" s="1"/>
  <c r="G77" i="1" a="1"/>
  <c r="G77" i="1" s="1"/>
  <c r="Y77" i="1" a="1"/>
  <c r="Y77" i="1" s="1"/>
  <c r="M77" i="1" a="1"/>
  <c r="M77" i="1" s="1"/>
  <c r="H77" i="1" a="1"/>
  <c r="H77" i="1" s="1"/>
  <c r="V77" i="1" a="1"/>
  <c r="V77" i="1" s="1"/>
  <c r="Q77" i="1" a="1"/>
  <c r="Q77" i="1" s="1"/>
  <c r="J77" i="1" a="1"/>
  <c r="J77" i="1" s="1"/>
  <c r="Q63" i="1"/>
  <c r="V63" i="1" s="1"/>
  <c r="Q54" i="1"/>
  <c r="V54" i="1" s="1"/>
  <c r="S54" i="1" s="1"/>
  <c r="Q69" i="1"/>
  <c r="V69" i="1" s="1"/>
  <c r="Q68" i="1"/>
  <c r="V68" i="1" s="1"/>
  <c r="S68" i="1" s="1"/>
  <c r="Q64" i="1"/>
  <c r="V64" i="1" s="1"/>
  <c r="S64" i="1" s="1"/>
  <c r="Q57" i="1"/>
  <c r="V57" i="1" s="1"/>
  <c r="S57" i="1" s="1"/>
  <c r="Q53" i="1"/>
  <c r="V53" i="1" s="1"/>
  <c r="S53" i="1" s="1"/>
  <c r="Q56" i="1"/>
  <c r="V56" i="1" s="1"/>
  <c r="Y65" i="1"/>
  <c r="Q28" i="1"/>
  <c r="V28" i="1" s="1"/>
  <c r="S28" i="1" s="1"/>
  <c r="Q19" i="1"/>
  <c r="V19" i="1" s="1"/>
  <c r="S19" i="1" s="1"/>
  <c r="Q18" i="1"/>
  <c r="V18" i="1" s="1"/>
  <c r="S18" i="1" s="1"/>
  <c r="Q34" i="1"/>
  <c r="V34" i="1" s="1"/>
  <c r="Q33" i="1"/>
  <c r="V33" i="1" s="1"/>
  <c r="S33" i="1" s="1"/>
  <c r="Q29" i="1"/>
  <c r="V29" i="1" s="1"/>
  <c r="Q22" i="1"/>
  <c r="V22" i="1" s="1"/>
  <c r="S22" i="1" s="1"/>
  <c r="Q21" i="1"/>
  <c r="V21" i="1" s="1"/>
  <c r="S21" i="1" s="1"/>
  <c r="Y30" i="1"/>
  <c r="S29" i="1"/>
  <c r="W81" i="1" a="1"/>
  <c r="W81" i="1" s="1"/>
  <c r="S81" i="1" a="1"/>
  <c r="S81" i="1" s="1"/>
  <c r="K81" i="1" a="1"/>
  <c r="K81" i="1" s="1"/>
  <c r="G81" i="1" a="1"/>
  <c r="G81" i="1" s="1"/>
  <c r="P81" i="1" a="1"/>
  <c r="P81" i="1" s="1"/>
  <c r="H81" i="1" a="1"/>
  <c r="H81" i="1" s="1"/>
  <c r="Z81" i="1" a="1"/>
  <c r="Z81" i="1" s="1"/>
  <c r="V81" i="1" a="1"/>
  <c r="V81" i="1" s="1"/>
  <c r="N81" i="1" a="1"/>
  <c r="N81" i="1" s="1"/>
  <c r="J81" i="1" a="1"/>
  <c r="J81" i="1" s="1"/>
  <c r="T81" i="1" a="1"/>
  <c r="T81" i="1" s="1"/>
  <c r="Y81" i="1" a="1"/>
  <c r="Y81" i="1" s="1"/>
  <c r="Q81" i="1" a="1"/>
  <c r="Q81" i="1" s="1"/>
  <c r="M81" i="1" a="1"/>
  <c r="M81" i="1" s="1"/>
  <c r="Q65" i="1"/>
  <c r="F60" i="1"/>
  <c r="F65" i="1"/>
  <c r="Q60" i="1"/>
  <c r="S581" i="1"/>
  <c r="W161" i="1" a="1"/>
  <c r="W161" i="1" s="1"/>
  <c r="Y147" i="1" a="1"/>
  <c r="Y147" i="1" s="1"/>
  <c r="V147" i="1" a="1"/>
  <c r="V147" i="1" s="1"/>
  <c r="S147" i="1" a="1"/>
  <c r="S147" i="1" s="1"/>
  <c r="P147" i="1" a="1"/>
  <c r="P147" i="1" s="1"/>
  <c r="M147" i="1" a="1"/>
  <c r="M147" i="1" s="1"/>
  <c r="J147" i="1" a="1"/>
  <c r="J147" i="1" s="1"/>
  <c r="G147" i="1" a="1"/>
  <c r="G147" i="1" s="1"/>
  <c r="W168" i="1" a="1"/>
  <c r="W168" i="1" s="1"/>
  <c r="Z147" i="1" a="1"/>
  <c r="Z147" i="1" s="1"/>
  <c r="Q147" i="1" a="1"/>
  <c r="Q147" i="1" s="1"/>
  <c r="T147" i="1" a="1"/>
  <c r="T147" i="1" s="1"/>
  <c r="H147" i="1" a="1"/>
  <c r="H147" i="1" s="1"/>
  <c r="N147" i="1" a="1"/>
  <c r="N147" i="1" s="1"/>
  <c r="K147" i="1" a="1"/>
  <c r="K147" i="1" s="1"/>
  <c r="W147" i="1" a="1"/>
  <c r="W147" i="1" s="1"/>
  <c r="Z151" i="1" a="1"/>
  <c r="Z151" i="1" s="1"/>
  <c r="W151" i="1" a="1"/>
  <c r="W151" i="1" s="1"/>
  <c r="T151" i="1" a="1"/>
  <c r="T151" i="1" s="1"/>
  <c r="Q151" i="1" a="1"/>
  <c r="Q151" i="1" s="1"/>
  <c r="N151" i="1" a="1"/>
  <c r="N151" i="1" s="1"/>
  <c r="K151" i="1" a="1"/>
  <c r="K151" i="1" s="1"/>
  <c r="H151" i="1" a="1"/>
  <c r="H151" i="1" s="1"/>
  <c r="Y151" i="1" a="1"/>
  <c r="Y151" i="1" s="1"/>
  <c r="V151" i="1" a="1"/>
  <c r="V151" i="1" s="1"/>
  <c r="S151" i="1" a="1"/>
  <c r="S151" i="1" s="1"/>
  <c r="P151" i="1" a="1"/>
  <c r="P151" i="1" s="1"/>
  <c r="M151" i="1" a="1"/>
  <c r="M151" i="1" s="1"/>
  <c r="J151" i="1" a="1"/>
  <c r="J151" i="1" s="1"/>
  <c r="G151" i="1" a="1"/>
  <c r="G151" i="1" s="1"/>
  <c r="V150" i="1" a="1"/>
  <c r="V150" i="1" s="1"/>
  <c r="P150" i="1" a="1"/>
  <c r="P150" i="1" s="1"/>
  <c r="J150" i="1" a="1"/>
  <c r="J150" i="1" s="1"/>
  <c r="W174" i="1" a="1"/>
  <c r="W174" i="1" s="1"/>
  <c r="Z150" i="1" a="1"/>
  <c r="Z150" i="1" s="1"/>
  <c r="T150" i="1" a="1"/>
  <c r="T150" i="1" s="1"/>
  <c r="N150" i="1" a="1"/>
  <c r="N150" i="1" s="1"/>
  <c r="H150" i="1" a="1"/>
  <c r="H150" i="1" s="1"/>
  <c r="W159" i="1" a="1"/>
  <c r="W159" i="1" s="1"/>
  <c r="W150" i="1" a="1"/>
  <c r="W150" i="1" s="1"/>
  <c r="K150" i="1" a="1"/>
  <c r="K150" i="1" s="1"/>
  <c r="S150" i="1" a="1"/>
  <c r="S150" i="1" s="1"/>
  <c r="G150" i="1" a="1"/>
  <c r="G150" i="1" s="1"/>
  <c r="Y150" i="1" a="1"/>
  <c r="Y150" i="1" s="1"/>
  <c r="M150" i="1" a="1"/>
  <c r="M150" i="1" s="1"/>
  <c r="Q150" i="1" a="1"/>
  <c r="Q150" i="1" s="1"/>
  <c r="W167" i="1" a="1"/>
  <c r="W167" i="1" s="1"/>
  <c r="W166" i="1" a="1"/>
  <c r="W166" i="1" s="1"/>
  <c r="W145" i="1" a="1"/>
  <c r="W145" i="1" s="1"/>
  <c r="P145" i="1" a="1"/>
  <c r="P145" i="1" s="1"/>
  <c r="K145" i="1" a="1"/>
  <c r="K145" i="1" s="1"/>
  <c r="Z145" i="1" a="1"/>
  <c r="Z145" i="1" s="1"/>
  <c r="S145" i="1" a="1"/>
  <c r="S145" i="1" s="1"/>
  <c r="G145" i="1" a="1"/>
  <c r="G145" i="1" s="1"/>
  <c r="J145" i="1" a="1"/>
  <c r="J145" i="1" s="1"/>
  <c r="Y145" i="1" a="1"/>
  <c r="Y145" i="1" s="1"/>
  <c r="T145" i="1" a="1"/>
  <c r="T145" i="1" s="1"/>
  <c r="M145" i="1" a="1"/>
  <c r="M145" i="1" s="1"/>
  <c r="V145" i="1" a="1"/>
  <c r="V145" i="1" s="1"/>
  <c r="Z84" i="1" a="1"/>
  <c r="Z84" i="1" s="1"/>
  <c r="W84" i="1" a="1"/>
  <c r="W84" i="1" s="1"/>
  <c r="T84" i="1" a="1"/>
  <c r="T84" i="1" s="1"/>
  <c r="Q84" i="1" a="1"/>
  <c r="Q84" i="1" s="1"/>
  <c r="N84" i="1" a="1"/>
  <c r="N84" i="1" s="1"/>
  <c r="K84" i="1" a="1"/>
  <c r="K84" i="1" s="1"/>
  <c r="H84" i="1" a="1"/>
  <c r="H84" i="1" s="1"/>
  <c r="S84" i="1" a="1"/>
  <c r="S84" i="1" s="1"/>
  <c r="G84" i="1" a="1"/>
  <c r="G84" i="1" s="1"/>
  <c r="P84" i="1" a="1"/>
  <c r="P84" i="1" s="1"/>
  <c r="V84" i="1" a="1"/>
  <c r="V84" i="1" s="1"/>
  <c r="J84" i="1" a="1"/>
  <c r="J84" i="1" s="1"/>
  <c r="Y84" i="1" a="1"/>
  <c r="Y84" i="1" s="1"/>
  <c r="M84" i="1" a="1"/>
  <c r="M84" i="1" s="1"/>
  <c r="H285" i="1" a="1"/>
  <c r="H285" i="1" s="1"/>
  <c r="W288" i="1" a="1"/>
  <c r="W288" i="1" s="1"/>
  <c r="P288" i="1" a="1"/>
  <c r="P288" i="1" s="1"/>
  <c r="K288" i="1" a="1"/>
  <c r="K288" i="1" s="1"/>
  <c r="V288" i="1" a="1"/>
  <c r="V288" i="1" s="1"/>
  <c r="Q288" i="1" a="1"/>
  <c r="Q288" i="1" s="1"/>
  <c r="J288" i="1" a="1"/>
  <c r="J288" i="1" s="1"/>
  <c r="Z288" i="1" a="1"/>
  <c r="Z288" i="1" s="1"/>
  <c r="S288" i="1" a="1"/>
  <c r="S288" i="1" s="1"/>
  <c r="Y288" i="1" a="1"/>
  <c r="Y288" i="1" s="1"/>
  <c r="H288" i="1" a="1"/>
  <c r="H288" i="1" s="1"/>
  <c r="N288" i="1" a="1"/>
  <c r="N288" i="1" s="1"/>
  <c r="G288" i="1" a="1"/>
  <c r="G288" i="1" s="1"/>
  <c r="T288" i="1" a="1"/>
  <c r="T288" i="1" s="1"/>
  <c r="M288" i="1" a="1"/>
  <c r="M288" i="1" s="1"/>
  <c r="B306" i="1" a="1"/>
  <c r="B306" i="1" s="1"/>
  <c r="B317" i="1" a="1"/>
  <c r="B317" i="1" s="1"/>
  <c r="Q300" i="1"/>
  <c r="F300" i="1"/>
  <c r="F297" i="1"/>
  <c r="Q297" i="1"/>
  <c r="W239" i="1" a="1"/>
  <c r="W239" i="1" s="1"/>
  <c r="W232" i="1" a="1"/>
  <c r="W232" i="1" s="1"/>
  <c r="Z223" i="1" a="1"/>
  <c r="Z223" i="1" s="1"/>
  <c r="W223" i="1" a="1"/>
  <c r="W223" i="1" s="1"/>
  <c r="T223" i="1" a="1"/>
  <c r="T223" i="1" s="1"/>
  <c r="Q223" i="1" a="1"/>
  <c r="Q223" i="1" s="1"/>
  <c r="N223" i="1" a="1"/>
  <c r="N223" i="1" s="1"/>
  <c r="K223" i="1" a="1"/>
  <c r="K223" i="1" s="1"/>
  <c r="H223" i="1" a="1"/>
  <c r="H223" i="1" s="1"/>
  <c r="S223" i="1" a="1"/>
  <c r="S223" i="1" s="1"/>
  <c r="G223" i="1" a="1"/>
  <c r="G223" i="1" s="1"/>
  <c r="Y223" i="1" a="1"/>
  <c r="Y223" i="1" s="1"/>
  <c r="M223" i="1" a="1"/>
  <c r="M223" i="1" s="1"/>
  <c r="W242" i="1" a="1"/>
  <c r="W242" i="1" s="1"/>
  <c r="W241" i="1" a="1"/>
  <c r="W241" i="1" s="1"/>
  <c r="J223" i="1" a="1"/>
  <c r="J223" i="1" s="1"/>
  <c r="P223" i="1" a="1"/>
  <c r="P223" i="1" s="1"/>
  <c r="V223" i="1" a="1"/>
  <c r="V223" i="1" s="1"/>
  <c r="Q236" i="1"/>
  <c r="Q242" i="1"/>
  <c r="Q241" i="1"/>
  <c r="Q237" i="1"/>
  <c r="Q52" i="1"/>
  <c r="F55" i="1"/>
  <c r="Q55" i="1"/>
  <c r="F52" i="1"/>
  <c r="Q46" i="1" a="1"/>
  <c r="Q46" i="1" s="1"/>
  <c r="H46" i="1" a="1"/>
  <c r="H46" i="1" s="1"/>
  <c r="Y46" i="1" a="1"/>
  <c r="Y46" i="1" s="1"/>
  <c r="V46" i="1" a="1"/>
  <c r="V46" i="1" s="1"/>
  <c r="S46" i="1" a="1"/>
  <c r="S46" i="1" s="1"/>
  <c r="P46" i="1" a="1"/>
  <c r="P46" i="1" s="1"/>
  <c r="M46" i="1" a="1"/>
  <c r="M46" i="1" s="1"/>
  <c r="J46" i="1" a="1"/>
  <c r="J46" i="1" s="1"/>
  <c r="G46" i="1" a="1"/>
  <c r="G46" i="1" s="1"/>
  <c r="Z46" i="1" a="1"/>
  <c r="Z46" i="1" s="1"/>
  <c r="W46" i="1" a="1"/>
  <c r="W46" i="1" s="1"/>
  <c r="T46" i="1" a="1"/>
  <c r="T46" i="1" s="1"/>
  <c r="N46" i="1" a="1"/>
  <c r="N46" i="1" s="1"/>
  <c r="K46" i="1" a="1"/>
  <c r="K46" i="1" s="1"/>
  <c r="Q550" i="1"/>
  <c r="F550" i="1"/>
  <c r="F555" i="1"/>
  <c r="Q555" i="1"/>
  <c r="W546" i="1" a="1"/>
  <c r="W546" i="1" s="1"/>
  <c r="Z532" i="1" a="1"/>
  <c r="Z532" i="1" s="1"/>
  <c r="W532" i="1" a="1"/>
  <c r="W532" i="1" s="1"/>
  <c r="T532" i="1" a="1"/>
  <c r="T532" i="1" s="1"/>
  <c r="Q532" i="1" a="1"/>
  <c r="Q532" i="1" s="1"/>
  <c r="N532" i="1" a="1"/>
  <c r="N532" i="1" s="1"/>
  <c r="K532" i="1" a="1"/>
  <c r="K532" i="1" s="1"/>
  <c r="H532" i="1" a="1"/>
  <c r="H532" i="1" s="1"/>
  <c r="V532" i="1" a="1"/>
  <c r="V532" i="1" s="1"/>
  <c r="P532" i="1" a="1"/>
  <c r="P532" i="1" s="1"/>
  <c r="J532" i="1" a="1"/>
  <c r="J532" i="1" s="1"/>
  <c r="Y532" i="1" a="1"/>
  <c r="Y532" i="1" s="1"/>
  <c r="M532" i="1" a="1"/>
  <c r="M532" i="1" s="1"/>
  <c r="W553" i="1" a="1"/>
  <c r="W553" i="1" s="1"/>
  <c r="G532" i="1" a="1"/>
  <c r="G532" i="1" s="1"/>
  <c r="S532" i="1" a="1"/>
  <c r="S532" i="1" s="1"/>
  <c r="B551" i="1" a="1"/>
  <c r="B551" i="1" s="1"/>
  <c r="B562" i="1" a="1"/>
  <c r="B562" i="1" s="1"/>
  <c r="Z393" i="1" a="1"/>
  <c r="Z393" i="1" s="1"/>
  <c r="W393" i="1" a="1"/>
  <c r="W393" i="1" s="1"/>
  <c r="T393" i="1" a="1"/>
  <c r="T393" i="1" s="1"/>
  <c r="Q393" i="1" a="1"/>
  <c r="Q393" i="1" s="1"/>
  <c r="N393" i="1" a="1"/>
  <c r="N393" i="1" s="1"/>
  <c r="K393" i="1" a="1"/>
  <c r="K393" i="1" s="1"/>
  <c r="H393" i="1" a="1"/>
  <c r="H393" i="1" s="1"/>
  <c r="Y393" i="1" a="1"/>
  <c r="Y393" i="1" s="1"/>
  <c r="S393" i="1" a="1"/>
  <c r="S393" i="1" s="1"/>
  <c r="M393" i="1" a="1"/>
  <c r="M393" i="1" s="1"/>
  <c r="G393" i="1" a="1"/>
  <c r="G393" i="1" s="1"/>
  <c r="P393" i="1" a="1"/>
  <c r="P393" i="1" s="1"/>
  <c r="V393" i="1" a="1"/>
  <c r="V393" i="1" s="1"/>
  <c r="J393" i="1" a="1"/>
  <c r="J393" i="1" s="1"/>
  <c r="Q577" i="1"/>
  <c r="Q580" i="1"/>
  <c r="F577" i="1"/>
  <c r="F580" i="1"/>
  <c r="Y568" i="1" a="1"/>
  <c r="Y568" i="1" s="1"/>
  <c r="V568" i="1" a="1"/>
  <c r="V568" i="1" s="1"/>
  <c r="S568" i="1" a="1"/>
  <c r="S568" i="1" s="1"/>
  <c r="P568" i="1" a="1"/>
  <c r="P568" i="1" s="1"/>
  <c r="M568" i="1" a="1"/>
  <c r="M568" i="1" s="1"/>
  <c r="J568" i="1" a="1"/>
  <c r="J568" i="1" s="1"/>
  <c r="G568" i="1" a="1"/>
  <c r="G568" i="1" s="1"/>
  <c r="W568" i="1" a="1"/>
  <c r="W568" i="1" s="1"/>
  <c r="Q568" i="1" a="1"/>
  <c r="Q568" i="1" s="1"/>
  <c r="K568" i="1" a="1"/>
  <c r="K568" i="1" s="1"/>
  <c r="T568" i="1" a="1"/>
  <c r="T568" i="1" s="1"/>
  <c r="H568" i="1" a="1"/>
  <c r="H568" i="1" s="1"/>
  <c r="N568" i="1" a="1"/>
  <c r="N568" i="1" s="1"/>
  <c r="Z568" i="1" a="1"/>
  <c r="Z568" i="1" s="1"/>
  <c r="V591" i="1"/>
  <c r="S591" i="1" s="1"/>
  <c r="V592" i="1"/>
  <c r="Y504" i="1" a="1"/>
  <c r="Y504" i="1" s="1"/>
  <c r="V504" i="1" a="1"/>
  <c r="V504" i="1" s="1"/>
  <c r="S504" i="1" a="1"/>
  <c r="S504" i="1" s="1"/>
  <c r="P504" i="1" a="1"/>
  <c r="P504" i="1" s="1"/>
  <c r="M504" i="1" a="1"/>
  <c r="M504" i="1" s="1"/>
  <c r="J504" i="1" a="1"/>
  <c r="J504" i="1" s="1"/>
  <c r="G504" i="1" a="1"/>
  <c r="G504" i="1" s="1"/>
  <c r="W504" i="1" a="1"/>
  <c r="W504" i="1" s="1"/>
  <c r="K504" i="1" a="1"/>
  <c r="K504" i="1" s="1"/>
  <c r="Z504" i="1" a="1"/>
  <c r="Z504" i="1" s="1"/>
  <c r="N504" i="1" a="1"/>
  <c r="N504" i="1" s="1"/>
  <c r="T504" i="1" a="1"/>
  <c r="T504" i="1" s="1"/>
  <c r="Q504" i="1" a="1"/>
  <c r="Q504" i="1" s="1"/>
  <c r="H504" i="1" a="1"/>
  <c r="H504" i="1" s="1"/>
  <c r="N460" i="1" a="1"/>
  <c r="N460" i="1" s="1"/>
  <c r="S474" i="1"/>
  <c r="Q439" i="1"/>
  <c r="V439" i="1" s="1"/>
  <c r="S439" i="1" s="1"/>
  <c r="Q438" i="1"/>
  <c r="V438" i="1" s="1"/>
  <c r="S438" i="1" s="1"/>
  <c r="Q448" i="1"/>
  <c r="V448" i="1" s="1"/>
  <c r="S448" i="1" s="1"/>
  <c r="Q454" i="1"/>
  <c r="V454" i="1" s="1"/>
  <c r="S454" i="1" s="1"/>
  <c r="Q449" i="1"/>
  <c r="V449" i="1" s="1"/>
  <c r="Q442" i="1"/>
  <c r="V442" i="1" s="1"/>
  <c r="Q441" i="1"/>
  <c r="V441" i="1" s="1"/>
  <c r="S441" i="1" s="1"/>
  <c r="Q453" i="1"/>
  <c r="V453" i="1" s="1"/>
  <c r="W451" i="1" a="1"/>
  <c r="W451" i="1" s="1"/>
  <c r="Y433" i="1" a="1"/>
  <c r="Y433" i="1" s="1"/>
  <c r="V433" i="1" a="1"/>
  <c r="V433" i="1" s="1"/>
  <c r="S433" i="1" a="1"/>
  <c r="S433" i="1" s="1"/>
  <c r="P433" i="1" a="1"/>
  <c r="P433" i="1" s="1"/>
  <c r="M433" i="1" a="1"/>
  <c r="M433" i="1" s="1"/>
  <c r="J433" i="1" a="1"/>
  <c r="J433" i="1" s="1"/>
  <c r="G433" i="1" a="1"/>
  <c r="G433" i="1" s="1"/>
  <c r="W452" i="1" a="1"/>
  <c r="W452" i="1" s="1"/>
  <c r="W433" i="1" a="1"/>
  <c r="W433" i="1" s="1"/>
  <c r="Q433" i="1" a="1"/>
  <c r="Q433" i="1" s="1"/>
  <c r="K433" i="1" a="1"/>
  <c r="K433" i="1" s="1"/>
  <c r="H433" i="1" a="1"/>
  <c r="H433" i="1" s="1"/>
  <c r="Z433" i="1" a="1"/>
  <c r="Z433" i="1" s="1"/>
  <c r="W442" i="1" a="1"/>
  <c r="W442" i="1" s="1"/>
  <c r="T433" i="1" a="1"/>
  <c r="T433" i="1" s="1"/>
  <c r="W449" i="1" a="1"/>
  <c r="W449" i="1" s="1"/>
  <c r="N433" i="1" a="1"/>
  <c r="N433" i="1" s="1"/>
  <c r="W551" i="1" a="1"/>
  <c r="W551" i="1" s="1"/>
  <c r="Y530" i="1" a="1"/>
  <c r="Y530" i="1" s="1"/>
  <c r="V530" i="1" a="1"/>
  <c r="V530" i="1" s="1"/>
  <c r="S530" i="1" a="1"/>
  <c r="S530" i="1" s="1"/>
  <c r="P530" i="1" a="1"/>
  <c r="P530" i="1" s="1"/>
  <c r="M530" i="1" a="1"/>
  <c r="M530" i="1" s="1"/>
  <c r="J530" i="1" a="1"/>
  <c r="J530" i="1" s="1"/>
  <c r="G530" i="1" a="1"/>
  <c r="G530" i="1" s="1"/>
  <c r="W552" i="1" a="1"/>
  <c r="W552" i="1" s="1"/>
  <c r="Z530" i="1" a="1"/>
  <c r="Z530" i="1" s="1"/>
  <c r="T530" i="1" a="1"/>
  <c r="T530" i="1" s="1"/>
  <c r="W530" i="1" a="1"/>
  <c r="W530" i="1" s="1"/>
  <c r="K530" i="1" a="1"/>
  <c r="K530" i="1" s="1"/>
  <c r="Q530" i="1" a="1"/>
  <c r="Q530" i="1" s="1"/>
  <c r="N530" i="1" a="1"/>
  <c r="N530" i="1" s="1"/>
  <c r="W554" i="1" a="1"/>
  <c r="W554" i="1" s="1"/>
  <c r="W547" i="1" a="1"/>
  <c r="W547" i="1" s="1"/>
  <c r="Z538" i="1" a="1"/>
  <c r="Z538" i="1" s="1"/>
  <c r="W538" i="1" a="1"/>
  <c r="W538" i="1" s="1"/>
  <c r="T538" i="1" a="1"/>
  <c r="T538" i="1" s="1"/>
  <c r="Q538" i="1" a="1"/>
  <c r="Q538" i="1" s="1"/>
  <c r="N538" i="1" a="1"/>
  <c r="N538" i="1" s="1"/>
  <c r="K538" i="1" a="1"/>
  <c r="K538" i="1" s="1"/>
  <c r="H538" i="1" a="1"/>
  <c r="H538" i="1" s="1"/>
  <c r="Y538" i="1" a="1"/>
  <c r="Y538" i="1" s="1"/>
  <c r="S538" i="1" a="1"/>
  <c r="S538" i="1" s="1"/>
  <c r="M538" i="1" a="1"/>
  <c r="M538" i="1" s="1"/>
  <c r="G538" i="1" a="1"/>
  <c r="G538" i="1" s="1"/>
  <c r="W557" i="1" a="1"/>
  <c r="W557" i="1" s="1"/>
  <c r="W556" i="1" a="1"/>
  <c r="W556" i="1" s="1"/>
  <c r="P538" i="1" a="1"/>
  <c r="P538" i="1" s="1"/>
  <c r="J538" i="1" a="1"/>
  <c r="J538" i="1" s="1"/>
  <c r="V538" i="1" a="1"/>
  <c r="V538" i="1" s="1"/>
  <c r="Q545" i="1"/>
  <c r="F542" i="1"/>
  <c r="F545" i="1"/>
  <c r="Q542" i="1"/>
  <c r="V482" i="1"/>
  <c r="S482" i="1" s="1"/>
  <c r="V481" i="1"/>
  <c r="S481" i="1" s="1"/>
  <c r="Y447" i="1"/>
  <c r="F410" i="1"/>
  <c r="Q415" i="1"/>
  <c r="F415" i="1"/>
  <c r="Q410" i="1"/>
  <c r="Z390" i="1" a="1"/>
  <c r="Z390" i="1" s="1"/>
  <c r="W390" i="1" a="1"/>
  <c r="W390" i="1" s="1"/>
  <c r="T390" i="1" a="1"/>
  <c r="T390" i="1" s="1"/>
  <c r="K390" i="1" a="1"/>
  <c r="K390" i="1" s="1"/>
  <c r="W412" i="1" a="1"/>
  <c r="W412" i="1" s="1"/>
  <c r="Y390" i="1" a="1"/>
  <c r="Y390" i="1" s="1"/>
  <c r="S390" i="1" a="1"/>
  <c r="S390" i="1" s="1"/>
  <c r="M390" i="1" a="1"/>
  <c r="M390" i="1" s="1"/>
  <c r="G390" i="1" a="1"/>
  <c r="G390" i="1" s="1"/>
  <c r="W411" i="1" a="1"/>
  <c r="W411" i="1" s="1"/>
  <c r="P390" i="1" a="1"/>
  <c r="P390" i="1" s="1"/>
  <c r="V390" i="1" a="1"/>
  <c r="V390" i="1" s="1"/>
  <c r="J390" i="1" a="1"/>
  <c r="J390" i="1" s="1"/>
  <c r="Z358" i="1" a="1"/>
  <c r="Z358" i="1" s="1"/>
  <c r="W358" i="1" a="1"/>
  <c r="W358" i="1" s="1"/>
  <c r="T358" i="1" a="1"/>
  <c r="T358" i="1" s="1"/>
  <c r="Q358" i="1" a="1"/>
  <c r="Q358" i="1" s="1"/>
  <c r="N358" i="1" a="1"/>
  <c r="N358" i="1" s="1"/>
  <c r="P358" i="1" a="1"/>
  <c r="P358" i="1" s="1"/>
  <c r="S358" i="1" a="1"/>
  <c r="S358" i="1" s="1"/>
  <c r="K358" i="1" a="1"/>
  <c r="K358" i="1" s="1"/>
  <c r="H358" i="1" a="1"/>
  <c r="H358" i="1" s="1"/>
  <c r="V358" i="1" a="1"/>
  <c r="V358" i="1" s="1"/>
  <c r="M358" i="1" a="1"/>
  <c r="M358" i="1" s="1"/>
  <c r="G358" i="1" a="1"/>
  <c r="G358" i="1" s="1"/>
  <c r="Y358" i="1" a="1"/>
  <c r="Y358" i="1" s="1"/>
  <c r="J358" i="1" a="1"/>
  <c r="J358" i="1" s="1"/>
  <c r="W371" i="1" a="1"/>
  <c r="W371" i="1" s="1"/>
  <c r="W378" i="1" a="1"/>
  <c r="W378" i="1" s="1"/>
  <c r="Y357" i="1" a="1"/>
  <c r="Y357" i="1" s="1"/>
  <c r="V357" i="1" a="1"/>
  <c r="V357" i="1" s="1"/>
  <c r="S357" i="1" a="1"/>
  <c r="S357" i="1" s="1"/>
  <c r="P357" i="1" a="1"/>
  <c r="P357" i="1" s="1"/>
  <c r="M357" i="1" a="1"/>
  <c r="M357" i="1" s="1"/>
  <c r="J357" i="1" a="1"/>
  <c r="J357" i="1" s="1"/>
  <c r="G357" i="1" a="1"/>
  <c r="G357" i="1" s="1"/>
  <c r="Z357" i="1" a="1"/>
  <c r="Z357" i="1" s="1"/>
  <c r="T357" i="1" a="1"/>
  <c r="T357" i="1" s="1"/>
  <c r="N357" i="1" a="1"/>
  <c r="N357" i="1" s="1"/>
  <c r="H357" i="1" a="1"/>
  <c r="H357" i="1" s="1"/>
  <c r="W357" i="1" a="1"/>
  <c r="W357" i="1" s="1"/>
  <c r="Q357" i="1" a="1"/>
  <c r="Q357" i="1" s="1"/>
  <c r="K357" i="1" a="1"/>
  <c r="K357" i="1" s="1"/>
  <c r="Z364" i="1" a="1"/>
  <c r="Z364" i="1" s="1"/>
  <c r="W364" i="1" a="1"/>
  <c r="W364" i="1" s="1"/>
  <c r="T364" i="1" a="1"/>
  <c r="T364" i="1" s="1"/>
  <c r="Q364" i="1" a="1"/>
  <c r="Q364" i="1" s="1"/>
  <c r="N364" i="1" a="1"/>
  <c r="N364" i="1" s="1"/>
  <c r="K364" i="1" a="1"/>
  <c r="K364" i="1" s="1"/>
  <c r="H364" i="1" a="1"/>
  <c r="H364" i="1" s="1"/>
  <c r="V364" i="1" a="1"/>
  <c r="V364" i="1" s="1"/>
  <c r="P364" i="1" a="1"/>
  <c r="P364" i="1" s="1"/>
  <c r="J364" i="1" a="1"/>
  <c r="J364" i="1" s="1"/>
  <c r="S364" i="1" a="1"/>
  <c r="S364" i="1" s="1"/>
  <c r="G364" i="1" a="1"/>
  <c r="G364" i="1" s="1"/>
  <c r="Y364" i="1" a="1"/>
  <c r="Y364" i="1" s="1"/>
  <c r="M364" i="1" a="1"/>
  <c r="M364" i="1" s="1"/>
  <c r="B387" i="1" a="1"/>
  <c r="B387" i="1" s="1"/>
  <c r="B376" i="1" a="1"/>
  <c r="B376" i="1" s="1"/>
  <c r="Z256" i="1" a="1"/>
  <c r="Z256" i="1" s="1"/>
  <c r="S256" i="1" a="1"/>
  <c r="S256" i="1" s="1"/>
  <c r="N256" i="1" a="1"/>
  <c r="N256" i="1" s="1"/>
  <c r="G256" i="1" a="1"/>
  <c r="G256" i="1" s="1"/>
  <c r="Y256" i="1" a="1"/>
  <c r="Y256" i="1" s="1"/>
  <c r="T256" i="1" a="1"/>
  <c r="T256" i="1" s="1"/>
  <c r="M256" i="1" a="1"/>
  <c r="M256" i="1" s="1"/>
  <c r="H256" i="1" a="1"/>
  <c r="H256" i="1" s="1"/>
  <c r="K256" i="1" a="1"/>
  <c r="K256" i="1" s="1"/>
  <c r="Q256" i="1" a="1"/>
  <c r="Q256" i="1" s="1"/>
  <c r="J256" i="1" a="1"/>
  <c r="J256" i="1" s="1"/>
  <c r="W256" i="1" a="1"/>
  <c r="W256" i="1" s="1"/>
  <c r="V256" i="1" a="1"/>
  <c r="V256" i="1" s="1"/>
  <c r="P256" i="1" a="1"/>
  <c r="P256" i="1" s="1"/>
  <c r="Y329" i="1" a="1"/>
  <c r="Y329" i="1" s="1"/>
  <c r="V329" i="1" a="1"/>
  <c r="V329" i="1" s="1"/>
  <c r="S329" i="1" a="1"/>
  <c r="S329" i="1" s="1"/>
  <c r="P329" i="1" a="1"/>
  <c r="P329" i="1" s="1"/>
  <c r="M329" i="1" a="1"/>
  <c r="M329" i="1" s="1"/>
  <c r="J329" i="1" a="1"/>
  <c r="J329" i="1" s="1"/>
  <c r="G329" i="1" a="1"/>
  <c r="G329" i="1" s="1"/>
  <c r="W329" i="1" a="1"/>
  <c r="W329" i="1" s="1"/>
  <c r="Q329" i="1" a="1"/>
  <c r="Q329" i="1" s="1"/>
  <c r="K329" i="1" a="1"/>
  <c r="K329" i="1" s="1"/>
  <c r="Z329" i="1" a="1"/>
  <c r="Z329" i="1" s="1"/>
  <c r="T329" i="1" a="1"/>
  <c r="T329" i="1" s="1"/>
  <c r="N329" i="1" a="1"/>
  <c r="N329" i="1" s="1"/>
  <c r="H329" i="1" a="1"/>
  <c r="H329" i="1" s="1"/>
  <c r="W349" i="1" a="1"/>
  <c r="W349" i="1" s="1"/>
  <c r="Y325" i="1" a="1"/>
  <c r="Y325" i="1" s="1"/>
  <c r="V325" i="1" a="1"/>
  <c r="V325" i="1" s="1"/>
  <c r="S325" i="1" a="1"/>
  <c r="S325" i="1" s="1"/>
  <c r="P325" i="1" a="1"/>
  <c r="P325" i="1" s="1"/>
  <c r="M325" i="1" a="1"/>
  <c r="M325" i="1" s="1"/>
  <c r="J325" i="1" a="1"/>
  <c r="J325" i="1" s="1"/>
  <c r="G325" i="1" a="1"/>
  <c r="G325" i="1" s="1"/>
  <c r="Q325" i="1" a="1"/>
  <c r="Q325" i="1" s="1"/>
  <c r="W334" i="1" a="1"/>
  <c r="W334" i="1" s="1"/>
  <c r="W325" i="1" a="1"/>
  <c r="W325" i="1" s="1"/>
  <c r="K325" i="1" a="1"/>
  <c r="K325" i="1" s="1"/>
  <c r="H325" i="1" a="1"/>
  <c r="H325" i="1" s="1"/>
  <c r="N325" i="1" a="1"/>
  <c r="N325" i="1" s="1"/>
  <c r="T325" i="1" a="1"/>
  <c r="T325" i="1" s="1"/>
  <c r="Z325" i="1" a="1"/>
  <c r="Z325" i="1" s="1"/>
  <c r="B352" i="1" a="1"/>
  <c r="B352" i="1" s="1"/>
  <c r="B341" i="1" a="1"/>
  <c r="B341" i="1" s="1"/>
  <c r="W336" i="1" a="1"/>
  <c r="W336" i="1" s="1"/>
  <c r="Z322" i="1" a="1"/>
  <c r="Z322" i="1" s="1"/>
  <c r="V322" i="1" a="1"/>
  <c r="V322" i="1" s="1"/>
  <c r="N322" i="1" a="1"/>
  <c r="N322" i="1" s="1"/>
  <c r="J322" i="1" a="1"/>
  <c r="J322" i="1" s="1"/>
  <c r="W343" i="1" a="1"/>
  <c r="W343" i="1" s="1"/>
  <c r="T322" i="1" a="1"/>
  <c r="T322" i="1" s="1"/>
  <c r="P322" i="1" a="1"/>
  <c r="P322" i="1" s="1"/>
  <c r="H322" i="1" a="1"/>
  <c r="H322" i="1" s="1"/>
  <c r="S322" i="1" a="1"/>
  <c r="S322" i="1" s="1"/>
  <c r="K322" i="1" a="1"/>
  <c r="K322" i="1" s="1"/>
  <c r="Y322" i="1" a="1"/>
  <c r="Y322" i="1" s="1"/>
  <c r="Q322" i="1" a="1"/>
  <c r="Q322" i="1" s="1"/>
  <c r="W322" i="1" a="1"/>
  <c r="W322" i="1" s="1"/>
  <c r="G322" i="1" a="1"/>
  <c r="G322" i="1" s="1"/>
  <c r="M322" i="1" a="1"/>
  <c r="M322" i="1" s="1"/>
  <c r="W208" i="1" a="1"/>
  <c r="W208" i="1" s="1"/>
  <c r="W193" i="1" a="1"/>
  <c r="W193" i="1" s="1"/>
  <c r="Y179" i="1" a="1"/>
  <c r="Y179" i="1" s="1"/>
  <c r="V179" i="1" a="1"/>
  <c r="V179" i="1" s="1"/>
  <c r="S179" i="1" a="1"/>
  <c r="S179" i="1" s="1"/>
  <c r="P179" i="1" a="1"/>
  <c r="P179" i="1" s="1"/>
  <c r="M179" i="1" a="1"/>
  <c r="M179" i="1" s="1"/>
  <c r="J179" i="1" a="1"/>
  <c r="J179" i="1" s="1"/>
  <c r="G179" i="1" a="1"/>
  <c r="G179" i="1" s="1"/>
  <c r="Z179" i="1" a="1"/>
  <c r="Z179" i="1" s="1"/>
  <c r="W179" i="1" a="1"/>
  <c r="W179" i="1" s="1"/>
  <c r="T179" i="1" a="1"/>
  <c r="T179" i="1" s="1"/>
  <c r="Q179" i="1" a="1"/>
  <c r="Q179" i="1" s="1"/>
  <c r="N179" i="1" a="1"/>
  <c r="N179" i="1" s="1"/>
  <c r="Q210" i="1" s="1"/>
  <c r="K179" i="1" a="1"/>
  <c r="K179" i="1" s="1"/>
  <c r="H179" i="1" a="1"/>
  <c r="H179" i="1" s="1"/>
  <c r="Q201" i="1"/>
  <c r="Q202" i="1"/>
  <c r="Q207" i="1"/>
  <c r="Q206" i="1"/>
  <c r="W201" i="1" a="1"/>
  <c r="W201" i="1" s="1"/>
  <c r="W202" i="1" a="1"/>
  <c r="W202" i="1" s="1"/>
  <c r="Z180" i="1" a="1"/>
  <c r="Z180" i="1" s="1"/>
  <c r="T180" i="1" a="1"/>
  <c r="T180" i="1" s="1"/>
  <c r="Y180" i="1" a="1"/>
  <c r="Y180" i="1" s="1"/>
  <c r="S180" i="1" a="1"/>
  <c r="S180" i="1" s="1"/>
  <c r="M180" i="1" a="1"/>
  <c r="M180" i="1" s="1"/>
  <c r="G180" i="1" a="1"/>
  <c r="G180" i="1" s="1"/>
  <c r="P180" i="1" a="1"/>
  <c r="P180" i="1" s="1"/>
  <c r="W180" i="1" a="1"/>
  <c r="W180" i="1" s="1"/>
  <c r="K180" i="1" a="1"/>
  <c r="K180" i="1" s="1"/>
  <c r="Q180" i="1" a="1"/>
  <c r="Q180" i="1" s="1"/>
  <c r="V180" i="1" a="1"/>
  <c r="V180" i="1" s="1"/>
  <c r="J180" i="1" a="1"/>
  <c r="J180" i="1" s="1"/>
  <c r="W136" i="1" a="1"/>
  <c r="W136" i="1" s="1"/>
  <c r="Y118" i="1" a="1"/>
  <c r="Y118" i="1" s="1"/>
  <c r="V118" i="1" a="1"/>
  <c r="V118" i="1" s="1"/>
  <c r="S118" i="1" a="1"/>
  <c r="S118" i="1" s="1"/>
  <c r="P118" i="1" a="1"/>
  <c r="P118" i="1" s="1"/>
  <c r="M118" i="1" a="1"/>
  <c r="M118" i="1" s="1"/>
  <c r="J118" i="1" a="1"/>
  <c r="J118" i="1" s="1"/>
  <c r="G118" i="1" a="1"/>
  <c r="G118" i="1" s="1"/>
  <c r="W134" i="1" a="1"/>
  <c r="W134" i="1" s="1"/>
  <c r="W137" i="1" a="1"/>
  <c r="W137" i="1" s="1"/>
  <c r="W127" i="1" a="1"/>
  <c r="W127" i="1" s="1"/>
  <c r="Z118" i="1" a="1"/>
  <c r="Z118" i="1" s="1"/>
  <c r="T118" i="1" a="1"/>
  <c r="T118" i="1" s="1"/>
  <c r="N118" i="1" a="1"/>
  <c r="N118" i="1" s="1"/>
  <c r="H118" i="1" a="1"/>
  <c r="H118" i="1" s="1"/>
  <c r="W118" i="1" a="1"/>
  <c r="W118" i="1" s="1"/>
  <c r="Q118" i="1" a="1"/>
  <c r="Q118" i="1" s="1"/>
  <c r="K118" i="1" a="1"/>
  <c r="K118" i="1" s="1"/>
  <c r="N110" i="1" a="1"/>
  <c r="N110" i="1" s="1"/>
  <c r="Q136" i="1"/>
  <c r="Q132" i="1"/>
  <c r="Q131" i="1"/>
  <c r="Q137" i="1"/>
  <c r="Z49" i="1" a="1"/>
  <c r="Z49" i="1" s="1"/>
  <c r="W49" i="1" a="1"/>
  <c r="W49" i="1" s="1"/>
  <c r="T49" i="1" a="1"/>
  <c r="T49" i="1" s="1"/>
  <c r="Q49" i="1" a="1"/>
  <c r="Q49" i="1" s="1"/>
  <c r="N49" i="1" a="1"/>
  <c r="N49" i="1" s="1"/>
  <c r="K49" i="1" a="1"/>
  <c r="K49" i="1" s="1"/>
  <c r="H49" i="1" a="1"/>
  <c r="H49" i="1" s="1"/>
  <c r="Y49" i="1" a="1"/>
  <c r="Y49" i="1" s="1"/>
  <c r="V49" i="1" a="1"/>
  <c r="V49" i="1" s="1"/>
  <c r="S49" i="1" a="1"/>
  <c r="S49" i="1" s="1"/>
  <c r="P49" i="1" a="1"/>
  <c r="P49" i="1" s="1"/>
  <c r="M49" i="1" a="1"/>
  <c r="M49" i="1" s="1"/>
  <c r="J49" i="1" a="1"/>
  <c r="J49" i="1" s="1"/>
  <c r="G49" i="1" a="1"/>
  <c r="G49" i="1" s="1"/>
  <c r="Z14" i="1" a="1"/>
  <c r="Z14" i="1" s="1"/>
  <c r="W14" i="1" a="1"/>
  <c r="W14" i="1" s="1"/>
  <c r="T14" i="1" a="1"/>
  <c r="T14" i="1" s="1"/>
  <c r="Q14" i="1" a="1"/>
  <c r="Q14" i="1" s="1"/>
  <c r="N14" i="1" a="1"/>
  <c r="N14" i="1" s="1"/>
  <c r="K14" i="1" a="1"/>
  <c r="K14" i="1" s="1"/>
  <c r="H14" i="1" a="1"/>
  <c r="H14" i="1" s="1"/>
  <c r="Y14" i="1" a="1"/>
  <c r="Y14" i="1" s="1"/>
  <c r="V14" i="1" a="1"/>
  <c r="V14" i="1" s="1"/>
  <c r="S14" i="1" a="1"/>
  <c r="S14" i="1" s="1"/>
  <c r="P14" i="1" a="1"/>
  <c r="P14" i="1" s="1"/>
  <c r="M14" i="1" a="1"/>
  <c r="M14" i="1" s="1"/>
  <c r="J14" i="1" a="1"/>
  <c r="J14" i="1" s="1"/>
  <c r="G14" i="1" a="1"/>
  <c r="G14" i="1" s="1"/>
  <c r="W313" i="1" a="1"/>
  <c r="W313" i="1" s="1"/>
  <c r="W298" i="1" a="1"/>
  <c r="W298" i="1" s="1"/>
  <c r="W284" i="1" a="1"/>
  <c r="W284" i="1" s="1"/>
  <c r="S284" i="1" a="1"/>
  <c r="S284" i="1" s="1"/>
  <c r="K284" i="1" a="1"/>
  <c r="K284" i="1" s="1"/>
  <c r="G284" i="1" a="1"/>
  <c r="G284" i="1" s="1"/>
  <c r="Y284" i="1" a="1"/>
  <c r="Y284" i="1" s="1"/>
  <c r="Q284" i="1" a="1"/>
  <c r="Q284" i="1" s="1"/>
  <c r="M284" i="1" a="1"/>
  <c r="M284" i="1" s="1"/>
  <c r="T284" i="1" a="1"/>
  <c r="T284" i="1" s="1"/>
  <c r="Z284" i="1" a="1"/>
  <c r="Z284" i="1" s="1"/>
  <c r="J284" i="1" a="1"/>
  <c r="J284" i="1" s="1"/>
  <c r="H284" i="1" a="1"/>
  <c r="H284" i="1" s="1"/>
  <c r="V284" i="1" a="1"/>
  <c r="V284" i="1" s="1"/>
  <c r="N284" i="1" a="1"/>
  <c r="N284" i="1" s="1"/>
  <c r="Q315" i="1" s="1"/>
  <c r="P284" i="1" a="1"/>
  <c r="P284" i="1" s="1"/>
  <c r="W243" i="1" a="1"/>
  <c r="W243" i="1" s="1"/>
  <c r="W214" i="1" a="1"/>
  <c r="W214" i="1" s="1"/>
  <c r="S214" i="1" a="1"/>
  <c r="S214" i="1" s="1"/>
  <c r="K214" i="1" a="1"/>
  <c r="K214" i="1" s="1"/>
  <c r="G214" i="1" a="1"/>
  <c r="G214" i="1" s="1"/>
  <c r="W228" i="1" a="1"/>
  <c r="W228" i="1" s="1"/>
  <c r="Y214" i="1" a="1"/>
  <c r="Y214" i="1" s="1"/>
  <c r="Q214" i="1" a="1"/>
  <c r="Q214" i="1" s="1"/>
  <c r="M214" i="1" a="1"/>
  <c r="M214" i="1" s="1"/>
  <c r="T214" i="1" a="1"/>
  <c r="T214" i="1" s="1"/>
  <c r="Z214" i="1" a="1"/>
  <c r="Z214" i="1" s="1"/>
  <c r="J214" i="1" a="1"/>
  <c r="J214" i="1" s="1"/>
  <c r="H214" i="1" a="1"/>
  <c r="H214" i="1" s="1"/>
  <c r="V214" i="1" a="1"/>
  <c r="V214" i="1" s="1"/>
  <c r="N214" i="1" a="1"/>
  <c r="N214" i="1" s="1"/>
  <c r="Q245" i="1" s="1"/>
  <c r="P214" i="1" a="1"/>
  <c r="P214" i="1" s="1"/>
  <c r="Y144" i="1" a="1"/>
  <c r="Y144" i="1" s="1"/>
  <c r="V144" i="1" a="1"/>
  <c r="V144" i="1" s="1"/>
  <c r="S144" i="1" a="1"/>
  <c r="S144" i="1" s="1"/>
  <c r="P144" i="1" a="1"/>
  <c r="P144" i="1" s="1"/>
  <c r="M144" i="1" a="1"/>
  <c r="M144" i="1" s="1"/>
  <c r="J144" i="1" a="1"/>
  <c r="J144" i="1" s="1"/>
  <c r="G144" i="1" a="1"/>
  <c r="G144" i="1" s="1"/>
  <c r="W158" i="1" a="1"/>
  <c r="W158" i="1" s="1"/>
  <c r="Q144" i="1" a="1"/>
  <c r="Q144" i="1" s="1"/>
  <c r="T144" i="1" a="1"/>
  <c r="T144" i="1" s="1"/>
  <c r="H144" i="1" a="1"/>
  <c r="H144" i="1" s="1"/>
  <c r="W173" i="1" a="1"/>
  <c r="W173" i="1" s="1"/>
  <c r="W144" i="1" a="1"/>
  <c r="W144" i="1" s="1"/>
  <c r="N144" i="1" a="1"/>
  <c r="N144" i="1" s="1"/>
  <c r="Q175" i="1" s="1"/>
  <c r="Z144" i="1" a="1"/>
  <c r="Z144" i="1" s="1"/>
  <c r="K144" i="1" a="1"/>
  <c r="K144" i="1" s="1"/>
  <c r="W89" i="1" a="1"/>
  <c r="W89" i="1" s="1"/>
  <c r="Z80" i="1" a="1"/>
  <c r="Z80" i="1" s="1"/>
  <c r="W80" i="1" a="1"/>
  <c r="W80" i="1" s="1"/>
  <c r="T80" i="1" a="1"/>
  <c r="T80" i="1" s="1"/>
  <c r="Q80" i="1" a="1"/>
  <c r="Q80" i="1" s="1"/>
  <c r="N80" i="1" a="1"/>
  <c r="N80" i="1" s="1"/>
  <c r="K80" i="1" a="1"/>
  <c r="K80" i="1" s="1"/>
  <c r="H80" i="1" a="1"/>
  <c r="H80" i="1" s="1"/>
  <c r="Y80" i="1" a="1"/>
  <c r="Y80" i="1" s="1"/>
  <c r="M80" i="1" a="1"/>
  <c r="M80" i="1" s="1"/>
  <c r="W104" i="1" a="1"/>
  <c r="W104" i="1" s="1"/>
  <c r="P80" i="1" a="1"/>
  <c r="P80" i="1" s="1"/>
  <c r="V80" i="1" a="1"/>
  <c r="V80" i="1" s="1"/>
  <c r="J80" i="1" a="1"/>
  <c r="J80" i="1" s="1"/>
  <c r="S80" i="1" a="1"/>
  <c r="S80" i="1" s="1"/>
  <c r="G80" i="1" a="1"/>
  <c r="G80" i="1" s="1"/>
  <c r="S578" i="1"/>
  <c r="S582" i="1"/>
  <c r="W154" i="1" a="1"/>
  <c r="W154" i="1" s="1"/>
  <c r="Q154" i="1" a="1"/>
  <c r="Q154" i="1" s="1"/>
  <c r="K154" i="1" a="1"/>
  <c r="K154" i="1" s="1"/>
  <c r="V154" i="1" a="1"/>
  <c r="V154" i="1" s="1"/>
  <c r="P154" i="1" a="1"/>
  <c r="P154" i="1" s="1"/>
  <c r="J154" i="1" a="1"/>
  <c r="J154" i="1" s="1"/>
  <c r="S154" i="1" a="1"/>
  <c r="S154" i="1" s="1"/>
  <c r="G154" i="1" a="1"/>
  <c r="G154" i="1" s="1"/>
  <c r="Z154" i="1" a="1"/>
  <c r="Z154" i="1" s="1"/>
  <c r="N154" i="1" a="1"/>
  <c r="N154" i="1" s="1"/>
  <c r="T154" i="1" a="1"/>
  <c r="T154" i="1" s="1"/>
  <c r="H154" i="1" a="1"/>
  <c r="H154" i="1" s="1"/>
  <c r="Y154" i="1" a="1"/>
  <c r="Y154" i="1" s="1"/>
  <c r="M154" i="1" a="1"/>
  <c r="M154" i="1" s="1"/>
  <c r="Q159" i="1"/>
  <c r="V159" i="1" s="1"/>
  <c r="S159" i="1" s="1"/>
  <c r="Q158" i="1"/>
  <c r="V158" i="1" s="1"/>
  <c r="S158" i="1" s="1"/>
  <c r="Q174" i="1"/>
  <c r="V174" i="1" s="1"/>
  <c r="Q173" i="1"/>
  <c r="V173" i="1" s="1"/>
  <c r="Q169" i="1"/>
  <c r="V169" i="1" s="1"/>
  <c r="Q162" i="1"/>
  <c r="V162" i="1" s="1"/>
  <c r="S162" i="1" s="1"/>
  <c r="Q161" i="1"/>
  <c r="V161" i="1" s="1"/>
  <c r="Q168" i="1"/>
  <c r="V168" i="1" s="1"/>
  <c r="Z148" i="1" a="1"/>
  <c r="Z148" i="1" s="1"/>
  <c r="W148" i="1" a="1"/>
  <c r="W148" i="1" s="1"/>
  <c r="T148" i="1" a="1"/>
  <c r="T148" i="1" s="1"/>
  <c r="Q148" i="1" a="1"/>
  <c r="Q148" i="1" s="1"/>
  <c r="N148" i="1" a="1"/>
  <c r="N148" i="1" s="1"/>
  <c r="K148" i="1" a="1"/>
  <c r="K148" i="1" s="1"/>
  <c r="H148" i="1" a="1"/>
  <c r="H148" i="1" s="1"/>
  <c r="Y148" i="1" a="1"/>
  <c r="Y148" i="1" s="1"/>
  <c r="V148" i="1" a="1"/>
  <c r="V148" i="1" s="1"/>
  <c r="S148" i="1" a="1"/>
  <c r="S148" i="1" s="1"/>
  <c r="P148" i="1" a="1"/>
  <c r="P148" i="1" s="1"/>
  <c r="M148" i="1" a="1"/>
  <c r="M148" i="1" s="1"/>
  <c r="J148" i="1" a="1"/>
  <c r="J148" i="1" s="1"/>
  <c r="G148" i="1" a="1"/>
  <c r="G148" i="1" s="1"/>
  <c r="Q90" i="1"/>
  <c r="F87" i="1"/>
  <c r="F90" i="1"/>
  <c r="Q87" i="1"/>
  <c r="H75" i="1" a="1"/>
  <c r="H75" i="1" s="1"/>
  <c r="Q98" i="1"/>
  <c r="V98" i="1" s="1"/>
  <c r="Q104" i="1"/>
  <c r="V104" i="1" s="1"/>
  <c r="Q103" i="1"/>
  <c r="V103" i="1" s="1"/>
  <c r="Q99" i="1"/>
  <c r="V99" i="1" s="1"/>
  <c r="Q92" i="1"/>
  <c r="V92" i="1" s="1"/>
  <c r="S92" i="1" s="1"/>
  <c r="Q89" i="1"/>
  <c r="V89" i="1" s="1"/>
  <c r="S89" i="1" s="1"/>
  <c r="Q91" i="1"/>
  <c r="V91" i="1" s="1"/>
  <c r="S91" i="1" s="1"/>
  <c r="Q88" i="1"/>
  <c r="V88" i="1" s="1"/>
  <c r="S88" i="1" s="1"/>
  <c r="N285" i="1" a="1"/>
  <c r="N285" i="1" s="1"/>
  <c r="W314" i="1" a="1"/>
  <c r="W314" i="1" s="1"/>
  <c r="Y290" i="1" a="1"/>
  <c r="Y290" i="1" s="1"/>
  <c r="V290" i="1" a="1"/>
  <c r="V290" i="1" s="1"/>
  <c r="S290" i="1" a="1"/>
  <c r="S290" i="1" s="1"/>
  <c r="P290" i="1" a="1"/>
  <c r="P290" i="1" s="1"/>
  <c r="M290" i="1" a="1"/>
  <c r="M290" i="1" s="1"/>
  <c r="J290" i="1" a="1"/>
  <c r="J290" i="1" s="1"/>
  <c r="G290" i="1" a="1"/>
  <c r="G290" i="1" s="1"/>
  <c r="Z290" i="1" a="1"/>
  <c r="Z290" i="1" s="1"/>
  <c r="W290" i="1" a="1"/>
  <c r="W290" i="1" s="1"/>
  <c r="T290" i="1" a="1"/>
  <c r="T290" i="1" s="1"/>
  <c r="Q290" i="1" a="1"/>
  <c r="Q290" i="1" s="1"/>
  <c r="N290" i="1" a="1"/>
  <c r="N290" i="1" s="1"/>
  <c r="W299" i="1" a="1"/>
  <c r="W299" i="1" s="1"/>
  <c r="H290" i="1" a="1"/>
  <c r="H290" i="1" s="1"/>
  <c r="K290" i="1" a="1"/>
  <c r="K290" i="1" s="1"/>
  <c r="Q311" i="1"/>
  <c r="Q312" i="1"/>
  <c r="Q307" i="1"/>
  <c r="Q306" i="1"/>
  <c r="Q305" i="1"/>
  <c r="F310" i="1"/>
  <c r="F305" i="1"/>
  <c r="Q310" i="1"/>
  <c r="Y275" i="1"/>
  <c r="S274" i="1"/>
  <c r="Y215" i="1" a="1"/>
  <c r="Y215" i="1" s="1"/>
  <c r="V215" i="1" a="1"/>
  <c r="V215" i="1" s="1"/>
  <c r="S215" i="1" a="1"/>
  <c r="S215" i="1" s="1"/>
  <c r="P215" i="1" a="1"/>
  <c r="P215" i="1" s="1"/>
  <c r="M215" i="1" a="1"/>
  <c r="M215" i="1" s="1"/>
  <c r="J215" i="1" a="1"/>
  <c r="J215" i="1" s="1"/>
  <c r="G215" i="1" a="1"/>
  <c r="G215" i="1" s="1"/>
  <c r="W236" i="1" a="1"/>
  <c r="W236" i="1" s="1"/>
  <c r="W215" i="1" a="1"/>
  <c r="W215" i="1" s="1"/>
  <c r="K215" i="1" a="1"/>
  <c r="K215" i="1" s="1"/>
  <c r="W237" i="1" a="1"/>
  <c r="W237" i="1" s="1"/>
  <c r="Z215" i="1" a="1"/>
  <c r="Z215" i="1" s="1"/>
  <c r="T215" i="1" a="1"/>
  <c r="T215" i="1" s="1"/>
  <c r="Q215" i="1" a="1"/>
  <c r="Q215" i="1" s="1"/>
  <c r="W238" i="1" a="1"/>
  <c r="W238" i="1" s="1"/>
  <c r="W217" i="1" a="1"/>
  <c r="W217" i="1" s="1"/>
  <c r="S217" i="1" a="1"/>
  <c r="S217" i="1" s="1"/>
  <c r="K217" i="1" a="1"/>
  <c r="K217" i="1" s="1"/>
  <c r="G217" i="1" a="1"/>
  <c r="G217" i="1" s="1"/>
  <c r="W231" i="1" a="1"/>
  <c r="W231" i="1" s="1"/>
  <c r="Y217" i="1" a="1"/>
  <c r="Y217" i="1" s="1"/>
  <c r="Q217" i="1" a="1"/>
  <c r="Q217" i="1" s="1"/>
  <c r="M217" i="1" a="1"/>
  <c r="M217" i="1" s="1"/>
  <c r="Z217" i="1" a="1"/>
  <c r="Z217" i="1" s="1"/>
  <c r="J217" i="1" a="1"/>
  <c r="J217" i="1" s="1"/>
  <c r="P217" i="1" a="1"/>
  <c r="P217" i="1" s="1"/>
  <c r="H217" i="1" a="1"/>
  <c r="H217" i="1" s="1"/>
  <c r="T217" i="1" a="1"/>
  <c r="T217" i="1" s="1"/>
  <c r="N217" i="1" a="1"/>
  <c r="N217" i="1" s="1"/>
  <c r="V217" i="1" a="1"/>
  <c r="V217" i="1" s="1"/>
  <c r="B131" i="1" a="1"/>
  <c r="B131" i="1" s="1"/>
  <c r="B142" i="1" a="1"/>
  <c r="B142" i="1" s="1"/>
  <c r="P42" i="1" a="1"/>
  <c r="P42" i="1" s="1"/>
  <c r="J42" i="1" a="1"/>
  <c r="J42" i="1" s="1"/>
  <c r="W63" i="1" a="1"/>
  <c r="W63" i="1" s="1"/>
  <c r="Z42" i="1" a="1"/>
  <c r="Z42" i="1" s="1"/>
  <c r="W42" i="1" a="1"/>
  <c r="W42" i="1" s="1"/>
  <c r="T42" i="1" a="1"/>
  <c r="T42" i="1" s="1"/>
  <c r="Q42" i="1" a="1"/>
  <c r="Q42" i="1" s="1"/>
  <c r="N42" i="1" a="1"/>
  <c r="N42" i="1" s="1"/>
  <c r="K42" i="1" a="1"/>
  <c r="K42" i="1" s="1"/>
  <c r="H42" i="1" a="1"/>
  <c r="H42" i="1" s="1"/>
  <c r="W56" i="1" a="1"/>
  <c r="W56" i="1" s="1"/>
  <c r="Y42" i="1" a="1"/>
  <c r="Y42" i="1" s="1"/>
  <c r="V42" i="1" a="1"/>
  <c r="V42" i="1" s="1"/>
  <c r="S42" i="1" a="1"/>
  <c r="S42" i="1" s="1"/>
  <c r="M42" i="1" a="1"/>
  <c r="M42" i="1" s="1"/>
  <c r="G42" i="1" a="1"/>
  <c r="G42" i="1" s="1"/>
  <c r="V66" i="1"/>
  <c r="S66" i="1" s="1"/>
  <c r="V67" i="1"/>
  <c r="S67" i="1" s="1"/>
  <c r="F352" i="1" l="1"/>
  <c r="F351" i="1"/>
  <c r="Q352" i="1"/>
  <c r="Q351" i="1"/>
  <c r="J351" i="1"/>
  <c r="U351" i="1"/>
  <c r="S56" i="1"/>
  <c r="S273" i="1"/>
  <c r="Y272" i="1"/>
  <c r="Y508" i="1"/>
  <c r="S523" i="1"/>
  <c r="V517" i="1"/>
  <c r="S517" i="1" s="1"/>
  <c r="V516" i="1"/>
  <c r="S516" i="1" s="1"/>
  <c r="V552" i="1"/>
  <c r="S552" i="1" s="1"/>
  <c r="V551" i="1"/>
  <c r="S551" i="1" s="1"/>
  <c r="V97" i="1"/>
  <c r="S97" i="1" s="1"/>
  <c r="V96" i="1"/>
  <c r="S96" i="1" s="1"/>
  <c r="S336" i="1"/>
  <c r="S372" i="1"/>
  <c r="S418" i="1"/>
  <c r="Y403" i="1"/>
  <c r="Y510" i="1"/>
  <c r="S524" i="1"/>
  <c r="S228" i="1"/>
  <c r="Y230" i="1"/>
  <c r="S244" i="1"/>
  <c r="S302" i="1"/>
  <c r="V342" i="1"/>
  <c r="S342" i="1" s="1"/>
  <c r="V341" i="1"/>
  <c r="S341" i="1" s="1"/>
  <c r="Y170" i="1"/>
  <c r="S169" i="1"/>
  <c r="S508" i="1"/>
  <c r="Q142" i="1"/>
  <c r="Q141" i="1"/>
  <c r="F142" i="1"/>
  <c r="J141" i="1"/>
  <c r="F141" i="1"/>
  <c r="U141" i="1"/>
  <c r="Y298" i="1"/>
  <c r="S313" i="1"/>
  <c r="S343" i="1"/>
  <c r="Y342" i="1"/>
  <c r="V237" i="1"/>
  <c r="S237" i="1" s="1"/>
  <c r="V236" i="1"/>
  <c r="S236" i="1" s="1"/>
  <c r="V137" i="1"/>
  <c r="S137" i="1" s="1"/>
  <c r="V136" i="1"/>
  <c r="S136" i="1" s="1"/>
  <c r="S554" i="1"/>
  <c r="Y555" i="1"/>
  <c r="S383" i="1"/>
  <c r="Y368" i="1"/>
  <c r="U526" i="1"/>
  <c r="F527" i="1"/>
  <c r="F526" i="1"/>
  <c r="Q526" i="1"/>
  <c r="J526" i="1"/>
  <c r="Q527" i="1"/>
  <c r="Y580" i="1"/>
  <c r="S594" i="1"/>
  <c r="Y415" i="1"/>
  <c r="S414" i="1"/>
  <c r="Y473" i="1"/>
  <c r="S488" i="1"/>
  <c r="S309" i="1"/>
  <c r="Y310" i="1"/>
  <c r="S103" i="1"/>
  <c r="Y88" i="1"/>
  <c r="Y125" i="1"/>
  <c r="S139" i="1"/>
  <c r="S337" i="1"/>
  <c r="S368" i="1"/>
  <c r="S518" i="1"/>
  <c r="Y517" i="1"/>
  <c r="S133" i="1"/>
  <c r="Y132" i="1"/>
  <c r="Y195" i="1"/>
  <c r="S209" i="1"/>
  <c r="S63" i="1"/>
  <c r="Y62" i="1"/>
  <c r="S553" i="1"/>
  <c r="Y552" i="1"/>
  <c r="S203" i="1"/>
  <c r="Y202" i="1"/>
  <c r="V307" i="1"/>
  <c r="S307" i="1" s="1"/>
  <c r="V306" i="1"/>
  <c r="S306" i="1" s="1"/>
  <c r="Y300" i="1"/>
  <c r="S314" i="1"/>
  <c r="S104" i="1"/>
  <c r="Y90" i="1"/>
  <c r="V202" i="1"/>
  <c r="S202" i="1" s="1"/>
  <c r="V201" i="1"/>
  <c r="S201" i="1" s="1"/>
  <c r="Y193" i="1"/>
  <c r="S208" i="1"/>
  <c r="Q387" i="1"/>
  <c r="Q386" i="1"/>
  <c r="J386" i="1"/>
  <c r="F387" i="1"/>
  <c r="F386" i="1"/>
  <c r="U386" i="1"/>
  <c r="V242" i="1"/>
  <c r="S242" i="1" s="1"/>
  <c r="V241" i="1"/>
  <c r="S241" i="1" s="1"/>
  <c r="S174" i="1"/>
  <c r="Y160" i="1"/>
  <c r="S98" i="1"/>
  <c r="Y97" i="1"/>
  <c r="S193" i="1"/>
  <c r="F212" i="1"/>
  <c r="F211" i="1"/>
  <c r="U211" i="1"/>
  <c r="Q211" i="1"/>
  <c r="Q212" i="1"/>
  <c r="J211" i="1"/>
  <c r="Q422" i="1"/>
  <c r="Q421" i="1"/>
  <c r="J421" i="1"/>
  <c r="F422" i="1"/>
  <c r="F421" i="1"/>
  <c r="U421" i="1"/>
  <c r="V417" i="1"/>
  <c r="S417" i="1" s="1"/>
  <c r="V416" i="1"/>
  <c r="S416" i="1" s="1"/>
  <c r="S419" i="1"/>
  <c r="Y405" i="1"/>
  <c r="S547" i="1"/>
  <c r="Y590" i="1"/>
  <c r="S589" i="1"/>
  <c r="Y333" i="1"/>
  <c r="S348" i="1"/>
  <c r="S344" i="1"/>
  <c r="Y345" i="1"/>
  <c r="V272" i="1"/>
  <c r="S272" i="1" s="1"/>
  <c r="V271" i="1"/>
  <c r="S271" i="1" s="1"/>
  <c r="V382" i="1"/>
  <c r="S382" i="1" s="1"/>
  <c r="V381" i="1"/>
  <c r="S381" i="1" s="1"/>
  <c r="S384" i="1"/>
  <c r="Y370" i="1"/>
  <c r="Y543" i="1"/>
  <c r="S558" i="1"/>
  <c r="F492" i="1"/>
  <c r="F491" i="1"/>
  <c r="Q491" i="1"/>
  <c r="Q492" i="1"/>
  <c r="U491" i="1"/>
  <c r="J491" i="1"/>
  <c r="V171" i="1"/>
  <c r="S171" i="1" s="1"/>
  <c r="V172" i="1"/>
  <c r="S172" i="1" s="1"/>
  <c r="S333" i="1"/>
  <c r="S266" i="1"/>
  <c r="S371" i="1"/>
  <c r="S369" i="1"/>
  <c r="Q457" i="1"/>
  <c r="Q456" i="1"/>
  <c r="J456" i="1"/>
  <c r="F457" i="1"/>
  <c r="F456" i="1"/>
  <c r="U456" i="1"/>
  <c r="V451" i="1"/>
  <c r="S451" i="1" s="1"/>
  <c r="V452" i="1"/>
  <c r="S452" i="1" s="1"/>
  <c r="S232" i="1"/>
  <c r="S299" i="1"/>
  <c r="S138" i="1"/>
  <c r="Y123" i="1"/>
  <c r="V347" i="1"/>
  <c r="S347" i="1" s="1"/>
  <c r="V346" i="1"/>
  <c r="S346" i="1" s="1"/>
  <c r="S34" i="1"/>
  <c r="Y20" i="1"/>
  <c r="S69" i="1"/>
  <c r="Y55" i="1"/>
  <c r="S489" i="1"/>
  <c r="Y475" i="1"/>
  <c r="S511" i="1"/>
  <c r="S378" i="1"/>
  <c r="Y377" i="1"/>
  <c r="Y240" i="1"/>
  <c r="S239" i="1"/>
  <c r="Y237" i="1"/>
  <c r="S238" i="1"/>
  <c r="V312" i="1"/>
  <c r="S312" i="1" s="1"/>
  <c r="V311" i="1"/>
  <c r="S311" i="1" s="1"/>
  <c r="Y228" i="1"/>
  <c r="S243" i="1"/>
  <c r="Y135" i="1"/>
  <c r="S134" i="1"/>
  <c r="Y335" i="1"/>
  <c r="S349" i="1"/>
  <c r="S442" i="1"/>
  <c r="F562" i="1"/>
  <c r="F561" i="1"/>
  <c r="Q562" i="1"/>
  <c r="Q561" i="1"/>
  <c r="J561" i="1"/>
  <c r="U561" i="1"/>
  <c r="S168" i="1"/>
  <c r="Y167" i="1"/>
  <c r="S161" i="1"/>
  <c r="S173" i="1"/>
  <c r="Y158" i="1"/>
  <c r="V132" i="1"/>
  <c r="S132" i="1" s="1"/>
  <c r="V131" i="1"/>
  <c r="S131" i="1" s="1"/>
  <c r="V207" i="1"/>
  <c r="S207" i="1" s="1"/>
  <c r="V206" i="1"/>
  <c r="S206" i="1" s="1"/>
  <c r="Y450" i="1"/>
  <c r="S449" i="1"/>
  <c r="S592" i="1"/>
  <c r="F317" i="1"/>
  <c r="F316" i="1"/>
  <c r="Q317" i="1"/>
  <c r="J316" i="1"/>
  <c r="U316" i="1"/>
  <c r="Q316" i="1"/>
  <c r="Y380" i="1"/>
  <c r="S379" i="1"/>
  <c r="V412" i="1"/>
  <c r="S412" i="1" s="1"/>
  <c r="V411" i="1"/>
  <c r="S411" i="1" s="1"/>
  <c r="S453" i="1"/>
  <c r="Y438" i="1"/>
  <c r="V522" i="1"/>
  <c r="S522" i="1" s="1"/>
  <c r="V521" i="1"/>
  <c r="S521" i="1" s="1"/>
  <c r="V277" i="1"/>
  <c r="S277" i="1" s="1"/>
  <c r="V276" i="1"/>
  <c r="S276" i="1" s="1"/>
  <c r="V376" i="1"/>
  <c r="S376" i="1" s="1"/>
  <c r="V377" i="1"/>
  <c r="S377" i="1" s="1"/>
  <c r="S407" i="1"/>
  <c r="V557" i="1"/>
  <c r="S557" i="1" s="1"/>
  <c r="V556" i="1"/>
  <c r="S556" i="1" s="1"/>
  <c r="S588" i="1"/>
  <c r="Y587" i="1"/>
  <c r="S308" i="1"/>
  <c r="Y307" i="1"/>
  <c r="V101" i="1"/>
  <c r="S101" i="1" s="1"/>
  <c r="V102" i="1"/>
  <c r="S102" i="1" s="1"/>
  <c r="V166" i="1"/>
  <c r="S166" i="1" s="1"/>
  <c r="V167" i="1"/>
  <c r="S167" i="1" s="1"/>
  <c r="S334" i="1"/>
  <c r="S413" i="1"/>
  <c r="Y412" i="1"/>
  <c r="Y545" i="1"/>
  <c r="S559" i="1"/>
  <c r="V447" i="1"/>
  <c r="S447" i="1" s="1"/>
  <c r="V446" i="1"/>
  <c r="S446" i="1" s="1"/>
  <c r="J106" i="1"/>
  <c r="U106" i="1"/>
  <c r="Q107" i="1"/>
  <c r="Q106" i="1"/>
  <c r="F106" i="1"/>
  <c r="F107" i="1"/>
  <c r="S231" i="1"/>
  <c r="S298" i="1"/>
  <c r="S301" i="1"/>
  <c r="Q177" i="1"/>
  <c r="Q176" i="1"/>
  <c r="U176" i="1"/>
  <c r="J176" i="1"/>
  <c r="F177" i="1"/>
  <c r="F176" i="1"/>
  <c r="Y100" i="1"/>
  <c r="S99" i="1"/>
  <c r="S50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2" x14ac:knownFonts="1">
    <font>
      <sz val="10"/>
      <color rgb="FF000000"/>
      <name val="Arial"/>
      <scheme val="minor"/>
    </font>
    <font>
      <sz val="10"/>
      <color rgb="FFFFFFFF"/>
      <name val="Calibri"/>
      <family val="2"/>
    </font>
    <font>
      <sz val="12"/>
      <color rgb="FF0000FF"/>
      <name val="Pacifico"/>
    </font>
    <font>
      <sz val="10"/>
      <name val="Arial"/>
      <family val="2"/>
    </font>
    <font>
      <b/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C5F2D5"/>
        <bgColor rgb="FFC5F2D5"/>
      </patternFill>
    </fill>
    <fill>
      <patternFill patternType="solid">
        <fgColor rgb="FFF3F3F3"/>
        <bgColor rgb="FFF3F3F3"/>
      </patternFill>
    </fill>
    <fill>
      <patternFill patternType="solid">
        <fgColor rgb="FFE7F8ED"/>
        <bgColor rgb="FFE7F8ED"/>
      </patternFill>
    </fill>
    <fill>
      <patternFill patternType="solid">
        <fgColor rgb="FFFFEEFF"/>
        <bgColor rgb="FFFFEEFF"/>
      </patternFill>
    </fill>
    <fill>
      <patternFill patternType="solid">
        <fgColor rgb="FFFECCFE"/>
        <bgColor rgb="FFFECCFE"/>
      </patternFill>
    </fill>
    <fill>
      <patternFill patternType="solid">
        <fgColor rgb="FFDFF4F6"/>
        <bgColor rgb="FFDFF4F6"/>
      </patternFill>
    </fill>
    <fill>
      <patternFill patternType="solid">
        <fgColor rgb="FFD6EEEF"/>
        <bgColor rgb="FFD6EEEF"/>
      </patternFill>
    </fill>
  </fills>
  <borders count="81">
    <border>
      <left/>
      <right/>
      <top/>
      <bottom/>
      <diagonal/>
    </border>
    <border>
      <left style="thick">
        <color rgb="FF999999"/>
      </left>
      <right/>
      <top style="thick">
        <color rgb="FF999999"/>
      </top>
      <bottom/>
      <diagonal/>
    </border>
    <border>
      <left/>
      <right/>
      <top style="thick">
        <color rgb="FF999999"/>
      </top>
      <bottom/>
      <diagonal/>
    </border>
    <border>
      <left/>
      <right style="thick">
        <color rgb="FF999999"/>
      </right>
      <top style="thick">
        <color rgb="FF999999"/>
      </top>
      <bottom/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ck">
        <color rgb="FF999999"/>
      </left>
      <right/>
      <top/>
      <bottom style="thick">
        <color rgb="FF999999"/>
      </bottom>
      <diagonal/>
    </border>
    <border>
      <left/>
      <right/>
      <top/>
      <bottom style="thick">
        <color rgb="FF999999"/>
      </bottom>
      <diagonal/>
    </border>
    <border>
      <left/>
      <right style="thick">
        <color rgb="FF999999"/>
      </right>
      <top/>
      <bottom style="thick">
        <color rgb="FF999999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 style="double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double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/>
      <diagonal/>
    </border>
    <border>
      <left style="thin">
        <color rgb="FF999999"/>
      </left>
      <right/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medium">
        <color rgb="FF999999"/>
      </bottom>
      <diagonal/>
    </border>
    <border>
      <left style="medium">
        <color rgb="FF999999"/>
      </left>
      <right/>
      <top/>
      <bottom style="thin">
        <color rgb="FF999999"/>
      </bottom>
      <diagonal/>
    </border>
    <border>
      <left/>
      <right style="medium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/>
      <bottom style="medium">
        <color rgb="FF999999"/>
      </bottom>
      <diagonal/>
    </border>
    <border>
      <left/>
      <right/>
      <top style="thin">
        <color rgb="FF999999"/>
      </top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 style="medium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999999"/>
      </right>
      <top/>
      <bottom/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3" fontId="8" fillId="9" borderId="14" xfId="0" applyNumberFormat="1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11" borderId="18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8" fillId="0" borderId="0" xfId="0" applyFont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8" fillId="9" borderId="24" xfId="0" applyFont="1" applyFill="1" applyBorder="1" applyAlignment="1">
      <alignment horizontal="center" vertical="center" wrapText="1"/>
    </xf>
    <xf numFmtId="0" fontId="8" fillId="11" borderId="25" xfId="0" applyFont="1" applyFill="1" applyBorder="1" applyAlignment="1">
      <alignment horizontal="center" vertical="center" wrapText="1"/>
    </xf>
    <xf numFmtId="3" fontId="8" fillId="9" borderId="26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8" fillId="11" borderId="27" xfId="0" applyFont="1" applyFill="1" applyBorder="1" applyAlignment="1">
      <alignment horizontal="center" vertical="center" wrapText="1"/>
    </xf>
    <xf numFmtId="10" fontId="8" fillId="11" borderId="25" xfId="0" applyNumberFormat="1" applyFont="1" applyFill="1" applyBorder="1" applyAlignment="1">
      <alignment horizontal="center" vertical="center" wrapText="1"/>
    </xf>
    <xf numFmtId="0" fontId="3" fillId="0" borderId="28" xfId="0" applyFont="1" applyBorder="1"/>
    <xf numFmtId="0" fontId="7" fillId="6" borderId="29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34" xfId="0" applyFont="1" applyBorder="1"/>
    <xf numFmtId="0" fontId="7" fillId="12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7" fillId="9" borderId="4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2" borderId="41" xfId="0" applyFont="1" applyFill="1" applyBorder="1" applyAlignment="1">
      <alignment horizontal="center" vertical="center" wrapText="1"/>
    </xf>
    <xf numFmtId="0" fontId="7" fillId="8" borderId="42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43" xfId="0" applyFont="1" applyBorder="1"/>
    <xf numFmtId="0" fontId="8" fillId="9" borderId="25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3" fillId="0" borderId="31" xfId="0" applyFont="1" applyBorder="1"/>
    <xf numFmtId="0" fontId="7" fillId="12" borderId="42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6" borderId="47" xfId="0" applyFont="1" applyFill="1" applyBorder="1" applyAlignment="1">
      <alignment horizontal="left" vertical="center" wrapText="1"/>
    </xf>
    <xf numFmtId="0" fontId="7" fillId="5" borderId="42" xfId="0" applyFont="1" applyFill="1" applyBorder="1" applyAlignment="1">
      <alignment horizontal="left" vertical="center" wrapText="1"/>
    </xf>
    <xf numFmtId="0" fontId="3" fillId="0" borderId="41" xfId="0" applyFont="1" applyBorder="1"/>
    <xf numFmtId="0" fontId="3" fillId="0" borderId="48" xfId="0" applyFont="1" applyBorder="1"/>
    <xf numFmtId="0" fontId="7" fillId="5" borderId="49" xfId="0" applyFont="1" applyFill="1" applyBorder="1" applyAlignment="1">
      <alignment horizontal="left" vertical="center" wrapText="1"/>
    </xf>
    <xf numFmtId="0" fontId="7" fillId="5" borderId="50" xfId="0" applyFont="1" applyFill="1" applyBorder="1" applyAlignment="1">
      <alignment horizontal="left" vertical="center"/>
    </xf>
    <xf numFmtId="0" fontId="7" fillId="5" borderId="49" xfId="0" applyFont="1" applyFill="1" applyBorder="1" applyAlignment="1">
      <alignment horizontal="left" vertical="center"/>
    </xf>
    <xf numFmtId="0" fontId="3" fillId="0" borderId="51" xfId="0" applyFont="1" applyBorder="1"/>
    <xf numFmtId="0" fontId="7" fillId="5" borderId="5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13" borderId="20" xfId="0" applyFont="1" applyFill="1" applyBorder="1" applyAlignment="1">
      <alignment horizontal="left" vertical="center"/>
    </xf>
    <xf numFmtId="0" fontId="7" fillId="13" borderId="21" xfId="0" applyFont="1" applyFill="1" applyBorder="1" applyAlignment="1">
      <alignment horizontal="left" vertical="center"/>
    </xf>
    <xf numFmtId="0" fontId="7" fillId="8" borderId="44" xfId="0" applyFont="1" applyFill="1" applyBorder="1" applyAlignment="1">
      <alignment horizontal="left" vertical="center" wrapText="1"/>
    </xf>
    <xf numFmtId="0" fontId="8" fillId="10" borderId="44" xfId="0" applyFont="1" applyFill="1" applyBorder="1" applyAlignment="1">
      <alignment horizontal="left" vertical="center" wrapText="1"/>
    </xf>
    <xf numFmtId="0" fontId="3" fillId="0" borderId="52" xfId="0" applyFont="1" applyBorder="1"/>
    <xf numFmtId="0" fontId="7" fillId="8" borderId="21" xfId="0" applyFont="1" applyFill="1" applyBorder="1" applyAlignment="1">
      <alignment horizontal="left" vertical="center"/>
    </xf>
    <xf numFmtId="0" fontId="3" fillId="0" borderId="53" xfId="0" applyFont="1" applyBorder="1"/>
    <xf numFmtId="0" fontId="8" fillId="10" borderId="54" xfId="0" applyFont="1" applyFill="1" applyBorder="1" applyAlignment="1">
      <alignment horizontal="left" vertical="center"/>
    </xf>
    <xf numFmtId="0" fontId="8" fillId="10" borderId="21" xfId="0" applyFont="1" applyFill="1" applyBorder="1" applyAlignment="1">
      <alignment horizontal="left" vertical="center"/>
    </xf>
    <xf numFmtId="0" fontId="3" fillId="0" borderId="55" xfId="0" applyFont="1" applyBorder="1"/>
    <xf numFmtId="164" fontId="8" fillId="10" borderId="21" xfId="0" applyNumberFormat="1" applyFont="1" applyFill="1" applyBorder="1" applyAlignment="1">
      <alignment horizontal="left" vertical="center"/>
    </xf>
    <xf numFmtId="10" fontId="6" fillId="10" borderId="21" xfId="0" applyNumberFormat="1" applyFont="1" applyFill="1" applyBorder="1" applyAlignment="1">
      <alignment horizontal="left" vertical="center"/>
    </xf>
    <xf numFmtId="0" fontId="3" fillId="0" borderId="56" xfId="0" applyFont="1" applyBorder="1"/>
    <xf numFmtId="0" fontId="7" fillId="14" borderId="55" xfId="0" applyFont="1" applyFill="1" applyBorder="1" applyAlignment="1">
      <alignment horizontal="left" vertical="center"/>
    </xf>
    <xf numFmtId="164" fontId="8" fillId="0" borderId="29" xfId="0" applyNumberFormat="1" applyFont="1" applyBorder="1" applyAlignment="1">
      <alignment horizontal="left" vertical="center"/>
    </xf>
    <xf numFmtId="164" fontId="8" fillId="0" borderId="30" xfId="0" applyNumberFormat="1" applyFont="1" applyBorder="1" applyAlignment="1">
      <alignment horizontal="left" vertical="center"/>
    </xf>
    <xf numFmtId="0" fontId="3" fillId="0" borderId="57" xfId="0" applyFont="1" applyBorder="1"/>
    <xf numFmtId="0" fontId="7" fillId="8" borderId="30" xfId="0" applyFont="1" applyFill="1" applyBorder="1" applyAlignment="1">
      <alignment horizontal="left" vertical="center"/>
    </xf>
    <xf numFmtId="0" fontId="8" fillId="10" borderId="35" xfId="0" applyFont="1" applyFill="1" applyBorder="1" applyAlignment="1">
      <alignment horizontal="left" vertical="center"/>
    </xf>
    <xf numFmtId="0" fontId="8" fillId="10" borderId="21" xfId="0" applyFont="1" applyFill="1" applyBorder="1" applyAlignment="1">
      <alignment horizontal="left" vertical="center" wrapText="1"/>
    </xf>
    <xf numFmtId="0" fontId="8" fillId="10" borderId="54" xfId="0" applyFont="1" applyFill="1" applyBorder="1" applyAlignment="1">
      <alignment horizontal="left" vertical="center" wrapText="1"/>
    </xf>
    <xf numFmtId="0" fontId="6" fillId="10" borderId="21" xfId="0" applyFont="1" applyFill="1" applyBorder="1" applyAlignment="1">
      <alignment horizontal="left" vertical="center"/>
    </xf>
    <xf numFmtId="0" fontId="8" fillId="10" borderId="55" xfId="0" applyFont="1" applyFill="1" applyBorder="1" applyAlignment="1">
      <alignment horizontal="left" vertical="center" wrapText="1"/>
    </xf>
    <xf numFmtId="0" fontId="3" fillId="0" borderId="58" xfId="0" applyFont="1" applyBorder="1"/>
    <xf numFmtId="0" fontId="3" fillId="0" borderId="59" xfId="0" applyFont="1" applyBorder="1"/>
    <xf numFmtId="0" fontId="3" fillId="0" borderId="60" xfId="0" applyFont="1" applyBorder="1"/>
    <xf numFmtId="0" fontId="3" fillId="0" borderId="61" xfId="0" applyFont="1" applyBorder="1"/>
    <xf numFmtId="0" fontId="7" fillId="13" borderId="55" xfId="0" applyFont="1" applyFill="1" applyBorder="1" applyAlignment="1">
      <alignment horizontal="left" vertical="center"/>
    </xf>
    <xf numFmtId="0" fontId="7" fillId="12" borderId="44" xfId="0" applyFont="1" applyFill="1" applyBorder="1" applyAlignment="1">
      <alignment horizontal="left" vertical="center" wrapText="1"/>
    </xf>
    <xf numFmtId="0" fontId="7" fillId="12" borderId="21" xfId="0" applyFont="1" applyFill="1" applyBorder="1" applyAlignment="1">
      <alignment horizontal="left" vertical="center"/>
    </xf>
    <xf numFmtId="0" fontId="8" fillId="11" borderId="54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left" vertical="center"/>
    </xf>
    <xf numFmtId="164" fontId="8" fillId="11" borderId="21" xfId="0" applyNumberFormat="1" applyFont="1" applyFill="1" applyBorder="1" applyAlignment="1">
      <alignment horizontal="left" vertical="center"/>
    </xf>
    <xf numFmtId="10" fontId="8" fillId="11" borderId="21" xfId="0" applyNumberFormat="1" applyFont="1" applyFill="1" applyBorder="1" applyAlignment="1">
      <alignment horizontal="left" vertical="center"/>
    </xf>
    <xf numFmtId="0" fontId="7" fillId="12" borderId="30" xfId="0" applyFont="1" applyFill="1" applyBorder="1" applyAlignment="1">
      <alignment horizontal="left" vertical="center"/>
    </xf>
    <xf numFmtId="0" fontId="8" fillId="11" borderId="35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left" vertical="center" wrapText="1"/>
    </xf>
    <xf numFmtId="0" fontId="8" fillId="11" borderId="54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3" fillId="0" borderId="0" xfId="0" applyFont="1"/>
    <xf numFmtId="164" fontId="8" fillId="0" borderId="62" xfId="0" applyNumberFormat="1" applyFont="1" applyBorder="1" applyAlignment="1">
      <alignment horizontal="left" vertical="center"/>
    </xf>
    <xf numFmtId="164" fontId="8" fillId="0" borderId="26" xfId="0" applyNumberFormat="1" applyFont="1" applyBorder="1" applyAlignment="1">
      <alignment horizontal="left" vertical="center"/>
    </xf>
    <xf numFmtId="0" fontId="3" fillId="0" borderId="63" xfId="0" applyFont="1" applyBorder="1"/>
    <xf numFmtId="0" fontId="3" fillId="0" borderId="64" xfId="0" applyFont="1" applyBorder="1"/>
    <xf numFmtId="0" fontId="8" fillId="11" borderId="26" xfId="0" applyFont="1" applyFill="1" applyBorder="1" applyAlignment="1">
      <alignment horizontal="left" vertical="center"/>
    </xf>
    <xf numFmtId="0" fontId="3" fillId="0" borderId="65" xfId="0" applyFont="1" applyBorder="1"/>
    <xf numFmtId="164" fontId="8" fillId="11" borderId="26" xfId="0" applyNumberFormat="1" applyFont="1" applyFill="1" applyBorder="1" applyAlignment="1">
      <alignment horizontal="left" vertical="center"/>
    </xf>
    <xf numFmtId="0" fontId="8" fillId="11" borderId="26" xfId="0" applyFont="1" applyFill="1" applyBorder="1" applyAlignment="1">
      <alignment horizontal="left" vertical="center" wrapText="1"/>
    </xf>
    <xf numFmtId="0" fontId="8" fillId="11" borderId="25" xfId="0" applyFont="1" applyFill="1" applyBorder="1" applyAlignment="1">
      <alignment horizontal="left" vertical="center" wrapText="1"/>
    </xf>
    <xf numFmtId="10" fontId="8" fillId="11" borderId="26" xfId="0" applyNumberFormat="1" applyFont="1" applyFill="1" applyBorder="1" applyAlignment="1">
      <alignment horizontal="left" vertical="center"/>
    </xf>
    <xf numFmtId="0" fontId="7" fillId="6" borderId="66" xfId="0" applyFont="1" applyFill="1" applyBorder="1" applyAlignment="1">
      <alignment horizontal="left" vertical="center" wrapText="1"/>
    </xf>
    <xf numFmtId="0" fontId="3" fillId="0" borderId="66" xfId="0" applyFont="1" applyBorder="1"/>
    <xf numFmtId="0" fontId="8" fillId="0" borderId="0" xfId="0" applyFont="1" applyAlignment="1">
      <alignment horizontal="left" vertical="center" wrapText="1"/>
    </xf>
    <xf numFmtId="0" fontId="7" fillId="5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7" fillId="5" borderId="69" xfId="0" applyFont="1" applyFill="1" applyBorder="1" applyAlignment="1">
      <alignment horizontal="left" vertical="center"/>
    </xf>
    <xf numFmtId="0" fontId="7" fillId="5" borderId="67" xfId="0" applyFont="1" applyFill="1" applyBorder="1" applyAlignment="1">
      <alignment horizontal="left" vertical="center"/>
    </xf>
    <xf numFmtId="0" fontId="3" fillId="0" borderId="70" xfId="0" applyFont="1" applyBorder="1"/>
    <xf numFmtId="0" fontId="7" fillId="12" borderId="31" xfId="0" applyFont="1" applyFill="1" applyBorder="1" applyAlignment="1">
      <alignment horizontal="left" vertical="center" wrapText="1"/>
    </xf>
    <xf numFmtId="0" fontId="8" fillId="10" borderId="42" xfId="0" applyFont="1" applyFill="1" applyBorder="1" applyAlignment="1">
      <alignment horizontal="left" vertical="center"/>
    </xf>
    <xf numFmtId="0" fontId="7" fillId="12" borderId="14" xfId="0" applyFont="1" applyFill="1" applyBorder="1" applyAlignment="1">
      <alignment horizontal="left" vertical="center"/>
    </xf>
    <xf numFmtId="0" fontId="8" fillId="11" borderId="18" xfId="0" applyFont="1" applyFill="1" applyBorder="1" applyAlignment="1">
      <alignment horizontal="left" vertical="center"/>
    </xf>
    <xf numFmtId="0" fontId="8" fillId="11" borderId="14" xfId="0" applyFont="1" applyFill="1" applyBorder="1" applyAlignment="1">
      <alignment horizontal="left" vertical="center"/>
    </xf>
    <xf numFmtId="0" fontId="3" fillId="0" borderId="71" xfId="0" applyFont="1" applyBorder="1"/>
    <xf numFmtId="164" fontId="8" fillId="11" borderId="14" xfId="0" applyNumberFormat="1" applyFont="1" applyFill="1" applyBorder="1" applyAlignment="1">
      <alignment horizontal="left" vertical="center"/>
    </xf>
    <xf numFmtId="10" fontId="8" fillId="11" borderId="14" xfId="0" applyNumberFormat="1" applyFont="1" applyFill="1" applyBorder="1" applyAlignment="1">
      <alignment horizontal="left" vertical="center"/>
    </xf>
    <xf numFmtId="0" fontId="3" fillId="0" borderId="72" xfId="0" applyFont="1" applyBorder="1"/>
    <xf numFmtId="0" fontId="3" fillId="0" borderId="73" xfId="0" applyFont="1" applyBorder="1"/>
    <xf numFmtId="0" fontId="8" fillId="11" borderId="74" xfId="0" applyFont="1" applyFill="1" applyBorder="1" applyAlignment="1">
      <alignment horizontal="left" vertical="center" wrapText="1"/>
    </xf>
    <xf numFmtId="0" fontId="3" fillId="0" borderId="74" xfId="0" applyFont="1" applyBorder="1"/>
    <xf numFmtId="0" fontId="7" fillId="6" borderId="55" xfId="0" applyFont="1" applyFill="1" applyBorder="1" applyAlignment="1">
      <alignment horizontal="left" vertical="center" wrapText="1"/>
    </xf>
    <xf numFmtId="0" fontId="7" fillId="6" borderId="42" xfId="0" applyFont="1" applyFill="1" applyBorder="1" applyAlignment="1">
      <alignment horizontal="center" vertical="center" wrapText="1"/>
    </xf>
    <xf numFmtId="0" fontId="8" fillId="11" borderId="44" xfId="0" applyFont="1" applyFill="1" applyBorder="1" applyAlignment="1">
      <alignment horizontal="left" vertical="center" wrapText="1"/>
    </xf>
    <xf numFmtId="0" fontId="10" fillId="2" borderId="0" xfId="0" applyFont="1" applyFill="1"/>
    <xf numFmtId="0" fontId="8" fillId="10" borderId="21" xfId="0" applyFont="1" applyFill="1" applyBorder="1" applyAlignment="1">
      <alignment horizontal="left" vertical="center"/>
    </xf>
    <xf numFmtId="0" fontId="8" fillId="10" borderId="26" xfId="0" applyFont="1" applyFill="1" applyBorder="1" applyAlignment="1">
      <alignment horizontal="left" vertical="center"/>
    </xf>
    <xf numFmtId="164" fontId="8" fillId="10" borderId="26" xfId="0" applyNumberFormat="1" applyFont="1" applyFill="1" applyBorder="1" applyAlignment="1">
      <alignment horizontal="left" vertical="center"/>
    </xf>
    <xf numFmtId="0" fontId="8" fillId="10" borderId="26" xfId="0" applyFont="1" applyFill="1" applyBorder="1" applyAlignment="1">
      <alignment horizontal="left" vertical="center" wrapText="1"/>
    </xf>
    <xf numFmtId="0" fontId="8" fillId="10" borderId="25" xfId="0" applyFont="1" applyFill="1" applyBorder="1" applyAlignment="1">
      <alignment horizontal="left" vertical="center" wrapText="1"/>
    </xf>
    <xf numFmtId="10" fontId="6" fillId="10" borderId="26" xfId="0" applyNumberFormat="1" applyFont="1" applyFill="1" applyBorder="1" applyAlignment="1">
      <alignment horizontal="left" vertical="center"/>
    </xf>
    <xf numFmtId="0" fontId="7" fillId="6" borderId="67" xfId="0" applyFont="1" applyFill="1" applyBorder="1" applyAlignment="1">
      <alignment horizontal="left" vertical="center" wrapText="1"/>
    </xf>
    <xf numFmtId="0" fontId="7" fillId="13" borderId="75" xfId="0" applyFont="1" applyFill="1" applyBorder="1" applyAlignment="1">
      <alignment horizontal="left" vertical="center"/>
    </xf>
    <xf numFmtId="0" fontId="8" fillId="11" borderId="75" xfId="0" applyFont="1" applyFill="1" applyBorder="1" applyAlignment="1">
      <alignment horizontal="left" vertical="center" wrapText="1"/>
    </xf>
    <xf numFmtId="0" fontId="7" fillId="8" borderId="37" xfId="0" applyFont="1" applyFill="1" applyBorder="1" applyAlignment="1">
      <alignment horizontal="left" vertical="center"/>
    </xf>
    <xf numFmtId="0" fontId="8" fillId="10" borderId="37" xfId="0" applyFont="1" applyFill="1" applyBorder="1" applyAlignment="1">
      <alignment horizontal="left" vertical="center"/>
    </xf>
    <xf numFmtId="0" fontId="8" fillId="11" borderId="59" xfId="0" applyFont="1" applyFill="1" applyBorder="1" applyAlignment="1">
      <alignment horizontal="left" vertical="center" wrapText="1"/>
    </xf>
    <xf numFmtId="0" fontId="7" fillId="8" borderId="39" xfId="0" applyFont="1" applyFill="1" applyBorder="1" applyAlignment="1">
      <alignment horizontal="left" vertical="center"/>
    </xf>
    <xf numFmtId="0" fontId="8" fillId="10" borderId="37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8" fillId="0" borderId="76" xfId="0" applyNumberFormat="1" applyFont="1" applyBorder="1" applyAlignment="1">
      <alignment horizontal="left" vertical="center"/>
    </xf>
    <xf numFmtId="0" fontId="8" fillId="11" borderId="76" xfId="0" applyFont="1" applyFill="1" applyBorder="1" applyAlignment="1">
      <alignment horizontal="left" vertical="center" wrapText="1"/>
    </xf>
    <xf numFmtId="0" fontId="7" fillId="8" borderId="26" xfId="0" applyFont="1" applyFill="1" applyBorder="1" applyAlignment="1">
      <alignment horizontal="left" vertical="center"/>
    </xf>
    <xf numFmtId="0" fontId="7" fillId="8" borderId="25" xfId="0" applyFont="1" applyFill="1" applyBorder="1" applyAlignment="1">
      <alignment horizontal="left" vertical="center"/>
    </xf>
    <xf numFmtId="0" fontId="7" fillId="7" borderId="77" xfId="0" applyFont="1" applyFill="1" applyBorder="1" applyAlignment="1">
      <alignment horizontal="center" vertical="center" wrapText="1"/>
    </xf>
    <xf numFmtId="0" fontId="7" fillId="8" borderId="41" xfId="0" applyFont="1" applyFill="1" applyBorder="1" applyAlignment="1">
      <alignment horizontal="center" vertical="center" wrapText="1"/>
    </xf>
    <xf numFmtId="0" fontId="7" fillId="9" borderId="78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E1" t="str">
            <v>SYMBOL</v>
          </cell>
          <cell r="K1" t="str">
            <v>No. of Targets</v>
          </cell>
          <cell r="N1" t="str">
            <v>Unique Code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E6" t="str">
            <v>USDINR</v>
          </cell>
          <cell r="K6" t="str">
            <v>4 &amp; APS</v>
          </cell>
          <cell r="N6" t="str">
            <v>USDINR_FUT_MT_SAME_2D_2D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E7" t="str">
            <v>USDINR</v>
          </cell>
          <cell r="K7" t="str">
            <v>4 &amp; APS</v>
          </cell>
          <cell r="N7" t="str">
            <v>USDINR_FUT_MT_DIFF_2D_4D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E8" t="str">
            <v>BANKNIFTY</v>
          </cell>
          <cell r="K8" t="str">
            <v>4 &amp; APS</v>
          </cell>
          <cell r="N8" t="str">
            <v>BANKNIFTY_FUT_MT_DIFF_1D_2D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E9" t="str">
            <v>BANKNIFTY</v>
          </cell>
          <cell r="K9" t="str">
            <v>4 &amp; APS</v>
          </cell>
          <cell r="N9" t="str">
            <v>BANKNIFTY_FUT_MT_SAME_2D_2D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E10" t="str">
            <v>STOCKS</v>
          </cell>
          <cell r="K10" t="str">
            <v>4 &amp; APS</v>
          </cell>
          <cell r="N10" t="str">
            <v>STOCKS_FUT_MT_DIFF_2D_3D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E11" t="str">
            <v>STOCKS</v>
          </cell>
          <cell r="K11" t="str">
            <v>4 &amp; APS</v>
          </cell>
          <cell r="N11" t="str">
            <v>STOCKS_FUT_MT_SAME_3D_3D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E12" t="str">
            <v>STOCKS</v>
          </cell>
          <cell r="K12" t="str">
            <v>4 &amp; APS</v>
          </cell>
          <cell r="N12" t="str">
            <v>STOCKS_FUT_MT_DIFF_2D_PW&amp;CW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E13" t="str">
            <v>NIFTY</v>
          </cell>
          <cell r="K13" t="str">
            <v>4 &amp; APS</v>
          </cell>
          <cell r="N13" t="str">
            <v>NIFTY_FUT_MT_DIFF_1D_2D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E14" t="str">
            <v>NIFTY</v>
          </cell>
          <cell r="K14" t="str">
            <v>4 &amp; APS</v>
          </cell>
          <cell r="N14" t="str">
            <v>NIFTY_FUT_MT_SAME_2D_2D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E15" t="str">
            <v>GOLDM</v>
          </cell>
          <cell r="K15" t="str">
            <v>4 &amp; APS</v>
          </cell>
          <cell r="N15" t="str">
            <v>GOLDM_FUT_MT_DIFF_2D_3D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E16" t="str">
            <v>GOLDM</v>
          </cell>
          <cell r="K16" t="str">
            <v>4 &amp; APS</v>
          </cell>
          <cell r="N16" t="str">
            <v>GOLDM_FUT_MT_SAME_3D_3D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E17" t="str">
            <v>SILVERM</v>
          </cell>
          <cell r="K17" t="str">
            <v>4 &amp; APS</v>
          </cell>
          <cell r="N17" t="str">
            <v>SILVERM_FUT_MT_DIFF_2D_3D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E18" t="str">
            <v>SILVERM</v>
          </cell>
          <cell r="K18" t="str">
            <v>4 &amp; APS</v>
          </cell>
          <cell r="N18" t="str">
            <v>SILVERM_FUT_MT_SAME_3D_3D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E19" t="str">
            <v>CRUDEOIL</v>
          </cell>
          <cell r="K19" t="str">
            <v>4 &amp; APS</v>
          </cell>
          <cell r="N19" t="str">
            <v>CRUDEOIL_FUT_MT_SAME_2D_2D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E20" t="str">
            <v>CRUDEOIL</v>
          </cell>
          <cell r="K20" t="str">
            <v>4 &amp; APS</v>
          </cell>
          <cell r="N20" t="str">
            <v>CRUDEOIL_FUT_MT_DIFF_1D_2D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E21" t="str">
            <v>NATURALGAS</v>
          </cell>
          <cell r="K21" t="str">
            <v>4 &amp; APS</v>
          </cell>
          <cell r="N21" t="str">
            <v>NATURALGAS_FUT_MT_DIFF_2D_3D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E22" t="str">
            <v>NATURALGAS</v>
          </cell>
          <cell r="K22" t="str">
            <v>4 &amp; APS</v>
          </cell>
          <cell r="N22" t="str">
            <v>NATURALGAS_FUT_MT_DIFF_2D_PW&amp;CW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E23" t="str">
            <v>USDINR</v>
          </cell>
          <cell r="K23" t="str">
            <v>APS</v>
          </cell>
          <cell r="N23" t="str">
            <v>USDINR_OP_SELL_WK_DIFF_2D_3D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E24" t="str">
            <v>USDINR</v>
          </cell>
          <cell r="K24" t="str">
            <v>APS</v>
          </cell>
          <cell r="N24" t="str">
            <v>USDINR_OP_SELL_MT_DIFF_2D_3D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E25" t="str">
            <v>BANKNIFTY</v>
          </cell>
          <cell r="K25" t="str">
            <v>APS</v>
          </cell>
          <cell r="N25" t="str">
            <v>BANKNIFTY_OP_SELL_WK_DIFF_2D_3D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E26" t="str">
            <v>BANKNIFTY</v>
          </cell>
          <cell r="K26" t="str">
            <v>APS</v>
          </cell>
          <cell r="N26" t="str">
            <v>BANKNIFTY_OP_SELL_MT_DIFF_2D_3D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E27" t="str">
            <v>STOCKS</v>
          </cell>
          <cell r="K27" t="str">
            <v>APS</v>
          </cell>
          <cell r="N27" t="str">
            <v>STOCKS_OP_SELL_MT_DIFF_2D_4D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E28" t="str">
            <v>NIFTY</v>
          </cell>
          <cell r="K28" t="str">
            <v>APS</v>
          </cell>
          <cell r="N28" t="str">
            <v>NIFTY_OP_SELL_WK_DIFF_2D_3D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E29" t="str">
            <v>NIFTY</v>
          </cell>
          <cell r="K29" t="str">
            <v>APS</v>
          </cell>
          <cell r="N29" t="str">
            <v>NIFTY_OP_SELL_MT_DIFF_2D_3D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E30" t="str">
            <v>BANKNIFTY</v>
          </cell>
          <cell r="K30" t="str">
            <v>1 &amp; APS</v>
          </cell>
          <cell r="N30" t="str">
            <v>BANKNIFTY_OP_BUY_WK_SAME_1D 75 Mins_1D 75 Mins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E31" t="str">
            <v>STOCKS</v>
          </cell>
          <cell r="K31" t="str">
            <v>4 &amp; APS</v>
          </cell>
          <cell r="N31" t="str">
            <v>STOCKS_OP_BUY_MT_DIFF_2D_4D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E32" t="str">
            <v>STOCKS</v>
          </cell>
          <cell r="K32" t="str">
            <v>4 &amp; APS</v>
          </cell>
          <cell r="N32" t="str">
            <v>STOCKS_OP_BUY_MT_DIFF_2D_2D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E33" t="str">
            <v>STOCKS</v>
          </cell>
          <cell r="K33" t="str">
            <v>5 &amp; APS</v>
          </cell>
          <cell r="N33" t="str">
            <v>STOCKS_EQ_DCC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E34" t="str">
            <v>STOCKS</v>
          </cell>
          <cell r="K34" t="str">
            <v>5 &amp; APS</v>
          </cell>
          <cell r="N34" t="str">
            <v>STOCKS_EQ_WCC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E35" t="str">
            <v>STOCKS</v>
          </cell>
          <cell r="K35" t="str">
            <v>5 &amp; APS</v>
          </cell>
          <cell r="N35" t="str">
            <v>STOCKS_EQ_MCC</v>
          </cell>
        </row>
        <row r="36">
          <cell r="A36">
            <v>31</v>
          </cell>
          <cell r="B36" t="str">
            <v>S31</v>
          </cell>
        </row>
        <row r="37">
          <cell r="A37">
            <v>32</v>
          </cell>
          <cell r="B37" t="str">
            <v>S32</v>
          </cell>
        </row>
        <row r="38">
          <cell r="A38">
            <v>33</v>
          </cell>
          <cell r="B38" t="str">
            <v>S33</v>
          </cell>
        </row>
        <row r="39">
          <cell r="A39">
            <v>34</v>
          </cell>
          <cell r="B39" t="str">
            <v>S34</v>
          </cell>
        </row>
        <row r="40">
          <cell r="A40">
            <v>35</v>
          </cell>
          <cell r="B40" t="str">
            <v>S35</v>
          </cell>
        </row>
        <row r="41">
          <cell r="A41">
            <v>36</v>
          </cell>
          <cell r="B41" t="str">
            <v>S36</v>
          </cell>
        </row>
        <row r="42">
          <cell r="A42">
            <v>37</v>
          </cell>
          <cell r="B42" t="str">
            <v>S37</v>
          </cell>
        </row>
        <row r="43">
          <cell r="A43">
            <v>38</v>
          </cell>
          <cell r="B43" t="str">
            <v>S38</v>
          </cell>
        </row>
        <row r="44">
          <cell r="A44">
            <v>39</v>
          </cell>
          <cell r="B44" t="str">
            <v>S39</v>
          </cell>
        </row>
        <row r="45">
          <cell r="A45">
            <v>40</v>
          </cell>
          <cell r="B45" t="str">
            <v>S40</v>
          </cell>
        </row>
        <row r="46">
          <cell r="A46">
            <v>41</v>
          </cell>
          <cell r="B46" t="str">
            <v>S41</v>
          </cell>
        </row>
        <row r="47">
          <cell r="A47">
            <v>42</v>
          </cell>
          <cell r="B47" t="str">
            <v>S42</v>
          </cell>
        </row>
        <row r="48">
          <cell r="A48">
            <v>43</v>
          </cell>
          <cell r="B48" t="str">
            <v>S43</v>
          </cell>
        </row>
        <row r="49">
          <cell r="A49">
            <v>44</v>
          </cell>
          <cell r="B49" t="str">
            <v>S44</v>
          </cell>
        </row>
        <row r="50">
          <cell r="A50">
            <v>45</v>
          </cell>
          <cell r="B50" t="str">
            <v>S45</v>
          </cell>
        </row>
        <row r="51">
          <cell r="A51">
            <v>46</v>
          </cell>
          <cell r="B51" t="str">
            <v>S46</v>
          </cell>
        </row>
        <row r="52">
          <cell r="A52">
            <v>47</v>
          </cell>
          <cell r="B52" t="str">
            <v>S47</v>
          </cell>
        </row>
        <row r="53">
          <cell r="A53">
            <v>48</v>
          </cell>
          <cell r="B53" t="str">
            <v>S48</v>
          </cell>
        </row>
        <row r="54">
          <cell r="A54">
            <v>49</v>
          </cell>
          <cell r="B54" t="str">
            <v>S49</v>
          </cell>
        </row>
        <row r="55">
          <cell r="A55">
            <v>50</v>
          </cell>
          <cell r="B55" t="str">
            <v>S50</v>
          </cell>
        </row>
      </sheetData>
      <sheetData sheetId="4"/>
      <sheetData sheetId="5">
        <row r="1">
          <cell r="B1">
            <v>1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AA1">
            <v>26</v>
          </cell>
          <cell r="AE1">
            <v>30</v>
          </cell>
          <cell r="AF1">
            <v>31</v>
          </cell>
          <cell r="AG1">
            <v>32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B1">
            <v>53</v>
          </cell>
          <cell r="BE1">
            <v>56</v>
          </cell>
          <cell r="BF1">
            <v>57</v>
          </cell>
          <cell r="BG1">
            <v>58</v>
          </cell>
          <cell r="BK1">
            <v>62</v>
          </cell>
          <cell r="BL1">
            <v>63</v>
          </cell>
          <cell r="CU1">
            <v>30</v>
          </cell>
        </row>
        <row r="2">
          <cell r="B2" t="str">
            <v>Code For AP</v>
          </cell>
          <cell r="G2" t="str">
            <v>Entry</v>
          </cell>
          <cell r="L2" t="str">
            <v>Target</v>
          </cell>
          <cell r="AA2" t="str">
            <v>Final Exit</v>
          </cell>
          <cell r="AE2" t="str">
            <v>Stop Loss : MSL</v>
          </cell>
          <cell r="AJ2" t="str">
            <v>Data +/- Buffer</v>
          </cell>
          <cell r="AK2" t="str">
            <v>Stop Loss : TSL</v>
          </cell>
          <cell r="CU2" t="str">
            <v>Stop Loss : MSL</v>
          </cell>
        </row>
        <row r="3">
          <cell r="L3" t="str">
            <v>Target</v>
          </cell>
          <cell r="M3" t="str">
            <v>+ | -</v>
          </cell>
          <cell r="N3" t="str">
            <v>Target 1</v>
          </cell>
          <cell r="P3" t="str">
            <v>TGT 2</v>
          </cell>
          <cell r="R3" t="str">
            <v>TGT 3</v>
          </cell>
          <cell r="T3" t="str">
            <v>TGT 4</v>
          </cell>
          <cell r="V3" t="str">
            <v>TGT 5</v>
          </cell>
          <cell r="X3" t="str">
            <v>TGT 6</v>
          </cell>
          <cell r="AA3" t="str">
            <v>Max / Min</v>
          </cell>
          <cell r="AE3" t="str">
            <v>MSL</v>
          </cell>
          <cell r="AG3" t="str">
            <v>MSL 1</v>
          </cell>
          <cell r="AK3" t="str">
            <v>TSL After Entry</v>
          </cell>
          <cell r="AN3" t="str">
            <v>TSL After TGT 1</v>
          </cell>
          <cell r="AQ3" t="str">
            <v>TSL After TGT 2</v>
          </cell>
          <cell r="AT3" t="str">
            <v>TSL After TGT 3</v>
          </cell>
          <cell r="AW3" t="str">
            <v>TSL After TGT 4</v>
          </cell>
          <cell r="AZ3" t="str">
            <v>TSL After TGT 5</v>
          </cell>
          <cell r="BE3" t="str">
            <v>For Entry</v>
          </cell>
          <cell r="BF3" t="str">
            <v>For SL (P. = Open)</v>
          </cell>
          <cell r="BG3" t="str">
            <v>For TGT (P. = Open)</v>
          </cell>
          <cell r="BK3" t="str">
            <v>For Entry</v>
          </cell>
          <cell r="BL3" t="str">
            <v>For SL 
(P. = Open)</v>
          </cell>
          <cell r="CU3" t="str">
            <v>For SL (P. = Open)</v>
          </cell>
        </row>
        <row r="4">
          <cell r="G4" t="str">
            <v>Data</v>
          </cell>
          <cell r="H4" t="str">
            <v>+ | -</v>
          </cell>
          <cell r="I4" t="str">
            <v>Buffer</v>
          </cell>
          <cell r="J4" t="str">
            <v>Lots</v>
          </cell>
          <cell r="L4" t="str">
            <v>Data 1</v>
          </cell>
          <cell r="N4" t="str">
            <v>Buffer</v>
          </cell>
          <cell r="O4" t="str">
            <v>Lots</v>
          </cell>
          <cell r="P4" t="str">
            <v>Buffer</v>
          </cell>
          <cell r="Q4" t="str">
            <v>Lots</v>
          </cell>
          <cell r="R4" t="str">
            <v>Buffer</v>
          </cell>
          <cell r="S4" t="str">
            <v>Lots</v>
          </cell>
          <cell r="T4" t="str">
            <v>Buffer</v>
          </cell>
          <cell r="U4" t="str">
            <v>Lots</v>
          </cell>
          <cell r="V4" t="str">
            <v>Buffer</v>
          </cell>
          <cell r="W4" t="str">
            <v>Lots</v>
          </cell>
          <cell r="X4" t="str">
            <v>Buffer</v>
          </cell>
          <cell r="Y4" t="str">
            <v>Lots</v>
          </cell>
          <cell r="AE4" t="str">
            <v>Data</v>
          </cell>
          <cell r="AF4" t="str">
            <v>+ | -</v>
          </cell>
          <cell r="AG4" t="str">
            <v>Buffer</v>
          </cell>
          <cell r="AJ4" t="str">
            <v>+ | -</v>
          </cell>
          <cell r="AK4" t="str">
            <v>Data</v>
          </cell>
          <cell r="AL4" t="str">
            <v>Buffer</v>
          </cell>
          <cell r="AM4" t="str">
            <v>Lots</v>
          </cell>
          <cell r="AN4" t="str">
            <v>Data</v>
          </cell>
          <cell r="AO4" t="str">
            <v>Buffer</v>
          </cell>
          <cell r="AP4" t="str">
            <v>Lots</v>
          </cell>
          <cell r="AQ4" t="str">
            <v>Data</v>
          </cell>
          <cell r="AR4" t="str">
            <v>Buffer</v>
          </cell>
          <cell r="AS4" t="str">
            <v>Lots</v>
          </cell>
          <cell r="AT4" t="str">
            <v>Data</v>
          </cell>
          <cell r="AU4" t="str">
            <v>Buffer</v>
          </cell>
          <cell r="AV4" t="str">
            <v>Lots</v>
          </cell>
          <cell r="AW4" t="str">
            <v>Data</v>
          </cell>
          <cell r="AX4" t="str">
            <v>Buffer</v>
          </cell>
          <cell r="AY4" t="str">
            <v>Lots</v>
          </cell>
          <cell r="AZ4" t="str">
            <v>Data</v>
          </cell>
          <cell r="BB4" t="str">
            <v>Lots</v>
          </cell>
        </row>
        <row r="6">
          <cell r="B6" t="str">
            <v>S1A</v>
          </cell>
          <cell r="G6" t="str">
            <v>FUT : PRV : 2DHH</v>
          </cell>
          <cell r="H6" t="str">
            <v xml:space="preserve"> + </v>
          </cell>
          <cell r="I6">
            <v>5.0000000000000001E-4</v>
          </cell>
          <cell r="J6">
            <v>5</v>
          </cell>
          <cell r="L6" t="str">
            <v xml:space="preserve">L : Entry </v>
          </cell>
          <cell r="M6" t="str">
            <v xml:space="preserve"> + </v>
          </cell>
          <cell r="N6">
            <v>4.0000000000000001E-3</v>
          </cell>
          <cell r="O6">
            <v>1</v>
          </cell>
          <cell r="P6">
            <v>6.0000000000000001E-3</v>
          </cell>
          <cell r="Q6">
            <v>1</v>
          </cell>
          <cell r="R6">
            <v>8.0000000000000002E-3</v>
          </cell>
          <cell r="S6">
            <v>1</v>
          </cell>
          <cell r="T6">
            <v>0.01</v>
          </cell>
          <cell r="U6">
            <v>1</v>
          </cell>
          <cell r="V6" t="str">
            <v>TR PROFIT AFTER TGT 4</v>
          </cell>
          <cell r="W6">
            <v>1</v>
          </cell>
          <cell r="X6" t="str">
            <v>N.A.</v>
          </cell>
          <cell r="Y6" t="str">
            <v>N.A.</v>
          </cell>
          <cell r="AA6" t="str">
            <v>Max</v>
          </cell>
          <cell r="AE6" t="str">
            <v>L : Entry</v>
          </cell>
          <cell r="AF6" t="str">
            <v xml:space="preserve"> - </v>
          </cell>
          <cell r="AG6">
            <v>4.0000000000000001E-3</v>
          </cell>
          <cell r="AJ6" t="str">
            <v xml:space="preserve"> - </v>
          </cell>
          <cell r="AK6" t="str">
            <v>FUT : PRV : 2DLL</v>
          </cell>
          <cell r="AL6">
            <v>5.0000000000000001E-4</v>
          </cell>
          <cell r="AM6">
            <v>5</v>
          </cell>
          <cell r="AN6" t="str">
            <v>FUT : PRV : 2DLL</v>
          </cell>
          <cell r="AO6">
            <v>5.0000000000000001E-4</v>
          </cell>
          <cell r="AP6">
            <v>4</v>
          </cell>
          <cell r="AQ6" t="str">
            <v>FUT : PRV : 2DLL</v>
          </cell>
          <cell r="AR6">
            <v>5.0000000000000001E-4</v>
          </cell>
          <cell r="AS6">
            <v>3</v>
          </cell>
          <cell r="AT6" t="str">
            <v>FUT : PRV : 2DLL</v>
          </cell>
          <cell r="AU6">
            <v>5.0000000000000001E-4</v>
          </cell>
          <cell r="AV6">
            <v>2</v>
          </cell>
          <cell r="AW6" t="str">
            <v>FUT : PRV : 2DLL</v>
          </cell>
          <cell r="AX6">
            <v>5.0000000000000001E-4</v>
          </cell>
          <cell r="AY6">
            <v>1</v>
          </cell>
          <cell r="AZ6">
            <v>0</v>
          </cell>
          <cell r="BB6">
            <v>0</v>
          </cell>
          <cell r="BE6">
            <v>0.37846527777777778</v>
          </cell>
          <cell r="BF6">
            <v>0.37846527777777778</v>
          </cell>
          <cell r="BG6">
            <v>0.375</v>
          </cell>
          <cell r="BK6">
            <v>5.0000000000000001E-4</v>
          </cell>
          <cell r="BL6">
            <v>5.0000000000000001E-4</v>
          </cell>
          <cell r="CU6">
            <v>0.6875</v>
          </cell>
        </row>
        <row r="7">
          <cell r="B7" t="str">
            <v>S1B</v>
          </cell>
          <cell r="G7" t="str">
            <v>FUT : PRV : 2DLL</v>
          </cell>
          <cell r="H7" t="str">
            <v xml:space="preserve"> - </v>
          </cell>
          <cell r="I7">
            <v>5.0000000000000001E-4</v>
          </cell>
          <cell r="J7">
            <v>5</v>
          </cell>
          <cell r="L7" t="str">
            <v xml:space="preserve">S : Entry </v>
          </cell>
          <cell r="M7" t="str">
            <v xml:space="preserve"> - </v>
          </cell>
          <cell r="N7">
            <v>4.0000000000000001E-3</v>
          </cell>
          <cell r="O7">
            <v>1</v>
          </cell>
          <cell r="P7">
            <v>6.0000000000000001E-3</v>
          </cell>
          <cell r="Q7">
            <v>1</v>
          </cell>
          <cell r="R7">
            <v>8.0000000000000002E-3</v>
          </cell>
          <cell r="S7">
            <v>1</v>
          </cell>
          <cell r="T7">
            <v>0.01</v>
          </cell>
          <cell r="U7">
            <v>1</v>
          </cell>
          <cell r="V7" t="str">
            <v>TR PROFIT AFTER TGT 4</v>
          </cell>
          <cell r="W7">
            <v>1</v>
          </cell>
          <cell r="X7" t="str">
            <v>N.A.</v>
          </cell>
          <cell r="Y7" t="str">
            <v>N.A.</v>
          </cell>
          <cell r="AA7" t="str">
            <v>Min</v>
          </cell>
          <cell r="AE7" t="str">
            <v>S : Entry</v>
          </cell>
          <cell r="AF7" t="str">
            <v xml:space="preserve"> + </v>
          </cell>
          <cell r="AG7">
            <v>4.0000000000000001E-3</v>
          </cell>
          <cell r="AJ7" t="str">
            <v xml:space="preserve"> + </v>
          </cell>
          <cell r="AK7" t="str">
            <v>FUT : PRV : 2DHH</v>
          </cell>
          <cell r="AL7">
            <v>5.0000000000000001E-4</v>
          </cell>
          <cell r="AM7">
            <v>5</v>
          </cell>
          <cell r="AN7" t="str">
            <v>FUT : PRV : 2DHH</v>
          </cell>
          <cell r="AO7">
            <v>5.0000000000000001E-4</v>
          </cell>
          <cell r="AP7">
            <v>4</v>
          </cell>
          <cell r="AQ7" t="str">
            <v>FUT : PRV : 2DHH</v>
          </cell>
          <cell r="AR7">
            <v>5.0000000000000001E-4</v>
          </cell>
          <cell r="AS7">
            <v>3</v>
          </cell>
          <cell r="AT7" t="str">
            <v>FUT : PRV : 2DHH</v>
          </cell>
          <cell r="AU7">
            <v>5.0000000000000001E-4</v>
          </cell>
          <cell r="AV7">
            <v>2</v>
          </cell>
          <cell r="AW7" t="str">
            <v>FUT : PRV : 2DHH</v>
          </cell>
          <cell r="AX7">
            <v>5.0000000000000001E-4</v>
          </cell>
          <cell r="AY7">
            <v>1</v>
          </cell>
          <cell r="AZ7">
            <v>0</v>
          </cell>
          <cell r="BB7">
            <v>0</v>
          </cell>
          <cell r="BE7">
            <v>0.38540972222222225</v>
          </cell>
          <cell r="BF7">
            <v>0.38540972222222225</v>
          </cell>
          <cell r="BG7" t="str">
            <v>N.A.</v>
          </cell>
          <cell r="BK7">
            <v>5.0000000000000001E-4</v>
          </cell>
          <cell r="BL7">
            <v>5.0000000000000001E-4</v>
          </cell>
        </row>
        <row r="8">
          <cell r="B8" t="str">
            <v>S1C</v>
          </cell>
        </row>
        <row r="9">
          <cell r="B9" t="str">
            <v>S1D</v>
          </cell>
          <cell r="G9" t="str">
            <v>FUT : PRV : 2DHH</v>
          </cell>
          <cell r="H9" t="str">
            <v xml:space="preserve"> + </v>
          </cell>
          <cell r="I9">
            <v>5.0000000000000001E-4</v>
          </cell>
          <cell r="J9">
            <v>5</v>
          </cell>
          <cell r="L9" t="str">
            <v xml:space="preserve">L : Entry </v>
          </cell>
          <cell r="M9" t="str">
            <v xml:space="preserve"> + </v>
          </cell>
          <cell r="N9">
            <v>4.0000000000000001E-3</v>
          </cell>
          <cell r="O9">
            <v>1</v>
          </cell>
          <cell r="P9">
            <v>6.0000000000000001E-3</v>
          </cell>
          <cell r="Q9">
            <v>1</v>
          </cell>
          <cell r="R9">
            <v>8.0000000000000002E-3</v>
          </cell>
          <cell r="S9">
            <v>1</v>
          </cell>
          <cell r="T9">
            <v>0.01</v>
          </cell>
          <cell r="U9">
            <v>1</v>
          </cell>
          <cell r="V9" t="str">
            <v>TR PROFIT AFTER TGT 4</v>
          </cell>
          <cell r="W9">
            <v>1</v>
          </cell>
          <cell r="X9" t="str">
            <v>N.A.</v>
          </cell>
          <cell r="Y9" t="str">
            <v>N.A.</v>
          </cell>
          <cell r="AA9" t="str">
            <v>Max</v>
          </cell>
          <cell r="AE9" t="str">
            <v>L : Entry</v>
          </cell>
          <cell r="AF9" t="str">
            <v xml:space="preserve"> - </v>
          </cell>
          <cell r="AG9">
            <v>4.0000000000000001E-3</v>
          </cell>
          <cell r="AJ9" t="str">
            <v xml:space="preserve"> - </v>
          </cell>
          <cell r="AK9" t="str">
            <v>FUT : PRV : 2DLL</v>
          </cell>
          <cell r="AL9">
            <v>5.0000000000000001E-4</v>
          </cell>
          <cell r="AM9">
            <v>5</v>
          </cell>
          <cell r="AN9" t="str">
            <v>FUT : PRV : 2DLL</v>
          </cell>
          <cell r="AO9">
            <v>5.0000000000000001E-4</v>
          </cell>
          <cell r="AP9">
            <v>4</v>
          </cell>
          <cell r="AQ9" t="str">
            <v>FUT : PRV : 2DLL</v>
          </cell>
          <cell r="AR9">
            <v>5.0000000000000001E-4</v>
          </cell>
          <cell r="AS9">
            <v>3</v>
          </cell>
          <cell r="AT9" t="str">
            <v>FUT : PRV : 2DLL</v>
          </cell>
          <cell r="AU9">
            <v>5.0000000000000001E-4</v>
          </cell>
          <cell r="AV9">
            <v>2</v>
          </cell>
          <cell r="AW9" t="str">
            <v>FUT : PRV : 2DLL</v>
          </cell>
          <cell r="AX9">
            <v>5.0000000000000001E-4</v>
          </cell>
          <cell r="AY9">
            <v>1</v>
          </cell>
          <cell r="AZ9">
            <v>0</v>
          </cell>
          <cell r="BB9">
            <v>0</v>
          </cell>
          <cell r="BE9">
            <v>0.375</v>
          </cell>
          <cell r="BK9">
            <v>5.0000000000000001E-4</v>
          </cell>
          <cell r="BL9">
            <v>5.0000000000000001E-4</v>
          </cell>
        </row>
        <row r="10">
          <cell r="B10" t="str">
            <v>S1E</v>
          </cell>
          <cell r="G10" t="str">
            <v>FUT : PRV : 2DLL</v>
          </cell>
          <cell r="H10" t="str">
            <v xml:space="preserve"> - </v>
          </cell>
          <cell r="I10">
            <v>5.0000000000000001E-4</v>
          </cell>
          <cell r="J10">
            <v>5</v>
          </cell>
          <cell r="L10" t="str">
            <v xml:space="preserve">S : Entry </v>
          </cell>
          <cell r="M10" t="str">
            <v xml:space="preserve"> - </v>
          </cell>
          <cell r="N10">
            <v>4.0000000000000001E-3</v>
          </cell>
          <cell r="O10">
            <v>1</v>
          </cell>
          <cell r="P10">
            <v>6.0000000000000001E-3</v>
          </cell>
          <cell r="Q10">
            <v>1</v>
          </cell>
          <cell r="R10">
            <v>8.0000000000000002E-3</v>
          </cell>
          <cell r="S10">
            <v>1</v>
          </cell>
          <cell r="T10">
            <v>0.01</v>
          </cell>
          <cell r="U10">
            <v>1</v>
          </cell>
          <cell r="V10" t="str">
            <v>TR PROFIT AFTER TGT 4</v>
          </cell>
          <cell r="W10">
            <v>1</v>
          </cell>
          <cell r="X10" t="str">
            <v>N.A.</v>
          </cell>
          <cell r="Y10" t="str">
            <v>N.A.</v>
          </cell>
          <cell r="AA10" t="str">
            <v>Min</v>
          </cell>
          <cell r="AE10" t="str">
            <v>S : Entry</v>
          </cell>
          <cell r="AF10" t="str">
            <v xml:space="preserve"> + </v>
          </cell>
          <cell r="AG10">
            <v>4.0000000000000001E-3</v>
          </cell>
          <cell r="AJ10" t="str">
            <v xml:space="preserve"> + </v>
          </cell>
          <cell r="AK10" t="str">
            <v>FUT : PRV : 2DHH</v>
          </cell>
          <cell r="AL10">
            <v>5.0000000000000001E-4</v>
          </cell>
          <cell r="AM10">
            <v>5</v>
          </cell>
          <cell r="AN10" t="str">
            <v>FUT : PRV : 2DHH</v>
          </cell>
          <cell r="AO10">
            <v>5.0000000000000001E-4</v>
          </cell>
          <cell r="AP10">
            <v>4</v>
          </cell>
          <cell r="AQ10" t="str">
            <v>FUT : PRV : 2DHH</v>
          </cell>
          <cell r="AR10">
            <v>5.0000000000000001E-4</v>
          </cell>
          <cell r="AS10">
            <v>3</v>
          </cell>
          <cell r="AT10" t="str">
            <v>FUT : PRV : 2DHH</v>
          </cell>
          <cell r="AU10">
            <v>5.0000000000000001E-4</v>
          </cell>
          <cell r="AV10">
            <v>2</v>
          </cell>
          <cell r="AW10" t="str">
            <v>FUT : PRV : 2DHH</v>
          </cell>
          <cell r="AX10">
            <v>5.0000000000000001E-4</v>
          </cell>
          <cell r="AY10">
            <v>1</v>
          </cell>
          <cell r="AZ10">
            <v>0</v>
          </cell>
          <cell r="BB10">
            <v>0</v>
          </cell>
          <cell r="BE10">
            <v>0.70833333333333337</v>
          </cell>
          <cell r="BK10">
            <v>5.0000000000000001E-4</v>
          </cell>
          <cell r="BL10">
            <v>5.0000000000000001E-4</v>
          </cell>
        </row>
        <row r="12">
          <cell r="B12" t="str">
            <v>S2A</v>
          </cell>
          <cell r="G12" t="str">
            <v>FUT : PRV : 2DHH</v>
          </cell>
          <cell r="H12" t="str">
            <v xml:space="preserve"> + </v>
          </cell>
          <cell r="I12">
            <v>2.0000000000000001E-4</v>
          </cell>
          <cell r="J12">
            <v>5</v>
          </cell>
          <cell r="L12" t="str">
            <v xml:space="preserve">L : Entry </v>
          </cell>
          <cell r="M12" t="str">
            <v xml:space="preserve"> + </v>
          </cell>
          <cell r="N12">
            <v>4.0000000000000001E-3</v>
          </cell>
          <cell r="O12">
            <v>1</v>
          </cell>
          <cell r="P12">
            <v>6.0000000000000001E-3</v>
          </cell>
          <cell r="Q12">
            <v>1</v>
          </cell>
          <cell r="R12">
            <v>8.0000000000000002E-3</v>
          </cell>
          <cell r="S12">
            <v>1</v>
          </cell>
          <cell r="T12">
            <v>0.01</v>
          </cell>
          <cell r="U12">
            <v>1</v>
          </cell>
          <cell r="V12" t="str">
            <v>TR PROFIT AFTER TGT 4</v>
          </cell>
          <cell r="W12">
            <v>1</v>
          </cell>
          <cell r="X12" t="str">
            <v>N.A.</v>
          </cell>
          <cell r="Y12" t="str">
            <v>N.A.</v>
          </cell>
          <cell r="AA12" t="str">
            <v>Max</v>
          </cell>
          <cell r="AE12" t="str">
            <v>L : Entry</v>
          </cell>
          <cell r="AF12" t="str">
            <v xml:space="preserve"> - </v>
          </cell>
          <cell r="AG12">
            <v>4.0000000000000001E-3</v>
          </cell>
          <cell r="AJ12" t="str">
            <v xml:space="preserve"> - </v>
          </cell>
          <cell r="AK12" t="str">
            <v>FUT : PRV : 4DLL</v>
          </cell>
          <cell r="AL12">
            <v>5.0000000000000001E-4</v>
          </cell>
          <cell r="AM12">
            <v>5</v>
          </cell>
          <cell r="AN12" t="str">
            <v>FUT : PRV : 4DLL</v>
          </cell>
          <cell r="AO12">
            <v>5.0000000000000001E-4</v>
          </cell>
          <cell r="AP12">
            <v>4</v>
          </cell>
          <cell r="AQ12" t="str">
            <v>FUT : PRV : 4DLL</v>
          </cell>
          <cell r="AR12">
            <v>5.0000000000000001E-4</v>
          </cell>
          <cell r="AS12">
            <v>3</v>
          </cell>
          <cell r="AT12" t="str">
            <v>FUT : PRV : 4DLL</v>
          </cell>
          <cell r="AU12">
            <v>5.0000000000000001E-4</v>
          </cell>
          <cell r="AV12">
            <v>2</v>
          </cell>
          <cell r="AW12" t="str">
            <v>FUT : PRV : 4DLL</v>
          </cell>
          <cell r="AX12">
            <v>5.0000000000000001E-4</v>
          </cell>
          <cell r="AY12">
            <v>1</v>
          </cell>
          <cell r="AZ12">
            <v>0</v>
          </cell>
          <cell r="BB12">
            <v>0</v>
          </cell>
          <cell r="BE12">
            <v>0.37846527777777778</v>
          </cell>
          <cell r="BF12">
            <v>0.37846527777777778</v>
          </cell>
          <cell r="BG12">
            <v>0.375</v>
          </cell>
          <cell r="BK12">
            <v>2.0000000000000001E-4</v>
          </cell>
          <cell r="BL12">
            <v>5.0000000000000001E-4</v>
          </cell>
          <cell r="CU12">
            <v>0.6875</v>
          </cell>
        </row>
        <row r="13">
          <cell r="B13" t="str">
            <v>S2B</v>
          </cell>
          <cell r="G13" t="str">
            <v>FUT : PRV : 4DLL</v>
          </cell>
          <cell r="H13" t="str">
            <v xml:space="preserve"> - </v>
          </cell>
          <cell r="I13">
            <v>5.0000000000000001E-4</v>
          </cell>
          <cell r="J13">
            <v>5</v>
          </cell>
          <cell r="L13" t="str">
            <v xml:space="preserve">S : Entry </v>
          </cell>
          <cell r="M13" t="str">
            <v xml:space="preserve"> - </v>
          </cell>
          <cell r="N13">
            <v>4.0000000000000001E-3</v>
          </cell>
          <cell r="O13">
            <v>1</v>
          </cell>
          <cell r="P13">
            <v>6.0000000000000001E-3</v>
          </cell>
          <cell r="Q13">
            <v>1</v>
          </cell>
          <cell r="R13">
            <v>8.0000000000000002E-3</v>
          </cell>
          <cell r="S13">
            <v>1</v>
          </cell>
          <cell r="T13">
            <v>0.01</v>
          </cell>
          <cell r="U13">
            <v>1</v>
          </cell>
          <cell r="V13" t="str">
            <v>TR PROFIT AFTER TGT 4</v>
          </cell>
          <cell r="W13">
            <v>1</v>
          </cell>
          <cell r="X13" t="str">
            <v>N.A.</v>
          </cell>
          <cell r="Y13" t="str">
            <v>N.A.</v>
          </cell>
          <cell r="AA13" t="str">
            <v>Min</v>
          </cell>
          <cell r="AE13" t="str">
            <v>S : Entry</v>
          </cell>
          <cell r="AF13" t="str">
            <v xml:space="preserve"> + </v>
          </cell>
          <cell r="AG13">
            <v>4.0000000000000001E-3</v>
          </cell>
          <cell r="AJ13" t="str">
            <v xml:space="preserve"> + </v>
          </cell>
          <cell r="AK13" t="str">
            <v>FUT : PRV : 2DHH</v>
          </cell>
          <cell r="AL13">
            <v>2.0000000000000001E-4</v>
          </cell>
          <cell r="AM13">
            <v>5</v>
          </cell>
          <cell r="AN13" t="str">
            <v>FUT : PRV : 2DHH</v>
          </cell>
          <cell r="AO13">
            <v>2.0000000000000001E-4</v>
          </cell>
          <cell r="AP13">
            <v>4</v>
          </cell>
          <cell r="AQ13" t="str">
            <v>FUT : PRV : 2DHH</v>
          </cell>
          <cell r="AR13">
            <v>2.0000000000000001E-4</v>
          </cell>
          <cell r="AS13">
            <v>3</v>
          </cell>
          <cell r="AT13" t="str">
            <v>FUT : PRV : 2DHH</v>
          </cell>
          <cell r="AU13">
            <v>2.0000000000000001E-4</v>
          </cell>
          <cell r="AV13">
            <v>2</v>
          </cell>
          <cell r="AW13" t="str">
            <v>FUT : PRV : 2DHH</v>
          </cell>
          <cell r="AX13">
            <v>2.0000000000000001E-4</v>
          </cell>
          <cell r="AY13">
            <v>1</v>
          </cell>
          <cell r="AZ13">
            <v>0</v>
          </cell>
          <cell r="BB13">
            <v>0</v>
          </cell>
          <cell r="BE13">
            <v>0.38540972222222225</v>
          </cell>
          <cell r="BF13">
            <v>0.38540972222222225</v>
          </cell>
          <cell r="BG13" t="str">
            <v>N.A.</v>
          </cell>
          <cell r="BK13">
            <v>5.0000000000000001E-4</v>
          </cell>
          <cell r="BL13">
            <v>2.0000000000000001E-4</v>
          </cell>
        </row>
        <row r="14">
          <cell r="B14" t="str">
            <v>S2C</v>
          </cell>
        </row>
        <row r="15">
          <cell r="B15" t="str">
            <v>S2D</v>
          </cell>
          <cell r="G15" t="str">
            <v>FUT : PRV : 4DHH</v>
          </cell>
          <cell r="H15" t="str">
            <v xml:space="preserve"> + </v>
          </cell>
          <cell r="I15">
            <v>5.0000000000000001E-4</v>
          </cell>
          <cell r="J15">
            <v>5</v>
          </cell>
          <cell r="L15" t="str">
            <v xml:space="preserve">L : Entry </v>
          </cell>
          <cell r="M15" t="str">
            <v xml:space="preserve"> + </v>
          </cell>
          <cell r="N15">
            <v>4.0000000000000001E-3</v>
          </cell>
          <cell r="O15">
            <v>1</v>
          </cell>
          <cell r="P15">
            <v>6.0000000000000001E-3</v>
          </cell>
          <cell r="Q15">
            <v>1</v>
          </cell>
          <cell r="R15">
            <v>8.0000000000000002E-3</v>
          </cell>
          <cell r="S15">
            <v>1</v>
          </cell>
          <cell r="T15">
            <v>0.01</v>
          </cell>
          <cell r="U15">
            <v>1</v>
          </cell>
          <cell r="V15" t="str">
            <v>TR PROFIT AFTER TGT 4</v>
          </cell>
          <cell r="W15">
            <v>1</v>
          </cell>
          <cell r="X15" t="str">
            <v>N.A.</v>
          </cell>
          <cell r="Y15" t="str">
            <v>N.A.</v>
          </cell>
          <cell r="AA15" t="str">
            <v>Max</v>
          </cell>
          <cell r="AE15" t="str">
            <v>L : Entry</v>
          </cell>
          <cell r="AF15" t="str">
            <v xml:space="preserve"> - </v>
          </cell>
          <cell r="AG15">
            <v>4.0000000000000001E-3</v>
          </cell>
          <cell r="AJ15" t="str">
            <v xml:space="preserve"> - </v>
          </cell>
          <cell r="AK15" t="str">
            <v>FUT : PRV : 2DLL</v>
          </cell>
          <cell r="AL15">
            <v>2.0000000000000001E-4</v>
          </cell>
          <cell r="AM15">
            <v>5</v>
          </cell>
          <cell r="AN15" t="str">
            <v>FUT : PRV : 2DLL</v>
          </cell>
          <cell r="AO15">
            <v>2.0000000000000001E-4</v>
          </cell>
          <cell r="AP15">
            <v>4</v>
          </cell>
          <cell r="AQ15" t="str">
            <v>FUT : PRV : 2DLL</v>
          </cell>
          <cell r="AR15">
            <v>2.0000000000000001E-4</v>
          </cell>
          <cell r="AS15">
            <v>3</v>
          </cell>
          <cell r="AT15" t="str">
            <v>FUT : PRV : 2DLL</v>
          </cell>
          <cell r="AU15">
            <v>2.0000000000000001E-4</v>
          </cell>
          <cell r="AV15">
            <v>2</v>
          </cell>
          <cell r="AW15" t="str">
            <v>FUT : PRV : 2DLL</v>
          </cell>
          <cell r="AX15">
            <v>2.0000000000000001E-4</v>
          </cell>
          <cell r="AY15">
            <v>1</v>
          </cell>
          <cell r="AZ15">
            <v>0</v>
          </cell>
          <cell r="BB15">
            <v>0</v>
          </cell>
          <cell r="BE15">
            <v>0.375</v>
          </cell>
          <cell r="BK15">
            <v>5.0000000000000001E-4</v>
          </cell>
          <cell r="BL15">
            <v>2.0000000000000001E-4</v>
          </cell>
        </row>
        <row r="16">
          <cell r="B16" t="str">
            <v>S2E</v>
          </cell>
          <cell r="G16" t="str">
            <v>FUT : PRV : 2DLL</v>
          </cell>
          <cell r="H16" t="str">
            <v xml:space="preserve"> - </v>
          </cell>
          <cell r="I16">
            <v>2.0000000000000001E-4</v>
          </cell>
          <cell r="J16">
            <v>5</v>
          </cell>
          <cell r="L16" t="str">
            <v xml:space="preserve">S : Entry </v>
          </cell>
          <cell r="M16" t="str">
            <v xml:space="preserve"> - </v>
          </cell>
          <cell r="N16">
            <v>4.0000000000000001E-3</v>
          </cell>
          <cell r="O16">
            <v>1</v>
          </cell>
          <cell r="P16">
            <v>6.0000000000000001E-3</v>
          </cell>
          <cell r="Q16">
            <v>1</v>
          </cell>
          <cell r="R16">
            <v>8.0000000000000002E-3</v>
          </cell>
          <cell r="S16">
            <v>1</v>
          </cell>
          <cell r="T16">
            <v>0.01</v>
          </cell>
          <cell r="U16">
            <v>1</v>
          </cell>
          <cell r="V16" t="str">
            <v>TR PROFIT AFTER TGT 4</v>
          </cell>
          <cell r="W16">
            <v>1</v>
          </cell>
          <cell r="X16" t="str">
            <v>N.A.</v>
          </cell>
          <cell r="Y16" t="str">
            <v>N.A.</v>
          </cell>
          <cell r="AA16" t="str">
            <v>Min</v>
          </cell>
          <cell r="AE16" t="str">
            <v>S : Entry</v>
          </cell>
          <cell r="AF16" t="str">
            <v xml:space="preserve"> + </v>
          </cell>
          <cell r="AG16">
            <v>4.0000000000000001E-3</v>
          </cell>
          <cell r="AJ16" t="str">
            <v xml:space="preserve"> + </v>
          </cell>
          <cell r="AK16" t="str">
            <v>FUT : PRV : 4DHH</v>
          </cell>
          <cell r="AL16">
            <v>5.0000000000000001E-4</v>
          </cell>
          <cell r="AM16">
            <v>5</v>
          </cell>
          <cell r="AN16" t="str">
            <v>FUT : PRV : 4DHH</v>
          </cell>
          <cell r="AO16">
            <v>5.0000000000000001E-4</v>
          </cell>
          <cell r="AP16">
            <v>4</v>
          </cell>
          <cell r="AQ16" t="str">
            <v>FUT : PRV : 4DHH</v>
          </cell>
          <cell r="AR16">
            <v>5.0000000000000001E-4</v>
          </cell>
          <cell r="AS16">
            <v>3</v>
          </cell>
          <cell r="AT16" t="str">
            <v>FUT : PRV : 4DHH</v>
          </cell>
          <cell r="AU16">
            <v>5.0000000000000001E-4</v>
          </cell>
          <cell r="AV16">
            <v>2</v>
          </cell>
          <cell r="AW16" t="str">
            <v>FUT : PRV : 4DHH</v>
          </cell>
          <cell r="AX16">
            <v>5.0000000000000001E-4</v>
          </cell>
          <cell r="AY16">
            <v>1</v>
          </cell>
          <cell r="AZ16">
            <v>0</v>
          </cell>
          <cell r="BB16">
            <v>0</v>
          </cell>
          <cell r="BE16">
            <v>0.70833333333333337</v>
          </cell>
          <cell r="BK16">
            <v>2.0000000000000001E-4</v>
          </cell>
          <cell r="BL16">
            <v>5.0000000000000001E-4</v>
          </cell>
        </row>
        <row r="18">
          <cell r="B18" t="str">
            <v>S3A</v>
          </cell>
          <cell r="G18" t="str">
            <v>FUT : PRV : 1DHH</v>
          </cell>
          <cell r="H18" t="str">
            <v xml:space="preserve"> + </v>
          </cell>
          <cell r="I18">
            <v>0</v>
          </cell>
          <cell r="J18">
            <v>5</v>
          </cell>
          <cell r="L18" t="str">
            <v xml:space="preserve">L : Entry </v>
          </cell>
          <cell r="M18" t="str">
            <v xml:space="preserve"> + </v>
          </cell>
          <cell r="N18">
            <v>1.4999999999999999E-2</v>
          </cell>
          <cell r="O18">
            <v>1</v>
          </cell>
          <cell r="P18">
            <v>0.02</v>
          </cell>
          <cell r="Q18">
            <v>1</v>
          </cell>
          <cell r="R18">
            <v>2.5000000000000001E-2</v>
          </cell>
          <cell r="S18">
            <v>1</v>
          </cell>
          <cell r="T18">
            <v>0.03</v>
          </cell>
          <cell r="U18">
            <v>1</v>
          </cell>
          <cell r="V18" t="str">
            <v>TR PROFIT AFTER TGT 4</v>
          </cell>
          <cell r="W18">
            <v>1</v>
          </cell>
          <cell r="X18" t="str">
            <v>N.A.</v>
          </cell>
          <cell r="Y18" t="str">
            <v>N.A.</v>
          </cell>
          <cell r="AA18" t="str">
            <v>Max</v>
          </cell>
          <cell r="AE18" t="str">
            <v>L : Entry</v>
          </cell>
          <cell r="AF18" t="str">
            <v xml:space="preserve"> - </v>
          </cell>
          <cell r="AG18">
            <v>1.4999999999999999E-2</v>
          </cell>
          <cell r="AJ18" t="str">
            <v xml:space="preserve"> - </v>
          </cell>
          <cell r="AK18" t="str">
            <v>FUT : PRV : 2DLL</v>
          </cell>
          <cell r="AL18">
            <v>1.5E-3</v>
          </cell>
          <cell r="AM18">
            <v>5</v>
          </cell>
          <cell r="AN18" t="str">
            <v>FUT : PRV : 2DLL</v>
          </cell>
          <cell r="AO18">
            <v>1.5E-3</v>
          </cell>
          <cell r="AP18">
            <v>4</v>
          </cell>
          <cell r="AQ18" t="str">
            <v>FUT : PRV : 2DLL</v>
          </cell>
          <cell r="AR18">
            <v>1.5E-3</v>
          </cell>
          <cell r="AS18">
            <v>3</v>
          </cell>
          <cell r="AT18" t="str">
            <v>FUT : PRV : 2DLL</v>
          </cell>
          <cell r="AU18">
            <v>1.5E-3</v>
          </cell>
          <cell r="AV18">
            <v>2</v>
          </cell>
          <cell r="AW18" t="str">
            <v>FUT : PRV : 2DLL</v>
          </cell>
          <cell r="AX18">
            <v>1.5E-3</v>
          </cell>
          <cell r="AY18">
            <v>1</v>
          </cell>
          <cell r="AZ18">
            <v>0</v>
          </cell>
          <cell r="BB18">
            <v>0</v>
          </cell>
          <cell r="BE18">
            <v>0.38888194444444446</v>
          </cell>
          <cell r="BF18">
            <v>0.38888194444444446</v>
          </cell>
          <cell r="BG18">
            <v>0.38541666666666669</v>
          </cell>
          <cell r="BK18">
            <v>1.5E-3</v>
          </cell>
          <cell r="BL18">
            <v>1.5E-3</v>
          </cell>
          <cell r="CU18">
            <v>0.625</v>
          </cell>
        </row>
        <row r="19">
          <cell r="B19" t="str">
            <v>S3B</v>
          </cell>
          <cell r="G19" t="str">
            <v>FUT : PRV : 2DLL</v>
          </cell>
          <cell r="H19" t="str">
            <v xml:space="preserve"> - </v>
          </cell>
          <cell r="I19">
            <v>1.5E-3</v>
          </cell>
          <cell r="J19">
            <v>5</v>
          </cell>
          <cell r="L19" t="str">
            <v xml:space="preserve">S : Entry </v>
          </cell>
          <cell r="M19" t="str">
            <v xml:space="preserve"> - </v>
          </cell>
          <cell r="N19">
            <v>1.4999999999999999E-2</v>
          </cell>
          <cell r="O19">
            <v>1</v>
          </cell>
          <cell r="P19">
            <v>0.02</v>
          </cell>
          <cell r="Q19">
            <v>1</v>
          </cell>
          <cell r="R19">
            <v>2.5000000000000001E-2</v>
          </cell>
          <cell r="S19">
            <v>1</v>
          </cell>
          <cell r="T19">
            <v>0.03</v>
          </cell>
          <cell r="U19">
            <v>1</v>
          </cell>
          <cell r="V19" t="str">
            <v>TR PROFIT AFTER TGT 4</v>
          </cell>
          <cell r="W19">
            <v>1</v>
          </cell>
          <cell r="X19" t="str">
            <v>N.A.</v>
          </cell>
          <cell r="Y19" t="str">
            <v>N.A.</v>
          </cell>
          <cell r="AA19" t="str">
            <v>Min</v>
          </cell>
          <cell r="AE19" t="str">
            <v>S : Entry</v>
          </cell>
          <cell r="AF19" t="str">
            <v xml:space="preserve"> + </v>
          </cell>
          <cell r="AG19">
            <v>1.4999999999999999E-2</v>
          </cell>
          <cell r="AJ19" t="str">
            <v xml:space="preserve"> + </v>
          </cell>
          <cell r="AK19" t="str">
            <v>FUT : PRV : 1DHH</v>
          </cell>
          <cell r="AL19">
            <v>0</v>
          </cell>
          <cell r="AM19">
            <v>5</v>
          </cell>
          <cell r="AN19" t="str">
            <v>FUT : PRV : 1DHH</v>
          </cell>
          <cell r="AO19">
            <v>0</v>
          </cell>
          <cell r="AP19">
            <v>4</v>
          </cell>
          <cell r="AQ19" t="str">
            <v>FUT : PRV : 1DHH</v>
          </cell>
          <cell r="AR19">
            <v>0</v>
          </cell>
          <cell r="AS19">
            <v>3</v>
          </cell>
          <cell r="AT19" t="str">
            <v>FUT : PRV : 1DHH</v>
          </cell>
          <cell r="AU19">
            <v>0</v>
          </cell>
          <cell r="AV19">
            <v>2</v>
          </cell>
          <cell r="AW19" t="str">
            <v>FUT : PRV : 1DHH</v>
          </cell>
          <cell r="AX19">
            <v>0</v>
          </cell>
          <cell r="AY19">
            <v>1</v>
          </cell>
          <cell r="AZ19">
            <v>0</v>
          </cell>
          <cell r="BB19">
            <v>0</v>
          </cell>
          <cell r="BE19">
            <v>0.39582638888888888</v>
          </cell>
          <cell r="BF19">
            <v>0.39582638888888888</v>
          </cell>
          <cell r="BG19" t="str">
            <v>N.A.</v>
          </cell>
          <cell r="BK19">
            <v>1.5E-3</v>
          </cell>
          <cell r="BL19">
            <v>1.5E-3</v>
          </cell>
        </row>
        <row r="20">
          <cell r="B20" t="str">
            <v>S3C</v>
          </cell>
        </row>
        <row r="21">
          <cell r="B21" t="str">
            <v>S3D</v>
          </cell>
          <cell r="G21" t="str">
            <v>FUT : PRV : 2DHH</v>
          </cell>
          <cell r="H21" t="str">
            <v xml:space="preserve"> + </v>
          </cell>
          <cell r="I21">
            <v>1.5E-3</v>
          </cell>
          <cell r="J21">
            <v>5</v>
          </cell>
          <cell r="L21" t="str">
            <v xml:space="preserve">L : Entry </v>
          </cell>
          <cell r="M21" t="str">
            <v xml:space="preserve"> + </v>
          </cell>
          <cell r="N21">
            <v>1.4999999999999999E-2</v>
          </cell>
          <cell r="O21">
            <v>1</v>
          </cell>
          <cell r="P21">
            <v>0.02</v>
          </cell>
          <cell r="Q21">
            <v>1</v>
          </cell>
          <cell r="R21">
            <v>2.5000000000000001E-2</v>
          </cell>
          <cell r="S21">
            <v>1</v>
          </cell>
          <cell r="T21">
            <v>0.03</v>
          </cell>
          <cell r="U21">
            <v>1</v>
          </cell>
          <cell r="V21" t="str">
            <v>TR PROFIT AFTER TGT 4</v>
          </cell>
          <cell r="W21">
            <v>1</v>
          </cell>
          <cell r="X21" t="str">
            <v>N.A.</v>
          </cell>
          <cell r="Y21" t="str">
            <v>N.A.</v>
          </cell>
          <cell r="AA21" t="str">
            <v>Max</v>
          </cell>
          <cell r="AE21" t="str">
            <v>L : Entry</v>
          </cell>
          <cell r="AF21" t="str">
            <v xml:space="preserve"> - </v>
          </cell>
          <cell r="AG21">
            <v>1.4999999999999999E-2</v>
          </cell>
          <cell r="AJ21" t="str">
            <v xml:space="preserve"> - </v>
          </cell>
          <cell r="AK21" t="str">
            <v>FUT : PRV : 1DLL</v>
          </cell>
          <cell r="AL21">
            <v>0</v>
          </cell>
          <cell r="AM21">
            <v>5</v>
          </cell>
          <cell r="AN21" t="str">
            <v>FUT : PRV : 1DLL</v>
          </cell>
          <cell r="AO21">
            <v>0</v>
          </cell>
          <cell r="AP21">
            <v>4</v>
          </cell>
          <cell r="AQ21" t="str">
            <v>FUT : PRV : 1DLL</v>
          </cell>
          <cell r="AR21">
            <v>0</v>
          </cell>
          <cell r="AS21">
            <v>3</v>
          </cell>
          <cell r="AT21" t="str">
            <v>FUT : PRV : 1DLL</v>
          </cell>
          <cell r="AU21">
            <v>0</v>
          </cell>
          <cell r="AV21">
            <v>2</v>
          </cell>
          <cell r="AW21" t="str">
            <v>FUT : PRV : 1DLL</v>
          </cell>
          <cell r="AX21">
            <v>0</v>
          </cell>
          <cell r="AY21">
            <v>1</v>
          </cell>
          <cell r="AZ21">
            <v>0</v>
          </cell>
          <cell r="BB21">
            <v>0</v>
          </cell>
          <cell r="BE21">
            <v>0.38541666666666669</v>
          </cell>
          <cell r="BK21">
            <v>1.5E-3</v>
          </cell>
          <cell r="BL21">
            <v>1.5E-3</v>
          </cell>
        </row>
        <row r="22">
          <cell r="B22" t="str">
            <v>S3E</v>
          </cell>
          <cell r="G22" t="str">
            <v>FUT : PRV : 1DLL</v>
          </cell>
          <cell r="H22" t="str">
            <v xml:space="preserve"> - </v>
          </cell>
          <cell r="I22">
            <v>0</v>
          </cell>
          <cell r="J22">
            <v>5</v>
          </cell>
          <cell r="L22" t="str">
            <v xml:space="preserve">S : Entry </v>
          </cell>
          <cell r="M22" t="str">
            <v xml:space="preserve"> - </v>
          </cell>
          <cell r="N22">
            <v>1.4999999999999999E-2</v>
          </cell>
          <cell r="O22">
            <v>1</v>
          </cell>
          <cell r="P22">
            <v>0.02</v>
          </cell>
          <cell r="Q22">
            <v>1</v>
          </cell>
          <cell r="R22">
            <v>2.5000000000000001E-2</v>
          </cell>
          <cell r="S22">
            <v>1</v>
          </cell>
          <cell r="T22">
            <v>0.03</v>
          </cell>
          <cell r="U22">
            <v>1</v>
          </cell>
          <cell r="V22" t="str">
            <v>TR PROFIT AFTER TGT 4</v>
          </cell>
          <cell r="W22">
            <v>1</v>
          </cell>
          <cell r="X22" t="str">
            <v>N.A.</v>
          </cell>
          <cell r="Y22" t="str">
            <v>N.A.</v>
          </cell>
          <cell r="AA22" t="str">
            <v>Min</v>
          </cell>
          <cell r="AE22" t="str">
            <v>S : Entry</v>
          </cell>
          <cell r="AF22" t="str">
            <v xml:space="preserve"> + </v>
          </cell>
          <cell r="AG22">
            <v>1.4999999999999999E-2</v>
          </cell>
          <cell r="AJ22" t="str">
            <v xml:space="preserve"> + </v>
          </cell>
          <cell r="AK22" t="str">
            <v>FUT : PRV : 2DHH</v>
          </cell>
          <cell r="AL22">
            <v>1.5E-3</v>
          </cell>
          <cell r="AM22">
            <v>5</v>
          </cell>
          <cell r="AN22" t="str">
            <v>FUT : PRV : 2DHH</v>
          </cell>
          <cell r="AO22">
            <v>1.5E-3</v>
          </cell>
          <cell r="AP22">
            <v>4</v>
          </cell>
          <cell r="AQ22" t="str">
            <v>FUT : PRV : 2DHH</v>
          </cell>
          <cell r="AR22">
            <v>1.5E-3</v>
          </cell>
          <cell r="AS22">
            <v>3</v>
          </cell>
          <cell r="AT22" t="str">
            <v>FUT : PRV : 2DHH</v>
          </cell>
          <cell r="AU22">
            <v>1.5E-3</v>
          </cell>
          <cell r="AV22">
            <v>2</v>
          </cell>
          <cell r="AW22" t="str">
            <v>FUT : PRV : 2DHH</v>
          </cell>
          <cell r="AX22">
            <v>1.5E-3</v>
          </cell>
          <cell r="AY22">
            <v>1</v>
          </cell>
          <cell r="AZ22">
            <v>0</v>
          </cell>
          <cell r="BB22">
            <v>0</v>
          </cell>
          <cell r="BE22">
            <v>0.64583333333333337</v>
          </cell>
          <cell r="BK22">
            <v>1.5E-3</v>
          </cell>
          <cell r="BL22">
            <v>1.5E-3</v>
          </cell>
        </row>
        <row r="24">
          <cell r="B24" t="str">
            <v>S4A</v>
          </cell>
          <cell r="G24" t="str">
            <v>FUT : PRV : 2DHH</v>
          </cell>
          <cell r="H24" t="str">
            <v xml:space="preserve"> + </v>
          </cell>
          <cell r="I24">
            <v>1.5E-3</v>
          </cell>
          <cell r="J24">
            <v>5</v>
          </cell>
          <cell r="L24" t="str">
            <v xml:space="preserve">L : Entry </v>
          </cell>
          <cell r="M24" t="str">
            <v xml:space="preserve"> + </v>
          </cell>
          <cell r="N24">
            <v>1.4999999999999999E-2</v>
          </cell>
          <cell r="O24">
            <v>1</v>
          </cell>
          <cell r="P24">
            <v>0.02</v>
          </cell>
          <cell r="Q24">
            <v>1</v>
          </cell>
          <cell r="R24">
            <v>2.5000000000000001E-2</v>
          </cell>
          <cell r="S24">
            <v>1</v>
          </cell>
          <cell r="T24">
            <v>0.03</v>
          </cell>
          <cell r="U24">
            <v>1</v>
          </cell>
          <cell r="V24" t="str">
            <v>TR PROFIT AFTER TGT 4</v>
          </cell>
          <cell r="W24">
            <v>1</v>
          </cell>
          <cell r="X24" t="str">
            <v>N.A.</v>
          </cell>
          <cell r="Y24" t="str">
            <v>N.A.</v>
          </cell>
          <cell r="AA24" t="str">
            <v>Max</v>
          </cell>
          <cell r="AE24" t="str">
            <v>L : Entry</v>
          </cell>
          <cell r="AF24" t="str">
            <v xml:space="preserve"> - </v>
          </cell>
          <cell r="AG24">
            <v>1.4999999999999999E-2</v>
          </cell>
          <cell r="AJ24" t="str">
            <v xml:space="preserve"> - </v>
          </cell>
          <cell r="AK24" t="str">
            <v>FUT : PRV : 2DLL</v>
          </cell>
          <cell r="AL24">
            <v>1.5E-3</v>
          </cell>
          <cell r="AM24">
            <v>5</v>
          </cell>
          <cell r="AN24" t="str">
            <v>FUT : PRV : 2DLL</v>
          </cell>
          <cell r="AO24">
            <v>1.5E-3</v>
          </cell>
          <cell r="AP24">
            <v>4</v>
          </cell>
          <cell r="AQ24" t="str">
            <v>FUT : PRV : 2DLL</v>
          </cell>
          <cell r="AR24">
            <v>1.5E-3</v>
          </cell>
          <cell r="AS24">
            <v>3</v>
          </cell>
          <cell r="AT24" t="str">
            <v>FUT : PRV : 2DLL</v>
          </cell>
          <cell r="AU24">
            <v>1.5E-3</v>
          </cell>
          <cell r="AV24">
            <v>2</v>
          </cell>
          <cell r="AW24" t="str">
            <v>FUT : PRV : 2DLL</v>
          </cell>
          <cell r="AX24">
            <v>1.5E-3</v>
          </cell>
          <cell r="AY24">
            <v>1</v>
          </cell>
          <cell r="AZ24">
            <v>0</v>
          </cell>
          <cell r="BB24">
            <v>0</v>
          </cell>
          <cell r="BE24">
            <v>0.38888194444444446</v>
          </cell>
          <cell r="BF24">
            <v>0.38888194444444446</v>
          </cell>
          <cell r="BG24">
            <v>0.38541666666666669</v>
          </cell>
          <cell r="BK24">
            <v>1.5E-3</v>
          </cell>
          <cell r="BL24">
            <v>1.5E-3</v>
          </cell>
          <cell r="CU24">
            <v>0.625</v>
          </cell>
        </row>
        <row r="25">
          <cell r="B25" t="str">
            <v>S4B</v>
          </cell>
          <cell r="G25" t="str">
            <v>FUT : PRV : 2DLL</v>
          </cell>
          <cell r="H25" t="str">
            <v xml:space="preserve"> - </v>
          </cell>
          <cell r="I25">
            <v>1.5E-3</v>
          </cell>
          <cell r="J25">
            <v>5</v>
          </cell>
          <cell r="L25" t="str">
            <v xml:space="preserve">S : Entry </v>
          </cell>
          <cell r="M25" t="str">
            <v xml:space="preserve"> - </v>
          </cell>
          <cell r="N25">
            <v>1.4999999999999999E-2</v>
          </cell>
          <cell r="O25">
            <v>1</v>
          </cell>
          <cell r="P25">
            <v>0.02</v>
          </cell>
          <cell r="Q25">
            <v>1</v>
          </cell>
          <cell r="R25">
            <v>2.5000000000000001E-2</v>
          </cell>
          <cell r="S25">
            <v>1</v>
          </cell>
          <cell r="T25">
            <v>0.03</v>
          </cell>
          <cell r="U25">
            <v>1</v>
          </cell>
          <cell r="V25" t="str">
            <v>TR PROFIT AFTER TGT 4</v>
          </cell>
          <cell r="W25">
            <v>1</v>
          </cell>
          <cell r="X25" t="str">
            <v>N.A.</v>
          </cell>
          <cell r="Y25" t="str">
            <v>N.A.</v>
          </cell>
          <cell r="AA25" t="str">
            <v>Min</v>
          </cell>
          <cell r="AE25" t="str">
            <v>S : Entry</v>
          </cell>
          <cell r="AF25" t="str">
            <v xml:space="preserve"> + </v>
          </cell>
          <cell r="AG25">
            <v>1.4999999999999999E-2</v>
          </cell>
          <cell r="AJ25" t="str">
            <v xml:space="preserve"> + </v>
          </cell>
          <cell r="AK25" t="str">
            <v>FUT : PRV : 2DHH</v>
          </cell>
          <cell r="AL25">
            <v>1.5E-3</v>
          </cell>
          <cell r="AM25">
            <v>5</v>
          </cell>
          <cell r="AN25" t="str">
            <v>FUT : PRV : 2DHH</v>
          </cell>
          <cell r="AO25">
            <v>1.5E-3</v>
          </cell>
          <cell r="AP25">
            <v>4</v>
          </cell>
          <cell r="AQ25" t="str">
            <v>FUT : PRV : 2DHH</v>
          </cell>
          <cell r="AR25">
            <v>1.5E-3</v>
          </cell>
          <cell r="AS25">
            <v>3</v>
          </cell>
          <cell r="AT25" t="str">
            <v>FUT : PRV : 2DHH</v>
          </cell>
          <cell r="AU25">
            <v>1.5E-3</v>
          </cell>
          <cell r="AV25">
            <v>2</v>
          </cell>
          <cell r="AW25" t="str">
            <v>FUT : PRV : 2DHH</v>
          </cell>
          <cell r="AX25">
            <v>1.5E-3</v>
          </cell>
          <cell r="AY25">
            <v>1</v>
          </cell>
          <cell r="AZ25">
            <v>0</v>
          </cell>
          <cell r="BB25">
            <v>0</v>
          </cell>
          <cell r="BE25">
            <v>0.39582638888888888</v>
          </cell>
          <cell r="BF25">
            <v>0.39582638888888888</v>
          </cell>
          <cell r="BG25" t="str">
            <v>N.A.</v>
          </cell>
          <cell r="BK25">
            <v>1.5E-3</v>
          </cell>
          <cell r="BL25">
            <v>1.5E-3</v>
          </cell>
        </row>
        <row r="26">
          <cell r="B26" t="str">
            <v>S4C</v>
          </cell>
        </row>
        <row r="27">
          <cell r="B27" t="str">
            <v>S4D</v>
          </cell>
          <cell r="G27" t="str">
            <v>FUT : PRV : 2DHH</v>
          </cell>
          <cell r="H27" t="str">
            <v xml:space="preserve"> + </v>
          </cell>
          <cell r="I27">
            <v>1.5E-3</v>
          </cell>
          <cell r="J27">
            <v>5</v>
          </cell>
          <cell r="L27" t="str">
            <v xml:space="preserve">L : Entry </v>
          </cell>
          <cell r="M27" t="str">
            <v xml:space="preserve"> + </v>
          </cell>
          <cell r="N27">
            <v>1.4999999999999999E-2</v>
          </cell>
          <cell r="O27">
            <v>1</v>
          </cell>
          <cell r="P27">
            <v>0.02</v>
          </cell>
          <cell r="Q27">
            <v>1</v>
          </cell>
          <cell r="R27">
            <v>2.5000000000000001E-2</v>
          </cell>
          <cell r="S27">
            <v>1</v>
          </cell>
          <cell r="T27">
            <v>0.03</v>
          </cell>
          <cell r="U27">
            <v>1</v>
          </cell>
          <cell r="V27" t="str">
            <v>TR PROFIT AFTER TGT 4</v>
          </cell>
          <cell r="W27">
            <v>1</v>
          </cell>
          <cell r="X27" t="str">
            <v>N.A.</v>
          </cell>
          <cell r="Y27" t="str">
            <v>N.A.</v>
          </cell>
          <cell r="AA27" t="str">
            <v>Max</v>
          </cell>
          <cell r="AE27" t="str">
            <v>L : Entry</v>
          </cell>
          <cell r="AF27" t="str">
            <v xml:space="preserve"> - </v>
          </cell>
          <cell r="AG27">
            <v>1.4999999999999999E-2</v>
          </cell>
          <cell r="AJ27" t="str">
            <v xml:space="preserve"> - </v>
          </cell>
          <cell r="AK27" t="str">
            <v>FUT : PRV : 2DLL</v>
          </cell>
          <cell r="AL27">
            <v>1.5E-3</v>
          </cell>
          <cell r="AM27">
            <v>5</v>
          </cell>
          <cell r="AN27" t="str">
            <v>FUT : PRV : 2DLL</v>
          </cell>
          <cell r="AO27">
            <v>1.5E-3</v>
          </cell>
          <cell r="AP27">
            <v>4</v>
          </cell>
          <cell r="AQ27" t="str">
            <v>FUT : PRV : 2DLL</v>
          </cell>
          <cell r="AR27">
            <v>1.5E-3</v>
          </cell>
          <cell r="AS27">
            <v>3</v>
          </cell>
          <cell r="AT27" t="str">
            <v>FUT : PRV : 2DLL</v>
          </cell>
          <cell r="AU27">
            <v>1.5E-3</v>
          </cell>
          <cell r="AV27">
            <v>2</v>
          </cell>
          <cell r="AW27" t="str">
            <v>FUT : PRV : 2DLL</v>
          </cell>
          <cell r="AX27">
            <v>1.5E-3</v>
          </cell>
          <cell r="AY27">
            <v>1</v>
          </cell>
          <cell r="AZ27">
            <v>0</v>
          </cell>
          <cell r="BB27">
            <v>0</v>
          </cell>
          <cell r="BE27">
            <v>0.38541666666666669</v>
          </cell>
          <cell r="BK27">
            <v>1.5E-3</v>
          </cell>
          <cell r="BL27">
            <v>1.5E-3</v>
          </cell>
        </row>
        <row r="28">
          <cell r="B28" t="str">
            <v>S4E</v>
          </cell>
          <cell r="G28" t="str">
            <v>FUT : PRV : 2DLL</v>
          </cell>
          <cell r="H28" t="str">
            <v xml:space="preserve"> - </v>
          </cell>
          <cell r="I28">
            <v>1.5E-3</v>
          </cell>
          <cell r="J28">
            <v>5</v>
          </cell>
          <cell r="L28" t="str">
            <v xml:space="preserve">S : Entry </v>
          </cell>
          <cell r="M28" t="str">
            <v xml:space="preserve"> - </v>
          </cell>
          <cell r="N28">
            <v>1.4999999999999999E-2</v>
          </cell>
          <cell r="O28">
            <v>1</v>
          </cell>
          <cell r="P28">
            <v>0.02</v>
          </cell>
          <cell r="Q28">
            <v>1</v>
          </cell>
          <cell r="R28">
            <v>2.5000000000000001E-2</v>
          </cell>
          <cell r="S28">
            <v>1</v>
          </cell>
          <cell r="T28">
            <v>0.03</v>
          </cell>
          <cell r="U28">
            <v>1</v>
          </cell>
          <cell r="V28" t="str">
            <v>TR PROFIT AFTER TGT 4</v>
          </cell>
          <cell r="W28">
            <v>1</v>
          </cell>
          <cell r="X28" t="str">
            <v>N.A.</v>
          </cell>
          <cell r="Y28" t="str">
            <v>N.A.</v>
          </cell>
          <cell r="AA28" t="str">
            <v>Min</v>
          </cell>
          <cell r="AE28" t="str">
            <v>S : Entry</v>
          </cell>
          <cell r="AF28" t="str">
            <v xml:space="preserve"> + </v>
          </cell>
          <cell r="AG28">
            <v>1.4999999999999999E-2</v>
          </cell>
          <cell r="AJ28" t="str">
            <v xml:space="preserve"> + </v>
          </cell>
          <cell r="AK28" t="str">
            <v>FUT : PRV : 2DHH</v>
          </cell>
          <cell r="AL28">
            <v>1.5E-3</v>
          </cell>
          <cell r="AM28">
            <v>5</v>
          </cell>
          <cell r="AN28" t="str">
            <v>FUT : PRV : 2DHH</v>
          </cell>
          <cell r="AO28">
            <v>1.5E-3</v>
          </cell>
          <cell r="AP28">
            <v>4</v>
          </cell>
          <cell r="AQ28" t="str">
            <v>FUT : PRV : 2DHH</v>
          </cell>
          <cell r="AR28">
            <v>1.5E-3</v>
          </cell>
          <cell r="AS28">
            <v>3</v>
          </cell>
          <cell r="AT28" t="str">
            <v>FUT : PRV : 2DHH</v>
          </cell>
          <cell r="AU28">
            <v>1.5E-3</v>
          </cell>
          <cell r="AV28">
            <v>2</v>
          </cell>
          <cell r="AW28" t="str">
            <v>FUT : PRV : 2DHH</v>
          </cell>
          <cell r="AX28">
            <v>1.5E-3</v>
          </cell>
          <cell r="AY28">
            <v>1</v>
          </cell>
          <cell r="AZ28">
            <v>0</v>
          </cell>
          <cell r="BB28">
            <v>0</v>
          </cell>
          <cell r="BE28">
            <v>0.64583333333333337</v>
          </cell>
          <cell r="BK28">
            <v>1.5E-3</v>
          </cell>
          <cell r="BL28">
            <v>1.5E-3</v>
          </cell>
        </row>
        <row r="30">
          <cell r="B30" t="str">
            <v>S5A</v>
          </cell>
          <cell r="G30" t="str">
            <v>FUT : PRV : 2DHH</v>
          </cell>
          <cell r="H30" t="str">
            <v xml:space="preserve"> + </v>
          </cell>
          <cell r="I30">
            <v>0</v>
          </cell>
          <cell r="J30">
            <v>5</v>
          </cell>
          <cell r="L30" t="str">
            <v xml:space="preserve">L : Entry </v>
          </cell>
          <cell r="M30" t="str">
            <v xml:space="preserve"> + </v>
          </cell>
          <cell r="N30">
            <v>0.03</v>
          </cell>
          <cell r="O30">
            <v>1</v>
          </cell>
          <cell r="P30">
            <v>4.4999999999999998E-2</v>
          </cell>
          <cell r="Q30">
            <v>1</v>
          </cell>
          <cell r="R30">
            <v>0.06</v>
          </cell>
          <cell r="S30">
            <v>1</v>
          </cell>
          <cell r="T30">
            <v>0.08</v>
          </cell>
          <cell r="U30">
            <v>1</v>
          </cell>
          <cell r="V30" t="str">
            <v>TR PROFIT AFTER TGT 4</v>
          </cell>
          <cell r="W30">
            <v>1</v>
          </cell>
          <cell r="X30" t="str">
            <v>N.A.</v>
          </cell>
          <cell r="Y30" t="str">
            <v>N.A.</v>
          </cell>
          <cell r="AA30" t="str">
            <v>Max</v>
          </cell>
          <cell r="AE30" t="str">
            <v>L : Entry</v>
          </cell>
          <cell r="AF30" t="str">
            <v xml:space="preserve"> - </v>
          </cell>
          <cell r="AG30">
            <v>0.03</v>
          </cell>
          <cell r="AJ30" t="str">
            <v xml:space="preserve"> - </v>
          </cell>
          <cell r="AK30" t="str">
            <v>FUT : PRV : 3DLL</v>
          </cell>
          <cell r="AL30">
            <v>0.01</v>
          </cell>
          <cell r="AM30">
            <v>5</v>
          </cell>
          <cell r="AN30" t="str">
            <v>FUT : PRV : 3DLL</v>
          </cell>
          <cell r="AO30">
            <v>0.01</v>
          </cell>
          <cell r="AP30">
            <v>4</v>
          </cell>
          <cell r="AQ30" t="str">
            <v>FUT : PRV : 3DLL</v>
          </cell>
          <cell r="AR30">
            <v>0.01</v>
          </cell>
          <cell r="AS30">
            <v>3</v>
          </cell>
          <cell r="AT30" t="str">
            <v>FUT : PRV : 3DLL</v>
          </cell>
          <cell r="AU30">
            <v>0.01</v>
          </cell>
          <cell r="AV30">
            <v>2</v>
          </cell>
          <cell r="AW30" t="str">
            <v>FUT : PRV : 3DLL</v>
          </cell>
          <cell r="AX30">
            <v>0.01</v>
          </cell>
          <cell r="AY30">
            <v>1</v>
          </cell>
          <cell r="AZ30">
            <v>0</v>
          </cell>
          <cell r="BB30">
            <v>0</v>
          </cell>
          <cell r="BE30">
            <v>0.38888194444444446</v>
          </cell>
          <cell r="BF30">
            <v>0.38888194444444446</v>
          </cell>
          <cell r="BG30">
            <v>0.38541666666666669</v>
          </cell>
          <cell r="BK30">
            <v>0.01</v>
          </cell>
          <cell r="BL30">
            <v>0.01</v>
          </cell>
          <cell r="CU30">
            <v>0.625</v>
          </cell>
        </row>
        <row r="31">
          <cell r="B31" t="str">
            <v>S5B</v>
          </cell>
          <cell r="G31" t="str">
            <v>FUT : PRV : 3DLL</v>
          </cell>
          <cell r="H31" t="str">
            <v xml:space="preserve"> - </v>
          </cell>
          <cell r="I31">
            <v>0.01</v>
          </cell>
          <cell r="J31">
            <v>5</v>
          </cell>
          <cell r="L31" t="str">
            <v xml:space="preserve">S : Entry </v>
          </cell>
          <cell r="M31" t="str">
            <v xml:space="preserve"> - </v>
          </cell>
          <cell r="N31">
            <v>0.03</v>
          </cell>
          <cell r="O31">
            <v>1</v>
          </cell>
          <cell r="P31">
            <v>4.4999999999999998E-2</v>
          </cell>
          <cell r="Q31">
            <v>1</v>
          </cell>
          <cell r="R31">
            <v>0.06</v>
          </cell>
          <cell r="S31">
            <v>1</v>
          </cell>
          <cell r="T31">
            <v>0.08</v>
          </cell>
          <cell r="U31">
            <v>1</v>
          </cell>
          <cell r="V31" t="str">
            <v>TR PROFIT AFTER TGT 4</v>
          </cell>
          <cell r="W31">
            <v>1</v>
          </cell>
          <cell r="X31" t="str">
            <v>N.A.</v>
          </cell>
          <cell r="Y31" t="str">
            <v>N.A.</v>
          </cell>
          <cell r="AA31" t="str">
            <v>Min</v>
          </cell>
          <cell r="AE31" t="str">
            <v>S : Entry</v>
          </cell>
          <cell r="AF31" t="str">
            <v xml:space="preserve"> + </v>
          </cell>
          <cell r="AG31">
            <v>0.03</v>
          </cell>
          <cell r="AJ31" t="str">
            <v xml:space="preserve"> + </v>
          </cell>
          <cell r="AK31" t="str">
            <v>FUT : PRV : 2DHH</v>
          </cell>
          <cell r="AL31">
            <v>0</v>
          </cell>
          <cell r="AM31">
            <v>5</v>
          </cell>
          <cell r="AN31" t="str">
            <v>FUT : PRV : 2DHH</v>
          </cell>
          <cell r="AO31">
            <v>0</v>
          </cell>
          <cell r="AP31">
            <v>4</v>
          </cell>
          <cell r="AQ31" t="str">
            <v>FUT : PRV : 2DHH</v>
          </cell>
          <cell r="AR31">
            <v>0</v>
          </cell>
          <cell r="AS31">
            <v>3</v>
          </cell>
          <cell r="AT31" t="str">
            <v>FUT : PRV : 2DHH</v>
          </cell>
          <cell r="AU31">
            <v>0</v>
          </cell>
          <cell r="AV31">
            <v>2</v>
          </cell>
          <cell r="AW31" t="str">
            <v>FUT : PRV : 2DHH</v>
          </cell>
          <cell r="AX31">
            <v>0</v>
          </cell>
          <cell r="AY31">
            <v>1</v>
          </cell>
          <cell r="AZ31">
            <v>0</v>
          </cell>
          <cell r="BB31">
            <v>0</v>
          </cell>
          <cell r="BE31">
            <v>0.39582638888888888</v>
          </cell>
          <cell r="BF31">
            <v>0.39582638888888888</v>
          </cell>
          <cell r="BG31" t="str">
            <v>N.A.</v>
          </cell>
          <cell r="BK31">
            <v>0.01</v>
          </cell>
          <cell r="BL31">
            <v>0.01</v>
          </cell>
        </row>
        <row r="32">
          <cell r="B32" t="str">
            <v>S5C</v>
          </cell>
        </row>
        <row r="33">
          <cell r="B33" t="str">
            <v>S5D</v>
          </cell>
          <cell r="G33" t="str">
            <v>FUT : PRV : 3DHH</v>
          </cell>
          <cell r="H33" t="str">
            <v xml:space="preserve"> + </v>
          </cell>
          <cell r="I33">
            <v>0.01</v>
          </cell>
          <cell r="J33">
            <v>5</v>
          </cell>
          <cell r="L33" t="str">
            <v xml:space="preserve">L : Entry </v>
          </cell>
          <cell r="M33" t="str">
            <v xml:space="preserve"> + </v>
          </cell>
          <cell r="N33">
            <v>0.03</v>
          </cell>
          <cell r="O33">
            <v>1</v>
          </cell>
          <cell r="P33">
            <v>4.4999999999999998E-2</v>
          </cell>
          <cell r="Q33">
            <v>1</v>
          </cell>
          <cell r="R33">
            <v>0.06</v>
          </cell>
          <cell r="S33">
            <v>1</v>
          </cell>
          <cell r="T33">
            <v>0.08</v>
          </cell>
          <cell r="U33">
            <v>1</v>
          </cell>
          <cell r="V33" t="str">
            <v>TR PROFIT AFTER TGT 4</v>
          </cell>
          <cell r="W33">
            <v>1</v>
          </cell>
          <cell r="X33" t="str">
            <v>N.A.</v>
          </cell>
          <cell r="Y33" t="str">
            <v>N.A.</v>
          </cell>
          <cell r="AA33" t="str">
            <v>Max</v>
          </cell>
          <cell r="AE33" t="str">
            <v>L : Entry</v>
          </cell>
          <cell r="AF33" t="str">
            <v xml:space="preserve"> - </v>
          </cell>
          <cell r="AG33">
            <v>0.03</v>
          </cell>
          <cell r="AJ33" t="str">
            <v xml:space="preserve"> - </v>
          </cell>
          <cell r="AK33" t="str">
            <v>FUT : PRV : 2DLL</v>
          </cell>
          <cell r="AL33">
            <v>0</v>
          </cell>
          <cell r="AM33">
            <v>5</v>
          </cell>
          <cell r="AN33" t="str">
            <v>FUT : PRV : 2DLL</v>
          </cell>
          <cell r="AO33">
            <v>0</v>
          </cell>
          <cell r="AP33">
            <v>4</v>
          </cell>
          <cell r="AQ33" t="str">
            <v>FUT : PRV : 2DLL</v>
          </cell>
          <cell r="AR33">
            <v>0</v>
          </cell>
          <cell r="AS33">
            <v>3</v>
          </cell>
          <cell r="AT33" t="str">
            <v>FUT : PRV : 2DLL</v>
          </cell>
          <cell r="AU33">
            <v>0</v>
          </cell>
          <cell r="AV33">
            <v>2</v>
          </cell>
          <cell r="AW33" t="str">
            <v>FUT : PRV : 2DLL</v>
          </cell>
          <cell r="AX33">
            <v>0</v>
          </cell>
          <cell r="AY33">
            <v>1</v>
          </cell>
          <cell r="AZ33">
            <v>0</v>
          </cell>
          <cell r="BB33">
            <v>0</v>
          </cell>
          <cell r="BE33">
            <v>0.38541666666666669</v>
          </cell>
          <cell r="BK33">
            <v>0.01</v>
          </cell>
          <cell r="BL33">
            <v>0.01</v>
          </cell>
        </row>
        <row r="34">
          <cell r="B34" t="str">
            <v>S5E</v>
          </cell>
          <cell r="G34" t="str">
            <v>FUT : PRV : 2DLL</v>
          </cell>
          <cell r="H34" t="str">
            <v xml:space="preserve"> - </v>
          </cell>
          <cell r="I34">
            <v>0</v>
          </cell>
          <cell r="J34">
            <v>5</v>
          </cell>
          <cell r="L34" t="str">
            <v xml:space="preserve">S : Entry </v>
          </cell>
          <cell r="M34" t="str">
            <v xml:space="preserve"> - </v>
          </cell>
          <cell r="N34">
            <v>0.03</v>
          </cell>
          <cell r="O34">
            <v>1</v>
          </cell>
          <cell r="P34">
            <v>4.4999999999999998E-2</v>
          </cell>
          <cell r="Q34">
            <v>1</v>
          </cell>
          <cell r="R34">
            <v>0.06</v>
          </cell>
          <cell r="S34">
            <v>1</v>
          </cell>
          <cell r="T34">
            <v>0.08</v>
          </cell>
          <cell r="U34">
            <v>1</v>
          </cell>
          <cell r="V34" t="str">
            <v>TR PROFIT AFTER TGT 4</v>
          </cell>
          <cell r="W34">
            <v>1</v>
          </cell>
          <cell r="X34" t="str">
            <v>N.A.</v>
          </cell>
          <cell r="Y34" t="str">
            <v>N.A.</v>
          </cell>
          <cell r="AA34" t="str">
            <v>Min</v>
          </cell>
          <cell r="AE34" t="str">
            <v>S : Entry</v>
          </cell>
          <cell r="AF34" t="str">
            <v xml:space="preserve"> + </v>
          </cell>
          <cell r="AG34">
            <v>0.03</v>
          </cell>
          <cell r="AJ34" t="str">
            <v xml:space="preserve"> + </v>
          </cell>
          <cell r="AK34" t="str">
            <v>FUT : PRV : 3DHH</v>
          </cell>
          <cell r="AL34">
            <v>0.01</v>
          </cell>
          <cell r="AM34">
            <v>5</v>
          </cell>
          <cell r="AN34" t="str">
            <v>FUT : PRV : 3DHH</v>
          </cell>
          <cell r="AO34">
            <v>0.01</v>
          </cell>
          <cell r="AP34">
            <v>4</v>
          </cell>
          <cell r="AQ34" t="str">
            <v>FUT : PRV : 3DHH</v>
          </cell>
          <cell r="AR34">
            <v>0.01</v>
          </cell>
          <cell r="AS34">
            <v>3</v>
          </cell>
          <cell r="AT34" t="str">
            <v>FUT : PRV : 3DHH</v>
          </cell>
          <cell r="AU34">
            <v>0.01</v>
          </cell>
          <cell r="AV34">
            <v>2</v>
          </cell>
          <cell r="AW34" t="str">
            <v>FUT : PRV : 3DHH</v>
          </cell>
          <cell r="AX34">
            <v>0.01</v>
          </cell>
          <cell r="AY34">
            <v>1</v>
          </cell>
          <cell r="AZ34">
            <v>0</v>
          </cell>
          <cell r="BB34">
            <v>0</v>
          </cell>
          <cell r="BE34">
            <v>0.64583333333333337</v>
          </cell>
          <cell r="BK34">
            <v>0.01</v>
          </cell>
          <cell r="BL34">
            <v>0.01</v>
          </cell>
        </row>
        <row r="36">
          <cell r="B36" t="str">
            <v>S6A</v>
          </cell>
          <cell r="G36" t="str">
            <v>FUT : PRV : 3DHH</v>
          </cell>
          <cell r="H36" t="str">
            <v xml:space="preserve"> + </v>
          </cell>
          <cell r="I36">
            <v>0.01</v>
          </cell>
          <cell r="J36">
            <v>5</v>
          </cell>
          <cell r="L36" t="str">
            <v xml:space="preserve">L : Entry </v>
          </cell>
          <cell r="M36" t="str">
            <v xml:space="preserve"> + </v>
          </cell>
          <cell r="N36">
            <v>0.03</v>
          </cell>
          <cell r="O36">
            <v>1</v>
          </cell>
          <cell r="P36">
            <v>4.4999999999999998E-2</v>
          </cell>
          <cell r="Q36">
            <v>1</v>
          </cell>
          <cell r="R36">
            <v>0.06</v>
          </cell>
          <cell r="S36">
            <v>1</v>
          </cell>
          <cell r="T36">
            <v>0.08</v>
          </cell>
          <cell r="U36">
            <v>1</v>
          </cell>
          <cell r="V36" t="str">
            <v>TR PROFIT AFTER TGT 4</v>
          </cell>
          <cell r="W36">
            <v>1</v>
          </cell>
          <cell r="X36" t="str">
            <v>N.A.</v>
          </cell>
          <cell r="Y36" t="str">
            <v>N.A.</v>
          </cell>
          <cell r="AA36" t="str">
            <v>Max</v>
          </cell>
          <cell r="AE36" t="str">
            <v>L : Entry</v>
          </cell>
          <cell r="AF36" t="str">
            <v xml:space="preserve"> - </v>
          </cell>
          <cell r="AG36">
            <v>0.03</v>
          </cell>
          <cell r="AJ36" t="str">
            <v xml:space="preserve"> - </v>
          </cell>
          <cell r="AK36" t="str">
            <v>FUT : PRV : 3DLL</v>
          </cell>
          <cell r="AL36">
            <v>0.01</v>
          </cell>
          <cell r="AM36">
            <v>5</v>
          </cell>
          <cell r="AN36" t="str">
            <v>FUT : PRV : 3DLL</v>
          </cell>
          <cell r="AO36">
            <v>0.01</v>
          </cell>
          <cell r="AP36">
            <v>4</v>
          </cell>
          <cell r="AQ36" t="str">
            <v>FUT : PRV : 3DLL</v>
          </cell>
          <cell r="AR36">
            <v>0.01</v>
          </cell>
          <cell r="AS36">
            <v>3</v>
          </cell>
          <cell r="AT36" t="str">
            <v>FUT : PRV : 3DLL</v>
          </cell>
          <cell r="AU36">
            <v>0.01</v>
          </cell>
          <cell r="AV36">
            <v>2</v>
          </cell>
          <cell r="AW36" t="str">
            <v>FUT : PRV : 3DLL</v>
          </cell>
          <cell r="AX36">
            <v>0.01</v>
          </cell>
          <cell r="AY36">
            <v>1</v>
          </cell>
          <cell r="AZ36">
            <v>0</v>
          </cell>
          <cell r="BB36">
            <v>0</v>
          </cell>
          <cell r="BE36">
            <v>0.38888194444444446</v>
          </cell>
          <cell r="BF36">
            <v>0.38888194444444446</v>
          </cell>
          <cell r="BG36">
            <v>0.38541666666666669</v>
          </cell>
          <cell r="BK36">
            <v>0.01</v>
          </cell>
          <cell r="BL36">
            <v>0.01</v>
          </cell>
          <cell r="CU36">
            <v>0.625</v>
          </cell>
        </row>
        <row r="37">
          <cell r="B37" t="str">
            <v>S6B</v>
          </cell>
          <cell r="G37" t="str">
            <v>FUT : PRV : 3DLL</v>
          </cell>
          <cell r="H37" t="str">
            <v xml:space="preserve"> - </v>
          </cell>
          <cell r="I37">
            <v>0.01</v>
          </cell>
          <cell r="J37">
            <v>5</v>
          </cell>
          <cell r="L37" t="str">
            <v xml:space="preserve">S : Entry </v>
          </cell>
          <cell r="M37" t="str">
            <v xml:space="preserve"> - </v>
          </cell>
          <cell r="N37">
            <v>0.03</v>
          </cell>
          <cell r="O37">
            <v>1</v>
          </cell>
          <cell r="P37">
            <v>4.4999999999999998E-2</v>
          </cell>
          <cell r="Q37">
            <v>1</v>
          </cell>
          <cell r="R37">
            <v>0.06</v>
          </cell>
          <cell r="S37">
            <v>1</v>
          </cell>
          <cell r="T37">
            <v>0.08</v>
          </cell>
          <cell r="U37">
            <v>1</v>
          </cell>
          <cell r="V37" t="str">
            <v>TR PROFIT AFTER TGT 4</v>
          </cell>
          <cell r="W37">
            <v>1</v>
          </cell>
          <cell r="X37" t="str">
            <v>N.A.</v>
          </cell>
          <cell r="Y37" t="str">
            <v>N.A.</v>
          </cell>
          <cell r="AA37" t="str">
            <v>Min</v>
          </cell>
          <cell r="AE37" t="str">
            <v>S : Entry</v>
          </cell>
          <cell r="AF37" t="str">
            <v xml:space="preserve"> + </v>
          </cell>
          <cell r="AG37">
            <v>0.03</v>
          </cell>
          <cell r="AJ37" t="str">
            <v xml:space="preserve"> + </v>
          </cell>
          <cell r="AK37" t="str">
            <v>FUT : PRV : 3DHH</v>
          </cell>
          <cell r="AL37">
            <v>0.01</v>
          </cell>
          <cell r="AM37">
            <v>5</v>
          </cell>
          <cell r="AN37" t="str">
            <v>FUT : PRV : 3DHH</v>
          </cell>
          <cell r="AO37">
            <v>0.01</v>
          </cell>
          <cell r="AP37">
            <v>4</v>
          </cell>
          <cell r="AQ37" t="str">
            <v>FUT : PRV : 3DHH</v>
          </cell>
          <cell r="AR37">
            <v>0.01</v>
          </cell>
          <cell r="AS37">
            <v>3</v>
          </cell>
          <cell r="AT37" t="str">
            <v>FUT : PRV : 3DHH</v>
          </cell>
          <cell r="AU37">
            <v>0.01</v>
          </cell>
          <cell r="AV37">
            <v>2</v>
          </cell>
          <cell r="AW37" t="str">
            <v>FUT : PRV : 3DHH</v>
          </cell>
          <cell r="AX37">
            <v>0.01</v>
          </cell>
          <cell r="AY37">
            <v>1</v>
          </cell>
          <cell r="AZ37">
            <v>0</v>
          </cell>
          <cell r="BB37">
            <v>0</v>
          </cell>
          <cell r="BE37">
            <v>0.39582638888888888</v>
          </cell>
          <cell r="BF37">
            <v>0.39582638888888888</v>
          </cell>
          <cell r="BG37" t="str">
            <v>N.A.</v>
          </cell>
          <cell r="BK37">
            <v>0.01</v>
          </cell>
          <cell r="BL37">
            <v>0.01</v>
          </cell>
        </row>
        <row r="38">
          <cell r="B38" t="str">
            <v>S6C</v>
          </cell>
        </row>
        <row r="39">
          <cell r="B39" t="str">
            <v>S6D</v>
          </cell>
          <cell r="G39" t="str">
            <v>FUT : PRV : 3DHH</v>
          </cell>
          <cell r="H39" t="str">
            <v xml:space="preserve"> + </v>
          </cell>
          <cell r="I39">
            <v>0.01</v>
          </cell>
          <cell r="J39">
            <v>5</v>
          </cell>
          <cell r="L39" t="str">
            <v xml:space="preserve">L : Entry </v>
          </cell>
          <cell r="M39" t="str">
            <v xml:space="preserve"> + </v>
          </cell>
          <cell r="N39">
            <v>0.03</v>
          </cell>
          <cell r="O39">
            <v>1</v>
          </cell>
          <cell r="P39">
            <v>4.4999999999999998E-2</v>
          </cell>
          <cell r="Q39">
            <v>1</v>
          </cell>
          <cell r="R39">
            <v>0.06</v>
          </cell>
          <cell r="S39">
            <v>1</v>
          </cell>
          <cell r="T39">
            <v>0.08</v>
          </cell>
          <cell r="U39">
            <v>1</v>
          </cell>
          <cell r="V39" t="str">
            <v>TR PROFIT AFTER TGT 4</v>
          </cell>
          <cell r="W39">
            <v>1</v>
          </cell>
          <cell r="X39" t="str">
            <v>N.A.</v>
          </cell>
          <cell r="Y39" t="str">
            <v>N.A.</v>
          </cell>
          <cell r="AA39" t="str">
            <v>Max</v>
          </cell>
          <cell r="AE39" t="str">
            <v>L : Entry</v>
          </cell>
          <cell r="AF39" t="str">
            <v xml:space="preserve"> - </v>
          </cell>
          <cell r="AG39">
            <v>0.03</v>
          </cell>
          <cell r="AJ39" t="str">
            <v xml:space="preserve"> - </v>
          </cell>
          <cell r="AK39" t="str">
            <v>FUT : PRV : 3DLL</v>
          </cell>
          <cell r="AL39">
            <v>0.01</v>
          </cell>
          <cell r="AM39">
            <v>5</v>
          </cell>
          <cell r="AN39" t="str">
            <v>FUT : PRV : 3DLL</v>
          </cell>
          <cell r="AO39">
            <v>0.01</v>
          </cell>
          <cell r="AP39">
            <v>4</v>
          </cell>
          <cell r="AQ39" t="str">
            <v>FUT : PRV : 3DLL</v>
          </cell>
          <cell r="AR39">
            <v>0.01</v>
          </cell>
          <cell r="AS39">
            <v>3</v>
          </cell>
          <cell r="AT39" t="str">
            <v>FUT : PRV : 3DLL</v>
          </cell>
          <cell r="AU39">
            <v>0.01</v>
          </cell>
          <cell r="AV39">
            <v>2</v>
          </cell>
          <cell r="AW39" t="str">
            <v>FUT : PRV : 3DLL</v>
          </cell>
          <cell r="AX39">
            <v>0.01</v>
          </cell>
          <cell r="AY39">
            <v>1</v>
          </cell>
          <cell r="AZ39">
            <v>0</v>
          </cell>
          <cell r="BB39">
            <v>0</v>
          </cell>
          <cell r="BE39">
            <v>0.38541666666666669</v>
          </cell>
          <cell r="BK39">
            <v>0.01</v>
          </cell>
          <cell r="BL39">
            <v>0.01</v>
          </cell>
        </row>
        <row r="40">
          <cell r="B40" t="str">
            <v>S6E</v>
          </cell>
          <cell r="G40" t="str">
            <v>FUT : PRV : 3DLL</v>
          </cell>
          <cell r="H40" t="str">
            <v xml:space="preserve"> - </v>
          </cell>
          <cell r="I40">
            <v>0.01</v>
          </cell>
          <cell r="J40">
            <v>5</v>
          </cell>
          <cell r="L40" t="str">
            <v xml:space="preserve">S : Entry </v>
          </cell>
          <cell r="M40" t="str">
            <v xml:space="preserve"> - </v>
          </cell>
          <cell r="N40">
            <v>0.03</v>
          </cell>
          <cell r="O40">
            <v>1</v>
          </cell>
          <cell r="P40">
            <v>4.4999999999999998E-2</v>
          </cell>
          <cell r="Q40">
            <v>1</v>
          </cell>
          <cell r="R40">
            <v>0.06</v>
          </cell>
          <cell r="S40">
            <v>1</v>
          </cell>
          <cell r="T40">
            <v>0.08</v>
          </cell>
          <cell r="U40">
            <v>1</v>
          </cell>
          <cell r="V40" t="str">
            <v>TR PROFIT AFTER TGT 4</v>
          </cell>
          <cell r="W40">
            <v>1</v>
          </cell>
          <cell r="X40" t="str">
            <v>N.A.</v>
          </cell>
          <cell r="Y40" t="str">
            <v>N.A.</v>
          </cell>
          <cell r="AA40" t="str">
            <v>Min</v>
          </cell>
          <cell r="AE40" t="str">
            <v>S : Entry</v>
          </cell>
          <cell r="AF40" t="str">
            <v xml:space="preserve"> + </v>
          </cell>
          <cell r="AG40">
            <v>0.03</v>
          </cell>
          <cell r="AJ40" t="str">
            <v xml:space="preserve"> + </v>
          </cell>
          <cell r="AK40" t="str">
            <v>FUT : PRV : 3DHH</v>
          </cell>
          <cell r="AL40">
            <v>0.01</v>
          </cell>
          <cell r="AM40">
            <v>5</v>
          </cell>
          <cell r="AN40" t="str">
            <v>FUT : PRV : 3DHH</v>
          </cell>
          <cell r="AO40">
            <v>0.01</v>
          </cell>
          <cell r="AP40">
            <v>4</v>
          </cell>
          <cell r="AQ40" t="str">
            <v>FUT : PRV : 3DHH</v>
          </cell>
          <cell r="AR40">
            <v>0.01</v>
          </cell>
          <cell r="AS40">
            <v>3</v>
          </cell>
          <cell r="AT40" t="str">
            <v>FUT : PRV : 3DHH</v>
          </cell>
          <cell r="AU40">
            <v>0.01</v>
          </cell>
          <cell r="AV40">
            <v>2</v>
          </cell>
          <cell r="AW40" t="str">
            <v>FUT : PRV : 3DHH</v>
          </cell>
          <cell r="AX40">
            <v>0.01</v>
          </cell>
          <cell r="AY40">
            <v>1</v>
          </cell>
          <cell r="AZ40">
            <v>0</v>
          </cell>
          <cell r="BB40">
            <v>0</v>
          </cell>
          <cell r="BE40">
            <v>0.64583333333333337</v>
          </cell>
          <cell r="BK40">
            <v>0.01</v>
          </cell>
          <cell r="BL40">
            <v>0.01</v>
          </cell>
        </row>
        <row r="42">
          <cell r="B42" t="str">
            <v>S7A</v>
          </cell>
          <cell r="G42" t="str">
            <v>FUT : PRV : 2DHH</v>
          </cell>
          <cell r="H42" t="str">
            <v xml:space="preserve"> + </v>
          </cell>
          <cell r="I42">
            <v>0</v>
          </cell>
          <cell r="J42">
            <v>5</v>
          </cell>
          <cell r="L42" t="str">
            <v xml:space="preserve">L : Entry </v>
          </cell>
          <cell r="M42" t="str">
            <v xml:space="preserve"> + </v>
          </cell>
          <cell r="N42">
            <v>0.03</v>
          </cell>
          <cell r="O42">
            <v>1</v>
          </cell>
          <cell r="P42">
            <v>4.4999999999999998E-2</v>
          </cell>
          <cell r="Q42">
            <v>1</v>
          </cell>
          <cell r="R42">
            <v>0.06</v>
          </cell>
          <cell r="S42">
            <v>1</v>
          </cell>
          <cell r="T42">
            <v>0.08</v>
          </cell>
          <cell r="U42">
            <v>1</v>
          </cell>
          <cell r="V42" t="str">
            <v>TR PROFIT AFTER TGT 4</v>
          </cell>
          <cell r="W42">
            <v>1</v>
          </cell>
          <cell r="X42" t="str">
            <v>N.A.</v>
          </cell>
          <cell r="Y42" t="str">
            <v>N.A.</v>
          </cell>
          <cell r="AA42" t="str">
            <v>Max</v>
          </cell>
          <cell r="AE42" t="str">
            <v>L : Entry</v>
          </cell>
          <cell r="AF42" t="str">
            <v xml:space="preserve"> - </v>
          </cell>
          <cell r="AG42">
            <v>0.03</v>
          </cell>
          <cell r="AJ42" t="str">
            <v xml:space="preserve"> - </v>
          </cell>
          <cell r="AK42" t="str">
            <v>FUT : PRV : PW&amp;CWLL</v>
          </cell>
          <cell r="AL42">
            <v>0.01</v>
          </cell>
          <cell r="AM42">
            <v>5</v>
          </cell>
          <cell r="AN42" t="str">
            <v>FUT : PRV : PW&amp;CWLL</v>
          </cell>
          <cell r="AO42">
            <v>0.01</v>
          </cell>
          <cell r="AP42">
            <v>4</v>
          </cell>
          <cell r="AQ42" t="str">
            <v>FUT : PRV : PW&amp;CWLL</v>
          </cell>
          <cell r="AR42">
            <v>0.01</v>
          </cell>
          <cell r="AS42">
            <v>3</v>
          </cell>
          <cell r="AT42" t="str">
            <v>FUT : PRV : PW&amp;CWLL</v>
          </cell>
          <cell r="AU42">
            <v>0.01</v>
          </cell>
          <cell r="AV42">
            <v>2</v>
          </cell>
          <cell r="AW42" t="str">
            <v>FUT : PRV : PW&amp;CWLL</v>
          </cell>
          <cell r="AX42">
            <v>0.01</v>
          </cell>
          <cell r="AY42">
            <v>1</v>
          </cell>
          <cell r="AZ42">
            <v>0</v>
          </cell>
          <cell r="BB42">
            <v>0</v>
          </cell>
          <cell r="BE42">
            <v>0.38888194444444446</v>
          </cell>
          <cell r="BF42">
            <v>0.38888194444444446</v>
          </cell>
          <cell r="BG42">
            <v>0.38541666666666669</v>
          </cell>
          <cell r="BK42">
            <v>0.01</v>
          </cell>
          <cell r="BL42">
            <v>0.01</v>
          </cell>
          <cell r="CU42">
            <v>0.625</v>
          </cell>
        </row>
        <row r="43">
          <cell r="B43" t="str">
            <v>S7B</v>
          </cell>
          <cell r="G43" t="str">
            <v>FUT : PRV : PW&amp;CWLL</v>
          </cell>
          <cell r="H43" t="str">
            <v xml:space="preserve"> - </v>
          </cell>
          <cell r="I43">
            <v>0.01</v>
          </cell>
          <cell r="J43">
            <v>5</v>
          </cell>
          <cell r="L43" t="str">
            <v xml:space="preserve">S : Entry </v>
          </cell>
          <cell r="M43" t="str">
            <v xml:space="preserve"> - </v>
          </cell>
          <cell r="N43">
            <v>0.03</v>
          </cell>
          <cell r="O43">
            <v>1</v>
          </cell>
          <cell r="P43">
            <v>4.4999999999999998E-2</v>
          </cell>
          <cell r="Q43">
            <v>1</v>
          </cell>
          <cell r="R43">
            <v>0.06</v>
          </cell>
          <cell r="S43">
            <v>1</v>
          </cell>
          <cell r="T43">
            <v>0.08</v>
          </cell>
          <cell r="U43">
            <v>1</v>
          </cell>
          <cell r="V43" t="str">
            <v>TR PROFIT AFTER TGT 4</v>
          </cell>
          <cell r="W43">
            <v>1</v>
          </cell>
          <cell r="X43" t="str">
            <v>N.A.</v>
          </cell>
          <cell r="Y43" t="str">
            <v>N.A.</v>
          </cell>
          <cell r="AA43" t="str">
            <v>Min</v>
          </cell>
          <cell r="AE43" t="str">
            <v>S : Entry</v>
          </cell>
          <cell r="AF43" t="str">
            <v xml:space="preserve"> + </v>
          </cell>
          <cell r="AG43">
            <v>0.03</v>
          </cell>
          <cell r="AJ43" t="str">
            <v xml:space="preserve"> + </v>
          </cell>
          <cell r="AK43" t="str">
            <v>FUT : PRV : 2DHH</v>
          </cell>
          <cell r="AL43">
            <v>0</v>
          </cell>
          <cell r="AM43">
            <v>5</v>
          </cell>
          <cell r="AN43" t="str">
            <v>FUT : PRV : 2DHH</v>
          </cell>
          <cell r="AO43">
            <v>0</v>
          </cell>
          <cell r="AP43">
            <v>4</v>
          </cell>
          <cell r="AQ43" t="str">
            <v>FUT : PRV : 2DHH</v>
          </cell>
          <cell r="AR43">
            <v>0</v>
          </cell>
          <cell r="AS43">
            <v>3</v>
          </cell>
          <cell r="AT43" t="str">
            <v>FUT : PRV : 2DHH</v>
          </cell>
          <cell r="AU43">
            <v>0</v>
          </cell>
          <cell r="AV43">
            <v>2</v>
          </cell>
          <cell r="AW43" t="str">
            <v>FUT : PRV : 2DHH</v>
          </cell>
          <cell r="AX43">
            <v>0</v>
          </cell>
          <cell r="AY43">
            <v>1</v>
          </cell>
          <cell r="AZ43">
            <v>0</v>
          </cell>
          <cell r="BB43">
            <v>0</v>
          </cell>
          <cell r="BE43">
            <v>0.39582638888888888</v>
          </cell>
          <cell r="BF43">
            <v>0.39582638888888888</v>
          </cell>
          <cell r="BG43" t="str">
            <v>N.A.</v>
          </cell>
          <cell r="BK43">
            <v>0.01</v>
          </cell>
          <cell r="BL43">
            <v>0.01</v>
          </cell>
        </row>
        <row r="44">
          <cell r="B44" t="str">
            <v>S7C</v>
          </cell>
        </row>
        <row r="45">
          <cell r="B45" t="str">
            <v>S7D</v>
          </cell>
          <cell r="G45" t="str">
            <v>FUT : PRV : PW&amp;CWHH</v>
          </cell>
          <cell r="H45" t="str">
            <v xml:space="preserve"> + </v>
          </cell>
          <cell r="I45">
            <v>0.01</v>
          </cell>
          <cell r="J45">
            <v>5</v>
          </cell>
          <cell r="L45" t="str">
            <v xml:space="preserve">L : Entry </v>
          </cell>
          <cell r="M45" t="str">
            <v xml:space="preserve"> + </v>
          </cell>
          <cell r="N45">
            <v>0.03</v>
          </cell>
          <cell r="O45">
            <v>1</v>
          </cell>
          <cell r="P45">
            <v>4.4999999999999998E-2</v>
          </cell>
          <cell r="Q45">
            <v>1</v>
          </cell>
          <cell r="R45">
            <v>0.06</v>
          </cell>
          <cell r="S45">
            <v>1</v>
          </cell>
          <cell r="T45">
            <v>0.08</v>
          </cell>
          <cell r="U45">
            <v>1</v>
          </cell>
          <cell r="V45" t="str">
            <v>TR PROFIT AFTER TGT 4</v>
          </cell>
          <cell r="W45">
            <v>1</v>
          </cell>
          <cell r="X45" t="str">
            <v>N.A.</v>
          </cell>
          <cell r="Y45" t="str">
            <v>N.A.</v>
          </cell>
          <cell r="AA45" t="str">
            <v>Max</v>
          </cell>
          <cell r="AE45" t="str">
            <v>L : Entry</v>
          </cell>
          <cell r="AF45" t="str">
            <v xml:space="preserve"> - </v>
          </cell>
          <cell r="AG45">
            <v>0.03</v>
          </cell>
          <cell r="AJ45" t="str">
            <v xml:space="preserve"> - </v>
          </cell>
          <cell r="AK45" t="str">
            <v>FUT : PRV : 2DLL</v>
          </cell>
          <cell r="AL45">
            <v>0</v>
          </cell>
          <cell r="AM45">
            <v>5</v>
          </cell>
          <cell r="AN45" t="str">
            <v>FUT : PRV : 2DLL</v>
          </cell>
          <cell r="AO45">
            <v>0</v>
          </cell>
          <cell r="AP45">
            <v>4</v>
          </cell>
          <cell r="AQ45" t="str">
            <v>FUT : PRV : 2DLL</v>
          </cell>
          <cell r="AR45">
            <v>0</v>
          </cell>
          <cell r="AS45">
            <v>3</v>
          </cell>
          <cell r="AT45" t="str">
            <v>FUT : PRV : 2DLL</v>
          </cell>
          <cell r="AU45">
            <v>0</v>
          </cell>
          <cell r="AV45">
            <v>2</v>
          </cell>
          <cell r="AW45" t="str">
            <v>FUT : PRV : 2DLL</v>
          </cell>
          <cell r="AX45">
            <v>0</v>
          </cell>
          <cell r="AY45">
            <v>1</v>
          </cell>
          <cell r="AZ45">
            <v>0</v>
          </cell>
          <cell r="BB45">
            <v>0</v>
          </cell>
          <cell r="BE45">
            <v>0.38541666666666669</v>
          </cell>
          <cell r="BK45">
            <v>0.01</v>
          </cell>
          <cell r="BL45">
            <v>0.01</v>
          </cell>
        </row>
        <row r="46">
          <cell r="B46" t="str">
            <v>S7E</v>
          </cell>
          <cell r="G46" t="str">
            <v>FUT : PRV : 2DLL</v>
          </cell>
          <cell r="H46" t="str">
            <v xml:space="preserve"> - </v>
          </cell>
          <cell r="I46">
            <v>0</v>
          </cell>
          <cell r="J46">
            <v>5</v>
          </cell>
          <cell r="L46" t="str">
            <v xml:space="preserve">S : Entry </v>
          </cell>
          <cell r="M46" t="str">
            <v xml:space="preserve"> - </v>
          </cell>
          <cell r="N46">
            <v>0.03</v>
          </cell>
          <cell r="O46">
            <v>1</v>
          </cell>
          <cell r="P46">
            <v>4.4999999999999998E-2</v>
          </cell>
          <cell r="Q46">
            <v>1</v>
          </cell>
          <cell r="R46">
            <v>0.06</v>
          </cell>
          <cell r="S46">
            <v>1</v>
          </cell>
          <cell r="T46">
            <v>0.08</v>
          </cell>
          <cell r="U46">
            <v>1</v>
          </cell>
          <cell r="V46" t="str">
            <v>TR PROFIT AFTER TGT 4</v>
          </cell>
          <cell r="W46">
            <v>1</v>
          </cell>
          <cell r="X46" t="str">
            <v>N.A.</v>
          </cell>
          <cell r="Y46" t="str">
            <v>N.A.</v>
          </cell>
          <cell r="AA46" t="str">
            <v>Min</v>
          </cell>
          <cell r="AE46" t="str">
            <v>S : Entry</v>
          </cell>
          <cell r="AF46" t="str">
            <v xml:space="preserve"> + </v>
          </cell>
          <cell r="AG46">
            <v>0.03</v>
          </cell>
          <cell r="AJ46" t="str">
            <v xml:space="preserve"> + </v>
          </cell>
          <cell r="AK46" t="str">
            <v>FUT : PRV : PW&amp;CWHH</v>
          </cell>
          <cell r="AL46">
            <v>0.01</v>
          </cell>
          <cell r="AM46">
            <v>5</v>
          </cell>
          <cell r="AN46" t="str">
            <v>FUT : PRV : PW&amp;CWHH</v>
          </cell>
          <cell r="AO46">
            <v>0.01</v>
          </cell>
          <cell r="AP46">
            <v>4</v>
          </cell>
          <cell r="AQ46" t="str">
            <v>FUT : PRV : PW&amp;CWHH</v>
          </cell>
          <cell r="AR46">
            <v>0.01</v>
          </cell>
          <cell r="AS46">
            <v>3</v>
          </cell>
          <cell r="AT46" t="str">
            <v>FUT : PRV : PW&amp;CWHH</v>
          </cell>
          <cell r="AU46">
            <v>0.01</v>
          </cell>
          <cell r="AV46">
            <v>2</v>
          </cell>
          <cell r="AW46" t="str">
            <v>FUT : PRV : PW&amp;CWHH</v>
          </cell>
          <cell r="AX46">
            <v>0.01</v>
          </cell>
          <cell r="AY46">
            <v>1</v>
          </cell>
          <cell r="AZ46">
            <v>0</v>
          </cell>
          <cell r="BB46">
            <v>0</v>
          </cell>
          <cell r="BE46">
            <v>0.64583333333333337</v>
          </cell>
          <cell r="BK46">
            <v>0.01</v>
          </cell>
          <cell r="BL46">
            <v>0.01</v>
          </cell>
        </row>
        <row r="48">
          <cell r="B48" t="str">
            <v>S8A</v>
          </cell>
          <cell r="G48" t="str">
            <v>FUT : PRV : 1DHH</v>
          </cell>
          <cell r="H48" t="str">
            <v xml:space="preserve"> + </v>
          </cell>
          <cell r="I48">
            <v>0</v>
          </cell>
          <cell r="J48">
            <v>5</v>
          </cell>
          <cell r="L48" t="str">
            <v xml:space="preserve">L : Entry </v>
          </cell>
          <cell r="M48" t="str">
            <v xml:space="preserve"> + </v>
          </cell>
          <cell r="N48">
            <v>1.4999999999999999E-2</v>
          </cell>
          <cell r="O48">
            <v>1</v>
          </cell>
          <cell r="P48">
            <v>0.02</v>
          </cell>
          <cell r="Q48">
            <v>1</v>
          </cell>
          <cell r="R48">
            <v>2.5000000000000001E-2</v>
          </cell>
          <cell r="S48">
            <v>1</v>
          </cell>
          <cell r="T48">
            <v>0.03</v>
          </cell>
          <cell r="U48">
            <v>1</v>
          </cell>
          <cell r="V48" t="str">
            <v>TR PROFIT AFTER TGT 4</v>
          </cell>
          <cell r="W48">
            <v>1</v>
          </cell>
          <cell r="X48" t="str">
            <v>N.A.</v>
          </cell>
          <cell r="Y48" t="str">
            <v>N.A.</v>
          </cell>
          <cell r="AA48" t="str">
            <v>Max</v>
          </cell>
          <cell r="AE48" t="str">
            <v>L : Entry</v>
          </cell>
          <cell r="AF48" t="str">
            <v xml:space="preserve"> - </v>
          </cell>
          <cell r="AG48">
            <v>1.4999999999999999E-2</v>
          </cell>
          <cell r="AJ48" t="str">
            <v xml:space="preserve"> - </v>
          </cell>
          <cell r="AK48" t="str">
            <v>FUT : PRV : 2DLL</v>
          </cell>
          <cell r="AL48">
            <v>1.8E-3</v>
          </cell>
          <cell r="AM48">
            <v>5</v>
          </cell>
          <cell r="AN48" t="str">
            <v>FUT : PRV : 2DLL</v>
          </cell>
          <cell r="AO48">
            <v>1.8E-3</v>
          </cell>
          <cell r="AP48">
            <v>4</v>
          </cell>
          <cell r="AQ48" t="str">
            <v>FUT : PRV : 2DLL</v>
          </cell>
          <cell r="AR48">
            <v>1.8E-3</v>
          </cell>
          <cell r="AS48">
            <v>3</v>
          </cell>
          <cell r="AT48" t="str">
            <v>FUT : PRV : 2DLL</v>
          </cell>
          <cell r="AU48">
            <v>1.8E-3</v>
          </cell>
          <cell r="AV48">
            <v>2</v>
          </cell>
          <cell r="AW48" t="str">
            <v>FUT : PRV : 2DLL</v>
          </cell>
          <cell r="AX48">
            <v>1.8E-3</v>
          </cell>
          <cell r="AY48">
            <v>1</v>
          </cell>
          <cell r="AZ48">
            <v>0</v>
          </cell>
          <cell r="BB48">
            <v>0</v>
          </cell>
          <cell r="BE48">
            <v>0.38888194444444446</v>
          </cell>
          <cell r="BF48">
            <v>0.38888194444444446</v>
          </cell>
          <cell r="BG48">
            <v>0.38541666666666669</v>
          </cell>
          <cell r="BK48">
            <v>1.8E-3</v>
          </cell>
          <cell r="BL48">
            <v>1.8E-3</v>
          </cell>
          <cell r="CU48">
            <v>0.625</v>
          </cell>
        </row>
        <row r="49">
          <cell r="B49" t="str">
            <v>S8B</v>
          </cell>
          <cell r="G49" t="str">
            <v>FUT : PRV : 2DLL</v>
          </cell>
          <cell r="H49" t="str">
            <v xml:space="preserve"> - </v>
          </cell>
          <cell r="I49">
            <v>1.8E-3</v>
          </cell>
          <cell r="J49">
            <v>5</v>
          </cell>
          <cell r="L49" t="str">
            <v xml:space="preserve">S : Entry </v>
          </cell>
          <cell r="M49" t="str">
            <v xml:space="preserve"> - </v>
          </cell>
          <cell r="N49">
            <v>1.4999999999999999E-2</v>
          </cell>
          <cell r="O49">
            <v>1</v>
          </cell>
          <cell r="P49">
            <v>0.02</v>
          </cell>
          <cell r="Q49">
            <v>1</v>
          </cell>
          <cell r="R49">
            <v>2.5000000000000001E-2</v>
          </cell>
          <cell r="S49">
            <v>1</v>
          </cell>
          <cell r="T49">
            <v>0.03</v>
          </cell>
          <cell r="U49">
            <v>1</v>
          </cell>
          <cell r="V49" t="str">
            <v>TR PROFIT AFTER TGT 4</v>
          </cell>
          <cell r="W49">
            <v>1</v>
          </cell>
          <cell r="X49" t="str">
            <v>N.A.</v>
          </cell>
          <cell r="Y49" t="str">
            <v>N.A.</v>
          </cell>
          <cell r="AA49" t="str">
            <v>Min</v>
          </cell>
          <cell r="AE49" t="str">
            <v>S : Entry</v>
          </cell>
          <cell r="AF49" t="str">
            <v xml:space="preserve"> + </v>
          </cell>
          <cell r="AG49">
            <v>1.4999999999999999E-2</v>
          </cell>
          <cell r="AJ49" t="str">
            <v xml:space="preserve"> + </v>
          </cell>
          <cell r="AK49" t="str">
            <v>FUT : PRV : 1DHH</v>
          </cell>
          <cell r="AL49">
            <v>0</v>
          </cell>
          <cell r="AM49">
            <v>5</v>
          </cell>
          <cell r="AN49" t="str">
            <v>FUT : PRV : 1DHH</v>
          </cell>
          <cell r="AO49">
            <v>0</v>
          </cell>
          <cell r="AP49">
            <v>4</v>
          </cell>
          <cell r="AQ49" t="str">
            <v>FUT : PRV : 1DHH</v>
          </cell>
          <cell r="AR49">
            <v>0</v>
          </cell>
          <cell r="AS49">
            <v>3</v>
          </cell>
          <cell r="AT49" t="str">
            <v>FUT : PRV : 1DHH</v>
          </cell>
          <cell r="AU49">
            <v>0</v>
          </cell>
          <cell r="AV49">
            <v>2</v>
          </cell>
          <cell r="AW49" t="str">
            <v>FUT : PRV : 1DHH</v>
          </cell>
          <cell r="AX49">
            <v>0</v>
          </cell>
          <cell r="AY49">
            <v>1</v>
          </cell>
          <cell r="AZ49">
            <v>0</v>
          </cell>
          <cell r="BB49">
            <v>0</v>
          </cell>
          <cell r="BE49">
            <v>0.39582638888888888</v>
          </cell>
          <cell r="BF49">
            <v>0.39582638888888888</v>
          </cell>
          <cell r="BG49" t="str">
            <v>N.A.</v>
          </cell>
          <cell r="BK49">
            <v>1.8E-3</v>
          </cell>
          <cell r="BL49">
            <v>1.8E-3</v>
          </cell>
        </row>
        <row r="50">
          <cell r="B50" t="str">
            <v>S8C</v>
          </cell>
        </row>
        <row r="51">
          <cell r="B51" t="str">
            <v>S8D</v>
          </cell>
          <cell r="G51" t="str">
            <v>FUT : PRV : 2DHH</v>
          </cell>
          <cell r="H51" t="str">
            <v xml:space="preserve"> + </v>
          </cell>
          <cell r="I51">
            <v>1.8E-3</v>
          </cell>
          <cell r="J51">
            <v>5</v>
          </cell>
          <cell r="L51" t="str">
            <v xml:space="preserve">L : Entry </v>
          </cell>
          <cell r="M51" t="str">
            <v xml:space="preserve"> + </v>
          </cell>
          <cell r="N51">
            <v>1.4999999999999999E-2</v>
          </cell>
          <cell r="O51">
            <v>1</v>
          </cell>
          <cell r="P51">
            <v>0.02</v>
          </cell>
          <cell r="Q51">
            <v>1</v>
          </cell>
          <cell r="R51">
            <v>2.5000000000000001E-2</v>
          </cell>
          <cell r="S51">
            <v>1</v>
          </cell>
          <cell r="T51">
            <v>0.03</v>
          </cell>
          <cell r="U51">
            <v>1</v>
          </cell>
          <cell r="V51" t="str">
            <v>TR PROFIT AFTER TGT 4</v>
          </cell>
          <cell r="W51">
            <v>1</v>
          </cell>
          <cell r="X51" t="str">
            <v>N.A.</v>
          </cell>
          <cell r="Y51" t="str">
            <v>N.A.</v>
          </cell>
          <cell r="AA51" t="str">
            <v>Max</v>
          </cell>
          <cell r="AE51" t="str">
            <v>L : Entry</v>
          </cell>
          <cell r="AF51" t="str">
            <v xml:space="preserve"> - </v>
          </cell>
          <cell r="AG51">
            <v>1.4999999999999999E-2</v>
          </cell>
          <cell r="AJ51" t="str">
            <v xml:space="preserve"> - </v>
          </cell>
          <cell r="AK51" t="str">
            <v>FUT : PRV : 1DLL</v>
          </cell>
          <cell r="AL51">
            <v>0</v>
          </cell>
          <cell r="AM51">
            <v>5</v>
          </cell>
          <cell r="AN51" t="str">
            <v>FUT : PRV : 1DLL</v>
          </cell>
          <cell r="AO51">
            <v>0</v>
          </cell>
          <cell r="AP51">
            <v>4</v>
          </cell>
          <cell r="AQ51" t="str">
            <v>FUT : PRV : 1DLL</v>
          </cell>
          <cell r="AR51">
            <v>0</v>
          </cell>
          <cell r="AS51">
            <v>3</v>
          </cell>
          <cell r="AT51" t="str">
            <v>FUT : PRV : 1DLL</v>
          </cell>
          <cell r="AU51">
            <v>0</v>
          </cell>
          <cell r="AV51">
            <v>2</v>
          </cell>
          <cell r="AW51" t="str">
            <v>FUT : PRV : 1DLL</v>
          </cell>
          <cell r="AX51">
            <v>0</v>
          </cell>
          <cell r="AY51">
            <v>1</v>
          </cell>
          <cell r="AZ51">
            <v>0</v>
          </cell>
          <cell r="BB51">
            <v>0</v>
          </cell>
          <cell r="BE51">
            <v>0.38541666666666669</v>
          </cell>
          <cell r="BK51">
            <v>1.8E-3</v>
          </cell>
          <cell r="BL51">
            <v>1.8E-3</v>
          </cell>
        </row>
        <row r="52">
          <cell r="B52" t="str">
            <v>S8E</v>
          </cell>
          <cell r="G52" t="str">
            <v>FUT : PRV : 1DLL</v>
          </cell>
          <cell r="H52" t="str">
            <v xml:space="preserve"> - </v>
          </cell>
          <cell r="I52">
            <v>0</v>
          </cell>
          <cell r="J52">
            <v>5</v>
          </cell>
          <cell r="L52" t="str">
            <v xml:space="preserve">S : Entry </v>
          </cell>
          <cell r="M52" t="str">
            <v xml:space="preserve"> - </v>
          </cell>
          <cell r="N52">
            <v>1.4999999999999999E-2</v>
          </cell>
          <cell r="O52">
            <v>1</v>
          </cell>
          <cell r="P52">
            <v>0.02</v>
          </cell>
          <cell r="Q52">
            <v>1</v>
          </cell>
          <cell r="R52">
            <v>2.5000000000000001E-2</v>
          </cell>
          <cell r="S52">
            <v>1</v>
          </cell>
          <cell r="T52">
            <v>0.03</v>
          </cell>
          <cell r="U52">
            <v>1</v>
          </cell>
          <cell r="V52" t="str">
            <v>TR PROFIT AFTER TGT 4</v>
          </cell>
          <cell r="W52">
            <v>1</v>
          </cell>
          <cell r="X52" t="str">
            <v>N.A.</v>
          </cell>
          <cell r="Y52" t="str">
            <v>N.A.</v>
          </cell>
          <cell r="AA52" t="str">
            <v>Min</v>
          </cell>
          <cell r="AE52" t="str">
            <v>S : Entry</v>
          </cell>
          <cell r="AF52" t="str">
            <v xml:space="preserve"> + </v>
          </cell>
          <cell r="AG52">
            <v>1.4999999999999999E-2</v>
          </cell>
          <cell r="AJ52" t="str">
            <v xml:space="preserve"> + </v>
          </cell>
          <cell r="AK52" t="str">
            <v>FUT : PRV : 2DHH</v>
          </cell>
          <cell r="AL52">
            <v>1.8E-3</v>
          </cell>
          <cell r="AM52">
            <v>5</v>
          </cell>
          <cell r="AN52" t="str">
            <v>FUT : PRV : 2DHH</v>
          </cell>
          <cell r="AO52">
            <v>1.8E-3</v>
          </cell>
          <cell r="AP52">
            <v>4</v>
          </cell>
          <cell r="AQ52" t="str">
            <v>FUT : PRV : 2DHH</v>
          </cell>
          <cell r="AR52">
            <v>1.8E-3</v>
          </cell>
          <cell r="AS52">
            <v>3</v>
          </cell>
          <cell r="AT52" t="str">
            <v>FUT : PRV : 2DHH</v>
          </cell>
          <cell r="AU52">
            <v>1.8E-3</v>
          </cell>
          <cell r="AV52">
            <v>2</v>
          </cell>
          <cell r="AW52" t="str">
            <v>FUT : PRV : 2DHH</v>
          </cell>
          <cell r="AX52">
            <v>1.8E-3</v>
          </cell>
          <cell r="AY52">
            <v>1</v>
          </cell>
          <cell r="AZ52">
            <v>0</v>
          </cell>
          <cell r="BB52">
            <v>0</v>
          </cell>
          <cell r="BE52">
            <v>0.64583333333333337</v>
          </cell>
          <cell r="BK52">
            <v>1.8E-3</v>
          </cell>
          <cell r="BL52">
            <v>1.8E-3</v>
          </cell>
        </row>
        <row r="54">
          <cell r="B54" t="str">
            <v>S9A</v>
          </cell>
          <cell r="G54" t="str">
            <v>FUT : PRV : 2DHH</v>
          </cell>
          <cell r="H54" t="str">
            <v xml:space="preserve"> + </v>
          </cell>
          <cell r="I54">
            <v>1.8E-3</v>
          </cell>
          <cell r="J54">
            <v>5</v>
          </cell>
          <cell r="L54" t="str">
            <v xml:space="preserve">L : Entry </v>
          </cell>
          <cell r="M54" t="str">
            <v xml:space="preserve"> + </v>
          </cell>
          <cell r="N54">
            <v>1.4999999999999999E-2</v>
          </cell>
          <cell r="O54">
            <v>1</v>
          </cell>
          <cell r="P54">
            <v>0.02</v>
          </cell>
          <cell r="Q54">
            <v>1</v>
          </cell>
          <cell r="R54">
            <v>2.5000000000000001E-2</v>
          </cell>
          <cell r="S54">
            <v>1</v>
          </cell>
          <cell r="T54">
            <v>0.03</v>
          </cell>
          <cell r="U54">
            <v>1</v>
          </cell>
          <cell r="V54" t="str">
            <v>TR PROFIT AFTER TGT 4</v>
          </cell>
          <cell r="W54">
            <v>1</v>
          </cell>
          <cell r="X54" t="str">
            <v>N.A.</v>
          </cell>
          <cell r="Y54" t="str">
            <v>N.A.</v>
          </cell>
          <cell r="AA54" t="str">
            <v>Max</v>
          </cell>
          <cell r="AE54" t="str">
            <v>L : Entry</v>
          </cell>
          <cell r="AF54" t="str">
            <v xml:space="preserve"> - </v>
          </cell>
          <cell r="AG54">
            <v>1.4999999999999999E-2</v>
          </cell>
          <cell r="AJ54" t="str">
            <v xml:space="preserve"> - </v>
          </cell>
          <cell r="AK54" t="str">
            <v>FUT : PRV : 2DLL</v>
          </cell>
          <cell r="AL54">
            <v>1.8E-3</v>
          </cell>
          <cell r="AM54">
            <v>5</v>
          </cell>
          <cell r="AN54" t="str">
            <v>FUT : PRV : 2DLL</v>
          </cell>
          <cell r="AO54">
            <v>1.8E-3</v>
          </cell>
          <cell r="AP54">
            <v>4</v>
          </cell>
          <cell r="AQ54" t="str">
            <v>FUT : PRV : 2DLL</v>
          </cell>
          <cell r="AR54">
            <v>1.8E-3</v>
          </cell>
          <cell r="AS54">
            <v>3</v>
          </cell>
          <cell r="AT54" t="str">
            <v>FUT : PRV : 2DLL</v>
          </cell>
          <cell r="AU54">
            <v>1.8E-3</v>
          </cell>
          <cell r="AV54">
            <v>2</v>
          </cell>
          <cell r="AW54" t="str">
            <v>FUT : PRV : 2DLL</v>
          </cell>
          <cell r="AX54">
            <v>1.8E-3</v>
          </cell>
          <cell r="AY54">
            <v>1</v>
          </cell>
          <cell r="AZ54">
            <v>0</v>
          </cell>
          <cell r="BB54">
            <v>0</v>
          </cell>
          <cell r="BE54">
            <v>0.38888194444444446</v>
          </cell>
          <cell r="BF54">
            <v>0.38888194444444446</v>
          </cell>
          <cell r="BG54">
            <v>0.38541666666666669</v>
          </cell>
          <cell r="BK54">
            <v>1.8E-3</v>
          </cell>
          <cell r="BL54">
            <v>1.8E-3</v>
          </cell>
          <cell r="CU54">
            <v>0.625</v>
          </cell>
        </row>
        <row r="55">
          <cell r="B55" t="str">
            <v>S9B</v>
          </cell>
          <cell r="G55" t="str">
            <v>FUT : PRV : 2DLL</v>
          </cell>
          <cell r="H55" t="str">
            <v xml:space="preserve"> - </v>
          </cell>
          <cell r="I55">
            <v>1.8E-3</v>
          </cell>
          <cell r="J55">
            <v>5</v>
          </cell>
          <cell r="L55" t="str">
            <v xml:space="preserve">S : Entry </v>
          </cell>
          <cell r="M55" t="str">
            <v xml:space="preserve"> - </v>
          </cell>
          <cell r="N55">
            <v>1.4999999999999999E-2</v>
          </cell>
          <cell r="O55">
            <v>1</v>
          </cell>
          <cell r="P55">
            <v>0.02</v>
          </cell>
          <cell r="Q55">
            <v>1</v>
          </cell>
          <cell r="R55">
            <v>2.5000000000000001E-2</v>
          </cell>
          <cell r="S55">
            <v>1</v>
          </cell>
          <cell r="T55">
            <v>0.03</v>
          </cell>
          <cell r="U55">
            <v>1</v>
          </cell>
          <cell r="V55" t="str">
            <v>TR PROFIT AFTER TGT 4</v>
          </cell>
          <cell r="W55">
            <v>1</v>
          </cell>
          <cell r="X55" t="str">
            <v>N.A.</v>
          </cell>
          <cell r="Y55" t="str">
            <v>N.A.</v>
          </cell>
          <cell r="AA55" t="str">
            <v>Min</v>
          </cell>
          <cell r="AE55" t="str">
            <v>S : Entry</v>
          </cell>
          <cell r="AF55" t="str">
            <v xml:space="preserve"> + </v>
          </cell>
          <cell r="AG55">
            <v>1.4999999999999999E-2</v>
          </cell>
          <cell r="AJ55" t="str">
            <v xml:space="preserve"> + </v>
          </cell>
          <cell r="AK55" t="str">
            <v>FUT : PRV : 2DHH</v>
          </cell>
          <cell r="AL55">
            <v>1.8E-3</v>
          </cell>
          <cell r="AM55">
            <v>5</v>
          </cell>
          <cell r="AN55" t="str">
            <v>FUT : PRV : 2DHH</v>
          </cell>
          <cell r="AO55">
            <v>1.8E-3</v>
          </cell>
          <cell r="AP55">
            <v>4</v>
          </cell>
          <cell r="AQ55" t="str">
            <v>FUT : PRV : 2DHH</v>
          </cell>
          <cell r="AR55">
            <v>1.8E-3</v>
          </cell>
          <cell r="AS55">
            <v>3</v>
          </cell>
          <cell r="AT55" t="str">
            <v>FUT : PRV : 2DHH</v>
          </cell>
          <cell r="AU55">
            <v>1.8E-3</v>
          </cell>
          <cell r="AV55">
            <v>2</v>
          </cell>
          <cell r="AW55" t="str">
            <v>FUT : PRV : 2DHH</v>
          </cell>
          <cell r="AX55">
            <v>1.8E-3</v>
          </cell>
          <cell r="AY55">
            <v>1</v>
          </cell>
          <cell r="AZ55">
            <v>0</v>
          </cell>
          <cell r="BB55">
            <v>0</v>
          </cell>
          <cell r="BE55">
            <v>0.39582638888888888</v>
          </cell>
          <cell r="BF55">
            <v>0.39582638888888888</v>
          </cell>
          <cell r="BG55" t="str">
            <v>N.A.</v>
          </cell>
          <cell r="BK55">
            <v>1.8E-3</v>
          </cell>
          <cell r="BL55">
            <v>1.8E-3</v>
          </cell>
        </row>
        <row r="56">
          <cell r="B56" t="str">
            <v>S9C</v>
          </cell>
        </row>
        <row r="57">
          <cell r="B57" t="str">
            <v>S9D</v>
          </cell>
          <cell r="G57" t="str">
            <v>FUT : PRV : 2DHH</v>
          </cell>
          <cell r="H57" t="str">
            <v xml:space="preserve"> + </v>
          </cell>
          <cell r="I57">
            <v>1.8E-3</v>
          </cell>
          <cell r="J57">
            <v>5</v>
          </cell>
          <cell r="L57" t="str">
            <v xml:space="preserve">L : Entry </v>
          </cell>
          <cell r="M57" t="str">
            <v xml:space="preserve"> + </v>
          </cell>
          <cell r="N57">
            <v>1.4999999999999999E-2</v>
          </cell>
          <cell r="O57">
            <v>1</v>
          </cell>
          <cell r="P57">
            <v>0.02</v>
          </cell>
          <cell r="Q57">
            <v>1</v>
          </cell>
          <cell r="R57">
            <v>2.5000000000000001E-2</v>
          </cell>
          <cell r="S57">
            <v>1</v>
          </cell>
          <cell r="T57">
            <v>0.03</v>
          </cell>
          <cell r="U57">
            <v>1</v>
          </cell>
          <cell r="V57" t="str">
            <v>TR PROFIT AFTER TGT 4</v>
          </cell>
          <cell r="W57">
            <v>1</v>
          </cell>
          <cell r="X57" t="str">
            <v>N.A.</v>
          </cell>
          <cell r="Y57" t="str">
            <v>N.A.</v>
          </cell>
          <cell r="AA57" t="str">
            <v>Max</v>
          </cell>
          <cell r="AE57" t="str">
            <v>L : Entry</v>
          </cell>
          <cell r="AF57" t="str">
            <v xml:space="preserve"> - </v>
          </cell>
          <cell r="AG57">
            <v>1.4999999999999999E-2</v>
          </cell>
          <cell r="AJ57" t="str">
            <v xml:space="preserve"> - </v>
          </cell>
          <cell r="AK57" t="str">
            <v>FUT : PRV : 2DLL</v>
          </cell>
          <cell r="AL57">
            <v>1.8E-3</v>
          </cell>
          <cell r="AM57">
            <v>5</v>
          </cell>
          <cell r="AN57" t="str">
            <v>FUT : PRV : 2DLL</v>
          </cell>
          <cell r="AO57">
            <v>1.8E-3</v>
          </cell>
          <cell r="AP57">
            <v>4</v>
          </cell>
          <cell r="AQ57" t="str">
            <v>FUT : PRV : 2DLL</v>
          </cell>
          <cell r="AR57">
            <v>1.8E-3</v>
          </cell>
          <cell r="AS57">
            <v>3</v>
          </cell>
          <cell r="AT57" t="str">
            <v>FUT : PRV : 2DLL</v>
          </cell>
          <cell r="AU57">
            <v>1.8E-3</v>
          </cell>
          <cell r="AV57">
            <v>2</v>
          </cell>
          <cell r="AW57" t="str">
            <v>FUT : PRV : 2DLL</v>
          </cell>
          <cell r="AX57">
            <v>1.8E-3</v>
          </cell>
          <cell r="AY57">
            <v>1</v>
          </cell>
          <cell r="AZ57">
            <v>0</v>
          </cell>
          <cell r="BB57">
            <v>0</v>
          </cell>
          <cell r="BE57">
            <v>0.38541666666666669</v>
          </cell>
          <cell r="BK57">
            <v>1.8E-3</v>
          </cell>
          <cell r="BL57">
            <v>1.8E-3</v>
          </cell>
        </row>
        <row r="58">
          <cell r="B58" t="str">
            <v>S9E</v>
          </cell>
          <cell r="G58" t="str">
            <v>FUT : PRV : 2DLL</v>
          </cell>
          <cell r="H58" t="str">
            <v xml:space="preserve"> - </v>
          </cell>
          <cell r="I58">
            <v>1.8E-3</v>
          </cell>
          <cell r="J58">
            <v>5</v>
          </cell>
          <cell r="L58" t="str">
            <v xml:space="preserve">S : Entry </v>
          </cell>
          <cell r="M58" t="str">
            <v xml:space="preserve"> - </v>
          </cell>
          <cell r="N58">
            <v>1.4999999999999999E-2</v>
          </cell>
          <cell r="O58">
            <v>1</v>
          </cell>
          <cell r="P58">
            <v>0.02</v>
          </cell>
          <cell r="Q58">
            <v>1</v>
          </cell>
          <cell r="R58">
            <v>2.5000000000000001E-2</v>
          </cell>
          <cell r="S58">
            <v>1</v>
          </cell>
          <cell r="T58">
            <v>0.03</v>
          </cell>
          <cell r="U58">
            <v>1</v>
          </cell>
          <cell r="V58" t="str">
            <v>TR PROFIT AFTER TGT 4</v>
          </cell>
          <cell r="W58">
            <v>1</v>
          </cell>
          <cell r="X58" t="str">
            <v>N.A.</v>
          </cell>
          <cell r="Y58" t="str">
            <v>N.A.</v>
          </cell>
          <cell r="AA58" t="str">
            <v>Min</v>
          </cell>
          <cell r="AE58" t="str">
            <v>S : Entry</v>
          </cell>
          <cell r="AF58" t="str">
            <v xml:space="preserve"> + </v>
          </cell>
          <cell r="AG58">
            <v>1.4999999999999999E-2</v>
          </cell>
          <cell r="AJ58" t="str">
            <v xml:space="preserve"> + </v>
          </cell>
          <cell r="AK58" t="str">
            <v>FUT : PRV : 2DHH</v>
          </cell>
          <cell r="AL58">
            <v>1.8E-3</v>
          </cell>
          <cell r="AM58">
            <v>5</v>
          </cell>
          <cell r="AN58" t="str">
            <v>FUT : PRV : 2DHH</v>
          </cell>
          <cell r="AO58">
            <v>1.8E-3</v>
          </cell>
          <cell r="AP58">
            <v>4</v>
          </cell>
          <cell r="AQ58" t="str">
            <v>FUT : PRV : 2DHH</v>
          </cell>
          <cell r="AR58">
            <v>1.8E-3</v>
          </cell>
          <cell r="AS58">
            <v>3</v>
          </cell>
          <cell r="AT58" t="str">
            <v>FUT : PRV : 2DHH</v>
          </cell>
          <cell r="AU58">
            <v>1.8E-3</v>
          </cell>
          <cell r="AV58">
            <v>2</v>
          </cell>
          <cell r="AW58" t="str">
            <v>FUT : PRV : 2DHH</v>
          </cell>
          <cell r="AX58">
            <v>1.8E-3</v>
          </cell>
          <cell r="AY58">
            <v>1</v>
          </cell>
          <cell r="AZ58">
            <v>0</v>
          </cell>
          <cell r="BB58">
            <v>0</v>
          </cell>
          <cell r="BE58">
            <v>0.64583333333333337</v>
          </cell>
          <cell r="BK58">
            <v>1.8E-3</v>
          </cell>
          <cell r="BL58">
            <v>1.8E-3</v>
          </cell>
        </row>
        <row r="60">
          <cell r="B60" t="str">
            <v>S10A</v>
          </cell>
          <cell r="G60" t="str">
            <v>FUT : PRV : 2DHH</v>
          </cell>
          <cell r="H60" t="str">
            <v xml:space="preserve"> + </v>
          </cell>
          <cell r="I60">
            <v>0</v>
          </cell>
          <cell r="J60">
            <v>5</v>
          </cell>
          <cell r="L60" t="str">
            <v xml:space="preserve">L : Entry </v>
          </cell>
          <cell r="M60" t="str">
            <v xml:space="preserve"> + </v>
          </cell>
          <cell r="N60">
            <v>0.01</v>
          </cell>
          <cell r="O60">
            <v>1</v>
          </cell>
          <cell r="P60">
            <v>1.4999999999999999E-2</v>
          </cell>
          <cell r="Q60">
            <v>1</v>
          </cell>
          <cell r="R60">
            <v>0.02</v>
          </cell>
          <cell r="S60">
            <v>1</v>
          </cell>
          <cell r="T60">
            <v>2.5000000000000001E-2</v>
          </cell>
          <cell r="U60">
            <v>1</v>
          </cell>
          <cell r="V60" t="str">
            <v>TR PROFIT AFTER TGT 4</v>
          </cell>
          <cell r="W60">
            <v>1</v>
          </cell>
          <cell r="X60" t="str">
            <v>N.A.</v>
          </cell>
          <cell r="Y60" t="str">
            <v>N.A.</v>
          </cell>
          <cell r="AA60" t="str">
            <v>Max</v>
          </cell>
          <cell r="AE60" t="str">
            <v>L : Entry</v>
          </cell>
          <cell r="AF60" t="str">
            <v xml:space="preserve"> - </v>
          </cell>
          <cell r="AG60">
            <v>0.01</v>
          </cell>
          <cell r="AJ60" t="str">
            <v xml:space="preserve"> - </v>
          </cell>
          <cell r="AK60" t="str">
            <v>FUT : PRV : 3DLL</v>
          </cell>
          <cell r="AL60">
            <v>1E-3</v>
          </cell>
          <cell r="AM60">
            <v>5</v>
          </cell>
          <cell r="AN60" t="str">
            <v>FUT : PRV : 3DLL</v>
          </cell>
          <cell r="AO60">
            <v>1E-3</v>
          </cell>
          <cell r="AP60">
            <v>4</v>
          </cell>
          <cell r="AQ60" t="str">
            <v>FUT : PRV : 3DLL</v>
          </cell>
          <cell r="AR60">
            <v>1E-3</v>
          </cell>
          <cell r="AS60">
            <v>3</v>
          </cell>
          <cell r="AT60" t="str">
            <v>FUT : PRV : 3DLL</v>
          </cell>
          <cell r="AU60">
            <v>1E-3</v>
          </cell>
          <cell r="AV60">
            <v>2</v>
          </cell>
          <cell r="AW60" t="str">
            <v>FUT : PRV : 3DLL</v>
          </cell>
          <cell r="AX60">
            <v>1E-3</v>
          </cell>
          <cell r="AY60">
            <v>1</v>
          </cell>
          <cell r="AZ60">
            <v>0</v>
          </cell>
          <cell r="BB60">
            <v>0</v>
          </cell>
          <cell r="BE60">
            <v>0.37846527777777778</v>
          </cell>
          <cell r="BF60">
            <v>0.37846527777777778</v>
          </cell>
          <cell r="BG60">
            <v>0.375</v>
          </cell>
          <cell r="BK60">
            <v>1E-3</v>
          </cell>
          <cell r="BL60">
            <v>1E-3</v>
          </cell>
          <cell r="CU60">
            <v>0.95833333333333326</v>
          </cell>
        </row>
        <row r="61">
          <cell r="B61" t="str">
            <v>S10B</v>
          </cell>
          <cell r="G61" t="str">
            <v>FUT : PRV : 3DLL</v>
          </cell>
          <cell r="H61" t="str">
            <v xml:space="preserve"> - </v>
          </cell>
          <cell r="I61">
            <v>1E-3</v>
          </cell>
          <cell r="J61">
            <v>5</v>
          </cell>
          <cell r="L61" t="str">
            <v xml:space="preserve">S : Entry </v>
          </cell>
          <cell r="M61" t="str">
            <v xml:space="preserve"> - </v>
          </cell>
          <cell r="N61">
            <v>0.01</v>
          </cell>
          <cell r="O61">
            <v>1</v>
          </cell>
          <cell r="P61">
            <v>1.4999999999999999E-2</v>
          </cell>
          <cell r="Q61">
            <v>1</v>
          </cell>
          <cell r="R61">
            <v>0.02</v>
          </cell>
          <cell r="S61">
            <v>1</v>
          </cell>
          <cell r="T61">
            <v>2.5000000000000001E-2</v>
          </cell>
          <cell r="U61">
            <v>1</v>
          </cell>
          <cell r="V61" t="str">
            <v>TR PROFIT AFTER TGT 4</v>
          </cell>
          <cell r="W61">
            <v>1</v>
          </cell>
          <cell r="X61" t="str">
            <v>N.A.</v>
          </cell>
          <cell r="Y61" t="str">
            <v>N.A.</v>
          </cell>
          <cell r="AA61" t="str">
            <v>Min</v>
          </cell>
          <cell r="AE61" t="str">
            <v>S : Entry</v>
          </cell>
          <cell r="AF61" t="str">
            <v xml:space="preserve"> + </v>
          </cell>
          <cell r="AG61">
            <v>0.01</v>
          </cell>
          <cell r="AJ61" t="str">
            <v xml:space="preserve"> + </v>
          </cell>
          <cell r="AK61" t="str">
            <v>FUT : PRV : 2DHH</v>
          </cell>
          <cell r="AL61">
            <v>0</v>
          </cell>
          <cell r="AM61">
            <v>5</v>
          </cell>
          <cell r="AN61" t="str">
            <v>FUT : PRV : 2DHH</v>
          </cell>
          <cell r="AO61">
            <v>0</v>
          </cell>
          <cell r="AP61">
            <v>4</v>
          </cell>
          <cell r="AQ61" t="str">
            <v>FUT : PRV : 2DHH</v>
          </cell>
          <cell r="AR61">
            <v>0</v>
          </cell>
          <cell r="AS61">
            <v>3</v>
          </cell>
          <cell r="AT61" t="str">
            <v>FUT : PRV : 2DHH</v>
          </cell>
          <cell r="AU61">
            <v>0</v>
          </cell>
          <cell r="AV61">
            <v>2</v>
          </cell>
          <cell r="AW61" t="str">
            <v>FUT : PRV : 2DHH</v>
          </cell>
          <cell r="AX61">
            <v>0</v>
          </cell>
          <cell r="AY61">
            <v>1</v>
          </cell>
          <cell r="AZ61">
            <v>0</v>
          </cell>
          <cell r="BB61">
            <v>0</v>
          </cell>
          <cell r="BE61">
            <v>0.38540972222222225</v>
          </cell>
          <cell r="BF61">
            <v>0.38540972222222225</v>
          </cell>
          <cell r="BG61" t="str">
            <v>N.A.</v>
          </cell>
          <cell r="BK61">
            <v>1E-3</v>
          </cell>
          <cell r="BL61">
            <v>1E-3</v>
          </cell>
        </row>
        <row r="62">
          <cell r="B62" t="str">
            <v>S10C</v>
          </cell>
        </row>
        <row r="63">
          <cell r="B63" t="str">
            <v>S10D</v>
          </cell>
          <cell r="G63" t="str">
            <v>FUT : PRV : 3DHH</v>
          </cell>
          <cell r="H63" t="str">
            <v xml:space="preserve"> + </v>
          </cell>
          <cell r="I63">
            <v>1E-3</v>
          </cell>
          <cell r="J63">
            <v>5</v>
          </cell>
          <cell r="L63" t="str">
            <v xml:space="preserve">L : Entry </v>
          </cell>
          <cell r="M63" t="str">
            <v xml:space="preserve"> + </v>
          </cell>
          <cell r="N63">
            <v>0.01</v>
          </cell>
          <cell r="O63">
            <v>1</v>
          </cell>
          <cell r="P63">
            <v>1.4999999999999999E-2</v>
          </cell>
          <cell r="Q63">
            <v>1</v>
          </cell>
          <cell r="R63">
            <v>0.02</v>
          </cell>
          <cell r="S63">
            <v>1</v>
          </cell>
          <cell r="T63">
            <v>2.5000000000000001E-2</v>
          </cell>
          <cell r="U63">
            <v>1</v>
          </cell>
          <cell r="V63" t="str">
            <v>TR PROFIT AFTER TGT 4</v>
          </cell>
          <cell r="W63">
            <v>1</v>
          </cell>
          <cell r="X63" t="str">
            <v>N.A.</v>
          </cell>
          <cell r="Y63" t="str">
            <v>N.A.</v>
          </cell>
          <cell r="AA63" t="str">
            <v>Max</v>
          </cell>
          <cell r="AE63" t="str">
            <v>L : Entry</v>
          </cell>
          <cell r="AF63" t="str">
            <v xml:space="preserve"> - </v>
          </cell>
          <cell r="AG63">
            <v>0.01</v>
          </cell>
          <cell r="AJ63" t="str">
            <v xml:space="preserve"> - </v>
          </cell>
          <cell r="AK63" t="str">
            <v>FUT : PRV : 2DLL</v>
          </cell>
          <cell r="AL63">
            <v>0</v>
          </cell>
          <cell r="AM63">
            <v>5</v>
          </cell>
          <cell r="AN63" t="str">
            <v>FUT : PRV : 2DLL</v>
          </cell>
          <cell r="AO63">
            <v>0</v>
          </cell>
          <cell r="AP63">
            <v>4</v>
          </cell>
          <cell r="AQ63" t="str">
            <v>FUT : PRV : 2DLL</v>
          </cell>
          <cell r="AR63">
            <v>0</v>
          </cell>
          <cell r="AS63">
            <v>3</v>
          </cell>
          <cell r="AT63" t="str">
            <v>FUT : PRV : 2DLL</v>
          </cell>
          <cell r="AU63">
            <v>0</v>
          </cell>
          <cell r="AV63">
            <v>2</v>
          </cell>
          <cell r="AW63" t="str">
            <v>FUT : PRV : 2DLL</v>
          </cell>
          <cell r="AX63">
            <v>0</v>
          </cell>
          <cell r="AY63">
            <v>1</v>
          </cell>
          <cell r="AZ63">
            <v>0</v>
          </cell>
          <cell r="BB63">
            <v>0</v>
          </cell>
          <cell r="BE63">
            <v>0.375</v>
          </cell>
          <cell r="BK63">
            <v>1E-3</v>
          </cell>
          <cell r="BL63">
            <v>1E-3</v>
          </cell>
        </row>
        <row r="64">
          <cell r="B64" t="str">
            <v>S10E</v>
          </cell>
          <cell r="G64" t="str">
            <v>FUT : PRV : 2DLL</v>
          </cell>
          <cell r="H64" t="str">
            <v xml:space="preserve"> - </v>
          </cell>
          <cell r="I64">
            <v>0</v>
          </cell>
          <cell r="J64">
            <v>5</v>
          </cell>
          <cell r="L64" t="str">
            <v xml:space="preserve">S : Entry </v>
          </cell>
          <cell r="M64" t="str">
            <v xml:space="preserve"> - </v>
          </cell>
          <cell r="N64">
            <v>0.01</v>
          </cell>
          <cell r="O64">
            <v>1</v>
          </cell>
          <cell r="P64">
            <v>1.4999999999999999E-2</v>
          </cell>
          <cell r="Q64">
            <v>1</v>
          </cell>
          <cell r="R64">
            <v>0.02</v>
          </cell>
          <cell r="S64">
            <v>1</v>
          </cell>
          <cell r="T64">
            <v>2.5000000000000001E-2</v>
          </cell>
          <cell r="U64">
            <v>1</v>
          </cell>
          <cell r="V64" t="str">
            <v>TR PROFIT AFTER TGT 4</v>
          </cell>
          <cell r="W64">
            <v>1</v>
          </cell>
          <cell r="X64" t="str">
            <v>N.A.</v>
          </cell>
          <cell r="Y64" t="str">
            <v>N.A.</v>
          </cell>
          <cell r="AA64" t="str">
            <v>Min</v>
          </cell>
          <cell r="AE64" t="str">
            <v>S : Entry</v>
          </cell>
          <cell r="AF64" t="str">
            <v xml:space="preserve"> + </v>
          </cell>
          <cell r="AG64">
            <v>0.01</v>
          </cell>
          <cell r="AJ64" t="str">
            <v xml:space="preserve"> + </v>
          </cell>
          <cell r="AK64" t="str">
            <v>FUT : PRV : 3DHH</v>
          </cell>
          <cell r="AL64">
            <v>1E-3</v>
          </cell>
          <cell r="AM64">
            <v>5</v>
          </cell>
          <cell r="AN64" t="str">
            <v>FUT : PRV : 3DHH</v>
          </cell>
          <cell r="AO64">
            <v>1E-3</v>
          </cell>
          <cell r="AP64">
            <v>4</v>
          </cell>
          <cell r="AQ64" t="str">
            <v>FUT : PRV : 3DHH</v>
          </cell>
          <cell r="AR64">
            <v>1E-3</v>
          </cell>
          <cell r="AS64">
            <v>3</v>
          </cell>
          <cell r="AT64" t="str">
            <v>FUT : PRV : 3DHH</v>
          </cell>
          <cell r="AU64">
            <v>1E-3</v>
          </cell>
          <cell r="AV64">
            <v>2</v>
          </cell>
          <cell r="AW64" t="str">
            <v>FUT : PRV : 3DHH</v>
          </cell>
          <cell r="AX64">
            <v>1E-3</v>
          </cell>
          <cell r="AY64">
            <v>1</v>
          </cell>
          <cell r="AZ64">
            <v>0</v>
          </cell>
          <cell r="BB64">
            <v>0</v>
          </cell>
          <cell r="BE64">
            <v>0.97916666666666663</v>
          </cell>
          <cell r="BK64">
            <v>1E-3</v>
          </cell>
          <cell r="BL64">
            <v>1E-3</v>
          </cell>
        </row>
        <row r="66">
          <cell r="B66" t="str">
            <v>S11A</v>
          </cell>
          <cell r="G66" t="str">
            <v>FUT : PRV : 3DHH</v>
          </cell>
          <cell r="H66" t="str">
            <v xml:space="preserve"> + </v>
          </cell>
          <cell r="I66">
            <v>1E-3</v>
          </cell>
          <cell r="J66">
            <v>5</v>
          </cell>
          <cell r="L66" t="str">
            <v xml:space="preserve">L : Entry </v>
          </cell>
          <cell r="M66" t="str">
            <v xml:space="preserve"> + </v>
          </cell>
          <cell r="N66">
            <v>0.01</v>
          </cell>
          <cell r="O66">
            <v>1</v>
          </cell>
          <cell r="P66">
            <v>1.4999999999999999E-2</v>
          </cell>
          <cell r="Q66">
            <v>1</v>
          </cell>
          <cell r="R66">
            <v>0.02</v>
          </cell>
          <cell r="S66">
            <v>1</v>
          </cell>
          <cell r="T66">
            <v>2.5000000000000001E-2</v>
          </cell>
          <cell r="U66">
            <v>1</v>
          </cell>
          <cell r="V66" t="str">
            <v>TR PROFIT AFTER TGT 4</v>
          </cell>
          <cell r="W66">
            <v>1</v>
          </cell>
          <cell r="X66" t="str">
            <v>N.A.</v>
          </cell>
          <cell r="Y66" t="str">
            <v>N.A.</v>
          </cell>
          <cell r="AA66" t="str">
            <v>Max</v>
          </cell>
          <cell r="AE66" t="str">
            <v>L : Entry</v>
          </cell>
          <cell r="AF66" t="str">
            <v xml:space="preserve"> - </v>
          </cell>
          <cell r="AG66">
            <v>0.01</v>
          </cell>
          <cell r="AJ66" t="str">
            <v xml:space="preserve"> - </v>
          </cell>
          <cell r="AK66" t="str">
            <v>FUT : PRV : 3DLL</v>
          </cell>
          <cell r="AL66">
            <v>1E-3</v>
          </cell>
          <cell r="AM66">
            <v>5</v>
          </cell>
          <cell r="AN66" t="str">
            <v>FUT : PRV : 3DLL</v>
          </cell>
          <cell r="AO66">
            <v>1E-3</v>
          </cell>
          <cell r="AP66">
            <v>4</v>
          </cell>
          <cell r="AQ66" t="str">
            <v>FUT : PRV : 3DLL</v>
          </cell>
          <cell r="AR66">
            <v>1E-3</v>
          </cell>
          <cell r="AS66">
            <v>3</v>
          </cell>
          <cell r="AT66" t="str">
            <v>FUT : PRV : 3DLL</v>
          </cell>
          <cell r="AU66">
            <v>1E-3</v>
          </cell>
          <cell r="AV66">
            <v>2</v>
          </cell>
          <cell r="AW66" t="str">
            <v>FUT : PRV : 3DLL</v>
          </cell>
          <cell r="AX66">
            <v>1E-3</v>
          </cell>
          <cell r="AY66">
            <v>1</v>
          </cell>
          <cell r="AZ66">
            <v>0</v>
          </cell>
          <cell r="BB66">
            <v>0</v>
          </cell>
          <cell r="BE66">
            <v>0.37846527777777778</v>
          </cell>
          <cell r="BF66">
            <v>0.37846527777777778</v>
          </cell>
          <cell r="BG66">
            <v>0.375</v>
          </cell>
          <cell r="BK66">
            <v>1E-3</v>
          </cell>
          <cell r="BL66">
            <v>1E-3</v>
          </cell>
          <cell r="CU66">
            <v>0.95833333333333326</v>
          </cell>
        </row>
        <row r="67">
          <cell r="B67" t="str">
            <v>S11B</v>
          </cell>
          <cell r="G67" t="str">
            <v>FUT : PRV : 3DLL</v>
          </cell>
          <cell r="H67" t="str">
            <v xml:space="preserve"> - </v>
          </cell>
          <cell r="I67">
            <v>1E-3</v>
          </cell>
          <cell r="J67">
            <v>5</v>
          </cell>
          <cell r="L67" t="str">
            <v xml:space="preserve">S : Entry </v>
          </cell>
          <cell r="M67" t="str">
            <v xml:space="preserve"> - </v>
          </cell>
          <cell r="N67">
            <v>0.01</v>
          </cell>
          <cell r="O67">
            <v>1</v>
          </cell>
          <cell r="P67">
            <v>1.4999999999999999E-2</v>
          </cell>
          <cell r="Q67">
            <v>1</v>
          </cell>
          <cell r="R67">
            <v>0.02</v>
          </cell>
          <cell r="S67">
            <v>1</v>
          </cell>
          <cell r="T67">
            <v>2.5000000000000001E-2</v>
          </cell>
          <cell r="U67">
            <v>1</v>
          </cell>
          <cell r="V67" t="str">
            <v>TR PROFIT AFTER TGT 4</v>
          </cell>
          <cell r="W67">
            <v>1</v>
          </cell>
          <cell r="X67" t="str">
            <v>N.A.</v>
          </cell>
          <cell r="Y67" t="str">
            <v>N.A.</v>
          </cell>
          <cell r="AA67" t="str">
            <v>Min</v>
          </cell>
          <cell r="AE67" t="str">
            <v>S : Entry</v>
          </cell>
          <cell r="AF67" t="str">
            <v xml:space="preserve"> + </v>
          </cell>
          <cell r="AG67">
            <v>0.01</v>
          </cell>
          <cell r="AJ67" t="str">
            <v xml:space="preserve"> + </v>
          </cell>
          <cell r="AK67" t="str">
            <v>FUT : PRV : 3DHH</v>
          </cell>
          <cell r="AL67">
            <v>1E-3</v>
          </cell>
          <cell r="AM67">
            <v>5</v>
          </cell>
          <cell r="AN67" t="str">
            <v>FUT : PRV : 3DHH</v>
          </cell>
          <cell r="AO67">
            <v>1E-3</v>
          </cell>
          <cell r="AP67">
            <v>4</v>
          </cell>
          <cell r="AQ67" t="str">
            <v>FUT : PRV : 3DHH</v>
          </cell>
          <cell r="AR67">
            <v>1E-3</v>
          </cell>
          <cell r="AS67">
            <v>3</v>
          </cell>
          <cell r="AT67" t="str">
            <v>FUT : PRV : 3DHH</v>
          </cell>
          <cell r="AU67">
            <v>1E-3</v>
          </cell>
          <cell r="AV67">
            <v>2</v>
          </cell>
          <cell r="AW67" t="str">
            <v>FUT : PRV : 3DHH</v>
          </cell>
          <cell r="AX67">
            <v>1E-3</v>
          </cell>
          <cell r="AY67">
            <v>1</v>
          </cell>
          <cell r="AZ67">
            <v>0</v>
          </cell>
          <cell r="BB67">
            <v>0</v>
          </cell>
          <cell r="BE67">
            <v>0.38540972222222225</v>
          </cell>
          <cell r="BF67">
            <v>0.38540972222222225</v>
          </cell>
          <cell r="BG67" t="str">
            <v>N.A.</v>
          </cell>
          <cell r="BK67">
            <v>1E-3</v>
          </cell>
          <cell r="BL67">
            <v>1E-3</v>
          </cell>
        </row>
        <row r="68">
          <cell r="B68" t="str">
            <v>S11C</v>
          </cell>
        </row>
        <row r="69">
          <cell r="B69" t="str">
            <v>S11D</v>
          </cell>
          <cell r="G69" t="str">
            <v>FUT : PRV : 3DHH</v>
          </cell>
          <cell r="H69" t="str">
            <v xml:space="preserve"> + </v>
          </cell>
          <cell r="I69">
            <v>1E-3</v>
          </cell>
          <cell r="J69">
            <v>5</v>
          </cell>
          <cell r="L69" t="str">
            <v xml:space="preserve">L : Entry </v>
          </cell>
          <cell r="M69" t="str">
            <v xml:space="preserve"> + </v>
          </cell>
          <cell r="N69">
            <v>0.01</v>
          </cell>
          <cell r="O69">
            <v>1</v>
          </cell>
          <cell r="P69">
            <v>1.4999999999999999E-2</v>
          </cell>
          <cell r="Q69">
            <v>1</v>
          </cell>
          <cell r="R69">
            <v>0.02</v>
          </cell>
          <cell r="S69">
            <v>1</v>
          </cell>
          <cell r="T69">
            <v>2.5000000000000001E-2</v>
          </cell>
          <cell r="U69">
            <v>1</v>
          </cell>
          <cell r="V69" t="str">
            <v>TR PROFIT AFTER TGT 4</v>
          </cell>
          <cell r="W69">
            <v>1</v>
          </cell>
          <cell r="X69" t="str">
            <v>N.A.</v>
          </cell>
          <cell r="Y69" t="str">
            <v>N.A.</v>
          </cell>
          <cell r="AA69" t="str">
            <v>Max</v>
          </cell>
          <cell r="AE69" t="str">
            <v>L : Entry</v>
          </cell>
          <cell r="AF69" t="str">
            <v xml:space="preserve"> - </v>
          </cell>
          <cell r="AG69">
            <v>0.01</v>
          </cell>
          <cell r="AJ69" t="str">
            <v xml:space="preserve"> - </v>
          </cell>
          <cell r="AK69" t="str">
            <v>FUT : PRV : 3DLL</v>
          </cell>
          <cell r="AL69">
            <v>1E-3</v>
          </cell>
          <cell r="AM69">
            <v>5</v>
          </cell>
          <cell r="AN69" t="str">
            <v>FUT : PRV : 3DLL</v>
          </cell>
          <cell r="AO69">
            <v>1E-3</v>
          </cell>
          <cell r="AP69">
            <v>4</v>
          </cell>
          <cell r="AQ69" t="str">
            <v>FUT : PRV : 3DLL</v>
          </cell>
          <cell r="AR69">
            <v>1E-3</v>
          </cell>
          <cell r="AS69">
            <v>3</v>
          </cell>
          <cell r="AT69" t="str">
            <v>FUT : PRV : 3DLL</v>
          </cell>
          <cell r="AU69">
            <v>1E-3</v>
          </cell>
          <cell r="AV69">
            <v>2</v>
          </cell>
          <cell r="AW69" t="str">
            <v>FUT : PRV : 3DLL</v>
          </cell>
          <cell r="AX69">
            <v>1E-3</v>
          </cell>
          <cell r="AY69">
            <v>1</v>
          </cell>
          <cell r="AZ69">
            <v>0</v>
          </cell>
          <cell r="BB69">
            <v>0</v>
          </cell>
          <cell r="BE69">
            <v>0.375</v>
          </cell>
          <cell r="BK69">
            <v>1E-3</v>
          </cell>
          <cell r="BL69">
            <v>1E-3</v>
          </cell>
        </row>
        <row r="70">
          <cell r="B70" t="str">
            <v>S11E</v>
          </cell>
          <cell r="G70" t="str">
            <v>FUT : PRV : 3DLL</v>
          </cell>
          <cell r="H70" t="str">
            <v xml:space="preserve"> - </v>
          </cell>
          <cell r="I70">
            <v>1E-3</v>
          </cell>
          <cell r="J70">
            <v>5</v>
          </cell>
          <cell r="L70" t="str">
            <v xml:space="preserve">S : Entry </v>
          </cell>
          <cell r="M70" t="str">
            <v xml:space="preserve"> - </v>
          </cell>
          <cell r="N70">
            <v>0.01</v>
          </cell>
          <cell r="O70">
            <v>1</v>
          </cell>
          <cell r="P70">
            <v>1.4999999999999999E-2</v>
          </cell>
          <cell r="Q70">
            <v>1</v>
          </cell>
          <cell r="R70">
            <v>0.02</v>
          </cell>
          <cell r="S70">
            <v>1</v>
          </cell>
          <cell r="T70">
            <v>2.5000000000000001E-2</v>
          </cell>
          <cell r="U70">
            <v>1</v>
          </cell>
          <cell r="V70" t="str">
            <v>TR PROFIT AFTER TGT 4</v>
          </cell>
          <cell r="W70">
            <v>1</v>
          </cell>
          <cell r="X70" t="str">
            <v>N.A.</v>
          </cell>
          <cell r="Y70" t="str">
            <v>N.A.</v>
          </cell>
          <cell r="AA70" t="str">
            <v>Min</v>
          </cell>
          <cell r="AE70" t="str">
            <v>S : Entry</v>
          </cell>
          <cell r="AF70" t="str">
            <v xml:space="preserve"> + </v>
          </cell>
          <cell r="AG70">
            <v>0.01</v>
          </cell>
          <cell r="AJ70" t="str">
            <v xml:space="preserve"> + </v>
          </cell>
          <cell r="AK70" t="str">
            <v>FUT : PRV : 3DHH</v>
          </cell>
          <cell r="AL70">
            <v>1E-3</v>
          </cell>
          <cell r="AM70">
            <v>5</v>
          </cell>
          <cell r="AN70" t="str">
            <v>FUT : PRV : 3DHH</v>
          </cell>
          <cell r="AO70">
            <v>1E-3</v>
          </cell>
          <cell r="AP70">
            <v>4</v>
          </cell>
          <cell r="AQ70" t="str">
            <v>FUT : PRV : 3DHH</v>
          </cell>
          <cell r="AR70">
            <v>1E-3</v>
          </cell>
          <cell r="AS70">
            <v>3</v>
          </cell>
          <cell r="AT70" t="str">
            <v>FUT : PRV : 3DHH</v>
          </cell>
          <cell r="AU70">
            <v>1E-3</v>
          </cell>
          <cell r="AV70">
            <v>2</v>
          </cell>
          <cell r="AW70" t="str">
            <v>FUT : PRV : 3DHH</v>
          </cell>
          <cell r="AX70">
            <v>1E-3</v>
          </cell>
          <cell r="AY70">
            <v>1</v>
          </cell>
          <cell r="AZ70">
            <v>0</v>
          </cell>
          <cell r="BB70">
            <v>0</v>
          </cell>
          <cell r="BE70">
            <v>0.97916666666666663</v>
          </cell>
          <cell r="BK70">
            <v>1E-3</v>
          </cell>
          <cell r="BL70">
            <v>1E-3</v>
          </cell>
        </row>
        <row r="72">
          <cell r="B72" t="str">
            <v>S12A</v>
          </cell>
          <cell r="G72" t="str">
            <v>FUT : PRV : 2DHH</v>
          </cell>
          <cell r="H72" t="str">
            <v xml:space="preserve"> + </v>
          </cell>
          <cell r="I72">
            <v>0</v>
          </cell>
          <cell r="J72">
            <v>5</v>
          </cell>
          <cell r="L72" t="str">
            <v xml:space="preserve">L : Entry </v>
          </cell>
          <cell r="M72" t="str">
            <v xml:space="preserve"> + </v>
          </cell>
          <cell r="N72">
            <v>1.4E-2</v>
          </cell>
          <cell r="O72">
            <v>1</v>
          </cell>
          <cell r="P72">
            <v>2.1000000000000001E-2</v>
          </cell>
          <cell r="Q72">
            <v>1</v>
          </cell>
          <cell r="R72">
            <v>2.8000000000000001E-2</v>
          </cell>
          <cell r="S72">
            <v>1</v>
          </cell>
          <cell r="T72">
            <v>3.5000000000000003E-2</v>
          </cell>
          <cell r="U72">
            <v>1</v>
          </cell>
          <cell r="V72" t="str">
            <v>TR PROFIT AFTER TGT 4</v>
          </cell>
          <cell r="W72">
            <v>1</v>
          </cell>
          <cell r="X72" t="str">
            <v>N.A.</v>
          </cell>
          <cell r="Y72" t="str">
            <v>N.A.</v>
          </cell>
          <cell r="AA72" t="str">
            <v>Max</v>
          </cell>
          <cell r="AE72" t="str">
            <v>L : Entry</v>
          </cell>
          <cell r="AF72" t="str">
            <v xml:space="preserve"> - </v>
          </cell>
          <cell r="AG72">
            <v>1.4E-2</v>
          </cell>
          <cell r="AJ72" t="str">
            <v xml:space="preserve"> - </v>
          </cell>
          <cell r="AK72" t="str">
            <v>FUT : PRV : 3DLL</v>
          </cell>
          <cell r="AL72">
            <v>1E-3</v>
          </cell>
          <cell r="AM72">
            <v>5</v>
          </cell>
          <cell r="AN72" t="str">
            <v>FUT : PRV : 3DLL</v>
          </cell>
          <cell r="AO72">
            <v>1E-3</v>
          </cell>
          <cell r="AP72">
            <v>4</v>
          </cell>
          <cell r="AQ72" t="str">
            <v>FUT : PRV : 3DLL</v>
          </cell>
          <cell r="AR72">
            <v>1E-3</v>
          </cell>
          <cell r="AS72">
            <v>3</v>
          </cell>
          <cell r="AT72" t="str">
            <v>FUT : PRV : 3DLL</v>
          </cell>
          <cell r="AU72">
            <v>1E-3</v>
          </cell>
          <cell r="AV72">
            <v>2</v>
          </cell>
          <cell r="AW72" t="str">
            <v>FUT : PRV : 3DLL</v>
          </cell>
          <cell r="AX72">
            <v>1E-3</v>
          </cell>
          <cell r="AY72">
            <v>1</v>
          </cell>
          <cell r="AZ72">
            <v>0</v>
          </cell>
          <cell r="BB72">
            <v>0</v>
          </cell>
          <cell r="BE72">
            <v>0.37846527777777778</v>
          </cell>
          <cell r="BF72">
            <v>0.37846527777777778</v>
          </cell>
          <cell r="BG72">
            <v>0.375</v>
          </cell>
          <cell r="BK72">
            <v>1E-3</v>
          </cell>
          <cell r="BL72">
            <v>1E-3</v>
          </cell>
          <cell r="CU72">
            <v>0.95833333333333326</v>
          </cell>
        </row>
        <row r="73">
          <cell r="B73" t="str">
            <v>S12B</v>
          </cell>
          <cell r="G73" t="str">
            <v>FUT : PRV : 3DLL</v>
          </cell>
          <cell r="H73" t="str">
            <v xml:space="preserve"> - </v>
          </cell>
          <cell r="I73">
            <v>1E-3</v>
          </cell>
          <cell r="J73">
            <v>5</v>
          </cell>
          <cell r="L73" t="str">
            <v xml:space="preserve">S : Entry </v>
          </cell>
          <cell r="M73" t="str">
            <v xml:space="preserve"> - </v>
          </cell>
          <cell r="N73">
            <v>1.4E-2</v>
          </cell>
          <cell r="O73">
            <v>1</v>
          </cell>
          <cell r="P73">
            <v>2.1000000000000001E-2</v>
          </cell>
          <cell r="Q73">
            <v>1</v>
          </cell>
          <cell r="R73">
            <v>2.8000000000000001E-2</v>
          </cell>
          <cell r="S73">
            <v>1</v>
          </cell>
          <cell r="T73">
            <v>3.5000000000000003E-2</v>
          </cell>
          <cell r="U73">
            <v>1</v>
          </cell>
          <cell r="V73" t="str">
            <v>TR PROFIT AFTER TGT 4</v>
          </cell>
          <cell r="W73">
            <v>1</v>
          </cell>
          <cell r="X73" t="str">
            <v>N.A.</v>
          </cell>
          <cell r="Y73" t="str">
            <v>N.A.</v>
          </cell>
          <cell r="AA73" t="str">
            <v>Min</v>
          </cell>
          <cell r="AE73" t="str">
            <v>S : Entry</v>
          </cell>
          <cell r="AF73" t="str">
            <v xml:space="preserve"> + </v>
          </cell>
          <cell r="AG73">
            <v>1.4E-2</v>
          </cell>
          <cell r="AJ73" t="str">
            <v xml:space="preserve"> + </v>
          </cell>
          <cell r="AK73" t="str">
            <v>FUT : PRV : 2DHH</v>
          </cell>
          <cell r="AL73">
            <v>0</v>
          </cell>
          <cell r="AM73">
            <v>5</v>
          </cell>
          <cell r="AN73" t="str">
            <v>FUT : PRV : 2DHH</v>
          </cell>
          <cell r="AO73">
            <v>0</v>
          </cell>
          <cell r="AP73">
            <v>4</v>
          </cell>
          <cell r="AQ73" t="str">
            <v>FUT : PRV : 2DHH</v>
          </cell>
          <cell r="AR73">
            <v>0</v>
          </cell>
          <cell r="AS73">
            <v>3</v>
          </cell>
          <cell r="AT73" t="str">
            <v>FUT : PRV : 2DHH</v>
          </cell>
          <cell r="AU73">
            <v>0</v>
          </cell>
          <cell r="AV73">
            <v>2</v>
          </cell>
          <cell r="AW73" t="str">
            <v>FUT : PRV : 2DHH</v>
          </cell>
          <cell r="AX73">
            <v>0</v>
          </cell>
          <cell r="AY73">
            <v>1</v>
          </cell>
          <cell r="AZ73">
            <v>0</v>
          </cell>
          <cell r="BB73">
            <v>0</v>
          </cell>
          <cell r="BE73">
            <v>0.38540972222222225</v>
          </cell>
          <cell r="BF73">
            <v>0.38540972222222225</v>
          </cell>
          <cell r="BG73" t="str">
            <v>N.A.</v>
          </cell>
          <cell r="BK73">
            <v>1E-3</v>
          </cell>
          <cell r="BL73">
            <v>1E-3</v>
          </cell>
        </row>
        <row r="74">
          <cell r="B74" t="str">
            <v>S12C</v>
          </cell>
        </row>
        <row r="75">
          <cell r="B75" t="str">
            <v>S12D</v>
          </cell>
          <cell r="G75" t="str">
            <v>FUT : PRV : 3DHH</v>
          </cell>
          <cell r="H75" t="str">
            <v xml:space="preserve"> + </v>
          </cell>
          <cell r="I75">
            <v>1E-3</v>
          </cell>
          <cell r="J75">
            <v>5</v>
          </cell>
          <cell r="L75" t="str">
            <v xml:space="preserve">L : Entry </v>
          </cell>
          <cell r="M75" t="str">
            <v xml:space="preserve"> + </v>
          </cell>
          <cell r="N75">
            <v>1.4E-2</v>
          </cell>
          <cell r="O75">
            <v>1</v>
          </cell>
          <cell r="P75">
            <v>2.1000000000000001E-2</v>
          </cell>
          <cell r="Q75">
            <v>1</v>
          </cell>
          <cell r="R75">
            <v>2.8000000000000001E-2</v>
          </cell>
          <cell r="S75">
            <v>1</v>
          </cell>
          <cell r="T75">
            <v>3.5000000000000003E-2</v>
          </cell>
          <cell r="U75">
            <v>1</v>
          </cell>
          <cell r="V75" t="str">
            <v>TR PROFIT AFTER TGT 4</v>
          </cell>
          <cell r="W75">
            <v>1</v>
          </cell>
          <cell r="X75" t="str">
            <v>N.A.</v>
          </cell>
          <cell r="Y75" t="str">
            <v>N.A.</v>
          </cell>
          <cell r="AA75" t="str">
            <v>Max</v>
          </cell>
          <cell r="AE75" t="str">
            <v>L : Entry</v>
          </cell>
          <cell r="AF75" t="str">
            <v xml:space="preserve"> - </v>
          </cell>
          <cell r="AG75">
            <v>1.4E-2</v>
          </cell>
          <cell r="AJ75" t="str">
            <v xml:space="preserve"> - </v>
          </cell>
          <cell r="AK75" t="str">
            <v>FUT : PRV : 2DLL</v>
          </cell>
          <cell r="AL75">
            <v>0</v>
          </cell>
          <cell r="AM75">
            <v>5</v>
          </cell>
          <cell r="AN75" t="str">
            <v>FUT : PRV : 2DLL</v>
          </cell>
          <cell r="AO75">
            <v>0</v>
          </cell>
          <cell r="AP75">
            <v>4</v>
          </cell>
          <cell r="AQ75" t="str">
            <v>FUT : PRV : 2DLL</v>
          </cell>
          <cell r="AR75">
            <v>0</v>
          </cell>
          <cell r="AS75">
            <v>3</v>
          </cell>
          <cell r="AT75" t="str">
            <v>FUT : PRV : 2DLL</v>
          </cell>
          <cell r="AU75">
            <v>0</v>
          </cell>
          <cell r="AV75">
            <v>2</v>
          </cell>
          <cell r="AW75" t="str">
            <v>FUT : PRV : 2DLL</v>
          </cell>
          <cell r="AX75">
            <v>0</v>
          </cell>
          <cell r="AY75">
            <v>1</v>
          </cell>
          <cell r="AZ75">
            <v>0</v>
          </cell>
          <cell r="BB75">
            <v>0</v>
          </cell>
          <cell r="BE75">
            <v>0.375</v>
          </cell>
          <cell r="BK75">
            <v>1E-3</v>
          </cell>
          <cell r="BL75">
            <v>1E-3</v>
          </cell>
        </row>
        <row r="76">
          <cell r="B76" t="str">
            <v>S12E</v>
          </cell>
          <cell r="G76" t="str">
            <v>FUT : PRV : 2DLL</v>
          </cell>
          <cell r="H76" t="str">
            <v xml:space="preserve"> - </v>
          </cell>
          <cell r="I76">
            <v>0</v>
          </cell>
          <cell r="J76">
            <v>5</v>
          </cell>
          <cell r="L76" t="str">
            <v xml:space="preserve">S : Entry </v>
          </cell>
          <cell r="M76" t="str">
            <v xml:space="preserve"> - </v>
          </cell>
          <cell r="N76">
            <v>1.4E-2</v>
          </cell>
          <cell r="O76">
            <v>1</v>
          </cell>
          <cell r="P76">
            <v>2.1000000000000001E-2</v>
          </cell>
          <cell r="Q76">
            <v>1</v>
          </cell>
          <cell r="R76">
            <v>2.8000000000000001E-2</v>
          </cell>
          <cell r="S76">
            <v>1</v>
          </cell>
          <cell r="T76">
            <v>3.5000000000000003E-2</v>
          </cell>
          <cell r="U76">
            <v>1</v>
          </cell>
          <cell r="V76" t="str">
            <v>TR PROFIT AFTER TGT 4</v>
          </cell>
          <cell r="W76">
            <v>1</v>
          </cell>
          <cell r="X76" t="str">
            <v>N.A.</v>
          </cell>
          <cell r="Y76" t="str">
            <v>N.A.</v>
          </cell>
          <cell r="AA76" t="str">
            <v>Min</v>
          </cell>
          <cell r="AE76" t="str">
            <v>S : Entry</v>
          </cell>
          <cell r="AF76" t="str">
            <v xml:space="preserve"> + </v>
          </cell>
          <cell r="AG76">
            <v>1.4E-2</v>
          </cell>
          <cell r="AJ76" t="str">
            <v xml:space="preserve"> + </v>
          </cell>
          <cell r="AK76" t="str">
            <v>FUT : PRV : 3DHH</v>
          </cell>
          <cell r="AL76">
            <v>1E-3</v>
          </cell>
          <cell r="AM76">
            <v>5</v>
          </cell>
          <cell r="AN76" t="str">
            <v>FUT : PRV : 3DHH</v>
          </cell>
          <cell r="AO76">
            <v>1E-3</v>
          </cell>
          <cell r="AP76">
            <v>4</v>
          </cell>
          <cell r="AQ76" t="str">
            <v>FUT : PRV : 3DHH</v>
          </cell>
          <cell r="AR76">
            <v>1E-3</v>
          </cell>
          <cell r="AS76">
            <v>3</v>
          </cell>
          <cell r="AT76" t="str">
            <v>FUT : PRV : 3DHH</v>
          </cell>
          <cell r="AU76">
            <v>1E-3</v>
          </cell>
          <cell r="AV76">
            <v>2</v>
          </cell>
          <cell r="AW76" t="str">
            <v>FUT : PRV : 3DHH</v>
          </cell>
          <cell r="AX76">
            <v>1E-3</v>
          </cell>
          <cell r="AY76">
            <v>1</v>
          </cell>
          <cell r="AZ76">
            <v>0</v>
          </cell>
          <cell r="BB76">
            <v>0</v>
          </cell>
          <cell r="BE76">
            <v>0.97916666666666663</v>
          </cell>
          <cell r="BK76">
            <v>1E-3</v>
          </cell>
          <cell r="BL76">
            <v>1E-3</v>
          </cell>
        </row>
        <row r="78">
          <cell r="B78" t="str">
            <v>S13A</v>
          </cell>
          <cell r="G78" t="str">
            <v>FUT : PRV : 3DHH</v>
          </cell>
          <cell r="H78" t="str">
            <v xml:space="preserve"> + </v>
          </cell>
          <cell r="I78">
            <v>1E-3</v>
          </cell>
          <cell r="J78">
            <v>5</v>
          </cell>
          <cell r="L78" t="str">
            <v xml:space="preserve">L : Entry </v>
          </cell>
          <cell r="M78" t="str">
            <v xml:space="preserve"> + </v>
          </cell>
          <cell r="N78">
            <v>1.4E-2</v>
          </cell>
          <cell r="O78">
            <v>1</v>
          </cell>
          <cell r="P78">
            <v>2.1000000000000001E-2</v>
          </cell>
          <cell r="Q78">
            <v>1</v>
          </cell>
          <cell r="R78">
            <v>2.8000000000000001E-2</v>
          </cell>
          <cell r="S78">
            <v>1</v>
          </cell>
          <cell r="T78">
            <v>3.5000000000000003E-2</v>
          </cell>
          <cell r="U78">
            <v>1</v>
          </cell>
          <cell r="V78" t="str">
            <v>TR PROFIT AFTER TGT 4</v>
          </cell>
          <cell r="W78">
            <v>1</v>
          </cell>
          <cell r="X78" t="str">
            <v>N.A.</v>
          </cell>
          <cell r="Y78" t="str">
            <v>N.A.</v>
          </cell>
          <cell r="AA78" t="str">
            <v>Max</v>
          </cell>
          <cell r="AE78" t="str">
            <v>L : Entry</v>
          </cell>
          <cell r="AF78" t="str">
            <v xml:space="preserve"> - </v>
          </cell>
          <cell r="AG78">
            <v>1.4E-2</v>
          </cell>
          <cell r="AJ78" t="str">
            <v xml:space="preserve"> - </v>
          </cell>
          <cell r="AK78" t="str">
            <v>FUT : PRV : 3DLL</v>
          </cell>
          <cell r="AL78">
            <v>1E-3</v>
          </cell>
          <cell r="AM78">
            <v>5</v>
          </cell>
          <cell r="AN78" t="str">
            <v>FUT : PRV : 3DLL</v>
          </cell>
          <cell r="AO78">
            <v>1E-3</v>
          </cell>
          <cell r="AP78">
            <v>4</v>
          </cell>
          <cell r="AQ78" t="str">
            <v>FUT : PRV : 3DLL</v>
          </cell>
          <cell r="AR78">
            <v>1E-3</v>
          </cell>
          <cell r="AS78">
            <v>3</v>
          </cell>
          <cell r="AT78" t="str">
            <v>FUT : PRV : 3DLL</v>
          </cell>
          <cell r="AU78">
            <v>1E-3</v>
          </cell>
          <cell r="AV78">
            <v>2</v>
          </cell>
          <cell r="AW78" t="str">
            <v>FUT : PRV : 3DLL</v>
          </cell>
          <cell r="AX78">
            <v>1E-3</v>
          </cell>
          <cell r="AY78">
            <v>1</v>
          </cell>
          <cell r="AZ78">
            <v>0</v>
          </cell>
          <cell r="BB78">
            <v>0</v>
          </cell>
          <cell r="BE78">
            <v>0.37846527777777778</v>
          </cell>
          <cell r="BF78">
            <v>0.37846527777777778</v>
          </cell>
          <cell r="BG78">
            <v>0.375</v>
          </cell>
          <cell r="BK78">
            <v>1E-3</v>
          </cell>
          <cell r="BL78">
            <v>1E-3</v>
          </cell>
          <cell r="CU78">
            <v>0.95833333333333326</v>
          </cell>
        </row>
        <row r="79">
          <cell r="B79" t="str">
            <v>S13B</v>
          </cell>
          <cell r="G79" t="str">
            <v>FUT : PRV : 3DLL</v>
          </cell>
          <cell r="H79" t="str">
            <v xml:space="preserve"> - </v>
          </cell>
          <cell r="I79">
            <v>1E-3</v>
          </cell>
          <cell r="J79">
            <v>5</v>
          </cell>
          <cell r="L79" t="str">
            <v xml:space="preserve">S : Entry </v>
          </cell>
          <cell r="M79" t="str">
            <v xml:space="preserve"> - </v>
          </cell>
          <cell r="N79">
            <v>1.4E-2</v>
          </cell>
          <cell r="O79">
            <v>1</v>
          </cell>
          <cell r="P79">
            <v>2.1000000000000001E-2</v>
          </cell>
          <cell r="Q79">
            <v>1</v>
          </cell>
          <cell r="R79">
            <v>2.8000000000000001E-2</v>
          </cell>
          <cell r="S79">
            <v>1</v>
          </cell>
          <cell r="T79">
            <v>3.5000000000000003E-2</v>
          </cell>
          <cell r="U79">
            <v>1</v>
          </cell>
          <cell r="V79" t="str">
            <v>TR PROFIT AFTER TGT 4</v>
          </cell>
          <cell r="W79">
            <v>1</v>
          </cell>
          <cell r="X79" t="str">
            <v>N.A.</v>
          </cell>
          <cell r="Y79" t="str">
            <v>N.A.</v>
          </cell>
          <cell r="AA79" t="str">
            <v>Min</v>
          </cell>
          <cell r="AE79" t="str">
            <v>S : Entry</v>
          </cell>
          <cell r="AF79" t="str">
            <v xml:space="preserve"> + </v>
          </cell>
          <cell r="AG79">
            <v>1.4E-2</v>
          </cell>
          <cell r="AJ79" t="str">
            <v xml:space="preserve"> + </v>
          </cell>
          <cell r="AK79" t="str">
            <v>FUT : PRV : 3DHH</v>
          </cell>
          <cell r="AL79">
            <v>1E-3</v>
          </cell>
          <cell r="AM79">
            <v>5</v>
          </cell>
          <cell r="AN79" t="str">
            <v>FUT : PRV : 3DHH</v>
          </cell>
          <cell r="AO79">
            <v>1E-3</v>
          </cell>
          <cell r="AP79">
            <v>4</v>
          </cell>
          <cell r="AQ79" t="str">
            <v>FUT : PRV : 3DHH</v>
          </cell>
          <cell r="AR79">
            <v>1E-3</v>
          </cell>
          <cell r="AS79">
            <v>3</v>
          </cell>
          <cell r="AT79" t="str">
            <v>FUT : PRV : 3DHH</v>
          </cell>
          <cell r="AU79">
            <v>1E-3</v>
          </cell>
          <cell r="AV79">
            <v>2</v>
          </cell>
          <cell r="AW79" t="str">
            <v>FUT : PRV : 3DHH</v>
          </cell>
          <cell r="AX79">
            <v>1E-3</v>
          </cell>
          <cell r="AY79">
            <v>1</v>
          </cell>
          <cell r="AZ79">
            <v>0</v>
          </cell>
          <cell r="BB79">
            <v>0</v>
          </cell>
          <cell r="BE79">
            <v>0.38540972222222225</v>
          </cell>
          <cell r="BF79">
            <v>0.38540972222222225</v>
          </cell>
          <cell r="BG79" t="str">
            <v>N.A.</v>
          </cell>
          <cell r="BK79">
            <v>1E-3</v>
          </cell>
          <cell r="BL79">
            <v>1E-3</v>
          </cell>
        </row>
        <row r="80">
          <cell r="B80" t="str">
            <v>S13C</v>
          </cell>
        </row>
        <row r="81">
          <cell r="B81" t="str">
            <v>S13D</v>
          </cell>
          <cell r="G81" t="str">
            <v>FUT : PRV : 3DHH</v>
          </cell>
          <cell r="H81" t="str">
            <v xml:space="preserve"> + </v>
          </cell>
          <cell r="I81">
            <v>1E-3</v>
          </cell>
          <cell r="J81">
            <v>5</v>
          </cell>
          <cell r="L81" t="str">
            <v xml:space="preserve">L : Entry </v>
          </cell>
          <cell r="M81" t="str">
            <v xml:space="preserve"> + </v>
          </cell>
          <cell r="N81">
            <v>1.4E-2</v>
          </cell>
          <cell r="O81">
            <v>1</v>
          </cell>
          <cell r="P81">
            <v>2.1000000000000001E-2</v>
          </cell>
          <cell r="Q81">
            <v>1</v>
          </cell>
          <cell r="R81">
            <v>2.8000000000000001E-2</v>
          </cell>
          <cell r="S81">
            <v>1</v>
          </cell>
          <cell r="T81">
            <v>3.5000000000000003E-2</v>
          </cell>
          <cell r="U81">
            <v>1</v>
          </cell>
          <cell r="V81" t="str">
            <v>TR PROFIT AFTER TGT 4</v>
          </cell>
          <cell r="W81">
            <v>1</v>
          </cell>
          <cell r="X81" t="str">
            <v>N.A.</v>
          </cell>
          <cell r="Y81" t="str">
            <v>N.A.</v>
          </cell>
          <cell r="AA81" t="str">
            <v>Max</v>
          </cell>
          <cell r="AE81" t="str">
            <v>L : Entry</v>
          </cell>
          <cell r="AF81" t="str">
            <v xml:space="preserve"> - </v>
          </cell>
          <cell r="AG81">
            <v>1.4E-2</v>
          </cell>
          <cell r="AJ81" t="str">
            <v xml:space="preserve"> - </v>
          </cell>
          <cell r="AK81" t="str">
            <v>FUT : PRV : 3DLL</v>
          </cell>
          <cell r="AL81">
            <v>1E-3</v>
          </cell>
          <cell r="AM81">
            <v>5</v>
          </cell>
          <cell r="AN81" t="str">
            <v>FUT : PRV : 3DLL</v>
          </cell>
          <cell r="AO81">
            <v>1E-3</v>
          </cell>
          <cell r="AP81">
            <v>4</v>
          </cell>
          <cell r="AQ81" t="str">
            <v>FUT : PRV : 3DLL</v>
          </cell>
          <cell r="AR81">
            <v>1E-3</v>
          </cell>
          <cell r="AS81">
            <v>3</v>
          </cell>
          <cell r="AT81" t="str">
            <v>FUT : PRV : 3DLL</v>
          </cell>
          <cell r="AU81">
            <v>1E-3</v>
          </cell>
          <cell r="AV81">
            <v>2</v>
          </cell>
          <cell r="AW81" t="str">
            <v>FUT : PRV : 3DLL</v>
          </cell>
          <cell r="AX81">
            <v>1E-3</v>
          </cell>
          <cell r="AY81">
            <v>1</v>
          </cell>
          <cell r="AZ81">
            <v>0</v>
          </cell>
          <cell r="BB81">
            <v>0</v>
          </cell>
          <cell r="BE81">
            <v>0.375</v>
          </cell>
          <cell r="BK81">
            <v>1E-3</v>
          </cell>
          <cell r="BL81">
            <v>1E-3</v>
          </cell>
        </row>
        <row r="82">
          <cell r="B82" t="str">
            <v>S13E</v>
          </cell>
          <cell r="G82" t="str">
            <v>FUT : PRV : 3DLL</v>
          </cell>
          <cell r="H82" t="str">
            <v xml:space="preserve"> - </v>
          </cell>
          <cell r="I82">
            <v>1E-3</v>
          </cell>
          <cell r="J82">
            <v>5</v>
          </cell>
          <cell r="L82" t="str">
            <v xml:space="preserve">S : Entry </v>
          </cell>
          <cell r="M82" t="str">
            <v xml:space="preserve"> - </v>
          </cell>
          <cell r="N82">
            <v>1.4E-2</v>
          </cell>
          <cell r="O82">
            <v>1</v>
          </cell>
          <cell r="P82">
            <v>2.1000000000000001E-2</v>
          </cell>
          <cell r="Q82">
            <v>1</v>
          </cell>
          <cell r="R82">
            <v>2.8000000000000001E-2</v>
          </cell>
          <cell r="S82">
            <v>1</v>
          </cell>
          <cell r="T82">
            <v>3.5000000000000003E-2</v>
          </cell>
          <cell r="U82">
            <v>1</v>
          </cell>
          <cell r="V82" t="str">
            <v>TR PROFIT AFTER TGT 4</v>
          </cell>
          <cell r="W82">
            <v>1</v>
          </cell>
          <cell r="X82" t="str">
            <v>N.A.</v>
          </cell>
          <cell r="Y82" t="str">
            <v>N.A.</v>
          </cell>
          <cell r="AA82" t="str">
            <v>Min</v>
          </cell>
          <cell r="AE82" t="str">
            <v>S : Entry</v>
          </cell>
          <cell r="AF82" t="str">
            <v xml:space="preserve"> + </v>
          </cell>
          <cell r="AG82">
            <v>1.4E-2</v>
          </cell>
          <cell r="AJ82" t="str">
            <v xml:space="preserve"> + </v>
          </cell>
          <cell r="AK82" t="str">
            <v>FUT : PRV : 3DHH</v>
          </cell>
          <cell r="AL82">
            <v>1E-3</v>
          </cell>
          <cell r="AM82">
            <v>5</v>
          </cell>
          <cell r="AN82" t="str">
            <v>FUT : PRV : 3DHH</v>
          </cell>
          <cell r="AO82">
            <v>1E-3</v>
          </cell>
          <cell r="AP82">
            <v>4</v>
          </cell>
          <cell r="AQ82" t="str">
            <v>FUT : PRV : 3DHH</v>
          </cell>
          <cell r="AR82">
            <v>1E-3</v>
          </cell>
          <cell r="AS82">
            <v>3</v>
          </cell>
          <cell r="AT82" t="str">
            <v>FUT : PRV : 3DHH</v>
          </cell>
          <cell r="AU82">
            <v>1E-3</v>
          </cell>
          <cell r="AV82">
            <v>2</v>
          </cell>
          <cell r="AW82" t="str">
            <v>FUT : PRV : 3DHH</v>
          </cell>
          <cell r="AX82">
            <v>1E-3</v>
          </cell>
          <cell r="AY82">
            <v>1</v>
          </cell>
          <cell r="AZ82">
            <v>0</v>
          </cell>
          <cell r="BB82">
            <v>0</v>
          </cell>
          <cell r="BE82">
            <v>0.97916666666666663</v>
          </cell>
          <cell r="BK82">
            <v>1E-3</v>
          </cell>
          <cell r="BL82">
            <v>1E-3</v>
          </cell>
        </row>
        <row r="84">
          <cell r="B84" t="str">
            <v>S14A</v>
          </cell>
          <cell r="G84" t="str">
            <v>FUT : PRV : 2DHH</v>
          </cell>
          <cell r="H84" t="str">
            <v xml:space="preserve"> + </v>
          </cell>
          <cell r="I84">
            <v>4.0000000000000001E-3</v>
          </cell>
          <cell r="J84">
            <v>5</v>
          </cell>
          <cell r="L84" t="str">
            <v xml:space="preserve">L : Entry </v>
          </cell>
          <cell r="M84" t="str">
            <v xml:space="preserve"> + </v>
          </cell>
          <cell r="N84">
            <v>2.5000000000000001E-2</v>
          </cell>
          <cell r="O84">
            <v>1</v>
          </cell>
          <cell r="P84">
            <v>3.5000000000000003E-2</v>
          </cell>
          <cell r="Q84">
            <v>1</v>
          </cell>
          <cell r="R84">
            <v>4.4999999999999998E-2</v>
          </cell>
          <cell r="S84">
            <v>1</v>
          </cell>
          <cell r="T84">
            <v>5.5E-2</v>
          </cell>
          <cell r="U84">
            <v>1</v>
          </cell>
          <cell r="V84" t="str">
            <v>TR PROFIT AFTER TGT 4</v>
          </cell>
          <cell r="W84">
            <v>1</v>
          </cell>
          <cell r="X84" t="str">
            <v>N.A.</v>
          </cell>
          <cell r="Y84" t="str">
            <v>N.A.</v>
          </cell>
          <cell r="AA84" t="str">
            <v>Max</v>
          </cell>
          <cell r="AE84" t="str">
            <v>L : Entry</v>
          </cell>
          <cell r="AF84" t="str">
            <v xml:space="preserve"> - </v>
          </cell>
          <cell r="AG84">
            <v>2.5000000000000001E-2</v>
          </cell>
          <cell r="AJ84" t="str">
            <v xml:space="preserve"> - </v>
          </cell>
          <cell r="AK84" t="str">
            <v>FUT : PRV : 2DLL</v>
          </cell>
          <cell r="AL84">
            <v>4.0000000000000001E-3</v>
          </cell>
          <cell r="AM84">
            <v>5</v>
          </cell>
          <cell r="AN84" t="str">
            <v>FUT : PRV : 2DLL</v>
          </cell>
          <cell r="AO84">
            <v>4.0000000000000001E-3</v>
          </cell>
          <cell r="AP84">
            <v>4</v>
          </cell>
          <cell r="AQ84" t="str">
            <v>FUT : PRV : 2DLL</v>
          </cell>
          <cell r="AR84">
            <v>4.0000000000000001E-3</v>
          </cell>
          <cell r="AS84">
            <v>3</v>
          </cell>
          <cell r="AT84" t="str">
            <v>FUT : PRV : 2DLL</v>
          </cell>
          <cell r="AU84">
            <v>4.0000000000000001E-3</v>
          </cell>
          <cell r="AV84">
            <v>2</v>
          </cell>
          <cell r="AW84" t="str">
            <v>FUT : PRV : 2DLL</v>
          </cell>
          <cell r="AX84">
            <v>4.0000000000000001E-3</v>
          </cell>
          <cell r="AY84">
            <v>1</v>
          </cell>
          <cell r="AZ84">
            <v>0</v>
          </cell>
          <cell r="BB84">
            <v>0</v>
          </cell>
          <cell r="BE84">
            <v>0.37846527777777778</v>
          </cell>
          <cell r="BF84">
            <v>0.37846527777777778</v>
          </cell>
          <cell r="BG84">
            <v>0.375</v>
          </cell>
          <cell r="BK84">
            <v>4.0000000000000001E-3</v>
          </cell>
          <cell r="BL84">
            <v>4.0000000000000001E-3</v>
          </cell>
          <cell r="CU84">
            <v>0.95833333333333326</v>
          </cell>
        </row>
        <row r="85">
          <cell r="B85" t="str">
            <v>S14B</v>
          </cell>
          <cell r="G85" t="str">
            <v>FUT : PRV : 2DLL</v>
          </cell>
          <cell r="H85" t="str">
            <v xml:space="preserve"> - </v>
          </cell>
          <cell r="I85">
            <v>4.0000000000000001E-3</v>
          </cell>
          <cell r="J85">
            <v>5</v>
          </cell>
          <cell r="L85" t="str">
            <v xml:space="preserve">S : Entry </v>
          </cell>
          <cell r="M85" t="str">
            <v xml:space="preserve"> - </v>
          </cell>
          <cell r="N85">
            <v>2.5000000000000001E-2</v>
          </cell>
          <cell r="O85">
            <v>1</v>
          </cell>
          <cell r="P85">
            <v>3.5000000000000003E-2</v>
          </cell>
          <cell r="Q85">
            <v>1</v>
          </cell>
          <cell r="R85">
            <v>4.4999999999999998E-2</v>
          </cell>
          <cell r="S85">
            <v>1</v>
          </cell>
          <cell r="T85">
            <v>5.5E-2</v>
          </cell>
          <cell r="U85">
            <v>1</v>
          </cell>
          <cell r="V85" t="str">
            <v>TR PROFIT AFTER TGT 4</v>
          </cell>
          <cell r="W85">
            <v>1</v>
          </cell>
          <cell r="X85" t="str">
            <v>N.A.</v>
          </cell>
          <cell r="Y85" t="str">
            <v>N.A.</v>
          </cell>
          <cell r="AA85" t="str">
            <v>Min</v>
          </cell>
          <cell r="AE85" t="str">
            <v>S : Entry</v>
          </cell>
          <cell r="AF85" t="str">
            <v xml:space="preserve"> + </v>
          </cell>
          <cell r="AG85">
            <v>2.5000000000000001E-2</v>
          </cell>
          <cell r="AJ85" t="str">
            <v xml:space="preserve"> + </v>
          </cell>
          <cell r="AK85" t="str">
            <v>FUT : PRV : 2DHH</v>
          </cell>
          <cell r="AL85">
            <v>4.0000000000000001E-3</v>
          </cell>
          <cell r="AM85">
            <v>5</v>
          </cell>
          <cell r="AN85" t="str">
            <v>FUT : PRV : 2DHH</v>
          </cell>
          <cell r="AO85">
            <v>4.0000000000000001E-3</v>
          </cell>
          <cell r="AP85">
            <v>4</v>
          </cell>
          <cell r="AQ85" t="str">
            <v>FUT : PRV : 2DHH</v>
          </cell>
          <cell r="AR85">
            <v>4.0000000000000001E-3</v>
          </cell>
          <cell r="AS85">
            <v>3</v>
          </cell>
          <cell r="AT85" t="str">
            <v>FUT : PRV : 2DHH</v>
          </cell>
          <cell r="AU85">
            <v>4.0000000000000001E-3</v>
          </cell>
          <cell r="AV85">
            <v>2</v>
          </cell>
          <cell r="AW85" t="str">
            <v>FUT : PRV : 2DHH</v>
          </cell>
          <cell r="AX85">
            <v>4.0000000000000001E-3</v>
          </cell>
          <cell r="AY85">
            <v>1</v>
          </cell>
          <cell r="AZ85">
            <v>0</v>
          </cell>
          <cell r="BB85">
            <v>0</v>
          </cell>
          <cell r="BE85">
            <v>0.38540972222222225</v>
          </cell>
          <cell r="BF85">
            <v>0.38540972222222225</v>
          </cell>
          <cell r="BG85" t="str">
            <v>N.A.</v>
          </cell>
          <cell r="BK85">
            <v>4.0000000000000001E-3</v>
          </cell>
          <cell r="BL85">
            <v>4.0000000000000001E-3</v>
          </cell>
        </row>
        <row r="86">
          <cell r="B86" t="str">
            <v>S14C</v>
          </cell>
        </row>
        <row r="87">
          <cell r="B87" t="str">
            <v>S14D</v>
          </cell>
          <cell r="G87" t="str">
            <v>FUT : PRV : 2DHH</v>
          </cell>
          <cell r="H87" t="str">
            <v xml:space="preserve"> + </v>
          </cell>
          <cell r="I87">
            <v>4.0000000000000001E-3</v>
          </cell>
          <cell r="J87">
            <v>5</v>
          </cell>
          <cell r="L87" t="str">
            <v xml:space="preserve">L : Entry </v>
          </cell>
          <cell r="M87" t="str">
            <v xml:space="preserve"> + </v>
          </cell>
          <cell r="N87">
            <v>2.5000000000000001E-2</v>
          </cell>
          <cell r="O87">
            <v>1</v>
          </cell>
          <cell r="P87">
            <v>3.5000000000000003E-2</v>
          </cell>
          <cell r="Q87">
            <v>1</v>
          </cell>
          <cell r="R87">
            <v>4.4999999999999998E-2</v>
          </cell>
          <cell r="S87">
            <v>1</v>
          </cell>
          <cell r="T87">
            <v>5.5E-2</v>
          </cell>
          <cell r="U87">
            <v>1</v>
          </cell>
          <cell r="V87" t="str">
            <v>TR PROFIT AFTER TGT 4</v>
          </cell>
          <cell r="W87">
            <v>1</v>
          </cell>
          <cell r="X87" t="str">
            <v>N.A.</v>
          </cell>
          <cell r="Y87" t="str">
            <v>N.A.</v>
          </cell>
          <cell r="AA87" t="str">
            <v>Max</v>
          </cell>
          <cell r="AE87" t="str">
            <v>L : Entry</v>
          </cell>
          <cell r="AF87" t="str">
            <v xml:space="preserve"> - </v>
          </cell>
          <cell r="AG87">
            <v>2.5000000000000001E-2</v>
          </cell>
          <cell r="AJ87" t="str">
            <v xml:space="preserve"> - </v>
          </cell>
          <cell r="AK87" t="str">
            <v>FUT : PRV : 2DLL</v>
          </cell>
          <cell r="AL87">
            <v>4.0000000000000001E-3</v>
          </cell>
          <cell r="AM87">
            <v>5</v>
          </cell>
          <cell r="AN87" t="str">
            <v>FUT : PRV : 2DLL</v>
          </cell>
          <cell r="AO87">
            <v>4.0000000000000001E-3</v>
          </cell>
          <cell r="AP87">
            <v>4</v>
          </cell>
          <cell r="AQ87" t="str">
            <v>FUT : PRV : 2DLL</v>
          </cell>
          <cell r="AR87">
            <v>4.0000000000000001E-3</v>
          </cell>
          <cell r="AS87">
            <v>3</v>
          </cell>
          <cell r="AT87" t="str">
            <v>FUT : PRV : 2DLL</v>
          </cell>
          <cell r="AU87">
            <v>4.0000000000000001E-3</v>
          </cell>
          <cell r="AV87">
            <v>2</v>
          </cell>
          <cell r="AW87" t="str">
            <v>FUT : PRV : 2DLL</v>
          </cell>
          <cell r="AX87">
            <v>4.0000000000000001E-3</v>
          </cell>
          <cell r="AY87">
            <v>1</v>
          </cell>
          <cell r="AZ87">
            <v>0</v>
          </cell>
          <cell r="BB87">
            <v>0</v>
          </cell>
          <cell r="BE87">
            <v>0.375</v>
          </cell>
          <cell r="BK87">
            <v>4.0000000000000001E-3</v>
          </cell>
          <cell r="BL87">
            <v>4.0000000000000001E-3</v>
          </cell>
        </row>
        <row r="88">
          <cell r="B88" t="str">
            <v>S14E</v>
          </cell>
          <cell r="G88" t="str">
            <v>FUT : PRV : 2DLL</v>
          </cell>
          <cell r="H88" t="str">
            <v xml:space="preserve"> - </v>
          </cell>
          <cell r="I88">
            <v>4.0000000000000001E-3</v>
          </cell>
          <cell r="J88">
            <v>5</v>
          </cell>
          <cell r="L88" t="str">
            <v xml:space="preserve">S : Entry </v>
          </cell>
          <cell r="M88" t="str">
            <v xml:space="preserve"> - </v>
          </cell>
          <cell r="N88">
            <v>2.5000000000000001E-2</v>
          </cell>
          <cell r="O88">
            <v>1</v>
          </cell>
          <cell r="P88">
            <v>3.5000000000000003E-2</v>
          </cell>
          <cell r="Q88">
            <v>1</v>
          </cell>
          <cell r="R88">
            <v>4.4999999999999998E-2</v>
          </cell>
          <cell r="S88">
            <v>1</v>
          </cell>
          <cell r="T88">
            <v>5.5E-2</v>
          </cell>
          <cell r="U88">
            <v>1</v>
          </cell>
          <cell r="V88" t="str">
            <v>TR PROFIT AFTER TGT 4</v>
          </cell>
          <cell r="W88">
            <v>1</v>
          </cell>
          <cell r="X88" t="str">
            <v>N.A.</v>
          </cell>
          <cell r="Y88" t="str">
            <v>N.A.</v>
          </cell>
          <cell r="AA88" t="str">
            <v>Min</v>
          </cell>
          <cell r="AE88" t="str">
            <v>S : Entry</v>
          </cell>
          <cell r="AF88" t="str">
            <v xml:space="preserve"> + </v>
          </cell>
          <cell r="AG88">
            <v>2.5000000000000001E-2</v>
          </cell>
          <cell r="AJ88" t="str">
            <v xml:space="preserve"> + </v>
          </cell>
          <cell r="AK88" t="str">
            <v>FUT : PRV : 2DHH</v>
          </cell>
          <cell r="AL88">
            <v>4.0000000000000001E-3</v>
          </cell>
          <cell r="AM88">
            <v>5</v>
          </cell>
          <cell r="AN88" t="str">
            <v>FUT : PRV : 2DHH</v>
          </cell>
          <cell r="AO88">
            <v>4.0000000000000001E-3</v>
          </cell>
          <cell r="AP88">
            <v>4</v>
          </cell>
          <cell r="AQ88" t="str">
            <v>FUT : PRV : 2DHH</v>
          </cell>
          <cell r="AR88">
            <v>4.0000000000000001E-3</v>
          </cell>
          <cell r="AS88">
            <v>3</v>
          </cell>
          <cell r="AT88" t="str">
            <v>FUT : PRV : 2DHH</v>
          </cell>
          <cell r="AU88">
            <v>4.0000000000000001E-3</v>
          </cell>
          <cell r="AV88">
            <v>2</v>
          </cell>
          <cell r="AW88" t="str">
            <v>FUT : PRV : 2DHH</v>
          </cell>
          <cell r="AX88">
            <v>4.0000000000000001E-3</v>
          </cell>
          <cell r="AY88">
            <v>1</v>
          </cell>
          <cell r="AZ88">
            <v>0</v>
          </cell>
          <cell r="BB88">
            <v>0</v>
          </cell>
          <cell r="BE88">
            <v>0.97916666666666663</v>
          </cell>
          <cell r="BK88">
            <v>4.0000000000000001E-3</v>
          </cell>
          <cell r="BL88">
            <v>4.0000000000000001E-3</v>
          </cell>
        </row>
        <row r="90">
          <cell r="B90" t="str">
            <v>S15A</v>
          </cell>
          <cell r="G90" t="str">
            <v>FUT : PRV : 1DHH</v>
          </cell>
          <cell r="H90" t="str">
            <v xml:space="preserve"> + </v>
          </cell>
          <cell r="I90">
            <v>0</v>
          </cell>
          <cell r="J90">
            <v>5</v>
          </cell>
          <cell r="L90" t="str">
            <v xml:space="preserve">L : Entry </v>
          </cell>
          <cell r="M90" t="str">
            <v xml:space="preserve"> + </v>
          </cell>
          <cell r="N90">
            <v>2.5000000000000001E-2</v>
          </cell>
          <cell r="O90">
            <v>1</v>
          </cell>
          <cell r="P90">
            <v>3.5000000000000003E-2</v>
          </cell>
          <cell r="Q90">
            <v>1</v>
          </cell>
          <cell r="R90">
            <v>4.4999999999999998E-2</v>
          </cell>
          <cell r="S90">
            <v>1</v>
          </cell>
          <cell r="T90">
            <v>5.5E-2</v>
          </cell>
          <cell r="U90">
            <v>1</v>
          </cell>
          <cell r="V90" t="str">
            <v>TR PROFIT AFTER TGT 4</v>
          </cell>
          <cell r="W90">
            <v>1</v>
          </cell>
          <cell r="X90" t="str">
            <v>N.A.</v>
          </cell>
          <cell r="Y90" t="str">
            <v>N.A.</v>
          </cell>
          <cell r="AA90" t="str">
            <v>Max</v>
          </cell>
          <cell r="AE90" t="str">
            <v>L : Entry</v>
          </cell>
          <cell r="AF90" t="str">
            <v xml:space="preserve"> - </v>
          </cell>
          <cell r="AG90">
            <v>2.5000000000000001E-2</v>
          </cell>
          <cell r="AJ90" t="str">
            <v xml:space="preserve"> - </v>
          </cell>
          <cell r="AK90" t="str">
            <v>FUT : PRV : 2DLL</v>
          </cell>
          <cell r="AL90">
            <v>4.0000000000000001E-3</v>
          </cell>
          <cell r="AM90">
            <v>5</v>
          </cell>
          <cell r="AN90" t="str">
            <v>FUT : PRV : 2DLL</v>
          </cell>
          <cell r="AO90">
            <v>4.0000000000000001E-3</v>
          </cell>
          <cell r="AP90">
            <v>4</v>
          </cell>
          <cell r="AQ90" t="str">
            <v>FUT : PRV : 2DLL</v>
          </cell>
          <cell r="AR90">
            <v>4.0000000000000001E-3</v>
          </cell>
          <cell r="AS90">
            <v>3</v>
          </cell>
          <cell r="AT90" t="str">
            <v>FUT : PRV : 2DLL</v>
          </cell>
          <cell r="AU90">
            <v>4.0000000000000001E-3</v>
          </cell>
          <cell r="AV90">
            <v>2</v>
          </cell>
          <cell r="AW90" t="str">
            <v>FUT : PRV : 2DLL</v>
          </cell>
          <cell r="AX90">
            <v>4.0000000000000001E-3</v>
          </cell>
          <cell r="AY90">
            <v>1</v>
          </cell>
          <cell r="AZ90">
            <v>0</v>
          </cell>
          <cell r="BB90">
            <v>0</v>
          </cell>
          <cell r="BE90">
            <v>0.37846527777777778</v>
          </cell>
          <cell r="BF90">
            <v>0.37846527777777778</v>
          </cell>
          <cell r="BG90">
            <v>0.375</v>
          </cell>
          <cell r="BK90">
            <v>4.0000000000000001E-3</v>
          </cell>
          <cell r="BL90">
            <v>4.0000000000000001E-3</v>
          </cell>
          <cell r="CU90">
            <v>0.95833333333333326</v>
          </cell>
        </row>
        <row r="91">
          <cell r="B91" t="str">
            <v>S15B</v>
          </cell>
          <cell r="G91" t="str">
            <v>FUT : PRV : 2DLL</v>
          </cell>
          <cell r="H91" t="str">
            <v xml:space="preserve"> - </v>
          </cell>
          <cell r="I91">
            <v>4.0000000000000001E-3</v>
          </cell>
          <cell r="J91">
            <v>5</v>
          </cell>
          <cell r="L91" t="str">
            <v xml:space="preserve">S : Entry </v>
          </cell>
          <cell r="M91" t="str">
            <v xml:space="preserve"> - </v>
          </cell>
          <cell r="N91">
            <v>2.5000000000000001E-2</v>
          </cell>
          <cell r="O91">
            <v>1</v>
          </cell>
          <cell r="P91">
            <v>3.5000000000000003E-2</v>
          </cell>
          <cell r="Q91">
            <v>1</v>
          </cell>
          <cell r="R91">
            <v>4.4999999999999998E-2</v>
          </cell>
          <cell r="S91">
            <v>1</v>
          </cell>
          <cell r="T91">
            <v>5.5E-2</v>
          </cell>
          <cell r="U91">
            <v>1</v>
          </cell>
          <cell r="V91" t="str">
            <v>TR PROFIT AFTER TGT 4</v>
          </cell>
          <cell r="W91">
            <v>1</v>
          </cell>
          <cell r="X91" t="str">
            <v>N.A.</v>
          </cell>
          <cell r="Y91" t="str">
            <v>N.A.</v>
          </cell>
          <cell r="AA91" t="str">
            <v>Min</v>
          </cell>
          <cell r="AE91" t="str">
            <v>S : Entry</v>
          </cell>
          <cell r="AF91" t="str">
            <v xml:space="preserve"> + </v>
          </cell>
          <cell r="AG91">
            <v>2.5000000000000001E-2</v>
          </cell>
          <cell r="AJ91" t="str">
            <v xml:space="preserve"> + </v>
          </cell>
          <cell r="AK91" t="str">
            <v>FUT : PRV : 1DHH</v>
          </cell>
          <cell r="AL91">
            <v>0</v>
          </cell>
          <cell r="AM91">
            <v>5</v>
          </cell>
          <cell r="AN91" t="str">
            <v>FUT : PRV : 1DHH</v>
          </cell>
          <cell r="AO91">
            <v>0</v>
          </cell>
          <cell r="AP91">
            <v>4</v>
          </cell>
          <cell r="AQ91" t="str">
            <v>FUT : PRV : 1DHH</v>
          </cell>
          <cell r="AR91">
            <v>0</v>
          </cell>
          <cell r="AS91">
            <v>3</v>
          </cell>
          <cell r="AT91" t="str">
            <v>FUT : PRV : 1DHH</v>
          </cell>
          <cell r="AU91">
            <v>0</v>
          </cell>
          <cell r="AV91">
            <v>2</v>
          </cell>
          <cell r="AW91" t="str">
            <v>FUT : PRV : 1DHH</v>
          </cell>
          <cell r="AX91">
            <v>0</v>
          </cell>
          <cell r="AY91">
            <v>1</v>
          </cell>
          <cell r="AZ91">
            <v>0</v>
          </cell>
          <cell r="BB91">
            <v>0</v>
          </cell>
          <cell r="BE91">
            <v>0.38540972222222225</v>
          </cell>
          <cell r="BF91">
            <v>0.38540972222222225</v>
          </cell>
          <cell r="BG91" t="str">
            <v>N.A.</v>
          </cell>
          <cell r="BK91">
            <v>4.0000000000000001E-3</v>
          </cell>
          <cell r="BL91">
            <v>4.0000000000000001E-3</v>
          </cell>
        </row>
        <row r="92">
          <cell r="B92" t="str">
            <v>S15C</v>
          </cell>
        </row>
        <row r="93">
          <cell r="B93" t="str">
            <v>S15D</v>
          </cell>
          <cell r="G93" t="str">
            <v>FUT : PRV : 2DHH</v>
          </cell>
          <cell r="H93" t="str">
            <v xml:space="preserve"> + </v>
          </cell>
          <cell r="I93">
            <v>4.0000000000000001E-3</v>
          </cell>
          <cell r="J93">
            <v>5</v>
          </cell>
          <cell r="L93" t="str">
            <v xml:space="preserve">L : Entry </v>
          </cell>
          <cell r="M93" t="str">
            <v xml:space="preserve"> + </v>
          </cell>
          <cell r="N93">
            <v>2.5000000000000001E-2</v>
          </cell>
          <cell r="O93">
            <v>1</v>
          </cell>
          <cell r="P93">
            <v>3.5000000000000003E-2</v>
          </cell>
          <cell r="Q93">
            <v>1</v>
          </cell>
          <cell r="R93">
            <v>4.4999999999999998E-2</v>
          </cell>
          <cell r="S93">
            <v>1</v>
          </cell>
          <cell r="T93">
            <v>5.5E-2</v>
          </cell>
          <cell r="U93">
            <v>1</v>
          </cell>
          <cell r="V93" t="str">
            <v>TR PROFIT AFTER TGT 4</v>
          </cell>
          <cell r="W93">
            <v>1</v>
          </cell>
          <cell r="X93" t="str">
            <v>N.A.</v>
          </cell>
          <cell r="Y93" t="str">
            <v>N.A.</v>
          </cell>
          <cell r="AA93" t="str">
            <v>Max</v>
          </cell>
          <cell r="AE93" t="str">
            <v>L : Entry</v>
          </cell>
          <cell r="AF93" t="str">
            <v xml:space="preserve"> - </v>
          </cell>
          <cell r="AG93">
            <v>2.5000000000000001E-2</v>
          </cell>
          <cell r="AJ93" t="str">
            <v xml:space="preserve"> - </v>
          </cell>
          <cell r="AK93" t="str">
            <v>FUT : PRV : 1DLL</v>
          </cell>
          <cell r="AL93">
            <v>0</v>
          </cell>
          <cell r="AM93">
            <v>5</v>
          </cell>
          <cell r="AN93" t="str">
            <v>FUT : PRV : 1DLL</v>
          </cell>
          <cell r="AO93">
            <v>0</v>
          </cell>
          <cell r="AP93">
            <v>4</v>
          </cell>
          <cell r="AQ93" t="str">
            <v>FUT : PRV : 1DLL</v>
          </cell>
          <cell r="AR93">
            <v>0</v>
          </cell>
          <cell r="AS93">
            <v>3</v>
          </cell>
          <cell r="AT93" t="str">
            <v>FUT : PRV : 1DLL</v>
          </cell>
          <cell r="AU93">
            <v>0</v>
          </cell>
          <cell r="AV93">
            <v>2</v>
          </cell>
          <cell r="AW93" t="str">
            <v>FUT : PRV : 1DLL</v>
          </cell>
          <cell r="AX93">
            <v>0</v>
          </cell>
          <cell r="AY93">
            <v>1</v>
          </cell>
          <cell r="AZ93">
            <v>0</v>
          </cell>
          <cell r="BB93">
            <v>0</v>
          </cell>
          <cell r="BE93">
            <v>0.375</v>
          </cell>
          <cell r="BK93">
            <v>4.0000000000000001E-3</v>
          </cell>
          <cell r="BL93">
            <v>4.0000000000000001E-3</v>
          </cell>
        </row>
        <row r="94">
          <cell r="B94" t="str">
            <v>S15E</v>
          </cell>
          <cell r="G94" t="str">
            <v>FUT : PRV : 1DLL</v>
          </cell>
          <cell r="H94" t="str">
            <v xml:space="preserve"> - </v>
          </cell>
          <cell r="I94">
            <v>0</v>
          </cell>
          <cell r="J94">
            <v>5</v>
          </cell>
          <cell r="L94" t="str">
            <v xml:space="preserve">S : Entry </v>
          </cell>
          <cell r="M94" t="str">
            <v xml:space="preserve"> - </v>
          </cell>
          <cell r="N94">
            <v>2.5000000000000001E-2</v>
          </cell>
          <cell r="O94">
            <v>1</v>
          </cell>
          <cell r="P94">
            <v>3.5000000000000003E-2</v>
          </cell>
          <cell r="Q94">
            <v>1</v>
          </cell>
          <cell r="R94">
            <v>4.4999999999999998E-2</v>
          </cell>
          <cell r="S94">
            <v>1</v>
          </cell>
          <cell r="T94">
            <v>5.5E-2</v>
          </cell>
          <cell r="U94">
            <v>1</v>
          </cell>
          <cell r="V94" t="str">
            <v>TR PROFIT AFTER TGT 4</v>
          </cell>
          <cell r="W94">
            <v>1</v>
          </cell>
          <cell r="X94" t="str">
            <v>N.A.</v>
          </cell>
          <cell r="Y94" t="str">
            <v>N.A.</v>
          </cell>
          <cell r="AA94" t="str">
            <v>Min</v>
          </cell>
          <cell r="AE94" t="str">
            <v>S : Entry</v>
          </cell>
          <cell r="AF94" t="str">
            <v xml:space="preserve"> + </v>
          </cell>
          <cell r="AG94">
            <v>2.5000000000000001E-2</v>
          </cell>
          <cell r="AJ94" t="str">
            <v xml:space="preserve"> + </v>
          </cell>
          <cell r="AK94" t="str">
            <v>FUT : PRV : 2DHH</v>
          </cell>
          <cell r="AL94">
            <v>4.0000000000000001E-3</v>
          </cell>
          <cell r="AM94">
            <v>5</v>
          </cell>
          <cell r="AN94" t="str">
            <v>FUT : PRV : 2DHH</v>
          </cell>
          <cell r="AO94">
            <v>4.0000000000000001E-3</v>
          </cell>
          <cell r="AP94">
            <v>4</v>
          </cell>
          <cell r="AQ94" t="str">
            <v>FUT : PRV : 2DHH</v>
          </cell>
          <cell r="AR94">
            <v>4.0000000000000001E-3</v>
          </cell>
          <cell r="AS94">
            <v>3</v>
          </cell>
          <cell r="AT94" t="str">
            <v>FUT : PRV : 2DHH</v>
          </cell>
          <cell r="AU94">
            <v>4.0000000000000001E-3</v>
          </cell>
          <cell r="AV94">
            <v>2</v>
          </cell>
          <cell r="AW94" t="str">
            <v>FUT : PRV : 2DHH</v>
          </cell>
          <cell r="AX94">
            <v>4.0000000000000001E-3</v>
          </cell>
          <cell r="AY94">
            <v>1</v>
          </cell>
          <cell r="AZ94">
            <v>0</v>
          </cell>
          <cell r="BB94">
            <v>0</v>
          </cell>
          <cell r="BE94">
            <v>0.97916666666666663</v>
          </cell>
          <cell r="BK94">
            <v>4.0000000000000001E-3</v>
          </cell>
          <cell r="BL94">
            <v>4.0000000000000001E-3</v>
          </cell>
        </row>
        <row r="96">
          <cell r="B96" t="str">
            <v>S16A</v>
          </cell>
          <cell r="G96" t="str">
            <v>FUT : PRV : 2DHH</v>
          </cell>
          <cell r="H96" t="str">
            <v xml:space="preserve"> + </v>
          </cell>
          <cell r="I96">
            <v>0</v>
          </cell>
          <cell r="J96">
            <v>5</v>
          </cell>
          <cell r="L96" t="str">
            <v xml:space="preserve">L : Entry </v>
          </cell>
          <cell r="M96" t="str">
            <v xml:space="preserve"> + </v>
          </cell>
          <cell r="N96">
            <v>0.03</v>
          </cell>
          <cell r="O96">
            <v>1</v>
          </cell>
          <cell r="P96">
            <v>0.04</v>
          </cell>
          <cell r="Q96">
            <v>1</v>
          </cell>
          <cell r="R96">
            <v>0.05</v>
          </cell>
          <cell r="S96">
            <v>1</v>
          </cell>
          <cell r="T96">
            <v>0.06</v>
          </cell>
          <cell r="U96">
            <v>1</v>
          </cell>
          <cell r="V96" t="str">
            <v>TR PROFIT AFTER TGT 4</v>
          </cell>
          <cell r="W96">
            <v>1</v>
          </cell>
          <cell r="X96" t="str">
            <v>N.A.</v>
          </cell>
          <cell r="Y96" t="str">
            <v>N.A.</v>
          </cell>
          <cell r="AA96" t="str">
            <v>Max</v>
          </cell>
          <cell r="AE96" t="str">
            <v>L : Entry</v>
          </cell>
          <cell r="AF96" t="str">
            <v xml:space="preserve"> - </v>
          </cell>
          <cell r="AG96">
            <v>0.03</v>
          </cell>
          <cell r="AJ96" t="str">
            <v xml:space="preserve"> - </v>
          </cell>
          <cell r="AK96" t="str">
            <v>FUT : PRV : 3DLL</v>
          </cell>
          <cell r="AL96">
            <v>0.01</v>
          </cell>
          <cell r="AM96">
            <v>5</v>
          </cell>
          <cell r="AN96" t="str">
            <v>FUT : PRV : 3DLL</v>
          </cell>
          <cell r="AO96">
            <v>0.01</v>
          </cell>
          <cell r="AP96">
            <v>4</v>
          </cell>
          <cell r="AQ96" t="str">
            <v>FUT : PRV : 3DLL</v>
          </cell>
          <cell r="AR96">
            <v>0.01</v>
          </cell>
          <cell r="AS96">
            <v>3</v>
          </cell>
          <cell r="AT96" t="str">
            <v>FUT : PRV : 3DLL</v>
          </cell>
          <cell r="AU96">
            <v>0.01</v>
          </cell>
          <cell r="AV96">
            <v>2</v>
          </cell>
          <cell r="AW96" t="str">
            <v>FUT : PRV : 3DLL</v>
          </cell>
          <cell r="AX96">
            <v>0.01</v>
          </cell>
          <cell r="AY96">
            <v>1</v>
          </cell>
          <cell r="AZ96">
            <v>0</v>
          </cell>
          <cell r="BB96">
            <v>0</v>
          </cell>
          <cell r="BE96">
            <v>0.37846527777777778</v>
          </cell>
          <cell r="BF96">
            <v>0.37846527777777778</v>
          </cell>
          <cell r="BG96">
            <v>0.375</v>
          </cell>
          <cell r="BK96">
            <v>0.01</v>
          </cell>
          <cell r="BL96">
            <v>0.01</v>
          </cell>
          <cell r="CU96">
            <v>0.95833333333333326</v>
          </cell>
        </row>
        <row r="97">
          <cell r="B97" t="str">
            <v>S16B</v>
          </cell>
          <cell r="G97" t="str">
            <v>FUT : PRV : 3DLL</v>
          </cell>
          <cell r="H97" t="str">
            <v xml:space="preserve"> - </v>
          </cell>
          <cell r="I97">
            <v>0.01</v>
          </cell>
          <cell r="J97">
            <v>5</v>
          </cell>
          <cell r="L97" t="str">
            <v xml:space="preserve">S : Entry </v>
          </cell>
          <cell r="M97" t="str">
            <v xml:space="preserve"> - </v>
          </cell>
          <cell r="N97">
            <v>0.03</v>
          </cell>
          <cell r="O97">
            <v>1</v>
          </cell>
          <cell r="P97">
            <v>0.04</v>
          </cell>
          <cell r="Q97">
            <v>1</v>
          </cell>
          <cell r="R97">
            <v>0.05</v>
          </cell>
          <cell r="S97">
            <v>1</v>
          </cell>
          <cell r="T97">
            <v>0.06</v>
          </cell>
          <cell r="U97">
            <v>1</v>
          </cell>
          <cell r="V97" t="str">
            <v>TR PROFIT AFTER TGT 4</v>
          </cell>
          <cell r="W97">
            <v>1</v>
          </cell>
          <cell r="X97" t="str">
            <v>N.A.</v>
          </cell>
          <cell r="Y97" t="str">
            <v>N.A.</v>
          </cell>
          <cell r="AA97" t="str">
            <v>Min</v>
          </cell>
          <cell r="AE97" t="str">
            <v>S : Entry</v>
          </cell>
          <cell r="AF97" t="str">
            <v xml:space="preserve"> + </v>
          </cell>
          <cell r="AG97">
            <v>0.03</v>
          </cell>
          <cell r="AJ97" t="str">
            <v xml:space="preserve"> + </v>
          </cell>
          <cell r="AK97" t="str">
            <v>FUT : PRV : 2DHH</v>
          </cell>
          <cell r="AL97">
            <v>0</v>
          </cell>
          <cell r="AM97">
            <v>5</v>
          </cell>
          <cell r="AN97" t="str">
            <v>FUT : PRV : 2DHH</v>
          </cell>
          <cell r="AO97">
            <v>0</v>
          </cell>
          <cell r="AP97">
            <v>4</v>
          </cell>
          <cell r="AQ97" t="str">
            <v>FUT : PRV : 2DHH</v>
          </cell>
          <cell r="AR97">
            <v>0</v>
          </cell>
          <cell r="AS97">
            <v>3</v>
          </cell>
          <cell r="AT97" t="str">
            <v>FUT : PRV : 2DHH</v>
          </cell>
          <cell r="AU97">
            <v>0</v>
          </cell>
          <cell r="AV97">
            <v>2</v>
          </cell>
          <cell r="AW97" t="str">
            <v>FUT : PRV : 2DHH</v>
          </cell>
          <cell r="AX97">
            <v>0</v>
          </cell>
          <cell r="AY97">
            <v>1</v>
          </cell>
          <cell r="AZ97">
            <v>0</v>
          </cell>
          <cell r="BB97">
            <v>0</v>
          </cell>
          <cell r="BE97">
            <v>0.38540972222222225</v>
          </cell>
          <cell r="BF97">
            <v>0.38540972222222225</v>
          </cell>
          <cell r="BG97" t="str">
            <v>N.A.</v>
          </cell>
          <cell r="BK97">
            <v>0.01</v>
          </cell>
          <cell r="BL97">
            <v>0.01</v>
          </cell>
        </row>
        <row r="98">
          <cell r="B98" t="str">
            <v>S16C</v>
          </cell>
        </row>
        <row r="99">
          <cell r="B99" t="str">
            <v>S16D</v>
          </cell>
          <cell r="G99" t="str">
            <v>FUT : PRV : 3DHH</v>
          </cell>
          <cell r="H99" t="str">
            <v xml:space="preserve"> + </v>
          </cell>
          <cell r="I99">
            <v>0.01</v>
          </cell>
          <cell r="J99">
            <v>5</v>
          </cell>
          <cell r="L99" t="str">
            <v xml:space="preserve">L : Entry </v>
          </cell>
          <cell r="M99" t="str">
            <v xml:space="preserve"> + </v>
          </cell>
          <cell r="N99">
            <v>0.03</v>
          </cell>
          <cell r="O99">
            <v>1</v>
          </cell>
          <cell r="P99">
            <v>0.04</v>
          </cell>
          <cell r="Q99">
            <v>1</v>
          </cell>
          <cell r="R99">
            <v>0.05</v>
          </cell>
          <cell r="S99">
            <v>1</v>
          </cell>
          <cell r="T99">
            <v>0.06</v>
          </cell>
          <cell r="U99">
            <v>1</v>
          </cell>
          <cell r="V99" t="str">
            <v>TR PROFIT AFTER TGT 4</v>
          </cell>
          <cell r="W99">
            <v>1</v>
          </cell>
          <cell r="X99" t="str">
            <v>N.A.</v>
          </cell>
          <cell r="Y99" t="str">
            <v>N.A.</v>
          </cell>
          <cell r="AA99" t="str">
            <v>Max</v>
          </cell>
          <cell r="AE99" t="str">
            <v>L : Entry</v>
          </cell>
          <cell r="AF99" t="str">
            <v xml:space="preserve"> - </v>
          </cell>
          <cell r="AG99">
            <v>0.03</v>
          </cell>
          <cell r="AJ99" t="str">
            <v xml:space="preserve"> - </v>
          </cell>
          <cell r="AK99" t="str">
            <v>FUT : PRV : 2DLL</v>
          </cell>
          <cell r="AL99">
            <v>0</v>
          </cell>
          <cell r="AM99">
            <v>5</v>
          </cell>
          <cell r="AN99" t="str">
            <v>FUT : PRV : 2DLL</v>
          </cell>
          <cell r="AO99">
            <v>0</v>
          </cell>
          <cell r="AP99">
            <v>4</v>
          </cell>
          <cell r="AQ99" t="str">
            <v>FUT : PRV : 2DLL</v>
          </cell>
          <cell r="AR99">
            <v>0</v>
          </cell>
          <cell r="AS99">
            <v>3</v>
          </cell>
          <cell r="AT99" t="str">
            <v>FUT : PRV : 2DLL</v>
          </cell>
          <cell r="AU99">
            <v>0</v>
          </cell>
          <cell r="AV99">
            <v>2</v>
          </cell>
          <cell r="AW99" t="str">
            <v>FUT : PRV : 2DLL</v>
          </cell>
          <cell r="AX99">
            <v>0</v>
          </cell>
          <cell r="AY99">
            <v>1</v>
          </cell>
          <cell r="AZ99">
            <v>0</v>
          </cell>
          <cell r="BB99">
            <v>0</v>
          </cell>
          <cell r="BE99">
            <v>0.375</v>
          </cell>
          <cell r="BK99">
            <v>0.01</v>
          </cell>
          <cell r="BL99">
            <v>0.01</v>
          </cell>
        </row>
        <row r="100">
          <cell r="B100" t="str">
            <v>S16E</v>
          </cell>
          <cell r="G100" t="str">
            <v>FUT : PRV : 2DLL</v>
          </cell>
          <cell r="H100" t="str">
            <v xml:space="preserve"> - </v>
          </cell>
          <cell r="I100">
            <v>0</v>
          </cell>
          <cell r="J100">
            <v>5</v>
          </cell>
          <cell r="L100" t="str">
            <v xml:space="preserve">S : Entry </v>
          </cell>
          <cell r="M100" t="str">
            <v xml:space="preserve"> - </v>
          </cell>
          <cell r="N100">
            <v>0.03</v>
          </cell>
          <cell r="O100">
            <v>1</v>
          </cell>
          <cell r="P100">
            <v>0.04</v>
          </cell>
          <cell r="Q100">
            <v>1</v>
          </cell>
          <cell r="R100">
            <v>0.05</v>
          </cell>
          <cell r="S100">
            <v>1</v>
          </cell>
          <cell r="T100">
            <v>0.06</v>
          </cell>
          <cell r="U100">
            <v>1</v>
          </cell>
          <cell r="V100" t="str">
            <v>TR PROFIT AFTER TGT 4</v>
          </cell>
          <cell r="W100">
            <v>1</v>
          </cell>
          <cell r="X100" t="str">
            <v>N.A.</v>
          </cell>
          <cell r="Y100" t="str">
            <v>N.A.</v>
          </cell>
          <cell r="AA100" t="str">
            <v>Min</v>
          </cell>
          <cell r="AE100" t="str">
            <v>S : Entry</v>
          </cell>
          <cell r="AF100" t="str">
            <v xml:space="preserve"> + </v>
          </cell>
          <cell r="AG100">
            <v>0.03</v>
          </cell>
          <cell r="AJ100" t="str">
            <v xml:space="preserve"> + </v>
          </cell>
          <cell r="AK100" t="str">
            <v>FUT : PRV : 3DHH</v>
          </cell>
          <cell r="AL100">
            <v>0.01</v>
          </cell>
          <cell r="AM100">
            <v>5</v>
          </cell>
          <cell r="AN100" t="str">
            <v>FUT : PRV : 3DHH</v>
          </cell>
          <cell r="AO100">
            <v>0.01</v>
          </cell>
          <cell r="AP100">
            <v>4</v>
          </cell>
          <cell r="AQ100" t="str">
            <v>FUT : PRV : 3DHH</v>
          </cell>
          <cell r="AR100">
            <v>0.01</v>
          </cell>
          <cell r="AS100">
            <v>3</v>
          </cell>
          <cell r="AT100" t="str">
            <v>FUT : PRV : 3DHH</v>
          </cell>
          <cell r="AU100">
            <v>0.01</v>
          </cell>
          <cell r="AV100">
            <v>2</v>
          </cell>
          <cell r="AW100" t="str">
            <v>FUT : PRV : 3DHH</v>
          </cell>
          <cell r="AX100">
            <v>0.01</v>
          </cell>
          <cell r="AY100">
            <v>1</v>
          </cell>
          <cell r="AZ100">
            <v>0</v>
          </cell>
          <cell r="BB100">
            <v>0</v>
          </cell>
          <cell r="BE100">
            <v>0.97916666666666663</v>
          </cell>
          <cell r="BK100">
            <v>0.01</v>
          </cell>
          <cell r="BL100">
            <v>0.01</v>
          </cell>
        </row>
        <row r="102">
          <cell r="B102" t="str">
            <v>S17A</v>
          </cell>
          <cell r="G102" t="str">
            <v>FUT : PRV : 2DHH</v>
          </cell>
          <cell r="H102" t="str">
            <v xml:space="preserve"> + </v>
          </cell>
          <cell r="I102">
            <v>0</v>
          </cell>
          <cell r="J102">
            <v>5</v>
          </cell>
          <cell r="L102" t="str">
            <v xml:space="preserve">L : Entry </v>
          </cell>
          <cell r="M102" t="str">
            <v xml:space="preserve"> + </v>
          </cell>
          <cell r="N102">
            <v>0.03</v>
          </cell>
          <cell r="O102">
            <v>1</v>
          </cell>
          <cell r="P102">
            <v>0.04</v>
          </cell>
          <cell r="Q102">
            <v>1</v>
          </cell>
          <cell r="R102">
            <v>0.05</v>
          </cell>
          <cell r="S102">
            <v>1</v>
          </cell>
          <cell r="T102">
            <v>0.06</v>
          </cell>
          <cell r="U102">
            <v>1</v>
          </cell>
          <cell r="V102" t="str">
            <v>TR PROFIT AFTER TGT 4</v>
          </cell>
          <cell r="W102">
            <v>1</v>
          </cell>
          <cell r="X102" t="str">
            <v>N.A.</v>
          </cell>
          <cell r="Y102" t="str">
            <v>N.A.</v>
          </cell>
          <cell r="AA102" t="str">
            <v>Max</v>
          </cell>
          <cell r="AE102" t="str">
            <v>L : Entry</v>
          </cell>
          <cell r="AF102" t="str">
            <v xml:space="preserve"> - </v>
          </cell>
          <cell r="AG102">
            <v>0.03</v>
          </cell>
          <cell r="AJ102" t="str">
            <v xml:space="preserve"> - </v>
          </cell>
          <cell r="AK102" t="str">
            <v>FUT : PRV : PW&amp;CWLL</v>
          </cell>
          <cell r="AL102">
            <v>0.01</v>
          </cell>
          <cell r="AM102">
            <v>5</v>
          </cell>
          <cell r="AN102" t="str">
            <v>FUT : PRV : PW&amp;CWLL</v>
          </cell>
          <cell r="AO102">
            <v>0.01</v>
          </cell>
          <cell r="AP102">
            <v>4</v>
          </cell>
          <cell r="AQ102" t="str">
            <v>FUT : PRV : PW&amp;CWLL</v>
          </cell>
          <cell r="AR102">
            <v>0.01</v>
          </cell>
          <cell r="AS102">
            <v>3</v>
          </cell>
          <cell r="AT102" t="str">
            <v>FUT : PRV : PW&amp;CWLL</v>
          </cell>
          <cell r="AU102">
            <v>0.01</v>
          </cell>
          <cell r="AV102">
            <v>2</v>
          </cell>
          <cell r="AW102" t="str">
            <v>FUT : PRV : PW&amp;CWLL</v>
          </cell>
          <cell r="AX102">
            <v>0.01</v>
          </cell>
          <cell r="AY102">
            <v>1</v>
          </cell>
          <cell r="AZ102">
            <v>0</v>
          </cell>
          <cell r="BB102">
            <v>0</v>
          </cell>
          <cell r="BE102">
            <v>0.37846527777777778</v>
          </cell>
          <cell r="BF102">
            <v>0.37846527777777778</v>
          </cell>
          <cell r="BG102">
            <v>0.375</v>
          </cell>
          <cell r="BK102">
            <v>0.01</v>
          </cell>
          <cell r="BL102">
            <v>0.01</v>
          </cell>
          <cell r="CU102">
            <v>0.95833333333333326</v>
          </cell>
        </row>
        <row r="103">
          <cell r="B103" t="str">
            <v>S17B</v>
          </cell>
          <cell r="G103" t="str">
            <v>FUT : PRV : PW&amp;CWLL</v>
          </cell>
          <cell r="H103" t="str">
            <v xml:space="preserve"> - </v>
          </cell>
          <cell r="I103">
            <v>0.01</v>
          </cell>
          <cell r="J103">
            <v>5</v>
          </cell>
          <cell r="L103" t="str">
            <v xml:space="preserve">S : Entry </v>
          </cell>
          <cell r="M103" t="str">
            <v xml:space="preserve"> - </v>
          </cell>
          <cell r="N103">
            <v>0.03</v>
          </cell>
          <cell r="O103">
            <v>1</v>
          </cell>
          <cell r="P103">
            <v>0.04</v>
          </cell>
          <cell r="Q103">
            <v>1</v>
          </cell>
          <cell r="R103">
            <v>0.05</v>
          </cell>
          <cell r="S103">
            <v>1</v>
          </cell>
          <cell r="T103">
            <v>0.06</v>
          </cell>
          <cell r="U103">
            <v>1</v>
          </cell>
          <cell r="V103" t="str">
            <v>TR PROFIT AFTER TGT 4</v>
          </cell>
          <cell r="W103">
            <v>1</v>
          </cell>
          <cell r="X103" t="str">
            <v>N.A.</v>
          </cell>
          <cell r="Y103" t="str">
            <v>N.A.</v>
          </cell>
          <cell r="AA103" t="str">
            <v>Min</v>
          </cell>
          <cell r="AE103" t="str">
            <v>S : Entry</v>
          </cell>
          <cell r="AF103" t="str">
            <v xml:space="preserve"> + </v>
          </cell>
          <cell r="AG103">
            <v>0.03</v>
          </cell>
          <cell r="AJ103" t="str">
            <v xml:space="preserve"> + </v>
          </cell>
          <cell r="AK103" t="str">
            <v>FUT : PRV : 2DHH</v>
          </cell>
          <cell r="AL103">
            <v>0</v>
          </cell>
          <cell r="AM103">
            <v>5</v>
          </cell>
          <cell r="AN103" t="str">
            <v>FUT : PRV : 2DHH</v>
          </cell>
          <cell r="AO103">
            <v>0</v>
          </cell>
          <cell r="AP103">
            <v>4</v>
          </cell>
          <cell r="AQ103" t="str">
            <v>FUT : PRV : 2DHH</v>
          </cell>
          <cell r="AR103">
            <v>0</v>
          </cell>
          <cell r="AS103">
            <v>3</v>
          </cell>
          <cell r="AT103" t="str">
            <v>FUT : PRV : 2DHH</v>
          </cell>
          <cell r="AU103">
            <v>0</v>
          </cell>
          <cell r="AV103">
            <v>2</v>
          </cell>
          <cell r="AW103" t="str">
            <v>FUT : PRV : 2DHH</v>
          </cell>
          <cell r="AX103">
            <v>0</v>
          </cell>
          <cell r="AY103">
            <v>1</v>
          </cell>
          <cell r="AZ103">
            <v>0</v>
          </cell>
          <cell r="BB103">
            <v>0</v>
          </cell>
          <cell r="BE103">
            <v>0.38540972222222225</v>
          </cell>
          <cell r="BF103">
            <v>0.38540972222222225</v>
          </cell>
          <cell r="BG103" t="str">
            <v>N.A.</v>
          </cell>
          <cell r="BK103">
            <v>0.01</v>
          </cell>
          <cell r="BL103">
            <v>0.01</v>
          </cell>
        </row>
        <row r="104">
          <cell r="B104" t="str">
            <v>S17C</v>
          </cell>
        </row>
        <row r="105">
          <cell r="B105" t="str">
            <v>S17D</v>
          </cell>
          <cell r="G105" t="str">
            <v>FUT : PRV : PW&amp;CWHH</v>
          </cell>
          <cell r="H105" t="str">
            <v xml:space="preserve"> + </v>
          </cell>
          <cell r="I105">
            <v>0.01</v>
          </cell>
          <cell r="J105">
            <v>5</v>
          </cell>
          <cell r="L105" t="str">
            <v xml:space="preserve">L : Entry </v>
          </cell>
          <cell r="M105" t="str">
            <v xml:space="preserve"> + </v>
          </cell>
          <cell r="N105">
            <v>0.03</v>
          </cell>
          <cell r="O105">
            <v>1</v>
          </cell>
          <cell r="P105">
            <v>0.04</v>
          </cell>
          <cell r="Q105">
            <v>1</v>
          </cell>
          <cell r="R105">
            <v>0.05</v>
          </cell>
          <cell r="S105">
            <v>1</v>
          </cell>
          <cell r="T105">
            <v>0.06</v>
          </cell>
          <cell r="U105">
            <v>1</v>
          </cell>
          <cell r="V105" t="str">
            <v>TR PROFIT AFTER TGT 4</v>
          </cell>
          <cell r="W105">
            <v>1</v>
          </cell>
          <cell r="X105" t="str">
            <v>N.A.</v>
          </cell>
          <cell r="Y105" t="str">
            <v>N.A.</v>
          </cell>
          <cell r="AA105" t="str">
            <v>Max</v>
          </cell>
          <cell r="AE105" t="str">
            <v>L : Entry</v>
          </cell>
          <cell r="AF105" t="str">
            <v xml:space="preserve"> - </v>
          </cell>
          <cell r="AG105">
            <v>0.03</v>
          </cell>
          <cell r="AJ105" t="str">
            <v xml:space="preserve"> - </v>
          </cell>
          <cell r="AK105" t="str">
            <v>FUT : PRV : 2DLL</v>
          </cell>
          <cell r="AL105">
            <v>0</v>
          </cell>
          <cell r="AM105">
            <v>5</v>
          </cell>
          <cell r="AN105" t="str">
            <v>FUT : PRV : 2DLL</v>
          </cell>
          <cell r="AO105">
            <v>0</v>
          </cell>
          <cell r="AP105">
            <v>4</v>
          </cell>
          <cell r="AQ105" t="str">
            <v>FUT : PRV : 2DLL</v>
          </cell>
          <cell r="AR105">
            <v>0</v>
          </cell>
          <cell r="AS105">
            <v>3</v>
          </cell>
          <cell r="AT105" t="str">
            <v>FUT : PRV : 2DLL</v>
          </cell>
          <cell r="AU105">
            <v>0</v>
          </cell>
          <cell r="AV105">
            <v>2</v>
          </cell>
          <cell r="AW105" t="str">
            <v>FUT : PRV : 2DLL</v>
          </cell>
          <cell r="AX105">
            <v>0</v>
          </cell>
          <cell r="AY105">
            <v>1</v>
          </cell>
          <cell r="AZ105">
            <v>0</v>
          </cell>
          <cell r="BB105">
            <v>0</v>
          </cell>
          <cell r="BE105">
            <v>0.375</v>
          </cell>
          <cell r="BK105">
            <v>0.01</v>
          </cell>
          <cell r="BL105">
            <v>0.01</v>
          </cell>
        </row>
        <row r="106">
          <cell r="B106" t="str">
            <v>S17E</v>
          </cell>
          <cell r="G106" t="str">
            <v>FUT : PRV : 2DLL</v>
          </cell>
          <cell r="H106" t="str">
            <v xml:space="preserve"> - </v>
          </cell>
          <cell r="I106">
            <v>0</v>
          </cell>
          <cell r="J106">
            <v>5</v>
          </cell>
          <cell r="L106" t="str">
            <v xml:space="preserve">S : Entry </v>
          </cell>
          <cell r="M106" t="str">
            <v xml:space="preserve"> - </v>
          </cell>
          <cell r="N106">
            <v>0.03</v>
          </cell>
          <cell r="O106">
            <v>1</v>
          </cell>
          <cell r="P106">
            <v>0.04</v>
          </cell>
          <cell r="Q106">
            <v>1</v>
          </cell>
          <cell r="R106">
            <v>0.05</v>
          </cell>
          <cell r="S106">
            <v>1</v>
          </cell>
          <cell r="T106">
            <v>0.06</v>
          </cell>
          <cell r="U106">
            <v>1</v>
          </cell>
          <cell r="V106" t="str">
            <v>TR PROFIT AFTER TGT 4</v>
          </cell>
          <cell r="W106">
            <v>1</v>
          </cell>
          <cell r="X106" t="str">
            <v>N.A.</v>
          </cell>
          <cell r="Y106" t="str">
            <v>N.A.</v>
          </cell>
          <cell r="AA106" t="str">
            <v>Min</v>
          </cell>
          <cell r="AE106" t="str">
            <v>S : Entry</v>
          </cell>
          <cell r="AF106" t="str">
            <v xml:space="preserve"> + </v>
          </cell>
          <cell r="AG106">
            <v>0.03</v>
          </cell>
          <cell r="AJ106" t="str">
            <v xml:space="preserve"> + </v>
          </cell>
          <cell r="AK106" t="str">
            <v>FUT : PRV : PW&amp;CWHH</v>
          </cell>
          <cell r="AL106">
            <v>0.01</v>
          </cell>
          <cell r="AM106">
            <v>5</v>
          </cell>
          <cell r="AN106" t="str">
            <v>FUT : PRV : PW&amp;CWHH</v>
          </cell>
          <cell r="AO106">
            <v>0.01</v>
          </cell>
          <cell r="AP106">
            <v>4</v>
          </cell>
          <cell r="AQ106" t="str">
            <v>FUT : PRV : PW&amp;CWHH</v>
          </cell>
          <cell r="AR106">
            <v>0.01</v>
          </cell>
          <cell r="AS106">
            <v>3</v>
          </cell>
          <cell r="AT106" t="str">
            <v>FUT : PRV : PW&amp;CWHH</v>
          </cell>
          <cell r="AU106">
            <v>0.01</v>
          </cell>
          <cell r="AV106">
            <v>2</v>
          </cell>
          <cell r="AW106" t="str">
            <v>FUT : PRV : PW&amp;CWHH</v>
          </cell>
          <cell r="AX106">
            <v>0.01</v>
          </cell>
          <cell r="AY106">
            <v>1</v>
          </cell>
          <cell r="AZ106">
            <v>0</v>
          </cell>
          <cell r="BB106">
            <v>0</v>
          </cell>
          <cell r="BE106">
            <v>0.97916666666666663</v>
          </cell>
          <cell r="BK106">
            <v>0.01</v>
          </cell>
          <cell r="BL106">
            <v>0.01</v>
          </cell>
        </row>
        <row r="108">
          <cell r="B108" t="str">
            <v>S18A</v>
          </cell>
          <cell r="G108" t="str">
            <v>OPT : PRV : 3DLL</v>
          </cell>
          <cell r="H108" t="str">
            <v xml:space="preserve"> - </v>
          </cell>
          <cell r="I108">
            <v>7.4999999999999997E-2</v>
          </cell>
          <cell r="J108">
            <v>1</v>
          </cell>
          <cell r="L108" t="str">
            <v xml:space="preserve">CE : Entry </v>
          </cell>
          <cell r="M108" t="str">
            <v xml:space="preserve"> - </v>
          </cell>
          <cell r="N108">
            <v>0.6</v>
          </cell>
          <cell r="O108">
            <v>1</v>
          </cell>
          <cell r="AA108" t="str">
            <v>Min</v>
          </cell>
          <cell r="AE108" t="str">
            <v xml:space="preserve">CE : Entry </v>
          </cell>
          <cell r="AF108" t="str">
            <v xml:space="preserve"> + </v>
          </cell>
          <cell r="AG108">
            <v>0.6</v>
          </cell>
          <cell r="AJ108" t="str">
            <v xml:space="preserve"> + </v>
          </cell>
          <cell r="AK108" t="str">
            <v>OPT : PRV : 2DHH</v>
          </cell>
          <cell r="AL108">
            <v>7.0000000000000007E-2</v>
          </cell>
          <cell r="AM108">
            <v>1</v>
          </cell>
          <cell r="AN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Y108">
            <v>0</v>
          </cell>
          <cell r="AZ108">
            <v>0</v>
          </cell>
          <cell r="BB108">
            <v>0</v>
          </cell>
          <cell r="BE108">
            <v>0.38193749999999999</v>
          </cell>
          <cell r="BF108">
            <v>0.38193749999999999</v>
          </cell>
          <cell r="BG108">
            <v>0.375</v>
          </cell>
          <cell r="BK108">
            <v>7.4999999999999997E-2</v>
          </cell>
          <cell r="BL108">
            <v>7.0000000000000007E-2</v>
          </cell>
          <cell r="CU108">
            <v>0.6875</v>
          </cell>
        </row>
        <row r="109">
          <cell r="B109" t="str">
            <v>S18B</v>
          </cell>
          <cell r="G109" t="str">
            <v>OPT : PRV : 2DLL</v>
          </cell>
          <cell r="H109" t="str">
            <v xml:space="preserve"> - </v>
          </cell>
          <cell r="I109">
            <v>7.4999999999999997E-2</v>
          </cell>
          <cell r="J109">
            <v>1</v>
          </cell>
          <cell r="L109" t="str">
            <v xml:space="preserve">PE : Entry </v>
          </cell>
          <cell r="M109" t="str">
            <v xml:space="preserve"> - </v>
          </cell>
          <cell r="N109">
            <v>0.6</v>
          </cell>
          <cell r="O109">
            <v>1</v>
          </cell>
          <cell r="AA109" t="str">
            <v>Min</v>
          </cell>
          <cell r="AE109" t="str">
            <v xml:space="preserve">PE : Entry </v>
          </cell>
          <cell r="AF109" t="str">
            <v xml:space="preserve"> + </v>
          </cell>
          <cell r="AG109">
            <v>0.6</v>
          </cell>
          <cell r="AJ109" t="str">
            <v xml:space="preserve"> + </v>
          </cell>
          <cell r="AK109" t="str">
            <v>OPT : PRV : 3DHH</v>
          </cell>
          <cell r="AL109">
            <v>0.1</v>
          </cell>
          <cell r="AM109">
            <v>1</v>
          </cell>
          <cell r="AN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Y109">
            <v>0</v>
          </cell>
          <cell r="AZ109">
            <v>0</v>
          </cell>
          <cell r="BB109">
            <v>0</v>
          </cell>
          <cell r="BE109">
            <v>0.38540972222222225</v>
          </cell>
          <cell r="BF109">
            <v>0.38540972222222225</v>
          </cell>
          <cell r="BG109" t="str">
            <v>N.A.</v>
          </cell>
          <cell r="BK109">
            <v>7.4999999999999997E-2</v>
          </cell>
          <cell r="BL109">
            <v>0.1</v>
          </cell>
        </row>
        <row r="110">
          <cell r="B110" t="str">
            <v>S18C</v>
          </cell>
        </row>
        <row r="111">
          <cell r="B111" t="str">
            <v>S18D</v>
          </cell>
          <cell r="G111" t="str">
            <v>OPT : PRV : 2DLL</v>
          </cell>
          <cell r="H111" t="str">
            <v xml:space="preserve"> - </v>
          </cell>
          <cell r="I111">
            <v>7.4999999999999997E-2</v>
          </cell>
          <cell r="J111">
            <v>1</v>
          </cell>
          <cell r="L111" t="str">
            <v xml:space="preserve">CE : Entry </v>
          </cell>
          <cell r="M111" t="str">
            <v xml:space="preserve"> - </v>
          </cell>
          <cell r="N111">
            <v>0.6</v>
          </cell>
          <cell r="O111">
            <v>1</v>
          </cell>
          <cell r="AA111" t="str">
            <v>Min</v>
          </cell>
          <cell r="AE111" t="str">
            <v xml:space="preserve">CE : Entry </v>
          </cell>
          <cell r="AF111" t="str">
            <v xml:space="preserve"> + </v>
          </cell>
          <cell r="AG111">
            <v>0.6</v>
          </cell>
          <cell r="AJ111" t="str">
            <v xml:space="preserve"> + </v>
          </cell>
          <cell r="AK111" t="str">
            <v>OPT : PRV : 3DHH</v>
          </cell>
          <cell r="AL111">
            <v>0.1</v>
          </cell>
          <cell r="AM111">
            <v>1</v>
          </cell>
          <cell r="AN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V111">
            <v>0</v>
          </cell>
          <cell r="AW111">
            <v>0</v>
          </cell>
          <cell r="AY111">
            <v>0</v>
          </cell>
          <cell r="AZ111">
            <v>0</v>
          </cell>
          <cell r="BB111">
            <v>0</v>
          </cell>
          <cell r="BE111">
            <v>0.375</v>
          </cell>
          <cell r="BK111">
            <v>7.4999999999999997E-2</v>
          </cell>
          <cell r="BL111">
            <v>0.1</v>
          </cell>
        </row>
        <row r="112">
          <cell r="B112" t="str">
            <v>S18E</v>
          </cell>
          <cell r="G112" t="str">
            <v>OPT : PRV : 3DLL</v>
          </cell>
          <cell r="H112" t="str">
            <v xml:space="preserve"> - </v>
          </cell>
          <cell r="I112">
            <v>7.4999999999999997E-2</v>
          </cell>
          <cell r="J112">
            <v>1</v>
          </cell>
          <cell r="L112" t="str">
            <v xml:space="preserve">PE : Entry </v>
          </cell>
          <cell r="M112" t="str">
            <v xml:space="preserve"> - </v>
          </cell>
          <cell r="N112">
            <v>0.6</v>
          </cell>
          <cell r="O112">
            <v>1</v>
          </cell>
          <cell r="AA112" t="str">
            <v>Min</v>
          </cell>
          <cell r="AE112" t="str">
            <v xml:space="preserve">PE : Entry </v>
          </cell>
          <cell r="AF112" t="str">
            <v xml:space="preserve"> + </v>
          </cell>
          <cell r="AG112">
            <v>0.6</v>
          </cell>
          <cell r="AJ112" t="str">
            <v xml:space="preserve"> + </v>
          </cell>
          <cell r="AK112" t="str">
            <v>OPT : PRV : 2DHH</v>
          </cell>
          <cell r="AL112">
            <v>7.0000000000000007E-2</v>
          </cell>
          <cell r="AM112">
            <v>1</v>
          </cell>
          <cell r="AN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Y112">
            <v>0</v>
          </cell>
          <cell r="AZ112">
            <v>0</v>
          </cell>
          <cell r="BB112">
            <v>0</v>
          </cell>
          <cell r="BE112">
            <v>0.70833333333333337</v>
          </cell>
          <cell r="BK112">
            <v>7.4999999999999997E-2</v>
          </cell>
          <cell r="BL112">
            <v>7.0000000000000007E-2</v>
          </cell>
        </row>
        <row r="114">
          <cell r="B114" t="str">
            <v>S19A</v>
          </cell>
          <cell r="G114" t="str">
            <v>OPT : PRV : 3DLL</v>
          </cell>
          <cell r="H114" t="str">
            <v xml:space="preserve"> - </v>
          </cell>
          <cell r="I114">
            <v>7.4999999999999997E-2</v>
          </cell>
          <cell r="J114">
            <v>1</v>
          </cell>
          <cell r="L114" t="str">
            <v xml:space="preserve">CE : Entry </v>
          </cell>
          <cell r="M114" t="str">
            <v xml:space="preserve"> - </v>
          </cell>
          <cell r="N114">
            <v>0.6</v>
          </cell>
          <cell r="O114">
            <v>1</v>
          </cell>
          <cell r="AA114" t="str">
            <v>Min</v>
          </cell>
          <cell r="AE114" t="str">
            <v xml:space="preserve">CE : Entry </v>
          </cell>
          <cell r="AF114" t="str">
            <v xml:space="preserve"> + </v>
          </cell>
          <cell r="AG114">
            <v>0.6</v>
          </cell>
          <cell r="AJ114" t="str">
            <v xml:space="preserve"> + </v>
          </cell>
          <cell r="AK114" t="str">
            <v>OPT : PRV : 2DHH</v>
          </cell>
          <cell r="AL114">
            <v>7.0000000000000007E-2</v>
          </cell>
          <cell r="AM114">
            <v>1</v>
          </cell>
          <cell r="AN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Y114">
            <v>0</v>
          </cell>
          <cell r="AZ114">
            <v>0</v>
          </cell>
          <cell r="BB114">
            <v>0</v>
          </cell>
          <cell r="BE114">
            <v>0.38193749999999999</v>
          </cell>
          <cell r="BF114">
            <v>0.38193749999999999</v>
          </cell>
          <cell r="BG114">
            <v>0.375</v>
          </cell>
          <cell r="BK114">
            <v>7.4999999999999997E-2</v>
          </cell>
          <cell r="BL114">
            <v>7.0000000000000007E-2</v>
          </cell>
          <cell r="CU114">
            <v>0.6875</v>
          </cell>
        </row>
        <row r="115">
          <cell r="B115" t="str">
            <v>S19B</v>
          </cell>
          <cell r="G115" t="str">
            <v>OPT : PRV : 2DLL</v>
          </cell>
          <cell r="H115" t="str">
            <v xml:space="preserve"> - </v>
          </cell>
          <cell r="I115">
            <v>7.4999999999999997E-2</v>
          </cell>
          <cell r="J115">
            <v>1</v>
          </cell>
          <cell r="L115" t="str">
            <v xml:space="preserve">PE : Entry </v>
          </cell>
          <cell r="M115" t="str">
            <v xml:space="preserve"> - </v>
          </cell>
          <cell r="N115">
            <v>0.6</v>
          </cell>
          <cell r="O115">
            <v>1</v>
          </cell>
          <cell r="AA115" t="str">
            <v>Min</v>
          </cell>
          <cell r="AE115" t="str">
            <v xml:space="preserve">PE : Entry </v>
          </cell>
          <cell r="AF115" t="str">
            <v xml:space="preserve"> + </v>
          </cell>
          <cell r="AG115">
            <v>0.6</v>
          </cell>
          <cell r="AJ115" t="str">
            <v xml:space="preserve"> + </v>
          </cell>
          <cell r="AK115" t="str">
            <v>OPT : PRV : 3DHH</v>
          </cell>
          <cell r="AL115">
            <v>0.1</v>
          </cell>
          <cell r="AM115">
            <v>1</v>
          </cell>
          <cell r="AN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0</v>
          </cell>
          <cell r="BB115">
            <v>0</v>
          </cell>
          <cell r="BE115">
            <v>0.38540972222222225</v>
          </cell>
          <cell r="BF115">
            <v>0.38540972222222225</v>
          </cell>
          <cell r="BG115" t="str">
            <v>N.A.</v>
          </cell>
          <cell r="BK115">
            <v>7.4999999999999997E-2</v>
          </cell>
          <cell r="BL115">
            <v>0.1</v>
          </cell>
        </row>
        <row r="116">
          <cell r="B116" t="str">
            <v>S19C</v>
          </cell>
        </row>
        <row r="117">
          <cell r="B117" t="str">
            <v>S19D</v>
          </cell>
          <cell r="G117" t="str">
            <v>OPT : PRV : 2DLL</v>
          </cell>
          <cell r="H117" t="str">
            <v xml:space="preserve"> - </v>
          </cell>
          <cell r="I117">
            <v>7.4999999999999997E-2</v>
          </cell>
          <cell r="J117">
            <v>1</v>
          </cell>
          <cell r="L117" t="str">
            <v xml:space="preserve">CE : Entry </v>
          </cell>
          <cell r="M117" t="str">
            <v xml:space="preserve"> - </v>
          </cell>
          <cell r="N117">
            <v>0.6</v>
          </cell>
          <cell r="O117">
            <v>1</v>
          </cell>
          <cell r="AA117" t="str">
            <v>Min</v>
          </cell>
          <cell r="AE117" t="str">
            <v xml:space="preserve">CE : Entry </v>
          </cell>
          <cell r="AF117" t="str">
            <v xml:space="preserve"> + </v>
          </cell>
          <cell r="AG117">
            <v>0.6</v>
          </cell>
          <cell r="AJ117" t="str">
            <v xml:space="preserve"> + </v>
          </cell>
          <cell r="AK117" t="str">
            <v>OPT : PRV : 3DHH</v>
          </cell>
          <cell r="AL117">
            <v>0.1</v>
          </cell>
          <cell r="AM117">
            <v>1</v>
          </cell>
          <cell r="AN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Y117">
            <v>0</v>
          </cell>
          <cell r="AZ117">
            <v>0</v>
          </cell>
          <cell r="BB117">
            <v>0</v>
          </cell>
          <cell r="BE117">
            <v>0.375</v>
          </cell>
          <cell r="BK117">
            <v>7.4999999999999997E-2</v>
          </cell>
          <cell r="BL117">
            <v>0.1</v>
          </cell>
        </row>
        <row r="118">
          <cell r="B118" t="str">
            <v>S19E</v>
          </cell>
          <cell r="G118" t="str">
            <v>OPT : PRV : 3DLL</v>
          </cell>
          <cell r="H118" t="str">
            <v xml:space="preserve"> - </v>
          </cell>
          <cell r="I118">
            <v>7.4999999999999997E-2</v>
          </cell>
          <cell r="J118">
            <v>1</v>
          </cell>
          <cell r="L118" t="str">
            <v xml:space="preserve">PE : Entry </v>
          </cell>
          <cell r="M118" t="str">
            <v xml:space="preserve"> - </v>
          </cell>
          <cell r="N118">
            <v>0.6</v>
          </cell>
          <cell r="O118">
            <v>1</v>
          </cell>
          <cell r="AA118" t="str">
            <v>Min</v>
          </cell>
          <cell r="AE118" t="str">
            <v xml:space="preserve">PE : Entry </v>
          </cell>
          <cell r="AF118" t="str">
            <v xml:space="preserve"> + </v>
          </cell>
          <cell r="AG118">
            <v>0.6</v>
          </cell>
          <cell r="AJ118" t="str">
            <v xml:space="preserve"> + </v>
          </cell>
          <cell r="AK118" t="str">
            <v>OPT : PRV : 2DHH</v>
          </cell>
          <cell r="AL118">
            <v>7.0000000000000007E-2</v>
          </cell>
          <cell r="AM118">
            <v>1</v>
          </cell>
          <cell r="AN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Y118">
            <v>0</v>
          </cell>
          <cell r="AZ118">
            <v>0</v>
          </cell>
          <cell r="BB118">
            <v>0</v>
          </cell>
          <cell r="BE118">
            <v>0.70833333333333337</v>
          </cell>
          <cell r="BK118">
            <v>7.4999999999999997E-2</v>
          </cell>
          <cell r="BL118">
            <v>7.0000000000000007E-2</v>
          </cell>
        </row>
        <row r="120">
          <cell r="B120" t="str">
            <v>S20A</v>
          </cell>
          <cell r="G120" t="str">
            <v>OPT : PRV : 3DLL</v>
          </cell>
          <cell r="H120" t="str">
            <v xml:space="preserve"> - </v>
          </cell>
          <cell r="I120">
            <v>7.4999999999999997E-2</v>
          </cell>
          <cell r="J120">
            <v>1</v>
          </cell>
          <cell r="L120" t="str">
            <v xml:space="preserve">CE : Entry </v>
          </cell>
          <cell r="M120" t="str">
            <v xml:space="preserve"> - </v>
          </cell>
          <cell r="N120">
            <v>0.6</v>
          </cell>
          <cell r="O120">
            <v>1</v>
          </cell>
          <cell r="AA120" t="str">
            <v>Min</v>
          </cell>
          <cell r="AE120" t="str">
            <v xml:space="preserve">CE : Entry </v>
          </cell>
          <cell r="AF120" t="str">
            <v xml:space="preserve"> + </v>
          </cell>
          <cell r="AG120">
            <v>0.6</v>
          </cell>
          <cell r="AJ120" t="str">
            <v xml:space="preserve"> + </v>
          </cell>
          <cell r="AK120" t="str">
            <v>OPT : PRV : 2DHH</v>
          </cell>
          <cell r="AL120">
            <v>7.0000000000000007E-2</v>
          </cell>
          <cell r="AM120">
            <v>1</v>
          </cell>
          <cell r="AN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V120">
            <v>0</v>
          </cell>
          <cell r="AW120">
            <v>0</v>
          </cell>
          <cell r="AY120">
            <v>0</v>
          </cell>
          <cell r="AZ120">
            <v>0</v>
          </cell>
          <cell r="BB120">
            <v>0</v>
          </cell>
          <cell r="BE120">
            <v>0.39235416666666667</v>
          </cell>
          <cell r="BF120">
            <v>0.39235416666666667</v>
          </cell>
          <cell r="BG120">
            <v>0.38541666666666669</v>
          </cell>
          <cell r="BK120">
            <v>7.4999999999999997E-2</v>
          </cell>
          <cell r="BL120">
            <v>7.0000000000000007E-2</v>
          </cell>
          <cell r="CU120">
            <v>0.625</v>
          </cell>
        </row>
        <row r="121">
          <cell r="B121" t="str">
            <v>S20B</v>
          </cell>
          <cell r="G121" t="str">
            <v>OPT : PRV : 2DLL</v>
          </cell>
          <cell r="H121" t="str">
            <v xml:space="preserve"> - </v>
          </cell>
          <cell r="I121">
            <v>7.4999999999999997E-2</v>
          </cell>
          <cell r="J121">
            <v>1</v>
          </cell>
          <cell r="L121" t="str">
            <v xml:space="preserve">PE : Entry </v>
          </cell>
          <cell r="M121" t="str">
            <v xml:space="preserve"> - </v>
          </cell>
          <cell r="N121">
            <v>0.6</v>
          </cell>
          <cell r="O121">
            <v>1</v>
          </cell>
          <cell r="AA121" t="str">
            <v>Min</v>
          </cell>
          <cell r="AE121" t="str">
            <v xml:space="preserve">PE : Entry </v>
          </cell>
          <cell r="AF121" t="str">
            <v xml:space="preserve"> + </v>
          </cell>
          <cell r="AG121">
            <v>0.6</v>
          </cell>
          <cell r="AJ121" t="str">
            <v xml:space="preserve"> + </v>
          </cell>
          <cell r="AK121" t="str">
            <v>OPT : PRV : 3DHH</v>
          </cell>
          <cell r="AL121">
            <v>0.1</v>
          </cell>
          <cell r="AM121">
            <v>1</v>
          </cell>
          <cell r="AN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Y121">
            <v>0</v>
          </cell>
          <cell r="AZ121">
            <v>0</v>
          </cell>
          <cell r="BB121">
            <v>0</v>
          </cell>
          <cell r="BE121">
            <v>0.39582638888888888</v>
          </cell>
          <cell r="BF121">
            <v>0.39582638888888888</v>
          </cell>
          <cell r="BG121" t="str">
            <v>N.A.</v>
          </cell>
          <cell r="BK121">
            <v>7.4999999999999997E-2</v>
          </cell>
          <cell r="BL121">
            <v>0.1</v>
          </cell>
        </row>
        <row r="122">
          <cell r="B122" t="str">
            <v>S20C</v>
          </cell>
        </row>
        <row r="123">
          <cell r="B123" t="str">
            <v>S20D</v>
          </cell>
          <cell r="G123" t="str">
            <v>OPT : PRV : 2DLL</v>
          </cell>
          <cell r="H123" t="str">
            <v xml:space="preserve"> - </v>
          </cell>
          <cell r="I123">
            <v>7.4999999999999997E-2</v>
          </cell>
          <cell r="J123">
            <v>1</v>
          </cell>
          <cell r="L123" t="str">
            <v xml:space="preserve">CE : Entry </v>
          </cell>
          <cell r="M123" t="str">
            <v xml:space="preserve"> - </v>
          </cell>
          <cell r="N123">
            <v>0.6</v>
          </cell>
          <cell r="O123">
            <v>1</v>
          </cell>
          <cell r="AA123" t="str">
            <v>Min</v>
          </cell>
          <cell r="AE123" t="str">
            <v xml:space="preserve">CE : Entry </v>
          </cell>
          <cell r="AF123" t="str">
            <v xml:space="preserve"> + </v>
          </cell>
          <cell r="AG123">
            <v>0.6</v>
          </cell>
          <cell r="AJ123" t="str">
            <v xml:space="preserve"> + </v>
          </cell>
          <cell r="AK123" t="str">
            <v>OPT : PRV : 3DHH</v>
          </cell>
          <cell r="AL123">
            <v>0.1</v>
          </cell>
          <cell r="AM123">
            <v>1</v>
          </cell>
          <cell r="AN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Y123">
            <v>0</v>
          </cell>
          <cell r="AZ123">
            <v>0</v>
          </cell>
          <cell r="BB123">
            <v>0</v>
          </cell>
          <cell r="BE123">
            <v>0.38541666666666669</v>
          </cell>
          <cell r="BK123">
            <v>7.4999999999999997E-2</v>
          </cell>
          <cell r="BL123">
            <v>0.1</v>
          </cell>
        </row>
        <row r="124">
          <cell r="B124" t="str">
            <v>S20E</v>
          </cell>
          <cell r="G124" t="str">
            <v>OPT : PRV : 3DLL</v>
          </cell>
          <cell r="H124" t="str">
            <v xml:space="preserve"> - </v>
          </cell>
          <cell r="I124">
            <v>7.4999999999999997E-2</v>
          </cell>
          <cell r="J124">
            <v>1</v>
          </cell>
          <cell r="L124" t="str">
            <v xml:space="preserve">PE : Entry </v>
          </cell>
          <cell r="M124" t="str">
            <v xml:space="preserve"> - </v>
          </cell>
          <cell r="N124">
            <v>0.6</v>
          </cell>
          <cell r="O124">
            <v>1</v>
          </cell>
          <cell r="AA124" t="str">
            <v>Min</v>
          </cell>
          <cell r="AE124" t="str">
            <v xml:space="preserve">PE : Entry </v>
          </cell>
          <cell r="AF124" t="str">
            <v xml:space="preserve"> + </v>
          </cell>
          <cell r="AG124">
            <v>0.6</v>
          </cell>
          <cell r="AJ124" t="str">
            <v xml:space="preserve"> + </v>
          </cell>
          <cell r="AK124" t="str">
            <v>OPT : PRV : 2DHH</v>
          </cell>
          <cell r="AL124">
            <v>7.0000000000000007E-2</v>
          </cell>
          <cell r="AM124">
            <v>1</v>
          </cell>
          <cell r="AN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Y124">
            <v>0</v>
          </cell>
          <cell r="AZ124">
            <v>0</v>
          </cell>
          <cell r="BB124">
            <v>0</v>
          </cell>
          <cell r="BE124">
            <v>0.64583333333333337</v>
          </cell>
          <cell r="BK124">
            <v>7.4999999999999997E-2</v>
          </cell>
          <cell r="BL124">
            <v>7.0000000000000007E-2</v>
          </cell>
        </row>
        <row r="126">
          <cell r="B126" t="str">
            <v>S21A</v>
          </cell>
          <cell r="G126" t="str">
            <v>OPT : PRV : 3DLL</v>
          </cell>
          <cell r="H126" t="str">
            <v xml:space="preserve"> - </v>
          </cell>
          <cell r="I126">
            <v>7.4999999999999997E-2</v>
          </cell>
          <cell r="J126">
            <v>1</v>
          </cell>
          <cell r="L126" t="str">
            <v xml:space="preserve">CE : Entry </v>
          </cell>
          <cell r="M126" t="str">
            <v xml:space="preserve"> - </v>
          </cell>
          <cell r="N126">
            <v>0.6</v>
          </cell>
          <cell r="O126">
            <v>1</v>
          </cell>
          <cell r="AA126" t="str">
            <v>Min</v>
          </cell>
          <cell r="AE126" t="str">
            <v xml:space="preserve">CE : Entry </v>
          </cell>
          <cell r="AF126" t="str">
            <v xml:space="preserve"> + </v>
          </cell>
          <cell r="AG126">
            <v>0.6</v>
          </cell>
          <cell r="AJ126" t="str">
            <v xml:space="preserve"> + </v>
          </cell>
          <cell r="AK126" t="str">
            <v>OPT : PRV : 2DHH</v>
          </cell>
          <cell r="AL126">
            <v>7.0000000000000007E-2</v>
          </cell>
          <cell r="AM126">
            <v>1</v>
          </cell>
          <cell r="AN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V126">
            <v>0</v>
          </cell>
          <cell r="AW126">
            <v>0</v>
          </cell>
          <cell r="AY126">
            <v>0</v>
          </cell>
          <cell r="AZ126">
            <v>0</v>
          </cell>
          <cell r="BB126">
            <v>0</v>
          </cell>
          <cell r="BE126">
            <v>0.39235416666666667</v>
          </cell>
          <cell r="BF126">
            <v>0.39235416666666667</v>
          </cell>
          <cell r="BG126">
            <v>0.38541666666666669</v>
          </cell>
          <cell r="BK126">
            <v>7.4999999999999997E-2</v>
          </cell>
          <cell r="BL126">
            <v>7.0000000000000007E-2</v>
          </cell>
          <cell r="CU126">
            <v>0.625</v>
          </cell>
        </row>
        <row r="127">
          <cell r="B127" t="str">
            <v>S21B</v>
          </cell>
          <cell r="G127" t="str">
            <v>OPT : PRV : 2DLL</v>
          </cell>
          <cell r="H127" t="str">
            <v xml:space="preserve"> - </v>
          </cell>
          <cell r="I127">
            <v>7.4999999999999997E-2</v>
          </cell>
          <cell r="J127">
            <v>1</v>
          </cell>
          <cell r="L127" t="str">
            <v xml:space="preserve">PE : Entry </v>
          </cell>
          <cell r="M127" t="str">
            <v xml:space="preserve"> - </v>
          </cell>
          <cell r="N127">
            <v>0.6</v>
          </cell>
          <cell r="O127">
            <v>1</v>
          </cell>
          <cell r="AA127" t="str">
            <v>Min</v>
          </cell>
          <cell r="AE127" t="str">
            <v xml:space="preserve">PE : Entry </v>
          </cell>
          <cell r="AF127" t="str">
            <v xml:space="preserve"> + </v>
          </cell>
          <cell r="AG127">
            <v>0.6</v>
          </cell>
          <cell r="AJ127" t="str">
            <v xml:space="preserve"> + </v>
          </cell>
          <cell r="AK127" t="str">
            <v>OPT : PRV : 3DHH</v>
          </cell>
          <cell r="AL127">
            <v>0.1</v>
          </cell>
          <cell r="AM127">
            <v>1</v>
          </cell>
          <cell r="AN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V127">
            <v>0</v>
          </cell>
          <cell r="AW127">
            <v>0</v>
          </cell>
          <cell r="AY127">
            <v>0</v>
          </cell>
          <cell r="AZ127">
            <v>0</v>
          </cell>
          <cell r="BB127">
            <v>0</v>
          </cell>
          <cell r="BE127">
            <v>0.39582638888888888</v>
          </cell>
          <cell r="BF127">
            <v>0.39582638888888888</v>
          </cell>
          <cell r="BG127" t="str">
            <v>N.A.</v>
          </cell>
          <cell r="BK127">
            <v>7.4999999999999997E-2</v>
          </cell>
          <cell r="BL127">
            <v>0.1</v>
          </cell>
        </row>
        <row r="128">
          <cell r="B128" t="str">
            <v>S21C</v>
          </cell>
        </row>
        <row r="129">
          <cell r="B129" t="str">
            <v>S21D</v>
          </cell>
          <cell r="G129" t="str">
            <v>OPT : PRV : 2DLL</v>
          </cell>
          <cell r="H129" t="str">
            <v xml:space="preserve"> - </v>
          </cell>
          <cell r="I129">
            <v>7.4999999999999997E-2</v>
          </cell>
          <cell r="J129">
            <v>1</v>
          </cell>
          <cell r="L129" t="str">
            <v xml:space="preserve">CE : Entry </v>
          </cell>
          <cell r="M129" t="str">
            <v xml:space="preserve"> - </v>
          </cell>
          <cell r="N129">
            <v>0.6</v>
          </cell>
          <cell r="O129">
            <v>1</v>
          </cell>
          <cell r="AA129" t="str">
            <v>Min</v>
          </cell>
          <cell r="AE129" t="str">
            <v xml:space="preserve">CE : Entry </v>
          </cell>
          <cell r="AF129" t="str">
            <v xml:space="preserve"> + </v>
          </cell>
          <cell r="AG129">
            <v>0.6</v>
          </cell>
          <cell r="AJ129" t="str">
            <v xml:space="preserve"> + </v>
          </cell>
          <cell r="AK129" t="str">
            <v>OPT : PRV : 3DHH</v>
          </cell>
          <cell r="AL129">
            <v>0.1</v>
          </cell>
          <cell r="AM129">
            <v>1</v>
          </cell>
          <cell r="AN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V129">
            <v>0</v>
          </cell>
          <cell r="AW129">
            <v>0</v>
          </cell>
          <cell r="AY129">
            <v>0</v>
          </cell>
          <cell r="AZ129">
            <v>0</v>
          </cell>
          <cell r="BB129">
            <v>0</v>
          </cell>
          <cell r="BE129">
            <v>0.38541666666666669</v>
          </cell>
          <cell r="BK129">
            <v>7.4999999999999997E-2</v>
          </cell>
          <cell r="BL129">
            <v>0.1</v>
          </cell>
        </row>
        <row r="130">
          <cell r="B130" t="str">
            <v>S21E</v>
          </cell>
          <cell r="G130" t="str">
            <v>OPT : PRV : 3DLL</v>
          </cell>
          <cell r="H130" t="str">
            <v xml:space="preserve"> - </v>
          </cell>
          <cell r="I130">
            <v>7.4999999999999997E-2</v>
          </cell>
          <cell r="J130">
            <v>1</v>
          </cell>
          <cell r="L130" t="str">
            <v xml:space="preserve">PE : Entry </v>
          </cell>
          <cell r="M130" t="str">
            <v xml:space="preserve"> - </v>
          </cell>
          <cell r="N130">
            <v>0.6</v>
          </cell>
          <cell r="O130">
            <v>1</v>
          </cell>
          <cell r="AA130" t="str">
            <v>Min</v>
          </cell>
          <cell r="AE130" t="str">
            <v xml:space="preserve">PE : Entry </v>
          </cell>
          <cell r="AF130" t="str">
            <v xml:space="preserve"> + </v>
          </cell>
          <cell r="AG130">
            <v>0.6</v>
          </cell>
          <cell r="AJ130" t="str">
            <v xml:space="preserve"> + </v>
          </cell>
          <cell r="AK130" t="str">
            <v>OPT : PRV : 2DHH</v>
          </cell>
          <cell r="AL130">
            <v>7.0000000000000007E-2</v>
          </cell>
          <cell r="AM130">
            <v>1</v>
          </cell>
          <cell r="AN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Y130">
            <v>0</v>
          </cell>
          <cell r="AZ130">
            <v>0</v>
          </cell>
          <cell r="BB130">
            <v>0</v>
          </cell>
          <cell r="BE130">
            <v>0.64583333333333337</v>
          </cell>
          <cell r="BK130">
            <v>7.4999999999999997E-2</v>
          </cell>
          <cell r="BL130">
            <v>7.0000000000000007E-2</v>
          </cell>
        </row>
        <row r="132">
          <cell r="B132" t="str">
            <v>S22A</v>
          </cell>
          <cell r="G132" t="str">
            <v>OPT : PRV : 4DLL</v>
          </cell>
          <cell r="H132" t="str">
            <v xml:space="preserve"> - </v>
          </cell>
          <cell r="I132">
            <v>0.1</v>
          </cell>
          <cell r="J132">
            <v>1</v>
          </cell>
          <cell r="L132" t="str">
            <v xml:space="preserve">CE : Entry </v>
          </cell>
          <cell r="M132" t="str">
            <v xml:space="preserve"> - </v>
          </cell>
          <cell r="N132">
            <v>0.6</v>
          </cell>
          <cell r="O132">
            <v>1</v>
          </cell>
          <cell r="AA132" t="str">
            <v>Min</v>
          </cell>
          <cell r="AE132" t="str">
            <v xml:space="preserve">CE : Entry </v>
          </cell>
          <cell r="AF132" t="str">
            <v xml:space="preserve"> + </v>
          </cell>
          <cell r="AG132">
            <v>0.6</v>
          </cell>
          <cell r="AJ132" t="str">
            <v xml:space="preserve"> + </v>
          </cell>
          <cell r="AK132" t="str">
            <v>OPT : PRV : 2DHH</v>
          </cell>
          <cell r="AL132">
            <v>7.0000000000000007E-2</v>
          </cell>
          <cell r="AM132">
            <v>1</v>
          </cell>
          <cell r="AN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Y132">
            <v>0</v>
          </cell>
          <cell r="AZ132">
            <v>0</v>
          </cell>
          <cell r="BB132">
            <v>0</v>
          </cell>
          <cell r="BE132">
            <v>0.39235416666666667</v>
          </cell>
          <cell r="BF132">
            <v>0.39235416666666667</v>
          </cell>
          <cell r="BG132">
            <v>0.38541666666666669</v>
          </cell>
          <cell r="BK132">
            <v>0.1</v>
          </cell>
          <cell r="BL132">
            <v>7.0000000000000007E-2</v>
          </cell>
          <cell r="CU132">
            <v>0.625</v>
          </cell>
        </row>
        <row r="133">
          <cell r="B133" t="str">
            <v>S22B</v>
          </cell>
          <cell r="G133" t="str">
            <v>OPT : PRV : 2DLL</v>
          </cell>
          <cell r="H133" t="str">
            <v xml:space="preserve"> - </v>
          </cell>
          <cell r="I133">
            <v>0.1</v>
          </cell>
          <cell r="J133">
            <v>1</v>
          </cell>
          <cell r="L133" t="str">
            <v xml:space="preserve">PE : Entry </v>
          </cell>
          <cell r="M133" t="str">
            <v xml:space="preserve"> - </v>
          </cell>
          <cell r="N133">
            <v>0.6</v>
          </cell>
          <cell r="O133">
            <v>1</v>
          </cell>
          <cell r="AA133" t="str">
            <v>Min</v>
          </cell>
          <cell r="AE133" t="str">
            <v xml:space="preserve">PE : Entry </v>
          </cell>
          <cell r="AF133" t="str">
            <v xml:space="preserve"> + </v>
          </cell>
          <cell r="AG133">
            <v>0.6</v>
          </cell>
          <cell r="AJ133" t="str">
            <v xml:space="preserve"> + </v>
          </cell>
          <cell r="AK133" t="str">
            <v>OPT : PRV : 3DHH</v>
          </cell>
          <cell r="AL133">
            <v>0.1</v>
          </cell>
          <cell r="AM133">
            <v>1</v>
          </cell>
          <cell r="AN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Y133">
            <v>0</v>
          </cell>
          <cell r="AZ133">
            <v>0</v>
          </cell>
          <cell r="BB133">
            <v>0</v>
          </cell>
          <cell r="BE133">
            <v>0.39582638888888888</v>
          </cell>
          <cell r="BF133">
            <v>0.39582638888888888</v>
          </cell>
          <cell r="BG133" t="str">
            <v>N.A.</v>
          </cell>
          <cell r="BK133">
            <v>0.1</v>
          </cell>
          <cell r="BL133">
            <v>0.1</v>
          </cell>
        </row>
        <row r="134">
          <cell r="B134" t="str">
            <v>S22C</v>
          </cell>
        </row>
        <row r="135">
          <cell r="B135" t="str">
            <v>S22D</v>
          </cell>
          <cell r="G135" t="str">
            <v>OPT : PRV : 2DLL</v>
          </cell>
          <cell r="H135" t="str">
            <v xml:space="preserve"> - </v>
          </cell>
          <cell r="I135">
            <v>0.1</v>
          </cell>
          <cell r="J135">
            <v>1</v>
          </cell>
          <cell r="L135" t="str">
            <v xml:space="preserve">CE : Entry </v>
          </cell>
          <cell r="M135" t="str">
            <v xml:space="preserve"> - </v>
          </cell>
          <cell r="N135">
            <v>0.6</v>
          </cell>
          <cell r="O135">
            <v>1</v>
          </cell>
          <cell r="AA135" t="str">
            <v>Min</v>
          </cell>
          <cell r="AE135" t="str">
            <v xml:space="preserve">CE : Entry </v>
          </cell>
          <cell r="AF135" t="str">
            <v xml:space="preserve"> + </v>
          </cell>
          <cell r="AG135">
            <v>0.6</v>
          </cell>
          <cell r="AJ135" t="str">
            <v xml:space="preserve"> + </v>
          </cell>
          <cell r="AK135" t="str">
            <v>OPT : PRV : 3DHH</v>
          </cell>
          <cell r="AL135">
            <v>0.1</v>
          </cell>
          <cell r="AM135">
            <v>1</v>
          </cell>
          <cell r="AN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V135">
            <v>0</v>
          </cell>
          <cell r="AW135">
            <v>0</v>
          </cell>
          <cell r="AY135">
            <v>0</v>
          </cell>
          <cell r="AZ135">
            <v>0</v>
          </cell>
          <cell r="BB135">
            <v>0</v>
          </cell>
          <cell r="BE135">
            <v>0.38541666666666669</v>
          </cell>
          <cell r="BK135">
            <v>0.1</v>
          </cell>
          <cell r="BL135">
            <v>0.1</v>
          </cell>
        </row>
        <row r="136">
          <cell r="B136" t="str">
            <v>S22E</v>
          </cell>
          <cell r="G136" t="str">
            <v>OPT : PRV : 4DLL</v>
          </cell>
          <cell r="H136" t="str">
            <v xml:space="preserve"> - </v>
          </cell>
          <cell r="I136">
            <v>0.1</v>
          </cell>
          <cell r="J136">
            <v>1</v>
          </cell>
          <cell r="L136" t="str">
            <v xml:space="preserve">PE : Entry </v>
          </cell>
          <cell r="M136" t="str">
            <v xml:space="preserve"> - </v>
          </cell>
          <cell r="N136">
            <v>0.6</v>
          </cell>
          <cell r="O136">
            <v>1</v>
          </cell>
          <cell r="AA136" t="str">
            <v>Min</v>
          </cell>
          <cell r="AE136" t="str">
            <v xml:space="preserve">PE : Entry </v>
          </cell>
          <cell r="AF136" t="str">
            <v xml:space="preserve"> + </v>
          </cell>
          <cell r="AG136">
            <v>0.6</v>
          </cell>
          <cell r="AJ136" t="str">
            <v xml:space="preserve"> + </v>
          </cell>
          <cell r="AK136" t="str">
            <v>OPT : PRV : 2DHH</v>
          </cell>
          <cell r="AL136">
            <v>7.0000000000000007E-2</v>
          </cell>
          <cell r="AM136">
            <v>1</v>
          </cell>
          <cell r="AN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V136">
            <v>0</v>
          </cell>
          <cell r="AW136">
            <v>0</v>
          </cell>
          <cell r="AY136">
            <v>0</v>
          </cell>
          <cell r="AZ136">
            <v>0</v>
          </cell>
          <cell r="BB136">
            <v>0</v>
          </cell>
          <cell r="BE136">
            <v>0.64583333333333337</v>
          </cell>
          <cell r="BK136">
            <v>0.1</v>
          </cell>
          <cell r="BL136">
            <v>7.0000000000000007E-2</v>
          </cell>
        </row>
        <row r="138">
          <cell r="B138" t="str">
            <v>S23A</v>
          </cell>
          <cell r="G138" t="str">
            <v>OPT : PRV : 3DLL</v>
          </cell>
          <cell r="H138" t="str">
            <v xml:space="preserve"> - </v>
          </cell>
          <cell r="I138">
            <v>7.4999999999999997E-2</v>
          </cell>
          <cell r="J138">
            <v>1</v>
          </cell>
          <cell r="L138" t="str">
            <v xml:space="preserve">CE : Entry </v>
          </cell>
          <cell r="M138" t="str">
            <v xml:space="preserve"> - </v>
          </cell>
          <cell r="N138">
            <v>0.6</v>
          </cell>
          <cell r="O138">
            <v>1</v>
          </cell>
          <cell r="AA138" t="str">
            <v>Min</v>
          </cell>
          <cell r="AE138" t="str">
            <v xml:space="preserve">CE : Entry </v>
          </cell>
          <cell r="AF138" t="str">
            <v xml:space="preserve"> + </v>
          </cell>
          <cell r="AG138">
            <v>0.6</v>
          </cell>
          <cell r="AJ138" t="str">
            <v xml:space="preserve"> + </v>
          </cell>
          <cell r="AK138" t="str">
            <v>OPT : PRV : 2DHH</v>
          </cell>
          <cell r="AL138">
            <v>7.0000000000000007E-2</v>
          </cell>
          <cell r="AM138">
            <v>1</v>
          </cell>
          <cell r="AN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Y138">
            <v>0</v>
          </cell>
          <cell r="AZ138">
            <v>0</v>
          </cell>
          <cell r="BB138">
            <v>0</v>
          </cell>
          <cell r="BE138">
            <v>0.39235416666666667</v>
          </cell>
          <cell r="BF138">
            <v>0.39235416666666667</v>
          </cell>
          <cell r="BG138">
            <v>0.38541666666666669</v>
          </cell>
          <cell r="BK138">
            <v>7.4999999999999997E-2</v>
          </cell>
          <cell r="BL138">
            <v>7.0000000000000007E-2</v>
          </cell>
          <cell r="CU138">
            <v>0.625</v>
          </cell>
        </row>
        <row r="139">
          <cell r="B139" t="str">
            <v>S23B</v>
          </cell>
          <cell r="G139" t="str">
            <v>OPT : PRV : 2DLL</v>
          </cell>
          <cell r="H139" t="str">
            <v xml:space="preserve"> - </v>
          </cell>
          <cell r="I139">
            <v>7.4999999999999997E-2</v>
          </cell>
          <cell r="J139">
            <v>1</v>
          </cell>
          <cell r="L139" t="str">
            <v xml:space="preserve">PE : Entry </v>
          </cell>
          <cell r="M139" t="str">
            <v xml:space="preserve"> - </v>
          </cell>
          <cell r="N139">
            <v>0.6</v>
          </cell>
          <cell r="O139">
            <v>1</v>
          </cell>
          <cell r="AA139" t="str">
            <v>Min</v>
          </cell>
          <cell r="AE139" t="str">
            <v xml:space="preserve">PE : Entry </v>
          </cell>
          <cell r="AF139" t="str">
            <v xml:space="preserve"> + </v>
          </cell>
          <cell r="AG139">
            <v>0.6</v>
          </cell>
          <cell r="AJ139" t="str">
            <v xml:space="preserve"> + </v>
          </cell>
          <cell r="AK139" t="str">
            <v>OPT : PRV : 3DHH</v>
          </cell>
          <cell r="AL139">
            <v>0.1</v>
          </cell>
          <cell r="AM139">
            <v>1</v>
          </cell>
          <cell r="AN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V139">
            <v>0</v>
          </cell>
          <cell r="AW139">
            <v>0</v>
          </cell>
          <cell r="AY139">
            <v>0</v>
          </cell>
          <cell r="AZ139">
            <v>0</v>
          </cell>
          <cell r="BB139">
            <v>0</v>
          </cell>
          <cell r="BE139">
            <v>0.39582638888888888</v>
          </cell>
          <cell r="BF139">
            <v>0.39582638888888888</v>
          </cell>
          <cell r="BG139" t="str">
            <v>N.A.</v>
          </cell>
          <cell r="BK139">
            <v>7.4999999999999997E-2</v>
          </cell>
          <cell r="BL139">
            <v>0.1</v>
          </cell>
        </row>
        <row r="140">
          <cell r="B140" t="str">
            <v>S23C</v>
          </cell>
        </row>
        <row r="141">
          <cell r="B141" t="str">
            <v>S23D</v>
          </cell>
          <cell r="G141" t="str">
            <v>OPT : PRV : 2DLL</v>
          </cell>
          <cell r="H141" t="str">
            <v xml:space="preserve"> - </v>
          </cell>
          <cell r="I141">
            <v>7.4999999999999997E-2</v>
          </cell>
          <cell r="J141">
            <v>1</v>
          </cell>
          <cell r="L141" t="str">
            <v xml:space="preserve">CE : Entry </v>
          </cell>
          <cell r="M141" t="str">
            <v xml:space="preserve"> - </v>
          </cell>
          <cell r="N141">
            <v>0.6</v>
          </cell>
          <cell r="O141">
            <v>1</v>
          </cell>
          <cell r="AA141" t="str">
            <v>Min</v>
          </cell>
          <cell r="AE141" t="str">
            <v xml:space="preserve">CE : Entry </v>
          </cell>
          <cell r="AF141" t="str">
            <v xml:space="preserve"> + </v>
          </cell>
          <cell r="AG141">
            <v>0.6</v>
          </cell>
          <cell r="AJ141" t="str">
            <v xml:space="preserve"> + </v>
          </cell>
          <cell r="AK141" t="str">
            <v>OPT : PRV : 3DHH</v>
          </cell>
          <cell r="AL141">
            <v>0.1</v>
          </cell>
          <cell r="AM141">
            <v>1</v>
          </cell>
          <cell r="AN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Y141">
            <v>0</v>
          </cell>
          <cell r="AZ141">
            <v>0</v>
          </cell>
          <cell r="BB141">
            <v>0</v>
          </cell>
          <cell r="BE141">
            <v>0.38541666666666669</v>
          </cell>
          <cell r="BK141">
            <v>7.4999999999999997E-2</v>
          </cell>
          <cell r="BL141">
            <v>0.1</v>
          </cell>
        </row>
        <row r="142">
          <cell r="B142" t="str">
            <v>S23E</v>
          </cell>
          <cell r="G142" t="str">
            <v>OPT : PRV : 3DLL</v>
          </cell>
          <cell r="H142" t="str">
            <v xml:space="preserve"> - </v>
          </cell>
          <cell r="I142">
            <v>7.4999999999999997E-2</v>
          </cell>
          <cell r="J142">
            <v>1</v>
          </cell>
          <cell r="L142" t="str">
            <v xml:space="preserve">PE : Entry </v>
          </cell>
          <cell r="M142" t="str">
            <v xml:space="preserve"> - </v>
          </cell>
          <cell r="N142">
            <v>0.6</v>
          </cell>
          <cell r="O142">
            <v>1</v>
          </cell>
          <cell r="AA142" t="str">
            <v>Min</v>
          </cell>
          <cell r="AE142" t="str">
            <v xml:space="preserve">PE : Entry </v>
          </cell>
          <cell r="AF142" t="str">
            <v xml:space="preserve"> + </v>
          </cell>
          <cell r="AG142">
            <v>0.6</v>
          </cell>
          <cell r="AJ142" t="str">
            <v xml:space="preserve"> + </v>
          </cell>
          <cell r="AK142" t="str">
            <v>OPT : PRV : 2DHH</v>
          </cell>
          <cell r="AL142">
            <v>7.0000000000000007E-2</v>
          </cell>
          <cell r="AM142">
            <v>1</v>
          </cell>
          <cell r="AN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Y142">
            <v>0</v>
          </cell>
          <cell r="AZ142">
            <v>0</v>
          </cell>
          <cell r="BB142">
            <v>0</v>
          </cell>
          <cell r="BE142">
            <v>0.64583333333333337</v>
          </cell>
          <cell r="BK142">
            <v>7.4999999999999997E-2</v>
          </cell>
          <cell r="BL142">
            <v>7.0000000000000007E-2</v>
          </cell>
        </row>
        <row r="144">
          <cell r="B144" t="str">
            <v>S24A</v>
          </cell>
          <cell r="G144" t="str">
            <v>OPT : PRV : 3DLL</v>
          </cell>
          <cell r="H144" t="str">
            <v xml:space="preserve"> - </v>
          </cell>
          <cell r="I144">
            <v>7.4999999999999997E-2</v>
          </cell>
          <cell r="J144">
            <v>1</v>
          </cell>
          <cell r="L144" t="str">
            <v xml:space="preserve">CE : Entry </v>
          </cell>
          <cell r="M144" t="str">
            <v xml:space="preserve"> - </v>
          </cell>
          <cell r="N144">
            <v>0.6</v>
          </cell>
          <cell r="O144">
            <v>1</v>
          </cell>
          <cell r="AA144" t="str">
            <v>Min</v>
          </cell>
          <cell r="AE144" t="str">
            <v xml:space="preserve">CE : Entry </v>
          </cell>
          <cell r="AF144" t="str">
            <v xml:space="preserve"> + </v>
          </cell>
          <cell r="AG144">
            <v>0.6</v>
          </cell>
          <cell r="AJ144" t="str">
            <v xml:space="preserve"> + </v>
          </cell>
          <cell r="AK144" t="str">
            <v>OPT : PRV : 2DHH</v>
          </cell>
          <cell r="AL144">
            <v>7.0000000000000007E-2</v>
          </cell>
          <cell r="AM144">
            <v>1</v>
          </cell>
          <cell r="AN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V144">
            <v>0</v>
          </cell>
          <cell r="AW144">
            <v>0</v>
          </cell>
          <cell r="AY144">
            <v>0</v>
          </cell>
          <cell r="AZ144">
            <v>0</v>
          </cell>
          <cell r="BB144">
            <v>0</v>
          </cell>
          <cell r="BE144">
            <v>0.39235416666666667</v>
          </cell>
          <cell r="BF144">
            <v>0.39235416666666667</v>
          </cell>
          <cell r="BG144">
            <v>0.38541666666666669</v>
          </cell>
          <cell r="BK144">
            <v>7.4999999999999997E-2</v>
          </cell>
          <cell r="BL144">
            <v>7.0000000000000007E-2</v>
          </cell>
          <cell r="CU144">
            <v>0.625</v>
          </cell>
        </row>
        <row r="145">
          <cell r="B145" t="str">
            <v>S24B</v>
          </cell>
          <cell r="G145" t="str">
            <v>OPT : PRV : 2DLL</v>
          </cell>
          <cell r="H145" t="str">
            <v xml:space="preserve"> - </v>
          </cell>
          <cell r="I145">
            <v>7.4999999999999997E-2</v>
          </cell>
          <cell r="J145">
            <v>1</v>
          </cell>
          <cell r="L145" t="str">
            <v xml:space="preserve">PE : Entry </v>
          </cell>
          <cell r="M145" t="str">
            <v xml:space="preserve"> - </v>
          </cell>
          <cell r="N145">
            <v>0.6</v>
          </cell>
          <cell r="O145">
            <v>1</v>
          </cell>
          <cell r="AA145" t="str">
            <v>Min</v>
          </cell>
          <cell r="AE145" t="str">
            <v xml:space="preserve">PE : Entry </v>
          </cell>
          <cell r="AF145" t="str">
            <v xml:space="preserve"> + </v>
          </cell>
          <cell r="AG145">
            <v>0.6</v>
          </cell>
          <cell r="AJ145" t="str">
            <v xml:space="preserve"> + </v>
          </cell>
          <cell r="AK145" t="str">
            <v>OPT : PRV : 3DHH</v>
          </cell>
          <cell r="AL145">
            <v>0.1</v>
          </cell>
          <cell r="AM145">
            <v>1</v>
          </cell>
          <cell r="AN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V145">
            <v>0</v>
          </cell>
          <cell r="AW145">
            <v>0</v>
          </cell>
          <cell r="AY145">
            <v>0</v>
          </cell>
          <cell r="AZ145">
            <v>0</v>
          </cell>
          <cell r="BB145">
            <v>0</v>
          </cell>
          <cell r="BE145">
            <v>0.39582638888888888</v>
          </cell>
          <cell r="BF145">
            <v>0.39582638888888888</v>
          </cell>
          <cell r="BG145" t="str">
            <v>N.A.</v>
          </cell>
          <cell r="BK145">
            <v>7.4999999999999997E-2</v>
          </cell>
          <cell r="BL145">
            <v>0.1</v>
          </cell>
        </row>
        <row r="146">
          <cell r="B146" t="str">
            <v>S24C</v>
          </cell>
        </row>
        <row r="147">
          <cell r="B147" t="str">
            <v>S24D</v>
          </cell>
          <cell r="G147" t="str">
            <v>OPT : PRV : 2DLL</v>
          </cell>
          <cell r="H147" t="str">
            <v xml:space="preserve"> - </v>
          </cell>
          <cell r="I147">
            <v>7.4999999999999997E-2</v>
          </cell>
          <cell r="J147">
            <v>1</v>
          </cell>
          <cell r="L147" t="str">
            <v xml:space="preserve">CE : Entry </v>
          </cell>
          <cell r="M147" t="str">
            <v xml:space="preserve"> - </v>
          </cell>
          <cell r="N147">
            <v>0.6</v>
          </cell>
          <cell r="O147">
            <v>1</v>
          </cell>
          <cell r="AA147" t="str">
            <v>Min</v>
          </cell>
          <cell r="AE147" t="str">
            <v xml:space="preserve">CE : Entry </v>
          </cell>
          <cell r="AF147" t="str">
            <v xml:space="preserve"> + </v>
          </cell>
          <cell r="AG147">
            <v>0.6</v>
          </cell>
          <cell r="AJ147" t="str">
            <v xml:space="preserve"> + </v>
          </cell>
          <cell r="AK147" t="str">
            <v>OPT : PRV : 3DHH</v>
          </cell>
          <cell r="AL147">
            <v>0.1</v>
          </cell>
          <cell r="AM147">
            <v>1</v>
          </cell>
          <cell r="AN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V147">
            <v>0</v>
          </cell>
          <cell r="AW147">
            <v>0</v>
          </cell>
          <cell r="AY147">
            <v>0</v>
          </cell>
          <cell r="AZ147">
            <v>0</v>
          </cell>
          <cell r="BB147">
            <v>0</v>
          </cell>
          <cell r="BE147">
            <v>0.38541666666666669</v>
          </cell>
          <cell r="BK147">
            <v>7.4999999999999997E-2</v>
          </cell>
          <cell r="BL147">
            <v>0.1</v>
          </cell>
        </row>
        <row r="148">
          <cell r="B148" t="str">
            <v>S24E</v>
          </cell>
          <cell r="G148" t="str">
            <v>OPT : PRV : 3DLL</v>
          </cell>
          <cell r="H148" t="str">
            <v xml:space="preserve"> - </v>
          </cell>
          <cell r="I148">
            <v>7.4999999999999997E-2</v>
          </cell>
          <cell r="J148">
            <v>1</v>
          </cell>
          <cell r="L148" t="str">
            <v xml:space="preserve">PE : Entry </v>
          </cell>
          <cell r="M148" t="str">
            <v xml:space="preserve"> - </v>
          </cell>
          <cell r="N148">
            <v>0.6</v>
          </cell>
          <cell r="O148">
            <v>1</v>
          </cell>
          <cell r="AA148" t="str">
            <v>Min</v>
          </cell>
          <cell r="AE148" t="str">
            <v xml:space="preserve">PE : Entry </v>
          </cell>
          <cell r="AF148" t="str">
            <v xml:space="preserve"> + </v>
          </cell>
          <cell r="AG148">
            <v>0.6</v>
          </cell>
          <cell r="AJ148" t="str">
            <v xml:space="preserve"> + </v>
          </cell>
          <cell r="AK148" t="str">
            <v>OPT : PRV : 2DHH</v>
          </cell>
          <cell r="AL148">
            <v>7.0000000000000007E-2</v>
          </cell>
          <cell r="AM148">
            <v>1</v>
          </cell>
          <cell r="AN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Y148">
            <v>0</v>
          </cell>
          <cell r="AZ148">
            <v>0</v>
          </cell>
          <cell r="BB148">
            <v>0</v>
          </cell>
          <cell r="BE148">
            <v>0.64583333333333337</v>
          </cell>
          <cell r="BK148">
            <v>7.4999999999999997E-2</v>
          </cell>
          <cell r="BL148">
            <v>7.0000000000000007E-2</v>
          </cell>
        </row>
        <row r="150">
          <cell r="B150" t="str">
            <v>S25A</v>
          </cell>
          <cell r="G150" t="str">
            <v>OPT : PRV : 1D 75 Mins HH</v>
          </cell>
          <cell r="H150" t="str">
            <v xml:space="preserve"> + </v>
          </cell>
          <cell r="I150">
            <v>0.1</v>
          </cell>
          <cell r="J150">
            <v>2</v>
          </cell>
          <cell r="L150" t="str">
            <v xml:space="preserve">CE : Entry </v>
          </cell>
          <cell r="M150" t="str">
            <v xml:space="preserve"> + </v>
          </cell>
          <cell r="N150">
            <v>0.7</v>
          </cell>
          <cell r="O150">
            <v>1</v>
          </cell>
          <cell r="AA150" t="str">
            <v>Max</v>
          </cell>
          <cell r="AE150" t="str">
            <v xml:space="preserve">CE : Entry </v>
          </cell>
          <cell r="AF150" t="str">
            <v xml:space="preserve"> - </v>
          </cell>
          <cell r="AG150">
            <v>0.7</v>
          </cell>
          <cell r="AJ150" t="str">
            <v xml:space="preserve"> - </v>
          </cell>
          <cell r="AK150" t="str">
            <v>OPT : PRV : 1D 75 MinsLL</v>
          </cell>
          <cell r="AL150">
            <v>0.1</v>
          </cell>
          <cell r="AM150">
            <v>2</v>
          </cell>
          <cell r="AN150" t="str">
            <v>OPT : PRV : 1D 75 MinsLL</v>
          </cell>
          <cell r="AP150">
            <v>1</v>
          </cell>
          <cell r="AQ150">
            <v>0</v>
          </cell>
          <cell r="AS150">
            <v>1</v>
          </cell>
          <cell r="AT150">
            <v>0</v>
          </cell>
          <cell r="AV150">
            <v>1</v>
          </cell>
          <cell r="AW150">
            <v>0</v>
          </cell>
          <cell r="AY150">
            <v>1</v>
          </cell>
          <cell r="AZ150">
            <v>0</v>
          </cell>
          <cell r="BB150">
            <v>1</v>
          </cell>
          <cell r="BE150">
            <v>0.39235416666666667</v>
          </cell>
          <cell r="BF150">
            <v>0.39235416666666667</v>
          </cell>
          <cell r="BG150">
            <v>0.38541666666666669</v>
          </cell>
          <cell r="BK150">
            <v>0.1</v>
          </cell>
          <cell r="BL150">
            <v>0.1</v>
          </cell>
          <cell r="CU150">
            <v>0.625</v>
          </cell>
        </row>
        <row r="151">
          <cell r="B151" t="str">
            <v>S25B</v>
          </cell>
          <cell r="G151" t="str">
            <v>OPT : PRV : 1D 75 Mins HH</v>
          </cell>
          <cell r="H151" t="str">
            <v xml:space="preserve"> + </v>
          </cell>
          <cell r="I151">
            <v>0.1</v>
          </cell>
          <cell r="J151">
            <v>2</v>
          </cell>
          <cell r="L151" t="str">
            <v xml:space="preserve">PE : Entry </v>
          </cell>
          <cell r="M151" t="str">
            <v xml:space="preserve"> + </v>
          </cell>
          <cell r="N151">
            <v>0.7</v>
          </cell>
          <cell r="O151">
            <v>1</v>
          </cell>
          <cell r="AA151" t="str">
            <v>Max</v>
          </cell>
          <cell r="AE151" t="str">
            <v xml:space="preserve">PE : Entry </v>
          </cell>
          <cell r="AF151" t="str">
            <v xml:space="preserve"> - </v>
          </cell>
          <cell r="AG151">
            <v>0.7</v>
          </cell>
          <cell r="AJ151" t="str">
            <v xml:space="preserve"> - </v>
          </cell>
          <cell r="AK151" t="str">
            <v>OPT : PRV : 1D 75 MinsLL</v>
          </cell>
          <cell r="AL151">
            <v>0.1</v>
          </cell>
          <cell r="AM151">
            <v>2</v>
          </cell>
          <cell r="AN151" t="str">
            <v>OPT : PRV : 1D 75 MinsLL</v>
          </cell>
          <cell r="AP151">
            <v>1</v>
          </cell>
          <cell r="AQ151">
            <v>0</v>
          </cell>
          <cell r="AS151">
            <v>1</v>
          </cell>
          <cell r="AT151">
            <v>0</v>
          </cell>
          <cell r="AV151">
            <v>1</v>
          </cell>
          <cell r="AW151">
            <v>0</v>
          </cell>
          <cell r="AY151">
            <v>1</v>
          </cell>
          <cell r="AZ151">
            <v>0</v>
          </cell>
          <cell r="BB151">
            <v>1</v>
          </cell>
          <cell r="BE151">
            <v>0.39582638888888888</v>
          </cell>
          <cell r="BF151">
            <v>0.39582638888888888</v>
          </cell>
          <cell r="BG151" t="str">
            <v>N.A.</v>
          </cell>
          <cell r="BK151">
            <v>0.1</v>
          </cell>
          <cell r="BL151">
            <v>0.1</v>
          </cell>
        </row>
        <row r="152">
          <cell r="B152" t="str">
            <v>S25C</v>
          </cell>
        </row>
        <row r="153">
          <cell r="B153" t="str">
            <v>S25D</v>
          </cell>
          <cell r="G153" t="str">
            <v>OPT : PRV : 1D 75 Mins HH</v>
          </cell>
          <cell r="H153" t="str">
            <v xml:space="preserve"> + </v>
          </cell>
          <cell r="I153">
            <v>0.1</v>
          </cell>
          <cell r="J153">
            <v>2</v>
          </cell>
          <cell r="L153" t="str">
            <v xml:space="preserve">CE : Entry </v>
          </cell>
          <cell r="M153" t="str">
            <v xml:space="preserve"> + </v>
          </cell>
          <cell r="N153">
            <v>0.7</v>
          </cell>
          <cell r="O153">
            <v>1</v>
          </cell>
          <cell r="AA153" t="str">
            <v>Max</v>
          </cell>
          <cell r="AE153" t="str">
            <v xml:space="preserve">CE : Entry </v>
          </cell>
          <cell r="AF153" t="str">
            <v xml:space="preserve"> - </v>
          </cell>
          <cell r="AG153">
            <v>0.7</v>
          </cell>
          <cell r="AJ153" t="str">
            <v xml:space="preserve"> - </v>
          </cell>
          <cell r="AK153" t="str">
            <v>OPT : PRV : 1D 75 MinsLL</v>
          </cell>
          <cell r="AL153">
            <v>0.1</v>
          </cell>
          <cell r="AM153">
            <v>2</v>
          </cell>
          <cell r="AN153" t="str">
            <v>OPT : PRV : 1D 75 MinsLL</v>
          </cell>
          <cell r="AP153">
            <v>1</v>
          </cell>
          <cell r="AQ153">
            <v>0</v>
          </cell>
          <cell r="AS153">
            <v>1</v>
          </cell>
          <cell r="AT153">
            <v>0</v>
          </cell>
          <cell r="AV153">
            <v>1</v>
          </cell>
          <cell r="AW153">
            <v>0</v>
          </cell>
          <cell r="AY153">
            <v>1</v>
          </cell>
          <cell r="AZ153">
            <v>0</v>
          </cell>
          <cell r="BB153">
            <v>1</v>
          </cell>
          <cell r="BE153">
            <v>0.38541666666666669</v>
          </cell>
          <cell r="BK153">
            <v>0.1</v>
          </cell>
          <cell r="BL153">
            <v>0.1</v>
          </cell>
        </row>
        <row r="154">
          <cell r="B154" t="str">
            <v>S25E</v>
          </cell>
          <cell r="G154" t="str">
            <v>OPT : PRV : 1D 75 Mins HH</v>
          </cell>
          <cell r="H154" t="str">
            <v xml:space="preserve"> + </v>
          </cell>
          <cell r="I154">
            <v>0.1</v>
          </cell>
          <cell r="J154">
            <v>2</v>
          </cell>
          <cell r="L154" t="str">
            <v xml:space="preserve">PE : Entry </v>
          </cell>
          <cell r="M154" t="str">
            <v xml:space="preserve"> + </v>
          </cell>
          <cell r="N154">
            <v>0.7</v>
          </cell>
          <cell r="O154">
            <v>1</v>
          </cell>
          <cell r="AA154" t="str">
            <v>Max</v>
          </cell>
          <cell r="AE154" t="str">
            <v xml:space="preserve">PE : Entry </v>
          </cell>
          <cell r="AF154" t="str">
            <v xml:space="preserve"> - </v>
          </cell>
          <cell r="AG154">
            <v>0.7</v>
          </cell>
          <cell r="AJ154" t="str">
            <v xml:space="preserve"> - </v>
          </cell>
          <cell r="AK154" t="str">
            <v>OPT : PRV : 1D 75 MinsLL</v>
          </cell>
          <cell r="AL154">
            <v>0.1</v>
          </cell>
          <cell r="AM154">
            <v>2</v>
          </cell>
          <cell r="AN154" t="str">
            <v>OPT : PRV : 1D 75 MinsLL</v>
          </cell>
          <cell r="AP154">
            <v>1</v>
          </cell>
          <cell r="AQ154">
            <v>0</v>
          </cell>
          <cell r="AS154">
            <v>1</v>
          </cell>
          <cell r="AT154">
            <v>0</v>
          </cell>
          <cell r="AV154">
            <v>1</v>
          </cell>
          <cell r="AW154">
            <v>0</v>
          </cell>
          <cell r="AY154">
            <v>1</v>
          </cell>
          <cell r="AZ154">
            <v>0</v>
          </cell>
          <cell r="BB154">
            <v>1</v>
          </cell>
          <cell r="BE154">
            <v>0.64583333333333337</v>
          </cell>
          <cell r="BK154">
            <v>0.1</v>
          </cell>
          <cell r="BL154">
            <v>0.1</v>
          </cell>
        </row>
        <row r="156">
          <cell r="B156" t="str">
            <v>S26A</v>
          </cell>
          <cell r="G156" t="str">
            <v>OPT : PRV : 2D HH</v>
          </cell>
          <cell r="H156" t="str">
            <v xml:space="preserve"> + </v>
          </cell>
          <cell r="I156">
            <v>0.05</v>
          </cell>
          <cell r="J156">
            <v>5</v>
          </cell>
          <cell r="L156" t="str">
            <v xml:space="preserve">CE : Entry </v>
          </cell>
          <cell r="M156" t="str">
            <v xml:space="preserve"> + </v>
          </cell>
          <cell r="N156">
            <v>0.03</v>
          </cell>
          <cell r="O156">
            <v>1</v>
          </cell>
          <cell r="P156">
            <v>4.4999999999999998E-2</v>
          </cell>
          <cell r="Q156">
            <v>1</v>
          </cell>
          <cell r="R156">
            <v>0.06</v>
          </cell>
          <cell r="S156">
            <v>1</v>
          </cell>
          <cell r="T156">
            <v>0.08</v>
          </cell>
          <cell r="U156">
            <v>1</v>
          </cell>
          <cell r="V156" t="str">
            <v>TR PROFIT AFTER TGT 4</v>
          </cell>
          <cell r="W156">
            <v>1</v>
          </cell>
          <cell r="AA156" t="str">
            <v>Max</v>
          </cell>
          <cell r="AE156" t="str">
            <v xml:space="preserve">CE : Entry </v>
          </cell>
          <cell r="AF156" t="str">
            <v xml:space="preserve"> - </v>
          </cell>
          <cell r="AG156">
            <v>0.03</v>
          </cell>
          <cell r="AJ156" t="str">
            <v xml:space="preserve"> - </v>
          </cell>
          <cell r="AK156" t="str">
            <v>OPT : PRV : 3DLL</v>
          </cell>
          <cell r="AL156">
            <v>0.12</v>
          </cell>
          <cell r="AM156">
            <v>5</v>
          </cell>
          <cell r="AN156" t="str">
            <v>OPT : PRV : 3DLL</v>
          </cell>
          <cell r="AO156">
            <v>0.12</v>
          </cell>
          <cell r="AP156">
            <v>4</v>
          </cell>
          <cell r="AQ156" t="str">
            <v>OPT : PRV : 3DLL</v>
          </cell>
          <cell r="AR156">
            <v>0.12</v>
          </cell>
          <cell r="AS156">
            <v>3</v>
          </cell>
          <cell r="AT156" t="str">
            <v>OPT : PRV : 3DLL</v>
          </cell>
          <cell r="AU156">
            <v>0.12</v>
          </cell>
          <cell r="AV156">
            <v>2</v>
          </cell>
          <cell r="AW156" t="str">
            <v>OPT : PRV : 3DLL</v>
          </cell>
          <cell r="AX156">
            <v>0.12</v>
          </cell>
          <cell r="AY156">
            <v>1</v>
          </cell>
          <cell r="AZ156">
            <v>0</v>
          </cell>
          <cell r="BB156">
            <v>0</v>
          </cell>
          <cell r="BE156">
            <v>0.39235416666666667</v>
          </cell>
          <cell r="BF156">
            <v>0.39235416666666667</v>
          </cell>
          <cell r="BG156">
            <v>0.38541666666666669</v>
          </cell>
          <cell r="BK156">
            <v>0.05</v>
          </cell>
          <cell r="BL156">
            <v>0.12</v>
          </cell>
          <cell r="CU156">
            <v>0.625</v>
          </cell>
        </row>
        <row r="157">
          <cell r="B157" t="str">
            <v>S26B</v>
          </cell>
          <cell r="G157" t="str">
            <v>OPT : PRV : 4D HH</v>
          </cell>
          <cell r="H157" t="str">
            <v xml:space="preserve"> + </v>
          </cell>
          <cell r="I157">
            <v>7.0000000000000007E-2</v>
          </cell>
          <cell r="J157">
            <v>5</v>
          </cell>
          <cell r="L157" t="str">
            <v xml:space="preserve">PE : Entry </v>
          </cell>
          <cell r="M157" t="str">
            <v xml:space="preserve"> + </v>
          </cell>
          <cell r="N157">
            <v>0.03</v>
          </cell>
          <cell r="O157">
            <v>1</v>
          </cell>
          <cell r="P157">
            <v>4.4999999999999998E-2</v>
          </cell>
          <cell r="Q157">
            <v>1</v>
          </cell>
          <cell r="R157">
            <v>0.06</v>
          </cell>
          <cell r="S157">
            <v>1</v>
          </cell>
          <cell r="T157">
            <v>0.08</v>
          </cell>
          <cell r="U157">
            <v>1</v>
          </cell>
          <cell r="V157" t="str">
            <v>TR PROFIT AFTER TGT 4</v>
          </cell>
          <cell r="W157">
            <v>1</v>
          </cell>
          <cell r="AA157" t="str">
            <v>Max</v>
          </cell>
          <cell r="AE157" t="str">
            <v xml:space="preserve">PE : Entry </v>
          </cell>
          <cell r="AF157" t="str">
            <v xml:space="preserve"> - </v>
          </cell>
          <cell r="AG157">
            <v>0.03</v>
          </cell>
          <cell r="AJ157" t="str">
            <v xml:space="preserve"> - </v>
          </cell>
          <cell r="AK157" t="str">
            <v>OPT : PRV : 2DLL</v>
          </cell>
          <cell r="AL157">
            <v>0.1</v>
          </cell>
          <cell r="AM157">
            <v>5</v>
          </cell>
          <cell r="AN157" t="str">
            <v>OPT : PRV : 2DLL</v>
          </cell>
          <cell r="AO157">
            <v>0.1</v>
          </cell>
          <cell r="AP157">
            <v>4</v>
          </cell>
          <cell r="AQ157" t="str">
            <v>OPT : PRV : 2DLL</v>
          </cell>
          <cell r="AR157">
            <v>0.1</v>
          </cell>
          <cell r="AS157">
            <v>3</v>
          </cell>
          <cell r="AT157" t="str">
            <v>OPT : PRV : 2DLL</v>
          </cell>
          <cell r="AU157">
            <v>0.1</v>
          </cell>
          <cell r="AV157">
            <v>2</v>
          </cell>
          <cell r="AW157" t="str">
            <v>OPT : PRV : 2DLL</v>
          </cell>
          <cell r="AX157">
            <v>0.1</v>
          </cell>
          <cell r="AY157">
            <v>1</v>
          </cell>
          <cell r="AZ157">
            <v>0</v>
          </cell>
          <cell r="BB157">
            <v>0</v>
          </cell>
          <cell r="BE157">
            <v>0.39582638888888888</v>
          </cell>
          <cell r="BF157">
            <v>0.39582638888888888</v>
          </cell>
          <cell r="BG157" t="str">
            <v>N.A.</v>
          </cell>
          <cell r="BK157">
            <v>7.0000000000000007E-2</v>
          </cell>
          <cell r="BL157">
            <v>0.1</v>
          </cell>
        </row>
        <row r="158">
          <cell r="B158" t="str">
            <v>S26C</v>
          </cell>
        </row>
        <row r="159">
          <cell r="B159" t="str">
            <v>S26D</v>
          </cell>
          <cell r="G159" t="str">
            <v>OPT : PRV : 4D HH</v>
          </cell>
          <cell r="H159" t="str">
            <v xml:space="preserve"> + </v>
          </cell>
          <cell r="I159">
            <v>7.0000000000000007E-2</v>
          </cell>
          <cell r="J159">
            <v>5</v>
          </cell>
          <cell r="L159" t="str">
            <v xml:space="preserve">CE : Entry </v>
          </cell>
          <cell r="M159" t="str">
            <v xml:space="preserve"> + </v>
          </cell>
          <cell r="N159">
            <v>0.03</v>
          </cell>
          <cell r="O159">
            <v>1</v>
          </cell>
          <cell r="P159">
            <v>4.4999999999999998E-2</v>
          </cell>
          <cell r="Q159">
            <v>1</v>
          </cell>
          <cell r="R159">
            <v>0.06</v>
          </cell>
          <cell r="S159">
            <v>1</v>
          </cell>
          <cell r="T159">
            <v>0.08</v>
          </cell>
          <cell r="U159">
            <v>1</v>
          </cell>
          <cell r="V159" t="str">
            <v>TR PROFIT AFTER TGT 4</v>
          </cell>
          <cell r="W159">
            <v>1</v>
          </cell>
          <cell r="AA159" t="str">
            <v>Max</v>
          </cell>
          <cell r="AE159" t="str">
            <v xml:space="preserve">CE : Entry </v>
          </cell>
          <cell r="AF159" t="str">
            <v xml:space="preserve"> - </v>
          </cell>
          <cell r="AG159">
            <v>0.03</v>
          </cell>
          <cell r="AJ159" t="str">
            <v xml:space="preserve"> - </v>
          </cell>
          <cell r="AK159" t="str">
            <v>OPT : PRV : 2DLL</v>
          </cell>
          <cell r="AL159">
            <v>0.1</v>
          </cell>
          <cell r="AM159">
            <v>5</v>
          </cell>
          <cell r="AN159" t="str">
            <v>OPT : PRV : 2DLL</v>
          </cell>
          <cell r="AO159">
            <v>0.1</v>
          </cell>
          <cell r="AP159">
            <v>4</v>
          </cell>
          <cell r="AQ159" t="str">
            <v>OPT : PRV : 2DLL</v>
          </cell>
          <cell r="AR159">
            <v>0.1</v>
          </cell>
          <cell r="AS159">
            <v>3</v>
          </cell>
          <cell r="AT159" t="str">
            <v>OPT : PRV : 2DLL</v>
          </cell>
          <cell r="AU159">
            <v>0.1</v>
          </cell>
          <cell r="AV159">
            <v>2</v>
          </cell>
          <cell r="AW159" t="str">
            <v>OPT : PRV : 2DLL</v>
          </cell>
          <cell r="AX159">
            <v>0.1</v>
          </cell>
          <cell r="AY159">
            <v>1</v>
          </cell>
          <cell r="AZ159">
            <v>0</v>
          </cell>
          <cell r="BB159">
            <v>0</v>
          </cell>
          <cell r="BE159">
            <v>0.38541666666666669</v>
          </cell>
          <cell r="BK159">
            <v>7.0000000000000007E-2</v>
          </cell>
          <cell r="BL159">
            <v>0.1</v>
          </cell>
        </row>
        <row r="160">
          <cell r="B160" t="str">
            <v>S26E</v>
          </cell>
          <cell r="G160" t="str">
            <v>OPT : PRV : 2D HH</v>
          </cell>
          <cell r="H160" t="str">
            <v xml:space="preserve"> + </v>
          </cell>
          <cell r="I160">
            <v>0.05</v>
          </cell>
          <cell r="J160">
            <v>5</v>
          </cell>
          <cell r="L160" t="str">
            <v xml:space="preserve">PE : Entry </v>
          </cell>
          <cell r="M160" t="str">
            <v xml:space="preserve"> + </v>
          </cell>
          <cell r="N160">
            <v>0.03</v>
          </cell>
          <cell r="O160">
            <v>1</v>
          </cell>
          <cell r="P160">
            <v>4.4999999999999998E-2</v>
          </cell>
          <cell r="Q160">
            <v>1</v>
          </cell>
          <cell r="R160">
            <v>0.06</v>
          </cell>
          <cell r="S160">
            <v>1</v>
          </cell>
          <cell r="T160">
            <v>0.08</v>
          </cell>
          <cell r="U160">
            <v>1</v>
          </cell>
          <cell r="V160" t="str">
            <v>TR PROFIT AFTER TGT 4</v>
          </cell>
          <cell r="W160">
            <v>1</v>
          </cell>
          <cell r="AA160" t="str">
            <v>Max</v>
          </cell>
          <cell r="AE160" t="str">
            <v xml:space="preserve">PE : Entry </v>
          </cell>
          <cell r="AF160" t="str">
            <v xml:space="preserve"> - </v>
          </cell>
          <cell r="AG160">
            <v>0.03</v>
          </cell>
          <cell r="AJ160" t="str">
            <v xml:space="preserve"> - </v>
          </cell>
          <cell r="AK160" t="str">
            <v>OPT : PRV : 3DLL</v>
          </cell>
          <cell r="AL160">
            <v>0.12</v>
          </cell>
          <cell r="AM160">
            <v>5</v>
          </cell>
          <cell r="AN160" t="str">
            <v>OPT : PRV : 3DLL</v>
          </cell>
          <cell r="AO160">
            <v>0.12</v>
          </cell>
          <cell r="AP160">
            <v>4</v>
          </cell>
          <cell r="AQ160" t="str">
            <v>OPT : PRV : 3DLL</v>
          </cell>
          <cell r="AR160">
            <v>0.12</v>
          </cell>
          <cell r="AS160">
            <v>3</v>
          </cell>
          <cell r="AT160" t="str">
            <v>OPT : PRV : 3DLL</v>
          </cell>
          <cell r="AU160">
            <v>0.12</v>
          </cell>
          <cell r="AV160">
            <v>2</v>
          </cell>
          <cell r="AW160" t="str">
            <v>OPT : PRV : 3DLL</v>
          </cell>
          <cell r="AX160">
            <v>0.12</v>
          </cell>
          <cell r="AY160">
            <v>1</v>
          </cell>
          <cell r="AZ160">
            <v>0</v>
          </cell>
          <cell r="BB160">
            <v>0</v>
          </cell>
          <cell r="BE160">
            <v>0.64583333333333337</v>
          </cell>
          <cell r="BK160">
            <v>0.05</v>
          </cell>
          <cell r="BL160">
            <v>0.12</v>
          </cell>
        </row>
        <row r="162">
          <cell r="B162" t="str">
            <v>S27A</v>
          </cell>
          <cell r="G162" t="str">
            <v>OPT : PRV : 2D HH</v>
          </cell>
          <cell r="H162" t="str">
            <v xml:space="preserve"> + </v>
          </cell>
          <cell r="I162">
            <v>0.05</v>
          </cell>
          <cell r="J162">
            <v>5</v>
          </cell>
          <cell r="L162" t="str">
            <v xml:space="preserve">CE : Entry </v>
          </cell>
          <cell r="M162" t="str">
            <v xml:space="preserve"> + </v>
          </cell>
          <cell r="N162">
            <v>0.03</v>
          </cell>
          <cell r="O162">
            <v>1</v>
          </cell>
          <cell r="P162">
            <v>4.4999999999999998E-2</v>
          </cell>
          <cell r="Q162">
            <v>1</v>
          </cell>
          <cell r="R162">
            <v>0.06</v>
          </cell>
          <cell r="S162">
            <v>1</v>
          </cell>
          <cell r="T162">
            <v>0.08</v>
          </cell>
          <cell r="U162">
            <v>1</v>
          </cell>
          <cell r="V162" t="str">
            <v>TR PROFIT AFTER TGT 4</v>
          </cell>
          <cell r="W162">
            <v>1</v>
          </cell>
          <cell r="AA162" t="str">
            <v>Max</v>
          </cell>
          <cell r="AE162" t="str">
            <v xml:space="preserve">CE : Entry </v>
          </cell>
          <cell r="AF162" t="str">
            <v xml:space="preserve"> - </v>
          </cell>
          <cell r="AG162">
            <v>0.03</v>
          </cell>
          <cell r="AJ162" t="str">
            <v xml:space="preserve"> - </v>
          </cell>
          <cell r="AM162">
            <v>5</v>
          </cell>
          <cell r="AP162">
            <v>4</v>
          </cell>
          <cell r="AS162">
            <v>3</v>
          </cell>
          <cell r="AV162">
            <v>2</v>
          </cell>
          <cell r="AY162">
            <v>1</v>
          </cell>
          <cell r="BE162">
            <v>0.39235416666666667</v>
          </cell>
          <cell r="BF162">
            <v>0.39235416666666667</v>
          </cell>
          <cell r="BG162">
            <v>0.38541666666666669</v>
          </cell>
          <cell r="BK162">
            <v>0.05</v>
          </cell>
          <cell r="CU162">
            <v>0.625</v>
          </cell>
        </row>
        <row r="163">
          <cell r="B163" t="str">
            <v>S27B</v>
          </cell>
          <cell r="AM163">
            <v>0</v>
          </cell>
          <cell r="BE163">
            <v>0.39582638888888888</v>
          </cell>
          <cell r="BF163">
            <v>0.39582638888888888</v>
          </cell>
          <cell r="BG163" t="str">
            <v>N.A.</v>
          </cell>
        </row>
        <row r="164">
          <cell r="B164" t="str">
            <v>S27C</v>
          </cell>
        </row>
        <row r="165">
          <cell r="B165" t="str">
            <v>S27D</v>
          </cell>
          <cell r="AM165">
            <v>0</v>
          </cell>
          <cell r="BE165">
            <v>0.38541666666666669</v>
          </cell>
        </row>
        <row r="166">
          <cell r="B166" t="str">
            <v>S27E</v>
          </cell>
          <cell r="G166" t="str">
            <v>OPT : PRV : 2D HH</v>
          </cell>
          <cell r="H166" t="str">
            <v xml:space="preserve"> + </v>
          </cell>
          <cell r="I166">
            <v>0.05</v>
          </cell>
          <cell r="J166">
            <v>5</v>
          </cell>
          <cell r="L166" t="str">
            <v xml:space="preserve">PE : Entry </v>
          </cell>
          <cell r="M166" t="str">
            <v xml:space="preserve"> + </v>
          </cell>
          <cell r="N166">
            <v>0.03</v>
          </cell>
          <cell r="O166">
            <v>1</v>
          </cell>
          <cell r="P166">
            <v>4.4999999999999998E-2</v>
          </cell>
          <cell r="Q166">
            <v>1</v>
          </cell>
          <cell r="R166">
            <v>0.06</v>
          </cell>
          <cell r="S166">
            <v>1</v>
          </cell>
          <cell r="T166">
            <v>0.08</v>
          </cell>
          <cell r="U166">
            <v>1</v>
          </cell>
          <cell r="V166" t="str">
            <v>TR PROFIT AFTER TGT 4</v>
          </cell>
          <cell r="W166">
            <v>1</v>
          </cell>
          <cell r="AA166" t="str">
            <v>Max</v>
          </cell>
          <cell r="AE166" t="str">
            <v xml:space="preserve">PE : Entry </v>
          </cell>
          <cell r="AF166" t="str">
            <v xml:space="preserve"> - </v>
          </cell>
          <cell r="AG166">
            <v>0.03</v>
          </cell>
          <cell r="AJ166" t="str">
            <v xml:space="preserve"> - </v>
          </cell>
          <cell r="AM166">
            <v>5</v>
          </cell>
          <cell r="AP166">
            <v>4</v>
          </cell>
          <cell r="AS166">
            <v>3</v>
          </cell>
          <cell r="AV166">
            <v>2</v>
          </cell>
          <cell r="AY166">
            <v>1</v>
          </cell>
          <cell r="BE166">
            <v>0.64583333333333337</v>
          </cell>
          <cell r="BK166">
            <v>0.05</v>
          </cell>
        </row>
        <row r="168">
          <cell r="B168" t="str">
            <v>S28A</v>
          </cell>
          <cell r="G168" t="str">
            <v>SPT : DCC HH</v>
          </cell>
          <cell r="H168" t="str">
            <v xml:space="preserve"> + </v>
          </cell>
          <cell r="I168">
            <v>0.01</v>
          </cell>
          <cell r="J168">
            <v>1</v>
          </cell>
          <cell r="L168" t="str">
            <v xml:space="preserve">L : Entry </v>
          </cell>
          <cell r="M168" t="str">
            <v xml:space="preserve"> + </v>
          </cell>
          <cell r="N168">
            <v>0.125</v>
          </cell>
          <cell r="O168">
            <v>0.2</v>
          </cell>
          <cell r="P168">
            <v>0.25</v>
          </cell>
          <cell r="Q168">
            <v>0.2</v>
          </cell>
          <cell r="R168">
            <v>0.5</v>
          </cell>
          <cell r="S168">
            <v>0.1</v>
          </cell>
          <cell r="T168">
            <v>0.75</v>
          </cell>
          <cell r="U168">
            <v>0.1</v>
          </cell>
          <cell r="V168">
            <v>1</v>
          </cell>
          <cell r="W168">
            <v>0.1</v>
          </cell>
          <cell r="X168" t="str">
            <v>TR PROFIT AFTER TGT 5</v>
          </cell>
          <cell r="Y168">
            <v>0.3</v>
          </cell>
          <cell r="AA168" t="str">
            <v>Max</v>
          </cell>
          <cell r="AE168" t="str">
            <v>L : Entry</v>
          </cell>
          <cell r="AF168" t="str">
            <v xml:space="preserve"> - </v>
          </cell>
          <cell r="AG168">
            <v>0.25</v>
          </cell>
          <cell r="AJ168" t="str">
            <v xml:space="preserve"> - </v>
          </cell>
          <cell r="AK168" t="str">
            <v>SPT : PRV M : 20 SMA</v>
          </cell>
          <cell r="AM168">
            <v>1</v>
          </cell>
          <cell r="AN168" t="str">
            <v>SPT : PRV M : 20 SMA</v>
          </cell>
          <cell r="AO168" t="str">
            <v/>
          </cell>
          <cell r="AP168">
            <v>0.8</v>
          </cell>
          <cell r="AQ168" t="str">
            <v>SPT : PRV M : 20 SMA</v>
          </cell>
          <cell r="AR168" t="str">
            <v/>
          </cell>
          <cell r="AS168">
            <v>0.60000000000000009</v>
          </cell>
          <cell r="AT168" t="str">
            <v>SPT : PRV M : 20 SMA</v>
          </cell>
          <cell r="AU168" t="str">
            <v/>
          </cell>
          <cell r="AV168">
            <v>0.50000000000000011</v>
          </cell>
          <cell r="AW168" t="str">
            <v>SPT : PRV M : 20 SMA</v>
          </cell>
          <cell r="AX168" t="str">
            <v/>
          </cell>
          <cell r="AY168">
            <v>0.40000000000000013</v>
          </cell>
          <cell r="AZ168" t="str">
            <v>SPT : PRV M : 10 SMA</v>
          </cell>
          <cell r="BB168">
            <v>0.30000000000000016</v>
          </cell>
          <cell r="BE168">
            <v>0.38888194444444446</v>
          </cell>
          <cell r="BF168">
            <v>0.38888194444444446</v>
          </cell>
          <cell r="BG168">
            <v>0.38541666666666669</v>
          </cell>
          <cell r="BK168">
            <v>0.01</v>
          </cell>
          <cell r="BL168">
            <v>0.01</v>
          </cell>
          <cell r="CU168" t="str">
            <v/>
          </cell>
        </row>
        <row r="169">
          <cell r="B169" t="str">
            <v>S28B</v>
          </cell>
          <cell r="G169" t="str">
            <v/>
          </cell>
          <cell r="H169" t="str">
            <v/>
          </cell>
          <cell r="L169" t="str">
            <v/>
          </cell>
          <cell r="M169" t="str">
            <v/>
          </cell>
          <cell r="AA169" t="str">
            <v/>
          </cell>
          <cell r="AE169" t="str">
            <v/>
          </cell>
          <cell r="AF169" t="str">
            <v/>
          </cell>
          <cell r="AJ169" t="str">
            <v/>
          </cell>
          <cell r="AK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 t="str">
            <v/>
          </cell>
          <cell r="AU169" t="str">
            <v/>
          </cell>
          <cell r="AV169" t="str">
            <v/>
          </cell>
          <cell r="AW169" t="str">
            <v/>
          </cell>
          <cell r="AX169" t="str">
            <v/>
          </cell>
          <cell r="AY169" t="str">
            <v/>
          </cell>
          <cell r="AZ169" t="str">
            <v/>
          </cell>
          <cell r="BB169" t="str">
            <v/>
          </cell>
          <cell r="BE169">
            <v>0.39582638888888888</v>
          </cell>
          <cell r="BF169">
            <v>0.39582638888888888</v>
          </cell>
          <cell r="BG169" t="str">
            <v>N.A.</v>
          </cell>
        </row>
        <row r="170">
          <cell r="B170" t="str">
            <v>S28C</v>
          </cell>
        </row>
        <row r="171">
          <cell r="B171" t="str">
            <v>S28D</v>
          </cell>
          <cell r="G171" t="str">
            <v/>
          </cell>
          <cell r="H171" t="str">
            <v/>
          </cell>
          <cell r="L171" t="str">
            <v/>
          </cell>
          <cell r="M171" t="str">
            <v/>
          </cell>
          <cell r="AA171" t="str">
            <v/>
          </cell>
          <cell r="AE171" t="str">
            <v/>
          </cell>
          <cell r="AF171" t="str">
            <v/>
          </cell>
          <cell r="AJ171" t="str">
            <v/>
          </cell>
          <cell r="AK171" t="str">
            <v/>
          </cell>
          <cell r="AM171">
            <v>0</v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 t="str">
            <v/>
          </cell>
          <cell r="BB171" t="str">
            <v/>
          </cell>
          <cell r="BE171">
            <v>0.38541666666666669</v>
          </cell>
        </row>
        <row r="172">
          <cell r="B172" t="str">
            <v>S28E</v>
          </cell>
          <cell r="G172" t="str">
            <v/>
          </cell>
          <cell r="H172" t="str">
            <v/>
          </cell>
          <cell r="L172" t="str">
            <v/>
          </cell>
          <cell r="M172" t="str">
            <v/>
          </cell>
          <cell r="AA172" t="str">
            <v/>
          </cell>
          <cell r="AE172" t="str">
            <v/>
          </cell>
          <cell r="AF172" t="str">
            <v/>
          </cell>
          <cell r="AJ172" t="str">
            <v/>
          </cell>
          <cell r="AK172" t="str">
            <v/>
          </cell>
          <cell r="AM172">
            <v>0</v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 t="str">
            <v/>
          </cell>
          <cell r="BB172" t="str">
            <v/>
          </cell>
          <cell r="BE172">
            <v>0.64583333333333337</v>
          </cell>
        </row>
        <row r="174">
          <cell r="B174" t="str">
            <v>S29A</v>
          </cell>
          <cell r="G174" t="str">
            <v>SPT : WCC HH</v>
          </cell>
          <cell r="H174" t="str">
            <v xml:space="preserve"> + </v>
          </cell>
          <cell r="I174">
            <v>0.01</v>
          </cell>
          <cell r="J174">
            <v>1</v>
          </cell>
          <cell r="L174" t="str">
            <v xml:space="preserve">L : Entry </v>
          </cell>
          <cell r="M174" t="str">
            <v xml:space="preserve"> + </v>
          </cell>
          <cell r="N174">
            <v>0.125</v>
          </cell>
          <cell r="O174">
            <v>0.2</v>
          </cell>
          <cell r="P174">
            <v>0.25</v>
          </cell>
          <cell r="Q174">
            <v>0.2</v>
          </cell>
          <cell r="R174">
            <v>0.5</v>
          </cell>
          <cell r="S174">
            <v>0.1</v>
          </cell>
          <cell r="T174">
            <v>0.75</v>
          </cell>
          <cell r="U174">
            <v>0.1</v>
          </cell>
          <cell r="V174">
            <v>1</v>
          </cell>
          <cell r="W174">
            <v>0.1</v>
          </cell>
          <cell r="X174" t="str">
            <v>TR PROFIT AFTER TGT 5</v>
          </cell>
          <cell r="Y174">
            <v>0.3</v>
          </cell>
          <cell r="AA174" t="str">
            <v>Max</v>
          </cell>
          <cell r="AE174" t="str">
            <v>L : Entry</v>
          </cell>
          <cell r="AF174" t="str">
            <v xml:space="preserve"> - </v>
          </cell>
          <cell r="AG174">
            <v>0.25</v>
          </cell>
          <cell r="AJ174" t="str">
            <v xml:space="preserve"> - </v>
          </cell>
          <cell r="AK174" t="str">
            <v>SPT : PRV M : 20 SMA</v>
          </cell>
          <cell r="AL174" t="str">
            <v/>
          </cell>
          <cell r="AM174">
            <v>1</v>
          </cell>
          <cell r="AN174" t="str">
            <v>SPT : PRV M : 20 SMA</v>
          </cell>
          <cell r="AO174" t="str">
            <v/>
          </cell>
          <cell r="AP174">
            <v>0.8</v>
          </cell>
          <cell r="AQ174" t="str">
            <v>SPT : PRV M : 20 SMA</v>
          </cell>
          <cell r="AR174" t="str">
            <v/>
          </cell>
          <cell r="AS174">
            <v>0.60000000000000009</v>
          </cell>
          <cell r="AT174" t="str">
            <v>SPT : PRV M : 20 SMA</v>
          </cell>
          <cell r="AU174" t="str">
            <v/>
          </cell>
          <cell r="AV174">
            <v>0.50000000000000011</v>
          </cell>
          <cell r="AW174" t="str">
            <v>SPT : PRV M : 20 SMA</v>
          </cell>
          <cell r="AX174" t="str">
            <v/>
          </cell>
          <cell r="AY174">
            <v>0.40000000000000013</v>
          </cell>
          <cell r="AZ174" t="str">
            <v>SPT : PRV M : 10 SMA</v>
          </cell>
          <cell r="BB174">
            <v>0.30000000000000016</v>
          </cell>
          <cell r="BE174">
            <v>0.38888194444444446</v>
          </cell>
          <cell r="BF174">
            <v>0.38888194444444446</v>
          </cell>
          <cell r="BG174">
            <v>0.38541666666666669</v>
          </cell>
          <cell r="BK174">
            <v>0.01</v>
          </cell>
          <cell r="BL174">
            <v>0.01</v>
          </cell>
          <cell r="CU174" t="str">
            <v/>
          </cell>
        </row>
        <row r="175">
          <cell r="B175" t="str">
            <v>S29B</v>
          </cell>
          <cell r="G175" t="str">
            <v/>
          </cell>
          <cell r="H175" t="str">
            <v/>
          </cell>
          <cell r="L175" t="str">
            <v/>
          </cell>
          <cell r="M175" t="str">
            <v/>
          </cell>
          <cell r="AA175" t="str">
            <v/>
          </cell>
          <cell r="AE175" t="str">
            <v/>
          </cell>
          <cell r="AF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/>
          </cell>
          <cell r="AY175" t="str">
            <v/>
          </cell>
          <cell r="AZ175" t="str">
            <v/>
          </cell>
          <cell r="BB175" t="str">
            <v/>
          </cell>
          <cell r="BE175">
            <v>0.39582638888888888</v>
          </cell>
          <cell r="BF175">
            <v>0.39582638888888888</v>
          </cell>
          <cell r="BG175" t="str">
            <v>N.A.</v>
          </cell>
        </row>
        <row r="176">
          <cell r="B176" t="str">
            <v>S29C</v>
          </cell>
        </row>
        <row r="177">
          <cell r="B177" t="str">
            <v>S29D</v>
          </cell>
          <cell r="G177" t="str">
            <v/>
          </cell>
          <cell r="H177" t="str">
            <v/>
          </cell>
          <cell r="L177" t="str">
            <v/>
          </cell>
          <cell r="M177" t="str">
            <v/>
          </cell>
          <cell r="AA177" t="str">
            <v/>
          </cell>
          <cell r="AE177" t="str">
            <v/>
          </cell>
          <cell r="AF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>
            <v>0</v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/>
          </cell>
          <cell r="AY177" t="str">
            <v/>
          </cell>
          <cell r="AZ177" t="str">
            <v/>
          </cell>
          <cell r="BB177" t="str">
            <v/>
          </cell>
          <cell r="BE177">
            <v>0.38541666666666669</v>
          </cell>
        </row>
        <row r="178">
          <cell r="B178" t="str">
            <v>S29E</v>
          </cell>
          <cell r="G178" t="str">
            <v/>
          </cell>
          <cell r="H178" t="str">
            <v/>
          </cell>
          <cell r="L178" t="str">
            <v/>
          </cell>
          <cell r="M178" t="str">
            <v/>
          </cell>
          <cell r="AA178" t="str">
            <v/>
          </cell>
          <cell r="AE178" t="str">
            <v/>
          </cell>
          <cell r="AF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>
            <v>0</v>
          </cell>
          <cell r="AN178" t="str">
            <v/>
          </cell>
          <cell r="AO178" t="str">
            <v/>
          </cell>
          <cell r="AP178" t="str">
            <v/>
          </cell>
          <cell r="AQ178" t="str">
            <v/>
          </cell>
          <cell r="AR178" t="str">
            <v/>
          </cell>
          <cell r="AS178" t="str">
            <v/>
          </cell>
          <cell r="AT178" t="str">
            <v/>
          </cell>
          <cell r="AU178" t="str">
            <v/>
          </cell>
          <cell r="AV178" t="str">
            <v/>
          </cell>
          <cell r="AW178" t="str">
            <v/>
          </cell>
          <cell r="AX178" t="str">
            <v/>
          </cell>
          <cell r="AY178" t="str">
            <v/>
          </cell>
          <cell r="AZ178" t="str">
            <v/>
          </cell>
          <cell r="BB178" t="str">
            <v/>
          </cell>
          <cell r="BE178">
            <v>0.64583333333333337</v>
          </cell>
        </row>
        <row r="180">
          <cell r="B180" t="str">
            <v>S30A</v>
          </cell>
          <cell r="G180" t="str">
            <v>SPT : MCC HH</v>
          </cell>
          <cell r="H180" t="str">
            <v xml:space="preserve"> + </v>
          </cell>
          <cell r="I180">
            <v>0.01</v>
          </cell>
          <cell r="J180">
            <v>1</v>
          </cell>
          <cell r="L180" t="str">
            <v xml:space="preserve">L : Entry </v>
          </cell>
          <cell r="M180" t="str">
            <v xml:space="preserve"> + </v>
          </cell>
          <cell r="N180">
            <v>0.125</v>
          </cell>
          <cell r="O180">
            <v>0.2</v>
          </cell>
          <cell r="P180">
            <v>0.25</v>
          </cell>
          <cell r="Q180">
            <v>0.2</v>
          </cell>
          <cell r="R180">
            <v>0.5</v>
          </cell>
          <cell r="S180">
            <v>0.1</v>
          </cell>
          <cell r="T180">
            <v>0.75</v>
          </cell>
          <cell r="U180">
            <v>0.1</v>
          </cell>
          <cell r="V180">
            <v>1</v>
          </cell>
          <cell r="W180">
            <v>0.1</v>
          </cell>
          <cell r="X180" t="str">
            <v>TR PROFIT AFTER TGT 5</v>
          </cell>
          <cell r="Y180">
            <v>0.3</v>
          </cell>
          <cell r="AA180" t="str">
            <v>Max</v>
          </cell>
          <cell r="AE180" t="str">
            <v>L : Entry</v>
          </cell>
          <cell r="AF180" t="str">
            <v xml:space="preserve"> - </v>
          </cell>
          <cell r="AG180">
            <v>0.25</v>
          </cell>
          <cell r="AJ180" t="str">
            <v xml:space="preserve"> - </v>
          </cell>
          <cell r="AK180" t="str">
            <v>SPT : PRV M : 20 SMA</v>
          </cell>
          <cell r="AL180" t="str">
            <v/>
          </cell>
          <cell r="AM180">
            <v>1</v>
          </cell>
          <cell r="AN180" t="str">
            <v>SPT : PRV M : 20 SMA</v>
          </cell>
          <cell r="AO180" t="str">
            <v/>
          </cell>
          <cell r="AP180">
            <v>0.8</v>
          </cell>
          <cell r="AQ180" t="str">
            <v>SPT : PRV M : 20 SMA</v>
          </cell>
          <cell r="AR180" t="str">
            <v/>
          </cell>
          <cell r="AS180">
            <v>0.60000000000000009</v>
          </cell>
          <cell r="AT180" t="str">
            <v>SPT : PRV M : 20 SMA</v>
          </cell>
          <cell r="AU180" t="str">
            <v/>
          </cell>
          <cell r="AV180">
            <v>0.50000000000000011</v>
          </cell>
          <cell r="AW180" t="str">
            <v>SPT : PRV M : 20 SMA</v>
          </cell>
          <cell r="AX180" t="str">
            <v/>
          </cell>
          <cell r="AY180">
            <v>0.40000000000000013</v>
          </cell>
          <cell r="AZ180" t="str">
            <v>SPT : PRV M : 10 SMA</v>
          </cell>
          <cell r="BB180">
            <v>0.30000000000000016</v>
          </cell>
          <cell r="BE180">
            <v>0.38888194444444446</v>
          </cell>
          <cell r="BF180">
            <v>0.38888194444444446</v>
          </cell>
          <cell r="BG180">
            <v>0.38541666666666669</v>
          </cell>
          <cell r="BK180">
            <v>0.01</v>
          </cell>
          <cell r="BL180">
            <v>0.01</v>
          </cell>
          <cell r="CU180" t="str">
            <v/>
          </cell>
        </row>
        <row r="181">
          <cell r="B181" t="str">
            <v>S30B</v>
          </cell>
          <cell r="G181" t="str">
            <v/>
          </cell>
          <cell r="H181" t="str">
            <v/>
          </cell>
          <cell r="L181" t="str">
            <v/>
          </cell>
          <cell r="M181" t="str">
            <v/>
          </cell>
          <cell r="AA181" t="str">
            <v/>
          </cell>
          <cell r="AE181" t="str">
            <v/>
          </cell>
          <cell r="AF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/>
          </cell>
          <cell r="AN181" t="str">
            <v/>
          </cell>
          <cell r="AO181" t="str">
            <v/>
          </cell>
          <cell r="AP181" t="str">
            <v/>
          </cell>
          <cell r="AQ181" t="str">
            <v/>
          </cell>
          <cell r="AR181" t="str">
            <v/>
          </cell>
          <cell r="AS181" t="str">
            <v/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 t="str">
            <v/>
          </cell>
          <cell r="AZ181" t="str">
            <v/>
          </cell>
          <cell r="BB181" t="str">
            <v/>
          </cell>
          <cell r="BE181">
            <v>0.39582638888888888</v>
          </cell>
          <cell r="BF181">
            <v>0.39582638888888888</v>
          </cell>
          <cell r="BG181" t="str">
            <v>N.A.</v>
          </cell>
        </row>
        <row r="182">
          <cell r="B182" t="str">
            <v>S30C</v>
          </cell>
        </row>
        <row r="183">
          <cell r="B183" t="str">
            <v>S30D</v>
          </cell>
          <cell r="G183" t="str">
            <v/>
          </cell>
          <cell r="H183" t="str">
            <v/>
          </cell>
          <cell r="L183" t="str">
            <v/>
          </cell>
          <cell r="M183" t="str">
            <v/>
          </cell>
          <cell r="AA183" t="str">
            <v/>
          </cell>
          <cell r="AE183" t="str">
            <v/>
          </cell>
          <cell r="AF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>
            <v>0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B183" t="str">
            <v/>
          </cell>
          <cell r="BE183">
            <v>0.38541666666666669</v>
          </cell>
        </row>
        <row r="184">
          <cell r="B184" t="str">
            <v>S30E</v>
          </cell>
          <cell r="G184" t="str">
            <v/>
          </cell>
          <cell r="H184" t="str">
            <v/>
          </cell>
          <cell r="L184" t="str">
            <v/>
          </cell>
          <cell r="M184" t="str">
            <v/>
          </cell>
          <cell r="AA184" t="str">
            <v/>
          </cell>
          <cell r="AE184" t="str">
            <v/>
          </cell>
          <cell r="AF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>
            <v>0</v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B184" t="str">
            <v/>
          </cell>
          <cell r="BE184">
            <v>0.64583333333333337</v>
          </cell>
        </row>
      </sheetData>
      <sheetData sheetId="6">
        <row r="1">
          <cell r="A1" t="str">
            <v>Wishing You A Peace, Joy &amp; Prosperity !!</v>
          </cell>
          <cell r="H1" t="str">
            <v>ENTRY</v>
          </cell>
          <cell r="I1" t="str">
            <v>LOTS</v>
          </cell>
          <cell r="K1" t="str">
            <v>TGT 1</v>
          </cell>
          <cell r="L1" t="str">
            <v>LOTS</v>
          </cell>
          <cell r="N1" t="str">
            <v>TGT 2</v>
          </cell>
          <cell r="O1" t="str">
            <v>LOTS</v>
          </cell>
          <cell r="Q1" t="str">
            <v>TGT 3</v>
          </cell>
          <cell r="R1" t="str">
            <v>LOTS</v>
          </cell>
          <cell r="T1" t="str">
            <v>TGT 4</v>
          </cell>
          <cell r="U1" t="str">
            <v>LOTS</v>
          </cell>
          <cell r="W1" t="str">
            <v>TGT 5</v>
          </cell>
          <cell r="X1" t="str">
            <v>LOTS</v>
          </cell>
          <cell r="Z1" t="str">
            <v>TGT 6</v>
          </cell>
          <cell r="AA1" t="str">
            <v>LOTS</v>
          </cell>
        </row>
        <row r="2">
          <cell r="H2" t="str">
            <v>SL AFTER ENTRY</v>
          </cell>
          <cell r="K2" t="str">
            <v>TR PROFIT AFTER TGT 1</v>
          </cell>
          <cell r="N2" t="str">
            <v>TR PROFIT AFTER TGT 2</v>
          </cell>
          <cell r="Q2" t="str">
            <v>TR PROFIT AFTER TGT 3</v>
          </cell>
          <cell r="T2" t="str">
            <v>TR PROFIT AFTER TGT 4</v>
          </cell>
          <cell r="W2" t="str">
            <v>TR PROFIT AFTER TGT 5</v>
          </cell>
          <cell r="Z2" t="str">
            <v>TR PROFIT AFTER TGT 6</v>
          </cell>
        </row>
        <row r="4">
          <cell r="A4" t="str">
            <v>A</v>
          </cell>
          <cell r="B4" t="str">
            <v>Sr. No.</v>
          </cell>
          <cell r="D4" t="str">
            <v>BULL / BULL CF</v>
          </cell>
          <cell r="F4" t="str">
            <v>BUY</v>
          </cell>
          <cell r="G4" t="str">
            <v>E &amp; T</v>
          </cell>
        </row>
        <row r="5">
          <cell r="A5" t="str">
            <v>A</v>
          </cell>
          <cell r="B5" t="str">
            <v>Strategy Code</v>
          </cell>
          <cell r="G5" t="str">
            <v>SL / TRP</v>
          </cell>
        </row>
        <row r="6">
          <cell r="B6" t="str">
            <v>Unique Code</v>
          </cell>
        </row>
        <row r="7">
          <cell r="A7" t="str">
            <v>B</v>
          </cell>
          <cell r="F7" t="str">
            <v>SELL</v>
          </cell>
          <cell r="G7" t="str">
            <v>E &amp; T</v>
          </cell>
        </row>
        <row r="8">
          <cell r="A8" t="str">
            <v>B</v>
          </cell>
          <cell r="G8" t="str">
            <v>SL / TRP</v>
          </cell>
        </row>
        <row r="9">
          <cell r="A9" t="str">
            <v>C</v>
          </cell>
          <cell r="B9" t="str">
            <v>Segment</v>
          </cell>
        </row>
        <row r="10">
          <cell r="A10" t="str">
            <v>D</v>
          </cell>
          <cell r="B10" t="str">
            <v>Symbol</v>
          </cell>
          <cell r="D10" t="str">
            <v>BEAR / BEAR CF</v>
          </cell>
          <cell r="F10" t="str">
            <v>BUY</v>
          </cell>
          <cell r="G10" t="str">
            <v>E &amp; T</v>
          </cell>
        </row>
        <row r="11">
          <cell r="A11" t="str">
            <v>D</v>
          </cell>
          <cell r="B11" t="str">
            <v>No. of TGT</v>
          </cell>
          <cell r="G11" t="str">
            <v>SL / TRP</v>
          </cell>
        </row>
        <row r="12">
          <cell r="B12" t="str">
            <v>Stay Blessed !!!</v>
          </cell>
        </row>
        <row r="13">
          <cell r="A13" t="str">
            <v>E</v>
          </cell>
          <cell r="F13" t="str">
            <v>SELL</v>
          </cell>
          <cell r="G13" t="str">
            <v>E &amp; T</v>
          </cell>
        </row>
        <row r="14">
          <cell r="A14" t="str">
            <v>E</v>
          </cell>
          <cell r="G14" t="str">
            <v>SL / TRP</v>
          </cell>
        </row>
        <row r="16">
          <cell r="B16" t="str">
            <v>For Entry</v>
          </cell>
          <cell r="D16" t="str">
            <v>Gap Check</v>
          </cell>
          <cell r="G16" t="str">
            <v>Process</v>
          </cell>
          <cell r="I16" t="str">
            <v>Y / N</v>
          </cell>
          <cell r="K16" t="str">
            <v>Order Status</v>
          </cell>
          <cell r="L16" t="str">
            <v>Step 1</v>
          </cell>
          <cell r="P16" t="str">
            <v>Order Placement Timings</v>
          </cell>
          <cell r="R16" t="str">
            <v>Time</v>
          </cell>
          <cell r="T16" t="str">
            <v>Rules For Gaps</v>
          </cell>
          <cell r="W16" t="str">
            <v>Data</v>
          </cell>
          <cell r="X16" t="str">
            <v>Buffer</v>
          </cell>
          <cell r="AA16" t="str">
            <v>Rules For Re Entry</v>
          </cell>
        </row>
        <row r="17">
          <cell r="A17" t="str">
            <v>A</v>
          </cell>
          <cell r="B17" t="str">
            <v xml:space="preserve">ORPT </v>
          </cell>
          <cell r="C17" t="str">
            <v xml:space="preserve"> RC. Time</v>
          </cell>
          <cell r="D17" t="str">
            <v>For Long Entry</v>
          </cell>
          <cell r="G17" t="str">
            <v xml:space="preserve">Check If  </v>
          </cell>
          <cell r="H17" t="str">
            <v xml:space="preserve"> HH &gt; Long Entry</v>
          </cell>
          <cell r="I17" t="str">
            <v>No</v>
          </cell>
          <cell r="K17" t="str">
            <v>Entry Not Missed</v>
          </cell>
          <cell r="L17" t="str">
            <v>Place the Order at ORPT</v>
          </cell>
          <cell r="P17" t="str">
            <v>ORPT Time</v>
          </cell>
          <cell r="T17" t="str">
            <v>N.A.</v>
          </cell>
          <cell r="W17" t="str">
            <v>N.A.</v>
          </cell>
          <cell r="X17" t="str">
            <v>N.A.</v>
          </cell>
          <cell r="AA17" t="str">
            <v xml:space="preserve">Long Entry : Bull/ Bull CF : </v>
          </cell>
        </row>
        <row r="18">
          <cell r="A18" t="str">
            <v>B</v>
          </cell>
          <cell r="I18" t="str">
            <v>Yes</v>
          </cell>
          <cell r="K18" t="str">
            <v>Entry Missed</v>
          </cell>
          <cell r="L18" t="str">
            <v>Recalcuate : Long Entry : Bull / Bull CF</v>
          </cell>
          <cell r="P18" t="str">
            <v>Wait Till Recalculation Time</v>
          </cell>
          <cell r="T18" t="str">
            <v>Max</v>
          </cell>
          <cell r="U18" t="str">
            <v xml:space="preserve"> HH</v>
          </cell>
          <cell r="Z18" t="str">
            <v>+</v>
          </cell>
          <cell r="AA18" t="str">
            <v xml:space="preserve"> CDHH</v>
          </cell>
        </row>
        <row r="19">
          <cell r="L19" t="str">
            <v>Recalcuate : Long Entry : Bear / Bear CF</v>
          </cell>
          <cell r="P19" t="str">
            <v>Wait Till Recalculation Time</v>
          </cell>
          <cell r="T19" t="str">
            <v>Max</v>
          </cell>
          <cell r="U19" t="str">
            <v xml:space="preserve"> HH</v>
          </cell>
          <cell r="Z19" t="str">
            <v>+</v>
          </cell>
          <cell r="AA19" t="str">
            <v xml:space="preserve">Long Entry : Bear/ Bear CF : </v>
          </cell>
        </row>
        <row r="20">
          <cell r="B20" t="str">
            <v>For SL (Position = Open)</v>
          </cell>
          <cell r="D20" t="str">
            <v>For Short Entry</v>
          </cell>
          <cell r="G20" t="str">
            <v xml:space="preserve">Check If  </v>
          </cell>
          <cell r="H20" t="str">
            <v xml:space="preserve"> LL &lt; Short Entry</v>
          </cell>
          <cell r="I20" t="str">
            <v>No</v>
          </cell>
          <cell r="K20" t="str">
            <v>Entry Not Missed</v>
          </cell>
          <cell r="L20" t="str">
            <v>Place the Order at ORPT</v>
          </cell>
          <cell r="P20" t="str">
            <v>ORPT Time</v>
          </cell>
          <cell r="T20" t="str">
            <v>N.A.</v>
          </cell>
          <cell r="W20" t="str">
            <v>N.A.</v>
          </cell>
          <cell r="X20" t="str">
            <v>N.A.</v>
          </cell>
          <cell r="AA20" t="str">
            <v xml:space="preserve"> CDHH</v>
          </cell>
        </row>
        <row r="21">
          <cell r="A21" t="str">
            <v>A</v>
          </cell>
          <cell r="B21" t="str">
            <v xml:space="preserve">ORPT </v>
          </cell>
          <cell r="C21" t="str">
            <v xml:space="preserve"> RC. Time</v>
          </cell>
          <cell r="I21" t="str">
            <v>Yes</v>
          </cell>
          <cell r="K21" t="str">
            <v>Entry Missed</v>
          </cell>
          <cell r="L21" t="str">
            <v>Recalcuate : Short Entry : Bull / Bull CF</v>
          </cell>
          <cell r="P21" t="str">
            <v>Wait Till Recalculation Time</v>
          </cell>
          <cell r="U21" t="str">
            <v xml:space="preserve"> LL</v>
          </cell>
          <cell r="Z21" t="str">
            <v>-</v>
          </cell>
          <cell r="AA21" t="str">
            <v>When Your Long Position is Exited</v>
          </cell>
        </row>
        <row r="22">
          <cell r="A22" t="str">
            <v>B</v>
          </cell>
          <cell r="L22" t="str">
            <v>Recalcuate : Short Entry : Bear / Bear CF</v>
          </cell>
          <cell r="P22" t="str">
            <v>Wait Till Recalculation Time</v>
          </cell>
          <cell r="U22" t="str">
            <v xml:space="preserve"> LL</v>
          </cell>
          <cell r="Z22" t="str">
            <v>-</v>
          </cell>
          <cell r="AA22" t="str">
            <v>This is Only Applicable for Same Day</v>
          </cell>
        </row>
        <row r="24">
          <cell r="B24" t="str">
            <v>For TGT (Position = Open)</v>
          </cell>
          <cell r="D24" t="str">
            <v>Gap Check</v>
          </cell>
          <cell r="G24" t="str">
            <v>Process</v>
          </cell>
          <cell r="I24" t="str">
            <v>Y / N</v>
          </cell>
          <cell r="K24" t="str">
            <v>Status</v>
          </cell>
          <cell r="L24" t="str">
            <v>Step 1</v>
          </cell>
          <cell r="P24" t="str">
            <v>Order Placement Timings</v>
          </cell>
          <cell r="R24" t="str">
            <v>Time</v>
          </cell>
          <cell r="T24" t="str">
            <v>Rules For Gaps</v>
          </cell>
          <cell r="W24" t="str">
            <v>Data</v>
          </cell>
          <cell r="X24" t="str">
            <v>Buffer</v>
          </cell>
        </row>
        <row r="25">
          <cell r="A25" t="str">
            <v>A</v>
          </cell>
          <cell r="B25" t="str">
            <v xml:space="preserve">ORPT </v>
          </cell>
          <cell r="C25" t="str">
            <v xml:space="preserve"> RC. Time</v>
          </cell>
          <cell r="D25" t="str">
            <v>For Long SL</v>
          </cell>
          <cell r="G25" t="str">
            <v xml:space="preserve">Check If </v>
          </cell>
          <cell r="H25" t="str">
            <v xml:space="preserve"> LL &lt; Long SL</v>
          </cell>
          <cell r="I25" t="str">
            <v>No</v>
          </cell>
          <cell r="K25" t="str">
            <v>FSL / TRP Not Missed</v>
          </cell>
          <cell r="L25" t="str">
            <v>Place the Order at ORPT</v>
          </cell>
          <cell r="P25" t="str">
            <v>ORPT Time</v>
          </cell>
          <cell r="U25" t="str">
            <v>N.A.</v>
          </cell>
          <cell r="W25" t="str">
            <v>N.A.</v>
          </cell>
          <cell r="X25" t="str">
            <v>N.A.</v>
          </cell>
          <cell r="AA25" t="str">
            <v xml:space="preserve">Short Entry : Bull/ Bull CF : </v>
          </cell>
        </row>
        <row r="26">
          <cell r="A26" t="str">
            <v>B</v>
          </cell>
          <cell r="I26" t="str">
            <v>Yes</v>
          </cell>
          <cell r="K26" t="str">
            <v>FSL / TRP Missed</v>
          </cell>
          <cell r="L26" t="str">
            <v>Recalcuate : Long FSL / TRP : Bull / Bull CF</v>
          </cell>
          <cell r="P26" t="str">
            <v>Wait Till Recalculation Time</v>
          </cell>
          <cell r="U26" t="str">
            <v xml:space="preserve"> LL</v>
          </cell>
          <cell r="Z26" t="str">
            <v>-</v>
          </cell>
          <cell r="AA26" t="str">
            <v xml:space="preserve"> CDLL</v>
          </cell>
        </row>
        <row r="27">
          <cell r="B27" t="str">
            <v>I Commit To Follow The Rules &amp; Process</v>
          </cell>
          <cell r="L27" t="str">
            <v>Recalcuate : Long FSL / TRP : Bear / Bear CF</v>
          </cell>
          <cell r="P27" t="str">
            <v>Wait Till Recalculation Time</v>
          </cell>
          <cell r="U27" t="str">
            <v xml:space="preserve"> LL</v>
          </cell>
        </row>
        <row r="28">
          <cell r="L28" t="str">
            <v>Recalcuate : Short Entry : Bull / Bull CF</v>
          </cell>
          <cell r="P28" t="str">
            <v>Wait Till Recalculation Time</v>
          </cell>
          <cell r="T28" t="str">
            <v>Min</v>
          </cell>
          <cell r="U28" t="str">
            <v xml:space="preserve"> LL</v>
          </cell>
          <cell r="Z28" t="str">
            <v>-</v>
          </cell>
        </row>
        <row r="29">
          <cell r="L29" t="str">
            <v>Recalcuate : Short Entry : Bear / Bear CF</v>
          </cell>
          <cell r="P29" t="str">
            <v>Wait Till Recalculation Time</v>
          </cell>
          <cell r="T29" t="str">
            <v>Min</v>
          </cell>
          <cell r="U29" t="str">
            <v xml:space="preserve"> LL</v>
          </cell>
          <cell r="Z29" t="str">
            <v>-</v>
          </cell>
          <cell r="AA29" t="str">
            <v xml:space="preserve">Short Entry : Bear/ Bear CF : </v>
          </cell>
        </row>
        <row r="30">
          <cell r="B30" t="str">
            <v>By Asmita Patel.</v>
          </cell>
          <cell r="D30" t="str">
            <v>For Short SL</v>
          </cell>
          <cell r="G30" t="str">
            <v xml:space="preserve">Check If </v>
          </cell>
          <cell r="H30" t="str">
            <v xml:space="preserve"> HH &gt; Short SL</v>
          </cell>
          <cell r="I30" t="str">
            <v>No</v>
          </cell>
          <cell r="K30" t="str">
            <v>FSL / TRP Not Missed</v>
          </cell>
          <cell r="L30" t="str">
            <v>Place the Order at ORPT</v>
          </cell>
          <cell r="P30" t="str">
            <v>ORPT Time</v>
          </cell>
          <cell r="T30" t="str">
            <v>N.A.</v>
          </cell>
          <cell r="W30" t="str">
            <v>N.A.</v>
          </cell>
          <cell r="X30" t="str">
            <v>N.A.</v>
          </cell>
          <cell r="AA30" t="str">
            <v xml:space="preserve"> CDLL</v>
          </cell>
        </row>
        <row r="31">
          <cell r="I31" t="str">
            <v>Yes</v>
          </cell>
          <cell r="K31" t="str">
            <v>FSL / TRP Missed</v>
          </cell>
          <cell r="L31" t="str">
            <v>Recalcuate : Short FSL / TRP : Bull / Bull CF</v>
          </cell>
          <cell r="P31" t="str">
            <v>Wait Till Recalculation Time</v>
          </cell>
          <cell r="U31" t="str">
            <v xml:space="preserve"> HH</v>
          </cell>
          <cell r="Z31" t="str">
            <v>+</v>
          </cell>
        </row>
        <row r="32">
          <cell r="L32" t="str">
            <v>Recalcuate : Short FSL / TRP : Bear / Bear CF</v>
          </cell>
          <cell r="P32" t="str">
            <v>Wait Till Recalculation Time</v>
          </cell>
          <cell r="U32" t="str">
            <v xml:space="preserve"> HH</v>
          </cell>
        </row>
        <row r="33">
          <cell r="L33" t="str">
            <v>Recalcuate : Long Entry : Bull / Bull CF</v>
          </cell>
          <cell r="P33" t="str">
            <v>Wait Till Recalculation Time</v>
          </cell>
          <cell r="T33" t="str">
            <v>Max</v>
          </cell>
          <cell r="U33" t="str">
            <v xml:space="preserve"> HH</v>
          </cell>
          <cell r="Z33" t="str">
            <v>+</v>
          </cell>
          <cell r="AA33" t="str">
            <v>When Your Short Position is Exited</v>
          </cell>
        </row>
        <row r="34">
          <cell r="L34" t="str">
            <v>Recalcuate : Long Entry : Bear / Bear CF</v>
          </cell>
          <cell r="P34" t="str">
            <v>Wait Till Recalculation Time</v>
          </cell>
          <cell r="T34" t="str">
            <v>Max</v>
          </cell>
          <cell r="U34" t="str">
            <v xml:space="preserve"> HH</v>
          </cell>
          <cell r="Z34" t="str">
            <v>+</v>
          </cell>
          <cell r="AA34" t="str">
            <v>This is Only Applicable for Same Day</v>
          </cell>
        </row>
        <row r="35">
          <cell r="B35" t="str">
            <v>For Missed SL (Position = Open)</v>
          </cell>
          <cell r="I35" t="str">
            <v>For Long SL</v>
          </cell>
          <cell r="T35" t="str">
            <v>For Short SL</v>
          </cell>
        </row>
        <row r="36">
          <cell r="B36" t="str">
            <v>Check time</v>
          </cell>
          <cell r="D36" t="str">
            <v>Note: ( Optional )</v>
          </cell>
          <cell r="G36" t="str">
            <v xml:space="preserve">Check If Close at </v>
          </cell>
          <cell r="H36" t="str">
            <v xml:space="preserve">  &lt; Long Original SL</v>
          </cell>
          <cell r="I36" t="str">
            <v>Yes</v>
          </cell>
          <cell r="K36" t="str">
            <v xml:space="preserve"> Then Square Off The Position At CMP at </v>
          </cell>
          <cell r="T36" t="str">
            <v xml:space="preserve">Check If Close at </v>
          </cell>
          <cell r="U36" t="str">
            <v xml:space="preserve">  &gt; Short Original SL</v>
          </cell>
          <cell r="W36" t="str">
            <v xml:space="preserve"> Then Square Off The Position At CMP at </v>
          </cell>
        </row>
        <row r="37">
          <cell r="G37" t="str">
            <v xml:space="preserve">Check If Close at </v>
          </cell>
          <cell r="H37" t="str">
            <v xml:space="preserve">  &gt; Long Original SL</v>
          </cell>
          <cell r="I37" t="str">
            <v>Yes</v>
          </cell>
          <cell r="K37" t="str">
            <v xml:space="preserve"> Then Continue the Position for Next Day And Calculate Stop Loss Price as per the Rules</v>
          </cell>
          <cell r="T37" t="str">
            <v xml:space="preserve">Check If Close at </v>
          </cell>
          <cell r="U37" t="str">
            <v xml:space="preserve">  &lt; Short Original SL</v>
          </cell>
          <cell r="W37" t="str">
            <v xml:space="preserve"> Then Continue the Position for Next Day And Calculate Stop Loss Price as per the Rules</v>
          </cell>
        </row>
        <row r="41">
          <cell r="A41" t="str">
            <v>Wishing You A Peace, Joy &amp; Prosperity !!</v>
          </cell>
        </row>
        <row r="76">
          <cell r="A76" t="str">
            <v>S1A</v>
          </cell>
        </row>
        <row r="114">
          <cell r="A114" t="str">
            <v>S1B</v>
          </cell>
        </row>
        <row r="162">
          <cell r="A162" t="str">
            <v>A</v>
          </cell>
        </row>
        <row r="191">
          <cell r="A191" t="str">
            <v>S1A</v>
          </cell>
        </row>
        <row r="232">
          <cell r="A232" t="str">
            <v>S1B</v>
          </cell>
        </row>
      </sheetData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AF06-7B08-4BBD-BB95-1C50AF83C3F9}">
  <sheetPr>
    <outlinePr summaryBelow="0" summaryRight="0"/>
    <pageSetUpPr fitToPage="1"/>
  </sheetPr>
  <dimension ref="A1:AC1039"/>
  <sheetViews>
    <sheetView showGridLines="0" tabSelected="1" zoomScale="80" workbookViewId="0">
      <pane ySplit="2" topLeftCell="A182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5.28515625" customWidth="1"/>
    <col min="2" max="2" width="9.7109375" customWidth="1"/>
    <col min="3" max="3" width="13.7109375" customWidth="1"/>
    <col min="4" max="4" width="7.42578125" customWidth="1"/>
    <col min="5" max="5" width="6.28515625" customWidth="1"/>
    <col min="6" max="6" width="6.42578125" customWidth="1"/>
    <col min="7" max="7" width="24.85546875" customWidth="1"/>
    <col min="8" max="8" width="1.85546875" customWidth="1"/>
    <col min="9" max="9" width="2.7109375" customWidth="1"/>
    <col min="10" max="10" width="21.28515625" customWidth="1"/>
    <col min="11" max="11" width="1.85546875" customWidth="1"/>
    <col min="12" max="12" width="2.85546875" customWidth="1"/>
    <col min="13" max="13" width="22.7109375" customWidth="1"/>
    <col min="14" max="14" width="9.7109375" customWidth="1"/>
    <col min="15" max="15" width="1.85546875" customWidth="1"/>
    <col min="16" max="16" width="25.85546875" customWidth="1"/>
    <col min="17" max="17" width="4.42578125" customWidth="1"/>
    <col min="18" max="18" width="9.140625" customWidth="1"/>
    <col min="19" max="19" width="24.5703125" customWidth="1"/>
    <col min="20" max="20" width="5" customWidth="1"/>
    <col min="21" max="21" width="9.7109375" customWidth="1"/>
    <col min="22" max="22" width="25.42578125" customWidth="1"/>
    <col min="23" max="23" width="2.42578125" customWidth="1"/>
    <col min="24" max="24" width="6.85546875" customWidth="1"/>
    <col min="25" max="25" width="19.28515625" customWidth="1"/>
    <col min="26" max="26" width="3.28515625" customWidth="1"/>
    <col min="27" max="27" width="5.140625" customWidth="1"/>
    <col min="28" max="29" width="1.85546875" customWidth="1"/>
  </cols>
  <sheetData>
    <row r="1" spans="1:29" ht="21" customHeight="1" thickTop="1" x14ac:dyDescent="0.2">
      <c r="A1" s="1"/>
      <c r="B1" s="2" t="str">
        <f>IF([1]AB5!$A$1="","",[1]AB5!$A$1)</f>
        <v>Wishing You A Peace, Joy &amp; Prosperity !!</v>
      </c>
      <c r="C1" s="3"/>
      <c r="D1" s="3"/>
      <c r="E1" s="3"/>
      <c r="F1" s="4"/>
      <c r="G1" s="5" t="str">
        <f>IF([1]AB5!$H$1="","",[1]AB5!$H$1)</f>
        <v>ENTRY</v>
      </c>
      <c r="H1" s="6" t="str">
        <f>IF([1]AB5!$I$1="","",[1]AB5!$I$1)</f>
        <v>LOTS</v>
      </c>
      <c r="I1" s="7"/>
      <c r="J1" s="8" t="str">
        <f>IF([1]AB5!$K$1="","",[1]AB5!$K$1)</f>
        <v>TGT 1</v>
      </c>
      <c r="K1" s="6" t="str">
        <f>IF([1]AB5!$L$1="","",[1]AB5!$L$1)</f>
        <v>LOTS</v>
      </c>
      <c r="L1" s="7"/>
      <c r="M1" s="9" t="str">
        <f>IF([1]AB5!$N$1="","",[1]AB5!$N$1)</f>
        <v>TGT 2</v>
      </c>
      <c r="N1" s="6" t="str">
        <f>IF([1]AB5!$O$1="","",[1]AB5!$O$1)</f>
        <v>LOTS</v>
      </c>
      <c r="O1" s="7"/>
      <c r="P1" s="10" t="str">
        <f>IF([1]AB5!$Q$1="","",[1]AB5!$Q$1)</f>
        <v>TGT 3</v>
      </c>
      <c r="Q1" s="6" t="str">
        <f>IF([1]AB5!$R$1="","",[1]AB5!$R$1)</f>
        <v>LOTS</v>
      </c>
      <c r="R1" s="7"/>
      <c r="S1" s="8" t="str">
        <f>IF([1]AB5!$T$1="","",[1]AB5!$T$1)</f>
        <v>TGT 4</v>
      </c>
      <c r="T1" s="6" t="str">
        <f>IF([1]AB5!$U$1="","",[1]AB5!$U$1)</f>
        <v>LOTS</v>
      </c>
      <c r="U1" s="7"/>
      <c r="V1" s="9" t="str">
        <f>IF([1]AB5!$W$1="","",[1]AB5!$W$1)</f>
        <v>TGT 5</v>
      </c>
      <c r="W1" s="6" t="str">
        <f>IF([1]AB5!$X$1="","",[1]AB5!$X$1)</f>
        <v>LOTS</v>
      </c>
      <c r="X1" s="7"/>
      <c r="Y1" s="10" t="str">
        <f>IF([1]AB5!$Z$1="","",[1]AB5!$Z$1)</f>
        <v>TGT 6</v>
      </c>
      <c r="Z1" s="6" t="str">
        <f>IF([1]AB5!$AA$1="","",[1]AB5!$AA$1)</f>
        <v>LOTS</v>
      </c>
      <c r="AA1" s="7"/>
      <c r="AB1" s="11"/>
      <c r="AC1" s="11"/>
    </row>
    <row r="2" spans="1:29" ht="21" customHeight="1" thickBot="1" x14ac:dyDescent="0.25">
      <c r="A2" s="12"/>
      <c r="B2" s="13"/>
      <c r="C2" s="14"/>
      <c r="D2" s="14"/>
      <c r="E2" s="14"/>
      <c r="F2" s="15"/>
      <c r="G2" s="5" t="str">
        <f>IF([1]AB5!$H$2="","",[1]AB5!$H$2)</f>
        <v>SL AFTER ENTRY</v>
      </c>
      <c r="H2" s="16"/>
      <c r="I2" s="17"/>
      <c r="J2" s="8" t="str">
        <f>IF([1]AB5!$K$2="","",[1]AB5!$K$2)</f>
        <v>TR PROFIT AFTER TGT 1</v>
      </c>
      <c r="K2" s="16"/>
      <c r="L2" s="17"/>
      <c r="M2" s="9" t="str">
        <f>IF([1]AB5!$N$2="","",[1]AB5!$N$2)</f>
        <v>TR PROFIT AFTER TGT 2</v>
      </c>
      <c r="N2" s="16"/>
      <c r="O2" s="17"/>
      <c r="P2" s="10" t="str">
        <f>IF([1]AB5!$Q$2="","",[1]AB5!$Q$2)</f>
        <v>TR PROFIT AFTER TGT 3</v>
      </c>
      <c r="Q2" s="16"/>
      <c r="R2" s="17"/>
      <c r="S2" s="8" t="str">
        <f>IF([1]AB5!$T$2="","",[1]AB5!$T$2)</f>
        <v>TR PROFIT AFTER TGT 4</v>
      </c>
      <c r="T2" s="16"/>
      <c r="U2" s="17"/>
      <c r="V2" s="9" t="str">
        <f>IF([1]AB5!$W$2="","",[1]AB5!$W$2)</f>
        <v>TR PROFIT AFTER TGT 5</v>
      </c>
      <c r="W2" s="16"/>
      <c r="X2" s="17"/>
      <c r="Y2" s="10" t="str">
        <f>IF([1]AB5!$Z$2="","",[1]AB5!$Z$2)</f>
        <v>TR PROFIT AFTER TGT 6</v>
      </c>
      <c r="Z2" s="16"/>
      <c r="AA2" s="17"/>
      <c r="AB2" s="11"/>
      <c r="AC2" s="11"/>
    </row>
    <row r="3" spans="1:29" ht="12.75" customHeight="1" thickTop="1" thickBot="1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30.75" customHeight="1" x14ac:dyDescent="0.2">
      <c r="A4" s="18" t="str">
        <f>IF(C4="","",CONCATENATE(C5,[1]AB5!$A$4))</f>
        <v>S1A</v>
      </c>
      <c r="B4" s="20" t="str">
        <f>IF(C4="","",IF([1]AB5!$B$4="","",[1]AB5!$B$4))</f>
        <v>Sr. No.</v>
      </c>
      <c r="C4" s="21">
        <v>1</v>
      </c>
      <c r="D4" s="22" t="str">
        <f>IF(C4="","",[1]AB5!$D$4)</f>
        <v>BULL / BULL CF</v>
      </c>
      <c r="E4" s="23" t="str">
        <f>IF(C4="","",[1]AB5!$F$4)</f>
        <v>BUY</v>
      </c>
      <c r="F4" s="24" t="str">
        <f>IF(C4="","",[1]AB5!$G$4)</f>
        <v>E &amp; T</v>
      </c>
      <c r="G4" s="25" t="str">
        <f t="array" ref="G4">IF(C4="","",CONCATENATE(INDEX([1]AB4!G:G,MATCH(A4,[1]AB4!B:B,0)),INDEX([1]AB4!H:H,MATCH(A4,[1]AB4!B:B,0)),TEXT(INDEX([1]AB4!I:I,MATCH(A4,[1]AB4!B:B,0)),"0.00%")))</f>
        <v>FUT : PRV : 2DHH + 0.05%</v>
      </c>
      <c r="H4" s="26">
        <f t="array" ref="H4">IF(C4="","",INDEX([1]AB4!J:J,MATCH(A4,[1]AB4!B:B,0)))</f>
        <v>5</v>
      </c>
      <c r="I4" s="27"/>
      <c r="J4" s="28" t="str">
        <f t="array" ref="J4">IF(C4="","",CONCATENATE(INDEX([1]AB4!L:L,MATCH(A4,[1]AB4!B:B,0)),INDEX([1]AB4!M:M,MATCH(A4,[1]AB4!B:B,0)),TEXT(INDEX([1]AB4!N:N,MATCH(A4,[1]AB4!B:B,0)),"0.00%")))</f>
        <v>L : Entry  + 0.40%</v>
      </c>
      <c r="K4" s="26">
        <f t="array" ref="K4">IF(C4="","",INDEX([1]AB4!O:O,MATCH(A4,[1]AB4!B:B,0)))</f>
        <v>1</v>
      </c>
      <c r="L4" s="27"/>
      <c r="M4" s="28" t="str">
        <f t="array" ref="M4">IF(C4="","",CONCATENATE(INDEX([1]AB4!L:L,MATCH(A4,[1]AB4!B:B,0)),INDEX([1]AB4!M:M,MATCH(A4,[1]AB4!B:B,0)),TEXT(INDEX([1]AB4!P:P,MATCH(A4,[1]AB4!B:B,0)),"0.00%")))</f>
        <v>L : Entry  + 0.60%</v>
      </c>
      <c r="N4" s="26">
        <f t="array" ref="N4">IF(C4="","",INDEX([1]AB4!Q:Q,MATCH(A4,[1]AB4!B:B,0)))</f>
        <v>1</v>
      </c>
      <c r="O4" s="27"/>
      <c r="P4" s="28" t="str">
        <f t="array" ref="P4">IF(C4="","",CONCATENATE(INDEX([1]AB4!L:L,MATCH(A4,[1]AB4!B:B,0)),INDEX([1]AB4!M:M,MATCH(A4,[1]AB4!B:B,0)),TEXT(INDEX([1]AB4!R:R,MATCH(A4,[1]AB4!B:B,0)),"0.00%")))</f>
        <v>L : Entry  + 0.80%</v>
      </c>
      <c r="Q4" s="26">
        <f t="array" ref="Q4">IF(C4="","",INDEX([1]AB4!S:S,MATCH(A4,[1]AB4!B:B,0)))</f>
        <v>1</v>
      </c>
      <c r="R4" s="27"/>
      <c r="S4" s="28" t="str">
        <f t="array" ref="S4">IF(C4="","",CONCATENATE(INDEX([1]AB4!L:L,MATCH(A4,[1]AB4!B:B,0)),INDEX([1]AB4!M:M,MATCH(A4,[1]AB4!B:B,0)),TEXT(INDEX([1]AB4!T:T,MATCH(A4,[1]AB4!B:B,0)),"0.00%")))</f>
        <v>L : Entry  + 1.00%</v>
      </c>
      <c r="T4" s="26">
        <f t="array" ref="T4">IF(C4="","",INDEX([1]AB4!U:U,MATCH(A4,[1]AB4!B:B,0)))</f>
        <v>1</v>
      </c>
      <c r="U4" s="27"/>
      <c r="V4" s="28" t="str">
        <f t="array" ref="V4">IF(C4="","",INDEX([1]AB4!V:V,MATCH(A4,[1]AB4!B:B,0)))</f>
        <v>TR PROFIT AFTER TGT 4</v>
      </c>
      <c r="W4" s="26">
        <f t="array" ref="W4">IF(C4="","",INDEX([1]AB4!W:W,MATCH(A4,[1]AB4!B:B,0)))</f>
        <v>1</v>
      </c>
      <c r="X4" s="27"/>
      <c r="Y4" s="28" t="str">
        <f t="array" ref="Y4">IF(C4="","",INDEX([1]AB4!X:X,MATCH(A4,[1]AB4!B:B,0)))</f>
        <v>N.A.</v>
      </c>
      <c r="Z4" s="26" t="str">
        <f t="array" ref="Z4">IF(C4="","",INDEX([1]AB4!Y:Y,MATCH(A4,[1]AB4!B:B,0)))</f>
        <v>N.A.</v>
      </c>
      <c r="AA4" s="29"/>
      <c r="AB4" s="30"/>
      <c r="AC4" s="30"/>
    </row>
    <row r="5" spans="1:29" ht="44.25" customHeight="1" thickBot="1" x14ac:dyDescent="0.25">
      <c r="A5" s="18" t="str">
        <f>IF(C4="","",CONCATENATE(C5,[1]AB5!$A$5))</f>
        <v>S1A</v>
      </c>
      <c r="B5" s="31" t="str">
        <f>IF(C4="","",IF([1]AB5!$B$5="","",[1]AB5!$B$5))</f>
        <v>Strategy Code</v>
      </c>
      <c r="C5" s="32" t="str">
        <f t="array" ref="C5">IF(C4="","",INDEX([1]AB2!B:B,MATCH(C4,[1]AB2!A:A,0)))</f>
        <v>S1</v>
      </c>
      <c r="D5" s="33"/>
      <c r="E5" s="34"/>
      <c r="F5" s="35" t="str">
        <f>IF(C4="","",[1]AB5!$G$5)</f>
        <v>SL / TRP</v>
      </c>
      <c r="G5" s="36" t="str">
        <f t="array" ref="G5">IF(C4="","",CONCATENATE(INDEX([1]AB4!AA:AA,MATCH(A5,[1]AB4!B:B,0))," ( ",INDEX([1]AB4!AE:AE,MATCH(A5,[1]AB4!B:B,0)),INDEX([1]AB4!AF:AF,MATCH(A5,[1]AB4!B:B,0)),TEXT(INDEX([1]AB4!AG:AG,MATCH(A5,[1]AB4!B:B,0)),"0.00%")," or ",INDEX([1]AB4!AK:AK,MATCH(A5,[1]AB4!B:B,0)),INDEX([1]AB4!AJ:AJ,MATCH(A5,[1]AB4!B:B,0)),TEXT(INDEX([1]AB4!AL:AL,MATCH(A5,[1]AB4!B:B,0)),"0.00%")," )"))</f>
        <v>Max ( L : Entry - 0.40% or FUT : PRV : 2DLL - 0.05% )</v>
      </c>
      <c r="H5" s="37">
        <f t="array" ref="H5">IF(C5="","",INDEX([1]AB4!AM:AM,MATCH(A5,[1]AB4!B:B,0)))</f>
        <v>5</v>
      </c>
      <c r="I5" s="38"/>
      <c r="J5" s="36" t="str">
        <f t="array" ref="J5">IF(C4="","",CONCATENATE(INDEX([1]AB4!AA:AA,MATCH(A5,[1]AB4!B:B,0))," ( ",INDEX([1]AB4!AE:AE,MATCH(A5,[1]AB4!B:B,0))," or ",INDEX([1]AB4!AN:AN,MATCH(A5,[1]AB4!B:B,0)),INDEX([1]AB4!AJ:AJ,MATCH(A5,[1]AB4!B:B,0)),TEXT(INDEX([1]AB4!AO:AO,MATCH(A5,[1]AB4!B:B,0)),"0.00%")," )"))</f>
        <v>Max ( L : Entry or FUT : PRV : 2DLL - 0.05% )</v>
      </c>
      <c r="K5" s="37">
        <f t="array" ref="K5">IF(C4="","",INDEX([1]AB4!AP:AP,MATCH(A5,[1]AB4!B:B,0)))</f>
        <v>4</v>
      </c>
      <c r="L5" s="38"/>
      <c r="M5" s="36" t="str">
        <f t="array" ref="M5">IF(C4="","",CONCATENATE(INDEX([1]AB4!AA:AA,MATCH(A5,[1]AB4!B:B,0))," ( ",INDEX([1]AB4!AE:AE,MATCH(A5,[1]AB4!B:B,0))," or ",INDEX([1]AB4!AQ:AQ,MATCH(A5,[1]AB4!B:B,0)),INDEX([1]AB4!AJ:AJ,MATCH(A5,[1]AB4!B:B,0)),TEXT(INDEX([1]AB4!AR:AR,MATCH(A5,[1]AB4!B:B,0)),"0.00%")," )"))</f>
        <v>Max ( L : Entry or FUT : PRV : 2DLL - 0.05% )</v>
      </c>
      <c r="N5" s="37">
        <f t="array" ref="N5">IF(C5="","",INDEX([1]AB4!AS:AS,MATCH(A5,[1]AB4!B:B,0)))</f>
        <v>3</v>
      </c>
      <c r="O5" s="38"/>
      <c r="P5" s="39" t="str">
        <f t="array" ref="P5">IF(C4="","",CONCATENATE(INDEX([1]AB4!AA:AA,MATCH(A5,[1]AB4!B:B,0))," ( ",INDEX([1]AB4!AE:AE,MATCH(A5,[1]AB4!B:B,0))," or ",INDEX([1]AB4!AT:AT,MATCH(A5,[1]AB4!B:B,0)),INDEX([1]AB4!AJ:AJ,MATCH(A5,[1]AB4!B:B,0)),TEXT(INDEX([1]AB4!AU:AU,MATCH(A5,[1]AB4!B:B,0)),"0.00%")," )"))</f>
        <v>Max ( L : Entry or FUT : PRV : 2DLL - 0.05% )</v>
      </c>
      <c r="Q5" s="37">
        <f t="array" ref="Q5">IF(C5="","",INDEX([1]AB4!AV:AV,MATCH(A5,[1]AB4!B:B,0)))</f>
        <v>2</v>
      </c>
      <c r="R5" s="38"/>
      <c r="S5" s="36" t="str">
        <f t="array" ref="S5">IF(C4="","",CONCATENATE(INDEX([1]AB4!AA:AA,MATCH(A5,[1]AB4!B:B,0))," ( ",INDEX([1]AB4!AE:AE,MATCH(A5,[1]AB4!B:B,0))," or ",INDEX([1]AB4!AW:AW,MATCH(A5,[1]AB4!B:B,0)),INDEX([1]AB4!AJ:AJ,MATCH(A5,[1]AB4!B:B,0)),TEXT(INDEX([1]AB4!AX:AX,MATCH(A5,[1]AB4!B:B,0)),"0.00%")," )"))</f>
        <v>Max ( L : Entry or FUT : PRV : 2DLL - 0.05% )</v>
      </c>
      <c r="T5" s="37">
        <f t="array" ref="T5">IF(C4="","",INDEX([1]AB4!AY:AY,MATCH(A5,[1]AB4!B:B,0)))</f>
        <v>1</v>
      </c>
      <c r="U5" s="38"/>
      <c r="V5" s="36" t="str">
        <f t="array" ref="V5">IF(C4="","",CONCATENATE(INDEX([1]AB4!AA:AA,MATCH(A5,[1]AB4!B:B,0))," ( ",INDEX([1]AB4!AE:AE,MATCH(A5,[1]AB4!B:B,0))," or ",INDEX([1]AB4!AW:AW,MATCH(A5,[1]AB4!B:B,0)),INDEX([1]AB4!AJ:AJ,MATCH(A5,[1]AB4!B:B,0)),TEXT(INDEX([1]AB4!AX:AX,MATCH(A5,[1]AB4!B:B,0)),"0.00%")," )"))</f>
        <v>Max ( L : Entry or FUT : PRV : 2DLL - 0.05% )</v>
      </c>
      <c r="W5" s="37">
        <f t="array" ref="W5">IF(C4="","",INDEX([1]AB4!AY:AY,MATCH(A5,[1]AB4!B:B,0)))</f>
        <v>1</v>
      </c>
      <c r="X5" s="38"/>
      <c r="Y5" s="40">
        <f t="array" ref="Y5">IF(C4="","",INDEX([1]AB4!AZ:AZ,MATCH(A5,[1]AB4!B:B,0)))</f>
        <v>0</v>
      </c>
      <c r="Z5" s="37">
        <f t="array" ref="Z5">IF(C4="","",INDEX([1]AB4!BB:BB,MATCH(A5,[1]AB4!B:B,0)))</f>
        <v>0</v>
      </c>
      <c r="AA5" s="41"/>
      <c r="AB5" s="30"/>
      <c r="AC5" s="30"/>
    </row>
    <row r="6" spans="1:29" ht="6" customHeight="1" thickBot="1" x14ac:dyDescent="0.25">
      <c r="A6" s="18" t="str">
        <f>IF(C4="","",CONCATENATE(C5,[1]AB5!A6))</f>
        <v>S1</v>
      </c>
      <c r="B6" s="42" t="str">
        <f>IF(C4="","",IF([1]AB5!$B$6="","",[1]AB5!$B$6))</f>
        <v>Unique Code</v>
      </c>
      <c r="C6" s="43" t="str">
        <f t="array" ref="C6">IF(C4="","",INDEX([1]AB2!N:N,MATCH(C4,[1]AB2!A:A,0)))</f>
        <v>USDINR_FUT_MT_SAME_2D_2D</v>
      </c>
      <c r="D6" s="33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  <c r="AB6" s="30"/>
      <c r="AC6" s="30"/>
    </row>
    <row r="7" spans="1:29" ht="30.75" customHeight="1" x14ac:dyDescent="0.2">
      <c r="A7" s="18" t="str">
        <f>IF(C4="","",CONCATENATE(C5,[1]AB5!$A$7))</f>
        <v>S1B</v>
      </c>
      <c r="B7" s="47"/>
      <c r="C7" s="48"/>
      <c r="D7" s="33"/>
      <c r="E7" s="49" t="str">
        <f>IF(C4="","",[1]AB5!$F$7)</f>
        <v>SELL</v>
      </c>
      <c r="F7" s="24" t="str">
        <f>IF(C4="","",[1]AB5!$G$7)</f>
        <v>E &amp; T</v>
      </c>
      <c r="G7" s="25" t="str">
        <f t="array" ref="G7">IF(C4="","",CONCATENATE(INDEX([1]AB4!G:G,MATCH(A7,[1]AB4!B:B,0)),INDEX([1]AB4!H:H,MATCH(A7,[1]AB4!B:B,0)),TEXT(INDEX([1]AB4!I:I,MATCH(A7,[1]AB4!B:B,0)),"0.00%")))</f>
        <v>FUT : PRV : 2DLL - 0.05%</v>
      </c>
      <c r="H7" s="26">
        <f t="array" ref="H7">IF(C4="","",INDEX([1]AB4!J:J,MATCH(A7,[1]AB4!B:B,0)))</f>
        <v>5</v>
      </c>
      <c r="I7" s="27"/>
      <c r="J7" s="28" t="str">
        <f t="array" ref="J7">IF(C4="","",CONCATENATE(INDEX([1]AB4!L:L,MATCH(A7,[1]AB4!B:B,0)),INDEX([1]AB4!M:M,MATCH(A7,[1]AB4!B:B,0)),TEXT(INDEX([1]AB4!N:N,MATCH(A7,[1]AB4!B:B,0)),"0.00%")))</f>
        <v>S : Entry  - 0.40%</v>
      </c>
      <c r="K7" s="26">
        <f t="array" ref="K7">IF(C4="","",INDEX([1]AB4!O:O,MATCH(A7,[1]AB4!B:B,0)))</f>
        <v>1</v>
      </c>
      <c r="L7" s="27"/>
      <c r="M7" s="28" t="str">
        <f t="array" ref="M7">IF(C4="","",CONCATENATE(INDEX([1]AB4!L:L,MATCH(A7,[1]AB4!B:B,0)),INDEX([1]AB4!M:M,MATCH(A7,[1]AB4!B:B,0)),TEXT(INDEX([1]AB4!P:P,MATCH(A7,[1]AB4!B:B,0)),"0.00%")))</f>
        <v>S : Entry  - 0.60%</v>
      </c>
      <c r="N7" s="26">
        <f t="array" ref="N7">IF(C4="","",INDEX([1]AB4!Q:Q,MATCH(A7,[1]AB4!B:B,0)))</f>
        <v>1</v>
      </c>
      <c r="O7" s="27"/>
      <c r="P7" s="28" t="str">
        <f t="array" ref="P7">IF(C4="","",CONCATENATE(INDEX([1]AB4!L:L,MATCH(A7,[1]AB4!B:B,0)),INDEX([1]AB4!M:M,MATCH(A7,[1]AB4!B:B,0)),TEXT(INDEX([1]AB4!R:R,MATCH(A7,[1]AB4!B:B,0)),"0.00%")))</f>
        <v>S : Entry  - 0.80%</v>
      </c>
      <c r="Q7" s="26">
        <f t="array" ref="Q7">IF(C4="","",INDEX([1]AB4!S:S,MATCH(A7,[1]AB4!B:B,0)))</f>
        <v>1</v>
      </c>
      <c r="R7" s="27"/>
      <c r="S7" s="28" t="str">
        <f t="array" ref="S7">IF(C4="","",CONCATENATE(INDEX([1]AB4!L:L,MATCH(A7,[1]AB4!B:B,0)),INDEX([1]AB4!M:M,MATCH(A7,[1]AB4!B:B,0)),TEXT(INDEX([1]AB4!T:T,MATCH(A7,[1]AB4!B:B,0)),"0.00%")))</f>
        <v>S : Entry  - 1.00%</v>
      </c>
      <c r="T7" s="26">
        <f t="array" ref="T7">IF(C4="","",INDEX([1]AB4!U:U,MATCH(A7,[1]AB4!B:B,0)))</f>
        <v>1</v>
      </c>
      <c r="U7" s="27"/>
      <c r="V7" s="28" t="str">
        <f t="array" ref="V7">IF(C4="","",INDEX([1]AB4!V:V,MATCH(A7,[1]AB4!B:B,0)))</f>
        <v>TR PROFIT AFTER TGT 4</v>
      </c>
      <c r="W7" s="26">
        <f t="array" ref="W7">IF(C4="","",INDEX([1]AB4!W:W,MATCH(A7,[1]AB4!B:B,0)))</f>
        <v>1</v>
      </c>
      <c r="X7" s="27"/>
      <c r="Y7" s="28" t="str">
        <f t="array" ref="Y7">IF(C4="","",INDEX([1]AB4!X:X,MATCH(A7,[1]AB4!B:B,0)))</f>
        <v>N.A.</v>
      </c>
      <c r="Z7" s="26" t="str">
        <f t="array" ref="Z7">IF(C4="","",INDEX([1]AB4!Y:Y,MATCH(A7,[1]AB4!B:B,0)))</f>
        <v>N.A.</v>
      </c>
      <c r="AA7" s="29"/>
      <c r="AB7" s="30"/>
      <c r="AC7" s="30"/>
    </row>
    <row r="8" spans="1:29" ht="44.25" customHeight="1" thickBot="1" x14ac:dyDescent="0.25">
      <c r="A8" s="18" t="str">
        <f>IF(C4="","",CONCATENATE(C5,[1]AB5!$A$8))</f>
        <v>S1B</v>
      </c>
      <c r="B8" s="50"/>
      <c r="C8" s="51"/>
      <c r="D8" s="52"/>
      <c r="E8" s="53"/>
      <c r="F8" s="35" t="str">
        <f>IF(C4="","",[1]AB5!$G$8)</f>
        <v>SL / TRP</v>
      </c>
      <c r="G8" s="36" t="str">
        <f t="array" ref="G8">IF(C4="","",CONCATENATE(INDEX([1]AB4!AA:AA,MATCH(A8,[1]AB4!B:B,0))," ( ",INDEX([1]AB4!AE:AE,MATCH(A8,[1]AB4!B:B,0)),INDEX([1]AB4!AF:AF,MATCH(A8,[1]AB4!B:B,0)),TEXT(INDEX([1]AB4!AG:AG,MATCH(A8,[1]AB4!B:B,0)),"0.00%")," or ",INDEX([1]AB4!AK:AK,MATCH(A8,[1]AB4!B:B,0)),INDEX([1]AB4!AJ:AJ,MATCH(A8,[1]AB4!B:B,0)),TEXT(INDEX([1]AB4!AL:AL,MATCH(A8,[1]AB4!B:B,0)),"0.00%")," )"))</f>
        <v>Min ( S : Entry + 0.40% or FUT : PRV : 2DHH + 0.05% )</v>
      </c>
      <c r="H8" s="37">
        <f t="array" ref="H8">IF(C4="","",INDEX([1]AB4!AM:AM,MATCH(A8,[1]AB4!B:B,0)))</f>
        <v>5</v>
      </c>
      <c r="I8" s="38"/>
      <c r="J8" s="36" t="str">
        <f t="array" ref="J8">IF(C4="","",CONCATENATE(INDEX([1]AB4!AA:AA,MATCH(A8,[1]AB4!B:B,0))," ( ",INDEX([1]AB4!AE:AE,MATCH(A8,[1]AB4!B:B,0))," or ",INDEX([1]AB4!AN:AN,MATCH(A8,[1]AB4!B:B,0)),INDEX([1]AB4!AJ:AJ,MATCH(A8,[1]AB4!B:B,0)),TEXT(INDEX([1]AB4!AO:AO,MATCH(A8,[1]AB4!B:B,0)),"0.00%")," )"))</f>
        <v>Min ( S : Entry or FUT : PRV : 2DHH + 0.05% )</v>
      </c>
      <c r="K8" s="37">
        <f t="array" ref="K8">IF(C4="","",INDEX([1]AB4!AP:AP,MATCH(A8,[1]AB4!B:B,0)))</f>
        <v>4</v>
      </c>
      <c r="L8" s="38"/>
      <c r="M8" s="36" t="str">
        <f t="array" ref="M8">IF(C4="","",CONCATENATE(INDEX([1]AB4!AA:AA,MATCH(A8,[1]AB4!B:B,0))," ( ",INDEX([1]AB4!AE:AE,MATCH(A8,[1]AB4!B:B,0))," or ",INDEX([1]AB4!AQ:AQ,MATCH(A8,[1]AB4!B:B,0)),INDEX([1]AB4!AJ:AJ,MATCH(A8,[1]AB4!B:B,0)),TEXT(INDEX([1]AB4!AR:AR,MATCH(A8,[1]AB4!B:B,0)),"0.00%")," )"))</f>
        <v>Min ( S : Entry or FUT : PRV : 2DHH + 0.05% )</v>
      </c>
      <c r="N8" s="37">
        <f t="array" ref="N8">IF(C4="","",INDEX([1]AB4!AS:AS,MATCH(A8,[1]AB4!B:B,0)))</f>
        <v>3</v>
      </c>
      <c r="O8" s="38"/>
      <c r="P8" s="36" t="str">
        <f t="array" ref="P8">IF(C4="","",CONCATENATE(INDEX([1]AB4!AA:AA,MATCH(A8,[1]AB4!B:B,0))," ( ",INDEX([1]AB4!AE:AE,MATCH(A8,[1]AB4!B:B,0))," or ",INDEX([1]AB4!AT:AT,MATCH(A8,[1]AB4!B:B,0)),INDEX([1]AB4!AJ:AJ,MATCH(A8,[1]AB4!B:B,0)),TEXT(INDEX([1]AB4!AU:AU,MATCH(A8,[1]AB4!B:B,0)),"0.00%")," )"))</f>
        <v>Min ( S : Entry or FUT : PRV : 2DHH + 0.05% )</v>
      </c>
      <c r="Q8" s="37">
        <f t="array" ref="Q8">IF(C4="","",INDEX([1]AB4!AV:AV,MATCH(A8,[1]AB4!B:B,0)))</f>
        <v>2</v>
      </c>
      <c r="R8" s="38"/>
      <c r="S8" s="36" t="str">
        <f t="array" ref="S8">IF(C4="","",CONCATENATE(INDEX([1]AB4!AA:AA,MATCH(A8,[1]AB4!B:B,0))," ( ",INDEX([1]AB4!AE:AE,MATCH(A8,[1]AB4!B:B,0))," or ",INDEX([1]AB4!AW:AW,MATCH(A8,[1]AB4!B:B,0)),INDEX([1]AB4!AJ:AJ,MATCH(A8,[1]AB4!B:B,0)),TEXT(INDEX([1]AB4!AX:AX,MATCH(A8,[1]AB4!B:B,0)),"0.00%")," )"))</f>
        <v>Min ( S : Entry or FUT : PRV : 2DHH + 0.05% )</v>
      </c>
      <c r="T8" s="37">
        <f t="array" ref="T8">IF(C4="","",INDEX([1]AB4!AY:AY,MATCH(A8,[1]AB4!B:B,0)))</f>
        <v>1</v>
      </c>
      <c r="U8" s="38"/>
      <c r="V8" s="36" t="str">
        <f t="array" ref="V8">IF(C4="","",CONCATENATE(INDEX([1]AB4!AA:AA,MATCH(A8,[1]AB4!B:B,0))," ( ",INDEX([1]AB4!AE:AE,MATCH(A8,[1]AB4!B:B,0))," or ",INDEX([1]AB4!AW:AW,MATCH(A8,[1]AB4!B:B,0)),INDEX([1]AB4!AJ:AJ,MATCH(A8,[1]AB4!B:B,0)),TEXT(INDEX([1]AB4!AX:AX,MATCH(A8,[1]AB4!B:B,0)),"0.00%")," )"))</f>
        <v>Min ( S : Entry or FUT : PRV : 2DHH + 0.05% )</v>
      </c>
      <c r="W8" s="37">
        <f t="array" ref="W8">IF(C4="","",INDEX([1]AB4!AY:AY,MATCH(A8,[1]AB4!B:B,0)))</f>
        <v>1</v>
      </c>
      <c r="X8" s="38"/>
      <c r="Y8" s="40">
        <f t="array" ref="Y8">IF(C4="","",INDEX([1]AB4!AZ:AZ,MATCH(A8,[1]AB4!B:B,0)))</f>
        <v>0</v>
      </c>
      <c r="Z8" s="37">
        <f t="array" ref="Z8">IF(C4="","",INDEX([1]AB4!BB:BB,MATCH(A8,[1]AB4!B:B,0)))</f>
        <v>0</v>
      </c>
      <c r="AA8" s="41"/>
      <c r="AB8" s="30"/>
      <c r="AC8" s="30"/>
    </row>
    <row r="9" spans="1:29" ht="19.5" customHeight="1" thickBot="1" x14ac:dyDescent="0.25">
      <c r="A9" s="18" t="str">
        <f>IF(C4="","",CONCATENATE(C5,[1]AB5!$A$9))</f>
        <v>S1C</v>
      </c>
      <c r="B9" s="31" t="str">
        <f>IF(C4="","",IF([1]AB5!$B$9="","",[1]AB5!$B$9))</f>
        <v>Segment</v>
      </c>
      <c r="C9" s="54" t="str">
        <f t="array" ref="C9">IF(C4="","",INDEX([1]AB2!C:C,MATCH(C4,[1]AB2!A:A,0)))</f>
        <v>FUTURES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30"/>
      <c r="AC9" s="30"/>
    </row>
    <row r="10" spans="1:29" ht="30.75" customHeight="1" x14ac:dyDescent="0.2">
      <c r="A10" s="18" t="str">
        <f>IF(C4="","",CONCATENATE(C5,[1]AB5!$A$10))</f>
        <v>S1D</v>
      </c>
      <c r="B10" s="31" t="str">
        <f>IF(C4="","",IF([1]AB5!$B$10="","",[1]AB5!$B$10))</f>
        <v>Symbol</v>
      </c>
      <c r="C10" s="54" t="str">
        <f t="array" ref="C10">IF(C4="","",INDEX([1]AB2!E:E,MATCH(C4,[1]AB2!A:A,0)))</f>
        <v>USDINR</v>
      </c>
      <c r="D10" s="56" t="str">
        <f>IF(C4="","",IF(C4="","",[1]AB5!$D$10))</f>
        <v>BEAR / BEAR CF</v>
      </c>
      <c r="E10" s="57" t="str">
        <f>IF(C4="","",[1]AB5!$F$10)</f>
        <v>BUY</v>
      </c>
      <c r="F10" s="58" t="str">
        <f>IF(C4="","",[1]AB5!$G$10)</f>
        <v>E &amp; T</v>
      </c>
      <c r="G10" s="25" t="str">
        <f t="array" ref="G10">IF(C4="","",CONCATENATE(INDEX([1]AB4!G:G,MATCH(A10,[1]AB4!B:B,0)),INDEX([1]AB4!H:H,MATCH(A10,[1]AB4!B:B,0)),TEXT(INDEX([1]AB4!I:I,MATCH(A10,[1]AB4!B:B,0)),"0.00%")))</f>
        <v>FUT : PRV : 2DHH + 0.05%</v>
      </c>
      <c r="H10" s="26">
        <f t="array" ref="H10">IF(C4="","",INDEX([1]AB4!J:J,MATCH(A10,[1]AB4!B:B,0)))</f>
        <v>5</v>
      </c>
      <c r="I10" s="27"/>
      <c r="J10" s="28" t="str">
        <f t="array" ref="J10">IF(C4="","",CONCATENATE(INDEX([1]AB4!L:L,MATCH(A10,[1]AB4!B:B,0)),INDEX([1]AB4!M:M,MATCH(A10,[1]AB4!B:B,0)),TEXT(INDEX([1]AB4!N:N,MATCH(A10,[1]AB4!B:B,0)),"0.00%")))</f>
        <v>L : Entry  + 0.40%</v>
      </c>
      <c r="K10" s="26">
        <f t="array" ref="K10">IF(C4="","",INDEX([1]AB4!O:O,MATCH(A10,[1]AB4!B:B,0)))</f>
        <v>1</v>
      </c>
      <c r="L10" s="27"/>
      <c r="M10" s="28" t="str">
        <f t="array" ref="M10">IF(C4="","",CONCATENATE(INDEX([1]AB4!L:L,MATCH(A10,[1]AB4!B:B,0)),INDEX([1]AB4!M:M,MATCH(A10,[1]AB4!B:B,0)),TEXT(INDEX([1]AB4!P:P,MATCH(A10,[1]AB4!B:B,0)),"0.00%")))</f>
        <v>L : Entry  + 0.60%</v>
      </c>
      <c r="N10" s="26">
        <f t="array" ref="N10">IF(C4="","",INDEX([1]AB4!Q:Q,MATCH(A10,[1]AB4!B:B,0)))</f>
        <v>1</v>
      </c>
      <c r="O10" s="27"/>
      <c r="P10" s="28" t="str">
        <f t="array" ref="P10">IF(C4="","",CONCATENATE(INDEX([1]AB4!L:L,MATCH(A10,[1]AB4!B:B,0)),INDEX([1]AB4!M:M,MATCH(A10,[1]AB4!B:B,0)),TEXT(INDEX([1]AB4!R:R,MATCH(A10,[1]AB4!B:B,0)),"0.00%")))</f>
        <v>L : Entry  + 0.80%</v>
      </c>
      <c r="Q10" s="26">
        <f t="array" ref="Q10">IF(C4="","",INDEX([1]AB4!S:S,MATCH(A10,[1]AB4!B:B,0)))</f>
        <v>1</v>
      </c>
      <c r="R10" s="27"/>
      <c r="S10" s="28" t="str">
        <f t="array" ref="S10">IF(C4="","",CONCATENATE(INDEX([1]AB4!L:L,MATCH(A10,[1]AB4!B:B,0)),INDEX([1]AB4!M:M,MATCH(A10,[1]AB4!B:B,0)),TEXT(INDEX([1]AB4!T:T,MATCH(A10,[1]AB4!B:B,0)),"0.00%")))</f>
        <v>L : Entry  + 1.00%</v>
      </c>
      <c r="T10" s="26">
        <f t="array" ref="T10">IF(C4="","",INDEX([1]AB4!U:U,MATCH(A10,[1]AB4!B:B,0)))</f>
        <v>1</v>
      </c>
      <c r="U10" s="27"/>
      <c r="V10" s="28" t="str">
        <f t="array" ref="V10">IF(C4="","",INDEX([1]AB4!V:V,MATCH(A10,[1]AB4!B:B,0)))</f>
        <v>TR PROFIT AFTER TGT 4</v>
      </c>
      <c r="W10" s="26">
        <f t="array" ref="W10">IF(C4="","",INDEX([1]AB4!W:W,MATCH(A10,[1]AB4!B:B,0)))</f>
        <v>1</v>
      </c>
      <c r="X10" s="27"/>
      <c r="Y10" s="28" t="str">
        <f t="array" ref="Y10">IF(C4="","",INDEX([1]AB4!X:X,MATCH(A10,[1]AB4!B:B,0)))</f>
        <v>N.A.</v>
      </c>
      <c r="Z10" s="26" t="str">
        <f t="array" ref="Z10">IF(C4="","",INDEX([1]AB4!Y:Y,MATCH(A10,[1]AB4!B:B,0)))</f>
        <v>N.A.</v>
      </c>
      <c r="AA10" s="29"/>
      <c r="AB10" s="30"/>
      <c r="AC10" s="30"/>
    </row>
    <row r="11" spans="1:29" ht="44.25" customHeight="1" thickBot="1" x14ac:dyDescent="0.25">
      <c r="A11" s="18" t="str">
        <f>IF(C4="","",CONCATENATE(C5,[1]AB5!$A$11))</f>
        <v>S1D</v>
      </c>
      <c r="B11" s="31" t="str">
        <f>IF(C4="","",IF([1]AB5!$B$11="","",[1]AB5!$B$11))</f>
        <v>No. of TGT</v>
      </c>
      <c r="C11" s="54" t="str">
        <f t="array" ref="C11">IF(C4="","",INDEX([1]AB2!K:K,MATCH(C4,[1]AB2!A:A,0)))</f>
        <v>4 &amp; APS</v>
      </c>
      <c r="D11" s="59"/>
      <c r="E11" s="60"/>
      <c r="F11" s="61" t="str">
        <f>IF(C4="","",[1]AB5!$G$11)</f>
        <v>SL / TRP</v>
      </c>
      <c r="G11" s="36" t="str">
        <f t="array" ref="G11">IF(C4="","",CONCATENATE(INDEX([1]AB4!AA:AA,MATCH(A11,[1]AB4!B:B,0))," ( ",INDEX([1]AB4!AE:AE,MATCH(A11,[1]AB4!B:B,0)),INDEX([1]AB4!AF:AF,MATCH(A11,[1]AB4!B:B,0)),TEXT(INDEX([1]AB4!AG:AG,MATCH(A11,[1]AB4!B:B,0)),"0.00%")," or ",INDEX([1]AB4!AK:AK,MATCH(A11,[1]AB4!B:B,0)),INDEX([1]AB4!AJ:AJ,MATCH(A11,[1]AB4!B:B,0)),TEXT(INDEX([1]AB4!AL:AL,MATCH(A11,[1]AB4!B:B,0)),"0.00%")," )"))</f>
        <v>Max ( L : Entry - 0.40% or FUT : PRV : 2DLL - 0.05% )</v>
      </c>
      <c r="H11" s="37">
        <f t="array" ref="H11">IF(C4="","",INDEX([1]AB4!AM:AM,MATCH(A11,[1]AB4!B:B,0)))</f>
        <v>5</v>
      </c>
      <c r="I11" s="38"/>
      <c r="J11" s="36" t="str">
        <f t="array" ref="J11">IF(C4="","",CONCATENATE(INDEX([1]AB4!AA:AA,MATCH(A11,[1]AB4!B:B,0))," ( ",INDEX([1]AB4!AE:AE,MATCH(A11,[1]AB4!B:B,0))," or ",INDEX([1]AB4!AN:AN,MATCH(A11,[1]AB4!B:B,0)),INDEX([1]AB4!AJ:AJ,MATCH(A11,[1]AB4!B:B,0)),TEXT(INDEX([1]AB4!AO:AO,MATCH(A11,[1]AB4!B:B,0)),"0.00%")," )"))</f>
        <v>Max ( L : Entry or FUT : PRV : 2DLL - 0.05% )</v>
      </c>
      <c r="K11" s="37">
        <f t="array" ref="K11">IF(C4="","",INDEX([1]AB4!AP:AP,MATCH(A11,[1]AB4!B:B,0)))</f>
        <v>4</v>
      </c>
      <c r="L11" s="38"/>
      <c r="M11" s="36" t="str">
        <f t="array" ref="M11">IF(C4="","",CONCATENATE(INDEX([1]AB4!AA:AA,MATCH(A11,[1]AB4!B:B,0))," ( ",INDEX([1]AB4!AE:AE,MATCH(A11,[1]AB4!B:B,0))," or ",INDEX([1]AB4!AQ:AQ,MATCH(A11,[1]AB4!B:B,0)),INDEX([1]AB4!AJ:AJ,MATCH(A11,[1]AB4!B:B,0)),TEXT(INDEX([1]AB4!AR:AR,MATCH(A11,[1]AB4!B:B,0)),"0.00%")," )"))</f>
        <v>Max ( L : Entry or FUT : PRV : 2DLL - 0.05% )</v>
      </c>
      <c r="N11" s="37">
        <f t="array" ref="N11">IF(C4="","",INDEX([1]AB4!AS:AS,MATCH(A11,[1]AB4!B:B,0)))</f>
        <v>3</v>
      </c>
      <c r="O11" s="38"/>
      <c r="P11" s="36" t="str">
        <f t="array" ref="P11">IF(C4="","",CONCATENATE(INDEX([1]AB4!AA:AA,MATCH(A11,[1]AB4!B:B,0))," ( ",INDEX([1]AB4!AE:AE,MATCH(A11,[1]AB4!B:B,0))," or ",INDEX([1]AB4!AT:AT,MATCH(A11,[1]AB4!B:B,0)),INDEX([1]AB4!AJ:AJ,MATCH(A11,[1]AB4!B:B,0)),TEXT(INDEX([1]AB4!AU:AU,MATCH(A11,[1]AB4!B:B,0)),"0.00%")," )"))</f>
        <v>Max ( L : Entry or FUT : PRV : 2DLL - 0.05% )</v>
      </c>
      <c r="Q11" s="37">
        <f t="array" ref="Q11">IF(C4="","",INDEX([1]AB4!AV:AV,MATCH(A11,[1]AB4!B:B,0)))</f>
        <v>2</v>
      </c>
      <c r="R11" s="38"/>
      <c r="S11" s="36" t="str">
        <f t="array" ref="S11">IF(C4="","",CONCATENATE(INDEX([1]AB4!AA:AA,MATCH(A11,[1]AB4!B:B,0))," ( ",INDEX([1]AB4!AE:AE,MATCH(A11,[1]AB4!B:B,0))," or ",INDEX([1]AB4!AW:AW,MATCH(A11,[1]AB4!B:B,0)),INDEX([1]AB4!AJ:AJ,MATCH(A11,[1]AB4!B:B,0)),TEXT(INDEX([1]AB4!AX:AX,MATCH(A11,[1]AB4!B:B,0)),"0.00%")," )"))</f>
        <v>Max ( L : Entry or FUT : PRV : 2DLL - 0.05% )</v>
      </c>
      <c r="T11" s="37">
        <f t="array" ref="T11">IF(C4="","",INDEX([1]AB4!AY:AY,MATCH(A11,[1]AB4!B:B,0)))</f>
        <v>1</v>
      </c>
      <c r="U11" s="38"/>
      <c r="V11" s="36" t="str">
        <f t="array" ref="V11">IF(C4="","",CONCATENATE(INDEX([1]AB4!AA:AA,MATCH(A11,[1]AB4!B:B,0))," ( ",INDEX([1]AB4!AE:AE,MATCH(A11,[1]AB4!B:B,0))," or ",INDEX([1]AB4!AW:AW,MATCH(A11,[1]AB4!B:B,0)),INDEX([1]AB4!AJ:AJ,MATCH(A11,[1]AB4!B:B,0)),TEXT(INDEX([1]AB4!AX:AX,MATCH(A11,[1]AB4!B:B,0)),"0.00%")," )"))</f>
        <v>Max ( L : Entry or FUT : PRV : 2DLL - 0.05% )</v>
      </c>
      <c r="W11" s="37">
        <f t="array" ref="W11">IF(C4="","",INDEX([1]AB4!AY:AY,MATCH(A11,[1]AB4!B:B,0)))</f>
        <v>1</v>
      </c>
      <c r="X11" s="38"/>
      <c r="Y11" s="40">
        <f t="array" ref="Y11">IF(C4="","",INDEX([1]AB4!AZ:AZ,MATCH(A11,[1]AB4!B:B,0)))</f>
        <v>0</v>
      </c>
      <c r="Z11" s="37">
        <f t="array" ref="Z11">IF(C4="","",INDEX([1]AB4!BB:BB,MATCH(A11,[1]AB4!B:B,0)))</f>
        <v>0</v>
      </c>
      <c r="AA11" s="41"/>
      <c r="AB11" s="30"/>
      <c r="AC11" s="30"/>
    </row>
    <row r="12" spans="1:29" ht="6" customHeight="1" thickBot="1" x14ac:dyDescent="0.25">
      <c r="A12" s="18" t="str">
        <f>IF(C4="","",CONCATENATE(C5,[1]AB5!A12))</f>
        <v>S1</v>
      </c>
      <c r="B12" s="62" t="str">
        <f>IF(C4="","",IF([1]AB5!$B$12="","",[1]AB5!$B$12))</f>
        <v>Stay Blessed !!!</v>
      </c>
      <c r="C12" s="63"/>
      <c r="D12" s="59"/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6"/>
      <c r="AB12" s="30"/>
      <c r="AC12" s="30"/>
    </row>
    <row r="13" spans="1:29" ht="30.75" customHeight="1" x14ac:dyDescent="0.2">
      <c r="A13" s="18" t="str">
        <f>IF(C4="","",CONCATENATE(C5,[1]AB5!$A$13))</f>
        <v>S1E</v>
      </c>
      <c r="B13" s="64"/>
      <c r="C13" s="59"/>
      <c r="D13" s="59"/>
      <c r="E13" s="65" t="str">
        <f>IF(C4="","",[1]AB5!$F$13)</f>
        <v>SELL</v>
      </c>
      <c r="F13" s="58" t="str">
        <f>IF(C4="","",[1]AB5!$G$13)</f>
        <v>E &amp; T</v>
      </c>
      <c r="G13" s="25" t="str">
        <f t="array" ref="G13">IF(C4="","",CONCATENATE(INDEX([1]AB4!G:G,MATCH(A13,[1]AB4!B:B,0)),INDEX([1]AB4!H:H,MATCH(A13,[1]AB4!B:B,0)),TEXT(INDEX([1]AB4!I:I,MATCH(A13,[1]AB4!B:B,0)),"0.00%")))</f>
        <v>FUT : PRV : 2DLL - 0.05%</v>
      </c>
      <c r="H13" s="26">
        <f t="array" ref="H13">IF(C4="","",INDEX([1]AB4!J:J,MATCH(A13,[1]AB4!B:B,0)))</f>
        <v>5</v>
      </c>
      <c r="I13" s="27"/>
      <c r="J13" s="28" t="str">
        <f t="array" ref="J13">IF(C4="","",CONCATENATE(INDEX([1]AB4!L:L,MATCH(A13,[1]AB4!B:B,0)),INDEX([1]AB4!M:M,MATCH(A13,[1]AB4!B:B,0)),TEXT(INDEX([1]AB4!N:N,MATCH(A13,[1]AB4!B:B,0)),"0.00%")))</f>
        <v>S : Entry  - 0.40%</v>
      </c>
      <c r="K13" s="26">
        <f t="array" ref="K13">IF(C4="","",INDEX([1]AB4!O:O,MATCH(A13,[1]AB4!B:B,0)))</f>
        <v>1</v>
      </c>
      <c r="L13" s="27"/>
      <c r="M13" s="28" t="str">
        <f t="array" ref="M13">IF(C4="","",CONCATENATE(INDEX([1]AB4!L:L,MATCH(A13,[1]AB4!B:B,0)),INDEX([1]AB4!M:M,MATCH(A13,[1]AB4!B:B,0)),TEXT(INDEX([1]AB4!P:P,MATCH(A13,[1]AB4!B:B,0)),"0.00%")))</f>
        <v>S : Entry  - 0.60%</v>
      </c>
      <c r="N13" s="26">
        <f t="array" ref="N13">IF(C4="","",INDEX([1]AB4!Q:Q,MATCH(A13,[1]AB4!B:B,0)))</f>
        <v>1</v>
      </c>
      <c r="O13" s="27"/>
      <c r="P13" s="28" t="str">
        <f t="array" ref="P13">IF(C4="","",CONCATENATE(INDEX([1]AB4!L:L,MATCH(A13,[1]AB4!B:B,0)),INDEX([1]AB4!M:M,MATCH(A13,[1]AB4!B:B,0)),TEXT(INDEX([1]AB4!R:R,MATCH(A13,[1]AB4!B:B,0)),"0.00%")))</f>
        <v>S : Entry  - 0.80%</v>
      </c>
      <c r="Q13" s="26">
        <f t="array" ref="Q13">IF(C4="","",INDEX([1]AB4!S:S,MATCH(A13,[1]AB4!B:B,0)))</f>
        <v>1</v>
      </c>
      <c r="R13" s="27"/>
      <c r="S13" s="28" t="str">
        <f t="array" ref="S13">IF(C4="","",CONCATENATE(INDEX([1]AB4!L:L,MATCH(A13,[1]AB4!B:B,0)),INDEX([1]AB4!M:M,MATCH(A13,[1]AB4!B:B,0)),TEXT(INDEX([1]AB4!T:T,MATCH(A13,[1]AB4!B:B,0)),"0.00%")))</f>
        <v>S : Entry  - 1.00%</v>
      </c>
      <c r="T13" s="26">
        <f t="array" ref="T13">IF(C4="","",INDEX([1]AB4!U:U,MATCH(A13,[1]AB4!B:B,0)))</f>
        <v>1</v>
      </c>
      <c r="U13" s="27"/>
      <c r="V13" s="28" t="str">
        <f t="array" ref="V13">IF(C4="","",INDEX([1]AB4!V:V,MATCH(A13,[1]AB4!B:B,0)))</f>
        <v>TR PROFIT AFTER TGT 4</v>
      </c>
      <c r="W13" s="26">
        <f t="array" ref="W13">IF(C4="","",INDEX([1]AB4!W:W,MATCH(A13,[1]AB4!B:B,0)))</f>
        <v>1</v>
      </c>
      <c r="X13" s="27"/>
      <c r="Y13" s="28" t="str">
        <f t="array" ref="Y13">IF(C4="","",INDEX([1]AB4!X:X,MATCH(A13,[1]AB4!B:B,0)))</f>
        <v>N.A.</v>
      </c>
      <c r="Z13" s="26" t="str">
        <f t="array" ref="Z13">IF(C4="","",INDEX([1]AB4!Y:Y,MATCH(A13,[1]AB4!B:B,0)))</f>
        <v>N.A.</v>
      </c>
      <c r="AA13" s="29"/>
      <c r="AB13" s="30"/>
      <c r="AC13" s="30"/>
    </row>
    <row r="14" spans="1:29" ht="44.25" customHeight="1" thickBot="1" x14ac:dyDescent="0.25">
      <c r="A14" s="18" t="str">
        <f>IF(C4="","",CONCATENATE(C5,[1]AB5!$A$14))</f>
        <v>S1E</v>
      </c>
      <c r="B14" s="60"/>
      <c r="C14" s="66"/>
      <c r="D14" s="66"/>
      <c r="E14" s="60"/>
      <c r="F14" s="61" t="str">
        <f>IF(C4="","",[1]AB5!$G$14)</f>
        <v>SL / TRP</v>
      </c>
      <c r="G14" s="36" t="str">
        <f t="array" ref="G14">IF(C4="","",CONCATENATE(INDEX([1]AB4!AA:AA,MATCH(A14,[1]AB4!B:B,0))," ( ",INDEX([1]AB4!AE:AE,MATCH(A14,[1]AB4!B:B,0)),INDEX([1]AB4!AF:AF,MATCH(A14,[1]AB4!B:B,0)),TEXT(INDEX([1]AB4!AG:AG,MATCH(A14,[1]AB4!B:B,0)),"0.00%")," or ",INDEX([1]AB4!AK:AK,MATCH(A14,[1]AB4!B:B,0)),INDEX([1]AB4!AJ:AJ,MATCH(A14,[1]AB4!B:B,0)),TEXT(INDEX([1]AB4!AL:AL,MATCH(A14,[1]AB4!B:B,0)),"0.00%")," )"))</f>
        <v>Min ( S : Entry + 0.40% or FUT : PRV : 2DHH + 0.05% )</v>
      </c>
      <c r="H14" s="37">
        <f t="array" ref="H14">IF(C4="","",INDEX([1]AB4!AM:AM,MATCH(A14,[1]AB4!B:B,0)))</f>
        <v>5</v>
      </c>
      <c r="I14" s="38"/>
      <c r="J14" s="36" t="str">
        <f t="array" ref="J14">IF(C4="","",CONCATENATE(INDEX([1]AB4!AA:AA,MATCH(A14,[1]AB4!B:B,0))," ( ",INDEX([1]AB4!AE:AE,MATCH(A14,[1]AB4!B:B,0))," or ",INDEX([1]AB4!AN:AN,MATCH(A14,[1]AB4!B:B,0)),INDEX([1]AB4!AJ:AJ,MATCH(A14,[1]AB4!B:B,0)),TEXT(INDEX([1]AB4!AO:AO,MATCH(A14,[1]AB4!B:B,0)),"0.00%")," )"))</f>
        <v>Min ( S : Entry or FUT : PRV : 2DHH + 0.05% )</v>
      </c>
      <c r="K14" s="37">
        <f t="array" ref="K14">IF(C4="","",INDEX([1]AB4!AP:AP,MATCH(A14,[1]AB4!B:B,0)))</f>
        <v>4</v>
      </c>
      <c r="L14" s="38"/>
      <c r="M14" s="36" t="str">
        <f t="array" ref="M14">IF(C4="","",CONCATENATE(INDEX([1]AB4!AA:AA,MATCH(A14,[1]AB4!B:B,0))," ( ",INDEX([1]AB4!AE:AE,MATCH(A14,[1]AB4!B:B,0))," or ",INDEX([1]AB4!AQ:AQ,MATCH(A14,[1]AB4!B:B,0)),INDEX([1]AB4!AJ:AJ,MATCH(A14,[1]AB4!B:B,0)),TEXT(INDEX([1]AB4!AR:AR,MATCH(A14,[1]AB4!B:B,0)),"0.00%")," )"))</f>
        <v>Min ( S : Entry or FUT : PRV : 2DHH + 0.05% )</v>
      </c>
      <c r="N14" s="37">
        <f t="array" ref="N14">IF(C4="","",INDEX([1]AB4!AS:AS,MATCH(A14,[1]AB4!B:B,0)))</f>
        <v>3</v>
      </c>
      <c r="O14" s="38"/>
      <c r="P14" s="36" t="str">
        <f t="array" ref="P14">IF(C4="","",CONCATENATE(INDEX([1]AB4!AA:AA,MATCH(A14,[1]AB4!B:B,0))," ( ",INDEX([1]AB4!AE:AE,MATCH(A14,[1]AB4!B:B,0))," or ",INDEX([1]AB4!AT:AT,MATCH(A14,[1]AB4!B:B,0)),INDEX([1]AB4!AJ:AJ,MATCH(A14,[1]AB4!B:B,0)),TEXT(INDEX([1]AB4!AU:AU,MATCH(A14,[1]AB4!B:B,0)),"0.00%")," )"))</f>
        <v>Min ( S : Entry or FUT : PRV : 2DHH + 0.05% )</v>
      </c>
      <c r="Q14" s="37">
        <f t="array" ref="Q14">IF(C4="","",INDEX([1]AB4!AV:AV,MATCH(A14,[1]AB4!B:B,0)))</f>
        <v>2</v>
      </c>
      <c r="R14" s="38"/>
      <c r="S14" s="36" t="str">
        <f t="array" ref="S14">IF(C4="","",CONCATENATE(INDEX([1]AB4!AA:AA,MATCH(A14,[1]AB4!B:B,0))," ( ",INDEX([1]AB4!AE:AE,MATCH(A14,[1]AB4!B:B,0))," or ",INDEX([1]AB4!AW:AW,MATCH(A14,[1]AB4!B:B,0)),INDEX([1]AB4!AJ:AJ,MATCH(A14,[1]AB4!B:B,0)),TEXT(INDEX([1]AB4!AX:AX,MATCH(A14,[1]AB4!B:B,0)),"0.00%")," )"))</f>
        <v>Min ( S : Entry or FUT : PRV : 2DHH + 0.05% )</v>
      </c>
      <c r="T14" s="37">
        <f t="array" ref="T14">IF(C4="","",INDEX([1]AB4!AY:AY,MATCH(A14,[1]AB4!B:B,0)))</f>
        <v>1</v>
      </c>
      <c r="U14" s="38"/>
      <c r="V14" s="36" t="str">
        <f t="array" ref="V14">IF(C4="","",CONCATENATE(INDEX([1]AB4!AA:AA,MATCH(A14,[1]AB4!B:B,0))," ( ",INDEX([1]AB4!AE:AE,MATCH(A14,[1]AB4!B:B,0))," or ",INDEX([1]AB4!AW:AW,MATCH(A14,[1]AB4!B:B,0)),INDEX([1]AB4!AJ:AJ,MATCH(A14,[1]AB4!B:B,0)),TEXT(INDEX([1]AB4!AX:AX,MATCH(A14,[1]AB4!B:B,0)),"0.00%")," )"))</f>
        <v>Min ( S : Entry or FUT : PRV : 2DHH + 0.05% )</v>
      </c>
      <c r="W14" s="37">
        <f t="array" ref="W14">IF(C4="","",INDEX([1]AB4!AY:AY,MATCH(A14,[1]AB4!B:B,0)))</f>
        <v>1</v>
      </c>
      <c r="X14" s="38"/>
      <c r="Y14" s="40">
        <f t="array" ref="Y14">IF(C4="","",INDEX([1]AB4!AZ:AZ,MATCH(A14,[1]AB4!B:B,0)))</f>
        <v>0</v>
      </c>
      <c r="Z14" s="37">
        <f t="array" ref="Z14">IF(C4="","",INDEX([1]AB4!BB:BB,MATCH(A14,[1]AB4!B:B,0)))</f>
        <v>0</v>
      </c>
      <c r="AA14" s="41"/>
      <c r="AB14" s="30"/>
      <c r="AC14" s="30"/>
    </row>
    <row r="15" spans="1:29" ht="6" customHeight="1" thickBot="1" x14ac:dyDescent="0.25">
      <c r="A15" s="18"/>
      <c r="B15" s="55"/>
      <c r="C15" s="55"/>
      <c r="D15" s="55"/>
      <c r="E15" s="30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30"/>
      <c r="AA15" s="30"/>
      <c r="AB15" s="68"/>
      <c r="AC15" s="68"/>
    </row>
    <row r="16" spans="1:29" ht="21.75" customHeight="1" x14ac:dyDescent="0.2">
      <c r="A16" s="18"/>
      <c r="B16" s="69" t="str">
        <f>IF(C4="","",[1]AB5!$B$16)</f>
        <v>For Entry</v>
      </c>
      <c r="C16" s="29"/>
      <c r="D16" s="70" t="str">
        <f>IF(C4="","",[1]AB5!$D$16)</f>
        <v>Gap Check</v>
      </c>
      <c r="E16" s="71"/>
      <c r="F16" s="70" t="str">
        <f>IF(C4="","",[1]AB5!$G$16)</f>
        <v>Process</v>
      </c>
      <c r="G16" s="72"/>
      <c r="H16" s="73" t="str">
        <f>IF(C4="","",[1]AB5!$I$16)</f>
        <v>Y / N</v>
      </c>
      <c r="I16" s="72"/>
      <c r="J16" s="74" t="str">
        <f>IF(C4="","",[1]AB5!$K$16)</f>
        <v>Order Status</v>
      </c>
      <c r="K16" s="75" t="str">
        <f>IF(C4="","",[1]AB5!$L$16)</f>
        <v>Step 1</v>
      </c>
      <c r="L16" s="76"/>
      <c r="M16" s="76"/>
      <c r="N16" s="72"/>
      <c r="O16" s="73" t="str">
        <f>IF(C4="","",[1]AB5!$P$16)</f>
        <v>Order Placement Timings</v>
      </c>
      <c r="P16" s="72"/>
      <c r="Q16" s="73" t="str">
        <f>IF(C4="","",[1]AB5!$R$16)</f>
        <v>Time</v>
      </c>
      <c r="R16" s="72"/>
      <c r="S16" s="75" t="str">
        <f>IF(C4="","",[1]AB5!$T$16)</f>
        <v>Rules For Gaps</v>
      </c>
      <c r="T16" s="76"/>
      <c r="U16" s="72"/>
      <c r="V16" s="74" t="str">
        <f>IF(C4="","",[1]AB5!$W$16)</f>
        <v>Data</v>
      </c>
      <c r="W16" s="73" t="str">
        <f>IF(C4="","",[1]AB5!$X$16)</f>
        <v>Buffer</v>
      </c>
      <c r="X16" s="71"/>
      <c r="Y16" s="77" t="str">
        <f>IF(C4="","",[1]AB5!$AA$16)</f>
        <v>Rules For Re Entry</v>
      </c>
      <c r="Z16" s="76"/>
      <c r="AA16" s="71"/>
      <c r="AB16" s="78"/>
      <c r="AC16" s="78"/>
    </row>
    <row r="17" spans="1:29" ht="31.5" customHeight="1" x14ac:dyDescent="0.2">
      <c r="A17" s="18" t="str">
        <f>IF(C4="","",CONCATENATE(C5,[1]AB5!$A$17))</f>
        <v>S1A</v>
      </c>
      <c r="B17" s="79" t="str">
        <f>IF(C4="","",[1]AB5!$B$17)</f>
        <v xml:space="preserve">ORPT </v>
      </c>
      <c r="C17" s="80" t="str">
        <f>IF(C4="","",[1]AB5!$C$17)</f>
        <v xml:space="preserve"> RC. Time</v>
      </c>
      <c r="D17" s="81" t="str">
        <f>IF(C4="","",[1]AB5!$D$17)</f>
        <v>For Long Entry</v>
      </c>
      <c r="E17" s="63"/>
      <c r="F17" s="82" t="str">
        <f>IF(C4="","",CONCATENATE([1]AB5!$G$17,TEXT(B18,"HH:MM:SS AM/PM"),[1]AB5!$B$18,[1]AB5!$H$17))</f>
        <v>Check If  09:04:59 AM HH &gt; Long Entry</v>
      </c>
      <c r="G17" s="83"/>
      <c r="H17" s="84" t="str">
        <f>IF(C4="","",[1]AB5!$I$17)</f>
        <v>No</v>
      </c>
      <c r="I17" s="85"/>
      <c r="J17" s="86" t="str">
        <f>IF(C4="","",[1]AB5!$K$17)</f>
        <v>Entry Not Missed</v>
      </c>
      <c r="K17" s="87" t="str">
        <f>IF(C4="","",[1]AB5!$L$17)</f>
        <v>Place the Order at ORPT</v>
      </c>
      <c r="L17" s="88"/>
      <c r="M17" s="88"/>
      <c r="N17" s="85"/>
      <c r="O17" s="87" t="str">
        <f>IF(C4="","",[1]AB5!$P$17)</f>
        <v>ORPT Time</v>
      </c>
      <c r="P17" s="85"/>
      <c r="Q17" s="89">
        <f>IF(C4="","",B18)</f>
        <v>0.37846527777777778</v>
      </c>
      <c r="R17" s="85"/>
      <c r="S17" s="87" t="str">
        <f>IF(C4="","",[1]AB5!$T$17)</f>
        <v>N.A.</v>
      </c>
      <c r="T17" s="88"/>
      <c r="U17" s="85"/>
      <c r="V17" s="86" t="str">
        <f>IF(C4="","",[1]AB5!$W$17)</f>
        <v>N.A.</v>
      </c>
      <c r="W17" s="90" t="str">
        <f>IF(C4="","",[1]AB5!$X$17)</f>
        <v>N.A.</v>
      </c>
      <c r="X17" s="91"/>
      <c r="Y17" s="92" t="str">
        <f>IF(C4="","",[1]AB5!$AA$17)</f>
        <v xml:space="preserve">Long Entry : Bull/ Bull CF : </v>
      </c>
      <c r="Z17" s="88"/>
      <c r="AA17" s="91"/>
      <c r="AB17" s="68"/>
      <c r="AC17" s="68"/>
    </row>
    <row r="18" spans="1:29" ht="31.5" customHeight="1" x14ac:dyDescent="0.2">
      <c r="A18" s="18" t="str">
        <f>IF(C4="","",CONCATENATE(C5,[1]AB5!$A$18))</f>
        <v>S1B</v>
      </c>
      <c r="B18" s="93">
        <f t="array" ref="B18">IF(C4="","",INDEX([1]AB4!BE:BE,MATCH(A17,[1]AB4!B:B,0)))</f>
        <v>0.37846527777777778</v>
      </c>
      <c r="C18" s="94">
        <f t="array" ref="C18">IF(C4="","",INDEX([1]AB4!BE:BE,MATCH(A18,[1]AB4!B:B,0)))</f>
        <v>0.38540972222222225</v>
      </c>
      <c r="D18" s="64"/>
      <c r="E18" s="59"/>
      <c r="F18" s="64"/>
      <c r="G18" s="95"/>
      <c r="H18" s="96" t="str">
        <f>IF(C4="","",[1]AB5!$I$18)</f>
        <v>Yes</v>
      </c>
      <c r="I18" s="83"/>
      <c r="J18" s="97" t="str">
        <f>IF(C4="","",[1]AB5!$K$18)</f>
        <v>Entry Missed</v>
      </c>
      <c r="K18" s="87" t="str">
        <f>IF(C4="","",[1]AB5!$L$18)</f>
        <v>Recalcuate : Long Entry : Bull / Bull CF</v>
      </c>
      <c r="L18" s="88"/>
      <c r="M18" s="88"/>
      <c r="N18" s="85"/>
      <c r="O18" s="87" t="str">
        <f>IF(C4="","",[1]AB5!$P$18)</f>
        <v>Wait Till Recalculation Time</v>
      </c>
      <c r="P18" s="85"/>
      <c r="Q18" s="89">
        <f>IF(C4="","",C18)</f>
        <v>0.38540972222222225</v>
      </c>
      <c r="R18" s="85"/>
      <c r="S18" s="98" t="str">
        <f>IF(C4="","",CONCATENATE(V18," ",[1]AB5!$Z$18," ",TEXT(W18,"0.00%")))</f>
        <v>09:14:59 AM HH + 0.05%</v>
      </c>
      <c r="T18" s="88"/>
      <c r="U18" s="85"/>
      <c r="V18" s="99" t="str">
        <f>IF(C4="","",CONCATENATE(TEXT(Q18,"HH:MM:SS AM/PM"),[1]AB5!$U$18))</f>
        <v>09:14:59 AM HH</v>
      </c>
      <c r="W18" s="100" t="str">
        <f t="array" ref="W18">IF(A4="","",TEXT(INDEX([1]AB4!BK:BK,MATCH(A5,[1]AB4!B:B,0)),"0.00%"))</f>
        <v>0.05%</v>
      </c>
      <c r="X18" s="91"/>
      <c r="Y18" s="101" t="str">
        <f>IF(C4="","",CONCATENATE([1]AB5!$T$18," ( ",G4," or ",[1]AB5!$AA$18," ",[1]AB5!$Z$18," ",TEXT(W18,"0.00%")," )"))</f>
        <v>Max ( FUT : PRV : 2DHH + 0.05% or  CDHH + 0.05% )</v>
      </c>
      <c r="Z18" s="88"/>
      <c r="AA18" s="91"/>
      <c r="AB18" s="68"/>
      <c r="AC18" s="68"/>
    </row>
    <row r="19" spans="1:29" ht="31.5" customHeight="1" thickBot="1" x14ac:dyDescent="0.25">
      <c r="A19" s="18"/>
      <c r="B19" s="34"/>
      <c r="C19" s="102"/>
      <c r="D19" s="103"/>
      <c r="E19" s="104"/>
      <c r="F19" s="103"/>
      <c r="G19" s="105"/>
      <c r="H19" s="51"/>
      <c r="I19" s="105"/>
      <c r="J19" s="53"/>
      <c r="K19" s="87" t="str">
        <f>IF(C4="","",[1]AB5!$L$19)</f>
        <v>Recalcuate : Long Entry : Bear / Bear CF</v>
      </c>
      <c r="L19" s="88"/>
      <c r="M19" s="88"/>
      <c r="N19" s="85"/>
      <c r="O19" s="87" t="str">
        <f>IF(C4="","",[1]AB5!$P$19)</f>
        <v>Wait Till Recalculation Time</v>
      </c>
      <c r="P19" s="85"/>
      <c r="Q19" s="89">
        <f>IF(C4="","",C18)</f>
        <v>0.38540972222222225</v>
      </c>
      <c r="R19" s="85"/>
      <c r="S19" s="98" t="str">
        <f>IF(C4="","",CONCATENATE(V19," ",[1]AB5!$Z$19," ",TEXT(W19,"0.00%"),))</f>
        <v>09:14:59 AM HH + 0.05%</v>
      </c>
      <c r="T19" s="88"/>
      <c r="U19" s="85"/>
      <c r="V19" s="99" t="str">
        <f>IF(C4="","",CONCATENATE(TEXT(Q19,"HH:MM:SS AM/PM"),[1]AB5!$U$19))</f>
        <v>09:14:59 AM HH</v>
      </c>
      <c r="W19" s="100" t="str">
        <f t="array" ref="W19">IF(C4="","",TEXT(INDEX([1]AB4!BK:BK,MATCH(A10,[1]AB4!B:B,0)),"0.00%"))</f>
        <v>0.05%</v>
      </c>
      <c r="X19" s="91"/>
      <c r="Y19" s="106" t="str">
        <f>IF(C4="","",[1]AB5!$AA$19)</f>
        <v xml:space="preserve">Long Entry : Bear/ Bear CF : </v>
      </c>
      <c r="Z19" s="88"/>
      <c r="AA19" s="91"/>
      <c r="AB19" s="68"/>
      <c r="AC19" s="68"/>
    </row>
    <row r="20" spans="1:29" ht="31.5" customHeight="1" x14ac:dyDescent="0.2">
      <c r="A20" s="18"/>
      <c r="B20" s="69" t="str">
        <f>IF(C4="","",[1]AB5!$B$20)</f>
        <v>For SL (Position = Open)</v>
      </c>
      <c r="C20" s="29"/>
      <c r="D20" s="107" t="str">
        <f>IF(C4="","",[1]AB5!$D$20)</f>
        <v>For Short Entry</v>
      </c>
      <c r="E20" s="63"/>
      <c r="F20" s="82" t="str">
        <f>IF(C4="","",CONCATENATE([1]AB5!$G$20,TEXT(B18,"HH:MM:SS AM/PM"),[1]AB5!$B$18,[1]AB5!$H$20))</f>
        <v>Check If  09:04:59 AM LL &lt; Short Entry</v>
      </c>
      <c r="G20" s="83"/>
      <c r="H20" s="108" t="str">
        <f>IF(C4="","",[1]AB5!$I$20)</f>
        <v>No</v>
      </c>
      <c r="I20" s="85"/>
      <c r="J20" s="109" t="str">
        <f>IF(C4="","",[1]AB5!$K$20)</f>
        <v>Entry Not Missed</v>
      </c>
      <c r="K20" s="110" t="str">
        <f>IF(C4="","",[1]AB5!$L$20)</f>
        <v>Place the Order at ORPT</v>
      </c>
      <c r="L20" s="88"/>
      <c r="M20" s="88"/>
      <c r="N20" s="85"/>
      <c r="O20" s="110" t="str">
        <f>IF(C4="","",[1]AB5!$P$20)</f>
        <v>ORPT Time</v>
      </c>
      <c r="P20" s="85"/>
      <c r="Q20" s="111">
        <f>IF(C4="","",B18)</f>
        <v>0.37846527777777778</v>
      </c>
      <c r="R20" s="85"/>
      <c r="S20" s="110" t="str">
        <f>IF(C4="","",[1]AB5!$T$20)</f>
        <v>N.A.</v>
      </c>
      <c r="T20" s="88"/>
      <c r="U20" s="85"/>
      <c r="V20" s="109" t="str">
        <f>IF(C4="","",[1]AB5!$W$20)</f>
        <v>N.A.</v>
      </c>
      <c r="W20" s="112" t="str">
        <f>IF(C4="","",[1]AB5!$X$20)</f>
        <v>N.A.</v>
      </c>
      <c r="X20" s="91"/>
      <c r="Y20" s="101" t="str">
        <f>IF(C4="","",CONCATENATE([1]AB5!$T$19," ( ",G10," or ",[1]AB5!$AA$20," ",[1]AB5!$Z$19," ",TEXT(W19,"0.00%")," )"))</f>
        <v>Max ( FUT : PRV : 2DHH + 0.05% or  CDHH + 0.05% )</v>
      </c>
      <c r="Z20" s="88"/>
      <c r="AA20" s="91"/>
      <c r="AB20" s="68"/>
      <c r="AC20" s="68"/>
    </row>
    <row r="21" spans="1:29" ht="31.5" customHeight="1" x14ac:dyDescent="0.2">
      <c r="A21" s="18" t="str">
        <f>IF(C4="","",CONCATENATE(C5,[1]AB5!$A$21))</f>
        <v>S1A</v>
      </c>
      <c r="B21" s="79" t="str">
        <f>IF(C4="","",[1]AB5!$B$21)</f>
        <v xml:space="preserve">ORPT </v>
      </c>
      <c r="C21" s="80" t="str">
        <f>IF(C4="","",[1]AB5!$C$21)</f>
        <v xml:space="preserve"> RC. Time</v>
      </c>
      <c r="D21" s="64"/>
      <c r="E21" s="59"/>
      <c r="F21" s="64"/>
      <c r="G21" s="95"/>
      <c r="H21" s="113" t="str">
        <f>IF(C4="","",[1]AB5!$I$21)</f>
        <v>Yes</v>
      </c>
      <c r="I21" s="83"/>
      <c r="J21" s="114" t="str">
        <f>IF(C4="","",[1]AB5!$K$21)</f>
        <v>Entry Missed</v>
      </c>
      <c r="K21" s="110" t="str">
        <f>IF(C4="","",[1]AB5!$L$21)</f>
        <v>Recalcuate : Short Entry : Bull / Bull CF</v>
      </c>
      <c r="L21" s="88"/>
      <c r="M21" s="88"/>
      <c r="N21" s="85"/>
      <c r="O21" s="110" t="str">
        <f>IF(C4="","",[1]AB5!$P$21)</f>
        <v>Wait Till Recalculation Time</v>
      </c>
      <c r="P21" s="85"/>
      <c r="Q21" s="111">
        <f>IF(C4="","",C18)</f>
        <v>0.38540972222222225</v>
      </c>
      <c r="R21" s="85"/>
      <c r="S21" s="115" t="str">
        <f>IF(C4="","",CONCATENATE(V21," ",[1]AB5!$Z$21," ",TEXT(W21,"0.00%")))</f>
        <v>09:14:59 AM LL - 0.05%</v>
      </c>
      <c r="T21" s="88"/>
      <c r="U21" s="85"/>
      <c r="V21" s="116" t="str">
        <f>IF(C4="","",CONCATENATE(TEXT(Q21,"HH:MM:SS AM/PM"),[1]AB5!$U$21))</f>
        <v>09:14:59 AM LL</v>
      </c>
      <c r="W21" s="112" t="str">
        <f t="array" ref="W21">IF(C4="","",TEXT(INDEX([1]AB4!BK:BK,MATCH(A7,[1]AB4!B:B,0)),"0.00%"))</f>
        <v>0.05%</v>
      </c>
      <c r="X21" s="91"/>
      <c r="Y21" s="117" t="str">
        <f>IF(C4="","",[1]AB5!$AA$21)</f>
        <v>When Your Long Position is Exited</v>
      </c>
      <c r="Z21" s="118"/>
      <c r="AA21" s="59"/>
      <c r="AB21" s="68"/>
      <c r="AC21" s="68"/>
    </row>
    <row r="22" spans="1:29" ht="31.5" customHeight="1" thickBot="1" x14ac:dyDescent="0.25">
      <c r="A22" s="18" t="str">
        <f>IF(C4="","",CONCATENATE(C5,[1]AB5!$A$22))</f>
        <v>S1B</v>
      </c>
      <c r="B22" s="119">
        <f t="array" ref="B22">IF(C4="","",INDEX([1]AB4!BF:BF,MATCH(A21,[1]AB4!B:B,0)))</f>
        <v>0.37846527777777778</v>
      </c>
      <c r="C22" s="120">
        <f t="array" ref="C22">IF(C4="","",INDEX([1]AB4!BF:BF,MATCH(A22,[1]AB4!B:B,0)))</f>
        <v>0.38540972222222225</v>
      </c>
      <c r="D22" s="60"/>
      <c r="E22" s="66"/>
      <c r="F22" s="60"/>
      <c r="G22" s="121"/>
      <c r="H22" s="102"/>
      <c r="I22" s="121"/>
      <c r="J22" s="122"/>
      <c r="K22" s="123" t="str">
        <f>IF(C4="","",[1]AB5!$L$22)</f>
        <v>Recalcuate : Short Entry : Bear / Bear CF</v>
      </c>
      <c r="L22" s="124"/>
      <c r="M22" s="124"/>
      <c r="N22" s="38"/>
      <c r="O22" s="123" t="str">
        <f>IF(C4="","",[1]AB5!$P$22)</f>
        <v>Wait Till Recalculation Time</v>
      </c>
      <c r="P22" s="38"/>
      <c r="Q22" s="125">
        <f>IF(C4="","",C18)</f>
        <v>0.38540972222222225</v>
      </c>
      <c r="R22" s="38"/>
      <c r="S22" s="126" t="str">
        <f>IF(C4="","",CONCATENATE(V22," ",[1]AB5!$Z$22," ",TEXT(W22,"0.00%")))</f>
        <v>09:14:59 AM LL - 0.05%</v>
      </c>
      <c r="T22" s="124"/>
      <c r="U22" s="38"/>
      <c r="V22" s="127" t="str">
        <f>IF(C4="","",CONCATENATE(TEXT(Q22,"HH:MM:SS AM/PM"),[1]AB5!$U$22))</f>
        <v>09:14:59 AM LL</v>
      </c>
      <c r="W22" s="128" t="str">
        <f t="array" ref="W22">IF(C4="","",TEXT(INDEX([1]AB4!BK:BK,MATCH(A13,[1]AB4!B:B,0)),"0.00%"))</f>
        <v>0.05%</v>
      </c>
      <c r="X22" s="41"/>
      <c r="Y22" s="129" t="str">
        <f>IF(C4="","",[1]AB5!$AA$22)</f>
        <v>This is Only Applicable for Same Day</v>
      </c>
      <c r="Z22" s="130"/>
      <c r="AA22" s="66"/>
      <c r="AB22" s="68"/>
      <c r="AC22" s="68"/>
    </row>
    <row r="23" spans="1:29" ht="6" customHeight="1" thickBot="1" x14ac:dyDescent="0.25">
      <c r="A23" s="18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</row>
    <row r="24" spans="1:29" ht="21.75" customHeight="1" thickBot="1" x14ac:dyDescent="0.25">
      <c r="A24" s="18"/>
      <c r="B24" s="69" t="str">
        <f>IF(C4="","",[1]AB5!$B$24)</f>
        <v>For TGT (Position = Open)</v>
      </c>
      <c r="C24" s="29"/>
      <c r="D24" s="132" t="str">
        <f>IF(C4="","",[1]AB5!$D$24)</f>
        <v>Gap Check</v>
      </c>
      <c r="E24" s="133"/>
      <c r="F24" s="132" t="str">
        <f>IF(C4="","",[1]AB5!$G$24)</f>
        <v>Process</v>
      </c>
      <c r="G24" s="133"/>
      <c r="H24" s="132" t="str">
        <f>IF(C4="","",[1]AB5!$I$24)</f>
        <v>Y / N</v>
      </c>
      <c r="I24" s="133"/>
      <c r="J24" s="134" t="str">
        <f>IF(C4="","",[1]AB5!$K$24)</f>
        <v>Status</v>
      </c>
      <c r="K24" s="135" t="str">
        <f>IF(C4="","",[1]AB5!$L$24)</f>
        <v>Step 1</v>
      </c>
      <c r="L24" s="136"/>
      <c r="M24" s="136"/>
      <c r="N24" s="133"/>
      <c r="O24" s="132" t="str">
        <f>IF(C4="","",[1]AB5!$P$24)</f>
        <v>Order Placement Timings</v>
      </c>
      <c r="P24" s="133"/>
      <c r="Q24" s="132" t="str">
        <f>IF(C4="","",[1]AB5!$R$24)</f>
        <v>Time</v>
      </c>
      <c r="R24" s="133"/>
      <c r="S24" s="135" t="str">
        <f>IF(C4="","",[1]AB5!$T$24)</f>
        <v>Rules For Gaps</v>
      </c>
      <c r="T24" s="136"/>
      <c r="U24" s="133"/>
      <c r="V24" s="134" t="str">
        <f>IF(C4="","",[1]AB5!$W$24)</f>
        <v>Data</v>
      </c>
      <c r="W24" s="132" t="str">
        <f>IF(C4="","",[1]AB5!$X$24)</f>
        <v>Buffer</v>
      </c>
      <c r="X24" s="133"/>
      <c r="Y24" s="135" t="str">
        <f>IF(C4="","",[1]AB5!$AA$16)</f>
        <v>Rules For Re Entry</v>
      </c>
      <c r="Z24" s="136"/>
      <c r="AA24" s="133"/>
      <c r="AB24" s="78"/>
      <c r="AC24" s="78"/>
    </row>
    <row r="25" spans="1:29" ht="24" customHeight="1" x14ac:dyDescent="0.2">
      <c r="A25" s="18" t="str">
        <f>IF(C4="","",CONCATENATE(C5,[1]AB5!$A$25))</f>
        <v>S1A</v>
      </c>
      <c r="B25" s="79" t="str">
        <f>IF(C4="","",[1]AB5!$B$25)</f>
        <v xml:space="preserve">ORPT </v>
      </c>
      <c r="C25" s="80" t="str">
        <f>IF(C4="","",[1]AB5!$C$25)</f>
        <v xml:space="preserve"> RC. Time</v>
      </c>
      <c r="D25" s="137" t="str">
        <f>IF(C4="","",[1]AB5!$D$25)</f>
        <v>For Long SL</v>
      </c>
      <c r="E25" s="59"/>
      <c r="F25" s="138" t="str">
        <f>IF(C4="","",CONCATENATE([1]AB5!$G$25,TEXT(B22,"HH:MM:SS AM/PM"),[1]AB5!$B$22,[1]AB5!$H$25))</f>
        <v>Check If 09:04:59 AM LL &lt; Long SL</v>
      </c>
      <c r="G25" s="76"/>
      <c r="H25" s="139" t="str">
        <f>IF(C4="","",[1]AB5!$I$25)</f>
        <v>No</v>
      </c>
      <c r="I25" s="27"/>
      <c r="J25" s="140" t="str">
        <f>IF(C4="","",[1]AB5!$K$25)</f>
        <v>FSL / TRP Not Missed</v>
      </c>
      <c r="K25" s="141" t="str">
        <f>IF(C4="","",[1]AB5!$L$25)</f>
        <v>Place the Order at ORPT</v>
      </c>
      <c r="L25" s="142"/>
      <c r="M25" s="142"/>
      <c r="N25" s="27"/>
      <c r="O25" s="141" t="str">
        <f>IF(C4="","",[1]AB5!$P$25)</f>
        <v>ORPT Time</v>
      </c>
      <c r="P25" s="27"/>
      <c r="Q25" s="143">
        <f>IF(C4="","",B22)</f>
        <v>0.37846527777777778</v>
      </c>
      <c r="R25" s="27"/>
      <c r="S25" s="141" t="str">
        <f>IF(C4="","",[1]AB5!$U$25)</f>
        <v>N.A.</v>
      </c>
      <c r="T25" s="142"/>
      <c r="U25" s="27"/>
      <c r="V25" s="140" t="str">
        <f>IF(C4="","",[1]AB5!$W$25)</f>
        <v>N.A.</v>
      </c>
      <c r="W25" s="144" t="str">
        <f>IF(C4="","",[1]AB5!$X$25)</f>
        <v>N.A.</v>
      </c>
      <c r="X25" s="29"/>
      <c r="Y25" s="117" t="str">
        <f>IF(C4="","",[1]AB5!$AA$25)</f>
        <v xml:space="preserve">Short Entry : Bull/ Bull CF : </v>
      </c>
      <c r="Z25" s="12"/>
      <c r="AA25" s="59"/>
      <c r="AB25" s="68"/>
      <c r="AC25" s="68"/>
    </row>
    <row r="26" spans="1:29" ht="24" customHeight="1" thickBot="1" x14ac:dyDescent="0.25">
      <c r="A26" s="18" t="str">
        <f>IF(C4="","",CONCATENATE(C5,[1]AB5!$A$26))</f>
        <v>S1B</v>
      </c>
      <c r="B26" s="119">
        <f t="array" ref="B26">IF(C4="","",INDEX([1]AB4!BG:BG,MATCH(A25,[1]AB4!B:B,0)))</f>
        <v>0.375</v>
      </c>
      <c r="C26" s="120" t="str">
        <f t="array" ref="C26">IF(C4="","",INDEX([1]AB4!BG:BG,MATCH(A26,[1]AB4!B:B,0)))</f>
        <v>N.A.</v>
      </c>
      <c r="D26" s="64"/>
      <c r="E26" s="59"/>
      <c r="F26" s="64"/>
      <c r="G26" s="12"/>
      <c r="H26" s="113" t="str">
        <f>IF(C4="","",[1]AB5!$I$26)</f>
        <v>Yes</v>
      </c>
      <c r="I26" s="83"/>
      <c r="J26" s="114" t="str">
        <f>IF(C4="","",[1]AB5!$K$26)</f>
        <v>FSL / TRP Missed</v>
      </c>
      <c r="K26" s="110" t="str">
        <f>IF(C4="","",[1]AB5!$L$26)</f>
        <v>Recalcuate : Long FSL / TRP : Bull / Bull CF</v>
      </c>
      <c r="L26" s="88"/>
      <c r="M26" s="88"/>
      <c r="N26" s="85"/>
      <c r="O26" s="110" t="str">
        <f>IF(C4="","",[1]AB5!$P$26)</f>
        <v>Wait Till Recalculation Time</v>
      </c>
      <c r="P26" s="85"/>
      <c r="Q26" s="111">
        <f>IF(C4="","",C22)</f>
        <v>0.38540972222222225</v>
      </c>
      <c r="R26" s="85"/>
      <c r="S26" s="110" t="str">
        <f>IF(C4="","",CONCATENATE(V26," ",[1]AB5!$Z$26," ",TEXT(W26,"0.00%")))</f>
        <v>09:14:59 AM LL - 0.05%</v>
      </c>
      <c r="T26" s="88"/>
      <c r="U26" s="85"/>
      <c r="V26" s="116" t="str">
        <f>IF(C4="","",CONCATENATE(TEXT(Q26,"HH:MM:SS AM/PM"),[1]AB5!$U$26))</f>
        <v>09:14:59 AM LL</v>
      </c>
      <c r="W26" s="112" t="str">
        <f t="array" ref="W26">IF(C4="","",TEXT(INDEX([1]AB4!BL:BL,MATCH(A5,[1]AB4!B:B,0)),"0.00%"))</f>
        <v>0.05%</v>
      </c>
      <c r="X26" s="91"/>
      <c r="Y26" s="145"/>
      <c r="Z26" s="145"/>
      <c r="AA26" s="104"/>
      <c r="AB26" s="68"/>
      <c r="AC26" s="68"/>
    </row>
    <row r="27" spans="1:29" ht="24" customHeight="1" x14ac:dyDescent="0.2">
      <c r="A27" s="18"/>
      <c r="B27" s="62" t="str">
        <f>IF(C4="","",[1]AB5!$B$27)</f>
        <v>I Commit To Follow The Rules &amp; Process</v>
      </c>
      <c r="C27" s="63"/>
      <c r="D27" s="64"/>
      <c r="E27" s="59"/>
      <c r="F27" s="64"/>
      <c r="G27" s="12"/>
      <c r="H27" s="48"/>
      <c r="I27" s="95"/>
      <c r="J27" s="146"/>
      <c r="K27" s="110" t="str">
        <f>IF(C4="","",[1]AB5!$L$27)</f>
        <v>Recalcuate : Long FSL / TRP : Bear / Bear CF</v>
      </c>
      <c r="L27" s="88"/>
      <c r="M27" s="88"/>
      <c r="N27" s="85"/>
      <c r="O27" s="110" t="str">
        <f>IF(C4="","",[1]AB5!$P$27)</f>
        <v>Wait Till Recalculation Time</v>
      </c>
      <c r="P27" s="85"/>
      <c r="Q27" s="111">
        <f>IF(C4="","",C22)</f>
        <v>0.38540972222222225</v>
      </c>
      <c r="R27" s="85"/>
      <c r="S27" s="110" t="str">
        <f>IF(C5="","",CONCATENATE(V27," ",[1]AB5!$Z$26," ",TEXT(W27,"0.00%")))</f>
        <v>09:14:59 AM LL - 0.05%</v>
      </c>
      <c r="T27" s="88"/>
      <c r="U27" s="85"/>
      <c r="V27" s="116" t="str">
        <f>IF(C4="","",CONCATENATE(TEXT(Q26,"HH:MM:SS AM/PM"),[1]AB5!$U$27))</f>
        <v>09:14:59 AM LL</v>
      </c>
      <c r="W27" s="112" t="str">
        <f t="array" ref="W27">IF(C4="","",TEXT(INDEX([1]AB4!BL:BL,MATCH(A5,[1]AB4!B:B,0)),"0.00%"))</f>
        <v>0.05%</v>
      </c>
      <c r="X27" s="91"/>
      <c r="Y27" s="147" t="str">
        <f>IF(C4="","",CONCATENATE([1]AB5!$T$28," ( ",G7," or ",[1]AB5!$AA$26," ",[1]AB5!$Z$28," ",TEXT(W28,"0.00%")," )"))</f>
        <v>Min ( FUT : PRV : 2DLL - 0.05% or  CDLL - 0.05% )</v>
      </c>
      <c r="Z27" s="148"/>
      <c r="AA27" s="63"/>
      <c r="AB27" s="68"/>
      <c r="AC27" s="68"/>
    </row>
    <row r="28" spans="1:29" ht="33" customHeight="1" x14ac:dyDescent="0.2">
      <c r="A28" s="18"/>
      <c r="B28" s="64"/>
      <c r="C28" s="59"/>
      <c r="D28" s="64"/>
      <c r="E28" s="59"/>
      <c r="F28" s="64"/>
      <c r="G28" s="12"/>
      <c r="H28" s="48"/>
      <c r="I28" s="95"/>
      <c r="J28" s="146"/>
      <c r="K28" s="110" t="str">
        <f>IF(C4="","",[1]AB5!$L$28)</f>
        <v>Recalcuate : Short Entry : Bull / Bull CF</v>
      </c>
      <c r="L28" s="88"/>
      <c r="M28" s="88"/>
      <c r="N28" s="85"/>
      <c r="O28" s="110" t="str">
        <f>IF(C4="","",[1]AB5!$P$28)</f>
        <v>Wait Till Recalculation Time</v>
      </c>
      <c r="P28" s="85"/>
      <c r="Q28" s="111">
        <f>IF(C4="","",C18)</f>
        <v>0.38540972222222225</v>
      </c>
      <c r="R28" s="85"/>
      <c r="S28" s="115" t="str">
        <f>IF(C4="","",CONCATENATE([1]AB5!$T$28," ( ",G7," or ",V28," ",[1]AB5!$Z$28," ",TEXT(W28,"0.00%")," )"))</f>
        <v>Min ( FUT : PRV : 2DLL - 0.05% or 09:14:59 AM LL - 0.05% )</v>
      </c>
      <c r="T28" s="88"/>
      <c r="U28" s="85"/>
      <c r="V28" s="116" t="str">
        <f>IF(C4="","",CONCATENATE(TEXT(Q28,"HH:MM:SS AM/PM"),[1]AB5!$U$28))</f>
        <v>09:14:59 AM LL</v>
      </c>
      <c r="W28" s="112" t="str">
        <f t="array" ref="W28">IF(C4="","",TEXT(INDEX([1]AB4!BK:BK,MATCH(A7,[1]AB4!B:B,0)),"0.00%"))</f>
        <v>0.05%</v>
      </c>
      <c r="X28" s="91"/>
      <c r="Y28" s="145"/>
      <c r="Z28" s="145"/>
      <c r="AA28" s="104"/>
      <c r="AB28" s="68"/>
      <c r="AC28" s="68"/>
    </row>
    <row r="29" spans="1:29" ht="33" customHeight="1" thickBot="1" x14ac:dyDescent="0.25">
      <c r="A29" s="18"/>
      <c r="B29" s="60"/>
      <c r="C29" s="66"/>
      <c r="D29" s="103"/>
      <c r="E29" s="104"/>
      <c r="F29" s="103"/>
      <c r="G29" s="145"/>
      <c r="H29" s="51"/>
      <c r="I29" s="105"/>
      <c r="J29" s="53"/>
      <c r="K29" s="110" t="str">
        <f>IF(C4="","",[1]AB5!$L$29)</f>
        <v>Recalcuate : Short Entry : Bear / Bear CF</v>
      </c>
      <c r="L29" s="88"/>
      <c r="M29" s="88"/>
      <c r="N29" s="85"/>
      <c r="O29" s="110" t="str">
        <f>IF(C4="","",[1]AB5!$P$29)</f>
        <v>Wait Till Recalculation Time</v>
      </c>
      <c r="P29" s="85"/>
      <c r="Q29" s="111">
        <f>IF(C4="","",C18)</f>
        <v>0.38540972222222225</v>
      </c>
      <c r="R29" s="85"/>
      <c r="S29" s="115" t="str">
        <f>IF(C4="","",CONCATENATE([1]AB5!$T$29," ( ",G13," or ",V29," ",[1]AB5!$Z$29," ",TEXT(W29,"0.00%")," )"))</f>
        <v>Min ( FUT : PRV : 2DLL - 0.05% or 09:14:59 AM LL - 0.05% )</v>
      </c>
      <c r="T29" s="88"/>
      <c r="U29" s="85"/>
      <c r="V29" s="116" t="str">
        <f>IF(C4="","",CONCATENATE(TEXT(Q29,"HH:MM:SS AM/PM"),[1]AB5!$U$29))</f>
        <v>09:14:59 AM LL</v>
      </c>
      <c r="W29" s="112" t="str">
        <f t="array" ref="W29">IF(C4="","",TEXT(INDEX([1]AB4!BK:BK,MATCH(A13,[1]AB4!B:B,0)),"0.00%"))</f>
        <v>0.05%</v>
      </c>
      <c r="X29" s="91"/>
      <c r="Y29" s="149" t="str">
        <f>IF(C4="","",[1]AB5!$AA$29)</f>
        <v xml:space="preserve">Short Entry : Bear/ Bear CF : </v>
      </c>
      <c r="Z29" s="88"/>
      <c r="AA29" s="91"/>
      <c r="AB29" s="68"/>
      <c r="AC29" s="68"/>
    </row>
    <row r="30" spans="1:29" ht="21.75" customHeight="1" x14ac:dyDescent="0.2">
      <c r="A30" s="18"/>
      <c r="B30" s="150" t="str">
        <f>IF(C4="","",IF([1]AB5!$B$12="","",[1]AB5!$B$30))</f>
        <v>By Asmita Patel.</v>
      </c>
      <c r="C30" s="71"/>
      <c r="D30" s="81" t="str">
        <f>IF(C4="","",[1]AB5!$D$30)</f>
        <v>For Short SL</v>
      </c>
      <c r="E30" s="63"/>
      <c r="F30" s="151" t="str">
        <f>IF(C4="","",CONCATENATE([1]AB5!$G$30,TEXT(B22,"HH:MM:SS AM/PM"),[1]AB5!$B$22,[1]AB5!$H$30))</f>
        <v>Check If 09:04:59 AM HH &gt; Short SL</v>
      </c>
      <c r="G30" s="83"/>
      <c r="H30" s="84" t="str">
        <f>IF(C4="","",[1]AB5!$I$30)</f>
        <v>No</v>
      </c>
      <c r="I30" s="85"/>
      <c r="J30" s="86" t="str">
        <f>IF(C4="","",[1]AB5!$K$30)</f>
        <v>FSL / TRP Not Missed</v>
      </c>
      <c r="K30" s="87" t="str">
        <f>IF(C4="","",[1]AB5!$L$30)</f>
        <v>Place the Order at ORPT</v>
      </c>
      <c r="L30" s="88"/>
      <c r="M30" s="88"/>
      <c r="N30" s="85"/>
      <c r="O30" s="87" t="str">
        <f>IF(C4="","",[1]AB5!$P$30)</f>
        <v>ORPT Time</v>
      </c>
      <c r="P30" s="85"/>
      <c r="Q30" s="89">
        <f>IF(C4="","",B22)</f>
        <v>0.37846527777777778</v>
      </c>
      <c r="R30" s="85"/>
      <c r="S30" s="87" t="str">
        <f>IF(C4="","",[1]AB5!$T$30)</f>
        <v>N.A.</v>
      </c>
      <c r="T30" s="88"/>
      <c r="U30" s="85"/>
      <c r="V30" s="86" t="str">
        <f>IF(C4="","",[1]AB5!$W$30)</f>
        <v>N.A.</v>
      </c>
      <c r="W30" s="90" t="str">
        <f>IF(C4="","",[1]AB5!$X$30)</f>
        <v>N.A.</v>
      </c>
      <c r="X30" s="91"/>
      <c r="Y30" s="147" t="str">
        <f>IF(C4="","",CONCATENATE([1]AB5!$T$29," ( ",G13," or ",[1]AB5!$AA$30," ",[1]AB5!$Z$29," ",TEXT(W29,"0.00%")," )"))</f>
        <v>Min ( FUT : PRV : 2DLL - 0.05% or  CDLL - 0.05% )</v>
      </c>
      <c r="Z30" s="148"/>
      <c r="AA30" s="63"/>
      <c r="AB30" s="68"/>
      <c r="AC30" s="68"/>
    </row>
    <row r="31" spans="1:29" ht="21.75" customHeight="1" x14ac:dyDescent="0.2">
      <c r="A31" s="152"/>
      <c r="B31" s="64"/>
      <c r="C31" s="59"/>
      <c r="D31" s="64"/>
      <c r="E31" s="59"/>
      <c r="F31" s="64"/>
      <c r="G31" s="95"/>
      <c r="H31" s="96" t="str">
        <f>IF(C4="","",[1]AB5!$I$31)</f>
        <v>Yes</v>
      </c>
      <c r="I31" s="83"/>
      <c r="J31" s="97" t="str">
        <f>IF(C4="","",[1]AB5!$K$31)</f>
        <v>FSL / TRP Missed</v>
      </c>
      <c r="K31" s="87" t="str">
        <f>IF(C4="","",[1]AB5!$L$31)</f>
        <v>Recalcuate : Short FSL / TRP : Bull / Bull CF</v>
      </c>
      <c r="L31" s="88"/>
      <c r="M31" s="88"/>
      <c r="N31" s="85"/>
      <c r="O31" s="87" t="str">
        <f>IF(C4="","",[1]AB5!$P$31)</f>
        <v>Wait Till Recalculation Time</v>
      </c>
      <c r="P31" s="85"/>
      <c r="Q31" s="89">
        <f>IF(C4="","",C22)</f>
        <v>0.38540972222222225</v>
      </c>
      <c r="R31" s="85"/>
      <c r="S31" s="87" t="str">
        <f>IF(C4="","",CONCATENATE(V31," ",[1]AB5!$Z$31," ",TEXT(W31,"0.00%")))</f>
        <v>09:14:59 AM HH + 0.05%</v>
      </c>
      <c r="T31" s="88"/>
      <c r="U31" s="85"/>
      <c r="V31" s="153" t="str">
        <f>IF(C4="","",CONCATENATE(TEXT(Q31,"HH:MM:SS AM/PM"),[1]AB5!$U$31))</f>
        <v>09:14:59 AM HH</v>
      </c>
      <c r="W31" s="90" t="str">
        <f t="array" ref="W31">IF(C4="","",TEXT(INDEX([1]AB4!BL:BL,MATCH(A13,[1]AB4!B:B,0)),"0.00%"))</f>
        <v>0.05%</v>
      </c>
      <c r="X31" s="91"/>
      <c r="Y31" s="12"/>
      <c r="Z31" s="12"/>
      <c r="AA31" s="59"/>
      <c r="AB31" s="68"/>
      <c r="AC31" s="68"/>
    </row>
    <row r="32" spans="1:29" ht="22.5" customHeight="1" x14ac:dyDescent="0.2">
      <c r="A32" s="152"/>
      <c r="B32" s="64"/>
      <c r="C32" s="59"/>
      <c r="D32" s="64"/>
      <c r="E32" s="59"/>
      <c r="F32" s="64"/>
      <c r="G32" s="95"/>
      <c r="H32" s="48"/>
      <c r="I32" s="95"/>
      <c r="J32" s="146"/>
      <c r="K32" s="87" t="str">
        <f>IF(C4="","",[1]AB5!$L$32)</f>
        <v>Recalcuate : Short FSL / TRP : Bear / Bear CF</v>
      </c>
      <c r="L32" s="88"/>
      <c r="M32" s="88"/>
      <c r="N32" s="85"/>
      <c r="O32" s="87" t="str">
        <f>IF(C4="","",[1]AB5!$P$32)</f>
        <v>Wait Till Recalculation Time</v>
      </c>
      <c r="P32" s="85"/>
      <c r="Q32" s="89">
        <f>IF(C4="","",C22)</f>
        <v>0.38540972222222225</v>
      </c>
      <c r="R32" s="85"/>
      <c r="S32" s="87" t="str">
        <f>IF(C5="","",CONCATENATE(V32," ",[1]AB5!$Z$31," ",TEXT(W32,"0.00%")))</f>
        <v>09:14:59 AM HH + 0.05%</v>
      </c>
      <c r="T32" s="88"/>
      <c r="U32" s="85"/>
      <c r="V32" s="153" t="str">
        <f>IF(C4="","",CONCATENATE(TEXT(Q31,"HH:MM:SS AM/PM"),[1]AB5!$U$32))</f>
        <v>09:14:59 AM HH</v>
      </c>
      <c r="W32" s="90" t="str">
        <f t="array" ref="W32">IF(C4="","",TEXT(INDEX([1]AB4!BL:BL,MATCH(A13,[1]AB4!B:B,0)),"0.00%"))</f>
        <v>0.05%</v>
      </c>
      <c r="X32" s="91"/>
      <c r="Y32" s="145"/>
      <c r="Z32" s="145"/>
      <c r="AA32" s="104"/>
      <c r="AB32" s="68"/>
      <c r="AC32" s="68"/>
    </row>
    <row r="33" spans="1:29" ht="33" customHeight="1" x14ac:dyDescent="0.2">
      <c r="A33" s="152"/>
      <c r="B33" s="64"/>
      <c r="C33" s="59"/>
      <c r="D33" s="64"/>
      <c r="E33" s="59"/>
      <c r="F33" s="64"/>
      <c r="G33" s="95"/>
      <c r="H33" s="48"/>
      <c r="I33" s="95"/>
      <c r="J33" s="146"/>
      <c r="K33" s="87" t="str">
        <f>IF(C4="","",[1]AB5!$L$33)</f>
        <v>Recalcuate : Long Entry : Bull / Bull CF</v>
      </c>
      <c r="L33" s="88"/>
      <c r="M33" s="88"/>
      <c r="N33" s="85"/>
      <c r="O33" s="87" t="str">
        <f>IF(C4="","",[1]AB5!$P$33)</f>
        <v>Wait Till Recalculation Time</v>
      </c>
      <c r="P33" s="85"/>
      <c r="Q33" s="89">
        <f>IF(C4="","",C18)</f>
        <v>0.38540972222222225</v>
      </c>
      <c r="R33" s="85"/>
      <c r="S33" s="98" t="str">
        <f>IF(C4="","",CONCATENATE([1]AB5!$T$33," ( ",G4," or ",V33," ",[1]AB5!$Z$33," ",TEXT(W33,"0.00%")," )"))</f>
        <v>Max ( FUT : PRV : 2DHH + 0.05% or 09:14:59 AM HH + 0.05% )</v>
      </c>
      <c r="T33" s="88"/>
      <c r="U33" s="85"/>
      <c r="V33" s="99" t="str">
        <f>IF(C4="","",CONCATENATE(TEXT(Q33,"HH:MM:SS AM/PM"),[1]AB5!$U$33))</f>
        <v>09:14:59 AM HH</v>
      </c>
      <c r="W33" s="90" t="str">
        <f t="array" ref="W33">IF(C4="","",TEXT(INDEX([1]AB4!BK:BK,MATCH(A4,[1]AB4!B:B,0)),"0.00%"))</f>
        <v>0.05%</v>
      </c>
      <c r="X33" s="91"/>
      <c r="Y33" s="117" t="str">
        <f>IF(C4="","",[1]AB5!$AA$33)</f>
        <v>When Your Short Position is Exited</v>
      </c>
      <c r="Z33" s="118"/>
      <c r="AA33" s="59"/>
      <c r="AB33" s="68"/>
      <c r="AC33" s="68"/>
    </row>
    <row r="34" spans="1:29" ht="33" customHeight="1" thickBot="1" x14ac:dyDescent="0.25">
      <c r="A34" s="152"/>
      <c r="B34" s="60"/>
      <c r="C34" s="66"/>
      <c r="D34" s="60"/>
      <c r="E34" s="66"/>
      <c r="F34" s="60"/>
      <c r="G34" s="121"/>
      <c r="H34" s="102"/>
      <c r="I34" s="121"/>
      <c r="J34" s="122"/>
      <c r="K34" s="154" t="str">
        <f>IF(C4="","",[1]AB5!$L$34)</f>
        <v>Recalcuate : Long Entry : Bear / Bear CF</v>
      </c>
      <c r="L34" s="124"/>
      <c r="M34" s="124"/>
      <c r="N34" s="38"/>
      <c r="O34" s="154" t="str">
        <f>IF(C4="","",[1]AB5!$P$34)</f>
        <v>Wait Till Recalculation Time</v>
      </c>
      <c r="P34" s="38"/>
      <c r="Q34" s="155">
        <f>IF(C4="","",C18)</f>
        <v>0.38540972222222225</v>
      </c>
      <c r="R34" s="38"/>
      <c r="S34" s="156" t="str">
        <f>IF(C4="","",CONCATENATE([1]AB5!$T$34," ( ",G10," or ",V34," ",[1]AB5!$Z$34," ",TEXT(W34,"0.00%")," )"))</f>
        <v>Max ( FUT : PRV : 2DHH + 0.05% or 09:14:59 AM HH + 0.05% )</v>
      </c>
      <c r="T34" s="124"/>
      <c r="U34" s="38"/>
      <c r="V34" s="157" t="str">
        <f>IF(C4="","",CONCATENATE(TEXT(Q34,"HH:MM:SS AM/PM"),[1]AB5!$U$34))</f>
        <v>09:14:59 AM HH</v>
      </c>
      <c r="W34" s="158" t="str">
        <f t="array" ref="W34">IF(C4="","",TEXT(INDEX([1]AB4!BK:BK,MATCH(A10,[1]AB4!B:B,0)),"0.00%"))</f>
        <v>0.05%</v>
      </c>
      <c r="X34" s="41"/>
      <c r="Y34" s="117" t="str">
        <f>IF(C4="","",[1]AB5!$AA$34)</f>
        <v>This is Only Applicable for Same Day</v>
      </c>
      <c r="Z34" s="118"/>
      <c r="AA34" s="59"/>
      <c r="AB34" s="68"/>
      <c r="AC34" s="68"/>
    </row>
    <row r="35" spans="1:29" ht="21.75" customHeight="1" thickBot="1" x14ac:dyDescent="0.25">
      <c r="A35" s="152"/>
      <c r="B35" s="69" t="str">
        <f>IF(C4="","",[1]AB5!$B$35)</f>
        <v>For Missed SL (Position = Open)</v>
      </c>
      <c r="C35" s="29"/>
      <c r="D35" s="70" t="str">
        <f>IF(C4="","",[1]AB5!$D$36)</f>
        <v>Note: ( Optional )</v>
      </c>
      <c r="E35" s="71"/>
      <c r="F35" s="159" t="str">
        <f>IF(C4="","",[1]AB5!$I$35)</f>
        <v>For Long SL</v>
      </c>
      <c r="G35" s="136"/>
      <c r="H35" s="136"/>
      <c r="I35" s="136"/>
      <c r="J35" s="136"/>
      <c r="K35" s="136"/>
      <c r="L35" s="136"/>
      <c r="M35" s="136"/>
      <c r="N35" s="136"/>
      <c r="O35" s="136"/>
      <c r="P35" s="133"/>
      <c r="Q35" s="159" t="str">
        <f>IF(N4="","",[1]AB5!$T$35)</f>
        <v>For Short SL</v>
      </c>
      <c r="R35" s="136"/>
      <c r="S35" s="136"/>
      <c r="T35" s="136"/>
      <c r="U35" s="136"/>
      <c r="V35" s="136"/>
      <c r="W35" s="136"/>
      <c r="X35" s="136"/>
      <c r="Y35" s="136"/>
      <c r="Z35" s="136"/>
      <c r="AA35" s="133"/>
      <c r="AB35" s="68"/>
      <c r="AC35" s="68"/>
    </row>
    <row r="36" spans="1:29" ht="36" customHeight="1" x14ac:dyDescent="0.2">
      <c r="A36" s="152"/>
      <c r="B36" s="160" t="str">
        <f>IF(C4="","",[1]AB5!$B$36)</f>
        <v>Check time</v>
      </c>
      <c r="C36" s="91"/>
      <c r="D36" s="64"/>
      <c r="E36" s="59"/>
      <c r="F36" s="161" t="str">
        <f>IF(C4="","",CONCATENATE([1]AB5!$G$36,TEXT(B37,"HH:MM:SS AM/PM"),[1]AB5!$B$37,[1]AB5!$H$36))</f>
        <v>Check If Close at 04:30:00 PM  &lt; Long Original SL</v>
      </c>
      <c r="G36" s="85"/>
      <c r="H36" s="162" t="str">
        <f>IF(C4="","",[1]AB5!$I$36)</f>
        <v>Yes</v>
      </c>
      <c r="I36" s="105"/>
      <c r="J36" s="163" t="str">
        <f>IF(C4="","",CONCATENATE([1]AB5!$K$36,TEXT(B37,"HH:MM:SS AM/PM")))</f>
        <v xml:space="preserve"> Then Square Off The Position At CMP at 04:30:00 PM</v>
      </c>
      <c r="K36" s="145"/>
      <c r="L36" s="145"/>
      <c r="M36" s="145"/>
      <c r="N36" s="145"/>
      <c r="O36" s="145"/>
      <c r="P36" s="104"/>
      <c r="Q36" s="164" t="str">
        <f>IF(C4="","",CONCATENATE([1]AB5!$T$36,TEXT(B37,"HH:MM:SS AM/PM"),[1]AB5!$B$37,[1]AB5!$U$36))</f>
        <v>Check If Close at 04:30:00 PM  &gt; Short Original SL</v>
      </c>
      <c r="R36" s="145"/>
      <c r="S36" s="105"/>
      <c r="T36" s="165" t="str">
        <f>IF(C4="","",[1]AB5!$I$36)</f>
        <v>Yes</v>
      </c>
      <c r="U36" s="166" t="str">
        <f>IF(C4="","",CONCATENATE([1]AB5!$W$36,TEXT(B37,"HH:MM:SS AM/PM")))</f>
        <v xml:space="preserve"> Then Square Off The Position At CMP at 04:30:00 PM</v>
      </c>
      <c r="V36" s="145"/>
      <c r="W36" s="145"/>
      <c r="X36" s="145"/>
      <c r="Y36" s="145"/>
      <c r="Z36" s="145"/>
      <c r="AA36" s="104"/>
      <c r="AB36" s="68"/>
      <c r="AC36" s="167"/>
    </row>
    <row r="37" spans="1:29" ht="36" customHeight="1" thickBot="1" x14ac:dyDescent="0.25">
      <c r="A37" s="152"/>
      <c r="B37" s="168">
        <f t="array" ref="B37">IF(C4="","",INDEX([1]AB4!CU:CU,MATCH(A25,[1]AB4!B:B,0)))</f>
        <v>0.6875</v>
      </c>
      <c r="C37" s="41"/>
      <c r="D37" s="60"/>
      <c r="E37" s="66"/>
      <c r="F37" s="169" t="str">
        <f>IF(C4="","",CONCATENATE([1]AB5!$G$37,TEXT(B37,"HH:MM:SS AM/PM"),[1]AB5!$B$37,[1]AB5!$H$37))</f>
        <v>Check If Close at 04:30:00 PM  &gt; Long Original SL</v>
      </c>
      <c r="G37" s="38"/>
      <c r="H37" s="170" t="str">
        <f>IF(C4="","",[1]AB5!$I$37)</f>
        <v>Yes</v>
      </c>
      <c r="I37" s="38"/>
      <c r="J37" s="156" t="str">
        <f>IF(C4="","",CONCATENATE([1]AB5!$K$37))</f>
        <v xml:space="preserve"> Then Continue the Position for Next Day And Calculate Stop Loss Price as per the Rules</v>
      </c>
      <c r="K37" s="124"/>
      <c r="L37" s="124"/>
      <c r="M37" s="124"/>
      <c r="N37" s="124"/>
      <c r="O37" s="124"/>
      <c r="P37" s="41"/>
      <c r="Q37" s="169" t="str">
        <f>IF(C4="","",CONCATENATE([1]AB5!$T$37,TEXT(B37,"HH:MM:SS AM/PM"),[1]AB5!$B$37,[1]AB5!$U$37))</f>
        <v>Check If Close at 04:30:00 PM  &lt; Short Original SL</v>
      </c>
      <c r="R37" s="124"/>
      <c r="S37" s="38"/>
      <c r="T37" s="171" t="str">
        <f>IF(C5="","",[1]AB5!$I$36)</f>
        <v>Yes</v>
      </c>
      <c r="U37" s="156" t="str">
        <f>IF(C4="","",CONCATENATE([1]AB5!$W$37))</f>
        <v xml:space="preserve"> Then Continue the Position for Next Day And Calculate Stop Loss Price as per the Rules</v>
      </c>
      <c r="V37" s="124"/>
      <c r="W37" s="124"/>
      <c r="X37" s="124"/>
      <c r="Y37" s="124"/>
      <c r="Z37" s="124"/>
      <c r="AA37" s="41"/>
      <c r="AB37" s="68"/>
      <c r="AC37" s="167"/>
    </row>
    <row r="38" spans="1:29" ht="15.75" customHeight="1" thickBot="1" x14ac:dyDescent="0.25">
      <c r="A38" s="152"/>
      <c r="AB38" s="68"/>
    </row>
    <row r="39" spans="1:29" ht="30.75" customHeight="1" x14ac:dyDescent="0.2">
      <c r="A39" s="18" t="str">
        <f>IF(C39="","",CONCATENATE(C40,[1]AB5!$A$4))</f>
        <v>S2A</v>
      </c>
      <c r="B39" s="20" t="str">
        <f>IF(C39="","",IF([1]AB5!$B$4="","",[1]AB5!$B$4))</f>
        <v>Sr. No.</v>
      </c>
      <c r="C39" s="172">
        <v>2</v>
      </c>
      <c r="D39" s="173" t="str">
        <f>IF(C39="","",[1]AB5!$D$4)</f>
        <v>BULL / BULL CF</v>
      </c>
      <c r="E39" s="57" t="str">
        <f>IF(C39="","",[1]AB5!$F$4)</f>
        <v>BUY</v>
      </c>
      <c r="F39" s="58" t="str">
        <f>IF(C39="","",[1]AB5!$G$4)</f>
        <v>E &amp; T</v>
      </c>
      <c r="G39" s="25" t="str">
        <f t="array" ref="G39">IF(C39="","",CONCATENATE(INDEX([1]AB4!G:G,MATCH(A39,[1]AB4!B:B,0)),INDEX([1]AB4!H:H,MATCH(A39,[1]AB4!B:B,0)),TEXT(INDEX([1]AB4!I:I,MATCH(A39,[1]AB4!B:B,0)),"0.00%")))</f>
        <v>FUT : PRV : 2DHH + 0.02%</v>
      </c>
      <c r="H39" s="26">
        <f t="array" ref="H39">IF(C39="","",INDEX([1]AB4!J:J,MATCH(A39,[1]AB4!B:B,0)))</f>
        <v>5</v>
      </c>
      <c r="I39" s="27"/>
      <c r="J39" s="28" t="str">
        <f t="array" ref="J39">IF(C39="","",CONCATENATE(INDEX([1]AB4!L:L,MATCH(A39,[1]AB4!B:B,0)),INDEX([1]AB4!M:M,MATCH(A39,[1]AB4!B:B,0)),TEXT(INDEX([1]AB4!N:N,MATCH(A39,[1]AB4!B:B,0)),"0.00%")))</f>
        <v>L : Entry  + 0.40%</v>
      </c>
      <c r="K39" s="26">
        <f t="array" ref="K39">IF(C39="","",INDEX([1]AB4!O:O,MATCH(A39,[1]AB4!B:B,0)))</f>
        <v>1</v>
      </c>
      <c r="L39" s="27"/>
      <c r="M39" s="28" t="str">
        <f t="array" ref="M39">IF(C39="","",CONCATENATE(INDEX([1]AB4!L:L,MATCH(A39,[1]AB4!B:B,0)),INDEX([1]AB4!M:M,MATCH(A39,[1]AB4!B:B,0)),TEXT(INDEX([1]AB4!P:P,MATCH(A39,[1]AB4!B:B,0)),"0.00%")))</f>
        <v>L : Entry  + 0.60%</v>
      </c>
      <c r="N39" s="26">
        <f t="array" ref="N39">IF(C39="","",INDEX([1]AB4!Q:Q,MATCH(A39,[1]AB4!B:B,0)))</f>
        <v>1</v>
      </c>
      <c r="O39" s="27"/>
      <c r="P39" s="28" t="str">
        <f t="array" ref="P39">IF(C39="","",CONCATENATE(INDEX([1]AB4!L:L,MATCH(A39,[1]AB4!B:B,0)),INDEX([1]AB4!M:M,MATCH(A39,[1]AB4!B:B,0)),TEXT(INDEX([1]AB4!R:R,MATCH(A39,[1]AB4!B:B,0)),"0.00%")))</f>
        <v>L : Entry  + 0.80%</v>
      </c>
      <c r="Q39" s="26">
        <f t="array" ref="Q39">IF(C39="","",INDEX([1]AB4!S:S,MATCH(A39,[1]AB4!B:B,0)))</f>
        <v>1</v>
      </c>
      <c r="R39" s="27"/>
      <c r="S39" s="28" t="str">
        <f t="array" ref="S39">IF(C39="","",CONCATENATE(INDEX([1]AB4!L:L,MATCH(A39,[1]AB4!B:B,0)),INDEX([1]AB4!M:M,MATCH(A39,[1]AB4!B:B,0)),TEXT(INDEX([1]AB4!T:T,MATCH(A39,[1]AB4!B:B,0)),"0.00%")))</f>
        <v>L : Entry  + 1.00%</v>
      </c>
      <c r="T39" s="26">
        <f t="array" ref="T39">IF(C39="","",INDEX([1]AB4!U:U,MATCH(A39,[1]AB4!B:B,0)))</f>
        <v>1</v>
      </c>
      <c r="U39" s="27"/>
      <c r="V39" s="28" t="str">
        <f t="array" ref="V39">IF(C39="","",INDEX([1]AB4!V:V,MATCH(A39,[1]AB4!B:B,0)))</f>
        <v>TR PROFIT AFTER TGT 4</v>
      </c>
      <c r="W39" s="26">
        <f t="array" ref="W39">IF(C39="","",INDEX([1]AB4!W:W,MATCH(A39,[1]AB4!B:B,0)))</f>
        <v>1</v>
      </c>
      <c r="X39" s="27"/>
      <c r="Y39" s="28" t="str">
        <f t="array" ref="Y39">IF(C39="","",INDEX([1]AB4!X:X,MATCH(A39,[1]AB4!B:B,0)))</f>
        <v>N.A.</v>
      </c>
      <c r="Z39" s="26" t="str">
        <f t="array" ref="Z39">IF(C39="","",INDEX([1]AB4!Y:Y,MATCH(A39,[1]AB4!B:B,0)))</f>
        <v>N.A.</v>
      </c>
      <c r="AA39" s="29"/>
      <c r="AB39" s="30"/>
      <c r="AC39" s="30"/>
    </row>
    <row r="40" spans="1:29" ht="44.25" customHeight="1" thickBot="1" x14ac:dyDescent="0.25">
      <c r="A40" s="18" t="str">
        <f>IF(C39="","",CONCATENATE(C40,[1]AB5!$A$5))</f>
        <v>S2A</v>
      </c>
      <c r="B40" s="31" t="str">
        <f>IF(C39="","",IF([1]AB5!$B$5="","",[1]AB5!$B$5))</f>
        <v>Strategy Code</v>
      </c>
      <c r="C40" s="54" t="str">
        <f t="array" ref="C40">IF(C39="","",INDEX([1]AB2!B:B,MATCH(C39,[1]AB2!A:A,0)))</f>
        <v>S2</v>
      </c>
      <c r="D40" s="59"/>
      <c r="E40" s="60"/>
      <c r="F40" s="61" t="str">
        <f>IF(C39="","",[1]AB5!$G$5)</f>
        <v>SL / TRP</v>
      </c>
      <c r="G40" s="36" t="str">
        <f t="array" ref="G40">IF(C39="","",CONCATENATE(INDEX([1]AB4!AA:AA,MATCH(A40,[1]AB4!B:B,0))," ( ",INDEX([1]AB4!AE:AE,MATCH(A40,[1]AB4!B:B,0)),INDEX([1]AB4!AF:AF,MATCH(A40,[1]AB4!B:B,0)),TEXT(INDEX([1]AB4!AG:AG,MATCH(A40,[1]AB4!B:B,0)),"0.00%")," or ",INDEX([1]AB4!AK:AK,MATCH(A40,[1]AB4!B:B,0)),INDEX([1]AB4!AJ:AJ,MATCH(A40,[1]AB4!B:B,0)),TEXT(INDEX([1]AB4!AL:AL,MATCH(A40,[1]AB4!B:B,0)),"0.00%")," )"))</f>
        <v>Max ( L : Entry - 0.40% or FUT : PRV : 4DLL - 0.05% )</v>
      </c>
      <c r="H40" s="37">
        <f t="array" ref="H40">IF(C40="","",INDEX([1]AB4!AM:AM,MATCH(A40,[1]AB4!B:B,0)))</f>
        <v>5</v>
      </c>
      <c r="I40" s="38"/>
      <c r="J40" s="36" t="str">
        <f t="array" ref="J40">IF(C39="","",CONCATENATE(INDEX([1]AB4!AA:AA,MATCH(A40,[1]AB4!B:B,0))," ( ",INDEX([1]AB4!AE:AE,MATCH(A40,[1]AB4!B:B,0))," or ",INDEX([1]AB4!AN:AN,MATCH(A40,[1]AB4!B:B,0)),INDEX([1]AB4!AJ:AJ,MATCH(A40,[1]AB4!B:B,0)),TEXT(INDEX([1]AB4!AO:AO,MATCH(A40,[1]AB4!B:B,0)),"0.00%")," )"))</f>
        <v>Max ( L : Entry or FUT : PRV : 4DLL - 0.05% )</v>
      </c>
      <c r="K40" s="37">
        <f t="array" ref="K40">IF(C39="","",INDEX([1]AB4!AP:AP,MATCH(A40,[1]AB4!B:B,0)))</f>
        <v>4</v>
      </c>
      <c r="L40" s="38"/>
      <c r="M40" s="36" t="str">
        <f t="array" ref="M40">IF(C39="","",CONCATENATE(INDEX([1]AB4!AA:AA,MATCH(A40,[1]AB4!B:B,0))," ( ",INDEX([1]AB4!AE:AE,MATCH(A40,[1]AB4!B:B,0))," or ",INDEX([1]AB4!AQ:AQ,MATCH(A40,[1]AB4!B:B,0)),INDEX([1]AB4!AJ:AJ,MATCH(A40,[1]AB4!B:B,0)),TEXT(INDEX([1]AB4!AR:AR,MATCH(A40,[1]AB4!B:B,0)),"0.00%")," )"))</f>
        <v>Max ( L : Entry or FUT : PRV : 4DLL - 0.05% )</v>
      </c>
      <c r="N40" s="37">
        <f t="array" ref="N40">IF(C40="","",INDEX([1]AB4!AS:AS,MATCH(A40,[1]AB4!B:B,0)))</f>
        <v>3</v>
      </c>
      <c r="O40" s="38"/>
      <c r="P40" s="36" t="str">
        <f t="array" ref="P40">IF(C39="","",CONCATENATE(INDEX([1]AB4!AA:AA,MATCH(A40,[1]AB4!B:B,0))," ( ",INDEX([1]AB4!AE:AE,MATCH(A40,[1]AB4!B:B,0))," or ",INDEX([1]AB4!AT:AT,MATCH(A40,[1]AB4!B:B,0)),INDEX([1]AB4!AJ:AJ,MATCH(A40,[1]AB4!B:B,0)),TEXT(INDEX([1]AB4!AU:AU,MATCH(A40,[1]AB4!B:B,0)),"0.00%")," )"))</f>
        <v>Max ( L : Entry or FUT : PRV : 4DLL - 0.05% )</v>
      </c>
      <c r="Q40" s="37">
        <f t="array" ref="Q40">IF(C40="","",INDEX([1]AB4!AV:AV,MATCH(A40,[1]AB4!B:B,0)))</f>
        <v>2</v>
      </c>
      <c r="R40" s="38"/>
      <c r="S40" s="36" t="str">
        <f t="array" ref="S40">IF(C39="","",CONCATENATE(INDEX([1]AB4!AA:AA,MATCH(A40,[1]AB4!B:B,0))," ( ",INDEX([1]AB4!AE:AE,MATCH(A40,[1]AB4!B:B,0))," or ",INDEX([1]AB4!AW:AW,MATCH(A40,[1]AB4!B:B,0)),INDEX([1]AB4!AJ:AJ,MATCH(A40,[1]AB4!B:B,0)),TEXT(INDEX([1]AB4!AX:AX,MATCH(A40,[1]AB4!B:B,0)),"0.00%")," )"))</f>
        <v>Max ( L : Entry or FUT : PRV : 4DLL - 0.05% )</v>
      </c>
      <c r="T40" s="37">
        <f t="array" ref="T40">IF(C39="","",INDEX([1]AB4!AY:AY,MATCH(A40,[1]AB4!B:B,0)))</f>
        <v>1</v>
      </c>
      <c r="U40" s="38"/>
      <c r="V40" s="36" t="str">
        <f t="array" ref="V40">IF(C39="","",CONCATENATE(INDEX([1]AB4!AA:AA,MATCH(A40,[1]AB4!B:B,0))," ( ",INDEX([1]AB4!AE:AE,MATCH(A40,[1]AB4!B:B,0))," or ",INDEX([1]AB4!AW:AW,MATCH(A40,[1]AB4!B:B,0)),INDEX([1]AB4!AJ:AJ,MATCH(A40,[1]AB4!B:B,0)),TEXT(INDEX([1]AB4!AX:AX,MATCH(A40,[1]AB4!B:B,0)),"0.00%")," )"))</f>
        <v>Max ( L : Entry or FUT : PRV : 4DLL - 0.05% )</v>
      </c>
      <c r="W40" s="37">
        <f t="array" ref="W40">IF(C39="","",INDEX([1]AB4!AY:AY,MATCH(A40,[1]AB4!B:B,0)))</f>
        <v>1</v>
      </c>
      <c r="X40" s="38"/>
      <c r="Y40" s="40">
        <f t="array" ref="Y40">IF(C39="","",INDEX([1]AB4!AZ:AZ,MATCH(A40,[1]AB4!B:B,0)))</f>
        <v>0</v>
      </c>
      <c r="Z40" s="37">
        <f t="array" ref="Z40">IF(C39="","",INDEX([1]AB4!BB:BB,MATCH(A40,[1]AB4!B:B,0)))</f>
        <v>0</v>
      </c>
      <c r="AA40" s="41"/>
      <c r="AB40" s="30"/>
      <c r="AC40" s="30"/>
    </row>
    <row r="41" spans="1:29" ht="6" customHeight="1" thickBot="1" x14ac:dyDescent="0.25">
      <c r="A41" s="18" t="str">
        <f>IF(C39="","",CONCATENATE(C40,[1]AB5!A41))</f>
        <v>S2Wishing You A Peace, Joy &amp; Prosperity !!</v>
      </c>
      <c r="B41" s="42" t="str">
        <f>IF(C39="","",IF([1]AB5!$B$6="","",[1]AB5!$B$6))</f>
        <v>Unique Code</v>
      </c>
      <c r="C41" s="174" t="str">
        <f t="array" ref="C41">IF(C39="","",INDEX([1]AB2!N:N,MATCH(C39,[1]AB2!A:A,0)))</f>
        <v>USDINR_FUT_MT_DIFF_2D_4D</v>
      </c>
      <c r="D41" s="59"/>
      <c r="E41" s="44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  <c r="AB41" s="30"/>
      <c r="AC41" s="30"/>
    </row>
    <row r="42" spans="1:29" ht="30.75" customHeight="1" x14ac:dyDescent="0.2">
      <c r="A42" s="18" t="str">
        <f>IF(C39="","",CONCATENATE(C40,[1]AB5!$A$7))</f>
        <v>S2B</v>
      </c>
      <c r="B42" s="47"/>
      <c r="C42" s="175"/>
      <c r="D42" s="59"/>
      <c r="E42" s="65" t="str">
        <f>IF(C39="","",[1]AB5!$F$7)</f>
        <v>SELL</v>
      </c>
      <c r="F42" s="58" t="str">
        <f>IF(C39="","",[1]AB5!$G$7)</f>
        <v>E &amp; T</v>
      </c>
      <c r="G42" s="25" t="str">
        <f t="array" ref="G42">IF(C39="","",CONCATENATE(INDEX([1]AB4!G:G,MATCH(A42,[1]AB4!B:B,0)),INDEX([1]AB4!H:H,MATCH(A42,[1]AB4!B:B,0)),TEXT(INDEX([1]AB4!I:I,MATCH(A42,[1]AB4!B:B,0)),"0.00%")))</f>
        <v>FUT : PRV : 4DLL - 0.05%</v>
      </c>
      <c r="H42" s="26">
        <f t="array" ref="H42">IF(C39="","",INDEX([1]AB4!J:J,MATCH(A42,[1]AB4!B:B,0)))</f>
        <v>5</v>
      </c>
      <c r="I42" s="27"/>
      <c r="J42" s="28" t="str">
        <f t="array" ref="J42">IF(C39="","",CONCATENATE(INDEX([1]AB4!L:L,MATCH(A42,[1]AB4!B:B,0)),INDEX([1]AB4!M:M,MATCH(A42,[1]AB4!B:B,0)),TEXT(INDEX([1]AB4!N:N,MATCH(A42,[1]AB4!B:B,0)),"0.00%")))</f>
        <v>S : Entry  - 0.40%</v>
      </c>
      <c r="K42" s="26">
        <f t="array" ref="K42">IF(C39="","",INDEX([1]AB4!O:O,MATCH(A42,[1]AB4!B:B,0)))</f>
        <v>1</v>
      </c>
      <c r="L42" s="27"/>
      <c r="M42" s="28" t="str">
        <f t="array" ref="M42">IF(C39="","",CONCATENATE(INDEX([1]AB4!L:L,MATCH(A42,[1]AB4!B:B,0)),INDEX([1]AB4!M:M,MATCH(A42,[1]AB4!B:B,0)),TEXT(INDEX([1]AB4!P:P,MATCH(A42,[1]AB4!B:B,0)),"0.00%")))</f>
        <v>S : Entry  - 0.60%</v>
      </c>
      <c r="N42" s="26">
        <f t="array" ref="N42">IF(C39="","",INDEX([1]AB4!Q:Q,MATCH(A42,[1]AB4!B:B,0)))</f>
        <v>1</v>
      </c>
      <c r="O42" s="27"/>
      <c r="P42" s="28" t="str">
        <f t="array" ref="P42">IF(C39="","",CONCATENATE(INDEX([1]AB4!L:L,MATCH(A42,[1]AB4!B:B,0)),INDEX([1]AB4!M:M,MATCH(A42,[1]AB4!B:B,0)),TEXT(INDEX([1]AB4!R:R,MATCH(A42,[1]AB4!B:B,0)),"0.00%")))</f>
        <v>S : Entry  - 0.80%</v>
      </c>
      <c r="Q42" s="26">
        <f t="array" ref="Q42">IF(C39="","",INDEX([1]AB4!S:S,MATCH(A42,[1]AB4!B:B,0)))</f>
        <v>1</v>
      </c>
      <c r="R42" s="27"/>
      <c r="S42" s="28" t="str">
        <f t="array" ref="S42">IF(C39="","",CONCATENATE(INDEX([1]AB4!L:L,MATCH(A42,[1]AB4!B:B,0)),INDEX([1]AB4!M:M,MATCH(A42,[1]AB4!B:B,0)),TEXT(INDEX([1]AB4!T:T,MATCH(A42,[1]AB4!B:B,0)),"0.00%")))</f>
        <v>S : Entry  - 1.00%</v>
      </c>
      <c r="T42" s="26">
        <f t="array" ref="T42">IF(C39="","",INDEX([1]AB4!U:U,MATCH(A42,[1]AB4!B:B,0)))</f>
        <v>1</v>
      </c>
      <c r="U42" s="27"/>
      <c r="V42" s="28" t="str">
        <f t="array" ref="V42">IF(C39="","",INDEX([1]AB4!V:V,MATCH(A42,[1]AB4!B:B,0)))</f>
        <v>TR PROFIT AFTER TGT 4</v>
      </c>
      <c r="W42" s="26">
        <f t="array" ref="W42">IF(C39="","",INDEX([1]AB4!W:W,MATCH(A42,[1]AB4!B:B,0)))</f>
        <v>1</v>
      </c>
      <c r="X42" s="27"/>
      <c r="Y42" s="28" t="str">
        <f t="array" ref="Y42">IF(C39="","",INDEX([1]AB4!X:X,MATCH(A42,[1]AB4!B:B,0)))</f>
        <v>N.A.</v>
      </c>
      <c r="Z42" s="26" t="str">
        <f t="array" ref="Z42">IF(C39="","",INDEX([1]AB4!Y:Y,MATCH(A42,[1]AB4!B:B,0)))</f>
        <v>N.A.</v>
      </c>
      <c r="AA42" s="29"/>
      <c r="AB42" s="30"/>
      <c r="AC42" s="30"/>
    </row>
    <row r="43" spans="1:29" ht="44.25" customHeight="1" thickBot="1" x14ac:dyDescent="0.25">
      <c r="A43" s="18" t="str">
        <f>IF(C39="","",CONCATENATE(C40,[1]AB5!$A$8))</f>
        <v>S2B</v>
      </c>
      <c r="B43" s="50"/>
      <c r="C43" s="176"/>
      <c r="D43" s="66"/>
      <c r="E43" s="60"/>
      <c r="F43" s="61" t="str">
        <f>IF(C39="","",[1]AB5!$G$8)</f>
        <v>SL / TRP</v>
      </c>
      <c r="G43" s="36" t="str">
        <f t="array" ref="G43">IF(C39="","",CONCATENATE(INDEX([1]AB4!AA:AA,MATCH(A43,[1]AB4!B:B,0))," ( ",INDEX([1]AB4!AE:AE,MATCH(A43,[1]AB4!B:B,0)),INDEX([1]AB4!AF:AF,MATCH(A43,[1]AB4!B:B,0)),TEXT(INDEX([1]AB4!AG:AG,MATCH(A43,[1]AB4!B:B,0)),"0.00%")," or ",INDEX([1]AB4!AK:AK,MATCH(A43,[1]AB4!B:B,0)),INDEX([1]AB4!AJ:AJ,MATCH(A43,[1]AB4!B:B,0)),TEXT(INDEX([1]AB4!AL:AL,MATCH(A43,[1]AB4!B:B,0)),"0.00%")," )"))</f>
        <v>Min ( S : Entry + 0.40% or FUT : PRV : 2DHH + 0.02% )</v>
      </c>
      <c r="H43" s="37">
        <f t="array" ref="H43">IF(C39="","",INDEX([1]AB4!AM:AM,MATCH(A43,[1]AB4!B:B,0)))</f>
        <v>5</v>
      </c>
      <c r="I43" s="38"/>
      <c r="J43" s="36" t="str">
        <f t="array" ref="J43">IF(C39="","",CONCATENATE(INDEX([1]AB4!AA:AA,MATCH(A43,[1]AB4!B:B,0))," ( ",INDEX([1]AB4!AE:AE,MATCH(A43,[1]AB4!B:B,0))," or ",INDEX([1]AB4!AN:AN,MATCH(A43,[1]AB4!B:B,0)),INDEX([1]AB4!AJ:AJ,MATCH(A43,[1]AB4!B:B,0)),TEXT(INDEX([1]AB4!AO:AO,MATCH(A43,[1]AB4!B:B,0)),"0.00%")," )"))</f>
        <v>Min ( S : Entry or FUT : PRV : 2DHH + 0.02% )</v>
      </c>
      <c r="K43" s="37">
        <f t="array" ref="K43">IF(C39="","",INDEX([1]AB4!AP:AP,MATCH(A43,[1]AB4!B:B,0)))</f>
        <v>4</v>
      </c>
      <c r="L43" s="38"/>
      <c r="M43" s="36" t="str">
        <f t="array" ref="M43">IF(C39="","",CONCATENATE(INDEX([1]AB4!AA:AA,MATCH(A43,[1]AB4!B:B,0))," ( ",INDEX([1]AB4!AE:AE,MATCH(A43,[1]AB4!B:B,0))," or ",INDEX([1]AB4!AQ:AQ,MATCH(A43,[1]AB4!B:B,0)),INDEX([1]AB4!AJ:AJ,MATCH(A43,[1]AB4!B:B,0)),TEXT(INDEX([1]AB4!AR:AR,MATCH(A43,[1]AB4!B:B,0)),"0.00%")," )"))</f>
        <v>Min ( S : Entry or FUT : PRV : 2DHH + 0.02% )</v>
      </c>
      <c r="N43" s="37">
        <f t="array" ref="N43">IF(C39="","",INDEX([1]AB4!AS:AS,MATCH(A43,[1]AB4!B:B,0)))</f>
        <v>3</v>
      </c>
      <c r="O43" s="38"/>
      <c r="P43" s="36" t="str">
        <f t="array" ref="P43">IF(C39="","",CONCATENATE(INDEX([1]AB4!AA:AA,MATCH(A43,[1]AB4!B:B,0))," ( ",INDEX([1]AB4!AE:AE,MATCH(A43,[1]AB4!B:B,0))," or ",INDEX([1]AB4!AT:AT,MATCH(A43,[1]AB4!B:B,0)),INDEX([1]AB4!AJ:AJ,MATCH(A43,[1]AB4!B:B,0)),TEXT(INDEX([1]AB4!AU:AU,MATCH(A43,[1]AB4!B:B,0)),"0.00%")," )"))</f>
        <v>Min ( S : Entry or FUT : PRV : 2DHH + 0.02% )</v>
      </c>
      <c r="Q43" s="37">
        <f t="array" ref="Q43">IF(C39="","",INDEX([1]AB4!AV:AV,MATCH(A43,[1]AB4!B:B,0)))</f>
        <v>2</v>
      </c>
      <c r="R43" s="38"/>
      <c r="S43" s="36" t="str">
        <f t="array" ref="S43">IF(C39="","",CONCATENATE(INDEX([1]AB4!AA:AA,MATCH(A43,[1]AB4!B:B,0))," ( ",INDEX([1]AB4!AE:AE,MATCH(A43,[1]AB4!B:B,0))," or ",INDEX([1]AB4!AW:AW,MATCH(A43,[1]AB4!B:B,0)),INDEX([1]AB4!AJ:AJ,MATCH(A43,[1]AB4!B:B,0)),TEXT(INDEX([1]AB4!AX:AX,MATCH(A43,[1]AB4!B:B,0)),"0.00%")," )"))</f>
        <v>Min ( S : Entry or FUT : PRV : 2DHH + 0.02% )</v>
      </c>
      <c r="T43" s="37">
        <f t="array" ref="T43">IF(C39="","",INDEX([1]AB4!AY:AY,MATCH(A43,[1]AB4!B:B,0)))</f>
        <v>1</v>
      </c>
      <c r="U43" s="38"/>
      <c r="V43" s="36" t="str">
        <f t="array" ref="V43">IF(C39="","",CONCATENATE(INDEX([1]AB4!AA:AA,MATCH(A43,[1]AB4!B:B,0))," ( ",INDEX([1]AB4!AE:AE,MATCH(A43,[1]AB4!B:B,0))," or ",INDEX([1]AB4!AW:AW,MATCH(A43,[1]AB4!B:B,0)),INDEX([1]AB4!AJ:AJ,MATCH(A43,[1]AB4!B:B,0)),TEXT(INDEX([1]AB4!AX:AX,MATCH(A43,[1]AB4!B:B,0)),"0.00%")," )"))</f>
        <v>Min ( S : Entry or FUT : PRV : 2DHH + 0.02% )</v>
      </c>
      <c r="W43" s="37">
        <f t="array" ref="W43">IF(C39="","",INDEX([1]AB4!AY:AY,MATCH(A43,[1]AB4!B:B,0)))</f>
        <v>1</v>
      </c>
      <c r="X43" s="38"/>
      <c r="Y43" s="40">
        <f t="array" ref="Y43">IF(C39="","",INDEX([1]AB4!AZ:AZ,MATCH(A43,[1]AB4!B:B,0)))</f>
        <v>0</v>
      </c>
      <c r="Z43" s="37">
        <f t="array" ref="Z43">IF(C39="","",INDEX([1]AB4!BB:BB,MATCH(A43,[1]AB4!B:B,0)))</f>
        <v>0</v>
      </c>
      <c r="AA43" s="41"/>
      <c r="AB43" s="30"/>
      <c r="AC43" s="30"/>
    </row>
    <row r="44" spans="1:29" ht="19.5" customHeight="1" thickBot="1" x14ac:dyDescent="0.25">
      <c r="A44" s="18" t="str">
        <f>IF(C39="","",CONCATENATE(C40,[1]AB5!$A$9))</f>
        <v>S2C</v>
      </c>
      <c r="B44" s="31" t="str">
        <f>IF(C39="","",IF([1]AB5!$B$9="","",[1]AB5!$B$9))</f>
        <v>Segment</v>
      </c>
      <c r="C44" s="54" t="str">
        <f t="array" ref="C44">IF(C39="","",INDEX([1]AB2!C:C,MATCH(C39,[1]AB2!A:A,0)))</f>
        <v>FUTURES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30"/>
      <c r="AC44" s="30"/>
    </row>
    <row r="45" spans="1:29" ht="30.75" customHeight="1" x14ac:dyDescent="0.2">
      <c r="A45" s="18" t="str">
        <f>IF(C39="","",CONCATENATE(C40,[1]AB5!$A$10))</f>
        <v>S2D</v>
      </c>
      <c r="B45" s="31" t="str">
        <f>IF(C39="","",IF([1]AB5!$B$10="","",[1]AB5!$B$10))</f>
        <v>Symbol</v>
      </c>
      <c r="C45" s="54" t="str">
        <f t="array" ref="C45">IF(C39="","",INDEX([1]AB2!E:E,MATCH(C39,[1]AB2!A:A,0)))</f>
        <v>USDINR</v>
      </c>
      <c r="D45" s="56" t="str">
        <f>IF(C39="","",IF(C39="","",[1]AB5!$D$10))</f>
        <v>BEAR / BEAR CF</v>
      </c>
      <c r="E45" s="57" t="str">
        <f>IF(C39="","",[1]AB5!$F$10)</f>
        <v>BUY</v>
      </c>
      <c r="F45" s="58" t="str">
        <f>IF(C39="","",[1]AB5!$G$10)</f>
        <v>E &amp; T</v>
      </c>
      <c r="G45" s="25" t="str">
        <f t="array" ref="G45">IF(C39="","",CONCATENATE(INDEX([1]AB4!G:G,MATCH(A45,[1]AB4!B:B,0)),INDEX([1]AB4!H:H,MATCH(A45,[1]AB4!B:B,0)),TEXT(INDEX([1]AB4!I:I,MATCH(A45,[1]AB4!B:B,0)),"0.00%")))</f>
        <v>FUT : PRV : 4DHH + 0.05%</v>
      </c>
      <c r="H45" s="26">
        <f t="array" ref="H45">IF(C39="","",INDEX([1]AB4!J:J,MATCH(A45,[1]AB4!B:B,0)))</f>
        <v>5</v>
      </c>
      <c r="I45" s="27"/>
      <c r="J45" s="28" t="str">
        <f t="array" ref="J45">IF(C39="","",CONCATENATE(INDEX([1]AB4!L:L,MATCH(A45,[1]AB4!B:B,0)),INDEX([1]AB4!M:M,MATCH(A45,[1]AB4!B:B,0)),TEXT(INDEX([1]AB4!N:N,MATCH(A45,[1]AB4!B:B,0)),"0.00%")))</f>
        <v>L : Entry  + 0.40%</v>
      </c>
      <c r="K45" s="26">
        <f t="array" ref="K45">IF(C39="","",INDEX([1]AB4!O:O,MATCH(A45,[1]AB4!B:B,0)))</f>
        <v>1</v>
      </c>
      <c r="L45" s="27"/>
      <c r="M45" s="28" t="str">
        <f t="array" ref="M45">IF(C39="","",CONCATENATE(INDEX([1]AB4!L:L,MATCH(A45,[1]AB4!B:B,0)),INDEX([1]AB4!M:M,MATCH(A45,[1]AB4!B:B,0)),TEXT(INDEX([1]AB4!P:P,MATCH(A45,[1]AB4!B:B,0)),"0.00%")))</f>
        <v>L : Entry  + 0.60%</v>
      </c>
      <c r="N45" s="26">
        <f t="array" ref="N45">IF(C39="","",INDEX([1]AB4!Q:Q,MATCH(A45,[1]AB4!B:B,0)))</f>
        <v>1</v>
      </c>
      <c r="O45" s="27"/>
      <c r="P45" s="28" t="str">
        <f t="array" ref="P45">IF(C39="","",CONCATENATE(INDEX([1]AB4!L:L,MATCH(A45,[1]AB4!B:B,0)),INDEX([1]AB4!M:M,MATCH(A45,[1]AB4!B:B,0)),TEXT(INDEX([1]AB4!R:R,MATCH(A45,[1]AB4!B:B,0)),"0.00%")))</f>
        <v>L : Entry  + 0.80%</v>
      </c>
      <c r="Q45" s="26">
        <f t="array" ref="Q45">IF(C39="","",INDEX([1]AB4!S:S,MATCH(A45,[1]AB4!B:B,0)))</f>
        <v>1</v>
      </c>
      <c r="R45" s="27"/>
      <c r="S45" s="28" t="str">
        <f t="array" ref="S45">IF(C39="","",CONCATENATE(INDEX([1]AB4!L:L,MATCH(A45,[1]AB4!B:B,0)),INDEX([1]AB4!M:M,MATCH(A45,[1]AB4!B:B,0)),TEXT(INDEX([1]AB4!T:T,MATCH(A45,[1]AB4!B:B,0)),"0.00%")))</f>
        <v>L : Entry  + 1.00%</v>
      </c>
      <c r="T45" s="26">
        <f t="array" ref="T45">IF(C39="","",INDEX([1]AB4!U:U,MATCH(A45,[1]AB4!B:B,0)))</f>
        <v>1</v>
      </c>
      <c r="U45" s="27"/>
      <c r="V45" s="28" t="str">
        <f t="array" ref="V45">IF(C39="","",INDEX([1]AB4!V:V,MATCH(A45,[1]AB4!B:B,0)))</f>
        <v>TR PROFIT AFTER TGT 4</v>
      </c>
      <c r="W45" s="26">
        <f t="array" ref="W45">IF(C39="","",INDEX([1]AB4!W:W,MATCH(A45,[1]AB4!B:B,0)))</f>
        <v>1</v>
      </c>
      <c r="X45" s="27"/>
      <c r="Y45" s="28" t="str">
        <f t="array" ref="Y45">IF(C39="","",INDEX([1]AB4!X:X,MATCH(A45,[1]AB4!B:B,0)))</f>
        <v>N.A.</v>
      </c>
      <c r="Z45" s="26" t="str">
        <f t="array" ref="Z45">IF(C39="","",INDEX([1]AB4!Y:Y,MATCH(A45,[1]AB4!B:B,0)))</f>
        <v>N.A.</v>
      </c>
      <c r="AA45" s="29"/>
      <c r="AB45" s="30"/>
      <c r="AC45" s="30"/>
    </row>
    <row r="46" spans="1:29" ht="44.25" customHeight="1" thickBot="1" x14ac:dyDescent="0.25">
      <c r="A46" s="18" t="str">
        <f>IF(C39="","",CONCATENATE(C40,[1]AB5!$A$11))</f>
        <v>S2D</v>
      </c>
      <c r="B46" s="31" t="str">
        <f>IF(C39="","",IF([1]AB5!$B$11="","",[1]AB5!$B$11))</f>
        <v>No. of TGT</v>
      </c>
      <c r="C46" s="54" t="str">
        <f t="array" ref="C46">IF(C39="","",INDEX([1]AB2!K:K,MATCH(C39,[1]AB2!A:A,0)))</f>
        <v>4 &amp; APS</v>
      </c>
      <c r="D46" s="59"/>
      <c r="E46" s="60"/>
      <c r="F46" s="61" t="str">
        <f>IF(C39="","",[1]AB5!$G$11)</f>
        <v>SL / TRP</v>
      </c>
      <c r="G46" s="36" t="str">
        <f t="array" ref="G46">IF(C39="","",CONCATENATE(INDEX([1]AB4!AA:AA,MATCH(A46,[1]AB4!B:B,0))," ( ",INDEX([1]AB4!AE:AE,MATCH(A46,[1]AB4!B:B,0)),INDEX([1]AB4!AF:AF,MATCH(A46,[1]AB4!B:B,0)),TEXT(INDEX([1]AB4!AG:AG,MATCH(A46,[1]AB4!B:B,0)),"0.00%")," or ",INDEX([1]AB4!AK:AK,MATCH(A46,[1]AB4!B:B,0)),INDEX([1]AB4!AJ:AJ,MATCH(A46,[1]AB4!B:B,0)),TEXT(INDEX([1]AB4!AL:AL,MATCH(A46,[1]AB4!B:B,0)),"0.00%")," )"))</f>
        <v>Max ( L : Entry - 0.40% or FUT : PRV : 2DLL - 0.02% )</v>
      </c>
      <c r="H46" s="37">
        <f t="array" ref="H46">IF(C39="","",INDEX([1]AB4!AM:AM,MATCH(A46,[1]AB4!B:B,0)))</f>
        <v>5</v>
      </c>
      <c r="I46" s="38"/>
      <c r="J46" s="36" t="str">
        <f t="array" ref="J46">IF(C39="","",CONCATENATE(INDEX([1]AB4!AA:AA,MATCH(A46,[1]AB4!B:B,0))," ( ",INDEX([1]AB4!AE:AE,MATCH(A46,[1]AB4!B:B,0))," or ",INDEX([1]AB4!AN:AN,MATCH(A46,[1]AB4!B:B,0)),INDEX([1]AB4!AJ:AJ,MATCH(A46,[1]AB4!B:B,0)),TEXT(INDEX([1]AB4!AO:AO,MATCH(A46,[1]AB4!B:B,0)),"0.00%")," )"))</f>
        <v>Max ( L : Entry or FUT : PRV : 2DLL - 0.02% )</v>
      </c>
      <c r="K46" s="37">
        <f t="array" ref="K46">IF(C39="","",INDEX([1]AB4!AP:AP,MATCH(A46,[1]AB4!B:B,0)))</f>
        <v>4</v>
      </c>
      <c r="L46" s="38"/>
      <c r="M46" s="36" t="str">
        <f t="array" ref="M46">IF(C39="","",CONCATENATE(INDEX([1]AB4!AA:AA,MATCH(A46,[1]AB4!B:B,0))," ( ",INDEX([1]AB4!AE:AE,MATCH(A46,[1]AB4!B:B,0))," or ",INDEX([1]AB4!AQ:AQ,MATCH(A46,[1]AB4!B:B,0)),INDEX([1]AB4!AJ:AJ,MATCH(A46,[1]AB4!B:B,0)),TEXT(INDEX([1]AB4!AR:AR,MATCH(A46,[1]AB4!B:B,0)),"0.00%")," )"))</f>
        <v>Max ( L : Entry or FUT : PRV : 2DLL - 0.02% )</v>
      </c>
      <c r="N46" s="37">
        <f t="array" ref="N46">IF(C39="","",INDEX([1]AB4!AS:AS,MATCH(A46,[1]AB4!B:B,0)))</f>
        <v>3</v>
      </c>
      <c r="O46" s="38"/>
      <c r="P46" s="36" t="str">
        <f t="array" ref="P46">IF(C39="","",CONCATENATE(INDEX([1]AB4!AA:AA,MATCH(A46,[1]AB4!B:B,0))," ( ",INDEX([1]AB4!AE:AE,MATCH(A46,[1]AB4!B:B,0))," or ",INDEX([1]AB4!AT:AT,MATCH(A46,[1]AB4!B:B,0)),INDEX([1]AB4!AJ:AJ,MATCH(A46,[1]AB4!B:B,0)),TEXT(INDEX([1]AB4!AU:AU,MATCH(A46,[1]AB4!B:B,0)),"0.00%")," )"))</f>
        <v>Max ( L : Entry or FUT : PRV : 2DLL - 0.02% )</v>
      </c>
      <c r="Q46" s="37">
        <f t="array" ref="Q46">IF(C39="","",INDEX([1]AB4!AV:AV,MATCH(A46,[1]AB4!B:B,0)))</f>
        <v>2</v>
      </c>
      <c r="R46" s="38"/>
      <c r="S46" s="36" t="str">
        <f t="array" ref="S46">IF(C39="","",CONCATENATE(INDEX([1]AB4!AA:AA,MATCH(A46,[1]AB4!B:B,0))," ( ",INDEX([1]AB4!AE:AE,MATCH(A46,[1]AB4!B:B,0))," or ",INDEX([1]AB4!AW:AW,MATCH(A46,[1]AB4!B:B,0)),INDEX([1]AB4!AJ:AJ,MATCH(A46,[1]AB4!B:B,0)),TEXT(INDEX([1]AB4!AX:AX,MATCH(A46,[1]AB4!B:B,0)),"0.00%")," )"))</f>
        <v>Max ( L : Entry or FUT : PRV : 2DLL - 0.02% )</v>
      </c>
      <c r="T46" s="37">
        <f t="array" ref="T46">IF(C39="","",INDEX([1]AB4!AY:AY,MATCH(A46,[1]AB4!B:B,0)))</f>
        <v>1</v>
      </c>
      <c r="U46" s="38"/>
      <c r="V46" s="36" t="str">
        <f t="array" ref="V46">IF(C39="","",CONCATENATE(INDEX([1]AB4!AA:AA,MATCH(A46,[1]AB4!B:B,0))," ( ",INDEX([1]AB4!AE:AE,MATCH(A46,[1]AB4!B:B,0))," or ",INDEX([1]AB4!AW:AW,MATCH(A46,[1]AB4!B:B,0)),INDEX([1]AB4!AJ:AJ,MATCH(A46,[1]AB4!B:B,0)),TEXT(INDEX([1]AB4!AX:AX,MATCH(A46,[1]AB4!B:B,0)),"0.00%")," )"))</f>
        <v>Max ( L : Entry or FUT : PRV : 2DLL - 0.02% )</v>
      </c>
      <c r="W46" s="37">
        <f t="array" ref="W46">IF(C39="","",INDEX([1]AB4!AY:AY,MATCH(A46,[1]AB4!B:B,0)))</f>
        <v>1</v>
      </c>
      <c r="X46" s="38"/>
      <c r="Y46" s="40">
        <f t="array" ref="Y46">IF(C39="","",INDEX([1]AB4!AZ:AZ,MATCH(A46,[1]AB4!B:B,0)))</f>
        <v>0</v>
      </c>
      <c r="Z46" s="37">
        <f t="array" ref="Z46">IF(C39="","",INDEX([1]AB4!BB:BB,MATCH(A46,[1]AB4!B:B,0)))</f>
        <v>0</v>
      </c>
      <c r="AA46" s="41"/>
      <c r="AB46" s="30"/>
      <c r="AC46" s="30"/>
    </row>
    <row r="47" spans="1:29" ht="6" customHeight="1" thickBot="1" x14ac:dyDescent="0.25">
      <c r="A47" s="18" t="str">
        <f>IF(C39="","",CONCATENATE(C40,[1]AB5!A47))</f>
        <v>S2</v>
      </c>
      <c r="B47" s="62" t="str">
        <f>IF(C39="","",IF([1]AB5!$B$12="","",[1]AB5!$B$12))</f>
        <v>Stay Blessed !!!</v>
      </c>
      <c r="C47" s="63"/>
      <c r="D47" s="59"/>
      <c r="E47" s="44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6"/>
      <c r="AB47" s="30"/>
      <c r="AC47" s="30"/>
    </row>
    <row r="48" spans="1:29" ht="30.75" customHeight="1" x14ac:dyDescent="0.2">
      <c r="A48" s="18" t="str">
        <f>IF(C39="","",CONCATENATE(C40,[1]AB5!$A$13))</f>
        <v>S2E</v>
      </c>
      <c r="B48" s="64"/>
      <c r="C48" s="59"/>
      <c r="D48" s="59"/>
      <c r="E48" s="65" t="str">
        <f>IF(C39="","",[1]AB5!$F$13)</f>
        <v>SELL</v>
      </c>
      <c r="F48" s="58" t="str">
        <f>IF(C39="","",[1]AB5!$G$13)</f>
        <v>E &amp; T</v>
      </c>
      <c r="G48" s="25" t="str">
        <f t="array" ref="G48">IF(C39="","",CONCATENATE(INDEX([1]AB4!G:G,MATCH(A48,[1]AB4!B:B,0)),INDEX([1]AB4!H:H,MATCH(A48,[1]AB4!B:B,0)),TEXT(INDEX([1]AB4!I:I,MATCH(A48,[1]AB4!B:B,0)),"0.00%")))</f>
        <v>FUT : PRV : 2DLL - 0.02%</v>
      </c>
      <c r="H48" s="26">
        <f t="array" ref="H48">IF(C39="","",INDEX([1]AB4!J:J,MATCH(A48,[1]AB4!B:B,0)))</f>
        <v>5</v>
      </c>
      <c r="I48" s="27"/>
      <c r="J48" s="28" t="str">
        <f t="array" ref="J48">IF(C39="","",CONCATENATE(INDEX([1]AB4!L:L,MATCH(A48,[1]AB4!B:B,0)),INDEX([1]AB4!M:M,MATCH(A48,[1]AB4!B:B,0)),TEXT(INDEX([1]AB4!N:N,MATCH(A48,[1]AB4!B:B,0)),"0.00%")))</f>
        <v>S : Entry  - 0.40%</v>
      </c>
      <c r="K48" s="26">
        <f t="array" ref="K48">IF(C39="","",INDEX([1]AB4!O:O,MATCH(A48,[1]AB4!B:B,0)))</f>
        <v>1</v>
      </c>
      <c r="L48" s="27"/>
      <c r="M48" s="28" t="str">
        <f t="array" ref="M48">IF(C39="","",CONCATENATE(INDEX([1]AB4!L:L,MATCH(A48,[1]AB4!B:B,0)),INDEX([1]AB4!M:M,MATCH(A48,[1]AB4!B:B,0)),TEXT(INDEX([1]AB4!P:P,MATCH(A48,[1]AB4!B:B,0)),"0.00%")))</f>
        <v>S : Entry  - 0.60%</v>
      </c>
      <c r="N48" s="26">
        <f t="array" ref="N48">IF(C39="","",INDEX([1]AB4!Q:Q,MATCH(A48,[1]AB4!B:B,0)))</f>
        <v>1</v>
      </c>
      <c r="O48" s="27"/>
      <c r="P48" s="28" t="str">
        <f t="array" ref="P48">IF(C39="","",CONCATENATE(INDEX([1]AB4!L:L,MATCH(A48,[1]AB4!B:B,0)),INDEX([1]AB4!M:M,MATCH(A48,[1]AB4!B:B,0)),TEXT(INDEX([1]AB4!R:R,MATCH(A48,[1]AB4!B:B,0)),"0.00%")))</f>
        <v>S : Entry  - 0.80%</v>
      </c>
      <c r="Q48" s="26">
        <f t="array" ref="Q48">IF(C39="","",INDEX([1]AB4!S:S,MATCH(A48,[1]AB4!B:B,0)))</f>
        <v>1</v>
      </c>
      <c r="R48" s="27"/>
      <c r="S48" s="28" t="str">
        <f t="array" ref="S48">IF(C39="","",CONCATENATE(INDEX([1]AB4!L:L,MATCH(A48,[1]AB4!B:B,0)),INDEX([1]AB4!M:M,MATCH(A48,[1]AB4!B:B,0)),TEXT(INDEX([1]AB4!T:T,MATCH(A48,[1]AB4!B:B,0)),"0.00%")))</f>
        <v>S : Entry  - 1.00%</v>
      </c>
      <c r="T48" s="26">
        <f t="array" ref="T48">IF(C39="","",INDEX([1]AB4!U:U,MATCH(A48,[1]AB4!B:B,0)))</f>
        <v>1</v>
      </c>
      <c r="U48" s="27"/>
      <c r="V48" s="28" t="str">
        <f t="array" ref="V48">IF(C39="","",INDEX([1]AB4!V:V,MATCH(A48,[1]AB4!B:B,0)))</f>
        <v>TR PROFIT AFTER TGT 4</v>
      </c>
      <c r="W48" s="26">
        <f t="array" ref="W48">IF(C39="","",INDEX([1]AB4!W:W,MATCH(A48,[1]AB4!B:B,0)))</f>
        <v>1</v>
      </c>
      <c r="X48" s="27"/>
      <c r="Y48" s="28" t="str">
        <f t="array" ref="Y48">IF(C39="","",INDEX([1]AB4!X:X,MATCH(A48,[1]AB4!B:B,0)))</f>
        <v>N.A.</v>
      </c>
      <c r="Z48" s="26" t="str">
        <f t="array" ref="Z48">IF(C39="","",INDEX([1]AB4!Y:Y,MATCH(A48,[1]AB4!B:B,0)))</f>
        <v>N.A.</v>
      </c>
      <c r="AA48" s="29"/>
      <c r="AB48" s="30"/>
      <c r="AC48" s="30"/>
    </row>
    <row r="49" spans="1:29" ht="44.25" customHeight="1" thickBot="1" x14ac:dyDescent="0.25">
      <c r="A49" s="18" t="str">
        <f>IF(C39="","",CONCATENATE(C40,[1]AB5!$A$14))</f>
        <v>S2E</v>
      </c>
      <c r="B49" s="60"/>
      <c r="C49" s="66"/>
      <c r="D49" s="66"/>
      <c r="E49" s="60"/>
      <c r="F49" s="61" t="str">
        <f>IF(C39="","",[1]AB5!$G$14)</f>
        <v>SL / TRP</v>
      </c>
      <c r="G49" s="36" t="str">
        <f t="array" ref="G49">IF(C39="","",CONCATENATE(INDEX([1]AB4!AA:AA,MATCH(A49,[1]AB4!B:B,0))," ( ",INDEX([1]AB4!AE:AE,MATCH(A49,[1]AB4!B:B,0)),INDEX([1]AB4!AF:AF,MATCH(A49,[1]AB4!B:B,0)),TEXT(INDEX([1]AB4!AG:AG,MATCH(A49,[1]AB4!B:B,0)),"0.00%")," or ",INDEX([1]AB4!AK:AK,MATCH(A49,[1]AB4!B:B,0)),INDEX([1]AB4!AJ:AJ,MATCH(A49,[1]AB4!B:B,0)),TEXT(INDEX([1]AB4!AL:AL,MATCH(A49,[1]AB4!B:B,0)),"0.00%")," )"))</f>
        <v>Min ( S : Entry + 0.40% or FUT : PRV : 4DHH + 0.05% )</v>
      </c>
      <c r="H49" s="37">
        <f t="array" ref="H49">IF(C39="","",INDEX([1]AB4!AM:AM,MATCH(A49,[1]AB4!B:B,0)))</f>
        <v>5</v>
      </c>
      <c r="I49" s="38"/>
      <c r="J49" s="36" t="str">
        <f t="array" ref="J49">IF(C39="","",CONCATENATE(INDEX([1]AB4!AA:AA,MATCH(A49,[1]AB4!B:B,0))," ( ",INDEX([1]AB4!AE:AE,MATCH(A49,[1]AB4!B:B,0))," or ",INDEX([1]AB4!AN:AN,MATCH(A49,[1]AB4!B:B,0)),INDEX([1]AB4!AJ:AJ,MATCH(A49,[1]AB4!B:B,0)),TEXT(INDEX([1]AB4!AO:AO,MATCH(A49,[1]AB4!B:B,0)),"0.00%")," )"))</f>
        <v>Min ( S : Entry or FUT : PRV : 4DHH + 0.05% )</v>
      </c>
      <c r="K49" s="37">
        <f t="array" ref="K49">IF(C39="","",INDEX([1]AB4!AP:AP,MATCH(A49,[1]AB4!B:B,0)))</f>
        <v>4</v>
      </c>
      <c r="L49" s="38"/>
      <c r="M49" s="36" t="str">
        <f t="array" ref="M49">IF(C39="","",CONCATENATE(INDEX([1]AB4!AA:AA,MATCH(A49,[1]AB4!B:B,0))," ( ",INDEX([1]AB4!AE:AE,MATCH(A49,[1]AB4!B:B,0))," or ",INDEX([1]AB4!AQ:AQ,MATCH(A49,[1]AB4!B:B,0)),INDEX([1]AB4!AJ:AJ,MATCH(A49,[1]AB4!B:B,0)),TEXT(INDEX([1]AB4!AR:AR,MATCH(A49,[1]AB4!B:B,0)),"0.00%")," )"))</f>
        <v>Min ( S : Entry or FUT : PRV : 4DHH + 0.05% )</v>
      </c>
      <c r="N49" s="37">
        <f t="array" ref="N49">IF(C39="","",INDEX([1]AB4!AS:AS,MATCH(A49,[1]AB4!B:B,0)))</f>
        <v>3</v>
      </c>
      <c r="O49" s="38"/>
      <c r="P49" s="36" t="str">
        <f t="array" ref="P49">IF(C39="","",CONCATENATE(INDEX([1]AB4!AA:AA,MATCH(A49,[1]AB4!B:B,0))," ( ",INDEX([1]AB4!AE:AE,MATCH(A49,[1]AB4!B:B,0))," or ",INDEX([1]AB4!AT:AT,MATCH(A49,[1]AB4!B:B,0)),INDEX([1]AB4!AJ:AJ,MATCH(A49,[1]AB4!B:B,0)),TEXT(INDEX([1]AB4!AU:AU,MATCH(A49,[1]AB4!B:B,0)),"0.00%")," )"))</f>
        <v>Min ( S : Entry or FUT : PRV : 4DHH + 0.05% )</v>
      </c>
      <c r="Q49" s="37">
        <f t="array" ref="Q49">IF(C39="","",INDEX([1]AB4!AV:AV,MATCH(A49,[1]AB4!B:B,0)))</f>
        <v>2</v>
      </c>
      <c r="R49" s="38"/>
      <c r="S49" s="36" t="str">
        <f t="array" ref="S49">IF(C39="","",CONCATENATE(INDEX([1]AB4!AA:AA,MATCH(A49,[1]AB4!B:B,0))," ( ",INDEX([1]AB4!AE:AE,MATCH(A49,[1]AB4!B:B,0))," or ",INDEX([1]AB4!AW:AW,MATCH(A49,[1]AB4!B:B,0)),INDEX([1]AB4!AJ:AJ,MATCH(A49,[1]AB4!B:B,0)),TEXT(INDEX([1]AB4!AX:AX,MATCH(A49,[1]AB4!B:B,0)),"0.00%")," )"))</f>
        <v>Min ( S : Entry or FUT : PRV : 4DHH + 0.05% )</v>
      </c>
      <c r="T49" s="37">
        <f t="array" ref="T49">IF(C39="","",INDEX([1]AB4!AY:AY,MATCH(A49,[1]AB4!B:B,0)))</f>
        <v>1</v>
      </c>
      <c r="U49" s="38"/>
      <c r="V49" s="36" t="str">
        <f t="array" ref="V49">IF(C39="","",CONCATENATE(INDEX([1]AB4!AA:AA,MATCH(A49,[1]AB4!B:B,0))," ( ",INDEX([1]AB4!AE:AE,MATCH(A49,[1]AB4!B:B,0))," or ",INDEX([1]AB4!AW:AW,MATCH(A49,[1]AB4!B:B,0)),INDEX([1]AB4!AJ:AJ,MATCH(A49,[1]AB4!B:B,0)),TEXT(INDEX([1]AB4!AX:AX,MATCH(A49,[1]AB4!B:B,0)),"0.00%")," )"))</f>
        <v>Min ( S : Entry or FUT : PRV : 4DHH + 0.05% )</v>
      </c>
      <c r="W49" s="37">
        <f t="array" ref="W49">IF(C39="","",INDEX([1]AB4!AY:AY,MATCH(A49,[1]AB4!B:B,0)))</f>
        <v>1</v>
      </c>
      <c r="X49" s="38"/>
      <c r="Y49" s="40">
        <f t="array" ref="Y49">IF(C39="","",INDEX([1]AB4!AZ:AZ,MATCH(A49,[1]AB4!B:B,0)))</f>
        <v>0</v>
      </c>
      <c r="Z49" s="37">
        <f t="array" ref="Z49">IF(C39="","",INDEX([1]AB4!BB:BB,MATCH(A49,[1]AB4!B:B,0)))</f>
        <v>0</v>
      </c>
      <c r="AA49" s="41"/>
      <c r="AB49" s="30"/>
      <c r="AC49" s="30"/>
    </row>
    <row r="50" spans="1:29" ht="6" customHeight="1" thickBot="1" x14ac:dyDescent="0.25">
      <c r="A50" s="18"/>
      <c r="B50" s="55"/>
      <c r="C50" s="55"/>
      <c r="D50" s="55"/>
      <c r="E50" s="30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30"/>
      <c r="AA50" s="30"/>
      <c r="AB50" s="68"/>
      <c r="AC50" s="68"/>
    </row>
    <row r="51" spans="1:29" ht="21.75" customHeight="1" x14ac:dyDescent="0.2">
      <c r="A51" s="18"/>
      <c r="B51" s="69" t="str">
        <f>IF(C39="","",[1]AB5!$B$16)</f>
        <v>For Entry</v>
      </c>
      <c r="C51" s="29"/>
      <c r="D51" s="70" t="str">
        <f>IF(C39="","",[1]AB5!$D$16)</f>
        <v>Gap Check</v>
      </c>
      <c r="E51" s="71"/>
      <c r="F51" s="70" t="str">
        <f>IF(C39="","",[1]AB5!$G$16)</f>
        <v>Process</v>
      </c>
      <c r="G51" s="72"/>
      <c r="H51" s="73" t="str">
        <f>IF(C39="","",[1]AB5!$I$16)</f>
        <v>Y / N</v>
      </c>
      <c r="I51" s="72"/>
      <c r="J51" s="74" t="str">
        <f>IF(C39="","",[1]AB5!$K$16)</f>
        <v>Order Status</v>
      </c>
      <c r="K51" s="75" t="str">
        <f>IF(C39="","",[1]AB5!$L$16)</f>
        <v>Step 1</v>
      </c>
      <c r="L51" s="76"/>
      <c r="M51" s="76"/>
      <c r="N51" s="72"/>
      <c r="O51" s="73" t="str">
        <f>IF(C39="","",[1]AB5!$P$16)</f>
        <v>Order Placement Timings</v>
      </c>
      <c r="P51" s="72"/>
      <c r="Q51" s="73" t="str">
        <f>IF(C39="","",[1]AB5!$R$16)</f>
        <v>Time</v>
      </c>
      <c r="R51" s="72"/>
      <c r="S51" s="75" t="str">
        <f>IF(C39="","",[1]AB5!$T$16)</f>
        <v>Rules For Gaps</v>
      </c>
      <c r="T51" s="76"/>
      <c r="U51" s="72"/>
      <c r="V51" s="74" t="str">
        <f>IF(C39="","",[1]AB5!$W$16)</f>
        <v>Data</v>
      </c>
      <c r="W51" s="73" t="str">
        <f>IF(C39="","",[1]AB5!$X$16)</f>
        <v>Buffer</v>
      </c>
      <c r="X51" s="71"/>
      <c r="Y51" s="77" t="str">
        <f>IF(C39="","",[1]AB5!$AA$16)</f>
        <v>Rules For Re Entry</v>
      </c>
      <c r="Z51" s="76"/>
      <c r="AA51" s="71"/>
      <c r="AB51" s="78"/>
      <c r="AC51" s="78"/>
    </row>
    <row r="52" spans="1:29" ht="31.5" customHeight="1" x14ac:dyDescent="0.2">
      <c r="A52" s="18" t="str">
        <f>IF(C39="","",CONCATENATE(C40,[1]AB5!$A$17))</f>
        <v>S2A</v>
      </c>
      <c r="B52" s="79" t="str">
        <f>IF(C39="","",[1]AB5!$B$17)</f>
        <v xml:space="preserve">ORPT </v>
      </c>
      <c r="C52" s="80" t="str">
        <f>IF(C39="","",[1]AB5!$C$17)</f>
        <v xml:space="preserve"> RC. Time</v>
      </c>
      <c r="D52" s="81" t="str">
        <f>IF(C39="","",[1]AB5!$D$17)</f>
        <v>For Long Entry</v>
      </c>
      <c r="E52" s="63"/>
      <c r="F52" s="82" t="str">
        <f>IF(C39="","",CONCATENATE([1]AB5!$G$17,TEXT(B53,"HH:MM:SS AM/PM"),[1]AB5!$B$18,[1]AB5!$H$17))</f>
        <v>Check If  09:04:59 AM HH &gt; Long Entry</v>
      </c>
      <c r="G52" s="83"/>
      <c r="H52" s="84" t="str">
        <f>IF(C39="","",[1]AB5!$I$17)</f>
        <v>No</v>
      </c>
      <c r="I52" s="85"/>
      <c r="J52" s="86" t="str">
        <f>IF(C39="","",[1]AB5!$K$17)</f>
        <v>Entry Not Missed</v>
      </c>
      <c r="K52" s="87" t="str">
        <f>IF(C39="","",[1]AB5!$L$17)</f>
        <v>Place the Order at ORPT</v>
      </c>
      <c r="L52" s="88"/>
      <c r="M52" s="88"/>
      <c r="N52" s="85"/>
      <c r="O52" s="87" t="str">
        <f>IF(C39="","",[1]AB5!$P$17)</f>
        <v>ORPT Time</v>
      </c>
      <c r="P52" s="85"/>
      <c r="Q52" s="89">
        <f>IF(C39="","",B53)</f>
        <v>0.37846527777777778</v>
      </c>
      <c r="R52" s="85"/>
      <c r="S52" s="87" t="str">
        <f>IF(C39="","",[1]AB5!$T$17)</f>
        <v>N.A.</v>
      </c>
      <c r="T52" s="88"/>
      <c r="U52" s="85"/>
      <c r="V52" s="86" t="str">
        <f>IF(C39="","",[1]AB5!$W$17)</f>
        <v>N.A.</v>
      </c>
      <c r="W52" s="90" t="str">
        <f>IF(C39="","",[1]AB5!$X$17)</f>
        <v>N.A.</v>
      </c>
      <c r="X52" s="91"/>
      <c r="Y52" s="92" t="str">
        <f>IF(C39="","",[1]AB5!$AA$17)</f>
        <v xml:space="preserve">Long Entry : Bull/ Bull CF : </v>
      </c>
      <c r="Z52" s="88"/>
      <c r="AA52" s="91"/>
      <c r="AB52" s="68"/>
      <c r="AC52" s="68"/>
    </row>
    <row r="53" spans="1:29" ht="31.5" customHeight="1" x14ac:dyDescent="0.2">
      <c r="A53" s="18" t="str">
        <f>IF(C39="","",CONCATENATE(C40,[1]AB5!$A$18))</f>
        <v>S2B</v>
      </c>
      <c r="B53" s="93">
        <f t="array" ref="B53">IF(C39="","",INDEX([1]AB4!BE:BE,MATCH(A52,[1]AB4!B:B,0)))</f>
        <v>0.37846527777777778</v>
      </c>
      <c r="C53" s="94">
        <f t="array" ref="C53">IF(C39="","",INDEX([1]AB4!BE:BE,MATCH(A53,[1]AB4!B:B,0)))</f>
        <v>0.38540972222222225</v>
      </c>
      <c r="D53" s="64"/>
      <c r="E53" s="59"/>
      <c r="F53" s="64"/>
      <c r="G53" s="95"/>
      <c r="H53" s="96" t="str">
        <f>IF(C39="","",[1]AB5!$I$18)</f>
        <v>Yes</v>
      </c>
      <c r="I53" s="83"/>
      <c r="J53" s="97" t="str">
        <f>IF(C39="","",[1]AB5!$K$18)</f>
        <v>Entry Missed</v>
      </c>
      <c r="K53" s="87" t="str">
        <f>IF(C39="","",[1]AB5!$L$18)</f>
        <v>Recalcuate : Long Entry : Bull / Bull CF</v>
      </c>
      <c r="L53" s="88"/>
      <c r="M53" s="88"/>
      <c r="N53" s="85"/>
      <c r="O53" s="87" t="str">
        <f>IF(C39="","",[1]AB5!$P$18)</f>
        <v>Wait Till Recalculation Time</v>
      </c>
      <c r="P53" s="85"/>
      <c r="Q53" s="89">
        <f>IF(C39="","",C53)</f>
        <v>0.38540972222222225</v>
      </c>
      <c r="R53" s="85"/>
      <c r="S53" s="98" t="str">
        <f>IF(C39="","",CONCATENATE(V53," ",[1]AB5!$Z$18," ",TEXT(W53,"0.00%")))</f>
        <v>09:14:59 AM HH + 0.02%</v>
      </c>
      <c r="T53" s="88"/>
      <c r="U53" s="85"/>
      <c r="V53" s="99" t="str">
        <f>IF(C39="","",CONCATENATE(TEXT(Q53,"HH:MM:SS AM/PM"),[1]AB5!$U$18))</f>
        <v>09:14:59 AM HH</v>
      </c>
      <c r="W53" s="100" t="str">
        <f t="array" ref="W53">IF(A39="","",TEXT(INDEX([1]AB4!BK:BK,MATCH(A40,[1]AB4!B:B,0)),"0.00%"))</f>
        <v>0.02%</v>
      </c>
      <c r="X53" s="91"/>
      <c r="Y53" s="101" t="str">
        <f>IF(C39="","",CONCATENATE([1]AB5!$T$18," ( ",G39," or ",[1]AB5!$AA$18," ",[1]AB5!$Z$18," ",TEXT(W53,"0.00%")," )"))</f>
        <v>Max ( FUT : PRV : 2DHH + 0.02% or  CDHH + 0.02% )</v>
      </c>
      <c r="Z53" s="88"/>
      <c r="AA53" s="91"/>
      <c r="AB53" s="68"/>
      <c r="AC53" s="68"/>
    </row>
    <row r="54" spans="1:29" ht="31.5" customHeight="1" thickBot="1" x14ac:dyDescent="0.25">
      <c r="A54" s="18"/>
      <c r="B54" s="34"/>
      <c r="C54" s="102"/>
      <c r="D54" s="103"/>
      <c r="E54" s="104"/>
      <c r="F54" s="103"/>
      <c r="G54" s="105"/>
      <c r="H54" s="51"/>
      <c r="I54" s="105"/>
      <c r="J54" s="53"/>
      <c r="K54" s="87" t="str">
        <f>IF(C39="","",[1]AB5!$L$19)</f>
        <v>Recalcuate : Long Entry : Bear / Bear CF</v>
      </c>
      <c r="L54" s="88"/>
      <c r="M54" s="88"/>
      <c r="N54" s="85"/>
      <c r="O54" s="87" t="str">
        <f>IF(C39="","",[1]AB5!$P$19)</f>
        <v>Wait Till Recalculation Time</v>
      </c>
      <c r="P54" s="85"/>
      <c r="Q54" s="89">
        <f>IF(C39="","",C53)</f>
        <v>0.38540972222222225</v>
      </c>
      <c r="R54" s="85"/>
      <c r="S54" s="98" t="str">
        <f>IF(C39="","",CONCATENATE(V54," ",[1]AB5!$Z$19," ",TEXT(W54,"0.00%"),))</f>
        <v>09:14:59 AM HH + 0.05%</v>
      </c>
      <c r="T54" s="88"/>
      <c r="U54" s="85"/>
      <c r="V54" s="99" t="str">
        <f>IF(C39="","",CONCATENATE(TEXT(Q54,"HH:MM:SS AM/PM"),[1]AB5!$U$19))</f>
        <v>09:14:59 AM HH</v>
      </c>
      <c r="W54" s="100" t="str">
        <f t="array" ref="W54">IF(C39="","",TEXT(INDEX([1]AB4!BK:BK,MATCH(A45,[1]AB4!B:B,0)),"0.00%"))</f>
        <v>0.05%</v>
      </c>
      <c r="X54" s="91"/>
      <c r="Y54" s="106" t="str">
        <f>IF(C39="","",[1]AB5!$AA$19)</f>
        <v xml:space="preserve">Long Entry : Bear/ Bear CF : </v>
      </c>
      <c r="Z54" s="88"/>
      <c r="AA54" s="91"/>
      <c r="AB54" s="68"/>
      <c r="AC54" s="68"/>
    </row>
    <row r="55" spans="1:29" ht="31.5" customHeight="1" x14ac:dyDescent="0.2">
      <c r="A55" s="18"/>
      <c r="B55" s="69" t="str">
        <f>IF(C39="","",[1]AB5!$B$20)</f>
        <v>For SL (Position = Open)</v>
      </c>
      <c r="C55" s="29"/>
      <c r="D55" s="107" t="str">
        <f>IF(C39="","",[1]AB5!$D$20)</f>
        <v>For Short Entry</v>
      </c>
      <c r="E55" s="63"/>
      <c r="F55" s="82" t="str">
        <f>IF(C39="","",CONCATENATE([1]AB5!$G$20,TEXT(B53,"HH:MM:SS AM/PM"),[1]AB5!$B$18,[1]AB5!$H$20))</f>
        <v>Check If  09:04:59 AM LL &lt; Short Entry</v>
      </c>
      <c r="G55" s="83"/>
      <c r="H55" s="108" t="str">
        <f>IF(C39="","",[1]AB5!$I$20)</f>
        <v>No</v>
      </c>
      <c r="I55" s="85"/>
      <c r="J55" s="109" t="str">
        <f>IF(C39="","",[1]AB5!$K$20)</f>
        <v>Entry Not Missed</v>
      </c>
      <c r="K55" s="110" t="str">
        <f>IF(C39="","",[1]AB5!$L$20)</f>
        <v>Place the Order at ORPT</v>
      </c>
      <c r="L55" s="88"/>
      <c r="M55" s="88"/>
      <c r="N55" s="85"/>
      <c r="O55" s="110" t="str">
        <f>IF(C39="","",[1]AB5!$P$20)</f>
        <v>ORPT Time</v>
      </c>
      <c r="P55" s="85"/>
      <c r="Q55" s="111">
        <f>IF(C39="","",B53)</f>
        <v>0.37846527777777778</v>
      </c>
      <c r="R55" s="85"/>
      <c r="S55" s="110" t="str">
        <f>IF(C39="","",[1]AB5!$T$20)</f>
        <v>N.A.</v>
      </c>
      <c r="T55" s="88"/>
      <c r="U55" s="85"/>
      <c r="V55" s="109" t="str">
        <f>IF(C39="","",[1]AB5!$W$20)</f>
        <v>N.A.</v>
      </c>
      <c r="W55" s="112" t="str">
        <f>IF(C39="","",[1]AB5!$X$20)</f>
        <v>N.A.</v>
      </c>
      <c r="X55" s="91"/>
      <c r="Y55" s="101" t="str">
        <f>IF(C39="","",CONCATENATE([1]AB5!$T$19," ( ",G45," or ",[1]AB5!$AA$20," ",[1]AB5!$Z$19," ",TEXT(W54,"0.00%")," )"))</f>
        <v>Max ( FUT : PRV : 4DHH + 0.05% or  CDHH + 0.05% )</v>
      </c>
      <c r="Z55" s="88"/>
      <c r="AA55" s="91"/>
      <c r="AB55" s="68"/>
      <c r="AC55" s="68"/>
    </row>
    <row r="56" spans="1:29" ht="31.5" customHeight="1" x14ac:dyDescent="0.2">
      <c r="A56" s="18" t="str">
        <f>IF(C39="","",CONCATENATE(C40,[1]AB5!$A$21))</f>
        <v>S2A</v>
      </c>
      <c r="B56" s="79" t="str">
        <f>IF(C39="","",[1]AB5!$B$21)</f>
        <v xml:space="preserve">ORPT </v>
      </c>
      <c r="C56" s="80" t="str">
        <f>IF(C39="","",[1]AB5!$C$21)</f>
        <v xml:space="preserve"> RC. Time</v>
      </c>
      <c r="D56" s="64"/>
      <c r="E56" s="59"/>
      <c r="F56" s="64"/>
      <c r="G56" s="95"/>
      <c r="H56" s="113" t="str">
        <f>IF(C39="","",[1]AB5!$I$21)</f>
        <v>Yes</v>
      </c>
      <c r="I56" s="83"/>
      <c r="J56" s="114" t="str">
        <f>IF(C39="","",[1]AB5!$K$21)</f>
        <v>Entry Missed</v>
      </c>
      <c r="K56" s="110" t="str">
        <f>IF(C39="","",[1]AB5!$L$21)</f>
        <v>Recalcuate : Short Entry : Bull / Bull CF</v>
      </c>
      <c r="L56" s="88"/>
      <c r="M56" s="88"/>
      <c r="N56" s="85"/>
      <c r="O56" s="110" t="str">
        <f>IF(C39="","",[1]AB5!$P$21)</f>
        <v>Wait Till Recalculation Time</v>
      </c>
      <c r="P56" s="85"/>
      <c r="Q56" s="111">
        <f>IF(C39="","",C53)</f>
        <v>0.38540972222222225</v>
      </c>
      <c r="R56" s="85"/>
      <c r="S56" s="115" t="str">
        <f>IF(C39="","",CONCATENATE(V56," ",[1]AB5!$Z$21," ",TEXT(W56,"0.00%")))</f>
        <v>09:14:59 AM LL - 0.05%</v>
      </c>
      <c r="T56" s="88"/>
      <c r="U56" s="85"/>
      <c r="V56" s="116" t="str">
        <f>IF(C39="","",CONCATENATE(TEXT(Q56,"HH:MM:SS AM/PM"),[1]AB5!$U$21))</f>
        <v>09:14:59 AM LL</v>
      </c>
      <c r="W56" s="112" t="str">
        <f t="array" ref="W56">IF(C39="","",TEXT(INDEX([1]AB4!BK:BK,MATCH(A42,[1]AB4!B:B,0)),"0.00%"))</f>
        <v>0.05%</v>
      </c>
      <c r="X56" s="91"/>
      <c r="Y56" s="117" t="str">
        <f>IF(C39="","",[1]AB5!$AA$21)</f>
        <v>When Your Long Position is Exited</v>
      </c>
      <c r="Z56" s="118"/>
      <c r="AA56" s="59"/>
      <c r="AB56" s="68"/>
      <c r="AC56" s="68"/>
    </row>
    <row r="57" spans="1:29" ht="31.5" customHeight="1" thickBot="1" x14ac:dyDescent="0.25">
      <c r="A57" s="18" t="str">
        <f>IF(C39="","",CONCATENATE(C40,[1]AB5!$A$22))</f>
        <v>S2B</v>
      </c>
      <c r="B57" s="119">
        <f t="array" ref="B57">IF(C39="","",INDEX([1]AB4!BF:BF,MATCH(A56,[1]AB4!B:B,0)))</f>
        <v>0.37846527777777778</v>
      </c>
      <c r="C57" s="120">
        <f t="array" ref="C57">IF(C39="","",INDEX([1]AB4!BF:BF,MATCH(A57,[1]AB4!B:B,0)))</f>
        <v>0.38540972222222225</v>
      </c>
      <c r="D57" s="60"/>
      <c r="E57" s="66"/>
      <c r="F57" s="60"/>
      <c r="G57" s="121"/>
      <c r="H57" s="102"/>
      <c r="I57" s="121"/>
      <c r="J57" s="122"/>
      <c r="K57" s="123" t="str">
        <f>IF(C39="","",[1]AB5!$L$22)</f>
        <v>Recalcuate : Short Entry : Bear / Bear CF</v>
      </c>
      <c r="L57" s="124"/>
      <c r="M57" s="124"/>
      <c r="N57" s="38"/>
      <c r="O57" s="123" t="str">
        <f>IF(C39="","",[1]AB5!$P$22)</f>
        <v>Wait Till Recalculation Time</v>
      </c>
      <c r="P57" s="38"/>
      <c r="Q57" s="125">
        <f>IF(C39="","",C53)</f>
        <v>0.38540972222222225</v>
      </c>
      <c r="R57" s="38"/>
      <c r="S57" s="126" t="str">
        <f>IF(C39="","",CONCATENATE(V57," ",[1]AB5!$Z$22," ",TEXT(W57,"0.00%")))</f>
        <v>09:14:59 AM LL - 0.02%</v>
      </c>
      <c r="T57" s="124"/>
      <c r="U57" s="38"/>
      <c r="V57" s="127" t="str">
        <f>IF(C39="","",CONCATENATE(TEXT(Q57,"HH:MM:SS AM/PM"),[1]AB5!$U$22))</f>
        <v>09:14:59 AM LL</v>
      </c>
      <c r="W57" s="128" t="str">
        <f t="array" ref="W57">IF(C39="","",TEXT(INDEX([1]AB4!BK:BK,MATCH(A48,[1]AB4!B:B,0)),"0.00%"))</f>
        <v>0.02%</v>
      </c>
      <c r="X57" s="41"/>
      <c r="Y57" s="129" t="str">
        <f>IF(C39="","",[1]AB5!$AA$22)</f>
        <v>This is Only Applicable for Same Day</v>
      </c>
      <c r="Z57" s="130"/>
      <c r="AA57" s="66"/>
      <c r="AB57" s="68"/>
      <c r="AC57" s="68"/>
    </row>
    <row r="58" spans="1:29" ht="6" customHeight="1" thickBot="1" x14ac:dyDescent="0.25">
      <c r="A58" s="18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spans="1:29" ht="21.75" customHeight="1" thickBot="1" x14ac:dyDescent="0.25">
      <c r="A59" s="18"/>
      <c r="B59" s="69" t="str">
        <f>IF(C39="","",[1]AB5!$B$24)</f>
        <v>For TGT (Position = Open)</v>
      </c>
      <c r="C59" s="29"/>
      <c r="D59" s="132" t="str">
        <f>IF(C39="","",[1]AB5!$D$24)</f>
        <v>Gap Check</v>
      </c>
      <c r="E59" s="133"/>
      <c r="F59" s="132" t="str">
        <f>IF(C39="","",[1]AB5!$G$24)</f>
        <v>Process</v>
      </c>
      <c r="G59" s="133"/>
      <c r="H59" s="132" t="str">
        <f>IF(C39="","",[1]AB5!$I$24)</f>
        <v>Y / N</v>
      </c>
      <c r="I59" s="133"/>
      <c r="J59" s="134" t="str">
        <f>IF(C39="","",[1]AB5!$K$24)</f>
        <v>Status</v>
      </c>
      <c r="K59" s="135" t="str">
        <f>IF(C39="","",[1]AB5!$L$24)</f>
        <v>Step 1</v>
      </c>
      <c r="L59" s="136"/>
      <c r="M59" s="136"/>
      <c r="N59" s="133"/>
      <c r="O59" s="132" t="str">
        <f>IF(C39="","",[1]AB5!$P$24)</f>
        <v>Order Placement Timings</v>
      </c>
      <c r="P59" s="133"/>
      <c r="Q59" s="132" t="str">
        <f>IF(C39="","",[1]AB5!$R$24)</f>
        <v>Time</v>
      </c>
      <c r="R59" s="133"/>
      <c r="S59" s="135" t="str">
        <f>IF(C39="","",[1]AB5!$T$24)</f>
        <v>Rules For Gaps</v>
      </c>
      <c r="T59" s="136"/>
      <c r="U59" s="133"/>
      <c r="V59" s="134" t="str">
        <f>IF(C39="","",[1]AB5!$W$24)</f>
        <v>Data</v>
      </c>
      <c r="W59" s="132" t="str">
        <f>IF(C39="","",[1]AB5!$X$24)</f>
        <v>Buffer</v>
      </c>
      <c r="X59" s="133"/>
      <c r="Y59" s="135" t="str">
        <f>IF(C39="","",[1]AB5!$AA$16)</f>
        <v>Rules For Re Entry</v>
      </c>
      <c r="Z59" s="136"/>
      <c r="AA59" s="133"/>
      <c r="AB59" s="78"/>
      <c r="AC59" s="78"/>
    </row>
    <row r="60" spans="1:29" ht="24" customHeight="1" x14ac:dyDescent="0.2">
      <c r="A60" s="18" t="str">
        <f>IF(C39="","",CONCATENATE(C40,[1]AB5!$A$25))</f>
        <v>S2A</v>
      </c>
      <c r="B60" s="79" t="str">
        <f>IF(C39="","",[1]AB5!$B$25)</f>
        <v xml:space="preserve">ORPT </v>
      </c>
      <c r="C60" s="80" t="str">
        <f>IF(C39="","",[1]AB5!$C$25)</f>
        <v xml:space="preserve"> RC. Time</v>
      </c>
      <c r="D60" s="137" t="str">
        <f>IF(C39="","",[1]AB5!$D$25)</f>
        <v>For Long SL</v>
      </c>
      <c r="E60" s="59"/>
      <c r="F60" s="138" t="str">
        <f>IF(C39="","",CONCATENATE([1]AB5!$G$25,TEXT(B57,"HH:MM:SS AM/PM"),[1]AB5!$B$22,[1]AB5!$H$25))</f>
        <v>Check If 09:04:59 AM LL &lt; Long SL</v>
      </c>
      <c r="G60" s="76"/>
      <c r="H60" s="139" t="str">
        <f>IF(C39="","",[1]AB5!$I$25)</f>
        <v>No</v>
      </c>
      <c r="I60" s="27"/>
      <c r="J60" s="140" t="str">
        <f>IF(C39="","",[1]AB5!$K$25)</f>
        <v>FSL / TRP Not Missed</v>
      </c>
      <c r="K60" s="141" t="str">
        <f>IF(C39="","",[1]AB5!$L$25)</f>
        <v>Place the Order at ORPT</v>
      </c>
      <c r="L60" s="142"/>
      <c r="M60" s="142"/>
      <c r="N60" s="27"/>
      <c r="O60" s="141" t="str">
        <f>IF(C39="","",[1]AB5!$P$25)</f>
        <v>ORPT Time</v>
      </c>
      <c r="P60" s="27"/>
      <c r="Q60" s="143">
        <f>IF(C39="","",B57)</f>
        <v>0.37846527777777778</v>
      </c>
      <c r="R60" s="27"/>
      <c r="S60" s="141" t="str">
        <f>IF(C39="","",[1]AB5!$U$25)</f>
        <v>N.A.</v>
      </c>
      <c r="T60" s="142"/>
      <c r="U60" s="27"/>
      <c r="V60" s="140" t="str">
        <f>IF(C39="","",[1]AB5!$W$25)</f>
        <v>N.A.</v>
      </c>
      <c r="W60" s="144" t="str">
        <f>IF(C39="","",[1]AB5!$X$25)</f>
        <v>N.A.</v>
      </c>
      <c r="X60" s="29"/>
      <c r="Y60" s="117" t="str">
        <f>IF(C39="","",[1]AB5!$AA$25)</f>
        <v xml:space="preserve">Short Entry : Bull/ Bull CF : </v>
      </c>
      <c r="Z60" s="12"/>
      <c r="AA60" s="59"/>
      <c r="AB60" s="68"/>
      <c r="AC60" s="68"/>
    </row>
    <row r="61" spans="1:29" ht="24" customHeight="1" thickBot="1" x14ac:dyDescent="0.25">
      <c r="A61" s="18" t="str">
        <f>IF(C39="","",CONCATENATE(C40,[1]AB5!$A$26))</f>
        <v>S2B</v>
      </c>
      <c r="B61" s="119">
        <f t="array" ref="B61">IF(C39="","",INDEX([1]AB4!BG:BG,MATCH(A60,[1]AB4!B:B,0)))</f>
        <v>0.375</v>
      </c>
      <c r="C61" s="120" t="str">
        <f t="array" ref="C61">IF(C39="","",INDEX([1]AB4!BG:BG,MATCH(A61,[1]AB4!B:B,0)))</f>
        <v>N.A.</v>
      </c>
      <c r="D61" s="64"/>
      <c r="E61" s="59"/>
      <c r="F61" s="64"/>
      <c r="G61" s="12"/>
      <c r="H61" s="113" t="str">
        <f>IF(C39="","",[1]AB5!$I$26)</f>
        <v>Yes</v>
      </c>
      <c r="I61" s="83"/>
      <c r="J61" s="114" t="str">
        <f>IF(C39="","",[1]AB5!$K$26)</f>
        <v>FSL / TRP Missed</v>
      </c>
      <c r="K61" s="110" t="str">
        <f>IF(C39="","",[1]AB5!$L$26)</f>
        <v>Recalcuate : Long FSL / TRP : Bull / Bull CF</v>
      </c>
      <c r="L61" s="88"/>
      <c r="M61" s="88"/>
      <c r="N61" s="85"/>
      <c r="O61" s="110" t="str">
        <f>IF(C39="","",[1]AB5!$P$26)</f>
        <v>Wait Till Recalculation Time</v>
      </c>
      <c r="P61" s="85"/>
      <c r="Q61" s="111">
        <f>IF(C39="","",C57)</f>
        <v>0.38540972222222225</v>
      </c>
      <c r="R61" s="85"/>
      <c r="S61" s="110" t="str">
        <f>IF(C39="","",CONCATENATE(V61," ",[1]AB5!$Z$26," ",TEXT(W61,"0.00%")))</f>
        <v>09:14:59 AM LL - 0.05%</v>
      </c>
      <c r="T61" s="88"/>
      <c r="U61" s="85"/>
      <c r="V61" s="116" t="str">
        <f>IF(C39="","",CONCATENATE(TEXT(Q61,"HH:MM:SS AM/PM"),[1]AB5!$U$26))</f>
        <v>09:14:59 AM LL</v>
      </c>
      <c r="W61" s="112" t="str">
        <f t="array" ref="W61">IF(C39="","",TEXT(INDEX([1]AB4!BL:BL,MATCH(A40,[1]AB4!B:B,0)),"0.00%"))</f>
        <v>0.05%</v>
      </c>
      <c r="X61" s="91"/>
      <c r="Y61" s="145"/>
      <c r="Z61" s="145"/>
      <c r="AA61" s="104"/>
      <c r="AB61" s="68"/>
      <c r="AC61" s="68"/>
    </row>
    <row r="62" spans="1:29" ht="24" customHeight="1" x14ac:dyDescent="0.2">
      <c r="A62" s="18"/>
      <c r="B62" s="62" t="str">
        <f>IF(C39="","",[1]AB5!$B$27)</f>
        <v>I Commit To Follow The Rules &amp; Process</v>
      </c>
      <c r="C62" s="63"/>
      <c r="D62" s="64"/>
      <c r="E62" s="59"/>
      <c r="F62" s="64"/>
      <c r="G62" s="12"/>
      <c r="H62" s="48"/>
      <c r="I62" s="95"/>
      <c r="J62" s="146"/>
      <c r="K62" s="110" t="str">
        <f>IF(C39="","",[1]AB5!$L$27)</f>
        <v>Recalcuate : Long FSL / TRP : Bear / Bear CF</v>
      </c>
      <c r="L62" s="88"/>
      <c r="M62" s="88"/>
      <c r="N62" s="85"/>
      <c r="O62" s="110" t="str">
        <f>IF(C39="","",[1]AB5!$P$27)</f>
        <v>Wait Till Recalculation Time</v>
      </c>
      <c r="P62" s="85"/>
      <c r="Q62" s="111">
        <f>IF(C39="","",C57)</f>
        <v>0.38540972222222225</v>
      </c>
      <c r="R62" s="85"/>
      <c r="S62" s="110" t="str">
        <f>IF(C40="","",CONCATENATE(V62," ",[1]AB5!$Z$26," ",TEXT(W62,"0.00%")))</f>
        <v>09:14:59 AM LL - 0.05%</v>
      </c>
      <c r="T62" s="88"/>
      <c r="U62" s="85"/>
      <c r="V62" s="116" t="str">
        <f>IF(C39="","",CONCATENATE(TEXT(Q61,"HH:MM:SS AM/PM"),[1]AB5!$U$27))</f>
        <v>09:14:59 AM LL</v>
      </c>
      <c r="W62" s="112" t="str">
        <f t="array" ref="W62">IF(C39="","",TEXT(INDEX([1]AB4!BL:BL,MATCH(A40,[1]AB4!B:B,0)),"0.00%"))</f>
        <v>0.05%</v>
      </c>
      <c r="X62" s="91"/>
      <c r="Y62" s="147" t="str">
        <f>IF(C39="","",CONCATENATE([1]AB5!$T$28," ( ",G42," or ",[1]AB5!$AA$26," ",[1]AB5!$Z$28," ",TEXT(W63,"0.00%")," )"))</f>
        <v>Min ( FUT : PRV : 4DLL - 0.05% or  CDLL - 0.05% )</v>
      </c>
      <c r="Z62" s="148"/>
      <c r="AA62" s="63"/>
      <c r="AB62" s="68"/>
      <c r="AC62" s="68"/>
    </row>
    <row r="63" spans="1:29" ht="33" customHeight="1" x14ac:dyDescent="0.2">
      <c r="A63" s="18"/>
      <c r="B63" s="64"/>
      <c r="C63" s="59"/>
      <c r="D63" s="64"/>
      <c r="E63" s="59"/>
      <c r="F63" s="64"/>
      <c r="G63" s="12"/>
      <c r="H63" s="48"/>
      <c r="I63" s="95"/>
      <c r="J63" s="146"/>
      <c r="K63" s="110" t="str">
        <f>IF(C39="","",[1]AB5!$L$28)</f>
        <v>Recalcuate : Short Entry : Bull / Bull CF</v>
      </c>
      <c r="L63" s="88"/>
      <c r="M63" s="88"/>
      <c r="N63" s="85"/>
      <c r="O63" s="110" t="str">
        <f>IF(C39="","",[1]AB5!$P$28)</f>
        <v>Wait Till Recalculation Time</v>
      </c>
      <c r="P63" s="85"/>
      <c r="Q63" s="111">
        <f>IF(C39="","",C53)</f>
        <v>0.38540972222222225</v>
      </c>
      <c r="R63" s="85"/>
      <c r="S63" s="115" t="str">
        <f>IF(C39="","",CONCATENATE([1]AB5!$T$28," ( ",G42," or ",V63," ",[1]AB5!$Z$28," ",TEXT(W63,"0.00%")," )"))</f>
        <v>Min ( FUT : PRV : 4DLL - 0.05% or 09:14:59 AM LL - 0.05% )</v>
      </c>
      <c r="T63" s="88"/>
      <c r="U63" s="85"/>
      <c r="V63" s="116" t="str">
        <f>IF(C39="","",CONCATENATE(TEXT(Q63,"HH:MM:SS AM/PM"),[1]AB5!$U$28))</f>
        <v>09:14:59 AM LL</v>
      </c>
      <c r="W63" s="112" t="str">
        <f t="array" ref="W63">IF(C39="","",TEXT(INDEX([1]AB4!BK:BK,MATCH(A42,[1]AB4!B:B,0)),"0.00%"))</f>
        <v>0.05%</v>
      </c>
      <c r="X63" s="91"/>
      <c r="Y63" s="145"/>
      <c r="Z63" s="145"/>
      <c r="AA63" s="104"/>
      <c r="AB63" s="68"/>
      <c r="AC63" s="68"/>
    </row>
    <row r="64" spans="1:29" ht="33" customHeight="1" thickBot="1" x14ac:dyDescent="0.25">
      <c r="A64" s="18"/>
      <c r="B64" s="60"/>
      <c r="C64" s="66"/>
      <c r="D64" s="103"/>
      <c r="E64" s="104"/>
      <c r="F64" s="103"/>
      <c r="G64" s="145"/>
      <c r="H64" s="51"/>
      <c r="I64" s="105"/>
      <c r="J64" s="53"/>
      <c r="K64" s="110" t="str">
        <f>IF(C39="","",[1]AB5!$L$29)</f>
        <v>Recalcuate : Short Entry : Bear / Bear CF</v>
      </c>
      <c r="L64" s="88"/>
      <c r="M64" s="88"/>
      <c r="N64" s="85"/>
      <c r="O64" s="110" t="str">
        <f>IF(C39="","",[1]AB5!$P$29)</f>
        <v>Wait Till Recalculation Time</v>
      </c>
      <c r="P64" s="85"/>
      <c r="Q64" s="111">
        <f>IF(C39="","",C53)</f>
        <v>0.38540972222222225</v>
      </c>
      <c r="R64" s="85"/>
      <c r="S64" s="115" t="str">
        <f>IF(C39="","",CONCATENATE([1]AB5!$T$29," ( ",G48," or ",V64," ",[1]AB5!$Z$29," ",TEXT(W64,"0.00%")," )"))</f>
        <v>Min ( FUT : PRV : 2DLL - 0.02% or 09:14:59 AM LL - 0.02% )</v>
      </c>
      <c r="T64" s="88"/>
      <c r="U64" s="85"/>
      <c r="V64" s="116" t="str">
        <f>IF(C39="","",CONCATENATE(TEXT(Q64,"HH:MM:SS AM/PM"),[1]AB5!$U$29))</f>
        <v>09:14:59 AM LL</v>
      </c>
      <c r="W64" s="112" t="str">
        <f t="array" ref="W64">IF(C39="","",TEXT(INDEX([1]AB4!BK:BK,MATCH(A48,[1]AB4!B:B,0)),"0.00%"))</f>
        <v>0.02%</v>
      </c>
      <c r="X64" s="91"/>
      <c r="Y64" s="149" t="str">
        <f>IF(C39="","",[1]AB5!$AA$29)</f>
        <v xml:space="preserve">Short Entry : Bear/ Bear CF : </v>
      </c>
      <c r="Z64" s="88"/>
      <c r="AA64" s="91"/>
      <c r="AB64" s="68"/>
      <c r="AC64" s="68"/>
    </row>
    <row r="65" spans="1:29" ht="21.75" customHeight="1" x14ac:dyDescent="0.2">
      <c r="A65" s="18"/>
      <c r="B65" s="150" t="str">
        <f>IF(C39="","",IF([1]AB5!$B$12="","",[1]AB5!$B$30))</f>
        <v>By Asmita Patel.</v>
      </c>
      <c r="C65" s="71"/>
      <c r="D65" s="81" t="str">
        <f>IF(C39="","",[1]AB5!$D$30)</f>
        <v>For Short SL</v>
      </c>
      <c r="E65" s="63"/>
      <c r="F65" s="151" t="str">
        <f>IF(C39="","",CONCATENATE([1]AB5!$G$30,TEXT(B57,"HH:MM:SS AM/PM"),[1]AB5!$B$22,[1]AB5!$H$30))</f>
        <v>Check If 09:04:59 AM HH &gt; Short SL</v>
      </c>
      <c r="G65" s="83"/>
      <c r="H65" s="84" t="str">
        <f>IF(C39="","",[1]AB5!$I$30)</f>
        <v>No</v>
      </c>
      <c r="I65" s="85"/>
      <c r="J65" s="86" t="str">
        <f>IF(C39="","",[1]AB5!$K$30)</f>
        <v>FSL / TRP Not Missed</v>
      </c>
      <c r="K65" s="87" t="str">
        <f>IF(C39="","",[1]AB5!$L$30)</f>
        <v>Place the Order at ORPT</v>
      </c>
      <c r="L65" s="88"/>
      <c r="M65" s="88"/>
      <c r="N65" s="85"/>
      <c r="O65" s="87" t="str">
        <f>IF(C39="","",[1]AB5!$P$30)</f>
        <v>ORPT Time</v>
      </c>
      <c r="P65" s="85"/>
      <c r="Q65" s="89">
        <f>IF(C39="","",B57)</f>
        <v>0.37846527777777778</v>
      </c>
      <c r="R65" s="85"/>
      <c r="S65" s="87" t="str">
        <f>IF(C39="","",[1]AB5!$T$30)</f>
        <v>N.A.</v>
      </c>
      <c r="T65" s="88"/>
      <c r="U65" s="85"/>
      <c r="V65" s="86" t="str">
        <f>IF(C39="","",[1]AB5!$W$30)</f>
        <v>N.A.</v>
      </c>
      <c r="W65" s="90" t="str">
        <f>IF(C39="","",[1]AB5!$X$30)</f>
        <v>N.A.</v>
      </c>
      <c r="X65" s="91"/>
      <c r="Y65" s="147" t="str">
        <f>IF(C39="","",CONCATENATE([1]AB5!$T$29," ( ",G48," or ",[1]AB5!$AA$30," ",[1]AB5!$Z$29," ",TEXT(W64,"0.00%")," )"))</f>
        <v>Min ( FUT : PRV : 2DLL - 0.02% or  CDLL - 0.02% )</v>
      </c>
      <c r="Z65" s="148"/>
      <c r="AA65" s="63"/>
      <c r="AB65" s="68"/>
      <c r="AC65" s="68"/>
    </row>
    <row r="66" spans="1:29" ht="21.75" customHeight="1" x14ac:dyDescent="0.2">
      <c r="A66" s="152"/>
      <c r="B66" s="64"/>
      <c r="C66" s="59"/>
      <c r="D66" s="64"/>
      <c r="E66" s="59"/>
      <c r="F66" s="64"/>
      <c r="G66" s="95"/>
      <c r="H66" s="96" t="str">
        <f>IF(C39="","",[1]AB5!$I$31)</f>
        <v>Yes</v>
      </c>
      <c r="I66" s="83"/>
      <c r="J66" s="97" t="str">
        <f>IF(C39="","",[1]AB5!$K$31)</f>
        <v>FSL / TRP Missed</v>
      </c>
      <c r="K66" s="87" t="str">
        <f>IF(C39="","",[1]AB5!$L$31)</f>
        <v>Recalcuate : Short FSL / TRP : Bull / Bull CF</v>
      </c>
      <c r="L66" s="88"/>
      <c r="M66" s="88"/>
      <c r="N66" s="85"/>
      <c r="O66" s="87" t="str">
        <f>IF(C39="","",[1]AB5!$P$31)</f>
        <v>Wait Till Recalculation Time</v>
      </c>
      <c r="P66" s="85"/>
      <c r="Q66" s="89">
        <f>IF(C39="","",C57)</f>
        <v>0.38540972222222225</v>
      </c>
      <c r="R66" s="85"/>
      <c r="S66" s="87" t="str">
        <f>IF(C39="","",CONCATENATE(V66," ",[1]AB5!$Z$31," ",TEXT(W66,"0.00%")))</f>
        <v>09:14:59 AM HH + 0.05%</v>
      </c>
      <c r="T66" s="88"/>
      <c r="U66" s="85"/>
      <c r="V66" s="153" t="str">
        <f>IF(C39="","",CONCATENATE(TEXT(Q66,"HH:MM:SS AM/PM"),[1]AB5!$U$31))</f>
        <v>09:14:59 AM HH</v>
      </c>
      <c r="W66" s="90" t="str">
        <f t="array" ref="W66">IF(C39="","",TEXT(INDEX([1]AB4!BL:BL,MATCH(A48,[1]AB4!B:B,0)),"0.00%"))</f>
        <v>0.05%</v>
      </c>
      <c r="X66" s="91"/>
      <c r="Y66" s="12"/>
      <c r="Z66" s="12"/>
      <c r="AA66" s="59"/>
      <c r="AB66" s="68"/>
      <c r="AC66" s="68"/>
    </row>
    <row r="67" spans="1:29" ht="22.5" customHeight="1" x14ac:dyDescent="0.2">
      <c r="A67" s="152"/>
      <c r="B67" s="64"/>
      <c r="C67" s="59"/>
      <c r="D67" s="64"/>
      <c r="E67" s="59"/>
      <c r="F67" s="64"/>
      <c r="G67" s="95"/>
      <c r="H67" s="48"/>
      <c r="I67" s="95"/>
      <c r="J67" s="146"/>
      <c r="K67" s="87" t="str">
        <f>IF(C39="","",[1]AB5!$L$32)</f>
        <v>Recalcuate : Short FSL / TRP : Bear / Bear CF</v>
      </c>
      <c r="L67" s="88"/>
      <c r="M67" s="88"/>
      <c r="N67" s="85"/>
      <c r="O67" s="87" t="str">
        <f>IF(C39="","",[1]AB5!$P$32)</f>
        <v>Wait Till Recalculation Time</v>
      </c>
      <c r="P67" s="85"/>
      <c r="Q67" s="89">
        <f>IF(C39="","",C57)</f>
        <v>0.38540972222222225</v>
      </c>
      <c r="R67" s="85"/>
      <c r="S67" s="87" t="str">
        <f>IF(C40="","",CONCATENATE(V67," ",[1]AB5!$Z$31," ",TEXT(W67,"0.00%")))</f>
        <v>09:14:59 AM HH + 0.05%</v>
      </c>
      <c r="T67" s="88"/>
      <c r="U67" s="85"/>
      <c r="V67" s="153" t="str">
        <f>IF(C39="","",CONCATENATE(TEXT(Q66,"HH:MM:SS AM/PM"),[1]AB5!$U$32))</f>
        <v>09:14:59 AM HH</v>
      </c>
      <c r="W67" s="90" t="str">
        <f t="array" ref="W67">IF(C39="","",TEXT(INDEX([1]AB4!BL:BL,MATCH(A48,[1]AB4!B:B,0)),"0.00%"))</f>
        <v>0.05%</v>
      </c>
      <c r="X67" s="91"/>
      <c r="Y67" s="145"/>
      <c r="Z67" s="145"/>
      <c r="AA67" s="104"/>
      <c r="AB67" s="68"/>
      <c r="AC67" s="68"/>
    </row>
    <row r="68" spans="1:29" ht="33" customHeight="1" x14ac:dyDescent="0.2">
      <c r="A68" s="152"/>
      <c r="B68" s="64"/>
      <c r="C68" s="59"/>
      <c r="D68" s="64"/>
      <c r="E68" s="59"/>
      <c r="F68" s="64"/>
      <c r="G68" s="95"/>
      <c r="H68" s="48"/>
      <c r="I68" s="95"/>
      <c r="J68" s="146"/>
      <c r="K68" s="87" t="str">
        <f>IF(C39="","",[1]AB5!$L$33)</f>
        <v>Recalcuate : Long Entry : Bull / Bull CF</v>
      </c>
      <c r="L68" s="88"/>
      <c r="M68" s="88"/>
      <c r="N68" s="85"/>
      <c r="O68" s="87" t="str">
        <f>IF(C39="","",[1]AB5!$P$33)</f>
        <v>Wait Till Recalculation Time</v>
      </c>
      <c r="P68" s="85"/>
      <c r="Q68" s="89">
        <f>IF(C39="","",C53)</f>
        <v>0.38540972222222225</v>
      </c>
      <c r="R68" s="85"/>
      <c r="S68" s="98" t="str">
        <f>IF(C39="","",CONCATENATE([1]AB5!$T$33," ( ",G39," or ",V68," ",[1]AB5!$Z$33," ",TEXT(W68,"0.00%")," )"))</f>
        <v>Max ( FUT : PRV : 2DHH + 0.02% or 09:14:59 AM HH + 0.02% )</v>
      </c>
      <c r="T68" s="88"/>
      <c r="U68" s="85"/>
      <c r="V68" s="99" t="str">
        <f>IF(C39="","",CONCATENATE(TEXT(Q68,"HH:MM:SS AM/PM"),[1]AB5!$U$33))</f>
        <v>09:14:59 AM HH</v>
      </c>
      <c r="W68" s="90" t="str">
        <f t="array" ref="W68">IF(C39="","",TEXT(INDEX([1]AB4!BK:BK,MATCH(A39,[1]AB4!B:B,0)),"0.00%"))</f>
        <v>0.02%</v>
      </c>
      <c r="X68" s="91"/>
      <c r="Y68" s="117" t="str">
        <f>IF(C39="","",[1]AB5!$AA$33)</f>
        <v>When Your Short Position is Exited</v>
      </c>
      <c r="Z68" s="118"/>
      <c r="AA68" s="59"/>
      <c r="AB68" s="68"/>
      <c r="AC68" s="68"/>
    </row>
    <row r="69" spans="1:29" ht="33" customHeight="1" thickBot="1" x14ac:dyDescent="0.25">
      <c r="A69" s="152"/>
      <c r="B69" s="60"/>
      <c r="C69" s="66"/>
      <c r="D69" s="60"/>
      <c r="E69" s="66"/>
      <c r="F69" s="60"/>
      <c r="G69" s="121"/>
      <c r="H69" s="102"/>
      <c r="I69" s="121"/>
      <c r="J69" s="122"/>
      <c r="K69" s="154" t="str">
        <f>IF(C39="","",[1]AB5!$L$34)</f>
        <v>Recalcuate : Long Entry : Bear / Bear CF</v>
      </c>
      <c r="L69" s="124"/>
      <c r="M69" s="124"/>
      <c r="N69" s="38"/>
      <c r="O69" s="154" t="str">
        <f>IF(C39="","",[1]AB5!$P$34)</f>
        <v>Wait Till Recalculation Time</v>
      </c>
      <c r="P69" s="38"/>
      <c r="Q69" s="155">
        <f>IF(C39="","",C53)</f>
        <v>0.38540972222222225</v>
      </c>
      <c r="R69" s="38"/>
      <c r="S69" s="156" t="str">
        <f>IF(C39="","",CONCATENATE([1]AB5!$T$34," ( ",G45," or ",V69," ",[1]AB5!$Z$34," ",TEXT(W69,"0.00%")," )"))</f>
        <v>Max ( FUT : PRV : 4DHH + 0.05% or 09:14:59 AM HH + 0.05% )</v>
      </c>
      <c r="T69" s="124"/>
      <c r="U69" s="38"/>
      <c r="V69" s="157" t="str">
        <f>IF(C39="","",CONCATENATE(TEXT(Q69,"HH:MM:SS AM/PM"),[1]AB5!$U$34))</f>
        <v>09:14:59 AM HH</v>
      </c>
      <c r="W69" s="158" t="str">
        <f t="array" ref="W69">IF(C39="","",TEXT(INDEX([1]AB4!BK:BK,MATCH(A45,[1]AB4!B:B,0)),"0.00%"))</f>
        <v>0.05%</v>
      </c>
      <c r="X69" s="41"/>
      <c r="Y69" s="117" t="str">
        <f>IF(C39="","",[1]AB5!$AA$34)</f>
        <v>This is Only Applicable for Same Day</v>
      </c>
      <c r="Z69" s="118"/>
      <c r="AA69" s="59"/>
      <c r="AB69" s="68"/>
      <c r="AC69" s="68"/>
    </row>
    <row r="70" spans="1:29" ht="21.75" customHeight="1" thickBot="1" x14ac:dyDescent="0.25">
      <c r="A70" s="152"/>
      <c r="B70" s="69" t="str">
        <f>IF(C39="","",[1]AB5!$B$35)</f>
        <v>For Missed SL (Position = Open)</v>
      </c>
      <c r="C70" s="29"/>
      <c r="D70" s="70" t="str">
        <f>IF(C39="","",[1]AB5!$D$36)</f>
        <v>Note: ( Optional )</v>
      </c>
      <c r="E70" s="71"/>
      <c r="F70" s="159" t="str">
        <f>IF(C39="","",[1]AB5!$I$35)</f>
        <v>For Long SL</v>
      </c>
      <c r="G70" s="136"/>
      <c r="H70" s="136"/>
      <c r="I70" s="136"/>
      <c r="J70" s="136"/>
      <c r="K70" s="136"/>
      <c r="L70" s="136"/>
      <c r="M70" s="136"/>
      <c r="N70" s="136"/>
      <c r="O70" s="136"/>
      <c r="P70" s="133"/>
      <c r="Q70" s="159" t="str">
        <f>IF(N39="","",[1]AB5!$T$35)</f>
        <v>For Short SL</v>
      </c>
      <c r="R70" s="136"/>
      <c r="S70" s="136"/>
      <c r="T70" s="136"/>
      <c r="U70" s="136"/>
      <c r="V70" s="136"/>
      <c r="W70" s="136"/>
      <c r="X70" s="136"/>
      <c r="Y70" s="136"/>
      <c r="Z70" s="136"/>
      <c r="AA70" s="133"/>
      <c r="AB70" s="68"/>
      <c r="AC70" s="68"/>
    </row>
    <row r="71" spans="1:29" ht="36" customHeight="1" x14ac:dyDescent="0.2">
      <c r="A71" s="152"/>
      <c r="B71" s="160" t="str">
        <f>IF(C39="","",[1]AB5!$B$36)</f>
        <v>Check time</v>
      </c>
      <c r="C71" s="91"/>
      <c r="D71" s="64"/>
      <c r="E71" s="59"/>
      <c r="F71" s="161" t="str">
        <f>IF(C39="","",CONCATENATE([1]AB5!$G$36,TEXT(B72,"HH:MM:SS AM/PM"),[1]AB5!$B$37,[1]AB5!$H$36))</f>
        <v>Check If Close at 04:30:00 PM  &lt; Long Original SL</v>
      </c>
      <c r="G71" s="85"/>
      <c r="H71" s="162" t="str">
        <f>IF(C39="","",[1]AB5!$I$36)</f>
        <v>Yes</v>
      </c>
      <c r="I71" s="105"/>
      <c r="J71" s="163" t="str">
        <f>IF(C39="","",CONCATENATE([1]AB5!$K$36,TEXT(B72,"HH:MM:SS AM/PM")))</f>
        <v xml:space="preserve"> Then Square Off The Position At CMP at 04:30:00 PM</v>
      </c>
      <c r="K71" s="145"/>
      <c r="L71" s="145"/>
      <c r="M71" s="145"/>
      <c r="N71" s="145"/>
      <c r="O71" s="145"/>
      <c r="P71" s="104"/>
      <c r="Q71" s="164" t="str">
        <f>IF(C39="","",CONCATENATE([1]AB5!$T$36,TEXT(B72,"HH:MM:SS AM/PM"),[1]AB5!$B$37,[1]AB5!$U$36))</f>
        <v>Check If Close at 04:30:00 PM  &gt; Short Original SL</v>
      </c>
      <c r="R71" s="145"/>
      <c r="S71" s="105"/>
      <c r="T71" s="165" t="str">
        <f>IF(C39="","",[1]AB5!$I$36)</f>
        <v>Yes</v>
      </c>
      <c r="U71" s="166" t="str">
        <f>IF(C39="","",CONCATENATE([1]AB5!$W$36,TEXT(B72,"HH:MM:SS AM/PM")))</f>
        <v xml:space="preserve"> Then Square Off The Position At CMP at 04:30:00 PM</v>
      </c>
      <c r="V71" s="145"/>
      <c r="W71" s="145"/>
      <c r="X71" s="145"/>
      <c r="Y71" s="145"/>
      <c r="Z71" s="145"/>
      <c r="AA71" s="104"/>
      <c r="AB71" s="68"/>
      <c r="AC71" s="167"/>
    </row>
    <row r="72" spans="1:29" ht="36" customHeight="1" thickBot="1" x14ac:dyDescent="0.25">
      <c r="A72" s="152"/>
      <c r="B72" s="168">
        <f t="array" ref="B72">IF(C39="","",INDEX([1]AB4!CU:CU,MATCH(A60,[1]AB4!B:B,0)))</f>
        <v>0.6875</v>
      </c>
      <c r="C72" s="41"/>
      <c r="D72" s="60"/>
      <c r="E72" s="66"/>
      <c r="F72" s="169" t="str">
        <f>IF(C39="","",CONCATENATE([1]AB5!$G$37,TEXT(B72,"HH:MM:SS AM/PM"),[1]AB5!$B$37,[1]AB5!$H$37))</f>
        <v>Check If Close at 04:30:00 PM  &gt; Long Original SL</v>
      </c>
      <c r="G72" s="38"/>
      <c r="H72" s="170" t="str">
        <f>IF(C39="","",[1]AB5!$I$37)</f>
        <v>Yes</v>
      </c>
      <c r="I72" s="38"/>
      <c r="J72" s="156" t="str">
        <f>IF(C39="","",CONCATENATE([1]AB5!$K$37))</f>
        <v xml:space="preserve"> Then Continue the Position for Next Day And Calculate Stop Loss Price as per the Rules</v>
      </c>
      <c r="K72" s="124"/>
      <c r="L72" s="124"/>
      <c r="M72" s="124"/>
      <c r="N72" s="124"/>
      <c r="O72" s="124"/>
      <c r="P72" s="41"/>
      <c r="Q72" s="169" t="str">
        <f>IF(C39="","",CONCATENATE([1]AB5!$T$37,TEXT(B72,"HH:MM:SS AM/PM"),[1]AB5!$B$37,[1]AB5!$U$37))</f>
        <v>Check If Close at 04:30:00 PM  &lt; Short Original SL</v>
      </c>
      <c r="R72" s="124"/>
      <c r="S72" s="38"/>
      <c r="T72" s="171" t="str">
        <f>IF(C40="","",[1]AB5!$I$36)</f>
        <v>Yes</v>
      </c>
      <c r="U72" s="156" t="str">
        <f>IF(C39="","",CONCATENATE([1]AB5!$W$37))</f>
        <v xml:space="preserve"> Then Continue the Position for Next Day And Calculate Stop Loss Price as per the Rules</v>
      </c>
      <c r="V72" s="124"/>
      <c r="W72" s="124"/>
      <c r="X72" s="124"/>
      <c r="Y72" s="124"/>
      <c r="Z72" s="124"/>
      <c r="AA72" s="41"/>
      <c r="AB72" s="68"/>
      <c r="AC72" s="167"/>
    </row>
    <row r="73" spans="1:29" ht="15.75" customHeight="1" thickBot="1" x14ac:dyDescent="0.25">
      <c r="A73" s="152"/>
    </row>
    <row r="74" spans="1:29" ht="30.75" customHeight="1" x14ac:dyDescent="0.2">
      <c r="A74" s="18" t="str">
        <f>IF(C74="","",CONCATENATE(C75,[1]AB5!$A$4))</f>
        <v>S3A</v>
      </c>
      <c r="B74" s="20" t="str">
        <f>IF(C74="","",IF([1]AB5!$B$4="","",[1]AB5!$B$4))</f>
        <v>Sr. No.</v>
      </c>
      <c r="C74" s="172">
        <v>3</v>
      </c>
      <c r="D74" s="173" t="str">
        <f>IF(C74="","",[1]AB5!$D$4)</f>
        <v>BULL / BULL CF</v>
      </c>
      <c r="E74" s="57" t="str">
        <f>IF(C74="","",[1]AB5!$F$4)</f>
        <v>BUY</v>
      </c>
      <c r="F74" s="58" t="str">
        <f>IF(C74="","",[1]AB5!$G$4)</f>
        <v>E &amp; T</v>
      </c>
      <c r="G74" s="25" t="str">
        <f t="array" ref="G74">IF(C74="","",CONCATENATE(INDEX([1]AB4!G:G,MATCH(A74,[1]AB4!B:B,0)),INDEX([1]AB4!H:H,MATCH(A74,[1]AB4!B:B,0)),TEXT(INDEX([1]AB4!I:I,MATCH(A74,[1]AB4!B:B,0)),"0.00%")))</f>
        <v>FUT : PRV : 1DHH + 0.00%</v>
      </c>
      <c r="H74" s="26">
        <f t="array" ref="H74">IF(C74="","",INDEX([1]AB4!J:J,MATCH(A74,[1]AB4!B:B,0)))</f>
        <v>5</v>
      </c>
      <c r="I74" s="27"/>
      <c r="J74" s="28" t="str">
        <f t="array" ref="J74">IF(C74="","",CONCATENATE(INDEX([1]AB4!L:L,MATCH(A74,[1]AB4!B:B,0)),INDEX([1]AB4!M:M,MATCH(A74,[1]AB4!B:B,0)),TEXT(INDEX([1]AB4!N:N,MATCH(A74,[1]AB4!B:B,0)),"0.00%")))</f>
        <v>L : Entry  + 1.50%</v>
      </c>
      <c r="K74" s="26">
        <f t="array" ref="K74">IF(C74="","",INDEX([1]AB4!O:O,MATCH(A74,[1]AB4!B:B,0)))</f>
        <v>1</v>
      </c>
      <c r="L74" s="27"/>
      <c r="M74" s="28" t="str">
        <f t="array" ref="M74">IF(C74="","",CONCATENATE(INDEX([1]AB4!L:L,MATCH(A74,[1]AB4!B:B,0)),INDEX([1]AB4!M:M,MATCH(A74,[1]AB4!B:B,0)),TEXT(INDEX([1]AB4!P:P,MATCH(A74,[1]AB4!B:B,0)),"0.00%")))</f>
        <v>L : Entry  + 2.00%</v>
      </c>
      <c r="N74" s="26">
        <f t="array" ref="N74">IF(C74="","",INDEX([1]AB4!Q:Q,MATCH(A74,[1]AB4!B:B,0)))</f>
        <v>1</v>
      </c>
      <c r="O74" s="27"/>
      <c r="P74" s="28" t="str">
        <f t="array" ref="P74">IF(C74="","",CONCATENATE(INDEX([1]AB4!L:L,MATCH(A74,[1]AB4!B:B,0)),INDEX([1]AB4!M:M,MATCH(A74,[1]AB4!B:B,0)),TEXT(INDEX([1]AB4!R:R,MATCH(A74,[1]AB4!B:B,0)),"0.00%")))</f>
        <v>L : Entry  + 2.50%</v>
      </c>
      <c r="Q74" s="26">
        <f t="array" ref="Q74">IF(C74="","",INDEX([1]AB4!S:S,MATCH(A74,[1]AB4!B:B,0)))</f>
        <v>1</v>
      </c>
      <c r="R74" s="27"/>
      <c r="S74" s="28" t="str">
        <f t="array" ref="S74">IF(C74="","",CONCATENATE(INDEX([1]AB4!L:L,MATCH(A74,[1]AB4!B:B,0)),INDEX([1]AB4!M:M,MATCH(A74,[1]AB4!B:B,0)),TEXT(INDEX([1]AB4!T:T,MATCH(A74,[1]AB4!B:B,0)),"0.00%")))</f>
        <v>L : Entry  + 3.00%</v>
      </c>
      <c r="T74" s="26">
        <f t="array" ref="T74">IF(C74="","",INDEX([1]AB4!U:U,MATCH(A74,[1]AB4!B:B,0)))</f>
        <v>1</v>
      </c>
      <c r="U74" s="27"/>
      <c r="V74" s="28" t="str">
        <f t="array" ref="V74">IF(C74="","",INDEX([1]AB4!V:V,MATCH(A74,[1]AB4!B:B,0)))</f>
        <v>TR PROFIT AFTER TGT 4</v>
      </c>
      <c r="W74" s="26">
        <f t="array" ref="W74">IF(C74="","",INDEX([1]AB4!W:W,MATCH(A74,[1]AB4!B:B,0)))</f>
        <v>1</v>
      </c>
      <c r="X74" s="27"/>
      <c r="Y74" s="28" t="str">
        <f t="array" ref="Y74">IF(C74="","",INDEX([1]AB4!X:X,MATCH(A74,[1]AB4!B:B,0)))</f>
        <v>N.A.</v>
      </c>
      <c r="Z74" s="26" t="str">
        <f t="array" ref="Z74">IF(C74="","",INDEX([1]AB4!Y:Y,MATCH(A74,[1]AB4!B:B,0)))</f>
        <v>N.A.</v>
      </c>
      <c r="AA74" s="29"/>
      <c r="AB74" s="30"/>
      <c r="AC74" s="30"/>
    </row>
    <row r="75" spans="1:29" ht="44.25" customHeight="1" thickBot="1" x14ac:dyDescent="0.25">
      <c r="A75" s="18" t="str">
        <f>IF(C74="","",CONCATENATE(C75,[1]AB5!$A$5))</f>
        <v>S3A</v>
      </c>
      <c r="B75" s="31" t="str">
        <f>IF(C74="","",IF([1]AB5!$B$5="","",[1]AB5!$B$5))</f>
        <v>Strategy Code</v>
      </c>
      <c r="C75" s="54" t="str">
        <f t="array" ref="C75">IF(C74="","",INDEX([1]AB2!B:B,MATCH(C74,[1]AB2!A:A,0)))</f>
        <v>S3</v>
      </c>
      <c r="D75" s="59"/>
      <c r="E75" s="60"/>
      <c r="F75" s="61" t="str">
        <f>IF(C74="","",[1]AB5!$G$5)</f>
        <v>SL / TRP</v>
      </c>
      <c r="G75" s="36" t="str">
        <f t="array" ref="G75">IF(C74="","",CONCATENATE(INDEX([1]AB4!AA:AA,MATCH(A75,[1]AB4!B:B,0))," ( ",INDEX([1]AB4!AE:AE,MATCH(A75,[1]AB4!B:B,0)),INDEX([1]AB4!AF:AF,MATCH(A75,[1]AB4!B:B,0)),TEXT(INDEX([1]AB4!AG:AG,MATCH(A75,[1]AB4!B:B,0)),"0.00%")," or ",INDEX([1]AB4!AK:AK,MATCH(A75,[1]AB4!B:B,0)),INDEX([1]AB4!AJ:AJ,MATCH(A75,[1]AB4!B:B,0)),TEXT(INDEX([1]AB4!AL:AL,MATCH(A75,[1]AB4!B:B,0)),"0.00%")," )"))</f>
        <v>Max ( L : Entry - 1.50% or FUT : PRV : 2DLL - 0.15% )</v>
      </c>
      <c r="H75" s="37">
        <f t="array" ref="H75">IF(C75="","",INDEX([1]AB4!AM:AM,MATCH(A75,[1]AB4!B:B,0)))</f>
        <v>5</v>
      </c>
      <c r="I75" s="38"/>
      <c r="J75" s="36" t="str">
        <f t="array" ref="J75">IF(C74="","",CONCATENATE(INDEX([1]AB4!AA:AA,MATCH(A75,[1]AB4!B:B,0))," ( ",INDEX([1]AB4!AE:AE,MATCH(A75,[1]AB4!B:B,0))," or ",INDEX([1]AB4!AN:AN,MATCH(A75,[1]AB4!B:B,0)),INDEX([1]AB4!AJ:AJ,MATCH(A75,[1]AB4!B:B,0)),TEXT(INDEX([1]AB4!AO:AO,MATCH(A75,[1]AB4!B:B,0)),"0.00%")," )"))</f>
        <v>Max ( L : Entry or FUT : PRV : 2DLL - 0.15% )</v>
      </c>
      <c r="K75" s="37">
        <f t="array" ref="K75">IF(C74="","",INDEX([1]AB4!AP:AP,MATCH(A75,[1]AB4!B:B,0)))</f>
        <v>4</v>
      </c>
      <c r="L75" s="38"/>
      <c r="M75" s="36" t="str">
        <f t="array" ref="M75">IF(C74="","",CONCATENATE(INDEX([1]AB4!AA:AA,MATCH(A75,[1]AB4!B:B,0))," ( ",INDEX([1]AB4!AE:AE,MATCH(A75,[1]AB4!B:B,0))," or ",INDEX([1]AB4!AQ:AQ,MATCH(A75,[1]AB4!B:B,0)),INDEX([1]AB4!AJ:AJ,MATCH(A75,[1]AB4!B:B,0)),TEXT(INDEX([1]AB4!AR:AR,MATCH(A75,[1]AB4!B:B,0)),"0.00%")," )"))</f>
        <v>Max ( L : Entry or FUT : PRV : 2DLL - 0.15% )</v>
      </c>
      <c r="N75" s="37">
        <f t="array" ref="N75">IF(C75="","",INDEX([1]AB4!AS:AS,MATCH(A75,[1]AB4!B:B,0)))</f>
        <v>3</v>
      </c>
      <c r="O75" s="38"/>
      <c r="P75" s="36" t="str">
        <f t="array" ref="P75">IF(C74="","",CONCATENATE(INDEX([1]AB4!AA:AA,MATCH(A75,[1]AB4!B:B,0))," ( ",INDEX([1]AB4!AE:AE,MATCH(A75,[1]AB4!B:B,0))," or ",INDEX([1]AB4!AT:AT,MATCH(A75,[1]AB4!B:B,0)),INDEX([1]AB4!AJ:AJ,MATCH(A75,[1]AB4!B:B,0)),TEXT(INDEX([1]AB4!AU:AU,MATCH(A75,[1]AB4!B:B,0)),"0.00%")," )"))</f>
        <v>Max ( L : Entry or FUT : PRV : 2DLL - 0.15% )</v>
      </c>
      <c r="Q75" s="37">
        <f t="array" ref="Q75">IF(C75="","",INDEX([1]AB4!AV:AV,MATCH(A75,[1]AB4!B:B,0)))</f>
        <v>2</v>
      </c>
      <c r="R75" s="38"/>
      <c r="S75" s="36" t="str">
        <f t="array" ref="S75">IF(C74="","",CONCATENATE(INDEX([1]AB4!AA:AA,MATCH(A75,[1]AB4!B:B,0))," ( ",INDEX([1]AB4!AE:AE,MATCH(A75,[1]AB4!B:B,0))," or ",INDEX([1]AB4!AW:AW,MATCH(A75,[1]AB4!B:B,0)),INDEX([1]AB4!AJ:AJ,MATCH(A75,[1]AB4!B:B,0)),TEXT(INDEX([1]AB4!AX:AX,MATCH(A75,[1]AB4!B:B,0)),"0.00%")," )"))</f>
        <v>Max ( L : Entry or FUT : PRV : 2DLL - 0.15% )</v>
      </c>
      <c r="T75" s="37">
        <f t="array" ref="T75">IF(C74="","",INDEX([1]AB4!AY:AY,MATCH(A75,[1]AB4!B:B,0)))</f>
        <v>1</v>
      </c>
      <c r="U75" s="38"/>
      <c r="V75" s="36" t="str">
        <f t="array" ref="V75">IF(C74="","",CONCATENATE(INDEX([1]AB4!AA:AA,MATCH(A75,[1]AB4!B:B,0))," ( ",INDEX([1]AB4!AE:AE,MATCH(A75,[1]AB4!B:B,0))," or ",INDEX([1]AB4!AW:AW,MATCH(A75,[1]AB4!B:B,0)),INDEX([1]AB4!AJ:AJ,MATCH(A75,[1]AB4!B:B,0)),TEXT(INDEX([1]AB4!AX:AX,MATCH(A75,[1]AB4!B:B,0)),"0.00%")," )"))</f>
        <v>Max ( L : Entry or FUT : PRV : 2DLL - 0.15% )</v>
      </c>
      <c r="W75" s="37">
        <f t="array" ref="W75">IF(C74="","",INDEX([1]AB4!AY:AY,MATCH(A75,[1]AB4!B:B,0)))</f>
        <v>1</v>
      </c>
      <c r="X75" s="38"/>
      <c r="Y75" s="40">
        <f t="array" ref="Y75">IF(C74="","",INDEX([1]AB4!AZ:AZ,MATCH(A75,[1]AB4!B:B,0)))</f>
        <v>0</v>
      </c>
      <c r="Z75" s="37">
        <f t="array" ref="Z75">IF(C74="","",INDEX([1]AB4!BB:BB,MATCH(A75,[1]AB4!B:B,0)))</f>
        <v>0</v>
      </c>
      <c r="AA75" s="41"/>
      <c r="AB75" s="30"/>
      <c r="AC75" s="30"/>
    </row>
    <row r="76" spans="1:29" ht="6" customHeight="1" thickBot="1" x14ac:dyDescent="0.25">
      <c r="A76" s="18" t="str">
        <f>IF(C74="","",CONCATENATE(C75,[1]AB5!A76))</f>
        <v>S3S1A</v>
      </c>
      <c r="B76" s="42" t="str">
        <f>IF(C74="","",IF([1]AB5!$B$6="","",[1]AB5!$B$6))</f>
        <v>Unique Code</v>
      </c>
      <c r="C76" s="174" t="str">
        <f t="array" ref="C76">IF(C74="","",INDEX([1]AB2!N:N,MATCH(C74,[1]AB2!A:A,0)))</f>
        <v>BANKNIFTY_FUT_MT_DIFF_1D_2D</v>
      </c>
      <c r="D76" s="59"/>
      <c r="E76" s="44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6"/>
      <c r="AB76" s="30"/>
      <c r="AC76" s="30"/>
    </row>
    <row r="77" spans="1:29" ht="30.75" customHeight="1" x14ac:dyDescent="0.2">
      <c r="A77" s="18" t="str">
        <f>IF(C74="","",CONCATENATE(C75,[1]AB5!$A$7))</f>
        <v>S3B</v>
      </c>
      <c r="B77" s="47"/>
      <c r="C77" s="175"/>
      <c r="D77" s="59"/>
      <c r="E77" s="65" t="str">
        <f>IF(C74="","",[1]AB5!$F$7)</f>
        <v>SELL</v>
      </c>
      <c r="F77" s="58" t="str">
        <f>IF(C74="","",[1]AB5!$G$7)</f>
        <v>E &amp; T</v>
      </c>
      <c r="G77" s="25" t="str">
        <f t="array" ref="G77">IF(C74="","",CONCATENATE(INDEX([1]AB4!G:G,MATCH(A77,[1]AB4!B:B,0)),INDEX([1]AB4!H:H,MATCH(A77,[1]AB4!B:B,0)),TEXT(INDEX([1]AB4!I:I,MATCH(A77,[1]AB4!B:B,0)),"0.00%")))</f>
        <v>FUT : PRV : 2DLL - 0.15%</v>
      </c>
      <c r="H77" s="26">
        <f t="array" ref="H77">IF(C74="","",INDEX([1]AB4!J:J,MATCH(A77,[1]AB4!B:B,0)))</f>
        <v>5</v>
      </c>
      <c r="I77" s="27"/>
      <c r="J77" s="28" t="str">
        <f t="array" ref="J77">IF(C74="","",CONCATENATE(INDEX([1]AB4!L:L,MATCH(A77,[1]AB4!B:B,0)),INDEX([1]AB4!M:M,MATCH(A77,[1]AB4!B:B,0)),TEXT(INDEX([1]AB4!N:N,MATCH(A77,[1]AB4!B:B,0)),"0.00%")))</f>
        <v>S : Entry  - 1.50%</v>
      </c>
      <c r="K77" s="26">
        <f t="array" ref="K77">IF(C74="","",INDEX([1]AB4!O:O,MATCH(A77,[1]AB4!B:B,0)))</f>
        <v>1</v>
      </c>
      <c r="L77" s="27"/>
      <c r="M77" s="28" t="str">
        <f t="array" ref="M77">IF(C74="","",CONCATENATE(INDEX([1]AB4!L:L,MATCH(A77,[1]AB4!B:B,0)),INDEX([1]AB4!M:M,MATCH(A77,[1]AB4!B:B,0)),TEXT(INDEX([1]AB4!P:P,MATCH(A77,[1]AB4!B:B,0)),"0.00%")))</f>
        <v>S : Entry  - 2.00%</v>
      </c>
      <c r="N77" s="26">
        <f t="array" ref="N77">IF(C74="","",INDEX([1]AB4!Q:Q,MATCH(A77,[1]AB4!B:B,0)))</f>
        <v>1</v>
      </c>
      <c r="O77" s="27"/>
      <c r="P77" s="28" t="str">
        <f t="array" ref="P77">IF(C74="","",CONCATENATE(INDEX([1]AB4!L:L,MATCH(A77,[1]AB4!B:B,0)),INDEX([1]AB4!M:M,MATCH(A77,[1]AB4!B:B,0)),TEXT(INDEX([1]AB4!R:R,MATCH(A77,[1]AB4!B:B,0)),"0.00%")))</f>
        <v>S : Entry  - 2.50%</v>
      </c>
      <c r="Q77" s="26">
        <f t="array" ref="Q77">IF(C74="","",INDEX([1]AB4!S:S,MATCH(A77,[1]AB4!B:B,0)))</f>
        <v>1</v>
      </c>
      <c r="R77" s="27"/>
      <c r="S77" s="28" t="str">
        <f t="array" ref="S77">IF(C74="","",CONCATENATE(INDEX([1]AB4!L:L,MATCH(A77,[1]AB4!B:B,0)),INDEX([1]AB4!M:M,MATCH(A77,[1]AB4!B:B,0)),TEXT(INDEX([1]AB4!T:T,MATCH(A77,[1]AB4!B:B,0)),"0.00%")))</f>
        <v>S : Entry  - 3.00%</v>
      </c>
      <c r="T77" s="26">
        <f t="array" ref="T77">IF(C74="","",INDEX([1]AB4!U:U,MATCH(A77,[1]AB4!B:B,0)))</f>
        <v>1</v>
      </c>
      <c r="U77" s="27"/>
      <c r="V77" s="28" t="str">
        <f t="array" ref="V77">IF(C74="","",INDEX([1]AB4!V:V,MATCH(A77,[1]AB4!B:B,0)))</f>
        <v>TR PROFIT AFTER TGT 4</v>
      </c>
      <c r="W77" s="26">
        <f t="array" ref="W77">IF(C74="","",INDEX([1]AB4!W:W,MATCH(A77,[1]AB4!B:B,0)))</f>
        <v>1</v>
      </c>
      <c r="X77" s="27"/>
      <c r="Y77" s="28" t="str">
        <f t="array" ref="Y77">IF(C74="","",INDEX([1]AB4!X:X,MATCH(A77,[1]AB4!B:B,0)))</f>
        <v>N.A.</v>
      </c>
      <c r="Z77" s="26" t="str">
        <f t="array" ref="Z77">IF(C74="","",INDEX([1]AB4!Y:Y,MATCH(A77,[1]AB4!B:B,0)))</f>
        <v>N.A.</v>
      </c>
      <c r="AA77" s="29"/>
      <c r="AB77" s="30"/>
      <c r="AC77" s="30"/>
    </row>
    <row r="78" spans="1:29" ht="44.25" customHeight="1" thickBot="1" x14ac:dyDescent="0.25">
      <c r="A78" s="18" t="str">
        <f>IF(C74="","",CONCATENATE(C75,[1]AB5!$A$8))</f>
        <v>S3B</v>
      </c>
      <c r="B78" s="50"/>
      <c r="C78" s="176"/>
      <c r="D78" s="66"/>
      <c r="E78" s="60"/>
      <c r="F78" s="61" t="str">
        <f>IF(C74="","",[1]AB5!$G$8)</f>
        <v>SL / TRP</v>
      </c>
      <c r="G78" s="36" t="str">
        <f t="array" ref="G78">IF(C74="","",CONCATENATE(INDEX([1]AB4!AA:AA,MATCH(A78,[1]AB4!B:B,0))," ( ",INDEX([1]AB4!AE:AE,MATCH(A78,[1]AB4!B:B,0)),INDEX([1]AB4!AF:AF,MATCH(A78,[1]AB4!B:B,0)),TEXT(INDEX([1]AB4!AG:AG,MATCH(A78,[1]AB4!B:B,0)),"0.00%")," or ",INDEX([1]AB4!AK:AK,MATCH(A78,[1]AB4!B:B,0)),INDEX([1]AB4!AJ:AJ,MATCH(A78,[1]AB4!B:B,0)),TEXT(INDEX([1]AB4!AL:AL,MATCH(A78,[1]AB4!B:B,0)),"0.00%")," )"))</f>
        <v>Min ( S : Entry + 1.50% or FUT : PRV : 1DHH + 0.00% )</v>
      </c>
      <c r="H78" s="37">
        <f t="array" ref="H78">IF(C74="","",INDEX([1]AB4!AM:AM,MATCH(A78,[1]AB4!B:B,0)))</f>
        <v>5</v>
      </c>
      <c r="I78" s="38"/>
      <c r="J78" s="36" t="str">
        <f t="array" ref="J78">IF(C74="","",CONCATENATE(INDEX([1]AB4!AA:AA,MATCH(A78,[1]AB4!B:B,0))," ( ",INDEX([1]AB4!AE:AE,MATCH(A78,[1]AB4!B:B,0))," or ",INDEX([1]AB4!AN:AN,MATCH(A78,[1]AB4!B:B,0)),INDEX([1]AB4!AJ:AJ,MATCH(A78,[1]AB4!B:B,0)),TEXT(INDEX([1]AB4!AO:AO,MATCH(A78,[1]AB4!B:B,0)),"0.00%")," )"))</f>
        <v>Min ( S : Entry or FUT : PRV : 1DHH + 0.00% )</v>
      </c>
      <c r="K78" s="37">
        <f t="array" ref="K78">IF(C74="","",INDEX([1]AB4!AP:AP,MATCH(A78,[1]AB4!B:B,0)))</f>
        <v>4</v>
      </c>
      <c r="L78" s="38"/>
      <c r="M78" s="36" t="str">
        <f t="array" ref="M78">IF(C74="","",CONCATENATE(INDEX([1]AB4!AA:AA,MATCH(A78,[1]AB4!B:B,0))," ( ",INDEX([1]AB4!AE:AE,MATCH(A78,[1]AB4!B:B,0))," or ",INDEX([1]AB4!AQ:AQ,MATCH(A78,[1]AB4!B:B,0)),INDEX([1]AB4!AJ:AJ,MATCH(A78,[1]AB4!B:B,0)),TEXT(INDEX([1]AB4!AR:AR,MATCH(A78,[1]AB4!B:B,0)),"0.00%")," )"))</f>
        <v>Min ( S : Entry or FUT : PRV : 1DHH + 0.00% )</v>
      </c>
      <c r="N78" s="37">
        <f t="array" ref="N78">IF(C74="","",INDEX([1]AB4!AS:AS,MATCH(A78,[1]AB4!B:B,0)))</f>
        <v>3</v>
      </c>
      <c r="O78" s="38"/>
      <c r="P78" s="36" t="str">
        <f t="array" ref="P78">IF(C74="","",CONCATENATE(INDEX([1]AB4!AA:AA,MATCH(A78,[1]AB4!B:B,0))," ( ",INDEX([1]AB4!AE:AE,MATCH(A78,[1]AB4!B:B,0))," or ",INDEX([1]AB4!AT:AT,MATCH(A78,[1]AB4!B:B,0)),INDEX([1]AB4!AJ:AJ,MATCH(A78,[1]AB4!B:B,0)),TEXT(INDEX([1]AB4!AU:AU,MATCH(A78,[1]AB4!B:B,0)),"0.00%")," )"))</f>
        <v>Min ( S : Entry or FUT : PRV : 1DHH + 0.00% )</v>
      </c>
      <c r="Q78" s="37">
        <f t="array" ref="Q78">IF(C74="","",INDEX([1]AB4!AV:AV,MATCH(A78,[1]AB4!B:B,0)))</f>
        <v>2</v>
      </c>
      <c r="R78" s="38"/>
      <c r="S78" s="36" t="str">
        <f t="array" ref="S78">IF(C74="","",CONCATENATE(INDEX([1]AB4!AA:AA,MATCH(A78,[1]AB4!B:B,0))," ( ",INDEX([1]AB4!AE:AE,MATCH(A78,[1]AB4!B:B,0))," or ",INDEX([1]AB4!AW:AW,MATCH(A78,[1]AB4!B:B,0)),INDEX([1]AB4!AJ:AJ,MATCH(A78,[1]AB4!B:B,0)),TEXT(INDEX([1]AB4!AX:AX,MATCH(A78,[1]AB4!B:B,0)),"0.00%")," )"))</f>
        <v>Min ( S : Entry or FUT : PRV : 1DHH + 0.00% )</v>
      </c>
      <c r="T78" s="37">
        <f t="array" ref="T78">IF(C74="","",INDEX([1]AB4!AY:AY,MATCH(A78,[1]AB4!B:B,0)))</f>
        <v>1</v>
      </c>
      <c r="U78" s="38"/>
      <c r="V78" s="36" t="str">
        <f t="array" ref="V78">IF(C74="","",CONCATENATE(INDEX([1]AB4!AA:AA,MATCH(A78,[1]AB4!B:B,0))," ( ",INDEX([1]AB4!AE:AE,MATCH(A78,[1]AB4!B:B,0))," or ",INDEX([1]AB4!AW:AW,MATCH(A78,[1]AB4!B:B,0)),INDEX([1]AB4!AJ:AJ,MATCH(A78,[1]AB4!B:B,0)),TEXT(INDEX([1]AB4!AX:AX,MATCH(A78,[1]AB4!B:B,0)),"0.00%")," )"))</f>
        <v>Min ( S : Entry or FUT : PRV : 1DHH + 0.00% )</v>
      </c>
      <c r="W78" s="37">
        <f t="array" ref="W78">IF(C74="","",INDEX([1]AB4!AY:AY,MATCH(A78,[1]AB4!B:B,0)))</f>
        <v>1</v>
      </c>
      <c r="X78" s="38"/>
      <c r="Y78" s="40">
        <f t="array" ref="Y78">IF(C74="","",INDEX([1]AB4!AZ:AZ,MATCH(A78,[1]AB4!B:B,0)))</f>
        <v>0</v>
      </c>
      <c r="Z78" s="37">
        <f t="array" ref="Z78">IF(C74="","",INDEX([1]AB4!BB:BB,MATCH(A78,[1]AB4!B:B,0)))</f>
        <v>0</v>
      </c>
      <c r="AA78" s="41"/>
      <c r="AB78" s="30"/>
      <c r="AC78" s="30"/>
    </row>
    <row r="79" spans="1:29" ht="19.5" customHeight="1" thickBot="1" x14ac:dyDescent="0.25">
      <c r="A79" s="18" t="str">
        <f>IF(C74="","",CONCATENATE(C75,[1]AB5!$A$9))</f>
        <v>S3C</v>
      </c>
      <c r="B79" s="31" t="str">
        <f>IF(C74="","",IF([1]AB5!$B$9="","",[1]AB5!$B$9))</f>
        <v>Segment</v>
      </c>
      <c r="C79" s="54" t="str">
        <f t="array" ref="C79">IF(C74="","",INDEX([1]AB2!C:C,MATCH(C74,[1]AB2!A:A,0)))</f>
        <v>FUTURES</v>
      </c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30"/>
      <c r="AC79" s="30"/>
    </row>
    <row r="80" spans="1:29" ht="30.75" customHeight="1" x14ac:dyDescent="0.2">
      <c r="A80" s="18" t="str">
        <f>IF(C74="","",CONCATENATE(C75,[1]AB5!$A$10))</f>
        <v>S3D</v>
      </c>
      <c r="B80" s="31" t="str">
        <f>IF(C74="","",IF([1]AB5!$B$10="","",[1]AB5!$B$10))</f>
        <v>Symbol</v>
      </c>
      <c r="C80" s="54" t="str">
        <f t="array" ref="C80">IF(C74="","",INDEX([1]AB2!E:E,MATCH(C74,[1]AB2!A:A,0)))</f>
        <v>BANKNIFTY</v>
      </c>
      <c r="D80" s="56" t="str">
        <f>IF(C74="","",IF(C74="","",[1]AB5!$D$10))</f>
        <v>BEAR / BEAR CF</v>
      </c>
      <c r="E80" s="57" t="str">
        <f>IF(C74="","",[1]AB5!$F$10)</f>
        <v>BUY</v>
      </c>
      <c r="F80" s="58" t="str">
        <f>IF(C74="","",[1]AB5!$G$10)</f>
        <v>E &amp; T</v>
      </c>
      <c r="G80" s="25" t="str">
        <f t="array" ref="G80">IF(C74="","",CONCATENATE(INDEX([1]AB4!G:G,MATCH(A80,[1]AB4!B:B,0)),INDEX([1]AB4!H:H,MATCH(A80,[1]AB4!B:B,0)),TEXT(INDEX([1]AB4!I:I,MATCH(A80,[1]AB4!B:B,0)),"0.00%")))</f>
        <v>FUT : PRV : 2DHH + 0.15%</v>
      </c>
      <c r="H80" s="26">
        <f t="array" ref="H80">IF(C74="","",INDEX([1]AB4!J:J,MATCH(A80,[1]AB4!B:B,0)))</f>
        <v>5</v>
      </c>
      <c r="I80" s="27"/>
      <c r="J80" s="28" t="str">
        <f t="array" ref="J80">IF(C74="","",CONCATENATE(INDEX([1]AB4!L:L,MATCH(A80,[1]AB4!B:B,0)),INDEX([1]AB4!M:M,MATCH(A80,[1]AB4!B:B,0)),TEXT(INDEX([1]AB4!N:N,MATCH(A80,[1]AB4!B:B,0)),"0.00%")))</f>
        <v>L : Entry  + 1.50%</v>
      </c>
      <c r="K80" s="26">
        <f t="array" ref="K80">IF(C74="","",INDEX([1]AB4!O:O,MATCH(A80,[1]AB4!B:B,0)))</f>
        <v>1</v>
      </c>
      <c r="L80" s="27"/>
      <c r="M80" s="28" t="str">
        <f t="array" ref="M80">IF(C74="","",CONCATENATE(INDEX([1]AB4!L:L,MATCH(A80,[1]AB4!B:B,0)),INDEX([1]AB4!M:M,MATCH(A80,[1]AB4!B:B,0)),TEXT(INDEX([1]AB4!P:P,MATCH(A80,[1]AB4!B:B,0)),"0.00%")))</f>
        <v>L : Entry  + 2.00%</v>
      </c>
      <c r="N80" s="26">
        <f t="array" ref="N80">IF(C74="","",INDEX([1]AB4!Q:Q,MATCH(A80,[1]AB4!B:B,0)))</f>
        <v>1</v>
      </c>
      <c r="O80" s="27"/>
      <c r="P80" s="28" t="str">
        <f t="array" ref="P80">IF(C74="","",CONCATENATE(INDEX([1]AB4!L:L,MATCH(A80,[1]AB4!B:B,0)),INDEX([1]AB4!M:M,MATCH(A80,[1]AB4!B:B,0)),TEXT(INDEX([1]AB4!R:R,MATCH(A80,[1]AB4!B:B,0)),"0.00%")))</f>
        <v>L : Entry  + 2.50%</v>
      </c>
      <c r="Q80" s="26">
        <f t="array" ref="Q80">IF(C74="","",INDEX([1]AB4!S:S,MATCH(A80,[1]AB4!B:B,0)))</f>
        <v>1</v>
      </c>
      <c r="R80" s="27"/>
      <c r="S80" s="28" t="str">
        <f t="array" ref="S80">IF(C74="","",CONCATENATE(INDEX([1]AB4!L:L,MATCH(A80,[1]AB4!B:B,0)),INDEX([1]AB4!M:M,MATCH(A80,[1]AB4!B:B,0)),TEXT(INDEX([1]AB4!T:T,MATCH(A80,[1]AB4!B:B,0)),"0.00%")))</f>
        <v>L : Entry  + 3.00%</v>
      </c>
      <c r="T80" s="26">
        <f t="array" ref="T80">IF(C74="","",INDEX([1]AB4!U:U,MATCH(A80,[1]AB4!B:B,0)))</f>
        <v>1</v>
      </c>
      <c r="U80" s="27"/>
      <c r="V80" s="28" t="str">
        <f t="array" ref="V80">IF(C74="","",INDEX([1]AB4!V:V,MATCH(A80,[1]AB4!B:B,0)))</f>
        <v>TR PROFIT AFTER TGT 4</v>
      </c>
      <c r="W80" s="26">
        <f t="array" ref="W80">IF(C74="","",INDEX([1]AB4!W:W,MATCH(A80,[1]AB4!B:B,0)))</f>
        <v>1</v>
      </c>
      <c r="X80" s="27"/>
      <c r="Y80" s="28" t="str">
        <f t="array" ref="Y80">IF(C74="","",INDEX([1]AB4!X:X,MATCH(A80,[1]AB4!B:B,0)))</f>
        <v>N.A.</v>
      </c>
      <c r="Z80" s="26" t="str">
        <f t="array" ref="Z80">IF(C74="","",INDEX([1]AB4!Y:Y,MATCH(A80,[1]AB4!B:B,0)))</f>
        <v>N.A.</v>
      </c>
      <c r="AA80" s="29"/>
      <c r="AB80" s="30"/>
      <c r="AC80" s="30"/>
    </row>
    <row r="81" spans="1:29" ht="44.25" customHeight="1" thickBot="1" x14ac:dyDescent="0.25">
      <c r="A81" s="18" t="str">
        <f>IF(C74="","",CONCATENATE(C75,[1]AB5!$A$11))</f>
        <v>S3D</v>
      </c>
      <c r="B81" s="31" t="str">
        <f>IF(C74="","",IF([1]AB5!$B$11="","",[1]AB5!$B$11))</f>
        <v>No. of TGT</v>
      </c>
      <c r="C81" s="54" t="str">
        <f t="array" ref="C81">IF(C74="","",INDEX([1]AB2!K:K,MATCH(C74,[1]AB2!A:A,0)))</f>
        <v>4 &amp; APS</v>
      </c>
      <c r="D81" s="59"/>
      <c r="E81" s="60"/>
      <c r="F81" s="61" t="str">
        <f>IF(C74="","",[1]AB5!$G$11)</f>
        <v>SL / TRP</v>
      </c>
      <c r="G81" s="36" t="str">
        <f t="array" ref="G81">IF(C74="","",CONCATENATE(INDEX([1]AB4!AA:AA,MATCH(A81,[1]AB4!B:B,0))," ( ",INDEX([1]AB4!AE:AE,MATCH(A81,[1]AB4!B:B,0)),INDEX([1]AB4!AF:AF,MATCH(A81,[1]AB4!B:B,0)),TEXT(INDEX([1]AB4!AG:AG,MATCH(A81,[1]AB4!B:B,0)),"0.00%")," or ",INDEX([1]AB4!AK:AK,MATCH(A81,[1]AB4!B:B,0)),INDEX([1]AB4!AJ:AJ,MATCH(A81,[1]AB4!B:B,0)),TEXT(INDEX([1]AB4!AL:AL,MATCH(A81,[1]AB4!B:B,0)),"0.00%")," )"))</f>
        <v>Max ( L : Entry - 1.50% or FUT : PRV : 1DLL - 0.00% )</v>
      </c>
      <c r="H81" s="37">
        <f t="array" ref="H81">IF(C74="","",INDEX([1]AB4!AM:AM,MATCH(A81,[1]AB4!B:B,0)))</f>
        <v>5</v>
      </c>
      <c r="I81" s="38"/>
      <c r="J81" s="36" t="str">
        <f t="array" ref="J81">IF(C74="","",CONCATENATE(INDEX([1]AB4!AA:AA,MATCH(A81,[1]AB4!B:B,0))," ( ",INDEX([1]AB4!AE:AE,MATCH(A81,[1]AB4!B:B,0))," or ",INDEX([1]AB4!AN:AN,MATCH(A81,[1]AB4!B:B,0)),INDEX([1]AB4!AJ:AJ,MATCH(A81,[1]AB4!B:B,0)),TEXT(INDEX([1]AB4!AO:AO,MATCH(A81,[1]AB4!B:B,0)),"0.00%")," )"))</f>
        <v>Max ( L : Entry or FUT : PRV : 1DLL - 0.00% )</v>
      </c>
      <c r="K81" s="37">
        <f t="array" ref="K81">IF(C74="","",INDEX([1]AB4!AP:AP,MATCH(A81,[1]AB4!B:B,0)))</f>
        <v>4</v>
      </c>
      <c r="L81" s="38"/>
      <c r="M81" s="36" t="str">
        <f t="array" ref="M81">IF(C74="","",CONCATENATE(INDEX([1]AB4!AA:AA,MATCH(A81,[1]AB4!B:B,0))," ( ",INDEX([1]AB4!AE:AE,MATCH(A81,[1]AB4!B:B,0))," or ",INDEX([1]AB4!AQ:AQ,MATCH(A81,[1]AB4!B:B,0)),INDEX([1]AB4!AJ:AJ,MATCH(A81,[1]AB4!B:B,0)),TEXT(INDEX([1]AB4!AR:AR,MATCH(A81,[1]AB4!B:B,0)),"0.00%")," )"))</f>
        <v>Max ( L : Entry or FUT : PRV : 1DLL - 0.00% )</v>
      </c>
      <c r="N81" s="37">
        <f t="array" ref="N81">IF(C74="","",INDEX([1]AB4!AS:AS,MATCH(A81,[1]AB4!B:B,0)))</f>
        <v>3</v>
      </c>
      <c r="O81" s="38"/>
      <c r="P81" s="36" t="str">
        <f t="array" ref="P81">IF(C74="","",CONCATENATE(INDEX([1]AB4!AA:AA,MATCH(A81,[1]AB4!B:B,0))," ( ",INDEX([1]AB4!AE:AE,MATCH(A81,[1]AB4!B:B,0))," or ",INDEX([1]AB4!AT:AT,MATCH(A81,[1]AB4!B:B,0)),INDEX([1]AB4!AJ:AJ,MATCH(A81,[1]AB4!B:B,0)),TEXT(INDEX([1]AB4!AU:AU,MATCH(A81,[1]AB4!B:B,0)),"0.00%")," )"))</f>
        <v>Max ( L : Entry or FUT : PRV : 1DLL - 0.00% )</v>
      </c>
      <c r="Q81" s="37">
        <f t="array" ref="Q81">IF(C74="","",INDEX([1]AB4!AV:AV,MATCH(A81,[1]AB4!B:B,0)))</f>
        <v>2</v>
      </c>
      <c r="R81" s="38"/>
      <c r="S81" s="36" t="str">
        <f t="array" ref="S81">IF(C74="","",CONCATENATE(INDEX([1]AB4!AA:AA,MATCH(A81,[1]AB4!B:B,0))," ( ",INDEX([1]AB4!AE:AE,MATCH(A81,[1]AB4!B:B,0))," or ",INDEX([1]AB4!AW:AW,MATCH(A81,[1]AB4!B:B,0)),INDEX([1]AB4!AJ:AJ,MATCH(A81,[1]AB4!B:B,0)),TEXT(INDEX([1]AB4!AX:AX,MATCH(A81,[1]AB4!B:B,0)),"0.00%")," )"))</f>
        <v>Max ( L : Entry or FUT : PRV : 1DLL - 0.00% )</v>
      </c>
      <c r="T81" s="37">
        <f t="array" ref="T81">IF(C74="","",INDEX([1]AB4!AY:AY,MATCH(A81,[1]AB4!B:B,0)))</f>
        <v>1</v>
      </c>
      <c r="U81" s="38"/>
      <c r="V81" s="36" t="str">
        <f t="array" ref="V81">IF(C74="","",CONCATENATE(INDEX([1]AB4!AA:AA,MATCH(A81,[1]AB4!B:B,0))," ( ",INDEX([1]AB4!AE:AE,MATCH(A81,[1]AB4!B:B,0))," or ",INDEX([1]AB4!AW:AW,MATCH(A81,[1]AB4!B:B,0)),INDEX([1]AB4!AJ:AJ,MATCH(A81,[1]AB4!B:B,0)),TEXT(INDEX([1]AB4!AX:AX,MATCH(A81,[1]AB4!B:B,0)),"0.00%")," )"))</f>
        <v>Max ( L : Entry or FUT : PRV : 1DLL - 0.00% )</v>
      </c>
      <c r="W81" s="37">
        <f t="array" ref="W81">IF(C74="","",INDEX([1]AB4!AY:AY,MATCH(A81,[1]AB4!B:B,0)))</f>
        <v>1</v>
      </c>
      <c r="X81" s="38"/>
      <c r="Y81" s="40">
        <f t="array" ref="Y81">IF(C74="","",INDEX([1]AB4!AZ:AZ,MATCH(A81,[1]AB4!B:B,0)))</f>
        <v>0</v>
      </c>
      <c r="Z81" s="37">
        <f t="array" ref="Z81">IF(C74="","",INDEX([1]AB4!BB:BB,MATCH(A81,[1]AB4!B:B,0)))</f>
        <v>0</v>
      </c>
      <c r="AA81" s="41"/>
      <c r="AB81" s="30"/>
      <c r="AC81" s="30"/>
    </row>
    <row r="82" spans="1:29" ht="6" customHeight="1" thickBot="1" x14ac:dyDescent="0.25">
      <c r="A82" s="18" t="str">
        <f>IF(C74="","",CONCATENATE(C75,[1]AB5!A82))</f>
        <v>S3</v>
      </c>
      <c r="B82" s="62" t="str">
        <f>IF(C74="","",IF([1]AB5!$B$12="","",[1]AB5!$B$12))</f>
        <v>Stay Blessed !!!</v>
      </c>
      <c r="C82" s="63"/>
      <c r="D82" s="59"/>
      <c r="E82" s="44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6"/>
      <c r="AB82" s="30"/>
      <c r="AC82" s="30"/>
    </row>
    <row r="83" spans="1:29" ht="30.75" customHeight="1" x14ac:dyDescent="0.2">
      <c r="A83" s="18" t="str">
        <f>IF(C74="","",CONCATENATE(C75,[1]AB5!$A$13))</f>
        <v>S3E</v>
      </c>
      <c r="B83" s="64"/>
      <c r="C83" s="59"/>
      <c r="D83" s="59"/>
      <c r="E83" s="65" t="str">
        <f>IF(C74="","",[1]AB5!$F$13)</f>
        <v>SELL</v>
      </c>
      <c r="F83" s="58" t="str">
        <f>IF(C74="","",[1]AB5!$G$13)</f>
        <v>E &amp; T</v>
      </c>
      <c r="G83" s="25" t="str">
        <f t="array" ref="G83">IF(C74="","",CONCATENATE(INDEX([1]AB4!G:G,MATCH(A83,[1]AB4!B:B,0)),INDEX([1]AB4!H:H,MATCH(A83,[1]AB4!B:B,0)),TEXT(INDEX([1]AB4!I:I,MATCH(A83,[1]AB4!B:B,0)),"0.00%")))</f>
        <v>FUT : PRV : 1DLL - 0.00%</v>
      </c>
      <c r="H83" s="26">
        <f t="array" ref="H83">IF(C74="","",INDEX([1]AB4!J:J,MATCH(A83,[1]AB4!B:B,0)))</f>
        <v>5</v>
      </c>
      <c r="I83" s="27"/>
      <c r="J83" s="28" t="str">
        <f t="array" ref="J83">IF(C74="","",CONCATENATE(INDEX([1]AB4!L:L,MATCH(A83,[1]AB4!B:B,0)),INDEX([1]AB4!M:M,MATCH(A83,[1]AB4!B:B,0)),TEXT(INDEX([1]AB4!N:N,MATCH(A83,[1]AB4!B:B,0)),"0.00%")))</f>
        <v>S : Entry  - 1.50%</v>
      </c>
      <c r="K83" s="26">
        <f t="array" ref="K83">IF(C74="","",INDEX([1]AB4!O:O,MATCH(A83,[1]AB4!B:B,0)))</f>
        <v>1</v>
      </c>
      <c r="L83" s="27"/>
      <c r="M83" s="28" t="str">
        <f t="array" ref="M83">IF(C74="","",CONCATENATE(INDEX([1]AB4!L:L,MATCH(A83,[1]AB4!B:B,0)),INDEX([1]AB4!M:M,MATCH(A83,[1]AB4!B:B,0)),TEXT(INDEX([1]AB4!P:P,MATCH(A83,[1]AB4!B:B,0)),"0.00%")))</f>
        <v>S : Entry  - 2.00%</v>
      </c>
      <c r="N83" s="26">
        <f t="array" ref="N83">IF(C74="","",INDEX([1]AB4!Q:Q,MATCH(A83,[1]AB4!B:B,0)))</f>
        <v>1</v>
      </c>
      <c r="O83" s="27"/>
      <c r="P83" s="28" t="str">
        <f t="array" ref="P83">IF(C74="","",CONCATENATE(INDEX([1]AB4!L:L,MATCH(A83,[1]AB4!B:B,0)),INDEX([1]AB4!M:M,MATCH(A83,[1]AB4!B:B,0)),TEXT(INDEX([1]AB4!R:R,MATCH(A83,[1]AB4!B:B,0)),"0.00%")))</f>
        <v>S : Entry  - 2.50%</v>
      </c>
      <c r="Q83" s="26">
        <f t="array" ref="Q83">IF(C74="","",INDEX([1]AB4!S:S,MATCH(A83,[1]AB4!B:B,0)))</f>
        <v>1</v>
      </c>
      <c r="R83" s="27"/>
      <c r="S83" s="28" t="str">
        <f t="array" ref="S83">IF(C74="","",CONCATENATE(INDEX([1]AB4!L:L,MATCH(A83,[1]AB4!B:B,0)),INDEX([1]AB4!M:M,MATCH(A83,[1]AB4!B:B,0)),TEXT(INDEX([1]AB4!T:T,MATCH(A83,[1]AB4!B:B,0)),"0.00%")))</f>
        <v>S : Entry  - 3.00%</v>
      </c>
      <c r="T83" s="26">
        <f t="array" ref="T83">IF(C74="","",INDEX([1]AB4!U:U,MATCH(A83,[1]AB4!B:B,0)))</f>
        <v>1</v>
      </c>
      <c r="U83" s="27"/>
      <c r="V83" s="28" t="str">
        <f t="array" ref="V83">IF(C74="","",INDEX([1]AB4!V:V,MATCH(A83,[1]AB4!B:B,0)))</f>
        <v>TR PROFIT AFTER TGT 4</v>
      </c>
      <c r="W83" s="26">
        <f t="array" ref="W83">IF(C74="","",INDEX([1]AB4!W:W,MATCH(A83,[1]AB4!B:B,0)))</f>
        <v>1</v>
      </c>
      <c r="X83" s="27"/>
      <c r="Y83" s="28" t="str">
        <f t="array" ref="Y83">IF(C74="","",INDEX([1]AB4!X:X,MATCH(A83,[1]AB4!B:B,0)))</f>
        <v>N.A.</v>
      </c>
      <c r="Z83" s="26" t="str">
        <f t="array" ref="Z83">IF(C74="","",INDEX([1]AB4!Y:Y,MATCH(A83,[1]AB4!B:B,0)))</f>
        <v>N.A.</v>
      </c>
      <c r="AA83" s="29"/>
      <c r="AB83" s="30"/>
      <c r="AC83" s="30"/>
    </row>
    <row r="84" spans="1:29" ht="44.25" customHeight="1" thickBot="1" x14ac:dyDescent="0.25">
      <c r="A84" s="18" t="str">
        <f>IF(C74="","",CONCATENATE(C75,[1]AB5!$A$14))</f>
        <v>S3E</v>
      </c>
      <c r="B84" s="60"/>
      <c r="C84" s="66"/>
      <c r="D84" s="66"/>
      <c r="E84" s="60"/>
      <c r="F84" s="61" t="str">
        <f>IF(C74="","",[1]AB5!$G$14)</f>
        <v>SL / TRP</v>
      </c>
      <c r="G84" s="36" t="str">
        <f t="array" ref="G84">IF(C74="","",CONCATENATE(INDEX([1]AB4!AA:AA,MATCH(A84,[1]AB4!B:B,0))," ( ",INDEX([1]AB4!AE:AE,MATCH(A84,[1]AB4!B:B,0)),INDEX([1]AB4!AF:AF,MATCH(A84,[1]AB4!B:B,0)),TEXT(INDEX([1]AB4!AG:AG,MATCH(A84,[1]AB4!B:B,0)),"0.00%")," or ",INDEX([1]AB4!AK:AK,MATCH(A84,[1]AB4!B:B,0)),INDEX([1]AB4!AJ:AJ,MATCH(A84,[1]AB4!B:B,0)),TEXT(INDEX([1]AB4!AL:AL,MATCH(A84,[1]AB4!B:B,0)),"0.00%")," )"))</f>
        <v>Min ( S : Entry + 1.50% or FUT : PRV : 2DHH + 0.15% )</v>
      </c>
      <c r="H84" s="37">
        <f t="array" ref="H84">IF(C74="","",INDEX([1]AB4!AM:AM,MATCH(A84,[1]AB4!B:B,0)))</f>
        <v>5</v>
      </c>
      <c r="I84" s="38"/>
      <c r="J84" s="36" t="str">
        <f t="array" ref="J84">IF(C74="","",CONCATENATE(INDEX([1]AB4!AA:AA,MATCH(A84,[1]AB4!B:B,0))," ( ",INDEX([1]AB4!AE:AE,MATCH(A84,[1]AB4!B:B,0))," or ",INDEX([1]AB4!AN:AN,MATCH(A84,[1]AB4!B:B,0)),INDEX([1]AB4!AJ:AJ,MATCH(A84,[1]AB4!B:B,0)),TEXT(INDEX([1]AB4!AO:AO,MATCH(A84,[1]AB4!B:B,0)),"0.00%")," )"))</f>
        <v>Min ( S : Entry or FUT : PRV : 2DHH + 0.15% )</v>
      </c>
      <c r="K84" s="37">
        <f t="array" ref="K84">IF(C74="","",INDEX([1]AB4!AP:AP,MATCH(A84,[1]AB4!B:B,0)))</f>
        <v>4</v>
      </c>
      <c r="L84" s="38"/>
      <c r="M84" s="36" t="str">
        <f t="array" ref="M84">IF(C74="","",CONCATENATE(INDEX([1]AB4!AA:AA,MATCH(A84,[1]AB4!B:B,0))," ( ",INDEX([1]AB4!AE:AE,MATCH(A84,[1]AB4!B:B,0))," or ",INDEX([1]AB4!AQ:AQ,MATCH(A84,[1]AB4!B:B,0)),INDEX([1]AB4!AJ:AJ,MATCH(A84,[1]AB4!B:B,0)),TEXT(INDEX([1]AB4!AR:AR,MATCH(A84,[1]AB4!B:B,0)),"0.00%")," )"))</f>
        <v>Min ( S : Entry or FUT : PRV : 2DHH + 0.15% )</v>
      </c>
      <c r="N84" s="37">
        <f t="array" ref="N84">IF(C74="","",INDEX([1]AB4!AS:AS,MATCH(A84,[1]AB4!B:B,0)))</f>
        <v>3</v>
      </c>
      <c r="O84" s="38"/>
      <c r="P84" s="36" t="str">
        <f t="array" ref="P84">IF(C74="","",CONCATENATE(INDEX([1]AB4!AA:AA,MATCH(A84,[1]AB4!B:B,0))," ( ",INDEX([1]AB4!AE:AE,MATCH(A84,[1]AB4!B:B,0))," or ",INDEX([1]AB4!AT:AT,MATCH(A84,[1]AB4!B:B,0)),INDEX([1]AB4!AJ:AJ,MATCH(A84,[1]AB4!B:B,0)),TEXT(INDEX([1]AB4!AU:AU,MATCH(A84,[1]AB4!B:B,0)),"0.00%")," )"))</f>
        <v>Min ( S : Entry or FUT : PRV : 2DHH + 0.15% )</v>
      </c>
      <c r="Q84" s="37">
        <f t="array" ref="Q84">IF(C74="","",INDEX([1]AB4!AV:AV,MATCH(A84,[1]AB4!B:B,0)))</f>
        <v>2</v>
      </c>
      <c r="R84" s="38"/>
      <c r="S84" s="36" t="str">
        <f t="array" ref="S84">IF(C74="","",CONCATENATE(INDEX([1]AB4!AA:AA,MATCH(A84,[1]AB4!B:B,0))," ( ",INDEX([1]AB4!AE:AE,MATCH(A84,[1]AB4!B:B,0))," or ",INDEX([1]AB4!AW:AW,MATCH(A84,[1]AB4!B:B,0)),INDEX([1]AB4!AJ:AJ,MATCH(A84,[1]AB4!B:B,0)),TEXT(INDEX([1]AB4!AX:AX,MATCH(A84,[1]AB4!B:B,0)),"0.00%")," )"))</f>
        <v>Min ( S : Entry or FUT : PRV : 2DHH + 0.15% )</v>
      </c>
      <c r="T84" s="37">
        <f t="array" ref="T84">IF(C74="","",INDEX([1]AB4!AY:AY,MATCH(A84,[1]AB4!B:B,0)))</f>
        <v>1</v>
      </c>
      <c r="U84" s="38"/>
      <c r="V84" s="36" t="str">
        <f t="array" ref="V84">IF(C74="","",CONCATENATE(INDEX([1]AB4!AA:AA,MATCH(A84,[1]AB4!B:B,0))," ( ",INDEX([1]AB4!AE:AE,MATCH(A84,[1]AB4!B:B,0))," or ",INDEX([1]AB4!AW:AW,MATCH(A84,[1]AB4!B:B,0)),INDEX([1]AB4!AJ:AJ,MATCH(A84,[1]AB4!B:B,0)),TEXT(INDEX([1]AB4!AX:AX,MATCH(A84,[1]AB4!B:B,0)),"0.00%")," )"))</f>
        <v>Min ( S : Entry or FUT : PRV : 2DHH + 0.15% )</v>
      </c>
      <c r="W84" s="37">
        <f t="array" ref="W84">IF(C74="","",INDEX([1]AB4!AY:AY,MATCH(A84,[1]AB4!B:B,0)))</f>
        <v>1</v>
      </c>
      <c r="X84" s="38"/>
      <c r="Y84" s="40">
        <f t="array" ref="Y84">IF(C74="","",INDEX([1]AB4!AZ:AZ,MATCH(A84,[1]AB4!B:B,0)))</f>
        <v>0</v>
      </c>
      <c r="Z84" s="37">
        <f t="array" ref="Z84">IF(C74="","",INDEX([1]AB4!BB:BB,MATCH(A84,[1]AB4!B:B,0)))</f>
        <v>0</v>
      </c>
      <c r="AA84" s="41"/>
      <c r="AB84" s="30"/>
      <c r="AC84" s="30"/>
    </row>
    <row r="85" spans="1:29" ht="6" customHeight="1" thickBot="1" x14ac:dyDescent="0.25">
      <c r="A85" s="18"/>
      <c r="B85" s="55"/>
      <c r="C85" s="55"/>
      <c r="D85" s="55"/>
      <c r="E85" s="30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30"/>
      <c r="AA85" s="30"/>
      <c r="AB85" s="68"/>
      <c r="AC85" s="68"/>
    </row>
    <row r="86" spans="1:29" ht="21.75" customHeight="1" x14ac:dyDescent="0.2">
      <c r="A86" s="18"/>
      <c r="B86" s="69" t="str">
        <f>IF(C74="","",[1]AB5!$B$16)</f>
        <v>For Entry</v>
      </c>
      <c r="C86" s="29"/>
      <c r="D86" s="70" t="str">
        <f>IF(C74="","",[1]AB5!$D$16)</f>
        <v>Gap Check</v>
      </c>
      <c r="E86" s="71"/>
      <c r="F86" s="70" t="str">
        <f>IF(C74="","",[1]AB5!$G$16)</f>
        <v>Process</v>
      </c>
      <c r="G86" s="72"/>
      <c r="H86" s="73" t="str">
        <f>IF(C74="","",[1]AB5!$I$16)</f>
        <v>Y / N</v>
      </c>
      <c r="I86" s="72"/>
      <c r="J86" s="74" t="str">
        <f>IF(C74="","",[1]AB5!$K$16)</f>
        <v>Order Status</v>
      </c>
      <c r="K86" s="75" t="str">
        <f>IF(C74="","",[1]AB5!$L$16)</f>
        <v>Step 1</v>
      </c>
      <c r="L86" s="76"/>
      <c r="M86" s="76"/>
      <c r="N86" s="72"/>
      <c r="O86" s="73" t="str">
        <f>IF(C74="","",[1]AB5!$P$16)</f>
        <v>Order Placement Timings</v>
      </c>
      <c r="P86" s="72"/>
      <c r="Q86" s="73" t="str">
        <f>IF(C74="","",[1]AB5!$R$16)</f>
        <v>Time</v>
      </c>
      <c r="R86" s="72"/>
      <c r="S86" s="75" t="str">
        <f>IF(C74="","",[1]AB5!$T$16)</f>
        <v>Rules For Gaps</v>
      </c>
      <c r="T86" s="76"/>
      <c r="U86" s="72"/>
      <c r="V86" s="74" t="str">
        <f>IF(C74="","",[1]AB5!$W$16)</f>
        <v>Data</v>
      </c>
      <c r="W86" s="73" t="str">
        <f>IF(C74="","",[1]AB5!$X$16)</f>
        <v>Buffer</v>
      </c>
      <c r="X86" s="71"/>
      <c r="Y86" s="77" t="str">
        <f>IF(C74="","",[1]AB5!$AA$16)</f>
        <v>Rules For Re Entry</v>
      </c>
      <c r="Z86" s="76"/>
      <c r="AA86" s="71"/>
      <c r="AB86" s="78"/>
      <c r="AC86" s="78"/>
    </row>
    <row r="87" spans="1:29" ht="31.5" customHeight="1" x14ac:dyDescent="0.2">
      <c r="A87" s="18" t="str">
        <f>IF(C74="","",CONCATENATE(C75,[1]AB5!$A$17))</f>
        <v>S3A</v>
      </c>
      <c r="B87" s="79" t="str">
        <f>IF(C74="","",[1]AB5!$B$17)</f>
        <v xml:space="preserve">ORPT </v>
      </c>
      <c r="C87" s="80" t="str">
        <f>IF(C74="","",[1]AB5!$C$17)</f>
        <v xml:space="preserve"> RC. Time</v>
      </c>
      <c r="D87" s="81" t="str">
        <f>IF(C74="","",[1]AB5!$D$17)</f>
        <v>For Long Entry</v>
      </c>
      <c r="E87" s="63"/>
      <c r="F87" s="82" t="str">
        <f>IF(C74="","",CONCATENATE([1]AB5!$G$17,TEXT(B88,"HH:MM:SS AM/PM"),[1]AB5!$B$18,[1]AB5!$H$17))</f>
        <v>Check If  09:19:59 AM HH &gt; Long Entry</v>
      </c>
      <c r="G87" s="83"/>
      <c r="H87" s="84" t="str">
        <f>IF(C74="","",[1]AB5!$I$17)</f>
        <v>No</v>
      </c>
      <c r="I87" s="85"/>
      <c r="J87" s="86" t="str">
        <f>IF(C74="","",[1]AB5!$K$17)</f>
        <v>Entry Not Missed</v>
      </c>
      <c r="K87" s="87" t="str">
        <f>IF(C74="","",[1]AB5!$L$17)</f>
        <v>Place the Order at ORPT</v>
      </c>
      <c r="L87" s="88"/>
      <c r="M87" s="88"/>
      <c r="N87" s="85"/>
      <c r="O87" s="87" t="str">
        <f>IF(C74="","",[1]AB5!$P$17)</f>
        <v>ORPT Time</v>
      </c>
      <c r="P87" s="85"/>
      <c r="Q87" s="89">
        <f>IF(C74="","",B88)</f>
        <v>0.38888194444444446</v>
      </c>
      <c r="R87" s="85"/>
      <c r="S87" s="87" t="str">
        <f>IF(C74="","",[1]AB5!$T$17)</f>
        <v>N.A.</v>
      </c>
      <c r="T87" s="88"/>
      <c r="U87" s="85"/>
      <c r="V87" s="86" t="str">
        <f>IF(C74="","",[1]AB5!$W$17)</f>
        <v>N.A.</v>
      </c>
      <c r="W87" s="90" t="str">
        <f>IF(C74="","",[1]AB5!$X$17)</f>
        <v>N.A.</v>
      </c>
      <c r="X87" s="91"/>
      <c r="Y87" s="92" t="str">
        <f>IF(C74="","",[1]AB5!$AA$17)</f>
        <v xml:space="preserve">Long Entry : Bull/ Bull CF : </v>
      </c>
      <c r="Z87" s="88"/>
      <c r="AA87" s="91"/>
      <c r="AB87" s="68"/>
      <c r="AC87" s="68"/>
    </row>
    <row r="88" spans="1:29" ht="31.5" customHeight="1" x14ac:dyDescent="0.2">
      <c r="A88" s="18" t="str">
        <f>IF(C74="","",CONCATENATE(C75,[1]AB5!$A$18))</f>
        <v>S3B</v>
      </c>
      <c r="B88" s="93">
        <f t="array" ref="B88">IF(C74="","",INDEX([1]AB4!BE:BE,MATCH(A87,[1]AB4!B:B,0)))</f>
        <v>0.38888194444444446</v>
      </c>
      <c r="C88" s="94">
        <f t="array" ref="C88">IF(C74="","",INDEX([1]AB4!BE:BE,MATCH(A88,[1]AB4!B:B,0)))</f>
        <v>0.39582638888888888</v>
      </c>
      <c r="D88" s="64"/>
      <c r="E88" s="59"/>
      <c r="F88" s="64"/>
      <c r="G88" s="95"/>
      <c r="H88" s="96" t="str">
        <f>IF(C74="","",[1]AB5!$I$18)</f>
        <v>Yes</v>
      </c>
      <c r="I88" s="83"/>
      <c r="J88" s="97" t="str">
        <f>IF(C74="","",[1]AB5!$K$18)</f>
        <v>Entry Missed</v>
      </c>
      <c r="K88" s="87" t="str">
        <f>IF(C74="","",[1]AB5!$L$18)</f>
        <v>Recalcuate : Long Entry : Bull / Bull CF</v>
      </c>
      <c r="L88" s="88"/>
      <c r="M88" s="88"/>
      <c r="N88" s="85"/>
      <c r="O88" s="87" t="str">
        <f>IF(C74="","",[1]AB5!$P$18)</f>
        <v>Wait Till Recalculation Time</v>
      </c>
      <c r="P88" s="85"/>
      <c r="Q88" s="89">
        <f>IF(C74="","",C88)</f>
        <v>0.39582638888888888</v>
      </c>
      <c r="R88" s="85"/>
      <c r="S88" s="98" t="str">
        <f>IF(C74="","",CONCATENATE(V88," ",[1]AB5!$Z$18," ",TEXT(W88,"0.00%")))</f>
        <v>09:29:59 AM HH + 0.15%</v>
      </c>
      <c r="T88" s="88"/>
      <c r="U88" s="85"/>
      <c r="V88" s="99" t="str">
        <f>IF(C74="","",CONCATENATE(TEXT(Q88,"HH:MM:SS AM/PM"),[1]AB5!$U$18))</f>
        <v>09:29:59 AM HH</v>
      </c>
      <c r="W88" s="100" t="str">
        <f t="array" ref="W88">IF(A74="","",TEXT(INDEX([1]AB4!BK:BK,MATCH(A75,[1]AB4!B:B,0)),"0.00%"))</f>
        <v>0.15%</v>
      </c>
      <c r="X88" s="91"/>
      <c r="Y88" s="101" t="str">
        <f>IF(C74="","",CONCATENATE([1]AB5!$T$18," ( ",G74," or ",[1]AB5!$AA$18," ",[1]AB5!$Z$18," ",TEXT(W88,"0.00%")," )"))</f>
        <v>Max ( FUT : PRV : 1DHH + 0.00% or  CDHH + 0.15% )</v>
      </c>
      <c r="Z88" s="88"/>
      <c r="AA88" s="91"/>
      <c r="AB88" s="68"/>
      <c r="AC88" s="68"/>
    </row>
    <row r="89" spans="1:29" ht="31.5" customHeight="1" thickBot="1" x14ac:dyDescent="0.25">
      <c r="A89" s="18"/>
      <c r="B89" s="34"/>
      <c r="C89" s="102"/>
      <c r="D89" s="103"/>
      <c r="E89" s="104"/>
      <c r="F89" s="103"/>
      <c r="G89" s="105"/>
      <c r="H89" s="51"/>
      <c r="I89" s="105"/>
      <c r="J89" s="53"/>
      <c r="K89" s="87" t="str">
        <f>IF(C74="","",[1]AB5!$L$19)</f>
        <v>Recalcuate : Long Entry : Bear / Bear CF</v>
      </c>
      <c r="L89" s="88"/>
      <c r="M89" s="88"/>
      <c r="N89" s="85"/>
      <c r="O89" s="87" t="str">
        <f>IF(C74="","",[1]AB5!$P$19)</f>
        <v>Wait Till Recalculation Time</v>
      </c>
      <c r="P89" s="85"/>
      <c r="Q89" s="89">
        <f>IF(C74="","",C88)</f>
        <v>0.39582638888888888</v>
      </c>
      <c r="R89" s="85"/>
      <c r="S89" s="98" t="str">
        <f>IF(C74="","",CONCATENATE(V89," ",[1]AB5!$Z$19," ",TEXT(W89,"0.00%"),))</f>
        <v>09:29:59 AM HH + 0.15%</v>
      </c>
      <c r="T89" s="88"/>
      <c r="U89" s="85"/>
      <c r="V89" s="99" t="str">
        <f>IF(C74="","",CONCATENATE(TEXT(Q89,"HH:MM:SS AM/PM"),[1]AB5!$U$19))</f>
        <v>09:29:59 AM HH</v>
      </c>
      <c r="W89" s="100" t="str">
        <f t="array" ref="W89">IF(C74="","",TEXT(INDEX([1]AB4!BK:BK,MATCH(A80,[1]AB4!B:B,0)),"0.00%"))</f>
        <v>0.15%</v>
      </c>
      <c r="X89" s="91"/>
      <c r="Y89" s="106" t="str">
        <f>IF(C74="","",[1]AB5!$AA$19)</f>
        <v xml:space="preserve">Long Entry : Bear/ Bear CF : </v>
      </c>
      <c r="Z89" s="88"/>
      <c r="AA89" s="91"/>
      <c r="AB89" s="68"/>
      <c r="AC89" s="68"/>
    </row>
    <row r="90" spans="1:29" ht="31.5" customHeight="1" x14ac:dyDescent="0.2">
      <c r="A90" s="18"/>
      <c r="B90" s="69" t="str">
        <f>IF(C74="","",[1]AB5!$B$20)</f>
        <v>For SL (Position = Open)</v>
      </c>
      <c r="C90" s="29"/>
      <c r="D90" s="107" t="str">
        <f>IF(C74="","",[1]AB5!$D$20)</f>
        <v>For Short Entry</v>
      </c>
      <c r="E90" s="63"/>
      <c r="F90" s="82" t="str">
        <f>IF(C74="","",CONCATENATE([1]AB5!$G$20,TEXT(B88,"HH:MM:SS AM/PM"),[1]AB5!$B$18,[1]AB5!$H$20))</f>
        <v>Check If  09:19:59 AM LL &lt; Short Entry</v>
      </c>
      <c r="G90" s="83"/>
      <c r="H90" s="108" t="str">
        <f>IF(C74="","",[1]AB5!$I$20)</f>
        <v>No</v>
      </c>
      <c r="I90" s="85"/>
      <c r="J90" s="109" t="str">
        <f>IF(C74="","",[1]AB5!$K$20)</f>
        <v>Entry Not Missed</v>
      </c>
      <c r="K90" s="110" t="str">
        <f>IF(C74="","",[1]AB5!$L$20)</f>
        <v>Place the Order at ORPT</v>
      </c>
      <c r="L90" s="88"/>
      <c r="M90" s="88"/>
      <c r="N90" s="85"/>
      <c r="O90" s="110" t="str">
        <f>IF(C74="","",[1]AB5!$P$20)</f>
        <v>ORPT Time</v>
      </c>
      <c r="P90" s="85"/>
      <c r="Q90" s="111">
        <f>IF(C74="","",B88)</f>
        <v>0.38888194444444446</v>
      </c>
      <c r="R90" s="85"/>
      <c r="S90" s="110" t="str">
        <f>IF(C74="","",[1]AB5!$T$20)</f>
        <v>N.A.</v>
      </c>
      <c r="T90" s="88"/>
      <c r="U90" s="85"/>
      <c r="V90" s="109" t="str">
        <f>IF(C74="","",[1]AB5!$W$20)</f>
        <v>N.A.</v>
      </c>
      <c r="W90" s="112" t="str">
        <f>IF(C74="","",[1]AB5!$X$20)</f>
        <v>N.A.</v>
      </c>
      <c r="X90" s="91"/>
      <c r="Y90" s="101" t="str">
        <f>IF(C74="","",CONCATENATE([1]AB5!$T$19," ( ",G80," or ",[1]AB5!$AA$20," ",[1]AB5!$Z$19," ",TEXT(W89,"0.00%")," )"))</f>
        <v>Max ( FUT : PRV : 2DHH + 0.15% or  CDHH + 0.15% )</v>
      </c>
      <c r="Z90" s="88"/>
      <c r="AA90" s="91"/>
      <c r="AB90" s="68"/>
      <c r="AC90" s="68"/>
    </row>
    <row r="91" spans="1:29" ht="31.5" customHeight="1" x14ac:dyDescent="0.2">
      <c r="A91" s="18" t="str">
        <f>IF(C74="","",CONCATENATE(C75,[1]AB5!$A$21))</f>
        <v>S3A</v>
      </c>
      <c r="B91" s="79" t="str">
        <f>IF(C74="","",[1]AB5!$B$21)</f>
        <v xml:space="preserve">ORPT </v>
      </c>
      <c r="C91" s="80" t="str">
        <f>IF(C74="","",[1]AB5!$C$21)</f>
        <v xml:space="preserve"> RC. Time</v>
      </c>
      <c r="D91" s="64"/>
      <c r="E91" s="59"/>
      <c r="F91" s="64"/>
      <c r="G91" s="95"/>
      <c r="H91" s="113" t="str">
        <f>IF(C74="","",[1]AB5!$I$21)</f>
        <v>Yes</v>
      </c>
      <c r="I91" s="83"/>
      <c r="J91" s="114" t="str">
        <f>IF(C74="","",[1]AB5!$K$21)</f>
        <v>Entry Missed</v>
      </c>
      <c r="K91" s="110" t="str">
        <f>IF(C74="","",[1]AB5!$L$21)</f>
        <v>Recalcuate : Short Entry : Bull / Bull CF</v>
      </c>
      <c r="L91" s="88"/>
      <c r="M91" s="88"/>
      <c r="N91" s="85"/>
      <c r="O91" s="110" t="str">
        <f>IF(C74="","",[1]AB5!$P$21)</f>
        <v>Wait Till Recalculation Time</v>
      </c>
      <c r="P91" s="85"/>
      <c r="Q91" s="111">
        <f>IF(C74="","",C88)</f>
        <v>0.39582638888888888</v>
      </c>
      <c r="R91" s="85"/>
      <c r="S91" s="115" t="str">
        <f>IF(C74="","",CONCATENATE(V91," ",[1]AB5!$Z$21," ",TEXT(W91,"0.00%")))</f>
        <v>09:29:59 AM LL - 0.15%</v>
      </c>
      <c r="T91" s="88"/>
      <c r="U91" s="85"/>
      <c r="V91" s="116" t="str">
        <f>IF(C74="","",CONCATENATE(TEXT(Q91,"HH:MM:SS AM/PM"),[1]AB5!$U$21))</f>
        <v>09:29:59 AM LL</v>
      </c>
      <c r="W91" s="112" t="str">
        <f t="array" ref="W91">IF(C74="","",TEXT(INDEX([1]AB4!BK:BK,MATCH(A77,[1]AB4!B:B,0)),"0.00%"))</f>
        <v>0.15%</v>
      </c>
      <c r="X91" s="91"/>
      <c r="Y91" s="117" t="str">
        <f>IF(C74="","",[1]AB5!$AA$21)</f>
        <v>When Your Long Position is Exited</v>
      </c>
      <c r="Z91" s="118"/>
      <c r="AA91" s="59"/>
      <c r="AB91" s="68"/>
      <c r="AC91" s="68"/>
    </row>
    <row r="92" spans="1:29" ht="31.5" customHeight="1" thickBot="1" x14ac:dyDescent="0.25">
      <c r="A92" s="18" t="str">
        <f>IF(C74="","",CONCATENATE(C75,[1]AB5!$A$22))</f>
        <v>S3B</v>
      </c>
      <c r="B92" s="119">
        <f t="array" ref="B92">IF(C74="","",INDEX([1]AB4!BF:BF,MATCH(A91,[1]AB4!B:B,0)))</f>
        <v>0.38888194444444446</v>
      </c>
      <c r="C92" s="120">
        <f t="array" ref="C92">IF(C74="","",INDEX([1]AB4!BF:BF,MATCH(A92,[1]AB4!B:B,0)))</f>
        <v>0.39582638888888888</v>
      </c>
      <c r="D92" s="60"/>
      <c r="E92" s="66"/>
      <c r="F92" s="60"/>
      <c r="G92" s="121"/>
      <c r="H92" s="102"/>
      <c r="I92" s="121"/>
      <c r="J92" s="122"/>
      <c r="K92" s="123" t="str">
        <f>IF(C74="","",[1]AB5!$L$22)</f>
        <v>Recalcuate : Short Entry : Bear / Bear CF</v>
      </c>
      <c r="L92" s="124"/>
      <c r="M92" s="124"/>
      <c r="N92" s="38"/>
      <c r="O92" s="123" t="str">
        <f>IF(C74="","",[1]AB5!$P$22)</f>
        <v>Wait Till Recalculation Time</v>
      </c>
      <c r="P92" s="38"/>
      <c r="Q92" s="125">
        <f>IF(C74="","",C88)</f>
        <v>0.39582638888888888</v>
      </c>
      <c r="R92" s="38"/>
      <c r="S92" s="126" t="str">
        <f>IF(C74="","",CONCATENATE(V92," ",[1]AB5!$Z$22," ",TEXT(W92,"0.00%")))</f>
        <v>09:29:59 AM LL - 0.15%</v>
      </c>
      <c r="T92" s="124"/>
      <c r="U92" s="38"/>
      <c r="V92" s="127" t="str">
        <f>IF(C74="","",CONCATENATE(TEXT(Q92,"HH:MM:SS AM/PM"),[1]AB5!$U$22))</f>
        <v>09:29:59 AM LL</v>
      </c>
      <c r="W92" s="128" t="str">
        <f t="array" ref="W92">IF(C74="","",TEXT(INDEX([1]AB4!BK:BK,MATCH(A83,[1]AB4!B:B,0)),"0.00%"))</f>
        <v>0.15%</v>
      </c>
      <c r="X92" s="41"/>
      <c r="Y92" s="129" t="str">
        <f>IF(C74="","",[1]AB5!$AA$22)</f>
        <v>This is Only Applicable for Same Day</v>
      </c>
      <c r="Z92" s="130"/>
      <c r="AA92" s="66"/>
      <c r="AB92" s="68"/>
      <c r="AC92" s="68"/>
    </row>
    <row r="93" spans="1:29" ht="6" customHeight="1" thickBot="1" x14ac:dyDescent="0.25">
      <c r="A93" s="18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</row>
    <row r="94" spans="1:29" ht="21.75" customHeight="1" thickBot="1" x14ac:dyDescent="0.25">
      <c r="A94" s="18"/>
      <c r="B94" s="69" t="str">
        <f>IF(C74="","",[1]AB5!$B$24)</f>
        <v>For TGT (Position = Open)</v>
      </c>
      <c r="C94" s="29"/>
      <c r="D94" s="132" t="str">
        <f>IF(C74="","",[1]AB5!$D$24)</f>
        <v>Gap Check</v>
      </c>
      <c r="E94" s="133"/>
      <c r="F94" s="132" t="str">
        <f>IF(C74="","",[1]AB5!$G$24)</f>
        <v>Process</v>
      </c>
      <c r="G94" s="133"/>
      <c r="H94" s="132" t="str">
        <f>IF(C74="","",[1]AB5!$I$24)</f>
        <v>Y / N</v>
      </c>
      <c r="I94" s="133"/>
      <c r="J94" s="134" t="str">
        <f>IF(C74="","",[1]AB5!$K$24)</f>
        <v>Status</v>
      </c>
      <c r="K94" s="135" t="str">
        <f>IF(C74="","",[1]AB5!$L$24)</f>
        <v>Step 1</v>
      </c>
      <c r="L94" s="136"/>
      <c r="M94" s="136"/>
      <c r="N94" s="133"/>
      <c r="O94" s="132" t="str">
        <f>IF(C74="","",[1]AB5!$P$24)</f>
        <v>Order Placement Timings</v>
      </c>
      <c r="P94" s="133"/>
      <c r="Q94" s="132" t="str">
        <f>IF(C74="","",[1]AB5!$R$24)</f>
        <v>Time</v>
      </c>
      <c r="R94" s="133"/>
      <c r="S94" s="135" t="str">
        <f>IF(C74="","",[1]AB5!$T$24)</f>
        <v>Rules For Gaps</v>
      </c>
      <c r="T94" s="136"/>
      <c r="U94" s="133"/>
      <c r="V94" s="134" t="str">
        <f>IF(C74="","",[1]AB5!$W$24)</f>
        <v>Data</v>
      </c>
      <c r="W94" s="132" t="str">
        <f>IF(C74="","",[1]AB5!$X$24)</f>
        <v>Buffer</v>
      </c>
      <c r="X94" s="133"/>
      <c r="Y94" s="135" t="str">
        <f>IF(C74="","",[1]AB5!$AA$16)</f>
        <v>Rules For Re Entry</v>
      </c>
      <c r="Z94" s="136"/>
      <c r="AA94" s="133"/>
      <c r="AB94" s="78"/>
      <c r="AC94" s="78"/>
    </row>
    <row r="95" spans="1:29" ht="24" customHeight="1" x14ac:dyDescent="0.2">
      <c r="A95" s="18" t="str">
        <f>IF(C74="","",CONCATENATE(C75,[1]AB5!$A$25))</f>
        <v>S3A</v>
      </c>
      <c r="B95" s="79" t="str">
        <f>IF(C74="","",[1]AB5!$B$25)</f>
        <v xml:space="preserve">ORPT </v>
      </c>
      <c r="C95" s="80" t="str">
        <f>IF(C74="","",[1]AB5!$C$25)</f>
        <v xml:space="preserve"> RC. Time</v>
      </c>
      <c r="D95" s="137" t="str">
        <f>IF(C74="","",[1]AB5!$D$25)</f>
        <v>For Long SL</v>
      </c>
      <c r="E95" s="59"/>
      <c r="F95" s="138" t="str">
        <f>IF(C74="","",CONCATENATE([1]AB5!$G$25,TEXT(B92,"HH:MM:SS AM/PM"),[1]AB5!$B$22,[1]AB5!$H$25))</f>
        <v>Check If 09:19:59 AM LL &lt; Long SL</v>
      </c>
      <c r="G95" s="76"/>
      <c r="H95" s="139" t="str">
        <f>IF(C74="","",[1]AB5!$I$25)</f>
        <v>No</v>
      </c>
      <c r="I95" s="27"/>
      <c r="J95" s="140" t="str">
        <f>IF(C74="","",[1]AB5!$K$25)</f>
        <v>FSL / TRP Not Missed</v>
      </c>
      <c r="K95" s="141" t="str">
        <f>IF(C74="","",[1]AB5!$L$25)</f>
        <v>Place the Order at ORPT</v>
      </c>
      <c r="L95" s="142"/>
      <c r="M95" s="142"/>
      <c r="N95" s="27"/>
      <c r="O95" s="141" t="str">
        <f>IF(C74="","",[1]AB5!$P$25)</f>
        <v>ORPT Time</v>
      </c>
      <c r="P95" s="27"/>
      <c r="Q95" s="143">
        <f>IF(C74="","",B92)</f>
        <v>0.38888194444444446</v>
      </c>
      <c r="R95" s="27"/>
      <c r="S95" s="141" t="str">
        <f>IF(C74="","",[1]AB5!$U$25)</f>
        <v>N.A.</v>
      </c>
      <c r="T95" s="142"/>
      <c r="U95" s="27"/>
      <c r="V95" s="140" t="str">
        <f>IF(C74="","",[1]AB5!$W$25)</f>
        <v>N.A.</v>
      </c>
      <c r="W95" s="144" t="str">
        <f>IF(C74="","",[1]AB5!$X$25)</f>
        <v>N.A.</v>
      </c>
      <c r="X95" s="29"/>
      <c r="Y95" s="117" t="str">
        <f>IF(C74="","",[1]AB5!$AA$25)</f>
        <v xml:space="preserve">Short Entry : Bull/ Bull CF : </v>
      </c>
      <c r="Z95" s="12"/>
      <c r="AA95" s="59"/>
      <c r="AB95" s="68"/>
      <c r="AC95" s="68"/>
    </row>
    <row r="96" spans="1:29" ht="24" customHeight="1" thickBot="1" x14ac:dyDescent="0.25">
      <c r="A96" s="18" t="str">
        <f>IF(C74="","",CONCATENATE(C75,[1]AB5!$A$26))</f>
        <v>S3B</v>
      </c>
      <c r="B96" s="119">
        <f t="array" ref="B96">IF(C74="","",INDEX([1]AB4!BG:BG,MATCH(A95,[1]AB4!B:B,0)))</f>
        <v>0.38541666666666669</v>
      </c>
      <c r="C96" s="120" t="str">
        <f t="array" ref="C96">IF(C74="","",INDEX([1]AB4!BG:BG,MATCH(A96,[1]AB4!B:B,0)))</f>
        <v>N.A.</v>
      </c>
      <c r="D96" s="64"/>
      <c r="E96" s="59"/>
      <c r="F96" s="64"/>
      <c r="G96" s="12"/>
      <c r="H96" s="113" t="str">
        <f>IF(C74="","",[1]AB5!$I$26)</f>
        <v>Yes</v>
      </c>
      <c r="I96" s="83"/>
      <c r="J96" s="114" t="str">
        <f>IF(C74="","",[1]AB5!$K$26)</f>
        <v>FSL / TRP Missed</v>
      </c>
      <c r="K96" s="110" t="str">
        <f>IF(C74="","",[1]AB5!$L$26)</f>
        <v>Recalcuate : Long FSL / TRP : Bull / Bull CF</v>
      </c>
      <c r="L96" s="88"/>
      <c r="M96" s="88"/>
      <c r="N96" s="85"/>
      <c r="O96" s="110" t="str">
        <f>IF(C74="","",[1]AB5!$P$26)</f>
        <v>Wait Till Recalculation Time</v>
      </c>
      <c r="P96" s="85"/>
      <c r="Q96" s="111">
        <f>IF(C74="","",C92)</f>
        <v>0.39582638888888888</v>
      </c>
      <c r="R96" s="85"/>
      <c r="S96" s="110" t="str">
        <f>IF(C74="","",CONCATENATE(V96," ",[1]AB5!$Z$26," ",TEXT(W96,"0.00%")))</f>
        <v>09:29:59 AM LL - 0.15%</v>
      </c>
      <c r="T96" s="88"/>
      <c r="U96" s="85"/>
      <c r="V96" s="116" t="str">
        <f>IF(C74="","",CONCATENATE(TEXT(Q96,"HH:MM:SS AM/PM"),[1]AB5!$U$26))</f>
        <v>09:29:59 AM LL</v>
      </c>
      <c r="W96" s="112" t="str">
        <f t="array" ref="W96">IF(C74="","",TEXT(INDEX([1]AB4!BL:BL,MATCH(A75,[1]AB4!B:B,0)),"0.00%"))</f>
        <v>0.15%</v>
      </c>
      <c r="X96" s="91"/>
      <c r="Y96" s="145"/>
      <c r="Z96" s="145"/>
      <c r="AA96" s="104"/>
      <c r="AB96" s="68"/>
      <c r="AC96" s="68"/>
    </row>
    <row r="97" spans="1:29" ht="24" customHeight="1" x14ac:dyDescent="0.2">
      <c r="A97" s="18"/>
      <c r="B97" s="62" t="str">
        <f>IF(C74="","",[1]AB5!$B$27)</f>
        <v>I Commit To Follow The Rules &amp; Process</v>
      </c>
      <c r="C97" s="63"/>
      <c r="D97" s="64"/>
      <c r="E97" s="59"/>
      <c r="F97" s="64"/>
      <c r="G97" s="12"/>
      <c r="H97" s="48"/>
      <c r="I97" s="95"/>
      <c r="J97" s="146"/>
      <c r="K97" s="110" t="str">
        <f>IF(C74="","",[1]AB5!$L$27)</f>
        <v>Recalcuate : Long FSL / TRP : Bear / Bear CF</v>
      </c>
      <c r="L97" s="88"/>
      <c r="M97" s="88"/>
      <c r="N97" s="85"/>
      <c r="O97" s="110" t="str">
        <f>IF(C74="","",[1]AB5!$P$27)</f>
        <v>Wait Till Recalculation Time</v>
      </c>
      <c r="P97" s="85"/>
      <c r="Q97" s="111">
        <f>IF(C74="","",C92)</f>
        <v>0.39582638888888888</v>
      </c>
      <c r="R97" s="85"/>
      <c r="S97" s="110" t="str">
        <f>IF(C75="","",CONCATENATE(V97," ",[1]AB5!$Z$26," ",TEXT(W97,"0.00%")))</f>
        <v>09:29:59 AM LL - 0.15%</v>
      </c>
      <c r="T97" s="88"/>
      <c r="U97" s="85"/>
      <c r="V97" s="116" t="str">
        <f>IF(C74="","",CONCATENATE(TEXT(Q96,"HH:MM:SS AM/PM"),[1]AB5!$U$27))</f>
        <v>09:29:59 AM LL</v>
      </c>
      <c r="W97" s="112" t="str">
        <f t="array" ref="W97">IF(C74="","",TEXT(INDEX([1]AB4!BL:BL,MATCH(A75,[1]AB4!B:B,0)),"0.00%"))</f>
        <v>0.15%</v>
      </c>
      <c r="X97" s="91"/>
      <c r="Y97" s="147" t="str">
        <f>IF(C74="","",CONCATENATE([1]AB5!$T$28," ( ",G77," or ",[1]AB5!$AA$26," ",[1]AB5!$Z$28," ",TEXT(W98,"0.00%")," )"))</f>
        <v>Min ( FUT : PRV : 2DLL - 0.15% or  CDLL - 0.15% )</v>
      </c>
      <c r="Z97" s="148"/>
      <c r="AA97" s="63"/>
      <c r="AB97" s="68"/>
      <c r="AC97" s="68"/>
    </row>
    <row r="98" spans="1:29" ht="33" customHeight="1" x14ac:dyDescent="0.2">
      <c r="A98" s="18"/>
      <c r="B98" s="64"/>
      <c r="C98" s="59"/>
      <c r="D98" s="64"/>
      <c r="E98" s="59"/>
      <c r="F98" s="64"/>
      <c r="G98" s="12"/>
      <c r="H98" s="48"/>
      <c r="I98" s="95"/>
      <c r="J98" s="146"/>
      <c r="K98" s="110" t="str">
        <f>IF(C74="","",[1]AB5!$L$28)</f>
        <v>Recalcuate : Short Entry : Bull / Bull CF</v>
      </c>
      <c r="L98" s="88"/>
      <c r="M98" s="88"/>
      <c r="N98" s="85"/>
      <c r="O98" s="110" t="str">
        <f>IF(C74="","",[1]AB5!$P$28)</f>
        <v>Wait Till Recalculation Time</v>
      </c>
      <c r="P98" s="85"/>
      <c r="Q98" s="111">
        <f>IF(C74="","",C88)</f>
        <v>0.39582638888888888</v>
      </c>
      <c r="R98" s="85"/>
      <c r="S98" s="115" t="str">
        <f>IF(C74="","",CONCATENATE([1]AB5!$T$28," ( ",G77," or ",V98," ",[1]AB5!$Z$28," ",TEXT(W98,"0.00%")," )"))</f>
        <v>Min ( FUT : PRV : 2DLL - 0.15% or 09:29:59 AM LL - 0.15% )</v>
      </c>
      <c r="T98" s="88"/>
      <c r="U98" s="85"/>
      <c r="V98" s="116" t="str">
        <f>IF(C74="","",CONCATENATE(TEXT(Q98,"HH:MM:SS AM/PM"),[1]AB5!$U$28))</f>
        <v>09:29:59 AM LL</v>
      </c>
      <c r="W98" s="112" t="str">
        <f t="array" ref="W98">IF(C74="","",TEXT(INDEX([1]AB4!BK:BK,MATCH(A77,[1]AB4!B:B,0)),"0.00%"))</f>
        <v>0.15%</v>
      </c>
      <c r="X98" s="91"/>
      <c r="Y98" s="145"/>
      <c r="Z98" s="145"/>
      <c r="AA98" s="104"/>
      <c r="AB98" s="68"/>
      <c r="AC98" s="68"/>
    </row>
    <row r="99" spans="1:29" ht="33" customHeight="1" thickBot="1" x14ac:dyDescent="0.25">
      <c r="A99" s="18"/>
      <c r="B99" s="60"/>
      <c r="C99" s="66"/>
      <c r="D99" s="103"/>
      <c r="E99" s="104"/>
      <c r="F99" s="103"/>
      <c r="G99" s="145"/>
      <c r="H99" s="51"/>
      <c r="I99" s="105"/>
      <c r="J99" s="53"/>
      <c r="K99" s="110" t="str">
        <f>IF(C74="","",[1]AB5!$L$29)</f>
        <v>Recalcuate : Short Entry : Bear / Bear CF</v>
      </c>
      <c r="L99" s="88"/>
      <c r="M99" s="88"/>
      <c r="N99" s="85"/>
      <c r="O99" s="110" t="str">
        <f>IF(C74="","",[1]AB5!$P$29)</f>
        <v>Wait Till Recalculation Time</v>
      </c>
      <c r="P99" s="85"/>
      <c r="Q99" s="111">
        <f>IF(C74="","",C88)</f>
        <v>0.39582638888888888</v>
      </c>
      <c r="R99" s="85"/>
      <c r="S99" s="115" t="str">
        <f>IF(C74="","",CONCATENATE([1]AB5!$T$29," ( ",G83," or ",V99," ",[1]AB5!$Z$29," ",TEXT(W99,"0.00%")," )"))</f>
        <v>Min ( FUT : PRV : 1DLL - 0.00% or 09:29:59 AM LL - 0.15% )</v>
      </c>
      <c r="T99" s="88"/>
      <c r="U99" s="85"/>
      <c r="V99" s="116" t="str">
        <f>IF(C74="","",CONCATENATE(TEXT(Q99,"HH:MM:SS AM/PM"),[1]AB5!$U$29))</f>
        <v>09:29:59 AM LL</v>
      </c>
      <c r="W99" s="112" t="str">
        <f t="array" ref="W99">IF(C74="","",TEXT(INDEX([1]AB4!BK:BK,MATCH(A83,[1]AB4!B:B,0)),"0.00%"))</f>
        <v>0.15%</v>
      </c>
      <c r="X99" s="91"/>
      <c r="Y99" s="149" t="str">
        <f>IF(C74="","",[1]AB5!$AA$29)</f>
        <v xml:space="preserve">Short Entry : Bear/ Bear CF : </v>
      </c>
      <c r="Z99" s="88"/>
      <c r="AA99" s="91"/>
      <c r="AB99" s="68"/>
      <c r="AC99" s="68"/>
    </row>
    <row r="100" spans="1:29" ht="21.75" customHeight="1" x14ac:dyDescent="0.2">
      <c r="A100" s="18"/>
      <c r="B100" s="150" t="str">
        <f>IF(C74="","",IF([1]AB5!$B$12="","",[1]AB5!$B$30))</f>
        <v>By Asmita Patel.</v>
      </c>
      <c r="C100" s="71"/>
      <c r="D100" s="81" t="str">
        <f>IF(C74="","",[1]AB5!$D$30)</f>
        <v>For Short SL</v>
      </c>
      <c r="E100" s="63"/>
      <c r="F100" s="151" t="str">
        <f>IF(C74="","",CONCATENATE([1]AB5!$G$30,TEXT(B92,"HH:MM:SS AM/PM"),[1]AB5!$B$22,[1]AB5!$H$30))</f>
        <v>Check If 09:19:59 AM HH &gt; Short SL</v>
      </c>
      <c r="G100" s="83"/>
      <c r="H100" s="84" t="str">
        <f>IF(C74="","",[1]AB5!$I$30)</f>
        <v>No</v>
      </c>
      <c r="I100" s="85"/>
      <c r="J100" s="86" t="str">
        <f>IF(C74="","",[1]AB5!$K$30)</f>
        <v>FSL / TRP Not Missed</v>
      </c>
      <c r="K100" s="87" t="str">
        <f>IF(C74="","",[1]AB5!$L$30)</f>
        <v>Place the Order at ORPT</v>
      </c>
      <c r="L100" s="88"/>
      <c r="M100" s="88"/>
      <c r="N100" s="85"/>
      <c r="O100" s="87" t="str">
        <f>IF(C74="","",[1]AB5!$P$30)</f>
        <v>ORPT Time</v>
      </c>
      <c r="P100" s="85"/>
      <c r="Q100" s="89">
        <f>IF(C74="","",B92)</f>
        <v>0.38888194444444446</v>
      </c>
      <c r="R100" s="85"/>
      <c r="S100" s="87" t="str">
        <f>IF(C74="","",[1]AB5!$T$30)</f>
        <v>N.A.</v>
      </c>
      <c r="T100" s="88"/>
      <c r="U100" s="85"/>
      <c r="V100" s="86" t="str">
        <f>IF(C74="","",[1]AB5!$W$30)</f>
        <v>N.A.</v>
      </c>
      <c r="W100" s="90" t="str">
        <f>IF(C74="","",[1]AB5!$X$30)</f>
        <v>N.A.</v>
      </c>
      <c r="X100" s="91"/>
      <c r="Y100" s="147" t="str">
        <f>IF(C74="","",CONCATENATE([1]AB5!$T$29," ( ",G83," or ",[1]AB5!$AA$30," ",[1]AB5!$Z$29," ",TEXT(W99,"0.00%")," )"))</f>
        <v>Min ( FUT : PRV : 1DLL - 0.00% or  CDLL - 0.15% )</v>
      </c>
      <c r="Z100" s="148"/>
      <c r="AA100" s="63"/>
      <c r="AB100" s="68"/>
      <c r="AC100" s="68"/>
    </row>
    <row r="101" spans="1:29" ht="21.75" customHeight="1" x14ac:dyDescent="0.2">
      <c r="A101" s="152"/>
      <c r="B101" s="64"/>
      <c r="C101" s="59"/>
      <c r="D101" s="64"/>
      <c r="E101" s="59"/>
      <c r="F101" s="64"/>
      <c r="G101" s="95"/>
      <c r="H101" s="96" t="str">
        <f>IF(C74="","",[1]AB5!$I$31)</f>
        <v>Yes</v>
      </c>
      <c r="I101" s="83"/>
      <c r="J101" s="97" t="str">
        <f>IF(C74="","",[1]AB5!$K$31)</f>
        <v>FSL / TRP Missed</v>
      </c>
      <c r="K101" s="87" t="str">
        <f>IF(C74="","",[1]AB5!$L$31)</f>
        <v>Recalcuate : Short FSL / TRP : Bull / Bull CF</v>
      </c>
      <c r="L101" s="88"/>
      <c r="M101" s="88"/>
      <c r="N101" s="85"/>
      <c r="O101" s="87" t="str">
        <f>IF(C74="","",[1]AB5!$P$31)</f>
        <v>Wait Till Recalculation Time</v>
      </c>
      <c r="P101" s="85"/>
      <c r="Q101" s="89">
        <f>IF(C74="","",C92)</f>
        <v>0.39582638888888888</v>
      </c>
      <c r="R101" s="85"/>
      <c r="S101" s="87" t="str">
        <f>IF(C74="","",CONCATENATE(V101," ",[1]AB5!$Z$31," ",TEXT(W101,"0.00%")))</f>
        <v>09:29:59 AM HH + 0.15%</v>
      </c>
      <c r="T101" s="88"/>
      <c r="U101" s="85"/>
      <c r="V101" s="153" t="str">
        <f>IF(C74="","",CONCATENATE(TEXT(Q101,"HH:MM:SS AM/PM"),[1]AB5!$U$31))</f>
        <v>09:29:59 AM HH</v>
      </c>
      <c r="W101" s="90" t="str">
        <f t="array" ref="W101">IF(C74="","",TEXT(INDEX([1]AB4!BL:BL,MATCH(A83,[1]AB4!B:B,0)),"0.00%"))</f>
        <v>0.15%</v>
      </c>
      <c r="X101" s="91"/>
      <c r="Y101" s="12"/>
      <c r="Z101" s="12"/>
      <c r="AA101" s="59"/>
      <c r="AB101" s="68"/>
      <c r="AC101" s="68"/>
    </row>
    <row r="102" spans="1:29" ht="22.5" customHeight="1" x14ac:dyDescent="0.2">
      <c r="A102" s="152"/>
      <c r="B102" s="64"/>
      <c r="C102" s="59"/>
      <c r="D102" s="64"/>
      <c r="E102" s="59"/>
      <c r="F102" s="64"/>
      <c r="G102" s="95"/>
      <c r="H102" s="48"/>
      <c r="I102" s="95"/>
      <c r="J102" s="146"/>
      <c r="K102" s="87" t="str">
        <f>IF(C74="","",[1]AB5!$L$32)</f>
        <v>Recalcuate : Short FSL / TRP : Bear / Bear CF</v>
      </c>
      <c r="L102" s="88"/>
      <c r="M102" s="88"/>
      <c r="N102" s="85"/>
      <c r="O102" s="87" t="str">
        <f>IF(C74="","",[1]AB5!$P$32)</f>
        <v>Wait Till Recalculation Time</v>
      </c>
      <c r="P102" s="85"/>
      <c r="Q102" s="89">
        <f>IF(C74="","",C92)</f>
        <v>0.39582638888888888</v>
      </c>
      <c r="R102" s="85"/>
      <c r="S102" s="87" t="str">
        <f>IF(C75="","",CONCATENATE(V102," ",[1]AB5!$Z$31," ",TEXT(W102,"0.00%")))</f>
        <v>09:29:59 AM HH + 0.15%</v>
      </c>
      <c r="T102" s="88"/>
      <c r="U102" s="85"/>
      <c r="V102" s="153" t="str">
        <f>IF(C74="","",CONCATENATE(TEXT(Q101,"HH:MM:SS AM/PM"),[1]AB5!$U$32))</f>
        <v>09:29:59 AM HH</v>
      </c>
      <c r="W102" s="90" t="str">
        <f t="array" ref="W102">IF(C74="","",TEXT(INDEX([1]AB4!BL:BL,MATCH(A83,[1]AB4!B:B,0)),"0.00%"))</f>
        <v>0.15%</v>
      </c>
      <c r="X102" s="91"/>
      <c r="Y102" s="145"/>
      <c r="Z102" s="145"/>
      <c r="AA102" s="104"/>
      <c r="AB102" s="68"/>
      <c r="AC102" s="68"/>
    </row>
    <row r="103" spans="1:29" ht="33" customHeight="1" x14ac:dyDescent="0.2">
      <c r="A103" s="152"/>
      <c r="B103" s="64"/>
      <c r="C103" s="59"/>
      <c r="D103" s="64"/>
      <c r="E103" s="59"/>
      <c r="F103" s="64"/>
      <c r="G103" s="95"/>
      <c r="H103" s="48"/>
      <c r="I103" s="95"/>
      <c r="J103" s="146"/>
      <c r="K103" s="87" t="str">
        <f>IF(C74="","",[1]AB5!$L$33)</f>
        <v>Recalcuate : Long Entry : Bull / Bull CF</v>
      </c>
      <c r="L103" s="88"/>
      <c r="M103" s="88"/>
      <c r="N103" s="85"/>
      <c r="O103" s="87" t="str">
        <f>IF(C74="","",[1]AB5!$P$33)</f>
        <v>Wait Till Recalculation Time</v>
      </c>
      <c r="P103" s="85"/>
      <c r="Q103" s="89">
        <f>IF(C74="","",C88)</f>
        <v>0.39582638888888888</v>
      </c>
      <c r="R103" s="85"/>
      <c r="S103" s="98" t="str">
        <f>IF(C74="","",CONCATENATE([1]AB5!$T$33," ( ",G74," or ",V103," ",[1]AB5!$Z$33," ",TEXT(W103,"0.00%")," )"))</f>
        <v>Max ( FUT : PRV : 1DHH + 0.00% or 09:29:59 AM HH + 0.15% )</v>
      </c>
      <c r="T103" s="88"/>
      <c r="U103" s="85"/>
      <c r="V103" s="99" t="str">
        <f>IF(C74="","",CONCATENATE(TEXT(Q103,"HH:MM:SS AM/PM"),[1]AB5!$U$33))</f>
        <v>09:29:59 AM HH</v>
      </c>
      <c r="W103" s="90" t="str">
        <f t="array" ref="W103">IF(C74="","",TEXT(INDEX([1]AB4!BK:BK,MATCH(A74,[1]AB4!B:B,0)),"0.00%"))</f>
        <v>0.15%</v>
      </c>
      <c r="X103" s="91"/>
      <c r="Y103" s="117" t="str">
        <f>IF(C74="","",[1]AB5!$AA$33)</f>
        <v>When Your Short Position is Exited</v>
      </c>
      <c r="Z103" s="118"/>
      <c r="AA103" s="59"/>
      <c r="AB103" s="68"/>
      <c r="AC103" s="68"/>
    </row>
    <row r="104" spans="1:29" ht="33" customHeight="1" thickBot="1" x14ac:dyDescent="0.25">
      <c r="A104" s="152"/>
      <c r="B104" s="60"/>
      <c r="C104" s="66"/>
      <c r="D104" s="60"/>
      <c r="E104" s="66"/>
      <c r="F104" s="60"/>
      <c r="G104" s="121"/>
      <c r="H104" s="102"/>
      <c r="I104" s="121"/>
      <c r="J104" s="122"/>
      <c r="K104" s="154" t="str">
        <f>IF(C74="","",[1]AB5!$L$34)</f>
        <v>Recalcuate : Long Entry : Bear / Bear CF</v>
      </c>
      <c r="L104" s="124"/>
      <c r="M104" s="124"/>
      <c r="N104" s="38"/>
      <c r="O104" s="154" t="str">
        <f>IF(C74="","",[1]AB5!$P$34)</f>
        <v>Wait Till Recalculation Time</v>
      </c>
      <c r="P104" s="38"/>
      <c r="Q104" s="155">
        <f>IF(C74="","",C88)</f>
        <v>0.39582638888888888</v>
      </c>
      <c r="R104" s="38"/>
      <c r="S104" s="156" t="str">
        <f>IF(C74="","",CONCATENATE([1]AB5!$T$34," ( ",G80," or ",V104," ",[1]AB5!$Z$34," ",TEXT(W104,"0.00%")," )"))</f>
        <v>Max ( FUT : PRV : 2DHH + 0.15% or 09:29:59 AM HH + 0.15% )</v>
      </c>
      <c r="T104" s="124"/>
      <c r="U104" s="38"/>
      <c r="V104" s="157" t="str">
        <f>IF(C74="","",CONCATENATE(TEXT(Q104,"HH:MM:SS AM/PM"),[1]AB5!$U$34))</f>
        <v>09:29:59 AM HH</v>
      </c>
      <c r="W104" s="158" t="str">
        <f t="array" ref="W104">IF(C74="","",TEXT(INDEX([1]AB4!BK:BK,MATCH(A80,[1]AB4!B:B,0)),"0.00%"))</f>
        <v>0.15%</v>
      </c>
      <c r="X104" s="41"/>
      <c r="Y104" s="117" t="str">
        <f>IF(C74="","",[1]AB5!$AA$34)</f>
        <v>This is Only Applicable for Same Day</v>
      </c>
      <c r="Z104" s="118"/>
      <c r="AA104" s="59"/>
      <c r="AB104" s="68"/>
      <c r="AC104" s="68"/>
    </row>
    <row r="105" spans="1:29" ht="21.75" customHeight="1" thickBot="1" x14ac:dyDescent="0.25">
      <c r="A105" s="152"/>
      <c r="B105" s="69" t="str">
        <f>IF(C74="","",[1]AB5!$B$35)</f>
        <v>For Missed SL (Position = Open)</v>
      </c>
      <c r="C105" s="29"/>
      <c r="D105" s="70" t="str">
        <f>IF(C74="","",[1]AB5!$D$36)</f>
        <v>Note: ( Optional )</v>
      </c>
      <c r="E105" s="71"/>
      <c r="F105" s="159" t="str">
        <f>IF(C74="","",[1]AB5!$I$35)</f>
        <v>For Long SL</v>
      </c>
      <c r="G105" s="136"/>
      <c r="H105" s="136"/>
      <c r="I105" s="136"/>
      <c r="J105" s="136"/>
      <c r="K105" s="136"/>
      <c r="L105" s="136"/>
      <c r="M105" s="136"/>
      <c r="N105" s="136"/>
      <c r="O105" s="136"/>
      <c r="P105" s="133"/>
      <c r="Q105" s="159" t="str">
        <f>IF(N74="","",[1]AB5!$T$35)</f>
        <v>For Short SL</v>
      </c>
      <c r="R105" s="136"/>
      <c r="S105" s="136"/>
      <c r="T105" s="136"/>
      <c r="U105" s="136"/>
      <c r="V105" s="136"/>
      <c r="W105" s="136"/>
      <c r="X105" s="136"/>
      <c r="Y105" s="136"/>
      <c r="Z105" s="136"/>
      <c r="AA105" s="133"/>
      <c r="AB105" s="68"/>
      <c r="AC105" s="68"/>
    </row>
    <row r="106" spans="1:29" ht="36" customHeight="1" x14ac:dyDescent="0.2">
      <c r="A106" s="152"/>
      <c r="B106" s="160" t="str">
        <f>IF(C74="","",[1]AB5!$B$36)</f>
        <v>Check time</v>
      </c>
      <c r="C106" s="91"/>
      <c r="D106" s="64"/>
      <c r="E106" s="59"/>
      <c r="F106" s="161" t="str">
        <f>IF(C74="","",CONCATENATE([1]AB5!$G$36,TEXT(B107,"HH:MM:SS AM/PM"),[1]AB5!$B$37,[1]AB5!$H$36))</f>
        <v>Check If Close at 03:00:00 PM  &lt; Long Original SL</v>
      </c>
      <c r="G106" s="85"/>
      <c r="H106" s="162" t="str">
        <f>IF(C74="","",[1]AB5!$I$36)</f>
        <v>Yes</v>
      </c>
      <c r="I106" s="105"/>
      <c r="J106" s="163" t="str">
        <f>IF(C74="","",CONCATENATE([1]AB5!$K$36,TEXT(B107,"HH:MM:SS AM/PM")))</f>
        <v xml:space="preserve"> Then Square Off The Position At CMP at 03:00:00 PM</v>
      </c>
      <c r="K106" s="145"/>
      <c r="L106" s="145"/>
      <c r="M106" s="145"/>
      <c r="N106" s="145"/>
      <c r="O106" s="145"/>
      <c r="P106" s="104"/>
      <c r="Q106" s="164" t="str">
        <f>IF(C74="","",CONCATENATE([1]AB5!$T$36,TEXT(B107,"HH:MM:SS AM/PM"),[1]AB5!$B$37,[1]AB5!$U$36))</f>
        <v>Check If Close at 03:00:00 PM  &gt; Short Original SL</v>
      </c>
      <c r="R106" s="145"/>
      <c r="S106" s="105"/>
      <c r="T106" s="165" t="str">
        <f>IF(C74="","",[1]AB5!$I$36)</f>
        <v>Yes</v>
      </c>
      <c r="U106" s="166" t="str">
        <f>IF(C74="","",CONCATENATE([1]AB5!$W$36,TEXT(B107,"HH:MM:SS AM/PM")))</f>
        <v xml:space="preserve"> Then Square Off The Position At CMP at 03:00:00 PM</v>
      </c>
      <c r="V106" s="145"/>
      <c r="W106" s="145"/>
      <c r="X106" s="145"/>
      <c r="Y106" s="145"/>
      <c r="Z106" s="145"/>
      <c r="AA106" s="104"/>
      <c r="AB106" s="68"/>
      <c r="AC106" s="167"/>
    </row>
    <row r="107" spans="1:29" ht="36" customHeight="1" thickBot="1" x14ac:dyDescent="0.25">
      <c r="A107" s="152"/>
      <c r="B107" s="168">
        <f t="array" ref="B107">IF(C74="","",INDEX([1]AB4!CU:CU,MATCH(A95,[1]AB4!B:B,0)))</f>
        <v>0.625</v>
      </c>
      <c r="C107" s="41"/>
      <c r="D107" s="60"/>
      <c r="E107" s="66"/>
      <c r="F107" s="169" t="str">
        <f>IF(C74="","",CONCATENATE([1]AB5!$G$37,TEXT(B107,"HH:MM:SS AM/PM"),[1]AB5!$B$37,[1]AB5!$H$37))</f>
        <v>Check If Close at 03:00:00 PM  &gt; Long Original SL</v>
      </c>
      <c r="G107" s="38"/>
      <c r="H107" s="170" t="str">
        <f>IF(C74="","",[1]AB5!$I$37)</f>
        <v>Yes</v>
      </c>
      <c r="I107" s="38"/>
      <c r="J107" s="156" t="str">
        <f>IF(C74="","",CONCATENATE([1]AB5!$K$37))</f>
        <v xml:space="preserve"> Then Continue the Position for Next Day And Calculate Stop Loss Price as per the Rules</v>
      </c>
      <c r="K107" s="124"/>
      <c r="L107" s="124"/>
      <c r="M107" s="124"/>
      <c r="N107" s="124"/>
      <c r="O107" s="124"/>
      <c r="P107" s="41"/>
      <c r="Q107" s="169" t="str">
        <f>IF(C74="","",CONCATENATE([1]AB5!$T$37,TEXT(B107,"HH:MM:SS AM/PM"),[1]AB5!$B$37,[1]AB5!$U$37))</f>
        <v>Check If Close at 03:00:00 PM  &lt; Short Original SL</v>
      </c>
      <c r="R107" s="124"/>
      <c r="S107" s="38"/>
      <c r="T107" s="171" t="str">
        <f>IF(C75="","",[1]AB5!$I$36)</f>
        <v>Yes</v>
      </c>
      <c r="U107" s="156" t="str">
        <f>IF(C74="","",CONCATENATE([1]AB5!$W$37))</f>
        <v xml:space="preserve"> Then Continue the Position for Next Day And Calculate Stop Loss Price as per the Rules</v>
      </c>
      <c r="V107" s="124"/>
      <c r="W107" s="124"/>
      <c r="X107" s="124"/>
      <c r="Y107" s="124"/>
      <c r="Z107" s="124"/>
      <c r="AA107" s="41"/>
      <c r="AB107" s="68"/>
      <c r="AC107" s="167"/>
    </row>
    <row r="108" spans="1:29" ht="15.75" customHeight="1" thickBot="1" x14ac:dyDescent="0.25">
      <c r="A108" s="177"/>
    </row>
    <row r="109" spans="1:29" ht="30.75" customHeight="1" x14ac:dyDescent="0.2">
      <c r="A109" s="18" t="str">
        <f>IF(C109="","",CONCATENATE(C110,[1]AB5!$A$4))</f>
        <v>S4A</v>
      </c>
      <c r="B109" s="20" t="str">
        <f>IF(C109="","",IF([1]AB5!$B$4="","",[1]AB5!$B$4))</f>
        <v>Sr. No.</v>
      </c>
      <c r="C109" s="172">
        <v>4</v>
      </c>
      <c r="D109" s="173" t="str">
        <f>IF(C109="","",[1]AB5!$D$4)</f>
        <v>BULL / BULL CF</v>
      </c>
      <c r="E109" s="57" t="str">
        <f>IF(C109="","",[1]AB5!$F$4)</f>
        <v>BUY</v>
      </c>
      <c r="F109" s="58" t="str">
        <f>IF(C109="","",[1]AB5!$G$4)</f>
        <v>E &amp; T</v>
      </c>
      <c r="G109" s="25" t="str">
        <f t="array" ref="G109">IF(C109="","",CONCATENATE(INDEX([1]AB4!G:G,MATCH(A109,[1]AB4!B:B,0)),INDEX([1]AB4!H:H,MATCH(A109,[1]AB4!B:B,0)),TEXT(INDEX([1]AB4!I:I,MATCH(A109,[1]AB4!B:B,0)),"0.00%")))</f>
        <v>FUT : PRV : 2DHH + 0.15%</v>
      </c>
      <c r="H109" s="26">
        <f t="array" ref="H109">IF(C109="","",INDEX([1]AB4!J:J,MATCH(A109,[1]AB4!B:B,0)))</f>
        <v>5</v>
      </c>
      <c r="I109" s="27"/>
      <c r="J109" s="28" t="str">
        <f t="array" ref="J109">IF(C109="","",CONCATENATE(INDEX([1]AB4!L:L,MATCH(A109,[1]AB4!B:B,0)),INDEX([1]AB4!M:M,MATCH(A109,[1]AB4!B:B,0)),TEXT(INDEX([1]AB4!N:N,MATCH(A109,[1]AB4!B:B,0)),"0.00%")))</f>
        <v>L : Entry  + 1.50%</v>
      </c>
      <c r="K109" s="26">
        <f t="array" ref="K109">IF(C109="","",INDEX([1]AB4!O:O,MATCH(A109,[1]AB4!B:B,0)))</f>
        <v>1</v>
      </c>
      <c r="L109" s="27"/>
      <c r="M109" s="28" t="str">
        <f t="array" ref="M109">IF(C109="","",CONCATENATE(INDEX([1]AB4!L:L,MATCH(A109,[1]AB4!B:B,0)),INDEX([1]AB4!M:M,MATCH(A109,[1]AB4!B:B,0)),TEXT(INDEX([1]AB4!P:P,MATCH(A109,[1]AB4!B:B,0)),"0.00%")))</f>
        <v>L : Entry  + 2.00%</v>
      </c>
      <c r="N109" s="26">
        <f t="array" ref="N109">IF(C109="","",INDEX([1]AB4!Q:Q,MATCH(A109,[1]AB4!B:B,0)))</f>
        <v>1</v>
      </c>
      <c r="O109" s="27"/>
      <c r="P109" s="28" t="str">
        <f t="array" ref="P109">IF(C109="","",CONCATENATE(INDEX([1]AB4!L:L,MATCH(A109,[1]AB4!B:B,0)),INDEX([1]AB4!M:M,MATCH(A109,[1]AB4!B:B,0)),TEXT(INDEX([1]AB4!R:R,MATCH(A109,[1]AB4!B:B,0)),"0.00%")))</f>
        <v>L : Entry  + 2.50%</v>
      </c>
      <c r="Q109" s="26">
        <f t="array" ref="Q109">IF(C109="","",INDEX([1]AB4!S:S,MATCH(A109,[1]AB4!B:B,0)))</f>
        <v>1</v>
      </c>
      <c r="R109" s="27"/>
      <c r="S109" s="28" t="str">
        <f t="array" ref="S109">IF(C109="","",CONCATENATE(INDEX([1]AB4!L:L,MATCH(A109,[1]AB4!B:B,0)),INDEX([1]AB4!M:M,MATCH(A109,[1]AB4!B:B,0)),TEXT(INDEX([1]AB4!T:T,MATCH(A109,[1]AB4!B:B,0)),"0.00%")))</f>
        <v>L : Entry  + 3.00%</v>
      </c>
      <c r="T109" s="26">
        <f t="array" ref="T109">IF(C109="","",INDEX([1]AB4!U:U,MATCH(A109,[1]AB4!B:B,0)))</f>
        <v>1</v>
      </c>
      <c r="U109" s="27"/>
      <c r="V109" s="28" t="str">
        <f t="array" ref="V109">IF(C109="","",INDEX([1]AB4!V:V,MATCH(A109,[1]AB4!B:B,0)))</f>
        <v>TR PROFIT AFTER TGT 4</v>
      </c>
      <c r="W109" s="26">
        <f t="array" ref="W109">IF(C109="","",INDEX([1]AB4!W:W,MATCH(A109,[1]AB4!B:B,0)))</f>
        <v>1</v>
      </c>
      <c r="X109" s="27"/>
      <c r="Y109" s="28" t="str">
        <f t="array" ref="Y109">IF(C109="","",INDEX([1]AB4!X:X,MATCH(A109,[1]AB4!B:B,0)))</f>
        <v>N.A.</v>
      </c>
      <c r="Z109" s="26" t="str">
        <f t="array" ref="Z109">IF(C109="","",INDEX([1]AB4!Y:Y,MATCH(A109,[1]AB4!B:B,0)))</f>
        <v>N.A.</v>
      </c>
      <c r="AA109" s="29"/>
      <c r="AB109" s="30"/>
      <c r="AC109" s="30"/>
    </row>
    <row r="110" spans="1:29" ht="44.25" customHeight="1" thickBot="1" x14ac:dyDescent="0.25">
      <c r="A110" s="18" t="str">
        <f>IF(C109="","",CONCATENATE(C110,[1]AB5!$A$5))</f>
        <v>S4A</v>
      </c>
      <c r="B110" s="31" t="str">
        <f>IF(C109="","",IF([1]AB5!$B$5="","",[1]AB5!$B$5))</f>
        <v>Strategy Code</v>
      </c>
      <c r="C110" s="54" t="str">
        <f t="array" ref="C110">IF(C109="","",INDEX([1]AB2!B:B,MATCH(C109,[1]AB2!A:A,0)))</f>
        <v>S4</v>
      </c>
      <c r="D110" s="59"/>
      <c r="E110" s="60"/>
      <c r="F110" s="61" t="str">
        <f>IF(C109="","",[1]AB5!$G$5)</f>
        <v>SL / TRP</v>
      </c>
      <c r="G110" s="36" t="str">
        <f t="array" ref="G110">IF(C109="","",CONCATENATE(INDEX([1]AB4!AA:AA,MATCH(A110,[1]AB4!B:B,0))," ( ",INDEX([1]AB4!AE:AE,MATCH(A110,[1]AB4!B:B,0)),INDEX([1]AB4!AF:AF,MATCH(A110,[1]AB4!B:B,0)),TEXT(INDEX([1]AB4!AG:AG,MATCH(A110,[1]AB4!B:B,0)),"0.00%")," or ",INDEX([1]AB4!AK:AK,MATCH(A110,[1]AB4!B:B,0)),INDEX([1]AB4!AJ:AJ,MATCH(A110,[1]AB4!B:B,0)),TEXT(INDEX([1]AB4!AL:AL,MATCH(A110,[1]AB4!B:B,0)),"0.00%")," )"))</f>
        <v>Max ( L : Entry - 1.50% or FUT : PRV : 2DLL - 0.15% )</v>
      </c>
      <c r="H110" s="37">
        <f t="array" ref="H110">IF(C110="","",INDEX([1]AB4!AM:AM,MATCH(A110,[1]AB4!B:B,0)))</f>
        <v>5</v>
      </c>
      <c r="I110" s="38"/>
      <c r="J110" s="36" t="str">
        <f t="array" ref="J110">IF(C109="","",CONCATENATE(INDEX([1]AB4!AA:AA,MATCH(A110,[1]AB4!B:B,0))," ( ",INDEX([1]AB4!AE:AE,MATCH(A110,[1]AB4!B:B,0))," or ",INDEX([1]AB4!AN:AN,MATCH(A110,[1]AB4!B:B,0)),INDEX([1]AB4!AJ:AJ,MATCH(A110,[1]AB4!B:B,0)),TEXT(INDEX([1]AB4!AO:AO,MATCH(A110,[1]AB4!B:B,0)),"0.00%")," )"))</f>
        <v>Max ( L : Entry or FUT : PRV : 2DLL - 0.15% )</v>
      </c>
      <c r="K110" s="37">
        <f t="array" ref="K110">IF(C109="","",INDEX([1]AB4!AP:AP,MATCH(A110,[1]AB4!B:B,0)))</f>
        <v>4</v>
      </c>
      <c r="L110" s="38"/>
      <c r="M110" s="36" t="str">
        <f t="array" ref="M110">IF(C109="","",CONCATENATE(INDEX([1]AB4!AA:AA,MATCH(A110,[1]AB4!B:B,0))," ( ",INDEX([1]AB4!AE:AE,MATCH(A110,[1]AB4!B:B,0))," or ",INDEX([1]AB4!AQ:AQ,MATCH(A110,[1]AB4!B:B,0)),INDEX([1]AB4!AJ:AJ,MATCH(A110,[1]AB4!B:B,0)),TEXT(INDEX([1]AB4!AR:AR,MATCH(A110,[1]AB4!B:B,0)),"0.00%")," )"))</f>
        <v>Max ( L : Entry or FUT : PRV : 2DLL - 0.15% )</v>
      </c>
      <c r="N110" s="37">
        <f t="array" ref="N110">IF(C110="","",INDEX([1]AB4!AS:AS,MATCH(A110,[1]AB4!B:B,0)))</f>
        <v>3</v>
      </c>
      <c r="O110" s="38"/>
      <c r="P110" s="36" t="str">
        <f t="array" ref="P110">IF(C109="","",CONCATENATE(INDEX([1]AB4!AA:AA,MATCH(A110,[1]AB4!B:B,0))," ( ",INDEX([1]AB4!AE:AE,MATCH(A110,[1]AB4!B:B,0))," or ",INDEX([1]AB4!AT:AT,MATCH(A110,[1]AB4!B:B,0)),INDEX([1]AB4!AJ:AJ,MATCH(A110,[1]AB4!B:B,0)),TEXT(INDEX([1]AB4!AU:AU,MATCH(A110,[1]AB4!B:B,0)),"0.00%")," )"))</f>
        <v>Max ( L : Entry or FUT : PRV : 2DLL - 0.15% )</v>
      </c>
      <c r="Q110" s="37">
        <f t="array" ref="Q110">IF(C110="","",INDEX([1]AB4!AV:AV,MATCH(A110,[1]AB4!B:B,0)))</f>
        <v>2</v>
      </c>
      <c r="R110" s="38"/>
      <c r="S110" s="36" t="str">
        <f t="array" ref="S110">IF(C109="","",CONCATENATE(INDEX([1]AB4!AA:AA,MATCH(A110,[1]AB4!B:B,0))," ( ",INDEX([1]AB4!AE:AE,MATCH(A110,[1]AB4!B:B,0))," or ",INDEX([1]AB4!AW:AW,MATCH(A110,[1]AB4!B:B,0)),INDEX([1]AB4!AJ:AJ,MATCH(A110,[1]AB4!B:B,0)),TEXT(INDEX([1]AB4!AX:AX,MATCH(A110,[1]AB4!B:B,0)),"0.00%")," )"))</f>
        <v>Max ( L : Entry or FUT : PRV : 2DLL - 0.15% )</v>
      </c>
      <c r="T110" s="37">
        <f t="array" ref="T110">IF(C109="","",INDEX([1]AB4!AY:AY,MATCH(A110,[1]AB4!B:B,0)))</f>
        <v>1</v>
      </c>
      <c r="U110" s="38"/>
      <c r="V110" s="36" t="str">
        <f t="array" ref="V110">IF(C109="","",CONCATENATE(INDEX([1]AB4!AA:AA,MATCH(A110,[1]AB4!B:B,0))," ( ",INDEX([1]AB4!AE:AE,MATCH(A110,[1]AB4!B:B,0))," or ",INDEX([1]AB4!AW:AW,MATCH(A110,[1]AB4!B:B,0)),INDEX([1]AB4!AJ:AJ,MATCH(A110,[1]AB4!B:B,0)),TEXT(INDEX([1]AB4!AX:AX,MATCH(A110,[1]AB4!B:B,0)),"0.00%")," )"))</f>
        <v>Max ( L : Entry or FUT : PRV : 2DLL - 0.15% )</v>
      </c>
      <c r="W110" s="37">
        <f t="array" ref="W110">IF(C109="","",INDEX([1]AB4!AY:AY,MATCH(A110,[1]AB4!B:B,0)))</f>
        <v>1</v>
      </c>
      <c r="X110" s="38"/>
      <c r="Y110" s="40">
        <f t="array" ref="Y110">IF(C109="","",INDEX([1]AB4!AZ:AZ,MATCH(A110,[1]AB4!B:B,0)))</f>
        <v>0</v>
      </c>
      <c r="Z110" s="37">
        <f t="array" ref="Z110">IF(C109="","",INDEX([1]AB4!BB:BB,MATCH(A110,[1]AB4!B:B,0)))</f>
        <v>0</v>
      </c>
      <c r="AA110" s="41"/>
      <c r="AB110" s="30"/>
      <c r="AC110" s="30"/>
    </row>
    <row r="111" spans="1:29" ht="6" customHeight="1" thickBot="1" x14ac:dyDescent="0.25">
      <c r="A111" s="18" t="str">
        <f>IF(C109="","",CONCATENATE(C110,[1]AB5!A114))</f>
        <v>S4S1B</v>
      </c>
      <c r="B111" s="42" t="str">
        <f>IF(C109="","",IF([1]AB5!$B$6="","",[1]AB5!$B$6))</f>
        <v>Unique Code</v>
      </c>
      <c r="C111" s="174" t="str">
        <f t="array" ref="C111">IF(C109="","",INDEX([1]AB2!N:N,MATCH(C109,[1]AB2!A:A,0)))</f>
        <v>BANKNIFTY_FUT_MT_SAME_2D_2D</v>
      </c>
      <c r="D111" s="59"/>
      <c r="E111" s="44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6"/>
      <c r="AB111" s="30"/>
      <c r="AC111" s="30"/>
    </row>
    <row r="112" spans="1:29" ht="30.75" customHeight="1" x14ac:dyDescent="0.2">
      <c r="A112" s="18" t="str">
        <f>IF(C109="","",CONCATENATE(C110,[1]AB5!$A$7))</f>
        <v>S4B</v>
      </c>
      <c r="B112" s="47"/>
      <c r="C112" s="175"/>
      <c r="D112" s="59"/>
      <c r="E112" s="65" t="str">
        <f>IF(C109="","",[1]AB5!$F$7)</f>
        <v>SELL</v>
      </c>
      <c r="F112" s="58" t="str">
        <f>IF(C109="","",[1]AB5!$G$7)</f>
        <v>E &amp; T</v>
      </c>
      <c r="G112" s="25" t="str">
        <f t="array" ref="G112">IF(C109="","",CONCATENATE(INDEX([1]AB4!G:G,MATCH(A112,[1]AB4!B:B,0)),INDEX([1]AB4!H:H,MATCH(A112,[1]AB4!B:B,0)),TEXT(INDEX([1]AB4!I:I,MATCH(A112,[1]AB4!B:B,0)),"0.00%")))</f>
        <v>FUT : PRV : 2DLL - 0.15%</v>
      </c>
      <c r="H112" s="26">
        <f t="array" ref="H112">IF(C109="","",INDEX([1]AB4!J:J,MATCH(A112,[1]AB4!B:B,0)))</f>
        <v>5</v>
      </c>
      <c r="I112" s="27"/>
      <c r="J112" s="28" t="str">
        <f t="array" ref="J112">IF(C109="","",CONCATENATE(INDEX([1]AB4!L:L,MATCH(A112,[1]AB4!B:B,0)),INDEX([1]AB4!M:M,MATCH(A112,[1]AB4!B:B,0)),TEXT(INDEX([1]AB4!N:N,MATCH(A112,[1]AB4!B:B,0)),"0.00%")))</f>
        <v>S : Entry  - 1.50%</v>
      </c>
      <c r="K112" s="26">
        <f t="array" ref="K112">IF(C109="","",INDEX([1]AB4!O:O,MATCH(A112,[1]AB4!B:B,0)))</f>
        <v>1</v>
      </c>
      <c r="L112" s="27"/>
      <c r="M112" s="28" t="str">
        <f t="array" ref="M112">IF(C109="","",CONCATENATE(INDEX([1]AB4!L:L,MATCH(A112,[1]AB4!B:B,0)),INDEX([1]AB4!M:M,MATCH(A112,[1]AB4!B:B,0)),TEXT(INDEX([1]AB4!P:P,MATCH(A112,[1]AB4!B:B,0)),"0.00%")))</f>
        <v>S : Entry  - 2.00%</v>
      </c>
      <c r="N112" s="26">
        <f t="array" ref="N112">IF(C109="","",INDEX([1]AB4!Q:Q,MATCH(A112,[1]AB4!B:B,0)))</f>
        <v>1</v>
      </c>
      <c r="O112" s="27"/>
      <c r="P112" s="28" t="str">
        <f t="array" ref="P112">IF(C109="","",CONCATENATE(INDEX([1]AB4!L:L,MATCH(A112,[1]AB4!B:B,0)),INDEX([1]AB4!M:M,MATCH(A112,[1]AB4!B:B,0)),TEXT(INDEX([1]AB4!R:R,MATCH(A112,[1]AB4!B:B,0)),"0.00%")))</f>
        <v>S : Entry  - 2.50%</v>
      </c>
      <c r="Q112" s="26">
        <f t="array" ref="Q112">IF(C109="","",INDEX([1]AB4!S:S,MATCH(A112,[1]AB4!B:B,0)))</f>
        <v>1</v>
      </c>
      <c r="R112" s="27"/>
      <c r="S112" s="28" t="str">
        <f t="array" ref="S112">IF(C109="","",CONCATENATE(INDEX([1]AB4!L:L,MATCH(A112,[1]AB4!B:B,0)),INDEX([1]AB4!M:M,MATCH(A112,[1]AB4!B:B,0)),TEXT(INDEX([1]AB4!T:T,MATCH(A112,[1]AB4!B:B,0)),"0.00%")))</f>
        <v>S : Entry  - 3.00%</v>
      </c>
      <c r="T112" s="26">
        <f t="array" ref="T112">IF(C109="","",INDEX([1]AB4!U:U,MATCH(A112,[1]AB4!B:B,0)))</f>
        <v>1</v>
      </c>
      <c r="U112" s="27"/>
      <c r="V112" s="28" t="str">
        <f t="array" ref="V112">IF(C109="","",INDEX([1]AB4!V:V,MATCH(A112,[1]AB4!B:B,0)))</f>
        <v>TR PROFIT AFTER TGT 4</v>
      </c>
      <c r="W112" s="26">
        <f t="array" ref="W112">IF(C109="","",INDEX([1]AB4!W:W,MATCH(A112,[1]AB4!B:B,0)))</f>
        <v>1</v>
      </c>
      <c r="X112" s="27"/>
      <c r="Y112" s="28" t="str">
        <f t="array" ref="Y112">IF(C109="","",INDEX([1]AB4!X:X,MATCH(A112,[1]AB4!B:B,0)))</f>
        <v>N.A.</v>
      </c>
      <c r="Z112" s="26" t="str">
        <f t="array" ref="Z112">IF(C109="","",INDEX([1]AB4!Y:Y,MATCH(A112,[1]AB4!B:B,0)))</f>
        <v>N.A.</v>
      </c>
      <c r="AA112" s="29"/>
      <c r="AB112" s="30"/>
      <c r="AC112" s="30"/>
    </row>
    <row r="113" spans="1:29" ht="44.25" customHeight="1" thickBot="1" x14ac:dyDescent="0.25">
      <c r="A113" s="18" t="str">
        <f>IF(C109="","",CONCATENATE(C110,[1]AB5!$A$8))</f>
        <v>S4B</v>
      </c>
      <c r="B113" s="50"/>
      <c r="C113" s="176"/>
      <c r="D113" s="66"/>
      <c r="E113" s="60"/>
      <c r="F113" s="61" t="str">
        <f>IF(C109="","",[1]AB5!$G$8)</f>
        <v>SL / TRP</v>
      </c>
      <c r="G113" s="36" t="str">
        <f t="array" ref="G113">IF(C109="","",CONCATENATE(INDEX([1]AB4!AA:AA,MATCH(A113,[1]AB4!B:B,0))," ( ",INDEX([1]AB4!AE:AE,MATCH(A113,[1]AB4!B:B,0)),INDEX([1]AB4!AF:AF,MATCH(A113,[1]AB4!B:B,0)),TEXT(INDEX([1]AB4!AG:AG,MATCH(A113,[1]AB4!B:B,0)),"0.00%")," or ",INDEX([1]AB4!AK:AK,MATCH(A113,[1]AB4!B:B,0)),INDEX([1]AB4!AJ:AJ,MATCH(A113,[1]AB4!B:B,0)),TEXT(INDEX([1]AB4!AL:AL,MATCH(A113,[1]AB4!B:B,0)),"0.00%")," )"))</f>
        <v>Min ( S : Entry + 1.50% or FUT : PRV : 2DHH + 0.15% )</v>
      </c>
      <c r="H113" s="37">
        <f t="array" ref="H113">IF(C109="","",INDEX([1]AB4!AM:AM,MATCH(A113,[1]AB4!B:B,0)))</f>
        <v>5</v>
      </c>
      <c r="I113" s="38"/>
      <c r="J113" s="36" t="str">
        <f t="array" ref="J113">IF(C109="","",CONCATENATE(INDEX([1]AB4!AA:AA,MATCH(A113,[1]AB4!B:B,0))," ( ",INDEX([1]AB4!AE:AE,MATCH(A113,[1]AB4!B:B,0))," or ",INDEX([1]AB4!AN:AN,MATCH(A113,[1]AB4!B:B,0)),INDEX([1]AB4!AJ:AJ,MATCH(A113,[1]AB4!B:B,0)),TEXT(INDEX([1]AB4!AO:AO,MATCH(A113,[1]AB4!B:B,0)),"0.00%")," )"))</f>
        <v>Min ( S : Entry or FUT : PRV : 2DHH + 0.15% )</v>
      </c>
      <c r="K113" s="37">
        <f t="array" ref="K113">IF(C109="","",INDEX([1]AB4!AP:AP,MATCH(A113,[1]AB4!B:B,0)))</f>
        <v>4</v>
      </c>
      <c r="L113" s="38"/>
      <c r="M113" s="36" t="str">
        <f t="array" ref="M113">IF(C109="","",CONCATENATE(INDEX([1]AB4!AA:AA,MATCH(A113,[1]AB4!B:B,0))," ( ",INDEX([1]AB4!AE:AE,MATCH(A113,[1]AB4!B:B,0))," or ",INDEX([1]AB4!AQ:AQ,MATCH(A113,[1]AB4!B:B,0)),INDEX([1]AB4!AJ:AJ,MATCH(A113,[1]AB4!B:B,0)),TEXT(INDEX([1]AB4!AR:AR,MATCH(A113,[1]AB4!B:B,0)),"0.00%")," )"))</f>
        <v>Min ( S : Entry or FUT : PRV : 2DHH + 0.15% )</v>
      </c>
      <c r="N113" s="37">
        <f t="array" ref="N113">IF(C109="","",INDEX([1]AB4!AS:AS,MATCH(A113,[1]AB4!B:B,0)))</f>
        <v>3</v>
      </c>
      <c r="O113" s="38"/>
      <c r="P113" s="36" t="str">
        <f t="array" ref="P113">IF(C109="","",CONCATENATE(INDEX([1]AB4!AA:AA,MATCH(A113,[1]AB4!B:B,0))," ( ",INDEX([1]AB4!AE:AE,MATCH(A113,[1]AB4!B:B,0))," or ",INDEX([1]AB4!AT:AT,MATCH(A113,[1]AB4!B:B,0)),INDEX([1]AB4!AJ:AJ,MATCH(A113,[1]AB4!B:B,0)),TEXT(INDEX([1]AB4!AU:AU,MATCH(A113,[1]AB4!B:B,0)),"0.00%")," )"))</f>
        <v>Min ( S : Entry or FUT : PRV : 2DHH + 0.15% )</v>
      </c>
      <c r="Q113" s="37">
        <f t="array" ref="Q113">IF(C109="","",INDEX([1]AB4!AV:AV,MATCH(A113,[1]AB4!B:B,0)))</f>
        <v>2</v>
      </c>
      <c r="R113" s="38"/>
      <c r="S113" s="36" t="str">
        <f t="array" ref="S113">IF(C109="","",CONCATENATE(INDEX([1]AB4!AA:AA,MATCH(A113,[1]AB4!B:B,0))," ( ",INDEX([1]AB4!AE:AE,MATCH(A113,[1]AB4!B:B,0))," or ",INDEX([1]AB4!AW:AW,MATCH(A113,[1]AB4!B:B,0)),INDEX([1]AB4!AJ:AJ,MATCH(A113,[1]AB4!B:B,0)),TEXT(INDEX([1]AB4!AX:AX,MATCH(A113,[1]AB4!B:B,0)),"0.00%")," )"))</f>
        <v>Min ( S : Entry or FUT : PRV : 2DHH + 0.15% )</v>
      </c>
      <c r="T113" s="37">
        <f t="array" ref="T113">IF(C109="","",INDEX([1]AB4!AY:AY,MATCH(A113,[1]AB4!B:B,0)))</f>
        <v>1</v>
      </c>
      <c r="U113" s="38"/>
      <c r="V113" s="36" t="str">
        <f t="array" ref="V113">IF(C109="","",CONCATENATE(INDEX([1]AB4!AA:AA,MATCH(A113,[1]AB4!B:B,0))," ( ",INDEX([1]AB4!AE:AE,MATCH(A113,[1]AB4!B:B,0))," or ",INDEX([1]AB4!AW:AW,MATCH(A113,[1]AB4!B:B,0)),INDEX([1]AB4!AJ:AJ,MATCH(A113,[1]AB4!B:B,0)),TEXT(INDEX([1]AB4!AX:AX,MATCH(A113,[1]AB4!B:B,0)),"0.00%")," )"))</f>
        <v>Min ( S : Entry or FUT : PRV : 2DHH + 0.15% )</v>
      </c>
      <c r="W113" s="37">
        <f t="array" ref="W113">IF(C109="","",INDEX([1]AB4!AY:AY,MATCH(A113,[1]AB4!B:B,0)))</f>
        <v>1</v>
      </c>
      <c r="X113" s="38"/>
      <c r="Y113" s="40">
        <f t="array" ref="Y113">IF(C109="","",INDEX([1]AB4!AZ:AZ,MATCH(A113,[1]AB4!B:B,0)))</f>
        <v>0</v>
      </c>
      <c r="Z113" s="37">
        <f t="array" ref="Z113">IF(C109="","",INDEX([1]AB4!BB:BB,MATCH(A113,[1]AB4!B:B,0)))</f>
        <v>0</v>
      </c>
      <c r="AA113" s="41"/>
      <c r="AB113" s="30"/>
      <c r="AC113" s="30"/>
    </row>
    <row r="114" spans="1:29" ht="19.5" customHeight="1" thickBot="1" x14ac:dyDescent="0.25">
      <c r="A114" s="18" t="str">
        <f>IF(C109="","",CONCATENATE(C110,[1]AB5!$A$9))</f>
        <v>S4C</v>
      </c>
      <c r="B114" s="31" t="str">
        <f>IF(C109="","",IF([1]AB5!$B$9="","",[1]AB5!$B$9))</f>
        <v>Segment</v>
      </c>
      <c r="C114" s="54" t="str">
        <f t="array" ref="C114">IF(C109="","",INDEX([1]AB2!C:C,MATCH(C109,[1]AB2!A:A,0)))</f>
        <v>FUTURES</v>
      </c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30"/>
      <c r="AC114" s="30"/>
    </row>
    <row r="115" spans="1:29" ht="30.75" customHeight="1" x14ac:dyDescent="0.2">
      <c r="A115" s="18" t="str">
        <f>IF(C109="","",CONCATENATE(C110,[1]AB5!$A$10))</f>
        <v>S4D</v>
      </c>
      <c r="B115" s="31" t="str">
        <f>IF(C109="","",IF([1]AB5!$B$10="","",[1]AB5!$B$10))</f>
        <v>Symbol</v>
      </c>
      <c r="C115" s="54" t="str">
        <f t="array" ref="C115">IF(C109="","",INDEX([1]AB2!E:E,MATCH(C109,[1]AB2!A:A,0)))</f>
        <v>BANKNIFTY</v>
      </c>
      <c r="D115" s="56" t="str">
        <f>IF(C109="","",IF(C109="","",[1]AB5!$D$10))</f>
        <v>BEAR / BEAR CF</v>
      </c>
      <c r="E115" s="57" t="str">
        <f>IF(C109="","",[1]AB5!$F$10)</f>
        <v>BUY</v>
      </c>
      <c r="F115" s="58" t="str">
        <f>IF(C109="","",[1]AB5!$G$10)</f>
        <v>E &amp; T</v>
      </c>
      <c r="G115" s="25" t="str">
        <f t="array" ref="G115">IF(C109="","",CONCATENATE(INDEX([1]AB4!G:G,MATCH(A115,[1]AB4!B:B,0)),INDEX([1]AB4!H:H,MATCH(A115,[1]AB4!B:B,0)),TEXT(INDEX([1]AB4!I:I,MATCH(A115,[1]AB4!B:B,0)),"0.00%")))</f>
        <v>FUT : PRV : 2DHH + 0.15%</v>
      </c>
      <c r="H115" s="26">
        <f t="array" ref="H115">IF(C109="","",INDEX([1]AB4!J:J,MATCH(A115,[1]AB4!B:B,0)))</f>
        <v>5</v>
      </c>
      <c r="I115" s="27"/>
      <c r="J115" s="28" t="str">
        <f t="array" ref="J115">IF(C109="","",CONCATENATE(INDEX([1]AB4!L:L,MATCH(A115,[1]AB4!B:B,0)),INDEX([1]AB4!M:M,MATCH(A115,[1]AB4!B:B,0)),TEXT(INDEX([1]AB4!N:N,MATCH(A115,[1]AB4!B:B,0)),"0.00%")))</f>
        <v>L : Entry  + 1.50%</v>
      </c>
      <c r="K115" s="26">
        <f t="array" ref="K115">IF(C109="","",INDEX([1]AB4!O:O,MATCH(A115,[1]AB4!B:B,0)))</f>
        <v>1</v>
      </c>
      <c r="L115" s="27"/>
      <c r="M115" s="28" t="str">
        <f t="array" ref="M115">IF(C109="","",CONCATENATE(INDEX([1]AB4!L:L,MATCH(A115,[1]AB4!B:B,0)),INDEX([1]AB4!M:M,MATCH(A115,[1]AB4!B:B,0)),TEXT(INDEX([1]AB4!P:P,MATCH(A115,[1]AB4!B:B,0)),"0.00%")))</f>
        <v>L : Entry  + 2.00%</v>
      </c>
      <c r="N115" s="26">
        <f t="array" ref="N115">IF(C109="","",INDEX([1]AB4!Q:Q,MATCH(A115,[1]AB4!B:B,0)))</f>
        <v>1</v>
      </c>
      <c r="O115" s="27"/>
      <c r="P115" s="28" t="str">
        <f t="array" ref="P115">IF(C109="","",CONCATENATE(INDEX([1]AB4!L:L,MATCH(A115,[1]AB4!B:B,0)),INDEX([1]AB4!M:M,MATCH(A115,[1]AB4!B:B,0)),TEXT(INDEX([1]AB4!R:R,MATCH(A115,[1]AB4!B:B,0)),"0.00%")))</f>
        <v>L : Entry  + 2.50%</v>
      </c>
      <c r="Q115" s="26">
        <f t="array" ref="Q115">IF(C109="","",INDEX([1]AB4!S:S,MATCH(A115,[1]AB4!B:B,0)))</f>
        <v>1</v>
      </c>
      <c r="R115" s="27"/>
      <c r="S115" s="28" t="str">
        <f t="array" ref="S115">IF(C109="","",CONCATENATE(INDEX([1]AB4!L:L,MATCH(A115,[1]AB4!B:B,0)),INDEX([1]AB4!M:M,MATCH(A115,[1]AB4!B:B,0)),TEXT(INDEX([1]AB4!T:T,MATCH(A115,[1]AB4!B:B,0)),"0.00%")))</f>
        <v>L : Entry  + 3.00%</v>
      </c>
      <c r="T115" s="26">
        <f t="array" ref="T115">IF(C109="","",INDEX([1]AB4!U:U,MATCH(A115,[1]AB4!B:B,0)))</f>
        <v>1</v>
      </c>
      <c r="U115" s="27"/>
      <c r="V115" s="28" t="str">
        <f t="array" ref="V115">IF(C109="","",INDEX([1]AB4!V:V,MATCH(A115,[1]AB4!B:B,0)))</f>
        <v>TR PROFIT AFTER TGT 4</v>
      </c>
      <c r="W115" s="26">
        <f t="array" ref="W115">IF(C109="","",INDEX([1]AB4!W:W,MATCH(A115,[1]AB4!B:B,0)))</f>
        <v>1</v>
      </c>
      <c r="X115" s="27"/>
      <c r="Y115" s="28" t="str">
        <f t="array" ref="Y115">IF(C109="","",INDEX([1]AB4!X:X,MATCH(A115,[1]AB4!B:B,0)))</f>
        <v>N.A.</v>
      </c>
      <c r="Z115" s="26" t="str">
        <f t="array" ref="Z115">IF(C109="","",INDEX([1]AB4!Y:Y,MATCH(A115,[1]AB4!B:B,0)))</f>
        <v>N.A.</v>
      </c>
      <c r="AA115" s="29"/>
      <c r="AB115" s="30"/>
      <c r="AC115" s="30"/>
    </row>
    <row r="116" spans="1:29" ht="44.25" customHeight="1" thickBot="1" x14ac:dyDescent="0.25">
      <c r="A116" s="18" t="str">
        <f>IF(C109="","",CONCATENATE(C110,[1]AB5!$A$11))</f>
        <v>S4D</v>
      </c>
      <c r="B116" s="31" t="str">
        <f>IF(C109="","",IF([1]AB5!$B$11="","",[1]AB5!$B$11))</f>
        <v>No. of TGT</v>
      </c>
      <c r="C116" s="54" t="str">
        <f t="array" ref="C116">IF(C109="","",INDEX([1]AB2!K:K,MATCH(C109,[1]AB2!A:A,0)))</f>
        <v>4 &amp; APS</v>
      </c>
      <c r="D116" s="59"/>
      <c r="E116" s="60"/>
      <c r="F116" s="61" t="str">
        <f>IF(C109="","",[1]AB5!$G$11)</f>
        <v>SL / TRP</v>
      </c>
      <c r="G116" s="36" t="str">
        <f t="array" ref="G116">IF(C109="","",CONCATENATE(INDEX([1]AB4!AA:AA,MATCH(A116,[1]AB4!B:B,0))," ( ",INDEX([1]AB4!AE:AE,MATCH(A116,[1]AB4!B:B,0)),INDEX([1]AB4!AF:AF,MATCH(A116,[1]AB4!B:B,0)),TEXT(INDEX([1]AB4!AG:AG,MATCH(A116,[1]AB4!B:B,0)),"0.00%")," or ",INDEX([1]AB4!AK:AK,MATCH(A116,[1]AB4!B:B,0)),INDEX([1]AB4!AJ:AJ,MATCH(A116,[1]AB4!B:B,0)),TEXT(INDEX([1]AB4!AL:AL,MATCH(A116,[1]AB4!B:B,0)),"0.00%")," )"))</f>
        <v>Max ( L : Entry - 1.50% or FUT : PRV : 2DLL - 0.15% )</v>
      </c>
      <c r="H116" s="37">
        <f t="array" ref="H116">IF(C109="","",INDEX([1]AB4!AM:AM,MATCH(A116,[1]AB4!B:B,0)))</f>
        <v>5</v>
      </c>
      <c r="I116" s="38"/>
      <c r="J116" s="36" t="str">
        <f t="array" ref="J116">IF(C109="","",CONCATENATE(INDEX([1]AB4!AA:AA,MATCH(A116,[1]AB4!B:B,0))," ( ",INDEX([1]AB4!AE:AE,MATCH(A116,[1]AB4!B:B,0))," or ",INDEX([1]AB4!AN:AN,MATCH(A116,[1]AB4!B:B,0)),INDEX([1]AB4!AJ:AJ,MATCH(A116,[1]AB4!B:B,0)),TEXT(INDEX([1]AB4!AO:AO,MATCH(A116,[1]AB4!B:B,0)),"0.00%")," )"))</f>
        <v>Max ( L : Entry or FUT : PRV : 2DLL - 0.15% )</v>
      </c>
      <c r="K116" s="37">
        <f t="array" ref="K116">IF(C109="","",INDEX([1]AB4!AP:AP,MATCH(A116,[1]AB4!B:B,0)))</f>
        <v>4</v>
      </c>
      <c r="L116" s="38"/>
      <c r="M116" s="36" t="str">
        <f t="array" ref="M116">IF(C109="","",CONCATENATE(INDEX([1]AB4!AA:AA,MATCH(A116,[1]AB4!B:B,0))," ( ",INDEX([1]AB4!AE:AE,MATCH(A116,[1]AB4!B:B,0))," or ",INDEX([1]AB4!AQ:AQ,MATCH(A116,[1]AB4!B:B,0)),INDEX([1]AB4!AJ:AJ,MATCH(A116,[1]AB4!B:B,0)),TEXT(INDEX([1]AB4!AR:AR,MATCH(A116,[1]AB4!B:B,0)),"0.00%")," )"))</f>
        <v>Max ( L : Entry or FUT : PRV : 2DLL - 0.15% )</v>
      </c>
      <c r="N116" s="37">
        <f t="array" ref="N116">IF(C109="","",INDEX([1]AB4!AS:AS,MATCH(A116,[1]AB4!B:B,0)))</f>
        <v>3</v>
      </c>
      <c r="O116" s="38"/>
      <c r="P116" s="36" t="str">
        <f t="array" ref="P116">IF(C109="","",CONCATENATE(INDEX([1]AB4!AA:AA,MATCH(A116,[1]AB4!B:B,0))," ( ",INDEX([1]AB4!AE:AE,MATCH(A116,[1]AB4!B:B,0))," or ",INDEX([1]AB4!AT:AT,MATCH(A116,[1]AB4!B:B,0)),INDEX([1]AB4!AJ:AJ,MATCH(A116,[1]AB4!B:B,0)),TEXT(INDEX([1]AB4!AU:AU,MATCH(A116,[1]AB4!B:B,0)),"0.00%")," )"))</f>
        <v>Max ( L : Entry or FUT : PRV : 2DLL - 0.15% )</v>
      </c>
      <c r="Q116" s="37">
        <f t="array" ref="Q116">IF(C109="","",INDEX([1]AB4!AV:AV,MATCH(A116,[1]AB4!B:B,0)))</f>
        <v>2</v>
      </c>
      <c r="R116" s="38"/>
      <c r="S116" s="36" t="str">
        <f t="array" ref="S116">IF(C109="","",CONCATENATE(INDEX([1]AB4!AA:AA,MATCH(A116,[1]AB4!B:B,0))," ( ",INDEX([1]AB4!AE:AE,MATCH(A116,[1]AB4!B:B,0))," or ",INDEX([1]AB4!AW:AW,MATCH(A116,[1]AB4!B:B,0)),INDEX([1]AB4!AJ:AJ,MATCH(A116,[1]AB4!B:B,0)),TEXT(INDEX([1]AB4!AX:AX,MATCH(A116,[1]AB4!B:B,0)),"0.00%")," )"))</f>
        <v>Max ( L : Entry or FUT : PRV : 2DLL - 0.15% )</v>
      </c>
      <c r="T116" s="37">
        <f t="array" ref="T116">IF(C109="","",INDEX([1]AB4!AY:AY,MATCH(A116,[1]AB4!B:B,0)))</f>
        <v>1</v>
      </c>
      <c r="U116" s="38"/>
      <c r="V116" s="36" t="str">
        <f t="array" ref="V116">IF(C109="","",CONCATENATE(INDEX([1]AB4!AA:AA,MATCH(A116,[1]AB4!B:B,0))," ( ",INDEX([1]AB4!AE:AE,MATCH(A116,[1]AB4!B:B,0))," or ",INDEX([1]AB4!AW:AW,MATCH(A116,[1]AB4!B:B,0)),INDEX([1]AB4!AJ:AJ,MATCH(A116,[1]AB4!B:B,0)),TEXT(INDEX([1]AB4!AX:AX,MATCH(A116,[1]AB4!B:B,0)),"0.00%")," )"))</f>
        <v>Max ( L : Entry or FUT : PRV : 2DLL - 0.15% )</v>
      </c>
      <c r="W116" s="37">
        <f t="array" ref="W116">IF(C109="","",INDEX([1]AB4!AY:AY,MATCH(A116,[1]AB4!B:B,0)))</f>
        <v>1</v>
      </c>
      <c r="X116" s="38"/>
      <c r="Y116" s="40">
        <f t="array" ref="Y116">IF(C109="","",INDEX([1]AB4!AZ:AZ,MATCH(A116,[1]AB4!B:B,0)))</f>
        <v>0</v>
      </c>
      <c r="Z116" s="37">
        <f t="array" ref="Z116">IF(C109="","",INDEX([1]AB4!BB:BB,MATCH(A116,[1]AB4!B:B,0)))</f>
        <v>0</v>
      </c>
      <c r="AA116" s="41"/>
      <c r="AB116" s="30"/>
      <c r="AC116" s="30"/>
    </row>
    <row r="117" spans="1:29" ht="6" customHeight="1" thickBot="1" x14ac:dyDescent="0.25">
      <c r="A117" s="18" t="str">
        <f>IF(C109="","",CONCATENATE(C110,[1]AB5!A123))</f>
        <v>S4</v>
      </c>
      <c r="B117" s="62" t="str">
        <f>IF(C109="","",IF([1]AB5!$B$12="","",[1]AB5!$B$12))</f>
        <v>Stay Blessed !!!</v>
      </c>
      <c r="C117" s="63"/>
      <c r="D117" s="59"/>
      <c r="E117" s="44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6"/>
      <c r="AB117" s="30"/>
      <c r="AC117" s="30"/>
    </row>
    <row r="118" spans="1:29" ht="30.75" customHeight="1" x14ac:dyDescent="0.2">
      <c r="A118" s="18" t="str">
        <f>IF(C109="","",CONCATENATE(C110,[1]AB5!$A$13))</f>
        <v>S4E</v>
      </c>
      <c r="B118" s="64"/>
      <c r="C118" s="59"/>
      <c r="D118" s="59"/>
      <c r="E118" s="65" t="str">
        <f>IF(C109="","",[1]AB5!$F$13)</f>
        <v>SELL</v>
      </c>
      <c r="F118" s="58" t="str">
        <f>IF(C109="","",[1]AB5!$G$13)</f>
        <v>E &amp; T</v>
      </c>
      <c r="G118" s="25" t="str">
        <f t="array" ref="G118">IF(C109="","",CONCATENATE(INDEX([1]AB4!G:G,MATCH(A118,[1]AB4!B:B,0)),INDEX([1]AB4!H:H,MATCH(A118,[1]AB4!B:B,0)),TEXT(INDEX([1]AB4!I:I,MATCH(A118,[1]AB4!B:B,0)),"0.00%")))</f>
        <v>FUT : PRV : 2DLL - 0.15%</v>
      </c>
      <c r="H118" s="26">
        <f t="array" ref="H118">IF(C109="","",INDEX([1]AB4!J:J,MATCH(A118,[1]AB4!B:B,0)))</f>
        <v>5</v>
      </c>
      <c r="I118" s="27"/>
      <c r="J118" s="28" t="str">
        <f t="array" ref="J118">IF(C109="","",CONCATENATE(INDEX([1]AB4!L:L,MATCH(A118,[1]AB4!B:B,0)),INDEX([1]AB4!M:M,MATCH(A118,[1]AB4!B:B,0)),TEXT(INDEX([1]AB4!N:N,MATCH(A118,[1]AB4!B:B,0)),"0.00%")))</f>
        <v>S : Entry  - 1.50%</v>
      </c>
      <c r="K118" s="26">
        <f t="array" ref="K118">IF(C109="","",INDEX([1]AB4!O:O,MATCH(A118,[1]AB4!B:B,0)))</f>
        <v>1</v>
      </c>
      <c r="L118" s="27"/>
      <c r="M118" s="28" t="str">
        <f t="array" ref="M118">IF(C109="","",CONCATENATE(INDEX([1]AB4!L:L,MATCH(A118,[1]AB4!B:B,0)),INDEX([1]AB4!M:M,MATCH(A118,[1]AB4!B:B,0)),TEXT(INDEX([1]AB4!P:P,MATCH(A118,[1]AB4!B:B,0)),"0.00%")))</f>
        <v>S : Entry  - 2.00%</v>
      </c>
      <c r="N118" s="26">
        <f t="array" ref="N118">IF(C109="","",INDEX([1]AB4!Q:Q,MATCH(A118,[1]AB4!B:B,0)))</f>
        <v>1</v>
      </c>
      <c r="O118" s="27"/>
      <c r="P118" s="28" t="str">
        <f t="array" ref="P118">IF(C109="","",CONCATENATE(INDEX([1]AB4!L:L,MATCH(A118,[1]AB4!B:B,0)),INDEX([1]AB4!M:M,MATCH(A118,[1]AB4!B:B,0)),TEXT(INDEX([1]AB4!R:R,MATCH(A118,[1]AB4!B:B,0)),"0.00%")))</f>
        <v>S : Entry  - 2.50%</v>
      </c>
      <c r="Q118" s="26">
        <f t="array" ref="Q118">IF(C109="","",INDEX([1]AB4!S:S,MATCH(A118,[1]AB4!B:B,0)))</f>
        <v>1</v>
      </c>
      <c r="R118" s="27"/>
      <c r="S118" s="28" t="str">
        <f t="array" ref="S118">IF(C109="","",CONCATENATE(INDEX([1]AB4!L:L,MATCH(A118,[1]AB4!B:B,0)),INDEX([1]AB4!M:M,MATCH(A118,[1]AB4!B:B,0)),TEXT(INDEX([1]AB4!T:T,MATCH(A118,[1]AB4!B:B,0)),"0.00%")))</f>
        <v>S : Entry  - 3.00%</v>
      </c>
      <c r="T118" s="26">
        <f t="array" ref="T118">IF(C109="","",INDEX([1]AB4!U:U,MATCH(A118,[1]AB4!B:B,0)))</f>
        <v>1</v>
      </c>
      <c r="U118" s="27"/>
      <c r="V118" s="28" t="str">
        <f t="array" ref="V118">IF(C109="","",INDEX([1]AB4!V:V,MATCH(A118,[1]AB4!B:B,0)))</f>
        <v>TR PROFIT AFTER TGT 4</v>
      </c>
      <c r="W118" s="26">
        <f t="array" ref="W118">IF(C109="","",INDEX([1]AB4!W:W,MATCH(A118,[1]AB4!B:B,0)))</f>
        <v>1</v>
      </c>
      <c r="X118" s="27"/>
      <c r="Y118" s="28" t="str">
        <f t="array" ref="Y118">IF(C109="","",INDEX([1]AB4!X:X,MATCH(A118,[1]AB4!B:B,0)))</f>
        <v>N.A.</v>
      </c>
      <c r="Z118" s="26" t="str">
        <f t="array" ref="Z118">IF(C109="","",INDEX([1]AB4!Y:Y,MATCH(A118,[1]AB4!B:B,0)))</f>
        <v>N.A.</v>
      </c>
      <c r="AA118" s="29"/>
      <c r="AB118" s="30"/>
      <c r="AC118" s="30"/>
    </row>
    <row r="119" spans="1:29" ht="44.25" customHeight="1" thickBot="1" x14ac:dyDescent="0.25">
      <c r="A119" s="18" t="str">
        <f>IF(C109="","",CONCATENATE(C110,[1]AB5!$A$14))</f>
        <v>S4E</v>
      </c>
      <c r="B119" s="60"/>
      <c r="C119" s="66"/>
      <c r="D119" s="66"/>
      <c r="E119" s="60"/>
      <c r="F119" s="61" t="str">
        <f>IF(C109="","",[1]AB5!$G$14)</f>
        <v>SL / TRP</v>
      </c>
      <c r="G119" s="36" t="str">
        <f t="array" ref="G119">IF(C109="","",CONCATENATE(INDEX([1]AB4!AA:AA,MATCH(A119,[1]AB4!B:B,0))," ( ",INDEX([1]AB4!AE:AE,MATCH(A119,[1]AB4!B:B,0)),INDEX([1]AB4!AF:AF,MATCH(A119,[1]AB4!B:B,0)),TEXT(INDEX([1]AB4!AG:AG,MATCH(A119,[1]AB4!B:B,0)),"0.00%")," or ",INDEX([1]AB4!AK:AK,MATCH(A119,[1]AB4!B:B,0)),INDEX([1]AB4!AJ:AJ,MATCH(A119,[1]AB4!B:B,0)),TEXT(INDEX([1]AB4!AL:AL,MATCH(A119,[1]AB4!B:B,0)),"0.00%")," )"))</f>
        <v>Min ( S : Entry + 1.50% or FUT : PRV : 2DHH + 0.15% )</v>
      </c>
      <c r="H119" s="37">
        <f t="array" ref="H119">IF(C109="","",INDEX([1]AB4!AM:AM,MATCH(A119,[1]AB4!B:B,0)))</f>
        <v>5</v>
      </c>
      <c r="I119" s="38"/>
      <c r="J119" s="36" t="str">
        <f t="array" ref="J119">IF(C109="","",CONCATENATE(INDEX([1]AB4!AA:AA,MATCH(A119,[1]AB4!B:B,0))," ( ",INDEX([1]AB4!AE:AE,MATCH(A119,[1]AB4!B:B,0))," or ",INDEX([1]AB4!AN:AN,MATCH(A119,[1]AB4!B:B,0)),INDEX([1]AB4!AJ:AJ,MATCH(A119,[1]AB4!B:B,0)),TEXT(INDEX([1]AB4!AO:AO,MATCH(A119,[1]AB4!B:B,0)),"0.00%")," )"))</f>
        <v>Min ( S : Entry or FUT : PRV : 2DHH + 0.15% )</v>
      </c>
      <c r="K119" s="37">
        <f t="array" ref="K119">IF(C109="","",INDEX([1]AB4!AP:AP,MATCH(A119,[1]AB4!B:B,0)))</f>
        <v>4</v>
      </c>
      <c r="L119" s="38"/>
      <c r="M119" s="36" t="str">
        <f t="array" ref="M119">IF(C109="","",CONCATENATE(INDEX([1]AB4!AA:AA,MATCH(A119,[1]AB4!B:B,0))," ( ",INDEX([1]AB4!AE:AE,MATCH(A119,[1]AB4!B:B,0))," or ",INDEX([1]AB4!AQ:AQ,MATCH(A119,[1]AB4!B:B,0)),INDEX([1]AB4!AJ:AJ,MATCH(A119,[1]AB4!B:B,0)),TEXT(INDEX([1]AB4!AR:AR,MATCH(A119,[1]AB4!B:B,0)),"0.00%")," )"))</f>
        <v>Min ( S : Entry or FUT : PRV : 2DHH + 0.15% )</v>
      </c>
      <c r="N119" s="37">
        <f t="array" ref="N119">IF(C109="","",INDEX([1]AB4!AS:AS,MATCH(A119,[1]AB4!B:B,0)))</f>
        <v>3</v>
      </c>
      <c r="O119" s="38"/>
      <c r="P119" s="36" t="str">
        <f t="array" ref="P119">IF(C109="","",CONCATENATE(INDEX([1]AB4!AA:AA,MATCH(A119,[1]AB4!B:B,0))," ( ",INDEX([1]AB4!AE:AE,MATCH(A119,[1]AB4!B:B,0))," or ",INDEX([1]AB4!AT:AT,MATCH(A119,[1]AB4!B:B,0)),INDEX([1]AB4!AJ:AJ,MATCH(A119,[1]AB4!B:B,0)),TEXT(INDEX([1]AB4!AU:AU,MATCH(A119,[1]AB4!B:B,0)),"0.00%")," )"))</f>
        <v>Min ( S : Entry or FUT : PRV : 2DHH + 0.15% )</v>
      </c>
      <c r="Q119" s="37">
        <f t="array" ref="Q119">IF(C109="","",INDEX([1]AB4!AV:AV,MATCH(A119,[1]AB4!B:B,0)))</f>
        <v>2</v>
      </c>
      <c r="R119" s="38"/>
      <c r="S119" s="36" t="str">
        <f t="array" ref="S119">IF(C109="","",CONCATENATE(INDEX([1]AB4!AA:AA,MATCH(A119,[1]AB4!B:B,0))," ( ",INDEX([1]AB4!AE:AE,MATCH(A119,[1]AB4!B:B,0))," or ",INDEX([1]AB4!AW:AW,MATCH(A119,[1]AB4!B:B,0)),INDEX([1]AB4!AJ:AJ,MATCH(A119,[1]AB4!B:B,0)),TEXT(INDEX([1]AB4!AX:AX,MATCH(A119,[1]AB4!B:B,0)),"0.00%")," )"))</f>
        <v>Min ( S : Entry or FUT : PRV : 2DHH + 0.15% )</v>
      </c>
      <c r="T119" s="37">
        <f t="array" ref="T119">IF(C109="","",INDEX([1]AB4!AY:AY,MATCH(A119,[1]AB4!B:B,0)))</f>
        <v>1</v>
      </c>
      <c r="U119" s="38"/>
      <c r="V119" s="36" t="str">
        <f t="array" ref="V119">IF(C109="","",CONCATENATE(INDEX([1]AB4!AA:AA,MATCH(A119,[1]AB4!B:B,0))," ( ",INDEX([1]AB4!AE:AE,MATCH(A119,[1]AB4!B:B,0))," or ",INDEX([1]AB4!AW:AW,MATCH(A119,[1]AB4!B:B,0)),INDEX([1]AB4!AJ:AJ,MATCH(A119,[1]AB4!B:B,0)),TEXT(INDEX([1]AB4!AX:AX,MATCH(A119,[1]AB4!B:B,0)),"0.00%")," )"))</f>
        <v>Min ( S : Entry or FUT : PRV : 2DHH + 0.15% )</v>
      </c>
      <c r="W119" s="37">
        <f t="array" ref="W119">IF(C109="","",INDEX([1]AB4!AY:AY,MATCH(A119,[1]AB4!B:B,0)))</f>
        <v>1</v>
      </c>
      <c r="X119" s="38"/>
      <c r="Y119" s="40">
        <f t="array" ref="Y119">IF(C109="","",INDEX([1]AB4!AZ:AZ,MATCH(A119,[1]AB4!B:B,0)))</f>
        <v>0</v>
      </c>
      <c r="Z119" s="37">
        <f t="array" ref="Z119">IF(C109="","",INDEX([1]AB4!BB:BB,MATCH(A119,[1]AB4!B:B,0)))</f>
        <v>0</v>
      </c>
      <c r="AA119" s="41"/>
      <c r="AB119" s="30"/>
      <c r="AC119" s="30"/>
    </row>
    <row r="120" spans="1:29" ht="6" customHeight="1" thickBot="1" x14ac:dyDescent="0.25">
      <c r="A120" s="18"/>
      <c r="B120" s="55"/>
      <c r="C120" s="55"/>
      <c r="D120" s="55"/>
      <c r="E120" s="30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30"/>
      <c r="AA120" s="30"/>
      <c r="AB120" s="68"/>
      <c r="AC120" s="68"/>
    </row>
    <row r="121" spans="1:29" ht="21.75" customHeight="1" x14ac:dyDescent="0.2">
      <c r="A121" s="18"/>
      <c r="B121" s="69" t="str">
        <f>IF(C109="","",[1]AB5!$B$16)</f>
        <v>For Entry</v>
      </c>
      <c r="C121" s="29"/>
      <c r="D121" s="70" t="str">
        <f>IF(C109="","",[1]AB5!$D$16)</f>
        <v>Gap Check</v>
      </c>
      <c r="E121" s="71"/>
      <c r="F121" s="70" t="str">
        <f>IF(C109="","",[1]AB5!$G$16)</f>
        <v>Process</v>
      </c>
      <c r="G121" s="72"/>
      <c r="H121" s="73" t="str">
        <f>IF(C109="","",[1]AB5!$I$16)</f>
        <v>Y / N</v>
      </c>
      <c r="I121" s="72"/>
      <c r="J121" s="74" t="str">
        <f>IF(C109="","",[1]AB5!$K$16)</f>
        <v>Order Status</v>
      </c>
      <c r="K121" s="75" t="str">
        <f>IF(C109="","",[1]AB5!$L$16)</f>
        <v>Step 1</v>
      </c>
      <c r="L121" s="76"/>
      <c r="M121" s="76"/>
      <c r="N121" s="72"/>
      <c r="O121" s="73" t="str">
        <f>IF(C109="","",[1]AB5!$P$16)</f>
        <v>Order Placement Timings</v>
      </c>
      <c r="P121" s="72"/>
      <c r="Q121" s="73" t="str">
        <f>IF(C109="","",[1]AB5!$R$16)</f>
        <v>Time</v>
      </c>
      <c r="R121" s="72"/>
      <c r="S121" s="75" t="str">
        <f>IF(C109="","",[1]AB5!$T$16)</f>
        <v>Rules For Gaps</v>
      </c>
      <c r="T121" s="76"/>
      <c r="U121" s="72"/>
      <c r="V121" s="74" t="str">
        <f>IF(C109="","",[1]AB5!$W$16)</f>
        <v>Data</v>
      </c>
      <c r="W121" s="73" t="str">
        <f>IF(C109="","",[1]AB5!$X$16)</f>
        <v>Buffer</v>
      </c>
      <c r="X121" s="71"/>
      <c r="Y121" s="77" t="str">
        <f>IF(C109="","",[1]AB5!$AA$16)</f>
        <v>Rules For Re Entry</v>
      </c>
      <c r="Z121" s="76"/>
      <c r="AA121" s="71"/>
      <c r="AB121" s="78"/>
      <c r="AC121" s="78"/>
    </row>
    <row r="122" spans="1:29" ht="31.5" customHeight="1" x14ac:dyDescent="0.2">
      <c r="A122" s="18" t="str">
        <f>IF(C109="","",CONCATENATE(C110,[1]AB5!$A$17))</f>
        <v>S4A</v>
      </c>
      <c r="B122" s="79" t="str">
        <f>IF(C109="","",[1]AB5!$B$17)</f>
        <v xml:space="preserve">ORPT </v>
      </c>
      <c r="C122" s="80" t="str">
        <f>IF(C109="","",[1]AB5!$C$17)</f>
        <v xml:space="preserve"> RC. Time</v>
      </c>
      <c r="D122" s="81" t="str">
        <f>IF(C109="","",[1]AB5!$D$17)</f>
        <v>For Long Entry</v>
      </c>
      <c r="E122" s="63"/>
      <c r="F122" s="82" t="str">
        <f>IF(C109="","",CONCATENATE([1]AB5!$G$17,TEXT(B123,"HH:MM:SS AM/PM"),[1]AB5!$B$18,[1]AB5!$H$17))</f>
        <v>Check If  09:19:59 AM HH &gt; Long Entry</v>
      </c>
      <c r="G122" s="83"/>
      <c r="H122" s="84" t="str">
        <f>IF(C109="","",[1]AB5!$I$17)</f>
        <v>No</v>
      </c>
      <c r="I122" s="85"/>
      <c r="J122" s="86" t="str">
        <f>IF(C109="","",[1]AB5!$K$17)</f>
        <v>Entry Not Missed</v>
      </c>
      <c r="K122" s="87" t="str">
        <f>IF(C109="","",[1]AB5!$L$17)</f>
        <v>Place the Order at ORPT</v>
      </c>
      <c r="L122" s="88"/>
      <c r="M122" s="88"/>
      <c r="N122" s="85"/>
      <c r="O122" s="87" t="str">
        <f>IF(C109="","",[1]AB5!$P$17)</f>
        <v>ORPT Time</v>
      </c>
      <c r="P122" s="85"/>
      <c r="Q122" s="89">
        <f>IF(C109="","",B123)</f>
        <v>0.38888194444444446</v>
      </c>
      <c r="R122" s="85"/>
      <c r="S122" s="87" t="str">
        <f>IF(C109="","",[1]AB5!$T$17)</f>
        <v>N.A.</v>
      </c>
      <c r="T122" s="88"/>
      <c r="U122" s="85"/>
      <c r="V122" s="86" t="str">
        <f>IF(C109="","",[1]AB5!$W$17)</f>
        <v>N.A.</v>
      </c>
      <c r="W122" s="90" t="str">
        <f>IF(C109="","",[1]AB5!$X$17)</f>
        <v>N.A.</v>
      </c>
      <c r="X122" s="91"/>
      <c r="Y122" s="92" t="str">
        <f>IF(C109="","",[1]AB5!$AA$17)</f>
        <v xml:space="preserve">Long Entry : Bull/ Bull CF : </v>
      </c>
      <c r="Z122" s="88"/>
      <c r="AA122" s="91"/>
      <c r="AB122" s="68"/>
      <c r="AC122" s="68"/>
    </row>
    <row r="123" spans="1:29" ht="31.5" customHeight="1" x14ac:dyDescent="0.2">
      <c r="A123" s="18" t="str">
        <f>IF(C109="","",CONCATENATE(C110,[1]AB5!$A$18))</f>
        <v>S4B</v>
      </c>
      <c r="B123" s="93">
        <f t="array" ref="B123">IF(C109="","",INDEX([1]AB4!BE:BE,MATCH(A122,[1]AB4!B:B,0)))</f>
        <v>0.38888194444444446</v>
      </c>
      <c r="C123" s="94">
        <f t="array" ref="C123">IF(C109="","",INDEX([1]AB4!BE:BE,MATCH(A123,[1]AB4!B:B,0)))</f>
        <v>0.39582638888888888</v>
      </c>
      <c r="D123" s="64"/>
      <c r="E123" s="59"/>
      <c r="F123" s="64"/>
      <c r="G123" s="95"/>
      <c r="H123" s="96" t="str">
        <f>IF(C109="","",[1]AB5!$I$18)</f>
        <v>Yes</v>
      </c>
      <c r="I123" s="83"/>
      <c r="J123" s="97" t="str">
        <f>IF(C109="","",[1]AB5!$K$18)</f>
        <v>Entry Missed</v>
      </c>
      <c r="K123" s="87" t="str">
        <f>IF(C109="","",[1]AB5!$L$18)</f>
        <v>Recalcuate : Long Entry : Bull / Bull CF</v>
      </c>
      <c r="L123" s="88"/>
      <c r="M123" s="88"/>
      <c r="N123" s="85"/>
      <c r="O123" s="87" t="str">
        <f>IF(C109="","",[1]AB5!$P$18)</f>
        <v>Wait Till Recalculation Time</v>
      </c>
      <c r="P123" s="85"/>
      <c r="Q123" s="89">
        <f>IF(C109="","",C123)</f>
        <v>0.39582638888888888</v>
      </c>
      <c r="R123" s="85"/>
      <c r="S123" s="98" t="str">
        <f>IF(C109="","",CONCATENATE(V123," ",[1]AB5!$Z$18," ",TEXT(W123,"0.00%")))</f>
        <v>09:29:59 AM HH + 0.15%</v>
      </c>
      <c r="T123" s="88"/>
      <c r="U123" s="85"/>
      <c r="V123" s="99" t="str">
        <f>IF(C109="","",CONCATENATE(TEXT(Q123,"HH:MM:SS AM/PM"),[1]AB5!$U$18))</f>
        <v>09:29:59 AM HH</v>
      </c>
      <c r="W123" s="100" t="str">
        <f t="array" ref="W123">IF(A109="","",TEXT(INDEX([1]AB4!BK:BK,MATCH(A110,[1]AB4!B:B,0)),"0.00%"))</f>
        <v>0.15%</v>
      </c>
      <c r="X123" s="91"/>
      <c r="Y123" s="101" t="str">
        <f>IF(C109="","",CONCATENATE([1]AB5!$T$18," ( ",G109," or ",[1]AB5!$AA$18," ",[1]AB5!$Z$18," ",TEXT(W123,"0.00%")," )"))</f>
        <v>Max ( FUT : PRV : 2DHH + 0.15% or  CDHH + 0.15% )</v>
      </c>
      <c r="Z123" s="88"/>
      <c r="AA123" s="91"/>
      <c r="AB123" s="68"/>
      <c r="AC123" s="68"/>
    </row>
    <row r="124" spans="1:29" ht="31.5" customHeight="1" thickBot="1" x14ac:dyDescent="0.25">
      <c r="A124" s="18"/>
      <c r="B124" s="34"/>
      <c r="C124" s="102"/>
      <c r="D124" s="103"/>
      <c r="E124" s="104"/>
      <c r="F124" s="103"/>
      <c r="G124" s="105"/>
      <c r="H124" s="51"/>
      <c r="I124" s="105"/>
      <c r="J124" s="53"/>
      <c r="K124" s="87" t="str">
        <f>IF(C109="","",[1]AB5!$L$19)</f>
        <v>Recalcuate : Long Entry : Bear / Bear CF</v>
      </c>
      <c r="L124" s="88"/>
      <c r="M124" s="88"/>
      <c r="N124" s="85"/>
      <c r="O124" s="87" t="str">
        <f>IF(C109="","",[1]AB5!$P$19)</f>
        <v>Wait Till Recalculation Time</v>
      </c>
      <c r="P124" s="85"/>
      <c r="Q124" s="89">
        <f>IF(C109="","",C123)</f>
        <v>0.39582638888888888</v>
      </c>
      <c r="R124" s="85"/>
      <c r="S124" s="98" t="str">
        <f>IF(C109="","",CONCATENATE(V124," ",[1]AB5!$Z$19," ",TEXT(W124,"0.00%"),))</f>
        <v>09:29:59 AM HH + 0.15%</v>
      </c>
      <c r="T124" s="88"/>
      <c r="U124" s="85"/>
      <c r="V124" s="99" t="str">
        <f>IF(C109="","",CONCATENATE(TEXT(Q124,"HH:MM:SS AM/PM"),[1]AB5!$U$19))</f>
        <v>09:29:59 AM HH</v>
      </c>
      <c r="W124" s="100" t="str">
        <f t="array" ref="W124">IF(C109="","",TEXT(INDEX([1]AB4!BK:BK,MATCH(A115,[1]AB4!B:B,0)),"0.00%"))</f>
        <v>0.15%</v>
      </c>
      <c r="X124" s="91"/>
      <c r="Y124" s="106" t="str">
        <f>IF(C109="","",[1]AB5!$AA$19)</f>
        <v xml:space="preserve">Long Entry : Bear/ Bear CF : </v>
      </c>
      <c r="Z124" s="88"/>
      <c r="AA124" s="91"/>
      <c r="AB124" s="68"/>
      <c r="AC124" s="68"/>
    </row>
    <row r="125" spans="1:29" ht="31.5" customHeight="1" x14ac:dyDescent="0.2">
      <c r="A125" s="18"/>
      <c r="B125" s="69" t="str">
        <f>IF(C109="","",[1]AB5!$B$20)</f>
        <v>For SL (Position = Open)</v>
      </c>
      <c r="C125" s="29"/>
      <c r="D125" s="107" t="str">
        <f>IF(C109="","",[1]AB5!$D$20)</f>
        <v>For Short Entry</v>
      </c>
      <c r="E125" s="63"/>
      <c r="F125" s="82" t="str">
        <f>IF(C109="","",CONCATENATE([1]AB5!$G$20,TEXT(B123,"HH:MM:SS AM/PM"),[1]AB5!$B$18,[1]AB5!$H$20))</f>
        <v>Check If  09:19:59 AM LL &lt; Short Entry</v>
      </c>
      <c r="G125" s="83"/>
      <c r="H125" s="108" t="str">
        <f>IF(C109="","",[1]AB5!$I$20)</f>
        <v>No</v>
      </c>
      <c r="I125" s="85"/>
      <c r="J125" s="109" t="str">
        <f>IF(C109="","",[1]AB5!$K$20)</f>
        <v>Entry Not Missed</v>
      </c>
      <c r="K125" s="110" t="str">
        <f>IF(C109="","",[1]AB5!$L$20)</f>
        <v>Place the Order at ORPT</v>
      </c>
      <c r="L125" s="88"/>
      <c r="M125" s="88"/>
      <c r="N125" s="85"/>
      <c r="O125" s="110" t="str">
        <f>IF(C109="","",[1]AB5!$P$20)</f>
        <v>ORPT Time</v>
      </c>
      <c r="P125" s="85"/>
      <c r="Q125" s="111">
        <f>IF(C109="","",B123)</f>
        <v>0.38888194444444446</v>
      </c>
      <c r="R125" s="85"/>
      <c r="S125" s="110" t="str">
        <f>IF(C109="","",[1]AB5!$T$20)</f>
        <v>N.A.</v>
      </c>
      <c r="T125" s="88"/>
      <c r="U125" s="85"/>
      <c r="V125" s="109" t="str">
        <f>IF(C109="","",[1]AB5!$W$20)</f>
        <v>N.A.</v>
      </c>
      <c r="W125" s="112" t="str">
        <f>IF(C109="","",[1]AB5!$X$20)</f>
        <v>N.A.</v>
      </c>
      <c r="X125" s="91"/>
      <c r="Y125" s="101" t="str">
        <f>IF(C109="","",CONCATENATE([1]AB5!$T$19," ( ",G115," or ",[1]AB5!$AA$20," ",[1]AB5!$Z$19," ",TEXT(W124,"0.00%")," )"))</f>
        <v>Max ( FUT : PRV : 2DHH + 0.15% or  CDHH + 0.15% )</v>
      </c>
      <c r="Z125" s="88"/>
      <c r="AA125" s="91"/>
      <c r="AB125" s="68"/>
      <c r="AC125" s="68"/>
    </row>
    <row r="126" spans="1:29" ht="31.5" customHeight="1" x14ac:dyDescent="0.2">
      <c r="A126" s="18" t="str">
        <f>IF(C109="","",CONCATENATE(C110,[1]AB5!$A$21))</f>
        <v>S4A</v>
      </c>
      <c r="B126" s="79" t="str">
        <f>IF(C109="","",[1]AB5!$B$21)</f>
        <v xml:space="preserve">ORPT </v>
      </c>
      <c r="C126" s="80" t="str">
        <f>IF(C109="","",[1]AB5!$C$21)</f>
        <v xml:space="preserve"> RC. Time</v>
      </c>
      <c r="D126" s="64"/>
      <c r="E126" s="59"/>
      <c r="F126" s="64"/>
      <c r="G126" s="95"/>
      <c r="H126" s="113" t="str">
        <f>IF(C109="","",[1]AB5!$I$21)</f>
        <v>Yes</v>
      </c>
      <c r="I126" s="83"/>
      <c r="J126" s="114" t="str">
        <f>IF(C109="","",[1]AB5!$K$21)</f>
        <v>Entry Missed</v>
      </c>
      <c r="K126" s="110" t="str">
        <f>IF(C109="","",[1]AB5!$L$21)</f>
        <v>Recalcuate : Short Entry : Bull / Bull CF</v>
      </c>
      <c r="L126" s="88"/>
      <c r="M126" s="88"/>
      <c r="N126" s="85"/>
      <c r="O126" s="110" t="str">
        <f>IF(C109="","",[1]AB5!$P$21)</f>
        <v>Wait Till Recalculation Time</v>
      </c>
      <c r="P126" s="85"/>
      <c r="Q126" s="111">
        <f>IF(C109="","",C123)</f>
        <v>0.39582638888888888</v>
      </c>
      <c r="R126" s="85"/>
      <c r="S126" s="115" t="str">
        <f>IF(C109="","",CONCATENATE(V126," ",[1]AB5!$Z$21," ",TEXT(W126,"0.00%")))</f>
        <v>09:29:59 AM LL - 0.15%</v>
      </c>
      <c r="T126" s="88"/>
      <c r="U126" s="85"/>
      <c r="V126" s="116" t="str">
        <f>IF(C109="","",CONCATENATE(TEXT(Q126,"HH:MM:SS AM/PM"),[1]AB5!$U$21))</f>
        <v>09:29:59 AM LL</v>
      </c>
      <c r="W126" s="112" t="str">
        <f t="array" ref="W126">IF(C109="","",TEXT(INDEX([1]AB4!BK:BK,MATCH(A112,[1]AB4!B:B,0)),"0.00%"))</f>
        <v>0.15%</v>
      </c>
      <c r="X126" s="91"/>
      <c r="Y126" s="117" t="str">
        <f>IF(C109="","",[1]AB5!$AA$21)</f>
        <v>When Your Long Position is Exited</v>
      </c>
      <c r="Z126" s="118"/>
      <c r="AA126" s="59"/>
      <c r="AB126" s="68"/>
      <c r="AC126" s="68"/>
    </row>
    <row r="127" spans="1:29" ht="31.5" customHeight="1" thickBot="1" x14ac:dyDescent="0.25">
      <c r="A127" s="18" t="str">
        <f>IF(C109="","",CONCATENATE(C110,[1]AB5!$A$22))</f>
        <v>S4B</v>
      </c>
      <c r="B127" s="119">
        <f t="array" ref="B127">IF(C109="","",INDEX([1]AB4!BF:BF,MATCH(A126,[1]AB4!B:B,0)))</f>
        <v>0.38888194444444446</v>
      </c>
      <c r="C127" s="120">
        <f t="array" ref="C127">IF(C109="","",INDEX([1]AB4!BF:BF,MATCH(A127,[1]AB4!B:B,0)))</f>
        <v>0.39582638888888888</v>
      </c>
      <c r="D127" s="60"/>
      <c r="E127" s="66"/>
      <c r="F127" s="60"/>
      <c r="G127" s="121"/>
      <c r="H127" s="102"/>
      <c r="I127" s="121"/>
      <c r="J127" s="122"/>
      <c r="K127" s="123" t="str">
        <f>IF(C109="","",[1]AB5!$L$22)</f>
        <v>Recalcuate : Short Entry : Bear / Bear CF</v>
      </c>
      <c r="L127" s="124"/>
      <c r="M127" s="124"/>
      <c r="N127" s="38"/>
      <c r="O127" s="123" t="str">
        <f>IF(C109="","",[1]AB5!$P$22)</f>
        <v>Wait Till Recalculation Time</v>
      </c>
      <c r="P127" s="38"/>
      <c r="Q127" s="125">
        <f>IF(C109="","",C123)</f>
        <v>0.39582638888888888</v>
      </c>
      <c r="R127" s="38"/>
      <c r="S127" s="126" t="str">
        <f>IF(C109="","",CONCATENATE(V127," ",[1]AB5!$Z$22," ",TEXT(W127,"0.00%")))</f>
        <v>09:29:59 AM LL - 0.15%</v>
      </c>
      <c r="T127" s="124"/>
      <c r="U127" s="38"/>
      <c r="V127" s="127" t="str">
        <f>IF(C109="","",CONCATENATE(TEXT(Q127,"HH:MM:SS AM/PM"),[1]AB5!$U$22))</f>
        <v>09:29:59 AM LL</v>
      </c>
      <c r="W127" s="128" t="str">
        <f t="array" ref="W127">IF(C109="","",TEXT(INDEX([1]AB4!BK:BK,MATCH(A118,[1]AB4!B:B,0)),"0.00%"))</f>
        <v>0.15%</v>
      </c>
      <c r="X127" s="41"/>
      <c r="Y127" s="129" t="str">
        <f>IF(C109="","",[1]AB5!$AA$22)</f>
        <v>This is Only Applicable for Same Day</v>
      </c>
      <c r="Z127" s="130"/>
      <c r="AA127" s="66"/>
      <c r="AB127" s="68"/>
      <c r="AC127" s="68"/>
    </row>
    <row r="128" spans="1:29" ht="6" customHeight="1" thickBot="1" x14ac:dyDescent="0.25">
      <c r="A128" s="18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</row>
    <row r="129" spans="1:29" ht="21.75" customHeight="1" thickBot="1" x14ac:dyDescent="0.25">
      <c r="A129" s="18"/>
      <c r="B129" s="69" t="str">
        <f>IF(C109="","",[1]AB5!$B$24)</f>
        <v>For TGT (Position = Open)</v>
      </c>
      <c r="C129" s="29"/>
      <c r="D129" s="132" t="str">
        <f>IF(C109="","",[1]AB5!$D$24)</f>
        <v>Gap Check</v>
      </c>
      <c r="E129" s="133"/>
      <c r="F129" s="132" t="str">
        <f>IF(C109="","",[1]AB5!$G$24)</f>
        <v>Process</v>
      </c>
      <c r="G129" s="133"/>
      <c r="H129" s="132" t="str">
        <f>IF(C109="","",[1]AB5!$I$24)</f>
        <v>Y / N</v>
      </c>
      <c r="I129" s="133"/>
      <c r="J129" s="134" t="str">
        <f>IF(C109="","",[1]AB5!$K$24)</f>
        <v>Status</v>
      </c>
      <c r="K129" s="135" t="str">
        <f>IF(C109="","",[1]AB5!$L$24)</f>
        <v>Step 1</v>
      </c>
      <c r="L129" s="136"/>
      <c r="M129" s="136"/>
      <c r="N129" s="133"/>
      <c r="O129" s="132" t="str">
        <f>IF(C109="","",[1]AB5!$P$24)</f>
        <v>Order Placement Timings</v>
      </c>
      <c r="P129" s="133"/>
      <c r="Q129" s="132" t="str">
        <f>IF(C109="","",[1]AB5!$R$24)</f>
        <v>Time</v>
      </c>
      <c r="R129" s="133"/>
      <c r="S129" s="135" t="str">
        <f>IF(C109="","",[1]AB5!$T$24)</f>
        <v>Rules For Gaps</v>
      </c>
      <c r="T129" s="136"/>
      <c r="U129" s="133"/>
      <c r="V129" s="134" t="str">
        <f>IF(C109="","",[1]AB5!$W$24)</f>
        <v>Data</v>
      </c>
      <c r="W129" s="132" t="str">
        <f>IF(C109="","",[1]AB5!$X$24)</f>
        <v>Buffer</v>
      </c>
      <c r="X129" s="133"/>
      <c r="Y129" s="135" t="str">
        <f>IF(C109="","",[1]AB5!$AA$16)</f>
        <v>Rules For Re Entry</v>
      </c>
      <c r="Z129" s="136"/>
      <c r="AA129" s="133"/>
      <c r="AB129" s="78"/>
      <c r="AC129" s="78"/>
    </row>
    <row r="130" spans="1:29" ht="24" customHeight="1" x14ac:dyDescent="0.2">
      <c r="A130" s="18" t="str">
        <f>IF(C109="","",CONCATENATE(C110,[1]AB5!$A$25))</f>
        <v>S4A</v>
      </c>
      <c r="B130" s="79" t="str">
        <f>IF(C109="","",[1]AB5!$B$25)</f>
        <v xml:space="preserve">ORPT </v>
      </c>
      <c r="C130" s="80" t="str">
        <f>IF(C109="","",[1]AB5!$C$25)</f>
        <v xml:space="preserve"> RC. Time</v>
      </c>
      <c r="D130" s="137" t="str">
        <f>IF(C109="","",[1]AB5!$D$25)</f>
        <v>For Long SL</v>
      </c>
      <c r="E130" s="59"/>
      <c r="F130" s="138" t="str">
        <f>IF(C109="","",CONCATENATE([1]AB5!$G$25,TEXT(B127,"HH:MM:SS AM/PM"),[1]AB5!$B$22,[1]AB5!$H$25))</f>
        <v>Check If 09:19:59 AM LL &lt; Long SL</v>
      </c>
      <c r="G130" s="76"/>
      <c r="H130" s="139" t="str">
        <f>IF(C109="","",[1]AB5!$I$25)</f>
        <v>No</v>
      </c>
      <c r="I130" s="27"/>
      <c r="J130" s="140" t="str">
        <f>IF(C109="","",[1]AB5!$K$25)</f>
        <v>FSL / TRP Not Missed</v>
      </c>
      <c r="K130" s="141" t="str">
        <f>IF(C109="","",[1]AB5!$L$25)</f>
        <v>Place the Order at ORPT</v>
      </c>
      <c r="L130" s="142"/>
      <c r="M130" s="142"/>
      <c r="N130" s="27"/>
      <c r="O130" s="141" t="str">
        <f>IF(C109="","",[1]AB5!$P$25)</f>
        <v>ORPT Time</v>
      </c>
      <c r="P130" s="27"/>
      <c r="Q130" s="143">
        <f>IF(C109="","",B127)</f>
        <v>0.38888194444444446</v>
      </c>
      <c r="R130" s="27"/>
      <c r="S130" s="141" t="str">
        <f>IF(C109="","",[1]AB5!$U$25)</f>
        <v>N.A.</v>
      </c>
      <c r="T130" s="142"/>
      <c r="U130" s="27"/>
      <c r="V130" s="140" t="str">
        <f>IF(C109="","",[1]AB5!$W$25)</f>
        <v>N.A.</v>
      </c>
      <c r="W130" s="144" t="str">
        <f>IF(C109="","",[1]AB5!$X$25)</f>
        <v>N.A.</v>
      </c>
      <c r="X130" s="29"/>
      <c r="Y130" s="117" t="str">
        <f>IF(C109="","",[1]AB5!$AA$25)</f>
        <v xml:space="preserve">Short Entry : Bull/ Bull CF : </v>
      </c>
      <c r="Z130" s="12"/>
      <c r="AA130" s="59"/>
      <c r="AB130" s="68"/>
      <c r="AC130" s="68"/>
    </row>
    <row r="131" spans="1:29" ht="24" customHeight="1" thickBot="1" x14ac:dyDescent="0.25">
      <c r="A131" s="18" t="str">
        <f>IF(C109="","",CONCATENATE(C110,[1]AB5!$A$26))</f>
        <v>S4B</v>
      </c>
      <c r="B131" s="119">
        <f t="array" ref="B131">IF(C109="","",INDEX([1]AB4!BG:BG,MATCH(A130,[1]AB4!B:B,0)))</f>
        <v>0.38541666666666669</v>
      </c>
      <c r="C131" s="120" t="str">
        <f t="array" ref="C131">IF(C109="","",INDEX([1]AB4!BG:BG,MATCH(A131,[1]AB4!B:B,0)))</f>
        <v>N.A.</v>
      </c>
      <c r="D131" s="64"/>
      <c r="E131" s="59"/>
      <c r="F131" s="64"/>
      <c r="G131" s="12"/>
      <c r="H131" s="113" t="str">
        <f>IF(C109="","",[1]AB5!$I$26)</f>
        <v>Yes</v>
      </c>
      <c r="I131" s="83"/>
      <c r="J131" s="114" t="str">
        <f>IF(C109="","",[1]AB5!$K$26)</f>
        <v>FSL / TRP Missed</v>
      </c>
      <c r="K131" s="110" t="str">
        <f>IF(C109="","",[1]AB5!$L$26)</f>
        <v>Recalcuate : Long FSL / TRP : Bull / Bull CF</v>
      </c>
      <c r="L131" s="88"/>
      <c r="M131" s="88"/>
      <c r="N131" s="85"/>
      <c r="O131" s="110" t="str">
        <f>IF(C109="","",[1]AB5!$P$26)</f>
        <v>Wait Till Recalculation Time</v>
      </c>
      <c r="P131" s="85"/>
      <c r="Q131" s="111">
        <f>IF(C109="","",C127)</f>
        <v>0.39582638888888888</v>
      </c>
      <c r="R131" s="85"/>
      <c r="S131" s="110" t="str">
        <f>IF(C109="","",CONCATENATE(V131," ",[1]AB5!$Z$26," ",TEXT(W131,"0.00%")))</f>
        <v>09:29:59 AM LL - 0.15%</v>
      </c>
      <c r="T131" s="88"/>
      <c r="U131" s="85"/>
      <c r="V131" s="116" t="str">
        <f>IF(C109="","",CONCATENATE(TEXT(Q131,"HH:MM:SS AM/PM"),[1]AB5!$U$26))</f>
        <v>09:29:59 AM LL</v>
      </c>
      <c r="W131" s="112" t="str">
        <f t="array" ref="W131">IF(C109="","",TEXT(INDEX([1]AB4!BL:BL,MATCH(A110,[1]AB4!B:B,0)),"0.00%"))</f>
        <v>0.15%</v>
      </c>
      <c r="X131" s="91"/>
      <c r="Y131" s="145"/>
      <c r="Z131" s="145"/>
      <c r="AA131" s="104"/>
      <c r="AB131" s="68"/>
      <c r="AC131" s="68"/>
    </row>
    <row r="132" spans="1:29" ht="24" customHeight="1" x14ac:dyDescent="0.2">
      <c r="A132" s="18"/>
      <c r="B132" s="62" t="str">
        <f>IF(C109="","",[1]AB5!$B$27)</f>
        <v>I Commit To Follow The Rules &amp; Process</v>
      </c>
      <c r="C132" s="63"/>
      <c r="D132" s="64"/>
      <c r="E132" s="59"/>
      <c r="F132" s="64"/>
      <c r="G132" s="12"/>
      <c r="H132" s="48"/>
      <c r="I132" s="95"/>
      <c r="J132" s="146"/>
      <c r="K132" s="110" t="str">
        <f>IF(C109="","",[1]AB5!$L$27)</f>
        <v>Recalcuate : Long FSL / TRP : Bear / Bear CF</v>
      </c>
      <c r="L132" s="88"/>
      <c r="M132" s="88"/>
      <c r="N132" s="85"/>
      <c r="O132" s="110" t="str">
        <f>IF(C109="","",[1]AB5!$P$27)</f>
        <v>Wait Till Recalculation Time</v>
      </c>
      <c r="P132" s="85"/>
      <c r="Q132" s="111">
        <f>IF(C109="","",C127)</f>
        <v>0.39582638888888888</v>
      </c>
      <c r="R132" s="85"/>
      <c r="S132" s="110" t="str">
        <f>IF(C110="","",CONCATENATE(V132," ",[1]AB5!$Z$26," ",TEXT(W132,"0.00%")))</f>
        <v>09:29:59 AM LL - 0.15%</v>
      </c>
      <c r="T132" s="88"/>
      <c r="U132" s="85"/>
      <c r="V132" s="116" t="str">
        <f>IF(C109="","",CONCATENATE(TEXT(Q131,"HH:MM:SS AM/PM"),[1]AB5!$U$27))</f>
        <v>09:29:59 AM LL</v>
      </c>
      <c r="W132" s="112" t="str">
        <f t="array" ref="W132">IF(C109="","",TEXT(INDEX([1]AB4!BL:BL,MATCH(A110,[1]AB4!B:B,0)),"0.00%"))</f>
        <v>0.15%</v>
      </c>
      <c r="X132" s="91"/>
      <c r="Y132" s="147" t="str">
        <f>IF(C109="","",CONCATENATE([1]AB5!$T$28," ( ",G112," or ",[1]AB5!$AA$26," ",[1]AB5!$Z$28," ",TEXT(W133,"0.00%")," )"))</f>
        <v>Min ( FUT : PRV : 2DLL - 0.15% or  CDLL - 0.15% )</v>
      </c>
      <c r="Z132" s="148"/>
      <c r="AA132" s="63"/>
      <c r="AB132" s="68"/>
      <c r="AC132" s="68"/>
    </row>
    <row r="133" spans="1:29" ht="33" customHeight="1" x14ac:dyDescent="0.2">
      <c r="A133" s="18"/>
      <c r="B133" s="64"/>
      <c r="C133" s="59"/>
      <c r="D133" s="64"/>
      <c r="E133" s="59"/>
      <c r="F133" s="64"/>
      <c r="G133" s="12"/>
      <c r="H133" s="48"/>
      <c r="I133" s="95"/>
      <c r="J133" s="146"/>
      <c r="K133" s="110" t="str">
        <f>IF(C109="","",[1]AB5!$L$28)</f>
        <v>Recalcuate : Short Entry : Bull / Bull CF</v>
      </c>
      <c r="L133" s="88"/>
      <c r="M133" s="88"/>
      <c r="N133" s="85"/>
      <c r="O133" s="110" t="str">
        <f>IF(C109="","",[1]AB5!$P$28)</f>
        <v>Wait Till Recalculation Time</v>
      </c>
      <c r="P133" s="85"/>
      <c r="Q133" s="111">
        <f>IF(C109="","",C123)</f>
        <v>0.39582638888888888</v>
      </c>
      <c r="R133" s="85"/>
      <c r="S133" s="115" t="str">
        <f>IF(C109="","",CONCATENATE([1]AB5!$T$28," ( ",G112," or ",V133," ",[1]AB5!$Z$28," ",TEXT(W133,"0.00%")," )"))</f>
        <v>Min ( FUT : PRV : 2DLL - 0.15% or 09:29:59 AM LL - 0.15% )</v>
      </c>
      <c r="T133" s="88"/>
      <c r="U133" s="85"/>
      <c r="V133" s="116" t="str">
        <f>IF(C109="","",CONCATENATE(TEXT(Q133,"HH:MM:SS AM/PM"),[1]AB5!$U$28))</f>
        <v>09:29:59 AM LL</v>
      </c>
      <c r="W133" s="112" t="str">
        <f t="array" ref="W133">IF(C109="","",TEXT(INDEX([1]AB4!BK:BK,MATCH(A112,[1]AB4!B:B,0)),"0.00%"))</f>
        <v>0.15%</v>
      </c>
      <c r="X133" s="91"/>
      <c r="Y133" s="145"/>
      <c r="Z133" s="145"/>
      <c r="AA133" s="104"/>
      <c r="AB133" s="68"/>
      <c r="AC133" s="68"/>
    </row>
    <row r="134" spans="1:29" ht="33" customHeight="1" thickBot="1" x14ac:dyDescent="0.25">
      <c r="A134" s="18"/>
      <c r="B134" s="60"/>
      <c r="C134" s="66"/>
      <c r="D134" s="103"/>
      <c r="E134" s="104"/>
      <c r="F134" s="103"/>
      <c r="G134" s="145"/>
      <c r="H134" s="51"/>
      <c r="I134" s="105"/>
      <c r="J134" s="53"/>
      <c r="K134" s="110" t="str">
        <f>IF(C109="","",[1]AB5!$L$29)</f>
        <v>Recalcuate : Short Entry : Bear / Bear CF</v>
      </c>
      <c r="L134" s="88"/>
      <c r="M134" s="88"/>
      <c r="N134" s="85"/>
      <c r="O134" s="110" t="str">
        <f>IF(C109="","",[1]AB5!$P$29)</f>
        <v>Wait Till Recalculation Time</v>
      </c>
      <c r="P134" s="85"/>
      <c r="Q134" s="111">
        <f>IF(C109="","",C123)</f>
        <v>0.39582638888888888</v>
      </c>
      <c r="R134" s="85"/>
      <c r="S134" s="115" t="str">
        <f>IF(C109="","",CONCATENATE([1]AB5!$T$29," ( ",G118," or ",V134," ",[1]AB5!$Z$29," ",TEXT(W134,"0.00%")," )"))</f>
        <v>Min ( FUT : PRV : 2DLL - 0.15% or 09:29:59 AM LL - 0.15% )</v>
      </c>
      <c r="T134" s="88"/>
      <c r="U134" s="85"/>
      <c r="V134" s="116" t="str">
        <f>IF(C109="","",CONCATENATE(TEXT(Q134,"HH:MM:SS AM/PM"),[1]AB5!$U$29))</f>
        <v>09:29:59 AM LL</v>
      </c>
      <c r="W134" s="112" t="str">
        <f t="array" ref="W134">IF(C109="","",TEXT(INDEX([1]AB4!BK:BK,MATCH(A118,[1]AB4!B:B,0)),"0.00%"))</f>
        <v>0.15%</v>
      </c>
      <c r="X134" s="91"/>
      <c r="Y134" s="149" t="str">
        <f>IF(C109="","",[1]AB5!$AA$29)</f>
        <v xml:space="preserve">Short Entry : Bear/ Bear CF : </v>
      </c>
      <c r="Z134" s="88"/>
      <c r="AA134" s="91"/>
      <c r="AB134" s="68"/>
      <c r="AC134" s="68"/>
    </row>
    <row r="135" spans="1:29" ht="21.75" customHeight="1" x14ac:dyDescent="0.2">
      <c r="A135" s="18"/>
      <c r="B135" s="150" t="str">
        <f>IF(C109="","",IF([1]AB5!$B$12="","",[1]AB5!$B$30))</f>
        <v>By Asmita Patel.</v>
      </c>
      <c r="C135" s="71"/>
      <c r="D135" s="81" t="str">
        <f>IF(C109="","",[1]AB5!$D$30)</f>
        <v>For Short SL</v>
      </c>
      <c r="E135" s="63"/>
      <c r="F135" s="151" t="str">
        <f>IF(C109="","",CONCATENATE([1]AB5!$G$30,TEXT(B127,"HH:MM:SS AM/PM"),[1]AB5!$B$22,[1]AB5!$H$30))</f>
        <v>Check If 09:19:59 AM HH &gt; Short SL</v>
      </c>
      <c r="G135" s="83"/>
      <c r="H135" s="84" t="str">
        <f>IF(C109="","",[1]AB5!$I$30)</f>
        <v>No</v>
      </c>
      <c r="I135" s="85"/>
      <c r="J135" s="86" t="str">
        <f>IF(C109="","",[1]AB5!$K$30)</f>
        <v>FSL / TRP Not Missed</v>
      </c>
      <c r="K135" s="87" t="str">
        <f>IF(C109="","",[1]AB5!$L$30)</f>
        <v>Place the Order at ORPT</v>
      </c>
      <c r="L135" s="88"/>
      <c r="M135" s="88"/>
      <c r="N135" s="85"/>
      <c r="O135" s="87" t="str">
        <f>IF(C109="","",[1]AB5!$P$30)</f>
        <v>ORPT Time</v>
      </c>
      <c r="P135" s="85"/>
      <c r="Q135" s="89">
        <f>IF(C109="","",B127)</f>
        <v>0.38888194444444446</v>
      </c>
      <c r="R135" s="85"/>
      <c r="S135" s="87" t="str">
        <f>IF(C109="","",[1]AB5!$T$30)</f>
        <v>N.A.</v>
      </c>
      <c r="T135" s="88"/>
      <c r="U135" s="85"/>
      <c r="V135" s="86" t="str">
        <f>IF(C109="","",[1]AB5!$W$30)</f>
        <v>N.A.</v>
      </c>
      <c r="W135" s="90" t="str">
        <f>IF(C109="","",[1]AB5!$X$30)</f>
        <v>N.A.</v>
      </c>
      <c r="X135" s="91"/>
      <c r="Y135" s="147" t="str">
        <f>IF(C109="","",CONCATENATE([1]AB5!$T$29," ( ",G118," or ",[1]AB5!$AA$30," ",[1]AB5!$Z$29," ",TEXT(W134,"0.00%")," )"))</f>
        <v>Min ( FUT : PRV : 2DLL - 0.15% or  CDLL - 0.15% )</v>
      </c>
      <c r="Z135" s="148"/>
      <c r="AA135" s="63"/>
      <c r="AB135" s="68"/>
      <c r="AC135" s="68"/>
    </row>
    <row r="136" spans="1:29" ht="21.75" customHeight="1" x14ac:dyDescent="0.2">
      <c r="A136" s="152"/>
      <c r="B136" s="64"/>
      <c r="C136" s="59"/>
      <c r="D136" s="64"/>
      <c r="E136" s="59"/>
      <c r="F136" s="64"/>
      <c r="G136" s="95"/>
      <c r="H136" s="96" t="str">
        <f>IF(C109="","",[1]AB5!$I$31)</f>
        <v>Yes</v>
      </c>
      <c r="I136" s="83"/>
      <c r="J136" s="97" t="str">
        <f>IF(C109="","",[1]AB5!$K$31)</f>
        <v>FSL / TRP Missed</v>
      </c>
      <c r="K136" s="87" t="str">
        <f>IF(C109="","",[1]AB5!$L$31)</f>
        <v>Recalcuate : Short FSL / TRP : Bull / Bull CF</v>
      </c>
      <c r="L136" s="88"/>
      <c r="M136" s="88"/>
      <c r="N136" s="85"/>
      <c r="O136" s="87" t="str">
        <f>IF(C109="","",[1]AB5!$P$31)</f>
        <v>Wait Till Recalculation Time</v>
      </c>
      <c r="P136" s="85"/>
      <c r="Q136" s="89">
        <f>IF(C109="","",C127)</f>
        <v>0.39582638888888888</v>
      </c>
      <c r="R136" s="85"/>
      <c r="S136" s="87" t="str">
        <f>IF(C109="","",CONCATENATE(V136," ",[1]AB5!$Z$31," ",TEXT(W136,"0.00%")))</f>
        <v>09:29:59 AM HH + 0.15%</v>
      </c>
      <c r="T136" s="88"/>
      <c r="U136" s="85"/>
      <c r="V136" s="153" t="str">
        <f>IF(C109="","",CONCATENATE(TEXT(Q136,"HH:MM:SS AM/PM"),[1]AB5!$U$31))</f>
        <v>09:29:59 AM HH</v>
      </c>
      <c r="W136" s="90" t="str">
        <f t="array" ref="W136">IF(C109="","",TEXT(INDEX([1]AB4!BL:BL,MATCH(A118,[1]AB4!B:B,0)),"0.00%"))</f>
        <v>0.15%</v>
      </c>
      <c r="X136" s="91"/>
      <c r="Y136" s="12"/>
      <c r="Z136" s="12"/>
      <c r="AA136" s="59"/>
      <c r="AB136" s="68"/>
      <c r="AC136" s="68"/>
    </row>
    <row r="137" spans="1:29" ht="22.5" customHeight="1" x14ac:dyDescent="0.2">
      <c r="A137" s="152"/>
      <c r="B137" s="64"/>
      <c r="C137" s="59"/>
      <c r="D137" s="64"/>
      <c r="E137" s="59"/>
      <c r="F137" s="64"/>
      <c r="G137" s="95"/>
      <c r="H137" s="48"/>
      <c r="I137" s="95"/>
      <c r="J137" s="146"/>
      <c r="K137" s="87" t="str">
        <f>IF(C109="","",[1]AB5!$L$32)</f>
        <v>Recalcuate : Short FSL / TRP : Bear / Bear CF</v>
      </c>
      <c r="L137" s="88"/>
      <c r="M137" s="88"/>
      <c r="N137" s="85"/>
      <c r="O137" s="87" t="str">
        <f>IF(C109="","",[1]AB5!$P$32)</f>
        <v>Wait Till Recalculation Time</v>
      </c>
      <c r="P137" s="85"/>
      <c r="Q137" s="89">
        <f>IF(C109="","",C127)</f>
        <v>0.39582638888888888</v>
      </c>
      <c r="R137" s="85"/>
      <c r="S137" s="87" t="str">
        <f>IF(C110="","",CONCATENATE(V137," ",[1]AB5!$Z$31," ",TEXT(W137,"0.00%")))</f>
        <v>09:29:59 AM HH + 0.15%</v>
      </c>
      <c r="T137" s="88"/>
      <c r="U137" s="85"/>
      <c r="V137" s="153" t="str">
        <f>IF(C109="","",CONCATENATE(TEXT(Q136,"HH:MM:SS AM/PM"),[1]AB5!$U$32))</f>
        <v>09:29:59 AM HH</v>
      </c>
      <c r="W137" s="90" t="str">
        <f t="array" ref="W137">IF(C109="","",TEXT(INDEX([1]AB4!BL:BL,MATCH(A118,[1]AB4!B:B,0)),"0.00%"))</f>
        <v>0.15%</v>
      </c>
      <c r="X137" s="91"/>
      <c r="Y137" s="145"/>
      <c r="Z137" s="145"/>
      <c r="AA137" s="104"/>
      <c r="AB137" s="68"/>
      <c r="AC137" s="68"/>
    </row>
    <row r="138" spans="1:29" ht="33" customHeight="1" x14ac:dyDescent="0.2">
      <c r="A138" s="152"/>
      <c r="B138" s="64"/>
      <c r="C138" s="59"/>
      <c r="D138" s="64"/>
      <c r="E138" s="59"/>
      <c r="F138" s="64"/>
      <c r="G138" s="95"/>
      <c r="H138" s="48"/>
      <c r="I138" s="95"/>
      <c r="J138" s="146"/>
      <c r="K138" s="87" t="str">
        <f>IF(C109="","",[1]AB5!$L$33)</f>
        <v>Recalcuate : Long Entry : Bull / Bull CF</v>
      </c>
      <c r="L138" s="88"/>
      <c r="M138" s="88"/>
      <c r="N138" s="85"/>
      <c r="O138" s="87" t="str">
        <f>IF(C109="","",[1]AB5!$P$33)</f>
        <v>Wait Till Recalculation Time</v>
      </c>
      <c r="P138" s="85"/>
      <c r="Q138" s="89">
        <f>IF(C109="","",C123)</f>
        <v>0.39582638888888888</v>
      </c>
      <c r="R138" s="85"/>
      <c r="S138" s="98" t="str">
        <f>IF(C109="","",CONCATENATE([1]AB5!$T$33," ( ",G109," or ",V138," ",[1]AB5!$Z$33," ",TEXT(W138,"0.00%")," )"))</f>
        <v>Max ( FUT : PRV : 2DHH + 0.15% or 09:29:59 AM HH + 0.15% )</v>
      </c>
      <c r="T138" s="88"/>
      <c r="U138" s="85"/>
      <c r="V138" s="99" t="str">
        <f>IF(C109="","",CONCATENATE(TEXT(Q138,"HH:MM:SS AM/PM"),[1]AB5!$U$33))</f>
        <v>09:29:59 AM HH</v>
      </c>
      <c r="W138" s="90" t="str">
        <f t="array" ref="W138">IF(C109="","",TEXT(INDEX([1]AB4!BK:BK,MATCH(A109,[1]AB4!B:B,0)),"0.00%"))</f>
        <v>0.15%</v>
      </c>
      <c r="X138" s="91"/>
      <c r="Y138" s="117" t="str">
        <f>IF(C109="","",[1]AB5!$AA$33)</f>
        <v>When Your Short Position is Exited</v>
      </c>
      <c r="Z138" s="118"/>
      <c r="AA138" s="59"/>
      <c r="AB138" s="68"/>
      <c r="AC138" s="68"/>
    </row>
    <row r="139" spans="1:29" ht="33" customHeight="1" thickBot="1" x14ac:dyDescent="0.25">
      <c r="A139" s="152"/>
      <c r="B139" s="60"/>
      <c r="C139" s="66"/>
      <c r="D139" s="60"/>
      <c r="E139" s="66"/>
      <c r="F139" s="60"/>
      <c r="G139" s="121"/>
      <c r="H139" s="102"/>
      <c r="I139" s="121"/>
      <c r="J139" s="122"/>
      <c r="K139" s="154" t="str">
        <f>IF(C109="","",[1]AB5!$L$34)</f>
        <v>Recalcuate : Long Entry : Bear / Bear CF</v>
      </c>
      <c r="L139" s="124"/>
      <c r="M139" s="124"/>
      <c r="N139" s="38"/>
      <c r="O139" s="154" t="str">
        <f>IF(C109="","",[1]AB5!$P$34)</f>
        <v>Wait Till Recalculation Time</v>
      </c>
      <c r="P139" s="38"/>
      <c r="Q139" s="155">
        <f>IF(C109="","",C123)</f>
        <v>0.39582638888888888</v>
      </c>
      <c r="R139" s="38"/>
      <c r="S139" s="156" t="str">
        <f>IF(C109="","",CONCATENATE([1]AB5!$T$34," ( ",G115," or ",V139," ",[1]AB5!$Z$34," ",TEXT(W139,"0.00%")," )"))</f>
        <v>Max ( FUT : PRV : 2DHH + 0.15% or 09:29:59 AM HH + 0.15% )</v>
      </c>
      <c r="T139" s="124"/>
      <c r="U139" s="38"/>
      <c r="V139" s="157" t="str">
        <f>IF(C109="","",CONCATENATE(TEXT(Q139,"HH:MM:SS AM/PM"),[1]AB5!$U$34))</f>
        <v>09:29:59 AM HH</v>
      </c>
      <c r="W139" s="158" t="str">
        <f t="array" ref="W139">IF(C109="","",TEXT(INDEX([1]AB4!BK:BK,MATCH(A115,[1]AB4!B:B,0)),"0.00%"))</f>
        <v>0.15%</v>
      </c>
      <c r="X139" s="41"/>
      <c r="Y139" s="117" t="str">
        <f>IF(C109="","",[1]AB5!$AA$34)</f>
        <v>This is Only Applicable for Same Day</v>
      </c>
      <c r="Z139" s="118"/>
      <c r="AA139" s="59"/>
      <c r="AB139" s="68"/>
      <c r="AC139" s="68"/>
    </row>
    <row r="140" spans="1:29" ht="21.75" customHeight="1" thickBot="1" x14ac:dyDescent="0.25">
      <c r="A140" s="152"/>
      <c r="B140" s="69" t="str">
        <f>IF(C109="","",[1]AB5!$B$35)</f>
        <v>For Missed SL (Position = Open)</v>
      </c>
      <c r="C140" s="29"/>
      <c r="D140" s="70" t="str">
        <f>IF(C109="","",[1]AB5!$D$36)</f>
        <v>Note: ( Optional )</v>
      </c>
      <c r="E140" s="71"/>
      <c r="F140" s="159" t="str">
        <f>IF(C109="","",[1]AB5!$I$35)</f>
        <v>For Long SL</v>
      </c>
      <c r="G140" s="136"/>
      <c r="H140" s="136"/>
      <c r="I140" s="136"/>
      <c r="J140" s="136"/>
      <c r="K140" s="136"/>
      <c r="L140" s="136"/>
      <c r="M140" s="136"/>
      <c r="N140" s="136"/>
      <c r="O140" s="136"/>
      <c r="P140" s="133"/>
      <c r="Q140" s="159" t="str">
        <f>IF(N109="","",[1]AB5!$T$35)</f>
        <v>For Short SL</v>
      </c>
      <c r="R140" s="136"/>
      <c r="S140" s="136"/>
      <c r="T140" s="136"/>
      <c r="U140" s="136"/>
      <c r="V140" s="136"/>
      <c r="W140" s="136"/>
      <c r="X140" s="136"/>
      <c r="Y140" s="136"/>
      <c r="Z140" s="136"/>
      <c r="AA140" s="133"/>
      <c r="AB140" s="68"/>
      <c r="AC140" s="68"/>
    </row>
    <row r="141" spans="1:29" ht="36" customHeight="1" x14ac:dyDescent="0.2">
      <c r="A141" s="152"/>
      <c r="B141" s="160" t="str">
        <f>IF(C109="","",[1]AB5!$B$36)</f>
        <v>Check time</v>
      </c>
      <c r="C141" s="91"/>
      <c r="D141" s="64"/>
      <c r="E141" s="59"/>
      <c r="F141" s="161" t="str">
        <f>IF(C109="","",CONCATENATE([1]AB5!$G$36,TEXT(B142,"HH:MM:SS AM/PM"),[1]AB5!$B$37,[1]AB5!$H$36))</f>
        <v>Check If Close at 03:00:00 PM  &lt; Long Original SL</v>
      </c>
      <c r="G141" s="85"/>
      <c r="H141" s="162" t="str">
        <f>IF(C109="","",[1]AB5!$I$36)</f>
        <v>Yes</v>
      </c>
      <c r="I141" s="105"/>
      <c r="J141" s="163" t="str">
        <f>IF(C109="","",CONCATENATE([1]AB5!$K$36,TEXT(B142,"HH:MM:SS AM/PM")))</f>
        <v xml:space="preserve"> Then Square Off The Position At CMP at 03:00:00 PM</v>
      </c>
      <c r="K141" s="145"/>
      <c r="L141" s="145"/>
      <c r="M141" s="145"/>
      <c r="N141" s="145"/>
      <c r="O141" s="145"/>
      <c r="P141" s="104"/>
      <c r="Q141" s="164" t="str">
        <f>IF(C109="","",CONCATENATE([1]AB5!$T$36,TEXT(B142,"HH:MM:SS AM/PM"),[1]AB5!$B$37,[1]AB5!$U$36))</f>
        <v>Check If Close at 03:00:00 PM  &gt; Short Original SL</v>
      </c>
      <c r="R141" s="145"/>
      <c r="S141" s="105"/>
      <c r="T141" s="165" t="str">
        <f>IF(C109="","",[1]AB5!$I$36)</f>
        <v>Yes</v>
      </c>
      <c r="U141" s="166" t="str">
        <f>IF(C109="","",CONCATENATE([1]AB5!$W$36,TEXT(B142,"HH:MM:SS AM/PM")))</f>
        <v xml:space="preserve"> Then Square Off The Position At CMP at 03:00:00 PM</v>
      </c>
      <c r="V141" s="145"/>
      <c r="W141" s="145"/>
      <c r="X141" s="145"/>
      <c r="Y141" s="145"/>
      <c r="Z141" s="145"/>
      <c r="AA141" s="104"/>
      <c r="AB141" s="68"/>
      <c r="AC141" s="167"/>
    </row>
    <row r="142" spans="1:29" ht="36" customHeight="1" thickBot="1" x14ac:dyDescent="0.25">
      <c r="A142" s="152"/>
      <c r="B142" s="168">
        <f t="array" ref="B142">IF(C109="","",INDEX([1]AB4!CU:CU,MATCH(A130,[1]AB4!B:B,0)))</f>
        <v>0.625</v>
      </c>
      <c r="C142" s="41"/>
      <c r="D142" s="60"/>
      <c r="E142" s="66"/>
      <c r="F142" s="169" t="str">
        <f>IF(C109="","",CONCATENATE([1]AB5!$G$37,TEXT(B142,"HH:MM:SS AM/PM"),[1]AB5!$B$37,[1]AB5!$H$37))</f>
        <v>Check If Close at 03:00:00 PM  &gt; Long Original SL</v>
      </c>
      <c r="G142" s="38"/>
      <c r="H142" s="170" t="str">
        <f>IF(C109="","",[1]AB5!$I$37)</f>
        <v>Yes</v>
      </c>
      <c r="I142" s="38"/>
      <c r="J142" s="156" t="str">
        <f>IF(C109="","",CONCATENATE([1]AB5!$K$37))</f>
        <v xml:space="preserve"> Then Continue the Position for Next Day And Calculate Stop Loss Price as per the Rules</v>
      </c>
      <c r="K142" s="124"/>
      <c r="L142" s="124"/>
      <c r="M142" s="124"/>
      <c r="N142" s="124"/>
      <c r="O142" s="124"/>
      <c r="P142" s="41"/>
      <c r="Q142" s="169" t="str">
        <f>IF(C109="","",CONCATENATE([1]AB5!$T$37,TEXT(B142,"HH:MM:SS AM/PM"),[1]AB5!$B$37,[1]AB5!$U$37))</f>
        <v>Check If Close at 03:00:00 PM  &lt; Short Original SL</v>
      </c>
      <c r="R142" s="124"/>
      <c r="S142" s="38"/>
      <c r="T142" s="171" t="str">
        <f>IF(C110="","",[1]AB5!$I$36)</f>
        <v>Yes</v>
      </c>
      <c r="U142" s="156" t="str">
        <f>IF(C109="","",CONCATENATE([1]AB5!$W$37))</f>
        <v xml:space="preserve"> Then Continue the Position for Next Day And Calculate Stop Loss Price as per the Rules</v>
      </c>
      <c r="V142" s="124"/>
      <c r="W142" s="124"/>
      <c r="X142" s="124"/>
      <c r="Y142" s="124"/>
      <c r="Z142" s="124"/>
      <c r="AA142" s="41"/>
      <c r="AB142" s="68"/>
      <c r="AC142" s="167"/>
    </row>
    <row r="143" spans="1:29" ht="15.75" customHeight="1" thickBot="1" x14ac:dyDescent="0.25">
      <c r="A143" s="177"/>
    </row>
    <row r="144" spans="1:29" ht="30.75" customHeight="1" x14ac:dyDescent="0.2">
      <c r="A144" s="18" t="str">
        <f>IF(C144="","",CONCATENATE(C145,[1]AB5!$A$4))</f>
        <v>S5A</v>
      </c>
      <c r="B144" s="20" t="str">
        <f>IF(C144="","",IF([1]AB5!$B$4="","",[1]AB5!$B$4))</f>
        <v>Sr. No.</v>
      </c>
      <c r="C144" s="172">
        <v>5</v>
      </c>
      <c r="D144" s="173" t="str">
        <f>IF(C144="","",[1]AB5!$D$4)</f>
        <v>BULL / BULL CF</v>
      </c>
      <c r="E144" s="57" t="str">
        <f>IF(C144="","",[1]AB5!$F$4)</f>
        <v>BUY</v>
      </c>
      <c r="F144" s="58" t="str">
        <f>IF(C144="","",[1]AB5!$G$4)</f>
        <v>E &amp; T</v>
      </c>
      <c r="G144" s="25" t="str">
        <f t="array" ref="G144">IF(C144="","",CONCATENATE(INDEX([1]AB4!G:G,MATCH(A144,[1]AB4!B:B,0)),INDEX([1]AB4!H:H,MATCH(A144,[1]AB4!B:B,0)),TEXT(INDEX([1]AB4!I:I,MATCH(A144,[1]AB4!B:B,0)),"0.00%")))</f>
        <v>FUT : PRV : 2DHH + 0.00%</v>
      </c>
      <c r="H144" s="26">
        <f t="array" ref="H144">IF(C144="","",INDEX([1]AB4!J:J,MATCH(A144,[1]AB4!B:B,0)))</f>
        <v>5</v>
      </c>
      <c r="I144" s="27"/>
      <c r="J144" s="28" t="str">
        <f t="array" ref="J144">IF(C144="","",CONCATENATE(INDEX([1]AB4!L:L,MATCH(A144,[1]AB4!B:B,0)),INDEX([1]AB4!M:M,MATCH(A144,[1]AB4!B:B,0)),TEXT(INDEX([1]AB4!N:N,MATCH(A144,[1]AB4!B:B,0)),"0.00%")))</f>
        <v>L : Entry  + 3.00%</v>
      </c>
      <c r="K144" s="26">
        <f t="array" ref="K144">IF(C144="","",INDEX([1]AB4!O:O,MATCH(A144,[1]AB4!B:B,0)))</f>
        <v>1</v>
      </c>
      <c r="L144" s="27"/>
      <c r="M144" s="28" t="str">
        <f t="array" ref="M144">IF(C144="","",CONCATENATE(INDEX([1]AB4!L:L,MATCH(A144,[1]AB4!B:B,0)),INDEX([1]AB4!M:M,MATCH(A144,[1]AB4!B:B,0)),TEXT(INDEX([1]AB4!P:P,MATCH(A144,[1]AB4!B:B,0)),"0.00%")))</f>
        <v>L : Entry  + 4.50%</v>
      </c>
      <c r="N144" s="26">
        <f t="array" ref="N144">IF(C144="","",INDEX([1]AB4!Q:Q,MATCH(A144,[1]AB4!B:B,0)))</f>
        <v>1</v>
      </c>
      <c r="O144" s="27"/>
      <c r="P144" s="28" t="str">
        <f t="array" ref="P144">IF(C144="","",CONCATENATE(INDEX([1]AB4!L:L,MATCH(A144,[1]AB4!B:B,0)),INDEX([1]AB4!M:M,MATCH(A144,[1]AB4!B:B,0)),TEXT(INDEX([1]AB4!R:R,MATCH(A144,[1]AB4!B:B,0)),"0.00%")))</f>
        <v>L : Entry  + 6.00%</v>
      </c>
      <c r="Q144" s="26">
        <f t="array" ref="Q144">IF(C144="","",INDEX([1]AB4!S:S,MATCH(A144,[1]AB4!B:B,0)))</f>
        <v>1</v>
      </c>
      <c r="R144" s="27"/>
      <c r="S144" s="28" t="str">
        <f t="array" ref="S144">IF(C144="","",CONCATENATE(INDEX([1]AB4!L:L,MATCH(A144,[1]AB4!B:B,0)),INDEX([1]AB4!M:M,MATCH(A144,[1]AB4!B:B,0)),TEXT(INDEX([1]AB4!T:T,MATCH(A144,[1]AB4!B:B,0)),"0.00%")))</f>
        <v>L : Entry  + 8.00%</v>
      </c>
      <c r="T144" s="26">
        <f t="array" ref="T144">IF(C144="","",INDEX([1]AB4!U:U,MATCH(A144,[1]AB4!B:B,0)))</f>
        <v>1</v>
      </c>
      <c r="U144" s="27"/>
      <c r="V144" s="28" t="str">
        <f t="array" ref="V144">IF(C144="","",INDEX([1]AB4!V:V,MATCH(A144,[1]AB4!B:B,0)))</f>
        <v>TR PROFIT AFTER TGT 4</v>
      </c>
      <c r="W144" s="26">
        <f t="array" ref="W144">IF(C144="","",INDEX([1]AB4!W:W,MATCH(A144,[1]AB4!B:B,0)))</f>
        <v>1</v>
      </c>
      <c r="X144" s="27"/>
      <c r="Y144" s="28" t="str">
        <f t="array" ref="Y144">IF(C144="","",INDEX([1]AB4!X:X,MATCH(A144,[1]AB4!B:B,0)))</f>
        <v>N.A.</v>
      </c>
      <c r="Z144" s="26" t="str">
        <f t="array" ref="Z144">IF(C144="","",INDEX([1]AB4!Y:Y,MATCH(A144,[1]AB4!B:B,0)))</f>
        <v>N.A.</v>
      </c>
      <c r="AA144" s="29"/>
      <c r="AB144" s="30"/>
      <c r="AC144" s="30"/>
    </row>
    <row r="145" spans="1:29" ht="44.25" customHeight="1" thickBot="1" x14ac:dyDescent="0.25">
      <c r="A145" s="18" t="str">
        <f>IF(C144="","",CONCATENATE(C145,[1]AB5!$A$5))</f>
        <v>S5A</v>
      </c>
      <c r="B145" s="31" t="str">
        <f>IF(C144="","",IF([1]AB5!$B$5="","",[1]AB5!$B$5))</f>
        <v>Strategy Code</v>
      </c>
      <c r="C145" s="54" t="str">
        <f t="array" ref="C145">IF(C144="","",INDEX([1]AB2!B:B,MATCH(C144,[1]AB2!A:A,0)))</f>
        <v>S5</v>
      </c>
      <c r="D145" s="59"/>
      <c r="E145" s="60"/>
      <c r="F145" s="61" t="str">
        <f>IF(C144="","",[1]AB5!$G$5)</f>
        <v>SL / TRP</v>
      </c>
      <c r="G145" s="36" t="str">
        <f t="array" ref="G145">IF(C144="","",CONCATENATE(INDEX([1]AB4!AA:AA,MATCH(A145,[1]AB4!B:B,0))," ( ",INDEX([1]AB4!AE:AE,MATCH(A145,[1]AB4!B:B,0)),INDEX([1]AB4!AF:AF,MATCH(A145,[1]AB4!B:B,0)),TEXT(INDEX([1]AB4!AG:AG,MATCH(A145,[1]AB4!B:B,0)),"0.00%")," or ",INDEX([1]AB4!AK:AK,MATCH(A145,[1]AB4!B:B,0)),INDEX([1]AB4!AJ:AJ,MATCH(A145,[1]AB4!B:B,0)),TEXT(INDEX([1]AB4!AL:AL,MATCH(A145,[1]AB4!B:B,0)),"0.00%")," )"))</f>
        <v>Max ( L : Entry - 3.00% or FUT : PRV : 3DLL - 1.00% )</v>
      </c>
      <c r="H145" s="37">
        <f t="array" ref="H145">IF(C145="","",INDEX([1]AB4!AM:AM,MATCH(A145,[1]AB4!B:B,0)))</f>
        <v>5</v>
      </c>
      <c r="I145" s="38"/>
      <c r="J145" s="36" t="str">
        <f t="array" ref="J145">IF(C144="","",CONCATENATE(INDEX([1]AB4!AA:AA,MATCH(A145,[1]AB4!B:B,0))," ( ",INDEX([1]AB4!AE:AE,MATCH(A145,[1]AB4!B:B,0))," or ",INDEX([1]AB4!AN:AN,MATCH(A145,[1]AB4!B:B,0)),INDEX([1]AB4!AJ:AJ,MATCH(A145,[1]AB4!B:B,0)),TEXT(INDEX([1]AB4!AO:AO,MATCH(A145,[1]AB4!B:B,0)),"0.00%")," )"))</f>
        <v>Max ( L : Entry or FUT : PRV : 3DLL - 1.00% )</v>
      </c>
      <c r="K145" s="37">
        <f t="array" ref="K145">IF(C144="","",INDEX([1]AB4!AP:AP,MATCH(A145,[1]AB4!B:B,0)))</f>
        <v>4</v>
      </c>
      <c r="L145" s="38"/>
      <c r="M145" s="36" t="str">
        <f t="array" ref="M145">IF(C144="","",CONCATENATE(INDEX([1]AB4!AA:AA,MATCH(A145,[1]AB4!B:B,0))," ( ",INDEX([1]AB4!AE:AE,MATCH(A145,[1]AB4!B:B,0))," or ",INDEX([1]AB4!AQ:AQ,MATCH(A145,[1]AB4!B:B,0)),INDEX([1]AB4!AJ:AJ,MATCH(A145,[1]AB4!B:B,0)),TEXT(INDEX([1]AB4!AR:AR,MATCH(A145,[1]AB4!B:B,0)),"0.00%")," )"))</f>
        <v>Max ( L : Entry or FUT : PRV : 3DLL - 1.00% )</v>
      </c>
      <c r="N145" s="37">
        <f t="array" ref="N145">IF(C145="","",INDEX([1]AB4!AS:AS,MATCH(A145,[1]AB4!B:B,0)))</f>
        <v>3</v>
      </c>
      <c r="O145" s="38"/>
      <c r="P145" s="36" t="str">
        <f t="array" ref="P145">IF(C144="","",CONCATENATE(INDEX([1]AB4!AA:AA,MATCH(A145,[1]AB4!B:B,0))," ( ",INDEX([1]AB4!AE:AE,MATCH(A145,[1]AB4!B:B,0))," or ",INDEX([1]AB4!AT:AT,MATCH(A145,[1]AB4!B:B,0)),INDEX([1]AB4!AJ:AJ,MATCH(A145,[1]AB4!B:B,0)),TEXT(INDEX([1]AB4!AU:AU,MATCH(A145,[1]AB4!B:B,0)),"0.00%")," )"))</f>
        <v>Max ( L : Entry or FUT : PRV : 3DLL - 1.00% )</v>
      </c>
      <c r="Q145" s="37">
        <f t="array" ref="Q145">IF(C145="","",INDEX([1]AB4!AV:AV,MATCH(A145,[1]AB4!B:B,0)))</f>
        <v>2</v>
      </c>
      <c r="R145" s="38"/>
      <c r="S145" s="36" t="str">
        <f t="array" ref="S145">IF(C144="","",CONCATENATE(INDEX([1]AB4!AA:AA,MATCH(A145,[1]AB4!B:B,0))," ( ",INDEX([1]AB4!AE:AE,MATCH(A145,[1]AB4!B:B,0))," or ",INDEX([1]AB4!AW:AW,MATCH(A145,[1]AB4!B:B,0)),INDEX([1]AB4!AJ:AJ,MATCH(A145,[1]AB4!B:B,0)),TEXT(INDEX([1]AB4!AX:AX,MATCH(A145,[1]AB4!B:B,0)),"0.00%")," )"))</f>
        <v>Max ( L : Entry or FUT : PRV : 3DLL - 1.00% )</v>
      </c>
      <c r="T145" s="37">
        <f t="array" ref="T145">IF(C144="","",INDEX([1]AB4!AY:AY,MATCH(A145,[1]AB4!B:B,0)))</f>
        <v>1</v>
      </c>
      <c r="U145" s="38"/>
      <c r="V145" s="36" t="str">
        <f t="array" ref="V145">IF(C144="","",CONCATENATE(INDEX([1]AB4!AA:AA,MATCH(A145,[1]AB4!B:B,0))," ( ",INDEX([1]AB4!AE:AE,MATCH(A145,[1]AB4!B:B,0))," or ",INDEX([1]AB4!AW:AW,MATCH(A145,[1]AB4!B:B,0)),INDEX([1]AB4!AJ:AJ,MATCH(A145,[1]AB4!B:B,0)),TEXT(INDEX([1]AB4!AX:AX,MATCH(A145,[1]AB4!B:B,0)),"0.00%")," )"))</f>
        <v>Max ( L : Entry or FUT : PRV : 3DLL - 1.00% )</v>
      </c>
      <c r="W145" s="37">
        <f t="array" ref="W145">IF(C144="","",INDEX([1]AB4!AY:AY,MATCH(A145,[1]AB4!B:B,0)))</f>
        <v>1</v>
      </c>
      <c r="X145" s="38"/>
      <c r="Y145" s="40">
        <f t="array" ref="Y145">IF(C144="","",INDEX([1]AB4!AZ:AZ,MATCH(A145,[1]AB4!B:B,0)))</f>
        <v>0</v>
      </c>
      <c r="Z145" s="37">
        <f t="array" ref="Z145">IF(C144="","",INDEX([1]AB4!BB:BB,MATCH(A145,[1]AB4!B:B,0)))</f>
        <v>0</v>
      </c>
      <c r="AA145" s="41"/>
      <c r="AB145" s="30"/>
      <c r="AC145" s="30"/>
    </row>
    <row r="146" spans="1:29" ht="6" customHeight="1" thickBot="1" x14ac:dyDescent="0.25">
      <c r="A146" s="18" t="str">
        <f>IF(C144="","",CONCATENATE(C145,[1]AB5!A152))</f>
        <v>S5</v>
      </c>
      <c r="B146" s="42" t="str">
        <f>IF(C144="","",IF([1]AB5!$B$6="","",[1]AB5!$B$6))</f>
        <v>Unique Code</v>
      </c>
      <c r="C146" s="174" t="str">
        <f t="array" ref="C146">IF(C144="","",INDEX([1]AB2!N:N,MATCH(C144,[1]AB2!A:A,0)))</f>
        <v>STOCKS_FUT_MT_DIFF_2D_3D</v>
      </c>
      <c r="D146" s="59"/>
      <c r="E146" s="44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6"/>
      <c r="AB146" s="30"/>
      <c r="AC146" s="30"/>
    </row>
    <row r="147" spans="1:29" ht="30.75" customHeight="1" x14ac:dyDescent="0.2">
      <c r="A147" s="18" t="str">
        <f>IF(C144="","",CONCATENATE(C145,[1]AB5!$A$7))</f>
        <v>S5B</v>
      </c>
      <c r="B147" s="47"/>
      <c r="C147" s="175"/>
      <c r="D147" s="59"/>
      <c r="E147" s="65" t="str">
        <f>IF(C144="","",[1]AB5!$F$7)</f>
        <v>SELL</v>
      </c>
      <c r="F147" s="58" t="str">
        <f>IF(C144="","",[1]AB5!$G$7)</f>
        <v>E &amp; T</v>
      </c>
      <c r="G147" s="25" t="str">
        <f t="array" ref="G147">IF(C144="","",CONCATENATE(INDEX([1]AB4!G:G,MATCH(A147,[1]AB4!B:B,0)),INDEX([1]AB4!H:H,MATCH(A147,[1]AB4!B:B,0)),TEXT(INDEX([1]AB4!I:I,MATCH(A147,[1]AB4!B:B,0)),"0.00%")))</f>
        <v>FUT : PRV : 3DLL - 1.00%</v>
      </c>
      <c r="H147" s="26">
        <f t="array" ref="H147">IF(C144="","",INDEX([1]AB4!J:J,MATCH(A147,[1]AB4!B:B,0)))</f>
        <v>5</v>
      </c>
      <c r="I147" s="27"/>
      <c r="J147" s="28" t="str">
        <f t="array" ref="J147">IF(C144="","",CONCATENATE(INDEX([1]AB4!L:L,MATCH(A147,[1]AB4!B:B,0)),INDEX([1]AB4!M:M,MATCH(A147,[1]AB4!B:B,0)),TEXT(INDEX([1]AB4!N:N,MATCH(A147,[1]AB4!B:B,0)),"0.00%")))</f>
        <v>S : Entry  - 3.00%</v>
      </c>
      <c r="K147" s="26">
        <f t="array" ref="K147">IF(C144="","",INDEX([1]AB4!O:O,MATCH(A147,[1]AB4!B:B,0)))</f>
        <v>1</v>
      </c>
      <c r="L147" s="27"/>
      <c r="M147" s="28" t="str">
        <f t="array" ref="M147">IF(C144="","",CONCATENATE(INDEX([1]AB4!L:L,MATCH(A147,[1]AB4!B:B,0)),INDEX([1]AB4!M:M,MATCH(A147,[1]AB4!B:B,0)),TEXT(INDEX([1]AB4!P:P,MATCH(A147,[1]AB4!B:B,0)),"0.00%")))</f>
        <v>S : Entry  - 4.50%</v>
      </c>
      <c r="N147" s="26">
        <f t="array" ref="N147">IF(C144="","",INDEX([1]AB4!Q:Q,MATCH(A147,[1]AB4!B:B,0)))</f>
        <v>1</v>
      </c>
      <c r="O147" s="27"/>
      <c r="P147" s="28" t="str">
        <f t="array" ref="P147">IF(C144="","",CONCATENATE(INDEX([1]AB4!L:L,MATCH(A147,[1]AB4!B:B,0)),INDEX([1]AB4!M:M,MATCH(A147,[1]AB4!B:B,0)),TEXT(INDEX([1]AB4!R:R,MATCH(A147,[1]AB4!B:B,0)),"0.00%")))</f>
        <v>S : Entry  - 6.00%</v>
      </c>
      <c r="Q147" s="26">
        <f t="array" ref="Q147">IF(C144="","",INDEX([1]AB4!S:S,MATCH(A147,[1]AB4!B:B,0)))</f>
        <v>1</v>
      </c>
      <c r="R147" s="27"/>
      <c r="S147" s="28" t="str">
        <f t="array" ref="S147">IF(C144="","",CONCATENATE(INDEX([1]AB4!L:L,MATCH(A147,[1]AB4!B:B,0)),INDEX([1]AB4!M:M,MATCH(A147,[1]AB4!B:B,0)),TEXT(INDEX([1]AB4!T:T,MATCH(A147,[1]AB4!B:B,0)),"0.00%")))</f>
        <v>S : Entry  - 8.00%</v>
      </c>
      <c r="T147" s="26">
        <f t="array" ref="T147">IF(C144="","",INDEX([1]AB4!U:U,MATCH(A147,[1]AB4!B:B,0)))</f>
        <v>1</v>
      </c>
      <c r="U147" s="27"/>
      <c r="V147" s="28" t="str">
        <f t="array" ref="V147">IF(C144="","",INDEX([1]AB4!V:V,MATCH(A147,[1]AB4!B:B,0)))</f>
        <v>TR PROFIT AFTER TGT 4</v>
      </c>
      <c r="W147" s="26">
        <f t="array" ref="W147">IF(C144="","",INDEX([1]AB4!W:W,MATCH(A147,[1]AB4!B:B,0)))</f>
        <v>1</v>
      </c>
      <c r="X147" s="27"/>
      <c r="Y147" s="28" t="str">
        <f t="array" ref="Y147">IF(C144="","",INDEX([1]AB4!X:X,MATCH(A147,[1]AB4!B:B,0)))</f>
        <v>N.A.</v>
      </c>
      <c r="Z147" s="26" t="str">
        <f t="array" ref="Z147">IF(C144="","",INDEX([1]AB4!Y:Y,MATCH(A147,[1]AB4!B:B,0)))</f>
        <v>N.A.</v>
      </c>
      <c r="AA147" s="29"/>
      <c r="AB147" s="30"/>
      <c r="AC147" s="30"/>
    </row>
    <row r="148" spans="1:29" ht="44.25" customHeight="1" thickBot="1" x14ac:dyDescent="0.25">
      <c r="A148" s="18" t="str">
        <f>IF(C144="","",CONCATENATE(C145,[1]AB5!$A$8))</f>
        <v>S5B</v>
      </c>
      <c r="B148" s="50"/>
      <c r="C148" s="176"/>
      <c r="D148" s="66"/>
      <c r="E148" s="60"/>
      <c r="F148" s="61" t="str">
        <f>IF(C144="","",[1]AB5!$G$8)</f>
        <v>SL / TRP</v>
      </c>
      <c r="G148" s="36" t="str">
        <f t="array" ref="G148">IF(C144="","",CONCATENATE(INDEX([1]AB4!AA:AA,MATCH(A148,[1]AB4!B:B,0))," ( ",INDEX([1]AB4!AE:AE,MATCH(A148,[1]AB4!B:B,0)),INDEX([1]AB4!AF:AF,MATCH(A148,[1]AB4!B:B,0)),TEXT(INDEX([1]AB4!AG:AG,MATCH(A148,[1]AB4!B:B,0)),"0.00%")," or ",INDEX([1]AB4!AK:AK,MATCH(A148,[1]AB4!B:B,0)),INDEX([1]AB4!AJ:AJ,MATCH(A148,[1]AB4!B:B,0)),TEXT(INDEX([1]AB4!AL:AL,MATCH(A148,[1]AB4!B:B,0)),"0.00%")," )"))</f>
        <v>Min ( S : Entry + 3.00% or FUT : PRV : 2DHH + 0.00% )</v>
      </c>
      <c r="H148" s="37">
        <f t="array" ref="H148">IF(C144="","",INDEX([1]AB4!AM:AM,MATCH(A148,[1]AB4!B:B,0)))</f>
        <v>5</v>
      </c>
      <c r="I148" s="38"/>
      <c r="J148" s="36" t="str">
        <f t="array" ref="J148">IF(C144="","",CONCATENATE(INDEX([1]AB4!AA:AA,MATCH(A148,[1]AB4!B:B,0))," ( ",INDEX([1]AB4!AE:AE,MATCH(A148,[1]AB4!B:B,0))," or ",INDEX([1]AB4!AN:AN,MATCH(A148,[1]AB4!B:B,0)),INDEX([1]AB4!AJ:AJ,MATCH(A148,[1]AB4!B:B,0)),TEXT(INDEX([1]AB4!AO:AO,MATCH(A148,[1]AB4!B:B,0)),"0.00%")," )"))</f>
        <v>Min ( S : Entry or FUT : PRV : 2DHH + 0.00% )</v>
      </c>
      <c r="K148" s="37">
        <f t="array" ref="K148">IF(C144="","",INDEX([1]AB4!AP:AP,MATCH(A148,[1]AB4!B:B,0)))</f>
        <v>4</v>
      </c>
      <c r="L148" s="38"/>
      <c r="M148" s="36" t="str">
        <f t="array" ref="M148">IF(C144="","",CONCATENATE(INDEX([1]AB4!AA:AA,MATCH(A148,[1]AB4!B:B,0))," ( ",INDEX([1]AB4!AE:AE,MATCH(A148,[1]AB4!B:B,0))," or ",INDEX([1]AB4!AQ:AQ,MATCH(A148,[1]AB4!B:B,0)),INDEX([1]AB4!AJ:AJ,MATCH(A148,[1]AB4!B:B,0)),TEXT(INDEX([1]AB4!AR:AR,MATCH(A148,[1]AB4!B:B,0)),"0.00%")," )"))</f>
        <v>Min ( S : Entry or FUT : PRV : 2DHH + 0.00% )</v>
      </c>
      <c r="N148" s="37">
        <f t="array" ref="N148">IF(C144="","",INDEX([1]AB4!AS:AS,MATCH(A148,[1]AB4!B:B,0)))</f>
        <v>3</v>
      </c>
      <c r="O148" s="38"/>
      <c r="P148" s="36" t="str">
        <f t="array" ref="P148">IF(C144="","",CONCATENATE(INDEX([1]AB4!AA:AA,MATCH(A148,[1]AB4!B:B,0))," ( ",INDEX([1]AB4!AE:AE,MATCH(A148,[1]AB4!B:B,0))," or ",INDEX([1]AB4!AT:AT,MATCH(A148,[1]AB4!B:B,0)),INDEX([1]AB4!AJ:AJ,MATCH(A148,[1]AB4!B:B,0)),TEXT(INDEX([1]AB4!AU:AU,MATCH(A148,[1]AB4!B:B,0)),"0.00%")," )"))</f>
        <v>Min ( S : Entry or FUT : PRV : 2DHH + 0.00% )</v>
      </c>
      <c r="Q148" s="37">
        <f t="array" ref="Q148">IF(C144="","",INDEX([1]AB4!AV:AV,MATCH(A148,[1]AB4!B:B,0)))</f>
        <v>2</v>
      </c>
      <c r="R148" s="38"/>
      <c r="S148" s="36" t="str">
        <f t="array" ref="S148">IF(C144="","",CONCATENATE(INDEX([1]AB4!AA:AA,MATCH(A148,[1]AB4!B:B,0))," ( ",INDEX([1]AB4!AE:AE,MATCH(A148,[1]AB4!B:B,0))," or ",INDEX([1]AB4!AW:AW,MATCH(A148,[1]AB4!B:B,0)),INDEX([1]AB4!AJ:AJ,MATCH(A148,[1]AB4!B:B,0)),TEXT(INDEX([1]AB4!AX:AX,MATCH(A148,[1]AB4!B:B,0)),"0.00%")," )"))</f>
        <v>Min ( S : Entry or FUT : PRV : 2DHH + 0.00% )</v>
      </c>
      <c r="T148" s="37">
        <f t="array" ref="T148">IF(C144="","",INDEX([1]AB4!AY:AY,MATCH(A148,[1]AB4!B:B,0)))</f>
        <v>1</v>
      </c>
      <c r="U148" s="38"/>
      <c r="V148" s="36" t="str">
        <f t="array" ref="V148">IF(C144="","",CONCATENATE(INDEX([1]AB4!AA:AA,MATCH(A148,[1]AB4!B:B,0))," ( ",INDEX([1]AB4!AE:AE,MATCH(A148,[1]AB4!B:B,0))," or ",INDEX([1]AB4!AW:AW,MATCH(A148,[1]AB4!B:B,0)),INDEX([1]AB4!AJ:AJ,MATCH(A148,[1]AB4!B:B,0)),TEXT(INDEX([1]AB4!AX:AX,MATCH(A148,[1]AB4!B:B,0)),"0.00%")," )"))</f>
        <v>Min ( S : Entry or FUT : PRV : 2DHH + 0.00% )</v>
      </c>
      <c r="W148" s="37">
        <f t="array" ref="W148">IF(C144="","",INDEX([1]AB4!AY:AY,MATCH(A148,[1]AB4!B:B,0)))</f>
        <v>1</v>
      </c>
      <c r="X148" s="38"/>
      <c r="Y148" s="40">
        <f t="array" ref="Y148">IF(C144="","",INDEX([1]AB4!AZ:AZ,MATCH(A148,[1]AB4!B:B,0)))</f>
        <v>0</v>
      </c>
      <c r="Z148" s="37">
        <f t="array" ref="Z148">IF(C144="","",INDEX([1]AB4!BB:BB,MATCH(A148,[1]AB4!B:B,0)))</f>
        <v>0</v>
      </c>
      <c r="AA148" s="41"/>
      <c r="AB148" s="30"/>
      <c r="AC148" s="30"/>
    </row>
    <row r="149" spans="1:29" ht="19.5" customHeight="1" thickBot="1" x14ac:dyDescent="0.25">
      <c r="A149" s="18" t="str">
        <f>IF(C144="","",CONCATENATE(C145,[1]AB5!$A$9))</f>
        <v>S5C</v>
      </c>
      <c r="B149" s="31" t="str">
        <f>IF(C144="","",IF([1]AB5!$B$9="","",[1]AB5!$B$9))</f>
        <v>Segment</v>
      </c>
      <c r="C149" s="54" t="str">
        <f t="array" ref="C149">IF(C144="","",INDEX([1]AB2!C:C,MATCH(C144,[1]AB2!A:A,0)))</f>
        <v>FUTURES</v>
      </c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30"/>
      <c r="AC149" s="30"/>
    </row>
    <row r="150" spans="1:29" ht="30.75" customHeight="1" x14ac:dyDescent="0.2">
      <c r="A150" s="18" t="str">
        <f>IF(C144="","",CONCATENATE(C145,[1]AB5!$A$10))</f>
        <v>S5D</v>
      </c>
      <c r="B150" s="31" t="str">
        <f>IF(C144="","",IF([1]AB5!$B$10="","",[1]AB5!$B$10))</f>
        <v>Symbol</v>
      </c>
      <c r="C150" s="54" t="str">
        <f t="array" ref="C150">IF(C144="","",INDEX([1]AB2!E:E,MATCH(C144,[1]AB2!A:A,0)))</f>
        <v>STOCKS</v>
      </c>
      <c r="D150" s="56" t="str">
        <f>IF(C144="","",IF(C144="","",[1]AB5!$D$10))</f>
        <v>BEAR / BEAR CF</v>
      </c>
      <c r="E150" s="57" t="str">
        <f>IF(C144="","",[1]AB5!$F$10)</f>
        <v>BUY</v>
      </c>
      <c r="F150" s="58" t="str">
        <f>IF(C144="","",[1]AB5!$G$10)</f>
        <v>E &amp; T</v>
      </c>
      <c r="G150" s="25" t="str">
        <f t="array" ref="G150">IF(C144="","",CONCATENATE(INDEX([1]AB4!G:G,MATCH(A150,[1]AB4!B:B,0)),INDEX([1]AB4!H:H,MATCH(A150,[1]AB4!B:B,0)),TEXT(INDEX([1]AB4!I:I,MATCH(A150,[1]AB4!B:B,0)),"0.00%")))</f>
        <v>FUT : PRV : 3DHH + 1.00%</v>
      </c>
      <c r="H150" s="26">
        <f t="array" ref="H150">IF(C144="","",INDEX([1]AB4!J:J,MATCH(A150,[1]AB4!B:B,0)))</f>
        <v>5</v>
      </c>
      <c r="I150" s="27"/>
      <c r="J150" s="28" t="str">
        <f t="array" ref="J150">IF(C144="","",CONCATENATE(INDEX([1]AB4!L:L,MATCH(A150,[1]AB4!B:B,0)),INDEX([1]AB4!M:M,MATCH(A150,[1]AB4!B:B,0)),TEXT(INDEX([1]AB4!N:N,MATCH(A150,[1]AB4!B:B,0)),"0.00%")))</f>
        <v>L : Entry  + 3.00%</v>
      </c>
      <c r="K150" s="26">
        <f t="array" ref="K150">IF(C144="","",INDEX([1]AB4!O:O,MATCH(A150,[1]AB4!B:B,0)))</f>
        <v>1</v>
      </c>
      <c r="L150" s="27"/>
      <c r="M150" s="28" t="str">
        <f t="array" ref="M150">IF(C144="","",CONCATENATE(INDEX([1]AB4!L:L,MATCH(A150,[1]AB4!B:B,0)),INDEX([1]AB4!M:M,MATCH(A150,[1]AB4!B:B,0)),TEXT(INDEX([1]AB4!P:P,MATCH(A150,[1]AB4!B:B,0)),"0.00%")))</f>
        <v>L : Entry  + 4.50%</v>
      </c>
      <c r="N150" s="26">
        <f t="array" ref="N150">IF(C144="","",INDEX([1]AB4!Q:Q,MATCH(A150,[1]AB4!B:B,0)))</f>
        <v>1</v>
      </c>
      <c r="O150" s="27"/>
      <c r="P150" s="28" t="str">
        <f t="array" ref="P150">IF(C144="","",CONCATENATE(INDEX([1]AB4!L:L,MATCH(A150,[1]AB4!B:B,0)),INDEX([1]AB4!M:M,MATCH(A150,[1]AB4!B:B,0)),TEXT(INDEX([1]AB4!R:R,MATCH(A150,[1]AB4!B:B,0)),"0.00%")))</f>
        <v>L : Entry  + 6.00%</v>
      </c>
      <c r="Q150" s="26">
        <f t="array" ref="Q150">IF(C144="","",INDEX([1]AB4!S:S,MATCH(A150,[1]AB4!B:B,0)))</f>
        <v>1</v>
      </c>
      <c r="R150" s="27"/>
      <c r="S150" s="28" t="str">
        <f t="array" ref="S150">IF(C144="","",CONCATENATE(INDEX([1]AB4!L:L,MATCH(A150,[1]AB4!B:B,0)),INDEX([1]AB4!M:M,MATCH(A150,[1]AB4!B:B,0)),TEXT(INDEX([1]AB4!T:T,MATCH(A150,[1]AB4!B:B,0)),"0.00%")))</f>
        <v>L : Entry  + 8.00%</v>
      </c>
      <c r="T150" s="26">
        <f t="array" ref="T150">IF(C144="","",INDEX([1]AB4!U:U,MATCH(A150,[1]AB4!B:B,0)))</f>
        <v>1</v>
      </c>
      <c r="U150" s="27"/>
      <c r="V150" s="28" t="str">
        <f t="array" ref="V150">IF(C144="","",INDEX([1]AB4!V:V,MATCH(A150,[1]AB4!B:B,0)))</f>
        <v>TR PROFIT AFTER TGT 4</v>
      </c>
      <c r="W150" s="26">
        <f t="array" ref="W150">IF(C144="","",INDEX([1]AB4!W:W,MATCH(A150,[1]AB4!B:B,0)))</f>
        <v>1</v>
      </c>
      <c r="X150" s="27"/>
      <c r="Y150" s="28" t="str">
        <f t="array" ref="Y150">IF(C144="","",INDEX([1]AB4!X:X,MATCH(A150,[1]AB4!B:B,0)))</f>
        <v>N.A.</v>
      </c>
      <c r="Z150" s="26" t="str">
        <f t="array" ref="Z150">IF(C144="","",INDEX([1]AB4!Y:Y,MATCH(A150,[1]AB4!B:B,0)))</f>
        <v>N.A.</v>
      </c>
      <c r="AA150" s="29"/>
      <c r="AB150" s="30"/>
      <c r="AC150" s="30"/>
    </row>
    <row r="151" spans="1:29" ht="44.25" customHeight="1" thickBot="1" x14ac:dyDescent="0.25">
      <c r="A151" s="18" t="str">
        <f>IF(C144="","",CONCATENATE(C145,[1]AB5!$A$11))</f>
        <v>S5D</v>
      </c>
      <c r="B151" s="31" t="str">
        <f>IF(C144="","",IF([1]AB5!$B$11="","",[1]AB5!$B$11))</f>
        <v>No. of TGT</v>
      </c>
      <c r="C151" s="54" t="str">
        <f t="array" ref="C151">IF(C144="","",INDEX([1]AB2!K:K,MATCH(C144,[1]AB2!A:A,0)))</f>
        <v>4 &amp; APS</v>
      </c>
      <c r="D151" s="59"/>
      <c r="E151" s="60"/>
      <c r="F151" s="61" t="str">
        <f>IF(C144="","",[1]AB5!$G$11)</f>
        <v>SL / TRP</v>
      </c>
      <c r="G151" s="36" t="str">
        <f t="array" ref="G151">IF(C144="","",CONCATENATE(INDEX([1]AB4!AA:AA,MATCH(A151,[1]AB4!B:B,0))," ( ",INDEX([1]AB4!AE:AE,MATCH(A151,[1]AB4!B:B,0)),INDEX([1]AB4!AF:AF,MATCH(A151,[1]AB4!B:B,0)),TEXT(INDEX([1]AB4!AG:AG,MATCH(A151,[1]AB4!B:B,0)),"0.00%")," or ",INDEX([1]AB4!AK:AK,MATCH(A151,[1]AB4!B:B,0)),INDEX([1]AB4!AJ:AJ,MATCH(A151,[1]AB4!B:B,0)),TEXT(INDEX([1]AB4!AL:AL,MATCH(A151,[1]AB4!B:B,0)),"0.00%")," )"))</f>
        <v>Max ( L : Entry - 3.00% or FUT : PRV : 2DLL - 0.00% )</v>
      </c>
      <c r="H151" s="37">
        <f t="array" ref="H151">IF(C144="","",INDEX([1]AB4!AM:AM,MATCH(A151,[1]AB4!B:B,0)))</f>
        <v>5</v>
      </c>
      <c r="I151" s="38"/>
      <c r="J151" s="36" t="str">
        <f t="array" ref="J151">IF(C144="","",CONCATENATE(INDEX([1]AB4!AA:AA,MATCH(A151,[1]AB4!B:B,0))," ( ",INDEX([1]AB4!AE:AE,MATCH(A151,[1]AB4!B:B,0))," or ",INDEX([1]AB4!AN:AN,MATCH(A151,[1]AB4!B:B,0)),INDEX([1]AB4!AJ:AJ,MATCH(A151,[1]AB4!B:B,0)),TEXT(INDEX([1]AB4!AO:AO,MATCH(A151,[1]AB4!B:B,0)),"0.00%")," )"))</f>
        <v>Max ( L : Entry or FUT : PRV : 2DLL - 0.00% )</v>
      </c>
      <c r="K151" s="37">
        <f t="array" ref="K151">IF(C144="","",INDEX([1]AB4!AP:AP,MATCH(A151,[1]AB4!B:B,0)))</f>
        <v>4</v>
      </c>
      <c r="L151" s="38"/>
      <c r="M151" s="36" t="str">
        <f t="array" ref="M151">IF(C144="","",CONCATENATE(INDEX([1]AB4!AA:AA,MATCH(A151,[1]AB4!B:B,0))," ( ",INDEX([1]AB4!AE:AE,MATCH(A151,[1]AB4!B:B,0))," or ",INDEX([1]AB4!AQ:AQ,MATCH(A151,[1]AB4!B:B,0)),INDEX([1]AB4!AJ:AJ,MATCH(A151,[1]AB4!B:B,0)),TEXT(INDEX([1]AB4!AR:AR,MATCH(A151,[1]AB4!B:B,0)),"0.00%")," )"))</f>
        <v>Max ( L : Entry or FUT : PRV : 2DLL - 0.00% )</v>
      </c>
      <c r="N151" s="37">
        <f t="array" ref="N151">IF(C144="","",INDEX([1]AB4!AS:AS,MATCH(A151,[1]AB4!B:B,0)))</f>
        <v>3</v>
      </c>
      <c r="O151" s="38"/>
      <c r="P151" s="36" t="str">
        <f t="array" ref="P151">IF(C144="","",CONCATENATE(INDEX([1]AB4!AA:AA,MATCH(A151,[1]AB4!B:B,0))," ( ",INDEX([1]AB4!AE:AE,MATCH(A151,[1]AB4!B:B,0))," or ",INDEX([1]AB4!AT:AT,MATCH(A151,[1]AB4!B:B,0)),INDEX([1]AB4!AJ:AJ,MATCH(A151,[1]AB4!B:B,0)),TEXT(INDEX([1]AB4!AU:AU,MATCH(A151,[1]AB4!B:B,0)),"0.00%")," )"))</f>
        <v>Max ( L : Entry or FUT : PRV : 2DLL - 0.00% )</v>
      </c>
      <c r="Q151" s="37">
        <f t="array" ref="Q151">IF(C144="","",INDEX([1]AB4!AV:AV,MATCH(A151,[1]AB4!B:B,0)))</f>
        <v>2</v>
      </c>
      <c r="R151" s="38"/>
      <c r="S151" s="36" t="str">
        <f t="array" ref="S151">IF(C144="","",CONCATENATE(INDEX([1]AB4!AA:AA,MATCH(A151,[1]AB4!B:B,0))," ( ",INDEX([1]AB4!AE:AE,MATCH(A151,[1]AB4!B:B,0))," or ",INDEX([1]AB4!AW:AW,MATCH(A151,[1]AB4!B:B,0)),INDEX([1]AB4!AJ:AJ,MATCH(A151,[1]AB4!B:B,0)),TEXT(INDEX([1]AB4!AX:AX,MATCH(A151,[1]AB4!B:B,0)),"0.00%")," )"))</f>
        <v>Max ( L : Entry or FUT : PRV : 2DLL - 0.00% )</v>
      </c>
      <c r="T151" s="37">
        <f t="array" ref="T151">IF(C144="","",INDEX([1]AB4!AY:AY,MATCH(A151,[1]AB4!B:B,0)))</f>
        <v>1</v>
      </c>
      <c r="U151" s="38"/>
      <c r="V151" s="36" t="str">
        <f t="array" ref="V151">IF(C144="","",CONCATENATE(INDEX([1]AB4!AA:AA,MATCH(A151,[1]AB4!B:B,0))," ( ",INDEX([1]AB4!AE:AE,MATCH(A151,[1]AB4!B:B,0))," or ",INDEX([1]AB4!AW:AW,MATCH(A151,[1]AB4!B:B,0)),INDEX([1]AB4!AJ:AJ,MATCH(A151,[1]AB4!B:B,0)),TEXT(INDEX([1]AB4!AX:AX,MATCH(A151,[1]AB4!B:B,0)),"0.00%")," )"))</f>
        <v>Max ( L : Entry or FUT : PRV : 2DLL - 0.00% )</v>
      </c>
      <c r="W151" s="37">
        <f t="array" ref="W151">IF(C144="","",INDEX([1]AB4!AY:AY,MATCH(A151,[1]AB4!B:B,0)))</f>
        <v>1</v>
      </c>
      <c r="X151" s="38"/>
      <c r="Y151" s="40">
        <f t="array" ref="Y151">IF(C144="","",INDEX([1]AB4!AZ:AZ,MATCH(A151,[1]AB4!B:B,0)))</f>
        <v>0</v>
      </c>
      <c r="Z151" s="37">
        <f t="array" ref="Z151">IF(C144="","",INDEX([1]AB4!BB:BB,MATCH(A151,[1]AB4!B:B,0)))</f>
        <v>0</v>
      </c>
      <c r="AA151" s="41"/>
      <c r="AB151" s="30"/>
      <c r="AC151" s="30"/>
    </row>
    <row r="152" spans="1:29" ht="6" customHeight="1" thickBot="1" x14ac:dyDescent="0.25">
      <c r="A152" s="18" t="str">
        <f>IF(C144="","",CONCATENATE(C145,[1]AB5!A162))</f>
        <v>S5A</v>
      </c>
      <c r="B152" s="62" t="str">
        <f>IF(C144="","",IF([1]AB5!$B$12="","",[1]AB5!$B$12))</f>
        <v>Stay Blessed !!!</v>
      </c>
      <c r="C152" s="63"/>
      <c r="D152" s="59"/>
      <c r="E152" s="44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6"/>
      <c r="AB152" s="30"/>
      <c r="AC152" s="30"/>
    </row>
    <row r="153" spans="1:29" ht="30.75" customHeight="1" x14ac:dyDescent="0.2">
      <c r="A153" s="18" t="str">
        <f>IF(C144="","",CONCATENATE(C145,[1]AB5!$A$13))</f>
        <v>S5E</v>
      </c>
      <c r="B153" s="64"/>
      <c r="C153" s="59"/>
      <c r="D153" s="59"/>
      <c r="E153" s="65" t="str">
        <f>IF(C144="","",[1]AB5!$F$13)</f>
        <v>SELL</v>
      </c>
      <c r="F153" s="58" t="str">
        <f>IF(C144="","",[1]AB5!$G$13)</f>
        <v>E &amp; T</v>
      </c>
      <c r="G153" s="25" t="str">
        <f t="array" ref="G153">IF(C144="","",CONCATENATE(INDEX([1]AB4!G:G,MATCH(A153,[1]AB4!B:B,0)),INDEX([1]AB4!H:H,MATCH(A153,[1]AB4!B:B,0)),TEXT(INDEX([1]AB4!I:I,MATCH(A153,[1]AB4!B:B,0)),"0.00%")))</f>
        <v>FUT : PRV : 2DLL - 0.00%</v>
      </c>
      <c r="H153" s="26">
        <f t="array" ref="H153">IF(C144="","",INDEX([1]AB4!J:J,MATCH(A153,[1]AB4!B:B,0)))</f>
        <v>5</v>
      </c>
      <c r="I153" s="27"/>
      <c r="J153" s="28" t="str">
        <f t="array" ref="J153">IF(C144="","",CONCATENATE(INDEX([1]AB4!L:L,MATCH(A153,[1]AB4!B:B,0)),INDEX([1]AB4!M:M,MATCH(A153,[1]AB4!B:B,0)),TEXT(INDEX([1]AB4!N:N,MATCH(A153,[1]AB4!B:B,0)),"0.00%")))</f>
        <v>S : Entry  - 3.00%</v>
      </c>
      <c r="K153" s="26">
        <f t="array" ref="K153">IF(C144="","",INDEX([1]AB4!O:O,MATCH(A153,[1]AB4!B:B,0)))</f>
        <v>1</v>
      </c>
      <c r="L153" s="27"/>
      <c r="M153" s="28" t="str">
        <f t="array" ref="M153">IF(C144="","",CONCATENATE(INDEX([1]AB4!L:L,MATCH(A153,[1]AB4!B:B,0)),INDEX([1]AB4!M:M,MATCH(A153,[1]AB4!B:B,0)),TEXT(INDEX([1]AB4!P:P,MATCH(A153,[1]AB4!B:B,0)),"0.00%")))</f>
        <v>S : Entry  - 4.50%</v>
      </c>
      <c r="N153" s="26">
        <f t="array" ref="N153">IF(C144="","",INDEX([1]AB4!Q:Q,MATCH(A153,[1]AB4!B:B,0)))</f>
        <v>1</v>
      </c>
      <c r="O153" s="27"/>
      <c r="P153" s="28" t="str">
        <f t="array" ref="P153">IF(C144="","",CONCATENATE(INDEX([1]AB4!L:L,MATCH(A153,[1]AB4!B:B,0)),INDEX([1]AB4!M:M,MATCH(A153,[1]AB4!B:B,0)),TEXT(INDEX([1]AB4!R:R,MATCH(A153,[1]AB4!B:B,0)),"0.00%")))</f>
        <v>S : Entry  - 6.00%</v>
      </c>
      <c r="Q153" s="26">
        <f t="array" ref="Q153">IF(C144="","",INDEX([1]AB4!S:S,MATCH(A153,[1]AB4!B:B,0)))</f>
        <v>1</v>
      </c>
      <c r="R153" s="27"/>
      <c r="S153" s="28" t="str">
        <f t="array" ref="S153">IF(C144="","",CONCATENATE(INDEX([1]AB4!L:L,MATCH(A153,[1]AB4!B:B,0)),INDEX([1]AB4!M:M,MATCH(A153,[1]AB4!B:B,0)),TEXT(INDEX([1]AB4!T:T,MATCH(A153,[1]AB4!B:B,0)),"0.00%")))</f>
        <v>S : Entry  - 8.00%</v>
      </c>
      <c r="T153" s="26">
        <f t="array" ref="T153">IF(C144="","",INDEX([1]AB4!U:U,MATCH(A153,[1]AB4!B:B,0)))</f>
        <v>1</v>
      </c>
      <c r="U153" s="27"/>
      <c r="V153" s="28" t="str">
        <f t="array" ref="V153">IF(C144="","",INDEX([1]AB4!V:V,MATCH(A153,[1]AB4!B:B,0)))</f>
        <v>TR PROFIT AFTER TGT 4</v>
      </c>
      <c r="W153" s="26">
        <f t="array" ref="W153">IF(C144="","",INDEX([1]AB4!W:W,MATCH(A153,[1]AB4!B:B,0)))</f>
        <v>1</v>
      </c>
      <c r="X153" s="27"/>
      <c r="Y153" s="28" t="str">
        <f t="array" ref="Y153">IF(C144="","",INDEX([1]AB4!X:X,MATCH(A153,[1]AB4!B:B,0)))</f>
        <v>N.A.</v>
      </c>
      <c r="Z153" s="26" t="str">
        <f t="array" ref="Z153">IF(C144="","",INDEX([1]AB4!Y:Y,MATCH(A153,[1]AB4!B:B,0)))</f>
        <v>N.A.</v>
      </c>
      <c r="AA153" s="29"/>
      <c r="AB153" s="30"/>
      <c r="AC153" s="30"/>
    </row>
    <row r="154" spans="1:29" ht="44.25" customHeight="1" thickBot="1" x14ac:dyDescent="0.25">
      <c r="A154" s="18" t="str">
        <f>IF(C144="","",CONCATENATE(C145,[1]AB5!$A$14))</f>
        <v>S5E</v>
      </c>
      <c r="B154" s="60"/>
      <c r="C154" s="66"/>
      <c r="D154" s="66"/>
      <c r="E154" s="60"/>
      <c r="F154" s="61" t="str">
        <f>IF(C144="","",[1]AB5!$G$14)</f>
        <v>SL / TRP</v>
      </c>
      <c r="G154" s="36" t="str">
        <f t="array" ref="G154">IF(C144="","",CONCATENATE(INDEX([1]AB4!AA:AA,MATCH(A154,[1]AB4!B:B,0))," ( ",INDEX([1]AB4!AE:AE,MATCH(A154,[1]AB4!B:B,0)),INDEX([1]AB4!AF:AF,MATCH(A154,[1]AB4!B:B,0)),TEXT(INDEX([1]AB4!AG:AG,MATCH(A154,[1]AB4!B:B,0)),"0.00%")," or ",INDEX([1]AB4!AK:AK,MATCH(A154,[1]AB4!B:B,0)),INDEX([1]AB4!AJ:AJ,MATCH(A154,[1]AB4!B:B,0)),TEXT(INDEX([1]AB4!AL:AL,MATCH(A154,[1]AB4!B:B,0)),"0.00%")," )"))</f>
        <v>Min ( S : Entry + 3.00% or FUT : PRV : 3DHH + 1.00% )</v>
      </c>
      <c r="H154" s="37">
        <f t="array" ref="H154">IF(C144="","",INDEX([1]AB4!AM:AM,MATCH(A154,[1]AB4!B:B,0)))</f>
        <v>5</v>
      </c>
      <c r="I154" s="38"/>
      <c r="J154" s="36" t="str">
        <f t="array" ref="J154">IF(C144="","",CONCATENATE(INDEX([1]AB4!AA:AA,MATCH(A154,[1]AB4!B:B,0))," ( ",INDEX([1]AB4!AE:AE,MATCH(A154,[1]AB4!B:B,0))," or ",INDEX([1]AB4!AN:AN,MATCH(A154,[1]AB4!B:B,0)),INDEX([1]AB4!AJ:AJ,MATCH(A154,[1]AB4!B:B,0)),TEXT(INDEX([1]AB4!AO:AO,MATCH(A154,[1]AB4!B:B,0)),"0.00%")," )"))</f>
        <v>Min ( S : Entry or FUT : PRV : 3DHH + 1.00% )</v>
      </c>
      <c r="K154" s="37">
        <f t="array" ref="K154">IF(C144="","",INDEX([1]AB4!AP:AP,MATCH(A154,[1]AB4!B:B,0)))</f>
        <v>4</v>
      </c>
      <c r="L154" s="38"/>
      <c r="M154" s="36" t="str">
        <f t="array" ref="M154">IF(C144="","",CONCATENATE(INDEX([1]AB4!AA:AA,MATCH(A154,[1]AB4!B:B,0))," ( ",INDEX([1]AB4!AE:AE,MATCH(A154,[1]AB4!B:B,0))," or ",INDEX([1]AB4!AQ:AQ,MATCH(A154,[1]AB4!B:B,0)),INDEX([1]AB4!AJ:AJ,MATCH(A154,[1]AB4!B:B,0)),TEXT(INDEX([1]AB4!AR:AR,MATCH(A154,[1]AB4!B:B,0)),"0.00%")," )"))</f>
        <v>Min ( S : Entry or FUT : PRV : 3DHH + 1.00% )</v>
      </c>
      <c r="N154" s="37">
        <f t="array" ref="N154">IF(C144="","",INDEX([1]AB4!AS:AS,MATCH(A154,[1]AB4!B:B,0)))</f>
        <v>3</v>
      </c>
      <c r="O154" s="38"/>
      <c r="P154" s="36" t="str">
        <f t="array" ref="P154">IF(C144="","",CONCATENATE(INDEX([1]AB4!AA:AA,MATCH(A154,[1]AB4!B:B,0))," ( ",INDEX([1]AB4!AE:AE,MATCH(A154,[1]AB4!B:B,0))," or ",INDEX([1]AB4!AT:AT,MATCH(A154,[1]AB4!B:B,0)),INDEX([1]AB4!AJ:AJ,MATCH(A154,[1]AB4!B:B,0)),TEXT(INDEX([1]AB4!AU:AU,MATCH(A154,[1]AB4!B:B,0)),"0.00%")," )"))</f>
        <v>Min ( S : Entry or FUT : PRV : 3DHH + 1.00% )</v>
      </c>
      <c r="Q154" s="37">
        <f t="array" ref="Q154">IF(C144="","",INDEX([1]AB4!AV:AV,MATCH(A154,[1]AB4!B:B,0)))</f>
        <v>2</v>
      </c>
      <c r="R154" s="38"/>
      <c r="S154" s="36" t="str">
        <f t="array" ref="S154">IF(C144="","",CONCATENATE(INDEX([1]AB4!AA:AA,MATCH(A154,[1]AB4!B:B,0))," ( ",INDEX([1]AB4!AE:AE,MATCH(A154,[1]AB4!B:B,0))," or ",INDEX([1]AB4!AW:AW,MATCH(A154,[1]AB4!B:B,0)),INDEX([1]AB4!AJ:AJ,MATCH(A154,[1]AB4!B:B,0)),TEXT(INDEX([1]AB4!AX:AX,MATCH(A154,[1]AB4!B:B,0)),"0.00%")," )"))</f>
        <v>Min ( S : Entry or FUT : PRV : 3DHH + 1.00% )</v>
      </c>
      <c r="T154" s="37">
        <f t="array" ref="T154">IF(C144="","",INDEX([1]AB4!AY:AY,MATCH(A154,[1]AB4!B:B,0)))</f>
        <v>1</v>
      </c>
      <c r="U154" s="38"/>
      <c r="V154" s="36" t="str">
        <f t="array" ref="V154">IF(C144="","",CONCATENATE(INDEX([1]AB4!AA:AA,MATCH(A154,[1]AB4!B:B,0))," ( ",INDEX([1]AB4!AE:AE,MATCH(A154,[1]AB4!B:B,0))," or ",INDEX([1]AB4!AW:AW,MATCH(A154,[1]AB4!B:B,0)),INDEX([1]AB4!AJ:AJ,MATCH(A154,[1]AB4!B:B,0)),TEXT(INDEX([1]AB4!AX:AX,MATCH(A154,[1]AB4!B:B,0)),"0.00%")," )"))</f>
        <v>Min ( S : Entry or FUT : PRV : 3DHH + 1.00% )</v>
      </c>
      <c r="W154" s="37">
        <f t="array" ref="W154">IF(C144="","",INDEX([1]AB4!AY:AY,MATCH(A154,[1]AB4!B:B,0)))</f>
        <v>1</v>
      </c>
      <c r="X154" s="38"/>
      <c r="Y154" s="40">
        <f t="array" ref="Y154">IF(C144="","",INDEX([1]AB4!AZ:AZ,MATCH(A154,[1]AB4!B:B,0)))</f>
        <v>0</v>
      </c>
      <c r="Z154" s="37">
        <f t="array" ref="Z154">IF(C144="","",INDEX([1]AB4!BB:BB,MATCH(A154,[1]AB4!B:B,0)))</f>
        <v>0</v>
      </c>
      <c r="AA154" s="41"/>
      <c r="AB154" s="30"/>
      <c r="AC154" s="30"/>
    </row>
    <row r="155" spans="1:29" ht="6" customHeight="1" thickBot="1" x14ac:dyDescent="0.25">
      <c r="A155" s="18"/>
      <c r="B155" s="55"/>
      <c r="C155" s="55"/>
      <c r="D155" s="55"/>
      <c r="E155" s="30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30"/>
      <c r="AA155" s="30"/>
      <c r="AB155" s="68"/>
      <c r="AC155" s="68"/>
    </row>
    <row r="156" spans="1:29" ht="21.75" customHeight="1" x14ac:dyDescent="0.2">
      <c r="A156" s="18"/>
      <c r="B156" s="69" t="str">
        <f>IF(C144="","",[1]AB5!$B$16)</f>
        <v>For Entry</v>
      </c>
      <c r="C156" s="29"/>
      <c r="D156" s="70" t="str">
        <f>IF(C144="","",[1]AB5!$D$16)</f>
        <v>Gap Check</v>
      </c>
      <c r="E156" s="71"/>
      <c r="F156" s="70" t="str">
        <f>IF(C144="","",[1]AB5!$G$16)</f>
        <v>Process</v>
      </c>
      <c r="G156" s="72"/>
      <c r="H156" s="73" t="str">
        <f>IF(C144="","",[1]AB5!$I$16)</f>
        <v>Y / N</v>
      </c>
      <c r="I156" s="72"/>
      <c r="J156" s="74" t="str">
        <f>IF(C144="","",[1]AB5!$K$16)</f>
        <v>Order Status</v>
      </c>
      <c r="K156" s="75" t="str">
        <f>IF(C144="","",[1]AB5!$L$16)</f>
        <v>Step 1</v>
      </c>
      <c r="L156" s="76"/>
      <c r="M156" s="76"/>
      <c r="N156" s="72"/>
      <c r="O156" s="73" t="str">
        <f>IF(C144="","",[1]AB5!$P$16)</f>
        <v>Order Placement Timings</v>
      </c>
      <c r="P156" s="72"/>
      <c r="Q156" s="73" t="str">
        <f>IF(C144="","",[1]AB5!$R$16)</f>
        <v>Time</v>
      </c>
      <c r="R156" s="72"/>
      <c r="S156" s="75" t="str">
        <f>IF(C144="","",[1]AB5!$T$16)</f>
        <v>Rules For Gaps</v>
      </c>
      <c r="T156" s="76"/>
      <c r="U156" s="72"/>
      <c r="V156" s="74" t="str">
        <f>IF(C144="","",[1]AB5!$W$16)</f>
        <v>Data</v>
      </c>
      <c r="W156" s="73" t="str">
        <f>IF(C144="","",[1]AB5!$X$16)</f>
        <v>Buffer</v>
      </c>
      <c r="X156" s="71"/>
      <c r="Y156" s="77" t="str">
        <f>IF(C144="","",[1]AB5!$AA$16)</f>
        <v>Rules For Re Entry</v>
      </c>
      <c r="Z156" s="76"/>
      <c r="AA156" s="71"/>
      <c r="AB156" s="78"/>
      <c r="AC156" s="78"/>
    </row>
    <row r="157" spans="1:29" ht="31.5" customHeight="1" x14ac:dyDescent="0.2">
      <c r="A157" s="18" t="str">
        <f>IF(C144="","",CONCATENATE(C145,[1]AB5!$A$17))</f>
        <v>S5A</v>
      </c>
      <c r="B157" s="79" t="str">
        <f>IF(C144="","",[1]AB5!$B$17)</f>
        <v xml:space="preserve">ORPT </v>
      </c>
      <c r="C157" s="80" t="str">
        <f>IF(C144="","",[1]AB5!$C$17)</f>
        <v xml:space="preserve"> RC. Time</v>
      </c>
      <c r="D157" s="81" t="str">
        <f>IF(C144="","",[1]AB5!$D$17)</f>
        <v>For Long Entry</v>
      </c>
      <c r="E157" s="63"/>
      <c r="F157" s="82" t="str">
        <f>IF(C144="","",CONCATENATE([1]AB5!$G$17,TEXT(B158,"HH:MM:SS AM/PM"),[1]AB5!$B$18,[1]AB5!$H$17))</f>
        <v>Check If  09:19:59 AM HH &gt; Long Entry</v>
      </c>
      <c r="G157" s="83"/>
      <c r="H157" s="84" t="str">
        <f>IF(C144="","",[1]AB5!$I$17)</f>
        <v>No</v>
      </c>
      <c r="I157" s="85"/>
      <c r="J157" s="86" t="str">
        <f>IF(C144="","",[1]AB5!$K$17)</f>
        <v>Entry Not Missed</v>
      </c>
      <c r="K157" s="87" t="str">
        <f>IF(C144="","",[1]AB5!$L$17)</f>
        <v>Place the Order at ORPT</v>
      </c>
      <c r="L157" s="88"/>
      <c r="M157" s="88"/>
      <c r="N157" s="85"/>
      <c r="O157" s="87" t="str">
        <f>IF(C144="","",[1]AB5!$P$17)</f>
        <v>ORPT Time</v>
      </c>
      <c r="P157" s="85"/>
      <c r="Q157" s="89">
        <f>IF(C144="","",B158)</f>
        <v>0.38888194444444446</v>
      </c>
      <c r="R157" s="85"/>
      <c r="S157" s="87" t="str">
        <f>IF(C144="","",[1]AB5!$T$17)</f>
        <v>N.A.</v>
      </c>
      <c r="T157" s="88"/>
      <c r="U157" s="85"/>
      <c r="V157" s="86" t="str">
        <f>IF(C144="","",[1]AB5!$W$17)</f>
        <v>N.A.</v>
      </c>
      <c r="W157" s="90" t="str">
        <f>IF(C144="","",[1]AB5!$X$17)</f>
        <v>N.A.</v>
      </c>
      <c r="X157" s="91"/>
      <c r="Y157" s="92" t="str">
        <f>IF(C144="","",[1]AB5!$AA$17)</f>
        <v xml:space="preserve">Long Entry : Bull/ Bull CF : </v>
      </c>
      <c r="Z157" s="88"/>
      <c r="AA157" s="91"/>
      <c r="AB157" s="68"/>
      <c r="AC157" s="68"/>
    </row>
    <row r="158" spans="1:29" ht="31.5" customHeight="1" x14ac:dyDescent="0.2">
      <c r="A158" s="18" t="str">
        <f>IF(C144="","",CONCATENATE(C145,[1]AB5!$A$18))</f>
        <v>S5B</v>
      </c>
      <c r="B158" s="93">
        <f t="array" ref="B158">IF(C144="","",INDEX([1]AB4!BE:BE,MATCH(A157,[1]AB4!B:B,0)))</f>
        <v>0.38888194444444446</v>
      </c>
      <c r="C158" s="94">
        <f t="array" ref="C158">IF(C144="","",INDEX([1]AB4!BE:BE,MATCH(A158,[1]AB4!B:B,0)))</f>
        <v>0.39582638888888888</v>
      </c>
      <c r="D158" s="64"/>
      <c r="E158" s="59"/>
      <c r="F158" s="64"/>
      <c r="G158" s="95"/>
      <c r="H158" s="96" t="str">
        <f>IF(C144="","",[1]AB5!$I$18)</f>
        <v>Yes</v>
      </c>
      <c r="I158" s="83"/>
      <c r="J158" s="97" t="str">
        <f>IF(C144="","",[1]AB5!$K$18)</f>
        <v>Entry Missed</v>
      </c>
      <c r="K158" s="87" t="str">
        <f>IF(C144="","",[1]AB5!$L$18)</f>
        <v>Recalcuate : Long Entry : Bull / Bull CF</v>
      </c>
      <c r="L158" s="88"/>
      <c r="M158" s="88"/>
      <c r="N158" s="85"/>
      <c r="O158" s="87" t="str">
        <f>IF(C144="","",[1]AB5!$P$18)</f>
        <v>Wait Till Recalculation Time</v>
      </c>
      <c r="P158" s="85"/>
      <c r="Q158" s="89">
        <f>IF(C144="","",C158)</f>
        <v>0.39582638888888888</v>
      </c>
      <c r="R158" s="85"/>
      <c r="S158" s="98" t="str">
        <f>IF(C144="","",CONCATENATE(V158," ",[1]AB5!$Z$18," ",TEXT(W158,"0.00%")))</f>
        <v>09:29:59 AM HH + 1.00%</v>
      </c>
      <c r="T158" s="88"/>
      <c r="U158" s="85"/>
      <c r="V158" s="99" t="str">
        <f>IF(C144="","",CONCATENATE(TEXT(Q158,"HH:MM:SS AM/PM"),[1]AB5!$U$18))</f>
        <v>09:29:59 AM HH</v>
      </c>
      <c r="W158" s="100" t="str">
        <f t="array" ref="W158">IF(A144="","",TEXT(INDEX([1]AB4!BK:BK,MATCH(A145,[1]AB4!B:B,0)),"0.00%"))</f>
        <v>1.00%</v>
      </c>
      <c r="X158" s="91"/>
      <c r="Y158" s="101" t="str">
        <f>IF(C144="","",CONCATENATE([1]AB5!$T$18," ( ",G144," or ",[1]AB5!$AA$18," ",[1]AB5!$Z$18," ",TEXT(W158,"0.00%")," )"))</f>
        <v>Max ( FUT : PRV : 2DHH + 0.00% or  CDHH + 1.00% )</v>
      </c>
      <c r="Z158" s="88"/>
      <c r="AA158" s="91"/>
      <c r="AB158" s="68"/>
      <c r="AC158" s="68"/>
    </row>
    <row r="159" spans="1:29" ht="31.5" customHeight="1" thickBot="1" x14ac:dyDescent="0.25">
      <c r="A159" s="18"/>
      <c r="B159" s="34"/>
      <c r="C159" s="102"/>
      <c r="D159" s="103"/>
      <c r="E159" s="104"/>
      <c r="F159" s="103"/>
      <c r="G159" s="105"/>
      <c r="H159" s="51"/>
      <c r="I159" s="105"/>
      <c r="J159" s="53"/>
      <c r="K159" s="87" t="str">
        <f>IF(C144="","",[1]AB5!$L$19)</f>
        <v>Recalcuate : Long Entry : Bear / Bear CF</v>
      </c>
      <c r="L159" s="88"/>
      <c r="M159" s="88"/>
      <c r="N159" s="85"/>
      <c r="O159" s="87" t="str">
        <f>IF(C144="","",[1]AB5!$P$19)</f>
        <v>Wait Till Recalculation Time</v>
      </c>
      <c r="P159" s="85"/>
      <c r="Q159" s="89">
        <f>IF(C144="","",C158)</f>
        <v>0.39582638888888888</v>
      </c>
      <c r="R159" s="85"/>
      <c r="S159" s="98" t="str">
        <f>IF(C144="","",CONCATENATE(V159," ",[1]AB5!$Z$19," ",TEXT(W159,"0.00%"),))</f>
        <v>09:29:59 AM HH + 1.00%</v>
      </c>
      <c r="T159" s="88"/>
      <c r="U159" s="85"/>
      <c r="V159" s="99" t="str">
        <f>IF(C144="","",CONCATENATE(TEXT(Q159,"HH:MM:SS AM/PM"),[1]AB5!$U$19))</f>
        <v>09:29:59 AM HH</v>
      </c>
      <c r="W159" s="100" t="str">
        <f t="array" ref="W159">IF(C144="","",TEXT(INDEX([1]AB4!BK:BK,MATCH(A150,[1]AB4!B:B,0)),"0.00%"))</f>
        <v>1.00%</v>
      </c>
      <c r="X159" s="91"/>
      <c r="Y159" s="106" t="str">
        <f>IF(C144="","",[1]AB5!$AA$19)</f>
        <v xml:space="preserve">Long Entry : Bear/ Bear CF : </v>
      </c>
      <c r="Z159" s="88"/>
      <c r="AA159" s="91"/>
      <c r="AB159" s="68"/>
      <c r="AC159" s="68"/>
    </row>
    <row r="160" spans="1:29" ht="31.5" customHeight="1" x14ac:dyDescent="0.2">
      <c r="A160" s="18"/>
      <c r="B160" s="69" t="str">
        <f>IF(C144="","",[1]AB5!$B$20)</f>
        <v>For SL (Position = Open)</v>
      </c>
      <c r="C160" s="29"/>
      <c r="D160" s="107" t="str">
        <f>IF(C144="","",[1]AB5!$D$20)</f>
        <v>For Short Entry</v>
      </c>
      <c r="E160" s="63"/>
      <c r="F160" s="82" t="str">
        <f>IF(C144="","",CONCATENATE([1]AB5!$G$20,TEXT(B158,"HH:MM:SS AM/PM"),[1]AB5!$B$18,[1]AB5!$H$20))</f>
        <v>Check If  09:19:59 AM LL &lt; Short Entry</v>
      </c>
      <c r="G160" s="83"/>
      <c r="H160" s="108" t="str">
        <f>IF(C144="","",[1]AB5!$I$20)</f>
        <v>No</v>
      </c>
      <c r="I160" s="85"/>
      <c r="J160" s="109" t="str">
        <f>IF(C144="","",[1]AB5!$K$20)</f>
        <v>Entry Not Missed</v>
      </c>
      <c r="K160" s="110" t="str">
        <f>IF(C144="","",[1]AB5!$L$20)</f>
        <v>Place the Order at ORPT</v>
      </c>
      <c r="L160" s="88"/>
      <c r="M160" s="88"/>
      <c r="N160" s="85"/>
      <c r="O160" s="110" t="str">
        <f>IF(C144="","",[1]AB5!$P$20)</f>
        <v>ORPT Time</v>
      </c>
      <c r="P160" s="85"/>
      <c r="Q160" s="111">
        <f>IF(C144="","",B158)</f>
        <v>0.38888194444444446</v>
      </c>
      <c r="R160" s="85"/>
      <c r="S160" s="110" t="str">
        <f>IF(C144="","",[1]AB5!$T$20)</f>
        <v>N.A.</v>
      </c>
      <c r="T160" s="88"/>
      <c r="U160" s="85"/>
      <c r="V160" s="109" t="str">
        <f>IF(C144="","",[1]AB5!$W$20)</f>
        <v>N.A.</v>
      </c>
      <c r="W160" s="112" t="str">
        <f>IF(C144="","",[1]AB5!$X$20)</f>
        <v>N.A.</v>
      </c>
      <c r="X160" s="91"/>
      <c r="Y160" s="101" t="str">
        <f>IF(C144="","",CONCATENATE([1]AB5!$T$19," ( ",G150," or ",[1]AB5!$AA$20," ",[1]AB5!$Z$19," ",TEXT(W159,"0.00%")," )"))</f>
        <v>Max ( FUT : PRV : 3DHH + 1.00% or  CDHH + 1.00% )</v>
      </c>
      <c r="Z160" s="88"/>
      <c r="AA160" s="91"/>
      <c r="AB160" s="68"/>
      <c r="AC160" s="68"/>
    </row>
    <row r="161" spans="1:29" ht="31.5" customHeight="1" x14ac:dyDescent="0.2">
      <c r="A161" s="18" t="str">
        <f>IF(C144="","",CONCATENATE(C145,[1]AB5!$A$21))</f>
        <v>S5A</v>
      </c>
      <c r="B161" s="79" t="str">
        <f>IF(C144="","",[1]AB5!$B$21)</f>
        <v xml:space="preserve">ORPT </v>
      </c>
      <c r="C161" s="80" t="str">
        <f>IF(C144="","",[1]AB5!$C$21)</f>
        <v xml:space="preserve"> RC. Time</v>
      </c>
      <c r="D161" s="64"/>
      <c r="E161" s="59"/>
      <c r="F161" s="64"/>
      <c r="G161" s="95"/>
      <c r="H161" s="113" t="str">
        <f>IF(C144="","",[1]AB5!$I$21)</f>
        <v>Yes</v>
      </c>
      <c r="I161" s="83"/>
      <c r="J161" s="114" t="str">
        <f>IF(C144="","",[1]AB5!$K$21)</f>
        <v>Entry Missed</v>
      </c>
      <c r="K161" s="110" t="str">
        <f>IF(C144="","",[1]AB5!$L$21)</f>
        <v>Recalcuate : Short Entry : Bull / Bull CF</v>
      </c>
      <c r="L161" s="88"/>
      <c r="M161" s="88"/>
      <c r="N161" s="85"/>
      <c r="O161" s="110" t="str">
        <f>IF(C144="","",[1]AB5!$P$21)</f>
        <v>Wait Till Recalculation Time</v>
      </c>
      <c r="P161" s="85"/>
      <c r="Q161" s="111">
        <f>IF(C144="","",C158)</f>
        <v>0.39582638888888888</v>
      </c>
      <c r="R161" s="85"/>
      <c r="S161" s="115" t="str">
        <f>IF(C144="","",CONCATENATE(V161," ",[1]AB5!$Z$21," ",TEXT(W161,"0.00%")))</f>
        <v>09:29:59 AM LL - 1.00%</v>
      </c>
      <c r="T161" s="88"/>
      <c r="U161" s="85"/>
      <c r="V161" s="116" t="str">
        <f>IF(C144="","",CONCATENATE(TEXT(Q161,"HH:MM:SS AM/PM"),[1]AB5!$U$21))</f>
        <v>09:29:59 AM LL</v>
      </c>
      <c r="W161" s="112" t="str">
        <f t="array" ref="W161">IF(C144="","",TEXT(INDEX([1]AB4!BK:BK,MATCH(A147,[1]AB4!B:B,0)),"0.00%"))</f>
        <v>1.00%</v>
      </c>
      <c r="X161" s="91"/>
      <c r="Y161" s="117" t="str">
        <f>IF(C144="","",[1]AB5!$AA$21)</f>
        <v>When Your Long Position is Exited</v>
      </c>
      <c r="Z161" s="118"/>
      <c r="AA161" s="59"/>
      <c r="AB161" s="68"/>
      <c r="AC161" s="68"/>
    </row>
    <row r="162" spans="1:29" ht="31.5" customHeight="1" thickBot="1" x14ac:dyDescent="0.25">
      <c r="A162" s="18" t="str">
        <f>IF(C144="","",CONCATENATE(C145,[1]AB5!$A$22))</f>
        <v>S5B</v>
      </c>
      <c r="B162" s="119">
        <f t="array" ref="B162">IF(C144="","",INDEX([1]AB4!BF:BF,MATCH(A161,[1]AB4!B:B,0)))</f>
        <v>0.38888194444444446</v>
      </c>
      <c r="C162" s="120">
        <f t="array" ref="C162">IF(C144="","",INDEX([1]AB4!BF:BF,MATCH(A162,[1]AB4!B:B,0)))</f>
        <v>0.39582638888888888</v>
      </c>
      <c r="D162" s="60"/>
      <c r="E162" s="66"/>
      <c r="F162" s="60"/>
      <c r="G162" s="121"/>
      <c r="H162" s="102"/>
      <c r="I162" s="121"/>
      <c r="J162" s="122"/>
      <c r="K162" s="123" t="str">
        <f>IF(C144="","",[1]AB5!$L$22)</f>
        <v>Recalcuate : Short Entry : Bear / Bear CF</v>
      </c>
      <c r="L162" s="124"/>
      <c r="M162" s="124"/>
      <c r="N162" s="38"/>
      <c r="O162" s="123" t="str">
        <f>IF(C144="","",[1]AB5!$P$22)</f>
        <v>Wait Till Recalculation Time</v>
      </c>
      <c r="P162" s="38"/>
      <c r="Q162" s="125">
        <f>IF(C144="","",C158)</f>
        <v>0.39582638888888888</v>
      </c>
      <c r="R162" s="38"/>
      <c r="S162" s="126" t="str">
        <f>IF(C144="","",CONCATENATE(V162," ",[1]AB5!$Z$22," ",TEXT(W162,"0.00%")))</f>
        <v>09:29:59 AM LL - 1.00%</v>
      </c>
      <c r="T162" s="124"/>
      <c r="U162" s="38"/>
      <c r="V162" s="127" t="str">
        <f>IF(C144="","",CONCATENATE(TEXT(Q162,"HH:MM:SS AM/PM"),[1]AB5!$U$22))</f>
        <v>09:29:59 AM LL</v>
      </c>
      <c r="W162" s="128" t="str">
        <f t="array" ref="W162">IF(C144="","",TEXT(INDEX([1]AB4!BK:BK,MATCH(A153,[1]AB4!B:B,0)),"0.00%"))</f>
        <v>1.00%</v>
      </c>
      <c r="X162" s="41"/>
      <c r="Y162" s="129" t="str">
        <f>IF(C144="","",[1]AB5!$AA$22)</f>
        <v>This is Only Applicable for Same Day</v>
      </c>
      <c r="Z162" s="130"/>
      <c r="AA162" s="66"/>
      <c r="AB162" s="68"/>
      <c r="AC162" s="68"/>
    </row>
    <row r="163" spans="1:29" ht="6" customHeight="1" thickBot="1" x14ac:dyDescent="0.25">
      <c r="A163" s="18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</row>
    <row r="164" spans="1:29" ht="21.75" customHeight="1" thickBot="1" x14ac:dyDescent="0.25">
      <c r="A164" s="18"/>
      <c r="B164" s="69" t="str">
        <f>IF(C144="","",[1]AB5!$B$24)</f>
        <v>For TGT (Position = Open)</v>
      </c>
      <c r="C164" s="29"/>
      <c r="D164" s="132" t="str">
        <f>IF(C144="","",[1]AB5!$D$24)</f>
        <v>Gap Check</v>
      </c>
      <c r="E164" s="133"/>
      <c r="F164" s="132" t="str">
        <f>IF(C144="","",[1]AB5!$G$24)</f>
        <v>Process</v>
      </c>
      <c r="G164" s="133"/>
      <c r="H164" s="132" t="str">
        <f>IF(C144="","",[1]AB5!$I$24)</f>
        <v>Y / N</v>
      </c>
      <c r="I164" s="133"/>
      <c r="J164" s="134" t="str">
        <f>IF(C144="","",[1]AB5!$K$24)</f>
        <v>Status</v>
      </c>
      <c r="K164" s="135" t="str">
        <f>IF(C144="","",[1]AB5!$L$24)</f>
        <v>Step 1</v>
      </c>
      <c r="L164" s="136"/>
      <c r="M164" s="136"/>
      <c r="N164" s="133"/>
      <c r="O164" s="132" t="str">
        <f>IF(C144="","",[1]AB5!$P$24)</f>
        <v>Order Placement Timings</v>
      </c>
      <c r="P164" s="133"/>
      <c r="Q164" s="132" t="str">
        <f>IF(C144="","",[1]AB5!$R$24)</f>
        <v>Time</v>
      </c>
      <c r="R164" s="133"/>
      <c r="S164" s="135" t="str">
        <f>IF(C144="","",[1]AB5!$T$24)</f>
        <v>Rules For Gaps</v>
      </c>
      <c r="T164" s="136"/>
      <c r="U164" s="133"/>
      <c r="V164" s="134" t="str">
        <f>IF(C144="","",[1]AB5!$W$24)</f>
        <v>Data</v>
      </c>
      <c r="W164" s="132" t="str">
        <f>IF(C144="","",[1]AB5!$X$24)</f>
        <v>Buffer</v>
      </c>
      <c r="X164" s="133"/>
      <c r="Y164" s="135" t="str">
        <f>IF(C144="","",[1]AB5!$AA$16)</f>
        <v>Rules For Re Entry</v>
      </c>
      <c r="Z164" s="136"/>
      <c r="AA164" s="133"/>
      <c r="AB164" s="78"/>
      <c r="AC164" s="78"/>
    </row>
    <row r="165" spans="1:29" ht="24" customHeight="1" x14ac:dyDescent="0.2">
      <c r="A165" s="18" t="str">
        <f>IF(C144="","",CONCATENATE(C145,[1]AB5!$A$25))</f>
        <v>S5A</v>
      </c>
      <c r="B165" s="79" t="str">
        <f>IF(C144="","",[1]AB5!$B$25)</f>
        <v xml:space="preserve">ORPT </v>
      </c>
      <c r="C165" s="80" t="str">
        <f>IF(C144="","",[1]AB5!$C$25)</f>
        <v xml:space="preserve"> RC. Time</v>
      </c>
      <c r="D165" s="137" t="str">
        <f>IF(C144="","",[1]AB5!$D$25)</f>
        <v>For Long SL</v>
      </c>
      <c r="E165" s="59"/>
      <c r="F165" s="138" t="str">
        <f>IF(C144="","",CONCATENATE([1]AB5!$G$25,TEXT(B162,"HH:MM:SS AM/PM"),[1]AB5!$B$22,[1]AB5!$H$25))</f>
        <v>Check If 09:19:59 AM LL &lt; Long SL</v>
      </c>
      <c r="G165" s="76"/>
      <c r="H165" s="139" t="str">
        <f>IF(C144="","",[1]AB5!$I$25)</f>
        <v>No</v>
      </c>
      <c r="I165" s="27"/>
      <c r="J165" s="140" t="str">
        <f>IF(C144="","",[1]AB5!$K$25)</f>
        <v>FSL / TRP Not Missed</v>
      </c>
      <c r="K165" s="141" t="str">
        <f>IF(C144="","",[1]AB5!$L$25)</f>
        <v>Place the Order at ORPT</v>
      </c>
      <c r="L165" s="142"/>
      <c r="M165" s="142"/>
      <c r="N165" s="27"/>
      <c r="O165" s="141" t="str">
        <f>IF(C144="","",[1]AB5!$P$25)</f>
        <v>ORPT Time</v>
      </c>
      <c r="P165" s="27"/>
      <c r="Q165" s="143">
        <f>IF(C144="","",B162)</f>
        <v>0.38888194444444446</v>
      </c>
      <c r="R165" s="27"/>
      <c r="S165" s="141" t="str">
        <f>IF(C144="","",[1]AB5!$U$25)</f>
        <v>N.A.</v>
      </c>
      <c r="T165" s="142"/>
      <c r="U165" s="27"/>
      <c r="V165" s="140" t="str">
        <f>IF(C144="","",[1]AB5!$W$25)</f>
        <v>N.A.</v>
      </c>
      <c r="W165" s="144" t="str">
        <f>IF(C144="","",[1]AB5!$X$25)</f>
        <v>N.A.</v>
      </c>
      <c r="X165" s="29"/>
      <c r="Y165" s="117" t="str">
        <f>IF(C144="","",[1]AB5!$AA$25)</f>
        <v xml:space="preserve">Short Entry : Bull/ Bull CF : </v>
      </c>
      <c r="Z165" s="12"/>
      <c r="AA165" s="59"/>
      <c r="AB165" s="68"/>
      <c r="AC165" s="68"/>
    </row>
    <row r="166" spans="1:29" ht="24" customHeight="1" thickBot="1" x14ac:dyDescent="0.25">
      <c r="A166" s="18" t="str">
        <f>IF(C144="","",CONCATENATE(C145,[1]AB5!$A$26))</f>
        <v>S5B</v>
      </c>
      <c r="B166" s="119">
        <f t="array" ref="B166">IF(C144="","",INDEX([1]AB4!BG:BG,MATCH(A165,[1]AB4!B:B,0)))</f>
        <v>0.38541666666666669</v>
      </c>
      <c r="C166" s="120" t="str">
        <f t="array" ref="C166">IF(C144="","",INDEX([1]AB4!BG:BG,MATCH(A166,[1]AB4!B:B,0)))</f>
        <v>N.A.</v>
      </c>
      <c r="D166" s="64"/>
      <c r="E166" s="59"/>
      <c r="F166" s="64"/>
      <c r="G166" s="12"/>
      <c r="H166" s="113" t="str">
        <f>IF(C144="","",[1]AB5!$I$26)</f>
        <v>Yes</v>
      </c>
      <c r="I166" s="83"/>
      <c r="J166" s="114" t="str">
        <f>IF(C144="","",[1]AB5!$K$26)</f>
        <v>FSL / TRP Missed</v>
      </c>
      <c r="K166" s="110" t="str">
        <f>IF(C144="","",[1]AB5!$L$26)</f>
        <v>Recalcuate : Long FSL / TRP : Bull / Bull CF</v>
      </c>
      <c r="L166" s="88"/>
      <c r="M166" s="88"/>
      <c r="N166" s="85"/>
      <c r="O166" s="110" t="str">
        <f>IF(C144="","",[1]AB5!$P$26)</f>
        <v>Wait Till Recalculation Time</v>
      </c>
      <c r="P166" s="85"/>
      <c r="Q166" s="111">
        <f>IF(C144="","",C162)</f>
        <v>0.39582638888888888</v>
      </c>
      <c r="R166" s="85"/>
      <c r="S166" s="110" t="str">
        <f>IF(C144="","",CONCATENATE(V166," ",[1]AB5!$Z$26," ",TEXT(W166,"0.00%")))</f>
        <v>09:29:59 AM LL - 1.00%</v>
      </c>
      <c r="T166" s="88"/>
      <c r="U166" s="85"/>
      <c r="V166" s="116" t="str">
        <f>IF(C144="","",CONCATENATE(TEXT(Q166,"HH:MM:SS AM/PM"),[1]AB5!$U$26))</f>
        <v>09:29:59 AM LL</v>
      </c>
      <c r="W166" s="112" t="str">
        <f t="array" ref="W166">IF(C144="","",TEXT(INDEX([1]AB4!BL:BL,MATCH(A145,[1]AB4!B:B,0)),"0.00%"))</f>
        <v>1.00%</v>
      </c>
      <c r="X166" s="91"/>
      <c r="Y166" s="145"/>
      <c r="Z166" s="145"/>
      <c r="AA166" s="104"/>
      <c r="AB166" s="68"/>
      <c r="AC166" s="68"/>
    </row>
    <row r="167" spans="1:29" ht="24" customHeight="1" x14ac:dyDescent="0.2">
      <c r="A167" s="18"/>
      <c r="B167" s="62" t="str">
        <f>IF(C144="","",[1]AB5!$B$27)</f>
        <v>I Commit To Follow The Rules &amp; Process</v>
      </c>
      <c r="C167" s="63"/>
      <c r="D167" s="64"/>
      <c r="E167" s="59"/>
      <c r="F167" s="64"/>
      <c r="G167" s="12"/>
      <c r="H167" s="48"/>
      <c r="I167" s="95"/>
      <c r="J167" s="146"/>
      <c r="K167" s="110" t="str">
        <f>IF(C144="","",[1]AB5!$L$27)</f>
        <v>Recalcuate : Long FSL / TRP : Bear / Bear CF</v>
      </c>
      <c r="L167" s="88"/>
      <c r="M167" s="88"/>
      <c r="N167" s="85"/>
      <c r="O167" s="110" t="str">
        <f>IF(C144="","",[1]AB5!$P$27)</f>
        <v>Wait Till Recalculation Time</v>
      </c>
      <c r="P167" s="85"/>
      <c r="Q167" s="111">
        <f>IF(C144="","",C162)</f>
        <v>0.39582638888888888</v>
      </c>
      <c r="R167" s="85"/>
      <c r="S167" s="110" t="str">
        <f>IF(C145="","",CONCATENATE(V167," ",[1]AB5!$Z$26," ",TEXT(W167,"0.00%")))</f>
        <v>09:29:59 AM LL - 1.00%</v>
      </c>
      <c r="T167" s="88"/>
      <c r="U167" s="85"/>
      <c r="V167" s="116" t="str">
        <f>IF(C144="","",CONCATENATE(TEXT(Q166,"HH:MM:SS AM/PM"),[1]AB5!$U$27))</f>
        <v>09:29:59 AM LL</v>
      </c>
      <c r="W167" s="112" t="str">
        <f t="array" ref="W167">IF(C144="","",TEXT(INDEX([1]AB4!BL:BL,MATCH(A145,[1]AB4!B:B,0)),"0.00%"))</f>
        <v>1.00%</v>
      </c>
      <c r="X167" s="91"/>
      <c r="Y167" s="147" t="str">
        <f>IF(C144="","",CONCATENATE([1]AB5!$T$28," ( ",G147," or ",[1]AB5!$AA$26," ",[1]AB5!$Z$28," ",TEXT(W168,"0.00%")," )"))</f>
        <v>Min ( FUT : PRV : 3DLL - 1.00% or  CDLL - 1.00% )</v>
      </c>
      <c r="Z167" s="148"/>
      <c r="AA167" s="63"/>
      <c r="AB167" s="68"/>
      <c r="AC167" s="68"/>
    </row>
    <row r="168" spans="1:29" ht="33" customHeight="1" x14ac:dyDescent="0.2">
      <c r="A168" s="18"/>
      <c r="B168" s="64"/>
      <c r="C168" s="59"/>
      <c r="D168" s="64"/>
      <c r="E168" s="59"/>
      <c r="F168" s="64"/>
      <c r="G168" s="12"/>
      <c r="H168" s="48"/>
      <c r="I168" s="95"/>
      <c r="J168" s="146"/>
      <c r="K168" s="110" t="str">
        <f>IF(C144="","",[1]AB5!$L$28)</f>
        <v>Recalcuate : Short Entry : Bull / Bull CF</v>
      </c>
      <c r="L168" s="88"/>
      <c r="M168" s="88"/>
      <c r="N168" s="85"/>
      <c r="O168" s="110" t="str">
        <f>IF(C144="","",[1]AB5!$P$28)</f>
        <v>Wait Till Recalculation Time</v>
      </c>
      <c r="P168" s="85"/>
      <c r="Q168" s="111">
        <f>IF(C144="","",C158)</f>
        <v>0.39582638888888888</v>
      </c>
      <c r="R168" s="85"/>
      <c r="S168" s="115" t="str">
        <f>IF(C144="","",CONCATENATE([1]AB5!$T$28," ( ",G147," or ",V168," ",[1]AB5!$Z$28," ",TEXT(W168,"0.00%")," )"))</f>
        <v>Min ( FUT : PRV : 3DLL - 1.00% or 09:29:59 AM LL - 1.00% )</v>
      </c>
      <c r="T168" s="88"/>
      <c r="U168" s="85"/>
      <c r="V168" s="116" t="str">
        <f>IF(C144="","",CONCATENATE(TEXT(Q168,"HH:MM:SS AM/PM"),[1]AB5!$U$28))</f>
        <v>09:29:59 AM LL</v>
      </c>
      <c r="W168" s="112" t="str">
        <f t="array" ref="W168">IF(C144="","",TEXT(INDEX([1]AB4!BK:BK,MATCH(A147,[1]AB4!B:B,0)),"0.00%"))</f>
        <v>1.00%</v>
      </c>
      <c r="X168" s="91"/>
      <c r="Y168" s="145"/>
      <c r="Z168" s="145"/>
      <c r="AA168" s="104"/>
      <c r="AB168" s="68"/>
      <c r="AC168" s="68"/>
    </row>
    <row r="169" spans="1:29" ht="33" customHeight="1" thickBot="1" x14ac:dyDescent="0.25">
      <c r="A169" s="18"/>
      <c r="B169" s="60"/>
      <c r="C169" s="66"/>
      <c r="D169" s="103"/>
      <c r="E169" s="104"/>
      <c r="F169" s="103"/>
      <c r="G169" s="145"/>
      <c r="H169" s="51"/>
      <c r="I169" s="105"/>
      <c r="J169" s="53"/>
      <c r="K169" s="110" t="str">
        <f>IF(C144="","",[1]AB5!$L$29)</f>
        <v>Recalcuate : Short Entry : Bear / Bear CF</v>
      </c>
      <c r="L169" s="88"/>
      <c r="M169" s="88"/>
      <c r="N169" s="85"/>
      <c r="O169" s="110" t="str">
        <f>IF(C144="","",[1]AB5!$P$29)</f>
        <v>Wait Till Recalculation Time</v>
      </c>
      <c r="P169" s="85"/>
      <c r="Q169" s="111">
        <f>IF(C144="","",C158)</f>
        <v>0.39582638888888888</v>
      </c>
      <c r="R169" s="85"/>
      <c r="S169" s="115" t="str">
        <f>IF(C144="","",CONCATENATE([1]AB5!$T$29," ( ",G153," or ",V169," ",[1]AB5!$Z$29," ",TEXT(W169,"0.00%")," )"))</f>
        <v>Min ( FUT : PRV : 2DLL - 0.00% or 09:29:59 AM LL - 1.00% )</v>
      </c>
      <c r="T169" s="88"/>
      <c r="U169" s="85"/>
      <c r="V169" s="116" t="str">
        <f>IF(C144="","",CONCATENATE(TEXT(Q169,"HH:MM:SS AM/PM"),[1]AB5!$U$29))</f>
        <v>09:29:59 AM LL</v>
      </c>
      <c r="W169" s="112" t="str">
        <f t="array" ref="W169">IF(C144="","",TEXT(INDEX([1]AB4!BK:BK,MATCH(A153,[1]AB4!B:B,0)),"0.00%"))</f>
        <v>1.00%</v>
      </c>
      <c r="X169" s="91"/>
      <c r="Y169" s="149" t="str">
        <f>IF(C144="","",[1]AB5!$AA$29)</f>
        <v xml:space="preserve">Short Entry : Bear/ Bear CF : </v>
      </c>
      <c r="Z169" s="88"/>
      <c r="AA169" s="91"/>
      <c r="AB169" s="68"/>
      <c r="AC169" s="68"/>
    </row>
    <row r="170" spans="1:29" ht="21.75" customHeight="1" x14ac:dyDescent="0.2">
      <c r="A170" s="18"/>
      <c r="B170" s="150" t="str">
        <f>IF(C144="","",IF([1]AB5!$B$12="","",[1]AB5!$B$30))</f>
        <v>By Asmita Patel.</v>
      </c>
      <c r="C170" s="71"/>
      <c r="D170" s="81" t="str">
        <f>IF(C144="","",[1]AB5!$D$30)</f>
        <v>For Short SL</v>
      </c>
      <c r="E170" s="63"/>
      <c r="F170" s="151" t="str">
        <f>IF(C144="","",CONCATENATE([1]AB5!$G$30,TEXT(B162,"HH:MM:SS AM/PM"),[1]AB5!$B$22,[1]AB5!$H$30))</f>
        <v>Check If 09:19:59 AM HH &gt; Short SL</v>
      </c>
      <c r="G170" s="83"/>
      <c r="H170" s="84" t="str">
        <f>IF(C144="","",[1]AB5!$I$30)</f>
        <v>No</v>
      </c>
      <c r="I170" s="85"/>
      <c r="J170" s="86" t="str">
        <f>IF(C144="","",[1]AB5!$K$30)</f>
        <v>FSL / TRP Not Missed</v>
      </c>
      <c r="K170" s="87" t="str">
        <f>IF(C144="","",[1]AB5!$L$30)</f>
        <v>Place the Order at ORPT</v>
      </c>
      <c r="L170" s="88"/>
      <c r="M170" s="88"/>
      <c r="N170" s="85"/>
      <c r="O170" s="87" t="str">
        <f>IF(C144="","",[1]AB5!$P$30)</f>
        <v>ORPT Time</v>
      </c>
      <c r="P170" s="85"/>
      <c r="Q170" s="89">
        <f>IF(C144="","",B162)</f>
        <v>0.38888194444444446</v>
      </c>
      <c r="R170" s="85"/>
      <c r="S170" s="87" t="str">
        <f>IF(C144="","",[1]AB5!$T$30)</f>
        <v>N.A.</v>
      </c>
      <c r="T170" s="88"/>
      <c r="U170" s="85"/>
      <c r="V170" s="86" t="str">
        <f>IF(C144="","",[1]AB5!$W$30)</f>
        <v>N.A.</v>
      </c>
      <c r="W170" s="90" t="str">
        <f>IF(C144="","",[1]AB5!$X$30)</f>
        <v>N.A.</v>
      </c>
      <c r="X170" s="91"/>
      <c r="Y170" s="147" t="str">
        <f>IF(C144="","",CONCATENATE([1]AB5!$T$29," ( ",G153," or ",[1]AB5!$AA$30," ",[1]AB5!$Z$29," ",TEXT(W169,"0.00%")," )"))</f>
        <v>Min ( FUT : PRV : 2DLL - 0.00% or  CDLL - 1.00% )</v>
      </c>
      <c r="Z170" s="148"/>
      <c r="AA170" s="63"/>
      <c r="AB170" s="68"/>
      <c r="AC170" s="68"/>
    </row>
    <row r="171" spans="1:29" ht="21.75" customHeight="1" x14ac:dyDescent="0.2">
      <c r="A171" s="152"/>
      <c r="B171" s="64"/>
      <c r="C171" s="59"/>
      <c r="D171" s="64"/>
      <c r="E171" s="59"/>
      <c r="F171" s="64"/>
      <c r="G171" s="95"/>
      <c r="H171" s="96" t="str">
        <f>IF(C144="","",[1]AB5!$I$31)</f>
        <v>Yes</v>
      </c>
      <c r="I171" s="83"/>
      <c r="J171" s="97" t="str">
        <f>IF(C144="","",[1]AB5!$K$31)</f>
        <v>FSL / TRP Missed</v>
      </c>
      <c r="K171" s="87" t="str">
        <f>IF(C144="","",[1]AB5!$L$31)</f>
        <v>Recalcuate : Short FSL / TRP : Bull / Bull CF</v>
      </c>
      <c r="L171" s="88"/>
      <c r="M171" s="88"/>
      <c r="N171" s="85"/>
      <c r="O171" s="87" t="str">
        <f>IF(C144="","",[1]AB5!$P$31)</f>
        <v>Wait Till Recalculation Time</v>
      </c>
      <c r="P171" s="85"/>
      <c r="Q171" s="89">
        <f>IF(C144="","",C162)</f>
        <v>0.39582638888888888</v>
      </c>
      <c r="R171" s="85"/>
      <c r="S171" s="87" t="str">
        <f>IF(C144="","",CONCATENATE(V171," ",[1]AB5!$Z$31," ",TEXT(W171,"0.00%")))</f>
        <v>09:29:59 AM HH + 1.00%</v>
      </c>
      <c r="T171" s="88"/>
      <c r="U171" s="85"/>
      <c r="V171" s="153" t="str">
        <f>IF(C144="","",CONCATENATE(TEXT(Q171,"HH:MM:SS AM/PM"),[1]AB5!$U$31))</f>
        <v>09:29:59 AM HH</v>
      </c>
      <c r="W171" s="90" t="str">
        <f t="array" ref="W171">IF(C144="","",TEXT(INDEX([1]AB4!BL:BL,MATCH(A153,[1]AB4!B:B,0)),"0.00%"))</f>
        <v>1.00%</v>
      </c>
      <c r="X171" s="91"/>
      <c r="Y171" s="12"/>
      <c r="Z171" s="12"/>
      <c r="AA171" s="59"/>
      <c r="AB171" s="68"/>
      <c r="AC171" s="68"/>
    </row>
    <row r="172" spans="1:29" ht="22.5" customHeight="1" x14ac:dyDescent="0.2">
      <c r="A172" s="152"/>
      <c r="B172" s="64"/>
      <c r="C172" s="59"/>
      <c r="D172" s="64"/>
      <c r="E172" s="59"/>
      <c r="F172" s="64"/>
      <c r="G172" s="95"/>
      <c r="H172" s="48"/>
      <c r="I172" s="95"/>
      <c r="J172" s="146"/>
      <c r="K172" s="87" t="str">
        <f>IF(C144="","",[1]AB5!$L$32)</f>
        <v>Recalcuate : Short FSL / TRP : Bear / Bear CF</v>
      </c>
      <c r="L172" s="88"/>
      <c r="M172" s="88"/>
      <c r="N172" s="85"/>
      <c r="O172" s="87" t="str">
        <f>IF(C144="","",[1]AB5!$P$32)</f>
        <v>Wait Till Recalculation Time</v>
      </c>
      <c r="P172" s="85"/>
      <c r="Q172" s="89">
        <f>IF(C144="","",C162)</f>
        <v>0.39582638888888888</v>
      </c>
      <c r="R172" s="85"/>
      <c r="S172" s="87" t="str">
        <f>IF(C145="","",CONCATENATE(V172," ",[1]AB5!$Z$31," ",TEXT(W172,"0.00%")))</f>
        <v>09:29:59 AM HH + 1.00%</v>
      </c>
      <c r="T172" s="88"/>
      <c r="U172" s="85"/>
      <c r="V172" s="153" t="str">
        <f>IF(C144="","",CONCATENATE(TEXT(Q171,"HH:MM:SS AM/PM"),[1]AB5!$U$32))</f>
        <v>09:29:59 AM HH</v>
      </c>
      <c r="W172" s="90" t="str">
        <f t="array" ref="W172">IF(C144="","",TEXT(INDEX([1]AB4!BL:BL,MATCH(A153,[1]AB4!B:B,0)),"0.00%"))</f>
        <v>1.00%</v>
      </c>
      <c r="X172" s="91"/>
      <c r="Y172" s="145"/>
      <c r="Z172" s="145"/>
      <c r="AA172" s="104"/>
      <c r="AB172" s="68"/>
      <c r="AC172" s="68"/>
    </row>
    <row r="173" spans="1:29" ht="33" customHeight="1" x14ac:dyDescent="0.2">
      <c r="A173" s="152"/>
      <c r="B173" s="64"/>
      <c r="C173" s="59"/>
      <c r="D173" s="64"/>
      <c r="E173" s="59"/>
      <c r="F173" s="64"/>
      <c r="G173" s="95"/>
      <c r="H173" s="48"/>
      <c r="I173" s="95"/>
      <c r="J173" s="146"/>
      <c r="K173" s="87" t="str">
        <f>IF(C144="","",[1]AB5!$L$33)</f>
        <v>Recalcuate : Long Entry : Bull / Bull CF</v>
      </c>
      <c r="L173" s="88"/>
      <c r="M173" s="88"/>
      <c r="N173" s="85"/>
      <c r="O173" s="87" t="str">
        <f>IF(C144="","",[1]AB5!$P$33)</f>
        <v>Wait Till Recalculation Time</v>
      </c>
      <c r="P173" s="85"/>
      <c r="Q173" s="89">
        <f>IF(C144="","",C158)</f>
        <v>0.39582638888888888</v>
      </c>
      <c r="R173" s="85"/>
      <c r="S173" s="98" t="str">
        <f>IF(C144="","",CONCATENATE([1]AB5!$T$33," ( ",G144," or ",V173," ",[1]AB5!$Z$33," ",TEXT(W173,"0.00%")," )"))</f>
        <v>Max ( FUT : PRV : 2DHH + 0.00% or 09:29:59 AM HH + 1.00% )</v>
      </c>
      <c r="T173" s="88"/>
      <c r="U173" s="85"/>
      <c r="V173" s="99" t="str">
        <f>IF(C144="","",CONCATENATE(TEXT(Q173,"HH:MM:SS AM/PM"),[1]AB5!$U$33))</f>
        <v>09:29:59 AM HH</v>
      </c>
      <c r="W173" s="90" t="str">
        <f t="array" ref="W173">IF(C144="","",TEXT(INDEX([1]AB4!BK:BK,MATCH(A144,[1]AB4!B:B,0)),"0.00%"))</f>
        <v>1.00%</v>
      </c>
      <c r="X173" s="91"/>
      <c r="Y173" s="117" t="str">
        <f>IF(C144="","",[1]AB5!$AA$33)</f>
        <v>When Your Short Position is Exited</v>
      </c>
      <c r="Z173" s="118"/>
      <c r="AA173" s="59"/>
      <c r="AB173" s="68"/>
      <c r="AC173" s="68"/>
    </row>
    <row r="174" spans="1:29" ht="33" customHeight="1" thickBot="1" x14ac:dyDescent="0.25">
      <c r="A174" s="152"/>
      <c r="B174" s="60"/>
      <c r="C174" s="66"/>
      <c r="D174" s="60"/>
      <c r="E174" s="66"/>
      <c r="F174" s="60"/>
      <c r="G174" s="121"/>
      <c r="H174" s="102"/>
      <c r="I174" s="121"/>
      <c r="J174" s="122"/>
      <c r="K174" s="154" t="str">
        <f>IF(C144="","",[1]AB5!$L$34)</f>
        <v>Recalcuate : Long Entry : Bear / Bear CF</v>
      </c>
      <c r="L174" s="124"/>
      <c r="M174" s="124"/>
      <c r="N174" s="38"/>
      <c r="O174" s="154" t="str">
        <f>IF(C144="","",[1]AB5!$P$34)</f>
        <v>Wait Till Recalculation Time</v>
      </c>
      <c r="P174" s="38"/>
      <c r="Q174" s="155">
        <f>IF(C144="","",C158)</f>
        <v>0.39582638888888888</v>
      </c>
      <c r="R174" s="38"/>
      <c r="S174" s="156" t="str">
        <f>IF(C144="","",CONCATENATE([1]AB5!$T$34," ( ",G150," or ",V174," ",[1]AB5!$Z$34," ",TEXT(W174,"0.00%")," )"))</f>
        <v>Max ( FUT : PRV : 3DHH + 1.00% or 09:29:59 AM HH + 1.00% )</v>
      </c>
      <c r="T174" s="124"/>
      <c r="U174" s="38"/>
      <c r="V174" s="157" t="str">
        <f>IF(C144="","",CONCATENATE(TEXT(Q174,"HH:MM:SS AM/PM"),[1]AB5!$U$34))</f>
        <v>09:29:59 AM HH</v>
      </c>
      <c r="W174" s="158" t="str">
        <f t="array" ref="W174">IF(C144="","",TEXT(INDEX([1]AB4!BK:BK,MATCH(A150,[1]AB4!B:B,0)),"0.00%"))</f>
        <v>1.00%</v>
      </c>
      <c r="X174" s="41"/>
      <c r="Y174" s="117" t="str">
        <f>IF(C144="","",[1]AB5!$AA$34)</f>
        <v>This is Only Applicable for Same Day</v>
      </c>
      <c r="Z174" s="118"/>
      <c r="AA174" s="59"/>
      <c r="AB174" s="68"/>
      <c r="AC174" s="68"/>
    </row>
    <row r="175" spans="1:29" ht="21.75" customHeight="1" thickBot="1" x14ac:dyDescent="0.25">
      <c r="A175" s="152"/>
      <c r="B175" s="69" t="str">
        <f>IF(C144="","",[1]AB5!$B$35)</f>
        <v>For Missed SL (Position = Open)</v>
      </c>
      <c r="C175" s="29"/>
      <c r="D175" s="70" t="str">
        <f>IF(C144="","",[1]AB5!$D$36)</f>
        <v>Note: ( Optional )</v>
      </c>
      <c r="E175" s="71"/>
      <c r="F175" s="159" t="str">
        <f>IF(C144="","",[1]AB5!$I$35)</f>
        <v>For Long SL</v>
      </c>
      <c r="G175" s="136"/>
      <c r="H175" s="136"/>
      <c r="I175" s="136"/>
      <c r="J175" s="136"/>
      <c r="K175" s="136"/>
      <c r="L175" s="136"/>
      <c r="M175" s="136"/>
      <c r="N175" s="136"/>
      <c r="O175" s="136"/>
      <c r="P175" s="133"/>
      <c r="Q175" s="159" t="str">
        <f>IF(N144="","",[1]AB5!$T$35)</f>
        <v>For Short SL</v>
      </c>
      <c r="R175" s="136"/>
      <c r="S175" s="136"/>
      <c r="T175" s="136"/>
      <c r="U175" s="136"/>
      <c r="V175" s="136"/>
      <c r="W175" s="136"/>
      <c r="X175" s="136"/>
      <c r="Y175" s="136"/>
      <c r="Z175" s="136"/>
      <c r="AA175" s="133"/>
      <c r="AB175" s="68"/>
      <c r="AC175" s="68"/>
    </row>
    <row r="176" spans="1:29" ht="36" customHeight="1" x14ac:dyDescent="0.2">
      <c r="A176" s="152"/>
      <c r="B176" s="160" t="str">
        <f>IF(C144="","",[1]AB5!$B$36)</f>
        <v>Check time</v>
      </c>
      <c r="C176" s="91"/>
      <c r="D176" s="64"/>
      <c r="E176" s="59"/>
      <c r="F176" s="161" t="str">
        <f>IF(C144="","",CONCATENATE([1]AB5!$G$36,TEXT(B177,"HH:MM:SS AM/PM"),[1]AB5!$B$37,[1]AB5!$H$36))</f>
        <v>Check If Close at 03:00:00 PM  &lt; Long Original SL</v>
      </c>
      <c r="G176" s="85"/>
      <c r="H176" s="162" t="str">
        <f>IF(C144="","",[1]AB5!$I$36)</f>
        <v>Yes</v>
      </c>
      <c r="I176" s="105"/>
      <c r="J176" s="163" t="str">
        <f>IF(C144="","",CONCATENATE([1]AB5!$K$36,TEXT(B177,"HH:MM:SS AM/PM")))</f>
        <v xml:space="preserve"> Then Square Off The Position At CMP at 03:00:00 PM</v>
      </c>
      <c r="K176" s="145"/>
      <c r="L176" s="145"/>
      <c r="M176" s="145"/>
      <c r="N176" s="145"/>
      <c r="O176" s="145"/>
      <c r="P176" s="104"/>
      <c r="Q176" s="164" t="str">
        <f>IF(C144="","",CONCATENATE([1]AB5!$T$36,TEXT(B177,"HH:MM:SS AM/PM"),[1]AB5!$B$37,[1]AB5!$U$36))</f>
        <v>Check If Close at 03:00:00 PM  &gt; Short Original SL</v>
      </c>
      <c r="R176" s="145"/>
      <c r="S176" s="105"/>
      <c r="T176" s="165" t="str">
        <f>IF(C144="","",[1]AB5!$I$36)</f>
        <v>Yes</v>
      </c>
      <c r="U176" s="166" t="str">
        <f>IF(C144="","",CONCATENATE([1]AB5!$W$36,TEXT(B177,"HH:MM:SS AM/PM")))</f>
        <v xml:space="preserve"> Then Square Off The Position At CMP at 03:00:00 PM</v>
      </c>
      <c r="V176" s="145"/>
      <c r="W176" s="145"/>
      <c r="X176" s="145"/>
      <c r="Y176" s="145"/>
      <c r="Z176" s="145"/>
      <c r="AA176" s="104"/>
      <c r="AB176" s="68"/>
      <c r="AC176" s="167"/>
    </row>
    <row r="177" spans="1:29" ht="36" customHeight="1" thickBot="1" x14ac:dyDescent="0.25">
      <c r="A177" s="152"/>
      <c r="B177" s="168">
        <f t="array" ref="B177">IF(C144="","",INDEX([1]AB4!CU:CU,MATCH(A165,[1]AB4!B:B,0)))</f>
        <v>0.625</v>
      </c>
      <c r="C177" s="41"/>
      <c r="D177" s="60"/>
      <c r="E177" s="66"/>
      <c r="F177" s="169" t="str">
        <f>IF(C144="","",CONCATENATE([1]AB5!$G$37,TEXT(B177,"HH:MM:SS AM/PM"),[1]AB5!$B$37,[1]AB5!$H$37))</f>
        <v>Check If Close at 03:00:00 PM  &gt; Long Original SL</v>
      </c>
      <c r="G177" s="38"/>
      <c r="H177" s="170" t="str">
        <f>IF(C144="","",[1]AB5!$I$37)</f>
        <v>Yes</v>
      </c>
      <c r="I177" s="38"/>
      <c r="J177" s="156" t="str">
        <f>IF(C144="","",CONCATENATE([1]AB5!$K$37))</f>
        <v xml:space="preserve"> Then Continue the Position for Next Day And Calculate Stop Loss Price as per the Rules</v>
      </c>
      <c r="K177" s="124"/>
      <c r="L177" s="124"/>
      <c r="M177" s="124"/>
      <c r="N177" s="124"/>
      <c r="O177" s="124"/>
      <c r="P177" s="41"/>
      <c r="Q177" s="169" t="str">
        <f>IF(C144="","",CONCATENATE([1]AB5!$T$37,TEXT(B177,"HH:MM:SS AM/PM"),[1]AB5!$B$37,[1]AB5!$U$37))</f>
        <v>Check If Close at 03:00:00 PM  &lt; Short Original SL</v>
      </c>
      <c r="R177" s="124"/>
      <c r="S177" s="38"/>
      <c r="T177" s="171" t="str">
        <f>IF(C145="","",[1]AB5!$I$36)</f>
        <v>Yes</v>
      </c>
      <c r="U177" s="156" t="str">
        <f>IF(C144="","",CONCATENATE([1]AB5!$W$37))</f>
        <v xml:space="preserve"> Then Continue the Position for Next Day And Calculate Stop Loss Price as per the Rules</v>
      </c>
      <c r="V177" s="124"/>
      <c r="W177" s="124"/>
      <c r="X177" s="124"/>
      <c r="Y177" s="124"/>
      <c r="Z177" s="124"/>
      <c r="AA177" s="41"/>
      <c r="AB177" s="68"/>
      <c r="AC177" s="167"/>
    </row>
    <row r="178" spans="1:29" ht="15.75" customHeight="1" thickBot="1" x14ac:dyDescent="0.25">
      <c r="A178" s="177"/>
    </row>
    <row r="179" spans="1:29" ht="30.75" customHeight="1" x14ac:dyDescent="0.2">
      <c r="A179" s="18" t="str">
        <f>IF(C179="","",CONCATENATE(C180,[1]AB5!$A$4))</f>
        <v>S6A</v>
      </c>
      <c r="B179" s="20" t="str">
        <f>IF(C179="","",IF([1]AB5!$B$4="","",[1]AB5!$B$4))</f>
        <v>Sr. No.</v>
      </c>
      <c r="C179" s="172">
        <v>6</v>
      </c>
      <c r="D179" s="173" t="str">
        <f>IF(C179="","",[1]AB5!$D$4)</f>
        <v>BULL / BULL CF</v>
      </c>
      <c r="E179" s="57" t="str">
        <f>IF(C179="","",[1]AB5!$F$4)</f>
        <v>BUY</v>
      </c>
      <c r="F179" s="58" t="str">
        <f>IF(C179="","",[1]AB5!$G$4)</f>
        <v>E &amp; T</v>
      </c>
      <c r="G179" s="25" t="str">
        <f t="array" ref="G179">IF(C179="","",CONCATENATE(INDEX([1]AB4!G:G,MATCH(A179,[1]AB4!B:B,0)),INDEX([1]AB4!H:H,MATCH(A179,[1]AB4!B:B,0)),TEXT(INDEX([1]AB4!I:I,MATCH(A179,[1]AB4!B:B,0)),"0.00%")))</f>
        <v>FUT : PRV : 3DHH + 1.00%</v>
      </c>
      <c r="H179" s="26">
        <f t="array" ref="H179">IF(C179="","",INDEX([1]AB4!J:J,MATCH(A179,[1]AB4!B:B,0)))</f>
        <v>5</v>
      </c>
      <c r="I179" s="27"/>
      <c r="J179" s="28" t="str">
        <f t="array" ref="J179">IF(C179="","",CONCATENATE(INDEX([1]AB4!L:L,MATCH(A179,[1]AB4!B:B,0)),INDEX([1]AB4!M:M,MATCH(A179,[1]AB4!B:B,0)),TEXT(INDEX([1]AB4!N:N,MATCH(A179,[1]AB4!B:B,0)),"0.00%")))</f>
        <v>L : Entry  + 3.00%</v>
      </c>
      <c r="K179" s="26">
        <f t="array" ref="K179">IF(C179="","",INDEX([1]AB4!O:O,MATCH(A179,[1]AB4!B:B,0)))</f>
        <v>1</v>
      </c>
      <c r="L179" s="27"/>
      <c r="M179" s="28" t="str">
        <f t="array" ref="M179">IF(C179="","",CONCATENATE(INDEX([1]AB4!L:L,MATCH(A179,[1]AB4!B:B,0)),INDEX([1]AB4!M:M,MATCH(A179,[1]AB4!B:B,0)),TEXT(INDEX([1]AB4!P:P,MATCH(A179,[1]AB4!B:B,0)),"0.00%")))</f>
        <v>L : Entry  + 4.50%</v>
      </c>
      <c r="N179" s="26">
        <f t="array" ref="N179">IF(C179="","",INDEX([1]AB4!Q:Q,MATCH(A179,[1]AB4!B:B,0)))</f>
        <v>1</v>
      </c>
      <c r="O179" s="27"/>
      <c r="P179" s="28" t="str">
        <f t="array" ref="P179">IF(C179="","",CONCATENATE(INDEX([1]AB4!L:L,MATCH(A179,[1]AB4!B:B,0)),INDEX([1]AB4!M:M,MATCH(A179,[1]AB4!B:B,0)),TEXT(INDEX([1]AB4!R:R,MATCH(A179,[1]AB4!B:B,0)),"0.00%")))</f>
        <v>L : Entry  + 6.00%</v>
      </c>
      <c r="Q179" s="26">
        <f t="array" ref="Q179">IF(C179="","",INDEX([1]AB4!S:S,MATCH(A179,[1]AB4!B:B,0)))</f>
        <v>1</v>
      </c>
      <c r="R179" s="27"/>
      <c r="S179" s="28" t="str">
        <f t="array" ref="S179">IF(C179="","",CONCATENATE(INDEX([1]AB4!L:L,MATCH(A179,[1]AB4!B:B,0)),INDEX([1]AB4!M:M,MATCH(A179,[1]AB4!B:B,0)),TEXT(INDEX([1]AB4!T:T,MATCH(A179,[1]AB4!B:B,0)),"0.00%")))</f>
        <v>L : Entry  + 8.00%</v>
      </c>
      <c r="T179" s="26">
        <f t="array" ref="T179">IF(C179="","",INDEX([1]AB4!U:U,MATCH(A179,[1]AB4!B:B,0)))</f>
        <v>1</v>
      </c>
      <c r="U179" s="27"/>
      <c r="V179" s="28" t="str">
        <f t="array" ref="V179">IF(C179="","",INDEX([1]AB4!V:V,MATCH(A179,[1]AB4!B:B,0)))</f>
        <v>TR PROFIT AFTER TGT 4</v>
      </c>
      <c r="W179" s="26">
        <f t="array" ref="W179">IF(C179="","",INDEX([1]AB4!W:W,MATCH(A179,[1]AB4!B:B,0)))</f>
        <v>1</v>
      </c>
      <c r="X179" s="27"/>
      <c r="Y179" s="28" t="str">
        <f t="array" ref="Y179">IF(C179="","",INDEX([1]AB4!X:X,MATCH(A179,[1]AB4!B:B,0)))</f>
        <v>N.A.</v>
      </c>
      <c r="Z179" s="26" t="str">
        <f t="array" ref="Z179">IF(C179="","",INDEX([1]AB4!Y:Y,MATCH(A179,[1]AB4!B:B,0)))</f>
        <v>N.A.</v>
      </c>
      <c r="AA179" s="29"/>
      <c r="AB179" s="30"/>
      <c r="AC179" s="30"/>
    </row>
    <row r="180" spans="1:29" ht="44.25" customHeight="1" thickBot="1" x14ac:dyDescent="0.25">
      <c r="A180" s="18" t="str">
        <f>IF(C179="","",CONCATENATE(C180,[1]AB5!$A$5))</f>
        <v>S6A</v>
      </c>
      <c r="B180" s="31" t="str">
        <f>IF(C179="","",IF([1]AB5!$B$5="","",[1]AB5!$B$5))</f>
        <v>Strategy Code</v>
      </c>
      <c r="C180" s="54" t="str">
        <f t="array" ref="C180">IF(C179="","",INDEX([1]AB2!B:B,MATCH(C179,[1]AB2!A:A,0)))</f>
        <v>S6</v>
      </c>
      <c r="D180" s="59"/>
      <c r="E180" s="60"/>
      <c r="F180" s="61" t="str">
        <f>IF(C179="","",[1]AB5!$G$5)</f>
        <v>SL / TRP</v>
      </c>
      <c r="G180" s="36" t="str">
        <f t="array" ref="G180">IF(C179="","",CONCATENATE(INDEX([1]AB4!AA:AA,MATCH(A180,[1]AB4!B:B,0))," ( ",INDEX([1]AB4!AE:AE,MATCH(A180,[1]AB4!B:B,0)),INDEX([1]AB4!AF:AF,MATCH(A180,[1]AB4!B:B,0)),TEXT(INDEX([1]AB4!AG:AG,MATCH(A180,[1]AB4!B:B,0)),"0.00%")," or ",INDEX([1]AB4!AK:AK,MATCH(A180,[1]AB4!B:B,0)),INDEX([1]AB4!AJ:AJ,MATCH(A180,[1]AB4!B:B,0)),TEXT(INDEX([1]AB4!AL:AL,MATCH(A180,[1]AB4!B:B,0)),"0.00%")," )"))</f>
        <v>Max ( L : Entry - 3.00% or FUT : PRV : 3DLL - 1.00% )</v>
      </c>
      <c r="H180" s="37">
        <f t="array" ref="H180">IF(C180="","",INDEX([1]AB4!AM:AM,MATCH(A180,[1]AB4!B:B,0)))</f>
        <v>5</v>
      </c>
      <c r="I180" s="38"/>
      <c r="J180" s="36" t="str">
        <f t="array" ref="J180">IF(C179="","",CONCATENATE(INDEX([1]AB4!AA:AA,MATCH(A180,[1]AB4!B:B,0))," ( ",INDEX([1]AB4!AE:AE,MATCH(A180,[1]AB4!B:B,0))," or ",INDEX([1]AB4!AN:AN,MATCH(A180,[1]AB4!B:B,0)),INDEX([1]AB4!AJ:AJ,MATCH(A180,[1]AB4!B:B,0)),TEXT(INDEX([1]AB4!AO:AO,MATCH(A180,[1]AB4!B:B,0)),"0.00%")," )"))</f>
        <v>Max ( L : Entry or FUT : PRV : 3DLL - 1.00% )</v>
      </c>
      <c r="K180" s="37">
        <f t="array" ref="K180">IF(C179="","",INDEX([1]AB4!AP:AP,MATCH(A180,[1]AB4!B:B,0)))</f>
        <v>4</v>
      </c>
      <c r="L180" s="38"/>
      <c r="M180" s="36" t="str">
        <f t="array" ref="M180">IF(C179="","",CONCATENATE(INDEX([1]AB4!AA:AA,MATCH(A180,[1]AB4!B:B,0))," ( ",INDEX([1]AB4!AE:AE,MATCH(A180,[1]AB4!B:B,0))," or ",INDEX([1]AB4!AQ:AQ,MATCH(A180,[1]AB4!B:B,0)),INDEX([1]AB4!AJ:AJ,MATCH(A180,[1]AB4!B:B,0)),TEXT(INDEX([1]AB4!AR:AR,MATCH(A180,[1]AB4!B:B,0)),"0.00%")," )"))</f>
        <v>Max ( L : Entry or FUT : PRV : 3DLL - 1.00% )</v>
      </c>
      <c r="N180" s="37">
        <f t="array" ref="N180">IF(C180="","",INDEX([1]AB4!AS:AS,MATCH(A180,[1]AB4!B:B,0)))</f>
        <v>3</v>
      </c>
      <c r="O180" s="38"/>
      <c r="P180" s="36" t="str">
        <f t="array" ref="P180">IF(C179="","",CONCATENATE(INDEX([1]AB4!AA:AA,MATCH(A180,[1]AB4!B:B,0))," ( ",INDEX([1]AB4!AE:AE,MATCH(A180,[1]AB4!B:B,0))," or ",INDEX([1]AB4!AT:AT,MATCH(A180,[1]AB4!B:B,0)),INDEX([1]AB4!AJ:AJ,MATCH(A180,[1]AB4!B:B,0)),TEXT(INDEX([1]AB4!AU:AU,MATCH(A180,[1]AB4!B:B,0)),"0.00%")," )"))</f>
        <v>Max ( L : Entry or FUT : PRV : 3DLL - 1.00% )</v>
      </c>
      <c r="Q180" s="37">
        <f t="array" ref="Q180">IF(C180="","",INDEX([1]AB4!AV:AV,MATCH(A180,[1]AB4!B:B,0)))</f>
        <v>2</v>
      </c>
      <c r="R180" s="38"/>
      <c r="S180" s="36" t="str">
        <f t="array" ref="S180">IF(C179="","",CONCATENATE(INDEX([1]AB4!AA:AA,MATCH(A180,[1]AB4!B:B,0))," ( ",INDEX([1]AB4!AE:AE,MATCH(A180,[1]AB4!B:B,0))," or ",INDEX([1]AB4!AW:AW,MATCH(A180,[1]AB4!B:B,0)),INDEX([1]AB4!AJ:AJ,MATCH(A180,[1]AB4!B:B,0)),TEXT(INDEX([1]AB4!AX:AX,MATCH(A180,[1]AB4!B:B,0)),"0.00%")," )"))</f>
        <v>Max ( L : Entry or FUT : PRV : 3DLL - 1.00% )</v>
      </c>
      <c r="T180" s="37">
        <f t="array" ref="T180">IF(C179="","",INDEX([1]AB4!AY:AY,MATCH(A180,[1]AB4!B:B,0)))</f>
        <v>1</v>
      </c>
      <c r="U180" s="38"/>
      <c r="V180" s="36" t="str">
        <f t="array" ref="V180">IF(C179="","",CONCATENATE(INDEX([1]AB4!AA:AA,MATCH(A180,[1]AB4!B:B,0))," ( ",INDEX([1]AB4!AE:AE,MATCH(A180,[1]AB4!B:B,0))," or ",INDEX([1]AB4!AW:AW,MATCH(A180,[1]AB4!B:B,0)),INDEX([1]AB4!AJ:AJ,MATCH(A180,[1]AB4!B:B,0)),TEXT(INDEX([1]AB4!AX:AX,MATCH(A180,[1]AB4!B:B,0)),"0.00%")," )"))</f>
        <v>Max ( L : Entry or FUT : PRV : 3DLL - 1.00% )</v>
      </c>
      <c r="W180" s="37">
        <f t="array" ref="W180">IF(C179="","",INDEX([1]AB4!AY:AY,MATCH(A180,[1]AB4!B:B,0)))</f>
        <v>1</v>
      </c>
      <c r="X180" s="38"/>
      <c r="Y180" s="40">
        <f t="array" ref="Y180">IF(C179="","",INDEX([1]AB4!AZ:AZ,MATCH(A180,[1]AB4!B:B,0)))</f>
        <v>0</v>
      </c>
      <c r="Z180" s="37">
        <f t="array" ref="Z180">IF(C179="","",INDEX([1]AB4!BB:BB,MATCH(A180,[1]AB4!B:B,0)))</f>
        <v>0</v>
      </c>
      <c r="AA180" s="41"/>
      <c r="AB180" s="30"/>
      <c r="AC180" s="30"/>
    </row>
    <row r="181" spans="1:29" ht="6" customHeight="1" thickBot="1" x14ac:dyDescent="0.25">
      <c r="A181" s="18" t="str">
        <f>IF(C179="","",CONCATENATE(C180,[1]AB5!A191))</f>
        <v>S6S1A</v>
      </c>
      <c r="B181" s="42" t="str">
        <f>IF(C179="","",IF([1]AB5!$B$6="","",[1]AB5!$B$6))</f>
        <v>Unique Code</v>
      </c>
      <c r="C181" s="174" t="str">
        <f t="array" ref="C181">IF(C179="","",INDEX([1]AB2!N:N,MATCH(C179,[1]AB2!A:A,0)))</f>
        <v>STOCKS_FUT_MT_SAME_3D_3D</v>
      </c>
      <c r="D181" s="59"/>
      <c r="E181" s="4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6"/>
      <c r="AB181" s="30"/>
      <c r="AC181" s="30"/>
    </row>
    <row r="182" spans="1:29" ht="30.75" customHeight="1" x14ac:dyDescent="0.2">
      <c r="A182" s="18" t="str">
        <f>IF(C179="","",CONCATENATE(C180,[1]AB5!$A$7))</f>
        <v>S6B</v>
      </c>
      <c r="B182" s="47"/>
      <c r="C182" s="175"/>
      <c r="D182" s="59"/>
      <c r="E182" s="65" t="str">
        <f>IF(C179="","",[1]AB5!$F$7)</f>
        <v>SELL</v>
      </c>
      <c r="F182" s="58" t="str">
        <f>IF(C179="","",[1]AB5!$G$7)</f>
        <v>E &amp; T</v>
      </c>
      <c r="G182" s="25" t="str">
        <f t="array" ref="G182">IF(C179="","",CONCATENATE(INDEX([1]AB4!G:G,MATCH(A182,[1]AB4!B:B,0)),INDEX([1]AB4!H:H,MATCH(A182,[1]AB4!B:B,0)),TEXT(INDEX([1]AB4!I:I,MATCH(A182,[1]AB4!B:B,0)),"0.00%")))</f>
        <v>FUT : PRV : 3DLL - 1.00%</v>
      </c>
      <c r="H182" s="26">
        <f t="array" ref="H182">IF(C179="","",INDEX([1]AB4!J:J,MATCH(A182,[1]AB4!B:B,0)))</f>
        <v>5</v>
      </c>
      <c r="I182" s="27"/>
      <c r="J182" s="28" t="str">
        <f t="array" ref="J182">IF(C179="","",CONCATENATE(INDEX([1]AB4!L:L,MATCH(A182,[1]AB4!B:B,0)),INDEX([1]AB4!M:M,MATCH(A182,[1]AB4!B:B,0)),TEXT(INDEX([1]AB4!N:N,MATCH(A182,[1]AB4!B:B,0)),"0.00%")))</f>
        <v>S : Entry  - 3.00%</v>
      </c>
      <c r="K182" s="26">
        <f t="array" ref="K182">IF(C179="","",INDEX([1]AB4!O:O,MATCH(A182,[1]AB4!B:B,0)))</f>
        <v>1</v>
      </c>
      <c r="L182" s="27"/>
      <c r="M182" s="28" t="str">
        <f t="array" ref="M182">IF(C179="","",CONCATENATE(INDEX([1]AB4!L:L,MATCH(A182,[1]AB4!B:B,0)),INDEX([1]AB4!M:M,MATCH(A182,[1]AB4!B:B,0)),TEXT(INDEX([1]AB4!P:P,MATCH(A182,[1]AB4!B:B,0)),"0.00%")))</f>
        <v>S : Entry  - 4.50%</v>
      </c>
      <c r="N182" s="26">
        <f t="array" ref="N182">IF(C179="","",INDEX([1]AB4!Q:Q,MATCH(A182,[1]AB4!B:B,0)))</f>
        <v>1</v>
      </c>
      <c r="O182" s="27"/>
      <c r="P182" s="28" t="str">
        <f t="array" ref="P182">IF(C179="","",CONCATENATE(INDEX([1]AB4!L:L,MATCH(A182,[1]AB4!B:B,0)),INDEX([1]AB4!M:M,MATCH(A182,[1]AB4!B:B,0)),TEXT(INDEX([1]AB4!R:R,MATCH(A182,[1]AB4!B:B,0)),"0.00%")))</f>
        <v>S : Entry  - 6.00%</v>
      </c>
      <c r="Q182" s="26">
        <f t="array" ref="Q182">IF(C179="","",INDEX([1]AB4!S:S,MATCH(A182,[1]AB4!B:B,0)))</f>
        <v>1</v>
      </c>
      <c r="R182" s="27"/>
      <c r="S182" s="28" t="str">
        <f t="array" ref="S182">IF(C179="","",CONCATENATE(INDEX([1]AB4!L:L,MATCH(A182,[1]AB4!B:B,0)),INDEX([1]AB4!M:M,MATCH(A182,[1]AB4!B:B,0)),TEXT(INDEX([1]AB4!T:T,MATCH(A182,[1]AB4!B:B,0)),"0.00%")))</f>
        <v>S : Entry  - 8.00%</v>
      </c>
      <c r="T182" s="26">
        <f t="array" ref="T182">IF(C179="","",INDEX([1]AB4!U:U,MATCH(A182,[1]AB4!B:B,0)))</f>
        <v>1</v>
      </c>
      <c r="U182" s="27"/>
      <c r="V182" s="28" t="str">
        <f t="array" ref="V182">IF(C179="","",INDEX([1]AB4!V:V,MATCH(A182,[1]AB4!B:B,0)))</f>
        <v>TR PROFIT AFTER TGT 4</v>
      </c>
      <c r="W182" s="26">
        <f t="array" ref="W182">IF(C179="","",INDEX([1]AB4!W:W,MATCH(A182,[1]AB4!B:B,0)))</f>
        <v>1</v>
      </c>
      <c r="X182" s="27"/>
      <c r="Y182" s="28" t="str">
        <f t="array" ref="Y182">IF(C179="","",INDEX([1]AB4!X:X,MATCH(A182,[1]AB4!B:B,0)))</f>
        <v>N.A.</v>
      </c>
      <c r="Z182" s="26" t="str">
        <f t="array" ref="Z182">IF(C179="","",INDEX([1]AB4!Y:Y,MATCH(A182,[1]AB4!B:B,0)))</f>
        <v>N.A.</v>
      </c>
      <c r="AA182" s="29"/>
      <c r="AB182" s="30"/>
      <c r="AC182" s="30"/>
    </row>
    <row r="183" spans="1:29" ht="44.25" customHeight="1" thickBot="1" x14ac:dyDescent="0.25">
      <c r="A183" s="18" t="str">
        <f>IF(C179="","",CONCATENATE(C180,[1]AB5!$A$8))</f>
        <v>S6B</v>
      </c>
      <c r="B183" s="50"/>
      <c r="C183" s="176"/>
      <c r="D183" s="66"/>
      <c r="E183" s="60"/>
      <c r="F183" s="61" t="str">
        <f>IF(C179="","",[1]AB5!$G$8)</f>
        <v>SL / TRP</v>
      </c>
      <c r="G183" s="36" t="str">
        <f t="array" ref="G183">IF(C179="","",CONCATENATE(INDEX([1]AB4!AA:AA,MATCH(A183,[1]AB4!B:B,0))," ( ",INDEX([1]AB4!AE:AE,MATCH(A183,[1]AB4!B:B,0)),INDEX([1]AB4!AF:AF,MATCH(A183,[1]AB4!B:B,0)),TEXT(INDEX([1]AB4!AG:AG,MATCH(A183,[1]AB4!B:B,0)),"0.00%")," or ",INDEX([1]AB4!AK:AK,MATCH(A183,[1]AB4!B:B,0)),INDEX([1]AB4!AJ:AJ,MATCH(A183,[1]AB4!B:B,0)),TEXT(INDEX([1]AB4!AL:AL,MATCH(A183,[1]AB4!B:B,0)),"0.00%")," )"))</f>
        <v>Min ( S : Entry + 3.00% or FUT : PRV : 3DHH + 1.00% )</v>
      </c>
      <c r="H183" s="37">
        <f t="array" ref="H183">IF(C179="","",INDEX([1]AB4!AM:AM,MATCH(A183,[1]AB4!B:B,0)))</f>
        <v>5</v>
      </c>
      <c r="I183" s="38"/>
      <c r="J183" s="36" t="str">
        <f t="array" ref="J183">IF(C179="","",CONCATENATE(INDEX([1]AB4!AA:AA,MATCH(A183,[1]AB4!B:B,0))," ( ",INDEX([1]AB4!AE:AE,MATCH(A183,[1]AB4!B:B,0))," or ",INDEX([1]AB4!AN:AN,MATCH(A183,[1]AB4!B:B,0)),INDEX([1]AB4!AJ:AJ,MATCH(A183,[1]AB4!B:B,0)),TEXT(INDEX([1]AB4!AO:AO,MATCH(A183,[1]AB4!B:B,0)),"0.00%")," )"))</f>
        <v>Min ( S : Entry or FUT : PRV : 3DHH + 1.00% )</v>
      </c>
      <c r="K183" s="37">
        <f t="array" ref="K183">IF(C179="","",INDEX([1]AB4!AP:AP,MATCH(A183,[1]AB4!B:B,0)))</f>
        <v>4</v>
      </c>
      <c r="L183" s="38"/>
      <c r="M183" s="36" t="str">
        <f t="array" ref="M183">IF(C179="","",CONCATENATE(INDEX([1]AB4!AA:AA,MATCH(A183,[1]AB4!B:B,0))," ( ",INDEX([1]AB4!AE:AE,MATCH(A183,[1]AB4!B:B,0))," or ",INDEX([1]AB4!AQ:AQ,MATCH(A183,[1]AB4!B:B,0)),INDEX([1]AB4!AJ:AJ,MATCH(A183,[1]AB4!B:B,0)),TEXT(INDEX([1]AB4!AR:AR,MATCH(A183,[1]AB4!B:B,0)),"0.00%")," )"))</f>
        <v>Min ( S : Entry or FUT : PRV : 3DHH + 1.00% )</v>
      </c>
      <c r="N183" s="37">
        <f t="array" ref="N183">IF(C179="","",INDEX([1]AB4!AS:AS,MATCH(A183,[1]AB4!B:B,0)))</f>
        <v>3</v>
      </c>
      <c r="O183" s="38"/>
      <c r="P183" s="36" t="str">
        <f t="array" ref="P183">IF(C179="","",CONCATENATE(INDEX([1]AB4!AA:AA,MATCH(A183,[1]AB4!B:B,0))," ( ",INDEX([1]AB4!AE:AE,MATCH(A183,[1]AB4!B:B,0))," or ",INDEX([1]AB4!AT:AT,MATCH(A183,[1]AB4!B:B,0)),INDEX([1]AB4!AJ:AJ,MATCH(A183,[1]AB4!B:B,0)),TEXT(INDEX([1]AB4!AU:AU,MATCH(A183,[1]AB4!B:B,0)),"0.00%")," )"))</f>
        <v>Min ( S : Entry or FUT : PRV : 3DHH + 1.00% )</v>
      </c>
      <c r="Q183" s="37">
        <f t="array" ref="Q183">IF(C179="","",INDEX([1]AB4!AV:AV,MATCH(A183,[1]AB4!B:B,0)))</f>
        <v>2</v>
      </c>
      <c r="R183" s="38"/>
      <c r="S183" s="36" t="str">
        <f t="array" ref="S183">IF(C179="","",CONCATENATE(INDEX([1]AB4!AA:AA,MATCH(A183,[1]AB4!B:B,0))," ( ",INDEX([1]AB4!AE:AE,MATCH(A183,[1]AB4!B:B,0))," or ",INDEX([1]AB4!AW:AW,MATCH(A183,[1]AB4!B:B,0)),INDEX([1]AB4!AJ:AJ,MATCH(A183,[1]AB4!B:B,0)),TEXT(INDEX([1]AB4!AX:AX,MATCH(A183,[1]AB4!B:B,0)),"0.00%")," )"))</f>
        <v>Min ( S : Entry or FUT : PRV : 3DHH + 1.00% )</v>
      </c>
      <c r="T183" s="37">
        <f t="array" ref="T183">IF(C179="","",INDEX([1]AB4!AY:AY,MATCH(A183,[1]AB4!B:B,0)))</f>
        <v>1</v>
      </c>
      <c r="U183" s="38"/>
      <c r="V183" s="36" t="str">
        <f t="array" ref="V183">IF(C179="","",CONCATENATE(INDEX([1]AB4!AA:AA,MATCH(A183,[1]AB4!B:B,0))," ( ",INDEX([1]AB4!AE:AE,MATCH(A183,[1]AB4!B:B,0))," or ",INDEX([1]AB4!AW:AW,MATCH(A183,[1]AB4!B:B,0)),INDEX([1]AB4!AJ:AJ,MATCH(A183,[1]AB4!B:B,0)),TEXT(INDEX([1]AB4!AX:AX,MATCH(A183,[1]AB4!B:B,0)),"0.00%")," )"))</f>
        <v>Min ( S : Entry or FUT : PRV : 3DHH + 1.00% )</v>
      </c>
      <c r="W183" s="37">
        <f t="array" ref="W183">IF(C179="","",INDEX([1]AB4!AY:AY,MATCH(A183,[1]AB4!B:B,0)))</f>
        <v>1</v>
      </c>
      <c r="X183" s="38"/>
      <c r="Y183" s="40">
        <f t="array" ref="Y183">IF(C179="","",INDEX([1]AB4!AZ:AZ,MATCH(A183,[1]AB4!B:B,0)))</f>
        <v>0</v>
      </c>
      <c r="Z183" s="37">
        <f t="array" ref="Z183">IF(C179="","",INDEX([1]AB4!BB:BB,MATCH(A183,[1]AB4!B:B,0)))</f>
        <v>0</v>
      </c>
      <c r="AA183" s="41"/>
      <c r="AB183" s="30"/>
      <c r="AC183" s="30"/>
    </row>
    <row r="184" spans="1:29" ht="19.5" customHeight="1" thickBot="1" x14ac:dyDescent="0.25">
      <c r="A184" s="18" t="str">
        <f>IF(C179="","",CONCATENATE(C180,[1]AB5!$A$9))</f>
        <v>S6C</v>
      </c>
      <c r="B184" s="31" t="str">
        <f>IF(C179="","",IF([1]AB5!$B$9="","",[1]AB5!$B$9))</f>
        <v>Segment</v>
      </c>
      <c r="C184" s="54" t="str">
        <f t="array" ref="C184">IF(C179="","",INDEX([1]AB2!C:C,MATCH(C179,[1]AB2!A:A,0)))</f>
        <v>FUTURES</v>
      </c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30"/>
      <c r="AC184" s="30"/>
    </row>
    <row r="185" spans="1:29" ht="30.75" customHeight="1" x14ac:dyDescent="0.2">
      <c r="A185" s="18" t="str">
        <f>IF(C179="","",CONCATENATE(C180,[1]AB5!$A$10))</f>
        <v>S6D</v>
      </c>
      <c r="B185" s="31" t="str">
        <f>IF(C179="","",IF([1]AB5!$B$10="","",[1]AB5!$B$10))</f>
        <v>Symbol</v>
      </c>
      <c r="C185" s="54" t="str">
        <f t="array" ref="C185">IF(C179="","",INDEX([1]AB2!E:E,MATCH(C179,[1]AB2!A:A,0)))</f>
        <v>STOCKS</v>
      </c>
      <c r="D185" s="56" t="str">
        <f>IF(C179="","",IF(C179="","",[1]AB5!$D$10))</f>
        <v>BEAR / BEAR CF</v>
      </c>
      <c r="E185" s="57" t="str">
        <f>IF(C179="","",[1]AB5!$F$10)</f>
        <v>BUY</v>
      </c>
      <c r="F185" s="58" t="str">
        <f>IF(C179="","",[1]AB5!$G$10)</f>
        <v>E &amp; T</v>
      </c>
      <c r="G185" s="25" t="str">
        <f t="array" ref="G185">IF(C179="","",CONCATENATE(INDEX([1]AB4!G:G,MATCH(A185,[1]AB4!B:B,0)),INDEX([1]AB4!H:H,MATCH(A185,[1]AB4!B:B,0)),TEXT(INDEX([1]AB4!I:I,MATCH(A185,[1]AB4!B:B,0)),"0.00%")))</f>
        <v>FUT : PRV : 3DHH + 1.00%</v>
      </c>
      <c r="H185" s="26">
        <f t="array" ref="H185">IF(C179="","",INDEX([1]AB4!J:J,MATCH(A185,[1]AB4!B:B,0)))</f>
        <v>5</v>
      </c>
      <c r="I185" s="27"/>
      <c r="J185" s="28" t="str">
        <f t="array" ref="J185">IF(C179="","",CONCATENATE(INDEX([1]AB4!L:L,MATCH(A185,[1]AB4!B:B,0)),INDEX([1]AB4!M:M,MATCH(A185,[1]AB4!B:B,0)),TEXT(INDEX([1]AB4!N:N,MATCH(A185,[1]AB4!B:B,0)),"0.00%")))</f>
        <v>L : Entry  + 3.00%</v>
      </c>
      <c r="K185" s="26">
        <f t="array" ref="K185">IF(C179="","",INDEX([1]AB4!O:O,MATCH(A185,[1]AB4!B:B,0)))</f>
        <v>1</v>
      </c>
      <c r="L185" s="27"/>
      <c r="M185" s="28" t="str">
        <f t="array" ref="M185">IF(C179="","",CONCATENATE(INDEX([1]AB4!L:L,MATCH(A185,[1]AB4!B:B,0)),INDEX([1]AB4!M:M,MATCH(A185,[1]AB4!B:B,0)),TEXT(INDEX([1]AB4!P:P,MATCH(A185,[1]AB4!B:B,0)),"0.00%")))</f>
        <v>L : Entry  + 4.50%</v>
      </c>
      <c r="N185" s="26">
        <f t="array" ref="N185">IF(C179="","",INDEX([1]AB4!Q:Q,MATCH(A185,[1]AB4!B:B,0)))</f>
        <v>1</v>
      </c>
      <c r="O185" s="27"/>
      <c r="P185" s="28" t="str">
        <f t="array" ref="P185">IF(C179="","",CONCATENATE(INDEX([1]AB4!L:L,MATCH(A185,[1]AB4!B:B,0)),INDEX([1]AB4!M:M,MATCH(A185,[1]AB4!B:B,0)),TEXT(INDEX([1]AB4!R:R,MATCH(A185,[1]AB4!B:B,0)),"0.00%")))</f>
        <v>L : Entry  + 6.00%</v>
      </c>
      <c r="Q185" s="26">
        <f t="array" ref="Q185">IF(C179="","",INDEX([1]AB4!S:S,MATCH(A185,[1]AB4!B:B,0)))</f>
        <v>1</v>
      </c>
      <c r="R185" s="27"/>
      <c r="S185" s="28" t="str">
        <f t="array" ref="S185">IF(C179="","",CONCATENATE(INDEX([1]AB4!L:L,MATCH(A185,[1]AB4!B:B,0)),INDEX([1]AB4!M:M,MATCH(A185,[1]AB4!B:B,0)),TEXT(INDEX([1]AB4!T:T,MATCH(A185,[1]AB4!B:B,0)),"0.00%")))</f>
        <v>L : Entry  + 8.00%</v>
      </c>
      <c r="T185" s="26">
        <f t="array" ref="T185">IF(C179="","",INDEX([1]AB4!U:U,MATCH(A185,[1]AB4!B:B,0)))</f>
        <v>1</v>
      </c>
      <c r="U185" s="27"/>
      <c r="V185" s="28" t="str">
        <f t="array" ref="V185">IF(C179="","",INDEX([1]AB4!V:V,MATCH(A185,[1]AB4!B:B,0)))</f>
        <v>TR PROFIT AFTER TGT 4</v>
      </c>
      <c r="W185" s="26">
        <f t="array" ref="W185">IF(C179="","",INDEX([1]AB4!W:W,MATCH(A185,[1]AB4!B:B,0)))</f>
        <v>1</v>
      </c>
      <c r="X185" s="27"/>
      <c r="Y185" s="28" t="str">
        <f t="array" ref="Y185">IF(C179="","",INDEX([1]AB4!X:X,MATCH(A185,[1]AB4!B:B,0)))</f>
        <v>N.A.</v>
      </c>
      <c r="Z185" s="26" t="str">
        <f t="array" ref="Z185">IF(C179="","",INDEX([1]AB4!Y:Y,MATCH(A185,[1]AB4!B:B,0)))</f>
        <v>N.A.</v>
      </c>
      <c r="AA185" s="29"/>
      <c r="AB185" s="30"/>
      <c r="AC185" s="30"/>
    </row>
    <row r="186" spans="1:29" ht="44.25" customHeight="1" thickBot="1" x14ac:dyDescent="0.25">
      <c r="A186" s="18" t="str">
        <f>IF(C179="","",CONCATENATE(C180,[1]AB5!$A$11))</f>
        <v>S6D</v>
      </c>
      <c r="B186" s="31" t="str">
        <f>IF(C179="","",IF([1]AB5!$B$11="","",[1]AB5!$B$11))</f>
        <v>No. of TGT</v>
      </c>
      <c r="C186" s="54" t="str">
        <f t="array" ref="C186">IF(C179="","",INDEX([1]AB2!K:K,MATCH(C179,[1]AB2!A:A,0)))</f>
        <v>4 &amp; APS</v>
      </c>
      <c r="D186" s="59"/>
      <c r="E186" s="60"/>
      <c r="F186" s="61" t="str">
        <f>IF(C179="","",[1]AB5!$G$11)</f>
        <v>SL / TRP</v>
      </c>
      <c r="G186" s="36" t="str">
        <f t="array" ref="G186">IF(C179="","",CONCATENATE(INDEX([1]AB4!AA:AA,MATCH(A186,[1]AB4!B:B,0))," ( ",INDEX([1]AB4!AE:AE,MATCH(A186,[1]AB4!B:B,0)),INDEX([1]AB4!AF:AF,MATCH(A186,[1]AB4!B:B,0)),TEXT(INDEX([1]AB4!AG:AG,MATCH(A186,[1]AB4!B:B,0)),"0.00%")," or ",INDEX([1]AB4!AK:AK,MATCH(A186,[1]AB4!B:B,0)),INDEX([1]AB4!AJ:AJ,MATCH(A186,[1]AB4!B:B,0)),TEXT(INDEX([1]AB4!AL:AL,MATCH(A186,[1]AB4!B:B,0)),"0.00%")," )"))</f>
        <v>Max ( L : Entry - 3.00% or FUT : PRV : 3DLL - 1.00% )</v>
      </c>
      <c r="H186" s="37">
        <f t="array" ref="H186">IF(C179="","",INDEX([1]AB4!AM:AM,MATCH(A186,[1]AB4!B:B,0)))</f>
        <v>5</v>
      </c>
      <c r="I186" s="38"/>
      <c r="J186" s="36" t="str">
        <f t="array" ref="J186">IF(C179="","",CONCATENATE(INDEX([1]AB4!AA:AA,MATCH(A186,[1]AB4!B:B,0))," ( ",INDEX([1]AB4!AE:AE,MATCH(A186,[1]AB4!B:B,0))," or ",INDEX([1]AB4!AN:AN,MATCH(A186,[1]AB4!B:B,0)),INDEX([1]AB4!AJ:AJ,MATCH(A186,[1]AB4!B:B,0)),TEXT(INDEX([1]AB4!AO:AO,MATCH(A186,[1]AB4!B:B,0)),"0.00%")," )"))</f>
        <v>Max ( L : Entry or FUT : PRV : 3DLL - 1.00% )</v>
      </c>
      <c r="K186" s="37">
        <f t="array" ref="K186">IF(C179="","",INDEX([1]AB4!AP:AP,MATCH(A186,[1]AB4!B:B,0)))</f>
        <v>4</v>
      </c>
      <c r="L186" s="38"/>
      <c r="M186" s="36" t="str">
        <f t="array" ref="M186">IF(C179="","",CONCATENATE(INDEX([1]AB4!AA:AA,MATCH(A186,[1]AB4!B:B,0))," ( ",INDEX([1]AB4!AE:AE,MATCH(A186,[1]AB4!B:B,0))," or ",INDEX([1]AB4!AQ:AQ,MATCH(A186,[1]AB4!B:B,0)),INDEX([1]AB4!AJ:AJ,MATCH(A186,[1]AB4!B:B,0)),TEXT(INDEX([1]AB4!AR:AR,MATCH(A186,[1]AB4!B:B,0)),"0.00%")," )"))</f>
        <v>Max ( L : Entry or FUT : PRV : 3DLL - 1.00% )</v>
      </c>
      <c r="N186" s="37">
        <f t="array" ref="N186">IF(C179="","",INDEX([1]AB4!AS:AS,MATCH(A186,[1]AB4!B:B,0)))</f>
        <v>3</v>
      </c>
      <c r="O186" s="38"/>
      <c r="P186" s="36" t="str">
        <f t="array" ref="P186">IF(C179="","",CONCATENATE(INDEX([1]AB4!AA:AA,MATCH(A186,[1]AB4!B:B,0))," ( ",INDEX([1]AB4!AE:AE,MATCH(A186,[1]AB4!B:B,0))," or ",INDEX([1]AB4!AT:AT,MATCH(A186,[1]AB4!B:B,0)),INDEX([1]AB4!AJ:AJ,MATCH(A186,[1]AB4!B:B,0)),TEXT(INDEX([1]AB4!AU:AU,MATCH(A186,[1]AB4!B:B,0)),"0.00%")," )"))</f>
        <v>Max ( L : Entry or FUT : PRV : 3DLL - 1.00% )</v>
      </c>
      <c r="Q186" s="37">
        <f t="array" ref="Q186">IF(C179="","",INDEX([1]AB4!AV:AV,MATCH(A186,[1]AB4!B:B,0)))</f>
        <v>2</v>
      </c>
      <c r="R186" s="38"/>
      <c r="S186" s="36" t="str">
        <f t="array" ref="S186">IF(C179="","",CONCATENATE(INDEX([1]AB4!AA:AA,MATCH(A186,[1]AB4!B:B,0))," ( ",INDEX([1]AB4!AE:AE,MATCH(A186,[1]AB4!B:B,0))," or ",INDEX([1]AB4!AW:AW,MATCH(A186,[1]AB4!B:B,0)),INDEX([1]AB4!AJ:AJ,MATCH(A186,[1]AB4!B:B,0)),TEXT(INDEX([1]AB4!AX:AX,MATCH(A186,[1]AB4!B:B,0)),"0.00%")," )"))</f>
        <v>Max ( L : Entry or FUT : PRV : 3DLL - 1.00% )</v>
      </c>
      <c r="T186" s="37">
        <f t="array" ref="T186">IF(C179="","",INDEX([1]AB4!AY:AY,MATCH(A186,[1]AB4!B:B,0)))</f>
        <v>1</v>
      </c>
      <c r="U186" s="38"/>
      <c r="V186" s="36" t="str">
        <f t="array" ref="V186">IF(C179="","",CONCATENATE(INDEX([1]AB4!AA:AA,MATCH(A186,[1]AB4!B:B,0))," ( ",INDEX([1]AB4!AE:AE,MATCH(A186,[1]AB4!B:B,0))," or ",INDEX([1]AB4!AW:AW,MATCH(A186,[1]AB4!B:B,0)),INDEX([1]AB4!AJ:AJ,MATCH(A186,[1]AB4!B:B,0)),TEXT(INDEX([1]AB4!AX:AX,MATCH(A186,[1]AB4!B:B,0)),"0.00%")," )"))</f>
        <v>Max ( L : Entry or FUT : PRV : 3DLL - 1.00% )</v>
      </c>
      <c r="W186" s="37">
        <f t="array" ref="W186">IF(C179="","",INDEX([1]AB4!AY:AY,MATCH(A186,[1]AB4!B:B,0)))</f>
        <v>1</v>
      </c>
      <c r="X186" s="38"/>
      <c r="Y186" s="40">
        <f t="array" ref="Y186">IF(C179="","",INDEX([1]AB4!AZ:AZ,MATCH(A186,[1]AB4!B:B,0)))</f>
        <v>0</v>
      </c>
      <c r="Z186" s="37">
        <f t="array" ref="Z186">IF(C179="","",INDEX([1]AB4!BB:BB,MATCH(A186,[1]AB4!B:B,0)))</f>
        <v>0</v>
      </c>
      <c r="AA186" s="41"/>
      <c r="AB186" s="30"/>
      <c r="AC186" s="30"/>
    </row>
    <row r="187" spans="1:29" ht="6" customHeight="1" thickBot="1" x14ac:dyDescent="0.25">
      <c r="A187" s="18" t="str">
        <f>IF(C179="","",CONCATENATE(C180,[1]AB5!A197))</f>
        <v>S6</v>
      </c>
      <c r="B187" s="62" t="str">
        <f>IF(C179="","",IF([1]AB5!$B$12="","",[1]AB5!$B$12))</f>
        <v>Stay Blessed !!!</v>
      </c>
      <c r="C187" s="63"/>
      <c r="D187" s="59"/>
      <c r="E187" s="44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6"/>
      <c r="AB187" s="30"/>
      <c r="AC187" s="30"/>
    </row>
    <row r="188" spans="1:29" ht="30.75" customHeight="1" x14ac:dyDescent="0.2">
      <c r="A188" s="18" t="str">
        <f>IF(C179="","",CONCATENATE(C180,[1]AB5!$A$13))</f>
        <v>S6E</v>
      </c>
      <c r="B188" s="64"/>
      <c r="C188" s="59"/>
      <c r="D188" s="59"/>
      <c r="E188" s="65" t="str">
        <f>IF(C179="","",[1]AB5!$F$13)</f>
        <v>SELL</v>
      </c>
      <c r="F188" s="58" t="str">
        <f>IF(C179="","",[1]AB5!$G$13)</f>
        <v>E &amp; T</v>
      </c>
      <c r="G188" s="25" t="str">
        <f t="array" ref="G188">IF(C179="","",CONCATENATE(INDEX([1]AB4!G:G,MATCH(A188,[1]AB4!B:B,0)),INDEX([1]AB4!H:H,MATCH(A188,[1]AB4!B:B,0)),TEXT(INDEX([1]AB4!I:I,MATCH(A188,[1]AB4!B:B,0)),"0.00%")))</f>
        <v>FUT : PRV : 3DLL - 1.00%</v>
      </c>
      <c r="H188" s="26">
        <f t="array" ref="H188">IF(C179="","",INDEX([1]AB4!J:J,MATCH(A188,[1]AB4!B:B,0)))</f>
        <v>5</v>
      </c>
      <c r="I188" s="27"/>
      <c r="J188" s="28" t="str">
        <f t="array" ref="J188">IF(C179="","",CONCATENATE(INDEX([1]AB4!L:L,MATCH(A188,[1]AB4!B:B,0)),INDEX([1]AB4!M:M,MATCH(A188,[1]AB4!B:B,0)),TEXT(INDEX([1]AB4!N:N,MATCH(A188,[1]AB4!B:B,0)),"0.00%")))</f>
        <v>S : Entry  - 3.00%</v>
      </c>
      <c r="K188" s="26">
        <f t="array" ref="K188">IF(C179="","",INDEX([1]AB4!O:O,MATCH(A188,[1]AB4!B:B,0)))</f>
        <v>1</v>
      </c>
      <c r="L188" s="27"/>
      <c r="M188" s="28" t="str">
        <f t="array" ref="M188">IF(C179="","",CONCATENATE(INDEX([1]AB4!L:L,MATCH(A188,[1]AB4!B:B,0)),INDEX([1]AB4!M:M,MATCH(A188,[1]AB4!B:B,0)),TEXT(INDEX([1]AB4!P:P,MATCH(A188,[1]AB4!B:B,0)),"0.00%")))</f>
        <v>S : Entry  - 4.50%</v>
      </c>
      <c r="N188" s="26">
        <f t="array" ref="N188">IF(C179="","",INDEX([1]AB4!Q:Q,MATCH(A188,[1]AB4!B:B,0)))</f>
        <v>1</v>
      </c>
      <c r="O188" s="27"/>
      <c r="P188" s="28" t="str">
        <f t="array" ref="P188">IF(C179="","",CONCATENATE(INDEX([1]AB4!L:L,MATCH(A188,[1]AB4!B:B,0)),INDEX([1]AB4!M:M,MATCH(A188,[1]AB4!B:B,0)),TEXT(INDEX([1]AB4!R:R,MATCH(A188,[1]AB4!B:B,0)),"0.00%")))</f>
        <v>S : Entry  - 6.00%</v>
      </c>
      <c r="Q188" s="26">
        <f t="array" ref="Q188">IF(C179="","",INDEX([1]AB4!S:S,MATCH(A188,[1]AB4!B:B,0)))</f>
        <v>1</v>
      </c>
      <c r="R188" s="27"/>
      <c r="S188" s="28" t="str">
        <f t="array" ref="S188">IF(C179="","",CONCATENATE(INDEX([1]AB4!L:L,MATCH(A188,[1]AB4!B:B,0)),INDEX([1]AB4!M:M,MATCH(A188,[1]AB4!B:B,0)),TEXT(INDEX([1]AB4!T:T,MATCH(A188,[1]AB4!B:B,0)),"0.00%")))</f>
        <v>S : Entry  - 8.00%</v>
      </c>
      <c r="T188" s="26">
        <f t="array" ref="T188">IF(C179="","",INDEX([1]AB4!U:U,MATCH(A188,[1]AB4!B:B,0)))</f>
        <v>1</v>
      </c>
      <c r="U188" s="27"/>
      <c r="V188" s="28" t="str">
        <f t="array" ref="V188">IF(C179="","",INDEX([1]AB4!V:V,MATCH(A188,[1]AB4!B:B,0)))</f>
        <v>TR PROFIT AFTER TGT 4</v>
      </c>
      <c r="W188" s="26">
        <f t="array" ref="W188">IF(C179="","",INDEX([1]AB4!W:W,MATCH(A188,[1]AB4!B:B,0)))</f>
        <v>1</v>
      </c>
      <c r="X188" s="27"/>
      <c r="Y188" s="28" t="str">
        <f t="array" ref="Y188">IF(C179="","",INDEX([1]AB4!X:X,MATCH(A188,[1]AB4!B:B,0)))</f>
        <v>N.A.</v>
      </c>
      <c r="Z188" s="26" t="str">
        <f t="array" ref="Z188">IF(C179="","",INDEX([1]AB4!Y:Y,MATCH(A188,[1]AB4!B:B,0)))</f>
        <v>N.A.</v>
      </c>
      <c r="AA188" s="29"/>
      <c r="AB188" s="30"/>
      <c r="AC188" s="30"/>
    </row>
    <row r="189" spans="1:29" ht="44.25" customHeight="1" thickBot="1" x14ac:dyDescent="0.25">
      <c r="A189" s="18" t="str">
        <f>IF(C179="","",CONCATENATE(C180,[1]AB5!$A$14))</f>
        <v>S6E</v>
      </c>
      <c r="B189" s="60"/>
      <c r="C189" s="66"/>
      <c r="D189" s="66"/>
      <c r="E189" s="60"/>
      <c r="F189" s="61" t="str">
        <f>IF(C179="","",[1]AB5!$G$14)</f>
        <v>SL / TRP</v>
      </c>
      <c r="G189" s="36" t="str">
        <f t="array" ref="G189">IF(C179="","",CONCATENATE(INDEX([1]AB4!AA:AA,MATCH(A189,[1]AB4!B:B,0))," ( ",INDEX([1]AB4!AE:AE,MATCH(A189,[1]AB4!B:B,0)),INDEX([1]AB4!AF:AF,MATCH(A189,[1]AB4!B:B,0)),TEXT(INDEX([1]AB4!AG:AG,MATCH(A189,[1]AB4!B:B,0)),"0.00%")," or ",INDEX([1]AB4!AK:AK,MATCH(A189,[1]AB4!B:B,0)),INDEX([1]AB4!AJ:AJ,MATCH(A189,[1]AB4!B:B,0)),TEXT(INDEX([1]AB4!AL:AL,MATCH(A189,[1]AB4!B:B,0)),"0.00%")," )"))</f>
        <v>Min ( S : Entry + 3.00% or FUT : PRV : 3DHH + 1.00% )</v>
      </c>
      <c r="H189" s="37">
        <f t="array" ref="H189">IF(C179="","",INDEX([1]AB4!AM:AM,MATCH(A189,[1]AB4!B:B,0)))</f>
        <v>5</v>
      </c>
      <c r="I189" s="38"/>
      <c r="J189" s="36" t="str">
        <f t="array" ref="J189">IF(C179="","",CONCATENATE(INDEX([1]AB4!AA:AA,MATCH(A189,[1]AB4!B:B,0))," ( ",INDEX([1]AB4!AE:AE,MATCH(A189,[1]AB4!B:B,0))," or ",INDEX([1]AB4!AN:AN,MATCH(A189,[1]AB4!B:B,0)),INDEX([1]AB4!AJ:AJ,MATCH(A189,[1]AB4!B:B,0)),TEXT(INDEX([1]AB4!AO:AO,MATCH(A189,[1]AB4!B:B,0)),"0.00%")," )"))</f>
        <v>Min ( S : Entry or FUT : PRV : 3DHH + 1.00% )</v>
      </c>
      <c r="K189" s="37">
        <f t="array" ref="K189">IF(C179="","",INDEX([1]AB4!AP:AP,MATCH(A189,[1]AB4!B:B,0)))</f>
        <v>4</v>
      </c>
      <c r="L189" s="38"/>
      <c r="M189" s="36" t="str">
        <f t="array" ref="M189">IF(C179="","",CONCATENATE(INDEX([1]AB4!AA:AA,MATCH(A189,[1]AB4!B:B,0))," ( ",INDEX([1]AB4!AE:AE,MATCH(A189,[1]AB4!B:B,0))," or ",INDEX([1]AB4!AQ:AQ,MATCH(A189,[1]AB4!B:B,0)),INDEX([1]AB4!AJ:AJ,MATCH(A189,[1]AB4!B:B,0)),TEXT(INDEX([1]AB4!AR:AR,MATCH(A189,[1]AB4!B:B,0)),"0.00%")," )"))</f>
        <v>Min ( S : Entry or FUT : PRV : 3DHH + 1.00% )</v>
      </c>
      <c r="N189" s="37">
        <f t="array" ref="N189">IF(C179="","",INDEX([1]AB4!AS:AS,MATCH(A189,[1]AB4!B:B,0)))</f>
        <v>3</v>
      </c>
      <c r="O189" s="38"/>
      <c r="P189" s="36" t="str">
        <f t="array" ref="P189">IF(C179="","",CONCATENATE(INDEX([1]AB4!AA:AA,MATCH(A189,[1]AB4!B:B,0))," ( ",INDEX([1]AB4!AE:AE,MATCH(A189,[1]AB4!B:B,0))," or ",INDEX([1]AB4!AT:AT,MATCH(A189,[1]AB4!B:B,0)),INDEX([1]AB4!AJ:AJ,MATCH(A189,[1]AB4!B:B,0)),TEXT(INDEX([1]AB4!AU:AU,MATCH(A189,[1]AB4!B:B,0)),"0.00%")," )"))</f>
        <v>Min ( S : Entry or FUT : PRV : 3DHH + 1.00% )</v>
      </c>
      <c r="Q189" s="37">
        <f t="array" ref="Q189">IF(C179="","",INDEX([1]AB4!AV:AV,MATCH(A189,[1]AB4!B:B,0)))</f>
        <v>2</v>
      </c>
      <c r="R189" s="38"/>
      <c r="S189" s="36" t="str">
        <f t="array" ref="S189">IF(C179="","",CONCATENATE(INDEX([1]AB4!AA:AA,MATCH(A189,[1]AB4!B:B,0))," ( ",INDEX([1]AB4!AE:AE,MATCH(A189,[1]AB4!B:B,0))," or ",INDEX([1]AB4!AW:AW,MATCH(A189,[1]AB4!B:B,0)),INDEX([1]AB4!AJ:AJ,MATCH(A189,[1]AB4!B:B,0)),TEXT(INDEX([1]AB4!AX:AX,MATCH(A189,[1]AB4!B:B,0)),"0.00%")," )"))</f>
        <v>Min ( S : Entry or FUT : PRV : 3DHH + 1.00% )</v>
      </c>
      <c r="T189" s="37">
        <f t="array" ref="T189">IF(C179="","",INDEX([1]AB4!AY:AY,MATCH(A189,[1]AB4!B:B,0)))</f>
        <v>1</v>
      </c>
      <c r="U189" s="38"/>
      <c r="V189" s="36" t="str">
        <f t="array" ref="V189">IF(C179="","",CONCATENATE(INDEX([1]AB4!AA:AA,MATCH(A189,[1]AB4!B:B,0))," ( ",INDEX([1]AB4!AE:AE,MATCH(A189,[1]AB4!B:B,0))," or ",INDEX([1]AB4!AW:AW,MATCH(A189,[1]AB4!B:B,0)),INDEX([1]AB4!AJ:AJ,MATCH(A189,[1]AB4!B:B,0)),TEXT(INDEX([1]AB4!AX:AX,MATCH(A189,[1]AB4!B:B,0)),"0.00%")," )"))</f>
        <v>Min ( S : Entry or FUT : PRV : 3DHH + 1.00% )</v>
      </c>
      <c r="W189" s="37">
        <f t="array" ref="W189">IF(C179="","",INDEX([1]AB4!AY:AY,MATCH(A189,[1]AB4!B:B,0)))</f>
        <v>1</v>
      </c>
      <c r="X189" s="38"/>
      <c r="Y189" s="40">
        <f t="array" ref="Y189">IF(C179="","",INDEX([1]AB4!AZ:AZ,MATCH(A189,[1]AB4!B:B,0)))</f>
        <v>0</v>
      </c>
      <c r="Z189" s="37">
        <f t="array" ref="Z189">IF(C179="","",INDEX([1]AB4!BB:BB,MATCH(A189,[1]AB4!B:B,0)))</f>
        <v>0</v>
      </c>
      <c r="AA189" s="41"/>
      <c r="AB189" s="30"/>
      <c r="AC189" s="30"/>
    </row>
    <row r="190" spans="1:29" ht="6" customHeight="1" thickBot="1" x14ac:dyDescent="0.25">
      <c r="A190" s="18"/>
      <c r="B190" s="55"/>
      <c r="C190" s="55"/>
      <c r="D190" s="55"/>
      <c r="E190" s="3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30"/>
      <c r="AA190" s="30"/>
      <c r="AB190" s="68"/>
      <c r="AC190" s="68"/>
    </row>
    <row r="191" spans="1:29" ht="21.75" customHeight="1" x14ac:dyDescent="0.2">
      <c r="A191" s="18"/>
      <c r="B191" s="69" t="str">
        <f>IF(C179="","",[1]AB5!$B$16)</f>
        <v>For Entry</v>
      </c>
      <c r="C191" s="29"/>
      <c r="D191" s="70" t="str">
        <f>IF(C179="","",[1]AB5!$D$16)</f>
        <v>Gap Check</v>
      </c>
      <c r="E191" s="71"/>
      <c r="F191" s="70" t="str">
        <f>IF(C179="","",[1]AB5!$G$16)</f>
        <v>Process</v>
      </c>
      <c r="G191" s="72"/>
      <c r="H191" s="73" t="str">
        <f>IF(C179="","",[1]AB5!$I$16)</f>
        <v>Y / N</v>
      </c>
      <c r="I191" s="72"/>
      <c r="J191" s="74" t="str">
        <f>IF(C179="","",[1]AB5!$K$16)</f>
        <v>Order Status</v>
      </c>
      <c r="K191" s="75" t="str">
        <f>IF(C179="","",[1]AB5!$L$16)</f>
        <v>Step 1</v>
      </c>
      <c r="L191" s="76"/>
      <c r="M191" s="76"/>
      <c r="N191" s="72"/>
      <c r="O191" s="73" t="str">
        <f>IF(C179="","",[1]AB5!$P$16)</f>
        <v>Order Placement Timings</v>
      </c>
      <c r="P191" s="72"/>
      <c r="Q191" s="73" t="str">
        <f>IF(C179="","",[1]AB5!$R$16)</f>
        <v>Time</v>
      </c>
      <c r="R191" s="72"/>
      <c r="S191" s="75" t="str">
        <f>IF(C179="","",[1]AB5!$T$16)</f>
        <v>Rules For Gaps</v>
      </c>
      <c r="T191" s="76"/>
      <c r="U191" s="72"/>
      <c r="V191" s="74" t="str">
        <f>IF(C179="","",[1]AB5!$W$16)</f>
        <v>Data</v>
      </c>
      <c r="W191" s="73" t="str">
        <f>IF(C179="","",[1]AB5!$X$16)</f>
        <v>Buffer</v>
      </c>
      <c r="X191" s="71"/>
      <c r="Y191" s="77" t="str">
        <f>IF(C179="","",[1]AB5!$AA$16)</f>
        <v>Rules For Re Entry</v>
      </c>
      <c r="Z191" s="76"/>
      <c r="AA191" s="71"/>
      <c r="AB191" s="78"/>
      <c r="AC191" s="78"/>
    </row>
    <row r="192" spans="1:29" ht="31.5" customHeight="1" x14ac:dyDescent="0.2">
      <c r="A192" s="18" t="str">
        <f>IF(C179="","",CONCATENATE(C180,[1]AB5!$A$17))</f>
        <v>S6A</v>
      </c>
      <c r="B192" s="79" t="str">
        <f>IF(C179="","",[1]AB5!$B$17)</f>
        <v xml:space="preserve">ORPT </v>
      </c>
      <c r="C192" s="80" t="str">
        <f>IF(C179="","",[1]AB5!$C$17)</f>
        <v xml:space="preserve"> RC. Time</v>
      </c>
      <c r="D192" s="81" t="str">
        <f>IF(C179="","",[1]AB5!$D$17)</f>
        <v>For Long Entry</v>
      </c>
      <c r="E192" s="63"/>
      <c r="F192" s="82" t="str">
        <f>IF(C179="","",CONCATENATE([1]AB5!$G$17,TEXT(B193,"HH:MM:SS AM/PM"),[1]AB5!$B$18,[1]AB5!$H$17))</f>
        <v>Check If  09:19:59 AM HH &gt; Long Entry</v>
      </c>
      <c r="G192" s="83"/>
      <c r="H192" s="84" t="str">
        <f>IF(C179="","",[1]AB5!$I$17)</f>
        <v>No</v>
      </c>
      <c r="I192" s="85"/>
      <c r="J192" s="86" t="str">
        <f>IF(C179="","",[1]AB5!$K$17)</f>
        <v>Entry Not Missed</v>
      </c>
      <c r="K192" s="87" t="str">
        <f>IF(C179="","",[1]AB5!$L$17)</f>
        <v>Place the Order at ORPT</v>
      </c>
      <c r="L192" s="88"/>
      <c r="M192" s="88"/>
      <c r="N192" s="85"/>
      <c r="O192" s="87" t="str">
        <f>IF(C179="","",[1]AB5!$P$17)</f>
        <v>ORPT Time</v>
      </c>
      <c r="P192" s="85"/>
      <c r="Q192" s="89">
        <f>IF(C179="","",B193)</f>
        <v>0.38888194444444446</v>
      </c>
      <c r="R192" s="85"/>
      <c r="S192" s="87" t="str">
        <f>IF(C179="","",[1]AB5!$T$17)</f>
        <v>N.A.</v>
      </c>
      <c r="T192" s="88"/>
      <c r="U192" s="85"/>
      <c r="V192" s="86" t="str">
        <f>IF(C179="","",[1]AB5!$W$17)</f>
        <v>N.A.</v>
      </c>
      <c r="W192" s="90" t="str">
        <f>IF(C179="","",[1]AB5!$X$17)</f>
        <v>N.A.</v>
      </c>
      <c r="X192" s="91"/>
      <c r="Y192" s="92" t="str">
        <f>IF(C179="","",[1]AB5!$AA$17)</f>
        <v xml:space="preserve">Long Entry : Bull/ Bull CF : </v>
      </c>
      <c r="Z192" s="88"/>
      <c r="AA192" s="91"/>
      <c r="AB192" s="68"/>
      <c r="AC192" s="68"/>
    </row>
    <row r="193" spans="1:29" ht="31.5" customHeight="1" x14ac:dyDescent="0.2">
      <c r="A193" s="18" t="str">
        <f>IF(C179="","",CONCATENATE(C180,[1]AB5!$A$18))</f>
        <v>S6B</v>
      </c>
      <c r="B193" s="93">
        <f t="array" ref="B193">IF(C179="","",INDEX([1]AB4!BE:BE,MATCH(A192,[1]AB4!B:B,0)))</f>
        <v>0.38888194444444446</v>
      </c>
      <c r="C193" s="94">
        <f t="array" ref="C193">IF(C179="","",INDEX([1]AB4!BE:BE,MATCH(A193,[1]AB4!B:B,0)))</f>
        <v>0.39582638888888888</v>
      </c>
      <c r="D193" s="64"/>
      <c r="E193" s="59"/>
      <c r="F193" s="64"/>
      <c r="G193" s="95"/>
      <c r="H193" s="96" t="str">
        <f>IF(C179="","",[1]AB5!$I$18)</f>
        <v>Yes</v>
      </c>
      <c r="I193" s="83"/>
      <c r="J193" s="97" t="str">
        <f>IF(C179="","",[1]AB5!$K$18)</f>
        <v>Entry Missed</v>
      </c>
      <c r="K193" s="87" t="str">
        <f>IF(C179="","",[1]AB5!$L$18)</f>
        <v>Recalcuate : Long Entry : Bull / Bull CF</v>
      </c>
      <c r="L193" s="88"/>
      <c r="M193" s="88"/>
      <c r="N193" s="85"/>
      <c r="O193" s="87" t="str">
        <f>IF(C179="","",[1]AB5!$P$18)</f>
        <v>Wait Till Recalculation Time</v>
      </c>
      <c r="P193" s="85"/>
      <c r="Q193" s="89">
        <f>IF(C179="","",C193)</f>
        <v>0.39582638888888888</v>
      </c>
      <c r="R193" s="85"/>
      <c r="S193" s="98" t="str">
        <f>IF(C179="","",CONCATENATE(V193," ",[1]AB5!$Z$18," ",TEXT(W193,"0.00%")))</f>
        <v>09:29:59 AM HH + 1.00%</v>
      </c>
      <c r="T193" s="88"/>
      <c r="U193" s="85"/>
      <c r="V193" s="99" t="str">
        <f>IF(C179="","",CONCATENATE(TEXT(Q193,"HH:MM:SS AM/PM"),[1]AB5!$U$18))</f>
        <v>09:29:59 AM HH</v>
      </c>
      <c r="W193" s="100" t="str">
        <f t="array" ref="W193">IF(A179="","",TEXT(INDEX([1]AB4!BK:BK,MATCH(A180,[1]AB4!B:B,0)),"0.00%"))</f>
        <v>1.00%</v>
      </c>
      <c r="X193" s="91"/>
      <c r="Y193" s="101" t="str">
        <f>IF(C179="","",CONCATENATE([1]AB5!$T$18," ( ",G179," or ",[1]AB5!$AA$18," ",[1]AB5!$Z$18," ",TEXT(W193,"0.00%")," )"))</f>
        <v>Max ( FUT : PRV : 3DHH + 1.00% or  CDHH + 1.00% )</v>
      </c>
      <c r="Z193" s="88"/>
      <c r="AA193" s="91"/>
      <c r="AB193" s="68"/>
      <c r="AC193" s="68"/>
    </row>
    <row r="194" spans="1:29" ht="31.5" customHeight="1" thickBot="1" x14ac:dyDescent="0.25">
      <c r="A194" s="18"/>
      <c r="B194" s="34"/>
      <c r="C194" s="102"/>
      <c r="D194" s="103"/>
      <c r="E194" s="104"/>
      <c r="F194" s="103"/>
      <c r="G194" s="105"/>
      <c r="H194" s="51"/>
      <c r="I194" s="105"/>
      <c r="J194" s="53"/>
      <c r="K194" s="87" t="str">
        <f>IF(C179="","",[1]AB5!$L$19)</f>
        <v>Recalcuate : Long Entry : Bear / Bear CF</v>
      </c>
      <c r="L194" s="88"/>
      <c r="M194" s="88"/>
      <c r="N194" s="85"/>
      <c r="O194" s="87" t="str">
        <f>IF(C179="","",[1]AB5!$P$19)</f>
        <v>Wait Till Recalculation Time</v>
      </c>
      <c r="P194" s="85"/>
      <c r="Q194" s="89">
        <f>IF(C179="","",C193)</f>
        <v>0.39582638888888888</v>
      </c>
      <c r="R194" s="85"/>
      <c r="S194" s="98" t="str">
        <f>IF(C179="","",CONCATENATE(V194," ",[1]AB5!$Z$19," ",TEXT(W194,"0.00%"),))</f>
        <v>09:29:59 AM HH + 1.00%</v>
      </c>
      <c r="T194" s="88"/>
      <c r="U194" s="85"/>
      <c r="V194" s="99" t="str">
        <f>IF(C179="","",CONCATENATE(TEXT(Q194,"HH:MM:SS AM/PM"),[1]AB5!$U$19))</f>
        <v>09:29:59 AM HH</v>
      </c>
      <c r="W194" s="100" t="str">
        <f t="array" ref="W194">IF(C179="","",TEXT(INDEX([1]AB4!BK:BK,MATCH(A185,[1]AB4!B:B,0)),"0.00%"))</f>
        <v>1.00%</v>
      </c>
      <c r="X194" s="91"/>
      <c r="Y194" s="106" t="str">
        <f>IF(C179="","",[1]AB5!$AA$19)</f>
        <v xml:space="preserve">Long Entry : Bear/ Bear CF : </v>
      </c>
      <c r="Z194" s="88"/>
      <c r="AA194" s="91"/>
      <c r="AB194" s="68"/>
      <c r="AC194" s="68"/>
    </row>
    <row r="195" spans="1:29" ht="31.5" customHeight="1" x14ac:dyDescent="0.2">
      <c r="A195" s="18"/>
      <c r="B195" s="69" t="str">
        <f>IF(C179="","",[1]AB5!$B$20)</f>
        <v>For SL (Position = Open)</v>
      </c>
      <c r="C195" s="29"/>
      <c r="D195" s="107" t="str">
        <f>IF(C179="","",[1]AB5!$D$20)</f>
        <v>For Short Entry</v>
      </c>
      <c r="E195" s="63"/>
      <c r="F195" s="82" t="str">
        <f>IF(C179="","",CONCATENATE([1]AB5!$G$20,TEXT(B193,"HH:MM:SS AM/PM"),[1]AB5!$B$18,[1]AB5!$H$20))</f>
        <v>Check If  09:19:59 AM LL &lt; Short Entry</v>
      </c>
      <c r="G195" s="83"/>
      <c r="H195" s="108" t="str">
        <f>IF(C179="","",[1]AB5!$I$20)</f>
        <v>No</v>
      </c>
      <c r="I195" s="85"/>
      <c r="J195" s="109" t="str">
        <f>IF(C179="","",[1]AB5!$K$20)</f>
        <v>Entry Not Missed</v>
      </c>
      <c r="K195" s="110" t="str">
        <f>IF(C179="","",[1]AB5!$L$20)</f>
        <v>Place the Order at ORPT</v>
      </c>
      <c r="L195" s="88"/>
      <c r="M195" s="88"/>
      <c r="N195" s="85"/>
      <c r="O195" s="110" t="str">
        <f>IF(C179="","",[1]AB5!$P$20)</f>
        <v>ORPT Time</v>
      </c>
      <c r="P195" s="85"/>
      <c r="Q195" s="111">
        <f>IF(C179="","",B193)</f>
        <v>0.38888194444444446</v>
      </c>
      <c r="R195" s="85"/>
      <c r="S195" s="110" t="str">
        <f>IF(C179="","",[1]AB5!$T$20)</f>
        <v>N.A.</v>
      </c>
      <c r="T195" s="88"/>
      <c r="U195" s="85"/>
      <c r="V195" s="109" t="str">
        <f>IF(C179="","",[1]AB5!$W$20)</f>
        <v>N.A.</v>
      </c>
      <c r="W195" s="112" t="str">
        <f>IF(C179="","",[1]AB5!$X$20)</f>
        <v>N.A.</v>
      </c>
      <c r="X195" s="91"/>
      <c r="Y195" s="101" t="str">
        <f>IF(C179="","",CONCATENATE([1]AB5!$T$19," ( ",G185," or ",[1]AB5!$AA$20," ",[1]AB5!$Z$19," ",TEXT(W194,"0.00%")," )"))</f>
        <v>Max ( FUT : PRV : 3DHH + 1.00% or  CDHH + 1.00% )</v>
      </c>
      <c r="Z195" s="88"/>
      <c r="AA195" s="91"/>
      <c r="AB195" s="68"/>
      <c r="AC195" s="68"/>
    </row>
    <row r="196" spans="1:29" ht="31.5" customHeight="1" x14ac:dyDescent="0.2">
      <c r="A196" s="18" t="str">
        <f>IF(C179="","",CONCATENATE(C180,[1]AB5!$A$21))</f>
        <v>S6A</v>
      </c>
      <c r="B196" s="79" t="str">
        <f>IF(C179="","",[1]AB5!$B$21)</f>
        <v xml:space="preserve">ORPT </v>
      </c>
      <c r="C196" s="80" t="str">
        <f>IF(C179="","",[1]AB5!$C$21)</f>
        <v xml:space="preserve"> RC. Time</v>
      </c>
      <c r="D196" s="64"/>
      <c r="E196" s="59"/>
      <c r="F196" s="64"/>
      <c r="G196" s="95"/>
      <c r="H196" s="113" t="str">
        <f>IF(C179="","",[1]AB5!$I$21)</f>
        <v>Yes</v>
      </c>
      <c r="I196" s="83"/>
      <c r="J196" s="114" t="str">
        <f>IF(C179="","",[1]AB5!$K$21)</f>
        <v>Entry Missed</v>
      </c>
      <c r="K196" s="110" t="str">
        <f>IF(C179="","",[1]AB5!$L$21)</f>
        <v>Recalcuate : Short Entry : Bull / Bull CF</v>
      </c>
      <c r="L196" s="88"/>
      <c r="M196" s="88"/>
      <c r="N196" s="85"/>
      <c r="O196" s="110" t="str">
        <f>IF(C179="","",[1]AB5!$P$21)</f>
        <v>Wait Till Recalculation Time</v>
      </c>
      <c r="P196" s="85"/>
      <c r="Q196" s="111">
        <f>IF(C179="","",C193)</f>
        <v>0.39582638888888888</v>
      </c>
      <c r="R196" s="85"/>
      <c r="S196" s="115" t="str">
        <f>IF(C179="","",CONCATENATE(V196," ",[1]AB5!$Z$21," ",TEXT(W196,"0.00%")))</f>
        <v>09:29:59 AM LL - 1.00%</v>
      </c>
      <c r="T196" s="88"/>
      <c r="U196" s="85"/>
      <c r="V196" s="116" t="str">
        <f>IF(C179="","",CONCATENATE(TEXT(Q196,"HH:MM:SS AM/PM"),[1]AB5!$U$21))</f>
        <v>09:29:59 AM LL</v>
      </c>
      <c r="W196" s="112" t="str">
        <f t="array" ref="W196">IF(C179="","",TEXT(INDEX([1]AB4!BK:BK,MATCH(A182,[1]AB4!B:B,0)),"0.00%"))</f>
        <v>1.00%</v>
      </c>
      <c r="X196" s="91"/>
      <c r="Y196" s="117" t="str">
        <f>IF(C179="","",[1]AB5!$AA$21)</f>
        <v>When Your Long Position is Exited</v>
      </c>
      <c r="Z196" s="118"/>
      <c r="AA196" s="59"/>
      <c r="AB196" s="68"/>
      <c r="AC196" s="68"/>
    </row>
    <row r="197" spans="1:29" ht="31.5" customHeight="1" thickBot="1" x14ac:dyDescent="0.25">
      <c r="A197" s="18" t="str">
        <f>IF(C179="","",CONCATENATE(C180,[1]AB5!$A$22))</f>
        <v>S6B</v>
      </c>
      <c r="B197" s="119">
        <f t="array" ref="B197">IF(C179="","",INDEX([1]AB4!BF:BF,MATCH(A196,[1]AB4!B:B,0)))</f>
        <v>0.38888194444444446</v>
      </c>
      <c r="C197" s="120">
        <f t="array" ref="C197">IF(C179="","",INDEX([1]AB4!BF:BF,MATCH(A197,[1]AB4!B:B,0)))</f>
        <v>0.39582638888888888</v>
      </c>
      <c r="D197" s="60"/>
      <c r="E197" s="66"/>
      <c r="F197" s="60"/>
      <c r="G197" s="121"/>
      <c r="H197" s="102"/>
      <c r="I197" s="121"/>
      <c r="J197" s="122"/>
      <c r="K197" s="123" t="str">
        <f>IF(C179="","",[1]AB5!$L$22)</f>
        <v>Recalcuate : Short Entry : Bear / Bear CF</v>
      </c>
      <c r="L197" s="124"/>
      <c r="M197" s="124"/>
      <c r="N197" s="38"/>
      <c r="O197" s="123" t="str">
        <f>IF(C179="","",[1]AB5!$P$22)</f>
        <v>Wait Till Recalculation Time</v>
      </c>
      <c r="P197" s="38"/>
      <c r="Q197" s="125">
        <f>IF(C179="","",C193)</f>
        <v>0.39582638888888888</v>
      </c>
      <c r="R197" s="38"/>
      <c r="S197" s="126" t="str">
        <f>IF(C179="","",CONCATENATE(V197," ",[1]AB5!$Z$22," ",TEXT(W197,"0.00%")))</f>
        <v>09:29:59 AM LL - 1.00%</v>
      </c>
      <c r="T197" s="124"/>
      <c r="U197" s="38"/>
      <c r="V197" s="127" t="str">
        <f>IF(C179="","",CONCATENATE(TEXT(Q197,"HH:MM:SS AM/PM"),[1]AB5!$U$22))</f>
        <v>09:29:59 AM LL</v>
      </c>
      <c r="W197" s="128" t="str">
        <f t="array" ref="W197">IF(C179="","",TEXT(INDEX([1]AB4!BK:BK,MATCH(A188,[1]AB4!B:B,0)),"0.00%"))</f>
        <v>1.00%</v>
      </c>
      <c r="X197" s="41"/>
      <c r="Y197" s="129" t="str">
        <f>IF(C179="","",[1]AB5!$AA$22)</f>
        <v>This is Only Applicable for Same Day</v>
      </c>
      <c r="Z197" s="130"/>
      <c r="AA197" s="66"/>
      <c r="AB197" s="68"/>
      <c r="AC197" s="68"/>
    </row>
    <row r="198" spans="1:29" ht="6" customHeight="1" thickBot="1" x14ac:dyDescent="0.25">
      <c r="A198" s="18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</row>
    <row r="199" spans="1:29" ht="21.75" customHeight="1" thickBot="1" x14ac:dyDescent="0.25">
      <c r="A199" s="18"/>
      <c r="B199" s="69" t="str">
        <f>IF(C179="","",[1]AB5!$B$24)</f>
        <v>For TGT (Position = Open)</v>
      </c>
      <c r="C199" s="29"/>
      <c r="D199" s="132" t="str">
        <f>IF(C179="","",[1]AB5!$D$24)</f>
        <v>Gap Check</v>
      </c>
      <c r="E199" s="133"/>
      <c r="F199" s="132" t="str">
        <f>IF(C179="","",[1]AB5!$G$24)</f>
        <v>Process</v>
      </c>
      <c r="G199" s="133"/>
      <c r="H199" s="132" t="str">
        <f>IF(C179="","",[1]AB5!$I$24)</f>
        <v>Y / N</v>
      </c>
      <c r="I199" s="133"/>
      <c r="J199" s="134" t="str">
        <f>IF(C179="","",[1]AB5!$K$24)</f>
        <v>Status</v>
      </c>
      <c r="K199" s="135" t="str">
        <f>IF(C179="","",[1]AB5!$L$24)</f>
        <v>Step 1</v>
      </c>
      <c r="L199" s="136"/>
      <c r="M199" s="136"/>
      <c r="N199" s="133"/>
      <c r="O199" s="132" t="str">
        <f>IF(C179="","",[1]AB5!$P$24)</f>
        <v>Order Placement Timings</v>
      </c>
      <c r="P199" s="133"/>
      <c r="Q199" s="132" t="str">
        <f>IF(C179="","",[1]AB5!$R$24)</f>
        <v>Time</v>
      </c>
      <c r="R199" s="133"/>
      <c r="S199" s="135" t="str">
        <f>IF(C179="","",[1]AB5!$T$24)</f>
        <v>Rules For Gaps</v>
      </c>
      <c r="T199" s="136"/>
      <c r="U199" s="133"/>
      <c r="V199" s="134" t="str">
        <f>IF(C179="","",[1]AB5!$W$24)</f>
        <v>Data</v>
      </c>
      <c r="W199" s="132" t="str">
        <f>IF(C179="","",[1]AB5!$X$24)</f>
        <v>Buffer</v>
      </c>
      <c r="X199" s="133"/>
      <c r="Y199" s="135" t="str">
        <f>IF(C179="","",[1]AB5!$AA$16)</f>
        <v>Rules For Re Entry</v>
      </c>
      <c r="Z199" s="136"/>
      <c r="AA199" s="133"/>
      <c r="AB199" s="78"/>
      <c r="AC199" s="78"/>
    </row>
    <row r="200" spans="1:29" ht="24" customHeight="1" x14ac:dyDescent="0.2">
      <c r="A200" s="18" t="str">
        <f>IF(C179="","",CONCATENATE(C180,[1]AB5!$A$25))</f>
        <v>S6A</v>
      </c>
      <c r="B200" s="79" t="str">
        <f>IF(C179="","",[1]AB5!$B$25)</f>
        <v xml:space="preserve">ORPT </v>
      </c>
      <c r="C200" s="80" t="str">
        <f>IF(C179="","",[1]AB5!$C$25)</f>
        <v xml:space="preserve"> RC. Time</v>
      </c>
      <c r="D200" s="137" t="str">
        <f>IF(C179="","",[1]AB5!$D$25)</f>
        <v>For Long SL</v>
      </c>
      <c r="E200" s="59"/>
      <c r="F200" s="138" t="str">
        <f>IF(C179="","",CONCATENATE([1]AB5!$G$25,TEXT(B197,"HH:MM:SS AM/PM"),[1]AB5!$B$22,[1]AB5!$H$25))</f>
        <v>Check If 09:19:59 AM LL &lt; Long SL</v>
      </c>
      <c r="G200" s="76"/>
      <c r="H200" s="139" t="str">
        <f>IF(C179="","",[1]AB5!$I$25)</f>
        <v>No</v>
      </c>
      <c r="I200" s="27"/>
      <c r="J200" s="140" t="str">
        <f>IF(C179="","",[1]AB5!$K$25)</f>
        <v>FSL / TRP Not Missed</v>
      </c>
      <c r="K200" s="141" t="str">
        <f>IF(C179="","",[1]AB5!$L$25)</f>
        <v>Place the Order at ORPT</v>
      </c>
      <c r="L200" s="142"/>
      <c r="M200" s="142"/>
      <c r="N200" s="27"/>
      <c r="O200" s="141" t="str">
        <f>IF(C179="","",[1]AB5!$P$25)</f>
        <v>ORPT Time</v>
      </c>
      <c r="P200" s="27"/>
      <c r="Q200" s="143">
        <f>IF(C179="","",B197)</f>
        <v>0.38888194444444446</v>
      </c>
      <c r="R200" s="27"/>
      <c r="S200" s="141" t="str">
        <f>IF(C179="","",[1]AB5!$U$25)</f>
        <v>N.A.</v>
      </c>
      <c r="T200" s="142"/>
      <c r="U200" s="27"/>
      <c r="V200" s="140" t="str">
        <f>IF(C179="","",[1]AB5!$W$25)</f>
        <v>N.A.</v>
      </c>
      <c r="W200" s="144" t="str">
        <f>IF(C179="","",[1]AB5!$X$25)</f>
        <v>N.A.</v>
      </c>
      <c r="X200" s="29"/>
      <c r="Y200" s="117" t="str">
        <f>IF(C179="","",[1]AB5!$AA$25)</f>
        <v xml:space="preserve">Short Entry : Bull/ Bull CF : </v>
      </c>
      <c r="Z200" s="12"/>
      <c r="AA200" s="59"/>
      <c r="AB200" s="68"/>
      <c r="AC200" s="68"/>
    </row>
    <row r="201" spans="1:29" ht="24" customHeight="1" thickBot="1" x14ac:dyDescent="0.25">
      <c r="A201" s="18" t="str">
        <f>IF(C179="","",CONCATENATE(C180,[1]AB5!$A$26))</f>
        <v>S6B</v>
      </c>
      <c r="B201" s="119">
        <f t="array" ref="B201">IF(C179="","",INDEX([1]AB4!BG:BG,MATCH(A200,[1]AB4!B:B,0)))</f>
        <v>0.38541666666666669</v>
      </c>
      <c r="C201" s="120" t="str">
        <f t="array" ref="C201">IF(C179="","",INDEX([1]AB4!BG:BG,MATCH(A201,[1]AB4!B:B,0)))</f>
        <v>N.A.</v>
      </c>
      <c r="D201" s="64"/>
      <c r="E201" s="59"/>
      <c r="F201" s="64"/>
      <c r="G201" s="12"/>
      <c r="H201" s="113" t="str">
        <f>IF(C179="","",[1]AB5!$I$26)</f>
        <v>Yes</v>
      </c>
      <c r="I201" s="83"/>
      <c r="J201" s="114" t="str">
        <f>IF(C179="","",[1]AB5!$K$26)</f>
        <v>FSL / TRP Missed</v>
      </c>
      <c r="K201" s="110" t="str">
        <f>IF(C179="","",[1]AB5!$L$26)</f>
        <v>Recalcuate : Long FSL / TRP : Bull / Bull CF</v>
      </c>
      <c r="L201" s="88"/>
      <c r="M201" s="88"/>
      <c r="N201" s="85"/>
      <c r="O201" s="110" t="str">
        <f>IF(C179="","",[1]AB5!$P$26)</f>
        <v>Wait Till Recalculation Time</v>
      </c>
      <c r="P201" s="85"/>
      <c r="Q201" s="111">
        <f>IF(C179="","",C197)</f>
        <v>0.39582638888888888</v>
      </c>
      <c r="R201" s="85"/>
      <c r="S201" s="110" t="str">
        <f>IF(C179="","",CONCATENATE(V201," ",[1]AB5!$Z$26," ",TEXT(W201,"0.00%")))</f>
        <v>09:29:59 AM LL - 1.00%</v>
      </c>
      <c r="T201" s="88"/>
      <c r="U201" s="85"/>
      <c r="V201" s="116" t="str">
        <f>IF(C179="","",CONCATENATE(TEXT(Q201,"HH:MM:SS AM/PM"),[1]AB5!$U$26))</f>
        <v>09:29:59 AM LL</v>
      </c>
      <c r="W201" s="112" t="str">
        <f t="array" ref="W201">IF(C179="","",TEXT(INDEX([1]AB4!BL:BL,MATCH(A180,[1]AB4!B:B,0)),"0.00%"))</f>
        <v>1.00%</v>
      </c>
      <c r="X201" s="91"/>
      <c r="Y201" s="145"/>
      <c r="Z201" s="145"/>
      <c r="AA201" s="104"/>
      <c r="AB201" s="68"/>
      <c r="AC201" s="68"/>
    </row>
    <row r="202" spans="1:29" ht="24" customHeight="1" x14ac:dyDescent="0.2">
      <c r="A202" s="18"/>
      <c r="B202" s="62" t="str">
        <f>IF(C179="","",[1]AB5!$B$27)</f>
        <v>I Commit To Follow The Rules &amp; Process</v>
      </c>
      <c r="C202" s="63"/>
      <c r="D202" s="64"/>
      <c r="E202" s="59"/>
      <c r="F202" s="64"/>
      <c r="G202" s="12"/>
      <c r="H202" s="48"/>
      <c r="I202" s="95"/>
      <c r="J202" s="146"/>
      <c r="K202" s="110" t="str">
        <f>IF(C179="","",[1]AB5!$L$27)</f>
        <v>Recalcuate : Long FSL / TRP : Bear / Bear CF</v>
      </c>
      <c r="L202" s="88"/>
      <c r="M202" s="88"/>
      <c r="N202" s="85"/>
      <c r="O202" s="110" t="str">
        <f>IF(C179="","",[1]AB5!$P$27)</f>
        <v>Wait Till Recalculation Time</v>
      </c>
      <c r="P202" s="85"/>
      <c r="Q202" s="111">
        <f>IF(C179="","",C197)</f>
        <v>0.39582638888888888</v>
      </c>
      <c r="R202" s="85"/>
      <c r="S202" s="110" t="str">
        <f>IF(C180="","",CONCATENATE(V202," ",[1]AB5!$Z$26," ",TEXT(W202,"0.00%")))</f>
        <v>09:29:59 AM LL - 1.00%</v>
      </c>
      <c r="T202" s="88"/>
      <c r="U202" s="85"/>
      <c r="V202" s="116" t="str">
        <f>IF(C179="","",CONCATENATE(TEXT(Q201,"HH:MM:SS AM/PM"),[1]AB5!$U$27))</f>
        <v>09:29:59 AM LL</v>
      </c>
      <c r="W202" s="112" t="str">
        <f t="array" ref="W202">IF(C179="","",TEXT(INDEX([1]AB4!BL:BL,MATCH(A180,[1]AB4!B:B,0)),"0.00%"))</f>
        <v>1.00%</v>
      </c>
      <c r="X202" s="91"/>
      <c r="Y202" s="147" t="str">
        <f>IF(C179="","",CONCATENATE([1]AB5!$T$28," ( ",G182," or ",[1]AB5!$AA$26," ",[1]AB5!$Z$28," ",TEXT(W203,"0.00%")," )"))</f>
        <v>Min ( FUT : PRV : 3DLL - 1.00% or  CDLL - 1.00% )</v>
      </c>
      <c r="Z202" s="148"/>
      <c r="AA202" s="63"/>
      <c r="AB202" s="68"/>
      <c r="AC202" s="68"/>
    </row>
    <row r="203" spans="1:29" ht="33" customHeight="1" x14ac:dyDescent="0.2">
      <c r="A203" s="18"/>
      <c r="B203" s="64"/>
      <c r="C203" s="59"/>
      <c r="D203" s="64"/>
      <c r="E203" s="59"/>
      <c r="F203" s="64"/>
      <c r="G203" s="12"/>
      <c r="H203" s="48"/>
      <c r="I203" s="95"/>
      <c r="J203" s="146"/>
      <c r="K203" s="110" t="str">
        <f>IF(C179="","",[1]AB5!$L$28)</f>
        <v>Recalcuate : Short Entry : Bull / Bull CF</v>
      </c>
      <c r="L203" s="88"/>
      <c r="M203" s="88"/>
      <c r="N203" s="85"/>
      <c r="O203" s="110" t="str">
        <f>IF(C179="","",[1]AB5!$P$28)</f>
        <v>Wait Till Recalculation Time</v>
      </c>
      <c r="P203" s="85"/>
      <c r="Q203" s="111">
        <f>IF(C179="","",C193)</f>
        <v>0.39582638888888888</v>
      </c>
      <c r="R203" s="85"/>
      <c r="S203" s="115" t="str">
        <f>IF(C179="","",CONCATENATE([1]AB5!$T$28," ( ",G182," or ",V203," ",[1]AB5!$Z$28," ",TEXT(W203,"0.00%")," )"))</f>
        <v>Min ( FUT : PRV : 3DLL - 1.00% or 09:29:59 AM LL - 1.00% )</v>
      </c>
      <c r="T203" s="88"/>
      <c r="U203" s="85"/>
      <c r="V203" s="116" t="str">
        <f>IF(C179="","",CONCATENATE(TEXT(Q203,"HH:MM:SS AM/PM"),[1]AB5!$U$28))</f>
        <v>09:29:59 AM LL</v>
      </c>
      <c r="W203" s="112" t="str">
        <f t="array" ref="W203">IF(C179="","",TEXT(INDEX([1]AB4!BK:BK,MATCH(A182,[1]AB4!B:B,0)),"0.00%"))</f>
        <v>1.00%</v>
      </c>
      <c r="X203" s="91"/>
      <c r="Y203" s="145"/>
      <c r="Z203" s="145"/>
      <c r="AA203" s="104"/>
      <c r="AB203" s="68"/>
      <c r="AC203" s="68"/>
    </row>
    <row r="204" spans="1:29" ht="33" customHeight="1" thickBot="1" x14ac:dyDescent="0.25">
      <c r="A204" s="18"/>
      <c r="B204" s="60"/>
      <c r="C204" s="66"/>
      <c r="D204" s="103"/>
      <c r="E204" s="104"/>
      <c r="F204" s="103"/>
      <c r="G204" s="145"/>
      <c r="H204" s="51"/>
      <c r="I204" s="105"/>
      <c r="J204" s="53"/>
      <c r="K204" s="110" t="str">
        <f>IF(C179="","",[1]AB5!$L$29)</f>
        <v>Recalcuate : Short Entry : Bear / Bear CF</v>
      </c>
      <c r="L204" s="88"/>
      <c r="M204" s="88"/>
      <c r="N204" s="85"/>
      <c r="O204" s="110" t="str">
        <f>IF(C179="","",[1]AB5!$P$29)</f>
        <v>Wait Till Recalculation Time</v>
      </c>
      <c r="P204" s="85"/>
      <c r="Q204" s="111">
        <f>IF(C179="","",C193)</f>
        <v>0.39582638888888888</v>
      </c>
      <c r="R204" s="85"/>
      <c r="S204" s="115" t="str">
        <f>IF(C179="","",CONCATENATE([1]AB5!$T$29," ( ",G188," or ",V204," ",[1]AB5!$Z$29," ",TEXT(W204,"0.00%")," )"))</f>
        <v>Min ( FUT : PRV : 3DLL - 1.00% or 09:29:59 AM LL - 1.00% )</v>
      </c>
      <c r="T204" s="88"/>
      <c r="U204" s="85"/>
      <c r="V204" s="116" t="str">
        <f>IF(C179="","",CONCATENATE(TEXT(Q204,"HH:MM:SS AM/PM"),[1]AB5!$U$29))</f>
        <v>09:29:59 AM LL</v>
      </c>
      <c r="W204" s="112" t="str">
        <f t="array" ref="W204">IF(C179="","",TEXT(INDEX([1]AB4!BK:BK,MATCH(A188,[1]AB4!B:B,0)),"0.00%"))</f>
        <v>1.00%</v>
      </c>
      <c r="X204" s="91"/>
      <c r="Y204" s="149" t="str">
        <f>IF(C179="","",[1]AB5!$AA$29)</f>
        <v xml:space="preserve">Short Entry : Bear/ Bear CF : </v>
      </c>
      <c r="Z204" s="88"/>
      <c r="AA204" s="91"/>
      <c r="AB204" s="68"/>
      <c r="AC204" s="68"/>
    </row>
    <row r="205" spans="1:29" ht="21.75" customHeight="1" x14ac:dyDescent="0.2">
      <c r="A205" s="18"/>
      <c r="B205" s="150" t="str">
        <f>IF(C179="","",IF([1]AB5!$B$12="","",[1]AB5!$B$30))</f>
        <v>By Asmita Patel.</v>
      </c>
      <c r="C205" s="71"/>
      <c r="D205" s="81" t="str">
        <f>IF(C179="","",[1]AB5!$D$30)</f>
        <v>For Short SL</v>
      </c>
      <c r="E205" s="63"/>
      <c r="F205" s="151" t="str">
        <f>IF(C179="","",CONCATENATE([1]AB5!$G$30,TEXT(B197,"HH:MM:SS AM/PM"),[1]AB5!$B$22,[1]AB5!$H$30))</f>
        <v>Check If 09:19:59 AM HH &gt; Short SL</v>
      </c>
      <c r="G205" s="83"/>
      <c r="H205" s="84" t="str">
        <f>IF(C179="","",[1]AB5!$I$30)</f>
        <v>No</v>
      </c>
      <c r="I205" s="85"/>
      <c r="J205" s="86" t="str">
        <f>IF(C179="","",[1]AB5!$K$30)</f>
        <v>FSL / TRP Not Missed</v>
      </c>
      <c r="K205" s="87" t="str">
        <f>IF(C179="","",[1]AB5!$L$30)</f>
        <v>Place the Order at ORPT</v>
      </c>
      <c r="L205" s="88"/>
      <c r="M205" s="88"/>
      <c r="N205" s="85"/>
      <c r="O205" s="87" t="str">
        <f>IF(C179="","",[1]AB5!$P$30)</f>
        <v>ORPT Time</v>
      </c>
      <c r="P205" s="85"/>
      <c r="Q205" s="89">
        <f>IF(C179="","",B197)</f>
        <v>0.38888194444444446</v>
      </c>
      <c r="R205" s="85"/>
      <c r="S205" s="87" t="str">
        <f>IF(C179="","",[1]AB5!$T$30)</f>
        <v>N.A.</v>
      </c>
      <c r="T205" s="88"/>
      <c r="U205" s="85"/>
      <c r="V205" s="86" t="str">
        <f>IF(C179="","",[1]AB5!$W$30)</f>
        <v>N.A.</v>
      </c>
      <c r="W205" s="90" t="str">
        <f>IF(C179="","",[1]AB5!$X$30)</f>
        <v>N.A.</v>
      </c>
      <c r="X205" s="91"/>
      <c r="Y205" s="147" t="str">
        <f>IF(C179="","",CONCATENATE([1]AB5!$T$29," ( ",G188," or ",[1]AB5!$AA$30," ",[1]AB5!$Z$29," ",TEXT(W204,"0.00%")," )"))</f>
        <v>Min ( FUT : PRV : 3DLL - 1.00% or  CDLL - 1.00% )</v>
      </c>
      <c r="Z205" s="148"/>
      <c r="AA205" s="63"/>
      <c r="AB205" s="68"/>
      <c r="AC205" s="68"/>
    </row>
    <row r="206" spans="1:29" ht="21.75" customHeight="1" x14ac:dyDescent="0.2">
      <c r="A206" s="152"/>
      <c r="B206" s="64"/>
      <c r="C206" s="59"/>
      <c r="D206" s="64"/>
      <c r="E206" s="59"/>
      <c r="F206" s="64"/>
      <c r="G206" s="95"/>
      <c r="H206" s="96" t="str">
        <f>IF(C179="","",[1]AB5!$I$31)</f>
        <v>Yes</v>
      </c>
      <c r="I206" s="83"/>
      <c r="J206" s="97" t="str">
        <f>IF(C179="","",[1]AB5!$K$31)</f>
        <v>FSL / TRP Missed</v>
      </c>
      <c r="K206" s="87" t="str">
        <f>IF(C179="","",[1]AB5!$L$31)</f>
        <v>Recalcuate : Short FSL / TRP : Bull / Bull CF</v>
      </c>
      <c r="L206" s="88"/>
      <c r="M206" s="88"/>
      <c r="N206" s="85"/>
      <c r="O206" s="87" t="str">
        <f>IF(C179="","",[1]AB5!$P$31)</f>
        <v>Wait Till Recalculation Time</v>
      </c>
      <c r="P206" s="85"/>
      <c r="Q206" s="89">
        <f>IF(C179="","",C197)</f>
        <v>0.39582638888888888</v>
      </c>
      <c r="R206" s="85"/>
      <c r="S206" s="87" t="str">
        <f>IF(C179="","",CONCATENATE(V206," ",[1]AB5!$Z$31," ",TEXT(W206,"0.00%")))</f>
        <v>09:29:59 AM HH + 1.00%</v>
      </c>
      <c r="T206" s="88"/>
      <c r="U206" s="85"/>
      <c r="V206" s="153" t="str">
        <f>IF(C179="","",CONCATENATE(TEXT(Q206,"HH:MM:SS AM/PM"),[1]AB5!$U$31))</f>
        <v>09:29:59 AM HH</v>
      </c>
      <c r="W206" s="90" t="str">
        <f t="array" ref="W206">IF(C179="","",TEXT(INDEX([1]AB4!BL:BL,MATCH(A188,[1]AB4!B:B,0)),"0.00%"))</f>
        <v>1.00%</v>
      </c>
      <c r="X206" s="91"/>
      <c r="Y206" s="12"/>
      <c r="Z206" s="12"/>
      <c r="AA206" s="59"/>
      <c r="AB206" s="68"/>
      <c r="AC206" s="68"/>
    </row>
    <row r="207" spans="1:29" ht="22.5" customHeight="1" x14ac:dyDescent="0.2">
      <c r="A207" s="152"/>
      <c r="B207" s="64"/>
      <c r="C207" s="59"/>
      <c r="D207" s="64"/>
      <c r="E207" s="59"/>
      <c r="F207" s="64"/>
      <c r="G207" s="95"/>
      <c r="H207" s="48"/>
      <c r="I207" s="95"/>
      <c r="J207" s="146"/>
      <c r="K207" s="87" t="str">
        <f>IF(C179="","",[1]AB5!$L$32)</f>
        <v>Recalcuate : Short FSL / TRP : Bear / Bear CF</v>
      </c>
      <c r="L207" s="88"/>
      <c r="M207" s="88"/>
      <c r="N207" s="85"/>
      <c r="O207" s="87" t="str">
        <f>IF(C179="","",[1]AB5!$P$32)</f>
        <v>Wait Till Recalculation Time</v>
      </c>
      <c r="P207" s="85"/>
      <c r="Q207" s="89">
        <f>IF(C179="","",C197)</f>
        <v>0.39582638888888888</v>
      </c>
      <c r="R207" s="85"/>
      <c r="S207" s="87" t="str">
        <f>IF(C180="","",CONCATENATE(V207," ",[1]AB5!$Z$31," ",TEXT(W207,"0.00%")))</f>
        <v>09:29:59 AM HH + 1.00%</v>
      </c>
      <c r="T207" s="88"/>
      <c r="U207" s="85"/>
      <c r="V207" s="153" t="str">
        <f>IF(C179="","",CONCATENATE(TEXT(Q206,"HH:MM:SS AM/PM"),[1]AB5!$U$32))</f>
        <v>09:29:59 AM HH</v>
      </c>
      <c r="W207" s="90" t="str">
        <f t="array" ref="W207">IF(C179="","",TEXT(INDEX([1]AB4!BL:BL,MATCH(A188,[1]AB4!B:B,0)),"0.00%"))</f>
        <v>1.00%</v>
      </c>
      <c r="X207" s="91"/>
      <c r="Y207" s="145"/>
      <c r="Z207" s="145"/>
      <c r="AA207" s="104"/>
      <c r="AB207" s="68"/>
      <c r="AC207" s="68"/>
    </row>
    <row r="208" spans="1:29" ht="33" customHeight="1" x14ac:dyDescent="0.2">
      <c r="A208" s="152"/>
      <c r="B208" s="64"/>
      <c r="C208" s="59"/>
      <c r="D208" s="64"/>
      <c r="E208" s="59"/>
      <c r="F208" s="64"/>
      <c r="G208" s="95"/>
      <c r="H208" s="48"/>
      <c r="I208" s="95"/>
      <c r="J208" s="146"/>
      <c r="K208" s="87" t="str">
        <f>IF(C179="","",[1]AB5!$L$33)</f>
        <v>Recalcuate : Long Entry : Bull / Bull CF</v>
      </c>
      <c r="L208" s="88"/>
      <c r="M208" s="88"/>
      <c r="N208" s="85"/>
      <c r="O208" s="87" t="str">
        <f>IF(C179="","",[1]AB5!$P$33)</f>
        <v>Wait Till Recalculation Time</v>
      </c>
      <c r="P208" s="85"/>
      <c r="Q208" s="89">
        <f>IF(C179="","",C193)</f>
        <v>0.39582638888888888</v>
      </c>
      <c r="R208" s="85"/>
      <c r="S208" s="98" t="str">
        <f>IF(C179="","",CONCATENATE([1]AB5!$T$33," ( ",G179," or ",V208," ",[1]AB5!$Z$33," ",TEXT(W208,"0.00%")," )"))</f>
        <v>Max ( FUT : PRV : 3DHH + 1.00% or 09:29:59 AM HH + 1.00% )</v>
      </c>
      <c r="T208" s="88"/>
      <c r="U208" s="85"/>
      <c r="V208" s="99" t="str">
        <f>IF(C179="","",CONCATENATE(TEXT(Q208,"HH:MM:SS AM/PM"),[1]AB5!$U$33))</f>
        <v>09:29:59 AM HH</v>
      </c>
      <c r="W208" s="90" t="str">
        <f t="array" ref="W208">IF(C179="","",TEXT(INDEX([1]AB4!BK:BK,MATCH(A179,[1]AB4!B:B,0)),"0.00%"))</f>
        <v>1.00%</v>
      </c>
      <c r="X208" s="91"/>
      <c r="Y208" s="117" t="str">
        <f>IF(C179="","",[1]AB5!$AA$33)</f>
        <v>When Your Short Position is Exited</v>
      </c>
      <c r="Z208" s="118"/>
      <c r="AA208" s="59"/>
      <c r="AB208" s="68"/>
      <c r="AC208" s="68"/>
    </row>
    <row r="209" spans="1:29" ht="33" customHeight="1" thickBot="1" x14ac:dyDescent="0.25">
      <c r="A209" s="152"/>
      <c r="B209" s="60"/>
      <c r="C209" s="66"/>
      <c r="D209" s="60"/>
      <c r="E209" s="66"/>
      <c r="F209" s="60"/>
      <c r="G209" s="121"/>
      <c r="H209" s="102"/>
      <c r="I209" s="121"/>
      <c r="J209" s="122"/>
      <c r="K209" s="154" t="str">
        <f>IF(C179="","",[1]AB5!$L$34)</f>
        <v>Recalcuate : Long Entry : Bear / Bear CF</v>
      </c>
      <c r="L209" s="124"/>
      <c r="M209" s="124"/>
      <c r="N209" s="38"/>
      <c r="O209" s="154" t="str">
        <f>IF(C179="","",[1]AB5!$P$34)</f>
        <v>Wait Till Recalculation Time</v>
      </c>
      <c r="P209" s="38"/>
      <c r="Q209" s="155">
        <f>IF(C179="","",C193)</f>
        <v>0.39582638888888888</v>
      </c>
      <c r="R209" s="38"/>
      <c r="S209" s="156" t="str">
        <f>IF(C179="","",CONCATENATE([1]AB5!$T$34," ( ",G185," or ",V209," ",[1]AB5!$Z$34," ",TEXT(W209,"0.00%")," )"))</f>
        <v>Max ( FUT : PRV : 3DHH + 1.00% or 09:29:59 AM HH + 1.00% )</v>
      </c>
      <c r="T209" s="124"/>
      <c r="U209" s="38"/>
      <c r="V209" s="157" t="str">
        <f>IF(C179="","",CONCATENATE(TEXT(Q209,"HH:MM:SS AM/PM"),[1]AB5!$U$34))</f>
        <v>09:29:59 AM HH</v>
      </c>
      <c r="W209" s="158" t="str">
        <f t="array" ref="W209">IF(C179="","",TEXT(INDEX([1]AB4!BK:BK,MATCH(A185,[1]AB4!B:B,0)),"0.00%"))</f>
        <v>1.00%</v>
      </c>
      <c r="X209" s="41"/>
      <c r="Y209" s="117" t="str">
        <f>IF(C179="","",[1]AB5!$AA$34)</f>
        <v>This is Only Applicable for Same Day</v>
      </c>
      <c r="Z209" s="118"/>
      <c r="AA209" s="59"/>
      <c r="AB209" s="68"/>
      <c r="AC209" s="68"/>
    </row>
    <row r="210" spans="1:29" ht="21.75" customHeight="1" thickBot="1" x14ac:dyDescent="0.25">
      <c r="A210" s="152"/>
      <c r="B210" s="69" t="str">
        <f>IF(C179="","",[1]AB5!$B$35)</f>
        <v>For Missed SL (Position = Open)</v>
      </c>
      <c r="C210" s="29"/>
      <c r="D210" s="70" t="str">
        <f>IF(C179="","",[1]AB5!$D$36)</f>
        <v>Note: ( Optional )</v>
      </c>
      <c r="E210" s="71"/>
      <c r="F210" s="159" t="str">
        <f>IF(C179="","",[1]AB5!$I$35)</f>
        <v>For Long SL</v>
      </c>
      <c r="G210" s="136"/>
      <c r="H210" s="136"/>
      <c r="I210" s="136"/>
      <c r="J210" s="136"/>
      <c r="K210" s="136"/>
      <c r="L210" s="136"/>
      <c r="M210" s="136"/>
      <c r="N210" s="136"/>
      <c r="O210" s="136"/>
      <c r="P210" s="133"/>
      <c r="Q210" s="159" t="str">
        <f>IF(N179="","",[1]AB5!$T$35)</f>
        <v>For Short SL</v>
      </c>
      <c r="R210" s="136"/>
      <c r="S210" s="136"/>
      <c r="T210" s="136"/>
      <c r="U210" s="136"/>
      <c r="V210" s="136"/>
      <c r="W210" s="136"/>
      <c r="X210" s="136"/>
      <c r="Y210" s="136"/>
      <c r="Z210" s="136"/>
      <c r="AA210" s="133"/>
      <c r="AB210" s="68"/>
      <c r="AC210" s="68"/>
    </row>
    <row r="211" spans="1:29" ht="36" customHeight="1" x14ac:dyDescent="0.2">
      <c r="A211" s="152"/>
      <c r="B211" s="160" t="str">
        <f>IF(C179="","",[1]AB5!$B$36)</f>
        <v>Check time</v>
      </c>
      <c r="C211" s="91"/>
      <c r="D211" s="64"/>
      <c r="E211" s="59"/>
      <c r="F211" s="161" t="str">
        <f>IF(C179="","",CONCATENATE([1]AB5!$G$36,TEXT(B212,"HH:MM:SS AM/PM"),[1]AB5!$B$37,[1]AB5!$H$36))</f>
        <v>Check If Close at 03:00:00 PM  &lt; Long Original SL</v>
      </c>
      <c r="G211" s="85"/>
      <c r="H211" s="162" t="str">
        <f>IF(C179="","",[1]AB5!$I$36)</f>
        <v>Yes</v>
      </c>
      <c r="I211" s="105"/>
      <c r="J211" s="163" t="str">
        <f>IF(C179="","",CONCATENATE([1]AB5!$K$36,TEXT(B212,"HH:MM:SS AM/PM")))</f>
        <v xml:space="preserve"> Then Square Off The Position At CMP at 03:00:00 PM</v>
      </c>
      <c r="K211" s="145"/>
      <c r="L211" s="145"/>
      <c r="M211" s="145"/>
      <c r="N211" s="145"/>
      <c r="O211" s="145"/>
      <c r="P211" s="104"/>
      <c r="Q211" s="164" t="str">
        <f>IF(C179="","",CONCATENATE([1]AB5!$T$36,TEXT(B212,"HH:MM:SS AM/PM"),[1]AB5!$B$37,[1]AB5!$U$36))</f>
        <v>Check If Close at 03:00:00 PM  &gt; Short Original SL</v>
      </c>
      <c r="R211" s="145"/>
      <c r="S211" s="105"/>
      <c r="T211" s="165" t="str">
        <f>IF(C179="","",[1]AB5!$I$36)</f>
        <v>Yes</v>
      </c>
      <c r="U211" s="166" t="str">
        <f>IF(C179="","",CONCATENATE([1]AB5!$W$36,TEXT(B212,"HH:MM:SS AM/PM")))</f>
        <v xml:space="preserve"> Then Square Off The Position At CMP at 03:00:00 PM</v>
      </c>
      <c r="V211" s="145"/>
      <c r="W211" s="145"/>
      <c r="X211" s="145"/>
      <c r="Y211" s="145"/>
      <c r="Z211" s="145"/>
      <c r="AA211" s="104"/>
      <c r="AB211" s="68"/>
      <c r="AC211" s="167"/>
    </row>
    <row r="212" spans="1:29" ht="36" customHeight="1" thickBot="1" x14ac:dyDescent="0.25">
      <c r="A212" s="152"/>
      <c r="B212" s="168">
        <f t="array" ref="B212">IF(C179="","",INDEX([1]AB4!CU:CU,MATCH(A200,[1]AB4!B:B,0)))</f>
        <v>0.625</v>
      </c>
      <c r="C212" s="41"/>
      <c r="D212" s="60"/>
      <c r="E212" s="66"/>
      <c r="F212" s="169" t="str">
        <f>IF(C179="","",CONCATENATE([1]AB5!$G$37,TEXT(B212,"HH:MM:SS AM/PM"),[1]AB5!$B$37,[1]AB5!$H$37))</f>
        <v>Check If Close at 03:00:00 PM  &gt; Long Original SL</v>
      </c>
      <c r="G212" s="38"/>
      <c r="H212" s="170" t="str">
        <f>IF(C179="","",[1]AB5!$I$37)</f>
        <v>Yes</v>
      </c>
      <c r="I212" s="38"/>
      <c r="J212" s="156" t="str">
        <f>IF(C179="","",CONCATENATE([1]AB5!$K$37))</f>
        <v xml:space="preserve"> Then Continue the Position for Next Day And Calculate Stop Loss Price as per the Rules</v>
      </c>
      <c r="K212" s="124"/>
      <c r="L212" s="124"/>
      <c r="M212" s="124"/>
      <c r="N212" s="124"/>
      <c r="O212" s="124"/>
      <c r="P212" s="41"/>
      <c r="Q212" s="169" t="str">
        <f>IF(C179="","",CONCATENATE([1]AB5!$T$37,TEXT(B212,"HH:MM:SS AM/PM"),[1]AB5!$B$37,[1]AB5!$U$37))</f>
        <v>Check If Close at 03:00:00 PM  &lt; Short Original SL</v>
      </c>
      <c r="R212" s="124"/>
      <c r="S212" s="38"/>
      <c r="T212" s="171" t="str">
        <f>IF(C180="","",[1]AB5!$I$36)</f>
        <v>Yes</v>
      </c>
      <c r="U212" s="156" t="str">
        <f>IF(C179="","",CONCATENATE([1]AB5!$W$37))</f>
        <v xml:space="preserve"> Then Continue the Position for Next Day And Calculate Stop Loss Price as per the Rules</v>
      </c>
      <c r="V212" s="124"/>
      <c r="W212" s="124"/>
      <c r="X212" s="124"/>
      <c r="Y212" s="124"/>
      <c r="Z212" s="124"/>
      <c r="AA212" s="41"/>
      <c r="AB212" s="68"/>
      <c r="AC212" s="167"/>
    </row>
    <row r="213" spans="1:29" ht="15.75" customHeight="1" thickBot="1" x14ac:dyDescent="0.25">
      <c r="A213" s="177"/>
    </row>
    <row r="214" spans="1:29" ht="30.75" customHeight="1" x14ac:dyDescent="0.2">
      <c r="A214" s="18" t="str">
        <f>IF(C214="","",CONCATENATE(C215,[1]AB5!$A$4))</f>
        <v>S7A</v>
      </c>
      <c r="B214" s="20" t="str">
        <f>IF(C214="","",IF([1]AB5!$B$4="","",[1]AB5!$B$4))</f>
        <v>Sr. No.</v>
      </c>
      <c r="C214" s="172">
        <v>7</v>
      </c>
      <c r="D214" s="173" t="str">
        <f>IF(C214="","",[1]AB5!$D$4)</f>
        <v>BULL / BULL CF</v>
      </c>
      <c r="E214" s="57" t="str">
        <f>IF(C214="","",[1]AB5!$F$4)</f>
        <v>BUY</v>
      </c>
      <c r="F214" s="58" t="str">
        <f>IF(C214="","",[1]AB5!$G$4)</f>
        <v>E &amp; T</v>
      </c>
      <c r="G214" s="25" t="str">
        <f t="array" ref="G214">IF(C214="","",CONCATENATE(INDEX([1]AB4!G:G,MATCH(A214,[1]AB4!B:B,0)),INDEX([1]AB4!H:H,MATCH(A214,[1]AB4!B:B,0)),TEXT(INDEX([1]AB4!I:I,MATCH(A214,[1]AB4!B:B,0)),"0.00%")))</f>
        <v>FUT : PRV : 2DHH + 0.00%</v>
      </c>
      <c r="H214" s="26">
        <f t="array" ref="H214">IF(C214="","",INDEX([1]AB4!J:J,MATCH(A214,[1]AB4!B:B,0)))</f>
        <v>5</v>
      </c>
      <c r="I214" s="27"/>
      <c r="J214" s="28" t="str">
        <f t="array" ref="J214">IF(C214="","",CONCATENATE(INDEX([1]AB4!L:L,MATCH(A214,[1]AB4!B:B,0)),INDEX([1]AB4!M:M,MATCH(A214,[1]AB4!B:B,0)),TEXT(INDEX([1]AB4!N:N,MATCH(A214,[1]AB4!B:B,0)),"0.00%")))</f>
        <v>L : Entry  + 3.00%</v>
      </c>
      <c r="K214" s="26">
        <f t="array" ref="K214">IF(C214="","",INDEX([1]AB4!O:O,MATCH(A214,[1]AB4!B:B,0)))</f>
        <v>1</v>
      </c>
      <c r="L214" s="27"/>
      <c r="M214" s="28" t="str">
        <f t="array" ref="M214">IF(C214="","",CONCATENATE(INDEX([1]AB4!L:L,MATCH(A214,[1]AB4!B:B,0)),INDEX([1]AB4!M:M,MATCH(A214,[1]AB4!B:B,0)),TEXT(INDEX([1]AB4!P:P,MATCH(A214,[1]AB4!B:B,0)),"0.00%")))</f>
        <v>L : Entry  + 4.50%</v>
      </c>
      <c r="N214" s="26">
        <f t="array" ref="N214">IF(C214="","",INDEX([1]AB4!Q:Q,MATCH(A214,[1]AB4!B:B,0)))</f>
        <v>1</v>
      </c>
      <c r="O214" s="27"/>
      <c r="P214" s="28" t="str">
        <f t="array" ref="P214">IF(C214="","",CONCATENATE(INDEX([1]AB4!L:L,MATCH(A214,[1]AB4!B:B,0)),INDEX([1]AB4!M:M,MATCH(A214,[1]AB4!B:B,0)),TEXT(INDEX([1]AB4!R:R,MATCH(A214,[1]AB4!B:B,0)),"0.00%")))</f>
        <v>L : Entry  + 6.00%</v>
      </c>
      <c r="Q214" s="26">
        <f t="array" ref="Q214">IF(C214="","",INDEX([1]AB4!S:S,MATCH(A214,[1]AB4!B:B,0)))</f>
        <v>1</v>
      </c>
      <c r="R214" s="27"/>
      <c r="S214" s="28" t="str">
        <f t="array" ref="S214">IF(C214="","",CONCATENATE(INDEX([1]AB4!L:L,MATCH(A214,[1]AB4!B:B,0)),INDEX([1]AB4!M:M,MATCH(A214,[1]AB4!B:B,0)),TEXT(INDEX([1]AB4!T:T,MATCH(A214,[1]AB4!B:B,0)),"0.00%")))</f>
        <v>L : Entry  + 8.00%</v>
      </c>
      <c r="T214" s="26">
        <f t="array" ref="T214">IF(C214="","",INDEX([1]AB4!U:U,MATCH(A214,[1]AB4!B:B,0)))</f>
        <v>1</v>
      </c>
      <c r="U214" s="27"/>
      <c r="V214" s="28" t="str">
        <f t="array" ref="V214">IF(C214="","",INDEX([1]AB4!V:V,MATCH(A214,[1]AB4!B:B,0)))</f>
        <v>TR PROFIT AFTER TGT 4</v>
      </c>
      <c r="W214" s="26">
        <f t="array" ref="W214">IF(C214="","",INDEX([1]AB4!W:W,MATCH(A214,[1]AB4!B:B,0)))</f>
        <v>1</v>
      </c>
      <c r="X214" s="27"/>
      <c r="Y214" s="28" t="str">
        <f t="array" ref="Y214">IF(C214="","",INDEX([1]AB4!X:X,MATCH(A214,[1]AB4!B:B,0)))</f>
        <v>N.A.</v>
      </c>
      <c r="Z214" s="26" t="str">
        <f t="array" ref="Z214">IF(C214="","",INDEX([1]AB4!Y:Y,MATCH(A214,[1]AB4!B:B,0)))</f>
        <v>N.A.</v>
      </c>
      <c r="AA214" s="29"/>
      <c r="AB214" s="30"/>
      <c r="AC214" s="30"/>
    </row>
    <row r="215" spans="1:29" ht="44.25" customHeight="1" thickBot="1" x14ac:dyDescent="0.25">
      <c r="A215" s="18" t="str">
        <f>IF(C214="","",CONCATENATE(C215,[1]AB5!$A$5))</f>
        <v>S7A</v>
      </c>
      <c r="B215" s="31" t="str">
        <f>IF(C214="","",IF([1]AB5!$B$5="","",[1]AB5!$B$5))</f>
        <v>Strategy Code</v>
      </c>
      <c r="C215" s="54" t="str">
        <f t="array" ref="C215">IF(C214="","",INDEX([1]AB2!B:B,MATCH(C214,[1]AB2!A:A,0)))</f>
        <v>S7</v>
      </c>
      <c r="D215" s="59"/>
      <c r="E215" s="60"/>
      <c r="F215" s="61" t="str">
        <f>IF(C214="","",[1]AB5!$G$5)</f>
        <v>SL / TRP</v>
      </c>
      <c r="G215" s="36" t="str">
        <f t="array" ref="G215">IF(C214="","",CONCATENATE(INDEX([1]AB4!AA:AA,MATCH(A215,[1]AB4!B:B,0))," ( ",INDEX([1]AB4!AE:AE,MATCH(A215,[1]AB4!B:B,0)),INDEX([1]AB4!AF:AF,MATCH(A215,[1]AB4!B:B,0)),TEXT(INDEX([1]AB4!AG:AG,MATCH(A215,[1]AB4!B:B,0)),"0.00%")," or ",INDEX([1]AB4!AK:AK,MATCH(A215,[1]AB4!B:B,0)),INDEX([1]AB4!AJ:AJ,MATCH(A215,[1]AB4!B:B,0)),TEXT(INDEX([1]AB4!AL:AL,MATCH(A215,[1]AB4!B:B,0)),"0.00%")," )"))</f>
        <v>Max ( L : Entry - 3.00% or FUT : PRV : PW&amp;CWLL - 1.00% )</v>
      </c>
      <c r="H215" s="37">
        <f t="array" ref="H215">IF(C215="","",INDEX([1]AB4!AM:AM,MATCH(A215,[1]AB4!B:B,0)))</f>
        <v>5</v>
      </c>
      <c r="I215" s="38"/>
      <c r="J215" s="36" t="str">
        <f t="array" ref="J215">IF(C214="","",CONCATENATE(INDEX([1]AB4!AA:AA,MATCH(A215,[1]AB4!B:B,0))," ( ",INDEX([1]AB4!AE:AE,MATCH(A215,[1]AB4!B:B,0))," or ",INDEX([1]AB4!AN:AN,MATCH(A215,[1]AB4!B:B,0)),INDEX([1]AB4!AJ:AJ,MATCH(A215,[1]AB4!B:B,0)),TEXT(INDEX([1]AB4!AO:AO,MATCH(A215,[1]AB4!B:B,0)),"0.00%")," )"))</f>
        <v>Max ( L : Entry or FUT : PRV : PW&amp;CWLL - 1.00% )</v>
      </c>
      <c r="K215" s="37">
        <f t="array" ref="K215">IF(C214="","",INDEX([1]AB4!AP:AP,MATCH(A215,[1]AB4!B:B,0)))</f>
        <v>4</v>
      </c>
      <c r="L215" s="38"/>
      <c r="M215" s="36" t="str">
        <f t="array" ref="M215">IF(C214="","",CONCATENATE(INDEX([1]AB4!AA:AA,MATCH(A215,[1]AB4!B:B,0))," ( ",INDEX([1]AB4!AE:AE,MATCH(A215,[1]AB4!B:B,0))," or ",INDEX([1]AB4!AQ:AQ,MATCH(A215,[1]AB4!B:B,0)),INDEX([1]AB4!AJ:AJ,MATCH(A215,[1]AB4!B:B,0)),TEXT(INDEX([1]AB4!AR:AR,MATCH(A215,[1]AB4!B:B,0)),"0.00%")," )"))</f>
        <v>Max ( L : Entry or FUT : PRV : PW&amp;CWLL - 1.00% )</v>
      </c>
      <c r="N215" s="37">
        <f t="array" ref="N215">IF(C215="","",INDEX([1]AB4!AS:AS,MATCH(A215,[1]AB4!B:B,0)))</f>
        <v>3</v>
      </c>
      <c r="O215" s="38"/>
      <c r="P215" s="36" t="str">
        <f t="array" ref="P215">IF(C214="","",CONCATENATE(INDEX([1]AB4!AA:AA,MATCH(A215,[1]AB4!B:B,0))," ( ",INDEX([1]AB4!AE:AE,MATCH(A215,[1]AB4!B:B,0))," or ",INDEX([1]AB4!AT:AT,MATCH(A215,[1]AB4!B:B,0)),INDEX([1]AB4!AJ:AJ,MATCH(A215,[1]AB4!B:B,0)),TEXT(INDEX([1]AB4!AU:AU,MATCH(A215,[1]AB4!B:B,0)),"0.00%")," )"))</f>
        <v>Max ( L : Entry or FUT : PRV : PW&amp;CWLL - 1.00% )</v>
      </c>
      <c r="Q215" s="37">
        <f t="array" ref="Q215">IF(C215="","",INDEX([1]AB4!AV:AV,MATCH(A215,[1]AB4!B:B,0)))</f>
        <v>2</v>
      </c>
      <c r="R215" s="38"/>
      <c r="S215" s="36" t="str">
        <f t="array" ref="S215">IF(C214="","",CONCATENATE(INDEX([1]AB4!AA:AA,MATCH(A215,[1]AB4!B:B,0))," ( ",INDEX([1]AB4!AE:AE,MATCH(A215,[1]AB4!B:B,0))," or ",INDEX([1]AB4!AW:AW,MATCH(A215,[1]AB4!B:B,0)),INDEX([1]AB4!AJ:AJ,MATCH(A215,[1]AB4!B:B,0)),TEXT(INDEX([1]AB4!AX:AX,MATCH(A215,[1]AB4!B:B,0)),"0.00%")," )"))</f>
        <v>Max ( L : Entry or FUT : PRV : PW&amp;CWLL - 1.00% )</v>
      </c>
      <c r="T215" s="37">
        <f t="array" ref="T215">IF(C214="","",INDEX([1]AB4!AY:AY,MATCH(A215,[1]AB4!B:B,0)))</f>
        <v>1</v>
      </c>
      <c r="U215" s="38"/>
      <c r="V215" s="36" t="str">
        <f t="array" ref="V215">IF(C214="","",CONCATENATE(INDEX([1]AB4!AA:AA,MATCH(A215,[1]AB4!B:B,0))," ( ",INDEX([1]AB4!AE:AE,MATCH(A215,[1]AB4!B:B,0))," or ",INDEX([1]AB4!AW:AW,MATCH(A215,[1]AB4!B:B,0)),INDEX([1]AB4!AJ:AJ,MATCH(A215,[1]AB4!B:B,0)),TEXT(INDEX([1]AB4!AX:AX,MATCH(A215,[1]AB4!B:B,0)),"0.00%")," )"))</f>
        <v>Max ( L : Entry or FUT : PRV : PW&amp;CWLL - 1.00% )</v>
      </c>
      <c r="W215" s="37">
        <f t="array" ref="W215">IF(C214="","",INDEX([1]AB4!AY:AY,MATCH(A215,[1]AB4!B:B,0)))</f>
        <v>1</v>
      </c>
      <c r="X215" s="38"/>
      <c r="Y215" s="40">
        <f t="array" ref="Y215">IF(C214="","",INDEX([1]AB4!AZ:AZ,MATCH(A215,[1]AB4!B:B,0)))</f>
        <v>0</v>
      </c>
      <c r="Z215" s="37">
        <f t="array" ref="Z215">IF(C214="","",INDEX([1]AB4!BB:BB,MATCH(A215,[1]AB4!B:B,0)))</f>
        <v>0</v>
      </c>
      <c r="AA215" s="41"/>
      <c r="AB215" s="30"/>
      <c r="AC215" s="30"/>
    </row>
    <row r="216" spans="1:29" ht="6" customHeight="1" thickBot="1" x14ac:dyDescent="0.25">
      <c r="A216" s="18" t="str">
        <f>IF(C214="","",CONCATENATE(C215,[1]AB5!A226))</f>
        <v>S7</v>
      </c>
      <c r="B216" s="42" t="str">
        <f>IF(C214="","",IF([1]AB5!$B$6="","",[1]AB5!$B$6))</f>
        <v>Unique Code</v>
      </c>
      <c r="C216" s="174" t="str">
        <f t="array" ref="C216">IF(C214="","",INDEX([1]AB2!N:N,MATCH(C214,[1]AB2!A:A,0)))</f>
        <v>STOCKS_FUT_MT_DIFF_2D_PW&amp;CW</v>
      </c>
      <c r="D216" s="59"/>
      <c r="E216" s="44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6"/>
      <c r="AB216" s="30"/>
      <c r="AC216" s="30"/>
    </row>
    <row r="217" spans="1:29" ht="30.75" customHeight="1" x14ac:dyDescent="0.2">
      <c r="A217" s="18" t="str">
        <f>IF(C214="","",CONCATENATE(C215,[1]AB5!$A$7))</f>
        <v>S7B</v>
      </c>
      <c r="B217" s="47"/>
      <c r="C217" s="175"/>
      <c r="D217" s="59"/>
      <c r="E217" s="65" t="str">
        <f>IF(C214="","",[1]AB5!$F$7)</f>
        <v>SELL</v>
      </c>
      <c r="F217" s="58" t="str">
        <f>IF(C214="","",[1]AB5!$G$7)</f>
        <v>E &amp; T</v>
      </c>
      <c r="G217" s="25" t="str">
        <f t="array" ref="G217">IF(C214="","",CONCATENATE(INDEX([1]AB4!G:G,MATCH(A217,[1]AB4!B:B,0)),INDEX([1]AB4!H:H,MATCH(A217,[1]AB4!B:B,0)),TEXT(INDEX([1]AB4!I:I,MATCH(A217,[1]AB4!B:B,0)),"0.00%")))</f>
        <v>FUT : PRV : PW&amp;CWLL - 1.00%</v>
      </c>
      <c r="H217" s="26">
        <f t="array" ref="H217">IF(C214="","",INDEX([1]AB4!J:J,MATCH(A217,[1]AB4!B:B,0)))</f>
        <v>5</v>
      </c>
      <c r="I217" s="27"/>
      <c r="J217" s="28" t="str">
        <f t="array" ref="J217">IF(C214="","",CONCATENATE(INDEX([1]AB4!L:L,MATCH(A217,[1]AB4!B:B,0)),INDEX([1]AB4!M:M,MATCH(A217,[1]AB4!B:B,0)),TEXT(INDEX([1]AB4!N:N,MATCH(A217,[1]AB4!B:B,0)),"0.00%")))</f>
        <v>S : Entry  - 3.00%</v>
      </c>
      <c r="K217" s="26">
        <f t="array" ref="K217">IF(C214="","",INDEX([1]AB4!O:O,MATCH(A217,[1]AB4!B:B,0)))</f>
        <v>1</v>
      </c>
      <c r="L217" s="27"/>
      <c r="M217" s="28" t="str">
        <f t="array" ref="M217">IF(C214="","",CONCATENATE(INDEX([1]AB4!L:L,MATCH(A217,[1]AB4!B:B,0)),INDEX([1]AB4!M:M,MATCH(A217,[1]AB4!B:B,0)),TEXT(INDEX([1]AB4!P:P,MATCH(A217,[1]AB4!B:B,0)),"0.00%")))</f>
        <v>S : Entry  - 4.50%</v>
      </c>
      <c r="N217" s="26">
        <f t="array" ref="N217">IF(C214="","",INDEX([1]AB4!Q:Q,MATCH(A217,[1]AB4!B:B,0)))</f>
        <v>1</v>
      </c>
      <c r="O217" s="27"/>
      <c r="P217" s="28" t="str">
        <f t="array" ref="P217">IF(C214="","",CONCATENATE(INDEX([1]AB4!L:L,MATCH(A217,[1]AB4!B:B,0)),INDEX([1]AB4!M:M,MATCH(A217,[1]AB4!B:B,0)),TEXT(INDEX([1]AB4!R:R,MATCH(A217,[1]AB4!B:B,0)),"0.00%")))</f>
        <v>S : Entry  - 6.00%</v>
      </c>
      <c r="Q217" s="26">
        <f t="array" ref="Q217">IF(C214="","",INDEX([1]AB4!S:S,MATCH(A217,[1]AB4!B:B,0)))</f>
        <v>1</v>
      </c>
      <c r="R217" s="27"/>
      <c r="S217" s="28" t="str">
        <f t="array" ref="S217">IF(C214="","",CONCATENATE(INDEX([1]AB4!L:L,MATCH(A217,[1]AB4!B:B,0)),INDEX([1]AB4!M:M,MATCH(A217,[1]AB4!B:B,0)),TEXT(INDEX([1]AB4!T:T,MATCH(A217,[1]AB4!B:B,0)),"0.00%")))</f>
        <v>S : Entry  - 8.00%</v>
      </c>
      <c r="T217" s="26">
        <f t="array" ref="T217">IF(C214="","",INDEX([1]AB4!U:U,MATCH(A217,[1]AB4!B:B,0)))</f>
        <v>1</v>
      </c>
      <c r="U217" s="27"/>
      <c r="V217" s="28" t="str">
        <f t="array" ref="V217">IF(C214="","",INDEX([1]AB4!V:V,MATCH(A217,[1]AB4!B:B,0)))</f>
        <v>TR PROFIT AFTER TGT 4</v>
      </c>
      <c r="W217" s="26">
        <f t="array" ref="W217">IF(C214="","",INDEX([1]AB4!W:W,MATCH(A217,[1]AB4!B:B,0)))</f>
        <v>1</v>
      </c>
      <c r="X217" s="27"/>
      <c r="Y217" s="28" t="str">
        <f t="array" ref="Y217">IF(C214="","",INDEX([1]AB4!X:X,MATCH(A217,[1]AB4!B:B,0)))</f>
        <v>N.A.</v>
      </c>
      <c r="Z217" s="26" t="str">
        <f t="array" ref="Z217">IF(C214="","",INDEX([1]AB4!Y:Y,MATCH(A217,[1]AB4!B:B,0)))</f>
        <v>N.A.</v>
      </c>
      <c r="AA217" s="29"/>
      <c r="AB217" s="30"/>
      <c r="AC217" s="30"/>
    </row>
    <row r="218" spans="1:29" ht="44.25" customHeight="1" thickBot="1" x14ac:dyDescent="0.25">
      <c r="A218" s="18" t="str">
        <f>IF(C214="","",CONCATENATE(C215,[1]AB5!$A$8))</f>
        <v>S7B</v>
      </c>
      <c r="B218" s="50"/>
      <c r="C218" s="176"/>
      <c r="D218" s="66"/>
      <c r="E218" s="60"/>
      <c r="F218" s="61" t="str">
        <f>IF(C214="","",[1]AB5!$G$8)</f>
        <v>SL / TRP</v>
      </c>
      <c r="G218" s="36" t="str">
        <f t="array" ref="G218">IF(C214="","",CONCATENATE(INDEX([1]AB4!AA:AA,MATCH(A218,[1]AB4!B:B,0))," ( ",INDEX([1]AB4!AE:AE,MATCH(A218,[1]AB4!B:B,0)),INDEX([1]AB4!AF:AF,MATCH(A218,[1]AB4!B:B,0)),TEXT(INDEX([1]AB4!AG:AG,MATCH(A218,[1]AB4!B:B,0)),"0.00%")," or ",INDEX([1]AB4!AK:AK,MATCH(A218,[1]AB4!B:B,0)),INDEX([1]AB4!AJ:AJ,MATCH(A218,[1]AB4!B:B,0)),TEXT(INDEX([1]AB4!AL:AL,MATCH(A218,[1]AB4!B:B,0)),"0.00%")," )"))</f>
        <v>Min ( S : Entry + 3.00% or FUT : PRV : 2DHH + 0.00% )</v>
      </c>
      <c r="H218" s="37">
        <f t="array" ref="H218">IF(C214="","",INDEX([1]AB4!AM:AM,MATCH(A218,[1]AB4!B:B,0)))</f>
        <v>5</v>
      </c>
      <c r="I218" s="38"/>
      <c r="J218" s="36" t="str">
        <f t="array" ref="J218">IF(C214="","",CONCATENATE(INDEX([1]AB4!AA:AA,MATCH(A218,[1]AB4!B:B,0))," ( ",INDEX([1]AB4!AE:AE,MATCH(A218,[1]AB4!B:B,0))," or ",INDEX([1]AB4!AN:AN,MATCH(A218,[1]AB4!B:B,0)),INDEX([1]AB4!AJ:AJ,MATCH(A218,[1]AB4!B:B,0)),TEXT(INDEX([1]AB4!AO:AO,MATCH(A218,[1]AB4!B:B,0)),"0.00%")," )"))</f>
        <v>Min ( S : Entry or FUT : PRV : 2DHH + 0.00% )</v>
      </c>
      <c r="K218" s="37">
        <f t="array" ref="K218">IF(C214="","",INDEX([1]AB4!AP:AP,MATCH(A218,[1]AB4!B:B,0)))</f>
        <v>4</v>
      </c>
      <c r="L218" s="38"/>
      <c r="M218" s="36" t="str">
        <f t="array" ref="M218">IF(C214="","",CONCATENATE(INDEX([1]AB4!AA:AA,MATCH(A218,[1]AB4!B:B,0))," ( ",INDEX([1]AB4!AE:AE,MATCH(A218,[1]AB4!B:B,0))," or ",INDEX([1]AB4!AQ:AQ,MATCH(A218,[1]AB4!B:B,0)),INDEX([1]AB4!AJ:AJ,MATCH(A218,[1]AB4!B:B,0)),TEXT(INDEX([1]AB4!AR:AR,MATCH(A218,[1]AB4!B:B,0)),"0.00%")," )"))</f>
        <v>Min ( S : Entry or FUT : PRV : 2DHH + 0.00% )</v>
      </c>
      <c r="N218" s="37">
        <f t="array" ref="N218">IF(C214="","",INDEX([1]AB4!AS:AS,MATCH(A218,[1]AB4!B:B,0)))</f>
        <v>3</v>
      </c>
      <c r="O218" s="38"/>
      <c r="P218" s="36" t="str">
        <f t="array" ref="P218">IF(C214="","",CONCATENATE(INDEX([1]AB4!AA:AA,MATCH(A218,[1]AB4!B:B,0))," ( ",INDEX([1]AB4!AE:AE,MATCH(A218,[1]AB4!B:B,0))," or ",INDEX([1]AB4!AT:AT,MATCH(A218,[1]AB4!B:B,0)),INDEX([1]AB4!AJ:AJ,MATCH(A218,[1]AB4!B:B,0)),TEXT(INDEX([1]AB4!AU:AU,MATCH(A218,[1]AB4!B:B,0)),"0.00%")," )"))</f>
        <v>Min ( S : Entry or FUT : PRV : 2DHH + 0.00% )</v>
      </c>
      <c r="Q218" s="37">
        <f t="array" ref="Q218">IF(C214="","",INDEX([1]AB4!AV:AV,MATCH(A218,[1]AB4!B:B,0)))</f>
        <v>2</v>
      </c>
      <c r="R218" s="38"/>
      <c r="S218" s="36" t="str">
        <f t="array" ref="S218">IF(C214="","",CONCATENATE(INDEX([1]AB4!AA:AA,MATCH(A218,[1]AB4!B:B,0))," ( ",INDEX([1]AB4!AE:AE,MATCH(A218,[1]AB4!B:B,0))," or ",INDEX([1]AB4!AW:AW,MATCH(A218,[1]AB4!B:B,0)),INDEX([1]AB4!AJ:AJ,MATCH(A218,[1]AB4!B:B,0)),TEXT(INDEX([1]AB4!AX:AX,MATCH(A218,[1]AB4!B:B,0)),"0.00%")," )"))</f>
        <v>Min ( S : Entry or FUT : PRV : 2DHH + 0.00% )</v>
      </c>
      <c r="T218" s="37">
        <f t="array" ref="T218">IF(C214="","",INDEX([1]AB4!AY:AY,MATCH(A218,[1]AB4!B:B,0)))</f>
        <v>1</v>
      </c>
      <c r="U218" s="38"/>
      <c r="V218" s="36" t="str">
        <f t="array" ref="V218">IF(C214="","",CONCATENATE(INDEX([1]AB4!AA:AA,MATCH(A218,[1]AB4!B:B,0))," ( ",INDEX([1]AB4!AE:AE,MATCH(A218,[1]AB4!B:B,0))," or ",INDEX([1]AB4!AW:AW,MATCH(A218,[1]AB4!B:B,0)),INDEX([1]AB4!AJ:AJ,MATCH(A218,[1]AB4!B:B,0)),TEXT(INDEX([1]AB4!AX:AX,MATCH(A218,[1]AB4!B:B,0)),"0.00%")," )"))</f>
        <v>Min ( S : Entry or FUT : PRV : 2DHH + 0.00% )</v>
      </c>
      <c r="W218" s="37">
        <f t="array" ref="W218">IF(C214="","",INDEX([1]AB4!AY:AY,MATCH(A218,[1]AB4!B:B,0)))</f>
        <v>1</v>
      </c>
      <c r="X218" s="38"/>
      <c r="Y218" s="40">
        <f t="array" ref="Y218">IF(C214="","",INDEX([1]AB4!AZ:AZ,MATCH(A218,[1]AB4!B:B,0)))</f>
        <v>0</v>
      </c>
      <c r="Z218" s="37">
        <f t="array" ref="Z218">IF(C214="","",INDEX([1]AB4!BB:BB,MATCH(A218,[1]AB4!B:B,0)))</f>
        <v>0</v>
      </c>
      <c r="AA218" s="41"/>
      <c r="AB218" s="30"/>
      <c r="AC218" s="30"/>
    </row>
    <row r="219" spans="1:29" ht="19.5" customHeight="1" thickBot="1" x14ac:dyDescent="0.25">
      <c r="A219" s="18" t="str">
        <f>IF(C214="","",CONCATENATE(C215,[1]AB5!$A$9))</f>
        <v>S7C</v>
      </c>
      <c r="B219" s="31" t="str">
        <f>IF(C214="","",IF([1]AB5!$B$9="","",[1]AB5!$B$9))</f>
        <v>Segment</v>
      </c>
      <c r="C219" s="54" t="str">
        <f t="array" ref="C219">IF(C214="","",INDEX([1]AB2!C:C,MATCH(C214,[1]AB2!A:A,0)))</f>
        <v>FUTURES</v>
      </c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30"/>
      <c r="AC219" s="30"/>
    </row>
    <row r="220" spans="1:29" ht="30.75" customHeight="1" x14ac:dyDescent="0.2">
      <c r="A220" s="18" t="str">
        <f>IF(C214="","",CONCATENATE(C215,[1]AB5!$A$10))</f>
        <v>S7D</v>
      </c>
      <c r="B220" s="31" t="str">
        <f>IF(C214="","",IF([1]AB5!$B$10="","",[1]AB5!$B$10))</f>
        <v>Symbol</v>
      </c>
      <c r="C220" s="54" t="str">
        <f t="array" ref="C220">IF(C214="","",INDEX([1]AB2!E:E,MATCH(C214,[1]AB2!A:A,0)))</f>
        <v>STOCKS</v>
      </c>
      <c r="D220" s="56" t="str">
        <f>IF(C214="","",IF(C214="","",[1]AB5!$D$10))</f>
        <v>BEAR / BEAR CF</v>
      </c>
      <c r="E220" s="57" t="str">
        <f>IF(C214="","",[1]AB5!$F$10)</f>
        <v>BUY</v>
      </c>
      <c r="F220" s="58" t="str">
        <f>IF(C214="","",[1]AB5!$G$10)</f>
        <v>E &amp; T</v>
      </c>
      <c r="G220" s="25" t="str">
        <f t="array" ref="G220">IF(C214="","",CONCATENATE(INDEX([1]AB4!G:G,MATCH(A220,[1]AB4!B:B,0)),INDEX([1]AB4!H:H,MATCH(A220,[1]AB4!B:B,0)),TEXT(INDEX([1]AB4!I:I,MATCH(A220,[1]AB4!B:B,0)),"0.00%")))</f>
        <v>FUT : PRV : PW&amp;CWHH + 1.00%</v>
      </c>
      <c r="H220" s="26">
        <f t="array" ref="H220">IF(C214="","",INDEX([1]AB4!J:J,MATCH(A220,[1]AB4!B:B,0)))</f>
        <v>5</v>
      </c>
      <c r="I220" s="27"/>
      <c r="J220" s="28" t="str">
        <f t="array" ref="J220">IF(C214="","",CONCATENATE(INDEX([1]AB4!L:L,MATCH(A220,[1]AB4!B:B,0)),INDEX([1]AB4!M:M,MATCH(A220,[1]AB4!B:B,0)),TEXT(INDEX([1]AB4!N:N,MATCH(A220,[1]AB4!B:B,0)),"0.00%")))</f>
        <v>L : Entry  + 3.00%</v>
      </c>
      <c r="K220" s="26">
        <f t="array" ref="K220">IF(C214="","",INDEX([1]AB4!O:O,MATCH(A220,[1]AB4!B:B,0)))</f>
        <v>1</v>
      </c>
      <c r="L220" s="27"/>
      <c r="M220" s="28" t="str">
        <f t="array" ref="M220">IF(C214="","",CONCATENATE(INDEX([1]AB4!L:L,MATCH(A220,[1]AB4!B:B,0)),INDEX([1]AB4!M:M,MATCH(A220,[1]AB4!B:B,0)),TEXT(INDEX([1]AB4!P:P,MATCH(A220,[1]AB4!B:B,0)),"0.00%")))</f>
        <v>L : Entry  + 4.50%</v>
      </c>
      <c r="N220" s="26">
        <f t="array" ref="N220">IF(C214="","",INDEX([1]AB4!Q:Q,MATCH(A220,[1]AB4!B:B,0)))</f>
        <v>1</v>
      </c>
      <c r="O220" s="27"/>
      <c r="P220" s="28" t="str">
        <f t="array" ref="P220">IF(C214="","",CONCATENATE(INDEX([1]AB4!L:L,MATCH(A220,[1]AB4!B:B,0)),INDEX([1]AB4!M:M,MATCH(A220,[1]AB4!B:B,0)),TEXT(INDEX([1]AB4!R:R,MATCH(A220,[1]AB4!B:B,0)),"0.00%")))</f>
        <v>L : Entry  + 6.00%</v>
      </c>
      <c r="Q220" s="26">
        <f t="array" ref="Q220">IF(C214="","",INDEX([1]AB4!S:S,MATCH(A220,[1]AB4!B:B,0)))</f>
        <v>1</v>
      </c>
      <c r="R220" s="27"/>
      <c r="S220" s="28" t="str">
        <f t="array" ref="S220">IF(C214="","",CONCATENATE(INDEX([1]AB4!L:L,MATCH(A220,[1]AB4!B:B,0)),INDEX([1]AB4!M:M,MATCH(A220,[1]AB4!B:B,0)),TEXT(INDEX([1]AB4!T:T,MATCH(A220,[1]AB4!B:B,0)),"0.00%")))</f>
        <v>L : Entry  + 8.00%</v>
      </c>
      <c r="T220" s="26">
        <f t="array" ref="T220">IF(C214="","",INDEX([1]AB4!U:U,MATCH(A220,[1]AB4!B:B,0)))</f>
        <v>1</v>
      </c>
      <c r="U220" s="27"/>
      <c r="V220" s="28" t="str">
        <f t="array" ref="V220">IF(C214="","",INDEX([1]AB4!V:V,MATCH(A220,[1]AB4!B:B,0)))</f>
        <v>TR PROFIT AFTER TGT 4</v>
      </c>
      <c r="W220" s="26">
        <f t="array" ref="W220">IF(C214="","",INDEX([1]AB4!W:W,MATCH(A220,[1]AB4!B:B,0)))</f>
        <v>1</v>
      </c>
      <c r="X220" s="27"/>
      <c r="Y220" s="28" t="str">
        <f t="array" ref="Y220">IF(C214="","",INDEX([1]AB4!X:X,MATCH(A220,[1]AB4!B:B,0)))</f>
        <v>N.A.</v>
      </c>
      <c r="Z220" s="26" t="str">
        <f t="array" ref="Z220">IF(C214="","",INDEX([1]AB4!Y:Y,MATCH(A220,[1]AB4!B:B,0)))</f>
        <v>N.A.</v>
      </c>
      <c r="AA220" s="29"/>
      <c r="AB220" s="30"/>
      <c r="AC220" s="30"/>
    </row>
    <row r="221" spans="1:29" ht="44.25" customHeight="1" thickBot="1" x14ac:dyDescent="0.25">
      <c r="A221" s="18" t="str">
        <f>IF(C214="","",CONCATENATE(C215,[1]AB5!$A$11))</f>
        <v>S7D</v>
      </c>
      <c r="B221" s="31" t="str">
        <f>IF(C214="","",IF([1]AB5!$B$11="","",[1]AB5!$B$11))</f>
        <v>No. of TGT</v>
      </c>
      <c r="C221" s="54" t="str">
        <f t="array" ref="C221">IF(C214="","",INDEX([1]AB2!K:K,MATCH(C214,[1]AB2!A:A,0)))</f>
        <v>4 &amp; APS</v>
      </c>
      <c r="D221" s="59"/>
      <c r="E221" s="60"/>
      <c r="F221" s="61" t="str">
        <f>IF(C214="","",[1]AB5!$G$11)</f>
        <v>SL / TRP</v>
      </c>
      <c r="G221" s="36" t="str">
        <f t="array" ref="G221">IF(C214="","",CONCATENATE(INDEX([1]AB4!AA:AA,MATCH(A221,[1]AB4!B:B,0))," ( ",INDEX([1]AB4!AE:AE,MATCH(A221,[1]AB4!B:B,0)),INDEX([1]AB4!AF:AF,MATCH(A221,[1]AB4!B:B,0)),TEXT(INDEX([1]AB4!AG:AG,MATCH(A221,[1]AB4!B:B,0)),"0.00%")," or ",INDEX([1]AB4!AK:AK,MATCH(A221,[1]AB4!B:B,0)),INDEX([1]AB4!AJ:AJ,MATCH(A221,[1]AB4!B:B,0)),TEXT(INDEX([1]AB4!AL:AL,MATCH(A221,[1]AB4!B:B,0)),"0.00%")," )"))</f>
        <v>Max ( L : Entry - 3.00% or FUT : PRV : 2DLL - 0.00% )</v>
      </c>
      <c r="H221" s="37">
        <f t="array" ref="H221">IF(C214="","",INDEX([1]AB4!AM:AM,MATCH(A221,[1]AB4!B:B,0)))</f>
        <v>5</v>
      </c>
      <c r="I221" s="38"/>
      <c r="J221" s="36" t="str">
        <f t="array" ref="J221">IF(C214="","",CONCATENATE(INDEX([1]AB4!AA:AA,MATCH(A221,[1]AB4!B:B,0))," ( ",INDEX([1]AB4!AE:AE,MATCH(A221,[1]AB4!B:B,0))," or ",INDEX([1]AB4!AN:AN,MATCH(A221,[1]AB4!B:B,0)),INDEX([1]AB4!AJ:AJ,MATCH(A221,[1]AB4!B:B,0)),TEXT(INDEX([1]AB4!AO:AO,MATCH(A221,[1]AB4!B:B,0)),"0.00%")," )"))</f>
        <v>Max ( L : Entry or FUT : PRV : 2DLL - 0.00% )</v>
      </c>
      <c r="K221" s="37">
        <f t="array" ref="K221">IF(C214="","",INDEX([1]AB4!AP:AP,MATCH(A221,[1]AB4!B:B,0)))</f>
        <v>4</v>
      </c>
      <c r="L221" s="38"/>
      <c r="M221" s="36" t="str">
        <f t="array" ref="M221">IF(C214="","",CONCATENATE(INDEX([1]AB4!AA:AA,MATCH(A221,[1]AB4!B:B,0))," ( ",INDEX([1]AB4!AE:AE,MATCH(A221,[1]AB4!B:B,0))," or ",INDEX([1]AB4!AQ:AQ,MATCH(A221,[1]AB4!B:B,0)),INDEX([1]AB4!AJ:AJ,MATCH(A221,[1]AB4!B:B,0)),TEXT(INDEX([1]AB4!AR:AR,MATCH(A221,[1]AB4!B:B,0)),"0.00%")," )"))</f>
        <v>Max ( L : Entry or FUT : PRV : 2DLL - 0.00% )</v>
      </c>
      <c r="N221" s="37">
        <f t="array" ref="N221">IF(C214="","",INDEX([1]AB4!AS:AS,MATCH(A221,[1]AB4!B:B,0)))</f>
        <v>3</v>
      </c>
      <c r="O221" s="38"/>
      <c r="P221" s="36" t="str">
        <f t="array" ref="P221">IF(C214="","",CONCATENATE(INDEX([1]AB4!AA:AA,MATCH(A221,[1]AB4!B:B,0))," ( ",INDEX([1]AB4!AE:AE,MATCH(A221,[1]AB4!B:B,0))," or ",INDEX([1]AB4!AT:AT,MATCH(A221,[1]AB4!B:B,0)),INDEX([1]AB4!AJ:AJ,MATCH(A221,[1]AB4!B:B,0)),TEXT(INDEX([1]AB4!AU:AU,MATCH(A221,[1]AB4!B:B,0)),"0.00%")," )"))</f>
        <v>Max ( L : Entry or FUT : PRV : 2DLL - 0.00% )</v>
      </c>
      <c r="Q221" s="37">
        <f t="array" ref="Q221">IF(C214="","",INDEX([1]AB4!AV:AV,MATCH(A221,[1]AB4!B:B,0)))</f>
        <v>2</v>
      </c>
      <c r="R221" s="38"/>
      <c r="S221" s="36" t="str">
        <f t="array" ref="S221">IF(C214="","",CONCATENATE(INDEX([1]AB4!AA:AA,MATCH(A221,[1]AB4!B:B,0))," ( ",INDEX([1]AB4!AE:AE,MATCH(A221,[1]AB4!B:B,0))," or ",INDEX([1]AB4!AW:AW,MATCH(A221,[1]AB4!B:B,0)),INDEX([1]AB4!AJ:AJ,MATCH(A221,[1]AB4!B:B,0)),TEXT(INDEX([1]AB4!AX:AX,MATCH(A221,[1]AB4!B:B,0)),"0.00%")," )"))</f>
        <v>Max ( L : Entry or FUT : PRV : 2DLL - 0.00% )</v>
      </c>
      <c r="T221" s="37">
        <f t="array" ref="T221">IF(C214="","",INDEX([1]AB4!AY:AY,MATCH(A221,[1]AB4!B:B,0)))</f>
        <v>1</v>
      </c>
      <c r="U221" s="38"/>
      <c r="V221" s="36" t="str">
        <f t="array" ref="V221">IF(C214="","",CONCATENATE(INDEX([1]AB4!AA:AA,MATCH(A221,[1]AB4!B:B,0))," ( ",INDEX([1]AB4!AE:AE,MATCH(A221,[1]AB4!B:B,0))," or ",INDEX([1]AB4!AW:AW,MATCH(A221,[1]AB4!B:B,0)),INDEX([1]AB4!AJ:AJ,MATCH(A221,[1]AB4!B:B,0)),TEXT(INDEX([1]AB4!AX:AX,MATCH(A221,[1]AB4!B:B,0)),"0.00%")," )"))</f>
        <v>Max ( L : Entry or FUT : PRV : 2DLL - 0.00% )</v>
      </c>
      <c r="W221" s="37">
        <f t="array" ref="W221">IF(C214="","",INDEX([1]AB4!AY:AY,MATCH(A221,[1]AB4!B:B,0)))</f>
        <v>1</v>
      </c>
      <c r="X221" s="38"/>
      <c r="Y221" s="40">
        <f t="array" ref="Y221">IF(C214="","",INDEX([1]AB4!AZ:AZ,MATCH(A221,[1]AB4!B:B,0)))</f>
        <v>0</v>
      </c>
      <c r="Z221" s="37">
        <f t="array" ref="Z221">IF(C214="","",INDEX([1]AB4!BB:BB,MATCH(A221,[1]AB4!B:B,0)))</f>
        <v>0</v>
      </c>
      <c r="AA221" s="41"/>
      <c r="AB221" s="30"/>
      <c r="AC221" s="30"/>
    </row>
    <row r="222" spans="1:29" ht="6" customHeight="1" thickBot="1" x14ac:dyDescent="0.25">
      <c r="A222" s="18" t="str">
        <f>IF(C214="","",CONCATENATE(C215,[1]AB5!A232))</f>
        <v>S7S1B</v>
      </c>
      <c r="B222" s="62" t="str">
        <f>IF(C214="","",IF([1]AB5!$B$12="","",[1]AB5!$B$12))</f>
        <v>Stay Blessed !!!</v>
      </c>
      <c r="C222" s="63"/>
      <c r="D222" s="59"/>
      <c r="E222" s="44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6"/>
      <c r="AB222" s="30"/>
      <c r="AC222" s="30"/>
    </row>
    <row r="223" spans="1:29" ht="30.75" customHeight="1" x14ac:dyDescent="0.2">
      <c r="A223" s="18" t="str">
        <f>IF(C214="","",CONCATENATE(C215,[1]AB5!$A$13))</f>
        <v>S7E</v>
      </c>
      <c r="B223" s="64"/>
      <c r="C223" s="59"/>
      <c r="D223" s="59"/>
      <c r="E223" s="65" t="str">
        <f>IF(C214="","",[1]AB5!$F$13)</f>
        <v>SELL</v>
      </c>
      <c r="F223" s="58" t="str">
        <f>IF(C214="","",[1]AB5!$G$13)</f>
        <v>E &amp; T</v>
      </c>
      <c r="G223" s="25" t="str">
        <f t="array" ref="G223">IF(C214="","",CONCATENATE(INDEX([1]AB4!G:G,MATCH(A223,[1]AB4!B:B,0)),INDEX([1]AB4!H:H,MATCH(A223,[1]AB4!B:B,0)),TEXT(INDEX([1]AB4!I:I,MATCH(A223,[1]AB4!B:B,0)),"0.00%")))</f>
        <v>FUT : PRV : 2DLL - 0.00%</v>
      </c>
      <c r="H223" s="26">
        <f t="array" ref="H223">IF(C214="","",INDEX([1]AB4!J:J,MATCH(A223,[1]AB4!B:B,0)))</f>
        <v>5</v>
      </c>
      <c r="I223" s="27"/>
      <c r="J223" s="28" t="str">
        <f t="array" ref="J223">IF(C214="","",CONCATENATE(INDEX([1]AB4!L:L,MATCH(A223,[1]AB4!B:B,0)),INDEX([1]AB4!M:M,MATCH(A223,[1]AB4!B:B,0)),TEXT(INDEX([1]AB4!N:N,MATCH(A223,[1]AB4!B:B,0)),"0.00%")))</f>
        <v>S : Entry  - 3.00%</v>
      </c>
      <c r="K223" s="26">
        <f t="array" ref="K223">IF(C214="","",INDEX([1]AB4!O:O,MATCH(A223,[1]AB4!B:B,0)))</f>
        <v>1</v>
      </c>
      <c r="L223" s="27"/>
      <c r="M223" s="28" t="str">
        <f t="array" ref="M223">IF(C214="","",CONCATENATE(INDEX([1]AB4!L:L,MATCH(A223,[1]AB4!B:B,0)),INDEX([1]AB4!M:M,MATCH(A223,[1]AB4!B:B,0)),TEXT(INDEX([1]AB4!P:P,MATCH(A223,[1]AB4!B:B,0)),"0.00%")))</f>
        <v>S : Entry  - 4.50%</v>
      </c>
      <c r="N223" s="26">
        <f t="array" ref="N223">IF(C214="","",INDEX([1]AB4!Q:Q,MATCH(A223,[1]AB4!B:B,0)))</f>
        <v>1</v>
      </c>
      <c r="O223" s="27"/>
      <c r="P223" s="28" t="str">
        <f t="array" ref="P223">IF(C214="","",CONCATENATE(INDEX([1]AB4!L:L,MATCH(A223,[1]AB4!B:B,0)),INDEX([1]AB4!M:M,MATCH(A223,[1]AB4!B:B,0)),TEXT(INDEX([1]AB4!R:R,MATCH(A223,[1]AB4!B:B,0)),"0.00%")))</f>
        <v>S : Entry  - 6.00%</v>
      </c>
      <c r="Q223" s="26">
        <f t="array" ref="Q223">IF(C214="","",INDEX([1]AB4!S:S,MATCH(A223,[1]AB4!B:B,0)))</f>
        <v>1</v>
      </c>
      <c r="R223" s="27"/>
      <c r="S223" s="28" t="str">
        <f t="array" ref="S223">IF(C214="","",CONCATENATE(INDEX([1]AB4!L:L,MATCH(A223,[1]AB4!B:B,0)),INDEX([1]AB4!M:M,MATCH(A223,[1]AB4!B:B,0)),TEXT(INDEX([1]AB4!T:T,MATCH(A223,[1]AB4!B:B,0)),"0.00%")))</f>
        <v>S : Entry  - 8.00%</v>
      </c>
      <c r="T223" s="26">
        <f t="array" ref="T223">IF(C214="","",INDEX([1]AB4!U:U,MATCH(A223,[1]AB4!B:B,0)))</f>
        <v>1</v>
      </c>
      <c r="U223" s="27"/>
      <c r="V223" s="28" t="str">
        <f t="array" ref="V223">IF(C214="","",INDEX([1]AB4!V:V,MATCH(A223,[1]AB4!B:B,0)))</f>
        <v>TR PROFIT AFTER TGT 4</v>
      </c>
      <c r="W223" s="26">
        <f t="array" ref="W223">IF(C214="","",INDEX([1]AB4!W:W,MATCH(A223,[1]AB4!B:B,0)))</f>
        <v>1</v>
      </c>
      <c r="X223" s="27"/>
      <c r="Y223" s="28" t="str">
        <f t="array" ref="Y223">IF(C214="","",INDEX([1]AB4!X:X,MATCH(A223,[1]AB4!B:B,0)))</f>
        <v>N.A.</v>
      </c>
      <c r="Z223" s="26" t="str">
        <f t="array" ref="Z223">IF(C214="","",INDEX([1]AB4!Y:Y,MATCH(A223,[1]AB4!B:B,0)))</f>
        <v>N.A.</v>
      </c>
      <c r="AA223" s="29"/>
      <c r="AB223" s="30"/>
      <c r="AC223" s="30"/>
    </row>
    <row r="224" spans="1:29" ht="44.25" customHeight="1" thickBot="1" x14ac:dyDescent="0.25">
      <c r="A224" s="18" t="str">
        <f>IF(C214="","",CONCATENATE(C215,[1]AB5!$A$14))</f>
        <v>S7E</v>
      </c>
      <c r="B224" s="60"/>
      <c r="C224" s="66"/>
      <c r="D224" s="66"/>
      <c r="E224" s="60"/>
      <c r="F224" s="61" t="str">
        <f>IF(C214="","",[1]AB5!$G$14)</f>
        <v>SL / TRP</v>
      </c>
      <c r="G224" s="36" t="str">
        <f t="array" ref="G224">IF(C214="","",CONCATENATE(INDEX([1]AB4!AA:AA,MATCH(A224,[1]AB4!B:B,0))," ( ",INDEX([1]AB4!AE:AE,MATCH(A224,[1]AB4!B:B,0)),INDEX([1]AB4!AF:AF,MATCH(A224,[1]AB4!B:B,0)),TEXT(INDEX([1]AB4!AG:AG,MATCH(A224,[1]AB4!B:B,0)),"0.00%")," or ",INDEX([1]AB4!AK:AK,MATCH(A224,[1]AB4!B:B,0)),INDEX([1]AB4!AJ:AJ,MATCH(A224,[1]AB4!B:B,0)),TEXT(INDEX([1]AB4!AL:AL,MATCH(A224,[1]AB4!B:B,0)),"0.00%")," )"))</f>
        <v>Min ( S : Entry + 3.00% or FUT : PRV : PW&amp;CWHH + 1.00% )</v>
      </c>
      <c r="H224" s="37">
        <f t="array" ref="H224">IF(C214="","",INDEX([1]AB4!AM:AM,MATCH(A224,[1]AB4!B:B,0)))</f>
        <v>5</v>
      </c>
      <c r="I224" s="38"/>
      <c r="J224" s="36" t="str">
        <f t="array" ref="J224">IF(C214="","",CONCATENATE(INDEX([1]AB4!AA:AA,MATCH(A224,[1]AB4!B:B,0))," ( ",INDEX([1]AB4!AE:AE,MATCH(A224,[1]AB4!B:B,0))," or ",INDEX([1]AB4!AN:AN,MATCH(A224,[1]AB4!B:B,0)),INDEX([1]AB4!AJ:AJ,MATCH(A224,[1]AB4!B:B,0)),TEXT(INDEX([1]AB4!AO:AO,MATCH(A224,[1]AB4!B:B,0)),"0.00%")," )"))</f>
        <v>Min ( S : Entry or FUT : PRV : PW&amp;CWHH + 1.00% )</v>
      </c>
      <c r="K224" s="37">
        <f t="array" ref="K224">IF(C214="","",INDEX([1]AB4!AP:AP,MATCH(A224,[1]AB4!B:B,0)))</f>
        <v>4</v>
      </c>
      <c r="L224" s="38"/>
      <c r="M224" s="36" t="str">
        <f t="array" ref="M224">IF(C214="","",CONCATENATE(INDEX([1]AB4!AA:AA,MATCH(A224,[1]AB4!B:B,0))," ( ",INDEX([1]AB4!AE:AE,MATCH(A224,[1]AB4!B:B,0))," or ",INDEX([1]AB4!AQ:AQ,MATCH(A224,[1]AB4!B:B,0)),INDEX([1]AB4!AJ:AJ,MATCH(A224,[1]AB4!B:B,0)),TEXT(INDEX([1]AB4!AR:AR,MATCH(A224,[1]AB4!B:B,0)),"0.00%")," )"))</f>
        <v>Min ( S : Entry or FUT : PRV : PW&amp;CWHH + 1.00% )</v>
      </c>
      <c r="N224" s="37">
        <f t="array" ref="N224">IF(C214="","",INDEX([1]AB4!AS:AS,MATCH(A224,[1]AB4!B:B,0)))</f>
        <v>3</v>
      </c>
      <c r="O224" s="38"/>
      <c r="P224" s="36" t="str">
        <f t="array" ref="P224">IF(C214="","",CONCATENATE(INDEX([1]AB4!AA:AA,MATCH(A224,[1]AB4!B:B,0))," ( ",INDEX([1]AB4!AE:AE,MATCH(A224,[1]AB4!B:B,0))," or ",INDEX([1]AB4!AT:AT,MATCH(A224,[1]AB4!B:B,0)),INDEX([1]AB4!AJ:AJ,MATCH(A224,[1]AB4!B:B,0)),TEXT(INDEX([1]AB4!AU:AU,MATCH(A224,[1]AB4!B:B,0)),"0.00%")," )"))</f>
        <v>Min ( S : Entry or FUT : PRV : PW&amp;CWHH + 1.00% )</v>
      </c>
      <c r="Q224" s="37">
        <f t="array" ref="Q224">IF(C214="","",INDEX([1]AB4!AV:AV,MATCH(A224,[1]AB4!B:B,0)))</f>
        <v>2</v>
      </c>
      <c r="R224" s="38"/>
      <c r="S224" s="36" t="str">
        <f t="array" ref="S224">IF(C214="","",CONCATENATE(INDEX([1]AB4!AA:AA,MATCH(A224,[1]AB4!B:B,0))," ( ",INDEX([1]AB4!AE:AE,MATCH(A224,[1]AB4!B:B,0))," or ",INDEX([1]AB4!AW:AW,MATCH(A224,[1]AB4!B:B,0)),INDEX([1]AB4!AJ:AJ,MATCH(A224,[1]AB4!B:B,0)),TEXT(INDEX([1]AB4!AX:AX,MATCH(A224,[1]AB4!B:B,0)),"0.00%")," )"))</f>
        <v>Min ( S : Entry or FUT : PRV : PW&amp;CWHH + 1.00% )</v>
      </c>
      <c r="T224" s="37">
        <f t="array" ref="T224">IF(C214="","",INDEX([1]AB4!AY:AY,MATCH(A224,[1]AB4!B:B,0)))</f>
        <v>1</v>
      </c>
      <c r="U224" s="38"/>
      <c r="V224" s="36" t="str">
        <f t="array" ref="V224">IF(C214="","",CONCATENATE(INDEX([1]AB4!AA:AA,MATCH(A224,[1]AB4!B:B,0))," ( ",INDEX([1]AB4!AE:AE,MATCH(A224,[1]AB4!B:B,0))," or ",INDEX([1]AB4!AW:AW,MATCH(A224,[1]AB4!B:B,0)),INDEX([1]AB4!AJ:AJ,MATCH(A224,[1]AB4!B:B,0)),TEXT(INDEX([1]AB4!AX:AX,MATCH(A224,[1]AB4!B:B,0)),"0.00%")," )"))</f>
        <v>Min ( S : Entry or FUT : PRV : PW&amp;CWHH + 1.00% )</v>
      </c>
      <c r="W224" s="37">
        <f t="array" ref="W224">IF(C214="","",INDEX([1]AB4!AY:AY,MATCH(A224,[1]AB4!B:B,0)))</f>
        <v>1</v>
      </c>
      <c r="X224" s="38"/>
      <c r="Y224" s="40">
        <f t="array" ref="Y224">IF(C214="","",INDEX([1]AB4!AZ:AZ,MATCH(A224,[1]AB4!B:B,0)))</f>
        <v>0</v>
      </c>
      <c r="Z224" s="37">
        <f t="array" ref="Z224">IF(C214="","",INDEX([1]AB4!BB:BB,MATCH(A224,[1]AB4!B:B,0)))</f>
        <v>0</v>
      </c>
      <c r="AA224" s="41"/>
      <c r="AB224" s="30"/>
      <c r="AC224" s="30"/>
    </row>
    <row r="225" spans="1:29" ht="6" customHeight="1" thickBot="1" x14ac:dyDescent="0.25">
      <c r="A225" s="18"/>
      <c r="B225" s="55"/>
      <c r="C225" s="55"/>
      <c r="D225" s="55"/>
      <c r="E225" s="30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30"/>
      <c r="AA225" s="30"/>
      <c r="AB225" s="68"/>
      <c r="AC225" s="68"/>
    </row>
    <row r="226" spans="1:29" ht="21.75" customHeight="1" x14ac:dyDescent="0.2">
      <c r="A226" s="18"/>
      <c r="B226" s="69" t="str">
        <f>IF(C214="","",[1]AB5!$B$16)</f>
        <v>For Entry</v>
      </c>
      <c r="C226" s="29"/>
      <c r="D226" s="70" t="str">
        <f>IF(C214="","",[1]AB5!$D$16)</f>
        <v>Gap Check</v>
      </c>
      <c r="E226" s="71"/>
      <c r="F226" s="70" t="str">
        <f>IF(C214="","",[1]AB5!$G$16)</f>
        <v>Process</v>
      </c>
      <c r="G226" s="72"/>
      <c r="H226" s="73" t="str">
        <f>IF(C214="","",[1]AB5!$I$16)</f>
        <v>Y / N</v>
      </c>
      <c r="I226" s="72"/>
      <c r="J226" s="74" t="str">
        <f>IF(C214="","",[1]AB5!$K$16)</f>
        <v>Order Status</v>
      </c>
      <c r="K226" s="75" t="str">
        <f>IF(C214="","",[1]AB5!$L$16)</f>
        <v>Step 1</v>
      </c>
      <c r="L226" s="76"/>
      <c r="M226" s="76"/>
      <c r="N226" s="72"/>
      <c r="O226" s="73" t="str">
        <f>IF(C214="","",[1]AB5!$P$16)</f>
        <v>Order Placement Timings</v>
      </c>
      <c r="P226" s="72"/>
      <c r="Q226" s="73" t="str">
        <f>IF(C214="","",[1]AB5!$R$16)</f>
        <v>Time</v>
      </c>
      <c r="R226" s="72"/>
      <c r="S226" s="75" t="str">
        <f>IF(C214="","",[1]AB5!$T$16)</f>
        <v>Rules For Gaps</v>
      </c>
      <c r="T226" s="76"/>
      <c r="U226" s="72"/>
      <c r="V226" s="74" t="str">
        <f>IF(C214="","",[1]AB5!$W$16)</f>
        <v>Data</v>
      </c>
      <c r="W226" s="73" t="str">
        <f>IF(C214="","",[1]AB5!$X$16)</f>
        <v>Buffer</v>
      </c>
      <c r="X226" s="71"/>
      <c r="Y226" s="77" t="str">
        <f>IF(C214="","",[1]AB5!$AA$16)</f>
        <v>Rules For Re Entry</v>
      </c>
      <c r="Z226" s="76"/>
      <c r="AA226" s="71"/>
      <c r="AB226" s="78"/>
      <c r="AC226" s="78"/>
    </row>
    <row r="227" spans="1:29" ht="31.5" customHeight="1" x14ac:dyDescent="0.2">
      <c r="A227" s="18" t="str">
        <f>IF(C214="","",CONCATENATE(C215,[1]AB5!$A$17))</f>
        <v>S7A</v>
      </c>
      <c r="B227" s="79" t="str">
        <f>IF(C214="","",[1]AB5!$B$17)</f>
        <v xml:space="preserve">ORPT </v>
      </c>
      <c r="C227" s="80" t="str">
        <f>IF(C214="","",[1]AB5!$C$17)</f>
        <v xml:space="preserve"> RC. Time</v>
      </c>
      <c r="D227" s="81" t="str">
        <f>IF(C214="","",[1]AB5!$D$17)</f>
        <v>For Long Entry</v>
      </c>
      <c r="E227" s="63"/>
      <c r="F227" s="82" t="str">
        <f>IF(C214="","",CONCATENATE([1]AB5!$G$17,TEXT(B228,"HH:MM:SS AM/PM"),[1]AB5!$B$18,[1]AB5!$H$17))</f>
        <v>Check If  09:19:59 AM HH &gt; Long Entry</v>
      </c>
      <c r="G227" s="83"/>
      <c r="H227" s="84" t="str">
        <f>IF(C214="","",[1]AB5!$I$17)</f>
        <v>No</v>
      </c>
      <c r="I227" s="85"/>
      <c r="J227" s="86" t="str">
        <f>IF(C214="","",[1]AB5!$K$17)</f>
        <v>Entry Not Missed</v>
      </c>
      <c r="K227" s="87" t="str">
        <f>IF(C214="","",[1]AB5!$L$17)</f>
        <v>Place the Order at ORPT</v>
      </c>
      <c r="L227" s="88"/>
      <c r="M227" s="88"/>
      <c r="N227" s="85"/>
      <c r="O227" s="87" t="str">
        <f>IF(C214="","",[1]AB5!$P$17)</f>
        <v>ORPT Time</v>
      </c>
      <c r="P227" s="85"/>
      <c r="Q227" s="89">
        <f>IF(C214="","",B228)</f>
        <v>0.38888194444444446</v>
      </c>
      <c r="R227" s="85"/>
      <c r="S227" s="87" t="str">
        <f>IF(C214="","",[1]AB5!$T$17)</f>
        <v>N.A.</v>
      </c>
      <c r="T227" s="88"/>
      <c r="U227" s="85"/>
      <c r="V227" s="86" t="str">
        <f>IF(C214="","",[1]AB5!$W$17)</f>
        <v>N.A.</v>
      </c>
      <c r="W227" s="90" t="str">
        <f>IF(C214="","",[1]AB5!$X$17)</f>
        <v>N.A.</v>
      </c>
      <c r="X227" s="91"/>
      <c r="Y227" s="92" t="str">
        <f>IF(C214="","",[1]AB5!$AA$17)</f>
        <v xml:space="preserve">Long Entry : Bull/ Bull CF : </v>
      </c>
      <c r="Z227" s="88"/>
      <c r="AA227" s="91"/>
      <c r="AB227" s="68"/>
      <c r="AC227" s="68"/>
    </row>
    <row r="228" spans="1:29" ht="31.5" customHeight="1" x14ac:dyDescent="0.2">
      <c r="A228" s="18" t="str">
        <f>IF(C214="","",CONCATENATE(C215,[1]AB5!$A$18))</f>
        <v>S7B</v>
      </c>
      <c r="B228" s="93">
        <f t="array" ref="B228">IF(C214="","",INDEX([1]AB4!BE:BE,MATCH(A227,[1]AB4!B:B,0)))</f>
        <v>0.38888194444444446</v>
      </c>
      <c r="C228" s="94">
        <f t="array" ref="C228">IF(C214="","",INDEX([1]AB4!BE:BE,MATCH(A228,[1]AB4!B:B,0)))</f>
        <v>0.39582638888888888</v>
      </c>
      <c r="D228" s="64"/>
      <c r="E228" s="59"/>
      <c r="F228" s="64"/>
      <c r="G228" s="95"/>
      <c r="H228" s="96" t="str">
        <f>IF(C214="","",[1]AB5!$I$18)</f>
        <v>Yes</v>
      </c>
      <c r="I228" s="83"/>
      <c r="J228" s="97" t="str">
        <f>IF(C214="","",[1]AB5!$K$18)</f>
        <v>Entry Missed</v>
      </c>
      <c r="K228" s="87" t="str">
        <f>IF(C214="","",[1]AB5!$L$18)</f>
        <v>Recalcuate : Long Entry : Bull / Bull CF</v>
      </c>
      <c r="L228" s="88"/>
      <c r="M228" s="88"/>
      <c r="N228" s="85"/>
      <c r="O228" s="87" t="str">
        <f>IF(C214="","",[1]AB5!$P$18)</f>
        <v>Wait Till Recalculation Time</v>
      </c>
      <c r="P228" s="85"/>
      <c r="Q228" s="89">
        <f>IF(C214="","",C228)</f>
        <v>0.39582638888888888</v>
      </c>
      <c r="R228" s="85"/>
      <c r="S228" s="98" t="str">
        <f>IF(C214="","",CONCATENATE(V228," ",[1]AB5!$Z$18," ",TEXT(W228,"0.00%")))</f>
        <v>09:29:59 AM HH + 1.00%</v>
      </c>
      <c r="T228" s="88"/>
      <c r="U228" s="85"/>
      <c r="V228" s="99" t="str">
        <f>IF(C214="","",CONCATENATE(TEXT(Q228,"HH:MM:SS AM/PM"),[1]AB5!$U$18))</f>
        <v>09:29:59 AM HH</v>
      </c>
      <c r="W228" s="100" t="str">
        <f t="array" ref="W228">IF(A214="","",TEXT(INDEX([1]AB4!BK:BK,MATCH(A215,[1]AB4!B:B,0)),"0.00%"))</f>
        <v>1.00%</v>
      </c>
      <c r="X228" s="91"/>
      <c r="Y228" s="101" t="str">
        <f>IF(C214="","",CONCATENATE([1]AB5!$T$18," ( ",G214," or ",[1]AB5!$AA$18," ",[1]AB5!$Z$18," ",TEXT(W228,"0.00%")," )"))</f>
        <v>Max ( FUT : PRV : 2DHH + 0.00% or  CDHH + 1.00% )</v>
      </c>
      <c r="Z228" s="88"/>
      <c r="AA228" s="91"/>
      <c r="AB228" s="68"/>
      <c r="AC228" s="68"/>
    </row>
    <row r="229" spans="1:29" ht="31.5" customHeight="1" thickBot="1" x14ac:dyDescent="0.25">
      <c r="A229" s="18"/>
      <c r="B229" s="34"/>
      <c r="C229" s="102"/>
      <c r="D229" s="103"/>
      <c r="E229" s="104"/>
      <c r="F229" s="103"/>
      <c r="G229" s="105"/>
      <c r="H229" s="51"/>
      <c r="I229" s="105"/>
      <c r="J229" s="53"/>
      <c r="K229" s="87" t="str">
        <f>IF(C214="","",[1]AB5!$L$19)</f>
        <v>Recalcuate : Long Entry : Bear / Bear CF</v>
      </c>
      <c r="L229" s="88"/>
      <c r="M229" s="88"/>
      <c r="N229" s="85"/>
      <c r="O229" s="87" t="str">
        <f>IF(C214="","",[1]AB5!$P$19)</f>
        <v>Wait Till Recalculation Time</v>
      </c>
      <c r="P229" s="85"/>
      <c r="Q229" s="89">
        <f>IF(C214="","",C228)</f>
        <v>0.39582638888888888</v>
      </c>
      <c r="R229" s="85"/>
      <c r="S229" s="98" t="str">
        <f>IF(C214="","",CONCATENATE(V229," ",[1]AB5!$Z$19," ",TEXT(W229,"0.00%"),))</f>
        <v>09:29:59 AM HH + 1.00%</v>
      </c>
      <c r="T229" s="88"/>
      <c r="U229" s="85"/>
      <c r="V229" s="99" t="str">
        <f>IF(C214="","",CONCATENATE(TEXT(Q229,"HH:MM:SS AM/PM"),[1]AB5!$U$19))</f>
        <v>09:29:59 AM HH</v>
      </c>
      <c r="W229" s="100" t="str">
        <f t="array" ref="W229">IF(C214="","",TEXT(INDEX([1]AB4!BK:BK,MATCH(A220,[1]AB4!B:B,0)),"0.00%"))</f>
        <v>1.00%</v>
      </c>
      <c r="X229" s="91"/>
      <c r="Y229" s="106" t="str">
        <f>IF(C214="","",[1]AB5!$AA$19)</f>
        <v xml:space="preserve">Long Entry : Bear/ Bear CF : </v>
      </c>
      <c r="Z229" s="88"/>
      <c r="AA229" s="91"/>
      <c r="AB229" s="68"/>
      <c r="AC229" s="68"/>
    </row>
    <row r="230" spans="1:29" ht="31.5" customHeight="1" x14ac:dyDescent="0.2">
      <c r="A230" s="18"/>
      <c r="B230" s="69" t="str">
        <f>IF(C214="","",[1]AB5!$B$20)</f>
        <v>For SL (Position = Open)</v>
      </c>
      <c r="C230" s="29"/>
      <c r="D230" s="107" t="str">
        <f>IF(C214="","",[1]AB5!$D$20)</f>
        <v>For Short Entry</v>
      </c>
      <c r="E230" s="63"/>
      <c r="F230" s="82" t="str">
        <f>IF(C214="","",CONCATENATE([1]AB5!$G$20,TEXT(B228,"HH:MM:SS AM/PM"),[1]AB5!$B$18,[1]AB5!$H$20))</f>
        <v>Check If  09:19:59 AM LL &lt; Short Entry</v>
      </c>
      <c r="G230" s="83"/>
      <c r="H230" s="108" t="str">
        <f>IF(C214="","",[1]AB5!$I$20)</f>
        <v>No</v>
      </c>
      <c r="I230" s="85"/>
      <c r="J230" s="109" t="str">
        <f>IF(C214="","",[1]AB5!$K$20)</f>
        <v>Entry Not Missed</v>
      </c>
      <c r="K230" s="110" t="str">
        <f>IF(C214="","",[1]AB5!$L$20)</f>
        <v>Place the Order at ORPT</v>
      </c>
      <c r="L230" s="88"/>
      <c r="M230" s="88"/>
      <c r="N230" s="85"/>
      <c r="O230" s="110" t="str">
        <f>IF(C214="","",[1]AB5!$P$20)</f>
        <v>ORPT Time</v>
      </c>
      <c r="P230" s="85"/>
      <c r="Q230" s="111">
        <f>IF(C214="","",B228)</f>
        <v>0.38888194444444446</v>
      </c>
      <c r="R230" s="85"/>
      <c r="S230" s="110" t="str">
        <f>IF(C214="","",[1]AB5!$T$20)</f>
        <v>N.A.</v>
      </c>
      <c r="T230" s="88"/>
      <c r="U230" s="85"/>
      <c r="V230" s="109" t="str">
        <f>IF(C214="","",[1]AB5!$W$20)</f>
        <v>N.A.</v>
      </c>
      <c r="W230" s="112" t="str">
        <f>IF(C214="","",[1]AB5!$X$20)</f>
        <v>N.A.</v>
      </c>
      <c r="X230" s="91"/>
      <c r="Y230" s="101" t="str">
        <f>IF(C214="","",CONCATENATE([1]AB5!$T$19," ( ",G220," or ",[1]AB5!$AA$20," ",[1]AB5!$Z$19," ",TEXT(W229,"0.00%")," )"))</f>
        <v>Max ( FUT : PRV : PW&amp;CWHH + 1.00% or  CDHH + 1.00% )</v>
      </c>
      <c r="Z230" s="88"/>
      <c r="AA230" s="91"/>
      <c r="AB230" s="68"/>
      <c r="AC230" s="68"/>
    </row>
    <row r="231" spans="1:29" ht="31.5" customHeight="1" x14ac:dyDescent="0.2">
      <c r="A231" s="18" t="str">
        <f>IF(C214="","",CONCATENATE(C215,[1]AB5!$A$21))</f>
        <v>S7A</v>
      </c>
      <c r="B231" s="79" t="str">
        <f>IF(C214="","",[1]AB5!$B$21)</f>
        <v xml:space="preserve">ORPT </v>
      </c>
      <c r="C231" s="80" t="str">
        <f>IF(C214="","",[1]AB5!$C$21)</f>
        <v xml:space="preserve"> RC. Time</v>
      </c>
      <c r="D231" s="64"/>
      <c r="E231" s="59"/>
      <c r="F231" s="64"/>
      <c r="G231" s="95"/>
      <c r="H231" s="113" t="str">
        <f>IF(C214="","",[1]AB5!$I$21)</f>
        <v>Yes</v>
      </c>
      <c r="I231" s="83"/>
      <c r="J231" s="114" t="str">
        <f>IF(C214="","",[1]AB5!$K$21)</f>
        <v>Entry Missed</v>
      </c>
      <c r="K231" s="110" t="str">
        <f>IF(C214="","",[1]AB5!$L$21)</f>
        <v>Recalcuate : Short Entry : Bull / Bull CF</v>
      </c>
      <c r="L231" s="88"/>
      <c r="M231" s="88"/>
      <c r="N231" s="85"/>
      <c r="O231" s="110" t="str">
        <f>IF(C214="","",[1]AB5!$P$21)</f>
        <v>Wait Till Recalculation Time</v>
      </c>
      <c r="P231" s="85"/>
      <c r="Q231" s="111">
        <f>IF(C214="","",C228)</f>
        <v>0.39582638888888888</v>
      </c>
      <c r="R231" s="85"/>
      <c r="S231" s="115" t="str">
        <f>IF(C214="","",CONCATENATE(V231," ",[1]AB5!$Z$21," ",TEXT(W231,"0.00%")))</f>
        <v>09:29:59 AM LL - 1.00%</v>
      </c>
      <c r="T231" s="88"/>
      <c r="U231" s="85"/>
      <c r="V231" s="116" t="str">
        <f>IF(C214="","",CONCATENATE(TEXT(Q231,"HH:MM:SS AM/PM"),[1]AB5!$U$21))</f>
        <v>09:29:59 AM LL</v>
      </c>
      <c r="W231" s="112" t="str">
        <f t="array" ref="W231">IF(C214="","",TEXT(INDEX([1]AB4!BK:BK,MATCH(A217,[1]AB4!B:B,0)),"0.00%"))</f>
        <v>1.00%</v>
      </c>
      <c r="X231" s="91"/>
      <c r="Y231" s="117" t="str">
        <f>IF(C214="","",[1]AB5!$AA$21)</f>
        <v>When Your Long Position is Exited</v>
      </c>
      <c r="Z231" s="118"/>
      <c r="AA231" s="59"/>
      <c r="AB231" s="68"/>
      <c r="AC231" s="68"/>
    </row>
    <row r="232" spans="1:29" ht="31.5" customHeight="1" thickBot="1" x14ac:dyDescent="0.25">
      <c r="A232" s="18" t="str">
        <f>IF(C214="","",CONCATENATE(C215,[1]AB5!$A$22))</f>
        <v>S7B</v>
      </c>
      <c r="B232" s="119">
        <f t="array" ref="B232">IF(C214="","",INDEX([1]AB4!BF:BF,MATCH(A231,[1]AB4!B:B,0)))</f>
        <v>0.38888194444444446</v>
      </c>
      <c r="C232" s="120">
        <f t="array" ref="C232">IF(C214="","",INDEX([1]AB4!BF:BF,MATCH(A232,[1]AB4!B:B,0)))</f>
        <v>0.39582638888888888</v>
      </c>
      <c r="D232" s="60"/>
      <c r="E232" s="66"/>
      <c r="F232" s="60"/>
      <c r="G232" s="121"/>
      <c r="H232" s="102"/>
      <c r="I232" s="121"/>
      <c r="J232" s="122"/>
      <c r="K232" s="123" t="str">
        <f>IF(C214="","",[1]AB5!$L$22)</f>
        <v>Recalcuate : Short Entry : Bear / Bear CF</v>
      </c>
      <c r="L232" s="124"/>
      <c r="M232" s="124"/>
      <c r="N232" s="38"/>
      <c r="O232" s="123" t="str">
        <f>IF(C214="","",[1]AB5!$P$22)</f>
        <v>Wait Till Recalculation Time</v>
      </c>
      <c r="P232" s="38"/>
      <c r="Q232" s="125">
        <f>IF(C214="","",C228)</f>
        <v>0.39582638888888888</v>
      </c>
      <c r="R232" s="38"/>
      <c r="S232" s="126" t="str">
        <f>IF(C214="","",CONCATENATE(V232," ",[1]AB5!$Z$22," ",TEXT(W232,"0.00%")))</f>
        <v>09:29:59 AM LL - 1.00%</v>
      </c>
      <c r="T232" s="124"/>
      <c r="U232" s="38"/>
      <c r="V232" s="127" t="str">
        <f>IF(C214="","",CONCATENATE(TEXT(Q232,"HH:MM:SS AM/PM"),[1]AB5!$U$22))</f>
        <v>09:29:59 AM LL</v>
      </c>
      <c r="W232" s="128" t="str">
        <f t="array" ref="W232">IF(C214="","",TEXT(INDEX([1]AB4!BK:BK,MATCH(A223,[1]AB4!B:B,0)),"0.00%"))</f>
        <v>1.00%</v>
      </c>
      <c r="X232" s="41"/>
      <c r="Y232" s="129" t="str">
        <f>IF(C214="","",[1]AB5!$AA$22)</f>
        <v>This is Only Applicable for Same Day</v>
      </c>
      <c r="Z232" s="130"/>
      <c r="AA232" s="66"/>
      <c r="AB232" s="68"/>
      <c r="AC232" s="68"/>
    </row>
    <row r="233" spans="1:29" ht="6" customHeight="1" thickBot="1" x14ac:dyDescent="0.25">
      <c r="A233" s="18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</row>
    <row r="234" spans="1:29" ht="21.75" customHeight="1" thickBot="1" x14ac:dyDescent="0.25">
      <c r="A234" s="18"/>
      <c r="B234" s="69" t="str">
        <f>IF(C214="","",[1]AB5!$B$24)</f>
        <v>For TGT (Position = Open)</v>
      </c>
      <c r="C234" s="29"/>
      <c r="D234" s="132" t="str">
        <f>IF(C214="","",[1]AB5!$D$24)</f>
        <v>Gap Check</v>
      </c>
      <c r="E234" s="133"/>
      <c r="F234" s="132" t="str">
        <f>IF(C214="","",[1]AB5!$G$24)</f>
        <v>Process</v>
      </c>
      <c r="G234" s="133"/>
      <c r="H234" s="132" t="str">
        <f>IF(C214="","",[1]AB5!$I$24)</f>
        <v>Y / N</v>
      </c>
      <c r="I234" s="133"/>
      <c r="J234" s="134" t="str">
        <f>IF(C214="","",[1]AB5!$K$24)</f>
        <v>Status</v>
      </c>
      <c r="K234" s="135" t="str">
        <f>IF(C214="","",[1]AB5!$L$24)</f>
        <v>Step 1</v>
      </c>
      <c r="L234" s="136"/>
      <c r="M234" s="136"/>
      <c r="N234" s="133"/>
      <c r="O234" s="132" t="str">
        <f>IF(C214="","",[1]AB5!$P$24)</f>
        <v>Order Placement Timings</v>
      </c>
      <c r="P234" s="133"/>
      <c r="Q234" s="132" t="str">
        <f>IF(C214="","",[1]AB5!$R$24)</f>
        <v>Time</v>
      </c>
      <c r="R234" s="133"/>
      <c r="S234" s="135" t="str">
        <f>IF(C214="","",[1]AB5!$T$24)</f>
        <v>Rules For Gaps</v>
      </c>
      <c r="T234" s="136"/>
      <c r="U234" s="133"/>
      <c r="V234" s="134" t="str">
        <f>IF(C214="","",[1]AB5!$W$24)</f>
        <v>Data</v>
      </c>
      <c r="W234" s="132" t="str">
        <f>IF(C214="","",[1]AB5!$X$24)</f>
        <v>Buffer</v>
      </c>
      <c r="X234" s="133"/>
      <c r="Y234" s="135" t="str">
        <f>IF(C214="","",[1]AB5!$AA$16)</f>
        <v>Rules For Re Entry</v>
      </c>
      <c r="Z234" s="136"/>
      <c r="AA234" s="133"/>
      <c r="AB234" s="78"/>
      <c r="AC234" s="78"/>
    </row>
    <row r="235" spans="1:29" ht="24" customHeight="1" x14ac:dyDescent="0.2">
      <c r="A235" s="18" t="str">
        <f>IF(C214="","",CONCATENATE(C215,[1]AB5!$A$25))</f>
        <v>S7A</v>
      </c>
      <c r="B235" s="79" t="str">
        <f>IF(C214="","",[1]AB5!$B$25)</f>
        <v xml:space="preserve">ORPT </v>
      </c>
      <c r="C235" s="80" t="str">
        <f>IF(C214="","",[1]AB5!$C$25)</f>
        <v xml:space="preserve"> RC. Time</v>
      </c>
      <c r="D235" s="137" t="str">
        <f>IF(C214="","",[1]AB5!$D$25)</f>
        <v>For Long SL</v>
      </c>
      <c r="E235" s="59"/>
      <c r="F235" s="138" t="str">
        <f>IF(C214="","",CONCATENATE([1]AB5!$G$25,TEXT(B232,"HH:MM:SS AM/PM"),[1]AB5!$B$22,[1]AB5!$H$25))</f>
        <v>Check If 09:19:59 AM LL &lt; Long SL</v>
      </c>
      <c r="G235" s="76"/>
      <c r="H235" s="139" t="str">
        <f>IF(C214="","",[1]AB5!$I$25)</f>
        <v>No</v>
      </c>
      <c r="I235" s="27"/>
      <c r="J235" s="140" t="str">
        <f>IF(C214="","",[1]AB5!$K$25)</f>
        <v>FSL / TRP Not Missed</v>
      </c>
      <c r="K235" s="141" t="str">
        <f>IF(C214="","",[1]AB5!$L$25)</f>
        <v>Place the Order at ORPT</v>
      </c>
      <c r="L235" s="142"/>
      <c r="M235" s="142"/>
      <c r="N235" s="27"/>
      <c r="O235" s="141" t="str">
        <f>IF(C214="","",[1]AB5!$P$25)</f>
        <v>ORPT Time</v>
      </c>
      <c r="P235" s="27"/>
      <c r="Q235" s="143">
        <f>IF(C214="","",B232)</f>
        <v>0.38888194444444446</v>
      </c>
      <c r="R235" s="27"/>
      <c r="S235" s="141" t="str">
        <f>IF(C214="","",[1]AB5!$U$25)</f>
        <v>N.A.</v>
      </c>
      <c r="T235" s="142"/>
      <c r="U235" s="27"/>
      <c r="V235" s="140" t="str">
        <f>IF(C214="","",[1]AB5!$W$25)</f>
        <v>N.A.</v>
      </c>
      <c r="W235" s="144" t="str">
        <f>IF(C214="","",[1]AB5!$X$25)</f>
        <v>N.A.</v>
      </c>
      <c r="X235" s="29"/>
      <c r="Y235" s="117" t="str">
        <f>IF(C214="","",[1]AB5!$AA$25)</f>
        <v xml:space="preserve">Short Entry : Bull/ Bull CF : </v>
      </c>
      <c r="Z235" s="12"/>
      <c r="AA235" s="59"/>
      <c r="AB235" s="68"/>
      <c r="AC235" s="68"/>
    </row>
    <row r="236" spans="1:29" ht="24" customHeight="1" thickBot="1" x14ac:dyDescent="0.25">
      <c r="A236" s="18" t="str">
        <f>IF(C214="","",CONCATENATE(C215,[1]AB5!$A$26))</f>
        <v>S7B</v>
      </c>
      <c r="B236" s="119">
        <f t="array" ref="B236">IF(C214="","",INDEX([1]AB4!BG:BG,MATCH(A235,[1]AB4!B:B,0)))</f>
        <v>0.38541666666666669</v>
      </c>
      <c r="C236" s="120" t="str">
        <f t="array" ref="C236">IF(C214="","",INDEX([1]AB4!BG:BG,MATCH(A236,[1]AB4!B:B,0)))</f>
        <v>N.A.</v>
      </c>
      <c r="D236" s="64"/>
      <c r="E236" s="59"/>
      <c r="F236" s="64"/>
      <c r="G236" s="12"/>
      <c r="H236" s="113" t="str">
        <f>IF(C214="","",[1]AB5!$I$26)</f>
        <v>Yes</v>
      </c>
      <c r="I236" s="83"/>
      <c r="J236" s="114" t="str">
        <f>IF(C214="","",[1]AB5!$K$26)</f>
        <v>FSL / TRP Missed</v>
      </c>
      <c r="K236" s="110" t="str">
        <f>IF(C214="","",[1]AB5!$L$26)</f>
        <v>Recalcuate : Long FSL / TRP : Bull / Bull CF</v>
      </c>
      <c r="L236" s="88"/>
      <c r="M236" s="88"/>
      <c r="N236" s="85"/>
      <c r="O236" s="110" t="str">
        <f>IF(C214="","",[1]AB5!$P$26)</f>
        <v>Wait Till Recalculation Time</v>
      </c>
      <c r="P236" s="85"/>
      <c r="Q236" s="111">
        <f>IF(C214="","",C232)</f>
        <v>0.39582638888888888</v>
      </c>
      <c r="R236" s="85"/>
      <c r="S236" s="110" t="str">
        <f>IF(C214="","",CONCATENATE(V236," ",[1]AB5!$Z$26," ",TEXT(W236,"0.00%")))</f>
        <v>09:29:59 AM LL - 1.00%</v>
      </c>
      <c r="T236" s="88"/>
      <c r="U236" s="85"/>
      <c r="V236" s="116" t="str">
        <f>IF(C214="","",CONCATENATE(TEXT(Q236,"HH:MM:SS AM/PM"),[1]AB5!$U$26))</f>
        <v>09:29:59 AM LL</v>
      </c>
      <c r="W236" s="112" t="str">
        <f t="array" ref="W236">IF(C214="","",TEXT(INDEX([1]AB4!BL:BL,MATCH(A215,[1]AB4!B:B,0)),"0.00%"))</f>
        <v>1.00%</v>
      </c>
      <c r="X236" s="91"/>
      <c r="Y236" s="145"/>
      <c r="Z236" s="145"/>
      <c r="AA236" s="104"/>
      <c r="AB236" s="68"/>
      <c r="AC236" s="68"/>
    </row>
    <row r="237" spans="1:29" ht="24" customHeight="1" x14ac:dyDescent="0.2">
      <c r="A237" s="18"/>
      <c r="B237" s="62" t="str">
        <f>IF(C214="","",[1]AB5!$B$27)</f>
        <v>I Commit To Follow The Rules &amp; Process</v>
      </c>
      <c r="C237" s="63"/>
      <c r="D237" s="64"/>
      <c r="E237" s="59"/>
      <c r="F237" s="64"/>
      <c r="G237" s="12"/>
      <c r="H237" s="48"/>
      <c r="I237" s="95"/>
      <c r="J237" s="146"/>
      <c r="K237" s="110" t="str">
        <f>IF(C214="","",[1]AB5!$L$27)</f>
        <v>Recalcuate : Long FSL / TRP : Bear / Bear CF</v>
      </c>
      <c r="L237" s="88"/>
      <c r="M237" s="88"/>
      <c r="N237" s="85"/>
      <c r="O237" s="110" t="str">
        <f>IF(C214="","",[1]AB5!$P$27)</f>
        <v>Wait Till Recalculation Time</v>
      </c>
      <c r="P237" s="85"/>
      <c r="Q237" s="111">
        <f>IF(C214="","",C232)</f>
        <v>0.39582638888888888</v>
      </c>
      <c r="R237" s="85"/>
      <c r="S237" s="110" t="str">
        <f>IF(C215="","",CONCATENATE(V237," ",[1]AB5!$Z$26," ",TEXT(W237,"0.00%")))</f>
        <v>09:29:59 AM LL - 1.00%</v>
      </c>
      <c r="T237" s="88"/>
      <c r="U237" s="85"/>
      <c r="V237" s="116" t="str">
        <f>IF(C214="","",CONCATENATE(TEXT(Q236,"HH:MM:SS AM/PM"),[1]AB5!$U$27))</f>
        <v>09:29:59 AM LL</v>
      </c>
      <c r="W237" s="112" t="str">
        <f t="array" ref="W237">IF(C214="","",TEXT(INDEX([1]AB4!BL:BL,MATCH(A215,[1]AB4!B:B,0)),"0.00%"))</f>
        <v>1.00%</v>
      </c>
      <c r="X237" s="91"/>
      <c r="Y237" s="147" t="str">
        <f>IF(C214="","",CONCATENATE([1]AB5!$T$28," ( ",G217," or ",[1]AB5!$AA$26," ",[1]AB5!$Z$28," ",TEXT(W238,"0.00%")," )"))</f>
        <v>Min ( FUT : PRV : PW&amp;CWLL - 1.00% or  CDLL - 1.00% )</v>
      </c>
      <c r="Z237" s="148"/>
      <c r="AA237" s="63"/>
      <c r="AB237" s="68"/>
      <c r="AC237" s="68"/>
    </row>
    <row r="238" spans="1:29" ht="33" customHeight="1" x14ac:dyDescent="0.2">
      <c r="A238" s="18"/>
      <c r="B238" s="64"/>
      <c r="C238" s="59"/>
      <c r="D238" s="64"/>
      <c r="E238" s="59"/>
      <c r="F238" s="64"/>
      <c r="G238" s="12"/>
      <c r="H238" s="48"/>
      <c r="I238" s="95"/>
      <c r="J238" s="146"/>
      <c r="K238" s="110" t="str">
        <f>IF(C214="","",[1]AB5!$L$28)</f>
        <v>Recalcuate : Short Entry : Bull / Bull CF</v>
      </c>
      <c r="L238" s="88"/>
      <c r="M238" s="88"/>
      <c r="N238" s="85"/>
      <c r="O238" s="110" t="str">
        <f>IF(C214="","",[1]AB5!$P$28)</f>
        <v>Wait Till Recalculation Time</v>
      </c>
      <c r="P238" s="85"/>
      <c r="Q238" s="111">
        <f>IF(C214="","",C228)</f>
        <v>0.39582638888888888</v>
      </c>
      <c r="R238" s="85"/>
      <c r="S238" s="115" t="str">
        <f>IF(C214="","",CONCATENATE([1]AB5!$T$28," ( ",G217," or ",V238," ",[1]AB5!$Z$28," ",TEXT(W238,"0.00%")," )"))</f>
        <v>Min ( FUT : PRV : PW&amp;CWLL - 1.00% or 09:29:59 AM LL - 1.00% )</v>
      </c>
      <c r="T238" s="88"/>
      <c r="U238" s="85"/>
      <c r="V238" s="116" t="str">
        <f>IF(C214="","",CONCATENATE(TEXT(Q238,"HH:MM:SS AM/PM"),[1]AB5!$U$28))</f>
        <v>09:29:59 AM LL</v>
      </c>
      <c r="W238" s="112" t="str">
        <f t="array" ref="W238">IF(C214="","",TEXT(INDEX([1]AB4!BK:BK,MATCH(A217,[1]AB4!B:B,0)),"0.00%"))</f>
        <v>1.00%</v>
      </c>
      <c r="X238" s="91"/>
      <c r="Y238" s="145"/>
      <c r="Z238" s="145"/>
      <c r="AA238" s="104"/>
      <c r="AB238" s="68"/>
      <c r="AC238" s="68"/>
    </row>
    <row r="239" spans="1:29" ht="33" customHeight="1" thickBot="1" x14ac:dyDescent="0.25">
      <c r="A239" s="18"/>
      <c r="B239" s="60"/>
      <c r="C239" s="66"/>
      <c r="D239" s="103"/>
      <c r="E239" s="104"/>
      <c r="F239" s="103"/>
      <c r="G239" s="145"/>
      <c r="H239" s="51"/>
      <c r="I239" s="105"/>
      <c r="J239" s="53"/>
      <c r="K239" s="110" t="str">
        <f>IF(C214="","",[1]AB5!$L$29)</f>
        <v>Recalcuate : Short Entry : Bear / Bear CF</v>
      </c>
      <c r="L239" s="88"/>
      <c r="M239" s="88"/>
      <c r="N239" s="85"/>
      <c r="O239" s="110" t="str">
        <f>IF(C214="","",[1]AB5!$P$29)</f>
        <v>Wait Till Recalculation Time</v>
      </c>
      <c r="P239" s="85"/>
      <c r="Q239" s="111">
        <f>IF(C214="","",C228)</f>
        <v>0.39582638888888888</v>
      </c>
      <c r="R239" s="85"/>
      <c r="S239" s="115" t="str">
        <f>IF(C214="","",CONCATENATE([1]AB5!$T$29," ( ",G223," or ",V239," ",[1]AB5!$Z$29," ",TEXT(W239,"0.00%")," )"))</f>
        <v>Min ( FUT : PRV : 2DLL - 0.00% or 09:29:59 AM LL - 1.00% )</v>
      </c>
      <c r="T239" s="88"/>
      <c r="U239" s="85"/>
      <c r="V239" s="116" t="str">
        <f>IF(C214="","",CONCATENATE(TEXT(Q239,"HH:MM:SS AM/PM"),[1]AB5!$U$29))</f>
        <v>09:29:59 AM LL</v>
      </c>
      <c r="W239" s="112" t="str">
        <f t="array" ref="W239">IF(C214="","",TEXT(INDEX([1]AB4!BK:BK,MATCH(A223,[1]AB4!B:B,0)),"0.00%"))</f>
        <v>1.00%</v>
      </c>
      <c r="X239" s="91"/>
      <c r="Y239" s="149" t="str">
        <f>IF(C214="","",[1]AB5!$AA$29)</f>
        <v xml:space="preserve">Short Entry : Bear/ Bear CF : </v>
      </c>
      <c r="Z239" s="88"/>
      <c r="AA239" s="91"/>
      <c r="AB239" s="68"/>
      <c r="AC239" s="68"/>
    </row>
    <row r="240" spans="1:29" ht="21.75" customHeight="1" x14ac:dyDescent="0.2">
      <c r="A240" s="18"/>
      <c r="B240" s="150" t="str">
        <f>IF(C214="","",IF([1]AB5!$B$12="","",[1]AB5!$B$30))</f>
        <v>By Asmita Patel.</v>
      </c>
      <c r="C240" s="71"/>
      <c r="D240" s="81" t="str">
        <f>IF(C214="","",[1]AB5!$D$30)</f>
        <v>For Short SL</v>
      </c>
      <c r="E240" s="63"/>
      <c r="F240" s="151" t="str">
        <f>IF(C214="","",CONCATENATE([1]AB5!$G$30,TEXT(B232,"HH:MM:SS AM/PM"),[1]AB5!$B$22,[1]AB5!$H$30))</f>
        <v>Check If 09:19:59 AM HH &gt; Short SL</v>
      </c>
      <c r="G240" s="83"/>
      <c r="H240" s="84" t="str">
        <f>IF(C214="","",[1]AB5!$I$30)</f>
        <v>No</v>
      </c>
      <c r="I240" s="85"/>
      <c r="J240" s="86" t="str">
        <f>IF(C214="","",[1]AB5!$K$30)</f>
        <v>FSL / TRP Not Missed</v>
      </c>
      <c r="K240" s="87" t="str">
        <f>IF(C214="","",[1]AB5!$L$30)</f>
        <v>Place the Order at ORPT</v>
      </c>
      <c r="L240" s="88"/>
      <c r="M240" s="88"/>
      <c r="N240" s="85"/>
      <c r="O240" s="87" t="str">
        <f>IF(C214="","",[1]AB5!$P$30)</f>
        <v>ORPT Time</v>
      </c>
      <c r="P240" s="85"/>
      <c r="Q240" s="89">
        <f>IF(C214="","",B232)</f>
        <v>0.38888194444444446</v>
      </c>
      <c r="R240" s="85"/>
      <c r="S240" s="87" t="str">
        <f>IF(C214="","",[1]AB5!$T$30)</f>
        <v>N.A.</v>
      </c>
      <c r="T240" s="88"/>
      <c r="U240" s="85"/>
      <c r="V240" s="86" t="str">
        <f>IF(C214="","",[1]AB5!$W$30)</f>
        <v>N.A.</v>
      </c>
      <c r="W240" s="90" t="str">
        <f>IF(C214="","",[1]AB5!$X$30)</f>
        <v>N.A.</v>
      </c>
      <c r="X240" s="91"/>
      <c r="Y240" s="147" t="str">
        <f>IF(C214="","",CONCATENATE([1]AB5!$T$29," ( ",G223," or ",[1]AB5!$AA$30," ",[1]AB5!$Z$29," ",TEXT(W239,"0.00%")," )"))</f>
        <v>Min ( FUT : PRV : 2DLL - 0.00% or  CDLL - 1.00% )</v>
      </c>
      <c r="Z240" s="148"/>
      <c r="AA240" s="63"/>
      <c r="AB240" s="68"/>
      <c r="AC240" s="68"/>
    </row>
    <row r="241" spans="1:29" ht="21.75" customHeight="1" x14ac:dyDescent="0.2">
      <c r="A241" s="152"/>
      <c r="B241" s="64"/>
      <c r="C241" s="59"/>
      <c r="D241" s="64"/>
      <c r="E241" s="59"/>
      <c r="F241" s="64"/>
      <c r="G241" s="95"/>
      <c r="H241" s="96" t="str">
        <f>IF(C214="","",[1]AB5!$I$31)</f>
        <v>Yes</v>
      </c>
      <c r="I241" s="83"/>
      <c r="J241" s="97" t="str">
        <f>IF(C214="","",[1]AB5!$K$31)</f>
        <v>FSL / TRP Missed</v>
      </c>
      <c r="K241" s="87" t="str">
        <f>IF(C214="","",[1]AB5!$L$31)</f>
        <v>Recalcuate : Short FSL / TRP : Bull / Bull CF</v>
      </c>
      <c r="L241" s="88"/>
      <c r="M241" s="88"/>
      <c r="N241" s="85"/>
      <c r="O241" s="87" t="str">
        <f>IF(C214="","",[1]AB5!$P$31)</f>
        <v>Wait Till Recalculation Time</v>
      </c>
      <c r="P241" s="85"/>
      <c r="Q241" s="89">
        <f>IF(C214="","",C232)</f>
        <v>0.39582638888888888</v>
      </c>
      <c r="R241" s="85"/>
      <c r="S241" s="87" t="str">
        <f>IF(C214="","",CONCATENATE(V241," ",[1]AB5!$Z$31," ",TEXT(W241,"0.00%")))</f>
        <v>09:29:59 AM HH + 1.00%</v>
      </c>
      <c r="T241" s="88"/>
      <c r="U241" s="85"/>
      <c r="V241" s="153" t="str">
        <f>IF(C214="","",CONCATENATE(TEXT(Q241,"HH:MM:SS AM/PM"),[1]AB5!$U$31))</f>
        <v>09:29:59 AM HH</v>
      </c>
      <c r="W241" s="90" t="str">
        <f t="array" ref="W241">IF(C214="","",TEXT(INDEX([1]AB4!BL:BL,MATCH(A223,[1]AB4!B:B,0)),"0.00%"))</f>
        <v>1.00%</v>
      </c>
      <c r="X241" s="91"/>
      <c r="Y241" s="12"/>
      <c r="Z241" s="12"/>
      <c r="AA241" s="59"/>
      <c r="AB241" s="68"/>
      <c r="AC241" s="68"/>
    </row>
    <row r="242" spans="1:29" ht="22.5" customHeight="1" x14ac:dyDescent="0.2">
      <c r="A242" s="152"/>
      <c r="B242" s="64"/>
      <c r="C242" s="59"/>
      <c r="D242" s="64"/>
      <c r="E242" s="59"/>
      <c r="F242" s="64"/>
      <c r="G242" s="95"/>
      <c r="H242" s="48"/>
      <c r="I242" s="95"/>
      <c r="J242" s="146"/>
      <c r="K242" s="87" t="str">
        <f>IF(C214="","",[1]AB5!$L$32)</f>
        <v>Recalcuate : Short FSL / TRP : Bear / Bear CF</v>
      </c>
      <c r="L242" s="88"/>
      <c r="M242" s="88"/>
      <c r="N242" s="85"/>
      <c r="O242" s="87" t="str">
        <f>IF(C214="","",[1]AB5!$P$32)</f>
        <v>Wait Till Recalculation Time</v>
      </c>
      <c r="P242" s="85"/>
      <c r="Q242" s="89">
        <f>IF(C214="","",C232)</f>
        <v>0.39582638888888888</v>
      </c>
      <c r="R242" s="85"/>
      <c r="S242" s="87" t="str">
        <f>IF(C215="","",CONCATENATE(V242," ",[1]AB5!$Z$31," ",TEXT(W242,"0.00%")))</f>
        <v>09:29:59 AM HH + 1.00%</v>
      </c>
      <c r="T242" s="88"/>
      <c r="U242" s="85"/>
      <c r="V242" s="153" t="str">
        <f>IF(C214="","",CONCATENATE(TEXT(Q241,"HH:MM:SS AM/PM"),[1]AB5!$U$32))</f>
        <v>09:29:59 AM HH</v>
      </c>
      <c r="W242" s="90" t="str">
        <f t="array" ref="W242">IF(C214="","",TEXT(INDEX([1]AB4!BL:BL,MATCH(A223,[1]AB4!B:B,0)),"0.00%"))</f>
        <v>1.00%</v>
      </c>
      <c r="X242" s="91"/>
      <c r="Y242" s="145"/>
      <c r="Z242" s="145"/>
      <c r="AA242" s="104"/>
      <c r="AB242" s="68"/>
      <c r="AC242" s="68"/>
    </row>
    <row r="243" spans="1:29" ht="33" customHeight="1" x14ac:dyDescent="0.2">
      <c r="A243" s="152"/>
      <c r="B243" s="64"/>
      <c r="C243" s="59"/>
      <c r="D243" s="64"/>
      <c r="E243" s="59"/>
      <c r="F243" s="64"/>
      <c r="G243" s="95"/>
      <c r="H243" s="48"/>
      <c r="I243" s="95"/>
      <c r="J243" s="146"/>
      <c r="K243" s="87" t="str">
        <f>IF(C214="","",[1]AB5!$L$33)</f>
        <v>Recalcuate : Long Entry : Bull / Bull CF</v>
      </c>
      <c r="L243" s="88"/>
      <c r="M243" s="88"/>
      <c r="N243" s="85"/>
      <c r="O243" s="87" t="str">
        <f>IF(C214="","",[1]AB5!$P$33)</f>
        <v>Wait Till Recalculation Time</v>
      </c>
      <c r="P243" s="85"/>
      <c r="Q243" s="89">
        <f>IF(C214="","",C228)</f>
        <v>0.39582638888888888</v>
      </c>
      <c r="R243" s="85"/>
      <c r="S243" s="98" t="str">
        <f>IF(C214="","",CONCATENATE([1]AB5!$T$33," ( ",G214," or ",V243," ",[1]AB5!$Z$33," ",TEXT(W243,"0.00%")," )"))</f>
        <v>Max ( FUT : PRV : 2DHH + 0.00% or 09:29:59 AM HH + 1.00% )</v>
      </c>
      <c r="T243" s="88"/>
      <c r="U243" s="85"/>
      <c r="V243" s="99" t="str">
        <f>IF(C214="","",CONCATENATE(TEXT(Q243,"HH:MM:SS AM/PM"),[1]AB5!$U$33))</f>
        <v>09:29:59 AM HH</v>
      </c>
      <c r="W243" s="90" t="str">
        <f t="array" ref="W243">IF(C214="","",TEXT(INDEX([1]AB4!BK:BK,MATCH(A214,[1]AB4!B:B,0)),"0.00%"))</f>
        <v>1.00%</v>
      </c>
      <c r="X243" s="91"/>
      <c r="Y243" s="117" t="str">
        <f>IF(C214="","",[1]AB5!$AA$33)</f>
        <v>When Your Short Position is Exited</v>
      </c>
      <c r="Z243" s="118"/>
      <c r="AA243" s="59"/>
      <c r="AB243" s="68"/>
      <c r="AC243" s="68"/>
    </row>
    <row r="244" spans="1:29" ht="33" customHeight="1" thickBot="1" x14ac:dyDescent="0.25">
      <c r="A244" s="152"/>
      <c r="B244" s="60"/>
      <c r="C244" s="66"/>
      <c r="D244" s="60"/>
      <c r="E244" s="66"/>
      <c r="F244" s="60"/>
      <c r="G244" s="121"/>
      <c r="H244" s="102"/>
      <c r="I244" s="121"/>
      <c r="J244" s="122"/>
      <c r="K244" s="154" t="str">
        <f>IF(C214="","",[1]AB5!$L$34)</f>
        <v>Recalcuate : Long Entry : Bear / Bear CF</v>
      </c>
      <c r="L244" s="124"/>
      <c r="M244" s="124"/>
      <c r="N244" s="38"/>
      <c r="O244" s="154" t="str">
        <f>IF(C214="","",[1]AB5!$P$34)</f>
        <v>Wait Till Recalculation Time</v>
      </c>
      <c r="P244" s="38"/>
      <c r="Q244" s="155">
        <f>IF(C214="","",C228)</f>
        <v>0.39582638888888888</v>
      </c>
      <c r="R244" s="38"/>
      <c r="S244" s="156" t="str">
        <f>IF(C214="","",CONCATENATE([1]AB5!$T$34," ( ",G220," or ",V244," ",[1]AB5!$Z$34," ",TEXT(W244,"0.00%")," )"))</f>
        <v>Max ( FUT : PRV : PW&amp;CWHH + 1.00% or 09:29:59 AM HH + 1.00% )</v>
      </c>
      <c r="T244" s="124"/>
      <c r="U244" s="38"/>
      <c r="V244" s="157" t="str">
        <f>IF(C214="","",CONCATENATE(TEXT(Q244,"HH:MM:SS AM/PM"),[1]AB5!$U$34))</f>
        <v>09:29:59 AM HH</v>
      </c>
      <c r="W244" s="158" t="str">
        <f t="array" ref="W244">IF(C214="","",TEXT(INDEX([1]AB4!BK:BK,MATCH(A220,[1]AB4!B:B,0)),"0.00%"))</f>
        <v>1.00%</v>
      </c>
      <c r="X244" s="41"/>
      <c r="Y244" s="117" t="str">
        <f>IF(C214="","",[1]AB5!$AA$34)</f>
        <v>This is Only Applicable for Same Day</v>
      </c>
      <c r="Z244" s="118"/>
      <c r="AA244" s="59"/>
      <c r="AB244" s="68"/>
      <c r="AC244" s="68"/>
    </row>
    <row r="245" spans="1:29" ht="21.75" customHeight="1" thickBot="1" x14ac:dyDescent="0.25">
      <c r="A245" s="152"/>
      <c r="B245" s="69" t="str">
        <f>IF(C214="","",[1]AB5!$B$35)</f>
        <v>For Missed SL (Position = Open)</v>
      </c>
      <c r="C245" s="29"/>
      <c r="D245" s="70" t="str">
        <f>IF(C214="","",[1]AB5!$D$36)</f>
        <v>Note: ( Optional )</v>
      </c>
      <c r="E245" s="71"/>
      <c r="F245" s="159" t="str">
        <f>IF(C214="","",[1]AB5!$I$35)</f>
        <v>For Long SL</v>
      </c>
      <c r="G245" s="136"/>
      <c r="H245" s="136"/>
      <c r="I245" s="136"/>
      <c r="J245" s="136"/>
      <c r="K245" s="136"/>
      <c r="L245" s="136"/>
      <c r="M245" s="136"/>
      <c r="N245" s="136"/>
      <c r="O245" s="136"/>
      <c r="P245" s="133"/>
      <c r="Q245" s="159" t="str">
        <f>IF(N214="","",[1]AB5!$T$35)</f>
        <v>For Short SL</v>
      </c>
      <c r="R245" s="136"/>
      <c r="S245" s="136"/>
      <c r="T245" s="136"/>
      <c r="U245" s="136"/>
      <c r="V245" s="136"/>
      <c r="W245" s="136"/>
      <c r="X245" s="136"/>
      <c r="Y245" s="136"/>
      <c r="Z245" s="136"/>
      <c r="AA245" s="133"/>
      <c r="AB245" s="68"/>
      <c r="AC245" s="68"/>
    </row>
    <row r="246" spans="1:29" ht="36" customHeight="1" x14ac:dyDescent="0.2">
      <c r="A246" s="152"/>
      <c r="B246" s="160" t="str">
        <f>IF(C214="","",[1]AB5!$B$36)</f>
        <v>Check time</v>
      </c>
      <c r="C246" s="91"/>
      <c r="D246" s="64"/>
      <c r="E246" s="59"/>
      <c r="F246" s="161" t="str">
        <f>IF(C214="","",CONCATENATE([1]AB5!$G$36,TEXT(B247,"HH:MM:SS AM/PM"),[1]AB5!$B$37,[1]AB5!$H$36))</f>
        <v>Check If Close at 03:00:00 PM  &lt; Long Original SL</v>
      </c>
      <c r="G246" s="85"/>
      <c r="H246" s="162" t="str">
        <f>IF(C214="","",[1]AB5!$I$36)</f>
        <v>Yes</v>
      </c>
      <c r="I246" s="105"/>
      <c r="J246" s="163" t="str">
        <f>IF(C214="","",CONCATENATE([1]AB5!$K$36,TEXT(B247,"HH:MM:SS AM/PM")))</f>
        <v xml:space="preserve"> Then Square Off The Position At CMP at 03:00:00 PM</v>
      </c>
      <c r="K246" s="145"/>
      <c r="L246" s="145"/>
      <c r="M246" s="145"/>
      <c r="N246" s="145"/>
      <c r="O246" s="145"/>
      <c r="P246" s="104"/>
      <c r="Q246" s="164" t="str">
        <f>IF(C214="","",CONCATENATE([1]AB5!$T$36,TEXT(B247,"HH:MM:SS AM/PM"),[1]AB5!$B$37,[1]AB5!$U$36))</f>
        <v>Check If Close at 03:00:00 PM  &gt; Short Original SL</v>
      </c>
      <c r="R246" s="145"/>
      <c r="S246" s="105"/>
      <c r="T246" s="165" t="str">
        <f>IF(C214="","",[1]AB5!$I$36)</f>
        <v>Yes</v>
      </c>
      <c r="U246" s="166" t="str">
        <f>IF(C214="","",CONCATENATE([1]AB5!$W$36,TEXT(B247,"HH:MM:SS AM/PM")))</f>
        <v xml:space="preserve"> Then Square Off The Position At CMP at 03:00:00 PM</v>
      </c>
      <c r="V246" s="145"/>
      <c r="W246" s="145"/>
      <c r="X246" s="145"/>
      <c r="Y246" s="145"/>
      <c r="Z246" s="145"/>
      <c r="AA246" s="104"/>
      <c r="AB246" s="68"/>
      <c r="AC246" s="167"/>
    </row>
    <row r="247" spans="1:29" ht="36" customHeight="1" thickBot="1" x14ac:dyDescent="0.25">
      <c r="A247" s="152"/>
      <c r="B247" s="168">
        <f t="array" ref="B247">IF(C214="","",INDEX([1]AB4!CU:CU,MATCH(A235,[1]AB4!B:B,0)))</f>
        <v>0.625</v>
      </c>
      <c r="C247" s="41"/>
      <c r="D247" s="60"/>
      <c r="E247" s="66"/>
      <c r="F247" s="169" t="str">
        <f>IF(C214="","",CONCATENATE([1]AB5!$G$37,TEXT(B247,"HH:MM:SS AM/PM"),[1]AB5!$B$37,[1]AB5!$H$37))</f>
        <v>Check If Close at 03:00:00 PM  &gt; Long Original SL</v>
      </c>
      <c r="G247" s="38"/>
      <c r="H247" s="170" t="str">
        <f>IF(C214="","",[1]AB5!$I$37)</f>
        <v>Yes</v>
      </c>
      <c r="I247" s="38"/>
      <c r="J247" s="156" t="str">
        <f>IF(C214="","",CONCATENATE([1]AB5!$K$37))</f>
        <v xml:space="preserve"> Then Continue the Position for Next Day And Calculate Stop Loss Price as per the Rules</v>
      </c>
      <c r="K247" s="124"/>
      <c r="L247" s="124"/>
      <c r="M247" s="124"/>
      <c r="N247" s="124"/>
      <c r="O247" s="124"/>
      <c r="P247" s="41"/>
      <c r="Q247" s="169" t="str">
        <f>IF(C214="","",CONCATENATE([1]AB5!$T$37,TEXT(B247,"HH:MM:SS AM/PM"),[1]AB5!$B$37,[1]AB5!$U$37))</f>
        <v>Check If Close at 03:00:00 PM  &lt; Short Original SL</v>
      </c>
      <c r="R247" s="124"/>
      <c r="S247" s="38"/>
      <c r="T247" s="171" t="str">
        <f>IF(C215="","",[1]AB5!$I$36)</f>
        <v>Yes</v>
      </c>
      <c r="U247" s="156" t="str">
        <f>IF(C214="","",CONCATENATE([1]AB5!$W$37))</f>
        <v xml:space="preserve"> Then Continue the Position for Next Day And Calculate Stop Loss Price as per the Rules</v>
      </c>
      <c r="V247" s="124"/>
      <c r="W247" s="124"/>
      <c r="X247" s="124"/>
      <c r="Y247" s="124"/>
      <c r="Z247" s="124"/>
      <c r="AA247" s="41"/>
      <c r="AB247" s="68"/>
      <c r="AC247" s="167"/>
    </row>
    <row r="248" spans="1:29" ht="15.75" customHeight="1" thickBot="1" x14ac:dyDescent="0.25">
      <c r="A248" s="177"/>
    </row>
    <row r="249" spans="1:29" ht="30.75" customHeight="1" x14ac:dyDescent="0.2">
      <c r="A249" s="18" t="str">
        <f>IF(C249="","",CONCATENATE(C250,[1]AB5!$A$4))</f>
        <v>S8A</v>
      </c>
      <c r="B249" s="20" t="str">
        <f>IF(C249="","",IF([1]AB5!$B$4="","",[1]AB5!$B$4))</f>
        <v>Sr. No.</v>
      </c>
      <c r="C249" s="172">
        <v>8</v>
      </c>
      <c r="D249" s="173" t="str">
        <f>IF(C249="","",[1]AB5!$D$4)</f>
        <v>BULL / BULL CF</v>
      </c>
      <c r="E249" s="57" t="str">
        <f>IF(C249="","",[1]AB5!$F$4)</f>
        <v>BUY</v>
      </c>
      <c r="F249" s="58" t="str">
        <f>IF(C249="","",[1]AB5!$G$4)</f>
        <v>E &amp; T</v>
      </c>
      <c r="G249" s="25" t="str">
        <f t="array" ref="G249">IF(C249="","",CONCATENATE(INDEX([1]AB4!G:G,MATCH(A249,[1]AB4!B:B,0)),INDEX([1]AB4!H:H,MATCH(A249,[1]AB4!B:B,0)),TEXT(INDEX([1]AB4!I:I,MATCH(A249,[1]AB4!B:B,0)),"0.00%")))</f>
        <v>FUT : PRV : 1DHH + 0.00%</v>
      </c>
      <c r="H249" s="26">
        <f t="array" ref="H249">IF(C249="","",INDEX([1]AB4!J:J,MATCH(A249,[1]AB4!B:B,0)))</f>
        <v>5</v>
      </c>
      <c r="I249" s="27"/>
      <c r="J249" s="28" t="str">
        <f t="array" ref="J249">IF(C249="","",CONCATENATE(INDEX([1]AB4!L:L,MATCH(A249,[1]AB4!B:B,0)),INDEX([1]AB4!M:M,MATCH(A249,[1]AB4!B:B,0)),TEXT(INDEX([1]AB4!N:N,MATCH(A249,[1]AB4!B:B,0)),"0.00%")))</f>
        <v>L : Entry  + 1.50%</v>
      </c>
      <c r="K249" s="26">
        <f t="array" ref="K249">IF(C249="","",INDEX([1]AB4!O:O,MATCH(A249,[1]AB4!B:B,0)))</f>
        <v>1</v>
      </c>
      <c r="L249" s="27"/>
      <c r="M249" s="28" t="str">
        <f t="array" ref="M249">IF(C249="","",CONCATENATE(INDEX([1]AB4!L:L,MATCH(A249,[1]AB4!B:B,0)),INDEX([1]AB4!M:M,MATCH(A249,[1]AB4!B:B,0)),TEXT(INDEX([1]AB4!P:P,MATCH(A249,[1]AB4!B:B,0)),"0.00%")))</f>
        <v>L : Entry  + 2.00%</v>
      </c>
      <c r="N249" s="26">
        <f t="array" ref="N249">IF(C249="","",INDEX([1]AB4!Q:Q,MATCH(A249,[1]AB4!B:B,0)))</f>
        <v>1</v>
      </c>
      <c r="O249" s="27"/>
      <c r="P249" s="28" t="str">
        <f t="array" ref="P249">IF(C249="","",CONCATENATE(INDEX([1]AB4!L:L,MATCH(A249,[1]AB4!B:B,0)),INDEX([1]AB4!M:M,MATCH(A249,[1]AB4!B:B,0)),TEXT(INDEX([1]AB4!R:R,MATCH(A249,[1]AB4!B:B,0)),"0.00%")))</f>
        <v>L : Entry  + 2.50%</v>
      </c>
      <c r="Q249" s="26">
        <f t="array" ref="Q249">IF(C249="","",INDEX([1]AB4!S:S,MATCH(A249,[1]AB4!B:B,0)))</f>
        <v>1</v>
      </c>
      <c r="R249" s="27"/>
      <c r="S249" s="28" t="str">
        <f t="array" ref="S249">IF(C249="","",CONCATENATE(INDEX([1]AB4!L:L,MATCH(A249,[1]AB4!B:B,0)),INDEX([1]AB4!M:M,MATCH(A249,[1]AB4!B:B,0)),TEXT(INDEX([1]AB4!T:T,MATCH(A249,[1]AB4!B:B,0)),"0.00%")))</f>
        <v>L : Entry  + 3.00%</v>
      </c>
      <c r="T249" s="26">
        <f t="array" ref="T249">IF(C249="","",INDEX([1]AB4!U:U,MATCH(A249,[1]AB4!B:B,0)))</f>
        <v>1</v>
      </c>
      <c r="U249" s="27"/>
      <c r="V249" s="28" t="str">
        <f t="array" ref="V249">IF(C249="","",INDEX([1]AB4!V:V,MATCH(A249,[1]AB4!B:B,0)))</f>
        <v>TR PROFIT AFTER TGT 4</v>
      </c>
      <c r="W249" s="26">
        <f t="array" ref="W249">IF(C249="","",INDEX([1]AB4!W:W,MATCH(A249,[1]AB4!B:B,0)))</f>
        <v>1</v>
      </c>
      <c r="X249" s="27"/>
      <c r="Y249" s="28" t="str">
        <f t="array" ref="Y249">IF(C249="","",INDEX([1]AB4!X:X,MATCH(A249,[1]AB4!B:B,0)))</f>
        <v>N.A.</v>
      </c>
      <c r="Z249" s="26" t="str">
        <f t="array" ref="Z249">IF(C249="","",INDEX([1]AB4!Y:Y,MATCH(A249,[1]AB4!B:B,0)))</f>
        <v>N.A.</v>
      </c>
      <c r="AA249" s="29"/>
      <c r="AB249" s="30"/>
      <c r="AC249" s="30"/>
    </row>
    <row r="250" spans="1:29" ht="44.25" customHeight="1" thickBot="1" x14ac:dyDescent="0.25">
      <c r="A250" s="18" t="str">
        <f>IF(C249="","",CONCATENATE(C250,[1]AB5!$A$5))</f>
        <v>S8A</v>
      </c>
      <c r="B250" s="31" t="str">
        <f>IF(C249="","",IF([1]AB5!$B$5="","",[1]AB5!$B$5))</f>
        <v>Strategy Code</v>
      </c>
      <c r="C250" s="54" t="str">
        <f t="array" ref="C250">IF(C249="","",INDEX([1]AB2!B:B,MATCH(C249,[1]AB2!A:A,0)))</f>
        <v>S8</v>
      </c>
      <c r="D250" s="59"/>
      <c r="E250" s="60"/>
      <c r="F250" s="61" t="str">
        <f>IF(C249="","",[1]AB5!$G$5)</f>
        <v>SL / TRP</v>
      </c>
      <c r="G250" s="36" t="str">
        <f t="array" ref="G250">IF(C249="","",CONCATENATE(INDEX([1]AB4!AA:AA,MATCH(A250,[1]AB4!B:B,0))," ( ",INDEX([1]AB4!AE:AE,MATCH(A250,[1]AB4!B:B,0)),INDEX([1]AB4!AF:AF,MATCH(A250,[1]AB4!B:B,0)),TEXT(INDEX([1]AB4!AG:AG,MATCH(A250,[1]AB4!B:B,0)),"0.00%")," or ",INDEX([1]AB4!AK:AK,MATCH(A250,[1]AB4!B:B,0)),INDEX([1]AB4!AJ:AJ,MATCH(A250,[1]AB4!B:B,0)),TEXT(INDEX([1]AB4!AL:AL,MATCH(A250,[1]AB4!B:B,0)),"0.00%")," )"))</f>
        <v>Max ( L : Entry - 1.50% or FUT : PRV : 2DLL - 0.18% )</v>
      </c>
      <c r="H250" s="37">
        <f t="array" ref="H250">IF(C250="","",INDEX([1]AB4!AM:AM,MATCH(A250,[1]AB4!B:B,0)))</f>
        <v>5</v>
      </c>
      <c r="I250" s="38"/>
      <c r="J250" s="36" t="str">
        <f t="array" ref="J250">IF(C249="","",CONCATENATE(INDEX([1]AB4!AA:AA,MATCH(A250,[1]AB4!B:B,0))," ( ",INDEX([1]AB4!AE:AE,MATCH(A250,[1]AB4!B:B,0))," or ",INDEX([1]AB4!AN:AN,MATCH(A250,[1]AB4!B:B,0)),INDEX([1]AB4!AJ:AJ,MATCH(A250,[1]AB4!B:B,0)),TEXT(INDEX([1]AB4!AO:AO,MATCH(A250,[1]AB4!B:B,0)),"0.00%")," )"))</f>
        <v>Max ( L : Entry or FUT : PRV : 2DLL - 0.18% )</v>
      </c>
      <c r="K250" s="37">
        <f t="array" ref="K250">IF(C249="","",INDEX([1]AB4!AP:AP,MATCH(A250,[1]AB4!B:B,0)))</f>
        <v>4</v>
      </c>
      <c r="L250" s="38"/>
      <c r="M250" s="36" t="str">
        <f t="array" ref="M250">IF(C249="","",CONCATENATE(INDEX([1]AB4!AA:AA,MATCH(A250,[1]AB4!B:B,0))," ( ",INDEX([1]AB4!AE:AE,MATCH(A250,[1]AB4!B:B,0))," or ",INDEX([1]AB4!AQ:AQ,MATCH(A250,[1]AB4!B:B,0)),INDEX([1]AB4!AJ:AJ,MATCH(A250,[1]AB4!B:B,0)),TEXT(INDEX([1]AB4!AR:AR,MATCH(A250,[1]AB4!B:B,0)),"0.00%")," )"))</f>
        <v>Max ( L : Entry or FUT : PRV : 2DLL - 0.18% )</v>
      </c>
      <c r="N250" s="37">
        <f t="array" ref="N250">IF(C250="","",INDEX([1]AB4!AS:AS,MATCH(A250,[1]AB4!B:B,0)))</f>
        <v>3</v>
      </c>
      <c r="O250" s="38"/>
      <c r="P250" s="36" t="str">
        <f t="array" ref="P250">IF(C249="","",CONCATENATE(INDEX([1]AB4!AA:AA,MATCH(A250,[1]AB4!B:B,0))," ( ",INDEX([1]AB4!AE:AE,MATCH(A250,[1]AB4!B:B,0))," or ",INDEX([1]AB4!AT:AT,MATCH(A250,[1]AB4!B:B,0)),INDEX([1]AB4!AJ:AJ,MATCH(A250,[1]AB4!B:B,0)),TEXT(INDEX([1]AB4!AU:AU,MATCH(A250,[1]AB4!B:B,0)),"0.00%")," )"))</f>
        <v>Max ( L : Entry or FUT : PRV : 2DLL - 0.18% )</v>
      </c>
      <c r="Q250" s="37">
        <f t="array" ref="Q250">IF(C250="","",INDEX([1]AB4!AV:AV,MATCH(A250,[1]AB4!B:B,0)))</f>
        <v>2</v>
      </c>
      <c r="R250" s="38"/>
      <c r="S250" s="36" t="str">
        <f t="array" ref="S250">IF(C249="","",CONCATENATE(INDEX([1]AB4!AA:AA,MATCH(A250,[1]AB4!B:B,0))," ( ",INDEX([1]AB4!AE:AE,MATCH(A250,[1]AB4!B:B,0))," or ",INDEX([1]AB4!AW:AW,MATCH(A250,[1]AB4!B:B,0)),INDEX([1]AB4!AJ:AJ,MATCH(A250,[1]AB4!B:B,0)),TEXT(INDEX([1]AB4!AX:AX,MATCH(A250,[1]AB4!B:B,0)),"0.00%")," )"))</f>
        <v>Max ( L : Entry or FUT : PRV : 2DLL - 0.18% )</v>
      </c>
      <c r="T250" s="37">
        <f t="array" ref="T250">IF(C249="","",INDEX([1]AB4!AY:AY,MATCH(A250,[1]AB4!B:B,0)))</f>
        <v>1</v>
      </c>
      <c r="U250" s="38"/>
      <c r="V250" s="36" t="str">
        <f t="array" ref="V250">IF(C249="","",CONCATENATE(INDEX([1]AB4!AA:AA,MATCH(A250,[1]AB4!B:B,0))," ( ",INDEX([1]AB4!AE:AE,MATCH(A250,[1]AB4!B:B,0))," or ",INDEX([1]AB4!AW:AW,MATCH(A250,[1]AB4!B:B,0)),INDEX([1]AB4!AJ:AJ,MATCH(A250,[1]AB4!B:B,0)),TEXT(INDEX([1]AB4!AX:AX,MATCH(A250,[1]AB4!B:B,0)),"0.00%")," )"))</f>
        <v>Max ( L : Entry or FUT : PRV : 2DLL - 0.18% )</v>
      </c>
      <c r="W250" s="37">
        <f t="array" ref="W250">IF(C249="","",INDEX([1]AB4!AY:AY,MATCH(A250,[1]AB4!B:B,0)))</f>
        <v>1</v>
      </c>
      <c r="X250" s="38"/>
      <c r="Y250" s="40">
        <f t="array" ref="Y250">IF(C249="","",INDEX([1]AB4!AZ:AZ,MATCH(A250,[1]AB4!B:B,0)))</f>
        <v>0</v>
      </c>
      <c r="Z250" s="37">
        <f t="array" ref="Z250">IF(C249="","",INDEX([1]AB4!BB:BB,MATCH(A250,[1]AB4!B:B,0)))</f>
        <v>0</v>
      </c>
      <c r="AA250" s="41"/>
      <c r="AB250" s="30"/>
      <c r="AC250" s="30"/>
    </row>
    <row r="251" spans="1:29" ht="6" customHeight="1" thickBot="1" x14ac:dyDescent="0.25">
      <c r="A251" s="18" t="str">
        <f>IF(C249="","",CONCATENATE(C250,[1]AB5!A261))</f>
        <v>S8</v>
      </c>
      <c r="B251" s="42" t="str">
        <f>IF(C249="","",IF([1]AB5!$B$6="","",[1]AB5!$B$6))</f>
        <v>Unique Code</v>
      </c>
      <c r="C251" s="174" t="str">
        <f t="array" ref="C251">IF(C249="","",INDEX([1]AB2!N:N,MATCH(C249,[1]AB2!A:A,0)))</f>
        <v>NIFTY_FUT_MT_DIFF_1D_2D</v>
      </c>
      <c r="D251" s="59"/>
      <c r="E251" s="44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6"/>
      <c r="AB251" s="30"/>
      <c r="AC251" s="30"/>
    </row>
    <row r="252" spans="1:29" ht="30.75" customHeight="1" x14ac:dyDescent="0.2">
      <c r="A252" s="18" t="str">
        <f>IF(C249="","",CONCATENATE(C250,[1]AB5!$A$7))</f>
        <v>S8B</v>
      </c>
      <c r="B252" s="47"/>
      <c r="C252" s="175"/>
      <c r="D252" s="59"/>
      <c r="E252" s="65" t="str">
        <f>IF(C249="","",[1]AB5!$F$7)</f>
        <v>SELL</v>
      </c>
      <c r="F252" s="58" t="str">
        <f>IF(C249="","",[1]AB5!$G$7)</f>
        <v>E &amp; T</v>
      </c>
      <c r="G252" s="25" t="str">
        <f t="array" ref="G252">IF(C249="","",CONCATENATE(INDEX([1]AB4!G:G,MATCH(A252,[1]AB4!B:B,0)),INDEX([1]AB4!H:H,MATCH(A252,[1]AB4!B:B,0)),TEXT(INDEX([1]AB4!I:I,MATCH(A252,[1]AB4!B:B,0)),"0.00%")))</f>
        <v>FUT : PRV : 2DLL - 0.18%</v>
      </c>
      <c r="H252" s="26">
        <f t="array" ref="H252">IF(C249="","",INDEX([1]AB4!J:J,MATCH(A252,[1]AB4!B:B,0)))</f>
        <v>5</v>
      </c>
      <c r="I252" s="27"/>
      <c r="J252" s="28" t="str">
        <f t="array" ref="J252">IF(C249="","",CONCATENATE(INDEX([1]AB4!L:L,MATCH(A252,[1]AB4!B:B,0)),INDEX([1]AB4!M:M,MATCH(A252,[1]AB4!B:B,0)),TEXT(INDEX([1]AB4!N:N,MATCH(A252,[1]AB4!B:B,0)),"0.00%")))</f>
        <v>S : Entry  - 1.50%</v>
      </c>
      <c r="K252" s="26">
        <f t="array" ref="K252">IF(C249="","",INDEX([1]AB4!O:O,MATCH(A252,[1]AB4!B:B,0)))</f>
        <v>1</v>
      </c>
      <c r="L252" s="27"/>
      <c r="M252" s="28" t="str">
        <f t="array" ref="M252">IF(C249="","",CONCATENATE(INDEX([1]AB4!L:L,MATCH(A252,[1]AB4!B:B,0)),INDEX([1]AB4!M:M,MATCH(A252,[1]AB4!B:B,0)),TEXT(INDEX([1]AB4!P:P,MATCH(A252,[1]AB4!B:B,0)),"0.00%")))</f>
        <v>S : Entry  - 2.00%</v>
      </c>
      <c r="N252" s="26">
        <f t="array" ref="N252">IF(C249="","",INDEX([1]AB4!Q:Q,MATCH(A252,[1]AB4!B:B,0)))</f>
        <v>1</v>
      </c>
      <c r="O252" s="27"/>
      <c r="P252" s="28" t="str">
        <f t="array" ref="P252">IF(C249="","",CONCATENATE(INDEX([1]AB4!L:L,MATCH(A252,[1]AB4!B:B,0)),INDEX([1]AB4!M:M,MATCH(A252,[1]AB4!B:B,0)),TEXT(INDEX([1]AB4!R:R,MATCH(A252,[1]AB4!B:B,0)),"0.00%")))</f>
        <v>S : Entry  - 2.50%</v>
      </c>
      <c r="Q252" s="26">
        <f t="array" ref="Q252">IF(C249="","",INDEX([1]AB4!S:S,MATCH(A252,[1]AB4!B:B,0)))</f>
        <v>1</v>
      </c>
      <c r="R252" s="27"/>
      <c r="S252" s="28" t="str">
        <f t="array" ref="S252">IF(C249="","",CONCATENATE(INDEX([1]AB4!L:L,MATCH(A252,[1]AB4!B:B,0)),INDEX([1]AB4!M:M,MATCH(A252,[1]AB4!B:B,0)),TEXT(INDEX([1]AB4!T:T,MATCH(A252,[1]AB4!B:B,0)),"0.00%")))</f>
        <v>S : Entry  - 3.00%</v>
      </c>
      <c r="T252" s="26">
        <f t="array" ref="T252">IF(C249="","",INDEX([1]AB4!U:U,MATCH(A252,[1]AB4!B:B,0)))</f>
        <v>1</v>
      </c>
      <c r="U252" s="27"/>
      <c r="V252" s="28" t="str">
        <f t="array" ref="V252">IF(C249="","",INDEX([1]AB4!V:V,MATCH(A252,[1]AB4!B:B,0)))</f>
        <v>TR PROFIT AFTER TGT 4</v>
      </c>
      <c r="W252" s="26">
        <f t="array" ref="W252">IF(C249="","",INDEX([1]AB4!W:W,MATCH(A252,[1]AB4!B:B,0)))</f>
        <v>1</v>
      </c>
      <c r="X252" s="27"/>
      <c r="Y252" s="28" t="str">
        <f t="array" ref="Y252">IF(C249="","",INDEX([1]AB4!X:X,MATCH(A252,[1]AB4!B:B,0)))</f>
        <v>N.A.</v>
      </c>
      <c r="Z252" s="26" t="str">
        <f t="array" ref="Z252">IF(C249="","",INDEX([1]AB4!Y:Y,MATCH(A252,[1]AB4!B:B,0)))</f>
        <v>N.A.</v>
      </c>
      <c r="AA252" s="29"/>
      <c r="AB252" s="30"/>
      <c r="AC252" s="30"/>
    </row>
    <row r="253" spans="1:29" ht="44.25" customHeight="1" thickBot="1" x14ac:dyDescent="0.25">
      <c r="A253" s="18" t="str">
        <f>IF(C249="","",CONCATENATE(C250,[1]AB5!$A$8))</f>
        <v>S8B</v>
      </c>
      <c r="B253" s="50"/>
      <c r="C253" s="176"/>
      <c r="D253" s="66"/>
      <c r="E253" s="60"/>
      <c r="F253" s="61" t="str">
        <f>IF(C249="","",[1]AB5!$G$8)</f>
        <v>SL / TRP</v>
      </c>
      <c r="G253" s="36" t="str">
        <f t="array" ref="G253">IF(C249="","",CONCATENATE(INDEX([1]AB4!AA:AA,MATCH(A253,[1]AB4!B:B,0))," ( ",INDEX([1]AB4!AE:AE,MATCH(A253,[1]AB4!B:B,0)),INDEX([1]AB4!AF:AF,MATCH(A253,[1]AB4!B:B,0)),TEXT(INDEX([1]AB4!AG:AG,MATCH(A253,[1]AB4!B:B,0)),"0.00%")," or ",INDEX([1]AB4!AK:AK,MATCH(A253,[1]AB4!B:B,0)),INDEX([1]AB4!AJ:AJ,MATCH(A253,[1]AB4!B:B,0)),TEXT(INDEX([1]AB4!AL:AL,MATCH(A253,[1]AB4!B:B,0)),"0.00%")," )"))</f>
        <v>Min ( S : Entry + 1.50% or FUT : PRV : 1DHH + 0.00% )</v>
      </c>
      <c r="H253" s="37">
        <f t="array" ref="H253">IF(C249="","",INDEX([1]AB4!AM:AM,MATCH(A253,[1]AB4!B:B,0)))</f>
        <v>5</v>
      </c>
      <c r="I253" s="38"/>
      <c r="J253" s="36" t="str">
        <f t="array" ref="J253">IF(C249="","",CONCATENATE(INDEX([1]AB4!AA:AA,MATCH(A253,[1]AB4!B:B,0))," ( ",INDEX([1]AB4!AE:AE,MATCH(A253,[1]AB4!B:B,0))," or ",INDEX([1]AB4!AN:AN,MATCH(A253,[1]AB4!B:B,0)),INDEX([1]AB4!AJ:AJ,MATCH(A253,[1]AB4!B:B,0)),TEXT(INDEX([1]AB4!AO:AO,MATCH(A253,[1]AB4!B:B,0)),"0.00%")," )"))</f>
        <v>Min ( S : Entry or FUT : PRV : 1DHH + 0.00% )</v>
      </c>
      <c r="K253" s="37">
        <f t="array" ref="K253">IF(C249="","",INDEX([1]AB4!AP:AP,MATCH(A253,[1]AB4!B:B,0)))</f>
        <v>4</v>
      </c>
      <c r="L253" s="38"/>
      <c r="M253" s="36" t="str">
        <f t="array" ref="M253">IF(C249="","",CONCATENATE(INDEX([1]AB4!AA:AA,MATCH(A253,[1]AB4!B:B,0))," ( ",INDEX([1]AB4!AE:AE,MATCH(A253,[1]AB4!B:B,0))," or ",INDEX([1]AB4!AQ:AQ,MATCH(A253,[1]AB4!B:B,0)),INDEX([1]AB4!AJ:AJ,MATCH(A253,[1]AB4!B:B,0)),TEXT(INDEX([1]AB4!AR:AR,MATCH(A253,[1]AB4!B:B,0)),"0.00%")," )"))</f>
        <v>Min ( S : Entry or FUT : PRV : 1DHH + 0.00% )</v>
      </c>
      <c r="N253" s="37">
        <f t="array" ref="N253">IF(C249="","",INDEX([1]AB4!AS:AS,MATCH(A253,[1]AB4!B:B,0)))</f>
        <v>3</v>
      </c>
      <c r="O253" s="38"/>
      <c r="P253" s="36" t="str">
        <f t="array" ref="P253">IF(C249="","",CONCATENATE(INDEX([1]AB4!AA:AA,MATCH(A253,[1]AB4!B:B,0))," ( ",INDEX([1]AB4!AE:AE,MATCH(A253,[1]AB4!B:B,0))," or ",INDEX([1]AB4!AT:AT,MATCH(A253,[1]AB4!B:B,0)),INDEX([1]AB4!AJ:AJ,MATCH(A253,[1]AB4!B:B,0)),TEXT(INDEX([1]AB4!AU:AU,MATCH(A253,[1]AB4!B:B,0)),"0.00%")," )"))</f>
        <v>Min ( S : Entry or FUT : PRV : 1DHH + 0.00% )</v>
      </c>
      <c r="Q253" s="37">
        <f t="array" ref="Q253">IF(C249="","",INDEX([1]AB4!AV:AV,MATCH(A253,[1]AB4!B:B,0)))</f>
        <v>2</v>
      </c>
      <c r="R253" s="38"/>
      <c r="S253" s="36" t="str">
        <f t="array" ref="S253">IF(C249="","",CONCATENATE(INDEX([1]AB4!AA:AA,MATCH(A253,[1]AB4!B:B,0))," ( ",INDEX([1]AB4!AE:AE,MATCH(A253,[1]AB4!B:B,0))," or ",INDEX([1]AB4!AW:AW,MATCH(A253,[1]AB4!B:B,0)),INDEX([1]AB4!AJ:AJ,MATCH(A253,[1]AB4!B:B,0)),TEXT(INDEX([1]AB4!AX:AX,MATCH(A253,[1]AB4!B:B,0)),"0.00%")," )"))</f>
        <v>Min ( S : Entry or FUT : PRV : 1DHH + 0.00% )</v>
      </c>
      <c r="T253" s="37">
        <f t="array" ref="T253">IF(C249="","",INDEX([1]AB4!AY:AY,MATCH(A253,[1]AB4!B:B,0)))</f>
        <v>1</v>
      </c>
      <c r="U253" s="38"/>
      <c r="V253" s="36" t="str">
        <f t="array" ref="V253">IF(C249="","",CONCATENATE(INDEX([1]AB4!AA:AA,MATCH(A253,[1]AB4!B:B,0))," ( ",INDEX([1]AB4!AE:AE,MATCH(A253,[1]AB4!B:B,0))," or ",INDEX([1]AB4!AW:AW,MATCH(A253,[1]AB4!B:B,0)),INDEX([1]AB4!AJ:AJ,MATCH(A253,[1]AB4!B:B,0)),TEXT(INDEX([1]AB4!AX:AX,MATCH(A253,[1]AB4!B:B,0)),"0.00%")," )"))</f>
        <v>Min ( S : Entry or FUT : PRV : 1DHH + 0.00% )</v>
      </c>
      <c r="W253" s="37">
        <f t="array" ref="W253">IF(C249="","",INDEX([1]AB4!AY:AY,MATCH(A253,[1]AB4!B:B,0)))</f>
        <v>1</v>
      </c>
      <c r="X253" s="38"/>
      <c r="Y253" s="40">
        <f t="array" ref="Y253">IF(C249="","",INDEX([1]AB4!AZ:AZ,MATCH(A253,[1]AB4!B:B,0)))</f>
        <v>0</v>
      </c>
      <c r="Z253" s="37">
        <f t="array" ref="Z253">IF(C249="","",INDEX([1]AB4!BB:BB,MATCH(A253,[1]AB4!B:B,0)))</f>
        <v>0</v>
      </c>
      <c r="AA253" s="41"/>
      <c r="AB253" s="30"/>
      <c r="AC253" s="30"/>
    </row>
    <row r="254" spans="1:29" ht="19.5" customHeight="1" thickBot="1" x14ac:dyDescent="0.25">
      <c r="A254" s="18" t="str">
        <f>IF(C249="","",CONCATENATE(C250,[1]AB5!$A$9))</f>
        <v>S8C</v>
      </c>
      <c r="B254" s="31" t="str">
        <f>IF(C249="","",IF([1]AB5!$B$9="","",[1]AB5!$B$9))</f>
        <v>Segment</v>
      </c>
      <c r="C254" s="54" t="str">
        <f t="array" ref="C254">IF(C249="","",INDEX([1]AB2!C:C,MATCH(C249,[1]AB2!A:A,0)))</f>
        <v>FUTURES</v>
      </c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30"/>
      <c r="AC254" s="30"/>
    </row>
    <row r="255" spans="1:29" ht="30.75" customHeight="1" x14ac:dyDescent="0.2">
      <c r="A255" s="18" t="str">
        <f>IF(C249="","",CONCATENATE(C250,[1]AB5!$A$10))</f>
        <v>S8D</v>
      </c>
      <c r="B255" s="31" t="str">
        <f>IF(C249="","",IF([1]AB5!$B$10="","",[1]AB5!$B$10))</f>
        <v>Symbol</v>
      </c>
      <c r="C255" s="54" t="str">
        <f t="array" ref="C255">IF(C249="","",INDEX([1]AB2!E:E,MATCH(C249,[1]AB2!A:A,0)))</f>
        <v>NIFTY</v>
      </c>
      <c r="D255" s="56" t="str">
        <f>IF(C249="","",IF(C249="","",[1]AB5!$D$10))</f>
        <v>BEAR / BEAR CF</v>
      </c>
      <c r="E255" s="57" t="str">
        <f>IF(C249="","",[1]AB5!$F$10)</f>
        <v>BUY</v>
      </c>
      <c r="F255" s="58" t="str">
        <f>IF(C249="","",[1]AB5!$G$10)</f>
        <v>E &amp; T</v>
      </c>
      <c r="G255" s="25" t="str">
        <f t="array" ref="G255">IF(C249="","",CONCATENATE(INDEX([1]AB4!G:G,MATCH(A255,[1]AB4!B:B,0)),INDEX([1]AB4!H:H,MATCH(A255,[1]AB4!B:B,0)),TEXT(INDEX([1]AB4!I:I,MATCH(A255,[1]AB4!B:B,0)),"0.00%")))</f>
        <v>FUT : PRV : 2DHH + 0.18%</v>
      </c>
      <c r="H255" s="26">
        <f t="array" ref="H255">IF(C249="","",INDEX([1]AB4!J:J,MATCH(A255,[1]AB4!B:B,0)))</f>
        <v>5</v>
      </c>
      <c r="I255" s="27"/>
      <c r="J255" s="28" t="str">
        <f t="array" ref="J255">IF(C249="","",CONCATENATE(INDEX([1]AB4!L:L,MATCH(A255,[1]AB4!B:B,0)),INDEX([1]AB4!M:M,MATCH(A255,[1]AB4!B:B,0)),TEXT(INDEX([1]AB4!N:N,MATCH(A255,[1]AB4!B:B,0)),"0.00%")))</f>
        <v>L : Entry  + 1.50%</v>
      </c>
      <c r="K255" s="26">
        <f t="array" ref="K255">IF(C249="","",INDEX([1]AB4!O:O,MATCH(A255,[1]AB4!B:B,0)))</f>
        <v>1</v>
      </c>
      <c r="L255" s="27"/>
      <c r="M255" s="28" t="str">
        <f t="array" ref="M255">IF(C249="","",CONCATENATE(INDEX([1]AB4!L:L,MATCH(A255,[1]AB4!B:B,0)),INDEX([1]AB4!M:M,MATCH(A255,[1]AB4!B:B,0)),TEXT(INDEX([1]AB4!P:P,MATCH(A255,[1]AB4!B:B,0)),"0.00%")))</f>
        <v>L : Entry  + 2.00%</v>
      </c>
      <c r="N255" s="26">
        <f t="array" ref="N255">IF(C249="","",INDEX([1]AB4!Q:Q,MATCH(A255,[1]AB4!B:B,0)))</f>
        <v>1</v>
      </c>
      <c r="O255" s="27"/>
      <c r="P255" s="28" t="str">
        <f t="array" ref="P255">IF(C249="","",CONCATENATE(INDEX([1]AB4!L:L,MATCH(A255,[1]AB4!B:B,0)),INDEX([1]AB4!M:M,MATCH(A255,[1]AB4!B:B,0)),TEXT(INDEX([1]AB4!R:R,MATCH(A255,[1]AB4!B:B,0)),"0.00%")))</f>
        <v>L : Entry  + 2.50%</v>
      </c>
      <c r="Q255" s="26">
        <f t="array" ref="Q255">IF(C249="","",INDEX([1]AB4!S:S,MATCH(A255,[1]AB4!B:B,0)))</f>
        <v>1</v>
      </c>
      <c r="R255" s="27"/>
      <c r="S255" s="28" t="str">
        <f t="array" ref="S255">IF(C249="","",CONCATENATE(INDEX([1]AB4!L:L,MATCH(A255,[1]AB4!B:B,0)),INDEX([1]AB4!M:M,MATCH(A255,[1]AB4!B:B,0)),TEXT(INDEX([1]AB4!T:T,MATCH(A255,[1]AB4!B:B,0)),"0.00%")))</f>
        <v>L : Entry  + 3.00%</v>
      </c>
      <c r="T255" s="26">
        <f t="array" ref="T255">IF(C249="","",INDEX([1]AB4!U:U,MATCH(A255,[1]AB4!B:B,0)))</f>
        <v>1</v>
      </c>
      <c r="U255" s="27"/>
      <c r="V255" s="28" t="str">
        <f t="array" ref="V255">IF(C249="","",INDEX([1]AB4!V:V,MATCH(A255,[1]AB4!B:B,0)))</f>
        <v>TR PROFIT AFTER TGT 4</v>
      </c>
      <c r="W255" s="26">
        <f t="array" ref="W255">IF(C249="","",INDEX([1]AB4!W:W,MATCH(A255,[1]AB4!B:B,0)))</f>
        <v>1</v>
      </c>
      <c r="X255" s="27"/>
      <c r="Y255" s="28" t="str">
        <f t="array" ref="Y255">IF(C249="","",INDEX([1]AB4!X:X,MATCH(A255,[1]AB4!B:B,0)))</f>
        <v>N.A.</v>
      </c>
      <c r="Z255" s="26" t="str">
        <f t="array" ref="Z255">IF(C249="","",INDEX([1]AB4!Y:Y,MATCH(A255,[1]AB4!B:B,0)))</f>
        <v>N.A.</v>
      </c>
      <c r="AA255" s="29"/>
      <c r="AB255" s="30"/>
      <c r="AC255" s="30"/>
    </row>
    <row r="256" spans="1:29" ht="44.25" customHeight="1" thickBot="1" x14ac:dyDescent="0.25">
      <c r="A256" s="18" t="str">
        <f>IF(C249="","",CONCATENATE(C250,[1]AB5!$A$11))</f>
        <v>S8D</v>
      </c>
      <c r="B256" s="31" t="str">
        <f>IF(C249="","",IF([1]AB5!$B$11="","",[1]AB5!$B$11))</f>
        <v>No. of TGT</v>
      </c>
      <c r="C256" s="54" t="str">
        <f t="array" ref="C256">IF(C249="","",INDEX([1]AB2!K:K,MATCH(C249,[1]AB2!A:A,0)))</f>
        <v>4 &amp; APS</v>
      </c>
      <c r="D256" s="59"/>
      <c r="E256" s="60"/>
      <c r="F256" s="61" t="str">
        <f>IF(C249="","",[1]AB5!$G$11)</f>
        <v>SL / TRP</v>
      </c>
      <c r="G256" s="36" t="str">
        <f t="array" ref="G256">IF(C249="","",CONCATENATE(INDEX([1]AB4!AA:AA,MATCH(A256,[1]AB4!B:B,0))," ( ",INDEX([1]AB4!AE:AE,MATCH(A256,[1]AB4!B:B,0)),INDEX([1]AB4!AF:AF,MATCH(A256,[1]AB4!B:B,0)),TEXT(INDEX([1]AB4!AG:AG,MATCH(A256,[1]AB4!B:B,0)),"0.00%")," or ",INDEX([1]AB4!AK:AK,MATCH(A256,[1]AB4!B:B,0)),INDEX([1]AB4!AJ:AJ,MATCH(A256,[1]AB4!B:B,0)),TEXT(INDEX([1]AB4!AL:AL,MATCH(A256,[1]AB4!B:B,0)),"0.00%")," )"))</f>
        <v>Max ( L : Entry - 1.50% or FUT : PRV : 1DLL - 0.00% )</v>
      </c>
      <c r="H256" s="37">
        <f t="array" ref="H256">IF(C249="","",INDEX([1]AB4!AM:AM,MATCH(A256,[1]AB4!B:B,0)))</f>
        <v>5</v>
      </c>
      <c r="I256" s="38"/>
      <c r="J256" s="36" t="str">
        <f t="array" ref="J256">IF(C249="","",CONCATENATE(INDEX([1]AB4!AA:AA,MATCH(A256,[1]AB4!B:B,0))," ( ",INDEX([1]AB4!AE:AE,MATCH(A256,[1]AB4!B:B,0))," or ",INDEX([1]AB4!AN:AN,MATCH(A256,[1]AB4!B:B,0)),INDEX([1]AB4!AJ:AJ,MATCH(A256,[1]AB4!B:B,0)),TEXT(INDEX([1]AB4!AO:AO,MATCH(A256,[1]AB4!B:B,0)),"0.00%")," )"))</f>
        <v>Max ( L : Entry or FUT : PRV : 1DLL - 0.00% )</v>
      </c>
      <c r="K256" s="37">
        <f t="array" ref="K256">IF(C249="","",INDEX([1]AB4!AP:AP,MATCH(A256,[1]AB4!B:B,0)))</f>
        <v>4</v>
      </c>
      <c r="L256" s="38"/>
      <c r="M256" s="36" t="str">
        <f t="array" ref="M256">IF(C249="","",CONCATENATE(INDEX([1]AB4!AA:AA,MATCH(A256,[1]AB4!B:B,0))," ( ",INDEX([1]AB4!AE:AE,MATCH(A256,[1]AB4!B:B,0))," or ",INDEX([1]AB4!AQ:AQ,MATCH(A256,[1]AB4!B:B,0)),INDEX([1]AB4!AJ:AJ,MATCH(A256,[1]AB4!B:B,0)),TEXT(INDEX([1]AB4!AR:AR,MATCH(A256,[1]AB4!B:B,0)),"0.00%")," )"))</f>
        <v>Max ( L : Entry or FUT : PRV : 1DLL - 0.00% )</v>
      </c>
      <c r="N256" s="37">
        <f t="array" ref="N256">IF(C249="","",INDEX([1]AB4!AS:AS,MATCH(A256,[1]AB4!B:B,0)))</f>
        <v>3</v>
      </c>
      <c r="O256" s="38"/>
      <c r="P256" s="36" t="str">
        <f t="array" ref="P256">IF(C249="","",CONCATENATE(INDEX([1]AB4!AA:AA,MATCH(A256,[1]AB4!B:B,0))," ( ",INDEX([1]AB4!AE:AE,MATCH(A256,[1]AB4!B:B,0))," or ",INDEX([1]AB4!AT:AT,MATCH(A256,[1]AB4!B:B,0)),INDEX([1]AB4!AJ:AJ,MATCH(A256,[1]AB4!B:B,0)),TEXT(INDEX([1]AB4!AU:AU,MATCH(A256,[1]AB4!B:B,0)),"0.00%")," )"))</f>
        <v>Max ( L : Entry or FUT : PRV : 1DLL - 0.00% )</v>
      </c>
      <c r="Q256" s="37">
        <f t="array" ref="Q256">IF(C249="","",INDEX([1]AB4!AV:AV,MATCH(A256,[1]AB4!B:B,0)))</f>
        <v>2</v>
      </c>
      <c r="R256" s="38"/>
      <c r="S256" s="36" t="str">
        <f t="array" ref="S256">IF(C249="","",CONCATENATE(INDEX([1]AB4!AA:AA,MATCH(A256,[1]AB4!B:B,0))," ( ",INDEX([1]AB4!AE:AE,MATCH(A256,[1]AB4!B:B,0))," or ",INDEX([1]AB4!AW:AW,MATCH(A256,[1]AB4!B:B,0)),INDEX([1]AB4!AJ:AJ,MATCH(A256,[1]AB4!B:B,0)),TEXT(INDEX([1]AB4!AX:AX,MATCH(A256,[1]AB4!B:B,0)),"0.00%")," )"))</f>
        <v>Max ( L : Entry or FUT : PRV : 1DLL - 0.00% )</v>
      </c>
      <c r="T256" s="37">
        <f t="array" ref="T256">IF(C249="","",INDEX([1]AB4!AY:AY,MATCH(A256,[1]AB4!B:B,0)))</f>
        <v>1</v>
      </c>
      <c r="U256" s="38"/>
      <c r="V256" s="36" t="str">
        <f t="array" ref="V256">IF(C249="","",CONCATENATE(INDEX([1]AB4!AA:AA,MATCH(A256,[1]AB4!B:B,0))," ( ",INDEX([1]AB4!AE:AE,MATCH(A256,[1]AB4!B:B,0))," or ",INDEX([1]AB4!AW:AW,MATCH(A256,[1]AB4!B:B,0)),INDEX([1]AB4!AJ:AJ,MATCH(A256,[1]AB4!B:B,0)),TEXT(INDEX([1]AB4!AX:AX,MATCH(A256,[1]AB4!B:B,0)),"0.00%")," )"))</f>
        <v>Max ( L : Entry or FUT : PRV : 1DLL - 0.00% )</v>
      </c>
      <c r="W256" s="37">
        <f t="array" ref="W256">IF(C249="","",INDEX([1]AB4!AY:AY,MATCH(A256,[1]AB4!B:B,0)))</f>
        <v>1</v>
      </c>
      <c r="X256" s="38"/>
      <c r="Y256" s="40">
        <f t="array" ref="Y256">IF(C249="","",INDEX([1]AB4!AZ:AZ,MATCH(A256,[1]AB4!B:B,0)))</f>
        <v>0</v>
      </c>
      <c r="Z256" s="37">
        <f t="array" ref="Z256">IF(C249="","",INDEX([1]AB4!BB:BB,MATCH(A256,[1]AB4!B:B,0)))</f>
        <v>0</v>
      </c>
      <c r="AA256" s="41"/>
      <c r="AB256" s="30"/>
      <c r="AC256" s="30"/>
    </row>
    <row r="257" spans="1:29" ht="6" customHeight="1" thickBot="1" x14ac:dyDescent="0.25">
      <c r="A257" s="18" t="str">
        <f>IF(C249="","",CONCATENATE(C250,[1]AB5!A267))</f>
        <v>S8</v>
      </c>
      <c r="B257" s="62" t="str">
        <f>IF(C249="","",IF([1]AB5!$B$12="","",[1]AB5!$B$12))</f>
        <v>Stay Blessed !!!</v>
      </c>
      <c r="C257" s="63"/>
      <c r="D257" s="59"/>
      <c r="E257" s="44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6"/>
      <c r="AB257" s="30"/>
      <c r="AC257" s="30"/>
    </row>
    <row r="258" spans="1:29" ht="30.75" customHeight="1" x14ac:dyDescent="0.2">
      <c r="A258" s="18" t="str">
        <f>IF(C249="","",CONCATENATE(C250,[1]AB5!$A$13))</f>
        <v>S8E</v>
      </c>
      <c r="B258" s="64"/>
      <c r="C258" s="59"/>
      <c r="D258" s="59"/>
      <c r="E258" s="65" t="str">
        <f>IF(C249="","",[1]AB5!$F$13)</f>
        <v>SELL</v>
      </c>
      <c r="F258" s="58" t="str">
        <f>IF(C249="","",[1]AB5!$G$13)</f>
        <v>E &amp; T</v>
      </c>
      <c r="G258" s="25" t="str">
        <f t="array" ref="G258">IF(C249="","",CONCATENATE(INDEX([1]AB4!G:G,MATCH(A258,[1]AB4!B:B,0)),INDEX([1]AB4!H:H,MATCH(A258,[1]AB4!B:B,0)),TEXT(INDEX([1]AB4!I:I,MATCH(A258,[1]AB4!B:B,0)),"0.00%")))</f>
        <v>FUT : PRV : 1DLL - 0.00%</v>
      </c>
      <c r="H258" s="26">
        <f t="array" ref="H258">IF(C249="","",INDEX([1]AB4!J:J,MATCH(A258,[1]AB4!B:B,0)))</f>
        <v>5</v>
      </c>
      <c r="I258" s="27"/>
      <c r="J258" s="28" t="str">
        <f t="array" ref="J258">IF(C249="","",CONCATENATE(INDEX([1]AB4!L:L,MATCH(A258,[1]AB4!B:B,0)),INDEX([1]AB4!M:M,MATCH(A258,[1]AB4!B:B,0)),TEXT(INDEX([1]AB4!N:N,MATCH(A258,[1]AB4!B:B,0)),"0.00%")))</f>
        <v>S : Entry  - 1.50%</v>
      </c>
      <c r="K258" s="26">
        <f t="array" ref="K258">IF(C249="","",INDEX([1]AB4!O:O,MATCH(A258,[1]AB4!B:B,0)))</f>
        <v>1</v>
      </c>
      <c r="L258" s="27"/>
      <c r="M258" s="28" t="str">
        <f t="array" ref="M258">IF(C249="","",CONCATENATE(INDEX([1]AB4!L:L,MATCH(A258,[1]AB4!B:B,0)),INDEX([1]AB4!M:M,MATCH(A258,[1]AB4!B:B,0)),TEXT(INDEX([1]AB4!P:P,MATCH(A258,[1]AB4!B:B,0)),"0.00%")))</f>
        <v>S : Entry  - 2.00%</v>
      </c>
      <c r="N258" s="26">
        <f t="array" ref="N258">IF(C249="","",INDEX([1]AB4!Q:Q,MATCH(A258,[1]AB4!B:B,0)))</f>
        <v>1</v>
      </c>
      <c r="O258" s="27"/>
      <c r="P258" s="28" t="str">
        <f t="array" ref="P258">IF(C249="","",CONCATENATE(INDEX([1]AB4!L:L,MATCH(A258,[1]AB4!B:B,0)),INDEX([1]AB4!M:M,MATCH(A258,[1]AB4!B:B,0)),TEXT(INDEX([1]AB4!R:R,MATCH(A258,[1]AB4!B:B,0)),"0.00%")))</f>
        <v>S : Entry  - 2.50%</v>
      </c>
      <c r="Q258" s="26">
        <f t="array" ref="Q258">IF(C249="","",INDEX([1]AB4!S:S,MATCH(A258,[1]AB4!B:B,0)))</f>
        <v>1</v>
      </c>
      <c r="R258" s="27"/>
      <c r="S258" s="28" t="str">
        <f t="array" ref="S258">IF(C249="","",CONCATENATE(INDEX([1]AB4!L:L,MATCH(A258,[1]AB4!B:B,0)),INDEX([1]AB4!M:M,MATCH(A258,[1]AB4!B:B,0)),TEXT(INDEX([1]AB4!T:T,MATCH(A258,[1]AB4!B:B,0)),"0.00%")))</f>
        <v>S : Entry  - 3.00%</v>
      </c>
      <c r="T258" s="26">
        <f t="array" ref="T258">IF(C249="","",INDEX([1]AB4!U:U,MATCH(A258,[1]AB4!B:B,0)))</f>
        <v>1</v>
      </c>
      <c r="U258" s="27"/>
      <c r="V258" s="28" t="str">
        <f t="array" ref="V258">IF(C249="","",INDEX([1]AB4!V:V,MATCH(A258,[1]AB4!B:B,0)))</f>
        <v>TR PROFIT AFTER TGT 4</v>
      </c>
      <c r="W258" s="26">
        <f t="array" ref="W258">IF(C249="","",INDEX([1]AB4!W:W,MATCH(A258,[1]AB4!B:B,0)))</f>
        <v>1</v>
      </c>
      <c r="X258" s="27"/>
      <c r="Y258" s="28" t="str">
        <f t="array" ref="Y258">IF(C249="","",INDEX([1]AB4!X:X,MATCH(A258,[1]AB4!B:B,0)))</f>
        <v>N.A.</v>
      </c>
      <c r="Z258" s="26" t="str">
        <f t="array" ref="Z258">IF(C249="","",INDEX([1]AB4!Y:Y,MATCH(A258,[1]AB4!B:B,0)))</f>
        <v>N.A.</v>
      </c>
      <c r="AA258" s="29"/>
      <c r="AB258" s="30"/>
      <c r="AC258" s="30"/>
    </row>
    <row r="259" spans="1:29" ht="44.25" customHeight="1" thickBot="1" x14ac:dyDescent="0.25">
      <c r="A259" s="18" t="str">
        <f>IF(C249="","",CONCATENATE(C250,[1]AB5!$A$14))</f>
        <v>S8E</v>
      </c>
      <c r="B259" s="60"/>
      <c r="C259" s="66"/>
      <c r="D259" s="66"/>
      <c r="E259" s="60"/>
      <c r="F259" s="61" t="str">
        <f>IF(C249="","",[1]AB5!$G$14)</f>
        <v>SL / TRP</v>
      </c>
      <c r="G259" s="36" t="str">
        <f t="array" ref="G259">IF(C249="","",CONCATENATE(INDEX([1]AB4!AA:AA,MATCH(A259,[1]AB4!B:B,0))," ( ",INDEX([1]AB4!AE:AE,MATCH(A259,[1]AB4!B:B,0)),INDEX([1]AB4!AF:AF,MATCH(A259,[1]AB4!B:B,0)),TEXT(INDEX([1]AB4!AG:AG,MATCH(A259,[1]AB4!B:B,0)),"0.00%")," or ",INDEX([1]AB4!AK:AK,MATCH(A259,[1]AB4!B:B,0)),INDEX([1]AB4!AJ:AJ,MATCH(A259,[1]AB4!B:B,0)),TEXT(INDEX([1]AB4!AL:AL,MATCH(A259,[1]AB4!B:B,0)),"0.00%")," )"))</f>
        <v>Min ( S : Entry + 1.50% or FUT : PRV : 2DHH + 0.18% )</v>
      </c>
      <c r="H259" s="37">
        <f t="array" ref="H259">IF(C249="","",INDEX([1]AB4!AM:AM,MATCH(A259,[1]AB4!B:B,0)))</f>
        <v>5</v>
      </c>
      <c r="I259" s="38"/>
      <c r="J259" s="36" t="str">
        <f t="array" ref="J259">IF(C249="","",CONCATENATE(INDEX([1]AB4!AA:AA,MATCH(A259,[1]AB4!B:B,0))," ( ",INDEX([1]AB4!AE:AE,MATCH(A259,[1]AB4!B:B,0))," or ",INDEX([1]AB4!AN:AN,MATCH(A259,[1]AB4!B:B,0)),INDEX([1]AB4!AJ:AJ,MATCH(A259,[1]AB4!B:B,0)),TEXT(INDEX([1]AB4!AO:AO,MATCH(A259,[1]AB4!B:B,0)),"0.00%")," )"))</f>
        <v>Min ( S : Entry or FUT : PRV : 2DHH + 0.18% )</v>
      </c>
      <c r="K259" s="37">
        <f t="array" ref="K259">IF(C249="","",INDEX([1]AB4!AP:AP,MATCH(A259,[1]AB4!B:B,0)))</f>
        <v>4</v>
      </c>
      <c r="L259" s="38"/>
      <c r="M259" s="36" t="str">
        <f t="array" ref="M259">IF(C249="","",CONCATENATE(INDEX([1]AB4!AA:AA,MATCH(A259,[1]AB4!B:B,0))," ( ",INDEX([1]AB4!AE:AE,MATCH(A259,[1]AB4!B:B,0))," or ",INDEX([1]AB4!AQ:AQ,MATCH(A259,[1]AB4!B:B,0)),INDEX([1]AB4!AJ:AJ,MATCH(A259,[1]AB4!B:B,0)),TEXT(INDEX([1]AB4!AR:AR,MATCH(A259,[1]AB4!B:B,0)),"0.00%")," )"))</f>
        <v>Min ( S : Entry or FUT : PRV : 2DHH + 0.18% )</v>
      </c>
      <c r="N259" s="37">
        <f t="array" ref="N259">IF(C249="","",INDEX([1]AB4!AS:AS,MATCH(A259,[1]AB4!B:B,0)))</f>
        <v>3</v>
      </c>
      <c r="O259" s="38"/>
      <c r="P259" s="36" t="str">
        <f t="array" ref="P259">IF(C249="","",CONCATENATE(INDEX([1]AB4!AA:AA,MATCH(A259,[1]AB4!B:B,0))," ( ",INDEX([1]AB4!AE:AE,MATCH(A259,[1]AB4!B:B,0))," or ",INDEX([1]AB4!AT:AT,MATCH(A259,[1]AB4!B:B,0)),INDEX([1]AB4!AJ:AJ,MATCH(A259,[1]AB4!B:B,0)),TEXT(INDEX([1]AB4!AU:AU,MATCH(A259,[1]AB4!B:B,0)),"0.00%")," )"))</f>
        <v>Min ( S : Entry or FUT : PRV : 2DHH + 0.18% )</v>
      </c>
      <c r="Q259" s="37">
        <f t="array" ref="Q259">IF(C249="","",INDEX([1]AB4!AV:AV,MATCH(A259,[1]AB4!B:B,0)))</f>
        <v>2</v>
      </c>
      <c r="R259" s="38"/>
      <c r="S259" s="36" t="str">
        <f t="array" ref="S259">IF(C249="","",CONCATENATE(INDEX([1]AB4!AA:AA,MATCH(A259,[1]AB4!B:B,0))," ( ",INDEX([1]AB4!AE:AE,MATCH(A259,[1]AB4!B:B,0))," or ",INDEX([1]AB4!AW:AW,MATCH(A259,[1]AB4!B:B,0)),INDEX([1]AB4!AJ:AJ,MATCH(A259,[1]AB4!B:B,0)),TEXT(INDEX([1]AB4!AX:AX,MATCH(A259,[1]AB4!B:B,0)),"0.00%")," )"))</f>
        <v>Min ( S : Entry or FUT : PRV : 2DHH + 0.18% )</v>
      </c>
      <c r="T259" s="37">
        <f t="array" ref="T259">IF(C249="","",INDEX([1]AB4!AY:AY,MATCH(A259,[1]AB4!B:B,0)))</f>
        <v>1</v>
      </c>
      <c r="U259" s="38"/>
      <c r="V259" s="36" t="str">
        <f t="array" ref="V259">IF(C249="","",CONCATENATE(INDEX([1]AB4!AA:AA,MATCH(A259,[1]AB4!B:B,0))," ( ",INDEX([1]AB4!AE:AE,MATCH(A259,[1]AB4!B:B,0))," or ",INDEX([1]AB4!AW:AW,MATCH(A259,[1]AB4!B:B,0)),INDEX([1]AB4!AJ:AJ,MATCH(A259,[1]AB4!B:B,0)),TEXT(INDEX([1]AB4!AX:AX,MATCH(A259,[1]AB4!B:B,0)),"0.00%")," )"))</f>
        <v>Min ( S : Entry or FUT : PRV : 2DHH + 0.18% )</v>
      </c>
      <c r="W259" s="37">
        <f t="array" ref="W259">IF(C249="","",INDEX([1]AB4!AY:AY,MATCH(A259,[1]AB4!B:B,0)))</f>
        <v>1</v>
      </c>
      <c r="X259" s="38"/>
      <c r="Y259" s="40">
        <f t="array" ref="Y259">IF(C249="","",INDEX([1]AB4!AZ:AZ,MATCH(A259,[1]AB4!B:B,0)))</f>
        <v>0</v>
      </c>
      <c r="Z259" s="37">
        <f t="array" ref="Z259">IF(C249="","",INDEX([1]AB4!BB:BB,MATCH(A259,[1]AB4!B:B,0)))</f>
        <v>0</v>
      </c>
      <c r="AA259" s="41"/>
      <c r="AB259" s="30"/>
      <c r="AC259" s="30"/>
    </row>
    <row r="260" spans="1:29" ht="6" customHeight="1" thickBot="1" x14ac:dyDescent="0.25">
      <c r="A260" s="18"/>
      <c r="B260" s="55"/>
      <c r="C260" s="55"/>
      <c r="D260" s="55"/>
      <c r="E260" s="30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30"/>
      <c r="AA260" s="30"/>
      <c r="AB260" s="68"/>
      <c r="AC260" s="68"/>
    </row>
    <row r="261" spans="1:29" ht="21.75" customHeight="1" x14ac:dyDescent="0.2">
      <c r="A261" s="18"/>
      <c r="B261" s="69" t="str">
        <f>IF(C249="","",[1]AB5!$B$16)</f>
        <v>For Entry</v>
      </c>
      <c r="C261" s="29"/>
      <c r="D261" s="70" t="str">
        <f>IF(C249="","",[1]AB5!$D$16)</f>
        <v>Gap Check</v>
      </c>
      <c r="E261" s="71"/>
      <c r="F261" s="70" t="str">
        <f>IF(C249="","",[1]AB5!$G$16)</f>
        <v>Process</v>
      </c>
      <c r="G261" s="72"/>
      <c r="H261" s="73" t="str">
        <f>IF(C249="","",[1]AB5!$I$16)</f>
        <v>Y / N</v>
      </c>
      <c r="I261" s="72"/>
      <c r="J261" s="74" t="str">
        <f>IF(C249="","",[1]AB5!$K$16)</f>
        <v>Order Status</v>
      </c>
      <c r="K261" s="75" t="str">
        <f>IF(C249="","",[1]AB5!$L$16)</f>
        <v>Step 1</v>
      </c>
      <c r="L261" s="76"/>
      <c r="M261" s="76"/>
      <c r="N261" s="72"/>
      <c r="O261" s="73" t="str">
        <f>IF(C249="","",[1]AB5!$P$16)</f>
        <v>Order Placement Timings</v>
      </c>
      <c r="P261" s="72"/>
      <c r="Q261" s="73" t="str">
        <f>IF(C249="","",[1]AB5!$R$16)</f>
        <v>Time</v>
      </c>
      <c r="R261" s="72"/>
      <c r="S261" s="75" t="str">
        <f>IF(C249="","",[1]AB5!$T$16)</f>
        <v>Rules For Gaps</v>
      </c>
      <c r="T261" s="76"/>
      <c r="U261" s="72"/>
      <c r="V261" s="74" t="str">
        <f>IF(C249="","",[1]AB5!$W$16)</f>
        <v>Data</v>
      </c>
      <c r="W261" s="73" t="str">
        <f>IF(C249="","",[1]AB5!$X$16)</f>
        <v>Buffer</v>
      </c>
      <c r="X261" s="71"/>
      <c r="Y261" s="77" t="str">
        <f>IF(C249="","",[1]AB5!$AA$16)</f>
        <v>Rules For Re Entry</v>
      </c>
      <c r="Z261" s="76"/>
      <c r="AA261" s="71"/>
      <c r="AB261" s="78"/>
      <c r="AC261" s="78"/>
    </row>
    <row r="262" spans="1:29" ht="31.5" customHeight="1" x14ac:dyDescent="0.2">
      <c r="A262" s="18" t="str">
        <f>IF(C249="","",CONCATENATE(C250,[1]AB5!$A$17))</f>
        <v>S8A</v>
      </c>
      <c r="B262" s="79" t="str">
        <f>IF(C249="","",[1]AB5!$B$17)</f>
        <v xml:space="preserve">ORPT </v>
      </c>
      <c r="C262" s="80" t="str">
        <f>IF(C249="","",[1]AB5!$C$17)</f>
        <v xml:space="preserve"> RC. Time</v>
      </c>
      <c r="D262" s="81" t="str">
        <f>IF(C249="","",[1]AB5!$D$17)</f>
        <v>For Long Entry</v>
      </c>
      <c r="E262" s="63"/>
      <c r="F262" s="82" t="str">
        <f>IF(C249="","",CONCATENATE([1]AB5!$G$17,TEXT(B263,"HH:MM:SS AM/PM"),[1]AB5!$B$18,[1]AB5!$H$17))</f>
        <v>Check If  09:19:59 AM HH &gt; Long Entry</v>
      </c>
      <c r="G262" s="83"/>
      <c r="H262" s="84" t="str">
        <f>IF(C249="","",[1]AB5!$I$17)</f>
        <v>No</v>
      </c>
      <c r="I262" s="85"/>
      <c r="J262" s="86" t="str">
        <f>IF(C249="","",[1]AB5!$K$17)</f>
        <v>Entry Not Missed</v>
      </c>
      <c r="K262" s="87" t="str">
        <f>IF(C249="","",[1]AB5!$L$17)</f>
        <v>Place the Order at ORPT</v>
      </c>
      <c r="L262" s="88"/>
      <c r="M262" s="88"/>
      <c r="N262" s="85"/>
      <c r="O262" s="87" t="str">
        <f>IF(C249="","",[1]AB5!$P$17)</f>
        <v>ORPT Time</v>
      </c>
      <c r="P262" s="85"/>
      <c r="Q262" s="89">
        <f>IF(C249="","",B263)</f>
        <v>0.38888194444444446</v>
      </c>
      <c r="R262" s="85"/>
      <c r="S262" s="87" t="str">
        <f>IF(C249="","",[1]AB5!$T$17)</f>
        <v>N.A.</v>
      </c>
      <c r="T262" s="88"/>
      <c r="U262" s="85"/>
      <c r="V262" s="86" t="str">
        <f>IF(C249="","",[1]AB5!$W$17)</f>
        <v>N.A.</v>
      </c>
      <c r="W262" s="90" t="str">
        <f>IF(C249="","",[1]AB5!$X$17)</f>
        <v>N.A.</v>
      </c>
      <c r="X262" s="91"/>
      <c r="Y262" s="92" t="str">
        <f>IF(C249="","",[1]AB5!$AA$17)</f>
        <v xml:space="preserve">Long Entry : Bull/ Bull CF : </v>
      </c>
      <c r="Z262" s="88"/>
      <c r="AA262" s="91"/>
      <c r="AB262" s="68"/>
      <c r="AC262" s="68"/>
    </row>
    <row r="263" spans="1:29" ht="31.5" customHeight="1" x14ac:dyDescent="0.2">
      <c r="A263" s="18" t="str">
        <f>IF(C249="","",CONCATENATE(C250,[1]AB5!$A$18))</f>
        <v>S8B</v>
      </c>
      <c r="B263" s="93">
        <f t="array" ref="B263">IF(C249="","",INDEX([1]AB4!BE:BE,MATCH(A262,[1]AB4!B:B,0)))</f>
        <v>0.38888194444444446</v>
      </c>
      <c r="C263" s="94">
        <f t="array" ref="C263">IF(C249="","",INDEX([1]AB4!BE:BE,MATCH(A263,[1]AB4!B:B,0)))</f>
        <v>0.39582638888888888</v>
      </c>
      <c r="D263" s="64"/>
      <c r="E263" s="59"/>
      <c r="F263" s="64"/>
      <c r="G263" s="95"/>
      <c r="H263" s="96" t="str">
        <f>IF(C249="","",[1]AB5!$I$18)</f>
        <v>Yes</v>
      </c>
      <c r="I263" s="83"/>
      <c r="J263" s="97" t="str">
        <f>IF(C249="","",[1]AB5!$K$18)</f>
        <v>Entry Missed</v>
      </c>
      <c r="K263" s="87" t="str">
        <f>IF(C249="","",[1]AB5!$L$18)</f>
        <v>Recalcuate : Long Entry : Bull / Bull CF</v>
      </c>
      <c r="L263" s="88"/>
      <c r="M263" s="88"/>
      <c r="N263" s="85"/>
      <c r="O263" s="87" t="str">
        <f>IF(C249="","",[1]AB5!$P$18)</f>
        <v>Wait Till Recalculation Time</v>
      </c>
      <c r="P263" s="85"/>
      <c r="Q263" s="89">
        <f>IF(C249="","",C263)</f>
        <v>0.39582638888888888</v>
      </c>
      <c r="R263" s="85"/>
      <c r="S263" s="98" t="str">
        <f>IF(C249="","",CONCATENATE(V263," ",[1]AB5!$Z$18," ",TEXT(W263,"0.00%")))</f>
        <v>09:29:59 AM HH + 0.18%</v>
      </c>
      <c r="T263" s="88"/>
      <c r="U263" s="85"/>
      <c r="V263" s="99" t="str">
        <f>IF(C249="","",CONCATENATE(TEXT(Q263,"HH:MM:SS AM/PM"),[1]AB5!$U$18))</f>
        <v>09:29:59 AM HH</v>
      </c>
      <c r="W263" s="100" t="str">
        <f t="array" ref="W263">IF(A249="","",TEXT(INDEX([1]AB4!BK:BK,MATCH(A250,[1]AB4!B:B,0)),"0.00%"))</f>
        <v>0.18%</v>
      </c>
      <c r="X263" s="91"/>
      <c r="Y263" s="101" t="str">
        <f>IF(C249="","",CONCATENATE([1]AB5!$T$18," ( ",G249," or ",[1]AB5!$AA$18," ",[1]AB5!$Z$18," ",TEXT(W263,"0.00%")," )"))</f>
        <v>Max ( FUT : PRV : 1DHH + 0.00% or  CDHH + 0.18% )</v>
      </c>
      <c r="Z263" s="88"/>
      <c r="AA263" s="91"/>
      <c r="AB263" s="68"/>
      <c r="AC263" s="68"/>
    </row>
    <row r="264" spans="1:29" ht="31.5" customHeight="1" thickBot="1" x14ac:dyDescent="0.25">
      <c r="A264" s="18"/>
      <c r="B264" s="34"/>
      <c r="C264" s="102"/>
      <c r="D264" s="103"/>
      <c r="E264" s="104"/>
      <c r="F264" s="103"/>
      <c r="G264" s="105"/>
      <c r="H264" s="51"/>
      <c r="I264" s="105"/>
      <c r="J264" s="53"/>
      <c r="K264" s="87" t="str">
        <f>IF(C249="","",[1]AB5!$L$19)</f>
        <v>Recalcuate : Long Entry : Bear / Bear CF</v>
      </c>
      <c r="L264" s="88"/>
      <c r="M264" s="88"/>
      <c r="N264" s="85"/>
      <c r="O264" s="87" t="str">
        <f>IF(C249="","",[1]AB5!$P$19)</f>
        <v>Wait Till Recalculation Time</v>
      </c>
      <c r="P264" s="85"/>
      <c r="Q264" s="89">
        <f>IF(C249="","",C263)</f>
        <v>0.39582638888888888</v>
      </c>
      <c r="R264" s="85"/>
      <c r="S264" s="98" t="str">
        <f>IF(C249="","",CONCATENATE(V264," ",[1]AB5!$Z$19," ",TEXT(W264,"0.00%"),))</f>
        <v>09:29:59 AM HH + 0.18%</v>
      </c>
      <c r="T264" s="88"/>
      <c r="U264" s="85"/>
      <c r="V264" s="99" t="str">
        <f>IF(C249="","",CONCATENATE(TEXT(Q264,"HH:MM:SS AM/PM"),[1]AB5!$U$19))</f>
        <v>09:29:59 AM HH</v>
      </c>
      <c r="W264" s="100" t="str">
        <f t="array" ref="W264">IF(C249="","",TEXT(INDEX([1]AB4!BK:BK,MATCH(A255,[1]AB4!B:B,0)),"0.00%"))</f>
        <v>0.18%</v>
      </c>
      <c r="X264" s="91"/>
      <c r="Y264" s="106" t="str">
        <f>IF(C249="","",[1]AB5!$AA$19)</f>
        <v xml:space="preserve">Long Entry : Bear/ Bear CF : </v>
      </c>
      <c r="Z264" s="88"/>
      <c r="AA264" s="91"/>
      <c r="AB264" s="68"/>
      <c r="AC264" s="68"/>
    </row>
    <row r="265" spans="1:29" ht="31.5" customHeight="1" x14ac:dyDescent="0.2">
      <c r="A265" s="18"/>
      <c r="B265" s="69" t="str">
        <f>IF(C249="","",[1]AB5!$B$20)</f>
        <v>For SL (Position = Open)</v>
      </c>
      <c r="C265" s="29"/>
      <c r="D265" s="107" t="str">
        <f>IF(C249="","",[1]AB5!$D$20)</f>
        <v>For Short Entry</v>
      </c>
      <c r="E265" s="63"/>
      <c r="F265" s="82" t="str">
        <f>IF(C249="","",CONCATENATE([1]AB5!$G$20,TEXT(B263,"HH:MM:SS AM/PM"),[1]AB5!$B$18,[1]AB5!$H$20))</f>
        <v>Check If  09:19:59 AM LL &lt; Short Entry</v>
      </c>
      <c r="G265" s="83"/>
      <c r="H265" s="108" t="str">
        <f>IF(C249="","",[1]AB5!$I$20)</f>
        <v>No</v>
      </c>
      <c r="I265" s="85"/>
      <c r="J265" s="109" t="str">
        <f>IF(C249="","",[1]AB5!$K$20)</f>
        <v>Entry Not Missed</v>
      </c>
      <c r="K265" s="110" t="str">
        <f>IF(C249="","",[1]AB5!$L$20)</f>
        <v>Place the Order at ORPT</v>
      </c>
      <c r="L265" s="88"/>
      <c r="M265" s="88"/>
      <c r="N265" s="85"/>
      <c r="O265" s="110" t="str">
        <f>IF(C249="","",[1]AB5!$P$20)</f>
        <v>ORPT Time</v>
      </c>
      <c r="P265" s="85"/>
      <c r="Q265" s="111">
        <f>IF(C249="","",B263)</f>
        <v>0.38888194444444446</v>
      </c>
      <c r="R265" s="85"/>
      <c r="S265" s="110" t="str">
        <f>IF(C249="","",[1]AB5!$T$20)</f>
        <v>N.A.</v>
      </c>
      <c r="T265" s="88"/>
      <c r="U265" s="85"/>
      <c r="V265" s="109" t="str">
        <f>IF(C249="","",[1]AB5!$W$20)</f>
        <v>N.A.</v>
      </c>
      <c r="W265" s="112" t="str">
        <f>IF(C249="","",[1]AB5!$X$20)</f>
        <v>N.A.</v>
      </c>
      <c r="X265" s="91"/>
      <c r="Y265" s="101" t="str">
        <f>IF(C249="","",CONCATENATE([1]AB5!$T$19," ( ",G255," or ",[1]AB5!$AA$20," ",[1]AB5!$Z$19," ",TEXT(W264,"0.00%")," )"))</f>
        <v>Max ( FUT : PRV : 2DHH + 0.18% or  CDHH + 0.18% )</v>
      </c>
      <c r="Z265" s="88"/>
      <c r="AA265" s="91"/>
      <c r="AB265" s="68"/>
      <c r="AC265" s="68"/>
    </row>
    <row r="266" spans="1:29" ht="31.5" customHeight="1" x14ac:dyDescent="0.2">
      <c r="A266" s="18" t="str">
        <f>IF(C249="","",CONCATENATE(C250,[1]AB5!$A$21))</f>
        <v>S8A</v>
      </c>
      <c r="B266" s="79" t="str">
        <f>IF(C249="","",[1]AB5!$B$21)</f>
        <v xml:space="preserve">ORPT </v>
      </c>
      <c r="C266" s="80" t="str">
        <f>IF(C249="","",[1]AB5!$C$21)</f>
        <v xml:space="preserve"> RC. Time</v>
      </c>
      <c r="D266" s="64"/>
      <c r="E266" s="59"/>
      <c r="F266" s="64"/>
      <c r="G266" s="95"/>
      <c r="H266" s="113" t="str">
        <f>IF(C249="","",[1]AB5!$I$21)</f>
        <v>Yes</v>
      </c>
      <c r="I266" s="83"/>
      <c r="J266" s="114" t="str">
        <f>IF(C249="","",[1]AB5!$K$21)</f>
        <v>Entry Missed</v>
      </c>
      <c r="K266" s="110" t="str">
        <f>IF(C249="","",[1]AB5!$L$21)</f>
        <v>Recalcuate : Short Entry : Bull / Bull CF</v>
      </c>
      <c r="L266" s="88"/>
      <c r="M266" s="88"/>
      <c r="N266" s="85"/>
      <c r="O266" s="110" t="str">
        <f>IF(C249="","",[1]AB5!$P$21)</f>
        <v>Wait Till Recalculation Time</v>
      </c>
      <c r="P266" s="85"/>
      <c r="Q266" s="111">
        <f>IF(C249="","",C263)</f>
        <v>0.39582638888888888</v>
      </c>
      <c r="R266" s="85"/>
      <c r="S266" s="115" t="str">
        <f>IF(C249="","",CONCATENATE(V266," ",[1]AB5!$Z$21," ",TEXT(W266,"0.00%")))</f>
        <v>09:29:59 AM LL - 0.18%</v>
      </c>
      <c r="T266" s="88"/>
      <c r="U266" s="85"/>
      <c r="V266" s="116" t="str">
        <f>IF(C249="","",CONCATENATE(TEXT(Q266,"HH:MM:SS AM/PM"),[1]AB5!$U$21))</f>
        <v>09:29:59 AM LL</v>
      </c>
      <c r="W266" s="112" t="str">
        <f t="array" ref="W266">IF(C249="","",TEXT(INDEX([1]AB4!BK:BK,MATCH(A252,[1]AB4!B:B,0)),"0.00%"))</f>
        <v>0.18%</v>
      </c>
      <c r="X266" s="91"/>
      <c r="Y266" s="117" t="str">
        <f>IF(C249="","",[1]AB5!$AA$21)</f>
        <v>When Your Long Position is Exited</v>
      </c>
      <c r="Z266" s="118"/>
      <c r="AA266" s="59"/>
      <c r="AB266" s="68"/>
      <c r="AC266" s="68"/>
    </row>
    <row r="267" spans="1:29" ht="31.5" customHeight="1" thickBot="1" x14ac:dyDescent="0.25">
      <c r="A267" s="18" t="str">
        <f>IF(C249="","",CONCATENATE(C250,[1]AB5!$A$22))</f>
        <v>S8B</v>
      </c>
      <c r="B267" s="119">
        <f t="array" ref="B267">IF(C249="","",INDEX([1]AB4!BF:BF,MATCH(A266,[1]AB4!B:B,0)))</f>
        <v>0.38888194444444446</v>
      </c>
      <c r="C267" s="120">
        <f t="array" ref="C267">IF(C249="","",INDEX([1]AB4!BF:BF,MATCH(A267,[1]AB4!B:B,0)))</f>
        <v>0.39582638888888888</v>
      </c>
      <c r="D267" s="60"/>
      <c r="E267" s="66"/>
      <c r="F267" s="60"/>
      <c r="G267" s="121"/>
      <c r="H267" s="102"/>
      <c r="I267" s="121"/>
      <c r="J267" s="122"/>
      <c r="K267" s="123" t="str">
        <f>IF(C249="","",[1]AB5!$L$22)</f>
        <v>Recalcuate : Short Entry : Bear / Bear CF</v>
      </c>
      <c r="L267" s="124"/>
      <c r="M267" s="124"/>
      <c r="N267" s="38"/>
      <c r="O267" s="123" t="str">
        <f>IF(C249="","",[1]AB5!$P$22)</f>
        <v>Wait Till Recalculation Time</v>
      </c>
      <c r="P267" s="38"/>
      <c r="Q267" s="125">
        <f>IF(C249="","",C263)</f>
        <v>0.39582638888888888</v>
      </c>
      <c r="R267" s="38"/>
      <c r="S267" s="126" t="str">
        <f>IF(C249="","",CONCATENATE(V267," ",[1]AB5!$Z$22," ",TEXT(W267,"0.00%")))</f>
        <v>09:29:59 AM LL - 0.18%</v>
      </c>
      <c r="T267" s="124"/>
      <c r="U267" s="38"/>
      <c r="V267" s="127" t="str">
        <f>IF(C249="","",CONCATENATE(TEXT(Q267,"HH:MM:SS AM/PM"),[1]AB5!$U$22))</f>
        <v>09:29:59 AM LL</v>
      </c>
      <c r="W267" s="128" t="str">
        <f t="array" ref="W267">IF(C249="","",TEXT(INDEX([1]AB4!BK:BK,MATCH(A258,[1]AB4!B:B,0)),"0.00%"))</f>
        <v>0.18%</v>
      </c>
      <c r="X267" s="41"/>
      <c r="Y267" s="129" t="str">
        <f>IF(C249="","",[1]AB5!$AA$22)</f>
        <v>This is Only Applicable for Same Day</v>
      </c>
      <c r="Z267" s="130"/>
      <c r="AA267" s="66"/>
      <c r="AB267" s="68"/>
      <c r="AC267" s="68"/>
    </row>
    <row r="268" spans="1:29" ht="6" customHeight="1" thickBot="1" x14ac:dyDescent="0.25">
      <c r="A268" s="18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</row>
    <row r="269" spans="1:29" ht="21.75" customHeight="1" thickBot="1" x14ac:dyDescent="0.25">
      <c r="A269" s="18"/>
      <c r="B269" s="69" t="str">
        <f>IF(C249="","",[1]AB5!$B$24)</f>
        <v>For TGT (Position = Open)</v>
      </c>
      <c r="C269" s="29"/>
      <c r="D269" s="132" t="str">
        <f>IF(C249="","",[1]AB5!$D$24)</f>
        <v>Gap Check</v>
      </c>
      <c r="E269" s="133"/>
      <c r="F269" s="132" t="str">
        <f>IF(C249="","",[1]AB5!$G$24)</f>
        <v>Process</v>
      </c>
      <c r="G269" s="133"/>
      <c r="H269" s="132" t="str">
        <f>IF(C249="","",[1]AB5!$I$24)</f>
        <v>Y / N</v>
      </c>
      <c r="I269" s="133"/>
      <c r="J269" s="134" t="str">
        <f>IF(C249="","",[1]AB5!$K$24)</f>
        <v>Status</v>
      </c>
      <c r="K269" s="135" t="str">
        <f>IF(C249="","",[1]AB5!$L$24)</f>
        <v>Step 1</v>
      </c>
      <c r="L269" s="136"/>
      <c r="M269" s="136"/>
      <c r="N269" s="133"/>
      <c r="O269" s="132" t="str">
        <f>IF(C249="","",[1]AB5!$P$24)</f>
        <v>Order Placement Timings</v>
      </c>
      <c r="P269" s="133"/>
      <c r="Q269" s="132" t="str">
        <f>IF(C249="","",[1]AB5!$R$24)</f>
        <v>Time</v>
      </c>
      <c r="R269" s="133"/>
      <c r="S269" s="135" t="str">
        <f>IF(C249="","",[1]AB5!$T$24)</f>
        <v>Rules For Gaps</v>
      </c>
      <c r="T269" s="136"/>
      <c r="U269" s="133"/>
      <c r="V269" s="134" t="str">
        <f>IF(C249="","",[1]AB5!$W$24)</f>
        <v>Data</v>
      </c>
      <c r="W269" s="132" t="str">
        <f>IF(C249="","",[1]AB5!$X$24)</f>
        <v>Buffer</v>
      </c>
      <c r="X269" s="133"/>
      <c r="Y269" s="135" t="str">
        <f>IF(C249="","",[1]AB5!$AA$16)</f>
        <v>Rules For Re Entry</v>
      </c>
      <c r="Z269" s="136"/>
      <c r="AA269" s="133"/>
      <c r="AB269" s="78"/>
      <c r="AC269" s="78"/>
    </row>
    <row r="270" spans="1:29" ht="24" customHeight="1" x14ac:dyDescent="0.2">
      <c r="A270" s="18" t="str">
        <f>IF(C249="","",CONCATENATE(C250,[1]AB5!$A$25))</f>
        <v>S8A</v>
      </c>
      <c r="B270" s="79" t="str">
        <f>IF(C249="","",[1]AB5!$B$25)</f>
        <v xml:space="preserve">ORPT </v>
      </c>
      <c r="C270" s="80" t="str">
        <f>IF(C249="","",[1]AB5!$C$25)</f>
        <v xml:space="preserve"> RC. Time</v>
      </c>
      <c r="D270" s="137" t="str">
        <f>IF(C249="","",[1]AB5!$D$25)</f>
        <v>For Long SL</v>
      </c>
      <c r="E270" s="59"/>
      <c r="F270" s="138" t="str">
        <f>IF(C249="","",CONCATENATE([1]AB5!$G$25,TEXT(B267,"HH:MM:SS AM/PM"),[1]AB5!$B$22,[1]AB5!$H$25))</f>
        <v>Check If 09:19:59 AM LL &lt; Long SL</v>
      </c>
      <c r="G270" s="76"/>
      <c r="H270" s="139" t="str">
        <f>IF(C249="","",[1]AB5!$I$25)</f>
        <v>No</v>
      </c>
      <c r="I270" s="27"/>
      <c r="J270" s="140" t="str">
        <f>IF(C249="","",[1]AB5!$K$25)</f>
        <v>FSL / TRP Not Missed</v>
      </c>
      <c r="K270" s="141" t="str">
        <f>IF(C249="","",[1]AB5!$L$25)</f>
        <v>Place the Order at ORPT</v>
      </c>
      <c r="L270" s="142"/>
      <c r="M270" s="142"/>
      <c r="N270" s="27"/>
      <c r="O270" s="141" t="str">
        <f>IF(C249="","",[1]AB5!$P$25)</f>
        <v>ORPT Time</v>
      </c>
      <c r="P270" s="27"/>
      <c r="Q270" s="143">
        <f>IF(C249="","",B267)</f>
        <v>0.38888194444444446</v>
      </c>
      <c r="R270" s="27"/>
      <c r="S270" s="141" t="str">
        <f>IF(C249="","",[1]AB5!$U$25)</f>
        <v>N.A.</v>
      </c>
      <c r="T270" s="142"/>
      <c r="U270" s="27"/>
      <c r="V270" s="140" t="str">
        <f>IF(C249="","",[1]AB5!$W$25)</f>
        <v>N.A.</v>
      </c>
      <c r="W270" s="144" t="str">
        <f>IF(C249="","",[1]AB5!$X$25)</f>
        <v>N.A.</v>
      </c>
      <c r="X270" s="29"/>
      <c r="Y270" s="117" t="str">
        <f>IF(C249="","",[1]AB5!$AA$25)</f>
        <v xml:space="preserve">Short Entry : Bull/ Bull CF : </v>
      </c>
      <c r="Z270" s="12"/>
      <c r="AA270" s="59"/>
      <c r="AB270" s="68"/>
      <c r="AC270" s="68"/>
    </row>
    <row r="271" spans="1:29" ht="24" customHeight="1" thickBot="1" x14ac:dyDescent="0.25">
      <c r="A271" s="18" t="str">
        <f>IF(C249="","",CONCATENATE(C250,[1]AB5!$A$26))</f>
        <v>S8B</v>
      </c>
      <c r="B271" s="119">
        <f t="array" ref="B271">IF(C249="","",INDEX([1]AB4!BG:BG,MATCH(A270,[1]AB4!B:B,0)))</f>
        <v>0.38541666666666669</v>
      </c>
      <c r="C271" s="120" t="str">
        <f t="array" ref="C271">IF(C249="","",INDEX([1]AB4!BG:BG,MATCH(A271,[1]AB4!B:B,0)))</f>
        <v>N.A.</v>
      </c>
      <c r="D271" s="64"/>
      <c r="E271" s="59"/>
      <c r="F271" s="64"/>
      <c r="G271" s="12"/>
      <c r="H271" s="113" t="str">
        <f>IF(C249="","",[1]AB5!$I$26)</f>
        <v>Yes</v>
      </c>
      <c r="I271" s="83"/>
      <c r="J271" s="114" t="str">
        <f>IF(C249="","",[1]AB5!$K$26)</f>
        <v>FSL / TRP Missed</v>
      </c>
      <c r="K271" s="110" t="str">
        <f>IF(C249="","",[1]AB5!$L$26)</f>
        <v>Recalcuate : Long FSL / TRP : Bull / Bull CF</v>
      </c>
      <c r="L271" s="88"/>
      <c r="M271" s="88"/>
      <c r="N271" s="85"/>
      <c r="O271" s="110" t="str">
        <f>IF(C249="","",[1]AB5!$P$26)</f>
        <v>Wait Till Recalculation Time</v>
      </c>
      <c r="P271" s="85"/>
      <c r="Q271" s="111">
        <f>IF(C249="","",C267)</f>
        <v>0.39582638888888888</v>
      </c>
      <c r="R271" s="85"/>
      <c r="S271" s="110" t="str">
        <f>IF(C249="","",CONCATENATE(V271," ",[1]AB5!$Z$26," ",TEXT(W271,"0.00%")))</f>
        <v>09:29:59 AM LL - 0.18%</v>
      </c>
      <c r="T271" s="88"/>
      <c r="U271" s="85"/>
      <c r="V271" s="116" t="str">
        <f>IF(C249="","",CONCATENATE(TEXT(Q271,"HH:MM:SS AM/PM"),[1]AB5!$U$26))</f>
        <v>09:29:59 AM LL</v>
      </c>
      <c r="W271" s="112" t="str">
        <f t="array" ref="W271">IF(C249="","",TEXT(INDEX([1]AB4!BL:BL,MATCH(A250,[1]AB4!B:B,0)),"0.00%"))</f>
        <v>0.18%</v>
      </c>
      <c r="X271" s="91"/>
      <c r="Y271" s="145"/>
      <c r="Z271" s="145"/>
      <c r="AA271" s="104"/>
      <c r="AB271" s="68"/>
      <c r="AC271" s="68"/>
    </row>
    <row r="272" spans="1:29" ht="24" customHeight="1" x14ac:dyDescent="0.2">
      <c r="A272" s="18"/>
      <c r="B272" s="62" t="str">
        <f>IF(C249="","",[1]AB5!$B$27)</f>
        <v>I Commit To Follow The Rules &amp; Process</v>
      </c>
      <c r="C272" s="63"/>
      <c r="D272" s="64"/>
      <c r="E272" s="59"/>
      <c r="F272" s="64"/>
      <c r="G272" s="12"/>
      <c r="H272" s="48"/>
      <c r="I272" s="95"/>
      <c r="J272" s="146"/>
      <c r="K272" s="110" t="str">
        <f>IF(C249="","",[1]AB5!$L$27)</f>
        <v>Recalcuate : Long FSL / TRP : Bear / Bear CF</v>
      </c>
      <c r="L272" s="88"/>
      <c r="M272" s="88"/>
      <c r="N272" s="85"/>
      <c r="O272" s="110" t="str">
        <f>IF(C249="","",[1]AB5!$P$27)</f>
        <v>Wait Till Recalculation Time</v>
      </c>
      <c r="P272" s="85"/>
      <c r="Q272" s="111">
        <f>IF(C249="","",C267)</f>
        <v>0.39582638888888888</v>
      </c>
      <c r="R272" s="85"/>
      <c r="S272" s="110" t="str">
        <f>IF(C250="","",CONCATENATE(V272," ",[1]AB5!$Z$26," ",TEXT(W272,"0.00%")))</f>
        <v>09:29:59 AM LL - 0.18%</v>
      </c>
      <c r="T272" s="88"/>
      <c r="U272" s="85"/>
      <c r="V272" s="116" t="str">
        <f>IF(C249="","",CONCATENATE(TEXT(Q271,"HH:MM:SS AM/PM"),[1]AB5!$U$27))</f>
        <v>09:29:59 AM LL</v>
      </c>
      <c r="W272" s="112" t="str">
        <f t="array" ref="W272">IF(C249="","",TEXT(INDEX([1]AB4!BL:BL,MATCH(A250,[1]AB4!B:B,0)),"0.00%"))</f>
        <v>0.18%</v>
      </c>
      <c r="X272" s="91"/>
      <c r="Y272" s="147" t="str">
        <f>IF(C249="","",CONCATENATE([1]AB5!$T$28," ( ",G252," or ",[1]AB5!$AA$26," ",[1]AB5!$Z$28," ",TEXT(W273,"0.00%")," )"))</f>
        <v>Min ( FUT : PRV : 2DLL - 0.18% or  CDLL - 0.18% )</v>
      </c>
      <c r="Z272" s="148"/>
      <c r="AA272" s="63"/>
      <c r="AB272" s="68"/>
      <c r="AC272" s="68"/>
    </row>
    <row r="273" spans="1:29" ht="33" customHeight="1" x14ac:dyDescent="0.2">
      <c r="A273" s="18"/>
      <c r="B273" s="64"/>
      <c r="C273" s="59"/>
      <c r="D273" s="64"/>
      <c r="E273" s="59"/>
      <c r="F273" s="64"/>
      <c r="G273" s="12"/>
      <c r="H273" s="48"/>
      <c r="I273" s="95"/>
      <c r="J273" s="146"/>
      <c r="K273" s="110" t="str">
        <f>IF(C249="","",[1]AB5!$L$28)</f>
        <v>Recalcuate : Short Entry : Bull / Bull CF</v>
      </c>
      <c r="L273" s="88"/>
      <c r="M273" s="88"/>
      <c r="N273" s="85"/>
      <c r="O273" s="110" t="str">
        <f>IF(C249="","",[1]AB5!$P$28)</f>
        <v>Wait Till Recalculation Time</v>
      </c>
      <c r="P273" s="85"/>
      <c r="Q273" s="111">
        <f>IF(C249="","",C263)</f>
        <v>0.39582638888888888</v>
      </c>
      <c r="R273" s="85"/>
      <c r="S273" s="115" t="str">
        <f>IF(C249="","",CONCATENATE([1]AB5!$T$28," ( ",G252," or ",V273," ",[1]AB5!$Z$28," ",TEXT(W273,"0.00%")," )"))</f>
        <v>Min ( FUT : PRV : 2DLL - 0.18% or 09:29:59 AM LL - 0.18% )</v>
      </c>
      <c r="T273" s="88"/>
      <c r="U273" s="85"/>
      <c r="V273" s="116" t="str">
        <f>IF(C249="","",CONCATENATE(TEXT(Q273,"HH:MM:SS AM/PM"),[1]AB5!$U$28))</f>
        <v>09:29:59 AM LL</v>
      </c>
      <c r="W273" s="112" t="str">
        <f t="array" ref="W273">IF(C249="","",TEXT(INDEX([1]AB4!BK:BK,MATCH(A252,[1]AB4!B:B,0)),"0.00%"))</f>
        <v>0.18%</v>
      </c>
      <c r="X273" s="91"/>
      <c r="Y273" s="145"/>
      <c r="Z273" s="145"/>
      <c r="AA273" s="104"/>
      <c r="AB273" s="68"/>
      <c r="AC273" s="68"/>
    </row>
    <row r="274" spans="1:29" ht="33" customHeight="1" thickBot="1" x14ac:dyDescent="0.25">
      <c r="A274" s="18"/>
      <c r="B274" s="60"/>
      <c r="C274" s="66"/>
      <c r="D274" s="103"/>
      <c r="E274" s="104"/>
      <c r="F274" s="103"/>
      <c r="G274" s="145"/>
      <c r="H274" s="51"/>
      <c r="I274" s="105"/>
      <c r="J274" s="53"/>
      <c r="K274" s="110" t="str">
        <f>IF(C249="","",[1]AB5!$L$29)</f>
        <v>Recalcuate : Short Entry : Bear / Bear CF</v>
      </c>
      <c r="L274" s="88"/>
      <c r="M274" s="88"/>
      <c r="N274" s="85"/>
      <c r="O274" s="110" t="str">
        <f>IF(C249="","",[1]AB5!$P$29)</f>
        <v>Wait Till Recalculation Time</v>
      </c>
      <c r="P274" s="85"/>
      <c r="Q274" s="111">
        <f>IF(C249="","",C263)</f>
        <v>0.39582638888888888</v>
      </c>
      <c r="R274" s="85"/>
      <c r="S274" s="115" t="str">
        <f>IF(C249="","",CONCATENATE([1]AB5!$T$29," ( ",G258," or ",V274," ",[1]AB5!$Z$29," ",TEXT(W274,"0.00%")," )"))</f>
        <v>Min ( FUT : PRV : 1DLL - 0.00% or 09:29:59 AM LL - 0.18% )</v>
      </c>
      <c r="T274" s="88"/>
      <c r="U274" s="85"/>
      <c r="V274" s="116" t="str">
        <f>IF(C249="","",CONCATENATE(TEXT(Q274,"HH:MM:SS AM/PM"),[1]AB5!$U$29))</f>
        <v>09:29:59 AM LL</v>
      </c>
      <c r="W274" s="112" t="str">
        <f t="array" ref="W274">IF(C249="","",TEXT(INDEX([1]AB4!BK:BK,MATCH(A258,[1]AB4!B:B,0)),"0.00%"))</f>
        <v>0.18%</v>
      </c>
      <c r="X274" s="91"/>
      <c r="Y274" s="149" t="str">
        <f>IF(C249="","",[1]AB5!$AA$29)</f>
        <v xml:space="preserve">Short Entry : Bear/ Bear CF : </v>
      </c>
      <c r="Z274" s="88"/>
      <c r="AA274" s="91"/>
      <c r="AB274" s="68"/>
      <c r="AC274" s="68"/>
    </row>
    <row r="275" spans="1:29" ht="21.75" customHeight="1" x14ac:dyDescent="0.2">
      <c r="A275" s="18"/>
      <c r="B275" s="150" t="str">
        <f>IF(C249="","",IF([1]AB5!$B$12="","",[1]AB5!$B$30))</f>
        <v>By Asmita Patel.</v>
      </c>
      <c r="C275" s="71"/>
      <c r="D275" s="81" t="str">
        <f>IF(C249="","",[1]AB5!$D$30)</f>
        <v>For Short SL</v>
      </c>
      <c r="E275" s="63"/>
      <c r="F275" s="151" t="str">
        <f>IF(C249="","",CONCATENATE([1]AB5!$G$30,TEXT(B267,"HH:MM:SS AM/PM"),[1]AB5!$B$22,[1]AB5!$H$30))</f>
        <v>Check If 09:19:59 AM HH &gt; Short SL</v>
      </c>
      <c r="G275" s="83"/>
      <c r="H275" s="84" t="str">
        <f>IF(C249="","",[1]AB5!$I$30)</f>
        <v>No</v>
      </c>
      <c r="I275" s="85"/>
      <c r="J275" s="86" t="str">
        <f>IF(C249="","",[1]AB5!$K$30)</f>
        <v>FSL / TRP Not Missed</v>
      </c>
      <c r="K275" s="87" t="str">
        <f>IF(C249="","",[1]AB5!$L$30)</f>
        <v>Place the Order at ORPT</v>
      </c>
      <c r="L275" s="88"/>
      <c r="M275" s="88"/>
      <c r="N275" s="85"/>
      <c r="O275" s="87" t="str">
        <f>IF(C249="","",[1]AB5!$P$30)</f>
        <v>ORPT Time</v>
      </c>
      <c r="P275" s="85"/>
      <c r="Q275" s="89">
        <f>IF(C249="","",B267)</f>
        <v>0.38888194444444446</v>
      </c>
      <c r="R275" s="85"/>
      <c r="S275" s="87" t="str">
        <f>IF(C249="","",[1]AB5!$T$30)</f>
        <v>N.A.</v>
      </c>
      <c r="T275" s="88"/>
      <c r="U275" s="85"/>
      <c r="V275" s="86" t="str">
        <f>IF(C249="","",[1]AB5!$W$30)</f>
        <v>N.A.</v>
      </c>
      <c r="W275" s="90" t="str">
        <f>IF(C249="","",[1]AB5!$X$30)</f>
        <v>N.A.</v>
      </c>
      <c r="X275" s="91"/>
      <c r="Y275" s="147" t="str">
        <f>IF(C249="","",CONCATENATE([1]AB5!$T$29," ( ",G258," or ",[1]AB5!$AA$30," ",[1]AB5!$Z$29," ",TEXT(W274,"0.00%")," )"))</f>
        <v>Min ( FUT : PRV : 1DLL - 0.00% or  CDLL - 0.18% )</v>
      </c>
      <c r="Z275" s="148"/>
      <c r="AA275" s="63"/>
      <c r="AB275" s="68"/>
      <c r="AC275" s="68"/>
    </row>
    <row r="276" spans="1:29" ht="21.75" customHeight="1" x14ac:dyDescent="0.2">
      <c r="A276" s="152"/>
      <c r="B276" s="64"/>
      <c r="C276" s="59"/>
      <c r="D276" s="64"/>
      <c r="E276" s="59"/>
      <c r="F276" s="64"/>
      <c r="G276" s="95"/>
      <c r="H276" s="96" t="str">
        <f>IF(C249="","",[1]AB5!$I$31)</f>
        <v>Yes</v>
      </c>
      <c r="I276" s="83"/>
      <c r="J276" s="97" t="str">
        <f>IF(C249="","",[1]AB5!$K$31)</f>
        <v>FSL / TRP Missed</v>
      </c>
      <c r="K276" s="87" t="str">
        <f>IF(C249="","",[1]AB5!$L$31)</f>
        <v>Recalcuate : Short FSL / TRP : Bull / Bull CF</v>
      </c>
      <c r="L276" s="88"/>
      <c r="M276" s="88"/>
      <c r="N276" s="85"/>
      <c r="O276" s="87" t="str">
        <f>IF(C249="","",[1]AB5!$P$31)</f>
        <v>Wait Till Recalculation Time</v>
      </c>
      <c r="P276" s="85"/>
      <c r="Q276" s="89">
        <f>IF(C249="","",C267)</f>
        <v>0.39582638888888888</v>
      </c>
      <c r="R276" s="85"/>
      <c r="S276" s="87" t="str">
        <f>IF(C249="","",CONCATENATE(V276," ",[1]AB5!$Z$31," ",TEXT(W276,"0.00%")))</f>
        <v>09:29:59 AM HH + 0.18%</v>
      </c>
      <c r="T276" s="88"/>
      <c r="U276" s="85"/>
      <c r="V276" s="153" t="str">
        <f>IF(C249="","",CONCATENATE(TEXT(Q276,"HH:MM:SS AM/PM"),[1]AB5!$U$31))</f>
        <v>09:29:59 AM HH</v>
      </c>
      <c r="W276" s="90" t="str">
        <f t="array" ref="W276">IF(C249="","",TEXT(INDEX([1]AB4!BL:BL,MATCH(A258,[1]AB4!B:B,0)),"0.00%"))</f>
        <v>0.18%</v>
      </c>
      <c r="X276" s="91"/>
      <c r="Y276" s="12"/>
      <c r="Z276" s="12"/>
      <c r="AA276" s="59"/>
      <c r="AB276" s="68"/>
      <c r="AC276" s="68"/>
    </row>
    <row r="277" spans="1:29" ht="22.5" customHeight="1" x14ac:dyDescent="0.2">
      <c r="A277" s="152"/>
      <c r="B277" s="64"/>
      <c r="C277" s="59"/>
      <c r="D277" s="64"/>
      <c r="E277" s="59"/>
      <c r="F277" s="64"/>
      <c r="G277" s="95"/>
      <c r="H277" s="48"/>
      <c r="I277" s="95"/>
      <c r="J277" s="146"/>
      <c r="K277" s="87" t="str">
        <f>IF(C249="","",[1]AB5!$L$32)</f>
        <v>Recalcuate : Short FSL / TRP : Bear / Bear CF</v>
      </c>
      <c r="L277" s="88"/>
      <c r="M277" s="88"/>
      <c r="N277" s="85"/>
      <c r="O277" s="87" t="str">
        <f>IF(C249="","",[1]AB5!$P$32)</f>
        <v>Wait Till Recalculation Time</v>
      </c>
      <c r="P277" s="85"/>
      <c r="Q277" s="89">
        <f>IF(C249="","",C267)</f>
        <v>0.39582638888888888</v>
      </c>
      <c r="R277" s="85"/>
      <c r="S277" s="87" t="str">
        <f>IF(C250="","",CONCATENATE(V277," ",[1]AB5!$Z$31," ",TEXT(W277,"0.00%")))</f>
        <v>09:29:59 AM HH + 0.18%</v>
      </c>
      <c r="T277" s="88"/>
      <c r="U277" s="85"/>
      <c r="V277" s="153" t="str">
        <f>IF(C249="","",CONCATENATE(TEXT(Q276,"HH:MM:SS AM/PM"),[1]AB5!$U$32))</f>
        <v>09:29:59 AM HH</v>
      </c>
      <c r="W277" s="90" t="str">
        <f t="array" ref="W277">IF(C249="","",TEXT(INDEX([1]AB4!BL:BL,MATCH(A258,[1]AB4!B:B,0)),"0.00%"))</f>
        <v>0.18%</v>
      </c>
      <c r="X277" s="91"/>
      <c r="Y277" s="145"/>
      <c r="Z277" s="145"/>
      <c r="AA277" s="104"/>
      <c r="AB277" s="68"/>
      <c r="AC277" s="68"/>
    </row>
    <row r="278" spans="1:29" ht="33" customHeight="1" x14ac:dyDescent="0.2">
      <c r="A278" s="152"/>
      <c r="B278" s="64"/>
      <c r="C278" s="59"/>
      <c r="D278" s="64"/>
      <c r="E278" s="59"/>
      <c r="F278" s="64"/>
      <c r="G278" s="95"/>
      <c r="H278" s="48"/>
      <c r="I278" s="95"/>
      <c r="J278" s="146"/>
      <c r="K278" s="87" t="str">
        <f>IF(C249="","",[1]AB5!$L$33)</f>
        <v>Recalcuate : Long Entry : Bull / Bull CF</v>
      </c>
      <c r="L278" s="88"/>
      <c r="M278" s="88"/>
      <c r="N278" s="85"/>
      <c r="O278" s="87" t="str">
        <f>IF(C249="","",[1]AB5!$P$33)</f>
        <v>Wait Till Recalculation Time</v>
      </c>
      <c r="P278" s="85"/>
      <c r="Q278" s="89">
        <f>IF(C249="","",C263)</f>
        <v>0.39582638888888888</v>
      </c>
      <c r="R278" s="85"/>
      <c r="S278" s="98" t="str">
        <f>IF(C249="","",CONCATENATE([1]AB5!$T$33," ( ",G249," or ",V278," ",[1]AB5!$Z$33," ",TEXT(W278,"0.00%")," )"))</f>
        <v>Max ( FUT : PRV : 1DHH + 0.00% or 09:29:59 AM HH + 0.18% )</v>
      </c>
      <c r="T278" s="88"/>
      <c r="U278" s="85"/>
      <c r="V278" s="99" t="str">
        <f>IF(C249="","",CONCATENATE(TEXT(Q278,"HH:MM:SS AM/PM"),[1]AB5!$U$33))</f>
        <v>09:29:59 AM HH</v>
      </c>
      <c r="W278" s="90" t="str">
        <f t="array" ref="W278">IF(C249="","",TEXT(INDEX([1]AB4!BK:BK,MATCH(A249,[1]AB4!B:B,0)),"0.00%"))</f>
        <v>0.18%</v>
      </c>
      <c r="X278" s="91"/>
      <c r="Y278" s="117" t="str">
        <f>IF(C249="","",[1]AB5!$AA$33)</f>
        <v>When Your Short Position is Exited</v>
      </c>
      <c r="Z278" s="118"/>
      <c r="AA278" s="59"/>
      <c r="AB278" s="68"/>
      <c r="AC278" s="68"/>
    </row>
    <row r="279" spans="1:29" ht="33" customHeight="1" thickBot="1" x14ac:dyDescent="0.25">
      <c r="A279" s="152"/>
      <c r="B279" s="60"/>
      <c r="C279" s="66"/>
      <c r="D279" s="60"/>
      <c r="E279" s="66"/>
      <c r="F279" s="60"/>
      <c r="G279" s="121"/>
      <c r="H279" s="102"/>
      <c r="I279" s="121"/>
      <c r="J279" s="122"/>
      <c r="K279" s="154" t="str">
        <f>IF(C249="","",[1]AB5!$L$34)</f>
        <v>Recalcuate : Long Entry : Bear / Bear CF</v>
      </c>
      <c r="L279" s="124"/>
      <c r="M279" s="124"/>
      <c r="N279" s="38"/>
      <c r="O279" s="154" t="str">
        <f>IF(C249="","",[1]AB5!$P$34)</f>
        <v>Wait Till Recalculation Time</v>
      </c>
      <c r="P279" s="38"/>
      <c r="Q279" s="155">
        <f>IF(C249="","",C263)</f>
        <v>0.39582638888888888</v>
      </c>
      <c r="R279" s="38"/>
      <c r="S279" s="156" t="str">
        <f>IF(C249="","",CONCATENATE([1]AB5!$T$34," ( ",G255," or ",V279," ",[1]AB5!$Z$34," ",TEXT(W279,"0.00%")," )"))</f>
        <v>Max ( FUT : PRV : 2DHH + 0.18% or 09:29:59 AM HH + 0.18% )</v>
      </c>
      <c r="T279" s="124"/>
      <c r="U279" s="38"/>
      <c r="V279" s="157" t="str">
        <f>IF(C249="","",CONCATENATE(TEXT(Q279,"HH:MM:SS AM/PM"),[1]AB5!$U$34))</f>
        <v>09:29:59 AM HH</v>
      </c>
      <c r="W279" s="158" t="str">
        <f t="array" ref="W279">IF(C249="","",TEXT(INDEX([1]AB4!BK:BK,MATCH(A255,[1]AB4!B:B,0)),"0.00%"))</f>
        <v>0.18%</v>
      </c>
      <c r="X279" s="41"/>
      <c r="Y279" s="117" t="str">
        <f>IF(C249="","",[1]AB5!$AA$34)</f>
        <v>This is Only Applicable for Same Day</v>
      </c>
      <c r="Z279" s="118"/>
      <c r="AA279" s="59"/>
      <c r="AB279" s="68"/>
      <c r="AC279" s="68"/>
    </row>
    <row r="280" spans="1:29" ht="21.75" customHeight="1" thickBot="1" x14ac:dyDescent="0.25">
      <c r="A280" s="152"/>
      <c r="B280" s="69" t="str">
        <f>IF(C249="","",[1]AB5!$B$35)</f>
        <v>For Missed SL (Position = Open)</v>
      </c>
      <c r="C280" s="29"/>
      <c r="D280" s="70" t="str">
        <f>IF(C249="","",[1]AB5!$D$36)</f>
        <v>Note: ( Optional )</v>
      </c>
      <c r="E280" s="71"/>
      <c r="F280" s="159" t="str">
        <f>IF(C249="","",[1]AB5!$I$35)</f>
        <v>For Long SL</v>
      </c>
      <c r="G280" s="136"/>
      <c r="H280" s="136"/>
      <c r="I280" s="136"/>
      <c r="J280" s="136"/>
      <c r="K280" s="136"/>
      <c r="L280" s="136"/>
      <c r="M280" s="136"/>
      <c r="N280" s="136"/>
      <c r="O280" s="136"/>
      <c r="P280" s="133"/>
      <c r="Q280" s="159" t="str">
        <f>IF(N249="","",[1]AB5!$T$35)</f>
        <v>For Short SL</v>
      </c>
      <c r="R280" s="136"/>
      <c r="S280" s="136"/>
      <c r="T280" s="136"/>
      <c r="U280" s="136"/>
      <c r="V280" s="136"/>
      <c r="W280" s="136"/>
      <c r="X280" s="136"/>
      <c r="Y280" s="136"/>
      <c r="Z280" s="136"/>
      <c r="AA280" s="133"/>
      <c r="AB280" s="68"/>
      <c r="AC280" s="68"/>
    </row>
    <row r="281" spans="1:29" ht="36" customHeight="1" x14ac:dyDescent="0.2">
      <c r="A281" s="152"/>
      <c r="B281" s="160" t="str">
        <f>IF(C249="","",[1]AB5!$B$36)</f>
        <v>Check time</v>
      </c>
      <c r="C281" s="91"/>
      <c r="D281" s="64"/>
      <c r="E281" s="59"/>
      <c r="F281" s="161" t="str">
        <f>IF(C249="","",CONCATENATE([1]AB5!$G$36,TEXT(B282,"HH:MM:SS AM/PM"),[1]AB5!$B$37,[1]AB5!$H$36))</f>
        <v>Check If Close at 03:00:00 PM  &lt; Long Original SL</v>
      </c>
      <c r="G281" s="85"/>
      <c r="H281" s="162" t="str">
        <f>IF(C249="","",[1]AB5!$I$36)</f>
        <v>Yes</v>
      </c>
      <c r="I281" s="105"/>
      <c r="J281" s="163" t="str">
        <f>IF(C249="","",CONCATENATE([1]AB5!$K$36,TEXT(B282,"HH:MM:SS AM/PM")))</f>
        <v xml:space="preserve"> Then Square Off The Position At CMP at 03:00:00 PM</v>
      </c>
      <c r="K281" s="145"/>
      <c r="L281" s="145"/>
      <c r="M281" s="145"/>
      <c r="N281" s="145"/>
      <c r="O281" s="145"/>
      <c r="P281" s="104"/>
      <c r="Q281" s="164" t="str">
        <f>IF(C249="","",CONCATENATE([1]AB5!$T$36,TEXT(B282,"HH:MM:SS AM/PM"),[1]AB5!$B$37,[1]AB5!$U$36))</f>
        <v>Check If Close at 03:00:00 PM  &gt; Short Original SL</v>
      </c>
      <c r="R281" s="145"/>
      <c r="S281" s="105"/>
      <c r="T281" s="165" t="str">
        <f>IF(C249="","",[1]AB5!$I$36)</f>
        <v>Yes</v>
      </c>
      <c r="U281" s="166" t="str">
        <f>IF(C249="","",CONCATENATE([1]AB5!$W$36,TEXT(B282,"HH:MM:SS AM/PM")))</f>
        <v xml:space="preserve"> Then Square Off The Position At CMP at 03:00:00 PM</v>
      </c>
      <c r="V281" s="145"/>
      <c r="W281" s="145"/>
      <c r="X281" s="145"/>
      <c r="Y281" s="145"/>
      <c r="Z281" s="145"/>
      <c r="AA281" s="104"/>
      <c r="AB281" s="68"/>
      <c r="AC281" s="167"/>
    </row>
    <row r="282" spans="1:29" ht="36" customHeight="1" thickBot="1" x14ac:dyDescent="0.25">
      <c r="A282" s="152"/>
      <c r="B282" s="168">
        <f t="array" ref="B282">IF(C249="","",INDEX([1]AB4!CU:CU,MATCH(A270,[1]AB4!B:B,0)))</f>
        <v>0.625</v>
      </c>
      <c r="C282" s="41"/>
      <c r="D282" s="60"/>
      <c r="E282" s="66"/>
      <c r="F282" s="169" t="str">
        <f>IF(C249="","",CONCATENATE([1]AB5!$G$37,TEXT(B282,"HH:MM:SS AM/PM"),[1]AB5!$B$37,[1]AB5!$H$37))</f>
        <v>Check If Close at 03:00:00 PM  &gt; Long Original SL</v>
      </c>
      <c r="G282" s="38"/>
      <c r="H282" s="170" t="str">
        <f>IF(C249="","",[1]AB5!$I$37)</f>
        <v>Yes</v>
      </c>
      <c r="I282" s="38"/>
      <c r="J282" s="156" t="str">
        <f>IF(C249="","",CONCATENATE([1]AB5!$K$37))</f>
        <v xml:space="preserve"> Then Continue the Position for Next Day And Calculate Stop Loss Price as per the Rules</v>
      </c>
      <c r="K282" s="124"/>
      <c r="L282" s="124"/>
      <c r="M282" s="124"/>
      <c r="N282" s="124"/>
      <c r="O282" s="124"/>
      <c r="P282" s="41"/>
      <c r="Q282" s="169" t="str">
        <f>IF(C249="","",CONCATENATE([1]AB5!$T$37,TEXT(B282,"HH:MM:SS AM/PM"),[1]AB5!$B$37,[1]AB5!$U$37))</f>
        <v>Check If Close at 03:00:00 PM  &lt; Short Original SL</v>
      </c>
      <c r="R282" s="124"/>
      <c r="S282" s="38"/>
      <c r="T282" s="171" t="str">
        <f>IF(C250="","",[1]AB5!$I$36)</f>
        <v>Yes</v>
      </c>
      <c r="U282" s="156" t="str">
        <f>IF(C249="","",CONCATENATE([1]AB5!$W$37))</f>
        <v xml:space="preserve"> Then Continue the Position for Next Day And Calculate Stop Loss Price as per the Rules</v>
      </c>
      <c r="V282" s="124"/>
      <c r="W282" s="124"/>
      <c r="X282" s="124"/>
      <c r="Y282" s="124"/>
      <c r="Z282" s="124"/>
      <c r="AA282" s="41"/>
      <c r="AB282" s="68"/>
      <c r="AC282" s="167"/>
    </row>
    <row r="283" spans="1:29" ht="15.75" customHeight="1" thickBot="1" x14ac:dyDescent="0.25">
      <c r="A283" s="177"/>
    </row>
    <row r="284" spans="1:29" ht="30.75" customHeight="1" x14ac:dyDescent="0.2">
      <c r="A284" s="18" t="str">
        <f>IF(C284="","",CONCATENATE(C285,[1]AB5!$A$4))</f>
        <v>S9A</v>
      </c>
      <c r="B284" s="20" t="str">
        <f>IF(C284="","",IF([1]AB5!$B$4="","",[1]AB5!$B$4))</f>
        <v>Sr. No.</v>
      </c>
      <c r="C284" s="172">
        <v>9</v>
      </c>
      <c r="D284" s="173" t="str">
        <f>IF(C284="","",[1]AB5!$D$4)</f>
        <v>BULL / BULL CF</v>
      </c>
      <c r="E284" s="57" t="str">
        <f>IF(C284="","",[1]AB5!$F$4)</f>
        <v>BUY</v>
      </c>
      <c r="F284" s="58" t="str">
        <f>IF(C284="","",[1]AB5!$G$4)</f>
        <v>E &amp; T</v>
      </c>
      <c r="G284" s="25" t="str">
        <f t="array" ref="G284">IF(C284="","",CONCATENATE(INDEX([1]AB4!G:G,MATCH(A284,[1]AB4!B:B,0)),INDEX([1]AB4!H:H,MATCH(A284,[1]AB4!B:B,0)),TEXT(INDEX([1]AB4!I:I,MATCH(A284,[1]AB4!B:B,0)),"0.00%")))</f>
        <v>FUT : PRV : 2DHH + 0.18%</v>
      </c>
      <c r="H284" s="26">
        <f t="array" ref="H284">IF(C284="","",INDEX([1]AB4!J:J,MATCH(A284,[1]AB4!B:B,0)))</f>
        <v>5</v>
      </c>
      <c r="I284" s="27"/>
      <c r="J284" s="28" t="str">
        <f t="array" ref="J284">IF(C284="","",CONCATENATE(INDEX([1]AB4!L:L,MATCH(A284,[1]AB4!B:B,0)),INDEX([1]AB4!M:M,MATCH(A284,[1]AB4!B:B,0)),TEXT(INDEX([1]AB4!N:N,MATCH(A284,[1]AB4!B:B,0)),"0.00%")))</f>
        <v>L : Entry  + 1.50%</v>
      </c>
      <c r="K284" s="26">
        <f t="array" ref="K284">IF(C284="","",INDEX([1]AB4!O:O,MATCH(A284,[1]AB4!B:B,0)))</f>
        <v>1</v>
      </c>
      <c r="L284" s="27"/>
      <c r="M284" s="28" t="str">
        <f t="array" ref="M284">IF(C284="","",CONCATENATE(INDEX([1]AB4!L:L,MATCH(A284,[1]AB4!B:B,0)),INDEX([1]AB4!M:M,MATCH(A284,[1]AB4!B:B,0)),TEXT(INDEX([1]AB4!P:P,MATCH(A284,[1]AB4!B:B,0)),"0.00%")))</f>
        <v>L : Entry  + 2.00%</v>
      </c>
      <c r="N284" s="26">
        <f t="array" ref="N284">IF(C284="","",INDEX([1]AB4!Q:Q,MATCH(A284,[1]AB4!B:B,0)))</f>
        <v>1</v>
      </c>
      <c r="O284" s="27"/>
      <c r="P284" s="28" t="str">
        <f t="array" ref="P284">IF(C284="","",CONCATENATE(INDEX([1]AB4!L:L,MATCH(A284,[1]AB4!B:B,0)),INDEX([1]AB4!M:M,MATCH(A284,[1]AB4!B:B,0)),TEXT(INDEX([1]AB4!R:R,MATCH(A284,[1]AB4!B:B,0)),"0.00%")))</f>
        <v>L : Entry  + 2.50%</v>
      </c>
      <c r="Q284" s="26">
        <f t="array" ref="Q284">IF(C284="","",INDEX([1]AB4!S:S,MATCH(A284,[1]AB4!B:B,0)))</f>
        <v>1</v>
      </c>
      <c r="R284" s="27"/>
      <c r="S284" s="28" t="str">
        <f t="array" ref="S284">IF(C284="","",CONCATENATE(INDEX([1]AB4!L:L,MATCH(A284,[1]AB4!B:B,0)),INDEX([1]AB4!M:M,MATCH(A284,[1]AB4!B:B,0)),TEXT(INDEX([1]AB4!T:T,MATCH(A284,[1]AB4!B:B,0)),"0.00%")))</f>
        <v>L : Entry  + 3.00%</v>
      </c>
      <c r="T284" s="26">
        <f t="array" ref="T284">IF(C284="","",INDEX([1]AB4!U:U,MATCH(A284,[1]AB4!B:B,0)))</f>
        <v>1</v>
      </c>
      <c r="U284" s="27"/>
      <c r="V284" s="28" t="str">
        <f t="array" ref="V284">IF(C284="","",INDEX([1]AB4!V:V,MATCH(A284,[1]AB4!B:B,0)))</f>
        <v>TR PROFIT AFTER TGT 4</v>
      </c>
      <c r="W284" s="26">
        <f t="array" ref="W284">IF(C284="","",INDEX([1]AB4!W:W,MATCH(A284,[1]AB4!B:B,0)))</f>
        <v>1</v>
      </c>
      <c r="X284" s="27"/>
      <c r="Y284" s="28" t="str">
        <f t="array" ref="Y284">IF(C284="","",INDEX([1]AB4!X:X,MATCH(A284,[1]AB4!B:B,0)))</f>
        <v>N.A.</v>
      </c>
      <c r="Z284" s="26" t="str">
        <f t="array" ref="Z284">IF(C284="","",INDEX([1]AB4!Y:Y,MATCH(A284,[1]AB4!B:B,0)))</f>
        <v>N.A.</v>
      </c>
      <c r="AA284" s="29"/>
      <c r="AB284" s="30"/>
      <c r="AC284" s="30"/>
    </row>
    <row r="285" spans="1:29" ht="44.25" customHeight="1" thickBot="1" x14ac:dyDescent="0.25">
      <c r="A285" s="18" t="str">
        <f>IF(C284="","",CONCATENATE(C285,[1]AB5!$A$5))</f>
        <v>S9A</v>
      </c>
      <c r="B285" s="31" t="str">
        <f>IF(C284="","",IF([1]AB5!$B$5="","",[1]AB5!$B$5))</f>
        <v>Strategy Code</v>
      </c>
      <c r="C285" s="54" t="str">
        <f t="array" ref="C285">IF(C284="","",INDEX([1]AB2!B:B,MATCH(C284,[1]AB2!A:A,0)))</f>
        <v>S9</v>
      </c>
      <c r="D285" s="59"/>
      <c r="E285" s="60"/>
      <c r="F285" s="61" t="str">
        <f>IF(C284="","",[1]AB5!$G$5)</f>
        <v>SL / TRP</v>
      </c>
      <c r="G285" s="36" t="str">
        <f t="array" ref="G285">IF(C284="","",CONCATENATE(INDEX([1]AB4!AA:AA,MATCH(A285,[1]AB4!B:B,0))," ( ",INDEX([1]AB4!AE:AE,MATCH(A285,[1]AB4!B:B,0)),INDEX([1]AB4!AF:AF,MATCH(A285,[1]AB4!B:B,0)),TEXT(INDEX([1]AB4!AG:AG,MATCH(A285,[1]AB4!B:B,0)),"0.00%")," or ",INDEX([1]AB4!AK:AK,MATCH(A285,[1]AB4!B:B,0)),INDEX([1]AB4!AJ:AJ,MATCH(A285,[1]AB4!B:B,0)),TEXT(INDEX([1]AB4!AL:AL,MATCH(A285,[1]AB4!B:B,0)),"0.00%")," )"))</f>
        <v>Max ( L : Entry - 1.50% or FUT : PRV : 2DLL - 0.18% )</v>
      </c>
      <c r="H285" s="37">
        <f t="array" ref="H285">IF(C285="","",INDEX([1]AB4!AM:AM,MATCH(A285,[1]AB4!B:B,0)))</f>
        <v>5</v>
      </c>
      <c r="I285" s="38"/>
      <c r="J285" s="36" t="str">
        <f t="array" ref="J285">IF(C284="","",CONCATENATE(INDEX([1]AB4!AA:AA,MATCH(A285,[1]AB4!B:B,0))," ( ",INDEX([1]AB4!AE:AE,MATCH(A285,[1]AB4!B:B,0))," or ",INDEX([1]AB4!AN:AN,MATCH(A285,[1]AB4!B:B,0)),INDEX([1]AB4!AJ:AJ,MATCH(A285,[1]AB4!B:B,0)),TEXT(INDEX([1]AB4!AO:AO,MATCH(A285,[1]AB4!B:B,0)),"0.00%")," )"))</f>
        <v>Max ( L : Entry or FUT : PRV : 2DLL - 0.18% )</v>
      </c>
      <c r="K285" s="37">
        <f t="array" ref="K285">IF(C284="","",INDEX([1]AB4!AP:AP,MATCH(A285,[1]AB4!B:B,0)))</f>
        <v>4</v>
      </c>
      <c r="L285" s="38"/>
      <c r="M285" s="36" t="str">
        <f t="array" ref="M285">IF(C284="","",CONCATENATE(INDEX([1]AB4!AA:AA,MATCH(A285,[1]AB4!B:B,0))," ( ",INDEX([1]AB4!AE:AE,MATCH(A285,[1]AB4!B:B,0))," or ",INDEX([1]AB4!AQ:AQ,MATCH(A285,[1]AB4!B:B,0)),INDEX([1]AB4!AJ:AJ,MATCH(A285,[1]AB4!B:B,0)),TEXT(INDEX([1]AB4!AR:AR,MATCH(A285,[1]AB4!B:B,0)),"0.00%")," )"))</f>
        <v>Max ( L : Entry or FUT : PRV : 2DLL - 0.18% )</v>
      </c>
      <c r="N285" s="37">
        <f t="array" ref="N285">IF(C285="","",INDEX([1]AB4!AS:AS,MATCH(A285,[1]AB4!B:B,0)))</f>
        <v>3</v>
      </c>
      <c r="O285" s="38"/>
      <c r="P285" s="36" t="str">
        <f t="array" ref="P285">IF(C284="","",CONCATENATE(INDEX([1]AB4!AA:AA,MATCH(A285,[1]AB4!B:B,0))," ( ",INDEX([1]AB4!AE:AE,MATCH(A285,[1]AB4!B:B,0))," or ",INDEX([1]AB4!AT:AT,MATCH(A285,[1]AB4!B:B,0)),INDEX([1]AB4!AJ:AJ,MATCH(A285,[1]AB4!B:B,0)),TEXT(INDEX([1]AB4!AU:AU,MATCH(A285,[1]AB4!B:B,0)),"0.00%")," )"))</f>
        <v>Max ( L : Entry or FUT : PRV : 2DLL - 0.18% )</v>
      </c>
      <c r="Q285" s="37">
        <f t="array" ref="Q285">IF(C285="","",INDEX([1]AB4!AV:AV,MATCH(A285,[1]AB4!B:B,0)))</f>
        <v>2</v>
      </c>
      <c r="R285" s="38"/>
      <c r="S285" s="36" t="str">
        <f t="array" ref="S285">IF(C284="","",CONCATENATE(INDEX([1]AB4!AA:AA,MATCH(A285,[1]AB4!B:B,0))," ( ",INDEX([1]AB4!AE:AE,MATCH(A285,[1]AB4!B:B,0))," or ",INDEX([1]AB4!AW:AW,MATCH(A285,[1]AB4!B:B,0)),INDEX([1]AB4!AJ:AJ,MATCH(A285,[1]AB4!B:B,0)),TEXT(INDEX([1]AB4!AX:AX,MATCH(A285,[1]AB4!B:B,0)),"0.00%")," )"))</f>
        <v>Max ( L : Entry or FUT : PRV : 2DLL - 0.18% )</v>
      </c>
      <c r="T285" s="37">
        <f t="array" ref="T285">IF(C284="","",INDEX([1]AB4!AY:AY,MATCH(A285,[1]AB4!B:B,0)))</f>
        <v>1</v>
      </c>
      <c r="U285" s="38"/>
      <c r="V285" s="36" t="str">
        <f t="array" ref="V285">IF(C284="","",CONCATENATE(INDEX([1]AB4!AA:AA,MATCH(A285,[1]AB4!B:B,0))," ( ",INDEX([1]AB4!AE:AE,MATCH(A285,[1]AB4!B:B,0))," or ",INDEX([1]AB4!AW:AW,MATCH(A285,[1]AB4!B:B,0)),INDEX([1]AB4!AJ:AJ,MATCH(A285,[1]AB4!B:B,0)),TEXT(INDEX([1]AB4!AX:AX,MATCH(A285,[1]AB4!B:B,0)),"0.00%")," )"))</f>
        <v>Max ( L : Entry or FUT : PRV : 2DLL - 0.18% )</v>
      </c>
      <c r="W285" s="37">
        <f t="array" ref="W285">IF(C284="","",INDEX([1]AB4!AY:AY,MATCH(A285,[1]AB4!B:B,0)))</f>
        <v>1</v>
      </c>
      <c r="X285" s="38"/>
      <c r="Y285" s="40">
        <f t="array" ref="Y285">IF(C284="","",INDEX([1]AB4!AZ:AZ,MATCH(A285,[1]AB4!B:B,0)))</f>
        <v>0</v>
      </c>
      <c r="Z285" s="37">
        <f t="array" ref="Z285">IF(C284="","",INDEX([1]AB4!BB:BB,MATCH(A285,[1]AB4!B:B,0)))</f>
        <v>0</v>
      </c>
      <c r="AA285" s="41"/>
      <c r="AB285" s="30"/>
      <c r="AC285" s="30"/>
    </row>
    <row r="286" spans="1:29" ht="6" customHeight="1" thickBot="1" x14ac:dyDescent="0.25">
      <c r="A286" s="18" t="str">
        <f>IF(C284="","",CONCATENATE(C285,[1]AB5!A296))</f>
        <v>S9</v>
      </c>
      <c r="B286" s="42" t="str">
        <f>IF(C284="","",IF([1]AB5!$B$6="","",[1]AB5!$B$6))</f>
        <v>Unique Code</v>
      </c>
      <c r="C286" s="174" t="str">
        <f t="array" ref="C286">IF(C284="","",INDEX([1]AB2!N:N,MATCH(C284,[1]AB2!A:A,0)))</f>
        <v>NIFTY_FUT_MT_SAME_2D_2D</v>
      </c>
      <c r="D286" s="59"/>
      <c r="E286" s="44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6"/>
      <c r="AB286" s="30"/>
      <c r="AC286" s="30"/>
    </row>
    <row r="287" spans="1:29" ht="30.75" customHeight="1" x14ac:dyDescent="0.2">
      <c r="A287" s="18" t="str">
        <f>IF(C284="","",CONCATENATE(C285,[1]AB5!$A$7))</f>
        <v>S9B</v>
      </c>
      <c r="B287" s="47"/>
      <c r="C287" s="175"/>
      <c r="D287" s="59"/>
      <c r="E287" s="65" t="str">
        <f>IF(C284="","",[1]AB5!$F$7)</f>
        <v>SELL</v>
      </c>
      <c r="F287" s="58" t="str">
        <f>IF(C284="","",[1]AB5!$G$7)</f>
        <v>E &amp; T</v>
      </c>
      <c r="G287" s="25" t="str">
        <f t="array" ref="G287">IF(C284="","",CONCATENATE(INDEX([1]AB4!G:G,MATCH(A287,[1]AB4!B:B,0)),INDEX([1]AB4!H:H,MATCH(A287,[1]AB4!B:B,0)),TEXT(INDEX([1]AB4!I:I,MATCH(A287,[1]AB4!B:B,0)),"0.00%")))</f>
        <v>FUT : PRV : 2DLL - 0.18%</v>
      </c>
      <c r="H287" s="26">
        <f t="array" ref="H287">IF(C284="","",INDEX([1]AB4!J:J,MATCH(A287,[1]AB4!B:B,0)))</f>
        <v>5</v>
      </c>
      <c r="I287" s="27"/>
      <c r="J287" s="28" t="str">
        <f t="array" ref="J287">IF(C284="","",CONCATENATE(INDEX([1]AB4!L:L,MATCH(A287,[1]AB4!B:B,0)),INDEX([1]AB4!M:M,MATCH(A287,[1]AB4!B:B,0)),TEXT(INDEX([1]AB4!N:N,MATCH(A287,[1]AB4!B:B,0)),"0.00%")))</f>
        <v>S : Entry  - 1.50%</v>
      </c>
      <c r="K287" s="26">
        <f t="array" ref="K287">IF(C284="","",INDEX([1]AB4!O:O,MATCH(A287,[1]AB4!B:B,0)))</f>
        <v>1</v>
      </c>
      <c r="L287" s="27"/>
      <c r="M287" s="28" t="str">
        <f t="array" ref="M287">IF(C284="","",CONCATENATE(INDEX([1]AB4!L:L,MATCH(A287,[1]AB4!B:B,0)),INDEX([1]AB4!M:M,MATCH(A287,[1]AB4!B:B,0)),TEXT(INDEX([1]AB4!P:P,MATCH(A287,[1]AB4!B:B,0)),"0.00%")))</f>
        <v>S : Entry  - 2.00%</v>
      </c>
      <c r="N287" s="26">
        <f t="array" ref="N287">IF(C284="","",INDEX([1]AB4!Q:Q,MATCH(A287,[1]AB4!B:B,0)))</f>
        <v>1</v>
      </c>
      <c r="O287" s="27"/>
      <c r="P287" s="28" t="str">
        <f t="array" ref="P287">IF(C284="","",CONCATENATE(INDEX([1]AB4!L:L,MATCH(A287,[1]AB4!B:B,0)),INDEX([1]AB4!M:M,MATCH(A287,[1]AB4!B:B,0)),TEXT(INDEX([1]AB4!R:R,MATCH(A287,[1]AB4!B:B,0)),"0.00%")))</f>
        <v>S : Entry  - 2.50%</v>
      </c>
      <c r="Q287" s="26">
        <f t="array" ref="Q287">IF(C284="","",INDEX([1]AB4!S:S,MATCH(A287,[1]AB4!B:B,0)))</f>
        <v>1</v>
      </c>
      <c r="R287" s="27"/>
      <c r="S287" s="28" t="str">
        <f t="array" ref="S287">IF(C284="","",CONCATENATE(INDEX([1]AB4!L:L,MATCH(A287,[1]AB4!B:B,0)),INDEX([1]AB4!M:M,MATCH(A287,[1]AB4!B:B,0)),TEXT(INDEX([1]AB4!T:T,MATCH(A287,[1]AB4!B:B,0)),"0.00%")))</f>
        <v>S : Entry  - 3.00%</v>
      </c>
      <c r="T287" s="26">
        <f t="array" ref="T287">IF(C284="","",INDEX([1]AB4!U:U,MATCH(A287,[1]AB4!B:B,0)))</f>
        <v>1</v>
      </c>
      <c r="U287" s="27"/>
      <c r="V287" s="28" t="str">
        <f t="array" ref="V287">IF(C284="","",INDEX([1]AB4!V:V,MATCH(A287,[1]AB4!B:B,0)))</f>
        <v>TR PROFIT AFTER TGT 4</v>
      </c>
      <c r="W287" s="26">
        <f t="array" ref="W287">IF(C284="","",INDEX([1]AB4!W:W,MATCH(A287,[1]AB4!B:B,0)))</f>
        <v>1</v>
      </c>
      <c r="X287" s="27"/>
      <c r="Y287" s="28" t="str">
        <f t="array" ref="Y287">IF(C284="","",INDEX([1]AB4!X:X,MATCH(A287,[1]AB4!B:B,0)))</f>
        <v>N.A.</v>
      </c>
      <c r="Z287" s="26" t="str">
        <f t="array" ref="Z287">IF(C284="","",INDEX([1]AB4!Y:Y,MATCH(A287,[1]AB4!B:B,0)))</f>
        <v>N.A.</v>
      </c>
      <c r="AA287" s="29"/>
      <c r="AB287" s="30"/>
      <c r="AC287" s="30"/>
    </row>
    <row r="288" spans="1:29" ht="44.25" customHeight="1" thickBot="1" x14ac:dyDescent="0.25">
      <c r="A288" s="18" t="str">
        <f>IF(C284="","",CONCATENATE(C285,[1]AB5!$A$8))</f>
        <v>S9B</v>
      </c>
      <c r="B288" s="50"/>
      <c r="C288" s="176"/>
      <c r="D288" s="66"/>
      <c r="E288" s="60"/>
      <c r="F288" s="61" t="str">
        <f>IF(C284="","",[1]AB5!$G$8)</f>
        <v>SL / TRP</v>
      </c>
      <c r="G288" s="36" t="str">
        <f t="array" ref="G288">IF(C284="","",CONCATENATE(INDEX([1]AB4!AA:AA,MATCH(A288,[1]AB4!B:B,0))," ( ",INDEX([1]AB4!AE:AE,MATCH(A288,[1]AB4!B:B,0)),INDEX([1]AB4!AF:AF,MATCH(A288,[1]AB4!B:B,0)),TEXT(INDEX([1]AB4!AG:AG,MATCH(A288,[1]AB4!B:B,0)),"0.00%")," or ",INDEX([1]AB4!AK:AK,MATCH(A288,[1]AB4!B:B,0)),INDEX([1]AB4!AJ:AJ,MATCH(A288,[1]AB4!B:B,0)),TEXT(INDEX([1]AB4!AL:AL,MATCH(A288,[1]AB4!B:B,0)),"0.00%")," )"))</f>
        <v>Min ( S : Entry + 1.50% or FUT : PRV : 2DHH + 0.18% )</v>
      </c>
      <c r="H288" s="37">
        <f t="array" ref="H288">IF(C284="","",INDEX([1]AB4!AM:AM,MATCH(A288,[1]AB4!B:B,0)))</f>
        <v>5</v>
      </c>
      <c r="I288" s="38"/>
      <c r="J288" s="36" t="str">
        <f t="array" ref="J288">IF(C284="","",CONCATENATE(INDEX([1]AB4!AA:AA,MATCH(A288,[1]AB4!B:B,0))," ( ",INDEX([1]AB4!AE:AE,MATCH(A288,[1]AB4!B:B,0))," or ",INDEX([1]AB4!AN:AN,MATCH(A288,[1]AB4!B:B,0)),INDEX([1]AB4!AJ:AJ,MATCH(A288,[1]AB4!B:B,0)),TEXT(INDEX([1]AB4!AO:AO,MATCH(A288,[1]AB4!B:B,0)),"0.00%")," )"))</f>
        <v>Min ( S : Entry or FUT : PRV : 2DHH + 0.18% )</v>
      </c>
      <c r="K288" s="37">
        <f t="array" ref="K288">IF(C284="","",INDEX([1]AB4!AP:AP,MATCH(A288,[1]AB4!B:B,0)))</f>
        <v>4</v>
      </c>
      <c r="L288" s="38"/>
      <c r="M288" s="36" t="str">
        <f t="array" ref="M288">IF(C284="","",CONCATENATE(INDEX([1]AB4!AA:AA,MATCH(A288,[1]AB4!B:B,0))," ( ",INDEX([1]AB4!AE:AE,MATCH(A288,[1]AB4!B:B,0))," or ",INDEX([1]AB4!AQ:AQ,MATCH(A288,[1]AB4!B:B,0)),INDEX([1]AB4!AJ:AJ,MATCH(A288,[1]AB4!B:B,0)),TEXT(INDEX([1]AB4!AR:AR,MATCH(A288,[1]AB4!B:B,0)),"0.00%")," )"))</f>
        <v>Min ( S : Entry or FUT : PRV : 2DHH + 0.18% )</v>
      </c>
      <c r="N288" s="37">
        <f t="array" ref="N288">IF(C284="","",INDEX([1]AB4!AS:AS,MATCH(A288,[1]AB4!B:B,0)))</f>
        <v>3</v>
      </c>
      <c r="O288" s="38"/>
      <c r="P288" s="36" t="str">
        <f t="array" ref="P288">IF(C284="","",CONCATENATE(INDEX([1]AB4!AA:AA,MATCH(A288,[1]AB4!B:B,0))," ( ",INDEX([1]AB4!AE:AE,MATCH(A288,[1]AB4!B:B,0))," or ",INDEX([1]AB4!AT:AT,MATCH(A288,[1]AB4!B:B,0)),INDEX([1]AB4!AJ:AJ,MATCH(A288,[1]AB4!B:B,0)),TEXT(INDEX([1]AB4!AU:AU,MATCH(A288,[1]AB4!B:B,0)),"0.00%")," )"))</f>
        <v>Min ( S : Entry or FUT : PRV : 2DHH + 0.18% )</v>
      </c>
      <c r="Q288" s="37">
        <f t="array" ref="Q288">IF(C284="","",INDEX([1]AB4!AV:AV,MATCH(A288,[1]AB4!B:B,0)))</f>
        <v>2</v>
      </c>
      <c r="R288" s="38"/>
      <c r="S288" s="36" t="str">
        <f t="array" ref="S288">IF(C284="","",CONCATENATE(INDEX([1]AB4!AA:AA,MATCH(A288,[1]AB4!B:B,0))," ( ",INDEX([1]AB4!AE:AE,MATCH(A288,[1]AB4!B:B,0))," or ",INDEX([1]AB4!AW:AW,MATCH(A288,[1]AB4!B:B,0)),INDEX([1]AB4!AJ:AJ,MATCH(A288,[1]AB4!B:B,0)),TEXT(INDEX([1]AB4!AX:AX,MATCH(A288,[1]AB4!B:B,0)),"0.00%")," )"))</f>
        <v>Min ( S : Entry or FUT : PRV : 2DHH + 0.18% )</v>
      </c>
      <c r="T288" s="37">
        <f t="array" ref="T288">IF(C284="","",INDEX([1]AB4!AY:AY,MATCH(A288,[1]AB4!B:B,0)))</f>
        <v>1</v>
      </c>
      <c r="U288" s="38"/>
      <c r="V288" s="36" t="str">
        <f t="array" ref="V288">IF(C284="","",CONCATENATE(INDEX([1]AB4!AA:AA,MATCH(A288,[1]AB4!B:B,0))," ( ",INDEX([1]AB4!AE:AE,MATCH(A288,[1]AB4!B:B,0))," or ",INDEX([1]AB4!AW:AW,MATCH(A288,[1]AB4!B:B,0)),INDEX([1]AB4!AJ:AJ,MATCH(A288,[1]AB4!B:B,0)),TEXT(INDEX([1]AB4!AX:AX,MATCH(A288,[1]AB4!B:B,0)),"0.00%")," )"))</f>
        <v>Min ( S : Entry or FUT : PRV : 2DHH + 0.18% )</v>
      </c>
      <c r="W288" s="37">
        <f t="array" ref="W288">IF(C284="","",INDEX([1]AB4!AY:AY,MATCH(A288,[1]AB4!B:B,0)))</f>
        <v>1</v>
      </c>
      <c r="X288" s="38"/>
      <c r="Y288" s="40">
        <f t="array" ref="Y288">IF(C284="","",INDEX([1]AB4!AZ:AZ,MATCH(A288,[1]AB4!B:B,0)))</f>
        <v>0</v>
      </c>
      <c r="Z288" s="37">
        <f t="array" ref="Z288">IF(C284="","",INDEX([1]AB4!BB:BB,MATCH(A288,[1]AB4!B:B,0)))</f>
        <v>0</v>
      </c>
      <c r="AA288" s="41"/>
      <c r="AB288" s="30"/>
      <c r="AC288" s="30"/>
    </row>
    <row r="289" spans="1:29" ht="19.5" customHeight="1" thickBot="1" x14ac:dyDescent="0.25">
      <c r="A289" s="18" t="str">
        <f>IF(C284="","",CONCATENATE(C285,[1]AB5!$A$9))</f>
        <v>S9C</v>
      </c>
      <c r="B289" s="31" t="str">
        <f>IF(C284="","",IF([1]AB5!$B$9="","",[1]AB5!$B$9))</f>
        <v>Segment</v>
      </c>
      <c r="C289" s="54" t="str">
        <f t="array" ref="C289">IF(C284="","",INDEX([1]AB2!C:C,MATCH(C284,[1]AB2!A:A,0)))</f>
        <v>FUTURES</v>
      </c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30"/>
      <c r="AC289" s="30"/>
    </row>
    <row r="290" spans="1:29" ht="30.75" customHeight="1" x14ac:dyDescent="0.2">
      <c r="A290" s="18" t="str">
        <f>IF(C284="","",CONCATENATE(C285,[1]AB5!$A$10))</f>
        <v>S9D</v>
      </c>
      <c r="B290" s="31" t="str">
        <f>IF(C284="","",IF([1]AB5!$B$10="","",[1]AB5!$B$10))</f>
        <v>Symbol</v>
      </c>
      <c r="C290" s="54" t="str">
        <f t="array" ref="C290">IF(C284="","",INDEX([1]AB2!E:E,MATCH(C284,[1]AB2!A:A,0)))</f>
        <v>NIFTY</v>
      </c>
      <c r="D290" s="56" t="str">
        <f>IF(C284="","",IF(C284="","",[1]AB5!$D$10))</f>
        <v>BEAR / BEAR CF</v>
      </c>
      <c r="E290" s="57" t="str">
        <f>IF(C284="","",[1]AB5!$F$10)</f>
        <v>BUY</v>
      </c>
      <c r="F290" s="58" t="str">
        <f>IF(C284="","",[1]AB5!$G$10)</f>
        <v>E &amp; T</v>
      </c>
      <c r="G290" s="25" t="str">
        <f t="array" ref="G290">IF(C284="","",CONCATENATE(INDEX([1]AB4!G:G,MATCH(A290,[1]AB4!B:B,0)),INDEX([1]AB4!H:H,MATCH(A290,[1]AB4!B:B,0)),TEXT(INDEX([1]AB4!I:I,MATCH(A290,[1]AB4!B:B,0)),"0.00%")))</f>
        <v>FUT : PRV : 2DHH + 0.18%</v>
      </c>
      <c r="H290" s="26">
        <f t="array" ref="H290">IF(C284="","",INDEX([1]AB4!J:J,MATCH(A290,[1]AB4!B:B,0)))</f>
        <v>5</v>
      </c>
      <c r="I290" s="27"/>
      <c r="J290" s="28" t="str">
        <f t="array" ref="J290">IF(C284="","",CONCATENATE(INDEX([1]AB4!L:L,MATCH(A290,[1]AB4!B:B,0)),INDEX([1]AB4!M:M,MATCH(A290,[1]AB4!B:B,0)),TEXT(INDEX([1]AB4!N:N,MATCH(A290,[1]AB4!B:B,0)),"0.00%")))</f>
        <v>L : Entry  + 1.50%</v>
      </c>
      <c r="K290" s="26">
        <f t="array" ref="K290">IF(C284="","",INDEX([1]AB4!O:O,MATCH(A290,[1]AB4!B:B,0)))</f>
        <v>1</v>
      </c>
      <c r="L290" s="27"/>
      <c r="M290" s="28" t="str">
        <f t="array" ref="M290">IF(C284="","",CONCATENATE(INDEX([1]AB4!L:L,MATCH(A290,[1]AB4!B:B,0)),INDEX([1]AB4!M:M,MATCH(A290,[1]AB4!B:B,0)),TEXT(INDEX([1]AB4!P:P,MATCH(A290,[1]AB4!B:B,0)),"0.00%")))</f>
        <v>L : Entry  + 2.00%</v>
      </c>
      <c r="N290" s="26">
        <f t="array" ref="N290">IF(C284="","",INDEX([1]AB4!Q:Q,MATCH(A290,[1]AB4!B:B,0)))</f>
        <v>1</v>
      </c>
      <c r="O290" s="27"/>
      <c r="P290" s="28" t="str">
        <f t="array" ref="P290">IF(C284="","",CONCATENATE(INDEX([1]AB4!L:L,MATCH(A290,[1]AB4!B:B,0)),INDEX([1]AB4!M:M,MATCH(A290,[1]AB4!B:B,0)),TEXT(INDEX([1]AB4!R:R,MATCH(A290,[1]AB4!B:B,0)),"0.00%")))</f>
        <v>L : Entry  + 2.50%</v>
      </c>
      <c r="Q290" s="26">
        <f t="array" ref="Q290">IF(C284="","",INDEX([1]AB4!S:S,MATCH(A290,[1]AB4!B:B,0)))</f>
        <v>1</v>
      </c>
      <c r="R290" s="27"/>
      <c r="S290" s="28" t="str">
        <f t="array" ref="S290">IF(C284="","",CONCATENATE(INDEX([1]AB4!L:L,MATCH(A290,[1]AB4!B:B,0)),INDEX([1]AB4!M:M,MATCH(A290,[1]AB4!B:B,0)),TEXT(INDEX([1]AB4!T:T,MATCH(A290,[1]AB4!B:B,0)),"0.00%")))</f>
        <v>L : Entry  + 3.00%</v>
      </c>
      <c r="T290" s="26">
        <f t="array" ref="T290">IF(C284="","",INDEX([1]AB4!U:U,MATCH(A290,[1]AB4!B:B,0)))</f>
        <v>1</v>
      </c>
      <c r="U290" s="27"/>
      <c r="V290" s="28" t="str">
        <f t="array" ref="V290">IF(C284="","",INDEX([1]AB4!V:V,MATCH(A290,[1]AB4!B:B,0)))</f>
        <v>TR PROFIT AFTER TGT 4</v>
      </c>
      <c r="W290" s="26">
        <f t="array" ref="W290">IF(C284="","",INDEX([1]AB4!W:W,MATCH(A290,[1]AB4!B:B,0)))</f>
        <v>1</v>
      </c>
      <c r="X290" s="27"/>
      <c r="Y290" s="28" t="str">
        <f t="array" ref="Y290">IF(C284="","",INDEX([1]AB4!X:X,MATCH(A290,[1]AB4!B:B,0)))</f>
        <v>N.A.</v>
      </c>
      <c r="Z290" s="26" t="str">
        <f t="array" ref="Z290">IF(C284="","",INDEX([1]AB4!Y:Y,MATCH(A290,[1]AB4!B:B,0)))</f>
        <v>N.A.</v>
      </c>
      <c r="AA290" s="29"/>
      <c r="AB290" s="30"/>
      <c r="AC290" s="30"/>
    </row>
    <row r="291" spans="1:29" ht="44.25" customHeight="1" thickBot="1" x14ac:dyDescent="0.25">
      <c r="A291" s="18" t="str">
        <f>IF(C284="","",CONCATENATE(C285,[1]AB5!$A$11))</f>
        <v>S9D</v>
      </c>
      <c r="B291" s="31" t="str">
        <f>IF(C284="","",IF([1]AB5!$B$11="","",[1]AB5!$B$11))</f>
        <v>No. of TGT</v>
      </c>
      <c r="C291" s="54" t="str">
        <f t="array" ref="C291">IF(C284="","",INDEX([1]AB2!K:K,MATCH(C284,[1]AB2!A:A,0)))</f>
        <v>4 &amp; APS</v>
      </c>
      <c r="D291" s="59"/>
      <c r="E291" s="60"/>
      <c r="F291" s="61" t="str">
        <f>IF(C284="","",[1]AB5!$G$11)</f>
        <v>SL / TRP</v>
      </c>
      <c r="G291" s="36" t="str">
        <f t="array" ref="G291">IF(C284="","",CONCATENATE(INDEX([1]AB4!AA:AA,MATCH(A291,[1]AB4!B:B,0))," ( ",INDEX([1]AB4!AE:AE,MATCH(A291,[1]AB4!B:B,0)),INDEX([1]AB4!AF:AF,MATCH(A291,[1]AB4!B:B,0)),TEXT(INDEX([1]AB4!AG:AG,MATCH(A291,[1]AB4!B:B,0)),"0.00%")," or ",INDEX([1]AB4!AK:AK,MATCH(A291,[1]AB4!B:B,0)),INDEX([1]AB4!AJ:AJ,MATCH(A291,[1]AB4!B:B,0)),TEXT(INDEX([1]AB4!AL:AL,MATCH(A291,[1]AB4!B:B,0)),"0.00%")," )"))</f>
        <v>Max ( L : Entry - 1.50% or FUT : PRV : 2DLL - 0.18% )</v>
      </c>
      <c r="H291" s="37">
        <f t="array" ref="H291">IF(C284="","",INDEX([1]AB4!AM:AM,MATCH(A291,[1]AB4!B:B,0)))</f>
        <v>5</v>
      </c>
      <c r="I291" s="38"/>
      <c r="J291" s="36" t="str">
        <f t="array" ref="J291">IF(C284="","",CONCATENATE(INDEX([1]AB4!AA:AA,MATCH(A291,[1]AB4!B:B,0))," ( ",INDEX([1]AB4!AE:AE,MATCH(A291,[1]AB4!B:B,0))," or ",INDEX([1]AB4!AN:AN,MATCH(A291,[1]AB4!B:B,0)),INDEX([1]AB4!AJ:AJ,MATCH(A291,[1]AB4!B:B,0)),TEXT(INDEX([1]AB4!AO:AO,MATCH(A291,[1]AB4!B:B,0)),"0.00%")," )"))</f>
        <v>Max ( L : Entry or FUT : PRV : 2DLL - 0.18% )</v>
      </c>
      <c r="K291" s="37">
        <f t="array" ref="K291">IF(C284="","",INDEX([1]AB4!AP:AP,MATCH(A291,[1]AB4!B:B,0)))</f>
        <v>4</v>
      </c>
      <c r="L291" s="38"/>
      <c r="M291" s="36" t="str">
        <f t="array" ref="M291">IF(C284="","",CONCATENATE(INDEX([1]AB4!AA:AA,MATCH(A291,[1]AB4!B:B,0))," ( ",INDEX([1]AB4!AE:AE,MATCH(A291,[1]AB4!B:B,0))," or ",INDEX([1]AB4!AQ:AQ,MATCH(A291,[1]AB4!B:B,0)),INDEX([1]AB4!AJ:AJ,MATCH(A291,[1]AB4!B:B,0)),TEXT(INDEX([1]AB4!AR:AR,MATCH(A291,[1]AB4!B:B,0)),"0.00%")," )"))</f>
        <v>Max ( L : Entry or FUT : PRV : 2DLL - 0.18% )</v>
      </c>
      <c r="N291" s="37">
        <f t="array" ref="N291">IF(C284="","",INDEX([1]AB4!AS:AS,MATCH(A291,[1]AB4!B:B,0)))</f>
        <v>3</v>
      </c>
      <c r="O291" s="38"/>
      <c r="P291" s="36" t="str">
        <f t="array" ref="P291">IF(C284="","",CONCATENATE(INDEX([1]AB4!AA:AA,MATCH(A291,[1]AB4!B:B,0))," ( ",INDEX([1]AB4!AE:AE,MATCH(A291,[1]AB4!B:B,0))," or ",INDEX([1]AB4!AT:AT,MATCH(A291,[1]AB4!B:B,0)),INDEX([1]AB4!AJ:AJ,MATCH(A291,[1]AB4!B:B,0)),TEXT(INDEX([1]AB4!AU:AU,MATCH(A291,[1]AB4!B:B,0)),"0.00%")," )"))</f>
        <v>Max ( L : Entry or FUT : PRV : 2DLL - 0.18% )</v>
      </c>
      <c r="Q291" s="37">
        <f t="array" ref="Q291">IF(C284="","",INDEX([1]AB4!AV:AV,MATCH(A291,[1]AB4!B:B,0)))</f>
        <v>2</v>
      </c>
      <c r="R291" s="38"/>
      <c r="S291" s="36" t="str">
        <f t="array" ref="S291">IF(C284="","",CONCATENATE(INDEX([1]AB4!AA:AA,MATCH(A291,[1]AB4!B:B,0))," ( ",INDEX([1]AB4!AE:AE,MATCH(A291,[1]AB4!B:B,0))," or ",INDEX([1]AB4!AW:AW,MATCH(A291,[1]AB4!B:B,0)),INDEX([1]AB4!AJ:AJ,MATCH(A291,[1]AB4!B:B,0)),TEXT(INDEX([1]AB4!AX:AX,MATCH(A291,[1]AB4!B:B,0)),"0.00%")," )"))</f>
        <v>Max ( L : Entry or FUT : PRV : 2DLL - 0.18% )</v>
      </c>
      <c r="T291" s="37">
        <f t="array" ref="T291">IF(C284="","",INDEX([1]AB4!AY:AY,MATCH(A291,[1]AB4!B:B,0)))</f>
        <v>1</v>
      </c>
      <c r="U291" s="38"/>
      <c r="V291" s="36" t="str">
        <f t="array" ref="V291">IF(C284="","",CONCATENATE(INDEX([1]AB4!AA:AA,MATCH(A291,[1]AB4!B:B,0))," ( ",INDEX([1]AB4!AE:AE,MATCH(A291,[1]AB4!B:B,0))," or ",INDEX([1]AB4!AW:AW,MATCH(A291,[1]AB4!B:B,0)),INDEX([1]AB4!AJ:AJ,MATCH(A291,[1]AB4!B:B,0)),TEXT(INDEX([1]AB4!AX:AX,MATCH(A291,[1]AB4!B:B,0)),"0.00%")," )"))</f>
        <v>Max ( L : Entry or FUT : PRV : 2DLL - 0.18% )</v>
      </c>
      <c r="W291" s="37">
        <f t="array" ref="W291">IF(C284="","",INDEX([1]AB4!AY:AY,MATCH(A291,[1]AB4!B:B,0)))</f>
        <v>1</v>
      </c>
      <c r="X291" s="38"/>
      <c r="Y291" s="40">
        <f t="array" ref="Y291">IF(C284="","",INDEX([1]AB4!AZ:AZ,MATCH(A291,[1]AB4!B:B,0)))</f>
        <v>0</v>
      </c>
      <c r="Z291" s="37">
        <f t="array" ref="Z291">IF(C284="","",INDEX([1]AB4!BB:BB,MATCH(A291,[1]AB4!B:B,0)))</f>
        <v>0</v>
      </c>
      <c r="AA291" s="41"/>
      <c r="AB291" s="30"/>
      <c r="AC291" s="30"/>
    </row>
    <row r="292" spans="1:29" ht="6" customHeight="1" thickBot="1" x14ac:dyDescent="0.25">
      <c r="A292" s="18" t="str">
        <f>IF(C284="","",CONCATENATE(C285,[1]AB5!A302))</f>
        <v>S9</v>
      </c>
      <c r="B292" s="62" t="str">
        <f>IF(C284="","",IF([1]AB5!$B$12="","",[1]AB5!$B$12))</f>
        <v>Stay Blessed !!!</v>
      </c>
      <c r="C292" s="63"/>
      <c r="D292" s="59"/>
      <c r="E292" s="44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6"/>
      <c r="AB292" s="30"/>
      <c r="AC292" s="30"/>
    </row>
    <row r="293" spans="1:29" ht="30.75" customHeight="1" x14ac:dyDescent="0.2">
      <c r="A293" s="18" t="str">
        <f>IF(C284="","",CONCATENATE(C285,[1]AB5!$A$13))</f>
        <v>S9E</v>
      </c>
      <c r="B293" s="64"/>
      <c r="C293" s="59"/>
      <c r="D293" s="59"/>
      <c r="E293" s="65" t="str">
        <f>IF(C284="","",[1]AB5!$F$13)</f>
        <v>SELL</v>
      </c>
      <c r="F293" s="58" t="str">
        <f>IF(C284="","",[1]AB5!$G$13)</f>
        <v>E &amp; T</v>
      </c>
      <c r="G293" s="25" t="str">
        <f t="array" ref="G293">IF(C284="","",CONCATENATE(INDEX([1]AB4!G:G,MATCH(A293,[1]AB4!B:B,0)),INDEX([1]AB4!H:H,MATCH(A293,[1]AB4!B:B,0)),TEXT(INDEX([1]AB4!I:I,MATCH(A293,[1]AB4!B:B,0)),"0.00%")))</f>
        <v>FUT : PRV : 2DLL - 0.18%</v>
      </c>
      <c r="H293" s="26">
        <f t="array" ref="H293">IF(C284="","",INDEX([1]AB4!J:J,MATCH(A293,[1]AB4!B:B,0)))</f>
        <v>5</v>
      </c>
      <c r="I293" s="27"/>
      <c r="J293" s="28" t="str">
        <f t="array" ref="J293">IF(C284="","",CONCATENATE(INDEX([1]AB4!L:L,MATCH(A293,[1]AB4!B:B,0)),INDEX([1]AB4!M:M,MATCH(A293,[1]AB4!B:B,0)),TEXT(INDEX([1]AB4!N:N,MATCH(A293,[1]AB4!B:B,0)),"0.00%")))</f>
        <v>S : Entry  - 1.50%</v>
      </c>
      <c r="K293" s="26">
        <f t="array" ref="K293">IF(C284="","",INDEX([1]AB4!O:O,MATCH(A293,[1]AB4!B:B,0)))</f>
        <v>1</v>
      </c>
      <c r="L293" s="27"/>
      <c r="M293" s="28" t="str">
        <f t="array" ref="M293">IF(C284="","",CONCATENATE(INDEX([1]AB4!L:L,MATCH(A293,[1]AB4!B:B,0)),INDEX([1]AB4!M:M,MATCH(A293,[1]AB4!B:B,0)),TEXT(INDEX([1]AB4!P:P,MATCH(A293,[1]AB4!B:B,0)),"0.00%")))</f>
        <v>S : Entry  - 2.00%</v>
      </c>
      <c r="N293" s="26">
        <f t="array" ref="N293">IF(C284="","",INDEX([1]AB4!Q:Q,MATCH(A293,[1]AB4!B:B,0)))</f>
        <v>1</v>
      </c>
      <c r="O293" s="27"/>
      <c r="P293" s="28" t="str">
        <f t="array" ref="P293">IF(C284="","",CONCATENATE(INDEX([1]AB4!L:L,MATCH(A293,[1]AB4!B:B,0)),INDEX([1]AB4!M:M,MATCH(A293,[1]AB4!B:B,0)),TEXT(INDEX([1]AB4!R:R,MATCH(A293,[1]AB4!B:B,0)),"0.00%")))</f>
        <v>S : Entry  - 2.50%</v>
      </c>
      <c r="Q293" s="26">
        <f t="array" ref="Q293">IF(C284="","",INDEX([1]AB4!S:S,MATCH(A293,[1]AB4!B:B,0)))</f>
        <v>1</v>
      </c>
      <c r="R293" s="27"/>
      <c r="S293" s="28" t="str">
        <f t="array" ref="S293">IF(C284="","",CONCATENATE(INDEX([1]AB4!L:L,MATCH(A293,[1]AB4!B:B,0)),INDEX([1]AB4!M:M,MATCH(A293,[1]AB4!B:B,0)),TEXT(INDEX([1]AB4!T:T,MATCH(A293,[1]AB4!B:B,0)),"0.00%")))</f>
        <v>S : Entry  - 3.00%</v>
      </c>
      <c r="T293" s="26">
        <f t="array" ref="T293">IF(C284="","",INDEX([1]AB4!U:U,MATCH(A293,[1]AB4!B:B,0)))</f>
        <v>1</v>
      </c>
      <c r="U293" s="27"/>
      <c r="V293" s="28" t="str">
        <f t="array" ref="V293">IF(C284="","",INDEX([1]AB4!V:V,MATCH(A293,[1]AB4!B:B,0)))</f>
        <v>TR PROFIT AFTER TGT 4</v>
      </c>
      <c r="W293" s="26">
        <f t="array" ref="W293">IF(C284="","",INDEX([1]AB4!W:W,MATCH(A293,[1]AB4!B:B,0)))</f>
        <v>1</v>
      </c>
      <c r="X293" s="27"/>
      <c r="Y293" s="28" t="str">
        <f t="array" ref="Y293">IF(C284="","",INDEX([1]AB4!X:X,MATCH(A293,[1]AB4!B:B,0)))</f>
        <v>N.A.</v>
      </c>
      <c r="Z293" s="26" t="str">
        <f t="array" ref="Z293">IF(C284="","",INDEX([1]AB4!Y:Y,MATCH(A293,[1]AB4!B:B,0)))</f>
        <v>N.A.</v>
      </c>
      <c r="AA293" s="29"/>
      <c r="AB293" s="30"/>
      <c r="AC293" s="30"/>
    </row>
    <row r="294" spans="1:29" ht="44.25" customHeight="1" thickBot="1" x14ac:dyDescent="0.25">
      <c r="A294" s="18" t="str">
        <f>IF(C284="","",CONCATENATE(C285,[1]AB5!$A$14))</f>
        <v>S9E</v>
      </c>
      <c r="B294" s="60"/>
      <c r="C294" s="66"/>
      <c r="D294" s="66"/>
      <c r="E294" s="60"/>
      <c r="F294" s="61" t="str">
        <f>IF(C284="","",[1]AB5!$G$14)</f>
        <v>SL / TRP</v>
      </c>
      <c r="G294" s="36" t="str">
        <f t="array" ref="G294">IF(C284="","",CONCATENATE(INDEX([1]AB4!AA:AA,MATCH(A294,[1]AB4!B:B,0))," ( ",INDEX([1]AB4!AE:AE,MATCH(A294,[1]AB4!B:B,0)),INDEX([1]AB4!AF:AF,MATCH(A294,[1]AB4!B:B,0)),TEXT(INDEX([1]AB4!AG:AG,MATCH(A294,[1]AB4!B:B,0)),"0.00%")," or ",INDEX([1]AB4!AK:AK,MATCH(A294,[1]AB4!B:B,0)),INDEX([1]AB4!AJ:AJ,MATCH(A294,[1]AB4!B:B,0)),TEXT(INDEX([1]AB4!AL:AL,MATCH(A294,[1]AB4!B:B,0)),"0.00%")," )"))</f>
        <v>Min ( S : Entry + 1.50% or FUT : PRV : 2DHH + 0.18% )</v>
      </c>
      <c r="H294" s="37">
        <f t="array" ref="H294">IF(C284="","",INDEX([1]AB4!AM:AM,MATCH(A294,[1]AB4!B:B,0)))</f>
        <v>5</v>
      </c>
      <c r="I294" s="38"/>
      <c r="J294" s="36" t="str">
        <f t="array" ref="J294">IF(C284="","",CONCATENATE(INDEX([1]AB4!AA:AA,MATCH(A294,[1]AB4!B:B,0))," ( ",INDEX([1]AB4!AE:AE,MATCH(A294,[1]AB4!B:B,0))," or ",INDEX([1]AB4!AN:AN,MATCH(A294,[1]AB4!B:B,0)),INDEX([1]AB4!AJ:AJ,MATCH(A294,[1]AB4!B:B,0)),TEXT(INDEX([1]AB4!AO:AO,MATCH(A294,[1]AB4!B:B,0)),"0.00%")," )"))</f>
        <v>Min ( S : Entry or FUT : PRV : 2DHH + 0.18% )</v>
      </c>
      <c r="K294" s="37">
        <f t="array" ref="K294">IF(C284="","",INDEX([1]AB4!AP:AP,MATCH(A294,[1]AB4!B:B,0)))</f>
        <v>4</v>
      </c>
      <c r="L294" s="38"/>
      <c r="M294" s="36" t="str">
        <f t="array" ref="M294">IF(C284="","",CONCATENATE(INDEX([1]AB4!AA:AA,MATCH(A294,[1]AB4!B:B,0))," ( ",INDEX([1]AB4!AE:AE,MATCH(A294,[1]AB4!B:B,0))," or ",INDEX([1]AB4!AQ:AQ,MATCH(A294,[1]AB4!B:B,0)),INDEX([1]AB4!AJ:AJ,MATCH(A294,[1]AB4!B:B,0)),TEXT(INDEX([1]AB4!AR:AR,MATCH(A294,[1]AB4!B:B,0)),"0.00%")," )"))</f>
        <v>Min ( S : Entry or FUT : PRV : 2DHH + 0.18% )</v>
      </c>
      <c r="N294" s="37">
        <f t="array" ref="N294">IF(C284="","",INDEX([1]AB4!AS:AS,MATCH(A294,[1]AB4!B:B,0)))</f>
        <v>3</v>
      </c>
      <c r="O294" s="38"/>
      <c r="P294" s="36" t="str">
        <f t="array" ref="P294">IF(C284="","",CONCATENATE(INDEX([1]AB4!AA:AA,MATCH(A294,[1]AB4!B:B,0))," ( ",INDEX([1]AB4!AE:AE,MATCH(A294,[1]AB4!B:B,0))," or ",INDEX([1]AB4!AT:AT,MATCH(A294,[1]AB4!B:B,0)),INDEX([1]AB4!AJ:AJ,MATCH(A294,[1]AB4!B:B,0)),TEXT(INDEX([1]AB4!AU:AU,MATCH(A294,[1]AB4!B:B,0)),"0.00%")," )"))</f>
        <v>Min ( S : Entry or FUT : PRV : 2DHH + 0.18% )</v>
      </c>
      <c r="Q294" s="37">
        <f t="array" ref="Q294">IF(C284="","",INDEX([1]AB4!AV:AV,MATCH(A294,[1]AB4!B:B,0)))</f>
        <v>2</v>
      </c>
      <c r="R294" s="38"/>
      <c r="S294" s="36" t="str">
        <f t="array" ref="S294">IF(C284="","",CONCATENATE(INDEX([1]AB4!AA:AA,MATCH(A294,[1]AB4!B:B,0))," ( ",INDEX([1]AB4!AE:AE,MATCH(A294,[1]AB4!B:B,0))," or ",INDEX([1]AB4!AW:AW,MATCH(A294,[1]AB4!B:B,0)),INDEX([1]AB4!AJ:AJ,MATCH(A294,[1]AB4!B:B,0)),TEXT(INDEX([1]AB4!AX:AX,MATCH(A294,[1]AB4!B:B,0)),"0.00%")," )"))</f>
        <v>Min ( S : Entry or FUT : PRV : 2DHH + 0.18% )</v>
      </c>
      <c r="T294" s="37">
        <f t="array" ref="T294">IF(C284="","",INDEX([1]AB4!AY:AY,MATCH(A294,[1]AB4!B:B,0)))</f>
        <v>1</v>
      </c>
      <c r="U294" s="38"/>
      <c r="V294" s="36" t="str">
        <f t="array" ref="V294">IF(C284="","",CONCATENATE(INDEX([1]AB4!AA:AA,MATCH(A294,[1]AB4!B:B,0))," ( ",INDEX([1]AB4!AE:AE,MATCH(A294,[1]AB4!B:B,0))," or ",INDEX([1]AB4!AW:AW,MATCH(A294,[1]AB4!B:B,0)),INDEX([1]AB4!AJ:AJ,MATCH(A294,[1]AB4!B:B,0)),TEXT(INDEX([1]AB4!AX:AX,MATCH(A294,[1]AB4!B:B,0)),"0.00%")," )"))</f>
        <v>Min ( S : Entry or FUT : PRV : 2DHH + 0.18% )</v>
      </c>
      <c r="W294" s="37">
        <f t="array" ref="W294">IF(C284="","",INDEX([1]AB4!AY:AY,MATCH(A294,[1]AB4!B:B,0)))</f>
        <v>1</v>
      </c>
      <c r="X294" s="38"/>
      <c r="Y294" s="40">
        <f t="array" ref="Y294">IF(C284="","",INDEX([1]AB4!AZ:AZ,MATCH(A294,[1]AB4!B:B,0)))</f>
        <v>0</v>
      </c>
      <c r="Z294" s="37">
        <f t="array" ref="Z294">IF(C284="","",INDEX([1]AB4!BB:BB,MATCH(A294,[1]AB4!B:B,0)))</f>
        <v>0</v>
      </c>
      <c r="AA294" s="41"/>
      <c r="AB294" s="30"/>
      <c r="AC294" s="30"/>
    </row>
    <row r="295" spans="1:29" ht="6" customHeight="1" thickBot="1" x14ac:dyDescent="0.25">
      <c r="A295" s="18"/>
      <c r="B295" s="55"/>
      <c r="C295" s="55"/>
      <c r="D295" s="55"/>
      <c r="E295" s="30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30"/>
      <c r="AA295" s="30"/>
      <c r="AB295" s="68"/>
      <c r="AC295" s="68"/>
    </row>
    <row r="296" spans="1:29" ht="21.75" customHeight="1" x14ac:dyDescent="0.2">
      <c r="A296" s="18"/>
      <c r="B296" s="69" t="str">
        <f>IF(C284="","",[1]AB5!$B$16)</f>
        <v>For Entry</v>
      </c>
      <c r="C296" s="29"/>
      <c r="D296" s="70" t="str">
        <f>IF(C284="","",[1]AB5!$D$16)</f>
        <v>Gap Check</v>
      </c>
      <c r="E296" s="71"/>
      <c r="F296" s="70" t="str">
        <f>IF(C284="","",[1]AB5!$G$16)</f>
        <v>Process</v>
      </c>
      <c r="G296" s="72"/>
      <c r="H296" s="73" t="str">
        <f>IF(C284="","",[1]AB5!$I$16)</f>
        <v>Y / N</v>
      </c>
      <c r="I296" s="72"/>
      <c r="J296" s="74" t="str">
        <f>IF(C284="","",[1]AB5!$K$16)</f>
        <v>Order Status</v>
      </c>
      <c r="K296" s="75" t="str">
        <f>IF(C284="","",[1]AB5!$L$16)</f>
        <v>Step 1</v>
      </c>
      <c r="L296" s="76"/>
      <c r="M296" s="76"/>
      <c r="N296" s="72"/>
      <c r="O296" s="73" t="str">
        <f>IF(C284="","",[1]AB5!$P$16)</f>
        <v>Order Placement Timings</v>
      </c>
      <c r="P296" s="72"/>
      <c r="Q296" s="73" t="str">
        <f>IF(C284="","",[1]AB5!$R$16)</f>
        <v>Time</v>
      </c>
      <c r="R296" s="72"/>
      <c r="S296" s="75" t="str">
        <f>IF(C284="","",[1]AB5!$T$16)</f>
        <v>Rules For Gaps</v>
      </c>
      <c r="T296" s="76"/>
      <c r="U296" s="72"/>
      <c r="V296" s="74" t="str">
        <f>IF(C284="","",[1]AB5!$W$16)</f>
        <v>Data</v>
      </c>
      <c r="W296" s="73" t="str">
        <f>IF(C284="","",[1]AB5!$X$16)</f>
        <v>Buffer</v>
      </c>
      <c r="X296" s="71"/>
      <c r="Y296" s="77" t="str">
        <f>IF(C284="","",[1]AB5!$AA$16)</f>
        <v>Rules For Re Entry</v>
      </c>
      <c r="Z296" s="76"/>
      <c r="AA296" s="71"/>
      <c r="AB296" s="78"/>
      <c r="AC296" s="78"/>
    </row>
    <row r="297" spans="1:29" ht="31.5" customHeight="1" x14ac:dyDescent="0.2">
      <c r="A297" s="18" t="str">
        <f>IF(C284="","",CONCATENATE(C285,[1]AB5!$A$17))</f>
        <v>S9A</v>
      </c>
      <c r="B297" s="79" t="str">
        <f>IF(C284="","",[1]AB5!$B$17)</f>
        <v xml:space="preserve">ORPT </v>
      </c>
      <c r="C297" s="80" t="str">
        <f>IF(C284="","",[1]AB5!$C$17)</f>
        <v xml:space="preserve"> RC. Time</v>
      </c>
      <c r="D297" s="81" t="str">
        <f>IF(C284="","",[1]AB5!$D$17)</f>
        <v>For Long Entry</v>
      </c>
      <c r="E297" s="63"/>
      <c r="F297" s="82" t="str">
        <f>IF(C284="","",CONCATENATE([1]AB5!$G$17,TEXT(B298,"HH:MM:SS AM/PM"),[1]AB5!$B$18,[1]AB5!$H$17))</f>
        <v>Check If  09:19:59 AM HH &gt; Long Entry</v>
      </c>
      <c r="G297" s="83"/>
      <c r="H297" s="84" t="str">
        <f>IF(C284="","",[1]AB5!$I$17)</f>
        <v>No</v>
      </c>
      <c r="I297" s="85"/>
      <c r="J297" s="86" t="str">
        <f>IF(C284="","",[1]AB5!$K$17)</f>
        <v>Entry Not Missed</v>
      </c>
      <c r="K297" s="87" t="str">
        <f>IF(C284="","",[1]AB5!$L$17)</f>
        <v>Place the Order at ORPT</v>
      </c>
      <c r="L297" s="88"/>
      <c r="M297" s="88"/>
      <c r="N297" s="85"/>
      <c r="O297" s="87" t="str">
        <f>IF(C284="","",[1]AB5!$P$17)</f>
        <v>ORPT Time</v>
      </c>
      <c r="P297" s="85"/>
      <c r="Q297" s="89">
        <f>IF(C284="","",B298)</f>
        <v>0.38888194444444446</v>
      </c>
      <c r="R297" s="85"/>
      <c r="S297" s="87" t="str">
        <f>IF(C284="","",[1]AB5!$T$17)</f>
        <v>N.A.</v>
      </c>
      <c r="T297" s="88"/>
      <c r="U297" s="85"/>
      <c r="V297" s="86" t="str">
        <f>IF(C284="","",[1]AB5!$W$17)</f>
        <v>N.A.</v>
      </c>
      <c r="W297" s="90" t="str">
        <f>IF(C284="","",[1]AB5!$X$17)</f>
        <v>N.A.</v>
      </c>
      <c r="X297" s="91"/>
      <c r="Y297" s="92" t="str">
        <f>IF(C284="","",[1]AB5!$AA$17)</f>
        <v xml:space="preserve">Long Entry : Bull/ Bull CF : </v>
      </c>
      <c r="Z297" s="88"/>
      <c r="AA297" s="91"/>
      <c r="AB297" s="68"/>
      <c r="AC297" s="68"/>
    </row>
    <row r="298" spans="1:29" ht="31.5" customHeight="1" x14ac:dyDescent="0.2">
      <c r="A298" s="18" t="str">
        <f>IF(C284="","",CONCATENATE(C285,[1]AB5!$A$18))</f>
        <v>S9B</v>
      </c>
      <c r="B298" s="93">
        <f t="array" ref="B298">IF(C284="","",INDEX([1]AB4!BE:BE,MATCH(A297,[1]AB4!B:B,0)))</f>
        <v>0.38888194444444446</v>
      </c>
      <c r="C298" s="94">
        <f t="array" ref="C298">IF(C284="","",INDEX([1]AB4!BE:BE,MATCH(A298,[1]AB4!B:B,0)))</f>
        <v>0.39582638888888888</v>
      </c>
      <c r="D298" s="64"/>
      <c r="E298" s="59"/>
      <c r="F298" s="64"/>
      <c r="G298" s="95"/>
      <c r="H298" s="96" t="str">
        <f>IF(C284="","",[1]AB5!$I$18)</f>
        <v>Yes</v>
      </c>
      <c r="I298" s="83"/>
      <c r="J298" s="97" t="str">
        <f>IF(C284="","",[1]AB5!$K$18)</f>
        <v>Entry Missed</v>
      </c>
      <c r="K298" s="87" t="str">
        <f>IF(C284="","",[1]AB5!$L$18)</f>
        <v>Recalcuate : Long Entry : Bull / Bull CF</v>
      </c>
      <c r="L298" s="88"/>
      <c r="M298" s="88"/>
      <c r="N298" s="85"/>
      <c r="O298" s="87" t="str">
        <f>IF(C284="","",[1]AB5!$P$18)</f>
        <v>Wait Till Recalculation Time</v>
      </c>
      <c r="P298" s="85"/>
      <c r="Q298" s="89">
        <f>IF(C284="","",C298)</f>
        <v>0.39582638888888888</v>
      </c>
      <c r="R298" s="85"/>
      <c r="S298" s="98" t="str">
        <f>IF(C284="","",CONCATENATE(V298," ",[1]AB5!$Z$18," ",TEXT(W298,"0.00%")))</f>
        <v>09:29:59 AM HH + 0.18%</v>
      </c>
      <c r="T298" s="88"/>
      <c r="U298" s="85"/>
      <c r="V298" s="99" t="str">
        <f>IF(C284="","",CONCATENATE(TEXT(Q298,"HH:MM:SS AM/PM"),[1]AB5!$U$18))</f>
        <v>09:29:59 AM HH</v>
      </c>
      <c r="W298" s="100" t="str">
        <f t="array" ref="W298">IF(A284="","",TEXT(INDEX([1]AB4!BK:BK,MATCH(A285,[1]AB4!B:B,0)),"0.00%"))</f>
        <v>0.18%</v>
      </c>
      <c r="X298" s="91"/>
      <c r="Y298" s="101" t="str">
        <f>IF(C284="","",CONCATENATE([1]AB5!$T$18," ( ",G284," or ",[1]AB5!$AA$18," ",[1]AB5!$Z$18," ",TEXT(W298,"0.00%")," )"))</f>
        <v>Max ( FUT : PRV : 2DHH + 0.18% or  CDHH + 0.18% )</v>
      </c>
      <c r="Z298" s="88"/>
      <c r="AA298" s="91"/>
      <c r="AB298" s="68"/>
      <c r="AC298" s="68"/>
    </row>
    <row r="299" spans="1:29" ht="31.5" customHeight="1" thickBot="1" x14ac:dyDescent="0.25">
      <c r="A299" s="18"/>
      <c r="B299" s="34"/>
      <c r="C299" s="102"/>
      <c r="D299" s="103"/>
      <c r="E299" s="104"/>
      <c r="F299" s="103"/>
      <c r="G299" s="105"/>
      <c r="H299" s="51"/>
      <c r="I299" s="105"/>
      <c r="J299" s="53"/>
      <c r="K299" s="87" t="str">
        <f>IF(C284="","",[1]AB5!$L$19)</f>
        <v>Recalcuate : Long Entry : Bear / Bear CF</v>
      </c>
      <c r="L299" s="88"/>
      <c r="M299" s="88"/>
      <c r="N299" s="85"/>
      <c r="O299" s="87" t="str">
        <f>IF(C284="","",[1]AB5!$P$19)</f>
        <v>Wait Till Recalculation Time</v>
      </c>
      <c r="P299" s="85"/>
      <c r="Q299" s="89">
        <f>IF(C284="","",C298)</f>
        <v>0.39582638888888888</v>
      </c>
      <c r="R299" s="85"/>
      <c r="S299" s="98" t="str">
        <f>IF(C284="","",CONCATENATE(V299," ",[1]AB5!$Z$19," ",TEXT(W299,"0.00%"),))</f>
        <v>09:29:59 AM HH + 0.18%</v>
      </c>
      <c r="T299" s="88"/>
      <c r="U299" s="85"/>
      <c r="V299" s="99" t="str">
        <f>IF(C284="","",CONCATENATE(TEXT(Q299,"HH:MM:SS AM/PM"),[1]AB5!$U$19))</f>
        <v>09:29:59 AM HH</v>
      </c>
      <c r="W299" s="100" t="str">
        <f t="array" ref="W299">IF(C284="","",TEXT(INDEX([1]AB4!BK:BK,MATCH(A290,[1]AB4!B:B,0)),"0.00%"))</f>
        <v>0.18%</v>
      </c>
      <c r="X299" s="91"/>
      <c r="Y299" s="106" t="str">
        <f>IF(C284="","",[1]AB5!$AA$19)</f>
        <v xml:space="preserve">Long Entry : Bear/ Bear CF : </v>
      </c>
      <c r="Z299" s="88"/>
      <c r="AA299" s="91"/>
      <c r="AB299" s="68"/>
      <c r="AC299" s="68"/>
    </row>
    <row r="300" spans="1:29" ht="31.5" customHeight="1" x14ac:dyDescent="0.2">
      <c r="A300" s="18"/>
      <c r="B300" s="69" t="str">
        <f>IF(C284="","",[1]AB5!$B$20)</f>
        <v>For SL (Position = Open)</v>
      </c>
      <c r="C300" s="29"/>
      <c r="D300" s="107" t="str">
        <f>IF(C284="","",[1]AB5!$D$20)</f>
        <v>For Short Entry</v>
      </c>
      <c r="E300" s="63"/>
      <c r="F300" s="82" t="str">
        <f>IF(C284="","",CONCATENATE([1]AB5!$G$20,TEXT(B298,"HH:MM:SS AM/PM"),[1]AB5!$B$18,[1]AB5!$H$20))</f>
        <v>Check If  09:19:59 AM LL &lt; Short Entry</v>
      </c>
      <c r="G300" s="83"/>
      <c r="H300" s="108" t="str">
        <f>IF(C284="","",[1]AB5!$I$20)</f>
        <v>No</v>
      </c>
      <c r="I300" s="85"/>
      <c r="J300" s="109" t="str">
        <f>IF(C284="","",[1]AB5!$K$20)</f>
        <v>Entry Not Missed</v>
      </c>
      <c r="K300" s="110" t="str">
        <f>IF(C284="","",[1]AB5!$L$20)</f>
        <v>Place the Order at ORPT</v>
      </c>
      <c r="L300" s="88"/>
      <c r="M300" s="88"/>
      <c r="N300" s="85"/>
      <c r="O300" s="110" t="str">
        <f>IF(C284="","",[1]AB5!$P$20)</f>
        <v>ORPT Time</v>
      </c>
      <c r="P300" s="85"/>
      <c r="Q300" s="111">
        <f>IF(C284="","",B298)</f>
        <v>0.38888194444444446</v>
      </c>
      <c r="R300" s="85"/>
      <c r="S300" s="110" t="str">
        <f>IF(C284="","",[1]AB5!$T$20)</f>
        <v>N.A.</v>
      </c>
      <c r="T300" s="88"/>
      <c r="U300" s="85"/>
      <c r="V300" s="109" t="str">
        <f>IF(C284="","",[1]AB5!$W$20)</f>
        <v>N.A.</v>
      </c>
      <c r="W300" s="112" t="str">
        <f>IF(C284="","",[1]AB5!$X$20)</f>
        <v>N.A.</v>
      </c>
      <c r="X300" s="91"/>
      <c r="Y300" s="101" t="str">
        <f>IF(C284="","",CONCATENATE([1]AB5!$T$19," ( ",G290," or ",[1]AB5!$AA$20," ",[1]AB5!$Z$19," ",TEXT(W299,"0.00%")," )"))</f>
        <v>Max ( FUT : PRV : 2DHH + 0.18% or  CDHH + 0.18% )</v>
      </c>
      <c r="Z300" s="88"/>
      <c r="AA300" s="91"/>
      <c r="AB300" s="68"/>
      <c r="AC300" s="68"/>
    </row>
    <row r="301" spans="1:29" ht="31.5" customHeight="1" x14ac:dyDescent="0.2">
      <c r="A301" s="18" t="str">
        <f>IF(C284="","",CONCATENATE(C285,[1]AB5!$A$21))</f>
        <v>S9A</v>
      </c>
      <c r="B301" s="79" t="str">
        <f>IF(C284="","",[1]AB5!$B$21)</f>
        <v xml:space="preserve">ORPT </v>
      </c>
      <c r="C301" s="80" t="str">
        <f>IF(C284="","",[1]AB5!$C$21)</f>
        <v xml:space="preserve"> RC. Time</v>
      </c>
      <c r="D301" s="64"/>
      <c r="E301" s="59"/>
      <c r="F301" s="64"/>
      <c r="G301" s="95"/>
      <c r="H301" s="113" t="str">
        <f>IF(C284="","",[1]AB5!$I$21)</f>
        <v>Yes</v>
      </c>
      <c r="I301" s="83"/>
      <c r="J301" s="114" t="str">
        <f>IF(C284="","",[1]AB5!$K$21)</f>
        <v>Entry Missed</v>
      </c>
      <c r="K301" s="110" t="str">
        <f>IF(C284="","",[1]AB5!$L$21)</f>
        <v>Recalcuate : Short Entry : Bull / Bull CF</v>
      </c>
      <c r="L301" s="88"/>
      <c r="M301" s="88"/>
      <c r="N301" s="85"/>
      <c r="O301" s="110" t="str">
        <f>IF(C284="","",[1]AB5!$P$21)</f>
        <v>Wait Till Recalculation Time</v>
      </c>
      <c r="P301" s="85"/>
      <c r="Q301" s="111">
        <f>IF(C284="","",C298)</f>
        <v>0.39582638888888888</v>
      </c>
      <c r="R301" s="85"/>
      <c r="S301" s="115" t="str">
        <f>IF(C284="","",CONCATENATE(V301," ",[1]AB5!$Z$21," ",TEXT(W301,"0.00%")))</f>
        <v>09:29:59 AM LL - 0.18%</v>
      </c>
      <c r="T301" s="88"/>
      <c r="U301" s="85"/>
      <c r="V301" s="116" t="str">
        <f>IF(C284="","",CONCATENATE(TEXT(Q301,"HH:MM:SS AM/PM"),[1]AB5!$U$21))</f>
        <v>09:29:59 AM LL</v>
      </c>
      <c r="W301" s="112" t="str">
        <f t="array" ref="W301">IF(C284="","",TEXT(INDEX([1]AB4!BK:BK,MATCH(A287,[1]AB4!B:B,0)),"0.00%"))</f>
        <v>0.18%</v>
      </c>
      <c r="X301" s="91"/>
      <c r="Y301" s="117" t="str">
        <f>IF(C284="","",[1]AB5!$AA$21)</f>
        <v>When Your Long Position is Exited</v>
      </c>
      <c r="Z301" s="118"/>
      <c r="AA301" s="59"/>
      <c r="AB301" s="68"/>
      <c r="AC301" s="68"/>
    </row>
    <row r="302" spans="1:29" ht="31.5" customHeight="1" thickBot="1" x14ac:dyDescent="0.25">
      <c r="A302" s="18" t="str">
        <f>IF(C284="","",CONCATENATE(C285,[1]AB5!$A$22))</f>
        <v>S9B</v>
      </c>
      <c r="B302" s="119">
        <f t="array" ref="B302">IF(C284="","",INDEX([1]AB4!BF:BF,MATCH(A301,[1]AB4!B:B,0)))</f>
        <v>0.38888194444444446</v>
      </c>
      <c r="C302" s="120">
        <f t="array" ref="C302">IF(C284="","",INDEX([1]AB4!BF:BF,MATCH(A302,[1]AB4!B:B,0)))</f>
        <v>0.39582638888888888</v>
      </c>
      <c r="D302" s="60"/>
      <c r="E302" s="66"/>
      <c r="F302" s="60"/>
      <c r="G302" s="121"/>
      <c r="H302" s="102"/>
      <c r="I302" s="121"/>
      <c r="J302" s="122"/>
      <c r="K302" s="123" t="str">
        <f>IF(C284="","",[1]AB5!$L$22)</f>
        <v>Recalcuate : Short Entry : Bear / Bear CF</v>
      </c>
      <c r="L302" s="124"/>
      <c r="M302" s="124"/>
      <c r="N302" s="38"/>
      <c r="O302" s="123" t="str">
        <f>IF(C284="","",[1]AB5!$P$22)</f>
        <v>Wait Till Recalculation Time</v>
      </c>
      <c r="P302" s="38"/>
      <c r="Q302" s="125">
        <f>IF(C284="","",C298)</f>
        <v>0.39582638888888888</v>
      </c>
      <c r="R302" s="38"/>
      <c r="S302" s="126" t="str">
        <f>IF(C284="","",CONCATENATE(V302," ",[1]AB5!$Z$22," ",TEXT(W302,"0.00%")))</f>
        <v>09:29:59 AM LL - 0.18%</v>
      </c>
      <c r="T302" s="124"/>
      <c r="U302" s="38"/>
      <c r="V302" s="127" t="str">
        <f>IF(C284="","",CONCATENATE(TEXT(Q302,"HH:MM:SS AM/PM"),[1]AB5!$U$22))</f>
        <v>09:29:59 AM LL</v>
      </c>
      <c r="W302" s="128" t="str">
        <f t="array" ref="W302">IF(C284="","",TEXT(INDEX([1]AB4!BK:BK,MATCH(A293,[1]AB4!B:B,0)),"0.00%"))</f>
        <v>0.18%</v>
      </c>
      <c r="X302" s="41"/>
      <c r="Y302" s="129" t="str">
        <f>IF(C284="","",[1]AB5!$AA$22)</f>
        <v>This is Only Applicable for Same Day</v>
      </c>
      <c r="Z302" s="130"/>
      <c r="AA302" s="66"/>
      <c r="AB302" s="68"/>
      <c r="AC302" s="68"/>
    </row>
    <row r="303" spans="1:29" ht="6" customHeight="1" thickBot="1" x14ac:dyDescent="0.25">
      <c r="A303" s="18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</row>
    <row r="304" spans="1:29" ht="21.75" customHeight="1" thickBot="1" x14ac:dyDescent="0.25">
      <c r="A304" s="18"/>
      <c r="B304" s="69" t="str">
        <f>IF(C284="","",[1]AB5!$B$24)</f>
        <v>For TGT (Position = Open)</v>
      </c>
      <c r="C304" s="29"/>
      <c r="D304" s="132" t="str">
        <f>IF(C284="","",[1]AB5!$D$24)</f>
        <v>Gap Check</v>
      </c>
      <c r="E304" s="133"/>
      <c r="F304" s="132" t="str">
        <f>IF(C284="","",[1]AB5!$G$24)</f>
        <v>Process</v>
      </c>
      <c r="G304" s="133"/>
      <c r="H304" s="132" t="str">
        <f>IF(C284="","",[1]AB5!$I$24)</f>
        <v>Y / N</v>
      </c>
      <c r="I304" s="133"/>
      <c r="J304" s="134" t="str">
        <f>IF(C284="","",[1]AB5!$K$24)</f>
        <v>Status</v>
      </c>
      <c r="K304" s="135" t="str">
        <f>IF(C284="","",[1]AB5!$L$24)</f>
        <v>Step 1</v>
      </c>
      <c r="L304" s="136"/>
      <c r="M304" s="136"/>
      <c r="N304" s="133"/>
      <c r="O304" s="132" t="str">
        <f>IF(C284="","",[1]AB5!$P$24)</f>
        <v>Order Placement Timings</v>
      </c>
      <c r="P304" s="133"/>
      <c r="Q304" s="132" t="str">
        <f>IF(C284="","",[1]AB5!$R$24)</f>
        <v>Time</v>
      </c>
      <c r="R304" s="133"/>
      <c r="S304" s="135" t="str">
        <f>IF(C284="","",[1]AB5!$T$24)</f>
        <v>Rules For Gaps</v>
      </c>
      <c r="T304" s="136"/>
      <c r="U304" s="133"/>
      <c r="V304" s="134" t="str">
        <f>IF(C284="","",[1]AB5!$W$24)</f>
        <v>Data</v>
      </c>
      <c r="W304" s="132" t="str">
        <f>IF(C284="","",[1]AB5!$X$24)</f>
        <v>Buffer</v>
      </c>
      <c r="X304" s="133"/>
      <c r="Y304" s="135" t="str">
        <f>IF(C284="","",[1]AB5!$AA$16)</f>
        <v>Rules For Re Entry</v>
      </c>
      <c r="Z304" s="136"/>
      <c r="AA304" s="133"/>
      <c r="AB304" s="78"/>
      <c r="AC304" s="78"/>
    </row>
    <row r="305" spans="1:29" ht="24" customHeight="1" x14ac:dyDescent="0.2">
      <c r="A305" s="18" t="str">
        <f>IF(C284="","",CONCATENATE(C285,[1]AB5!$A$25))</f>
        <v>S9A</v>
      </c>
      <c r="B305" s="79" t="str">
        <f>IF(C284="","",[1]AB5!$B$25)</f>
        <v xml:space="preserve">ORPT </v>
      </c>
      <c r="C305" s="80" t="str">
        <f>IF(C284="","",[1]AB5!$C$25)</f>
        <v xml:space="preserve"> RC. Time</v>
      </c>
      <c r="D305" s="137" t="str">
        <f>IF(C284="","",[1]AB5!$D$25)</f>
        <v>For Long SL</v>
      </c>
      <c r="E305" s="59"/>
      <c r="F305" s="138" t="str">
        <f>IF(C284="","",CONCATENATE([1]AB5!$G$25,TEXT(B302,"HH:MM:SS AM/PM"),[1]AB5!$B$22,[1]AB5!$H$25))</f>
        <v>Check If 09:19:59 AM LL &lt; Long SL</v>
      </c>
      <c r="G305" s="76"/>
      <c r="H305" s="139" t="str">
        <f>IF(C284="","",[1]AB5!$I$25)</f>
        <v>No</v>
      </c>
      <c r="I305" s="27"/>
      <c r="J305" s="140" t="str">
        <f>IF(C284="","",[1]AB5!$K$25)</f>
        <v>FSL / TRP Not Missed</v>
      </c>
      <c r="K305" s="141" t="str">
        <f>IF(C284="","",[1]AB5!$L$25)</f>
        <v>Place the Order at ORPT</v>
      </c>
      <c r="L305" s="142"/>
      <c r="M305" s="142"/>
      <c r="N305" s="27"/>
      <c r="O305" s="141" t="str">
        <f>IF(C284="","",[1]AB5!$P$25)</f>
        <v>ORPT Time</v>
      </c>
      <c r="P305" s="27"/>
      <c r="Q305" s="143">
        <f>IF(C284="","",B302)</f>
        <v>0.38888194444444446</v>
      </c>
      <c r="R305" s="27"/>
      <c r="S305" s="141" t="str">
        <f>IF(C284="","",[1]AB5!$U$25)</f>
        <v>N.A.</v>
      </c>
      <c r="T305" s="142"/>
      <c r="U305" s="27"/>
      <c r="V305" s="140" t="str">
        <f>IF(C284="","",[1]AB5!$W$25)</f>
        <v>N.A.</v>
      </c>
      <c r="W305" s="144" t="str">
        <f>IF(C284="","",[1]AB5!$X$25)</f>
        <v>N.A.</v>
      </c>
      <c r="X305" s="29"/>
      <c r="Y305" s="117" t="str">
        <f>IF(C284="","",[1]AB5!$AA$25)</f>
        <v xml:space="preserve">Short Entry : Bull/ Bull CF : </v>
      </c>
      <c r="Z305" s="12"/>
      <c r="AA305" s="59"/>
      <c r="AB305" s="68"/>
      <c r="AC305" s="68"/>
    </row>
    <row r="306" spans="1:29" ht="24" customHeight="1" thickBot="1" x14ac:dyDescent="0.25">
      <c r="A306" s="18" t="str">
        <f>IF(C284="","",CONCATENATE(C285,[1]AB5!$A$26))</f>
        <v>S9B</v>
      </c>
      <c r="B306" s="119">
        <f t="array" ref="B306">IF(C284="","",INDEX([1]AB4!BG:BG,MATCH(A305,[1]AB4!B:B,0)))</f>
        <v>0.38541666666666669</v>
      </c>
      <c r="C306" s="120" t="str">
        <f t="array" ref="C306">IF(C284="","",INDEX([1]AB4!BG:BG,MATCH(A306,[1]AB4!B:B,0)))</f>
        <v>N.A.</v>
      </c>
      <c r="D306" s="64"/>
      <c r="E306" s="59"/>
      <c r="F306" s="64"/>
      <c r="G306" s="12"/>
      <c r="H306" s="113" t="str">
        <f>IF(C284="","",[1]AB5!$I$26)</f>
        <v>Yes</v>
      </c>
      <c r="I306" s="83"/>
      <c r="J306" s="114" t="str">
        <f>IF(C284="","",[1]AB5!$K$26)</f>
        <v>FSL / TRP Missed</v>
      </c>
      <c r="K306" s="110" t="str">
        <f>IF(C284="","",[1]AB5!$L$26)</f>
        <v>Recalcuate : Long FSL / TRP : Bull / Bull CF</v>
      </c>
      <c r="L306" s="88"/>
      <c r="M306" s="88"/>
      <c r="N306" s="85"/>
      <c r="O306" s="110" t="str">
        <f>IF(C284="","",[1]AB5!$P$26)</f>
        <v>Wait Till Recalculation Time</v>
      </c>
      <c r="P306" s="85"/>
      <c r="Q306" s="111">
        <f>IF(C284="","",C302)</f>
        <v>0.39582638888888888</v>
      </c>
      <c r="R306" s="85"/>
      <c r="S306" s="110" t="str">
        <f>IF(C284="","",CONCATENATE(V306," ",[1]AB5!$Z$26," ",TEXT(W306,"0.00%")))</f>
        <v>09:29:59 AM LL - 0.18%</v>
      </c>
      <c r="T306" s="88"/>
      <c r="U306" s="85"/>
      <c r="V306" s="116" t="str">
        <f>IF(C284="","",CONCATENATE(TEXT(Q306,"HH:MM:SS AM/PM"),[1]AB5!$U$26))</f>
        <v>09:29:59 AM LL</v>
      </c>
      <c r="W306" s="112" t="str">
        <f t="array" ref="W306">IF(C284="","",TEXT(INDEX([1]AB4!BL:BL,MATCH(A285,[1]AB4!B:B,0)),"0.00%"))</f>
        <v>0.18%</v>
      </c>
      <c r="X306" s="91"/>
      <c r="Y306" s="145"/>
      <c r="Z306" s="145"/>
      <c r="AA306" s="104"/>
      <c r="AB306" s="68"/>
      <c r="AC306" s="68"/>
    </row>
    <row r="307" spans="1:29" ht="24" customHeight="1" x14ac:dyDescent="0.2">
      <c r="A307" s="18"/>
      <c r="B307" s="62" t="str">
        <f>IF(C284="","",[1]AB5!$B$27)</f>
        <v>I Commit To Follow The Rules &amp; Process</v>
      </c>
      <c r="C307" s="63"/>
      <c r="D307" s="64"/>
      <c r="E307" s="59"/>
      <c r="F307" s="64"/>
      <c r="G307" s="12"/>
      <c r="H307" s="48"/>
      <c r="I307" s="95"/>
      <c r="J307" s="146"/>
      <c r="K307" s="110" t="str">
        <f>IF(C284="","",[1]AB5!$L$27)</f>
        <v>Recalcuate : Long FSL / TRP : Bear / Bear CF</v>
      </c>
      <c r="L307" s="88"/>
      <c r="M307" s="88"/>
      <c r="N307" s="85"/>
      <c r="O307" s="110" t="str">
        <f>IF(C284="","",[1]AB5!$P$27)</f>
        <v>Wait Till Recalculation Time</v>
      </c>
      <c r="P307" s="85"/>
      <c r="Q307" s="111">
        <f>IF(C284="","",C302)</f>
        <v>0.39582638888888888</v>
      </c>
      <c r="R307" s="85"/>
      <c r="S307" s="110" t="str">
        <f>IF(C285="","",CONCATENATE(V307," ",[1]AB5!$Z$26," ",TEXT(W307,"0.00%")))</f>
        <v>09:29:59 AM LL - 0.18%</v>
      </c>
      <c r="T307" s="88"/>
      <c r="U307" s="85"/>
      <c r="V307" s="116" t="str">
        <f>IF(C284="","",CONCATENATE(TEXT(Q306,"HH:MM:SS AM/PM"),[1]AB5!$U$27))</f>
        <v>09:29:59 AM LL</v>
      </c>
      <c r="W307" s="112" t="str">
        <f t="array" ref="W307">IF(C284="","",TEXT(INDEX([1]AB4!BL:BL,MATCH(A285,[1]AB4!B:B,0)),"0.00%"))</f>
        <v>0.18%</v>
      </c>
      <c r="X307" s="91"/>
      <c r="Y307" s="147" t="str">
        <f>IF(C284="","",CONCATENATE([1]AB5!$T$28," ( ",G287," or ",[1]AB5!$AA$26," ",[1]AB5!$Z$28," ",TEXT(W308,"0.00%")," )"))</f>
        <v>Min ( FUT : PRV : 2DLL - 0.18% or  CDLL - 0.18% )</v>
      </c>
      <c r="Z307" s="148"/>
      <c r="AA307" s="63"/>
      <c r="AB307" s="68"/>
      <c r="AC307" s="68"/>
    </row>
    <row r="308" spans="1:29" ht="33" customHeight="1" x14ac:dyDescent="0.2">
      <c r="A308" s="18"/>
      <c r="B308" s="64"/>
      <c r="C308" s="59"/>
      <c r="D308" s="64"/>
      <c r="E308" s="59"/>
      <c r="F308" s="64"/>
      <c r="G308" s="12"/>
      <c r="H308" s="48"/>
      <c r="I308" s="95"/>
      <c r="J308" s="146"/>
      <c r="K308" s="110" t="str">
        <f>IF(C284="","",[1]AB5!$L$28)</f>
        <v>Recalcuate : Short Entry : Bull / Bull CF</v>
      </c>
      <c r="L308" s="88"/>
      <c r="M308" s="88"/>
      <c r="N308" s="85"/>
      <c r="O308" s="110" t="str">
        <f>IF(C284="","",[1]AB5!$P$28)</f>
        <v>Wait Till Recalculation Time</v>
      </c>
      <c r="P308" s="85"/>
      <c r="Q308" s="111">
        <f>IF(C284="","",C298)</f>
        <v>0.39582638888888888</v>
      </c>
      <c r="R308" s="85"/>
      <c r="S308" s="115" t="str">
        <f>IF(C284="","",CONCATENATE([1]AB5!$T$28," ( ",G287," or ",V308," ",[1]AB5!$Z$28," ",TEXT(W308,"0.00%")," )"))</f>
        <v>Min ( FUT : PRV : 2DLL - 0.18% or 09:29:59 AM LL - 0.18% )</v>
      </c>
      <c r="T308" s="88"/>
      <c r="U308" s="85"/>
      <c r="V308" s="116" t="str">
        <f>IF(C284="","",CONCATENATE(TEXT(Q308,"HH:MM:SS AM/PM"),[1]AB5!$U$28))</f>
        <v>09:29:59 AM LL</v>
      </c>
      <c r="W308" s="112" t="str">
        <f t="array" ref="W308">IF(C284="","",TEXT(INDEX([1]AB4!BK:BK,MATCH(A287,[1]AB4!B:B,0)),"0.00%"))</f>
        <v>0.18%</v>
      </c>
      <c r="X308" s="91"/>
      <c r="Y308" s="145"/>
      <c r="Z308" s="145"/>
      <c r="AA308" s="104"/>
      <c r="AB308" s="68"/>
      <c r="AC308" s="68"/>
    </row>
    <row r="309" spans="1:29" ht="33" customHeight="1" thickBot="1" x14ac:dyDescent="0.25">
      <c r="A309" s="18"/>
      <c r="B309" s="60"/>
      <c r="C309" s="66"/>
      <c r="D309" s="103"/>
      <c r="E309" s="104"/>
      <c r="F309" s="103"/>
      <c r="G309" s="145"/>
      <c r="H309" s="51"/>
      <c r="I309" s="105"/>
      <c r="J309" s="53"/>
      <c r="K309" s="110" t="str">
        <f>IF(C284="","",[1]AB5!$L$29)</f>
        <v>Recalcuate : Short Entry : Bear / Bear CF</v>
      </c>
      <c r="L309" s="88"/>
      <c r="M309" s="88"/>
      <c r="N309" s="85"/>
      <c r="O309" s="110" t="str">
        <f>IF(C284="","",[1]AB5!$P$29)</f>
        <v>Wait Till Recalculation Time</v>
      </c>
      <c r="P309" s="85"/>
      <c r="Q309" s="111">
        <f>IF(C284="","",C298)</f>
        <v>0.39582638888888888</v>
      </c>
      <c r="R309" s="85"/>
      <c r="S309" s="115" t="str">
        <f>IF(C284="","",CONCATENATE([1]AB5!$T$29," ( ",G293," or ",V309," ",[1]AB5!$Z$29," ",TEXT(W309,"0.00%")," )"))</f>
        <v>Min ( FUT : PRV : 2DLL - 0.18% or 09:29:59 AM LL - 0.18% )</v>
      </c>
      <c r="T309" s="88"/>
      <c r="U309" s="85"/>
      <c r="V309" s="116" t="str">
        <f>IF(C284="","",CONCATENATE(TEXT(Q309,"HH:MM:SS AM/PM"),[1]AB5!$U$29))</f>
        <v>09:29:59 AM LL</v>
      </c>
      <c r="W309" s="112" t="str">
        <f t="array" ref="W309">IF(C284="","",TEXT(INDEX([1]AB4!BK:BK,MATCH(A293,[1]AB4!B:B,0)),"0.00%"))</f>
        <v>0.18%</v>
      </c>
      <c r="X309" s="91"/>
      <c r="Y309" s="149" t="str">
        <f>IF(C284="","",[1]AB5!$AA$29)</f>
        <v xml:space="preserve">Short Entry : Bear/ Bear CF : </v>
      </c>
      <c r="Z309" s="88"/>
      <c r="AA309" s="91"/>
      <c r="AB309" s="68"/>
      <c r="AC309" s="68"/>
    </row>
    <row r="310" spans="1:29" ht="21.75" customHeight="1" x14ac:dyDescent="0.2">
      <c r="A310" s="18"/>
      <c r="B310" s="150" t="str">
        <f>IF(C284="","",IF([1]AB5!$B$12="","",[1]AB5!$B$30))</f>
        <v>By Asmita Patel.</v>
      </c>
      <c r="C310" s="71"/>
      <c r="D310" s="81" t="str">
        <f>IF(C284="","",[1]AB5!$D$30)</f>
        <v>For Short SL</v>
      </c>
      <c r="E310" s="63"/>
      <c r="F310" s="151" t="str">
        <f>IF(C284="","",CONCATENATE([1]AB5!$G$30,TEXT(B302,"HH:MM:SS AM/PM"),[1]AB5!$B$22,[1]AB5!$H$30))</f>
        <v>Check If 09:19:59 AM HH &gt; Short SL</v>
      </c>
      <c r="G310" s="83"/>
      <c r="H310" s="84" t="str">
        <f>IF(C284="","",[1]AB5!$I$30)</f>
        <v>No</v>
      </c>
      <c r="I310" s="85"/>
      <c r="J310" s="86" t="str">
        <f>IF(C284="","",[1]AB5!$K$30)</f>
        <v>FSL / TRP Not Missed</v>
      </c>
      <c r="K310" s="87" t="str">
        <f>IF(C284="","",[1]AB5!$L$30)</f>
        <v>Place the Order at ORPT</v>
      </c>
      <c r="L310" s="88"/>
      <c r="M310" s="88"/>
      <c r="N310" s="85"/>
      <c r="O310" s="87" t="str">
        <f>IF(C284="","",[1]AB5!$P$30)</f>
        <v>ORPT Time</v>
      </c>
      <c r="P310" s="85"/>
      <c r="Q310" s="89">
        <f>IF(C284="","",B302)</f>
        <v>0.38888194444444446</v>
      </c>
      <c r="R310" s="85"/>
      <c r="S310" s="87" t="str">
        <f>IF(C284="","",[1]AB5!$T$30)</f>
        <v>N.A.</v>
      </c>
      <c r="T310" s="88"/>
      <c r="U310" s="85"/>
      <c r="V310" s="86" t="str">
        <f>IF(C284="","",[1]AB5!$W$30)</f>
        <v>N.A.</v>
      </c>
      <c r="W310" s="90" t="str">
        <f>IF(C284="","",[1]AB5!$X$30)</f>
        <v>N.A.</v>
      </c>
      <c r="X310" s="91"/>
      <c r="Y310" s="147" t="str">
        <f>IF(C284="","",CONCATENATE([1]AB5!$T$29," ( ",G293," or ",[1]AB5!$AA$30," ",[1]AB5!$Z$29," ",TEXT(W309,"0.00%")," )"))</f>
        <v>Min ( FUT : PRV : 2DLL - 0.18% or  CDLL - 0.18% )</v>
      </c>
      <c r="Z310" s="148"/>
      <c r="AA310" s="63"/>
      <c r="AB310" s="68"/>
      <c r="AC310" s="68"/>
    </row>
    <row r="311" spans="1:29" ht="21.75" customHeight="1" x14ac:dyDescent="0.2">
      <c r="A311" s="152"/>
      <c r="B311" s="64"/>
      <c r="C311" s="59"/>
      <c r="D311" s="64"/>
      <c r="E311" s="59"/>
      <c r="F311" s="64"/>
      <c r="G311" s="95"/>
      <c r="H311" s="96" t="str">
        <f>IF(C284="","",[1]AB5!$I$31)</f>
        <v>Yes</v>
      </c>
      <c r="I311" s="83"/>
      <c r="J311" s="97" t="str">
        <f>IF(C284="","",[1]AB5!$K$31)</f>
        <v>FSL / TRP Missed</v>
      </c>
      <c r="K311" s="87" t="str">
        <f>IF(C284="","",[1]AB5!$L$31)</f>
        <v>Recalcuate : Short FSL / TRP : Bull / Bull CF</v>
      </c>
      <c r="L311" s="88"/>
      <c r="M311" s="88"/>
      <c r="N311" s="85"/>
      <c r="O311" s="87" t="str">
        <f>IF(C284="","",[1]AB5!$P$31)</f>
        <v>Wait Till Recalculation Time</v>
      </c>
      <c r="P311" s="85"/>
      <c r="Q311" s="89">
        <f>IF(C284="","",C302)</f>
        <v>0.39582638888888888</v>
      </c>
      <c r="R311" s="85"/>
      <c r="S311" s="87" t="str">
        <f>IF(C284="","",CONCATENATE(V311," ",[1]AB5!$Z$31," ",TEXT(W311,"0.00%")))</f>
        <v>09:29:59 AM HH + 0.18%</v>
      </c>
      <c r="T311" s="88"/>
      <c r="U311" s="85"/>
      <c r="V311" s="153" t="str">
        <f>IF(C284="","",CONCATENATE(TEXT(Q311,"HH:MM:SS AM/PM"),[1]AB5!$U$31))</f>
        <v>09:29:59 AM HH</v>
      </c>
      <c r="W311" s="90" t="str">
        <f t="array" ref="W311">IF(C284="","",TEXT(INDEX([1]AB4!BL:BL,MATCH(A293,[1]AB4!B:B,0)),"0.00%"))</f>
        <v>0.18%</v>
      </c>
      <c r="X311" s="91"/>
      <c r="Y311" s="12"/>
      <c r="Z311" s="12"/>
      <c r="AA311" s="59"/>
      <c r="AB311" s="68"/>
      <c r="AC311" s="68"/>
    </row>
    <row r="312" spans="1:29" ht="22.5" customHeight="1" x14ac:dyDescent="0.2">
      <c r="A312" s="152"/>
      <c r="B312" s="64"/>
      <c r="C312" s="59"/>
      <c r="D312" s="64"/>
      <c r="E312" s="59"/>
      <c r="F312" s="64"/>
      <c r="G312" s="95"/>
      <c r="H312" s="48"/>
      <c r="I312" s="95"/>
      <c r="J312" s="146"/>
      <c r="K312" s="87" t="str">
        <f>IF(C284="","",[1]AB5!$L$32)</f>
        <v>Recalcuate : Short FSL / TRP : Bear / Bear CF</v>
      </c>
      <c r="L312" s="88"/>
      <c r="M312" s="88"/>
      <c r="N312" s="85"/>
      <c r="O312" s="87" t="str">
        <f>IF(C284="","",[1]AB5!$P$32)</f>
        <v>Wait Till Recalculation Time</v>
      </c>
      <c r="P312" s="85"/>
      <c r="Q312" s="89">
        <f>IF(C284="","",C302)</f>
        <v>0.39582638888888888</v>
      </c>
      <c r="R312" s="85"/>
      <c r="S312" s="87" t="str">
        <f>IF(C285="","",CONCATENATE(V312," ",[1]AB5!$Z$31," ",TEXT(W312,"0.00%")))</f>
        <v>09:29:59 AM HH + 0.18%</v>
      </c>
      <c r="T312" s="88"/>
      <c r="U312" s="85"/>
      <c r="V312" s="153" t="str">
        <f>IF(C284="","",CONCATENATE(TEXT(Q311,"HH:MM:SS AM/PM"),[1]AB5!$U$32))</f>
        <v>09:29:59 AM HH</v>
      </c>
      <c r="W312" s="90" t="str">
        <f t="array" ref="W312">IF(C284="","",TEXT(INDEX([1]AB4!BL:BL,MATCH(A293,[1]AB4!B:B,0)),"0.00%"))</f>
        <v>0.18%</v>
      </c>
      <c r="X312" s="91"/>
      <c r="Y312" s="145"/>
      <c r="Z312" s="145"/>
      <c r="AA312" s="104"/>
      <c r="AB312" s="68"/>
      <c r="AC312" s="68"/>
    </row>
    <row r="313" spans="1:29" ht="33" customHeight="1" x14ac:dyDescent="0.2">
      <c r="A313" s="152"/>
      <c r="B313" s="64"/>
      <c r="C313" s="59"/>
      <c r="D313" s="64"/>
      <c r="E313" s="59"/>
      <c r="F313" s="64"/>
      <c r="G313" s="95"/>
      <c r="H313" s="48"/>
      <c r="I313" s="95"/>
      <c r="J313" s="146"/>
      <c r="K313" s="87" t="str">
        <f>IF(C284="","",[1]AB5!$L$33)</f>
        <v>Recalcuate : Long Entry : Bull / Bull CF</v>
      </c>
      <c r="L313" s="88"/>
      <c r="M313" s="88"/>
      <c r="N313" s="85"/>
      <c r="O313" s="87" t="str">
        <f>IF(C284="","",[1]AB5!$P$33)</f>
        <v>Wait Till Recalculation Time</v>
      </c>
      <c r="P313" s="85"/>
      <c r="Q313" s="89">
        <f>IF(C284="","",C298)</f>
        <v>0.39582638888888888</v>
      </c>
      <c r="R313" s="85"/>
      <c r="S313" s="98" t="str">
        <f>IF(C284="","",CONCATENATE([1]AB5!$T$33," ( ",G284," or ",V313," ",[1]AB5!$Z$33," ",TEXT(W313,"0.00%")," )"))</f>
        <v>Max ( FUT : PRV : 2DHH + 0.18% or 09:29:59 AM HH + 0.18% )</v>
      </c>
      <c r="T313" s="88"/>
      <c r="U313" s="85"/>
      <c r="V313" s="99" t="str">
        <f>IF(C284="","",CONCATENATE(TEXT(Q313,"HH:MM:SS AM/PM"),[1]AB5!$U$33))</f>
        <v>09:29:59 AM HH</v>
      </c>
      <c r="W313" s="90" t="str">
        <f t="array" ref="W313">IF(C284="","",TEXT(INDEX([1]AB4!BK:BK,MATCH(A284,[1]AB4!B:B,0)),"0.00%"))</f>
        <v>0.18%</v>
      </c>
      <c r="X313" s="91"/>
      <c r="Y313" s="117" t="str">
        <f>IF(C284="","",[1]AB5!$AA$33)</f>
        <v>When Your Short Position is Exited</v>
      </c>
      <c r="Z313" s="118"/>
      <c r="AA313" s="59"/>
      <c r="AB313" s="68"/>
      <c r="AC313" s="68"/>
    </row>
    <row r="314" spans="1:29" ht="33" customHeight="1" thickBot="1" x14ac:dyDescent="0.25">
      <c r="A314" s="152"/>
      <c r="B314" s="60"/>
      <c r="C314" s="66"/>
      <c r="D314" s="60"/>
      <c r="E314" s="66"/>
      <c r="F314" s="60"/>
      <c r="G314" s="121"/>
      <c r="H314" s="102"/>
      <c r="I314" s="121"/>
      <c r="J314" s="122"/>
      <c r="K314" s="154" t="str">
        <f>IF(C284="","",[1]AB5!$L$34)</f>
        <v>Recalcuate : Long Entry : Bear / Bear CF</v>
      </c>
      <c r="L314" s="124"/>
      <c r="M314" s="124"/>
      <c r="N314" s="38"/>
      <c r="O314" s="154" t="str">
        <f>IF(C284="","",[1]AB5!$P$34)</f>
        <v>Wait Till Recalculation Time</v>
      </c>
      <c r="P314" s="38"/>
      <c r="Q314" s="155">
        <f>IF(C284="","",C298)</f>
        <v>0.39582638888888888</v>
      </c>
      <c r="R314" s="38"/>
      <c r="S314" s="156" t="str">
        <f>IF(C284="","",CONCATENATE([1]AB5!$T$34," ( ",G290," or ",V314," ",[1]AB5!$Z$34," ",TEXT(W314,"0.00%")," )"))</f>
        <v>Max ( FUT : PRV : 2DHH + 0.18% or 09:29:59 AM HH + 0.18% )</v>
      </c>
      <c r="T314" s="124"/>
      <c r="U314" s="38"/>
      <c r="V314" s="157" t="str">
        <f>IF(C284="","",CONCATENATE(TEXT(Q314,"HH:MM:SS AM/PM"),[1]AB5!$U$34))</f>
        <v>09:29:59 AM HH</v>
      </c>
      <c r="W314" s="158" t="str">
        <f t="array" ref="W314">IF(C284="","",TEXT(INDEX([1]AB4!BK:BK,MATCH(A290,[1]AB4!B:B,0)),"0.00%"))</f>
        <v>0.18%</v>
      </c>
      <c r="X314" s="41"/>
      <c r="Y314" s="117" t="str">
        <f>IF(C284="","",[1]AB5!$AA$34)</f>
        <v>This is Only Applicable for Same Day</v>
      </c>
      <c r="Z314" s="118"/>
      <c r="AA314" s="59"/>
      <c r="AB314" s="68"/>
      <c r="AC314" s="68"/>
    </row>
    <row r="315" spans="1:29" ht="21.75" customHeight="1" thickBot="1" x14ac:dyDescent="0.25">
      <c r="A315" s="152"/>
      <c r="B315" s="69" t="str">
        <f>IF(C284="","",[1]AB5!$B$35)</f>
        <v>For Missed SL (Position = Open)</v>
      </c>
      <c r="C315" s="29"/>
      <c r="D315" s="70" t="str">
        <f>IF(C284="","",[1]AB5!$D$36)</f>
        <v>Note: ( Optional )</v>
      </c>
      <c r="E315" s="71"/>
      <c r="F315" s="159" t="str">
        <f>IF(C284="","",[1]AB5!$I$35)</f>
        <v>For Long SL</v>
      </c>
      <c r="G315" s="136"/>
      <c r="H315" s="136"/>
      <c r="I315" s="136"/>
      <c r="J315" s="136"/>
      <c r="K315" s="136"/>
      <c r="L315" s="136"/>
      <c r="M315" s="136"/>
      <c r="N315" s="136"/>
      <c r="O315" s="136"/>
      <c r="P315" s="133"/>
      <c r="Q315" s="159" t="str">
        <f>IF(N284="","",[1]AB5!$T$35)</f>
        <v>For Short SL</v>
      </c>
      <c r="R315" s="136"/>
      <c r="S315" s="136"/>
      <c r="T315" s="136"/>
      <c r="U315" s="136"/>
      <c r="V315" s="136"/>
      <c r="W315" s="136"/>
      <c r="X315" s="136"/>
      <c r="Y315" s="136"/>
      <c r="Z315" s="136"/>
      <c r="AA315" s="133"/>
      <c r="AB315" s="68"/>
      <c r="AC315" s="68"/>
    </row>
    <row r="316" spans="1:29" ht="36" customHeight="1" x14ac:dyDescent="0.2">
      <c r="A316" s="152"/>
      <c r="B316" s="160" t="str">
        <f>IF(C284="","",[1]AB5!$B$36)</f>
        <v>Check time</v>
      </c>
      <c r="C316" s="91"/>
      <c r="D316" s="64"/>
      <c r="E316" s="59"/>
      <c r="F316" s="161" t="str">
        <f>IF(C284="","",CONCATENATE([1]AB5!$G$36,TEXT(B317,"HH:MM:SS AM/PM"),[1]AB5!$B$37,[1]AB5!$H$36))</f>
        <v>Check If Close at 03:00:00 PM  &lt; Long Original SL</v>
      </c>
      <c r="G316" s="85"/>
      <c r="H316" s="162" t="str">
        <f>IF(C284="","",[1]AB5!$I$36)</f>
        <v>Yes</v>
      </c>
      <c r="I316" s="105"/>
      <c r="J316" s="163" t="str">
        <f>IF(C284="","",CONCATENATE([1]AB5!$K$36,TEXT(B317,"HH:MM:SS AM/PM")))</f>
        <v xml:space="preserve"> Then Square Off The Position At CMP at 03:00:00 PM</v>
      </c>
      <c r="K316" s="145"/>
      <c r="L316" s="145"/>
      <c r="M316" s="145"/>
      <c r="N316" s="145"/>
      <c r="O316" s="145"/>
      <c r="P316" s="104"/>
      <c r="Q316" s="164" t="str">
        <f>IF(C284="","",CONCATENATE([1]AB5!$T$36,TEXT(B317,"HH:MM:SS AM/PM"),[1]AB5!$B$37,[1]AB5!$U$36))</f>
        <v>Check If Close at 03:00:00 PM  &gt; Short Original SL</v>
      </c>
      <c r="R316" s="145"/>
      <c r="S316" s="105"/>
      <c r="T316" s="165" t="str">
        <f>IF(C284="","",[1]AB5!$I$36)</f>
        <v>Yes</v>
      </c>
      <c r="U316" s="166" t="str">
        <f>IF(C284="","",CONCATENATE([1]AB5!$W$36,TEXT(B317,"HH:MM:SS AM/PM")))</f>
        <v xml:space="preserve"> Then Square Off The Position At CMP at 03:00:00 PM</v>
      </c>
      <c r="V316" s="145"/>
      <c r="W316" s="145"/>
      <c r="X316" s="145"/>
      <c r="Y316" s="145"/>
      <c r="Z316" s="145"/>
      <c r="AA316" s="104"/>
      <c r="AB316" s="68"/>
      <c r="AC316" s="167"/>
    </row>
    <row r="317" spans="1:29" ht="36" customHeight="1" thickBot="1" x14ac:dyDescent="0.25">
      <c r="A317" s="152"/>
      <c r="B317" s="168">
        <f t="array" ref="B317">IF(C284="","",INDEX([1]AB4!CU:CU,MATCH(A305,[1]AB4!B:B,0)))</f>
        <v>0.625</v>
      </c>
      <c r="C317" s="41"/>
      <c r="D317" s="60"/>
      <c r="E317" s="66"/>
      <c r="F317" s="169" t="str">
        <f>IF(C284="","",CONCATENATE([1]AB5!$G$37,TEXT(B317,"HH:MM:SS AM/PM"),[1]AB5!$B$37,[1]AB5!$H$37))</f>
        <v>Check If Close at 03:00:00 PM  &gt; Long Original SL</v>
      </c>
      <c r="G317" s="38"/>
      <c r="H317" s="170" t="str">
        <f>IF(C284="","",[1]AB5!$I$37)</f>
        <v>Yes</v>
      </c>
      <c r="I317" s="38"/>
      <c r="J317" s="156" t="str">
        <f>IF(C284="","",CONCATENATE([1]AB5!$K$37))</f>
        <v xml:space="preserve"> Then Continue the Position for Next Day And Calculate Stop Loss Price as per the Rules</v>
      </c>
      <c r="K317" s="124"/>
      <c r="L317" s="124"/>
      <c r="M317" s="124"/>
      <c r="N317" s="124"/>
      <c r="O317" s="124"/>
      <c r="P317" s="41"/>
      <c r="Q317" s="169" t="str">
        <f>IF(C284="","",CONCATENATE([1]AB5!$T$37,TEXT(B317,"HH:MM:SS AM/PM"),[1]AB5!$B$37,[1]AB5!$U$37))</f>
        <v>Check If Close at 03:00:00 PM  &lt; Short Original SL</v>
      </c>
      <c r="R317" s="124"/>
      <c r="S317" s="38"/>
      <c r="T317" s="171" t="str">
        <f>IF(C285="","",[1]AB5!$I$36)</f>
        <v>Yes</v>
      </c>
      <c r="U317" s="156" t="str">
        <f>IF(C284="","",CONCATENATE([1]AB5!$W$37))</f>
        <v xml:space="preserve"> Then Continue the Position for Next Day And Calculate Stop Loss Price as per the Rules</v>
      </c>
      <c r="V317" s="124"/>
      <c r="W317" s="124"/>
      <c r="X317" s="124"/>
      <c r="Y317" s="124"/>
      <c r="Z317" s="124"/>
      <c r="AA317" s="41"/>
      <c r="AB317" s="68"/>
      <c r="AC317" s="167"/>
    </row>
    <row r="318" spans="1:29" ht="15.75" customHeight="1" thickBot="1" x14ac:dyDescent="0.25">
      <c r="A318" s="177"/>
    </row>
    <row r="319" spans="1:29" ht="30.75" customHeight="1" x14ac:dyDescent="0.2">
      <c r="A319" s="18" t="str">
        <f>IF(C319="","",CONCATENATE(C320,[1]AB5!$A$4))</f>
        <v>S10A</v>
      </c>
      <c r="B319" s="20" t="str">
        <f>IF(C319="","",IF([1]AB5!$B$4="","",[1]AB5!$B$4))</f>
        <v>Sr. No.</v>
      </c>
      <c r="C319" s="172">
        <v>10</v>
      </c>
      <c r="D319" s="173" t="str">
        <f>IF(C319="","",[1]AB5!$D$4)</f>
        <v>BULL / BULL CF</v>
      </c>
      <c r="E319" s="57" t="str">
        <f>IF(C319="","",[1]AB5!$F$4)</f>
        <v>BUY</v>
      </c>
      <c r="F319" s="58" t="str">
        <f>IF(C319="","",[1]AB5!$G$4)</f>
        <v>E &amp; T</v>
      </c>
      <c r="G319" s="25" t="str">
        <f t="array" ref="G319">IF(C319="","",CONCATENATE(INDEX([1]AB4!G:G,MATCH(A319,[1]AB4!B:B,0)),INDEX([1]AB4!H:H,MATCH(A319,[1]AB4!B:B,0)),TEXT(INDEX([1]AB4!I:I,MATCH(A319,[1]AB4!B:B,0)),"0.00%")))</f>
        <v>FUT : PRV : 2DHH + 0.00%</v>
      </c>
      <c r="H319" s="26">
        <f t="array" ref="H319">IF(C319="","",INDEX([1]AB4!J:J,MATCH(A319,[1]AB4!B:B,0)))</f>
        <v>5</v>
      </c>
      <c r="I319" s="27"/>
      <c r="J319" s="28" t="str">
        <f t="array" ref="J319">IF(C319="","",CONCATENATE(INDEX([1]AB4!L:L,MATCH(A319,[1]AB4!B:B,0)),INDEX([1]AB4!M:M,MATCH(A319,[1]AB4!B:B,0)),TEXT(INDEX([1]AB4!N:N,MATCH(A319,[1]AB4!B:B,0)),"0.00%")))</f>
        <v>L : Entry  + 1.00%</v>
      </c>
      <c r="K319" s="26">
        <f t="array" ref="K319">IF(C319="","",INDEX([1]AB4!O:O,MATCH(A319,[1]AB4!B:B,0)))</f>
        <v>1</v>
      </c>
      <c r="L319" s="27"/>
      <c r="M319" s="28" t="str">
        <f t="array" ref="M319">IF(C319="","",CONCATENATE(INDEX([1]AB4!L:L,MATCH(A319,[1]AB4!B:B,0)),INDEX([1]AB4!M:M,MATCH(A319,[1]AB4!B:B,0)),TEXT(INDEX([1]AB4!P:P,MATCH(A319,[1]AB4!B:B,0)),"0.00%")))</f>
        <v>L : Entry  + 1.50%</v>
      </c>
      <c r="N319" s="26">
        <f t="array" ref="N319">IF(C319="","",INDEX([1]AB4!Q:Q,MATCH(A319,[1]AB4!B:B,0)))</f>
        <v>1</v>
      </c>
      <c r="O319" s="27"/>
      <c r="P319" s="28" t="str">
        <f t="array" ref="P319">IF(C319="","",CONCATENATE(INDEX([1]AB4!L:L,MATCH(A319,[1]AB4!B:B,0)),INDEX([1]AB4!M:M,MATCH(A319,[1]AB4!B:B,0)),TEXT(INDEX([1]AB4!R:R,MATCH(A319,[1]AB4!B:B,0)),"0.00%")))</f>
        <v>L : Entry  + 2.00%</v>
      </c>
      <c r="Q319" s="26">
        <f t="array" ref="Q319">IF(C319="","",INDEX([1]AB4!S:S,MATCH(A319,[1]AB4!B:B,0)))</f>
        <v>1</v>
      </c>
      <c r="R319" s="27"/>
      <c r="S319" s="28" t="str">
        <f t="array" ref="S319">IF(C319="","",CONCATENATE(INDEX([1]AB4!L:L,MATCH(A319,[1]AB4!B:B,0)),INDEX([1]AB4!M:M,MATCH(A319,[1]AB4!B:B,0)),TEXT(INDEX([1]AB4!T:T,MATCH(A319,[1]AB4!B:B,0)),"0.00%")))</f>
        <v>L : Entry  + 2.50%</v>
      </c>
      <c r="T319" s="26">
        <f t="array" ref="T319">IF(C319="","",INDEX([1]AB4!U:U,MATCH(A319,[1]AB4!B:B,0)))</f>
        <v>1</v>
      </c>
      <c r="U319" s="27"/>
      <c r="V319" s="28" t="str">
        <f t="array" ref="V319">IF(C319="","",INDEX([1]AB4!V:V,MATCH(A319,[1]AB4!B:B,0)))</f>
        <v>TR PROFIT AFTER TGT 4</v>
      </c>
      <c r="W319" s="26">
        <f t="array" ref="W319">IF(C319="","",INDEX([1]AB4!W:W,MATCH(A319,[1]AB4!B:B,0)))</f>
        <v>1</v>
      </c>
      <c r="X319" s="27"/>
      <c r="Y319" s="28" t="str">
        <f t="array" ref="Y319">IF(C319="","",INDEX([1]AB4!X:X,MATCH(A319,[1]AB4!B:B,0)))</f>
        <v>N.A.</v>
      </c>
      <c r="Z319" s="26" t="str">
        <f t="array" ref="Z319">IF(C319="","",INDEX([1]AB4!Y:Y,MATCH(A319,[1]AB4!B:B,0)))</f>
        <v>N.A.</v>
      </c>
      <c r="AA319" s="29"/>
      <c r="AB319" s="30"/>
      <c r="AC319" s="30"/>
    </row>
    <row r="320" spans="1:29" ht="44.25" customHeight="1" thickBot="1" x14ac:dyDescent="0.25">
      <c r="A320" s="18" t="str">
        <f>IF(C319="","",CONCATENATE(C320,[1]AB5!$A$5))</f>
        <v>S10A</v>
      </c>
      <c r="B320" s="31" t="str">
        <f>IF(C319="","",IF([1]AB5!$B$5="","",[1]AB5!$B$5))</f>
        <v>Strategy Code</v>
      </c>
      <c r="C320" s="54" t="str">
        <f t="array" ref="C320">IF(C319="","",INDEX([1]AB2!B:B,MATCH(C319,[1]AB2!A:A,0)))</f>
        <v>S10</v>
      </c>
      <c r="D320" s="59"/>
      <c r="E320" s="60"/>
      <c r="F320" s="61" t="str">
        <f>IF(C319="","",[1]AB5!$G$5)</f>
        <v>SL / TRP</v>
      </c>
      <c r="G320" s="36" t="str">
        <f t="array" ref="G320">IF(C319="","",CONCATENATE(INDEX([1]AB4!AA:AA,MATCH(A320,[1]AB4!B:B,0))," ( ",INDEX([1]AB4!AE:AE,MATCH(A320,[1]AB4!B:B,0)),INDEX([1]AB4!AF:AF,MATCH(A320,[1]AB4!B:B,0)),TEXT(INDEX([1]AB4!AG:AG,MATCH(A320,[1]AB4!B:B,0)),"0.00%")," or ",INDEX([1]AB4!AK:AK,MATCH(A320,[1]AB4!B:B,0)),INDEX([1]AB4!AJ:AJ,MATCH(A320,[1]AB4!B:B,0)),TEXT(INDEX([1]AB4!AL:AL,MATCH(A320,[1]AB4!B:B,0)),"0.00%")," )"))</f>
        <v>Max ( L : Entry - 1.00% or FUT : PRV : 3DLL - 0.10% )</v>
      </c>
      <c r="H320" s="37">
        <f t="array" ref="H320">IF(C320="","",INDEX([1]AB4!AM:AM,MATCH(A320,[1]AB4!B:B,0)))</f>
        <v>5</v>
      </c>
      <c r="I320" s="38"/>
      <c r="J320" s="36" t="str">
        <f t="array" ref="J320">IF(C319="","",CONCATENATE(INDEX([1]AB4!AA:AA,MATCH(A320,[1]AB4!B:B,0))," ( ",INDEX([1]AB4!AE:AE,MATCH(A320,[1]AB4!B:B,0))," or ",INDEX([1]AB4!AN:AN,MATCH(A320,[1]AB4!B:B,0)),INDEX([1]AB4!AJ:AJ,MATCH(A320,[1]AB4!B:B,0)),TEXT(INDEX([1]AB4!AO:AO,MATCH(A320,[1]AB4!B:B,0)),"0.00%")," )"))</f>
        <v>Max ( L : Entry or FUT : PRV : 3DLL - 0.10% )</v>
      </c>
      <c r="K320" s="37">
        <f t="array" ref="K320">IF(C319="","",INDEX([1]AB4!AP:AP,MATCH(A320,[1]AB4!B:B,0)))</f>
        <v>4</v>
      </c>
      <c r="L320" s="38"/>
      <c r="M320" s="36" t="str">
        <f t="array" ref="M320">IF(C319="","",CONCATENATE(INDEX([1]AB4!AA:AA,MATCH(A320,[1]AB4!B:B,0))," ( ",INDEX([1]AB4!AE:AE,MATCH(A320,[1]AB4!B:B,0))," or ",INDEX([1]AB4!AQ:AQ,MATCH(A320,[1]AB4!B:B,0)),INDEX([1]AB4!AJ:AJ,MATCH(A320,[1]AB4!B:B,0)),TEXT(INDEX([1]AB4!AR:AR,MATCH(A320,[1]AB4!B:B,0)),"0.00%")," )"))</f>
        <v>Max ( L : Entry or FUT : PRV : 3DLL - 0.10% )</v>
      </c>
      <c r="N320" s="37">
        <f t="array" ref="N320">IF(C320="","",INDEX([1]AB4!AS:AS,MATCH(A320,[1]AB4!B:B,0)))</f>
        <v>3</v>
      </c>
      <c r="O320" s="38"/>
      <c r="P320" s="36" t="str">
        <f t="array" ref="P320">IF(C319="","",CONCATENATE(INDEX([1]AB4!AA:AA,MATCH(A320,[1]AB4!B:B,0))," ( ",INDEX([1]AB4!AE:AE,MATCH(A320,[1]AB4!B:B,0))," or ",INDEX([1]AB4!AT:AT,MATCH(A320,[1]AB4!B:B,0)),INDEX([1]AB4!AJ:AJ,MATCH(A320,[1]AB4!B:B,0)),TEXT(INDEX([1]AB4!AU:AU,MATCH(A320,[1]AB4!B:B,0)),"0.00%")," )"))</f>
        <v>Max ( L : Entry or FUT : PRV : 3DLL - 0.10% )</v>
      </c>
      <c r="Q320" s="37">
        <f t="array" ref="Q320">IF(C320="","",INDEX([1]AB4!AV:AV,MATCH(A320,[1]AB4!B:B,0)))</f>
        <v>2</v>
      </c>
      <c r="R320" s="38"/>
      <c r="S320" s="36" t="str">
        <f t="array" ref="S320">IF(C319="","",CONCATENATE(INDEX([1]AB4!AA:AA,MATCH(A320,[1]AB4!B:B,0))," ( ",INDEX([1]AB4!AE:AE,MATCH(A320,[1]AB4!B:B,0))," or ",INDEX([1]AB4!AW:AW,MATCH(A320,[1]AB4!B:B,0)),INDEX([1]AB4!AJ:AJ,MATCH(A320,[1]AB4!B:B,0)),TEXT(INDEX([1]AB4!AX:AX,MATCH(A320,[1]AB4!B:B,0)),"0.00%")," )"))</f>
        <v>Max ( L : Entry or FUT : PRV : 3DLL - 0.10% )</v>
      </c>
      <c r="T320" s="37">
        <f t="array" ref="T320">IF(C319="","",INDEX([1]AB4!AY:AY,MATCH(A320,[1]AB4!B:B,0)))</f>
        <v>1</v>
      </c>
      <c r="U320" s="38"/>
      <c r="V320" s="36" t="str">
        <f t="array" ref="V320">IF(C319="","",CONCATENATE(INDEX([1]AB4!AA:AA,MATCH(A320,[1]AB4!B:B,0))," ( ",INDEX([1]AB4!AE:AE,MATCH(A320,[1]AB4!B:B,0))," or ",INDEX([1]AB4!AW:AW,MATCH(A320,[1]AB4!B:B,0)),INDEX([1]AB4!AJ:AJ,MATCH(A320,[1]AB4!B:B,0)),TEXT(INDEX([1]AB4!AX:AX,MATCH(A320,[1]AB4!B:B,0)),"0.00%")," )"))</f>
        <v>Max ( L : Entry or FUT : PRV : 3DLL - 0.10% )</v>
      </c>
      <c r="W320" s="37">
        <f t="array" ref="W320">IF(C319="","",INDEX([1]AB4!AY:AY,MATCH(A320,[1]AB4!B:B,0)))</f>
        <v>1</v>
      </c>
      <c r="X320" s="38"/>
      <c r="Y320" s="40">
        <f t="array" ref="Y320">IF(C319="","",INDEX([1]AB4!AZ:AZ,MATCH(A320,[1]AB4!B:B,0)))</f>
        <v>0</v>
      </c>
      <c r="Z320" s="37">
        <f t="array" ref="Z320">IF(C319="","",INDEX([1]AB4!BB:BB,MATCH(A320,[1]AB4!B:B,0)))</f>
        <v>0</v>
      </c>
      <c r="AA320" s="41"/>
      <c r="AB320" s="30"/>
      <c r="AC320" s="30"/>
    </row>
    <row r="321" spans="1:29" ht="6" customHeight="1" thickBot="1" x14ac:dyDescent="0.25">
      <c r="A321" s="18" t="str">
        <f>IF(C319="","",CONCATENATE(C320,[1]AB5!A331))</f>
        <v>S10</v>
      </c>
      <c r="B321" s="42" t="str">
        <f>IF(C319="","",IF([1]AB5!$B$6="","",[1]AB5!$B$6))</f>
        <v>Unique Code</v>
      </c>
      <c r="C321" s="174" t="str">
        <f t="array" ref="C321">IF(C319="","",INDEX([1]AB2!N:N,MATCH(C319,[1]AB2!A:A,0)))</f>
        <v>GOLDM_FUT_MT_DIFF_2D_3D</v>
      </c>
      <c r="D321" s="59"/>
      <c r="E321" s="44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6"/>
      <c r="AB321" s="30"/>
      <c r="AC321" s="30"/>
    </row>
    <row r="322" spans="1:29" ht="30.75" customHeight="1" x14ac:dyDescent="0.2">
      <c r="A322" s="18" t="str">
        <f>IF(C319="","",CONCATENATE(C320,[1]AB5!$A$7))</f>
        <v>S10B</v>
      </c>
      <c r="B322" s="47"/>
      <c r="C322" s="175"/>
      <c r="D322" s="59"/>
      <c r="E322" s="65" t="str">
        <f>IF(C319="","",[1]AB5!$F$7)</f>
        <v>SELL</v>
      </c>
      <c r="F322" s="58" t="str">
        <f>IF(C319="","",[1]AB5!$G$7)</f>
        <v>E &amp; T</v>
      </c>
      <c r="G322" s="25" t="str">
        <f t="array" ref="G322">IF(C319="","",CONCATENATE(INDEX([1]AB4!G:G,MATCH(A322,[1]AB4!B:B,0)),INDEX([1]AB4!H:H,MATCH(A322,[1]AB4!B:B,0)),TEXT(INDEX([1]AB4!I:I,MATCH(A322,[1]AB4!B:B,0)),"0.00%")))</f>
        <v>FUT : PRV : 3DLL - 0.10%</v>
      </c>
      <c r="H322" s="26">
        <f t="array" ref="H322">IF(C319="","",INDEX([1]AB4!J:J,MATCH(A322,[1]AB4!B:B,0)))</f>
        <v>5</v>
      </c>
      <c r="I322" s="27"/>
      <c r="J322" s="28" t="str">
        <f t="array" ref="J322">IF(C319="","",CONCATENATE(INDEX([1]AB4!L:L,MATCH(A322,[1]AB4!B:B,0)),INDEX([1]AB4!M:M,MATCH(A322,[1]AB4!B:B,0)),TEXT(INDEX([1]AB4!N:N,MATCH(A322,[1]AB4!B:B,0)),"0.00%")))</f>
        <v>S : Entry  - 1.00%</v>
      </c>
      <c r="K322" s="26">
        <f t="array" ref="K322">IF(C319="","",INDEX([1]AB4!O:O,MATCH(A322,[1]AB4!B:B,0)))</f>
        <v>1</v>
      </c>
      <c r="L322" s="27"/>
      <c r="M322" s="28" t="str">
        <f t="array" ref="M322">IF(C319="","",CONCATENATE(INDEX([1]AB4!L:L,MATCH(A322,[1]AB4!B:B,0)),INDEX([1]AB4!M:M,MATCH(A322,[1]AB4!B:B,0)),TEXT(INDEX([1]AB4!P:P,MATCH(A322,[1]AB4!B:B,0)),"0.00%")))</f>
        <v>S : Entry  - 1.50%</v>
      </c>
      <c r="N322" s="26">
        <f t="array" ref="N322">IF(C319="","",INDEX([1]AB4!Q:Q,MATCH(A322,[1]AB4!B:B,0)))</f>
        <v>1</v>
      </c>
      <c r="O322" s="27"/>
      <c r="P322" s="28" t="str">
        <f t="array" ref="P322">IF(C319="","",CONCATENATE(INDEX([1]AB4!L:L,MATCH(A322,[1]AB4!B:B,0)),INDEX([1]AB4!M:M,MATCH(A322,[1]AB4!B:B,0)),TEXT(INDEX([1]AB4!R:R,MATCH(A322,[1]AB4!B:B,0)),"0.00%")))</f>
        <v>S : Entry  - 2.00%</v>
      </c>
      <c r="Q322" s="26">
        <f t="array" ref="Q322">IF(C319="","",INDEX([1]AB4!S:S,MATCH(A322,[1]AB4!B:B,0)))</f>
        <v>1</v>
      </c>
      <c r="R322" s="27"/>
      <c r="S322" s="28" t="str">
        <f t="array" ref="S322">IF(C319="","",CONCATENATE(INDEX([1]AB4!L:L,MATCH(A322,[1]AB4!B:B,0)),INDEX([1]AB4!M:M,MATCH(A322,[1]AB4!B:B,0)),TEXT(INDEX([1]AB4!T:T,MATCH(A322,[1]AB4!B:B,0)),"0.00%")))</f>
        <v>S : Entry  - 2.50%</v>
      </c>
      <c r="T322" s="26">
        <f t="array" ref="T322">IF(C319="","",INDEX([1]AB4!U:U,MATCH(A322,[1]AB4!B:B,0)))</f>
        <v>1</v>
      </c>
      <c r="U322" s="27"/>
      <c r="V322" s="28" t="str">
        <f t="array" ref="V322">IF(C319="","",INDEX([1]AB4!V:V,MATCH(A322,[1]AB4!B:B,0)))</f>
        <v>TR PROFIT AFTER TGT 4</v>
      </c>
      <c r="W322" s="26">
        <f t="array" ref="W322">IF(C319="","",INDEX([1]AB4!W:W,MATCH(A322,[1]AB4!B:B,0)))</f>
        <v>1</v>
      </c>
      <c r="X322" s="27"/>
      <c r="Y322" s="28" t="str">
        <f t="array" ref="Y322">IF(C319="","",INDEX([1]AB4!X:X,MATCH(A322,[1]AB4!B:B,0)))</f>
        <v>N.A.</v>
      </c>
      <c r="Z322" s="26" t="str">
        <f t="array" ref="Z322">IF(C319="","",INDEX([1]AB4!Y:Y,MATCH(A322,[1]AB4!B:B,0)))</f>
        <v>N.A.</v>
      </c>
      <c r="AA322" s="29"/>
      <c r="AB322" s="30"/>
      <c r="AC322" s="30"/>
    </row>
    <row r="323" spans="1:29" ht="44.25" customHeight="1" thickBot="1" x14ac:dyDescent="0.25">
      <c r="A323" s="18" t="str">
        <f>IF(C319="","",CONCATENATE(C320,[1]AB5!$A$8))</f>
        <v>S10B</v>
      </c>
      <c r="B323" s="50"/>
      <c r="C323" s="176"/>
      <c r="D323" s="66"/>
      <c r="E323" s="60"/>
      <c r="F323" s="61" t="str">
        <f>IF(C319="","",[1]AB5!$G$8)</f>
        <v>SL / TRP</v>
      </c>
      <c r="G323" s="36" t="str">
        <f t="array" ref="G323">IF(C319="","",CONCATENATE(INDEX([1]AB4!AA:AA,MATCH(A323,[1]AB4!B:B,0))," ( ",INDEX([1]AB4!AE:AE,MATCH(A323,[1]AB4!B:B,0)),INDEX([1]AB4!AF:AF,MATCH(A323,[1]AB4!B:B,0)),TEXT(INDEX([1]AB4!AG:AG,MATCH(A323,[1]AB4!B:B,0)),"0.00%")," or ",INDEX([1]AB4!AK:AK,MATCH(A323,[1]AB4!B:B,0)),INDEX([1]AB4!AJ:AJ,MATCH(A323,[1]AB4!B:B,0)),TEXT(INDEX([1]AB4!AL:AL,MATCH(A323,[1]AB4!B:B,0)),"0.00%")," )"))</f>
        <v>Min ( S : Entry + 1.00% or FUT : PRV : 2DHH + 0.00% )</v>
      </c>
      <c r="H323" s="37">
        <f t="array" ref="H323">IF(C319="","",INDEX([1]AB4!AM:AM,MATCH(A323,[1]AB4!B:B,0)))</f>
        <v>5</v>
      </c>
      <c r="I323" s="38"/>
      <c r="J323" s="36" t="str">
        <f t="array" ref="J323">IF(C319="","",CONCATENATE(INDEX([1]AB4!AA:AA,MATCH(A323,[1]AB4!B:B,0))," ( ",INDEX([1]AB4!AE:AE,MATCH(A323,[1]AB4!B:B,0))," or ",INDEX([1]AB4!AN:AN,MATCH(A323,[1]AB4!B:B,0)),INDEX([1]AB4!AJ:AJ,MATCH(A323,[1]AB4!B:B,0)),TEXT(INDEX([1]AB4!AO:AO,MATCH(A323,[1]AB4!B:B,0)),"0.00%")," )"))</f>
        <v>Min ( S : Entry or FUT : PRV : 2DHH + 0.00% )</v>
      </c>
      <c r="K323" s="37">
        <f t="array" ref="K323">IF(C319="","",INDEX([1]AB4!AP:AP,MATCH(A323,[1]AB4!B:B,0)))</f>
        <v>4</v>
      </c>
      <c r="L323" s="38"/>
      <c r="M323" s="36" t="str">
        <f t="array" ref="M323">IF(C319="","",CONCATENATE(INDEX([1]AB4!AA:AA,MATCH(A323,[1]AB4!B:B,0))," ( ",INDEX([1]AB4!AE:AE,MATCH(A323,[1]AB4!B:B,0))," or ",INDEX([1]AB4!AQ:AQ,MATCH(A323,[1]AB4!B:B,0)),INDEX([1]AB4!AJ:AJ,MATCH(A323,[1]AB4!B:B,0)),TEXT(INDEX([1]AB4!AR:AR,MATCH(A323,[1]AB4!B:B,0)),"0.00%")," )"))</f>
        <v>Min ( S : Entry or FUT : PRV : 2DHH + 0.00% )</v>
      </c>
      <c r="N323" s="37">
        <f t="array" ref="N323">IF(C319="","",INDEX([1]AB4!AS:AS,MATCH(A323,[1]AB4!B:B,0)))</f>
        <v>3</v>
      </c>
      <c r="O323" s="38"/>
      <c r="P323" s="36" t="str">
        <f t="array" ref="P323">IF(C319="","",CONCATENATE(INDEX([1]AB4!AA:AA,MATCH(A323,[1]AB4!B:B,0))," ( ",INDEX([1]AB4!AE:AE,MATCH(A323,[1]AB4!B:B,0))," or ",INDEX([1]AB4!AT:AT,MATCH(A323,[1]AB4!B:B,0)),INDEX([1]AB4!AJ:AJ,MATCH(A323,[1]AB4!B:B,0)),TEXT(INDEX([1]AB4!AU:AU,MATCH(A323,[1]AB4!B:B,0)),"0.00%")," )"))</f>
        <v>Min ( S : Entry or FUT : PRV : 2DHH + 0.00% )</v>
      </c>
      <c r="Q323" s="37">
        <f t="array" ref="Q323">IF(C319="","",INDEX([1]AB4!AV:AV,MATCH(A323,[1]AB4!B:B,0)))</f>
        <v>2</v>
      </c>
      <c r="R323" s="38"/>
      <c r="S323" s="36" t="str">
        <f t="array" ref="S323">IF(C319="","",CONCATENATE(INDEX([1]AB4!AA:AA,MATCH(A323,[1]AB4!B:B,0))," ( ",INDEX([1]AB4!AE:AE,MATCH(A323,[1]AB4!B:B,0))," or ",INDEX([1]AB4!AW:AW,MATCH(A323,[1]AB4!B:B,0)),INDEX([1]AB4!AJ:AJ,MATCH(A323,[1]AB4!B:B,0)),TEXT(INDEX([1]AB4!AX:AX,MATCH(A323,[1]AB4!B:B,0)),"0.00%")," )"))</f>
        <v>Min ( S : Entry or FUT : PRV : 2DHH + 0.00% )</v>
      </c>
      <c r="T323" s="37">
        <f t="array" ref="T323">IF(C319="","",INDEX([1]AB4!AY:AY,MATCH(A323,[1]AB4!B:B,0)))</f>
        <v>1</v>
      </c>
      <c r="U323" s="38"/>
      <c r="V323" s="36" t="str">
        <f t="array" ref="V323">IF(C319="","",CONCATENATE(INDEX([1]AB4!AA:AA,MATCH(A323,[1]AB4!B:B,0))," ( ",INDEX([1]AB4!AE:AE,MATCH(A323,[1]AB4!B:B,0))," or ",INDEX([1]AB4!AW:AW,MATCH(A323,[1]AB4!B:B,0)),INDEX([1]AB4!AJ:AJ,MATCH(A323,[1]AB4!B:B,0)),TEXT(INDEX([1]AB4!AX:AX,MATCH(A323,[1]AB4!B:B,0)),"0.00%")," )"))</f>
        <v>Min ( S : Entry or FUT : PRV : 2DHH + 0.00% )</v>
      </c>
      <c r="W323" s="37">
        <f t="array" ref="W323">IF(C319="","",INDEX([1]AB4!AY:AY,MATCH(A323,[1]AB4!B:B,0)))</f>
        <v>1</v>
      </c>
      <c r="X323" s="38"/>
      <c r="Y323" s="40">
        <f t="array" ref="Y323">IF(C319="","",INDEX([1]AB4!AZ:AZ,MATCH(A323,[1]AB4!B:B,0)))</f>
        <v>0</v>
      </c>
      <c r="Z323" s="37">
        <f t="array" ref="Z323">IF(C319="","",INDEX([1]AB4!BB:BB,MATCH(A323,[1]AB4!B:B,0)))</f>
        <v>0</v>
      </c>
      <c r="AA323" s="41"/>
      <c r="AB323" s="30"/>
      <c r="AC323" s="30"/>
    </row>
    <row r="324" spans="1:29" ht="19.5" customHeight="1" thickBot="1" x14ac:dyDescent="0.25">
      <c r="A324" s="18" t="str">
        <f>IF(C319="","",CONCATENATE(C320,[1]AB5!$A$9))</f>
        <v>S10C</v>
      </c>
      <c r="B324" s="31" t="str">
        <f>IF(C319="","",IF([1]AB5!$B$9="","",[1]AB5!$B$9))</f>
        <v>Segment</v>
      </c>
      <c r="C324" s="54" t="str">
        <f t="array" ref="C324">IF(C319="","",INDEX([1]AB2!C:C,MATCH(C319,[1]AB2!A:A,0)))</f>
        <v>FUTURES</v>
      </c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30"/>
      <c r="AC324" s="30"/>
    </row>
    <row r="325" spans="1:29" ht="30.75" customHeight="1" x14ac:dyDescent="0.2">
      <c r="A325" s="18" t="str">
        <f>IF(C319="","",CONCATENATE(C320,[1]AB5!$A$10))</f>
        <v>S10D</v>
      </c>
      <c r="B325" s="31" t="str">
        <f>IF(C319="","",IF([1]AB5!$B$10="","",[1]AB5!$B$10))</f>
        <v>Symbol</v>
      </c>
      <c r="C325" s="54" t="str">
        <f t="array" ref="C325">IF(C319="","",INDEX([1]AB2!E:E,MATCH(C319,[1]AB2!A:A,0)))</f>
        <v>GOLDM</v>
      </c>
      <c r="D325" s="56" t="str">
        <f>IF(C319="","",IF(C319="","",[1]AB5!$D$10))</f>
        <v>BEAR / BEAR CF</v>
      </c>
      <c r="E325" s="57" t="str">
        <f>IF(C319="","",[1]AB5!$F$10)</f>
        <v>BUY</v>
      </c>
      <c r="F325" s="58" t="str">
        <f>IF(C319="","",[1]AB5!$G$10)</f>
        <v>E &amp; T</v>
      </c>
      <c r="G325" s="25" t="str">
        <f t="array" ref="G325">IF(C319="","",CONCATENATE(INDEX([1]AB4!G:G,MATCH(A325,[1]AB4!B:B,0)),INDEX([1]AB4!H:H,MATCH(A325,[1]AB4!B:B,0)),TEXT(INDEX([1]AB4!I:I,MATCH(A325,[1]AB4!B:B,0)),"0.00%")))</f>
        <v>FUT : PRV : 3DHH + 0.10%</v>
      </c>
      <c r="H325" s="26">
        <f t="array" ref="H325">IF(C319="","",INDEX([1]AB4!J:J,MATCH(A325,[1]AB4!B:B,0)))</f>
        <v>5</v>
      </c>
      <c r="I325" s="27"/>
      <c r="J325" s="28" t="str">
        <f t="array" ref="J325">IF(C319="","",CONCATENATE(INDEX([1]AB4!L:L,MATCH(A325,[1]AB4!B:B,0)),INDEX([1]AB4!M:M,MATCH(A325,[1]AB4!B:B,0)),TEXT(INDEX([1]AB4!N:N,MATCH(A325,[1]AB4!B:B,0)),"0.00%")))</f>
        <v>L : Entry  + 1.00%</v>
      </c>
      <c r="K325" s="26">
        <f t="array" ref="K325">IF(C319="","",INDEX([1]AB4!O:O,MATCH(A325,[1]AB4!B:B,0)))</f>
        <v>1</v>
      </c>
      <c r="L325" s="27"/>
      <c r="M325" s="28" t="str">
        <f t="array" ref="M325">IF(C319="","",CONCATENATE(INDEX([1]AB4!L:L,MATCH(A325,[1]AB4!B:B,0)),INDEX([1]AB4!M:M,MATCH(A325,[1]AB4!B:B,0)),TEXT(INDEX([1]AB4!P:P,MATCH(A325,[1]AB4!B:B,0)),"0.00%")))</f>
        <v>L : Entry  + 1.50%</v>
      </c>
      <c r="N325" s="26">
        <f t="array" ref="N325">IF(C319="","",INDEX([1]AB4!Q:Q,MATCH(A325,[1]AB4!B:B,0)))</f>
        <v>1</v>
      </c>
      <c r="O325" s="27"/>
      <c r="P325" s="28" t="str">
        <f t="array" ref="P325">IF(C319="","",CONCATENATE(INDEX([1]AB4!L:L,MATCH(A325,[1]AB4!B:B,0)),INDEX([1]AB4!M:M,MATCH(A325,[1]AB4!B:B,0)),TEXT(INDEX([1]AB4!R:R,MATCH(A325,[1]AB4!B:B,0)),"0.00%")))</f>
        <v>L : Entry  + 2.00%</v>
      </c>
      <c r="Q325" s="26">
        <f t="array" ref="Q325">IF(C319="","",INDEX([1]AB4!S:S,MATCH(A325,[1]AB4!B:B,0)))</f>
        <v>1</v>
      </c>
      <c r="R325" s="27"/>
      <c r="S325" s="28" t="str">
        <f t="array" ref="S325">IF(C319="","",CONCATENATE(INDEX([1]AB4!L:L,MATCH(A325,[1]AB4!B:B,0)),INDEX([1]AB4!M:M,MATCH(A325,[1]AB4!B:B,0)),TEXT(INDEX([1]AB4!T:T,MATCH(A325,[1]AB4!B:B,0)),"0.00%")))</f>
        <v>L : Entry  + 2.50%</v>
      </c>
      <c r="T325" s="26">
        <f t="array" ref="T325">IF(C319="","",INDEX([1]AB4!U:U,MATCH(A325,[1]AB4!B:B,0)))</f>
        <v>1</v>
      </c>
      <c r="U325" s="27"/>
      <c r="V325" s="28" t="str">
        <f t="array" ref="V325">IF(C319="","",INDEX([1]AB4!V:V,MATCH(A325,[1]AB4!B:B,0)))</f>
        <v>TR PROFIT AFTER TGT 4</v>
      </c>
      <c r="W325" s="26">
        <f t="array" ref="W325">IF(C319="","",INDEX([1]AB4!W:W,MATCH(A325,[1]AB4!B:B,0)))</f>
        <v>1</v>
      </c>
      <c r="X325" s="27"/>
      <c r="Y325" s="28" t="str">
        <f t="array" ref="Y325">IF(C319="","",INDEX([1]AB4!X:X,MATCH(A325,[1]AB4!B:B,0)))</f>
        <v>N.A.</v>
      </c>
      <c r="Z325" s="26" t="str">
        <f t="array" ref="Z325">IF(C319="","",INDEX([1]AB4!Y:Y,MATCH(A325,[1]AB4!B:B,0)))</f>
        <v>N.A.</v>
      </c>
      <c r="AA325" s="29"/>
      <c r="AB325" s="30"/>
      <c r="AC325" s="30"/>
    </row>
    <row r="326" spans="1:29" ht="44.25" customHeight="1" thickBot="1" x14ac:dyDescent="0.25">
      <c r="A326" s="18" t="str">
        <f>IF(C319="","",CONCATENATE(C320,[1]AB5!$A$11))</f>
        <v>S10D</v>
      </c>
      <c r="B326" s="31" t="str">
        <f>IF(C319="","",IF([1]AB5!$B$11="","",[1]AB5!$B$11))</f>
        <v>No. of TGT</v>
      </c>
      <c r="C326" s="54" t="str">
        <f t="array" ref="C326">IF(C319="","",INDEX([1]AB2!K:K,MATCH(C319,[1]AB2!A:A,0)))</f>
        <v>4 &amp; APS</v>
      </c>
      <c r="D326" s="59"/>
      <c r="E326" s="60"/>
      <c r="F326" s="61" t="str">
        <f>IF(C319="","",[1]AB5!$G$11)</f>
        <v>SL / TRP</v>
      </c>
      <c r="G326" s="36" t="str">
        <f t="array" ref="G326">IF(C319="","",CONCATENATE(INDEX([1]AB4!AA:AA,MATCH(A326,[1]AB4!B:B,0))," ( ",INDEX([1]AB4!AE:AE,MATCH(A326,[1]AB4!B:B,0)),INDEX([1]AB4!AF:AF,MATCH(A326,[1]AB4!B:B,0)),TEXT(INDEX([1]AB4!AG:AG,MATCH(A326,[1]AB4!B:B,0)),"0.00%")," or ",INDEX([1]AB4!AK:AK,MATCH(A326,[1]AB4!B:B,0)),INDEX([1]AB4!AJ:AJ,MATCH(A326,[1]AB4!B:B,0)),TEXT(INDEX([1]AB4!AL:AL,MATCH(A326,[1]AB4!B:B,0)),"0.00%")," )"))</f>
        <v>Max ( L : Entry - 1.00% or FUT : PRV : 2DLL - 0.00% )</v>
      </c>
      <c r="H326" s="37">
        <f t="array" ref="H326">IF(C319="","",INDEX([1]AB4!AM:AM,MATCH(A326,[1]AB4!B:B,0)))</f>
        <v>5</v>
      </c>
      <c r="I326" s="38"/>
      <c r="J326" s="36" t="str">
        <f t="array" ref="J326">IF(C319="","",CONCATENATE(INDEX([1]AB4!AA:AA,MATCH(A326,[1]AB4!B:B,0))," ( ",INDEX([1]AB4!AE:AE,MATCH(A326,[1]AB4!B:B,0))," or ",INDEX([1]AB4!AN:AN,MATCH(A326,[1]AB4!B:B,0)),INDEX([1]AB4!AJ:AJ,MATCH(A326,[1]AB4!B:B,0)),TEXT(INDEX([1]AB4!AO:AO,MATCH(A326,[1]AB4!B:B,0)),"0.00%")," )"))</f>
        <v>Max ( L : Entry or FUT : PRV : 2DLL - 0.00% )</v>
      </c>
      <c r="K326" s="37">
        <f t="array" ref="K326">IF(C319="","",INDEX([1]AB4!AP:AP,MATCH(A326,[1]AB4!B:B,0)))</f>
        <v>4</v>
      </c>
      <c r="L326" s="38"/>
      <c r="M326" s="36" t="str">
        <f t="array" ref="M326">IF(C319="","",CONCATENATE(INDEX([1]AB4!AA:AA,MATCH(A326,[1]AB4!B:B,0))," ( ",INDEX([1]AB4!AE:AE,MATCH(A326,[1]AB4!B:B,0))," or ",INDEX([1]AB4!AQ:AQ,MATCH(A326,[1]AB4!B:B,0)),INDEX([1]AB4!AJ:AJ,MATCH(A326,[1]AB4!B:B,0)),TEXT(INDEX([1]AB4!AR:AR,MATCH(A326,[1]AB4!B:B,0)),"0.00%")," )"))</f>
        <v>Max ( L : Entry or FUT : PRV : 2DLL - 0.00% )</v>
      </c>
      <c r="N326" s="37">
        <f t="array" ref="N326">IF(C319="","",INDEX([1]AB4!AS:AS,MATCH(A326,[1]AB4!B:B,0)))</f>
        <v>3</v>
      </c>
      <c r="O326" s="38"/>
      <c r="P326" s="36" t="str">
        <f t="array" ref="P326">IF(C319="","",CONCATENATE(INDEX([1]AB4!AA:AA,MATCH(A326,[1]AB4!B:B,0))," ( ",INDEX([1]AB4!AE:AE,MATCH(A326,[1]AB4!B:B,0))," or ",INDEX([1]AB4!AT:AT,MATCH(A326,[1]AB4!B:B,0)),INDEX([1]AB4!AJ:AJ,MATCH(A326,[1]AB4!B:B,0)),TEXT(INDEX([1]AB4!AU:AU,MATCH(A326,[1]AB4!B:B,0)),"0.00%")," )"))</f>
        <v>Max ( L : Entry or FUT : PRV : 2DLL - 0.00% )</v>
      </c>
      <c r="Q326" s="37">
        <f t="array" ref="Q326">IF(C319="","",INDEX([1]AB4!AV:AV,MATCH(A326,[1]AB4!B:B,0)))</f>
        <v>2</v>
      </c>
      <c r="R326" s="38"/>
      <c r="S326" s="36" t="str">
        <f t="array" ref="S326">IF(C319="","",CONCATENATE(INDEX([1]AB4!AA:AA,MATCH(A326,[1]AB4!B:B,0))," ( ",INDEX([1]AB4!AE:AE,MATCH(A326,[1]AB4!B:B,0))," or ",INDEX([1]AB4!AW:AW,MATCH(A326,[1]AB4!B:B,0)),INDEX([1]AB4!AJ:AJ,MATCH(A326,[1]AB4!B:B,0)),TEXT(INDEX([1]AB4!AX:AX,MATCH(A326,[1]AB4!B:B,0)),"0.00%")," )"))</f>
        <v>Max ( L : Entry or FUT : PRV : 2DLL - 0.00% )</v>
      </c>
      <c r="T326" s="37">
        <f t="array" ref="T326">IF(C319="","",INDEX([1]AB4!AY:AY,MATCH(A326,[1]AB4!B:B,0)))</f>
        <v>1</v>
      </c>
      <c r="U326" s="38"/>
      <c r="V326" s="36" t="str">
        <f t="array" ref="V326">IF(C319="","",CONCATENATE(INDEX([1]AB4!AA:AA,MATCH(A326,[1]AB4!B:B,0))," ( ",INDEX([1]AB4!AE:AE,MATCH(A326,[1]AB4!B:B,0))," or ",INDEX([1]AB4!AW:AW,MATCH(A326,[1]AB4!B:B,0)),INDEX([1]AB4!AJ:AJ,MATCH(A326,[1]AB4!B:B,0)),TEXT(INDEX([1]AB4!AX:AX,MATCH(A326,[1]AB4!B:B,0)),"0.00%")," )"))</f>
        <v>Max ( L : Entry or FUT : PRV : 2DLL - 0.00% )</v>
      </c>
      <c r="W326" s="37">
        <f t="array" ref="W326">IF(C319="","",INDEX([1]AB4!AY:AY,MATCH(A326,[1]AB4!B:B,0)))</f>
        <v>1</v>
      </c>
      <c r="X326" s="38"/>
      <c r="Y326" s="40">
        <f t="array" ref="Y326">IF(C319="","",INDEX([1]AB4!AZ:AZ,MATCH(A326,[1]AB4!B:B,0)))</f>
        <v>0</v>
      </c>
      <c r="Z326" s="37">
        <f t="array" ref="Z326">IF(C319="","",INDEX([1]AB4!BB:BB,MATCH(A326,[1]AB4!B:B,0)))</f>
        <v>0</v>
      </c>
      <c r="AA326" s="41"/>
      <c r="AB326" s="30"/>
      <c r="AC326" s="30"/>
    </row>
    <row r="327" spans="1:29" ht="6" customHeight="1" thickBot="1" x14ac:dyDescent="0.25">
      <c r="A327" s="18" t="str">
        <f>IF(C319="","",CONCATENATE(C320,[1]AB5!A337))</f>
        <v>S10</v>
      </c>
      <c r="B327" s="62" t="str">
        <f>IF(C319="","",IF([1]AB5!$B$12="","",[1]AB5!$B$12))</f>
        <v>Stay Blessed !!!</v>
      </c>
      <c r="C327" s="63"/>
      <c r="D327" s="59"/>
      <c r="E327" s="44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6"/>
      <c r="AB327" s="30"/>
      <c r="AC327" s="30"/>
    </row>
    <row r="328" spans="1:29" ht="30.75" customHeight="1" x14ac:dyDescent="0.2">
      <c r="A328" s="18" t="str">
        <f>IF(C319="","",CONCATENATE(C320,[1]AB5!$A$13))</f>
        <v>S10E</v>
      </c>
      <c r="B328" s="64"/>
      <c r="C328" s="59"/>
      <c r="D328" s="59"/>
      <c r="E328" s="65" t="str">
        <f>IF(C319="","",[1]AB5!$F$13)</f>
        <v>SELL</v>
      </c>
      <c r="F328" s="58" t="str">
        <f>IF(C319="","",[1]AB5!$G$13)</f>
        <v>E &amp; T</v>
      </c>
      <c r="G328" s="25" t="str">
        <f t="array" ref="G328">IF(C319="","",CONCATENATE(INDEX([1]AB4!G:G,MATCH(A328,[1]AB4!B:B,0)),INDEX([1]AB4!H:H,MATCH(A328,[1]AB4!B:B,0)),TEXT(INDEX([1]AB4!I:I,MATCH(A328,[1]AB4!B:B,0)),"0.00%")))</f>
        <v>FUT : PRV : 2DLL - 0.00%</v>
      </c>
      <c r="H328" s="26">
        <f t="array" ref="H328">IF(C319="","",INDEX([1]AB4!J:J,MATCH(A328,[1]AB4!B:B,0)))</f>
        <v>5</v>
      </c>
      <c r="I328" s="27"/>
      <c r="J328" s="28" t="str">
        <f t="array" ref="J328">IF(C319="","",CONCATENATE(INDEX([1]AB4!L:L,MATCH(A328,[1]AB4!B:B,0)),INDEX([1]AB4!M:M,MATCH(A328,[1]AB4!B:B,0)),TEXT(INDEX([1]AB4!N:N,MATCH(A328,[1]AB4!B:B,0)),"0.00%")))</f>
        <v>S : Entry  - 1.00%</v>
      </c>
      <c r="K328" s="26">
        <f t="array" ref="K328">IF(C319="","",INDEX([1]AB4!O:O,MATCH(A328,[1]AB4!B:B,0)))</f>
        <v>1</v>
      </c>
      <c r="L328" s="27"/>
      <c r="M328" s="28" t="str">
        <f t="array" ref="M328">IF(C319="","",CONCATENATE(INDEX([1]AB4!L:L,MATCH(A328,[1]AB4!B:B,0)),INDEX([1]AB4!M:M,MATCH(A328,[1]AB4!B:B,0)),TEXT(INDEX([1]AB4!P:P,MATCH(A328,[1]AB4!B:B,0)),"0.00%")))</f>
        <v>S : Entry  - 1.50%</v>
      </c>
      <c r="N328" s="26">
        <f t="array" ref="N328">IF(C319="","",INDEX([1]AB4!Q:Q,MATCH(A328,[1]AB4!B:B,0)))</f>
        <v>1</v>
      </c>
      <c r="O328" s="27"/>
      <c r="P328" s="28" t="str">
        <f t="array" ref="P328">IF(C319="","",CONCATENATE(INDEX([1]AB4!L:L,MATCH(A328,[1]AB4!B:B,0)),INDEX([1]AB4!M:M,MATCH(A328,[1]AB4!B:B,0)),TEXT(INDEX([1]AB4!R:R,MATCH(A328,[1]AB4!B:B,0)),"0.00%")))</f>
        <v>S : Entry  - 2.00%</v>
      </c>
      <c r="Q328" s="26">
        <f t="array" ref="Q328">IF(C319="","",INDEX([1]AB4!S:S,MATCH(A328,[1]AB4!B:B,0)))</f>
        <v>1</v>
      </c>
      <c r="R328" s="27"/>
      <c r="S328" s="28" t="str">
        <f t="array" ref="S328">IF(C319="","",CONCATENATE(INDEX([1]AB4!L:L,MATCH(A328,[1]AB4!B:B,0)),INDEX([1]AB4!M:M,MATCH(A328,[1]AB4!B:B,0)),TEXT(INDEX([1]AB4!T:T,MATCH(A328,[1]AB4!B:B,0)),"0.00%")))</f>
        <v>S : Entry  - 2.50%</v>
      </c>
      <c r="T328" s="26">
        <f t="array" ref="T328">IF(C319="","",INDEX([1]AB4!U:U,MATCH(A328,[1]AB4!B:B,0)))</f>
        <v>1</v>
      </c>
      <c r="U328" s="27"/>
      <c r="V328" s="28" t="str">
        <f t="array" ref="V328">IF(C319="","",INDEX([1]AB4!V:V,MATCH(A328,[1]AB4!B:B,0)))</f>
        <v>TR PROFIT AFTER TGT 4</v>
      </c>
      <c r="W328" s="26">
        <f t="array" ref="W328">IF(C319="","",INDEX([1]AB4!W:W,MATCH(A328,[1]AB4!B:B,0)))</f>
        <v>1</v>
      </c>
      <c r="X328" s="27"/>
      <c r="Y328" s="28" t="str">
        <f t="array" ref="Y328">IF(C319="","",INDEX([1]AB4!X:X,MATCH(A328,[1]AB4!B:B,0)))</f>
        <v>N.A.</v>
      </c>
      <c r="Z328" s="26" t="str">
        <f t="array" ref="Z328">IF(C319="","",INDEX([1]AB4!Y:Y,MATCH(A328,[1]AB4!B:B,0)))</f>
        <v>N.A.</v>
      </c>
      <c r="AA328" s="29"/>
      <c r="AB328" s="30"/>
      <c r="AC328" s="30"/>
    </row>
    <row r="329" spans="1:29" ht="44.25" customHeight="1" thickBot="1" x14ac:dyDescent="0.25">
      <c r="A329" s="18" t="str">
        <f>IF(C319="","",CONCATENATE(C320,[1]AB5!$A$14))</f>
        <v>S10E</v>
      </c>
      <c r="B329" s="60"/>
      <c r="C329" s="66"/>
      <c r="D329" s="66"/>
      <c r="E329" s="60"/>
      <c r="F329" s="61" t="str">
        <f>IF(C319="","",[1]AB5!$G$14)</f>
        <v>SL / TRP</v>
      </c>
      <c r="G329" s="36" t="str">
        <f t="array" ref="G329">IF(C319="","",CONCATENATE(INDEX([1]AB4!AA:AA,MATCH(A329,[1]AB4!B:B,0))," ( ",INDEX([1]AB4!AE:AE,MATCH(A329,[1]AB4!B:B,0)),INDEX([1]AB4!AF:AF,MATCH(A329,[1]AB4!B:B,0)),TEXT(INDEX([1]AB4!AG:AG,MATCH(A329,[1]AB4!B:B,0)),"0.00%")," or ",INDEX([1]AB4!AK:AK,MATCH(A329,[1]AB4!B:B,0)),INDEX([1]AB4!AJ:AJ,MATCH(A329,[1]AB4!B:B,0)),TEXT(INDEX([1]AB4!AL:AL,MATCH(A329,[1]AB4!B:B,0)),"0.00%")," )"))</f>
        <v>Min ( S : Entry + 1.00% or FUT : PRV : 3DHH + 0.10% )</v>
      </c>
      <c r="H329" s="37">
        <f t="array" ref="H329">IF(C319="","",INDEX([1]AB4!AM:AM,MATCH(A329,[1]AB4!B:B,0)))</f>
        <v>5</v>
      </c>
      <c r="I329" s="38"/>
      <c r="J329" s="36" t="str">
        <f t="array" ref="J329">IF(C319="","",CONCATENATE(INDEX([1]AB4!AA:AA,MATCH(A329,[1]AB4!B:B,0))," ( ",INDEX([1]AB4!AE:AE,MATCH(A329,[1]AB4!B:B,0))," or ",INDEX([1]AB4!AN:AN,MATCH(A329,[1]AB4!B:B,0)),INDEX([1]AB4!AJ:AJ,MATCH(A329,[1]AB4!B:B,0)),TEXT(INDEX([1]AB4!AO:AO,MATCH(A329,[1]AB4!B:B,0)),"0.00%")," )"))</f>
        <v>Min ( S : Entry or FUT : PRV : 3DHH + 0.10% )</v>
      </c>
      <c r="K329" s="37">
        <f t="array" ref="K329">IF(C319="","",INDEX([1]AB4!AP:AP,MATCH(A329,[1]AB4!B:B,0)))</f>
        <v>4</v>
      </c>
      <c r="L329" s="38"/>
      <c r="M329" s="36" t="str">
        <f t="array" ref="M329">IF(C319="","",CONCATENATE(INDEX([1]AB4!AA:AA,MATCH(A329,[1]AB4!B:B,0))," ( ",INDEX([1]AB4!AE:AE,MATCH(A329,[1]AB4!B:B,0))," or ",INDEX([1]AB4!AQ:AQ,MATCH(A329,[1]AB4!B:B,0)),INDEX([1]AB4!AJ:AJ,MATCH(A329,[1]AB4!B:B,0)),TEXT(INDEX([1]AB4!AR:AR,MATCH(A329,[1]AB4!B:B,0)),"0.00%")," )"))</f>
        <v>Min ( S : Entry or FUT : PRV : 3DHH + 0.10% )</v>
      </c>
      <c r="N329" s="37">
        <f t="array" ref="N329">IF(C319="","",INDEX([1]AB4!AS:AS,MATCH(A329,[1]AB4!B:B,0)))</f>
        <v>3</v>
      </c>
      <c r="O329" s="38"/>
      <c r="P329" s="36" t="str">
        <f t="array" ref="P329">IF(C319="","",CONCATENATE(INDEX([1]AB4!AA:AA,MATCH(A329,[1]AB4!B:B,0))," ( ",INDEX([1]AB4!AE:AE,MATCH(A329,[1]AB4!B:B,0))," or ",INDEX([1]AB4!AT:AT,MATCH(A329,[1]AB4!B:B,0)),INDEX([1]AB4!AJ:AJ,MATCH(A329,[1]AB4!B:B,0)),TEXT(INDEX([1]AB4!AU:AU,MATCH(A329,[1]AB4!B:B,0)),"0.00%")," )"))</f>
        <v>Min ( S : Entry or FUT : PRV : 3DHH + 0.10% )</v>
      </c>
      <c r="Q329" s="37">
        <f t="array" ref="Q329">IF(C319="","",INDEX([1]AB4!AV:AV,MATCH(A329,[1]AB4!B:B,0)))</f>
        <v>2</v>
      </c>
      <c r="R329" s="38"/>
      <c r="S329" s="36" t="str">
        <f t="array" ref="S329">IF(C319="","",CONCATENATE(INDEX([1]AB4!AA:AA,MATCH(A329,[1]AB4!B:B,0))," ( ",INDEX([1]AB4!AE:AE,MATCH(A329,[1]AB4!B:B,0))," or ",INDEX([1]AB4!AW:AW,MATCH(A329,[1]AB4!B:B,0)),INDEX([1]AB4!AJ:AJ,MATCH(A329,[1]AB4!B:B,0)),TEXT(INDEX([1]AB4!AX:AX,MATCH(A329,[1]AB4!B:B,0)),"0.00%")," )"))</f>
        <v>Min ( S : Entry or FUT : PRV : 3DHH + 0.10% )</v>
      </c>
      <c r="T329" s="37">
        <f t="array" ref="T329">IF(C319="","",INDEX([1]AB4!AY:AY,MATCH(A329,[1]AB4!B:B,0)))</f>
        <v>1</v>
      </c>
      <c r="U329" s="38"/>
      <c r="V329" s="36" t="str">
        <f t="array" ref="V329">IF(C319="","",CONCATENATE(INDEX([1]AB4!AA:AA,MATCH(A329,[1]AB4!B:B,0))," ( ",INDEX([1]AB4!AE:AE,MATCH(A329,[1]AB4!B:B,0))," or ",INDEX([1]AB4!AW:AW,MATCH(A329,[1]AB4!B:B,0)),INDEX([1]AB4!AJ:AJ,MATCH(A329,[1]AB4!B:B,0)),TEXT(INDEX([1]AB4!AX:AX,MATCH(A329,[1]AB4!B:B,0)),"0.00%")," )"))</f>
        <v>Min ( S : Entry or FUT : PRV : 3DHH + 0.10% )</v>
      </c>
      <c r="W329" s="37">
        <f t="array" ref="W329">IF(C319="","",INDEX([1]AB4!AY:AY,MATCH(A329,[1]AB4!B:B,0)))</f>
        <v>1</v>
      </c>
      <c r="X329" s="38"/>
      <c r="Y329" s="40">
        <f t="array" ref="Y329">IF(C319="","",INDEX([1]AB4!AZ:AZ,MATCH(A329,[1]AB4!B:B,0)))</f>
        <v>0</v>
      </c>
      <c r="Z329" s="37">
        <f t="array" ref="Z329">IF(C319="","",INDEX([1]AB4!BB:BB,MATCH(A329,[1]AB4!B:B,0)))</f>
        <v>0</v>
      </c>
      <c r="AA329" s="41"/>
      <c r="AB329" s="30"/>
      <c r="AC329" s="30"/>
    </row>
    <row r="330" spans="1:29" ht="6" customHeight="1" thickBot="1" x14ac:dyDescent="0.25">
      <c r="A330" s="18"/>
      <c r="B330" s="55"/>
      <c r="C330" s="55"/>
      <c r="D330" s="55"/>
      <c r="E330" s="30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30"/>
      <c r="AA330" s="30"/>
      <c r="AB330" s="68"/>
      <c r="AC330" s="68"/>
    </row>
    <row r="331" spans="1:29" ht="21.75" customHeight="1" x14ac:dyDescent="0.2">
      <c r="A331" s="18"/>
      <c r="B331" s="69" t="str">
        <f>IF(C319="","",[1]AB5!$B$16)</f>
        <v>For Entry</v>
      </c>
      <c r="C331" s="29"/>
      <c r="D331" s="70" t="str">
        <f>IF(C319="","",[1]AB5!$D$16)</f>
        <v>Gap Check</v>
      </c>
      <c r="E331" s="71"/>
      <c r="F331" s="70" t="str">
        <f>IF(C319="","",[1]AB5!$G$16)</f>
        <v>Process</v>
      </c>
      <c r="G331" s="72"/>
      <c r="H331" s="73" t="str">
        <f>IF(C319="","",[1]AB5!$I$16)</f>
        <v>Y / N</v>
      </c>
      <c r="I331" s="72"/>
      <c r="J331" s="74" t="str">
        <f>IF(C319="","",[1]AB5!$K$16)</f>
        <v>Order Status</v>
      </c>
      <c r="K331" s="75" t="str">
        <f>IF(C319="","",[1]AB5!$L$16)</f>
        <v>Step 1</v>
      </c>
      <c r="L331" s="76"/>
      <c r="M331" s="76"/>
      <c r="N331" s="72"/>
      <c r="O331" s="73" t="str">
        <f>IF(C319="","",[1]AB5!$P$16)</f>
        <v>Order Placement Timings</v>
      </c>
      <c r="P331" s="72"/>
      <c r="Q331" s="73" t="str">
        <f>IF(C319="","",[1]AB5!$R$16)</f>
        <v>Time</v>
      </c>
      <c r="R331" s="72"/>
      <c r="S331" s="75" t="str">
        <f>IF(C319="","",[1]AB5!$T$16)</f>
        <v>Rules For Gaps</v>
      </c>
      <c r="T331" s="76"/>
      <c r="U331" s="72"/>
      <c r="V331" s="74" t="str">
        <f>IF(C319="","",[1]AB5!$W$16)</f>
        <v>Data</v>
      </c>
      <c r="W331" s="73" t="str">
        <f>IF(C319="","",[1]AB5!$X$16)</f>
        <v>Buffer</v>
      </c>
      <c r="X331" s="71"/>
      <c r="Y331" s="77" t="str">
        <f>IF(C319="","",[1]AB5!$AA$16)</f>
        <v>Rules For Re Entry</v>
      </c>
      <c r="Z331" s="76"/>
      <c r="AA331" s="71"/>
      <c r="AB331" s="78"/>
      <c r="AC331" s="78"/>
    </row>
    <row r="332" spans="1:29" ht="31.5" customHeight="1" x14ac:dyDescent="0.2">
      <c r="A332" s="18" t="str">
        <f>IF(C319="","",CONCATENATE(C320,[1]AB5!$A$17))</f>
        <v>S10A</v>
      </c>
      <c r="B332" s="79" t="str">
        <f>IF(C319="","",[1]AB5!$B$17)</f>
        <v xml:space="preserve">ORPT </v>
      </c>
      <c r="C332" s="80" t="str">
        <f>IF(C319="","",[1]AB5!$C$17)</f>
        <v xml:space="preserve"> RC. Time</v>
      </c>
      <c r="D332" s="81" t="str">
        <f>IF(C319="","",[1]AB5!$D$17)</f>
        <v>For Long Entry</v>
      </c>
      <c r="E332" s="63"/>
      <c r="F332" s="82" t="str">
        <f>IF(C319="","",CONCATENATE([1]AB5!$G$17,TEXT(B333,"HH:MM:SS AM/PM"),[1]AB5!$B$18,[1]AB5!$H$17))</f>
        <v>Check If  09:04:59 AM HH &gt; Long Entry</v>
      </c>
      <c r="G332" s="83"/>
      <c r="H332" s="84" t="str">
        <f>IF(C319="","",[1]AB5!$I$17)</f>
        <v>No</v>
      </c>
      <c r="I332" s="85"/>
      <c r="J332" s="86" t="str">
        <f>IF(C319="","",[1]AB5!$K$17)</f>
        <v>Entry Not Missed</v>
      </c>
      <c r="K332" s="87" t="str">
        <f>IF(C319="","",[1]AB5!$L$17)</f>
        <v>Place the Order at ORPT</v>
      </c>
      <c r="L332" s="88"/>
      <c r="M332" s="88"/>
      <c r="N332" s="85"/>
      <c r="O332" s="87" t="str">
        <f>IF(C319="","",[1]AB5!$P$17)</f>
        <v>ORPT Time</v>
      </c>
      <c r="P332" s="85"/>
      <c r="Q332" s="89">
        <f>IF(C319="","",B333)</f>
        <v>0.37846527777777778</v>
      </c>
      <c r="R332" s="85"/>
      <c r="S332" s="87" t="str">
        <f>IF(C319="","",[1]AB5!$T$17)</f>
        <v>N.A.</v>
      </c>
      <c r="T332" s="88"/>
      <c r="U332" s="85"/>
      <c r="V332" s="86" t="str">
        <f>IF(C319="","",[1]AB5!$W$17)</f>
        <v>N.A.</v>
      </c>
      <c r="W332" s="90" t="str">
        <f>IF(C319="","",[1]AB5!$X$17)</f>
        <v>N.A.</v>
      </c>
      <c r="X332" s="91"/>
      <c r="Y332" s="92" t="str">
        <f>IF(C319="","",[1]AB5!$AA$17)</f>
        <v xml:space="preserve">Long Entry : Bull/ Bull CF : </v>
      </c>
      <c r="Z332" s="88"/>
      <c r="AA332" s="91"/>
      <c r="AB332" s="68"/>
      <c r="AC332" s="68"/>
    </row>
    <row r="333" spans="1:29" ht="31.5" customHeight="1" x14ac:dyDescent="0.2">
      <c r="A333" s="18" t="str">
        <f>IF(C319="","",CONCATENATE(C320,[1]AB5!$A$18))</f>
        <v>S10B</v>
      </c>
      <c r="B333" s="93">
        <f t="array" ref="B333">IF(C319="","",INDEX([1]AB4!BE:BE,MATCH(A332,[1]AB4!B:B,0)))</f>
        <v>0.37846527777777778</v>
      </c>
      <c r="C333" s="94">
        <f t="array" ref="C333">IF(C319="","",INDEX([1]AB4!BE:BE,MATCH(A333,[1]AB4!B:B,0)))</f>
        <v>0.38540972222222225</v>
      </c>
      <c r="D333" s="64"/>
      <c r="E333" s="59"/>
      <c r="F333" s="64"/>
      <c r="G333" s="95"/>
      <c r="H333" s="96" t="str">
        <f>IF(C319="","",[1]AB5!$I$18)</f>
        <v>Yes</v>
      </c>
      <c r="I333" s="83"/>
      <c r="J333" s="97" t="str">
        <f>IF(C319="","",[1]AB5!$K$18)</f>
        <v>Entry Missed</v>
      </c>
      <c r="K333" s="87" t="str">
        <f>IF(C319="","",[1]AB5!$L$18)</f>
        <v>Recalcuate : Long Entry : Bull / Bull CF</v>
      </c>
      <c r="L333" s="88"/>
      <c r="M333" s="88"/>
      <c r="N333" s="85"/>
      <c r="O333" s="87" t="str">
        <f>IF(C319="","",[1]AB5!$P$18)</f>
        <v>Wait Till Recalculation Time</v>
      </c>
      <c r="P333" s="85"/>
      <c r="Q333" s="89">
        <f>IF(C319="","",C333)</f>
        <v>0.38540972222222225</v>
      </c>
      <c r="R333" s="85"/>
      <c r="S333" s="98" t="str">
        <f>IF(C319="","",CONCATENATE(V333," ",[1]AB5!$Z$18," ",TEXT(W333,"0.00%")))</f>
        <v>09:14:59 AM HH + 0.10%</v>
      </c>
      <c r="T333" s="88"/>
      <c r="U333" s="85"/>
      <c r="V333" s="99" t="str">
        <f>IF(C319="","",CONCATENATE(TEXT(Q333,"HH:MM:SS AM/PM"),[1]AB5!$U$18))</f>
        <v>09:14:59 AM HH</v>
      </c>
      <c r="W333" s="100" t="str">
        <f t="array" ref="W333">IF(A319="","",TEXT(INDEX([1]AB4!BK:BK,MATCH(A320,[1]AB4!B:B,0)),"0.00%"))</f>
        <v>0.10%</v>
      </c>
      <c r="X333" s="91"/>
      <c r="Y333" s="101" t="str">
        <f>IF(C319="","",CONCATENATE([1]AB5!$T$18," ( ",G319," or ",[1]AB5!$AA$18," ",[1]AB5!$Z$18," ",TEXT(W333,"0.00%")," )"))</f>
        <v>Max ( FUT : PRV : 2DHH + 0.00% or  CDHH + 0.10% )</v>
      </c>
      <c r="Z333" s="88"/>
      <c r="AA333" s="91"/>
      <c r="AB333" s="68"/>
      <c r="AC333" s="68"/>
    </row>
    <row r="334" spans="1:29" ht="31.5" customHeight="1" thickBot="1" x14ac:dyDescent="0.25">
      <c r="A334" s="18"/>
      <c r="B334" s="34"/>
      <c r="C334" s="102"/>
      <c r="D334" s="103"/>
      <c r="E334" s="104"/>
      <c r="F334" s="103"/>
      <c r="G334" s="105"/>
      <c r="H334" s="51"/>
      <c r="I334" s="105"/>
      <c r="J334" s="53"/>
      <c r="K334" s="87" t="str">
        <f>IF(C319="","",[1]AB5!$L$19)</f>
        <v>Recalcuate : Long Entry : Bear / Bear CF</v>
      </c>
      <c r="L334" s="88"/>
      <c r="M334" s="88"/>
      <c r="N334" s="85"/>
      <c r="O334" s="87" t="str">
        <f>IF(C319="","",[1]AB5!$P$19)</f>
        <v>Wait Till Recalculation Time</v>
      </c>
      <c r="P334" s="85"/>
      <c r="Q334" s="89">
        <f>IF(C319="","",C333)</f>
        <v>0.38540972222222225</v>
      </c>
      <c r="R334" s="85"/>
      <c r="S334" s="98" t="str">
        <f>IF(C319="","",CONCATENATE(V334," ",[1]AB5!$Z$19," ",TEXT(W334,"0.00%"),))</f>
        <v>09:14:59 AM HH + 0.10%</v>
      </c>
      <c r="T334" s="88"/>
      <c r="U334" s="85"/>
      <c r="V334" s="99" t="str">
        <f>IF(C319="","",CONCATENATE(TEXT(Q334,"HH:MM:SS AM/PM"),[1]AB5!$U$19))</f>
        <v>09:14:59 AM HH</v>
      </c>
      <c r="W334" s="100" t="str">
        <f t="array" ref="W334">IF(C319="","",TEXT(INDEX([1]AB4!BK:BK,MATCH(A325,[1]AB4!B:B,0)),"0.00%"))</f>
        <v>0.10%</v>
      </c>
      <c r="X334" s="91"/>
      <c r="Y334" s="106" t="str">
        <f>IF(C319="","",[1]AB5!$AA$19)</f>
        <v xml:space="preserve">Long Entry : Bear/ Bear CF : </v>
      </c>
      <c r="Z334" s="88"/>
      <c r="AA334" s="91"/>
      <c r="AB334" s="68"/>
      <c r="AC334" s="68"/>
    </row>
    <row r="335" spans="1:29" ht="31.5" customHeight="1" x14ac:dyDescent="0.2">
      <c r="A335" s="18"/>
      <c r="B335" s="69" t="str">
        <f>IF(C319="","",[1]AB5!$B$20)</f>
        <v>For SL (Position = Open)</v>
      </c>
      <c r="C335" s="29"/>
      <c r="D335" s="107" t="str">
        <f>IF(C319="","",[1]AB5!$D$20)</f>
        <v>For Short Entry</v>
      </c>
      <c r="E335" s="63"/>
      <c r="F335" s="82" t="str">
        <f>IF(C319="","",CONCATENATE([1]AB5!$G$20,TEXT(B333,"HH:MM:SS AM/PM"),[1]AB5!$B$18,[1]AB5!$H$20))</f>
        <v>Check If  09:04:59 AM LL &lt; Short Entry</v>
      </c>
      <c r="G335" s="83"/>
      <c r="H335" s="108" t="str">
        <f>IF(C319="","",[1]AB5!$I$20)</f>
        <v>No</v>
      </c>
      <c r="I335" s="85"/>
      <c r="J335" s="109" t="str">
        <f>IF(C319="","",[1]AB5!$K$20)</f>
        <v>Entry Not Missed</v>
      </c>
      <c r="K335" s="110" t="str">
        <f>IF(C319="","",[1]AB5!$L$20)</f>
        <v>Place the Order at ORPT</v>
      </c>
      <c r="L335" s="88"/>
      <c r="M335" s="88"/>
      <c r="N335" s="85"/>
      <c r="O335" s="110" t="str">
        <f>IF(C319="","",[1]AB5!$P$20)</f>
        <v>ORPT Time</v>
      </c>
      <c r="P335" s="85"/>
      <c r="Q335" s="111">
        <f>IF(C319="","",B333)</f>
        <v>0.37846527777777778</v>
      </c>
      <c r="R335" s="85"/>
      <c r="S335" s="110" t="str">
        <f>IF(C319="","",[1]AB5!$T$20)</f>
        <v>N.A.</v>
      </c>
      <c r="T335" s="88"/>
      <c r="U335" s="85"/>
      <c r="V335" s="109" t="str">
        <f>IF(C319="","",[1]AB5!$W$20)</f>
        <v>N.A.</v>
      </c>
      <c r="W335" s="112" t="str">
        <f>IF(C319="","",[1]AB5!$X$20)</f>
        <v>N.A.</v>
      </c>
      <c r="X335" s="91"/>
      <c r="Y335" s="101" t="str">
        <f>IF(C319="","",CONCATENATE([1]AB5!$T$19," ( ",G325," or ",[1]AB5!$AA$20," ",[1]AB5!$Z$19," ",TEXT(W334,"0.00%")," )"))</f>
        <v>Max ( FUT : PRV : 3DHH + 0.10% or  CDHH + 0.10% )</v>
      </c>
      <c r="Z335" s="88"/>
      <c r="AA335" s="91"/>
      <c r="AB335" s="68"/>
      <c r="AC335" s="68"/>
    </row>
    <row r="336" spans="1:29" ht="31.5" customHeight="1" x14ac:dyDescent="0.2">
      <c r="A336" s="18" t="str">
        <f>IF(C319="","",CONCATENATE(C320,[1]AB5!$A$21))</f>
        <v>S10A</v>
      </c>
      <c r="B336" s="79" t="str">
        <f>IF(C319="","",[1]AB5!$B$21)</f>
        <v xml:space="preserve">ORPT </v>
      </c>
      <c r="C336" s="80" t="str">
        <f>IF(C319="","",[1]AB5!$C$21)</f>
        <v xml:space="preserve"> RC. Time</v>
      </c>
      <c r="D336" s="64"/>
      <c r="E336" s="59"/>
      <c r="F336" s="64"/>
      <c r="G336" s="95"/>
      <c r="H336" s="113" t="str">
        <f>IF(C319="","",[1]AB5!$I$21)</f>
        <v>Yes</v>
      </c>
      <c r="I336" s="83"/>
      <c r="J336" s="114" t="str">
        <f>IF(C319="","",[1]AB5!$K$21)</f>
        <v>Entry Missed</v>
      </c>
      <c r="K336" s="110" t="str">
        <f>IF(C319="","",[1]AB5!$L$21)</f>
        <v>Recalcuate : Short Entry : Bull / Bull CF</v>
      </c>
      <c r="L336" s="88"/>
      <c r="M336" s="88"/>
      <c r="N336" s="85"/>
      <c r="O336" s="110" t="str">
        <f>IF(C319="","",[1]AB5!$P$21)</f>
        <v>Wait Till Recalculation Time</v>
      </c>
      <c r="P336" s="85"/>
      <c r="Q336" s="111">
        <f>IF(C319="","",C333)</f>
        <v>0.38540972222222225</v>
      </c>
      <c r="R336" s="85"/>
      <c r="S336" s="115" t="str">
        <f>IF(C319="","",CONCATENATE(V336," ",[1]AB5!$Z$21," ",TEXT(W336,"0.00%")))</f>
        <v>09:14:59 AM LL - 0.10%</v>
      </c>
      <c r="T336" s="88"/>
      <c r="U336" s="85"/>
      <c r="V336" s="116" t="str">
        <f>IF(C319="","",CONCATENATE(TEXT(Q336,"HH:MM:SS AM/PM"),[1]AB5!$U$21))</f>
        <v>09:14:59 AM LL</v>
      </c>
      <c r="W336" s="112" t="str">
        <f t="array" ref="W336">IF(C319="","",TEXT(INDEX([1]AB4!BK:BK,MATCH(A322,[1]AB4!B:B,0)),"0.00%"))</f>
        <v>0.10%</v>
      </c>
      <c r="X336" s="91"/>
      <c r="Y336" s="117" t="str">
        <f>IF(C319="","",[1]AB5!$AA$21)</f>
        <v>When Your Long Position is Exited</v>
      </c>
      <c r="Z336" s="118"/>
      <c r="AA336" s="59"/>
      <c r="AB336" s="68"/>
      <c r="AC336" s="68"/>
    </row>
    <row r="337" spans="1:29" ht="31.5" customHeight="1" thickBot="1" x14ac:dyDescent="0.25">
      <c r="A337" s="18" t="str">
        <f>IF(C319="","",CONCATENATE(C320,[1]AB5!$A$22))</f>
        <v>S10B</v>
      </c>
      <c r="B337" s="119">
        <f t="array" ref="B337">IF(C319="","",INDEX([1]AB4!BF:BF,MATCH(A336,[1]AB4!B:B,0)))</f>
        <v>0.37846527777777778</v>
      </c>
      <c r="C337" s="120">
        <f t="array" ref="C337">IF(C319="","",INDEX([1]AB4!BF:BF,MATCH(A337,[1]AB4!B:B,0)))</f>
        <v>0.38540972222222225</v>
      </c>
      <c r="D337" s="60"/>
      <c r="E337" s="66"/>
      <c r="F337" s="60"/>
      <c r="G337" s="121"/>
      <c r="H337" s="102"/>
      <c r="I337" s="121"/>
      <c r="J337" s="122"/>
      <c r="K337" s="123" t="str">
        <f>IF(C319="","",[1]AB5!$L$22)</f>
        <v>Recalcuate : Short Entry : Bear / Bear CF</v>
      </c>
      <c r="L337" s="124"/>
      <c r="M337" s="124"/>
      <c r="N337" s="38"/>
      <c r="O337" s="123" t="str">
        <f>IF(C319="","",[1]AB5!$P$22)</f>
        <v>Wait Till Recalculation Time</v>
      </c>
      <c r="P337" s="38"/>
      <c r="Q337" s="125">
        <f>IF(C319="","",C333)</f>
        <v>0.38540972222222225</v>
      </c>
      <c r="R337" s="38"/>
      <c r="S337" s="126" t="str">
        <f>IF(C319="","",CONCATENATE(V337," ",[1]AB5!$Z$22," ",TEXT(W337,"0.00%")))</f>
        <v>09:14:59 AM LL - 0.10%</v>
      </c>
      <c r="T337" s="124"/>
      <c r="U337" s="38"/>
      <c r="V337" s="127" t="str">
        <f>IF(C319="","",CONCATENATE(TEXT(Q337,"HH:MM:SS AM/PM"),[1]AB5!$U$22))</f>
        <v>09:14:59 AM LL</v>
      </c>
      <c r="W337" s="128" t="str">
        <f t="array" ref="W337">IF(C319="","",TEXT(INDEX([1]AB4!BK:BK,MATCH(A328,[1]AB4!B:B,0)),"0.00%"))</f>
        <v>0.10%</v>
      </c>
      <c r="X337" s="41"/>
      <c r="Y337" s="129" t="str">
        <f>IF(C319="","",[1]AB5!$AA$22)</f>
        <v>This is Only Applicable for Same Day</v>
      </c>
      <c r="Z337" s="130"/>
      <c r="AA337" s="66"/>
      <c r="AB337" s="68"/>
      <c r="AC337" s="68"/>
    </row>
    <row r="338" spans="1:29" ht="6" customHeight="1" thickBot="1" x14ac:dyDescent="0.25">
      <c r="A338" s="18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</row>
    <row r="339" spans="1:29" ht="21.75" customHeight="1" thickBot="1" x14ac:dyDescent="0.25">
      <c r="A339" s="18"/>
      <c r="B339" s="69" t="str">
        <f>IF(C319="","",[1]AB5!$B$24)</f>
        <v>For TGT (Position = Open)</v>
      </c>
      <c r="C339" s="29"/>
      <c r="D339" s="132" t="str">
        <f>IF(C319="","",[1]AB5!$D$24)</f>
        <v>Gap Check</v>
      </c>
      <c r="E339" s="133"/>
      <c r="F339" s="132" t="str">
        <f>IF(C319="","",[1]AB5!$G$24)</f>
        <v>Process</v>
      </c>
      <c r="G339" s="133"/>
      <c r="H339" s="132" t="str">
        <f>IF(C319="","",[1]AB5!$I$24)</f>
        <v>Y / N</v>
      </c>
      <c r="I339" s="133"/>
      <c r="J339" s="134" t="str">
        <f>IF(C319="","",[1]AB5!$K$24)</f>
        <v>Status</v>
      </c>
      <c r="K339" s="135" t="str">
        <f>IF(C319="","",[1]AB5!$L$24)</f>
        <v>Step 1</v>
      </c>
      <c r="L339" s="136"/>
      <c r="M339" s="136"/>
      <c r="N339" s="133"/>
      <c r="O339" s="132" t="str">
        <f>IF(C319="","",[1]AB5!$P$24)</f>
        <v>Order Placement Timings</v>
      </c>
      <c r="P339" s="133"/>
      <c r="Q339" s="132" t="str">
        <f>IF(C319="","",[1]AB5!$R$24)</f>
        <v>Time</v>
      </c>
      <c r="R339" s="133"/>
      <c r="S339" s="135" t="str">
        <f>IF(C319="","",[1]AB5!$T$24)</f>
        <v>Rules For Gaps</v>
      </c>
      <c r="T339" s="136"/>
      <c r="U339" s="133"/>
      <c r="V339" s="134" t="str">
        <f>IF(C319="","",[1]AB5!$W$24)</f>
        <v>Data</v>
      </c>
      <c r="W339" s="132" t="str">
        <f>IF(C319="","",[1]AB5!$X$24)</f>
        <v>Buffer</v>
      </c>
      <c r="X339" s="133"/>
      <c r="Y339" s="135" t="str">
        <f>IF(C319="","",[1]AB5!$AA$16)</f>
        <v>Rules For Re Entry</v>
      </c>
      <c r="Z339" s="136"/>
      <c r="AA339" s="133"/>
      <c r="AB339" s="78"/>
      <c r="AC339" s="78"/>
    </row>
    <row r="340" spans="1:29" ht="24" customHeight="1" x14ac:dyDescent="0.2">
      <c r="A340" s="18" t="str">
        <f>IF(C319="","",CONCATENATE(C320,[1]AB5!$A$25))</f>
        <v>S10A</v>
      </c>
      <c r="B340" s="79" t="str">
        <f>IF(C319="","",[1]AB5!$B$25)</f>
        <v xml:space="preserve">ORPT </v>
      </c>
      <c r="C340" s="80" t="str">
        <f>IF(C319="","",[1]AB5!$C$25)</f>
        <v xml:space="preserve"> RC. Time</v>
      </c>
      <c r="D340" s="137" t="str">
        <f>IF(C319="","",[1]AB5!$D$25)</f>
        <v>For Long SL</v>
      </c>
      <c r="E340" s="59"/>
      <c r="F340" s="138" t="str">
        <f>IF(C319="","",CONCATENATE([1]AB5!$G$25,TEXT(B337,"HH:MM:SS AM/PM"),[1]AB5!$B$22,[1]AB5!$H$25))</f>
        <v>Check If 09:04:59 AM LL &lt; Long SL</v>
      </c>
      <c r="G340" s="76"/>
      <c r="H340" s="139" t="str">
        <f>IF(C319="","",[1]AB5!$I$25)</f>
        <v>No</v>
      </c>
      <c r="I340" s="27"/>
      <c r="J340" s="140" t="str">
        <f>IF(C319="","",[1]AB5!$K$25)</f>
        <v>FSL / TRP Not Missed</v>
      </c>
      <c r="K340" s="141" t="str">
        <f>IF(C319="","",[1]AB5!$L$25)</f>
        <v>Place the Order at ORPT</v>
      </c>
      <c r="L340" s="142"/>
      <c r="M340" s="142"/>
      <c r="N340" s="27"/>
      <c r="O340" s="141" t="str">
        <f>IF(C319="","",[1]AB5!$P$25)</f>
        <v>ORPT Time</v>
      </c>
      <c r="P340" s="27"/>
      <c r="Q340" s="143">
        <f>IF(C319="","",B337)</f>
        <v>0.37846527777777778</v>
      </c>
      <c r="R340" s="27"/>
      <c r="S340" s="141" t="str">
        <f>IF(C319="","",[1]AB5!$U$25)</f>
        <v>N.A.</v>
      </c>
      <c r="T340" s="142"/>
      <c r="U340" s="27"/>
      <c r="V340" s="140" t="str">
        <f>IF(C319="","",[1]AB5!$W$25)</f>
        <v>N.A.</v>
      </c>
      <c r="W340" s="144" t="str">
        <f>IF(C319="","",[1]AB5!$X$25)</f>
        <v>N.A.</v>
      </c>
      <c r="X340" s="29"/>
      <c r="Y340" s="117" t="str">
        <f>IF(C319="","",[1]AB5!$AA$25)</f>
        <v xml:space="preserve">Short Entry : Bull/ Bull CF : </v>
      </c>
      <c r="Z340" s="12"/>
      <c r="AA340" s="59"/>
      <c r="AB340" s="68"/>
      <c r="AC340" s="68"/>
    </row>
    <row r="341" spans="1:29" ht="24" customHeight="1" thickBot="1" x14ac:dyDescent="0.25">
      <c r="A341" s="18" t="str">
        <f>IF(C319="","",CONCATENATE(C320,[1]AB5!$A$26))</f>
        <v>S10B</v>
      </c>
      <c r="B341" s="119">
        <f t="array" ref="B341">IF(C319="","",INDEX([1]AB4!BG:BG,MATCH(A340,[1]AB4!B:B,0)))</f>
        <v>0.375</v>
      </c>
      <c r="C341" s="120" t="str">
        <f t="array" ref="C341">IF(C319="","",INDEX([1]AB4!BG:BG,MATCH(A341,[1]AB4!B:B,0)))</f>
        <v>N.A.</v>
      </c>
      <c r="D341" s="64"/>
      <c r="E341" s="59"/>
      <c r="F341" s="64"/>
      <c r="G341" s="12"/>
      <c r="H341" s="113" t="str">
        <f>IF(C319="","",[1]AB5!$I$26)</f>
        <v>Yes</v>
      </c>
      <c r="I341" s="83"/>
      <c r="J341" s="114" t="str">
        <f>IF(C319="","",[1]AB5!$K$26)</f>
        <v>FSL / TRP Missed</v>
      </c>
      <c r="K341" s="110" t="str">
        <f>IF(C319="","",[1]AB5!$L$26)</f>
        <v>Recalcuate : Long FSL / TRP : Bull / Bull CF</v>
      </c>
      <c r="L341" s="88"/>
      <c r="M341" s="88"/>
      <c r="N341" s="85"/>
      <c r="O341" s="110" t="str">
        <f>IF(C319="","",[1]AB5!$P$26)</f>
        <v>Wait Till Recalculation Time</v>
      </c>
      <c r="P341" s="85"/>
      <c r="Q341" s="111">
        <f>IF(C319="","",C337)</f>
        <v>0.38540972222222225</v>
      </c>
      <c r="R341" s="85"/>
      <c r="S341" s="110" t="str">
        <f>IF(C319="","",CONCATENATE(V341," ",[1]AB5!$Z$26," ",TEXT(W341,"0.00%")))</f>
        <v>09:14:59 AM LL - 0.10%</v>
      </c>
      <c r="T341" s="88"/>
      <c r="U341" s="85"/>
      <c r="V341" s="116" t="str">
        <f>IF(C319="","",CONCATENATE(TEXT(Q341,"HH:MM:SS AM/PM"),[1]AB5!$U$26))</f>
        <v>09:14:59 AM LL</v>
      </c>
      <c r="W341" s="112" t="str">
        <f t="array" ref="W341">IF(C319="","",TEXT(INDEX([1]AB4!BL:BL,MATCH(A320,[1]AB4!B:B,0)),"0.00%"))</f>
        <v>0.10%</v>
      </c>
      <c r="X341" s="91"/>
      <c r="Y341" s="145"/>
      <c r="Z341" s="145"/>
      <c r="AA341" s="104"/>
      <c r="AB341" s="68"/>
      <c r="AC341" s="68"/>
    </row>
    <row r="342" spans="1:29" ht="24" customHeight="1" x14ac:dyDescent="0.2">
      <c r="A342" s="18"/>
      <c r="B342" s="62" t="str">
        <f>IF(C319="","",[1]AB5!$B$27)</f>
        <v>I Commit To Follow The Rules &amp; Process</v>
      </c>
      <c r="C342" s="63"/>
      <c r="D342" s="64"/>
      <c r="E342" s="59"/>
      <c r="F342" s="64"/>
      <c r="G342" s="12"/>
      <c r="H342" s="48"/>
      <c r="I342" s="95"/>
      <c r="J342" s="146"/>
      <c r="K342" s="110" t="str">
        <f>IF(C319="","",[1]AB5!$L$27)</f>
        <v>Recalcuate : Long FSL / TRP : Bear / Bear CF</v>
      </c>
      <c r="L342" s="88"/>
      <c r="M342" s="88"/>
      <c r="N342" s="85"/>
      <c r="O342" s="110" t="str">
        <f>IF(C319="","",[1]AB5!$P$27)</f>
        <v>Wait Till Recalculation Time</v>
      </c>
      <c r="P342" s="85"/>
      <c r="Q342" s="111">
        <f>IF(C319="","",C337)</f>
        <v>0.38540972222222225</v>
      </c>
      <c r="R342" s="85"/>
      <c r="S342" s="110" t="str">
        <f>IF(C320="","",CONCATENATE(V342," ",[1]AB5!$Z$26," ",TEXT(W342,"0.00%")))</f>
        <v>09:14:59 AM LL - 0.10%</v>
      </c>
      <c r="T342" s="88"/>
      <c r="U342" s="85"/>
      <c r="V342" s="116" t="str">
        <f>IF(C319="","",CONCATENATE(TEXT(Q341,"HH:MM:SS AM/PM"),[1]AB5!$U$27))</f>
        <v>09:14:59 AM LL</v>
      </c>
      <c r="W342" s="112" t="str">
        <f t="array" ref="W342">IF(C319="","",TEXT(INDEX([1]AB4!BL:BL,MATCH(A320,[1]AB4!B:B,0)),"0.00%"))</f>
        <v>0.10%</v>
      </c>
      <c r="X342" s="91"/>
      <c r="Y342" s="147" t="str">
        <f>IF(C319="","",CONCATENATE([1]AB5!$T$28," ( ",G322," or ",[1]AB5!$AA$26," ",[1]AB5!$Z$28," ",TEXT(W343,"0.00%")," )"))</f>
        <v>Min ( FUT : PRV : 3DLL - 0.10% or  CDLL - 0.10% )</v>
      </c>
      <c r="Z342" s="148"/>
      <c r="AA342" s="63"/>
      <c r="AB342" s="68"/>
      <c r="AC342" s="68"/>
    </row>
    <row r="343" spans="1:29" ht="33" customHeight="1" x14ac:dyDescent="0.2">
      <c r="A343" s="18"/>
      <c r="B343" s="64"/>
      <c r="C343" s="59"/>
      <c r="D343" s="64"/>
      <c r="E343" s="59"/>
      <c r="F343" s="64"/>
      <c r="G343" s="12"/>
      <c r="H343" s="48"/>
      <c r="I343" s="95"/>
      <c r="J343" s="146"/>
      <c r="K343" s="110" t="str">
        <f>IF(C319="","",[1]AB5!$L$28)</f>
        <v>Recalcuate : Short Entry : Bull / Bull CF</v>
      </c>
      <c r="L343" s="88"/>
      <c r="M343" s="88"/>
      <c r="N343" s="85"/>
      <c r="O343" s="110" t="str">
        <f>IF(C319="","",[1]AB5!$P$28)</f>
        <v>Wait Till Recalculation Time</v>
      </c>
      <c r="P343" s="85"/>
      <c r="Q343" s="111">
        <f>IF(C319="","",C333)</f>
        <v>0.38540972222222225</v>
      </c>
      <c r="R343" s="85"/>
      <c r="S343" s="115" t="str">
        <f>IF(C319="","",CONCATENATE([1]AB5!$T$28," ( ",G322," or ",V343," ",[1]AB5!$Z$28," ",TEXT(W343,"0.00%")," )"))</f>
        <v>Min ( FUT : PRV : 3DLL - 0.10% or 09:14:59 AM LL - 0.10% )</v>
      </c>
      <c r="T343" s="88"/>
      <c r="U343" s="85"/>
      <c r="V343" s="116" t="str">
        <f>IF(C319="","",CONCATENATE(TEXT(Q343,"HH:MM:SS AM/PM"),[1]AB5!$U$28))</f>
        <v>09:14:59 AM LL</v>
      </c>
      <c r="W343" s="112" t="str">
        <f t="array" ref="W343">IF(C319="","",TEXT(INDEX([1]AB4!BK:BK,MATCH(A322,[1]AB4!B:B,0)),"0.00%"))</f>
        <v>0.10%</v>
      </c>
      <c r="X343" s="91"/>
      <c r="Y343" s="145"/>
      <c r="Z343" s="145"/>
      <c r="AA343" s="104"/>
      <c r="AB343" s="68"/>
      <c r="AC343" s="68"/>
    </row>
    <row r="344" spans="1:29" ht="33" customHeight="1" thickBot="1" x14ac:dyDescent="0.25">
      <c r="A344" s="18"/>
      <c r="B344" s="60"/>
      <c r="C344" s="66"/>
      <c r="D344" s="103"/>
      <c r="E344" s="104"/>
      <c r="F344" s="103"/>
      <c r="G344" s="145"/>
      <c r="H344" s="51"/>
      <c r="I344" s="105"/>
      <c r="J344" s="53"/>
      <c r="K344" s="110" t="str">
        <f>IF(C319="","",[1]AB5!$L$29)</f>
        <v>Recalcuate : Short Entry : Bear / Bear CF</v>
      </c>
      <c r="L344" s="88"/>
      <c r="M344" s="88"/>
      <c r="N344" s="85"/>
      <c r="O344" s="110" t="str">
        <f>IF(C319="","",[1]AB5!$P$29)</f>
        <v>Wait Till Recalculation Time</v>
      </c>
      <c r="P344" s="85"/>
      <c r="Q344" s="111">
        <f>IF(C319="","",C333)</f>
        <v>0.38540972222222225</v>
      </c>
      <c r="R344" s="85"/>
      <c r="S344" s="115" t="str">
        <f>IF(C319="","",CONCATENATE([1]AB5!$T$29," ( ",G328," or ",V344," ",[1]AB5!$Z$29," ",TEXT(W344,"0.00%")," )"))</f>
        <v>Min ( FUT : PRV : 2DLL - 0.00% or 09:14:59 AM LL - 0.10% )</v>
      </c>
      <c r="T344" s="88"/>
      <c r="U344" s="85"/>
      <c r="V344" s="116" t="str">
        <f>IF(C319="","",CONCATENATE(TEXT(Q344,"HH:MM:SS AM/PM"),[1]AB5!$U$29))</f>
        <v>09:14:59 AM LL</v>
      </c>
      <c r="W344" s="112" t="str">
        <f t="array" ref="W344">IF(C319="","",TEXT(INDEX([1]AB4!BK:BK,MATCH(A328,[1]AB4!B:B,0)),"0.00%"))</f>
        <v>0.10%</v>
      </c>
      <c r="X344" s="91"/>
      <c r="Y344" s="149" t="str">
        <f>IF(C319="","",[1]AB5!$AA$29)</f>
        <v xml:space="preserve">Short Entry : Bear/ Bear CF : </v>
      </c>
      <c r="Z344" s="88"/>
      <c r="AA344" s="91"/>
      <c r="AB344" s="68"/>
      <c r="AC344" s="68"/>
    </row>
    <row r="345" spans="1:29" ht="21.75" customHeight="1" x14ac:dyDescent="0.2">
      <c r="A345" s="18"/>
      <c r="B345" s="150" t="str">
        <f>IF(C319="","",IF([1]AB5!$B$12="","",[1]AB5!$B$30))</f>
        <v>By Asmita Patel.</v>
      </c>
      <c r="C345" s="71"/>
      <c r="D345" s="81" t="str">
        <f>IF(C319="","",[1]AB5!$D$30)</f>
        <v>For Short SL</v>
      </c>
      <c r="E345" s="63"/>
      <c r="F345" s="151" t="str">
        <f>IF(C319="","",CONCATENATE([1]AB5!$G$30,TEXT(B337,"HH:MM:SS AM/PM"),[1]AB5!$B$22,[1]AB5!$H$30))</f>
        <v>Check If 09:04:59 AM HH &gt; Short SL</v>
      </c>
      <c r="G345" s="83"/>
      <c r="H345" s="84" t="str">
        <f>IF(C319="","",[1]AB5!$I$30)</f>
        <v>No</v>
      </c>
      <c r="I345" s="85"/>
      <c r="J345" s="86" t="str">
        <f>IF(C319="","",[1]AB5!$K$30)</f>
        <v>FSL / TRP Not Missed</v>
      </c>
      <c r="K345" s="87" t="str">
        <f>IF(C319="","",[1]AB5!$L$30)</f>
        <v>Place the Order at ORPT</v>
      </c>
      <c r="L345" s="88"/>
      <c r="M345" s="88"/>
      <c r="N345" s="85"/>
      <c r="O345" s="87" t="str">
        <f>IF(C319="","",[1]AB5!$P$30)</f>
        <v>ORPT Time</v>
      </c>
      <c r="P345" s="85"/>
      <c r="Q345" s="89">
        <f>IF(C319="","",B337)</f>
        <v>0.37846527777777778</v>
      </c>
      <c r="R345" s="85"/>
      <c r="S345" s="87" t="str">
        <f>IF(C319="","",[1]AB5!$T$30)</f>
        <v>N.A.</v>
      </c>
      <c r="T345" s="88"/>
      <c r="U345" s="85"/>
      <c r="V345" s="86" t="str">
        <f>IF(C319="","",[1]AB5!$W$30)</f>
        <v>N.A.</v>
      </c>
      <c r="W345" s="90" t="str">
        <f>IF(C319="","",[1]AB5!$X$30)</f>
        <v>N.A.</v>
      </c>
      <c r="X345" s="91"/>
      <c r="Y345" s="147" t="str">
        <f>IF(C319="","",CONCATENATE([1]AB5!$T$29," ( ",G328," or ",[1]AB5!$AA$30," ",[1]AB5!$Z$29," ",TEXT(W344,"0.00%")," )"))</f>
        <v>Min ( FUT : PRV : 2DLL - 0.00% or  CDLL - 0.10% )</v>
      </c>
      <c r="Z345" s="148"/>
      <c r="AA345" s="63"/>
      <c r="AB345" s="68"/>
      <c r="AC345" s="68"/>
    </row>
    <row r="346" spans="1:29" ht="21.75" customHeight="1" x14ac:dyDescent="0.2">
      <c r="A346" s="152"/>
      <c r="B346" s="64"/>
      <c r="C346" s="59"/>
      <c r="D346" s="64"/>
      <c r="E346" s="59"/>
      <c r="F346" s="64"/>
      <c r="G346" s="95"/>
      <c r="H346" s="96" t="str">
        <f>IF(C319="","",[1]AB5!$I$31)</f>
        <v>Yes</v>
      </c>
      <c r="I346" s="83"/>
      <c r="J346" s="97" t="str">
        <f>IF(C319="","",[1]AB5!$K$31)</f>
        <v>FSL / TRP Missed</v>
      </c>
      <c r="K346" s="87" t="str">
        <f>IF(C319="","",[1]AB5!$L$31)</f>
        <v>Recalcuate : Short FSL / TRP : Bull / Bull CF</v>
      </c>
      <c r="L346" s="88"/>
      <c r="M346" s="88"/>
      <c r="N346" s="85"/>
      <c r="O346" s="87" t="str">
        <f>IF(C319="","",[1]AB5!$P$31)</f>
        <v>Wait Till Recalculation Time</v>
      </c>
      <c r="P346" s="85"/>
      <c r="Q346" s="89">
        <f>IF(C319="","",C337)</f>
        <v>0.38540972222222225</v>
      </c>
      <c r="R346" s="85"/>
      <c r="S346" s="87" t="str">
        <f>IF(C319="","",CONCATENATE(V346," ",[1]AB5!$Z$31," ",TEXT(W346,"0.00%")))</f>
        <v>09:14:59 AM HH + 0.10%</v>
      </c>
      <c r="T346" s="88"/>
      <c r="U346" s="85"/>
      <c r="V346" s="153" t="str">
        <f>IF(C319="","",CONCATENATE(TEXT(Q346,"HH:MM:SS AM/PM"),[1]AB5!$U$31))</f>
        <v>09:14:59 AM HH</v>
      </c>
      <c r="W346" s="90" t="str">
        <f t="array" ref="W346">IF(C319="","",TEXT(INDEX([1]AB4!BL:BL,MATCH(A328,[1]AB4!B:B,0)),"0.00%"))</f>
        <v>0.10%</v>
      </c>
      <c r="X346" s="91"/>
      <c r="Y346" s="12"/>
      <c r="Z346" s="12"/>
      <c r="AA346" s="59"/>
      <c r="AB346" s="68"/>
      <c r="AC346" s="68"/>
    </row>
    <row r="347" spans="1:29" ht="22.5" customHeight="1" x14ac:dyDescent="0.2">
      <c r="A347" s="152"/>
      <c r="B347" s="64"/>
      <c r="C347" s="59"/>
      <c r="D347" s="64"/>
      <c r="E347" s="59"/>
      <c r="F347" s="64"/>
      <c r="G347" s="95"/>
      <c r="H347" s="48"/>
      <c r="I347" s="95"/>
      <c r="J347" s="146"/>
      <c r="K347" s="87" t="str">
        <f>IF(C319="","",[1]AB5!$L$32)</f>
        <v>Recalcuate : Short FSL / TRP : Bear / Bear CF</v>
      </c>
      <c r="L347" s="88"/>
      <c r="M347" s="88"/>
      <c r="N347" s="85"/>
      <c r="O347" s="87" t="str">
        <f>IF(C319="","",[1]AB5!$P$32)</f>
        <v>Wait Till Recalculation Time</v>
      </c>
      <c r="P347" s="85"/>
      <c r="Q347" s="89">
        <f>IF(C319="","",C337)</f>
        <v>0.38540972222222225</v>
      </c>
      <c r="R347" s="85"/>
      <c r="S347" s="87" t="str">
        <f>IF(C320="","",CONCATENATE(V347," ",[1]AB5!$Z$31," ",TEXT(W347,"0.00%")))</f>
        <v>09:14:59 AM HH + 0.10%</v>
      </c>
      <c r="T347" s="88"/>
      <c r="U347" s="85"/>
      <c r="V347" s="153" t="str">
        <f>IF(C319="","",CONCATENATE(TEXT(Q346,"HH:MM:SS AM/PM"),[1]AB5!$U$32))</f>
        <v>09:14:59 AM HH</v>
      </c>
      <c r="W347" s="90" t="str">
        <f t="array" ref="W347">IF(C319="","",TEXT(INDEX([1]AB4!BL:BL,MATCH(A328,[1]AB4!B:B,0)),"0.00%"))</f>
        <v>0.10%</v>
      </c>
      <c r="X347" s="91"/>
      <c r="Y347" s="145"/>
      <c r="Z347" s="145"/>
      <c r="AA347" s="104"/>
      <c r="AB347" s="68"/>
      <c r="AC347" s="68"/>
    </row>
    <row r="348" spans="1:29" ht="33" customHeight="1" x14ac:dyDescent="0.2">
      <c r="A348" s="152"/>
      <c r="B348" s="64"/>
      <c r="C348" s="59"/>
      <c r="D348" s="64"/>
      <c r="E348" s="59"/>
      <c r="F348" s="64"/>
      <c r="G348" s="95"/>
      <c r="H348" s="48"/>
      <c r="I348" s="95"/>
      <c r="J348" s="146"/>
      <c r="K348" s="87" t="str">
        <f>IF(C319="","",[1]AB5!$L$33)</f>
        <v>Recalcuate : Long Entry : Bull / Bull CF</v>
      </c>
      <c r="L348" s="88"/>
      <c r="M348" s="88"/>
      <c r="N348" s="85"/>
      <c r="O348" s="87" t="str">
        <f>IF(C319="","",[1]AB5!$P$33)</f>
        <v>Wait Till Recalculation Time</v>
      </c>
      <c r="P348" s="85"/>
      <c r="Q348" s="89">
        <f>IF(C319="","",C333)</f>
        <v>0.38540972222222225</v>
      </c>
      <c r="R348" s="85"/>
      <c r="S348" s="98" t="str">
        <f>IF(C319="","",CONCATENATE([1]AB5!$T$33," ( ",G319," or ",V348," ",[1]AB5!$Z$33," ",TEXT(W348,"0.00%")," )"))</f>
        <v>Max ( FUT : PRV : 2DHH + 0.00% or 09:14:59 AM HH + 0.10% )</v>
      </c>
      <c r="T348" s="88"/>
      <c r="U348" s="85"/>
      <c r="V348" s="99" t="str">
        <f>IF(C319="","",CONCATENATE(TEXT(Q348,"HH:MM:SS AM/PM"),[1]AB5!$U$33))</f>
        <v>09:14:59 AM HH</v>
      </c>
      <c r="W348" s="90" t="str">
        <f t="array" ref="W348">IF(C319="","",TEXT(INDEX([1]AB4!BK:BK,MATCH(A319,[1]AB4!B:B,0)),"0.00%"))</f>
        <v>0.10%</v>
      </c>
      <c r="X348" s="91"/>
      <c r="Y348" s="117" t="str">
        <f>IF(C319="","",[1]AB5!$AA$33)</f>
        <v>When Your Short Position is Exited</v>
      </c>
      <c r="Z348" s="118"/>
      <c r="AA348" s="59"/>
      <c r="AB348" s="68"/>
      <c r="AC348" s="68"/>
    </row>
    <row r="349" spans="1:29" ht="33" customHeight="1" thickBot="1" x14ac:dyDescent="0.25">
      <c r="A349" s="152"/>
      <c r="B349" s="60"/>
      <c r="C349" s="66"/>
      <c r="D349" s="60"/>
      <c r="E349" s="66"/>
      <c r="F349" s="60"/>
      <c r="G349" s="121"/>
      <c r="H349" s="102"/>
      <c r="I349" s="121"/>
      <c r="J349" s="122"/>
      <c r="K349" s="154" t="str">
        <f>IF(C319="","",[1]AB5!$L$34)</f>
        <v>Recalcuate : Long Entry : Bear / Bear CF</v>
      </c>
      <c r="L349" s="124"/>
      <c r="M349" s="124"/>
      <c r="N349" s="38"/>
      <c r="O349" s="154" t="str">
        <f>IF(C319="","",[1]AB5!$P$34)</f>
        <v>Wait Till Recalculation Time</v>
      </c>
      <c r="P349" s="38"/>
      <c r="Q349" s="155">
        <f>IF(C319="","",C333)</f>
        <v>0.38540972222222225</v>
      </c>
      <c r="R349" s="38"/>
      <c r="S349" s="156" t="str">
        <f>IF(C319="","",CONCATENATE([1]AB5!$T$34," ( ",G325," or ",V349," ",[1]AB5!$Z$34," ",TEXT(W349,"0.00%")," )"))</f>
        <v>Max ( FUT : PRV : 3DHH + 0.10% or 09:14:59 AM HH + 0.10% )</v>
      </c>
      <c r="T349" s="124"/>
      <c r="U349" s="38"/>
      <c r="V349" s="157" t="str">
        <f>IF(C319="","",CONCATENATE(TEXT(Q349,"HH:MM:SS AM/PM"),[1]AB5!$U$34))</f>
        <v>09:14:59 AM HH</v>
      </c>
      <c r="W349" s="158" t="str">
        <f t="array" ref="W349">IF(C319="","",TEXT(INDEX([1]AB4!BK:BK,MATCH(A325,[1]AB4!B:B,0)),"0.00%"))</f>
        <v>0.10%</v>
      </c>
      <c r="X349" s="41"/>
      <c r="Y349" s="117" t="str">
        <f>IF(C319="","",[1]AB5!$AA$34)</f>
        <v>This is Only Applicable for Same Day</v>
      </c>
      <c r="Z349" s="118"/>
      <c r="AA349" s="59"/>
      <c r="AB349" s="68"/>
      <c r="AC349" s="68"/>
    </row>
    <row r="350" spans="1:29" ht="21.75" customHeight="1" thickBot="1" x14ac:dyDescent="0.25">
      <c r="A350" s="152"/>
      <c r="B350" s="69" t="str">
        <f>IF(C319="","",[1]AB5!$B$35)</f>
        <v>For Missed SL (Position = Open)</v>
      </c>
      <c r="C350" s="29"/>
      <c r="D350" s="70" t="str">
        <f>IF(C319="","",[1]AB5!$D$36)</f>
        <v>Note: ( Optional )</v>
      </c>
      <c r="E350" s="71"/>
      <c r="F350" s="159" t="str">
        <f>IF(C319="","",[1]AB5!$I$35)</f>
        <v>For Long SL</v>
      </c>
      <c r="G350" s="136"/>
      <c r="H350" s="136"/>
      <c r="I350" s="136"/>
      <c r="J350" s="136"/>
      <c r="K350" s="136"/>
      <c r="L350" s="136"/>
      <c r="M350" s="136"/>
      <c r="N350" s="136"/>
      <c r="O350" s="136"/>
      <c r="P350" s="133"/>
      <c r="Q350" s="159" t="str">
        <f>IF(N319="","",[1]AB5!$T$35)</f>
        <v>For Short SL</v>
      </c>
      <c r="R350" s="136"/>
      <c r="S350" s="136"/>
      <c r="T350" s="136"/>
      <c r="U350" s="136"/>
      <c r="V350" s="136"/>
      <c r="W350" s="136"/>
      <c r="X350" s="136"/>
      <c r="Y350" s="136"/>
      <c r="Z350" s="136"/>
      <c r="AA350" s="133"/>
      <c r="AB350" s="68"/>
      <c r="AC350" s="68"/>
    </row>
    <row r="351" spans="1:29" ht="36" customHeight="1" x14ac:dyDescent="0.2">
      <c r="A351" s="152"/>
      <c r="B351" s="160" t="str">
        <f>IF(C319="","",[1]AB5!$B$36)</f>
        <v>Check time</v>
      </c>
      <c r="C351" s="91"/>
      <c r="D351" s="64"/>
      <c r="E351" s="59"/>
      <c r="F351" s="161" t="str">
        <f>IF(C319="","",CONCATENATE([1]AB5!$G$36,TEXT(B352,"HH:MM:SS AM/PM"),[1]AB5!$B$37,[1]AB5!$H$36))</f>
        <v>Check If Close at 11:00:00 PM  &lt; Long Original SL</v>
      </c>
      <c r="G351" s="85"/>
      <c r="H351" s="162" t="str">
        <f>IF(C319="","",[1]AB5!$I$36)</f>
        <v>Yes</v>
      </c>
      <c r="I351" s="105"/>
      <c r="J351" s="163" t="str">
        <f>IF(C319="","",CONCATENATE([1]AB5!$K$36,TEXT(B352,"HH:MM:SS AM/PM")))</f>
        <v xml:space="preserve"> Then Square Off The Position At CMP at 11:00:00 PM</v>
      </c>
      <c r="K351" s="145"/>
      <c r="L351" s="145"/>
      <c r="M351" s="145"/>
      <c r="N351" s="145"/>
      <c r="O351" s="145"/>
      <c r="P351" s="104"/>
      <c r="Q351" s="164" t="str">
        <f>IF(C319="","",CONCATENATE([1]AB5!$T$36,TEXT(B352,"HH:MM:SS AM/PM"),[1]AB5!$B$37,[1]AB5!$U$36))</f>
        <v>Check If Close at 11:00:00 PM  &gt; Short Original SL</v>
      </c>
      <c r="R351" s="145"/>
      <c r="S351" s="105"/>
      <c r="T351" s="165" t="str">
        <f>IF(C319="","",[1]AB5!$I$36)</f>
        <v>Yes</v>
      </c>
      <c r="U351" s="166" t="str">
        <f>IF(C319="","",CONCATENATE([1]AB5!$W$36,TEXT(B352,"HH:MM:SS AM/PM")))</f>
        <v xml:space="preserve"> Then Square Off The Position At CMP at 11:00:00 PM</v>
      </c>
      <c r="V351" s="145"/>
      <c r="W351" s="145"/>
      <c r="X351" s="145"/>
      <c r="Y351" s="145"/>
      <c r="Z351" s="145"/>
      <c r="AA351" s="104"/>
      <c r="AB351" s="68"/>
      <c r="AC351" s="167"/>
    </row>
    <row r="352" spans="1:29" ht="36" customHeight="1" thickBot="1" x14ac:dyDescent="0.25">
      <c r="A352" s="152"/>
      <c r="B352" s="168">
        <f t="array" ref="B352">IF(C319="","",INDEX([1]AB4!CU:CU,MATCH(A340,[1]AB4!B:B,0)))</f>
        <v>0.95833333333333326</v>
      </c>
      <c r="C352" s="41"/>
      <c r="D352" s="60"/>
      <c r="E352" s="66"/>
      <c r="F352" s="169" t="str">
        <f>IF(C319="","",CONCATENATE([1]AB5!$G$37,TEXT(B352,"HH:MM:SS AM/PM"),[1]AB5!$B$37,[1]AB5!$H$37))</f>
        <v>Check If Close at 11:00:00 PM  &gt; Long Original SL</v>
      </c>
      <c r="G352" s="38"/>
      <c r="H352" s="170" t="str">
        <f>IF(C319="","",[1]AB5!$I$37)</f>
        <v>Yes</v>
      </c>
      <c r="I352" s="38"/>
      <c r="J352" s="156" t="str">
        <f>IF(C319="","",CONCATENATE([1]AB5!$K$37))</f>
        <v xml:space="preserve"> Then Continue the Position for Next Day And Calculate Stop Loss Price as per the Rules</v>
      </c>
      <c r="K352" s="124"/>
      <c r="L352" s="124"/>
      <c r="M352" s="124"/>
      <c r="N352" s="124"/>
      <c r="O352" s="124"/>
      <c r="P352" s="41"/>
      <c r="Q352" s="169" t="str">
        <f>IF(C319="","",CONCATENATE([1]AB5!$T$37,TEXT(B352,"HH:MM:SS AM/PM"),[1]AB5!$B$37,[1]AB5!$U$37))</f>
        <v>Check If Close at 11:00:00 PM  &lt; Short Original SL</v>
      </c>
      <c r="R352" s="124"/>
      <c r="S352" s="38"/>
      <c r="T352" s="171" t="str">
        <f>IF(C320="","",[1]AB5!$I$36)</f>
        <v>Yes</v>
      </c>
      <c r="U352" s="156" t="str">
        <f>IF(C319="","",CONCATENATE([1]AB5!$W$37))</f>
        <v xml:space="preserve"> Then Continue the Position for Next Day And Calculate Stop Loss Price as per the Rules</v>
      </c>
      <c r="V352" s="124"/>
      <c r="W352" s="124"/>
      <c r="X352" s="124"/>
      <c r="Y352" s="124"/>
      <c r="Z352" s="124"/>
      <c r="AA352" s="41"/>
      <c r="AB352" s="68"/>
      <c r="AC352" s="167"/>
    </row>
    <row r="353" spans="1:29" ht="15.75" customHeight="1" thickBot="1" x14ac:dyDescent="0.25">
      <c r="A353" s="177"/>
    </row>
    <row r="354" spans="1:29" ht="30.75" customHeight="1" x14ac:dyDescent="0.2">
      <c r="A354" s="18" t="str">
        <f>IF(C354="","",CONCATENATE(C355,[1]AB5!$A$4))</f>
        <v>S11A</v>
      </c>
      <c r="B354" s="20" t="str">
        <f>IF(C354="","",IF([1]AB5!$B$4="","",[1]AB5!$B$4))</f>
        <v>Sr. No.</v>
      </c>
      <c r="C354" s="172">
        <v>11</v>
      </c>
      <c r="D354" s="173" t="str">
        <f>IF(C354="","",[1]AB5!$D$4)</f>
        <v>BULL / BULL CF</v>
      </c>
      <c r="E354" s="57" t="str">
        <f>IF(C354="","",[1]AB5!$F$4)</f>
        <v>BUY</v>
      </c>
      <c r="F354" s="58" t="str">
        <f>IF(C354="","",[1]AB5!$G$4)</f>
        <v>E &amp; T</v>
      </c>
      <c r="G354" s="25" t="str">
        <f t="array" ref="G354">IF(C354="","",CONCATENATE(INDEX([1]AB4!G:G,MATCH(A354,[1]AB4!B:B,0)),INDEX([1]AB4!H:H,MATCH(A354,[1]AB4!B:B,0)),TEXT(INDEX([1]AB4!I:I,MATCH(A354,[1]AB4!B:B,0)),"0.00%")))</f>
        <v>FUT : PRV : 3DHH + 0.10%</v>
      </c>
      <c r="H354" s="26">
        <f t="array" ref="H354">IF(C354="","",INDEX([1]AB4!J:J,MATCH(A354,[1]AB4!B:B,0)))</f>
        <v>5</v>
      </c>
      <c r="I354" s="27"/>
      <c r="J354" s="28" t="str">
        <f t="array" ref="J354">IF(C354="","",CONCATENATE(INDEX([1]AB4!L:L,MATCH(A354,[1]AB4!B:B,0)),INDEX([1]AB4!M:M,MATCH(A354,[1]AB4!B:B,0)),TEXT(INDEX([1]AB4!N:N,MATCH(A354,[1]AB4!B:B,0)),"0.00%")))</f>
        <v>L : Entry  + 1.00%</v>
      </c>
      <c r="K354" s="26">
        <f t="array" ref="K354">IF(C354="","",INDEX([1]AB4!O:O,MATCH(A354,[1]AB4!B:B,0)))</f>
        <v>1</v>
      </c>
      <c r="L354" s="27"/>
      <c r="M354" s="28" t="str">
        <f t="array" ref="M354">IF(C354="","",CONCATENATE(INDEX([1]AB4!L:L,MATCH(A354,[1]AB4!B:B,0)),INDEX([1]AB4!M:M,MATCH(A354,[1]AB4!B:B,0)),TEXT(INDEX([1]AB4!P:P,MATCH(A354,[1]AB4!B:B,0)),"0.00%")))</f>
        <v>L : Entry  + 1.50%</v>
      </c>
      <c r="N354" s="26">
        <f t="array" ref="N354">IF(C354="","",INDEX([1]AB4!Q:Q,MATCH(A354,[1]AB4!B:B,0)))</f>
        <v>1</v>
      </c>
      <c r="O354" s="27"/>
      <c r="P354" s="28" t="str">
        <f t="array" ref="P354">IF(C354="","",CONCATENATE(INDEX([1]AB4!L:L,MATCH(A354,[1]AB4!B:B,0)),INDEX([1]AB4!M:M,MATCH(A354,[1]AB4!B:B,0)),TEXT(INDEX([1]AB4!R:R,MATCH(A354,[1]AB4!B:B,0)),"0.00%")))</f>
        <v>L : Entry  + 2.00%</v>
      </c>
      <c r="Q354" s="26">
        <f t="array" ref="Q354">IF(C354="","",INDEX([1]AB4!S:S,MATCH(A354,[1]AB4!B:B,0)))</f>
        <v>1</v>
      </c>
      <c r="R354" s="27"/>
      <c r="S354" s="28" t="str">
        <f t="array" ref="S354">IF(C354="","",CONCATENATE(INDEX([1]AB4!L:L,MATCH(A354,[1]AB4!B:B,0)),INDEX([1]AB4!M:M,MATCH(A354,[1]AB4!B:B,0)),TEXT(INDEX([1]AB4!T:T,MATCH(A354,[1]AB4!B:B,0)),"0.00%")))</f>
        <v>L : Entry  + 2.50%</v>
      </c>
      <c r="T354" s="26">
        <f t="array" ref="T354">IF(C354="","",INDEX([1]AB4!U:U,MATCH(A354,[1]AB4!B:B,0)))</f>
        <v>1</v>
      </c>
      <c r="U354" s="27"/>
      <c r="V354" s="28" t="str">
        <f t="array" ref="V354">IF(C354="","",INDEX([1]AB4!V:V,MATCH(A354,[1]AB4!B:B,0)))</f>
        <v>TR PROFIT AFTER TGT 4</v>
      </c>
      <c r="W354" s="26">
        <f t="array" ref="W354">IF(C354="","",INDEX([1]AB4!W:W,MATCH(A354,[1]AB4!B:B,0)))</f>
        <v>1</v>
      </c>
      <c r="X354" s="27"/>
      <c r="Y354" s="28" t="str">
        <f t="array" ref="Y354">IF(C354="","",INDEX([1]AB4!X:X,MATCH(A354,[1]AB4!B:B,0)))</f>
        <v>N.A.</v>
      </c>
      <c r="Z354" s="26" t="str">
        <f t="array" ref="Z354">IF(C354="","",INDEX([1]AB4!Y:Y,MATCH(A354,[1]AB4!B:B,0)))</f>
        <v>N.A.</v>
      </c>
      <c r="AA354" s="29"/>
      <c r="AB354" s="30"/>
      <c r="AC354" s="30"/>
    </row>
    <row r="355" spans="1:29" ht="44.25" customHeight="1" thickBot="1" x14ac:dyDescent="0.25">
      <c r="A355" s="18" t="str">
        <f>IF(C354="","",CONCATENATE(C355,[1]AB5!$A$5))</f>
        <v>S11A</v>
      </c>
      <c r="B355" s="31" t="str">
        <f>IF(C354="","",IF([1]AB5!$B$5="","",[1]AB5!$B$5))</f>
        <v>Strategy Code</v>
      </c>
      <c r="C355" s="54" t="str">
        <f t="array" ref="C355">IF(C354="","",INDEX([1]AB2!B:B,MATCH(C354,[1]AB2!A:A,0)))</f>
        <v>S11</v>
      </c>
      <c r="D355" s="59"/>
      <c r="E355" s="60"/>
      <c r="F355" s="61" t="str">
        <f>IF(C354="","",[1]AB5!$G$5)</f>
        <v>SL / TRP</v>
      </c>
      <c r="G355" s="36" t="str">
        <f t="array" ref="G355">IF(C354="","",CONCATENATE(INDEX([1]AB4!AA:AA,MATCH(A355,[1]AB4!B:B,0))," ( ",INDEX([1]AB4!AE:AE,MATCH(A355,[1]AB4!B:B,0)),INDEX([1]AB4!AF:AF,MATCH(A355,[1]AB4!B:B,0)),TEXT(INDEX([1]AB4!AG:AG,MATCH(A355,[1]AB4!B:B,0)),"0.00%")," or ",INDEX([1]AB4!AK:AK,MATCH(A355,[1]AB4!B:B,0)),INDEX([1]AB4!AJ:AJ,MATCH(A355,[1]AB4!B:B,0)),TEXT(INDEX([1]AB4!AL:AL,MATCH(A355,[1]AB4!B:B,0)),"0.00%")," )"))</f>
        <v>Max ( L : Entry - 1.00% or FUT : PRV : 3DLL - 0.10% )</v>
      </c>
      <c r="H355" s="37">
        <f t="array" ref="H355">IF(C355="","",INDEX([1]AB4!AM:AM,MATCH(A355,[1]AB4!B:B,0)))</f>
        <v>5</v>
      </c>
      <c r="I355" s="38"/>
      <c r="J355" s="36" t="str">
        <f t="array" ref="J355">IF(C354="","",CONCATENATE(INDEX([1]AB4!AA:AA,MATCH(A355,[1]AB4!B:B,0))," ( ",INDEX([1]AB4!AE:AE,MATCH(A355,[1]AB4!B:B,0))," or ",INDEX([1]AB4!AN:AN,MATCH(A355,[1]AB4!B:B,0)),INDEX([1]AB4!AJ:AJ,MATCH(A355,[1]AB4!B:B,0)),TEXT(INDEX([1]AB4!AO:AO,MATCH(A355,[1]AB4!B:B,0)),"0.00%")," )"))</f>
        <v>Max ( L : Entry or FUT : PRV : 3DLL - 0.10% )</v>
      </c>
      <c r="K355" s="37">
        <f t="array" ref="K355">IF(C354="","",INDEX([1]AB4!AP:AP,MATCH(A355,[1]AB4!B:B,0)))</f>
        <v>4</v>
      </c>
      <c r="L355" s="38"/>
      <c r="M355" s="36" t="str">
        <f t="array" ref="M355">IF(C354="","",CONCATENATE(INDEX([1]AB4!AA:AA,MATCH(A355,[1]AB4!B:B,0))," ( ",INDEX([1]AB4!AE:AE,MATCH(A355,[1]AB4!B:B,0))," or ",INDEX([1]AB4!AQ:AQ,MATCH(A355,[1]AB4!B:B,0)),INDEX([1]AB4!AJ:AJ,MATCH(A355,[1]AB4!B:B,0)),TEXT(INDEX([1]AB4!AR:AR,MATCH(A355,[1]AB4!B:B,0)),"0.00%")," )"))</f>
        <v>Max ( L : Entry or FUT : PRV : 3DLL - 0.10% )</v>
      </c>
      <c r="N355" s="37">
        <f t="array" ref="N355">IF(C355="","",INDEX([1]AB4!AS:AS,MATCH(A355,[1]AB4!B:B,0)))</f>
        <v>3</v>
      </c>
      <c r="O355" s="38"/>
      <c r="P355" s="36" t="str">
        <f t="array" ref="P355">IF(C354="","",CONCATENATE(INDEX([1]AB4!AA:AA,MATCH(A355,[1]AB4!B:B,0))," ( ",INDEX([1]AB4!AE:AE,MATCH(A355,[1]AB4!B:B,0))," or ",INDEX([1]AB4!AT:AT,MATCH(A355,[1]AB4!B:B,0)),INDEX([1]AB4!AJ:AJ,MATCH(A355,[1]AB4!B:B,0)),TEXT(INDEX([1]AB4!AU:AU,MATCH(A355,[1]AB4!B:B,0)),"0.00%")," )"))</f>
        <v>Max ( L : Entry or FUT : PRV : 3DLL - 0.10% )</v>
      </c>
      <c r="Q355" s="37">
        <f t="array" ref="Q355">IF(C355="","",INDEX([1]AB4!AV:AV,MATCH(A355,[1]AB4!B:B,0)))</f>
        <v>2</v>
      </c>
      <c r="R355" s="38"/>
      <c r="S355" s="36" t="str">
        <f t="array" ref="S355">IF(C354="","",CONCATENATE(INDEX([1]AB4!AA:AA,MATCH(A355,[1]AB4!B:B,0))," ( ",INDEX([1]AB4!AE:AE,MATCH(A355,[1]AB4!B:B,0))," or ",INDEX([1]AB4!AW:AW,MATCH(A355,[1]AB4!B:B,0)),INDEX([1]AB4!AJ:AJ,MATCH(A355,[1]AB4!B:B,0)),TEXT(INDEX([1]AB4!AX:AX,MATCH(A355,[1]AB4!B:B,0)),"0.00%")," )"))</f>
        <v>Max ( L : Entry or FUT : PRV : 3DLL - 0.10% )</v>
      </c>
      <c r="T355" s="37">
        <f t="array" ref="T355">IF(C354="","",INDEX([1]AB4!AY:AY,MATCH(A355,[1]AB4!B:B,0)))</f>
        <v>1</v>
      </c>
      <c r="U355" s="38"/>
      <c r="V355" s="36" t="str">
        <f t="array" ref="V355">IF(C354="","",CONCATENATE(INDEX([1]AB4!AA:AA,MATCH(A355,[1]AB4!B:B,0))," ( ",INDEX([1]AB4!AE:AE,MATCH(A355,[1]AB4!B:B,0))," or ",INDEX([1]AB4!AW:AW,MATCH(A355,[1]AB4!B:B,0)),INDEX([1]AB4!AJ:AJ,MATCH(A355,[1]AB4!B:B,0)),TEXT(INDEX([1]AB4!AX:AX,MATCH(A355,[1]AB4!B:B,0)),"0.00%")," )"))</f>
        <v>Max ( L : Entry or FUT : PRV : 3DLL - 0.10% )</v>
      </c>
      <c r="W355" s="37">
        <f t="array" ref="W355">IF(C354="","",INDEX([1]AB4!AY:AY,MATCH(A355,[1]AB4!B:B,0)))</f>
        <v>1</v>
      </c>
      <c r="X355" s="38"/>
      <c r="Y355" s="40">
        <f t="array" ref="Y355">IF(C354="","",INDEX([1]AB4!AZ:AZ,MATCH(A355,[1]AB4!B:B,0)))</f>
        <v>0</v>
      </c>
      <c r="Z355" s="37">
        <f t="array" ref="Z355">IF(C354="","",INDEX([1]AB4!BB:BB,MATCH(A355,[1]AB4!B:B,0)))</f>
        <v>0</v>
      </c>
      <c r="AA355" s="41"/>
      <c r="AB355" s="30"/>
      <c r="AC355" s="30"/>
    </row>
    <row r="356" spans="1:29" ht="6" customHeight="1" thickBot="1" x14ac:dyDescent="0.25">
      <c r="A356" s="18" t="str">
        <f>IF(C354="","",CONCATENATE(C355,[1]AB5!A366))</f>
        <v>S11</v>
      </c>
      <c r="B356" s="42" t="str">
        <f>IF(C354="","",IF([1]AB5!$B$6="","",[1]AB5!$B$6))</f>
        <v>Unique Code</v>
      </c>
      <c r="C356" s="174" t="str">
        <f t="array" ref="C356">IF(C354="","",INDEX([1]AB2!N:N,MATCH(C354,[1]AB2!A:A,0)))</f>
        <v>GOLDM_FUT_MT_SAME_3D_3D</v>
      </c>
      <c r="D356" s="59"/>
      <c r="E356" s="44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6"/>
      <c r="AB356" s="30"/>
      <c r="AC356" s="30"/>
    </row>
    <row r="357" spans="1:29" ht="30.75" customHeight="1" x14ac:dyDescent="0.2">
      <c r="A357" s="18" t="str">
        <f>IF(C354="","",CONCATENATE(C355,[1]AB5!$A$7))</f>
        <v>S11B</v>
      </c>
      <c r="B357" s="47"/>
      <c r="C357" s="175"/>
      <c r="D357" s="59"/>
      <c r="E357" s="65" t="str">
        <f>IF(C354="","",[1]AB5!$F$7)</f>
        <v>SELL</v>
      </c>
      <c r="F357" s="58" t="str">
        <f>IF(C354="","",[1]AB5!$G$7)</f>
        <v>E &amp; T</v>
      </c>
      <c r="G357" s="25" t="str">
        <f t="array" ref="G357">IF(C354="","",CONCATENATE(INDEX([1]AB4!G:G,MATCH(A357,[1]AB4!B:B,0)),INDEX([1]AB4!H:H,MATCH(A357,[1]AB4!B:B,0)),TEXT(INDEX([1]AB4!I:I,MATCH(A357,[1]AB4!B:B,0)),"0.00%")))</f>
        <v>FUT : PRV : 3DLL - 0.10%</v>
      </c>
      <c r="H357" s="26">
        <f t="array" ref="H357">IF(C354="","",INDEX([1]AB4!J:J,MATCH(A357,[1]AB4!B:B,0)))</f>
        <v>5</v>
      </c>
      <c r="I357" s="27"/>
      <c r="J357" s="28" t="str">
        <f t="array" ref="J357">IF(C354="","",CONCATENATE(INDEX([1]AB4!L:L,MATCH(A357,[1]AB4!B:B,0)),INDEX([1]AB4!M:M,MATCH(A357,[1]AB4!B:B,0)),TEXT(INDEX([1]AB4!N:N,MATCH(A357,[1]AB4!B:B,0)),"0.00%")))</f>
        <v>S : Entry  - 1.00%</v>
      </c>
      <c r="K357" s="26">
        <f t="array" ref="K357">IF(C354="","",INDEX([1]AB4!O:O,MATCH(A357,[1]AB4!B:B,0)))</f>
        <v>1</v>
      </c>
      <c r="L357" s="27"/>
      <c r="M357" s="28" t="str">
        <f t="array" ref="M357">IF(C354="","",CONCATENATE(INDEX([1]AB4!L:L,MATCH(A357,[1]AB4!B:B,0)),INDEX([1]AB4!M:M,MATCH(A357,[1]AB4!B:B,0)),TEXT(INDEX([1]AB4!P:P,MATCH(A357,[1]AB4!B:B,0)),"0.00%")))</f>
        <v>S : Entry  - 1.50%</v>
      </c>
      <c r="N357" s="26">
        <f t="array" ref="N357">IF(C354="","",INDEX([1]AB4!Q:Q,MATCH(A357,[1]AB4!B:B,0)))</f>
        <v>1</v>
      </c>
      <c r="O357" s="27"/>
      <c r="P357" s="28" t="str">
        <f t="array" ref="P357">IF(C354="","",CONCATENATE(INDEX([1]AB4!L:L,MATCH(A357,[1]AB4!B:B,0)),INDEX([1]AB4!M:M,MATCH(A357,[1]AB4!B:B,0)),TEXT(INDEX([1]AB4!R:R,MATCH(A357,[1]AB4!B:B,0)),"0.00%")))</f>
        <v>S : Entry  - 2.00%</v>
      </c>
      <c r="Q357" s="26">
        <f t="array" ref="Q357">IF(C354="","",INDEX([1]AB4!S:S,MATCH(A357,[1]AB4!B:B,0)))</f>
        <v>1</v>
      </c>
      <c r="R357" s="27"/>
      <c r="S357" s="28" t="str">
        <f t="array" ref="S357">IF(C354="","",CONCATENATE(INDEX([1]AB4!L:L,MATCH(A357,[1]AB4!B:B,0)),INDEX([1]AB4!M:M,MATCH(A357,[1]AB4!B:B,0)),TEXT(INDEX([1]AB4!T:T,MATCH(A357,[1]AB4!B:B,0)),"0.00%")))</f>
        <v>S : Entry  - 2.50%</v>
      </c>
      <c r="T357" s="26">
        <f t="array" ref="T357">IF(C354="","",INDEX([1]AB4!U:U,MATCH(A357,[1]AB4!B:B,0)))</f>
        <v>1</v>
      </c>
      <c r="U357" s="27"/>
      <c r="V357" s="28" t="str">
        <f t="array" ref="V357">IF(C354="","",INDEX([1]AB4!V:V,MATCH(A357,[1]AB4!B:B,0)))</f>
        <v>TR PROFIT AFTER TGT 4</v>
      </c>
      <c r="W357" s="26">
        <f t="array" ref="W357">IF(C354="","",INDEX([1]AB4!W:W,MATCH(A357,[1]AB4!B:B,0)))</f>
        <v>1</v>
      </c>
      <c r="X357" s="27"/>
      <c r="Y357" s="28" t="str">
        <f t="array" ref="Y357">IF(C354="","",INDEX([1]AB4!X:X,MATCH(A357,[1]AB4!B:B,0)))</f>
        <v>N.A.</v>
      </c>
      <c r="Z357" s="26" t="str">
        <f t="array" ref="Z357">IF(C354="","",INDEX([1]AB4!Y:Y,MATCH(A357,[1]AB4!B:B,0)))</f>
        <v>N.A.</v>
      </c>
      <c r="AA357" s="29"/>
      <c r="AB357" s="30"/>
      <c r="AC357" s="30"/>
    </row>
    <row r="358" spans="1:29" ht="44.25" customHeight="1" thickBot="1" x14ac:dyDescent="0.25">
      <c r="A358" s="18" t="str">
        <f>IF(C354="","",CONCATENATE(C355,[1]AB5!$A$8))</f>
        <v>S11B</v>
      </c>
      <c r="B358" s="50"/>
      <c r="C358" s="176"/>
      <c r="D358" s="66"/>
      <c r="E358" s="60"/>
      <c r="F358" s="61" t="str">
        <f>IF(C354="","",[1]AB5!$G$8)</f>
        <v>SL / TRP</v>
      </c>
      <c r="G358" s="36" t="str">
        <f t="array" ref="G358">IF(C354="","",CONCATENATE(INDEX([1]AB4!AA:AA,MATCH(A358,[1]AB4!B:B,0))," ( ",INDEX([1]AB4!AE:AE,MATCH(A358,[1]AB4!B:B,0)),INDEX([1]AB4!AF:AF,MATCH(A358,[1]AB4!B:B,0)),TEXT(INDEX([1]AB4!AG:AG,MATCH(A358,[1]AB4!B:B,0)),"0.00%")," or ",INDEX([1]AB4!AK:AK,MATCH(A358,[1]AB4!B:B,0)),INDEX([1]AB4!AJ:AJ,MATCH(A358,[1]AB4!B:B,0)),TEXT(INDEX([1]AB4!AL:AL,MATCH(A358,[1]AB4!B:B,0)),"0.00%")," )"))</f>
        <v>Min ( S : Entry + 1.00% or FUT : PRV : 3DHH + 0.10% )</v>
      </c>
      <c r="H358" s="37">
        <f t="array" ref="H358">IF(C354="","",INDEX([1]AB4!AM:AM,MATCH(A358,[1]AB4!B:B,0)))</f>
        <v>5</v>
      </c>
      <c r="I358" s="38"/>
      <c r="J358" s="36" t="str">
        <f t="array" ref="J358">IF(C354="","",CONCATENATE(INDEX([1]AB4!AA:AA,MATCH(A358,[1]AB4!B:B,0))," ( ",INDEX([1]AB4!AE:AE,MATCH(A358,[1]AB4!B:B,0))," or ",INDEX([1]AB4!AN:AN,MATCH(A358,[1]AB4!B:B,0)),INDEX([1]AB4!AJ:AJ,MATCH(A358,[1]AB4!B:B,0)),TEXT(INDEX([1]AB4!AO:AO,MATCH(A358,[1]AB4!B:B,0)),"0.00%")," )"))</f>
        <v>Min ( S : Entry or FUT : PRV : 3DHH + 0.10% )</v>
      </c>
      <c r="K358" s="37">
        <f t="array" ref="K358">IF(C354="","",INDEX([1]AB4!AP:AP,MATCH(A358,[1]AB4!B:B,0)))</f>
        <v>4</v>
      </c>
      <c r="L358" s="38"/>
      <c r="M358" s="36" t="str">
        <f t="array" ref="M358">IF(C354="","",CONCATENATE(INDEX([1]AB4!AA:AA,MATCH(A358,[1]AB4!B:B,0))," ( ",INDEX([1]AB4!AE:AE,MATCH(A358,[1]AB4!B:B,0))," or ",INDEX([1]AB4!AQ:AQ,MATCH(A358,[1]AB4!B:B,0)),INDEX([1]AB4!AJ:AJ,MATCH(A358,[1]AB4!B:B,0)),TEXT(INDEX([1]AB4!AR:AR,MATCH(A358,[1]AB4!B:B,0)),"0.00%")," )"))</f>
        <v>Min ( S : Entry or FUT : PRV : 3DHH + 0.10% )</v>
      </c>
      <c r="N358" s="37">
        <f t="array" ref="N358">IF(C354="","",INDEX([1]AB4!AS:AS,MATCH(A358,[1]AB4!B:B,0)))</f>
        <v>3</v>
      </c>
      <c r="O358" s="38"/>
      <c r="P358" s="36" t="str">
        <f t="array" ref="P358">IF(C354="","",CONCATENATE(INDEX([1]AB4!AA:AA,MATCH(A358,[1]AB4!B:B,0))," ( ",INDEX([1]AB4!AE:AE,MATCH(A358,[1]AB4!B:B,0))," or ",INDEX([1]AB4!AT:AT,MATCH(A358,[1]AB4!B:B,0)),INDEX([1]AB4!AJ:AJ,MATCH(A358,[1]AB4!B:B,0)),TEXT(INDEX([1]AB4!AU:AU,MATCH(A358,[1]AB4!B:B,0)),"0.00%")," )"))</f>
        <v>Min ( S : Entry or FUT : PRV : 3DHH + 0.10% )</v>
      </c>
      <c r="Q358" s="37">
        <f t="array" ref="Q358">IF(C354="","",INDEX([1]AB4!AV:AV,MATCH(A358,[1]AB4!B:B,0)))</f>
        <v>2</v>
      </c>
      <c r="R358" s="38"/>
      <c r="S358" s="36" t="str">
        <f t="array" ref="S358">IF(C354="","",CONCATENATE(INDEX([1]AB4!AA:AA,MATCH(A358,[1]AB4!B:B,0))," ( ",INDEX([1]AB4!AE:AE,MATCH(A358,[1]AB4!B:B,0))," or ",INDEX([1]AB4!AW:AW,MATCH(A358,[1]AB4!B:B,0)),INDEX([1]AB4!AJ:AJ,MATCH(A358,[1]AB4!B:B,0)),TEXT(INDEX([1]AB4!AX:AX,MATCH(A358,[1]AB4!B:B,0)),"0.00%")," )"))</f>
        <v>Min ( S : Entry or FUT : PRV : 3DHH + 0.10% )</v>
      </c>
      <c r="T358" s="37">
        <f t="array" ref="T358">IF(C354="","",INDEX([1]AB4!AY:AY,MATCH(A358,[1]AB4!B:B,0)))</f>
        <v>1</v>
      </c>
      <c r="U358" s="38"/>
      <c r="V358" s="36" t="str">
        <f t="array" ref="V358">IF(C354="","",CONCATENATE(INDEX([1]AB4!AA:AA,MATCH(A358,[1]AB4!B:B,0))," ( ",INDEX([1]AB4!AE:AE,MATCH(A358,[1]AB4!B:B,0))," or ",INDEX([1]AB4!AW:AW,MATCH(A358,[1]AB4!B:B,0)),INDEX([1]AB4!AJ:AJ,MATCH(A358,[1]AB4!B:B,0)),TEXT(INDEX([1]AB4!AX:AX,MATCH(A358,[1]AB4!B:B,0)),"0.00%")," )"))</f>
        <v>Min ( S : Entry or FUT : PRV : 3DHH + 0.10% )</v>
      </c>
      <c r="W358" s="37">
        <f t="array" ref="W358">IF(C354="","",INDEX([1]AB4!AY:AY,MATCH(A358,[1]AB4!B:B,0)))</f>
        <v>1</v>
      </c>
      <c r="X358" s="38"/>
      <c r="Y358" s="40">
        <f t="array" ref="Y358">IF(C354="","",INDEX([1]AB4!AZ:AZ,MATCH(A358,[1]AB4!B:B,0)))</f>
        <v>0</v>
      </c>
      <c r="Z358" s="37">
        <f t="array" ref="Z358">IF(C354="","",INDEX([1]AB4!BB:BB,MATCH(A358,[1]AB4!B:B,0)))</f>
        <v>0</v>
      </c>
      <c r="AA358" s="41"/>
      <c r="AB358" s="30"/>
      <c r="AC358" s="30"/>
    </row>
    <row r="359" spans="1:29" ht="19.5" customHeight="1" thickBot="1" x14ac:dyDescent="0.25">
      <c r="A359" s="18" t="str">
        <f>IF(C354="","",CONCATENATE(C355,[1]AB5!$A$9))</f>
        <v>S11C</v>
      </c>
      <c r="B359" s="31" t="str">
        <f>IF(C354="","",IF([1]AB5!$B$9="","",[1]AB5!$B$9))</f>
        <v>Segment</v>
      </c>
      <c r="C359" s="54" t="str">
        <f t="array" ref="C359">IF(C354="","",INDEX([1]AB2!C:C,MATCH(C354,[1]AB2!A:A,0)))</f>
        <v>FUTURES</v>
      </c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30"/>
      <c r="AC359" s="30"/>
    </row>
    <row r="360" spans="1:29" ht="30.75" customHeight="1" x14ac:dyDescent="0.2">
      <c r="A360" s="18" t="str">
        <f>IF(C354="","",CONCATENATE(C355,[1]AB5!$A$10))</f>
        <v>S11D</v>
      </c>
      <c r="B360" s="31" t="str">
        <f>IF(C354="","",IF([1]AB5!$B$10="","",[1]AB5!$B$10))</f>
        <v>Symbol</v>
      </c>
      <c r="C360" s="54" t="str">
        <f t="array" ref="C360">IF(C354="","",INDEX([1]AB2!E:E,MATCH(C354,[1]AB2!A:A,0)))</f>
        <v>GOLDM</v>
      </c>
      <c r="D360" s="56" t="str">
        <f>IF(C354="","",IF(C354="","",[1]AB5!$D$10))</f>
        <v>BEAR / BEAR CF</v>
      </c>
      <c r="E360" s="57" t="str">
        <f>IF(C354="","",[1]AB5!$F$10)</f>
        <v>BUY</v>
      </c>
      <c r="F360" s="58" t="str">
        <f>IF(C354="","",[1]AB5!$G$10)</f>
        <v>E &amp; T</v>
      </c>
      <c r="G360" s="25" t="str">
        <f t="array" ref="G360">IF(C354="","",CONCATENATE(INDEX([1]AB4!G:G,MATCH(A360,[1]AB4!B:B,0)),INDEX([1]AB4!H:H,MATCH(A360,[1]AB4!B:B,0)),TEXT(INDEX([1]AB4!I:I,MATCH(A360,[1]AB4!B:B,0)),"0.00%")))</f>
        <v>FUT : PRV : 3DHH + 0.10%</v>
      </c>
      <c r="H360" s="26">
        <f t="array" ref="H360">IF(C354="","",INDEX([1]AB4!J:J,MATCH(A360,[1]AB4!B:B,0)))</f>
        <v>5</v>
      </c>
      <c r="I360" s="27"/>
      <c r="J360" s="28" t="str">
        <f t="array" ref="J360">IF(C354="","",CONCATENATE(INDEX([1]AB4!L:L,MATCH(A360,[1]AB4!B:B,0)),INDEX([1]AB4!M:M,MATCH(A360,[1]AB4!B:B,0)),TEXT(INDEX([1]AB4!N:N,MATCH(A360,[1]AB4!B:B,0)),"0.00%")))</f>
        <v>L : Entry  + 1.00%</v>
      </c>
      <c r="K360" s="26">
        <f t="array" ref="K360">IF(C354="","",INDEX([1]AB4!O:O,MATCH(A360,[1]AB4!B:B,0)))</f>
        <v>1</v>
      </c>
      <c r="L360" s="27"/>
      <c r="M360" s="28" t="str">
        <f t="array" ref="M360">IF(C354="","",CONCATENATE(INDEX([1]AB4!L:L,MATCH(A360,[1]AB4!B:B,0)),INDEX([1]AB4!M:M,MATCH(A360,[1]AB4!B:B,0)),TEXT(INDEX([1]AB4!P:P,MATCH(A360,[1]AB4!B:B,0)),"0.00%")))</f>
        <v>L : Entry  + 1.50%</v>
      </c>
      <c r="N360" s="26">
        <f t="array" ref="N360">IF(C354="","",INDEX([1]AB4!Q:Q,MATCH(A360,[1]AB4!B:B,0)))</f>
        <v>1</v>
      </c>
      <c r="O360" s="27"/>
      <c r="P360" s="28" t="str">
        <f t="array" ref="P360">IF(C354="","",CONCATENATE(INDEX([1]AB4!L:L,MATCH(A360,[1]AB4!B:B,0)),INDEX([1]AB4!M:M,MATCH(A360,[1]AB4!B:B,0)),TEXT(INDEX([1]AB4!R:R,MATCH(A360,[1]AB4!B:B,0)),"0.00%")))</f>
        <v>L : Entry  + 2.00%</v>
      </c>
      <c r="Q360" s="26">
        <f t="array" ref="Q360">IF(C354="","",INDEX([1]AB4!S:S,MATCH(A360,[1]AB4!B:B,0)))</f>
        <v>1</v>
      </c>
      <c r="R360" s="27"/>
      <c r="S360" s="28" t="str">
        <f t="array" ref="S360">IF(C354="","",CONCATENATE(INDEX([1]AB4!L:L,MATCH(A360,[1]AB4!B:B,0)),INDEX([1]AB4!M:M,MATCH(A360,[1]AB4!B:B,0)),TEXT(INDEX([1]AB4!T:T,MATCH(A360,[1]AB4!B:B,0)),"0.00%")))</f>
        <v>L : Entry  + 2.50%</v>
      </c>
      <c r="T360" s="26">
        <f t="array" ref="T360">IF(C354="","",INDEX([1]AB4!U:U,MATCH(A360,[1]AB4!B:B,0)))</f>
        <v>1</v>
      </c>
      <c r="U360" s="27"/>
      <c r="V360" s="28" t="str">
        <f t="array" ref="V360">IF(C354="","",INDEX([1]AB4!V:V,MATCH(A360,[1]AB4!B:B,0)))</f>
        <v>TR PROFIT AFTER TGT 4</v>
      </c>
      <c r="W360" s="26">
        <f t="array" ref="W360">IF(C354="","",INDEX([1]AB4!W:W,MATCH(A360,[1]AB4!B:B,0)))</f>
        <v>1</v>
      </c>
      <c r="X360" s="27"/>
      <c r="Y360" s="28" t="str">
        <f t="array" ref="Y360">IF(C354="","",INDEX([1]AB4!X:X,MATCH(A360,[1]AB4!B:B,0)))</f>
        <v>N.A.</v>
      </c>
      <c r="Z360" s="26" t="str">
        <f t="array" ref="Z360">IF(C354="","",INDEX([1]AB4!Y:Y,MATCH(A360,[1]AB4!B:B,0)))</f>
        <v>N.A.</v>
      </c>
      <c r="AA360" s="29"/>
      <c r="AB360" s="30"/>
      <c r="AC360" s="30"/>
    </row>
    <row r="361" spans="1:29" ht="44.25" customHeight="1" thickBot="1" x14ac:dyDescent="0.25">
      <c r="A361" s="18" t="str">
        <f>IF(C354="","",CONCATENATE(C355,[1]AB5!$A$11))</f>
        <v>S11D</v>
      </c>
      <c r="B361" s="31" t="str">
        <f>IF(C354="","",IF([1]AB5!$B$11="","",[1]AB5!$B$11))</f>
        <v>No. of TGT</v>
      </c>
      <c r="C361" s="54" t="str">
        <f t="array" ref="C361">IF(C354="","",INDEX([1]AB2!K:K,MATCH(C354,[1]AB2!A:A,0)))</f>
        <v>4 &amp; APS</v>
      </c>
      <c r="D361" s="59"/>
      <c r="E361" s="60"/>
      <c r="F361" s="61" t="str">
        <f>IF(C354="","",[1]AB5!$G$11)</f>
        <v>SL / TRP</v>
      </c>
      <c r="G361" s="36" t="str">
        <f t="array" ref="G361">IF(C354="","",CONCATENATE(INDEX([1]AB4!AA:AA,MATCH(A361,[1]AB4!B:B,0))," ( ",INDEX([1]AB4!AE:AE,MATCH(A361,[1]AB4!B:B,0)),INDEX([1]AB4!AF:AF,MATCH(A361,[1]AB4!B:B,0)),TEXT(INDEX([1]AB4!AG:AG,MATCH(A361,[1]AB4!B:B,0)),"0.00%")," or ",INDEX([1]AB4!AK:AK,MATCH(A361,[1]AB4!B:B,0)),INDEX([1]AB4!AJ:AJ,MATCH(A361,[1]AB4!B:B,0)),TEXT(INDEX([1]AB4!AL:AL,MATCH(A361,[1]AB4!B:B,0)),"0.00%")," )"))</f>
        <v>Max ( L : Entry - 1.00% or FUT : PRV : 3DLL - 0.10% )</v>
      </c>
      <c r="H361" s="37">
        <f t="array" ref="H361">IF(C354="","",INDEX([1]AB4!AM:AM,MATCH(A361,[1]AB4!B:B,0)))</f>
        <v>5</v>
      </c>
      <c r="I361" s="38"/>
      <c r="J361" s="36" t="str">
        <f t="array" ref="J361">IF(C354="","",CONCATENATE(INDEX([1]AB4!AA:AA,MATCH(A361,[1]AB4!B:B,0))," ( ",INDEX([1]AB4!AE:AE,MATCH(A361,[1]AB4!B:B,0))," or ",INDEX([1]AB4!AN:AN,MATCH(A361,[1]AB4!B:B,0)),INDEX([1]AB4!AJ:AJ,MATCH(A361,[1]AB4!B:B,0)),TEXT(INDEX([1]AB4!AO:AO,MATCH(A361,[1]AB4!B:B,0)),"0.00%")," )"))</f>
        <v>Max ( L : Entry or FUT : PRV : 3DLL - 0.10% )</v>
      </c>
      <c r="K361" s="37">
        <f t="array" ref="K361">IF(C354="","",INDEX([1]AB4!AP:AP,MATCH(A361,[1]AB4!B:B,0)))</f>
        <v>4</v>
      </c>
      <c r="L361" s="38"/>
      <c r="M361" s="36" t="str">
        <f t="array" ref="M361">IF(C354="","",CONCATENATE(INDEX([1]AB4!AA:AA,MATCH(A361,[1]AB4!B:B,0))," ( ",INDEX([1]AB4!AE:AE,MATCH(A361,[1]AB4!B:B,0))," or ",INDEX([1]AB4!AQ:AQ,MATCH(A361,[1]AB4!B:B,0)),INDEX([1]AB4!AJ:AJ,MATCH(A361,[1]AB4!B:B,0)),TEXT(INDEX([1]AB4!AR:AR,MATCH(A361,[1]AB4!B:B,0)),"0.00%")," )"))</f>
        <v>Max ( L : Entry or FUT : PRV : 3DLL - 0.10% )</v>
      </c>
      <c r="N361" s="37">
        <f t="array" ref="N361">IF(C354="","",INDEX([1]AB4!AS:AS,MATCH(A361,[1]AB4!B:B,0)))</f>
        <v>3</v>
      </c>
      <c r="O361" s="38"/>
      <c r="P361" s="36" t="str">
        <f t="array" ref="P361">IF(C354="","",CONCATENATE(INDEX([1]AB4!AA:AA,MATCH(A361,[1]AB4!B:B,0))," ( ",INDEX([1]AB4!AE:AE,MATCH(A361,[1]AB4!B:B,0))," or ",INDEX([1]AB4!AT:AT,MATCH(A361,[1]AB4!B:B,0)),INDEX([1]AB4!AJ:AJ,MATCH(A361,[1]AB4!B:B,0)),TEXT(INDEX([1]AB4!AU:AU,MATCH(A361,[1]AB4!B:B,0)),"0.00%")," )"))</f>
        <v>Max ( L : Entry or FUT : PRV : 3DLL - 0.10% )</v>
      </c>
      <c r="Q361" s="37">
        <f t="array" ref="Q361">IF(C354="","",INDEX([1]AB4!AV:AV,MATCH(A361,[1]AB4!B:B,0)))</f>
        <v>2</v>
      </c>
      <c r="R361" s="38"/>
      <c r="S361" s="36" t="str">
        <f t="array" ref="S361">IF(C354="","",CONCATENATE(INDEX([1]AB4!AA:AA,MATCH(A361,[1]AB4!B:B,0))," ( ",INDEX([1]AB4!AE:AE,MATCH(A361,[1]AB4!B:B,0))," or ",INDEX([1]AB4!AW:AW,MATCH(A361,[1]AB4!B:B,0)),INDEX([1]AB4!AJ:AJ,MATCH(A361,[1]AB4!B:B,0)),TEXT(INDEX([1]AB4!AX:AX,MATCH(A361,[1]AB4!B:B,0)),"0.00%")," )"))</f>
        <v>Max ( L : Entry or FUT : PRV : 3DLL - 0.10% )</v>
      </c>
      <c r="T361" s="37">
        <f t="array" ref="T361">IF(C354="","",INDEX([1]AB4!AY:AY,MATCH(A361,[1]AB4!B:B,0)))</f>
        <v>1</v>
      </c>
      <c r="U361" s="38"/>
      <c r="V361" s="36" t="str">
        <f t="array" ref="V361">IF(C354="","",CONCATENATE(INDEX([1]AB4!AA:AA,MATCH(A361,[1]AB4!B:B,0))," ( ",INDEX([1]AB4!AE:AE,MATCH(A361,[1]AB4!B:B,0))," or ",INDEX([1]AB4!AW:AW,MATCH(A361,[1]AB4!B:B,0)),INDEX([1]AB4!AJ:AJ,MATCH(A361,[1]AB4!B:B,0)),TEXT(INDEX([1]AB4!AX:AX,MATCH(A361,[1]AB4!B:B,0)),"0.00%")," )"))</f>
        <v>Max ( L : Entry or FUT : PRV : 3DLL - 0.10% )</v>
      </c>
      <c r="W361" s="37">
        <f t="array" ref="W361">IF(C354="","",INDEX([1]AB4!AY:AY,MATCH(A361,[1]AB4!B:B,0)))</f>
        <v>1</v>
      </c>
      <c r="X361" s="38"/>
      <c r="Y361" s="40">
        <f t="array" ref="Y361">IF(C354="","",INDEX([1]AB4!AZ:AZ,MATCH(A361,[1]AB4!B:B,0)))</f>
        <v>0</v>
      </c>
      <c r="Z361" s="37">
        <f t="array" ref="Z361">IF(C354="","",INDEX([1]AB4!BB:BB,MATCH(A361,[1]AB4!B:B,0)))</f>
        <v>0</v>
      </c>
      <c r="AA361" s="41"/>
      <c r="AB361" s="30"/>
      <c r="AC361" s="30"/>
    </row>
    <row r="362" spans="1:29" ht="6" customHeight="1" thickBot="1" x14ac:dyDescent="0.25">
      <c r="A362" s="18" t="str">
        <f>IF(C354="","",CONCATENATE(C355,[1]AB5!A372))</f>
        <v>S11</v>
      </c>
      <c r="B362" s="62" t="str">
        <f>IF(C354="","",IF([1]AB5!$B$12="","",[1]AB5!$B$12))</f>
        <v>Stay Blessed !!!</v>
      </c>
      <c r="C362" s="63"/>
      <c r="D362" s="59"/>
      <c r="E362" s="44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6"/>
      <c r="AB362" s="30"/>
      <c r="AC362" s="30"/>
    </row>
    <row r="363" spans="1:29" ht="30.75" customHeight="1" x14ac:dyDescent="0.2">
      <c r="A363" s="18" t="str">
        <f>IF(C354="","",CONCATENATE(C355,[1]AB5!$A$13))</f>
        <v>S11E</v>
      </c>
      <c r="B363" s="64"/>
      <c r="C363" s="59"/>
      <c r="D363" s="59"/>
      <c r="E363" s="65" t="str">
        <f>IF(C354="","",[1]AB5!$F$13)</f>
        <v>SELL</v>
      </c>
      <c r="F363" s="58" t="str">
        <f>IF(C354="","",[1]AB5!$G$13)</f>
        <v>E &amp; T</v>
      </c>
      <c r="G363" s="25" t="str">
        <f t="array" ref="G363">IF(C354="","",CONCATENATE(INDEX([1]AB4!G:G,MATCH(A363,[1]AB4!B:B,0)),INDEX([1]AB4!H:H,MATCH(A363,[1]AB4!B:B,0)),TEXT(INDEX([1]AB4!I:I,MATCH(A363,[1]AB4!B:B,0)),"0.00%")))</f>
        <v>FUT : PRV : 3DLL - 0.10%</v>
      </c>
      <c r="H363" s="26">
        <f t="array" ref="H363">IF(C354="","",INDEX([1]AB4!J:J,MATCH(A363,[1]AB4!B:B,0)))</f>
        <v>5</v>
      </c>
      <c r="I363" s="27"/>
      <c r="J363" s="28" t="str">
        <f t="array" ref="J363">IF(C354="","",CONCATENATE(INDEX([1]AB4!L:L,MATCH(A363,[1]AB4!B:B,0)),INDEX([1]AB4!M:M,MATCH(A363,[1]AB4!B:B,0)),TEXT(INDEX([1]AB4!N:N,MATCH(A363,[1]AB4!B:B,0)),"0.00%")))</f>
        <v>S : Entry  - 1.00%</v>
      </c>
      <c r="K363" s="26">
        <f t="array" ref="K363">IF(C354="","",INDEX([1]AB4!O:O,MATCH(A363,[1]AB4!B:B,0)))</f>
        <v>1</v>
      </c>
      <c r="L363" s="27"/>
      <c r="M363" s="28" t="str">
        <f t="array" ref="M363">IF(C354="","",CONCATENATE(INDEX([1]AB4!L:L,MATCH(A363,[1]AB4!B:B,0)),INDEX([1]AB4!M:M,MATCH(A363,[1]AB4!B:B,0)),TEXT(INDEX([1]AB4!P:P,MATCH(A363,[1]AB4!B:B,0)),"0.00%")))</f>
        <v>S : Entry  - 1.50%</v>
      </c>
      <c r="N363" s="26">
        <f t="array" ref="N363">IF(C354="","",INDEX([1]AB4!Q:Q,MATCH(A363,[1]AB4!B:B,0)))</f>
        <v>1</v>
      </c>
      <c r="O363" s="27"/>
      <c r="P363" s="28" t="str">
        <f t="array" ref="P363">IF(C354="","",CONCATENATE(INDEX([1]AB4!L:L,MATCH(A363,[1]AB4!B:B,0)),INDEX([1]AB4!M:M,MATCH(A363,[1]AB4!B:B,0)),TEXT(INDEX([1]AB4!R:R,MATCH(A363,[1]AB4!B:B,0)),"0.00%")))</f>
        <v>S : Entry  - 2.00%</v>
      </c>
      <c r="Q363" s="26">
        <f t="array" ref="Q363">IF(C354="","",INDEX([1]AB4!S:S,MATCH(A363,[1]AB4!B:B,0)))</f>
        <v>1</v>
      </c>
      <c r="R363" s="27"/>
      <c r="S363" s="28" t="str">
        <f t="array" ref="S363">IF(C354="","",CONCATENATE(INDEX([1]AB4!L:L,MATCH(A363,[1]AB4!B:B,0)),INDEX([1]AB4!M:M,MATCH(A363,[1]AB4!B:B,0)),TEXT(INDEX([1]AB4!T:T,MATCH(A363,[1]AB4!B:B,0)),"0.00%")))</f>
        <v>S : Entry  - 2.50%</v>
      </c>
      <c r="T363" s="26">
        <f t="array" ref="T363">IF(C354="","",INDEX([1]AB4!U:U,MATCH(A363,[1]AB4!B:B,0)))</f>
        <v>1</v>
      </c>
      <c r="U363" s="27"/>
      <c r="V363" s="28" t="str">
        <f t="array" ref="V363">IF(C354="","",INDEX([1]AB4!V:V,MATCH(A363,[1]AB4!B:B,0)))</f>
        <v>TR PROFIT AFTER TGT 4</v>
      </c>
      <c r="W363" s="26">
        <f t="array" ref="W363">IF(C354="","",INDEX([1]AB4!W:W,MATCH(A363,[1]AB4!B:B,0)))</f>
        <v>1</v>
      </c>
      <c r="X363" s="27"/>
      <c r="Y363" s="28" t="str">
        <f t="array" ref="Y363">IF(C354="","",INDEX([1]AB4!X:X,MATCH(A363,[1]AB4!B:B,0)))</f>
        <v>N.A.</v>
      </c>
      <c r="Z363" s="26" t="str">
        <f t="array" ref="Z363">IF(C354="","",INDEX([1]AB4!Y:Y,MATCH(A363,[1]AB4!B:B,0)))</f>
        <v>N.A.</v>
      </c>
      <c r="AA363" s="29"/>
      <c r="AB363" s="30"/>
      <c r="AC363" s="30"/>
    </row>
    <row r="364" spans="1:29" ht="44.25" customHeight="1" thickBot="1" x14ac:dyDescent="0.25">
      <c r="A364" s="18" t="str">
        <f>IF(C354="","",CONCATENATE(C355,[1]AB5!$A$14))</f>
        <v>S11E</v>
      </c>
      <c r="B364" s="60"/>
      <c r="C364" s="66"/>
      <c r="D364" s="66"/>
      <c r="E364" s="60"/>
      <c r="F364" s="61" t="str">
        <f>IF(C354="","",[1]AB5!$G$14)</f>
        <v>SL / TRP</v>
      </c>
      <c r="G364" s="36" t="str">
        <f t="array" ref="G364">IF(C354="","",CONCATENATE(INDEX([1]AB4!AA:AA,MATCH(A364,[1]AB4!B:B,0))," ( ",INDEX([1]AB4!AE:AE,MATCH(A364,[1]AB4!B:B,0)),INDEX([1]AB4!AF:AF,MATCH(A364,[1]AB4!B:B,0)),TEXT(INDEX([1]AB4!AG:AG,MATCH(A364,[1]AB4!B:B,0)),"0.00%")," or ",INDEX([1]AB4!AK:AK,MATCH(A364,[1]AB4!B:B,0)),INDEX([1]AB4!AJ:AJ,MATCH(A364,[1]AB4!B:B,0)),TEXT(INDEX([1]AB4!AL:AL,MATCH(A364,[1]AB4!B:B,0)),"0.00%")," )"))</f>
        <v>Min ( S : Entry + 1.00% or FUT : PRV : 3DHH + 0.10% )</v>
      </c>
      <c r="H364" s="37">
        <f t="array" ref="H364">IF(C354="","",INDEX([1]AB4!AM:AM,MATCH(A364,[1]AB4!B:B,0)))</f>
        <v>5</v>
      </c>
      <c r="I364" s="38"/>
      <c r="J364" s="36" t="str">
        <f t="array" ref="J364">IF(C354="","",CONCATENATE(INDEX([1]AB4!AA:AA,MATCH(A364,[1]AB4!B:B,0))," ( ",INDEX([1]AB4!AE:AE,MATCH(A364,[1]AB4!B:B,0))," or ",INDEX([1]AB4!AN:AN,MATCH(A364,[1]AB4!B:B,0)),INDEX([1]AB4!AJ:AJ,MATCH(A364,[1]AB4!B:B,0)),TEXT(INDEX([1]AB4!AO:AO,MATCH(A364,[1]AB4!B:B,0)),"0.00%")," )"))</f>
        <v>Min ( S : Entry or FUT : PRV : 3DHH + 0.10% )</v>
      </c>
      <c r="K364" s="37">
        <f t="array" ref="K364">IF(C354="","",INDEX([1]AB4!AP:AP,MATCH(A364,[1]AB4!B:B,0)))</f>
        <v>4</v>
      </c>
      <c r="L364" s="38"/>
      <c r="M364" s="36" t="str">
        <f t="array" ref="M364">IF(C354="","",CONCATENATE(INDEX([1]AB4!AA:AA,MATCH(A364,[1]AB4!B:B,0))," ( ",INDEX([1]AB4!AE:AE,MATCH(A364,[1]AB4!B:B,0))," or ",INDEX([1]AB4!AQ:AQ,MATCH(A364,[1]AB4!B:B,0)),INDEX([1]AB4!AJ:AJ,MATCH(A364,[1]AB4!B:B,0)),TEXT(INDEX([1]AB4!AR:AR,MATCH(A364,[1]AB4!B:B,0)),"0.00%")," )"))</f>
        <v>Min ( S : Entry or FUT : PRV : 3DHH + 0.10% )</v>
      </c>
      <c r="N364" s="37">
        <f t="array" ref="N364">IF(C354="","",INDEX([1]AB4!AS:AS,MATCH(A364,[1]AB4!B:B,0)))</f>
        <v>3</v>
      </c>
      <c r="O364" s="38"/>
      <c r="P364" s="36" t="str">
        <f t="array" ref="P364">IF(C354="","",CONCATENATE(INDEX([1]AB4!AA:AA,MATCH(A364,[1]AB4!B:B,0))," ( ",INDEX([1]AB4!AE:AE,MATCH(A364,[1]AB4!B:B,0))," or ",INDEX([1]AB4!AT:AT,MATCH(A364,[1]AB4!B:B,0)),INDEX([1]AB4!AJ:AJ,MATCH(A364,[1]AB4!B:B,0)),TEXT(INDEX([1]AB4!AU:AU,MATCH(A364,[1]AB4!B:B,0)),"0.00%")," )"))</f>
        <v>Min ( S : Entry or FUT : PRV : 3DHH + 0.10% )</v>
      </c>
      <c r="Q364" s="37">
        <f t="array" ref="Q364">IF(C354="","",INDEX([1]AB4!AV:AV,MATCH(A364,[1]AB4!B:B,0)))</f>
        <v>2</v>
      </c>
      <c r="R364" s="38"/>
      <c r="S364" s="36" t="str">
        <f t="array" ref="S364">IF(C354="","",CONCATENATE(INDEX([1]AB4!AA:AA,MATCH(A364,[1]AB4!B:B,0))," ( ",INDEX([1]AB4!AE:AE,MATCH(A364,[1]AB4!B:B,0))," or ",INDEX([1]AB4!AW:AW,MATCH(A364,[1]AB4!B:B,0)),INDEX([1]AB4!AJ:AJ,MATCH(A364,[1]AB4!B:B,0)),TEXT(INDEX([1]AB4!AX:AX,MATCH(A364,[1]AB4!B:B,0)),"0.00%")," )"))</f>
        <v>Min ( S : Entry or FUT : PRV : 3DHH + 0.10% )</v>
      </c>
      <c r="T364" s="37">
        <f t="array" ref="T364">IF(C354="","",INDEX([1]AB4!AY:AY,MATCH(A364,[1]AB4!B:B,0)))</f>
        <v>1</v>
      </c>
      <c r="U364" s="38"/>
      <c r="V364" s="36" t="str">
        <f t="array" ref="V364">IF(C354="","",CONCATENATE(INDEX([1]AB4!AA:AA,MATCH(A364,[1]AB4!B:B,0))," ( ",INDEX([1]AB4!AE:AE,MATCH(A364,[1]AB4!B:B,0))," or ",INDEX([1]AB4!AW:AW,MATCH(A364,[1]AB4!B:B,0)),INDEX([1]AB4!AJ:AJ,MATCH(A364,[1]AB4!B:B,0)),TEXT(INDEX([1]AB4!AX:AX,MATCH(A364,[1]AB4!B:B,0)),"0.00%")," )"))</f>
        <v>Min ( S : Entry or FUT : PRV : 3DHH + 0.10% )</v>
      </c>
      <c r="W364" s="37">
        <f t="array" ref="W364">IF(C354="","",INDEX([1]AB4!AY:AY,MATCH(A364,[1]AB4!B:B,0)))</f>
        <v>1</v>
      </c>
      <c r="X364" s="38"/>
      <c r="Y364" s="40">
        <f t="array" ref="Y364">IF(C354="","",INDEX([1]AB4!AZ:AZ,MATCH(A364,[1]AB4!B:B,0)))</f>
        <v>0</v>
      </c>
      <c r="Z364" s="37">
        <f t="array" ref="Z364">IF(C354="","",INDEX([1]AB4!BB:BB,MATCH(A364,[1]AB4!B:B,0)))</f>
        <v>0</v>
      </c>
      <c r="AA364" s="41"/>
      <c r="AB364" s="30"/>
      <c r="AC364" s="30"/>
    </row>
    <row r="365" spans="1:29" ht="6" customHeight="1" thickBot="1" x14ac:dyDescent="0.25">
      <c r="A365" s="18"/>
      <c r="B365" s="55"/>
      <c r="C365" s="55"/>
      <c r="D365" s="55"/>
      <c r="E365" s="30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30"/>
      <c r="AA365" s="30"/>
      <c r="AB365" s="68"/>
      <c r="AC365" s="68"/>
    </row>
    <row r="366" spans="1:29" ht="21.75" customHeight="1" x14ac:dyDescent="0.2">
      <c r="A366" s="18"/>
      <c r="B366" s="69" t="str">
        <f>IF(C354="","",[1]AB5!$B$16)</f>
        <v>For Entry</v>
      </c>
      <c r="C366" s="29"/>
      <c r="D366" s="70" t="str">
        <f>IF(C354="","",[1]AB5!$D$16)</f>
        <v>Gap Check</v>
      </c>
      <c r="E366" s="71"/>
      <c r="F366" s="70" t="str">
        <f>IF(C354="","",[1]AB5!$G$16)</f>
        <v>Process</v>
      </c>
      <c r="G366" s="72"/>
      <c r="H366" s="73" t="str">
        <f>IF(C354="","",[1]AB5!$I$16)</f>
        <v>Y / N</v>
      </c>
      <c r="I366" s="72"/>
      <c r="J366" s="74" t="str">
        <f>IF(C354="","",[1]AB5!$K$16)</f>
        <v>Order Status</v>
      </c>
      <c r="K366" s="75" t="str">
        <f>IF(C354="","",[1]AB5!$L$16)</f>
        <v>Step 1</v>
      </c>
      <c r="L366" s="76"/>
      <c r="M366" s="76"/>
      <c r="N366" s="72"/>
      <c r="O366" s="73" t="str">
        <f>IF(C354="","",[1]AB5!$P$16)</f>
        <v>Order Placement Timings</v>
      </c>
      <c r="P366" s="72"/>
      <c r="Q366" s="73" t="str">
        <f>IF(C354="","",[1]AB5!$R$16)</f>
        <v>Time</v>
      </c>
      <c r="R366" s="72"/>
      <c r="S366" s="75" t="str">
        <f>IF(C354="","",[1]AB5!$T$16)</f>
        <v>Rules For Gaps</v>
      </c>
      <c r="T366" s="76"/>
      <c r="U366" s="72"/>
      <c r="V366" s="74" t="str">
        <f>IF(C354="","",[1]AB5!$W$16)</f>
        <v>Data</v>
      </c>
      <c r="W366" s="73" t="str">
        <f>IF(C354="","",[1]AB5!$X$16)</f>
        <v>Buffer</v>
      </c>
      <c r="X366" s="71"/>
      <c r="Y366" s="77" t="str">
        <f>IF(C354="","",[1]AB5!$AA$16)</f>
        <v>Rules For Re Entry</v>
      </c>
      <c r="Z366" s="76"/>
      <c r="AA366" s="71"/>
      <c r="AB366" s="78"/>
      <c r="AC366" s="78"/>
    </row>
    <row r="367" spans="1:29" ht="31.5" customHeight="1" x14ac:dyDescent="0.2">
      <c r="A367" s="18" t="str">
        <f>IF(C354="","",CONCATENATE(C355,[1]AB5!$A$17))</f>
        <v>S11A</v>
      </c>
      <c r="B367" s="79" t="str">
        <f>IF(C354="","",[1]AB5!$B$17)</f>
        <v xml:space="preserve">ORPT </v>
      </c>
      <c r="C367" s="80" t="str">
        <f>IF(C354="","",[1]AB5!$C$17)</f>
        <v xml:space="preserve"> RC. Time</v>
      </c>
      <c r="D367" s="81" t="str">
        <f>IF(C354="","",[1]AB5!$D$17)</f>
        <v>For Long Entry</v>
      </c>
      <c r="E367" s="63"/>
      <c r="F367" s="82" t="str">
        <f>IF(C354="","",CONCATENATE([1]AB5!$G$17,TEXT(B368,"HH:MM:SS AM/PM"),[1]AB5!$B$18,[1]AB5!$H$17))</f>
        <v>Check If  09:04:59 AM HH &gt; Long Entry</v>
      </c>
      <c r="G367" s="83"/>
      <c r="H367" s="84" t="str">
        <f>IF(C354="","",[1]AB5!$I$17)</f>
        <v>No</v>
      </c>
      <c r="I367" s="85"/>
      <c r="J367" s="86" t="str">
        <f>IF(C354="","",[1]AB5!$K$17)</f>
        <v>Entry Not Missed</v>
      </c>
      <c r="K367" s="87" t="str">
        <f>IF(C354="","",[1]AB5!$L$17)</f>
        <v>Place the Order at ORPT</v>
      </c>
      <c r="L367" s="88"/>
      <c r="M367" s="88"/>
      <c r="N367" s="85"/>
      <c r="O367" s="87" t="str">
        <f>IF(C354="","",[1]AB5!$P$17)</f>
        <v>ORPT Time</v>
      </c>
      <c r="P367" s="85"/>
      <c r="Q367" s="89">
        <f>IF(C354="","",B368)</f>
        <v>0.37846527777777778</v>
      </c>
      <c r="R367" s="85"/>
      <c r="S367" s="87" t="str">
        <f>IF(C354="","",[1]AB5!$T$17)</f>
        <v>N.A.</v>
      </c>
      <c r="T367" s="88"/>
      <c r="U367" s="85"/>
      <c r="V367" s="86" t="str">
        <f>IF(C354="","",[1]AB5!$W$17)</f>
        <v>N.A.</v>
      </c>
      <c r="W367" s="90" t="str">
        <f>IF(C354="","",[1]AB5!$X$17)</f>
        <v>N.A.</v>
      </c>
      <c r="X367" s="91"/>
      <c r="Y367" s="92" t="str">
        <f>IF(C354="","",[1]AB5!$AA$17)</f>
        <v xml:space="preserve">Long Entry : Bull/ Bull CF : </v>
      </c>
      <c r="Z367" s="88"/>
      <c r="AA367" s="91"/>
      <c r="AB367" s="68"/>
      <c r="AC367" s="68"/>
    </row>
    <row r="368" spans="1:29" ht="31.5" customHeight="1" x14ac:dyDescent="0.2">
      <c r="A368" s="18" t="str">
        <f>IF(C354="","",CONCATENATE(C355,[1]AB5!$A$18))</f>
        <v>S11B</v>
      </c>
      <c r="B368" s="93">
        <f t="array" ref="B368">IF(C354="","",INDEX([1]AB4!BE:BE,MATCH(A367,[1]AB4!B:B,0)))</f>
        <v>0.37846527777777778</v>
      </c>
      <c r="C368" s="94">
        <f t="array" ref="C368">IF(C354="","",INDEX([1]AB4!BE:BE,MATCH(A368,[1]AB4!B:B,0)))</f>
        <v>0.38540972222222225</v>
      </c>
      <c r="D368" s="64"/>
      <c r="E368" s="59"/>
      <c r="F368" s="64"/>
      <c r="G368" s="95"/>
      <c r="H368" s="96" t="str">
        <f>IF(C354="","",[1]AB5!$I$18)</f>
        <v>Yes</v>
      </c>
      <c r="I368" s="83"/>
      <c r="J368" s="97" t="str">
        <f>IF(C354="","",[1]AB5!$K$18)</f>
        <v>Entry Missed</v>
      </c>
      <c r="K368" s="87" t="str">
        <f>IF(C354="","",[1]AB5!$L$18)</f>
        <v>Recalcuate : Long Entry : Bull / Bull CF</v>
      </c>
      <c r="L368" s="88"/>
      <c r="M368" s="88"/>
      <c r="N368" s="85"/>
      <c r="O368" s="87" t="str">
        <f>IF(C354="","",[1]AB5!$P$18)</f>
        <v>Wait Till Recalculation Time</v>
      </c>
      <c r="P368" s="85"/>
      <c r="Q368" s="89">
        <f>IF(C354="","",C368)</f>
        <v>0.38540972222222225</v>
      </c>
      <c r="R368" s="85"/>
      <c r="S368" s="98" t="str">
        <f>IF(C354="","",CONCATENATE(V368," ",[1]AB5!$Z$18," ",TEXT(W368,"0.00%")))</f>
        <v>09:14:59 AM HH + 0.10%</v>
      </c>
      <c r="T368" s="88"/>
      <c r="U368" s="85"/>
      <c r="V368" s="99" t="str">
        <f>IF(C354="","",CONCATENATE(TEXT(Q368,"HH:MM:SS AM/PM"),[1]AB5!$U$18))</f>
        <v>09:14:59 AM HH</v>
      </c>
      <c r="W368" s="100" t="str">
        <f t="array" ref="W368">IF(A354="","",TEXT(INDEX([1]AB4!BK:BK,MATCH(A355,[1]AB4!B:B,0)),"0.00%"))</f>
        <v>0.10%</v>
      </c>
      <c r="X368" s="91"/>
      <c r="Y368" s="101" t="str">
        <f>IF(C354="","",CONCATENATE([1]AB5!$T$18," ( ",G354," or ",[1]AB5!$AA$18," ",[1]AB5!$Z$18," ",TEXT(W368,"0.00%")," )"))</f>
        <v>Max ( FUT : PRV : 3DHH + 0.10% or  CDHH + 0.10% )</v>
      </c>
      <c r="Z368" s="88"/>
      <c r="AA368" s="91"/>
      <c r="AB368" s="68"/>
      <c r="AC368" s="68"/>
    </row>
    <row r="369" spans="1:29" ht="31.5" customHeight="1" thickBot="1" x14ac:dyDescent="0.25">
      <c r="A369" s="18"/>
      <c r="B369" s="34"/>
      <c r="C369" s="102"/>
      <c r="D369" s="103"/>
      <c r="E369" s="104"/>
      <c r="F369" s="103"/>
      <c r="G369" s="105"/>
      <c r="H369" s="51"/>
      <c r="I369" s="105"/>
      <c r="J369" s="53"/>
      <c r="K369" s="87" t="str">
        <f>IF(C354="","",[1]AB5!$L$19)</f>
        <v>Recalcuate : Long Entry : Bear / Bear CF</v>
      </c>
      <c r="L369" s="88"/>
      <c r="M369" s="88"/>
      <c r="N369" s="85"/>
      <c r="O369" s="87" t="str">
        <f>IF(C354="","",[1]AB5!$P$19)</f>
        <v>Wait Till Recalculation Time</v>
      </c>
      <c r="P369" s="85"/>
      <c r="Q369" s="89">
        <f>IF(C354="","",C368)</f>
        <v>0.38540972222222225</v>
      </c>
      <c r="R369" s="85"/>
      <c r="S369" s="98" t="str">
        <f>IF(C354="","",CONCATENATE(V369," ",[1]AB5!$Z$19," ",TEXT(W369,"0.00%"),))</f>
        <v>09:14:59 AM HH + 0.10%</v>
      </c>
      <c r="T369" s="88"/>
      <c r="U369" s="85"/>
      <c r="V369" s="99" t="str">
        <f>IF(C354="","",CONCATENATE(TEXT(Q369,"HH:MM:SS AM/PM"),[1]AB5!$U$19))</f>
        <v>09:14:59 AM HH</v>
      </c>
      <c r="W369" s="100" t="str">
        <f t="array" ref="W369">IF(C354="","",TEXT(INDEX([1]AB4!BK:BK,MATCH(A360,[1]AB4!B:B,0)),"0.00%"))</f>
        <v>0.10%</v>
      </c>
      <c r="X369" s="91"/>
      <c r="Y369" s="106" t="str">
        <f>IF(C354="","",[1]AB5!$AA$19)</f>
        <v xml:space="preserve">Long Entry : Bear/ Bear CF : </v>
      </c>
      <c r="Z369" s="88"/>
      <c r="AA369" s="91"/>
      <c r="AB369" s="68"/>
      <c r="AC369" s="68"/>
    </row>
    <row r="370" spans="1:29" ht="31.5" customHeight="1" x14ac:dyDescent="0.2">
      <c r="A370" s="18"/>
      <c r="B370" s="69" t="str">
        <f>IF(C354="","",[1]AB5!$B$20)</f>
        <v>For SL (Position = Open)</v>
      </c>
      <c r="C370" s="29"/>
      <c r="D370" s="107" t="str">
        <f>IF(C354="","",[1]AB5!$D$20)</f>
        <v>For Short Entry</v>
      </c>
      <c r="E370" s="63"/>
      <c r="F370" s="82" t="str">
        <f>IF(C354="","",CONCATENATE([1]AB5!$G$20,TEXT(B368,"HH:MM:SS AM/PM"),[1]AB5!$B$18,[1]AB5!$H$20))</f>
        <v>Check If  09:04:59 AM LL &lt; Short Entry</v>
      </c>
      <c r="G370" s="83"/>
      <c r="H370" s="108" t="str">
        <f>IF(C354="","",[1]AB5!$I$20)</f>
        <v>No</v>
      </c>
      <c r="I370" s="85"/>
      <c r="J370" s="109" t="str">
        <f>IF(C354="","",[1]AB5!$K$20)</f>
        <v>Entry Not Missed</v>
      </c>
      <c r="K370" s="110" t="str">
        <f>IF(C354="","",[1]AB5!$L$20)</f>
        <v>Place the Order at ORPT</v>
      </c>
      <c r="L370" s="88"/>
      <c r="M370" s="88"/>
      <c r="N370" s="85"/>
      <c r="O370" s="110" t="str">
        <f>IF(C354="","",[1]AB5!$P$20)</f>
        <v>ORPT Time</v>
      </c>
      <c r="P370" s="85"/>
      <c r="Q370" s="111">
        <f>IF(C354="","",B368)</f>
        <v>0.37846527777777778</v>
      </c>
      <c r="R370" s="85"/>
      <c r="S370" s="110" t="str">
        <f>IF(C354="","",[1]AB5!$T$20)</f>
        <v>N.A.</v>
      </c>
      <c r="T370" s="88"/>
      <c r="U370" s="85"/>
      <c r="V370" s="109" t="str">
        <f>IF(C354="","",[1]AB5!$W$20)</f>
        <v>N.A.</v>
      </c>
      <c r="W370" s="112" t="str">
        <f>IF(C354="","",[1]AB5!$X$20)</f>
        <v>N.A.</v>
      </c>
      <c r="X370" s="91"/>
      <c r="Y370" s="101" t="str">
        <f>IF(C354="","",CONCATENATE([1]AB5!$T$19," ( ",G360," or ",[1]AB5!$AA$20," ",[1]AB5!$Z$19," ",TEXT(W369,"0.00%")," )"))</f>
        <v>Max ( FUT : PRV : 3DHH + 0.10% or  CDHH + 0.10% )</v>
      </c>
      <c r="Z370" s="88"/>
      <c r="AA370" s="91"/>
      <c r="AB370" s="68"/>
      <c r="AC370" s="68"/>
    </row>
    <row r="371" spans="1:29" ht="31.5" customHeight="1" x14ac:dyDescent="0.2">
      <c r="A371" s="18" t="str">
        <f>IF(C354="","",CONCATENATE(C355,[1]AB5!$A$21))</f>
        <v>S11A</v>
      </c>
      <c r="B371" s="79" t="str">
        <f>IF(C354="","",[1]AB5!$B$21)</f>
        <v xml:space="preserve">ORPT </v>
      </c>
      <c r="C371" s="80" t="str">
        <f>IF(C354="","",[1]AB5!$C$21)</f>
        <v xml:space="preserve"> RC. Time</v>
      </c>
      <c r="D371" s="64"/>
      <c r="E371" s="59"/>
      <c r="F371" s="64"/>
      <c r="G371" s="95"/>
      <c r="H371" s="113" t="str">
        <f>IF(C354="","",[1]AB5!$I$21)</f>
        <v>Yes</v>
      </c>
      <c r="I371" s="83"/>
      <c r="J371" s="114" t="str">
        <f>IF(C354="","",[1]AB5!$K$21)</f>
        <v>Entry Missed</v>
      </c>
      <c r="K371" s="110" t="str">
        <f>IF(C354="","",[1]AB5!$L$21)</f>
        <v>Recalcuate : Short Entry : Bull / Bull CF</v>
      </c>
      <c r="L371" s="88"/>
      <c r="M371" s="88"/>
      <c r="N371" s="85"/>
      <c r="O371" s="110" t="str">
        <f>IF(C354="","",[1]AB5!$P$21)</f>
        <v>Wait Till Recalculation Time</v>
      </c>
      <c r="P371" s="85"/>
      <c r="Q371" s="111">
        <f>IF(C354="","",C368)</f>
        <v>0.38540972222222225</v>
      </c>
      <c r="R371" s="85"/>
      <c r="S371" s="115" t="str">
        <f>IF(C354="","",CONCATENATE(V371," ",[1]AB5!$Z$21," ",TEXT(W371,"0.00%")))</f>
        <v>09:14:59 AM LL - 0.10%</v>
      </c>
      <c r="T371" s="88"/>
      <c r="U371" s="85"/>
      <c r="V371" s="116" t="str">
        <f>IF(C354="","",CONCATENATE(TEXT(Q371,"HH:MM:SS AM/PM"),[1]AB5!$U$21))</f>
        <v>09:14:59 AM LL</v>
      </c>
      <c r="W371" s="112" t="str">
        <f t="array" ref="W371">IF(C354="","",TEXT(INDEX([1]AB4!BK:BK,MATCH(A357,[1]AB4!B:B,0)),"0.00%"))</f>
        <v>0.10%</v>
      </c>
      <c r="X371" s="91"/>
      <c r="Y371" s="117" t="str">
        <f>IF(C354="","",[1]AB5!$AA$21)</f>
        <v>When Your Long Position is Exited</v>
      </c>
      <c r="Z371" s="118"/>
      <c r="AA371" s="59"/>
      <c r="AB371" s="68"/>
      <c r="AC371" s="68"/>
    </row>
    <row r="372" spans="1:29" ht="31.5" customHeight="1" thickBot="1" x14ac:dyDescent="0.25">
      <c r="A372" s="18" t="str">
        <f>IF(C354="","",CONCATENATE(C355,[1]AB5!$A$22))</f>
        <v>S11B</v>
      </c>
      <c r="B372" s="119">
        <f t="array" ref="B372">IF(C354="","",INDEX([1]AB4!BF:BF,MATCH(A371,[1]AB4!B:B,0)))</f>
        <v>0.37846527777777778</v>
      </c>
      <c r="C372" s="120">
        <f t="array" ref="C372">IF(C354="","",INDEX([1]AB4!BF:BF,MATCH(A372,[1]AB4!B:B,0)))</f>
        <v>0.38540972222222225</v>
      </c>
      <c r="D372" s="60"/>
      <c r="E372" s="66"/>
      <c r="F372" s="60"/>
      <c r="G372" s="121"/>
      <c r="H372" s="102"/>
      <c r="I372" s="121"/>
      <c r="J372" s="122"/>
      <c r="K372" s="123" t="str">
        <f>IF(C354="","",[1]AB5!$L$22)</f>
        <v>Recalcuate : Short Entry : Bear / Bear CF</v>
      </c>
      <c r="L372" s="124"/>
      <c r="M372" s="124"/>
      <c r="N372" s="38"/>
      <c r="O372" s="123" t="str">
        <f>IF(C354="","",[1]AB5!$P$22)</f>
        <v>Wait Till Recalculation Time</v>
      </c>
      <c r="P372" s="38"/>
      <c r="Q372" s="125">
        <f>IF(C354="","",C368)</f>
        <v>0.38540972222222225</v>
      </c>
      <c r="R372" s="38"/>
      <c r="S372" s="126" t="str">
        <f>IF(C354="","",CONCATENATE(V372," ",[1]AB5!$Z$22," ",TEXT(W372,"0.00%")))</f>
        <v>09:14:59 AM LL - 0.10%</v>
      </c>
      <c r="T372" s="124"/>
      <c r="U372" s="38"/>
      <c r="V372" s="127" t="str">
        <f>IF(C354="","",CONCATENATE(TEXT(Q372,"HH:MM:SS AM/PM"),[1]AB5!$U$22))</f>
        <v>09:14:59 AM LL</v>
      </c>
      <c r="W372" s="128" t="str">
        <f t="array" ref="W372">IF(C354="","",TEXT(INDEX([1]AB4!BK:BK,MATCH(A363,[1]AB4!B:B,0)),"0.00%"))</f>
        <v>0.10%</v>
      </c>
      <c r="X372" s="41"/>
      <c r="Y372" s="129" t="str">
        <f>IF(C354="","",[1]AB5!$AA$22)</f>
        <v>This is Only Applicable for Same Day</v>
      </c>
      <c r="Z372" s="130"/>
      <c r="AA372" s="66"/>
      <c r="AB372" s="68"/>
      <c r="AC372" s="68"/>
    </row>
    <row r="373" spans="1:29" ht="6" customHeight="1" thickBot="1" x14ac:dyDescent="0.25">
      <c r="A373" s="18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</row>
    <row r="374" spans="1:29" ht="21.75" customHeight="1" thickBot="1" x14ac:dyDescent="0.25">
      <c r="A374" s="18"/>
      <c r="B374" s="69" t="str">
        <f>IF(C354="","",[1]AB5!$B$24)</f>
        <v>For TGT (Position = Open)</v>
      </c>
      <c r="C374" s="29"/>
      <c r="D374" s="132" t="str">
        <f>IF(C354="","",[1]AB5!$D$24)</f>
        <v>Gap Check</v>
      </c>
      <c r="E374" s="133"/>
      <c r="F374" s="132" t="str">
        <f>IF(C354="","",[1]AB5!$G$24)</f>
        <v>Process</v>
      </c>
      <c r="G374" s="133"/>
      <c r="H374" s="132" t="str">
        <f>IF(C354="","",[1]AB5!$I$24)</f>
        <v>Y / N</v>
      </c>
      <c r="I374" s="133"/>
      <c r="J374" s="134" t="str">
        <f>IF(C354="","",[1]AB5!$K$24)</f>
        <v>Status</v>
      </c>
      <c r="K374" s="135" t="str">
        <f>IF(C354="","",[1]AB5!$L$24)</f>
        <v>Step 1</v>
      </c>
      <c r="L374" s="136"/>
      <c r="M374" s="136"/>
      <c r="N374" s="133"/>
      <c r="O374" s="132" t="str">
        <f>IF(C354="","",[1]AB5!$P$24)</f>
        <v>Order Placement Timings</v>
      </c>
      <c r="P374" s="133"/>
      <c r="Q374" s="132" t="str">
        <f>IF(C354="","",[1]AB5!$R$24)</f>
        <v>Time</v>
      </c>
      <c r="R374" s="133"/>
      <c r="S374" s="135" t="str">
        <f>IF(C354="","",[1]AB5!$T$24)</f>
        <v>Rules For Gaps</v>
      </c>
      <c r="T374" s="136"/>
      <c r="U374" s="133"/>
      <c r="V374" s="134" t="str">
        <f>IF(C354="","",[1]AB5!$W$24)</f>
        <v>Data</v>
      </c>
      <c r="W374" s="132" t="str">
        <f>IF(C354="","",[1]AB5!$X$24)</f>
        <v>Buffer</v>
      </c>
      <c r="X374" s="133"/>
      <c r="Y374" s="135" t="str">
        <f>IF(C354="","",[1]AB5!$AA$16)</f>
        <v>Rules For Re Entry</v>
      </c>
      <c r="Z374" s="136"/>
      <c r="AA374" s="133"/>
      <c r="AB374" s="78"/>
      <c r="AC374" s="78"/>
    </row>
    <row r="375" spans="1:29" ht="24" customHeight="1" x14ac:dyDescent="0.2">
      <c r="A375" s="18" t="str">
        <f>IF(C354="","",CONCATENATE(C355,[1]AB5!$A$25))</f>
        <v>S11A</v>
      </c>
      <c r="B375" s="79" t="str">
        <f>IF(C354="","",[1]AB5!$B$25)</f>
        <v xml:space="preserve">ORPT </v>
      </c>
      <c r="C375" s="80" t="str">
        <f>IF(C354="","",[1]AB5!$C$25)</f>
        <v xml:space="preserve"> RC. Time</v>
      </c>
      <c r="D375" s="137" t="str">
        <f>IF(C354="","",[1]AB5!$D$25)</f>
        <v>For Long SL</v>
      </c>
      <c r="E375" s="59"/>
      <c r="F375" s="138" t="str">
        <f>IF(C354="","",CONCATENATE([1]AB5!$G$25,TEXT(B372,"HH:MM:SS AM/PM"),[1]AB5!$B$22,[1]AB5!$H$25))</f>
        <v>Check If 09:04:59 AM LL &lt; Long SL</v>
      </c>
      <c r="G375" s="76"/>
      <c r="H375" s="139" t="str">
        <f>IF(C354="","",[1]AB5!$I$25)</f>
        <v>No</v>
      </c>
      <c r="I375" s="27"/>
      <c r="J375" s="140" t="str">
        <f>IF(C354="","",[1]AB5!$K$25)</f>
        <v>FSL / TRP Not Missed</v>
      </c>
      <c r="K375" s="141" t="str">
        <f>IF(C354="","",[1]AB5!$L$25)</f>
        <v>Place the Order at ORPT</v>
      </c>
      <c r="L375" s="142"/>
      <c r="M375" s="142"/>
      <c r="N375" s="27"/>
      <c r="O375" s="141" t="str">
        <f>IF(C354="","",[1]AB5!$P$25)</f>
        <v>ORPT Time</v>
      </c>
      <c r="P375" s="27"/>
      <c r="Q375" s="143">
        <f>IF(C354="","",B372)</f>
        <v>0.37846527777777778</v>
      </c>
      <c r="R375" s="27"/>
      <c r="S375" s="141" t="str">
        <f>IF(C354="","",[1]AB5!$U$25)</f>
        <v>N.A.</v>
      </c>
      <c r="T375" s="142"/>
      <c r="U375" s="27"/>
      <c r="V375" s="140" t="str">
        <f>IF(C354="","",[1]AB5!$W$25)</f>
        <v>N.A.</v>
      </c>
      <c r="W375" s="144" t="str">
        <f>IF(C354="","",[1]AB5!$X$25)</f>
        <v>N.A.</v>
      </c>
      <c r="X375" s="29"/>
      <c r="Y375" s="117" t="str">
        <f>IF(C354="","",[1]AB5!$AA$25)</f>
        <v xml:space="preserve">Short Entry : Bull/ Bull CF : </v>
      </c>
      <c r="Z375" s="12"/>
      <c r="AA375" s="59"/>
      <c r="AB375" s="68"/>
      <c r="AC375" s="68"/>
    </row>
    <row r="376" spans="1:29" ht="24" customHeight="1" thickBot="1" x14ac:dyDescent="0.25">
      <c r="A376" s="18" t="str">
        <f>IF(C354="","",CONCATENATE(C355,[1]AB5!$A$26))</f>
        <v>S11B</v>
      </c>
      <c r="B376" s="119">
        <f t="array" ref="B376">IF(C354="","",INDEX([1]AB4!BG:BG,MATCH(A375,[1]AB4!B:B,0)))</f>
        <v>0.375</v>
      </c>
      <c r="C376" s="120" t="str">
        <f t="array" ref="C376">IF(C354="","",INDEX([1]AB4!BG:BG,MATCH(A376,[1]AB4!B:B,0)))</f>
        <v>N.A.</v>
      </c>
      <c r="D376" s="64"/>
      <c r="E376" s="59"/>
      <c r="F376" s="64"/>
      <c r="G376" s="12"/>
      <c r="H376" s="113" t="str">
        <f>IF(C354="","",[1]AB5!$I$26)</f>
        <v>Yes</v>
      </c>
      <c r="I376" s="83"/>
      <c r="J376" s="114" t="str">
        <f>IF(C354="","",[1]AB5!$K$26)</f>
        <v>FSL / TRP Missed</v>
      </c>
      <c r="K376" s="110" t="str">
        <f>IF(C354="","",[1]AB5!$L$26)</f>
        <v>Recalcuate : Long FSL / TRP : Bull / Bull CF</v>
      </c>
      <c r="L376" s="88"/>
      <c r="M376" s="88"/>
      <c r="N376" s="85"/>
      <c r="O376" s="110" t="str">
        <f>IF(C354="","",[1]AB5!$P$26)</f>
        <v>Wait Till Recalculation Time</v>
      </c>
      <c r="P376" s="85"/>
      <c r="Q376" s="111">
        <f>IF(C354="","",C372)</f>
        <v>0.38540972222222225</v>
      </c>
      <c r="R376" s="85"/>
      <c r="S376" s="110" t="str">
        <f>IF(C354="","",CONCATENATE(V376," ",[1]AB5!$Z$26," ",TEXT(W376,"0.00%")))</f>
        <v>09:14:59 AM LL - 0.10%</v>
      </c>
      <c r="T376" s="88"/>
      <c r="U376" s="85"/>
      <c r="V376" s="116" t="str">
        <f>IF(C354="","",CONCATENATE(TEXT(Q376,"HH:MM:SS AM/PM"),[1]AB5!$U$26))</f>
        <v>09:14:59 AM LL</v>
      </c>
      <c r="W376" s="112" t="str">
        <f t="array" ref="W376">IF(C354="","",TEXT(INDEX([1]AB4!BL:BL,MATCH(A355,[1]AB4!B:B,0)),"0.00%"))</f>
        <v>0.10%</v>
      </c>
      <c r="X376" s="91"/>
      <c r="Y376" s="145"/>
      <c r="Z376" s="145"/>
      <c r="AA376" s="104"/>
      <c r="AB376" s="68"/>
      <c r="AC376" s="68"/>
    </row>
    <row r="377" spans="1:29" ht="24" customHeight="1" x14ac:dyDescent="0.2">
      <c r="A377" s="18"/>
      <c r="B377" s="62" t="str">
        <f>IF(C354="","",[1]AB5!$B$27)</f>
        <v>I Commit To Follow The Rules &amp; Process</v>
      </c>
      <c r="C377" s="63"/>
      <c r="D377" s="64"/>
      <c r="E377" s="59"/>
      <c r="F377" s="64"/>
      <c r="G377" s="12"/>
      <c r="H377" s="48"/>
      <c r="I377" s="95"/>
      <c r="J377" s="146"/>
      <c r="K377" s="110" t="str">
        <f>IF(C354="","",[1]AB5!$L$27)</f>
        <v>Recalcuate : Long FSL / TRP : Bear / Bear CF</v>
      </c>
      <c r="L377" s="88"/>
      <c r="M377" s="88"/>
      <c r="N377" s="85"/>
      <c r="O377" s="110" t="str">
        <f>IF(C354="","",[1]AB5!$P$27)</f>
        <v>Wait Till Recalculation Time</v>
      </c>
      <c r="P377" s="85"/>
      <c r="Q377" s="111">
        <f>IF(C354="","",C372)</f>
        <v>0.38540972222222225</v>
      </c>
      <c r="R377" s="85"/>
      <c r="S377" s="110" t="str">
        <f>IF(C355="","",CONCATENATE(V377," ",[1]AB5!$Z$26," ",TEXT(W377,"0.00%")))</f>
        <v>09:14:59 AM LL - 0.10%</v>
      </c>
      <c r="T377" s="88"/>
      <c r="U377" s="85"/>
      <c r="V377" s="116" t="str">
        <f>IF(C354="","",CONCATENATE(TEXT(Q376,"HH:MM:SS AM/PM"),[1]AB5!$U$27))</f>
        <v>09:14:59 AM LL</v>
      </c>
      <c r="W377" s="112" t="str">
        <f t="array" ref="W377">IF(C354="","",TEXT(INDEX([1]AB4!BL:BL,MATCH(A355,[1]AB4!B:B,0)),"0.00%"))</f>
        <v>0.10%</v>
      </c>
      <c r="X377" s="91"/>
      <c r="Y377" s="147" t="str">
        <f>IF(C354="","",CONCATENATE([1]AB5!$T$28," ( ",G357," or ",[1]AB5!$AA$26," ",[1]AB5!$Z$28," ",TEXT(W378,"0.00%")," )"))</f>
        <v>Min ( FUT : PRV : 3DLL - 0.10% or  CDLL - 0.10% )</v>
      </c>
      <c r="Z377" s="148"/>
      <c r="AA377" s="63"/>
      <c r="AB377" s="68"/>
      <c r="AC377" s="68"/>
    </row>
    <row r="378" spans="1:29" ht="33" customHeight="1" x14ac:dyDescent="0.2">
      <c r="A378" s="18"/>
      <c r="B378" s="64"/>
      <c r="C378" s="59"/>
      <c r="D378" s="64"/>
      <c r="E378" s="59"/>
      <c r="F378" s="64"/>
      <c r="G378" s="12"/>
      <c r="H378" s="48"/>
      <c r="I378" s="95"/>
      <c r="J378" s="146"/>
      <c r="K378" s="110" t="str">
        <f>IF(C354="","",[1]AB5!$L$28)</f>
        <v>Recalcuate : Short Entry : Bull / Bull CF</v>
      </c>
      <c r="L378" s="88"/>
      <c r="M378" s="88"/>
      <c r="N378" s="85"/>
      <c r="O378" s="110" t="str">
        <f>IF(C354="","",[1]AB5!$P$28)</f>
        <v>Wait Till Recalculation Time</v>
      </c>
      <c r="P378" s="85"/>
      <c r="Q378" s="111">
        <f>IF(C354="","",C368)</f>
        <v>0.38540972222222225</v>
      </c>
      <c r="R378" s="85"/>
      <c r="S378" s="115" t="str">
        <f>IF(C354="","",CONCATENATE([1]AB5!$T$28," ( ",G357," or ",V378," ",[1]AB5!$Z$28," ",TEXT(W378,"0.00%")," )"))</f>
        <v>Min ( FUT : PRV : 3DLL - 0.10% or 09:14:59 AM LL - 0.10% )</v>
      </c>
      <c r="T378" s="88"/>
      <c r="U378" s="85"/>
      <c r="V378" s="116" t="str">
        <f>IF(C354="","",CONCATENATE(TEXT(Q378,"HH:MM:SS AM/PM"),[1]AB5!$U$28))</f>
        <v>09:14:59 AM LL</v>
      </c>
      <c r="W378" s="112" t="str">
        <f t="array" ref="W378">IF(C354="","",TEXT(INDEX([1]AB4!BK:BK,MATCH(A357,[1]AB4!B:B,0)),"0.00%"))</f>
        <v>0.10%</v>
      </c>
      <c r="X378" s="91"/>
      <c r="Y378" s="145"/>
      <c r="Z378" s="145"/>
      <c r="AA378" s="104"/>
      <c r="AB378" s="68"/>
      <c r="AC378" s="68"/>
    </row>
    <row r="379" spans="1:29" ht="33" customHeight="1" thickBot="1" x14ac:dyDescent="0.25">
      <c r="A379" s="18"/>
      <c r="B379" s="60"/>
      <c r="C379" s="66"/>
      <c r="D379" s="103"/>
      <c r="E379" s="104"/>
      <c r="F379" s="103"/>
      <c r="G379" s="145"/>
      <c r="H379" s="51"/>
      <c r="I379" s="105"/>
      <c r="J379" s="53"/>
      <c r="K379" s="110" t="str">
        <f>IF(C354="","",[1]AB5!$L$29)</f>
        <v>Recalcuate : Short Entry : Bear / Bear CF</v>
      </c>
      <c r="L379" s="88"/>
      <c r="M379" s="88"/>
      <c r="N379" s="85"/>
      <c r="O379" s="110" t="str">
        <f>IF(C354="","",[1]AB5!$P$29)</f>
        <v>Wait Till Recalculation Time</v>
      </c>
      <c r="P379" s="85"/>
      <c r="Q379" s="111">
        <f>IF(C354="","",C368)</f>
        <v>0.38540972222222225</v>
      </c>
      <c r="R379" s="85"/>
      <c r="S379" s="115" t="str">
        <f>IF(C354="","",CONCATENATE([1]AB5!$T$29," ( ",G363," or ",V379," ",[1]AB5!$Z$29," ",TEXT(W379,"0.00%")," )"))</f>
        <v>Min ( FUT : PRV : 3DLL - 0.10% or 09:14:59 AM LL - 0.10% )</v>
      </c>
      <c r="T379" s="88"/>
      <c r="U379" s="85"/>
      <c r="V379" s="116" t="str">
        <f>IF(C354="","",CONCATENATE(TEXT(Q379,"HH:MM:SS AM/PM"),[1]AB5!$U$29))</f>
        <v>09:14:59 AM LL</v>
      </c>
      <c r="W379" s="112" t="str">
        <f t="array" ref="W379">IF(C354="","",TEXT(INDEX([1]AB4!BK:BK,MATCH(A363,[1]AB4!B:B,0)),"0.00%"))</f>
        <v>0.10%</v>
      </c>
      <c r="X379" s="91"/>
      <c r="Y379" s="149" t="str">
        <f>IF(C354="","",[1]AB5!$AA$29)</f>
        <v xml:space="preserve">Short Entry : Bear/ Bear CF : </v>
      </c>
      <c r="Z379" s="88"/>
      <c r="AA379" s="91"/>
      <c r="AB379" s="68"/>
      <c r="AC379" s="68"/>
    </row>
    <row r="380" spans="1:29" ht="21.75" customHeight="1" x14ac:dyDescent="0.2">
      <c r="A380" s="18"/>
      <c r="B380" s="150" t="str">
        <f>IF(C354="","",IF([1]AB5!$B$12="","",[1]AB5!$B$30))</f>
        <v>By Asmita Patel.</v>
      </c>
      <c r="C380" s="71"/>
      <c r="D380" s="81" t="str">
        <f>IF(C354="","",[1]AB5!$D$30)</f>
        <v>For Short SL</v>
      </c>
      <c r="E380" s="63"/>
      <c r="F380" s="151" t="str">
        <f>IF(C354="","",CONCATENATE([1]AB5!$G$30,TEXT(B372,"HH:MM:SS AM/PM"),[1]AB5!$B$22,[1]AB5!$H$30))</f>
        <v>Check If 09:04:59 AM HH &gt; Short SL</v>
      </c>
      <c r="G380" s="83"/>
      <c r="H380" s="84" t="str">
        <f>IF(C354="","",[1]AB5!$I$30)</f>
        <v>No</v>
      </c>
      <c r="I380" s="85"/>
      <c r="J380" s="86" t="str">
        <f>IF(C354="","",[1]AB5!$K$30)</f>
        <v>FSL / TRP Not Missed</v>
      </c>
      <c r="K380" s="87" t="str">
        <f>IF(C354="","",[1]AB5!$L$30)</f>
        <v>Place the Order at ORPT</v>
      </c>
      <c r="L380" s="88"/>
      <c r="M380" s="88"/>
      <c r="N380" s="85"/>
      <c r="O380" s="87" t="str">
        <f>IF(C354="","",[1]AB5!$P$30)</f>
        <v>ORPT Time</v>
      </c>
      <c r="P380" s="85"/>
      <c r="Q380" s="89">
        <f>IF(C354="","",B372)</f>
        <v>0.37846527777777778</v>
      </c>
      <c r="R380" s="85"/>
      <c r="S380" s="87" t="str">
        <f>IF(C354="","",[1]AB5!$T$30)</f>
        <v>N.A.</v>
      </c>
      <c r="T380" s="88"/>
      <c r="U380" s="85"/>
      <c r="V380" s="86" t="str">
        <f>IF(C354="","",[1]AB5!$W$30)</f>
        <v>N.A.</v>
      </c>
      <c r="W380" s="90" t="str">
        <f>IF(C354="","",[1]AB5!$X$30)</f>
        <v>N.A.</v>
      </c>
      <c r="X380" s="91"/>
      <c r="Y380" s="147" t="str">
        <f>IF(C354="","",CONCATENATE([1]AB5!$T$29," ( ",G363," or ",[1]AB5!$AA$30," ",[1]AB5!$Z$29," ",TEXT(W379,"0.00%")," )"))</f>
        <v>Min ( FUT : PRV : 3DLL - 0.10% or  CDLL - 0.10% )</v>
      </c>
      <c r="Z380" s="148"/>
      <c r="AA380" s="63"/>
      <c r="AB380" s="68"/>
      <c r="AC380" s="68"/>
    </row>
    <row r="381" spans="1:29" ht="21.75" customHeight="1" x14ac:dyDescent="0.2">
      <c r="A381" s="152"/>
      <c r="B381" s="64"/>
      <c r="C381" s="59"/>
      <c r="D381" s="64"/>
      <c r="E381" s="59"/>
      <c r="F381" s="64"/>
      <c r="G381" s="95"/>
      <c r="H381" s="96" t="str">
        <f>IF(C354="","",[1]AB5!$I$31)</f>
        <v>Yes</v>
      </c>
      <c r="I381" s="83"/>
      <c r="J381" s="97" t="str">
        <f>IF(C354="","",[1]AB5!$K$31)</f>
        <v>FSL / TRP Missed</v>
      </c>
      <c r="K381" s="87" t="str">
        <f>IF(C354="","",[1]AB5!$L$31)</f>
        <v>Recalcuate : Short FSL / TRP : Bull / Bull CF</v>
      </c>
      <c r="L381" s="88"/>
      <c r="M381" s="88"/>
      <c r="N381" s="85"/>
      <c r="O381" s="87" t="str">
        <f>IF(C354="","",[1]AB5!$P$31)</f>
        <v>Wait Till Recalculation Time</v>
      </c>
      <c r="P381" s="85"/>
      <c r="Q381" s="89">
        <f>IF(C354="","",C372)</f>
        <v>0.38540972222222225</v>
      </c>
      <c r="R381" s="85"/>
      <c r="S381" s="87" t="str">
        <f>IF(C354="","",CONCATENATE(V381," ",[1]AB5!$Z$31," ",TEXT(W381,"0.00%")))</f>
        <v>09:14:59 AM HH + 0.10%</v>
      </c>
      <c r="T381" s="88"/>
      <c r="U381" s="85"/>
      <c r="V381" s="153" t="str">
        <f>IF(C354="","",CONCATENATE(TEXT(Q381,"HH:MM:SS AM/PM"),[1]AB5!$U$31))</f>
        <v>09:14:59 AM HH</v>
      </c>
      <c r="W381" s="90" t="str">
        <f t="array" ref="W381">IF(C354="","",TEXT(INDEX([1]AB4!BL:BL,MATCH(A363,[1]AB4!B:B,0)),"0.00%"))</f>
        <v>0.10%</v>
      </c>
      <c r="X381" s="91"/>
      <c r="Y381" s="12"/>
      <c r="Z381" s="12"/>
      <c r="AA381" s="59"/>
      <c r="AB381" s="68"/>
      <c r="AC381" s="68"/>
    </row>
    <row r="382" spans="1:29" ht="22.5" customHeight="1" x14ac:dyDescent="0.2">
      <c r="A382" s="152"/>
      <c r="B382" s="64"/>
      <c r="C382" s="59"/>
      <c r="D382" s="64"/>
      <c r="E382" s="59"/>
      <c r="F382" s="64"/>
      <c r="G382" s="95"/>
      <c r="H382" s="48"/>
      <c r="I382" s="95"/>
      <c r="J382" s="146"/>
      <c r="K382" s="87" t="str">
        <f>IF(C354="","",[1]AB5!$L$32)</f>
        <v>Recalcuate : Short FSL / TRP : Bear / Bear CF</v>
      </c>
      <c r="L382" s="88"/>
      <c r="M382" s="88"/>
      <c r="N382" s="85"/>
      <c r="O382" s="87" t="str">
        <f>IF(C354="","",[1]AB5!$P$32)</f>
        <v>Wait Till Recalculation Time</v>
      </c>
      <c r="P382" s="85"/>
      <c r="Q382" s="89">
        <f>IF(C354="","",C372)</f>
        <v>0.38540972222222225</v>
      </c>
      <c r="R382" s="85"/>
      <c r="S382" s="87" t="str">
        <f>IF(C355="","",CONCATENATE(V382," ",[1]AB5!$Z$31," ",TEXT(W382,"0.00%")))</f>
        <v>09:14:59 AM HH + 0.10%</v>
      </c>
      <c r="T382" s="88"/>
      <c r="U382" s="85"/>
      <c r="V382" s="153" t="str">
        <f>IF(C354="","",CONCATENATE(TEXT(Q381,"HH:MM:SS AM/PM"),[1]AB5!$U$32))</f>
        <v>09:14:59 AM HH</v>
      </c>
      <c r="W382" s="90" t="str">
        <f t="array" ref="W382">IF(C354="","",TEXT(INDEX([1]AB4!BL:BL,MATCH(A363,[1]AB4!B:B,0)),"0.00%"))</f>
        <v>0.10%</v>
      </c>
      <c r="X382" s="91"/>
      <c r="Y382" s="145"/>
      <c r="Z382" s="145"/>
      <c r="AA382" s="104"/>
      <c r="AB382" s="68"/>
      <c r="AC382" s="68"/>
    </row>
    <row r="383" spans="1:29" ht="48" customHeight="1" x14ac:dyDescent="0.2">
      <c r="A383" s="152"/>
      <c r="B383" s="64"/>
      <c r="C383" s="59"/>
      <c r="D383" s="64"/>
      <c r="E383" s="59"/>
      <c r="F383" s="64"/>
      <c r="G383" s="95"/>
      <c r="H383" s="48"/>
      <c r="I383" s="95"/>
      <c r="J383" s="146"/>
      <c r="K383" s="87" t="str">
        <f>IF(C354="","",[1]AB5!$L$33)</f>
        <v>Recalcuate : Long Entry : Bull / Bull CF</v>
      </c>
      <c r="L383" s="88"/>
      <c r="M383" s="88"/>
      <c r="N383" s="85"/>
      <c r="O383" s="87" t="str">
        <f>IF(C354="","",[1]AB5!$P$33)</f>
        <v>Wait Till Recalculation Time</v>
      </c>
      <c r="P383" s="85"/>
      <c r="Q383" s="89">
        <f>IF(C354="","",C368)</f>
        <v>0.38540972222222225</v>
      </c>
      <c r="R383" s="85"/>
      <c r="S383" s="98" t="str">
        <f>IF(C354="","",CONCATENATE([1]AB5!$T$33," ( ",G354," or ",V383," ",[1]AB5!$Z$33," ",TEXT(W383,"0.00%")," )"))</f>
        <v>Max ( FUT : PRV : 3DHH + 0.10% or 09:14:59 AM HH + 0.10% )</v>
      </c>
      <c r="T383" s="88"/>
      <c r="U383" s="85"/>
      <c r="V383" s="99" t="str">
        <f>IF(C354="","",CONCATENATE(TEXT(Q383,"HH:MM:SS AM/PM"),[1]AB5!$U$33))</f>
        <v>09:14:59 AM HH</v>
      </c>
      <c r="W383" s="90" t="str">
        <f t="array" ref="W383">IF(C354="","",TEXT(INDEX([1]AB4!BK:BK,MATCH(A354,[1]AB4!B:B,0)),"0.00%"))</f>
        <v>0.10%</v>
      </c>
      <c r="X383" s="91"/>
      <c r="Y383" s="117" t="str">
        <f>IF(C354="","",[1]AB5!$AA$33)</f>
        <v>When Your Short Position is Exited</v>
      </c>
      <c r="Z383" s="118"/>
      <c r="AA383" s="59"/>
      <c r="AB383" s="68"/>
      <c r="AC383" s="68"/>
    </row>
    <row r="384" spans="1:29" ht="33" customHeight="1" thickBot="1" x14ac:dyDescent="0.25">
      <c r="A384" s="152"/>
      <c r="B384" s="60"/>
      <c r="C384" s="66"/>
      <c r="D384" s="60"/>
      <c r="E384" s="66"/>
      <c r="F384" s="60"/>
      <c r="G384" s="121"/>
      <c r="H384" s="102"/>
      <c r="I384" s="121"/>
      <c r="J384" s="122"/>
      <c r="K384" s="154" t="str">
        <f>IF(C354="","",[1]AB5!$L$34)</f>
        <v>Recalcuate : Long Entry : Bear / Bear CF</v>
      </c>
      <c r="L384" s="124"/>
      <c r="M384" s="124"/>
      <c r="N384" s="38"/>
      <c r="O384" s="154" t="str">
        <f>IF(C354="","",[1]AB5!$P$34)</f>
        <v>Wait Till Recalculation Time</v>
      </c>
      <c r="P384" s="38"/>
      <c r="Q384" s="155">
        <f>IF(C354="","",C368)</f>
        <v>0.38540972222222225</v>
      </c>
      <c r="R384" s="38"/>
      <c r="S384" s="156" t="str">
        <f>IF(C354="","",CONCATENATE([1]AB5!$T$34," ( ",G360," or ",V384," ",[1]AB5!$Z$34," ",TEXT(W384,"0.00%")," )"))</f>
        <v>Max ( FUT : PRV : 3DHH + 0.10% or 09:14:59 AM HH + 0.10% )</v>
      </c>
      <c r="T384" s="124"/>
      <c r="U384" s="38"/>
      <c r="V384" s="157" t="str">
        <f>IF(C354="","",CONCATENATE(TEXT(Q384,"HH:MM:SS AM/PM"),[1]AB5!$U$34))</f>
        <v>09:14:59 AM HH</v>
      </c>
      <c r="W384" s="158" t="str">
        <f t="array" ref="W384">IF(C354="","",TEXT(INDEX([1]AB4!BK:BK,MATCH(A360,[1]AB4!B:B,0)),"0.00%"))</f>
        <v>0.10%</v>
      </c>
      <c r="X384" s="41"/>
      <c r="Y384" s="117" t="str">
        <f>IF(C354="","",[1]AB5!$AA$34)</f>
        <v>This is Only Applicable for Same Day</v>
      </c>
      <c r="Z384" s="118"/>
      <c r="AA384" s="59"/>
      <c r="AB384" s="68"/>
      <c r="AC384" s="68"/>
    </row>
    <row r="385" spans="1:29" ht="21.75" customHeight="1" thickBot="1" x14ac:dyDescent="0.25">
      <c r="A385" s="152"/>
      <c r="B385" s="69" t="str">
        <f>IF(C354="","",[1]AB5!$B$35)</f>
        <v>For Missed SL (Position = Open)</v>
      </c>
      <c r="C385" s="29"/>
      <c r="D385" s="70" t="str">
        <f>IF(C354="","",[1]AB5!$D$36)</f>
        <v>Note: ( Optional )</v>
      </c>
      <c r="E385" s="71"/>
      <c r="F385" s="159" t="str">
        <f>IF(C354="","",[1]AB5!$I$35)</f>
        <v>For Long SL</v>
      </c>
      <c r="G385" s="136"/>
      <c r="H385" s="136"/>
      <c r="I385" s="136"/>
      <c r="J385" s="136"/>
      <c r="K385" s="136"/>
      <c r="L385" s="136"/>
      <c r="M385" s="136"/>
      <c r="N385" s="136"/>
      <c r="O385" s="136"/>
      <c r="P385" s="133"/>
      <c r="Q385" s="159" t="str">
        <f>IF(N354="","",[1]AB5!$T$35)</f>
        <v>For Short SL</v>
      </c>
      <c r="R385" s="136"/>
      <c r="S385" s="136"/>
      <c r="T385" s="136"/>
      <c r="U385" s="136"/>
      <c r="V385" s="136"/>
      <c r="W385" s="136"/>
      <c r="X385" s="136"/>
      <c r="Y385" s="136"/>
      <c r="Z385" s="136"/>
      <c r="AA385" s="133"/>
      <c r="AB385" s="68"/>
      <c r="AC385" s="68"/>
    </row>
    <row r="386" spans="1:29" ht="36" customHeight="1" x14ac:dyDescent="0.2">
      <c r="A386" s="152"/>
      <c r="B386" s="160" t="str">
        <f>IF(C354="","",[1]AB5!$B$36)</f>
        <v>Check time</v>
      </c>
      <c r="C386" s="91"/>
      <c r="D386" s="64"/>
      <c r="E386" s="59"/>
      <c r="F386" s="161" t="str">
        <f>IF(C354="","",CONCATENATE([1]AB5!$G$36,TEXT(B387,"HH:MM:SS AM/PM"),[1]AB5!$B$37,[1]AB5!$H$36))</f>
        <v>Check If Close at 11:00:00 PM  &lt; Long Original SL</v>
      </c>
      <c r="G386" s="85"/>
      <c r="H386" s="162" t="str">
        <f>IF(C354="","",[1]AB5!$I$36)</f>
        <v>Yes</v>
      </c>
      <c r="I386" s="105"/>
      <c r="J386" s="163" t="str">
        <f>IF(C354="","",CONCATENATE([1]AB5!$K$36,TEXT(B387,"HH:MM:SS AM/PM")))</f>
        <v xml:space="preserve"> Then Square Off The Position At CMP at 11:00:00 PM</v>
      </c>
      <c r="K386" s="145"/>
      <c r="L386" s="145"/>
      <c r="M386" s="145"/>
      <c r="N386" s="145"/>
      <c r="O386" s="145"/>
      <c r="P386" s="104"/>
      <c r="Q386" s="164" t="str">
        <f>IF(C354="","",CONCATENATE([1]AB5!$T$36,TEXT(B387,"HH:MM:SS AM/PM"),[1]AB5!$B$37,[1]AB5!$U$36))</f>
        <v>Check If Close at 11:00:00 PM  &gt; Short Original SL</v>
      </c>
      <c r="R386" s="145"/>
      <c r="S386" s="105"/>
      <c r="T386" s="165" t="str">
        <f>IF(C354="","",[1]AB5!$I$36)</f>
        <v>Yes</v>
      </c>
      <c r="U386" s="166" t="str">
        <f>IF(C354="","",CONCATENATE([1]AB5!$W$36,TEXT(B387,"HH:MM:SS AM/PM")))</f>
        <v xml:space="preserve"> Then Square Off The Position At CMP at 11:00:00 PM</v>
      </c>
      <c r="V386" s="145"/>
      <c r="W386" s="145"/>
      <c r="X386" s="145"/>
      <c r="Y386" s="145"/>
      <c r="Z386" s="145"/>
      <c r="AA386" s="104"/>
      <c r="AB386" s="68"/>
      <c r="AC386" s="167"/>
    </row>
    <row r="387" spans="1:29" ht="36" customHeight="1" thickBot="1" x14ac:dyDescent="0.25">
      <c r="A387" s="152"/>
      <c r="B387" s="168">
        <f t="array" ref="B387">IF(C354="","",INDEX([1]AB4!CU:CU,MATCH(A375,[1]AB4!B:B,0)))</f>
        <v>0.95833333333333326</v>
      </c>
      <c r="C387" s="41"/>
      <c r="D387" s="60"/>
      <c r="E387" s="66"/>
      <c r="F387" s="169" t="str">
        <f>IF(C354="","",CONCATENATE([1]AB5!$G$37,TEXT(B387,"HH:MM:SS AM/PM"),[1]AB5!$B$37,[1]AB5!$H$37))</f>
        <v>Check If Close at 11:00:00 PM  &gt; Long Original SL</v>
      </c>
      <c r="G387" s="38"/>
      <c r="H387" s="170" t="str">
        <f>IF(C354="","",[1]AB5!$I$37)</f>
        <v>Yes</v>
      </c>
      <c r="I387" s="38"/>
      <c r="J387" s="156" t="str">
        <f>IF(C354="","",CONCATENATE([1]AB5!$K$37))</f>
        <v xml:space="preserve"> Then Continue the Position for Next Day And Calculate Stop Loss Price as per the Rules</v>
      </c>
      <c r="K387" s="124"/>
      <c r="L387" s="124"/>
      <c r="M387" s="124"/>
      <c r="N387" s="124"/>
      <c r="O387" s="124"/>
      <c r="P387" s="41"/>
      <c r="Q387" s="169" t="str">
        <f>IF(C354="","",CONCATENATE([1]AB5!$T$37,TEXT(B387,"HH:MM:SS AM/PM"),[1]AB5!$B$37,[1]AB5!$U$37))</f>
        <v>Check If Close at 11:00:00 PM  &lt; Short Original SL</v>
      </c>
      <c r="R387" s="124"/>
      <c r="S387" s="38"/>
      <c r="T387" s="171" t="str">
        <f>IF(C355="","",[1]AB5!$I$36)</f>
        <v>Yes</v>
      </c>
      <c r="U387" s="156" t="str">
        <f>IF(C354="","",CONCATENATE([1]AB5!$W$37))</f>
        <v xml:space="preserve"> Then Continue the Position for Next Day And Calculate Stop Loss Price as per the Rules</v>
      </c>
      <c r="V387" s="124"/>
      <c r="W387" s="124"/>
      <c r="X387" s="124"/>
      <c r="Y387" s="124"/>
      <c r="Z387" s="124"/>
      <c r="AA387" s="41"/>
      <c r="AB387" s="68"/>
      <c r="AC387" s="167"/>
    </row>
    <row r="388" spans="1:29" ht="15.75" customHeight="1" thickBot="1" x14ac:dyDescent="0.25">
      <c r="A388" s="177"/>
    </row>
    <row r="389" spans="1:29" ht="30.75" customHeight="1" x14ac:dyDescent="0.2">
      <c r="A389" s="18" t="str">
        <f>IF(C389="","",CONCATENATE(C390,[1]AB5!$A$4))</f>
        <v>S12A</v>
      </c>
      <c r="B389" s="20" t="str">
        <f>IF(C389="","",IF([1]AB5!$B$4="","",[1]AB5!$B$4))</f>
        <v>Sr. No.</v>
      </c>
      <c r="C389" s="172">
        <v>12</v>
      </c>
      <c r="D389" s="173" t="str">
        <f>IF(C389="","",[1]AB5!$D$4)</f>
        <v>BULL / BULL CF</v>
      </c>
      <c r="E389" s="57" t="str">
        <f>IF(C389="","",[1]AB5!$F$4)</f>
        <v>BUY</v>
      </c>
      <c r="F389" s="58" t="str">
        <f>IF(C389="","",[1]AB5!$G$4)</f>
        <v>E &amp; T</v>
      </c>
      <c r="G389" s="25" t="str">
        <f t="array" ref="G389">IF(C389="","",CONCATENATE(INDEX([1]AB4!G:G,MATCH(A389,[1]AB4!B:B,0)),INDEX([1]AB4!H:H,MATCH(A389,[1]AB4!B:B,0)),TEXT(INDEX([1]AB4!I:I,MATCH(A389,[1]AB4!B:B,0)),"0.00%")))</f>
        <v>FUT : PRV : 2DHH + 0.00%</v>
      </c>
      <c r="H389" s="26">
        <f t="array" ref="H389">IF(C389="","",INDEX([1]AB4!J:J,MATCH(A389,[1]AB4!B:B,0)))</f>
        <v>5</v>
      </c>
      <c r="I389" s="27"/>
      <c r="J389" s="28" t="str">
        <f t="array" ref="J389">IF(C389="","",CONCATENATE(INDEX([1]AB4!L:L,MATCH(A389,[1]AB4!B:B,0)),INDEX([1]AB4!M:M,MATCH(A389,[1]AB4!B:B,0)),TEXT(INDEX([1]AB4!N:N,MATCH(A389,[1]AB4!B:B,0)),"0.00%")))</f>
        <v>L : Entry  + 1.40%</v>
      </c>
      <c r="K389" s="26">
        <f t="array" ref="K389">IF(C389="","",INDEX([1]AB4!O:O,MATCH(A389,[1]AB4!B:B,0)))</f>
        <v>1</v>
      </c>
      <c r="L389" s="27"/>
      <c r="M389" s="28" t="str">
        <f t="array" ref="M389">IF(C389="","",CONCATENATE(INDEX([1]AB4!L:L,MATCH(A389,[1]AB4!B:B,0)),INDEX([1]AB4!M:M,MATCH(A389,[1]AB4!B:B,0)),TEXT(INDEX([1]AB4!P:P,MATCH(A389,[1]AB4!B:B,0)),"0.00%")))</f>
        <v>L : Entry  + 2.10%</v>
      </c>
      <c r="N389" s="26">
        <f t="array" ref="N389">IF(C389="","",INDEX([1]AB4!Q:Q,MATCH(A389,[1]AB4!B:B,0)))</f>
        <v>1</v>
      </c>
      <c r="O389" s="27"/>
      <c r="P389" s="28" t="str">
        <f t="array" ref="P389">IF(C389="","",CONCATENATE(INDEX([1]AB4!L:L,MATCH(A389,[1]AB4!B:B,0)),INDEX([1]AB4!M:M,MATCH(A389,[1]AB4!B:B,0)),TEXT(INDEX([1]AB4!R:R,MATCH(A389,[1]AB4!B:B,0)),"0.00%")))</f>
        <v>L : Entry  + 2.80%</v>
      </c>
      <c r="Q389" s="26">
        <f t="array" ref="Q389">IF(C389="","",INDEX([1]AB4!S:S,MATCH(A389,[1]AB4!B:B,0)))</f>
        <v>1</v>
      </c>
      <c r="R389" s="27"/>
      <c r="S389" s="28" t="str">
        <f t="array" ref="S389">IF(C389="","",CONCATENATE(INDEX([1]AB4!L:L,MATCH(A389,[1]AB4!B:B,0)),INDEX([1]AB4!M:M,MATCH(A389,[1]AB4!B:B,0)),TEXT(INDEX([1]AB4!T:T,MATCH(A389,[1]AB4!B:B,0)),"0.00%")))</f>
        <v>L : Entry  + 3.50%</v>
      </c>
      <c r="T389" s="26">
        <f t="array" ref="T389">IF(C389="","",INDEX([1]AB4!U:U,MATCH(A389,[1]AB4!B:B,0)))</f>
        <v>1</v>
      </c>
      <c r="U389" s="27"/>
      <c r="V389" s="28" t="str">
        <f t="array" ref="V389">IF(C389="","",INDEX([1]AB4!V:V,MATCH(A389,[1]AB4!B:B,0)))</f>
        <v>TR PROFIT AFTER TGT 4</v>
      </c>
      <c r="W389" s="26">
        <f t="array" ref="W389">IF(C389="","",INDEX([1]AB4!W:W,MATCH(A389,[1]AB4!B:B,0)))</f>
        <v>1</v>
      </c>
      <c r="X389" s="27"/>
      <c r="Y389" s="28" t="str">
        <f t="array" ref="Y389">IF(C389="","",INDEX([1]AB4!X:X,MATCH(A389,[1]AB4!B:B,0)))</f>
        <v>N.A.</v>
      </c>
      <c r="Z389" s="26" t="str">
        <f t="array" ref="Z389">IF(C389="","",INDEX([1]AB4!Y:Y,MATCH(A389,[1]AB4!B:B,0)))</f>
        <v>N.A.</v>
      </c>
      <c r="AA389" s="29"/>
      <c r="AB389" s="30"/>
      <c r="AC389" s="30"/>
    </row>
    <row r="390" spans="1:29" ht="44.25" customHeight="1" thickBot="1" x14ac:dyDescent="0.25">
      <c r="A390" s="18" t="str">
        <f>IF(C389="","",CONCATENATE(C390,[1]AB5!$A$5))</f>
        <v>S12A</v>
      </c>
      <c r="B390" s="31" t="str">
        <f>IF(C389="","",IF([1]AB5!$B$5="","",[1]AB5!$B$5))</f>
        <v>Strategy Code</v>
      </c>
      <c r="C390" s="54" t="str">
        <f t="array" ref="C390">IF(C389="","",INDEX([1]AB2!B:B,MATCH(C389,[1]AB2!A:A,0)))</f>
        <v>S12</v>
      </c>
      <c r="D390" s="59"/>
      <c r="E390" s="60"/>
      <c r="F390" s="61" t="str">
        <f>IF(C389="","",[1]AB5!$G$5)</f>
        <v>SL / TRP</v>
      </c>
      <c r="G390" s="36" t="str">
        <f t="array" ref="G390">IF(C389="","",CONCATENATE(INDEX([1]AB4!AA:AA,MATCH(A390,[1]AB4!B:B,0))," ( ",INDEX([1]AB4!AE:AE,MATCH(A390,[1]AB4!B:B,0)),INDEX([1]AB4!AF:AF,MATCH(A390,[1]AB4!B:B,0)),TEXT(INDEX([1]AB4!AG:AG,MATCH(A390,[1]AB4!B:B,0)),"0.00%")," or ",INDEX([1]AB4!AK:AK,MATCH(A390,[1]AB4!B:B,0)),INDEX([1]AB4!AJ:AJ,MATCH(A390,[1]AB4!B:B,0)),TEXT(INDEX([1]AB4!AL:AL,MATCH(A390,[1]AB4!B:B,0)),"0.00%")," )"))</f>
        <v>Max ( L : Entry - 1.40% or FUT : PRV : 3DLL - 0.10% )</v>
      </c>
      <c r="H390" s="37">
        <f t="array" ref="H390">IF(C390="","",INDEX([1]AB4!AM:AM,MATCH(A390,[1]AB4!B:B,0)))</f>
        <v>5</v>
      </c>
      <c r="I390" s="38"/>
      <c r="J390" s="36" t="str">
        <f t="array" ref="J390">IF(C389="","",CONCATENATE(INDEX([1]AB4!AA:AA,MATCH(A390,[1]AB4!B:B,0))," ( ",INDEX([1]AB4!AE:AE,MATCH(A390,[1]AB4!B:B,0))," or ",INDEX([1]AB4!AN:AN,MATCH(A390,[1]AB4!B:B,0)),INDEX([1]AB4!AJ:AJ,MATCH(A390,[1]AB4!B:B,0)),TEXT(INDEX([1]AB4!AO:AO,MATCH(A390,[1]AB4!B:B,0)),"0.00%")," )"))</f>
        <v>Max ( L : Entry or FUT : PRV : 3DLL - 0.10% )</v>
      </c>
      <c r="K390" s="37">
        <f t="array" ref="K390">IF(C389="","",INDEX([1]AB4!AP:AP,MATCH(A390,[1]AB4!B:B,0)))</f>
        <v>4</v>
      </c>
      <c r="L390" s="38"/>
      <c r="M390" s="36" t="str">
        <f t="array" ref="M390">IF(C389="","",CONCATENATE(INDEX([1]AB4!AA:AA,MATCH(A390,[1]AB4!B:B,0))," ( ",INDEX([1]AB4!AE:AE,MATCH(A390,[1]AB4!B:B,0))," or ",INDEX([1]AB4!AQ:AQ,MATCH(A390,[1]AB4!B:B,0)),INDEX([1]AB4!AJ:AJ,MATCH(A390,[1]AB4!B:B,0)),TEXT(INDEX([1]AB4!AR:AR,MATCH(A390,[1]AB4!B:B,0)),"0.00%")," )"))</f>
        <v>Max ( L : Entry or FUT : PRV : 3DLL - 0.10% )</v>
      </c>
      <c r="N390" s="37">
        <f t="array" ref="N390">IF(C390="","",INDEX([1]AB4!AS:AS,MATCH(A390,[1]AB4!B:B,0)))</f>
        <v>3</v>
      </c>
      <c r="O390" s="38"/>
      <c r="P390" s="36" t="str">
        <f t="array" ref="P390">IF(C389="","",CONCATENATE(INDEX([1]AB4!AA:AA,MATCH(A390,[1]AB4!B:B,0))," ( ",INDEX([1]AB4!AE:AE,MATCH(A390,[1]AB4!B:B,0))," or ",INDEX([1]AB4!AT:AT,MATCH(A390,[1]AB4!B:B,0)),INDEX([1]AB4!AJ:AJ,MATCH(A390,[1]AB4!B:B,0)),TEXT(INDEX([1]AB4!AU:AU,MATCH(A390,[1]AB4!B:B,0)),"0.00%")," )"))</f>
        <v>Max ( L : Entry or FUT : PRV : 3DLL - 0.10% )</v>
      </c>
      <c r="Q390" s="37">
        <f t="array" ref="Q390">IF(C390="","",INDEX([1]AB4!AV:AV,MATCH(A390,[1]AB4!B:B,0)))</f>
        <v>2</v>
      </c>
      <c r="R390" s="38"/>
      <c r="S390" s="36" t="str">
        <f t="array" ref="S390">IF(C389="","",CONCATENATE(INDEX([1]AB4!AA:AA,MATCH(A390,[1]AB4!B:B,0))," ( ",INDEX([1]AB4!AE:AE,MATCH(A390,[1]AB4!B:B,0))," or ",INDEX([1]AB4!AW:AW,MATCH(A390,[1]AB4!B:B,0)),INDEX([1]AB4!AJ:AJ,MATCH(A390,[1]AB4!B:B,0)),TEXT(INDEX([1]AB4!AX:AX,MATCH(A390,[1]AB4!B:B,0)),"0.00%")," )"))</f>
        <v>Max ( L : Entry or FUT : PRV : 3DLL - 0.10% )</v>
      </c>
      <c r="T390" s="37">
        <f t="array" ref="T390">IF(C389="","",INDEX([1]AB4!AY:AY,MATCH(A390,[1]AB4!B:B,0)))</f>
        <v>1</v>
      </c>
      <c r="U390" s="38"/>
      <c r="V390" s="36" t="str">
        <f t="array" ref="V390">IF(C389="","",CONCATENATE(INDEX([1]AB4!AA:AA,MATCH(A390,[1]AB4!B:B,0))," ( ",INDEX([1]AB4!AE:AE,MATCH(A390,[1]AB4!B:B,0))," or ",INDEX([1]AB4!AW:AW,MATCH(A390,[1]AB4!B:B,0)),INDEX([1]AB4!AJ:AJ,MATCH(A390,[1]AB4!B:B,0)),TEXT(INDEX([1]AB4!AX:AX,MATCH(A390,[1]AB4!B:B,0)),"0.00%")," )"))</f>
        <v>Max ( L : Entry or FUT : PRV : 3DLL - 0.10% )</v>
      </c>
      <c r="W390" s="37">
        <f t="array" ref="W390">IF(C389="","",INDEX([1]AB4!AY:AY,MATCH(A390,[1]AB4!B:B,0)))</f>
        <v>1</v>
      </c>
      <c r="X390" s="38"/>
      <c r="Y390" s="40">
        <f t="array" ref="Y390">IF(C389="","",INDEX([1]AB4!AZ:AZ,MATCH(A390,[1]AB4!B:B,0)))</f>
        <v>0</v>
      </c>
      <c r="Z390" s="37">
        <f t="array" ref="Z390">IF(C389="","",INDEX([1]AB4!BB:BB,MATCH(A390,[1]AB4!B:B,0)))</f>
        <v>0</v>
      </c>
      <c r="AA390" s="41"/>
      <c r="AB390" s="30"/>
      <c r="AC390" s="30"/>
    </row>
    <row r="391" spans="1:29" ht="6" customHeight="1" thickBot="1" x14ac:dyDescent="0.25">
      <c r="A391" s="18" t="str">
        <f>IF(C389="","",CONCATENATE(C390,[1]AB5!A401))</f>
        <v>S12</v>
      </c>
      <c r="B391" s="42" t="str">
        <f>IF(C389="","",IF([1]AB5!$B$6="","",[1]AB5!$B$6))</f>
        <v>Unique Code</v>
      </c>
      <c r="C391" s="174" t="str">
        <f t="array" ref="C391">IF(C389="","",INDEX([1]AB2!N:N,MATCH(C389,[1]AB2!A:A,0)))</f>
        <v>SILVERM_FUT_MT_DIFF_2D_3D</v>
      </c>
      <c r="D391" s="59"/>
      <c r="E391" s="44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6"/>
      <c r="AB391" s="30"/>
      <c r="AC391" s="30"/>
    </row>
    <row r="392" spans="1:29" ht="30.75" customHeight="1" x14ac:dyDescent="0.2">
      <c r="A392" s="18" t="str">
        <f>IF(C389="","",CONCATENATE(C390,[1]AB5!$A$7))</f>
        <v>S12B</v>
      </c>
      <c r="B392" s="47"/>
      <c r="C392" s="175"/>
      <c r="D392" s="59"/>
      <c r="E392" s="65" t="str">
        <f>IF(C389="","",[1]AB5!$F$7)</f>
        <v>SELL</v>
      </c>
      <c r="F392" s="58" t="str">
        <f>IF(C389="","",[1]AB5!$G$7)</f>
        <v>E &amp; T</v>
      </c>
      <c r="G392" s="25" t="str">
        <f t="array" ref="G392">IF(C389="","",CONCATENATE(INDEX([1]AB4!G:G,MATCH(A392,[1]AB4!B:B,0)),INDEX([1]AB4!H:H,MATCH(A392,[1]AB4!B:B,0)),TEXT(INDEX([1]AB4!I:I,MATCH(A392,[1]AB4!B:B,0)),"0.00%")))</f>
        <v>FUT : PRV : 3DLL - 0.10%</v>
      </c>
      <c r="H392" s="26">
        <f t="array" ref="H392">IF(C389="","",INDEX([1]AB4!J:J,MATCH(A392,[1]AB4!B:B,0)))</f>
        <v>5</v>
      </c>
      <c r="I392" s="27"/>
      <c r="J392" s="28" t="str">
        <f t="array" ref="J392">IF(C389="","",CONCATENATE(INDEX([1]AB4!L:L,MATCH(A392,[1]AB4!B:B,0)),INDEX([1]AB4!M:M,MATCH(A392,[1]AB4!B:B,0)),TEXT(INDEX([1]AB4!N:N,MATCH(A392,[1]AB4!B:B,0)),"0.00%")))</f>
        <v>S : Entry  - 1.40%</v>
      </c>
      <c r="K392" s="26">
        <f t="array" ref="K392">IF(C389="","",INDEX([1]AB4!O:O,MATCH(A392,[1]AB4!B:B,0)))</f>
        <v>1</v>
      </c>
      <c r="L392" s="27"/>
      <c r="M392" s="28" t="str">
        <f t="array" ref="M392">IF(C389="","",CONCATENATE(INDEX([1]AB4!L:L,MATCH(A392,[1]AB4!B:B,0)),INDEX([1]AB4!M:M,MATCH(A392,[1]AB4!B:B,0)),TEXT(INDEX([1]AB4!P:P,MATCH(A392,[1]AB4!B:B,0)),"0.00%")))</f>
        <v>S : Entry  - 2.10%</v>
      </c>
      <c r="N392" s="26">
        <f t="array" ref="N392">IF(C389="","",INDEX([1]AB4!Q:Q,MATCH(A392,[1]AB4!B:B,0)))</f>
        <v>1</v>
      </c>
      <c r="O392" s="27"/>
      <c r="P392" s="28" t="str">
        <f t="array" ref="P392">IF(C389="","",CONCATENATE(INDEX([1]AB4!L:L,MATCH(A392,[1]AB4!B:B,0)),INDEX([1]AB4!M:M,MATCH(A392,[1]AB4!B:B,0)),TEXT(INDEX([1]AB4!R:R,MATCH(A392,[1]AB4!B:B,0)),"0.00%")))</f>
        <v>S : Entry  - 2.80%</v>
      </c>
      <c r="Q392" s="26">
        <f t="array" ref="Q392">IF(C389="","",INDEX([1]AB4!S:S,MATCH(A392,[1]AB4!B:B,0)))</f>
        <v>1</v>
      </c>
      <c r="R392" s="27"/>
      <c r="S392" s="28" t="str">
        <f t="array" ref="S392">IF(C389="","",CONCATENATE(INDEX([1]AB4!L:L,MATCH(A392,[1]AB4!B:B,0)),INDEX([1]AB4!M:M,MATCH(A392,[1]AB4!B:B,0)),TEXT(INDEX([1]AB4!T:T,MATCH(A392,[1]AB4!B:B,0)),"0.00%")))</f>
        <v>S : Entry  - 3.50%</v>
      </c>
      <c r="T392" s="26">
        <f t="array" ref="T392">IF(C389="","",INDEX([1]AB4!U:U,MATCH(A392,[1]AB4!B:B,0)))</f>
        <v>1</v>
      </c>
      <c r="U392" s="27"/>
      <c r="V392" s="28" t="str">
        <f t="array" ref="V392">IF(C389="","",INDEX([1]AB4!V:V,MATCH(A392,[1]AB4!B:B,0)))</f>
        <v>TR PROFIT AFTER TGT 4</v>
      </c>
      <c r="W392" s="26">
        <f t="array" ref="W392">IF(C389="","",INDEX([1]AB4!W:W,MATCH(A392,[1]AB4!B:B,0)))</f>
        <v>1</v>
      </c>
      <c r="X392" s="27"/>
      <c r="Y392" s="28" t="str">
        <f t="array" ref="Y392">IF(C389="","",INDEX([1]AB4!X:X,MATCH(A392,[1]AB4!B:B,0)))</f>
        <v>N.A.</v>
      </c>
      <c r="Z392" s="26" t="str">
        <f t="array" ref="Z392">IF(C389="","",INDEX([1]AB4!Y:Y,MATCH(A392,[1]AB4!B:B,0)))</f>
        <v>N.A.</v>
      </c>
      <c r="AA392" s="29"/>
      <c r="AB392" s="30"/>
      <c r="AC392" s="30"/>
    </row>
    <row r="393" spans="1:29" ht="44.25" customHeight="1" thickBot="1" x14ac:dyDescent="0.25">
      <c r="A393" s="18" t="str">
        <f>IF(C389="","",CONCATENATE(C390,[1]AB5!$A$8))</f>
        <v>S12B</v>
      </c>
      <c r="B393" s="50"/>
      <c r="C393" s="176"/>
      <c r="D393" s="66"/>
      <c r="E393" s="60"/>
      <c r="F393" s="61" t="str">
        <f>IF(C389="","",[1]AB5!$G$8)</f>
        <v>SL / TRP</v>
      </c>
      <c r="G393" s="36" t="str">
        <f t="array" ref="G393">IF(C389="","",CONCATENATE(INDEX([1]AB4!AA:AA,MATCH(A393,[1]AB4!B:B,0))," ( ",INDEX([1]AB4!AE:AE,MATCH(A393,[1]AB4!B:B,0)),INDEX([1]AB4!AF:AF,MATCH(A393,[1]AB4!B:B,0)),TEXT(INDEX([1]AB4!AG:AG,MATCH(A393,[1]AB4!B:B,0)),"0.00%")," or ",INDEX([1]AB4!AK:AK,MATCH(A393,[1]AB4!B:B,0)),INDEX([1]AB4!AJ:AJ,MATCH(A393,[1]AB4!B:B,0)),TEXT(INDEX([1]AB4!AL:AL,MATCH(A393,[1]AB4!B:B,0)),"0.00%")," )"))</f>
        <v>Min ( S : Entry + 1.40% or FUT : PRV : 2DHH + 0.00% )</v>
      </c>
      <c r="H393" s="37">
        <f t="array" ref="H393">IF(C389="","",INDEX([1]AB4!AM:AM,MATCH(A393,[1]AB4!B:B,0)))</f>
        <v>5</v>
      </c>
      <c r="I393" s="38"/>
      <c r="J393" s="36" t="str">
        <f t="array" ref="J393">IF(C389="","",CONCATENATE(INDEX([1]AB4!AA:AA,MATCH(A393,[1]AB4!B:B,0))," ( ",INDEX([1]AB4!AE:AE,MATCH(A393,[1]AB4!B:B,0))," or ",INDEX([1]AB4!AN:AN,MATCH(A393,[1]AB4!B:B,0)),INDEX([1]AB4!AJ:AJ,MATCH(A393,[1]AB4!B:B,0)),TEXT(INDEX([1]AB4!AO:AO,MATCH(A393,[1]AB4!B:B,0)),"0.00%")," )"))</f>
        <v>Min ( S : Entry or FUT : PRV : 2DHH + 0.00% )</v>
      </c>
      <c r="K393" s="37">
        <f t="array" ref="K393">IF(C389="","",INDEX([1]AB4!AP:AP,MATCH(A393,[1]AB4!B:B,0)))</f>
        <v>4</v>
      </c>
      <c r="L393" s="38"/>
      <c r="M393" s="36" t="str">
        <f t="array" ref="M393">IF(C389="","",CONCATENATE(INDEX([1]AB4!AA:AA,MATCH(A393,[1]AB4!B:B,0))," ( ",INDEX([1]AB4!AE:AE,MATCH(A393,[1]AB4!B:B,0))," or ",INDEX([1]AB4!AQ:AQ,MATCH(A393,[1]AB4!B:B,0)),INDEX([1]AB4!AJ:AJ,MATCH(A393,[1]AB4!B:B,0)),TEXT(INDEX([1]AB4!AR:AR,MATCH(A393,[1]AB4!B:B,0)),"0.00%")," )"))</f>
        <v>Min ( S : Entry or FUT : PRV : 2DHH + 0.00% )</v>
      </c>
      <c r="N393" s="37">
        <f t="array" ref="N393">IF(C389="","",INDEX([1]AB4!AS:AS,MATCH(A393,[1]AB4!B:B,0)))</f>
        <v>3</v>
      </c>
      <c r="O393" s="38"/>
      <c r="P393" s="36" t="str">
        <f t="array" ref="P393">IF(C389="","",CONCATENATE(INDEX([1]AB4!AA:AA,MATCH(A393,[1]AB4!B:B,0))," ( ",INDEX([1]AB4!AE:AE,MATCH(A393,[1]AB4!B:B,0))," or ",INDEX([1]AB4!AT:AT,MATCH(A393,[1]AB4!B:B,0)),INDEX([1]AB4!AJ:AJ,MATCH(A393,[1]AB4!B:B,0)),TEXT(INDEX([1]AB4!AU:AU,MATCH(A393,[1]AB4!B:B,0)),"0.00%")," )"))</f>
        <v>Min ( S : Entry or FUT : PRV : 2DHH + 0.00% )</v>
      </c>
      <c r="Q393" s="37">
        <f t="array" ref="Q393">IF(C389="","",INDEX([1]AB4!AV:AV,MATCH(A393,[1]AB4!B:B,0)))</f>
        <v>2</v>
      </c>
      <c r="R393" s="38"/>
      <c r="S393" s="36" t="str">
        <f t="array" ref="S393">IF(C389="","",CONCATENATE(INDEX([1]AB4!AA:AA,MATCH(A393,[1]AB4!B:B,0))," ( ",INDEX([1]AB4!AE:AE,MATCH(A393,[1]AB4!B:B,0))," or ",INDEX([1]AB4!AW:AW,MATCH(A393,[1]AB4!B:B,0)),INDEX([1]AB4!AJ:AJ,MATCH(A393,[1]AB4!B:B,0)),TEXT(INDEX([1]AB4!AX:AX,MATCH(A393,[1]AB4!B:B,0)),"0.00%")," )"))</f>
        <v>Min ( S : Entry or FUT : PRV : 2DHH + 0.00% )</v>
      </c>
      <c r="T393" s="37">
        <f t="array" ref="T393">IF(C389="","",INDEX([1]AB4!AY:AY,MATCH(A393,[1]AB4!B:B,0)))</f>
        <v>1</v>
      </c>
      <c r="U393" s="38"/>
      <c r="V393" s="36" t="str">
        <f t="array" ref="V393">IF(C389="","",CONCATENATE(INDEX([1]AB4!AA:AA,MATCH(A393,[1]AB4!B:B,0))," ( ",INDEX([1]AB4!AE:AE,MATCH(A393,[1]AB4!B:B,0))," or ",INDEX([1]AB4!AW:AW,MATCH(A393,[1]AB4!B:B,0)),INDEX([1]AB4!AJ:AJ,MATCH(A393,[1]AB4!B:B,0)),TEXT(INDEX([1]AB4!AX:AX,MATCH(A393,[1]AB4!B:B,0)),"0.00%")," )"))</f>
        <v>Min ( S : Entry or FUT : PRV : 2DHH + 0.00% )</v>
      </c>
      <c r="W393" s="37">
        <f t="array" ref="W393">IF(C389="","",INDEX([1]AB4!AY:AY,MATCH(A393,[1]AB4!B:B,0)))</f>
        <v>1</v>
      </c>
      <c r="X393" s="38"/>
      <c r="Y393" s="40">
        <f t="array" ref="Y393">IF(C389="","",INDEX([1]AB4!AZ:AZ,MATCH(A393,[1]AB4!B:B,0)))</f>
        <v>0</v>
      </c>
      <c r="Z393" s="37">
        <f t="array" ref="Z393">IF(C389="","",INDEX([1]AB4!BB:BB,MATCH(A393,[1]AB4!B:B,0)))</f>
        <v>0</v>
      </c>
      <c r="AA393" s="41"/>
      <c r="AB393" s="30"/>
      <c r="AC393" s="30"/>
    </row>
    <row r="394" spans="1:29" ht="19.5" customHeight="1" thickBot="1" x14ac:dyDescent="0.25">
      <c r="A394" s="18" t="str">
        <f>IF(C389="","",CONCATENATE(C390,[1]AB5!$A$9))</f>
        <v>S12C</v>
      </c>
      <c r="B394" s="31" t="str">
        <f>IF(C389="","",IF([1]AB5!$B$9="","",[1]AB5!$B$9))</f>
        <v>Segment</v>
      </c>
      <c r="C394" s="54" t="str">
        <f t="array" ref="C394">IF(C389="","",INDEX([1]AB2!C:C,MATCH(C389,[1]AB2!A:A,0)))</f>
        <v>FUTURES</v>
      </c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30"/>
      <c r="AC394" s="30"/>
    </row>
    <row r="395" spans="1:29" ht="30.75" customHeight="1" x14ac:dyDescent="0.2">
      <c r="A395" s="18" t="str">
        <f>IF(C389="","",CONCATENATE(C390,[1]AB5!$A$10))</f>
        <v>S12D</v>
      </c>
      <c r="B395" s="31" t="str">
        <f>IF(C389="","",IF([1]AB5!$B$10="","",[1]AB5!$B$10))</f>
        <v>Symbol</v>
      </c>
      <c r="C395" s="54" t="str">
        <f t="array" ref="C395">IF(C389="","",INDEX([1]AB2!E:E,MATCH(C389,[1]AB2!A:A,0)))</f>
        <v>SILVERM</v>
      </c>
      <c r="D395" s="56" t="str">
        <f>IF(C389="","",IF(C389="","",[1]AB5!$D$10))</f>
        <v>BEAR / BEAR CF</v>
      </c>
      <c r="E395" s="57" t="str">
        <f>IF(C389="","",[1]AB5!$F$10)</f>
        <v>BUY</v>
      </c>
      <c r="F395" s="58" t="str">
        <f>IF(C389="","",[1]AB5!$G$10)</f>
        <v>E &amp; T</v>
      </c>
      <c r="G395" s="25" t="str">
        <f t="array" ref="G395">IF(C389="","",CONCATENATE(INDEX([1]AB4!G:G,MATCH(A395,[1]AB4!B:B,0)),INDEX([1]AB4!H:H,MATCH(A395,[1]AB4!B:B,0)),TEXT(INDEX([1]AB4!I:I,MATCH(A395,[1]AB4!B:B,0)),"0.00%")))</f>
        <v>FUT : PRV : 3DHH + 0.10%</v>
      </c>
      <c r="H395" s="26">
        <f t="array" ref="H395">IF(C389="","",INDEX([1]AB4!J:J,MATCH(A395,[1]AB4!B:B,0)))</f>
        <v>5</v>
      </c>
      <c r="I395" s="27"/>
      <c r="J395" s="28" t="str">
        <f t="array" ref="J395">IF(C389="","",CONCATENATE(INDEX([1]AB4!L:L,MATCH(A395,[1]AB4!B:B,0)),INDEX([1]AB4!M:M,MATCH(A395,[1]AB4!B:B,0)),TEXT(INDEX([1]AB4!N:N,MATCH(A395,[1]AB4!B:B,0)),"0.00%")))</f>
        <v>L : Entry  + 1.40%</v>
      </c>
      <c r="K395" s="26">
        <f t="array" ref="K395">IF(C389="","",INDEX([1]AB4!O:O,MATCH(A395,[1]AB4!B:B,0)))</f>
        <v>1</v>
      </c>
      <c r="L395" s="27"/>
      <c r="M395" s="28" t="str">
        <f t="array" ref="M395">IF(C389="","",CONCATENATE(INDEX([1]AB4!L:L,MATCH(A395,[1]AB4!B:B,0)),INDEX([1]AB4!M:M,MATCH(A395,[1]AB4!B:B,0)),TEXT(INDEX([1]AB4!P:P,MATCH(A395,[1]AB4!B:B,0)),"0.00%")))</f>
        <v>L : Entry  + 2.10%</v>
      </c>
      <c r="N395" s="26">
        <f t="array" ref="N395">IF(C389="","",INDEX([1]AB4!Q:Q,MATCH(A395,[1]AB4!B:B,0)))</f>
        <v>1</v>
      </c>
      <c r="O395" s="27"/>
      <c r="P395" s="28" t="str">
        <f t="array" ref="P395">IF(C389="","",CONCATENATE(INDEX([1]AB4!L:L,MATCH(A395,[1]AB4!B:B,0)),INDEX([1]AB4!M:M,MATCH(A395,[1]AB4!B:B,0)),TEXT(INDEX([1]AB4!R:R,MATCH(A395,[1]AB4!B:B,0)),"0.00%")))</f>
        <v>L : Entry  + 2.80%</v>
      </c>
      <c r="Q395" s="26">
        <f t="array" ref="Q395">IF(C389="","",INDEX([1]AB4!S:S,MATCH(A395,[1]AB4!B:B,0)))</f>
        <v>1</v>
      </c>
      <c r="R395" s="27"/>
      <c r="S395" s="28" t="str">
        <f t="array" ref="S395">IF(C389="","",CONCATENATE(INDEX([1]AB4!L:L,MATCH(A395,[1]AB4!B:B,0)),INDEX([1]AB4!M:M,MATCH(A395,[1]AB4!B:B,0)),TEXT(INDEX([1]AB4!T:T,MATCH(A395,[1]AB4!B:B,0)),"0.00%")))</f>
        <v>L : Entry  + 3.50%</v>
      </c>
      <c r="T395" s="26">
        <f t="array" ref="T395">IF(C389="","",INDEX([1]AB4!U:U,MATCH(A395,[1]AB4!B:B,0)))</f>
        <v>1</v>
      </c>
      <c r="U395" s="27"/>
      <c r="V395" s="28" t="str">
        <f t="array" ref="V395">IF(C389="","",INDEX([1]AB4!V:V,MATCH(A395,[1]AB4!B:B,0)))</f>
        <v>TR PROFIT AFTER TGT 4</v>
      </c>
      <c r="W395" s="26">
        <f t="array" ref="W395">IF(C389="","",INDEX([1]AB4!W:W,MATCH(A395,[1]AB4!B:B,0)))</f>
        <v>1</v>
      </c>
      <c r="X395" s="27"/>
      <c r="Y395" s="28" t="str">
        <f t="array" ref="Y395">IF(C389="","",INDEX([1]AB4!X:X,MATCH(A395,[1]AB4!B:B,0)))</f>
        <v>N.A.</v>
      </c>
      <c r="Z395" s="26" t="str">
        <f t="array" ref="Z395">IF(C389="","",INDEX([1]AB4!Y:Y,MATCH(A395,[1]AB4!B:B,0)))</f>
        <v>N.A.</v>
      </c>
      <c r="AA395" s="29"/>
      <c r="AB395" s="30"/>
      <c r="AC395" s="30"/>
    </row>
    <row r="396" spans="1:29" ht="44.25" customHeight="1" thickBot="1" x14ac:dyDescent="0.25">
      <c r="A396" s="18" t="str">
        <f>IF(C389="","",CONCATENATE(C390,[1]AB5!$A$11))</f>
        <v>S12D</v>
      </c>
      <c r="B396" s="31" t="str">
        <f>IF(C389="","",IF([1]AB5!$B$11="","",[1]AB5!$B$11))</f>
        <v>No. of TGT</v>
      </c>
      <c r="C396" s="54" t="str">
        <f t="array" ref="C396">IF(C389="","",INDEX([1]AB2!K:K,MATCH(C389,[1]AB2!A:A,0)))</f>
        <v>4 &amp; APS</v>
      </c>
      <c r="D396" s="59"/>
      <c r="E396" s="60"/>
      <c r="F396" s="61" t="str">
        <f>IF(C389="","",[1]AB5!$G$11)</f>
        <v>SL / TRP</v>
      </c>
      <c r="G396" s="36" t="str">
        <f t="array" ref="G396">IF(C389="","",CONCATENATE(INDEX([1]AB4!AA:AA,MATCH(A396,[1]AB4!B:B,0))," ( ",INDEX([1]AB4!AE:AE,MATCH(A396,[1]AB4!B:B,0)),INDEX([1]AB4!AF:AF,MATCH(A396,[1]AB4!B:B,0)),TEXT(INDEX([1]AB4!AG:AG,MATCH(A396,[1]AB4!B:B,0)),"0.00%")," or ",INDEX([1]AB4!AK:AK,MATCH(A396,[1]AB4!B:B,0)),INDEX([1]AB4!AJ:AJ,MATCH(A396,[1]AB4!B:B,0)),TEXT(INDEX([1]AB4!AL:AL,MATCH(A396,[1]AB4!B:B,0)),"0.00%")," )"))</f>
        <v>Max ( L : Entry - 1.40% or FUT : PRV : 2DLL - 0.00% )</v>
      </c>
      <c r="H396" s="37">
        <f t="array" ref="H396">IF(C389="","",INDEX([1]AB4!AM:AM,MATCH(A396,[1]AB4!B:B,0)))</f>
        <v>5</v>
      </c>
      <c r="I396" s="38"/>
      <c r="J396" s="36" t="str">
        <f t="array" ref="J396">IF(C389="","",CONCATENATE(INDEX([1]AB4!AA:AA,MATCH(A396,[1]AB4!B:B,0))," ( ",INDEX([1]AB4!AE:AE,MATCH(A396,[1]AB4!B:B,0))," or ",INDEX([1]AB4!AN:AN,MATCH(A396,[1]AB4!B:B,0)),INDEX([1]AB4!AJ:AJ,MATCH(A396,[1]AB4!B:B,0)),TEXT(INDEX([1]AB4!AO:AO,MATCH(A396,[1]AB4!B:B,0)),"0.00%")," )"))</f>
        <v>Max ( L : Entry or FUT : PRV : 2DLL - 0.00% )</v>
      </c>
      <c r="K396" s="37">
        <f t="array" ref="K396">IF(C389="","",INDEX([1]AB4!AP:AP,MATCH(A396,[1]AB4!B:B,0)))</f>
        <v>4</v>
      </c>
      <c r="L396" s="38"/>
      <c r="M396" s="36" t="str">
        <f t="array" ref="M396">IF(C389="","",CONCATENATE(INDEX([1]AB4!AA:AA,MATCH(A396,[1]AB4!B:B,0))," ( ",INDEX([1]AB4!AE:AE,MATCH(A396,[1]AB4!B:B,0))," or ",INDEX([1]AB4!AQ:AQ,MATCH(A396,[1]AB4!B:B,0)),INDEX([1]AB4!AJ:AJ,MATCH(A396,[1]AB4!B:B,0)),TEXT(INDEX([1]AB4!AR:AR,MATCH(A396,[1]AB4!B:B,0)),"0.00%")," )"))</f>
        <v>Max ( L : Entry or FUT : PRV : 2DLL - 0.00% )</v>
      </c>
      <c r="N396" s="37">
        <f t="array" ref="N396">IF(C389="","",INDEX([1]AB4!AS:AS,MATCH(A396,[1]AB4!B:B,0)))</f>
        <v>3</v>
      </c>
      <c r="O396" s="38"/>
      <c r="P396" s="36" t="str">
        <f t="array" ref="P396">IF(C389="","",CONCATENATE(INDEX([1]AB4!AA:AA,MATCH(A396,[1]AB4!B:B,0))," ( ",INDEX([1]AB4!AE:AE,MATCH(A396,[1]AB4!B:B,0))," or ",INDEX([1]AB4!AT:AT,MATCH(A396,[1]AB4!B:B,0)),INDEX([1]AB4!AJ:AJ,MATCH(A396,[1]AB4!B:B,0)),TEXT(INDEX([1]AB4!AU:AU,MATCH(A396,[1]AB4!B:B,0)),"0.00%")," )"))</f>
        <v>Max ( L : Entry or FUT : PRV : 2DLL - 0.00% )</v>
      </c>
      <c r="Q396" s="37">
        <f t="array" ref="Q396">IF(C389="","",INDEX([1]AB4!AV:AV,MATCH(A396,[1]AB4!B:B,0)))</f>
        <v>2</v>
      </c>
      <c r="R396" s="38"/>
      <c r="S396" s="36" t="str">
        <f t="array" ref="S396">IF(C389="","",CONCATENATE(INDEX([1]AB4!AA:AA,MATCH(A396,[1]AB4!B:B,0))," ( ",INDEX([1]AB4!AE:AE,MATCH(A396,[1]AB4!B:B,0))," or ",INDEX([1]AB4!AW:AW,MATCH(A396,[1]AB4!B:B,0)),INDEX([1]AB4!AJ:AJ,MATCH(A396,[1]AB4!B:B,0)),TEXT(INDEX([1]AB4!AX:AX,MATCH(A396,[1]AB4!B:B,0)),"0.00%")," )"))</f>
        <v>Max ( L : Entry or FUT : PRV : 2DLL - 0.00% )</v>
      </c>
      <c r="T396" s="37">
        <f t="array" ref="T396">IF(C389="","",INDEX([1]AB4!AY:AY,MATCH(A396,[1]AB4!B:B,0)))</f>
        <v>1</v>
      </c>
      <c r="U396" s="38"/>
      <c r="V396" s="36" t="str">
        <f t="array" ref="V396">IF(C389="","",CONCATENATE(INDEX([1]AB4!AA:AA,MATCH(A396,[1]AB4!B:B,0))," ( ",INDEX([1]AB4!AE:AE,MATCH(A396,[1]AB4!B:B,0))," or ",INDEX([1]AB4!AW:AW,MATCH(A396,[1]AB4!B:B,0)),INDEX([1]AB4!AJ:AJ,MATCH(A396,[1]AB4!B:B,0)),TEXT(INDEX([1]AB4!AX:AX,MATCH(A396,[1]AB4!B:B,0)),"0.00%")," )"))</f>
        <v>Max ( L : Entry or FUT : PRV : 2DLL - 0.00% )</v>
      </c>
      <c r="W396" s="37">
        <f t="array" ref="W396">IF(C389="","",INDEX([1]AB4!AY:AY,MATCH(A396,[1]AB4!B:B,0)))</f>
        <v>1</v>
      </c>
      <c r="X396" s="38"/>
      <c r="Y396" s="40">
        <f t="array" ref="Y396">IF(C389="","",INDEX([1]AB4!AZ:AZ,MATCH(A396,[1]AB4!B:B,0)))</f>
        <v>0</v>
      </c>
      <c r="Z396" s="37">
        <f t="array" ref="Z396">IF(C389="","",INDEX([1]AB4!BB:BB,MATCH(A396,[1]AB4!B:B,0)))</f>
        <v>0</v>
      </c>
      <c r="AA396" s="41"/>
      <c r="AB396" s="30"/>
      <c r="AC396" s="30"/>
    </row>
    <row r="397" spans="1:29" ht="6" customHeight="1" thickBot="1" x14ac:dyDescent="0.25">
      <c r="A397" s="18" t="str">
        <f>IF(C389="","",CONCATENATE(C390,[1]AB5!A407))</f>
        <v>S12</v>
      </c>
      <c r="B397" s="62" t="str">
        <f>IF(C389="","",IF([1]AB5!$B$12="","",[1]AB5!$B$12))</f>
        <v>Stay Blessed !!!</v>
      </c>
      <c r="C397" s="63"/>
      <c r="D397" s="59"/>
      <c r="E397" s="44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6"/>
      <c r="AB397" s="30"/>
      <c r="AC397" s="30"/>
    </row>
    <row r="398" spans="1:29" ht="30.75" customHeight="1" x14ac:dyDescent="0.2">
      <c r="A398" s="18" t="str">
        <f>IF(C389="","",CONCATENATE(C390,[1]AB5!$A$13))</f>
        <v>S12E</v>
      </c>
      <c r="B398" s="64"/>
      <c r="C398" s="59"/>
      <c r="D398" s="59"/>
      <c r="E398" s="65" t="str">
        <f>IF(C389="","",[1]AB5!$F$13)</f>
        <v>SELL</v>
      </c>
      <c r="F398" s="58" t="str">
        <f>IF(C389="","",[1]AB5!$G$13)</f>
        <v>E &amp; T</v>
      </c>
      <c r="G398" s="25" t="str">
        <f t="array" ref="G398">IF(C389="","",CONCATENATE(INDEX([1]AB4!G:G,MATCH(A398,[1]AB4!B:B,0)),INDEX([1]AB4!H:H,MATCH(A398,[1]AB4!B:B,0)),TEXT(INDEX([1]AB4!I:I,MATCH(A398,[1]AB4!B:B,0)),"0.00%")))</f>
        <v>FUT : PRV : 2DLL - 0.00%</v>
      </c>
      <c r="H398" s="26">
        <f t="array" ref="H398">IF(C389="","",INDEX([1]AB4!J:J,MATCH(A398,[1]AB4!B:B,0)))</f>
        <v>5</v>
      </c>
      <c r="I398" s="27"/>
      <c r="J398" s="28" t="str">
        <f t="array" ref="J398">IF(C389="","",CONCATENATE(INDEX([1]AB4!L:L,MATCH(A398,[1]AB4!B:B,0)),INDEX([1]AB4!M:M,MATCH(A398,[1]AB4!B:B,0)),TEXT(INDEX([1]AB4!N:N,MATCH(A398,[1]AB4!B:B,0)),"0.00%")))</f>
        <v>S : Entry  - 1.40%</v>
      </c>
      <c r="K398" s="26">
        <f t="array" ref="K398">IF(C389="","",INDEX([1]AB4!O:O,MATCH(A398,[1]AB4!B:B,0)))</f>
        <v>1</v>
      </c>
      <c r="L398" s="27"/>
      <c r="M398" s="28" t="str">
        <f t="array" ref="M398">IF(C389="","",CONCATENATE(INDEX([1]AB4!L:L,MATCH(A398,[1]AB4!B:B,0)),INDEX([1]AB4!M:M,MATCH(A398,[1]AB4!B:B,0)),TEXT(INDEX([1]AB4!P:P,MATCH(A398,[1]AB4!B:B,0)),"0.00%")))</f>
        <v>S : Entry  - 2.10%</v>
      </c>
      <c r="N398" s="26">
        <f t="array" ref="N398">IF(C389="","",INDEX([1]AB4!Q:Q,MATCH(A398,[1]AB4!B:B,0)))</f>
        <v>1</v>
      </c>
      <c r="O398" s="27"/>
      <c r="P398" s="28" t="str">
        <f t="array" ref="P398">IF(C389="","",CONCATENATE(INDEX([1]AB4!L:L,MATCH(A398,[1]AB4!B:B,0)),INDEX([1]AB4!M:M,MATCH(A398,[1]AB4!B:B,0)),TEXT(INDEX([1]AB4!R:R,MATCH(A398,[1]AB4!B:B,0)),"0.00%")))</f>
        <v>S : Entry  - 2.80%</v>
      </c>
      <c r="Q398" s="26">
        <f t="array" ref="Q398">IF(C389="","",INDEX([1]AB4!S:S,MATCH(A398,[1]AB4!B:B,0)))</f>
        <v>1</v>
      </c>
      <c r="R398" s="27"/>
      <c r="S398" s="28" t="str">
        <f t="array" ref="S398">IF(C389="","",CONCATENATE(INDEX([1]AB4!L:L,MATCH(A398,[1]AB4!B:B,0)),INDEX([1]AB4!M:M,MATCH(A398,[1]AB4!B:B,0)),TEXT(INDEX([1]AB4!T:T,MATCH(A398,[1]AB4!B:B,0)),"0.00%")))</f>
        <v>S : Entry  - 3.50%</v>
      </c>
      <c r="T398" s="26">
        <f t="array" ref="T398">IF(C389="","",INDEX([1]AB4!U:U,MATCH(A398,[1]AB4!B:B,0)))</f>
        <v>1</v>
      </c>
      <c r="U398" s="27"/>
      <c r="V398" s="28" t="str">
        <f t="array" ref="V398">IF(C389="","",INDEX([1]AB4!V:V,MATCH(A398,[1]AB4!B:B,0)))</f>
        <v>TR PROFIT AFTER TGT 4</v>
      </c>
      <c r="W398" s="26">
        <f t="array" ref="W398">IF(C389="","",INDEX([1]AB4!W:W,MATCH(A398,[1]AB4!B:B,0)))</f>
        <v>1</v>
      </c>
      <c r="X398" s="27"/>
      <c r="Y398" s="28" t="str">
        <f t="array" ref="Y398">IF(C389="","",INDEX([1]AB4!X:X,MATCH(A398,[1]AB4!B:B,0)))</f>
        <v>N.A.</v>
      </c>
      <c r="Z398" s="26" t="str">
        <f t="array" ref="Z398">IF(C389="","",INDEX([1]AB4!Y:Y,MATCH(A398,[1]AB4!B:B,0)))</f>
        <v>N.A.</v>
      </c>
      <c r="AA398" s="29"/>
      <c r="AB398" s="30"/>
      <c r="AC398" s="30"/>
    </row>
    <row r="399" spans="1:29" ht="44.25" customHeight="1" thickBot="1" x14ac:dyDescent="0.25">
      <c r="A399" s="18" t="str">
        <f>IF(C389="","",CONCATENATE(C390,[1]AB5!$A$14))</f>
        <v>S12E</v>
      </c>
      <c r="B399" s="60"/>
      <c r="C399" s="66"/>
      <c r="D399" s="66"/>
      <c r="E399" s="60"/>
      <c r="F399" s="61" t="str">
        <f>IF(C389="","",[1]AB5!$G$14)</f>
        <v>SL / TRP</v>
      </c>
      <c r="G399" s="36" t="str">
        <f t="array" ref="G399">IF(C389="","",CONCATENATE(INDEX([1]AB4!AA:AA,MATCH(A399,[1]AB4!B:B,0))," ( ",INDEX([1]AB4!AE:AE,MATCH(A399,[1]AB4!B:B,0)),INDEX([1]AB4!AF:AF,MATCH(A399,[1]AB4!B:B,0)),TEXT(INDEX([1]AB4!AG:AG,MATCH(A399,[1]AB4!B:B,0)),"0.00%")," or ",INDEX([1]AB4!AK:AK,MATCH(A399,[1]AB4!B:B,0)),INDEX([1]AB4!AJ:AJ,MATCH(A399,[1]AB4!B:B,0)),TEXT(INDEX([1]AB4!AL:AL,MATCH(A399,[1]AB4!B:B,0)),"0.00%")," )"))</f>
        <v>Min ( S : Entry + 1.40% or FUT : PRV : 3DHH + 0.10% )</v>
      </c>
      <c r="H399" s="37">
        <f t="array" ref="H399">IF(C389="","",INDEX([1]AB4!AM:AM,MATCH(A399,[1]AB4!B:B,0)))</f>
        <v>5</v>
      </c>
      <c r="I399" s="38"/>
      <c r="J399" s="36" t="str">
        <f t="array" ref="J399">IF(C389="","",CONCATENATE(INDEX([1]AB4!AA:AA,MATCH(A399,[1]AB4!B:B,0))," ( ",INDEX([1]AB4!AE:AE,MATCH(A399,[1]AB4!B:B,0))," or ",INDEX([1]AB4!AN:AN,MATCH(A399,[1]AB4!B:B,0)),INDEX([1]AB4!AJ:AJ,MATCH(A399,[1]AB4!B:B,0)),TEXT(INDEX([1]AB4!AO:AO,MATCH(A399,[1]AB4!B:B,0)),"0.00%")," )"))</f>
        <v>Min ( S : Entry or FUT : PRV : 3DHH + 0.10% )</v>
      </c>
      <c r="K399" s="37">
        <f t="array" ref="K399">IF(C389="","",INDEX([1]AB4!AP:AP,MATCH(A399,[1]AB4!B:B,0)))</f>
        <v>4</v>
      </c>
      <c r="L399" s="38"/>
      <c r="M399" s="36" t="str">
        <f t="array" ref="M399">IF(C389="","",CONCATENATE(INDEX([1]AB4!AA:AA,MATCH(A399,[1]AB4!B:B,0))," ( ",INDEX([1]AB4!AE:AE,MATCH(A399,[1]AB4!B:B,0))," or ",INDEX([1]AB4!AQ:AQ,MATCH(A399,[1]AB4!B:B,0)),INDEX([1]AB4!AJ:AJ,MATCH(A399,[1]AB4!B:B,0)),TEXT(INDEX([1]AB4!AR:AR,MATCH(A399,[1]AB4!B:B,0)),"0.00%")," )"))</f>
        <v>Min ( S : Entry or FUT : PRV : 3DHH + 0.10% )</v>
      </c>
      <c r="N399" s="37">
        <f t="array" ref="N399">IF(C389="","",INDEX([1]AB4!AS:AS,MATCH(A399,[1]AB4!B:B,0)))</f>
        <v>3</v>
      </c>
      <c r="O399" s="38"/>
      <c r="P399" s="36" t="str">
        <f t="array" ref="P399">IF(C389="","",CONCATENATE(INDEX([1]AB4!AA:AA,MATCH(A399,[1]AB4!B:B,0))," ( ",INDEX([1]AB4!AE:AE,MATCH(A399,[1]AB4!B:B,0))," or ",INDEX([1]AB4!AT:AT,MATCH(A399,[1]AB4!B:B,0)),INDEX([1]AB4!AJ:AJ,MATCH(A399,[1]AB4!B:B,0)),TEXT(INDEX([1]AB4!AU:AU,MATCH(A399,[1]AB4!B:B,0)),"0.00%")," )"))</f>
        <v>Min ( S : Entry or FUT : PRV : 3DHH + 0.10% )</v>
      </c>
      <c r="Q399" s="37">
        <f t="array" ref="Q399">IF(C389="","",INDEX([1]AB4!AV:AV,MATCH(A399,[1]AB4!B:B,0)))</f>
        <v>2</v>
      </c>
      <c r="R399" s="38"/>
      <c r="S399" s="36" t="str">
        <f t="array" ref="S399">IF(C389="","",CONCATENATE(INDEX([1]AB4!AA:AA,MATCH(A399,[1]AB4!B:B,0))," ( ",INDEX([1]AB4!AE:AE,MATCH(A399,[1]AB4!B:B,0))," or ",INDEX([1]AB4!AW:AW,MATCH(A399,[1]AB4!B:B,0)),INDEX([1]AB4!AJ:AJ,MATCH(A399,[1]AB4!B:B,0)),TEXT(INDEX([1]AB4!AX:AX,MATCH(A399,[1]AB4!B:B,0)),"0.00%")," )"))</f>
        <v>Min ( S : Entry or FUT : PRV : 3DHH + 0.10% )</v>
      </c>
      <c r="T399" s="37">
        <f t="array" ref="T399">IF(C389="","",INDEX([1]AB4!AY:AY,MATCH(A399,[1]AB4!B:B,0)))</f>
        <v>1</v>
      </c>
      <c r="U399" s="38"/>
      <c r="V399" s="36" t="str">
        <f t="array" ref="V399">IF(C389="","",CONCATENATE(INDEX([1]AB4!AA:AA,MATCH(A399,[1]AB4!B:B,0))," ( ",INDEX([1]AB4!AE:AE,MATCH(A399,[1]AB4!B:B,0))," or ",INDEX([1]AB4!AW:AW,MATCH(A399,[1]AB4!B:B,0)),INDEX([1]AB4!AJ:AJ,MATCH(A399,[1]AB4!B:B,0)),TEXT(INDEX([1]AB4!AX:AX,MATCH(A399,[1]AB4!B:B,0)),"0.00%")," )"))</f>
        <v>Min ( S : Entry or FUT : PRV : 3DHH + 0.10% )</v>
      </c>
      <c r="W399" s="37">
        <f t="array" ref="W399">IF(C389="","",INDEX([1]AB4!AY:AY,MATCH(A399,[1]AB4!B:B,0)))</f>
        <v>1</v>
      </c>
      <c r="X399" s="38"/>
      <c r="Y399" s="40">
        <f t="array" ref="Y399">IF(C389="","",INDEX([1]AB4!AZ:AZ,MATCH(A399,[1]AB4!B:B,0)))</f>
        <v>0</v>
      </c>
      <c r="Z399" s="37">
        <f t="array" ref="Z399">IF(C389="","",INDEX([1]AB4!BB:BB,MATCH(A399,[1]AB4!B:B,0)))</f>
        <v>0</v>
      </c>
      <c r="AA399" s="41"/>
      <c r="AB399" s="30"/>
      <c r="AC399" s="30"/>
    </row>
    <row r="400" spans="1:29" ht="6" customHeight="1" thickBot="1" x14ac:dyDescent="0.25">
      <c r="A400" s="18"/>
      <c r="B400" s="55"/>
      <c r="C400" s="55"/>
      <c r="D400" s="55"/>
      <c r="E400" s="30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30"/>
      <c r="AA400" s="30"/>
      <c r="AB400" s="68"/>
      <c r="AC400" s="68"/>
    </row>
    <row r="401" spans="1:29" ht="21.75" customHeight="1" x14ac:dyDescent="0.2">
      <c r="A401" s="18"/>
      <c r="B401" s="69" t="str">
        <f>IF(C389="","",[1]AB5!$B$16)</f>
        <v>For Entry</v>
      </c>
      <c r="C401" s="29"/>
      <c r="D401" s="70" t="str">
        <f>IF(C389="","",[1]AB5!$D$16)</f>
        <v>Gap Check</v>
      </c>
      <c r="E401" s="71"/>
      <c r="F401" s="70" t="str">
        <f>IF(C389="","",[1]AB5!$G$16)</f>
        <v>Process</v>
      </c>
      <c r="G401" s="72"/>
      <c r="H401" s="73" t="str">
        <f>IF(C389="","",[1]AB5!$I$16)</f>
        <v>Y / N</v>
      </c>
      <c r="I401" s="72"/>
      <c r="J401" s="74" t="str">
        <f>IF(C389="","",[1]AB5!$K$16)</f>
        <v>Order Status</v>
      </c>
      <c r="K401" s="75" t="str">
        <f>IF(C389="","",[1]AB5!$L$16)</f>
        <v>Step 1</v>
      </c>
      <c r="L401" s="76"/>
      <c r="M401" s="76"/>
      <c r="N401" s="72"/>
      <c r="O401" s="73" t="str">
        <f>IF(C389="","",[1]AB5!$P$16)</f>
        <v>Order Placement Timings</v>
      </c>
      <c r="P401" s="72"/>
      <c r="Q401" s="73" t="str">
        <f>IF(C389="","",[1]AB5!$R$16)</f>
        <v>Time</v>
      </c>
      <c r="R401" s="72"/>
      <c r="S401" s="75" t="str">
        <f>IF(C389="","",[1]AB5!$T$16)</f>
        <v>Rules For Gaps</v>
      </c>
      <c r="T401" s="76"/>
      <c r="U401" s="72"/>
      <c r="V401" s="74" t="str">
        <f>IF(C389="","",[1]AB5!$W$16)</f>
        <v>Data</v>
      </c>
      <c r="W401" s="73" t="str">
        <f>IF(C389="","",[1]AB5!$X$16)</f>
        <v>Buffer</v>
      </c>
      <c r="X401" s="71"/>
      <c r="Y401" s="77" t="str">
        <f>IF(C389="","",[1]AB5!$AA$16)</f>
        <v>Rules For Re Entry</v>
      </c>
      <c r="Z401" s="76"/>
      <c r="AA401" s="71"/>
      <c r="AB401" s="78"/>
      <c r="AC401" s="78"/>
    </row>
    <row r="402" spans="1:29" ht="31.5" customHeight="1" x14ac:dyDescent="0.2">
      <c r="A402" s="18" t="str">
        <f>IF(C389="","",CONCATENATE(C390,[1]AB5!$A$17))</f>
        <v>S12A</v>
      </c>
      <c r="B402" s="79" t="str">
        <f>IF(C389="","",[1]AB5!$B$17)</f>
        <v xml:space="preserve">ORPT </v>
      </c>
      <c r="C402" s="80" t="str">
        <f>IF(C389="","",[1]AB5!$C$17)</f>
        <v xml:space="preserve"> RC. Time</v>
      </c>
      <c r="D402" s="81" t="str">
        <f>IF(C389="","",[1]AB5!$D$17)</f>
        <v>For Long Entry</v>
      </c>
      <c r="E402" s="63"/>
      <c r="F402" s="82" t="str">
        <f>IF(C389="","",CONCATENATE([1]AB5!$G$17,TEXT(B403,"HH:MM:SS AM/PM"),[1]AB5!$B$18,[1]AB5!$H$17))</f>
        <v>Check If  09:04:59 AM HH &gt; Long Entry</v>
      </c>
      <c r="G402" s="83"/>
      <c r="H402" s="84" t="str">
        <f>IF(C389="","",[1]AB5!$I$17)</f>
        <v>No</v>
      </c>
      <c r="I402" s="85"/>
      <c r="J402" s="86" t="str">
        <f>IF(C389="","",[1]AB5!$K$17)</f>
        <v>Entry Not Missed</v>
      </c>
      <c r="K402" s="87" t="str">
        <f>IF(C389="","",[1]AB5!$L$17)</f>
        <v>Place the Order at ORPT</v>
      </c>
      <c r="L402" s="88"/>
      <c r="M402" s="88"/>
      <c r="N402" s="85"/>
      <c r="O402" s="87" t="str">
        <f>IF(C389="","",[1]AB5!$P$17)</f>
        <v>ORPT Time</v>
      </c>
      <c r="P402" s="85"/>
      <c r="Q402" s="89">
        <f>IF(C389="","",B403)</f>
        <v>0.37846527777777778</v>
      </c>
      <c r="R402" s="85"/>
      <c r="S402" s="87" t="str">
        <f>IF(C389="","",[1]AB5!$T$17)</f>
        <v>N.A.</v>
      </c>
      <c r="T402" s="88"/>
      <c r="U402" s="85"/>
      <c r="V402" s="86" t="str">
        <f>IF(C389="","",[1]AB5!$W$17)</f>
        <v>N.A.</v>
      </c>
      <c r="W402" s="90" t="str">
        <f>IF(C389="","",[1]AB5!$X$17)</f>
        <v>N.A.</v>
      </c>
      <c r="X402" s="91"/>
      <c r="Y402" s="92" t="str">
        <f>IF(C389="","",[1]AB5!$AA$17)</f>
        <v xml:space="preserve">Long Entry : Bull/ Bull CF : </v>
      </c>
      <c r="Z402" s="88"/>
      <c r="AA402" s="91"/>
      <c r="AB402" s="68"/>
      <c r="AC402" s="68"/>
    </row>
    <row r="403" spans="1:29" ht="31.5" customHeight="1" x14ac:dyDescent="0.2">
      <c r="A403" s="18" t="str">
        <f>IF(C389="","",CONCATENATE(C390,[1]AB5!$A$18))</f>
        <v>S12B</v>
      </c>
      <c r="B403" s="93">
        <f t="array" ref="B403">IF(C389="","",INDEX([1]AB4!BE:BE,MATCH(A402,[1]AB4!B:B,0)))</f>
        <v>0.37846527777777778</v>
      </c>
      <c r="C403" s="94">
        <f t="array" ref="C403">IF(C389="","",INDEX([1]AB4!BE:BE,MATCH(A403,[1]AB4!B:B,0)))</f>
        <v>0.38540972222222225</v>
      </c>
      <c r="D403" s="64"/>
      <c r="E403" s="59"/>
      <c r="F403" s="64"/>
      <c r="G403" s="95"/>
      <c r="H403" s="96" t="str">
        <f>IF(C389="","",[1]AB5!$I$18)</f>
        <v>Yes</v>
      </c>
      <c r="I403" s="83"/>
      <c r="J403" s="97" t="str">
        <f>IF(C389="","",[1]AB5!$K$18)</f>
        <v>Entry Missed</v>
      </c>
      <c r="K403" s="87" t="str">
        <f>IF(C389="","",[1]AB5!$L$18)</f>
        <v>Recalcuate : Long Entry : Bull / Bull CF</v>
      </c>
      <c r="L403" s="88"/>
      <c r="M403" s="88"/>
      <c r="N403" s="85"/>
      <c r="O403" s="87" t="str">
        <f>IF(C389="","",[1]AB5!$P$18)</f>
        <v>Wait Till Recalculation Time</v>
      </c>
      <c r="P403" s="85"/>
      <c r="Q403" s="89">
        <f>IF(C389="","",C403)</f>
        <v>0.38540972222222225</v>
      </c>
      <c r="R403" s="85"/>
      <c r="S403" s="98" t="str">
        <f>IF(C389="","",CONCATENATE(V403," ",[1]AB5!$Z$18," ",TEXT(W403,"0.00%")))</f>
        <v>09:14:59 AM HH + 0.10%</v>
      </c>
      <c r="T403" s="88"/>
      <c r="U403" s="85"/>
      <c r="V403" s="99" t="str">
        <f>IF(C389="","",CONCATENATE(TEXT(Q403,"HH:MM:SS AM/PM"),[1]AB5!$U$18))</f>
        <v>09:14:59 AM HH</v>
      </c>
      <c r="W403" s="100" t="str">
        <f t="array" ref="W403">IF(A389="","",TEXT(INDEX([1]AB4!BK:BK,MATCH(A390,[1]AB4!B:B,0)),"0.00%"))</f>
        <v>0.10%</v>
      </c>
      <c r="X403" s="91"/>
      <c r="Y403" s="101" t="str">
        <f>IF(C389="","",CONCATENATE([1]AB5!$T$18," ( ",G389," or ",[1]AB5!$AA$18," ",[1]AB5!$Z$18," ",TEXT(W403,"0.00%")," )"))</f>
        <v>Max ( FUT : PRV : 2DHH + 0.00% or  CDHH + 0.10% )</v>
      </c>
      <c r="Z403" s="88"/>
      <c r="AA403" s="91"/>
      <c r="AB403" s="68"/>
      <c r="AC403" s="68"/>
    </row>
    <row r="404" spans="1:29" ht="31.5" customHeight="1" thickBot="1" x14ac:dyDescent="0.25">
      <c r="A404" s="18"/>
      <c r="B404" s="34"/>
      <c r="C404" s="102"/>
      <c r="D404" s="103"/>
      <c r="E404" s="104"/>
      <c r="F404" s="103"/>
      <c r="G404" s="105"/>
      <c r="H404" s="51"/>
      <c r="I404" s="105"/>
      <c r="J404" s="53"/>
      <c r="K404" s="87" t="str">
        <f>IF(C389="","",[1]AB5!$L$19)</f>
        <v>Recalcuate : Long Entry : Bear / Bear CF</v>
      </c>
      <c r="L404" s="88"/>
      <c r="M404" s="88"/>
      <c r="N404" s="85"/>
      <c r="O404" s="87" t="str">
        <f>IF(C389="","",[1]AB5!$P$19)</f>
        <v>Wait Till Recalculation Time</v>
      </c>
      <c r="P404" s="85"/>
      <c r="Q404" s="89">
        <f>IF(C389="","",C403)</f>
        <v>0.38540972222222225</v>
      </c>
      <c r="R404" s="85"/>
      <c r="S404" s="98" t="str">
        <f>IF(C389="","",CONCATENATE(V404," ",[1]AB5!$Z$19," ",TEXT(W404,"0.00%"),))</f>
        <v>09:14:59 AM HH + 0.10%</v>
      </c>
      <c r="T404" s="88"/>
      <c r="U404" s="85"/>
      <c r="V404" s="99" t="str">
        <f>IF(C389="","",CONCATENATE(TEXT(Q404,"HH:MM:SS AM/PM"),[1]AB5!$U$19))</f>
        <v>09:14:59 AM HH</v>
      </c>
      <c r="W404" s="100" t="str">
        <f t="array" ref="W404">IF(C389="","",TEXT(INDEX([1]AB4!BK:BK,MATCH(A395,[1]AB4!B:B,0)),"0.00%"))</f>
        <v>0.10%</v>
      </c>
      <c r="X404" s="91"/>
      <c r="Y404" s="106" t="str">
        <f>IF(C389="","",[1]AB5!$AA$19)</f>
        <v xml:space="preserve">Long Entry : Bear/ Bear CF : </v>
      </c>
      <c r="Z404" s="88"/>
      <c r="AA404" s="91"/>
      <c r="AB404" s="68"/>
      <c r="AC404" s="68"/>
    </row>
    <row r="405" spans="1:29" ht="31.5" customHeight="1" x14ac:dyDescent="0.2">
      <c r="A405" s="18"/>
      <c r="B405" s="69" t="str">
        <f>IF(C389="","",[1]AB5!$B$20)</f>
        <v>For SL (Position = Open)</v>
      </c>
      <c r="C405" s="29"/>
      <c r="D405" s="107" t="str">
        <f>IF(C389="","",[1]AB5!$D$20)</f>
        <v>For Short Entry</v>
      </c>
      <c r="E405" s="63"/>
      <c r="F405" s="82" t="str">
        <f>IF(C389="","",CONCATENATE([1]AB5!$G$20,TEXT(B403,"HH:MM:SS AM/PM"),[1]AB5!$B$18,[1]AB5!$H$20))</f>
        <v>Check If  09:04:59 AM LL &lt; Short Entry</v>
      </c>
      <c r="G405" s="83"/>
      <c r="H405" s="108" t="str">
        <f>IF(C389="","",[1]AB5!$I$20)</f>
        <v>No</v>
      </c>
      <c r="I405" s="85"/>
      <c r="J405" s="109" t="str">
        <f>IF(C389="","",[1]AB5!$K$20)</f>
        <v>Entry Not Missed</v>
      </c>
      <c r="K405" s="110" t="str">
        <f>IF(C389="","",[1]AB5!$L$20)</f>
        <v>Place the Order at ORPT</v>
      </c>
      <c r="L405" s="88"/>
      <c r="M405" s="88"/>
      <c r="N405" s="85"/>
      <c r="O405" s="110" t="str">
        <f>IF(C389="","",[1]AB5!$P$20)</f>
        <v>ORPT Time</v>
      </c>
      <c r="P405" s="85"/>
      <c r="Q405" s="111">
        <f>IF(C389="","",B403)</f>
        <v>0.37846527777777778</v>
      </c>
      <c r="R405" s="85"/>
      <c r="S405" s="110" t="str">
        <f>IF(C389="","",[1]AB5!$T$20)</f>
        <v>N.A.</v>
      </c>
      <c r="T405" s="88"/>
      <c r="U405" s="85"/>
      <c r="V405" s="109" t="str">
        <f>IF(C389="","",[1]AB5!$W$20)</f>
        <v>N.A.</v>
      </c>
      <c r="W405" s="112" t="str">
        <f>IF(C389="","",[1]AB5!$X$20)</f>
        <v>N.A.</v>
      </c>
      <c r="X405" s="91"/>
      <c r="Y405" s="101" t="str">
        <f>IF(C389="","",CONCATENATE([1]AB5!$T$19," ( ",G395," or ",[1]AB5!$AA$20," ",[1]AB5!$Z$19," ",TEXT(W404,"0.00%")," )"))</f>
        <v>Max ( FUT : PRV : 3DHH + 0.10% or  CDHH + 0.10% )</v>
      </c>
      <c r="Z405" s="88"/>
      <c r="AA405" s="91"/>
      <c r="AB405" s="68"/>
      <c r="AC405" s="68"/>
    </row>
    <row r="406" spans="1:29" ht="31.5" customHeight="1" x14ac:dyDescent="0.2">
      <c r="A406" s="18" t="str">
        <f>IF(C389="","",CONCATENATE(C390,[1]AB5!$A$21))</f>
        <v>S12A</v>
      </c>
      <c r="B406" s="79" t="str">
        <f>IF(C389="","",[1]AB5!$B$21)</f>
        <v xml:space="preserve">ORPT </v>
      </c>
      <c r="C406" s="80" t="str">
        <f>IF(C389="","",[1]AB5!$C$21)</f>
        <v xml:space="preserve"> RC. Time</v>
      </c>
      <c r="D406" s="64"/>
      <c r="E406" s="59"/>
      <c r="F406" s="64"/>
      <c r="G406" s="95"/>
      <c r="H406" s="113" t="str">
        <f>IF(C389="","",[1]AB5!$I$21)</f>
        <v>Yes</v>
      </c>
      <c r="I406" s="83"/>
      <c r="J406" s="114" t="str">
        <f>IF(C389="","",[1]AB5!$K$21)</f>
        <v>Entry Missed</v>
      </c>
      <c r="K406" s="110" t="str">
        <f>IF(C389="","",[1]AB5!$L$21)</f>
        <v>Recalcuate : Short Entry : Bull / Bull CF</v>
      </c>
      <c r="L406" s="88"/>
      <c r="M406" s="88"/>
      <c r="N406" s="85"/>
      <c r="O406" s="110" t="str">
        <f>IF(C389="","",[1]AB5!$P$21)</f>
        <v>Wait Till Recalculation Time</v>
      </c>
      <c r="P406" s="85"/>
      <c r="Q406" s="111">
        <f>IF(C389="","",C403)</f>
        <v>0.38540972222222225</v>
      </c>
      <c r="R406" s="85"/>
      <c r="S406" s="115" t="str">
        <f>IF(C389="","",CONCATENATE(V406," ",[1]AB5!$Z$21," ",TEXT(W406,"0.00%")))</f>
        <v>09:14:59 AM LL - 0.10%</v>
      </c>
      <c r="T406" s="88"/>
      <c r="U406" s="85"/>
      <c r="V406" s="116" t="str">
        <f>IF(C389="","",CONCATENATE(TEXT(Q406,"HH:MM:SS AM/PM"),[1]AB5!$U$21))</f>
        <v>09:14:59 AM LL</v>
      </c>
      <c r="W406" s="112" t="str">
        <f t="array" ref="W406">IF(C389="","",TEXT(INDEX([1]AB4!BK:BK,MATCH(A392,[1]AB4!B:B,0)),"0.00%"))</f>
        <v>0.10%</v>
      </c>
      <c r="X406" s="91"/>
      <c r="Y406" s="117" t="str">
        <f>IF(C389="","",[1]AB5!$AA$21)</f>
        <v>When Your Long Position is Exited</v>
      </c>
      <c r="Z406" s="118"/>
      <c r="AA406" s="59"/>
      <c r="AB406" s="68"/>
      <c r="AC406" s="68"/>
    </row>
    <row r="407" spans="1:29" ht="31.5" customHeight="1" thickBot="1" x14ac:dyDescent="0.25">
      <c r="A407" s="18" t="str">
        <f>IF(C389="","",CONCATENATE(C390,[1]AB5!$A$22))</f>
        <v>S12B</v>
      </c>
      <c r="B407" s="119">
        <f t="array" ref="B407">IF(C389="","",INDEX([1]AB4!BF:BF,MATCH(A406,[1]AB4!B:B,0)))</f>
        <v>0.37846527777777778</v>
      </c>
      <c r="C407" s="120">
        <f t="array" ref="C407">IF(C389="","",INDEX([1]AB4!BF:BF,MATCH(A407,[1]AB4!B:B,0)))</f>
        <v>0.38540972222222225</v>
      </c>
      <c r="D407" s="60"/>
      <c r="E407" s="66"/>
      <c r="F407" s="60"/>
      <c r="G407" s="121"/>
      <c r="H407" s="102"/>
      <c r="I407" s="121"/>
      <c r="J407" s="122"/>
      <c r="K407" s="123" t="str">
        <f>IF(C389="","",[1]AB5!$L$22)</f>
        <v>Recalcuate : Short Entry : Bear / Bear CF</v>
      </c>
      <c r="L407" s="124"/>
      <c r="M407" s="124"/>
      <c r="N407" s="38"/>
      <c r="O407" s="123" t="str">
        <f>IF(C389="","",[1]AB5!$P$22)</f>
        <v>Wait Till Recalculation Time</v>
      </c>
      <c r="P407" s="38"/>
      <c r="Q407" s="125">
        <f>IF(C389="","",C403)</f>
        <v>0.38540972222222225</v>
      </c>
      <c r="R407" s="38"/>
      <c r="S407" s="126" t="str">
        <f>IF(C389="","",CONCATENATE(V407," ",[1]AB5!$Z$22," ",TEXT(W407,"0.00%")))</f>
        <v>09:14:59 AM LL - 0.10%</v>
      </c>
      <c r="T407" s="124"/>
      <c r="U407" s="38"/>
      <c r="V407" s="127" t="str">
        <f>IF(C389="","",CONCATENATE(TEXT(Q407,"HH:MM:SS AM/PM"),[1]AB5!$U$22))</f>
        <v>09:14:59 AM LL</v>
      </c>
      <c r="W407" s="128" t="str">
        <f t="array" ref="W407">IF(C389="","",TEXT(INDEX([1]AB4!BK:BK,MATCH(A398,[1]AB4!B:B,0)),"0.00%"))</f>
        <v>0.10%</v>
      </c>
      <c r="X407" s="41"/>
      <c r="Y407" s="129" t="str">
        <f>IF(C389="","",[1]AB5!$AA$22)</f>
        <v>This is Only Applicable for Same Day</v>
      </c>
      <c r="Z407" s="130"/>
      <c r="AA407" s="66"/>
      <c r="AB407" s="68"/>
      <c r="AC407" s="68"/>
    </row>
    <row r="408" spans="1:29" ht="6" customHeight="1" thickBot="1" x14ac:dyDescent="0.25">
      <c r="A408" s="18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</row>
    <row r="409" spans="1:29" ht="21.75" customHeight="1" thickBot="1" x14ac:dyDescent="0.25">
      <c r="A409" s="18"/>
      <c r="B409" s="69" t="str">
        <f>IF(C389="","",[1]AB5!$B$24)</f>
        <v>For TGT (Position = Open)</v>
      </c>
      <c r="C409" s="29"/>
      <c r="D409" s="132" t="str">
        <f>IF(C389="","",[1]AB5!$D$24)</f>
        <v>Gap Check</v>
      </c>
      <c r="E409" s="133"/>
      <c r="F409" s="132" t="str">
        <f>IF(C389="","",[1]AB5!$G$24)</f>
        <v>Process</v>
      </c>
      <c r="G409" s="133"/>
      <c r="H409" s="132" t="str">
        <f>IF(C389="","",[1]AB5!$I$24)</f>
        <v>Y / N</v>
      </c>
      <c r="I409" s="133"/>
      <c r="J409" s="134" t="str">
        <f>IF(C389="","",[1]AB5!$K$24)</f>
        <v>Status</v>
      </c>
      <c r="K409" s="135" t="str">
        <f>IF(C389="","",[1]AB5!$L$24)</f>
        <v>Step 1</v>
      </c>
      <c r="L409" s="136"/>
      <c r="M409" s="136"/>
      <c r="N409" s="133"/>
      <c r="O409" s="132" t="str">
        <f>IF(C389="","",[1]AB5!$P$24)</f>
        <v>Order Placement Timings</v>
      </c>
      <c r="P409" s="133"/>
      <c r="Q409" s="132" t="str">
        <f>IF(C389="","",[1]AB5!$R$24)</f>
        <v>Time</v>
      </c>
      <c r="R409" s="133"/>
      <c r="S409" s="135" t="str">
        <f>IF(C389="","",[1]AB5!$T$24)</f>
        <v>Rules For Gaps</v>
      </c>
      <c r="T409" s="136"/>
      <c r="U409" s="133"/>
      <c r="V409" s="134" t="str">
        <f>IF(C389="","",[1]AB5!$W$24)</f>
        <v>Data</v>
      </c>
      <c r="W409" s="132" t="str">
        <f>IF(C389="","",[1]AB5!$X$24)</f>
        <v>Buffer</v>
      </c>
      <c r="X409" s="133"/>
      <c r="Y409" s="135" t="str">
        <f>IF(C389="","",[1]AB5!$AA$16)</f>
        <v>Rules For Re Entry</v>
      </c>
      <c r="Z409" s="136"/>
      <c r="AA409" s="133"/>
      <c r="AB409" s="78"/>
      <c r="AC409" s="78"/>
    </row>
    <row r="410" spans="1:29" ht="24" customHeight="1" x14ac:dyDescent="0.2">
      <c r="A410" s="18" t="str">
        <f>IF(C389="","",CONCATENATE(C390,[1]AB5!$A$25))</f>
        <v>S12A</v>
      </c>
      <c r="B410" s="79" t="str">
        <f>IF(C389="","",[1]AB5!$B$25)</f>
        <v xml:space="preserve">ORPT </v>
      </c>
      <c r="C410" s="80" t="str">
        <f>IF(C389="","",[1]AB5!$C$25)</f>
        <v xml:space="preserve"> RC. Time</v>
      </c>
      <c r="D410" s="137" t="str">
        <f>IF(C389="","",[1]AB5!$D$25)</f>
        <v>For Long SL</v>
      </c>
      <c r="E410" s="59"/>
      <c r="F410" s="138" t="str">
        <f>IF(C389="","",CONCATENATE([1]AB5!$G$25,TEXT(B407,"HH:MM:SS AM/PM"),[1]AB5!$B$22,[1]AB5!$H$25))</f>
        <v>Check If 09:04:59 AM LL &lt; Long SL</v>
      </c>
      <c r="G410" s="76"/>
      <c r="H410" s="139" t="str">
        <f>IF(C389="","",[1]AB5!$I$25)</f>
        <v>No</v>
      </c>
      <c r="I410" s="27"/>
      <c r="J410" s="140" t="str">
        <f>IF(C389="","",[1]AB5!$K$25)</f>
        <v>FSL / TRP Not Missed</v>
      </c>
      <c r="K410" s="141" t="str">
        <f>IF(C389="","",[1]AB5!$L$25)</f>
        <v>Place the Order at ORPT</v>
      </c>
      <c r="L410" s="142"/>
      <c r="M410" s="142"/>
      <c r="N410" s="27"/>
      <c r="O410" s="141" t="str">
        <f>IF(C389="","",[1]AB5!$P$25)</f>
        <v>ORPT Time</v>
      </c>
      <c r="P410" s="27"/>
      <c r="Q410" s="143">
        <f>IF(C389="","",B407)</f>
        <v>0.37846527777777778</v>
      </c>
      <c r="R410" s="27"/>
      <c r="S410" s="141" t="str">
        <f>IF(C389="","",[1]AB5!$U$25)</f>
        <v>N.A.</v>
      </c>
      <c r="T410" s="142"/>
      <c r="U410" s="27"/>
      <c r="V410" s="140" t="str">
        <f>IF(C389="","",[1]AB5!$W$25)</f>
        <v>N.A.</v>
      </c>
      <c r="W410" s="144" t="str">
        <f>IF(C389="","",[1]AB5!$X$25)</f>
        <v>N.A.</v>
      </c>
      <c r="X410" s="29"/>
      <c r="Y410" s="117" t="str">
        <f>IF(C389="","",[1]AB5!$AA$25)</f>
        <v xml:space="preserve">Short Entry : Bull/ Bull CF : </v>
      </c>
      <c r="Z410" s="12"/>
      <c r="AA410" s="59"/>
      <c r="AB410" s="68"/>
      <c r="AC410" s="68"/>
    </row>
    <row r="411" spans="1:29" ht="24" customHeight="1" thickBot="1" x14ac:dyDescent="0.25">
      <c r="A411" s="18" t="str">
        <f>IF(C389="","",CONCATENATE(C390,[1]AB5!$A$26))</f>
        <v>S12B</v>
      </c>
      <c r="B411" s="119">
        <f t="array" ref="B411">IF(C389="","",INDEX([1]AB4!BG:BG,MATCH(A410,[1]AB4!B:B,0)))</f>
        <v>0.375</v>
      </c>
      <c r="C411" s="120" t="str">
        <f t="array" ref="C411">IF(C389="","",INDEX([1]AB4!BG:BG,MATCH(A411,[1]AB4!B:B,0)))</f>
        <v>N.A.</v>
      </c>
      <c r="D411" s="64"/>
      <c r="E411" s="59"/>
      <c r="F411" s="64"/>
      <c r="G411" s="12"/>
      <c r="H411" s="113" t="str">
        <f>IF(C389="","",[1]AB5!$I$26)</f>
        <v>Yes</v>
      </c>
      <c r="I411" s="83"/>
      <c r="J411" s="114" t="str">
        <f>IF(C389="","",[1]AB5!$K$26)</f>
        <v>FSL / TRP Missed</v>
      </c>
      <c r="K411" s="110" t="str">
        <f>IF(C389="","",[1]AB5!$L$26)</f>
        <v>Recalcuate : Long FSL / TRP : Bull / Bull CF</v>
      </c>
      <c r="L411" s="88"/>
      <c r="M411" s="88"/>
      <c r="N411" s="85"/>
      <c r="O411" s="110" t="str">
        <f>IF(C389="","",[1]AB5!$P$26)</f>
        <v>Wait Till Recalculation Time</v>
      </c>
      <c r="P411" s="85"/>
      <c r="Q411" s="111">
        <f>IF(C389="","",C407)</f>
        <v>0.38540972222222225</v>
      </c>
      <c r="R411" s="85"/>
      <c r="S411" s="110" t="str">
        <f>IF(C389="","",CONCATENATE(V411," ",[1]AB5!$Z$26," ",TEXT(W411,"0.00%")))</f>
        <v>09:14:59 AM LL - 0.10%</v>
      </c>
      <c r="T411" s="88"/>
      <c r="U411" s="85"/>
      <c r="V411" s="116" t="str">
        <f>IF(C389="","",CONCATENATE(TEXT(Q411,"HH:MM:SS AM/PM"),[1]AB5!$U$26))</f>
        <v>09:14:59 AM LL</v>
      </c>
      <c r="W411" s="112" t="str">
        <f t="array" ref="W411">IF(C389="","",TEXT(INDEX([1]AB4!BL:BL,MATCH(A390,[1]AB4!B:B,0)),"0.00%"))</f>
        <v>0.10%</v>
      </c>
      <c r="X411" s="91"/>
      <c r="Y411" s="145"/>
      <c r="Z411" s="145"/>
      <c r="AA411" s="104"/>
      <c r="AB411" s="68"/>
      <c r="AC411" s="68"/>
    </row>
    <row r="412" spans="1:29" ht="24" customHeight="1" x14ac:dyDescent="0.2">
      <c r="A412" s="18"/>
      <c r="B412" s="62" t="str">
        <f>IF(C389="","",[1]AB5!$B$27)</f>
        <v>I Commit To Follow The Rules &amp; Process</v>
      </c>
      <c r="C412" s="63"/>
      <c r="D412" s="64"/>
      <c r="E412" s="59"/>
      <c r="F412" s="64"/>
      <c r="G412" s="12"/>
      <c r="H412" s="48"/>
      <c r="I412" s="95"/>
      <c r="J412" s="146"/>
      <c r="K412" s="110" t="str">
        <f>IF(C389="","",[1]AB5!$L$27)</f>
        <v>Recalcuate : Long FSL / TRP : Bear / Bear CF</v>
      </c>
      <c r="L412" s="88"/>
      <c r="M412" s="88"/>
      <c r="N412" s="85"/>
      <c r="O412" s="110" t="str">
        <f>IF(C389="","",[1]AB5!$P$27)</f>
        <v>Wait Till Recalculation Time</v>
      </c>
      <c r="P412" s="85"/>
      <c r="Q412" s="111">
        <f>IF(C389="","",C407)</f>
        <v>0.38540972222222225</v>
      </c>
      <c r="R412" s="85"/>
      <c r="S412" s="110" t="str">
        <f>IF(C390="","",CONCATENATE(V412," ",[1]AB5!$Z$26," ",TEXT(W412,"0.00%")))</f>
        <v>09:14:59 AM LL - 0.10%</v>
      </c>
      <c r="T412" s="88"/>
      <c r="U412" s="85"/>
      <c r="V412" s="116" t="str">
        <f>IF(C389="","",CONCATENATE(TEXT(Q411,"HH:MM:SS AM/PM"),[1]AB5!$U$27))</f>
        <v>09:14:59 AM LL</v>
      </c>
      <c r="W412" s="112" t="str">
        <f t="array" ref="W412">IF(C389="","",TEXT(INDEX([1]AB4!BL:BL,MATCH(A390,[1]AB4!B:B,0)),"0.00%"))</f>
        <v>0.10%</v>
      </c>
      <c r="X412" s="91"/>
      <c r="Y412" s="147" t="str">
        <f>IF(C389="","",CONCATENATE([1]AB5!$T$28," ( ",G392," or ",[1]AB5!$AA$26," ",[1]AB5!$Z$28," ",TEXT(W413,"0.00%")," )"))</f>
        <v>Min ( FUT : PRV : 3DLL - 0.10% or  CDLL - 0.10% )</v>
      </c>
      <c r="Z412" s="148"/>
      <c r="AA412" s="63"/>
      <c r="AB412" s="68"/>
      <c r="AC412" s="68"/>
    </row>
    <row r="413" spans="1:29" ht="33" customHeight="1" x14ac:dyDescent="0.2">
      <c r="A413" s="18"/>
      <c r="B413" s="64"/>
      <c r="C413" s="59"/>
      <c r="D413" s="64"/>
      <c r="E413" s="59"/>
      <c r="F413" s="64"/>
      <c r="G413" s="12"/>
      <c r="H413" s="48"/>
      <c r="I413" s="95"/>
      <c r="J413" s="146"/>
      <c r="K413" s="110" t="str">
        <f>IF(C389="","",[1]AB5!$L$28)</f>
        <v>Recalcuate : Short Entry : Bull / Bull CF</v>
      </c>
      <c r="L413" s="88"/>
      <c r="M413" s="88"/>
      <c r="N413" s="85"/>
      <c r="O413" s="110" t="str">
        <f>IF(C389="","",[1]AB5!$P$28)</f>
        <v>Wait Till Recalculation Time</v>
      </c>
      <c r="P413" s="85"/>
      <c r="Q413" s="111">
        <f>IF(C389="","",C403)</f>
        <v>0.38540972222222225</v>
      </c>
      <c r="R413" s="85"/>
      <c r="S413" s="115" t="str">
        <f>IF(C389="","",CONCATENATE([1]AB5!$T$28," ( ",G392," or ",V413," ",[1]AB5!$Z$28," ",TEXT(W413,"0.00%")," )"))</f>
        <v>Min ( FUT : PRV : 3DLL - 0.10% or 09:14:59 AM LL - 0.10% )</v>
      </c>
      <c r="T413" s="88"/>
      <c r="U413" s="85"/>
      <c r="V413" s="116" t="str">
        <f>IF(C389="","",CONCATENATE(TEXT(Q413,"HH:MM:SS AM/PM"),[1]AB5!$U$28))</f>
        <v>09:14:59 AM LL</v>
      </c>
      <c r="W413" s="112" t="str">
        <f t="array" ref="W413">IF(C389="","",TEXT(INDEX([1]AB4!BK:BK,MATCH(A392,[1]AB4!B:B,0)),"0.00%"))</f>
        <v>0.10%</v>
      </c>
      <c r="X413" s="91"/>
      <c r="Y413" s="145"/>
      <c r="Z413" s="145"/>
      <c r="AA413" s="104"/>
      <c r="AB413" s="68"/>
      <c r="AC413" s="68"/>
    </row>
    <row r="414" spans="1:29" ht="33" customHeight="1" thickBot="1" x14ac:dyDescent="0.25">
      <c r="A414" s="18"/>
      <c r="B414" s="60"/>
      <c r="C414" s="66"/>
      <c r="D414" s="103"/>
      <c r="E414" s="104"/>
      <c r="F414" s="103"/>
      <c r="G414" s="145"/>
      <c r="H414" s="51"/>
      <c r="I414" s="105"/>
      <c r="J414" s="53"/>
      <c r="K414" s="110" t="str">
        <f>IF(C389="","",[1]AB5!$L$29)</f>
        <v>Recalcuate : Short Entry : Bear / Bear CF</v>
      </c>
      <c r="L414" s="88"/>
      <c r="M414" s="88"/>
      <c r="N414" s="85"/>
      <c r="O414" s="110" t="str">
        <f>IF(C389="","",[1]AB5!$P$29)</f>
        <v>Wait Till Recalculation Time</v>
      </c>
      <c r="P414" s="85"/>
      <c r="Q414" s="111">
        <f>IF(C389="","",C403)</f>
        <v>0.38540972222222225</v>
      </c>
      <c r="R414" s="85"/>
      <c r="S414" s="115" t="str">
        <f>IF(C389="","",CONCATENATE([1]AB5!$T$29," ( ",G398," or ",V414," ",[1]AB5!$Z$29," ",TEXT(W414,"0.00%")," )"))</f>
        <v>Min ( FUT : PRV : 2DLL - 0.00% or 09:14:59 AM LL - 0.10% )</v>
      </c>
      <c r="T414" s="88"/>
      <c r="U414" s="85"/>
      <c r="V414" s="116" t="str">
        <f>IF(C389="","",CONCATENATE(TEXT(Q414,"HH:MM:SS AM/PM"),[1]AB5!$U$29))</f>
        <v>09:14:59 AM LL</v>
      </c>
      <c r="W414" s="112" t="str">
        <f t="array" ref="W414">IF(C389="","",TEXT(INDEX([1]AB4!BK:BK,MATCH(A398,[1]AB4!B:B,0)),"0.00%"))</f>
        <v>0.10%</v>
      </c>
      <c r="X414" s="91"/>
      <c r="Y414" s="149" t="str">
        <f>IF(C389="","",[1]AB5!$AA$29)</f>
        <v xml:space="preserve">Short Entry : Bear/ Bear CF : </v>
      </c>
      <c r="Z414" s="88"/>
      <c r="AA414" s="91"/>
      <c r="AB414" s="68"/>
      <c r="AC414" s="68"/>
    </row>
    <row r="415" spans="1:29" ht="21.75" customHeight="1" x14ac:dyDescent="0.2">
      <c r="A415" s="18"/>
      <c r="B415" s="150" t="str">
        <f>IF(C389="","",IF([1]AB5!$B$12="","",[1]AB5!$B$30))</f>
        <v>By Asmita Patel.</v>
      </c>
      <c r="C415" s="71"/>
      <c r="D415" s="81" t="str">
        <f>IF(C389="","",[1]AB5!$D$30)</f>
        <v>For Short SL</v>
      </c>
      <c r="E415" s="63"/>
      <c r="F415" s="151" t="str">
        <f>IF(C389="","",CONCATENATE([1]AB5!$G$30,TEXT(B407,"HH:MM:SS AM/PM"),[1]AB5!$B$22,[1]AB5!$H$30))</f>
        <v>Check If 09:04:59 AM HH &gt; Short SL</v>
      </c>
      <c r="G415" s="83"/>
      <c r="H415" s="84" t="str">
        <f>IF(C389="","",[1]AB5!$I$30)</f>
        <v>No</v>
      </c>
      <c r="I415" s="85"/>
      <c r="J415" s="86" t="str">
        <f>IF(C389="","",[1]AB5!$K$30)</f>
        <v>FSL / TRP Not Missed</v>
      </c>
      <c r="K415" s="87" t="str">
        <f>IF(C389="","",[1]AB5!$L$30)</f>
        <v>Place the Order at ORPT</v>
      </c>
      <c r="L415" s="88"/>
      <c r="M415" s="88"/>
      <c r="N415" s="85"/>
      <c r="O415" s="87" t="str">
        <f>IF(C389="","",[1]AB5!$P$30)</f>
        <v>ORPT Time</v>
      </c>
      <c r="P415" s="85"/>
      <c r="Q415" s="89">
        <f>IF(C389="","",B407)</f>
        <v>0.37846527777777778</v>
      </c>
      <c r="R415" s="85"/>
      <c r="S415" s="87" t="str">
        <f>IF(C389="","",[1]AB5!$T$30)</f>
        <v>N.A.</v>
      </c>
      <c r="T415" s="88"/>
      <c r="U415" s="85"/>
      <c r="V415" s="86" t="str">
        <f>IF(C389="","",[1]AB5!$W$30)</f>
        <v>N.A.</v>
      </c>
      <c r="W415" s="90" t="str">
        <f>IF(C389="","",[1]AB5!$X$30)</f>
        <v>N.A.</v>
      </c>
      <c r="X415" s="91"/>
      <c r="Y415" s="147" t="str">
        <f>IF(C389="","",CONCATENATE([1]AB5!$T$29," ( ",G398," or ",[1]AB5!$AA$30," ",[1]AB5!$Z$29," ",TEXT(W414,"0.00%")," )"))</f>
        <v>Min ( FUT : PRV : 2DLL - 0.00% or  CDLL - 0.10% )</v>
      </c>
      <c r="Z415" s="148"/>
      <c r="AA415" s="63"/>
      <c r="AB415" s="68"/>
      <c r="AC415" s="68"/>
    </row>
    <row r="416" spans="1:29" ht="21.75" customHeight="1" x14ac:dyDescent="0.2">
      <c r="A416" s="152"/>
      <c r="B416" s="64"/>
      <c r="C416" s="59"/>
      <c r="D416" s="64"/>
      <c r="E416" s="59"/>
      <c r="F416" s="64"/>
      <c r="G416" s="95"/>
      <c r="H416" s="96" t="str">
        <f>IF(C389="","",[1]AB5!$I$31)</f>
        <v>Yes</v>
      </c>
      <c r="I416" s="83"/>
      <c r="J416" s="97" t="str">
        <f>IF(C389="","",[1]AB5!$K$31)</f>
        <v>FSL / TRP Missed</v>
      </c>
      <c r="K416" s="87" t="str">
        <f>IF(C389="","",[1]AB5!$L$31)</f>
        <v>Recalcuate : Short FSL / TRP : Bull / Bull CF</v>
      </c>
      <c r="L416" s="88"/>
      <c r="M416" s="88"/>
      <c r="N416" s="85"/>
      <c r="O416" s="87" t="str">
        <f>IF(C389="","",[1]AB5!$P$31)</f>
        <v>Wait Till Recalculation Time</v>
      </c>
      <c r="P416" s="85"/>
      <c r="Q416" s="89">
        <f>IF(C389="","",C407)</f>
        <v>0.38540972222222225</v>
      </c>
      <c r="R416" s="85"/>
      <c r="S416" s="87" t="str">
        <f>IF(C389="","",CONCATENATE(V416," ",[1]AB5!$Z$31," ",TEXT(W416,"0.00%")))</f>
        <v>09:14:59 AM HH + 0.10%</v>
      </c>
      <c r="T416" s="88"/>
      <c r="U416" s="85"/>
      <c r="V416" s="153" t="str">
        <f>IF(C389="","",CONCATENATE(TEXT(Q416,"HH:MM:SS AM/PM"),[1]AB5!$U$31))</f>
        <v>09:14:59 AM HH</v>
      </c>
      <c r="W416" s="90" t="str">
        <f t="array" ref="W416">IF(C389="","",TEXT(INDEX([1]AB4!BL:BL,MATCH(A398,[1]AB4!B:B,0)),"0.00%"))</f>
        <v>0.10%</v>
      </c>
      <c r="X416" s="91"/>
      <c r="Y416" s="12"/>
      <c r="Z416" s="12"/>
      <c r="AA416" s="59"/>
      <c r="AB416" s="68"/>
      <c r="AC416" s="68"/>
    </row>
    <row r="417" spans="1:29" ht="22.5" customHeight="1" x14ac:dyDescent="0.2">
      <c r="A417" s="152"/>
      <c r="B417" s="64"/>
      <c r="C417" s="59"/>
      <c r="D417" s="64"/>
      <c r="E417" s="59"/>
      <c r="F417" s="64"/>
      <c r="G417" s="95"/>
      <c r="H417" s="48"/>
      <c r="I417" s="95"/>
      <c r="J417" s="146"/>
      <c r="K417" s="87" t="str">
        <f>IF(C389="","",[1]AB5!$L$32)</f>
        <v>Recalcuate : Short FSL / TRP : Bear / Bear CF</v>
      </c>
      <c r="L417" s="88"/>
      <c r="M417" s="88"/>
      <c r="N417" s="85"/>
      <c r="O417" s="87" t="str">
        <f>IF(C389="","",[1]AB5!$P$32)</f>
        <v>Wait Till Recalculation Time</v>
      </c>
      <c r="P417" s="85"/>
      <c r="Q417" s="89">
        <f>IF(C389="","",C407)</f>
        <v>0.38540972222222225</v>
      </c>
      <c r="R417" s="85"/>
      <c r="S417" s="87" t="str">
        <f>IF(C390="","",CONCATENATE(V417," ",[1]AB5!$Z$31," ",TEXT(W417,"0.00%")))</f>
        <v>09:14:59 AM HH + 0.10%</v>
      </c>
      <c r="T417" s="88"/>
      <c r="U417" s="85"/>
      <c r="V417" s="153" t="str">
        <f>IF(C389="","",CONCATENATE(TEXT(Q416,"HH:MM:SS AM/PM"),[1]AB5!$U$32))</f>
        <v>09:14:59 AM HH</v>
      </c>
      <c r="W417" s="90" t="str">
        <f t="array" ref="W417">IF(C389="","",TEXT(INDEX([1]AB4!BL:BL,MATCH(A398,[1]AB4!B:B,0)),"0.00%"))</f>
        <v>0.10%</v>
      </c>
      <c r="X417" s="91"/>
      <c r="Y417" s="145"/>
      <c r="Z417" s="145"/>
      <c r="AA417" s="104"/>
      <c r="AB417" s="68"/>
      <c r="AC417" s="68"/>
    </row>
    <row r="418" spans="1:29" ht="33" customHeight="1" x14ac:dyDescent="0.2">
      <c r="A418" s="152"/>
      <c r="B418" s="64"/>
      <c r="C418" s="59"/>
      <c r="D418" s="64"/>
      <c r="E418" s="59"/>
      <c r="F418" s="64"/>
      <c r="G418" s="95"/>
      <c r="H418" s="48"/>
      <c r="I418" s="95"/>
      <c r="J418" s="146"/>
      <c r="K418" s="87" t="str">
        <f>IF(C389="","",[1]AB5!$L$33)</f>
        <v>Recalcuate : Long Entry : Bull / Bull CF</v>
      </c>
      <c r="L418" s="88"/>
      <c r="M418" s="88"/>
      <c r="N418" s="85"/>
      <c r="O418" s="87" t="str">
        <f>IF(C389="","",[1]AB5!$P$33)</f>
        <v>Wait Till Recalculation Time</v>
      </c>
      <c r="P418" s="85"/>
      <c r="Q418" s="89">
        <f>IF(C389="","",C403)</f>
        <v>0.38540972222222225</v>
      </c>
      <c r="R418" s="85"/>
      <c r="S418" s="98" t="str">
        <f>IF(C389="","",CONCATENATE([1]AB5!$T$33," ( ",G389," or ",V418," ",[1]AB5!$Z$33," ",TEXT(W418,"0.00%")," )"))</f>
        <v>Max ( FUT : PRV : 2DHH + 0.00% or 09:14:59 AM HH + 0.10% )</v>
      </c>
      <c r="T418" s="88"/>
      <c r="U418" s="85"/>
      <c r="V418" s="99" t="str">
        <f>IF(C389="","",CONCATENATE(TEXT(Q418,"HH:MM:SS AM/PM"),[1]AB5!$U$33))</f>
        <v>09:14:59 AM HH</v>
      </c>
      <c r="W418" s="90" t="str">
        <f t="array" ref="W418">IF(C389="","",TEXT(INDEX([1]AB4!BK:BK,MATCH(A389,[1]AB4!B:B,0)),"0.00%"))</f>
        <v>0.10%</v>
      </c>
      <c r="X418" s="91"/>
      <c r="Y418" s="117" t="str">
        <f>IF(C389="","",[1]AB5!$AA$33)</f>
        <v>When Your Short Position is Exited</v>
      </c>
      <c r="Z418" s="118"/>
      <c r="AA418" s="59"/>
      <c r="AB418" s="68"/>
      <c r="AC418" s="68"/>
    </row>
    <row r="419" spans="1:29" ht="33" customHeight="1" thickBot="1" x14ac:dyDescent="0.25">
      <c r="A419" s="152"/>
      <c r="B419" s="60"/>
      <c r="C419" s="66"/>
      <c r="D419" s="60"/>
      <c r="E419" s="66"/>
      <c r="F419" s="60"/>
      <c r="G419" s="121"/>
      <c r="H419" s="102"/>
      <c r="I419" s="121"/>
      <c r="J419" s="122"/>
      <c r="K419" s="154" t="str">
        <f>IF(C389="","",[1]AB5!$L$34)</f>
        <v>Recalcuate : Long Entry : Bear / Bear CF</v>
      </c>
      <c r="L419" s="124"/>
      <c r="M419" s="124"/>
      <c r="N419" s="38"/>
      <c r="O419" s="154" t="str">
        <f>IF(C389="","",[1]AB5!$P$34)</f>
        <v>Wait Till Recalculation Time</v>
      </c>
      <c r="P419" s="38"/>
      <c r="Q419" s="155">
        <f>IF(C389="","",C403)</f>
        <v>0.38540972222222225</v>
      </c>
      <c r="R419" s="38"/>
      <c r="S419" s="156" t="str">
        <f>IF(C389="","",CONCATENATE([1]AB5!$T$34," ( ",G395," or ",V419," ",[1]AB5!$Z$34," ",TEXT(W419,"0.00%")," )"))</f>
        <v>Max ( FUT : PRV : 3DHH + 0.10% or 09:14:59 AM HH + 0.10% )</v>
      </c>
      <c r="T419" s="124"/>
      <c r="U419" s="38"/>
      <c r="V419" s="157" t="str">
        <f>IF(C389="","",CONCATENATE(TEXT(Q419,"HH:MM:SS AM/PM"),[1]AB5!$U$34))</f>
        <v>09:14:59 AM HH</v>
      </c>
      <c r="W419" s="158" t="str">
        <f t="array" ref="W419">IF(C389="","",TEXT(INDEX([1]AB4!BK:BK,MATCH(A395,[1]AB4!B:B,0)),"0.00%"))</f>
        <v>0.10%</v>
      </c>
      <c r="X419" s="41"/>
      <c r="Y419" s="117" t="str">
        <f>IF(C389="","",[1]AB5!$AA$34)</f>
        <v>This is Only Applicable for Same Day</v>
      </c>
      <c r="Z419" s="118"/>
      <c r="AA419" s="59"/>
      <c r="AB419" s="68"/>
      <c r="AC419" s="68"/>
    </row>
    <row r="420" spans="1:29" ht="21.75" customHeight="1" thickBot="1" x14ac:dyDescent="0.25">
      <c r="A420" s="152"/>
      <c r="B420" s="69" t="str">
        <f>IF(C389="","",[1]AB5!$B$35)</f>
        <v>For Missed SL (Position = Open)</v>
      </c>
      <c r="C420" s="29"/>
      <c r="D420" s="70" t="str">
        <f>IF(C389="","",[1]AB5!$D$36)</f>
        <v>Note: ( Optional )</v>
      </c>
      <c r="E420" s="71"/>
      <c r="F420" s="159" t="str">
        <f>IF(C389="","",[1]AB5!$I$35)</f>
        <v>For Long SL</v>
      </c>
      <c r="G420" s="136"/>
      <c r="H420" s="136"/>
      <c r="I420" s="136"/>
      <c r="J420" s="136"/>
      <c r="K420" s="136"/>
      <c r="L420" s="136"/>
      <c r="M420" s="136"/>
      <c r="N420" s="136"/>
      <c r="O420" s="136"/>
      <c r="P420" s="133"/>
      <c r="Q420" s="159" t="str">
        <f>IF(N389="","",[1]AB5!$T$35)</f>
        <v>For Short SL</v>
      </c>
      <c r="R420" s="136"/>
      <c r="S420" s="136"/>
      <c r="T420" s="136"/>
      <c r="U420" s="136"/>
      <c r="V420" s="136"/>
      <c r="W420" s="136"/>
      <c r="X420" s="136"/>
      <c r="Y420" s="136"/>
      <c r="Z420" s="136"/>
      <c r="AA420" s="133"/>
      <c r="AB420" s="68"/>
      <c r="AC420" s="68"/>
    </row>
    <row r="421" spans="1:29" ht="36" customHeight="1" x14ac:dyDescent="0.2">
      <c r="A421" s="152"/>
      <c r="B421" s="160" t="str">
        <f>IF(C389="","",[1]AB5!$B$36)</f>
        <v>Check time</v>
      </c>
      <c r="C421" s="91"/>
      <c r="D421" s="64"/>
      <c r="E421" s="59"/>
      <c r="F421" s="161" t="str">
        <f>IF(C389="","",CONCATENATE([1]AB5!$G$36,TEXT(B422,"HH:MM:SS AM/PM"),[1]AB5!$B$37,[1]AB5!$H$36))</f>
        <v>Check If Close at 11:00:00 PM  &lt; Long Original SL</v>
      </c>
      <c r="G421" s="85"/>
      <c r="H421" s="162" t="str">
        <f>IF(C389="","",[1]AB5!$I$36)</f>
        <v>Yes</v>
      </c>
      <c r="I421" s="105"/>
      <c r="J421" s="163" t="str">
        <f>IF(C389="","",CONCATENATE([1]AB5!$K$36,TEXT(B422,"HH:MM:SS AM/PM")))</f>
        <v xml:space="preserve"> Then Square Off The Position At CMP at 11:00:00 PM</v>
      </c>
      <c r="K421" s="145"/>
      <c r="L421" s="145"/>
      <c r="M421" s="145"/>
      <c r="N421" s="145"/>
      <c r="O421" s="145"/>
      <c r="P421" s="104"/>
      <c r="Q421" s="164" t="str">
        <f>IF(C389="","",CONCATENATE([1]AB5!$T$36,TEXT(B422,"HH:MM:SS AM/PM"),[1]AB5!$B$37,[1]AB5!$U$36))</f>
        <v>Check If Close at 11:00:00 PM  &gt; Short Original SL</v>
      </c>
      <c r="R421" s="145"/>
      <c r="S421" s="105"/>
      <c r="T421" s="165" t="str">
        <f>IF(C389="","",[1]AB5!$I$36)</f>
        <v>Yes</v>
      </c>
      <c r="U421" s="166" t="str">
        <f>IF(C389="","",CONCATENATE([1]AB5!$W$36,TEXT(B422,"HH:MM:SS AM/PM")))</f>
        <v xml:space="preserve"> Then Square Off The Position At CMP at 11:00:00 PM</v>
      </c>
      <c r="V421" s="145"/>
      <c r="W421" s="145"/>
      <c r="X421" s="145"/>
      <c r="Y421" s="145"/>
      <c r="Z421" s="145"/>
      <c r="AA421" s="104"/>
      <c r="AB421" s="68"/>
      <c r="AC421" s="167"/>
    </row>
    <row r="422" spans="1:29" ht="36" customHeight="1" thickBot="1" x14ac:dyDescent="0.25">
      <c r="A422" s="152"/>
      <c r="B422" s="168">
        <f t="array" ref="B422">IF(C389="","",INDEX([1]AB4!CU:CU,MATCH(A410,[1]AB4!B:B,0)))</f>
        <v>0.95833333333333326</v>
      </c>
      <c r="C422" s="41"/>
      <c r="D422" s="60"/>
      <c r="E422" s="66"/>
      <c r="F422" s="169" t="str">
        <f>IF(C389="","",CONCATENATE([1]AB5!$G$37,TEXT(B422,"HH:MM:SS AM/PM"),[1]AB5!$B$37,[1]AB5!$H$37))</f>
        <v>Check If Close at 11:00:00 PM  &gt; Long Original SL</v>
      </c>
      <c r="G422" s="38"/>
      <c r="H422" s="170" t="str">
        <f>IF(C389="","",[1]AB5!$I$37)</f>
        <v>Yes</v>
      </c>
      <c r="I422" s="38"/>
      <c r="J422" s="156" t="str">
        <f>IF(C389="","",CONCATENATE([1]AB5!$K$37))</f>
        <v xml:space="preserve"> Then Continue the Position for Next Day And Calculate Stop Loss Price as per the Rules</v>
      </c>
      <c r="K422" s="124"/>
      <c r="L422" s="124"/>
      <c r="M422" s="124"/>
      <c r="N422" s="124"/>
      <c r="O422" s="124"/>
      <c r="P422" s="41"/>
      <c r="Q422" s="169" t="str">
        <f>IF(C389="","",CONCATENATE([1]AB5!$T$37,TEXT(B422,"HH:MM:SS AM/PM"),[1]AB5!$B$37,[1]AB5!$U$37))</f>
        <v>Check If Close at 11:00:00 PM  &lt; Short Original SL</v>
      </c>
      <c r="R422" s="124"/>
      <c r="S422" s="38"/>
      <c r="T422" s="171" t="str">
        <f>IF(C390="","",[1]AB5!$I$36)</f>
        <v>Yes</v>
      </c>
      <c r="U422" s="156" t="str">
        <f>IF(C389="","",CONCATENATE([1]AB5!$W$37))</f>
        <v xml:space="preserve"> Then Continue the Position for Next Day And Calculate Stop Loss Price as per the Rules</v>
      </c>
      <c r="V422" s="124"/>
      <c r="W422" s="124"/>
      <c r="X422" s="124"/>
      <c r="Y422" s="124"/>
      <c r="Z422" s="124"/>
      <c r="AA422" s="41"/>
      <c r="AB422" s="68"/>
      <c r="AC422" s="167"/>
    </row>
    <row r="423" spans="1:29" ht="15.75" customHeight="1" thickBot="1" x14ac:dyDescent="0.25">
      <c r="A423" s="177"/>
    </row>
    <row r="424" spans="1:29" ht="30.75" customHeight="1" x14ac:dyDescent="0.2">
      <c r="A424" s="18" t="str">
        <f>IF(C424="","",CONCATENATE(C425,[1]AB5!$A$4))</f>
        <v>S13A</v>
      </c>
      <c r="B424" s="20" t="str">
        <f>IF(C424="","",IF([1]AB5!$B$4="","",[1]AB5!$B$4))</f>
        <v>Sr. No.</v>
      </c>
      <c r="C424" s="172">
        <v>13</v>
      </c>
      <c r="D424" s="173" t="str">
        <f>IF(C424="","",[1]AB5!$D$4)</f>
        <v>BULL / BULL CF</v>
      </c>
      <c r="E424" s="57" t="str">
        <f>IF(C424="","",[1]AB5!$F$4)</f>
        <v>BUY</v>
      </c>
      <c r="F424" s="58" t="str">
        <f>IF(C424="","",[1]AB5!$G$4)</f>
        <v>E &amp; T</v>
      </c>
      <c r="G424" s="25" t="str">
        <f t="array" ref="G424">IF(C424="","",CONCATENATE(INDEX([1]AB4!G:G,MATCH(A424,[1]AB4!B:B,0)),INDEX([1]AB4!H:H,MATCH(A424,[1]AB4!B:B,0)),TEXT(INDEX([1]AB4!I:I,MATCH(A424,[1]AB4!B:B,0)),"0.00%")))</f>
        <v>FUT : PRV : 3DHH + 0.10%</v>
      </c>
      <c r="H424" s="26">
        <f t="array" ref="H424">IF(C424="","",INDEX([1]AB4!J:J,MATCH(A424,[1]AB4!B:B,0)))</f>
        <v>5</v>
      </c>
      <c r="I424" s="27"/>
      <c r="J424" s="28" t="str">
        <f t="array" ref="J424">IF(C424="","",CONCATENATE(INDEX([1]AB4!L:L,MATCH(A424,[1]AB4!B:B,0)),INDEX([1]AB4!M:M,MATCH(A424,[1]AB4!B:B,0)),TEXT(INDEX([1]AB4!N:N,MATCH(A424,[1]AB4!B:B,0)),"0.00%")))</f>
        <v>L : Entry  + 1.40%</v>
      </c>
      <c r="K424" s="26">
        <f t="array" ref="K424">IF(C424="","",INDEX([1]AB4!O:O,MATCH(A424,[1]AB4!B:B,0)))</f>
        <v>1</v>
      </c>
      <c r="L424" s="27"/>
      <c r="M424" s="28" t="str">
        <f t="array" ref="M424">IF(C424="","",CONCATENATE(INDEX([1]AB4!L:L,MATCH(A424,[1]AB4!B:B,0)),INDEX([1]AB4!M:M,MATCH(A424,[1]AB4!B:B,0)),TEXT(INDEX([1]AB4!P:P,MATCH(A424,[1]AB4!B:B,0)),"0.00%")))</f>
        <v>L : Entry  + 2.10%</v>
      </c>
      <c r="N424" s="26">
        <f t="array" ref="N424">IF(C424="","",INDEX([1]AB4!Q:Q,MATCH(A424,[1]AB4!B:B,0)))</f>
        <v>1</v>
      </c>
      <c r="O424" s="27"/>
      <c r="P424" s="28" t="str">
        <f t="array" ref="P424">IF(C424="","",CONCATENATE(INDEX([1]AB4!L:L,MATCH(A424,[1]AB4!B:B,0)),INDEX([1]AB4!M:M,MATCH(A424,[1]AB4!B:B,0)),TEXT(INDEX([1]AB4!R:R,MATCH(A424,[1]AB4!B:B,0)),"0.00%")))</f>
        <v>L : Entry  + 2.80%</v>
      </c>
      <c r="Q424" s="26">
        <f t="array" ref="Q424">IF(C424="","",INDEX([1]AB4!S:S,MATCH(A424,[1]AB4!B:B,0)))</f>
        <v>1</v>
      </c>
      <c r="R424" s="27"/>
      <c r="S424" s="28" t="str">
        <f t="array" ref="S424">IF(C424="","",CONCATENATE(INDEX([1]AB4!L:L,MATCH(A424,[1]AB4!B:B,0)),INDEX([1]AB4!M:M,MATCH(A424,[1]AB4!B:B,0)),TEXT(INDEX([1]AB4!T:T,MATCH(A424,[1]AB4!B:B,0)),"0.00%")))</f>
        <v>L : Entry  + 3.50%</v>
      </c>
      <c r="T424" s="26">
        <f t="array" ref="T424">IF(C424="","",INDEX([1]AB4!U:U,MATCH(A424,[1]AB4!B:B,0)))</f>
        <v>1</v>
      </c>
      <c r="U424" s="27"/>
      <c r="V424" s="28" t="str">
        <f t="array" ref="V424">IF(C424="","",INDEX([1]AB4!V:V,MATCH(A424,[1]AB4!B:B,0)))</f>
        <v>TR PROFIT AFTER TGT 4</v>
      </c>
      <c r="W424" s="26">
        <f t="array" ref="W424">IF(C424="","",INDEX([1]AB4!W:W,MATCH(A424,[1]AB4!B:B,0)))</f>
        <v>1</v>
      </c>
      <c r="X424" s="27"/>
      <c r="Y424" s="28" t="str">
        <f t="array" ref="Y424">IF(C424="","",INDEX([1]AB4!X:X,MATCH(A424,[1]AB4!B:B,0)))</f>
        <v>N.A.</v>
      </c>
      <c r="Z424" s="26" t="str">
        <f t="array" ref="Z424">IF(C424="","",INDEX([1]AB4!Y:Y,MATCH(A424,[1]AB4!B:B,0)))</f>
        <v>N.A.</v>
      </c>
      <c r="AA424" s="29"/>
      <c r="AB424" s="30"/>
      <c r="AC424" s="30"/>
    </row>
    <row r="425" spans="1:29" ht="44.25" customHeight="1" thickBot="1" x14ac:dyDescent="0.25">
      <c r="A425" s="18" t="str">
        <f>IF(C424="","",CONCATENATE(C425,[1]AB5!$A$5))</f>
        <v>S13A</v>
      </c>
      <c r="B425" s="31" t="str">
        <f>IF(C424="","",IF([1]AB5!$B$5="","",[1]AB5!$B$5))</f>
        <v>Strategy Code</v>
      </c>
      <c r="C425" s="54" t="str">
        <f t="array" ref="C425">IF(C424="","",INDEX([1]AB2!B:B,MATCH(C424,[1]AB2!A:A,0)))</f>
        <v>S13</v>
      </c>
      <c r="D425" s="59"/>
      <c r="E425" s="60"/>
      <c r="F425" s="61" t="str">
        <f>IF(C424="","",[1]AB5!$G$5)</f>
        <v>SL / TRP</v>
      </c>
      <c r="G425" s="36" t="str">
        <f t="array" ref="G425">IF(C424="","",CONCATENATE(INDEX([1]AB4!AA:AA,MATCH(A425,[1]AB4!B:B,0))," ( ",INDEX([1]AB4!AE:AE,MATCH(A425,[1]AB4!B:B,0)),INDEX([1]AB4!AF:AF,MATCH(A425,[1]AB4!B:B,0)),TEXT(INDEX([1]AB4!AG:AG,MATCH(A425,[1]AB4!B:B,0)),"0.00%")," or ",INDEX([1]AB4!AK:AK,MATCH(A425,[1]AB4!B:B,0)),INDEX([1]AB4!AJ:AJ,MATCH(A425,[1]AB4!B:B,0)),TEXT(INDEX([1]AB4!AL:AL,MATCH(A425,[1]AB4!B:B,0)),"0.00%")," )"))</f>
        <v>Max ( L : Entry - 1.40% or FUT : PRV : 3DLL - 0.10% )</v>
      </c>
      <c r="H425" s="37">
        <f t="array" ref="H425">IF(C425="","",INDEX([1]AB4!AM:AM,MATCH(A425,[1]AB4!B:B,0)))</f>
        <v>5</v>
      </c>
      <c r="I425" s="38"/>
      <c r="J425" s="36" t="str">
        <f t="array" ref="J425">IF(C424="","",CONCATENATE(INDEX([1]AB4!AA:AA,MATCH(A425,[1]AB4!B:B,0))," ( ",INDEX([1]AB4!AE:AE,MATCH(A425,[1]AB4!B:B,0))," or ",INDEX([1]AB4!AN:AN,MATCH(A425,[1]AB4!B:B,0)),INDEX([1]AB4!AJ:AJ,MATCH(A425,[1]AB4!B:B,0)),TEXT(INDEX([1]AB4!AO:AO,MATCH(A425,[1]AB4!B:B,0)),"0.00%")," )"))</f>
        <v>Max ( L : Entry or FUT : PRV : 3DLL - 0.10% )</v>
      </c>
      <c r="K425" s="37">
        <f t="array" ref="K425">IF(C424="","",INDEX([1]AB4!AP:AP,MATCH(A425,[1]AB4!B:B,0)))</f>
        <v>4</v>
      </c>
      <c r="L425" s="38"/>
      <c r="M425" s="36" t="str">
        <f t="array" ref="M425">IF(C424="","",CONCATENATE(INDEX([1]AB4!AA:AA,MATCH(A425,[1]AB4!B:B,0))," ( ",INDEX([1]AB4!AE:AE,MATCH(A425,[1]AB4!B:B,0))," or ",INDEX([1]AB4!AQ:AQ,MATCH(A425,[1]AB4!B:B,0)),INDEX([1]AB4!AJ:AJ,MATCH(A425,[1]AB4!B:B,0)),TEXT(INDEX([1]AB4!AR:AR,MATCH(A425,[1]AB4!B:B,0)),"0.00%")," )"))</f>
        <v>Max ( L : Entry or FUT : PRV : 3DLL - 0.10% )</v>
      </c>
      <c r="N425" s="37">
        <f t="array" ref="N425">IF(C425="","",INDEX([1]AB4!AS:AS,MATCH(A425,[1]AB4!B:B,0)))</f>
        <v>3</v>
      </c>
      <c r="O425" s="38"/>
      <c r="P425" s="36" t="str">
        <f t="array" ref="P425">IF(C424="","",CONCATENATE(INDEX([1]AB4!AA:AA,MATCH(A425,[1]AB4!B:B,0))," ( ",INDEX([1]AB4!AE:AE,MATCH(A425,[1]AB4!B:B,0))," or ",INDEX([1]AB4!AT:AT,MATCH(A425,[1]AB4!B:B,0)),INDEX([1]AB4!AJ:AJ,MATCH(A425,[1]AB4!B:B,0)),TEXT(INDEX([1]AB4!AU:AU,MATCH(A425,[1]AB4!B:B,0)),"0.00%")," )"))</f>
        <v>Max ( L : Entry or FUT : PRV : 3DLL - 0.10% )</v>
      </c>
      <c r="Q425" s="37">
        <f t="array" ref="Q425">IF(C425="","",INDEX([1]AB4!AV:AV,MATCH(A425,[1]AB4!B:B,0)))</f>
        <v>2</v>
      </c>
      <c r="R425" s="38"/>
      <c r="S425" s="36" t="str">
        <f t="array" ref="S425">IF(C424="","",CONCATENATE(INDEX([1]AB4!AA:AA,MATCH(A425,[1]AB4!B:B,0))," ( ",INDEX([1]AB4!AE:AE,MATCH(A425,[1]AB4!B:B,0))," or ",INDEX([1]AB4!AW:AW,MATCH(A425,[1]AB4!B:B,0)),INDEX([1]AB4!AJ:AJ,MATCH(A425,[1]AB4!B:B,0)),TEXT(INDEX([1]AB4!AX:AX,MATCH(A425,[1]AB4!B:B,0)),"0.00%")," )"))</f>
        <v>Max ( L : Entry or FUT : PRV : 3DLL - 0.10% )</v>
      </c>
      <c r="T425" s="37">
        <f t="array" ref="T425">IF(C424="","",INDEX([1]AB4!AY:AY,MATCH(A425,[1]AB4!B:B,0)))</f>
        <v>1</v>
      </c>
      <c r="U425" s="38"/>
      <c r="V425" s="36" t="str">
        <f t="array" ref="V425">IF(C424="","",CONCATENATE(INDEX([1]AB4!AA:AA,MATCH(A425,[1]AB4!B:B,0))," ( ",INDEX([1]AB4!AE:AE,MATCH(A425,[1]AB4!B:B,0))," or ",INDEX([1]AB4!AW:AW,MATCH(A425,[1]AB4!B:B,0)),INDEX([1]AB4!AJ:AJ,MATCH(A425,[1]AB4!B:B,0)),TEXT(INDEX([1]AB4!AX:AX,MATCH(A425,[1]AB4!B:B,0)),"0.00%")," )"))</f>
        <v>Max ( L : Entry or FUT : PRV : 3DLL - 0.10% )</v>
      </c>
      <c r="W425" s="37">
        <f t="array" ref="W425">IF(C424="","",INDEX([1]AB4!AY:AY,MATCH(A425,[1]AB4!B:B,0)))</f>
        <v>1</v>
      </c>
      <c r="X425" s="38"/>
      <c r="Y425" s="40">
        <f t="array" ref="Y425">IF(C424="","",INDEX([1]AB4!AZ:AZ,MATCH(A425,[1]AB4!B:B,0)))</f>
        <v>0</v>
      </c>
      <c r="Z425" s="37">
        <f t="array" ref="Z425">IF(C424="","",INDEX([1]AB4!BB:BB,MATCH(A425,[1]AB4!B:B,0)))</f>
        <v>0</v>
      </c>
      <c r="AA425" s="41"/>
      <c r="AB425" s="30"/>
      <c r="AC425" s="30"/>
    </row>
    <row r="426" spans="1:29" ht="6" customHeight="1" thickBot="1" x14ac:dyDescent="0.25">
      <c r="A426" s="18" t="str">
        <f>IF(C424="","",CONCATENATE(C425,[1]AB5!A436))</f>
        <v>S13</v>
      </c>
      <c r="B426" s="42" t="str">
        <f>IF(C424="","",IF([1]AB5!$B$6="","",[1]AB5!$B$6))</f>
        <v>Unique Code</v>
      </c>
      <c r="C426" s="174" t="str">
        <f t="array" ref="C426">IF(C424="","",INDEX([1]AB2!N:N,MATCH(C424,[1]AB2!A:A,0)))</f>
        <v>SILVERM_FUT_MT_SAME_3D_3D</v>
      </c>
      <c r="D426" s="59"/>
      <c r="E426" s="44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6"/>
      <c r="AB426" s="30"/>
      <c r="AC426" s="30"/>
    </row>
    <row r="427" spans="1:29" ht="30.75" customHeight="1" x14ac:dyDescent="0.2">
      <c r="A427" s="18" t="str">
        <f>IF(C424="","",CONCATENATE(C425,[1]AB5!$A$7))</f>
        <v>S13B</v>
      </c>
      <c r="B427" s="47"/>
      <c r="C427" s="175"/>
      <c r="D427" s="59"/>
      <c r="E427" s="65" t="str">
        <f>IF(C424="","",[1]AB5!$F$7)</f>
        <v>SELL</v>
      </c>
      <c r="F427" s="58" t="str">
        <f>IF(C424="","",[1]AB5!$G$7)</f>
        <v>E &amp; T</v>
      </c>
      <c r="G427" s="25" t="str">
        <f t="array" ref="G427">IF(C424="","",CONCATENATE(INDEX([1]AB4!G:G,MATCH(A427,[1]AB4!B:B,0)),INDEX([1]AB4!H:H,MATCH(A427,[1]AB4!B:B,0)),TEXT(INDEX([1]AB4!I:I,MATCH(A427,[1]AB4!B:B,0)),"0.00%")))</f>
        <v>FUT : PRV : 3DLL - 0.10%</v>
      </c>
      <c r="H427" s="26">
        <f t="array" ref="H427">IF(C424="","",INDEX([1]AB4!J:J,MATCH(A427,[1]AB4!B:B,0)))</f>
        <v>5</v>
      </c>
      <c r="I427" s="27"/>
      <c r="J427" s="28" t="str">
        <f t="array" ref="J427">IF(C424="","",CONCATENATE(INDEX([1]AB4!L:L,MATCH(A427,[1]AB4!B:B,0)),INDEX([1]AB4!M:M,MATCH(A427,[1]AB4!B:B,0)),TEXT(INDEX([1]AB4!N:N,MATCH(A427,[1]AB4!B:B,0)),"0.00%")))</f>
        <v>S : Entry  - 1.40%</v>
      </c>
      <c r="K427" s="26">
        <f t="array" ref="K427">IF(C424="","",INDEX([1]AB4!O:O,MATCH(A427,[1]AB4!B:B,0)))</f>
        <v>1</v>
      </c>
      <c r="L427" s="27"/>
      <c r="M427" s="28" t="str">
        <f t="array" ref="M427">IF(C424="","",CONCATENATE(INDEX([1]AB4!L:L,MATCH(A427,[1]AB4!B:B,0)),INDEX([1]AB4!M:M,MATCH(A427,[1]AB4!B:B,0)),TEXT(INDEX([1]AB4!P:P,MATCH(A427,[1]AB4!B:B,0)),"0.00%")))</f>
        <v>S : Entry  - 2.10%</v>
      </c>
      <c r="N427" s="26">
        <f t="array" ref="N427">IF(C424="","",INDEX([1]AB4!Q:Q,MATCH(A427,[1]AB4!B:B,0)))</f>
        <v>1</v>
      </c>
      <c r="O427" s="27"/>
      <c r="P427" s="28" t="str">
        <f t="array" ref="P427">IF(C424="","",CONCATENATE(INDEX([1]AB4!L:L,MATCH(A427,[1]AB4!B:B,0)),INDEX([1]AB4!M:M,MATCH(A427,[1]AB4!B:B,0)),TEXT(INDEX([1]AB4!R:R,MATCH(A427,[1]AB4!B:B,0)),"0.00%")))</f>
        <v>S : Entry  - 2.80%</v>
      </c>
      <c r="Q427" s="26">
        <f t="array" ref="Q427">IF(C424="","",INDEX([1]AB4!S:S,MATCH(A427,[1]AB4!B:B,0)))</f>
        <v>1</v>
      </c>
      <c r="R427" s="27"/>
      <c r="S427" s="28" t="str">
        <f t="array" ref="S427">IF(C424="","",CONCATENATE(INDEX([1]AB4!L:L,MATCH(A427,[1]AB4!B:B,0)),INDEX([1]AB4!M:M,MATCH(A427,[1]AB4!B:B,0)),TEXT(INDEX([1]AB4!T:T,MATCH(A427,[1]AB4!B:B,0)),"0.00%")))</f>
        <v>S : Entry  - 3.50%</v>
      </c>
      <c r="T427" s="26">
        <f t="array" ref="T427">IF(C424="","",INDEX([1]AB4!U:U,MATCH(A427,[1]AB4!B:B,0)))</f>
        <v>1</v>
      </c>
      <c r="U427" s="27"/>
      <c r="V427" s="28" t="str">
        <f t="array" ref="V427">IF(C424="","",INDEX([1]AB4!V:V,MATCH(A427,[1]AB4!B:B,0)))</f>
        <v>TR PROFIT AFTER TGT 4</v>
      </c>
      <c r="W427" s="26">
        <f t="array" ref="W427">IF(C424="","",INDEX([1]AB4!W:W,MATCH(A427,[1]AB4!B:B,0)))</f>
        <v>1</v>
      </c>
      <c r="X427" s="27"/>
      <c r="Y427" s="28" t="str">
        <f t="array" ref="Y427">IF(C424="","",INDEX([1]AB4!X:X,MATCH(A427,[1]AB4!B:B,0)))</f>
        <v>N.A.</v>
      </c>
      <c r="Z427" s="26" t="str">
        <f t="array" ref="Z427">IF(C424="","",INDEX([1]AB4!Y:Y,MATCH(A427,[1]AB4!B:B,0)))</f>
        <v>N.A.</v>
      </c>
      <c r="AA427" s="29"/>
      <c r="AB427" s="30"/>
      <c r="AC427" s="30"/>
    </row>
    <row r="428" spans="1:29" ht="44.25" customHeight="1" thickBot="1" x14ac:dyDescent="0.25">
      <c r="A428" s="18" t="str">
        <f>IF(C424="","",CONCATENATE(C425,[1]AB5!$A$8))</f>
        <v>S13B</v>
      </c>
      <c r="B428" s="50"/>
      <c r="C428" s="176"/>
      <c r="D428" s="66"/>
      <c r="E428" s="60"/>
      <c r="F428" s="61" t="str">
        <f>IF(C424="","",[1]AB5!$G$8)</f>
        <v>SL / TRP</v>
      </c>
      <c r="G428" s="36" t="str">
        <f t="array" ref="G428">IF(C424="","",CONCATENATE(INDEX([1]AB4!AA:AA,MATCH(A428,[1]AB4!B:B,0))," ( ",INDEX([1]AB4!AE:AE,MATCH(A428,[1]AB4!B:B,0)),INDEX([1]AB4!AF:AF,MATCH(A428,[1]AB4!B:B,0)),TEXT(INDEX([1]AB4!AG:AG,MATCH(A428,[1]AB4!B:B,0)),"0.00%")," or ",INDEX([1]AB4!AK:AK,MATCH(A428,[1]AB4!B:B,0)),INDEX([1]AB4!AJ:AJ,MATCH(A428,[1]AB4!B:B,0)),TEXT(INDEX([1]AB4!AL:AL,MATCH(A428,[1]AB4!B:B,0)),"0.00%")," )"))</f>
        <v>Min ( S : Entry + 1.40% or FUT : PRV : 3DHH + 0.10% )</v>
      </c>
      <c r="H428" s="37">
        <f t="array" ref="H428">IF(C424="","",INDEX([1]AB4!AM:AM,MATCH(A428,[1]AB4!B:B,0)))</f>
        <v>5</v>
      </c>
      <c r="I428" s="38"/>
      <c r="J428" s="36" t="str">
        <f t="array" ref="J428">IF(C424="","",CONCATENATE(INDEX([1]AB4!AA:AA,MATCH(A428,[1]AB4!B:B,0))," ( ",INDEX([1]AB4!AE:AE,MATCH(A428,[1]AB4!B:B,0))," or ",INDEX([1]AB4!AN:AN,MATCH(A428,[1]AB4!B:B,0)),INDEX([1]AB4!AJ:AJ,MATCH(A428,[1]AB4!B:B,0)),TEXT(INDEX([1]AB4!AO:AO,MATCH(A428,[1]AB4!B:B,0)),"0.00%")," )"))</f>
        <v>Min ( S : Entry or FUT : PRV : 3DHH + 0.10% )</v>
      </c>
      <c r="K428" s="37">
        <f t="array" ref="K428">IF(C424="","",INDEX([1]AB4!AP:AP,MATCH(A428,[1]AB4!B:B,0)))</f>
        <v>4</v>
      </c>
      <c r="L428" s="38"/>
      <c r="M428" s="36" t="str">
        <f t="array" ref="M428">IF(C424="","",CONCATENATE(INDEX([1]AB4!AA:AA,MATCH(A428,[1]AB4!B:B,0))," ( ",INDEX([1]AB4!AE:AE,MATCH(A428,[1]AB4!B:B,0))," or ",INDEX([1]AB4!AQ:AQ,MATCH(A428,[1]AB4!B:B,0)),INDEX([1]AB4!AJ:AJ,MATCH(A428,[1]AB4!B:B,0)),TEXT(INDEX([1]AB4!AR:AR,MATCH(A428,[1]AB4!B:B,0)),"0.00%")," )"))</f>
        <v>Min ( S : Entry or FUT : PRV : 3DHH + 0.10% )</v>
      </c>
      <c r="N428" s="37">
        <f t="array" ref="N428">IF(C424="","",INDEX([1]AB4!AS:AS,MATCH(A428,[1]AB4!B:B,0)))</f>
        <v>3</v>
      </c>
      <c r="O428" s="38"/>
      <c r="P428" s="36" t="str">
        <f t="array" ref="P428">IF(C424="","",CONCATENATE(INDEX([1]AB4!AA:AA,MATCH(A428,[1]AB4!B:B,0))," ( ",INDEX([1]AB4!AE:AE,MATCH(A428,[1]AB4!B:B,0))," or ",INDEX([1]AB4!AT:AT,MATCH(A428,[1]AB4!B:B,0)),INDEX([1]AB4!AJ:AJ,MATCH(A428,[1]AB4!B:B,0)),TEXT(INDEX([1]AB4!AU:AU,MATCH(A428,[1]AB4!B:B,0)),"0.00%")," )"))</f>
        <v>Min ( S : Entry or FUT : PRV : 3DHH + 0.10% )</v>
      </c>
      <c r="Q428" s="37">
        <f t="array" ref="Q428">IF(C424="","",INDEX([1]AB4!AV:AV,MATCH(A428,[1]AB4!B:B,0)))</f>
        <v>2</v>
      </c>
      <c r="R428" s="38"/>
      <c r="S428" s="36" t="str">
        <f t="array" ref="S428">IF(C424="","",CONCATENATE(INDEX([1]AB4!AA:AA,MATCH(A428,[1]AB4!B:B,0))," ( ",INDEX([1]AB4!AE:AE,MATCH(A428,[1]AB4!B:B,0))," or ",INDEX([1]AB4!AW:AW,MATCH(A428,[1]AB4!B:B,0)),INDEX([1]AB4!AJ:AJ,MATCH(A428,[1]AB4!B:B,0)),TEXT(INDEX([1]AB4!AX:AX,MATCH(A428,[1]AB4!B:B,0)),"0.00%")," )"))</f>
        <v>Min ( S : Entry or FUT : PRV : 3DHH + 0.10% )</v>
      </c>
      <c r="T428" s="37">
        <f t="array" ref="T428">IF(C424="","",INDEX([1]AB4!AY:AY,MATCH(A428,[1]AB4!B:B,0)))</f>
        <v>1</v>
      </c>
      <c r="U428" s="38"/>
      <c r="V428" s="36" t="str">
        <f t="array" ref="V428">IF(C424="","",CONCATENATE(INDEX([1]AB4!AA:AA,MATCH(A428,[1]AB4!B:B,0))," ( ",INDEX([1]AB4!AE:AE,MATCH(A428,[1]AB4!B:B,0))," or ",INDEX([1]AB4!AW:AW,MATCH(A428,[1]AB4!B:B,0)),INDEX([1]AB4!AJ:AJ,MATCH(A428,[1]AB4!B:B,0)),TEXT(INDEX([1]AB4!AX:AX,MATCH(A428,[1]AB4!B:B,0)),"0.00%")," )"))</f>
        <v>Min ( S : Entry or FUT : PRV : 3DHH + 0.10% )</v>
      </c>
      <c r="W428" s="37">
        <f t="array" ref="W428">IF(C424="","",INDEX([1]AB4!AY:AY,MATCH(A428,[1]AB4!B:B,0)))</f>
        <v>1</v>
      </c>
      <c r="X428" s="38"/>
      <c r="Y428" s="40">
        <f t="array" ref="Y428">IF(C424="","",INDEX([1]AB4!AZ:AZ,MATCH(A428,[1]AB4!B:B,0)))</f>
        <v>0</v>
      </c>
      <c r="Z428" s="37">
        <f t="array" ref="Z428">IF(C424="","",INDEX([1]AB4!BB:BB,MATCH(A428,[1]AB4!B:B,0)))</f>
        <v>0</v>
      </c>
      <c r="AA428" s="41"/>
      <c r="AB428" s="30"/>
      <c r="AC428" s="30"/>
    </row>
    <row r="429" spans="1:29" ht="19.5" customHeight="1" thickBot="1" x14ac:dyDescent="0.25">
      <c r="A429" s="18" t="str">
        <f>IF(C424="","",CONCATENATE(C425,[1]AB5!$A$9))</f>
        <v>S13C</v>
      </c>
      <c r="B429" s="31" t="str">
        <f>IF(C424="","",IF([1]AB5!$B$9="","",[1]AB5!$B$9))</f>
        <v>Segment</v>
      </c>
      <c r="C429" s="54" t="str">
        <f t="array" ref="C429">IF(C424="","",INDEX([1]AB2!C:C,MATCH(C424,[1]AB2!A:A,0)))</f>
        <v>FUTURES</v>
      </c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30"/>
      <c r="AC429" s="30"/>
    </row>
    <row r="430" spans="1:29" ht="30.75" customHeight="1" x14ac:dyDescent="0.2">
      <c r="A430" s="18" t="str">
        <f>IF(C424="","",CONCATENATE(C425,[1]AB5!$A$10))</f>
        <v>S13D</v>
      </c>
      <c r="B430" s="31" t="str">
        <f>IF(C424="","",IF([1]AB5!$B$10="","",[1]AB5!$B$10))</f>
        <v>Symbol</v>
      </c>
      <c r="C430" s="54" t="str">
        <f t="array" ref="C430">IF(C424="","",INDEX([1]AB2!E:E,MATCH(C424,[1]AB2!A:A,0)))</f>
        <v>SILVERM</v>
      </c>
      <c r="D430" s="56" t="str">
        <f>IF(C424="","",IF(C424="","",[1]AB5!$D$10))</f>
        <v>BEAR / BEAR CF</v>
      </c>
      <c r="E430" s="57" t="str">
        <f>IF(C424="","",[1]AB5!$F$10)</f>
        <v>BUY</v>
      </c>
      <c r="F430" s="58" t="str">
        <f>IF(C424="","",[1]AB5!$G$10)</f>
        <v>E &amp; T</v>
      </c>
      <c r="G430" s="25" t="str">
        <f t="array" ref="G430">IF(C424="","",CONCATENATE(INDEX([1]AB4!G:G,MATCH(A430,[1]AB4!B:B,0)),INDEX([1]AB4!H:H,MATCH(A430,[1]AB4!B:B,0)),TEXT(INDEX([1]AB4!I:I,MATCH(A430,[1]AB4!B:B,0)),"0.00%")))</f>
        <v>FUT : PRV : 3DHH + 0.10%</v>
      </c>
      <c r="H430" s="26">
        <f t="array" ref="H430">IF(C424="","",INDEX([1]AB4!J:J,MATCH(A430,[1]AB4!B:B,0)))</f>
        <v>5</v>
      </c>
      <c r="I430" s="27"/>
      <c r="J430" s="28" t="str">
        <f t="array" ref="J430">IF(C424="","",CONCATENATE(INDEX([1]AB4!L:L,MATCH(A430,[1]AB4!B:B,0)),INDEX([1]AB4!M:M,MATCH(A430,[1]AB4!B:B,0)),TEXT(INDEX([1]AB4!N:N,MATCH(A430,[1]AB4!B:B,0)),"0.00%")))</f>
        <v>L : Entry  + 1.40%</v>
      </c>
      <c r="K430" s="26">
        <f t="array" ref="K430">IF(C424="","",INDEX([1]AB4!O:O,MATCH(A430,[1]AB4!B:B,0)))</f>
        <v>1</v>
      </c>
      <c r="L430" s="27"/>
      <c r="M430" s="28" t="str">
        <f t="array" ref="M430">IF(C424="","",CONCATENATE(INDEX([1]AB4!L:L,MATCH(A430,[1]AB4!B:B,0)),INDEX([1]AB4!M:M,MATCH(A430,[1]AB4!B:B,0)),TEXT(INDEX([1]AB4!P:P,MATCH(A430,[1]AB4!B:B,0)),"0.00%")))</f>
        <v>L : Entry  + 2.10%</v>
      </c>
      <c r="N430" s="26">
        <f t="array" ref="N430">IF(C424="","",INDEX([1]AB4!Q:Q,MATCH(A430,[1]AB4!B:B,0)))</f>
        <v>1</v>
      </c>
      <c r="O430" s="27"/>
      <c r="P430" s="28" t="str">
        <f t="array" ref="P430">IF(C424="","",CONCATENATE(INDEX([1]AB4!L:L,MATCH(A430,[1]AB4!B:B,0)),INDEX([1]AB4!M:M,MATCH(A430,[1]AB4!B:B,0)),TEXT(INDEX([1]AB4!R:R,MATCH(A430,[1]AB4!B:B,0)),"0.00%")))</f>
        <v>L : Entry  + 2.80%</v>
      </c>
      <c r="Q430" s="26">
        <f t="array" ref="Q430">IF(C424="","",INDEX([1]AB4!S:S,MATCH(A430,[1]AB4!B:B,0)))</f>
        <v>1</v>
      </c>
      <c r="R430" s="27"/>
      <c r="S430" s="28" t="str">
        <f t="array" ref="S430">IF(C424="","",CONCATENATE(INDEX([1]AB4!L:L,MATCH(A430,[1]AB4!B:B,0)),INDEX([1]AB4!M:M,MATCH(A430,[1]AB4!B:B,0)),TEXT(INDEX([1]AB4!T:T,MATCH(A430,[1]AB4!B:B,0)),"0.00%")))</f>
        <v>L : Entry  + 3.50%</v>
      </c>
      <c r="T430" s="26">
        <f t="array" ref="T430">IF(C424="","",INDEX([1]AB4!U:U,MATCH(A430,[1]AB4!B:B,0)))</f>
        <v>1</v>
      </c>
      <c r="U430" s="27"/>
      <c r="V430" s="28" t="str">
        <f t="array" ref="V430">IF(C424="","",INDEX([1]AB4!V:V,MATCH(A430,[1]AB4!B:B,0)))</f>
        <v>TR PROFIT AFTER TGT 4</v>
      </c>
      <c r="W430" s="26">
        <f t="array" ref="W430">IF(C424="","",INDEX([1]AB4!W:W,MATCH(A430,[1]AB4!B:B,0)))</f>
        <v>1</v>
      </c>
      <c r="X430" s="27"/>
      <c r="Y430" s="28" t="str">
        <f t="array" ref="Y430">IF(C424="","",INDEX([1]AB4!X:X,MATCH(A430,[1]AB4!B:B,0)))</f>
        <v>N.A.</v>
      </c>
      <c r="Z430" s="26" t="str">
        <f t="array" ref="Z430">IF(C424="","",INDEX([1]AB4!Y:Y,MATCH(A430,[1]AB4!B:B,0)))</f>
        <v>N.A.</v>
      </c>
      <c r="AA430" s="29"/>
      <c r="AB430" s="30"/>
      <c r="AC430" s="30"/>
    </row>
    <row r="431" spans="1:29" ht="44.25" customHeight="1" thickBot="1" x14ac:dyDescent="0.25">
      <c r="A431" s="18" t="str">
        <f>IF(C424="","",CONCATENATE(C425,[1]AB5!$A$11))</f>
        <v>S13D</v>
      </c>
      <c r="B431" s="31" t="str">
        <f>IF(C424="","",IF([1]AB5!$B$11="","",[1]AB5!$B$11))</f>
        <v>No. of TGT</v>
      </c>
      <c r="C431" s="54" t="str">
        <f t="array" ref="C431">IF(C424="","",INDEX([1]AB2!K:K,MATCH(C424,[1]AB2!A:A,0)))</f>
        <v>4 &amp; APS</v>
      </c>
      <c r="D431" s="59"/>
      <c r="E431" s="60"/>
      <c r="F431" s="61" t="str">
        <f>IF(C424="","",[1]AB5!$G$11)</f>
        <v>SL / TRP</v>
      </c>
      <c r="G431" s="36" t="str">
        <f t="array" ref="G431">IF(C424="","",CONCATENATE(INDEX([1]AB4!AA:AA,MATCH(A431,[1]AB4!B:B,0))," ( ",INDEX([1]AB4!AE:AE,MATCH(A431,[1]AB4!B:B,0)),INDEX([1]AB4!AF:AF,MATCH(A431,[1]AB4!B:B,0)),TEXT(INDEX([1]AB4!AG:AG,MATCH(A431,[1]AB4!B:B,0)),"0.00%")," or ",INDEX([1]AB4!AK:AK,MATCH(A431,[1]AB4!B:B,0)),INDEX([1]AB4!AJ:AJ,MATCH(A431,[1]AB4!B:B,0)),TEXT(INDEX([1]AB4!AL:AL,MATCH(A431,[1]AB4!B:B,0)),"0.00%")," )"))</f>
        <v>Max ( L : Entry - 1.40% or FUT : PRV : 3DLL - 0.10% )</v>
      </c>
      <c r="H431" s="37">
        <f t="array" ref="H431">IF(C424="","",INDEX([1]AB4!AM:AM,MATCH(A431,[1]AB4!B:B,0)))</f>
        <v>5</v>
      </c>
      <c r="I431" s="38"/>
      <c r="J431" s="36" t="str">
        <f t="array" ref="J431">IF(C424="","",CONCATENATE(INDEX([1]AB4!AA:AA,MATCH(A431,[1]AB4!B:B,0))," ( ",INDEX([1]AB4!AE:AE,MATCH(A431,[1]AB4!B:B,0))," or ",INDEX([1]AB4!AN:AN,MATCH(A431,[1]AB4!B:B,0)),INDEX([1]AB4!AJ:AJ,MATCH(A431,[1]AB4!B:B,0)),TEXT(INDEX([1]AB4!AO:AO,MATCH(A431,[1]AB4!B:B,0)),"0.00%")," )"))</f>
        <v>Max ( L : Entry or FUT : PRV : 3DLL - 0.10% )</v>
      </c>
      <c r="K431" s="37">
        <f t="array" ref="K431">IF(C424="","",INDEX([1]AB4!AP:AP,MATCH(A431,[1]AB4!B:B,0)))</f>
        <v>4</v>
      </c>
      <c r="L431" s="38"/>
      <c r="M431" s="36" t="str">
        <f t="array" ref="M431">IF(C424="","",CONCATENATE(INDEX([1]AB4!AA:AA,MATCH(A431,[1]AB4!B:B,0))," ( ",INDEX([1]AB4!AE:AE,MATCH(A431,[1]AB4!B:B,0))," or ",INDEX([1]AB4!AQ:AQ,MATCH(A431,[1]AB4!B:B,0)),INDEX([1]AB4!AJ:AJ,MATCH(A431,[1]AB4!B:B,0)),TEXT(INDEX([1]AB4!AR:AR,MATCH(A431,[1]AB4!B:B,0)),"0.00%")," )"))</f>
        <v>Max ( L : Entry or FUT : PRV : 3DLL - 0.10% )</v>
      </c>
      <c r="N431" s="37">
        <f t="array" ref="N431">IF(C424="","",INDEX([1]AB4!AS:AS,MATCH(A431,[1]AB4!B:B,0)))</f>
        <v>3</v>
      </c>
      <c r="O431" s="38"/>
      <c r="P431" s="36" t="str">
        <f t="array" ref="P431">IF(C424="","",CONCATENATE(INDEX([1]AB4!AA:AA,MATCH(A431,[1]AB4!B:B,0))," ( ",INDEX([1]AB4!AE:AE,MATCH(A431,[1]AB4!B:B,0))," or ",INDEX([1]AB4!AT:AT,MATCH(A431,[1]AB4!B:B,0)),INDEX([1]AB4!AJ:AJ,MATCH(A431,[1]AB4!B:B,0)),TEXT(INDEX([1]AB4!AU:AU,MATCH(A431,[1]AB4!B:B,0)),"0.00%")," )"))</f>
        <v>Max ( L : Entry or FUT : PRV : 3DLL - 0.10% )</v>
      </c>
      <c r="Q431" s="37">
        <f t="array" ref="Q431">IF(C424="","",INDEX([1]AB4!AV:AV,MATCH(A431,[1]AB4!B:B,0)))</f>
        <v>2</v>
      </c>
      <c r="R431" s="38"/>
      <c r="S431" s="36" t="str">
        <f t="array" ref="S431">IF(C424="","",CONCATENATE(INDEX([1]AB4!AA:AA,MATCH(A431,[1]AB4!B:B,0))," ( ",INDEX([1]AB4!AE:AE,MATCH(A431,[1]AB4!B:B,0))," or ",INDEX([1]AB4!AW:AW,MATCH(A431,[1]AB4!B:B,0)),INDEX([1]AB4!AJ:AJ,MATCH(A431,[1]AB4!B:B,0)),TEXT(INDEX([1]AB4!AX:AX,MATCH(A431,[1]AB4!B:B,0)),"0.00%")," )"))</f>
        <v>Max ( L : Entry or FUT : PRV : 3DLL - 0.10% )</v>
      </c>
      <c r="T431" s="37">
        <f t="array" ref="T431">IF(C424="","",INDEX([1]AB4!AY:AY,MATCH(A431,[1]AB4!B:B,0)))</f>
        <v>1</v>
      </c>
      <c r="U431" s="38"/>
      <c r="V431" s="36" t="str">
        <f t="array" ref="V431">IF(C424="","",CONCATENATE(INDEX([1]AB4!AA:AA,MATCH(A431,[1]AB4!B:B,0))," ( ",INDEX([1]AB4!AE:AE,MATCH(A431,[1]AB4!B:B,0))," or ",INDEX([1]AB4!AW:AW,MATCH(A431,[1]AB4!B:B,0)),INDEX([1]AB4!AJ:AJ,MATCH(A431,[1]AB4!B:B,0)),TEXT(INDEX([1]AB4!AX:AX,MATCH(A431,[1]AB4!B:B,0)),"0.00%")," )"))</f>
        <v>Max ( L : Entry or FUT : PRV : 3DLL - 0.10% )</v>
      </c>
      <c r="W431" s="37">
        <f t="array" ref="W431">IF(C424="","",INDEX([1]AB4!AY:AY,MATCH(A431,[1]AB4!B:B,0)))</f>
        <v>1</v>
      </c>
      <c r="X431" s="38"/>
      <c r="Y431" s="40">
        <f t="array" ref="Y431">IF(C424="","",INDEX([1]AB4!AZ:AZ,MATCH(A431,[1]AB4!B:B,0)))</f>
        <v>0</v>
      </c>
      <c r="Z431" s="37">
        <f t="array" ref="Z431">IF(C424="","",INDEX([1]AB4!BB:BB,MATCH(A431,[1]AB4!B:B,0)))</f>
        <v>0</v>
      </c>
      <c r="AA431" s="41"/>
      <c r="AB431" s="30"/>
      <c r="AC431" s="30"/>
    </row>
    <row r="432" spans="1:29" ht="6" customHeight="1" thickBot="1" x14ac:dyDescent="0.25">
      <c r="A432" s="18" t="str">
        <f>IF(C424="","",CONCATENATE(C425,[1]AB5!A442))</f>
        <v>S13</v>
      </c>
      <c r="B432" s="62" t="str">
        <f>IF(C424="","",IF([1]AB5!$B$12="","",[1]AB5!$B$12))</f>
        <v>Stay Blessed !!!</v>
      </c>
      <c r="C432" s="63"/>
      <c r="D432" s="59"/>
      <c r="E432" s="44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6"/>
      <c r="AB432" s="30"/>
      <c r="AC432" s="30"/>
    </row>
    <row r="433" spans="1:29" ht="30.75" customHeight="1" x14ac:dyDescent="0.2">
      <c r="A433" s="18" t="str">
        <f>IF(C424="","",CONCATENATE(C425,[1]AB5!$A$13))</f>
        <v>S13E</v>
      </c>
      <c r="B433" s="64"/>
      <c r="C433" s="59"/>
      <c r="D433" s="59"/>
      <c r="E433" s="65" t="str">
        <f>IF(C424="","",[1]AB5!$F$13)</f>
        <v>SELL</v>
      </c>
      <c r="F433" s="58" t="str">
        <f>IF(C424="","",[1]AB5!$G$13)</f>
        <v>E &amp; T</v>
      </c>
      <c r="G433" s="25" t="str">
        <f t="array" ref="G433">IF(C424="","",CONCATENATE(INDEX([1]AB4!G:G,MATCH(A433,[1]AB4!B:B,0)),INDEX([1]AB4!H:H,MATCH(A433,[1]AB4!B:B,0)),TEXT(INDEX([1]AB4!I:I,MATCH(A433,[1]AB4!B:B,0)),"0.00%")))</f>
        <v>FUT : PRV : 3DLL - 0.10%</v>
      </c>
      <c r="H433" s="26">
        <f t="array" ref="H433">IF(C424="","",INDEX([1]AB4!J:J,MATCH(A433,[1]AB4!B:B,0)))</f>
        <v>5</v>
      </c>
      <c r="I433" s="27"/>
      <c r="J433" s="28" t="str">
        <f t="array" ref="J433">IF(C424="","",CONCATENATE(INDEX([1]AB4!L:L,MATCH(A433,[1]AB4!B:B,0)),INDEX([1]AB4!M:M,MATCH(A433,[1]AB4!B:B,0)),TEXT(INDEX([1]AB4!N:N,MATCH(A433,[1]AB4!B:B,0)),"0.00%")))</f>
        <v>S : Entry  - 1.40%</v>
      </c>
      <c r="K433" s="26">
        <f t="array" ref="K433">IF(C424="","",INDEX([1]AB4!O:O,MATCH(A433,[1]AB4!B:B,0)))</f>
        <v>1</v>
      </c>
      <c r="L433" s="27"/>
      <c r="M433" s="28" t="str">
        <f t="array" ref="M433">IF(C424="","",CONCATENATE(INDEX([1]AB4!L:L,MATCH(A433,[1]AB4!B:B,0)),INDEX([1]AB4!M:M,MATCH(A433,[1]AB4!B:B,0)),TEXT(INDEX([1]AB4!P:P,MATCH(A433,[1]AB4!B:B,0)),"0.00%")))</f>
        <v>S : Entry  - 2.10%</v>
      </c>
      <c r="N433" s="26">
        <f t="array" ref="N433">IF(C424="","",INDEX([1]AB4!Q:Q,MATCH(A433,[1]AB4!B:B,0)))</f>
        <v>1</v>
      </c>
      <c r="O433" s="27"/>
      <c r="P433" s="28" t="str">
        <f t="array" ref="P433">IF(C424="","",CONCATENATE(INDEX([1]AB4!L:L,MATCH(A433,[1]AB4!B:B,0)),INDEX([1]AB4!M:M,MATCH(A433,[1]AB4!B:B,0)),TEXT(INDEX([1]AB4!R:R,MATCH(A433,[1]AB4!B:B,0)),"0.00%")))</f>
        <v>S : Entry  - 2.80%</v>
      </c>
      <c r="Q433" s="26">
        <f t="array" ref="Q433">IF(C424="","",INDEX([1]AB4!S:S,MATCH(A433,[1]AB4!B:B,0)))</f>
        <v>1</v>
      </c>
      <c r="R433" s="27"/>
      <c r="S433" s="28" t="str">
        <f t="array" ref="S433">IF(C424="","",CONCATENATE(INDEX([1]AB4!L:L,MATCH(A433,[1]AB4!B:B,0)),INDEX([1]AB4!M:M,MATCH(A433,[1]AB4!B:B,0)),TEXT(INDEX([1]AB4!T:T,MATCH(A433,[1]AB4!B:B,0)),"0.00%")))</f>
        <v>S : Entry  - 3.50%</v>
      </c>
      <c r="T433" s="26">
        <f t="array" ref="T433">IF(C424="","",INDEX([1]AB4!U:U,MATCH(A433,[1]AB4!B:B,0)))</f>
        <v>1</v>
      </c>
      <c r="U433" s="27"/>
      <c r="V433" s="28" t="str">
        <f t="array" ref="V433">IF(C424="","",INDEX([1]AB4!V:V,MATCH(A433,[1]AB4!B:B,0)))</f>
        <v>TR PROFIT AFTER TGT 4</v>
      </c>
      <c r="W433" s="26">
        <f t="array" ref="W433">IF(C424="","",INDEX([1]AB4!W:W,MATCH(A433,[1]AB4!B:B,0)))</f>
        <v>1</v>
      </c>
      <c r="X433" s="27"/>
      <c r="Y433" s="28" t="str">
        <f t="array" ref="Y433">IF(C424="","",INDEX([1]AB4!X:X,MATCH(A433,[1]AB4!B:B,0)))</f>
        <v>N.A.</v>
      </c>
      <c r="Z433" s="26" t="str">
        <f t="array" ref="Z433">IF(C424="","",INDEX([1]AB4!Y:Y,MATCH(A433,[1]AB4!B:B,0)))</f>
        <v>N.A.</v>
      </c>
      <c r="AA433" s="29"/>
      <c r="AB433" s="30"/>
      <c r="AC433" s="30"/>
    </row>
    <row r="434" spans="1:29" ht="44.25" customHeight="1" thickBot="1" x14ac:dyDescent="0.25">
      <c r="A434" s="18" t="str">
        <f>IF(C424="","",CONCATENATE(C425,[1]AB5!$A$14))</f>
        <v>S13E</v>
      </c>
      <c r="B434" s="60"/>
      <c r="C434" s="66"/>
      <c r="D434" s="66"/>
      <c r="E434" s="60"/>
      <c r="F434" s="61" t="str">
        <f>IF(C424="","",[1]AB5!$G$14)</f>
        <v>SL / TRP</v>
      </c>
      <c r="G434" s="36" t="str">
        <f t="array" ref="G434">IF(C424="","",CONCATENATE(INDEX([1]AB4!AA:AA,MATCH(A434,[1]AB4!B:B,0))," ( ",INDEX([1]AB4!AE:AE,MATCH(A434,[1]AB4!B:B,0)),INDEX([1]AB4!AF:AF,MATCH(A434,[1]AB4!B:B,0)),TEXT(INDEX([1]AB4!AG:AG,MATCH(A434,[1]AB4!B:B,0)),"0.00%")," or ",INDEX([1]AB4!AK:AK,MATCH(A434,[1]AB4!B:B,0)),INDEX([1]AB4!AJ:AJ,MATCH(A434,[1]AB4!B:B,0)),TEXT(INDEX([1]AB4!AL:AL,MATCH(A434,[1]AB4!B:B,0)),"0.00%")," )"))</f>
        <v>Min ( S : Entry + 1.40% or FUT : PRV : 3DHH + 0.10% )</v>
      </c>
      <c r="H434" s="37">
        <f t="array" ref="H434">IF(C424="","",INDEX([1]AB4!AM:AM,MATCH(A434,[1]AB4!B:B,0)))</f>
        <v>5</v>
      </c>
      <c r="I434" s="38"/>
      <c r="J434" s="36" t="str">
        <f t="array" ref="J434">IF(C424="","",CONCATENATE(INDEX([1]AB4!AA:AA,MATCH(A434,[1]AB4!B:B,0))," ( ",INDEX([1]AB4!AE:AE,MATCH(A434,[1]AB4!B:B,0))," or ",INDEX([1]AB4!AN:AN,MATCH(A434,[1]AB4!B:B,0)),INDEX([1]AB4!AJ:AJ,MATCH(A434,[1]AB4!B:B,0)),TEXT(INDEX([1]AB4!AO:AO,MATCH(A434,[1]AB4!B:B,0)),"0.00%")," )"))</f>
        <v>Min ( S : Entry or FUT : PRV : 3DHH + 0.10% )</v>
      </c>
      <c r="K434" s="37">
        <f t="array" ref="K434">IF(C424="","",INDEX([1]AB4!AP:AP,MATCH(A434,[1]AB4!B:B,0)))</f>
        <v>4</v>
      </c>
      <c r="L434" s="38"/>
      <c r="M434" s="36" t="str">
        <f t="array" ref="M434">IF(C424="","",CONCATENATE(INDEX([1]AB4!AA:AA,MATCH(A434,[1]AB4!B:B,0))," ( ",INDEX([1]AB4!AE:AE,MATCH(A434,[1]AB4!B:B,0))," or ",INDEX([1]AB4!AQ:AQ,MATCH(A434,[1]AB4!B:B,0)),INDEX([1]AB4!AJ:AJ,MATCH(A434,[1]AB4!B:B,0)),TEXT(INDEX([1]AB4!AR:AR,MATCH(A434,[1]AB4!B:B,0)),"0.00%")," )"))</f>
        <v>Min ( S : Entry or FUT : PRV : 3DHH + 0.10% )</v>
      </c>
      <c r="N434" s="37">
        <f t="array" ref="N434">IF(C424="","",INDEX([1]AB4!AS:AS,MATCH(A434,[1]AB4!B:B,0)))</f>
        <v>3</v>
      </c>
      <c r="O434" s="38"/>
      <c r="P434" s="36" t="str">
        <f t="array" ref="P434">IF(C424="","",CONCATENATE(INDEX([1]AB4!AA:AA,MATCH(A434,[1]AB4!B:B,0))," ( ",INDEX([1]AB4!AE:AE,MATCH(A434,[1]AB4!B:B,0))," or ",INDEX([1]AB4!AT:AT,MATCH(A434,[1]AB4!B:B,0)),INDEX([1]AB4!AJ:AJ,MATCH(A434,[1]AB4!B:B,0)),TEXT(INDEX([1]AB4!AU:AU,MATCH(A434,[1]AB4!B:B,0)),"0.00%")," )"))</f>
        <v>Min ( S : Entry or FUT : PRV : 3DHH + 0.10% )</v>
      </c>
      <c r="Q434" s="37">
        <f t="array" ref="Q434">IF(C424="","",INDEX([1]AB4!AV:AV,MATCH(A434,[1]AB4!B:B,0)))</f>
        <v>2</v>
      </c>
      <c r="R434" s="38"/>
      <c r="S434" s="36" t="str">
        <f t="array" ref="S434">IF(C424="","",CONCATENATE(INDEX([1]AB4!AA:AA,MATCH(A434,[1]AB4!B:B,0))," ( ",INDEX([1]AB4!AE:AE,MATCH(A434,[1]AB4!B:B,0))," or ",INDEX([1]AB4!AW:AW,MATCH(A434,[1]AB4!B:B,0)),INDEX([1]AB4!AJ:AJ,MATCH(A434,[1]AB4!B:B,0)),TEXT(INDEX([1]AB4!AX:AX,MATCH(A434,[1]AB4!B:B,0)),"0.00%")," )"))</f>
        <v>Min ( S : Entry or FUT : PRV : 3DHH + 0.10% )</v>
      </c>
      <c r="T434" s="37">
        <f t="array" ref="T434">IF(C424="","",INDEX([1]AB4!AY:AY,MATCH(A434,[1]AB4!B:B,0)))</f>
        <v>1</v>
      </c>
      <c r="U434" s="38"/>
      <c r="V434" s="36" t="str">
        <f t="array" ref="V434">IF(C424="","",CONCATENATE(INDEX([1]AB4!AA:AA,MATCH(A434,[1]AB4!B:B,0))," ( ",INDEX([1]AB4!AE:AE,MATCH(A434,[1]AB4!B:B,0))," or ",INDEX([1]AB4!AW:AW,MATCH(A434,[1]AB4!B:B,0)),INDEX([1]AB4!AJ:AJ,MATCH(A434,[1]AB4!B:B,0)),TEXT(INDEX([1]AB4!AX:AX,MATCH(A434,[1]AB4!B:B,0)),"0.00%")," )"))</f>
        <v>Min ( S : Entry or FUT : PRV : 3DHH + 0.10% )</v>
      </c>
      <c r="W434" s="37">
        <f t="array" ref="W434">IF(C424="","",INDEX([1]AB4!AY:AY,MATCH(A434,[1]AB4!B:B,0)))</f>
        <v>1</v>
      </c>
      <c r="X434" s="38"/>
      <c r="Y434" s="40">
        <f t="array" ref="Y434">IF(C424="","",INDEX([1]AB4!AZ:AZ,MATCH(A434,[1]AB4!B:B,0)))</f>
        <v>0</v>
      </c>
      <c r="Z434" s="37">
        <f t="array" ref="Z434">IF(C424="","",INDEX([1]AB4!BB:BB,MATCH(A434,[1]AB4!B:B,0)))</f>
        <v>0</v>
      </c>
      <c r="AA434" s="41"/>
      <c r="AB434" s="30"/>
      <c r="AC434" s="30"/>
    </row>
    <row r="435" spans="1:29" ht="6" customHeight="1" thickBot="1" x14ac:dyDescent="0.25">
      <c r="A435" s="18"/>
      <c r="B435" s="55"/>
      <c r="C435" s="55"/>
      <c r="D435" s="55"/>
      <c r="E435" s="30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30"/>
      <c r="AA435" s="30"/>
      <c r="AB435" s="68"/>
      <c r="AC435" s="68"/>
    </row>
    <row r="436" spans="1:29" ht="21.75" customHeight="1" x14ac:dyDescent="0.2">
      <c r="A436" s="18"/>
      <c r="B436" s="69" t="str">
        <f>IF(C424="","",[1]AB5!$B$16)</f>
        <v>For Entry</v>
      </c>
      <c r="C436" s="29"/>
      <c r="D436" s="70" t="str">
        <f>IF(C424="","",[1]AB5!$D$16)</f>
        <v>Gap Check</v>
      </c>
      <c r="E436" s="71"/>
      <c r="F436" s="70" t="str">
        <f>IF(C424="","",[1]AB5!$G$16)</f>
        <v>Process</v>
      </c>
      <c r="G436" s="72"/>
      <c r="H436" s="73" t="str">
        <f>IF(C424="","",[1]AB5!$I$16)</f>
        <v>Y / N</v>
      </c>
      <c r="I436" s="72"/>
      <c r="J436" s="74" t="str">
        <f>IF(C424="","",[1]AB5!$K$16)</f>
        <v>Order Status</v>
      </c>
      <c r="K436" s="75" t="str">
        <f>IF(C424="","",[1]AB5!$L$16)</f>
        <v>Step 1</v>
      </c>
      <c r="L436" s="76"/>
      <c r="M436" s="76"/>
      <c r="N436" s="72"/>
      <c r="O436" s="73" t="str">
        <f>IF(C424="","",[1]AB5!$P$16)</f>
        <v>Order Placement Timings</v>
      </c>
      <c r="P436" s="72"/>
      <c r="Q436" s="73" t="str">
        <f>IF(C424="","",[1]AB5!$R$16)</f>
        <v>Time</v>
      </c>
      <c r="R436" s="72"/>
      <c r="S436" s="75" t="str">
        <f>IF(C424="","",[1]AB5!$T$16)</f>
        <v>Rules For Gaps</v>
      </c>
      <c r="T436" s="76"/>
      <c r="U436" s="72"/>
      <c r="V436" s="74" t="str">
        <f>IF(C424="","",[1]AB5!$W$16)</f>
        <v>Data</v>
      </c>
      <c r="W436" s="73" t="str">
        <f>IF(C424="","",[1]AB5!$X$16)</f>
        <v>Buffer</v>
      </c>
      <c r="X436" s="71"/>
      <c r="Y436" s="77" t="str">
        <f>IF(C424="","",[1]AB5!$AA$16)</f>
        <v>Rules For Re Entry</v>
      </c>
      <c r="Z436" s="76"/>
      <c r="AA436" s="71"/>
      <c r="AB436" s="78"/>
      <c r="AC436" s="78"/>
    </row>
    <row r="437" spans="1:29" ht="31.5" customHeight="1" x14ac:dyDescent="0.2">
      <c r="A437" s="18" t="str">
        <f>IF(C424="","",CONCATENATE(C425,[1]AB5!$A$17))</f>
        <v>S13A</v>
      </c>
      <c r="B437" s="79" t="str">
        <f>IF(C424="","",[1]AB5!$B$17)</f>
        <v xml:space="preserve">ORPT </v>
      </c>
      <c r="C437" s="80" t="str">
        <f>IF(C424="","",[1]AB5!$C$17)</f>
        <v xml:space="preserve"> RC. Time</v>
      </c>
      <c r="D437" s="81" t="str">
        <f>IF(C424="","",[1]AB5!$D$17)</f>
        <v>For Long Entry</v>
      </c>
      <c r="E437" s="63"/>
      <c r="F437" s="82" t="str">
        <f>IF(C424="","",CONCATENATE([1]AB5!$G$17,TEXT(B438,"HH:MM:SS AM/PM"),[1]AB5!$B$18,[1]AB5!$H$17))</f>
        <v>Check If  09:04:59 AM HH &gt; Long Entry</v>
      </c>
      <c r="G437" s="83"/>
      <c r="H437" s="84" t="str">
        <f>IF(C424="","",[1]AB5!$I$17)</f>
        <v>No</v>
      </c>
      <c r="I437" s="85"/>
      <c r="J437" s="86" t="str">
        <f>IF(C424="","",[1]AB5!$K$17)</f>
        <v>Entry Not Missed</v>
      </c>
      <c r="K437" s="87" t="str">
        <f>IF(C424="","",[1]AB5!$L$17)</f>
        <v>Place the Order at ORPT</v>
      </c>
      <c r="L437" s="88"/>
      <c r="M437" s="88"/>
      <c r="N437" s="85"/>
      <c r="O437" s="87" t="str">
        <f>IF(C424="","",[1]AB5!$P$17)</f>
        <v>ORPT Time</v>
      </c>
      <c r="P437" s="85"/>
      <c r="Q437" s="89">
        <f>IF(C424="","",B438)</f>
        <v>0.37846527777777778</v>
      </c>
      <c r="R437" s="85"/>
      <c r="S437" s="87" t="str">
        <f>IF(C424="","",[1]AB5!$T$17)</f>
        <v>N.A.</v>
      </c>
      <c r="T437" s="88"/>
      <c r="U437" s="85"/>
      <c r="V437" s="86" t="str">
        <f>IF(C424="","",[1]AB5!$W$17)</f>
        <v>N.A.</v>
      </c>
      <c r="W437" s="90" t="str">
        <f>IF(C424="","",[1]AB5!$X$17)</f>
        <v>N.A.</v>
      </c>
      <c r="X437" s="91"/>
      <c r="Y437" s="92" t="str">
        <f>IF(C424="","",[1]AB5!$AA$17)</f>
        <v xml:space="preserve">Long Entry : Bull/ Bull CF : </v>
      </c>
      <c r="Z437" s="88"/>
      <c r="AA437" s="91"/>
      <c r="AB437" s="68"/>
      <c r="AC437" s="68"/>
    </row>
    <row r="438" spans="1:29" ht="31.5" customHeight="1" x14ac:dyDescent="0.2">
      <c r="A438" s="18" t="str">
        <f>IF(C424="","",CONCATENATE(C425,[1]AB5!$A$18))</f>
        <v>S13B</v>
      </c>
      <c r="B438" s="93">
        <f t="array" ref="B438">IF(C424="","",INDEX([1]AB4!BE:BE,MATCH(A437,[1]AB4!B:B,0)))</f>
        <v>0.37846527777777778</v>
      </c>
      <c r="C438" s="94">
        <f t="array" ref="C438">IF(C424="","",INDEX([1]AB4!BE:BE,MATCH(A438,[1]AB4!B:B,0)))</f>
        <v>0.38540972222222225</v>
      </c>
      <c r="D438" s="64"/>
      <c r="E438" s="59"/>
      <c r="F438" s="64"/>
      <c r="G438" s="95"/>
      <c r="H438" s="96" t="str">
        <f>IF(C424="","",[1]AB5!$I$18)</f>
        <v>Yes</v>
      </c>
      <c r="I438" s="83"/>
      <c r="J438" s="97" t="str">
        <f>IF(C424="","",[1]AB5!$K$18)</f>
        <v>Entry Missed</v>
      </c>
      <c r="K438" s="87" t="str">
        <f>IF(C424="","",[1]AB5!$L$18)</f>
        <v>Recalcuate : Long Entry : Bull / Bull CF</v>
      </c>
      <c r="L438" s="88"/>
      <c r="M438" s="88"/>
      <c r="N438" s="85"/>
      <c r="O438" s="87" t="str">
        <f>IF(C424="","",[1]AB5!$P$18)</f>
        <v>Wait Till Recalculation Time</v>
      </c>
      <c r="P438" s="85"/>
      <c r="Q438" s="89">
        <f>IF(C424="","",C438)</f>
        <v>0.38540972222222225</v>
      </c>
      <c r="R438" s="85"/>
      <c r="S438" s="98" t="str">
        <f>IF(C424="","",CONCATENATE(V438," ",[1]AB5!$Z$18," ",TEXT(W438,"0.00%")))</f>
        <v>09:14:59 AM HH + 0.10%</v>
      </c>
      <c r="T438" s="88"/>
      <c r="U438" s="85"/>
      <c r="V438" s="99" t="str">
        <f>IF(C424="","",CONCATENATE(TEXT(Q438,"HH:MM:SS AM/PM"),[1]AB5!$U$18))</f>
        <v>09:14:59 AM HH</v>
      </c>
      <c r="W438" s="100" t="str">
        <f t="array" ref="W438">IF(A424="","",TEXT(INDEX([1]AB4!BK:BK,MATCH(A425,[1]AB4!B:B,0)),"0.00%"))</f>
        <v>0.10%</v>
      </c>
      <c r="X438" s="91"/>
      <c r="Y438" s="101" t="str">
        <f>IF(C424="","",CONCATENATE([1]AB5!$T$18," ( ",G424," or ",[1]AB5!$AA$18," ",[1]AB5!$Z$18," ",TEXT(W438,"0.00%")," )"))</f>
        <v>Max ( FUT : PRV : 3DHH + 0.10% or  CDHH + 0.10% )</v>
      </c>
      <c r="Z438" s="88"/>
      <c r="AA438" s="91"/>
      <c r="AB438" s="68"/>
      <c r="AC438" s="68"/>
    </row>
    <row r="439" spans="1:29" ht="31.5" customHeight="1" thickBot="1" x14ac:dyDescent="0.25">
      <c r="A439" s="18"/>
      <c r="B439" s="34"/>
      <c r="C439" s="102"/>
      <c r="D439" s="103"/>
      <c r="E439" s="104"/>
      <c r="F439" s="103"/>
      <c r="G439" s="105"/>
      <c r="H439" s="51"/>
      <c r="I439" s="105"/>
      <c r="J439" s="53"/>
      <c r="K439" s="87" t="str">
        <f>IF(C424="","",[1]AB5!$L$19)</f>
        <v>Recalcuate : Long Entry : Bear / Bear CF</v>
      </c>
      <c r="L439" s="88"/>
      <c r="M439" s="88"/>
      <c r="N439" s="85"/>
      <c r="O439" s="87" t="str">
        <f>IF(C424="","",[1]AB5!$P$19)</f>
        <v>Wait Till Recalculation Time</v>
      </c>
      <c r="P439" s="85"/>
      <c r="Q439" s="89">
        <f>IF(C424="","",C438)</f>
        <v>0.38540972222222225</v>
      </c>
      <c r="R439" s="85"/>
      <c r="S439" s="98" t="str">
        <f>IF(C424="","",CONCATENATE(V439," ",[1]AB5!$Z$19," ",TEXT(W439,"0.00%"),))</f>
        <v>09:14:59 AM HH + 0.10%</v>
      </c>
      <c r="T439" s="88"/>
      <c r="U439" s="85"/>
      <c r="V439" s="99" t="str">
        <f>IF(C424="","",CONCATENATE(TEXT(Q439,"HH:MM:SS AM/PM"),[1]AB5!$U$19))</f>
        <v>09:14:59 AM HH</v>
      </c>
      <c r="W439" s="100" t="str">
        <f t="array" ref="W439">IF(C424="","",TEXT(INDEX([1]AB4!BK:BK,MATCH(A430,[1]AB4!B:B,0)),"0.00%"))</f>
        <v>0.10%</v>
      </c>
      <c r="X439" s="91"/>
      <c r="Y439" s="106" t="str">
        <f>IF(C424="","",[1]AB5!$AA$19)</f>
        <v xml:space="preserve">Long Entry : Bear/ Bear CF : </v>
      </c>
      <c r="Z439" s="88"/>
      <c r="AA439" s="91"/>
      <c r="AB439" s="68"/>
      <c r="AC439" s="68"/>
    </row>
    <row r="440" spans="1:29" ht="31.5" customHeight="1" x14ac:dyDescent="0.2">
      <c r="A440" s="18"/>
      <c r="B440" s="69" t="str">
        <f>IF(C424="","",[1]AB5!$B$20)</f>
        <v>For SL (Position = Open)</v>
      </c>
      <c r="C440" s="29"/>
      <c r="D440" s="107" t="str">
        <f>IF(C424="","",[1]AB5!$D$20)</f>
        <v>For Short Entry</v>
      </c>
      <c r="E440" s="63"/>
      <c r="F440" s="82" t="str">
        <f>IF(C424="","",CONCATENATE([1]AB5!$G$20,TEXT(B438,"HH:MM:SS AM/PM"),[1]AB5!$B$18,[1]AB5!$H$20))</f>
        <v>Check If  09:04:59 AM LL &lt; Short Entry</v>
      </c>
      <c r="G440" s="83"/>
      <c r="H440" s="108" t="str">
        <f>IF(C424="","",[1]AB5!$I$20)</f>
        <v>No</v>
      </c>
      <c r="I440" s="85"/>
      <c r="J440" s="109" t="str">
        <f>IF(C424="","",[1]AB5!$K$20)</f>
        <v>Entry Not Missed</v>
      </c>
      <c r="K440" s="110" t="str">
        <f>IF(C424="","",[1]AB5!$L$20)</f>
        <v>Place the Order at ORPT</v>
      </c>
      <c r="L440" s="88"/>
      <c r="M440" s="88"/>
      <c r="N440" s="85"/>
      <c r="O440" s="110" t="str">
        <f>IF(C424="","",[1]AB5!$P$20)</f>
        <v>ORPT Time</v>
      </c>
      <c r="P440" s="85"/>
      <c r="Q440" s="111">
        <f>IF(C424="","",B438)</f>
        <v>0.37846527777777778</v>
      </c>
      <c r="R440" s="85"/>
      <c r="S440" s="110" t="str">
        <f>IF(C424="","",[1]AB5!$T$20)</f>
        <v>N.A.</v>
      </c>
      <c r="T440" s="88"/>
      <c r="U440" s="85"/>
      <c r="V440" s="109" t="str">
        <f>IF(C424="","",[1]AB5!$W$20)</f>
        <v>N.A.</v>
      </c>
      <c r="W440" s="112" t="str">
        <f>IF(C424="","",[1]AB5!$X$20)</f>
        <v>N.A.</v>
      </c>
      <c r="X440" s="91"/>
      <c r="Y440" s="101" t="str">
        <f>IF(C424="","",CONCATENATE([1]AB5!$T$19," ( ",G430," or ",[1]AB5!$AA$20," ",[1]AB5!$Z$19," ",TEXT(W439,"0.00%")," )"))</f>
        <v>Max ( FUT : PRV : 3DHH + 0.10% or  CDHH + 0.10% )</v>
      </c>
      <c r="Z440" s="88"/>
      <c r="AA440" s="91"/>
      <c r="AB440" s="68"/>
      <c r="AC440" s="68"/>
    </row>
    <row r="441" spans="1:29" ht="31.5" customHeight="1" x14ac:dyDescent="0.2">
      <c r="A441" s="18" t="str">
        <f>IF(C424="","",CONCATENATE(C425,[1]AB5!$A$21))</f>
        <v>S13A</v>
      </c>
      <c r="B441" s="79" t="str">
        <f>IF(C424="","",[1]AB5!$B$21)</f>
        <v xml:space="preserve">ORPT </v>
      </c>
      <c r="C441" s="80" t="str">
        <f>IF(C424="","",[1]AB5!$C$21)</f>
        <v xml:space="preserve"> RC. Time</v>
      </c>
      <c r="D441" s="64"/>
      <c r="E441" s="59"/>
      <c r="F441" s="64"/>
      <c r="G441" s="95"/>
      <c r="H441" s="113" t="str">
        <f>IF(C424="","",[1]AB5!$I$21)</f>
        <v>Yes</v>
      </c>
      <c r="I441" s="83"/>
      <c r="J441" s="114" t="str">
        <f>IF(C424="","",[1]AB5!$K$21)</f>
        <v>Entry Missed</v>
      </c>
      <c r="K441" s="110" t="str">
        <f>IF(C424="","",[1]AB5!$L$21)</f>
        <v>Recalcuate : Short Entry : Bull / Bull CF</v>
      </c>
      <c r="L441" s="88"/>
      <c r="M441" s="88"/>
      <c r="N441" s="85"/>
      <c r="O441" s="110" t="str">
        <f>IF(C424="","",[1]AB5!$P$21)</f>
        <v>Wait Till Recalculation Time</v>
      </c>
      <c r="P441" s="85"/>
      <c r="Q441" s="111">
        <f>IF(C424="","",C438)</f>
        <v>0.38540972222222225</v>
      </c>
      <c r="R441" s="85"/>
      <c r="S441" s="115" t="str">
        <f>IF(C424="","",CONCATENATE(V441," ",[1]AB5!$Z$21," ",TEXT(W441,"0.00%")))</f>
        <v>09:14:59 AM LL - 0.10%</v>
      </c>
      <c r="T441" s="88"/>
      <c r="U441" s="85"/>
      <c r="V441" s="116" t="str">
        <f>IF(C424="","",CONCATENATE(TEXT(Q441,"HH:MM:SS AM/PM"),[1]AB5!$U$21))</f>
        <v>09:14:59 AM LL</v>
      </c>
      <c r="W441" s="112" t="str">
        <f t="array" ref="W441">IF(C424="","",TEXT(INDEX([1]AB4!BK:BK,MATCH(A427,[1]AB4!B:B,0)),"0.00%"))</f>
        <v>0.10%</v>
      </c>
      <c r="X441" s="91"/>
      <c r="Y441" s="117" t="str">
        <f>IF(C424="","",[1]AB5!$AA$21)</f>
        <v>When Your Long Position is Exited</v>
      </c>
      <c r="Z441" s="118"/>
      <c r="AA441" s="59"/>
      <c r="AB441" s="68"/>
      <c r="AC441" s="68"/>
    </row>
    <row r="442" spans="1:29" ht="31.5" customHeight="1" thickBot="1" x14ac:dyDescent="0.25">
      <c r="A442" s="18" t="str">
        <f>IF(C424="","",CONCATENATE(C425,[1]AB5!$A$22))</f>
        <v>S13B</v>
      </c>
      <c r="B442" s="119">
        <f t="array" ref="B442">IF(C424="","",INDEX([1]AB4!BF:BF,MATCH(A441,[1]AB4!B:B,0)))</f>
        <v>0.37846527777777778</v>
      </c>
      <c r="C442" s="120">
        <f t="array" ref="C442">IF(C424="","",INDEX([1]AB4!BF:BF,MATCH(A442,[1]AB4!B:B,0)))</f>
        <v>0.38540972222222225</v>
      </c>
      <c r="D442" s="60"/>
      <c r="E442" s="66"/>
      <c r="F442" s="60"/>
      <c r="G442" s="121"/>
      <c r="H442" s="102"/>
      <c r="I442" s="121"/>
      <c r="J442" s="122"/>
      <c r="K442" s="123" t="str">
        <f>IF(C424="","",[1]AB5!$L$22)</f>
        <v>Recalcuate : Short Entry : Bear / Bear CF</v>
      </c>
      <c r="L442" s="124"/>
      <c r="M442" s="124"/>
      <c r="N442" s="38"/>
      <c r="O442" s="123" t="str">
        <f>IF(C424="","",[1]AB5!$P$22)</f>
        <v>Wait Till Recalculation Time</v>
      </c>
      <c r="P442" s="38"/>
      <c r="Q442" s="125">
        <f>IF(C424="","",C438)</f>
        <v>0.38540972222222225</v>
      </c>
      <c r="R442" s="38"/>
      <c r="S442" s="126" t="str">
        <f>IF(C424="","",CONCATENATE(V442," ",[1]AB5!$Z$22," ",TEXT(W442,"0.00%")))</f>
        <v>09:14:59 AM LL - 0.10%</v>
      </c>
      <c r="T442" s="124"/>
      <c r="U442" s="38"/>
      <c r="V442" s="127" t="str">
        <f>IF(C424="","",CONCATENATE(TEXT(Q442,"HH:MM:SS AM/PM"),[1]AB5!$U$22))</f>
        <v>09:14:59 AM LL</v>
      </c>
      <c r="W442" s="128" t="str">
        <f t="array" ref="W442">IF(C424="","",TEXT(INDEX([1]AB4!BK:BK,MATCH(A433,[1]AB4!B:B,0)),"0.00%"))</f>
        <v>0.10%</v>
      </c>
      <c r="X442" s="41"/>
      <c r="Y442" s="129" t="str">
        <f>IF(C424="","",[1]AB5!$AA$22)</f>
        <v>This is Only Applicable for Same Day</v>
      </c>
      <c r="Z442" s="130"/>
      <c r="AA442" s="66"/>
      <c r="AB442" s="68"/>
      <c r="AC442" s="68"/>
    </row>
    <row r="443" spans="1:29" ht="6" customHeight="1" thickBot="1" x14ac:dyDescent="0.25">
      <c r="A443" s="18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</row>
    <row r="444" spans="1:29" ht="21.75" customHeight="1" thickBot="1" x14ac:dyDescent="0.25">
      <c r="A444" s="18"/>
      <c r="B444" s="69" t="str">
        <f>IF(C424="","",[1]AB5!$B$24)</f>
        <v>For TGT (Position = Open)</v>
      </c>
      <c r="C444" s="29"/>
      <c r="D444" s="132" t="str">
        <f>IF(C424="","",[1]AB5!$D$24)</f>
        <v>Gap Check</v>
      </c>
      <c r="E444" s="133"/>
      <c r="F444" s="132" t="str">
        <f>IF(C424="","",[1]AB5!$G$24)</f>
        <v>Process</v>
      </c>
      <c r="G444" s="133"/>
      <c r="H444" s="132" t="str">
        <f>IF(C424="","",[1]AB5!$I$24)</f>
        <v>Y / N</v>
      </c>
      <c r="I444" s="133"/>
      <c r="J444" s="134" t="str">
        <f>IF(C424="","",[1]AB5!$K$24)</f>
        <v>Status</v>
      </c>
      <c r="K444" s="135" t="str">
        <f>IF(C424="","",[1]AB5!$L$24)</f>
        <v>Step 1</v>
      </c>
      <c r="L444" s="136"/>
      <c r="M444" s="136"/>
      <c r="N444" s="133"/>
      <c r="O444" s="132" t="str">
        <f>IF(C424="","",[1]AB5!$P$24)</f>
        <v>Order Placement Timings</v>
      </c>
      <c r="P444" s="133"/>
      <c r="Q444" s="132" t="str">
        <f>IF(C424="","",[1]AB5!$R$24)</f>
        <v>Time</v>
      </c>
      <c r="R444" s="133"/>
      <c r="S444" s="135" t="str">
        <f>IF(C424="","",[1]AB5!$T$24)</f>
        <v>Rules For Gaps</v>
      </c>
      <c r="T444" s="136"/>
      <c r="U444" s="133"/>
      <c r="V444" s="134" t="str">
        <f>IF(C424="","",[1]AB5!$W$24)</f>
        <v>Data</v>
      </c>
      <c r="W444" s="132" t="str">
        <f>IF(C424="","",[1]AB5!$X$24)</f>
        <v>Buffer</v>
      </c>
      <c r="X444" s="133"/>
      <c r="Y444" s="135" t="str">
        <f>IF(C424="","",[1]AB5!$AA$16)</f>
        <v>Rules For Re Entry</v>
      </c>
      <c r="Z444" s="136"/>
      <c r="AA444" s="133"/>
      <c r="AB444" s="78"/>
      <c r="AC444" s="78"/>
    </row>
    <row r="445" spans="1:29" ht="24" customHeight="1" x14ac:dyDescent="0.2">
      <c r="A445" s="18" t="str">
        <f>IF(C424="","",CONCATENATE(C425,[1]AB5!$A$25))</f>
        <v>S13A</v>
      </c>
      <c r="B445" s="79" t="str">
        <f>IF(C424="","",[1]AB5!$B$25)</f>
        <v xml:space="preserve">ORPT </v>
      </c>
      <c r="C445" s="80" t="str">
        <f>IF(C424="","",[1]AB5!$C$25)</f>
        <v xml:space="preserve"> RC. Time</v>
      </c>
      <c r="D445" s="137" t="str">
        <f>IF(C424="","",[1]AB5!$D$25)</f>
        <v>For Long SL</v>
      </c>
      <c r="E445" s="59"/>
      <c r="F445" s="138" t="str">
        <f>IF(C424="","",CONCATENATE([1]AB5!$G$25,TEXT(B442,"HH:MM:SS AM/PM"),[1]AB5!$B$22,[1]AB5!$H$25))</f>
        <v>Check If 09:04:59 AM LL &lt; Long SL</v>
      </c>
      <c r="G445" s="76"/>
      <c r="H445" s="139" t="str">
        <f>IF(C424="","",[1]AB5!$I$25)</f>
        <v>No</v>
      </c>
      <c r="I445" s="27"/>
      <c r="J445" s="140" t="str">
        <f>IF(C424="","",[1]AB5!$K$25)</f>
        <v>FSL / TRP Not Missed</v>
      </c>
      <c r="K445" s="141" t="str">
        <f>IF(C424="","",[1]AB5!$L$25)</f>
        <v>Place the Order at ORPT</v>
      </c>
      <c r="L445" s="142"/>
      <c r="M445" s="142"/>
      <c r="N445" s="27"/>
      <c r="O445" s="141" t="str">
        <f>IF(C424="","",[1]AB5!$P$25)</f>
        <v>ORPT Time</v>
      </c>
      <c r="P445" s="27"/>
      <c r="Q445" s="143">
        <f>IF(C424="","",B442)</f>
        <v>0.37846527777777778</v>
      </c>
      <c r="R445" s="27"/>
      <c r="S445" s="141" t="str">
        <f>IF(C424="","",[1]AB5!$U$25)</f>
        <v>N.A.</v>
      </c>
      <c r="T445" s="142"/>
      <c r="U445" s="27"/>
      <c r="V445" s="140" t="str">
        <f>IF(C424="","",[1]AB5!$W$25)</f>
        <v>N.A.</v>
      </c>
      <c r="W445" s="144" t="str">
        <f>IF(C424="","",[1]AB5!$X$25)</f>
        <v>N.A.</v>
      </c>
      <c r="X445" s="29"/>
      <c r="Y445" s="117" t="str">
        <f>IF(C424="","",[1]AB5!$AA$25)</f>
        <v xml:space="preserve">Short Entry : Bull/ Bull CF : </v>
      </c>
      <c r="Z445" s="12"/>
      <c r="AA445" s="59"/>
      <c r="AB445" s="68"/>
      <c r="AC445" s="68"/>
    </row>
    <row r="446" spans="1:29" ht="24" customHeight="1" thickBot="1" x14ac:dyDescent="0.25">
      <c r="A446" s="18" t="str">
        <f>IF(C424="","",CONCATENATE(C425,[1]AB5!$A$26))</f>
        <v>S13B</v>
      </c>
      <c r="B446" s="119">
        <f t="array" ref="B446">IF(C424="","",INDEX([1]AB4!BG:BG,MATCH(A445,[1]AB4!B:B,0)))</f>
        <v>0.375</v>
      </c>
      <c r="C446" s="120" t="str">
        <f t="array" ref="C446">IF(C424="","",INDEX([1]AB4!BG:BG,MATCH(A446,[1]AB4!B:B,0)))</f>
        <v>N.A.</v>
      </c>
      <c r="D446" s="64"/>
      <c r="E446" s="59"/>
      <c r="F446" s="64"/>
      <c r="G446" s="12"/>
      <c r="H446" s="113" t="str">
        <f>IF(C424="","",[1]AB5!$I$26)</f>
        <v>Yes</v>
      </c>
      <c r="I446" s="83"/>
      <c r="J446" s="114" t="str">
        <f>IF(C424="","",[1]AB5!$K$26)</f>
        <v>FSL / TRP Missed</v>
      </c>
      <c r="K446" s="110" t="str">
        <f>IF(C424="","",[1]AB5!$L$26)</f>
        <v>Recalcuate : Long FSL / TRP : Bull / Bull CF</v>
      </c>
      <c r="L446" s="88"/>
      <c r="M446" s="88"/>
      <c r="N446" s="85"/>
      <c r="O446" s="110" t="str">
        <f>IF(C424="","",[1]AB5!$P$26)</f>
        <v>Wait Till Recalculation Time</v>
      </c>
      <c r="P446" s="85"/>
      <c r="Q446" s="111">
        <f>IF(C424="","",C442)</f>
        <v>0.38540972222222225</v>
      </c>
      <c r="R446" s="85"/>
      <c r="S446" s="110" t="str">
        <f>IF(C424="","",CONCATENATE(V446," ",[1]AB5!$Z$26," ",TEXT(W446,"0.00%")))</f>
        <v>09:14:59 AM LL - 0.10%</v>
      </c>
      <c r="T446" s="88"/>
      <c r="U446" s="85"/>
      <c r="V446" s="116" t="str">
        <f>IF(C424="","",CONCATENATE(TEXT(Q446,"HH:MM:SS AM/PM"),[1]AB5!$U$26))</f>
        <v>09:14:59 AM LL</v>
      </c>
      <c r="W446" s="112" t="str">
        <f t="array" ref="W446">IF(C424="","",TEXT(INDEX([1]AB4!BL:BL,MATCH(A425,[1]AB4!B:B,0)),"0.00%"))</f>
        <v>0.10%</v>
      </c>
      <c r="X446" s="91"/>
      <c r="Y446" s="145"/>
      <c r="Z446" s="145"/>
      <c r="AA446" s="104"/>
      <c r="AB446" s="68"/>
      <c r="AC446" s="68"/>
    </row>
    <row r="447" spans="1:29" ht="24" customHeight="1" x14ac:dyDescent="0.2">
      <c r="A447" s="18"/>
      <c r="B447" s="62" t="str">
        <f>IF(C424="","",[1]AB5!$B$27)</f>
        <v>I Commit To Follow The Rules &amp; Process</v>
      </c>
      <c r="C447" s="63"/>
      <c r="D447" s="64"/>
      <c r="E447" s="59"/>
      <c r="F447" s="64"/>
      <c r="G447" s="12"/>
      <c r="H447" s="48"/>
      <c r="I447" s="95"/>
      <c r="J447" s="146"/>
      <c r="K447" s="110" t="str">
        <f>IF(C424="","",[1]AB5!$L$27)</f>
        <v>Recalcuate : Long FSL / TRP : Bear / Bear CF</v>
      </c>
      <c r="L447" s="88"/>
      <c r="M447" s="88"/>
      <c r="N447" s="85"/>
      <c r="O447" s="110" t="str">
        <f>IF(C424="","",[1]AB5!$P$27)</f>
        <v>Wait Till Recalculation Time</v>
      </c>
      <c r="P447" s="85"/>
      <c r="Q447" s="111">
        <f>IF(C424="","",C442)</f>
        <v>0.38540972222222225</v>
      </c>
      <c r="R447" s="85"/>
      <c r="S447" s="110" t="str">
        <f>IF(C425="","",CONCATENATE(V447," ",[1]AB5!$Z$26," ",TEXT(W447,"0.00%")))</f>
        <v>09:14:59 AM LL - 0.10%</v>
      </c>
      <c r="T447" s="88"/>
      <c r="U447" s="85"/>
      <c r="V447" s="116" t="str">
        <f>IF(C424="","",CONCATENATE(TEXT(Q446,"HH:MM:SS AM/PM"),[1]AB5!$U$27))</f>
        <v>09:14:59 AM LL</v>
      </c>
      <c r="W447" s="112" t="str">
        <f t="array" ref="W447">IF(C424="","",TEXT(INDEX([1]AB4!BL:BL,MATCH(A425,[1]AB4!B:B,0)),"0.00%"))</f>
        <v>0.10%</v>
      </c>
      <c r="X447" s="91"/>
      <c r="Y447" s="147" t="str">
        <f>IF(C424="","",CONCATENATE([1]AB5!$T$28," ( ",G427," or ",[1]AB5!$AA$26," ",[1]AB5!$Z$28," ",TEXT(W448,"0.00%")," )"))</f>
        <v>Min ( FUT : PRV : 3DLL - 0.10% or  CDLL - 0.10% )</v>
      </c>
      <c r="Z447" s="148"/>
      <c r="AA447" s="63"/>
      <c r="AB447" s="68"/>
      <c r="AC447" s="68"/>
    </row>
    <row r="448" spans="1:29" ht="33" customHeight="1" x14ac:dyDescent="0.2">
      <c r="A448" s="18"/>
      <c r="B448" s="64"/>
      <c r="C448" s="59"/>
      <c r="D448" s="64"/>
      <c r="E448" s="59"/>
      <c r="F448" s="64"/>
      <c r="G448" s="12"/>
      <c r="H448" s="48"/>
      <c r="I448" s="95"/>
      <c r="J448" s="146"/>
      <c r="K448" s="110" t="str">
        <f>IF(C424="","",[1]AB5!$L$28)</f>
        <v>Recalcuate : Short Entry : Bull / Bull CF</v>
      </c>
      <c r="L448" s="88"/>
      <c r="M448" s="88"/>
      <c r="N448" s="85"/>
      <c r="O448" s="110" t="str">
        <f>IF(C424="","",[1]AB5!$P$28)</f>
        <v>Wait Till Recalculation Time</v>
      </c>
      <c r="P448" s="85"/>
      <c r="Q448" s="111">
        <f>IF(C424="","",C438)</f>
        <v>0.38540972222222225</v>
      </c>
      <c r="R448" s="85"/>
      <c r="S448" s="115" t="str">
        <f>IF(C424="","",CONCATENATE([1]AB5!$T$28," ( ",G427," or ",V448," ",[1]AB5!$Z$28," ",TEXT(W448,"0.00%")," )"))</f>
        <v>Min ( FUT : PRV : 3DLL - 0.10% or 09:14:59 AM LL - 0.10% )</v>
      </c>
      <c r="T448" s="88"/>
      <c r="U448" s="85"/>
      <c r="V448" s="116" t="str">
        <f>IF(C424="","",CONCATENATE(TEXT(Q448,"HH:MM:SS AM/PM"),[1]AB5!$U$28))</f>
        <v>09:14:59 AM LL</v>
      </c>
      <c r="W448" s="112" t="str">
        <f t="array" ref="W448">IF(C424="","",TEXT(INDEX([1]AB4!BK:BK,MATCH(A427,[1]AB4!B:B,0)),"0.00%"))</f>
        <v>0.10%</v>
      </c>
      <c r="X448" s="91"/>
      <c r="Y448" s="145"/>
      <c r="Z448" s="145"/>
      <c r="AA448" s="104"/>
      <c r="AB448" s="68"/>
      <c r="AC448" s="68"/>
    </row>
    <row r="449" spans="1:29" ht="33" customHeight="1" thickBot="1" x14ac:dyDescent="0.25">
      <c r="A449" s="18"/>
      <c r="B449" s="60"/>
      <c r="C449" s="66"/>
      <c r="D449" s="103"/>
      <c r="E449" s="104"/>
      <c r="F449" s="103"/>
      <c r="G449" s="145"/>
      <c r="H449" s="51"/>
      <c r="I449" s="105"/>
      <c r="J449" s="53"/>
      <c r="K449" s="110" t="str">
        <f>IF(C424="","",[1]AB5!$L$29)</f>
        <v>Recalcuate : Short Entry : Bear / Bear CF</v>
      </c>
      <c r="L449" s="88"/>
      <c r="M449" s="88"/>
      <c r="N449" s="85"/>
      <c r="O449" s="110" t="str">
        <f>IF(C424="","",[1]AB5!$P$29)</f>
        <v>Wait Till Recalculation Time</v>
      </c>
      <c r="P449" s="85"/>
      <c r="Q449" s="111">
        <f>IF(C424="","",C438)</f>
        <v>0.38540972222222225</v>
      </c>
      <c r="R449" s="85"/>
      <c r="S449" s="115" t="str">
        <f>IF(C424="","",CONCATENATE([1]AB5!$T$29," ( ",G433," or ",V449," ",[1]AB5!$Z$29," ",TEXT(W449,"0.00%")," )"))</f>
        <v>Min ( FUT : PRV : 3DLL - 0.10% or 09:14:59 AM LL - 0.10% )</v>
      </c>
      <c r="T449" s="88"/>
      <c r="U449" s="85"/>
      <c r="V449" s="116" t="str">
        <f>IF(C424="","",CONCATENATE(TEXT(Q449,"HH:MM:SS AM/PM"),[1]AB5!$U$29))</f>
        <v>09:14:59 AM LL</v>
      </c>
      <c r="W449" s="112" t="str">
        <f t="array" ref="W449">IF(C424="","",TEXT(INDEX([1]AB4!BK:BK,MATCH(A433,[1]AB4!B:B,0)),"0.00%"))</f>
        <v>0.10%</v>
      </c>
      <c r="X449" s="91"/>
      <c r="Y449" s="149" t="str">
        <f>IF(C424="","",[1]AB5!$AA$29)</f>
        <v xml:space="preserve">Short Entry : Bear/ Bear CF : </v>
      </c>
      <c r="Z449" s="88"/>
      <c r="AA449" s="91"/>
      <c r="AB449" s="68"/>
      <c r="AC449" s="68"/>
    </row>
    <row r="450" spans="1:29" ht="21.75" customHeight="1" x14ac:dyDescent="0.2">
      <c r="A450" s="18"/>
      <c r="B450" s="150" t="str">
        <f>IF(C424="","",IF([1]AB5!$B$12="","",[1]AB5!$B$30))</f>
        <v>By Asmita Patel.</v>
      </c>
      <c r="C450" s="71"/>
      <c r="D450" s="81" t="str">
        <f>IF(C424="","",[1]AB5!$D$30)</f>
        <v>For Short SL</v>
      </c>
      <c r="E450" s="63"/>
      <c r="F450" s="151" t="str">
        <f>IF(C424="","",CONCATENATE([1]AB5!$G$30,TEXT(B442,"HH:MM:SS AM/PM"),[1]AB5!$B$22,[1]AB5!$H$30))</f>
        <v>Check If 09:04:59 AM HH &gt; Short SL</v>
      </c>
      <c r="G450" s="83"/>
      <c r="H450" s="84" t="str">
        <f>IF(C424="","",[1]AB5!$I$30)</f>
        <v>No</v>
      </c>
      <c r="I450" s="85"/>
      <c r="J450" s="86" t="str">
        <f>IF(C424="","",[1]AB5!$K$30)</f>
        <v>FSL / TRP Not Missed</v>
      </c>
      <c r="K450" s="87" t="str">
        <f>IF(C424="","",[1]AB5!$L$30)</f>
        <v>Place the Order at ORPT</v>
      </c>
      <c r="L450" s="88"/>
      <c r="M450" s="88"/>
      <c r="N450" s="85"/>
      <c r="O450" s="87" t="str">
        <f>IF(C424="","",[1]AB5!$P$30)</f>
        <v>ORPT Time</v>
      </c>
      <c r="P450" s="85"/>
      <c r="Q450" s="89">
        <f>IF(C424="","",B442)</f>
        <v>0.37846527777777778</v>
      </c>
      <c r="R450" s="85"/>
      <c r="S450" s="87" t="str">
        <f>IF(C424="","",[1]AB5!$T$30)</f>
        <v>N.A.</v>
      </c>
      <c r="T450" s="88"/>
      <c r="U450" s="85"/>
      <c r="V450" s="86" t="str">
        <f>IF(C424="","",[1]AB5!$W$30)</f>
        <v>N.A.</v>
      </c>
      <c r="W450" s="90" t="str">
        <f>IF(C424="","",[1]AB5!$X$30)</f>
        <v>N.A.</v>
      </c>
      <c r="X450" s="91"/>
      <c r="Y450" s="147" t="str">
        <f>IF(C424="","",CONCATENATE([1]AB5!$T$29," ( ",G433," or ",[1]AB5!$AA$30," ",[1]AB5!$Z$29," ",TEXT(W449,"0.00%")," )"))</f>
        <v>Min ( FUT : PRV : 3DLL - 0.10% or  CDLL - 0.10% )</v>
      </c>
      <c r="Z450" s="148"/>
      <c r="AA450" s="63"/>
      <c r="AB450" s="68"/>
      <c r="AC450" s="68"/>
    </row>
    <row r="451" spans="1:29" ht="21.75" customHeight="1" x14ac:dyDescent="0.2">
      <c r="A451" s="152"/>
      <c r="B451" s="64"/>
      <c r="C451" s="59"/>
      <c r="D451" s="64"/>
      <c r="E451" s="59"/>
      <c r="F451" s="64"/>
      <c r="G451" s="95"/>
      <c r="H451" s="96" t="str">
        <f>IF(C424="","",[1]AB5!$I$31)</f>
        <v>Yes</v>
      </c>
      <c r="I451" s="83"/>
      <c r="J451" s="97" t="str">
        <f>IF(C424="","",[1]AB5!$K$31)</f>
        <v>FSL / TRP Missed</v>
      </c>
      <c r="K451" s="87" t="str">
        <f>IF(C424="","",[1]AB5!$L$31)</f>
        <v>Recalcuate : Short FSL / TRP : Bull / Bull CF</v>
      </c>
      <c r="L451" s="88"/>
      <c r="M451" s="88"/>
      <c r="N451" s="85"/>
      <c r="O451" s="87" t="str">
        <f>IF(C424="","",[1]AB5!$P$31)</f>
        <v>Wait Till Recalculation Time</v>
      </c>
      <c r="P451" s="85"/>
      <c r="Q451" s="89">
        <f>IF(C424="","",C442)</f>
        <v>0.38540972222222225</v>
      </c>
      <c r="R451" s="85"/>
      <c r="S451" s="87" t="str">
        <f>IF(C424="","",CONCATENATE(V451," ",[1]AB5!$Z$31," ",TEXT(W451,"0.00%")))</f>
        <v>09:14:59 AM HH + 0.10%</v>
      </c>
      <c r="T451" s="88"/>
      <c r="U451" s="85"/>
      <c r="V451" s="153" t="str">
        <f>IF(C424="","",CONCATENATE(TEXT(Q451,"HH:MM:SS AM/PM"),[1]AB5!$U$31))</f>
        <v>09:14:59 AM HH</v>
      </c>
      <c r="W451" s="90" t="str">
        <f t="array" ref="W451">IF(C424="","",TEXT(INDEX([1]AB4!BL:BL,MATCH(A433,[1]AB4!B:B,0)),"0.00%"))</f>
        <v>0.10%</v>
      </c>
      <c r="X451" s="91"/>
      <c r="Y451" s="12"/>
      <c r="Z451" s="12"/>
      <c r="AA451" s="59"/>
      <c r="AB451" s="68"/>
      <c r="AC451" s="68"/>
    </row>
    <row r="452" spans="1:29" ht="22.5" customHeight="1" x14ac:dyDescent="0.2">
      <c r="A452" s="152"/>
      <c r="B452" s="64"/>
      <c r="C452" s="59"/>
      <c r="D452" s="64"/>
      <c r="E452" s="59"/>
      <c r="F452" s="64"/>
      <c r="G452" s="95"/>
      <c r="H452" s="48"/>
      <c r="I452" s="95"/>
      <c r="J452" s="146"/>
      <c r="K452" s="87" t="str">
        <f>IF(C424="","",[1]AB5!$L$32)</f>
        <v>Recalcuate : Short FSL / TRP : Bear / Bear CF</v>
      </c>
      <c r="L452" s="88"/>
      <c r="M452" s="88"/>
      <c r="N452" s="85"/>
      <c r="O452" s="87" t="str">
        <f>IF(C424="","",[1]AB5!$P$32)</f>
        <v>Wait Till Recalculation Time</v>
      </c>
      <c r="P452" s="85"/>
      <c r="Q452" s="89">
        <f>IF(C424="","",C442)</f>
        <v>0.38540972222222225</v>
      </c>
      <c r="R452" s="85"/>
      <c r="S452" s="87" t="str">
        <f>IF(C425="","",CONCATENATE(V452," ",[1]AB5!$Z$31," ",TEXT(W452,"0.00%")))</f>
        <v>09:14:59 AM HH + 0.10%</v>
      </c>
      <c r="T452" s="88"/>
      <c r="U452" s="85"/>
      <c r="V452" s="153" t="str">
        <f>IF(C424="","",CONCATENATE(TEXT(Q451,"HH:MM:SS AM/PM"),[1]AB5!$U$32))</f>
        <v>09:14:59 AM HH</v>
      </c>
      <c r="W452" s="90" t="str">
        <f t="array" ref="W452">IF(C424="","",TEXT(INDEX([1]AB4!BL:BL,MATCH(A433,[1]AB4!B:B,0)),"0.00%"))</f>
        <v>0.10%</v>
      </c>
      <c r="X452" s="91"/>
      <c r="Y452" s="145"/>
      <c r="Z452" s="145"/>
      <c r="AA452" s="104"/>
      <c r="AB452" s="68"/>
      <c r="AC452" s="68"/>
    </row>
    <row r="453" spans="1:29" ht="33" customHeight="1" x14ac:dyDescent="0.2">
      <c r="A453" s="152"/>
      <c r="B453" s="64"/>
      <c r="C453" s="59"/>
      <c r="D453" s="64"/>
      <c r="E453" s="59"/>
      <c r="F453" s="64"/>
      <c r="G453" s="95"/>
      <c r="H453" s="48"/>
      <c r="I453" s="95"/>
      <c r="J453" s="146"/>
      <c r="K453" s="87" t="str">
        <f>IF(C424="","",[1]AB5!$L$33)</f>
        <v>Recalcuate : Long Entry : Bull / Bull CF</v>
      </c>
      <c r="L453" s="88"/>
      <c r="M453" s="88"/>
      <c r="N453" s="85"/>
      <c r="O453" s="87" t="str">
        <f>IF(C424="","",[1]AB5!$P$33)</f>
        <v>Wait Till Recalculation Time</v>
      </c>
      <c r="P453" s="85"/>
      <c r="Q453" s="89">
        <f>IF(C424="","",C438)</f>
        <v>0.38540972222222225</v>
      </c>
      <c r="R453" s="85"/>
      <c r="S453" s="98" t="str">
        <f>IF(C424="","",CONCATENATE([1]AB5!$T$33," ( ",G424," or ",V453," ",[1]AB5!$Z$33," ",TEXT(W453,"0.00%")," )"))</f>
        <v>Max ( FUT : PRV : 3DHH + 0.10% or 09:14:59 AM HH + 0.10% )</v>
      </c>
      <c r="T453" s="88"/>
      <c r="U453" s="85"/>
      <c r="V453" s="99" t="str">
        <f>IF(C424="","",CONCATENATE(TEXT(Q453,"HH:MM:SS AM/PM"),[1]AB5!$U$33))</f>
        <v>09:14:59 AM HH</v>
      </c>
      <c r="W453" s="90" t="str">
        <f t="array" ref="W453">IF(C424="","",TEXT(INDEX([1]AB4!BK:BK,MATCH(A424,[1]AB4!B:B,0)),"0.00%"))</f>
        <v>0.10%</v>
      </c>
      <c r="X453" s="91"/>
      <c r="Y453" s="117" t="str">
        <f>IF(C424="","",[1]AB5!$AA$33)</f>
        <v>When Your Short Position is Exited</v>
      </c>
      <c r="Z453" s="118"/>
      <c r="AA453" s="59"/>
      <c r="AB453" s="68"/>
      <c r="AC453" s="68"/>
    </row>
    <row r="454" spans="1:29" ht="33" customHeight="1" thickBot="1" x14ac:dyDescent="0.25">
      <c r="A454" s="152"/>
      <c r="B454" s="60"/>
      <c r="C454" s="66"/>
      <c r="D454" s="60"/>
      <c r="E454" s="66"/>
      <c r="F454" s="60"/>
      <c r="G454" s="121"/>
      <c r="H454" s="102"/>
      <c r="I454" s="121"/>
      <c r="J454" s="122"/>
      <c r="K454" s="154" t="str">
        <f>IF(C424="","",[1]AB5!$L$34)</f>
        <v>Recalcuate : Long Entry : Bear / Bear CF</v>
      </c>
      <c r="L454" s="124"/>
      <c r="M454" s="124"/>
      <c r="N454" s="38"/>
      <c r="O454" s="154" t="str">
        <f>IF(C424="","",[1]AB5!$P$34)</f>
        <v>Wait Till Recalculation Time</v>
      </c>
      <c r="P454" s="38"/>
      <c r="Q454" s="155">
        <f>IF(C424="","",C438)</f>
        <v>0.38540972222222225</v>
      </c>
      <c r="R454" s="38"/>
      <c r="S454" s="156" t="str">
        <f>IF(C424="","",CONCATENATE([1]AB5!$T$34," ( ",G430," or ",V454," ",[1]AB5!$Z$34," ",TEXT(W454,"0.00%")," )"))</f>
        <v>Max ( FUT : PRV : 3DHH + 0.10% or 09:14:59 AM HH + 0.10% )</v>
      </c>
      <c r="T454" s="124"/>
      <c r="U454" s="38"/>
      <c r="V454" s="157" t="str">
        <f>IF(C424="","",CONCATENATE(TEXT(Q454,"HH:MM:SS AM/PM"),[1]AB5!$U$34))</f>
        <v>09:14:59 AM HH</v>
      </c>
      <c r="W454" s="158" t="str">
        <f t="array" ref="W454">IF(C424="","",TEXT(INDEX([1]AB4!BK:BK,MATCH(A430,[1]AB4!B:B,0)),"0.00%"))</f>
        <v>0.10%</v>
      </c>
      <c r="X454" s="41"/>
      <c r="Y454" s="117" t="str">
        <f>IF(C424="","",[1]AB5!$AA$34)</f>
        <v>This is Only Applicable for Same Day</v>
      </c>
      <c r="Z454" s="118"/>
      <c r="AA454" s="59"/>
      <c r="AB454" s="68"/>
      <c r="AC454" s="68"/>
    </row>
    <row r="455" spans="1:29" ht="21.75" customHeight="1" thickBot="1" x14ac:dyDescent="0.25">
      <c r="A455" s="152"/>
      <c r="B455" s="69" t="str">
        <f>IF(C424="","",[1]AB5!$B$35)</f>
        <v>For Missed SL (Position = Open)</v>
      </c>
      <c r="C455" s="29"/>
      <c r="D455" s="70" t="str">
        <f>IF(C424="","",[1]AB5!$D$36)</f>
        <v>Note: ( Optional )</v>
      </c>
      <c r="E455" s="71"/>
      <c r="F455" s="159" t="str">
        <f>IF(C424="","",[1]AB5!$I$35)</f>
        <v>For Long SL</v>
      </c>
      <c r="G455" s="136"/>
      <c r="H455" s="136"/>
      <c r="I455" s="136"/>
      <c r="J455" s="136"/>
      <c r="K455" s="136"/>
      <c r="L455" s="136"/>
      <c r="M455" s="136"/>
      <c r="N455" s="136"/>
      <c r="O455" s="136"/>
      <c r="P455" s="133"/>
      <c r="Q455" s="159" t="str">
        <f>IF(N424="","",[1]AB5!$T$35)</f>
        <v>For Short SL</v>
      </c>
      <c r="R455" s="136"/>
      <c r="S455" s="136"/>
      <c r="T455" s="136"/>
      <c r="U455" s="136"/>
      <c r="V455" s="136"/>
      <c r="W455" s="136"/>
      <c r="X455" s="136"/>
      <c r="Y455" s="136"/>
      <c r="Z455" s="136"/>
      <c r="AA455" s="133"/>
      <c r="AB455" s="68"/>
      <c r="AC455" s="68"/>
    </row>
    <row r="456" spans="1:29" ht="36" customHeight="1" x14ac:dyDescent="0.2">
      <c r="A456" s="152"/>
      <c r="B456" s="160" t="str">
        <f>IF(C424="","",[1]AB5!$B$36)</f>
        <v>Check time</v>
      </c>
      <c r="C456" s="91"/>
      <c r="D456" s="64"/>
      <c r="E456" s="59"/>
      <c r="F456" s="161" t="str">
        <f>IF(C424="","",CONCATENATE([1]AB5!$G$36,TEXT(B457,"HH:MM:SS AM/PM"),[1]AB5!$B$37,[1]AB5!$H$36))</f>
        <v>Check If Close at 11:00:00 PM  &lt; Long Original SL</v>
      </c>
      <c r="G456" s="85"/>
      <c r="H456" s="162" t="str">
        <f>IF(C424="","",[1]AB5!$I$36)</f>
        <v>Yes</v>
      </c>
      <c r="I456" s="105"/>
      <c r="J456" s="163" t="str">
        <f>IF(C424="","",CONCATENATE([1]AB5!$K$36,TEXT(B457,"HH:MM:SS AM/PM")))</f>
        <v xml:space="preserve"> Then Square Off The Position At CMP at 11:00:00 PM</v>
      </c>
      <c r="K456" s="145"/>
      <c r="L456" s="145"/>
      <c r="M456" s="145"/>
      <c r="N456" s="145"/>
      <c r="O456" s="145"/>
      <c r="P456" s="104"/>
      <c r="Q456" s="164" t="str">
        <f>IF(C424="","",CONCATENATE([1]AB5!$T$36,TEXT(B457,"HH:MM:SS AM/PM"),[1]AB5!$B$37,[1]AB5!$U$36))</f>
        <v>Check If Close at 11:00:00 PM  &gt; Short Original SL</v>
      </c>
      <c r="R456" s="145"/>
      <c r="S456" s="105"/>
      <c r="T456" s="165" t="str">
        <f>IF(C424="","",[1]AB5!$I$36)</f>
        <v>Yes</v>
      </c>
      <c r="U456" s="166" t="str">
        <f>IF(C424="","",CONCATENATE([1]AB5!$W$36,TEXT(B457,"HH:MM:SS AM/PM")))</f>
        <v xml:space="preserve"> Then Square Off The Position At CMP at 11:00:00 PM</v>
      </c>
      <c r="V456" s="145"/>
      <c r="W456" s="145"/>
      <c r="X456" s="145"/>
      <c r="Y456" s="145"/>
      <c r="Z456" s="145"/>
      <c r="AA456" s="104"/>
      <c r="AB456" s="68"/>
      <c r="AC456" s="167"/>
    </row>
    <row r="457" spans="1:29" ht="36" customHeight="1" thickBot="1" x14ac:dyDescent="0.25">
      <c r="A457" s="152"/>
      <c r="B457" s="168">
        <f t="array" ref="B457">IF(C424="","",INDEX([1]AB4!CU:CU,MATCH(A445,[1]AB4!B:B,0)))</f>
        <v>0.95833333333333326</v>
      </c>
      <c r="C457" s="41"/>
      <c r="D457" s="60"/>
      <c r="E457" s="66"/>
      <c r="F457" s="169" t="str">
        <f>IF(C424="","",CONCATENATE([1]AB5!$G$37,TEXT(B457,"HH:MM:SS AM/PM"),[1]AB5!$B$37,[1]AB5!$H$37))</f>
        <v>Check If Close at 11:00:00 PM  &gt; Long Original SL</v>
      </c>
      <c r="G457" s="38"/>
      <c r="H457" s="170" t="str">
        <f>IF(C424="","",[1]AB5!$I$37)</f>
        <v>Yes</v>
      </c>
      <c r="I457" s="38"/>
      <c r="J457" s="156" t="str">
        <f>IF(C424="","",CONCATENATE([1]AB5!$K$37))</f>
        <v xml:space="preserve"> Then Continue the Position for Next Day And Calculate Stop Loss Price as per the Rules</v>
      </c>
      <c r="K457" s="124"/>
      <c r="L457" s="124"/>
      <c r="M457" s="124"/>
      <c r="N457" s="124"/>
      <c r="O457" s="124"/>
      <c r="P457" s="41"/>
      <c r="Q457" s="169" t="str">
        <f>IF(C424="","",CONCATENATE([1]AB5!$T$37,TEXT(B457,"HH:MM:SS AM/PM"),[1]AB5!$B$37,[1]AB5!$U$37))</f>
        <v>Check If Close at 11:00:00 PM  &lt; Short Original SL</v>
      </c>
      <c r="R457" s="124"/>
      <c r="S457" s="38"/>
      <c r="T457" s="171" t="str">
        <f>IF(C425="","",[1]AB5!$I$36)</f>
        <v>Yes</v>
      </c>
      <c r="U457" s="156" t="str">
        <f>IF(C424="","",CONCATENATE([1]AB5!$W$37))</f>
        <v xml:space="preserve"> Then Continue the Position for Next Day And Calculate Stop Loss Price as per the Rules</v>
      </c>
      <c r="V457" s="124"/>
      <c r="W457" s="124"/>
      <c r="X457" s="124"/>
      <c r="Y457" s="124"/>
      <c r="Z457" s="124"/>
      <c r="AA457" s="41"/>
      <c r="AB457" s="68"/>
      <c r="AC457" s="167"/>
    </row>
    <row r="458" spans="1:29" ht="15.75" customHeight="1" thickBot="1" x14ac:dyDescent="0.25">
      <c r="A458" s="177"/>
    </row>
    <row r="459" spans="1:29" ht="30.75" customHeight="1" x14ac:dyDescent="0.2">
      <c r="A459" s="18" t="str">
        <f>IF(C459="","",CONCATENATE(C460,[1]AB5!$A$4))</f>
        <v>S14A</v>
      </c>
      <c r="B459" s="20" t="str">
        <f>IF(C459="","",IF([1]AB5!$B$4="","",[1]AB5!$B$4))</f>
        <v>Sr. No.</v>
      </c>
      <c r="C459" s="172">
        <v>14</v>
      </c>
      <c r="D459" s="173" t="str">
        <f>IF(C459="","",[1]AB5!$D$4)</f>
        <v>BULL / BULL CF</v>
      </c>
      <c r="E459" s="57" t="str">
        <f>IF(C459="","",[1]AB5!$F$4)</f>
        <v>BUY</v>
      </c>
      <c r="F459" s="58" t="str">
        <f>IF(C459="","",[1]AB5!$G$4)</f>
        <v>E &amp; T</v>
      </c>
      <c r="G459" s="25" t="str">
        <f t="array" ref="G459">IF(C459="","",CONCATENATE(INDEX([1]AB4!G:G,MATCH(A459,[1]AB4!B:B,0)),INDEX([1]AB4!H:H,MATCH(A459,[1]AB4!B:B,0)),TEXT(INDEX([1]AB4!I:I,MATCH(A459,[1]AB4!B:B,0)),"0.00%")))</f>
        <v>FUT : PRV : 2DHH + 0.40%</v>
      </c>
      <c r="H459" s="26">
        <f t="array" ref="H459">IF(C459="","",INDEX([1]AB4!J:J,MATCH(A459,[1]AB4!B:B,0)))</f>
        <v>5</v>
      </c>
      <c r="I459" s="27"/>
      <c r="J459" s="28" t="str">
        <f t="array" ref="J459">IF(C459="","",CONCATENATE(INDEX([1]AB4!L:L,MATCH(A459,[1]AB4!B:B,0)),INDEX([1]AB4!M:M,MATCH(A459,[1]AB4!B:B,0)),TEXT(INDEX([1]AB4!N:N,MATCH(A459,[1]AB4!B:B,0)),"0.00%")))</f>
        <v>L : Entry  + 2.50%</v>
      </c>
      <c r="K459" s="26">
        <f t="array" ref="K459">IF(C459="","",INDEX([1]AB4!O:O,MATCH(A459,[1]AB4!B:B,0)))</f>
        <v>1</v>
      </c>
      <c r="L459" s="27"/>
      <c r="M459" s="28" t="str">
        <f t="array" ref="M459">IF(C459="","",CONCATENATE(INDEX([1]AB4!L:L,MATCH(A459,[1]AB4!B:B,0)),INDEX([1]AB4!M:M,MATCH(A459,[1]AB4!B:B,0)),TEXT(INDEX([1]AB4!P:P,MATCH(A459,[1]AB4!B:B,0)),"0.00%")))</f>
        <v>L : Entry  + 3.50%</v>
      </c>
      <c r="N459" s="26">
        <f t="array" ref="N459">IF(C459="","",INDEX([1]AB4!Q:Q,MATCH(A459,[1]AB4!B:B,0)))</f>
        <v>1</v>
      </c>
      <c r="O459" s="27"/>
      <c r="P459" s="28" t="str">
        <f t="array" ref="P459">IF(C459="","",CONCATENATE(INDEX([1]AB4!L:L,MATCH(A459,[1]AB4!B:B,0)),INDEX([1]AB4!M:M,MATCH(A459,[1]AB4!B:B,0)),TEXT(INDEX([1]AB4!R:R,MATCH(A459,[1]AB4!B:B,0)),"0.00%")))</f>
        <v>L : Entry  + 4.50%</v>
      </c>
      <c r="Q459" s="26">
        <f t="array" ref="Q459">IF(C459="","",INDEX([1]AB4!S:S,MATCH(A459,[1]AB4!B:B,0)))</f>
        <v>1</v>
      </c>
      <c r="R459" s="27"/>
      <c r="S459" s="28" t="str">
        <f t="array" ref="S459">IF(C459="","",CONCATENATE(INDEX([1]AB4!L:L,MATCH(A459,[1]AB4!B:B,0)),INDEX([1]AB4!M:M,MATCH(A459,[1]AB4!B:B,0)),TEXT(INDEX([1]AB4!T:T,MATCH(A459,[1]AB4!B:B,0)),"0.00%")))</f>
        <v>L : Entry  + 5.50%</v>
      </c>
      <c r="T459" s="26">
        <f t="array" ref="T459">IF(C459="","",INDEX([1]AB4!U:U,MATCH(A459,[1]AB4!B:B,0)))</f>
        <v>1</v>
      </c>
      <c r="U459" s="27"/>
      <c r="V459" s="28" t="str">
        <f t="array" ref="V459">IF(C459="","",INDEX([1]AB4!V:V,MATCH(A459,[1]AB4!B:B,0)))</f>
        <v>TR PROFIT AFTER TGT 4</v>
      </c>
      <c r="W459" s="26">
        <f t="array" ref="W459">IF(C459="","",INDEX([1]AB4!W:W,MATCH(A459,[1]AB4!B:B,0)))</f>
        <v>1</v>
      </c>
      <c r="X459" s="27"/>
      <c r="Y459" s="28" t="str">
        <f t="array" ref="Y459">IF(C459="","",INDEX([1]AB4!X:X,MATCH(A459,[1]AB4!B:B,0)))</f>
        <v>N.A.</v>
      </c>
      <c r="Z459" s="26" t="str">
        <f t="array" ref="Z459">IF(C459="","",INDEX([1]AB4!Y:Y,MATCH(A459,[1]AB4!B:B,0)))</f>
        <v>N.A.</v>
      </c>
      <c r="AA459" s="29"/>
      <c r="AB459" s="30"/>
      <c r="AC459" s="30"/>
    </row>
    <row r="460" spans="1:29" ht="44.25" customHeight="1" thickBot="1" x14ac:dyDescent="0.25">
      <c r="A460" s="18" t="str">
        <f>IF(C459="","",CONCATENATE(C460,[1]AB5!$A$5))</f>
        <v>S14A</v>
      </c>
      <c r="B460" s="31" t="str">
        <f>IF(C459="","",IF([1]AB5!$B$5="","",[1]AB5!$B$5))</f>
        <v>Strategy Code</v>
      </c>
      <c r="C460" s="54" t="str">
        <f t="array" ref="C460">IF(C459="","",INDEX([1]AB2!B:B,MATCH(C459,[1]AB2!A:A,0)))</f>
        <v>S14</v>
      </c>
      <c r="D460" s="59"/>
      <c r="E460" s="60"/>
      <c r="F460" s="61" t="str">
        <f>IF(C459="","",[1]AB5!$G$5)</f>
        <v>SL / TRP</v>
      </c>
      <c r="G460" s="36" t="str">
        <f t="array" ref="G460">IF(C459="","",CONCATENATE(INDEX([1]AB4!AA:AA,MATCH(A460,[1]AB4!B:B,0))," ( ",INDEX([1]AB4!AE:AE,MATCH(A460,[1]AB4!B:B,0)),INDEX([1]AB4!AF:AF,MATCH(A460,[1]AB4!B:B,0)),TEXT(INDEX([1]AB4!AG:AG,MATCH(A460,[1]AB4!B:B,0)),"0.00%")," or ",INDEX([1]AB4!AK:AK,MATCH(A460,[1]AB4!B:B,0)),INDEX([1]AB4!AJ:AJ,MATCH(A460,[1]AB4!B:B,0)),TEXT(INDEX([1]AB4!AL:AL,MATCH(A460,[1]AB4!B:B,0)),"0.00%")," )"))</f>
        <v>Max ( L : Entry - 2.50% or FUT : PRV : 2DLL - 0.40% )</v>
      </c>
      <c r="H460" s="37">
        <f t="array" ref="H460">IF(C460="","",INDEX([1]AB4!AM:AM,MATCH(A460,[1]AB4!B:B,0)))</f>
        <v>5</v>
      </c>
      <c r="I460" s="38"/>
      <c r="J460" s="36" t="str">
        <f t="array" ref="J460">IF(C459="","",CONCATENATE(INDEX([1]AB4!AA:AA,MATCH(A460,[1]AB4!B:B,0))," ( ",INDEX([1]AB4!AE:AE,MATCH(A460,[1]AB4!B:B,0))," or ",INDEX([1]AB4!AN:AN,MATCH(A460,[1]AB4!B:B,0)),INDEX([1]AB4!AJ:AJ,MATCH(A460,[1]AB4!B:B,0)),TEXT(INDEX([1]AB4!AO:AO,MATCH(A460,[1]AB4!B:B,0)),"0.00%")," )"))</f>
        <v>Max ( L : Entry or FUT : PRV : 2DLL - 0.40% )</v>
      </c>
      <c r="K460" s="37">
        <f t="array" ref="K460">IF(C459="","",INDEX([1]AB4!AP:AP,MATCH(A460,[1]AB4!B:B,0)))</f>
        <v>4</v>
      </c>
      <c r="L460" s="38"/>
      <c r="M460" s="36" t="str">
        <f t="array" ref="M460">IF(C459="","",CONCATENATE(INDEX([1]AB4!AA:AA,MATCH(A460,[1]AB4!B:B,0))," ( ",INDEX([1]AB4!AE:AE,MATCH(A460,[1]AB4!B:B,0))," or ",INDEX([1]AB4!AQ:AQ,MATCH(A460,[1]AB4!B:B,0)),INDEX([1]AB4!AJ:AJ,MATCH(A460,[1]AB4!B:B,0)),TEXT(INDEX([1]AB4!AR:AR,MATCH(A460,[1]AB4!B:B,0)),"0.00%")," )"))</f>
        <v>Max ( L : Entry or FUT : PRV : 2DLL - 0.40% )</v>
      </c>
      <c r="N460" s="37">
        <f t="array" ref="N460">IF(C460="","",INDEX([1]AB4!AS:AS,MATCH(A460,[1]AB4!B:B,0)))</f>
        <v>3</v>
      </c>
      <c r="O460" s="38"/>
      <c r="P460" s="36" t="str">
        <f t="array" ref="P460">IF(C459="","",CONCATENATE(INDEX([1]AB4!AA:AA,MATCH(A460,[1]AB4!B:B,0))," ( ",INDEX([1]AB4!AE:AE,MATCH(A460,[1]AB4!B:B,0))," or ",INDEX([1]AB4!AT:AT,MATCH(A460,[1]AB4!B:B,0)),INDEX([1]AB4!AJ:AJ,MATCH(A460,[1]AB4!B:B,0)),TEXT(INDEX([1]AB4!AU:AU,MATCH(A460,[1]AB4!B:B,0)),"0.00%")," )"))</f>
        <v>Max ( L : Entry or FUT : PRV : 2DLL - 0.40% )</v>
      </c>
      <c r="Q460" s="37">
        <f t="array" ref="Q460">IF(C460="","",INDEX([1]AB4!AV:AV,MATCH(A460,[1]AB4!B:B,0)))</f>
        <v>2</v>
      </c>
      <c r="R460" s="38"/>
      <c r="S460" s="36" t="str">
        <f t="array" ref="S460">IF(C459="","",CONCATENATE(INDEX([1]AB4!AA:AA,MATCH(A460,[1]AB4!B:B,0))," ( ",INDEX([1]AB4!AE:AE,MATCH(A460,[1]AB4!B:B,0))," or ",INDEX([1]AB4!AW:AW,MATCH(A460,[1]AB4!B:B,0)),INDEX([1]AB4!AJ:AJ,MATCH(A460,[1]AB4!B:B,0)),TEXT(INDEX([1]AB4!AX:AX,MATCH(A460,[1]AB4!B:B,0)),"0.00%")," )"))</f>
        <v>Max ( L : Entry or FUT : PRV : 2DLL - 0.40% )</v>
      </c>
      <c r="T460" s="37">
        <f t="array" ref="T460">IF(C459="","",INDEX([1]AB4!AY:AY,MATCH(A460,[1]AB4!B:B,0)))</f>
        <v>1</v>
      </c>
      <c r="U460" s="38"/>
      <c r="V460" s="36" t="str">
        <f t="array" ref="V460">IF(C459="","",CONCATENATE(INDEX([1]AB4!AA:AA,MATCH(A460,[1]AB4!B:B,0))," ( ",INDEX([1]AB4!AE:AE,MATCH(A460,[1]AB4!B:B,0))," or ",INDEX([1]AB4!AW:AW,MATCH(A460,[1]AB4!B:B,0)),INDEX([1]AB4!AJ:AJ,MATCH(A460,[1]AB4!B:B,0)),TEXT(INDEX([1]AB4!AX:AX,MATCH(A460,[1]AB4!B:B,0)),"0.00%")," )"))</f>
        <v>Max ( L : Entry or FUT : PRV : 2DLL - 0.40% )</v>
      </c>
      <c r="W460" s="37">
        <f t="array" ref="W460">IF(C459="","",INDEX([1]AB4!AY:AY,MATCH(A460,[1]AB4!B:B,0)))</f>
        <v>1</v>
      </c>
      <c r="X460" s="38"/>
      <c r="Y460" s="40">
        <f t="array" ref="Y460">IF(C459="","",INDEX([1]AB4!AZ:AZ,MATCH(A460,[1]AB4!B:B,0)))</f>
        <v>0</v>
      </c>
      <c r="Z460" s="37">
        <f t="array" ref="Z460">IF(C459="","",INDEX([1]AB4!BB:BB,MATCH(A460,[1]AB4!B:B,0)))</f>
        <v>0</v>
      </c>
      <c r="AA460" s="41"/>
      <c r="AB460" s="30"/>
      <c r="AC460" s="30"/>
    </row>
    <row r="461" spans="1:29" ht="6" customHeight="1" thickBot="1" x14ac:dyDescent="0.25">
      <c r="A461" s="18" t="str">
        <f>IF(C459="","",CONCATENATE(C460,[1]AB5!A471))</f>
        <v>S14</v>
      </c>
      <c r="B461" s="42" t="str">
        <f>IF(C459="","",IF([1]AB5!$B$6="","",[1]AB5!$B$6))</f>
        <v>Unique Code</v>
      </c>
      <c r="C461" s="174" t="str">
        <f t="array" ref="C461">IF(C459="","",INDEX([1]AB2!N:N,MATCH(C459,[1]AB2!A:A,0)))</f>
        <v>CRUDEOIL_FUT_MT_SAME_2D_2D</v>
      </c>
      <c r="D461" s="59"/>
      <c r="E461" s="44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6"/>
      <c r="AB461" s="30"/>
      <c r="AC461" s="30"/>
    </row>
    <row r="462" spans="1:29" ht="30.75" customHeight="1" x14ac:dyDescent="0.2">
      <c r="A462" s="18" t="str">
        <f>IF(C459="","",CONCATENATE(C460,[1]AB5!$A$7))</f>
        <v>S14B</v>
      </c>
      <c r="B462" s="47"/>
      <c r="C462" s="175"/>
      <c r="D462" s="59"/>
      <c r="E462" s="65" t="str">
        <f>IF(C459="","",[1]AB5!$F$7)</f>
        <v>SELL</v>
      </c>
      <c r="F462" s="58" t="str">
        <f>IF(C459="","",[1]AB5!$G$7)</f>
        <v>E &amp; T</v>
      </c>
      <c r="G462" s="25" t="str">
        <f t="array" ref="G462">IF(C459="","",CONCATENATE(INDEX([1]AB4!G:G,MATCH(A462,[1]AB4!B:B,0)),INDEX([1]AB4!H:H,MATCH(A462,[1]AB4!B:B,0)),TEXT(INDEX([1]AB4!I:I,MATCH(A462,[1]AB4!B:B,0)),"0.00%")))</f>
        <v>FUT : PRV : 2DLL - 0.40%</v>
      </c>
      <c r="H462" s="26">
        <f t="array" ref="H462">IF(C459="","",INDEX([1]AB4!J:J,MATCH(A462,[1]AB4!B:B,0)))</f>
        <v>5</v>
      </c>
      <c r="I462" s="27"/>
      <c r="J462" s="28" t="str">
        <f t="array" ref="J462">IF(C459="","",CONCATENATE(INDEX([1]AB4!L:L,MATCH(A462,[1]AB4!B:B,0)),INDEX([1]AB4!M:M,MATCH(A462,[1]AB4!B:B,0)),TEXT(INDEX([1]AB4!N:N,MATCH(A462,[1]AB4!B:B,0)),"0.00%")))</f>
        <v>S : Entry  - 2.50%</v>
      </c>
      <c r="K462" s="26">
        <f t="array" ref="K462">IF(C459="","",INDEX([1]AB4!O:O,MATCH(A462,[1]AB4!B:B,0)))</f>
        <v>1</v>
      </c>
      <c r="L462" s="27"/>
      <c r="M462" s="28" t="str">
        <f t="array" ref="M462">IF(C459="","",CONCATENATE(INDEX([1]AB4!L:L,MATCH(A462,[1]AB4!B:B,0)),INDEX([1]AB4!M:M,MATCH(A462,[1]AB4!B:B,0)),TEXT(INDEX([1]AB4!P:P,MATCH(A462,[1]AB4!B:B,0)),"0.00%")))</f>
        <v>S : Entry  - 3.50%</v>
      </c>
      <c r="N462" s="26">
        <f t="array" ref="N462">IF(C459="","",INDEX([1]AB4!Q:Q,MATCH(A462,[1]AB4!B:B,0)))</f>
        <v>1</v>
      </c>
      <c r="O462" s="27"/>
      <c r="P462" s="28" t="str">
        <f t="array" ref="P462">IF(C459="","",CONCATENATE(INDEX([1]AB4!L:L,MATCH(A462,[1]AB4!B:B,0)),INDEX([1]AB4!M:M,MATCH(A462,[1]AB4!B:B,0)),TEXT(INDEX([1]AB4!R:R,MATCH(A462,[1]AB4!B:B,0)),"0.00%")))</f>
        <v>S : Entry  - 4.50%</v>
      </c>
      <c r="Q462" s="26">
        <f t="array" ref="Q462">IF(C459="","",INDEX([1]AB4!S:S,MATCH(A462,[1]AB4!B:B,0)))</f>
        <v>1</v>
      </c>
      <c r="R462" s="27"/>
      <c r="S462" s="28" t="str">
        <f t="array" ref="S462">IF(C459="","",CONCATENATE(INDEX([1]AB4!L:L,MATCH(A462,[1]AB4!B:B,0)),INDEX([1]AB4!M:M,MATCH(A462,[1]AB4!B:B,0)),TEXT(INDEX([1]AB4!T:T,MATCH(A462,[1]AB4!B:B,0)),"0.00%")))</f>
        <v>S : Entry  - 5.50%</v>
      </c>
      <c r="T462" s="26">
        <f t="array" ref="T462">IF(C459="","",INDEX([1]AB4!U:U,MATCH(A462,[1]AB4!B:B,0)))</f>
        <v>1</v>
      </c>
      <c r="U462" s="27"/>
      <c r="V462" s="28" t="str">
        <f t="array" ref="V462">IF(C459="","",INDEX([1]AB4!V:V,MATCH(A462,[1]AB4!B:B,0)))</f>
        <v>TR PROFIT AFTER TGT 4</v>
      </c>
      <c r="W462" s="26">
        <f t="array" ref="W462">IF(C459="","",INDEX([1]AB4!W:W,MATCH(A462,[1]AB4!B:B,0)))</f>
        <v>1</v>
      </c>
      <c r="X462" s="27"/>
      <c r="Y462" s="28" t="str">
        <f t="array" ref="Y462">IF(C459="","",INDEX([1]AB4!X:X,MATCH(A462,[1]AB4!B:B,0)))</f>
        <v>N.A.</v>
      </c>
      <c r="Z462" s="26" t="str">
        <f t="array" ref="Z462">IF(C459="","",INDEX([1]AB4!Y:Y,MATCH(A462,[1]AB4!B:B,0)))</f>
        <v>N.A.</v>
      </c>
      <c r="AA462" s="29"/>
      <c r="AB462" s="30"/>
      <c r="AC462" s="30"/>
    </row>
    <row r="463" spans="1:29" ht="44.25" customHeight="1" thickBot="1" x14ac:dyDescent="0.25">
      <c r="A463" s="18" t="str">
        <f>IF(C459="","",CONCATENATE(C460,[1]AB5!$A$8))</f>
        <v>S14B</v>
      </c>
      <c r="B463" s="50"/>
      <c r="C463" s="176"/>
      <c r="D463" s="66"/>
      <c r="E463" s="60"/>
      <c r="F463" s="61" t="str">
        <f>IF(C459="","",[1]AB5!$G$8)</f>
        <v>SL / TRP</v>
      </c>
      <c r="G463" s="36" t="str">
        <f t="array" ref="G463">IF(C459="","",CONCATENATE(INDEX([1]AB4!AA:AA,MATCH(A463,[1]AB4!B:B,0))," ( ",INDEX([1]AB4!AE:AE,MATCH(A463,[1]AB4!B:B,0)),INDEX([1]AB4!AF:AF,MATCH(A463,[1]AB4!B:B,0)),TEXT(INDEX([1]AB4!AG:AG,MATCH(A463,[1]AB4!B:B,0)),"0.00%")," or ",INDEX([1]AB4!AK:AK,MATCH(A463,[1]AB4!B:B,0)),INDEX([1]AB4!AJ:AJ,MATCH(A463,[1]AB4!B:B,0)),TEXT(INDEX([1]AB4!AL:AL,MATCH(A463,[1]AB4!B:B,0)),"0.00%")," )"))</f>
        <v>Min ( S : Entry + 2.50% or FUT : PRV : 2DHH + 0.40% )</v>
      </c>
      <c r="H463" s="37">
        <f t="array" ref="H463">IF(C459="","",INDEX([1]AB4!AM:AM,MATCH(A463,[1]AB4!B:B,0)))</f>
        <v>5</v>
      </c>
      <c r="I463" s="38"/>
      <c r="J463" s="36" t="str">
        <f t="array" ref="J463">IF(C459="","",CONCATENATE(INDEX([1]AB4!AA:AA,MATCH(A463,[1]AB4!B:B,0))," ( ",INDEX([1]AB4!AE:AE,MATCH(A463,[1]AB4!B:B,0))," or ",INDEX([1]AB4!AN:AN,MATCH(A463,[1]AB4!B:B,0)),INDEX([1]AB4!AJ:AJ,MATCH(A463,[1]AB4!B:B,0)),TEXT(INDEX([1]AB4!AO:AO,MATCH(A463,[1]AB4!B:B,0)),"0.00%")," )"))</f>
        <v>Min ( S : Entry or FUT : PRV : 2DHH + 0.40% )</v>
      </c>
      <c r="K463" s="37">
        <f t="array" ref="K463">IF(C459="","",INDEX([1]AB4!AP:AP,MATCH(A463,[1]AB4!B:B,0)))</f>
        <v>4</v>
      </c>
      <c r="L463" s="38"/>
      <c r="M463" s="36" t="str">
        <f t="array" ref="M463">IF(C459="","",CONCATENATE(INDEX([1]AB4!AA:AA,MATCH(A463,[1]AB4!B:B,0))," ( ",INDEX([1]AB4!AE:AE,MATCH(A463,[1]AB4!B:B,0))," or ",INDEX([1]AB4!AQ:AQ,MATCH(A463,[1]AB4!B:B,0)),INDEX([1]AB4!AJ:AJ,MATCH(A463,[1]AB4!B:B,0)),TEXT(INDEX([1]AB4!AR:AR,MATCH(A463,[1]AB4!B:B,0)),"0.00%")," )"))</f>
        <v>Min ( S : Entry or FUT : PRV : 2DHH + 0.40% )</v>
      </c>
      <c r="N463" s="37">
        <f t="array" ref="N463">IF(C459="","",INDEX([1]AB4!AS:AS,MATCH(A463,[1]AB4!B:B,0)))</f>
        <v>3</v>
      </c>
      <c r="O463" s="38"/>
      <c r="P463" s="36" t="str">
        <f t="array" ref="P463">IF(C459="","",CONCATENATE(INDEX([1]AB4!AA:AA,MATCH(A463,[1]AB4!B:B,0))," ( ",INDEX([1]AB4!AE:AE,MATCH(A463,[1]AB4!B:B,0))," or ",INDEX([1]AB4!AT:AT,MATCH(A463,[1]AB4!B:B,0)),INDEX([1]AB4!AJ:AJ,MATCH(A463,[1]AB4!B:B,0)),TEXT(INDEX([1]AB4!AU:AU,MATCH(A463,[1]AB4!B:B,0)),"0.00%")," )"))</f>
        <v>Min ( S : Entry or FUT : PRV : 2DHH + 0.40% )</v>
      </c>
      <c r="Q463" s="37">
        <f t="array" ref="Q463">IF(C459="","",INDEX([1]AB4!AV:AV,MATCH(A463,[1]AB4!B:B,0)))</f>
        <v>2</v>
      </c>
      <c r="R463" s="38"/>
      <c r="S463" s="36" t="str">
        <f t="array" ref="S463">IF(C459="","",CONCATENATE(INDEX([1]AB4!AA:AA,MATCH(A463,[1]AB4!B:B,0))," ( ",INDEX([1]AB4!AE:AE,MATCH(A463,[1]AB4!B:B,0))," or ",INDEX([1]AB4!AW:AW,MATCH(A463,[1]AB4!B:B,0)),INDEX([1]AB4!AJ:AJ,MATCH(A463,[1]AB4!B:B,0)),TEXT(INDEX([1]AB4!AX:AX,MATCH(A463,[1]AB4!B:B,0)),"0.00%")," )"))</f>
        <v>Min ( S : Entry or FUT : PRV : 2DHH + 0.40% )</v>
      </c>
      <c r="T463" s="37">
        <f t="array" ref="T463">IF(C459="","",INDEX([1]AB4!AY:AY,MATCH(A463,[1]AB4!B:B,0)))</f>
        <v>1</v>
      </c>
      <c r="U463" s="38"/>
      <c r="V463" s="36" t="str">
        <f t="array" ref="V463">IF(C459="","",CONCATENATE(INDEX([1]AB4!AA:AA,MATCH(A463,[1]AB4!B:B,0))," ( ",INDEX([1]AB4!AE:AE,MATCH(A463,[1]AB4!B:B,0))," or ",INDEX([1]AB4!AW:AW,MATCH(A463,[1]AB4!B:B,0)),INDEX([1]AB4!AJ:AJ,MATCH(A463,[1]AB4!B:B,0)),TEXT(INDEX([1]AB4!AX:AX,MATCH(A463,[1]AB4!B:B,0)),"0.00%")," )"))</f>
        <v>Min ( S : Entry or FUT : PRV : 2DHH + 0.40% )</v>
      </c>
      <c r="W463" s="37">
        <f t="array" ref="W463">IF(C459="","",INDEX([1]AB4!AY:AY,MATCH(A463,[1]AB4!B:B,0)))</f>
        <v>1</v>
      </c>
      <c r="X463" s="38"/>
      <c r="Y463" s="40">
        <f t="array" ref="Y463">IF(C459="","",INDEX([1]AB4!AZ:AZ,MATCH(A463,[1]AB4!B:B,0)))</f>
        <v>0</v>
      </c>
      <c r="Z463" s="37">
        <f t="array" ref="Z463">IF(C459="","",INDEX([1]AB4!BB:BB,MATCH(A463,[1]AB4!B:B,0)))</f>
        <v>0</v>
      </c>
      <c r="AA463" s="41"/>
      <c r="AB463" s="30"/>
      <c r="AC463" s="30"/>
    </row>
    <row r="464" spans="1:29" ht="19.5" customHeight="1" thickBot="1" x14ac:dyDescent="0.25">
      <c r="A464" s="18" t="str">
        <f>IF(C459="","",CONCATENATE(C460,[1]AB5!$A$9))</f>
        <v>S14C</v>
      </c>
      <c r="B464" s="31" t="str">
        <f>IF(C459="","",IF([1]AB5!$B$9="","",[1]AB5!$B$9))</f>
        <v>Segment</v>
      </c>
      <c r="C464" s="54" t="str">
        <f t="array" ref="C464">IF(C459="","",INDEX([1]AB2!C:C,MATCH(C459,[1]AB2!A:A,0)))</f>
        <v>FUTURES</v>
      </c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30"/>
      <c r="AC464" s="30"/>
    </row>
    <row r="465" spans="1:29" ht="30.75" customHeight="1" x14ac:dyDescent="0.2">
      <c r="A465" s="18" t="str">
        <f>IF(C459="","",CONCATENATE(C460,[1]AB5!$A$10))</f>
        <v>S14D</v>
      </c>
      <c r="B465" s="31" t="str">
        <f>IF(C459="","",IF([1]AB5!$B$10="","",[1]AB5!$B$10))</f>
        <v>Symbol</v>
      </c>
      <c r="C465" s="54" t="str">
        <f t="array" ref="C465">IF(C459="","",INDEX([1]AB2!E:E,MATCH(C459,[1]AB2!A:A,0)))</f>
        <v>CRUDEOIL</v>
      </c>
      <c r="D465" s="56" t="str">
        <f>IF(C459="","",IF(C459="","",[1]AB5!$D$10))</f>
        <v>BEAR / BEAR CF</v>
      </c>
      <c r="E465" s="57" t="str">
        <f>IF(C459="","",[1]AB5!$F$10)</f>
        <v>BUY</v>
      </c>
      <c r="F465" s="58" t="str">
        <f>IF(C459="","",[1]AB5!$G$10)</f>
        <v>E &amp; T</v>
      </c>
      <c r="G465" s="25" t="str">
        <f t="array" ref="G465">IF(C459="","",CONCATENATE(INDEX([1]AB4!G:G,MATCH(A465,[1]AB4!B:B,0)),INDEX([1]AB4!H:H,MATCH(A465,[1]AB4!B:B,0)),TEXT(INDEX([1]AB4!I:I,MATCH(A465,[1]AB4!B:B,0)),"0.00%")))</f>
        <v>FUT : PRV : 2DHH + 0.40%</v>
      </c>
      <c r="H465" s="26">
        <f t="array" ref="H465">IF(C459="","",INDEX([1]AB4!J:J,MATCH(A465,[1]AB4!B:B,0)))</f>
        <v>5</v>
      </c>
      <c r="I465" s="27"/>
      <c r="J465" s="28" t="str">
        <f t="array" ref="J465">IF(C459="","",CONCATENATE(INDEX([1]AB4!L:L,MATCH(A465,[1]AB4!B:B,0)),INDEX([1]AB4!M:M,MATCH(A465,[1]AB4!B:B,0)),TEXT(INDEX([1]AB4!N:N,MATCH(A465,[1]AB4!B:B,0)),"0.00%")))</f>
        <v>L : Entry  + 2.50%</v>
      </c>
      <c r="K465" s="26">
        <f t="array" ref="K465">IF(C459="","",INDEX([1]AB4!O:O,MATCH(A465,[1]AB4!B:B,0)))</f>
        <v>1</v>
      </c>
      <c r="L465" s="27"/>
      <c r="M465" s="28" t="str">
        <f t="array" ref="M465">IF(C459="","",CONCATENATE(INDEX([1]AB4!L:L,MATCH(A465,[1]AB4!B:B,0)),INDEX([1]AB4!M:M,MATCH(A465,[1]AB4!B:B,0)),TEXT(INDEX([1]AB4!P:P,MATCH(A465,[1]AB4!B:B,0)),"0.00%")))</f>
        <v>L : Entry  + 3.50%</v>
      </c>
      <c r="N465" s="26">
        <f t="array" ref="N465">IF(C459="","",INDEX([1]AB4!Q:Q,MATCH(A465,[1]AB4!B:B,0)))</f>
        <v>1</v>
      </c>
      <c r="O465" s="27"/>
      <c r="P465" s="28" t="str">
        <f t="array" ref="P465">IF(C459="","",CONCATENATE(INDEX([1]AB4!L:L,MATCH(A465,[1]AB4!B:B,0)),INDEX([1]AB4!M:M,MATCH(A465,[1]AB4!B:B,0)),TEXT(INDEX([1]AB4!R:R,MATCH(A465,[1]AB4!B:B,0)),"0.00%")))</f>
        <v>L : Entry  + 4.50%</v>
      </c>
      <c r="Q465" s="26">
        <f t="array" ref="Q465">IF(C459="","",INDEX([1]AB4!S:S,MATCH(A465,[1]AB4!B:B,0)))</f>
        <v>1</v>
      </c>
      <c r="R465" s="27"/>
      <c r="S465" s="28" t="str">
        <f t="array" ref="S465">IF(C459="","",CONCATENATE(INDEX([1]AB4!L:L,MATCH(A465,[1]AB4!B:B,0)),INDEX([1]AB4!M:M,MATCH(A465,[1]AB4!B:B,0)),TEXT(INDEX([1]AB4!T:T,MATCH(A465,[1]AB4!B:B,0)),"0.00%")))</f>
        <v>L : Entry  + 5.50%</v>
      </c>
      <c r="T465" s="26">
        <f t="array" ref="T465">IF(C459="","",INDEX([1]AB4!U:U,MATCH(A465,[1]AB4!B:B,0)))</f>
        <v>1</v>
      </c>
      <c r="U465" s="27"/>
      <c r="V465" s="28" t="str">
        <f t="array" ref="V465">IF(C459="","",INDEX([1]AB4!V:V,MATCH(A465,[1]AB4!B:B,0)))</f>
        <v>TR PROFIT AFTER TGT 4</v>
      </c>
      <c r="W465" s="26">
        <f t="array" ref="W465">IF(C459="","",INDEX([1]AB4!W:W,MATCH(A465,[1]AB4!B:B,0)))</f>
        <v>1</v>
      </c>
      <c r="X465" s="27"/>
      <c r="Y465" s="28" t="str">
        <f t="array" ref="Y465">IF(C459="","",INDEX([1]AB4!X:X,MATCH(A465,[1]AB4!B:B,0)))</f>
        <v>N.A.</v>
      </c>
      <c r="Z465" s="26" t="str">
        <f t="array" ref="Z465">IF(C459="","",INDEX([1]AB4!Y:Y,MATCH(A465,[1]AB4!B:B,0)))</f>
        <v>N.A.</v>
      </c>
      <c r="AA465" s="29"/>
      <c r="AB465" s="30"/>
      <c r="AC465" s="30"/>
    </row>
    <row r="466" spans="1:29" ht="44.25" customHeight="1" thickBot="1" x14ac:dyDescent="0.25">
      <c r="A466" s="18" t="str">
        <f>IF(C459="","",CONCATENATE(C460,[1]AB5!$A$11))</f>
        <v>S14D</v>
      </c>
      <c r="B466" s="31" t="str">
        <f>IF(C459="","",IF([1]AB5!$B$11="","",[1]AB5!$B$11))</f>
        <v>No. of TGT</v>
      </c>
      <c r="C466" s="54" t="str">
        <f t="array" ref="C466">IF(C459="","",INDEX([1]AB2!K:K,MATCH(C459,[1]AB2!A:A,0)))</f>
        <v>4 &amp; APS</v>
      </c>
      <c r="D466" s="59"/>
      <c r="E466" s="60"/>
      <c r="F466" s="61" t="str">
        <f>IF(C459="","",[1]AB5!$G$11)</f>
        <v>SL / TRP</v>
      </c>
      <c r="G466" s="36" t="str">
        <f t="array" ref="G466">IF(C459="","",CONCATENATE(INDEX([1]AB4!AA:AA,MATCH(A466,[1]AB4!B:B,0))," ( ",INDEX([1]AB4!AE:AE,MATCH(A466,[1]AB4!B:B,0)),INDEX([1]AB4!AF:AF,MATCH(A466,[1]AB4!B:B,0)),TEXT(INDEX([1]AB4!AG:AG,MATCH(A466,[1]AB4!B:B,0)),"0.00%")," or ",INDEX([1]AB4!AK:AK,MATCH(A466,[1]AB4!B:B,0)),INDEX([1]AB4!AJ:AJ,MATCH(A466,[1]AB4!B:B,0)),TEXT(INDEX([1]AB4!AL:AL,MATCH(A466,[1]AB4!B:B,0)),"0.00%")," )"))</f>
        <v>Max ( L : Entry - 2.50% or FUT : PRV : 2DLL - 0.40% )</v>
      </c>
      <c r="H466" s="37">
        <f t="array" ref="H466">IF(C459="","",INDEX([1]AB4!AM:AM,MATCH(A466,[1]AB4!B:B,0)))</f>
        <v>5</v>
      </c>
      <c r="I466" s="38"/>
      <c r="J466" s="36" t="str">
        <f t="array" ref="J466">IF(C459="","",CONCATENATE(INDEX([1]AB4!AA:AA,MATCH(A466,[1]AB4!B:B,0))," ( ",INDEX([1]AB4!AE:AE,MATCH(A466,[1]AB4!B:B,0))," or ",INDEX([1]AB4!AN:AN,MATCH(A466,[1]AB4!B:B,0)),INDEX([1]AB4!AJ:AJ,MATCH(A466,[1]AB4!B:B,0)),TEXT(INDEX([1]AB4!AO:AO,MATCH(A466,[1]AB4!B:B,0)),"0.00%")," )"))</f>
        <v>Max ( L : Entry or FUT : PRV : 2DLL - 0.40% )</v>
      </c>
      <c r="K466" s="37">
        <f t="array" ref="K466">IF(C459="","",INDEX([1]AB4!AP:AP,MATCH(A466,[1]AB4!B:B,0)))</f>
        <v>4</v>
      </c>
      <c r="L466" s="38"/>
      <c r="M466" s="36" t="str">
        <f t="array" ref="M466">IF(C459="","",CONCATENATE(INDEX([1]AB4!AA:AA,MATCH(A466,[1]AB4!B:B,0))," ( ",INDEX([1]AB4!AE:AE,MATCH(A466,[1]AB4!B:B,0))," or ",INDEX([1]AB4!AQ:AQ,MATCH(A466,[1]AB4!B:B,0)),INDEX([1]AB4!AJ:AJ,MATCH(A466,[1]AB4!B:B,0)),TEXT(INDEX([1]AB4!AR:AR,MATCH(A466,[1]AB4!B:B,0)),"0.00%")," )"))</f>
        <v>Max ( L : Entry or FUT : PRV : 2DLL - 0.40% )</v>
      </c>
      <c r="N466" s="37">
        <f t="array" ref="N466">IF(C459="","",INDEX([1]AB4!AS:AS,MATCH(A466,[1]AB4!B:B,0)))</f>
        <v>3</v>
      </c>
      <c r="O466" s="38"/>
      <c r="P466" s="36" t="str">
        <f t="array" ref="P466">IF(C459="","",CONCATENATE(INDEX([1]AB4!AA:AA,MATCH(A466,[1]AB4!B:B,0))," ( ",INDEX([1]AB4!AE:AE,MATCH(A466,[1]AB4!B:B,0))," or ",INDEX([1]AB4!AT:AT,MATCH(A466,[1]AB4!B:B,0)),INDEX([1]AB4!AJ:AJ,MATCH(A466,[1]AB4!B:B,0)),TEXT(INDEX([1]AB4!AU:AU,MATCH(A466,[1]AB4!B:B,0)),"0.00%")," )"))</f>
        <v>Max ( L : Entry or FUT : PRV : 2DLL - 0.40% )</v>
      </c>
      <c r="Q466" s="37">
        <f t="array" ref="Q466">IF(C459="","",INDEX([1]AB4!AV:AV,MATCH(A466,[1]AB4!B:B,0)))</f>
        <v>2</v>
      </c>
      <c r="R466" s="38"/>
      <c r="S466" s="36" t="str">
        <f t="array" ref="S466">IF(C459="","",CONCATENATE(INDEX([1]AB4!AA:AA,MATCH(A466,[1]AB4!B:B,0))," ( ",INDEX([1]AB4!AE:AE,MATCH(A466,[1]AB4!B:B,0))," or ",INDEX([1]AB4!AW:AW,MATCH(A466,[1]AB4!B:B,0)),INDEX([1]AB4!AJ:AJ,MATCH(A466,[1]AB4!B:B,0)),TEXT(INDEX([1]AB4!AX:AX,MATCH(A466,[1]AB4!B:B,0)),"0.00%")," )"))</f>
        <v>Max ( L : Entry or FUT : PRV : 2DLL - 0.40% )</v>
      </c>
      <c r="T466" s="37">
        <f t="array" ref="T466">IF(C459="","",INDEX([1]AB4!AY:AY,MATCH(A466,[1]AB4!B:B,0)))</f>
        <v>1</v>
      </c>
      <c r="U466" s="38"/>
      <c r="V466" s="36" t="str">
        <f t="array" ref="V466">IF(C459="","",CONCATENATE(INDEX([1]AB4!AA:AA,MATCH(A466,[1]AB4!B:B,0))," ( ",INDEX([1]AB4!AE:AE,MATCH(A466,[1]AB4!B:B,0))," or ",INDEX([1]AB4!AW:AW,MATCH(A466,[1]AB4!B:B,0)),INDEX([1]AB4!AJ:AJ,MATCH(A466,[1]AB4!B:B,0)),TEXT(INDEX([1]AB4!AX:AX,MATCH(A466,[1]AB4!B:B,0)),"0.00%")," )"))</f>
        <v>Max ( L : Entry or FUT : PRV : 2DLL - 0.40% )</v>
      </c>
      <c r="W466" s="37">
        <f t="array" ref="W466">IF(C459="","",INDEX([1]AB4!AY:AY,MATCH(A466,[1]AB4!B:B,0)))</f>
        <v>1</v>
      </c>
      <c r="X466" s="38"/>
      <c r="Y466" s="40">
        <f t="array" ref="Y466">IF(C459="","",INDEX([1]AB4!AZ:AZ,MATCH(A466,[1]AB4!B:B,0)))</f>
        <v>0</v>
      </c>
      <c r="Z466" s="37">
        <f t="array" ref="Z466">IF(C459="","",INDEX([1]AB4!BB:BB,MATCH(A466,[1]AB4!B:B,0)))</f>
        <v>0</v>
      </c>
      <c r="AA466" s="41"/>
      <c r="AB466" s="30"/>
      <c r="AC466" s="30"/>
    </row>
    <row r="467" spans="1:29" ht="6" customHeight="1" thickBot="1" x14ac:dyDescent="0.25">
      <c r="A467" s="18" t="str">
        <f>IF(C459="","",CONCATENATE(C460,[1]AB5!A477))</f>
        <v>S14</v>
      </c>
      <c r="B467" s="62" t="str">
        <f>IF(C459="","",IF([1]AB5!$B$12="","",[1]AB5!$B$12))</f>
        <v>Stay Blessed !!!</v>
      </c>
      <c r="C467" s="63"/>
      <c r="D467" s="59"/>
      <c r="E467" s="44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6"/>
      <c r="AB467" s="30"/>
      <c r="AC467" s="30"/>
    </row>
    <row r="468" spans="1:29" ht="30.75" customHeight="1" x14ac:dyDescent="0.2">
      <c r="A468" s="18" t="str">
        <f>IF(C459="","",CONCATENATE(C460,[1]AB5!$A$13))</f>
        <v>S14E</v>
      </c>
      <c r="B468" s="64"/>
      <c r="C468" s="59"/>
      <c r="D468" s="59"/>
      <c r="E468" s="65" t="str">
        <f>IF(C459="","",[1]AB5!$F$13)</f>
        <v>SELL</v>
      </c>
      <c r="F468" s="58" t="str">
        <f>IF(C459="","",[1]AB5!$G$13)</f>
        <v>E &amp; T</v>
      </c>
      <c r="G468" s="25" t="str">
        <f t="array" ref="G468">IF(C459="","",CONCATENATE(INDEX([1]AB4!G:G,MATCH(A468,[1]AB4!B:B,0)),INDEX([1]AB4!H:H,MATCH(A468,[1]AB4!B:B,0)),TEXT(INDEX([1]AB4!I:I,MATCH(A468,[1]AB4!B:B,0)),"0.00%")))</f>
        <v>FUT : PRV : 2DLL - 0.40%</v>
      </c>
      <c r="H468" s="26">
        <f t="array" ref="H468">IF(C459="","",INDEX([1]AB4!J:J,MATCH(A468,[1]AB4!B:B,0)))</f>
        <v>5</v>
      </c>
      <c r="I468" s="27"/>
      <c r="J468" s="28" t="str">
        <f t="array" ref="J468">IF(C459="","",CONCATENATE(INDEX([1]AB4!L:L,MATCH(A468,[1]AB4!B:B,0)),INDEX([1]AB4!M:M,MATCH(A468,[1]AB4!B:B,0)),TEXT(INDEX([1]AB4!N:N,MATCH(A468,[1]AB4!B:B,0)),"0.00%")))</f>
        <v>S : Entry  - 2.50%</v>
      </c>
      <c r="K468" s="26">
        <f t="array" ref="K468">IF(C459="","",INDEX([1]AB4!O:O,MATCH(A468,[1]AB4!B:B,0)))</f>
        <v>1</v>
      </c>
      <c r="L468" s="27"/>
      <c r="M468" s="28" t="str">
        <f t="array" ref="M468">IF(C459="","",CONCATENATE(INDEX([1]AB4!L:L,MATCH(A468,[1]AB4!B:B,0)),INDEX([1]AB4!M:M,MATCH(A468,[1]AB4!B:B,0)),TEXT(INDEX([1]AB4!P:P,MATCH(A468,[1]AB4!B:B,0)),"0.00%")))</f>
        <v>S : Entry  - 3.50%</v>
      </c>
      <c r="N468" s="26">
        <f t="array" ref="N468">IF(C459="","",INDEX([1]AB4!Q:Q,MATCH(A468,[1]AB4!B:B,0)))</f>
        <v>1</v>
      </c>
      <c r="O468" s="27"/>
      <c r="P468" s="28" t="str">
        <f t="array" ref="P468">IF(C459="","",CONCATENATE(INDEX([1]AB4!L:L,MATCH(A468,[1]AB4!B:B,0)),INDEX([1]AB4!M:M,MATCH(A468,[1]AB4!B:B,0)),TEXT(INDEX([1]AB4!R:R,MATCH(A468,[1]AB4!B:B,0)),"0.00%")))</f>
        <v>S : Entry  - 4.50%</v>
      </c>
      <c r="Q468" s="26">
        <f t="array" ref="Q468">IF(C459="","",INDEX([1]AB4!S:S,MATCH(A468,[1]AB4!B:B,0)))</f>
        <v>1</v>
      </c>
      <c r="R468" s="27"/>
      <c r="S468" s="28" t="str">
        <f t="array" ref="S468">IF(C459="","",CONCATENATE(INDEX([1]AB4!L:L,MATCH(A468,[1]AB4!B:B,0)),INDEX([1]AB4!M:M,MATCH(A468,[1]AB4!B:B,0)),TEXT(INDEX([1]AB4!T:T,MATCH(A468,[1]AB4!B:B,0)),"0.00%")))</f>
        <v>S : Entry  - 5.50%</v>
      </c>
      <c r="T468" s="26">
        <f t="array" ref="T468">IF(C459="","",INDEX([1]AB4!U:U,MATCH(A468,[1]AB4!B:B,0)))</f>
        <v>1</v>
      </c>
      <c r="U468" s="27"/>
      <c r="V468" s="28" t="str">
        <f t="array" ref="V468">IF(C459="","",INDEX([1]AB4!V:V,MATCH(A468,[1]AB4!B:B,0)))</f>
        <v>TR PROFIT AFTER TGT 4</v>
      </c>
      <c r="W468" s="26">
        <f t="array" ref="W468">IF(C459="","",INDEX([1]AB4!W:W,MATCH(A468,[1]AB4!B:B,0)))</f>
        <v>1</v>
      </c>
      <c r="X468" s="27"/>
      <c r="Y468" s="28" t="str">
        <f t="array" ref="Y468">IF(C459="","",INDEX([1]AB4!X:X,MATCH(A468,[1]AB4!B:B,0)))</f>
        <v>N.A.</v>
      </c>
      <c r="Z468" s="26" t="str">
        <f t="array" ref="Z468">IF(C459="","",INDEX([1]AB4!Y:Y,MATCH(A468,[1]AB4!B:B,0)))</f>
        <v>N.A.</v>
      </c>
      <c r="AA468" s="29"/>
      <c r="AB468" s="30"/>
      <c r="AC468" s="30"/>
    </row>
    <row r="469" spans="1:29" ht="44.25" customHeight="1" thickBot="1" x14ac:dyDescent="0.25">
      <c r="A469" s="18" t="str">
        <f>IF(C459="","",CONCATENATE(C460,[1]AB5!$A$14))</f>
        <v>S14E</v>
      </c>
      <c r="B469" s="60"/>
      <c r="C469" s="66"/>
      <c r="D469" s="66"/>
      <c r="E469" s="60"/>
      <c r="F469" s="61" t="str">
        <f>IF(C459="","",[1]AB5!$G$14)</f>
        <v>SL / TRP</v>
      </c>
      <c r="G469" s="36" t="str">
        <f t="array" ref="G469">IF(C459="","",CONCATENATE(INDEX([1]AB4!AA:AA,MATCH(A469,[1]AB4!B:B,0))," ( ",INDEX([1]AB4!AE:AE,MATCH(A469,[1]AB4!B:B,0)),INDEX([1]AB4!AF:AF,MATCH(A469,[1]AB4!B:B,0)),TEXT(INDEX([1]AB4!AG:AG,MATCH(A469,[1]AB4!B:B,0)),"0.00%")," or ",INDEX([1]AB4!AK:AK,MATCH(A469,[1]AB4!B:B,0)),INDEX([1]AB4!AJ:AJ,MATCH(A469,[1]AB4!B:B,0)),TEXT(INDEX([1]AB4!AL:AL,MATCH(A469,[1]AB4!B:B,0)),"0.00%")," )"))</f>
        <v>Min ( S : Entry + 2.50% or FUT : PRV : 2DHH + 0.40% )</v>
      </c>
      <c r="H469" s="37">
        <f t="array" ref="H469">IF(C459="","",INDEX([1]AB4!AM:AM,MATCH(A469,[1]AB4!B:B,0)))</f>
        <v>5</v>
      </c>
      <c r="I469" s="38"/>
      <c r="J469" s="36" t="str">
        <f t="array" ref="J469">IF(C459="","",CONCATENATE(INDEX([1]AB4!AA:AA,MATCH(A469,[1]AB4!B:B,0))," ( ",INDEX([1]AB4!AE:AE,MATCH(A469,[1]AB4!B:B,0))," or ",INDEX([1]AB4!AN:AN,MATCH(A469,[1]AB4!B:B,0)),INDEX([1]AB4!AJ:AJ,MATCH(A469,[1]AB4!B:B,0)),TEXT(INDEX([1]AB4!AO:AO,MATCH(A469,[1]AB4!B:B,0)),"0.00%")," )"))</f>
        <v>Min ( S : Entry or FUT : PRV : 2DHH + 0.40% )</v>
      </c>
      <c r="K469" s="37">
        <f t="array" ref="K469">IF(C459="","",INDEX([1]AB4!AP:AP,MATCH(A469,[1]AB4!B:B,0)))</f>
        <v>4</v>
      </c>
      <c r="L469" s="38"/>
      <c r="M469" s="36" t="str">
        <f t="array" ref="M469">IF(C459="","",CONCATENATE(INDEX([1]AB4!AA:AA,MATCH(A469,[1]AB4!B:B,0))," ( ",INDEX([1]AB4!AE:AE,MATCH(A469,[1]AB4!B:B,0))," or ",INDEX([1]AB4!AQ:AQ,MATCH(A469,[1]AB4!B:B,0)),INDEX([1]AB4!AJ:AJ,MATCH(A469,[1]AB4!B:B,0)),TEXT(INDEX([1]AB4!AR:AR,MATCH(A469,[1]AB4!B:B,0)),"0.00%")," )"))</f>
        <v>Min ( S : Entry or FUT : PRV : 2DHH + 0.40% )</v>
      </c>
      <c r="N469" s="37">
        <f t="array" ref="N469">IF(C459="","",INDEX([1]AB4!AS:AS,MATCH(A469,[1]AB4!B:B,0)))</f>
        <v>3</v>
      </c>
      <c r="O469" s="38"/>
      <c r="P469" s="36" t="str">
        <f t="array" ref="P469">IF(C459="","",CONCATENATE(INDEX([1]AB4!AA:AA,MATCH(A469,[1]AB4!B:B,0))," ( ",INDEX([1]AB4!AE:AE,MATCH(A469,[1]AB4!B:B,0))," or ",INDEX([1]AB4!AT:AT,MATCH(A469,[1]AB4!B:B,0)),INDEX([1]AB4!AJ:AJ,MATCH(A469,[1]AB4!B:B,0)),TEXT(INDEX([1]AB4!AU:AU,MATCH(A469,[1]AB4!B:B,0)),"0.00%")," )"))</f>
        <v>Min ( S : Entry or FUT : PRV : 2DHH + 0.40% )</v>
      </c>
      <c r="Q469" s="37">
        <f t="array" ref="Q469">IF(C459="","",INDEX([1]AB4!AV:AV,MATCH(A469,[1]AB4!B:B,0)))</f>
        <v>2</v>
      </c>
      <c r="R469" s="38"/>
      <c r="S469" s="36" t="str">
        <f t="array" ref="S469">IF(C459="","",CONCATENATE(INDEX([1]AB4!AA:AA,MATCH(A469,[1]AB4!B:B,0))," ( ",INDEX([1]AB4!AE:AE,MATCH(A469,[1]AB4!B:B,0))," or ",INDEX([1]AB4!AW:AW,MATCH(A469,[1]AB4!B:B,0)),INDEX([1]AB4!AJ:AJ,MATCH(A469,[1]AB4!B:B,0)),TEXT(INDEX([1]AB4!AX:AX,MATCH(A469,[1]AB4!B:B,0)),"0.00%")," )"))</f>
        <v>Min ( S : Entry or FUT : PRV : 2DHH + 0.40% )</v>
      </c>
      <c r="T469" s="37">
        <f t="array" ref="T469">IF(C459="","",INDEX([1]AB4!AY:AY,MATCH(A469,[1]AB4!B:B,0)))</f>
        <v>1</v>
      </c>
      <c r="U469" s="38"/>
      <c r="V469" s="36" t="str">
        <f t="array" ref="V469">IF(C459="","",CONCATENATE(INDEX([1]AB4!AA:AA,MATCH(A469,[1]AB4!B:B,0))," ( ",INDEX([1]AB4!AE:AE,MATCH(A469,[1]AB4!B:B,0))," or ",INDEX([1]AB4!AW:AW,MATCH(A469,[1]AB4!B:B,0)),INDEX([1]AB4!AJ:AJ,MATCH(A469,[1]AB4!B:B,0)),TEXT(INDEX([1]AB4!AX:AX,MATCH(A469,[1]AB4!B:B,0)),"0.00%")," )"))</f>
        <v>Min ( S : Entry or FUT : PRV : 2DHH + 0.40% )</v>
      </c>
      <c r="W469" s="37">
        <f t="array" ref="W469">IF(C459="","",INDEX([1]AB4!AY:AY,MATCH(A469,[1]AB4!B:B,0)))</f>
        <v>1</v>
      </c>
      <c r="X469" s="38"/>
      <c r="Y469" s="40">
        <f t="array" ref="Y469">IF(C459="","",INDEX([1]AB4!AZ:AZ,MATCH(A469,[1]AB4!B:B,0)))</f>
        <v>0</v>
      </c>
      <c r="Z469" s="37">
        <f t="array" ref="Z469">IF(C459="","",INDEX([1]AB4!BB:BB,MATCH(A469,[1]AB4!B:B,0)))</f>
        <v>0</v>
      </c>
      <c r="AA469" s="41"/>
      <c r="AB469" s="30"/>
      <c r="AC469" s="30"/>
    </row>
    <row r="470" spans="1:29" ht="6" customHeight="1" thickBot="1" x14ac:dyDescent="0.25">
      <c r="A470" s="18"/>
      <c r="B470" s="55"/>
      <c r="C470" s="55"/>
      <c r="D470" s="55"/>
      <c r="E470" s="30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30"/>
      <c r="AA470" s="30"/>
      <c r="AB470" s="68"/>
      <c r="AC470" s="68"/>
    </row>
    <row r="471" spans="1:29" ht="21.75" customHeight="1" x14ac:dyDescent="0.2">
      <c r="A471" s="18"/>
      <c r="B471" s="69" t="str">
        <f>IF(C459="","",[1]AB5!$B$16)</f>
        <v>For Entry</v>
      </c>
      <c r="C471" s="29"/>
      <c r="D471" s="70" t="str">
        <f>IF(C459="","",[1]AB5!$D$16)</f>
        <v>Gap Check</v>
      </c>
      <c r="E471" s="71"/>
      <c r="F471" s="70" t="str">
        <f>IF(C459="","",[1]AB5!$G$16)</f>
        <v>Process</v>
      </c>
      <c r="G471" s="72"/>
      <c r="H471" s="73" t="str">
        <f>IF(C459="","",[1]AB5!$I$16)</f>
        <v>Y / N</v>
      </c>
      <c r="I471" s="72"/>
      <c r="J471" s="74" t="str">
        <f>IF(C459="","",[1]AB5!$K$16)</f>
        <v>Order Status</v>
      </c>
      <c r="K471" s="75" t="str">
        <f>IF(C459="","",[1]AB5!$L$16)</f>
        <v>Step 1</v>
      </c>
      <c r="L471" s="76"/>
      <c r="M471" s="76"/>
      <c r="N471" s="72"/>
      <c r="O471" s="73" t="str">
        <f>IF(C459="","",[1]AB5!$P$16)</f>
        <v>Order Placement Timings</v>
      </c>
      <c r="P471" s="72"/>
      <c r="Q471" s="73" t="str">
        <f>IF(C459="","",[1]AB5!$R$16)</f>
        <v>Time</v>
      </c>
      <c r="R471" s="72"/>
      <c r="S471" s="75" t="str">
        <f>IF(C459="","",[1]AB5!$T$16)</f>
        <v>Rules For Gaps</v>
      </c>
      <c r="T471" s="76"/>
      <c r="U471" s="72"/>
      <c r="V471" s="74" t="str">
        <f>IF(C459="","",[1]AB5!$W$16)</f>
        <v>Data</v>
      </c>
      <c r="W471" s="73" t="str">
        <f>IF(C459="","",[1]AB5!$X$16)</f>
        <v>Buffer</v>
      </c>
      <c r="X471" s="71"/>
      <c r="Y471" s="77" t="str">
        <f>IF(C459="","",[1]AB5!$AA$16)</f>
        <v>Rules For Re Entry</v>
      </c>
      <c r="Z471" s="76"/>
      <c r="AA471" s="71"/>
      <c r="AB471" s="78"/>
      <c r="AC471" s="78"/>
    </row>
    <row r="472" spans="1:29" ht="31.5" customHeight="1" x14ac:dyDescent="0.2">
      <c r="A472" s="18" t="str">
        <f>IF(C459="","",CONCATENATE(C460,[1]AB5!$A$17))</f>
        <v>S14A</v>
      </c>
      <c r="B472" s="79" t="str">
        <f>IF(C459="","",[1]AB5!$B$17)</f>
        <v xml:space="preserve">ORPT </v>
      </c>
      <c r="C472" s="80" t="str">
        <f>IF(C459="","",[1]AB5!$C$17)</f>
        <v xml:space="preserve"> RC. Time</v>
      </c>
      <c r="D472" s="81" t="str">
        <f>IF(C459="","",[1]AB5!$D$17)</f>
        <v>For Long Entry</v>
      </c>
      <c r="E472" s="63"/>
      <c r="F472" s="82" t="str">
        <f>IF(C459="","",CONCATENATE([1]AB5!$G$17,TEXT(B473,"HH:MM:SS AM/PM"),[1]AB5!$B$18,[1]AB5!$H$17))</f>
        <v>Check If  09:04:59 AM HH &gt; Long Entry</v>
      </c>
      <c r="G472" s="83"/>
      <c r="H472" s="84" t="str">
        <f>IF(C459="","",[1]AB5!$I$17)</f>
        <v>No</v>
      </c>
      <c r="I472" s="85"/>
      <c r="J472" s="86" t="str">
        <f>IF(C459="","",[1]AB5!$K$17)</f>
        <v>Entry Not Missed</v>
      </c>
      <c r="K472" s="87" t="str">
        <f>IF(C459="","",[1]AB5!$L$17)</f>
        <v>Place the Order at ORPT</v>
      </c>
      <c r="L472" s="88"/>
      <c r="M472" s="88"/>
      <c r="N472" s="85"/>
      <c r="O472" s="87" t="str">
        <f>IF(C459="","",[1]AB5!$P$17)</f>
        <v>ORPT Time</v>
      </c>
      <c r="P472" s="85"/>
      <c r="Q472" s="89">
        <f>IF(C459="","",B473)</f>
        <v>0.37846527777777778</v>
      </c>
      <c r="R472" s="85"/>
      <c r="S472" s="87" t="str">
        <f>IF(C459="","",[1]AB5!$T$17)</f>
        <v>N.A.</v>
      </c>
      <c r="T472" s="88"/>
      <c r="U472" s="85"/>
      <c r="V472" s="86" t="str">
        <f>IF(C459="","",[1]AB5!$W$17)</f>
        <v>N.A.</v>
      </c>
      <c r="W472" s="90" t="str">
        <f>IF(C459="","",[1]AB5!$X$17)</f>
        <v>N.A.</v>
      </c>
      <c r="X472" s="91"/>
      <c r="Y472" s="92" t="str">
        <f>IF(C459="","",[1]AB5!$AA$17)</f>
        <v xml:space="preserve">Long Entry : Bull/ Bull CF : </v>
      </c>
      <c r="Z472" s="88"/>
      <c r="AA472" s="91"/>
      <c r="AB472" s="68"/>
      <c r="AC472" s="68"/>
    </row>
    <row r="473" spans="1:29" ht="31.5" customHeight="1" x14ac:dyDescent="0.2">
      <c r="A473" s="18" t="str">
        <f>IF(C459="","",CONCATENATE(C460,[1]AB5!$A$18))</f>
        <v>S14B</v>
      </c>
      <c r="B473" s="93">
        <f t="array" ref="B473">IF(C459="","",INDEX([1]AB4!BE:BE,MATCH(A472,[1]AB4!B:B,0)))</f>
        <v>0.37846527777777778</v>
      </c>
      <c r="C473" s="94">
        <f t="array" ref="C473">IF(C459="","",INDEX([1]AB4!BE:BE,MATCH(A473,[1]AB4!B:B,0)))</f>
        <v>0.38540972222222225</v>
      </c>
      <c r="D473" s="64"/>
      <c r="E473" s="59"/>
      <c r="F473" s="64"/>
      <c r="G473" s="95"/>
      <c r="H473" s="96" t="str">
        <f>IF(C459="","",[1]AB5!$I$18)</f>
        <v>Yes</v>
      </c>
      <c r="I473" s="83"/>
      <c r="J473" s="97" t="str">
        <f>IF(C459="","",[1]AB5!$K$18)</f>
        <v>Entry Missed</v>
      </c>
      <c r="K473" s="87" t="str">
        <f>IF(C459="","",[1]AB5!$L$18)</f>
        <v>Recalcuate : Long Entry : Bull / Bull CF</v>
      </c>
      <c r="L473" s="88"/>
      <c r="M473" s="88"/>
      <c r="N473" s="85"/>
      <c r="O473" s="87" t="str">
        <f>IF(C459="","",[1]AB5!$P$18)</f>
        <v>Wait Till Recalculation Time</v>
      </c>
      <c r="P473" s="85"/>
      <c r="Q473" s="89">
        <f>IF(C459="","",C473)</f>
        <v>0.38540972222222225</v>
      </c>
      <c r="R473" s="85"/>
      <c r="S473" s="98" t="str">
        <f>IF(C459="","",CONCATENATE(V473," ",[1]AB5!$Z$18," ",TEXT(W473,"0.00%")))</f>
        <v>09:14:59 AM HH + 0.40%</v>
      </c>
      <c r="T473" s="88"/>
      <c r="U473" s="85"/>
      <c r="V473" s="99" t="str">
        <f>IF(C459="","",CONCATENATE(TEXT(Q473,"HH:MM:SS AM/PM"),[1]AB5!$U$18))</f>
        <v>09:14:59 AM HH</v>
      </c>
      <c r="W473" s="100" t="str">
        <f t="array" ref="W473">IF(A459="","",TEXT(INDEX([1]AB4!BK:BK,MATCH(A460,[1]AB4!B:B,0)),"0.00%"))</f>
        <v>0.40%</v>
      </c>
      <c r="X473" s="91"/>
      <c r="Y473" s="101" t="str">
        <f>IF(C459="","",CONCATENATE([1]AB5!$T$18," ( ",G459," or ",[1]AB5!$AA$18," ",[1]AB5!$Z$18," ",TEXT(W473,"0.00%")," )"))</f>
        <v>Max ( FUT : PRV : 2DHH + 0.40% or  CDHH + 0.40% )</v>
      </c>
      <c r="Z473" s="88"/>
      <c r="AA473" s="91"/>
      <c r="AB473" s="68"/>
      <c r="AC473" s="68"/>
    </row>
    <row r="474" spans="1:29" ht="31.5" customHeight="1" thickBot="1" x14ac:dyDescent="0.25">
      <c r="A474" s="18"/>
      <c r="B474" s="34"/>
      <c r="C474" s="102"/>
      <c r="D474" s="103"/>
      <c r="E474" s="104"/>
      <c r="F474" s="103"/>
      <c r="G474" s="105"/>
      <c r="H474" s="51"/>
      <c r="I474" s="105"/>
      <c r="J474" s="53"/>
      <c r="K474" s="87" t="str">
        <f>IF(C459="","",[1]AB5!$L$19)</f>
        <v>Recalcuate : Long Entry : Bear / Bear CF</v>
      </c>
      <c r="L474" s="88"/>
      <c r="M474" s="88"/>
      <c r="N474" s="85"/>
      <c r="O474" s="87" t="str">
        <f>IF(C459="","",[1]AB5!$P$19)</f>
        <v>Wait Till Recalculation Time</v>
      </c>
      <c r="P474" s="85"/>
      <c r="Q474" s="89">
        <f>IF(C459="","",C473)</f>
        <v>0.38540972222222225</v>
      </c>
      <c r="R474" s="85"/>
      <c r="S474" s="98" t="str">
        <f>IF(C459="","",CONCATENATE(V474," ",[1]AB5!$Z$19," ",TEXT(W474,"0.00%"),))</f>
        <v>09:14:59 AM HH + 0.40%</v>
      </c>
      <c r="T474" s="88"/>
      <c r="U474" s="85"/>
      <c r="V474" s="99" t="str">
        <f>IF(C459="","",CONCATENATE(TEXT(Q474,"HH:MM:SS AM/PM"),[1]AB5!$U$19))</f>
        <v>09:14:59 AM HH</v>
      </c>
      <c r="W474" s="100" t="str">
        <f t="array" ref="W474">IF(C459="","",TEXT(INDEX([1]AB4!BK:BK,MATCH(A465,[1]AB4!B:B,0)),"0.00%"))</f>
        <v>0.40%</v>
      </c>
      <c r="X474" s="91"/>
      <c r="Y474" s="106" t="str">
        <f>IF(C459="","",[1]AB5!$AA$19)</f>
        <v xml:space="preserve">Long Entry : Bear/ Bear CF : </v>
      </c>
      <c r="Z474" s="88"/>
      <c r="AA474" s="91"/>
      <c r="AB474" s="68"/>
      <c r="AC474" s="68"/>
    </row>
    <row r="475" spans="1:29" ht="31.5" customHeight="1" x14ac:dyDescent="0.2">
      <c r="A475" s="18"/>
      <c r="B475" s="69" t="str">
        <f>IF(C459="","",[1]AB5!$B$20)</f>
        <v>For SL (Position = Open)</v>
      </c>
      <c r="C475" s="29"/>
      <c r="D475" s="107" t="str">
        <f>IF(C459="","",[1]AB5!$D$20)</f>
        <v>For Short Entry</v>
      </c>
      <c r="E475" s="63"/>
      <c r="F475" s="82" t="str">
        <f>IF(C459="","",CONCATENATE([1]AB5!$G$20,TEXT(B473,"HH:MM:SS AM/PM"),[1]AB5!$B$18,[1]AB5!$H$20))</f>
        <v>Check If  09:04:59 AM LL &lt; Short Entry</v>
      </c>
      <c r="G475" s="83"/>
      <c r="H475" s="108" t="str">
        <f>IF(C459="","",[1]AB5!$I$20)</f>
        <v>No</v>
      </c>
      <c r="I475" s="85"/>
      <c r="J475" s="109" t="str">
        <f>IF(C459="","",[1]AB5!$K$20)</f>
        <v>Entry Not Missed</v>
      </c>
      <c r="K475" s="110" t="str">
        <f>IF(C459="","",[1]AB5!$L$20)</f>
        <v>Place the Order at ORPT</v>
      </c>
      <c r="L475" s="88"/>
      <c r="M475" s="88"/>
      <c r="N475" s="85"/>
      <c r="O475" s="110" t="str">
        <f>IF(C459="","",[1]AB5!$P$20)</f>
        <v>ORPT Time</v>
      </c>
      <c r="P475" s="85"/>
      <c r="Q475" s="111">
        <f>IF(C459="","",B473)</f>
        <v>0.37846527777777778</v>
      </c>
      <c r="R475" s="85"/>
      <c r="S475" s="110" t="str">
        <f>IF(C459="","",[1]AB5!$T$20)</f>
        <v>N.A.</v>
      </c>
      <c r="T475" s="88"/>
      <c r="U475" s="85"/>
      <c r="V475" s="109" t="str">
        <f>IF(C459="","",[1]AB5!$W$20)</f>
        <v>N.A.</v>
      </c>
      <c r="W475" s="112" t="str">
        <f>IF(C459="","",[1]AB5!$X$20)</f>
        <v>N.A.</v>
      </c>
      <c r="X475" s="91"/>
      <c r="Y475" s="101" t="str">
        <f>IF(C459="","",CONCATENATE([1]AB5!$T$19," ( ",G465," or ",[1]AB5!$AA$20," ",[1]AB5!$Z$19," ",TEXT(W474,"0.00%")," )"))</f>
        <v>Max ( FUT : PRV : 2DHH + 0.40% or  CDHH + 0.40% )</v>
      </c>
      <c r="Z475" s="88"/>
      <c r="AA475" s="91"/>
      <c r="AB475" s="68"/>
      <c r="AC475" s="68"/>
    </row>
    <row r="476" spans="1:29" ht="31.5" customHeight="1" x14ac:dyDescent="0.2">
      <c r="A476" s="18" t="str">
        <f>IF(C459="","",CONCATENATE(C460,[1]AB5!$A$21))</f>
        <v>S14A</v>
      </c>
      <c r="B476" s="79" t="str">
        <f>IF(C459="","",[1]AB5!$B$21)</f>
        <v xml:space="preserve">ORPT </v>
      </c>
      <c r="C476" s="80" t="str">
        <f>IF(C459="","",[1]AB5!$C$21)</f>
        <v xml:space="preserve"> RC. Time</v>
      </c>
      <c r="D476" s="64"/>
      <c r="E476" s="59"/>
      <c r="F476" s="64"/>
      <c r="G476" s="95"/>
      <c r="H476" s="113" t="str">
        <f>IF(C459="","",[1]AB5!$I$21)</f>
        <v>Yes</v>
      </c>
      <c r="I476" s="83"/>
      <c r="J476" s="114" t="str">
        <f>IF(C459="","",[1]AB5!$K$21)</f>
        <v>Entry Missed</v>
      </c>
      <c r="K476" s="110" t="str">
        <f>IF(C459="","",[1]AB5!$L$21)</f>
        <v>Recalcuate : Short Entry : Bull / Bull CF</v>
      </c>
      <c r="L476" s="88"/>
      <c r="M476" s="88"/>
      <c r="N476" s="85"/>
      <c r="O476" s="110" t="str">
        <f>IF(C459="","",[1]AB5!$P$21)</f>
        <v>Wait Till Recalculation Time</v>
      </c>
      <c r="P476" s="85"/>
      <c r="Q476" s="111">
        <f>IF(C459="","",C473)</f>
        <v>0.38540972222222225</v>
      </c>
      <c r="R476" s="85"/>
      <c r="S476" s="115" t="str">
        <f>IF(C459="","",CONCATENATE(V476," ",[1]AB5!$Z$21," ",TEXT(W476,"0.00%")))</f>
        <v>09:14:59 AM LL - 0.40%</v>
      </c>
      <c r="T476" s="88"/>
      <c r="U476" s="85"/>
      <c r="V476" s="116" t="str">
        <f>IF(C459="","",CONCATENATE(TEXT(Q476,"HH:MM:SS AM/PM"),[1]AB5!$U$21))</f>
        <v>09:14:59 AM LL</v>
      </c>
      <c r="W476" s="112" t="str">
        <f t="array" ref="W476">IF(C459="","",TEXT(INDEX([1]AB4!BK:BK,MATCH(A462,[1]AB4!B:B,0)),"0.00%"))</f>
        <v>0.40%</v>
      </c>
      <c r="X476" s="91"/>
      <c r="Y476" s="117" t="str">
        <f>IF(C459="","",[1]AB5!$AA$21)</f>
        <v>When Your Long Position is Exited</v>
      </c>
      <c r="Z476" s="118"/>
      <c r="AA476" s="59"/>
      <c r="AB476" s="68"/>
      <c r="AC476" s="68"/>
    </row>
    <row r="477" spans="1:29" ht="31.5" customHeight="1" thickBot="1" x14ac:dyDescent="0.25">
      <c r="A477" s="18" t="str">
        <f>IF(C459="","",CONCATENATE(C460,[1]AB5!$A$22))</f>
        <v>S14B</v>
      </c>
      <c r="B477" s="119">
        <f t="array" ref="B477">IF(C459="","",INDEX([1]AB4!BF:BF,MATCH(A476,[1]AB4!B:B,0)))</f>
        <v>0.37846527777777778</v>
      </c>
      <c r="C477" s="120">
        <f t="array" ref="C477">IF(C459="","",INDEX([1]AB4!BF:BF,MATCH(A477,[1]AB4!B:B,0)))</f>
        <v>0.38540972222222225</v>
      </c>
      <c r="D477" s="60"/>
      <c r="E477" s="66"/>
      <c r="F477" s="60"/>
      <c r="G477" s="121"/>
      <c r="H477" s="102"/>
      <c r="I477" s="121"/>
      <c r="J477" s="122"/>
      <c r="K477" s="123" t="str">
        <f>IF(C459="","",[1]AB5!$L$22)</f>
        <v>Recalcuate : Short Entry : Bear / Bear CF</v>
      </c>
      <c r="L477" s="124"/>
      <c r="M477" s="124"/>
      <c r="N477" s="38"/>
      <c r="O477" s="123" t="str">
        <f>IF(C459="","",[1]AB5!$P$22)</f>
        <v>Wait Till Recalculation Time</v>
      </c>
      <c r="P477" s="38"/>
      <c r="Q477" s="125">
        <f>IF(C459="","",C473)</f>
        <v>0.38540972222222225</v>
      </c>
      <c r="R477" s="38"/>
      <c r="S477" s="126" t="str">
        <f>IF(C459="","",CONCATENATE(V477," ",[1]AB5!$Z$22," ",TEXT(W477,"0.00%")))</f>
        <v>09:14:59 AM LL - 0.40%</v>
      </c>
      <c r="T477" s="124"/>
      <c r="U477" s="38"/>
      <c r="V477" s="127" t="str">
        <f>IF(C459="","",CONCATENATE(TEXT(Q477,"HH:MM:SS AM/PM"),[1]AB5!$U$22))</f>
        <v>09:14:59 AM LL</v>
      </c>
      <c r="W477" s="128" t="str">
        <f t="array" ref="W477">IF(C459="","",TEXT(INDEX([1]AB4!BK:BK,MATCH(A468,[1]AB4!B:B,0)),"0.00%"))</f>
        <v>0.40%</v>
      </c>
      <c r="X477" s="41"/>
      <c r="Y477" s="129" t="str">
        <f>IF(C459="","",[1]AB5!$AA$22)</f>
        <v>This is Only Applicable for Same Day</v>
      </c>
      <c r="Z477" s="130"/>
      <c r="AA477" s="66"/>
      <c r="AB477" s="68"/>
      <c r="AC477" s="68"/>
    </row>
    <row r="478" spans="1:29" ht="6" customHeight="1" thickBot="1" x14ac:dyDescent="0.25">
      <c r="A478" s="18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</row>
    <row r="479" spans="1:29" ht="21.75" customHeight="1" thickBot="1" x14ac:dyDescent="0.25">
      <c r="A479" s="18"/>
      <c r="B479" s="69" t="str">
        <f>IF(C459="","",[1]AB5!$B$24)</f>
        <v>For TGT (Position = Open)</v>
      </c>
      <c r="C479" s="29"/>
      <c r="D479" s="132" t="str">
        <f>IF(C459="","",[1]AB5!$D$24)</f>
        <v>Gap Check</v>
      </c>
      <c r="E479" s="133"/>
      <c r="F479" s="132" t="str">
        <f>IF(C459="","",[1]AB5!$G$24)</f>
        <v>Process</v>
      </c>
      <c r="G479" s="133"/>
      <c r="H479" s="132" t="str">
        <f>IF(C459="","",[1]AB5!$I$24)</f>
        <v>Y / N</v>
      </c>
      <c r="I479" s="133"/>
      <c r="J479" s="134" t="str">
        <f>IF(C459="","",[1]AB5!$K$24)</f>
        <v>Status</v>
      </c>
      <c r="K479" s="135" t="str">
        <f>IF(C459="","",[1]AB5!$L$24)</f>
        <v>Step 1</v>
      </c>
      <c r="L479" s="136"/>
      <c r="M479" s="136"/>
      <c r="N479" s="133"/>
      <c r="O479" s="132" t="str">
        <f>IF(C459="","",[1]AB5!$P$24)</f>
        <v>Order Placement Timings</v>
      </c>
      <c r="P479" s="133"/>
      <c r="Q479" s="132" t="str">
        <f>IF(C459="","",[1]AB5!$R$24)</f>
        <v>Time</v>
      </c>
      <c r="R479" s="133"/>
      <c r="S479" s="135" t="str">
        <f>IF(C459="","",[1]AB5!$T$24)</f>
        <v>Rules For Gaps</v>
      </c>
      <c r="T479" s="136"/>
      <c r="U479" s="133"/>
      <c r="V479" s="134" t="str">
        <f>IF(C459="","",[1]AB5!$W$24)</f>
        <v>Data</v>
      </c>
      <c r="W479" s="132" t="str">
        <f>IF(C459="","",[1]AB5!$X$24)</f>
        <v>Buffer</v>
      </c>
      <c r="X479" s="133"/>
      <c r="Y479" s="135" t="str">
        <f>IF(C459="","",[1]AB5!$AA$16)</f>
        <v>Rules For Re Entry</v>
      </c>
      <c r="Z479" s="136"/>
      <c r="AA479" s="133"/>
      <c r="AB479" s="78"/>
      <c r="AC479" s="78"/>
    </row>
    <row r="480" spans="1:29" ht="24" customHeight="1" x14ac:dyDescent="0.2">
      <c r="A480" s="18" t="str">
        <f>IF(C459="","",CONCATENATE(C460,[1]AB5!$A$25))</f>
        <v>S14A</v>
      </c>
      <c r="B480" s="79" t="str">
        <f>IF(C459="","",[1]AB5!$B$25)</f>
        <v xml:space="preserve">ORPT </v>
      </c>
      <c r="C480" s="80" t="str">
        <f>IF(C459="","",[1]AB5!$C$25)</f>
        <v xml:space="preserve"> RC. Time</v>
      </c>
      <c r="D480" s="137" t="str">
        <f>IF(C459="","",[1]AB5!$D$25)</f>
        <v>For Long SL</v>
      </c>
      <c r="E480" s="59"/>
      <c r="F480" s="138" t="str">
        <f>IF(C459="","",CONCATENATE([1]AB5!$G$25,TEXT(B477,"HH:MM:SS AM/PM"),[1]AB5!$B$22,[1]AB5!$H$25))</f>
        <v>Check If 09:04:59 AM LL &lt; Long SL</v>
      </c>
      <c r="G480" s="76"/>
      <c r="H480" s="139" t="str">
        <f>IF(C459="","",[1]AB5!$I$25)</f>
        <v>No</v>
      </c>
      <c r="I480" s="27"/>
      <c r="J480" s="140" t="str">
        <f>IF(C459="","",[1]AB5!$K$25)</f>
        <v>FSL / TRP Not Missed</v>
      </c>
      <c r="K480" s="141" t="str">
        <f>IF(C459="","",[1]AB5!$L$25)</f>
        <v>Place the Order at ORPT</v>
      </c>
      <c r="L480" s="142"/>
      <c r="M480" s="142"/>
      <c r="N480" s="27"/>
      <c r="O480" s="141" t="str">
        <f>IF(C459="","",[1]AB5!$P$25)</f>
        <v>ORPT Time</v>
      </c>
      <c r="P480" s="27"/>
      <c r="Q480" s="143">
        <f>IF(C459="","",B477)</f>
        <v>0.37846527777777778</v>
      </c>
      <c r="R480" s="27"/>
      <c r="S480" s="141" t="str">
        <f>IF(C459="","",[1]AB5!$U$25)</f>
        <v>N.A.</v>
      </c>
      <c r="T480" s="142"/>
      <c r="U480" s="27"/>
      <c r="V480" s="140" t="str">
        <f>IF(C459="","",[1]AB5!$W$25)</f>
        <v>N.A.</v>
      </c>
      <c r="W480" s="144" t="str">
        <f>IF(C459="","",[1]AB5!$X$25)</f>
        <v>N.A.</v>
      </c>
      <c r="X480" s="29"/>
      <c r="Y480" s="117" t="str">
        <f>IF(C459="","",[1]AB5!$AA$25)</f>
        <v xml:space="preserve">Short Entry : Bull/ Bull CF : </v>
      </c>
      <c r="Z480" s="12"/>
      <c r="AA480" s="59"/>
      <c r="AB480" s="68"/>
      <c r="AC480" s="68"/>
    </row>
    <row r="481" spans="1:29" ht="24" customHeight="1" thickBot="1" x14ac:dyDescent="0.25">
      <c r="A481" s="18" t="str">
        <f>IF(C459="","",CONCATENATE(C460,[1]AB5!$A$26))</f>
        <v>S14B</v>
      </c>
      <c r="B481" s="119">
        <f t="array" ref="B481">IF(C459="","",INDEX([1]AB4!BG:BG,MATCH(A480,[1]AB4!B:B,0)))</f>
        <v>0.375</v>
      </c>
      <c r="C481" s="120" t="str">
        <f t="array" ref="C481">IF(C459="","",INDEX([1]AB4!BG:BG,MATCH(A481,[1]AB4!B:B,0)))</f>
        <v>N.A.</v>
      </c>
      <c r="D481" s="64"/>
      <c r="E481" s="59"/>
      <c r="F481" s="64"/>
      <c r="G481" s="12"/>
      <c r="H481" s="113" t="str">
        <f>IF(C459="","",[1]AB5!$I$26)</f>
        <v>Yes</v>
      </c>
      <c r="I481" s="83"/>
      <c r="J481" s="114" t="str">
        <f>IF(C459="","",[1]AB5!$K$26)</f>
        <v>FSL / TRP Missed</v>
      </c>
      <c r="K481" s="110" t="str">
        <f>IF(C459="","",[1]AB5!$L$26)</f>
        <v>Recalcuate : Long FSL / TRP : Bull / Bull CF</v>
      </c>
      <c r="L481" s="88"/>
      <c r="M481" s="88"/>
      <c r="N481" s="85"/>
      <c r="O481" s="110" t="str">
        <f>IF(C459="","",[1]AB5!$P$26)</f>
        <v>Wait Till Recalculation Time</v>
      </c>
      <c r="P481" s="85"/>
      <c r="Q481" s="111">
        <f>IF(C459="","",C477)</f>
        <v>0.38540972222222225</v>
      </c>
      <c r="R481" s="85"/>
      <c r="S481" s="110" t="str">
        <f>IF(C459="","",CONCATENATE(V481," ",[1]AB5!$Z$26," ",TEXT(W481,"0.00%")))</f>
        <v>09:14:59 AM LL - 0.40%</v>
      </c>
      <c r="T481" s="88"/>
      <c r="U481" s="85"/>
      <c r="V481" s="116" t="str">
        <f>IF(C459="","",CONCATENATE(TEXT(Q481,"HH:MM:SS AM/PM"),[1]AB5!$U$26))</f>
        <v>09:14:59 AM LL</v>
      </c>
      <c r="W481" s="112" t="str">
        <f t="array" ref="W481">IF(C459="","",TEXT(INDEX([1]AB4!BL:BL,MATCH(A460,[1]AB4!B:B,0)),"0.00%"))</f>
        <v>0.40%</v>
      </c>
      <c r="X481" s="91"/>
      <c r="Y481" s="145"/>
      <c r="Z481" s="145"/>
      <c r="AA481" s="104"/>
      <c r="AB481" s="68"/>
      <c r="AC481" s="68"/>
    </row>
    <row r="482" spans="1:29" ht="24" customHeight="1" x14ac:dyDescent="0.2">
      <c r="A482" s="18"/>
      <c r="B482" s="62" t="str">
        <f>IF(C459="","",[1]AB5!$B$27)</f>
        <v>I Commit To Follow The Rules &amp; Process</v>
      </c>
      <c r="C482" s="63"/>
      <c r="D482" s="64"/>
      <c r="E482" s="59"/>
      <c r="F482" s="64"/>
      <c r="G482" s="12"/>
      <c r="H482" s="48"/>
      <c r="I482" s="95"/>
      <c r="J482" s="146"/>
      <c r="K482" s="110" t="str">
        <f>IF(C459="","",[1]AB5!$L$27)</f>
        <v>Recalcuate : Long FSL / TRP : Bear / Bear CF</v>
      </c>
      <c r="L482" s="88"/>
      <c r="M482" s="88"/>
      <c r="N482" s="85"/>
      <c r="O482" s="110" t="str">
        <f>IF(C459="","",[1]AB5!$P$27)</f>
        <v>Wait Till Recalculation Time</v>
      </c>
      <c r="P482" s="85"/>
      <c r="Q482" s="111">
        <f>IF(C459="","",C477)</f>
        <v>0.38540972222222225</v>
      </c>
      <c r="R482" s="85"/>
      <c r="S482" s="110" t="str">
        <f>IF(C460="","",CONCATENATE(V482," ",[1]AB5!$Z$26," ",TEXT(W482,"0.00%")))</f>
        <v>09:14:59 AM LL - 0.40%</v>
      </c>
      <c r="T482" s="88"/>
      <c r="U482" s="85"/>
      <c r="V482" s="116" t="str">
        <f>IF(C459="","",CONCATENATE(TEXT(Q481,"HH:MM:SS AM/PM"),[1]AB5!$U$27))</f>
        <v>09:14:59 AM LL</v>
      </c>
      <c r="W482" s="112" t="str">
        <f t="array" ref="W482">IF(C459="","",TEXT(INDEX([1]AB4!BL:BL,MATCH(A460,[1]AB4!B:B,0)),"0.00%"))</f>
        <v>0.40%</v>
      </c>
      <c r="X482" s="91"/>
      <c r="Y482" s="147" t="str">
        <f>IF(C459="","",CONCATENATE([1]AB5!$T$28," ( ",G462," or ",[1]AB5!$AA$26," ",[1]AB5!$Z$28," ",TEXT(W483,"0.00%")," )"))</f>
        <v>Min ( FUT : PRV : 2DLL - 0.40% or  CDLL - 0.40% )</v>
      </c>
      <c r="Z482" s="148"/>
      <c r="AA482" s="63"/>
      <c r="AB482" s="68"/>
      <c r="AC482" s="68"/>
    </row>
    <row r="483" spans="1:29" ht="33" customHeight="1" x14ac:dyDescent="0.2">
      <c r="A483" s="18"/>
      <c r="B483" s="64"/>
      <c r="C483" s="59"/>
      <c r="D483" s="64"/>
      <c r="E483" s="59"/>
      <c r="F483" s="64"/>
      <c r="G483" s="12"/>
      <c r="H483" s="48"/>
      <c r="I483" s="95"/>
      <c r="J483" s="146"/>
      <c r="K483" s="110" t="str">
        <f>IF(C459="","",[1]AB5!$L$28)</f>
        <v>Recalcuate : Short Entry : Bull / Bull CF</v>
      </c>
      <c r="L483" s="88"/>
      <c r="M483" s="88"/>
      <c r="N483" s="85"/>
      <c r="O483" s="110" t="str">
        <f>IF(C459="","",[1]AB5!$P$28)</f>
        <v>Wait Till Recalculation Time</v>
      </c>
      <c r="P483" s="85"/>
      <c r="Q483" s="111">
        <f>IF(C459="","",C473)</f>
        <v>0.38540972222222225</v>
      </c>
      <c r="R483" s="85"/>
      <c r="S483" s="115" t="str">
        <f>IF(C459="","",CONCATENATE([1]AB5!$T$28," ( ",G462," or ",V483," ",[1]AB5!$Z$28," ",TEXT(W483,"0.00%")," )"))</f>
        <v>Min ( FUT : PRV : 2DLL - 0.40% or 09:14:59 AM LL - 0.40% )</v>
      </c>
      <c r="T483" s="88"/>
      <c r="U483" s="85"/>
      <c r="V483" s="116" t="str">
        <f>IF(C459="","",CONCATENATE(TEXT(Q483,"HH:MM:SS AM/PM"),[1]AB5!$U$28))</f>
        <v>09:14:59 AM LL</v>
      </c>
      <c r="W483" s="112" t="str">
        <f t="array" ref="W483">IF(C459="","",TEXT(INDEX([1]AB4!BK:BK,MATCH(A462,[1]AB4!B:B,0)),"0.00%"))</f>
        <v>0.40%</v>
      </c>
      <c r="X483" s="91"/>
      <c r="Y483" s="145"/>
      <c r="Z483" s="145"/>
      <c r="AA483" s="104"/>
      <c r="AB483" s="68"/>
      <c r="AC483" s="68"/>
    </row>
    <row r="484" spans="1:29" ht="33" customHeight="1" thickBot="1" x14ac:dyDescent="0.25">
      <c r="A484" s="18"/>
      <c r="B484" s="60"/>
      <c r="C484" s="66"/>
      <c r="D484" s="103"/>
      <c r="E484" s="104"/>
      <c r="F484" s="103"/>
      <c r="G484" s="145"/>
      <c r="H484" s="51"/>
      <c r="I484" s="105"/>
      <c r="J484" s="53"/>
      <c r="K484" s="110" t="str">
        <f>IF(C459="","",[1]AB5!$L$29)</f>
        <v>Recalcuate : Short Entry : Bear / Bear CF</v>
      </c>
      <c r="L484" s="88"/>
      <c r="M484" s="88"/>
      <c r="N484" s="85"/>
      <c r="O484" s="110" t="str">
        <f>IF(C459="","",[1]AB5!$P$29)</f>
        <v>Wait Till Recalculation Time</v>
      </c>
      <c r="P484" s="85"/>
      <c r="Q484" s="111">
        <f>IF(C459="","",C473)</f>
        <v>0.38540972222222225</v>
      </c>
      <c r="R484" s="85"/>
      <c r="S484" s="115" t="str">
        <f>IF(C459="","",CONCATENATE([1]AB5!$T$29," ( ",G468," or ",V484," ",[1]AB5!$Z$29," ",TEXT(W484,"0.00%")," )"))</f>
        <v>Min ( FUT : PRV : 2DLL - 0.40% or 09:14:59 AM LL - 0.40% )</v>
      </c>
      <c r="T484" s="88"/>
      <c r="U484" s="85"/>
      <c r="V484" s="116" t="str">
        <f>IF(C459="","",CONCATENATE(TEXT(Q484,"HH:MM:SS AM/PM"),[1]AB5!$U$29))</f>
        <v>09:14:59 AM LL</v>
      </c>
      <c r="W484" s="112" t="str">
        <f t="array" ref="W484">IF(C459="","",TEXT(INDEX([1]AB4!BK:BK,MATCH(A468,[1]AB4!B:B,0)),"0.00%"))</f>
        <v>0.40%</v>
      </c>
      <c r="X484" s="91"/>
      <c r="Y484" s="149" t="str">
        <f>IF(C459="","",[1]AB5!$AA$29)</f>
        <v xml:space="preserve">Short Entry : Bear/ Bear CF : </v>
      </c>
      <c r="Z484" s="88"/>
      <c r="AA484" s="91"/>
      <c r="AB484" s="68"/>
      <c r="AC484" s="68"/>
    </row>
    <row r="485" spans="1:29" ht="21.75" customHeight="1" x14ac:dyDescent="0.2">
      <c r="A485" s="18"/>
      <c r="B485" s="150" t="str">
        <f>IF(C459="","",IF([1]AB5!$B$12="","",[1]AB5!$B$30))</f>
        <v>By Asmita Patel.</v>
      </c>
      <c r="C485" s="71"/>
      <c r="D485" s="81" t="str">
        <f>IF(C459="","",[1]AB5!$D$30)</f>
        <v>For Short SL</v>
      </c>
      <c r="E485" s="63"/>
      <c r="F485" s="151" t="str">
        <f>IF(C459="","",CONCATENATE([1]AB5!$G$30,TEXT(B477,"HH:MM:SS AM/PM"),[1]AB5!$B$22,[1]AB5!$H$30))</f>
        <v>Check If 09:04:59 AM HH &gt; Short SL</v>
      </c>
      <c r="G485" s="83"/>
      <c r="H485" s="84" t="str">
        <f>IF(C459="","",[1]AB5!$I$30)</f>
        <v>No</v>
      </c>
      <c r="I485" s="85"/>
      <c r="J485" s="86" t="str">
        <f>IF(C459="","",[1]AB5!$K$30)</f>
        <v>FSL / TRP Not Missed</v>
      </c>
      <c r="K485" s="87" t="str">
        <f>IF(C459="","",[1]AB5!$L$30)</f>
        <v>Place the Order at ORPT</v>
      </c>
      <c r="L485" s="88"/>
      <c r="M485" s="88"/>
      <c r="N485" s="85"/>
      <c r="O485" s="87" t="str">
        <f>IF(C459="","",[1]AB5!$P$30)</f>
        <v>ORPT Time</v>
      </c>
      <c r="P485" s="85"/>
      <c r="Q485" s="89">
        <f>IF(C459="","",B477)</f>
        <v>0.37846527777777778</v>
      </c>
      <c r="R485" s="85"/>
      <c r="S485" s="87" t="str">
        <f>IF(C459="","",[1]AB5!$T$30)</f>
        <v>N.A.</v>
      </c>
      <c r="T485" s="88"/>
      <c r="U485" s="85"/>
      <c r="V485" s="86" t="str">
        <f>IF(C459="","",[1]AB5!$W$30)</f>
        <v>N.A.</v>
      </c>
      <c r="W485" s="90" t="str">
        <f>IF(C459="","",[1]AB5!$X$30)</f>
        <v>N.A.</v>
      </c>
      <c r="X485" s="91"/>
      <c r="Y485" s="147" t="str">
        <f>IF(C459="","",CONCATENATE([1]AB5!$T$29," ( ",G468," or ",[1]AB5!$AA$30," ",[1]AB5!$Z$29," ",TEXT(W484,"0.00%")," )"))</f>
        <v>Min ( FUT : PRV : 2DLL - 0.40% or  CDLL - 0.40% )</v>
      </c>
      <c r="Z485" s="148"/>
      <c r="AA485" s="63"/>
      <c r="AB485" s="68"/>
      <c r="AC485" s="68"/>
    </row>
    <row r="486" spans="1:29" ht="21.75" customHeight="1" x14ac:dyDescent="0.2">
      <c r="A486" s="152"/>
      <c r="B486" s="64"/>
      <c r="C486" s="59"/>
      <c r="D486" s="64"/>
      <c r="E486" s="59"/>
      <c r="F486" s="64"/>
      <c r="G486" s="95"/>
      <c r="H486" s="96" t="str">
        <f>IF(C459="","",[1]AB5!$I$31)</f>
        <v>Yes</v>
      </c>
      <c r="I486" s="83"/>
      <c r="J486" s="97" t="str">
        <f>IF(C459="","",[1]AB5!$K$31)</f>
        <v>FSL / TRP Missed</v>
      </c>
      <c r="K486" s="87" t="str">
        <f>IF(C459="","",[1]AB5!$L$31)</f>
        <v>Recalcuate : Short FSL / TRP : Bull / Bull CF</v>
      </c>
      <c r="L486" s="88"/>
      <c r="M486" s="88"/>
      <c r="N486" s="85"/>
      <c r="O486" s="87" t="str">
        <f>IF(C459="","",[1]AB5!$P$31)</f>
        <v>Wait Till Recalculation Time</v>
      </c>
      <c r="P486" s="85"/>
      <c r="Q486" s="89">
        <f>IF(C459="","",C477)</f>
        <v>0.38540972222222225</v>
      </c>
      <c r="R486" s="85"/>
      <c r="S486" s="87" t="str">
        <f>IF(C459="","",CONCATENATE(V486," ",[1]AB5!$Z$31," ",TEXT(W486,"0.00%")))</f>
        <v>09:14:59 AM HH + 0.40%</v>
      </c>
      <c r="T486" s="88"/>
      <c r="U486" s="85"/>
      <c r="V486" s="153" t="str">
        <f>IF(C459="","",CONCATENATE(TEXT(Q486,"HH:MM:SS AM/PM"),[1]AB5!$U$31))</f>
        <v>09:14:59 AM HH</v>
      </c>
      <c r="W486" s="90" t="str">
        <f t="array" ref="W486">IF(C459="","",TEXT(INDEX([1]AB4!BL:BL,MATCH(A468,[1]AB4!B:B,0)),"0.00%"))</f>
        <v>0.40%</v>
      </c>
      <c r="X486" s="91"/>
      <c r="Y486" s="12"/>
      <c r="Z486" s="12"/>
      <c r="AA486" s="59"/>
      <c r="AB486" s="68"/>
      <c r="AC486" s="68"/>
    </row>
    <row r="487" spans="1:29" ht="22.5" customHeight="1" x14ac:dyDescent="0.2">
      <c r="A487" s="152"/>
      <c r="B487" s="64"/>
      <c r="C487" s="59"/>
      <c r="D487" s="64"/>
      <c r="E487" s="59"/>
      <c r="F487" s="64"/>
      <c r="G487" s="95"/>
      <c r="H487" s="48"/>
      <c r="I487" s="95"/>
      <c r="J487" s="146"/>
      <c r="K487" s="87" t="str">
        <f>IF(C459="","",[1]AB5!$L$32)</f>
        <v>Recalcuate : Short FSL / TRP : Bear / Bear CF</v>
      </c>
      <c r="L487" s="88"/>
      <c r="M487" s="88"/>
      <c r="N487" s="85"/>
      <c r="O487" s="87" t="str">
        <f>IF(C459="","",[1]AB5!$P$32)</f>
        <v>Wait Till Recalculation Time</v>
      </c>
      <c r="P487" s="85"/>
      <c r="Q487" s="89">
        <f>IF(C459="","",C477)</f>
        <v>0.38540972222222225</v>
      </c>
      <c r="R487" s="85"/>
      <c r="S487" s="87" t="str">
        <f>IF(C460="","",CONCATENATE(V487," ",[1]AB5!$Z$31," ",TEXT(W487,"0.00%")))</f>
        <v>09:14:59 AM HH + 0.40%</v>
      </c>
      <c r="T487" s="88"/>
      <c r="U487" s="85"/>
      <c r="V487" s="153" t="str">
        <f>IF(C459="","",CONCATENATE(TEXT(Q486,"HH:MM:SS AM/PM"),[1]AB5!$U$32))</f>
        <v>09:14:59 AM HH</v>
      </c>
      <c r="W487" s="90" t="str">
        <f t="array" ref="W487">IF(C459="","",TEXT(INDEX([1]AB4!BL:BL,MATCH(A468,[1]AB4!B:B,0)),"0.00%"))</f>
        <v>0.40%</v>
      </c>
      <c r="X487" s="91"/>
      <c r="Y487" s="145"/>
      <c r="Z487" s="145"/>
      <c r="AA487" s="104"/>
      <c r="AB487" s="68"/>
      <c r="AC487" s="68"/>
    </row>
    <row r="488" spans="1:29" ht="33" customHeight="1" x14ac:dyDescent="0.2">
      <c r="A488" s="152"/>
      <c r="B488" s="64"/>
      <c r="C488" s="59"/>
      <c r="D488" s="64"/>
      <c r="E488" s="59"/>
      <c r="F488" s="64"/>
      <c r="G488" s="95"/>
      <c r="H488" s="48"/>
      <c r="I488" s="95"/>
      <c r="J488" s="146"/>
      <c r="K488" s="87" t="str">
        <f>IF(C459="","",[1]AB5!$L$33)</f>
        <v>Recalcuate : Long Entry : Bull / Bull CF</v>
      </c>
      <c r="L488" s="88"/>
      <c r="M488" s="88"/>
      <c r="N488" s="85"/>
      <c r="O488" s="87" t="str">
        <f>IF(C459="","",[1]AB5!$P$33)</f>
        <v>Wait Till Recalculation Time</v>
      </c>
      <c r="P488" s="85"/>
      <c r="Q488" s="89">
        <f>IF(C459="","",C473)</f>
        <v>0.38540972222222225</v>
      </c>
      <c r="R488" s="85"/>
      <c r="S488" s="98" t="str">
        <f>IF(C459="","",CONCATENATE([1]AB5!$T$33," ( ",G459," or ",V488," ",[1]AB5!$Z$33," ",TEXT(W488,"0.00%")," )"))</f>
        <v>Max ( FUT : PRV : 2DHH + 0.40% or 09:14:59 AM HH + 0.40% )</v>
      </c>
      <c r="T488" s="88"/>
      <c r="U488" s="85"/>
      <c r="V488" s="99" t="str">
        <f>IF(C459="","",CONCATENATE(TEXT(Q488,"HH:MM:SS AM/PM"),[1]AB5!$U$33))</f>
        <v>09:14:59 AM HH</v>
      </c>
      <c r="W488" s="90" t="str">
        <f t="array" ref="W488">IF(C459="","",TEXT(INDEX([1]AB4!BK:BK,MATCH(A459,[1]AB4!B:B,0)),"0.00%"))</f>
        <v>0.40%</v>
      </c>
      <c r="X488" s="91"/>
      <c r="Y488" s="117" t="str">
        <f>IF(C459="","",[1]AB5!$AA$33)</f>
        <v>When Your Short Position is Exited</v>
      </c>
      <c r="Z488" s="118"/>
      <c r="AA488" s="59"/>
      <c r="AB488" s="68"/>
      <c r="AC488" s="68"/>
    </row>
    <row r="489" spans="1:29" ht="33" customHeight="1" thickBot="1" x14ac:dyDescent="0.25">
      <c r="A489" s="152"/>
      <c r="B489" s="60"/>
      <c r="C489" s="66"/>
      <c r="D489" s="60"/>
      <c r="E489" s="66"/>
      <c r="F489" s="60"/>
      <c r="G489" s="121"/>
      <c r="H489" s="102"/>
      <c r="I489" s="121"/>
      <c r="J489" s="122"/>
      <c r="K489" s="154" t="str">
        <f>IF(C459="","",[1]AB5!$L$34)</f>
        <v>Recalcuate : Long Entry : Bear / Bear CF</v>
      </c>
      <c r="L489" s="124"/>
      <c r="M489" s="124"/>
      <c r="N489" s="38"/>
      <c r="O489" s="154" t="str">
        <f>IF(C459="","",[1]AB5!$P$34)</f>
        <v>Wait Till Recalculation Time</v>
      </c>
      <c r="P489" s="38"/>
      <c r="Q489" s="155">
        <f>IF(C459="","",C473)</f>
        <v>0.38540972222222225</v>
      </c>
      <c r="R489" s="38"/>
      <c r="S489" s="156" t="str">
        <f>IF(C459="","",CONCATENATE([1]AB5!$T$34," ( ",G465," or ",V489," ",[1]AB5!$Z$34," ",TEXT(W489,"0.00%")," )"))</f>
        <v>Max ( FUT : PRV : 2DHH + 0.40% or 09:14:59 AM HH + 0.40% )</v>
      </c>
      <c r="T489" s="124"/>
      <c r="U489" s="38"/>
      <c r="V489" s="157" t="str">
        <f>IF(C459="","",CONCATENATE(TEXT(Q489,"HH:MM:SS AM/PM"),[1]AB5!$U$34))</f>
        <v>09:14:59 AM HH</v>
      </c>
      <c r="W489" s="158" t="str">
        <f t="array" ref="W489">IF(C459="","",TEXT(INDEX([1]AB4!BK:BK,MATCH(A465,[1]AB4!B:B,0)),"0.00%"))</f>
        <v>0.40%</v>
      </c>
      <c r="X489" s="41"/>
      <c r="Y489" s="117" t="str">
        <f>IF(C459="","",[1]AB5!$AA$34)</f>
        <v>This is Only Applicable for Same Day</v>
      </c>
      <c r="Z489" s="118"/>
      <c r="AA489" s="59"/>
      <c r="AB489" s="68"/>
      <c r="AC489" s="68"/>
    </row>
    <row r="490" spans="1:29" ht="21.75" customHeight="1" thickBot="1" x14ac:dyDescent="0.25">
      <c r="A490" s="152"/>
      <c r="B490" s="69" t="str">
        <f>IF(C459="","",[1]AB5!$B$35)</f>
        <v>For Missed SL (Position = Open)</v>
      </c>
      <c r="C490" s="29"/>
      <c r="D490" s="70" t="str">
        <f>IF(C459="","",[1]AB5!$D$36)</f>
        <v>Note: ( Optional )</v>
      </c>
      <c r="E490" s="71"/>
      <c r="F490" s="159" t="str">
        <f>IF(C459="","",[1]AB5!$I$35)</f>
        <v>For Long SL</v>
      </c>
      <c r="G490" s="136"/>
      <c r="H490" s="136"/>
      <c r="I490" s="136"/>
      <c r="J490" s="136"/>
      <c r="K490" s="136"/>
      <c r="L490" s="136"/>
      <c r="M490" s="136"/>
      <c r="N490" s="136"/>
      <c r="O490" s="136"/>
      <c r="P490" s="133"/>
      <c r="Q490" s="159" t="str">
        <f>IF(N459="","",[1]AB5!$T$35)</f>
        <v>For Short SL</v>
      </c>
      <c r="R490" s="136"/>
      <c r="S490" s="136"/>
      <c r="T490" s="136"/>
      <c r="U490" s="136"/>
      <c r="V490" s="136"/>
      <c r="W490" s="136"/>
      <c r="X490" s="136"/>
      <c r="Y490" s="136"/>
      <c r="Z490" s="136"/>
      <c r="AA490" s="133"/>
      <c r="AB490" s="68"/>
      <c r="AC490" s="68"/>
    </row>
    <row r="491" spans="1:29" ht="36" customHeight="1" x14ac:dyDescent="0.2">
      <c r="A491" s="152"/>
      <c r="B491" s="160" t="str">
        <f>IF(C459="","",[1]AB5!$B$36)</f>
        <v>Check time</v>
      </c>
      <c r="C491" s="91"/>
      <c r="D491" s="64"/>
      <c r="E491" s="59"/>
      <c r="F491" s="161" t="str">
        <f>IF(C459="","",CONCATENATE([1]AB5!$G$36,TEXT(B492,"HH:MM:SS AM/PM"),[1]AB5!$B$37,[1]AB5!$H$36))</f>
        <v>Check If Close at 11:00:00 PM  &lt; Long Original SL</v>
      </c>
      <c r="G491" s="85"/>
      <c r="H491" s="162" t="str">
        <f>IF(C459="","",[1]AB5!$I$36)</f>
        <v>Yes</v>
      </c>
      <c r="I491" s="105"/>
      <c r="J491" s="163" t="str">
        <f>IF(C459="","",CONCATENATE([1]AB5!$K$36,TEXT(B492,"HH:MM:SS AM/PM")))</f>
        <v xml:space="preserve"> Then Square Off The Position At CMP at 11:00:00 PM</v>
      </c>
      <c r="K491" s="145"/>
      <c r="L491" s="145"/>
      <c r="M491" s="145"/>
      <c r="N491" s="145"/>
      <c r="O491" s="145"/>
      <c r="P491" s="104"/>
      <c r="Q491" s="164" t="str">
        <f>IF(C459="","",CONCATENATE([1]AB5!$T$36,TEXT(B492,"HH:MM:SS AM/PM"),[1]AB5!$B$37,[1]AB5!$U$36))</f>
        <v>Check If Close at 11:00:00 PM  &gt; Short Original SL</v>
      </c>
      <c r="R491" s="145"/>
      <c r="S491" s="105"/>
      <c r="T491" s="165" t="str">
        <f>IF(C459="","",[1]AB5!$I$36)</f>
        <v>Yes</v>
      </c>
      <c r="U491" s="166" t="str">
        <f>IF(C459="","",CONCATENATE([1]AB5!$W$36,TEXT(B492,"HH:MM:SS AM/PM")))</f>
        <v xml:space="preserve"> Then Square Off The Position At CMP at 11:00:00 PM</v>
      </c>
      <c r="V491" s="145"/>
      <c r="W491" s="145"/>
      <c r="X491" s="145"/>
      <c r="Y491" s="145"/>
      <c r="Z491" s="145"/>
      <c r="AA491" s="104"/>
      <c r="AB491" s="68"/>
      <c r="AC491" s="167"/>
    </row>
    <row r="492" spans="1:29" ht="36" customHeight="1" thickBot="1" x14ac:dyDescent="0.25">
      <c r="A492" s="152"/>
      <c r="B492" s="168">
        <f t="array" ref="B492">IF(C459="","",INDEX([1]AB4!CU:CU,MATCH(A480,[1]AB4!B:B,0)))</f>
        <v>0.95833333333333326</v>
      </c>
      <c r="C492" s="41"/>
      <c r="D492" s="60"/>
      <c r="E492" s="66"/>
      <c r="F492" s="169" t="str">
        <f>IF(C459="","",CONCATENATE([1]AB5!$G$37,TEXT(B492,"HH:MM:SS AM/PM"),[1]AB5!$B$37,[1]AB5!$H$37))</f>
        <v>Check If Close at 11:00:00 PM  &gt; Long Original SL</v>
      </c>
      <c r="G492" s="38"/>
      <c r="H492" s="170" t="str">
        <f>IF(C459="","",[1]AB5!$I$37)</f>
        <v>Yes</v>
      </c>
      <c r="I492" s="38"/>
      <c r="J492" s="156" t="str">
        <f>IF(C459="","",CONCATENATE([1]AB5!$K$37))</f>
        <v xml:space="preserve"> Then Continue the Position for Next Day And Calculate Stop Loss Price as per the Rules</v>
      </c>
      <c r="K492" s="124"/>
      <c r="L492" s="124"/>
      <c r="M492" s="124"/>
      <c r="N492" s="124"/>
      <c r="O492" s="124"/>
      <c r="P492" s="41"/>
      <c r="Q492" s="169" t="str">
        <f>IF(C459="","",CONCATENATE([1]AB5!$T$37,TEXT(B492,"HH:MM:SS AM/PM"),[1]AB5!$B$37,[1]AB5!$U$37))</f>
        <v>Check If Close at 11:00:00 PM  &lt; Short Original SL</v>
      </c>
      <c r="R492" s="124"/>
      <c r="S492" s="38"/>
      <c r="T492" s="171" t="str">
        <f>IF(C460="","",[1]AB5!$I$36)</f>
        <v>Yes</v>
      </c>
      <c r="U492" s="156" t="str">
        <f>IF(C459="","",CONCATENATE([1]AB5!$W$37))</f>
        <v xml:space="preserve"> Then Continue the Position for Next Day And Calculate Stop Loss Price as per the Rules</v>
      </c>
      <c r="V492" s="124"/>
      <c r="W492" s="124"/>
      <c r="X492" s="124"/>
      <c r="Y492" s="124"/>
      <c r="Z492" s="124"/>
      <c r="AA492" s="41"/>
      <c r="AB492" s="68"/>
      <c r="AC492" s="167"/>
    </row>
    <row r="493" spans="1:29" ht="15.75" customHeight="1" thickBot="1" x14ac:dyDescent="0.25">
      <c r="A493" s="177"/>
    </row>
    <row r="494" spans="1:29" ht="30.75" customHeight="1" x14ac:dyDescent="0.2">
      <c r="A494" s="18" t="str">
        <f>IF(C494="","",CONCATENATE(C495,[1]AB5!$A$4))</f>
        <v>S15A</v>
      </c>
      <c r="B494" s="20" t="str">
        <f>IF(C494="","",IF([1]AB5!$B$4="","",[1]AB5!$B$4))</f>
        <v>Sr. No.</v>
      </c>
      <c r="C494" s="172">
        <v>15</v>
      </c>
      <c r="D494" s="173" t="str">
        <f>IF(C494="","",[1]AB5!$D$4)</f>
        <v>BULL / BULL CF</v>
      </c>
      <c r="E494" s="57" t="str">
        <f>IF(C494="","",[1]AB5!$F$4)</f>
        <v>BUY</v>
      </c>
      <c r="F494" s="58" t="str">
        <f>IF(C494="","",[1]AB5!$G$4)</f>
        <v>E &amp; T</v>
      </c>
      <c r="G494" s="25" t="str">
        <f t="array" ref="G494">IF(C494="","",CONCATENATE(INDEX([1]AB4!G:G,MATCH(A494,[1]AB4!B:B,0)),INDEX([1]AB4!H:H,MATCH(A494,[1]AB4!B:B,0)),TEXT(INDEX([1]AB4!I:I,MATCH(A494,[1]AB4!B:B,0)),"0.00%")))</f>
        <v>FUT : PRV : 1DHH + 0.00%</v>
      </c>
      <c r="H494" s="26">
        <f t="array" ref="H494">IF(C494="","",INDEX([1]AB4!J:J,MATCH(A494,[1]AB4!B:B,0)))</f>
        <v>5</v>
      </c>
      <c r="I494" s="27"/>
      <c r="J494" s="28" t="str">
        <f t="array" ref="J494">IF(C494="","",CONCATENATE(INDEX([1]AB4!L:L,MATCH(A494,[1]AB4!B:B,0)),INDEX([1]AB4!M:M,MATCH(A494,[1]AB4!B:B,0)),TEXT(INDEX([1]AB4!N:N,MATCH(A494,[1]AB4!B:B,0)),"0.00%")))</f>
        <v>L : Entry  + 2.50%</v>
      </c>
      <c r="K494" s="26">
        <f t="array" ref="K494">IF(C494="","",INDEX([1]AB4!O:O,MATCH(A494,[1]AB4!B:B,0)))</f>
        <v>1</v>
      </c>
      <c r="L494" s="27"/>
      <c r="M494" s="28" t="str">
        <f t="array" ref="M494">IF(C494="","",CONCATENATE(INDEX([1]AB4!L:L,MATCH(A494,[1]AB4!B:B,0)),INDEX([1]AB4!M:M,MATCH(A494,[1]AB4!B:B,0)),TEXT(INDEX([1]AB4!P:P,MATCH(A494,[1]AB4!B:B,0)),"0.00%")))</f>
        <v>L : Entry  + 3.50%</v>
      </c>
      <c r="N494" s="26">
        <f t="array" ref="N494">IF(C494="","",INDEX([1]AB4!Q:Q,MATCH(A494,[1]AB4!B:B,0)))</f>
        <v>1</v>
      </c>
      <c r="O494" s="27"/>
      <c r="P494" s="28" t="str">
        <f t="array" ref="P494">IF(C494="","",CONCATENATE(INDEX([1]AB4!L:L,MATCH(A494,[1]AB4!B:B,0)),INDEX([1]AB4!M:M,MATCH(A494,[1]AB4!B:B,0)),TEXT(INDEX([1]AB4!R:R,MATCH(A494,[1]AB4!B:B,0)),"0.00%")))</f>
        <v>L : Entry  + 4.50%</v>
      </c>
      <c r="Q494" s="26">
        <f t="array" ref="Q494">IF(C494="","",INDEX([1]AB4!S:S,MATCH(A494,[1]AB4!B:B,0)))</f>
        <v>1</v>
      </c>
      <c r="R494" s="27"/>
      <c r="S494" s="28" t="str">
        <f t="array" ref="S494">IF(C494="","",CONCATENATE(INDEX([1]AB4!L:L,MATCH(A494,[1]AB4!B:B,0)),INDEX([1]AB4!M:M,MATCH(A494,[1]AB4!B:B,0)),TEXT(INDEX([1]AB4!T:T,MATCH(A494,[1]AB4!B:B,0)),"0.00%")))</f>
        <v>L : Entry  + 5.50%</v>
      </c>
      <c r="T494" s="26">
        <f t="array" ref="T494">IF(C494="","",INDEX([1]AB4!U:U,MATCH(A494,[1]AB4!B:B,0)))</f>
        <v>1</v>
      </c>
      <c r="U494" s="27"/>
      <c r="V494" s="28" t="str">
        <f t="array" ref="V494">IF(C494="","",INDEX([1]AB4!V:V,MATCH(A494,[1]AB4!B:B,0)))</f>
        <v>TR PROFIT AFTER TGT 4</v>
      </c>
      <c r="W494" s="26">
        <f t="array" ref="W494">IF(C494="","",INDEX([1]AB4!W:W,MATCH(A494,[1]AB4!B:B,0)))</f>
        <v>1</v>
      </c>
      <c r="X494" s="27"/>
      <c r="Y494" s="28" t="str">
        <f t="array" ref="Y494">IF(C494="","",INDEX([1]AB4!X:X,MATCH(A494,[1]AB4!B:B,0)))</f>
        <v>N.A.</v>
      </c>
      <c r="Z494" s="26" t="str">
        <f t="array" ref="Z494">IF(C494="","",INDEX([1]AB4!Y:Y,MATCH(A494,[1]AB4!B:B,0)))</f>
        <v>N.A.</v>
      </c>
      <c r="AA494" s="29"/>
      <c r="AB494" s="30"/>
      <c r="AC494" s="30"/>
    </row>
    <row r="495" spans="1:29" ht="44.25" customHeight="1" thickBot="1" x14ac:dyDescent="0.25">
      <c r="A495" s="18" t="str">
        <f>IF(C494="","",CONCATENATE(C495,[1]AB5!$A$5))</f>
        <v>S15A</v>
      </c>
      <c r="B495" s="31" t="str">
        <f>IF(C494="","",IF([1]AB5!$B$5="","",[1]AB5!$B$5))</f>
        <v>Strategy Code</v>
      </c>
      <c r="C495" s="54" t="str">
        <f t="array" ref="C495">IF(C494="","",INDEX([1]AB2!B:B,MATCH(C494,[1]AB2!A:A,0)))</f>
        <v>S15</v>
      </c>
      <c r="D495" s="59"/>
      <c r="E495" s="60"/>
      <c r="F495" s="61" t="str">
        <f>IF(C494="","",[1]AB5!$G$5)</f>
        <v>SL / TRP</v>
      </c>
      <c r="G495" s="36" t="str">
        <f t="array" ref="G495">IF(C494="","",CONCATENATE(INDEX([1]AB4!AA:AA,MATCH(A495,[1]AB4!B:B,0))," ( ",INDEX([1]AB4!AE:AE,MATCH(A495,[1]AB4!B:B,0)),INDEX([1]AB4!AF:AF,MATCH(A495,[1]AB4!B:B,0)),TEXT(INDEX([1]AB4!AG:AG,MATCH(A495,[1]AB4!B:B,0)),"0.00%")," or ",INDEX([1]AB4!AK:AK,MATCH(A495,[1]AB4!B:B,0)),INDEX([1]AB4!AJ:AJ,MATCH(A495,[1]AB4!B:B,0)),TEXT(INDEX([1]AB4!AL:AL,MATCH(A495,[1]AB4!B:B,0)),"0.00%")," )"))</f>
        <v>Max ( L : Entry - 2.50% or FUT : PRV : 2DLL - 0.40% )</v>
      </c>
      <c r="H495" s="37">
        <f t="array" ref="H495">IF(C495="","",INDEX([1]AB4!AM:AM,MATCH(A495,[1]AB4!B:B,0)))</f>
        <v>5</v>
      </c>
      <c r="I495" s="38"/>
      <c r="J495" s="36" t="str">
        <f t="array" ref="J495">IF(C494="","",CONCATENATE(INDEX([1]AB4!AA:AA,MATCH(A495,[1]AB4!B:B,0))," ( ",INDEX([1]AB4!AE:AE,MATCH(A495,[1]AB4!B:B,0))," or ",INDEX([1]AB4!AN:AN,MATCH(A495,[1]AB4!B:B,0)),INDEX([1]AB4!AJ:AJ,MATCH(A495,[1]AB4!B:B,0)),TEXT(INDEX([1]AB4!AO:AO,MATCH(A495,[1]AB4!B:B,0)),"0.00%")," )"))</f>
        <v>Max ( L : Entry or FUT : PRV : 2DLL - 0.40% )</v>
      </c>
      <c r="K495" s="37">
        <f t="array" ref="K495">IF(C494="","",INDEX([1]AB4!AP:AP,MATCH(A495,[1]AB4!B:B,0)))</f>
        <v>4</v>
      </c>
      <c r="L495" s="38"/>
      <c r="M495" s="36" t="str">
        <f t="array" ref="M495">IF(C494="","",CONCATENATE(INDEX([1]AB4!AA:AA,MATCH(A495,[1]AB4!B:B,0))," ( ",INDEX([1]AB4!AE:AE,MATCH(A495,[1]AB4!B:B,0))," or ",INDEX([1]AB4!AQ:AQ,MATCH(A495,[1]AB4!B:B,0)),INDEX([1]AB4!AJ:AJ,MATCH(A495,[1]AB4!B:B,0)),TEXT(INDEX([1]AB4!AR:AR,MATCH(A495,[1]AB4!B:B,0)),"0.00%")," )"))</f>
        <v>Max ( L : Entry or FUT : PRV : 2DLL - 0.40% )</v>
      </c>
      <c r="N495" s="37">
        <f t="array" ref="N495">IF(C495="","",INDEX([1]AB4!AS:AS,MATCH(A495,[1]AB4!B:B,0)))</f>
        <v>3</v>
      </c>
      <c r="O495" s="38"/>
      <c r="P495" s="36" t="str">
        <f t="array" ref="P495">IF(C494="","",CONCATENATE(INDEX([1]AB4!AA:AA,MATCH(A495,[1]AB4!B:B,0))," ( ",INDEX([1]AB4!AE:AE,MATCH(A495,[1]AB4!B:B,0))," or ",INDEX([1]AB4!AT:AT,MATCH(A495,[1]AB4!B:B,0)),INDEX([1]AB4!AJ:AJ,MATCH(A495,[1]AB4!B:B,0)),TEXT(INDEX([1]AB4!AU:AU,MATCH(A495,[1]AB4!B:B,0)),"0.00%")," )"))</f>
        <v>Max ( L : Entry or FUT : PRV : 2DLL - 0.40% )</v>
      </c>
      <c r="Q495" s="37">
        <f t="array" ref="Q495">IF(C495="","",INDEX([1]AB4!AV:AV,MATCH(A495,[1]AB4!B:B,0)))</f>
        <v>2</v>
      </c>
      <c r="R495" s="38"/>
      <c r="S495" s="36" t="str">
        <f t="array" ref="S495">IF(C494="","",CONCATENATE(INDEX([1]AB4!AA:AA,MATCH(A495,[1]AB4!B:B,0))," ( ",INDEX([1]AB4!AE:AE,MATCH(A495,[1]AB4!B:B,0))," or ",INDEX([1]AB4!AW:AW,MATCH(A495,[1]AB4!B:B,0)),INDEX([1]AB4!AJ:AJ,MATCH(A495,[1]AB4!B:B,0)),TEXT(INDEX([1]AB4!AX:AX,MATCH(A495,[1]AB4!B:B,0)),"0.00%")," )"))</f>
        <v>Max ( L : Entry or FUT : PRV : 2DLL - 0.40% )</v>
      </c>
      <c r="T495" s="37">
        <f t="array" ref="T495">IF(C494="","",INDEX([1]AB4!AY:AY,MATCH(A495,[1]AB4!B:B,0)))</f>
        <v>1</v>
      </c>
      <c r="U495" s="38"/>
      <c r="V495" s="36" t="str">
        <f t="array" ref="V495">IF(C494="","",CONCATENATE(INDEX([1]AB4!AA:AA,MATCH(A495,[1]AB4!B:B,0))," ( ",INDEX([1]AB4!AE:AE,MATCH(A495,[1]AB4!B:B,0))," or ",INDEX([1]AB4!AW:AW,MATCH(A495,[1]AB4!B:B,0)),INDEX([1]AB4!AJ:AJ,MATCH(A495,[1]AB4!B:B,0)),TEXT(INDEX([1]AB4!AX:AX,MATCH(A495,[1]AB4!B:B,0)),"0.00%")," )"))</f>
        <v>Max ( L : Entry or FUT : PRV : 2DLL - 0.40% )</v>
      </c>
      <c r="W495" s="37">
        <f t="array" ref="W495">IF(C494="","",INDEX([1]AB4!AY:AY,MATCH(A495,[1]AB4!B:B,0)))</f>
        <v>1</v>
      </c>
      <c r="X495" s="38"/>
      <c r="Y495" s="40">
        <f t="array" ref="Y495">IF(C494="","",INDEX([1]AB4!AZ:AZ,MATCH(A495,[1]AB4!B:B,0)))</f>
        <v>0</v>
      </c>
      <c r="Z495" s="37">
        <f t="array" ref="Z495">IF(C494="","",INDEX([1]AB4!BB:BB,MATCH(A495,[1]AB4!B:B,0)))</f>
        <v>0</v>
      </c>
      <c r="AA495" s="41"/>
      <c r="AB495" s="30"/>
      <c r="AC495" s="30"/>
    </row>
    <row r="496" spans="1:29" ht="6" customHeight="1" thickBot="1" x14ac:dyDescent="0.25">
      <c r="A496" s="18" t="str">
        <f>IF(C494="","",CONCATENATE(C495,[1]AB5!A506))</f>
        <v>S15</v>
      </c>
      <c r="B496" s="42" t="str">
        <f>IF(C494="","",IF([1]AB5!$B$6="","",[1]AB5!$B$6))</f>
        <v>Unique Code</v>
      </c>
      <c r="C496" s="174" t="str">
        <f t="array" ref="C496">IF(C494="","",INDEX([1]AB2!N:N,MATCH(C494,[1]AB2!A:A,0)))</f>
        <v>CRUDEOIL_FUT_MT_DIFF_1D_2D</v>
      </c>
      <c r="D496" s="59"/>
      <c r="E496" s="44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6"/>
      <c r="AB496" s="30"/>
      <c r="AC496" s="30"/>
    </row>
    <row r="497" spans="1:29" ht="30.75" customHeight="1" x14ac:dyDescent="0.2">
      <c r="A497" s="18" t="str">
        <f>IF(C494="","",CONCATENATE(C495,[1]AB5!$A$7))</f>
        <v>S15B</v>
      </c>
      <c r="B497" s="47"/>
      <c r="C497" s="175"/>
      <c r="D497" s="59"/>
      <c r="E497" s="65" t="str">
        <f>IF(C494="","",[1]AB5!$F$7)</f>
        <v>SELL</v>
      </c>
      <c r="F497" s="58" t="str">
        <f>IF(C494="","",[1]AB5!$G$7)</f>
        <v>E &amp; T</v>
      </c>
      <c r="G497" s="25" t="str">
        <f t="array" ref="G497">IF(C494="","",CONCATENATE(INDEX([1]AB4!G:G,MATCH(A497,[1]AB4!B:B,0)),INDEX([1]AB4!H:H,MATCH(A497,[1]AB4!B:B,0)),TEXT(INDEX([1]AB4!I:I,MATCH(A497,[1]AB4!B:B,0)),"0.00%")))</f>
        <v>FUT : PRV : 2DLL - 0.40%</v>
      </c>
      <c r="H497" s="26">
        <f t="array" ref="H497">IF(C494="","",INDEX([1]AB4!J:J,MATCH(A497,[1]AB4!B:B,0)))</f>
        <v>5</v>
      </c>
      <c r="I497" s="27"/>
      <c r="J497" s="28" t="str">
        <f t="array" ref="J497">IF(C494="","",CONCATENATE(INDEX([1]AB4!L:L,MATCH(A497,[1]AB4!B:B,0)),INDEX([1]AB4!M:M,MATCH(A497,[1]AB4!B:B,0)),TEXT(INDEX([1]AB4!N:N,MATCH(A497,[1]AB4!B:B,0)),"0.00%")))</f>
        <v>S : Entry  - 2.50%</v>
      </c>
      <c r="K497" s="26">
        <f t="array" ref="K497">IF(C494="","",INDEX([1]AB4!O:O,MATCH(A497,[1]AB4!B:B,0)))</f>
        <v>1</v>
      </c>
      <c r="L497" s="27"/>
      <c r="M497" s="28" t="str">
        <f t="array" ref="M497">IF(C494="","",CONCATENATE(INDEX([1]AB4!L:L,MATCH(A497,[1]AB4!B:B,0)),INDEX([1]AB4!M:M,MATCH(A497,[1]AB4!B:B,0)),TEXT(INDEX([1]AB4!P:P,MATCH(A497,[1]AB4!B:B,0)),"0.00%")))</f>
        <v>S : Entry  - 3.50%</v>
      </c>
      <c r="N497" s="26">
        <f t="array" ref="N497">IF(C494="","",INDEX([1]AB4!Q:Q,MATCH(A497,[1]AB4!B:B,0)))</f>
        <v>1</v>
      </c>
      <c r="O497" s="27"/>
      <c r="P497" s="28" t="str">
        <f t="array" ref="P497">IF(C494="","",CONCATENATE(INDEX([1]AB4!L:L,MATCH(A497,[1]AB4!B:B,0)),INDEX([1]AB4!M:M,MATCH(A497,[1]AB4!B:B,0)),TEXT(INDEX([1]AB4!R:R,MATCH(A497,[1]AB4!B:B,0)),"0.00%")))</f>
        <v>S : Entry  - 4.50%</v>
      </c>
      <c r="Q497" s="26">
        <f t="array" ref="Q497">IF(C494="","",INDEX([1]AB4!S:S,MATCH(A497,[1]AB4!B:B,0)))</f>
        <v>1</v>
      </c>
      <c r="R497" s="27"/>
      <c r="S497" s="28" t="str">
        <f t="array" ref="S497">IF(C494="","",CONCATENATE(INDEX([1]AB4!L:L,MATCH(A497,[1]AB4!B:B,0)),INDEX([1]AB4!M:M,MATCH(A497,[1]AB4!B:B,0)),TEXT(INDEX([1]AB4!T:T,MATCH(A497,[1]AB4!B:B,0)),"0.00%")))</f>
        <v>S : Entry  - 5.50%</v>
      </c>
      <c r="T497" s="26">
        <f t="array" ref="T497">IF(C494="","",INDEX([1]AB4!U:U,MATCH(A497,[1]AB4!B:B,0)))</f>
        <v>1</v>
      </c>
      <c r="U497" s="27"/>
      <c r="V497" s="28" t="str">
        <f t="array" ref="V497">IF(C494="","",INDEX([1]AB4!V:V,MATCH(A497,[1]AB4!B:B,0)))</f>
        <v>TR PROFIT AFTER TGT 4</v>
      </c>
      <c r="W497" s="26">
        <f t="array" ref="W497">IF(C494="","",INDEX([1]AB4!W:W,MATCH(A497,[1]AB4!B:B,0)))</f>
        <v>1</v>
      </c>
      <c r="X497" s="27"/>
      <c r="Y497" s="28" t="str">
        <f t="array" ref="Y497">IF(C494="","",INDEX([1]AB4!X:X,MATCH(A497,[1]AB4!B:B,0)))</f>
        <v>N.A.</v>
      </c>
      <c r="Z497" s="26" t="str">
        <f t="array" ref="Z497">IF(C494="","",INDEX([1]AB4!Y:Y,MATCH(A497,[1]AB4!B:B,0)))</f>
        <v>N.A.</v>
      </c>
      <c r="AA497" s="29"/>
      <c r="AB497" s="30"/>
      <c r="AC497" s="30"/>
    </row>
    <row r="498" spans="1:29" ht="44.25" customHeight="1" thickBot="1" x14ac:dyDescent="0.25">
      <c r="A498" s="18" t="str">
        <f>IF(C494="","",CONCATENATE(C495,[1]AB5!$A$8))</f>
        <v>S15B</v>
      </c>
      <c r="B498" s="50"/>
      <c r="C498" s="176"/>
      <c r="D498" s="66"/>
      <c r="E498" s="60"/>
      <c r="F498" s="61" t="str">
        <f>IF(C494="","",[1]AB5!$G$8)</f>
        <v>SL / TRP</v>
      </c>
      <c r="G498" s="36" t="str">
        <f t="array" ref="G498">IF(C494="","",CONCATENATE(INDEX([1]AB4!AA:AA,MATCH(A498,[1]AB4!B:B,0))," ( ",INDEX([1]AB4!AE:AE,MATCH(A498,[1]AB4!B:B,0)),INDEX([1]AB4!AF:AF,MATCH(A498,[1]AB4!B:B,0)),TEXT(INDEX([1]AB4!AG:AG,MATCH(A498,[1]AB4!B:B,0)),"0.00%")," or ",INDEX([1]AB4!AK:AK,MATCH(A498,[1]AB4!B:B,0)),INDEX([1]AB4!AJ:AJ,MATCH(A498,[1]AB4!B:B,0)),TEXT(INDEX([1]AB4!AL:AL,MATCH(A498,[1]AB4!B:B,0)),"0.00%")," )"))</f>
        <v>Min ( S : Entry + 2.50% or FUT : PRV : 1DHH + 0.00% )</v>
      </c>
      <c r="H498" s="37">
        <f t="array" ref="H498">IF(C494="","",INDEX([1]AB4!AM:AM,MATCH(A498,[1]AB4!B:B,0)))</f>
        <v>5</v>
      </c>
      <c r="I498" s="38"/>
      <c r="J498" s="36" t="str">
        <f t="array" ref="J498">IF(C494="","",CONCATENATE(INDEX([1]AB4!AA:AA,MATCH(A498,[1]AB4!B:B,0))," ( ",INDEX([1]AB4!AE:AE,MATCH(A498,[1]AB4!B:B,0))," or ",INDEX([1]AB4!AN:AN,MATCH(A498,[1]AB4!B:B,0)),INDEX([1]AB4!AJ:AJ,MATCH(A498,[1]AB4!B:B,0)),TEXT(INDEX([1]AB4!AO:AO,MATCH(A498,[1]AB4!B:B,0)),"0.00%")," )"))</f>
        <v>Min ( S : Entry or FUT : PRV : 1DHH + 0.00% )</v>
      </c>
      <c r="K498" s="37">
        <f t="array" ref="K498">IF(C494="","",INDEX([1]AB4!AP:AP,MATCH(A498,[1]AB4!B:B,0)))</f>
        <v>4</v>
      </c>
      <c r="L498" s="38"/>
      <c r="M498" s="36" t="str">
        <f t="array" ref="M498">IF(C494="","",CONCATENATE(INDEX([1]AB4!AA:AA,MATCH(A498,[1]AB4!B:B,0))," ( ",INDEX([1]AB4!AE:AE,MATCH(A498,[1]AB4!B:B,0))," or ",INDEX([1]AB4!AQ:AQ,MATCH(A498,[1]AB4!B:B,0)),INDEX([1]AB4!AJ:AJ,MATCH(A498,[1]AB4!B:B,0)),TEXT(INDEX([1]AB4!AR:AR,MATCH(A498,[1]AB4!B:B,0)),"0.00%")," )"))</f>
        <v>Min ( S : Entry or FUT : PRV : 1DHH + 0.00% )</v>
      </c>
      <c r="N498" s="37">
        <f t="array" ref="N498">IF(C494="","",INDEX([1]AB4!AS:AS,MATCH(A498,[1]AB4!B:B,0)))</f>
        <v>3</v>
      </c>
      <c r="O498" s="38"/>
      <c r="P498" s="36" t="str">
        <f t="array" ref="P498">IF(C494="","",CONCATENATE(INDEX([1]AB4!AA:AA,MATCH(A498,[1]AB4!B:B,0))," ( ",INDEX([1]AB4!AE:AE,MATCH(A498,[1]AB4!B:B,0))," or ",INDEX([1]AB4!AT:AT,MATCH(A498,[1]AB4!B:B,0)),INDEX([1]AB4!AJ:AJ,MATCH(A498,[1]AB4!B:B,0)),TEXT(INDEX([1]AB4!AU:AU,MATCH(A498,[1]AB4!B:B,0)),"0.00%")," )"))</f>
        <v>Min ( S : Entry or FUT : PRV : 1DHH + 0.00% )</v>
      </c>
      <c r="Q498" s="37">
        <f t="array" ref="Q498">IF(C494="","",INDEX([1]AB4!AV:AV,MATCH(A498,[1]AB4!B:B,0)))</f>
        <v>2</v>
      </c>
      <c r="R498" s="38"/>
      <c r="S498" s="36" t="str">
        <f t="array" ref="S498">IF(C494="","",CONCATENATE(INDEX([1]AB4!AA:AA,MATCH(A498,[1]AB4!B:B,0))," ( ",INDEX([1]AB4!AE:AE,MATCH(A498,[1]AB4!B:B,0))," or ",INDEX([1]AB4!AW:AW,MATCH(A498,[1]AB4!B:B,0)),INDEX([1]AB4!AJ:AJ,MATCH(A498,[1]AB4!B:B,0)),TEXT(INDEX([1]AB4!AX:AX,MATCH(A498,[1]AB4!B:B,0)),"0.00%")," )"))</f>
        <v>Min ( S : Entry or FUT : PRV : 1DHH + 0.00% )</v>
      </c>
      <c r="T498" s="37">
        <f t="array" ref="T498">IF(C494="","",INDEX([1]AB4!AY:AY,MATCH(A498,[1]AB4!B:B,0)))</f>
        <v>1</v>
      </c>
      <c r="U498" s="38"/>
      <c r="V498" s="36" t="str">
        <f t="array" ref="V498">IF(C494="","",CONCATENATE(INDEX([1]AB4!AA:AA,MATCH(A498,[1]AB4!B:B,0))," ( ",INDEX([1]AB4!AE:AE,MATCH(A498,[1]AB4!B:B,0))," or ",INDEX([1]AB4!AW:AW,MATCH(A498,[1]AB4!B:B,0)),INDEX([1]AB4!AJ:AJ,MATCH(A498,[1]AB4!B:B,0)),TEXT(INDEX([1]AB4!AX:AX,MATCH(A498,[1]AB4!B:B,0)),"0.00%")," )"))</f>
        <v>Min ( S : Entry or FUT : PRV : 1DHH + 0.00% )</v>
      </c>
      <c r="W498" s="37">
        <f t="array" ref="W498">IF(C494="","",INDEX([1]AB4!AY:AY,MATCH(A498,[1]AB4!B:B,0)))</f>
        <v>1</v>
      </c>
      <c r="X498" s="38"/>
      <c r="Y498" s="40">
        <f t="array" ref="Y498">IF(C494="","",INDEX([1]AB4!AZ:AZ,MATCH(A498,[1]AB4!B:B,0)))</f>
        <v>0</v>
      </c>
      <c r="Z498" s="37">
        <f t="array" ref="Z498">IF(C494="","",INDEX([1]AB4!BB:BB,MATCH(A498,[1]AB4!B:B,0)))</f>
        <v>0</v>
      </c>
      <c r="AA498" s="41"/>
      <c r="AB498" s="30"/>
      <c r="AC498" s="30"/>
    </row>
    <row r="499" spans="1:29" ht="19.5" customHeight="1" thickBot="1" x14ac:dyDescent="0.25">
      <c r="A499" s="18" t="str">
        <f>IF(C494="","",CONCATENATE(C495,[1]AB5!$A$9))</f>
        <v>S15C</v>
      </c>
      <c r="B499" s="31" t="str">
        <f>IF(C494="","",IF([1]AB5!$B$9="","",[1]AB5!$B$9))</f>
        <v>Segment</v>
      </c>
      <c r="C499" s="54" t="str">
        <f t="array" ref="C499">IF(C494="","",INDEX([1]AB2!C:C,MATCH(C494,[1]AB2!A:A,0)))</f>
        <v>FUTURES</v>
      </c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30"/>
      <c r="AC499" s="30"/>
    </row>
    <row r="500" spans="1:29" ht="30.75" customHeight="1" x14ac:dyDescent="0.2">
      <c r="A500" s="18" t="str">
        <f>IF(C494="","",CONCATENATE(C495,[1]AB5!$A$10))</f>
        <v>S15D</v>
      </c>
      <c r="B500" s="31" t="str">
        <f>IF(C494="","",IF([1]AB5!$B$10="","",[1]AB5!$B$10))</f>
        <v>Symbol</v>
      </c>
      <c r="C500" s="54" t="str">
        <f t="array" ref="C500">IF(C494="","",INDEX([1]AB2!E:E,MATCH(C494,[1]AB2!A:A,0)))</f>
        <v>CRUDEOIL</v>
      </c>
      <c r="D500" s="56" t="str">
        <f>IF(C494="","",IF(C494="","",[1]AB5!$D$10))</f>
        <v>BEAR / BEAR CF</v>
      </c>
      <c r="E500" s="57" t="str">
        <f>IF(C494="","",[1]AB5!$F$10)</f>
        <v>BUY</v>
      </c>
      <c r="F500" s="58" t="str">
        <f>IF(C494="","",[1]AB5!$G$10)</f>
        <v>E &amp; T</v>
      </c>
      <c r="G500" s="25" t="str">
        <f t="array" ref="G500">IF(C494="","",CONCATENATE(INDEX([1]AB4!G:G,MATCH(A500,[1]AB4!B:B,0)),INDEX([1]AB4!H:H,MATCH(A500,[1]AB4!B:B,0)),TEXT(INDEX([1]AB4!I:I,MATCH(A500,[1]AB4!B:B,0)),"0.00%")))</f>
        <v>FUT : PRV : 2DHH + 0.40%</v>
      </c>
      <c r="H500" s="26">
        <f t="array" ref="H500">IF(C494="","",INDEX([1]AB4!J:J,MATCH(A500,[1]AB4!B:B,0)))</f>
        <v>5</v>
      </c>
      <c r="I500" s="27"/>
      <c r="J500" s="28" t="str">
        <f t="array" ref="J500">IF(C494="","",CONCATENATE(INDEX([1]AB4!L:L,MATCH(A500,[1]AB4!B:B,0)),INDEX([1]AB4!M:M,MATCH(A500,[1]AB4!B:B,0)),TEXT(INDEX([1]AB4!N:N,MATCH(A500,[1]AB4!B:B,0)),"0.00%")))</f>
        <v>L : Entry  + 2.50%</v>
      </c>
      <c r="K500" s="26">
        <f t="array" ref="K500">IF(C494="","",INDEX([1]AB4!O:O,MATCH(A500,[1]AB4!B:B,0)))</f>
        <v>1</v>
      </c>
      <c r="L500" s="27"/>
      <c r="M500" s="28" t="str">
        <f t="array" ref="M500">IF(C494="","",CONCATENATE(INDEX([1]AB4!L:L,MATCH(A500,[1]AB4!B:B,0)),INDEX([1]AB4!M:M,MATCH(A500,[1]AB4!B:B,0)),TEXT(INDEX([1]AB4!P:P,MATCH(A500,[1]AB4!B:B,0)),"0.00%")))</f>
        <v>L : Entry  + 3.50%</v>
      </c>
      <c r="N500" s="26">
        <f t="array" ref="N500">IF(C494="","",INDEX([1]AB4!Q:Q,MATCH(A500,[1]AB4!B:B,0)))</f>
        <v>1</v>
      </c>
      <c r="O500" s="27"/>
      <c r="P500" s="28" t="str">
        <f t="array" ref="P500">IF(C494="","",CONCATENATE(INDEX([1]AB4!L:L,MATCH(A500,[1]AB4!B:B,0)),INDEX([1]AB4!M:M,MATCH(A500,[1]AB4!B:B,0)),TEXT(INDEX([1]AB4!R:R,MATCH(A500,[1]AB4!B:B,0)),"0.00%")))</f>
        <v>L : Entry  + 4.50%</v>
      </c>
      <c r="Q500" s="26">
        <f t="array" ref="Q500">IF(C494="","",INDEX([1]AB4!S:S,MATCH(A500,[1]AB4!B:B,0)))</f>
        <v>1</v>
      </c>
      <c r="R500" s="27"/>
      <c r="S500" s="28" t="str">
        <f t="array" ref="S500">IF(C494="","",CONCATENATE(INDEX([1]AB4!L:L,MATCH(A500,[1]AB4!B:B,0)),INDEX([1]AB4!M:M,MATCH(A500,[1]AB4!B:B,0)),TEXT(INDEX([1]AB4!T:T,MATCH(A500,[1]AB4!B:B,0)),"0.00%")))</f>
        <v>L : Entry  + 5.50%</v>
      </c>
      <c r="T500" s="26">
        <f t="array" ref="T500">IF(C494="","",INDEX([1]AB4!U:U,MATCH(A500,[1]AB4!B:B,0)))</f>
        <v>1</v>
      </c>
      <c r="U500" s="27"/>
      <c r="V500" s="28" t="str">
        <f t="array" ref="V500">IF(C494="","",INDEX([1]AB4!V:V,MATCH(A500,[1]AB4!B:B,0)))</f>
        <v>TR PROFIT AFTER TGT 4</v>
      </c>
      <c r="W500" s="26">
        <f t="array" ref="W500">IF(C494="","",INDEX([1]AB4!W:W,MATCH(A500,[1]AB4!B:B,0)))</f>
        <v>1</v>
      </c>
      <c r="X500" s="27"/>
      <c r="Y500" s="28" t="str">
        <f t="array" ref="Y500">IF(C494="","",INDEX([1]AB4!X:X,MATCH(A500,[1]AB4!B:B,0)))</f>
        <v>N.A.</v>
      </c>
      <c r="Z500" s="26" t="str">
        <f t="array" ref="Z500">IF(C494="","",INDEX([1]AB4!Y:Y,MATCH(A500,[1]AB4!B:B,0)))</f>
        <v>N.A.</v>
      </c>
      <c r="AA500" s="29"/>
      <c r="AB500" s="30"/>
      <c r="AC500" s="30"/>
    </row>
    <row r="501" spans="1:29" ht="44.25" customHeight="1" thickBot="1" x14ac:dyDescent="0.25">
      <c r="A501" s="18" t="str">
        <f>IF(C494="","",CONCATENATE(C495,[1]AB5!$A$11))</f>
        <v>S15D</v>
      </c>
      <c r="B501" s="31" t="str">
        <f>IF(C494="","",IF([1]AB5!$B$11="","",[1]AB5!$B$11))</f>
        <v>No. of TGT</v>
      </c>
      <c r="C501" s="54" t="str">
        <f t="array" ref="C501">IF(C494="","",INDEX([1]AB2!K:K,MATCH(C494,[1]AB2!A:A,0)))</f>
        <v>4 &amp; APS</v>
      </c>
      <c r="D501" s="59"/>
      <c r="E501" s="60"/>
      <c r="F501" s="61" t="str">
        <f>IF(C494="","",[1]AB5!$G$11)</f>
        <v>SL / TRP</v>
      </c>
      <c r="G501" s="36" t="str">
        <f t="array" ref="G501">IF(C494="","",CONCATENATE(INDEX([1]AB4!AA:AA,MATCH(A501,[1]AB4!B:B,0))," ( ",INDEX([1]AB4!AE:AE,MATCH(A501,[1]AB4!B:B,0)),INDEX([1]AB4!AF:AF,MATCH(A501,[1]AB4!B:B,0)),TEXT(INDEX([1]AB4!AG:AG,MATCH(A501,[1]AB4!B:B,0)),"0.00%")," or ",INDEX([1]AB4!AK:AK,MATCH(A501,[1]AB4!B:B,0)),INDEX([1]AB4!AJ:AJ,MATCH(A501,[1]AB4!B:B,0)),TEXT(INDEX([1]AB4!AL:AL,MATCH(A501,[1]AB4!B:B,0)),"0.00%")," )"))</f>
        <v>Max ( L : Entry - 2.50% or FUT : PRV : 1DLL - 0.00% )</v>
      </c>
      <c r="H501" s="37">
        <f t="array" ref="H501">IF(C494="","",INDEX([1]AB4!AM:AM,MATCH(A501,[1]AB4!B:B,0)))</f>
        <v>5</v>
      </c>
      <c r="I501" s="38"/>
      <c r="J501" s="36" t="str">
        <f t="array" ref="J501">IF(C494="","",CONCATENATE(INDEX([1]AB4!AA:AA,MATCH(A501,[1]AB4!B:B,0))," ( ",INDEX([1]AB4!AE:AE,MATCH(A501,[1]AB4!B:B,0))," or ",INDEX([1]AB4!AN:AN,MATCH(A501,[1]AB4!B:B,0)),INDEX([1]AB4!AJ:AJ,MATCH(A501,[1]AB4!B:B,0)),TEXT(INDEX([1]AB4!AO:AO,MATCH(A501,[1]AB4!B:B,0)),"0.00%")," )"))</f>
        <v>Max ( L : Entry or FUT : PRV : 1DLL - 0.00% )</v>
      </c>
      <c r="K501" s="37">
        <f t="array" ref="K501">IF(C494="","",INDEX([1]AB4!AP:AP,MATCH(A501,[1]AB4!B:B,0)))</f>
        <v>4</v>
      </c>
      <c r="L501" s="38"/>
      <c r="M501" s="36" t="str">
        <f t="array" ref="M501">IF(C494="","",CONCATENATE(INDEX([1]AB4!AA:AA,MATCH(A501,[1]AB4!B:B,0))," ( ",INDEX([1]AB4!AE:AE,MATCH(A501,[1]AB4!B:B,0))," or ",INDEX([1]AB4!AQ:AQ,MATCH(A501,[1]AB4!B:B,0)),INDEX([1]AB4!AJ:AJ,MATCH(A501,[1]AB4!B:B,0)),TEXT(INDEX([1]AB4!AR:AR,MATCH(A501,[1]AB4!B:B,0)),"0.00%")," )"))</f>
        <v>Max ( L : Entry or FUT : PRV : 1DLL - 0.00% )</v>
      </c>
      <c r="N501" s="37">
        <f t="array" ref="N501">IF(C494="","",INDEX([1]AB4!AS:AS,MATCH(A501,[1]AB4!B:B,0)))</f>
        <v>3</v>
      </c>
      <c r="O501" s="38"/>
      <c r="P501" s="36" t="str">
        <f t="array" ref="P501">IF(C494="","",CONCATENATE(INDEX([1]AB4!AA:AA,MATCH(A501,[1]AB4!B:B,0))," ( ",INDEX([1]AB4!AE:AE,MATCH(A501,[1]AB4!B:B,0))," or ",INDEX([1]AB4!AT:AT,MATCH(A501,[1]AB4!B:B,0)),INDEX([1]AB4!AJ:AJ,MATCH(A501,[1]AB4!B:B,0)),TEXT(INDEX([1]AB4!AU:AU,MATCH(A501,[1]AB4!B:B,0)),"0.00%")," )"))</f>
        <v>Max ( L : Entry or FUT : PRV : 1DLL - 0.00% )</v>
      </c>
      <c r="Q501" s="37">
        <f t="array" ref="Q501">IF(C494="","",INDEX([1]AB4!AV:AV,MATCH(A501,[1]AB4!B:B,0)))</f>
        <v>2</v>
      </c>
      <c r="R501" s="38"/>
      <c r="S501" s="36" t="str">
        <f t="array" ref="S501">IF(C494="","",CONCATENATE(INDEX([1]AB4!AA:AA,MATCH(A501,[1]AB4!B:B,0))," ( ",INDEX([1]AB4!AE:AE,MATCH(A501,[1]AB4!B:B,0))," or ",INDEX([1]AB4!AW:AW,MATCH(A501,[1]AB4!B:B,0)),INDEX([1]AB4!AJ:AJ,MATCH(A501,[1]AB4!B:B,0)),TEXT(INDEX([1]AB4!AX:AX,MATCH(A501,[1]AB4!B:B,0)),"0.00%")," )"))</f>
        <v>Max ( L : Entry or FUT : PRV : 1DLL - 0.00% )</v>
      </c>
      <c r="T501" s="37">
        <f t="array" ref="T501">IF(C494="","",INDEX([1]AB4!AY:AY,MATCH(A501,[1]AB4!B:B,0)))</f>
        <v>1</v>
      </c>
      <c r="U501" s="38"/>
      <c r="V501" s="36" t="str">
        <f t="array" ref="V501">IF(C494="","",CONCATENATE(INDEX([1]AB4!AA:AA,MATCH(A501,[1]AB4!B:B,0))," ( ",INDEX([1]AB4!AE:AE,MATCH(A501,[1]AB4!B:B,0))," or ",INDEX([1]AB4!AW:AW,MATCH(A501,[1]AB4!B:B,0)),INDEX([1]AB4!AJ:AJ,MATCH(A501,[1]AB4!B:B,0)),TEXT(INDEX([1]AB4!AX:AX,MATCH(A501,[1]AB4!B:B,0)),"0.00%")," )"))</f>
        <v>Max ( L : Entry or FUT : PRV : 1DLL - 0.00% )</v>
      </c>
      <c r="W501" s="37">
        <f t="array" ref="W501">IF(C494="","",INDEX([1]AB4!AY:AY,MATCH(A501,[1]AB4!B:B,0)))</f>
        <v>1</v>
      </c>
      <c r="X501" s="38"/>
      <c r="Y501" s="40">
        <f t="array" ref="Y501">IF(C494="","",INDEX([1]AB4!AZ:AZ,MATCH(A501,[1]AB4!B:B,0)))</f>
        <v>0</v>
      </c>
      <c r="Z501" s="37">
        <f t="array" ref="Z501">IF(C494="","",INDEX([1]AB4!BB:BB,MATCH(A501,[1]AB4!B:B,0)))</f>
        <v>0</v>
      </c>
      <c r="AA501" s="41"/>
      <c r="AB501" s="30"/>
      <c r="AC501" s="30"/>
    </row>
    <row r="502" spans="1:29" ht="6" customHeight="1" thickBot="1" x14ac:dyDescent="0.25">
      <c r="A502" s="18" t="str">
        <f>IF(C494="","",CONCATENATE(C495,[1]AB5!A512))</f>
        <v>S15</v>
      </c>
      <c r="B502" s="62" t="str">
        <f>IF(C494="","",IF([1]AB5!$B$12="","",[1]AB5!$B$12))</f>
        <v>Stay Blessed !!!</v>
      </c>
      <c r="C502" s="63"/>
      <c r="D502" s="59"/>
      <c r="E502" s="44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6"/>
      <c r="AB502" s="30"/>
      <c r="AC502" s="30"/>
    </row>
    <row r="503" spans="1:29" ht="30.75" customHeight="1" x14ac:dyDescent="0.2">
      <c r="A503" s="18" t="str">
        <f>IF(C494="","",CONCATENATE(C495,[1]AB5!$A$13))</f>
        <v>S15E</v>
      </c>
      <c r="B503" s="64"/>
      <c r="C503" s="59"/>
      <c r="D503" s="59"/>
      <c r="E503" s="65" t="str">
        <f>IF(C494="","",[1]AB5!$F$13)</f>
        <v>SELL</v>
      </c>
      <c r="F503" s="58" t="str">
        <f>IF(C494="","",[1]AB5!$G$13)</f>
        <v>E &amp; T</v>
      </c>
      <c r="G503" s="25" t="str">
        <f t="array" ref="G503">IF(C494="","",CONCATENATE(INDEX([1]AB4!G:G,MATCH(A503,[1]AB4!B:B,0)),INDEX([1]AB4!H:H,MATCH(A503,[1]AB4!B:B,0)),TEXT(INDEX([1]AB4!I:I,MATCH(A503,[1]AB4!B:B,0)),"0.00%")))</f>
        <v>FUT : PRV : 1DLL - 0.00%</v>
      </c>
      <c r="H503" s="26">
        <f t="array" ref="H503">IF(C494="","",INDEX([1]AB4!J:J,MATCH(A503,[1]AB4!B:B,0)))</f>
        <v>5</v>
      </c>
      <c r="I503" s="27"/>
      <c r="J503" s="28" t="str">
        <f t="array" ref="J503">IF(C494="","",CONCATENATE(INDEX([1]AB4!L:L,MATCH(A503,[1]AB4!B:B,0)),INDEX([1]AB4!M:M,MATCH(A503,[1]AB4!B:B,0)),TEXT(INDEX([1]AB4!N:N,MATCH(A503,[1]AB4!B:B,0)),"0.00%")))</f>
        <v>S : Entry  - 2.50%</v>
      </c>
      <c r="K503" s="26">
        <f t="array" ref="K503">IF(C494="","",INDEX([1]AB4!O:O,MATCH(A503,[1]AB4!B:B,0)))</f>
        <v>1</v>
      </c>
      <c r="L503" s="27"/>
      <c r="M503" s="28" t="str">
        <f t="array" ref="M503">IF(C494="","",CONCATENATE(INDEX([1]AB4!L:L,MATCH(A503,[1]AB4!B:B,0)),INDEX([1]AB4!M:M,MATCH(A503,[1]AB4!B:B,0)),TEXT(INDEX([1]AB4!P:P,MATCH(A503,[1]AB4!B:B,0)),"0.00%")))</f>
        <v>S : Entry  - 3.50%</v>
      </c>
      <c r="N503" s="26">
        <f t="array" ref="N503">IF(C494="","",INDEX([1]AB4!Q:Q,MATCH(A503,[1]AB4!B:B,0)))</f>
        <v>1</v>
      </c>
      <c r="O503" s="27"/>
      <c r="P503" s="28" t="str">
        <f t="array" ref="P503">IF(C494="","",CONCATENATE(INDEX([1]AB4!L:L,MATCH(A503,[1]AB4!B:B,0)),INDEX([1]AB4!M:M,MATCH(A503,[1]AB4!B:B,0)),TEXT(INDEX([1]AB4!R:R,MATCH(A503,[1]AB4!B:B,0)),"0.00%")))</f>
        <v>S : Entry  - 4.50%</v>
      </c>
      <c r="Q503" s="26">
        <f t="array" ref="Q503">IF(C494="","",INDEX([1]AB4!S:S,MATCH(A503,[1]AB4!B:B,0)))</f>
        <v>1</v>
      </c>
      <c r="R503" s="27"/>
      <c r="S503" s="28" t="str">
        <f t="array" ref="S503">IF(C494="","",CONCATENATE(INDEX([1]AB4!L:L,MATCH(A503,[1]AB4!B:B,0)),INDEX([1]AB4!M:M,MATCH(A503,[1]AB4!B:B,0)),TEXT(INDEX([1]AB4!T:T,MATCH(A503,[1]AB4!B:B,0)),"0.00%")))</f>
        <v>S : Entry  - 5.50%</v>
      </c>
      <c r="T503" s="26">
        <f t="array" ref="T503">IF(C494="","",INDEX([1]AB4!U:U,MATCH(A503,[1]AB4!B:B,0)))</f>
        <v>1</v>
      </c>
      <c r="U503" s="27"/>
      <c r="V503" s="28" t="str">
        <f t="array" ref="V503">IF(C494="","",INDEX([1]AB4!V:V,MATCH(A503,[1]AB4!B:B,0)))</f>
        <v>TR PROFIT AFTER TGT 4</v>
      </c>
      <c r="W503" s="26">
        <f t="array" ref="W503">IF(C494="","",INDEX([1]AB4!W:W,MATCH(A503,[1]AB4!B:B,0)))</f>
        <v>1</v>
      </c>
      <c r="X503" s="27"/>
      <c r="Y503" s="28" t="str">
        <f t="array" ref="Y503">IF(C494="","",INDEX([1]AB4!X:X,MATCH(A503,[1]AB4!B:B,0)))</f>
        <v>N.A.</v>
      </c>
      <c r="Z503" s="26" t="str">
        <f t="array" ref="Z503">IF(C494="","",INDEX([1]AB4!Y:Y,MATCH(A503,[1]AB4!B:B,0)))</f>
        <v>N.A.</v>
      </c>
      <c r="AA503" s="29"/>
      <c r="AB503" s="30"/>
      <c r="AC503" s="30"/>
    </row>
    <row r="504" spans="1:29" ht="44.25" customHeight="1" thickBot="1" x14ac:dyDescent="0.25">
      <c r="A504" s="18" t="str">
        <f>IF(C494="","",CONCATENATE(C495,[1]AB5!$A$14))</f>
        <v>S15E</v>
      </c>
      <c r="B504" s="60"/>
      <c r="C504" s="66"/>
      <c r="D504" s="66"/>
      <c r="E504" s="60"/>
      <c r="F504" s="61" t="str">
        <f>IF(C494="","",[1]AB5!$G$14)</f>
        <v>SL / TRP</v>
      </c>
      <c r="G504" s="36" t="str">
        <f t="array" ref="G504">IF(C494="","",CONCATENATE(INDEX([1]AB4!AA:AA,MATCH(A504,[1]AB4!B:B,0))," ( ",INDEX([1]AB4!AE:AE,MATCH(A504,[1]AB4!B:B,0)),INDEX([1]AB4!AF:AF,MATCH(A504,[1]AB4!B:B,0)),TEXT(INDEX([1]AB4!AG:AG,MATCH(A504,[1]AB4!B:B,0)),"0.00%")," or ",INDEX([1]AB4!AK:AK,MATCH(A504,[1]AB4!B:B,0)),INDEX([1]AB4!AJ:AJ,MATCH(A504,[1]AB4!B:B,0)),TEXT(INDEX([1]AB4!AL:AL,MATCH(A504,[1]AB4!B:B,0)),"0.00%")," )"))</f>
        <v>Min ( S : Entry + 2.50% or FUT : PRV : 2DHH + 0.40% )</v>
      </c>
      <c r="H504" s="37">
        <f t="array" ref="H504">IF(C494="","",INDEX([1]AB4!AM:AM,MATCH(A504,[1]AB4!B:B,0)))</f>
        <v>5</v>
      </c>
      <c r="I504" s="38"/>
      <c r="J504" s="36" t="str">
        <f t="array" ref="J504">IF(C494="","",CONCATENATE(INDEX([1]AB4!AA:AA,MATCH(A504,[1]AB4!B:B,0))," ( ",INDEX([1]AB4!AE:AE,MATCH(A504,[1]AB4!B:B,0))," or ",INDEX([1]AB4!AN:AN,MATCH(A504,[1]AB4!B:B,0)),INDEX([1]AB4!AJ:AJ,MATCH(A504,[1]AB4!B:B,0)),TEXT(INDEX([1]AB4!AO:AO,MATCH(A504,[1]AB4!B:B,0)),"0.00%")," )"))</f>
        <v>Min ( S : Entry or FUT : PRV : 2DHH + 0.40% )</v>
      </c>
      <c r="K504" s="37">
        <f t="array" ref="K504">IF(C494="","",INDEX([1]AB4!AP:AP,MATCH(A504,[1]AB4!B:B,0)))</f>
        <v>4</v>
      </c>
      <c r="L504" s="38"/>
      <c r="M504" s="36" t="str">
        <f t="array" ref="M504">IF(C494="","",CONCATENATE(INDEX([1]AB4!AA:AA,MATCH(A504,[1]AB4!B:B,0))," ( ",INDEX([1]AB4!AE:AE,MATCH(A504,[1]AB4!B:B,0))," or ",INDEX([1]AB4!AQ:AQ,MATCH(A504,[1]AB4!B:B,0)),INDEX([1]AB4!AJ:AJ,MATCH(A504,[1]AB4!B:B,0)),TEXT(INDEX([1]AB4!AR:AR,MATCH(A504,[1]AB4!B:B,0)),"0.00%")," )"))</f>
        <v>Min ( S : Entry or FUT : PRV : 2DHH + 0.40% )</v>
      </c>
      <c r="N504" s="37">
        <f t="array" ref="N504">IF(C494="","",INDEX([1]AB4!AS:AS,MATCH(A504,[1]AB4!B:B,0)))</f>
        <v>3</v>
      </c>
      <c r="O504" s="38"/>
      <c r="P504" s="36" t="str">
        <f t="array" ref="P504">IF(C494="","",CONCATENATE(INDEX([1]AB4!AA:AA,MATCH(A504,[1]AB4!B:B,0))," ( ",INDEX([1]AB4!AE:AE,MATCH(A504,[1]AB4!B:B,0))," or ",INDEX([1]AB4!AT:AT,MATCH(A504,[1]AB4!B:B,0)),INDEX([1]AB4!AJ:AJ,MATCH(A504,[1]AB4!B:B,0)),TEXT(INDEX([1]AB4!AU:AU,MATCH(A504,[1]AB4!B:B,0)),"0.00%")," )"))</f>
        <v>Min ( S : Entry or FUT : PRV : 2DHH + 0.40% )</v>
      </c>
      <c r="Q504" s="37">
        <f t="array" ref="Q504">IF(C494="","",INDEX([1]AB4!AV:AV,MATCH(A504,[1]AB4!B:B,0)))</f>
        <v>2</v>
      </c>
      <c r="R504" s="38"/>
      <c r="S504" s="36" t="str">
        <f t="array" ref="S504">IF(C494="","",CONCATENATE(INDEX([1]AB4!AA:AA,MATCH(A504,[1]AB4!B:B,0))," ( ",INDEX([1]AB4!AE:AE,MATCH(A504,[1]AB4!B:B,0))," or ",INDEX([1]AB4!AW:AW,MATCH(A504,[1]AB4!B:B,0)),INDEX([1]AB4!AJ:AJ,MATCH(A504,[1]AB4!B:B,0)),TEXT(INDEX([1]AB4!AX:AX,MATCH(A504,[1]AB4!B:B,0)),"0.00%")," )"))</f>
        <v>Min ( S : Entry or FUT : PRV : 2DHH + 0.40% )</v>
      </c>
      <c r="T504" s="37">
        <f t="array" ref="T504">IF(C494="","",INDEX([1]AB4!AY:AY,MATCH(A504,[1]AB4!B:B,0)))</f>
        <v>1</v>
      </c>
      <c r="U504" s="38"/>
      <c r="V504" s="36" t="str">
        <f t="array" ref="V504">IF(C494="","",CONCATENATE(INDEX([1]AB4!AA:AA,MATCH(A504,[1]AB4!B:B,0))," ( ",INDEX([1]AB4!AE:AE,MATCH(A504,[1]AB4!B:B,0))," or ",INDEX([1]AB4!AW:AW,MATCH(A504,[1]AB4!B:B,0)),INDEX([1]AB4!AJ:AJ,MATCH(A504,[1]AB4!B:B,0)),TEXT(INDEX([1]AB4!AX:AX,MATCH(A504,[1]AB4!B:B,0)),"0.00%")," )"))</f>
        <v>Min ( S : Entry or FUT : PRV : 2DHH + 0.40% )</v>
      </c>
      <c r="W504" s="37">
        <f t="array" ref="W504">IF(C494="","",INDEX([1]AB4!AY:AY,MATCH(A504,[1]AB4!B:B,0)))</f>
        <v>1</v>
      </c>
      <c r="X504" s="38"/>
      <c r="Y504" s="40">
        <f t="array" ref="Y504">IF(C494="","",INDEX([1]AB4!AZ:AZ,MATCH(A504,[1]AB4!B:B,0)))</f>
        <v>0</v>
      </c>
      <c r="Z504" s="37">
        <f t="array" ref="Z504">IF(C494="","",INDEX([1]AB4!BB:BB,MATCH(A504,[1]AB4!B:B,0)))</f>
        <v>0</v>
      </c>
      <c r="AA504" s="41"/>
      <c r="AB504" s="30"/>
      <c r="AC504" s="30"/>
    </row>
    <row r="505" spans="1:29" ht="6" customHeight="1" thickBot="1" x14ac:dyDescent="0.25">
      <c r="A505" s="18"/>
      <c r="B505" s="55"/>
      <c r="C505" s="55"/>
      <c r="D505" s="55"/>
      <c r="E505" s="30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30"/>
      <c r="AA505" s="30"/>
      <c r="AB505" s="68"/>
      <c r="AC505" s="68"/>
    </row>
    <row r="506" spans="1:29" ht="21.75" customHeight="1" x14ac:dyDescent="0.2">
      <c r="A506" s="18"/>
      <c r="B506" s="69" t="str">
        <f>IF(C494="","",[1]AB5!$B$16)</f>
        <v>For Entry</v>
      </c>
      <c r="C506" s="29"/>
      <c r="D506" s="70" t="str">
        <f>IF(C494="","",[1]AB5!$D$16)</f>
        <v>Gap Check</v>
      </c>
      <c r="E506" s="71"/>
      <c r="F506" s="70" t="str">
        <f>IF(C494="","",[1]AB5!$G$16)</f>
        <v>Process</v>
      </c>
      <c r="G506" s="72"/>
      <c r="H506" s="73" t="str">
        <f>IF(C494="","",[1]AB5!$I$16)</f>
        <v>Y / N</v>
      </c>
      <c r="I506" s="72"/>
      <c r="J506" s="74" t="str">
        <f>IF(C494="","",[1]AB5!$K$16)</f>
        <v>Order Status</v>
      </c>
      <c r="K506" s="75" t="str">
        <f>IF(C494="","",[1]AB5!$L$16)</f>
        <v>Step 1</v>
      </c>
      <c r="L506" s="76"/>
      <c r="M506" s="76"/>
      <c r="N506" s="72"/>
      <c r="O506" s="73" t="str">
        <f>IF(C494="","",[1]AB5!$P$16)</f>
        <v>Order Placement Timings</v>
      </c>
      <c r="P506" s="72"/>
      <c r="Q506" s="73" t="str">
        <f>IF(C494="","",[1]AB5!$R$16)</f>
        <v>Time</v>
      </c>
      <c r="R506" s="72"/>
      <c r="S506" s="75" t="str">
        <f>IF(C494="","",[1]AB5!$T$16)</f>
        <v>Rules For Gaps</v>
      </c>
      <c r="T506" s="76"/>
      <c r="U506" s="72"/>
      <c r="V506" s="74" t="str">
        <f>IF(C494="","",[1]AB5!$W$16)</f>
        <v>Data</v>
      </c>
      <c r="W506" s="73" t="str">
        <f>IF(C494="","",[1]AB5!$X$16)</f>
        <v>Buffer</v>
      </c>
      <c r="X506" s="71"/>
      <c r="Y506" s="77" t="str">
        <f>IF(C494="","",[1]AB5!$AA$16)</f>
        <v>Rules For Re Entry</v>
      </c>
      <c r="Z506" s="76"/>
      <c r="AA506" s="71"/>
      <c r="AB506" s="78"/>
      <c r="AC506" s="78"/>
    </row>
    <row r="507" spans="1:29" ht="31.5" customHeight="1" x14ac:dyDescent="0.2">
      <c r="A507" s="18" t="str">
        <f>IF(C494="","",CONCATENATE(C495,[1]AB5!$A$17))</f>
        <v>S15A</v>
      </c>
      <c r="B507" s="79" t="str">
        <f>IF(C494="","",[1]AB5!$B$17)</f>
        <v xml:space="preserve">ORPT </v>
      </c>
      <c r="C507" s="80" t="str">
        <f>IF(C494="","",[1]AB5!$C$17)</f>
        <v xml:space="preserve"> RC. Time</v>
      </c>
      <c r="D507" s="81" t="str">
        <f>IF(C494="","",[1]AB5!$D$17)</f>
        <v>For Long Entry</v>
      </c>
      <c r="E507" s="63"/>
      <c r="F507" s="82" t="str">
        <f>IF(C494="","",CONCATENATE([1]AB5!$G$17,TEXT(B508,"HH:MM:SS AM/PM"),[1]AB5!$B$18,[1]AB5!$H$17))</f>
        <v>Check If  09:04:59 AM HH &gt; Long Entry</v>
      </c>
      <c r="G507" s="83"/>
      <c r="H507" s="84" t="str">
        <f>IF(C494="","",[1]AB5!$I$17)</f>
        <v>No</v>
      </c>
      <c r="I507" s="85"/>
      <c r="J507" s="86" t="str">
        <f>IF(C494="","",[1]AB5!$K$17)</f>
        <v>Entry Not Missed</v>
      </c>
      <c r="K507" s="87" t="str">
        <f>IF(C494="","",[1]AB5!$L$17)</f>
        <v>Place the Order at ORPT</v>
      </c>
      <c r="L507" s="88"/>
      <c r="M507" s="88"/>
      <c r="N507" s="85"/>
      <c r="O507" s="87" t="str">
        <f>IF(C494="","",[1]AB5!$P$17)</f>
        <v>ORPT Time</v>
      </c>
      <c r="P507" s="85"/>
      <c r="Q507" s="89">
        <f>IF(C494="","",B508)</f>
        <v>0.37846527777777778</v>
      </c>
      <c r="R507" s="85"/>
      <c r="S507" s="87" t="str">
        <f>IF(C494="","",[1]AB5!$T$17)</f>
        <v>N.A.</v>
      </c>
      <c r="T507" s="88"/>
      <c r="U507" s="85"/>
      <c r="V507" s="86" t="str">
        <f>IF(C494="","",[1]AB5!$W$17)</f>
        <v>N.A.</v>
      </c>
      <c r="W507" s="90" t="str">
        <f>IF(C494="","",[1]AB5!$X$17)</f>
        <v>N.A.</v>
      </c>
      <c r="X507" s="91"/>
      <c r="Y507" s="92" t="str">
        <f>IF(C494="","",[1]AB5!$AA$17)</f>
        <v xml:space="preserve">Long Entry : Bull/ Bull CF : </v>
      </c>
      <c r="Z507" s="88"/>
      <c r="AA507" s="91"/>
      <c r="AB507" s="68"/>
      <c r="AC507" s="68"/>
    </row>
    <row r="508" spans="1:29" ht="31.5" customHeight="1" x14ac:dyDescent="0.2">
      <c r="A508" s="18" t="str">
        <f>IF(C494="","",CONCATENATE(C495,[1]AB5!$A$18))</f>
        <v>S15B</v>
      </c>
      <c r="B508" s="93">
        <f t="array" ref="B508">IF(C494="","",INDEX([1]AB4!BE:BE,MATCH(A507,[1]AB4!B:B,0)))</f>
        <v>0.37846527777777778</v>
      </c>
      <c r="C508" s="94">
        <f t="array" ref="C508">IF(C494="","",INDEX([1]AB4!BE:BE,MATCH(A508,[1]AB4!B:B,0)))</f>
        <v>0.38540972222222225</v>
      </c>
      <c r="D508" s="64"/>
      <c r="E508" s="59"/>
      <c r="F508" s="64"/>
      <c r="G508" s="95"/>
      <c r="H508" s="96" t="str">
        <f>IF(C494="","",[1]AB5!$I$18)</f>
        <v>Yes</v>
      </c>
      <c r="I508" s="83"/>
      <c r="J508" s="97" t="str">
        <f>IF(C494="","",[1]AB5!$K$18)</f>
        <v>Entry Missed</v>
      </c>
      <c r="K508" s="87" t="str">
        <f>IF(C494="","",[1]AB5!$L$18)</f>
        <v>Recalcuate : Long Entry : Bull / Bull CF</v>
      </c>
      <c r="L508" s="88"/>
      <c r="M508" s="88"/>
      <c r="N508" s="85"/>
      <c r="O508" s="87" t="str">
        <f>IF(C494="","",[1]AB5!$P$18)</f>
        <v>Wait Till Recalculation Time</v>
      </c>
      <c r="P508" s="85"/>
      <c r="Q508" s="89">
        <f>IF(C494="","",C508)</f>
        <v>0.38540972222222225</v>
      </c>
      <c r="R508" s="85"/>
      <c r="S508" s="98" t="str">
        <f>IF(C494="","",CONCATENATE(V508," ",[1]AB5!$Z$18," ",TEXT(W508,"0.00%")))</f>
        <v>09:14:59 AM HH + 0.40%</v>
      </c>
      <c r="T508" s="88"/>
      <c r="U508" s="85"/>
      <c r="V508" s="99" t="str">
        <f>IF(C494="","",CONCATENATE(TEXT(Q508,"HH:MM:SS AM/PM"),[1]AB5!$U$18))</f>
        <v>09:14:59 AM HH</v>
      </c>
      <c r="W508" s="100" t="str">
        <f t="array" ref="W508">IF(A494="","",TEXT(INDEX([1]AB4!BK:BK,MATCH(A495,[1]AB4!B:B,0)),"0.00%"))</f>
        <v>0.40%</v>
      </c>
      <c r="X508" s="91"/>
      <c r="Y508" s="101" t="str">
        <f>IF(C494="","",CONCATENATE([1]AB5!$T$18," ( ",G494," or ",[1]AB5!$AA$18," ",[1]AB5!$Z$18," ",TEXT(W508,"0.00%")," )"))</f>
        <v>Max ( FUT : PRV : 1DHH + 0.00% or  CDHH + 0.40% )</v>
      </c>
      <c r="Z508" s="88"/>
      <c r="AA508" s="91"/>
      <c r="AB508" s="68"/>
      <c r="AC508" s="68"/>
    </row>
    <row r="509" spans="1:29" ht="31.5" customHeight="1" thickBot="1" x14ac:dyDescent="0.25">
      <c r="A509" s="18"/>
      <c r="B509" s="34"/>
      <c r="C509" s="102"/>
      <c r="D509" s="103"/>
      <c r="E509" s="104"/>
      <c r="F509" s="103"/>
      <c r="G509" s="105"/>
      <c r="H509" s="51"/>
      <c r="I509" s="105"/>
      <c r="J509" s="53"/>
      <c r="K509" s="87" t="str">
        <f>IF(C494="","",[1]AB5!$L$19)</f>
        <v>Recalcuate : Long Entry : Bear / Bear CF</v>
      </c>
      <c r="L509" s="88"/>
      <c r="M509" s="88"/>
      <c r="N509" s="85"/>
      <c r="O509" s="87" t="str">
        <f>IF(C494="","",[1]AB5!$P$19)</f>
        <v>Wait Till Recalculation Time</v>
      </c>
      <c r="P509" s="85"/>
      <c r="Q509" s="89">
        <f>IF(C494="","",C508)</f>
        <v>0.38540972222222225</v>
      </c>
      <c r="R509" s="85"/>
      <c r="S509" s="98" t="str">
        <f>IF(C494="","",CONCATENATE(V509," ",[1]AB5!$Z$19," ",TEXT(W509,"0.00%"),))</f>
        <v>09:14:59 AM HH + 0.40%</v>
      </c>
      <c r="T509" s="88"/>
      <c r="U509" s="85"/>
      <c r="V509" s="99" t="str">
        <f>IF(C494="","",CONCATENATE(TEXT(Q509,"HH:MM:SS AM/PM"),[1]AB5!$U$19))</f>
        <v>09:14:59 AM HH</v>
      </c>
      <c r="W509" s="100" t="str">
        <f t="array" ref="W509">IF(C494="","",TEXT(INDEX([1]AB4!BK:BK,MATCH(A500,[1]AB4!B:B,0)),"0.00%"))</f>
        <v>0.40%</v>
      </c>
      <c r="X509" s="91"/>
      <c r="Y509" s="106" t="str">
        <f>IF(C494="","",[1]AB5!$AA$19)</f>
        <v xml:space="preserve">Long Entry : Bear/ Bear CF : </v>
      </c>
      <c r="Z509" s="88"/>
      <c r="AA509" s="91"/>
      <c r="AB509" s="68"/>
      <c r="AC509" s="68"/>
    </row>
    <row r="510" spans="1:29" ht="31.5" customHeight="1" x14ac:dyDescent="0.2">
      <c r="A510" s="18"/>
      <c r="B510" s="69" t="str">
        <f>IF(C494="","",[1]AB5!$B$20)</f>
        <v>For SL (Position = Open)</v>
      </c>
      <c r="C510" s="29"/>
      <c r="D510" s="107" t="str">
        <f>IF(C494="","",[1]AB5!$D$20)</f>
        <v>For Short Entry</v>
      </c>
      <c r="E510" s="63"/>
      <c r="F510" s="82" t="str">
        <f>IF(C494="","",CONCATENATE([1]AB5!$G$20,TEXT(B508,"HH:MM:SS AM/PM"),[1]AB5!$B$18,[1]AB5!$H$20))</f>
        <v>Check If  09:04:59 AM LL &lt; Short Entry</v>
      </c>
      <c r="G510" s="83"/>
      <c r="H510" s="108" t="str">
        <f>IF(C494="","",[1]AB5!$I$20)</f>
        <v>No</v>
      </c>
      <c r="I510" s="85"/>
      <c r="J510" s="109" t="str">
        <f>IF(C494="","",[1]AB5!$K$20)</f>
        <v>Entry Not Missed</v>
      </c>
      <c r="K510" s="110" t="str">
        <f>IF(C494="","",[1]AB5!$L$20)</f>
        <v>Place the Order at ORPT</v>
      </c>
      <c r="L510" s="88"/>
      <c r="M510" s="88"/>
      <c r="N510" s="85"/>
      <c r="O510" s="110" t="str">
        <f>IF(C494="","",[1]AB5!$P$20)</f>
        <v>ORPT Time</v>
      </c>
      <c r="P510" s="85"/>
      <c r="Q510" s="111">
        <f>IF(C494="","",B508)</f>
        <v>0.37846527777777778</v>
      </c>
      <c r="R510" s="85"/>
      <c r="S510" s="110" t="str">
        <f>IF(C494="","",[1]AB5!$T$20)</f>
        <v>N.A.</v>
      </c>
      <c r="T510" s="88"/>
      <c r="U510" s="85"/>
      <c r="V510" s="109" t="str">
        <f>IF(C494="","",[1]AB5!$W$20)</f>
        <v>N.A.</v>
      </c>
      <c r="W510" s="112" t="str">
        <f>IF(C494="","",[1]AB5!$X$20)</f>
        <v>N.A.</v>
      </c>
      <c r="X510" s="91"/>
      <c r="Y510" s="101" t="str">
        <f>IF(C494="","",CONCATENATE([1]AB5!$T$19," ( ",G500," or ",[1]AB5!$AA$20," ",[1]AB5!$Z$19," ",TEXT(W509,"0.00%")," )"))</f>
        <v>Max ( FUT : PRV : 2DHH + 0.40% or  CDHH + 0.40% )</v>
      </c>
      <c r="Z510" s="88"/>
      <c r="AA510" s="91"/>
      <c r="AB510" s="68"/>
      <c r="AC510" s="68"/>
    </row>
    <row r="511" spans="1:29" ht="31.5" customHeight="1" x14ac:dyDescent="0.2">
      <c r="A511" s="18" t="str">
        <f>IF(C494="","",CONCATENATE(C495,[1]AB5!$A$21))</f>
        <v>S15A</v>
      </c>
      <c r="B511" s="79" t="str">
        <f>IF(C494="","",[1]AB5!$B$21)</f>
        <v xml:space="preserve">ORPT </v>
      </c>
      <c r="C511" s="80" t="str">
        <f>IF(C494="","",[1]AB5!$C$21)</f>
        <v xml:space="preserve"> RC. Time</v>
      </c>
      <c r="D511" s="64"/>
      <c r="E511" s="59"/>
      <c r="F511" s="64"/>
      <c r="G511" s="95"/>
      <c r="H511" s="113" t="str">
        <f>IF(C494="","",[1]AB5!$I$21)</f>
        <v>Yes</v>
      </c>
      <c r="I511" s="83"/>
      <c r="J511" s="114" t="str">
        <f>IF(C494="","",[1]AB5!$K$21)</f>
        <v>Entry Missed</v>
      </c>
      <c r="K511" s="110" t="str">
        <f>IF(C494="","",[1]AB5!$L$21)</f>
        <v>Recalcuate : Short Entry : Bull / Bull CF</v>
      </c>
      <c r="L511" s="88"/>
      <c r="M511" s="88"/>
      <c r="N511" s="85"/>
      <c r="O511" s="110" t="str">
        <f>IF(C494="","",[1]AB5!$P$21)</f>
        <v>Wait Till Recalculation Time</v>
      </c>
      <c r="P511" s="85"/>
      <c r="Q511" s="111">
        <f>IF(C494="","",C508)</f>
        <v>0.38540972222222225</v>
      </c>
      <c r="R511" s="85"/>
      <c r="S511" s="115" t="str">
        <f>IF(C494="","",CONCATENATE(V511," ",[1]AB5!$Z$21," ",TEXT(W511,"0.00%")))</f>
        <v>09:14:59 AM LL - 0.40%</v>
      </c>
      <c r="T511" s="88"/>
      <c r="U511" s="85"/>
      <c r="V511" s="116" t="str">
        <f>IF(C494="","",CONCATENATE(TEXT(Q511,"HH:MM:SS AM/PM"),[1]AB5!$U$21))</f>
        <v>09:14:59 AM LL</v>
      </c>
      <c r="W511" s="112" t="str">
        <f t="array" ref="W511">IF(C494="","",TEXT(INDEX([1]AB4!BK:BK,MATCH(A497,[1]AB4!B:B,0)),"0.00%"))</f>
        <v>0.40%</v>
      </c>
      <c r="X511" s="91"/>
      <c r="Y511" s="117" t="str">
        <f>IF(C494="","",[1]AB5!$AA$21)</f>
        <v>When Your Long Position is Exited</v>
      </c>
      <c r="Z511" s="118"/>
      <c r="AA511" s="59"/>
      <c r="AB511" s="68"/>
      <c r="AC511" s="68"/>
    </row>
    <row r="512" spans="1:29" ht="31.5" customHeight="1" thickBot="1" x14ac:dyDescent="0.25">
      <c r="A512" s="18" t="str">
        <f>IF(C494="","",CONCATENATE(C495,[1]AB5!$A$22))</f>
        <v>S15B</v>
      </c>
      <c r="B512" s="119">
        <f t="array" ref="B512">IF(C494="","",INDEX([1]AB4!BF:BF,MATCH(A511,[1]AB4!B:B,0)))</f>
        <v>0.37846527777777778</v>
      </c>
      <c r="C512" s="120">
        <f t="array" ref="C512">IF(C494="","",INDEX([1]AB4!BF:BF,MATCH(A512,[1]AB4!B:B,0)))</f>
        <v>0.38540972222222225</v>
      </c>
      <c r="D512" s="60"/>
      <c r="E512" s="66"/>
      <c r="F512" s="60"/>
      <c r="G512" s="121"/>
      <c r="H512" s="102"/>
      <c r="I512" s="121"/>
      <c r="J512" s="122"/>
      <c r="K512" s="123" t="str">
        <f>IF(C494="","",[1]AB5!$L$22)</f>
        <v>Recalcuate : Short Entry : Bear / Bear CF</v>
      </c>
      <c r="L512" s="124"/>
      <c r="M512" s="124"/>
      <c r="N512" s="38"/>
      <c r="O512" s="123" t="str">
        <f>IF(C494="","",[1]AB5!$P$22)</f>
        <v>Wait Till Recalculation Time</v>
      </c>
      <c r="P512" s="38"/>
      <c r="Q512" s="125">
        <f>IF(C494="","",C508)</f>
        <v>0.38540972222222225</v>
      </c>
      <c r="R512" s="38"/>
      <c r="S512" s="126" t="str">
        <f>IF(C494="","",CONCATENATE(V512," ",[1]AB5!$Z$22," ",TEXT(W512,"0.00%")))</f>
        <v>09:14:59 AM LL - 0.40%</v>
      </c>
      <c r="T512" s="124"/>
      <c r="U512" s="38"/>
      <c r="V512" s="127" t="str">
        <f>IF(C494="","",CONCATENATE(TEXT(Q512,"HH:MM:SS AM/PM"),[1]AB5!$U$22))</f>
        <v>09:14:59 AM LL</v>
      </c>
      <c r="W512" s="128" t="str">
        <f t="array" ref="W512">IF(C494="","",TEXT(INDEX([1]AB4!BK:BK,MATCH(A503,[1]AB4!B:B,0)),"0.00%"))</f>
        <v>0.40%</v>
      </c>
      <c r="X512" s="41"/>
      <c r="Y512" s="129" t="str">
        <f>IF(C494="","",[1]AB5!$AA$22)</f>
        <v>This is Only Applicable for Same Day</v>
      </c>
      <c r="Z512" s="130"/>
      <c r="AA512" s="66"/>
      <c r="AB512" s="68"/>
      <c r="AC512" s="68"/>
    </row>
    <row r="513" spans="1:29" ht="6" customHeight="1" thickBot="1" x14ac:dyDescent="0.25">
      <c r="A513" s="18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</row>
    <row r="514" spans="1:29" ht="21.75" customHeight="1" thickBot="1" x14ac:dyDescent="0.25">
      <c r="A514" s="18"/>
      <c r="B514" s="69" t="str">
        <f>IF(C494="","",[1]AB5!$B$24)</f>
        <v>For TGT (Position = Open)</v>
      </c>
      <c r="C514" s="29"/>
      <c r="D514" s="132" t="str">
        <f>IF(C494="","",[1]AB5!$D$24)</f>
        <v>Gap Check</v>
      </c>
      <c r="E514" s="133"/>
      <c r="F514" s="132" t="str">
        <f>IF(C494="","",[1]AB5!$G$24)</f>
        <v>Process</v>
      </c>
      <c r="G514" s="133"/>
      <c r="H514" s="132" t="str">
        <f>IF(C494="","",[1]AB5!$I$24)</f>
        <v>Y / N</v>
      </c>
      <c r="I514" s="133"/>
      <c r="J514" s="134" t="str">
        <f>IF(C494="","",[1]AB5!$K$24)</f>
        <v>Status</v>
      </c>
      <c r="K514" s="135" t="str">
        <f>IF(C494="","",[1]AB5!$L$24)</f>
        <v>Step 1</v>
      </c>
      <c r="L514" s="136"/>
      <c r="M514" s="136"/>
      <c r="N514" s="133"/>
      <c r="O514" s="132" t="str">
        <f>IF(C494="","",[1]AB5!$P$24)</f>
        <v>Order Placement Timings</v>
      </c>
      <c r="P514" s="133"/>
      <c r="Q514" s="132" t="str">
        <f>IF(C494="","",[1]AB5!$R$24)</f>
        <v>Time</v>
      </c>
      <c r="R514" s="133"/>
      <c r="S514" s="135" t="str">
        <f>IF(C494="","",[1]AB5!$T$24)</f>
        <v>Rules For Gaps</v>
      </c>
      <c r="T514" s="136"/>
      <c r="U514" s="133"/>
      <c r="V514" s="134" t="str">
        <f>IF(C494="","",[1]AB5!$W$24)</f>
        <v>Data</v>
      </c>
      <c r="W514" s="132" t="str">
        <f>IF(C494="","",[1]AB5!$X$24)</f>
        <v>Buffer</v>
      </c>
      <c r="X514" s="133"/>
      <c r="Y514" s="135" t="str">
        <f>IF(C494="","",[1]AB5!$AA$16)</f>
        <v>Rules For Re Entry</v>
      </c>
      <c r="Z514" s="136"/>
      <c r="AA514" s="133"/>
      <c r="AB514" s="78"/>
      <c r="AC514" s="78"/>
    </row>
    <row r="515" spans="1:29" ht="24" customHeight="1" x14ac:dyDescent="0.2">
      <c r="A515" s="18" t="str">
        <f>IF(C494="","",CONCATENATE(C495,[1]AB5!$A$25))</f>
        <v>S15A</v>
      </c>
      <c r="B515" s="79" t="str">
        <f>IF(C494="","",[1]AB5!$B$25)</f>
        <v xml:space="preserve">ORPT </v>
      </c>
      <c r="C515" s="80" t="str">
        <f>IF(C494="","",[1]AB5!$C$25)</f>
        <v xml:space="preserve"> RC. Time</v>
      </c>
      <c r="D515" s="137" t="str">
        <f>IF(C494="","",[1]AB5!$D$25)</f>
        <v>For Long SL</v>
      </c>
      <c r="E515" s="59"/>
      <c r="F515" s="138" t="str">
        <f>IF(C494="","",CONCATENATE([1]AB5!$G$25,TEXT(B512,"HH:MM:SS AM/PM"),[1]AB5!$B$22,[1]AB5!$H$25))</f>
        <v>Check If 09:04:59 AM LL &lt; Long SL</v>
      </c>
      <c r="G515" s="76"/>
      <c r="H515" s="139" t="str">
        <f>IF(C494="","",[1]AB5!$I$25)</f>
        <v>No</v>
      </c>
      <c r="I515" s="27"/>
      <c r="J515" s="140" t="str">
        <f>IF(C494="","",[1]AB5!$K$25)</f>
        <v>FSL / TRP Not Missed</v>
      </c>
      <c r="K515" s="141" t="str">
        <f>IF(C494="","",[1]AB5!$L$25)</f>
        <v>Place the Order at ORPT</v>
      </c>
      <c r="L515" s="142"/>
      <c r="M515" s="142"/>
      <c r="N515" s="27"/>
      <c r="O515" s="141" t="str">
        <f>IF(C494="","",[1]AB5!$P$25)</f>
        <v>ORPT Time</v>
      </c>
      <c r="P515" s="27"/>
      <c r="Q515" s="143">
        <f>IF(C494="","",B512)</f>
        <v>0.37846527777777778</v>
      </c>
      <c r="R515" s="27"/>
      <c r="S515" s="141" t="str">
        <f>IF(C494="","",[1]AB5!$U$25)</f>
        <v>N.A.</v>
      </c>
      <c r="T515" s="142"/>
      <c r="U515" s="27"/>
      <c r="V515" s="140" t="str">
        <f>IF(C494="","",[1]AB5!$W$25)</f>
        <v>N.A.</v>
      </c>
      <c r="W515" s="144" t="str">
        <f>IF(C494="","",[1]AB5!$X$25)</f>
        <v>N.A.</v>
      </c>
      <c r="X515" s="29"/>
      <c r="Y515" s="117" t="str">
        <f>IF(C494="","",[1]AB5!$AA$25)</f>
        <v xml:space="preserve">Short Entry : Bull/ Bull CF : </v>
      </c>
      <c r="Z515" s="12"/>
      <c r="AA515" s="59"/>
      <c r="AB515" s="68"/>
      <c r="AC515" s="68"/>
    </row>
    <row r="516" spans="1:29" ht="24" customHeight="1" thickBot="1" x14ac:dyDescent="0.25">
      <c r="A516" s="18" t="str">
        <f>IF(C494="","",CONCATENATE(C495,[1]AB5!$A$26))</f>
        <v>S15B</v>
      </c>
      <c r="B516" s="119">
        <f t="array" ref="B516">IF(C494="","",INDEX([1]AB4!BG:BG,MATCH(A515,[1]AB4!B:B,0)))</f>
        <v>0.375</v>
      </c>
      <c r="C516" s="120" t="str">
        <f t="array" ref="C516">IF(C494="","",INDEX([1]AB4!BG:BG,MATCH(A516,[1]AB4!B:B,0)))</f>
        <v>N.A.</v>
      </c>
      <c r="D516" s="64"/>
      <c r="E516" s="59"/>
      <c r="F516" s="64"/>
      <c r="G516" s="12"/>
      <c r="H516" s="113" t="str">
        <f>IF(C494="","",[1]AB5!$I$26)</f>
        <v>Yes</v>
      </c>
      <c r="I516" s="83"/>
      <c r="J516" s="114" t="str">
        <f>IF(C494="","",[1]AB5!$K$26)</f>
        <v>FSL / TRP Missed</v>
      </c>
      <c r="K516" s="110" t="str">
        <f>IF(C494="","",[1]AB5!$L$26)</f>
        <v>Recalcuate : Long FSL / TRP : Bull / Bull CF</v>
      </c>
      <c r="L516" s="88"/>
      <c r="M516" s="88"/>
      <c r="N516" s="85"/>
      <c r="O516" s="110" t="str">
        <f>IF(C494="","",[1]AB5!$P$26)</f>
        <v>Wait Till Recalculation Time</v>
      </c>
      <c r="P516" s="85"/>
      <c r="Q516" s="111">
        <f>IF(C494="","",C512)</f>
        <v>0.38540972222222225</v>
      </c>
      <c r="R516" s="85"/>
      <c r="S516" s="110" t="str">
        <f>IF(C494="","",CONCATENATE(V516," ",[1]AB5!$Z$26," ",TEXT(W516,"0.00%")))</f>
        <v>09:14:59 AM LL - 0.40%</v>
      </c>
      <c r="T516" s="88"/>
      <c r="U516" s="85"/>
      <c r="V516" s="116" t="str">
        <f>IF(C494="","",CONCATENATE(TEXT(Q516,"HH:MM:SS AM/PM"),[1]AB5!$U$26))</f>
        <v>09:14:59 AM LL</v>
      </c>
      <c r="W516" s="112" t="str">
        <f t="array" ref="W516">IF(C494="","",TEXT(INDEX([1]AB4!BL:BL,MATCH(A495,[1]AB4!B:B,0)),"0.00%"))</f>
        <v>0.40%</v>
      </c>
      <c r="X516" s="91"/>
      <c r="Y516" s="145"/>
      <c r="Z516" s="145"/>
      <c r="AA516" s="104"/>
      <c r="AB516" s="68"/>
      <c r="AC516" s="68"/>
    </row>
    <row r="517" spans="1:29" ht="24" customHeight="1" x14ac:dyDescent="0.2">
      <c r="A517" s="18"/>
      <c r="B517" s="62" t="str">
        <f>IF(C494="","",[1]AB5!$B$27)</f>
        <v>I Commit To Follow The Rules &amp; Process</v>
      </c>
      <c r="C517" s="63"/>
      <c r="D517" s="64"/>
      <c r="E517" s="59"/>
      <c r="F517" s="64"/>
      <c r="G517" s="12"/>
      <c r="H517" s="48"/>
      <c r="I517" s="95"/>
      <c r="J517" s="146"/>
      <c r="K517" s="110" t="str">
        <f>IF(C494="","",[1]AB5!$L$27)</f>
        <v>Recalcuate : Long FSL / TRP : Bear / Bear CF</v>
      </c>
      <c r="L517" s="88"/>
      <c r="M517" s="88"/>
      <c r="N517" s="85"/>
      <c r="O517" s="110" t="str">
        <f>IF(C494="","",[1]AB5!$P$27)</f>
        <v>Wait Till Recalculation Time</v>
      </c>
      <c r="P517" s="85"/>
      <c r="Q517" s="111">
        <f>IF(C494="","",C512)</f>
        <v>0.38540972222222225</v>
      </c>
      <c r="R517" s="85"/>
      <c r="S517" s="110" t="str">
        <f>IF(C495="","",CONCATENATE(V517," ",[1]AB5!$Z$26," ",TEXT(W517,"0.00%")))</f>
        <v>09:14:59 AM LL - 0.40%</v>
      </c>
      <c r="T517" s="88"/>
      <c r="U517" s="85"/>
      <c r="V517" s="116" t="str">
        <f>IF(C494="","",CONCATENATE(TEXT(Q516,"HH:MM:SS AM/PM"),[1]AB5!$U$27))</f>
        <v>09:14:59 AM LL</v>
      </c>
      <c r="W517" s="112" t="str">
        <f t="array" ref="W517">IF(C494="","",TEXT(INDEX([1]AB4!BL:BL,MATCH(A495,[1]AB4!B:B,0)),"0.00%"))</f>
        <v>0.40%</v>
      </c>
      <c r="X517" s="91"/>
      <c r="Y517" s="147" t="str">
        <f>IF(C494="","",CONCATENATE([1]AB5!$T$28," ( ",G497," or ",[1]AB5!$AA$26," ",[1]AB5!$Z$28," ",TEXT(W518,"0.00%")," )"))</f>
        <v>Min ( FUT : PRV : 2DLL - 0.40% or  CDLL - 0.40% )</v>
      </c>
      <c r="Z517" s="148"/>
      <c r="AA517" s="63"/>
      <c r="AB517" s="68"/>
      <c r="AC517" s="68"/>
    </row>
    <row r="518" spans="1:29" ht="33" customHeight="1" x14ac:dyDescent="0.2">
      <c r="A518" s="18"/>
      <c r="B518" s="64"/>
      <c r="C518" s="59"/>
      <c r="D518" s="64"/>
      <c r="E518" s="59"/>
      <c r="F518" s="64"/>
      <c r="G518" s="12"/>
      <c r="H518" s="48"/>
      <c r="I518" s="95"/>
      <c r="J518" s="146"/>
      <c r="K518" s="110" t="str">
        <f>IF(C494="","",[1]AB5!$L$28)</f>
        <v>Recalcuate : Short Entry : Bull / Bull CF</v>
      </c>
      <c r="L518" s="88"/>
      <c r="M518" s="88"/>
      <c r="N518" s="85"/>
      <c r="O518" s="110" t="str">
        <f>IF(C494="","",[1]AB5!$P$28)</f>
        <v>Wait Till Recalculation Time</v>
      </c>
      <c r="P518" s="85"/>
      <c r="Q518" s="111">
        <f>IF(C494="","",C508)</f>
        <v>0.38540972222222225</v>
      </c>
      <c r="R518" s="85"/>
      <c r="S518" s="115" t="str">
        <f>IF(C494="","",CONCATENATE([1]AB5!$T$28," ( ",G497," or ",V518," ",[1]AB5!$Z$28," ",TEXT(W518,"0.00%")," )"))</f>
        <v>Min ( FUT : PRV : 2DLL - 0.40% or 09:14:59 AM LL - 0.40% )</v>
      </c>
      <c r="T518" s="88"/>
      <c r="U518" s="85"/>
      <c r="V518" s="116" t="str">
        <f>IF(C494="","",CONCATENATE(TEXT(Q518,"HH:MM:SS AM/PM"),[1]AB5!$U$28))</f>
        <v>09:14:59 AM LL</v>
      </c>
      <c r="W518" s="112" t="str">
        <f t="array" ref="W518">IF(C494="","",TEXT(INDEX([1]AB4!BK:BK,MATCH(A497,[1]AB4!B:B,0)),"0.00%"))</f>
        <v>0.40%</v>
      </c>
      <c r="X518" s="91"/>
      <c r="Y518" s="145"/>
      <c r="Z518" s="145"/>
      <c r="AA518" s="104"/>
      <c r="AB518" s="68"/>
      <c r="AC518" s="68"/>
    </row>
    <row r="519" spans="1:29" ht="33" customHeight="1" thickBot="1" x14ac:dyDescent="0.25">
      <c r="A519" s="18"/>
      <c r="B519" s="60"/>
      <c r="C519" s="66"/>
      <c r="D519" s="103"/>
      <c r="E519" s="104"/>
      <c r="F519" s="103"/>
      <c r="G519" s="145"/>
      <c r="H519" s="51"/>
      <c r="I519" s="105"/>
      <c r="J519" s="53"/>
      <c r="K519" s="110" t="str">
        <f>IF(C494="","",[1]AB5!$L$29)</f>
        <v>Recalcuate : Short Entry : Bear / Bear CF</v>
      </c>
      <c r="L519" s="88"/>
      <c r="M519" s="88"/>
      <c r="N519" s="85"/>
      <c r="O519" s="110" t="str">
        <f>IF(C494="","",[1]AB5!$P$29)</f>
        <v>Wait Till Recalculation Time</v>
      </c>
      <c r="P519" s="85"/>
      <c r="Q519" s="111">
        <f>IF(C494="","",C508)</f>
        <v>0.38540972222222225</v>
      </c>
      <c r="R519" s="85"/>
      <c r="S519" s="115" t="str">
        <f>IF(C494="","",CONCATENATE([1]AB5!$T$29," ( ",G503," or ",V519," ",[1]AB5!$Z$29," ",TEXT(W519,"0.00%")," )"))</f>
        <v>Min ( FUT : PRV : 1DLL - 0.00% or 09:14:59 AM LL - 0.40% )</v>
      </c>
      <c r="T519" s="88"/>
      <c r="U519" s="85"/>
      <c r="V519" s="116" t="str">
        <f>IF(C494="","",CONCATENATE(TEXT(Q519,"HH:MM:SS AM/PM"),[1]AB5!$U$29))</f>
        <v>09:14:59 AM LL</v>
      </c>
      <c r="W519" s="112" t="str">
        <f t="array" ref="W519">IF(C494="","",TEXT(INDEX([1]AB4!BK:BK,MATCH(A503,[1]AB4!B:B,0)),"0.00%"))</f>
        <v>0.40%</v>
      </c>
      <c r="X519" s="91"/>
      <c r="Y519" s="149" t="str">
        <f>IF(C494="","",[1]AB5!$AA$29)</f>
        <v xml:space="preserve">Short Entry : Bear/ Bear CF : </v>
      </c>
      <c r="Z519" s="88"/>
      <c r="AA519" s="91"/>
      <c r="AB519" s="68"/>
      <c r="AC519" s="68"/>
    </row>
    <row r="520" spans="1:29" ht="21.75" customHeight="1" x14ac:dyDescent="0.2">
      <c r="A520" s="18"/>
      <c r="B520" s="150" t="str">
        <f>IF(C494="","",IF([1]AB5!$B$12="","",[1]AB5!$B$30))</f>
        <v>By Asmita Patel.</v>
      </c>
      <c r="C520" s="71"/>
      <c r="D520" s="81" t="str">
        <f>IF(C494="","",[1]AB5!$D$30)</f>
        <v>For Short SL</v>
      </c>
      <c r="E520" s="63"/>
      <c r="F520" s="151" t="str">
        <f>IF(C494="","",CONCATENATE([1]AB5!$G$30,TEXT(B512,"HH:MM:SS AM/PM"),[1]AB5!$B$22,[1]AB5!$H$30))</f>
        <v>Check If 09:04:59 AM HH &gt; Short SL</v>
      </c>
      <c r="G520" s="83"/>
      <c r="H520" s="84" t="str">
        <f>IF(C494="","",[1]AB5!$I$30)</f>
        <v>No</v>
      </c>
      <c r="I520" s="85"/>
      <c r="J520" s="86" t="str">
        <f>IF(C494="","",[1]AB5!$K$30)</f>
        <v>FSL / TRP Not Missed</v>
      </c>
      <c r="K520" s="87" t="str">
        <f>IF(C494="","",[1]AB5!$L$30)</f>
        <v>Place the Order at ORPT</v>
      </c>
      <c r="L520" s="88"/>
      <c r="M520" s="88"/>
      <c r="N520" s="85"/>
      <c r="O520" s="87" t="str">
        <f>IF(C494="","",[1]AB5!$P$30)</f>
        <v>ORPT Time</v>
      </c>
      <c r="P520" s="85"/>
      <c r="Q520" s="89">
        <f>IF(C494="","",B512)</f>
        <v>0.37846527777777778</v>
      </c>
      <c r="R520" s="85"/>
      <c r="S520" s="87" t="str">
        <f>IF(C494="","",[1]AB5!$T$30)</f>
        <v>N.A.</v>
      </c>
      <c r="T520" s="88"/>
      <c r="U520" s="85"/>
      <c r="V520" s="86" t="str">
        <f>IF(C494="","",[1]AB5!$W$30)</f>
        <v>N.A.</v>
      </c>
      <c r="W520" s="90" t="str">
        <f>IF(C494="","",[1]AB5!$X$30)</f>
        <v>N.A.</v>
      </c>
      <c r="X520" s="91"/>
      <c r="Y520" s="147" t="str">
        <f>IF(C494="","",CONCATENATE([1]AB5!$T$29," ( ",G503," or ",[1]AB5!$AA$30," ",[1]AB5!$Z$29," ",TEXT(W519,"0.00%")," )"))</f>
        <v>Min ( FUT : PRV : 1DLL - 0.00% or  CDLL - 0.40% )</v>
      </c>
      <c r="Z520" s="148"/>
      <c r="AA520" s="63"/>
      <c r="AB520" s="68"/>
      <c r="AC520" s="68"/>
    </row>
    <row r="521" spans="1:29" ht="21.75" customHeight="1" x14ac:dyDescent="0.2">
      <c r="A521" s="152"/>
      <c r="B521" s="64"/>
      <c r="C521" s="59"/>
      <c r="D521" s="64"/>
      <c r="E521" s="59"/>
      <c r="F521" s="64"/>
      <c r="G521" s="95"/>
      <c r="H521" s="96" t="str">
        <f>IF(C494="","",[1]AB5!$I$31)</f>
        <v>Yes</v>
      </c>
      <c r="I521" s="83"/>
      <c r="J521" s="97" t="str">
        <f>IF(C494="","",[1]AB5!$K$31)</f>
        <v>FSL / TRP Missed</v>
      </c>
      <c r="K521" s="87" t="str">
        <f>IF(C494="","",[1]AB5!$L$31)</f>
        <v>Recalcuate : Short FSL / TRP : Bull / Bull CF</v>
      </c>
      <c r="L521" s="88"/>
      <c r="M521" s="88"/>
      <c r="N521" s="85"/>
      <c r="O521" s="87" t="str">
        <f>IF(C494="","",[1]AB5!$P$31)</f>
        <v>Wait Till Recalculation Time</v>
      </c>
      <c r="P521" s="85"/>
      <c r="Q521" s="89">
        <f>IF(C494="","",C512)</f>
        <v>0.38540972222222225</v>
      </c>
      <c r="R521" s="85"/>
      <c r="S521" s="87" t="str">
        <f>IF(C494="","",CONCATENATE(V521," ",[1]AB5!$Z$31," ",TEXT(W521,"0.00%")))</f>
        <v>09:14:59 AM HH + 0.40%</v>
      </c>
      <c r="T521" s="88"/>
      <c r="U521" s="85"/>
      <c r="V521" s="153" t="str">
        <f>IF(C494="","",CONCATENATE(TEXT(Q521,"HH:MM:SS AM/PM"),[1]AB5!$U$31))</f>
        <v>09:14:59 AM HH</v>
      </c>
      <c r="W521" s="90" t="str">
        <f t="array" ref="W521">IF(C494="","",TEXT(INDEX([1]AB4!BL:BL,MATCH(A503,[1]AB4!B:B,0)),"0.00%"))</f>
        <v>0.40%</v>
      </c>
      <c r="X521" s="91"/>
      <c r="Y521" s="12"/>
      <c r="Z521" s="12"/>
      <c r="AA521" s="59"/>
      <c r="AB521" s="68"/>
      <c r="AC521" s="68"/>
    </row>
    <row r="522" spans="1:29" ht="22.5" customHeight="1" x14ac:dyDescent="0.2">
      <c r="A522" s="152"/>
      <c r="B522" s="64"/>
      <c r="C522" s="59"/>
      <c r="D522" s="64"/>
      <c r="E522" s="59"/>
      <c r="F522" s="64"/>
      <c r="G522" s="95"/>
      <c r="H522" s="48"/>
      <c r="I522" s="95"/>
      <c r="J522" s="146"/>
      <c r="K522" s="87" t="str">
        <f>IF(C494="","",[1]AB5!$L$32)</f>
        <v>Recalcuate : Short FSL / TRP : Bear / Bear CF</v>
      </c>
      <c r="L522" s="88"/>
      <c r="M522" s="88"/>
      <c r="N522" s="85"/>
      <c r="O522" s="87" t="str">
        <f>IF(C494="","",[1]AB5!$P$32)</f>
        <v>Wait Till Recalculation Time</v>
      </c>
      <c r="P522" s="85"/>
      <c r="Q522" s="89">
        <f>IF(C494="","",C512)</f>
        <v>0.38540972222222225</v>
      </c>
      <c r="R522" s="85"/>
      <c r="S522" s="87" t="str">
        <f>IF(C495="","",CONCATENATE(V522," ",[1]AB5!$Z$31," ",TEXT(W522,"0.00%")))</f>
        <v>09:14:59 AM HH + 0.40%</v>
      </c>
      <c r="T522" s="88"/>
      <c r="U522" s="85"/>
      <c r="V522" s="153" t="str">
        <f>IF(C494="","",CONCATENATE(TEXT(Q521,"HH:MM:SS AM/PM"),[1]AB5!$U$32))</f>
        <v>09:14:59 AM HH</v>
      </c>
      <c r="W522" s="90" t="str">
        <f t="array" ref="W522">IF(C494="","",TEXT(INDEX([1]AB4!BL:BL,MATCH(A503,[1]AB4!B:B,0)),"0.00%"))</f>
        <v>0.40%</v>
      </c>
      <c r="X522" s="91"/>
      <c r="Y522" s="145"/>
      <c r="Z522" s="145"/>
      <c r="AA522" s="104"/>
      <c r="AB522" s="68"/>
      <c r="AC522" s="68"/>
    </row>
    <row r="523" spans="1:29" ht="33" customHeight="1" x14ac:dyDescent="0.2">
      <c r="A523" s="152"/>
      <c r="B523" s="64"/>
      <c r="C523" s="59"/>
      <c r="D523" s="64"/>
      <c r="E523" s="59"/>
      <c r="F523" s="64"/>
      <c r="G523" s="95"/>
      <c r="H523" s="48"/>
      <c r="I523" s="95"/>
      <c r="J523" s="146"/>
      <c r="K523" s="87" t="str">
        <f>IF(C494="","",[1]AB5!$L$33)</f>
        <v>Recalcuate : Long Entry : Bull / Bull CF</v>
      </c>
      <c r="L523" s="88"/>
      <c r="M523" s="88"/>
      <c r="N523" s="85"/>
      <c r="O523" s="87" t="str">
        <f>IF(C494="","",[1]AB5!$P$33)</f>
        <v>Wait Till Recalculation Time</v>
      </c>
      <c r="P523" s="85"/>
      <c r="Q523" s="89">
        <f>IF(C494="","",C508)</f>
        <v>0.38540972222222225</v>
      </c>
      <c r="R523" s="85"/>
      <c r="S523" s="98" t="str">
        <f>IF(C494="","",CONCATENATE([1]AB5!$T$33," ( ",G494," or ",V523," ",[1]AB5!$Z$33," ",TEXT(W523,"0.00%")," )"))</f>
        <v>Max ( FUT : PRV : 1DHH + 0.00% or 09:14:59 AM HH + 0.40% )</v>
      </c>
      <c r="T523" s="88"/>
      <c r="U523" s="85"/>
      <c r="V523" s="99" t="str">
        <f>IF(C494="","",CONCATENATE(TEXT(Q523,"HH:MM:SS AM/PM"),[1]AB5!$U$33))</f>
        <v>09:14:59 AM HH</v>
      </c>
      <c r="W523" s="90" t="str">
        <f t="array" ref="W523">IF(C494="","",TEXT(INDEX([1]AB4!BK:BK,MATCH(A494,[1]AB4!B:B,0)),"0.00%"))</f>
        <v>0.40%</v>
      </c>
      <c r="X523" s="91"/>
      <c r="Y523" s="117" t="str">
        <f>IF(C494="","",[1]AB5!$AA$33)</f>
        <v>When Your Short Position is Exited</v>
      </c>
      <c r="Z523" s="118"/>
      <c r="AA523" s="59"/>
      <c r="AB523" s="68"/>
      <c r="AC523" s="68"/>
    </row>
    <row r="524" spans="1:29" ht="33" customHeight="1" thickBot="1" x14ac:dyDescent="0.25">
      <c r="A524" s="152"/>
      <c r="B524" s="60"/>
      <c r="C524" s="66"/>
      <c r="D524" s="60"/>
      <c r="E524" s="66"/>
      <c r="F524" s="60"/>
      <c r="G524" s="121"/>
      <c r="H524" s="102"/>
      <c r="I524" s="121"/>
      <c r="J524" s="122"/>
      <c r="K524" s="154" t="str">
        <f>IF(C494="","",[1]AB5!$L$34)</f>
        <v>Recalcuate : Long Entry : Bear / Bear CF</v>
      </c>
      <c r="L524" s="124"/>
      <c r="M524" s="124"/>
      <c r="N524" s="38"/>
      <c r="O524" s="154" t="str">
        <f>IF(C494="","",[1]AB5!$P$34)</f>
        <v>Wait Till Recalculation Time</v>
      </c>
      <c r="P524" s="38"/>
      <c r="Q524" s="155">
        <f>IF(C494="","",C508)</f>
        <v>0.38540972222222225</v>
      </c>
      <c r="R524" s="38"/>
      <c r="S524" s="156" t="str">
        <f>IF(C494="","",CONCATENATE([1]AB5!$T$34," ( ",G500," or ",V524," ",[1]AB5!$Z$34," ",TEXT(W524,"0.00%")," )"))</f>
        <v>Max ( FUT : PRV : 2DHH + 0.40% or 09:14:59 AM HH + 0.40% )</v>
      </c>
      <c r="T524" s="124"/>
      <c r="U524" s="38"/>
      <c r="V524" s="157" t="str">
        <f>IF(C494="","",CONCATENATE(TEXT(Q524,"HH:MM:SS AM/PM"),[1]AB5!$U$34))</f>
        <v>09:14:59 AM HH</v>
      </c>
      <c r="W524" s="158" t="str">
        <f t="array" ref="W524">IF(C494="","",TEXT(INDEX([1]AB4!BK:BK,MATCH(A500,[1]AB4!B:B,0)),"0.00%"))</f>
        <v>0.40%</v>
      </c>
      <c r="X524" s="41"/>
      <c r="Y524" s="117" t="str">
        <f>IF(C494="","",[1]AB5!$AA$34)</f>
        <v>This is Only Applicable for Same Day</v>
      </c>
      <c r="Z524" s="118"/>
      <c r="AA524" s="59"/>
      <c r="AB524" s="68"/>
      <c r="AC524" s="68"/>
    </row>
    <row r="525" spans="1:29" ht="21.75" customHeight="1" thickBot="1" x14ac:dyDescent="0.25">
      <c r="A525" s="152"/>
      <c r="B525" s="69" t="str">
        <f>IF(C494="","",[1]AB5!$B$35)</f>
        <v>For Missed SL (Position = Open)</v>
      </c>
      <c r="C525" s="29"/>
      <c r="D525" s="70" t="str">
        <f>IF(C494="","",[1]AB5!$D$36)</f>
        <v>Note: ( Optional )</v>
      </c>
      <c r="E525" s="71"/>
      <c r="F525" s="159" t="str">
        <f>IF(C494="","",[1]AB5!$I$35)</f>
        <v>For Long SL</v>
      </c>
      <c r="G525" s="136"/>
      <c r="H525" s="136"/>
      <c r="I525" s="136"/>
      <c r="J525" s="136"/>
      <c r="K525" s="136"/>
      <c r="L525" s="136"/>
      <c r="M525" s="136"/>
      <c r="N525" s="136"/>
      <c r="O525" s="136"/>
      <c r="P525" s="133"/>
      <c r="Q525" s="159" t="str">
        <f>IF(N494="","",[1]AB5!$T$35)</f>
        <v>For Short SL</v>
      </c>
      <c r="R525" s="136"/>
      <c r="S525" s="136"/>
      <c r="T525" s="136"/>
      <c r="U525" s="136"/>
      <c r="V525" s="136"/>
      <c r="W525" s="136"/>
      <c r="X525" s="136"/>
      <c r="Y525" s="136"/>
      <c r="Z525" s="136"/>
      <c r="AA525" s="133"/>
      <c r="AB525" s="68"/>
      <c r="AC525" s="68"/>
    </row>
    <row r="526" spans="1:29" ht="36" customHeight="1" x14ac:dyDescent="0.2">
      <c r="A526" s="152"/>
      <c r="B526" s="160" t="str">
        <f>IF(C494="","",[1]AB5!$B$36)</f>
        <v>Check time</v>
      </c>
      <c r="C526" s="91"/>
      <c r="D526" s="64"/>
      <c r="E526" s="59"/>
      <c r="F526" s="161" t="str">
        <f>IF(C494="","",CONCATENATE([1]AB5!$G$36,TEXT(B527,"HH:MM:SS AM/PM"),[1]AB5!$B$37,[1]AB5!$H$36))</f>
        <v>Check If Close at 11:00:00 PM  &lt; Long Original SL</v>
      </c>
      <c r="G526" s="85"/>
      <c r="H526" s="162" t="str">
        <f>IF(C494="","",[1]AB5!$I$36)</f>
        <v>Yes</v>
      </c>
      <c r="I526" s="105"/>
      <c r="J526" s="163" t="str">
        <f>IF(C494="","",CONCATENATE([1]AB5!$K$36,TEXT(B527,"HH:MM:SS AM/PM")))</f>
        <v xml:space="preserve"> Then Square Off The Position At CMP at 11:00:00 PM</v>
      </c>
      <c r="K526" s="145"/>
      <c r="L526" s="145"/>
      <c r="M526" s="145"/>
      <c r="N526" s="145"/>
      <c r="O526" s="145"/>
      <c r="P526" s="104"/>
      <c r="Q526" s="164" t="str">
        <f>IF(C494="","",CONCATENATE([1]AB5!$T$36,TEXT(B527,"HH:MM:SS AM/PM"),[1]AB5!$B$37,[1]AB5!$U$36))</f>
        <v>Check If Close at 11:00:00 PM  &gt; Short Original SL</v>
      </c>
      <c r="R526" s="145"/>
      <c r="S526" s="105"/>
      <c r="T526" s="165" t="str">
        <f>IF(C494="","",[1]AB5!$I$36)</f>
        <v>Yes</v>
      </c>
      <c r="U526" s="166" t="str">
        <f>IF(C494="","",CONCATENATE([1]AB5!$W$36,TEXT(B527,"HH:MM:SS AM/PM")))</f>
        <v xml:space="preserve"> Then Square Off The Position At CMP at 11:00:00 PM</v>
      </c>
      <c r="V526" s="145"/>
      <c r="W526" s="145"/>
      <c r="X526" s="145"/>
      <c r="Y526" s="145"/>
      <c r="Z526" s="145"/>
      <c r="AA526" s="104"/>
      <c r="AB526" s="68"/>
      <c r="AC526" s="167"/>
    </row>
    <row r="527" spans="1:29" ht="36" customHeight="1" thickBot="1" x14ac:dyDescent="0.25">
      <c r="A527" s="152"/>
      <c r="B527" s="168">
        <f t="array" ref="B527">IF(C494="","",INDEX([1]AB4!CU:CU,MATCH(A515,[1]AB4!B:B,0)))</f>
        <v>0.95833333333333326</v>
      </c>
      <c r="C527" s="41"/>
      <c r="D527" s="60"/>
      <c r="E527" s="66"/>
      <c r="F527" s="169" t="str">
        <f>IF(C494="","",CONCATENATE([1]AB5!$G$37,TEXT(B527,"HH:MM:SS AM/PM"),[1]AB5!$B$37,[1]AB5!$H$37))</f>
        <v>Check If Close at 11:00:00 PM  &gt; Long Original SL</v>
      </c>
      <c r="G527" s="38"/>
      <c r="H527" s="170" t="str">
        <f>IF(C494="","",[1]AB5!$I$37)</f>
        <v>Yes</v>
      </c>
      <c r="I527" s="38"/>
      <c r="J527" s="156" t="str">
        <f>IF(C494="","",CONCATENATE([1]AB5!$K$37))</f>
        <v xml:space="preserve"> Then Continue the Position for Next Day And Calculate Stop Loss Price as per the Rules</v>
      </c>
      <c r="K527" s="124"/>
      <c r="L527" s="124"/>
      <c r="M527" s="124"/>
      <c r="N527" s="124"/>
      <c r="O527" s="124"/>
      <c r="P527" s="41"/>
      <c r="Q527" s="169" t="str">
        <f>IF(C494="","",CONCATENATE([1]AB5!$T$37,TEXT(B527,"HH:MM:SS AM/PM"),[1]AB5!$B$37,[1]AB5!$U$37))</f>
        <v>Check If Close at 11:00:00 PM  &lt; Short Original SL</v>
      </c>
      <c r="R527" s="124"/>
      <c r="S527" s="38"/>
      <c r="T527" s="171" t="str">
        <f>IF(C495="","",[1]AB5!$I$36)</f>
        <v>Yes</v>
      </c>
      <c r="U527" s="156" t="str">
        <f>IF(C494="","",CONCATENATE([1]AB5!$W$37))</f>
        <v xml:space="preserve"> Then Continue the Position for Next Day And Calculate Stop Loss Price as per the Rules</v>
      </c>
      <c r="V527" s="124"/>
      <c r="W527" s="124"/>
      <c r="X527" s="124"/>
      <c r="Y527" s="124"/>
      <c r="Z527" s="124"/>
      <c r="AA527" s="41"/>
      <c r="AB527" s="68"/>
      <c r="AC527" s="167"/>
    </row>
    <row r="528" spans="1:29" ht="15.75" customHeight="1" thickBot="1" x14ac:dyDescent="0.25">
      <c r="A528" s="177"/>
    </row>
    <row r="529" spans="1:29" ht="30.75" customHeight="1" x14ac:dyDescent="0.2">
      <c r="A529" s="18" t="str">
        <f>IF(C529="","",CONCATENATE(C530,[1]AB5!$A$4))</f>
        <v>S16A</v>
      </c>
      <c r="B529" s="20" t="str">
        <f>IF(C529="","",IF([1]AB5!$B$4="","",[1]AB5!$B$4))</f>
        <v>Sr. No.</v>
      </c>
      <c r="C529" s="172">
        <v>16</v>
      </c>
      <c r="D529" s="173" t="str">
        <f>IF(C529="","",[1]AB5!$D$4)</f>
        <v>BULL / BULL CF</v>
      </c>
      <c r="E529" s="57" t="str">
        <f>IF(C529="","",[1]AB5!$F$4)</f>
        <v>BUY</v>
      </c>
      <c r="F529" s="58" t="str">
        <f>IF(C529="","",[1]AB5!$G$4)</f>
        <v>E &amp; T</v>
      </c>
      <c r="G529" s="25" t="str">
        <f t="array" ref="G529">IF(C529="","",CONCATENATE(INDEX([1]AB4!G:G,MATCH(A529,[1]AB4!B:B,0)),INDEX([1]AB4!H:H,MATCH(A529,[1]AB4!B:B,0)),TEXT(INDEX([1]AB4!I:I,MATCH(A529,[1]AB4!B:B,0)),"0.00%")))</f>
        <v>FUT : PRV : 2DHH + 0.00%</v>
      </c>
      <c r="H529" s="26">
        <f t="array" ref="H529">IF(C529="","",INDEX([1]AB4!J:J,MATCH(A529,[1]AB4!B:B,0)))</f>
        <v>5</v>
      </c>
      <c r="I529" s="27"/>
      <c r="J529" s="28" t="str">
        <f t="array" ref="J529">IF(C529="","",CONCATENATE(INDEX([1]AB4!L:L,MATCH(A529,[1]AB4!B:B,0)),INDEX([1]AB4!M:M,MATCH(A529,[1]AB4!B:B,0)),TEXT(INDEX([1]AB4!N:N,MATCH(A529,[1]AB4!B:B,0)),"0.00%")))</f>
        <v>L : Entry  + 3.00%</v>
      </c>
      <c r="K529" s="26">
        <f t="array" ref="K529">IF(C529="","",INDEX([1]AB4!O:O,MATCH(A529,[1]AB4!B:B,0)))</f>
        <v>1</v>
      </c>
      <c r="L529" s="27"/>
      <c r="M529" s="28" t="str">
        <f t="array" ref="M529">IF(C529="","",CONCATENATE(INDEX([1]AB4!L:L,MATCH(A529,[1]AB4!B:B,0)),INDEX([1]AB4!M:M,MATCH(A529,[1]AB4!B:B,0)),TEXT(INDEX([1]AB4!P:P,MATCH(A529,[1]AB4!B:B,0)),"0.00%")))</f>
        <v>L : Entry  + 4.00%</v>
      </c>
      <c r="N529" s="26">
        <f t="array" ref="N529">IF(C529="","",INDEX([1]AB4!Q:Q,MATCH(A529,[1]AB4!B:B,0)))</f>
        <v>1</v>
      </c>
      <c r="O529" s="27"/>
      <c r="P529" s="28" t="str">
        <f t="array" ref="P529">IF(C529="","",CONCATENATE(INDEX([1]AB4!L:L,MATCH(A529,[1]AB4!B:B,0)),INDEX([1]AB4!M:M,MATCH(A529,[1]AB4!B:B,0)),TEXT(INDEX([1]AB4!R:R,MATCH(A529,[1]AB4!B:B,0)),"0.00%")))</f>
        <v>L : Entry  + 5.00%</v>
      </c>
      <c r="Q529" s="26">
        <f t="array" ref="Q529">IF(C529="","",INDEX([1]AB4!S:S,MATCH(A529,[1]AB4!B:B,0)))</f>
        <v>1</v>
      </c>
      <c r="R529" s="27"/>
      <c r="S529" s="28" t="str">
        <f t="array" ref="S529">IF(C529="","",CONCATENATE(INDEX([1]AB4!L:L,MATCH(A529,[1]AB4!B:B,0)),INDEX([1]AB4!M:M,MATCH(A529,[1]AB4!B:B,0)),TEXT(INDEX([1]AB4!T:T,MATCH(A529,[1]AB4!B:B,0)),"0.00%")))</f>
        <v>L : Entry  + 6.00%</v>
      </c>
      <c r="T529" s="26">
        <f t="array" ref="T529">IF(C529="","",INDEX([1]AB4!U:U,MATCH(A529,[1]AB4!B:B,0)))</f>
        <v>1</v>
      </c>
      <c r="U529" s="27"/>
      <c r="V529" s="28" t="str">
        <f t="array" ref="V529">IF(C529="","",INDEX([1]AB4!V:V,MATCH(A529,[1]AB4!B:B,0)))</f>
        <v>TR PROFIT AFTER TGT 4</v>
      </c>
      <c r="W529" s="26">
        <f t="array" ref="W529">IF(C529="","",INDEX([1]AB4!W:W,MATCH(A529,[1]AB4!B:B,0)))</f>
        <v>1</v>
      </c>
      <c r="X529" s="27"/>
      <c r="Y529" s="28" t="str">
        <f t="array" ref="Y529">IF(C529="","",INDEX([1]AB4!X:X,MATCH(A529,[1]AB4!B:B,0)))</f>
        <v>N.A.</v>
      </c>
      <c r="Z529" s="26" t="str">
        <f t="array" ref="Z529">IF(C529="","",INDEX([1]AB4!Y:Y,MATCH(A529,[1]AB4!B:B,0)))</f>
        <v>N.A.</v>
      </c>
      <c r="AA529" s="29"/>
      <c r="AB529" s="30"/>
      <c r="AC529" s="30"/>
    </row>
    <row r="530" spans="1:29" ht="44.25" customHeight="1" thickBot="1" x14ac:dyDescent="0.25">
      <c r="A530" s="18" t="str">
        <f>IF(C529="","",CONCATENATE(C530,[1]AB5!$A$5))</f>
        <v>S16A</v>
      </c>
      <c r="B530" s="31" t="str">
        <f>IF(C529="","",IF([1]AB5!$B$5="","",[1]AB5!$B$5))</f>
        <v>Strategy Code</v>
      </c>
      <c r="C530" s="54" t="str">
        <f t="array" ref="C530">IF(C529="","",INDEX([1]AB2!B:B,MATCH(C529,[1]AB2!A:A,0)))</f>
        <v>S16</v>
      </c>
      <c r="D530" s="59"/>
      <c r="E530" s="60"/>
      <c r="F530" s="61" t="str">
        <f>IF(C529="","",[1]AB5!$G$5)</f>
        <v>SL / TRP</v>
      </c>
      <c r="G530" s="36" t="str">
        <f t="array" ref="G530">IF(C529="","",CONCATENATE(INDEX([1]AB4!AA:AA,MATCH(A530,[1]AB4!B:B,0))," ( ",INDEX([1]AB4!AE:AE,MATCH(A530,[1]AB4!B:B,0)),INDEX([1]AB4!AF:AF,MATCH(A530,[1]AB4!B:B,0)),TEXT(INDEX([1]AB4!AG:AG,MATCH(A530,[1]AB4!B:B,0)),"0.00%")," or ",INDEX([1]AB4!AK:AK,MATCH(A530,[1]AB4!B:B,0)),INDEX([1]AB4!AJ:AJ,MATCH(A530,[1]AB4!B:B,0)),TEXT(INDEX([1]AB4!AL:AL,MATCH(A530,[1]AB4!B:B,0)),"0.00%")," )"))</f>
        <v>Max ( L : Entry - 3.00% or FUT : PRV : 3DLL - 1.00% )</v>
      </c>
      <c r="H530" s="37">
        <f t="array" ref="H530">IF(C530="","",INDEX([1]AB4!AM:AM,MATCH(A530,[1]AB4!B:B,0)))</f>
        <v>5</v>
      </c>
      <c r="I530" s="38"/>
      <c r="J530" s="36" t="str">
        <f t="array" ref="J530">IF(C529="","",CONCATENATE(INDEX([1]AB4!AA:AA,MATCH(A530,[1]AB4!B:B,0))," ( ",INDEX([1]AB4!AE:AE,MATCH(A530,[1]AB4!B:B,0))," or ",INDEX([1]AB4!AN:AN,MATCH(A530,[1]AB4!B:B,0)),INDEX([1]AB4!AJ:AJ,MATCH(A530,[1]AB4!B:B,0)),TEXT(INDEX([1]AB4!AO:AO,MATCH(A530,[1]AB4!B:B,0)),"0.00%")," )"))</f>
        <v>Max ( L : Entry or FUT : PRV : 3DLL - 1.00% )</v>
      </c>
      <c r="K530" s="37">
        <f t="array" ref="K530">IF(C529="","",INDEX([1]AB4!AP:AP,MATCH(A530,[1]AB4!B:B,0)))</f>
        <v>4</v>
      </c>
      <c r="L530" s="38"/>
      <c r="M530" s="36" t="str">
        <f t="array" ref="M530">IF(C529="","",CONCATENATE(INDEX([1]AB4!AA:AA,MATCH(A530,[1]AB4!B:B,0))," ( ",INDEX([1]AB4!AE:AE,MATCH(A530,[1]AB4!B:B,0))," or ",INDEX([1]AB4!AQ:AQ,MATCH(A530,[1]AB4!B:B,0)),INDEX([1]AB4!AJ:AJ,MATCH(A530,[1]AB4!B:B,0)),TEXT(INDEX([1]AB4!AR:AR,MATCH(A530,[1]AB4!B:B,0)),"0.00%")," )"))</f>
        <v>Max ( L : Entry or FUT : PRV : 3DLL - 1.00% )</v>
      </c>
      <c r="N530" s="37">
        <f t="array" ref="N530">IF(C530="","",INDEX([1]AB4!AS:AS,MATCH(A530,[1]AB4!B:B,0)))</f>
        <v>3</v>
      </c>
      <c r="O530" s="38"/>
      <c r="P530" s="36" t="str">
        <f t="array" ref="P530">IF(C529="","",CONCATENATE(INDEX([1]AB4!AA:AA,MATCH(A530,[1]AB4!B:B,0))," ( ",INDEX([1]AB4!AE:AE,MATCH(A530,[1]AB4!B:B,0))," or ",INDEX([1]AB4!AT:AT,MATCH(A530,[1]AB4!B:B,0)),INDEX([1]AB4!AJ:AJ,MATCH(A530,[1]AB4!B:B,0)),TEXT(INDEX([1]AB4!AU:AU,MATCH(A530,[1]AB4!B:B,0)),"0.00%")," )"))</f>
        <v>Max ( L : Entry or FUT : PRV : 3DLL - 1.00% )</v>
      </c>
      <c r="Q530" s="37">
        <f t="array" ref="Q530">IF(C530="","",INDEX([1]AB4!AV:AV,MATCH(A530,[1]AB4!B:B,0)))</f>
        <v>2</v>
      </c>
      <c r="R530" s="38"/>
      <c r="S530" s="36" t="str">
        <f t="array" ref="S530">IF(C529="","",CONCATENATE(INDEX([1]AB4!AA:AA,MATCH(A530,[1]AB4!B:B,0))," ( ",INDEX([1]AB4!AE:AE,MATCH(A530,[1]AB4!B:B,0))," or ",INDEX([1]AB4!AW:AW,MATCH(A530,[1]AB4!B:B,0)),INDEX([1]AB4!AJ:AJ,MATCH(A530,[1]AB4!B:B,0)),TEXT(INDEX([1]AB4!AX:AX,MATCH(A530,[1]AB4!B:B,0)),"0.00%")," )"))</f>
        <v>Max ( L : Entry or FUT : PRV : 3DLL - 1.00% )</v>
      </c>
      <c r="T530" s="37">
        <f t="array" ref="T530">IF(C529="","",INDEX([1]AB4!AY:AY,MATCH(A530,[1]AB4!B:B,0)))</f>
        <v>1</v>
      </c>
      <c r="U530" s="38"/>
      <c r="V530" s="36" t="str">
        <f t="array" ref="V530">IF(C529="","",CONCATENATE(INDEX([1]AB4!AA:AA,MATCH(A530,[1]AB4!B:B,0))," ( ",INDEX([1]AB4!AE:AE,MATCH(A530,[1]AB4!B:B,0))," or ",INDEX([1]AB4!AW:AW,MATCH(A530,[1]AB4!B:B,0)),INDEX([1]AB4!AJ:AJ,MATCH(A530,[1]AB4!B:B,0)),TEXT(INDEX([1]AB4!AX:AX,MATCH(A530,[1]AB4!B:B,0)),"0.00%")," )"))</f>
        <v>Max ( L : Entry or FUT : PRV : 3DLL - 1.00% )</v>
      </c>
      <c r="W530" s="37">
        <f t="array" ref="W530">IF(C529="","",INDEX([1]AB4!AY:AY,MATCH(A530,[1]AB4!B:B,0)))</f>
        <v>1</v>
      </c>
      <c r="X530" s="38"/>
      <c r="Y530" s="40">
        <f t="array" ref="Y530">IF(C529="","",INDEX([1]AB4!AZ:AZ,MATCH(A530,[1]AB4!B:B,0)))</f>
        <v>0</v>
      </c>
      <c r="Z530" s="37">
        <f t="array" ref="Z530">IF(C529="","",INDEX([1]AB4!BB:BB,MATCH(A530,[1]AB4!B:B,0)))</f>
        <v>0</v>
      </c>
      <c r="AA530" s="41"/>
      <c r="AB530" s="30"/>
      <c r="AC530" s="30"/>
    </row>
    <row r="531" spans="1:29" ht="6" customHeight="1" thickBot="1" x14ac:dyDescent="0.25">
      <c r="A531" s="18" t="str">
        <f>IF(C529="","",CONCATENATE(C530,[1]AB5!A541))</f>
        <v>S16</v>
      </c>
      <c r="B531" s="42" t="str">
        <f>IF(C529="","",IF([1]AB5!$B$6="","",[1]AB5!$B$6))</f>
        <v>Unique Code</v>
      </c>
      <c r="C531" s="174" t="str">
        <f t="array" ref="C531">IF(C529="","",INDEX([1]AB2!N:N,MATCH(C529,[1]AB2!A:A,0)))</f>
        <v>NATURALGAS_FUT_MT_DIFF_2D_3D</v>
      </c>
      <c r="D531" s="59"/>
      <c r="E531" s="44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6"/>
      <c r="AB531" s="30"/>
      <c r="AC531" s="30"/>
    </row>
    <row r="532" spans="1:29" ht="30.75" customHeight="1" x14ac:dyDescent="0.2">
      <c r="A532" s="18" t="str">
        <f>IF(C529="","",CONCATENATE(C530,[1]AB5!$A$7))</f>
        <v>S16B</v>
      </c>
      <c r="B532" s="47"/>
      <c r="C532" s="175"/>
      <c r="D532" s="59"/>
      <c r="E532" s="65" t="str">
        <f>IF(C529="","",[1]AB5!$F$7)</f>
        <v>SELL</v>
      </c>
      <c r="F532" s="58" t="str">
        <f>IF(C529="","",[1]AB5!$G$7)</f>
        <v>E &amp; T</v>
      </c>
      <c r="G532" s="25" t="str">
        <f t="array" ref="G532">IF(C529="","",CONCATENATE(INDEX([1]AB4!G:G,MATCH(A532,[1]AB4!B:B,0)),INDEX([1]AB4!H:H,MATCH(A532,[1]AB4!B:B,0)),TEXT(INDEX([1]AB4!I:I,MATCH(A532,[1]AB4!B:B,0)),"0.00%")))</f>
        <v>FUT : PRV : 3DLL - 1.00%</v>
      </c>
      <c r="H532" s="26">
        <f t="array" ref="H532">IF(C529="","",INDEX([1]AB4!J:J,MATCH(A532,[1]AB4!B:B,0)))</f>
        <v>5</v>
      </c>
      <c r="I532" s="27"/>
      <c r="J532" s="28" t="str">
        <f t="array" ref="J532">IF(C529="","",CONCATENATE(INDEX([1]AB4!L:L,MATCH(A532,[1]AB4!B:B,0)),INDEX([1]AB4!M:M,MATCH(A532,[1]AB4!B:B,0)),TEXT(INDEX([1]AB4!N:N,MATCH(A532,[1]AB4!B:B,0)),"0.00%")))</f>
        <v>S : Entry  - 3.00%</v>
      </c>
      <c r="K532" s="26">
        <f t="array" ref="K532">IF(C529="","",INDEX([1]AB4!O:O,MATCH(A532,[1]AB4!B:B,0)))</f>
        <v>1</v>
      </c>
      <c r="L532" s="27"/>
      <c r="M532" s="28" t="str">
        <f t="array" ref="M532">IF(C529="","",CONCATENATE(INDEX([1]AB4!L:L,MATCH(A532,[1]AB4!B:B,0)),INDEX([1]AB4!M:M,MATCH(A532,[1]AB4!B:B,0)),TEXT(INDEX([1]AB4!P:P,MATCH(A532,[1]AB4!B:B,0)),"0.00%")))</f>
        <v>S : Entry  - 4.00%</v>
      </c>
      <c r="N532" s="26">
        <f t="array" ref="N532">IF(C529="","",INDEX([1]AB4!Q:Q,MATCH(A532,[1]AB4!B:B,0)))</f>
        <v>1</v>
      </c>
      <c r="O532" s="27"/>
      <c r="P532" s="28" t="str">
        <f t="array" ref="P532">IF(C529="","",CONCATENATE(INDEX([1]AB4!L:L,MATCH(A532,[1]AB4!B:B,0)),INDEX([1]AB4!M:M,MATCH(A532,[1]AB4!B:B,0)),TEXT(INDEX([1]AB4!R:R,MATCH(A532,[1]AB4!B:B,0)),"0.00%")))</f>
        <v>S : Entry  - 5.00%</v>
      </c>
      <c r="Q532" s="26">
        <f t="array" ref="Q532">IF(C529="","",INDEX([1]AB4!S:S,MATCH(A532,[1]AB4!B:B,0)))</f>
        <v>1</v>
      </c>
      <c r="R532" s="27"/>
      <c r="S532" s="28" t="str">
        <f t="array" ref="S532">IF(C529="","",CONCATENATE(INDEX([1]AB4!L:L,MATCH(A532,[1]AB4!B:B,0)),INDEX([1]AB4!M:M,MATCH(A532,[1]AB4!B:B,0)),TEXT(INDEX([1]AB4!T:T,MATCH(A532,[1]AB4!B:B,0)),"0.00%")))</f>
        <v>S : Entry  - 6.00%</v>
      </c>
      <c r="T532" s="26">
        <f t="array" ref="T532">IF(C529="","",INDEX([1]AB4!U:U,MATCH(A532,[1]AB4!B:B,0)))</f>
        <v>1</v>
      </c>
      <c r="U532" s="27"/>
      <c r="V532" s="28" t="str">
        <f t="array" ref="V532">IF(C529="","",INDEX([1]AB4!V:V,MATCH(A532,[1]AB4!B:B,0)))</f>
        <v>TR PROFIT AFTER TGT 4</v>
      </c>
      <c r="W532" s="26">
        <f t="array" ref="W532">IF(C529="","",INDEX([1]AB4!W:W,MATCH(A532,[1]AB4!B:B,0)))</f>
        <v>1</v>
      </c>
      <c r="X532" s="27"/>
      <c r="Y532" s="28" t="str">
        <f t="array" ref="Y532">IF(C529="","",INDEX([1]AB4!X:X,MATCH(A532,[1]AB4!B:B,0)))</f>
        <v>N.A.</v>
      </c>
      <c r="Z532" s="26" t="str">
        <f t="array" ref="Z532">IF(C529="","",INDEX([1]AB4!Y:Y,MATCH(A532,[1]AB4!B:B,0)))</f>
        <v>N.A.</v>
      </c>
      <c r="AA532" s="29"/>
      <c r="AB532" s="30"/>
      <c r="AC532" s="30"/>
    </row>
    <row r="533" spans="1:29" ht="44.25" customHeight="1" thickBot="1" x14ac:dyDescent="0.25">
      <c r="A533" s="18" t="str">
        <f>IF(C529="","",CONCATENATE(C530,[1]AB5!$A$8))</f>
        <v>S16B</v>
      </c>
      <c r="B533" s="50"/>
      <c r="C533" s="176"/>
      <c r="D533" s="66"/>
      <c r="E533" s="60"/>
      <c r="F533" s="61" t="str">
        <f>IF(C529="","",[1]AB5!$G$8)</f>
        <v>SL / TRP</v>
      </c>
      <c r="G533" s="36" t="str">
        <f t="array" ref="G533">IF(C529="","",CONCATENATE(INDEX([1]AB4!AA:AA,MATCH(A533,[1]AB4!B:B,0))," ( ",INDEX([1]AB4!AE:AE,MATCH(A533,[1]AB4!B:B,0)),INDEX([1]AB4!AF:AF,MATCH(A533,[1]AB4!B:B,0)),TEXT(INDEX([1]AB4!AG:AG,MATCH(A533,[1]AB4!B:B,0)),"0.00%")," or ",INDEX([1]AB4!AK:AK,MATCH(A533,[1]AB4!B:B,0)),INDEX([1]AB4!AJ:AJ,MATCH(A533,[1]AB4!B:B,0)),TEXT(INDEX([1]AB4!AL:AL,MATCH(A533,[1]AB4!B:B,0)),"0.00%")," )"))</f>
        <v>Min ( S : Entry + 3.00% or FUT : PRV : 2DHH + 0.00% )</v>
      </c>
      <c r="H533" s="37">
        <f t="array" ref="H533">IF(C529="","",INDEX([1]AB4!AM:AM,MATCH(A533,[1]AB4!B:B,0)))</f>
        <v>5</v>
      </c>
      <c r="I533" s="38"/>
      <c r="J533" s="36" t="str">
        <f t="array" ref="J533">IF(C529="","",CONCATENATE(INDEX([1]AB4!AA:AA,MATCH(A533,[1]AB4!B:B,0))," ( ",INDEX([1]AB4!AE:AE,MATCH(A533,[1]AB4!B:B,0))," or ",INDEX([1]AB4!AN:AN,MATCH(A533,[1]AB4!B:B,0)),INDEX([1]AB4!AJ:AJ,MATCH(A533,[1]AB4!B:B,0)),TEXT(INDEX([1]AB4!AO:AO,MATCH(A533,[1]AB4!B:B,0)),"0.00%")," )"))</f>
        <v>Min ( S : Entry or FUT : PRV : 2DHH + 0.00% )</v>
      </c>
      <c r="K533" s="37">
        <f t="array" ref="K533">IF(C529="","",INDEX([1]AB4!AP:AP,MATCH(A533,[1]AB4!B:B,0)))</f>
        <v>4</v>
      </c>
      <c r="L533" s="38"/>
      <c r="M533" s="36" t="str">
        <f t="array" ref="M533">IF(C529="","",CONCATENATE(INDEX([1]AB4!AA:AA,MATCH(A533,[1]AB4!B:B,0))," ( ",INDEX([1]AB4!AE:AE,MATCH(A533,[1]AB4!B:B,0))," or ",INDEX([1]AB4!AQ:AQ,MATCH(A533,[1]AB4!B:B,0)),INDEX([1]AB4!AJ:AJ,MATCH(A533,[1]AB4!B:B,0)),TEXT(INDEX([1]AB4!AR:AR,MATCH(A533,[1]AB4!B:B,0)),"0.00%")," )"))</f>
        <v>Min ( S : Entry or FUT : PRV : 2DHH + 0.00% )</v>
      </c>
      <c r="N533" s="37">
        <f t="array" ref="N533">IF(C529="","",INDEX([1]AB4!AS:AS,MATCH(A533,[1]AB4!B:B,0)))</f>
        <v>3</v>
      </c>
      <c r="O533" s="38"/>
      <c r="P533" s="36" t="str">
        <f t="array" ref="P533">IF(C529="","",CONCATENATE(INDEX([1]AB4!AA:AA,MATCH(A533,[1]AB4!B:B,0))," ( ",INDEX([1]AB4!AE:AE,MATCH(A533,[1]AB4!B:B,0))," or ",INDEX([1]AB4!AT:AT,MATCH(A533,[1]AB4!B:B,0)),INDEX([1]AB4!AJ:AJ,MATCH(A533,[1]AB4!B:B,0)),TEXT(INDEX([1]AB4!AU:AU,MATCH(A533,[1]AB4!B:B,0)),"0.00%")," )"))</f>
        <v>Min ( S : Entry or FUT : PRV : 2DHH + 0.00% )</v>
      </c>
      <c r="Q533" s="37">
        <f t="array" ref="Q533">IF(C529="","",INDEX([1]AB4!AV:AV,MATCH(A533,[1]AB4!B:B,0)))</f>
        <v>2</v>
      </c>
      <c r="R533" s="38"/>
      <c r="S533" s="36" t="str">
        <f t="array" ref="S533">IF(C529="","",CONCATENATE(INDEX([1]AB4!AA:AA,MATCH(A533,[1]AB4!B:B,0))," ( ",INDEX([1]AB4!AE:AE,MATCH(A533,[1]AB4!B:B,0))," or ",INDEX([1]AB4!AW:AW,MATCH(A533,[1]AB4!B:B,0)),INDEX([1]AB4!AJ:AJ,MATCH(A533,[1]AB4!B:B,0)),TEXT(INDEX([1]AB4!AX:AX,MATCH(A533,[1]AB4!B:B,0)),"0.00%")," )"))</f>
        <v>Min ( S : Entry or FUT : PRV : 2DHH + 0.00% )</v>
      </c>
      <c r="T533" s="37">
        <f t="array" ref="T533">IF(C529="","",INDEX([1]AB4!AY:AY,MATCH(A533,[1]AB4!B:B,0)))</f>
        <v>1</v>
      </c>
      <c r="U533" s="38"/>
      <c r="V533" s="36" t="str">
        <f t="array" ref="V533">IF(C529="","",CONCATENATE(INDEX([1]AB4!AA:AA,MATCH(A533,[1]AB4!B:B,0))," ( ",INDEX([1]AB4!AE:AE,MATCH(A533,[1]AB4!B:B,0))," or ",INDEX([1]AB4!AW:AW,MATCH(A533,[1]AB4!B:B,0)),INDEX([1]AB4!AJ:AJ,MATCH(A533,[1]AB4!B:B,0)),TEXT(INDEX([1]AB4!AX:AX,MATCH(A533,[1]AB4!B:B,0)),"0.00%")," )"))</f>
        <v>Min ( S : Entry or FUT : PRV : 2DHH + 0.00% )</v>
      </c>
      <c r="W533" s="37">
        <f t="array" ref="W533">IF(C529="","",INDEX([1]AB4!AY:AY,MATCH(A533,[1]AB4!B:B,0)))</f>
        <v>1</v>
      </c>
      <c r="X533" s="38"/>
      <c r="Y533" s="40">
        <f t="array" ref="Y533">IF(C529="","",INDEX([1]AB4!AZ:AZ,MATCH(A533,[1]AB4!B:B,0)))</f>
        <v>0</v>
      </c>
      <c r="Z533" s="37">
        <f t="array" ref="Z533">IF(C529="","",INDEX([1]AB4!BB:BB,MATCH(A533,[1]AB4!B:B,0)))</f>
        <v>0</v>
      </c>
      <c r="AA533" s="41"/>
      <c r="AB533" s="30"/>
      <c r="AC533" s="30"/>
    </row>
    <row r="534" spans="1:29" ht="19.5" customHeight="1" thickBot="1" x14ac:dyDescent="0.25">
      <c r="A534" s="18" t="str">
        <f>IF(C529="","",CONCATENATE(C530,[1]AB5!$A$9))</f>
        <v>S16C</v>
      </c>
      <c r="B534" s="31" t="str">
        <f>IF(C529="","",IF([1]AB5!$B$9="","",[1]AB5!$B$9))</f>
        <v>Segment</v>
      </c>
      <c r="C534" s="54" t="str">
        <f t="array" ref="C534">IF(C529="","",INDEX([1]AB2!C:C,MATCH(C529,[1]AB2!A:A,0)))</f>
        <v>FUTURES</v>
      </c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30"/>
      <c r="AC534" s="30"/>
    </row>
    <row r="535" spans="1:29" ht="30.75" customHeight="1" x14ac:dyDescent="0.2">
      <c r="A535" s="18" t="str">
        <f>IF(C529="","",CONCATENATE(C530,[1]AB5!$A$10))</f>
        <v>S16D</v>
      </c>
      <c r="B535" s="31" t="str">
        <f>IF(C529="","",IF([1]AB5!$B$10="","",[1]AB5!$B$10))</f>
        <v>Symbol</v>
      </c>
      <c r="C535" s="54" t="str">
        <f t="array" ref="C535">IF(C529="","",INDEX([1]AB2!E:E,MATCH(C529,[1]AB2!A:A,0)))</f>
        <v>NATURALGAS</v>
      </c>
      <c r="D535" s="56" t="str">
        <f>IF(C529="","",IF(C529="","",[1]AB5!$D$10))</f>
        <v>BEAR / BEAR CF</v>
      </c>
      <c r="E535" s="57" t="str">
        <f>IF(C529="","",[1]AB5!$F$10)</f>
        <v>BUY</v>
      </c>
      <c r="F535" s="58" t="str">
        <f>IF(C529="","",[1]AB5!$G$10)</f>
        <v>E &amp; T</v>
      </c>
      <c r="G535" s="25" t="str">
        <f t="array" ref="G535">IF(C529="","",CONCATENATE(INDEX([1]AB4!G:G,MATCH(A535,[1]AB4!B:B,0)),INDEX([1]AB4!H:H,MATCH(A535,[1]AB4!B:B,0)),TEXT(INDEX([1]AB4!I:I,MATCH(A535,[1]AB4!B:B,0)),"0.00%")))</f>
        <v>FUT : PRV : 3DHH + 1.00%</v>
      </c>
      <c r="H535" s="26">
        <f t="array" ref="H535">IF(C529="","",INDEX([1]AB4!J:J,MATCH(A535,[1]AB4!B:B,0)))</f>
        <v>5</v>
      </c>
      <c r="I535" s="27"/>
      <c r="J535" s="28" t="str">
        <f t="array" ref="J535">IF(C529="","",CONCATENATE(INDEX([1]AB4!L:L,MATCH(A535,[1]AB4!B:B,0)),INDEX([1]AB4!M:M,MATCH(A535,[1]AB4!B:B,0)),TEXT(INDEX([1]AB4!N:N,MATCH(A535,[1]AB4!B:B,0)),"0.00%")))</f>
        <v>L : Entry  + 3.00%</v>
      </c>
      <c r="K535" s="26">
        <f t="array" ref="K535">IF(C529="","",INDEX([1]AB4!O:O,MATCH(A535,[1]AB4!B:B,0)))</f>
        <v>1</v>
      </c>
      <c r="L535" s="27"/>
      <c r="M535" s="28" t="str">
        <f t="array" ref="M535">IF(C529="","",CONCATENATE(INDEX([1]AB4!L:L,MATCH(A535,[1]AB4!B:B,0)),INDEX([1]AB4!M:M,MATCH(A535,[1]AB4!B:B,0)),TEXT(INDEX([1]AB4!P:P,MATCH(A535,[1]AB4!B:B,0)),"0.00%")))</f>
        <v>L : Entry  + 4.00%</v>
      </c>
      <c r="N535" s="26">
        <f t="array" ref="N535">IF(C529="","",INDEX([1]AB4!Q:Q,MATCH(A535,[1]AB4!B:B,0)))</f>
        <v>1</v>
      </c>
      <c r="O535" s="27"/>
      <c r="P535" s="28" t="str">
        <f t="array" ref="P535">IF(C529="","",CONCATENATE(INDEX([1]AB4!L:L,MATCH(A535,[1]AB4!B:B,0)),INDEX([1]AB4!M:M,MATCH(A535,[1]AB4!B:B,0)),TEXT(INDEX([1]AB4!R:R,MATCH(A535,[1]AB4!B:B,0)),"0.00%")))</f>
        <v>L : Entry  + 5.00%</v>
      </c>
      <c r="Q535" s="26">
        <f t="array" ref="Q535">IF(C529="","",INDEX([1]AB4!S:S,MATCH(A535,[1]AB4!B:B,0)))</f>
        <v>1</v>
      </c>
      <c r="R535" s="27"/>
      <c r="S535" s="28" t="str">
        <f t="array" ref="S535">IF(C529="","",CONCATENATE(INDEX([1]AB4!L:L,MATCH(A535,[1]AB4!B:B,0)),INDEX([1]AB4!M:M,MATCH(A535,[1]AB4!B:B,0)),TEXT(INDEX([1]AB4!T:T,MATCH(A535,[1]AB4!B:B,0)),"0.00%")))</f>
        <v>L : Entry  + 6.00%</v>
      </c>
      <c r="T535" s="26">
        <f t="array" ref="T535">IF(C529="","",INDEX([1]AB4!U:U,MATCH(A535,[1]AB4!B:B,0)))</f>
        <v>1</v>
      </c>
      <c r="U535" s="27"/>
      <c r="V535" s="28" t="str">
        <f t="array" ref="V535">IF(C529="","",INDEX([1]AB4!V:V,MATCH(A535,[1]AB4!B:B,0)))</f>
        <v>TR PROFIT AFTER TGT 4</v>
      </c>
      <c r="W535" s="26">
        <f t="array" ref="W535">IF(C529="","",INDEX([1]AB4!W:W,MATCH(A535,[1]AB4!B:B,0)))</f>
        <v>1</v>
      </c>
      <c r="X535" s="27"/>
      <c r="Y535" s="28" t="str">
        <f t="array" ref="Y535">IF(C529="","",INDEX([1]AB4!X:X,MATCH(A535,[1]AB4!B:B,0)))</f>
        <v>N.A.</v>
      </c>
      <c r="Z535" s="26" t="str">
        <f t="array" ref="Z535">IF(C529="","",INDEX([1]AB4!Y:Y,MATCH(A535,[1]AB4!B:B,0)))</f>
        <v>N.A.</v>
      </c>
      <c r="AA535" s="29"/>
      <c r="AB535" s="30"/>
      <c r="AC535" s="30"/>
    </row>
    <row r="536" spans="1:29" ht="44.25" customHeight="1" thickBot="1" x14ac:dyDescent="0.25">
      <c r="A536" s="18" t="str">
        <f>IF(C529="","",CONCATENATE(C530,[1]AB5!$A$11))</f>
        <v>S16D</v>
      </c>
      <c r="B536" s="31" t="str">
        <f>IF(C529="","",IF([1]AB5!$B$11="","",[1]AB5!$B$11))</f>
        <v>No. of TGT</v>
      </c>
      <c r="C536" s="54" t="str">
        <f t="array" ref="C536">IF(C529="","",INDEX([1]AB2!K:K,MATCH(C529,[1]AB2!A:A,0)))</f>
        <v>4 &amp; APS</v>
      </c>
      <c r="D536" s="59"/>
      <c r="E536" s="60"/>
      <c r="F536" s="61" t="str">
        <f>IF(C529="","",[1]AB5!$G$11)</f>
        <v>SL / TRP</v>
      </c>
      <c r="G536" s="36" t="str">
        <f t="array" ref="G536">IF(C529="","",CONCATENATE(INDEX([1]AB4!AA:AA,MATCH(A536,[1]AB4!B:B,0))," ( ",INDEX([1]AB4!AE:AE,MATCH(A536,[1]AB4!B:B,0)),INDEX([1]AB4!AF:AF,MATCH(A536,[1]AB4!B:B,0)),TEXT(INDEX([1]AB4!AG:AG,MATCH(A536,[1]AB4!B:B,0)),"0.00%")," or ",INDEX([1]AB4!AK:AK,MATCH(A536,[1]AB4!B:B,0)),INDEX([1]AB4!AJ:AJ,MATCH(A536,[1]AB4!B:B,0)),TEXT(INDEX([1]AB4!AL:AL,MATCH(A536,[1]AB4!B:B,0)),"0.00%")," )"))</f>
        <v>Max ( L : Entry - 3.00% or FUT : PRV : 2DLL - 0.00% )</v>
      </c>
      <c r="H536" s="37">
        <f t="array" ref="H536">IF(C529="","",INDEX([1]AB4!AM:AM,MATCH(A536,[1]AB4!B:B,0)))</f>
        <v>5</v>
      </c>
      <c r="I536" s="38"/>
      <c r="J536" s="36" t="str">
        <f t="array" ref="J536">IF(C529="","",CONCATENATE(INDEX([1]AB4!AA:AA,MATCH(A536,[1]AB4!B:B,0))," ( ",INDEX([1]AB4!AE:AE,MATCH(A536,[1]AB4!B:B,0))," or ",INDEX([1]AB4!AN:AN,MATCH(A536,[1]AB4!B:B,0)),INDEX([1]AB4!AJ:AJ,MATCH(A536,[1]AB4!B:B,0)),TEXT(INDEX([1]AB4!AO:AO,MATCH(A536,[1]AB4!B:B,0)),"0.00%")," )"))</f>
        <v>Max ( L : Entry or FUT : PRV : 2DLL - 0.00% )</v>
      </c>
      <c r="K536" s="37">
        <f t="array" ref="K536">IF(C529="","",INDEX([1]AB4!AP:AP,MATCH(A536,[1]AB4!B:B,0)))</f>
        <v>4</v>
      </c>
      <c r="L536" s="38"/>
      <c r="M536" s="36" t="str">
        <f t="array" ref="M536">IF(C529="","",CONCATENATE(INDEX([1]AB4!AA:AA,MATCH(A536,[1]AB4!B:B,0))," ( ",INDEX([1]AB4!AE:AE,MATCH(A536,[1]AB4!B:B,0))," or ",INDEX([1]AB4!AQ:AQ,MATCH(A536,[1]AB4!B:B,0)),INDEX([1]AB4!AJ:AJ,MATCH(A536,[1]AB4!B:B,0)),TEXT(INDEX([1]AB4!AR:AR,MATCH(A536,[1]AB4!B:B,0)),"0.00%")," )"))</f>
        <v>Max ( L : Entry or FUT : PRV : 2DLL - 0.00% )</v>
      </c>
      <c r="N536" s="37">
        <f t="array" ref="N536">IF(C529="","",INDEX([1]AB4!AS:AS,MATCH(A536,[1]AB4!B:B,0)))</f>
        <v>3</v>
      </c>
      <c r="O536" s="38"/>
      <c r="P536" s="36" t="str">
        <f t="array" ref="P536">IF(C529="","",CONCATENATE(INDEX([1]AB4!AA:AA,MATCH(A536,[1]AB4!B:B,0))," ( ",INDEX([1]AB4!AE:AE,MATCH(A536,[1]AB4!B:B,0))," or ",INDEX([1]AB4!AT:AT,MATCH(A536,[1]AB4!B:B,0)),INDEX([1]AB4!AJ:AJ,MATCH(A536,[1]AB4!B:B,0)),TEXT(INDEX([1]AB4!AU:AU,MATCH(A536,[1]AB4!B:B,0)),"0.00%")," )"))</f>
        <v>Max ( L : Entry or FUT : PRV : 2DLL - 0.00% )</v>
      </c>
      <c r="Q536" s="37">
        <f t="array" ref="Q536">IF(C529="","",INDEX([1]AB4!AV:AV,MATCH(A536,[1]AB4!B:B,0)))</f>
        <v>2</v>
      </c>
      <c r="R536" s="38"/>
      <c r="S536" s="36" t="str">
        <f t="array" ref="S536">IF(C529="","",CONCATENATE(INDEX([1]AB4!AA:AA,MATCH(A536,[1]AB4!B:B,0))," ( ",INDEX([1]AB4!AE:AE,MATCH(A536,[1]AB4!B:B,0))," or ",INDEX([1]AB4!AW:AW,MATCH(A536,[1]AB4!B:B,0)),INDEX([1]AB4!AJ:AJ,MATCH(A536,[1]AB4!B:B,0)),TEXT(INDEX([1]AB4!AX:AX,MATCH(A536,[1]AB4!B:B,0)),"0.00%")," )"))</f>
        <v>Max ( L : Entry or FUT : PRV : 2DLL - 0.00% )</v>
      </c>
      <c r="T536" s="37">
        <f t="array" ref="T536">IF(C529="","",INDEX([1]AB4!AY:AY,MATCH(A536,[1]AB4!B:B,0)))</f>
        <v>1</v>
      </c>
      <c r="U536" s="38"/>
      <c r="V536" s="36" t="str">
        <f t="array" ref="V536">IF(C529="","",CONCATENATE(INDEX([1]AB4!AA:AA,MATCH(A536,[1]AB4!B:B,0))," ( ",INDEX([1]AB4!AE:AE,MATCH(A536,[1]AB4!B:B,0))," or ",INDEX([1]AB4!AW:AW,MATCH(A536,[1]AB4!B:B,0)),INDEX([1]AB4!AJ:AJ,MATCH(A536,[1]AB4!B:B,0)),TEXT(INDEX([1]AB4!AX:AX,MATCH(A536,[1]AB4!B:B,0)),"0.00%")," )"))</f>
        <v>Max ( L : Entry or FUT : PRV : 2DLL - 0.00% )</v>
      </c>
      <c r="W536" s="37">
        <f t="array" ref="W536">IF(C529="","",INDEX([1]AB4!AY:AY,MATCH(A536,[1]AB4!B:B,0)))</f>
        <v>1</v>
      </c>
      <c r="X536" s="38"/>
      <c r="Y536" s="40">
        <f t="array" ref="Y536">IF(C529="","",INDEX([1]AB4!AZ:AZ,MATCH(A536,[1]AB4!B:B,0)))</f>
        <v>0</v>
      </c>
      <c r="Z536" s="37">
        <f t="array" ref="Z536">IF(C529="","",INDEX([1]AB4!BB:BB,MATCH(A536,[1]AB4!B:B,0)))</f>
        <v>0</v>
      </c>
      <c r="AA536" s="41"/>
      <c r="AB536" s="30"/>
      <c r="AC536" s="30"/>
    </row>
    <row r="537" spans="1:29" ht="6" customHeight="1" thickBot="1" x14ac:dyDescent="0.25">
      <c r="A537" s="18" t="str">
        <f>IF(C529="","",CONCATENATE(C530,[1]AB5!A547))</f>
        <v>S16</v>
      </c>
      <c r="B537" s="62" t="str">
        <f>IF(C529="","",IF([1]AB5!$B$12="","",[1]AB5!$B$12))</f>
        <v>Stay Blessed !!!</v>
      </c>
      <c r="C537" s="63"/>
      <c r="D537" s="59"/>
      <c r="E537" s="44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6"/>
      <c r="AB537" s="30"/>
      <c r="AC537" s="30"/>
    </row>
    <row r="538" spans="1:29" ht="30.75" customHeight="1" x14ac:dyDescent="0.2">
      <c r="A538" s="18" t="str">
        <f>IF(C529="","",CONCATENATE(C530,[1]AB5!$A$13))</f>
        <v>S16E</v>
      </c>
      <c r="B538" s="64"/>
      <c r="C538" s="59"/>
      <c r="D538" s="59"/>
      <c r="E538" s="65" t="str">
        <f>IF(C529="","",[1]AB5!$F$13)</f>
        <v>SELL</v>
      </c>
      <c r="F538" s="58" t="str">
        <f>IF(C529="","",[1]AB5!$G$13)</f>
        <v>E &amp; T</v>
      </c>
      <c r="G538" s="25" t="str">
        <f t="array" ref="G538">IF(C529="","",CONCATENATE(INDEX([1]AB4!G:G,MATCH(A538,[1]AB4!B:B,0)),INDEX([1]AB4!H:H,MATCH(A538,[1]AB4!B:B,0)),TEXT(INDEX([1]AB4!I:I,MATCH(A538,[1]AB4!B:B,0)),"0.00%")))</f>
        <v>FUT : PRV : 2DLL - 0.00%</v>
      </c>
      <c r="H538" s="26">
        <f t="array" ref="H538">IF(C529="","",INDEX([1]AB4!J:J,MATCH(A538,[1]AB4!B:B,0)))</f>
        <v>5</v>
      </c>
      <c r="I538" s="27"/>
      <c r="J538" s="28" t="str">
        <f t="array" ref="J538">IF(C529="","",CONCATENATE(INDEX([1]AB4!L:L,MATCH(A538,[1]AB4!B:B,0)),INDEX([1]AB4!M:M,MATCH(A538,[1]AB4!B:B,0)),TEXT(INDEX([1]AB4!N:N,MATCH(A538,[1]AB4!B:B,0)),"0.00%")))</f>
        <v>S : Entry  - 3.00%</v>
      </c>
      <c r="K538" s="26">
        <f t="array" ref="K538">IF(C529="","",INDEX([1]AB4!O:O,MATCH(A538,[1]AB4!B:B,0)))</f>
        <v>1</v>
      </c>
      <c r="L538" s="27"/>
      <c r="M538" s="28" t="str">
        <f t="array" ref="M538">IF(C529="","",CONCATENATE(INDEX([1]AB4!L:L,MATCH(A538,[1]AB4!B:B,0)),INDEX([1]AB4!M:M,MATCH(A538,[1]AB4!B:B,0)),TEXT(INDEX([1]AB4!P:P,MATCH(A538,[1]AB4!B:B,0)),"0.00%")))</f>
        <v>S : Entry  - 4.00%</v>
      </c>
      <c r="N538" s="26">
        <f t="array" ref="N538">IF(C529="","",INDEX([1]AB4!Q:Q,MATCH(A538,[1]AB4!B:B,0)))</f>
        <v>1</v>
      </c>
      <c r="O538" s="27"/>
      <c r="P538" s="28" t="str">
        <f t="array" ref="P538">IF(C529="","",CONCATENATE(INDEX([1]AB4!L:L,MATCH(A538,[1]AB4!B:B,0)),INDEX([1]AB4!M:M,MATCH(A538,[1]AB4!B:B,0)),TEXT(INDEX([1]AB4!R:R,MATCH(A538,[1]AB4!B:B,0)),"0.00%")))</f>
        <v>S : Entry  - 5.00%</v>
      </c>
      <c r="Q538" s="26">
        <f t="array" ref="Q538">IF(C529="","",INDEX([1]AB4!S:S,MATCH(A538,[1]AB4!B:B,0)))</f>
        <v>1</v>
      </c>
      <c r="R538" s="27"/>
      <c r="S538" s="28" t="str">
        <f t="array" ref="S538">IF(C529="","",CONCATENATE(INDEX([1]AB4!L:L,MATCH(A538,[1]AB4!B:B,0)),INDEX([1]AB4!M:M,MATCH(A538,[1]AB4!B:B,0)),TEXT(INDEX([1]AB4!T:T,MATCH(A538,[1]AB4!B:B,0)),"0.00%")))</f>
        <v>S : Entry  - 6.00%</v>
      </c>
      <c r="T538" s="26">
        <f t="array" ref="T538">IF(C529="","",INDEX([1]AB4!U:U,MATCH(A538,[1]AB4!B:B,0)))</f>
        <v>1</v>
      </c>
      <c r="U538" s="27"/>
      <c r="V538" s="28" t="str">
        <f t="array" ref="V538">IF(C529="","",INDEX([1]AB4!V:V,MATCH(A538,[1]AB4!B:B,0)))</f>
        <v>TR PROFIT AFTER TGT 4</v>
      </c>
      <c r="W538" s="26">
        <f t="array" ref="W538">IF(C529="","",INDEX([1]AB4!W:W,MATCH(A538,[1]AB4!B:B,0)))</f>
        <v>1</v>
      </c>
      <c r="X538" s="27"/>
      <c r="Y538" s="28" t="str">
        <f t="array" ref="Y538">IF(C529="","",INDEX([1]AB4!X:X,MATCH(A538,[1]AB4!B:B,0)))</f>
        <v>N.A.</v>
      </c>
      <c r="Z538" s="26" t="str">
        <f t="array" ref="Z538">IF(C529="","",INDEX([1]AB4!Y:Y,MATCH(A538,[1]AB4!B:B,0)))</f>
        <v>N.A.</v>
      </c>
      <c r="AA538" s="29"/>
      <c r="AB538" s="30"/>
      <c r="AC538" s="30"/>
    </row>
    <row r="539" spans="1:29" ht="44.25" customHeight="1" thickBot="1" x14ac:dyDescent="0.25">
      <c r="A539" s="18" t="str">
        <f>IF(C529="","",CONCATENATE(C530,[1]AB5!$A$14))</f>
        <v>S16E</v>
      </c>
      <c r="B539" s="60"/>
      <c r="C539" s="66"/>
      <c r="D539" s="66"/>
      <c r="E539" s="60"/>
      <c r="F539" s="61" t="str">
        <f>IF(C529="","",[1]AB5!$G$14)</f>
        <v>SL / TRP</v>
      </c>
      <c r="G539" s="36" t="str">
        <f t="array" ref="G539">IF(C529="","",CONCATENATE(INDEX([1]AB4!AA:AA,MATCH(A539,[1]AB4!B:B,0))," ( ",INDEX([1]AB4!AE:AE,MATCH(A539,[1]AB4!B:B,0)),INDEX([1]AB4!AF:AF,MATCH(A539,[1]AB4!B:B,0)),TEXT(INDEX([1]AB4!AG:AG,MATCH(A539,[1]AB4!B:B,0)),"0.00%")," or ",INDEX([1]AB4!AK:AK,MATCH(A539,[1]AB4!B:B,0)),INDEX([1]AB4!AJ:AJ,MATCH(A539,[1]AB4!B:B,0)),TEXT(INDEX([1]AB4!AL:AL,MATCH(A539,[1]AB4!B:B,0)),"0.00%")," )"))</f>
        <v>Min ( S : Entry + 3.00% or FUT : PRV : 3DHH + 1.00% )</v>
      </c>
      <c r="H539" s="37">
        <f t="array" ref="H539">IF(C529="","",INDEX([1]AB4!AM:AM,MATCH(A539,[1]AB4!B:B,0)))</f>
        <v>5</v>
      </c>
      <c r="I539" s="38"/>
      <c r="J539" s="36" t="str">
        <f t="array" ref="J539">IF(C529="","",CONCATENATE(INDEX([1]AB4!AA:AA,MATCH(A539,[1]AB4!B:B,0))," ( ",INDEX([1]AB4!AE:AE,MATCH(A539,[1]AB4!B:B,0))," or ",INDEX([1]AB4!AN:AN,MATCH(A539,[1]AB4!B:B,0)),INDEX([1]AB4!AJ:AJ,MATCH(A539,[1]AB4!B:B,0)),TEXT(INDEX([1]AB4!AO:AO,MATCH(A539,[1]AB4!B:B,0)),"0.00%")," )"))</f>
        <v>Min ( S : Entry or FUT : PRV : 3DHH + 1.00% )</v>
      </c>
      <c r="K539" s="37">
        <f t="array" ref="K539">IF(C529="","",INDEX([1]AB4!AP:AP,MATCH(A539,[1]AB4!B:B,0)))</f>
        <v>4</v>
      </c>
      <c r="L539" s="38"/>
      <c r="M539" s="36" t="str">
        <f t="array" ref="M539">IF(C529="","",CONCATENATE(INDEX([1]AB4!AA:AA,MATCH(A539,[1]AB4!B:B,0))," ( ",INDEX([1]AB4!AE:AE,MATCH(A539,[1]AB4!B:B,0))," or ",INDEX([1]AB4!AQ:AQ,MATCH(A539,[1]AB4!B:B,0)),INDEX([1]AB4!AJ:AJ,MATCH(A539,[1]AB4!B:B,0)),TEXT(INDEX([1]AB4!AR:AR,MATCH(A539,[1]AB4!B:B,0)),"0.00%")," )"))</f>
        <v>Min ( S : Entry or FUT : PRV : 3DHH + 1.00% )</v>
      </c>
      <c r="N539" s="37">
        <f t="array" ref="N539">IF(C529="","",INDEX([1]AB4!AS:AS,MATCH(A539,[1]AB4!B:B,0)))</f>
        <v>3</v>
      </c>
      <c r="O539" s="38"/>
      <c r="P539" s="36" t="str">
        <f t="array" ref="P539">IF(C529="","",CONCATENATE(INDEX([1]AB4!AA:AA,MATCH(A539,[1]AB4!B:B,0))," ( ",INDEX([1]AB4!AE:AE,MATCH(A539,[1]AB4!B:B,0))," or ",INDEX([1]AB4!AT:AT,MATCH(A539,[1]AB4!B:B,0)),INDEX([1]AB4!AJ:AJ,MATCH(A539,[1]AB4!B:B,0)),TEXT(INDEX([1]AB4!AU:AU,MATCH(A539,[1]AB4!B:B,0)),"0.00%")," )"))</f>
        <v>Min ( S : Entry or FUT : PRV : 3DHH + 1.00% )</v>
      </c>
      <c r="Q539" s="37">
        <f t="array" ref="Q539">IF(C529="","",INDEX([1]AB4!AV:AV,MATCH(A539,[1]AB4!B:B,0)))</f>
        <v>2</v>
      </c>
      <c r="R539" s="38"/>
      <c r="S539" s="36" t="str">
        <f t="array" ref="S539">IF(C529="","",CONCATENATE(INDEX([1]AB4!AA:AA,MATCH(A539,[1]AB4!B:B,0))," ( ",INDEX([1]AB4!AE:AE,MATCH(A539,[1]AB4!B:B,0))," or ",INDEX([1]AB4!AW:AW,MATCH(A539,[1]AB4!B:B,0)),INDEX([1]AB4!AJ:AJ,MATCH(A539,[1]AB4!B:B,0)),TEXT(INDEX([1]AB4!AX:AX,MATCH(A539,[1]AB4!B:B,0)),"0.00%")," )"))</f>
        <v>Min ( S : Entry or FUT : PRV : 3DHH + 1.00% )</v>
      </c>
      <c r="T539" s="37">
        <f t="array" ref="T539">IF(C529="","",INDEX([1]AB4!AY:AY,MATCH(A539,[1]AB4!B:B,0)))</f>
        <v>1</v>
      </c>
      <c r="U539" s="38"/>
      <c r="V539" s="36" t="str">
        <f t="array" ref="V539">IF(C529="","",CONCATENATE(INDEX([1]AB4!AA:AA,MATCH(A539,[1]AB4!B:B,0))," ( ",INDEX([1]AB4!AE:AE,MATCH(A539,[1]AB4!B:B,0))," or ",INDEX([1]AB4!AW:AW,MATCH(A539,[1]AB4!B:B,0)),INDEX([1]AB4!AJ:AJ,MATCH(A539,[1]AB4!B:B,0)),TEXT(INDEX([1]AB4!AX:AX,MATCH(A539,[1]AB4!B:B,0)),"0.00%")," )"))</f>
        <v>Min ( S : Entry or FUT : PRV : 3DHH + 1.00% )</v>
      </c>
      <c r="W539" s="37">
        <f t="array" ref="W539">IF(C529="","",INDEX([1]AB4!AY:AY,MATCH(A539,[1]AB4!B:B,0)))</f>
        <v>1</v>
      </c>
      <c r="X539" s="38"/>
      <c r="Y539" s="40">
        <f t="array" ref="Y539">IF(C529="","",INDEX([1]AB4!AZ:AZ,MATCH(A539,[1]AB4!B:B,0)))</f>
        <v>0</v>
      </c>
      <c r="Z539" s="37">
        <f t="array" ref="Z539">IF(C529="","",INDEX([1]AB4!BB:BB,MATCH(A539,[1]AB4!B:B,0)))</f>
        <v>0</v>
      </c>
      <c r="AA539" s="41"/>
      <c r="AB539" s="30"/>
      <c r="AC539" s="30"/>
    </row>
    <row r="540" spans="1:29" ht="6" customHeight="1" thickBot="1" x14ac:dyDescent="0.25">
      <c r="A540" s="18"/>
      <c r="B540" s="55"/>
      <c r="C540" s="55"/>
      <c r="D540" s="55"/>
      <c r="E540" s="30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30"/>
      <c r="AA540" s="30"/>
      <c r="AB540" s="68"/>
      <c r="AC540" s="68"/>
    </row>
    <row r="541" spans="1:29" ht="21.75" customHeight="1" x14ac:dyDescent="0.2">
      <c r="A541" s="18"/>
      <c r="B541" s="69" t="str">
        <f>IF(C529="","",[1]AB5!$B$16)</f>
        <v>For Entry</v>
      </c>
      <c r="C541" s="29"/>
      <c r="D541" s="70" t="str">
        <f>IF(C529="","",[1]AB5!$D$16)</f>
        <v>Gap Check</v>
      </c>
      <c r="E541" s="71"/>
      <c r="F541" s="70" t="str">
        <f>IF(C529="","",[1]AB5!$G$16)</f>
        <v>Process</v>
      </c>
      <c r="G541" s="72"/>
      <c r="H541" s="73" t="str">
        <f>IF(C529="","",[1]AB5!$I$16)</f>
        <v>Y / N</v>
      </c>
      <c r="I541" s="72"/>
      <c r="J541" s="74" t="str">
        <f>IF(C529="","",[1]AB5!$K$16)</f>
        <v>Order Status</v>
      </c>
      <c r="K541" s="75" t="str">
        <f>IF(C529="","",[1]AB5!$L$16)</f>
        <v>Step 1</v>
      </c>
      <c r="L541" s="76"/>
      <c r="M541" s="76"/>
      <c r="N541" s="72"/>
      <c r="O541" s="73" t="str">
        <f>IF(C529="","",[1]AB5!$P$16)</f>
        <v>Order Placement Timings</v>
      </c>
      <c r="P541" s="72"/>
      <c r="Q541" s="73" t="str">
        <f>IF(C529="","",[1]AB5!$R$16)</f>
        <v>Time</v>
      </c>
      <c r="R541" s="72"/>
      <c r="S541" s="75" t="str">
        <f>IF(C529="","",[1]AB5!$T$16)</f>
        <v>Rules For Gaps</v>
      </c>
      <c r="T541" s="76"/>
      <c r="U541" s="72"/>
      <c r="V541" s="74" t="str">
        <f>IF(C529="","",[1]AB5!$W$16)</f>
        <v>Data</v>
      </c>
      <c r="W541" s="73" t="str">
        <f>IF(C529="","",[1]AB5!$X$16)</f>
        <v>Buffer</v>
      </c>
      <c r="X541" s="71"/>
      <c r="Y541" s="77" t="str">
        <f>IF(C529="","",[1]AB5!$AA$16)</f>
        <v>Rules For Re Entry</v>
      </c>
      <c r="Z541" s="76"/>
      <c r="AA541" s="71"/>
      <c r="AB541" s="78"/>
      <c r="AC541" s="78"/>
    </row>
    <row r="542" spans="1:29" ht="31.5" customHeight="1" x14ac:dyDescent="0.2">
      <c r="A542" s="18" t="str">
        <f>IF(C529="","",CONCATENATE(C530,[1]AB5!$A$17))</f>
        <v>S16A</v>
      </c>
      <c r="B542" s="79" t="str">
        <f>IF(C529="","",[1]AB5!$B$17)</f>
        <v xml:space="preserve">ORPT </v>
      </c>
      <c r="C542" s="80" t="str">
        <f>IF(C529="","",[1]AB5!$C$17)</f>
        <v xml:space="preserve"> RC. Time</v>
      </c>
      <c r="D542" s="81" t="str">
        <f>IF(C529="","",[1]AB5!$D$17)</f>
        <v>For Long Entry</v>
      </c>
      <c r="E542" s="63"/>
      <c r="F542" s="82" t="str">
        <f>IF(C529="","",CONCATENATE([1]AB5!$G$17,TEXT(B543,"HH:MM:SS AM/PM"),[1]AB5!$B$18,[1]AB5!$H$17))</f>
        <v>Check If  09:04:59 AM HH &gt; Long Entry</v>
      </c>
      <c r="G542" s="83"/>
      <c r="H542" s="84" t="str">
        <f>IF(C529="","",[1]AB5!$I$17)</f>
        <v>No</v>
      </c>
      <c r="I542" s="85"/>
      <c r="J542" s="86" t="str">
        <f>IF(C529="","",[1]AB5!$K$17)</f>
        <v>Entry Not Missed</v>
      </c>
      <c r="K542" s="87" t="str">
        <f>IF(C529="","",[1]AB5!$L$17)</f>
        <v>Place the Order at ORPT</v>
      </c>
      <c r="L542" s="88"/>
      <c r="M542" s="88"/>
      <c r="N542" s="85"/>
      <c r="O542" s="87" t="str">
        <f>IF(C529="","",[1]AB5!$P$17)</f>
        <v>ORPT Time</v>
      </c>
      <c r="P542" s="85"/>
      <c r="Q542" s="89">
        <f>IF(C529="","",B543)</f>
        <v>0.37846527777777778</v>
      </c>
      <c r="R542" s="85"/>
      <c r="S542" s="87" t="str">
        <f>IF(C529="","",[1]AB5!$T$17)</f>
        <v>N.A.</v>
      </c>
      <c r="T542" s="88"/>
      <c r="U542" s="85"/>
      <c r="V542" s="86" t="str">
        <f>IF(C529="","",[1]AB5!$W$17)</f>
        <v>N.A.</v>
      </c>
      <c r="W542" s="90" t="str">
        <f>IF(C529="","",[1]AB5!$X$17)</f>
        <v>N.A.</v>
      </c>
      <c r="X542" s="91"/>
      <c r="Y542" s="92" t="str">
        <f>IF(C529="","",[1]AB5!$AA$17)</f>
        <v xml:space="preserve">Long Entry : Bull/ Bull CF : </v>
      </c>
      <c r="Z542" s="88"/>
      <c r="AA542" s="91"/>
      <c r="AB542" s="68"/>
      <c r="AC542" s="68"/>
    </row>
    <row r="543" spans="1:29" ht="31.5" customHeight="1" x14ac:dyDescent="0.2">
      <c r="A543" s="18" t="str">
        <f>IF(C529="","",CONCATENATE(C530,[1]AB5!$A$18))</f>
        <v>S16B</v>
      </c>
      <c r="B543" s="93">
        <f t="array" ref="B543">IF(C529="","",INDEX([1]AB4!BE:BE,MATCH(A542,[1]AB4!B:B,0)))</f>
        <v>0.37846527777777778</v>
      </c>
      <c r="C543" s="94">
        <f t="array" ref="C543">IF(C529="","",INDEX([1]AB4!BE:BE,MATCH(A543,[1]AB4!B:B,0)))</f>
        <v>0.38540972222222225</v>
      </c>
      <c r="D543" s="64"/>
      <c r="E543" s="59"/>
      <c r="F543" s="64"/>
      <c r="G543" s="95"/>
      <c r="H543" s="96" t="str">
        <f>IF(C529="","",[1]AB5!$I$18)</f>
        <v>Yes</v>
      </c>
      <c r="I543" s="83"/>
      <c r="J543" s="97" t="str">
        <f>IF(C529="","",[1]AB5!$K$18)</f>
        <v>Entry Missed</v>
      </c>
      <c r="K543" s="87" t="str">
        <f>IF(C529="","",[1]AB5!$L$18)</f>
        <v>Recalcuate : Long Entry : Bull / Bull CF</v>
      </c>
      <c r="L543" s="88"/>
      <c r="M543" s="88"/>
      <c r="N543" s="85"/>
      <c r="O543" s="87" t="str">
        <f>IF(C529="","",[1]AB5!$P$18)</f>
        <v>Wait Till Recalculation Time</v>
      </c>
      <c r="P543" s="85"/>
      <c r="Q543" s="89">
        <f>IF(C529="","",C543)</f>
        <v>0.38540972222222225</v>
      </c>
      <c r="R543" s="85"/>
      <c r="S543" s="98" t="str">
        <f>IF(C529="","",CONCATENATE(V543," ",[1]AB5!$Z$18," ",TEXT(W543,"0.00%")))</f>
        <v>09:14:59 AM HH + 1.00%</v>
      </c>
      <c r="T543" s="88"/>
      <c r="U543" s="85"/>
      <c r="V543" s="99" t="str">
        <f>IF(C529="","",CONCATENATE(TEXT(Q543,"HH:MM:SS AM/PM"),[1]AB5!$U$18))</f>
        <v>09:14:59 AM HH</v>
      </c>
      <c r="W543" s="100" t="str">
        <f t="array" ref="W543">IF(A529="","",TEXT(INDEX([1]AB4!BK:BK,MATCH(A530,[1]AB4!B:B,0)),"0.00%"))</f>
        <v>1.00%</v>
      </c>
      <c r="X543" s="91"/>
      <c r="Y543" s="101" t="str">
        <f>IF(C529="","",CONCATENATE([1]AB5!$T$18," ( ",G529," or ",[1]AB5!$AA$18," ",[1]AB5!$Z$18," ",TEXT(W543,"0.00%")," )"))</f>
        <v>Max ( FUT : PRV : 2DHH + 0.00% or  CDHH + 1.00% )</v>
      </c>
      <c r="Z543" s="88"/>
      <c r="AA543" s="91"/>
      <c r="AB543" s="68"/>
      <c r="AC543" s="68"/>
    </row>
    <row r="544" spans="1:29" ht="31.5" customHeight="1" thickBot="1" x14ac:dyDescent="0.25">
      <c r="A544" s="18"/>
      <c r="B544" s="34"/>
      <c r="C544" s="102"/>
      <c r="D544" s="103"/>
      <c r="E544" s="104"/>
      <c r="F544" s="103"/>
      <c r="G544" s="105"/>
      <c r="H544" s="51"/>
      <c r="I544" s="105"/>
      <c r="J544" s="53"/>
      <c r="K544" s="87" t="str">
        <f>IF(C529="","",[1]AB5!$L$19)</f>
        <v>Recalcuate : Long Entry : Bear / Bear CF</v>
      </c>
      <c r="L544" s="88"/>
      <c r="M544" s="88"/>
      <c r="N544" s="85"/>
      <c r="O544" s="87" t="str">
        <f>IF(C529="","",[1]AB5!$P$19)</f>
        <v>Wait Till Recalculation Time</v>
      </c>
      <c r="P544" s="85"/>
      <c r="Q544" s="89">
        <f>IF(C529="","",C543)</f>
        <v>0.38540972222222225</v>
      </c>
      <c r="R544" s="85"/>
      <c r="S544" s="98" t="str">
        <f>IF(C529="","",CONCATENATE(V544," ",[1]AB5!$Z$19," ",TEXT(W544,"0.00%"),))</f>
        <v>09:14:59 AM HH + 1.00%</v>
      </c>
      <c r="T544" s="88"/>
      <c r="U544" s="85"/>
      <c r="V544" s="99" t="str">
        <f>IF(C529="","",CONCATENATE(TEXT(Q544,"HH:MM:SS AM/PM"),[1]AB5!$U$19))</f>
        <v>09:14:59 AM HH</v>
      </c>
      <c r="W544" s="100" t="str">
        <f t="array" ref="W544">IF(C529="","",TEXT(INDEX([1]AB4!BK:BK,MATCH(A535,[1]AB4!B:B,0)),"0.00%"))</f>
        <v>1.00%</v>
      </c>
      <c r="X544" s="91"/>
      <c r="Y544" s="106" t="str">
        <f>IF(C529="","",[1]AB5!$AA$19)</f>
        <v xml:space="preserve">Long Entry : Bear/ Bear CF : </v>
      </c>
      <c r="Z544" s="88"/>
      <c r="AA544" s="91"/>
      <c r="AB544" s="68"/>
      <c r="AC544" s="68"/>
    </row>
    <row r="545" spans="1:29" ht="31.5" customHeight="1" x14ac:dyDescent="0.2">
      <c r="A545" s="18"/>
      <c r="B545" s="69" t="str">
        <f>IF(C529="","",[1]AB5!$B$20)</f>
        <v>For SL (Position = Open)</v>
      </c>
      <c r="C545" s="29"/>
      <c r="D545" s="107" t="str">
        <f>IF(C529="","",[1]AB5!$D$20)</f>
        <v>For Short Entry</v>
      </c>
      <c r="E545" s="63"/>
      <c r="F545" s="82" t="str">
        <f>IF(C529="","",CONCATENATE([1]AB5!$G$20,TEXT(B543,"HH:MM:SS AM/PM"),[1]AB5!$B$18,[1]AB5!$H$20))</f>
        <v>Check If  09:04:59 AM LL &lt; Short Entry</v>
      </c>
      <c r="G545" s="83"/>
      <c r="H545" s="108" t="str">
        <f>IF(C529="","",[1]AB5!$I$20)</f>
        <v>No</v>
      </c>
      <c r="I545" s="85"/>
      <c r="J545" s="109" t="str">
        <f>IF(C529="","",[1]AB5!$K$20)</f>
        <v>Entry Not Missed</v>
      </c>
      <c r="K545" s="110" t="str">
        <f>IF(C529="","",[1]AB5!$L$20)</f>
        <v>Place the Order at ORPT</v>
      </c>
      <c r="L545" s="88"/>
      <c r="M545" s="88"/>
      <c r="N545" s="85"/>
      <c r="O545" s="110" t="str">
        <f>IF(C529="","",[1]AB5!$P$20)</f>
        <v>ORPT Time</v>
      </c>
      <c r="P545" s="85"/>
      <c r="Q545" s="111">
        <f>IF(C529="","",B543)</f>
        <v>0.37846527777777778</v>
      </c>
      <c r="R545" s="85"/>
      <c r="S545" s="110" t="str">
        <f>IF(C529="","",[1]AB5!$T$20)</f>
        <v>N.A.</v>
      </c>
      <c r="T545" s="88"/>
      <c r="U545" s="85"/>
      <c r="V545" s="109" t="str">
        <f>IF(C529="","",[1]AB5!$W$20)</f>
        <v>N.A.</v>
      </c>
      <c r="W545" s="112" t="str">
        <f>IF(C529="","",[1]AB5!$X$20)</f>
        <v>N.A.</v>
      </c>
      <c r="X545" s="91"/>
      <c r="Y545" s="101" t="str">
        <f>IF(C529="","",CONCATENATE([1]AB5!$T$19," ( ",G535," or ",[1]AB5!$AA$20," ",[1]AB5!$Z$19," ",TEXT(W544,"0.00%")," )"))</f>
        <v>Max ( FUT : PRV : 3DHH + 1.00% or  CDHH + 1.00% )</v>
      </c>
      <c r="Z545" s="88"/>
      <c r="AA545" s="91"/>
      <c r="AB545" s="68"/>
      <c r="AC545" s="68"/>
    </row>
    <row r="546" spans="1:29" ht="31.5" customHeight="1" x14ac:dyDescent="0.2">
      <c r="A546" s="18" t="str">
        <f>IF(C529="","",CONCATENATE(C530,[1]AB5!$A$21))</f>
        <v>S16A</v>
      </c>
      <c r="B546" s="79" t="str">
        <f>IF(C529="","",[1]AB5!$B$21)</f>
        <v xml:space="preserve">ORPT </v>
      </c>
      <c r="C546" s="80" t="str">
        <f>IF(C529="","",[1]AB5!$C$21)</f>
        <v xml:space="preserve"> RC. Time</v>
      </c>
      <c r="D546" s="64"/>
      <c r="E546" s="59"/>
      <c r="F546" s="64"/>
      <c r="G546" s="95"/>
      <c r="H546" s="113" t="str">
        <f>IF(C529="","",[1]AB5!$I$21)</f>
        <v>Yes</v>
      </c>
      <c r="I546" s="83"/>
      <c r="J546" s="114" t="str">
        <f>IF(C529="","",[1]AB5!$K$21)</f>
        <v>Entry Missed</v>
      </c>
      <c r="K546" s="110" t="str">
        <f>IF(C529="","",[1]AB5!$L$21)</f>
        <v>Recalcuate : Short Entry : Bull / Bull CF</v>
      </c>
      <c r="L546" s="88"/>
      <c r="M546" s="88"/>
      <c r="N546" s="85"/>
      <c r="O546" s="110" t="str">
        <f>IF(C529="","",[1]AB5!$P$21)</f>
        <v>Wait Till Recalculation Time</v>
      </c>
      <c r="P546" s="85"/>
      <c r="Q546" s="111">
        <f>IF(C529="","",C543)</f>
        <v>0.38540972222222225</v>
      </c>
      <c r="R546" s="85"/>
      <c r="S546" s="115" t="str">
        <f>IF(C529="","",CONCATENATE(V546," ",[1]AB5!$Z$21," ",TEXT(W546,"0.00%")))</f>
        <v>09:14:59 AM LL - 1.00%</v>
      </c>
      <c r="T546" s="88"/>
      <c r="U546" s="85"/>
      <c r="V546" s="116" t="str">
        <f>IF(C529="","",CONCATENATE(TEXT(Q546,"HH:MM:SS AM/PM"),[1]AB5!$U$21))</f>
        <v>09:14:59 AM LL</v>
      </c>
      <c r="W546" s="112" t="str">
        <f t="array" ref="W546">IF(C529="","",TEXT(INDEX([1]AB4!BK:BK,MATCH(A532,[1]AB4!B:B,0)),"0.00%"))</f>
        <v>1.00%</v>
      </c>
      <c r="X546" s="91"/>
      <c r="Y546" s="117" t="str">
        <f>IF(C529="","",[1]AB5!$AA$21)</f>
        <v>When Your Long Position is Exited</v>
      </c>
      <c r="Z546" s="118"/>
      <c r="AA546" s="59"/>
      <c r="AB546" s="68"/>
      <c r="AC546" s="68"/>
    </row>
    <row r="547" spans="1:29" ht="31.5" customHeight="1" thickBot="1" x14ac:dyDescent="0.25">
      <c r="A547" s="18" t="str">
        <f>IF(C529="","",CONCATENATE(C530,[1]AB5!$A$22))</f>
        <v>S16B</v>
      </c>
      <c r="B547" s="119">
        <f t="array" ref="B547">IF(C529="","",INDEX([1]AB4!BF:BF,MATCH(A546,[1]AB4!B:B,0)))</f>
        <v>0.37846527777777778</v>
      </c>
      <c r="C547" s="120">
        <f t="array" ref="C547">IF(C529="","",INDEX([1]AB4!BF:BF,MATCH(A547,[1]AB4!B:B,0)))</f>
        <v>0.38540972222222225</v>
      </c>
      <c r="D547" s="60"/>
      <c r="E547" s="66"/>
      <c r="F547" s="60"/>
      <c r="G547" s="121"/>
      <c r="H547" s="102"/>
      <c r="I547" s="121"/>
      <c r="J547" s="122"/>
      <c r="K547" s="123" t="str">
        <f>IF(C529="","",[1]AB5!$L$22)</f>
        <v>Recalcuate : Short Entry : Bear / Bear CF</v>
      </c>
      <c r="L547" s="124"/>
      <c r="M547" s="124"/>
      <c r="N547" s="38"/>
      <c r="O547" s="123" t="str">
        <f>IF(C529="","",[1]AB5!$P$22)</f>
        <v>Wait Till Recalculation Time</v>
      </c>
      <c r="P547" s="38"/>
      <c r="Q547" s="125">
        <f>IF(C529="","",C543)</f>
        <v>0.38540972222222225</v>
      </c>
      <c r="R547" s="38"/>
      <c r="S547" s="126" t="str">
        <f>IF(C529="","",CONCATENATE(V547," ",[1]AB5!$Z$22," ",TEXT(W547,"0.00%")))</f>
        <v>09:14:59 AM LL - 1.00%</v>
      </c>
      <c r="T547" s="124"/>
      <c r="U547" s="38"/>
      <c r="V547" s="127" t="str">
        <f>IF(C529="","",CONCATENATE(TEXT(Q547,"HH:MM:SS AM/PM"),[1]AB5!$U$22))</f>
        <v>09:14:59 AM LL</v>
      </c>
      <c r="W547" s="128" t="str">
        <f t="array" ref="W547">IF(C529="","",TEXT(INDEX([1]AB4!BK:BK,MATCH(A538,[1]AB4!B:B,0)),"0.00%"))</f>
        <v>1.00%</v>
      </c>
      <c r="X547" s="41"/>
      <c r="Y547" s="129" t="str">
        <f>IF(C529="","",[1]AB5!$AA$22)</f>
        <v>This is Only Applicable for Same Day</v>
      </c>
      <c r="Z547" s="130"/>
      <c r="AA547" s="66"/>
      <c r="AB547" s="68"/>
      <c r="AC547" s="68"/>
    </row>
    <row r="548" spans="1:29" ht="6" customHeight="1" thickBot="1" x14ac:dyDescent="0.25">
      <c r="A548" s="18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</row>
    <row r="549" spans="1:29" ht="21.75" customHeight="1" thickBot="1" x14ac:dyDescent="0.25">
      <c r="A549" s="18"/>
      <c r="B549" s="69" t="str">
        <f>IF(C529="","",[1]AB5!$B$24)</f>
        <v>For TGT (Position = Open)</v>
      </c>
      <c r="C549" s="29"/>
      <c r="D549" s="132" t="str">
        <f>IF(C529="","",[1]AB5!$D$24)</f>
        <v>Gap Check</v>
      </c>
      <c r="E549" s="133"/>
      <c r="F549" s="132" t="str">
        <f>IF(C529="","",[1]AB5!$G$24)</f>
        <v>Process</v>
      </c>
      <c r="G549" s="133"/>
      <c r="H549" s="132" t="str">
        <f>IF(C529="","",[1]AB5!$I$24)</f>
        <v>Y / N</v>
      </c>
      <c r="I549" s="133"/>
      <c r="J549" s="134" t="str">
        <f>IF(C529="","",[1]AB5!$K$24)</f>
        <v>Status</v>
      </c>
      <c r="K549" s="135" t="str">
        <f>IF(C529="","",[1]AB5!$L$24)</f>
        <v>Step 1</v>
      </c>
      <c r="L549" s="136"/>
      <c r="M549" s="136"/>
      <c r="N549" s="133"/>
      <c r="O549" s="132" t="str">
        <f>IF(C529="","",[1]AB5!$P$24)</f>
        <v>Order Placement Timings</v>
      </c>
      <c r="P549" s="133"/>
      <c r="Q549" s="132" t="str">
        <f>IF(C529="","",[1]AB5!$R$24)</f>
        <v>Time</v>
      </c>
      <c r="R549" s="133"/>
      <c r="S549" s="135" t="str">
        <f>IF(C529="","",[1]AB5!$T$24)</f>
        <v>Rules For Gaps</v>
      </c>
      <c r="T549" s="136"/>
      <c r="U549" s="133"/>
      <c r="V549" s="134" t="str">
        <f>IF(C529="","",[1]AB5!$W$24)</f>
        <v>Data</v>
      </c>
      <c r="W549" s="132" t="str">
        <f>IF(C529="","",[1]AB5!$X$24)</f>
        <v>Buffer</v>
      </c>
      <c r="X549" s="133"/>
      <c r="Y549" s="135" t="str">
        <f>IF(C529="","",[1]AB5!$AA$16)</f>
        <v>Rules For Re Entry</v>
      </c>
      <c r="Z549" s="136"/>
      <c r="AA549" s="133"/>
      <c r="AB549" s="78"/>
      <c r="AC549" s="78"/>
    </row>
    <row r="550" spans="1:29" ht="24" customHeight="1" x14ac:dyDescent="0.2">
      <c r="A550" s="18" t="str">
        <f>IF(C529="","",CONCATENATE(C530,[1]AB5!$A$25))</f>
        <v>S16A</v>
      </c>
      <c r="B550" s="79" t="str">
        <f>IF(C529="","",[1]AB5!$B$25)</f>
        <v xml:space="preserve">ORPT </v>
      </c>
      <c r="C550" s="80" t="str">
        <f>IF(C529="","",[1]AB5!$C$25)</f>
        <v xml:space="preserve"> RC. Time</v>
      </c>
      <c r="D550" s="137" t="str">
        <f>IF(C529="","",[1]AB5!$D$25)</f>
        <v>For Long SL</v>
      </c>
      <c r="E550" s="59"/>
      <c r="F550" s="138" t="str">
        <f>IF(C529="","",CONCATENATE([1]AB5!$G$25,TEXT(B547,"HH:MM:SS AM/PM"),[1]AB5!$B$22,[1]AB5!$H$25))</f>
        <v>Check If 09:04:59 AM LL &lt; Long SL</v>
      </c>
      <c r="G550" s="76"/>
      <c r="H550" s="139" t="str">
        <f>IF(C529="","",[1]AB5!$I$25)</f>
        <v>No</v>
      </c>
      <c r="I550" s="27"/>
      <c r="J550" s="140" t="str">
        <f>IF(C529="","",[1]AB5!$K$25)</f>
        <v>FSL / TRP Not Missed</v>
      </c>
      <c r="K550" s="141" t="str">
        <f>IF(C529="","",[1]AB5!$L$25)</f>
        <v>Place the Order at ORPT</v>
      </c>
      <c r="L550" s="142"/>
      <c r="M550" s="142"/>
      <c r="N550" s="27"/>
      <c r="O550" s="141" t="str">
        <f>IF(C529="","",[1]AB5!$P$25)</f>
        <v>ORPT Time</v>
      </c>
      <c r="P550" s="27"/>
      <c r="Q550" s="143">
        <f>IF(C529="","",B547)</f>
        <v>0.37846527777777778</v>
      </c>
      <c r="R550" s="27"/>
      <c r="S550" s="141" t="str">
        <f>IF(C529="","",[1]AB5!$U$25)</f>
        <v>N.A.</v>
      </c>
      <c r="T550" s="142"/>
      <c r="U550" s="27"/>
      <c r="V550" s="140" t="str">
        <f>IF(C529="","",[1]AB5!$W$25)</f>
        <v>N.A.</v>
      </c>
      <c r="W550" s="144" t="str">
        <f>IF(C529="","",[1]AB5!$X$25)</f>
        <v>N.A.</v>
      </c>
      <c r="X550" s="29"/>
      <c r="Y550" s="117" t="str">
        <f>IF(C529="","",[1]AB5!$AA$25)</f>
        <v xml:space="preserve">Short Entry : Bull/ Bull CF : </v>
      </c>
      <c r="Z550" s="12"/>
      <c r="AA550" s="59"/>
      <c r="AB550" s="68"/>
      <c r="AC550" s="68"/>
    </row>
    <row r="551" spans="1:29" ht="24" customHeight="1" thickBot="1" x14ac:dyDescent="0.25">
      <c r="A551" s="18" t="str">
        <f>IF(C529="","",CONCATENATE(C530,[1]AB5!$A$26))</f>
        <v>S16B</v>
      </c>
      <c r="B551" s="119">
        <f t="array" ref="B551">IF(C529="","",INDEX([1]AB4!BG:BG,MATCH(A550,[1]AB4!B:B,0)))</f>
        <v>0.375</v>
      </c>
      <c r="C551" s="120" t="str">
        <f t="array" ref="C551">IF(C529="","",INDEX([1]AB4!BG:BG,MATCH(A551,[1]AB4!B:B,0)))</f>
        <v>N.A.</v>
      </c>
      <c r="D551" s="64"/>
      <c r="E551" s="59"/>
      <c r="F551" s="64"/>
      <c r="G551" s="12"/>
      <c r="H551" s="113" t="str">
        <f>IF(C529="","",[1]AB5!$I$26)</f>
        <v>Yes</v>
      </c>
      <c r="I551" s="83"/>
      <c r="J551" s="114" t="str">
        <f>IF(C529="","",[1]AB5!$K$26)</f>
        <v>FSL / TRP Missed</v>
      </c>
      <c r="K551" s="110" t="str">
        <f>IF(C529="","",[1]AB5!$L$26)</f>
        <v>Recalcuate : Long FSL / TRP : Bull / Bull CF</v>
      </c>
      <c r="L551" s="88"/>
      <c r="M551" s="88"/>
      <c r="N551" s="85"/>
      <c r="O551" s="110" t="str">
        <f>IF(C529="","",[1]AB5!$P$26)</f>
        <v>Wait Till Recalculation Time</v>
      </c>
      <c r="P551" s="85"/>
      <c r="Q551" s="111">
        <f>IF(C529="","",C547)</f>
        <v>0.38540972222222225</v>
      </c>
      <c r="R551" s="85"/>
      <c r="S551" s="110" t="str">
        <f>IF(C529="","",CONCATENATE(V551," ",[1]AB5!$Z$26," ",TEXT(W551,"0.00%")))</f>
        <v>09:14:59 AM LL - 1.00%</v>
      </c>
      <c r="T551" s="88"/>
      <c r="U551" s="85"/>
      <c r="V551" s="116" t="str">
        <f>IF(C529="","",CONCATENATE(TEXT(Q551,"HH:MM:SS AM/PM"),[1]AB5!$U$26))</f>
        <v>09:14:59 AM LL</v>
      </c>
      <c r="W551" s="112" t="str">
        <f t="array" ref="W551">IF(C529="","",TEXT(INDEX([1]AB4!BL:BL,MATCH(A530,[1]AB4!B:B,0)),"0.00%"))</f>
        <v>1.00%</v>
      </c>
      <c r="X551" s="91"/>
      <c r="Y551" s="145"/>
      <c r="Z551" s="145"/>
      <c r="AA551" s="104"/>
      <c r="AB551" s="68"/>
      <c r="AC551" s="68"/>
    </row>
    <row r="552" spans="1:29" ht="24" customHeight="1" x14ac:dyDescent="0.2">
      <c r="A552" s="18"/>
      <c r="B552" s="62" t="str">
        <f>IF(C529="","",[1]AB5!$B$27)</f>
        <v>I Commit To Follow The Rules &amp; Process</v>
      </c>
      <c r="C552" s="63"/>
      <c r="D552" s="64"/>
      <c r="E552" s="59"/>
      <c r="F552" s="64"/>
      <c r="G552" s="12"/>
      <c r="H552" s="48"/>
      <c r="I552" s="95"/>
      <c r="J552" s="146"/>
      <c r="K552" s="110" t="str">
        <f>IF(C529="","",[1]AB5!$L$27)</f>
        <v>Recalcuate : Long FSL / TRP : Bear / Bear CF</v>
      </c>
      <c r="L552" s="88"/>
      <c r="M552" s="88"/>
      <c r="N552" s="85"/>
      <c r="O552" s="110" t="str">
        <f>IF(C529="","",[1]AB5!$P$27)</f>
        <v>Wait Till Recalculation Time</v>
      </c>
      <c r="P552" s="85"/>
      <c r="Q552" s="111">
        <f>IF(C529="","",C547)</f>
        <v>0.38540972222222225</v>
      </c>
      <c r="R552" s="85"/>
      <c r="S552" s="110" t="str">
        <f>IF(C530="","",CONCATENATE(V552," ",[1]AB5!$Z$26," ",TEXT(W552,"0.00%")))</f>
        <v>09:14:59 AM LL - 1.00%</v>
      </c>
      <c r="T552" s="88"/>
      <c r="U552" s="85"/>
      <c r="V552" s="116" t="str">
        <f>IF(C529="","",CONCATENATE(TEXT(Q551,"HH:MM:SS AM/PM"),[1]AB5!$U$27))</f>
        <v>09:14:59 AM LL</v>
      </c>
      <c r="W552" s="112" t="str">
        <f t="array" ref="W552">IF(C529="","",TEXT(INDEX([1]AB4!BL:BL,MATCH(A530,[1]AB4!B:B,0)),"0.00%"))</f>
        <v>1.00%</v>
      </c>
      <c r="X552" s="91"/>
      <c r="Y552" s="147" t="str">
        <f>IF(C529="","",CONCATENATE([1]AB5!$T$28," ( ",G532," or ",[1]AB5!$AA$26," ",[1]AB5!$Z$28," ",TEXT(W553,"0.00%")," )"))</f>
        <v>Min ( FUT : PRV : 3DLL - 1.00% or  CDLL - 1.00% )</v>
      </c>
      <c r="Z552" s="148"/>
      <c r="AA552" s="63"/>
      <c r="AB552" s="68"/>
      <c r="AC552" s="68"/>
    </row>
    <row r="553" spans="1:29" ht="33" customHeight="1" x14ac:dyDescent="0.2">
      <c r="A553" s="18"/>
      <c r="B553" s="64"/>
      <c r="C553" s="59"/>
      <c r="D553" s="64"/>
      <c r="E553" s="59"/>
      <c r="F553" s="64"/>
      <c r="G553" s="12"/>
      <c r="H553" s="48"/>
      <c r="I553" s="95"/>
      <c r="J553" s="146"/>
      <c r="K553" s="110" t="str">
        <f>IF(C529="","",[1]AB5!$L$28)</f>
        <v>Recalcuate : Short Entry : Bull / Bull CF</v>
      </c>
      <c r="L553" s="88"/>
      <c r="M553" s="88"/>
      <c r="N553" s="85"/>
      <c r="O553" s="110" t="str">
        <f>IF(C529="","",[1]AB5!$P$28)</f>
        <v>Wait Till Recalculation Time</v>
      </c>
      <c r="P553" s="85"/>
      <c r="Q553" s="111">
        <f>IF(C529="","",C543)</f>
        <v>0.38540972222222225</v>
      </c>
      <c r="R553" s="85"/>
      <c r="S553" s="115" t="str">
        <f>IF(C529="","",CONCATENATE([1]AB5!$T$28," ( ",G532," or ",V553," ",[1]AB5!$Z$28," ",TEXT(W553,"0.00%")," )"))</f>
        <v>Min ( FUT : PRV : 3DLL - 1.00% or 09:14:59 AM LL - 1.00% )</v>
      </c>
      <c r="T553" s="88"/>
      <c r="U553" s="85"/>
      <c r="V553" s="116" t="str">
        <f>IF(C529="","",CONCATENATE(TEXT(Q553,"HH:MM:SS AM/PM"),[1]AB5!$U$28))</f>
        <v>09:14:59 AM LL</v>
      </c>
      <c r="W553" s="112" t="str">
        <f t="array" ref="W553">IF(C529="","",TEXT(INDEX([1]AB4!BK:BK,MATCH(A532,[1]AB4!B:B,0)),"0.00%"))</f>
        <v>1.00%</v>
      </c>
      <c r="X553" s="91"/>
      <c r="Y553" s="145"/>
      <c r="Z553" s="145"/>
      <c r="AA553" s="104"/>
      <c r="AB553" s="68"/>
      <c r="AC553" s="68"/>
    </row>
    <row r="554" spans="1:29" ht="33" customHeight="1" thickBot="1" x14ac:dyDescent="0.25">
      <c r="A554" s="18"/>
      <c r="B554" s="60"/>
      <c r="C554" s="66"/>
      <c r="D554" s="103"/>
      <c r="E554" s="104"/>
      <c r="F554" s="103"/>
      <c r="G554" s="145"/>
      <c r="H554" s="51"/>
      <c r="I554" s="105"/>
      <c r="J554" s="53"/>
      <c r="K554" s="110" t="str">
        <f>IF(C529="","",[1]AB5!$L$29)</f>
        <v>Recalcuate : Short Entry : Bear / Bear CF</v>
      </c>
      <c r="L554" s="88"/>
      <c r="M554" s="88"/>
      <c r="N554" s="85"/>
      <c r="O554" s="110" t="str">
        <f>IF(C529="","",[1]AB5!$P$29)</f>
        <v>Wait Till Recalculation Time</v>
      </c>
      <c r="P554" s="85"/>
      <c r="Q554" s="111">
        <f>IF(C529="","",C543)</f>
        <v>0.38540972222222225</v>
      </c>
      <c r="R554" s="85"/>
      <c r="S554" s="115" t="str">
        <f>IF(C529="","",CONCATENATE([1]AB5!$T$29," ( ",G538," or ",V554," ",[1]AB5!$Z$29," ",TEXT(W554,"0.00%")," )"))</f>
        <v>Min ( FUT : PRV : 2DLL - 0.00% or 09:14:59 AM LL - 1.00% )</v>
      </c>
      <c r="T554" s="88"/>
      <c r="U554" s="85"/>
      <c r="V554" s="116" t="str">
        <f>IF(C529="","",CONCATENATE(TEXT(Q554,"HH:MM:SS AM/PM"),[1]AB5!$U$29))</f>
        <v>09:14:59 AM LL</v>
      </c>
      <c r="W554" s="112" t="str">
        <f t="array" ref="W554">IF(C529="","",TEXT(INDEX([1]AB4!BK:BK,MATCH(A538,[1]AB4!B:B,0)),"0.00%"))</f>
        <v>1.00%</v>
      </c>
      <c r="X554" s="91"/>
      <c r="Y554" s="149" t="str">
        <f>IF(C529="","",[1]AB5!$AA$29)</f>
        <v xml:space="preserve">Short Entry : Bear/ Bear CF : </v>
      </c>
      <c r="Z554" s="88"/>
      <c r="AA554" s="91"/>
      <c r="AB554" s="68"/>
      <c r="AC554" s="68"/>
    </row>
    <row r="555" spans="1:29" ht="21.75" customHeight="1" x14ac:dyDescent="0.2">
      <c r="A555" s="18"/>
      <c r="B555" s="150" t="str">
        <f>IF(C529="","",IF([1]AB5!$B$12="","",[1]AB5!$B$30))</f>
        <v>By Asmita Patel.</v>
      </c>
      <c r="C555" s="71"/>
      <c r="D555" s="81" t="str">
        <f>IF(C529="","",[1]AB5!$D$30)</f>
        <v>For Short SL</v>
      </c>
      <c r="E555" s="63"/>
      <c r="F555" s="151" t="str">
        <f>IF(C529="","",CONCATENATE([1]AB5!$G$30,TEXT(B547,"HH:MM:SS AM/PM"),[1]AB5!$B$22,[1]AB5!$H$30))</f>
        <v>Check If 09:04:59 AM HH &gt; Short SL</v>
      </c>
      <c r="G555" s="83"/>
      <c r="H555" s="84" t="str">
        <f>IF(C529="","",[1]AB5!$I$30)</f>
        <v>No</v>
      </c>
      <c r="I555" s="85"/>
      <c r="J555" s="86" t="str">
        <f>IF(C529="","",[1]AB5!$K$30)</f>
        <v>FSL / TRP Not Missed</v>
      </c>
      <c r="K555" s="87" t="str">
        <f>IF(C529="","",[1]AB5!$L$30)</f>
        <v>Place the Order at ORPT</v>
      </c>
      <c r="L555" s="88"/>
      <c r="M555" s="88"/>
      <c r="N555" s="85"/>
      <c r="O555" s="87" t="str">
        <f>IF(C529="","",[1]AB5!$P$30)</f>
        <v>ORPT Time</v>
      </c>
      <c r="P555" s="85"/>
      <c r="Q555" s="89">
        <f>IF(C529="","",B547)</f>
        <v>0.37846527777777778</v>
      </c>
      <c r="R555" s="85"/>
      <c r="S555" s="87" t="str">
        <f>IF(C529="","",[1]AB5!$T$30)</f>
        <v>N.A.</v>
      </c>
      <c r="T555" s="88"/>
      <c r="U555" s="85"/>
      <c r="V555" s="86" t="str">
        <f>IF(C529="","",[1]AB5!$W$30)</f>
        <v>N.A.</v>
      </c>
      <c r="W555" s="90" t="str">
        <f>IF(C529="","",[1]AB5!$X$30)</f>
        <v>N.A.</v>
      </c>
      <c r="X555" s="91"/>
      <c r="Y555" s="147" t="str">
        <f>IF(C529="","",CONCATENATE([1]AB5!$T$29," ( ",G538," or ",[1]AB5!$AA$30," ",[1]AB5!$Z$29," ",TEXT(W554,"0.00%")," )"))</f>
        <v>Min ( FUT : PRV : 2DLL - 0.00% or  CDLL - 1.00% )</v>
      </c>
      <c r="Z555" s="148"/>
      <c r="AA555" s="63"/>
      <c r="AB555" s="68"/>
      <c r="AC555" s="68"/>
    </row>
    <row r="556" spans="1:29" ht="21.75" customHeight="1" x14ac:dyDescent="0.2">
      <c r="A556" s="152"/>
      <c r="B556" s="64"/>
      <c r="C556" s="59"/>
      <c r="D556" s="64"/>
      <c r="E556" s="59"/>
      <c r="F556" s="64"/>
      <c r="G556" s="95"/>
      <c r="H556" s="96" t="str">
        <f>IF(C529="","",[1]AB5!$I$31)</f>
        <v>Yes</v>
      </c>
      <c r="I556" s="83"/>
      <c r="J556" s="97" t="str">
        <f>IF(C529="","",[1]AB5!$K$31)</f>
        <v>FSL / TRP Missed</v>
      </c>
      <c r="K556" s="87" t="str">
        <f>IF(C529="","",[1]AB5!$L$31)</f>
        <v>Recalcuate : Short FSL / TRP : Bull / Bull CF</v>
      </c>
      <c r="L556" s="88"/>
      <c r="M556" s="88"/>
      <c r="N556" s="85"/>
      <c r="O556" s="87" t="str">
        <f>IF(C529="","",[1]AB5!$P$31)</f>
        <v>Wait Till Recalculation Time</v>
      </c>
      <c r="P556" s="85"/>
      <c r="Q556" s="89">
        <f>IF(C529="","",C547)</f>
        <v>0.38540972222222225</v>
      </c>
      <c r="R556" s="85"/>
      <c r="S556" s="87" t="str">
        <f>IF(C529="","",CONCATENATE(V556," ",[1]AB5!$Z$31," ",TEXT(W556,"0.00%")))</f>
        <v>09:14:59 AM HH + 1.00%</v>
      </c>
      <c r="T556" s="88"/>
      <c r="U556" s="85"/>
      <c r="V556" s="153" t="str">
        <f>IF(C529="","",CONCATENATE(TEXT(Q556,"HH:MM:SS AM/PM"),[1]AB5!$U$31))</f>
        <v>09:14:59 AM HH</v>
      </c>
      <c r="W556" s="90" t="str">
        <f t="array" ref="W556">IF(C529="","",TEXT(INDEX([1]AB4!BL:BL,MATCH(A538,[1]AB4!B:B,0)),"0.00%"))</f>
        <v>1.00%</v>
      </c>
      <c r="X556" s="91"/>
      <c r="Y556" s="12"/>
      <c r="Z556" s="12"/>
      <c r="AA556" s="59"/>
      <c r="AB556" s="68"/>
      <c r="AC556" s="68"/>
    </row>
    <row r="557" spans="1:29" ht="22.5" customHeight="1" x14ac:dyDescent="0.2">
      <c r="A557" s="152"/>
      <c r="B557" s="64"/>
      <c r="C557" s="59"/>
      <c r="D557" s="64"/>
      <c r="E557" s="59"/>
      <c r="F557" s="64"/>
      <c r="G557" s="95"/>
      <c r="H557" s="48"/>
      <c r="I557" s="95"/>
      <c r="J557" s="146"/>
      <c r="K557" s="87" t="str">
        <f>IF(C529="","",[1]AB5!$L$32)</f>
        <v>Recalcuate : Short FSL / TRP : Bear / Bear CF</v>
      </c>
      <c r="L557" s="88"/>
      <c r="M557" s="88"/>
      <c r="N557" s="85"/>
      <c r="O557" s="87" t="str">
        <f>IF(C529="","",[1]AB5!$P$32)</f>
        <v>Wait Till Recalculation Time</v>
      </c>
      <c r="P557" s="85"/>
      <c r="Q557" s="89">
        <f>IF(C529="","",C547)</f>
        <v>0.38540972222222225</v>
      </c>
      <c r="R557" s="85"/>
      <c r="S557" s="87" t="str">
        <f>IF(C530="","",CONCATENATE(V557," ",[1]AB5!$Z$31," ",TEXT(W557,"0.00%")))</f>
        <v>09:14:59 AM HH + 1.00%</v>
      </c>
      <c r="T557" s="88"/>
      <c r="U557" s="85"/>
      <c r="V557" s="153" t="str">
        <f>IF(C529="","",CONCATENATE(TEXT(Q556,"HH:MM:SS AM/PM"),[1]AB5!$U$32))</f>
        <v>09:14:59 AM HH</v>
      </c>
      <c r="W557" s="90" t="str">
        <f t="array" ref="W557">IF(C529="","",TEXT(INDEX([1]AB4!BL:BL,MATCH(A538,[1]AB4!B:B,0)),"0.00%"))</f>
        <v>1.00%</v>
      </c>
      <c r="X557" s="91"/>
      <c r="Y557" s="145"/>
      <c r="Z557" s="145"/>
      <c r="AA557" s="104"/>
      <c r="AB557" s="68"/>
      <c r="AC557" s="68"/>
    </row>
    <row r="558" spans="1:29" ht="33" customHeight="1" x14ac:dyDescent="0.2">
      <c r="A558" s="152"/>
      <c r="B558" s="64"/>
      <c r="C558" s="59"/>
      <c r="D558" s="64"/>
      <c r="E558" s="59"/>
      <c r="F558" s="64"/>
      <c r="G558" s="95"/>
      <c r="H558" s="48"/>
      <c r="I558" s="95"/>
      <c r="J558" s="146"/>
      <c r="K558" s="87" t="str">
        <f>IF(C529="","",[1]AB5!$L$33)</f>
        <v>Recalcuate : Long Entry : Bull / Bull CF</v>
      </c>
      <c r="L558" s="88"/>
      <c r="M558" s="88"/>
      <c r="N558" s="85"/>
      <c r="O558" s="87" t="str">
        <f>IF(C529="","",[1]AB5!$P$33)</f>
        <v>Wait Till Recalculation Time</v>
      </c>
      <c r="P558" s="85"/>
      <c r="Q558" s="89">
        <f>IF(C529="","",C543)</f>
        <v>0.38540972222222225</v>
      </c>
      <c r="R558" s="85"/>
      <c r="S558" s="98" t="str">
        <f>IF(C529="","",CONCATENATE([1]AB5!$T$33," ( ",G529," or ",V558," ",[1]AB5!$Z$33," ",TEXT(W558,"0.00%")," )"))</f>
        <v>Max ( FUT : PRV : 2DHH + 0.00% or 09:14:59 AM HH + 1.00% )</v>
      </c>
      <c r="T558" s="88"/>
      <c r="U558" s="85"/>
      <c r="V558" s="99" t="str">
        <f>IF(C529="","",CONCATENATE(TEXT(Q558,"HH:MM:SS AM/PM"),[1]AB5!$U$33))</f>
        <v>09:14:59 AM HH</v>
      </c>
      <c r="W558" s="90" t="str">
        <f t="array" ref="W558">IF(C529="","",TEXT(INDEX([1]AB4!BK:BK,MATCH(A529,[1]AB4!B:B,0)),"0.00%"))</f>
        <v>1.00%</v>
      </c>
      <c r="X558" s="91"/>
      <c r="Y558" s="117" t="str">
        <f>IF(C529="","",[1]AB5!$AA$33)</f>
        <v>When Your Short Position is Exited</v>
      </c>
      <c r="Z558" s="118"/>
      <c r="AA558" s="59"/>
      <c r="AB558" s="68"/>
      <c r="AC558" s="68"/>
    </row>
    <row r="559" spans="1:29" ht="33" customHeight="1" thickBot="1" x14ac:dyDescent="0.25">
      <c r="A559" s="152"/>
      <c r="B559" s="60"/>
      <c r="C559" s="66"/>
      <c r="D559" s="60"/>
      <c r="E559" s="66"/>
      <c r="F559" s="60"/>
      <c r="G559" s="121"/>
      <c r="H559" s="102"/>
      <c r="I559" s="121"/>
      <c r="J559" s="122"/>
      <c r="K559" s="154" t="str">
        <f>IF(C529="","",[1]AB5!$L$34)</f>
        <v>Recalcuate : Long Entry : Bear / Bear CF</v>
      </c>
      <c r="L559" s="124"/>
      <c r="M559" s="124"/>
      <c r="N559" s="38"/>
      <c r="O559" s="154" t="str">
        <f>IF(C529="","",[1]AB5!$P$34)</f>
        <v>Wait Till Recalculation Time</v>
      </c>
      <c r="P559" s="38"/>
      <c r="Q559" s="155">
        <f>IF(C529="","",C543)</f>
        <v>0.38540972222222225</v>
      </c>
      <c r="R559" s="38"/>
      <c r="S559" s="156" t="str">
        <f>IF(C529="","",CONCATENATE([1]AB5!$T$34," ( ",G535," or ",V559," ",[1]AB5!$Z$34," ",TEXT(W559,"0.00%")," )"))</f>
        <v>Max ( FUT : PRV : 3DHH + 1.00% or 09:14:59 AM HH + 1.00% )</v>
      </c>
      <c r="T559" s="124"/>
      <c r="U559" s="38"/>
      <c r="V559" s="157" t="str">
        <f>IF(C529="","",CONCATENATE(TEXT(Q559,"HH:MM:SS AM/PM"),[1]AB5!$U$34))</f>
        <v>09:14:59 AM HH</v>
      </c>
      <c r="W559" s="158" t="str">
        <f t="array" ref="W559">IF(C529="","",TEXT(INDEX([1]AB4!BK:BK,MATCH(A535,[1]AB4!B:B,0)),"0.00%"))</f>
        <v>1.00%</v>
      </c>
      <c r="X559" s="41"/>
      <c r="Y559" s="117" t="str">
        <f>IF(C529="","",[1]AB5!$AA$34)</f>
        <v>This is Only Applicable for Same Day</v>
      </c>
      <c r="Z559" s="118"/>
      <c r="AA559" s="59"/>
      <c r="AB559" s="68"/>
      <c r="AC559" s="68"/>
    </row>
    <row r="560" spans="1:29" ht="21.75" customHeight="1" thickBot="1" x14ac:dyDescent="0.25">
      <c r="A560" s="152"/>
      <c r="B560" s="69" t="str">
        <f>IF(C529="","",[1]AB5!$B$35)</f>
        <v>For Missed SL (Position = Open)</v>
      </c>
      <c r="C560" s="29"/>
      <c r="D560" s="70" t="str">
        <f>IF(C529="","",[1]AB5!$D$36)</f>
        <v>Note: ( Optional )</v>
      </c>
      <c r="E560" s="71"/>
      <c r="F560" s="159" t="str">
        <f>IF(C529="","",[1]AB5!$I$35)</f>
        <v>For Long SL</v>
      </c>
      <c r="G560" s="136"/>
      <c r="H560" s="136"/>
      <c r="I560" s="136"/>
      <c r="J560" s="136"/>
      <c r="K560" s="136"/>
      <c r="L560" s="136"/>
      <c r="M560" s="136"/>
      <c r="N560" s="136"/>
      <c r="O560" s="136"/>
      <c r="P560" s="133"/>
      <c r="Q560" s="159" t="str">
        <f>IF(N529="","",[1]AB5!$T$35)</f>
        <v>For Short SL</v>
      </c>
      <c r="R560" s="136"/>
      <c r="S560" s="136"/>
      <c r="T560" s="136"/>
      <c r="U560" s="136"/>
      <c r="V560" s="136"/>
      <c r="W560" s="136"/>
      <c r="X560" s="136"/>
      <c r="Y560" s="136"/>
      <c r="Z560" s="136"/>
      <c r="AA560" s="133"/>
      <c r="AB560" s="68"/>
      <c r="AC560" s="68"/>
    </row>
    <row r="561" spans="1:29" ht="36" customHeight="1" x14ac:dyDescent="0.2">
      <c r="A561" s="152"/>
      <c r="B561" s="160" t="str">
        <f>IF(C529="","",[1]AB5!$B$36)</f>
        <v>Check time</v>
      </c>
      <c r="C561" s="91"/>
      <c r="D561" s="64"/>
      <c r="E561" s="59"/>
      <c r="F561" s="161" t="str">
        <f>IF(C529="","",CONCATENATE([1]AB5!$G$36,TEXT(B562,"HH:MM:SS AM/PM"),[1]AB5!$B$37,[1]AB5!$H$36))</f>
        <v>Check If Close at 11:00:00 PM  &lt; Long Original SL</v>
      </c>
      <c r="G561" s="85"/>
      <c r="H561" s="162" t="str">
        <f>IF(C529="","",[1]AB5!$I$36)</f>
        <v>Yes</v>
      </c>
      <c r="I561" s="105"/>
      <c r="J561" s="163" t="str">
        <f>IF(C529="","",CONCATENATE([1]AB5!$K$36,TEXT(B562,"HH:MM:SS AM/PM")))</f>
        <v xml:space="preserve"> Then Square Off The Position At CMP at 11:00:00 PM</v>
      </c>
      <c r="K561" s="145"/>
      <c r="L561" s="145"/>
      <c r="M561" s="145"/>
      <c r="N561" s="145"/>
      <c r="O561" s="145"/>
      <c r="P561" s="104"/>
      <c r="Q561" s="164" t="str">
        <f>IF(C529="","",CONCATENATE([1]AB5!$T$36,TEXT(B562,"HH:MM:SS AM/PM"),[1]AB5!$B$37,[1]AB5!$U$36))</f>
        <v>Check If Close at 11:00:00 PM  &gt; Short Original SL</v>
      </c>
      <c r="R561" s="145"/>
      <c r="S561" s="105"/>
      <c r="T561" s="165" t="str">
        <f>IF(C529="","",[1]AB5!$I$36)</f>
        <v>Yes</v>
      </c>
      <c r="U561" s="166" t="str">
        <f>IF(C529="","",CONCATENATE([1]AB5!$W$36,TEXT(B562,"HH:MM:SS AM/PM")))</f>
        <v xml:space="preserve"> Then Square Off The Position At CMP at 11:00:00 PM</v>
      </c>
      <c r="V561" s="145"/>
      <c r="W561" s="145"/>
      <c r="X561" s="145"/>
      <c r="Y561" s="145"/>
      <c r="Z561" s="145"/>
      <c r="AA561" s="104"/>
      <c r="AB561" s="68"/>
      <c r="AC561" s="167"/>
    </row>
    <row r="562" spans="1:29" ht="36" customHeight="1" thickBot="1" x14ac:dyDescent="0.25">
      <c r="A562" s="152"/>
      <c r="B562" s="168">
        <f t="array" ref="B562">IF(C529="","",INDEX([1]AB4!CU:CU,MATCH(A550,[1]AB4!B:B,0)))</f>
        <v>0.95833333333333326</v>
      </c>
      <c r="C562" s="41"/>
      <c r="D562" s="60"/>
      <c r="E562" s="66"/>
      <c r="F562" s="169" t="str">
        <f>IF(C529="","",CONCATENATE([1]AB5!$G$37,TEXT(B562,"HH:MM:SS AM/PM"),[1]AB5!$B$37,[1]AB5!$H$37))</f>
        <v>Check If Close at 11:00:00 PM  &gt; Long Original SL</v>
      </c>
      <c r="G562" s="38"/>
      <c r="H562" s="170" t="str">
        <f>IF(C529="","",[1]AB5!$I$37)</f>
        <v>Yes</v>
      </c>
      <c r="I562" s="38"/>
      <c r="J562" s="156" t="str">
        <f>IF(C529="","",CONCATENATE([1]AB5!$K$37))</f>
        <v xml:space="preserve"> Then Continue the Position for Next Day And Calculate Stop Loss Price as per the Rules</v>
      </c>
      <c r="K562" s="124"/>
      <c r="L562" s="124"/>
      <c r="M562" s="124"/>
      <c r="N562" s="124"/>
      <c r="O562" s="124"/>
      <c r="P562" s="41"/>
      <c r="Q562" s="169" t="str">
        <f>IF(C529="","",CONCATENATE([1]AB5!$T$37,TEXT(B562,"HH:MM:SS AM/PM"),[1]AB5!$B$37,[1]AB5!$U$37))</f>
        <v>Check If Close at 11:00:00 PM  &lt; Short Original SL</v>
      </c>
      <c r="R562" s="124"/>
      <c r="S562" s="38"/>
      <c r="T562" s="171" t="str">
        <f>IF(C530="","",[1]AB5!$I$36)</f>
        <v>Yes</v>
      </c>
      <c r="U562" s="156" t="str">
        <f>IF(C529="","",CONCATENATE([1]AB5!$W$37))</f>
        <v xml:space="preserve"> Then Continue the Position for Next Day And Calculate Stop Loss Price as per the Rules</v>
      </c>
      <c r="V562" s="124"/>
      <c r="W562" s="124"/>
      <c r="X562" s="124"/>
      <c r="Y562" s="124"/>
      <c r="Z562" s="124"/>
      <c r="AA562" s="41"/>
      <c r="AB562" s="68"/>
      <c r="AC562" s="167"/>
    </row>
    <row r="563" spans="1:29" ht="15.75" customHeight="1" thickBot="1" x14ac:dyDescent="0.25">
      <c r="A563" s="177"/>
    </row>
    <row r="564" spans="1:29" ht="30.75" customHeight="1" x14ac:dyDescent="0.2">
      <c r="A564" s="18" t="str">
        <f>IF(C564="","",CONCATENATE(C565,[1]AB5!$A$4))</f>
        <v>S17A</v>
      </c>
      <c r="B564" s="20" t="str">
        <f>IF(C564="","",IF([1]AB5!$B$4="","",[1]AB5!$B$4))</f>
        <v>Sr. No.</v>
      </c>
      <c r="C564" s="172">
        <v>17</v>
      </c>
      <c r="D564" s="173" t="str">
        <f>IF(C564="","",[1]AB5!$D$4)</f>
        <v>BULL / BULL CF</v>
      </c>
      <c r="E564" s="57" t="str">
        <f>IF(C564="","",[1]AB5!$F$4)</f>
        <v>BUY</v>
      </c>
      <c r="F564" s="58" t="str">
        <f>IF(C564="","",[1]AB5!$G$4)</f>
        <v>E &amp; T</v>
      </c>
      <c r="G564" s="25" t="str">
        <f t="array" ref="G564">IF(C564="","",CONCATENATE(INDEX([1]AB4!G:G,MATCH(A564,[1]AB4!B:B,0)),INDEX([1]AB4!H:H,MATCH(A564,[1]AB4!B:B,0)),TEXT(INDEX([1]AB4!I:I,MATCH(A564,[1]AB4!B:B,0)),"0.00%")))</f>
        <v>FUT : PRV : 2DHH + 0.00%</v>
      </c>
      <c r="H564" s="26">
        <f t="array" ref="H564">IF(C564="","",INDEX([1]AB4!J:J,MATCH(A564,[1]AB4!B:B,0)))</f>
        <v>5</v>
      </c>
      <c r="I564" s="27"/>
      <c r="J564" s="28" t="str">
        <f t="array" ref="J564">IF(C564="","",CONCATENATE(INDEX([1]AB4!L:L,MATCH(A564,[1]AB4!B:B,0)),INDEX([1]AB4!M:M,MATCH(A564,[1]AB4!B:B,0)),TEXT(INDEX([1]AB4!N:N,MATCH(A564,[1]AB4!B:B,0)),"0.00%")))</f>
        <v>L : Entry  + 3.00%</v>
      </c>
      <c r="K564" s="26">
        <f t="array" ref="K564">IF(C564="","",INDEX([1]AB4!O:O,MATCH(A564,[1]AB4!B:B,0)))</f>
        <v>1</v>
      </c>
      <c r="L564" s="27"/>
      <c r="M564" s="28" t="str">
        <f t="array" ref="M564">IF(C564="","",CONCATENATE(INDEX([1]AB4!L:L,MATCH(A564,[1]AB4!B:B,0)),INDEX([1]AB4!M:M,MATCH(A564,[1]AB4!B:B,0)),TEXT(INDEX([1]AB4!P:P,MATCH(A564,[1]AB4!B:B,0)),"0.00%")))</f>
        <v>L : Entry  + 4.00%</v>
      </c>
      <c r="N564" s="26">
        <f t="array" ref="N564">IF(C564="","",INDEX([1]AB4!Q:Q,MATCH(A564,[1]AB4!B:B,0)))</f>
        <v>1</v>
      </c>
      <c r="O564" s="27"/>
      <c r="P564" s="28" t="str">
        <f t="array" ref="P564">IF(C564="","",CONCATENATE(INDEX([1]AB4!L:L,MATCH(A564,[1]AB4!B:B,0)),INDEX([1]AB4!M:M,MATCH(A564,[1]AB4!B:B,0)),TEXT(INDEX([1]AB4!R:R,MATCH(A564,[1]AB4!B:B,0)),"0.00%")))</f>
        <v>L : Entry  + 5.00%</v>
      </c>
      <c r="Q564" s="26">
        <f t="array" ref="Q564">IF(C564="","",INDEX([1]AB4!S:S,MATCH(A564,[1]AB4!B:B,0)))</f>
        <v>1</v>
      </c>
      <c r="R564" s="27"/>
      <c r="S564" s="28" t="str">
        <f t="array" ref="S564">IF(C564="","",CONCATENATE(INDEX([1]AB4!L:L,MATCH(A564,[1]AB4!B:B,0)),INDEX([1]AB4!M:M,MATCH(A564,[1]AB4!B:B,0)),TEXT(INDEX([1]AB4!T:T,MATCH(A564,[1]AB4!B:B,0)),"0.00%")))</f>
        <v>L : Entry  + 6.00%</v>
      </c>
      <c r="T564" s="26">
        <f t="array" ref="T564">IF(C564="","",INDEX([1]AB4!U:U,MATCH(A564,[1]AB4!B:B,0)))</f>
        <v>1</v>
      </c>
      <c r="U564" s="27"/>
      <c r="V564" s="28" t="str">
        <f t="array" ref="V564">IF(C564="","",INDEX([1]AB4!V:V,MATCH(A564,[1]AB4!B:B,0)))</f>
        <v>TR PROFIT AFTER TGT 4</v>
      </c>
      <c r="W564" s="26">
        <f t="array" ref="W564">IF(C564="","",INDEX([1]AB4!W:W,MATCH(A564,[1]AB4!B:B,0)))</f>
        <v>1</v>
      </c>
      <c r="X564" s="27"/>
      <c r="Y564" s="28" t="str">
        <f t="array" ref="Y564">IF(C564="","",INDEX([1]AB4!X:X,MATCH(A564,[1]AB4!B:B,0)))</f>
        <v>N.A.</v>
      </c>
      <c r="Z564" s="26" t="str">
        <f t="array" ref="Z564">IF(C564="","",INDEX([1]AB4!Y:Y,MATCH(A564,[1]AB4!B:B,0)))</f>
        <v>N.A.</v>
      </c>
      <c r="AA564" s="29"/>
      <c r="AB564" s="30"/>
      <c r="AC564" s="30"/>
    </row>
    <row r="565" spans="1:29" ht="44.25" customHeight="1" thickBot="1" x14ac:dyDescent="0.25">
      <c r="A565" s="18" t="str">
        <f>IF(C564="","",CONCATENATE(C565,[1]AB5!$A$5))</f>
        <v>S17A</v>
      </c>
      <c r="B565" s="31" t="str">
        <f>IF(C564="","",IF([1]AB5!$B$5="","",[1]AB5!$B$5))</f>
        <v>Strategy Code</v>
      </c>
      <c r="C565" s="54" t="str">
        <f t="array" ref="C565">IF(C564="","",INDEX([1]AB2!B:B,MATCH(C564,[1]AB2!A:A,0)))</f>
        <v>S17</v>
      </c>
      <c r="D565" s="59"/>
      <c r="E565" s="60"/>
      <c r="F565" s="61" t="str">
        <f>IF(C564="","",[1]AB5!$G$5)</f>
        <v>SL / TRP</v>
      </c>
      <c r="G565" s="36" t="str">
        <f t="array" ref="G565">IF(C564="","",CONCATENATE(INDEX([1]AB4!AA:AA,MATCH(A565,[1]AB4!B:B,0))," ( ",INDEX([1]AB4!AE:AE,MATCH(A565,[1]AB4!B:B,0)),INDEX([1]AB4!AF:AF,MATCH(A565,[1]AB4!B:B,0)),TEXT(INDEX([1]AB4!AG:AG,MATCH(A565,[1]AB4!B:B,0)),"0.00%")," or ",INDEX([1]AB4!AK:AK,MATCH(A565,[1]AB4!B:B,0)),INDEX([1]AB4!AJ:AJ,MATCH(A565,[1]AB4!B:B,0)),TEXT(INDEX([1]AB4!AL:AL,MATCH(A565,[1]AB4!B:B,0)),"0.00%")," )"))</f>
        <v>Max ( L : Entry - 3.00% or FUT : PRV : PW&amp;CWLL - 1.00% )</v>
      </c>
      <c r="H565" s="37">
        <f t="array" ref="H565">IF(C565="","",INDEX([1]AB4!AM:AM,MATCH(A565,[1]AB4!B:B,0)))</f>
        <v>5</v>
      </c>
      <c r="I565" s="38"/>
      <c r="J565" s="36" t="str">
        <f t="array" ref="J565">IF(C564="","",CONCATENATE(INDEX([1]AB4!AA:AA,MATCH(A565,[1]AB4!B:B,0))," ( ",INDEX([1]AB4!AE:AE,MATCH(A565,[1]AB4!B:B,0))," or ",INDEX([1]AB4!AN:AN,MATCH(A565,[1]AB4!B:B,0)),INDEX([1]AB4!AJ:AJ,MATCH(A565,[1]AB4!B:B,0)),TEXT(INDEX([1]AB4!AO:AO,MATCH(A565,[1]AB4!B:B,0)),"0.00%")," )"))</f>
        <v>Max ( L : Entry or FUT : PRV : PW&amp;CWLL - 1.00% )</v>
      </c>
      <c r="K565" s="37">
        <f t="array" ref="K565">IF(C564="","",INDEX([1]AB4!AP:AP,MATCH(A565,[1]AB4!B:B,0)))</f>
        <v>4</v>
      </c>
      <c r="L565" s="38"/>
      <c r="M565" s="36" t="str">
        <f t="array" ref="M565">IF(C564="","",CONCATENATE(INDEX([1]AB4!AA:AA,MATCH(A565,[1]AB4!B:B,0))," ( ",INDEX([1]AB4!AE:AE,MATCH(A565,[1]AB4!B:B,0))," or ",INDEX([1]AB4!AQ:AQ,MATCH(A565,[1]AB4!B:B,0)),INDEX([1]AB4!AJ:AJ,MATCH(A565,[1]AB4!B:B,0)),TEXT(INDEX([1]AB4!AR:AR,MATCH(A565,[1]AB4!B:B,0)),"0.00%")," )"))</f>
        <v>Max ( L : Entry or FUT : PRV : PW&amp;CWLL - 1.00% )</v>
      </c>
      <c r="N565" s="37">
        <f t="array" ref="N565">IF(C565="","",INDEX([1]AB4!AS:AS,MATCH(A565,[1]AB4!B:B,0)))</f>
        <v>3</v>
      </c>
      <c r="O565" s="38"/>
      <c r="P565" s="36" t="str">
        <f t="array" ref="P565">IF(C564="","",CONCATENATE(INDEX([1]AB4!AA:AA,MATCH(A565,[1]AB4!B:B,0))," ( ",INDEX([1]AB4!AE:AE,MATCH(A565,[1]AB4!B:B,0))," or ",INDEX([1]AB4!AT:AT,MATCH(A565,[1]AB4!B:B,0)),INDEX([1]AB4!AJ:AJ,MATCH(A565,[1]AB4!B:B,0)),TEXT(INDEX([1]AB4!AU:AU,MATCH(A565,[1]AB4!B:B,0)),"0.00%")," )"))</f>
        <v>Max ( L : Entry or FUT : PRV : PW&amp;CWLL - 1.00% )</v>
      </c>
      <c r="Q565" s="37">
        <f t="array" ref="Q565">IF(C565="","",INDEX([1]AB4!AV:AV,MATCH(A565,[1]AB4!B:B,0)))</f>
        <v>2</v>
      </c>
      <c r="R565" s="38"/>
      <c r="S565" s="36" t="str">
        <f t="array" ref="S565">IF(C564="","",CONCATENATE(INDEX([1]AB4!AA:AA,MATCH(A565,[1]AB4!B:B,0))," ( ",INDEX([1]AB4!AE:AE,MATCH(A565,[1]AB4!B:B,0))," or ",INDEX([1]AB4!AW:AW,MATCH(A565,[1]AB4!B:B,0)),INDEX([1]AB4!AJ:AJ,MATCH(A565,[1]AB4!B:B,0)),TEXT(INDEX([1]AB4!AX:AX,MATCH(A565,[1]AB4!B:B,0)),"0.00%")," )"))</f>
        <v>Max ( L : Entry or FUT : PRV : PW&amp;CWLL - 1.00% )</v>
      </c>
      <c r="T565" s="37">
        <f t="array" ref="T565">IF(C564="","",INDEX([1]AB4!AY:AY,MATCH(A565,[1]AB4!B:B,0)))</f>
        <v>1</v>
      </c>
      <c r="U565" s="38"/>
      <c r="V565" s="36" t="str">
        <f t="array" ref="V565">IF(C564="","",CONCATENATE(INDEX([1]AB4!AA:AA,MATCH(A565,[1]AB4!B:B,0))," ( ",INDEX([1]AB4!AE:AE,MATCH(A565,[1]AB4!B:B,0))," or ",INDEX([1]AB4!AW:AW,MATCH(A565,[1]AB4!B:B,0)),INDEX([1]AB4!AJ:AJ,MATCH(A565,[1]AB4!B:B,0)),TEXT(INDEX([1]AB4!AX:AX,MATCH(A565,[1]AB4!B:B,0)),"0.00%")," )"))</f>
        <v>Max ( L : Entry or FUT : PRV : PW&amp;CWLL - 1.00% )</v>
      </c>
      <c r="W565" s="37">
        <f t="array" ref="W565">IF(C564="","",INDEX([1]AB4!AY:AY,MATCH(A565,[1]AB4!B:B,0)))</f>
        <v>1</v>
      </c>
      <c r="X565" s="38"/>
      <c r="Y565" s="40">
        <f t="array" ref="Y565">IF(C564="","",INDEX([1]AB4!AZ:AZ,MATCH(A565,[1]AB4!B:B,0)))</f>
        <v>0</v>
      </c>
      <c r="Z565" s="37">
        <f t="array" ref="Z565">IF(C564="","",INDEX([1]AB4!BB:BB,MATCH(A565,[1]AB4!B:B,0)))</f>
        <v>0</v>
      </c>
      <c r="AA565" s="41"/>
      <c r="AB565" s="30"/>
      <c r="AC565" s="30"/>
    </row>
    <row r="566" spans="1:29" ht="6" customHeight="1" thickBot="1" x14ac:dyDescent="0.25">
      <c r="A566" s="18" t="str">
        <f>IF(C564="","",CONCATENATE(C565,[1]AB5!A576))</f>
        <v>S17</v>
      </c>
      <c r="B566" s="42" t="str">
        <f>IF(C564="","",IF([1]AB5!$B$6="","",[1]AB5!$B$6))</f>
        <v>Unique Code</v>
      </c>
      <c r="C566" s="174" t="str">
        <f t="array" ref="C566">IF(C564="","",INDEX([1]AB2!N:N,MATCH(C564,[1]AB2!A:A,0)))</f>
        <v>NATURALGAS_FUT_MT_DIFF_2D_PW&amp;CW</v>
      </c>
      <c r="D566" s="59"/>
      <c r="E566" s="44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6"/>
      <c r="AB566" s="30"/>
      <c r="AC566" s="30"/>
    </row>
    <row r="567" spans="1:29" ht="30.75" customHeight="1" x14ac:dyDescent="0.2">
      <c r="A567" s="18" t="str">
        <f>IF(C564="","",CONCATENATE(C565,[1]AB5!$A$7))</f>
        <v>S17B</v>
      </c>
      <c r="B567" s="47"/>
      <c r="C567" s="175"/>
      <c r="D567" s="59"/>
      <c r="E567" s="65" t="str">
        <f>IF(C564="","",[1]AB5!$F$7)</f>
        <v>SELL</v>
      </c>
      <c r="F567" s="58" t="str">
        <f>IF(C564="","",[1]AB5!$G$7)</f>
        <v>E &amp; T</v>
      </c>
      <c r="G567" s="25" t="str">
        <f t="array" ref="G567">IF(C564="","",CONCATENATE(INDEX([1]AB4!G:G,MATCH(A567,[1]AB4!B:B,0)),INDEX([1]AB4!H:H,MATCH(A567,[1]AB4!B:B,0)),TEXT(INDEX([1]AB4!I:I,MATCH(A567,[1]AB4!B:B,0)),"0.00%")))</f>
        <v>FUT : PRV : PW&amp;CWLL - 1.00%</v>
      </c>
      <c r="H567" s="26">
        <f t="array" ref="H567">IF(C564="","",INDEX([1]AB4!J:J,MATCH(A567,[1]AB4!B:B,0)))</f>
        <v>5</v>
      </c>
      <c r="I567" s="27"/>
      <c r="J567" s="28" t="str">
        <f t="array" ref="J567">IF(C564="","",CONCATENATE(INDEX([1]AB4!L:L,MATCH(A567,[1]AB4!B:B,0)),INDEX([1]AB4!M:M,MATCH(A567,[1]AB4!B:B,0)),TEXT(INDEX([1]AB4!N:N,MATCH(A567,[1]AB4!B:B,0)),"0.00%")))</f>
        <v>S : Entry  - 3.00%</v>
      </c>
      <c r="K567" s="26">
        <f t="array" ref="K567">IF(C564="","",INDEX([1]AB4!O:O,MATCH(A567,[1]AB4!B:B,0)))</f>
        <v>1</v>
      </c>
      <c r="L567" s="27"/>
      <c r="M567" s="28" t="str">
        <f t="array" ref="M567">IF(C564="","",CONCATENATE(INDEX([1]AB4!L:L,MATCH(A567,[1]AB4!B:B,0)),INDEX([1]AB4!M:M,MATCH(A567,[1]AB4!B:B,0)),TEXT(INDEX([1]AB4!P:P,MATCH(A567,[1]AB4!B:B,0)),"0.00%")))</f>
        <v>S : Entry  - 4.00%</v>
      </c>
      <c r="N567" s="26">
        <f t="array" ref="N567">IF(C564="","",INDEX([1]AB4!Q:Q,MATCH(A567,[1]AB4!B:B,0)))</f>
        <v>1</v>
      </c>
      <c r="O567" s="27"/>
      <c r="P567" s="28" t="str">
        <f t="array" ref="P567">IF(C564="","",CONCATENATE(INDEX([1]AB4!L:L,MATCH(A567,[1]AB4!B:B,0)),INDEX([1]AB4!M:M,MATCH(A567,[1]AB4!B:B,0)),TEXT(INDEX([1]AB4!R:R,MATCH(A567,[1]AB4!B:B,0)),"0.00%")))</f>
        <v>S : Entry  - 5.00%</v>
      </c>
      <c r="Q567" s="26">
        <f t="array" ref="Q567">IF(C564="","",INDEX([1]AB4!S:S,MATCH(A567,[1]AB4!B:B,0)))</f>
        <v>1</v>
      </c>
      <c r="R567" s="27"/>
      <c r="S567" s="28" t="str">
        <f t="array" ref="S567">IF(C564="","",CONCATENATE(INDEX([1]AB4!L:L,MATCH(A567,[1]AB4!B:B,0)),INDEX([1]AB4!M:M,MATCH(A567,[1]AB4!B:B,0)),TEXT(INDEX([1]AB4!T:T,MATCH(A567,[1]AB4!B:B,0)),"0.00%")))</f>
        <v>S : Entry  - 6.00%</v>
      </c>
      <c r="T567" s="26">
        <f t="array" ref="T567">IF(C564="","",INDEX([1]AB4!U:U,MATCH(A567,[1]AB4!B:B,0)))</f>
        <v>1</v>
      </c>
      <c r="U567" s="27"/>
      <c r="V567" s="28" t="str">
        <f t="array" ref="V567">IF(C564="","",INDEX([1]AB4!V:V,MATCH(A567,[1]AB4!B:B,0)))</f>
        <v>TR PROFIT AFTER TGT 4</v>
      </c>
      <c r="W567" s="26">
        <f t="array" ref="W567">IF(C564="","",INDEX([1]AB4!W:W,MATCH(A567,[1]AB4!B:B,0)))</f>
        <v>1</v>
      </c>
      <c r="X567" s="27"/>
      <c r="Y567" s="28" t="str">
        <f t="array" ref="Y567">IF(C564="","",INDEX([1]AB4!X:X,MATCH(A567,[1]AB4!B:B,0)))</f>
        <v>N.A.</v>
      </c>
      <c r="Z567" s="26" t="str">
        <f t="array" ref="Z567">IF(C564="","",INDEX([1]AB4!Y:Y,MATCH(A567,[1]AB4!B:B,0)))</f>
        <v>N.A.</v>
      </c>
      <c r="AA567" s="29"/>
      <c r="AB567" s="30"/>
      <c r="AC567" s="30"/>
    </row>
    <row r="568" spans="1:29" ht="44.25" customHeight="1" thickBot="1" x14ac:dyDescent="0.25">
      <c r="A568" s="18" t="str">
        <f>IF(C564="","",CONCATENATE(C565,[1]AB5!$A$8))</f>
        <v>S17B</v>
      </c>
      <c r="B568" s="50"/>
      <c r="C568" s="176"/>
      <c r="D568" s="66"/>
      <c r="E568" s="60"/>
      <c r="F568" s="61" t="str">
        <f>IF(C564="","",[1]AB5!$G$8)</f>
        <v>SL / TRP</v>
      </c>
      <c r="G568" s="36" t="str">
        <f t="array" ref="G568">IF(C564="","",CONCATENATE(INDEX([1]AB4!AA:AA,MATCH(A568,[1]AB4!B:B,0))," ( ",INDEX([1]AB4!AE:AE,MATCH(A568,[1]AB4!B:B,0)),INDEX([1]AB4!AF:AF,MATCH(A568,[1]AB4!B:B,0)),TEXT(INDEX([1]AB4!AG:AG,MATCH(A568,[1]AB4!B:B,0)),"0.00%")," or ",INDEX([1]AB4!AK:AK,MATCH(A568,[1]AB4!B:B,0)),INDEX([1]AB4!AJ:AJ,MATCH(A568,[1]AB4!B:B,0)),TEXT(INDEX([1]AB4!AL:AL,MATCH(A568,[1]AB4!B:B,0)),"0.00%")," )"))</f>
        <v>Min ( S : Entry + 3.00% or FUT : PRV : 2DHH + 0.00% )</v>
      </c>
      <c r="H568" s="37">
        <f t="array" ref="H568">IF(C564="","",INDEX([1]AB4!AM:AM,MATCH(A568,[1]AB4!B:B,0)))</f>
        <v>5</v>
      </c>
      <c r="I568" s="38"/>
      <c r="J568" s="36" t="str">
        <f t="array" ref="J568">IF(C564="","",CONCATENATE(INDEX([1]AB4!AA:AA,MATCH(A568,[1]AB4!B:B,0))," ( ",INDEX([1]AB4!AE:AE,MATCH(A568,[1]AB4!B:B,0))," or ",INDEX([1]AB4!AN:AN,MATCH(A568,[1]AB4!B:B,0)),INDEX([1]AB4!AJ:AJ,MATCH(A568,[1]AB4!B:B,0)),TEXT(INDEX([1]AB4!AO:AO,MATCH(A568,[1]AB4!B:B,0)),"0.00%")," )"))</f>
        <v>Min ( S : Entry or FUT : PRV : 2DHH + 0.00% )</v>
      </c>
      <c r="K568" s="37">
        <f t="array" ref="K568">IF(C564="","",INDEX([1]AB4!AP:AP,MATCH(A568,[1]AB4!B:B,0)))</f>
        <v>4</v>
      </c>
      <c r="L568" s="38"/>
      <c r="M568" s="36" t="str">
        <f t="array" ref="M568">IF(C564="","",CONCATENATE(INDEX([1]AB4!AA:AA,MATCH(A568,[1]AB4!B:B,0))," ( ",INDEX([1]AB4!AE:AE,MATCH(A568,[1]AB4!B:B,0))," or ",INDEX([1]AB4!AQ:AQ,MATCH(A568,[1]AB4!B:B,0)),INDEX([1]AB4!AJ:AJ,MATCH(A568,[1]AB4!B:B,0)),TEXT(INDEX([1]AB4!AR:AR,MATCH(A568,[1]AB4!B:B,0)),"0.00%")," )"))</f>
        <v>Min ( S : Entry or FUT : PRV : 2DHH + 0.00% )</v>
      </c>
      <c r="N568" s="37">
        <f t="array" ref="N568">IF(C564="","",INDEX([1]AB4!AS:AS,MATCH(A568,[1]AB4!B:B,0)))</f>
        <v>3</v>
      </c>
      <c r="O568" s="38"/>
      <c r="P568" s="36" t="str">
        <f t="array" ref="P568">IF(C564="","",CONCATENATE(INDEX([1]AB4!AA:AA,MATCH(A568,[1]AB4!B:B,0))," ( ",INDEX([1]AB4!AE:AE,MATCH(A568,[1]AB4!B:B,0))," or ",INDEX([1]AB4!AT:AT,MATCH(A568,[1]AB4!B:B,0)),INDEX([1]AB4!AJ:AJ,MATCH(A568,[1]AB4!B:B,0)),TEXT(INDEX([1]AB4!AU:AU,MATCH(A568,[1]AB4!B:B,0)),"0.00%")," )"))</f>
        <v>Min ( S : Entry or FUT : PRV : 2DHH + 0.00% )</v>
      </c>
      <c r="Q568" s="37">
        <f t="array" ref="Q568">IF(C564="","",INDEX([1]AB4!AV:AV,MATCH(A568,[1]AB4!B:B,0)))</f>
        <v>2</v>
      </c>
      <c r="R568" s="38"/>
      <c r="S568" s="36" t="str">
        <f t="array" ref="S568">IF(C564="","",CONCATENATE(INDEX([1]AB4!AA:AA,MATCH(A568,[1]AB4!B:B,0))," ( ",INDEX([1]AB4!AE:AE,MATCH(A568,[1]AB4!B:B,0))," or ",INDEX([1]AB4!AW:AW,MATCH(A568,[1]AB4!B:B,0)),INDEX([1]AB4!AJ:AJ,MATCH(A568,[1]AB4!B:B,0)),TEXT(INDEX([1]AB4!AX:AX,MATCH(A568,[1]AB4!B:B,0)),"0.00%")," )"))</f>
        <v>Min ( S : Entry or FUT : PRV : 2DHH + 0.00% )</v>
      </c>
      <c r="T568" s="37">
        <f t="array" ref="T568">IF(C564="","",INDEX([1]AB4!AY:AY,MATCH(A568,[1]AB4!B:B,0)))</f>
        <v>1</v>
      </c>
      <c r="U568" s="38"/>
      <c r="V568" s="36" t="str">
        <f t="array" ref="V568">IF(C564="","",CONCATENATE(INDEX([1]AB4!AA:AA,MATCH(A568,[1]AB4!B:B,0))," ( ",INDEX([1]AB4!AE:AE,MATCH(A568,[1]AB4!B:B,0))," or ",INDEX([1]AB4!AW:AW,MATCH(A568,[1]AB4!B:B,0)),INDEX([1]AB4!AJ:AJ,MATCH(A568,[1]AB4!B:B,0)),TEXT(INDEX([1]AB4!AX:AX,MATCH(A568,[1]AB4!B:B,0)),"0.00%")," )"))</f>
        <v>Min ( S : Entry or FUT : PRV : 2DHH + 0.00% )</v>
      </c>
      <c r="W568" s="37">
        <f t="array" ref="W568">IF(C564="","",INDEX([1]AB4!AY:AY,MATCH(A568,[1]AB4!B:B,0)))</f>
        <v>1</v>
      </c>
      <c r="X568" s="38"/>
      <c r="Y568" s="40">
        <f t="array" ref="Y568">IF(C564="","",INDEX([1]AB4!AZ:AZ,MATCH(A568,[1]AB4!B:B,0)))</f>
        <v>0</v>
      </c>
      <c r="Z568" s="37">
        <f t="array" ref="Z568">IF(C564="","",INDEX([1]AB4!BB:BB,MATCH(A568,[1]AB4!B:B,0)))</f>
        <v>0</v>
      </c>
      <c r="AA568" s="41"/>
      <c r="AB568" s="30"/>
      <c r="AC568" s="30"/>
    </row>
    <row r="569" spans="1:29" ht="19.5" customHeight="1" thickBot="1" x14ac:dyDescent="0.25">
      <c r="A569" s="18" t="str">
        <f>IF(C564="","",CONCATENATE(C565,[1]AB5!$A$9))</f>
        <v>S17C</v>
      </c>
      <c r="B569" s="31" t="str">
        <f>IF(C564="","",IF([1]AB5!$B$9="","",[1]AB5!$B$9))</f>
        <v>Segment</v>
      </c>
      <c r="C569" s="54" t="str">
        <f t="array" ref="C569">IF(C564="","",INDEX([1]AB2!C:C,MATCH(C564,[1]AB2!A:A,0)))</f>
        <v>FUTURES</v>
      </c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30"/>
      <c r="AC569" s="30"/>
    </row>
    <row r="570" spans="1:29" ht="30.75" customHeight="1" x14ac:dyDescent="0.2">
      <c r="A570" s="18" t="str">
        <f>IF(C564="","",CONCATENATE(C565,[1]AB5!$A$10))</f>
        <v>S17D</v>
      </c>
      <c r="B570" s="31" t="str">
        <f>IF(C564="","",IF([1]AB5!$B$10="","",[1]AB5!$B$10))</f>
        <v>Symbol</v>
      </c>
      <c r="C570" s="54" t="str">
        <f t="array" ref="C570">IF(C564="","",INDEX([1]AB2!E:E,MATCH(C564,[1]AB2!A:A,0)))</f>
        <v>NATURALGAS</v>
      </c>
      <c r="D570" s="56" t="str">
        <f>IF(C564="","",IF(C564="","",[1]AB5!$D$10))</f>
        <v>BEAR / BEAR CF</v>
      </c>
      <c r="E570" s="57" t="str">
        <f>IF(C564="","",[1]AB5!$F$10)</f>
        <v>BUY</v>
      </c>
      <c r="F570" s="58" t="str">
        <f>IF(C564="","",[1]AB5!$G$10)</f>
        <v>E &amp; T</v>
      </c>
      <c r="G570" s="25" t="str">
        <f t="array" ref="G570">IF(C564="","",CONCATENATE(INDEX([1]AB4!G:G,MATCH(A570,[1]AB4!B:B,0)),INDEX([1]AB4!H:H,MATCH(A570,[1]AB4!B:B,0)),TEXT(INDEX([1]AB4!I:I,MATCH(A570,[1]AB4!B:B,0)),"0.00%")))</f>
        <v>FUT : PRV : PW&amp;CWHH + 1.00%</v>
      </c>
      <c r="H570" s="26">
        <f t="array" ref="H570">IF(C564="","",INDEX([1]AB4!J:J,MATCH(A570,[1]AB4!B:B,0)))</f>
        <v>5</v>
      </c>
      <c r="I570" s="27"/>
      <c r="J570" s="28" t="str">
        <f t="array" ref="J570">IF(C564="","",CONCATENATE(INDEX([1]AB4!L:L,MATCH(A570,[1]AB4!B:B,0)),INDEX([1]AB4!M:M,MATCH(A570,[1]AB4!B:B,0)),TEXT(INDEX([1]AB4!N:N,MATCH(A570,[1]AB4!B:B,0)),"0.00%")))</f>
        <v>L : Entry  + 3.00%</v>
      </c>
      <c r="K570" s="26">
        <f t="array" ref="K570">IF(C564="","",INDEX([1]AB4!O:O,MATCH(A570,[1]AB4!B:B,0)))</f>
        <v>1</v>
      </c>
      <c r="L570" s="27"/>
      <c r="M570" s="28" t="str">
        <f t="array" ref="M570">IF(C564="","",CONCATENATE(INDEX([1]AB4!L:L,MATCH(A570,[1]AB4!B:B,0)),INDEX([1]AB4!M:M,MATCH(A570,[1]AB4!B:B,0)),TEXT(INDEX([1]AB4!P:P,MATCH(A570,[1]AB4!B:B,0)),"0.00%")))</f>
        <v>L : Entry  + 4.00%</v>
      </c>
      <c r="N570" s="26">
        <f t="array" ref="N570">IF(C564="","",INDEX([1]AB4!Q:Q,MATCH(A570,[1]AB4!B:B,0)))</f>
        <v>1</v>
      </c>
      <c r="O570" s="27"/>
      <c r="P570" s="28" t="str">
        <f t="array" ref="P570">IF(C564="","",CONCATENATE(INDEX([1]AB4!L:L,MATCH(A570,[1]AB4!B:B,0)),INDEX([1]AB4!M:M,MATCH(A570,[1]AB4!B:B,0)),TEXT(INDEX([1]AB4!R:R,MATCH(A570,[1]AB4!B:B,0)),"0.00%")))</f>
        <v>L : Entry  + 5.00%</v>
      </c>
      <c r="Q570" s="26">
        <f t="array" ref="Q570">IF(C564="","",INDEX([1]AB4!S:S,MATCH(A570,[1]AB4!B:B,0)))</f>
        <v>1</v>
      </c>
      <c r="R570" s="27"/>
      <c r="S570" s="28" t="str">
        <f t="array" ref="S570">IF(C564="","",CONCATENATE(INDEX([1]AB4!L:L,MATCH(A570,[1]AB4!B:B,0)),INDEX([1]AB4!M:M,MATCH(A570,[1]AB4!B:B,0)),TEXT(INDEX([1]AB4!T:T,MATCH(A570,[1]AB4!B:B,0)),"0.00%")))</f>
        <v>L : Entry  + 6.00%</v>
      </c>
      <c r="T570" s="26">
        <f t="array" ref="T570">IF(C564="","",INDEX([1]AB4!U:U,MATCH(A570,[1]AB4!B:B,0)))</f>
        <v>1</v>
      </c>
      <c r="U570" s="27"/>
      <c r="V570" s="28" t="str">
        <f t="array" ref="V570">IF(C564="","",INDEX([1]AB4!V:V,MATCH(A570,[1]AB4!B:B,0)))</f>
        <v>TR PROFIT AFTER TGT 4</v>
      </c>
      <c r="W570" s="26">
        <f t="array" ref="W570">IF(C564="","",INDEX([1]AB4!W:W,MATCH(A570,[1]AB4!B:B,0)))</f>
        <v>1</v>
      </c>
      <c r="X570" s="27"/>
      <c r="Y570" s="28" t="str">
        <f t="array" ref="Y570">IF(C564="","",INDEX([1]AB4!X:X,MATCH(A570,[1]AB4!B:B,0)))</f>
        <v>N.A.</v>
      </c>
      <c r="Z570" s="26" t="str">
        <f t="array" ref="Z570">IF(C564="","",INDEX([1]AB4!Y:Y,MATCH(A570,[1]AB4!B:B,0)))</f>
        <v>N.A.</v>
      </c>
      <c r="AA570" s="29"/>
      <c r="AB570" s="30"/>
      <c r="AC570" s="30"/>
    </row>
    <row r="571" spans="1:29" ht="44.25" customHeight="1" thickBot="1" x14ac:dyDescent="0.25">
      <c r="A571" s="18" t="str">
        <f>IF(C564="","",CONCATENATE(C565,[1]AB5!$A$11))</f>
        <v>S17D</v>
      </c>
      <c r="B571" s="31" t="str">
        <f>IF(C564="","",IF([1]AB5!$B$11="","",[1]AB5!$B$11))</f>
        <v>No. of TGT</v>
      </c>
      <c r="C571" s="54" t="str">
        <f t="array" ref="C571">IF(C564="","",INDEX([1]AB2!K:K,MATCH(C564,[1]AB2!A:A,0)))</f>
        <v>4 &amp; APS</v>
      </c>
      <c r="D571" s="59"/>
      <c r="E571" s="60"/>
      <c r="F571" s="61" t="str">
        <f>IF(C564="","",[1]AB5!$G$11)</f>
        <v>SL / TRP</v>
      </c>
      <c r="G571" s="36" t="str">
        <f t="array" ref="G571">IF(C564="","",CONCATENATE(INDEX([1]AB4!AA:AA,MATCH(A571,[1]AB4!B:B,0))," ( ",INDEX([1]AB4!AE:AE,MATCH(A571,[1]AB4!B:B,0)),INDEX([1]AB4!AF:AF,MATCH(A571,[1]AB4!B:B,0)),TEXT(INDEX([1]AB4!AG:AG,MATCH(A571,[1]AB4!B:B,0)),"0.00%")," or ",INDEX([1]AB4!AK:AK,MATCH(A571,[1]AB4!B:B,0)),INDEX([1]AB4!AJ:AJ,MATCH(A571,[1]AB4!B:B,0)),TEXT(INDEX([1]AB4!AL:AL,MATCH(A571,[1]AB4!B:B,0)),"0.00%")," )"))</f>
        <v>Max ( L : Entry - 3.00% or FUT : PRV : 2DLL - 0.00% )</v>
      </c>
      <c r="H571" s="37">
        <f t="array" ref="H571">IF(C564="","",INDEX([1]AB4!AM:AM,MATCH(A571,[1]AB4!B:B,0)))</f>
        <v>5</v>
      </c>
      <c r="I571" s="38"/>
      <c r="J571" s="36" t="str">
        <f t="array" ref="J571">IF(C564="","",CONCATENATE(INDEX([1]AB4!AA:AA,MATCH(A571,[1]AB4!B:B,0))," ( ",INDEX([1]AB4!AE:AE,MATCH(A571,[1]AB4!B:B,0))," or ",INDEX([1]AB4!AN:AN,MATCH(A571,[1]AB4!B:B,0)),INDEX([1]AB4!AJ:AJ,MATCH(A571,[1]AB4!B:B,0)),TEXT(INDEX([1]AB4!AO:AO,MATCH(A571,[1]AB4!B:B,0)),"0.00%")," )"))</f>
        <v>Max ( L : Entry or FUT : PRV : 2DLL - 0.00% )</v>
      </c>
      <c r="K571" s="37">
        <f t="array" ref="K571">IF(C564="","",INDEX([1]AB4!AP:AP,MATCH(A571,[1]AB4!B:B,0)))</f>
        <v>4</v>
      </c>
      <c r="L571" s="38"/>
      <c r="M571" s="36" t="str">
        <f t="array" ref="M571">IF(C564="","",CONCATENATE(INDEX([1]AB4!AA:AA,MATCH(A571,[1]AB4!B:B,0))," ( ",INDEX([1]AB4!AE:AE,MATCH(A571,[1]AB4!B:B,0))," or ",INDEX([1]AB4!AQ:AQ,MATCH(A571,[1]AB4!B:B,0)),INDEX([1]AB4!AJ:AJ,MATCH(A571,[1]AB4!B:B,0)),TEXT(INDEX([1]AB4!AR:AR,MATCH(A571,[1]AB4!B:B,0)),"0.00%")," )"))</f>
        <v>Max ( L : Entry or FUT : PRV : 2DLL - 0.00% )</v>
      </c>
      <c r="N571" s="37">
        <f t="array" ref="N571">IF(C564="","",INDEX([1]AB4!AS:AS,MATCH(A571,[1]AB4!B:B,0)))</f>
        <v>3</v>
      </c>
      <c r="O571" s="38"/>
      <c r="P571" s="36" t="str">
        <f t="array" ref="P571">IF(C564="","",CONCATENATE(INDEX([1]AB4!AA:AA,MATCH(A571,[1]AB4!B:B,0))," ( ",INDEX([1]AB4!AE:AE,MATCH(A571,[1]AB4!B:B,0))," or ",INDEX([1]AB4!AT:AT,MATCH(A571,[1]AB4!B:B,0)),INDEX([1]AB4!AJ:AJ,MATCH(A571,[1]AB4!B:B,0)),TEXT(INDEX([1]AB4!AU:AU,MATCH(A571,[1]AB4!B:B,0)),"0.00%")," )"))</f>
        <v>Max ( L : Entry or FUT : PRV : 2DLL - 0.00% )</v>
      </c>
      <c r="Q571" s="37">
        <f t="array" ref="Q571">IF(C564="","",INDEX([1]AB4!AV:AV,MATCH(A571,[1]AB4!B:B,0)))</f>
        <v>2</v>
      </c>
      <c r="R571" s="38"/>
      <c r="S571" s="36" t="str">
        <f t="array" ref="S571">IF(C564="","",CONCATENATE(INDEX([1]AB4!AA:AA,MATCH(A571,[1]AB4!B:B,0))," ( ",INDEX([1]AB4!AE:AE,MATCH(A571,[1]AB4!B:B,0))," or ",INDEX([1]AB4!AW:AW,MATCH(A571,[1]AB4!B:B,0)),INDEX([1]AB4!AJ:AJ,MATCH(A571,[1]AB4!B:B,0)),TEXT(INDEX([1]AB4!AX:AX,MATCH(A571,[1]AB4!B:B,0)),"0.00%")," )"))</f>
        <v>Max ( L : Entry or FUT : PRV : 2DLL - 0.00% )</v>
      </c>
      <c r="T571" s="37">
        <f t="array" ref="T571">IF(C564="","",INDEX([1]AB4!AY:AY,MATCH(A571,[1]AB4!B:B,0)))</f>
        <v>1</v>
      </c>
      <c r="U571" s="38"/>
      <c r="V571" s="36" t="str">
        <f t="array" ref="V571">IF(C564="","",CONCATENATE(INDEX([1]AB4!AA:AA,MATCH(A571,[1]AB4!B:B,0))," ( ",INDEX([1]AB4!AE:AE,MATCH(A571,[1]AB4!B:B,0))," or ",INDEX([1]AB4!AW:AW,MATCH(A571,[1]AB4!B:B,0)),INDEX([1]AB4!AJ:AJ,MATCH(A571,[1]AB4!B:B,0)),TEXT(INDEX([1]AB4!AX:AX,MATCH(A571,[1]AB4!B:B,0)),"0.00%")," )"))</f>
        <v>Max ( L : Entry or FUT : PRV : 2DLL - 0.00% )</v>
      </c>
      <c r="W571" s="37">
        <f t="array" ref="W571">IF(C564="","",INDEX([1]AB4!AY:AY,MATCH(A571,[1]AB4!B:B,0)))</f>
        <v>1</v>
      </c>
      <c r="X571" s="38"/>
      <c r="Y571" s="40">
        <f t="array" ref="Y571">IF(C564="","",INDEX([1]AB4!AZ:AZ,MATCH(A571,[1]AB4!B:B,0)))</f>
        <v>0</v>
      </c>
      <c r="Z571" s="37">
        <f t="array" ref="Z571">IF(C564="","",INDEX([1]AB4!BB:BB,MATCH(A571,[1]AB4!B:B,0)))</f>
        <v>0</v>
      </c>
      <c r="AA571" s="41"/>
      <c r="AB571" s="30"/>
      <c r="AC571" s="30"/>
    </row>
    <row r="572" spans="1:29" ht="6" customHeight="1" thickBot="1" x14ac:dyDescent="0.25">
      <c r="A572" s="18" t="str">
        <f>IF(C564="","",CONCATENATE(C565,[1]AB5!A582))</f>
        <v>S17</v>
      </c>
      <c r="B572" s="62" t="str">
        <f>IF(C564="","",IF([1]AB5!$B$12="","",[1]AB5!$B$12))</f>
        <v>Stay Blessed !!!</v>
      </c>
      <c r="C572" s="63"/>
      <c r="D572" s="59"/>
      <c r="E572" s="44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6"/>
      <c r="AB572" s="30"/>
      <c r="AC572" s="30"/>
    </row>
    <row r="573" spans="1:29" ht="30.75" customHeight="1" x14ac:dyDescent="0.2">
      <c r="A573" s="18" t="str">
        <f>IF(C564="","",CONCATENATE(C565,[1]AB5!$A$13))</f>
        <v>S17E</v>
      </c>
      <c r="B573" s="64"/>
      <c r="C573" s="59"/>
      <c r="D573" s="59"/>
      <c r="E573" s="65" t="str">
        <f>IF(C564="","",[1]AB5!$F$13)</f>
        <v>SELL</v>
      </c>
      <c r="F573" s="58" t="str">
        <f>IF(C564="","",[1]AB5!$G$13)</f>
        <v>E &amp; T</v>
      </c>
      <c r="G573" s="25" t="str">
        <f t="array" ref="G573">IF(C564="","",CONCATENATE(INDEX([1]AB4!G:G,MATCH(A573,[1]AB4!B:B,0)),INDEX([1]AB4!H:H,MATCH(A573,[1]AB4!B:B,0)),TEXT(INDEX([1]AB4!I:I,MATCH(A573,[1]AB4!B:B,0)),"0.00%")))</f>
        <v>FUT : PRV : 2DLL - 0.00%</v>
      </c>
      <c r="H573" s="26">
        <f t="array" ref="H573">IF(C564="","",INDEX([1]AB4!J:J,MATCH(A573,[1]AB4!B:B,0)))</f>
        <v>5</v>
      </c>
      <c r="I573" s="27"/>
      <c r="J573" s="28" t="str">
        <f t="array" ref="J573">IF(C564="","",CONCATENATE(INDEX([1]AB4!L:L,MATCH(A573,[1]AB4!B:B,0)),INDEX([1]AB4!M:M,MATCH(A573,[1]AB4!B:B,0)),TEXT(INDEX([1]AB4!N:N,MATCH(A573,[1]AB4!B:B,0)),"0.00%")))</f>
        <v>S : Entry  - 3.00%</v>
      </c>
      <c r="K573" s="26">
        <f t="array" ref="K573">IF(C564="","",INDEX([1]AB4!O:O,MATCH(A573,[1]AB4!B:B,0)))</f>
        <v>1</v>
      </c>
      <c r="L573" s="27"/>
      <c r="M573" s="28" t="str">
        <f t="array" ref="M573">IF(C564="","",CONCATENATE(INDEX([1]AB4!L:L,MATCH(A573,[1]AB4!B:B,0)),INDEX([1]AB4!M:M,MATCH(A573,[1]AB4!B:B,0)),TEXT(INDEX([1]AB4!P:P,MATCH(A573,[1]AB4!B:B,0)),"0.00%")))</f>
        <v>S : Entry  - 4.00%</v>
      </c>
      <c r="N573" s="26">
        <f t="array" ref="N573">IF(C564="","",INDEX([1]AB4!Q:Q,MATCH(A573,[1]AB4!B:B,0)))</f>
        <v>1</v>
      </c>
      <c r="O573" s="27"/>
      <c r="P573" s="28" t="str">
        <f t="array" ref="P573">IF(C564="","",CONCATENATE(INDEX([1]AB4!L:L,MATCH(A573,[1]AB4!B:B,0)),INDEX([1]AB4!M:M,MATCH(A573,[1]AB4!B:B,0)),TEXT(INDEX([1]AB4!R:R,MATCH(A573,[1]AB4!B:B,0)),"0.00%")))</f>
        <v>S : Entry  - 5.00%</v>
      </c>
      <c r="Q573" s="26">
        <f t="array" ref="Q573">IF(C564="","",INDEX([1]AB4!S:S,MATCH(A573,[1]AB4!B:B,0)))</f>
        <v>1</v>
      </c>
      <c r="R573" s="27"/>
      <c r="S573" s="28" t="str">
        <f t="array" ref="S573">IF(C564="","",CONCATENATE(INDEX([1]AB4!L:L,MATCH(A573,[1]AB4!B:B,0)),INDEX([1]AB4!M:M,MATCH(A573,[1]AB4!B:B,0)),TEXT(INDEX([1]AB4!T:T,MATCH(A573,[1]AB4!B:B,0)),"0.00%")))</f>
        <v>S : Entry  - 6.00%</v>
      </c>
      <c r="T573" s="26">
        <f t="array" ref="T573">IF(C564="","",INDEX([1]AB4!U:U,MATCH(A573,[1]AB4!B:B,0)))</f>
        <v>1</v>
      </c>
      <c r="U573" s="27"/>
      <c r="V573" s="28" t="str">
        <f t="array" ref="V573">IF(C564="","",INDEX([1]AB4!V:V,MATCH(A573,[1]AB4!B:B,0)))</f>
        <v>TR PROFIT AFTER TGT 4</v>
      </c>
      <c r="W573" s="26">
        <f t="array" ref="W573">IF(C564="","",INDEX([1]AB4!W:W,MATCH(A573,[1]AB4!B:B,0)))</f>
        <v>1</v>
      </c>
      <c r="X573" s="27"/>
      <c r="Y573" s="28" t="str">
        <f t="array" ref="Y573">IF(C564="","",INDEX([1]AB4!X:X,MATCH(A573,[1]AB4!B:B,0)))</f>
        <v>N.A.</v>
      </c>
      <c r="Z573" s="26" t="str">
        <f t="array" ref="Z573">IF(C564="","",INDEX([1]AB4!Y:Y,MATCH(A573,[1]AB4!B:B,0)))</f>
        <v>N.A.</v>
      </c>
      <c r="AA573" s="29"/>
      <c r="AB573" s="30"/>
      <c r="AC573" s="30"/>
    </row>
    <row r="574" spans="1:29" ht="44.25" customHeight="1" thickBot="1" x14ac:dyDescent="0.25">
      <c r="A574" s="18" t="str">
        <f>IF(C564="","",CONCATENATE(C565,[1]AB5!$A$14))</f>
        <v>S17E</v>
      </c>
      <c r="B574" s="60"/>
      <c r="C574" s="66"/>
      <c r="D574" s="66"/>
      <c r="E574" s="60"/>
      <c r="F574" s="61" t="str">
        <f>IF(C564="","",[1]AB5!$G$14)</f>
        <v>SL / TRP</v>
      </c>
      <c r="G574" s="36" t="str">
        <f t="array" ref="G574">IF(C564="","",CONCATENATE(INDEX([1]AB4!AA:AA,MATCH(A574,[1]AB4!B:B,0))," ( ",INDEX([1]AB4!AE:AE,MATCH(A574,[1]AB4!B:B,0)),INDEX([1]AB4!AF:AF,MATCH(A574,[1]AB4!B:B,0)),TEXT(INDEX([1]AB4!AG:AG,MATCH(A574,[1]AB4!B:B,0)),"0.00%")," or ",INDEX([1]AB4!AK:AK,MATCH(A574,[1]AB4!B:B,0)),INDEX([1]AB4!AJ:AJ,MATCH(A574,[1]AB4!B:B,0)),TEXT(INDEX([1]AB4!AL:AL,MATCH(A574,[1]AB4!B:B,0)),"0.00%")," )"))</f>
        <v>Min ( S : Entry + 3.00% or FUT : PRV : PW&amp;CWHH + 1.00% )</v>
      </c>
      <c r="H574" s="37">
        <f t="array" ref="H574">IF(C564="","",INDEX([1]AB4!AM:AM,MATCH(A574,[1]AB4!B:B,0)))</f>
        <v>5</v>
      </c>
      <c r="I574" s="38"/>
      <c r="J574" s="36" t="str">
        <f t="array" ref="J574">IF(C564="","",CONCATENATE(INDEX([1]AB4!AA:AA,MATCH(A574,[1]AB4!B:B,0))," ( ",INDEX([1]AB4!AE:AE,MATCH(A574,[1]AB4!B:B,0))," or ",INDEX([1]AB4!AN:AN,MATCH(A574,[1]AB4!B:B,0)),INDEX([1]AB4!AJ:AJ,MATCH(A574,[1]AB4!B:B,0)),TEXT(INDEX([1]AB4!AO:AO,MATCH(A574,[1]AB4!B:B,0)),"0.00%")," )"))</f>
        <v>Min ( S : Entry or FUT : PRV : PW&amp;CWHH + 1.00% )</v>
      </c>
      <c r="K574" s="37">
        <f t="array" ref="K574">IF(C564="","",INDEX([1]AB4!AP:AP,MATCH(A574,[1]AB4!B:B,0)))</f>
        <v>4</v>
      </c>
      <c r="L574" s="38"/>
      <c r="M574" s="36" t="str">
        <f t="array" ref="M574">IF(C564="","",CONCATENATE(INDEX([1]AB4!AA:AA,MATCH(A574,[1]AB4!B:B,0))," ( ",INDEX([1]AB4!AE:AE,MATCH(A574,[1]AB4!B:B,0))," or ",INDEX([1]AB4!AQ:AQ,MATCH(A574,[1]AB4!B:B,0)),INDEX([1]AB4!AJ:AJ,MATCH(A574,[1]AB4!B:B,0)),TEXT(INDEX([1]AB4!AR:AR,MATCH(A574,[1]AB4!B:B,0)),"0.00%")," )"))</f>
        <v>Min ( S : Entry or FUT : PRV : PW&amp;CWHH + 1.00% )</v>
      </c>
      <c r="N574" s="37">
        <f t="array" ref="N574">IF(C564="","",INDEX([1]AB4!AS:AS,MATCH(A574,[1]AB4!B:B,0)))</f>
        <v>3</v>
      </c>
      <c r="O574" s="38"/>
      <c r="P574" s="36" t="str">
        <f t="array" ref="P574">IF(C564="","",CONCATENATE(INDEX([1]AB4!AA:AA,MATCH(A574,[1]AB4!B:B,0))," ( ",INDEX([1]AB4!AE:AE,MATCH(A574,[1]AB4!B:B,0))," or ",INDEX([1]AB4!AT:AT,MATCH(A574,[1]AB4!B:B,0)),INDEX([1]AB4!AJ:AJ,MATCH(A574,[1]AB4!B:B,0)),TEXT(INDEX([1]AB4!AU:AU,MATCH(A574,[1]AB4!B:B,0)),"0.00%")," )"))</f>
        <v>Min ( S : Entry or FUT : PRV : PW&amp;CWHH + 1.00% )</v>
      </c>
      <c r="Q574" s="37">
        <f t="array" ref="Q574">IF(C564="","",INDEX([1]AB4!AV:AV,MATCH(A574,[1]AB4!B:B,0)))</f>
        <v>2</v>
      </c>
      <c r="R574" s="38"/>
      <c r="S574" s="36" t="str">
        <f t="array" ref="S574">IF(C564="","",CONCATENATE(INDEX([1]AB4!AA:AA,MATCH(A574,[1]AB4!B:B,0))," ( ",INDEX([1]AB4!AE:AE,MATCH(A574,[1]AB4!B:B,0))," or ",INDEX([1]AB4!AW:AW,MATCH(A574,[1]AB4!B:B,0)),INDEX([1]AB4!AJ:AJ,MATCH(A574,[1]AB4!B:B,0)),TEXT(INDEX([1]AB4!AX:AX,MATCH(A574,[1]AB4!B:B,0)),"0.00%")," )"))</f>
        <v>Min ( S : Entry or FUT : PRV : PW&amp;CWHH + 1.00% )</v>
      </c>
      <c r="T574" s="37">
        <f t="array" ref="T574">IF(C564="","",INDEX([1]AB4!AY:AY,MATCH(A574,[1]AB4!B:B,0)))</f>
        <v>1</v>
      </c>
      <c r="U574" s="38"/>
      <c r="V574" s="36" t="str">
        <f t="array" ref="V574">IF(C564="","",CONCATENATE(INDEX([1]AB4!AA:AA,MATCH(A574,[1]AB4!B:B,0))," ( ",INDEX([1]AB4!AE:AE,MATCH(A574,[1]AB4!B:B,0))," or ",INDEX([1]AB4!AW:AW,MATCH(A574,[1]AB4!B:B,0)),INDEX([1]AB4!AJ:AJ,MATCH(A574,[1]AB4!B:B,0)),TEXT(INDEX([1]AB4!AX:AX,MATCH(A574,[1]AB4!B:B,0)),"0.00%")," )"))</f>
        <v>Min ( S : Entry or FUT : PRV : PW&amp;CWHH + 1.00% )</v>
      </c>
      <c r="W574" s="37">
        <f t="array" ref="W574">IF(C564="","",INDEX([1]AB4!AY:AY,MATCH(A574,[1]AB4!B:B,0)))</f>
        <v>1</v>
      </c>
      <c r="X574" s="38"/>
      <c r="Y574" s="40">
        <f t="array" ref="Y574">IF(C564="","",INDEX([1]AB4!AZ:AZ,MATCH(A574,[1]AB4!B:B,0)))</f>
        <v>0</v>
      </c>
      <c r="Z574" s="37">
        <f t="array" ref="Z574">IF(C564="","",INDEX([1]AB4!BB:BB,MATCH(A574,[1]AB4!B:B,0)))</f>
        <v>0</v>
      </c>
      <c r="AA574" s="41"/>
      <c r="AB574" s="30"/>
      <c r="AC574" s="30"/>
    </row>
    <row r="575" spans="1:29" ht="6" customHeight="1" thickBot="1" x14ac:dyDescent="0.25">
      <c r="A575" s="18"/>
      <c r="B575" s="55"/>
      <c r="C575" s="55"/>
      <c r="D575" s="55"/>
      <c r="E575" s="30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30"/>
      <c r="AA575" s="30"/>
      <c r="AB575" s="68"/>
      <c r="AC575" s="68"/>
    </row>
    <row r="576" spans="1:29" ht="21.75" customHeight="1" x14ac:dyDescent="0.2">
      <c r="A576" s="18"/>
      <c r="B576" s="69" t="str">
        <f>IF(C564="","",[1]AB5!$B$16)</f>
        <v>For Entry</v>
      </c>
      <c r="C576" s="29"/>
      <c r="D576" s="70" t="str">
        <f>IF(C564="","",[1]AB5!$D$16)</f>
        <v>Gap Check</v>
      </c>
      <c r="E576" s="71"/>
      <c r="F576" s="70" t="str">
        <f>IF(C564="","",[1]AB5!$G$16)</f>
        <v>Process</v>
      </c>
      <c r="G576" s="72"/>
      <c r="H576" s="73" t="str">
        <f>IF(C564="","",[1]AB5!$I$16)</f>
        <v>Y / N</v>
      </c>
      <c r="I576" s="72"/>
      <c r="J576" s="74" t="str">
        <f>IF(C564="","",[1]AB5!$K$16)</f>
        <v>Order Status</v>
      </c>
      <c r="K576" s="75" t="str">
        <f>IF(C564="","",[1]AB5!$L$16)</f>
        <v>Step 1</v>
      </c>
      <c r="L576" s="76"/>
      <c r="M576" s="76"/>
      <c r="N576" s="72"/>
      <c r="O576" s="73" t="str">
        <f>IF(C564="","",[1]AB5!$P$16)</f>
        <v>Order Placement Timings</v>
      </c>
      <c r="P576" s="72"/>
      <c r="Q576" s="73" t="str">
        <f>IF(C564="","",[1]AB5!$R$16)</f>
        <v>Time</v>
      </c>
      <c r="R576" s="72"/>
      <c r="S576" s="75" t="str">
        <f>IF(C564="","",[1]AB5!$T$16)</f>
        <v>Rules For Gaps</v>
      </c>
      <c r="T576" s="76"/>
      <c r="U576" s="72"/>
      <c r="V576" s="74" t="str">
        <f>IF(C564="","",[1]AB5!$W$16)</f>
        <v>Data</v>
      </c>
      <c r="W576" s="73" t="str">
        <f>IF(C564="","",[1]AB5!$X$16)</f>
        <v>Buffer</v>
      </c>
      <c r="X576" s="71"/>
      <c r="Y576" s="77" t="str">
        <f>IF(C564="","",[1]AB5!$AA$16)</f>
        <v>Rules For Re Entry</v>
      </c>
      <c r="Z576" s="76"/>
      <c r="AA576" s="71"/>
      <c r="AB576" s="78"/>
      <c r="AC576" s="78"/>
    </row>
    <row r="577" spans="1:29" ht="31.5" customHeight="1" x14ac:dyDescent="0.2">
      <c r="A577" s="18" t="str">
        <f>IF(C564="","",CONCATENATE(C565,[1]AB5!$A$17))</f>
        <v>S17A</v>
      </c>
      <c r="B577" s="79" t="str">
        <f>IF(C564="","",[1]AB5!$B$17)</f>
        <v xml:space="preserve">ORPT </v>
      </c>
      <c r="C577" s="80" t="str">
        <f>IF(C564="","",[1]AB5!$C$17)</f>
        <v xml:space="preserve"> RC. Time</v>
      </c>
      <c r="D577" s="81" t="str">
        <f>IF(C564="","",[1]AB5!$D$17)</f>
        <v>For Long Entry</v>
      </c>
      <c r="E577" s="63"/>
      <c r="F577" s="82" t="str">
        <f>IF(C564="","",CONCATENATE([1]AB5!$G$17,TEXT(B578,"HH:MM:SS AM/PM"),[1]AB5!$B$18,[1]AB5!$H$17))</f>
        <v>Check If  09:04:59 AM HH &gt; Long Entry</v>
      </c>
      <c r="G577" s="83"/>
      <c r="H577" s="84" t="str">
        <f>IF(C564="","",[1]AB5!$I$17)</f>
        <v>No</v>
      </c>
      <c r="I577" s="85"/>
      <c r="J577" s="86" t="str">
        <f>IF(C564="","",[1]AB5!$K$17)</f>
        <v>Entry Not Missed</v>
      </c>
      <c r="K577" s="87" t="str">
        <f>IF(C564="","",[1]AB5!$L$17)</f>
        <v>Place the Order at ORPT</v>
      </c>
      <c r="L577" s="88"/>
      <c r="M577" s="88"/>
      <c r="N577" s="85"/>
      <c r="O577" s="87" t="str">
        <f>IF(C564="","",[1]AB5!$P$17)</f>
        <v>ORPT Time</v>
      </c>
      <c r="P577" s="85"/>
      <c r="Q577" s="89">
        <f>IF(C564="","",B578)</f>
        <v>0.37846527777777778</v>
      </c>
      <c r="R577" s="85"/>
      <c r="S577" s="87" t="str">
        <f>IF(C564="","",[1]AB5!$T$17)</f>
        <v>N.A.</v>
      </c>
      <c r="T577" s="88"/>
      <c r="U577" s="85"/>
      <c r="V577" s="86" t="str">
        <f>IF(C564="","",[1]AB5!$W$17)</f>
        <v>N.A.</v>
      </c>
      <c r="W577" s="90" t="str">
        <f>IF(C564="","",[1]AB5!$X$17)</f>
        <v>N.A.</v>
      </c>
      <c r="X577" s="91"/>
      <c r="Y577" s="92" t="str">
        <f>IF(C564="","",[1]AB5!$AA$17)</f>
        <v xml:space="preserve">Long Entry : Bull/ Bull CF : </v>
      </c>
      <c r="Z577" s="88"/>
      <c r="AA577" s="91"/>
      <c r="AB577" s="68"/>
      <c r="AC577" s="68"/>
    </row>
    <row r="578" spans="1:29" ht="31.5" customHeight="1" x14ac:dyDescent="0.2">
      <c r="A578" s="18" t="str">
        <f>IF(C564="","",CONCATENATE(C565,[1]AB5!$A$18))</f>
        <v>S17B</v>
      </c>
      <c r="B578" s="93">
        <f t="array" ref="B578">IF(C564="","",INDEX([1]AB4!BE:BE,MATCH(A577,[1]AB4!B:B,0)))</f>
        <v>0.37846527777777778</v>
      </c>
      <c r="C578" s="94">
        <f t="array" ref="C578">IF(C564="","",INDEX([1]AB4!BE:BE,MATCH(A578,[1]AB4!B:B,0)))</f>
        <v>0.38540972222222225</v>
      </c>
      <c r="D578" s="64"/>
      <c r="E578" s="59"/>
      <c r="F578" s="64"/>
      <c r="G578" s="95"/>
      <c r="H578" s="96" t="str">
        <f>IF(C564="","",[1]AB5!$I$18)</f>
        <v>Yes</v>
      </c>
      <c r="I578" s="83"/>
      <c r="J578" s="97" t="str">
        <f>IF(C564="","",[1]AB5!$K$18)</f>
        <v>Entry Missed</v>
      </c>
      <c r="K578" s="87" t="str">
        <f>IF(C564="","",[1]AB5!$L$18)</f>
        <v>Recalcuate : Long Entry : Bull / Bull CF</v>
      </c>
      <c r="L578" s="88"/>
      <c r="M578" s="88"/>
      <c r="N578" s="85"/>
      <c r="O578" s="87" t="str">
        <f>IF(C564="","",[1]AB5!$P$18)</f>
        <v>Wait Till Recalculation Time</v>
      </c>
      <c r="P578" s="85"/>
      <c r="Q578" s="89">
        <f>IF(C564="","",C578)</f>
        <v>0.38540972222222225</v>
      </c>
      <c r="R578" s="85"/>
      <c r="S578" s="98" t="str">
        <f>IF(C564="","",CONCATENATE(V578," ",[1]AB5!$Z$18," ",TEXT(W578,"0.00%")))</f>
        <v>09:14:59 AM HH + 1.00%</v>
      </c>
      <c r="T578" s="88"/>
      <c r="U578" s="85"/>
      <c r="V578" s="99" t="str">
        <f>IF(C564="","",CONCATENATE(TEXT(Q578,"HH:MM:SS AM/PM"),[1]AB5!$U$18))</f>
        <v>09:14:59 AM HH</v>
      </c>
      <c r="W578" s="100" t="str">
        <f t="array" ref="W578">IF(A564="","",TEXT(INDEX([1]AB4!BK:BK,MATCH(A565,[1]AB4!B:B,0)),"0.00%"))</f>
        <v>1.00%</v>
      </c>
      <c r="X578" s="91"/>
      <c r="Y578" s="101" t="str">
        <f>IF(C564="","",CONCATENATE([1]AB5!$T$18," ( ",G564," or ",[1]AB5!$AA$18," ",[1]AB5!$Z$18," ",TEXT(W578,"0.00%")," )"))</f>
        <v>Max ( FUT : PRV : 2DHH + 0.00% or  CDHH + 1.00% )</v>
      </c>
      <c r="Z578" s="88"/>
      <c r="AA578" s="91"/>
      <c r="AB578" s="68"/>
      <c r="AC578" s="68"/>
    </row>
    <row r="579" spans="1:29" ht="31.5" customHeight="1" thickBot="1" x14ac:dyDescent="0.25">
      <c r="A579" s="18"/>
      <c r="B579" s="34"/>
      <c r="C579" s="102"/>
      <c r="D579" s="103"/>
      <c r="E579" s="104"/>
      <c r="F579" s="103"/>
      <c r="G579" s="105"/>
      <c r="H579" s="51"/>
      <c r="I579" s="105"/>
      <c r="J579" s="53"/>
      <c r="K579" s="87" t="str">
        <f>IF(C564="","",[1]AB5!$L$19)</f>
        <v>Recalcuate : Long Entry : Bear / Bear CF</v>
      </c>
      <c r="L579" s="88"/>
      <c r="M579" s="88"/>
      <c r="N579" s="85"/>
      <c r="O579" s="87" t="str">
        <f>IF(C564="","",[1]AB5!$P$19)</f>
        <v>Wait Till Recalculation Time</v>
      </c>
      <c r="P579" s="85"/>
      <c r="Q579" s="89">
        <f>IF(C564="","",C578)</f>
        <v>0.38540972222222225</v>
      </c>
      <c r="R579" s="85"/>
      <c r="S579" s="98" t="str">
        <f>IF(C564="","",CONCATENATE(V579," ",[1]AB5!$Z$19," ",TEXT(W579,"0.00%"),))</f>
        <v>09:14:59 AM HH + 1.00%</v>
      </c>
      <c r="T579" s="88"/>
      <c r="U579" s="85"/>
      <c r="V579" s="99" t="str">
        <f>IF(C564="","",CONCATENATE(TEXT(Q579,"HH:MM:SS AM/PM"),[1]AB5!$U$19))</f>
        <v>09:14:59 AM HH</v>
      </c>
      <c r="W579" s="100" t="str">
        <f t="array" ref="W579">IF(C564="","",TEXT(INDEX([1]AB4!BK:BK,MATCH(A570,[1]AB4!B:B,0)),"0.00%"))</f>
        <v>1.00%</v>
      </c>
      <c r="X579" s="91"/>
      <c r="Y579" s="106" t="str">
        <f>IF(C564="","",[1]AB5!$AA$19)</f>
        <v xml:space="preserve">Long Entry : Bear/ Bear CF : </v>
      </c>
      <c r="Z579" s="88"/>
      <c r="AA579" s="91"/>
      <c r="AB579" s="68"/>
      <c r="AC579" s="68"/>
    </row>
    <row r="580" spans="1:29" ht="31.5" customHeight="1" x14ac:dyDescent="0.2">
      <c r="A580" s="18"/>
      <c r="B580" s="69" t="str">
        <f>IF(C564="","",[1]AB5!$B$20)</f>
        <v>For SL (Position = Open)</v>
      </c>
      <c r="C580" s="29"/>
      <c r="D580" s="107" t="str">
        <f>IF(C564="","",[1]AB5!$D$20)</f>
        <v>For Short Entry</v>
      </c>
      <c r="E580" s="63"/>
      <c r="F580" s="82" t="str">
        <f>IF(C564="","",CONCATENATE([1]AB5!$G$20,TEXT(B578,"HH:MM:SS AM/PM"),[1]AB5!$B$18,[1]AB5!$H$20))</f>
        <v>Check If  09:04:59 AM LL &lt; Short Entry</v>
      </c>
      <c r="G580" s="83"/>
      <c r="H580" s="108" t="str">
        <f>IF(C564="","",[1]AB5!$I$20)</f>
        <v>No</v>
      </c>
      <c r="I580" s="85"/>
      <c r="J580" s="109" t="str">
        <f>IF(C564="","",[1]AB5!$K$20)</f>
        <v>Entry Not Missed</v>
      </c>
      <c r="K580" s="110" t="str">
        <f>IF(C564="","",[1]AB5!$L$20)</f>
        <v>Place the Order at ORPT</v>
      </c>
      <c r="L580" s="88"/>
      <c r="M580" s="88"/>
      <c r="N580" s="85"/>
      <c r="O580" s="110" t="str">
        <f>IF(C564="","",[1]AB5!$P$20)</f>
        <v>ORPT Time</v>
      </c>
      <c r="P580" s="85"/>
      <c r="Q580" s="111">
        <f>IF(C564="","",B578)</f>
        <v>0.37846527777777778</v>
      </c>
      <c r="R580" s="85"/>
      <c r="S580" s="110" t="str">
        <f>IF(C564="","",[1]AB5!$T$20)</f>
        <v>N.A.</v>
      </c>
      <c r="T580" s="88"/>
      <c r="U580" s="85"/>
      <c r="V580" s="109" t="str">
        <f>IF(C564="","",[1]AB5!$W$20)</f>
        <v>N.A.</v>
      </c>
      <c r="W580" s="112" t="str">
        <f>IF(C564="","",[1]AB5!$X$20)</f>
        <v>N.A.</v>
      </c>
      <c r="X580" s="91"/>
      <c r="Y580" s="101" t="str">
        <f>IF(C564="","",CONCATENATE([1]AB5!$T$19," ( ",G570," or ",[1]AB5!$AA$20," ",[1]AB5!$Z$19," ",TEXT(W579,"0.00%")," )"))</f>
        <v>Max ( FUT : PRV : PW&amp;CWHH + 1.00% or  CDHH + 1.00% )</v>
      </c>
      <c r="Z580" s="88"/>
      <c r="AA580" s="91"/>
      <c r="AB580" s="68"/>
      <c r="AC580" s="68"/>
    </row>
    <row r="581" spans="1:29" ht="31.5" customHeight="1" x14ac:dyDescent="0.2">
      <c r="A581" s="18" t="str">
        <f>IF(C564="","",CONCATENATE(C565,[1]AB5!$A$21))</f>
        <v>S17A</v>
      </c>
      <c r="B581" s="79" t="str">
        <f>IF(C564="","",[1]AB5!$B$21)</f>
        <v xml:space="preserve">ORPT </v>
      </c>
      <c r="C581" s="80" t="str">
        <f>IF(C564="","",[1]AB5!$C$21)</f>
        <v xml:space="preserve"> RC. Time</v>
      </c>
      <c r="D581" s="64"/>
      <c r="E581" s="59"/>
      <c r="F581" s="64"/>
      <c r="G581" s="95"/>
      <c r="H581" s="113" t="str">
        <f>IF(C564="","",[1]AB5!$I$21)</f>
        <v>Yes</v>
      </c>
      <c r="I581" s="83"/>
      <c r="J581" s="114" t="str">
        <f>IF(C564="","",[1]AB5!$K$21)</f>
        <v>Entry Missed</v>
      </c>
      <c r="K581" s="110" t="str">
        <f>IF(C564="","",[1]AB5!$L$21)</f>
        <v>Recalcuate : Short Entry : Bull / Bull CF</v>
      </c>
      <c r="L581" s="88"/>
      <c r="M581" s="88"/>
      <c r="N581" s="85"/>
      <c r="O581" s="110" t="str">
        <f>IF(C564="","",[1]AB5!$P$21)</f>
        <v>Wait Till Recalculation Time</v>
      </c>
      <c r="P581" s="85"/>
      <c r="Q581" s="111">
        <f>IF(C564="","",C578)</f>
        <v>0.38540972222222225</v>
      </c>
      <c r="R581" s="85"/>
      <c r="S581" s="115" t="str">
        <f>IF(C564="","",CONCATENATE(V581," ",[1]AB5!$Z$21," ",TEXT(W581,"0.00%")))</f>
        <v>09:14:59 AM LL - 1.00%</v>
      </c>
      <c r="T581" s="88"/>
      <c r="U581" s="85"/>
      <c r="V581" s="116" t="str">
        <f>IF(C564="","",CONCATENATE(TEXT(Q581,"HH:MM:SS AM/PM"),[1]AB5!$U$21))</f>
        <v>09:14:59 AM LL</v>
      </c>
      <c r="W581" s="112" t="str">
        <f t="array" ref="W581">IF(C564="","",TEXT(INDEX([1]AB4!BK:BK,MATCH(A567,[1]AB4!B:B,0)),"0.00%"))</f>
        <v>1.00%</v>
      </c>
      <c r="X581" s="91"/>
      <c r="Y581" s="117" t="str">
        <f>IF(C564="","",[1]AB5!$AA$21)</f>
        <v>When Your Long Position is Exited</v>
      </c>
      <c r="Z581" s="118"/>
      <c r="AA581" s="59"/>
      <c r="AB581" s="68"/>
      <c r="AC581" s="68"/>
    </row>
    <row r="582" spans="1:29" ht="31.5" customHeight="1" thickBot="1" x14ac:dyDescent="0.25">
      <c r="A582" s="18" t="str">
        <f>IF(C564="","",CONCATENATE(C565,[1]AB5!$A$22))</f>
        <v>S17B</v>
      </c>
      <c r="B582" s="119">
        <f t="array" ref="B582">IF(C564="","",INDEX([1]AB4!BF:BF,MATCH(A581,[1]AB4!B:B,0)))</f>
        <v>0.37846527777777778</v>
      </c>
      <c r="C582" s="120">
        <f t="array" ref="C582">IF(C564="","",INDEX([1]AB4!BF:BF,MATCH(A582,[1]AB4!B:B,0)))</f>
        <v>0.38540972222222225</v>
      </c>
      <c r="D582" s="60"/>
      <c r="E582" s="66"/>
      <c r="F582" s="60"/>
      <c r="G582" s="121"/>
      <c r="H582" s="102"/>
      <c r="I582" s="121"/>
      <c r="J582" s="122"/>
      <c r="K582" s="123" t="str">
        <f>IF(C564="","",[1]AB5!$L$22)</f>
        <v>Recalcuate : Short Entry : Bear / Bear CF</v>
      </c>
      <c r="L582" s="124"/>
      <c r="M582" s="124"/>
      <c r="N582" s="38"/>
      <c r="O582" s="123" t="str">
        <f>IF(C564="","",[1]AB5!$P$22)</f>
        <v>Wait Till Recalculation Time</v>
      </c>
      <c r="P582" s="38"/>
      <c r="Q582" s="125">
        <f>IF(C564="","",C578)</f>
        <v>0.38540972222222225</v>
      </c>
      <c r="R582" s="38"/>
      <c r="S582" s="126" t="str">
        <f>IF(C564="","",CONCATENATE(V582," ",[1]AB5!$Z$22," ",TEXT(W582,"0.00%")))</f>
        <v>09:14:59 AM LL - 1.00%</v>
      </c>
      <c r="T582" s="124"/>
      <c r="U582" s="38"/>
      <c r="V582" s="127" t="str">
        <f>IF(C564="","",CONCATENATE(TEXT(Q582,"HH:MM:SS AM/PM"),[1]AB5!$U$22))</f>
        <v>09:14:59 AM LL</v>
      </c>
      <c r="W582" s="128" t="str">
        <f t="array" ref="W582">IF(C564="","",TEXT(INDEX([1]AB4!BK:BK,MATCH(A573,[1]AB4!B:B,0)),"0.00%"))</f>
        <v>1.00%</v>
      </c>
      <c r="X582" s="41"/>
      <c r="Y582" s="129" t="str">
        <f>IF(C564="","",[1]AB5!$AA$22)</f>
        <v>This is Only Applicable for Same Day</v>
      </c>
      <c r="Z582" s="130"/>
      <c r="AA582" s="66"/>
      <c r="AB582" s="68"/>
      <c r="AC582" s="68"/>
    </row>
    <row r="583" spans="1:29" ht="6" customHeight="1" thickBot="1" x14ac:dyDescent="0.25">
      <c r="A583" s="18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</row>
    <row r="584" spans="1:29" ht="21.75" customHeight="1" thickBot="1" x14ac:dyDescent="0.25">
      <c r="A584" s="18"/>
      <c r="B584" s="69" t="str">
        <f>IF(C564="","",[1]AB5!$B$24)</f>
        <v>For TGT (Position = Open)</v>
      </c>
      <c r="C584" s="29"/>
      <c r="D584" s="132" t="str">
        <f>IF(C564="","",[1]AB5!$D$24)</f>
        <v>Gap Check</v>
      </c>
      <c r="E584" s="133"/>
      <c r="F584" s="132" t="str">
        <f>IF(C564="","",[1]AB5!$G$24)</f>
        <v>Process</v>
      </c>
      <c r="G584" s="133"/>
      <c r="H584" s="132" t="str">
        <f>IF(C564="","",[1]AB5!$I$24)</f>
        <v>Y / N</v>
      </c>
      <c r="I584" s="133"/>
      <c r="J584" s="134" t="str">
        <f>IF(C564="","",[1]AB5!$K$24)</f>
        <v>Status</v>
      </c>
      <c r="K584" s="135" t="str">
        <f>IF(C564="","",[1]AB5!$L$24)</f>
        <v>Step 1</v>
      </c>
      <c r="L584" s="136"/>
      <c r="M584" s="136"/>
      <c r="N584" s="133"/>
      <c r="O584" s="132" t="str">
        <f>IF(C564="","",[1]AB5!$P$24)</f>
        <v>Order Placement Timings</v>
      </c>
      <c r="P584" s="133"/>
      <c r="Q584" s="132" t="str">
        <f>IF(C564="","",[1]AB5!$R$24)</f>
        <v>Time</v>
      </c>
      <c r="R584" s="133"/>
      <c r="S584" s="135" t="str">
        <f>IF(C564="","",[1]AB5!$T$24)</f>
        <v>Rules For Gaps</v>
      </c>
      <c r="T584" s="136"/>
      <c r="U584" s="133"/>
      <c r="V584" s="134" t="str">
        <f>IF(C564="","",[1]AB5!$W$24)</f>
        <v>Data</v>
      </c>
      <c r="W584" s="132" t="str">
        <f>IF(C564="","",[1]AB5!$X$24)</f>
        <v>Buffer</v>
      </c>
      <c r="X584" s="133"/>
      <c r="Y584" s="135" t="str">
        <f>IF(C564="","",[1]AB5!$AA$16)</f>
        <v>Rules For Re Entry</v>
      </c>
      <c r="Z584" s="136"/>
      <c r="AA584" s="133"/>
      <c r="AB584" s="78"/>
      <c r="AC584" s="78"/>
    </row>
    <row r="585" spans="1:29" ht="24" customHeight="1" x14ac:dyDescent="0.2">
      <c r="A585" s="18" t="str">
        <f>IF(C564="","",CONCATENATE(C565,[1]AB5!$A$25))</f>
        <v>S17A</v>
      </c>
      <c r="B585" s="79" t="str">
        <f>IF(C564="","",[1]AB5!$B$25)</f>
        <v xml:space="preserve">ORPT </v>
      </c>
      <c r="C585" s="80" t="str">
        <f>IF(C564="","",[1]AB5!$C$25)</f>
        <v xml:space="preserve"> RC. Time</v>
      </c>
      <c r="D585" s="137" t="str">
        <f>IF(C564="","",[1]AB5!$D$25)</f>
        <v>For Long SL</v>
      </c>
      <c r="E585" s="59"/>
      <c r="F585" s="138" t="str">
        <f>IF(C564="","",CONCATENATE([1]AB5!$G$25,TEXT(B582,"HH:MM:SS AM/PM"),[1]AB5!$B$22,[1]AB5!$H$25))</f>
        <v>Check If 09:04:59 AM LL &lt; Long SL</v>
      </c>
      <c r="G585" s="76"/>
      <c r="H585" s="139" t="str">
        <f>IF(C564="","",[1]AB5!$I$25)</f>
        <v>No</v>
      </c>
      <c r="I585" s="27"/>
      <c r="J585" s="140" t="str">
        <f>IF(C564="","",[1]AB5!$K$25)</f>
        <v>FSL / TRP Not Missed</v>
      </c>
      <c r="K585" s="141" t="str">
        <f>IF(C564="","",[1]AB5!$L$25)</f>
        <v>Place the Order at ORPT</v>
      </c>
      <c r="L585" s="142"/>
      <c r="M585" s="142"/>
      <c r="N585" s="27"/>
      <c r="O585" s="141" t="str">
        <f>IF(C564="","",[1]AB5!$P$25)</f>
        <v>ORPT Time</v>
      </c>
      <c r="P585" s="27"/>
      <c r="Q585" s="143">
        <f>IF(C564="","",B582)</f>
        <v>0.37846527777777778</v>
      </c>
      <c r="R585" s="27"/>
      <c r="S585" s="141" t="str">
        <f>IF(C564="","",[1]AB5!$U$25)</f>
        <v>N.A.</v>
      </c>
      <c r="T585" s="142"/>
      <c r="U585" s="27"/>
      <c r="V585" s="140" t="str">
        <f>IF(C564="","",[1]AB5!$W$25)</f>
        <v>N.A.</v>
      </c>
      <c r="W585" s="144" t="str">
        <f>IF(C564="","",[1]AB5!$X$25)</f>
        <v>N.A.</v>
      </c>
      <c r="X585" s="29"/>
      <c r="Y585" s="117" t="str">
        <f>IF(C564="","",[1]AB5!$AA$25)</f>
        <v xml:space="preserve">Short Entry : Bull/ Bull CF : </v>
      </c>
      <c r="Z585" s="12"/>
      <c r="AA585" s="59"/>
      <c r="AB585" s="68"/>
      <c r="AC585" s="68"/>
    </row>
    <row r="586" spans="1:29" ht="24" customHeight="1" thickBot="1" x14ac:dyDescent="0.25">
      <c r="A586" s="18" t="str">
        <f>IF(C564="","",CONCATENATE(C565,[1]AB5!$A$26))</f>
        <v>S17B</v>
      </c>
      <c r="B586" s="119">
        <f t="array" ref="B586">IF(C564="","",INDEX([1]AB4!BG:BG,MATCH(A585,[1]AB4!B:B,0)))</f>
        <v>0.375</v>
      </c>
      <c r="C586" s="120" t="str">
        <f t="array" ref="C586">IF(C564="","",INDEX([1]AB4!BG:BG,MATCH(A586,[1]AB4!B:B,0)))</f>
        <v>N.A.</v>
      </c>
      <c r="D586" s="64"/>
      <c r="E586" s="59"/>
      <c r="F586" s="64"/>
      <c r="G586" s="12"/>
      <c r="H586" s="113" t="str">
        <f>IF(C564="","",[1]AB5!$I$26)</f>
        <v>Yes</v>
      </c>
      <c r="I586" s="83"/>
      <c r="J586" s="114" t="str">
        <f>IF(C564="","",[1]AB5!$K$26)</f>
        <v>FSL / TRP Missed</v>
      </c>
      <c r="K586" s="110" t="str">
        <f>IF(C564="","",[1]AB5!$L$26)</f>
        <v>Recalcuate : Long FSL / TRP : Bull / Bull CF</v>
      </c>
      <c r="L586" s="88"/>
      <c r="M586" s="88"/>
      <c r="N586" s="85"/>
      <c r="O586" s="110" t="str">
        <f>IF(C564="","",[1]AB5!$P$26)</f>
        <v>Wait Till Recalculation Time</v>
      </c>
      <c r="P586" s="85"/>
      <c r="Q586" s="111">
        <f>IF(C564="","",C582)</f>
        <v>0.38540972222222225</v>
      </c>
      <c r="R586" s="85"/>
      <c r="S586" s="110" t="str">
        <f>IF(C564="","",CONCATENATE(V586," ",[1]AB5!$Z$26," ",TEXT(W586,"0.00%")))</f>
        <v>09:14:59 AM LL - 1.00%</v>
      </c>
      <c r="T586" s="88"/>
      <c r="U586" s="85"/>
      <c r="V586" s="116" t="str">
        <f>IF(C564="","",CONCATENATE(TEXT(Q586,"HH:MM:SS AM/PM"),[1]AB5!$U$26))</f>
        <v>09:14:59 AM LL</v>
      </c>
      <c r="W586" s="112" t="str">
        <f t="array" ref="W586">IF(C564="","",TEXT(INDEX([1]AB4!BL:BL,MATCH(A565,[1]AB4!B:B,0)),"0.00%"))</f>
        <v>1.00%</v>
      </c>
      <c r="X586" s="91"/>
      <c r="Y586" s="145"/>
      <c r="Z586" s="145"/>
      <c r="AA586" s="104"/>
      <c r="AB586" s="68"/>
      <c r="AC586" s="68"/>
    </row>
    <row r="587" spans="1:29" ht="24" customHeight="1" x14ac:dyDescent="0.2">
      <c r="A587" s="18"/>
      <c r="B587" s="62" t="str">
        <f>IF(C564="","",[1]AB5!$B$27)</f>
        <v>I Commit To Follow The Rules &amp; Process</v>
      </c>
      <c r="C587" s="63"/>
      <c r="D587" s="64"/>
      <c r="E587" s="59"/>
      <c r="F587" s="64"/>
      <c r="G587" s="12"/>
      <c r="H587" s="48"/>
      <c r="I587" s="95"/>
      <c r="J587" s="146"/>
      <c r="K587" s="110" t="str">
        <f>IF(C564="","",[1]AB5!$L$27)</f>
        <v>Recalcuate : Long FSL / TRP : Bear / Bear CF</v>
      </c>
      <c r="L587" s="88"/>
      <c r="M587" s="88"/>
      <c r="N587" s="85"/>
      <c r="O587" s="110" t="str">
        <f>IF(C564="","",[1]AB5!$P$27)</f>
        <v>Wait Till Recalculation Time</v>
      </c>
      <c r="P587" s="85"/>
      <c r="Q587" s="111">
        <f>IF(C564="","",C582)</f>
        <v>0.38540972222222225</v>
      </c>
      <c r="R587" s="85"/>
      <c r="S587" s="110" t="str">
        <f>IF(C565="","",CONCATENATE(V587," ",[1]AB5!$Z$26," ",TEXT(W587,"0.00%")))</f>
        <v>09:14:59 AM LL - 1.00%</v>
      </c>
      <c r="T587" s="88"/>
      <c r="U587" s="85"/>
      <c r="V587" s="116" t="str">
        <f>IF(C564="","",CONCATENATE(TEXT(Q586,"HH:MM:SS AM/PM"),[1]AB5!$U$27))</f>
        <v>09:14:59 AM LL</v>
      </c>
      <c r="W587" s="112" t="str">
        <f t="array" ref="W587">IF(C564="","",TEXT(INDEX([1]AB4!BL:BL,MATCH(A565,[1]AB4!B:B,0)),"0.00%"))</f>
        <v>1.00%</v>
      </c>
      <c r="X587" s="91"/>
      <c r="Y587" s="147" t="str">
        <f>IF(C564="","",CONCATENATE([1]AB5!$T$28," ( ",G567," or ",[1]AB5!$AA$26," ",[1]AB5!$Z$28," ",TEXT(W588,"0.00%")," )"))</f>
        <v>Min ( FUT : PRV : PW&amp;CWLL - 1.00% or  CDLL - 1.00% )</v>
      </c>
      <c r="Z587" s="148"/>
      <c r="AA587" s="63"/>
      <c r="AB587" s="68"/>
      <c r="AC587" s="68"/>
    </row>
    <row r="588" spans="1:29" ht="33" customHeight="1" x14ac:dyDescent="0.2">
      <c r="A588" s="18"/>
      <c r="B588" s="64"/>
      <c r="C588" s="59"/>
      <c r="D588" s="64"/>
      <c r="E588" s="59"/>
      <c r="F588" s="64"/>
      <c r="G588" s="12"/>
      <c r="H588" s="48"/>
      <c r="I588" s="95"/>
      <c r="J588" s="146"/>
      <c r="K588" s="110" t="str">
        <f>IF(C564="","",[1]AB5!$L$28)</f>
        <v>Recalcuate : Short Entry : Bull / Bull CF</v>
      </c>
      <c r="L588" s="88"/>
      <c r="M588" s="88"/>
      <c r="N588" s="85"/>
      <c r="O588" s="110" t="str">
        <f>IF(C564="","",[1]AB5!$P$28)</f>
        <v>Wait Till Recalculation Time</v>
      </c>
      <c r="P588" s="85"/>
      <c r="Q588" s="111">
        <f>IF(C564="","",C578)</f>
        <v>0.38540972222222225</v>
      </c>
      <c r="R588" s="85"/>
      <c r="S588" s="115" t="str">
        <f>IF(C564="","",CONCATENATE([1]AB5!$T$28," ( ",G567," or ",V588," ",[1]AB5!$Z$28," ",TEXT(W588,"0.00%")," )"))</f>
        <v>Min ( FUT : PRV : PW&amp;CWLL - 1.00% or 09:14:59 AM LL - 1.00% )</v>
      </c>
      <c r="T588" s="88"/>
      <c r="U588" s="85"/>
      <c r="V588" s="116" t="str">
        <f>IF(C564="","",CONCATENATE(TEXT(Q588,"HH:MM:SS AM/PM"),[1]AB5!$U$28))</f>
        <v>09:14:59 AM LL</v>
      </c>
      <c r="W588" s="112" t="str">
        <f t="array" ref="W588">IF(C564="","",TEXT(INDEX([1]AB4!BK:BK,MATCH(A567,[1]AB4!B:B,0)),"0.00%"))</f>
        <v>1.00%</v>
      </c>
      <c r="X588" s="91"/>
      <c r="Y588" s="145"/>
      <c r="Z588" s="145"/>
      <c r="AA588" s="104"/>
      <c r="AB588" s="68"/>
      <c r="AC588" s="68"/>
    </row>
    <row r="589" spans="1:29" ht="33" customHeight="1" thickBot="1" x14ac:dyDescent="0.25">
      <c r="A589" s="18"/>
      <c r="B589" s="60"/>
      <c r="C589" s="66"/>
      <c r="D589" s="103"/>
      <c r="E589" s="104"/>
      <c r="F589" s="103"/>
      <c r="G589" s="145"/>
      <c r="H589" s="51"/>
      <c r="I589" s="105"/>
      <c r="J589" s="53"/>
      <c r="K589" s="110" t="str">
        <f>IF(C564="","",[1]AB5!$L$29)</f>
        <v>Recalcuate : Short Entry : Bear / Bear CF</v>
      </c>
      <c r="L589" s="88"/>
      <c r="M589" s="88"/>
      <c r="N589" s="85"/>
      <c r="O589" s="110" t="str">
        <f>IF(C564="","",[1]AB5!$P$29)</f>
        <v>Wait Till Recalculation Time</v>
      </c>
      <c r="P589" s="85"/>
      <c r="Q589" s="111">
        <f>IF(C564="","",C578)</f>
        <v>0.38540972222222225</v>
      </c>
      <c r="R589" s="85"/>
      <c r="S589" s="115" t="str">
        <f>IF(C564="","",CONCATENATE([1]AB5!$T$29," ( ",G573," or ",V589," ",[1]AB5!$Z$29," ",TEXT(W589,"0.00%")," )"))</f>
        <v>Min ( FUT : PRV : 2DLL - 0.00% or 09:14:59 AM LL - 1.00% )</v>
      </c>
      <c r="T589" s="88"/>
      <c r="U589" s="85"/>
      <c r="V589" s="116" t="str">
        <f>IF(C564="","",CONCATENATE(TEXT(Q589,"HH:MM:SS AM/PM"),[1]AB5!$U$29))</f>
        <v>09:14:59 AM LL</v>
      </c>
      <c r="W589" s="112" t="str">
        <f t="array" ref="W589">IF(C564="","",TEXT(INDEX([1]AB4!BK:BK,MATCH(A573,[1]AB4!B:B,0)),"0.00%"))</f>
        <v>1.00%</v>
      </c>
      <c r="X589" s="91"/>
      <c r="Y589" s="149" t="str">
        <f>IF(C564="","",[1]AB5!$AA$29)</f>
        <v xml:space="preserve">Short Entry : Bear/ Bear CF : </v>
      </c>
      <c r="Z589" s="88"/>
      <c r="AA589" s="91"/>
      <c r="AB589" s="68"/>
      <c r="AC589" s="68"/>
    </row>
    <row r="590" spans="1:29" ht="21.75" customHeight="1" x14ac:dyDescent="0.2">
      <c r="A590" s="18"/>
      <c r="B590" s="150" t="str">
        <f>IF(C564="","",IF([1]AB5!$B$12="","",[1]AB5!$B$30))</f>
        <v>By Asmita Patel.</v>
      </c>
      <c r="C590" s="71"/>
      <c r="D590" s="81" t="str">
        <f>IF(C564="","",[1]AB5!$D$30)</f>
        <v>For Short SL</v>
      </c>
      <c r="E590" s="63"/>
      <c r="F590" s="151" t="str">
        <f>IF(C564="","",CONCATENATE([1]AB5!$G$30,TEXT(B582,"HH:MM:SS AM/PM"),[1]AB5!$B$22,[1]AB5!$H$30))</f>
        <v>Check If 09:04:59 AM HH &gt; Short SL</v>
      </c>
      <c r="G590" s="83"/>
      <c r="H590" s="84" t="str">
        <f>IF(C564="","",[1]AB5!$I$30)</f>
        <v>No</v>
      </c>
      <c r="I590" s="85"/>
      <c r="J590" s="86" t="str">
        <f>IF(C564="","",[1]AB5!$K$30)</f>
        <v>FSL / TRP Not Missed</v>
      </c>
      <c r="K590" s="87" t="str">
        <f>IF(C564="","",[1]AB5!$L$30)</f>
        <v>Place the Order at ORPT</v>
      </c>
      <c r="L590" s="88"/>
      <c r="M590" s="88"/>
      <c r="N590" s="85"/>
      <c r="O590" s="87" t="str">
        <f>IF(C564="","",[1]AB5!$P$30)</f>
        <v>ORPT Time</v>
      </c>
      <c r="P590" s="85"/>
      <c r="Q590" s="89">
        <f>IF(C564="","",B582)</f>
        <v>0.37846527777777778</v>
      </c>
      <c r="R590" s="85"/>
      <c r="S590" s="87" t="str">
        <f>IF(C564="","",[1]AB5!$T$30)</f>
        <v>N.A.</v>
      </c>
      <c r="T590" s="88"/>
      <c r="U590" s="85"/>
      <c r="V590" s="86" t="str">
        <f>IF(C564="","",[1]AB5!$W$30)</f>
        <v>N.A.</v>
      </c>
      <c r="W590" s="90" t="str">
        <f>IF(C564="","",[1]AB5!$X$30)</f>
        <v>N.A.</v>
      </c>
      <c r="X590" s="91"/>
      <c r="Y590" s="147" t="str">
        <f>IF(C564="","",CONCATENATE([1]AB5!$T$29," ( ",G573," or ",[1]AB5!$AA$30," ",[1]AB5!$Z$29," ",TEXT(W589,"0.00%")," )"))</f>
        <v>Min ( FUT : PRV : 2DLL - 0.00% or  CDLL - 1.00% )</v>
      </c>
      <c r="Z590" s="148"/>
      <c r="AA590" s="63"/>
      <c r="AB590" s="68"/>
      <c r="AC590" s="68"/>
    </row>
    <row r="591" spans="1:29" ht="21.75" customHeight="1" x14ac:dyDescent="0.2">
      <c r="A591" s="152"/>
      <c r="B591" s="64"/>
      <c r="C591" s="59"/>
      <c r="D591" s="64"/>
      <c r="E591" s="59"/>
      <c r="F591" s="64"/>
      <c r="G591" s="95"/>
      <c r="H591" s="96" t="str">
        <f>IF(C564="","",[1]AB5!$I$31)</f>
        <v>Yes</v>
      </c>
      <c r="I591" s="83"/>
      <c r="J591" s="97" t="str">
        <f>IF(C564="","",[1]AB5!$K$31)</f>
        <v>FSL / TRP Missed</v>
      </c>
      <c r="K591" s="87" t="str">
        <f>IF(C564="","",[1]AB5!$L$31)</f>
        <v>Recalcuate : Short FSL / TRP : Bull / Bull CF</v>
      </c>
      <c r="L591" s="88"/>
      <c r="M591" s="88"/>
      <c r="N591" s="85"/>
      <c r="O591" s="87" t="str">
        <f>IF(C564="","",[1]AB5!$P$31)</f>
        <v>Wait Till Recalculation Time</v>
      </c>
      <c r="P591" s="85"/>
      <c r="Q591" s="89">
        <f>IF(C564="","",C582)</f>
        <v>0.38540972222222225</v>
      </c>
      <c r="R591" s="85"/>
      <c r="S591" s="87" t="str">
        <f>IF(C564="","",CONCATENATE(V591," ",[1]AB5!$Z$31," ",TEXT(W591,"0.00%")))</f>
        <v>09:14:59 AM HH + 1.00%</v>
      </c>
      <c r="T591" s="88"/>
      <c r="U591" s="85"/>
      <c r="V591" s="153" t="str">
        <f>IF(C564="","",CONCATENATE(TEXT(Q591,"HH:MM:SS AM/PM"),[1]AB5!$U$31))</f>
        <v>09:14:59 AM HH</v>
      </c>
      <c r="W591" s="90" t="str">
        <f t="array" ref="W591">IF(C564="","",TEXT(INDEX([1]AB4!BL:BL,MATCH(A573,[1]AB4!B:B,0)),"0.00%"))</f>
        <v>1.00%</v>
      </c>
      <c r="X591" s="91"/>
      <c r="Y591" s="12"/>
      <c r="Z591" s="12"/>
      <c r="AA591" s="59"/>
      <c r="AB591" s="68"/>
      <c r="AC591" s="68"/>
    </row>
    <row r="592" spans="1:29" ht="22.5" customHeight="1" x14ac:dyDescent="0.2">
      <c r="A592" s="152"/>
      <c r="B592" s="64"/>
      <c r="C592" s="59"/>
      <c r="D592" s="64"/>
      <c r="E592" s="59"/>
      <c r="F592" s="64"/>
      <c r="G592" s="95"/>
      <c r="H592" s="48"/>
      <c r="I592" s="95"/>
      <c r="J592" s="146"/>
      <c r="K592" s="87" t="str">
        <f>IF(C564="","",[1]AB5!$L$32)</f>
        <v>Recalcuate : Short FSL / TRP : Bear / Bear CF</v>
      </c>
      <c r="L592" s="88"/>
      <c r="M592" s="88"/>
      <c r="N592" s="85"/>
      <c r="O592" s="87" t="str">
        <f>IF(C564="","",[1]AB5!$P$32)</f>
        <v>Wait Till Recalculation Time</v>
      </c>
      <c r="P592" s="85"/>
      <c r="Q592" s="89">
        <f>IF(C564="","",C582)</f>
        <v>0.38540972222222225</v>
      </c>
      <c r="R592" s="85"/>
      <c r="S592" s="87" t="str">
        <f>IF(C565="","",CONCATENATE(V592," ",[1]AB5!$Z$31," ",TEXT(W592,"0.00%")))</f>
        <v>09:14:59 AM HH + 1.00%</v>
      </c>
      <c r="T592" s="88"/>
      <c r="U592" s="85"/>
      <c r="V592" s="153" t="str">
        <f>IF(C564="","",CONCATENATE(TEXT(Q591,"HH:MM:SS AM/PM"),[1]AB5!$U$32))</f>
        <v>09:14:59 AM HH</v>
      </c>
      <c r="W592" s="90" t="str">
        <f t="array" ref="W592">IF(C564="","",TEXT(INDEX([1]AB4!BL:BL,MATCH(A573,[1]AB4!B:B,0)),"0.00%"))</f>
        <v>1.00%</v>
      </c>
      <c r="X592" s="91"/>
      <c r="Y592" s="145"/>
      <c r="Z592" s="145"/>
      <c r="AA592" s="104"/>
      <c r="AB592" s="68"/>
      <c r="AC592" s="68"/>
    </row>
    <row r="593" spans="1:29" ht="33" customHeight="1" x14ac:dyDescent="0.2">
      <c r="A593" s="152"/>
      <c r="B593" s="64"/>
      <c r="C593" s="59"/>
      <c r="D593" s="64"/>
      <c r="E593" s="59"/>
      <c r="F593" s="64"/>
      <c r="G593" s="95"/>
      <c r="H593" s="48"/>
      <c r="I593" s="95"/>
      <c r="J593" s="146"/>
      <c r="K593" s="87" t="str">
        <f>IF(C564="","",[1]AB5!$L$33)</f>
        <v>Recalcuate : Long Entry : Bull / Bull CF</v>
      </c>
      <c r="L593" s="88"/>
      <c r="M593" s="88"/>
      <c r="N593" s="85"/>
      <c r="O593" s="87" t="str">
        <f>IF(C564="","",[1]AB5!$P$33)</f>
        <v>Wait Till Recalculation Time</v>
      </c>
      <c r="P593" s="85"/>
      <c r="Q593" s="89">
        <f>IF(C564="","",C578)</f>
        <v>0.38540972222222225</v>
      </c>
      <c r="R593" s="85"/>
      <c r="S593" s="98" t="str">
        <f>IF(C564="","",CONCATENATE([1]AB5!$T$33," ( ",G564," or ",V593," ",[1]AB5!$Z$33," ",TEXT(W593,"0.00%")," )"))</f>
        <v>Max ( FUT : PRV : 2DHH + 0.00% or 09:14:59 AM HH + 1.00% )</v>
      </c>
      <c r="T593" s="88"/>
      <c r="U593" s="85"/>
      <c r="V593" s="99" t="str">
        <f>IF(C564="","",CONCATENATE(TEXT(Q593,"HH:MM:SS AM/PM"),[1]AB5!$U$33))</f>
        <v>09:14:59 AM HH</v>
      </c>
      <c r="W593" s="90" t="str">
        <f t="array" ref="W593">IF(C564="","",TEXT(INDEX([1]AB4!BK:BK,MATCH(A564,[1]AB4!B:B,0)),"0.00%"))</f>
        <v>1.00%</v>
      </c>
      <c r="X593" s="91"/>
      <c r="Y593" s="117" t="str">
        <f>IF(C564="","",[1]AB5!$AA$33)</f>
        <v>When Your Short Position is Exited</v>
      </c>
      <c r="Z593" s="118"/>
      <c r="AA593" s="59"/>
      <c r="AB593" s="68"/>
      <c r="AC593" s="68"/>
    </row>
    <row r="594" spans="1:29" ht="33" customHeight="1" thickBot="1" x14ac:dyDescent="0.25">
      <c r="A594" s="152"/>
      <c r="B594" s="60"/>
      <c r="C594" s="66"/>
      <c r="D594" s="60"/>
      <c r="E594" s="66"/>
      <c r="F594" s="60"/>
      <c r="G594" s="121"/>
      <c r="H594" s="102"/>
      <c r="I594" s="121"/>
      <c r="J594" s="122"/>
      <c r="K594" s="154" t="str">
        <f>IF(C564="","",[1]AB5!$L$34)</f>
        <v>Recalcuate : Long Entry : Bear / Bear CF</v>
      </c>
      <c r="L594" s="124"/>
      <c r="M594" s="124"/>
      <c r="N594" s="38"/>
      <c r="O594" s="154" t="str">
        <f>IF(C564="","",[1]AB5!$P$34)</f>
        <v>Wait Till Recalculation Time</v>
      </c>
      <c r="P594" s="38"/>
      <c r="Q594" s="155">
        <f>IF(C564="","",C578)</f>
        <v>0.38540972222222225</v>
      </c>
      <c r="R594" s="38"/>
      <c r="S594" s="156" t="str">
        <f>IF(C564="","",CONCATENATE([1]AB5!$T$34," ( ",G570," or ",V594," ",[1]AB5!$Z$34," ",TEXT(W594,"0.00%")," )"))</f>
        <v>Max ( FUT : PRV : PW&amp;CWHH + 1.00% or 09:14:59 AM HH + 1.00% )</v>
      </c>
      <c r="T594" s="124"/>
      <c r="U594" s="38"/>
      <c r="V594" s="157" t="str">
        <f>IF(C564="","",CONCATENATE(TEXT(Q594,"HH:MM:SS AM/PM"),[1]AB5!$U$34))</f>
        <v>09:14:59 AM HH</v>
      </c>
      <c r="W594" s="158" t="str">
        <f t="array" ref="W594">IF(C564="","",TEXT(INDEX([1]AB4!BK:BK,MATCH(A570,[1]AB4!B:B,0)),"0.00%"))</f>
        <v>1.00%</v>
      </c>
      <c r="X594" s="41"/>
      <c r="Y594" s="117" t="str">
        <f>IF(C564="","",[1]AB5!$AA$34)</f>
        <v>This is Only Applicable for Same Day</v>
      </c>
      <c r="Z594" s="118"/>
      <c r="AA594" s="59"/>
      <c r="AB594" s="68"/>
      <c r="AC594" s="68"/>
    </row>
    <row r="595" spans="1:29" ht="21.75" customHeight="1" thickBot="1" x14ac:dyDescent="0.25">
      <c r="A595" s="152"/>
      <c r="B595" s="69" t="str">
        <f>IF(C564="","",[1]AB5!$B$35)</f>
        <v>For Missed SL (Position = Open)</v>
      </c>
      <c r="C595" s="29"/>
      <c r="D595" s="70" t="str">
        <f>IF(C564="","",[1]AB5!$D$36)</f>
        <v>Note: ( Optional )</v>
      </c>
      <c r="E595" s="71"/>
      <c r="F595" s="159" t="str">
        <f>IF(C564="","",[1]AB5!$I$35)</f>
        <v>For Long SL</v>
      </c>
      <c r="G595" s="136"/>
      <c r="H595" s="136"/>
      <c r="I595" s="136"/>
      <c r="J595" s="136"/>
      <c r="K595" s="136"/>
      <c r="L595" s="136"/>
      <c r="M595" s="136"/>
      <c r="N595" s="136"/>
      <c r="O595" s="136"/>
      <c r="P595" s="133"/>
      <c r="Q595" s="159" t="str">
        <f>IF(N564="","",[1]AB5!$T$35)</f>
        <v>For Short SL</v>
      </c>
      <c r="R595" s="136"/>
      <c r="S595" s="136"/>
      <c r="T595" s="136"/>
      <c r="U595" s="136"/>
      <c r="V595" s="136"/>
      <c r="W595" s="136"/>
      <c r="X595" s="136"/>
      <c r="Y595" s="136"/>
      <c r="Z595" s="136"/>
      <c r="AA595" s="133"/>
      <c r="AB595" s="68"/>
      <c r="AC595" s="68"/>
    </row>
    <row r="596" spans="1:29" ht="36" customHeight="1" x14ac:dyDescent="0.2">
      <c r="A596" s="152"/>
      <c r="B596" s="160" t="str">
        <f>IF(C564="","",[1]AB5!$B$36)</f>
        <v>Check time</v>
      </c>
      <c r="C596" s="91"/>
      <c r="D596" s="64"/>
      <c r="E596" s="59"/>
      <c r="F596" s="161" t="str">
        <f>IF(C564="","",CONCATENATE([1]AB5!$G$36,TEXT(B597,"HH:MM:SS AM/PM"),[1]AB5!$B$37,[1]AB5!$H$36))</f>
        <v>Check If Close at 11:00:00 PM  &lt; Long Original SL</v>
      </c>
      <c r="G596" s="85"/>
      <c r="H596" s="162" t="str">
        <f>IF(C564="","",[1]AB5!$I$36)</f>
        <v>Yes</v>
      </c>
      <c r="I596" s="105"/>
      <c r="J596" s="163" t="str">
        <f>IF(C564="","",CONCATENATE([1]AB5!$K$36,TEXT(B597,"HH:MM:SS AM/PM")))</f>
        <v xml:space="preserve"> Then Square Off The Position At CMP at 11:00:00 PM</v>
      </c>
      <c r="K596" s="145"/>
      <c r="L596" s="145"/>
      <c r="M596" s="145"/>
      <c r="N596" s="145"/>
      <c r="O596" s="145"/>
      <c r="P596" s="104"/>
      <c r="Q596" s="164" t="str">
        <f>IF(C564="","",CONCATENATE([1]AB5!$T$36,TEXT(B597,"HH:MM:SS AM/PM"),[1]AB5!$B$37,[1]AB5!$U$36))</f>
        <v>Check If Close at 11:00:00 PM  &gt; Short Original SL</v>
      </c>
      <c r="R596" s="145"/>
      <c r="S596" s="105"/>
      <c r="T596" s="165" t="str">
        <f>IF(C564="","",[1]AB5!$I$36)</f>
        <v>Yes</v>
      </c>
      <c r="U596" s="166" t="str">
        <f>IF(C564="","",CONCATENATE([1]AB5!$W$36,TEXT(B597,"HH:MM:SS AM/PM")))</f>
        <v xml:space="preserve"> Then Square Off The Position At CMP at 11:00:00 PM</v>
      </c>
      <c r="V596" s="145"/>
      <c r="W596" s="145"/>
      <c r="X596" s="145"/>
      <c r="Y596" s="145"/>
      <c r="Z596" s="145"/>
      <c r="AA596" s="104"/>
      <c r="AB596" s="68"/>
      <c r="AC596" s="167"/>
    </row>
    <row r="597" spans="1:29" ht="36" customHeight="1" thickBot="1" x14ac:dyDescent="0.25">
      <c r="A597" s="152"/>
      <c r="B597" s="168">
        <f t="array" ref="B597">IF(C564="","",INDEX([1]AB4!CU:CU,MATCH(A585,[1]AB4!B:B,0)))</f>
        <v>0.95833333333333326</v>
      </c>
      <c r="C597" s="41"/>
      <c r="D597" s="60"/>
      <c r="E597" s="66"/>
      <c r="F597" s="169" t="str">
        <f>IF(C564="","",CONCATENATE([1]AB5!$G$37,TEXT(B597,"HH:MM:SS AM/PM"),[1]AB5!$B$37,[1]AB5!$H$37))</f>
        <v>Check If Close at 11:00:00 PM  &gt; Long Original SL</v>
      </c>
      <c r="G597" s="38"/>
      <c r="H597" s="170" t="str">
        <f>IF(C564="","",[1]AB5!$I$37)</f>
        <v>Yes</v>
      </c>
      <c r="I597" s="38"/>
      <c r="J597" s="156" t="str">
        <f>IF(C564="","",CONCATENATE([1]AB5!$K$37))</f>
        <v xml:space="preserve"> Then Continue the Position for Next Day And Calculate Stop Loss Price as per the Rules</v>
      </c>
      <c r="K597" s="124"/>
      <c r="L597" s="124"/>
      <c r="M597" s="124"/>
      <c r="N597" s="124"/>
      <c r="O597" s="124"/>
      <c r="P597" s="41"/>
      <c r="Q597" s="169" t="str">
        <f>IF(C564="","",CONCATENATE([1]AB5!$T$37,TEXT(B597,"HH:MM:SS AM/PM"),[1]AB5!$B$37,[1]AB5!$U$37))</f>
        <v>Check If Close at 11:00:00 PM  &lt; Short Original SL</v>
      </c>
      <c r="R597" s="124"/>
      <c r="S597" s="38"/>
      <c r="T597" s="171" t="str">
        <f>IF(C565="","",[1]AB5!$I$36)</f>
        <v>Yes</v>
      </c>
      <c r="U597" s="156" t="str">
        <f>IF(C564="","",CONCATENATE([1]AB5!$W$37))</f>
        <v xml:space="preserve"> Then Continue the Position for Next Day And Calculate Stop Loss Price as per the Rules</v>
      </c>
      <c r="V597" s="124"/>
      <c r="W597" s="124"/>
      <c r="X597" s="124"/>
      <c r="Y597" s="124"/>
      <c r="Z597" s="124"/>
      <c r="AA597" s="41"/>
      <c r="AB597" s="68"/>
      <c r="AC597" s="167"/>
    </row>
    <row r="598" spans="1:29" ht="15.75" customHeight="1" x14ac:dyDescent="0.2">
      <c r="A598" s="177"/>
    </row>
    <row r="599" spans="1:29" ht="15.75" customHeight="1" x14ac:dyDescent="0.2">
      <c r="A599" s="177"/>
    </row>
    <row r="600" spans="1:29" ht="15.75" customHeight="1" x14ac:dyDescent="0.2">
      <c r="A600" s="177"/>
    </row>
    <row r="601" spans="1:29" ht="15.75" customHeight="1" x14ac:dyDescent="0.2">
      <c r="A601" s="177"/>
    </row>
    <row r="602" spans="1:29" ht="15.75" customHeight="1" x14ac:dyDescent="0.2">
      <c r="A602" s="177"/>
    </row>
    <row r="603" spans="1:29" ht="15.75" customHeight="1" x14ac:dyDescent="0.2">
      <c r="A603" s="177"/>
    </row>
    <row r="604" spans="1:29" ht="15.75" customHeight="1" x14ac:dyDescent="0.2">
      <c r="A604" s="177"/>
    </row>
    <row r="605" spans="1:29" ht="15.75" customHeight="1" x14ac:dyDescent="0.2">
      <c r="A605" s="177"/>
    </row>
    <row r="606" spans="1:29" ht="15.75" customHeight="1" x14ac:dyDescent="0.2">
      <c r="A606" s="177"/>
    </row>
    <row r="607" spans="1:29" ht="15.75" customHeight="1" x14ac:dyDescent="0.2">
      <c r="A607" s="177"/>
    </row>
    <row r="608" spans="1:29" ht="15.75" customHeight="1" x14ac:dyDescent="0.2">
      <c r="A608" s="177"/>
    </row>
    <row r="609" spans="1:1" ht="15.75" customHeight="1" x14ac:dyDescent="0.2">
      <c r="A609" s="177"/>
    </row>
    <row r="610" spans="1:1" ht="15.75" customHeight="1" x14ac:dyDescent="0.2">
      <c r="A610" s="177"/>
    </row>
    <row r="611" spans="1:1" ht="15.75" customHeight="1" x14ac:dyDescent="0.2">
      <c r="A611" s="177"/>
    </row>
    <row r="612" spans="1:1" ht="15.75" customHeight="1" x14ac:dyDescent="0.2">
      <c r="A612" s="177"/>
    </row>
    <row r="613" spans="1:1" ht="15.75" customHeight="1" x14ac:dyDescent="0.2">
      <c r="A613" s="177"/>
    </row>
    <row r="614" spans="1:1" ht="15.75" customHeight="1" x14ac:dyDescent="0.2">
      <c r="A614" s="177"/>
    </row>
    <row r="615" spans="1:1" ht="15.75" customHeight="1" x14ac:dyDescent="0.2">
      <c r="A615" s="177"/>
    </row>
    <row r="616" spans="1:1" ht="15.75" customHeight="1" x14ac:dyDescent="0.2">
      <c r="A616" s="177"/>
    </row>
    <row r="617" spans="1:1" ht="15.75" customHeight="1" x14ac:dyDescent="0.2">
      <c r="A617" s="177"/>
    </row>
    <row r="618" spans="1:1" ht="15.75" customHeight="1" x14ac:dyDescent="0.2">
      <c r="A618" s="177"/>
    </row>
    <row r="619" spans="1:1" ht="15.75" customHeight="1" x14ac:dyDescent="0.2">
      <c r="A619" s="177"/>
    </row>
    <row r="620" spans="1:1" ht="15.75" customHeight="1" x14ac:dyDescent="0.2">
      <c r="A620" s="177"/>
    </row>
    <row r="621" spans="1:1" ht="15.75" customHeight="1" x14ac:dyDescent="0.2">
      <c r="A621" s="177"/>
    </row>
    <row r="622" spans="1:1" ht="15.75" customHeight="1" x14ac:dyDescent="0.2">
      <c r="A622" s="177"/>
    </row>
    <row r="623" spans="1:1" ht="15.75" customHeight="1" x14ac:dyDescent="0.2">
      <c r="A623" s="177"/>
    </row>
    <row r="624" spans="1:1" ht="15.75" customHeight="1" x14ac:dyDescent="0.2">
      <c r="A624" s="177"/>
    </row>
    <row r="625" spans="1:1" ht="15.75" customHeight="1" x14ac:dyDescent="0.2">
      <c r="A625" s="177"/>
    </row>
    <row r="626" spans="1:1" ht="15.75" customHeight="1" x14ac:dyDescent="0.2">
      <c r="A626" s="177"/>
    </row>
    <row r="627" spans="1:1" ht="15.75" customHeight="1" x14ac:dyDescent="0.2">
      <c r="A627" s="177"/>
    </row>
    <row r="628" spans="1:1" ht="15.75" customHeight="1" x14ac:dyDescent="0.2">
      <c r="A628" s="177"/>
    </row>
    <row r="629" spans="1:1" ht="15.75" customHeight="1" x14ac:dyDescent="0.2">
      <c r="A629" s="177"/>
    </row>
    <row r="630" spans="1:1" ht="15.75" customHeight="1" x14ac:dyDescent="0.2">
      <c r="A630" s="177"/>
    </row>
    <row r="631" spans="1:1" ht="15.75" customHeight="1" x14ac:dyDescent="0.2">
      <c r="A631" s="177"/>
    </row>
    <row r="632" spans="1:1" ht="15.75" customHeight="1" x14ac:dyDescent="0.2">
      <c r="A632" s="177"/>
    </row>
    <row r="633" spans="1:1" ht="15.75" customHeight="1" x14ac:dyDescent="0.2">
      <c r="A633" s="177"/>
    </row>
    <row r="634" spans="1:1" ht="15.75" customHeight="1" x14ac:dyDescent="0.2">
      <c r="A634" s="177"/>
    </row>
    <row r="635" spans="1:1" ht="15.75" customHeight="1" x14ac:dyDescent="0.2">
      <c r="A635" s="177"/>
    </row>
    <row r="636" spans="1:1" ht="15.75" customHeight="1" x14ac:dyDescent="0.2">
      <c r="A636" s="177"/>
    </row>
    <row r="637" spans="1:1" ht="15.75" customHeight="1" x14ac:dyDescent="0.2">
      <c r="A637" s="177"/>
    </row>
    <row r="638" spans="1:1" ht="15.75" customHeight="1" x14ac:dyDescent="0.2">
      <c r="A638" s="177"/>
    </row>
    <row r="639" spans="1:1" ht="15.75" customHeight="1" x14ac:dyDescent="0.2">
      <c r="A639" s="177"/>
    </row>
    <row r="640" spans="1:1" ht="15.75" customHeight="1" x14ac:dyDescent="0.2">
      <c r="A640" s="177"/>
    </row>
    <row r="641" spans="1:1" ht="15.75" customHeight="1" x14ac:dyDescent="0.2">
      <c r="A641" s="177"/>
    </row>
    <row r="642" spans="1:1" ht="15.75" customHeight="1" x14ac:dyDescent="0.2">
      <c r="A642" s="177"/>
    </row>
    <row r="643" spans="1:1" ht="15.75" customHeight="1" x14ac:dyDescent="0.2">
      <c r="A643" s="177"/>
    </row>
    <row r="644" spans="1:1" ht="15.75" customHeight="1" x14ac:dyDescent="0.2">
      <c r="A644" s="177"/>
    </row>
    <row r="645" spans="1:1" ht="15.75" customHeight="1" x14ac:dyDescent="0.2">
      <c r="A645" s="177"/>
    </row>
    <row r="646" spans="1:1" ht="15.75" customHeight="1" x14ac:dyDescent="0.2">
      <c r="A646" s="177"/>
    </row>
    <row r="647" spans="1:1" ht="15.75" customHeight="1" x14ac:dyDescent="0.2">
      <c r="A647" s="177"/>
    </row>
    <row r="648" spans="1:1" ht="15.75" customHeight="1" x14ac:dyDescent="0.2">
      <c r="A648" s="177"/>
    </row>
    <row r="649" spans="1:1" ht="15.75" customHeight="1" x14ac:dyDescent="0.2">
      <c r="A649" s="177"/>
    </row>
    <row r="650" spans="1:1" ht="15.75" customHeight="1" x14ac:dyDescent="0.2">
      <c r="A650" s="177"/>
    </row>
    <row r="651" spans="1:1" ht="15.75" customHeight="1" x14ac:dyDescent="0.2">
      <c r="A651" s="177"/>
    </row>
    <row r="652" spans="1:1" ht="15.75" customHeight="1" x14ac:dyDescent="0.2">
      <c r="A652" s="177"/>
    </row>
    <row r="653" spans="1:1" ht="15.75" customHeight="1" x14ac:dyDescent="0.2">
      <c r="A653" s="177"/>
    </row>
    <row r="654" spans="1:1" ht="15.75" customHeight="1" x14ac:dyDescent="0.2">
      <c r="A654" s="177"/>
    </row>
    <row r="655" spans="1:1" ht="15.75" customHeight="1" x14ac:dyDescent="0.2">
      <c r="A655" s="177"/>
    </row>
    <row r="656" spans="1:1" ht="15.75" customHeight="1" x14ac:dyDescent="0.2">
      <c r="A656" s="177"/>
    </row>
    <row r="657" spans="1:1" ht="15.75" customHeight="1" x14ac:dyDescent="0.2">
      <c r="A657" s="177"/>
    </row>
    <row r="658" spans="1:1" ht="15.75" customHeight="1" x14ac:dyDescent="0.2">
      <c r="A658" s="177"/>
    </row>
    <row r="659" spans="1:1" ht="15.75" customHeight="1" x14ac:dyDescent="0.2">
      <c r="A659" s="177"/>
    </row>
    <row r="660" spans="1:1" ht="15.75" customHeight="1" x14ac:dyDescent="0.2">
      <c r="A660" s="177"/>
    </row>
    <row r="661" spans="1:1" ht="15.75" customHeight="1" x14ac:dyDescent="0.2">
      <c r="A661" s="177"/>
    </row>
    <row r="662" spans="1:1" ht="15.75" customHeight="1" x14ac:dyDescent="0.2">
      <c r="A662" s="177"/>
    </row>
    <row r="663" spans="1:1" ht="15.75" customHeight="1" x14ac:dyDescent="0.2">
      <c r="A663" s="177"/>
    </row>
    <row r="664" spans="1:1" ht="15.75" customHeight="1" x14ac:dyDescent="0.2">
      <c r="A664" s="177"/>
    </row>
    <row r="665" spans="1:1" ht="15.75" customHeight="1" x14ac:dyDescent="0.2">
      <c r="A665" s="177"/>
    </row>
    <row r="666" spans="1:1" ht="15.75" customHeight="1" x14ac:dyDescent="0.2">
      <c r="A666" s="177"/>
    </row>
    <row r="667" spans="1:1" ht="15.75" customHeight="1" x14ac:dyDescent="0.2">
      <c r="A667" s="177"/>
    </row>
    <row r="668" spans="1:1" ht="15.75" customHeight="1" x14ac:dyDescent="0.2">
      <c r="A668" s="177"/>
    </row>
    <row r="669" spans="1:1" ht="15.75" customHeight="1" x14ac:dyDescent="0.2">
      <c r="A669" s="177"/>
    </row>
    <row r="670" spans="1:1" ht="15.75" customHeight="1" x14ac:dyDescent="0.2">
      <c r="A670" s="177"/>
    </row>
    <row r="671" spans="1:1" ht="15.75" customHeight="1" x14ac:dyDescent="0.2">
      <c r="A671" s="177"/>
    </row>
    <row r="672" spans="1:1" ht="15.75" customHeight="1" x14ac:dyDescent="0.2">
      <c r="A672" s="177"/>
    </row>
    <row r="673" spans="1:1" ht="15.75" customHeight="1" x14ac:dyDescent="0.2">
      <c r="A673" s="177"/>
    </row>
    <row r="674" spans="1:1" ht="15.75" customHeight="1" x14ac:dyDescent="0.2">
      <c r="A674" s="177"/>
    </row>
    <row r="675" spans="1:1" ht="15.75" customHeight="1" x14ac:dyDescent="0.2">
      <c r="A675" s="177"/>
    </row>
    <row r="676" spans="1:1" ht="15.75" customHeight="1" x14ac:dyDescent="0.2">
      <c r="A676" s="177"/>
    </row>
    <row r="677" spans="1:1" ht="15.75" customHeight="1" x14ac:dyDescent="0.2">
      <c r="A677" s="177"/>
    </row>
    <row r="678" spans="1:1" ht="15.75" customHeight="1" x14ac:dyDescent="0.2">
      <c r="A678" s="177"/>
    </row>
    <row r="679" spans="1:1" ht="15.75" customHeight="1" x14ac:dyDescent="0.2">
      <c r="A679" s="177"/>
    </row>
    <row r="680" spans="1:1" ht="15.75" customHeight="1" x14ac:dyDescent="0.2">
      <c r="A680" s="177"/>
    </row>
    <row r="681" spans="1:1" ht="15.75" customHeight="1" x14ac:dyDescent="0.2">
      <c r="A681" s="177"/>
    </row>
    <row r="682" spans="1:1" ht="15.75" customHeight="1" x14ac:dyDescent="0.2">
      <c r="A682" s="177"/>
    </row>
    <row r="683" spans="1:1" ht="15.75" customHeight="1" x14ac:dyDescent="0.2">
      <c r="A683" s="177"/>
    </row>
    <row r="684" spans="1:1" ht="15.75" customHeight="1" x14ac:dyDescent="0.2">
      <c r="A684" s="177"/>
    </row>
    <row r="685" spans="1:1" ht="15.75" customHeight="1" x14ac:dyDescent="0.2">
      <c r="A685" s="177"/>
    </row>
    <row r="686" spans="1:1" ht="15.75" customHeight="1" x14ac:dyDescent="0.2">
      <c r="A686" s="177"/>
    </row>
    <row r="687" spans="1:1" ht="15.75" customHeight="1" x14ac:dyDescent="0.2">
      <c r="A687" s="177"/>
    </row>
    <row r="688" spans="1:1" ht="15.75" customHeight="1" x14ac:dyDescent="0.2">
      <c r="A688" s="177"/>
    </row>
    <row r="689" spans="1:1" ht="15.75" customHeight="1" x14ac:dyDescent="0.2">
      <c r="A689" s="177"/>
    </row>
    <row r="690" spans="1:1" ht="15.75" customHeight="1" x14ac:dyDescent="0.2">
      <c r="A690" s="177"/>
    </row>
    <row r="691" spans="1:1" ht="15.75" customHeight="1" x14ac:dyDescent="0.2">
      <c r="A691" s="177"/>
    </row>
    <row r="692" spans="1:1" ht="15.75" customHeight="1" x14ac:dyDescent="0.2">
      <c r="A692" s="177"/>
    </row>
    <row r="693" spans="1:1" ht="15.75" customHeight="1" x14ac:dyDescent="0.2">
      <c r="A693" s="177"/>
    </row>
    <row r="694" spans="1:1" ht="15.75" customHeight="1" x14ac:dyDescent="0.2">
      <c r="A694" s="177"/>
    </row>
    <row r="695" spans="1:1" ht="15.75" customHeight="1" x14ac:dyDescent="0.2">
      <c r="A695" s="177"/>
    </row>
    <row r="696" spans="1:1" ht="15.75" customHeight="1" x14ac:dyDescent="0.2">
      <c r="A696" s="177"/>
    </row>
    <row r="697" spans="1:1" ht="15.75" customHeight="1" x14ac:dyDescent="0.2">
      <c r="A697" s="177"/>
    </row>
    <row r="698" spans="1:1" ht="15.75" customHeight="1" x14ac:dyDescent="0.2">
      <c r="A698" s="177"/>
    </row>
    <row r="699" spans="1:1" ht="15.75" customHeight="1" x14ac:dyDescent="0.2">
      <c r="A699" s="177"/>
    </row>
    <row r="700" spans="1:1" ht="15.75" customHeight="1" x14ac:dyDescent="0.2">
      <c r="A700" s="177"/>
    </row>
    <row r="701" spans="1:1" ht="15.75" customHeight="1" x14ac:dyDescent="0.2">
      <c r="A701" s="177"/>
    </row>
    <row r="702" spans="1:1" ht="15.75" customHeight="1" x14ac:dyDescent="0.2">
      <c r="A702" s="177"/>
    </row>
    <row r="703" spans="1:1" ht="15.75" customHeight="1" x14ac:dyDescent="0.2">
      <c r="A703" s="177"/>
    </row>
    <row r="704" spans="1:1" ht="15.75" customHeight="1" x14ac:dyDescent="0.2">
      <c r="A704" s="177"/>
    </row>
    <row r="705" spans="1:1" ht="15.75" customHeight="1" x14ac:dyDescent="0.2">
      <c r="A705" s="177"/>
    </row>
    <row r="706" spans="1:1" ht="15.75" customHeight="1" x14ac:dyDescent="0.2">
      <c r="A706" s="177"/>
    </row>
    <row r="707" spans="1:1" ht="15.75" customHeight="1" x14ac:dyDescent="0.2">
      <c r="A707" s="177"/>
    </row>
    <row r="708" spans="1:1" ht="15.75" customHeight="1" x14ac:dyDescent="0.2">
      <c r="A708" s="177"/>
    </row>
    <row r="709" spans="1:1" ht="15.75" customHeight="1" x14ac:dyDescent="0.2">
      <c r="A709" s="177"/>
    </row>
    <row r="710" spans="1:1" ht="15.75" customHeight="1" x14ac:dyDescent="0.2">
      <c r="A710" s="177"/>
    </row>
    <row r="711" spans="1:1" ht="15.75" customHeight="1" x14ac:dyDescent="0.2">
      <c r="A711" s="177"/>
    </row>
    <row r="712" spans="1:1" ht="15.75" customHeight="1" x14ac:dyDescent="0.2">
      <c r="A712" s="177"/>
    </row>
    <row r="713" spans="1:1" ht="15.75" customHeight="1" x14ac:dyDescent="0.2">
      <c r="A713" s="177"/>
    </row>
    <row r="714" spans="1:1" ht="15.75" customHeight="1" x14ac:dyDescent="0.2">
      <c r="A714" s="177"/>
    </row>
    <row r="715" spans="1:1" ht="15.75" customHeight="1" x14ac:dyDescent="0.2">
      <c r="A715" s="177"/>
    </row>
    <row r="716" spans="1:1" ht="15.75" customHeight="1" x14ac:dyDescent="0.2">
      <c r="A716" s="177"/>
    </row>
    <row r="717" spans="1:1" ht="15.75" customHeight="1" x14ac:dyDescent="0.2">
      <c r="A717" s="177"/>
    </row>
    <row r="718" spans="1:1" ht="15.75" customHeight="1" x14ac:dyDescent="0.2">
      <c r="A718" s="177"/>
    </row>
    <row r="719" spans="1:1" ht="15.75" customHeight="1" x14ac:dyDescent="0.2">
      <c r="A719" s="177"/>
    </row>
    <row r="720" spans="1:1" ht="15.75" customHeight="1" x14ac:dyDescent="0.2">
      <c r="A720" s="177"/>
    </row>
    <row r="721" spans="1:1" ht="15.75" customHeight="1" x14ac:dyDescent="0.2">
      <c r="A721" s="177"/>
    </row>
    <row r="722" spans="1:1" ht="15.75" customHeight="1" x14ac:dyDescent="0.2">
      <c r="A722" s="177"/>
    </row>
    <row r="723" spans="1:1" ht="15.75" customHeight="1" x14ac:dyDescent="0.2">
      <c r="A723" s="177"/>
    </row>
    <row r="724" spans="1:1" ht="15.75" customHeight="1" x14ac:dyDescent="0.2">
      <c r="A724" s="177"/>
    </row>
    <row r="725" spans="1:1" ht="15.75" customHeight="1" x14ac:dyDescent="0.2">
      <c r="A725" s="177"/>
    </row>
    <row r="726" spans="1:1" ht="15.75" customHeight="1" x14ac:dyDescent="0.2">
      <c r="A726" s="177"/>
    </row>
    <row r="727" spans="1:1" ht="15.75" customHeight="1" x14ac:dyDescent="0.2">
      <c r="A727" s="177"/>
    </row>
    <row r="728" spans="1:1" ht="15.75" customHeight="1" x14ac:dyDescent="0.2">
      <c r="A728" s="177"/>
    </row>
    <row r="729" spans="1:1" ht="15.75" customHeight="1" x14ac:dyDescent="0.2">
      <c r="A729" s="177"/>
    </row>
    <row r="730" spans="1:1" ht="15.75" customHeight="1" x14ac:dyDescent="0.2">
      <c r="A730" s="177"/>
    </row>
    <row r="731" spans="1:1" ht="15.75" customHeight="1" x14ac:dyDescent="0.2">
      <c r="A731" s="177"/>
    </row>
    <row r="732" spans="1:1" ht="15.75" customHeight="1" x14ac:dyDescent="0.2">
      <c r="A732" s="177"/>
    </row>
    <row r="733" spans="1:1" ht="15.75" customHeight="1" x14ac:dyDescent="0.2">
      <c r="A733" s="177"/>
    </row>
    <row r="734" spans="1:1" ht="15.75" customHeight="1" x14ac:dyDescent="0.2">
      <c r="A734" s="177"/>
    </row>
    <row r="735" spans="1:1" ht="15.75" customHeight="1" x14ac:dyDescent="0.2">
      <c r="A735" s="177"/>
    </row>
    <row r="736" spans="1:1" ht="15.75" customHeight="1" x14ac:dyDescent="0.2">
      <c r="A736" s="177"/>
    </row>
    <row r="737" spans="1:1" ht="15.75" customHeight="1" x14ac:dyDescent="0.2">
      <c r="A737" s="177"/>
    </row>
    <row r="738" spans="1:1" ht="15.75" customHeight="1" x14ac:dyDescent="0.2">
      <c r="A738" s="177"/>
    </row>
    <row r="739" spans="1:1" ht="15.75" customHeight="1" x14ac:dyDescent="0.2">
      <c r="A739" s="177"/>
    </row>
    <row r="740" spans="1:1" ht="15.75" customHeight="1" x14ac:dyDescent="0.2">
      <c r="A740" s="177"/>
    </row>
    <row r="741" spans="1:1" ht="15.75" customHeight="1" x14ac:dyDescent="0.2">
      <c r="A741" s="177"/>
    </row>
    <row r="742" spans="1:1" ht="15.75" customHeight="1" x14ac:dyDescent="0.2">
      <c r="A742" s="177"/>
    </row>
    <row r="743" spans="1:1" ht="15.75" customHeight="1" x14ac:dyDescent="0.2">
      <c r="A743" s="177"/>
    </row>
    <row r="744" spans="1:1" ht="15.75" customHeight="1" x14ac:dyDescent="0.2">
      <c r="A744" s="177"/>
    </row>
    <row r="745" spans="1:1" ht="15.75" customHeight="1" x14ac:dyDescent="0.2">
      <c r="A745" s="177"/>
    </row>
    <row r="746" spans="1:1" ht="15.75" customHeight="1" x14ac:dyDescent="0.2">
      <c r="A746" s="177"/>
    </row>
    <row r="747" spans="1:1" ht="15.75" customHeight="1" x14ac:dyDescent="0.2">
      <c r="A747" s="177"/>
    </row>
    <row r="748" spans="1:1" ht="15.75" customHeight="1" x14ac:dyDescent="0.2">
      <c r="A748" s="177"/>
    </row>
    <row r="749" spans="1:1" ht="15.75" customHeight="1" x14ac:dyDescent="0.2">
      <c r="A749" s="177"/>
    </row>
    <row r="750" spans="1:1" ht="15.75" customHeight="1" x14ac:dyDescent="0.2">
      <c r="A750" s="177"/>
    </row>
    <row r="751" spans="1:1" ht="15.75" customHeight="1" x14ac:dyDescent="0.2">
      <c r="A751" s="177"/>
    </row>
    <row r="752" spans="1:1" ht="15.75" customHeight="1" x14ac:dyDescent="0.2">
      <c r="A752" s="177"/>
    </row>
    <row r="753" spans="1:1" ht="15.75" customHeight="1" x14ac:dyDescent="0.2">
      <c r="A753" s="177"/>
    </row>
    <row r="754" spans="1:1" ht="15.75" customHeight="1" x14ac:dyDescent="0.2">
      <c r="A754" s="177"/>
    </row>
    <row r="755" spans="1:1" ht="15.75" customHeight="1" x14ac:dyDescent="0.2">
      <c r="A755" s="177"/>
    </row>
    <row r="756" spans="1:1" ht="15.75" customHeight="1" x14ac:dyDescent="0.2">
      <c r="A756" s="177"/>
    </row>
    <row r="757" spans="1:1" ht="15.75" customHeight="1" x14ac:dyDescent="0.2">
      <c r="A757" s="177"/>
    </row>
    <row r="758" spans="1:1" ht="15.75" customHeight="1" x14ac:dyDescent="0.2">
      <c r="A758" s="177"/>
    </row>
    <row r="759" spans="1:1" ht="15.75" customHeight="1" x14ac:dyDescent="0.2">
      <c r="A759" s="177"/>
    </row>
    <row r="760" spans="1:1" ht="15.75" customHeight="1" x14ac:dyDescent="0.2">
      <c r="A760" s="177"/>
    </row>
    <row r="761" spans="1:1" ht="15.75" customHeight="1" x14ac:dyDescent="0.2">
      <c r="A761" s="177"/>
    </row>
    <row r="762" spans="1:1" ht="15.75" customHeight="1" x14ac:dyDescent="0.2">
      <c r="A762" s="177"/>
    </row>
    <row r="763" spans="1:1" ht="15.75" customHeight="1" x14ac:dyDescent="0.2">
      <c r="A763" s="177"/>
    </row>
    <row r="764" spans="1:1" ht="15.75" customHeight="1" x14ac:dyDescent="0.2">
      <c r="A764" s="177"/>
    </row>
    <row r="765" spans="1:1" ht="15.75" customHeight="1" x14ac:dyDescent="0.2">
      <c r="A765" s="177"/>
    </row>
    <row r="766" spans="1:1" ht="15.75" customHeight="1" x14ac:dyDescent="0.2">
      <c r="A766" s="177"/>
    </row>
    <row r="767" spans="1:1" ht="15.75" customHeight="1" x14ac:dyDescent="0.2">
      <c r="A767" s="177"/>
    </row>
    <row r="768" spans="1:1" ht="15.75" customHeight="1" x14ac:dyDescent="0.2">
      <c r="A768" s="177"/>
    </row>
    <row r="769" spans="1:1" ht="15.75" customHeight="1" x14ac:dyDescent="0.2">
      <c r="A769" s="177"/>
    </row>
    <row r="770" spans="1:1" ht="15.75" customHeight="1" x14ac:dyDescent="0.2">
      <c r="A770" s="177"/>
    </row>
    <row r="771" spans="1:1" ht="15.75" customHeight="1" x14ac:dyDescent="0.2">
      <c r="A771" s="177"/>
    </row>
    <row r="772" spans="1:1" ht="15.75" customHeight="1" x14ac:dyDescent="0.2">
      <c r="A772" s="177"/>
    </row>
    <row r="773" spans="1:1" ht="15.75" customHeight="1" x14ac:dyDescent="0.2">
      <c r="A773" s="177"/>
    </row>
    <row r="774" spans="1:1" ht="15.75" customHeight="1" x14ac:dyDescent="0.2">
      <c r="A774" s="177"/>
    </row>
    <row r="775" spans="1:1" ht="15.75" customHeight="1" x14ac:dyDescent="0.2">
      <c r="A775" s="177"/>
    </row>
    <row r="776" spans="1:1" ht="15.75" customHeight="1" x14ac:dyDescent="0.2">
      <c r="A776" s="177"/>
    </row>
    <row r="777" spans="1:1" ht="15.75" customHeight="1" x14ac:dyDescent="0.2">
      <c r="A777" s="177"/>
    </row>
    <row r="778" spans="1:1" ht="15.75" customHeight="1" x14ac:dyDescent="0.2">
      <c r="A778" s="177"/>
    </row>
    <row r="779" spans="1:1" ht="15.75" customHeight="1" x14ac:dyDescent="0.2">
      <c r="A779" s="177"/>
    </row>
    <row r="780" spans="1:1" ht="15.75" customHeight="1" x14ac:dyDescent="0.2">
      <c r="A780" s="177"/>
    </row>
    <row r="781" spans="1:1" ht="15.75" customHeight="1" x14ac:dyDescent="0.2">
      <c r="A781" s="177"/>
    </row>
    <row r="782" spans="1:1" ht="15.75" customHeight="1" x14ac:dyDescent="0.2">
      <c r="A782" s="177"/>
    </row>
    <row r="783" spans="1:1" ht="15.75" customHeight="1" x14ac:dyDescent="0.2">
      <c r="A783" s="177"/>
    </row>
    <row r="784" spans="1:1" ht="15.75" customHeight="1" x14ac:dyDescent="0.2">
      <c r="A784" s="177"/>
    </row>
    <row r="785" spans="1:1" ht="15.75" customHeight="1" x14ac:dyDescent="0.2">
      <c r="A785" s="177"/>
    </row>
    <row r="786" spans="1:1" ht="15.75" customHeight="1" x14ac:dyDescent="0.2">
      <c r="A786" s="177"/>
    </row>
    <row r="787" spans="1:1" ht="15.75" customHeight="1" x14ac:dyDescent="0.2">
      <c r="A787" s="177"/>
    </row>
    <row r="788" spans="1:1" ht="15.75" customHeight="1" x14ac:dyDescent="0.2">
      <c r="A788" s="177"/>
    </row>
    <row r="789" spans="1:1" ht="15.75" customHeight="1" x14ac:dyDescent="0.2">
      <c r="A789" s="177"/>
    </row>
    <row r="790" spans="1:1" ht="15.75" customHeight="1" x14ac:dyDescent="0.2">
      <c r="A790" s="177"/>
    </row>
    <row r="791" spans="1:1" ht="15.75" customHeight="1" x14ac:dyDescent="0.2">
      <c r="A791" s="177"/>
    </row>
    <row r="792" spans="1:1" ht="15.75" customHeight="1" x14ac:dyDescent="0.2">
      <c r="A792" s="177"/>
    </row>
    <row r="793" spans="1:1" ht="15.75" customHeight="1" x14ac:dyDescent="0.2">
      <c r="A793" s="177"/>
    </row>
    <row r="794" spans="1:1" ht="15.75" customHeight="1" x14ac:dyDescent="0.2">
      <c r="A794" s="177"/>
    </row>
    <row r="795" spans="1:1" ht="15.75" customHeight="1" x14ac:dyDescent="0.2">
      <c r="A795" s="177"/>
    </row>
    <row r="796" spans="1:1" ht="15.75" customHeight="1" x14ac:dyDescent="0.2">
      <c r="A796" s="177"/>
    </row>
    <row r="797" spans="1:1" ht="15.75" customHeight="1" x14ac:dyDescent="0.2">
      <c r="A797" s="177"/>
    </row>
    <row r="798" spans="1:1" ht="15.75" customHeight="1" x14ac:dyDescent="0.2">
      <c r="A798" s="177"/>
    </row>
    <row r="799" spans="1:1" ht="15.75" customHeight="1" x14ac:dyDescent="0.2">
      <c r="A799" s="177"/>
    </row>
    <row r="800" spans="1:1" ht="15.75" customHeight="1" x14ac:dyDescent="0.2">
      <c r="A800" s="177"/>
    </row>
    <row r="801" spans="1:1" ht="15.75" customHeight="1" x14ac:dyDescent="0.2">
      <c r="A801" s="177"/>
    </row>
    <row r="802" spans="1:1" ht="15.75" customHeight="1" x14ac:dyDescent="0.2">
      <c r="A802" s="177"/>
    </row>
    <row r="803" spans="1:1" ht="15.75" customHeight="1" x14ac:dyDescent="0.2">
      <c r="A803" s="177"/>
    </row>
    <row r="804" spans="1:1" ht="15.75" customHeight="1" x14ac:dyDescent="0.2">
      <c r="A804" s="177"/>
    </row>
    <row r="805" spans="1:1" ht="15.75" customHeight="1" x14ac:dyDescent="0.2">
      <c r="A805" s="177"/>
    </row>
    <row r="806" spans="1:1" ht="15.75" customHeight="1" x14ac:dyDescent="0.2">
      <c r="A806" s="177"/>
    </row>
    <row r="807" spans="1:1" ht="15.75" customHeight="1" x14ac:dyDescent="0.2">
      <c r="A807" s="177"/>
    </row>
    <row r="808" spans="1:1" ht="15.75" customHeight="1" x14ac:dyDescent="0.2">
      <c r="A808" s="177"/>
    </row>
    <row r="809" spans="1:1" ht="15.75" customHeight="1" x14ac:dyDescent="0.2">
      <c r="A809" s="177"/>
    </row>
    <row r="810" spans="1:1" ht="15.75" customHeight="1" x14ac:dyDescent="0.2">
      <c r="A810" s="177"/>
    </row>
    <row r="811" spans="1:1" ht="15.75" customHeight="1" x14ac:dyDescent="0.2">
      <c r="A811" s="177"/>
    </row>
    <row r="812" spans="1:1" ht="15.75" customHeight="1" x14ac:dyDescent="0.2">
      <c r="A812" s="177"/>
    </row>
    <row r="813" spans="1:1" ht="15.75" customHeight="1" x14ac:dyDescent="0.2">
      <c r="A813" s="177"/>
    </row>
    <row r="814" spans="1:1" ht="15.75" customHeight="1" x14ac:dyDescent="0.2">
      <c r="A814" s="177"/>
    </row>
    <row r="815" spans="1:1" ht="15.75" customHeight="1" x14ac:dyDescent="0.2">
      <c r="A815" s="177"/>
    </row>
    <row r="816" spans="1:1" ht="15.75" customHeight="1" x14ac:dyDescent="0.2">
      <c r="A816" s="177"/>
    </row>
    <row r="817" spans="1:1" ht="15.75" customHeight="1" x14ac:dyDescent="0.2">
      <c r="A817" s="177"/>
    </row>
    <row r="818" spans="1:1" ht="15.75" customHeight="1" x14ac:dyDescent="0.2">
      <c r="A818" s="177"/>
    </row>
    <row r="819" spans="1:1" ht="15.75" customHeight="1" x14ac:dyDescent="0.2">
      <c r="A819" s="177"/>
    </row>
    <row r="820" spans="1:1" ht="15.75" customHeight="1" x14ac:dyDescent="0.2">
      <c r="A820" s="177"/>
    </row>
    <row r="821" spans="1:1" ht="15.75" customHeight="1" x14ac:dyDescent="0.2">
      <c r="A821" s="177"/>
    </row>
    <row r="822" spans="1:1" ht="15.75" customHeight="1" x14ac:dyDescent="0.2">
      <c r="A822" s="177"/>
    </row>
    <row r="823" spans="1:1" ht="15.75" customHeight="1" x14ac:dyDescent="0.2">
      <c r="A823" s="177"/>
    </row>
    <row r="824" spans="1:1" ht="15.75" customHeight="1" x14ac:dyDescent="0.2">
      <c r="A824" s="177"/>
    </row>
    <row r="825" spans="1:1" ht="15.75" customHeight="1" x14ac:dyDescent="0.2">
      <c r="A825" s="177"/>
    </row>
    <row r="826" spans="1:1" ht="15.75" customHeight="1" x14ac:dyDescent="0.2">
      <c r="A826" s="177"/>
    </row>
    <row r="827" spans="1:1" ht="15.75" customHeight="1" x14ac:dyDescent="0.2">
      <c r="A827" s="177"/>
    </row>
    <row r="828" spans="1:1" ht="15.75" customHeight="1" x14ac:dyDescent="0.2">
      <c r="A828" s="177"/>
    </row>
    <row r="829" spans="1:1" ht="15.75" customHeight="1" x14ac:dyDescent="0.2">
      <c r="A829" s="177"/>
    </row>
    <row r="830" spans="1:1" ht="15.75" customHeight="1" x14ac:dyDescent="0.2">
      <c r="A830" s="177"/>
    </row>
    <row r="831" spans="1:1" ht="15.75" customHeight="1" x14ac:dyDescent="0.2">
      <c r="A831" s="177"/>
    </row>
    <row r="832" spans="1:1" ht="15.75" customHeight="1" x14ac:dyDescent="0.2">
      <c r="A832" s="177"/>
    </row>
    <row r="833" spans="1:1" ht="15.75" customHeight="1" x14ac:dyDescent="0.2">
      <c r="A833" s="177"/>
    </row>
    <row r="834" spans="1:1" ht="15.75" customHeight="1" x14ac:dyDescent="0.2">
      <c r="A834" s="177"/>
    </row>
    <row r="835" spans="1:1" ht="15.75" customHeight="1" x14ac:dyDescent="0.2">
      <c r="A835" s="177"/>
    </row>
    <row r="836" spans="1:1" ht="15.75" customHeight="1" x14ac:dyDescent="0.2">
      <c r="A836" s="177"/>
    </row>
    <row r="837" spans="1:1" ht="15.75" customHeight="1" x14ac:dyDescent="0.2">
      <c r="A837" s="177"/>
    </row>
    <row r="838" spans="1:1" ht="15.75" customHeight="1" x14ac:dyDescent="0.2">
      <c r="A838" s="177"/>
    </row>
    <row r="839" spans="1:1" ht="15.75" customHeight="1" x14ac:dyDescent="0.2">
      <c r="A839" s="177"/>
    </row>
    <row r="840" spans="1:1" ht="15.75" customHeight="1" x14ac:dyDescent="0.2">
      <c r="A840" s="177"/>
    </row>
    <row r="841" spans="1:1" ht="15.75" customHeight="1" x14ac:dyDescent="0.2">
      <c r="A841" s="177"/>
    </row>
    <row r="842" spans="1:1" ht="15.75" customHeight="1" x14ac:dyDescent="0.2">
      <c r="A842" s="177"/>
    </row>
    <row r="843" spans="1:1" ht="15.75" customHeight="1" x14ac:dyDescent="0.2">
      <c r="A843" s="177"/>
    </row>
    <row r="844" spans="1:1" ht="15.75" customHeight="1" x14ac:dyDescent="0.2">
      <c r="A844" s="177"/>
    </row>
    <row r="845" spans="1:1" ht="15.75" customHeight="1" x14ac:dyDescent="0.2">
      <c r="A845" s="177"/>
    </row>
    <row r="846" spans="1:1" ht="15.75" customHeight="1" x14ac:dyDescent="0.2">
      <c r="A846" s="177"/>
    </row>
    <row r="847" spans="1:1" ht="15.75" customHeight="1" x14ac:dyDescent="0.2">
      <c r="A847" s="177"/>
    </row>
    <row r="848" spans="1:1" ht="15.75" customHeight="1" x14ac:dyDescent="0.2">
      <c r="A848" s="177"/>
    </row>
    <row r="849" spans="1:1" ht="15.75" customHeight="1" x14ac:dyDescent="0.2">
      <c r="A849" s="177"/>
    </row>
    <row r="850" spans="1:1" ht="15.75" customHeight="1" x14ac:dyDescent="0.2">
      <c r="A850" s="177"/>
    </row>
    <row r="851" spans="1:1" ht="15.75" customHeight="1" x14ac:dyDescent="0.2">
      <c r="A851" s="177"/>
    </row>
    <row r="852" spans="1:1" ht="15.75" customHeight="1" x14ac:dyDescent="0.2">
      <c r="A852" s="177"/>
    </row>
    <row r="853" spans="1:1" ht="15.75" customHeight="1" x14ac:dyDescent="0.2">
      <c r="A853" s="177"/>
    </row>
    <row r="854" spans="1:1" ht="15.75" customHeight="1" x14ac:dyDescent="0.2">
      <c r="A854" s="177"/>
    </row>
    <row r="855" spans="1:1" ht="15.75" customHeight="1" x14ac:dyDescent="0.2">
      <c r="A855" s="177"/>
    </row>
    <row r="856" spans="1:1" ht="15.75" customHeight="1" x14ac:dyDescent="0.2">
      <c r="A856" s="177"/>
    </row>
    <row r="857" spans="1:1" ht="15.75" customHeight="1" x14ac:dyDescent="0.2">
      <c r="A857" s="177"/>
    </row>
    <row r="858" spans="1:1" ht="15.75" customHeight="1" x14ac:dyDescent="0.2">
      <c r="A858" s="177"/>
    </row>
    <row r="859" spans="1:1" ht="15.75" customHeight="1" x14ac:dyDescent="0.2">
      <c r="A859" s="177"/>
    </row>
    <row r="860" spans="1:1" ht="15.75" customHeight="1" x14ac:dyDescent="0.2">
      <c r="A860" s="177"/>
    </row>
    <row r="861" spans="1:1" ht="15.75" customHeight="1" x14ac:dyDescent="0.2">
      <c r="A861" s="177"/>
    </row>
    <row r="862" spans="1:1" ht="15.75" customHeight="1" x14ac:dyDescent="0.2">
      <c r="A862" s="177"/>
    </row>
    <row r="863" spans="1:1" ht="15.75" customHeight="1" x14ac:dyDescent="0.2">
      <c r="A863" s="177"/>
    </row>
    <row r="864" spans="1:1" ht="15.75" customHeight="1" x14ac:dyDescent="0.2">
      <c r="A864" s="177"/>
    </row>
    <row r="865" spans="1:1" ht="15.75" customHeight="1" x14ac:dyDescent="0.2">
      <c r="A865" s="177"/>
    </row>
    <row r="866" spans="1:1" ht="15.75" customHeight="1" x14ac:dyDescent="0.2">
      <c r="A866" s="177"/>
    </row>
    <row r="867" spans="1:1" ht="15.75" customHeight="1" x14ac:dyDescent="0.2">
      <c r="A867" s="177"/>
    </row>
    <row r="868" spans="1:1" ht="15.75" customHeight="1" x14ac:dyDescent="0.2">
      <c r="A868" s="177"/>
    </row>
    <row r="869" spans="1:1" ht="15.75" customHeight="1" x14ac:dyDescent="0.2">
      <c r="A869" s="177"/>
    </row>
    <row r="870" spans="1:1" ht="15.75" customHeight="1" x14ac:dyDescent="0.2">
      <c r="A870" s="177"/>
    </row>
    <row r="871" spans="1:1" ht="15.75" customHeight="1" x14ac:dyDescent="0.2">
      <c r="A871" s="177"/>
    </row>
    <row r="872" spans="1:1" ht="15.75" customHeight="1" x14ac:dyDescent="0.2">
      <c r="A872" s="177"/>
    </row>
    <row r="873" spans="1:1" ht="15.75" customHeight="1" x14ac:dyDescent="0.2">
      <c r="A873" s="177"/>
    </row>
    <row r="874" spans="1:1" ht="15.75" customHeight="1" x14ac:dyDescent="0.2">
      <c r="A874" s="177"/>
    </row>
    <row r="875" spans="1:1" ht="15.75" customHeight="1" x14ac:dyDescent="0.2">
      <c r="A875" s="177"/>
    </row>
    <row r="876" spans="1:1" ht="15.75" customHeight="1" x14ac:dyDescent="0.2">
      <c r="A876" s="177"/>
    </row>
    <row r="877" spans="1:1" ht="15.75" customHeight="1" x14ac:dyDescent="0.2">
      <c r="A877" s="177"/>
    </row>
    <row r="878" spans="1:1" ht="15.75" customHeight="1" x14ac:dyDescent="0.2">
      <c r="A878" s="177"/>
    </row>
    <row r="879" spans="1:1" ht="15.75" customHeight="1" x14ac:dyDescent="0.2">
      <c r="A879" s="177"/>
    </row>
    <row r="880" spans="1:1" ht="15.75" customHeight="1" x14ac:dyDescent="0.2">
      <c r="A880" s="177"/>
    </row>
    <row r="881" spans="1:1" ht="15.75" customHeight="1" x14ac:dyDescent="0.2">
      <c r="A881" s="177"/>
    </row>
    <row r="882" spans="1:1" ht="15.75" customHeight="1" x14ac:dyDescent="0.2">
      <c r="A882" s="177"/>
    </row>
    <row r="883" spans="1:1" ht="15.75" customHeight="1" x14ac:dyDescent="0.2">
      <c r="A883" s="177"/>
    </row>
    <row r="884" spans="1:1" ht="15.75" customHeight="1" x14ac:dyDescent="0.2">
      <c r="A884" s="177"/>
    </row>
    <row r="885" spans="1:1" ht="15.75" customHeight="1" x14ac:dyDescent="0.2">
      <c r="A885" s="177"/>
    </row>
    <row r="886" spans="1:1" ht="15.75" customHeight="1" x14ac:dyDescent="0.2">
      <c r="A886" s="177"/>
    </row>
    <row r="887" spans="1:1" ht="15.75" customHeight="1" x14ac:dyDescent="0.2">
      <c r="A887" s="177"/>
    </row>
    <row r="888" spans="1:1" ht="15.75" customHeight="1" x14ac:dyDescent="0.2">
      <c r="A888" s="177"/>
    </row>
    <row r="889" spans="1:1" ht="15.75" customHeight="1" x14ac:dyDescent="0.2">
      <c r="A889" s="177"/>
    </row>
    <row r="890" spans="1:1" ht="15.75" customHeight="1" x14ac:dyDescent="0.2">
      <c r="A890" s="177"/>
    </row>
    <row r="891" spans="1:1" ht="15.75" customHeight="1" x14ac:dyDescent="0.2">
      <c r="A891" s="177"/>
    </row>
    <row r="892" spans="1:1" ht="15.75" customHeight="1" x14ac:dyDescent="0.2">
      <c r="A892" s="177"/>
    </row>
    <row r="893" spans="1:1" ht="15.75" customHeight="1" x14ac:dyDescent="0.2">
      <c r="A893" s="177"/>
    </row>
    <row r="894" spans="1:1" ht="15.75" customHeight="1" x14ac:dyDescent="0.2">
      <c r="A894" s="177"/>
    </row>
    <row r="895" spans="1:1" ht="15.75" customHeight="1" x14ac:dyDescent="0.2">
      <c r="A895" s="177"/>
    </row>
    <row r="896" spans="1:1" ht="15.75" customHeight="1" x14ac:dyDescent="0.2">
      <c r="A896" s="177"/>
    </row>
    <row r="897" spans="1:1" ht="15.75" customHeight="1" x14ac:dyDescent="0.2">
      <c r="A897" s="177"/>
    </row>
    <row r="898" spans="1:1" ht="15.75" customHeight="1" x14ac:dyDescent="0.2">
      <c r="A898" s="177"/>
    </row>
    <row r="899" spans="1:1" ht="15.75" customHeight="1" x14ac:dyDescent="0.2">
      <c r="A899" s="177"/>
    </row>
    <row r="900" spans="1:1" ht="15.75" customHeight="1" x14ac:dyDescent="0.2">
      <c r="A900" s="177"/>
    </row>
    <row r="901" spans="1:1" ht="15.75" customHeight="1" x14ac:dyDescent="0.2">
      <c r="A901" s="177"/>
    </row>
    <row r="902" spans="1:1" ht="15.75" customHeight="1" x14ac:dyDescent="0.2">
      <c r="A902" s="177"/>
    </row>
    <row r="903" spans="1:1" ht="15.75" customHeight="1" x14ac:dyDescent="0.2">
      <c r="A903" s="177"/>
    </row>
    <row r="904" spans="1:1" ht="15.75" customHeight="1" x14ac:dyDescent="0.2">
      <c r="A904" s="177"/>
    </row>
    <row r="905" spans="1:1" ht="15.75" customHeight="1" x14ac:dyDescent="0.2">
      <c r="A905" s="177"/>
    </row>
    <row r="906" spans="1:1" ht="15.75" customHeight="1" x14ac:dyDescent="0.2">
      <c r="A906" s="177"/>
    </row>
    <row r="907" spans="1:1" ht="15.75" customHeight="1" x14ac:dyDescent="0.2">
      <c r="A907" s="177"/>
    </row>
    <row r="908" spans="1:1" ht="15.75" customHeight="1" x14ac:dyDescent="0.2">
      <c r="A908" s="177"/>
    </row>
    <row r="909" spans="1:1" ht="15.75" customHeight="1" x14ac:dyDescent="0.2">
      <c r="A909" s="177"/>
    </row>
    <row r="910" spans="1:1" ht="15.75" customHeight="1" x14ac:dyDescent="0.2">
      <c r="A910" s="177"/>
    </row>
    <row r="911" spans="1:1" ht="15.75" customHeight="1" x14ac:dyDescent="0.2">
      <c r="A911" s="177"/>
    </row>
    <row r="912" spans="1:1" ht="15.75" customHeight="1" x14ac:dyDescent="0.2">
      <c r="A912" s="177"/>
    </row>
    <row r="913" spans="1:1" ht="15.75" customHeight="1" x14ac:dyDescent="0.2">
      <c r="A913" s="177"/>
    </row>
    <row r="914" spans="1:1" ht="15.75" customHeight="1" x14ac:dyDescent="0.2">
      <c r="A914" s="177"/>
    </row>
    <row r="915" spans="1:1" ht="15.75" customHeight="1" x14ac:dyDescent="0.2">
      <c r="A915" s="177"/>
    </row>
    <row r="916" spans="1:1" ht="15.75" customHeight="1" x14ac:dyDescent="0.2">
      <c r="A916" s="177"/>
    </row>
    <row r="917" spans="1:1" ht="15.75" customHeight="1" x14ac:dyDescent="0.2">
      <c r="A917" s="177"/>
    </row>
    <row r="918" spans="1:1" ht="15.75" customHeight="1" x14ac:dyDescent="0.2">
      <c r="A918" s="177"/>
    </row>
    <row r="919" spans="1:1" ht="15.75" customHeight="1" x14ac:dyDescent="0.2">
      <c r="A919" s="177"/>
    </row>
    <row r="920" spans="1:1" ht="15.75" customHeight="1" x14ac:dyDescent="0.2">
      <c r="A920" s="177"/>
    </row>
    <row r="921" spans="1:1" ht="15.75" customHeight="1" x14ac:dyDescent="0.2">
      <c r="A921" s="177"/>
    </row>
    <row r="922" spans="1:1" ht="15.75" customHeight="1" x14ac:dyDescent="0.2">
      <c r="A922" s="177"/>
    </row>
    <row r="923" spans="1:1" ht="15.75" customHeight="1" x14ac:dyDescent="0.2">
      <c r="A923" s="177"/>
    </row>
    <row r="924" spans="1:1" ht="15.75" customHeight="1" x14ac:dyDescent="0.2">
      <c r="A924" s="177"/>
    </row>
    <row r="925" spans="1:1" ht="15.75" customHeight="1" x14ac:dyDescent="0.2">
      <c r="A925" s="177"/>
    </row>
    <row r="926" spans="1:1" ht="15.75" customHeight="1" x14ac:dyDescent="0.2">
      <c r="A926" s="177"/>
    </row>
    <row r="927" spans="1:1" ht="15.75" customHeight="1" x14ac:dyDescent="0.2">
      <c r="A927" s="177"/>
    </row>
    <row r="928" spans="1:1" ht="15.75" customHeight="1" x14ac:dyDescent="0.2">
      <c r="A928" s="177"/>
    </row>
    <row r="929" spans="1:1" ht="15.75" customHeight="1" x14ac:dyDescent="0.2">
      <c r="A929" s="177"/>
    </row>
    <row r="930" spans="1:1" ht="15.75" customHeight="1" x14ac:dyDescent="0.2">
      <c r="A930" s="177"/>
    </row>
    <row r="931" spans="1:1" ht="15.75" customHeight="1" x14ac:dyDescent="0.2">
      <c r="A931" s="177"/>
    </row>
    <row r="932" spans="1:1" ht="15.75" customHeight="1" x14ac:dyDescent="0.2">
      <c r="A932" s="177"/>
    </row>
    <row r="933" spans="1:1" ht="15.75" customHeight="1" x14ac:dyDescent="0.2">
      <c r="A933" s="177"/>
    </row>
    <row r="934" spans="1:1" ht="15.75" customHeight="1" x14ac:dyDescent="0.2">
      <c r="A934" s="177"/>
    </row>
    <row r="935" spans="1:1" ht="15.75" customHeight="1" x14ac:dyDescent="0.2">
      <c r="A935" s="177"/>
    </row>
    <row r="936" spans="1:1" ht="15.75" customHeight="1" x14ac:dyDescent="0.2">
      <c r="A936" s="177"/>
    </row>
    <row r="937" spans="1:1" ht="15.75" customHeight="1" x14ac:dyDescent="0.2">
      <c r="A937" s="177"/>
    </row>
    <row r="938" spans="1:1" ht="15.75" customHeight="1" x14ac:dyDescent="0.2">
      <c r="A938" s="177"/>
    </row>
    <row r="939" spans="1:1" ht="15.75" customHeight="1" x14ac:dyDescent="0.2">
      <c r="A939" s="177"/>
    </row>
    <row r="940" spans="1:1" ht="15.75" customHeight="1" x14ac:dyDescent="0.2">
      <c r="A940" s="177"/>
    </row>
    <row r="941" spans="1:1" ht="15.75" customHeight="1" x14ac:dyDescent="0.2">
      <c r="A941" s="177"/>
    </row>
    <row r="942" spans="1:1" ht="15.75" customHeight="1" x14ac:dyDescent="0.2">
      <c r="A942" s="177"/>
    </row>
    <row r="943" spans="1:1" ht="15.75" customHeight="1" x14ac:dyDescent="0.2">
      <c r="A943" s="177"/>
    </row>
    <row r="944" spans="1:1" ht="15.75" customHeight="1" x14ac:dyDescent="0.2">
      <c r="A944" s="177"/>
    </row>
    <row r="945" spans="1:1" ht="15.75" customHeight="1" x14ac:dyDescent="0.2">
      <c r="A945" s="177"/>
    </row>
    <row r="946" spans="1:1" ht="15.75" customHeight="1" x14ac:dyDescent="0.2">
      <c r="A946" s="177"/>
    </row>
    <row r="947" spans="1:1" ht="15.75" customHeight="1" x14ac:dyDescent="0.2">
      <c r="A947" s="177"/>
    </row>
    <row r="948" spans="1:1" ht="15.75" customHeight="1" x14ac:dyDescent="0.2">
      <c r="A948" s="177"/>
    </row>
    <row r="949" spans="1:1" ht="15.75" customHeight="1" x14ac:dyDescent="0.2">
      <c r="A949" s="177"/>
    </row>
    <row r="950" spans="1:1" ht="15.75" customHeight="1" x14ac:dyDescent="0.2">
      <c r="A950" s="177"/>
    </row>
    <row r="951" spans="1:1" ht="15.75" customHeight="1" x14ac:dyDescent="0.2">
      <c r="A951" s="177"/>
    </row>
    <row r="952" spans="1:1" ht="15.75" customHeight="1" x14ac:dyDescent="0.2">
      <c r="A952" s="177"/>
    </row>
    <row r="953" spans="1:1" ht="15.75" customHeight="1" x14ac:dyDescent="0.2">
      <c r="A953" s="177"/>
    </row>
    <row r="954" spans="1:1" ht="15.75" customHeight="1" x14ac:dyDescent="0.2">
      <c r="A954" s="177"/>
    </row>
    <row r="955" spans="1:1" ht="15.75" customHeight="1" x14ac:dyDescent="0.2">
      <c r="A955" s="177"/>
    </row>
    <row r="956" spans="1:1" ht="15.75" customHeight="1" x14ac:dyDescent="0.2">
      <c r="A956" s="177"/>
    </row>
    <row r="957" spans="1:1" ht="15.75" customHeight="1" x14ac:dyDescent="0.2">
      <c r="A957" s="177"/>
    </row>
    <row r="958" spans="1:1" ht="15.75" customHeight="1" x14ac:dyDescent="0.2">
      <c r="A958" s="177"/>
    </row>
    <row r="959" spans="1:1" ht="15.75" customHeight="1" x14ac:dyDescent="0.2">
      <c r="A959" s="177"/>
    </row>
    <row r="960" spans="1:1" ht="15.75" customHeight="1" x14ac:dyDescent="0.2">
      <c r="A960" s="177"/>
    </row>
    <row r="961" spans="1:1" ht="15.75" customHeight="1" x14ac:dyDescent="0.2">
      <c r="A961" s="177"/>
    </row>
    <row r="962" spans="1:1" ht="15.75" customHeight="1" x14ac:dyDescent="0.2">
      <c r="A962" s="177"/>
    </row>
    <row r="963" spans="1:1" ht="15.75" customHeight="1" x14ac:dyDescent="0.2">
      <c r="A963" s="177"/>
    </row>
    <row r="964" spans="1:1" ht="15.75" customHeight="1" x14ac:dyDescent="0.2">
      <c r="A964" s="177"/>
    </row>
    <row r="965" spans="1:1" ht="15.75" customHeight="1" x14ac:dyDescent="0.2">
      <c r="A965" s="177"/>
    </row>
    <row r="966" spans="1:1" ht="15.75" customHeight="1" x14ac:dyDescent="0.2">
      <c r="A966" s="177"/>
    </row>
    <row r="967" spans="1:1" ht="15.75" customHeight="1" x14ac:dyDescent="0.2">
      <c r="A967" s="177"/>
    </row>
    <row r="968" spans="1:1" ht="15.75" customHeight="1" x14ac:dyDescent="0.2">
      <c r="A968" s="177"/>
    </row>
    <row r="969" spans="1:1" ht="15.75" customHeight="1" x14ac:dyDescent="0.2">
      <c r="A969" s="177"/>
    </row>
    <row r="970" spans="1:1" ht="15.75" customHeight="1" x14ac:dyDescent="0.2">
      <c r="A970" s="177"/>
    </row>
    <row r="971" spans="1:1" ht="15.75" customHeight="1" x14ac:dyDescent="0.2">
      <c r="A971" s="177"/>
    </row>
    <row r="972" spans="1:1" ht="15.75" customHeight="1" x14ac:dyDescent="0.2">
      <c r="A972" s="177"/>
    </row>
    <row r="973" spans="1:1" ht="15.75" customHeight="1" x14ac:dyDescent="0.2">
      <c r="A973" s="177"/>
    </row>
    <row r="974" spans="1:1" ht="15.75" customHeight="1" x14ac:dyDescent="0.2">
      <c r="A974" s="177"/>
    </row>
    <row r="975" spans="1:1" ht="15.75" customHeight="1" x14ac:dyDescent="0.2">
      <c r="A975" s="177"/>
    </row>
    <row r="976" spans="1:1" ht="15.75" customHeight="1" x14ac:dyDescent="0.2">
      <c r="A976" s="177"/>
    </row>
    <row r="977" spans="1:1" ht="15.75" customHeight="1" x14ac:dyDescent="0.2">
      <c r="A977" s="177"/>
    </row>
    <row r="978" spans="1:1" ht="15.75" customHeight="1" x14ac:dyDescent="0.2">
      <c r="A978" s="177"/>
    </row>
    <row r="979" spans="1:1" ht="15.75" customHeight="1" x14ac:dyDescent="0.2">
      <c r="A979" s="177"/>
    </row>
    <row r="980" spans="1:1" ht="15.75" customHeight="1" x14ac:dyDescent="0.2">
      <c r="A980" s="177"/>
    </row>
    <row r="981" spans="1:1" ht="15.75" customHeight="1" x14ac:dyDescent="0.2">
      <c r="A981" s="177"/>
    </row>
    <row r="982" spans="1:1" ht="15.75" customHeight="1" x14ac:dyDescent="0.2">
      <c r="A982" s="177"/>
    </row>
    <row r="983" spans="1:1" ht="15.75" customHeight="1" x14ac:dyDescent="0.2">
      <c r="A983" s="177"/>
    </row>
    <row r="984" spans="1:1" ht="15.75" customHeight="1" x14ac:dyDescent="0.2">
      <c r="A984" s="177"/>
    </row>
    <row r="985" spans="1:1" ht="15.75" customHeight="1" x14ac:dyDescent="0.2">
      <c r="A985" s="177"/>
    </row>
    <row r="986" spans="1:1" ht="15.75" customHeight="1" x14ac:dyDescent="0.2">
      <c r="A986" s="177"/>
    </row>
    <row r="987" spans="1:1" ht="15.75" customHeight="1" x14ac:dyDescent="0.2">
      <c r="A987" s="177"/>
    </row>
    <row r="988" spans="1:1" ht="15.75" customHeight="1" x14ac:dyDescent="0.2">
      <c r="A988" s="177"/>
    </row>
    <row r="989" spans="1:1" ht="15.75" customHeight="1" x14ac:dyDescent="0.2">
      <c r="A989" s="177"/>
    </row>
    <row r="990" spans="1:1" ht="15.75" customHeight="1" x14ac:dyDescent="0.2">
      <c r="A990" s="177"/>
    </row>
    <row r="991" spans="1:1" ht="15.75" customHeight="1" x14ac:dyDescent="0.2">
      <c r="A991" s="177"/>
    </row>
    <row r="992" spans="1:1" ht="15.75" customHeight="1" x14ac:dyDescent="0.2">
      <c r="A992" s="177"/>
    </row>
    <row r="993" spans="1:1" ht="15.75" customHeight="1" x14ac:dyDescent="0.2">
      <c r="A993" s="177"/>
    </row>
    <row r="994" spans="1:1" ht="15.75" customHeight="1" x14ac:dyDescent="0.2">
      <c r="A994" s="177"/>
    </row>
    <row r="995" spans="1:1" ht="15.75" customHeight="1" x14ac:dyDescent="0.2">
      <c r="A995" s="177"/>
    </row>
    <row r="996" spans="1:1" ht="15.75" customHeight="1" x14ac:dyDescent="0.2">
      <c r="A996" s="177"/>
    </row>
    <row r="997" spans="1:1" ht="15.75" customHeight="1" x14ac:dyDescent="0.2">
      <c r="A997" s="177"/>
    </row>
    <row r="998" spans="1:1" ht="15.75" customHeight="1" x14ac:dyDescent="0.2">
      <c r="A998" s="177"/>
    </row>
    <row r="999" spans="1:1" ht="15.75" customHeight="1" x14ac:dyDescent="0.2">
      <c r="A999" s="177"/>
    </row>
    <row r="1000" spans="1:1" ht="15.75" customHeight="1" x14ac:dyDescent="0.2">
      <c r="A1000" s="177"/>
    </row>
    <row r="1001" spans="1:1" ht="15.75" customHeight="1" x14ac:dyDescent="0.2">
      <c r="A1001" s="177"/>
    </row>
    <row r="1002" spans="1:1" ht="15.75" customHeight="1" x14ac:dyDescent="0.2">
      <c r="A1002" s="177"/>
    </row>
    <row r="1003" spans="1:1" ht="15.75" customHeight="1" x14ac:dyDescent="0.2">
      <c r="A1003" s="177"/>
    </row>
    <row r="1004" spans="1:1" ht="15.75" customHeight="1" x14ac:dyDescent="0.2">
      <c r="A1004" s="177"/>
    </row>
    <row r="1005" spans="1:1" ht="15.75" customHeight="1" x14ac:dyDescent="0.2">
      <c r="A1005" s="177"/>
    </row>
    <row r="1006" spans="1:1" ht="15.75" customHeight="1" x14ac:dyDescent="0.2">
      <c r="A1006" s="177"/>
    </row>
    <row r="1007" spans="1:1" ht="15.75" customHeight="1" x14ac:dyDescent="0.2">
      <c r="A1007" s="177"/>
    </row>
    <row r="1008" spans="1:1" ht="15.75" customHeight="1" x14ac:dyDescent="0.2">
      <c r="A1008" s="177"/>
    </row>
    <row r="1009" spans="1:1" ht="15.75" customHeight="1" x14ac:dyDescent="0.2">
      <c r="A1009" s="177"/>
    </row>
    <row r="1010" spans="1:1" ht="15.75" customHeight="1" x14ac:dyDescent="0.2">
      <c r="A1010" s="177"/>
    </row>
    <row r="1011" spans="1:1" ht="15.75" customHeight="1" x14ac:dyDescent="0.2">
      <c r="A1011" s="177"/>
    </row>
    <row r="1012" spans="1:1" ht="15.75" customHeight="1" x14ac:dyDescent="0.2">
      <c r="A1012" s="177"/>
    </row>
    <row r="1013" spans="1:1" ht="15.75" customHeight="1" x14ac:dyDescent="0.2">
      <c r="A1013" s="177"/>
    </row>
    <row r="1014" spans="1:1" ht="15.75" customHeight="1" x14ac:dyDescent="0.2">
      <c r="A1014" s="177"/>
    </row>
    <row r="1015" spans="1:1" ht="15.75" customHeight="1" x14ac:dyDescent="0.2">
      <c r="A1015" s="177"/>
    </row>
    <row r="1016" spans="1:1" ht="15.75" customHeight="1" x14ac:dyDescent="0.2">
      <c r="A1016" s="177"/>
    </row>
    <row r="1017" spans="1:1" ht="15.75" customHeight="1" x14ac:dyDescent="0.2">
      <c r="A1017" s="177"/>
    </row>
    <row r="1018" spans="1:1" ht="15.75" customHeight="1" x14ac:dyDescent="0.2">
      <c r="A1018" s="177"/>
    </row>
    <row r="1019" spans="1:1" ht="15.75" customHeight="1" x14ac:dyDescent="0.2">
      <c r="A1019" s="177"/>
    </row>
    <row r="1020" spans="1:1" ht="15.75" customHeight="1" x14ac:dyDescent="0.2">
      <c r="A1020" s="177"/>
    </row>
    <row r="1021" spans="1:1" ht="15.75" customHeight="1" x14ac:dyDescent="0.2">
      <c r="A1021" s="177"/>
    </row>
    <row r="1022" spans="1:1" ht="15.75" customHeight="1" x14ac:dyDescent="0.2">
      <c r="A1022" s="177"/>
    </row>
    <row r="1023" spans="1:1" ht="15.75" customHeight="1" x14ac:dyDescent="0.2">
      <c r="A1023" s="177"/>
    </row>
    <row r="1024" spans="1:1" ht="15.75" customHeight="1" x14ac:dyDescent="0.2">
      <c r="A1024" s="177"/>
    </row>
    <row r="1025" spans="1:1" ht="15.75" customHeight="1" x14ac:dyDescent="0.2">
      <c r="A1025" s="177"/>
    </row>
    <row r="1026" spans="1:1" ht="15.75" customHeight="1" x14ac:dyDescent="0.2">
      <c r="A1026" s="177"/>
    </row>
    <row r="1027" spans="1:1" ht="15.75" customHeight="1" x14ac:dyDescent="0.2">
      <c r="A1027" s="177"/>
    </row>
    <row r="1028" spans="1:1" ht="15.75" customHeight="1" x14ac:dyDescent="0.2">
      <c r="A1028" s="177"/>
    </row>
    <row r="1029" spans="1:1" ht="15.75" customHeight="1" x14ac:dyDescent="0.2">
      <c r="A1029" s="177"/>
    </row>
    <row r="1030" spans="1:1" ht="15.75" customHeight="1" x14ac:dyDescent="0.2">
      <c r="A1030" s="177"/>
    </row>
    <row r="1031" spans="1:1" ht="15.75" customHeight="1" x14ac:dyDescent="0.2">
      <c r="A1031" s="177"/>
    </row>
    <row r="1032" spans="1:1" ht="15.75" customHeight="1" x14ac:dyDescent="0.2">
      <c r="A1032" s="177"/>
    </row>
    <row r="1033" spans="1:1" ht="15.75" customHeight="1" x14ac:dyDescent="0.2">
      <c r="A1033" s="177"/>
    </row>
    <row r="1034" spans="1:1" ht="15.75" customHeight="1" x14ac:dyDescent="0.2">
      <c r="A1034" s="177"/>
    </row>
    <row r="1035" spans="1:1" ht="15.75" customHeight="1" x14ac:dyDescent="0.2">
      <c r="A1035" s="177"/>
    </row>
    <row r="1036" spans="1:1" ht="15.75" customHeight="1" x14ac:dyDescent="0.2">
      <c r="A1036" s="177"/>
    </row>
    <row r="1037" spans="1:1" ht="15.75" customHeight="1" x14ac:dyDescent="0.2">
      <c r="A1037" s="177"/>
    </row>
    <row r="1038" spans="1:1" ht="15.75" customHeight="1" x14ac:dyDescent="0.2">
      <c r="A1038" s="177"/>
    </row>
    <row r="1039" spans="1:1" ht="15.75" customHeight="1" x14ac:dyDescent="0.2">
      <c r="A1039" s="177"/>
    </row>
  </sheetData>
  <mergeCells count="3715">
    <mergeCell ref="B597:C597"/>
    <mergeCell ref="F597:G597"/>
    <mergeCell ref="H597:I597"/>
    <mergeCell ref="J597:P597"/>
    <mergeCell ref="Q597:S597"/>
    <mergeCell ref="U597:AA597"/>
    <mergeCell ref="B595:C595"/>
    <mergeCell ref="D595:E597"/>
    <mergeCell ref="F595:P595"/>
    <mergeCell ref="Q595:AA595"/>
    <mergeCell ref="B596:C596"/>
    <mergeCell ref="F596:G596"/>
    <mergeCell ref="H596:I596"/>
    <mergeCell ref="J596:P596"/>
    <mergeCell ref="Q596:S596"/>
    <mergeCell ref="U596:AA596"/>
    <mergeCell ref="Y593:AA593"/>
    <mergeCell ref="K594:N594"/>
    <mergeCell ref="O594:P594"/>
    <mergeCell ref="Q594:R594"/>
    <mergeCell ref="S594:U594"/>
    <mergeCell ref="W594:X594"/>
    <mergeCell ref="Y594:AA594"/>
    <mergeCell ref="O592:P592"/>
    <mergeCell ref="Q592:R592"/>
    <mergeCell ref="S592:U592"/>
    <mergeCell ref="W592:X592"/>
    <mergeCell ref="K593:N593"/>
    <mergeCell ref="O593:P593"/>
    <mergeCell ref="Q593:R593"/>
    <mergeCell ref="S593:U593"/>
    <mergeCell ref="W593:X593"/>
    <mergeCell ref="W590:X590"/>
    <mergeCell ref="Y590:AA592"/>
    <mergeCell ref="H591:I594"/>
    <mergeCell ref="J591:J594"/>
    <mergeCell ref="K591:N591"/>
    <mergeCell ref="O591:P591"/>
    <mergeCell ref="Q591:R591"/>
    <mergeCell ref="S591:U591"/>
    <mergeCell ref="W591:X591"/>
    <mergeCell ref="K592:N592"/>
    <mergeCell ref="W589:X589"/>
    <mergeCell ref="Y589:AA589"/>
    <mergeCell ref="B590:C594"/>
    <mergeCell ref="D590:E594"/>
    <mergeCell ref="F590:G594"/>
    <mergeCell ref="H590:I590"/>
    <mergeCell ref="K590:N590"/>
    <mergeCell ref="O590:P590"/>
    <mergeCell ref="Q590:R590"/>
    <mergeCell ref="S590:U590"/>
    <mergeCell ref="Y587:AA588"/>
    <mergeCell ref="K588:N588"/>
    <mergeCell ref="O588:P588"/>
    <mergeCell ref="Q588:R588"/>
    <mergeCell ref="S588:U588"/>
    <mergeCell ref="W588:X588"/>
    <mergeCell ref="B587:C589"/>
    <mergeCell ref="K587:N587"/>
    <mergeCell ref="O587:P587"/>
    <mergeCell ref="Q587:R587"/>
    <mergeCell ref="S587:U587"/>
    <mergeCell ref="W587:X587"/>
    <mergeCell ref="K589:N589"/>
    <mergeCell ref="O589:P589"/>
    <mergeCell ref="Q589:R589"/>
    <mergeCell ref="S589:U589"/>
    <mergeCell ref="S585:U585"/>
    <mergeCell ref="W585:X585"/>
    <mergeCell ref="Y585:AA586"/>
    <mergeCell ref="H586:I589"/>
    <mergeCell ref="J586:J589"/>
    <mergeCell ref="K586:N586"/>
    <mergeCell ref="O586:P586"/>
    <mergeCell ref="Q586:R586"/>
    <mergeCell ref="S586:U586"/>
    <mergeCell ref="W586:X586"/>
    <mergeCell ref="Q584:R584"/>
    <mergeCell ref="S584:U584"/>
    <mergeCell ref="W584:X584"/>
    <mergeCell ref="Y584:AA584"/>
    <mergeCell ref="D585:E589"/>
    <mergeCell ref="F585:G589"/>
    <mergeCell ref="H585:I585"/>
    <mergeCell ref="K585:N585"/>
    <mergeCell ref="O585:P585"/>
    <mergeCell ref="Q585:R585"/>
    <mergeCell ref="B584:C584"/>
    <mergeCell ref="D584:E584"/>
    <mergeCell ref="F584:G584"/>
    <mergeCell ref="H584:I584"/>
    <mergeCell ref="K584:N584"/>
    <mergeCell ref="O584:P584"/>
    <mergeCell ref="W581:X581"/>
    <mergeCell ref="Y581:AA581"/>
    <mergeCell ref="K582:N582"/>
    <mergeCell ref="O582:P582"/>
    <mergeCell ref="Q582:R582"/>
    <mergeCell ref="S582:U582"/>
    <mergeCell ref="W582:X582"/>
    <mergeCell ref="Y582:AA582"/>
    <mergeCell ref="Q580:R580"/>
    <mergeCell ref="S580:U580"/>
    <mergeCell ref="W580:X580"/>
    <mergeCell ref="Y580:AA580"/>
    <mergeCell ref="H581:I582"/>
    <mergeCell ref="J581:J582"/>
    <mergeCell ref="K581:N581"/>
    <mergeCell ref="O581:P581"/>
    <mergeCell ref="Q581:R581"/>
    <mergeCell ref="S581:U581"/>
    <mergeCell ref="B580:C580"/>
    <mergeCell ref="D580:E582"/>
    <mergeCell ref="F580:G582"/>
    <mergeCell ref="H580:I580"/>
    <mergeCell ref="K580:N580"/>
    <mergeCell ref="O580:P580"/>
    <mergeCell ref="S578:U578"/>
    <mergeCell ref="W578:X578"/>
    <mergeCell ref="Y578:AA578"/>
    <mergeCell ref="K579:N579"/>
    <mergeCell ref="O579:P579"/>
    <mergeCell ref="Q579:R579"/>
    <mergeCell ref="S579:U579"/>
    <mergeCell ref="W579:X579"/>
    <mergeCell ref="Y579:AA579"/>
    <mergeCell ref="S577:U577"/>
    <mergeCell ref="W577:X577"/>
    <mergeCell ref="Y577:AA577"/>
    <mergeCell ref="B578:B579"/>
    <mergeCell ref="C578:C579"/>
    <mergeCell ref="H578:I579"/>
    <mergeCell ref="J578:J579"/>
    <mergeCell ref="K578:N578"/>
    <mergeCell ref="O578:P578"/>
    <mergeCell ref="Q578:R578"/>
    <mergeCell ref="Q576:R576"/>
    <mergeCell ref="S576:U576"/>
    <mergeCell ref="W576:X576"/>
    <mergeCell ref="Y576:AA576"/>
    <mergeCell ref="D577:E579"/>
    <mergeCell ref="F577:G579"/>
    <mergeCell ref="H577:I577"/>
    <mergeCell ref="K577:N577"/>
    <mergeCell ref="O577:P577"/>
    <mergeCell ref="Q577:R577"/>
    <mergeCell ref="B576:C576"/>
    <mergeCell ref="D576:E576"/>
    <mergeCell ref="F576:G576"/>
    <mergeCell ref="H576:I576"/>
    <mergeCell ref="K576:N576"/>
    <mergeCell ref="O576:P576"/>
    <mergeCell ref="T573:U573"/>
    <mergeCell ref="W573:X573"/>
    <mergeCell ref="Z573:AA573"/>
    <mergeCell ref="H574:I574"/>
    <mergeCell ref="K574:L574"/>
    <mergeCell ref="N574:O574"/>
    <mergeCell ref="Q574:R574"/>
    <mergeCell ref="T574:U574"/>
    <mergeCell ref="W574:X574"/>
    <mergeCell ref="Z574:AA574"/>
    <mergeCell ref="B572:C574"/>
    <mergeCell ref="E573:E574"/>
    <mergeCell ref="H573:I573"/>
    <mergeCell ref="K573:L573"/>
    <mergeCell ref="N573:O573"/>
    <mergeCell ref="Q573:R573"/>
    <mergeCell ref="T570:U570"/>
    <mergeCell ref="W570:X570"/>
    <mergeCell ref="Z570:AA570"/>
    <mergeCell ref="H571:I571"/>
    <mergeCell ref="K571:L571"/>
    <mergeCell ref="N571:O571"/>
    <mergeCell ref="Q571:R571"/>
    <mergeCell ref="T571:U571"/>
    <mergeCell ref="W571:X571"/>
    <mergeCell ref="Z571:AA571"/>
    <mergeCell ref="D570:D574"/>
    <mergeCell ref="E570:E571"/>
    <mergeCell ref="H570:I570"/>
    <mergeCell ref="K570:L570"/>
    <mergeCell ref="N570:O570"/>
    <mergeCell ref="Q570:R570"/>
    <mergeCell ref="T567:U567"/>
    <mergeCell ref="W567:X567"/>
    <mergeCell ref="Z567:AA567"/>
    <mergeCell ref="H568:I568"/>
    <mergeCell ref="K568:L568"/>
    <mergeCell ref="N568:O568"/>
    <mergeCell ref="Q568:R568"/>
    <mergeCell ref="T568:U568"/>
    <mergeCell ref="W568:X568"/>
    <mergeCell ref="Z568:AA568"/>
    <mergeCell ref="B566:B568"/>
    <mergeCell ref="C566:C568"/>
    <mergeCell ref="E567:E568"/>
    <mergeCell ref="H567:I567"/>
    <mergeCell ref="K567:L567"/>
    <mergeCell ref="N567:O567"/>
    <mergeCell ref="T564:U564"/>
    <mergeCell ref="W564:X564"/>
    <mergeCell ref="Z564:AA564"/>
    <mergeCell ref="H565:I565"/>
    <mergeCell ref="K565:L565"/>
    <mergeCell ref="N565:O565"/>
    <mergeCell ref="Q565:R565"/>
    <mergeCell ref="T565:U565"/>
    <mergeCell ref="W565:X565"/>
    <mergeCell ref="Z565:AA565"/>
    <mergeCell ref="D564:D568"/>
    <mergeCell ref="E564:E565"/>
    <mergeCell ref="H564:I564"/>
    <mergeCell ref="K564:L564"/>
    <mergeCell ref="N564:O564"/>
    <mergeCell ref="Q564:R564"/>
    <mergeCell ref="Q567:R567"/>
    <mergeCell ref="B562:C562"/>
    <mergeCell ref="F562:G562"/>
    <mergeCell ref="H562:I562"/>
    <mergeCell ref="J562:P562"/>
    <mergeCell ref="Q562:S562"/>
    <mergeCell ref="U562:AA562"/>
    <mergeCell ref="B560:C560"/>
    <mergeCell ref="D560:E562"/>
    <mergeCell ref="F560:P560"/>
    <mergeCell ref="Q560:AA560"/>
    <mergeCell ref="B561:C561"/>
    <mergeCell ref="F561:G561"/>
    <mergeCell ref="H561:I561"/>
    <mergeCell ref="J561:P561"/>
    <mergeCell ref="Q561:S561"/>
    <mergeCell ref="U561:AA561"/>
    <mergeCell ref="Y558:AA558"/>
    <mergeCell ref="K559:N559"/>
    <mergeCell ref="O559:P559"/>
    <mergeCell ref="Q559:R559"/>
    <mergeCell ref="S559:U559"/>
    <mergeCell ref="W559:X559"/>
    <mergeCell ref="Y559:AA559"/>
    <mergeCell ref="O557:P557"/>
    <mergeCell ref="Q557:R557"/>
    <mergeCell ref="S557:U557"/>
    <mergeCell ref="W557:X557"/>
    <mergeCell ref="K558:N558"/>
    <mergeCell ref="O558:P558"/>
    <mergeCell ref="Q558:R558"/>
    <mergeCell ref="S558:U558"/>
    <mergeCell ref="W558:X558"/>
    <mergeCell ref="W555:X555"/>
    <mergeCell ref="Y555:AA557"/>
    <mergeCell ref="H556:I559"/>
    <mergeCell ref="J556:J559"/>
    <mergeCell ref="K556:N556"/>
    <mergeCell ref="O556:P556"/>
    <mergeCell ref="Q556:R556"/>
    <mergeCell ref="S556:U556"/>
    <mergeCell ref="W556:X556"/>
    <mergeCell ref="K557:N557"/>
    <mergeCell ref="W554:X554"/>
    <mergeCell ref="Y554:AA554"/>
    <mergeCell ref="B555:C559"/>
    <mergeCell ref="D555:E559"/>
    <mergeCell ref="F555:G559"/>
    <mergeCell ref="H555:I555"/>
    <mergeCell ref="K555:N555"/>
    <mergeCell ref="O555:P555"/>
    <mergeCell ref="Q555:R555"/>
    <mergeCell ref="S555:U555"/>
    <mergeCell ref="Y552:AA553"/>
    <mergeCell ref="K553:N553"/>
    <mergeCell ref="O553:P553"/>
    <mergeCell ref="Q553:R553"/>
    <mergeCell ref="S553:U553"/>
    <mergeCell ref="W553:X553"/>
    <mergeCell ref="B552:C554"/>
    <mergeCell ref="K552:N552"/>
    <mergeCell ref="O552:P552"/>
    <mergeCell ref="Q552:R552"/>
    <mergeCell ref="S552:U552"/>
    <mergeCell ref="W552:X552"/>
    <mergeCell ref="K554:N554"/>
    <mergeCell ref="O554:P554"/>
    <mergeCell ref="Q554:R554"/>
    <mergeCell ref="S554:U554"/>
    <mergeCell ref="S550:U550"/>
    <mergeCell ref="W550:X550"/>
    <mergeCell ref="Y550:AA551"/>
    <mergeCell ref="H551:I554"/>
    <mergeCell ref="J551:J554"/>
    <mergeCell ref="K551:N551"/>
    <mergeCell ref="O551:P551"/>
    <mergeCell ref="Q551:R551"/>
    <mergeCell ref="S551:U551"/>
    <mergeCell ref="W551:X551"/>
    <mergeCell ref="Q549:R549"/>
    <mergeCell ref="S549:U549"/>
    <mergeCell ref="W549:X549"/>
    <mergeCell ref="Y549:AA549"/>
    <mergeCell ref="D550:E554"/>
    <mergeCell ref="F550:G554"/>
    <mergeCell ref="H550:I550"/>
    <mergeCell ref="K550:N550"/>
    <mergeCell ref="O550:P550"/>
    <mergeCell ref="Q550:R550"/>
    <mergeCell ref="B549:C549"/>
    <mergeCell ref="D549:E549"/>
    <mergeCell ref="F549:G549"/>
    <mergeCell ref="H549:I549"/>
    <mergeCell ref="K549:N549"/>
    <mergeCell ref="O549:P549"/>
    <mergeCell ref="W546:X546"/>
    <mergeCell ref="Y546:AA546"/>
    <mergeCell ref="K547:N547"/>
    <mergeCell ref="O547:P547"/>
    <mergeCell ref="Q547:R547"/>
    <mergeCell ref="S547:U547"/>
    <mergeCell ref="W547:X547"/>
    <mergeCell ref="Y547:AA547"/>
    <mergeCell ref="Q545:R545"/>
    <mergeCell ref="S545:U545"/>
    <mergeCell ref="W545:X545"/>
    <mergeCell ref="Y545:AA545"/>
    <mergeCell ref="H546:I547"/>
    <mergeCell ref="J546:J547"/>
    <mergeCell ref="K546:N546"/>
    <mergeCell ref="O546:P546"/>
    <mergeCell ref="Q546:R546"/>
    <mergeCell ref="S546:U546"/>
    <mergeCell ref="B545:C545"/>
    <mergeCell ref="D545:E547"/>
    <mergeCell ref="F545:G547"/>
    <mergeCell ref="H545:I545"/>
    <mergeCell ref="K545:N545"/>
    <mergeCell ref="O545:P545"/>
    <mergeCell ref="S543:U543"/>
    <mergeCell ref="W543:X543"/>
    <mergeCell ref="Y543:AA543"/>
    <mergeCell ref="K544:N544"/>
    <mergeCell ref="O544:P544"/>
    <mergeCell ref="Q544:R544"/>
    <mergeCell ref="S544:U544"/>
    <mergeCell ref="W544:X544"/>
    <mergeCell ref="Y544:AA544"/>
    <mergeCell ref="S542:U542"/>
    <mergeCell ref="W542:X542"/>
    <mergeCell ref="Y542:AA542"/>
    <mergeCell ref="B543:B544"/>
    <mergeCell ref="C543:C544"/>
    <mergeCell ref="H543:I544"/>
    <mergeCell ref="J543:J544"/>
    <mergeCell ref="K543:N543"/>
    <mergeCell ref="O543:P543"/>
    <mergeCell ref="Q543:R543"/>
    <mergeCell ref="Q541:R541"/>
    <mergeCell ref="S541:U541"/>
    <mergeCell ref="W541:X541"/>
    <mergeCell ref="Y541:AA541"/>
    <mergeCell ref="D542:E544"/>
    <mergeCell ref="F542:G544"/>
    <mergeCell ref="H542:I542"/>
    <mergeCell ref="K542:N542"/>
    <mergeCell ref="O542:P542"/>
    <mergeCell ref="Q542:R542"/>
    <mergeCell ref="B541:C541"/>
    <mergeCell ref="D541:E541"/>
    <mergeCell ref="F541:G541"/>
    <mergeCell ref="H541:I541"/>
    <mergeCell ref="K541:N541"/>
    <mergeCell ref="O541:P541"/>
    <mergeCell ref="T538:U538"/>
    <mergeCell ref="W538:X538"/>
    <mergeCell ref="Z538:AA538"/>
    <mergeCell ref="H539:I539"/>
    <mergeCell ref="K539:L539"/>
    <mergeCell ref="N539:O539"/>
    <mergeCell ref="Q539:R539"/>
    <mergeCell ref="T539:U539"/>
    <mergeCell ref="W539:X539"/>
    <mergeCell ref="Z539:AA539"/>
    <mergeCell ref="B537:C539"/>
    <mergeCell ref="E538:E539"/>
    <mergeCell ref="H538:I538"/>
    <mergeCell ref="K538:L538"/>
    <mergeCell ref="N538:O538"/>
    <mergeCell ref="Q538:R538"/>
    <mergeCell ref="T535:U535"/>
    <mergeCell ref="W535:X535"/>
    <mergeCell ref="Z535:AA535"/>
    <mergeCell ref="H536:I536"/>
    <mergeCell ref="K536:L536"/>
    <mergeCell ref="N536:O536"/>
    <mergeCell ref="Q536:R536"/>
    <mergeCell ref="T536:U536"/>
    <mergeCell ref="W536:X536"/>
    <mergeCell ref="Z536:AA536"/>
    <mergeCell ref="D535:D539"/>
    <mergeCell ref="E535:E536"/>
    <mergeCell ref="H535:I535"/>
    <mergeCell ref="K535:L535"/>
    <mergeCell ref="N535:O535"/>
    <mergeCell ref="Q535:R535"/>
    <mergeCell ref="T532:U532"/>
    <mergeCell ref="W532:X532"/>
    <mergeCell ref="Z532:AA532"/>
    <mergeCell ref="H533:I533"/>
    <mergeCell ref="K533:L533"/>
    <mergeCell ref="N533:O533"/>
    <mergeCell ref="Q533:R533"/>
    <mergeCell ref="T533:U533"/>
    <mergeCell ref="W533:X533"/>
    <mergeCell ref="Z533:AA533"/>
    <mergeCell ref="B531:B533"/>
    <mergeCell ref="C531:C533"/>
    <mergeCell ref="E532:E533"/>
    <mergeCell ref="H532:I532"/>
    <mergeCell ref="K532:L532"/>
    <mergeCell ref="N532:O532"/>
    <mergeCell ref="T529:U529"/>
    <mergeCell ref="W529:X529"/>
    <mergeCell ref="Z529:AA529"/>
    <mergeCell ref="H530:I530"/>
    <mergeCell ref="K530:L530"/>
    <mergeCell ref="N530:O530"/>
    <mergeCell ref="Q530:R530"/>
    <mergeCell ref="T530:U530"/>
    <mergeCell ref="W530:X530"/>
    <mergeCell ref="Z530:AA530"/>
    <mergeCell ref="D529:D533"/>
    <mergeCell ref="E529:E530"/>
    <mergeCell ref="H529:I529"/>
    <mergeCell ref="K529:L529"/>
    <mergeCell ref="N529:O529"/>
    <mergeCell ref="Q529:R529"/>
    <mergeCell ref="Q532:R532"/>
    <mergeCell ref="B527:C527"/>
    <mergeCell ref="F527:G527"/>
    <mergeCell ref="H527:I527"/>
    <mergeCell ref="J527:P527"/>
    <mergeCell ref="Q527:S527"/>
    <mergeCell ref="U527:AA527"/>
    <mergeCell ref="B525:C525"/>
    <mergeCell ref="D525:E527"/>
    <mergeCell ref="F525:P525"/>
    <mergeCell ref="Q525:AA525"/>
    <mergeCell ref="B526:C526"/>
    <mergeCell ref="F526:G526"/>
    <mergeCell ref="H526:I526"/>
    <mergeCell ref="J526:P526"/>
    <mergeCell ref="Q526:S526"/>
    <mergeCell ref="U526:AA526"/>
    <mergeCell ref="Y523:AA523"/>
    <mergeCell ref="K524:N524"/>
    <mergeCell ref="O524:P524"/>
    <mergeCell ref="Q524:R524"/>
    <mergeCell ref="S524:U524"/>
    <mergeCell ref="W524:X524"/>
    <mergeCell ref="Y524:AA524"/>
    <mergeCell ref="O522:P522"/>
    <mergeCell ref="Q522:R522"/>
    <mergeCell ref="S522:U522"/>
    <mergeCell ref="W522:X522"/>
    <mergeCell ref="K523:N523"/>
    <mergeCell ref="O523:P523"/>
    <mergeCell ref="Q523:R523"/>
    <mergeCell ref="S523:U523"/>
    <mergeCell ref="W523:X523"/>
    <mergeCell ref="W520:X520"/>
    <mergeCell ref="Y520:AA522"/>
    <mergeCell ref="H521:I524"/>
    <mergeCell ref="J521:J524"/>
    <mergeCell ref="K521:N521"/>
    <mergeCell ref="O521:P521"/>
    <mergeCell ref="Q521:R521"/>
    <mergeCell ref="S521:U521"/>
    <mergeCell ref="W521:X521"/>
    <mergeCell ref="K522:N522"/>
    <mergeCell ref="W519:X519"/>
    <mergeCell ref="Y519:AA519"/>
    <mergeCell ref="B520:C524"/>
    <mergeCell ref="D520:E524"/>
    <mergeCell ref="F520:G524"/>
    <mergeCell ref="H520:I520"/>
    <mergeCell ref="K520:N520"/>
    <mergeCell ref="O520:P520"/>
    <mergeCell ref="Q520:R520"/>
    <mergeCell ref="S520:U520"/>
    <mergeCell ref="Y517:AA518"/>
    <mergeCell ref="K518:N518"/>
    <mergeCell ref="O518:P518"/>
    <mergeCell ref="Q518:R518"/>
    <mergeCell ref="S518:U518"/>
    <mergeCell ref="W518:X518"/>
    <mergeCell ref="B517:C519"/>
    <mergeCell ref="K517:N517"/>
    <mergeCell ref="O517:P517"/>
    <mergeCell ref="Q517:R517"/>
    <mergeCell ref="S517:U517"/>
    <mergeCell ref="W517:X517"/>
    <mergeCell ref="K519:N519"/>
    <mergeCell ref="O519:P519"/>
    <mergeCell ref="Q519:R519"/>
    <mergeCell ref="S519:U519"/>
    <mergeCell ref="S515:U515"/>
    <mergeCell ref="W515:X515"/>
    <mergeCell ref="Y515:AA516"/>
    <mergeCell ref="H516:I519"/>
    <mergeCell ref="J516:J519"/>
    <mergeCell ref="K516:N516"/>
    <mergeCell ref="O516:P516"/>
    <mergeCell ref="Q516:R516"/>
    <mergeCell ref="S516:U516"/>
    <mergeCell ref="W516:X516"/>
    <mergeCell ref="Q514:R514"/>
    <mergeCell ref="S514:U514"/>
    <mergeCell ref="W514:X514"/>
    <mergeCell ref="Y514:AA514"/>
    <mergeCell ref="D515:E519"/>
    <mergeCell ref="F515:G519"/>
    <mergeCell ref="H515:I515"/>
    <mergeCell ref="K515:N515"/>
    <mergeCell ref="O515:P515"/>
    <mergeCell ref="Q515:R515"/>
    <mergeCell ref="B514:C514"/>
    <mergeCell ref="D514:E514"/>
    <mergeCell ref="F514:G514"/>
    <mergeCell ref="H514:I514"/>
    <mergeCell ref="K514:N514"/>
    <mergeCell ref="O514:P514"/>
    <mergeCell ref="W511:X511"/>
    <mergeCell ref="Y511:AA511"/>
    <mergeCell ref="K512:N512"/>
    <mergeCell ref="O512:P512"/>
    <mergeCell ref="Q512:R512"/>
    <mergeCell ref="S512:U512"/>
    <mergeCell ref="W512:X512"/>
    <mergeCell ref="Y512:AA512"/>
    <mergeCell ref="Q510:R510"/>
    <mergeCell ref="S510:U510"/>
    <mergeCell ref="W510:X510"/>
    <mergeCell ref="Y510:AA510"/>
    <mergeCell ref="H511:I512"/>
    <mergeCell ref="J511:J512"/>
    <mergeCell ref="K511:N511"/>
    <mergeCell ref="O511:P511"/>
    <mergeCell ref="Q511:R511"/>
    <mergeCell ref="S511:U511"/>
    <mergeCell ref="B510:C510"/>
    <mergeCell ref="D510:E512"/>
    <mergeCell ref="F510:G512"/>
    <mergeCell ref="H510:I510"/>
    <mergeCell ref="K510:N510"/>
    <mergeCell ref="O510:P510"/>
    <mergeCell ref="S508:U508"/>
    <mergeCell ref="W508:X508"/>
    <mergeCell ref="Y508:AA508"/>
    <mergeCell ref="K509:N509"/>
    <mergeCell ref="O509:P509"/>
    <mergeCell ref="Q509:R509"/>
    <mergeCell ref="S509:U509"/>
    <mergeCell ref="W509:X509"/>
    <mergeCell ref="Y509:AA509"/>
    <mergeCell ref="S507:U507"/>
    <mergeCell ref="W507:X507"/>
    <mergeCell ref="Y507:AA507"/>
    <mergeCell ref="B508:B509"/>
    <mergeCell ref="C508:C509"/>
    <mergeCell ref="H508:I509"/>
    <mergeCell ref="J508:J509"/>
    <mergeCell ref="K508:N508"/>
    <mergeCell ref="O508:P508"/>
    <mergeCell ref="Q508:R508"/>
    <mergeCell ref="Q506:R506"/>
    <mergeCell ref="S506:U506"/>
    <mergeCell ref="W506:X506"/>
    <mergeCell ref="Y506:AA506"/>
    <mergeCell ref="D507:E509"/>
    <mergeCell ref="F507:G509"/>
    <mergeCell ref="H507:I507"/>
    <mergeCell ref="K507:N507"/>
    <mergeCell ref="O507:P507"/>
    <mergeCell ref="Q507:R507"/>
    <mergeCell ref="B506:C506"/>
    <mergeCell ref="D506:E506"/>
    <mergeCell ref="F506:G506"/>
    <mergeCell ref="H506:I506"/>
    <mergeCell ref="K506:N506"/>
    <mergeCell ref="O506:P506"/>
    <mergeCell ref="T503:U503"/>
    <mergeCell ref="W503:X503"/>
    <mergeCell ref="Z503:AA503"/>
    <mergeCell ref="H504:I504"/>
    <mergeCell ref="K504:L504"/>
    <mergeCell ref="N504:O504"/>
    <mergeCell ref="Q504:R504"/>
    <mergeCell ref="T504:U504"/>
    <mergeCell ref="W504:X504"/>
    <mergeCell ref="Z504:AA504"/>
    <mergeCell ref="B502:C504"/>
    <mergeCell ref="E503:E504"/>
    <mergeCell ref="H503:I503"/>
    <mergeCell ref="K503:L503"/>
    <mergeCell ref="N503:O503"/>
    <mergeCell ref="Q503:R503"/>
    <mergeCell ref="T500:U500"/>
    <mergeCell ref="W500:X500"/>
    <mergeCell ref="Z500:AA500"/>
    <mergeCell ref="H501:I501"/>
    <mergeCell ref="K501:L501"/>
    <mergeCell ref="N501:O501"/>
    <mergeCell ref="Q501:R501"/>
    <mergeCell ref="T501:U501"/>
    <mergeCell ref="W501:X501"/>
    <mergeCell ref="Z501:AA501"/>
    <mergeCell ref="D500:D504"/>
    <mergeCell ref="E500:E501"/>
    <mergeCell ref="H500:I500"/>
    <mergeCell ref="K500:L500"/>
    <mergeCell ref="N500:O500"/>
    <mergeCell ref="Q500:R500"/>
    <mergeCell ref="T497:U497"/>
    <mergeCell ref="W497:X497"/>
    <mergeCell ref="Z497:AA497"/>
    <mergeCell ref="H498:I498"/>
    <mergeCell ref="K498:L498"/>
    <mergeCell ref="N498:O498"/>
    <mergeCell ref="Q498:R498"/>
    <mergeCell ref="T498:U498"/>
    <mergeCell ref="W498:X498"/>
    <mergeCell ref="Z498:AA498"/>
    <mergeCell ref="B496:B498"/>
    <mergeCell ref="C496:C498"/>
    <mergeCell ref="E497:E498"/>
    <mergeCell ref="H497:I497"/>
    <mergeCell ref="K497:L497"/>
    <mergeCell ref="N497:O497"/>
    <mergeCell ref="T494:U494"/>
    <mergeCell ref="W494:X494"/>
    <mergeCell ref="Z494:AA494"/>
    <mergeCell ref="H495:I495"/>
    <mergeCell ref="K495:L495"/>
    <mergeCell ref="N495:O495"/>
    <mergeCell ref="Q495:R495"/>
    <mergeCell ref="T495:U495"/>
    <mergeCell ref="W495:X495"/>
    <mergeCell ref="Z495:AA495"/>
    <mergeCell ref="D494:D498"/>
    <mergeCell ref="E494:E495"/>
    <mergeCell ref="H494:I494"/>
    <mergeCell ref="K494:L494"/>
    <mergeCell ref="N494:O494"/>
    <mergeCell ref="Q494:R494"/>
    <mergeCell ref="Q497:R497"/>
    <mergeCell ref="B492:C492"/>
    <mergeCell ref="F492:G492"/>
    <mergeCell ref="H492:I492"/>
    <mergeCell ref="J492:P492"/>
    <mergeCell ref="Q492:S492"/>
    <mergeCell ref="U492:AA492"/>
    <mergeCell ref="B490:C490"/>
    <mergeCell ref="D490:E492"/>
    <mergeCell ref="F490:P490"/>
    <mergeCell ref="Q490:AA490"/>
    <mergeCell ref="B491:C491"/>
    <mergeCell ref="F491:G491"/>
    <mergeCell ref="H491:I491"/>
    <mergeCell ref="J491:P491"/>
    <mergeCell ref="Q491:S491"/>
    <mergeCell ref="U491:AA491"/>
    <mergeCell ref="Y488:AA488"/>
    <mergeCell ref="K489:N489"/>
    <mergeCell ref="O489:P489"/>
    <mergeCell ref="Q489:R489"/>
    <mergeCell ref="S489:U489"/>
    <mergeCell ref="W489:X489"/>
    <mergeCell ref="Y489:AA489"/>
    <mergeCell ref="O487:P487"/>
    <mergeCell ref="Q487:R487"/>
    <mergeCell ref="S487:U487"/>
    <mergeCell ref="W487:X487"/>
    <mergeCell ref="K488:N488"/>
    <mergeCell ref="O488:P488"/>
    <mergeCell ref="Q488:R488"/>
    <mergeCell ref="S488:U488"/>
    <mergeCell ref="W488:X488"/>
    <mergeCell ref="W485:X485"/>
    <mergeCell ref="Y485:AA487"/>
    <mergeCell ref="H486:I489"/>
    <mergeCell ref="J486:J489"/>
    <mergeCell ref="K486:N486"/>
    <mergeCell ref="O486:P486"/>
    <mergeCell ref="Q486:R486"/>
    <mergeCell ref="S486:U486"/>
    <mergeCell ref="W486:X486"/>
    <mergeCell ref="K487:N487"/>
    <mergeCell ref="W484:X484"/>
    <mergeCell ref="Y484:AA484"/>
    <mergeCell ref="B485:C489"/>
    <mergeCell ref="D485:E489"/>
    <mergeCell ref="F485:G489"/>
    <mergeCell ref="H485:I485"/>
    <mergeCell ref="K485:N485"/>
    <mergeCell ref="O485:P485"/>
    <mergeCell ref="Q485:R485"/>
    <mergeCell ref="S485:U485"/>
    <mergeCell ref="Y482:AA483"/>
    <mergeCell ref="K483:N483"/>
    <mergeCell ref="O483:P483"/>
    <mergeCell ref="Q483:R483"/>
    <mergeCell ref="S483:U483"/>
    <mergeCell ref="W483:X483"/>
    <mergeCell ref="B482:C484"/>
    <mergeCell ref="K482:N482"/>
    <mergeCell ref="O482:P482"/>
    <mergeCell ref="Q482:R482"/>
    <mergeCell ref="S482:U482"/>
    <mergeCell ref="W482:X482"/>
    <mergeCell ref="K484:N484"/>
    <mergeCell ref="O484:P484"/>
    <mergeCell ref="Q484:R484"/>
    <mergeCell ref="S484:U484"/>
    <mergeCell ref="S480:U480"/>
    <mergeCell ref="W480:X480"/>
    <mergeCell ref="Y480:AA481"/>
    <mergeCell ref="H481:I484"/>
    <mergeCell ref="J481:J484"/>
    <mergeCell ref="K481:N481"/>
    <mergeCell ref="O481:P481"/>
    <mergeCell ref="Q481:R481"/>
    <mergeCell ref="S481:U481"/>
    <mergeCell ref="W481:X481"/>
    <mergeCell ref="Q479:R479"/>
    <mergeCell ref="S479:U479"/>
    <mergeCell ref="W479:X479"/>
    <mergeCell ref="Y479:AA479"/>
    <mergeCell ref="D480:E484"/>
    <mergeCell ref="F480:G484"/>
    <mergeCell ref="H480:I480"/>
    <mergeCell ref="K480:N480"/>
    <mergeCell ref="O480:P480"/>
    <mergeCell ref="Q480:R480"/>
    <mergeCell ref="B479:C479"/>
    <mergeCell ref="D479:E479"/>
    <mergeCell ref="F479:G479"/>
    <mergeCell ref="H479:I479"/>
    <mergeCell ref="K479:N479"/>
    <mergeCell ref="O479:P479"/>
    <mergeCell ref="W476:X476"/>
    <mergeCell ref="Y476:AA476"/>
    <mergeCell ref="K477:N477"/>
    <mergeCell ref="O477:P477"/>
    <mergeCell ref="Q477:R477"/>
    <mergeCell ref="S477:U477"/>
    <mergeCell ref="W477:X477"/>
    <mergeCell ref="Y477:AA477"/>
    <mergeCell ref="Q475:R475"/>
    <mergeCell ref="S475:U475"/>
    <mergeCell ref="W475:X475"/>
    <mergeCell ref="Y475:AA475"/>
    <mergeCell ref="H476:I477"/>
    <mergeCell ref="J476:J477"/>
    <mergeCell ref="K476:N476"/>
    <mergeCell ref="O476:P476"/>
    <mergeCell ref="Q476:R476"/>
    <mergeCell ref="S476:U476"/>
    <mergeCell ref="B475:C475"/>
    <mergeCell ref="D475:E477"/>
    <mergeCell ref="F475:G477"/>
    <mergeCell ref="H475:I475"/>
    <mergeCell ref="K475:N475"/>
    <mergeCell ref="O475:P475"/>
    <mergeCell ref="S473:U473"/>
    <mergeCell ref="W473:X473"/>
    <mergeCell ref="Y473:AA473"/>
    <mergeCell ref="K474:N474"/>
    <mergeCell ref="O474:P474"/>
    <mergeCell ref="Q474:R474"/>
    <mergeCell ref="S474:U474"/>
    <mergeCell ref="W474:X474"/>
    <mergeCell ref="Y474:AA474"/>
    <mergeCell ref="S472:U472"/>
    <mergeCell ref="W472:X472"/>
    <mergeCell ref="Y472:AA472"/>
    <mergeCell ref="B473:B474"/>
    <mergeCell ref="C473:C474"/>
    <mergeCell ref="H473:I474"/>
    <mergeCell ref="J473:J474"/>
    <mergeCell ref="K473:N473"/>
    <mergeCell ref="O473:P473"/>
    <mergeCell ref="Q473:R473"/>
    <mergeCell ref="Q471:R471"/>
    <mergeCell ref="S471:U471"/>
    <mergeCell ref="W471:X471"/>
    <mergeCell ref="Y471:AA471"/>
    <mergeCell ref="D472:E474"/>
    <mergeCell ref="F472:G474"/>
    <mergeCell ref="H472:I472"/>
    <mergeCell ref="K472:N472"/>
    <mergeCell ref="O472:P472"/>
    <mergeCell ref="Q472:R472"/>
    <mergeCell ref="B471:C471"/>
    <mergeCell ref="D471:E471"/>
    <mergeCell ref="F471:G471"/>
    <mergeCell ref="H471:I471"/>
    <mergeCell ref="K471:N471"/>
    <mergeCell ref="O471:P471"/>
    <mergeCell ref="T468:U468"/>
    <mergeCell ref="W468:X468"/>
    <mergeCell ref="Z468:AA468"/>
    <mergeCell ref="H469:I469"/>
    <mergeCell ref="K469:L469"/>
    <mergeCell ref="N469:O469"/>
    <mergeCell ref="Q469:R469"/>
    <mergeCell ref="T469:U469"/>
    <mergeCell ref="W469:X469"/>
    <mergeCell ref="Z469:AA469"/>
    <mergeCell ref="B467:C469"/>
    <mergeCell ref="E468:E469"/>
    <mergeCell ref="H468:I468"/>
    <mergeCell ref="K468:L468"/>
    <mergeCell ref="N468:O468"/>
    <mergeCell ref="Q468:R468"/>
    <mergeCell ref="T465:U465"/>
    <mergeCell ref="W465:X465"/>
    <mergeCell ref="Z465:AA465"/>
    <mergeCell ref="H466:I466"/>
    <mergeCell ref="K466:L466"/>
    <mergeCell ref="N466:O466"/>
    <mergeCell ref="Q466:R466"/>
    <mergeCell ref="T466:U466"/>
    <mergeCell ref="W466:X466"/>
    <mergeCell ref="Z466:AA466"/>
    <mergeCell ref="D465:D469"/>
    <mergeCell ref="E465:E466"/>
    <mergeCell ref="H465:I465"/>
    <mergeCell ref="K465:L465"/>
    <mergeCell ref="N465:O465"/>
    <mergeCell ref="Q465:R465"/>
    <mergeCell ref="T462:U462"/>
    <mergeCell ref="W462:X462"/>
    <mergeCell ref="Z462:AA462"/>
    <mergeCell ref="H463:I463"/>
    <mergeCell ref="K463:L463"/>
    <mergeCell ref="N463:O463"/>
    <mergeCell ref="Q463:R463"/>
    <mergeCell ref="T463:U463"/>
    <mergeCell ref="W463:X463"/>
    <mergeCell ref="Z463:AA463"/>
    <mergeCell ref="B461:B463"/>
    <mergeCell ref="C461:C463"/>
    <mergeCell ref="E462:E463"/>
    <mergeCell ref="H462:I462"/>
    <mergeCell ref="K462:L462"/>
    <mergeCell ref="N462:O462"/>
    <mergeCell ref="T459:U459"/>
    <mergeCell ref="W459:X459"/>
    <mergeCell ref="Z459:AA459"/>
    <mergeCell ref="H460:I460"/>
    <mergeCell ref="K460:L460"/>
    <mergeCell ref="N460:O460"/>
    <mergeCell ref="Q460:R460"/>
    <mergeCell ref="T460:U460"/>
    <mergeCell ref="W460:X460"/>
    <mergeCell ref="Z460:AA460"/>
    <mergeCell ref="D459:D463"/>
    <mergeCell ref="E459:E460"/>
    <mergeCell ref="H459:I459"/>
    <mergeCell ref="K459:L459"/>
    <mergeCell ref="N459:O459"/>
    <mergeCell ref="Q459:R459"/>
    <mergeCell ref="Q462:R462"/>
    <mergeCell ref="B457:C457"/>
    <mergeCell ref="F457:G457"/>
    <mergeCell ref="H457:I457"/>
    <mergeCell ref="J457:P457"/>
    <mergeCell ref="Q457:S457"/>
    <mergeCell ref="U457:AA457"/>
    <mergeCell ref="B455:C455"/>
    <mergeCell ref="D455:E457"/>
    <mergeCell ref="F455:P455"/>
    <mergeCell ref="Q455:AA455"/>
    <mergeCell ref="B456:C456"/>
    <mergeCell ref="F456:G456"/>
    <mergeCell ref="H456:I456"/>
    <mergeCell ref="J456:P456"/>
    <mergeCell ref="Q456:S456"/>
    <mergeCell ref="U456:AA456"/>
    <mergeCell ref="Y453:AA453"/>
    <mergeCell ref="K454:N454"/>
    <mergeCell ref="O454:P454"/>
    <mergeCell ref="Q454:R454"/>
    <mergeCell ref="S454:U454"/>
    <mergeCell ref="W454:X454"/>
    <mergeCell ref="Y454:AA454"/>
    <mergeCell ref="O452:P452"/>
    <mergeCell ref="Q452:R452"/>
    <mergeCell ref="S452:U452"/>
    <mergeCell ref="W452:X452"/>
    <mergeCell ref="K453:N453"/>
    <mergeCell ref="O453:P453"/>
    <mergeCell ref="Q453:R453"/>
    <mergeCell ref="S453:U453"/>
    <mergeCell ref="W453:X453"/>
    <mergeCell ref="W450:X450"/>
    <mergeCell ref="Y450:AA452"/>
    <mergeCell ref="H451:I454"/>
    <mergeCell ref="J451:J454"/>
    <mergeCell ref="K451:N451"/>
    <mergeCell ref="O451:P451"/>
    <mergeCell ref="Q451:R451"/>
    <mergeCell ref="S451:U451"/>
    <mergeCell ref="W451:X451"/>
    <mergeCell ref="K452:N452"/>
    <mergeCell ref="W449:X449"/>
    <mergeCell ref="Y449:AA449"/>
    <mergeCell ref="B450:C454"/>
    <mergeCell ref="D450:E454"/>
    <mergeCell ref="F450:G454"/>
    <mergeCell ref="H450:I450"/>
    <mergeCell ref="K450:N450"/>
    <mergeCell ref="O450:P450"/>
    <mergeCell ref="Q450:R450"/>
    <mergeCell ref="S450:U450"/>
    <mergeCell ref="Y447:AA448"/>
    <mergeCell ref="K448:N448"/>
    <mergeCell ref="O448:P448"/>
    <mergeCell ref="Q448:R448"/>
    <mergeCell ref="S448:U448"/>
    <mergeCell ref="W448:X448"/>
    <mergeCell ref="B447:C449"/>
    <mergeCell ref="K447:N447"/>
    <mergeCell ref="O447:P447"/>
    <mergeCell ref="Q447:R447"/>
    <mergeCell ref="S447:U447"/>
    <mergeCell ref="W447:X447"/>
    <mergeCell ref="K449:N449"/>
    <mergeCell ref="O449:P449"/>
    <mergeCell ref="Q449:R449"/>
    <mergeCell ref="S449:U449"/>
    <mergeCell ref="S445:U445"/>
    <mergeCell ref="W445:X445"/>
    <mergeCell ref="Y445:AA446"/>
    <mergeCell ref="H446:I449"/>
    <mergeCell ref="J446:J449"/>
    <mergeCell ref="K446:N446"/>
    <mergeCell ref="O446:P446"/>
    <mergeCell ref="Q446:R446"/>
    <mergeCell ref="S446:U446"/>
    <mergeCell ref="W446:X446"/>
    <mergeCell ref="Q444:R444"/>
    <mergeCell ref="S444:U444"/>
    <mergeCell ref="W444:X444"/>
    <mergeCell ref="Y444:AA444"/>
    <mergeCell ref="D445:E449"/>
    <mergeCell ref="F445:G449"/>
    <mergeCell ref="H445:I445"/>
    <mergeCell ref="K445:N445"/>
    <mergeCell ref="O445:P445"/>
    <mergeCell ref="Q445:R445"/>
    <mergeCell ref="B444:C444"/>
    <mergeCell ref="D444:E444"/>
    <mergeCell ref="F444:G444"/>
    <mergeCell ref="H444:I444"/>
    <mergeCell ref="K444:N444"/>
    <mergeCell ref="O444:P444"/>
    <mergeCell ref="W441:X441"/>
    <mergeCell ref="Y441:AA441"/>
    <mergeCell ref="K442:N442"/>
    <mergeCell ref="O442:P442"/>
    <mergeCell ref="Q442:R442"/>
    <mergeCell ref="S442:U442"/>
    <mergeCell ref="W442:X442"/>
    <mergeCell ref="Y442:AA442"/>
    <mergeCell ref="Q440:R440"/>
    <mergeCell ref="S440:U440"/>
    <mergeCell ref="W440:X440"/>
    <mergeCell ref="Y440:AA440"/>
    <mergeCell ref="H441:I442"/>
    <mergeCell ref="J441:J442"/>
    <mergeCell ref="K441:N441"/>
    <mergeCell ref="O441:P441"/>
    <mergeCell ref="Q441:R441"/>
    <mergeCell ref="S441:U441"/>
    <mergeCell ref="B440:C440"/>
    <mergeCell ref="D440:E442"/>
    <mergeCell ref="F440:G442"/>
    <mergeCell ref="H440:I440"/>
    <mergeCell ref="K440:N440"/>
    <mergeCell ref="O440:P440"/>
    <mergeCell ref="S438:U438"/>
    <mergeCell ref="W438:X438"/>
    <mergeCell ref="Y438:AA438"/>
    <mergeCell ref="K439:N439"/>
    <mergeCell ref="O439:P439"/>
    <mergeCell ref="Q439:R439"/>
    <mergeCell ref="S439:U439"/>
    <mergeCell ref="W439:X439"/>
    <mergeCell ref="Y439:AA439"/>
    <mergeCell ref="S437:U437"/>
    <mergeCell ref="W437:X437"/>
    <mergeCell ref="Y437:AA437"/>
    <mergeCell ref="B438:B439"/>
    <mergeCell ref="C438:C439"/>
    <mergeCell ref="H438:I439"/>
    <mergeCell ref="J438:J439"/>
    <mergeCell ref="K438:N438"/>
    <mergeCell ref="O438:P438"/>
    <mergeCell ref="Q438:R438"/>
    <mergeCell ref="Q436:R436"/>
    <mergeCell ref="S436:U436"/>
    <mergeCell ref="W436:X436"/>
    <mergeCell ref="Y436:AA436"/>
    <mergeCell ref="D437:E439"/>
    <mergeCell ref="F437:G439"/>
    <mergeCell ref="H437:I437"/>
    <mergeCell ref="K437:N437"/>
    <mergeCell ref="O437:P437"/>
    <mergeCell ref="Q437:R437"/>
    <mergeCell ref="B436:C436"/>
    <mergeCell ref="D436:E436"/>
    <mergeCell ref="F436:G436"/>
    <mergeCell ref="H436:I436"/>
    <mergeCell ref="K436:N436"/>
    <mergeCell ref="O436:P436"/>
    <mergeCell ref="T433:U433"/>
    <mergeCell ref="W433:X433"/>
    <mergeCell ref="Z433:AA433"/>
    <mergeCell ref="H434:I434"/>
    <mergeCell ref="K434:L434"/>
    <mergeCell ref="N434:O434"/>
    <mergeCell ref="Q434:R434"/>
    <mergeCell ref="T434:U434"/>
    <mergeCell ref="W434:X434"/>
    <mergeCell ref="Z434:AA434"/>
    <mergeCell ref="B432:C434"/>
    <mergeCell ref="E433:E434"/>
    <mergeCell ref="H433:I433"/>
    <mergeCell ref="K433:L433"/>
    <mergeCell ref="N433:O433"/>
    <mergeCell ref="Q433:R433"/>
    <mergeCell ref="T430:U430"/>
    <mergeCell ref="W430:X430"/>
    <mergeCell ref="Z430:AA430"/>
    <mergeCell ref="H431:I431"/>
    <mergeCell ref="K431:L431"/>
    <mergeCell ref="N431:O431"/>
    <mergeCell ref="Q431:R431"/>
    <mergeCell ref="T431:U431"/>
    <mergeCell ref="W431:X431"/>
    <mergeCell ref="Z431:AA431"/>
    <mergeCell ref="D430:D434"/>
    <mergeCell ref="E430:E431"/>
    <mergeCell ref="H430:I430"/>
    <mergeCell ref="K430:L430"/>
    <mergeCell ref="N430:O430"/>
    <mergeCell ref="Q430:R430"/>
    <mergeCell ref="T427:U427"/>
    <mergeCell ref="W427:X427"/>
    <mergeCell ref="Z427:AA427"/>
    <mergeCell ref="H428:I428"/>
    <mergeCell ref="K428:L428"/>
    <mergeCell ref="N428:O428"/>
    <mergeCell ref="Q428:R428"/>
    <mergeCell ref="T428:U428"/>
    <mergeCell ref="W428:X428"/>
    <mergeCell ref="Z428:AA428"/>
    <mergeCell ref="B426:B428"/>
    <mergeCell ref="C426:C428"/>
    <mergeCell ref="E427:E428"/>
    <mergeCell ref="H427:I427"/>
    <mergeCell ref="K427:L427"/>
    <mergeCell ref="N427:O427"/>
    <mergeCell ref="T424:U424"/>
    <mergeCell ref="W424:X424"/>
    <mergeCell ref="Z424:AA424"/>
    <mergeCell ref="H425:I425"/>
    <mergeCell ref="K425:L425"/>
    <mergeCell ref="N425:O425"/>
    <mergeCell ref="Q425:R425"/>
    <mergeCell ref="T425:U425"/>
    <mergeCell ref="W425:X425"/>
    <mergeCell ref="Z425:AA425"/>
    <mergeCell ref="D424:D428"/>
    <mergeCell ref="E424:E425"/>
    <mergeCell ref="H424:I424"/>
    <mergeCell ref="K424:L424"/>
    <mergeCell ref="N424:O424"/>
    <mergeCell ref="Q424:R424"/>
    <mergeCell ref="Q427:R427"/>
    <mergeCell ref="B422:C422"/>
    <mergeCell ref="F422:G422"/>
    <mergeCell ref="H422:I422"/>
    <mergeCell ref="J422:P422"/>
    <mergeCell ref="Q422:S422"/>
    <mergeCell ref="U422:AA422"/>
    <mergeCell ref="B420:C420"/>
    <mergeCell ref="D420:E422"/>
    <mergeCell ref="F420:P420"/>
    <mergeCell ref="Q420:AA420"/>
    <mergeCell ref="B421:C421"/>
    <mergeCell ref="F421:G421"/>
    <mergeCell ref="H421:I421"/>
    <mergeCell ref="J421:P421"/>
    <mergeCell ref="Q421:S421"/>
    <mergeCell ref="U421:AA421"/>
    <mergeCell ref="Y418:AA418"/>
    <mergeCell ref="K419:N419"/>
    <mergeCell ref="O419:P419"/>
    <mergeCell ref="Q419:R419"/>
    <mergeCell ref="S419:U419"/>
    <mergeCell ref="W419:X419"/>
    <mergeCell ref="Y419:AA419"/>
    <mergeCell ref="O417:P417"/>
    <mergeCell ref="Q417:R417"/>
    <mergeCell ref="S417:U417"/>
    <mergeCell ref="W417:X417"/>
    <mergeCell ref="K418:N418"/>
    <mergeCell ref="O418:P418"/>
    <mergeCell ref="Q418:R418"/>
    <mergeCell ref="S418:U418"/>
    <mergeCell ref="W418:X418"/>
    <mergeCell ref="W415:X415"/>
    <mergeCell ref="Y415:AA417"/>
    <mergeCell ref="H416:I419"/>
    <mergeCell ref="J416:J419"/>
    <mergeCell ref="K416:N416"/>
    <mergeCell ref="O416:P416"/>
    <mergeCell ref="Q416:R416"/>
    <mergeCell ref="S416:U416"/>
    <mergeCell ref="W416:X416"/>
    <mergeCell ref="K417:N417"/>
    <mergeCell ref="W414:X414"/>
    <mergeCell ref="Y414:AA414"/>
    <mergeCell ref="B415:C419"/>
    <mergeCell ref="D415:E419"/>
    <mergeCell ref="F415:G419"/>
    <mergeCell ref="H415:I415"/>
    <mergeCell ref="K415:N415"/>
    <mergeCell ref="O415:P415"/>
    <mergeCell ref="Q415:R415"/>
    <mergeCell ref="S415:U415"/>
    <mergeCell ref="Y412:AA413"/>
    <mergeCell ref="K413:N413"/>
    <mergeCell ref="O413:P413"/>
    <mergeCell ref="Q413:R413"/>
    <mergeCell ref="S413:U413"/>
    <mergeCell ref="W413:X413"/>
    <mergeCell ref="B412:C414"/>
    <mergeCell ref="K412:N412"/>
    <mergeCell ref="O412:P412"/>
    <mergeCell ref="Q412:R412"/>
    <mergeCell ref="S412:U412"/>
    <mergeCell ref="W412:X412"/>
    <mergeCell ref="K414:N414"/>
    <mergeCell ref="O414:P414"/>
    <mergeCell ref="Q414:R414"/>
    <mergeCell ref="S414:U414"/>
    <mergeCell ref="S410:U410"/>
    <mergeCell ref="W410:X410"/>
    <mergeCell ref="Y410:AA411"/>
    <mergeCell ref="H411:I414"/>
    <mergeCell ref="J411:J414"/>
    <mergeCell ref="K411:N411"/>
    <mergeCell ref="O411:P411"/>
    <mergeCell ref="Q411:R411"/>
    <mergeCell ref="S411:U411"/>
    <mergeCell ref="W411:X411"/>
    <mergeCell ref="Q409:R409"/>
    <mergeCell ref="S409:U409"/>
    <mergeCell ref="W409:X409"/>
    <mergeCell ref="Y409:AA409"/>
    <mergeCell ref="D410:E414"/>
    <mergeCell ref="F410:G414"/>
    <mergeCell ref="H410:I410"/>
    <mergeCell ref="K410:N410"/>
    <mergeCell ref="O410:P410"/>
    <mergeCell ref="Q410:R410"/>
    <mergeCell ref="B409:C409"/>
    <mergeCell ref="D409:E409"/>
    <mergeCell ref="F409:G409"/>
    <mergeCell ref="H409:I409"/>
    <mergeCell ref="K409:N409"/>
    <mergeCell ref="O409:P409"/>
    <mergeCell ref="W406:X406"/>
    <mergeCell ref="Y406:AA406"/>
    <mergeCell ref="K407:N407"/>
    <mergeCell ref="O407:P407"/>
    <mergeCell ref="Q407:R407"/>
    <mergeCell ref="S407:U407"/>
    <mergeCell ref="W407:X407"/>
    <mergeCell ref="Y407:AA407"/>
    <mergeCell ref="Q405:R405"/>
    <mergeCell ref="S405:U405"/>
    <mergeCell ref="W405:X405"/>
    <mergeCell ref="Y405:AA405"/>
    <mergeCell ref="H406:I407"/>
    <mergeCell ref="J406:J407"/>
    <mergeCell ref="K406:N406"/>
    <mergeCell ref="O406:P406"/>
    <mergeCell ref="Q406:R406"/>
    <mergeCell ref="S406:U406"/>
    <mergeCell ref="B405:C405"/>
    <mergeCell ref="D405:E407"/>
    <mergeCell ref="F405:G407"/>
    <mergeCell ref="H405:I405"/>
    <mergeCell ref="K405:N405"/>
    <mergeCell ref="O405:P405"/>
    <mergeCell ref="S403:U403"/>
    <mergeCell ref="W403:X403"/>
    <mergeCell ref="Y403:AA403"/>
    <mergeCell ref="K404:N404"/>
    <mergeCell ref="O404:P404"/>
    <mergeCell ref="Q404:R404"/>
    <mergeCell ref="S404:U404"/>
    <mergeCell ref="W404:X404"/>
    <mergeCell ref="Y404:AA404"/>
    <mergeCell ref="S402:U402"/>
    <mergeCell ref="W402:X402"/>
    <mergeCell ref="Y402:AA402"/>
    <mergeCell ref="B403:B404"/>
    <mergeCell ref="C403:C404"/>
    <mergeCell ref="H403:I404"/>
    <mergeCell ref="J403:J404"/>
    <mergeCell ref="K403:N403"/>
    <mergeCell ref="O403:P403"/>
    <mergeCell ref="Q403:R403"/>
    <mergeCell ref="Q401:R401"/>
    <mergeCell ref="S401:U401"/>
    <mergeCell ref="W401:X401"/>
    <mergeCell ref="Y401:AA401"/>
    <mergeCell ref="D402:E404"/>
    <mergeCell ref="F402:G404"/>
    <mergeCell ref="H402:I402"/>
    <mergeCell ref="K402:N402"/>
    <mergeCell ref="O402:P402"/>
    <mergeCell ref="Q402:R402"/>
    <mergeCell ref="B401:C401"/>
    <mergeCell ref="D401:E401"/>
    <mergeCell ref="F401:G401"/>
    <mergeCell ref="H401:I401"/>
    <mergeCell ref="K401:N401"/>
    <mergeCell ref="O401:P401"/>
    <mergeCell ref="T398:U398"/>
    <mergeCell ref="W398:X398"/>
    <mergeCell ref="Z398:AA398"/>
    <mergeCell ref="H399:I399"/>
    <mergeCell ref="K399:L399"/>
    <mergeCell ref="N399:O399"/>
    <mergeCell ref="Q399:R399"/>
    <mergeCell ref="T399:U399"/>
    <mergeCell ref="W399:X399"/>
    <mergeCell ref="Z399:AA399"/>
    <mergeCell ref="B397:C399"/>
    <mergeCell ref="E398:E399"/>
    <mergeCell ref="H398:I398"/>
    <mergeCell ref="K398:L398"/>
    <mergeCell ref="N398:O398"/>
    <mergeCell ref="Q398:R398"/>
    <mergeCell ref="T395:U395"/>
    <mergeCell ref="W395:X395"/>
    <mergeCell ref="Z395:AA395"/>
    <mergeCell ref="H396:I396"/>
    <mergeCell ref="K396:L396"/>
    <mergeCell ref="N396:O396"/>
    <mergeCell ref="Q396:R396"/>
    <mergeCell ref="T396:U396"/>
    <mergeCell ref="W396:X396"/>
    <mergeCell ref="Z396:AA396"/>
    <mergeCell ref="D395:D399"/>
    <mergeCell ref="E395:E396"/>
    <mergeCell ref="H395:I395"/>
    <mergeCell ref="K395:L395"/>
    <mergeCell ref="N395:O395"/>
    <mergeCell ref="Q395:R395"/>
    <mergeCell ref="T392:U392"/>
    <mergeCell ref="W392:X392"/>
    <mergeCell ref="Z392:AA392"/>
    <mergeCell ref="H393:I393"/>
    <mergeCell ref="K393:L393"/>
    <mergeCell ref="N393:O393"/>
    <mergeCell ref="Q393:R393"/>
    <mergeCell ref="T393:U393"/>
    <mergeCell ref="W393:X393"/>
    <mergeCell ref="Z393:AA393"/>
    <mergeCell ref="B391:B393"/>
    <mergeCell ref="C391:C393"/>
    <mergeCell ref="E392:E393"/>
    <mergeCell ref="H392:I392"/>
    <mergeCell ref="K392:L392"/>
    <mergeCell ref="N392:O392"/>
    <mergeCell ref="T389:U389"/>
    <mergeCell ref="W389:X389"/>
    <mergeCell ref="Z389:AA389"/>
    <mergeCell ref="H390:I390"/>
    <mergeCell ref="K390:L390"/>
    <mergeCell ref="N390:O390"/>
    <mergeCell ref="Q390:R390"/>
    <mergeCell ref="T390:U390"/>
    <mergeCell ref="W390:X390"/>
    <mergeCell ref="Z390:AA390"/>
    <mergeCell ref="D389:D393"/>
    <mergeCell ref="E389:E390"/>
    <mergeCell ref="H389:I389"/>
    <mergeCell ref="K389:L389"/>
    <mergeCell ref="N389:O389"/>
    <mergeCell ref="Q389:R389"/>
    <mergeCell ref="Q392:R392"/>
    <mergeCell ref="B387:C387"/>
    <mergeCell ref="F387:G387"/>
    <mergeCell ref="H387:I387"/>
    <mergeCell ref="J387:P387"/>
    <mergeCell ref="Q387:S387"/>
    <mergeCell ref="U387:AA387"/>
    <mergeCell ref="B385:C385"/>
    <mergeCell ref="D385:E387"/>
    <mergeCell ref="F385:P385"/>
    <mergeCell ref="Q385:AA385"/>
    <mergeCell ref="B386:C386"/>
    <mergeCell ref="F386:G386"/>
    <mergeCell ref="H386:I386"/>
    <mergeCell ref="J386:P386"/>
    <mergeCell ref="Q386:S386"/>
    <mergeCell ref="U386:AA386"/>
    <mergeCell ref="Y383:AA383"/>
    <mergeCell ref="K384:N384"/>
    <mergeCell ref="O384:P384"/>
    <mergeCell ref="Q384:R384"/>
    <mergeCell ref="S384:U384"/>
    <mergeCell ref="W384:X384"/>
    <mergeCell ref="Y384:AA384"/>
    <mergeCell ref="O382:P382"/>
    <mergeCell ref="Q382:R382"/>
    <mergeCell ref="S382:U382"/>
    <mergeCell ref="W382:X382"/>
    <mergeCell ref="K383:N383"/>
    <mergeCell ref="O383:P383"/>
    <mergeCell ref="Q383:R383"/>
    <mergeCell ref="S383:U383"/>
    <mergeCell ref="W383:X383"/>
    <mergeCell ref="W380:X380"/>
    <mergeCell ref="Y380:AA382"/>
    <mergeCell ref="H381:I384"/>
    <mergeCell ref="J381:J384"/>
    <mergeCell ref="K381:N381"/>
    <mergeCell ref="O381:P381"/>
    <mergeCell ref="Q381:R381"/>
    <mergeCell ref="S381:U381"/>
    <mergeCell ref="W381:X381"/>
    <mergeCell ref="K382:N382"/>
    <mergeCell ref="W379:X379"/>
    <mergeCell ref="Y379:AA379"/>
    <mergeCell ref="B380:C384"/>
    <mergeCell ref="D380:E384"/>
    <mergeCell ref="F380:G384"/>
    <mergeCell ref="H380:I380"/>
    <mergeCell ref="K380:N380"/>
    <mergeCell ref="O380:P380"/>
    <mergeCell ref="Q380:R380"/>
    <mergeCell ref="S380:U380"/>
    <mergeCell ref="Y377:AA378"/>
    <mergeCell ref="K378:N378"/>
    <mergeCell ref="O378:P378"/>
    <mergeCell ref="Q378:R378"/>
    <mergeCell ref="S378:U378"/>
    <mergeCell ref="W378:X378"/>
    <mergeCell ref="B377:C379"/>
    <mergeCell ref="K377:N377"/>
    <mergeCell ref="O377:P377"/>
    <mergeCell ref="Q377:R377"/>
    <mergeCell ref="S377:U377"/>
    <mergeCell ref="W377:X377"/>
    <mergeCell ref="K379:N379"/>
    <mergeCell ref="O379:P379"/>
    <mergeCell ref="Q379:R379"/>
    <mergeCell ref="S379:U379"/>
    <mergeCell ref="S375:U375"/>
    <mergeCell ref="W375:X375"/>
    <mergeCell ref="Y375:AA376"/>
    <mergeCell ref="H376:I379"/>
    <mergeCell ref="J376:J379"/>
    <mergeCell ref="K376:N376"/>
    <mergeCell ref="O376:P376"/>
    <mergeCell ref="Q376:R376"/>
    <mergeCell ref="S376:U376"/>
    <mergeCell ref="W376:X376"/>
    <mergeCell ref="Q374:R374"/>
    <mergeCell ref="S374:U374"/>
    <mergeCell ref="W374:X374"/>
    <mergeCell ref="Y374:AA374"/>
    <mergeCell ref="D375:E379"/>
    <mergeCell ref="F375:G379"/>
    <mergeCell ref="H375:I375"/>
    <mergeCell ref="K375:N375"/>
    <mergeCell ref="O375:P375"/>
    <mergeCell ref="Q375:R375"/>
    <mergeCell ref="B374:C374"/>
    <mergeCell ref="D374:E374"/>
    <mergeCell ref="F374:G374"/>
    <mergeCell ref="H374:I374"/>
    <mergeCell ref="K374:N374"/>
    <mergeCell ref="O374:P374"/>
    <mergeCell ref="W371:X371"/>
    <mergeCell ref="Y371:AA371"/>
    <mergeCell ref="K372:N372"/>
    <mergeCell ref="O372:P372"/>
    <mergeCell ref="Q372:R372"/>
    <mergeCell ref="S372:U372"/>
    <mergeCell ref="W372:X372"/>
    <mergeCell ref="Y372:AA372"/>
    <mergeCell ref="Q370:R370"/>
    <mergeCell ref="S370:U370"/>
    <mergeCell ref="W370:X370"/>
    <mergeCell ref="Y370:AA370"/>
    <mergeCell ref="H371:I372"/>
    <mergeCell ref="J371:J372"/>
    <mergeCell ref="K371:N371"/>
    <mergeCell ref="O371:P371"/>
    <mergeCell ref="Q371:R371"/>
    <mergeCell ref="S371:U371"/>
    <mergeCell ref="B370:C370"/>
    <mergeCell ref="D370:E372"/>
    <mergeCell ref="F370:G372"/>
    <mergeCell ref="H370:I370"/>
    <mergeCell ref="K370:N370"/>
    <mergeCell ref="O370:P370"/>
    <mergeCell ref="S368:U368"/>
    <mergeCell ref="W368:X368"/>
    <mergeCell ref="Y368:AA368"/>
    <mergeCell ref="K369:N369"/>
    <mergeCell ref="O369:P369"/>
    <mergeCell ref="Q369:R369"/>
    <mergeCell ref="S369:U369"/>
    <mergeCell ref="W369:X369"/>
    <mergeCell ref="Y369:AA369"/>
    <mergeCell ref="S367:U367"/>
    <mergeCell ref="W367:X367"/>
    <mergeCell ref="Y367:AA367"/>
    <mergeCell ref="B368:B369"/>
    <mergeCell ref="C368:C369"/>
    <mergeCell ref="H368:I369"/>
    <mergeCell ref="J368:J369"/>
    <mergeCell ref="K368:N368"/>
    <mergeCell ref="O368:P368"/>
    <mergeCell ref="Q368:R368"/>
    <mergeCell ref="Q366:R366"/>
    <mergeCell ref="S366:U366"/>
    <mergeCell ref="W366:X366"/>
    <mergeCell ref="Y366:AA366"/>
    <mergeCell ref="D367:E369"/>
    <mergeCell ref="F367:G369"/>
    <mergeCell ref="H367:I367"/>
    <mergeCell ref="K367:N367"/>
    <mergeCell ref="O367:P367"/>
    <mergeCell ref="Q367:R367"/>
    <mergeCell ref="B366:C366"/>
    <mergeCell ref="D366:E366"/>
    <mergeCell ref="F366:G366"/>
    <mergeCell ref="H366:I366"/>
    <mergeCell ref="K366:N366"/>
    <mergeCell ref="O366:P366"/>
    <mergeCell ref="T363:U363"/>
    <mergeCell ref="W363:X363"/>
    <mergeCell ref="Z363:AA363"/>
    <mergeCell ref="H364:I364"/>
    <mergeCell ref="K364:L364"/>
    <mergeCell ref="N364:O364"/>
    <mergeCell ref="Q364:R364"/>
    <mergeCell ref="T364:U364"/>
    <mergeCell ref="W364:X364"/>
    <mergeCell ref="Z364:AA364"/>
    <mergeCell ref="B362:C364"/>
    <mergeCell ref="E363:E364"/>
    <mergeCell ref="H363:I363"/>
    <mergeCell ref="K363:L363"/>
    <mergeCell ref="N363:O363"/>
    <mergeCell ref="Q363:R363"/>
    <mergeCell ref="T360:U360"/>
    <mergeCell ref="W360:X360"/>
    <mergeCell ref="Z360:AA360"/>
    <mergeCell ref="H361:I361"/>
    <mergeCell ref="K361:L361"/>
    <mergeCell ref="N361:O361"/>
    <mergeCell ref="Q361:R361"/>
    <mergeCell ref="T361:U361"/>
    <mergeCell ref="W361:X361"/>
    <mergeCell ref="Z361:AA361"/>
    <mergeCell ref="D360:D364"/>
    <mergeCell ref="E360:E361"/>
    <mergeCell ref="H360:I360"/>
    <mergeCell ref="K360:L360"/>
    <mergeCell ref="N360:O360"/>
    <mergeCell ref="Q360:R360"/>
    <mergeCell ref="T357:U357"/>
    <mergeCell ref="W357:X357"/>
    <mergeCell ref="Z357:AA357"/>
    <mergeCell ref="H358:I358"/>
    <mergeCell ref="K358:L358"/>
    <mergeCell ref="N358:O358"/>
    <mergeCell ref="Q358:R358"/>
    <mergeCell ref="T358:U358"/>
    <mergeCell ref="W358:X358"/>
    <mergeCell ref="Z358:AA358"/>
    <mergeCell ref="B356:B358"/>
    <mergeCell ref="C356:C358"/>
    <mergeCell ref="E357:E358"/>
    <mergeCell ref="H357:I357"/>
    <mergeCell ref="K357:L357"/>
    <mergeCell ref="N357:O357"/>
    <mergeCell ref="T354:U354"/>
    <mergeCell ref="W354:X354"/>
    <mergeCell ref="Z354:AA354"/>
    <mergeCell ref="H355:I355"/>
    <mergeCell ref="K355:L355"/>
    <mergeCell ref="N355:O355"/>
    <mergeCell ref="Q355:R355"/>
    <mergeCell ref="T355:U355"/>
    <mergeCell ref="W355:X355"/>
    <mergeCell ref="Z355:AA355"/>
    <mergeCell ref="D354:D358"/>
    <mergeCell ref="E354:E355"/>
    <mergeCell ref="H354:I354"/>
    <mergeCell ref="K354:L354"/>
    <mergeCell ref="N354:O354"/>
    <mergeCell ref="Q354:R354"/>
    <mergeCell ref="Q357:R357"/>
    <mergeCell ref="B352:C352"/>
    <mergeCell ref="F352:G352"/>
    <mergeCell ref="H352:I352"/>
    <mergeCell ref="J352:P352"/>
    <mergeCell ref="Q352:S352"/>
    <mergeCell ref="U352:AA352"/>
    <mergeCell ref="B350:C350"/>
    <mergeCell ref="D350:E352"/>
    <mergeCell ref="F350:P350"/>
    <mergeCell ref="Q350:AA350"/>
    <mergeCell ref="B351:C351"/>
    <mergeCell ref="F351:G351"/>
    <mergeCell ref="H351:I351"/>
    <mergeCell ref="J351:P351"/>
    <mergeCell ref="Q351:S351"/>
    <mergeCell ref="U351:AA351"/>
    <mergeCell ref="Y348:AA348"/>
    <mergeCell ref="K349:N349"/>
    <mergeCell ref="O349:P349"/>
    <mergeCell ref="Q349:R349"/>
    <mergeCell ref="S349:U349"/>
    <mergeCell ref="W349:X349"/>
    <mergeCell ref="Y349:AA349"/>
    <mergeCell ref="O347:P347"/>
    <mergeCell ref="Q347:R347"/>
    <mergeCell ref="S347:U347"/>
    <mergeCell ref="W347:X347"/>
    <mergeCell ref="K348:N348"/>
    <mergeCell ref="O348:P348"/>
    <mergeCell ref="Q348:R348"/>
    <mergeCell ref="S348:U348"/>
    <mergeCell ref="W348:X348"/>
    <mergeCell ref="W345:X345"/>
    <mergeCell ref="Y345:AA347"/>
    <mergeCell ref="H346:I349"/>
    <mergeCell ref="J346:J349"/>
    <mergeCell ref="K346:N346"/>
    <mergeCell ref="O346:P346"/>
    <mergeCell ref="Q346:R346"/>
    <mergeCell ref="S346:U346"/>
    <mergeCell ref="W346:X346"/>
    <mergeCell ref="K347:N347"/>
    <mergeCell ref="W344:X344"/>
    <mergeCell ref="Y344:AA344"/>
    <mergeCell ref="B345:C349"/>
    <mergeCell ref="D345:E349"/>
    <mergeCell ref="F345:G349"/>
    <mergeCell ref="H345:I345"/>
    <mergeCell ref="K345:N345"/>
    <mergeCell ref="O345:P345"/>
    <mergeCell ref="Q345:R345"/>
    <mergeCell ref="S345:U345"/>
    <mergeCell ref="Y342:AA343"/>
    <mergeCell ref="K343:N343"/>
    <mergeCell ref="O343:P343"/>
    <mergeCell ref="Q343:R343"/>
    <mergeCell ref="S343:U343"/>
    <mergeCell ref="W343:X343"/>
    <mergeCell ref="B342:C344"/>
    <mergeCell ref="K342:N342"/>
    <mergeCell ref="O342:P342"/>
    <mergeCell ref="Q342:R342"/>
    <mergeCell ref="S342:U342"/>
    <mergeCell ref="W342:X342"/>
    <mergeCell ref="K344:N344"/>
    <mergeCell ref="O344:P344"/>
    <mergeCell ref="Q344:R344"/>
    <mergeCell ref="S344:U344"/>
    <mergeCell ref="S340:U340"/>
    <mergeCell ref="W340:X340"/>
    <mergeCell ref="Y340:AA341"/>
    <mergeCell ref="H341:I344"/>
    <mergeCell ref="J341:J344"/>
    <mergeCell ref="K341:N341"/>
    <mergeCell ref="O341:P341"/>
    <mergeCell ref="Q341:R341"/>
    <mergeCell ref="S341:U341"/>
    <mergeCell ref="W341:X341"/>
    <mergeCell ref="Q339:R339"/>
    <mergeCell ref="S339:U339"/>
    <mergeCell ref="W339:X339"/>
    <mergeCell ref="Y339:AA339"/>
    <mergeCell ref="D340:E344"/>
    <mergeCell ref="F340:G344"/>
    <mergeCell ref="H340:I340"/>
    <mergeCell ref="K340:N340"/>
    <mergeCell ref="O340:P340"/>
    <mergeCell ref="Q340:R340"/>
    <mergeCell ref="B339:C339"/>
    <mergeCell ref="D339:E339"/>
    <mergeCell ref="F339:G339"/>
    <mergeCell ref="H339:I339"/>
    <mergeCell ref="K339:N339"/>
    <mergeCell ref="O339:P339"/>
    <mergeCell ref="W336:X336"/>
    <mergeCell ref="Y336:AA336"/>
    <mergeCell ref="K337:N337"/>
    <mergeCell ref="O337:P337"/>
    <mergeCell ref="Q337:R337"/>
    <mergeCell ref="S337:U337"/>
    <mergeCell ref="W337:X337"/>
    <mergeCell ref="Y337:AA337"/>
    <mergeCell ref="Q335:R335"/>
    <mergeCell ref="S335:U335"/>
    <mergeCell ref="W335:X335"/>
    <mergeCell ref="Y335:AA335"/>
    <mergeCell ref="H336:I337"/>
    <mergeCell ref="J336:J337"/>
    <mergeCell ref="K336:N336"/>
    <mergeCell ref="O336:P336"/>
    <mergeCell ref="Q336:R336"/>
    <mergeCell ref="S336:U336"/>
    <mergeCell ref="B335:C335"/>
    <mergeCell ref="D335:E337"/>
    <mergeCell ref="F335:G337"/>
    <mergeCell ref="H335:I335"/>
    <mergeCell ref="K335:N335"/>
    <mergeCell ref="O335:P335"/>
    <mergeCell ref="S333:U333"/>
    <mergeCell ref="W333:X333"/>
    <mergeCell ref="Y333:AA333"/>
    <mergeCell ref="K334:N334"/>
    <mergeCell ref="O334:P334"/>
    <mergeCell ref="Q334:R334"/>
    <mergeCell ref="S334:U334"/>
    <mergeCell ref="W334:X334"/>
    <mergeCell ref="Y334:AA334"/>
    <mergeCell ref="S332:U332"/>
    <mergeCell ref="W332:X332"/>
    <mergeCell ref="Y332:AA332"/>
    <mergeCell ref="B333:B334"/>
    <mergeCell ref="C333:C334"/>
    <mergeCell ref="H333:I334"/>
    <mergeCell ref="J333:J334"/>
    <mergeCell ref="K333:N333"/>
    <mergeCell ref="O333:P333"/>
    <mergeCell ref="Q333:R333"/>
    <mergeCell ref="Q331:R331"/>
    <mergeCell ref="S331:U331"/>
    <mergeCell ref="W331:X331"/>
    <mergeCell ref="Y331:AA331"/>
    <mergeCell ref="D332:E334"/>
    <mergeCell ref="F332:G334"/>
    <mergeCell ref="H332:I332"/>
    <mergeCell ref="K332:N332"/>
    <mergeCell ref="O332:P332"/>
    <mergeCell ref="Q332:R332"/>
    <mergeCell ref="B331:C331"/>
    <mergeCell ref="D331:E331"/>
    <mergeCell ref="F331:G331"/>
    <mergeCell ref="H331:I331"/>
    <mergeCell ref="K331:N331"/>
    <mergeCell ref="O331:P331"/>
    <mergeCell ref="T328:U328"/>
    <mergeCell ref="W328:X328"/>
    <mergeCell ref="Z328:AA328"/>
    <mergeCell ref="H329:I329"/>
    <mergeCell ref="K329:L329"/>
    <mergeCell ref="N329:O329"/>
    <mergeCell ref="Q329:R329"/>
    <mergeCell ref="T329:U329"/>
    <mergeCell ref="W329:X329"/>
    <mergeCell ref="Z329:AA329"/>
    <mergeCell ref="B327:C329"/>
    <mergeCell ref="E328:E329"/>
    <mergeCell ref="H328:I328"/>
    <mergeCell ref="K328:L328"/>
    <mergeCell ref="N328:O328"/>
    <mergeCell ref="Q328:R328"/>
    <mergeCell ref="T325:U325"/>
    <mergeCell ref="W325:X325"/>
    <mergeCell ref="Z325:AA325"/>
    <mergeCell ref="H326:I326"/>
    <mergeCell ref="K326:L326"/>
    <mergeCell ref="N326:O326"/>
    <mergeCell ref="Q326:R326"/>
    <mergeCell ref="T326:U326"/>
    <mergeCell ref="W326:X326"/>
    <mergeCell ref="Z326:AA326"/>
    <mergeCell ref="D325:D329"/>
    <mergeCell ref="E325:E326"/>
    <mergeCell ref="H325:I325"/>
    <mergeCell ref="K325:L325"/>
    <mergeCell ref="N325:O325"/>
    <mergeCell ref="Q325:R325"/>
    <mergeCell ref="T322:U322"/>
    <mergeCell ref="W322:X322"/>
    <mergeCell ref="Z322:AA322"/>
    <mergeCell ref="H323:I323"/>
    <mergeCell ref="K323:L323"/>
    <mergeCell ref="N323:O323"/>
    <mergeCell ref="Q323:R323"/>
    <mergeCell ref="T323:U323"/>
    <mergeCell ref="W323:X323"/>
    <mergeCell ref="Z323:AA323"/>
    <mergeCell ref="B321:B323"/>
    <mergeCell ref="C321:C323"/>
    <mergeCell ref="E322:E323"/>
    <mergeCell ref="H322:I322"/>
    <mergeCell ref="K322:L322"/>
    <mergeCell ref="N322:O322"/>
    <mergeCell ref="T319:U319"/>
    <mergeCell ref="W319:X319"/>
    <mergeCell ref="Z319:AA319"/>
    <mergeCell ref="H320:I320"/>
    <mergeCell ref="K320:L320"/>
    <mergeCell ref="N320:O320"/>
    <mergeCell ref="Q320:R320"/>
    <mergeCell ref="T320:U320"/>
    <mergeCell ref="W320:X320"/>
    <mergeCell ref="Z320:AA320"/>
    <mergeCell ref="D319:D323"/>
    <mergeCell ref="E319:E320"/>
    <mergeCell ref="H319:I319"/>
    <mergeCell ref="K319:L319"/>
    <mergeCell ref="N319:O319"/>
    <mergeCell ref="Q319:R319"/>
    <mergeCell ref="Q322:R322"/>
    <mergeCell ref="B317:C317"/>
    <mergeCell ref="F317:G317"/>
    <mergeCell ref="H317:I317"/>
    <mergeCell ref="J317:P317"/>
    <mergeCell ref="Q317:S317"/>
    <mergeCell ref="U317:AA317"/>
    <mergeCell ref="B315:C315"/>
    <mergeCell ref="D315:E317"/>
    <mergeCell ref="F315:P315"/>
    <mergeCell ref="Q315:AA315"/>
    <mergeCell ref="B316:C316"/>
    <mergeCell ref="F316:G316"/>
    <mergeCell ref="H316:I316"/>
    <mergeCell ref="J316:P316"/>
    <mergeCell ref="Q316:S316"/>
    <mergeCell ref="U316:AA316"/>
    <mergeCell ref="Y313:AA313"/>
    <mergeCell ref="K314:N314"/>
    <mergeCell ref="O314:P314"/>
    <mergeCell ref="Q314:R314"/>
    <mergeCell ref="S314:U314"/>
    <mergeCell ref="W314:X314"/>
    <mergeCell ref="Y314:AA314"/>
    <mergeCell ref="O312:P312"/>
    <mergeCell ref="Q312:R312"/>
    <mergeCell ref="S312:U312"/>
    <mergeCell ref="W312:X312"/>
    <mergeCell ref="K313:N313"/>
    <mergeCell ref="O313:P313"/>
    <mergeCell ref="Q313:R313"/>
    <mergeCell ref="S313:U313"/>
    <mergeCell ref="W313:X313"/>
    <mergeCell ref="W310:X310"/>
    <mergeCell ref="Y310:AA312"/>
    <mergeCell ref="H311:I314"/>
    <mergeCell ref="J311:J314"/>
    <mergeCell ref="K311:N311"/>
    <mergeCell ref="O311:P311"/>
    <mergeCell ref="Q311:R311"/>
    <mergeCell ref="S311:U311"/>
    <mergeCell ref="W311:X311"/>
    <mergeCell ref="K312:N312"/>
    <mergeCell ref="W309:X309"/>
    <mergeCell ref="Y309:AA309"/>
    <mergeCell ref="B310:C314"/>
    <mergeCell ref="D310:E314"/>
    <mergeCell ref="F310:G314"/>
    <mergeCell ref="H310:I310"/>
    <mergeCell ref="K310:N310"/>
    <mergeCell ref="O310:P310"/>
    <mergeCell ref="Q310:R310"/>
    <mergeCell ref="S310:U310"/>
    <mergeCell ref="Y307:AA308"/>
    <mergeCell ref="K308:N308"/>
    <mergeCell ref="O308:P308"/>
    <mergeCell ref="Q308:R308"/>
    <mergeCell ref="S308:U308"/>
    <mergeCell ref="W308:X308"/>
    <mergeCell ref="B307:C309"/>
    <mergeCell ref="K307:N307"/>
    <mergeCell ref="O307:P307"/>
    <mergeCell ref="Q307:R307"/>
    <mergeCell ref="S307:U307"/>
    <mergeCell ref="W307:X307"/>
    <mergeCell ref="K309:N309"/>
    <mergeCell ref="O309:P309"/>
    <mergeCell ref="Q309:R309"/>
    <mergeCell ref="S309:U309"/>
    <mergeCell ref="S305:U305"/>
    <mergeCell ref="W305:X305"/>
    <mergeCell ref="Y305:AA306"/>
    <mergeCell ref="H306:I309"/>
    <mergeCell ref="J306:J309"/>
    <mergeCell ref="K306:N306"/>
    <mergeCell ref="O306:P306"/>
    <mergeCell ref="Q306:R306"/>
    <mergeCell ref="S306:U306"/>
    <mergeCell ref="W306:X306"/>
    <mergeCell ref="Q304:R304"/>
    <mergeCell ref="S304:U304"/>
    <mergeCell ref="W304:X304"/>
    <mergeCell ref="Y304:AA304"/>
    <mergeCell ref="D305:E309"/>
    <mergeCell ref="F305:G309"/>
    <mergeCell ref="H305:I305"/>
    <mergeCell ref="K305:N305"/>
    <mergeCell ref="O305:P305"/>
    <mergeCell ref="Q305:R305"/>
    <mergeCell ref="B304:C304"/>
    <mergeCell ref="D304:E304"/>
    <mergeCell ref="F304:G304"/>
    <mergeCell ref="H304:I304"/>
    <mergeCell ref="K304:N304"/>
    <mergeCell ref="O304:P304"/>
    <mergeCell ref="W301:X301"/>
    <mergeCell ref="Y301:AA301"/>
    <mergeCell ref="K302:N302"/>
    <mergeCell ref="O302:P302"/>
    <mergeCell ref="Q302:R302"/>
    <mergeCell ref="S302:U302"/>
    <mergeCell ref="W302:X302"/>
    <mergeCell ref="Y302:AA302"/>
    <mergeCell ref="Q300:R300"/>
    <mergeCell ref="S300:U300"/>
    <mergeCell ref="W300:X300"/>
    <mergeCell ref="Y300:AA300"/>
    <mergeCell ref="H301:I302"/>
    <mergeCell ref="J301:J302"/>
    <mergeCell ref="K301:N301"/>
    <mergeCell ref="O301:P301"/>
    <mergeCell ref="Q301:R301"/>
    <mergeCell ref="S301:U301"/>
    <mergeCell ref="B300:C300"/>
    <mergeCell ref="D300:E302"/>
    <mergeCell ref="F300:G302"/>
    <mergeCell ref="H300:I300"/>
    <mergeCell ref="K300:N300"/>
    <mergeCell ref="O300:P300"/>
    <mergeCell ref="S298:U298"/>
    <mergeCell ref="W298:X298"/>
    <mergeCell ref="Y298:AA298"/>
    <mergeCell ref="K299:N299"/>
    <mergeCell ref="O299:P299"/>
    <mergeCell ref="Q299:R299"/>
    <mergeCell ref="S299:U299"/>
    <mergeCell ref="W299:X299"/>
    <mergeCell ref="Y299:AA299"/>
    <mergeCell ref="S297:U297"/>
    <mergeCell ref="W297:X297"/>
    <mergeCell ref="Y297:AA297"/>
    <mergeCell ref="B298:B299"/>
    <mergeCell ref="C298:C299"/>
    <mergeCell ref="H298:I299"/>
    <mergeCell ref="J298:J299"/>
    <mergeCell ref="K298:N298"/>
    <mergeCell ref="O298:P298"/>
    <mergeCell ref="Q298:R298"/>
    <mergeCell ref="Q296:R296"/>
    <mergeCell ref="S296:U296"/>
    <mergeCell ref="W296:X296"/>
    <mergeCell ref="Y296:AA296"/>
    <mergeCell ref="D297:E299"/>
    <mergeCell ref="F297:G299"/>
    <mergeCell ref="H297:I297"/>
    <mergeCell ref="K297:N297"/>
    <mergeCell ref="O297:P297"/>
    <mergeCell ref="Q297:R297"/>
    <mergeCell ref="B296:C296"/>
    <mergeCell ref="D296:E296"/>
    <mergeCell ref="F296:G296"/>
    <mergeCell ref="H296:I296"/>
    <mergeCell ref="K296:N296"/>
    <mergeCell ref="O296:P296"/>
    <mergeCell ref="T293:U293"/>
    <mergeCell ref="W293:X293"/>
    <mergeCell ref="Z293:AA293"/>
    <mergeCell ref="H294:I294"/>
    <mergeCell ref="K294:L294"/>
    <mergeCell ref="N294:O294"/>
    <mergeCell ref="Q294:R294"/>
    <mergeCell ref="T294:U294"/>
    <mergeCell ref="W294:X294"/>
    <mergeCell ref="Z294:AA294"/>
    <mergeCell ref="B292:C294"/>
    <mergeCell ref="E293:E294"/>
    <mergeCell ref="H293:I293"/>
    <mergeCell ref="K293:L293"/>
    <mergeCell ref="N293:O293"/>
    <mergeCell ref="Q293:R293"/>
    <mergeCell ref="T290:U290"/>
    <mergeCell ref="W290:X290"/>
    <mergeCell ref="Z290:AA290"/>
    <mergeCell ref="H291:I291"/>
    <mergeCell ref="K291:L291"/>
    <mergeCell ref="N291:O291"/>
    <mergeCell ref="Q291:R291"/>
    <mergeCell ref="T291:U291"/>
    <mergeCell ref="W291:X291"/>
    <mergeCell ref="Z291:AA291"/>
    <mergeCell ref="D290:D294"/>
    <mergeCell ref="E290:E291"/>
    <mergeCell ref="H290:I290"/>
    <mergeCell ref="K290:L290"/>
    <mergeCell ref="N290:O290"/>
    <mergeCell ref="Q290:R290"/>
    <mergeCell ref="T287:U287"/>
    <mergeCell ref="W287:X287"/>
    <mergeCell ref="Z287:AA287"/>
    <mergeCell ref="H288:I288"/>
    <mergeCell ref="K288:L288"/>
    <mergeCell ref="N288:O288"/>
    <mergeCell ref="Q288:R288"/>
    <mergeCell ref="T288:U288"/>
    <mergeCell ref="W288:X288"/>
    <mergeCell ref="Z288:AA288"/>
    <mergeCell ref="B286:B288"/>
    <mergeCell ref="C286:C288"/>
    <mergeCell ref="E287:E288"/>
    <mergeCell ref="H287:I287"/>
    <mergeCell ref="K287:L287"/>
    <mergeCell ref="N287:O287"/>
    <mergeCell ref="T284:U284"/>
    <mergeCell ref="W284:X284"/>
    <mergeCell ref="Z284:AA284"/>
    <mergeCell ref="H285:I285"/>
    <mergeCell ref="K285:L285"/>
    <mergeCell ref="N285:O285"/>
    <mergeCell ref="Q285:R285"/>
    <mergeCell ref="T285:U285"/>
    <mergeCell ref="W285:X285"/>
    <mergeCell ref="Z285:AA285"/>
    <mergeCell ref="D284:D288"/>
    <mergeCell ref="E284:E285"/>
    <mergeCell ref="H284:I284"/>
    <mergeCell ref="K284:L284"/>
    <mergeCell ref="N284:O284"/>
    <mergeCell ref="Q284:R284"/>
    <mergeCell ref="Q287:R287"/>
    <mergeCell ref="B282:C282"/>
    <mergeCell ref="F282:G282"/>
    <mergeCell ref="H282:I282"/>
    <mergeCell ref="J282:P282"/>
    <mergeCell ref="Q282:S282"/>
    <mergeCell ref="U282:AA282"/>
    <mergeCell ref="B280:C280"/>
    <mergeCell ref="D280:E282"/>
    <mergeCell ref="F280:P280"/>
    <mergeCell ref="Q280:AA280"/>
    <mergeCell ref="B281:C281"/>
    <mergeCell ref="F281:G281"/>
    <mergeCell ref="H281:I281"/>
    <mergeCell ref="J281:P281"/>
    <mergeCell ref="Q281:S281"/>
    <mergeCell ref="U281:AA281"/>
    <mergeCell ref="Y278:AA278"/>
    <mergeCell ref="K279:N279"/>
    <mergeCell ref="O279:P279"/>
    <mergeCell ref="Q279:R279"/>
    <mergeCell ref="S279:U279"/>
    <mergeCell ref="W279:X279"/>
    <mergeCell ref="Y279:AA279"/>
    <mergeCell ref="O277:P277"/>
    <mergeCell ref="Q277:R277"/>
    <mergeCell ref="S277:U277"/>
    <mergeCell ref="W277:X277"/>
    <mergeCell ref="K278:N278"/>
    <mergeCell ref="O278:P278"/>
    <mergeCell ref="Q278:R278"/>
    <mergeCell ref="S278:U278"/>
    <mergeCell ref="W278:X278"/>
    <mergeCell ref="W275:X275"/>
    <mergeCell ref="Y275:AA277"/>
    <mergeCell ref="H276:I279"/>
    <mergeCell ref="J276:J279"/>
    <mergeCell ref="K276:N276"/>
    <mergeCell ref="O276:P276"/>
    <mergeCell ref="Q276:R276"/>
    <mergeCell ref="S276:U276"/>
    <mergeCell ref="W276:X276"/>
    <mergeCell ref="K277:N277"/>
    <mergeCell ref="W274:X274"/>
    <mergeCell ref="Y274:AA274"/>
    <mergeCell ref="B275:C279"/>
    <mergeCell ref="D275:E279"/>
    <mergeCell ref="F275:G279"/>
    <mergeCell ref="H275:I275"/>
    <mergeCell ref="K275:N275"/>
    <mergeCell ref="O275:P275"/>
    <mergeCell ref="Q275:R275"/>
    <mergeCell ref="S275:U275"/>
    <mergeCell ref="Y272:AA273"/>
    <mergeCell ref="K273:N273"/>
    <mergeCell ref="O273:P273"/>
    <mergeCell ref="Q273:R273"/>
    <mergeCell ref="S273:U273"/>
    <mergeCell ref="W273:X273"/>
    <mergeCell ref="B272:C274"/>
    <mergeCell ref="K272:N272"/>
    <mergeCell ref="O272:P272"/>
    <mergeCell ref="Q272:R272"/>
    <mergeCell ref="S272:U272"/>
    <mergeCell ref="W272:X272"/>
    <mergeCell ref="K274:N274"/>
    <mergeCell ref="O274:P274"/>
    <mergeCell ref="Q274:R274"/>
    <mergeCell ref="S274:U274"/>
    <mergeCell ref="S270:U270"/>
    <mergeCell ref="W270:X270"/>
    <mergeCell ref="Y270:AA271"/>
    <mergeCell ref="H271:I274"/>
    <mergeCell ref="J271:J274"/>
    <mergeCell ref="K271:N271"/>
    <mergeCell ref="O271:P271"/>
    <mergeCell ref="Q271:R271"/>
    <mergeCell ref="S271:U271"/>
    <mergeCell ref="W271:X271"/>
    <mergeCell ref="Q269:R269"/>
    <mergeCell ref="S269:U269"/>
    <mergeCell ref="W269:X269"/>
    <mergeCell ref="Y269:AA269"/>
    <mergeCell ref="D270:E274"/>
    <mergeCell ref="F270:G274"/>
    <mergeCell ref="H270:I270"/>
    <mergeCell ref="K270:N270"/>
    <mergeCell ref="O270:P270"/>
    <mergeCell ref="Q270:R270"/>
    <mergeCell ref="B269:C269"/>
    <mergeCell ref="D269:E269"/>
    <mergeCell ref="F269:G269"/>
    <mergeCell ref="H269:I269"/>
    <mergeCell ref="K269:N269"/>
    <mergeCell ref="O269:P269"/>
    <mergeCell ref="W266:X266"/>
    <mergeCell ref="Y266:AA266"/>
    <mergeCell ref="K267:N267"/>
    <mergeCell ref="O267:P267"/>
    <mergeCell ref="Q267:R267"/>
    <mergeCell ref="S267:U267"/>
    <mergeCell ref="W267:X267"/>
    <mergeCell ref="Y267:AA267"/>
    <mergeCell ref="Q265:R265"/>
    <mergeCell ref="S265:U265"/>
    <mergeCell ref="W265:X265"/>
    <mergeCell ref="Y265:AA265"/>
    <mergeCell ref="H266:I267"/>
    <mergeCell ref="J266:J267"/>
    <mergeCell ref="K266:N266"/>
    <mergeCell ref="O266:P266"/>
    <mergeCell ref="Q266:R266"/>
    <mergeCell ref="S266:U266"/>
    <mergeCell ref="B265:C265"/>
    <mergeCell ref="D265:E267"/>
    <mergeCell ref="F265:G267"/>
    <mergeCell ref="H265:I265"/>
    <mergeCell ref="K265:N265"/>
    <mergeCell ref="O265:P265"/>
    <mergeCell ref="S263:U263"/>
    <mergeCell ref="W263:X263"/>
    <mergeCell ref="Y263:AA263"/>
    <mergeCell ref="K264:N264"/>
    <mergeCell ref="O264:P264"/>
    <mergeCell ref="Q264:R264"/>
    <mergeCell ref="S264:U264"/>
    <mergeCell ref="W264:X264"/>
    <mergeCell ref="Y264:AA264"/>
    <mergeCell ref="S262:U262"/>
    <mergeCell ref="W262:X262"/>
    <mergeCell ref="Y262:AA262"/>
    <mergeCell ref="B263:B264"/>
    <mergeCell ref="C263:C264"/>
    <mergeCell ref="H263:I264"/>
    <mergeCell ref="J263:J264"/>
    <mergeCell ref="K263:N263"/>
    <mergeCell ref="O263:P263"/>
    <mergeCell ref="Q263:R263"/>
    <mergeCell ref="Q261:R261"/>
    <mergeCell ref="S261:U261"/>
    <mergeCell ref="W261:X261"/>
    <mergeCell ref="Y261:AA261"/>
    <mergeCell ref="D262:E264"/>
    <mergeCell ref="F262:G264"/>
    <mergeCell ref="H262:I262"/>
    <mergeCell ref="K262:N262"/>
    <mergeCell ref="O262:P262"/>
    <mergeCell ref="Q262:R262"/>
    <mergeCell ref="B261:C261"/>
    <mergeCell ref="D261:E261"/>
    <mergeCell ref="F261:G261"/>
    <mergeCell ref="H261:I261"/>
    <mergeCell ref="K261:N261"/>
    <mergeCell ref="O261:P261"/>
    <mergeCell ref="T258:U258"/>
    <mergeCell ref="W258:X258"/>
    <mergeCell ref="Z258:AA258"/>
    <mergeCell ref="H259:I259"/>
    <mergeCell ref="K259:L259"/>
    <mergeCell ref="N259:O259"/>
    <mergeCell ref="Q259:R259"/>
    <mergeCell ref="T259:U259"/>
    <mergeCell ref="W259:X259"/>
    <mergeCell ref="Z259:AA259"/>
    <mergeCell ref="B257:C259"/>
    <mergeCell ref="E258:E259"/>
    <mergeCell ref="H258:I258"/>
    <mergeCell ref="K258:L258"/>
    <mergeCell ref="N258:O258"/>
    <mergeCell ref="Q258:R258"/>
    <mergeCell ref="T255:U255"/>
    <mergeCell ref="W255:X255"/>
    <mergeCell ref="Z255:AA255"/>
    <mergeCell ref="H256:I256"/>
    <mergeCell ref="K256:L256"/>
    <mergeCell ref="N256:O256"/>
    <mergeCell ref="Q256:R256"/>
    <mergeCell ref="T256:U256"/>
    <mergeCell ref="W256:X256"/>
    <mergeCell ref="Z256:AA256"/>
    <mergeCell ref="D255:D259"/>
    <mergeCell ref="E255:E256"/>
    <mergeCell ref="H255:I255"/>
    <mergeCell ref="K255:L255"/>
    <mergeCell ref="N255:O255"/>
    <mergeCell ref="Q255:R255"/>
    <mergeCell ref="T252:U252"/>
    <mergeCell ref="W252:X252"/>
    <mergeCell ref="Z252:AA252"/>
    <mergeCell ref="H253:I253"/>
    <mergeCell ref="K253:L253"/>
    <mergeCell ref="N253:O253"/>
    <mergeCell ref="Q253:R253"/>
    <mergeCell ref="T253:U253"/>
    <mergeCell ref="W253:X253"/>
    <mergeCell ref="Z253:AA253"/>
    <mergeCell ref="B251:B253"/>
    <mergeCell ref="C251:C253"/>
    <mergeCell ref="E252:E253"/>
    <mergeCell ref="H252:I252"/>
    <mergeCell ref="K252:L252"/>
    <mergeCell ref="N252:O252"/>
    <mergeCell ref="T249:U249"/>
    <mergeCell ref="W249:X249"/>
    <mergeCell ref="Z249:AA249"/>
    <mergeCell ref="H250:I250"/>
    <mergeCell ref="K250:L250"/>
    <mergeCell ref="N250:O250"/>
    <mergeCell ref="Q250:R250"/>
    <mergeCell ref="T250:U250"/>
    <mergeCell ref="W250:X250"/>
    <mergeCell ref="Z250:AA250"/>
    <mergeCell ref="D249:D253"/>
    <mergeCell ref="E249:E250"/>
    <mergeCell ref="H249:I249"/>
    <mergeCell ref="K249:L249"/>
    <mergeCell ref="N249:O249"/>
    <mergeCell ref="Q249:R249"/>
    <mergeCell ref="Q252:R252"/>
    <mergeCell ref="B247:C247"/>
    <mergeCell ref="F247:G247"/>
    <mergeCell ref="H247:I247"/>
    <mergeCell ref="J247:P247"/>
    <mergeCell ref="Q247:S247"/>
    <mergeCell ref="U247:AA247"/>
    <mergeCell ref="B245:C245"/>
    <mergeCell ref="D245:E247"/>
    <mergeCell ref="F245:P245"/>
    <mergeCell ref="Q245:AA245"/>
    <mergeCell ref="B246:C246"/>
    <mergeCell ref="F246:G246"/>
    <mergeCell ref="H246:I246"/>
    <mergeCell ref="J246:P246"/>
    <mergeCell ref="Q246:S246"/>
    <mergeCell ref="U246:AA246"/>
    <mergeCell ref="Y243:AA243"/>
    <mergeCell ref="K244:N244"/>
    <mergeCell ref="O244:P244"/>
    <mergeCell ref="Q244:R244"/>
    <mergeCell ref="S244:U244"/>
    <mergeCell ref="W244:X244"/>
    <mergeCell ref="Y244:AA244"/>
    <mergeCell ref="O242:P242"/>
    <mergeCell ref="Q242:R242"/>
    <mergeCell ref="S242:U242"/>
    <mergeCell ref="W242:X242"/>
    <mergeCell ref="K243:N243"/>
    <mergeCell ref="O243:P243"/>
    <mergeCell ref="Q243:R243"/>
    <mergeCell ref="S243:U243"/>
    <mergeCell ref="W243:X243"/>
    <mergeCell ref="W240:X240"/>
    <mergeCell ref="Y240:AA242"/>
    <mergeCell ref="H241:I244"/>
    <mergeCell ref="J241:J244"/>
    <mergeCell ref="K241:N241"/>
    <mergeCell ref="O241:P241"/>
    <mergeCell ref="Q241:R241"/>
    <mergeCell ref="S241:U241"/>
    <mergeCell ref="W241:X241"/>
    <mergeCell ref="K242:N242"/>
    <mergeCell ref="W239:X239"/>
    <mergeCell ref="Y239:AA239"/>
    <mergeCell ref="B240:C244"/>
    <mergeCell ref="D240:E244"/>
    <mergeCell ref="F240:G244"/>
    <mergeCell ref="H240:I240"/>
    <mergeCell ref="K240:N240"/>
    <mergeCell ref="O240:P240"/>
    <mergeCell ref="Q240:R240"/>
    <mergeCell ref="S240:U240"/>
    <mergeCell ref="Y237:AA238"/>
    <mergeCell ref="K238:N238"/>
    <mergeCell ref="O238:P238"/>
    <mergeCell ref="Q238:R238"/>
    <mergeCell ref="S238:U238"/>
    <mergeCell ref="W238:X238"/>
    <mergeCell ref="B237:C239"/>
    <mergeCell ref="K237:N237"/>
    <mergeCell ref="O237:P237"/>
    <mergeCell ref="Q237:R237"/>
    <mergeCell ref="S237:U237"/>
    <mergeCell ref="W237:X237"/>
    <mergeCell ref="K239:N239"/>
    <mergeCell ref="O239:P239"/>
    <mergeCell ref="Q239:R239"/>
    <mergeCell ref="S239:U239"/>
    <mergeCell ref="S235:U235"/>
    <mergeCell ref="W235:X235"/>
    <mergeCell ref="Y235:AA236"/>
    <mergeCell ref="H236:I239"/>
    <mergeCell ref="J236:J239"/>
    <mergeCell ref="K236:N236"/>
    <mergeCell ref="O236:P236"/>
    <mergeCell ref="Q236:R236"/>
    <mergeCell ref="S236:U236"/>
    <mergeCell ref="W236:X236"/>
    <mergeCell ref="Q234:R234"/>
    <mergeCell ref="S234:U234"/>
    <mergeCell ref="W234:X234"/>
    <mergeCell ref="Y234:AA234"/>
    <mergeCell ref="D235:E239"/>
    <mergeCell ref="F235:G239"/>
    <mergeCell ref="H235:I235"/>
    <mergeCell ref="K235:N235"/>
    <mergeCell ref="O235:P235"/>
    <mergeCell ref="Q235:R235"/>
    <mergeCell ref="B234:C234"/>
    <mergeCell ref="D234:E234"/>
    <mergeCell ref="F234:G234"/>
    <mergeCell ref="H234:I234"/>
    <mergeCell ref="K234:N234"/>
    <mergeCell ref="O234:P234"/>
    <mergeCell ref="W231:X231"/>
    <mergeCell ref="Y231:AA231"/>
    <mergeCell ref="K232:N232"/>
    <mergeCell ref="O232:P232"/>
    <mergeCell ref="Q232:R232"/>
    <mergeCell ref="S232:U232"/>
    <mergeCell ref="W232:X232"/>
    <mergeCell ref="Y232:AA232"/>
    <mergeCell ref="Q230:R230"/>
    <mergeCell ref="S230:U230"/>
    <mergeCell ref="W230:X230"/>
    <mergeCell ref="Y230:AA230"/>
    <mergeCell ref="H231:I232"/>
    <mergeCell ref="J231:J232"/>
    <mergeCell ref="K231:N231"/>
    <mergeCell ref="O231:P231"/>
    <mergeCell ref="Q231:R231"/>
    <mergeCell ref="S231:U231"/>
    <mergeCell ref="B230:C230"/>
    <mergeCell ref="D230:E232"/>
    <mergeCell ref="F230:G232"/>
    <mergeCell ref="H230:I230"/>
    <mergeCell ref="K230:N230"/>
    <mergeCell ref="O230:P230"/>
    <mergeCell ref="S228:U228"/>
    <mergeCell ref="W228:X228"/>
    <mergeCell ref="Y228:AA228"/>
    <mergeCell ref="K229:N229"/>
    <mergeCell ref="O229:P229"/>
    <mergeCell ref="Q229:R229"/>
    <mergeCell ref="S229:U229"/>
    <mergeCell ref="W229:X229"/>
    <mergeCell ref="Y229:AA229"/>
    <mergeCell ref="S227:U227"/>
    <mergeCell ref="W227:X227"/>
    <mergeCell ref="Y227:AA227"/>
    <mergeCell ref="B228:B229"/>
    <mergeCell ref="C228:C229"/>
    <mergeCell ref="H228:I229"/>
    <mergeCell ref="J228:J229"/>
    <mergeCell ref="K228:N228"/>
    <mergeCell ref="O228:P228"/>
    <mergeCell ref="Q228:R228"/>
    <mergeCell ref="Q226:R226"/>
    <mergeCell ref="S226:U226"/>
    <mergeCell ref="W226:X226"/>
    <mergeCell ref="Y226:AA226"/>
    <mergeCell ref="D227:E229"/>
    <mergeCell ref="F227:G229"/>
    <mergeCell ref="H227:I227"/>
    <mergeCell ref="K227:N227"/>
    <mergeCell ref="O227:P227"/>
    <mergeCell ref="Q227:R227"/>
    <mergeCell ref="B226:C226"/>
    <mergeCell ref="D226:E226"/>
    <mergeCell ref="F226:G226"/>
    <mergeCell ref="H226:I226"/>
    <mergeCell ref="K226:N226"/>
    <mergeCell ref="O226:P226"/>
    <mergeCell ref="T223:U223"/>
    <mergeCell ref="W223:X223"/>
    <mergeCell ref="Z223:AA223"/>
    <mergeCell ref="H224:I224"/>
    <mergeCell ref="K224:L224"/>
    <mergeCell ref="N224:O224"/>
    <mergeCell ref="Q224:R224"/>
    <mergeCell ref="T224:U224"/>
    <mergeCell ref="W224:X224"/>
    <mergeCell ref="Z224:AA224"/>
    <mergeCell ref="B222:C224"/>
    <mergeCell ref="E223:E224"/>
    <mergeCell ref="H223:I223"/>
    <mergeCell ref="K223:L223"/>
    <mergeCell ref="N223:O223"/>
    <mergeCell ref="Q223:R223"/>
    <mergeCell ref="T220:U220"/>
    <mergeCell ref="W220:X220"/>
    <mergeCell ref="Z220:AA220"/>
    <mergeCell ref="H221:I221"/>
    <mergeCell ref="K221:L221"/>
    <mergeCell ref="N221:O221"/>
    <mergeCell ref="Q221:R221"/>
    <mergeCell ref="T221:U221"/>
    <mergeCell ref="W221:X221"/>
    <mergeCell ref="Z221:AA221"/>
    <mergeCell ref="D220:D224"/>
    <mergeCell ref="E220:E221"/>
    <mergeCell ref="H220:I220"/>
    <mergeCell ref="K220:L220"/>
    <mergeCell ref="N220:O220"/>
    <mergeCell ref="Q220:R220"/>
    <mergeCell ref="T217:U217"/>
    <mergeCell ref="W217:X217"/>
    <mergeCell ref="Z217:AA217"/>
    <mergeCell ref="H218:I218"/>
    <mergeCell ref="K218:L218"/>
    <mergeCell ref="N218:O218"/>
    <mergeCell ref="Q218:R218"/>
    <mergeCell ref="T218:U218"/>
    <mergeCell ref="W218:X218"/>
    <mergeCell ref="Z218:AA218"/>
    <mergeCell ref="B216:B218"/>
    <mergeCell ref="C216:C218"/>
    <mergeCell ref="E217:E218"/>
    <mergeCell ref="H217:I217"/>
    <mergeCell ref="K217:L217"/>
    <mergeCell ref="N217:O217"/>
    <mergeCell ref="T214:U214"/>
    <mergeCell ref="W214:X214"/>
    <mergeCell ref="Z214:AA214"/>
    <mergeCell ref="H215:I215"/>
    <mergeCell ref="K215:L215"/>
    <mergeCell ref="N215:O215"/>
    <mergeCell ref="Q215:R215"/>
    <mergeCell ref="T215:U215"/>
    <mergeCell ref="W215:X215"/>
    <mergeCell ref="Z215:AA215"/>
    <mergeCell ref="D214:D218"/>
    <mergeCell ref="E214:E215"/>
    <mergeCell ref="H214:I214"/>
    <mergeCell ref="K214:L214"/>
    <mergeCell ref="N214:O214"/>
    <mergeCell ref="Q214:R214"/>
    <mergeCell ref="Q217:R217"/>
    <mergeCell ref="B212:C212"/>
    <mergeCell ref="F212:G212"/>
    <mergeCell ref="H212:I212"/>
    <mergeCell ref="J212:P212"/>
    <mergeCell ref="Q212:S212"/>
    <mergeCell ref="U212:AA212"/>
    <mergeCell ref="B210:C210"/>
    <mergeCell ref="D210:E212"/>
    <mergeCell ref="F210:P210"/>
    <mergeCell ref="Q210:AA210"/>
    <mergeCell ref="B211:C211"/>
    <mergeCell ref="F211:G211"/>
    <mergeCell ref="H211:I211"/>
    <mergeCell ref="J211:P211"/>
    <mergeCell ref="Q211:S211"/>
    <mergeCell ref="U211:AA211"/>
    <mergeCell ref="Y208:AA208"/>
    <mergeCell ref="K209:N209"/>
    <mergeCell ref="O209:P209"/>
    <mergeCell ref="Q209:R209"/>
    <mergeCell ref="S209:U209"/>
    <mergeCell ref="W209:X209"/>
    <mergeCell ref="Y209:AA209"/>
    <mergeCell ref="O207:P207"/>
    <mergeCell ref="Q207:R207"/>
    <mergeCell ref="S207:U207"/>
    <mergeCell ref="W207:X207"/>
    <mergeCell ref="K208:N208"/>
    <mergeCell ref="O208:P208"/>
    <mergeCell ref="Q208:R208"/>
    <mergeCell ref="S208:U208"/>
    <mergeCell ref="W208:X208"/>
    <mergeCell ref="W205:X205"/>
    <mergeCell ref="Y205:AA207"/>
    <mergeCell ref="H206:I209"/>
    <mergeCell ref="J206:J209"/>
    <mergeCell ref="K206:N206"/>
    <mergeCell ref="O206:P206"/>
    <mergeCell ref="Q206:R206"/>
    <mergeCell ref="S206:U206"/>
    <mergeCell ref="W206:X206"/>
    <mergeCell ref="K207:N207"/>
    <mergeCell ref="W204:X204"/>
    <mergeCell ref="Y204:AA204"/>
    <mergeCell ref="B205:C209"/>
    <mergeCell ref="D205:E209"/>
    <mergeCell ref="F205:G209"/>
    <mergeCell ref="H205:I205"/>
    <mergeCell ref="K205:N205"/>
    <mergeCell ref="O205:P205"/>
    <mergeCell ref="Q205:R205"/>
    <mergeCell ref="S205:U205"/>
    <mergeCell ref="Y202:AA203"/>
    <mergeCell ref="K203:N203"/>
    <mergeCell ref="O203:P203"/>
    <mergeCell ref="Q203:R203"/>
    <mergeCell ref="S203:U203"/>
    <mergeCell ref="W203:X203"/>
    <mergeCell ref="B202:C204"/>
    <mergeCell ref="K202:N202"/>
    <mergeCell ref="O202:P202"/>
    <mergeCell ref="Q202:R202"/>
    <mergeCell ref="S202:U202"/>
    <mergeCell ref="W202:X202"/>
    <mergeCell ref="K204:N204"/>
    <mergeCell ref="O204:P204"/>
    <mergeCell ref="Q204:R204"/>
    <mergeCell ref="S204:U204"/>
    <mergeCell ref="S200:U200"/>
    <mergeCell ref="W200:X200"/>
    <mergeCell ref="Y200:AA201"/>
    <mergeCell ref="H201:I204"/>
    <mergeCell ref="J201:J204"/>
    <mergeCell ref="K201:N201"/>
    <mergeCell ref="O201:P201"/>
    <mergeCell ref="Q201:R201"/>
    <mergeCell ref="S201:U201"/>
    <mergeCell ref="W201:X201"/>
    <mergeCell ref="Q199:R199"/>
    <mergeCell ref="S199:U199"/>
    <mergeCell ref="W199:X199"/>
    <mergeCell ref="Y199:AA199"/>
    <mergeCell ref="D200:E204"/>
    <mergeCell ref="F200:G204"/>
    <mergeCell ref="H200:I200"/>
    <mergeCell ref="K200:N200"/>
    <mergeCell ref="O200:P200"/>
    <mergeCell ref="Q200:R200"/>
    <mergeCell ref="B199:C199"/>
    <mergeCell ref="D199:E199"/>
    <mergeCell ref="F199:G199"/>
    <mergeCell ref="H199:I199"/>
    <mergeCell ref="K199:N199"/>
    <mergeCell ref="O199:P199"/>
    <mergeCell ref="W196:X196"/>
    <mergeCell ref="Y196:AA196"/>
    <mergeCell ref="K197:N197"/>
    <mergeCell ref="O197:P197"/>
    <mergeCell ref="Q197:R197"/>
    <mergeCell ref="S197:U197"/>
    <mergeCell ref="W197:X197"/>
    <mergeCell ref="Y197:AA197"/>
    <mergeCell ref="Q195:R195"/>
    <mergeCell ref="S195:U195"/>
    <mergeCell ref="W195:X195"/>
    <mergeCell ref="Y195:AA195"/>
    <mergeCell ref="H196:I197"/>
    <mergeCell ref="J196:J197"/>
    <mergeCell ref="K196:N196"/>
    <mergeCell ref="O196:P196"/>
    <mergeCell ref="Q196:R196"/>
    <mergeCell ref="S196:U196"/>
    <mergeCell ref="B195:C195"/>
    <mergeCell ref="D195:E197"/>
    <mergeCell ref="F195:G197"/>
    <mergeCell ref="H195:I195"/>
    <mergeCell ref="K195:N195"/>
    <mergeCell ref="O195:P195"/>
    <mergeCell ref="S193:U193"/>
    <mergeCell ref="W193:X193"/>
    <mergeCell ref="Y193:AA193"/>
    <mergeCell ref="K194:N194"/>
    <mergeCell ref="O194:P194"/>
    <mergeCell ref="Q194:R194"/>
    <mergeCell ref="S194:U194"/>
    <mergeCell ref="W194:X194"/>
    <mergeCell ref="Y194:AA194"/>
    <mergeCell ref="S192:U192"/>
    <mergeCell ref="W192:X192"/>
    <mergeCell ref="Y192:AA192"/>
    <mergeCell ref="B193:B194"/>
    <mergeCell ref="C193:C194"/>
    <mergeCell ref="H193:I194"/>
    <mergeCell ref="J193:J194"/>
    <mergeCell ref="K193:N193"/>
    <mergeCell ref="O193:P193"/>
    <mergeCell ref="Q193:R193"/>
    <mergeCell ref="Q191:R191"/>
    <mergeCell ref="S191:U191"/>
    <mergeCell ref="W191:X191"/>
    <mergeCell ref="Y191:AA191"/>
    <mergeCell ref="D192:E194"/>
    <mergeCell ref="F192:G194"/>
    <mergeCell ref="H192:I192"/>
    <mergeCell ref="K192:N192"/>
    <mergeCell ref="O192:P192"/>
    <mergeCell ref="Q192:R192"/>
    <mergeCell ref="B191:C191"/>
    <mergeCell ref="D191:E191"/>
    <mergeCell ref="F191:G191"/>
    <mergeCell ref="H191:I191"/>
    <mergeCell ref="K191:N191"/>
    <mergeCell ref="O191:P191"/>
    <mergeCell ref="T188:U188"/>
    <mergeCell ref="W188:X188"/>
    <mergeCell ref="Z188:AA188"/>
    <mergeCell ref="H189:I189"/>
    <mergeCell ref="K189:L189"/>
    <mergeCell ref="N189:O189"/>
    <mergeCell ref="Q189:R189"/>
    <mergeCell ref="T189:U189"/>
    <mergeCell ref="W189:X189"/>
    <mergeCell ref="Z189:AA189"/>
    <mergeCell ref="B187:C189"/>
    <mergeCell ref="E188:E189"/>
    <mergeCell ref="H188:I188"/>
    <mergeCell ref="K188:L188"/>
    <mergeCell ref="N188:O188"/>
    <mergeCell ref="Q188:R188"/>
    <mergeCell ref="T185:U185"/>
    <mergeCell ref="W185:X185"/>
    <mergeCell ref="Z185:AA185"/>
    <mergeCell ref="H186:I186"/>
    <mergeCell ref="K186:L186"/>
    <mergeCell ref="N186:O186"/>
    <mergeCell ref="Q186:R186"/>
    <mergeCell ref="T186:U186"/>
    <mergeCell ref="W186:X186"/>
    <mergeCell ref="Z186:AA186"/>
    <mergeCell ref="D185:D189"/>
    <mergeCell ref="E185:E186"/>
    <mergeCell ref="H185:I185"/>
    <mergeCell ref="K185:L185"/>
    <mergeCell ref="N185:O185"/>
    <mergeCell ref="Q185:R185"/>
    <mergeCell ref="T182:U182"/>
    <mergeCell ref="W182:X182"/>
    <mergeCell ref="Z182:AA182"/>
    <mergeCell ref="H183:I183"/>
    <mergeCell ref="K183:L183"/>
    <mergeCell ref="N183:O183"/>
    <mergeCell ref="Q183:R183"/>
    <mergeCell ref="T183:U183"/>
    <mergeCell ref="W183:X183"/>
    <mergeCell ref="Z183:AA183"/>
    <mergeCell ref="B181:B183"/>
    <mergeCell ref="C181:C183"/>
    <mergeCell ref="E182:E183"/>
    <mergeCell ref="H182:I182"/>
    <mergeCell ref="K182:L182"/>
    <mergeCell ref="N182:O182"/>
    <mergeCell ref="T179:U179"/>
    <mergeCell ref="W179:X179"/>
    <mergeCell ref="Z179:AA179"/>
    <mergeCell ref="H180:I180"/>
    <mergeCell ref="K180:L180"/>
    <mergeCell ref="N180:O180"/>
    <mergeCell ref="Q180:R180"/>
    <mergeCell ref="T180:U180"/>
    <mergeCell ref="W180:X180"/>
    <mergeCell ref="Z180:AA180"/>
    <mergeCell ref="D179:D183"/>
    <mergeCell ref="E179:E180"/>
    <mergeCell ref="H179:I179"/>
    <mergeCell ref="K179:L179"/>
    <mergeCell ref="N179:O179"/>
    <mergeCell ref="Q179:R179"/>
    <mergeCell ref="Q182:R182"/>
    <mergeCell ref="B177:C177"/>
    <mergeCell ref="F177:G177"/>
    <mergeCell ref="H177:I177"/>
    <mergeCell ref="J177:P177"/>
    <mergeCell ref="Q177:S177"/>
    <mergeCell ref="U177:AA177"/>
    <mergeCell ref="B175:C175"/>
    <mergeCell ref="D175:E177"/>
    <mergeCell ref="F175:P175"/>
    <mergeCell ref="Q175:AA175"/>
    <mergeCell ref="B176:C176"/>
    <mergeCell ref="F176:G176"/>
    <mergeCell ref="H176:I176"/>
    <mergeCell ref="J176:P176"/>
    <mergeCell ref="Q176:S176"/>
    <mergeCell ref="U176:AA176"/>
    <mergeCell ref="Y173:AA173"/>
    <mergeCell ref="K174:N174"/>
    <mergeCell ref="O174:P174"/>
    <mergeCell ref="Q174:R174"/>
    <mergeCell ref="S174:U174"/>
    <mergeCell ref="W174:X174"/>
    <mergeCell ref="Y174:AA174"/>
    <mergeCell ref="O172:P172"/>
    <mergeCell ref="Q172:R172"/>
    <mergeCell ref="S172:U172"/>
    <mergeCell ref="W172:X172"/>
    <mergeCell ref="K173:N173"/>
    <mergeCell ref="O173:P173"/>
    <mergeCell ref="Q173:R173"/>
    <mergeCell ref="S173:U173"/>
    <mergeCell ref="W173:X173"/>
    <mergeCell ref="W170:X170"/>
    <mergeCell ref="Y170:AA172"/>
    <mergeCell ref="H171:I174"/>
    <mergeCell ref="J171:J174"/>
    <mergeCell ref="K171:N171"/>
    <mergeCell ref="O171:P171"/>
    <mergeCell ref="Q171:R171"/>
    <mergeCell ref="S171:U171"/>
    <mergeCell ref="W171:X171"/>
    <mergeCell ref="K172:N172"/>
    <mergeCell ref="W169:X169"/>
    <mergeCell ref="Y169:AA169"/>
    <mergeCell ref="B170:C174"/>
    <mergeCell ref="D170:E174"/>
    <mergeCell ref="F170:G174"/>
    <mergeCell ref="H170:I170"/>
    <mergeCell ref="K170:N170"/>
    <mergeCell ref="O170:P170"/>
    <mergeCell ref="Q170:R170"/>
    <mergeCell ref="S170:U170"/>
    <mergeCell ref="Y167:AA168"/>
    <mergeCell ref="K168:N168"/>
    <mergeCell ref="O168:P168"/>
    <mergeCell ref="Q168:R168"/>
    <mergeCell ref="S168:U168"/>
    <mergeCell ref="W168:X168"/>
    <mergeCell ref="B167:C169"/>
    <mergeCell ref="K167:N167"/>
    <mergeCell ref="O167:P167"/>
    <mergeCell ref="Q167:R167"/>
    <mergeCell ref="S167:U167"/>
    <mergeCell ref="W167:X167"/>
    <mergeCell ref="K169:N169"/>
    <mergeCell ref="O169:P169"/>
    <mergeCell ref="Q169:R169"/>
    <mergeCell ref="S169:U169"/>
    <mergeCell ref="S165:U165"/>
    <mergeCell ref="W165:X165"/>
    <mergeCell ref="Y165:AA166"/>
    <mergeCell ref="H166:I169"/>
    <mergeCell ref="J166:J169"/>
    <mergeCell ref="K166:N166"/>
    <mergeCell ref="O166:P166"/>
    <mergeCell ref="Q166:R166"/>
    <mergeCell ref="S166:U166"/>
    <mergeCell ref="W166:X166"/>
    <mergeCell ref="Q164:R164"/>
    <mergeCell ref="S164:U164"/>
    <mergeCell ref="W164:X164"/>
    <mergeCell ref="Y164:AA164"/>
    <mergeCell ref="D165:E169"/>
    <mergeCell ref="F165:G169"/>
    <mergeCell ref="H165:I165"/>
    <mergeCell ref="K165:N165"/>
    <mergeCell ref="O165:P165"/>
    <mergeCell ref="Q165:R165"/>
    <mergeCell ref="B164:C164"/>
    <mergeCell ref="D164:E164"/>
    <mergeCell ref="F164:G164"/>
    <mergeCell ref="H164:I164"/>
    <mergeCell ref="K164:N164"/>
    <mergeCell ref="O164:P164"/>
    <mergeCell ref="W161:X161"/>
    <mergeCell ref="Y161:AA161"/>
    <mergeCell ref="K162:N162"/>
    <mergeCell ref="O162:P162"/>
    <mergeCell ref="Q162:R162"/>
    <mergeCell ref="S162:U162"/>
    <mergeCell ref="W162:X162"/>
    <mergeCell ref="Y162:AA162"/>
    <mergeCell ref="Q160:R160"/>
    <mergeCell ref="S160:U160"/>
    <mergeCell ref="W160:X160"/>
    <mergeCell ref="Y160:AA160"/>
    <mergeCell ref="H161:I162"/>
    <mergeCell ref="J161:J162"/>
    <mergeCell ref="K161:N161"/>
    <mergeCell ref="O161:P161"/>
    <mergeCell ref="Q161:R161"/>
    <mergeCell ref="S161:U161"/>
    <mergeCell ref="B160:C160"/>
    <mergeCell ref="D160:E162"/>
    <mergeCell ref="F160:G162"/>
    <mergeCell ref="H160:I160"/>
    <mergeCell ref="K160:N160"/>
    <mergeCell ref="O160:P160"/>
    <mergeCell ref="S158:U158"/>
    <mergeCell ref="W158:X158"/>
    <mergeCell ref="Y158:AA158"/>
    <mergeCell ref="K159:N159"/>
    <mergeCell ref="O159:P159"/>
    <mergeCell ref="Q159:R159"/>
    <mergeCell ref="S159:U159"/>
    <mergeCell ref="W159:X159"/>
    <mergeCell ref="Y159:AA159"/>
    <mergeCell ref="S157:U157"/>
    <mergeCell ref="W157:X157"/>
    <mergeCell ref="Y157:AA157"/>
    <mergeCell ref="B158:B159"/>
    <mergeCell ref="C158:C159"/>
    <mergeCell ref="H158:I159"/>
    <mergeCell ref="J158:J159"/>
    <mergeCell ref="K158:N158"/>
    <mergeCell ref="O158:P158"/>
    <mergeCell ref="Q158:R158"/>
    <mergeCell ref="Q156:R156"/>
    <mergeCell ref="S156:U156"/>
    <mergeCell ref="W156:X156"/>
    <mergeCell ref="Y156:AA156"/>
    <mergeCell ref="D157:E159"/>
    <mergeCell ref="F157:G159"/>
    <mergeCell ref="H157:I157"/>
    <mergeCell ref="K157:N157"/>
    <mergeCell ref="O157:P157"/>
    <mergeCell ref="Q157:R157"/>
    <mergeCell ref="B156:C156"/>
    <mergeCell ref="D156:E156"/>
    <mergeCell ref="F156:G156"/>
    <mergeCell ref="H156:I156"/>
    <mergeCell ref="K156:N156"/>
    <mergeCell ref="O156:P156"/>
    <mergeCell ref="T153:U153"/>
    <mergeCell ref="W153:X153"/>
    <mergeCell ref="Z153:AA153"/>
    <mergeCell ref="H154:I154"/>
    <mergeCell ref="K154:L154"/>
    <mergeCell ref="N154:O154"/>
    <mergeCell ref="Q154:R154"/>
    <mergeCell ref="T154:U154"/>
    <mergeCell ref="W154:X154"/>
    <mergeCell ref="Z154:AA154"/>
    <mergeCell ref="B152:C154"/>
    <mergeCell ref="E153:E154"/>
    <mergeCell ref="H153:I153"/>
    <mergeCell ref="K153:L153"/>
    <mergeCell ref="N153:O153"/>
    <mergeCell ref="Q153:R153"/>
    <mergeCell ref="T150:U150"/>
    <mergeCell ref="W150:X150"/>
    <mergeCell ref="Z150:AA150"/>
    <mergeCell ref="H151:I151"/>
    <mergeCell ref="K151:L151"/>
    <mergeCell ref="N151:O151"/>
    <mergeCell ref="Q151:R151"/>
    <mergeCell ref="T151:U151"/>
    <mergeCell ref="W151:X151"/>
    <mergeCell ref="Z151:AA151"/>
    <mergeCell ref="D150:D154"/>
    <mergeCell ref="E150:E151"/>
    <mergeCell ref="H150:I150"/>
    <mergeCell ref="K150:L150"/>
    <mergeCell ref="N150:O150"/>
    <mergeCell ref="Q150:R150"/>
    <mergeCell ref="T147:U147"/>
    <mergeCell ref="W147:X147"/>
    <mergeCell ref="Z147:AA147"/>
    <mergeCell ref="H148:I148"/>
    <mergeCell ref="K148:L148"/>
    <mergeCell ref="N148:O148"/>
    <mergeCell ref="Q148:R148"/>
    <mergeCell ref="T148:U148"/>
    <mergeCell ref="W148:X148"/>
    <mergeCell ref="Z148:AA148"/>
    <mergeCell ref="B146:B148"/>
    <mergeCell ref="C146:C148"/>
    <mergeCell ref="E147:E148"/>
    <mergeCell ref="H147:I147"/>
    <mergeCell ref="K147:L147"/>
    <mergeCell ref="N147:O147"/>
    <mergeCell ref="T144:U144"/>
    <mergeCell ref="W144:X144"/>
    <mergeCell ref="Z144:AA144"/>
    <mergeCell ref="H145:I145"/>
    <mergeCell ref="K145:L145"/>
    <mergeCell ref="N145:O145"/>
    <mergeCell ref="Q145:R145"/>
    <mergeCell ref="T145:U145"/>
    <mergeCell ref="W145:X145"/>
    <mergeCell ref="Z145:AA145"/>
    <mergeCell ref="D144:D148"/>
    <mergeCell ref="E144:E145"/>
    <mergeCell ref="H144:I144"/>
    <mergeCell ref="K144:L144"/>
    <mergeCell ref="N144:O144"/>
    <mergeCell ref="Q144:R144"/>
    <mergeCell ref="Q147:R147"/>
    <mergeCell ref="B142:C142"/>
    <mergeCell ref="F142:G142"/>
    <mergeCell ref="H142:I142"/>
    <mergeCell ref="J142:P142"/>
    <mergeCell ref="Q142:S142"/>
    <mergeCell ref="U142:AA142"/>
    <mergeCell ref="B140:C140"/>
    <mergeCell ref="D140:E142"/>
    <mergeCell ref="F140:P140"/>
    <mergeCell ref="Q140:AA140"/>
    <mergeCell ref="B141:C141"/>
    <mergeCell ref="F141:G141"/>
    <mergeCell ref="H141:I141"/>
    <mergeCell ref="J141:P141"/>
    <mergeCell ref="Q141:S141"/>
    <mergeCell ref="U141:AA141"/>
    <mergeCell ref="Y138:AA138"/>
    <mergeCell ref="K139:N139"/>
    <mergeCell ref="O139:P139"/>
    <mergeCell ref="Q139:R139"/>
    <mergeCell ref="S139:U139"/>
    <mergeCell ref="W139:X139"/>
    <mergeCell ref="Y139:AA139"/>
    <mergeCell ref="O137:P137"/>
    <mergeCell ref="Q137:R137"/>
    <mergeCell ref="S137:U137"/>
    <mergeCell ref="W137:X137"/>
    <mergeCell ref="K138:N138"/>
    <mergeCell ref="O138:P138"/>
    <mergeCell ref="Q138:R138"/>
    <mergeCell ref="S138:U138"/>
    <mergeCell ref="W138:X138"/>
    <mergeCell ref="W135:X135"/>
    <mergeCell ref="Y135:AA137"/>
    <mergeCell ref="H136:I139"/>
    <mergeCell ref="J136:J139"/>
    <mergeCell ref="K136:N136"/>
    <mergeCell ref="O136:P136"/>
    <mergeCell ref="Q136:R136"/>
    <mergeCell ref="S136:U136"/>
    <mergeCell ref="W136:X136"/>
    <mergeCell ref="K137:N137"/>
    <mergeCell ref="W134:X134"/>
    <mergeCell ref="Y134:AA134"/>
    <mergeCell ref="B135:C139"/>
    <mergeCell ref="D135:E139"/>
    <mergeCell ref="F135:G139"/>
    <mergeCell ref="H135:I135"/>
    <mergeCell ref="K135:N135"/>
    <mergeCell ref="O135:P135"/>
    <mergeCell ref="Q135:R135"/>
    <mergeCell ref="S135:U135"/>
    <mergeCell ref="Y132:AA133"/>
    <mergeCell ref="K133:N133"/>
    <mergeCell ref="O133:P133"/>
    <mergeCell ref="Q133:R133"/>
    <mergeCell ref="S133:U133"/>
    <mergeCell ref="W133:X133"/>
    <mergeCell ref="B132:C134"/>
    <mergeCell ref="K132:N132"/>
    <mergeCell ref="O132:P132"/>
    <mergeCell ref="Q132:R132"/>
    <mergeCell ref="S132:U132"/>
    <mergeCell ref="W132:X132"/>
    <mergeCell ref="K134:N134"/>
    <mergeCell ref="O134:P134"/>
    <mergeCell ref="Q134:R134"/>
    <mergeCell ref="S134:U134"/>
    <mergeCell ref="S130:U130"/>
    <mergeCell ref="W130:X130"/>
    <mergeCell ref="Y130:AA131"/>
    <mergeCell ref="H131:I134"/>
    <mergeCell ref="J131:J134"/>
    <mergeCell ref="K131:N131"/>
    <mergeCell ref="O131:P131"/>
    <mergeCell ref="Q131:R131"/>
    <mergeCell ref="S131:U131"/>
    <mergeCell ref="W131:X131"/>
    <mergeCell ref="Q129:R129"/>
    <mergeCell ref="S129:U129"/>
    <mergeCell ref="W129:X129"/>
    <mergeCell ref="Y129:AA129"/>
    <mergeCell ref="D130:E134"/>
    <mergeCell ref="F130:G134"/>
    <mergeCell ref="H130:I130"/>
    <mergeCell ref="K130:N130"/>
    <mergeCell ref="O130:P130"/>
    <mergeCell ref="Q130:R130"/>
    <mergeCell ref="B129:C129"/>
    <mergeCell ref="D129:E129"/>
    <mergeCell ref="F129:G129"/>
    <mergeCell ref="H129:I129"/>
    <mergeCell ref="K129:N129"/>
    <mergeCell ref="O129:P129"/>
    <mergeCell ref="W126:X126"/>
    <mergeCell ref="Y126:AA126"/>
    <mergeCell ref="K127:N127"/>
    <mergeCell ref="O127:P127"/>
    <mergeCell ref="Q127:R127"/>
    <mergeCell ref="S127:U127"/>
    <mergeCell ref="W127:X127"/>
    <mergeCell ref="Y127:AA127"/>
    <mergeCell ref="Q125:R125"/>
    <mergeCell ref="S125:U125"/>
    <mergeCell ref="W125:X125"/>
    <mergeCell ref="Y125:AA125"/>
    <mergeCell ref="H126:I127"/>
    <mergeCell ref="J126:J127"/>
    <mergeCell ref="K126:N126"/>
    <mergeCell ref="O126:P126"/>
    <mergeCell ref="Q126:R126"/>
    <mergeCell ref="S126:U126"/>
    <mergeCell ref="B125:C125"/>
    <mergeCell ref="D125:E127"/>
    <mergeCell ref="F125:G127"/>
    <mergeCell ref="H125:I125"/>
    <mergeCell ref="K125:N125"/>
    <mergeCell ref="O125:P125"/>
    <mergeCell ref="S123:U123"/>
    <mergeCell ref="W123:X123"/>
    <mergeCell ref="Y123:AA123"/>
    <mergeCell ref="K124:N124"/>
    <mergeCell ref="O124:P124"/>
    <mergeCell ref="Q124:R124"/>
    <mergeCell ref="S124:U124"/>
    <mergeCell ref="W124:X124"/>
    <mergeCell ref="Y124:AA124"/>
    <mergeCell ref="S122:U122"/>
    <mergeCell ref="W122:X122"/>
    <mergeCell ref="Y122:AA122"/>
    <mergeCell ref="B123:B124"/>
    <mergeCell ref="C123:C124"/>
    <mergeCell ref="H123:I124"/>
    <mergeCell ref="J123:J124"/>
    <mergeCell ref="K123:N123"/>
    <mergeCell ref="O123:P123"/>
    <mergeCell ref="Q123:R123"/>
    <mergeCell ref="Q121:R121"/>
    <mergeCell ref="S121:U121"/>
    <mergeCell ref="W121:X121"/>
    <mergeCell ref="Y121:AA121"/>
    <mergeCell ref="D122:E124"/>
    <mergeCell ref="F122:G124"/>
    <mergeCell ref="H122:I122"/>
    <mergeCell ref="K122:N122"/>
    <mergeCell ref="O122:P122"/>
    <mergeCell ref="Q122:R122"/>
    <mergeCell ref="B121:C121"/>
    <mergeCell ref="D121:E121"/>
    <mergeCell ref="F121:G121"/>
    <mergeCell ref="H121:I121"/>
    <mergeCell ref="K121:N121"/>
    <mergeCell ref="O121:P121"/>
    <mergeCell ref="T118:U118"/>
    <mergeCell ref="W118:X118"/>
    <mergeCell ref="Z118:AA118"/>
    <mergeCell ref="H119:I119"/>
    <mergeCell ref="K119:L119"/>
    <mergeCell ref="N119:O119"/>
    <mergeCell ref="Q119:R119"/>
    <mergeCell ref="T119:U119"/>
    <mergeCell ref="W119:X119"/>
    <mergeCell ref="Z119:AA119"/>
    <mergeCell ref="B117:C119"/>
    <mergeCell ref="E118:E119"/>
    <mergeCell ref="H118:I118"/>
    <mergeCell ref="K118:L118"/>
    <mergeCell ref="N118:O118"/>
    <mergeCell ref="Q118:R118"/>
    <mergeCell ref="T115:U115"/>
    <mergeCell ref="W115:X115"/>
    <mergeCell ref="Z115:AA115"/>
    <mergeCell ref="H116:I116"/>
    <mergeCell ref="K116:L116"/>
    <mergeCell ref="N116:O116"/>
    <mergeCell ref="Q116:R116"/>
    <mergeCell ref="T116:U116"/>
    <mergeCell ref="W116:X116"/>
    <mergeCell ref="Z116:AA116"/>
    <mergeCell ref="D115:D119"/>
    <mergeCell ref="E115:E116"/>
    <mergeCell ref="H115:I115"/>
    <mergeCell ref="K115:L115"/>
    <mergeCell ref="N115:O115"/>
    <mergeCell ref="Q115:R115"/>
    <mergeCell ref="T112:U112"/>
    <mergeCell ref="W112:X112"/>
    <mergeCell ref="Z112:AA112"/>
    <mergeCell ref="H113:I113"/>
    <mergeCell ref="K113:L113"/>
    <mergeCell ref="N113:O113"/>
    <mergeCell ref="Q113:R113"/>
    <mergeCell ref="T113:U113"/>
    <mergeCell ref="W113:X113"/>
    <mergeCell ref="Z113:AA113"/>
    <mergeCell ref="B111:B113"/>
    <mergeCell ref="C111:C113"/>
    <mergeCell ref="E112:E113"/>
    <mergeCell ref="H112:I112"/>
    <mergeCell ref="K112:L112"/>
    <mergeCell ref="N112:O112"/>
    <mergeCell ref="T109:U109"/>
    <mergeCell ref="W109:X109"/>
    <mergeCell ref="Z109:AA109"/>
    <mergeCell ref="H110:I110"/>
    <mergeCell ref="K110:L110"/>
    <mergeCell ref="N110:O110"/>
    <mergeCell ref="Q110:R110"/>
    <mergeCell ref="T110:U110"/>
    <mergeCell ref="W110:X110"/>
    <mergeCell ref="Z110:AA110"/>
    <mergeCell ref="D109:D113"/>
    <mergeCell ref="E109:E110"/>
    <mergeCell ref="H109:I109"/>
    <mergeCell ref="K109:L109"/>
    <mergeCell ref="N109:O109"/>
    <mergeCell ref="Q109:R109"/>
    <mergeCell ref="Q112:R112"/>
    <mergeCell ref="B107:C107"/>
    <mergeCell ref="F107:G107"/>
    <mergeCell ref="H107:I107"/>
    <mergeCell ref="J107:P107"/>
    <mergeCell ref="Q107:S107"/>
    <mergeCell ref="U107:AA107"/>
    <mergeCell ref="B105:C105"/>
    <mergeCell ref="D105:E107"/>
    <mergeCell ref="F105:P105"/>
    <mergeCell ref="Q105:AA105"/>
    <mergeCell ref="B106:C106"/>
    <mergeCell ref="F106:G106"/>
    <mergeCell ref="H106:I106"/>
    <mergeCell ref="J106:P106"/>
    <mergeCell ref="Q106:S106"/>
    <mergeCell ref="U106:AA106"/>
    <mergeCell ref="Y103:AA103"/>
    <mergeCell ref="K104:N104"/>
    <mergeCell ref="O104:P104"/>
    <mergeCell ref="Q104:R104"/>
    <mergeCell ref="S104:U104"/>
    <mergeCell ref="W104:X104"/>
    <mergeCell ref="Y104:AA104"/>
    <mergeCell ref="O102:P102"/>
    <mergeCell ref="Q102:R102"/>
    <mergeCell ref="S102:U102"/>
    <mergeCell ref="W102:X102"/>
    <mergeCell ref="K103:N103"/>
    <mergeCell ref="O103:P103"/>
    <mergeCell ref="Q103:R103"/>
    <mergeCell ref="S103:U103"/>
    <mergeCell ref="W103:X103"/>
    <mergeCell ref="W100:X100"/>
    <mergeCell ref="Y100:AA102"/>
    <mergeCell ref="H101:I104"/>
    <mergeCell ref="J101:J104"/>
    <mergeCell ref="K101:N101"/>
    <mergeCell ref="O101:P101"/>
    <mergeCell ref="Q101:R101"/>
    <mergeCell ref="S101:U101"/>
    <mergeCell ref="W101:X101"/>
    <mergeCell ref="K102:N102"/>
    <mergeCell ref="W99:X99"/>
    <mergeCell ref="Y99:AA99"/>
    <mergeCell ref="B100:C104"/>
    <mergeCell ref="D100:E104"/>
    <mergeCell ref="F100:G104"/>
    <mergeCell ref="H100:I100"/>
    <mergeCell ref="K100:N100"/>
    <mergeCell ref="O100:P100"/>
    <mergeCell ref="Q100:R100"/>
    <mergeCell ref="S100:U100"/>
    <mergeCell ref="Y97:AA98"/>
    <mergeCell ref="K98:N98"/>
    <mergeCell ref="O98:P98"/>
    <mergeCell ref="Q98:R98"/>
    <mergeCell ref="S98:U98"/>
    <mergeCell ref="W98:X98"/>
    <mergeCell ref="B97:C99"/>
    <mergeCell ref="K97:N97"/>
    <mergeCell ref="O97:P97"/>
    <mergeCell ref="Q97:R97"/>
    <mergeCell ref="S97:U97"/>
    <mergeCell ref="W97:X97"/>
    <mergeCell ref="K99:N99"/>
    <mergeCell ref="O99:P99"/>
    <mergeCell ref="Q99:R99"/>
    <mergeCell ref="S99:U99"/>
    <mergeCell ref="S95:U95"/>
    <mergeCell ref="W95:X95"/>
    <mergeCell ref="Y95:AA96"/>
    <mergeCell ref="H96:I99"/>
    <mergeCell ref="J96:J99"/>
    <mergeCell ref="K96:N96"/>
    <mergeCell ref="O96:P96"/>
    <mergeCell ref="Q96:R96"/>
    <mergeCell ref="S96:U96"/>
    <mergeCell ref="W96:X96"/>
    <mergeCell ref="Q94:R94"/>
    <mergeCell ref="S94:U94"/>
    <mergeCell ref="W94:X94"/>
    <mergeCell ref="Y94:AA94"/>
    <mergeCell ref="D95:E99"/>
    <mergeCell ref="F95:G99"/>
    <mergeCell ref="H95:I95"/>
    <mergeCell ref="K95:N95"/>
    <mergeCell ref="O95:P95"/>
    <mergeCell ref="Q95:R95"/>
    <mergeCell ref="B94:C94"/>
    <mergeCell ref="D94:E94"/>
    <mergeCell ref="F94:G94"/>
    <mergeCell ref="H94:I94"/>
    <mergeCell ref="K94:N94"/>
    <mergeCell ref="O94:P94"/>
    <mergeCell ref="W91:X91"/>
    <mergeCell ref="Y91:AA91"/>
    <mergeCell ref="K92:N92"/>
    <mergeCell ref="O92:P92"/>
    <mergeCell ref="Q92:R92"/>
    <mergeCell ref="S92:U92"/>
    <mergeCell ref="W92:X92"/>
    <mergeCell ref="Y92:AA92"/>
    <mergeCell ref="Q90:R90"/>
    <mergeCell ref="S90:U90"/>
    <mergeCell ref="W90:X90"/>
    <mergeCell ref="Y90:AA90"/>
    <mergeCell ref="H91:I92"/>
    <mergeCell ref="J91:J92"/>
    <mergeCell ref="K91:N91"/>
    <mergeCell ref="O91:P91"/>
    <mergeCell ref="Q91:R91"/>
    <mergeCell ref="S91:U91"/>
    <mergeCell ref="B90:C90"/>
    <mergeCell ref="D90:E92"/>
    <mergeCell ref="F90:G92"/>
    <mergeCell ref="H90:I90"/>
    <mergeCell ref="K90:N90"/>
    <mergeCell ref="O90:P90"/>
    <mergeCell ref="S88:U88"/>
    <mergeCell ref="W88:X88"/>
    <mergeCell ref="Y88:AA88"/>
    <mergeCell ref="K89:N89"/>
    <mergeCell ref="O89:P89"/>
    <mergeCell ref="Q89:R89"/>
    <mergeCell ref="S89:U89"/>
    <mergeCell ref="W89:X89"/>
    <mergeCell ref="Y89:AA89"/>
    <mergeCell ref="S87:U87"/>
    <mergeCell ref="W87:X87"/>
    <mergeCell ref="Y87:AA87"/>
    <mergeCell ref="B88:B89"/>
    <mergeCell ref="C88:C89"/>
    <mergeCell ref="H88:I89"/>
    <mergeCell ref="J88:J89"/>
    <mergeCell ref="K88:N88"/>
    <mergeCell ref="O88:P88"/>
    <mergeCell ref="Q88:R88"/>
    <mergeCell ref="Q86:R86"/>
    <mergeCell ref="S86:U86"/>
    <mergeCell ref="W86:X86"/>
    <mergeCell ref="Y86:AA86"/>
    <mergeCell ref="D87:E89"/>
    <mergeCell ref="F87:G89"/>
    <mergeCell ref="H87:I87"/>
    <mergeCell ref="K87:N87"/>
    <mergeCell ref="O87:P87"/>
    <mergeCell ref="Q87:R87"/>
    <mergeCell ref="B86:C86"/>
    <mergeCell ref="D86:E86"/>
    <mergeCell ref="F86:G86"/>
    <mergeCell ref="H86:I86"/>
    <mergeCell ref="K86:N86"/>
    <mergeCell ref="O86:P86"/>
    <mergeCell ref="T83:U83"/>
    <mergeCell ref="W83:X83"/>
    <mergeCell ref="Z83:AA83"/>
    <mergeCell ref="H84:I84"/>
    <mergeCell ref="K84:L84"/>
    <mergeCell ref="N84:O84"/>
    <mergeCell ref="Q84:R84"/>
    <mergeCell ref="T84:U84"/>
    <mergeCell ref="W84:X84"/>
    <mergeCell ref="Z84:AA84"/>
    <mergeCell ref="B82:C84"/>
    <mergeCell ref="E83:E84"/>
    <mergeCell ref="H83:I83"/>
    <mergeCell ref="K83:L83"/>
    <mergeCell ref="N83:O83"/>
    <mergeCell ref="Q83:R83"/>
    <mergeCell ref="T80:U80"/>
    <mergeCell ref="W80:X80"/>
    <mergeCell ref="Z80:AA80"/>
    <mergeCell ref="H81:I81"/>
    <mergeCell ref="K81:L81"/>
    <mergeCell ref="N81:O81"/>
    <mergeCell ref="Q81:R81"/>
    <mergeCell ref="T81:U81"/>
    <mergeCell ref="W81:X81"/>
    <mergeCell ref="Z81:AA81"/>
    <mergeCell ref="D80:D84"/>
    <mergeCell ref="E80:E81"/>
    <mergeCell ref="H80:I80"/>
    <mergeCell ref="K80:L80"/>
    <mergeCell ref="N80:O80"/>
    <mergeCell ref="Q80:R80"/>
    <mergeCell ref="T77:U77"/>
    <mergeCell ref="W77:X77"/>
    <mergeCell ref="Z77:AA77"/>
    <mergeCell ref="H78:I78"/>
    <mergeCell ref="K78:L78"/>
    <mergeCell ref="N78:O78"/>
    <mergeCell ref="Q78:R78"/>
    <mergeCell ref="T78:U78"/>
    <mergeCell ref="W78:X78"/>
    <mergeCell ref="Z78:AA78"/>
    <mergeCell ref="B76:B78"/>
    <mergeCell ref="C76:C78"/>
    <mergeCell ref="E77:E78"/>
    <mergeCell ref="H77:I77"/>
    <mergeCell ref="K77:L77"/>
    <mergeCell ref="N77:O77"/>
    <mergeCell ref="T74:U74"/>
    <mergeCell ref="W74:X74"/>
    <mergeCell ref="Z74:AA74"/>
    <mergeCell ref="H75:I75"/>
    <mergeCell ref="K75:L75"/>
    <mergeCell ref="N75:O75"/>
    <mergeCell ref="Q75:R75"/>
    <mergeCell ref="T75:U75"/>
    <mergeCell ref="W75:X75"/>
    <mergeCell ref="Z75:AA75"/>
    <mergeCell ref="D74:D78"/>
    <mergeCell ref="E74:E75"/>
    <mergeCell ref="H74:I74"/>
    <mergeCell ref="K74:L74"/>
    <mergeCell ref="N74:O74"/>
    <mergeCell ref="Q74:R74"/>
    <mergeCell ref="Q77:R77"/>
    <mergeCell ref="B72:C72"/>
    <mergeCell ref="F72:G72"/>
    <mergeCell ref="H72:I72"/>
    <mergeCell ref="J72:P72"/>
    <mergeCell ref="Q72:S72"/>
    <mergeCell ref="U72:AA72"/>
    <mergeCell ref="B70:C70"/>
    <mergeCell ref="D70:E72"/>
    <mergeCell ref="F70:P70"/>
    <mergeCell ref="Q70:AA70"/>
    <mergeCell ref="B71:C71"/>
    <mergeCell ref="F71:G71"/>
    <mergeCell ref="H71:I71"/>
    <mergeCell ref="J71:P71"/>
    <mergeCell ref="Q71:S71"/>
    <mergeCell ref="U71:AA71"/>
    <mergeCell ref="Y68:AA68"/>
    <mergeCell ref="K69:N69"/>
    <mergeCell ref="O69:P69"/>
    <mergeCell ref="Q69:R69"/>
    <mergeCell ref="S69:U69"/>
    <mergeCell ref="W69:X69"/>
    <mergeCell ref="Y69:AA69"/>
    <mergeCell ref="O67:P67"/>
    <mergeCell ref="Q67:R67"/>
    <mergeCell ref="S67:U67"/>
    <mergeCell ref="W67:X67"/>
    <mergeCell ref="K68:N68"/>
    <mergeCell ref="O68:P68"/>
    <mergeCell ref="Q68:R68"/>
    <mergeCell ref="S68:U68"/>
    <mergeCell ref="W68:X68"/>
    <mergeCell ref="W65:X65"/>
    <mergeCell ref="Y65:AA67"/>
    <mergeCell ref="H66:I69"/>
    <mergeCell ref="J66:J69"/>
    <mergeCell ref="K66:N66"/>
    <mergeCell ref="O66:P66"/>
    <mergeCell ref="Q66:R66"/>
    <mergeCell ref="S66:U66"/>
    <mergeCell ref="W66:X66"/>
    <mergeCell ref="K67:N67"/>
    <mergeCell ref="W64:X64"/>
    <mergeCell ref="Y64:AA64"/>
    <mergeCell ref="B65:C69"/>
    <mergeCell ref="D65:E69"/>
    <mergeCell ref="F65:G69"/>
    <mergeCell ref="H65:I65"/>
    <mergeCell ref="K65:N65"/>
    <mergeCell ref="O65:P65"/>
    <mergeCell ref="Q65:R65"/>
    <mergeCell ref="S65:U65"/>
    <mergeCell ref="Y62:AA63"/>
    <mergeCell ref="K63:N63"/>
    <mergeCell ref="O63:P63"/>
    <mergeCell ref="Q63:R63"/>
    <mergeCell ref="S63:U63"/>
    <mergeCell ref="W63:X63"/>
    <mergeCell ref="B62:C64"/>
    <mergeCell ref="K62:N62"/>
    <mergeCell ref="O62:P62"/>
    <mergeCell ref="Q62:R62"/>
    <mergeCell ref="S62:U62"/>
    <mergeCell ref="W62:X62"/>
    <mergeCell ref="K64:N64"/>
    <mergeCell ref="O64:P64"/>
    <mergeCell ref="Q64:R64"/>
    <mergeCell ref="S64:U64"/>
    <mergeCell ref="S60:U60"/>
    <mergeCell ref="W60:X60"/>
    <mergeCell ref="Y60:AA61"/>
    <mergeCell ref="H61:I64"/>
    <mergeCell ref="J61:J64"/>
    <mergeCell ref="K61:N61"/>
    <mergeCell ref="O61:P61"/>
    <mergeCell ref="Q61:R61"/>
    <mergeCell ref="S61:U61"/>
    <mergeCell ref="W61:X61"/>
    <mergeCell ref="Q59:R59"/>
    <mergeCell ref="S59:U59"/>
    <mergeCell ref="W59:X59"/>
    <mergeCell ref="Y59:AA59"/>
    <mergeCell ref="D60:E64"/>
    <mergeCell ref="F60:G64"/>
    <mergeCell ref="H60:I60"/>
    <mergeCell ref="K60:N60"/>
    <mergeCell ref="O60:P60"/>
    <mergeCell ref="Q60:R60"/>
    <mergeCell ref="B59:C59"/>
    <mergeCell ref="D59:E59"/>
    <mergeCell ref="F59:G59"/>
    <mergeCell ref="H59:I59"/>
    <mergeCell ref="K59:N59"/>
    <mergeCell ref="O59:P59"/>
    <mergeCell ref="W56:X56"/>
    <mergeCell ref="Y56:AA56"/>
    <mergeCell ref="K57:N57"/>
    <mergeCell ref="O57:P57"/>
    <mergeCell ref="Q57:R57"/>
    <mergeCell ref="S57:U57"/>
    <mergeCell ref="W57:X57"/>
    <mergeCell ref="Y57:AA57"/>
    <mergeCell ref="Q55:R55"/>
    <mergeCell ref="S55:U55"/>
    <mergeCell ref="W55:X55"/>
    <mergeCell ref="Y55:AA55"/>
    <mergeCell ref="H56:I57"/>
    <mergeCell ref="J56:J57"/>
    <mergeCell ref="K56:N56"/>
    <mergeCell ref="O56:P56"/>
    <mergeCell ref="Q56:R56"/>
    <mergeCell ref="S56:U56"/>
    <mergeCell ref="B55:C55"/>
    <mergeCell ref="D55:E57"/>
    <mergeCell ref="F55:G57"/>
    <mergeCell ref="H55:I55"/>
    <mergeCell ref="K55:N55"/>
    <mergeCell ref="O55:P55"/>
    <mergeCell ref="S53:U53"/>
    <mergeCell ref="W53:X53"/>
    <mergeCell ref="Y53:AA53"/>
    <mergeCell ref="K54:N54"/>
    <mergeCell ref="O54:P54"/>
    <mergeCell ref="Q54:R54"/>
    <mergeCell ref="S54:U54"/>
    <mergeCell ref="W54:X54"/>
    <mergeCell ref="Y54:AA54"/>
    <mergeCell ref="S52:U52"/>
    <mergeCell ref="W52:X52"/>
    <mergeCell ref="Y52:AA52"/>
    <mergeCell ref="B53:B54"/>
    <mergeCell ref="C53:C54"/>
    <mergeCell ref="H53:I54"/>
    <mergeCell ref="J53:J54"/>
    <mergeCell ref="K53:N53"/>
    <mergeCell ref="O53:P53"/>
    <mergeCell ref="Q53:R53"/>
    <mergeCell ref="Q51:R51"/>
    <mergeCell ref="S51:U51"/>
    <mergeCell ref="W51:X51"/>
    <mergeCell ref="Y51:AA51"/>
    <mergeCell ref="D52:E54"/>
    <mergeCell ref="F52:G54"/>
    <mergeCell ref="H52:I52"/>
    <mergeCell ref="K52:N52"/>
    <mergeCell ref="O52:P52"/>
    <mergeCell ref="Q52:R52"/>
    <mergeCell ref="B51:C51"/>
    <mergeCell ref="D51:E51"/>
    <mergeCell ref="F51:G51"/>
    <mergeCell ref="H51:I51"/>
    <mergeCell ref="K51:N51"/>
    <mergeCell ref="O51:P51"/>
    <mergeCell ref="T48:U48"/>
    <mergeCell ref="W48:X48"/>
    <mergeCell ref="Z48:AA48"/>
    <mergeCell ref="H49:I49"/>
    <mergeCell ref="K49:L49"/>
    <mergeCell ref="N49:O49"/>
    <mergeCell ref="Q49:R49"/>
    <mergeCell ref="T49:U49"/>
    <mergeCell ref="W49:X49"/>
    <mergeCell ref="Z49:AA49"/>
    <mergeCell ref="B47:C49"/>
    <mergeCell ref="E48:E49"/>
    <mergeCell ref="H48:I48"/>
    <mergeCell ref="K48:L48"/>
    <mergeCell ref="N48:O48"/>
    <mergeCell ref="Q48:R48"/>
    <mergeCell ref="T45:U45"/>
    <mergeCell ref="W45:X45"/>
    <mergeCell ref="Z45:AA45"/>
    <mergeCell ref="H46:I46"/>
    <mergeCell ref="K46:L46"/>
    <mergeCell ref="N46:O46"/>
    <mergeCell ref="Q46:R46"/>
    <mergeCell ref="T46:U46"/>
    <mergeCell ref="W46:X46"/>
    <mergeCell ref="Z46:AA46"/>
    <mergeCell ref="D45:D49"/>
    <mergeCell ref="E45:E46"/>
    <mergeCell ref="H45:I45"/>
    <mergeCell ref="K45:L45"/>
    <mergeCell ref="N45:O45"/>
    <mergeCell ref="Q45:R45"/>
    <mergeCell ref="T42:U42"/>
    <mergeCell ref="W42:X42"/>
    <mergeCell ref="Z42:AA42"/>
    <mergeCell ref="H43:I43"/>
    <mergeCell ref="K43:L43"/>
    <mergeCell ref="N43:O43"/>
    <mergeCell ref="Q43:R43"/>
    <mergeCell ref="T43:U43"/>
    <mergeCell ref="W43:X43"/>
    <mergeCell ref="Z43:AA43"/>
    <mergeCell ref="B41:B43"/>
    <mergeCell ref="C41:C43"/>
    <mergeCell ref="E42:E43"/>
    <mergeCell ref="H42:I42"/>
    <mergeCell ref="K42:L42"/>
    <mergeCell ref="N42:O42"/>
    <mergeCell ref="T39:U39"/>
    <mergeCell ref="W39:X39"/>
    <mergeCell ref="Z39:AA39"/>
    <mergeCell ref="H40:I40"/>
    <mergeCell ref="K40:L40"/>
    <mergeCell ref="N40:O40"/>
    <mergeCell ref="Q40:R40"/>
    <mergeCell ref="T40:U40"/>
    <mergeCell ref="W40:X40"/>
    <mergeCell ref="Z40:AA40"/>
    <mergeCell ref="D39:D43"/>
    <mergeCell ref="E39:E40"/>
    <mergeCell ref="H39:I39"/>
    <mergeCell ref="K39:L39"/>
    <mergeCell ref="N39:O39"/>
    <mergeCell ref="Q39:R39"/>
    <mergeCell ref="Q42:R42"/>
    <mergeCell ref="B37:C37"/>
    <mergeCell ref="F37:G37"/>
    <mergeCell ref="H37:I37"/>
    <mergeCell ref="J37:P37"/>
    <mergeCell ref="Q37:S37"/>
    <mergeCell ref="U37:AA37"/>
    <mergeCell ref="B35:C35"/>
    <mergeCell ref="D35:E37"/>
    <mergeCell ref="F35:P35"/>
    <mergeCell ref="Q35:AA35"/>
    <mergeCell ref="B36:C36"/>
    <mergeCell ref="F36:G36"/>
    <mergeCell ref="H36:I36"/>
    <mergeCell ref="J36:P36"/>
    <mergeCell ref="Q36:S36"/>
    <mergeCell ref="U36:AA36"/>
    <mergeCell ref="Y33:AA33"/>
    <mergeCell ref="K34:N34"/>
    <mergeCell ref="O34:P34"/>
    <mergeCell ref="Q34:R34"/>
    <mergeCell ref="S34:U34"/>
    <mergeCell ref="W34:X34"/>
    <mergeCell ref="Y34:AA34"/>
    <mergeCell ref="O32:P32"/>
    <mergeCell ref="Q32:R32"/>
    <mergeCell ref="S32:U32"/>
    <mergeCell ref="W32:X32"/>
    <mergeCell ref="K33:N33"/>
    <mergeCell ref="O33:P33"/>
    <mergeCell ref="Q33:R33"/>
    <mergeCell ref="S33:U33"/>
    <mergeCell ref="W33:X33"/>
    <mergeCell ref="W30:X30"/>
    <mergeCell ref="Y30:AA32"/>
    <mergeCell ref="H31:I34"/>
    <mergeCell ref="J31:J34"/>
    <mergeCell ref="K31:N31"/>
    <mergeCell ref="O31:P31"/>
    <mergeCell ref="Q31:R31"/>
    <mergeCell ref="S31:U31"/>
    <mergeCell ref="W31:X31"/>
    <mergeCell ref="K32:N32"/>
    <mergeCell ref="W29:X29"/>
    <mergeCell ref="Y29:AA29"/>
    <mergeCell ref="B30:C34"/>
    <mergeCell ref="D30:E34"/>
    <mergeCell ref="F30:G34"/>
    <mergeCell ref="H30:I30"/>
    <mergeCell ref="K30:N30"/>
    <mergeCell ref="O30:P30"/>
    <mergeCell ref="Q30:R30"/>
    <mergeCell ref="S30:U30"/>
    <mergeCell ref="Y27:AA28"/>
    <mergeCell ref="K28:N28"/>
    <mergeCell ref="O28:P28"/>
    <mergeCell ref="Q28:R28"/>
    <mergeCell ref="S28:U28"/>
    <mergeCell ref="W28:X28"/>
    <mergeCell ref="B27:C29"/>
    <mergeCell ref="K27:N27"/>
    <mergeCell ref="O27:P27"/>
    <mergeCell ref="Q27:R27"/>
    <mergeCell ref="S27:U27"/>
    <mergeCell ref="W27:X27"/>
    <mergeCell ref="K29:N29"/>
    <mergeCell ref="O29:P29"/>
    <mergeCell ref="Q29:R29"/>
    <mergeCell ref="S29:U29"/>
    <mergeCell ref="S25:U25"/>
    <mergeCell ref="W25:X25"/>
    <mergeCell ref="Y25:AA26"/>
    <mergeCell ref="H26:I29"/>
    <mergeCell ref="J26:J29"/>
    <mergeCell ref="K26:N26"/>
    <mergeCell ref="O26:P26"/>
    <mergeCell ref="Q26:R26"/>
    <mergeCell ref="S26:U26"/>
    <mergeCell ref="W26:X26"/>
    <mergeCell ref="Q24:R24"/>
    <mergeCell ref="S24:U24"/>
    <mergeCell ref="W24:X24"/>
    <mergeCell ref="Y24:AA24"/>
    <mergeCell ref="D25:E29"/>
    <mergeCell ref="F25:G29"/>
    <mergeCell ref="H25:I25"/>
    <mergeCell ref="K25:N25"/>
    <mergeCell ref="O25:P25"/>
    <mergeCell ref="Q25:R25"/>
    <mergeCell ref="B24:C24"/>
    <mergeCell ref="D24:E24"/>
    <mergeCell ref="F24:G24"/>
    <mergeCell ref="H24:I24"/>
    <mergeCell ref="K24:N24"/>
    <mergeCell ref="O24:P24"/>
    <mergeCell ref="W21:X21"/>
    <mergeCell ref="Y21:AA21"/>
    <mergeCell ref="K22:N22"/>
    <mergeCell ref="O22:P22"/>
    <mergeCell ref="Q22:R22"/>
    <mergeCell ref="S22:U22"/>
    <mergeCell ref="W22:X22"/>
    <mergeCell ref="Y22:AA22"/>
    <mergeCell ref="Q20:R20"/>
    <mergeCell ref="S20:U20"/>
    <mergeCell ref="W20:X20"/>
    <mergeCell ref="Y20:AA20"/>
    <mergeCell ref="H21:I22"/>
    <mergeCell ref="J21:J22"/>
    <mergeCell ref="K21:N21"/>
    <mergeCell ref="O21:P21"/>
    <mergeCell ref="Q21:R21"/>
    <mergeCell ref="S21:U21"/>
    <mergeCell ref="B20:C20"/>
    <mergeCell ref="D20:E22"/>
    <mergeCell ref="F20:G22"/>
    <mergeCell ref="H20:I20"/>
    <mergeCell ref="K20:N20"/>
    <mergeCell ref="O20:P20"/>
    <mergeCell ref="Q18:R18"/>
    <mergeCell ref="S18:U18"/>
    <mergeCell ref="W18:X18"/>
    <mergeCell ref="Y18:AA18"/>
    <mergeCell ref="K19:N19"/>
    <mergeCell ref="O19:P19"/>
    <mergeCell ref="Q19:R19"/>
    <mergeCell ref="S19:U19"/>
    <mergeCell ref="W19:X19"/>
    <mergeCell ref="Y19:AA19"/>
    <mergeCell ref="B18:B19"/>
    <mergeCell ref="C18:C19"/>
    <mergeCell ref="H18:I19"/>
    <mergeCell ref="J18:J19"/>
    <mergeCell ref="K18:N18"/>
    <mergeCell ref="O18:P18"/>
    <mergeCell ref="Y16:AA16"/>
    <mergeCell ref="D17:E19"/>
    <mergeCell ref="F17:G19"/>
    <mergeCell ref="H17:I17"/>
    <mergeCell ref="K17:N17"/>
    <mergeCell ref="O17:P17"/>
    <mergeCell ref="Q17:R17"/>
    <mergeCell ref="S17:U17"/>
    <mergeCell ref="W17:X17"/>
    <mergeCell ref="Y17:AA17"/>
    <mergeCell ref="Z14:AA14"/>
    <mergeCell ref="B16:C16"/>
    <mergeCell ref="D16:E16"/>
    <mergeCell ref="F16:G16"/>
    <mergeCell ref="H16:I16"/>
    <mergeCell ref="K16:N16"/>
    <mergeCell ref="O16:P16"/>
    <mergeCell ref="Q16:R16"/>
    <mergeCell ref="S16:U16"/>
    <mergeCell ref="W16:X16"/>
    <mergeCell ref="H14:I14"/>
    <mergeCell ref="K14:L14"/>
    <mergeCell ref="N14:O14"/>
    <mergeCell ref="Q14:R14"/>
    <mergeCell ref="T14:U14"/>
    <mergeCell ref="W14:X14"/>
    <mergeCell ref="Z11:AA11"/>
    <mergeCell ref="B12:C14"/>
    <mergeCell ref="E13:E14"/>
    <mergeCell ref="H13:I13"/>
    <mergeCell ref="K13:L13"/>
    <mergeCell ref="N13:O13"/>
    <mergeCell ref="Q13:R13"/>
    <mergeCell ref="T13:U13"/>
    <mergeCell ref="W13:X13"/>
    <mergeCell ref="Z13:AA13"/>
    <mergeCell ref="H11:I11"/>
    <mergeCell ref="K11:L11"/>
    <mergeCell ref="N11:O11"/>
    <mergeCell ref="Q11:R11"/>
    <mergeCell ref="T11:U11"/>
    <mergeCell ref="W11:X11"/>
    <mergeCell ref="Z8:AA8"/>
    <mergeCell ref="D10:D14"/>
    <mergeCell ref="E10:E11"/>
    <mergeCell ref="H10:I10"/>
    <mergeCell ref="K10:L10"/>
    <mergeCell ref="N10:O10"/>
    <mergeCell ref="Q10:R10"/>
    <mergeCell ref="T10:U10"/>
    <mergeCell ref="W10:X10"/>
    <mergeCell ref="Z10:AA10"/>
    <mergeCell ref="Q7:R7"/>
    <mergeCell ref="T7:U7"/>
    <mergeCell ref="W7:X7"/>
    <mergeCell ref="Z7:AA7"/>
    <mergeCell ref="H8:I8"/>
    <mergeCell ref="K8:L8"/>
    <mergeCell ref="N8:O8"/>
    <mergeCell ref="Q8:R8"/>
    <mergeCell ref="T8:U8"/>
    <mergeCell ref="W8:X8"/>
    <mergeCell ref="B6:B8"/>
    <mergeCell ref="C6:C8"/>
    <mergeCell ref="E7:E8"/>
    <mergeCell ref="H7:I7"/>
    <mergeCell ref="K7:L7"/>
    <mergeCell ref="N7:O7"/>
    <mergeCell ref="W4:X4"/>
    <mergeCell ref="Z4:AA4"/>
    <mergeCell ref="H5:I5"/>
    <mergeCell ref="K5:L5"/>
    <mergeCell ref="N5:O5"/>
    <mergeCell ref="Q5:R5"/>
    <mergeCell ref="T5:U5"/>
    <mergeCell ref="W5:X5"/>
    <mergeCell ref="Z5:AA5"/>
    <mergeCell ref="T1:U2"/>
    <mergeCell ref="W1:X2"/>
    <mergeCell ref="Z1:AA2"/>
    <mergeCell ref="D4:D8"/>
    <mergeCell ref="E4:E5"/>
    <mergeCell ref="H4:I4"/>
    <mergeCell ref="K4:L4"/>
    <mergeCell ref="N4:O4"/>
    <mergeCell ref="Q4:R4"/>
    <mergeCell ref="T4:U4"/>
    <mergeCell ref="A1:A2"/>
    <mergeCell ref="B1:F2"/>
    <mergeCell ref="H1:I2"/>
    <mergeCell ref="K1:L2"/>
    <mergeCell ref="N1:O2"/>
    <mergeCell ref="Q1:R2"/>
  </mergeCells>
  <printOptions horizontalCentered="1" gridLines="1"/>
  <pageMargins left="0.19685039370078738" right="0.19685039370078738" top="0.19685039370078738" bottom="0.19685039370078738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AB6 FUT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2026-07-28T02:32:35Z</dcterms:created>
  <dcterms:modified xsi:type="dcterms:W3CDTF">2026-07-28T02:33:14Z</dcterms:modified>
</cp:coreProperties>
</file>