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TFIS\ChatGpt\"/>
    </mc:Choice>
  </mc:AlternateContent>
  <xr:revisionPtr revIDLastSave="0" documentId="8_{79529BF2-4943-4BD1-B599-514B24F215EE}" xr6:coauthVersionLast="47" xr6:coauthVersionMax="47" xr10:uidLastSave="{00000000-0000-0000-0000-000000000000}"/>
  <bookViews>
    <workbookView xWindow="-120" yWindow="-120" windowWidth="29040" windowHeight="15840" xr2:uid="{92AC7354-4ACF-4D7B-A136-FE2B88C024DD}"/>
  </bookViews>
  <sheets>
    <sheet name="AB6 EQ" sheetId="1" r:id="rId1"/>
  </sheets>
  <externalReferences>
    <externalReference r:id="rId2"/>
    <externalReference r:id="rId3"/>
  </externalReferences>
  <definedNames>
    <definedName name="STOCKS">[1]AB8!$B$8:$B$257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32" i="1" l="1"/>
  <c r="M32" i="1"/>
  <c r="L32" i="1"/>
  <c r="J32" i="1"/>
  <c r="Y31" i="1"/>
  <c r="X31" i="1"/>
  <c r="U31" i="1"/>
  <c r="Q31" i="1"/>
  <c r="M31" i="1"/>
  <c r="L31" i="1"/>
  <c r="J31" i="1"/>
  <c r="G31" i="1"/>
  <c r="D31" i="1"/>
  <c r="B31" i="1"/>
  <c r="Q30" i="1"/>
  <c r="M30" i="1"/>
  <c r="L30" i="1"/>
  <c r="J30" i="1"/>
  <c r="D30" i="1"/>
  <c r="C30" i="1" a="1"/>
  <c r="C30" i="1" s="1"/>
  <c r="B30" i="1"/>
  <c r="AA29" i="1"/>
  <c r="Y29" i="1"/>
  <c r="X29" i="1"/>
  <c r="U29" i="1"/>
  <c r="Q29" i="1"/>
  <c r="M29" i="1"/>
  <c r="L29" i="1"/>
  <c r="J29" i="1"/>
  <c r="G29" i="1"/>
  <c r="D29" i="1"/>
  <c r="C29" i="1" a="1"/>
  <c r="C29" i="1" s="1"/>
  <c r="D25" i="1" s="1"/>
  <c r="E25" i="1" s="1"/>
  <c r="AA30" i="1" s="1"/>
  <c r="B29" i="1"/>
  <c r="AA28" i="1"/>
  <c r="Y28" i="1"/>
  <c r="X28" i="1"/>
  <c r="U28" i="1"/>
  <c r="S28" i="1"/>
  <c r="Q28" i="1"/>
  <c r="M28" i="1"/>
  <c r="L28" i="1"/>
  <c r="J28" i="1"/>
  <c r="H28" i="1"/>
  <c r="G28" i="1"/>
  <c r="F28" i="1"/>
  <c r="E28" i="1"/>
  <c r="C28" i="1" a="1"/>
  <c r="C28" i="1" s="1"/>
  <c r="B28" i="1"/>
  <c r="C26" i="1" a="1"/>
  <c r="C26" i="1" s="1"/>
  <c r="B26" i="1"/>
  <c r="AB25" i="1"/>
  <c r="AA25" i="1"/>
  <c r="G25" i="1"/>
  <c r="C25" i="1" a="1"/>
  <c r="C25" i="1" s="1"/>
  <c r="B25" i="1"/>
  <c r="G24" i="1"/>
  <c r="F24" i="1"/>
  <c r="E24" i="1"/>
  <c r="D24" i="1"/>
  <c r="B24" i="1"/>
  <c r="Q22" i="1"/>
  <c r="M22" i="1"/>
  <c r="L22" i="1"/>
  <c r="J22" i="1"/>
  <c r="Y21" i="1"/>
  <c r="X21" i="1"/>
  <c r="U21" i="1"/>
  <c r="Q21" i="1"/>
  <c r="M21" i="1"/>
  <c r="L21" i="1"/>
  <c r="J21" i="1"/>
  <c r="G21" i="1"/>
  <c r="D21" i="1"/>
  <c r="B21" i="1"/>
  <c r="Q20" i="1"/>
  <c r="M20" i="1"/>
  <c r="L20" i="1"/>
  <c r="J20" i="1"/>
  <c r="D20" i="1"/>
  <c r="C20" i="1" a="1"/>
  <c r="C20" i="1" s="1"/>
  <c r="B20" i="1"/>
  <c r="AA19" i="1"/>
  <c r="Y19" i="1"/>
  <c r="X19" i="1"/>
  <c r="U19" i="1"/>
  <c r="Q19" i="1"/>
  <c r="M19" i="1"/>
  <c r="L19" i="1"/>
  <c r="J19" i="1"/>
  <c r="G19" i="1"/>
  <c r="D19" i="1"/>
  <c r="C19" i="1" a="1"/>
  <c r="C19" i="1" s="1"/>
  <c r="D15" i="1" s="1"/>
  <c r="E15" i="1" s="1"/>
  <c r="AA20" i="1" s="1"/>
  <c r="B19" i="1"/>
  <c r="AA18" i="1"/>
  <c r="Y18" i="1"/>
  <c r="X18" i="1"/>
  <c r="U18" i="1"/>
  <c r="S18" i="1"/>
  <c r="Q18" i="1"/>
  <c r="M18" i="1"/>
  <c r="L18" i="1"/>
  <c r="J18" i="1"/>
  <c r="H18" i="1"/>
  <c r="G18" i="1"/>
  <c r="F18" i="1"/>
  <c r="E18" i="1"/>
  <c r="C18" i="1" a="1"/>
  <c r="C18" i="1" s="1"/>
  <c r="B18" i="1"/>
  <c r="C16" i="1" a="1"/>
  <c r="C16" i="1" s="1"/>
  <c r="B16" i="1"/>
  <c r="AB15" i="1"/>
  <c r="AA15" i="1"/>
  <c r="G15" i="1"/>
  <c r="C15" i="1" a="1"/>
  <c r="C15" i="1" s="1"/>
  <c r="B15" i="1"/>
  <c r="G14" i="1"/>
  <c r="F14" i="1"/>
  <c r="E14" i="1"/>
  <c r="D14" i="1"/>
  <c r="B14" i="1"/>
  <c r="Q12" i="1"/>
  <c r="M12" i="1"/>
  <c r="L12" i="1"/>
  <c r="J12" i="1"/>
  <c r="Y11" i="1"/>
  <c r="X11" i="1"/>
  <c r="U11" i="1"/>
  <c r="Q11" i="1"/>
  <c r="M11" i="1"/>
  <c r="L11" i="1"/>
  <c r="J11" i="1"/>
  <c r="G11" i="1"/>
  <c r="D11" i="1"/>
  <c r="B11" i="1"/>
  <c r="Q10" i="1"/>
  <c r="M10" i="1"/>
  <c r="L10" i="1"/>
  <c r="J10" i="1"/>
  <c r="D10" i="1"/>
  <c r="C10" i="1" a="1"/>
  <c r="C10" i="1" s="1"/>
  <c r="B10" i="1"/>
  <c r="AA9" i="1"/>
  <c r="Y9" i="1"/>
  <c r="X9" i="1"/>
  <c r="U9" i="1"/>
  <c r="Q9" i="1"/>
  <c r="M9" i="1"/>
  <c r="L9" i="1"/>
  <c r="J9" i="1"/>
  <c r="G9" i="1"/>
  <c r="D9" i="1"/>
  <c r="C9" i="1" a="1"/>
  <c r="C9" i="1" s="1"/>
  <c r="D5" i="1" s="1"/>
  <c r="E5" i="1" s="1"/>
  <c r="AA10" i="1" s="1"/>
  <c r="B9" i="1"/>
  <c r="AA8" i="1"/>
  <c r="Y8" i="1"/>
  <c r="X8" i="1"/>
  <c r="U8" i="1"/>
  <c r="S8" i="1"/>
  <c r="Q8" i="1"/>
  <c r="M8" i="1"/>
  <c r="L8" i="1"/>
  <c r="J8" i="1"/>
  <c r="H8" i="1"/>
  <c r="G8" i="1"/>
  <c r="F8" i="1"/>
  <c r="E8" i="1"/>
  <c r="C8" i="1"/>
  <c r="C8" i="1" a="1"/>
  <c r="B8" i="1"/>
  <c r="C6" i="1" a="1"/>
  <c r="C6" i="1" s="1"/>
  <c r="B6" i="1"/>
  <c r="AB5" i="1"/>
  <c r="AA5" i="1"/>
  <c r="G5" i="1"/>
  <c r="C5" i="1"/>
  <c r="A10" i="1" s="1"/>
  <c r="C5" i="1" a="1"/>
  <c r="B5" i="1"/>
  <c r="G4" i="1"/>
  <c r="F4" i="1"/>
  <c r="E4" i="1"/>
  <c r="D4" i="1"/>
  <c r="B4" i="1"/>
  <c r="AA2" i="1"/>
  <c r="X2" i="1"/>
  <c r="U2" i="1"/>
  <c r="R2" i="1"/>
  <c r="O2" i="1"/>
  <c r="L2" i="1"/>
  <c r="H2" i="1"/>
  <c r="AB1" i="1"/>
  <c r="AA1" i="1"/>
  <c r="Y1" i="1"/>
  <c r="X1" i="1"/>
  <c r="V1" i="1"/>
  <c r="U1" i="1"/>
  <c r="S1" i="1"/>
  <c r="R1" i="1"/>
  <c r="P1" i="1"/>
  <c r="O1" i="1"/>
  <c r="M1" i="1"/>
  <c r="L1" i="1"/>
  <c r="J1" i="1"/>
  <c r="H1" i="1"/>
  <c r="B1" i="1"/>
  <c r="F11" i="1" l="1" a="1"/>
  <c r="F11" i="1" s="1"/>
  <c r="F10" i="1" a="1"/>
  <c r="F10" i="1" s="1"/>
  <c r="S12" i="1" s="1"/>
  <c r="X12" i="1" s="1"/>
  <c r="F9" i="1" a="1"/>
  <c r="F9" i="1" s="1"/>
  <c r="S10" i="1" s="1"/>
  <c r="X10" i="1" s="1"/>
  <c r="A20" i="1"/>
  <c r="A19" i="1"/>
  <c r="A16" i="1"/>
  <c r="A15" i="1"/>
  <c r="A14" i="1"/>
  <c r="A30" i="1"/>
  <c r="A29" i="1"/>
  <c r="A26" i="1"/>
  <c r="A25" i="1"/>
  <c r="A24" i="1"/>
  <c r="A4" i="1"/>
  <c r="A5" i="1"/>
  <c r="A6" i="1"/>
  <c r="A9" i="1"/>
  <c r="Y25" i="1" l="1" a="1"/>
  <c r="Y25" i="1" s="1"/>
  <c r="V25" i="1" a="1"/>
  <c r="V25" i="1" s="1"/>
  <c r="S25" i="1" a="1"/>
  <c r="S25" i="1" s="1"/>
  <c r="P25" i="1" a="1"/>
  <c r="P25" i="1" s="1"/>
  <c r="M25" i="1" a="1"/>
  <c r="M25" i="1" s="1"/>
  <c r="J25" i="1" a="1"/>
  <c r="J25" i="1" s="1"/>
  <c r="Y5" i="1" a="1"/>
  <c r="Y5" i="1" s="1"/>
  <c r="V5" i="1" a="1"/>
  <c r="V5" i="1" s="1"/>
  <c r="S5" i="1" a="1"/>
  <c r="S5" i="1" s="1"/>
  <c r="P5" i="1" a="1"/>
  <c r="P5" i="1" s="1"/>
  <c r="M5" i="1" a="1"/>
  <c r="M5" i="1" s="1"/>
  <c r="J5" i="1" a="1"/>
  <c r="J5" i="1" s="1"/>
  <c r="Y15" i="1" a="1"/>
  <c r="Y15" i="1" s="1"/>
  <c r="V15" i="1" a="1"/>
  <c r="V15" i="1" s="1"/>
  <c r="S15" i="1" a="1"/>
  <c r="S15" i="1" s="1"/>
  <c r="P15" i="1" a="1"/>
  <c r="P15" i="1" s="1"/>
  <c r="M15" i="1" a="1"/>
  <c r="M15" i="1" s="1"/>
  <c r="J15" i="1" a="1"/>
  <c r="J15" i="1" s="1"/>
  <c r="F21" i="1" a="1"/>
  <c r="F21" i="1" s="1"/>
  <c r="F20" i="1" a="1"/>
  <c r="F20" i="1" s="1"/>
  <c r="S22" i="1" s="1"/>
  <c r="X22" i="1" s="1"/>
  <c r="F19" i="1" a="1"/>
  <c r="F19" i="1" s="1"/>
  <c r="S20" i="1" s="1"/>
  <c r="X20" i="1" s="1"/>
  <c r="Y10" i="1" a="1"/>
  <c r="Y10" i="1" s="1"/>
  <c r="U10" i="1" s="1"/>
  <c r="X5" i="1" a="1"/>
  <c r="X5" i="1" s="1"/>
  <c r="U5" i="1" a="1"/>
  <c r="U5" i="1" s="1"/>
  <c r="R5" i="1" a="1"/>
  <c r="R5" i="1" s="1"/>
  <c r="O5" i="1" a="1"/>
  <c r="O5" i="1" s="1"/>
  <c r="L5" i="1" a="1"/>
  <c r="L5" i="1" s="1"/>
  <c r="H5" i="1" a="1"/>
  <c r="H5" i="1" s="1"/>
  <c r="AA4" i="1" a="1"/>
  <c r="AA4" i="1" s="1"/>
  <c r="X4" i="1" a="1"/>
  <c r="X4" i="1" s="1"/>
  <c r="U4" i="1" a="1"/>
  <c r="U4" i="1" s="1"/>
  <c r="R4" i="1" a="1"/>
  <c r="R4" i="1" s="1"/>
  <c r="O4" i="1" a="1"/>
  <c r="O4" i="1" s="1"/>
  <c r="L4" i="1" a="1"/>
  <c r="L4" i="1" s="1"/>
  <c r="H4" i="1" a="1"/>
  <c r="H4" i="1" s="1"/>
  <c r="AA11" i="1" s="1"/>
  <c r="AB4" i="1" a="1"/>
  <c r="AB4" i="1" s="1"/>
  <c r="Y4" i="1" a="1"/>
  <c r="Y4" i="1" s="1"/>
  <c r="V4" i="1" a="1"/>
  <c r="V4" i="1" s="1"/>
  <c r="S4" i="1" a="1"/>
  <c r="S4" i="1" s="1"/>
  <c r="P4" i="1" a="1"/>
  <c r="P4" i="1" s="1"/>
  <c r="M4" i="1" a="1"/>
  <c r="M4" i="1" s="1"/>
  <c r="J4" i="1" a="1"/>
  <c r="J4" i="1" s="1"/>
  <c r="Y32" i="1" a="1"/>
  <c r="Y32" i="1" s="1"/>
  <c r="E31" i="1" a="1"/>
  <c r="E31" i="1" s="1"/>
  <c r="E30" i="1" a="1"/>
  <c r="E30" i="1" s="1"/>
  <c r="E29" i="1" a="1"/>
  <c r="E29" i="1" s="1"/>
  <c r="U12" i="1"/>
  <c r="Y20" i="1" a="1"/>
  <c r="Y20" i="1" s="1"/>
  <c r="AA14" i="1" a="1"/>
  <c r="AA14" i="1" s="1"/>
  <c r="X14" i="1" a="1"/>
  <c r="X14" i="1" s="1"/>
  <c r="U14" i="1" a="1"/>
  <c r="U14" i="1" s="1"/>
  <c r="R14" i="1" a="1"/>
  <c r="R14" i="1" s="1"/>
  <c r="O14" i="1" a="1"/>
  <c r="O14" i="1" s="1"/>
  <c r="L14" i="1" a="1"/>
  <c r="L14" i="1" s="1"/>
  <c r="H14" i="1" a="1"/>
  <c r="H14" i="1" s="1"/>
  <c r="AA21" i="1" s="1"/>
  <c r="X15" i="1" a="1"/>
  <c r="X15" i="1" s="1"/>
  <c r="U15" i="1" a="1"/>
  <c r="U15" i="1" s="1"/>
  <c r="R15" i="1" a="1"/>
  <c r="R15" i="1" s="1"/>
  <c r="O15" i="1" a="1"/>
  <c r="O15" i="1" s="1"/>
  <c r="L15" i="1" a="1"/>
  <c r="L15" i="1" s="1"/>
  <c r="H15" i="1" a="1"/>
  <c r="H15" i="1" s="1"/>
  <c r="AB14" i="1" a="1"/>
  <c r="AB14" i="1" s="1"/>
  <c r="Y14" i="1" a="1"/>
  <c r="Y14" i="1" s="1"/>
  <c r="V14" i="1" a="1"/>
  <c r="V14" i="1" s="1"/>
  <c r="S14" i="1" a="1"/>
  <c r="S14" i="1" s="1"/>
  <c r="P14" i="1" a="1"/>
  <c r="P14" i="1" s="1"/>
  <c r="M14" i="1" a="1"/>
  <c r="M14" i="1" s="1"/>
  <c r="J14" i="1" a="1"/>
  <c r="J14" i="1" s="1"/>
  <c r="Y12" i="1" a="1"/>
  <c r="Y12" i="1" s="1"/>
  <c r="E11" i="1" a="1"/>
  <c r="E11" i="1" s="1"/>
  <c r="E10" i="1" a="1"/>
  <c r="E10" i="1" s="1"/>
  <c r="E9" i="1" a="1"/>
  <c r="E9" i="1" s="1"/>
  <c r="Y30" i="1" a="1"/>
  <c r="Y30" i="1" s="1"/>
  <c r="AA24" i="1" a="1"/>
  <c r="AA24" i="1" s="1"/>
  <c r="X24" i="1" a="1"/>
  <c r="X24" i="1" s="1"/>
  <c r="U24" i="1" a="1"/>
  <c r="U24" i="1" s="1"/>
  <c r="R24" i="1" a="1"/>
  <c r="R24" i="1" s="1"/>
  <c r="O24" i="1" a="1"/>
  <c r="O24" i="1" s="1"/>
  <c r="L24" i="1" a="1"/>
  <c r="L24" i="1" s="1"/>
  <c r="H24" i="1" a="1"/>
  <c r="H24" i="1" s="1"/>
  <c r="AA31" i="1" s="1"/>
  <c r="X25" i="1" a="1"/>
  <c r="X25" i="1" s="1"/>
  <c r="U25" i="1" a="1"/>
  <c r="U25" i="1" s="1"/>
  <c r="R25" i="1" a="1"/>
  <c r="R25" i="1" s="1"/>
  <c r="O25" i="1" a="1"/>
  <c r="O25" i="1" s="1"/>
  <c r="L25" i="1" a="1"/>
  <c r="L25" i="1" s="1"/>
  <c r="H25" i="1" a="1"/>
  <c r="H25" i="1" s="1"/>
  <c r="AB24" i="1" a="1"/>
  <c r="AB24" i="1" s="1"/>
  <c r="Y24" i="1" a="1"/>
  <c r="Y24" i="1" s="1"/>
  <c r="V24" i="1" a="1"/>
  <c r="V24" i="1" s="1"/>
  <c r="S24" i="1" a="1"/>
  <c r="S24" i="1" s="1"/>
  <c r="P24" i="1" a="1"/>
  <c r="P24" i="1" s="1"/>
  <c r="M24" i="1" a="1"/>
  <c r="M24" i="1" s="1"/>
  <c r="J24" i="1" a="1"/>
  <c r="J24" i="1" s="1"/>
  <c r="F31" i="1" a="1"/>
  <c r="F31" i="1" s="1"/>
  <c r="F30" i="1" a="1"/>
  <c r="F30" i="1" s="1"/>
  <c r="S32" i="1" s="1"/>
  <c r="X32" i="1" s="1"/>
  <c r="U32" i="1" s="1"/>
  <c r="F29" i="1" a="1"/>
  <c r="F29" i="1" s="1"/>
  <c r="S30" i="1" s="1"/>
  <c r="X30" i="1" s="1"/>
  <c r="U30" i="1" s="1"/>
  <c r="Y22" i="1" a="1"/>
  <c r="Y22" i="1" s="1"/>
  <c r="E21" i="1" a="1"/>
  <c r="E21" i="1" s="1"/>
  <c r="E20" i="1" a="1"/>
  <c r="E20" i="1" s="1"/>
  <c r="E19" i="1" a="1"/>
  <c r="E19" i="1" s="1"/>
  <c r="S29" i="1" l="1"/>
  <c r="H29" i="1"/>
  <c r="S31" i="1"/>
  <c r="H31" i="1"/>
  <c r="U20" i="1"/>
  <c r="S21" i="1"/>
  <c r="H21" i="1"/>
  <c r="S11" i="1"/>
  <c r="H11" i="1"/>
  <c r="S19" i="1"/>
  <c r="H19" i="1"/>
  <c r="S9" i="1"/>
  <c r="H9" i="1"/>
  <c r="U22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&quot;:&quot;mm&quot;:&quot;ss&quot; &quot;AM/PM"/>
  </numFmts>
  <fonts count="13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rgb="FF0000FF"/>
      <name val="Pacifico"/>
    </font>
    <font>
      <sz val="16"/>
      <color rgb="FF0000FF"/>
      <name val="Pacifico"/>
    </font>
    <font>
      <sz val="10"/>
      <name val="Arial"/>
      <family val="2"/>
    </font>
    <font>
      <b/>
      <sz val="11"/>
      <color rgb="FF0000FF"/>
      <name val="Calibri"/>
      <family val="2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rgb="FFFFFFFF"/>
      <name val="Arial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3DAF4"/>
        <bgColor rgb="FFE3DAF4"/>
      </patternFill>
    </fill>
    <fill>
      <patternFill patternType="solid">
        <fgColor rgb="FFFBE8D4"/>
        <bgColor rgb="FFFBE8D4"/>
      </patternFill>
    </fill>
    <fill>
      <patternFill patternType="solid">
        <fgColor rgb="FFBDEBEC"/>
        <bgColor rgb="FFBDEBEC"/>
      </patternFill>
    </fill>
    <fill>
      <patternFill patternType="solid">
        <fgColor rgb="FFCDF1F4"/>
        <bgColor rgb="FFCDF1F4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C5F2D5"/>
        <bgColor rgb="FFC5F2D5"/>
      </patternFill>
    </fill>
    <fill>
      <patternFill patternType="solid">
        <fgColor rgb="FFE7F8ED"/>
        <bgColor rgb="FFE7F8ED"/>
      </patternFill>
    </fill>
    <fill>
      <patternFill patternType="solid">
        <fgColor rgb="FFFFEEFF"/>
        <bgColor rgb="FFFFEEFF"/>
      </patternFill>
    </fill>
    <fill>
      <patternFill patternType="solid">
        <fgColor rgb="FFDFF4F6"/>
        <bgColor rgb="FFDFF4F6"/>
      </patternFill>
    </fill>
    <fill>
      <patternFill patternType="solid">
        <fgColor rgb="FFFECCFE"/>
        <bgColor rgb="FFFECCFE"/>
      </patternFill>
    </fill>
  </fills>
  <borders count="59">
    <border>
      <left/>
      <right/>
      <top/>
      <bottom/>
      <diagonal/>
    </border>
    <border>
      <left style="thin">
        <color rgb="FF34A853"/>
      </left>
      <right/>
      <top style="thin">
        <color rgb="FF34A853"/>
      </top>
      <bottom/>
      <diagonal/>
    </border>
    <border>
      <left style="thick">
        <color rgb="FF999999"/>
      </left>
      <right/>
      <top style="thick">
        <color rgb="FF999999"/>
      </top>
      <bottom/>
      <diagonal/>
    </border>
    <border>
      <left/>
      <right/>
      <top style="thick">
        <color rgb="FF999999"/>
      </top>
      <bottom/>
      <diagonal/>
    </border>
    <border>
      <left/>
      <right style="thick">
        <color rgb="FF999999"/>
      </right>
      <top style="thick">
        <color rgb="FF999999"/>
      </top>
      <bottom/>
      <diagonal/>
    </border>
    <border>
      <left/>
      <right/>
      <top style="thin">
        <color rgb="FF434343"/>
      </top>
      <bottom style="thin">
        <color rgb="FF999999"/>
      </bottom>
      <diagonal/>
    </border>
    <border>
      <left/>
      <right style="thin">
        <color rgb="FF999999"/>
      </right>
      <top style="thin">
        <color rgb="FF434343"/>
      </top>
      <bottom style="thin">
        <color rgb="FF999999"/>
      </bottom>
      <diagonal/>
    </border>
    <border>
      <left style="thin">
        <color rgb="FF999999"/>
      </left>
      <right/>
      <top style="thin">
        <color rgb="FF434343"/>
      </top>
      <bottom/>
      <diagonal/>
    </border>
    <border>
      <left/>
      <right style="thin">
        <color rgb="FF434343"/>
      </right>
      <top style="thin">
        <color rgb="FF434343"/>
      </top>
      <bottom/>
      <diagonal/>
    </border>
    <border>
      <left style="thin">
        <color rgb="FF434343"/>
      </left>
      <right style="thin">
        <color rgb="FF999999"/>
      </right>
      <top style="thin">
        <color rgb="FF434343"/>
      </top>
      <bottom style="thin">
        <color rgb="FF999999"/>
      </bottom>
      <diagonal/>
    </border>
    <border>
      <left style="thin">
        <color rgb="FF34A853"/>
      </left>
      <right/>
      <top/>
      <bottom style="thin">
        <color rgb="FF9900FF"/>
      </bottom>
      <diagonal/>
    </border>
    <border>
      <left style="thick">
        <color rgb="FF999999"/>
      </left>
      <right/>
      <top/>
      <bottom style="thick">
        <color rgb="FF999999"/>
      </bottom>
      <diagonal/>
    </border>
    <border>
      <left/>
      <right/>
      <top/>
      <bottom style="thick">
        <color rgb="FF999999"/>
      </bottom>
      <diagonal/>
    </border>
    <border>
      <left/>
      <right style="thick">
        <color rgb="FF999999"/>
      </right>
      <top/>
      <bottom style="thick">
        <color rgb="FF999999"/>
      </bottom>
      <diagonal/>
    </border>
    <border>
      <left style="thin">
        <color rgb="FF999999"/>
      </left>
      <right/>
      <top/>
      <bottom style="thin">
        <color rgb="FF434343"/>
      </bottom>
      <diagonal/>
    </border>
    <border>
      <left/>
      <right style="thin">
        <color rgb="FF434343"/>
      </right>
      <top/>
      <bottom style="thin">
        <color rgb="FF434343"/>
      </bottom>
      <diagonal/>
    </border>
    <border>
      <left style="medium">
        <color rgb="FF999999"/>
      </left>
      <right style="thin">
        <color rgb="FF999999"/>
      </right>
      <top style="medium">
        <color rgb="FF999999"/>
      </top>
      <bottom style="thin">
        <color rgb="FF999999"/>
      </bottom>
      <diagonal/>
    </border>
    <border>
      <left style="thin">
        <color rgb="FF999999"/>
      </left>
      <right style="medium">
        <color rgb="FF999999"/>
      </right>
      <top style="medium">
        <color rgb="FF999999"/>
      </top>
      <bottom style="thin">
        <color rgb="FF999999"/>
      </bottom>
      <diagonal/>
    </border>
    <border>
      <left style="medium">
        <color rgb="FF999999"/>
      </left>
      <right/>
      <top style="medium">
        <color rgb="FF999999"/>
      </top>
      <bottom/>
      <diagonal/>
    </border>
    <border>
      <left style="thin">
        <color rgb="FF999999"/>
      </left>
      <right style="thin">
        <color rgb="FF999999"/>
      </right>
      <top style="medium">
        <color rgb="FF999999"/>
      </top>
      <bottom style="thin">
        <color rgb="FF999999"/>
      </bottom>
      <diagonal/>
    </border>
    <border>
      <left style="thin">
        <color rgb="FF999999"/>
      </left>
      <right/>
      <top style="medium">
        <color rgb="FF999999"/>
      </top>
      <bottom style="thin">
        <color rgb="FF999999"/>
      </bottom>
      <diagonal/>
    </border>
    <border>
      <left/>
      <right style="thin">
        <color rgb="FF999999"/>
      </right>
      <top style="medium">
        <color rgb="FF999999"/>
      </top>
      <bottom style="thin">
        <color rgb="FF999999"/>
      </bottom>
      <diagonal/>
    </border>
    <border>
      <left/>
      <right style="medium">
        <color rgb="FF999999"/>
      </right>
      <top style="medium">
        <color rgb="FF999999"/>
      </top>
      <bottom style="thin">
        <color rgb="FF999999"/>
      </bottom>
      <diagonal/>
    </border>
    <border>
      <left style="medium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medium">
        <color rgb="FF999999"/>
      </right>
      <top style="thin">
        <color rgb="FF999999"/>
      </top>
      <bottom style="thin">
        <color rgb="FF999999"/>
      </bottom>
      <diagonal/>
    </border>
    <border>
      <left style="medium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medium">
        <color rgb="FF999999"/>
      </right>
      <top style="thin">
        <color rgb="FF999999"/>
      </top>
      <bottom/>
      <diagonal/>
    </border>
    <border>
      <left style="medium">
        <color rgb="FF999999"/>
      </left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medium">
        <color rgb="FF999999"/>
      </right>
      <top style="thin">
        <color rgb="FF999999"/>
      </top>
      <bottom/>
      <diagonal/>
    </border>
    <border>
      <left style="medium">
        <color rgb="FF999999"/>
      </left>
      <right style="thin">
        <color rgb="FF999999"/>
      </right>
      <top/>
      <bottom style="medium">
        <color rgb="FF999999"/>
      </bottom>
      <diagonal/>
    </border>
    <border>
      <left style="thin">
        <color rgb="FF999999"/>
      </left>
      <right style="medium">
        <color rgb="FF999999"/>
      </right>
      <top/>
      <bottom style="medium">
        <color rgb="FF999999"/>
      </bottom>
      <diagonal/>
    </border>
    <border>
      <left style="medium">
        <color rgb="FF999999"/>
      </left>
      <right/>
      <top/>
      <bottom style="medium">
        <color rgb="FF999999"/>
      </bottom>
      <diagonal/>
    </border>
    <border>
      <left style="thin">
        <color rgb="FF999999"/>
      </left>
      <right/>
      <top/>
      <bottom style="medium">
        <color rgb="FF999999"/>
      </bottom>
      <diagonal/>
    </border>
    <border>
      <left/>
      <right/>
      <top/>
      <bottom style="medium">
        <color rgb="FF999999"/>
      </bottom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 style="medium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 style="medium">
        <color rgb="FF999999"/>
      </right>
      <top/>
      <bottom style="thin">
        <color rgb="FF999999"/>
      </bottom>
      <diagonal/>
    </border>
    <border>
      <left/>
      <right/>
      <top style="medium">
        <color rgb="FF999999"/>
      </top>
      <bottom/>
      <diagonal/>
    </border>
    <border>
      <left style="thin">
        <color rgb="FF999999"/>
      </left>
      <right/>
      <top style="medium">
        <color rgb="FF999999"/>
      </top>
      <bottom/>
      <diagonal/>
    </border>
    <border>
      <left/>
      <right style="thin">
        <color rgb="FF999999"/>
      </right>
      <top style="medium">
        <color rgb="FF999999"/>
      </top>
      <bottom/>
      <diagonal/>
    </border>
    <border>
      <left style="thin">
        <color rgb="FF999999"/>
      </left>
      <right style="thin">
        <color rgb="FF999999"/>
      </right>
      <top style="medium">
        <color rgb="FF999999"/>
      </top>
      <bottom/>
      <diagonal/>
    </border>
    <border>
      <left/>
      <right style="medium">
        <color rgb="FF999999"/>
      </right>
      <top style="medium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medium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medium">
        <color rgb="FF999999"/>
      </right>
      <top style="thin">
        <color rgb="FF999999"/>
      </top>
      <bottom style="thin">
        <color rgb="FF999999"/>
      </bottom>
      <diagonal/>
    </border>
    <border>
      <left style="medium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 style="medium">
        <color rgb="FF999999"/>
      </bottom>
      <diagonal/>
    </border>
    <border>
      <left style="thin">
        <color rgb="FF999999"/>
      </left>
      <right/>
      <top style="thin">
        <color rgb="FF999999"/>
      </top>
      <bottom style="medium">
        <color rgb="FF999999"/>
      </bottom>
      <diagonal/>
    </border>
    <border>
      <left/>
      <right style="thin">
        <color rgb="FF999999"/>
      </right>
      <top style="thin">
        <color rgb="FF999999"/>
      </top>
      <bottom style="medium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medium">
        <color rgb="FF999999"/>
      </bottom>
      <diagonal/>
    </border>
    <border>
      <left/>
      <right/>
      <top style="thin">
        <color rgb="FF999999"/>
      </top>
      <bottom style="medium">
        <color rgb="FF999999"/>
      </bottom>
      <diagonal/>
    </border>
    <border>
      <left/>
      <right style="medium">
        <color rgb="FF999999"/>
      </right>
      <top style="thin">
        <color rgb="FF999999"/>
      </top>
      <bottom style="medium">
        <color rgb="FF999999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4" fillId="0" borderId="3" xfId="0" applyFont="1" applyBorder="1"/>
    <xf numFmtId="0" fontId="4" fillId="0" borderId="4" xfId="0" applyFont="1" applyBorder="1"/>
    <xf numFmtId="0" fontId="5" fillId="3" borderId="5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5" fillId="3" borderId="7" xfId="0" applyFont="1" applyFill="1" applyBorder="1" applyAlignment="1">
      <alignment horizontal="center" vertical="center" wrapText="1"/>
    </xf>
    <xf numFmtId="0" fontId="4" fillId="0" borderId="8" xfId="0" applyFont="1" applyBorder="1"/>
    <xf numFmtId="0" fontId="5" fillId="4" borderId="9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left" vertical="center" wrapText="1"/>
    </xf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6" fillId="2" borderId="0" xfId="0" applyFont="1" applyFill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8" fillId="6" borderId="16" xfId="0" applyFont="1" applyFill="1" applyBorder="1" applyAlignment="1">
      <alignment horizontal="left" vertical="center" wrapText="1"/>
    </xf>
    <xf numFmtId="0" fontId="8" fillId="7" borderId="17" xfId="0" applyFont="1" applyFill="1" applyBorder="1" applyAlignment="1">
      <alignment horizontal="left" vertical="center" wrapText="1"/>
    </xf>
    <xf numFmtId="0" fontId="8" fillId="8" borderId="17" xfId="0" applyFont="1" applyFill="1" applyBorder="1" applyAlignment="1">
      <alignment horizontal="left" vertical="center" wrapText="1"/>
    </xf>
    <xf numFmtId="0" fontId="8" fillId="9" borderId="18" xfId="0" applyFont="1" applyFill="1" applyBorder="1" applyAlignment="1">
      <alignment horizontal="left" vertical="center" wrapText="1"/>
    </xf>
    <xf numFmtId="0" fontId="9" fillId="8" borderId="19" xfId="0" applyFont="1" applyFill="1" applyBorder="1" applyAlignment="1">
      <alignment horizontal="center" vertical="center" wrapText="1"/>
    </xf>
    <xf numFmtId="0" fontId="9" fillId="10" borderId="20" xfId="0" applyFont="1" applyFill="1" applyBorder="1" applyAlignment="1">
      <alignment horizontal="center" vertical="center" wrapText="1"/>
    </xf>
    <xf numFmtId="0" fontId="4" fillId="0" borderId="21" xfId="0" applyFont="1" applyBorder="1"/>
    <xf numFmtId="9" fontId="9" fillId="8" borderId="20" xfId="0" applyNumberFormat="1" applyFont="1" applyFill="1" applyBorder="1" applyAlignment="1">
      <alignment horizontal="center" vertical="center" wrapText="1"/>
    </xf>
    <xf numFmtId="0" fontId="9" fillId="11" borderId="19" xfId="0" applyFont="1" applyFill="1" applyBorder="1" applyAlignment="1">
      <alignment horizontal="center" vertical="center" wrapText="1"/>
    </xf>
    <xf numFmtId="0" fontId="4" fillId="0" borderId="22" xfId="0" applyFont="1" applyBorder="1"/>
    <xf numFmtId="0" fontId="8" fillId="6" borderId="23" xfId="0" applyFont="1" applyFill="1" applyBorder="1" applyAlignment="1">
      <alignment horizontal="left" vertical="center" wrapText="1"/>
    </xf>
    <xf numFmtId="0" fontId="8" fillId="8" borderId="24" xfId="0" applyFont="1" applyFill="1" applyBorder="1" applyAlignment="1">
      <alignment horizontal="left" vertical="center" wrapText="1"/>
    </xf>
    <xf numFmtId="0" fontId="8" fillId="6" borderId="25" xfId="0" applyFont="1" applyFill="1" applyBorder="1" applyAlignment="1">
      <alignment horizontal="left" vertical="center" wrapText="1"/>
    </xf>
    <xf numFmtId="0" fontId="8" fillId="8" borderId="26" xfId="0" applyFont="1" applyFill="1" applyBorder="1" applyAlignment="1">
      <alignment horizontal="left" vertical="center" wrapText="1"/>
    </xf>
    <xf numFmtId="0" fontId="4" fillId="0" borderId="27" xfId="0" applyFont="1" applyBorder="1"/>
    <xf numFmtId="0" fontId="9" fillId="8" borderId="28" xfId="0" applyFont="1" applyFill="1" applyBorder="1" applyAlignment="1">
      <alignment horizontal="center" vertical="center" wrapText="1"/>
    </xf>
    <xf numFmtId="0" fontId="9" fillId="11" borderId="28" xfId="0" applyFont="1" applyFill="1" applyBorder="1" applyAlignment="1">
      <alignment horizontal="center" vertical="center" wrapText="1"/>
    </xf>
    <xf numFmtId="0" fontId="4" fillId="0" borderId="29" xfId="0" applyFont="1" applyBorder="1"/>
    <xf numFmtId="9" fontId="9" fillId="8" borderId="28" xfId="0" applyNumberFormat="1" applyFont="1" applyFill="1" applyBorder="1" applyAlignment="1">
      <alignment horizontal="center" vertical="center" wrapText="1"/>
    </xf>
    <xf numFmtId="10" fontId="9" fillId="11" borderId="28" xfId="0" applyNumberFormat="1" applyFont="1" applyFill="1" applyBorder="1" applyAlignment="1">
      <alignment horizontal="center" vertical="center" wrapText="1"/>
    </xf>
    <xf numFmtId="0" fontId="4" fillId="0" borderId="30" xfId="0" applyFont="1" applyBorder="1"/>
    <xf numFmtId="0" fontId="4" fillId="0" borderId="31" xfId="0" applyFont="1" applyBorder="1"/>
    <xf numFmtId="0" fontId="4" fillId="0" borderId="32" xfId="0" applyFont="1" applyBorder="1"/>
    <xf numFmtId="0" fontId="4" fillId="0" borderId="33" xfId="0" applyFont="1" applyBorder="1"/>
    <xf numFmtId="0" fontId="4" fillId="0" borderId="34" xfId="0" applyFont="1" applyBorder="1"/>
    <xf numFmtId="0" fontId="4" fillId="0" borderId="35" xfId="0" applyFont="1" applyBorder="1"/>
    <xf numFmtId="0" fontId="4" fillId="0" borderId="36" xfId="0" applyFont="1" applyBorder="1"/>
    <xf numFmtId="0" fontId="4" fillId="0" borderId="37" xfId="0" applyFont="1" applyBorder="1"/>
    <xf numFmtId="0" fontId="4" fillId="0" borderId="38" xfId="0" applyFont="1" applyBorder="1"/>
    <xf numFmtId="0" fontId="8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vertical="center"/>
    </xf>
    <xf numFmtId="0" fontId="8" fillId="12" borderId="19" xfId="0" applyFont="1" applyFill="1" applyBorder="1" applyAlignment="1">
      <alignment vertical="center"/>
    </xf>
    <xf numFmtId="0" fontId="8" fillId="12" borderId="17" xfId="0" applyFont="1" applyFill="1" applyBorder="1" applyAlignment="1">
      <alignment vertical="center"/>
    </xf>
    <xf numFmtId="0" fontId="8" fillId="5" borderId="18" xfId="0" applyFont="1" applyFill="1" applyBorder="1" applyAlignment="1">
      <alignment horizontal="left" vertical="center" wrapText="1"/>
    </xf>
    <xf numFmtId="0" fontId="8" fillId="5" borderId="18" xfId="0" applyFont="1" applyFill="1" applyBorder="1" applyAlignment="1">
      <alignment horizontal="left" vertical="center" wrapText="1"/>
    </xf>
    <xf numFmtId="0" fontId="4" fillId="0" borderId="39" xfId="0" applyFont="1" applyBorder="1"/>
    <xf numFmtId="0" fontId="8" fillId="5" borderId="40" xfId="0" applyFont="1" applyFill="1" applyBorder="1" applyAlignment="1">
      <alignment horizontal="left" vertical="center" wrapText="1"/>
    </xf>
    <xf numFmtId="0" fontId="4" fillId="0" borderId="41" xfId="0" applyFont="1" applyBorder="1"/>
    <xf numFmtId="0" fontId="8" fillId="5" borderId="42" xfId="0" applyFont="1" applyFill="1" applyBorder="1" applyAlignment="1">
      <alignment vertical="center"/>
    </xf>
    <xf numFmtId="0" fontId="8" fillId="5" borderId="40" xfId="0" applyFont="1" applyFill="1" applyBorder="1" applyAlignment="1">
      <alignment vertical="center"/>
    </xf>
    <xf numFmtId="0" fontId="4" fillId="0" borderId="43" xfId="0" applyFont="1" applyBorder="1"/>
    <xf numFmtId="0" fontId="8" fillId="5" borderId="18" xfId="0" applyFont="1" applyFill="1" applyBorder="1" applyAlignment="1">
      <alignment vertical="center"/>
    </xf>
    <xf numFmtId="164" fontId="9" fillId="0" borderId="44" xfId="0" applyNumberFormat="1" applyFont="1" applyBorder="1" applyAlignment="1">
      <alignment horizontal="left" vertical="center"/>
    </xf>
    <xf numFmtId="164" fontId="9" fillId="0" borderId="24" xfId="0" applyNumberFormat="1" applyFont="1" applyBorder="1" applyAlignment="1">
      <alignment horizontal="left" vertical="center"/>
    </xf>
    <xf numFmtId="0" fontId="8" fillId="9" borderId="45" xfId="0" applyFont="1" applyFill="1" applyBorder="1" applyAlignment="1">
      <alignment horizontal="left" vertical="center" wrapText="1"/>
    </xf>
    <xf numFmtId="0" fontId="9" fillId="10" borderId="28" xfId="0" applyFont="1" applyFill="1" applyBorder="1" applyAlignment="1">
      <alignment horizontal="left" vertical="center" wrapText="1"/>
    </xf>
    <xf numFmtId="0" fontId="8" fillId="9" borderId="46" xfId="0" applyFont="1" applyFill="1" applyBorder="1" applyAlignment="1">
      <alignment horizontal="left" vertical="center"/>
    </xf>
    <xf numFmtId="0" fontId="4" fillId="0" borderId="47" xfId="0" applyFont="1" applyBorder="1"/>
    <xf numFmtId="0" fontId="9" fillId="10" borderId="44" xfId="0" applyFont="1" applyFill="1" applyBorder="1" applyAlignment="1">
      <alignment horizontal="left" vertical="center"/>
    </xf>
    <xf numFmtId="0" fontId="9" fillId="10" borderId="46" xfId="0" applyFont="1" applyFill="1" applyBorder="1" applyAlignment="1">
      <alignment horizontal="left" vertical="center"/>
    </xf>
    <xf numFmtId="0" fontId="4" fillId="0" borderId="48" xfId="0" applyFont="1" applyBorder="1"/>
    <xf numFmtId="164" fontId="9" fillId="10" borderId="46" xfId="0" applyNumberFormat="1" applyFont="1" applyFill="1" applyBorder="1" applyAlignment="1">
      <alignment horizontal="left" vertical="center" wrapText="1"/>
    </xf>
    <xf numFmtId="10" fontId="9" fillId="10" borderId="46" xfId="0" applyNumberFormat="1" applyFont="1" applyFill="1" applyBorder="1" applyAlignment="1">
      <alignment horizontal="left" vertical="center"/>
    </xf>
    <xf numFmtId="0" fontId="4" fillId="0" borderId="49" xfId="0" applyFont="1" applyBorder="1"/>
    <xf numFmtId="0" fontId="8" fillId="8" borderId="50" xfId="0" applyFont="1" applyFill="1" applyBorder="1" applyAlignment="1">
      <alignment horizontal="left" vertical="center" wrapText="1"/>
    </xf>
    <xf numFmtId="0" fontId="4" fillId="0" borderId="51" xfId="0" applyFont="1" applyBorder="1"/>
    <xf numFmtId="0" fontId="0" fillId="0" borderId="0" xfId="0"/>
    <xf numFmtId="0" fontId="9" fillId="10" borderId="52" xfId="0" applyFont="1" applyFill="1" applyBorder="1" applyAlignment="1">
      <alignment horizontal="left" vertical="center"/>
    </xf>
    <xf numFmtId="164" fontId="9" fillId="10" borderId="46" xfId="0" applyNumberFormat="1" applyFont="1" applyFill="1" applyBorder="1" applyAlignment="1">
      <alignment horizontal="left" vertical="center"/>
    </xf>
    <xf numFmtId="0" fontId="9" fillId="10" borderId="46" xfId="0" applyFont="1" applyFill="1" applyBorder="1" applyAlignment="1">
      <alignment horizontal="left" vertical="center" wrapText="1"/>
    </xf>
    <xf numFmtId="0" fontId="9" fillId="10" borderId="44" xfId="0" applyFont="1" applyFill="1" applyBorder="1" applyAlignment="1">
      <alignment horizontal="left" vertical="center" wrapText="1"/>
    </xf>
    <xf numFmtId="0" fontId="8" fillId="6" borderId="45" xfId="0" applyFont="1" applyFill="1" applyBorder="1" applyAlignment="1">
      <alignment horizontal="left" vertical="center" wrapText="1"/>
    </xf>
    <xf numFmtId="164" fontId="9" fillId="0" borderId="52" xfId="0" applyNumberFormat="1" applyFont="1" applyBorder="1" applyAlignment="1">
      <alignment horizontal="left" vertical="center"/>
    </xf>
    <xf numFmtId="164" fontId="9" fillId="0" borderId="26" xfId="0" applyNumberFormat="1" applyFont="1" applyBorder="1" applyAlignment="1">
      <alignment horizontal="left" vertical="center"/>
    </xf>
    <xf numFmtId="0" fontId="8" fillId="13" borderId="45" xfId="0" applyFont="1" applyFill="1" applyBorder="1" applyAlignment="1">
      <alignment horizontal="left" vertical="center" wrapText="1"/>
    </xf>
    <xf numFmtId="0" fontId="9" fillId="11" borderId="28" xfId="0" applyFont="1" applyFill="1" applyBorder="1" applyAlignment="1">
      <alignment horizontal="left" vertical="center" wrapText="1"/>
    </xf>
    <xf numFmtId="0" fontId="8" fillId="13" borderId="46" xfId="0" applyFont="1" applyFill="1" applyBorder="1" applyAlignment="1">
      <alignment horizontal="left" vertical="center"/>
    </xf>
    <xf numFmtId="0" fontId="9" fillId="11" borderId="44" xfId="0" applyFont="1" applyFill="1" applyBorder="1" applyAlignment="1">
      <alignment horizontal="left" vertical="center"/>
    </xf>
    <xf numFmtId="0" fontId="9" fillId="11" borderId="46" xfId="0" applyFont="1" applyFill="1" applyBorder="1" applyAlignment="1">
      <alignment horizontal="left" vertical="center"/>
    </xf>
    <xf numFmtId="164" fontId="9" fillId="11" borderId="46" xfId="0" applyNumberFormat="1" applyFont="1" applyFill="1" applyBorder="1" applyAlignment="1">
      <alignment horizontal="left" vertical="center"/>
    </xf>
    <xf numFmtId="10" fontId="9" fillId="11" borderId="46" xfId="0" applyNumberFormat="1" applyFont="1" applyFill="1" applyBorder="1" applyAlignment="1">
      <alignment horizontal="left" vertical="center"/>
    </xf>
    <xf numFmtId="0" fontId="8" fillId="8" borderId="45" xfId="0" applyFont="1" applyFill="1" applyBorder="1" applyAlignment="1">
      <alignment horizontal="left" vertical="center" wrapText="1"/>
    </xf>
    <xf numFmtId="0" fontId="4" fillId="0" borderId="53" xfId="0" applyFont="1" applyBorder="1"/>
    <xf numFmtId="0" fontId="8" fillId="13" borderId="54" xfId="0" applyFont="1" applyFill="1" applyBorder="1" applyAlignment="1">
      <alignment horizontal="left" vertical="center"/>
    </xf>
    <xf numFmtId="0" fontId="4" fillId="0" borderId="55" xfId="0" applyFont="1" applyBorder="1"/>
    <xf numFmtId="0" fontId="9" fillId="11" borderId="56" xfId="0" applyFont="1" applyFill="1" applyBorder="1" applyAlignment="1">
      <alignment horizontal="left" vertical="center"/>
    </xf>
    <xf numFmtId="0" fontId="9" fillId="11" borderId="54" xfId="0" applyFont="1" applyFill="1" applyBorder="1" applyAlignment="1">
      <alignment horizontal="left" vertical="center"/>
    </xf>
    <xf numFmtId="0" fontId="4" fillId="0" borderId="57" xfId="0" applyFont="1" applyBorder="1"/>
    <xf numFmtId="164" fontId="9" fillId="11" borderId="54" xfId="0" applyNumberFormat="1" applyFont="1" applyFill="1" applyBorder="1" applyAlignment="1">
      <alignment horizontal="left" vertical="center"/>
    </xf>
    <xf numFmtId="0" fontId="9" fillId="11" borderId="56" xfId="0" applyFont="1" applyFill="1" applyBorder="1" applyAlignment="1">
      <alignment horizontal="left" vertical="center" wrapText="1"/>
    </xf>
    <xf numFmtId="10" fontId="9" fillId="11" borderId="54" xfId="0" applyNumberFormat="1" applyFont="1" applyFill="1" applyBorder="1" applyAlignment="1">
      <alignment horizontal="left" vertical="center"/>
    </xf>
    <xf numFmtId="0" fontId="4" fillId="0" borderId="58" xfId="0" applyFont="1" applyBorder="1"/>
    <xf numFmtId="0" fontId="10" fillId="0" borderId="0" xfId="0" applyFont="1"/>
    <xf numFmtId="0" fontId="11" fillId="2" borderId="0" xfId="0" applyFont="1" applyFill="1"/>
    <xf numFmtId="0" fontId="1" fillId="0" borderId="0" xfId="0" applyFont="1"/>
    <xf numFmtId="0" fontId="1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TFIS\Selected\All_in_One_TFIS_26-12-2023_Unprotected_Copy.xlsx" TargetMode="External"/><Relationship Id="rId1" Type="http://schemas.openxmlformats.org/officeDocument/2006/relationships/externalLinkPath" Target="/TFIS/Selected/All_in_One_TFIS_26-12-2023_Unprotected_Copy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EQ%20AB5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teps"/>
      <sheetName val="Index"/>
      <sheetName val="AB1"/>
      <sheetName val="AB2"/>
      <sheetName val="AB3"/>
      <sheetName val="AB4"/>
      <sheetName val="AB5"/>
      <sheetName val="AB6 FUT"/>
      <sheetName val="AB6 OS"/>
      <sheetName val="AB6 OB"/>
      <sheetName val="AB6 EQ"/>
      <sheetName val="AB8"/>
      <sheetName val="AB9"/>
      <sheetName val="AB10"/>
      <sheetName val="AB11"/>
      <sheetName val="AB12"/>
      <sheetName val="AB13"/>
      <sheetName val="AB14"/>
      <sheetName val="AB15"/>
      <sheetName val="AB16"/>
      <sheetName val="AB17"/>
      <sheetName val="AB18"/>
      <sheetName val="AB19 PA"/>
      <sheetName val="1. 0900 TGT"/>
      <sheetName val="2. 0905 E &amp; SL"/>
      <sheetName val="3. 0910 E &amp; SL"/>
      <sheetName val="4. 0915 E &amp; SL 4"/>
      <sheetName val="5. 0915 TGT"/>
      <sheetName val="6. 0920 E &amp; SL 2"/>
      <sheetName val="7. 0925 E &amp; SL 1"/>
      <sheetName val="8. 0930 E &amp; SL"/>
    </sheetNames>
    <sheetDataSet>
      <sheetData sheetId="0"/>
      <sheetData sheetId="1"/>
      <sheetData sheetId="2"/>
      <sheetData sheetId="3">
        <row r="1">
          <cell r="A1" t="str">
            <v>SR. NO.</v>
          </cell>
          <cell r="B1" t="str">
            <v>STRATEGY CODE</v>
          </cell>
          <cell r="C1" t="str">
            <v>SEGMENT</v>
          </cell>
          <cell r="E1" t="str">
            <v>SYMBOL</v>
          </cell>
          <cell r="K1" t="str">
            <v>No. of Targets</v>
          </cell>
          <cell r="N1" t="str">
            <v>Unique Code</v>
          </cell>
        </row>
        <row r="6">
          <cell r="A6">
            <v>1</v>
          </cell>
          <cell r="B6" t="str">
            <v>S1</v>
          </cell>
          <cell r="C6" t="str">
            <v>FUTURES</v>
          </cell>
          <cell r="E6" t="str">
            <v>USDINR</v>
          </cell>
          <cell r="K6" t="str">
            <v>4 &amp; APS</v>
          </cell>
          <cell r="N6" t="str">
            <v>USDINR_FUT_MT_SAME_2D_2D</v>
          </cell>
        </row>
        <row r="7">
          <cell r="A7">
            <v>2</v>
          </cell>
          <cell r="B7" t="str">
            <v>S2</v>
          </cell>
          <cell r="C7" t="str">
            <v>FUTURES</v>
          </cell>
          <cell r="E7" t="str">
            <v>USDINR</v>
          </cell>
          <cell r="K7" t="str">
            <v>4 &amp; APS</v>
          </cell>
          <cell r="N7" t="str">
            <v>USDINR_FUT_MT_DIFF_2D_4D</v>
          </cell>
        </row>
        <row r="8">
          <cell r="A8">
            <v>3</v>
          </cell>
          <cell r="B8" t="str">
            <v>S3</v>
          </cell>
          <cell r="C8" t="str">
            <v>FUTURES</v>
          </cell>
          <cell r="E8" t="str">
            <v>BANKNIFTY</v>
          </cell>
          <cell r="K8" t="str">
            <v>4 &amp; APS</v>
          </cell>
          <cell r="N8" t="str">
            <v>BANKNIFTY_FUT_MT_DIFF_1D_2D</v>
          </cell>
        </row>
        <row r="9">
          <cell r="A9">
            <v>4</v>
          </cell>
          <cell r="B9" t="str">
            <v>S4</v>
          </cell>
          <cell r="C9" t="str">
            <v>FUTURES</v>
          </cell>
          <cell r="E9" t="str">
            <v>BANKNIFTY</v>
          </cell>
          <cell r="K9" t="str">
            <v>4 &amp; APS</v>
          </cell>
          <cell r="N9" t="str">
            <v>BANKNIFTY_FUT_MT_SAME_2D_2D</v>
          </cell>
        </row>
        <row r="10">
          <cell r="A10">
            <v>5</v>
          </cell>
          <cell r="B10" t="str">
            <v>S5</v>
          </cell>
          <cell r="C10" t="str">
            <v>FUTURES</v>
          </cell>
          <cell r="E10" t="str">
            <v>STOCKS</v>
          </cell>
          <cell r="K10" t="str">
            <v>4 &amp; APS</v>
          </cell>
          <cell r="N10" t="str">
            <v>STOCKS_FUT_MT_DIFF_2D_3D</v>
          </cell>
        </row>
        <row r="11">
          <cell r="A11">
            <v>6</v>
          </cell>
          <cell r="B11" t="str">
            <v>S6</v>
          </cell>
          <cell r="C11" t="str">
            <v>FUTURES</v>
          </cell>
          <cell r="E11" t="str">
            <v>STOCKS</v>
          </cell>
          <cell r="K11" t="str">
            <v>4 &amp; APS</v>
          </cell>
          <cell r="N11" t="str">
            <v>STOCKS_FUT_MT_SAME_3D_3D</v>
          </cell>
        </row>
        <row r="12">
          <cell r="A12">
            <v>7</v>
          </cell>
          <cell r="B12" t="str">
            <v>S7</v>
          </cell>
          <cell r="C12" t="str">
            <v>FUTURES</v>
          </cell>
          <cell r="E12" t="str">
            <v>STOCKS</v>
          </cell>
          <cell r="K12" t="str">
            <v>4 &amp; APS</v>
          </cell>
          <cell r="N12" t="str">
            <v>STOCKS_FUT_MT_DIFF_2D_PW&amp;CW</v>
          </cell>
        </row>
        <row r="13">
          <cell r="A13">
            <v>8</v>
          </cell>
          <cell r="B13" t="str">
            <v>S8</v>
          </cell>
          <cell r="C13" t="str">
            <v>FUTURES</v>
          </cell>
          <cell r="E13" t="str">
            <v>NIFTY</v>
          </cell>
          <cell r="K13" t="str">
            <v>4 &amp; APS</v>
          </cell>
          <cell r="N13" t="str">
            <v>NIFTY_FUT_MT_DIFF_1D_2D</v>
          </cell>
        </row>
        <row r="14">
          <cell r="A14">
            <v>9</v>
          </cell>
          <cell r="B14" t="str">
            <v>S9</v>
          </cell>
          <cell r="C14" t="str">
            <v>FUTURES</v>
          </cell>
          <cell r="E14" t="str">
            <v>NIFTY</v>
          </cell>
          <cell r="K14" t="str">
            <v>4 &amp; APS</v>
          </cell>
          <cell r="N14" t="str">
            <v>NIFTY_FUT_MT_SAME_2D_2D</v>
          </cell>
        </row>
        <row r="15">
          <cell r="A15">
            <v>10</v>
          </cell>
          <cell r="B15" t="str">
            <v>S10</v>
          </cell>
          <cell r="C15" t="str">
            <v>FUTURES</v>
          </cell>
          <cell r="E15" t="str">
            <v>GOLDM</v>
          </cell>
          <cell r="K15" t="str">
            <v>4 &amp; APS</v>
          </cell>
          <cell r="N15" t="str">
            <v>GOLDM_FUT_MT_DIFF_2D_3D</v>
          </cell>
        </row>
        <row r="16">
          <cell r="A16">
            <v>11</v>
          </cell>
          <cell r="B16" t="str">
            <v>S11</v>
          </cell>
          <cell r="C16" t="str">
            <v>FUTURES</v>
          </cell>
          <cell r="E16" t="str">
            <v>GOLDM</v>
          </cell>
          <cell r="K16" t="str">
            <v>4 &amp; APS</v>
          </cell>
          <cell r="N16" t="str">
            <v>GOLDM_FUT_MT_SAME_3D_3D</v>
          </cell>
        </row>
        <row r="17">
          <cell r="A17">
            <v>12</v>
          </cell>
          <cell r="B17" t="str">
            <v>S12</v>
          </cell>
          <cell r="C17" t="str">
            <v>FUTURES</v>
          </cell>
          <cell r="E17" t="str">
            <v>SILVERM</v>
          </cell>
          <cell r="K17" t="str">
            <v>4 &amp; APS</v>
          </cell>
          <cell r="N17" t="str">
            <v>SILVERM_FUT_MT_DIFF_2D_3D</v>
          </cell>
        </row>
        <row r="18">
          <cell r="A18">
            <v>13</v>
          </cell>
          <cell r="B18" t="str">
            <v>S13</v>
          </cell>
          <cell r="C18" t="str">
            <v>FUTURES</v>
          </cell>
          <cell r="E18" t="str">
            <v>SILVERM</v>
          </cell>
          <cell r="K18" t="str">
            <v>4 &amp; APS</v>
          </cell>
          <cell r="N18" t="str">
            <v>SILVERM_FUT_MT_SAME_3D_3D</v>
          </cell>
        </row>
        <row r="19">
          <cell r="A19">
            <v>14</v>
          </cell>
          <cell r="B19" t="str">
            <v>S14</v>
          </cell>
          <cell r="C19" t="str">
            <v>FUTURES</v>
          </cell>
          <cell r="E19" t="str">
            <v>CRUDEOIL</v>
          </cell>
          <cell r="K19" t="str">
            <v>4 &amp; APS</v>
          </cell>
          <cell r="N19" t="str">
            <v>CRUDEOIL_FUT_MT_SAME_2D_2D</v>
          </cell>
        </row>
        <row r="20">
          <cell r="A20">
            <v>15</v>
          </cell>
          <cell r="B20" t="str">
            <v>S15</v>
          </cell>
          <cell r="C20" t="str">
            <v>FUTURES</v>
          </cell>
          <cell r="E20" t="str">
            <v>CRUDEOIL</v>
          </cell>
          <cell r="K20" t="str">
            <v>4 &amp; APS</v>
          </cell>
          <cell r="N20" t="str">
            <v>CRUDEOIL_FUT_MT_DIFF_1D_2D</v>
          </cell>
        </row>
        <row r="21">
          <cell r="A21">
            <v>16</v>
          </cell>
          <cell r="B21" t="str">
            <v>S16</v>
          </cell>
          <cell r="C21" t="str">
            <v>FUTURES</v>
          </cell>
          <cell r="E21" t="str">
            <v>NATURALGAS</v>
          </cell>
          <cell r="K21" t="str">
            <v>4 &amp; APS</v>
          </cell>
          <cell r="N21" t="str">
            <v>NATURALGAS_FUT_MT_DIFF_2D_3D</v>
          </cell>
        </row>
        <row r="22">
          <cell r="A22">
            <v>17</v>
          </cell>
          <cell r="B22" t="str">
            <v>S17</v>
          </cell>
          <cell r="C22" t="str">
            <v>FUTURES</v>
          </cell>
          <cell r="E22" t="str">
            <v>NATURALGAS</v>
          </cell>
          <cell r="K22" t="str">
            <v>4 &amp; APS</v>
          </cell>
          <cell r="N22" t="str">
            <v>NATURALGAS_FUT_MT_DIFF_2D_PW&amp;CW</v>
          </cell>
        </row>
        <row r="23">
          <cell r="A23">
            <v>18</v>
          </cell>
          <cell r="B23" t="str">
            <v>S18</v>
          </cell>
          <cell r="C23" t="str">
            <v>OPTIONS SELL</v>
          </cell>
          <cell r="E23" t="str">
            <v>USDINR</v>
          </cell>
          <cell r="K23" t="str">
            <v>APS</v>
          </cell>
          <cell r="N23" t="str">
            <v>USDINR_OP_SELL_WK_DIFF_2D_3D</v>
          </cell>
        </row>
        <row r="24">
          <cell r="A24">
            <v>19</v>
          </cell>
          <cell r="B24" t="str">
            <v>S19</v>
          </cell>
          <cell r="C24" t="str">
            <v>OPTIONS SELL</v>
          </cell>
          <cell r="E24" t="str">
            <v>USDINR</v>
          </cell>
          <cell r="K24" t="str">
            <v>APS</v>
          </cell>
          <cell r="N24" t="str">
            <v>USDINR_OP_SELL_MT_DIFF_2D_3D</v>
          </cell>
        </row>
        <row r="25">
          <cell r="A25">
            <v>20</v>
          </cell>
          <cell r="B25" t="str">
            <v>S20</v>
          </cell>
          <cell r="C25" t="str">
            <v>OPTIONS SELL</v>
          </cell>
          <cell r="E25" t="str">
            <v>BANKNIFTY</v>
          </cell>
          <cell r="K25" t="str">
            <v>APS</v>
          </cell>
          <cell r="N25" t="str">
            <v>BANKNIFTY_OP_SELL_WK_DIFF_2D_3D</v>
          </cell>
        </row>
        <row r="26">
          <cell r="A26">
            <v>21</v>
          </cell>
          <cell r="B26" t="str">
            <v>S21</v>
          </cell>
          <cell r="C26" t="str">
            <v>OPTIONS SELL</v>
          </cell>
          <cell r="E26" t="str">
            <v>BANKNIFTY</v>
          </cell>
          <cell r="K26" t="str">
            <v>APS</v>
          </cell>
          <cell r="N26" t="str">
            <v>BANKNIFTY_OP_SELL_MT_DIFF_2D_3D</v>
          </cell>
        </row>
        <row r="27">
          <cell r="A27">
            <v>22</v>
          </cell>
          <cell r="B27" t="str">
            <v>S22</v>
          </cell>
          <cell r="C27" t="str">
            <v>OPTIONS SELL</v>
          </cell>
          <cell r="E27" t="str">
            <v>STOCKS</v>
          </cell>
          <cell r="K27" t="str">
            <v>APS</v>
          </cell>
          <cell r="N27" t="str">
            <v>STOCKS_OP_SELL_MT_DIFF_2D_4D</v>
          </cell>
        </row>
        <row r="28">
          <cell r="A28">
            <v>23</v>
          </cell>
          <cell r="B28" t="str">
            <v>S23</v>
          </cell>
          <cell r="C28" t="str">
            <v>OPTIONS SELL</v>
          </cell>
          <cell r="E28" t="str">
            <v>NIFTY</v>
          </cell>
          <cell r="K28" t="str">
            <v>APS</v>
          </cell>
          <cell r="N28" t="str">
            <v>NIFTY_OP_SELL_WK_DIFF_2D_3D</v>
          </cell>
        </row>
        <row r="29">
          <cell r="A29">
            <v>24</v>
          </cell>
          <cell r="B29" t="str">
            <v>S24</v>
          </cell>
          <cell r="C29" t="str">
            <v>OPTIONS SELL</v>
          </cell>
          <cell r="E29" t="str">
            <v>NIFTY</v>
          </cell>
          <cell r="K29" t="str">
            <v>APS</v>
          </cell>
          <cell r="N29" t="str">
            <v>NIFTY_OP_SELL_MT_DIFF_2D_3D</v>
          </cell>
        </row>
        <row r="30">
          <cell r="A30">
            <v>25</v>
          </cell>
          <cell r="B30" t="str">
            <v>S25</v>
          </cell>
          <cell r="C30" t="str">
            <v>OPTIONS BUY</v>
          </cell>
          <cell r="E30" t="str">
            <v>BANKNIFTY</v>
          </cell>
          <cell r="K30" t="str">
            <v>1 &amp; APS</v>
          </cell>
          <cell r="N30" t="str">
            <v>BANKNIFTY_OP_BUY_WK_SAME_1D 75 Mins_1D 75 Mins</v>
          </cell>
        </row>
        <row r="31">
          <cell r="A31">
            <v>26</v>
          </cell>
          <cell r="B31" t="str">
            <v>S26</v>
          </cell>
          <cell r="C31" t="str">
            <v>OPTIONS BUY</v>
          </cell>
          <cell r="E31" t="str">
            <v>STOCKS</v>
          </cell>
          <cell r="K31" t="str">
            <v>4 &amp; APS</v>
          </cell>
          <cell r="N31" t="str">
            <v>STOCKS_OP_BUY_MT_DIFF_2D_4D</v>
          </cell>
        </row>
        <row r="32">
          <cell r="A32">
            <v>27</v>
          </cell>
          <cell r="B32" t="str">
            <v>S27</v>
          </cell>
          <cell r="C32" t="str">
            <v>OPTIONS BUY</v>
          </cell>
          <cell r="E32" t="str">
            <v>STOCKS</v>
          </cell>
          <cell r="K32" t="str">
            <v>4 &amp; APS</v>
          </cell>
          <cell r="N32" t="str">
            <v>STOCKS_OP_BUY_MT_DIFF_2D_2D</v>
          </cell>
        </row>
        <row r="33">
          <cell r="A33">
            <v>28</v>
          </cell>
          <cell r="B33" t="str">
            <v>S28</v>
          </cell>
          <cell r="C33" t="str">
            <v>EQUITY</v>
          </cell>
          <cell r="E33" t="str">
            <v>STOCKS</v>
          </cell>
          <cell r="K33" t="str">
            <v>5 &amp; APS</v>
          </cell>
          <cell r="N33" t="str">
            <v>STOCKS_EQ_DCC</v>
          </cell>
        </row>
        <row r="34">
          <cell r="A34">
            <v>29</v>
          </cell>
          <cell r="B34" t="str">
            <v>S29</v>
          </cell>
          <cell r="C34" t="str">
            <v>EQUITY</v>
          </cell>
          <cell r="E34" t="str">
            <v>STOCKS</v>
          </cell>
          <cell r="K34" t="str">
            <v>5 &amp; APS</v>
          </cell>
          <cell r="N34" t="str">
            <v>STOCKS_EQ_WCC</v>
          </cell>
        </row>
        <row r="35">
          <cell r="A35">
            <v>30</v>
          </cell>
          <cell r="B35" t="str">
            <v>S30</v>
          </cell>
          <cell r="C35" t="str">
            <v>EQUITY</v>
          </cell>
          <cell r="E35" t="str">
            <v>STOCKS</v>
          </cell>
          <cell r="K35" t="str">
            <v>5 &amp; APS</v>
          </cell>
          <cell r="N35" t="str">
            <v>STOCKS_EQ_MCC</v>
          </cell>
        </row>
        <row r="36">
          <cell r="A36">
            <v>31</v>
          </cell>
          <cell r="B36" t="str">
            <v>S31</v>
          </cell>
        </row>
        <row r="37">
          <cell r="A37">
            <v>32</v>
          </cell>
          <cell r="B37" t="str">
            <v>S32</v>
          </cell>
        </row>
        <row r="38">
          <cell r="A38">
            <v>33</v>
          </cell>
          <cell r="B38" t="str">
            <v>S33</v>
          </cell>
        </row>
        <row r="39">
          <cell r="A39">
            <v>34</v>
          </cell>
          <cell r="B39" t="str">
            <v>S34</v>
          </cell>
        </row>
        <row r="40">
          <cell r="A40">
            <v>35</v>
          </cell>
          <cell r="B40" t="str">
            <v>S35</v>
          </cell>
        </row>
        <row r="41">
          <cell r="A41">
            <v>36</v>
          </cell>
          <cell r="B41" t="str">
            <v>S36</v>
          </cell>
        </row>
        <row r="42">
          <cell r="A42">
            <v>37</v>
          </cell>
          <cell r="B42" t="str">
            <v>S37</v>
          </cell>
        </row>
        <row r="43">
          <cell r="A43">
            <v>38</v>
          </cell>
          <cell r="B43" t="str">
            <v>S38</v>
          </cell>
        </row>
        <row r="44">
          <cell r="A44">
            <v>39</v>
          </cell>
          <cell r="B44" t="str">
            <v>S39</v>
          </cell>
        </row>
        <row r="45">
          <cell r="A45">
            <v>40</v>
          </cell>
          <cell r="B45" t="str">
            <v>S40</v>
          </cell>
        </row>
        <row r="46">
          <cell r="A46">
            <v>41</v>
          </cell>
          <cell r="B46" t="str">
            <v>S41</v>
          </cell>
        </row>
        <row r="47">
          <cell r="A47">
            <v>42</v>
          </cell>
          <cell r="B47" t="str">
            <v>S42</v>
          </cell>
        </row>
        <row r="48">
          <cell r="A48">
            <v>43</v>
          </cell>
          <cell r="B48" t="str">
            <v>S43</v>
          </cell>
        </row>
        <row r="49">
          <cell r="A49">
            <v>44</v>
          </cell>
          <cell r="B49" t="str">
            <v>S44</v>
          </cell>
        </row>
        <row r="50">
          <cell r="A50">
            <v>45</v>
          </cell>
          <cell r="B50" t="str">
            <v>S45</v>
          </cell>
        </row>
        <row r="51">
          <cell r="A51">
            <v>46</v>
          </cell>
          <cell r="B51" t="str">
            <v>S46</v>
          </cell>
        </row>
        <row r="52">
          <cell r="A52">
            <v>47</v>
          </cell>
          <cell r="B52" t="str">
            <v>S47</v>
          </cell>
        </row>
        <row r="53">
          <cell r="A53">
            <v>48</v>
          </cell>
          <cell r="B53" t="str">
            <v>S48</v>
          </cell>
        </row>
        <row r="54">
          <cell r="A54">
            <v>49</v>
          </cell>
          <cell r="B54" t="str">
            <v>S49</v>
          </cell>
        </row>
        <row r="55">
          <cell r="A55">
            <v>50</v>
          </cell>
          <cell r="B55" t="str">
            <v>S50</v>
          </cell>
        </row>
      </sheetData>
      <sheetData sheetId="4"/>
      <sheetData sheetId="5">
        <row r="1">
          <cell r="B1">
            <v>1</v>
          </cell>
          <cell r="G1">
            <v>6</v>
          </cell>
          <cell r="H1">
            <v>7</v>
          </cell>
          <cell r="I1">
            <v>8</v>
          </cell>
          <cell r="J1">
            <v>9</v>
          </cell>
          <cell r="L1">
            <v>11</v>
          </cell>
          <cell r="M1">
            <v>12</v>
          </cell>
          <cell r="N1">
            <v>13</v>
          </cell>
          <cell r="O1">
            <v>14</v>
          </cell>
          <cell r="P1">
            <v>15</v>
          </cell>
          <cell r="Q1">
            <v>16</v>
          </cell>
          <cell r="R1">
            <v>17</v>
          </cell>
          <cell r="S1">
            <v>18</v>
          </cell>
          <cell r="T1">
            <v>19</v>
          </cell>
          <cell r="U1">
            <v>20</v>
          </cell>
          <cell r="V1">
            <v>21</v>
          </cell>
          <cell r="W1">
            <v>22</v>
          </cell>
          <cell r="X1">
            <v>23</v>
          </cell>
          <cell r="Y1">
            <v>24</v>
          </cell>
          <cell r="AA1">
            <v>26</v>
          </cell>
          <cell r="AE1">
            <v>30</v>
          </cell>
          <cell r="AF1">
            <v>31</v>
          </cell>
          <cell r="AG1">
            <v>32</v>
          </cell>
          <cell r="AK1">
            <v>36</v>
          </cell>
          <cell r="AM1">
            <v>38</v>
          </cell>
          <cell r="AP1">
            <v>41</v>
          </cell>
          <cell r="AQ1">
            <v>42</v>
          </cell>
          <cell r="AS1">
            <v>44</v>
          </cell>
          <cell r="AT1">
            <v>45</v>
          </cell>
          <cell r="AV1">
            <v>47</v>
          </cell>
          <cell r="AW1">
            <v>48</v>
          </cell>
          <cell r="AY1">
            <v>50</v>
          </cell>
          <cell r="AZ1">
            <v>51</v>
          </cell>
          <cell r="BB1">
            <v>53</v>
          </cell>
          <cell r="BE1">
            <v>56</v>
          </cell>
          <cell r="BF1">
            <v>57</v>
          </cell>
          <cell r="BG1">
            <v>58</v>
          </cell>
          <cell r="BK1">
            <v>62</v>
          </cell>
          <cell r="BL1">
            <v>63</v>
          </cell>
        </row>
        <row r="2">
          <cell r="B2" t="str">
            <v>Code For AP</v>
          </cell>
          <cell r="G2" t="str">
            <v>Entry</v>
          </cell>
          <cell r="L2" t="str">
            <v>Target</v>
          </cell>
          <cell r="AA2" t="str">
            <v>Final Exit</v>
          </cell>
          <cell r="AE2" t="str">
            <v>Stop Loss : MSL</v>
          </cell>
          <cell r="AK2" t="str">
            <v>Stop Loss : TSL</v>
          </cell>
        </row>
        <row r="3">
          <cell r="L3" t="str">
            <v>Target</v>
          </cell>
          <cell r="M3" t="str">
            <v>+ | -</v>
          </cell>
          <cell r="N3" t="str">
            <v>Target 1</v>
          </cell>
          <cell r="P3" t="str">
            <v>TGT 2</v>
          </cell>
          <cell r="R3" t="str">
            <v>TGT 3</v>
          </cell>
          <cell r="T3" t="str">
            <v>TGT 4</v>
          </cell>
          <cell r="V3" t="str">
            <v>TGT 5</v>
          </cell>
          <cell r="X3" t="str">
            <v>TGT 6</v>
          </cell>
          <cell r="AA3" t="str">
            <v>Max / Min</v>
          </cell>
          <cell r="AE3" t="str">
            <v>MSL</v>
          </cell>
          <cell r="AG3" t="str">
            <v>MSL 1</v>
          </cell>
          <cell r="AK3" t="str">
            <v>TSL After Entry</v>
          </cell>
          <cell r="AQ3" t="str">
            <v>TSL After TGT 2</v>
          </cell>
          <cell r="AT3" t="str">
            <v>TSL After TGT 3</v>
          </cell>
          <cell r="AW3" t="str">
            <v>TSL After TGT 4</v>
          </cell>
          <cell r="AZ3" t="str">
            <v>TSL After TGT 5</v>
          </cell>
          <cell r="BE3" t="str">
            <v>For Entry</v>
          </cell>
          <cell r="BF3" t="str">
            <v>For SL (P. = Open)</v>
          </cell>
          <cell r="BG3" t="str">
            <v>For TGT (P. = Open)</v>
          </cell>
          <cell r="BK3" t="str">
            <v>For Entry</v>
          </cell>
          <cell r="BL3" t="str">
            <v>For SL 
(P. = Open)</v>
          </cell>
        </row>
        <row r="4">
          <cell r="G4" t="str">
            <v>Data</v>
          </cell>
          <cell r="H4" t="str">
            <v>+ | -</v>
          </cell>
          <cell r="I4" t="str">
            <v>Buffer</v>
          </cell>
          <cell r="J4" t="str">
            <v>Lots</v>
          </cell>
          <cell r="L4" t="str">
            <v>Data 1</v>
          </cell>
          <cell r="N4" t="str">
            <v>Buffer</v>
          </cell>
          <cell r="O4" t="str">
            <v>Lots</v>
          </cell>
          <cell r="P4" t="str">
            <v>Buffer</v>
          </cell>
          <cell r="Q4" t="str">
            <v>Lots</v>
          </cell>
          <cell r="R4" t="str">
            <v>Buffer</v>
          </cell>
          <cell r="S4" t="str">
            <v>Lots</v>
          </cell>
          <cell r="T4" t="str">
            <v>Buffer</v>
          </cell>
          <cell r="U4" t="str">
            <v>Lots</v>
          </cell>
          <cell r="V4" t="str">
            <v>Buffer</v>
          </cell>
          <cell r="W4" t="str">
            <v>Lots</v>
          </cell>
          <cell r="X4" t="str">
            <v>Buffer</v>
          </cell>
          <cell r="Y4" t="str">
            <v>Lots</v>
          </cell>
          <cell r="AE4" t="str">
            <v>Data</v>
          </cell>
          <cell r="AF4" t="str">
            <v>+ | -</v>
          </cell>
          <cell r="AG4" t="str">
            <v>Buffer</v>
          </cell>
          <cell r="AK4" t="str">
            <v>Data</v>
          </cell>
          <cell r="AM4" t="str">
            <v>Lots</v>
          </cell>
          <cell r="AP4" t="str">
            <v>Lots</v>
          </cell>
          <cell r="AQ4" t="str">
            <v>Data</v>
          </cell>
          <cell r="AS4" t="str">
            <v>Lots</v>
          </cell>
          <cell r="AT4" t="str">
            <v>Data</v>
          </cell>
          <cell r="AV4" t="str">
            <v>Lots</v>
          </cell>
          <cell r="AW4" t="str">
            <v>Data</v>
          </cell>
          <cell r="AY4" t="str">
            <v>Lots</v>
          </cell>
          <cell r="AZ4" t="str">
            <v>Data</v>
          </cell>
          <cell r="BB4" t="str">
            <v>Lots</v>
          </cell>
        </row>
        <row r="6">
          <cell r="B6" t="str">
            <v>S1A</v>
          </cell>
          <cell r="G6" t="str">
            <v>FUT : PRV : 2DHH</v>
          </cell>
          <cell r="H6" t="str">
            <v xml:space="preserve"> + </v>
          </cell>
          <cell r="I6">
            <v>5.0000000000000001E-4</v>
          </cell>
          <cell r="J6">
            <v>5</v>
          </cell>
          <cell r="L6" t="str">
            <v xml:space="preserve">L : Entry </v>
          </cell>
          <cell r="M6" t="str">
            <v xml:space="preserve"> + </v>
          </cell>
          <cell r="N6">
            <v>4.0000000000000001E-3</v>
          </cell>
          <cell r="O6">
            <v>1</v>
          </cell>
          <cell r="P6">
            <v>6.0000000000000001E-3</v>
          </cell>
          <cell r="Q6">
            <v>1</v>
          </cell>
          <cell r="R6">
            <v>8.0000000000000002E-3</v>
          </cell>
          <cell r="S6">
            <v>1</v>
          </cell>
          <cell r="T6">
            <v>0.01</v>
          </cell>
          <cell r="U6">
            <v>1</v>
          </cell>
          <cell r="V6" t="str">
            <v>TR PROFIT AFTER TGT 4</v>
          </cell>
          <cell r="W6">
            <v>1</v>
          </cell>
          <cell r="X6" t="str">
            <v>N.A.</v>
          </cell>
          <cell r="Y6" t="str">
            <v>N.A.</v>
          </cell>
          <cell r="AA6" t="str">
            <v>Max</v>
          </cell>
          <cell r="AE6" t="str">
            <v>L : Entry</v>
          </cell>
          <cell r="AF6" t="str">
            <v xml:space="preserve"> - </v>
          </cell>
          <cell r="AG6">
            <v>4.0000000000000001E-3</v>
          </cell>
          <cell r="AK6" t="str">
            <v>FUT : PRV : 2DLL</v>
          </cell>
          <cell r="AM6">
            <v>5</v>
          </cell>
          <cell r="AP6">
            <v>4</v>
          </cell>
          <cell r="AQ6" t="str">
            <v>FUT : PRV : 2DLL</v>
          </cell>
          <cell r="AS6">
            <v>3</v>
          </cell>
          <cell r="AT6" t="str">
            <v>FUT : PRV : 2DLL</v>
          </cell>
          <cell r="AV6">
            <v>2</v>
          </cell>
          <cell r="AW6" t="str">
            <v>FUT : PRV : 2DLL</v>
          </cell>
          <cell r="AY6">
            <v>1</v>
          </cell>
          <cell r="AZ6">
            <v>0</v>
          </cell>
          <cell r="BB6">
            <v>0</v>
          </cell>
          <cell r="BE6">
            <v>0.37846527777777778</v>
          </cell>
          <cell r="BF6">
            <v>0.37846527777777778</v>
          </cell>
          <cell r="BG6">
            <v>0.375</v>
          </cell>
          <cell r="BK6">
            <v>5.0000000000000001E-4</v>
          </cell>
          <cell r="BL6">
            <v>5.0000000000000001E-4</v>
          </cell>
        </row>
        <row r="7">
          <cell r="B7" t="str">
            <v>S1B</v>
          </cell>
          <cell r="G7" t="str">
            <v>FUT : PRV : 2DLL</v>
          </cell>
          <cell r="H7" t="str">
            <v xml:space="preserve"> - </v>
          </cell>
          <cell r="I7">
            <v>5.0000000000000001E-4</v>
          </cell>
          <cell r="J7">
            <v>5</v>
          </cell>
          <cell r="L7" t="str">
            <v xml:space="preserve">S : Entry </v>
          </cell>
          <cell r="M7" t="str">
            <v xml:space="preserve"> - </v>
          </cell>
          <cell r="N7">
            <v>4.0000000000000001E-3</v>
          </cell>
          <cell r="O7">
            <v>1</v>
          </cell>
          <cell r="P7">
            <v>6.0000000000000001E-3</v>
          </cell>
          <cell r="Q7">
            <v>1</v>
          </cell>
          <cell r="R7">
            <v>8.0000000000000002E-3</v>
          </cell>
          <cell r="S7">
            <v>1</v>
          </cell>
          <cell r="T7">
            <v>0.01</v>
          </cell>
          <cell r="U7">
            <v>1</v>
          </cell>
          <cell r="V7" t="str">
            <v>TR PROFIT AFTER TGT 4</v>
          </cell>
          <cell r="W7">
            <v>1</v>
          </cell>
          <cell r="X7" t="str">
            <v>N.A.</v>
          </cell>
          <cell r="Y7" t="str">
            <v>N.A.</v>
          </cell>
          <cell r="AA7" t="str">
            <v>Min</v>
          </cell>
          <cell r="AE7" t="str">
            <v>S : Entry</v>
          </cell>
          <cell r="AF7" t="str">
            <v xml:space="preserve"> + </v>
          </cell>
          <cell r="AG7">
            <v>4.0000000000000001E-3</v>
          </cell>
          <cell r="AK7" t="str">
            <v>FUT : PRV : 2DHH</v>
          </cell>
          <cell r="AM7">
            <v>5</v>
          </cell>
          <cell r="AP7">
            <v>4</v>
          </cell>
          <cell r="AQ7" t="str">
            <v>FUT : PRV : 2DHH</v>
          </cell>
          <cell r="AS7">
            <v>3</v>
          </cell>
          <cell r="AT7" t="str">
            <v>FUT : PRV : 2DHH</v>
          </cell>
          <cell r="AV7">
            <v>2</v>
          </cell>
          <cell r="AW7" t="str">
            <v>FUT : PRV : 2DHH</v>
          </cell>
          <cell r="AY7">
            <v>1</v>
          </cell>
          <cell r="AZ7">
            <v>0</v>
          </cell>
          <cell r="BB7">
            <v>0</v>
          </cell>
          <cell r="BE7">
            <v>0.38540972222222225</v>
          </cell>
          <cell r="BF7">
            <v>0.38540972222222225</v>
          </cell>
          <cell r="BG7" t="str">
            <v>N.A.</v>
          </cell>
          <cell r="BK7">
            <v>5.0000000000000001E-4</v>
          </cell>
          <cell r="BL7">
            <v>5.0000000000000001E-4</v>
          </cell>
        </row>
        <row r="8">
          <cell r="B8" t="str">
            <v>S1C</v>
          </cell>
        </row>
        <row r="9">
          <cell r="B9" t="str">
            <v>S1D</v>
          </cell>
          <cell r="G9" t="str">
            <v>FUT : PRV : 2DHH</v>
          </cell>
          <cell r="H9" t="str">
            <v xml:space="preserve"> + </v>
          </cell>
          <cell r="I9">
            <v>5.0000000000000001E-4</v>
          </cell>
          <cell r="J9">
            <v>5</v>
          </cell>
          <cell r="L9" t="str">
            <v xml:space="preserve">L : Entry </v>
          </cell>
          <cell r="M9" t="str">
            <v xml:space="preserve"> + </v>
          </cell>
          <cell r="N9">
            <v>4.0000000000000001E-3</v>
          </cell>
          <cell r="O9">
            <v>1</v>
          </cell>
          <cell r="P9">
            <v>6.0000000000000001E-3</v>
          </cell>
          <cell r="Q9">
            <v>1</v>
          </cell>
          <cell r="R9">
            <v>8.0000000000000002E-3</v>
          </cell>
          <cell r="S9">
            <v>1</v>
          </cell>
          <cell r="T9">
            <v>0.01</v>
          </cell>
          <cell r="U9">
            <v>1</v>
          </cell>
          <cell r="V9" t="str">
            <v>TR PROFIT AFTER TGT 4</v>
          </cell>
          <cell r="W9">
            <v>1</v>
          </cell>
          <cell r="X9" t="str">
            <v>N.A.</v>
          </cell>
          <cell r="Y9" t="str">
            <v>N.A.</v>
          </cell>
          <cell r="AA9" t="str">
            <v>Max</v>
          </cell>
          <cell r="AE9" t="str">
            <v>L : Entry</v>
          </cell>
          <cell r="AF9" t="str">
            <v xml:space="preserve"> - </v>
          </cell>
          <cell r="AG9">
            <v>4.0000000000000001E-3</v>
          </cell>
          <cell r="AK9" t="str">
            <v>FUT : PRV : 2DLL</v>
          </cell>
          <cell r="AM9">
            <v>5</v>
          </cell>
          <cell r="AP9">
            <v>4</v>
          </cell>
          <cell r="AQ9" t="str">
            <v>FUT : PRV : 2DLL</v>
          </cell>
          <cell r="AS9">
            <v>3</v>
          </cell>
          <cell r="AT9" t="str">
            <v>FUT : PRV : 2DLL</v>
          </cell>
          <cell r="AV9">
            <v>2</v>
          </cell>
          <cell r="AW9" t="str">
            <v>FUT : PRV : 2DLL</v>
          </cell>
          <cell r="AY9">
            <v>1</v>
          </cell>
          <cell r="AZ9">
            <v>0</v>
          </cell>
          <cell r="BB9">
            <v>0</v>
          </cell>
          <cell r="BE9">
            <v>0.375</v>
          </cell>
          <cell r="BK9">
            <v>5.0000000000000001E-4</v>
          </cell>
          <cell r="BL9">
            <v>5.0000000000000001E-4</v>
          </cell>
        </row>
        <row r="10">
          <cell r="B10" t="str">
            <v>S1E</v>
          </cell>
          <cell r="G10" t="str">
            <v>FUT : PRV : 2DLL</v>
          </cell>
          <cell r="H10" t="str">
            <v xml:space="preserve"> - </v>
          </cell>
          <cell r="I10">
            <v>5.0000000000000001E-4</v>
          </cell>
          <cell r="J10">
            <v>5</v>
          </cell>
          <cell r="L10" t="str">
            <v xml:space="preserve">S : Entry </v>
          </cell>
          <cell r="M10" t="str">
            <v xml:space="preserve"> - </v>
          </cell>
          <cell r="N10">
            <v>4.0000000000000001E-3</v>
          </cell>
          <cell r="O10">
            <v>1</v>
          </cell>
          <cell r="P10">
            <v>6.0000000000000001E-3</v>
          </cell>
          <cell r="Q10">
            <v>1</v>
          </cell>
          <cell r="R10">
            <v>8.0000000000000002E-3</v>
          </cell>
          <cell r="S10">
            <v>1</v>
          </cell>
          <cell r="T10">
            <v>0.01</v>
          </cell>
          <cell r="U10">
            <v>1</v>
          </cell>
          <cell r="V10" t="str">
            <v>TR PROFIT AFTER TGT 4</v>
          </cell>
          <cell r="W10">
            <v>1</v>
          </cell>
          <cell r="X10" t="str">
            <v>N.A.</v>
          </cell>
          <cell r="Y10" t="str">
            <v>N.A.</v>
          </cell>
          <cell r="AA10" t="str">
            <v>Min</v>
          </cell>
          <cell r="AE10" t="str">
            <v>S : Entry</v>
          </cell>
          <cell r="AF10" t="str">
            <v xml:space="preserve"> + </v>
          </cell>
          <cell r="AG10">
            <v>4.0000000000000001E-3</v>
          </cell>
          <cell r="AK10" t="str">
            <v>FUT : PRV : 2DHH</v>
          </cell>
          <cell r="AM10">
            <v>5</v>
          </cell>
          <cell r="AP10">
            <v>4</v>
          </cell>
          <cell r="AQ10" t="str">
            <v>FUT : PRV : 2DHH</v>
          </cell>
          <cell r="AS10">
            <v>3</v>
          </cell>
          <cell r="AT10" t="str">
            <v>FUT : PRV : 2DHH</v>
          </cell>
          <cell r="AV10">
            <v>2</v>
          </cell>
          <cell r="AW10" t="str">
            <v>FUT : PRV : 2DHH</v>
          </cell>
          <cell r="AY10">
            <v>1</v>
          </cell>
          <cell r="AZ10">
            <v>0</v>
          </cell>
          <cell r="BB10">
            <v>0</v>
          </cell>
          <cell r="BE10">
            <v>0.70833333333333337</v>
          </cell>
          <cell r="BK10">
            <v>5.0000000000000001E-4</v>
          </cell>
          <cell r="BL10">
            <v>5.0000000000000001E-4</v>
          </cell>
        </row>
        <row r="12">
          <cell r="B12" t="str">
            <v>S2A</v>
          </cell>
          <cell r="G12" t="str">
            <v>FUT : PRV : 2DHH</v>
          </cell>
          <cell r="H12" t="str">
            <v xml:space="preserve"> + </v>
          </cell>
          <cell r="I12">
            <v>2.0000000000000001E-4</v>
          </cell>
          <cell r="J12">
            <v>5</v>
          </cell>
          <cell r="L12" t="str">
            <v xml:space="preserve">L : Entry </v>
          </cell>
          <cell r="M12" t="str">
            <v xml:space="preserve"> + </v>
          </cell>
          <cell r="N12">
            <v>4.0000000000000001E-3</v>
          </cell>
          <cell r="O12">
            <v>1</v>
          </cell>
          <cell r="P12">
            <v>6.0000000000000001E-3</v>
          </cell>
          <cell r="Q12">
            <v>1</v>
          </cell>
          <cell r="R12">
            <v>8.0000000000000002E-3</v>
          </cell>
          <cell r="S12">
            <v>1</v>
          </cell>
          <cell r="T12">
            <v>0.01</v>
          </cell>
          <cell r="U12">
            <v>1</v>
          </cell>
          <cell r="V12" t="str">
            <v>TR PROFIT AFTER TGT 4</v>
          </cell>
          <cell r="W12">
            <v>1</v>
          </cell>
          <cell r="X12" t="str">
            <v>N.A.</v>
          </cell>
          <cell r="Y12" t="str">
            <v>N.A.</v>
          </cell>
          <cell r="AA12" t="str">
            <v>Max</v>
          </cell>
          <cell r="AE12" t="str">
            <v>L : Entry</v>
          </cell>
          <cell r="AF12" t="str">
            <v xml:space="preserve"> - </v>
          </cell>
          <cell r="AG12">
            <v>4.0000000000000001E-3</v>
          </cell>
          <cell r="AK12" t="str">
            <v>FUT : PRV : 4DLL</v>
          </cell>
          <cell r="AM12">
            <v>5</v>
          </cell>
          <cell r="AP12">
            <v>4</v>
          </cell>
          <cell r="AQ12" t="str">
            <v>FUT : PRV : 4DLL</v>
          </cell>
          <cell r="AS12">
            <v>3</v>
          </cell>
          <cell r="AT12" t="str">
            <v>FUT : PRV : 4DLL</v>
          </cell>
          <cell r="AV12">
            <v>2</v>
          </cell>
          <cell r="AW12" t="str">
            <v>FUT : PRV : 4DLL</v>
          </cell>
          <cell r="AY12">
            <v>1</v>
          </cell>
          <cell r="AZ12">
            <v>0</v>
          </cell>
          <cell r="BB12">
            <v>0</v>
          </cell>
          <cell r="BE12">
            <v>0.37846527777777778</v>
          </cell>
          <cell r="BF12">
            <v>0.37846527777777778</v>
          </cell>
          <cell r="BG12">
            <v>0.375</v>
          </cell>
          <cell r="BK12">
            <v>2.0000000000000001E-4</v>
          </cell>
          <cell r="BL12">
            <v>5.0000000000000001E-4</v>
          </cell>
        </row>
        <row r="13">
          <cell r="B13" t="str">
            <v>S2B</v>
          </cell>
          <cell r="G13" t="str">
            <v>FUT : PRV : 4DLL</v>
          </cell>
          <cell r="H13" t="str">
            <v xml:space="preserve"> - </v>
          </cell>
          <cell r="I13">
            <v>5.0000000000000001E-4</v>
          </cell>
          <cell r="J13">
            <v>5</v>
          </cell>
          <cell r="L13" t="str">
            <v xml:space="preserve">S : Entry </v>
          </cell>
          <cell r="M13" t="str">
            <v xml:space="preserve"> - </v>
          </cell>
          <cell r="N13">
            <v>4.0000000000000001E-3</v>
          </cell>
          <cell r="O13">
            <v>1</v>
          </cell>
          <cell r="P13">
            <v>6.0000000000000001E-3</v>
          </cell>
          <cell r="Q13">
            <v>1</v>
          </cell>
          <cell r="R13">
            <v>8.0000000000000002E-3</v>
          </cell>
          <cell r="S13">
            <v>1</v>
          </cell>
          <cell r="T13">
            <v>0.01</v>
          </cell>
          <cell r="U13">
            <v>1</v>
          </cell>
          <cell r="V13" t="str">
            <v>TR PROFIT AFTER TGT 4</v>
          </cell>
          <cell r="W13">
            <v>1</v>
          </cell>
          <cell r="X13" t="str">
            <v>N.A.</v>
          </cell>
          <cell r="Y13" t="str">
            <v>N.A.</v>
          </cell>
          <cell r="AA13" t="str">
            <v>Min</v>
          </cell>
          <cell r="AE13" t="str">
            <v>S : Entry</v>
          </cell>
          <cell r="AF13" t="str">
            <v xml:space="preserve"> + </v>
          </cell>
          <cell r="AG13">
            <v>4.0000000000000001E-3</v>
          </cell>
          <cell r="AK13" t="str">
            <v>FUT : PRV : 2DHH</v>
          </cell>
          <cell r="AM13">
            <v>5</v>
          </cell>
          <cell r="AP13">
            <v>4</v>
          </cell>
          <cell r="AQ13" t="str">
            <v>FUT : PRV : 2DHH</v>
          </cell>
          <cell r="AS13">
            <v>3</v>
          </cell>
          <cell r="AT13" t="str">
            <v>FUT : PRV : 2DHH</v>
          </cell>
          <cell r="AV13">
            <v>2</v>
          </cell>
          <cell r="AW13" t="str">
            <v>FUT : PRV : 2DHH</v>
          </cell>
          <cell r="AY13">
            <v>1</v>
          </cell>
          <cell r="AZ13">
            <v>0</v>
          </cell>
          <cell r="BB13">
            <v>0</v>
          </cell>
          <cell r="BE13">
            <v>0.38540972222222225</v>
          </cell>
          <cell r="BF13">
            <v>0.38540972222222225</v>
          </cell>
          <cell r="BG13" t="str">
            <v>N.A.</v>
          </cell>
          <cell r="BK13">
            <v>5.0000000000000001E-4</v>
          </cell>
          <cell r="BL13">
            <v>2.0000000000000001E-4</v>
          </cell>
        </row>
        <row r="14">
          <cell r="B14" t="str">
            <v>S2C</v>
          </cell>
        </row>
        <row r="15">
          <cell r="B15" t="str">
            <v>S2D</v>
          </cell>
          <cell r="G15" t="str">
            <v>FUT : PRV : 4DHH</v>
          </cell>
          <cell r="H15" t="str">
            <v xml:space="preserve"> + </v>
          </cell>
          <cell r="I15">
            <v>5.0000000000000001E-4</v>
          </cell>
          <cell r="J15">
            <v>5</v>
          </cell>
          <cell r="L15" t="str">
            <v xml:space="preserve">L : Entry </v>
          </cell>
          <cell r="M15" t="str">
            <v xml:space="preserve"> + </v>
          </cell>
          <cell r="N15">
            <v>4.0000000000000001E-3</v>
          </cell>
          <cell r="O15">
            <v>1</v>
          </cell>
          <cell r="P15">
            <v>6.0000000000000001E-3</v>
          </cell>
          <cell r="Q15">
            <v>1</v>
          </cell>
          <cell r="R15">
            <v>8.0000000000000002E-3</v>
          </cell>
          <cell r="S15">
            <v>1</v>
          </cell>
          <cell r="T15">
            <v>0.01</v>
          </cell>
          <cell r="U15">
            <v>1</v>
          </cell>
          <cell r="V15" t="str">
            <v>TR PROFIT AFTER TGT 4</v>
          </cell>
          <cell r="W15">
            <v>1</v>
          </cell>
          <cell r="X15" t="str">
            <v>N.A.</v>
          </cell>
          <cell r="Y15" t="str">
            <v>N.A.</v>
          </cell>
          <cell r="AA15" t="str">
            <v>Max</v>
          </cell>
          <cell r="AE15" t="str">
            <v>L : Entry</v>
          </cell>
          <cell r="AF15" t="str">
            <v xml:space="preserve"> - </v>
          </cell>
          <cell r="AG15">
            <v>4.0000000000000001E-3</v>
          </cell>
          <cell r="AK15" t="str">
            <v>FUT : PRV : 2DLL</v>
          </cell>
          <cell r="AM15">
            <v>5</v>
          </cell>
          <cell r="AP15">
            <v>4</v>
          </cell>
          <cell r="AQ15" t="str">
            <v>FUT : PRV : 2DLL</v>
          </cell>
          <cell r="AS15">
            <v>3</v>
          </cell>
          <cell r="AT15" t="str">
            <v>FUT : PRV : 2DLL</v>
          </cell>
          <cell r="AV15">
            <v>2</v>
          </cell>
          <cell r="AW15" t="str">
            <v>FUT : PRV : 2DLL</v>
          </cell>
          <cell r="AY15">
            <v>1</v>
          </cell>
          <cell r="AZ15">
            <v>0</v>
          </cell>
          <cell r="BB15">
            <v>0</v>
          </cell>
          <cell r="BE15">
            <v>0.375</v>
          </cell>
          <cell r="BK15">
            <v>5.0000000000000001E-4</v>
          </cell>
          <cell r="BL15">
            <v>2.0000000000000001E-4</v>
          </cell>
        </row>
        <row r="16">
          <cell r="B16" t="str">
            <v>S2E</v>
          </cell>
          <cell r="G16" t="str">
            <v>FUT : PRV : 2DLL</v>
          </cell>
          <cell r="H16" t="str">
            <v xml:space="preserve"> - </v>
          </cell>
          <cell r="I16">
            <v>2.0000000000000001E-4</v>
          </cell>
          <cell r="J16">
            <v>5</v>
          </cell>
          <cell r="L16" t="str">
            <v xml:space="preserve">S : Entry </v>
          </cell>
          <cell r="M16" t="str">
            <v xml:space="preserve"> - </v>
          </cell>
          <cell r="N16">
            <v>4.0000000000000001E-3</v>
          </cell>
          <cell r="O16">
            <v>1</v>
          </cell>
          <cell r="P16">
            <v>6.0000000000000001E-3</v>
          </cell>
          <cell r="Q16">
            <v>1</v>
          </cell>
          <cell r="R16">
            <v>8.0000000000000002E-3</v>
          </cell>
          <cell r="S16">
            <v>1</v>
          </cell>
          <cell r="T16">
            <v>0.01</v>
          </cell>
          <cell r="U16">
            <v>1</v>
          </cell>
          <cell r="V16" t="str">
            <v>TR PROFIT AFTER TGT 4</v>
          </cell>
          <cell r="W16">
            <v>1</v>
          </cell>
          <cell r="X16" t="str">
            <v>N.A.</v>
          </cell>
          <cell r="Y16" t="str">
            <v>N.A.</v>
          </cell>
          <cell r="AA16" t="str">
            <v>Min</v>
          </cell>
          <cell r="AE16" t="str">
            <v>S : Entry</v>
          </cell>
          <cell r="AF16" t="str">
            <v xml:space="preserve"> + </v>
          </cell>
          <cell r="AG16">
            <v>4.0000000000000001E-3</v>
          </cell>
          <cell r="AK16" t="str">
            <v>FUT : PRV : 4DHH</v>
          </cell>
          <cell r="AM16">
            <v>5</v>
          </cell>
          <cell r="AP16">
            <v>4</v>
          </cell>
          <cell r="AQ16" t="str">
            <v>FUT : PRV : 4DHH</v>
          </cell>
          <cell r="AS16">
            <v>3</v>
          </cell>
          <cell r="AT16" t="str">
            <v>FUT : PRV : 4DHH</v>
          </cell>
          <cell r="AV16">
            <v>2</v>
          </cell>
          <cell r="AW16" t="str">
            <v>FUT : PRV : 4DHH</v>
          </cell>
          <cell r="AY16">
            <v>1</v>
          </cell>
          <cell r="AZ16">
            <v>0</v>
          </cell>
          <cell r="BB16">
            <v>0</v>
          </cell>
          <cell r="BE16">
            <v>0.70833333333333337</v>
          </cell>
          <cell r="BK16">
            <v>2.0000000000000001E-4</v>
          </cell>
          <cell r="BL16">
            <v>5.0000000000000001E-4</v>
          </cell>
        </row>
        <row r="18">
          <cell r="B18" t="str">
            <v>S3A</v>
          </cell>
          <cell r="G18" t="str">
            <v>FUT : PRV : 1DHH</v>
          </cell>
          <cell r="H18" t="str">
            <v xml:space="preserve"> + </v>
          </cell>
          <cell r="I18">
            <v>0</v>
          </cell>
          <cell r="J18">
            <v>5</v>
          </cell>
          <cell r="L18" t="str">
            <v xml:space="preserve">L : Entry </v>
          </cell>
          <cell r="M18" t="str">
            <v xml:space="preserve"> + </v>
          </cell>
          <cell r="N18">
            <v>1.4999999999999999E-2</v>
          </cell>
          <cell r="O18">
            <v>1</v>
          </cell>
          <cell r="P18">
            <v>0.02</v>
          </cell>
          <cell r="Q18">
            <v>1</v>
          </cell>
          <cell r="R18">
            <v>2.5000000000000001E-2</v>
          </cell>
          <cell r="S18">
            <v>1</v>
          </cell>
          <cell r="T18">
            <v>0.03</v>
          </cell>
          <cell r="U18">
            <v>1</v>
          </cell>
          <cell r="V18" t="str">
            <v>TR PROFIT AFTER TGT 4</v>
          </cell>
          <cell r="W18">
            <v>1</v>
          </cell>
          <cell r="X18" t="str">
            <v>N.A.</v>
          </cell>
          <cell r="Y18" t="str">
            <v>N.A.</v>
          </cell>
          <cell r="AA18" t="str">
            <v>Max</v>
          </cell>
          <cell r="AE18" t="str">
            <v>L : Entry</v>
          </cell>
          <cell r="AF18" t="str">
            <v xml:space="preserve"> - </v>
          </cell>
          <cell r="AG18">
            <v>1.4999999999999999E-2</v>
          </cell>
          <cell r="AK18" t="str">
            <v>FUT : PRV : 2DLL</v>
          </cell>
          <cell r="AM18">
            <v>5</v>
          </cell>
          <cell r="AP18">
            <v>4</v>
          </cell>
          <cell r="AQ18" t="str">
            <v>FUT : PRV : 2DLL</v>
          </cell>
          <cell r="AS18">
            <v>3</v>
          </cell>
          <cell r="AT18" t="str">
            <v>FUT : PRV : 2DLL</v>
          </cell>
          <cell r="AV18">
            <v>2</v>
          </cell>
          <cell r="AW18" t="str">
            <v>FUT : PRV : 2DLL</v>
          </cell>
          <cell r="AY18">
            <v>1</v>
          </cell>
          <cell r="AZ18">
            <v>0</v>
          </cell>
          <cell r="BB18">
            <v>0</v>
          </cell>
          <cell r="BE18">
            <v>0.38888194444444446</v>
          </cell>
          <cell r="BF18">
            <v>0.38888194444444446</v>
          </cell>
          <cell r="BG18">
            <v>0.38541666666666669</v>
          </cell>
          <cell r="BK18">
            <v>1.5E-3</v>
          </cell>
          <cell r="BL18">
            <v>1.5E-3</v>
          </cell>
        </row>
        <row r="19">
          <cell r="B19" t="str">
            <v>S3B</v>
          </cell>
          <cell r="G19" t="str">
            <v>FUT : PRV : 2DLL</v>
          </cell>
          <cell r="H19" t="str">
            <v xml:space="preserve"> - </v>
          </cell>
          <cell r="I19">
            <v>1.5E-3</v>
          </cell>
          <cell r="J19">
            <v>5</v>
          </cell>
          <cell r="L19" t="str">
            <v xml:space="preserve">S : Entry </v>
          </cell>
          <cell r="M19" t="str">
            <v xml:space="preserve"> - </v>
          </cell>
          <cell r="N19">
            <v>1.4999999999999999E-2</v>
          </cell>
          <cell r="O19">
            <v>1</v>
          </cell>
          <cell r="P19">
            <v>0.02</v>
          </cell>
          <cell r="Q19">
            <v>1</v>
          </cell>
          <cell r="R19">
            <v>2.5000000000000001E-2</v>
          </cell>
          <cell r="S19">
            <v>1</v>
          </cell>
          <cell r="T19">
            <v>0.03</v>
          </cell>
          <cell r="U19">
            <v>1</v>
          </cell>
          <cell r="V19" t="str">
            <v>TR PROFIT AFTER TGT 4</v>
          </cell>
          <cell r="W19">
            <v>1</v>
          </cell>
          <cell r="X19" t="str">
            <v>N.A.</v>
          </cell>
          <cell r="Y19" t="str">
            <v>N.A.</v>
          </cell>
          <cell r="AA19" t="str">
            <v>Min</v>
          </cell>
          <cell r="AE19" t="str">
            <v>S : Entry</v>
          </cell>
          <cell r="AF19" t="str">
            <v xml:space="preserve"> + </v>
          </cell>
          <cell r="AG19">
            <v>1.4999999999999999E-2</v>
          </cell>
          <cell r="AK19" t="str">
            <v>FUT : PRV : 1DHH</v>
          </cell>
          <cell r="AM19">
            <v>5</v>
          </cell>
          <cell r="AP19">
            <v>4</v>
          </cell>
          <cell r="AQ19" t="str">
            <v>FUT : PRV : 1DHH</v>
          </cell>
          <cell r="AS19">
            <v>3</v>
          </cell>
          <cell r="AT19" t="str">
            <v>FUT : PRV : 1DHH</v>
          </cell>
          <cell r="AV19">
            <v>2</v>
          </cell>
          <cell r="AW19" t="str">
            <v>FUT : PRV : 1DHH</v>
          </cell>
          <cell r="AY19">
            <v>1</v>
          </cell>
          <cell r="AZ19">
            <v>0</v>
          </cell>
          <cell r="BB19">
            <v>0</v>
          </cell>
          <cell r="BE19">
            <v>0.39582638888888888</v>
          </cell>
          <cell r="BF19">
            <v>0.39582638888888888</v>
          </cell>
          <cell r="BG19" t="str">
            <v>N.A.</v>
          </cell>
          <cell r="BK19">
            <v>1.5E-3</v>
          </cell>
          <cell r="BL19">
            <v>1.5E-3</v>
          </cell>
        </row>
        <row r="20">
          <cell r="B20" t="str">
            <v>S3C</v>
          </cell>
        </row>
        <row r="21">
          <cell r="B21" t="str">
            <v>S3D</v>
          </cell>
          <cell r="G21" t="str">
            <v>FUT : PRV : 2DHH</v>
          </cell>
          <cell r="H21" t="str">
            <v xml:space="preserve"> + </v>
          </cell>
          <cell r="I21">
            <v>1.5E-3</v>
          </cell>
          <cell r="J21">
            <v>5</v>
          </cell>
          <cell r="L21" t="str">
            <v xml:space="preserve">L : Entry </v>
          </cell>
          <cell r="M21" t="str">
            <v xml:space="preserve"> + </v>
          </cell>
          <cell r="N21">
            <v>1.4999999999999999E-2</v>
          </cell>
          <cell r="O21">
            <v>1</v>
          </cell>
          <cell r="P21">
            <v>0.02</v>
          </cell>
          <cell r="Q21">
            <v>1</v>
          </cell>
          <cell r="R21">
            <v>2.5000000000000001E-2</v>
          </cell>
          <cell r="S21">
            <v>1</v>
          </cell>
          <cell r="T21">
            <v>0.03</v>
          </cell>
          <cell r="U21">
            <v>1</v>
          </cell>
          <cell r="V21" t="str">
            <v>TR PROFIT AFTER TGT 4</v>
          </cell>
          <cell r="W21">
            <v>1</v>
          </cell>
          <cell r="X21" t="str">
            <v>N.A.</v>
          </cell>
          <cell r="Y21" t="str">
            <v>N.A.</v>
          </cell>
          <cell r="AA21" t="str">
            <v>Max</v>
          </cell>
          <cell r="AE21" t="str">
            <v>L : Entry</v>
          </cell>
          <cell r="AF21" t="str">
            <v xml:space="preserve"> - </v>
          </cell>
          <cell r="AG21">
            <v>1.4999999999999999E-2</v>
          </cell>
          <cell r="AK21" t="str">
            <v>FUT : PRV : 1DLL</v>
          </cell>
          <cell r="AM21">
            <v>5</v>
          </cell>
          <cell r="AP21">
            <v>4</v>
          </cell>
          <cell r="AQ21" t="str">
            <v>FUT : PRV : 1DLL</v>
          </cell>
          <cell r="AS21">
            <v>3</v>
          </cell>
          <cell r="AT21" t="str">
            <v>FUT : PRV : 1DLL</v>
          </cell>
          <cell r="AV21">
            <v>2</v>
          </cell>
          <cell r="AW21" t="str">
            <v>FUT : PRV : 1DLL</v>
          </cell>
          <cell r="AY21">
            <v>1</v>
          </cell>
          <cell r="AZ21">
            <v>0</v>
          </cell>
          <cell r="BB21">
            <v>0</v>
          </cell>
          <cell r="BE21">
            <v>0.38541666666666669</v>
          </cell>
          <cell r="BK21">
            <v>1.5E-3</v>
          </cell>
          <cell r="BL21">
            <v>1.5E-3</v>
          </cell>
        </row>
        <row r="22">
          <cell r="B22" t="str">
            <v>S3E</v>
          </cell>
          <cell r="G22" t="str">
            <v>FUT : PRV : 1DLL</v>
          </cell>
          <cell r="H22" t="str">
            <v xml:space="preserve"> - </v>
          </cell>
          <cell r="I22">
            <v>0</v>
          </cell>
          <cell r="J22">
            <v>5</v>
          </cell>
          <cell r="L22" t="str">
            <v xml:space="preserve">S : Entry </v>
          </cell>
          <cell r="M22" t="str">
            <v xml:space="preserve"> - </v>
          </cell>
          <cell r="N22">
            <v>1.4999999999999999E-2</v>
          </cell>
          <cell r="O22">
            <v>1</v>
          </cell>
          <cell r="P22">
            <v>0.02</v>
          </cell>
          <cell r="Q22">
            <v>1</v>
          </cell>
          <cell r="R22">
            <v>2.5000000000000001E-2</v>
          </cell>
          <cell r="S22">
            <v>1</v>
          </cell>
          <cell r="T22">
            <v>0.03</v>
          </cell>
          <cell r="U22">
            <v>1</v>
          </cell>
          <cell r="V22" t="str">
            <v>TR PROFIT AFTER TGT 4</v>
          </cell>
          <cell r="W22">
            <v>1</v>
          </cell>
          <cell r="X22" t="str">
            <v>N.A.</v>
          </cell>
          <cell r="Y22" t="str">
            <v>N.A.</v>
          </cell>
          <cell r="AA22" t="str">
            <v>Min</v>
          </cell>
          <cell r="AE22" t="str">
            <v>S : Entry</v>
          </cell>
          <cell r="AF22" t="str">
            <v xml:space="preserve"> + </v>
          </cell>
          <cell r="AG22">
            <v>1.4999999999999999E-2</v>
          </cell>
          <cell r="AK22" t="str">
            <v>FUT : PRV : 2DHH</v>
          </cell>
          <cell r="AM22">
            <v>5</v>
          </cell>
          <cell r="AP22">
            <v>4</v>
          </cell>
          <cell r="AQ22" t="str">
            <v>FUT : PRV : 2DHH</v>
          </cell>
          <cell r="AS22">
            <v>3</v>
          </cell>
          <cell r="AT22" t="str">
            <v>FUT : PRV : 2DHH</v>
          </cell>
          <cell r="AV22">
            <v>2</v>
          </cell>
          <cell r="AW22" t="str">
            <v>FUT : PRV : 2DHH</v>
          </cell>
          <cell r="AY22">
            <v>1</v>
          </cell>
          <cell r="AZ22">
            <v>0</v>
          </cell>
          <cell r="BB22">
            <v>0</v>
          </cell>
          <cell r="BE22">
            <v>0.64583333333333337</v>
          </cell>
          <cell r="BK22">
            <v>1.5E-3</v>
          </cell>
          <cell r="BL22">
            <v>1.5E-3</v>
          </cell>
        </row>
        <row r="24">
          <cell r="B24" t="str">
            <v>S4A</v>
          </cell>
          <cell r="G24" t="str">
            <v>FUT : PRV : 2DHH</v>
          </cell>
          <cell r="H24" t="str">
            <v xml:space="preserve"> + </v>
          </cell>
          <cell r="I24">
            <v>1.5E-3</v>
          </cell>
          <cell r="J24">
            <v>5</v>
          </cell>
          <cell r="L24" t="str">
            <v xml:space="preserve">L : Entry </v>
          </cell>
          <cell r="M24" t="str">
            <v xml:space="preserve"> + </v>
          </cell>
          <cell r="N24">
            <v>1.4999999999999999E-2</v>
          </cell>
          <cell r="O24">
            <v>1</v>
          </cell>
          <cell r="P24">
            <v>0.02</v>
          </cell>
          <cell r="Q24">
            <v>1</v>
          </cell>
          <cell r="R24">
            <v>2.5000000000000001E-2</v>
          </cell>
          <cell r="S24">
            <v>1</v>
          </cell>
          <cell r="T24">
            <v>0.03</v>
          </cell>
          <cell r="U24">
            <v>1</v>
          </cell>
          <cell r="V24" t="str">
            <v>TR PROFIT AFTER TGT 4</v>
          </cell>
          <cell r="W24">
            <v>1</v>
          </cell>
          <cell r="X24" t="str">
            <v>N.A.</v>
          </cell>
          <cell r="Y24" t="str">
            <v>N.A.</v>
          </cell>
          <cell r="AA24" t="str">
            <v>Max</v>
          </cell>
          <cell r="AE24" t="str">
            <v>L : Entry</v>
          </cell>
          <cell r="AF24" t="str">
            <v xml:space="preserve"> - </v>
          </cell>
          <cell r="AG24">
            <v>1.4999999999999999E-2</v>
          </cell>
          <cell r="AK24" t="str">
            <v>FUT : PRV : 2DLL</v>
          </cell>
          <cell r="AM24">
            <v>5</v>
          </cell>
          <cell r="AP24">
            <v>4</v>
          </cell>
          <cell r="AQ24" t="str">
            <v>FUT : PRV : 2DLL</v>
          </cell>
          <cell r="AS24">
            <v>3</v>
          </cell>
          <cell r="AT24" t="str">
            <v>FUT : PRV : 2DLL</v>
          </cell>
          <cell r="AV24">
            <v>2</v>
          </cell>
          <cell r="AW24" t="str">
            <v>FUT : PRV : 2DLL</v>
          </cell>
          <cell r="AY24">
            <v>1</v>
          </cell>
          <cell r="AZ24">
            <v>0</v>
          </cell>
          <cell r="BB24">
            <v>0</v>
          </cell>
          <cell r="BE24">
            <v>0.38888194444444446</v>
          </cell>
          <cell r="BF24">
            <v>0.38888194444444446</v>
          </cell>
          <cell r="BG24">
            <v>0.38541666666666669</v>
          </cell>
          <cell r="BK24">
            <v>1.5E-3</v>
          </cell>
          <cell r="BL24">
            <v>1.5E-3</v>
          </cell>
        </row>
        <row r="25">
          <cell r="B25" t="str">
            <v>S4B</v>
          </cell>
          <cell r="G25" t="str">
            <v>FUT : PRV : 2DLL</v>
          </cell>
          <cell r="H25" t="str">
            <v xml:space="preserve"> - </v>
          </cell>
          <cell r="I25">
            <v>1.5E-3</v>
          </cell>
          <cell r="J25">
            <v>5</v>
          </cell>
          <cell r="L25" t="str">
            <v xml:space="preserve">S : Entry </v>
          </cell>
          <cell r="M25" t="str">
            <v xml:space="preserve"> - </v>
          </cell>
          <cell r="N25">
            <v>1.4999999999999999E-2</v>
          </cell>
          <cell r="O25">
            <v>1</v>
          </cell>
          <cell r="P25">
            <v>0.02</v>
          </cell>
          <cell r="Q25">
            <v>1</v>
          </cell>
          <cell r="R25">
            <v>2.5000000000000001E-2</v>
          </cell>
          <cell r="S25">
            <v>1</v>
          </cell>
          <cell r="T25">
            <v>0.03</v>
          </cell>
          <cell r="U25">
            <v>1</v>
          </cell>
          <cell r="V25" t="str">
            <v>TR PROFIT AFTER TGT 4</v>
          </cell>
          <cell r="W25">
            <v>1</v>
          </cell>
          <cell r="X25" t="str">
            <v>N.A.</v>
          </cell>
          <cell r="Y25" t="str">
            <v>N.A.</v>
          </cell>
          <cell r="AA25" t="str">
            <v>Min</v>
          </cell>
          <cell r="AE25" t="str">
            <v>S : Entry</v>
          </cell>
          <cell r="AF25" t="str">
            <v xml:space="preserve"> + </v>
          </cell>
          <cell r="AG25">
            <v>1.4999999999999999E-2</v>
          </cell>
          <cell r="AK25" t="str">
            <v>FUT : PRV : 2DHH</v>
          </cell>
          <cell r="AM25">
            <v>5</v>
          </cell>
          <cell r="AP25">
            <v>4</v>
          </cell>
          <cell r="AQ25" t="str">
            <v>FUT : PRV : 2DHH</v>
          </cell>
          <cell r="AS25">
            <v>3</v>
          </cell>
          <cell r="AT25" t="str">
            <v>FUT : PRV : 2DHH</v>
          </cell>
          <cell r="AV25">
            <v>2</v>
          </cell>
          <cell r="AW25" t="str">
            <v>FUT : PRV : 2DHH</v>
          </cell>
          <cell r="AY25">
            <v>1</v>
          </cell>
          <cell r="AZ25">
            <v>0</v>
          </cell>
          <cell r="BB25">
            <v>0</v>
          </cell>
          <cell r="BE25">
            <v>0.39582638888888888</v>
          </cell>
          <cell r="BF25">
            <v>0.39582638888888888</v>
          </cell>
          <cell r="BG25" t="str">
            <v>N.A.</v>
          </cell>
          <cell r="BK25">
            <v>1.5E-3</v>
          </cell>
          <cell r="BL25">
            <v>1.5E-3</v>
          </cell>
        </row>
        <row r="26">
          <cell r="B26" t="str">
            <v>S4C</v>
          </cell>
        </row>
        <row r="27">
          <cell r="B27" t="str">
            <v>S4D</v>
          </cell>
          <cell r="G27" t="str">
            <v>FUT : PRV : 2DHH</v>
          </cell>
          <cell r="H27" t="str">
            <v xml:space="preserve"> + </v>
          </cell>
          <cell r="I27">
            <v>1.5E-3</v>
          </cell>
          <cell r="J27">
            <v>5</v>
          </cell>
          <cell r="L27" t="str">
            <v xml:space="preserve">L : Entry </v>
          </cell>
          <cell r="M27" t="str">
            <v xml:space="preserve"> + </v>
          </cell>
          <cell r="N27">
            <v>1.4999999999999999E-2</v>
          </cell>
          <cell r="O27">
            <v>1</v>
          </cell>
          <cell r="P27">
            <v>0.02</v>
          </cell>
          <cell r="Q27">
            <v>1</v>
          </cell>
          <cell r="R27">
            <v>2.5000000000000001E-2</v>
          </cell>
          <cell r="S27">
            <v>1</v>
          </cell>
          <cell r="T27">
            <v>0.03</v>
          </cell>
          <cell r="U27">
            <v>1</v>
          </cell>
          <cell r="V27" t="str">
            <v>TR PROFIT AFTER TGT 4</v>
          </cell>
          <cell r="W27">
            <v>1</v>
          </cell>
          <cell r="X27" t="str">
            <v>N.A.</v>
          </cell>
          <cell r="Y27" t="str">
            <v>N.A.</v>
          </cell>
          <cell r="AA27" t="str">
            <v>Max</v>
          </cell>
          <cell r="AE27" t="str">
            <v>L : Entry</v>
          </cell>
          <cell r="AF27" t="str">
            <v xml:space="preserve"> - </v>
          </cell>
          <cell r="AG27">
            <v>1.4999999999999999E-2</v>
          </cell>
          <cell r="AK27" t="str">
            <v>FUT : PRV : 2DLL</v>
          </cell>
          <cell r="AM27">
            <v>5</v>
          </cell>
          <cell r="AP27">
            <v>4</v>
          </cell>
          <cell r="AQ27" t="str">
            <v>FUT : PRV : 2DLL</v>
          </cell>
          <cell r="AS27">
            <v>3</v>
          </cell>
          <cell r="AT27" t="str">
            <v>FUT : PRV : 2DLL</v>
          </cell>
          <cell r="AV27">
            <v>2</v>
          </cell>
          <cell r="AW27" t="str">
            <v>FUT : PRV : 2DLL</v>
          </cell>
          <cell r="AY27">
            <v>1</v>
          </cell>
          <cell r="AZ27">
            <v>0</v>
          </cell>
          <cell r="BB27">
            <v>0</v>
          </cell>
          <cell r="BE27">
            <v>0.38541666666666669</v>
          </cell>
          <cell r="BK27">
            <v>1.5E-3</v>
          </cell>
          <cell r="BL27">
            <v>1.5E-3</v>
          </cell>
        </row>
        <row r="28">
          <cell r="B28" t="str">
            <v>S4E</v>
          </cell>
          <cell r="G28" t="str">
            <v>FUT : PRV : 2DLL</v>
          </cell>
          <cell r="H28" t="str">
            <v xml:space="preserve"> - </v>
          </cell>
          <cell r="I28">
            <v>1.5E-3</v>
          </cell>
          <cell r="J28">
            <v>5</v>
          </cell>
          <cell r="L28" t="str">
            <v xml:space="preserve">S : Entry </v>
          </cell>
          <cell r="M28" t="str">
            <v xml:space="preserve"> - </v>
          </cell>
          <cell r="N28">
            <v>1.4999999999999999E-2</v>
          </cell>
          <cell r="O28">
            <v>1</v>
          </cell>
          <cell r="P28">
            <v>0.02</v>
          </cell>
          <cell r="Q28">
            <v>1</v>
          </cell>
          <cell r="R28">
            <v>2.5000000000000001E-2</v>
          </cell>
          <cell r="S28">
            <v>1</v>
          </cell>
          <cell r="T28">
            <v>0.03</v>
          </cell>
          <cell r="U28">
            <v>1</v>
          </cell>
          <cell r="V28" t="str">
            <v>TR PROFIT AFTER TGT 4</v>
          </cell>
          <cell r="W28">
            <v>1</v>
          </cell>
          <cell r="X28" t="str">
            <v>N.A.</v>
          </cell>
          <cell r="Y28" t="str">
            <v>N.A.</v>
          </cell>
          <cell r="AA28" t="str">
            <v>Min</v>
          </cell>
          <cell r="AE28" t="str">
            <v>S : Entry</v>
          </cell>
          <cell r="AF28" t="str">
            <v xml:space="preserve"> + </v>
          </cell>
          <cell r="AG28">
            <v>1.4999999999999999E-2</v>
          </cell>
          <cell r="AK28" t="str">
            <v>FUT : PRV : 2DHH</v>
          </cell>
          <cell r="AM28">
            <v>5</v>
          </cell>
          <cell r="AP28">
            <v>4</v>
          </cell>
          <cell r="AQ28" t="str">
            <v>FUT : PRV : 2DHH</v>
          </cell>
          <cell r="AS28">
            <v>3</v>
          </cell>
          <cell r="AT28" t="str">
            <v>FUT : PRV : 2DHH</v>
          </cell>
          <cell r="AV28">
            <v>2</v>
          </cell>
          <cell r="AW28" t="str">
            <v>FUT : PRV : 2DHH</v>
          </cell>
          <cell r="AY28">
            <v>1</v>
          </cell>
          <cell r="AZ28">
            <v>0</v>
          </cell>
          <cell r="BB28">
            <v>0</v>
          </cell>
          <cell r="BE28">
            <v>0.64583333333333337</v>
          </cell>
          <cell r="BK28">
            <v>1.5E-3</v>
          </cell>
          <cell r="BL28">
            <v>1.5E-3</v>
          </cell>
        </row>
        <row r="30">
          <cell r="B30" t="str">
            <v>S5A</v>
          </cell>
          <cell r="G30" t="str">
            <v>FUT : PRV : 2DHH</v>
          </cell>
          <cell r="H30" t="str">
            <v xml:space="preserve"> + </v>
          </cell>
          <cell r="I30">
            <v>0</v>
          </cell>
          <cell r="J30">
            <v>5</v>
          </cell>
          <cell r="L30" t="str">
            <v xml:space="preserve">L : Entry </v>
          </cell>
          <cell r="M30" t="str">
            <v xml:space="preserve"> + </v>
          </cell>
          <cell r="N30">
            <v>0.03</v>
          </cell>
          <cell r="O30">
            <v>1</v>
          </cell>
          <cell r="P30">
            <v>4.4999999999999998E-2</v>
          </cell>
          <cell r="Q30">
            <v>1</v>
          </cell>
          <cell r="R30">
            <v>0.06</v>
          </cell>
          <cell r="S30">
            <v>1</v>
          </cell>
          <cell r="T30">
            <v>0.08</v>
          </cell>
          <cell r="U30">
            <v>1</v>
          </cell>
          <cell r="V30" t="str">
            <v>TR PROFIT AFTER TGT 4</v>
          </cell>
          <cell r="W30">
            <v>1</v>
          </cell>
          <cell r="X30" t="str">
            <v>N.A.</v>
          </cell>
          <cell r="Y30" t="str">
            <v>N.A.</v>
          </cell>
          <cell r="AA30" t="str">
            <v>Max</v>
          </cell>
          <cell r="AE30" t="str">
            <v>L : Entry</v>
          </cell>
          <cell r="AF30" t="str">
            <v xml:space="preserve"> - </v>
          </cell>
          <cell r="AG30">
            <v>0.03</v>
          </cell>
          <cell r="AK30" t="str">
            <v>FUT : PRV : 3DLL</v>
          </cell>
          <cell r="AM30">
            <v>5</v>
          </cell>
          <cell r="AP30">
            <v>4</v>
          </cell>
          <cell r="AQ30" t="str">
            <v>FUT : PRV : 3DLL</v>
          </cell>
          <cell r="AS30">
            <v>3</v>
          </cell>
          <cell r="AT30" t="str">
            <v>FUT : PRV : 3DLL</v>
          </cell>
          <cell r="AV30">
            <v>2</v>
          </cell>
          <cell r="AW30" t="str">
            <v>FUT : PRV : 3DLL</v>
          </cell>
          <cell r="AY30">
            <v>1</v>
          </cell>
          <cell r="AZ30">
            <v>0</v>
          </cell>
          <cell r="BB30">
            <v>0</v>
          </cell>
          <cell r="BE30">
            <v>0.38888194444444446</v>
          </cell>
          <cell r="BF30">
            <v>0.38888194444444446</v>
          </cell>
          <cell r="BG30">
            <v>0.38541666666666669</v>
          </cell>
          <cell r="BK30">
            <v>0.01</v>
          </cell>
          <cell r="BL30">
            <v>0.01</v>
          </cell>
        </row>
        <row r="31">
          <cell r="B31" t="str">
            <v>S5B</v>
          </cell>
          <cell r="G31" t="str">
            <v>FUT : PRV : 3DLL</v>
          </cell>
          <cell r="H31" t="str">
            <v xml:space="preserve"> - </v>
          </cell>
          <cell r="I31">
            <v>0.01</v>
          </cell>
          <cell r="J31">
            <v>5</v>
          </cell>
          <cell r="L31" t="str">
            <v xml:space="preserve">S : Entry </v>
          </cell>
          <cell r="M31" t="str">
            <v xml:space="preserve"> - </v>
          </cell>
          <cell r="N31">
            <v>0.03</v>
          </cell>
          <cell r="O31">
            <v>1</v>
          </cell>
          <cell r="P31">
            <v>4.4999999999999998E-2</v>
          </cell>
          <cell r="Q31">
            <v>1</v>
          </cell>
          <cell r="R31">
            <v>0.06</v>
          </cell>
          <cell r="S31">
            <v>1</v>
          </cell>
          <cell r="T31">
            <v>0.08</v>
          </cell>
          <cell r="U31">
            <v>1</v>
          </cell>
          <cell r="V31" t="str">
            <v>TR PROFIT AFTER TGT 4</v>
          </cell>
          <cell r="W31">
            <v>1</v>
          </cell>
          <cell r="X31" t="str">
            <v>N.A.</v>
          </cell>
          <cell r="Y31" t="str">
            <v>N.A.</v>
          </cell>
          <cell r="AA31" t="str">
            <v>Min</v>
          </cell>
          <cell r="AE31" t="str">
            <v>S : Entry</v>
          </cell>
          <cell r="AF31" t="str">
            <v xml:space="preserve"> + </v>
          </cell>
          <cell r="AG31">
            <v>0.03</v>
          </cell>
          <cell r="AK31" t="str">
            <v>FUT : PRV : 2DHH</v>
          </cell>
          <cell r="AM31">
            <v>5</v>
          </cell>
          <cell r="AP31">
            <v>4</v>
          </cell>
          <cell r="AQ31" t="str">
            <v>FUT : PRV : 2DHH</v>
          </cell>
          <cell r="AS31">
            <v>3</v>
          </cell>
          <cell r="AT31" t="str">
            <v>FUT : PRV : 2DHH</v>
          </cell>
          <cell r="AV31">
            <v>2</v>
          </cell>
          <cell r="AW31" t="str">
            <v>FUT : PRV : 2DHH</v>
          </cell>
          <cell r="AY31">
            <v>1</v>
          </cell>
          <cell r="AZ31">
            <v>0</v>
          </cell>
          <cell r="BB31">
            <v>0</v>
          </cell>
          <cell r="BE31">
            <v>0.39582638888888888</v>
          </cell>
          <cell r="BF31">
            <v>0.39582638888888888</v>
          </cell>
          <cell r="BG31" t="str">
            <v>N.A.</v>
          </cell>
          <cell r="BK31">
            <v>0.01</v>
          </cell>
          <cell r="BL31">
            <v>0.01</v>
          </cell>
        </row>
        <row r="32">
          <cell r="B32" t="str">
            <v>S5C</v>
          </cell>
        </row>
        <row r="33">
          <cell r="B33" t="str">
            <v>S5D</v>
          </cell>
          <cell r="G33" t="str">
            <v>FUT : PRV : 3DHH</v>
          </cell>
          <cell r="H33" t="str">
            <v xml:space="preserve"> + </v>
          </cell>
          <cell r="I33">
            <v>0.01</v>
          </cell>
          <cell r="J33">
            <v>5</v>
          </cell>
          <cell r="L33" t="str">
            <v xml:space="preserve">L : Entry </v>
          </cell>
          <cell r="M33" t="str">
            <v xml:space="preserve"> + </v>
          </cell>
          <cell r="N33">
            <v>0.03</v>
          </cell>
          <cell r="O33">
            <v>1</v>
          </cell>
          <cell r="P33">
            <v>4.4999999999999998E-2</v>
          </cell>
          <cell r="Q33">
            <v>1</v>
          </cell>
          <cell r="R33">
            <v>0.06</v>
          </cell>
          <cell r="S33">
            <v>1</v>
          </cell>
          <cell r="T33">
            <v>0.08</v>
          </cell>
          <cell r="U33">
            <v>1</v>
          </cell>
          <cell r="V33" t="str">
            <v>TR PROFIT AFTER TGT 4</v>
          </cell>
          <cell r="W33">
            <v>1</v>
          </cell>
          <cell r="X33" t="str">
            <v>N.A.</v>
          </cell>
          <cell r="Y33" t="str">
            <v>N.A.</v>
          </cell>
          <cell r="AA33" t="str">
            <v>Max</v>
          </cell>
          <cell r="AE33" t="str">
            <v>L : Entry</v>
          </cell>
          <cell r="AF33" t="str">
            <v xml:space="preserve"> - </v>
          </cell>
          <cell r="AG33">
            <v>0.03</v>
          </cell>
          <cell r="AK33" t="str">
            <v>FUT : PRV : 2DLL</v>
          </cell>
          <cell r="AM33">
            <v>5</v>
          </cell>
          <cell r="AP33">
            <v>4</v>
          </cell>
          <cell r="AQ33" t="str">
            <v>FUT : PRV : 2DLL</v>
          </cell>
          <cell r="AS33">
            <v>3</v>
          </cell>
          <cell r="AT33" t="str">
            <v>FUT : PRV : 2DLL</v>
          </cell>
          <cell r="AV33">
            <v>2</v>
          </cell>
          <cell r="AW33" t="str">
            <v>FUT : PRV : 2DLL</v>
          </cell>
          <cell r="AY33">
            <v>1</v>
          </cell>
          <cell r="AZ33">
            <v>0</v>
          </cell>
          <cell r="BB33">
            <v>0</v>
          </cell>
          <cell r="BE33">
            <v>0.38541666666666669</v>
          </cell>
          <cell r="BK33">
            <v>0.01</v>
          </cell>
          <cell r="BL33">
            <v>0.01</v>
          </cell>
        </row>
        <row r="34">
          <cell r="B34" t="str">
            <v>S5E</v>
          </cell>
          <cell r="G34" t="str">
            <v>FUT : PRV : 2DLL</v>
          </cell>
          <cell r="H34" t="str">
            <v xml:space="preserve"> - </v>
          </cell>
          <cell r="I34">
            <v>0</v>
          </cell>
          <cell r="J34">
            <v>5</v>
          </cell>
          <cell r="L34" t="str">
            <v xml:space="preserve">S : Entry </v>
          </cell>
          <cell r="M34" t="str">
            <v xml:space="preserve"> - </v>
          </cell>
          <cell r="N34">
            <v>0.03</v>
          </cell>
          <cell r="O34">
            <v>1</v>
          </cell>
          <cell r="P34">
            <v>4.4999999999999998E-2</v>
          </cell>
          <cell r="Q34">
            <v>1</v>
          </cell>
          <cell r="R34">
            <v>0.06</v>
          </cell>
          <cell r="S34">
            <v>1</v>
          </cell>
          <cell r="T34">
            <v>0.08</v>
          </cell>
          <cell r="U34">
            <v>1</v>
          </cell>
          <cell r="V34" t="str">
            <v>TR PROFIT AFTER TGT 4</v>
          </cell>
          <cell r="W34">
            <v>1</v>
          </cell>
          <cell r="X34" t="str">
            <v>N.A.</v>
          </cell>
          <cell r="Y34" t="str">
            <v>N.A.</v>
          </cell>
          <cell r="AA34" t="str">
            <v>Min</v>
          </cell>
          <cell r="AE34" t="str">
            <v>S : Entry</v>
          </cell>
          <cell r="AF34" t="str">
            <v xml:space="preserve"> + </v>
          </cell>
          <cell r="AG34">
            <v>0.03</v>
          </cell>
          <cell r="AK34" t="str">
            <v>FUT : PRV : 3DHH</v>
          </cell>
          <cell r="AM34">
            <v>5</v>
          </cell>
          <cell r="AP34">
            <v>4</v>
          </cell>
          <cell r="AQ34" t="str">
            <v>FUT : PRV : 3DHH</v>
          </cell>
          <cell r="AS34">
            <v>3</v>
          </cell>
          <cell r="AT34" t="str">
            <v>FUT : PRV : 3DHH</v>
          </cell>
          <cell r="AV34">
            <v>2</v>
          </cell>
          <cell r="AW34" t="str">
            <v>FUT : PRV : 3DHH</v>
          </cell>
          <cell r="AY34">
            <v>1</v>
          </cell>
          <cell r="AZ34">
            <v>0</v>
          </cell>
          <cell r="BB34">
            <v>0</v>
          </cell>
          <cell r="BE34">
            <v>0.64583333333333337</v>
          </cell>
          <cell r="BK34">
            <v>0.01</v>
          </cell>
          <cell r="BL34">
            <v>0.01</v>
          </cell>
        </row>
        <row r="36">
          <cell r="B36" t="str">
            <v>S6A</v>
          </cell>
          <cell r="G36" t="str">
            <v>FUT : PRV : 3DHH</v>
          </cell>
          <cell r="H36" t="str">
            <v xml:space="preserve"> + </v>
          </cell>
          <cell r="I36">
            <v>0.01</v>
          </cell>
          <cell r="J36">
            <v>5</v>
          </cell>
          <cell r="L36" t="str">
            <v xml:space="preserve">L : Entry </v>
          </cell>
          <cell r="M36" t="str">
            <v xml:space="preserve"> + </v>
          </cell>
          <cell r="N36">
            <v>0.03</v>
          </cell>
          <cell r="O36">
            <v>1</v>
          </cell>
          <cell r="P36">
            <v>4.4999999999999998E-2</v>
          </cell>
          <cell r="Q36">
            <v>1</v>
          </cell>
          <cell r="R36">
            <v>0.06</v>
          </cell>
          <cell r="S36">
            <v>1</v>
          </cell>
          <cell r="T36">
            <v>0.08</v>
          </cell>
          <cell r="U36">
            <v>1</v>
          </cell>
          <cell r="V36" t="str">
            <v>TR PROFIT AFTER TGT 4</v>
          </cell>
          <cell r="W36">
            <v>1</v>
          </cell>
          <cell r="X36" t="str">
            <v>N.A.</v>
          </cell>
          <cell r="Y36" t="str">
            <v>N.A.</v>
          </cell>
          <cell r="AA36" t="str">
            <v>Max</v>
          </cell>
          <cell r="AE36" t="str">
            <v>L : Entry</v>
          </cell>
          <cell r="AF36" t="str">
            <v xml:space="preserve"> - </v>
          </cell>
          <cell r="AG36">
            <v>0.03</v>
          </cell>
          <cell r="AK36" t="str">
            <v>FUT : PRV : 3DLL</v>
          </cell>
          <cell r="AM36">
            <v>5</v>
          </cell>
          <cell r="AP36">
            <v>4</v>
          </cell>
          <cell r="AQ36" t="str">
            <v>FUT : PRV : 3DLL</v>
          </cell>
          <cell r="AS36">
            <v>3</v>
          </cell>
          <cell r="AT36" t="str">
            <v>FUT : PRV : 3DLL</v>
          </cell>
          <cell r="AV36">
            <v>2</v>
          </cell>
          <cell r="AW36" t="str">
            <v>FUT : PRV : 3DLL</v>
          </cell>
          <cell r="AY36">
            <v>1</v>
          </cell>
          <cell r="AZ36">
            <v>0</v>
          </cell>
          <cell r="BB36">
            <v>0</v>
          </cell>
          <cell r="BE36">
            <v>0.38888194444444446</v>
          </cell>
          <cell r="BF36">
            <v>0.38888194444444446</v>
          </cell>
          <cell r="BG36">
            <v>0.38541666666666669</v>
          </cell>
          <cell r="BK36">
            <v>0.01</v>
          </cell>
          <cell r="BL36">
            <v>0.01</v>
          </cell>
        </row>
        <row r="37">
          <cell r="B37" t="str">
            <v>S6B</v>
          </cell>
          <cell r="G37" t="str">
            <v>FUT : PRV : 3DLL</v>
          </cell>
          <cell r="H37" t="str">
            <v xml:space="preserve"> - </v>
          </cell>
          <cell r="I37">
            <v>0.01</v>
          </cell>
          <cell r="J37">
            <v>5</v>
          </cell>
          <cell r="L37" t="str">
            <v xml:space="preserve">S : Entry </v>
          </cell>
          <cell r="M37" t="str">
            <v xml:space="preserve"> - </v>
          </cell>
          <cell r="N37">
            <v>0.03</v>
          </cell>
          <cell r="O37">
            <v>1</v>
          </cell>
          <cell r="P37">
            <v>4.4999999999999998E-2</v>
          </cell>
          <cell r="Q37">
            <v>1</v>
          </cell>
          <cell r="R37">
            <v>0.06</v>
          </cell>
          <cell r="S37">
            <v>1</v>
          </cell>
          <cell r="T37">
            <v>0.08</v>
          </cell>
          <cell r="U37">
            <v>1</v>
          </cell>
          <cell r="V37" t="str">
            <v>TR PROFIT AFTER TGT 4</v>
          </cell>
          <cell r="W37">
            <v>1</v>
          </cell>
          <cell r="X37" t="str">
            <v>N.A.</v>
          </cell>
          <cell r="Y37" t="str">
            <v>N.A.</v>
          </cell>
          <cell r="AA37" t="str">
            <v>Min</v>
          </cell>
          <cell r="AE37" t="str">
            <v>S : Entry</v>
          </cell>
          <cell r="AF37" t="str">
            <v xml:space="preserve"> + </v>
          </cell>
          <cell r="AG37">
            <v>0.03</v>
          </cell>
          <cell r="AK37" t="str">
            <v>FUT : PRV : 3DHH</v>
          </cell>
          <cell r="AM37">
            <v>5</v>
          </cell>
          <cell r="AP37">
            <v>4</v>
          </cell>
          <cell r="AQ37" t="str">
            <v>FUT : PRV : 3DHH</v>
          </cell>
          <cell r="AS37">
            <v>3</v>
          </cell>
          <cell r="AT37" t="str">
            <v>FUT : PRV : 3DHH</v>
          </cell>
          <cell r="AV37">
            <v>2</v>
          </cell>
          <cell r="AW37" t="str">
            <v>FUT : PRV : 3DHH</v>
          </cell>
          <cell r="AY37">
            <v>1</v>
          </cell>
          <cell r="AZ37">
            <v>0</v>
          </cell>
          <cell r="BB37">
            <v>0</v>
          </cell>
          <cell r="BE37">
            <v>0.39582638888888888</v>
          </cell>
          <cell r="BF37">
            <v>0.39582638888888888</v>
          </cell>
          <cell r="BG37" t="str">
            <v>N.A.</v>
          </cell>
          <cell r="BK37">
            <v>0.01</v>
          </cell>
          <cell r="BL37">
            <v>0.01</v>
          </cell>
        </row>
        <row r="38">
          <cell r="B38" t="str">
            <v>S6C</v>
          </cell>
        </row>
        <row r="39">
          <cell r="B39" t="str">
            <v>S6D</v>
          </cell>
          <cell r="G39" t="str">
            <v>FUT : PRV : 3DHH</v>
          </cell>
          <cell r="H39" t="str">
            <v xml:space="preserve"> + </v>
          </cell>
          <cell r="I39">
            <v>0.01</v>
          </cell>
          <cell r="J39">
            <v>5</v>
          </cell>
          <cell r="L39" t="str">
            <v xml:space="preserve">L : Entry </v>
          </cell>
          <cell r="M39" t="str">
            <v xml:space="preserve"> + </v>
          </cell>
          <cell r="N39">
            <v>0.03</v>
          </cell>
          <cell r="O39">
            <v>1</v>
          </cell>
          <cell r="P39">
            <v>4.4999999999999998E-2</v>
          </cell>
          <cell r="Q39">
            <v>1</v>
          </cell>
          <cell r="R39">
            <v>0.06</v>
          </cell>
          <cell r="S39">
            <v>1</v>
          </cell>
          <cell r="T39">
            <v>0.08</v>
          </cell>
          <cell r="U39">
            <v>1</v>
          </cell>
          <cell r="V39" t="str">
            <v>TR PROFIT AFTER TGT 4</v>
          </cell>
          <cell r="W39">
            <v>1</v>
          </cell>
          <cell r="X39" t="str">
            <v>N.A.</v>
          </cell>
          <cell r="Y39" t="str">
            <v>N.A.</v>
          </cell>
          <cell r="AA39" t="str">
            <v>Max</v>
          </cell>
          <cell r="AE39" t="str">
            <v>L : Entry</v>
          </cell>
          <cell r="AF39" t="str">
            <v xml:space="preserve"> - </v>
          </cell>
          <cell r="AG39">
            <v>0.03</v>
          </cell>
          <cell r="AK39" t="str">
            <v>FUT : PRV : 3DLL</v>
          </cell>
          <cell r="AM39">
            <v>5</v>
          </cell>
          <cell r="AP39">
            <v>4</v>
          </cell>
          <cell r="AQ39" t="str">
            <v>FUT : PRV : 3DLL</v>
          </cell>
          <cell r="AS39">
            <v>3</v>
          </cell>
          <cell r="AT39" t="str">
            <v>FUT : PRV : 3DLL</v>
          </cell>
          <cell r="AV39">
            <v>2</v>
          </cell>
          <cell r="AW39" t="str">
            <v>FUT : PRV : 3DLL</v>
          </cell>
          <cell r="AY39">
            <v>1</v>
          </cell>
          <cell r="AZ39">
            <v>0</v>
          </cell>
          <cell r="BB39">
            <v>0</v>
          </cell>
          <cell r="BE39">
            <v>0.38541666666666669</v>
          </cell>
          <cell r="BK39">
            <v>0.01</v>
          </cell>
          <cell r="BL39">
            <v>0.01</v>
          </cell>
        </row>
        <row r="40">
          <cell r="B40" t="str">
            <v>S6E</v>
          </cell>
          <cell r="G40" t="str">
            <v>FUT : PRV : 3DLL</v>
          </cell>
          <cell r="H40" t="str">
            <v xml:space="preserve"> - </v>
          </cell>
          <cell r="I40">
            <v>0.01</v>
          </cell>
          <cell r="J40">
            <v>5</v>
          </cell>
          <cell r="L40" t="str">
            <v xml:space="preserve">S : Entry </v>
          </cell>
          <cell r="M40" t="str">
            <v xml:space="preserve"> - </v>
          </cell>
          <cell r="N40">
            <v>0.03</v>
          </cell>
          <cell r="O40">
            <v>1</v>
          </cell>
          <cell r="P40">
            <v>4.4999999999999998E-2</v>
          </cell>
          <cell r="Q40">
            <v>1</v>
          </cell>
          <cell r="R40">
            <v>0.06</v>
          </cell>
          <cell r="S40">
            <v>1</v>
          </cell>
          <cell r="T40">
            <v>0.08</v>
          </cell>
          <cell r="U40">
            <v>1</v>
          </cell>
          <cell r="V40" t="str">
            <v>TR PROFIT AFTER TGT 4</v>
          </cell>
          <cell r="W40">
            <v>1</v>
          </cell>
          <cell r="X40" t="str">
            <v>N.A.</v>
          </cell>
          <cell r="Y40" t="str">
            <v>N.A.</v>
          </cell>
          <cell r="AA40" t="str">
            <v>Min</v>
          </cell>
          <cell r="AE40" t="str">
            <v>S : Entry</v>
          </cell>
          <cell r="AF40" t="str">
            <v xml:space="preserve"> + </v>
          </cell>
          <cell r="AG40">
            <v>0.03</v>
          </cell>
          <cell r="AK40" t="str">
            <v>FUT : PRV : 3DHH</v>
          </cell>
          <cell r="AM40">
            <v>5</v>
          </cell>
          <cell r="AP40">
            <v>4</v>
          </cell>
          <cell r="AQ40" t="str">
            <v>FUT : PRV : 3DHH</v>
          </cell>
          <cell r="AS40">
            <v>3</v>
          </cell>
          <cell r="AT40" t="str">
            <v>FUT : PRV : 3DHH</v>
          </cell>
          <cell r="AV40">
            <v>2</v>
          </cell>
          <cell r="AW40" t="str">
            <v>FUT : PRV : 3DHH</v>
          </cell>
          <cell r="AY40">
            <v>1</v>
          </cell>
          <cell r="AZ40">
            <v>0</v>
          </cell>
          <cell r="BB40">
            <v>0</v>
          </cell>
          <cell r="BE40">
            <v>0.64583333333333337</v>
          </cell>
          <cell r="BK40">
            <v>0.01</v>
          </cell>
          <cell r="BL40">
            <v>0.01</v>
          </cell>
        </row>
        <row r="42">
          <cell r="B42" t="str">
            <v>S7A</v>
          </cell>
          <cell r="G42" t="str">
            <v>FUT : PRV : 2DHH</v>
          </cell>
          <cell r="H42" t="str">
            <v xml:space="preserve"> + </v>
          </cell>
          <cell r="I42">
            <v>0</v>
          </cell>
          <cell r="J42">
            <v>5</v>
          </cell>
          <cell r="L42" t="str">
            <v xml:space="preserve">L : Entry </v>
          </cell>
          <cell r="M42" t="str">
            <v xml:space="preserve"> + </v>
          </cell>
          <cell r="N42">
            <v>0.03</v>
          </cell>
          <cell r="O42">
            <v>1</v>
          </cell>
          <cell r="P42">
            <v>4.4999999999999998E-2</v>
          </cell>
          <cell r="Q42">
            <v>1</v>
          </cell>
          <cell r="R42">
            <v>0.06</v>
          </cell>
          <cell r="S42">
            <v>1</v>
          </cell>
          <cell r="T42">
            <v>0.08</v>
          </cell>
          <cell r="U42">
            <v>1</v>
          </cell>
          <cell r="V42" t="str">
            <v>TR PROFIT AFTER TGT 4</v>
          </cell>
          <cell r="W42">
            <v>1</v>
          </cell>
          <cell r="X42" t="str">
            <v>N.A.</v>
          </cell>
          <cell r="Y42" t="str">
            <v>N.A.</v>
          </cell>
          <cell r="AA42" t="str">
            <v>Max</v>
          </cell>
          <cell r="AE42" t="str">
            <v>L : Entry</v>
          </cell>
          <cell r="AF42" t="str">
            <v xml:space="preserve"> - </v>
          </cell>
          <cell r="AG42">
            <v>0.03</v>
          </cell>
          <cell r="AK42" t="str">
            <v>FUT : PRV : PW&amp;CWLL</v>
          </cell>
          <cell r="AM42">
            <v>5</v>
          </cell>
          <cell r="AP42">
            <v>4</v>
          </cell>
          <cell r="AQ42" t="str">
            <v>FUT : PRV : PW&amp;CWLL</v>
          </cell>
          <cell r="AS42">
            <v>3</v>
          </cell>
          <cell r="AT42" t="str">
            <v>FUT : PRV : PW&amp;CWLL</v>
          </cell>
          <cell r="AV42">
            <v>2</v>
          </cell>
          <cell r="AW42" t="str">
            <v>FUT : PRV : PW&amp;CWLL</v>
          </cell>
          <cell r="AY42">
            <v>1</v>
          </cell>
          <cell r="AZ42">
            <v>0</v>
          </cell>
          <cell r="BB42">
            <v>0</v>
          </cell>
          <cell r="BE42">
            <v>0.38888194444444446</v>
          </cell>
          <cell r="BF42">
            <v>0.38888194444444446</v>
          </cell>
          <cell r="BG42">
            <v>0.38541666666666669</v>
          </cell>
          <cell r="BK42">
            <v>0.01</v>
          </cell>
          <cell r="BL42">
            <v>0.01</v>
          </cell>
        </row>
        <row r="43">
          <cell r="B43" t="str">
            <v>S7B</v>
          </cell>
          <cell r="G43" t="str">
            <v>FUT : PRV : PW&amp;CWLL</v>
          </cell>
          <cell r="H43" t="str">
            <v xml:space="preserve"> - </v>
          </cell>
          <cell r="I43">
            <v>0.01</v>
          </cell>
          <cell r="J43">
            <v>5</v>
          </cell>
          <cell r="L43" t="str">
            <v xml:space="preserve">S : Entry </v>
          </cell>
          <cell r="M43" t="str">
            <v xml:space="preserve"> - </v>
          </cell>
          <cell r="N43">
            <v>0.03</v>
          </cell>
          <cell r="O43">
            <v>1</v>
          </cell>
          <cell r="P43">
            <v>4.4999999999999998E-2</v>
          </cell>
          <cell r="Q43">
            <v>1</v>
          </cell>
          <cell r="R43">
            <v>0.06</v>
          </cell>
          <cell r="S43">
            <v>1</v>
          </cell>
          <cell r="T43">
            <v>0.08</v>
          </cell>
          <cell r="U43">
            <v>1</v>
          </cell>
          <cell r="V43" t="str">
            <v>TR PROFIT AFTER TGT 4</v>
          </cell>
          <cell r="W43">
            <v>1</v>
          </cell>
          <cell r="X43" t="str">
            <v>N.A.</v>
          </cell>
          <cell r="Y43" t="str">
            <v>N.A.</v>
          </cell>
          <cell r="AA43" t="str">
            <v>Min</v>
          </cell>
          <cell r="AE43" t="str">
            <v>S : Entry</v>
          </cell>
          <cell r="AF43" t="str">
            <v xml:space="preserve"> + </v>
          </cell>
          <cell r="AG43">
            <v>0.03</v>
          </cell>
          <cell r="AK43" t="str">
            <v>FUT : PRV : 2DHH</v>
          </cell>
          <cell r="AM43">
            <v>5</v>
          </cell>
          <cell r="AP43">
            <v>4</v>
          </cell>
          <cell r="AQ43" t="str">
            <v>FUT : PRV : 2DHH</v>
          </cell>
          <cell r="AS43">
            <v>3</v>
          </cell>
          <cell r="AT43" t="str">
            <v>FUT : PRV : 2DHH</v>
          </cell>
          <cell r="AV43">
            <v>2</v>
          </cell>
          <cell r="AW43" t="str">
            <v>FUT : PRV : 2DHH</v>
          </cell>
          <cell r="AY43">
            <v>1</v>
          </cell>
          <cell r="AZ43">
            <v>0</v>
          </cell>
          <cell r="BB43">
            <v>0</v>
          </cell>
          <cell r="BE43">
            <v>0.39582638888888888</v>
          </cell>
          <cell r="BF43">
            <v>0.39582638888888888</v>
          </cell>
          <cell r="BG43" t="str">
            <v>N.A.</v>
          </cell>
          <cell r="BK43">
            <v>0.01</v>
          </cell>
          <cell r="BL43">
            <v>0.01</v>
          </cell>
        </row>
        <row r="44">
          <cell r="B44" t="str">
            <v>S7C</v>
          </cell>
        </row>
        <row r="45">
          <cell r="B45" t="str">
            <v>S7D</v>
          </cell>
          <cell r="G45" t="str">
            <v>FUT : PRV : PW&amp;CWHH</v>
          </cell>
          <cell r="H45" t="str">
            <v xml:space="preserve"> + </v>
          </cell>
          <cell r="I45">
            <v>0.01</v>
          </cell>
          <cell r="J45">
            <v>5</v>
          </cell>
          <cell r="L45" t="str">
            <v xml:space="preserve">L : Entry </v>
          </cell>
          <cell r="M45" t="str">
            <v xml:space="preserve"> + </v>
          </cell>
          <cell r="N45">
            <v>0.03</v>
          </cell>
          <cell r="O45">
            <v>1</v>
          </cell>
          <cell r="P45">
            <v>4.4999999999999998E-2</v>
          </cell>
          <cell r="Q45">
            <v>1</v>
          </cell>
          <cell r="R45">
            <v>0.06</v>
          </cell>
          <cell r="S45">
            <v>1</v>
          </cell>
          <cell r="T45">
            <v>0.08</v>
          </cell>
          <cell r="U45">
            <v>1</v>
          </cell>
          <cell r="V45" t="str">
            <v>TR PROFIT AFTER TGT 4</v>
          </cell>
          <cell r="W45">
            <v>1</v>
          </cell>
          <cell r="X45" t="str">
            <v>N.A.</v>
          </cell>
          <cell r="Y45" t="str">
            <v>N.A.</v>
          </cell>
          <cell r="AA45" t="str">
            <v>Max</v>
          </cell>
          <cell r="AE45" t="str">
            <v>L : Entry</v>
          </cell>
          <cell r="AF45" t="str">
            <v xml:space="preserve"> - </v>
          </cell>
          <cell r="AG45">
            <v>0.03</v>
          </cell>
          <cell r="AK45" t="str">
            <v>FUT : PRV : 2DLL</v>
          </cell>
          <cell r="AM45">
            <v>5</v>
          </cell>
          <cell r="AP45">
            <v>4</v>
          </cell>
          <cell r="AQ45" t="str">
            <v>FUT : PRV : 2DLL</v>
          </cell>
          <cell r="AS45">
            <v>3</v>
          </cell>
          <cell r="AT45" t="str">
            <v>FUT : PRV : 2DLL</v>
          </cell>
          <cell r="AV45">
            <v>2</v>
          </cell>
          <cell r="AW45" t="str">
            <v>FUT : PRV : 2DLL</v>
          </cell>
          <cell r="AY45">
            <v>1</v>
          </cell>
          <cell r="AZ45">
            <v>0</v>
          </cell>
          <cell r="BB45">
            <v>0</v>
          </cell>
          <cell r="BE45">
            <v>0.38541666666666669</v>
          </cell>
          <cell r="BK45">
            <v>0.01</v>
          </cell>
          <cell r="BL45">
            <v>0.01</v>
          </cell>
        </row>
        <row r="46">
          <cell r="B46" t="str">
            <v>S7E</v>
          </cell>
          <cell r="G46" t="str">
            <v>FUT : PRV : 2DLL</v>
          </cell>
          <cell r="H46" t="str">
            <v xml:space="preserve"> - </v>
          </cell>
          <cell r="I46">
            <v>0</v>
          </cell>
          <cell r="J46">
            <v>5</v>
          </cell>
          <cell r="L46" t="str">
            <v xml:space="preserve">S : Entry </v>
          </cell>
          <cell r="M46" t="str">
            <v xml:space="preserve"> - </v>
          </cell>
          <cell r="N46">
            <v>0.03</v>
          </cell>
          <cell r="O46">
            <v>1</v>
          </cell>
          <cell r="P46">
            <v>4.4999999999999998E-2</v>
          </cell>
          <cell r="Q46">
            <v>1</v>
          </cell>
          <cell r="R46">
            <v>0.06</v>
          </cell>
          <cell r="S46">
            <v>1</v>
          </cell>
          <cell r="T46">
            <v>0.08</v>
          </cell>
          <cell r="U46">
            <v>1</v>
          </cell>
          <cell r="V46" t="str">
            <v>TR PROFIT AFTER TGT 4</v>
          </cell>
          <cell r="W46">
            <v>1</v>
          </cell>
          <cell r="X46" t="str">
            <v>N.A.</v>
          </cell>
          <cell r="Y46" t="str">
            <v>N.A.</v>
          </cell>
          <cell r="AA46" t="str">
            <v>Min</v>
          </cell>
          <cell r="AE46" t="str">
            <v>S : Entry</v>
          </cell>
          <cell r="AF46" t="str">
            <v xml:space="preserve"> + </v>
          </cell>
          <cell r="AG46">
            <v>0.03</v>
          </cell>
          <cell r="AK46" t="str">
            <v>FUT : PRV : PW&amp;CWHH</v>
          </cell>
          <cell r="AM46">
            <v>5</v>
          </cell>
          <cell r="AP46">
            <v>4</v>
          </cell>
          <cell r="AQ46" t="str">
            <v>FUT : PRV : PW&amp;CWHH</v>
          </cell>
          <cell r="AS46">
            <v>3</v>
          </cell>
          <cell r="AT46" t="str">
            <v>FUT : PRV : PW&amp;CWHH</v>
          </cell>
          <cell r="AV46">
            <v>2</v>
          </cell>
          <cell r="AW46" t="str">
            <v>FUT : PRV : PW&amp;CWHH</v>
          </cell>
          <cell r="AY46">
            <v>1</v>
          </cell>
          <cell r="AZ46">
            <v>0</v>
          </cell>
          <cell r="BB46">
            <v>0</v>
          </cell>
          <cell r="BE46">
            <v>0.64583333333333337</v>
          </cell>
          <cell r="BK46">
            <v>0.01</v>
          </cell>
          <cell r="BL46">
            <v>0.01</v>
          </cell>
        </row>
        <row r="48">
          <cell r="B48" t="str">
            <v>S8A</v>
          </cell>
          <cell r="G48" t="str">
            <v>FUT : PRV : 1DHH</v>
          </cell>
          <cell r="H48" t="str">
            <v xml:space="preserve"> + </v>
          </cell>
          <cell r="I48">
            <v>0</v>
          </cell>
          <cell r="J48">
            <v>5</v>
          </cell>
          <cell r="L48" t="str">
            <v xml:space="preserve">L : Entry </v>
          </cell>
          <cell r="M48" t="str">
            <v xml:space="preserve"> + </v>
          </cell>
          <cell r="N48">
            <v>1.4999999999999999E-2</v>
          </cell>
          <cell r="O48">
            <v>1</v>
          </cell>
          <cell r="P48">
            <v>0.02</v>
          </cell>
          <cell r="Q48">
            <v>1</v>
          </cell>
          <cell r="R48">
            <v>2.5000000000000001E-2</v>
          </cell>
          <cell r="S48">
            <v>1</v>
          </cell>
          <cell r="T48">
            <v>0.03</v>
          </cell>
          <cell r="U48">
            <v>1</v>
          </cell>
          <cell r="V48" t="str">
            <v>TR PROFIT AFTER TGT 4</v>
          </cell>
          <cell r="W48">
            <v>1</v>
          </cell>
          <cell r="X48" t="str">
            <v>N.A.</v>
          </cell>
          <cell r="Y48" t="str">
            <v>N.A.</v>
          </cell>
          <cell r="AA48" t="str">
            <v>Max</v>
          </cell>
          <cell r="AE48" t="str">
            <v>L : Entry</v>
          </cell>
          <cell r="AF48" t="str">
            <v xml:space="preserve"> - </v>
          </cell>
          <cell r="AG48">
            <v>1.4999999999999999E-2</v>
          </cell>
          <cell r="AK48" t="str">
            <v>FUT : PRV : 2DLL</v>
          </cell>
          <cell r="AM48">
            <v>5</v>
          </cell>
          <cell r="AP48">
            <v>4</v>
          </cell>
          <cell r="AQ48" t="str">
            <v>FUT : PRV : 2DLL</v>
          </cell>
          <cell r="AS48">
            <v>3</v>
          </cell>
          <cell r="AT48" t="str">
            <v>FUT : PRV : 2DLL</v>
          </cell>
          <cell r="AV48">
            <v>2</v>
          </cell>
          <cell r="AW48" t="str">
            <v>FUT : PRV : 2DLL</v>
          </cell>
          <cell r="AY48">
            <v>1</v>
          </cell>
          <cell r="AZ48">
            <v>0</v>
          </cell>
          <cell r="BB48">
            <v>0</v>
          </cell>
          <cell r="BE48">
            <v>0.38888194444444446</v>
          </cell>
          <cell r="BF48">
            <v>0.38888194444444446</v>
          </cell>
          <cell r="BG48">
            <v>0.38541666666666669</v>
          </cell>
          <cell r="BK48">
            <v>1.8E-3</v>
          </cell>
          <cell r="BL48">
            <v>1.8E-3</v>
          </cell>
        </row>
        <row r="49">
          <cell r="B49" t="str">
            <v>S8B</v>
          </cell>
          <cell r="G49" t="str">
            <v>FUT : PRV : 2DLL</v>
          </cell>
          <cell r="H49" t="str">
            <v xml:space="preserve"> - </v>
          </cell>
          <cell r="I49">
            <v>1.8E-3</v>
          </cell>
          <cell r="J49">
            <v>5</v>
          </cell>
          <cell r="L49" t="str">
            <v xml:space="preserve">S : Entry </v>
          </cell>
          <cell r="M49" t="str">
            <v xml:space="preserve"> - </v>
          </cell>
          <cell r="N49">
            <v>1.4999999999999999E-2</v>
          </cell>
          <cell r="O49">
            <v>1</v>
          </cell>
          <cell r="P49">
            <v>0.02</v>
          </cell>
          <cell r="Q49">
            <v>1</v>
          </cell>
          <cell r="R49">
            <v>2.5000000000000001E-2</v>
          </cell>
          <cell r="S49">
            <v>1</v>
          </cell>
          <cell r="T49">
            <v>0.03</v>
          </cell>
          <cell r="U49">
            <v>1</v>
          </cell>
          <cell r="V49" t="str">
            <v>TR PROFIT AFTER TGT 4</v>
          </cell>
          <cell r="W49">
            <v>1</v>
          </cell>
          <cell r="X49" t="str">
            <v>N.A.</v>
          </cell>
          <cell r="Y49" t="str">
            <v>N.A.</v>
          </cell>
          <cell r="AA49" t="str">
            <v>Min</v>
          </cell>
          <cell r="AE49" t="str">
            <v>S : Entry</v>
          </cell>
          <cell r="AF49" t="str">
            <v xml:space="preserve"> + </v>
          </cell>
          <cell r="AG49">
            <v>1.4999999999999999E-2</v>
          </cell>
          <cell r="AK49" t="str">
            <v>FUT : PRV : 1DHH</v>
          </cell>
          <cell r="AM49">
            <v>5</v>
          </cell>
          <cell r="AP49">
            <v>4</v>
          </cell>
          <cell r="AQ49" t="str">
            <v>FUT : PRV : 1DHH</v>
          </cell>
          <cell r="AS49">
            <v>3</v>
          </cell>
          <cell r="AT49" t="str">
            <v>FUT : PRV : 1DHH</v>
          </cell>
          <cell r="AV49">
            <v>2</v>
          </cell>
          <cell r="AW49" t="str">
            <v>FUT : PRV : 1DHH</v>
          </cell>
          <cell r="AY49">
            <v>1</v>
          </cell>
          <cell r="AZ49">
            <v>0</v>
          </cell>
          <cell r="BB49">
            <v>0</v>
          </cell>
          <cell r="BE49">
            <v>0.39582638888888888</v>
          </cell>
          <cell r="BF49">
            <v>0.39582638888888888</v>
          </cell>
          <cell r="BG49" t="str">
            <v>N.A.</v>
          </cell>
          <cell r="BK49">
            <v>1.8E-3</v>
          </cell>
          <cell r="BL49">
            <v>1.8E-3</v>
          </cell>
        </row>
        <row r="50">
          <cell r="B50" t="str">
            <v>S8C</v>
          </cell>
        </row>
        <row r="51">
          <cell r="B51" t="str">
            <v>S8D</v>
          </cell>
          <cell r="G51" t="str">
            <v>FUT : PRV : 2DHH</v>
          </cell>
          <cell r="H51" t="str">
            <v xml:space="preserve"> + </v>
          </cell>
          <cell r="I51">
            <v>1.8E-3</v>
          </cell>
          <cell r="J51">
            <v>5</v>
          </cell>
          <cell r="L51" t="str">
            <v xml:space="preserve">L : Entry </v>
          </cell>
          <cell r="M51" t="str">
            <v xml:space="preserve"> + </v>
          </cell>
          <cell r="N51">
            <v>1.4999999999999999E-2</v>
          </cell>
          <cell r="O51">
            <v>1</v>
          </cell>
          <cell r="P51">
            <v>0.02</v>
          </cell>
          <cell r="Q51">
            <v>1</v>
          </cell>
          <cell r="R51">
            <v>2.5000000000000001E-2</v>
          </cell>
          <cell r="S51">
            <v>1</v>
          </cell>
          <cell r="T51">
            <v>0.03</v>
          </cell>
          <cell r="U51">
            <v>1</v>
          </cell>
          <cell r="V51" t="str">
            <v>TR PROFIT AFTER TGT 4</v>
          </cell>
          <cell r="W51">
            <v>1</v>
          </cell>
          <cell r="X51" t="str">
            <v>N.A.</v>
          </cell>
          <cell r="Y51" t="str">
            <v>N.A.</v>
          </cell>
          <cell r="AA51" t="str">
            <v>Max</v>
          </cell>
          <cell r="AE51" t="str">
            <v>L : Entry</v>
          </cell>
          <cell r="AF51" t="str">
            <v xml:space="preserve"> - </v>
          </cell>
          <cell r="AG51">
            <v>1.4999999999999999E-2</v>
          </cell>
          <cell r="AK51" t="str">
            <v>FUT : PRV : 1DLL</v>
          </cell>
          <cell r="AM51">
            <v>5</v>
          </cell>
          <cell r="AP51">
            <v>4</v>
          </cell>
          <cell r="AQ51" t="str">
            <v>FUT : PRV : 1DLL</v>
          </cell>
          <cell r="AS51">
            <v>3</v>
          </cell>
          <cell r="AT51" t="str">
            <v>FUT : PRV : 1DLL</v>
          </cell>
          <cell r="AV51">
            <v>2</v>
          </cell>
          <cell r="AW51" t="str">
            <v>FUT : PRV : 1DLL</v>
          </cell>
          <cell r="AY51">
            <v>1</v>
          </cell>
          <cell r="AZ51">
            <v>0</v>
          </cell>
          <cell r="BB51">
            <v>0</v>
          </cell>
          <cell r="BE51">
            <v>0.38541666666666669</v>
          </cell>
          <cell r="BK51">
            <v>1.8E-3</v>
          </cell>
          <cell r="BL51">
            <v>1.8E-3</v>
          </cell>
        </row>
        <row r="52">
          <cell r="B52" t="str">
            <v>S8E</v>
          </cell>
          <cell r="G52" t="str">
            <v>FUT : PRV : 1DLL</v>
          </cell>
          <cell r="H52" t="str">
            <v xml:space="preserve"> - </v>
          </cell>
          <cell r="I52">
            <v>0</v>
          </cell>
          <cell r="J52">
            <v>5</v>
          </cell>
          <cell r="L52" t="str">
            <v xml:space="preserve">S : Entry </v>
          </cell>
          <cell r="M52" t="str">
            <v xml:space="preserve"> - </v>
          </cell>
          <cell r="N52">
            <v>1.4999999999999999E-2</v>
          </cell>
          <cell r="O52">
            <v>1</v>
          </cell>
          <cell r="P52">
            <v>0.02</v>
          </cell>
          <cell r="Q52">
            <v>1</v>
          </cell>
          <cell r="R52">
            <v>2.5000000000000001E-2</v>
          </cell>
          <cell r="S52">
            <v>1</v>
          </cell>
          <cell r="T52">
            <v>0.03</v>
          </cell>
          <cell r="U52">
            <v>1</v>
          </cell>
          <cell r="V52" t="str">
            <v>TR PROFIT AFTER TGT 4</v>
          </cell>
          <cell r="W52">
            <v>1</v>
          </cell>
          <cell r="X52" t="str">
            <v>N.A.</v>
          </cell>
          <cell r="Y52" t="str">
            <v>N.A.</v>
          </cell>
          <cell r="AA52" t="str">
            <v>Min</v>
          </cell>
          <cell r="AE52" t="str">
            <v>S : Entry</v>
          </cell>
          <cell r="AF52" t="str">
            <v xml:space="preserve"> + </v>
          </cell>
          <cell r="AG52">
            <v>1.4999999999999999E-2</v>
          </cell>
          <cell r="AK52" t="str">
            <v>FUT : PRV : 2DHH</v>
          </cell>
          <cell r="AM52">
            <v>5</v>
          </cell>
          <cell r="AP52">
            <v>4</v>
          </cell>
          <cell r="AQ52" t="str">
            <v>FUT : PRV : 2DHH</v>
          </cell>
          <cell r="AS52">
            <v>3</v>
          </cell>
          <cell r="AT52" t="str">
            <v>FUT : PRV : 2DHH</v>
          </cell>
          <cell r="AV52">
            <v>2</v>
          </cell>
          <cell r="AW52" t="str">
            <v>FUT : PRV : 2DHH</v>
          </cell>
          <cell r="AY52">
            <v>1</v>
          </cell>
          <cell r="AZ52">
            <v>0</v>
          </cell>
          <cell r="BB52">
            <v>0</v>
          </cell>
          <cell r="BE52">
            <v>0.64583333333333337</v>
          </cell>
          <cell r="BK52">
            <v>1.8E-3</v>
          </cell>
          <cell r="BL52">
            <v>1.8E-3</v>
          </cell>
        </row>
        <row r="54">
          <cell r="B54" t="str">
            <v>S9A</v>
          </cell>
          <cell r="G54" t="str">
            <v>FUT : PRV : 2DHH</v>
          </cell>
          <cell r="H54" t="str">
            <v xml:space="preserve"> + </v>
          </cell>
          <cell r="I54">
            <v>1.8E-3</v>
          </cell>
          <cell r="J54">
            <v>5</v>
          </cell>
          <cell r="L54" t="str">
            <v xml:space="preserve">L : Entry </v>
          </cell>
          <cell r="M54" t="str">
            <v xml:space="preserve"> + </v>
          </cell>
          <cell r="N54">
            <v>1.4999999999999999E-2</v>
          </cell>
          <cell r="O54">
            <v>1</v>
          </cell>
          <cell r="P54">
            <v>0.02</v>
          </cell>
          <cell r="Q54">
            <v>1</v>
          </cell>
          <cell r="R54">
            <v>2.5000000000000001E-2</v>
          </cell>
          <cell r="S54">
            <v>1</v>
          </cell>
          <cell r="T54">
            <v>0.03</v>
          </cell>
          <cell r="U54">
            <v>1</v>
          </cell>
          <cell r="V54" t="str">
            <v>TR PROFIT AFTER TGT 4</v>
          </cell>
          <cell r="W54">
            <v>1</v>
          </cell>
          <cell r="X54" t="str">
            <v>N.A.</v>
          </cell>
          <cell r="Y54" t="str">
            <v>N.A.</v>
          </cell>
          <cell r="AA54" t="str">
            <v>Max</v>
          </cell>
          <cell r="AE54" t="str">
            <v>L : Entry</v>
          </cell>
          <cell r="AF54" t="str">
            <v xml:space="preserve"> - </v>
          </cell>
          <cell r="AG54">
            <v>1.4999999999999999E-2</v>
          </cell>
          <cell r="AK54" t="str">
            <v>FUT : PRV : 2DLL</v>
          </cell>
          <cell r="AM54">
            <v>5</v>
          </cell>
          <cell r="AP54">
            <v>4</v>
          </cell>
          <cell r="AQ54" t="str">
            <v>FUT : PRV : 2DLL</v>
          </cell>
          <cell r="AS54">
            <v>3</v>
          </cell>
          <cell r="AT54" t="str">
            <v>FUT : PRV : 2DLL</v>
          </cell>
          <cell r="AV54">
            <v>2</v>
          </cell>
          <cell r="AW54" t="str">
            <v>FUT : PRV : 2DLL</v>
          </cell>
          <cell r="AY54">
            <v>1</v>
          </cell>
          <cell r="AZ54">
            <v>0</v>
          </cell>
          <cell r="BB54">
            <v>0</v>
          </cell>
          <cell r="BE54">
            <v>0.38888194444444446</v>
          </cell>
          <cell r="BF54">
            <v>0.38888194444444446</v>
          </cell>
          <cell r="BG54">
            <v>0.38541666666666669</v>
          </cell>
          <cell r="BK54">
            <v>1.8E-3</v>
          </cell>
          <cell r="BL54">
            <v>1.8E-3</v>
          </cell>
        </row>
        <row r="55">
          <cell r="B55" t="str">
            <v>S9B</v>
          </cell>
          <cell r="G55" t="str">
            <v>FUT : PRV : 2DLL</v>
          </cell>
          <cell r="H55" t="str">
            <v xml:space="preserve"> - </v>
          </cell>
          <cell r="I55">
            <v>1.8E-3</v>
          </cell>
          <cell r="J55">
            <v>5</v>
          </cell>
          <cell r="L55" t="str">
            <v xml:space="preserve">S : Entry </v>
          </cell>
          <cell r="M55" t="str">
            <v xml:space="preserve"> - </v>
          </cell>
          <cell r="N55">
            <v>1.4999999999999999E-2</v>
          </cell>
          <cell r="O55">
            <v>1</v>
          </cell>
          <cell r="P55">
            <v>0.02</v>
          </cell>
          <cell r="Q55">
            <v>1</v>
          </cell>
          <cell r="R55">
            <v>2.5000000000000001E-2</v>
          </cell>
          <cell r="S55">
            <v>1</v>
          </cell>
          <cell r="T55">
            <v>0.03</v>
          </cell>
          <cell r="U55">
            <v>1</v>
          </cell>
          <cell r="V55" t="str">
            <v>TR PROFIT AFTER TGT 4</v>
          </cell>
          <cell r="W55">
            <v>1</v>
          </cell>
          <cell r="X55" t="str">
            <v>N.A.</v>
          </cell>
          <cell r="Y55" t="str">
            <v>N.A.</v>
          </cell>
          <cell r="AA55" t="str">
            <v>Min</v>
          </cell>
          <cell r="AE55" t="str">
            <v>S : Entry</v>
          </cell>
          <cell r="AF55" t="str">
            <v xml:space="preserve"> + </v>
          </cell>
          <cell r="AG55">
            <v>1.4999999999999999E-2</v>
          </cell>
          <cell r="AK55" t="str">
            <v>FUT : PRV : 2DHH</v>
          </cell>
          <cell r="AM55">
            <v>5</v>
          </cell>
          <cell r="AP55">
            <v>4</v>
          </cell>
          <cell r="AQ55" t="str">
            <v>FUT : PRV : 2DHH</v>
          </cell>
          <cell r="AS55">
            <v>3</v>
          </cell>
          <cell r="AT55" t="str">
            <v>FUT : PRV : 2DHH</v>
          </cell>
          <cell r="AV55">
            <v>2</v>
          </cell>
          <cell r="AW55" t="str">
            <v>FUT : PRV : 2DHH</v>
          </cell>
          <cell r="AY55">
            <v>1</v>
          </cell>
          <cell r="AZ55">
            <v>0</v>
          </cell>
          <cell r="BB55">
            <v>0</v>
          </cell>
          <cell r="BE55">
            <v>0.39582638888888888</v>
          </cell>
          <cell r="BF55">
            <v>0.39582638888888888</v>
          </cell>
          <cell r="BG55" t="str">
            <v>N.A.</v>
          </cell>
          <cell r="BK55">
            <v>1.8E-3</v>
          </cell>
          <cell r="BL55">
            <v>1.8E-3</v>
          </cell>
        </row>
        <row r="56">
          <cell r="B56" t="str">
            <v>S9C</v>
          </cell>
        </row>
        <row r="57">
          <cell r="B57" t="str">
            <v>S9D</v>
          </cell>
          <cell r="G57" t="str">
            <v>FUT : PRV : 2DHH</v>
          </cell>
          <cell r="H57" t="str">
            <v xml:space="preserve"> + </v>
          </cell>
          <cell r="I57">
            <v>1.8E-3</v>
          </cell>
          <cell r="J57">
            <v>5</v>
          </cell>
          <cell r="L57" t="str">
            <v xml:space="preserve">L : Entry </v>
          </cell>
          <cell r="M57" t="str">
            <v xml:space="preserve"> + </v>
          </cell>
          <cell r="N57">
            <v>1.4999999999999999E-2</v>
          </cell>
          <cell r="O57">
            <v>1</v>
          </cell>
          <cell r="P57">
            <v>0.02</v>
          </cell>
          <cell r="Q57">
            <v>1</v>
          </cell>
          <cell r="R57">
            <v>2.5000000000000001E-2</v>
          </cell>
          <cell r="S57">
            <v>1</v>
          </cell>
          <cell r="T57">
            <v>0.03</v>
          </cell>
          <cell r="U57">
            <v>1</v>
          </cell>
          <cell r="V57" t="str">
            <v>TR PROFIT AFTER TGT 4</v>
          </cell>
          <cell r="W57">
            <v>1</v>
          </cell>
          <cell r="X57" t="str">
            <v>N.A.</v>
          </cell>
          <cell r="Y57" t="str">
            <v>N.A.</v>
          </cell>
          <cell r="AA57" t="str">
            <v>Max</v>
          </cell>
          <cell r="AE57" t="str">
            <v>L : Entry</v>
          </cell>
          <cell r="AF57" t="str">
            <v xml:space="preserve"> - </v>
          </cell>
          <cell r="AG57">
            <v>1.4999999999999999E-2</v>
          </cell>
          <cell r="AK57" t="str">
            <v>FUT : PRV : 2DLL</v>
          </cell>
          <cell r="AM57">
            <v>5</v>
          </cell>
          <cell r="AP57">
            <v>4</v>
          </cell>
          <cell r="AQ57" t="str">
            <v>FUT : PRV : 2DLL</v>
          </cell>
          <cell r="AS57">
            <v>3</v>
          </cell>
          <cell r="AT57" t="str">
            <v>FUT : PRV : 2DLL</v>
          </cell>
          <cell r="AV57">
            <v>2</v>
          </cell>
          <cell r="AW57" t="str">
            <v>FUT : PRV : 2DLL</v>
          </cell>
          <cell r="AY57">
            <v>1</v>
          </cell>
          <cell r="AZ57">
            <v>0</v>
          </cell>
          <cell r="BB57">
            <v>0</v>
          </cell>
          <cell r="BE57">
            <v>0.38541666666666669</v>
          </cell>
          <cell r="BK57">
            <v>1.8E-3</v>
          </cell>
          <cell r="BL57">
            <v>1.8E-3</v>
          </cell>
        </row>
        <row r="58">
          <cell r="B58" t="str">
            <v>S9E</v>
          </cell>
          <cell r="G58" t="str">
            <v>FUT : PRV : 2DLL</v>
          </cell>
          <cell r="H58" t="str">
            <v xml:space="preserve"> - </v>
          </cell>
          <cell r="I58">
            <v>1.8E-3</v>
          </cell>
          <cell r="J58">
            <v>5</v>
          </cell>
          <cell r="L58" t="str">
            <v xml:space="preserve">S : Entry </v>
          </cell>
          <cell r="M58" t="str">
            <v xml:space="preserve"> - </v>
          </cell>
          <cell r="N58">
            <v>1.4999999999999999E-2</v>
          </cell>
          <cell r="O58">
            <v>1</v>
          </cell>
          <cell r="P58">
            <v>0.02</v>
          </cell>
          <cell r="Q58">
            <v>1</v>
          </cell>
          <cell r="R58">
            <v>2.5000000000000001E-2</v>
          </cell>
          <cell r="S58">
            <v>1</v>
          </cell>
          <cell r="T58">
            <v>0.03</v>
          </cell>
          <cell r="U58">
            <v>1</v>
          </cell>
          <cell r="V58" t="str">
            <v>TR PROFIT AFTER TGT 4</v>
          </cell>
          <cell r="W58">
            <v>1</v>
          </cell>
          <cell r="X58" t="str">
            <v>N.A.</v>
          </cell>
          <cell r="Y58" t="str">
            <v>N.A.</v>
          </cell>
          <cell r="AA58" t="str">
            <v>Min</v>
          </cell>
          <cell r="AE58" t="str">
            <v>S : Entry</v>
          </cell>
          <cell r="AF58" t="str">
            <v xml:space="preserve"> + </v>
          </cell>
          <cell r="AG58">
            <v>1.4999999999999999E-2</v>
          </cell>
          <cell r="AK58" t="str">
            <v>FUT : PRV : 2DHH</v>
          </cell>
          <cell r="AM58">
            <v>5</v>
          </cell>
          <cell r="AP58">
            <v>4</v>
          </cell>
          <cell r="AQ58" t="str">
            <v>FUT : PRV : 2DHH</v>
          </cell>
          <cell r="AS58">
            <v>3</v>
          </cell>
          <cell r="AT58" t="str">
            <v>FUT : PRV : 2DHH</v>
          </cell>
          <cell r="AV58">
            <v>2</v>
          </cell>
          <cell r="AW58" t="str">
            <v>FUT : PRV : 2DHH</v>
          </cell>
          <cell r="AY58">
            <v>1</v>
          </cell>
          <cell r="AZ58">
            <v>0</v>
          </cell>
          <cell r="BB58">
            <v>0</v>
          </cell>
          <cell r="BE58">
            <v>0.64583333333333337</v>
          </cell>
          <cell r="BK58">
            <v>1.8E-3</v>
          </cell>
          <cell r="BL58">
            <v>1.8E-3</v>
          </cell>
        </row>
        <row r="60">
          <cell r="B60" t="str">
            <v>S10A</v>
          </cell>
          <cell r="G60" t="str">
            <v>FUT : PRV : 2DHH</v>
          </cell>
          <cell r="H60" t="str">
            <v xml:space="preserve"> + </v>
          </cell>
          <cell r="I60">
            <v>0</v>
          </cell>
          <cell r="J60">
            <v>5</v>
          </cell>
          <cell r="L60" t="str">
            <v xml:space="preserve">L : Entry </v>
          </cell>
          <cell r="M60" t="str">
            <v xml:space="preserve"> + </v>
          </cell>
          <cell r="N60">
            <v>0.01</v>
          </cell>
          <cell r="O60">
            <v>1</v>
          </cell>
          <cell r="P60">
            <v>1.4999999999999999E-2</v>
          </cell>
          <cell r="Q60">
            <v>1</v>
          </cell>
          <cell r="R60">
            <v>0.02</v>
          </cell>
          <cell r="S60">
            <v>1</v>
          </cell>
          <cell r="T60">
            <v>2.5000000000000001E-2</v>
          </cell>
          <cell r="U60">
            <v>1</v>
          </cell>
          <cell r="V60" t="str">
            <v>TR PROFIT AFTER TGT 4</v>
          </cell>
          <cell r="W60">
            <v>1</v>
          </cell>
          <cell r="X60" t="str">
            <v>N.A.</v>
          </cell>
          <cell r="Y60" t="str">
            <v>N.A.</v>
          </cell>
          <cell r="AA60" t="str">
            <v>Max</v>
          </cell>
          <cell r="AE60" t="str">
            <v>L : Entry</v>
          </cell>
          <cell r="AF60" t="str">
            <v xml:space="preserve"> - </v>
          </cell>
          <cell r="AG60">
            <v>0.01</v>
          </cell>
          <cell r="AK60" t="str">
            <v>FUT : PRV : 3DLL</v>
          </cell>
          <cell r="AM60">
            <v>5</v>
          </cell>
          <cell r="AP60">
            <v>4</v>
          </cell>
          <cell r="AQ60" t="str">
            <v>FUT : PRV : 3DLL</v>
          </cell>
          <cell r="AS60">
            <v>3</v>
          </cell>
          <cell r="AT60" t="str">
            <v>FUT : PRV : 3DLL</v>
          </cell>
          <cell r="AV60">
            <v>2</v>
          </cell>
          <cell r="AW60" t="str">
            <v>FUT : PRV : 3DLL</v>
          </cell>
          <cell r="AY60">
            <v>1</v>
          </cell>
          <cell r="AZ60">
            <v>0</v>
          </cell>
          <cell r="BB60">
            <v>0</v>
          </cell>
          <cell r="BE60">
            <v>0.37846527777777778</v>
          </cell>
          <cell r="BF60">
            <v>0.37846527777777778</v>
          </cell>
          <cell r="BG60">
            <v>0.375</v>
          </cell>
          <cell r="BK60">
            <v>1E-3</v>
          </cell>
          <cell r="BL60">
            <v>1E-3</v>
          </cell>
        </row>
        <row r="61">
          <cell r="B61" t="str">
            <v>S10B</v>
          </cell>
          <cell r="G61" t="str">
            <v>FUT : PRV : 3DLL</v>
          </cell>
          <cell r="H61" t="str">
            <v xml:space="preserve"> - </v>
          </cell>
          <cell r="I61">
            <v>1E-3</v>
          </cell>
          <cell r="J61">
            <v>5</v>
          </cell>
          <cell r="L61" t="str">
            <v xml:space="preserve">S : Entry </v>
          </cell>
          <cell r="M61" t="str">
            <v xml:space="preserve"> - </v>
          </cell>
          <cell r="N61">
            <v>0.01</v>
          </cell>
          <cell r="O61">
            <v>1</v>
          </cell>
          <cell r="P61">
            <v>1.4999999999999999E-2</v>
          </cell>
          <cell r="Q61">
            <v>1</v>
          </cell>
          <cell r="R61">
            <v>0.02</v>
          </cell>
          <cell r="S61">
            <v>1</v>
          </cell>
          <cell r="T61">
            <v>2.5000000000000001E-2</v>
          </cell>
          <cell r="U61">
            <v>1</v>
          </cell>
          <cell r="V61" t="str">
            <v>TR PROFIT AFTER TGT 4</v>
          </cell>
          <cell r="W61">
            <v>1</v>
          </cell>
          <cell r="X61" t="str">
            <v>N.A.</v>
          </cell>
          <cell r="Y61" t="str">
            <v>N.A.</v>
          </cell>
          <cell r="AA61" t="str">
            <v>Min</v>
          </cell>
          <cell r="AE61" t="str">
            <v>S : Entry</v>
          </cell>
          <cell r="AF61" t="str">
            <v xml:space="preserve"> + </v>
          </cell>
          <cell r="AG61">
            <v>0.01</v>
          </cell>
          <cell r="AK61" t="str">
            <v>FUT : PRV : 2DHH</v>
          </cell>
          <cell r="AM61">
            <v>5</v>
          </cell>
          <cell r="AP61">
            <v>4</v>
          </cell>
          <cell r="AQ61" t="str">
            <v>FUT : PRV : 2DHH</v>
          </cell>
          <cell r="AS61">
            <v>3</v>
          </cell>
          <cell r="AT61" t="str">
            <v>FUT : PRV : 2DHH</v>
          </cell>
          <cell r="AV61">
            <v>2</v>
          </cell>
          <cell r="AW61" t="str">
            <v>FUT : PRV : 2DHH</v>
          </cell>
          <cell r="AY61">
            <v>1</v>
          </cell>
          <cell r="AZ61">
            <v>0</v>
          </cell>
          <cell r="BB61">
            <v>0</v>
          </cell>
          <cell r="BE61">
            <v>0.38540972222222225</v>
          </cell>
          <cell r="BF61">
            <v>0.38540972222222225</v>
          </cell>
          <cell r="BG61" t="str">
            <v>N.A.</v>
          </cell>
          <cell r="BK61">
            <v>1E-3</v>
          </cell>
          <cell r="BL61">
            <v>1E-3</v>
          </cell>
        </row>
        <row r="62">
          <cell r="B62" t="str">
            <v>S10C</v>
          </cell>
        </row>
        <row r="63">
          <cell r="B63" t="str">
            <v>S10D</v>
          </cell>
          <cell r="G63" t="str">
            <v>FUT : PRV : 3DHH</v>
          </cell>
          <cell r="H63" t="str">
            <v xml:space="preserve"> + </v>
          </cell>
          <cell r="I63">
            <v>1E-3</v>
          </cell>
          <cell r="J63">
            <v>5</v>
          </cell>
          <cell r="L63" t="str">
            <v xml:space="preserve">L : Entry </v>
          </cell>
          <cell r="M63" t="str">
            <v xml:space="preserve"> + </v>
          </cell>
          <cell r="N63">
            <v>0.01</v>
          </cell>
          <cell r="O63">
            <v>1</v>
          </cell>
          <cell r="P63">
            <v>1.4999999999999999E-2</v>
          </cell>
          <cell r="Q63">
            <v>1</v>
          </cell>
          <cell r="R63">
            <v>0.02</v>
          </cell>
          <cell r="S63">
            <v>1</v>
          </cell>
          <cell r="T63">
            <v>2.5000000000000001E-2</v>
          </cell>
          <cell r="U63">
            <v>1</v>
          </cell>
          <cell r="V63" t="str">
            <v>TR PROFIT AFTER TGT 4</v>
          </cell>
          <cell r="W63">
            <v>1</v>
          </cell>
          <cell r="X63" t="str">
            <v>N.A.</v>
          </cell>
          <cell r="Y63" t="str">
            <v>N.A.</v>
          </cell>
          <cell r="AA63" t="str">
            <v>Max</v>
          </cell>
          <cell r="AE63" t="str">
            <v>L : Entry</v>
          </cell>
          <cell r="AF63" t="str">
            <v xml:space="preserve"> - </v>
          </cell>
          <cell r="AG63">
            <v>0.01</v>
          </cell>
          <cell r="AK63" t="str">
            <v>FUT : PRV : 2DLL</v>
          </cell>
          <cell r="AM63">
            <v>5</v>
          </cell>
          <cell r="AP63">
            <v>4</v>
          </cell>
          <cell r="AQ63" t="str">
            <v>FUT : PRV : 2DLL</v>
          </cell>
          <cell r="AS63">
            <v>3</v>
          </cell>
          <cell r="AT63" t="str">
            <v>FUT : PRV : 2DLL</v>
          </cell>
          <cell r="AV63">
            <v>2</v>
          </cell>
          <cell r="AW63" t="str">
            <v>FUT : PRV : 2DLL</v>
          </cell>
          <cell r="AY63">
            <v>1</v>
          </cell>
          <cell r="AZ63">
            <v>0</v>
          </cell>
          <cell r="BB63">
            <v>0</v>
          </cell>
          <cell r="BE63">
            <v>0.375</v>
          </cell>
          <cell r="BK63">
            <v>1E-3</v>
          </cell>
          <cell r="BL63">
            <v>1E-3</v>
          </cell>
        </row>
        <row r="64">
          <cell r="B64" t="str">
            <v>S10E</v>
          </cell>
          <cell r="G64" t="str">
            <v>FUT : PRV : 2DLL</v>
          </cell>
          <cell r="H64" t="str">
            <v xml:space="preserve"> - </v>
          </cell>
          <cell r="I64">
            <v>0</v>
          </cell>
          <cell r="J64">
            <v>5</v>
          </cell>
          <cell r="L64" t="str">
            <v xml:space="preserve">S : Entry </v>
          </cell>
          <cell r="M64" t="str">
            <v xml:space="preserve"> - </v>
          </cell>
          <cell r="N64">
            <v>0.01</v>
          </cell>
          <cell r="O64">
            <v>1</v>
          </cell>
          <cell r="P64">
            <v>1.4999999999999999E-2</v>
          </cell>
          <cell r="Q64">
            <v>1</v>
          </cell>
          <cell r="R64">
            <v>0.02</v>
          </cell>
          <cell r="S64">
            <v>1</v>
          </cell>
          <cell r="T64">
            <v>2.5000000000000001E-2</v>
          </cell>
          <cell r="U64">
            <v>1</v>
          </cell>
          <cell r="V64" t="str">
            <v>TR PROFIT AFTER TGT 4</v>
          </cell>
          <cell r="W64">
            <v>1</v>
          </cell>
          <cell r="X64" t="str">
            <v>N.A.</v>
          </cell>
          <cell r="Y64" t="str">
            <v>N.A.</v>
          </cell>
          <cell r="AA64" t="str">
            <v>Min</v>
          </cell>
          <cell r="AE64" t="str">
            <v>S : Entry</v>
          </cell>
          <cell r="AF64" t="str">
            <v xml:space="preserve"> + </v>
          </cell>
          <cell r="AG64">
            <v>0.01</v>
          </cell>
          <cell r="AK64" t="str">
            <v>FUT : PRV : 3DHH</v>
          </cell>
          <cell r="AM64">
            <v>5</v>
          </cell>
          <cell r="AP64">
            <v>4</v>
          </cell>
          <cell r="AQ64" t="str">
            <v>FUT : PRV : 3DHH</v>
          </cell>
          <cell r="AS64">
            <v>3</v>
          </cell>
          <cell r="AT64" t="str">
            <v>FUT : PRV : 3DHH</v>
          </cell>
          <cell r="AV64">
            <v>2</v>
          </cell>
          <cell r="AW64" t="str">
            <v>FUT : PRV : 3DHH</v>
          </cell>
          <cell r="AY64">
            <v>1</v>
          </cell>
          <cell r="AZ64">
            <v>0</v>
          </cell>
          <cell r="BB64">
            <v>0</v>
          </cell>
          <cell r="BE64">
            <v>0.97916666666666663</v>
          </cell>
          <cell r="BK64">
            <v>1E-3</v>
          </cell>
          <cell r="BL64">
            <v>1E-3</v>
          </cell>
        </row>
        <row r="66">
          <cell r="B66" t="str">
            <v>S11A</v>
          </cell>
          <cell r="G66" t="str">
            <v>FUT : PRV : 3DHH</v>
          </cell>
          <cell r="H66" t="str">
            <v xml:space="preserve"> + </v>
          </cell>
          <cell r="I66">
            <v>1E-3</v>
          </cell>
          <cell r="J66">
            <v>5</v>
          </cell>
          <cell r="L66" t="str">
            <v xml:space="preserve">L : Entry </v>
          </cell>
          <cell r="M66" t="str">
            <v xml:space="preserve"> + </v>
          </cell>
          <cell r="N66">
            <v>0.01</v>
          </cell>
          <cell r="O66">
            <v>1</v>
          </cell>
          <cell r="P66">
            <v>1.4999999999999999E-2</v>
          </cell>
          <cell r="Q66">
            <v>1</v>
          </cell>
          <cell r="R66">
            <v>0.02</v>
          </cell>
          <cell r="S66">
            <v>1</v>
          </cell>
          <cell r="T66">
            <v>2.5000000000000001E-2</v>
          </cell>
          <cell r="U66">
            <v>1</v>
          </cell>
          <cell r="V66" t="str">
            <v>TR PROFIT AFTER TGT 4</v>
          </cell>
          <cell r="W66">
            <v>1</v>
          </cell>
          <cell r="X66" t="str">
            <v>N.A.</v>
          </cell>
          <cell r="Y66" t="str">
            <v>N.A.</v>
          </cell>
          <cell r="AA66" t="str">
            <v>Max</v>
          </cell>
          <cell r="AE66" t="str">
            <v>L : Entry</v>
          </cell>
          <cell r="AF66" t="str">
            <v xml:space="preserve"> - </v>
          </cell>
          <cell r="AG66">
            <v>0.01</v>
          </cell>
          <cell r="AK66" t="str">
            <v>FUT : PRV : 3DLL</v>
          </cell>
          <cell r="AM66">
            <v>5</v>
          </cell>
          <cell r="AP66">
            <v>4</v>
          </cell>
          <cell r="AQ66" t="str">
            <v>FUT : PRV : 3DLL</v>
          </cell>
          <cell r="AS66">
            <v>3</v>
          </cell>
          <cell r="AT66" t="str">
            <v>FUT : PRV : 3DLL</v>
          </cell>
          <cell r="AV66">
            <v>2</v>
          </cell>
          <cell r="AW66" t="str">
            <v>FUT : PRV : 3DLL</v>
          </cell>
          <cell r="AY66">
            <v>1</v>
          </cell>
          <cell r="AZ66">
            <v>0</v>
          </cell>
          <cell r="BB66">
            <v>0</v>
          </cell>
          <cell r="BE66">
            <v>0.37846527777777778</v>
          </cell>
          <cell r="BF66">
            <v>0.37846527777777778</v>
          </cell>
          <cell r="BG66">
            <v>0.375</v>
          </cell>
          <cell r="BK66">
            <v>1E-3</v>
          </cell>
          <cell r="BL66">
            <v>1E-3</v>
          </cell>
        </row>
        <row r="67">
          <cell r="B67" t="str">
            <v>S11B</v>
          </cell>
          <cell r="G67" t="str">
            <v>FUT : PRV : 3DLL</v>
          </cell>
          <cell r="H67" t="str">
            <v xml:space="preserve"> - </v>
          </cell>
          <cell r="I67">
            <v>1E-3</v>
          </cell>
          <cell r="J67">
            <v>5</v>
          </cell>
          <cell r="L67" t="str">
            <v xml:space="preserve">S : Entry </v>
          </cell>
          <cell r="M67" t="str">
            <v xml:space="preserve"> - </v>
          </cell>
          <cell r="N67">
            <v>0.01</v>
          </cell>
          <cell r="O67">
            <v>1</v>
          </cell>
          <cell r="P67">
            <v>1.4999999999999999E-2</v>
          </cell>
          <cell r="Q67">
            <v>1</v>
          </cell>
          <cell r="R67">
            <v>0.02</v>
          </cell>
          <cell r="S67">
            <v>1</v>
          </cell>
          <cell r="T67">
            <v>2.5000000000000001E-2</v>
          </cell>
          <cell r="U67">
            <v>1</v>
          </cell>
          <cell r="V67" t="str">
            <v>TR PROFIT AFTER TGT 4</v>
          </cell>
          <cell r="W67">
            <v>1</v>
          </cell>
          <cell r="X67" t="str">
            <v>N.A.</v>
          </cell>
          <cell r="Y67" t="str">
            <v>N.A.</v>
          </cell>
          <cell r="AA67" t="str">
            <v>Min</v>
          </cell>
          <cell r="AE67" t="str">
            <v>S : Entry</v>
          </cell>
          <cell r="AF67" t="str">
            <v xml:space="preserve"> + </v>
          </cell>
          <cell r="AG67">
            <v>0.01</v>
          </cell>
          <cell r="AK67" t="str">
            <v>FUT : PRV : 3DHH</v>
          </cell>
          <cell r="AM67">
            <v>5</v>
          </cell>
          <cell r="AP67">
            <v>4</v>
          </cell>
          <cell r="AQ67" t="str">
            <v>FUT : PRV : 3DHH</v>
          </cell>
          <cell r="AS67">
            <v>3</v>
          </cell>
          <cell r="AT67" t="str">
            <v>FUT : PRV : 3DHH</v>
          </cell>
          <cell r="AV67">
            <v>2</v>
          </cell>
          <cell r="AW67" t="str">
            <v>FUT : PRV : 3DHH</v>
          </cell>
          <cell r="AY67">
            <v>1</v>
          </cell>
          <cell r="AZ67">
            <v>0</v>
          </cell>
          <cell r="BB67">
            <v>0</v>
          </cell>
          <cell r="BE67">
            <v>0.38540972222222225</v>
          </cell>
          <cell r="BF67">
            <v>0.38540972222222225</v>
          </cell>
          <cell r="BG67" t="str">
            <v>N.A.</v>
          </cell>
          <cell r="BK67">
            <v>1E-3</v>
          </cell>
          <cell r="BL67">
            <v>1E-3</v>
          </cell>
        </row>
        <row r="68">
          <cell r="B68" t="str">
            <v>S11C</v>
          </cell>
        </row>
        <row r="69">
          <cell r="B69" t="str">
            <v>S11D</v>
          </cell>
          <cell r="G69" t="str">
            <v>FUT : PRV : 3DHH</v>
          </cell>
          <cell r="H69" t="str">
            <v xml:space="preserve"> + </v>
          </cell>
          <cell r="I69">
            <v>1E-3</v>
          </cell>
          <cell r="J69">
            <v>5</v>
          </cell>
          <cell r="L69" t="str">
            <v xml:space="preserve">L : Entry </v>
          </cell>
          <cell r="M69" t="str">
            <v xml:space="preserve"> + </v>
          </cell>
          <cell r="N69">
            <v>0.01</v>
          </cell>
          <cell r="O69">
            <v>1</v>
          </cell>
          <cell r="P69">
            <v>1.4999999999999999E-2</v>
          </cell>
          <cell r="Q69">
            <v>1</v>
          </cell>
          <cell r="R69">
            <v>0.02</v>
          </cell>
          <cell r="S69">
            <v>1</v>
          </cell>
          <cell r="T69">
            <v>2.5000000000000001E-2</v>
          </cell>
          <cell r="U69">
            <v>1</v>
          </cell>
          <cell r="V69" t="str">
            <v>TR PROFIT AFTER TGT 4</v>
          </cell>
          <cell r="W69">
            <v>1</v>
          </cell>
          <cell r="X69" t="str">
            <v>N.A.</v>
          </cell>
          <cell r="Y69" t="str">
            <v>N.A.</v>
          </cell>
          <cell r="AA69" t="str">
            <v>Max</v>
          </cell>
          <cell r="AE69" t="str">
            <v>L : Entry</v>
          </cell>
          <cell r="AF69" t="str">
            <v xml:space="preserve"> - </v>
          </cell>
          <cell r="AG69">
            <v>0.01</v>
          </cell>
          <cell r="AK69" t="str">
            <v>FUT : PRV : 3DLL</v>
          </cell>
          <cell r="AM69">
            <v>5</v>
          </cell>
          <cell r="AP69">
            <v>4</v>
          </cell>
          <cell r="AQ69" t="str">
            <v>FUT : PRV : 3DLL</v>
          </cell>
          <cell r="AS69">
            <v>3</v>
          </cell>
          <cell r="AT69" t="str">
            <v>FUT : PRV : 3DLL</v>
          </cell>
          <cell r="AV69">
            <v>2</v>
          </cell>
          <cell r="AW69" t="str">
            <v>FUT : PRV : 3DLL</v>
          </cell>
          <cell r="AY69">
            <v>1</v>
          </cell>
          <cell r="AZ69">
            <v>0</v>
          </cell>
          <cell r="BB69">
            <v>0</v>
          </cell>
          <cell r="BE69">
            <v>0.375</v>
          </cell>
          <cell r="BK69">
            <v>1E-3</v>
          </cell>
          <cell r="BL69">
            <v>1E-3</v>
          </cell>
        </row>
        <row r="70">
          <cell r="B70" t="str">
            <v>S11E</v>
          </cell>
          <cell r="G70" t="str">
            <v>FUT : PRV : 3DLL</v>
          </cell>
          <cell r="H70" t="str">
            <v xml:space="preserve"> - </v>
          </cell>
          <cell r="I70">
            <v>1E-3</v>
          </cell>
          <cell r="J70">
            <v>5</v>
          </cell>
          <cell r="L70" t="str">
            <v xml:space="preserve">S : Entry </v>
          </cell>
          <cell r="M70" t="str">
            <v xml:space="preserve"> - </v>
          </cell>
          <cell r="N70">
            <v>0.01</v>
          </cell>
          <cell r="O70">
            <v>1</v>
          </cell>
          <cell r="P70">
            <v>1.4999999999999999E-2</v>
          </cell>
          <cell r="Q70">
            <v>1</v>
          </cell>
          <cell r="R70">
            <v>0.02</v>
          </cell>
          <cell r="S70">
            <v>1</v>
          </cell>
          <cell r="T70">
            <v>2.5000000000000001E-2</v>
          </cell>
          <cell r="U70">
            <v>1</v>
          </cell>
          <cell r="V70" t="str">
            <v>TR PROFIT AFTER TGT 4</v>
          </cell>
          <cell r="W70">
            <v>1</v>
          </cell>
          <cell r="X70" t="str">
            <v>N.A.</v>
          </cell>
          <cell r="Y70" t="str">
            <v>N.A.</v>
          </cell>
          <cell r="AA70" t="str">
            <v>Min</v>
          </cell>
          <cell r="AE70" t="str">
            <v>S : Entry</v>
          </cell>
          <cell r="AF70" t="str">
            <v xml:space="preserve"> + </v>
          </cell>
          <cell r="AG70">
            <v>0.01</v>
          </cell>
          <cell r="AK70" t="str">
            <v>FUT : PRV : 3DHH</v>
          </cell>
          <cell r="AM70">
            <v>5</v>
          </cell>
          <cell r="AP70">
            <v>4</v>
          </cell>
          <cell r="AQ70" t="str">
            <v>FUT : PRV : 3DHH</v>
          </cell>
          <cell r="AS70">
            <v>3</v>
          </cell>
          <cell r="AT70" t="str">
            <v>FUT : PRV : 3DHH</v>
          </cell>
          <cell r="AV70">
            <v>2</v>
          </cell>
          <cell r="AW70" t="str">
            <v>FUT : PRV : 3DHH</v>
          </cell>
          <cell r="AY70">
            <v>1</v>
          </cell>
          <cell r="AZ70">
            <v>0</v>
          </cell>
          <cell r="BB70">
            <v>0</v>
          </cell>
          <cell r="BE70">
            <v>0.97916666666666663</v>
          </cell>
          <cell r="BK70">
            <v>1E-3</v>
          </cell>
          <cell r="BL70">
            <v>1E-3</v>
          </cell>
        </row>
        <row r="72">
          <cell r="B72" t="str">
            <v>S12A</v>
          </cell>
          <cell r="G72" t="str">
            <v>FUT : PRV : 2DHH</v>
          </cell>
          <cell r="H72" t="str">
            <v xml:space="preserve"> + </v>
          </cell>
          <cell r="I72">
            <v>0</v>
          </cell>
          <cell r="J72">
            <v>5</v>
          </cell>
          <cell r="L72" t="str">
            <v xml:space="preserve">L : Entry </v>
          </cell>
          <cell r="M72" t="str">
            <v xml:space="preserve"> + </v>
          </cell>
          <cell r="N72">
            <v>1.4E-2</v>
          </cell>
          <cell r="O72">
            <v>1</v>
          </cell>
          <cell r="P72">
            <v>2.1000000000000001E-2</v>
          </cell>
          <cell r="Q72">
            <v>1</v>
          </cell>
          <cell r="R72">
            <v>2.8000000000000001E-2</v>
          </cell>
          <cell r="S72">
            <v>1</v>
          </cell>
          <cell r="T72">
            <v>3.5000000000000003E-2</v>
          </cell>
          <cell r="U72">
            <v>1</v>
          </cell>
          <cell r="V72" t="str">
            <v>TR PROFIT AFTER TGT 4</v>
          </cell>
          <cell r="W72">
            <v>1</v>
          </cell>
          <cell r="X72" t="str">
            <v>N.A.</v>
          </cell>
          <cell r="Y72" t="str">
            <v>N.A.</v>
          </cell>
          <cell r="AA72" t="str">
            <v>Max</v>
          </cell>
          <cell r="AE72" t="str">
            <v>L : Entry</v>
          </cell>
          <cell r="AF72" t="str">
            <v xml:space="preserve"> - </v>
          </cell>
          <cell r="AG72">
            <v>1.4E-2</v>
          </cell>
          <cell r="AK72" t="str">
            <v>FUT : PRV : 3DLL</v>
          </cell>
          <cell r="AM72">
            <v>5</v>
          </cell>
          <cell r="AP72">
            <v>4</v>
          </cell>
          <cell r="AQ72" t="str">
            <v>FUT : PRV : 3DLL</v>
          </cell>
          <cell r="AS72">
            <v>3</v>
          </cell>
          <cell r="AT72" t="str">
            <v>FUT : PRV : 3DLL</v>
          </cell>
          <cell r="AV72">
            <v>2</v>
          </cell>
          <cell r="AW72" t="str">
            <v>FUT : PRV : 3DLL</v>
          </cell>
          <cell r="AY72">
            <v>1</v>
          </cell>
          <cell r="AZ72">
            <v>0</v>
          </cell>
          <cell r="BB72">
            <v>0</v>
          </cell>
          <cell r="BE72">
            <v>0.37846527777777778</v>
          </cell>
          <cell r="BF72">
            <v>0.37846527777777778</v>
          </cell>
          <cell r="BG72">
            <v>0.375</v>
          </cell>
          <cell r="BK72">
            <v>1E-3</v>
          </cell>
          <cell r="BL72">
            <v>1E-3</v>
          </cell>
        </row>
        <row r="73">
          <cell r="B73" t="str">
            <v>S12B</v>
          </cell>
          <cell r="G73" t="str">
            <v>FUT : PRV : 3DLL</v>
          </cell>
          <cell r="H73" t="str">
            <v xml:space="preserve"> - </v>
          </cell>
          <cell r="I73">
            <v>1E-3</v>
          </cell>
          <cell r="J73">
            <v>5</v>
          </cell>
          <cell r="L73" t="str">
            <v xml:space="preserve">S : Entry </v>
          </cell>
          <cell r="M73" t="str">
            <v xml:space="preserve"> - </v>
          </cell>
          <cell r="N73">
            <v>1.4E-2</v>
          </cell>
          <cell r="O73">
            <v>1</v>
          </cell>
          <cell r="P73">
            <v>2.1000000000000001E-2</v>
          </cell>
          <cell r="Q73">
            <v>1</v>
          </cell>
          <cell r="R73">
            <v>2.8000000000000001E-2</v>
          </cell>
          <cell r="S73">
            <v>1</v>
          </cell>
          <cell r="T73">
            <v>3.5000000000000003E-2</v>
          </cell>
          <cell r="U73">
            <v>1</v>
          </cell>
          <cell r="V73" t="str">
            <v>TR PROFIT AFTER TGT 4</v>
          </cell>
          <cell r="W73">
            <v>1</v>
          </cell>
          <cell r="X73" t="str">
            <v>N.A.</v>
          </cell>
          <cell r="Y73" t="str">
            <v>N.A.</v>
          </cell>
          <cell r="AA73" t="str">
            <v>Min</v>
          </cell>
          <cell r="AE73" t="str">
            <v>S : Entry</v>
          </cell>
          <cell r="AF73" t="str">
            <v xml:space="preserve"> + </v>
          </cell>
          <cell r="AG73">
            <v>1.4E-2</v>
          </cell>
          <cell r="AK73" t="str">
            <v>FUT : PRV : 2DHH</v>
          </cell>
          <cell r="AM73">
            <v>5</v>
          </cell>
          <cell r="AP73">
            <v>4</v>
          </cell>
          <cell r="AQ73" t="str">
            <v>FUT : PRV : 2DHH</v>
          </cell>
          <cell r="AS73">
            <v>3</v>
          </cell>
          <cell r="AT73" t="str">
            <v>FUT : PRV : 2DHH</v>
          </cell>
          <cell r="AV73">
            <v>2</v>
          </cell>
          <cell r="AW73" t="str">
            <v>FUT : PRV : 2DHH</v>
          </cell>
          <cell r="AY73">
            <v>1</v>
          </cell>
          <cell r="AZ73">
            <v>0</v>
          </cell>
          <cell r="BB73">
            <v>0</v>
          </cell>
          <cell r="BE73">
            <v>0.38540972222222225</v>
          </cell>
          <cell r="BF73">
            <v>0.38540972222222225</v>
          </cell>
          <cell r="BG73" t="str">
            <v>N.A.</v>
          </cell>
          <cell r="BK73">
            <v>1E-3</v>
          </cell>
          <cell r="BL73">
            <v>1E-3</v>
          </cell>
        </row>
        <row r="74">
          <cell r="B74" t="str">
            <v>S12C</v>
          </cell>
        </row>
        <row r="75">
          <cell r="B75" t="str">
            <v>S12D</v>
          </cell>
          <cell r="G75" t="str">
            <v>FUT : PRV : 3DHH</v>
          </cell>
          <cell r="H75" t="str">
            <v xml:space="preserve"> + </v>
          </cell>
          <cell r="I75">
            <v>1E-3</v>
          </cell>
          <cell r="J75">
            <v>5</v>
          </cell>
          <cell r="L75" t="str">
            <v xml:space="preserve">L : Entry </v>
          </cell>
          <cell r="M75" t="str">
            <v xml:space="preserve"> + </v>
          </cell>
          <cell r="N75">
            <v>1.4E-2</v>
          </cell>
          <cell r="O75">
            <v>1</v>
          </cell>
          <cell r="P75">
            <v>2.1000000000000001E-2</v>
          </cell>
          <cell r="Q75">
            <v>1</v>
          </cell>
          <cell r="R75">
            <v>2.8000000000000001E-2</v>
          </cell>
          <cell r="S75">
            <v>1</v>
          </cell>
          <cell r="T75">
            <v>3.5000000000000003E-2</v>
          </cell>
          <cell r="U75">
            <v>1</v>
          </cell>
          <cell r="V75" t="str">
            <v>TR PROFIT AFTER TGT 4</v>
          </cell>
          <cell r="W75">
            <v>1</v>
          </cell>
          <cell r="X75" t="str">
            <v>N.A.</v>
          </cell>
          <cell r="Y75" t="str">
            <v>N.A.</v>
          </cell>
          <cell r="AA75" t="str">
            <v>Max</v>
          </cell>
          <cell r="AE75" t="str">
            <v>L : Entry</v>
          </cell>
          <cell r="AF75" t="str">
            <v xml:space="preserve"> - </v>
          </cell>
          <cell r="AG75">
            <v>1.4E-2</v>
          </cell>
          <cell r="AK75" t="str">
            <v>FUT : PRV : 2DLL</v>
          </cell>
          <cell r="AM75">
            <v>5</v>
          </cell>
          <cell r="AP75">
            <v>4</v>
          </cell>
          <cell r="AQ75" t="str">
            <v>FUT : PRV : 2DLL</v>
          </cell>
          <cell r="AS75">
            <v>3</v>
          </cell>
          <cell r="AT75" t="str">
            <v>FUT : PRV : 2DLL</v>
          </cell>
          <cell r="AV75">
            <v>2</v>
          </cell>
          <cell r="AW75" t="str">
            <v>FUT : PRV : 2DLL</v>
          </cell>
          <cell r="AY75">
            <v>1</v>
          </cell>
          <cell r="AZ75">
            <v>0</v>
          </cell>
          <cell r="BB75">
            <v>0</v>
          </cell>
          <cell r="BE75">
            <v>0.375</v>
          </cell>
          <cell r="BK75">
            <v>1E-3</v>
          </cell>
          <cell r="BL75">
            <v>1E-3</v>
          </cell>
        </row>
        <row r="76">
          <cell r="B76" t="str">
            <v>S12E</v>
          </cell>
          <cell r="G76" t="str">
            <v>FUT : PRV : 2DLL</v>
          </cell>
          <cell r="H76" t="str">
            <v xml:space="preserve"> - </v>
          </cell>
          <cell r="I76">
            <v>0</v>
          </cell>
          <cell r="J76">
            <v>5</v>
          </cell>
          <cell r="L76" t="str">
            <v xml:space="preserve">S : Entry </v>
          </cell>
          <cell r="M76" t="str">
            <v xml:space="preserve"> - </v>
          </cell>
          <cell r="N76">
            <v>1.4E-2</v>
          </cell>
          <cell r="O76">
            <v>1</v>
          </cell>
          <cell r="P76">
            <v>2.1000000000000001E-2</v>
          </cell>
          <cell r="Q76">
            <v>1</v>
          </cell>
          <cell r="R76">
            <v>2.8000000000000001E-2</v>
          </cell>
          <cell r="S76">
            <v>1</v>
          </cell>
          <cell r="T76">
            <v>3.5000000000000003E-2</v>
          </cell>
          <cell r="U76">
            <v>1</v>
          </cell>
          <cell r="V76" t="str">
            <v>TR PROFIT AFTER TGT 4</v>
          </cell>
          <cell r="W76">
            <v>1</v>
          </cell>
          <cell r="X76" t="str">
            <v>N.A.</v>
          </cell>
          <cell r="Y76" t="str">
            <v>N.A.</v>
          </cell>
          <cell r="AA76" t="str">
            <v>Min</v>
          </cell>
          <cell r="AE76" t="str">
            <v>S : Entry</v>
          </cell>
          <cell r="AF76" t="str">
            <v xml:space="preserve"> + </v>
          </cell>
          <cell r="AG76">
            <v>1.4E-2</v>
          </cell>
          <cell r="AK76" t="str">
            <v>FUT : PRV : 3DHH</v>
          </cell>
          <cell r="AM76">
            <v>5</v>
          </cell>
          <cell r="AP76">
            <v>4</v>
          </cell>
          <cell r="AQ76" t="str">
            <v>FUT : PRV : 3DHH</v>
          </cell>
          <cell r="AS76">
            <v>3</v>
          </cell>
          <cell r="AT76" t="str">
            <v>FUT : PRV : 3DHH</v>
          </cell>
          <cell r="AV76">
            <v>2</v>
          </cell>
          <cell r="AW76" t="str">
            <v>FUT : PRV : 3DHH</v>
          </cell>
          <cell r="AY76">
            <v>1</v>
          </cell>
          <cell r="AZ76">
            <v>0</v>
          </cell>
          <cell r="BB76">
            <v>0</v>
          </cell>
          <cell r="BE76">
            <v>0.97916666666666663</v>
          </cell>
          <cell r="BK76">
            <v>1E-3</v>
          </cell>
          <cell r="BL76">
            <v>1E-3</v>
          </cell>
        </row>
        <row r="78">
          <cell r="B78" t="str">
            <v>S13A</v>
          </cell>
          <cell r="G78" t="str">
            <v>FUT : PRV : 3DHH</v>
          </cell>
          <cell r="H78" t="str">
            <v xml:space="preserve"> + </v>
          </cell>
          <cell r="I78">
            <v>1E-3</v>
          </cell>
          <cell r="J78">
            <v>5</v>
          </cell>
          <cell r="L78" t="str">
            <v xml:space="preserve">L : Entry </v>
          </cell>
          <cell r="M78" t="str">
            <v xml:space="preserve"> + </v>
          </cell>
          <cell r="N78">
            <v>1.4E-2</v>
          </cell>
          <cell r="O78">
            <v>1</v>
          </cell>
          <cell r="P78">
            <v>2.1000000000000001E-2</v>
          </cell>
          <cell r="Q78">
            <v>1</v>
          </cell>
          <cell r="R78">
            <v>2.8000000000000001E-2</v>
          </cell>
          <cell r="S78">
            <v>1</v>
          </cell>
          <cell r="T78">
            <v>3.5000000000000003E-2</v>
          </cell>
          <cell r="U78">
            <v>1</v>
          </cell>
          <cell r="V78" t="str">
            <v>TR PROFIT AFTER TGT 4</v>
          </cell>
          <cell r="W78">
            <v>1</v>
          </cell>
          <cell r="X78" t="str">
            <v>N.A.</v>
          </cell>
          <cell r="Y78" t="str">
            <v>N.A.</v>
          </cell>
          <cell r="AA78" t="str">
            <v>Max</v>
          </cell>
          <cell r="AE78" t="str">
            <v>L : Entry</v>
          </cell>
          <cell r="AF78" t="str">
            <v xml:space="preserve"> - </v>
          </cell>
          <cell r="AG78">
            <v>1.4E-2</v>
          </cell>
          <cell r="AK78" t="str">
            <v>FUT : PRV : 3DLL</v>
          </cell>
          <cell r="AM78">
            <v>5</v>
          </cell>
          <cell r="AP78">
            <v>4</v>
          </cell>
          <cell r="AQ78" t="str">
            <v>FUT : PRV : 3DLL</v>
          </cell>
          <cell r="AS78">
            <v>3</v>
          </cell>
          <cell r="AT78" t="str">
            <v>FUT : PRV : 3DLL</v>
          </cell>
          <cell r="AV78">
            <v>2</v>
          </cell>
          <cell r="AW78" t="str">
            <v>FUT : PRV : 3DLL</v>
          </cell>
          <cell r="AY78">
            <v>1</v>
          </cell>
          <cell r="AZ78">
            <v>0</v>
          </cell>
          <cell r="BB78">
            <v>0</v>
          </cell>
          <cell r="BE78">
            <v>0.37846527777777778</v>
          </cell>
          <cell r="BF78">
            <v>0.37846527777777778</v>
          </cell>
          <cell r="BG78">
            <v>0.375</v>
          </cell>
          <cell r="BK78">
            <v>1E-3</v>
          </cell>
          <cell r="BL78">
            <v>1E-3</v>
          </cell>
        </row>
        <row r="79">
          <cell r="B79" t="str">
            <v>S13B</v>
          </cell>
          <cell r="G79" t="str">
            <v>FUT : PRV : 3DLL</v>
          </cell>
          <cell r="H79" t="str">
            <v xml:space="preserve"> - </v>
          </cell>
          <cell r="I79">
            <v>1E-3</v>
          </cell>
          <cell r="J79">
            <v>5</v>
          </cell>
          <cell r="L79" t="str">
            <v xml:space="preserve">S : Entry </v>
          </cell>
          <cell r="M79" t="str">
            <v xml:space="preserve"> - </v>
          </cell>
          <cell r="N79">
            <v>1.4E-2</v>
          </cell>
          <cell r="O79">
            <v>1</v>
          </cell>
          <cell r="P79">
            <v>2.1000000000000001E-2</v>
          </cell>
          <cell r="Q79">
            <v>1</v>
          </cell>
          <cell r="R79">
            <v>2.8000000000000001E-2</v>
          </cell>
          <cell r="S79">
            <v>1</v>
          </cell>
          <cell r="T79">
            <v>3.5000000000000003E-2</v>
          </cell>
          <cell r="U79">
            <v>1</v>
          </cell>
          <cell r="V79" t="str">
            <v>TR PROFIT AFTER TGT 4</v>
          </cell>
          <cell r="W79">
            <v>1</v>
          </cell>
          <cell r="X79" t="str">
            <v>N.A.</v>
          </cell>
          <cell r="Y79" t="str">
            <v>N.A.</v>
          </cell>
          <cell r="AA79" t="str">
            <v>Min</v>
          </cell>
          <cell r="AE79" t="str">
            <v>S : Entry</v>
          </cell>
          <cell r="AF79" t="str">
            <v xml:space="preserve"> + </v>
          </cell>
          <cell r="AG79">
            <v>1.4E-2</v>
          </cell>
          <cell r="AK79" t="str">
            <v>FUT : PRV : 3DHH</v>
          </cell>
          <cell r="AM79">
            <v>5</v>
          </cell>
          <cell r="AP79">
            <v>4</v>
          </cell>
          <cell r="AQ79" t="str">
            <v>FUT : PRV : 3DHH</v>
          </cell>
          <cell r="AS79">
            <v>3</v>
          </cell>
          <cell r="AT79" t="str">
            <v>FUT : PRV : 3DHH</v>
          </cell>
          <cell r="AV79">
            <v>2</v>
          </cell>
          <cell r="AW79" t="str">
            <v>FUT : PRV : 3DHH</v>
          </cell>
          <cell r="AY79">
            <v>1</v>
          </cell>
          <cell r="AZ79">
            <v>0</v>
          </cell>
          <cell r="BB79">
            <v>0</v>
          </cell>
          <cell r="BE79">
            <v>0.38540972222222225</v>
          </cell>
          <cell r="BF79">
            <v>0.38540972222222225</v>
          </cell>
          <cell r="BG79" t="str">
            <v>N.A.</v>
          </cell>
          <cell r="BK79">
            <v>1E-3</v>
          </cell>
          <cell r="BL79">
            <v>1E-3</v>
          </cell>
        </row>
        <row r="80">
          <cell r="B80" t="str">
            <v>S13C</v>
          </cell>
        </row>
        <row r="81">
          <cell r="B81" t="str">
            <v>S13D</v>
          </cell>
          <cell r="G81" t="str">
            <v>FUT : PRV : 3DHH</v>
          </cell>
          <cell r="H81" t="str">
            <v xml:space="preserve"> + </v>
          </cell>
          <cell r="I81">
            <v>1E-3</v>
          </cell>
          <cell r="J81">
            <v>5</v>
          </cell>
          <cell r="L81" t="str">
            <v xml:space="preserve">L : Entry </v>
          </cell>
          <cell r="M81" t="str">
            <v xml:space="preserve"> + </v>
          </cell>
          <cell r="N81">
            <v>1.4E-2</v>
          </cell>
          <cell r="O81">
            <v>1</v>
          </cell>
          <cell r="P81">
            <v>2.1000000000000001E-2</v>
          </cell>
          <cell r="Q81">
            <v>1</v>
          </cell>
          <cell r="R81">
            <v>2.8000000000000001E-2</v>
          </cell>
          <cell r="S81">
            <v>1</v>
          </cell>
          <cell r="T81">
            <v>3.5000000000000003E-2</v>
          </cell>
          <cell r="U81">
            <v>1</v>
          </cell>
          <cell r="V81" t="str">
            <v>TR PROFIT AFTER TGT 4</v>
          </cell>
          <cell r="W81">
            <v>1</v>
          </cell>
          <cell r="X81" t="str">
            <v>N.A.</v>
          </cell>
          <cell r="Y81" t="str">
            <v>N.A.</v>
          </cell>
          <cell r="AA81" t="str">
            <v>Max</v>
          </cell>
          <cell r="AE81" t="str">
            <v>L : Entry</v>
          </cell>
          <cell r="AF81" t="str">
            <v xml:space="preserve"> - </v>
          </cell>
          <cell r="AG81">
            <v>1.4E-2</v>
          </cell>
          <cell r="AK81" t="str">
            <v>FUT : PRV : 3DLL</v>
          </cell>
          <cell r="AM81">
            <v>5</v>
          </cell>
          <cell r="AP81">
            <v>4</v>
          </cell>
          <cell r="AQ81" t="str">
            <v>FUT : PRV : 3DLL</v>
          </cell>
          <cell r="AS81">
            <v>3</v>
          </cell>
          <cell r="AT81" t="str">
            <v>FUT : PRV : 3DLL</v>
          </cell>
          <cell r="AV81">
            <v>2</v>
          </cell>
          <cell r="AW81" t="str">
            <v>FUT : PRV : 3DLL</v>
          </cell>
          <cell r="AY81">
            <v>1</v>
          </cell>
          <cell r="AZ81">
            <v>0</v>
          </cell>
          <cell r="BB81">
            <v>0</v>
          </cell>
          <cell r="BE81">
            <v>0.375</v>
          </cell>
          <cell r="BK81">
            <v>1E-3</v>
          </cell>
          <cell r="BL81">
            <v>1E-3</v>
          </cell>
        </row>
        <row r="82">
          <cell r="B82" t="str">
            <v>S13E</v>
          </cell>
          <cell r="G82" t="str">
            <v>FUT : PRV : 3DLL</v>
          </cell>
          <cell r="H82" t="str">
            <v xml:space="preserve"> - </v>
          </cell>
          <cell r="I82">
            <v>1E-3</v>
          </cell>
          <cell r="J82">
            <v>5</v>
          </cell>
          <cell r="L82" t="str">
            <v xml:space="preserve">S : Entry </v>
          </cell>
          <cell r="M82" t="str">
            <v xml:space="preserve"> - </v>
          </cell>
          <cell r="N82">
            <v>1.4E-2</v>
          </cell>
          <cell r="O82">
            <v>1</v>
          </cell>
          <cell r="P82">
            <v>2.1000000000000001E-2</v>
          </cell>
          <cell r="Q82">
            <v>1</v>
          </cell>
          <cell r="R82">
            <v>2.8000000000000001E-2</v>
          </cell>
          <cell r="S82">
            <v>1</v>
          </cell>
          <cell r="T82">
            <v>3.5000000000000003E-2</v>
          </cell>
          <cell r="U82">
            <v>1</v>
          </cell>
          <cell r="V82" t="str">
            <v>TR PROFIT AFTER TGT 4</v>
          </cell>
          <cell r="W82">
            <v>1</v>
          </cell>
          <cell r="X82" t="str">
            <v>N.A.</v>
          </cell>
          <cell r="Y82" t="str">
            <v>N.A.</v>
          </cell>
          <cell r="AA82" t="str">
            <v>Min</v>
          </cell>
          <cell r="AE82" t="str">
            <v>S : Entry</v>
          </cell>
          <cell r="AF82" t="str">
            <v xml:space="preserve"> + </v>
          </cell>
          <cell r="AG82">
            <v>1.4E-2</v>
          </cell>
          <cell r="AK82" t="str">
            <v>FUT : PRV : 3DHH</v>
          </cell>
          <cell r="AM82">
            <v>5</v>
          </cell>
          <cell r="AP82">
            <v>4</v>
          </cell>
          <cell r="AQ82" t="str">
            <v>FUT : PRV : 3DHH</v>
          </cell>
          <cell r="AS82">
            <v>3</v>
          </cell>
          <cell r="AT82" t="str">
            <v>FUT : PRV : 3DHH</v>
          </cell>
          <cell r="AV82">
            <v>2</v>
          </cell>
          <cell r="AW82" t="str">
            <v>FUT : PRV : 3DHH</v>
          </cell>
          <cell r="AY82">
            <v>1</v>
          </cell>
          <cell r="AZ82">
            <v>0</v>
          </cell>
          <cell r="BB82">
            <v>0</v>
          </cell>
          <cell r="BE82">
            <v>0.97916666666666663</v>
          </cell>
          <cell r="BK82">
            <v>1E-3</v>
          </cell>
          <cell r="BL82">
            <v>1E-3</v>
          </cell>
        </row>
        <row r="84">
          <cell r="B84" t="str">
            <v>S14A</v>
          </cell>
          <cell r="G84" t="str">
            <v>FUT : PRV : 2DHH</v>
          </cell>
          <cell r="H84" t="str">
            <v xml:space="preserve"> + </v>
          </cell>
          <cell r="I84">
            <v>4.0000000000000001E-3</v>
          </cell>
          <cell r="J84">
            <v>5</v>
          </cell>
          <cell r="L84" t="str">
            <v xml:space="preserve">L : Entry </v>
          </cell>
          <cell r="M84" t="str">
            <v xml:space="preserve"> + </v>
          </cell>
          <cell r="N84">
            <v>2.5000000000000001E-2</v>
          </cell>
          <cell r="O84">
            <v>1</v>
          </cell>
          <cell r="P84">
            <v>3.5000000000000003E-2</v>
          </cell>
          <cell r="Q84">
            <v>1</v>
          </cell>
          <cell r="R84">
            <v>4.4999999999999998E-2</v>
          </cell>
          <cell r="S84">
            <v>1</v>
          </cell>
          <cell r="T84">
            <v>5.5E-2</v>
          </cell>
          <cell r="U84">
            <v>1</v>
          </cell>
          <cell r="V84" t="str">
            <v>TR PROFIT AFTER TGT 4</v>
          </cell>
          <cell r="W84">
            <v>1</v>
          </cell>
          <cell r="X84" t="str">
            <v>N.A.</v>
          </cell>
          <cell r="Y84" t="str">
            <v>N.A.</v>
          </cell>
          <cell r="AA84" t="str">
            <v>Max</v>
          </cell>
          <cell r="AE84" t="str">
            <v>L : Entry</v>
          </cell>
          <cell r="AF84" t="str">
            <v xml:space="preserve"> - </v>
          </cell>
          <cell r="AG84">
            <v>2.5000000000000001E-2</v>
          </cell>
          <cell r="AK84" t="str">
            <v>FUT : PRV : 2DLL</v>
          </cell>
          <cell r="AM84">
            <v>5</v>
          </cell>
          <cell r="AP84">
            <v>4</v>
          </cell>
          <cell r="AQ84" t="str">
            <v>FUT : PRV : 2DLL</v>
          </cell>
          <cell r="AS84">
            <v>3</v>
          </cell>
          <cell r="AT84" t="str">
            <v>FUT : PRV : 2DLL</v>
          </cell>
          <cell r="AV84">
            <v>2</v>
          </cell>
          <cell r="AW84" t="str">
            <v>FUT : PRV : 2DLL</v>
          </cell>
          <cell r="AY84">
            <v>1</v>
          </cell>
          <cell r="AZ84">
            <v>0</v>
          </cell>
          <cell r="BB84">
            <v>0</v>
          </cell>
          <cell r="BE84">
            <v>0.37846527777777778</v>
          </cell>
          <cell r="BF84">
            <v>0.37846527777777778</v>
          </cell>
          <cell r="BG84">
            <v>0.375</v>
          </cell>
          <cell r="BK84">
            <v>4.0000000000000001E-3</v>
          </cell>
          <cell r="BL84">
            <v>4.0000000000000001E-3</v>
          </cell>
        </row>
        <row r="85">
          <cell r="B85" t="str">
            <v>S14B</v>
          </cell>
          <cell r="G85" t="str">
            <v>FUT : PRV : 2DLL</v>
          </cell>
          <cell r="H85" t="str">
            <v xml:space="preserve"> - </v>
          </cell>
          <cell r="I85">
            <v>4.0000000000000001E-3</v>
          </cell>
          <cell r="J85">
            <v>5</v>
          </cell>
          <cell r="L85" t="str">
            <v xml:space="preserve">S : Entry </v>
          </cell>
          <cell r="M85" t="str">
            <v xml:space="preserve"> - </v>
          </cell>
          <cell r="N85">
            <v>2.5000000000000001E-2</v>
          </cell>
          <cell r="O85">
            <v>1</v>
          </cell>
          <cell r="P85">
            <v>3.5000000000000003E-2</v>
          </cell>
          <cell r="Q85">
            <v>1</v>
          </cell>
          <cell r="R85">
            <v>4.4999999999999998E-2</v>
          </cell>
          <cell r="S85">
            <v>1</v>
          </cell>
          <cell r="T85">
            <v>5.5E-2</v>
          </cell>
          <cell r="U85">
            <v>1</v>
          </cell>
          <cell r="V85" t="str">
            <v>TR PROFIT AFTER TGT 4</v>
          </cell>
          <cell r="W85">
            <v>1</v>
          </cell>
          <cell r="X85" t="str">
            <v>N.A.</v>
          </cell>
          <cell r="Y85" t="str">
            <v>N.A.</v>
          </cell>
          <cell r="AA85" t="str">
            <v>Min</v>
          </cell>
          <cell r="AE85" t="str">
            <v>S : Entry</v>
          </cell>
          <cell r="AF85" t="str">
            <v xml:space="preserve"> + </v>
          </cell>
          <cell r="AG85">
            <v>2.5000000000000001E-2</v>
          </cell>
          <cell r="AK85" t="str">
            <v>FUT : PRV : 2DHH</v>
          </cell>
          <cell r="AM85">
            <v>5</v>
          </cell>
          <cell r="AP85">
            <v>4</v>
          </cell>
          <cell r="AQ85" t="str">
            <v>FUT : PRV : 2DHH</v>
          </cell>
          <cell r="AS85">
            <v>3</v>
          </cell>
          <cell r="AT85" t="str">
            <v>FUT : PRV : 2DHH</v>
          </cell>
          <cell r="AV85">
            <v>2</v>
          </cell>
          <cell r="AW85" t="str">
            <v>FUT : PRV : 2DHH</v>
          </cell>
          <cell r="AY85">
            <v>1</v>
          </cell>
          <cell r="AZ85">
            <v>0</v>
          </cell>
          <cell r="BB85">
            <v>0</v>
          </cell>
          <cell r="BE85">
            <v>0.38540972222222225</v>
          </cell>
          <cell r="BF85">
            <v>0.38540972222222225</v>
          </cell>
          <cell r="BG85" t="str">
            <v>N.A.</v>
          </cell>
          <cell r="BK85">
            <v>4.0000000000000001E-3</v>
          </cell>
          <cell r="BL85">
            <v>4.0000000000000001E-3</v>
          </cell>
        </row>
        <row r="86">
          <cell r="B86" t="str">
            <v>S14C</v>
          </cell>
        </row>
        <row r="87">
          <cell r="B87" t="str">
            <v>S14D</v>
          </cell>
          <cell r="G87" t="str">
            <v>FUT : PRV : 2DHH</v>
          </cell>
          <cell r="H87" t="str">
            <v xml:space="preserve"> + </v>
          </cell>
          <cell r="I87">
            <v>4.0000000000000001E-3</v>
          </cell>
          <cell r="J87">
            <v>5</v>
          </cell>
          <cell r="L87" t="str">
            <v xml:space="preserve">L : Entry </v>
          </cell>
          <cell r="M87" t="str">
            <v xml:space="preserve"> + </v>
          </cell>
          <cell r="N87">
            <v>2.5000000000000001E-2</v>
          </cell>
          <cell r="O87">
            <v>1</v>
          </cell>
          <cell r="P87">
            <v>3.5000000000000003E-2</v>
          </cell>
          <cell r="Q87">
            <v>1</v>
          </cell>
          <cell r="R87">
            <v>4.4999999999999998E-2</v>
          </cell>
          <cell r="S87">
            <v>1</v>
          </cell>
          <cell r="T87">
            <v>5.5E-2</v>
          </cell>
          <cell r="U87">
            <v>1</v>
          </cell>
          <cell r="V87" t="str">
            <v>TR PROFIT AFTER TGT 4</v>
          </cell>
          <cell r="W87">
            <v>1</v>
          </cell>
          <cell r="X87" t="str">
            <v>N.A.</v>
          </cell>
          <cell r="Y87" t="str">
            <v>N.A.</v>
          </cell>
          <cell r="AA87" t="str">
            <v>Max</v>
          </cell>
          <cell r="AE87" t="str">
            <v>L : Entry</v>
          </cell>
          <cell r="AF87" t="str">
            <v xml:space="preserve"> - </v>
          </cell>
          <cell r="AG87">
            <v>2.5000000000000001E-2</v>
          </cell>
          <cell r="AK87" t="str">
            <v>FUT : PRV : 2DLL</v>
          </cell>
          <cell r="AM87">
            <v>5</v>
          </cell>
          <cell r="AP87">
            <v>4</v>
          </cell>
          <cell r="AQ87" t="str">
            <v>FUT : PRV : 2DLL</v>
          </cell>
          <cell r="AS87">
            <v>3</v>
          </cell>
          <cell r="AT87" t="str">
            <v>FUT : PRV : 2DLL</v>
          </cell>
          <cell r="AV87">
            <v>2</v>
          </cell>
          <cell r="AW87" t="str">
            <v>FUT : PRV : 2DLL</v>
          </cell>
          <cell r="AY87">
            <v>1</v>
          </cell>
          <cell r="AZ87">
            <v>0</v>
          </cell>
          <cell r="BB87">
            <v>0</v>
          </cell>
          <cell r="BE87">
            <v>0.375</v>
          </cell>
          <cell r="BK87">
            <v>4.0000000000000001E-3</v>
          </cell>
          <cell r="BL87">
            <v>4.0000000000000001E-3</v>
          </cell>
        </row>
        <row r="88">
          <cell r="B88" t="str">
            <v>S14E</v>
          </cell>
          <cell r="G88" t="str">
            <v>FUT : PRV : 2DLL</v>
          </cell>
          <cell r="H88" t="str">
            <v xml:space="preserve"> - </v>
          </cell>
          <cell r="I88">
            <v>4.0000000000000001E-3</v>
          </cell>
          <cell r="J88">
            <v>5</v>
          </cell>
          <cell r="L88" t="str">
            <v xml:space="preserve">S : Entry </v>
          </cell>
          <cell r="M88" t="str">
            <v xml:space="preserve"> - </v>
          </cell>
          <cell r="N88">
            <v>2.5000000000000001E-2</v>
          </cell>
          <cell r="O88">
            <v>1</v>
          </cell>
          <cell r="P88">
            <v>3.5000000000000003E-2</v>
          </cell>
          <cell r="Q88">
            <v>1</v>
          </cell>
          <cell r="R88">
            <v>4.4999999999999998E-2</v>
          </cell>
          <cell r="S88">
            <v>1</v>
          </cell>
          <cell r="T88">
            <v>5.5E-2</v>
          </cell>
          <cell r="U88">
            <v>1</v>
          </cell>
          <cell r="V88" t="str">
            <v>TR PROFIT AFTER TGT 4</v>
          </cell>
          <cell r="W88">
            <v>1</v>
          </cell>
          <cell r="X88" t="str">
            <v>N.A.</v>
          </cell>
          <cell r="Y88" t="str">
            <v>N.A.</v>
          </cell>
          <cell r="AA88" t="str">
            <v>Min</v>
          </cell>
          <cell r="AE88" t="str">
            <v>S : Entry</v>
          </cell>
          <cell r="AF88" t="str">
            <v xml:space="preserve"> + </v>
          </cell>
          <cell r="AG88">
            <v>2.5000000000000001E-2</v>
          </cell>
          <cell r="AK88" t="str">
            <v>FUT : PRV : 2DHH</v>
          </cell>
          <cell r="AM88">
            <v>5</v>
          </cell>
          <cell r="AP88">
            <v>4</v>
          </cell>
          <cell r="AQ88" t="str">
            <v>FUT : PRV : 2DHH</v>
          </cell>
          <cell r="AS88">
            <v>3</v>
          </cell>
          <cell r="AT88" t="str">
            <v>FUT : PRV : 2DHH</v>
          </cell>
          <cell r="AV88">
            <v>2</v>
          </cell>
          <cell r="AW88" t="str">
            <v>FUT : PRV : 2DHH</v>
          </cell>
          <cell r="AY88">
            <v>1</v>
          </cell>
          <cell r="AZ88">
            <v>0</v>
          </cell>
          <cell r="BB88">
            <v>0</v>
          </cell>
          <cell r="BE88">
            <v>0.97916666666666663</v>
          </cell>
          <cell r="BK88">
            <v>4.0000000000000001E-3</v>
          </cell>
          <cell r="BL88">
            <v>4.0000000000000001E-3</v>
          </cell>
        </row>
        <row r="90">
          <cell r="B90" t="str">
            <v>S15A</v>
          </cell>
          <cell r="G90" t="str">
            <v>FUT : PRV : 1DHH</v>
          </cell>
          <cell r="H90" t="str">
            <v xml:space="preserve"> + </v>
          </cell>
          <cell r="I90">
            <v>0</v>
          </cell>
          <cell r="J90">
            <v>5</v>
          </cell>
          <cell r="L90" t="str">
            <v xml:space="preserve">L : Entry </v>
          </cell>
          <cell r="M90" t="str">
            <v xml:space="preserve"> + </v>
          </cell>
          <cell r="N90">
            <v>2.5000000000000001E-2</v>
          </cell>
          <cell r="O90">
            <v>1</v>
          </cell>
          <cell r="P90">
            <v>3.5000000000000003E-2</v>
          </cell>
          <cell r="Q90">
            <v>1</v>
          </cell>
          <cell r="R90">
            <v>4.4999999999999998E-2</v>
          </cell>
          <cell r="S90">
            <v>1</v>
          </cell>
          <cell r="T90">
            <v>5.5E-2</v>
          </cell>
          <cell r="U90">
            <v>1</v>
          </cell>
          <cell r="V90" t="str">
            <v>TR PROFIT AFTER TGT 4</v>
          </cell>
          <cell r="W90">
            <v>1</v>
          </cell>
          <cell r="X90" t="str">
            <v>N.A.</v>
          </cell>
          <cell r="Y90" t="str">
            <v>N.A.</v>
          </cell>
          <cell r="AA90" t="str">
            <v>Max</v>
          </cell>
          <cell r="AE90" t="str">
            <v>L : Entry</v>
          </cell>
          <cell r="AF90" t="str">
            <v xml:space="preserve"> - </v>
          </cell>
          <cell r="AG90">
            <v>2.5000000000000001E-2</v>
          </cell>
          <cell r="AK90" t="str">
            <v>FUT : PRV : 2DLL</v>
          </cell>
          <cell r="AM90">
            <v>5</v>
          </cell>
          <cell r="AP90">
            <v>4</v>
          </cell>
          <cell r="AQ90" t="str">
            <v>FUT : PRV : 2DLL</v>
          </cell>
          <cell r="AS90">
            <v>3</v>
          </cell>
          <cell r="AT90" t="str">
            <v>FUT : PRV : 2DLL</v>
          </cell>
          <cell r="AV90">
            <v>2</v>
          </cell>
          <cell r="AW90" t="str">
            <v>FUT : PRV : 2DLL</v>
          </cell>
          <cell r="AY90">
            <v>1</v>
          </cell>
          <cell r="AZ90">
            <v>0</v>
          </cell>
          <cell r="BB90">
            <v>0</v>
          </cell>
          <cell r="BE90">
            <v>0.37846527777777778</v>
          </cell>
          <cell r="BF90">
            <v>0.37846527777777778</v>
          </cell>
          <cell r="BG90">
            <v>0.375</v>
          </cell>
          <cell r="BK90">
            <v>4.0000000000000001E-3</v>
          </cell>
          <cell r="BL90">
            <v>4.0000000000000001E-3</v>
          </cell>
        </row>
        <row r="91">
          <cell r="B91" t="str">
            <v>S15B</v>
          </cell>
          <cell r="G91" t="str">
            <v>FUT : PRV : 2DLL</v>
          </cell>
          <cell r="H91" t="str">
            <v xml:space="preserve"> - </v>
          </cell>
          <cell r="I91">
            <v>4.0000000000000001E-3</v>
          </cell>
          <cell r="J91">
            <v>5</v>
          </cell>
          <cell r="L91" t="str">
            <v xml:space="preserve">S : Entry </v>
          </cell>
          <cell r="M91" t="str">
            <v xml:space="preserve"> - </v>
          </cell>
          <cell r="N91">
            <v>2.5000000000000001E-2</v>
          </cell>
          <cell r="O91">
            <v>1</v>
          </cell>
          <cell r="P91">
            <v>3.5000000000000003E-2</v>
          </cell>
          <cell r="Q91">
            <v>1</v>
          </cell>
          <cell r="R91">
            <v>4.4999999999999998E-2</v>
          </cell>
          <cell r="S91">
            <v>1</v>
          </cell>
          <cell r="T91">
            <v>5.5E-2</v>
          </cell>
          <cell r="U91">
            <v>1</v>
          </cell>
          <cell r="V91" t="str">
            <v>TR PROFIT AFTER TGT 4</v>
          </cell>
          <cell r="W91">
            <v>1</v>
          </cell>
          <cell r="X91" t="str">
            <v>N.A.</v>
          </cell>
          <cell r="Y91" t="str">
            <v>N.A.</v>
          </cell>
          <cell r="AA91" t="str">
            <v>Min</v>
          </cell>
          <cell r="AE91" t="str">
            <v>S : Entry</v>
          </cell>
          <cell r="AF91" t="str">
            <v xml:space="preserve"> + </v>
          </cell>
          <cell r="AG91">
            <v>2.5000000000000001E-2</v>
          </cell>
          <cell r="AK91" t="str">
            <v>FUT : PRV : 1DHH</v>
          </cell>
          <cell r="AM91">
            <v>5</v>
          </cell>
          <cell r="AP91">
            <v>4</v>
          </cell>
          <cell r="AQ91" t="str">
            <v>FUT : PRV : 1DHH</v>
          </cell>
          <cell r="AS91">
            <v>3</v>
          </cell>
          <cell r="AT91" t="str">
            <v>FUT : PRV : 1DHH</v>
          </cell>
          <cell r="AV91">
            <v>2</v>
          </cell>
          <cell r="AW91" t="str">
            <v>FUT : PRV : 1DHH</v>
          </cell>
          <cell r="AY91">
            <v>1</v>
          </cell>
          <cell r="AZ91">
            <v>0</v>
          </cell>
          <cell r="BB91">
            <v>0</v>
          </cell>
          <cell r="BE91">
            <v>0.38540972222222225</v>
          </cell>
          <cell r="BF91">
            <v>0.38540972222222225</v>
          </cell>
          <cell r="BG91" t="str">
            <v>N.A.</v>
          </cell>
          <cell r="BK91">
            <v>4.0000000000000001E-3</v>
          </cell>
          <cell r="BL91">
            <v>4.0000000000000001E-3</v>
          </cell>
        </row>
        <row r="92">
          <cell r="B92" t="str">
            <v>S15C</v>
          </cell>
        </row>
        <row r="93">
          <cell r="B93" t="str">
            <v>S15D</v>
          </cell>
          <cell r="G93" t="str">
            <v>FUT : PRV : 2DHH</v>
          </cell>
          <cell r="H93" t="str">
            <v xml:space="preserve"> + </v>
          </cell>
          <cell r="I93">
            <v>4.0000000000000001E-3</v>
          </cell>
          <cell r="J93">
            <v>5</v>
          </cell>
          <cell r="L93" t="str">
            <v xml:space="preserve">L : Entry </v>
          </cell>
          <cell r="M93" t="str">
            <v xml:space="preserve"> + </v>
          </cell>
          <cell r="N93">
            <v>2.5000000000000001E-2</v>
          </cell>
          <cell r="O93">
            <v>1</v>
          </cell>
          <cell r="P93">
            <v>3.5000000000000003E-2</v>
          </cell>
          <cell r="Q93">
            <v>1</v>
          </cell>
          <cell r="R93">
            <v>4.4999999999999998E-2</v>
          </cell>
          <cell r="S93">
            <v>1</v>
          </cell>
          <cell r="T93">
            <v>5.5E-2</v>
          </cell>
          <cell r="U93">
            <v>1</v>
          </cell>
          <cell r="V93" t="str">
            <v>TR PROFIT AFTER TGT 4</v>
          </cell>
          <cell r="W93">
            <v>1</v>
          </cell>
          <cell r="X93" t="str">
            <v>N.A.</v>
          </cell>
          <cell r="Y93" t="str">
            <v>N.A.</v>
          </cell>
          <cell r="AA93" t="str">
            <v>Max</v>
          </cell>
          <cell r="AE93" t="str">
            <v>L : Entry</v>
          </cell>
          <cell r="AF93" t="str">
            <v xml:space="preserve"> - </v>
          </cell>
          <cell r="AG93">
            <v>2.5000000000000001E-2</v>
          </cell>
          <cell r="AK93" t="str">
            <v>FUT : PRV : 1DLL</v>
          </cell>
          <cell r="AM93">
            <v>5</v>
          </cell>
          <cell r="AP93">
            <v>4</v>
          </cell>
          <cell r="AQ93" t="str">
            <v>FUT : PRV : 1DLL</v>
          </cell>
          <cell r="AS93">
            <v>3</v>
          </cell>
          <cell r="AT93" t="str">
            <v>FUT : PRV : 1DLL</v>
          </cell>
          <cell r="AV93">
            <v>2</v>
          </cell>
          <cell r="AW93" t="str">
            <v>FUT : PRV : 1DLL</v>
          </cell>
          <cell r="AY93">
            <v>1</v>
          </cell>
          <cell r="AZ93">
            <v>0</v>
          </cell>
          <cell r="BB93">
            <v>0</v>
          </cell>
          <cell r="BE93">
            <v>0.375</v>
          </cell>
          <cell r="BK93">
            <v>4.0000000000000001E-3</v>
          </cell>
          <cell r="BL93">
            <v>4.0000000000000001E-3</v>
          </cell>
        </row>
        <row r="94">
          <cell r="B94" t="str">
            <v>S15E</v>
          </cell>
          <cell r="G94" t="str">
            <v>FUT : PRV : 1DLL</v>
          </cell>
          <cell r="H94" t="str">
            <v xml:space="preserve"> - </v>
          </cell>
          <cell r="I94">
            <v>0</v>
          </cell>
          <cell r="J94">
            <v>5</v>
          </cell>
          <cell r="L94" t="str">
            <v xml:space="preserve">S : Entry </v>
          </cell>
          <cell r="M94" t="str">
            <v xml:space="preserve"> - </v>
          </cell>
          <cell r="N94">
            <v>2.5000000000000001E-2</v>
          </cell>
          <cell r="O94">
            <v>1</v>
          </cell>
          <cell r="P94">
            <v>3.5000000000000003E-2</v>
          </cell>
          <cell r="Q94">
            <v>1</v>
          </cell>
          <cell r="R94">
            <v>4.4999999999999998E-2</v>
          </cell>
          <cell r="S94">
            <v>1</v>
          </cell>
          <cell r="T94">
            <v>5.5E-2</v>
          </cell>
          <cell r="U94">
            <v>1</v>
          </cell>
          <cell r="V94" t="str">
            <v>TR PROFIT AFTER TGT 4</v>
          </cell>
          <cell r="W94">
            <v>1</v>
          </cell>
          <cell r="X94" t="str">
            <v>N.A.</v>
          </cell>
          <cell r="Y94" t="str">
            <v>N.A.</v>
          </cell>
          <cell r="AA94" t="str">
            <v>Min</v>
          </cell>
          <cell r="AE94" t="str">
            <v>S : Entry</v>
          </cell>
          <cell r="AF94" t="str">
            <v xml:space="preserve"> + </v>
          </cell>
          <cell r="AG94">
            <v>2.5000000000000001E-2</v>
          </cell>
          <cell r="AK94" t="str">
            <v>FUT : PRV : 2DHH</v>
          </cell>
          <cell r="AM94">
            <v>5</v>
          </cell>
          <cell r="AP94">
            <v>4</v>
          </cell>
          <cell r="AQ94" t="str">
            <v>FUT : PRV : 2DHH</v>
          </cell>
          <cell r="AS94">
            <v>3</v>
          </cell>
          <cell r="AT94" t="str">
            <v>FUT : PRV : 2DHH</v>
          </cell>
          <cell r="AV94">
            <v>2</v>
          </cell>
          <cell r="AW94" t="str">
            <v>FUT : PRV : 2DHH</v>
          </cell>
          <cell r="AY94">
            <v>1</v>
          </cell>
          <cell r="AZ94">
            <v>0</v>
          </cell>
          <cell r="BB94">
            <v>0</v>
          </cell>
          <cell r="BE94">
            <v>0.97916666666666663</v>
          </cell>
          <cell r="BK94">
            <v>4.0000000000000001E-3</v>
          </cell>
          <cell r="BL94">
            <v>4.0000000000000001E-3</v>
          </cell>
        </row>
        <row r="96">
          <cell r="B96" t="str">
            <v>S16A</v>
          </cell>
          <cell r="G96" t="str">
            <v>FUT : PRV : 2DHH</v>
          </cell>
          <cell r="H96" t="str">
            <v xml:space="preserve"> + </v>
          </cell>
          <cell r="I96">
            <v>0</v>
          </cell>
          <cell r="J96">
            <v>5</v>
          </cell>
          <cell r="L96" t="str">
            <v xml:space="preserve">L : Entry </v>
          </cell>
          <cell r="M96" t="str">
            <v xml:space="preserve"> + </v>
          </cell>
          <cell r="N96">
            <v>0.03</v>
          </cell>
          <cell r="O96">
            <v>1</v>
          </cell>
          <cell r="P96">
            <v>0.04</v>
          </cell>
          <cell r="Q96">
            <v>1</v>
          </cell>
          <cell r="R96">
            <v>0.05</v>
          </cell>
          <cell r="S96">
            <v>1</v>
          </cell>
          <cell r="T96">
            <v>0.06</v>
          </cell>
          <cell r="U96">
            <v>1</v>
          </cell>
          <cell r="V96" t="str">
            <v>TR PROFIT AFTER TGT 4</v>
          </cell>
          <cell r="W96">
            <v>1</v>
          </cell>
          <cell r="X96" t="str">
            <v>N.A.</v>
          </cell>
          <cell r="Y96" t="str">
            <v>N.A.</v>
          </cell>
          <cell r="AA96" t="str">
            <v>Max</v>
          </cell>
          <cell r="AE96" t="str">
            <v>L : Entry</v>
          </cell>
          <cell r="AF96" t="str">
            <v xml:space="preserve"> - </v>
          </cell>
          <cell r="AG96">
            <v>0.03</v>
          </cell>
          <cell r="AK96" t="str">
            <v>FUT : PRV : 3DLL</v>
          </cell>
          <cell r="AM96">
            <v>5</v>
          </cell>
          <cell r="AP96">
            <v>4</v>
          </cell>
          <cell r="AQ96" t="str">
            <v>FUT : PRV : 3DLL</v>
          </cell>
          <cell r="AS96">
            <v>3</v>
          </cell>
          <cell r="AT96" t="str">
            <v>FUT : PRV : 3DLL</v>
          </cell>
          <cell r="AV96">
            <v>2</v>
          </cell>
          <cell r="AW96" t="str">
            <v>FUT : PRV : 3DLL</v>
          </cell>
          <cell r="AY96">
            <v>1</v>
          </cell>
          <cell r="AZ96">
            <v>0</v>
          </cell>
          <cell r="BB96">
            <v>0</v>
          </cell>
          <cell r="BE96">
            <v>0.37846527777777778</v>
          </cell>
          <cell r="BF96">
            <v>0.37846527777777778</v>
          </cell>
          <cell r="BG96">
            <v>0.375</v>
          </cell>
          <cell r="BK96">
            <v>0.01</v>
          </cell>
          <cell r="BL96">
            <v>0.01</v>
          </cell>
        </row>
        <row r="97">
          <cell r="B97" t="str">
            <v>S16B</v>
          </cell>
          <cell r="G97" t="str">
            <v>FUT : PRV : 3DLL</v>
          </cell>
          <cell r="H97" t="str">
            <v xml:space="preserve"> - </v>
          </cell>
          <cell r="I97">
            <v>0.01</v>
          </cell>
          <cell r="J97">
            <v>5</v>
          </cell>
          <cell r="L97" t="str">
            <v xml:space="preserve">S : Entry </v>
          </cell>
          <cell r="M97" t="str">
            <v xml:space="preserve"> - </v>
          </cell>
          <cell r="N97">
            <v>0.03</v>
          </cell>
          <cell r="O97">
            <v>1</v>
          </cell>
          <cell r="P97">
            <v>0.04</v>
          </cell>
          <cell r="Q97">
            <v>1</v>
          </cell>
          <cell r="R97">
            <v>0.05</v>
          </cell>
          <cell r="S97">
            <v>1</v>
          </cell>
          <cell r="T97">
            <v>0.06</v>
          </cell>
          <cell r="U97">
            <v>1</v>
          </cell>
          <cell r="V97" t="str">
            <v>TR PROFIT AFTER TGT 4</v>
          </cell>
          <cell r="W97">
            <v>1</v>
          </cell>
          <cell r="X97" t="str">
            <v>N.A.</v>
          </cell>
          <cell r="Y97" t="str">
            <v>N.A.</v>
          </cell>
          <cell r="AA97" t="str">
            <v>Min</v>
          </cell>
          <cell r="AE97" t="str">
            <v>S : Entry</v>
          </cell>
          <cell r="AF97" t="str">
            <v xml:space="preserve"> + </v>
          </cell>
          <cell r="AG97">
            <v>0.03</v>
          </cell>
          <cell r="AK97" t="str">
            <v>FUT : PRV : 2DHH</v>
          </cell>
          <cell r="AM97">
            <v>5</v>
          </cell>
          <cell r="AP97">
            <v>4</v>
          </cell>
          <cell r="AQ97" t="str">
            <v>FUT : PRV : 2DHH</v>
          </cell>
          <cell r="AS97">
            <v>3</v>
          </cell>
          <cell r="AT97" t="str">
            <v>FUT : PRV : 2DHH</v>
          </cell>
          <cell r="AV97">
            <v>2</v>
          </cell>
          <cell r="AW97" t="str">
            <v>FUT : PRV : 2DHH</v>
          </cell>
          <cell r="AY97">
            <v>1</v>
          </cell>
          <cell r="AZ97">
            <v>0</v>
          </cell>
          <cell r="BB97">
            <v>0</v>
          </cell>
          <cell r="BE97">
            <v>0.38540972222222225</v>
          </cell>
          <cell r="BF97">
            <v>0.38540972222222225</v>
          </cell>
          <cell r="BG97" t="str">
            <v>N.A.</v>
          </cell>
          <cell r="BK97">
            <v>0.01</v>
          </cell>
          <cell r="BL97">
            <v>0.01</v>
          </cell>
        </row>
        <row r="98">
          <cell r="B98" t="str">
            <v>S16C</v>
          </cell>
        </row>
        <row r="99">
          <cell r="B99" t="str">
            <v>S16D</v>
          </cell>
          <cell r="G99" t="str">
            <v>FUT : PRV : 3DHH</v>
          </cell>
          <cell r="H99" t="str">
            <v xml:space="preserve"> + </v>
          </cell>
          <cell r="I99">
            <v>0.01</v>
          </cell>
          <cell r="J99">
            <v>5</v>
          </cell>
          <cell r="L99" t="str">
            <v xml:space="preserve">L : Entry </v>
          </cell>
          <cell r="M99" t="str">
            <v xml:space="preserve"> + </v>
          </cell>
          <cell r="N99">
            <v>0.03</v>
          </cell>
          <cell r="O99">
            <v>1</v>
          </cell>
          <cell r="P99">
            <v>0.04</v>
          </cell>
          <cell r="Q99">
            <v>1</v>
          </cell>
          <cell r="R99">
            <v>0.05</v>
          </cell>
          <cell r="S99">
            <v>1</v>
          </cell>
          <cell r="T99">
            <v>0.06</v>
          </cell>
          <cell r="U99">
            <v>1</v>
          </cell>
          <cell r="V99" t="str">
            <v>TR PROFIT AFTER TGT 4</v>
          </cell>
          <cell r="W99">
            <v>1</v>
          </cell>
          <cell r="X99" t="str">
            <v>N.A.</v>
          </cell>
          <cell r="Y99" t="str">
            <v>N.A.</v>
          </cell>
          <cell r="AA99" t="str">
            <v>Max</v>
          </cell>
          <cell r="AE99" t="str">
            <v>L : Entry</v>
          </cell>
          <cell r="AF99" t="str">
            <v xml:space="preserve"> - </v>
          </cell>
          <cell r="AG99">
            <v>0.03</v>
          </cell>
          <cell r="AK99" t="str">
            <v>FUT : PRV : 2DLL</v>
          </cell>
          <cell r="AM99">
            <v>5</v>
          </cell>
          <cell r="AP99">
            <v>4</v>
          </cell>
          <cell r="AQ99" t="str">
            <v>FUT : PRV : 2DLL</v>
          </cell>
          <cell r="AS99">
            <v>3</v>
          </cell>
          <cell r="AT99" t="str">
            <v>FUT : PRV : 2DLL</v>
          </cell>
          <cell r="AV99">
            <v>2</v>
          </cell>
          <cell r="AW99" t="str">
            <v>FUT : PRV : 2DLL</v>
          </cell>
          <cell r="AY99">
            <v>1</v>
          </cell>
          <cell r="AZ99">
            <v>0</v>
          </cell>
          <cell r="BB99">
            <v>0</v>
          </cell>
          <cell r="BE99">
            <v>0.375</v>
          </cell>
          <cell r="BK99">
            <v>0.01</v>
          </cell>
          <cell r="BL99">
            <v>0.01</v>
          </cell>
        </row>
        <row r="100">
          <cell r="B100" t="str">
            <v>S16E</v>
          </cell>
          <cell r="G100" t="str">
            <v>FUT : PRV : 2DLL</v>
          </cell>
          <cell r="H100" t="str">
            <v xml:space="preserve"> - </v>
          </cell>
          <cell r="I100">
            <v>0</v>
          </cell>
          <cell r="J100">
            <v>5</v>
          </cell>
          <cell r="L100" t="str">
            <v xml:space="preserve">S : Entry </v>
          </cell>
          <cell r="M100" t="str">
            <v xml:space="preserve"> - </v>
          </cell>
          <cell r="N100">
            <v>0.03</v>
          </cell>
          <cell r="O100">
            <v>1</v>
          </cell>
          <cell r="P100">
            <v>0.04</v>
          </cell>
          <cell r="Q100">
            <v>1</v>
          </cell>
          <cell r="R100">
            <v>0.05</v>
          </cell>
          <cell r="S100">
            <v>1</v>
          </cell>
          <cell r="T100">
            <v>0.06</v>
          </cell>
          <cell r="U100">
            <v>1</v>
          </cell>
          <cell r="V100" t="str">
            <v>TR PROFIT AFTER TGT 4</v>
          </cell>
          <cell r="W100">
            <v>1</v>
          </cell>
          <cell r="X100" t="str">
            <v>N.A.</v>
          </cell>
          <cell r="Y100" t="str">
            <v>N.A.</v>
          </cell>
          <cell r="AA100" t="str">
            <v>Min</v>
          </cell>
          <cell r="AE100" t="str">
            <v>S : Entry</v>
          </cell>
          <cell r="AF100" t="str">
            <v xml:space="preserve"> + </v>
          </cell>
          <cell r="AG100">
            <v>0.03</v>
          </cell>
          <cell r="AK100" t="str">
            <v>FUT : PRV : 3DHH</v>
          </cell>
          <cell r="AM100">
            <v>5</v>
          </cell>
          <cell r="AP100">
            <v>4</v>
          </cell>
          <cell r="AQ100" t="str">
            <v>FUT : PRV : 3DHH</v>
          </cell>
          <cell r="AS100">
            <v>3</v>
          </cell>
          <cell r="AT100" t="str">
            <v>FUT : PRV : 3DHH</v>
          </cell>
          <cell r="AV100">
            <v>2</v>
          </cell>
          <cell r="AW100" t="str">
            <v>FUT : PRV : 3DHH</v>
          </cell>
          <cell r="AY100">
            <v>1</v>
          </cell>
          <cell r="AZ100">
            <v>0</v>
          </cell>
          <cell r="BB100">
            <v>0</v>
          </cell>
          <cell r="BE100">
            <v>0.97916666666666663</v>
          </cell>
          <cell r="BK100">
            <v>0.01</v>
          </cell>
          <cell r="BL100">
            <v>0.01</v>
          </cell>
        </row>
        <row r="102">
          <cell r="B102" t="str">
            <v>S17A</v>
          </cell>
          <cell r="G102" t="str">
            <v>FUT : PRV : 2DHH</v>
          </cell>
          <cell r="H102" t="str">
            <v xml:space="preserve"> + </v>
          </cell>
          <cell r="I102">
            <v>0</v>
          </cell>
          <cell r="J102">
            <v>5</v>
          </cell>
          <cell r="L102" t="str">
            <v xml:space="preserve">L : Entry </v>
          </cell>
          <cell r="M102" t="str">
            <v xml:space="preserve"> + </v>
          </cell>
          <cell r="N102">
            <v>0.03</v>
          </cell>
          <cell r="O102">
            <v>1</v>
          </cell>
          <cell r="P102">
            <v>0.04</v>
          </cell>
          <cell r="Q102">
            <v>1</v>
          </cell>
          <cell r="R102">
            <v>0.05</v>
          </cell>
          <cell r="S102">
            <v>1</v>
          </cell>
          <cell r="T102">
            <v>0.06</v>
          </cell>
          <cell r="U102">
            <v>1</v>
          </cell>
          <cell r="V102" t="str">
            <v>TR PROFIT AFTER TGT 4</v>
          </cell>
          <cell r="W102">
            <v>1</v>
          </cell>
          <cell r="X102" t="str">
            <v>N.A.</v>
          </cell>
          <cell r="Y102" t="str">
            <v>N.A.</v>
          </cell>
          <cell r="AA102" t="str">
            <v>Max</v>
          </cell>
          <cell r="AE102" t="str">
            <v>L : Entry</v>
          </cell>
          <cell r="AF102" t="str">
            <v xml:space="preserve"> - </v>
          </cell>
          <cell r="AG102">
            <v>0.03</v>
          </cell>
          <cell r="AK102" t="str">
            <v>FUT : PRV : PW&amp;CWLL</v>
          </cell>
          <cell r="AM102">
            <v>5</v>
          </cell>
          <cell r="AP102">
            <v>4</v>
          </cell>
          <cell r="AQ102" t="str">
            <v>FUT : PRV : PW&amp;CWLL</v>
          </cell>
          <cell r="AS102">
            <v>3</v>
          </cell>
          <cell r="AT102" t="str">
            <v>FUT : PRV : PW&amp;CWLL</v>
          </cell>
          <cell r="AV102">
            <v>2</v>
          </cell>
          <cell r="AW102" t="str">
            <v>FUT : PRV : PW&amp;CWLL</v>
          </cell>
          <cell r="AY102">
            <v>1</v>
          </cell>
          <cell r="AZ102">
            <v>0</v>
          </cell>
          <cell r="BB102">
            <v>0</v>
          </cell>
          <cell r="BE102">
            <v>0.37846527777777778</v>
          </cell>
          <cell r="BF102">
            <v>0.37846527777777778</v>
          </cell>
          <cell r="BG102">
            <v>0.375</v>
          </cell>
          <cell r="BK102">
            <v>0.01</v>
          </cell>
          <cell r="BL102">
            <v>0.01</v>
          </cell>
        </row>
        <row r="103">
          <cell r="B103" t="str">
            <v>S17B</v>
          </cell>
          <cell r="G103" t="str">
            <v>FUT : PRV : PW&amp;CWLL</v>
          </cell>
          <cell r="H103" t="str">
            <v xml:space="preserve"> - </v>
          </cell>
          <cell r="I103">
            <v>0.01</v>
          </cell>
          <cell r="J103">
            <v>5</v>
          </cell>
          <cell r="L103" t="str">
            <v xml:space="preserve">S : Entry </v>
          </cell>
          <cell r="M103" t="str">
            <v xml:space="preserve"> - </v>
          </cell>
          <cell r="N103">
            <v>0.03</v>
          </cell>
          <cell r="O103">
            <v>1</v>
          </cell>
          <cell r="P103">
            <v>0.04</v>
          </cell>
          <cell r="Q103">
            <v>1</v>
          </cell>
          <cell r="R103">
            <v>0.05</v>
          </cell>
          <cell r="S103">
            <v>1</v>
          </cell>
          <cell r="T103">
            <v>0.06</v>
          </cell>
          <cell r="U103">
            <v>1</v>
          </cell>
          <cell r="V103" t="str">
            <v>TR PROFIT AFTER TGT 4</v>
          </cell>
          <cell r="W103">
            <v>1</v>
          </cell>
          <cell r="X103" t="str">
            <v>N.A.</v>
          </cell>
          <cell r="Y103" t="str">
            <v>N.A.</v>
          </cell>
          <cell r="AA103" t="str">
            <v>Min</v>
          </cell>
          <cell r="AE103" t="str">
            <v>S : Entry</v>
          </cell>
          <cell r="AF103" t="str">
            <v xml:space="preserve"> + </v>
          </cell>
          <cell r="AG103">
            <v>0.03</v>
          </cell>
          <cell r="AK103" t="str">
            <v>FUT : PRV : 2DHH</v>
          </cell>
          <cell r="AM103">
            <v>5</v>
          </cell>
          <cell r="AP103">
            <v>4</v>
          </cell>
          <cell r="AQ103" t="str">
            <v>FUT : PRV : 2DHH</v>
          </cell>
          <cell r="AS103">
            <v>3</v>
          </cell>
          <cell r="AT103" t="str">
            <v>FUT : PRV : 2DHH</v>
          </cell>
          <cell r="AV103">
            <v>2</v>
          </cell>
          <cell r="AW103" t="str">
            <v>FUT : PRV : 2DHH</v>
          </cell>
          <cell r="AY103">
            <v>1</v>
          </cell>
          <cell r="AZ103">
            <v>0</v>
          </cell>
          <cell r="BB103">
            <v>0</v>
          </cell>
          <cell r="BE103">
            <v>0.38540972222222225</v>
          </cell>
          <cell r="BF103">
            <v>0.38540972222222225</v>
          </cell>
          <cell r="BG103" t="str">
            <v>N.A.</v>
          </cell>
          <cell r="BK103">
            <v>0.01</v>
          </cell>
          <cell r="BL103">
            <v>0.01</v>
          </cell>
        </row>
        <row r="104">
          <cell r="B104" t="str">
            <v>S17C</v>
          </cell>
        </row>
        <row r="105">
          <cell r="B105" t="str">
            <v>S17D</v>
          </cell>
          <cell r="G105" t="str">
            <v>FUT : PRV : PW&amp;CWHH</v>
          </cell>
          <cell r="H105" t="str">
            <v xml:space="preserve"> + </v>
          </cell>
          <cell r="I105">
            <v>0.01</v>
          </cell>
          <cell r="J105">
            <v>5</v>
          </cell>
          <cell r="L105" t="str">
            <v xml:space="preserve">L : Entry </v>
          </cell>
          <cell r="M105" t="str">
            <v xml:space="preserve"> + </v>
          </cell>
          <cell r="N105">
            <v>0.03</v>
          </cell>
          <cell r="O105">
            <v>1</v>
          </cell>
          <cell r="P105">
            <v>0.04</v>
          </cell>
          <cell r="Q105">
            <v>1</v>
          </cell>
          <cell r="R105">
            <v>0.05</v>
          </cell>
          <cell r="S105">
            <v>1</v>
          </cell>
          <cell r="T105">
            <v>0.06</v>
          </cell>
          <cell r="U105">
            <v>1</v>
          </cell>
          <cell r="V105" t="str">
            <v>TR PROFIT AFTER TGT 4</v>
          </cell>
          <cell r="W105">
            <v>1</v>
          </cell>
          <cell r="X105" t="str">
            <v>N.A.</v>
          </cell>
          <cell r="Y105" t="str">
            <v>N.A.</v>
          </cell>
          <cell r="AA105" t="str">
            <v>Max</v>
          </cell>
          <cell r="AE105" t="str">
            <v>L : Entry</v>
          </cell>
          <cell r="AF105" t="str">
            <v xml:space="preserve"> - </v>
          </cell>
          <cell r="AG105">
            <v>0.03</v>
          </cell>
          <cell r="AK105" t="str">
            <v>FUT : PRV : 2DLL</v>
          </cell>
          <cell r="AM105">
            <v>5</v>
          </cell>
          <cell r="AP105">
            <v>4</v>
          </cell>
          <cell r="AQ105" t="str">
            <v>FUT : PRV : 2DLL</v>
          </cell>
          <cell r="AS105">
            <v>3</v>
          </cell>
          <cell r="AT105" t="str">
            <v>FUT : PRV : 2DLL</v>
          </cell>
          <cell r="AV105">
            <v>2</v>
          </cell>
          <cell r="AW105" t="str">
            <v>FUT : PRV : 2DLL</v>
          </cell>
          <cell r="AY105">
            <v>1</v>
          </cell>
          <cell r="AZ105">
            <v>0</v>
          </cell>
          <cell r="BB105">
            <v>0</v>
          </cell>
          <cell r="BE105">
            <v>0.375</v>
          </cell>
          <cell r="BK105">
            <v>0.01</v>
          </cell>
          <cell r="BL105">
            <v>0.01</v>
          </cell>
        </row>
        <row r="106">
          <cell r="B106" t="str">
            <v>S17E</v>
          </cell>
          <cell r="G106" t="str">
            <v>FUT : PRV : 2DLL</v>
          </cell>
          <cell r="H106" t="str">
            <v xml:space="preserve"> - </v>
          </cell>
          <cell r="I106">
            <v>0</v>
          </cell>
          <cell r="J106">
            <v>5</v>
          </cell>
          <cell r="L106" t="str">
            <v xml:space="preserve">S : Entry </v>
          </cell>
          <cell r="M106" t="str">
            <v xml:space="preserve"> - </v>
          </cell>
          <cell r="N106">
            <v>0.03</v>
          </cell>
          <cell r="O106">
            <v>1</v>
          </cell>
          <cell r="P106">
            <v>0.04</v>
          </cell>
          <cell r="Q106">
            <v>1</v>
          </cell>
          <cell r="R106">
            <v>0.05</v>
          </cell>
          <cell r="S106">
            <v>1</v>
          </cell>
          <cell r="T106">
            <v>0.06</v>
          </cell>
          <cell r="U106">
            <v>1</v>
          </cell>
          <cell r="V106" t="str">
            <v>TR PROFIT AFTER TGT 4</v>
          </cell>
          <cell r="W106">
            <v>1</v>
          </cell>
          <cell r="X106" t="str">
            <v>N.A.</v>
          </cell>
          <cell r="Y106" t="str">
            <v>N.A.</v>
          </cell>
          <cell r="AA106" t="str">
            <v>Min</v>
          </cell>
          <cell r="AE106" t="str">
            <v>S : Entry</v>
          </cell>
          <cell r="AF106" t="str">
            <v xml:space="preserve"> + </v>
          </cell>
          <cell r="AG106">
            <v>0.03</v>
          </cell>
          <cell r="AK106" t="str">
            <v>FUT : PRV : PW&amp;CWHH</v>
          </cell>
          <cell r="AM106">
            <v>5</v>
          </cell>
          <cell r="AP106">
            <v>4</v>
          </cell>
          <cell r="AQ106" t="str">
            <v>FUT : PRV : PW&amp;CWHH</v>
          </cell>
          <cell r="AS106">
            <v>3</v>
          </cell>
          <cell r="AT106" t="str">
            <v>FUT : PRV : PW&amp;CWHH</v>
          </cell>
          <cell r="AV106">
            <v>2</v>
          </cell>
          <cell r="AW106" t="str">
            <v>FUT : PRV : PW&amp;CWHH</v>
          </cell>
          <cell r="AY106">
            <v>1</v>
          </cell>
          <cell r="AZ106">
            <v>0</v>
          </cell>
          <cell r="BB106">
            <v>0</v>
          </cell>
          <cell r="BE106">
            <v>0.97916666666666663</v>
          </cell>
          <cell r="BK106">
            <v>0.01</v>
          </cell>
          <cell r="BL106">
            <v>0.01</v>
          </cell>
        </row>
        <row r="108">
          <cell r="B108" t="str">
            <v>S18A</v>
          </cell>
          <cell r="G108" t="str">
            <v>OPT : PRV : 3DLL</v>
          </cell>
          <cell r="H108" t="str">
            <v xml:space="preserve"> - </v>
          </cell>
          <cell r="I108">
            <v>7.4999999999999997E-2</v>
          </cell>
          <cell r="J108">
            <v>1</v>
          </cell>
          <cell r="L108" t="str">
            <v xml:space="preserve">CE : Entry </v>
          </cell>
          <cell r="M108" t="str">
            <v xml:space="preserve"> - </v>
          </cell>
          <cell r="N108">
            <v>0.6</v>
          </cell>
          <cell r="O108">
            <v>1</v>
          </cell>
          <cell r="AA108" t="str">
            <v>Min</v>
          </cell>
          <cell r="AE108" t="str">
            <v xml:space="preserve">CE : Entry </v>
          </cell>
          <cell r="AF108" t="str">
            <v xml:space="preserve"> + </v>
          </cell>
          <cell r="AG108">
            <v>0.6</v>
          </cell>
          <cell r="AK108" t="str">
            <v>OPT : PRV : 2DHH</v>
          </cell>
          <cell r="AM108">
            <v>1</v>
          </cell>
          <cell r="AP108">
            <v>0</v>
          </cell>
          <cell r="AQ108">
            <v>0</v>
          </cell>
          <cell r="AS108">
            <v>0</v>
          </cell>
          <cell r="AT108">
            <v>0</v>
          </cell>
          <cell r="AV108">
            <v>0</v>
          </cell>
          <cell r="AW108">
            <v>0</v>
          </cell>
          <cell r="AY108">
            <v>0</v>
          </cell>
          <cell r="AZ108">
            <v>0</v>
          </cell>
          <cell r="BB108">
            <v>0</v>
          </cell>
          <cell r="BE108">
            <v>0.38193749999999999</v>
          </cell>
          <cell r="BF108">
            <v>0.38193749999999999</v>
          </cell>
          <cell r="BG108">
            <v>0.375</v>
          </cell>
          <cell r="BK108">
            <v>7.4999999999999997E-2</v>
          </cell>
          <cell r="BL108">
            <v>7.0000000000000007E-2</v>
          </cell>
        </row>
        <row r="109">
          <cell r="B109" t="str">
            <v>S18B</v>
          </cell>
          <cell r="G109" t="str">
            <v>OPT : PRV : 2DLL</v>
          </cell>
          <cell r="H109" t="str">
            <v xml:space="preserve"> - </v>
          </cell>
          <cell r="I109">
            <v>7.4999999999999997E-2</v>
          </cell>
          <cell r="J109">
            <v>1</v>
          </cell>
          <cell r="L109" t="str">
            <v xml:space="preserve">PE : Entry </v>
          </cell>
          <cell r="M109" t="str">
            <v xml:space="preserve"> - </v>
          </cell>
          <cell r="N109">
            <v>0.6</v>
          </cell>
          <cell r="O109">
            <v>1</v>
          </cell>
          <cell r="AA109" t="str">
            <v>Min</v>
          </cell>
          <cell r="AE109" t="str">
            <v xml:space="preserve">PE : Entry </v>
          </cell>
          <cell r="AF109" t="str">
            <v xml:space="preserve"> + </v>
          </cell>
          <cell r="AG109">
            <v>0.6</v>
          </cell>
          <cell r="AK109" t="str">
            <v>OPT : PRV : 3DHH</v>
          </cell>
          <cell r="AM109">
            <v>1</v>
          </cell>
          <cell r="AP109">
            <v>0</v>
          </cell>
          <cell r="AQ109">
            <v>0</v>
          </cell>
          <cell r="AS109">
            <v>0</v>
          </cell>
          <cell r="AT109">
            <v>0</v>
          </cell>
          <cell r="AV109">
            <v>0</v>
          </cell>
          <cell r="AW109">
            <v>0</v>
          </cell>
          <cell r="AY109">
            <v>0</v>
          </cell>
          <cell r="AZ109">
            <v>0</v>
          </cell>
          <cell r="BB109">
            <v>0</v>
          </cell>
          <cell r="BE109">
            <v>0.38540972222222225</v>
          </cell>
          <cell r="BF109">
            <v>0.38540972222222225</v>
          </cell>
          <cell r="BG109" t="str">
            <v>N.A.</v>
          </cell>
          <cell r="BK109">
            <v>7.4999999999999997E-2</v>
          </cell>
          <cell r="BL109">
            <v>0.1</v>
          </cell>
        </row>
        <row r="110">
          <cell r="B110" t="str">
            <v>S18C</v>
          </cell>
        </row>
        <row r="111">
          <cell r="B111" t="str">
            <v>S18D</v>
          </cell>
          <cell r="G111" t="str">
            <v>OPT : PRV : 2DLL</v>
          </cell>
          <cell r="H111" t="str">
            <v xml:space="preserve"> - </v>
          </cell>
          <cell r="I111">
            <v>7.4999999999999997E-2</v>
          </cell>
          <cell r="J111">
            <v>1</v>
          </cell>
          <cell r="L111" t="str">
            <v xml:space="preserve">CE : Entry </v>
          </cell>
          <cell r="M111" t="str">
            <v xml:space="preserve"> - </v>
          </cell>
          <cell r="N111">
            <v>0.6</v>
          </cell>
          <cell r="O111">
            <v>1</v>
          </cell>
          <cell r="AA111" t="str">
            <v>Min</v>
          </cell>
          <cell r="AE111" t="str">
            <v xml:space="preserve">CE : Entry </v>
          </cell>
          <cell r="AF111" t="str">
            <v xml:space="preserve"> + </v>
          </cell>
          <cell r="AG111">
            <v>0.6</v>
          </cell>
          <cell r="AK111" t="str">
            <v>OPT : PRV : 3DHH</v>
          </cell>
          <cell r="AM111">
            <v>1</v>
          </cell>
          <cell r="AP111">
            <v>0</v>
          </cell>
          <cell r="AQ111">
            <v>0</v>
          </cell>
          <cell r="AS111">
            <v>0</v>
          </cell>
          <cell r="AT111">
            <v>0</v>
          </cell>
          <cell r="AV111">
            <v>0</v>
          </cell>
          <cell r="AW111">
            <v>0</v>
          </cell>
          <cell r="AY111">
            <v>0</v>
          </cell>
          <cell r="AZ111">
            <v>0</v>
          </cell>
          <cell r="BB111">
            <v>0</v>
          </cell>
          <cell r="BE111">
            <v>0.375</v>
          </cell>
          <cell r="BK111">
            <v>7.4999999999999997E-2</v>
          </cell>
          <cell r="BL111">
            <v>0.1</v>
          </cell>
        </row>
        <row r="112">
          <cell r="B112" t="str">
            <v>S18E</v>
          </cell>
          <cell r="G112" t="str">
            <v>OPT : PRV : 3DLL</v>
          </cell>
          <cell r="H112" t="str">
            <v xml:space="preserve"> - </v>
          </cell>
          <cell r="I112">
            <v>7.4999999999999997E-2</v>
          </cell>
          <cell r="J112">
            <v>1</v>
          </cell>
          <cell r="L112" t="str">
            <v xml:space="preserve">PE : Entry </v>
          </cell>
          <cell r="M112" t="str">
            <v xml:space="preserve"> - </v>
          </cell>
          <cell r="N112">
            <v>0.6</v>
          </cell>
          <cell r="O112">
            <v>1</v>
          </cell>
          <cell r="AA112" t="str">
            <v>Min</v>
          </cell>
          <cell r="AE112" t="str">
            <v xml:space="preserve">PE : Entry </v>
          </cell>
          <cell r="AF112" t="str">
            <v xml:space="preserve"> + </v>
          </cell>
          <cell r="AG112">
            <v>0.6</v>
          </cell>
          <cell r="AK112" t="str">
            <v>OPT : PRV : 2DHH</v>
          </cell>
          <cell r="AM112">
            <v>1</v>
          </cell>
          <cell r="AP112">
            <v>0</v>
          </cell>
          <cell r="AQ112">
            <v>0</v>
          </cell>
          <cell r="AS112">
            <v>0</v>
          </cell>
          <cell r="AT112">
            <v>0</v>
          </cell>
          <cell r="AV112">
            <v>0</v>
          </cell>
          <cell r="AW112">
            <v>0</v>
          </cell>
          <cell r="AY112">
            <v>0</v>
          </cell>
          <cell r="AZ112">
            <v>0</v>
          </cell>
          <cell r="BB112">
            <v>0</v>
          </cell>
          <cell r="BE112">
            <v>0.70833333333333337</v>
          </cell>
          <cell r="BK112">
            <v>7.4999999999999997E-2</v>
          </cell>
          <cell r="BL112">
            <v>7.0000000000000007E-2</v>
          </cell>
        </row>
        <row r="114">
          <cell r="B114" t="str">
            <v>S19A</v>
          </cell>
          <cell r="G114" t="str">
            <v>OPT : PRV : 3DLL</v>
          </cell>
          <cell r="H114" t="str">
            <v xml:space="preserve"> - </v>
          </cell>
          <cell r="I114">
            <v>7.4999999999999997E-2</v>
          </cell>
          <cell r="J114">
            <v>1</v>
          </cell>
          <cell r="L114" t="str">
            <v xml:space="preserve">CE : Entry </v>
          </cell>
          <cell r="M114" t="str">
            <v xml:space="preserve"> - </v>
          </cell>
          <cell r="N114">
            <v>0.6</v>
          </cell>
          <cell r="O114">
            <v>1</v>
          </cell>
          <cell r="AA114" t="str">
            <v>Min</v>
          </cell>
          <cell r="AE114" t="str">
            <v xml:space="preserve">CE : Entry </v>
          </cell>
          <cell r="AF114" t="str">
            <v xml:space="preserve"> + </v>
          </cell>
          <cell r="AG114">
            <v>0.6</v>
          </cell>
          <cell r="AK114" t="str">
            <v>OPT : PRV : 2DHH</v>
          </cell>
          <cell r="AM114">
            <v>1</v>
          </cell>
          <cell r="AP114">
            <v>0</v>
          </cell>
          <cell r="AQ114">
            <v>0</v>
          </cell>
          <cell r="AS114">
            <v>0</v>
          </cell>
          <cell r="AT114">
            <v>0</v>
          </cell>
          <cell r="AV114">
            <v>0</v>
          </cell>
          <cell r="AW114">
            <v>0</v>
          </cell>
          <cell r="AY114">
            <v>0</v>
          </cell>
          <cell r="AZ114">
            <v>0</v>
          </cell>
          <cell r="BB114">
            <v>0</v>
          </cell>
          <cell r="BE114">
            <v>0.38193749999999999</v>
          </cell>
          <cell r="BF114">
            <v>0.38193749999999999</v>
          </cell>
          <cell r="BG114">
            <v>0.375</v>
          </cell>
          <cell r="BK114">
            <v>7.4999999999999997E-2</v>
          </cell>
          <cell r="BL114">
            <v>7.0000000000000007E-2</v>
          </cell>
        </row>
        <row r="115">
          <cell r="B115" t="str">
            <v>S19B</v>
          </cell>
          <cell r="G115" t="str">
            <v>OPT : PRV : 2DLL</v>
          </cell>
          <cell r="H115" t="str">
            <v xml:space="preserve"> - </v>
          </cell>
          <cell r="I115">
            <v>7.4999999999999997E-2</v>
          </cell>
          <cell r="J115">
            <v>1</v>
          </cell>
          <cell r="L115" t="str">
            <v xml:space="preserve">PE : Entry </v>
          </cell>
          <cell r="M115" t="str">
            <v xml:space="preserve"> - </v>
          </cell>
          <cell r="N115">
            <v>0.6</v>
          </cell>
          <cell r="O115">
            <v>1</v>
          </cell>
          <cell r="AA115" t="str">
            <v>Min</v>
          </cell>
          <cell r="AE115" t="str">
            <v xml:space="preserve">PE : Entry </v>
          </cell>
          <cell r="AF115" t="str">
            <v xml:space="preserve"> + </v>
          </cell>
          <cell r="AG115">
            <v>0.6</v>
          </cell>
          <cell r="AK115" t="str">
            <v>OPT : PRV : 3DHH</v>
          </cell>
          <cell r="AM115">
            <v>1</v>
          </cell>
          <cell r="AP115">
            <v>0</v>
          </cell>
          <cell r="AQ115">
            <v>0</v>
          </cell>
          <cell r="AS115">
            <v>0</v>
          </cell>
          <cell r="AT115">
            <v>0</v>
          </cell>
          <cell r="AV115">
            <v>0</v>
          </cell>
          <cell r="AW115">
            <v>0</v>
          </cell>
          <cell r="AY115">
            <v>0</v>
          </cell>
          <cell r="AZ115">
            <v>0</v>
          </cell>
          <cell r="BB115">
            <v>0</v>
          </cell>
          <cell r="BE115">
            <v>0.38540972222222225</v>
          </cell>
          <cell r="BF115">
            <v>0.38540972222222225</v>
          </cell>
          <cell r="BG115" t="str">
            <v>N.A.</v>
          </cell>
          <cell r="BK115">
            <v>7.4999999999999997E-2</v>
          </cell>
          <cell r="BL115">
            <v>0.1</v>
          </cell>
        </row>
        <row r="116">
          <cell r="B116" t="str">
            <v>S19C</v>
          </cell>
        </row>
        <row r="117">
          <cell r="B117" t="str">
            <v>S19D</v>
          </cell>
          <cell r="G117" t="str">
            <v>OPT : PRV : 2DLL</v>
          </cell>
          <cell r="H117" t="str">
            <v xml:space="preserve"> - </v>
          </cell>
          <cell r="I117">
            <v>7.4999999999999997E-2</v>
          </cell>
          <cell r="J117">
            <v>1</v>
          </cell>
          <cell r="L117" t="str">
            <v xml:space="preserve">CE : Entry </v>
          </cell>
          <cell r="M117" t="str">
            <v xml:space="preserve"> - </v>
          </cell>
          <cell r="N117">
            <v>0.6</v>
          </cell>
          <cell r="O117">
            <v>1</v>
          </cell>
          <cell r="AA117" t="str">
            <v>Min</v>
          </cell>
          <cell r="AE117" t="str">
            <v xml:space="preserve">CE : Entry </v>
          </cell>
          <cell r="AF117" t="str">
            <v xml:space="preserve"> + </v>
          </cell>
          <cell r="AG117">
            <v>0.6</v>
          </cell>
          <cell r="AK117" t="str">
            <v>OPT : PRV : 3DHH</v>
          </cell>
          <cell r="AM117">
            <v>1</v>
          </cell>
          <cell r="AP117">
            <v>0</v>
          </cell>
          <cell r="AQ117">
            <v>0</v>
          </cell>
          <cell r="AS117">
            <v>0</v>
          </cell>
          <cell r="AT117">
            <v>0</v>
          </cell>
          <cell r="AV117">
            <v>0</v>
          </cell>
          <cell r="AW117">
            <v>0</v>
          </cell>
          <cell r="AY117">
            <v>0</v>
          </cell>
          <cell r="AZ117">
            <v>0</v>
          </cell>
          <cell r="BB117">
            <v>0</v>
          </cell>
          <cell r="BE117">
            <v>0.375</v>
          </cell>
          <cell r="BK117">
            <v>7.4999999999999997E-2</v>
          </cell>
          <cell r="BL117">
            <v>0.1</v>
          </cell>
        </row>
        <row r="118">
          <cell r="B118" t="str">
            <v>S19E</v>
          </cell>
          <cell r="G118" t="str">
            <v>OPT : PRV : 3DLL</v>
          </cell>
          <cell r="H118" t="str">
            <v xml:space="preserve"> - </v>
          </cell>
          <cell r="I118">
            <v>7.4999999999999997E-2</v>
          </cell>
          <cell r="J118">
            <v>1</v>
          </cell>
          <cell r="L118" t="str">
            <v xml:space="preserve">PE : Entry </v>
          </cell>
          <cell r="M118" t="str">
            <v xml:space="preserve"> - </v>
          </cell>
          <cell r="N118">
            <v>0.6</v>
          </cell>
          <cell r="O118">
            <v>1</v>
          </cell>
          <cell r="AA118" t="str">
            <v>Min</v>
          </cell>
          <cell r="AE118" t="str">
            <v xml:space="preserve">PE : Entry </v>
          </cell>
          <cell r="AF118" t="str">
            <v xml:space="preserve"> + </v>
          </cell>
          <cell r="AG118">
            <v>0.6</v>
          </cell>
          <cell r="AK118" t="str">
            <v>OPT : PRV : 2DHH</v>
          </cell>
          <cell r="AM118">
            <v>1</v>
          </cell>
          <cell r="AP118">
            <v>0</v>
          </cell>
          <cell r="AQ118">
            <v>0</v>
          </cell>
          <cell r="AS118">
            <v>0</v>
          </cell>
          <cell r="AT118">
            <v>0</v>
          </cell>
          <cell r="AV118">
            <v>0</v>
          </cell>
          <cell r="AW118">
            <v>0</v>
          </cell>
          <cell r="AY118">
            <v>0</v>
          </cell>
          <cell r="AZ118">
            <v>0</v>
          </cell>
          <cell r="BB118">
            <v>0</v>
          </cell>
          <cell r="BE118">
            <v>0.70833333333333337</v>
          </cell>
          <cell r="BK118">
            <v>7.4999999999999997E-2</v>
          </cell>
          <cell r="BL118">
            <v>7.0000000000000007E-2</v>
          </cell>
        </row>
        <row r="120">
          <cell r="B120" t="str">
            <v>S20A</v>
          </cell>
          <cell r="G120" t="str">
            <v>OPT : PRV : 3DLL</v>
          </cell>
          <cell r="H120" t="str">
            <v xml:space="preserve"> - </v>
          </cell>
          <cell r="I120">
            <v>7.4999999999999997E-2</v>
          </cell>
          <cell r="J120">
            <v>1</v>
          </cell>
          <cell r="L120" t="str">
            <v xml:space="preserve">CE : Entry </v>
          </cell>
          <cell r="M120" t="str">
            <v xml:space="preserve"> - </v>
          </cell>
          <cell r="N120">
            <v>0.6</v>
          </cell>
          <cell r="O120">
            <v>1</v>
          </cell>
          <cell r="AA120" t="str">
            <v>Min</v>
          </cell>
          <cell r="AE120" t="str">
            <v xml:space="preserve">CE : Entry </v>
          </cell>
          <cell r="AF120" t="str">
            <v xml:space="preserve"> + </v>
          </cell>
          <cell r="AG120">
            <v>0.6</v>
          </cell>
          <cell r="AK120" t="str">
            <v>OPT : PRV : 2DHH</v>
          </cell>
          <cell r="AM120">
            <v>1</v>
          </cell>
          <cell r="AP120">
            <v>0</v>
          </cell>
          <cell r="AQ120">
            <v>0</v>
          </cell>
          <cell r="AS120">
            <v>0</v>
          </cell>
          <cell r="AT120">
            <v>0</v>
          </cell>
          <cell r="AV120">
            <v>0</v>
          </cell>
          <cell r="AW120">
            <v>0</v>
          </cell>
          <cell r="AY120">
            <v>0</v>
          </cell>
          <cell r="AZ120">
            <v>0</v>
          </cell>
          <cell r="BB120">
            <v>0</v>
          </cell>
          <cell r="BE120">
            <v>0.39235416666666667</v>
          </cell>
          <cell r="BF120">
            <v>0.39235416666666667</v>
          </cell>
          <cell r="BG120">
            <v>0.38541666666666669</v>
          </cell>
          <cell r="BK120">
            <v>7.4999999999999997E-2</v>
          </cell>
          <cell r="BL120">
            <v>7.0000000000000007E-2</v>
          </cell>
        </row>
        <row r="121">
          <cell r="B121" t="str">
            <v>S20B</v>
          </cell>
          <cell r="G121" t="str">
            <v>OPT : PRV : 2DLL</v>
          </cell>
          <cell r="H121" t="str">
            <v xml:space="preserve"> - </v>
          </cell>
          <cell r="I121">
            <v>7.4999999999999997E-2</v>
          </cell>
          <cell r="J121">
            <v>1</v>
          </cell>
          <cell r="L121" t="str">
            <v xml:space="preserve">PE : Entry </v>
          </cell>
          <cell r="M121" t="str">
            <v xml:space="preserve"> - </v>
          </cell>
          <cell r="N121">
            <v>0.6</v>
          </cell>
          <cell r="O121">
            <v>1</v>
          </cell>
          <cell r="AA121" t="str">
            <v>Min</v>
          </cell>
          <cell r="AE121" t="str">
            <v xml:space="preserve">PE : Entry </v>
          </cell>
          <cell r="AF121" t="str">
            <v xml:space="preserve"> + </v>
          </cell>
          <cell r="AG121">
            <v>0.6</v>
          </cell>
          <cell r="AK121" t="str">
            <v>OPT : PRV : 3DHH</v>
          </cell>
          <cell r="AM121">
            <v>1</v>
          </cell>
          <cell r="AP121">
            <v>0</v>
          </cell>
          <cell r="AQ121">
            <v>0</v>
          </cell>
          <cell r="AS121">
            <v>0</v>
          </cell>
          <cell r="AT121">
            <v>0</v>
          </cell>
          <cell r="AV121">
            <v>0</v>
          </cell>
          <cell r="AW121">
            <v>0</v>
          </cell>
          <cell r="AY121">
            <v>0</v>
          </cell>
          <cell r="AZ121">
            <v>0</v>
          </cell>
          <cell r="BB121">
            <v>0</v>
          </cell>
          <cell r="BE121">
            <v>0.39582638888888888</v>
          </cell>
          <cell r="BF121">
            <v>0.39582638888888888</v>
          </cell>
          <cell r="BG121" t="str">
            <v>N.A.</v>
          </cell>
          <cell r="BK121">
            <v>7.4999999999999997E-2</v>
          </cell>
          <cell r="BL121">
            <v>0.1</v>
          </cell>
        </row>
        <row r="122">
          <cell r="B122" t="str">
            <v>S20C</v>
          </cell>
        </row>
        <row r="123">
          <cell r="B123" t="str">
            <v>S20D</v>
          </cell>
          <cell r="G123" t="str">
            <v>OPT : PRV : 2DLL</v>
          </cell>
          <cell r="H123" t="str">
            <v xml:space="preserve"> - </v>
          </cell>
          <cell r="I123">
            <v>7.4999999999999997E-2</v>
          </cell>
          <cell r="J123">
            <v>1</v>
          </cell>
          <cell r="L123" t="str">
            <v xml:space="preserve">CE : Entry </v>
          </cell>
          <cell r="M123" t="str">
            <v xml:space="preserve"> - </v>
          </cell>
          <cell r="N123">
            <v>0.6</v>
          </cell>
          <cell r="O123">
            <v>1</v>
          </cell>
          <cell r="AA123" t="str">
            <v>Min</v>
          </cell>
          <cell r="AE123" t="str">
            <v xml:space="preserve">CE : Entry </v>
          </cell>
          <cell r="AF123" t="str">
            <v xml:space="preserve"> + </v>
          </cell>
          <cell r="AG123">
            <v>0.6</v>
          </cell>
          <cell r="AK123" t="str">
            <v>OPT : PRV : 3DHH</v>
          </cell>
          <cell r="AM123">
            <v>1</v>
          </cell>
          <cell r="AP123">
            <v>0</v>
          </cell>
          <cell r="AQ123">
            <v>0</v>
          </cell>
          <cell r="AS123">
            <v>0</v>
          </cell>
          <cell r="AT123">
            <v>0</v>
          </cell>
          <cell r="AV123">
            <v>0</v>
          </cell>
          <cell r="AW123">
            <v>0</v>
          </cell>
          <cell r="AY123">
            <v>0</v>
          </cell>
          <cell r="AZ123">
            <v>0</v>
          </cell>
          <cell r="BB123">
            <v>0</v>
          </cell>
          <cell r="BE123">
            <v>0.38541666666666669</v>
          </cell>
          <cell r="BK123">
            <v>7.4999999999999997E-2</v>
          </cell>
          <cell r="BL123">
            <v>0.1</v>
          </cell>
        </row>
        <row r="124">
          <cell r="B124" t="str">
            <v>S20E</v>
          </cell>
          <cell r="G124" t="str">
            <v>OPT : PRV : 3DLL</v>
          </cell>
          <cell r="H124" t="str">
            <v xml:space="preserve"> - </v>
          </cell>
          <cell r="I124">
            <v>7.4999999999999997E-2</v>
          </cell>
          <cell r="J124">
            <v>1</v>
          </cell>
          <cell r="L124" t="str">
            <v xml:space="preserve">PE : Entry </v>
          </cell>
          <cell r="M124" t="str">
            <v xml:space="preserve"> - </v>
          </cell>
          <cell r="N124">
            <v>0.6</v>
          </cell>
          <cell r="O124">
            <v>1</v>
          </cell>
          <cell r="AA124" t="str">
            <v>Min</v>
          </cell>
          <cell r="AE124" t="str">
            <v xml:space="preserve">PE : Entry </v>
          </cell>
          <cell r="AF124" t="str">
            <v xml:space="preserve"> + </v>
          </cell>
          <cell r="AG124">
            <v>0.6</v>
          </cell>
          <cell r="AK124" t="str">
            <v>OPT : PRV : 2DHH</v>
          </cell>
          <cell r="AM124">
            <v>1</v>
          </cell>
          <cell r="AP124">
            <v>0</v>
          </cell>
          <cell r="AQ124">
            <v>0</v>
          </cell>
          <cell r="AS124">
            <v>0</v>
          </cell>
          <cell r="AT124">
            <v>0</v>
          </cell>
          <cell r="AV124">
            <v>0</v>
          </cell>
          <cell r="AW124">
            <v>0</v>
          </cell>
          <cell r="AY124">
            <v>0</v>
          </cell>
          <cell r="AZ124">
            <v>0</v>
          </cell>
          <cell r="BB124">
            <v>0</v>
          </cell>
          <cell r="BE124">
            <v>0.64583333333333337</v>
          </cell>
          <cell r="BK124">
            <v>7.4999999999999997E-2</v>
          </cell>
          <cell r="BL124">
            <v>7.0000000000000007E-2</v>
          </cell>
        </row>
        <row r="126">
          <cell r="B126" t="str">
            <v>S21A</v>
          </cell>
          <cell r="G126" t="str">
            <v>OPT : PRV : 3DLL</v>
          </cell>
          <cell r="H126" t="str">
            <v xml:space="preserve"> - </v>
          </cell>
          <cell r="I126">
            <v>7.4999999999999997E-2</v>
          </cell>
          <cell r="J126">
            <v>1</v>
          </cell>
          <cell r="L126" t="str">
            <v xml:space="preserve">CE : Entry </v>
          </cell>
          <cell r="M126" t="str">
            <v xml:space="preserve"> - </v>
          </cell>
          <cell r="N126">
            <v>0.6</v>
          </cell>
          <cell r="O126">
            <v>1</v>
          </cell>
          <cell r="AA126" t="str">
            <v>Min</v>
          </cell>
          <cell r="AE126" t="str">
            <v xml:space="preserve">CE : Entry </v>
          </cell>
          <cell r="AF126" t="str">
            <v xml:space="preserve"> + </v>
          </cell>
          <cell r="AG126">
            <v>0.6</v>
          </cell>
          <cell r="AK126" t="str">
            <v>OPT : PRV : 2DHH</v>
          </cell>
          <cell r="AM126">
            <v>1</v>
          </cell>
          <cell r="AP126">
            <v>0</v>
          </cell>
          <cell r="AQ126">
            <v>0</v>
          </cell>
          <cell r="AS126">
            <v>0</v>
          </cell>
          <cell r="AT126">
            <v>0</v>
          </cell>
          <cell r="AV126">
            <v>0</v>
          </cell>
          <cell r="AW126">
            <v>0</v>
          </cell>
          <cell r="AY126">
            <v>0</v>
          </cell>
          <cell r="AZ126">
            <v>0</v>
          </cell>
          <cell r="BB126">
            <v>0</v>
          </cell>
          <cell r="BE126">
            <v>0.39235416666666667</v>
          </cell>
          <cell r="BF126">
            <v>0.39235416666666667</v>
          </cell>
          <cell r="BG126">
            <v>0.38541666666666669</v>
          </cell>
          <cell r="BK126">
            <v>7.4999999999999997E-2</v>
          </cell>
          <cell r="BL126">
            <v>7.0000000000000007E-2</v>
          </cell>
        </row>
        <row r="127">
          <cell r="B127" t="str">
            <v>S21B</v>
          </cell>
          <cell r="G127" t="str">
            <v>OPT : PRV : 2DLL</v>
          </cell>
          <cell r="H127" t="str">
            <v xml:space="preserve"> - </v>
          </cell>
          <cell r="I127">
            <v>7.4999999999999997E-2</v>
          </cell>
          <cell r="J127">
            <v>1</v>
          </cell>
          <cell r="L127" t="str">
            <v xml:space="preserve">PE : Entry </v>
          </cell>
          <cell r="M127" t="str">
            <v xml:space="preserve"> - </v>
          </cell>
          <cell r="N127">
            <v>0.6</v>
          </cell>
          <cell r="O127">
            <v>1</v>
          </cell>
          <cell r="AA127" t="str">
            <v>Min</v>
          </cell>
          <cell r="AE127" t="str">
            <v xml:space="preserve">PE : Entry </v>
          </cell>
          <cell r="AF127" t="str">
            <v xml:space="preserve"> + </v>
          </cell>
          <cell r="AG127">
            <v>0.6</v>
          </cell>
          <cell r="AK127" t="str">
            <v>OPT : PRV : 3DHH</v>
          </cell>
          <cell r="AM127">
            <v>1</v>
          </cell>
          <cell r="AP127">
            <v>0</v>
          </cell>
          <cell r="AQ127">
            <v>0</v>
          </cell>
          <cell r="AS127">
            <v>0</v>
          </cell>
          <cell r="AT127">
            <v>0</v>
          </cell>
          <cell r="AV127">
            <v>0</v>
          </cell>
          <cell r="AW127">
            <v>0</v>
          </cell>
          <cell r="AY127">
            <v>0</v>
          </cell>
          <cell r="AZ127">
            <v>0</v>
          </cell>
          <cell r="BB127">
            <v>0</v>
          </cell>
          <cell r="BE127">
            <v>0.39582638888888888</v>
          </cell>
          <cell r="BF127">
            <v>0.39582638888888888</v>
          </cell>
          <cell r="BG127" t="str">
            <v>N.A.</v>
          </cell>
          <cell r="BK127">
            <v>7.4999999999999997E-2</v>
          </cell>
          <cell r="BL127">
            <v>0.1</v>
          </cell>
        </row>
        <row r="128">
          <cell r="B128" t="str">
            <v>S21C</v>
          </cell>
        </row>
        <row r="129">
          <cell r="B129" t="str">
            <v>S21D</v>
          </cell>
          <cell r="G129" t="str">
            <v>OPT : PRV : 2DLL</v>
          </cell>
          <cell r="H129" t="str">
            <v xml:space="preserve"> - </v>
          </cell>
          <cell r="I129">
            <v>7.4999999999999997E-2</v>
          </cell>
          <cell r="J129">
            <v>1</v>
          </cell>
          <cell r="L129" t="str">
            <v xml:space="preserve">CE : Entry </v>
          </cell>
          <cell r="M129" t="str">
            <v xml:space="preserve"> - </v>
          </cell>
          <cell r="N129">
            <v>0.6</v>
          </cell>
          <cell r="O129">
            <v>1</v>
          </cell>
          <cell r="AA129" t="str">
            <v>Min</v>
          </cell>
          <cell r="AE129" t="str">
            <v xml:space="preserve">CE : Entry </v>
          </cell>
          <cell r="AF129" t="str">
            <v xml:space="preserve"> + </v>
          </cell>
          <cell r="AG129">
            <v>0.6</v>
          </cell>
          <cell r="AK129" t="str">
            <v>OPT : PRV : 3DHH</v>
          </cell>
          <cell r="AM129">
            <v>1</v>
          </cell>
          <cell r="AP129">
            <v>0</v>
          </cell>
          <cell r="AQ129">
            <v>0</v>
          </cell>
          <cell r="AS129">
            <v>0</v>
          </cell>
          <cell r="AT129">
            <v>0</v>
          </cell>
          <cell r="AV129">
            <v>0</v>
          </cell>
          <cell r="AW129">
            <v>0</v>
          </cell>
          <cell r="AY129">
            <v>0</v>
          </cell>
          <cell r="AZ129">
            <v>0</v>
          </cell>
          <cell r="BB129">
            <v>0</v>
          </cell>
          <cell r="BE129">
            <v>0.38541666666666669</v>
          </cell>
          <cell r="BK129">
            <v>7.4999999999999997E-2</v>
          </cell>
          <cell r="BL129">
            <v>0.1</v>
          </cell>
        </row>
        <row r="130">
          <cell r="B130" t="str">
            <v>S21E</v>
          </cell>
          <cell r="G130" t="str">
            <v>OPT : PRV : 3DLL</v>
          </cell>
          <cell r="H130" t="str">
            <v xml:space="preserve"> - </v>
          </cell>
          <cell r="I130">
            <v>7.4999999999999997E-2</v>
          </cell>
          <cell r="J130">
            <v>1</v>
          </cell>
          <cell r="L130" t="str">
            <v xml:space="preserve">PE : Entry </v>
          </cell>
          <cell r="M130" t="str">
            <v xml:space="preserve"> - </v>
          </cell>
          <cell r="N130">
            <v>0.6</v>
          </cell>
          <cell r="O130">
            <v>1</v>
          </cell>
          <cell r="AA130" t="str">
            <v>Min</v>
          </cell>
          <cell r="AE130" t="str">
            <v xml:space="preserve">PE : Entry </v>
          </cell>
          <cell r="AF130" t="str">
            <v xml:space="preserve"> + </v>
          </cell>
          <cell r="AG130">
            <v>0.6</v>
          </cell>
          <cell r="AK130" t="str">
            <v>OPT : PRV : 2DHH</v>
          </cell>
          <cell r="AM130">
            <v>1</v>
          </cell>
          <cell r="AP130">
            <v>0</v>
          </cell>
          <cell r="AQ130">
            <v>0</v>
          </cell>
          <cell r="AS130">
            <v>0</v>
          </cell>
          <cell r="AT130">
            <v>0</v>
          </cell>
          <cell r="AV130">
            <v>0</v>
          </cell>
          <cell r="AW130">
            <v>0</v>
          </cell>
          <cell r="AY130">
            <v>0</v>
          </cell>
          <cell r="AZ130">
            <v>0</v>
          </cell>
          <cell r="BB130">
            <v>0</v>
          </cell>
          <cell r="BE130">
            <v>0.64583333333333337</v>
          </cell>
          <cell r="BK130">
            <v>7.4999999999999997E-2</v>
          </cell>
          <cell r="BL130">
            <v>7.0000000000000007E-2</v>
          </cell>
        </row>
        <row r="132">
          <cell r="B132" t="str">
            <v>S22A</v>
          </cell>
          <cell r="G132" t="str">
            <v>OPT : PRV : 4DLL</v>
          </cell>
          <cell r="H132" t="str">
            <v xml:space="preserve"> - </v>
          </cell>
          <cell r="I132">
            <v>0.1</v>
          </cell>
          <cell r="J132">
            <v>1</v>
          </cell>
          <cell r="L132" t="str">
            <v xml:space="preserve">CE : Entry </v>
          </cell>
          <cell r="M132" t="str">
            <v xml:space="preserve"> - </v>
          </cell>
          <cell r="N132">
            <v>0.6</v>
          </cell>
          <cell r="O132">
            <v>1</v>
          </cell>
          <cell r="AA132" t="str">
            <v>Min</v>
          </cell>
          <cell r="AE132" t="str">
            <v xml:space="preserve">CE : Entry </v>
          </cell>
          <cell r="AF132" t="str">
            <v xml:space="preserve"> + </v>
          </cell>
          <cell r="AG132">
            <v>0.6</v>
          </cell>
          <cell r="AK132" t="str">
            <v>OPT : PRV : 2DHH</v>
          </cell>
          <cell r="AM132">
            <v>1</v>
          </cell>
          <cell r="AP132">
            <v>0</v>
          </cell>
          <cell r="AQ132">
            <v>0</v>
          </cell>
          <cell r="AS132">
            <v>0</v>
          </cell>
          <cell r="AT132">
            <v>0</v>
          </cell>
          <cell r="AV132">
            <v>0</v>
          </cell>
          <cell r="AW132">
            <v>0</v>
          </cell>
          <cell r="AY132">
            <v>0</v>
          </cell>
          <cell r="AZ132">
            <v>0</v>
          </cell>
          <cell r="BB132">
            <v>0</v>
          </cell>
          <cell r="BE132">
            <v>0.39235416666666667</v>
          </cell>
          <cell r="BF132">
            <v>0.39235416666666667</v>
          </cell>
          <cell r="BG132">
            <v>0.38541666666666669</v>
          </cell>
          <cell r="BK132">
            <v>0.1</v>
          </cell>
          <cell r="BL132">
            <v>7.0000000000000007E-2</v>
          </cell>
        </row>
        <row r="133">
          <cell r="B133" t="str">
            <v>S22B</v>
          </cell>
          <cell r="G133" t="str">
            <v>OPT : PRV : 2DLL</v>
          </cell>
          <cell r="H133" t="str">
            <v xml:space="preserve"> - </v>
          </cell>
          <cell r="I133">
            <v>0.1</v>
          </cell>
          <cell r="J133">
            <v>1</v>
          </cell>
          <cell r="L133" t="str">
            <v xml:space="preserve">PE : Entry </v>
          </cell>
          <cell r="M133" t="str">
            <v xml:space="preserve"> - </v>
          </cell>
          <cell r="N133">
            <v>0.6</v>
          </cell>
          <cell r="O133">
            <v>1</v>
          </cell>
          <cell r="AA133" t="str">
            <v>Min</v>
          </cell>
          <cell r="AE133" t="str">
            <v xml:space="preserve">PE : Entry </v>
          </cell>
          <cell r="AF133" t="str">
            <v xml:space="preserve"> + </v>
          </cell>
          <cell r="AG133">
            <v>0.6</v>
          </cell>
          <cell r="AK133" t="str">
            <v>OPT : PRV : 3DHH</v>
          </cell>
          <cell r="AM133">
            <v>1</v>
          </cell>
          <cell r="AP133">
            <v>0</v>
          </cell>
          <cell r="AQ133">
            <v>0</v>
          </cell>
          <cell r="AS133">
            <v>0</v>
          </cell>
          <cell r="AT133">
            <v>0</v>
          </cell>
          <cell r="AV133">
            <v>0</v>
          </cell>
          <cell r="AW133">
            <v>0</v>
          </cell>
          <cell r="AY133">
            <v>0</v>
          </cell>
          <cell r="AZ133">
            <v>0</v>
          </cell>
          <cell r="BB133">
            <v>0</v>
          </cell>
          <cell r="BE133">
            <v>0.39582638888888888</v>
          </cell>
          <cell r="BF133">
            <v>0.39582638888888888</v>
          </cell>
          <cell r="BG133" t="str">
            <v>N.A.</v>
          </cell>
          <cell r="BK133">
            <v>0.1</v>
          </cell>
          <cell r="BL133">
            <v>0.1</v>
          </cell>
        </row>
        <row r="134">
          <cell r="B134" t="str">
            <v>S22C</v>
          </cell>
        </row>
        <row r="135">
          <cell r="B135" t="str">
            <v>S22D</v>
          </cell>
          <cell r="G135" t="str">
            <v>OPT : PRV : 2DLL</v>
          </cell>
          <cell r="H135" t="str">
            <v xml:space="preserve"> - </v>
          </cell>
          <cell r="I135">
            <v>0.1</v>
          </cell>
          <cell r="J135">
            <v>1</v>
          </cell>
          <cell r="L135" t="str">
            <v xml:space="preserve">CE : Entry </v>
          </cell>
          <cell r="M135" t="str">
            <v xml:space="preserve"> - </v>
          </cell>
          <cell r="N135">
            <v>0.6</v>
          </cell>
          <cell r="O135">
            <v>1</v>
          </cell>
          <cell r="AA135" t="str">
            <v>Min</v>
          </cell>
          <cell r="AE135" t="str">
            <v xml:space="preserve">CE : Entry </v>
          </cell>
          <cell r="AF135" t="str">
            <v xml:space="preserve"> + </v>
          </cell>
          <cell r="AG135">
            <v>0.6</v>
          </cell>
          <cell r="AK135" t="str">
            <v>OPT : PRV : 3DHH</v>
          </cell>
          <cell r="AM135">
            <v>1</v>
          </cell>
          <cell r="AP135">
            <v>0</v>
          </cell>
          <cell r="AQ135">
            <v>0</v>
          </cell>
          <cell r="AS135">
            <v>0</v>
          </cell>
          <cell r="AT135">
            <v>0</v>
          </cell>
          <cell r="AV135">
            <v>0</v>
          </cell>
          <cell r="AW135">
            <v>0</v>
          </cell>
          <cell r="AY135">
            <v>0</v>
          </cell>
          <cell r="AZ135">
            <v>0</v>
          </cell>
          <cell r="BB135">
            <v>0</v>
          </cell>
          <cell r="BE135">
            <v>0.38541666666666669</v>
          </cell>
          <cell r="BK135">
            <v>0.1</v>
          </cell>
          <cell r="BL135">
            <v>0.1</v>
          </cell>
        </row>
        <row r="136">
          <cell r="B136" t="str">
            <v>S22E</v>
          </cell>
          <cell r="G136" t="str">
            <v>OPT : PRV : 4DLL</v>
          </cell>
          <cell r="H136" t="str">
            <v xml:space="preserve"> - </v>
          </cell>
          <cell r="I136">
            <v>0.1</v>
          </cell>
          <cell r="J136">
            <v>1</v>
          </cell>
          <cell r="L136" t="str">
            <v xml:space="preserve">PE : Entry </v>
          </cell>
          <cell r="M136" t="str">
            <v xml:space="preserve"> - </v>
          </cell>
          <cell r="N136">
            <v>0.6</v>
          </cell>
          <cell r="O136">
            <v>1</v>
          </cell>
          <cell r="AA136" t="str">
            <v>Min</v>
          </cell>
          <cell r="AE136" t="str">
            <v xml:space="preserve">PE : Entry </v>
          </cell>
          <cell r="AF136" t="str">
            <v xml:space="preserve"> + </v>
          </cell>
          <cell r="AG136">
            <v>0.6</v>
          </cell>
          <cell r="AK136" t="str">
            <v>OPT : PRV : 2DHH</v>
          </cell>
          <cell r="AM136">
            <v>1</v>
          </cell>
          <cell r="AP136">
            <v>0</v>
          </cell>
          <cell r="AQ136">
            <v>0</v>
          </cell>
          <cell r="AS136">
            <v>0</v>
          </cell>
          <cell r="AT136">
            <v>0</v>
          </cell>
          <cell r="AV136">
            <v>0</v>
          </cell>
          <cell r="AW136">
            <v>0</v>
          </cell>
          <cell r="AY136">
            <v>0</v>
          </cell>
          <cell r="AZ136">
            <v>0</v>
          </cell>
          <cell r="BB136">
            <v>0</v>
          </cell>
          <cell r="BE136">
            <v>0.64583333333333337</v>
          </cell>
          <cell r="BK136">
            <v>0.1</v>
          </cell>
          <cell r="BL136">
            <v>7.0000000000000007E-2</v>
          </cell>
        </row>
        <row r="138">
          <cell r="B138" t="str">
            <v>S23A</v>
          </cell>
          <cell r="G138" t="str">
            <v>OPT : PRV : 3DLL</v>
          </cell>
          <cell r="H138" t="str">
            <v xml:space="preserve"> - </v>
          </cell>
          <cell r="I138">
            <v>7.4999999999999997E-2</v>
          </cell>
          <cell r="J138">
            <v>1</v>
          </cell>
          <cell r="L138" t="str">
            <v xml:space="preserve">CE : Entry </v>
          </cell>
          <cell r="M138" t="str">
            <v xml:space="preserve"> - </v>
          </cell>
          <cell r="N138">
            <v>0.6</v>
          </cell>
          <cell r="O138">
            <v>1</v>
          </cell>
          <cell r="AA138" t="str">
            <v>Min</v>
          </cell>
          <cell r="AE138" t="str">
            <v xml:space="preserve">CE : Entry </v>
          </cell>
          <cell r="AF138" t="str">
            <v xml:space="preserve"> + </v>
          </cell>
          <cell r="AG138">
            <v>0.6</v>
          </cell>
          <cell r="AK138" t="str">
            <v>OPT : PRV : 2DHH</v>
          </cell>
          <cell r="AM138">
            <v>1</v>
          </cell>
          <cell r="AP138">
            <v>0</v>
          </cell>
          <cell r="AQ138">
            <v>0</v>
          </cell>
          <cell r="AS138">
            <v>0</v>
          </cell>
          <cell r="AT138">
            <v>0</v>
          </cell>
          <cell r="AV138">
            <v>0</v>
          </cell>
          <cell r="AW138">
            <v>0</v>
          </cell>
          <cell r="AY138">
            <v>0</v>
          </cell>
          <cell r="AZ138">
            <v>0</v>
          </cell>
          <cell r="BB138">
            <v>0</v>
          </cell>
          <cell r="BE138">
            <v>0.39235416666666667</v>
          </cell>
          <cell r="BF138">
            <v>0.39235416666666667</v>
          </cell>
          <cell r="BG138">
            <v>0.38541666666666669</v>
          </cell>
          <cell r="BK138">
            <v>7.4999999999999997E-2</v>
          </cell>
          <cell r="BL138">
            <v>7.0000000000000007E-2</v>
          </cell>
        </row>
        <row r="139">
          <cell r="B139" t="str">
            <v>S23B</v>
          </cell>
          <cell r="G139" t="str">
            <v>OPT : PRV : 2DLL</v>
          </cell>
          <cell r="H139" t="str">
            <v xml:space="preserve"> - </v>
          </cell>
          <cell r="I139">
            <v>7.4999999999999997E-2</v>
          </cell>
          <cell r="J139">
            <v>1</v>
          </cell>
          <cell r="L139" t="str">
            <v xml:space="preserve">PE : Entry </v>
          </cell>
          <cell r="M139" t="str">
            <v xml:space="preserve"> - </v>
          </cell>
          <cell r="N139">
            <v>0.6</v>
          </cell>
          <cell r="O139">
            <v>1</v>
          </cell>
          <cell r="AA139" t="str">
            <v>Min</v>
          </cell>
          <cell r="AE139" t="str">
            <v xml:space="preserve">PE : Entry </v>
          </cell>
          <cell r="AF139" t="str">
            <v xml:space="preserve"> + </v>
          </cell>
          <cell r="AG139">
            <v>0.6</v>
          </cell>
          <cell r="AK139" t="str">
            <v>OPT : PRV : 3DHH</v>
          </cell>
          <cell r="AM139">
            <v>1</v>
          </cell>
          <cell r="AP139">
            <v>0</v>
          </cell>
          <cell r="AQ139">
            <v>0</v>
          </cell>
          <cell r="AS139">
            <v>0</v>
          </cell>
          <cell r="AT139">
            <v>0</v>
          </cell>
          <cell r="AV139">
            <v>0</v>
          </cell>
          <cell r="AW139">
            <v>0</v>
          </cell>
          <cell r="AY139">
            <v>0</v>
          </cell>
          <cell r="AZ139">
            <v>0</v>
          </cell>
          <cell r="BB139">
            <v>0</v>
          </cell>
          <cell r="BE139">
            <v>0.39582638888888888</v>
          </cell>
          <cell r="BF139">
            <v>0.39582638888888888</v>
          </cell>
          <cell r="BG139" t="str">
            <v>N.A.</v>
          </cell>
          <cell r="BK139">
            <v>7.4999999999999997E-2</v>
          </cell>
          <cell r="BL139">
            <v>0.1</v>
          </cell>
        </row>
        <row r="140">
          <cell r="B140" t="str">
            <v>S23C</v>
          </cell>
        </row>
        <row r="141">
          <cell r="B141" t="str">
            <v>S23D</v>
          </cell>
          <cell r="G141" t="str">
            <v>OPT : PRV : 2DLL</v>
          </cell>
          <cell r="H141" t="str">
            <v xml:space="preserve"> - </v>
          </cell>
          <cell r="I141">
            <v>7.4999999999999997E-2</v>
          </cell>
          <cell r="J141">
            <v>1</v>
          </cell>
          <cell r="L141" t="str">
            <v xml:space="preserve">CE : Entry </v>
          </cell>
          <cell r="M141" t="str">
            <v xml:space="preserve"> - </v>
          </cell>
          <cell r="N141">
            <v>0.6</v>
          </cell>
          <cell r="O141">
            <v>1</v>
          </cell>
          <cell r="AA141" t="str">
            <v>Min</v>
          </cell>
          <cell r="AE141" t="str">
            <v xml:space="preserve">CE : Entry </v>
          </cell>
          <cell r="AF141" t="str">
            <v xml:space="preserve"> + </v>
          </cell>
          <cell r="AG141">
            <v>0.6</v>
          </cell>
          <cell r="AK141" t="str">
            <v>OPT : PRV : 3DHH</v>
          </cell>
          <cell r="AM141">
            <v>1</v>
          </cell>
          <cell r="AP141">
            <v>0</v>
          </cell>
          <cell r="AQ141">
            <v>0</v>
          </cell>
          <cell r="AS141">
            <v>0</v>
          </cell>
          <cell r="AT141">
            <v>0</v>
          </cell>
          <cell r="AV141">
            <v>0</v>
          </cell>
          <cell r="AW141">
            <v>0</v>
          </cell>
          <cell r="AY141">
            <v>0</v>
          </cell>
          <cell r="AZ141">
            <v>0</v>
          </cell>
          <cell r="BB141">
            <v>0</v>
          </cell>
          <cell r="BE141">
            <v>0.38541666666666669</v>
          </cell>
          <cell r="BK141">
            <v>7.4999999999999997E-2</v>
          </cell>
          <cell r="BL141">
            <v>0.1</v>
          </cell>
        </row>
        <row r="142">
          <cell r="B142" t="str">
            <v>S23E</v>
          </cell>
          <cell r="G142" t="str">
            <v>OPT : PRV : 3DLL</v>
          </cell>
          <cell r="H142" t="str">
            <v xml:space="preserve"> - </v>
          </cell>
          <cell r="I142">
            <v>7.4999999999999997E-2</v>
          </cell>
          <cell r="J142">
            <v>1</v>
          </cell>
          <cell r="L142" t="str">
            <v xml:space="preserve">PE : Entry </v>
          </cell>
          <cell r="M142" t="str">
            <v xml:space="preserve"> - </v>
          </cell>
          <cell r="N142">
            <v>0.6</v>
          </cell>
          <cell r="O142">
            <v>1</v>
          </cell>
          <cell r="AA142" t="str">
            <v>Min</v>
          </cell>
          <cell r="AE142" t="str">
            <v xml:space="preserve">PE : Entry </v>
          </cell>
          <cell r="AF142" t="str">
            <v xml:space="preserve"> + </v>
          </cell>
          <cell r="AG142">
            <v>0.6</v>
          </cell>
          <cell r="AK142" t="str">
            <v>OPT : PRV : 2DHH</v>
          </cell>
          <cell r="AM142">
            <v>1</v>
          </cell>
          <cell r="AP142">
            <v>0</v>
          </cell>
          <cell r="AQ142">
            <v>0</v>
          </cell>
          <cell r="AS142">
            <v>0</v>
          </cell>
          <cell r="AT142">
            <v>0</v>
          </cell>
          <cell r="AV142">
            <v>0</v>
          </cell>
          <cell r="AW142">
            <v>0</v>
          </cell>
          <cell r="AY142">
            <v>0</v>
          </cell>
          <cell r="AZ142">
            <v>0</v>
          </cell>
          <cell r="BB142">
            <v>0</v>
          </cell>
          <cell r="BE142">
            <v>0.64583333333333337</v>
          </cell>
          <cell r="BK142">
            <v>7.4999999999999997E-2</v>
          </cell>
          <cell r="BL142">
            <v>7.0000000000000007E-2</v>
          </cell>
        </row>
        <row r="144">
          <cell r="B144" t="str">
            <v>S24A</v>
          </cell>
          <cell r="G144" t="str">
            <v>OPT : PRV : 3DLL</v>
          </cell>
          <cell r="H144" t="str">
            <v xml:space="preserve"> - </v>
          </cell>
          <cell r="I144">
            <v>7.4999999999999997E-2</v>
          </cell>
          <cell r="J144">
            <v>1</v>
          </cell>
          <cell r="L144" t="str">
            <v xml:space="preserve">CE : Entry </v>
          </cell>
          <cell r="M144" t="str">
            <v xml:space="preserve"> - </v>
          </cell>
          <cell r="N144">
            <v>0.6</v>
          </cell>
          <cell r="O144">
            <v>1</v>
          </cell>
          <cell r="AA144" t="str">
            <v>Min</v>
          </cell>
          <cell r="AE144" t="str">
            <v xml:space="preserve">CE : Entry </v>
          </cell>
          <cell r="AF144" t="str">
            <v xml:space="preserve"> + </v>
          </cell>
          <cell r="AG144">
            <v>0.6</v>
          </cell>
          <cell r="AK144" t="str">
            <v>OPT : PRV : 2DHH</v>
          </cell>
          <cell r="AM144">
            <v>1</v>
          </cell>
          <cell r="AP144">
            <v>0</v>
          </cell>
          <cell r="AQ144">
            <v>0</v>
          </cell>
          <cell r="AS144">
            <v>0</v>
          </cell>
          <cell r="AT144">
            <v>0</v>
          </cell>
          <cell r="AV144">
            <v>0</v>
          </cell>
          <cell r="AW144">
            <v>0</v>
          </cell>
          <cell r="AY144">
            <v>0</v>
          </cell>
          <cell r="AZ144">
            <v>0</v>
          </cell>
          <cell r="BB144">
            <v>0</v>
          </cell>
          <cell r="BE144">
            <v>0.39235416666666667</v>
          </cell>
          <cell r="BF144">
            <v>0.39235416666666667</v>
          </cell>
          <cell r="BG144">
            <v>0.38541666666666669</v>
          </cell>
          <cell r="BK144">
            <v>7.4999999999999997E-2</v>
          </cell>
          <cell r="BL144">
            <v>7.0000000000000007E-2</v>
          </cell>
        </row>
        <row r="145">
          <cell r="B145" t="str">
            <v>S24B</v>
          </cell>
          <cell r="G145" t="str">
            <v>OPT : PRV : 2DLL</v>
          </cell>
          <cell r="H145" t="str">
            <v xml:space="preserve"> - </v>
          </cell>
          <cell r="I145">
            <v>7.4999999999999997E-2</v>
          </cell>
          <cell r="J145">
            <v>1</v>
          </cell>
          <cell r="L145" t="str">
            <v xml:space="preserve">PE : Entry </v>
          </cell>
          <cell r="M145" t="str">
            <v xml:space="preserve"> - </v>
          </cell>
          <cell r="N145">
            <v>0.6</v>
          </cell>
          <cell r="O145">
            <v>1</v>
          </cell>
          <cell r="AA145" t="str">
            <v>Min</v>
          </cell>
          <cell r="AE145" t="str">
            <v xml:space="preserve">PE : Entry </v>
          </cell>
          <cell r="AF145" t="str">
            <v xml:space="preserve"> + </v>
          </cell>
          <cell r="AG145">
            <v>0.6</v>
          </cell>
          <cell r="AK145" t="str">
            <v>OPT : PRV : 3DHH</v>
          </cell>
          <cell r="AM145">
            <v>1</v>
          </cell>
          <cell r="AP145">
            <v>0</v>
          </cell>
          <cell r="AQ145">
            <v>0</v>
          </cell>
          <cell r="AS145">
            <v>0</v>
          </cell>
          <cell r="AT145">
            <v>0</v>
          </cell>
          <cell r="AV145">
            <v>0</v>
          </cell>
          <cell r="AW145">
            <v>0</v>
          </cell>
          <cell r="AY145">
            <v>0</v>
          </cell>
          <cell r="AZ145">
            <v>0</v>
          </cell>
          <cell r="BB145">
            <v>0</v>
          </cell>
          <cell r="BE145">
            <v>0.39582638888888888</v>
          </cell>
          <cell r="BF145">
            <v>0.39582638888888888</v>
          </cell>
          <cell r="BG145" t="str">
            <v>N.A.</v>
          </cell>
          <cell r="BK145">
            <v>7.4999999999999997E-2</v>
          </cell>
          <cell r="BL145">
            <v>0.1</v>
          </cell>
        </row>
        <row r="146">
          <cell r="B146" t="str">
            <v>S24C</v>
          </cell>
        </row>
        <row r="147">
          <cell r="B147" t="str">
            <v>S24D</v>
          </cell>
          <cell r="G147" t="str">
            <v>OPT : PRV : 2DLL</v>
          </cell>
          <cell r="H147" t="str">
            <v xml:space="preserve"> - </v>
          </cell>
          <cell r="I147">
            <v>7.4999999999999997E-2</v>
          </cell>
          <cell r="J147">
            <v>1</v>
          </cell>
          <cell r="L147" t="str">
            <v xml:space="preserve">CE : Entry </v>
          </cell>
          <cell r="M147" t="str">
            <v xml:space="preserve"> - </v>
          </cell>
          <cell r="N147">
            <v>0.6</v>
          </cell>
          <cell r="O147">
            <v>1</v>
          </cell>
          <cell r="AA147" t="str">
            <v>Min</v>
          </cell>
          <cell r="AE147" t="str">
            <v xml:space="preserve">CE : Entry </v>
          </cell>
          <cell r="AF147" t="str">
            <v xml:space="preserve"> + </v>
          </cell>
          <cell r="AG147">
            <v>0.6</v>
          </cell>
          <cell r="AK147" t="str">
            <v>OPT : PRV : 3DHH</v>
          </cell>
          <cell r="AM147">
            <v>1</v>
          </cell>
          <cell r="AP147">
            <v>0</v>
          </cell>
          <cell r="AQ147">
            <v>0</v>
          </cell>
          <cell r="AS147">
            <v>0</v>
          </cell>
          <cell r="AT147">
            <v>0</v>
          </cell>
          <cell r="AV147">
            <v>0</v>
          </cell>
          <cell r="AW147">
            <v>0</v>
          </cell>
          <cell r="AY147">
            <v>0</v>
          </cell>
          <cell r="AZ147">
            <v>0</v>
          </cell>
          <cell r="BB147">
            <v>0</v>
          </cell>
          <cell r="BE147">
            <v>0.38541666666666669</v>
          </cell>
          <cell r="BK147">
            <v>7.4999999999999997E-2</v>
          </cell>
          <cell r="BL147">
            <v>0.1</v>
          </cell>
        </row>
        <row r="148">
          <cell r="B148" t="str">
            <v>S24E</v>
          </cell>
          <cell r="G148" t="str">
            <v>OPT : PRV : 3DLL</v>
          </cell>
          <cell r="H148" t="str">
            <v xml:space="preserve"> - </v>
          </cell>
          <cell r="I148">
            <v>7.4999999999999997E-2</v>
          </cell>
          <cell r="J148">
            <v>1</v>
          </cell>
          <cell r="L148" t="str">
            <v xml:space="preserve">PE : Entry </v>
          </cell>
          <cell r="M148" t="str">
            <v xml:space="preserve"> - </v>
          </cell>
          <cell r="N148">
            <v>0.6</v>
          </cell>
          <cell r="O148">
            <v>1</v>
          </cell>
          <cell r="AA148" t="str">
            <v>Min</v>
          </cell>
          <cell r="AE148" t="str">
            <v xml:space="preserve">PE : Entry </v>
          </cell>
          <cell r="AF148" t="str">
            <v xml:space="preserve"> + </v>
          </cell>
          <cell r="AG148">
            <v>0.6</v>
          </cell>
          <cell r="AK148" t="str">
            <v>OPT : PRV : 2DHH</v>
          </cell>
          <cell r="AM148">
            <v>1</v>
          </cell>
          <cell r="AP148">
            <v>0</v>
          </cell>
          <cell r="AQ148">
            <v>0</v>
          </cell>
          <cell r="AS148">
            <v>0</v>
          </cell>
          <cell r="AT148">
            <v>0</v>
          </cell>
          <cell r="AV148">
            <v>0</v>
          </cell>
          <cell r="AW148">
            <v>0</v>
          </cell>
          <cell r="AY148">
            <v>0</v>
          </cell>
          <cell r="AZ148">
            <v>0</v>
          </cell>
          <cell r="BB148">
            <v>0</v>
          </cell>
          <cell r="BE148">
            <v>0.64583333333333337</v>
          </cell>
          <cell r="BK148">
            <v>7.4999999999999997E-2</v>
          </cell>
          <cell r="BL148">
            <v>7.0000000000000007E-2</v>
          </cell>
        </row>
        <row r="150">
          <cell r="B150" t="str">
            <v>S25A</v>
          </cell>
          <cell r="G150" t="str">
            <v>OPT : PRV : 1D 75 Mins HH</v>
          </cell>
          <cell r="H150" t="str">
            <v xml:space="preserve"> + </v>
          </cell>
          <cell r="I150">
            <v>0.1</v>
          </cell>
          <cell r="J150">
            <v>2</v>
          </cell>
          <cell r="L150" t="str">
            <v xml:space="preserve">CE : Entry </v>
          </cell>
          <cell r="M150" t="str">
            <v xml:space="preserve"> + </v>
          </cell>
          <cell r="N150">
            <v>0.7</v>
          </cell>
          <cell r="O150">
            <v>1</v>
          </cell>
          <cell r="AA150" t="str">
            <v>Max</v>
          </cell>
          <cell r="AE150" t="str">
            <v xml:space="preserve">CE : Entry </v>
          </cell>
          <cell r="AF150" t="str">
            <v xml:space="preserve"> - </v>
          </cell>
          <cell r="AG150">
            <v>0.7</v>
          </cell>
          <cell r="AK150" t="str">
            <v>OPT : PRV : 1D 75 MinsLL</v>
          </cell>
          <cell r="AM150">
            <v>2</v>
          </cell>
          <cell r="AP150">
            <v>1</v>
          </cell>
          <cell r="AQ150">
            <v>0</v>
          </cell>
          <cell r="AS150">
            <v>1</v>
          </cell>
          <cell r="AT150">
            <v>0</v>
          </cell>
          <cell r="AV150">
            <v>1</v>
          </cell>
          <cell r="AW150">
            <v>0</v>
          </cell>
          <cell r="AY150">
            <v>1</v>
          </cell>
          <cell r="AZ150">
            <v>0</v>
          </cell>
          <cell r="BB150">
            <v>1</v>
          </cell>
          <cell r="BE150">
            <v>0.39235416666666667</v>
          </cell>
          <cell r="BF150">
            <v>0.39235416666666667</v>
          </cell>
          <cell r="BG150">
            <v>0.38541666666666669</v>
          </cell>
          <cell r="BK150">
            <v>0.1</v>
          </cell>
          <cell r="BL150">
            <v>0.1</v>
          </cell>
        </row>
        <row r="151">
          <cell r="B151" t="str">
            <v>S25B</v>
          </cell>
          <cell r="G151" t="str">
            <v>OPT : PRV : 1D 75 Mins HH</v>
          </cell>
          <cell r="H151" t="str">
            <v xml:space="preserve"> + </v>
          </cell>
          <cell r="I151">
            <v>0.1</v>
          </cell>
          <cell r="J151">
            <v>2</v>
          </cell>
          <cell r="L151" t="str">
            <v xml:space="preserve">PE : Entry </v>
          </cell>
          <cell r="M151" t="str">
            <v xml:space="preserve"> + </v>
          </cell>
          <cell r="N151">
            <v>0.7</v>
          </cell>
          <cell r="O151">
            <v>1</v>
          </cell>
          <cell r="AA151" t="str">
            <v>Max</v>
          </cell>
          <cell r="AE151" t="str">
            <v xml:space="preserve">PE : Entry </v>
          </cell>
          <cell r="AF151" t="str">
            <v xml:space="preserve"> - </v>
          </cell>
          <cell r="AG151">
            <v>0.7</v>
          </cell>
          <cell r="AK151" t="str">
            <v>OPT : PRV : 1D 75 MinsLL</v>
          </cell>
          <cell r="AM151">
            <v>2</v>
          </cell>
          <cell r="AP151">
            <v>1</v>
          </cell>
          <cell r="AQ151">
            <v>0</v>
          </cell>
          <cell r="AS151">
            <v>1</v>
          </cell>
          <cell r="AT151">
            <v>0</v>
          </cell>
          <cell r="AV151">
            <v>1</v>
          </cell>
          <cell r="AW151">
            <v>0</v>
          </cell>
          <cell r="AY151">
            <v>1</v>
          </cell>
          <cell r="AZ151">
            <v>0</v>
          </cell>
          <cell r="BB151">
            <v>1</v>
          </cell>
          <cell r="BE151">
            <v>0.39582638888888888</v>
          </cell>
          <cell r="BF151">
            <v>0.39582638888888888</v>
          </cell>
          <cell r="BG151" t="str">
            <v>N.A.</v>
          </cell>
          <cell r="BK151">
            <v>0.1</v>
          </cell>
          <cell r="BL151">
            <v>0.1</v>
          </cell>
        </row>
        <row r="152">
          <cell r="B152" t="str">
            <v>S25C</v>
          </cell>
        </row>
        <row r="153">
          <cell r="B153" t="str">
            <v>S25D</v>
          </cell>
          <cell r="G153" t="str">
            <v>OPT : PRV : 1D 75 Mins HH</v>
          </cell>
          <cell r="H153" t="str">
            <v xml:space="preserve"> + </v>
          </cell>
          <cell r="I153">
            <v>0.1</v>
          </cell>
          <cell r="J153">
            <v>2</v>
          </cell>
          <cell r="L153" t="str">
            <v xml:space="preserve">CE : Entry </v>
          </cell>
          <cell r="M153" t="str">
            <v xml:space="preserve"> + </v>
          </cell>
          <cell r="N153">
            <v>0.7</v>
          </cell>
          <cell r="O153">
            <v>1</v>
          </cell>
          <cell r="AA153" t="str">
            <v>Max</v>
          </cell>
          <cell r="AE153" t="str">
            <v xml:space="preserve">CE : Entry </v>
          </cell>
          <cell r="AF153" t="str">
            <v xml:space="preserve"> - </v>
          </cell>
          <cell r="AG153">
            <v>0.7</v>
          </cell>
          <cell r="AK153" t="str">
            <v>OPT : PRV : 1D 75 MinsLL</v>
          </cell>
          <cell r="AM153">
            <v>2</v>
          </cell>
          <cell r="AP153">
            <v>1</v>
          </cell>
          <cell r="AQ153">
            <v>0</v>
          </cell>
          <cell r="AS153">
            <v>1</v>
          </cell>
          <cell r="AT153">
            <v>0</v>
          </cell>
          <cell r="AV153">
            <v>1</v>
          </cell>
          <cell r="AW153">
            <v>0</v>
          </cell>
          <cell r="AY153">
            <v>1</v>
          </cell>
          <cell r="AZ153">
            <v>0</v>
          </cell>
          <cell r="BB153">
            <v>1</v>
          </cell>
          <cell r="BE153">
            <v>0.38541666666666669</v>
          </cell>
          <cell r="BK153">
            <v>0.1</v>
          </cell>
          <cell r="BL153">
            <v>0.1</v>
          </cell>
        </row>
        <row r="154">
          <cell r="B154" t="str">
            <v>S25E</v>
          </cell>
          <cell r="G154" t="str">
            <v>OPT : PRV : 1D 75 Mins HH</v>
          </cell>
          <cell r="H154" t="str">
            <v xml:space="preserve"> + </v>
          </cell>
          <cell r="I154">
            <v>0.1</v>
          </cell>
          <cell r="J154">
            <v>2</v>
          </cell>
          <cell r="L154" t="str">
            <v xml:space="preserve">PE : Entry </v>
          </cell>
          <cell r="M154" t="str">
            <v xml:space="preserve"> + </v>
          </cell>
          <cell r="N154">
            <v>0.7</v>
          </cell>
          <cell r="O154">
            <v>1</v>
          </cell>
          <cell r="AA154" t="str">
            <v>Max</v>
          </cell>
          <cell r="AE154" t="str">
            <v xml:space="preserve">PE : Entry </v>
          </cell>
          <cell r="AF154" t="str">
            <v xml:space="preserve"> - </v>
          </cell>
          <cell r="AG154">
            <v>0.7</v>
          </cell>
          <cell r="AK154" t="str">
            <v>OPT : PRV : 1D 75 MinsLL</v>
          </cell>
          <cell r="AM154">
            <v>2</v>
          </cell>
          <cell r="AP154">
            <v>1</v>
          </cell>
          <cell r="AQ154">
            <v>0</v>
          </cell>
          <cell r="AS154">
            <v>1</v>
          </cell>
          <cell r="AT154">
            <v>0</v>
          </cell>
          <cell r="AV154">
            <v>1</v>
          </cell>
          <cell r="AW154">
            <v>0</v>
          </cell>
          <cell r="AY154">
            <v>1</v>
          </cell>
          <cell r="AZ154">
            <v>0</v>
          </cell>
          <cell r="BB154">
            <v>1</v>
          </cell>
          <cell r="BE154">
            <v>0.64583333333333337</v>
          </cell>
          <cell r="BK154">
            <v>0.1</v>
          </cell>
          <cell r="BL154">
            <v>0.1</v>
          </cell>
        </row>
        <row r="156">
          <cell r="B156" t="str">
            <v>S26A</v>
          </cell>
          <cell r="G156" t="str">
            <v>OPT : PRV : 2D HH</v>
          </cell>
          <cell r="H156" t="str">
            <v xml:space="preserve"> + </v>
          </cell>
          <cell r="I156">
            <v>0.05</v>
          </cell>
          <cell r="J156">
            <v>5</v>
          </cell>
          <cell r="L156" t="str">
            <v xml:space="preserve">CE : Entry </v>
          </cell>
          <cell r="M156" t="str">
            <v xml:space="preserve"> + </v>
          </cell>
          <cell r="N156">
            <v>0.03</v>
          </cell>
          <cell r="O156">
            <v>1</v>
          </cell>
          <cell r="P156">
            <v>4.4999999999999998E-2</v>
          </cell>
          <cell r="Q156">
            <v>1</v>
          </cell>
          <cell r="R156">
            <v>0.06</v>
          </cell>
          <cell r="S156">
            <v>1</v>
          </cell>
          <cell r="T156">
            <v>0.08</v>
          </cell>
          <cell r="U156">
            <v>1</v>
          </cell>
          <cell r="V156" t="str">
            <v>TR PROFIT AFTER TGT 4</v>
          </cell>
          <cell r="W156">
            <v>1</v>
          </cell>
          <cell r="AA156" t="str">
            <v>Max</v>
          </cell>
          <cell r="AE156" t="str">
            <v xml:space="preserve">CE : Entry </v>
          </cell>
          <cell r="AF156" t="str">
            <v xml:space="preserve"> - </v>
          </cell>
          <cell r="AG156">
            <v>0.03</v>
          </cell>
          <cell r="AK156" t="str">
            <v>OPT : PRV : 3DLL</v>
          </cell>
          <cell r="AM156">
            <v>5</v>
          </cell>
          <cell r="AP156">
            <v>4</v>
          </cell>
          <cell r="AQ156" t="str">
            <v>OPT : PRV : 3DLL</v>
          </cell>
          <cell r="AS156">
            <v>3</v>
          </cell>
          <cell r="AT156" t="str">
            <v>OPT : PRV : 3DLL</v>
          </cell>
          <cell r="AV156">
            <v>2</v>
          </cell>
          <cell r="AW156" t="str">
            <v>OPT : PRV : 3DLL</v>
          </cell>
          <cell r="AY156">
            <v>1</v>
          </cell>
          <cell r="AZ156">
            <v>0</v>
          </cell>
          <cell r="BB156">
            <v>0</v>
          </cell>
          <cell r="BE156">
            <v>0.39235416666666667</v>
          </cell>
          <cell r="BF156">
            <v>0.39235416666666667</v>
          </cell>
          <cell r="BG156">
            <v>0.38541666666666669</v>
          </cell>
          <cell r="BK156">
            <v>0.05</v>
          </cell>
          <cell r="BL156">
            <v>0.12</v>
          </cell>
        </row>
        <row r="157">
          <cell r="B157" t="str">
            <v>S26B</v>
          </cell>
          <cell r="G157" t="str">
            <v>OPT : PRV : 4D HH</v>
          </cell>
          <cell r="H157" t="str">
            <v xml:space="preserve"> + </v>
          </cell>
          <cell r="I157">
            <v>7.0000000000000007E-2</v>
          </cell>
          <cell r="J157">
            <v>5</v>
          </cell>
          <cell r="L157" t="str">
            <v xml:space="preserve">PE : Entry </v>
          </cell>
          <cell r="M157" t="str">
            <v xml:space="preserve"> + </v>
          </cell>
          <cell r="N157">
            <v>0.03</v>
          </cell>
          <cell r="O157">
            <v>1</v>
          </cell>
          <cell r="P157">
            <v>4.4999999999999998E-2</v>
          </cell>
          <cell r="Q157">
            <v>1</v>
          </cell>
          <cell r="R157">
            <v>0.06</v>
          </cell>
          <cell r="S157">
            <v>1</v>
          </cell>
          <cell r="T157">
            <v>0.08</v>
          </cell>
          <cell r="U157">
            <v>1</v>
          </cell>
          <cell r="V157" t="str">
            <v>TR PROFIT AFTER TGT 4</v>
          </cell>
          <cell r="W157">
            <v>1</v>
          </cell>
          <cell r="AA157" t="str">
            <v>Max</v>
          </cell>
          <cell r="AE157" t="str">
            <v xml:space="preserve">PE : Entry </v>
          </cell>
          <cell r="AF157" t="str">
            <v xml:space="preserve"> - </v>
          </cell>
          <cell r="AG157">
            <v>0.03</v>
          </cell>
          <cell r="AK157" t="str">
            <v>OPT : PRV : 2DLL</v>
          </cell>
          <cell r="AM157">
            <v>5</v>
          </cell>
          <cell r="AP157">
            <v>4</v>
          </cell>
          <cell r="AQ157" t="str">
            <v>OPT : PRV : 2DLL</v>
          </cell>
          <cell r="AS157">
            <v>3</v>
          </cell>
          <cell r="AT157" t="str">
            <v>OPT : PRV : 2DLL</v>
          </cell>
          <cell r="AV157">
            <v>2</v>
          </cell>
          <cell r="AW157" t="str">
            <v>OPT : PRV : 2DLL</v>
          </cell>
          <cell r="AY157">
            <v>1</v>
          </cell>
          <cell r="AZ157">
            <v>0</v>
          </cell>
          <cell r="BB157">
            <v>0</v>
          </cell>
          <cell r="BE157">
            <v>0.39582638888888888</v>
          </cell>
          <cell r="BF157">
            <v>0.39582638888888888</v>
          </cell>
          <cell r="BG157" t="str">
            <v>N.A.</v>
          </cell>
          <cell r="BK157">
            <v>7.0000000000000007E-2</v>
          </cell>
          <cell r="BL157">
            <v>0.1</v>
          </cell>
        </row>
        <row r="158">
          <cell r="B158" t="str">
            <v>S26C</v>
          </cell>
        </row>
        <row r="159">
          <cell r="B159" t="str">
            <v>S26D</v>
          </cell>
          <cell r="G159" t="str">
            <v>OPT : PRV : 4D HH</v>
          </cell>
          <cell r="H159" t="str">
            <v xml:space="preserve"> + </v>
          </cell>
          <cell r="I159">
            <v>7.0000000000000007E-2</v>
          </cell>
          <cell r="J159">
            <v>5</v>
          </cell>
          <cell r="L159" t="str">
            <v xml:space="preserve">CE : Entry </v>
          </cell>
          <cell r="M159" t="str">
            <v xml:space="preserve"> + </v>
          </cell>
          <cell r="N159">
            <v>0.03</v>
          </cell>
          <cell r="O159">
            <v>1</v>
          </cell>
          <cell r="P159">
            <v>4.4999999999999998E-2</v>
          </cell>
          <cell r="Q159">
            <v>1</v>
          </cell>
          <cell r="R159">
            <v>0.06</v>
          </cell>
          <cell r="S159">
            <v>1</v>
          </cell>
          <cell r="T159">
            <v>0.08</v>
          </cell>
          <cell r="U159">
            <v>1</v>
          </cell>
          <cell r="V159" t="str">
            <v>TR PROFIT AFTER TGT 4</v>
          </cell>
          <cell r="W159">
            <v>1</v>
          </cell>
          <cell r="AA159" t="str">
            <v>Max</v>
          </cell>
          <cell r="AE159" t="str">
            <v xml:space="preserve">CE : Entry </v>
          </cell>
          <cell r="AF159" t="str">
            <v xml:space="preserve"> - </v>
          </cell>
          <cell r="AG159">
            <v>0.03</v>
          </cell>
          <cell r="AK159" t="str">
            <v>OPT : PRV : 2DLL</v>
          </cell>
          <cell r="AM159">
            <v>5</v>
          </cell>
          <cell r="AP159">
            <v>4</v>
          </cell>
          <cell r="AQ159" t="str">
            <v>OPT : PRV : 2DLL</v>
          </cell>
          <cell r="AS159">
            <v>3</v>
          </cell>
          <cell r="AT159" t="str">
            <v>OPT : PRV : 2DLL</v>
          </cell>
          <cell r="AV159">
            <v>2</v>
          </cell>
          <cell r="AW159" t="str">
            <v>OPT : PRV : 2DLL</v>
          </cell>
          <cell r="AY159">
            <v>1</v>
          </cell>
          <cell r="AZ159">
            <v>0</v>
          </cell>
          <cell r="BB159">
            <v>0</v>
          </cell>
          <cell r="BE159">
            <v>0.38541666666666669</v>
          </cell>
          <cell r="BK159">
            <v>7.0000000000000007E-2</v>
          </cell>
          <cell r="BL159">
            <v>0.1</v>
          </cell>
        </row>
        <row r="160">
          <cell r="B160" t="str">
            <v>S26E</v>
          </cell>
          <cell r="G160" t="str">
            <v>OPT : PRV : 2D HH</v>
          </cell>
          <cell r="H160" t="str">
            <v xml:space="preserve"> + </v>
          </cell>
          <cell r="I160">
            <v>0.05</v>
          </cell>
          <cell r="J160">
            <v>5</v>
          </cell>
          <cell r="L160" t="str">
            <v xml:space="preserve">PE : Entry </v>
          </cell>
          <cell r="M160" t="str">
            <v xml:space="preserve"> + </v>
          </cell>
          <cell r="N160">
            <v>0.03</v>
          </cell>
          <cell r="O160">
            <v>1</v>
          </cell>
          <cell r="P160">
            <v>4.4999999999999998E-2</v>
          </cell>
          <cell r="Q160">
            <v>1</v>
          </cell>
          <cell r="R160">
            <v>0.06</v>
          </cell>
          <cell r="S160">
            <v>1</v>
          </cell>
          <cell r="T160">
            <v>0.08</v>
          </cell>
          <cell r="U160">
            <v>1</v>
          </cell>
          <cell r="V160" t="str">
            <v>TR PROFIT AFTER TGT 4</v>
          </cell>
          <cell r="W160">
            <v>1</v>
          </cell>
          <cell r="AA160" t="str">
            <v>Max</v>
          </cell>
          <cell r="AE160" t="str">
            <v xml:space="preserve">PE : Entry </v>
          </cell>
          <cell r="AF160" t="str">
            <v xml:space="preserve"> - </v>
          </cell>
          <cell r="AG160">
            <v>0.03</v>
          </cell>
          <cell r="AK160" t="str">
            <v>OPT : PRV : 3DLL</v>
          </cell>
          <cell r="AM160">
            <v>5</v>
          </cell>
          <cell r="AP160">
            <v>4</v>
          </cell>
          <cell r="AQ160" t="str">
            <v>OPT : PRV : 3DLL</v>
          </cell>
          <cell r="AS160">
            <v>3</v>
          </cell>
          <cell r="AT160" t="str">
            <v>OPT : PRV : 3DLL</v>
          </cell>
          <cell r="AV160">
            <v>2</v>
          </cell>
          <cell r="AW160" t="str">
            <v>OPT : PRV : 3DLL</v>
          </cell>
          <cell r="AY160">
            <v>1</v>
          </cell>
          <cell r="AZ160">
            <v>0</v>
          </cell>
          <cell r="BB160">
            <v>0</v>
          </cell>
          <cell r="BE160">
            <v>0.64583333333333337</v>
          </cell>
          <cell r="BK160">
            <v>0.05</v>
          </cell>
          <cell r="BL160">
            <v>0.12</v>
          </cell>
        </row>
        <row r="162">
          <cell r="B162" t="str">
            <v>S27A</v>
          </cell>
          <cell r="G162" t="str">
            <v>OPT : PRV : 2D HH</v>
          </cell>
          <cell r="H162" t="str">
            <v xml:space="preserve"> + </v>
          </cell>
          <cell r="I162">
            <v>0.05</v>
          </cell>
          <cell r="J162">
            <v>5</v>
          </cell>
          <cell r="L162" t="str">
            <v xml:space="preserve">CE : Entry </v>
          </cell>
          <cell r="M162" t="str">
            <v xml:space="preserve"> + </v>
          </cell>
          <cell r="N162">
            <v>0.03</v>
          </cell>
          <cell r="O162">
            <v>1</v>
          </cell>
          <cell r="P162">
            <v>4.4999999999999998E-2</v>
          </cell>
          <cell r="Q162">
            <v>1</v>
          </cell>
          <cell r="R162">
            <v>0.06</v>
          </cell>
          <cell r="S162">
            <v>1</v>
          </cell>
          <cell r="T162">
            <v>0.08</v>
          </cell>
          <cell r="U162">
            <v>1</v>
          </cell>
          <cell r="V162" t="str">
            <v>TR PROFIT AFTER TGT 4</v>
          </cell>
          <cell r="W162">
            <v>1</v>
          </cell>
          <cell r="AA162" t="str">
            <v>Max</v>
          </cell>
          <cell r="AE162" t="str">
            <v xml:space="preserve">CE : Entry </v>
          </cell>
          <cell r="AF162" t="str">
            <v xml:space="preserve"> - </v>
          </cell>
          <cell r="AG162">
            <v>0.03</v>
          </cell>
          <cell r="AM162">
            <v>5</v>
          </cell>
          <cell r="AP162">
            <v>4</v>
          </cell>
          <cell r="AS162">
            <v>3</v>
          </cell>
          <cell r="AV162">
            <v>2</v>
          </cell>
          <cell r="AY162">
            <v>1</v>
          </cell>
          <cell r="BE162">
            <v>0.39235416666666667</v>
          </cell>
          <cell r="BF162">
            <v>0.39235416666666667</v>
          </cell>
          <cell r="BG162">
            <v>0.38541666666666669</v>
          </cell>
          <cell r="BK162">
            <v>0.05</v>
          </cell>
        </row>
        <row r="163">
          <cell r="B163" t="str">
            <v>S27B</v>
          </cell>
          <cell r="AM163">
            <v>0</v>
          </cell>
          <cell r="BE163">
            <v>0.39582638888888888</v>
          </cell>
          <cell r="BF163">
            <v>0.39582638888888888</v>
          </cell>
          <cell r="BG163" t="str">
            <v>N.A.</v>
          </cell>
        </row>
        <row r="164">
          <cell r="B164" t="str">
            <v>S27C</v>
          </cell>
        </row>
        <row r="165">
          <cell r="B165" t="str">
            <v>S27D</v>
          </cell>
          <cell r="AM165">
            <v>0</v>
          </cell>
          <cell r="BE165">
            <v>0.38541666666666669</v>
          </cell>
        </row>
        <row r="166">
          <cell r="B166" t="str">
            <v>S27E</v>
          </cell>
          <cell r="G166" t="str">
            <v>OPT : PRV : 2D HH</v>
          </cell>
          <cell r="H166" t="str">
            <v xml:space="preserve"> + </v>
          </cell>
          <cell r="I166">
            <v>0.05</v>
          </cell>
          <cell r="J166">
            <v>5</v>
          </cell>
          <cell r="L166" t="str">
            <v xml:space="preserve">PE : Entry </v>
          </cell>
          <cell r="M166" t="str">
            <v xml:space="preserve"> + </v>
          </cell>
          <cell r="N166">
            <v>0.03</v>
          </cell>
          <cell r="O166">
            <v>1</v>
          </cell>
          <cell r="P166">
            <v>4.4999999999999998E-2</v>
          </cell>
          <cell r="Q166">
            <v>1</v>
          </cell>
          <cell r="R166">
            <v>0.06</v>
          </cell>
          <cell r="S166">
            <v>1</v>
          </cell>
          <cell r="T166">
            <v>0.08</v>
          </cell>
          <cell r="U166">
            <v>1</v>
          </cell>
          <cell r="V166" t="str">
            <v>TR PROFIT AFTER TGT 4</v>
          </cell>
          <cell r="W166">
            <v>1</v>
          </cell>
          <cell r="AA166" t="str">
            <v>Max</v>
          </cell>
          <cell r="AE166" t="str">
            <v xml:space="preserve">PE : Entry </v>
          </cell>
          <cell r="AF166" t="str">
            <v xml:space="preserve"> - </v>
          </cell>
          <cell r="AG166">
            <v>0.03</v>
          </cell>
          <cell r="AM166">
            <v>5</v>
          </cell>
          <cell r="AP166">
            <v>4</v>
          </cell>
          <cell r="AS166">
            <v>3</v>
          </cell>
          <cell r="AV166">
            <v>2</v>
          </cell>
          <cell r="AY166">
            <v>1</v>
          </cell>
          <cell r="BE166">
            <v>0.64583333333333337</v>
          </cell>
          <cell r="BK166">
            <v>0.05</v>
          </cell>
        </row>
        <row r="168">
          <cell r="B168" t="str">
            <v>S28A</v>
          </cell>
          <cell r="G168" t="str">
            <v>SPT : DCC HH</v>
          </cell>
          <cell r="H168" t="str">
            <v xml:space="preserve"> + </v>
          </cell>
          <cell r="I168">
            <v>0.01</v>
          </cell>
          <cell r="J168">
            <v>1</v>
          </cell>
          <cell r="L168" t="str">
            <v xml:space="preserve">L : Entry </v>
          </cell>
          <cell r="M168" t="str">
            <v xml:space="preserve"> + </v>
          </cell>
          <cell r="N168">
            <v>0.125</v>
          </cell>
          <cell r="O168">
            <v>0.2</v>
          </cell>
          <cell r="P168">
            <v>0.25</v>
          </cell>
          <cell r="Q168">
            <v>0.2</v>
          </cell>
          <cell r="R168">
            <v>0.5</v>
          </cell>
          <cell r="S168">
            <v>0.1</v>
          </cell>
          <cell r="T168">
            <v>0.75</v>
          </cell>
          <cell r="U168">
            <v>0.1</v>
          </cell>
          <cell r="V168">
            <v>1</v>
          </cell>
          <cell r="W168">
            <v>0.1</v>
          </cell>
          <cell r="X168" t="str">
            <v>TR PROFIT AFTER TGT 5</v>
          </cell>
          <cell r="Y168">
            <v>0.3</v>
          </cell>
          <cell r="AA168" t="str">
            <v>Max</v>
          </cell>
          <cell r="AE168" t="str">
            <v>L : Entry</v>
          </cell>
          <cell r="AF168" t="str">
            <v xml:space="preserve"> - </v>
          </cell>
          <cell r="AG168">
            <v>0.25</v>
          </cell>
          <cell r="AK168" t="str">
            <v>SPT : PRV M : 20 SMA</v>
          </cell>
          <cell r="AM168">
            <v>1</v>
          </cell>
          <cell r="AP168">
            <v>0.8</v>
          </cell>
          <cell r="AQ168" t="str">
            <v>SPT : PRV M : 20 SMA</v>
          </cell>
          <cell r="AS168">
            <v>0.60000000000000009</v>
          </cell>
          <cell r="AT168" t="str">
            <v>SPT : PRV M : 20 SMA</v>
          </cell>
          <cell r="AV168">
            <v>0.50000000000000011</v>
          </cell>
          <cell r="AW168" t="str">
            <v>SPT : PRV M : 20 SMA</v>
          </cell>
          <cell r="AY168">
            <v>0.40000000000000013</v>
          </cell>
          <cell r="AZ168" t="str">
            <v>SPT : PRV M : 10 SMA</v>
          </cell>
          <cell r="BB168">
            <v>0.30000000000000016</v>
          </cell>
          <cell r="BE168">
            <v>0.38888194444444446</v>
          </cell>
          <cell r="BF168">
            <v>0.38888194444444446</v>
          </cell>
          <cell r="BG168">
            <v>0.38541666666666669</v>
          </cell>
          <cell r="BK168">
            <v>0.01</v>
          </cell>
          <cell r="BL168">
            <v>0.01</v>
          </cell>
        </row>
        <row r="169">
          <cell r="B169" t="str">
            <v>S28B</v>
          </cell>
          <cell r="G169" t="str">
            <v/>
          </cell>
          <cell r="H169" t="str">
            <v/>
          </cell>
          <cell r="L169" t="str">
            <v/>
          </cell>
          <cell r="M169" t="str">
            <v/>
          </cell>
          <cell r="AA169" t="str">
            <v/>
          </cell>
          <cell r="AE169" t="str">
            <v/>
          </cell>
          <cell r="AF169" t="str">
            <v/>
          </cell>
          <cell r="AK169" t="str">
            <v/>
          </cell>
          <cell r="AM169" t="str">
            <v/>
          </cell>
          <cell r="AP169" t="str">
            <v/>
          </cell>
          <cell r="AQ169" t="str">
            <v/>
          </cell>
          <cell r="AS169" t="str">
            <v/>
          </cell>
          <cell r="AT169" t="str">
            <v/>
          </cell>
          <cell r="AV169" t="str">
            <v/>
          </cell>
          <cell r="AW169" t="str">
            <v/>
          </cell>
          <cell r="AY169" t="str">
            <v/>
          </cell>
          <cell r="AZ169" t="str">
            <v/>
          </cell>
          <cell r="BB169" t="str">
            <v/>
          </cell>
          <cell r="BE169">
            <v>0.39582638888888888</v>
          </cell>
          <cell r="BF169">
            <v>0.39582638888888888</v>
          </cell>
          <cell r="BG169" t="str">
            <v>N.A.</v>
          </cell>
        </row>
        <row r="170">
          <cell r="B170" t="str">
            <v>S28C</v>
          </cell>
        </row>
        <row r="171">
          <cell r="B171" t="str">
            <v>S28D</v>
          </cell>
          <cell r="G171" t="str">
            <v/>
          </cell>
          <cell r="H171" t="str">
            <v/>
          </cell>
          <cell r="L171" t="str">
            <v/>
          </cell>
          <cell r="M171" t="str">
            <v/>
          </cell>
          <cell r="AA171" t="str">
            <v/>
          </cell>
          <cell r="AE171" t="str">
            <v/>
          </cell>
          <cell r="AF171" t="str">
            <v/>
          </cell>
          <cell r="AK171" t="str">
            <v/>
          </cell>
          <cell r="AM171">
            <v>0</v>
          </cell>
          <cell r="AP171" t="str">
            <v/>
          </cell>
          <cell r="AQ171" t="str">
            <v/>
          </cell>
          <cell r="AS171" t="str">
            <v/>
          </cell>
          <cell r="AT171" t="str">
            <v/>
          </cell>
          <cell r="AV171" t="str">
            <v/>
          </cell>
          <cell r="AW171" t="str">
            <v/>
          </cell>
          <cell r="AY171" t="str">
            <v/>
          </cell>
          <cell r="AZ171" t="str">
            <v/>
          </cell>
          <cell r="BB171" t="str">
            <v/>
          </cell>
          <cell r="BE171">
            <v>0.38541666666666669</v>
          </cell>
        </row>
        <row r="172">
          <cell r="B172" t="str">
            <v>S28E</v>
          </cell>
          <cell r="G172" t="str">
            <v/>
          </cell>
          <cell r="H172" t="str">
            <v/>
          </cell>
          <cell r="L172" t="str">
            <v/>
          </cell>
          <cell r="M172" t="str">
            <v/>
          </cell>
          <cell r="AA172" t="str">
            <v/>
          </cell>
          <cell r="AE172" t="str">
            <v/>
          </cell>
          <cell r="AF172" t="str">
            <v/>
          </cell>
          <cell r="AK172" t="str">
            <v/>
          </cell>
          <cell r="AM172">
            <v>0</v>
          </cell>
          <cell r="AP172" t="str">
            <v/>
          </cell>
          <cell r="AQ172" t="str">
            <v/>
          </cell>
          <cell r="AS172" t="str">
            <v/>
          </cell>
          <cell r="AT172" t="str">
            <v/>
          </cell>
          <cell r="AV172" t="str">
            <v/>
          </cell>
          <cell r="AW172" t="str">
            <v/>
          </cell>
          <cell r="AY172" t="str">
            <v/>
          </cell>
          <cell r="AZ172" t="str">
            <v/>
          </cell>
          <cell r="BB172" t="str">
            <v/>
          </cell>
          <cell r="BE172">
            <v>0.64583333333333337</v>
          </cell>
        </row>
        <row r="174">
          <cell r="B174" t="str">
            <v>S29A</v>
          </cell>
          <cell r="G174" t="str">
            <v>SPT : WCC HH</v>
          </cell>
          <cell r="H174" t="str">
            <v xml:space="preserve"> + </v>
          </cell>
          <cell r="I174">
            <v>0.01</v>
          </cell>
          <cell r="J174">
            <v>1</v>
          </cell>
          <cell r="L174" t="str">
            <v xml:space="preserve">L : Entry </v>
          </cell>
          <cell r="M174" t="str">
            <v xml:space="preserve"> + </v>
          </cell>
          <cell r="N174">
            <v>0.125</v>
          </cell>
          <cell r="O174">
            <v>0.2</v>
          </cell>
          <cell r="P174">
            <v>0.25</v>
          </cell>
          <cell r="Q174">
            <v>0.2</v>
          </cell>
          <cell r="R174">
            <v>0.5</v>
          </cell>
          <cell r="S174">
            <v>0.1</v>
          </cell>
          <cell r="T174">
            <v>0.75</v>
          </cell>
          <cell r="U174">
            <v>0.1</v>
          </cell>
          <cell r="V174">
            <v>1</v>
          </cell>
          <cell r="W174">
            <v>0.1</v>
          </cell>
          <cell r="X174" t="str">
            <v>TR PROFIT AFTER TGT 5</v>
          </cell>
          <cell r="Y174">
            <v>0.3</v>
          </cell>
          <cell r="AA174" t="str">
            <v>Max</v>
          </cell>
          <cell r="AE174" t="str">
            <v>L : Entry</v>
          </cell>
          <cell r="AF174" t="str">
            <v xml:space="preserve"> - </v>
          </cell>
          <cell r="AG174">
            <v>0.25</v>
          </cell>
          <cell r="AK174" t="str">
            <v>SPT : PRV M : 20 SMA</v>
          </cell>
          <cell r="AM174">
            <v>1</v>
          </cell>
          <cell r="AP174">
            <v>0.8</v>
          </cell>
          <cell r="AQ174" t="str">
            <v>SPT : PRV M : 20 SMA</v>
          </cell>
          <cell r="AS174">
            <v>0.60000000000000009</v>
          </cell>
          <cell r="AT174" t="str">
            <v>SPT : PRV M : 20 SMA</v>
          </cell>
          <cell r="AV174">
            <v>0.50000000000000011</v>
          </cell>
          <cell r="AW174" t="str">
            <v>SPT : PRV M : 20 SMA</v>
          </cell>
          <cell r="AY174">
            <v>0.40000000000000013</v>
          </cell>
          <cell r="AZ174" t="str">
            <v>SPT : PRV M : 10 SMA</v>
          </cell>
          <cell r="BB174">
            <v>0.30000000000000016</v>
          </cell>
          <cell r="BE174">
            <v>0.38888194444444446</v>
          </cell>
          <cell r="BF174">
            <v>0.38888194444444446</v>
          </cell>
          <cell r="BG174">
            <v>0.38541666666666669</v>
          </cell>
          <cell r="BK174">
            <v>0.01</v>
          </cell>
          <cell r="BL174">
            <v>0.01</v>
          </cell>
        </row>
        <row r="175">
          <cell r="B175" t="str">
            <v>S29B</v>
          </cell>
          <cell r="G175" t="str">
            <v/>
          </cell>
          <cell r="H175" t="str">
            <v/>
          </cell>
          <cell r="L175" t="str">
            <v/>
          </cell>
          <cell r="M175" t="str">
            <v/>
          </cell>
          <cell r="AA175" t="str">
            <v/>
          </cell>
          <cell r="AE175" t="str">
            <v/>
          </cell>
          <cell r="AF175" t="str">
            <v/>
          </cell>
          <cell r="AK175" t="str">
            <v/>
          </cell>
          <cell r="AM175" t="str">
            <v/>
          </cell>
          <cell r="AP175" t="str">
            <v/>
          </cell>
          <cell r="AQ175" t="str">
            <v/>
          </cell>
          <cell r="AS175" t="str">
            <v/>
          </cell>
          <cell r="AT175" t="str">
            <v/>
          </cell>
          <cell r="AV175" t="str">
            <v/>
          </cell>
          <cell r="AW175" t="str">
            <v/>
          </cell>
          <cell r="AY175" t="str">
            <v/>
          </cell>
          <cell r="AZ175" t="str">
            <v/>
          </cell>
          <cell r="BB175" t="str">
            <v/>
          </cell>
          <cell r="BE175">
            <v>0.39582638888888888</v>
          </cell>
          <cell r="BF175">
            <v>0.39582638888888888</v>
          </cell>
          <cell r="BG175" t="str">
            <v>N.A.</v>
          </cell>
        </row>
        <row r="176">
          <cell r="B176" t="str">
            <v>S29C</v>
          </cell>
        </row>
        <row r="177">
          <cell r="B177" t="str">
            <v>S29D</v>
          </cell>
          <cell r="G177" t="str">
            <v/>
          </cell>
          <cell r="H177" t="str">
            <v/>
          </cell>
          <cell r="L177" t="str">
            <v/>
          </cell>
          <cell r="M177" t="str">
            <v/>
          </cell>
          <cell r="AA177" t="str">
            <v/>
          </cell>
          <cell r="AE177" t="str">
            <v/>
          </cell>
          <cell r="AF177" t="str">
            <v/>
          </cell>
          <cell r="AK177" t="str">
            <v/>
          </cell>
          <cell r="AM177">
            <v>0</v>
          </cell>
          <cell r="AP177" t="str">
            <v/>
          </cell>
          <cell r="AQ177" t="str">
            <v/>
          </cell>
          <cell r="AS177" t="str">
            <v/>
          </cell>
          <cell r="AT177" t="str">
            <v/>
          </cell>
          <cell r="AV177" t="str">
            <v/>
          </cell>
          <cell r="AW177" t="str">
            <v/>
          </cell>
          <cell r="AY177" t="str">
            <v/>
          </cell>
          <cell r="AZ177" t="str">
            <v/>
          </cell>
          <cell r="BB177" t="str">
            <v/>
          </cell>
          <cell r="BE177">
            <v>0.38541666666666669</v>
          </cell>
        </row>
        <row r="178">
          <cell r="B178" t="str">
            <v>S29E</v>
          </cell>
          <cell r="G178" t="str">
            <v/>
          </cell>
          <cell r="H178" t="str">
            <v/>
          </cell>
          <cell r="L178" t="str">
            <v/>
          </cell>
          <cell r="M178" t="str">
            <v/>
          </cell>
          <cell r="AA178" t="str">
            <v/>
          </cell>
          <cell r="AE178" t="str">
            <v/>
          </cell>
          <cell r="AF178" t="str">
            <v/>
          </cell>
          <cell r="AK178" t="str">
            <v/>
          </cell>
          <cell r="AM178">
            <v>0</v>
          </cell>
          <cell r="AP178" t="str">
            <v/>
          </cell>
          <cell r="AQ178" t="str">
            <v/>
          </cell>
          <cell r="AS178" t="str">
            <v/>
          </cell>
          <cell r="AT178" t="str">
            <v/>
          </cell>
          <cell r="AV178" t="str">
            <v/>
          </cell>
          <cell r="AW178" t="str">
            <v/>
          </cell>
          <cell r="AY178" t="str">
            <v/>
          </cell>
          <cell r="AZ178" t="str">
            <v/>
          </cell>
          <cell r="BB178" t="str">
            <v/>
          </cell>
          <cell r="BE178">
            <v>0.64583333333333337</v>
          </cell>
        </row>
        <row r="180">
          <cell r="B180" t="str">
            <v>S30A</v>
          </cell>
          <cell r="G180" t="str">
            <v>SPT : MCC HH</v>
          </cell>
          <cell r="H180" t="str">
            <v xml:space="preserve"> + </v>
          </cell>
          <cell r="I180">
            <v>0.01</v>
          </cell>
          <cell r="J180">
            <v>1</v>
          </cell>
          <cell r="L180" t="str">
            <v xml:space="preserve">L : Entry </v>
          </cell>
          <cell r="M180" t="str">
            <v xml:space="preserve"> + </v>
          </cell>
          <cell r="N180">
            <v>0.125</v>
          </cell>
          <cell r="O180">
            <v>0.2</v>
          </cell>
          <cell r="P180">
            <v>0.25</v>
          </cell>
          <cell r="Q180">
            <v>0.2</v>
          </cell>
          <cell r="R180">
            <v>0.5</v>
          </cell>
          <cell r="S180">
            <v>0.1</v>
          </cell>
          <cell r="T180">
            <v>0.75</v>
          </cell>
          <cell r="U180">
            <v>0.1</v>
          </cell>
          <cell r="V180">
            <v>1</v>
          </cell>
          <cell r="W180">
            <v>0.1</v>
          </cell>
          <cell r="X180" t="str">
            <v>TR PROFIT AFTER TGT 5</v>
          </cell>
          <cell r="Y180">
            <v>0.3</v>
          </cell>
          <cell r="AA180" t="str">
            <v>Max</v>
          </cell>
          <cell r="AE180" t="str">
            <v>L : Entry</v>
          </cell>
          <cell r="AF180" t="str">
            <v xml:space="preserve"> - </v>
          </cell>
          <cell r="AG180">
            <v>0.25</v>
          </cell>
          <cell r="AK180" t="str">
            <v>SPT : PRV M : 20 SMA</v>
          </cell>
          <cell r="AM180">
            <v>1</v>
          </cell>
          <cell r="AP180">
            <v>0.8</v>
          </cell>
          <cell r="AQ180" t="str">
            <v>SPT : PRV M : 20 SMA</v>
          </cell>
          <cell r="AS180">
            <v>0.60000000000000009</v>
          </cell>
          <cell r="AT180" t="str">
            <v>SPT : PRV M : 20 SMA</v>
          </cell>
          <cell r="AV180">
            <v>0.50000000000000011</v>
          </cell>
          <cell r="AW180" t="str">
            <v>SPT : PRV M : 20 SMA</v>
          </cell>
          <cell r="AY180">
            <v>0.40000000000000013</v>
          </cell>
          <cell r="AZ180" t="str">
            <v>SPT : PRV M : 10 SMA</v>
          </cell>
          <cell r="BB180">
            <v>0.30000000000000016</v>
          </cell>
          <cell r="BE180">
            <v>0.38888194444444446</v>
          </cell>
          <cell r="BF180">
            <v>0.38888194444444446</v>
          </cell>
          <cell r="BG180">
            <v>0.38541666666666669</v>
          </cell>
          <cell r="BK180">
            <v>0.01</v>
          </cell>
          <cell r="BL180">
            <v>0.01</v>
          </cell>
        </row>
        <row r="181">
          <cell r="B181" t="str">
            <v>S30B</v>
          </cell>
          <cell r="G181" t="str">
            <v/>
          </cell>
          <cell r="H181" t="str">
            <v/>
          </cell>
          <cell r="L181" t="str">
            <v/>
          </cell>
          <cell r="M181" t="str">
            <v/>
          </cell>
          <cell r="AA181" t="str">
            <v/>
          </cell>
          <cell r="AE181" t="str">
            <v/>
          </cell>
          <cell r="AF181" t="str">
            <v/>
          </cell>
          <cell r="AK181" t="str">
            <v/>
          </cell>
          <cell r="AM181" t="str">
            <v/>
          </cell>
          <cell r="AP181" t="str">
            <v/>
          </cell>
          <cell r="AQ181" t="str">
            <v/>
          </cell>
          <cell r="AS181" t="str">
            <v/>
          </cell>
          <cell r="AT181" t="str">
            <v/>
          </cell>
          <cell r="AV181" t="str">
            <v/>
          </cell>
          <cell r="AW181" t="str">
            <v/>
          </cell>
          <cell r="AY181" t="str">
            <v/>
          </cell>
          <cell r="AZ181" t="str">
            <v/>
          </cell>
          <cell r="BB181" t="str">
            <v/>
          </cell>
          <cell r="BE181">
            <v>0.39582638888888888</v>
          </cell>
          <cell r="BF181">
            <v>0.39582638888888888</v>
          </cell>
          <cell r="BG181" t="str">
            <v>N.A.</v>
          </cell>
        </row>
        <row r="182">
          <cell r="B182" t="str">
            <v>S30C</v>
          </cell>
        </row>
        <row r="183">
          <cell r="B183" t="str">
            <v>S30D</v>
          </cell>
          <cell r="G183" t="str">
            <v/>
          </cell>
          <cell r="H183" t="str">
            <v/>
          </cell>
          <cell r="L183" t="str">
            <v/>
          </cell>
          <cell r="M183" t="str">
            <v/>
          </cell>
          <cell r="AA183" t="str">
            <v/>
          </cell>
          <cell r="AE183" t="str">
            <v/>
          </cell>
          <cell r="AF183" t="str">
            <v/>
          </cell>
          <cell r="AK183" t="str">
            <v/>
          </cell>
          <cell r="AM183">
            <v>0</v>
          </cell>
          <cell r="AP183" t="str">
            <v/>
          </cell>
          <cell r="AQ183" t="str">
            <v/>
          </cell>
          <cell r="AS183" t="str">
            <v/>
          </cell>
          <cell r="AT183" t="str">
            <v/>
          </cell>
          <cell r="AV183" t="str">
            <v/>
          </cell>
          <cell r="AW183" t="str">
            <v/>
          </cell>
          <cell r="AY183" t="str">
            <v/>
          </cell>
          <cell r="AZ183" t="str">
            <v/>
          </cell>
          <cell r="BB183" t="str">
            <v/>
          </cell>
          <cell r="BE183">
            <v>0.38541666666666669</v>
          </cell>
        </row>
        <row r="184">
          <cell r="B184" t="str">
            <v>S30E</v>
          </cell>
          <cell r="G184" t="str">
            <v/>
          </cell>
          <cell r="H184" t="str">
            <v/>
          </cell>
          <cell r="L184" t="str">
            <v/>
          </cell>
          <cell r="M184" t="str">
            <v/>
          </cell>
          <cell r="AA184" t="str">
            <v/>
          </cell>
          <cell r="AE184" t="str">
            <v/>
          </cell>
          <cell r="AF184" t="str">
            <v/>
          </cell>
          <cell r="AK184" t="str">
            <v/>
          </cell>
          <cell r="AM184">
            <v>0</v>
          </cell>
          <cell r="AP184" t="str">
            <v/>
          </cell>
          <cell r="AQ184" t="str">
            <v/>
          </cell>
          <cell r="AS184" t="str">
            <v/>
          </cell>
          <cell r="AT184" t="str">
            <v/>
          </cell>
          <cell r="AV184" t="str">
            <v/>
          </cell>
          <cell r="AW184" t="str">
            <v/>
          </cell>
          <cell r="AY184" t="str">
            <v/>
          </cell>
          <cell r="AZ184" t="str">
            <v/>
          </cell>
          <cell r="BB184" t="str">
            <v/>
          </cell>
          <cell r="BE184">
            <v>0.64583333333333337</v>
          </cell>
        </row>
      </sheetData>
      <sheetData sheetId="6">
        <row r="41">
          <cell r="A41" t="str">
            <v>Wishing You A Peace, Joy &amp; Prosperity !!</v>
          </cell>
          <cell r="H41" t="str">
            <v>ENTRY</v>
          </cell>
          <cell r="I41" t="str">
            <v>LOTS</v>
          </cell>
          <cell r="K41" t="str">
            <v>TGT 1</v>
          </cell>
          <cell r="L41" t="str">
            <v>LOTS</v>
          </cell>
          <cell r="N41" t="str">
            <v>TGT 2</v>
          </cell>
          <cell r="O41" t="str">
            <v>LOTS</v>
          </cell>
          <cell r="Q41" t="str">
            <v>TGT 3</v>
          </cell>
          <cell r="R41" t="str">
            <v>LOTS</v>
          </cell>
          <cell r="T41" t="str">
            <v>TGT 4</v>
          </cell>
          <cell r="U41" t="str">
            <v>LOTS</v>
          </cell>
          <cell r="W41" t="str">
            <v>TGT 5</v>
          </cell>
          <cell r="X41" t="str">
            <v>LOTS</v>
          </cell>
          <cell r="Z41" t="str">
            <v>TGT 6</v>
          </cell>
          <cell r="AA41" t="str">
            <v>LOTS</v>
          </cell>
        </row>
        <row r="42">
          <cell r="H42" t="str">
            <v>SL AFTER ENTRY</v>
          </cell>
          <cell r="K42" t="str">
            <v>TR PROFIT AFTER TGT 1</v>
          </cell>
          <cell r="N42" t="str">
            <v>TR PROFIT AFTER TGT 2</v>
          </cell>
          <cell r="Q42" t="str">
            <v>TR PROFIT AFTER TGT 3</v>
          </cell>
          <cell r="T42" t="str">
            <v>TR PROFIT AFTER TGT 4</v>
          </cell>
          <cell r="W42" t="str">
            <v>TR PROFIT AFTER TGT 5</v>
          </cell>
          <cell r="Z42" t="str">
            <v>TR PROFIT AFTER TGT 6</v>
          </cell>
        </row>
        <row r="44">
          <cell r="A44" t="str">
            <v>A</v>
          </cell>
          <cell r="B44" t="str">
            <v>Sr. No.</v>
          </cell>
          <cell r="D44" t="str">
            <v>ATH</v>
          </cell>
          <cell r="E44" t="str">
            <v>Check All Time High Price Till Previous Month</v>
          </cell>
          <cell r="F44" t="str">
            <v>BUY</v>
          </cell>
          <cell r="G44" t="str">
            <v>E &amp; T</v>
          </cell>
        </row>
        <row r="45">
          <cell r="A45" t="str">
            <v>A</v>
          </cell>
          <cell r="B45" t="str">
            <v>Strategy Code</v>
          </cell>
          <cell r="E45" t="str">
            <v>Candle should Close Above All Time High</v>
          </cell>
          <cell r="G45" t="str">
            <v>SL / TRP</v>
          </cell>
          <cell r="Z45" t="str">
            <v>N.A.</v>
          </cell>
        </row>
        <row r="46">
          <cell r="B46" t="str">
            <v>Unique Code</v>
          </cell>
        </row>
        <row r="48">
          <cell r="B48" t="str">
            <v>Segment</v>
          </cell>
          <cell r="E48" t="str">
            <v xml:space="preserve">ORPT </v>
          </cell>
          <cell r="F48" t="str">
            <v xml:space="preserve"> RC. Time</v>
          </cell>
          <cell r="G48" t="str">
            <v>Gap Check</v>
          </cell>
          <cell r="H48" t="str">
            <v>Process</v>
          </cell>
          <cell r="J48" t="str">
            <v>Y / N</v>
          </cell>
          <cell r="K48" t="str">
            <v>Order Status</v>
          </cell>
          <cell r="L48" t="str">
            <v>Step 1</v>
          </cell>
          <cell r="P48" t="str">
            <v>Order Placement Timings</v>
          </cell>
          <cell r="R48" t="str">
            <v>Time</v>
          </cell>
          <cell r="T48" t="str">
            <v>Rules For Gaps</v>
          </cell>
          <cell r="V48" t="str">
            <v>Data</v>
          </cell>
          <cell r="W48" t="str">
            <v>Buffer</v>
          </cell>
          <cell r="Z48" t="str">
            <v>Rules For Re Entry</v>
          </cell>
        </row>
        <row r="49">
          <cell r="A49" t="str">
            <v>A</v>
          </cell>
          <cell r="B49" t="str">
            <v>Symbol</v>
          </cell>
          <cell r="D49" t="str">
            <v>For Entry</v>
          </cell>
          <cell r="G49" t="str">
            <v>For Long Entry</v>
          </cell>
          <cell r="H49" t="str">
            <v xml:space="preserve">Check If  </v>
          </cell>
          <cell r="I49" t="str">
            <v xml:space="preserve"> HH &gt; Long Entry</v>
          </cell>
          <cell r="J49" t="str">
            <v>No</v>
          </cell>
          <cell r="K49" t="str">
            <v>Entry Not Missed</v>
          </cell>
          <cell r="L49" t="str">
            <v>Place the Order at ORPT</v>
          </cell>
          <cell r="P49" t="str">
            <v>ORPT Time</v>
          </cell>
          <cell r="T49" t="str">
            <v>N.A.</v>
          </cell>
          <cell r="V49" t="str">
            <v>N.A.</v>
          </cell>
          <cell r="W49" t="str">
            <v>N.A.</v>
          </cell>
          <cell r="Z49" t="str">
            <v>Check All Time High Price Till Previous Month &amp; Current Month</v>
          </cell>
        </row>
        <row r="50">
          <cell r="A50" t="str">
            <v>B</v>
          </cell>
          <cell r="B50" t="str">
            <v>No. of TGT</v>
          </cell>
          <cell r="D50" t="str">
            <v>For SL (Position = Open)</v>
          </cell>
          <cell r="J50" t="str">
            <v>Yes</v>
          </cell>
          <cell r="K50" t="str">
            <v>Entry Missed</v>
          </cell>
          <cell r="L50" t="str">
            <v>Recalcuate : Long Entry : Bull / Bull CF</v>
          </cell>
          <cell r="P50" t="str">
            <v>Wait Till Recalculation Time</v>
          </cell>
          <cell r="U50" t="str">
            <v xml:space="preserve"> HH</v>
          </cell>
          <cell r="Y50" t="str">
            <v>+</v>
          </cell>
        </row>
        <row r="51">
          <cell r="B51" t="str">
            <v>I Commit To Follow The Rules &amp; Process</v>
          </cell>
          <cell r="D51" t="str">
            <v>For TGT (Position = Open)</v>
          </cell>
          <cell r="G51" t="str">
            <v>For Long SL</v>
          </cell>
          <cell r="H51" t="str">
            <v xml:space="preserve">Check If </v>
          </cell>
          <cell r="I51" t="str">
            <v xml:space="preserve"> LL &lt; Long SL</v>
          </cell>
          <cell r="J51" t="str">
            <v>No</v>
          </cell>
          <cell r="K51" t="str">
            <v>FSL / TRP Not Missed</v>
          </cell>
          <cell r="L51" t="str">
            <v>Place the Order at ORPT</v>
          </cell>
          <cell r="P51" t="str">
            <v>ORPT Time</v>
          </cell>
          <cell r="U51" t="str">
            <v>N.A.</v>
          </cell>
          <cell r="V51" t="str">
            <v>N.A.</v>
          </cell>
          <cell r="W51" t="str">
            <v>N.A.</v>
          </cell>
          <cell r="Z51" t="str">
            <v xml:space="preserve">ENTRY : </v>
          </cell>
        </row>
        <row r="52">
          <cell r="J52" t="str">
            <v>Yes</v>
          </cell>
          <cell r="K52" t="str">
            <v>FSL / TRP Missed</v>
          </cell>
          <cell r="L52" t="str">
            <v>Recalcuate : Long FSL / TRP : Bull / Bull CF</v>
          </cell>
          <cell r="P52" t="str">
            <v>Wait Till Recalculation Time</v>
          </cell>
          <cell r="U52" t="str">
            <v xml:space="preserve"> LL</v>
          </cell>
          <cell r="Y52" t="str">
            <v>-</v>
          </cell>
        </row>
      </sheetData>
      <sheetData sheetId="7"/>
      <sheetData sheetId="8"/>
      <sheetData sheetId="9"/>
      <sheetData sheetId="10"/>
      <sheetData sheetId="11">
        <row r="8">
          <cell r="B8" t="str">
            <v>AARTIIND</v>
          </cell>
        </row>
        <row r="9">
          <cell r="B9" t="str">
            <v>ABB</v>
          </cell>
        </row>
        <row r="10">
          <cell r="B10" t="str">
            <v>ABBOTINDIA</v>
          </cell>
        </row>
        <row r="11">
          <cell r="B11" t="str">
            <v>ABCAPITAL</v>
          </cell>
        </row>
        <row r="12">
          <cell r="B12" t="str">
            <v>ABFRL</v>
          </cell>
        </row>
        <row r="13">
          <cell r="B13" t="str">
            <v>ACC</v>
          </cell>
        </row>
        <row r="14">
          <cell r="B14" t="str">
            <v>ADANIENT</v>
          </cell>
        </row>
        <row r="15">
          <cell r="B15" t="str">
            <v>ADANIPORTS</v>
          </cell>
        </row>
        <row r="16">
          <cell r="B16" t="str">
            <v>ALKEM</v>
          </cell>
        </row>
        <row r="17">
          <cell r="B17" t="str">
            <v>AMBUJACEM</v>
          </cell>
        </row>
        <row r="18">
          <cell r="B18" t="str">
            <v>APOLLOHOSP</v>
          </cell>
        </row>
        <row r="19">
          <cell r="B19" t="str">
            <v>APOLLOTYRE</v>
          </cell>
        </row>
        <row r="20">
          <cell r="B20" t="str">
            <v>ASHOKLEY</v>
          </cell>
        </row>
        <row r="21">
          <cell r="B21" t="str">
            <v>ASIANPAINT</v>
          </cell>
        </row>
        <row r="22">
          <cell r="B22" t="str">
            <v>ASTRAL</v>
          </cell>
        </row>
        <row r="23">
          <cell r="B23" t="str">
            <v>ATUL</v>
          </cell>
        </row>
        <row r="24">
          <cell r="B24" t="str">
            <v>AUBANK</v>
          </cell>
        </row>
        <row r="25">
          <cell r="B25" t="str">
            <v>AUROPHARMA</v>
          </cell>
        </row>
        <row r="26">
          <cell r="B26" t="str">
            <v>AXISBANK</v>
          </cell>
        </row>
        <row r="27">
          <cell r="B27" t="str">
            <v>BAJAJ-AUTO</v>
          </cell>
        </row>
        <row r="28">
          <cell r="B28" t="str">
            <v>BAJAJFINSV</v>
          </cell>
        </row>
        <row r="29">
          <cell r="B29" t="str">
            <v>BAJFINANCE</v>
          </cell>
        </row>
        <row r="30">
          <cell r="B30" t="str">
            <v>BALKRISIND</v>
          </cell>
        </row>
        <row r="31">
          <cell r="B31" t="str">
            <v>BALRAMCHIN</v>
          </cell>
        </row>
        <row r="32">
          <cell r="B32" t="str">
            <v>BANDHANBNK</v>
          </cell>
        </row>
        <row r="33">
          <cell r="B33" t="str">
            <v>BANKBARODA</v>
          </cell>
        </row>
        <row r="34">
          <cell r="B34" t="str">
            <v>BANKNIFTY</v>
          </cell>
        </row>
        <row r="35">
          <cell r="B35" t="str">
            <v>BATAINDIA</v>
          </cell>
        </row>
        <row r="36">
          <cell r="B36" t="str">
            <v>BEL</v>
          </cell>
        </row>
        <row r="37">
          <cell r="B37" t="str">
            <v>BERGEPAINT</v>
          </cell>
        </row>
        <row r="38">
          <cell r="B38" t="str">
            <v>BHARATFORG</v>
          </cell>
        </row>
        <row r="39">
          <cell r="B39" t="str">
            <v>BHARTIARTL</v>
          </cell>
        </row>
        <row r="40">
          <cell r="B40" t="str">
            <v>BHEL</v>
          </cell>
        </row>
        <row r="41">
          <cell r="B41" t="str">
            <v>BIOCON</v>
          </cell>
        </row>
        <row r="42">
          <cell r="B42" t="str">
            <v>BOSCHLTD</v>
          </cell>
        </row>
        <row r="43">
          <cell r="B43" t="str">
            <v>BPCL</v>
          </cell>
        </row>
        <row r="44">
          <cell r="B44" t="str">
            <v>BRITANNIA</v>
          </cell>
        </row>
        <row r="45">
          <cell r="B45" t="str">
            <v>BSOFT</v>
          </cell>
        </row>
        <row r="46">
          <cell r="B46" t="str">
            <v>CANBK</v>
          </cell>
        </row>
        <row r="47">
          <cell r="B47" t="str">
            <v>CANFINHOME</v>
          </cell>
        </row>
        <row r="48">
          <cell r="B48" t="str">
            <v>CHAMBLFERT</v>
          </cell>
        </row>
        <row r="49">
          <cell r="B49" t="str">
            <v>CHOLAFIN</v>
          </cell>
        </row>
        <row r="50">
          <cell r="B50" t="str">
            <v>CIPLA</v>
          </cell>
        </row>
        <row r="51">
          <cell r="B51" t="str">
            <v>COALINDIA</v>
          </cell>
        </row>
        <row r="52">
          <cell r="B52" t="str">
            <v>COFORGE</v>
          </cell>
        </row>
        <row r="53">
          <cell r="B53" t="str">
            <v>COLPAL</v>
          </cell>
        </row>
        <row r="54">
          <cell r="B54" t="str">
            <v>CONCOR</v>
          </cell>
        </row>
        <row r="55">
          <cell r="B55" t="str">
            <v>COROMANDEL</v>
          </cell>
        </row>
        <row r="56">
          <cell r="B56" t="str">
            <v>CROMPTON</v>
          </cell>
        </row>
        <row r="57">
          <cell r="B57" t="str">
            <v>CUB</v>
          </cell>
        </row>
        <row r="58">
          <cell r="B58" t="str">
            <v>CUMMINSIND</v>
          </cell>
        </row>
        <row r="59">
          <cell r="B59" t="str">
            <v>DABUR</v>
          </cell>
        </row>
        <row r="60">
          <cell r="B60" t="str">
            <v>DALBHARAT</v>
          </cell>
        </row>
        <row r="61">
          <cell r="B61" t="str">
            <v>DEEPAKNTR</v>
          </cell>
        </row>
        <row r="62">
          <cell r="B62" t="str">
            <v>DELTACORP</v>
          </cell>
        </row>
        <row r="63">
          <cell r="B63" t="str">
            <v>DIVISLAB</v>
          </cell>
        </row>
        <row r="64">
          <cell r="B64" t="str">
            <v>DIXON</v>
          </cell>
        </row>
        <row r="65">
          <cell r="B65" t="str">
            <v>DLF</v>
          </cell>
        </row>
        <row r="66">
          <cell r="B66" t="str">
            <v>DRREDDY</v>
          </cell>
        </row>
        <row r="67">
          <cell r="B67" t="str">
            <v>EICHERMOT</v>
          </cell>
        </row>
        <row r="68">
          <cell r="B68" t="str">
            <v>ESCORTS</v>
          </cell>
        </row>
        <row r="69">
          <cell r="B69" t="str">
            <v>EXIDEIND</v>
          </cell>
        </row>
        <row r="70">
          <cell r="B70" t="str">
            <v>FEDERALBNK</v>
          </cell>
        </row>
        <row r="71">
          <cell r="B71" t="str">
            <v>FINNIFTY</v>
          </cell>
        </row>
        <row r="72">
          <cell r="B72" t="str">
            <v>GAIL</v>
          </cell>
        </row>
        <row r="73">
          <cell r="B73" t="str">
            <v>GLENMARK</v>
          </cell>
        </row>
        <row r="74">
          <cell r="B74" t="str">
            <v>GMRINFRA</v>
          </cell>
        </row>
        <row r="75">
          <cell r="B75" t="str">
            <v>GNFC</v>
          </cell>
        </row>
        <row r="76">
          <cell r="B76" t="str">
            <v>GODREJCP</v>
          </cell>
        </row>
        <row r="77">
          <cell r="B77" t="str">
            <v>GODREJPROP</v>
          </cell>
        </row>
        <row r="78">
          <cell r="B78" t="str">
            <v>GRANULES</v>
          </cell>
        </row>
        <row r="79">
          <cell r="B79" t="str">
            <v>GRASIM</v>
          </cell>
        </row>
        <row r="80">
          <cell r="B80" t="str">
            <v>GUJGASLTD</v>
          </cell>
        </row>
        <row r="81">
          <cell r="B81" t="str">
            <v>HAL</v>
          </cell>
        </row>
        <row r="82">
          <cell r="B82" t="str">
            <v>HAVELLS</v>
          </cell>
        </row>
        <row r="83">
          <cell r="B83" t="str">
            <v>HCLTECH</v>
          </cell>
        </row>
        <row r="84">
          <cell r="B84" t="str">
            <v>HDFCAMC</v>
          </cell>
        </row>
        <row r="85">
          <cell r="B85" t="str">
            <v>HDFCBANK</v>
          </cell>
        </row>
        <row r="86">
          <cell r="B86" t="str">
            <v>HDFCLIFE</v>
          </cell>
        </row>
        <row r="87">
          <cell r="B87" t="str">
            <v>HEROMOTOCO</v>
          </cell>
        </row>
        <row r="88">
          <cell r="B88" t="str">
            <v>HINDALCO</v>
          </cell>
        </row>
        <row r="89">
          <cell r="B89" t="str">
            <v>HINDCOPPER</v>
          </cell>
        </row>
        <row r="90">
          <cell r="B90" t="str">
            <v>HINDPETRO</v>
          </cell>
        </row>
        <row r="91">
          <cell r="B91" t="str">
            <v>HINDUNILVR</v>
          </cell>
        </row>
        <row r="92">
          <cell r="B92" t="str">
            <v>IBULHSGFIN</v>
          </cell>
        </row>
        <row r="93">
          <cell r="B93" t="str">
            <v>ICICIBANK</v>
          </cell>
        </row>
        <row r="94">
          <cell r="B94" t="str">
            <v>ICICIGI</v>
          </cell>
        </row>
        <row r="95">
          <cell r="B95" t="str">
            <v>ICICIPRULI</v>
          </cell>
        </row>
        <row r="96">
          <cell r="B96" t="str">
            <v>IDEA</v>
          </cell>
        </row>
        <row r="97">
          <cell r="B97" t="str">
            <v>IDFC</v>
          </cell>
        </row>
        <row r="98">
          <cell r="B98" t="str">
            <v>IDFCFIRSTB</v>
          </cell>
        </row>
        <row r="99">
          <cell r="B99" t="str">
            <v>IEX</v>
          </cell>
        </row>
        <row r="100">
          <cell r="B100" t="str">
            <v>IGL</v>
          </cell>
        </row>
        <row r="101">
          <cell r="B101" t="str">
            <v>INDHOTEL</v>
          </cell>
        </row>
        <row r="102">
          <cell r="B102" t="str">
            <v>INDIACEM</v>
          </cell>
        </row>
        <row r="103">
          <cell r="B103" t="str">
            <v>INDIAMART</v>
          </cell>
        </row>
        <row r="104">
          <cell r="B104" t="str">
            <v>INDIGO</v>
          </cell>
        </row>
        <row r="105">
          <cell r="B105" t="str">
            <v>INDUSINDBK</v>
          </cell>
        </row>
        <row r="106">
          <cell r="B106" t="str">
            <v>INDUSTOWER</v>
          </cell>
        </row>
        <row r="107">
          <cell r="B107" t="str">
            <v>INFY</v>
          </cell>
        </row>
        <row r="108">
          <cell r="B108" t="str">
            <v>IOC</v>
          </cell>
        </row>
        <row r="109">
          <cell r="B109" t="str">
            <v>IPCALAB</v>
          </cell>
        </row>
        <row r="110">
          <cell r="B110" t="str">
            <v>IRCTC</v>
          </cell>
        </row>
        <row r="111">
          <cell r="B111" t="str">
            <v>ITC</v>
          </cell>
        </row>
        <row r="112">
          <cell r="B112" t="str">
            <v>JINDALSTEL</v>
          </cell>
        </row>
        <row r="113">
          <cell r="B113" t="str">
            <v>JKCEMENT</v>
          </cell>
        </row>
        <row r="114">
          <cell r="B114" t="str">
            <v>JSWSTEEL</v>
          </cell>
        </row>
        <row r="115">
          <cell r="B115" t="str">
            <v>JUBLFOOD</v>
          </cell>
        </row>
        <row r="116">
          <cell r="B116" t="str">
            <v>KOTAKBANK</v>
          </cell>
        </row>
        <row r="117">
          <cell r="B117" t="str">
            <v>L&amp;TFH</v>
          </cell>
        </row>
        <row r="118">
          <cell r="B118" t="str">
            <v>LALPATHLAB</v>
          </cell>
        </row>
        <row r="119">
          <cell r="B119" t="str">
            <v>LAURUSLABS</v>
          </cell>
        </row>
        <row r="120">
          <cell r="B120" t="str">
            <v>LICHSGFIN</v>
          </cell>
        </row>
        <row r="121">
          <cell r="B121" t="str">
            <v>LT</v>
          </cell>
        </row>
        <row r="122">
          <cell r="B122" t="str">
            <v>LTIM</v>
          </cell>
        </row>
        <row r="123">
          <cell r="B123" t="str">
            <v>LTTS</v>
          </cell>
        </row>
        <row r="124">
          <cell r="B124" t="str">
            <v>LUPIN</v>
          </cell>
        </row>
        <row r="125">
          <cell r="B125" t="str">
            <v>M&amp;M</v>
          </cell>
        </row>
        <row r="126">
          <cell r="B126" t="str">
            <v>M&amp;MFIN</v>
          </cell>
        </row>
        <row r="127">
          <cell r="B127" t="str">
            <v>MANAPPURAM</v>
          </cell>
        </row>
        <row r="128">
          <cell r="B128" t="str">
            <v>MARICO</v>
          </cell>
        </row>
        <row r="129">
          <cell r="B129" t="str">
            <v>MARUTI</v>
          </cell>
        </row>
        <row r="130">
          <cell r="B130" t="str">
            <v>MCDOWELL-N</v>
          </cell>
        </row>
        <row r="131">
          <cell r="B131" t="str">
            <v>MCX</v>
          </cell>
        </row>
        <row r="132">
          <cell r="B132" t="str">
            <v>METROPOLIS</v>
          </cell>
        </row>
        <row r="133">
          <cell r="B133" t="str">
            <v>MFSL</v>
          </cell>
        </row>
        <row r="134">
          <cell r="B134" t="str">
            <v>MGL</v>
          </cell>
        </row>
        <row r="135">
          <cell r="B135" t="str">
            <v>MIDCPNIFTY</v>
          </cell>
        </row>
        <row r="136">
          <cell r="B136" t="str">
            <v>MOTHERSON</v>
          </cell>
        </row>
        <row r="137">
          <cell r="B137" t="str">
            <v>MPHASIS</v>
          </cell>
        </row>
        <row r="138">
          <cell r="B138" t="str">
            <v>MRF</v>
          </cell>
        </row>
        <row r="139">
          <cell r="B139" t="str">
            <v>MUTHOOTFIN</v>
          </cell>
        </row>
        <row r="140">
          <cell r="B140" t="str">
            <v>NATIONALUM</v>
          </cell>
        </row>
        <row r="141">
          <cell r="B141" t="str">
            <v>NAUKRI</v>
          </cell>
        </row>
        <row r="142">
          <cell r="B142" t="str">
            <v>NAVINFLUOR</v>
          </cell>
        </row>
        <row r="143">
          <cell r="B143" t="str">
            <v>NESTLEIND</v>
          </cell>
        </row>
        <row r="144">
          <cell r="B144" t="str">
            <v>NIFTY</v>
          </cell>
        </row>
        <row r="145">
          <cell r="B145" t="str">
            <v>NMDC</v>
          </cell>
        </row>
        <row r="146">
          <cell r="B146" t="str">
            <v>NTPC</v>
          </cell>
        </row>
        <row r="147">
          <cell r="B147" t="str">
            <v>OBEROIRLTY</v>
          </cell>
        </row>
        <row r="148">
          <cell r="B148" t="str">
            <v>OFSS</v>
          </cell>
        </row>
        <row r="149">
          <cell r="B149" t="str">
            <v>ONGC</v>
          </cell>
        </row>
        <row r="150">
          <cell r="B150" t="str">
            <v>PAGEIND</v>
          </cell>
        </row>
        <row r="151">
          <cell r="B151" t="str">
            <v>PEL</v>
          </cell>
        </row>
        <row r="152">
          <cell r="B152" t="str">
            <v>PERSISTENT</v>
          </cell>
        </row>
        <row r="153">
          <cell r="B153" t="str">
            <v>PETRONET</v>
          </cell>
        </row>
        <row r="154">
          <cell r="B154" t="str">
            <v>PFC</v>
          </cell>
        </row>
        <row r="155">
          <cell r="B155" t="str">
            <v>PIDILITIND</v>
          </cell>
        </row>
        <row r="156">
          <cell r="B156" t="str">
            <v>PIIND</v>
          </cell>
        </row>
        <row r="157">
          <cell r="B157" t="str">
            <v>PNB</v>
          </cell>
        </row>
        <row r="158">
          <cell r="B158" t="str">
            <v>POLYCAB</v>
          </cell>
        </row>
        <row r="159">
          <cell r="B159" t="str">
            <v>POWERGRID</v>
          </cell>
        </row>
        <row r="160">
          <cell r="B160" t="str">
            <v>PVRINOX</v>
          </cell>
        </row>
        <row r="161">
          <cell r="B161" t="str">
            <v>RAMCOCEM</v>
          </cell>
        </row>
        <row r="162">
          <cell r="B162" t="str">
            <v>RBLBANK</v>
          </cell>
        </row>
        <row r="163">
          <cell r="B163" t="str">
            <v>RECLTD</v>
          </cell>
        </row>
        <row r="164">
          <cell r="B164" t="str">
            <v>RELIANCE</v>
          </cell>
        </row>
        <row r="165">
          <cell r="B165" t="str">
            <v>SAIL</v>
          </cell>
        </row>
        <row r="166">
          <cell r="B166" t="str">
            <v>SBICARD</v>
          </cell>
        </row>
        <row r="167">
          <cell r="B167" t="str">
            <v>SBILIFE</v>
          </cell>
        </row>
        <row r="168">
          <cell r="B168" t="str">
            <v>SBIN</v>
          </cell>
        </row>
        <row r="169">
          <cell r="B169" t="str">
            <v>SHREECEM</v>
          </cell>
        </row>
        <row r="170">
          <cell r="B170" t="str">
            <v>SHRIRAMFIN</v>
          </cell>
        </row>
        <row r="171">
          <cell r="B171" t="str">
            <v>SIEMENS</v>
          </cell>
        </row>
        <row r="172">
          <cell r="B172" t="str">
            <v>SRF</v>
          </cell>
        </row>
        <row r="173">
          <cell r="B173" t="str">
            <v>SUNPHARMA</v>
          </cell>
        </row>
        <row r="174">
          <cell r="B174" t="str">
            <v>SUNTV</v>
          </cell>
        </row>
        <row r="175">
          <cell r="B175" t="str">
            <v>SYNGENE</v>
          </cell>
        </row>
        <row r="176">
          <cell r="B176" t="str">
            <v>TATACHEM</v>
          </cell>
        </row>
        <row r="177">
          <cell r="B177" t="str">
            <v>TATACOMM</v>
          </cell>
        </row>
        <row r="178">
          <cell r="B178" t="str">
            <v>TATACONSUM</v>
          </cell>
        </row>
        <row r="179">
          <cell r="B179" t="str">
            <v>TATAMOTORS</v>
          </cell>
        </row>
        <row r="180">
          <cell r="B180" t="str">
            <v>TATAPOWER</v>
          </cell>
        </row>
        <row r="181">
          <cell r="B181" t="str">
            <v>TATASTEEL</v>
          </cell>
        </row>
        <row r="182">
          <cell r="B182" t="str">
            <v>TCS</v>
          </cell>
        </row>
        <row r="183">
          <cell r="B183" t="str">
            <v>TECHM</v>
          </cell>
        </row>
        <row r="184">
          <cell r="B184" t="str">
            <v>TITAN</v>
          </cell>
        </row>
        <row r="185">
          <cell r="B185" t="str">
            <v>TORNTPHARM</v>
          </cell>
        </row>
        <row r="186">
          <cell r="B186" t="str">
            <v>TRENT</v>
          </cell>
        </row>
        <row r="187">
          <cell r="B187" t="str">
            <v>TVSMOTOR</v>
          </cell>
        </row>
        <row r="188">
          <cell r="B188" t="str">
            <v>UBL</v>
          </cell>
        </row>
        <row r="189">
          <cell r="B189" t="str">
            <v>ULTRACEMCO</v>
          </cell>
        </row>
        <row r="190">
          <cell r="B190" t="str">
            <v>UPL</v>
          </cell>
        </row>
        <row r="191">
          <cell r="B191" t="str">
            <v>VEDL</v>
          </cell>
        </row>
        <row r="192">
          <cell r="B192" t="str">
            <v>VOLTAS</v>
          </cell>
        </row>
        <row r="193">
          <cell r="B193" t="str">
            <v>WIPRO</v>
          </cell>
        </row>
        <row r="194">
          <cell r="B194" t="str">
            <v>ZEEL</v>
          </cell>
        </row>
        <row r="195">
          <cell r="B195" t="str">
            <v>ZYDUSLIFE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 AB5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0DB88-D101-44D8-BF74-294D7FB8019B}">
  <sheetPr>
    <outlinePr summaryBelow="0" summaryRight="0"/>
    <pageSetUpPr fitToPage="1"/>
  </sheetPr>
  <dimension ref="A1:AC451"/>
  <sheetViews>
    <sheetView showGridLines="0" tabSelected="1" topLeftCell="B1" workbookViewId="0">
      <pane ySplit="2" topLeftCell="A10" activePane="bottomLeft" state="frozen"/>
      <selection pane="bottomLeft" sqref="A1:XFD1048576"/>
    </sheetView>
  </sheetViews>
  <sheetFormatPr defaultColWidth="12.7109375" defaultRowHeight="15" customHeight="1" x14ac:dyDescent="0.2"/>
  <cols>
    <col min="1" max="1" width="5.28515625" hidden="1" customWidth="1"/>
    <col min="2" max="2" width="9.7109375" customWidth="1"/>
    <col min="3" max="3" width="17.140625" customWidth="1"/>
    <col min="4" max="4" width="13.28515625" customWidth="1"/>
    <col min="5" max="5" width="15.140625" customWidth="1"/>
    <col min="6" max="6" width="12.140625" customWidth="1"/>
    <col min="7" max="7" width="7.7109375" customWidth="1"/>
    <col min="8" max="9" width="12" customWidth="1"/>
    <col min="10" max="11" width="5.42578125" customWidth="1"/>
    <col min="12" max="12" width="19.7109375" customWidth="1"/>
    <col min="13" max="14" width="5.42578125" customWidth="1"/>
    <col min="15" max="15" width="22.7109375" customWidth="1"/>
    <col min="16" max="17" width="5.42578125" customWidth="1"/>
    <col min="18" max="18" width="19.7109375" customWidth="1"/>
    <col min="19" max="20" width="5.42578125" customWidth="1"/>
    <col min="21" max="21" width="19.7109375" customWidth="1"/>
    <col min="22" max="23" width="5.42578125" customWidth="1"/>
    <col min="24" max="24" width="19.7109375" customWidth="1"/>
    <col min="25" max="26" width="5.42578125" customWidth="1"/>
    <col min="27" max="27" width="19.28515625" customWidth="1"/>
    <col min="28" max="28" width="3.28515625" customWidth="1"/>
    <col min="29" max="29" width="5.28515625" customWidth="1"/>
  </cols>
  <sheetData>
    <row r="1" spans="1:29" ht="27.75" customHeight="1" thickTop="1" x14ac:dyDescent="0.2">
      <c r="A1" s="1"/>
      <c r="B1" s="2" t="str">
        <f>IF([1]AB5!$A$41="","",[1]AB5!$A$41)</f>
        <v>Wishing You A Peace, Joy &amp; Prosperity !!</v>
      </c>
      <c r="C1" s="3"/>
      <c r="D1" s="3"/>
      <c r="E1" s="3"/>
      <c r="F1" s="3"/>
      <c r="G1" s="4"/>
      <c r="H1" s="5" t="str">
        <f>IF([1]AB5!$H$41="","",[1]AB5!$H$41)</f>
        <v>ENTRY</v>
      </c>
      <c r="I1" s="6"/>
      <c r="J1" s="7" t="str">
        <f>IF([1]AB5!$I$41="","",[1]AB5!$I$41)</f>
        <v>LOTS</v>
      </c>
      <c r="K1" s="8"/>
      <c r="L1" s="9" t="str">
        <f>IF([1]AB5!$K$41="","",[1]AB5!$K$41)</f>
        <v>TGT 1</v>
      </c>
      <c r="M1" s="7" t="str">
        <f>IF([1]AB5!$L$41="","",[1]AB5!$L$41)</f>
        <v>LOTS</v>
      </c>
      <c r="N1" s="8"/>
      <c r="O1" s="10" t="str">
        <f>IF([1]AB5!$N$41="","",[1]AB5!$N$41)</f>
        <v>TGT 2</v>
      </c>
      <c r="P1" s="7" t="str">
        <f>IF([1]AB5!$O$41="","",[1]AB5!$O$41)</f>
        <v>LOTS</v>
      </c>
      <c r="Q1" s="8"/>
      <c r="R1" s="11" t="str">
        <f>IF([1]AB5!$Q$41="","",[1]AB5!$Q$41)</f>
        <v>TGT 3</v>
      </c>
      <c r="S1" s="7" t="str">
        <f>IF([1]AB5!$R$41="","",[1]AB5!$R$41)</f>
        <v>LOTS</v>
      </c>
      <c r="T1" s="8"/>
      <c r="U1" s="9" t="str">
        <f>IF([1]AB5!$T$41="","",[1]AB5!$T$41)</f>
        <v>TGT 4</v>
      </c>
      <c r="V1" s="7" t="str">
        <f>IF([1]AB5!$U$41="","",[1]AB5!$U$41)</f>
        <v>LOTS</v>
      </c>
      <c r="W1" s="8"/>
      <c r="X1" s="10" t="str">
        <f>IF([1]AB5!$W$41="","",[1]AB5!$W$41)</f>
        <v>TGT 5</v>
      </c>
      <c r="Y1" s="7" t="str">
        <f>IF([1]AB5!$X$41="","",[1]AB5!$X$41)</f>
        <v>LOTS</v>
      </c>
      <c r="Z1" s="8"/>
      <c r="AA1" s="11" t="str">
        <f>IF([1]AB5!$Z$41="","",[1]AB5!$Z$41)</f>
        <v>TGT 6</v>
      </c>
      <c r="AB1" s="7" t="str">
        <f>IF([1]AB5!$AA$41="","",[1]AB5!$AA$41)</f>
        <v>LOTS</v>
      </c>
      <c r="AC1" s="8"/>
    </row>
    <row r="2" spans="1:29" ht="27.75" customHeight="1" thickBot="1" x14ac:dyDescent="0.25">
      <c r="A2" s="12"/>
      <c r="B2" s="13"/>
      <c r="C2" s="14"/>
      <c r="D2" s="14"/>
      <c r="E2" s="14"/>
      <c r="F2" s="14"/>
      <c r="G2" s="15"/>
      <c r="H2" s="5" t="str">
        <f>IF([1]AB5!$H$42="","",[1]AB5!$H$42)</f>
        <v>SL AFTER ENTRY</v>
      </c>
      <c r="I2" s="6"/>
      <c r="J2" s="16"/>
      <c r="K2" s="17"/>
      <c r="L2" s="9" t="str">
        <f>IF([1]AB5!$K$42="","",[1]AB5!$K$42)</f>
        <v>TR PROFIT AFTER TGT 1</v>
      </c>
      <c r="M2" s="16"/>
      <c r="N2" s="17"/>
      <c r="O2" s="10" t="str">
        <f>IF([1]AB5!$N$42="","",[1]AB5!$N$42)</f>
        <v>TR PROFIT AFTER TGT 2</v>
      </c>
      <c r="P2" s="16"/>
      <c r="Q2" s="17"/>
      <c r="R2" s="11" t="str">
        <f>IF([1]AB5!$Q$42="","",[1]AB5!$Q$42)</f>
        <v>TR PROFIT AFTER TGT 3</v>
      </c>
      <c r="S2" s="16"/>
      <c r="T2" s="17"/>
      <c r="U2" s="9" t="str">
        <f>IF([1]AB5!$T$42="","",[1]AB5!$T$42)</f>
        <v>TR PROFIT AFTER TGT 4</v>
      </c>
      <c r="V2" s="16"/>
      <c r="W2" s="17"/>
      <c r="X2" s="10" t="str">
        <f>IF([1]AB5!$W$42="","",[1]AB5!$W$42)</f>
        <v>TR PROFIT AFTER TGT 5</v>
      </c>
      <c r="Y2" s="16"/>
      <c r="Z2" s="17"/>
      <c r="AA2" s="11" t="str">
        <f>IF([1]AB5!$Z$42="","",[1]AB5!$Z$42)</f>
        <v>TR PROFIT AFTER TGT 6</v>
      </c>
      <c r="AB2" s="16"/>
      <c r="AC2" s="17"/>
    </row>
    <row r="3" spans="1:29" ht="12.75" customHeight="1" thickTop="1" thickBot="1" x14ac:dyDescent="0.25">
      <c r="A3" s="18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</row>
    <row r="4" spans="1:29" ht="63.75" customHeight="1" x14ac:dyDescent="0.2">
      <c r="A4" s="18" t="str">
        <f>IF(C4="","",CONCATENATE(C5,[1]AB5!$A$44))</f>
        <v>S28A</v>
      </c>
      <c r="B4" s="20" t="str">
        <f>IF(C4="","",IF([1]AB5!$B$44="","",[1]AB5!$B$44))</f>
        <v>Sr. No.</v>
      </c>
      <c r="C4" s="21">
        <v>28</v>
      </c>
      <c r="D4" s="20" t="str">
        <f>IF(C4="","",[1]AB5!$D$44)</f>
        <v>ATH</v>
      </c>
      <c r="E4" s="22" t="str">
        <f>IF(C4="","",[1]AB5!$E$44)</f>
        <v>Check All Time High Price Till Previous Month</v>
      </c>
      <c r="F4" s="23" t="str">
        <f>IF(C4="","",[1]AB5!$F$44)</f>
        <v>BUY</v>
      </c>
      <c r="G4" s="24" t="str">
        <f>IF(C4="","",[1]AB5!$G$44)</f>
        <v>E &amp; T</v>
      </c>
      <c r="H4" s="25" t="str">
        <f t="array" ref="H4">IF(C4="","",CONCATENATE(INDEX([1]AB4!G:G,MATCH(A4,[1]AB4!B:B,0)),INDEX([1]AB4!H:H,MATCH(A4,[1]AB4!B:B,0)),TEXT(INDEX([1]AB4!I:I,MATCH(A4,[1]AB4!B:B,0)),"0.00%")))</f>
        <v>SPT : DCC HH + 1.00%</v>
      </c>
      <c r="I4" s="26"/>
      <c r="J4" s="27">
        <f t="array" ref="J4">IF(C4="","",INDEX([1]AB4!J:J,MATCH(A4,[1]AB4!B:B,0)))</f>
        <v>1</v>
      </c>
      <c r="K4" s="26"/>
      <c r="L4" s="28" t="str">
        <f t="array" ref="L4">IF(C4="","",CONCATENATE(INDEX([1]AB4!L:L,MATCH(A4,[1]AB4!B:B,0)),INDEX([1]AB4!M:M,MATCH(A4,[1]AB4!B:B,0)),TEXT(INDEX([1]AB4!N:N,MATCH(A4,[1]AB4!B:B,0)),"0.00%")))</f>
        <v>L : Entry  + 12.50%</v>
      </c>
      <c r="M4" s="27">
        <f t="array" ref="M4">IF(C4="","",INDEX([1]AB4!O:O,MATCH(A4,[1]AB4!B:B,0)))</f>
        <v>0.2</v>
      </c>
      <c r="N4" s="26"/>
      <c r="O4" s="28" t="str">
        <f t="array" ref="O4">IF(C4="","",CONCATENATE(INDEX([1]AB4!L:L,MATCH(A4,[1]AB4!B:B,0)),INDEX([1]AB4!M:M,MATCH(A4,[1]AB4!B:B,0)),TEXT(INDEX([1]AB4!P:P,MATCH(A4,[1]AB4!B:B,0)),"0.00%")))</f>
        <v>L : Entry  + 25.00%</v>
      </c>
      <c r="P4" s="27">
        <f t="array" ref="P4">IF(C4="","",INDEX([1]AB4!Q:Q,MATCH(A4,[1]AB4!B:B,0)))</f>
        <v>0.2</v>
      </c>
      <c r="Q4" s="26"/>
      <c r="R4" s="28" t="str">
        <f t="array" ref="R4">IF(C4="","",CONCATENATE(INDEX([1]AB4!L:L,MATCH(A4,[1]AB4!B:B,0)),INDEX([1]AB4!M:M,MATCH(A4,[1]AB4!B:B,0)),TEXT(INDEX([1]AB4!R:R,MATCH(A4,[1]AB4!B:B,0)),"0.00%")))</f>
        <v>L : Entry  + 50.00%</v>
      </c>
      <c r="S4" s="27">
        <f t="array" ref="S4">IF(C4="","",INDEX([1]AB4!S:S,MATCH(A4,[1]AB4!B:B,0)))</f>
        <v>0.1</v>
      </c>
      <c r="T4" s="26"/>
      <c r="U4" s="28" t="str">
        <f t="array" ref="U4">IF(C4="","",CONCATENATE(INDEX([1]AB4!L:L,MATCH(A4,[1]AB4!B:B,0)),INDEX([1]AB4!M:M,MATCH(A4,[1]AB4!B:B,0)),TEXT(INDEX([1]AB4!T:T,MATCH(A4,[1]AB4!B:B,0)),"0.00%")))</f>
        <v>L : Entry  + 75.00%</v>
      </c>
      <c r="V4" s="27">
        <f t="array" ref="V4">IF(C4="","",INDEX([1]AB4!U:U,MATCH(A4,[1]AB4!B:B,0)))</f>
        <v>0.1</v>
      </c>
      <c r="W4" s="26"/>
      <c r="X4" s="28" t="str">
        <f t="array" ref="X4">IF(C4="","",CONCATENATE(INDEX([1]AB4!L:L,MATCH(A4,[1]AB4!B:B,0)),INDEX([1]AB4!M:M,MATCH(A4,[1]AB4!B:B,0)),TEXT(INDEX([1]AB4!V:V,MATCH(A4,[1]AB4!B:B,0)),"0.00%")))</f>
        <v>L : Entry  + 100.00%</v>
      </c>
      <c r="Y4" s="27">
        <f t="array" ref="Y4">IF(C4="","",INDEX([1]AB4!W:W,MATCH(A4,[1]AB4!B:B,0)))</f>
        <v>0.1</v>
      </c>
      <c r="Z4" s="26"/>
      <c r="AA4" s="28" t="str">
        <f t="array" ref="AA4">IF(C4="","",INDEX([1]AB4!X:X,MATCH(A4,[1]AB4!B:B,0)))</f>
        <v>TR PROFIT AFTER TGT 5</v>
      </c>
      <c r="AB4" s="27">
        <f t="array" ref="AB4">IF(C4="","",INDEX([1]AB4!Y:Y,MATCH(A4,[1]AB4!B:B,0)))</f>
        <v>0.3</v>
      </c>
      <c r="AC4" s="29"/>
    </row>
    <row r="5" spans="1:29" ht="25.5" customHeight="1" x14ac:dyDescent="0.2">
      <c r="A5" s="18" t="str">
        <f>IF(C4="","",CONCATENATE(C5,[1]AB5!$A$45))</f>
        <v>S28A</v>
      </c>
      <c r="B5" s="30" t="str">
        <f>IF(C4="","",IF([1]AB5!$B$45="","",[1]AB5!$B$45))</f>
        <v>Strategy Code</v>
      </c>
      <c r="C5" s="31" t="str">
        <f t="array" ref="C5">IF(C4="","",INDEX([1]AB2!B:B,MATCH(C4,[1]AB2!A:A,0)))</f>
        <v>S28</v>
      </c>
      <c r="D5" s="32" t="str">
        <f>IF(C4="","",C9)</f>
        <v>STOCKS</v>
      </c>
      <c r="E5" s="33" t="b">
        <f>IF(C4="","",IF(D5="DCC",CONCATENATE("Daily ",[1]AB5!$E$45),IF(D5="WCC",CONCATENATE("Weekly ",[1]AB5!$E$45),IF(D5="MCC",CONCATENATE("Monthly ",[1]AB5!$E$45)))))</f>
        <v>0</v>
      </c>
      <c r="F5" s="34"/>
      <c r="G5" s="35" t="str">
        <f>IF(C4="","",[1]AB5!$G$45)</f>
        <v>SL / TRP</v>
      </c>
      <c r="H5" s="36" t="str">
        <f t="array" ref="H5">IF(C4="","",CONCATENATE(INDEX([1]AB4!AA:AA,MATCH(A4,[1]AB4!B:B,0))," ( ",INDEX([1]AB4!AE:AE,MATCH(A4,[1]AB4!B:B,0)),INDEX([1]AB4!AF:AF,MATCH(A4,[1]AB4!B:B,0)),TEXT(INDEX([1]AB4!AG:AG,MATCH(A4,[1]AB4!B:B,0)),"0.00%")," &amp; ",INDEX([1]AB4!AK:AK,MATCH(A4,[1]AB4!B:B,0))," )"))</f>
        <v>Max ( L : Entry - 25.00% &amp; SPT : PRV M : 20 SMA )</v>
      </c>
      <c r="I5" s="37"/>
      <c r="J5" s="38">
        <f t="array" ref="J5">IF(C4="","",INDEX([1]AB4!AM:AM,MATCH(A5,[1]AB4!B:B,0)))</f>
        <v>1</v>
      </c>
      <c r="K5" s="37"/>
      <c r="L5" s="36" t="str">
        <f t="array" ref="L5">IF(C4="","",CONCATENATE(INDEX([1]AB4!AA:AA,MATCH(A4,[1]AB4!B:B,0))," ( ",INDEX([1]AB4!AE:AE,MATCH(A4,[1]AB4!B:B,0)),INDEX([1]AB4!AF:AF,MATCH(A4,[1]AB4!B:B,0)),TEXT(INDEX([1]AB4!AG:AG,MATCH(A4,[1]AB4!B:B,0)),"0.00%")," &amp; ",INDEX([1]AB4!AK:AK,MATCH(A4,[1]AB4!B:B,0))," )"))</f>
        <v>Max ( L : Entry - 25.00% &amp; SPT : PRV M : 20 SMA )</v>
      </c>
      <c r="M5" s="38">
        <f t="array" ref="M5">IF(C4="","",INDEX([1]AB4!AP:AP,MATCH(A5,[1]AB4!B:B,0)))</f>
        <v>0.8</v>
      </c>
      <c r="N5" s="37"/>
      <c r="O5" s="36" t="str">
        <f t="array" ref="O5">IF(C4="","",CONCATENATE(INDEX([1]AB4!AA:AA,MATCH(A4,[1]AB4!B:B,0))," ( ",INDEX([1]AB4!AE:AE,MATCH(A4,[1]AB4!B:B,0)),INDEX([1]AB4!AF:AF,MATCH(A4,[1]AB4!B:B,0)),TEXT(INDEX([1]AB4!AG:AG,MATCH(A4,[1]AB4!B:B,0)),"0.00%")," &amp; ",INDEX([1]AB4!AQ:AQ,MATCH(A4,[1]AB4!B:B,0))," )"))</f>
        <v>Max ( L : Entry - 25.00% &amp; SPT : PRV M : 20 SMA )</v>
      </c>
      <c r="P5" s="38">
        <f t="array" ref="P5">IF(C4="","",INDEX([1]AB4!AS:AS,MATCH(A5,[1]AB4!B:B,0)))</f>
        <v>0.60000000000000009</v>
      </c>
      <c r="Q5" s="37"/>
      <c r="R5" s="36" t="str">
        <f t="array" ref="R5">IF(C4="","",CONCATENATE(INDEX([1]AB4!AA:AA,MATCH(A4,[1]AB4!B:B,0))," ( ",INDEX([1]AB4!AE:AE,MATCH(A4,[1]AB4!B:B,0)),INDEX([1]AB4!AF:AF,MATCH(A4,[1]AB4!B:B,0)),TEXT(INDEX([1]AB4!AG:AG,MATCH(A4,[1]AB4!B:B,0)),"0.00%")," &amp; ",INDEX([1]AB4!AT:AT,MATCH(A4,[1]AB4!B:B,0))," )"))</f>
        <v>Max ( L : Entry - 25.00% &amp; SPT : PRV M : 20 SMA )</v>
      </c>
      <c r="S5" s="38">
        <f t="array" ref="S5">IF(C4="","",INDEX([1]AB4!AV:AV,MATCH(A5,[1]AB4!B:B,0)))</f>
        <v>0.50000000000000011</v>
      </c>
      <c r="T5" s="37"/>
      <c r="U5" s="36" t="str">
        <f t="array" ref="U5">IF(C4="","",CONCATENATE(INDEX([1]AB4!AA:AA,MATCH(A4,[1]AB4!B:B,0))," ( ",INDEX([1]AB4!AE:AE,MATCH(A4,[1]AB4!B:B,0)),INDEX([1]AB4!AF:AF,MATCH(A4,[1]AB4!B:B,0)),TEXT(INDEX([1]AB4!AG:AG,MATCH(A4,[1]AB4!B:B,0)),"0.00%")," &amp; ",INDEX([1]AB4!AW:AW,MATCH(A4,[1]AB4!B:B,0))," )"))</f>
        <v>Max ( L : Entry - 25.00% &amp; SPT : PRV M : 20 SMA )</v>
      </c>
      <c r="V5" s="38">
        <f t="array" ref="V5">IF(C4="","",INDEX([1]AB4!AY:AY,MATCH(A5,[1]AB4!B:B,0)))</f>
        <v>0.40000000000000013</v>
      </c>
      <c r="W5" s="37"/>
      <c r="X5" s="36" t="str">
        <f t="array" ref="X5">IF(C4="","",CONCATENATE(INDEX([1]AB4!AA:AA,MATCH(A4,[1]AB4!B:B,0))," ( ",INDEX([1]AB4!AE:AE,MATCH(A4,[1]AB4!B:B,0))," &amp; ",INDEX([1]AB4!AZ:AZ,MATCH(A4,[1]AB4!B:B,0))," )"))</f>
        <v>Max ( L : Entry &amp; SPT : PRV M : 10 SMA )</v>
      </c>
      <c r="Y5" s="38">
        <f t="array" ref="Y5">IF(C4="","",INDEX([1]AB4!BB:BB,MATCH(A5,[1]AB4!B:B,0)))</f>
        <v>0.30000000000000016</v>
      </c>
      <c r="Z5" s="37"/>
      <c r="AA5" s="39" t="str">
        <f>IF(C4="","",[1]AB5!$Z$45)</f>
        <v>N.A.</v>
      </c>
      <c r="AB5" s="38" t="str">
        <f>IF(C4="","",[1]AB5!$Z$45)</f>
        <v>N.A.</v>
      </c>
      <c r="AC5" s="40"/>
    </row>
    <row r="6" spans="1:29" ht="57" customHeight="1" thickBot="1" x14ac:dyDescent="0.25">
      <c r="A6" s="18" t="str">
        <f>IF(C4="","",CONCATENATE(C5,[1]AB5!A46))</f>
        <v>S28</v>
      </c>
      <c r="B6" s="32" t="str">
        <f>IF(C4="","",IF([1]AB5!$B$46="","",[1]AB5!$B$46))</f>
        <v>Unique Code</v>
      </c>
      <c r="C6" s="33" t="str">
        <f t="array" ref="C6">IF(C4="","",INDEX([1]AB2!N:N,MATCH(C4,[1]AB2!A:A,0)))</f>
        <v>STOCKS_EQ_DCC</v>
      </c>
      <c r="D6" s="41"/>
      <c r="E6" s="42"/>
      <c r="F6" s="43"/>
      <c r="G6" s="44"/>
      <c r="H6" s="44"/>
      <c r="I6" s="45"/>
      <c r="J6" s="44"/>
      <c r="K6" s="45"/>
      <c r="L6" s="44"/>
      <c r="M6" s="44"/>
      <c r="N6" s="45"/>
      <c r="O6" s="44"/>
      <c r="P6" s="44"/>
      <c r="Q6" s="45"/>
      <c r="R6" s="44"/>
      <c r="S6" s="44"/>
      <c r="T6" s="45"/>
      <c r="U6" s="44"/>
      <c r="V6" s="44"/>
      <c r="W6" s="45"/>
      <c r="X6" s="44"/>
      <c r="Y6" s="44"/>
      <c r="Z6" s="45"/>
      <c r="AA6" s="44"/>
      <c r="AB6" s="44"/>
      <c r="AC6" s="46"/>
    </row>
    <row r="7" spans="1:29" ht="9.75" customHeight="1" thickBot="1" x14ac:dyDescent="0.25">
      <c r="A7" s="18"/>
      <c r="B7" s="47"/>
      <c r="C7" s="48"/>
      <c r="D7" s="49"/>
      <c r="E7" s="50"/>
      <c r="F7" s="50"/>
      <c r="G7" s="51"/>
      <c r="H7" s="51"/>
      <c r="I7" s="51"/>
      <c r="J7" s="51"/>
      <c r="K7" s="51"/>
      <c r="L7" s="51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0"/>
      <c r="AC7" s="50"/>
    </row>
    <row r="8" spans="1:29" ht="27.75" customHeight="1" x14ac:dyDescent="0.2">
      <c r="A8" s="18"/>
      <c r="B8" s="30" t="str">
        <f>IF(C4="","",IF([1]AB5!$B$48="","",[1]AB5!$B$48))</f>
        <v>Segment</v>
      </c>
      <c r="C8" s="31" t="str">
        <f t="array" ref="C8">IF(C4="","",INDEX([1]AB2!C:C,MATCH(C4,[1]AB2!A:A,0)))</f>
        <v>EQUITY</v>
      </c>
      <c r="D8" s="20"/>
      <c r="E8" s="52" t="str">
        <f>IF(C4="","",[1]AB5!$E$48)</f>
        <v xml:space="preserve">ORPT </v>
      </c>
      <c r="F8" s="53" t="str">
        <f>IF(C4="","",[1]AB5!$F$48)</f>
        <v xml:space="preserve"> RC. Time</v>
      </c>
      <c r="G8" s="54" t="str">
        <f>IF(C4="","",[1]AB5!$G$48)</f>
        <v>Gap Check</v>
      </c>
      <c r="H8" s="55" t="str">
        <f>IF(C4="","",[1]AB5!$H$48)</f>
        <v>Process</v>
      </c>
      <c r="I8" s="56"/>
      <c r="J8" s="57" t="str">
        <f>IF(C4="","",[1]AB5!$J$48)</f>
        <v>Y / N</v>
      </c>
      <c r="K8" s="58"/>
      <c r="L8" s="59" t="str">
        <f>IF(C4="","",[1]AB5!$K$48)</f>
        <v>Order Status</v>
      </c>
      <c r="M8" s="60" t="str">
        <f>IF(C4="","",[1]AB5!$L$48)</f>
        <v>Step 1</v>
      </c>
      <c r="N8" s="56"/>
      <c r="O8" s="56"/>
      <c r="P8" s="58"/>
      <c r="Q8" s="57" t="str">
        <f>IF(C4="","",[1]AB5!$P$48)</f>
        <v>Order Placement Timings</v>
      </c>
      <c r="R8" s="58"/>
      <c r="S8" s="57" t="str">
        <f>IF(C4="","",[1]AB5!$R$48)</f>
        <v>Time</v>
      </c>
      <c r="T8" s="58"/>
      <c r="U8" s="60" t="str">
        <f>IF(C4="","",[1]AB5!$T$48)</f>
        <v>Rules For Gaps</v>
      </c>
      <c r="V8" s="56"/>
      <c r="W8" s="58"/>
      <c r="X8" s="59" t="str">
        <f>IF(C4="","",[1]AB5!$V$48)</f>
        <v>Data</v>
      </c>
      <c r="Y8" s="57" t="str">
        <f>IF(C4="","",[1]AB5!$W$48)</f>
        <v>Buffer</v>
      </c>
      <c r="Z8" s="61"/>
      <c r="AA8" s="62" t="str">
        <f>IF(C4="","",[1]AB5!$Z$48)</f>
        <v>Rules For Re Entry</v>
      </c>
      <c r="AB8" s="56"/>
      <c r="AC8" s="61"/>
    </row>
    <row r="9" spans="1:29" ht="83.25" customHeight="1" x14ac:dyDescent="0.2">
      <c r="A9" s="18" t="str">
        <f>IF(C4="","",CONCATENATE(C5,[1]AB5!$A$49))</f>
        <v>S28A</v>
      </c>
      <c r="B9" s="30" t="str">
        <f>IF(C4="","",IF([1]AB5!$B$49="","",[1]AB5!$B$49))</f>
        <v>Symbol</v>
      </c>
      <c r="C9" s="31" t="str">
        <f t="array" ref="C9">IF(C4="","",INDEX([1]AB2!E:E,MATCH(C4,[1]AB2!A:A,0)))</f>
        <v>STOCKS</v>
      </c>
      <c r="D9" s="30" t="str">
        <f>IF(C4="","",[1]AB5!$D$49)</f>
        <v>For Entry</v>
      </c>
      <c r="E9" s="63">
        <f t="array" ref="E9">IF(C4="","",INDEX([1]AB4!BE:BE,MATCH(A9,[1]AB4!B:B,0)))</f>
        <v>0.38888194444444446</v>
      </c>
      <c r="F9" s="64">
        <f t="array" ref="F9">IF(C4="","",INDEX([1]AB4!BE:BE,MATCH(A10,[1]AB4!B:B,0)))</f>
        <v>0.39582638888888888</v>
      </c>
      <c r="G9" s="65" t="str">
        <f>IF(C4="","",[1]AB5!$G$49)</f>
        <v>For Long Entry</v>
      </c>
      <c r="H9" s="66" t="str">
        <f>IF(C4="","",CONCATENATE([1]AB5!$H$49,TEXT(E9,"HH:MM:SS AM/PM"),[1]AB5!$E$49,[1]AB5!$I$49))</f>
        <v>Check If  09:19:59 AM HH &gt; Long Entry</v>
      </c>
      <c r="I9" s="37"/>
      <c r="J9" s="67" t="str">
        <f>IF(C4="","",[1]AB5!$J$49)</f>
        <v>No</v>
      </c>
      <c r="K9" s="68"/>
      <c r="L9" s="69" t="str">
        <f>IF(C4="","",[1]AB5!$K$49)</f>
        <v>Entry Not Missed</v>
      </c>
      <c r="M9" s="70" t="str">
        <f>IF(C4="","",[1]AB5!$L$49)</f>
        <v>Place the Order at ORPT</v>
      </c>
      <c r="N9" s="71"/>
      <c r="O9" s="71"/>
      <c r="P9" s="68"/>
      <c r="Q9" s="69" t="str">
        <f>IF(C4="","",[1]AB5!$P$49)</f>
        <v>ORPT Time</v>
      </c>
      <c r="R9" s="69"/>
      <c r="S9" s="72">
        <f>IF(C4="","",E9)</f>
        <v>0.38888194444444446</v>
      </c>
      <c r="T9" s="68"/>
      <c r="U9" s="70" t="str">
        <f>IF(C4="","",[1]AB5!$T$49)</f>
        <v>N.A.</v>
      </c>
      <c r="V9" s="71"/>
      <c r="W9" s="68"/>
      <c r="X9" s="69" t="str">
        <f>IF(C4="","",[1]AB5!$V$49)</f>
        <v>N.A.</v>
      </c>
      <c r="Y9" s="73" t="str">
        <f>IF(C4="","",[1]AB5!$W$49)</f>
        <v>N.A.</v>
      </c>
      <c r="Z9" s="74"/>
      <c r="AA9" s="75" t="str">
        <f>IF(C4="","",[1]AB5!$Z$49)</f>
        <v>Check All Time High Price Till Previous Month &amp; Current Month</v>
      </c>
      <c r="AB9" s="71"/>
      <c r="AC9" s="74"/>
    </row>
    <row r="10" spans="1:29" ht="73.5" customHeight="1" x14ac:dyDescent="0.2">
      <c r="A10" s="18" t="str">
        <f>IF(C4="","",CONCATENATE(C5,[1]AB5!$A$50))</f>
        <v>S28B</v>
      </c>
      <c r="B10" s="30" t="str">
        <f>IF(C4="","",IF([1]AB5!$B$50="","",[1]AB5!$B$50))</f>
        <v>No. of TGT</v>
      </c>
      <c r="C10" s="31" t="str">
        <f t="array" ref="C10">IF(C4="","",INDEX([1]AB2!K:K,MATCH(C4,[1]AB2!A:A,0)))</f>
        <v>5 &amp; APS</v>
      </c>
      <c r="D10" s="30" t="str">
        <f>IF(C4="","",[1]AB5!$D$50)</f>
        <v>For SL (Position = Open)</v>
      </c>
      <c r="E10" s="63">
        <f t="array" ref="E10">IF(C4="","",INDEX([1]AB4!BF:BF,MATCH(A9,[1]AB4!B:B,0)))</f>
        <v>0.38888194444444446</v>
      </c>
      <c r="F10" s="64">
        <f t="array" ref="F10">IF(C4="","",INDEX([1]AB4!BF:BF,MATCH(A10,[1]AB4!B:B,0)))</f>
        <v>0.39582638888888888</v>
      </c>
      <c r="G10" s="34"/>
      <c r="H10" s="76"/>
      <c r="I10" s="77"/>
      <c r="J10" s="67" t="str">
        <f>IF(C4="","",[1]AB5!$J$50)</f>
        <v>Yes</v>
      </c>
      <c r="K10" s="68"/>
      <c r="L10" s="78" t="str">
        <f>IF(C4="","",[1]AB5!$K$50)</f>
        <v>Entry Missed</v>
      </c>
      <c r="M10" s="70" t="str">
        <f>IF(C4="","",[1]AB5!$L$50)</f>
        <v>Recalcuate : Long Entry : Bull / Bull CF</v>
      </c>
      <c r="N10" s="71"/>
      <c r="O10" s="71"/>
      <c r="P10" s="68"/>
      <c r="Q10" s="70" t="str">
        <f>IF(C4="","",[1]AB5!$P$50)</f>
        <v>Wait Till Recalculation Time</v>
      </c>
      <c r="R10" s="68"/>
      <c r="S10" s="79">
        <f>IF(C4="","",F9)</f>
        <v>0.39582638888888888</v>
      </c>
      <c r="T10" s="68"/>
      <c r="U10" s="80" t="str">
        <f>IF(C4="","",CONCATENATE(X10," ",[1]AB5!$Y$50," ",TEXT(Y10,"0.00%")))</f>
        <v>09:29:59 AM HH + 1.00%</v>
      </c>
      <c r="V10" s="71"/>
      <c r="W10" s="68"/>
      <c r="X10" s="81" t="str">
        <f>IF(C4="","",CONCATENATE(TEXT(S10,"HH:MM:SS AM/PM"),[1]AB5!$U$50))</f>
        <v>09:29:59 AM HH</v>
      </c>
      <c r="Y10" s="70" t="str">
        <f t="array" ref="Y10">IF(A4="","",TEXT(INDEX([1]AB4!BK:BK,MATCH(A9,[1]AB4!B:B,0)),"0.00%"))</f>
        <v>1.00%</v>
      </c>
      <c r="Z10" s="74"/>
      <c r="AA10" s="75" t="b">
        <f>IF(C4="","",E5)</f>
        <v>0</v>
      </c>
      <c r="AB10" s="71"/>
      <c r="AC10" s="74"/>
    </row>
    <row r="11" spans="1:29" ht="73.5" customHeight="1" x14ac:dyDescent="0.2">
      <c r="A11" s="18"/>
      <c r="B11" s="82" t="str">
        <f>IF(C4="","",IF([1]AB5!$B$51="","",[1]AB5!$B$51))</f>
        <v>I Commit To Follow The Rules &amp; Process</v>
      </c>
      <c r="C11" s="40"/>
      <c r="D11" s="32" t="str">
        <f>IF(C4="","",[1]AB5!$D$51)</f>
        <v>For TGT (Position = Open)</v>
      </c>
      <c r="E11" s="83">
        <f t="array" ref="E11">IF(C4="","",INDEX([1]AB4!BG:BG,MATCH(A9,[1]AB4!B:B,0)))</f>
        <v>0.38541666666666669</v>
      </c>
      <c r="F11" s="84" t="str">
        <f t="array" ref="F11">IF(C4="","",INDEX([1]AB4!BG:BG,MATCH(A10,[1]AB4!B:B,0)))</f>
        <v>N.A.</v>
      </c>
      <c r="G11" s="85" t="str">
        <f>IF(C4="","",[1]AB5!$G$51)</f>
        <v>For Long SL</v>
      </c>
      <c r="H11" s="86" t="str">
        <f>IF(C4="","",CONCATENATE([1]AB5!$H$51,TEXT(E10,"HH:MM:SS AM/PM"),[1]AB5!$E$50,[1]AB5!$I$51))</f>
        <v>Check If 09:19:59 AM LL &lt; Long SL</v>
      </c>
      <c r="I11" s="37"/>
      <c r="J11" s="87" t="str">
        <f>IF(C4="","",[1]AB5!$J$51)</f>
        <v>No</v>
      </c>
      <c r="K11" s="68"/>
      <c r="L11" s="88" t="str">
        <f>IF(C4="","",[1]AB5!$K$51)</f>
        <v>FSL / TRP Not Missed</v>
      </c>
      <c r="M11" s="89" t="str">
        <f>IF(C4="","",[1]AB5!$L$51)</f>
        <v>Place the Order at ORPT</v>
      </c>
      <c r="N11" s="71"/>
      <c r="O11" s="71"/>
      <c r="P11" s="68"/>
      <c r="Q11" s="89" t="str">
        <f>IF(C4="","",[1]AB5!$P$51)</f>
        <v>ORPT Time</v>
      </c>
      <c r="R11" s="68"/>
      <c r="S11" s="90">
        <f>IF(C4="","",E10)</f>
        <v>0.38888194444444446</v>
      </c>
      <c r="T11" s="68"/>
      <c r="U11" s="89" t="str">
        <f>IF(C4="","",[1]AB5!$U$51)</f>
        <v>N.A.</v>
      </c>
      <c r="V11" s="71"/>
      <c r="W11" s="68"/>
      <c r="X11" s="88" t="str">
        <f>IF(C4="","",[1]AB5!$V$51)</f>
        <v>N.A.</v>
      </c>
      <c r="Y11" s="91" t="str">
        <f>IF(C4="","",[1]AB5!$W$51)</f>
        <v>N.A.</v>
      </c>
      <c r="Z11" s="74"/>
      <c r="AA11" s="92" t="str">
        <f>IF(C4="","",CONCATENATE([1]AB5!$Z$51,H4))</f>
        <v>ENTRY : SPT : DCC HH + 1.00%</v>
      </c>
      <c r="AB11" s="37"/>
      <c r="AC11" s="40"/>
    </row>
    <row r="12" spans="1:29" ht="73.5" customHeight="1" thickBot="1" x14ac:dyDescent="0.25">
      <c r="A12" s="18"/>
      <c r="B12" s="43"/>
      <c r="C12" s="46"/>
      <c r="D12" s="41"/>
      <c r="E12" s="93"/>
      <c r="F12" s="42"/>
      <c r="G12" s="43"/>
      <c r="H12" s="44"/>
      <c r="I12" s="45"/>
      <c r="J12" s="94" t="str">
        <f>IF(C4="","",[1]AB5!$J$52)</f>
        <v>Yes</v>
      </c>
      <c r="K12" s="95"/>
      <c r="L12" s="96" t="str">
        <f>IF(C4="","",[1]AB5!$K$52)</f>
        <v>FSL / TRP Missed</v>
      </c>
      <c r="M12" s="97" t="str">
        <f>IF(C4="","",[1]AB5!$L$52)</f>
        <v>Recalcuate : Long FSL / TRP : Bull / Bull CF</v>
      </c>
      <c r="N12" s="98"/>
      <c r="O12" s="98"/>
      <c r="P12" s="95"/>
      <c r="Q12" s="97" t="str">
        <f>IF(C4="","",[1]AB5!$P$52)</f>
        <v>Wait Till Recalculation Time</v>
      </c>
      <c r="R12" s="95"/>
      <c r="S12" s="99">
        <f>IF(C4="","",F10)</f>
        <v>0.39582638888888888</v>
      </c>
      <c r="T12" s="95"/>
      <c r="U12" s="97" t="str">
        <f>IF(C4="","",CONCATENATE(X12," ",[1]AB5!$Y$52," ",TEXT(Y12,"0.00%")))</f>
        <v>09:29:59 AM LL - 1.00%</v>
      </c>
      <c r="V12" s="98"/>
      <c r="W12" s="95"/>
      <c r="X12" s="100" t="str">
        <f>IF(C4="","",CONCATENATE(TEXT(S12,"HH:MM:SS AM/PM"),[1]AB5!$U$52))</f>
        <v>09:29:59 AM LL</v>
      </c>
      <c r="Y12" s="101" t="str">
        <f t="array" ref="Y12">IF(C4="","",TEXT(INDEX([1]AB4!BL:BL,MATCH(A9,[1]AB4!B:B,0)),"0.00%"))</f>
        <v>1.00%</v>
      </c>
      <c r="Z12" s="102"/>
      <c r="AA12" s="43"/>
      <c r="AB12" s="45"/>
      <c r="AC12" s="46"/>
    </row>
    <row r="13" spans="1:29" ht="15.75" customHeight="1" thickBot="1" x14ac:dyDescent="0.25">
      <c r="A13" s="18"/>
      <c r="B13" s="50"/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103"/>
      <c r="AB13" s="103"/>
      <c r="AC13" s="103"/>
    </row>
    <row r="14" spans="1:29" ht="63.75" customHeight="1" x14ac:dyDescent="0.2">
      <c r="A14" s="18" t="str">
        <f>IF(C14="","",CONCATENATE(C15,[1]AB5!$A$44))</f>
        <v>S29A</v>
      </c>
      <c r="B14" s="20" t="str">
        <f>IF(C14="","",IF([1]AB5!$B$44="","",[1]AB5!$B$44))</f>
        <v>Sr. No.</v>
      </c>
      <c r="C14" s="21">
        <v>29</v>
      </c>
      <c r="D14" s="20" t="str">
        <f>IF(C14="","",[1]AB5!$D$44)</f>
        <v>ATH</v>
      </c>
      <c r="E14" s="22" t="str">
        <f>IF(C14="","",[1]AB5!$E$44)</f>
        <v>Check All Time High Price Till Previous Month</v>
      </c>
      <c r="F14" s="23" t="str">
        <f>IF(C14="","",[1]AB5!$F$44)</f>
        <v>BUY</v>
      </c>
      <c r="G14" s="24" t="str">
        <f>IF(C14="","",[1]AB5!$G$44)</f>
        <v>E &amp; T</v>
      </c>
      <c r="H14" s="25" t="str">
        <f t="array" ref="H14">IF(C14="","",CONCATENATE(INDEX([1]AB4!G:G,MATCH(A14,[1]AB4!B:B,0)),INDEX([1]AB4!H:H,MATCH(A14,[1]AB4!B:B,0)),TEXT(INDEX([1]AB4!I:I,MATCH(A14,[1]AB4!B:B,0)),"0.00%")))</f>
        <v>SPT : WCC HH + 1.00%</v>
      </c>
      <c r="I14" s="26"/>
      <c r="J14" s="27">
        <f t="array" ref="J14">IF(C14="","",INDEX([1]AB4!J:J,MATCH(A14,[1]AB4!B:B,0)))</f>
        <v>1</v>
      </c>
      <c r="K14" s="26"/>
      <c r="L14" s="28" t="str">
        <f t="array" ref="L14">IF(C14="","",CONCATENATE(INDEX([1]AB4!L:L,MATCH(A14,[1]AB4!B:B,0)),INDEX([1]AB4!M:M,MATCH(A14,[1]AB4!B:B,0)),TEXT(INDEX([1]AB4!N:N,MATCH(A14,[1]AB4!B:B,0)),"0.00%")))</f>
        <v>L : Entry  + 12.50%</v>
      </c>
      <c r="M14" s="27">
        <f t="array" ref="M14">IF(C14="","",INDEX([1]AB4!O:O,MATCH(A14,[1]AB4!B:B,0)))</f>
        <v>0.2</v>
      </c>
      <c r="N14" s="26"/>
      <c r="O14" s="28" t="str">
        <f t="array" ref="O14">IF(C14="","",CONCATENATE(INDEX([1]AB4!L:L,MATCH(A14,[1]AB4!B:B,0)),INDEX([1]AB4!M:M,MATCH(A14,[1]AB4!B:B,0)),TEXT(INDEX([1]AB4!P:P,MATCH(A14,[1]AB4!B:B,0)),"0.00%")))</f>
        <v>L : Entry  + 25.00%</v>
      </c>
      <c r="P14" s="27">
        <f t="array" ref="P14">IF(C14="","",INDEX([1]AB4!Q:Q,MATCH(A14,[1]AB4!B:B,0)))</f>
        <v>0.2</v>
      </c>
      <c r="Q14" s="26"/>
      <c r="R14" s="28" t="str">
        <f t="array" ref="R14">IF(C14="","",CONCATENATE(INDEX([1]AB4!L:L,MATCH(A14,[1]AB4!B:B,0)),INDEX([1]AB4!M:M,MATCH(A14,[1]AB4!B:B,0)),TEXT(INDEX([1]AB4!R:R,MATCH(A14,[1]AB4!B:B,0)),"0.00%")))</f>
        <v>L : Entry  + 50.00%</v>
      </c>
      <c r="S14" s="27">
        <f t="array" ref="S14">IF(C14="","",INDEX([1]AB4!S:S,MATCH(A14,[1]AB4!B:B,0)))</f>
        <v>0.1</v>
      </c>
      <c r="T14" s="26"/>
      <c r="U14" s="28" t="str">
        <f t="array" ref="U14">IF(C14="","",CONCATENATE(INDEX([1]AB4!L:L,MATCH(A14,[1]AB4!B:B,0)),INDEX([1]AB4!M:M,MATCH(A14,[1]AB4!B:B,0)),TEXT(INDEX([1]AB4!T:T,MATCH(A14,[1]AB4!B:B,0)),"0.00%")))</f>
        <v>L : Entry  + 75.00%</v>
      </c>
      <c r="V14" s="27">
        <f t="array" ref="V14">IF(C14="","",INDEX([1]AB4!U:U,MATCH(A14,[1]AB4!B:B,0)))</f>
        <v>0.1</v>
      </c>
      <c r="W14" s="26"/>
      <c r="X14" s="28" t="str">
        <f t="array" ref="X14">IF(C14="","",CONCATENATE(INDEX([1]AB4!L:L,MATCH(A14,[1]AB4!B:B,0)),INDEX([1]AB4!M:M,MATCH(A14,[1]AB4!B:B,0)),TEXT(INDEX([1]AB4!V:V,MATCH(A14,[1]AB4!B:B,0)),"0.00%")))</f>
        <v>L : Entry  + 100.00%</v>
      </c>
      <c r="Y14" s="27">
        <f t="array" ref="Y14">IF(C14="","",INDEX([1]AB4!W:W,MATCH(A14,[1]AB4!B:B,0)))</f>
        <v>0.1</v>
      </c>
      <c r="Z14" s="26"/>
      <c r="AA14" s="28" t="str">
        <f t="array" ref="AA14">IF(C14="","",INDEX([1]AB4!X:X,MATCH(A14,[1]AB4!B:B,0)))</f>
        <v>TR PROFIT AFTER TGT 5</v>
      </c>
      <c r="AB14" s="27">
        <f t="array" ref="AB14">IF(C14="","",INDEX([1]AB4!Y:Y,MATCH(A14,[1]AB4!B:B,0)))</f>
        <v>0.3</v>
      </c>
      <c r="AC14" s="29"/>
    </row>
    <row r="15" spans="1:29" ht="25.5" customHeight="1" x14ac:dyDescent="0.2">
      <c r="A15" s="18" t="str">
        <f>IF(C14="","",CONCATENATE(C15,[1]AB5!$A$45))</f>
        <v>S29A</v>
      </c>
      <c r="B15" s="30" t="str">
        <f>IF(C14="","",IF([1]AB5!$B$45="","",[1]AB5!$B$45))</f>
        <v>Strategy Code</v>
      </c>
      <c r="C15" s="31" t="str">
        <f t="array" ref="C15">IF(C14="","",INDEX([1]AB2!B:B,MATCH(C14,[1]AB2!A:A,0)))</f>
        <v>S29</v>
      </c>
      <c r="D15" s="32" t="str">
        <f>IF(C14="","",C19)</f>
        <v>STOCKS</v>
      </c>
      <c r="E15" s="33" t="b">
        <f>IF(C14="","",IF(D15="DCC",CONCATENATE("Daily ",[1]AB5!$E$45),IF(D15="WCC",CONCATENATE("Weekly ",[1]AB5!$E$45),IF(D15="MCC",CONCATENATE("Monthly ",[1]AB5!$E$45)))))</f>
        <v>0</v>
      </c>
      <c r="F15" s="34"/>
      <c r="G15" s="35" t="str">
        <f>IF(C14="","",[1]AB5!$G$45)</f>
        <v>SL / TRP</v>
      </c>
      <c r="H15" s="36" t="str">
        <f t="array" ref="H15">IF(C14="","",CONCATENATE(INDEX([1]AB4!AA:AA,MATCH(A14,[1]AB4!B:B,0))," ( ",INDEX([1]AB4!AE:AE,MATCH(A14,[1]AB4!B:B,0)),INDEX([1]AB4!AF:AF,MATCH(A14,[1]AB4!B:B,0)),TEXT(INDEX([1]AB4!AG:AG,MATCH(A14,[1]AB4!B:B,0)),"0.00%")," &amp; ",INDEX([1]AB4!AK:AK,MATCH(A14,[1]AB4!B:B,0))," )"))</f>
        <v>Max ( L : Entry - 25.00% &amp; SPT : PRV M : 20 SMA )</v>
      </c>
      <c r="I15" s="37"/>
      <c r="J15" s="38">
        <f t="array" ref="J15">IF(C14="","",INDEX([1]AB4!AM:AM,MATCH(A15,[1]AB4!B:B,0)))</f>
        <v>1</v>
      </c>
      <c r="K15" s="37"/>
      <c r="L15" s="36" t="str">
        <f t="array" ref="L15">IF(C14="","",CONCATENATE(INDEX([1]AB4!AA:AA,MATCH(A14,[1]AB4!B:B,0))," ( ",INDEX([1]AB4!AE:AE,MATCH(A14,[1]AB4!B:B,0)),INDEX([1]AB4!AF:AF,MATCH(A14,[1]AB4!B:B,0)),TEXT(INDEX([1]AB4!AG:AG,MATCH(A14,[1]AB4!B:B,0)),"0.00%")," &amp; ",INDEX([1]AB4!AK:AK,MATCH(A14,[1]AB4!B:B,0))," )"))</f>
        <v>Max ( L : Entry - 25.00% &amp; SPT : PRV M : 20 SMA )</v>
      </c>
      <c r="M15" s="38">
        <f t="array" ref="M15">IF(C14="","",INDEX([1]AB4!AP:AP,MATCH(A15,[1]AB4!B:B,0)))</f>
        <v>0.8</v>
      </c>
      <c r="N15" s="37"/>
      <c r="O15" s="36" t="str">
        <f t="array" ref="O15">IF(C14="","",CONCATENATE(INDEX([1]AB4!AA:AA,MATCH(A14,[1]AB4!B:B,0))," ( ",INDEX([1]AB4!AE:AE,MATCH(A14,[1]AB4!B:B,0)),INDEX([1]AB4!AF:AF,MATCH(A14,[1]AB4!B:B,0)),TEXT(INDEX([1]AB4!AG:AG,MATCH(A14,[1]AB4!B:B,0)),"0.00%")," &amp; ",INDEX([1]AB4!AQ:AQ,MATCH(A14,[1]AB4!B:B,0))," )"))</f>
        <v>Max ( L : Entry - 25.00% &amp; SPT : PRV M : 20 SMA )</v>
      </c>
      <c r="P15" s="38">
        <f t="array" ref="P15">IF(C14="","",INDEX([1]AB4!AS:AS,MATCH(A15,[1]AB4!B:B,0)))</f>
        <v>0.60000000000000009</v>
      </c>
      <c r="Q15" s="37"/>
      <c r="R15" s="36" t="str">
        <f t="array" ref="R15">IF(C14="","",CONCATENATE(INDEX([1]AB4!AA:AA,MATCH(A14,[1]AB4!B:B,0))," ( ",INDEX([1]AB4!AE:AE,MATCH(A14,[1]AB4!B:B,0)),INDEX([1]AB4!AF:AF,MATCH(A14,[1]AB4!B:B,0)),TEXT(INDEX([1]AB4!AG:AG,MATCH(A14,[1]AB4!B:B,0)),"0.00%")," &amp; ",INDEX([1]AB4!AT:AT,MATCH(A14,[1]AB4!B:B,0))," )"))</f>
        <v>Max ( L : Entry - 25.00% &amp; SPT : PRV M : 20 SMA )</v>
      </c>
      <c r="S15" s="38">
        <f t="array" ref="S15">IF(C14="","",INDEX([1]AB4!AV:AV,MATCH(A15,[1]AB4!B:B,0)))</f>
        <v>0.50000000000000011</v>
      </c>
      <c r="T15" s="37"/>
      <c r="U15" s="36" t="str">
        <f t="array" ref="U15">IF(C14="","",CONCATENATE(INDEX([1]AB4!AA:AA,MATCH(A14,[1]AB4!B:B,0))," ( ",INDEX([1]AB4!AE:AE,MATCH(A14,[1]AB4!B:B,0)),INDEX([1]AB4!AF:AF,MATCH(A14,[1]AB4!B:B,0)),TEXT(INDEX([1]AB4!AG:AG,MATCH(A14,[1]AB4!B:B,0)),"0.00%")," &amp; ",INDEX([1]AB4!AW:AW,MATCH(A14,[1]AB4!B:B,0))," )"))</f>
        <v>Max ( L : Entry - 25.00% &amp; SPT : PRV M : 20 SMA )</v>
      </c>
      <c r="V15" s="38">
        <f t="array" ref="V15">IF(C14="","",INDEX([1]AB4!AY:AY,MATCH(A15,[1]AB4!B:B,0)))</f>
        <v>0.40000000000000013</v>
      </c>
      <c r="W15" s="37"/>
      <c r="X15" s="36" t="str">
        <f t="array" ref="X15">IF(C14="","",CONCATENATE(INDEX([1]AB4!AA:AA,MATCH(A14,[1]AB4!B:B,0))," ( ",INDEX([1]AB4!AE:AE,MATCH(A14,[1]AB4!B:B,0))," &amp; ",INDEX([1]AB4!AZ:AZ,MATCH(A14,[1]AB4!B:B,0))," )"))</f>
        <v>Max ( L : Entry &amp; SPT : PRV M : 10 SMA )</v>
      </c>
      <c r="Y15" s="38">
        <f t="array" ref="Y15">IF(C14="","",INDEX([1]AB4!BB:BB,MATCH(A15,[1]AB4!B:B,0)))</f>
        <v>0.30000000000000016</v>
      </c>
      <c r="Z15" s="37"/>
      <c r="AA15" s="39" t="str">
        <f>IF(C14="","",[1]AB5!$Z$45)</f>
        <v>N.A.</v>
      </c>
      <c r="AB15" s="38" t="str">
        <f>IF(C14="","",[1]AB5!$Z$45)</f>
        <v>N.A.</v>
      </c>
      <c r="AC15" s="40"/>
    </row>
    <row r="16" spans="1:29" ht="57" customHeight="1" thickBot="1" x14ac:dyDescent="0.25">
      <c r="A16" s="18" t="e">
        <f>IF(C14="","",CONCATENATE(C15,'[2]EQ AB5'!A16))</f>
        <v>#REF!</v>
      </c>
      <c r="B16" s="32" t="str">
        <f>IF(C14="","",IF([1]AB5!$B$46="","",[1]AB5!$B$46))</f>
        <v>Unique Code</v>
      </c>
      <c r="C16" s="33" t="str">
        <f t="array" ref="C16">IF(C14="","",INDEX([1]AB2!N:N,MATCH(C14,[1]AB2!A:A,0)))</f>
        <v>STOCKS_EQ_WCC</v>
      </c>
      <c r="D16" s="41"/>
      <c r="E16" s="42"/>
      <c r="F16" s="43"/>
      <c r="G16" s="44"/>
      <c r="H16" s="44"/>
      <c r="I16" s="45"/>
      <c r="J16" s="44"/>
      <c r="K16" s="45"/>
      <c r="L16" s="44"/>
      <c r="M16" s="44"/>
      <c r="N16" s="45"/>
      <c r="O16" s="44"/>
      <c r="P16" s="44"/>
      <c r="Q16" s="45"/>
      <c r="R16" s="44"/>
      <c r="S16" s="44"/>
      <c r="T16" s="45"/>
      <c r="U16" s="44"/>
      <c r="V16" s="44"/>
      <c r="W16" s="45"/>
      <c r="X16" s="44"/>
      <c r="Y16" s="44"/>
      <c r="Z16" s="45"/>
      <c r="AA16" s="44"/>
      <c r="AB16" s="44"/>
      <c r="AC16" s="46"/>
    </row>
    <row r="17" spans="1:29" ht="9.75" customHeight="1" thickBot="1" x14ac:dyDescent="0.25">
      <c r="A17" s="18"/>
      <c r="B17" s="47"/>
      <c r="C17" s="48"/>
      <c r="D17" s="49"/>
      <c r="E17" s="50"/>
      <c r="F17" s="50"/>
      <c r="G17" s="51"/>
      <c r="H17" s="51"/>
      <c r="I17" s="51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0"/>
      <c r="AC17" s="50"/>
    </row>
    <row r="18" spans="1:29" ht="27.75" customHeight="1" x14ac:dyDescent="0.2">
      <c r="A18" s="18"/>
      <c r="B18" s="30" t="str">
        <f>IF(C14="","",IF([1]AB5!$B$48="","",[1]AB5!$B$48))</f>
        <v>Segment</v>
      </c>
      <c r="C18" s="31" t="str">
        <f t="array" ref="C18">IF(C14="","",INDEX([1]AB2!C:C,MATCH(C14,[1]AB2!A:A,0)))</f>
        <v>EQUITY</v>
      </c>
      <c r="D18" s="20"/>
      <c r="E18" s="52" t="str">
        <f>IF(C14="","",[1]AB5!$E$48)</f>
        <v xml:space="preserve">ORPT </v>
      </c>
      <c r="F18" s="53" t="str">
        <f>IF(C14="","",[1]AB5!$F$48)</f>
        <v xml:space="preserve"> RC. Time</v>
      </c>
      <c r="G18" s="54" t="str">
        <f>IF(C14="","",[1]AB5!$G$48)</f>
        <v>Gap Check</v>
      </c>
      <c r="H18" s="55" t="str">
        <f>IF(C14="","",[1]AB5!$H$48)</f>
        <v>Process</v>
      </c>
      <c r="I18" s="56"/>
      <c r="J18" s="57" t="str">
        <f>IF(C14="","",[1]AB5!$J$48)</f>
        <v>Y / N</v>
      </c>
      <c r="K18" s="58"/>
      <c r="L18" s="59" t="str">
        <f>IF(C14="","",[1]AB5!$K$48)</f>
        <v>Order Status</v>
      </c>
      <c r="M18" s="60" t="str">
        <f>IF(C14="","",[1]AB5!$L$48)</f>
        <v>Step 1</v>
      </c>
      <c r="N18" s="56"/>
      <c r="O18" s="56"/>
      <c r="P18" s="58"/>
      <c r="Q18" s="57" t="str">
        <f>IF(C14="","",[1]AB5!$P$48)</f>
        <v>Order Placement Timings</v>
      </c>
      <c r="R18" s="58"/>
      <c r="S18" s="57" t="str">
        <f>IF(C14="","",[1]AB5!$R$48)</f>
        <v>Time</v>
      </c>
      <c r="T18" s="58"/>
      <c r="U18" s="60" t="str">
        <f>IF(C14="","",[1]AB5!$T$48)</f>
        <v>Rules For Gaps</v>
      </c>
      <c r="V18" s="56"/>
      <c r="W18" s="58"/>
      <c r="X18" s="59" t="str">
        <f>IF(C14="","",[1]AB5!$V$48)</f>
        <v>Data</v>
      </c>
      <c r="Y18" s="57" t="str">
        <f>IF(C14="","",[1]AB5!$W$48)</f>
        <v>Buffer</v>
      </c>
      <c r="Z18" s="61"/>
      <c r="AA18" s="62" t="str">
        <f>IF(C14="","",[1]AB5!$Z$48)</f>
        <v>Rules For Re Entry</v>
      </c>
      <c r="AB18" s="56"/>
      <c r="AC18" s="61"/>
    </row>
    <row r="19" spans="1:29" ht="83.25" customHeight="1" x14ac:dyDescent="0.2">
      <c r="A19" s="18" t="str">
        <f>IF(C14="","",CONCATENATE(C15,[1]AB5!$A$49))</f>
        <v>S29A</v>
      </c>
      <c r="B19" s="30" t="str">
        <f>IF(C14="","",IF([1]AB5!$B$49="","",[1]AB5!$B$49))</f>
        <v>Symbol</v>
      </c>
      <c r="C19" s="31" t="str">
        <f t="array" ref="C19">IF(C14="","",INDEX([1]AB2!E:E,MATCH(C14,[1]AB2!A:A,0)))</f>
        <v>STOCKS</v>
      </c>
      <c r="D19" s="30" t="str">
        <f>IF(C14="","",[1]AB5!$D$49)</f>
        <v>For Entry</v>
      </c>
      <c r="E19" s="63">
        <f t="array" ref="E19">IF(C14="","",INDEX([1]AB4!BE:BE,MATCH(A19,[1]AB4!B:B,0)))</f>
        <v>0.38888194444444446</v>
      </c>
      <c r="F19" s="64">
        <f t="array" ref="F19">IF(C14="","",INDEX([1]AB4!BE:BE,MATCH(A20,[1]AB4!B:B,0)))</f>
        <v>0.39582638888888888</v>
      </c>
      <c r="G19" s="65" t="str">
        <f>IF(C14="","",[1]AB5!$G$49)</f>
        <v>For Long Entry</v>
      </c>
      <c r="H19" s="66" t="str">
        <f>IF(C14="","",CONCATENATE([1]AB5!$H$49,TEXT(E19,"HH:MM:SS AM/PM"),[1]AB5!$E$49,[1]AB5!$I$49))</f>
        <v>Check If  09:19:59 AM HH &gt; Long Entry</v>
      </c>
      <c r="I19" s="37"/>
      <c r="J19" s="67" t="str">
        <f>IF(C14="","",[1]AB5!$J$49)</f>
        <v>No</v>
      </c>
      <c r="K19" s="68"/>
      <c r="L19" s="69" t="str">
        <f>IF(C14="","",[1]AB5!$K$49)</f>
        <v>Entry Not Missed</v>
      </c>
      <c r="M19" s="70" t="str">
        <f>IF(C14="","",[1]AB5!$L$49)</f>
        <v>Place the Order at ORPT</v>
      </c>
      <c r="N19" s="71"/>
      <c r="O19" s="71"/>
      <c r="P19" s="68"/>
      <c r="Q19" s="69" t="str">
        <f>IF(C14="","",[1]AB5!$P$49)</f>
        <v>ORPT Time</v>
      </c>
      <c r="R19" s="69"/>
      <c r="S19" s="72">
        <f>IF(C14="","",E19)</f>
        <v>0.38888194444444446</v>
      </c>
      <c r="T19" s="68"/>
      <c r="U19" s="70" t="str">
        <f>IF(C14="","",[1]AB5!$T$49)</f>
        <v>N.A.</v>
      </c>
      <c r="V19" s="71"/>
      <c r="W19" s="68"/>
      <c r="X19" s="69" t="str">
        <f>IF(C14="","",[1]AB5!$V$49)</f>
        <v>N.A.</v>
      </c>
      <c r="Y19" s="73" t="str">
        <f>IF(C14="","",[1]AB5!$W$49)</f>
        <v>N.A.</v>
      </c>
      <c r="Z19" s="74"/>
      <c r="AA19" s="75" t="str">
        <f>IF(C14="","",[1]AB5!$Z$49)</f>
        <v>Check All Time High Price Till Previous Month &amp; Current Month</v>
      </c>
      <c r="AB19" s="71"/>
      <c r="AC19" s="74"/>
    </row>
    <row r="20" spans="1:29" ht="73.5" customHeight="1" x14ac:dyDescent="0.2">
      <c r="A20" s="18" t="str">
        <f>IF(C14="","",CONCATENATE(C15,[1]AB5!$A$50))</f>
        <v>S29B</v>
      </c>
      <c r="B20" s="30" t="str">
        <f>IF(C14="","",IF([1]AB5!$B$50="","",[1]AB5!$B$50))</f>
        <v>No. of TGT</v>
      </c>
      <c r="C20" s="31" t="str">
        <f t="array" ref="C20">IF(C14="","",INDEX([1]AB2!K:K,MATCH(C14,[1]AB2!A:A,0)))</f>
        <v>5 &amp; APS</v>
      </c>
      <c r="D20" s="30" t="str">
        <f>IF(C14="","",[1]AB5!$D$50)</f>
        <v>For SL (Position = Open)</v>
      </c>
      <c r="E20" s="63">
        <f t="array" ref="E20">IF(C14="","",INDEX([1]AB4!BF:BF,MATCH(A19,[1]AB4!B:B,0)))</f>
        <v>0.38888194444444446</v>
      </c>
      <c r="F20" s="64">
        <f t="array" ref="F20">IF(C14="","",INDEX([1]AB4!BF:BF,MATCH(A20,[1]AB4!B:B,0)))</f>
        <v>0.39582638888888888</v>
      </c>
      <c r="G20" s="34"/>
      <c r="H20" s="76"/>
      <c r="I20" s="77"/>
      <c r="J20" s="67" t="str">
        <f>IF(C14="","",[1]AB5!$J$50)</f>
        <v>Yes</v>
      </c>
      <c r="K20" s="68"/>
      <c r="L20" s="78" t="str">
        <f>IF(C14="","",[1]AB5!$K$50)</f>
        <v>Entry Missed</v>
      </c>
      <c r="M20" s="70" t="str">
        <f>IF(C14="","",[1]AB5!$L$50)</f>
        <v>Recalcuate : Long Entry : Bull / Bull CF</v>
      </c>
      <c r="N20" s="71"/>
      <c r="O20" s="71"/>
      <c r="P20" s="68"/>
      <c r="Q20" s="70" t="str">
        <f>IF(C14="","",[1]AB5!$P$50)</f>
        <v>Wait Till Recalculation Time</v>
      </c>
      <c r="R20" s="68"/>
      <c r="S20" s="79">
        <f>IF(C14="","",F19)</f>
        <v>0.39582638888888888</v>
      </c>
      <c r="T20" s="68"/>
      <c r="U20" s="80" t="str">
        <f>IF(C14="","",CONCATENATE(X20," ",[1]AB5!$Y$50," ",TEXT(Y20,"0.00%")))</f>
        <v>09:29:59 AM HH + 1.00%</v>
      </c>
      <c r="V20" s="71"/>
      <c r="W20" s="68"/>
      <c r="X20" s="81" t="str">
        <f>IF(C14="","",CONCATENATE(TEXT(S20,"HH:MM:SS AM/PM"),[1]AB5!$U$50))</f>
        <v>09:29:59 AM HH</v>
      </c>
      <c r="Y20" s="70" t="str">
        <f t="array" ref="Y20">IF(A14="","",TEXT(INDEX([1]AB4!BK:BK,MATCH(A19,[1]AB4!B:B,0)),"0.00%"))</f>
        <v>1.00%</v>
      </c>
      <c r="Z20" s="74"/>
      <c r="AA20" s="75" t="b">
        <f>IF(C14="","",E15)</f>
        <v>0</v>
      </c>
      <c r="AB20" s="71"/>
      <c r="AC20" s="74"/>
    </row>
    <row r="21" spans="1:29" ht="73.5" customHeight="1" x14ac:dyDescent="0.2">
      <c r="A21" s="18"/>
      <c r="B21" s="82" t="str">
        <f>IF(C14="","",IF([1]AB5!$B$51="","",[1]AB5!$B$51))</f>
        <v>I Commit To Follow The Rules &amp; Process</v>
      </c>
      <c r="C21" s="40"/>
      <c r="D21" s="32" t="str">
        <f>IF(C14="","",[1]AB5!$D$51)</f>
        <v>For TGT (Position = Open)</v>
      </c>
      <c r="E21" s="83">
        <f t="array" ref="E21">IF(C14="","",INDEX([1]AB4!BG:BG,MATCH(A19,[1]AB4!B:B,0)))</f>
        <v>0.38541666666666669</v>
      </c>
      <c r="F21" s="84" t="str">
        <f t="array" ref="F21">IF(C14="","",INDEX([1]AB4!BG:BG,MATCH(A20,[1]AB4!B:B,0)))</f>
        <v>N.A.</v>
      </c>
      <c r="G21" s="85" t="str">
        <f>IF(C14="","",[1]AB5!$G$51)</f>
        <v>For Long SL</v>
      </c>
      <c r="H21" s="86" t="str">
        <f>IF(C14="","",CONCATENATE([1]AB5!$H$51,TEXT(E20,"HH:MM:SS AM/PM"),[1]AB5!$E$50,[1]AB5!$I$51))</f>
        <v>Check If 09:19:59 AM LL &lt; Long SL</v>
      </c>
      <c r="I21" s="37"/>
      <c r="J21" s="87" t="str">
        <f>IF(C14="","",[1]AB5!$J$51)</f>
        <v>No</v>
      </c>
      <c r="K21" s="68"/>
      <c r="L21" s="88" t="str">
        <f>IF(C14="","",[1]AB5!$K$51)</f>
        <v>FSL / TRP Not Missed</v>
      </c>
      <c r="M21" s="89" t="str">
        <f>IF(C14="","",[1]AB5!$L$51)</f>
        <v>Place the Order at ORPT</v>
      </c>
      <c r="N21" s="71"/>
      <c r="O21" s="71"/>
      <c r="P21" s="68"/>
      <c r="Q21" s="89" t="str">
        <f>IF(C14="","",[1]AB5!$P$51)</f>
        <v>ORPT Time</v>
      </c>
      <c r="R21" s="68"/>
      <c r="S21" s="90">
        <f>IF(C14="","",E20)</f>
        <v>0.38888194444444446</v>
      </c>
      <c r="T21" s="68"/>
      <c r="U21" s="89" t="str">
        <f>IF(C14="","",[1]AB5!$U$51)</f>
        <v>N.A.</v>
      </c>
      <c r="V21" s="71"/>
      <c r="W21" s="68"/>
      <c r="X21" s="88" t="str">
        <f>IF(C14="","",[1]AB5!$V$51)</f>
        <v>N.A.</v>
      </c>
      <c r="Y21" s="91" t="str">
        <f>IF(C14="","",[1]AB5!$W$51)</f>
        <v>N.A.</v>
      </c>
      <c r="Z21" s="74"/>
      <c r="AA21" s="92" t="str">
        <f>IF(C14="","",CONCATENATE([1]AB5!$Z$51,H14))</f>
        <v>ENTRY : SPT : WCC HH + 1.00%</v>
      </c>
      <c r="AB21" s="37"/>
      <c r="AC21" s="40"/>
    </row>
    <row r="22" spans="1:29" ht="73.5" customHeight="1" thickBot="1" x14ac:dyDescent="0.25">
      <c r="A22" s="18"/>
      <c r="B22" s="43"/>
      <c r="C22" s="46"/>
      <c r="D22" s="41"/>
      <c r="E22" s="93"/>
      <c r="F22" s="42"/>
      <c r="G22" s="43"/>
      <c r="H22" s="44"/>
      <c r="I22" s="45"/>
      <c r="J22" s="94" t="str">
        <f>IF(C14="","",[1]AB5!$J$52)</f>
        <v>Yes</v>
      </c>
      <c r="K22" s="95"/>
      <c r="L22" s="96" t="str">
        <f>IF(C14="","",[1]AB5!$K$52)</f>
        <v>FSL / TRP Missed</v>
      </c>
      <c r="M22" s="97" t="str">
        <f>IF(C14="","",[1]AB5!$L$52)</f>
        <v>Recalcuate : Long FSL / TRP : Bull / Bull CF</v>
      </c>
      <c r="N22" s="98"/>
      <c r="O22" s="98"/>
      <c r="P22" s="95"/>
      <c r="Q22" s="97" t="str">
        <f>IF(C14="","",[1]AB5!$P$52)</f>
        <v>Wait Till Recalculation Time</v>
      </c>
      <c r="R22" s="95"/>
      <c r="S22" s="99">
        <f>IF(C14="","",F20)</f>
        <v>0.39582638888888888</v>
      </c>
      <c r="T22" s="95"/>
      <c r="U22" s="97" t="str">
        <f>IF(C14="","",CONCATENATE(X22," ",[1]AB5!$Y$52," ",TEXT(Y22,"0.00%")))</f>
        <v>09:29:59 AM LL - 1.00%</v>
      </c>
      <c r="V22" s="98"/>
      <c r="W22" s="95"/>
      <c r="X22" s="100" t="str">
        <f>IF(C14="","",CONCATENATE(TEXT(S22,"HH:MM:SS AM/PM"),[1]AB5!$U$52))</f>
        <v>09:29:59 AM LL</v>
      </c>
      <c r="Y22" s="101" t="str">
        <f t="array" ref="Y22">IF(C14="","",TEXT(INDEX([1]AB4!BL:BL,MATCH(A19,[1]AB4!B:B,0)),"0.00%"))</f>
        <v>1.00%</v>
      </c>
      <c r="Z22" s="102"/>
      <c r="AA22" s="43"/>
      <c r="AB22" s="45"/>
      <c r="AC22" s="46"/>
    </row>
    <row r="23" spans="1:29" ht="23.25" customHeight="1" thickBot="1" x14ac:dyDescent="0.25">
      <c r="A23" s="104"/>
      <c r="B23" s="103"/>
      <c r="C23" s="103"/>
      <c r="D23" s="103"/>
      <c r="E23" s="103"/>
      <c r="F23" s="103"/>
      <c r="G23" s="103"/>
      <c r="H23" s="103"/>
      <c r="I23" s="103"/>
      <c r="J23" s="103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  <c r="AB23" s="103"/>
      <c r="AC23" s="103"/>
    </row>
    <row r="24" spans="1:29" ht="63.75" customHeight="1" x14ac:dyDescent="0.2">
      <c r="A24" s="18" t="str">
        <f>IF(C24="","",CONCATENATE(C25,[1]AB5!$A$44))</f>
        <v>S30A</v>
      </c>
      <c r="B24" s="20" t="str">
        <f>IF(C24="","",IF([1]AB5!$B$44="","",[1]AB5!$B$44))</f>
        <v>Sr. No.</v>
      </c>
      <c r="C24" s="21">
        <v>30</v>
      </c>
      <c r="D24" s="20" t="str">
        <f>IF(C24="","",[1]AB5!$D$44)</f>
        <v>ATH</v>
      </c>
      <c r="E24" s="22" t="str">
        <f>IF(C24="","",[1]AB5!$E$44)</f>
        <v>Check All Time High Price Till Previous Month</v>
      </c>
      <c r="F24" s="23" t="str">
        <f>IF(C24="","",[1]AB5!$F$44)</f>
        <v>BUY</v>
      </c>
      <c r="G24" s="24" t="str">
        <f>IF(C24="","",[1]AB5!$G$44)</f>
        <v>E &amp; T</v>
      </c>
      <c r="H24" s="25" t="str">
        <f t="array" ref="H24">IF(C24="","",CONCATENATE(INDEX([1]AB4!G:G,MATCH(A24,[1]AB4!B:B,0)),INDEX([1]AB4!H:H,MATCH(A24,[1]AB4!B:B,0)),TEXT(INDEX([1]AB4!I:I,MATCH(A24,[1]AB4!B:B,0)),"0.00%")))</f>
        <v>SPT : MCC HH + 1.00%</v>
      </c>
      <c r="I24" s="26"/>
      <c r="J24" s="27">
        <f t="array" ref="J24">IF(C24="","",INDEX([1]AB4!J:J,MATCH(A24,[1]AB4!B:B,0)))</f>
        <v>1</v>
      </c>
      <c r="K24" s="26"/>
      <c r="L24" s="28" t="str">
        <f t="array" ref="L24">IF(C24="","",CONCATENATE(INDEX([1]AB4!L:L,MATCH(A24,[1]AB4!B:B,0)),INDEX([1]AB4!M:M,MATCH(A24,[1]AB4!B:B,0)),TEXT(INDEX([1]AB4!N:N,MATCH(A24,[1]AB4!B:B,0)),"0.00%")))</f>
        <v>L : Entry  + 12.50%</v>
      </c>
      <c r="M24" s="27">
        <f t="array" ref="M24">IF(C24="","",INDEX([1]AB4!O:O,MATCH(A24,[1]AB4!B:B,0)))</f>
        <v>0.2</v>
      </c>
      <c r="N24" s="26"/>
      <c r="O24" s="28" t="str">
        <f t="array" ref="O24">IF(C24="","",CONCATENATE(INDEX([1]AB4!L:L,MATCH(A24,[1]AB4!B:B,0)),INDEX([1]AB4!M:M,MATCH(A24,[1]AB4!B:B,0)),TEXT(INDEX([1]AB4!P:P,MATCH(A24,[1]AB4!B:B,0)),"0.00%")))</f>
        <v>L : Entry  + 25.00%</v>
      </c>
      <c r="P24" s="27">
        <f t="array" ref="P24">IF(C24="","",INDEX([1]AB4!Q:Q,MATCH(A24,[1]AB4!B:B,0)))</f>
        <v>0.2</v>
      </c>
      <c r="Q24" s="26"/>
      <c r="R24" s="28" t="str">
        <f t="array" ref="R24">IF(C24="","",CONCATENATE(INDEX([1]AB4!L:L,MATCH(A24,[1]AB4!B:B,0)),INDEX([1]AB4!M:M,MATCH(A24,[1]AB4!B:B,0)),TEXT(INDEX([1]AB4!R:R,MATCH(A24,[1]AB4!B:B,0)),"0.00%")))</f>
        <v>L : Entry  + 50.00%</v>
      </c>
      <c r="S24" s="27">
        <f t="array" ref="S24">IF(C24="","",INDEX([1]AB4!S:S,MATCH(A24,[1]AB4!B:B,0)))</f>
        <v>0.1</v>
      </c>
      <c r="T24" s="26"/>
      <c r="U24" s="28" t="str">
        <f t="array" ref="U24">IF(C24="","",CONCATENATE(INDEX([1]AB4!L:L,MATCH(A24,[1]AB4!B:B,0)),INDEX([1]AB4!M:M,MATCH(A24,[1]AB4!B:B,0)),TEXT(INDEX([1]AB4!T:T,MATCH(A24,[1]AB4!B:B,0)),"0.00%")))</f>
        <v>L : Entry  + 75.00%</v>
      </c>
      <c r="V24" s="27">
        <f t="array" ref="V24">IF(C24="","",INDEX([1]AB4!U:U,MATCH(A24,[1]AB4!B:B,0)))</f>
        <v>0.1</v>
      </c>
      <c r="W24" s="26"/>
      <c r="X24" s="28" t="str">
        <f t="array" ref="X24">IF(C24="","",CONCATENATE(INDEX([1]AB4!L:L,MATCH(A24,[1]AB4!B:B,0)),INDEX([1]AB4!M:M,MATCH(A24,[1]AB4!B:B,0)),TEXT(INDEX([1]AB4!V:V,MATCH(A24,[1]AB4!B:B,0)),"0.00%")))</f>
        <v>L : Entry  + 100.00%</v>
      </c>
      <c r="Y24" s="27">
        <f t="array" ref="Y24">IF(C24="","",INDEX([1]AB4!W:W,MATCH(A24,[1]AB4!B:B,0)))</f>
        <v>0.1</v>
      </c>
      <c r="Z24" s="26"/>
      <c r="AA24" s="28" t="str">
        <f t="array" ref="AA24">IF(C24="","",INDEX([1]AB4!X:X,MATCH(A24,[1]AB4!B:B,0)))</f>
        <v>TR PROFIT AFTER TGT 5</v>
      </c>
      <c r="AB24" s="27">
        <f t="array" ref="AB24">IF(C24="","",INDEX([1]AB4!Y:Y,MATCH(A24,[1]AB4!B:B,0)))</f>
        <v>0.3</v>
      </c>
      <c r="AC24" s="29"/>
    </row>
    <row r="25" spans="1:29" ht="25.5" customHeight="1" x14ac:dyDescent="0.2">
      <c r="A25" s="18" t="str">
        <f>IF(C24="","",CONCATENATE(C25,[1]AB5!$A$45))</f>
        <v>S30A</v>
      </c>
      <c r="B25" s="30" t="str">
        <f>IF(C24="","",IF([1]AB5!$B$45="","",[1]AB5!$B$45))</f>
        <v>Strategy Code</v>
      </c>
      <c r="C25" s="31" t="str">
        <f t="array" ref="C25">IF(C24="","",INDEX([1]AB2!B:B,MATCH(C24,[1]AB2!A:A,0)))</f>
        <v>S30</v>
      </c>
      <c r="D25" s="32" t="str">
        <f>IF(C24="","",C29)</f>
        <v>STOCKS</v>
      </c>
      <c r="E25" s="33" t="b">
        <f>IF(C24="","",IF(D25="DCC",CONCATENATE("Daily ",[1]AB5!$E$45),IF(D25="WCC",CONCATENATE("Weekly ",[1]AB5!$E$45),IF(D25="MCC",CONCATENATE("Monthly ",[1]AB5!$E$45)))))</f>
        <v>0</v>
      </c>
      <c r="F25" s="34"/>
      <c r="G25" s="35" t="str">
        <f>IF(C24="","",[1]AB5!$G$45)</f>
        <v>SL / TRP</v>
      </c>
      <c r="H25" s="36" t="str">
        <f t="array" ref="H25">IF(C24="","",CONCATENATE(INDEX([1]AB4!AA:AA,MATCH(A24,[1]AB4!B:B,0))," ( ",INDEX([1]AB4!AE:AE,MATCH(A24,[1]AB4!B:B,0)),INDEX([1]AB4!AF:AF,MATCH(A24,[1]AB4!B:B,0)),TEXT(INDEX([1]AB4!AG:AG,MATCH(A24,[1]AB4!B:B,0)),"0.00%")," &amp; ",INDEX([1]AB4!AK:AK,MATCH(A24,[1]AB4!B:B,0))," )"))</f>
        <v>Max ( L : Entry - 25.00% &amp; SPT : PRV M : 20 SMA )</v>
      </c>
      <c r="I25" s="37"/>
      <c r="J25" s="38">
        <f t="array" ref="J25">IF(C24="","",INDEX([1]AB4!AM:AM,MATCH(A25,[1]AB4!B:B,0)))</f>
        <v>1</v>
      </c>
      <c r="K25" s="37"/>
      <c r="L25" s="36" t="str">
        <f t="array" ref="L25">IF(C24="","",CONCATENATE(INDEX([1]AB4!AA:AA,MATCH(A24,[1]AB4!B:B,0))," ( ",INDEX([1]AB4!AE:AE,MATCH(A24,[1]AB4!B:B,0)),INDEX([1]AB4!AF:AF,MATCH(A24,[1]AB4!B:B,0)),TEXT(INDEX([1]AB4!AG:AG,MATCH(A24,[1]AB4!B:B,0)),"0.00%")," &amp; ",INDEX([1]AB4!AK:AK,MATCH(A24,[1]AB4!B:B,0))," )"))</f>
        <v>Max ( L : Entry - 25.00% &amp; SPT : PRV M : 20 SMA )</v>
      </c>
      <c r="M25" s="38">
        <f t="array" ref="M25">IF(C24="","",INDEX([1]AB4!AP:AP,MATCH(A25,[1]AB4!B:B,0)))</f>
        <v>0.8</v>
      </c>
      <c r="N25" s="37"/>
      <c r="O25" s="36" t="str">
        <f t="array" ref="O25">IF(C24="","",CONCATENATE(INDEX([1]AB4!AA:AA,MATCH(A24,[1]AB4!B:B,0))," ( ",INDEX([1]AB4!AE:AE,MATCH(A24,[1]AB4!B:B,0)),INDEX([1]AB4!AF:AF,MATCH(A24,[1]AB4!B:B,0)),TEXT(INDEX([1]AB4!AG:AG,MATCH(A24,[1]AB4!B:B,0)),"0.00%")," &amp; ",INDEX([1]AB4!AQ:AQ,MATCH(A24,[1]AB4!B:B,0))," )"))</f>
        <v>Max ( L : Entry - 25.00% &amp; SPT : PRV M : 20 SMA )</v>
      </c>
      <c r="P25" s="38">
        <f t="array" ref="P25">IF(C24="","",INDEX([1]AB4!AS:AS,MATCH(A25,[1]AB4!B:B,0)))</f>
        <v>0.60000000000000009</v>
      </c>
      <c r="Q25" s="37"/>
      <c r="R25" s="36" t="str">
        <f t="array" ref="R25">IF(C24="","",CONCATENATE(INDEX([1]AB4!AA:AA,MATCH(A24,[1]AB4!B:B,0))," ( ",INDEX([1]AB4!AE:AE,MATCH(A24,[1]AB4!B:B,0)),INDEX([1]AB4!AF:AF,MATCH(A24,[1]AB4!B:B,0)),TEXT(INDEX([1]AB4!AG:AG,MATCH(A24,[1]AB4!B:B,0)),"0.00%")," &amp; ",INDEX([1]AB4!AT:AT,MATCH(A24,[1]AB4!B:B,0))," )"))</f>
        <v>Max ( L : Entry - 25.00% &amp; SPT : PRV M : 20 SMA )</v>
      </c>
      <c r="S25" s="38">
        <f t="array" ref="S25">IF(C24="","",INDEX([1]AB4!AV:AV,MATCH(A25,[1]AB4!B:B,0)))</f>
        <v>0.50000000000000011</v>
      </c>
      <c r="T25" s="37"/>
      <c r="U25" s="36" t="str">
        <f t="array" ref="U25">IF(C24="","",CONCATENATE(INDEX([1]AB4!AA:AA,MATCH(A24,[1]AB4!B:B,0))," ( ",INDEX([1]AB4!AE:AE,MATCH(A24,[1]AB4!B:B,0)),INDEX([1]AB4!AF:AF,MATCH(A24,[1]AB4!B:B,0)),TEXT(INDEX([1]AB4!AG:AG,MATCH(A24,[1]AB4!B:B,0)),"0.00%")," &amp; ",INDEX([1]AB4!AW:AW,MATCH(A24,[1]AB4!B:B,0))," )"))</f>
        <v>Max ( L : Entry - 25.00% &amp; SPT : PRV M : 20 SMA )</v>
      </c>
      <c r="V25" s="38">
        <f t="array" ref="V25">IF(C24="","",INDEX([1]AB4!AY:AY,MATCH(A25,[1]AB4!B:B,0)))</f>
        <v>0.40000000000000013</v>
      </c>
      <c r="W25" s="37"/>
      <c r="X25" s="36" t="str">
        <f t="array" ref="X25">IF(C24="","",CONCATENATE(INDEX([1]AB4!AA:AA,MATCH(A24,[1]AB4!B:B,0))," ( ",INDEX([1]AB4!AE:AE,MATCH(A24,[1]AB4!B:B,0))," &amp; ",INDEX([1]AB4!AZ:AZ,MATCH(A24,[1]AB4!B:B,0))," )"))</f>
        <v>Max ( L : Entry &amp; SPT : PRV M : 10 SMA )</v>
      </c>
      <c r="Y25" s="38">
        <f t="array" ref="Y25">IF(C24="","",INDEX([1]AB4!BB:BB,MATCH(A25,[1]AB4!B:B,0)))</f>
        <v>0.30000000000000016</v>
      </c>
      <c r="Z25" s="37"/>
      <c r="AA25" s="39" t="str">
        <f>IF(C24="","",[1]AB5!$Z$45)</f>
        <v>N.A.</v>
      </c>
      <c r="AB25" s="38" t="str">
        <f>IF(C24="","",[1]AB5!$Z$45)</f>
        <v>N.A.</v>
      </c>
      <c r="AC25" s="40"/>
    </row>
    <row r="26" spans="1:29" ht="57" customHeight="1" thickBot="1" x14ac:dyDescent="0.25">
      <c r="A26" s="18" t="e">
        <f>IF(C24="","",CONCATENATE(C25,'[2]EQ AB5'!A26))</f>
        <v>#REF!</v>
      </c>
      <c r="B26" s="32" t="str">
        <f>IF(C24="","",IF([1]AB5!$B$46="","",[1]AB5!$B$46))</f>
        <v>Unique Code</v>
      </c>
      <c r="C26" s="33" t="str">
        <f t="array" ref="C26">IF(C24="","",INDEX([1]AB2!N:N,MATCH(C24,[1]AB2!A:A,0)))</f>
        <v>STOCKS_EQ_MCC</v>
      </c>
      <c r="D26" s="41"/>
      <c r="E26" s="42"/>
      <c r="F26" s="43"/>
      <c r="G26" s="44"/>
      <c r="H26" s="44"/>
      <c r="I26" s="45"/>
      <c r="J26" s="44"/>
      <c r="K26" s="45"/>
      <c r="L26" s="44"/>
      <c r="M26" s="44"/>
      <c r="N26" s="45"/>
      <c r="O26" s="44"/>
      <c r="P26" s="44"/>
      <c r="Q26" s="45"/>
      <c r="R26" s="44"/>
      <c r="S26" s="44"/>
      <c r="T26" s="45"/>
      <c r="U26" s="44"/>
      <c r="V26" s="44"/>
      <c r="W26" s="45"/>
      <c r="X26" s="44"/>
      <c r="Y26" s="44"/>
      <c r="Z26" s="45"/>
      <c r="AA26" s="44"/>
      <c r="AB26" s="44"/>
      <c r="AC26" s="46"/>
    </row>
    <row r="27" spans="1:29" ht="9.75" customHeight="1" thickBot="1" x14ac:dyDescent="0.25">
      <c r="A27" s="18"/>
      <c r="B27" s="47"/>
      <c r="C27" s="48"/>
      <c r="D27" s="49"/>
      <c r="E27" s="50"/>
      <c r="F27" s="50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0"/>
      <c r="AC27" s="50"/>
    </row>
    <row r="28" spans="1:29" ht="27.75" customHeight="1" x14ac:dyDescent="0.2">
      <c r="A28" s="18"/>
      <c r="B28" s="30" t="str">
        <f>IF(C24="","",IF([1]AB5!$B$48="","",[1]AB5!$B$48))</f>
        <v>Segment</v>
      </c>
      <c r="C28" s="31" t="str">
        <f t="array" ref="C28">IF(C24="","",INDEX([1]AB2!C:C,MATCH(C24,[1]AB2!A:A,0)))</f>
        <v>EQUITY</v>
      </c>
      <c r="D28" s="20"/>
      <c r="E28" s="52" t="str">
        <f>IF(C24="","",[1]AB5!$E$48)</f>
        <v xml:space="preserve">ORPT </v>
      </c>
      <c r="F28" s="53" t="str">
        <f>IF(C24="","",[1]AB5!$F$48)</f>
        <v xml:space="preserve"> RC. Time</v>
      </c>
      <c r="G28" s="54" t="str">
        <f>IF(C24="","",[1]AB5!$G$48)</f>
        <v>Gap Check</v>
      </c>
      <c r="H28" s="55" t="str">
        <f>IF(C24="","",[1]AB5!$H$48)</f>
        <v>Process</v>
      </c>
      <c r="I28" s="56"/>
      <c r="J28" s="57" t="str">
        <f>IF(C24="","",[1]AB5!$J$48)</f>
        <v>Y / N</v>
      </c>
      <c r="K28" s="58"/>
      <c r="L28" s="59" t="str">
        <f>IF(C24="","",[1]AB5!$K$48)</f>
        <v>Order Status</v>
      </c>
      <c r="M28" s="60" t="str">
        <f>IF(C24="","",[1]AB5!$L$48)</f>
        <v>Step 1</v>
      </c>
      <c r="N28" s="56"/>
      <c r="O28" s="56"/>
      <c r="P28" s="58"/>
      <c r="Q28" s="57" t="str">
        <f>IF(C24="","",[1]AB5!$P$48)</f>
        <v>Order Placement Timings</v>
      </c>
      <c r="R28" s="58"/>
      <c r="S28" s="57" t="str">
        <f>IF(C24="","",[1]AB5!$R$48)</f>
        <v>Time</v>
      </c>
      <c r="T28" s="58"/>
      <c r="U28" s="60" t="str">
        <f>IF(C24="","",[1]AB5!$T$48)</f>
        <v>Rules For Gaps</v>
      </c>
      <c r="V28" s="56"/>
      <c r="W28" s="58"/>
      <c r="X28" s="59" t="str">
        <f>IF(C24="","",[1]AB5!$V$48)</f>
        <v>Data</v>
      </c>
      <c r="Y28" s="57" t="str">
        <f>IF(C24="","",[1]AB5!$W$48)</f>
        <v>Buffer</v>
      </c>
      <c r="Z28" s="61"/>
      <c r="AA28" s="62" t="str">
        <f>IF(C24="","",[1]AB5!$Z$48)</f>
        <v>Rules For Re Entry</v>
      </c>
      <c r="AB28" s="56"/>
      <c r="AC28" s="61"/>
    </row>
    <row r="29" spans="1:29" ht="83.25" customHeight="1" x14ac:dyDescent="0.2">
      <c r="A29" s="18" t="str">
        <f>IF(C24="","",CONCATENATE(C25,[1]AB5!$A$49))</f>
        <v>S30A</v>
      </c>
      <c r="B29" s="30" t="str">
        <f>IF(C24="","",IF([1]AB5!$B$49="","",[1]AB5!$B$49))</f>
        <v>Symbol</v>
      </c>
      <c r="C29" s="31" t="str">
        <f t="array" ref="C29">IF(C24="","",INDEX([1]AB2!E:E,MATCH(C24,[1]AB2!A:A,0)))</f>
        <v>STOCKS</v>
      </c>
      <c r="D29" s="30" t="str">
        <f>IF(C24="","",[1]AB5!$D$49)</f>
        <v>For Entry</v>
      </c>
      <c r="E29" s="63">
        <f t="array" ref="E29">IF(C24="","",INDEX([1]AB4!BE:BE,MATCH(A29,[1]AB4!B:B,0)))</f>
        <v>0.38888194444444446</v>
      </c>
      <c r="F29" s="64">
        <f t="array" ref="F29">IF(C24="","",INDEX([1]AB4!BE:BE,MATCH(A30,[1]AB4!B:B,0)))</f>
        <v>0.39582638888888888</v>
      </c>
      <c r="G29" s="65" t="str">
        <f>IF(C24="","",[1]AB5!$G$49)</f>
        <v>For Long Entry</v>
      </c>
      <c r="H29" s="66" t="str">
        <f>IF(C24="","",CONCATENATE([1]AB5!$H$49,TEXT(E29,"HH:MM:SS AM/PM"),[1]AB5!$E$49,[1]AB5!$I$49))</f>
        <v>Check If  09:19:59 AM HH &gt; Long Entry</v>
      </c>
      <c r="I29" s="37"/>
      <c r="J29" s="67" t="str">
        <f>IF(C24="","",[1]AB5!$J$49)</f>
        <v>No</v>
      </c>
      <c r="K29" s="68"/>
      <c r="L29" s="69" t="str">
        <f>IF(C24="","",[1]AB5!$K$49)</f>
        <v>Entry Not Missed</v>
      </c>
      <c r="M29" s="70" t="str">
        <f>IF(C24="","",[1]AB5!$L$49)</f>
        <v>Place the Order at ORPT</v>
      </c>
      <c r="N29" s="71"/>
      <c r="O29" s="71"/>
      <c r="P29" s="68"/>
      <c r="Q29" s="69" t="str">
        <f>IF(C24="","",[1]AB5!$P$49)</f>
        <v>ORPT Time</v>
      </c>
      <c r="R29" s="69"/>
      <c r="S29" s="72">
        <f>IF(C24="","",E29)</f>
        <v>0.38888194444444446</v>
      </c>
      <c r="T29" s="68"/>
      <c r="U29" s="70" t="str">
        <f>IF(C24="","",[1]AB5!$T$49)</f>
        <v>N.A.</v>
      </c>
      <c r="V29" s="71"/>
      <c r="W29" s="68"/>
      <c r="X29" s="69" t="str">
        <f>IF(C24="","",[1]AB5!$V$49)</f>
        <v>N.A.</v>
      </c>
      <c r="Y29" s="73" t="str">
        <f>IF(C24="","",[1]AB5!$W$49)</f>
        <v>N.A.</v>
      </c>
      <c r="Z29" s="74"/>
      <c r="AA29" s="75" t="str">
        <f>IF(C24="","",[1]AB5!$Z$49)</f>
        <v>Check All Time High Price Till Previous Month &amp; Current Month</v>
      </c>
      <c r="AB29" s="71"/>
      <c r="AC29" s="74"/>
    </row>
    <row r="30" spans="1:29" ht="73.5" customHeight="1" x14ac:dyDescent="0.2">
      <c r="A30" s="18" t="str">
        <f>IF(C24="","",CONCATENATE(C25,[1]AB5!$A$50))</f>
        <v>S30B</v>
      </c>
      <c r="B30" s="30" t="str">
        <f>IF(C24="","",IF([1]AB5!$B$50="","",[1]AB5!$B$50))</f>
        <v>No. of TGT</v>
      </c>
      <c r="C30" s="31" t="str">
        <f t="array" ref="C30">IF(C24="","",INDEX([1]AB2!K:K,MATCH(C24,[1]AB2!A:A,0)))</f>
        <v>5 &amp; APS</v>
      </c>
      <c r="D30" s="30" t="str">
        <f>IF(C24="","",[1]AB5!$D$50)</f>
        <v>For SL (Position = Open)</v>
      </c>
      <c r="E30" s="63">
        <f t="array" ref="E30">IF(C24="","",INDEX([1]AB4!BF:BF,MATCH(A29,[1]AB4!B:B,0)))</f>
        <v>0.38888194444444446</v>
      </c>
      <c r="F30" s="64">
        <f t="array" ref="F30">IF(C24="","",INDEX([1]AB4!BF:BF,MATCH(A30,[1]AB4!B:B,0)))</f>
        <v>0.39582638888888888</v>
      </c>
      <c r="G30" s="34"/>
      <c r="H30" s="76"/>
      <c r="I30" s="77"/>
      <c r="J30" s="67" t="str">
        <f>IF(C24="","",[1]AB5!$J$50)</f>
        <v>Yes</v>
      </c>
      <c r="K30" s="68"/>
      <c r="L30" s="78" t="str">
        <f>IF(C24="","",[1]AB5!$K$50)</f>
        <v>Entry Missed</v>
      </c>
      <c r="M30" s="70" t="str">
        <f>IF(C24="","",[1]AB5!$L$50)</f>
        <v>Recalcuate : Long Entry : Bull / Bull CF</v>
      </c>
      <c r="N30" s="71"/>
      <c r="O30" s="71"/>
      <c r="P30" s="68"/>
      <c r="Q30" s="70" t="str">
        <f>IF(C24="","",[1]AB5!$P$50)</f>
        <v>Wait Till Recalculation Time</v>
      </c>
      <c r="R30" s="68"/>
      <c r="S30" s="79">
        <f>IF(C24="","",F29)</f>
        <v>0.39582638888888888</v>
      </c>
      <c r="T30" s="68"/>
      <c r="U30" s="80" t="str">
        <f>IF(C24="","",CONCATENATE(X30," ",[1]AB5!$Y$50," ",TEXT(Y30,"0.00%")))</f>
        <v>09:29:59 AM HH + 1.00%</v>
      </c>
      <c r="V30" s="71"/>
      <c r="W30" s="68"/>
      <c r="X30" s="81" t="str">
        <f>IF(C24="","",CONCATENATE(TEXT(S30,"HH:MM:SS AM/PM"),[1]AB5!$U$50))</f>
        <v>09:29:59 AM HH</v>
      </c>
      <c r="Y30" s="70" t="str">
        <f t="array" ref="Y30">IF(A24="","",TEXT(INDEX([1]AB4!BK:BK,MATCH(A29,[1]AB4!B:B,0)),"0.00%"))</f>
        <v>1.00%</v>
      </c>
      <c r="Z30" s="74"/>
      <c r="AA30" s="75" t="b">
        <f>IF(C24="","",E25)</f>
        <v>0</v>
      </c>
      <c r="AB30" s="71"/>
      <c r="AC30" s="74"/>
    </row>
    <row r="31" spans="1:29" ht="73.5" customHeight="1" x14ac:dyDescent="0.2">
      <c r="A31" s="18"/>
      <c r="B31" s="82" t="str">
        <f>IF(C24="","",IF([1]AB5!$B$51="","",[1]AB5!$B$51))</f>
        <v>I Commit To Follow The Rules &amp; Process</v>
      </c>
      <c r="C31" s="40"/>
      <c r="D31" s="32" t="str">
        <f>IF(C24="","",[1]AB5!$D$51)</f>
        <v>For TGT (Position = Open)</v>
      </c>
      <c r="E31" s="83">
        <f t="array" ref="E31">IF(C24="","",INDEX([1]AB4!BG:BG,MATCH(A29,[1]AB4!B:B,0)))</f>
        <v>0.38541666666666669</v>
      </c>
      <c r="F31" s="84" t="str">
        <f t="array" ref="F31">IF(C24="","",INDEX([1]AB4!BG:BG,MATCH(A30,[1]AB4!B:B,0)))</f>
        <v>N.A.</v>
      </c>
      <c r="G31" s="85" t="str">
        <f>IF(C24="","",[1]AB5!$G$51)</f>
        <v>For Long SL</v>
      </c>
      <c r="H31" s="86" t="str">
        <f>IF(C24="","",CONCATENATE([1]AB5!$H$51,TEXT(E30,"HH:MM:SS AM/PM"),[1]AB5!$E$50,[1]AB5!$I$51))</f>
        <v>Check If 09:19:59 AM LL &lt; Long SL</v>
      </c>
      <c r="I31" s="37"/>
      <c r="J31" s="87" t="str">
        <f>IF(C24="","",[1]AB5!$J$51)</f>
        <v>No</v>
      </c>
      <c r="K31" s="68"/>
      <c r="L31" s="88" t="str">
        <f>IF(C24="","",[1]AB5!$K$51)</f>
        <v>FSL / TRP Not Missed</v>
      </c>
      <c r="M31" s="89" t="str">
        <f>IF(C24="","",[1]AB5!$L$51)</f>
        <v>Place the Order at ORPT</v>
      </c>
      <c r="N31" s="71"/>
      <c r="O31" s="71"/>
      <c r="P31" s="68"/>
      <c r="Q31" s="89" t="str">
        <f>IF(C24="","",[1]AB5!$P$51)</f>
        <v>ORPT Time</v>
      </c>
      <c r="R31" s="68"/>
      <c r="S31" s="90">
        <f>IF(C24="","",E30)</f>
        <v>0.38888194444444446</v>
      </c>
      <c r="T31" s="68"/>
      <c r="U31" s="89" t="str">
        <f>IF(C24="","",[1]AB5!$U$51)</f>
        <v>N.A.</v>
      </c>
      <c r="V31" s="71"/>
      <c r="W31" s="68"/>
      <c r="X31" s="88" t="str">
        <f>IF(C24="","",[1]AB5!$V$51)</f>
        <v>N.A.</v>
      </c>
      <c r="Y31" s="91" t="str">
        <f>IF(C24="","",[1]AB5!$W$51)</f>
        <v>N.A.</v>
      </c>
      <c r="Z31" s="74"/>
      <c r="AA31" s="92" t="str">
        <f>IF(C24="","",CONCATENATE([1]AB5!$Z$51,H24))</f>
        <v>ENTRY : SPT : MCC HH + 1.00%</v>
      </c>
      <c r="AB31" s="37"/>
      <c r="AC31" s="40"/>
    </row>
    <row r="32" spans="1:29" ht="73.5" customHeight="1" thickBot="1" x14ac:dyDescent="0.25">
      <c r="A32" s="18"/>
      <c r="B32" s="43"/>
      <c r="C32" s="46"/>
      <c r="D32" s="41"/>
      <c r="E32" s="93"/>
      <c r="F32" s="42"/>
      <c r="G32" s="43"/>
      <c r="H32" s="44"/>
      <c r="I32" s="45"/>
      <c r="J32" s="94" t="str">
        <f>IF(C24="","",[1]AB5!$J$52)</f>
        <v>Yes</v>
      </c>
      <c r="K32" s="95"/>
      <c r="L32" s="96" t="str">
        <f>IF(C24="","",[1]AB5!$K$52)</f>
        <v>FSL / TRP Missed</v>
      </c>
      <c r="M32" s="97" t="str">
        <f>IF(C24="","",[1]AB5!$L$52)</f>
        <v>Recalcuate : Long FSL / TRP : Bull / Bull CF</v>
      </c>
      <c r="N32" s="98"/>
      <c r="O32" s="98"/>
      <c r="P32" s="95"/>
      <c r="Q32" s="97" t="str">
        <f>IF(C24="","",[1]AB5!$P$52)</f>
        <v>Wait Till Recalculation Time</v>
      </c>
      <c r="R32" s="95"/>
      <c r="S32" s="99">
        <f>IF(C24="","",F30)</f>
        <v>0.39582638888888888</v>
      </c>
      <c r="T32" s="95"/>
      <c r="U32" s="97" t="str">
        <f>IF(C24="","",CONCATENATE(X32," ",[1]AB5!$Y$52," ",TEXT(Y32,"0.00%")))</f>
        <v>09:29:59 AM LL - 1.00%</v>
      </c>
      <c r="V32" s="98"/>
      <c r="W32" s="95"/>
      <c r="X32" s="100" t="str">
        <f>IF(C24="","",CONCATENATE(TEXT(S32,"HH:MM:SS AM/PM"),[1]AB5!$U$52))</f>
        <v>09:29:59 AM LL</v>
      </c>
      <c r="Y32" s="101" t="str">
        <f t="array" ref="Y32">IF(C24="","",TEXT(INDEX([1]AB4!BL:BL,MATCH(A29,[1]AB4!B:B,0)),"0.00%"))</f>
        <v>1.00%</v>
      </c>
      <c r="Z32" s="102"/>
      <c r="AA32" s="43"/>
      <c r="AB32" s="45"/>
      <c r="AC32" s="46"/>
    </row>
    <row r="33" spans="1:29" ht="15.75" customHeight="1" x14ac:dyDescent="0.2">
      <c r="A33" s="104"/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05"/>
      <c r="W33" s="105"/>
      <c r="X33" s="105"/>
      <c r="Y33" s="105"/>
      <c r="Z33" s="105"/>
      <c r="AA33" s="105"/>
      <c r="AB33" s="105"/>
      <c r="AC33" s="105"/>
    </row>
    <row r="34" spans="1:29" ht="15.75" customHeight="1" x14ac:dyDescent="0.2">
      <c r="A34" s="104"/>
      <c r="B34" s="105"/>
      <c r="C34" s="105"/>
      <c r="D34" s="105"/>
      <c r="E34" s="105"/>
      <c r="F34" s="105"/>
      <c r="G34" s="105"/>
      <c r="H34" s="105"/>
      <c r="I34" s="105"/>
      <c r="J34" s="105"/>
      <c r="K34" s="105"/>
      <c r="L34" s="105"/>
      <c r="M34" s="105"/>
      <c r="N34" s="105"/>
      <c r="O34" s="105"/>
      <c r="P34" s="105"/>
      <c r="Q34" s="105"/>
      <c r="R34" s="105"/>
      <c r="S34" s="105"/>
      <c r="T34" s="105"/>
      <c r="U34" s="105"/>
      <c r="V34" s="105"/>
      <c r="W34" s="105"/>
      <c r="X34" s="105"/>
      <c r="Y34" s="105"/>
      <c r="Z34" s="105"/>
      <c r="AA34" s="105"/>
      <c r="AB34" s="105"/>
      <c r="AC34" s="105"/>
    </row>
    <row r="35" spans="1:29" ht="15.75" customHeight="1" x14ac:dyDescent="0.2">
      <c r="A35" s="104"/>
      <c r="B35" s="105"/>
      <c r="C35" s="105"/>
      <c r="D35" s="105"/>
      <c r="E35" s="105"/>
      <c r="F35" s="105"/>
      <c r="G35" s="105"/>
      <c r="H35" s="105"/>
      <c r="I35" s="105"/>
      <c r="J35" s="105"/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</row>
    <row r="36" spans="1:29" ht="15.75" customHeight="1" x14ac:dyDescent="0.2">
      <c r="A36" s="106"/>
      <c r="B36" s="105"/>
      <c r="C36" s="105"/>
      <c r="D36" s="105"/>
      <c r="E36" s="105"/>
      <c r="F36" s="105"/>
      <c r="G36" s="105"/>
      <c r="H36" s="105"/>
      <c r="I36" s="105"/>
      <c r="J36" s="105"/>
      <c r="K36" s="105"/>
      <c r="L36" s="105"/>
      <c r="M36" s="105"/>
      <c r="N36" s="105"/>
      <c r="O36" s="105"/>
      <c r="P36" s="105"/>
      <c r="Q36" s="105"/>
      <c r="R36" s="105"/>
      <c r="S36" s="105"/>
      <c r="T36" s="105"/>
      <c r="U36" s="105"/>
      <c r="V36" s="105"/>
      <c r="W36" s="105"/>
      <c r="X36" s="105"/>
      <c r="Y36" s="105"/>
      <c r="Z36" s="105"/>
      <c r="AA36" s="105"/>
      <c r="AB36" s="105"/>
      <c r="AC36" s="105"/>
    </row>
    <row r="37" spans="1:29" ht="15.75" customHeight="1" x14ac:dyDescent="0.2">
      <c r="A37" s="106"/>
      <c r="B37" s="105"/>
      <c r="C37" s="105"/>
      <c r="D37" s="105"/>
      <c r="E37" s="105"/>
      <c r="F37" s="105"/>
      <c r="G37" s="105"/>
      <c r="H37" s="105"/>
      <c r="I37" s="105"/>
      <c r="J37" s="105"/>
      <c r="K37" s="105"/>
      <c r="L37" s="105"/>
      <c r="M37" s="105"/>
      <c r="N37" s="105"/>
      <c r="O37" s="105"/>
      <c r="P37" s="105"/>
      <c r="Q37" s="105"/>
      <c r="R37" s="105"/>
      <c r="S37" s="105"/>
      <c r="T37" s="105"/>
      <c r="U37" s="105"/>
      <c r="V37" s="105"/>
      <c r="W37" s="105"/>
      <c r="X37" s="105"/>
      <c r="Y37" s="105"/>
      <c r="Z37" s="105"/>
      <c r="AA37" s="105"/>
      <c r="AB37" s="105"/>
      <c r="AC37" s="105"/>
    </row>
    <row r="38" spans="1:29" ht="15.75" customHeight="1" x14ac:dyDescent="0.2">
      <c r="A38" s="106"/>
      <c r="B38" s="105"/>
      <c r="C38" s="105"/>
      <c r="D38" s="105"/>
      <c r="E38" s="105"/>
      <c r="F38" s="105"/>
      <c r="G38" s="105"/>
      <c r="H38" s="105"/>
      <c r="I38" s="105"/>
      <c r="J38" s="105"/>
      <c r="K38" s="105"/>
      <c r="L38" s="105"/>
      <c r="M38" s="105"/>
      <c r="N38" s="105"/>
      <c r="O38" s="105"/>
      <c r="P38" s="105"/>
      <c r="Q38" s="105"/>
      <c r="R38" s="105"/>
      <c r="S38" s="105"/>
      <c r="T38" s="105"/>
      <c r="U38" s="105"/>
      <c r="V38" s="105"/>
      <c r="W38" s="105"/>
      <c r="X38" s="105"/>
      <c r="Y38" s="105"/>
      <c r="Z38" s="105"/>
      <c r="AA38" s="105"/>
      <c r="AB38" s="105"/>
      <c r="AC38" s="105"/>
    </row>
    <row r="39" spans="1:29" ht="15.75" customHeight="1" x14ac:dyDescent="0.2">
      <c r="A39" s="106"/>
      <c r="B39" s="105"/>
      <c r="C39" s="105"/>
      <c r="D39" s="105"/>
      <c r="E39" s="105"/>
      <c r="F39" s="105"/>
      <c r="G39" s="105"/>
      <c r="H39" s="105"/>
      <c r="I39" s="105"/>
      <c r="J39" s="105"/>
      <c r="K39" s="105"/>
      <c r="L39" s="105"/>
      <c r="M39" s="105"/>
      <c r="N39" s="105"/>
      <c r="O39" s="105"/>
      <c r="P39" s="105"/>
      <c r="Q39" s="105"/>
      <c r="R39" s="105"/>
      <c r="S39" s="105"/>
      <c r="T39" s="105"/>
      <c r="U39" s="105"/>
      <c r="V39" s="105"/>
      <c r="W39" s="105"/>
      <c r="X39" s="105"/>
      <c r="Y39" s="105"/>
      <c r="Z39" s="105"/>
      <c r="AA39" s="105"/>
      <c r="AB39" s="105"/>
      <c r="AC39" s="105"/>
    </row>
    <row r="40" spans="1:29" ht="15.75" customHeight="1" x14ac:dyDescent="0.2">
      <c r="A40" s="106"/>
      <c r="B40" s="105"/>
      <c r="C40" s="105"/>
      <c r="D40" s="105"/>
      <c r="E40" s="105"/>
      <c r="F40" s="105"/>
      <c r="G40" s="105"/>
      <c r="H40" s="105"/>
      <c r="I40" s="105"/>
      <c r="J40" s="105"/>
      <c r="K40" s="105"/>
      <c r="L40" s="105"/>
      <c r="M40" s="105"/>
      <c r="N40" s="105"/>
      <c r="O40" s="105"/>
      <c r="P40" s="105"/>
      <c r="Q40" s="105"/>
      <c r="R40" s="105"/>
      <c r="S40" s="105"/>
      <c r="T40" s="105"/>
      <c r="U40" s="105"/>
      <c r="V40" s="105"/>
      <c r="W40" s="105"/>
      <c r="X40" s="105"/>
      <c r="Y40" s="105"/>
      <c r="Z40" s="105"/>
      <c r="AA40" s="105"/>
      <c r="AB40" s="105"/>
      <c r="AC40" s="105"/>
    </row>
    <row r="41" spans="1:29" ht="15.75" customHeight="1" x14ac:dyDescent="0.2">
      <c r="A41" s="106"/>
      <c r="B41" s="105"/>
      <c r="C41" s="105"/>
      <c r="D41" s="105"/>
      <c r="E41" s="105"/>
      <c r="F41" s="105"/>
      <c r="G41" s="105"/>
      <c r="H41" s="105"/>
      <c r="I41" s="105"/>
      <c r="J41" s="105"/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105"/>
      <c r="AB41" s="105"/>
      <c r="AC41" s="105"/>
    </row>
    <row r="42" spans="1:29" ht="15.75" customHeight="1" x14ac:dyDescent="0.2">
      <c r="A42" s="106"/>
      <c r="B42" s="105"/>
      <c r="C42" s="105"/>
      <c r="D42" s="105"/>
      <c r="E42" s="105"/>
      <c r="F42" s="105"/>
      <c r="G42" s="105"/>
      <c r="H42" s="105"/>
      <c r="I42" s="105"/>
      <c r="J42" s="105"/>
      <c r="K42" s="105"/>
      <c r="L42" s="105"/>
      <c r="M42" s="105"/>
      <c r="N42" s="105"/>
      <c r="O42" s="105"/>
      <c r="P42" s="105"/>
      <c r="Q42" s="105"/>
      <c r="R42" s="105"/>
      <c r="S42" s="105"/>
      <c r="T42" s="105"/>
      <c r="U42" s="105"/>
      <c r="V42" s="105"/>
      <c r="W42" s="105"/>
      <c r="X42" s="105"/>
      <c r="Y42" s="105"/>
      <c r="Z42" s="105"/>
      <c r="AA42" s="105"/>
      <c r="AB42" s="105"/>
      <c r="AC42" s="105"/>
    </row>
    <row r="43" spans="1:29" ht="15.75" customHeight="1" x14ac:dyDescent="0.2">
      <c r="A43" s="106"/>
      <c r="B43" s="105"/>
      <c r="C43" s="105"/>
      <c r="D43" s="105"/>
      <c r="E43" s="105"/>
      <c r="F43" s="105"/>
      <c r="G43" s="105"/>
      <c r="H43" s="105"/>
      <c r="I43" s="105"/>
      <c r="J43" s="105"/>
      <c r="K43" s="105"/>
      <c r="L43" s="105"/>
      <c r="M43" s="105"/>
      <c r="N43" s="105"/>
      <c r="O43" s="105"/>
      <c r="P43" s="105"/>
      <c r="Q43" s="105"/>
      <c r="R43" s="105"/>
      <c r="S43" s="105"/>
      <c r="T43" s="105"/>
      <c r="U43" s="105"/>
      <c r="V43" s="105"/>
      <c r="W43" s="105"/>
      <c r="X43" s="105"/>
      <c r="Y43" s="105"/>
      <c r="Z43" s="105"/>
      <c r="AA43" s="105"/>
      <c r="AB43" s="105"/>
      <c r="AC43" s="105"/>
    </row>
    <row r="44" spans="1:29" ht="15.75" customHeight="1" x14ac:dyDescent="0.2">
      <c r="A44" s="106"/>
      <c r="B44" s="105"/>
      <c r="C44" s="105"/>
      <c r="D44" s="105"/>
      <c r="E44" s="105"/>
      <c r="F44" s="105"/>
      <c r="G44" s="105"/>
      <c r="H44" s="105"/>
      <c r="I44" s="105"/>
      <c r="J44" s="105"/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  <c r="AB44" s="105"/>
      <c r="AC44" s="105"/>
    </row>
    <row r="45" spans="1:29" ht="15.75" customHeight="1" x14ac:dyDescent="0.2">
      <c r="A45" s="106"/>
      <c r="B45" s="105"/>
      <c r="C45" s="105"/>
      <c r="D45" s="105"/>
      <c r="E45" s="105"/>
      <c r="F45" s="105"/>
      <c r="G45" s="105"/>
      <c r="H45" s="105"/>
      <c r="I45" s="105"/>
      <c r="J45" s="105"/>
      <c r="K45" s="105"/>
      <c r="L45" s="105"/>
      <c r="M45" s="105"/>
      <c r="N45" s="105"/>
      <c r="O45" s="105"/>
      <c r="P45" s="105"/>
      <c r="Q45" s="105"/>
      <c r="R45" s="105"/>
      <c r="S45" s="105"/>
      <c r="T45" s="105"/>
      <c r="U45" s="105"/>
      <c r="V45" s="105"/>
      <c r="W45" s="105"/>
      <c r="X45" s="105"/>
      <c r="Y45" s="105"/>
      <c r="Z45" s="105"/>
      <c r="AA45" s="105"/>
      <c r="AB45" s="105"/>
      <c r="AC45" s="105"/>
    </row>
    <row r="46" spans="1:29" ht="15.75" customHeight="1" x14ac:dyDescent="0.2">
      <c r="A46" s="106"/>
      <c r="B46" s="105"/>
      <c r="C46" s="105"/>
      <c r="D46" s="105"/>
      <c r="E46" s="105"/>
      <c r="F46" s="105"/>
      <c r="G46" s="105"/>
      <c r="H46" s="105"/>
      <c r="I46" s="105"/>
      <c r="J46" s="105"/>
      <c r="K46" s="105"/>
      <c r="L46" s="105"/>
      <c r="M46" s="105"/>
      <c r="N46" s="105"/>
      <c r="O46" s="105"/>
      <c r="P46" s="105"/>
      <c r="Q46" s="105"/>
      <c r="R46" s="105"/>
      <c r="S46" s="105"/>
      <c r="T46" s="105"/>
      <c r="U46" s="105"/>
      <c r="V46" s="105"/>
      <c r="W46" s="105"/>
      <c r="X46" s="105"/>
      <c r="Y46" s="105"/>
      <c r="Z46" s="105"/>
      <c r="AA46" s="105"/>
      <c r="AB46" s="105"/>
      <c r="AC46" s="105"/>
    </row>
    <row r="47" spans="1:29" ht="15.75" customHeight="1" x14ac:dyDescent="0.2">
      <c r="A47" s="106"/>
      <c r="B47" s="105"/>
      <c r="C47" s="105"/>
      <c r="D47" s="105"/>
      <c r="E47" s="105"/>
      <c r="F47" s="105"/>
      <c r="G47" s="105"/>
      <c r="H47" s="105"/>
      <c r="I47" s="105"/>
      <c r="J47" s="105"/>
      <c r="K47" s="105"/>
      <c r="L47" s="105"/>
      <c r="M47" s="105"/>
      <c r="N47" s="105"/>
      <c r="O47" s="105"/>
      <c r="P47" s="105"/>
      <c r="Q47" s="105"/>
      <c r="R47" s="105"/>
      <c r="S47" s="105"/>
      <c r="T47" s="105"/>
      <c r="U47" s="105"/>
      <c r="V47" s="105"/>
      <c r="W47" s="105"/>
      <c r="X47" s="105"/>
      <c r="Y47" s="105"/>
      <c r="Z47" s="105"/>
      <c r="AA47" s="105"/>
      <c r="AB47" s="105"/>
      <c r="AC47" s="105"/>
    </row>
    <row r="48" spans="1:29" ht="15.75" customHeight="1" x14ac:dyDescent="0.2">
      <c r="A48" s="106"/>
      <c r="B48" s="105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  <c r="Y48" s="105"/>
      <c r="Z48" s="105"/>
      <c r="AA48" s="105"/>
      <c r="AB48" s="105"/>
      <c r="AC48" s="105"/>
    </row>
    <row r="49" spans="1:29" ht="15.75" customHeight="1" x14ac:dyDescent="0.2">
      <c r="A49" s="106"/>
      <c r="B49" s="105"/>
      <c r="C49" s="105"/>
      <c r="D49" s="105"/>
      <c r="E49" s="105"/>
      <c r="F49" s="105"/>
      <c r="G49" s="105"/>
      <c r="H49" s="105"/>
      <c r="I49" s="105"/>
      <c r="J49" s="105"/>
      <c r="K49" s="105"/>
      <c r="L49" s="105"/>
      <c r="M49" s="105"/>
      <c r="N49" s="105"/>
      <c r="O49" s="105"/>
      <c r="P49" s="105"/>
      <c r="Q49" s="105"/>
      <c r="R49" s="105"/>
      <c r="S49" s="105"/>
      <c r="T49" s="105"/>
      <c r="U49" s="105"/>
      <c r="V49" s="105"/>
      <c r="W49" s="105"/>
      <c r="X49" s="105"/>
      <c r="Y49" s="105"/>
      <c r="Z49" s="105"/>
      <c r="AA49" s="105"/>
      <c r="AB49" s="105"/>
      <c r="AC49" s="105"/>
    </row>
    <row r="50" spans="1:29" ht="15.75" customHeight="1" x14ac:dyDescent="0.2">
      <c r="A50" s="106"/>
      <c r="B50" s="105"/>
      <c r="C50" s="105"/>
      <c r="D50" s="105"/>
      <c r="E50" s="105"/>
      <c r="F50" s="105"/>
      <c r="G50" s="105"/>
      <c r="H50" s="105"/>
      <c r="I50" s="105"/>
      <c r="J50" s="105"/>
      <c r="K50" s="105"/>
      <c r="L50" s="105"/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  <c r="AA50" s="105"/>
      <c r="AB50" s="105"/>
      <c r="AC50" s="105"/>
    </row>
    <row r="51" spans="1:29" ht="15.75" customHeight="1" x14ac:dyDescent="0.2">
      <c r="A51" s="106"/>
      <c r="B51" s="105"/>
      <c r="C51" s="105"/>
      <c r="D51" s="105"/>
      <c r="E51" s="105"/>
      <c r="F51" s="105"/>
      <c r="G51" s="105"/>
      <c r="H51" s="105"/>
      <c r="I51" s="105"/>
      <c r="J51" s="105"/>
      <c r="K51" s="105"/>
      <c r="L51" s="105"/>
      <c r="M51" s="105"/>
      <c r="N51" s="105"/>
      <c r="O51" s="105"/>
      <c r="P51" s="105"/>
      <c r="Q51" s="105"/>
      <c r="R51" s="105"/>
      <c r="S51" s="105"/>
      <c r="T51" s="105"/>
      <c r="U51" s="105"/>
      <c r="V51" s="105"/>
      <c r="W51" s="105"/>
      <c r="X51" s="105"/>
      <c r="Y51" s="105"/>
      <c r="Z51" s="105"/>
      <c r="AA51" s="105"/>
      <c r="AB51" s="105"/>
      <c r="AC51" s="105"/>
    </row>
    <row r="52" spans="1:29" ht="15.75" customHeight="1" x14ac:dyDescent="0.2">
      <c r="A52" s="106"/>
      <c r="B52" s="105"/>
      <c r="C52" s="105"/>
      <c r="D52" s="105"/>
      <c r="E52" s="105"/>
      <c r="F52" s="105"/>
      <c r="G52" s="105"/>
      <c r="H52" s="105"/>
      <c r="I52" s="105"/>
      <c r="J52" s="105"/>
      <c r="K52" s="105"/>
      <c r="L52" s="105"/>
      <c r="M52" s="105"/>
      <c r="N52" s="105"/>
      <c r="O52" s="105"/>
      <c r="P52" s="105"/>
      <c r="Q52" s="105"/>
      <c r="R52" s="105"/>
      <c r="S52" s="105"/>
      <c r="T52" s="105"/>
      <c r="U52" s="105"/>
      <c r="V52" s="105"/>
      <c r="W52" s="105"/>
      <c r="X52" s="105"/>
      <c r="Y52" s="105"/>
      <c r="Z52" s="105"/>
      <c r="AA52" s="105"/>
      <c r="AB52" s="105"/>
      <c r="AC52" s="105"/>
    </row>
    <row r="53" spans="1:29" ht="15.75" customHeight="1" x14ac:dyDescent="0.2">
      <c r="A53" s="106"/>
      <c r="B53" s="105"/>
      <c r="C53" s="105"/>
      <c r="D53" s="105"/>
      <c r="E53" s="105"/>
      <c r="F53" s="105"/>
      <c r="G53" s="105"/>
      <c r="H53" s="105"/>
      <c r="I53" s="105"/>
      <c r="J53" s="105"/>
      <c r="K53" s="105"/>
      <c r="L53" s="105"/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  <c r="AA53" s="105"/>
      <c r="AB53" s="105"/>
      <c r="AC53" s="105"/>
    </row>
    <row r="54" spans="1:29" ht="15.75" customHeight="1" x14ac:dyDescent="0.2">
      <c r="A54" s="106"/>
      <c r="B54" s="105"/>
      <c r="C54" s="105"/>
      <c r="D54" s="105"/>
      <c r="E54" s="105"/>
      <c r="F54" s="105"/>
      <c r="G54" s="105"/>
      <c r="H54" s="105"/>
      <c r="I54" s="105"/>
      <c r="J54" s="105"/>
      <c r="K54" s="105"/>
      <c r="L54" s="105"/>
      <c r="M54" s="105"/>
      <c r="N54" s="105"/>
      <c r="O54" s="105"/>
      <c r="P54" s="105"/>
      <c r="Q54" s="105"/>
      <c r="R54" s="105"/>
      <c r="S54" s="105"/>
      <c r="T54" s="105"/>
      <c r="U54" s="105"/>
      <c r="V54" s="105"/>
      <c r="W54" s="105"/>
      <c r="X54" s="105"/>
      <c r="Y54" s="105"/>
      <c r="Z54" s="105"/>
      <c r="AA54" s="105"/>
      <c r="AB54" s="105"/>
      <c r="AC54" s="105"/>
    </row>
    <row r="55" spans="1:29" ht="15.75" customHeight="1" x14ac:dyDescent="0.2">
      <c r="A55" s="106"/>
      <c r="B55" s="105"/>
      <c r="C55" s="105"/>
      <c r="D55" s="105"/>
      <c r="E55" s="105"/>
      <c r="F55" s="105"/>
      <c r="G55" s="105"/>
      <c r="H55" s="105"/>
      <c r="I55" s="105"/>
      <c r="J55" s="105"/>
      <c r="K55" s="105"/>
      <c r="L55" s="105"/>
      <c r="M55" s="105"/>
      <c r="N55" s="105"/>
      <c r="O55" s="105"/>
      <c r="P55" s="105"/>
      <c r="Q55" s="105"/>
      <c r="R55" s="105"/>
      <c r="S55" s="105"/>
      <c r="T55" s="105"/>
      <c r="U55" s="105"/>
      <c r="V55" s="105"/>
      <c r="W55" s="105"/>
      <c r="X55" s="105"/>
      <c r="Y55" s="105"/>
      <c r="Z55" s="105"/>
      <c r="AA55" s="105"/>
      <c r="AB55" s="105"/>
      <c r="AC55" s="105"/>
    </row>
    <row r="56" spans="1:29" ht="15.75" customHeight="1" x14ac:dyDescent="0.2">
      <c r="A56" s="106"/>
      <c r="B56" s="105"/>
      <c r="C56" s="105"/>
      <c r="D56" s="105"/>
      <c r="E56" s="105"/>
      <c r="F56" s="105"/>
      <c r="G56" s="105"/>
      <c r="H56" s="105"/>
      <c r="I56" s="105"/>
      <c r="J56" s="105"/>
      <c r="K56" s="105"/>
      <c r="L56" s="105"/>
      <c r="M56" s="105"/>
      <c r="N56" s="105"/>
      <c r="O56" s="105"/>
      <c r="P56" s="105"/>
      <c r="Q56" s="105"/>
      <c r="R56" s="105"/>
      <c r="S56" s="105"/>
      <c r="T56" s="105"/>
      <c r="U56" s="105"/>
      <c r="V56" s="105"/>
      <c r="W56" s="105"/>
      <c r="X56" s="105"/>
      <c r="Y56" s="105"/>
      <c r="Z56" s="105"/>
      <c r="AA56" s="105"/>
      <c r="AB56" s="105"/>
      <c r="AC56" s="105"/>
    </row>
    <row r="57" spans="1:29" ht="15.75" customHeight="1" x14ac:dyDescent="0.2">
      <c r="A57" s="106"/>
      <c r="B57" s="105"/>
      <c r="C57" s="105"/>
      <c r="D57" s="105"/>
      <c r="E57" s="105"/>
      <c r="F57" s="105"/>
      <c r="G57" s="105"/>
      <c r="H57" s="105"/>
      <c r="I57" s="105"/>
      <c r="J57" s="105"/>
      <c r="K57" s="105"/>
      <c r="L57" s="105"/>
      <c r="M57" s="105"/>
      <c r="N57" s="105"/>
      <c r="O57" s="105"/>
      <c r="P57" s="105"/>
      <c r="Q57" s="105"/>
      <c r="R57" s="105"/>
      <c r="S57" s="105"/>
      <c r="T57" s="105"/>
      <c r="U57" s="105"/>
      <c r="V57" s="105"/>
      <c r="W57" s="105"/>
      <c r="X57" s="105"/>
      <c r="Y57" s="105"/>
      <c r="Z57" s="105"/>
      <c r="AA57" s="105"/>
      <c r="AB57" s="105"/>
      <c r="AC57" s="105"/>
    </row>
    <row r="58" spans="1:29" ht="15.75" customHeight="1" x14ac:dyDescent="0.2">
      <c r="A58" s="106"/>
      <c r="B58" s="105"/>
      <c r="C58" s="105"/>
      <c r="D58" s="105"/>
      <c r="E58" s="105"/>
      <c r="F58" s="105"/>
      <c r="G58" s="105"/>
      <c r="H58" s="105"/>
      <c r="I58" s="105"/>
      <c r="J58" s="105"/>
      <c r="K58" s="105"/>
      <c r="L58" s="105"/>
      <c r="M58" s="105"/>
      <c r="N58" s="105"/>
      <c r="O58" s="105"/>
      <c r="P58" s="105"/>
      <c r="Q58" s="105"/>
      <c r="R58" s="105"/>
      <c r="S58" s="105"/>
      <c r="T58" s="105"/>
      <c r="U58" s="105"/>
      <c r="V58" s="105"/>
      <c r="W58" s="105"/>
      <c r="X58" s="105"/>
      <c r="Y58" s="105"/>
      <c r="Z58" s="105"/>
      <c r="AA58" s="105"/>
      <c r="AB58" s="105"/>
      <c r="AC58" s="105"/>
    </row>
    <row r="59" spans="1:29" ht="15.75" customHeight="1" x14ac:dyDescent="0.2">
      <c r="A59" s="106"/>
      <c r="B59" s="105"/>
      <c r="C59" s="105"/>
      <c r="D59" s="105"/>
      <c r="E59" s="105"/>
      <c r="F59" s="105"/>
      <c r="G59" s="105"/>
      <c r="H59" s="105"/>
      <c r="I59" s="105"/>
      <c r="J59" s="105"/>
      <c r="K59" s="105"/>
      <c r="L59" s="105"/>
      <c r="M59" s="105"/>
      <c r="N59" s="105"/>
      <c r="O59" s="105"/>
      <c r="P59" s="105"/>
      <c r="Q59" s="105"/>
      <c r="R59" s="105"/>
      <c r="S59" s="105"/>
      <c r="T59" s="105"/>
      <c r="U59" s="105"/>
      <c r="V59" s="105"/>
      <c r="W59" s="105"/>
      <c r="X59" s="105"/>
      <c r="Y59" s="105"/>
      <c r="Z59" s="105"/>
      <c r="AA59" s="105"/>
      <c r="AB59" s="105"/>
      <c r="AC59" s="105"/>
    </row>
    <row r="60" spans="1:29" ht="15.75" customHeight="1" x14ac:dyDescent="0.2">
      <c r="A60" s="106"/>
      <c r="B60" s="105"/>
      <c r="C60" s="105"/>
      <c r="D60" s="105"/>
      <c r="E60" s="105"/>
      <c r="F60" s="105"/>
      <c r="G60" s="105"/>
      <c r="H60" s="105"/>
      <c r="I60" s="105"/>
      <c r="J60" s="105"/>
      <c r="K60" s="105"/>
      <c r="L60" s="105"/>
      <c r="M60" s="105"/>
      <c r="N60" s="105"/>
      <c r="O60" s="105"/>
      <c r="P60" s="105"/>
      <c r="Q60" s="105"/>
      <c r="R60" s="105"/>
      <c r="S60" s="105"/>
      <c r="T60" s="105"/>
      <c r="U60" s="105"/>
      <c r="V60" s="105"/>
      <c r="W60" s="105"/>
      <c r="X60" s="105"/>
      <c r="Y60" s="105"/>
      <c r="Z60" s="105"/>
      <c r="AA60" s="105"/>
      <c r="AB60" s="105"/>
      <c r="AC60" s="105"/>
    </row>
    <row r="61" spans="1:29" ht="15.75" customHeight="1" x14ac:dyDescent="0.2">
      <c r="A61" s="106"/>
      <c r="B61" s="105"/>
      <c r="C61" s="105"/>
      <c r="D61" s="105"/>
      <c r="E61" s="105"/>
      <c r="F61" s="105"/>
      <c r="G61" s="105"/>
      <c r="H61" s="105"/>
      <c r="I61" s="105"/>
      <c r="J61" s="105"/>
      <c r="K61" s="105"/>
      <c r="L61" s="105"/>
      <c r="M61" s="105"/>
      <c r="N61" s="105"/>
      <c r="O61" s="105"/>
      <c r="P61" s="105"/>
      <c r="Q61" s="105"/>
      <c r="R61" s="105"/>
      <c r="S61" s="105"/>
      <c r="T61" s="105"/>
      <c r="U61" s="105"/>
      <c r="V61" s="105"/>
      <c r="W61" s="105"/>
      <c r="X61" s="105"/>
      <c r="Y61" s="105"/>
      <c r="Z61" s="105"/>
      <c r="AA61" s="105"/>
      <c r="AB61" s="105"/>
      <c r="AC61" s="105"/>
    </row>
    <row r="62" spans="1:29" ht="15.75" customHeight="1" x14ac:dyDescent="0.2">
      <c r="A62" s="106"/>
      <c r="B62" s="105"/>
      <c r="C62" s="105"/>
      <c r="D62" s="105"/>
      <c r="E62" s="105"/>
      <c r="F62" s="105"/>
      <c r="G62" s="105"/>
      <c r="H62" s="105"/>
      <c r="I62" s="105"/>
      <c r="J62" s="105"/>
      <c r="K62" s="105"/>
      <c r="L62" s="105"/>
      <c r="M62" s="105"/>
      <c r="N62" s="105"/>
      <c r="O62" s="105"/>
      <c r="P62" s="105"/>
      <c r="Q62" s="105"/>
      <c r="R62" s="105"/>
      <c r="S62" s="105"/>
      <c r="T62" s="105"/>
      <c r="U62" s="105"/>
      <c r="V62" s="105"/>
      <c r="W62" s="105"/>
      <c r="X62" s="105"/>
      <c r="Y62" s="105"/>
      <c r="Z62" s="105"/>
      <c r="AA62" s="105"/>
      <c r="AB62" s="105"/>
      <c r="AC62" s="105"/>
    </row>
    <row r="63" spans="1:29" ht="15.75" customHeight="1" x14ac:dyDescent="0.2">
      <c r="A63" s="106"/>
      <c r="B63" s="105"/>
      <c r="C63" s="105"/>
      <c r="D63" s="105"/>
      <c r="E63" s="105"/>
      <c r="F63" s="105"/>
      <c r="G63" s="105"/>
      <c r="H63" s="105"/>
      <c r="I63" s="105"/>
      <c r="J63" s="105"/>
      <c r="K63" s="105"/>
      <c r="L63" s="105"/>
      <c r="M63" s="105"/>
      <c r="N63" s="105"/>
      <c r="O63" s="105"/>
      <c r="P63" s="105"/>
      <c r="Q63" s="105"/>
      <c r="R63" s="105"/>
      <c r="S63" s="105"/>
      <c r="T63" s="105"/>
      <c r="U63" s="105"/>
      <c r="V63" s="105"/>
      <c r="W63" s="105"/>
      <c r="X63" s="105"/>
      <c r="Y63" s="105"/>
      <c r="Z63" s="105"/>
      <c r="AA63" s="105"/>
      <c r="AB63" s="105"/>
      <c r="AC63" s="105"/>
    </row>
    <row r="64" spans="1:29" ht="15.75" customHeight="1" x14ac:dyDescent="0.2">
      <c r="A64" s="106"/>
      <c r="B64" s="105"/>
      <c r="C64" s="105"/>
      <c r="D64" s="105"/>
      <c r="E64" s="105"/>
      <c r="F64" s="105"/>
      <c r="G64" s="105"/>
      <c r="H64" s="105"/>
      <c r="I64" s="105"/>
      <c r="J64" s="105"/>
      <c r="K64" s="105"/>
      <c r="L64" s="105"/>
      <c r="M64" s="105"/>
      <c r="N64" s="105"/>
      <c r="O64" s="105"/>
      <c r="P64" s="105"/>
      <c r="Q64" s="105"/>
      <c r="R64" s="105"/>
      <c r="S64" s="105"/>
      <c r="T64" s="105"/>
      <c r="U64" s="105"/>
      <c r="V64" s="105"/>
      <c r="W64" s="105"/>
      <c r="X64" s="105"/>
      <c r="Y64" s="105"/>
      <c r="Z64" s="105"/>
      <c r="AA64" s="105"/>
      <c r="AB64" s="105"/>
      <c r="AC64" s="105"/>
    </row>
    <row r="65" spans="1:29" ht="15.75" customHeight="1" x14ac:dyDescent="0.2">
      <c r="A65" s="106"/>
      <c r="B65" s="105"/>
      <c r="C65" s="105"/>
      <c r="D65" s="105"/>
      <c r="E65" s="105"/>
      <c r="F65" s="105"/>
      <c r="G65" s="105"/>
      <c r="H65" s="105"/>
      <c r="I65" s="105"/>
      <c r="J65" s="105"/>
      <c r="K65" s="105"/>
      <c r="L65" s="105"/>
      <c r="M65" s="105"/>
      <c r="N65" s="105"/>
      <c r="O65" s="105"/>
      <c r="P65" s="105"/>
      <c r="Q65" s="105"/>
      <c r="R65" s="105"/>
      <c r="S65" s="105"/>
      <c r="T65" s="105"/>
      <c r="U65" s="105"/>
      <c r="V65" s="105"/>
      <c r="W65" s="105"/>
      <c r="X65" s="105"/>
      <c r="Y65" s="105"/>
      <c r="Z65" s="105"/>
      <c r="AA65" s="105"/>
      <c r="AB65" s="105"/>
      <c r="AC65" s="105"/>
    </row>
    <row r="66" spans="1:29" ht="15.75" customHeight="1" x14ac:dyDescent="0.2">
      <c r="A66" s="106"/>
      <c r="B66" s="105"/>
      <c r="C66" s="105"/>
      <c r="D66" s="105"/>
      <c r="E66" s="105"/>
      <c r="F66" s="105"/>
      <c r="G66" s="105"/>
      <c r="H66" s="105"/>
      <c r="I66" s="105"/>
      <c r="J66" s="105"/>
      <c r="K66" s="105"/>
      <c r="L66" s="105"/>
      <c r="M66" s="105"/>
      <c r="N66" s="105"/>
      <c r="O66" s="105"/>
      <c r="P66" s="105"/>
      <c r="Q66" s="105"/>
      <c r="R66" s="105"/>
      <c r="S66" s="105"/>
      <c r="T66" s="105"/>
      <c r="U66" s="105"/>
      <c r="V66" s="105"/>
      <c r="W66" s="105"/>
      <c r="X66" s="105"/>
      <c r="Y66" s="105"/>
      <c r="Z66" s="105"/>
      <c r="AA66" s="105"/>
      <c r="AB66" s="105"/>
      <c r="AC66" s="105"/>
    </row>
    <row r="67" spans="1:29" ht="15.75" customHeight="1" x14ac:dyDescent="0.2">
      <c r="A67" s="106"/>
      <c r="B67" s="105"/>
      <c r="C67" s="105"/>
      <c r="D67" s="105"/>
      <c r="E67" s="105"/>
      <c r="F67" s="105"/>
      <c r="G67" s="105"/>
      <c r="H67" s="105"/>
      <c r="I67" s="105"/>
      <c r="J67" s="105"/>
      <c r="K67" s="105"/>
      <c r="L67" s="105"/>
      <c r="M67" s="105"/>
      <c r="N67" s="105"/>
      <c r="O67" s="105"/>
      <c r="P67" s="105"/>
      <c r="Q67" s="105"/>
      <c r="R67" s="105"/>
      <c r="S67" s="105"/>
      <c r="T67" s="105"/>
      <c r="U67" s="105"/>
      <c r="V67" s="105"/>
      <c r="W67" s="105"/>
      <c r="X67" s="105"/>
      <c r="Y67" s="105"/>
      <c r="Z67" s="105"/>
      <c r="AA67" s="105"/>
      <c r="AB67" s="105"/>
      <c r="AC67" s="105"/>
    </row>
    <row r="68" spans="1:29" ht="15.75" customHeight="1" x14ac:dyDescent="0.2">
      <c r="A68" s="106"/>
      <c r="B68" s="105"/>
      <c r="C68" s="105"/>
      <c r="D68" s="105"/>
      <c r="E68" s="105"/>
      <c r="F68" s="105"/>
      <c r="G68" s="105"/>
      <c r="H68" s="105"/>
      <c r="I68" s="105"/>
      <c r="J68" s="105"/>
      <c r="K68" s="105"/>
      <c r="L68" s="105"/>
      <c r="M68" s="105"/>
      <c r="N68" s="105"/>
      <c r="O68" s="105"/>
      <c r="P68" s="105"/>
      <c r="Q68" s="105"/>
      <c r="R68" s="105"/>
      <c r="S68" s="105"/>
      <c r="T68" s="105"/>
      <c r="U68" s="105"/>
      <c r="V68" s="105"/>
      <c r="W68" s="105"/>
      <c r="X68" s="105"/>
      <c r="Y68" s="105"/>
      <c r="Z68" s="105"/>
      <c r="AA68" s="105"/>
      <c r="AB68" s="105"/>
      <c r="AC68" s="105"/>
    </row>
    <row r="69" spans="1:29" ht="15.75" customHeight="1" x14ac:dyDescent="0.2">
      <c r="A69" s="106"/>
      <c r="B69" s="105"/>
      <c r="C69" s="105"/>
      <c r="D69" s="105"/>
      <c r="E69" s="105"/>
      <c r="F69" s="105"/>
      <c r="G69" s="105"/>
      <c r="H69" s="105"/>
      <c r="I69" s="105"/>
      <c r="J69" s="105"/>
      <c r="K69" s="105"/>
      <c r="L69" s="105"/>
      <c r="M69" s="105"/>
      <c r="N69" s="105"/>
      <c r="O69" s="105"/>
      <c r="P69" s="105"/>
      <c r="Q69" s="105"/>
      <c r="R69" s="105"/>
      <c r="S69" s="105"/>
      <c r="T69" s="105"/>
      <c r="U69" s="105"/>
      <c r="V69" s="105"/>
      <c r="W69" s="105"/>
      <c r="X69" s="105"/>
      <c r="Y69" s="105"/>
      <c r="Z69" s="105"/>
      <c r="AA69" s="105"/>
      <c r="AB69" s="105"/>
      <c r="AC69" s="105"/>
    </row>
    <row r="70" spans="1:29" ht="15.75" customHeight="1" x14ac:dyDescent="0.2">
      <c r="A70" s="106"/>
      <c r="B70" s="105"/>
      <c r="C70" s="105"/>
      <c r="D70" s="105"/>
      <c r="E70" s="105"/>
      <c r="F70" s="105"/>
      <c r="G70" s="105"/>
      <c r="H70" s="105"/>
      <c r="I70" s="105"/>
      <c r="J70" s="105"/>
      <c r="K70" s="105"/>
      <c r="L70" s="105"/>
      <c r="M70" s="105"/>
      <c r="N70" s="105"/>
      <c r="O70" s="105"/>
      <c r="P70" s="105"/>
      <c r="Q70" s="105"/>
      <c r="R70" s="105"/>
      <c r="S70" s="105"/>
      <c r="T70" s="105"/>
      <c r="U70" s="105"/>
      <c r="V70" s="105"/>
      <c r="W70" s="105"/>
      <c r="X70" s="105"/>
      <c r="Y70" s="105"/>
      <c r="Z70" s="105"/>
      <c r="AA70" s="105"/>
      <c r="AB70" s="105"/>
      <c r="AC70" s="105"/>
    </row>
    <row r="71" spans="1:29" ht="15.75" customHeight="1" x14ac:dyDescent="0.2">
      <c r="A71" s="106"/>
      <c r="B71" s="105"/>
      <c r="C71" s="105"/>
      <c r="D71" s="105"/>
      <c r="E71" s="105"/>
      <c r="F71" s="105"/>
      <c r="G71" s="105"/>
      <c r="H71" s="105"/>
      <c r="I71" s="105"/>
      <c r="J71" s="105"/>
      <c r="K71" s="105"/>
      <c r="L71" s="105"/>
      <c r="M71" s="105"/>
      <c r="N71" s="105"/>
      <c r="O71" s="105"/>
      <c r="P71" s="105"/>
      <c r="Q71" s="105"/>
      <c r="R71" s="105"/>
      <c r="S71" s="105"/>
      <c r="T71" s="105"/>
      <c r="U71" s="105"/>
      <c r="V71" s="105"/>
      <c r="W71" s="105"/>
      <c r="X71" s="105"/>
      <c r="Y71" s="105"/>
      <c r="Z71" s="105"/>
      <c r="AA71" s="105"/>
      <c r="AB71" s="105"/>
      <c r="AC71" s="105"/>
    </row>
    <row r="72" spans="1:29" ht="15.75" customHeight="1" x14ac:dyDescent="0.2">
      <c r="A72" s="106"/>
      <c r="B72" s="105"/>
      <c r="C72" s="105"/>
      <c r="D72" s="105"/>
      <c r="E72" s="105"/>
      <c r="F72" s="105"/>
      <c r="G72" s="105"/>
      <c r="H72" s="105"/>
      <c r="I72" s="105"/>
      <c r="J72" s="105"/>
      <c r="K72" s="105"/>
      <c r="L72" s="105"/>
      <c r="M72" s="105"/>
      <c r="N72" s="105"/>
      <c r="O72" s="105"/>
      <c r="P72" s="105"/>
      <c r="Q72" s="105"/>
      <c r="R72" s="105"/>
      <c r="S72" s="105"/>
      <c r="T72" s="105"/>
      <c r="U72" s="105"/>
      <c r="V72" s="105"/>
      <c r="W72" s="105"/>
      <c r="X72" s="105"/>
      <c r="Y72" s="105"/>
      <c r="Z72" s="105"/>
      <c r="AA72" s="105"/>
      <c r="AB72" s="105"/>
      <c r="AC72" s="105"/>
    </row>
    <row r="73" spans="1:29" ht="15.75" customHeight="1" x14ac:dyDescent="0.2">
      <c r="A73" s="106"/>
      <c r="B73" s="105"/>
      <c r="C73" s="105"/>
      <c r="D73" s="105"/>
      <c r="E73" s="105"/>
      <c r="F73" s="105"/>
      <c r="G73" s="105"/>
      <c r="H73" s="105"/>
      <c r="I73" s="105"/>
      <c r="J73" s="105"/>
      <c r="K73" s="105"/>
      <c r="L73" s="105"/>
      <c r="M73" s="105"/>
      <c r="N73" s="105"/>
      <c r="O73" s="105"/>
      <c r="P73" s="105"/>
      <c r="Q73" s="105"/>
      <c r="R73" s="105"/>
      <c r="S73" s="105"/>
      <c r="T73" s="105"/>
      <c r="U73" s="105"/>
      <c r="V73" s="105"/>
      <c r="W73" s="105"/>
      <c r="X73" s="105"/>
      <c r="Y73" s="105"/>
      <c r="Z73" s="105"/>
      <c r="AA73" s="105"/>
      <c r="AB73" s="105"/>
      <c r="AC73" s="105"/>
    </row>
    <row r="74" spans="1:29" ht="15.75" customHeight="1" x14ac:dyDescent="0.2">
      <c r="A74" s="106"/>
      <c r="B74" s="105"/>
      <c r="C74" s="105"/>
      <c r="D74" s="105"/>
      <c r="E74" s="105"/>
      <c r="F74" s="105"/>
      <c r="G74" s="105"/>
      <c r="H74" s="105"/>
      <c r="I74" s="105"/>
      <c r="J74" s="105"/>
      <c r="K74" s="105"/>
      <c r="L74" s="105"/>
      <c r="M74" s="105"/>
      <c r="N74" s="105"/>
      <c r="O74" s="105"/>
      <c r="P74" s="105"/>
      <c r="Q74" s="105"/>
      <c r="R74" s="105"/>
      <c r="S74" s="105"/>
      <c r="T74" s="105"/>
      <c r="U74" s="105"/>
      <c r="V74" s="105"/>
      <c r="W74" s="105"/>
      <c r="X74" s="105"/>
      <c r="Y74" s="105"/>
      <c r="Z74" s="105"/>
      <c r="AA74" s="105"/>
      <c r="AB74" s="105"/>
      <c r="AC74" s="105"/>
    </row>
    <row r="75" spans="1:29" ht="15.75" customHeight="1" x14ac:dyDescent="0.2">
      <c r="A75" s="106"/>
      <c r="B75" s="105"/>
      <c r="C75" s="105"/>
      <c r="D75" s="105"/>
      <c r="E75" s="105"/>
      <c r="F75" s="105"/>
      <c r="G75" s="105"/>
      <c r="H75" s="105"/>
      <c r="I75" s="105"/>
      <c r="J75" s="105"/>
      <c r="K75" s="105"/>
      <c r="L75" s="105"/>
      <c r="M75" s="105"/>
      <c r="N75" s="105"/>
      <c r="O75" s="105"/>
      <c r="P75" s="105"/>
      <c r="Q75" s="105"/>
      <c r="R75" s="105"/>
      <c r="S75" s="105"/>
      <c r="T75" s="105"/>
      <c r="U75" s="105"/>
      <c r="V75" s="105"/>
      <c r="W75" s="105"/>
      <c r="X75" s="105"/>
      <c r="Y75" s="105"/>
      <c r="Z75" s="105"/>
      <c r="AA75" s="105"/>
      <c r="AB75" s="105"/>
      <c r="AC75" s="105"/>
    </row>
    <row r="76" spans="1:29" ht="15.75" customHeight="1" x14ac:dyDescent="0.2">
      <c r="A76" s="106"/>
      <c r="B76" s="105"/>
      <c r="C76" s="105"/>
      <c r="D76" s="105"/>
      <c r="E76" s="105"/>
      <c r="F76" s="105"/>
      <c r="G76" s="105"/>
      <c r="H76" s="105"/>
      <c r="I76" s="105"/>
      <c r="J76" s="105"/>
      <c r="K76" s="105"/>
      <c r="L76" s="105"/>
      <c r="M76" s="105"/>
      <c r="N76" s="105"/>
      <c r="O76" s="105"/>
      <c r="P76" s="105"/>
      <c r="Q76" s="105"/>
      <c r="R76" s="105"/>
      <c r="S76" s="105"/>
      <c r="T76" s="105"/>
      <c r="U76" s="105"/>
      <c r="V76" s="105"/>
      <c r="W76" s="105"/>
      <c r="X76" s="105"/>
      <c r="Y76" s="105"/>
      <c r="Z76" s="105"/>
      <c r="AA76" s="105"/>
      <c r="AB76" s="105"/>
      <c r="AC76" s="105"/>
    </row>
    <row r="77" spans="1:29" ht="15.75" customHeight="1" x14ac:dyDescent="0.2">
      <c r="A77" s="106"/>
      <c r="B77" s="105"/>
      <c r="C77" s="105"/>
      <c r="D77" s="105"/>
      <c r="E77" s="105"/>
      <c r="F77" s="105"/>
      <c r="G77" s="105"/>
      <c r="H77" s="105"/>
      <c r="I77" s="105"/>
      <c r="J77" s="105"/>
      <c r="K77" s="105"/>
      <c r="L77" s="105"/>
      <c r="M77" s="105"/>
      <c r="N77" s="105"/>
      <c r="O77" s="105"/>
      <c r="P77" s="105"/>
      <c r="Q77" s="105"/>
      <c r="R77" s="105"/>
      <c r="S77" s="105"/>
      <c r="T77" s="105"/>
      <c r="U77" s="105"/>
      <c r="V77" s="105"/>
      <c r="W77" s="105"/>
      <c r="X77" s="105"/>
      <c r="Y77" s="105"/>
      <c r="Z77" s="105"/>
      <c r="AA77" s="105"/>
      <c r="AB77" s="105"/>
      <c r="AC77" s="105"/>
    </row>
    <row r="78" spans="1:29" ht="15.75" customHeight="1" x14ac:dyDescent="0.2">
      <c r="A78" s="106"/>
      <c r="B78" s="105"/>
      <c r="C78" s="105"/>
      <c r="D78" s="105"/>
      <c r="E78" s="105"/>
      <c r="F78" s="105"/>
      <c r="G78" s="105"/>
      <c r="H78" s="105"/>
      <c r="I78" s="105"/>
      <c r="J78" s="105"/>
      <c r="K78" s="105"/>
      <c r="L78" s="105"/>
      <c r="M78" s="105"/>
      <c r="N78" s="105"/>
      <c r="O78" s="105"/>
      <c r="P78" s="105"/>
      <c r="Q78" s="105"/>
      <c r="R78" s="105"/>
      <c r="S78" s="105"/>
      <c r="T78" s="105"/>
      <c r="U78" s="105"/>
      <c r="V78" s="105"/>
      <c r="W78" s="105"/>
      <c r="X78" s="105"/>
      <c r="Y78" s="105"/>
      <c r="Z78" s="105"/>
      <c r="AA78" s="105"/>
      <c r="AB78" s="105"/>
      <c r="AC78" s="105"/>
    </row>
    <row r="79" spans="1:29" ht="15.75" customHeight="1" x14ac:dyDescent="0.2">
      <c r="A79" s="106"/>
      <c r="B79" s="105"/>
      <c r="C79" s="105"/>
      <c r="D79" s="105"/>
      <c r="E79" s="105"/>
      <c r="F79" s="105"/>
      <c r="G79" s="105"/>
      <c r="H79" s="105"/>
      <c r="I79" s="105"/>
      <c r="J79" s="105"/>
      <c r="K79" s="105"/>
      <c r="L79" s="105"/>
      <c r="M79" s="105"/>
      <c r="N79" s="105"/>
      <c r="O79" s="105"/>
      <c r="P79" s="105"/>
      <c r="Q79" s="105"/>
      <c r="R79" s="105"/>
      <c r="S79" s="105"/>
      <c r="T79" s="105"/>
      <c r="U79" s="105"/>
      <c r="V79" s="105"/>
      <c r="W79" s="105"/>
      <c r="X79" s="105"/>
      <c r="Y79" s="105"/>
      <c r="Z79" s="105"/>
      <c r="AA79" s="105"/>
      <c r="AB79" s="105"/>
      <c r="AC79" s="105"/>
    </row>
    <row r="80" spans="1:29" ht="15.75" customHeight="1" x14ac:dyDescent="0.2">
      <c r="A80" s="106"/>
      <c r="B80" s="105"/>
      <c r="C80" s="105"/>
      <c r="D80" s="105"/>
      <c r="E80" s="105"/>
      <c r="F80" s="105"/>
      <c r="G80" s="105"/>
      <c r="H80" s="105"/>
      <c r="I80" s="105"/>
      <c r="J80" s="105"/>
      <c r="K80" s="105"/>
      <c r="L80" s="105"/>
      <c r="M80" s="105"/>
      <c r="N80" s="105"/>
      <c r="O80" s="105"/>
      <c r="P80" s="105"/>
      <c r="Q80" s="105"/>
      <c r="R80" s="105"/>
      <c r="S80" s="105"/>
      <c r="T80" s="105"/>
      <c r="U80" s="105"/>
      <c r="V80" s="105"/>
      <c r="W80" s="105"/>
      <c r="X80" s="105"/>
      <c r="Y80" s="105"/>
      <c r="Z80" s="105"/>
      <c r="AA80" s="105"/>
      <c r="AB80" s="105"/>
      <c r="AC80" s="105"/>
    </row>
    <row r="81" spans="1:29" ht="15.75" customHeight="1" x14ac:dyDescent="0.2">
      <c r="A81" s="106"/>
      <c r="B81" s="105"/>
      <c r="C81" s="105"/>
      <c r="D81" s="105"/>
      <c r="E81" s="105"/>
      <c r="F81" s="105"/>
      <c r="G81" s="105"/>
      <c r="H81" s="105"/>
      <c r="I81" s="105"/>
      <c r="J81" s="105"/>
      <c r="K81" s="105"/>
      <c r="L81" s="105"/>
      <c r="M81" s="105"/>
      <c r="N81" s="105"/>
      <c r="O81" s="105"/>
      <c r="P81" s="105"/>
      <c r="Q81" s="105"/>
      <c r="R81" s="105"/>
      <c r="S81" s="105"/>
      <c r="T81" s="105"/>
      <c r="U81" s="105"/>
      <c r="V81" s="105"/>
      <c r="W81" s="105"/>
      <c r="X81" s="105"/>
      <c r="Y81" s="105"/>
      <c r="Z81" s="105"/>
      <c r="AA81" s="105"/>
      <c r="AB81" s="105"/>
      <c r="AC81" s="105"/>
    </row>
    <row r="82" spans="1:29" ht="15.75" customHeight="1" x14ac:dyDescent="0.2">
      <c r="A82" s="106"/>
      <c r="B82" s="105"/>
      <c r="C82" s="105"/>
      <c r="D82" s="105"/>
      <c r="E82" s="105"/>
      <c r="F82" s="105"/>
      <c r="G82" s="105"/>
      <c r="H82" s="105"/>
      <c r="I82" s="105"/>
      <c r="J82" s="105"/>
      <c r="K82" s="105"/>
      <c r="L82" s="105"/>
      <c r="M82" s="105"/>
      <c r="N82" s="105"/>
      <c r="O82" s="105"/>
      <c r="P82" s="105"/>
      <c r="Q82" s="105"/>
      <c r="R82" s="105"/>
      <c r="S82" s="105"/>
      <c r="T82" s="105"/>
      <c r="U82" s="105"/>
      <c r="V82" s="105"/>
      <c r="W82" s="105"/>
      <c r="X82" s="105"/>
      <c r="Y82" s="105"/>
      <c r="Z82" s="105"/>
      <c r="AA82" s="105"/>
      <c r="AB82" s="105"/>
      <c r="AC82" s="105"/>
    </row>
    <row r="83" spans="1:29" ht="15.75" customHeight="1" x14ac:dyDescent="0.2">
      <c r="A83" s="106"/>
      <c r="B83" s="105"/>
      <c r="C83" s="105"/>
      <c r="D83" s="105"/>
      <c r="E83" s="105"/>
      <c r="F83" s="105"/>
      <c r="G83" s="105"/>
      <c r="H83" s="105"/>
      <c r="I83" s="105"/>
      <c r="J83" s="105"/>
      <c r="K83" s="105"/>
      <c r="L83" s="105"/>
      <c r="M83" s="105"/>
      <c r="N83" s="105"/>
      <c r="O83" s="105"/>
      <c r="P83" s="105"/>
      <c r="Q83" s="105"/>
      <c r="R83" s="105"/>
      <c r="S83" s="105"/>
      <c r="T83" s="105"/>
      <c r="U83" s="105"/>
      <c r="V83" s="105"/>
      <c r="W83" s="105"/>
      <c r="X83" s="105"/>
      <c r="Y83" s="105"/>
      <c r="Z83" s="105"/>
      <c r="AA83" s="105"/>
      <c r="AB83" s="105"/>
      <c r="AC83" s="105"/>
    </row>
    <row r="84" spans="1:29" ht="15.75" customHeight="1" x14ac:dyDescent="0.2">
      <c r="A84" s="106"/>
      <c r="B84" s="105"/>
      <c r="C84" s="105"/>
      <c r="D84" s="105"/>
      <c r="E84" s="105"/>
      <c r="F84" s="105"/>
      <c r="G84" s="105"/>
      <c r="H84" s="105"/>
      <c r="I84" s="105"/>
      <c r="J84" s="105"/>
      <c r="K84" s="105"/>
      <c r="L84" s="105"/>
      <c r="M84" s="105"/>
      <c r="N84" s="105"/>
      <c r="O84" s="105"/>
      <c r="P84" s="105"/>
      <c r="Q84" s="105"/>
      <c r="R84" s="105"/>
      <c r="S84" s="105"/>
      <c r="T84" s="105"/>
      <c r="U84" s="105"/>
      <c r="V84" s="105"/>
      <c r="W84" s="105"/>
      <c r="X84" s="105"/>
      <c r="Y84" s="105"/>
      <c r="Z84" s="105"/>
      <c r="AA84" s="105"/>
      <c r="AB84" s="105"/>
      <c r="AC84" s="105"/>
    </row>
    <row r="85" spans="1:29" ht="15.75" customHeight="1" x14ac:dyDescent="0.2">
      <c r="A85" s="106"/>
      <c r="B85" s="105"/>
      <c r="C85" s="105"/>
      <c r="D85" s="105"/>
      <c r="E85" s="105"/>
      <c r="F85" s="105"/>
      <c r="G85" s="105"/>
      <c r="H85" s="105"/>
      <c r="I85" s="105"/>
      <c r="J85" s="105"/>
      <c r="K85" s="105"/>
      <c r="L85" s="105"/>
      <c r="M85" s="105"/>
      <c r="N85" s="105"/>
      <c r="O85" s="105"/>
      <c r="P85" s="105"/>
      <c r="Q85" s="105"/>
      <c r="R85" s="105"/>
      <c r="S85" s="105"/>
      <c r="T85" s="105"/>
      <c r="U85" s="105"/>
      <c r="V85" s="105"/>
      <c r="W85" s="105"/>
      <c r="X85" s="105"/>
      <c r="Y85" s="105"/>
      <c r="Z85" s="105"/>
      <c r="AA85" s="105"/>
      <c r="AB85" s="105"/>
      <c r="AC85" s="105"/>
    </row>
    <row r="86" spans="1:29" ht="15.75" customHeight="1" x14ac:dyDescent="0.2">
      <c r="A86" s="106"/>
      <c r="B86" s="105"/>
      <c r="C86" s="105"/>
      <c r="D86" s="105"/>
      <c r="E86" s="105"/>
      <c r="F86" s="105"/>
      <c r="G86" s="105"/>
      <c r="H86" s="105"/>
      <c r="I86" s="105"/>
      <c r="J86" s="105"/>
      <c r="K86" s="105"/>
      <c r="L86" s="105"/>
      <c r="M86" s="105"/>
      <c r="N86" s="105"/>
      <c r="O86" s="105"/>
      <c r="P86" s="105"/>
      <c r="Q86" s="105"/>
      <c r="R86" s="105"/>
      <c r="S86" s="105"/>
      <c r="T86" s="105"/>
      <c r="U86" s="105"/>
      <c r="V86" s="105"/>
      <c r="W86" s="105"/>
      <c r="X86" s="105"/>
      <c r="Y86" s="105"/>
      <c r="Z86" s="105"/>
      <c r="AA86" s="105"/>
      <c r="AB86" s="105"/>
      <c r="AC86" s="105"/>
    </row>
    <row r="87" spans="1:29" ht="15.75" customHeight="1" x14ac:dyDescent="0.2">
      <c r="A87" s="106"/>
      <c r="B87" s="105"/>
      <c r="C87" s="105"/>
      <c r="D87" s="105"/>
      <c r="E87" s="105"/>
      <c r="F87" s="105"/>
      <c r="G87" s="105"/>
      <c r="H87" s="105"/>
      <c r="I87" s="105"/>
      <c r="J87" s="105"/>
      <c r="K87" s="105"/>
      <c r="L87" s="105"/>
      <c r="M87" s="105"/>
      <c r="N87" s="105"/>
      <c r="O87" s="105"/>
      <c r="P87" s="105"/>
      <c r="Q87" s="105"/>
      <c r="R87" s="105"/>
      <c r="S87" s="105"/>
      <c r="T87" s="105"/>
      <c r="U87" s="105"/>
      <c r="V87" s="105"/>
      <c r="W87" s="105"/>
      <c r="X87" s="105"/>
      <c r="Y87" s="105"/>
      <c r="Z87" s="105"/>
      <c r="AA87" s="105"/>
      <c r="AB87" s="105"/>
      <c r="AC87" s="105"/>
    </row>
    <row r="88" spans="1:29" ht="15.75" customHeight="1" x14ac:dyDescent="0.2">
      <c r="A88" s="106"/>
      <c r="B88" s="105"/>
      <c r="C88" s="105"/>
      <c r="D88" s="105"/>
      <c r="E88" s="105"/>
      <c r="F88" s="105"/>
      <c r="G88" s="105"/>
      <c r="H88" s="105"/>
      <c r="I88" s="105"/>
      <c r="J88" s="105"/>
      <c r="K88" s="105"/>
      <c r="L88" s="105"/>
      <c r="M88" s="105"/>
      <c r="N88" s="105"/>
      <c r="O88" s="105"/>
      <c r="P88" s="105"/>
      <c r="Q88" s="105"/>
      <c r="R88" s="105"/>
      <c r="S88" s="105"/>
      <c r="T88" s="105"/>
      <c r="U88" s="105"/>
      <c r="V88" s="105"/>
      <c r="W88" s="105"/>
      <c r="X88" s="105"/>
      <c r="Y88" s="105"/>
      <c r="Z88" s="105"/>
      <c r="AA88" s="105"/>
      <c r="AB88" s="105"/>
      <c r="AC88" s="105"/>
    </row>
    <row r="89" spans="1:29" ht="15.75" customHeight="1" x14ac:dyDescent="0.2">
      <c r="A89" s="106"/>
      <c r="B89" s="105"/>
      <c r="C89" s="105"/>
      <c r="D89" s="105"/>
      <c r="E89" s="105"/>
      <c r="F89" s="105"/>
      <c r="G89" s="105"/>
      <c r="H89" s="105"/>
      <c r="I89" s="105"/>
      <c r="J89" s="105"/>
      <c r="K89" s="105"/>
      <c r="L89" s="105"/>
      <c r="M89" s="105"/>
      <c r="N89" s="105"/>
      <c r="O89" s="105"/>
      <c r="P89" s="105"/>
      <c r="Q89" s="105"/>
      <c r="R89" s="105"/>
      <c r="S89" s="105"/>
      <c r="T89" s="105"/>
      <c r="U89" s="105"/>
      <c r="V89" s="105"/>
      <c r="W89" s="105"/>
      <c r="X89" s="105"/>
      <c r="Y89" s="105"/>
      <c r="Z89" s="105"/>
      <c r="AA89" s="105"/>
      <c r="AB89" s="105"/>
      <c r="AC89" s="105"/>
    </row>
    <row r="90" spans="1:29" ht="15.75" customHeight="1" x14ac:dyDescent="0.2">
      <c r="A90" s="106"/>
      <c r="B90" s="105"/>
      <c r="C90" s="105"/>
      <c r="D90" s="105"/>
      <c r="E90" s="105"/>
      <c r="F90" s="105"/>
      <c r="G90" s="105"/>
      <c r="H90" s="105"/>
      <c r="I90" s="105"/>
      <c r="J90" s="105"/>
      <c r="K90" s="105"/>
      <c r="L90" s="105"/>
      <c r="M90" s="105"/>
      <c r="N90" s="105"/>
      <c r="O90" s="105"/>
      <c r="P90" s="105"/>
      <c r="Q90" s="105"/>
      <c r="R90" s="105"/>
      <c r="S90" s="105"/>
      <c r="T90" s="105"/>
      <c r="U90" s="105"/>
      <c r="V90" s="105"/>
      <c r="W90" s="105"/>
      <c r="X90" s="105"/>
      <c r="Y90" s="105"/>
      <c r="Z90" s="105"/>
      <c r="AA90" s="105"/>
      <c r="AB90" s="105"/>
      <c r="AC90" s="105"/>
    </row>
    <row r="91" spans="1:29" ht="15.75" customHeight="1" x14ac:dyDescent="0.2">
      <c r="A91" s="106"/>
      <c r="B91" s="105"/>
      <c r="C91" s="105"/>
      <c r="D91" s="105"/>
      <c r="E91" s="105"/>
      <c r="F91" s="105"/>
      <c r="G91" s="105"/>
      <c r="H91" s="105"/>
      <c r="I91" s="105"/>
      <c r="J91" s="105"/>
      <c r="K91" s="105"/>
      <c r="L91" s="105"/>
      <c r="M91" s="105"/>
      <c r="N91" s="105"/>
      <c r="O91" s="105"/>
      <c r="P91" s="105"/>
      <c r="Q91" s="105"/>
      <c r="R91" s="105"/>
      <c r="S91" s="105"/>
      <c r="T91" s="105"/>
      <c r="U91" s="105"/>
      <c r="V91" s="105"/>
      <c r="W91" s="105"/>
      <c r="X91" s="105"/>
      <c r="Y91" s="105"/>
      <c r="Z91" s="105"/>
      <c r="AA91" s="105"/>
      <c r="AB91" s="105"/>
      <c r="AC91" s="105"/>
    </row>
    <row r="92" spans="1:29" ht="15.75" customHeight="1" x14ac:dyDescent="0.2">
      <c r="A92" s="106"/>
      <c r="B92" s="105"/>
      <c r="C92" s="105"/>
      <c r="D92" s="105"/>
      <c r="E92" s="105"/>
      <c r="F92" s="105"/>
      <c r="G92" s="105"/>
      <c r="H92" s="105"/>
      <c r="I92" s="105"/>
      <c r="J92" s="105"/>
      <c r="K92" s="105"/>
      <c r="L92" s="105"/>
      <c r="M92" s="105"/>
      <c r="N92" s="105"/>
      <c r="O92" s="105"/>
      <c r="P92" s="105"/>
      <c r="Q92" s="105"/>
      <c r="R92" s="105"/>
      <c r="S92" s="105"/>
      <c r="T92" s="105"/>
      <c r="U92" s="105"/>
      <c r="V92" s="105"/>
      <c r="W92" s="105"/>
      <c r="X92" s="105"/>
      <c r="Y92" s="105"/>
      <c r="Z92" s="105"/>
      <c r="AA92" s="105"/>
      <c r="AB92" s="105"/>
      <c r="AC92" s="105"/>
    </row>
    <row r="93" spans="1:29" ht="15.75" customHeight="1" x14ac:dyDescent="0.2">
      <c r="A93" s="106"/>
      <c r="B93" s="105"/>
      <c r="C93" s="105"/>
      <c r="D93" s="105"/>
      <c r="E93" s="105"/>
      <c r="F93" s="105"/>
      <c r="G93" s="105"/>
      <c r="H93" s="105"/>
      <c r="I93" s="105"/>
      <c r="J93" s="105"/>
      <c r="K93" s="105"/>
      <c r="L93" s="105"/>
      <c r="M93" s="105"/>
      <c r="N93" s="105"/>
      <c r="O93" s="105"/>
      <c r="P93" s="105"/>
      <c r="Q93" s="105"/>
      <c r="R93" s="105"/>
      <c r="S93" s="105"/>
      <c r="T93" s="105"/>
      <c r="U93" s="105"/>
      <c r="V93" s="105"/>
      <c r="W93" s="105"/>
      <c r="X93" s="105"/>
      <c r="Y93" s="105"/>
      <c r="Z93" s="105"/>
      <c r="AA93" s="105"/>
      <c r="AB93" s="105"/>
      <c r="AC93" s="105"/>
    </row>
    <row r="94" spans="1:29" ht="15.75" customHeight="1" x14ac:dyDescent="0.2">
      <c r="A94" s="106"/>
      <c r="B94" s="105"/>
      <c r="C94" s="105"/>
      <c r="D94" s="105"/>
      <c r="E94" s="105"/>
      <c r="F94" s="105"/>
      <c r="G94" s="105"/>
      <c r="H94" s="105"/>
      <c r="I94" s="105"/>
      <c r="J94" s="105"/>
      <c r="K94" s="105"/>
      <c r="L94" s="105"/>
      <c r="M94" s="105"/>
      <c r="N94" s="105"/>
      <c r="O94" s="105"/>
      <c r="P94" s="105"/>
      <c r="Q94" s="105"/>
      <c r="R94" s="105"/>
      <c r="S94" s="105"/>
      <c r="T94" s="105"/>
      <c r="U94" s="105"/>
      <c r="V94" s="105"/>
      <c r="W94" s="105"/>
      <c r="X94" s="105"/>
      <c r="Y94" s="105"/>
      <c r="Z94" s="105"/>
      <c r="AA94" s="105"/>
      <c r="AB94" s="105"/>
      <c r="AC94" s="105"/>
    </row>
    <row r="95" spans="1:29" ht="15.75" customHeight="1" x14ac:dyDescent="0.2">
      <c r="A95" s="106"/>
      <c r="B95" s="105"/>
      <c r="C95" s="105"/>
      <c r="D95" s="105"/>
      <c r="E95" s="105"/>
      <c r="F95" s="105"/>
      <c r="G95" s="105"/>
      <c r="H95" s="105"/>
      <c r="I95" s="105"/>
      <c r="J95" s="105"/>
      <c r="K95" s="105"/>
      <c r="L95" s="105"/>
      <c r="M95" s="105"/>
      <c r="N95" s="105"/>
      <c r="O95" s="105"/>
      <c r="P95" s="105"/>
      <c r="Q95" s="105"/>
      <c r="R95" s="105"/>
      <c r="S95" s="105"/>
      <c r="T95" s="105"/>
      <c r="U95" s="105"/>
      <c r="V95" s="105"/>
      <c r="W95" s="105"/>
      <c r="X95" s="105"/>
      <c r="Y95" s="105"/>
      <c r="Z95" s="105"/>
      <c r="AA95" s="105"/>
      <c r="AB95" s="105"/>
      <c r="AC95" s="105"/>
    </row>
    <row r="96" spans="1:29" ht="15.75" customHeight="1" x14ac:dyDescent="0.2">
      <c r="A96" s="106"/>
      <c r="B96" s="105"/>
      <c r="C96" s="105"/>
      <c r="D96" s="105"/>
      <c r="E96" s="105"/>
      <c r="F96" s="105"/>
      <c r="G96" s="105"/>
      <c r="H96" s="105"/>
      <c r="I96" s="105"/>
      <c r="J96" s="105"/>
      <c r="K96" s="105"/>
      <c r="L96" s="105"/>
      <c r="M96" s="105"/>
      <c r="N96" s="105"/>
      <c r="O96" s="105"/>
      <c r="P96" s="105"/>
      <c r="Q96" s="105"/>
      <c r="R96" s="105"/>
      <c r="S96" s="105"/>
      <c r="T96" s="105"/>
      <c r="U96" s="105"/>
      <c r="V96" s="105"/>
      <c r="W96" s="105"/>
      <c r="X96" s="105"/>
      <c r="Y96" s="105"/>
      <c r="Z96" s="105"/>
      <c r="AA96" s="105"/>
      <c r="AB96" s="105"/>
      <c r="AC96" s="105"/>
    </row>
    <row r="97" spans="1:29" ht="15.75" customHeight="1" x14ac:dyDescent="0.2">
      <c r="A97" s="106"/>
      <c r="B97" s="105"/>
      <c r="C97" s="105"/>
      <c r="D97" s="105"/>
      <c r="E97" s="105"/>
      <c r="F97" s="105"/>
      <c r="G97" s="105"/>
      <c r="H97" s="105"/>
      <c r="I97" s="105"/>
      <c r="J97" s="105"/>
      <c r="K97" s="105"/>
      <c r="L97" s="105"/>
      <c r="M97" s="105"/>
      <c r="N97" s="105"/>
      <c r="O97" s="105"/>
      <c r="P97" s="105"/>
      <c r="Q97" s="105"/>
      <c r="R97" s="105"/>
      <c r="S97" s="105"/>
      <c r="T97" s="105"/>
      <c r="U97" s="105"/>
      <c r="V97" s="105"/>
      <c r="W97" s="105"/>
      <c r="X97" s="105"/>
      <c r="Y97" s="105"/>
      <c r="Z97" s="105"/>
      <c r="AA97" s="105"/>
      <c r="AB97" s="105"/>
      <c r="AC97" s="105"/>
    </row>
    <row r="98" spans="1:29" ht="15.75" customHeight="1" x14ac:dyDescent="0.2">
      <c r="A98" s="106"/>
      <c r="B98" s="105"/>
      <c r="C98" s="105"/>
      <c r="D98" s="105"/>
      <c r="E98" s="105"/>
      <c r="F98" s="105"/>
      <c r="G98" s="105"/>
      <c r="H98" s="105"/>
      <c r="I98" s="105"/>
      <c r="J98" s="105"/>
      <c r="K98" s="105"/>
      <c r="L98" s="105"/>
      <c r="M98" s="105"/>
      <c r="N98" s="105"/>
      <c r="O98" s="105"/>
      <c r="P98" s="105"/>
      <c r="Q98" s="105"/>
      <c r="R98" s="105"/>
      <c r="S98" s="105"/>
      <c r="T98" s="105"/>
      <c r="U98" s="105"/>
      <c r="V98" s="105"/>
      <c r="W98" s="105"/>
      <c r="X98" s="105"/>
      <c r="Y98" s="105"/>
      <c r="Z98" s="105"/>
      <c r="AA98" s="105"/>
      <c r="AB98" s="105"/>
      <c r="AC98" s="105"/>
    </row>
    <row r="99" spans="1:29" ht="15.75" customHeight="1" x14ac:dyDescent="0.2">
      <c r="A99" s="106"/>
      <c r="B99" s="105"/>
      <c r="C99" s="105"/>
      <c r="D99" s="105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5"/>
      <c r="P99" s="105"/>
      <c r="Q99" s="105"/>
      <c r="R99" s="105"/>
      <c r="S99" s="105"/>
      <c r="T99" s="105"/>
      <c r="U99" s="105"/>
      <c r="V99" s="105"/>
      <c r="W99" s="105"/>
      <c r="X99" s="105"/>
      <c r="Y99" s="105"/>
      <c r="Z99" s="105"/>
      <c r="AA99" s="105"/>
      <c r="AB99" s="105"/>
      <c r="AC99" s="105"/>
    </row>
    <row r="100" spans="1:29" ht="15.75" customHeight="1" x14ac:dyDescent="0.2">
      <c r="A100" s="106"/>
      <c r="B100" s="105"/>
      <c r="C100" s="105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5"/>
      <c r="P100" s="105"/>
      <c r="Q100" s="105"/>
      <c r="R100" s="105"/>
      <c r="S100" s="105"/>
      <c r="T100" s="105"/>
      <c r="U100" s="105"/>
      <c r="V100" s="105"/>
      <c r="W100" s="105"/>
      <c r="X100" s="105"/>
      <c r="Y100" s="105"/>
      <c r="Z100" s="105"/>
      <c r="AA100" s="105"/>
      <c r="AB100" s="105"/>
      <c r="AC100" s="105"/>
    </row>
    <row r="101" spans="1:29" ht="15.75" customHeight="1" x14ac:dyDescent="0.2">
      <c r="A101" s="106"/>
      <c r="B101" s="105"/>
      <c r="C101" s="105"/>
      <c r="D101" s="105"/>
      <c r="E101" s="105"/>
      <c r="F101" s="105"/>
      <c r="G101" s="105"/>
      <c r="H101" s="105"/>
      <c r="I101" s="105"/>
      <c r="J101" s="105"/>
      <c r="K101" s="105"/>
      <c r="L101" s="105"/>
      <c r="M101" s="105"/>
      <c r="N101" s="105"/>
      <c r="O101" s="105"/>
      <c r="P101" s="105"/>
      <c r="Q101" s="105"/>
      <c r="R101" s="105"/>
      <c r="S101" s="105"/>
      <c r="T101" s="105"/>
      <c r="U101" s="105"/>
      <c r="V101" s="105"/>
      <c r="W101" s="105"/>
      <c r="X101" s="105"/>
      <c r="Y101" s="105"/>
      <c r="Z101" s="105"/>
      <c r="AA101" s="105"/>
      <c r="AB101" s="105"/>
      <c r="AC101" s="105"/>
    </row>
    <row r="102" spans="1:29" ht="15.75" customHeight="1" x14ac:dyDescent="0.2">
      <c r="A102" s="106"/>
      <c r="B102" s="105"/>
      <c r="C102" s="105"/>
      <c r="D102" s="105"/>
      <c r="E102" s="105"/>
      <c r="F102" s="105"/>
      <c r="G102" s="105"/>
      <c r="H102" s="105"/>
      <c r="I102" s="105"/>
      <c r="J102" s="105"/>
      <c r="K102" s="105"/>
      <c r="L102" s="105"/>
      <c r="M102" s="105"/>
      <c r="N102" s="105"/>
      <c r="O102" s="105"/>
      <c r="P102" s="105"/>
      <c r="Q102" s="105"/>
      <c r="R102" s="105"/>
      <c r="S102" s="105"/>
      <c r="T102" s="105"/>
      <c r="U102" s="105"/>
      <c r="V102" s="105"/>
      <c r="W102" s="105"/>
      <c r="X102" s="105"/>
      <c r="Y102" s="105"/>
      <c r="Z102" s="105"/>
      <c r="AA102" s="105"/>
      <c r="AB102" s="105"/>
      <c r="AC102" s="105"/>
    </row>
    <row r="103" spans="1:29" ht="15.75" customHeight="1" x14ac:dyDescent="0.2">
      <c r="A103" s="106"/>
      <c r="B103" s="105"/>
      <c r="C103" s="105"/>
      <c r="D103" s="105"/>
      <c r="E103" s="105"/>
      <c r="F103" s="105"/>
      <c r="G103" s="105"/>
      <c r="H103" s="105"/>
      <c r="I103" s="105"/>
      <c r="J103" s="105"/>
      <c r="K103" s="105"/>
      <c r="L103" s="105"/>
      <c r="M103" s="105"/>
      <c r="N103" s="105"/>
      <c r="O103" s="105"/>
      <c r="P103" s="105"/>
      <c r="Q103" s="105"/>
      <c r="R103" s="105"/>
      <c r="S103" s="105"/>
      <c r="T103" s="105"/>
      <c r="U103" s="105"/>
      <c r="V103" s="105"/>
      <c r="W103" s="105"/>
      <c r="X103" s="105"/>
      <c r="Y103" s="105"/>
      <c r="Z103" s="105"/>
      <c r="AA103" s="105"/>
      <c r="AB103" s="105"/>
      <c r="AC103" s="105"/>
    </row>
    <row r="104" spans="1:29" ht="15.75" customHeight="1" x14ac:dyDescent="0.2">
      <c r="A104" s="106"/>
      <c r="B104" s="105"/>
      <c r="C104" s="105"/>
      <c r="D104" s="105"/>
      <c r="E104" s="105"/>
      <c r="F104" s="105"/>
      <c r="G104" s="105"/>
      <c r="H104" s="105"/>
      <c r="I104" s="105"/>
      <c r="J104" s="105"/>
      <c r="K104" s="105"/>
      <c r="L104" s="105"/>
      <c r="M104" s="105"/>
      <c r="N104" s="105"/>
      <c r="O104" s="105"/>
      <c r="P104" s="105"/>
      <c r="Q104" s="105"/>
      <c r="R104" s="105"/>
      <c r="S104" s="105"/>
      <c r="T104" s="105"/>
      <c r="U104" s="105"/>
      <c r="V104" s="105"/>
      <c r="W104" s="105"/>
      <c r="X104" s="105"/>
      <c r="Y104" s="105"/>
      <c r="Z104" s="105"/>
      <c r="AA104" s="105"/>
      <c r="AB104" s="105"/>
      <c r="AC104" s="105"/>
    </row>
    <row r="105" spans="1:29" ht="15.75" customHeight="1" x14ac:dyDescent="0.2">
      <c r="A105" s="106"/>
      <c r="B105" s="105"/>
      <c r="C105" s="105"/>
      <c r="D105" s="105"/>
      <c r="E105" s="105"/>
      <c r="F105" s="105"/>
      <c r="G105" s="105"/>
      <c r="H105" s="105"/>
      <c r="I105" s="105"/>
      <c r="J105" s="105"/>
      <c r="K105" s="105"/>
      <c r="L105" s="105"/>
      <c r="M105" s="105"/>
      <c r="N105" s="105"/>
      <c r="O105" s="105"/>
      <c r="P105" s="105"/>
      <c r="Q105" s="105"/>
      <c r="R105" s="105"/>
      <c r="S105" s="105"/>
      <c r="T105" s="105"/>
      <c r="U105" s="105"/>
      <c r="V105" s="105"/>
      <c r="W105" s="105"/>
      <c r="X105" s="105"/>
      <c r="Y105" s="105"/>
      <c r="Z105" s="105"/>
      <c r="AA105" s="105"/>
      <c r="AB105" s="105"/>
      <c r="AC105" s="105"/>
    </row>
    <row r="106" spans="1:29" ht="15.75" customHeight="1" x14ac:dyDescent="0.2">
      <c r="A106" s="106"/>
      <c r="B106" s="105"/>
      <c r="C106" s="105"/>
      <c r="D106" s="105"/>
      <c r="E106" s="105"/>
      <c r="F106" s="105"/>
      <c r="G106" s="105"/>
      <c r="H106" s="105"/>
      <c r="I106" s="105"/>
      <c r="J106" s="105"/>
      <c r="K106" s="105"/>
      <c r="L106" s="105"/>
      <c r="M106" s="105"/>
      <c r="N106" s="105"/>
      <c r="O106" s="105"/>
      <c r="P106" s="105"/>
      <c r="Q106" s="105"/>
      <c r="R106" s="105"/>
      <c r="S106" s="105"/>
      <c r="T106" s="105"/>
      <c r="U106" s="105"/>
      <c r="V106" s="105"/>
      <c r="W106" s="105"/>
      <c r="X106" s="105"/>
      <c r="Y106" s="105"/>
      <c r="Z106" s="105"/>
      <c r="AA106" s="105"/>
      <c r="AB106" s="105"/>
      <c r="AC106" s="105"/>
    </row>
    <row r="107" spans="1:29" ht="15.75" customHeight="1" x14ac:dyDescent="0.2">
      <c r="A107" s="106"/>
      <c r="B107" s="105"/>
      <c r="C107" s="105"/>
      <c r="D107" s="105"/>
      <c r="E107" s="105"/>
      <c r="F107" s="105"/>
      <c r="G107" s="105"/>
      <c r="H107" s="105"/>
      <c r="I107" s="105"/>
      <c r="J107" s="105"/>
      <c r="K107" s="105"/>
      <c r="L107" s="105"/>
      <c r="M107" s="105"/>
      <c r="N107" s="105"/>
      <c r="O107" s="105"/>
      <c r="P107" s="105"/>
      <c r="Q107" s="105"/>
      <c r="R107" s="105"/>
      <c r="S107" s="105"/>
      <c r="T107" s="105"/>
      <c r="U107" s="105"/>
      <c r="V107" s="105"/>
      <c r="W107" s="105"/>
      <c r="X107" s="105"/>
      <c r="Y107" s="105"/>
      <c r="Z107" s="105"/>
      <c r="AA107" s="105"/>
      <c r="AB107" s="105"/>
      <c r="AC107" s="105"/>
    </row>
    <row r="108" spans="1:29" ht="15.75" customHeight="1" x14ac:dyDescent="0.2">
      <c r="A108" s="106"/>
      <c r="B108" s="105"/>
      <c r="C108" s="105"/>
      <c r="D108" s="105"/>
      <c r="E108" s="105"/>
      <c r="F108" s="105"/>
      <c r="G108" s="105"/>
      <c r="H108" s="105"/>
      <c r="I108" s="105"/>
      <c r="J108" s="105"/>
      <c r="K108" s="105"/>
      <c r="L108" s="105"/>
      <c r="M108" s="105"/>
      <c r="N108" s="105"/>
      <c r="O108" s="105"/>
      <c r="P108" s="105"/>
      <c r="Q108" s="105"/>
      <c r="R108" s="105"/>
      <c r="S108" s="105"/>
      <c r="T108" s="105"/>
      <c r="U108" s="105"/>
      <c r="V108" s="105"/>
      <c r="W108" s="105"/>
      <c r="X108" s="105"/>
      <c r="Y108" s="105"/>
      <c r="Z108" s="105"/>
      <c r="AA108" s="105"/>
      <c r="AB108" s="105"/>
      <c r="AC108" s="105"/>
    </row>
    <row r="109" spans="1:29" ht="15.75" customHeight="1" x14ac:dyDescent="0.2">
      <c r="A109" s="106"/>
      <c r="B109" s="105"/>
      <c r="C109" s="105"/>
      <c r="D109" s="105"/>
      <c r="E109" s="105"/>
      <c r="F109" s="105"/>
      <c r="G109" s="105"/>
      <c r="H109" s="105"/>
      <c r="I109" s="105"/>
      <c r="J109" s="105"/>
      <c r="K109" s="105"/>
      <c r="L109" s="105"/>
      <c r="M109" s="105"/>
      <c r="N109" s="105"/>
      <c r="O109" s="105"/>
      <c r="P109" s="105"/>
      <c r="Q109" s="105"/>
      <c r="R109" s="105"/>
      <c r="S109" s="105"/>
      <c r="T109" s="105"/>
      <c r="U109" s="105"/>
      <c r="V109" s="105"/>
      <c r="W109" s="105"/>
      <c r="X109" s="105"/>
      <c r="Y109" s="105"/>
      <c r="Z109" s="105"/>
      <c r="AA109" s="105"/>
      <c r="AB109" s="105"/>
      <c r="AC109" s="105"/>
    </row>
    <row r="110" spans="1:29" ht="15.75" customHeight="1" x14ac:dyDescent="0.2">
      <c r="A110" s="106"/>
      <c r="B110" s="105"/>
      <c r="C110" s="105"/>
      <c r="D110" s="105"/>
      <c r="E110" s="105"/>
      <c r="F110" s="105"/>
      <c r="G110" s="105"/>
      <c r="H110" s="105"/>
      <c r="I110" s="105"/>
      <c r="J110" s="105"/>
      <c r="K110" s="105"/>
      <c r="L110" s="105"/>
      <c r="M110" s="105"/>
      <c r="N110" s="105"/>
      <c r="O110" s="105"/>
      <c r="P110" s="105"/>
      <c r="Q110" s="105"/>
      <c r="R110" s="105"/>
      <c r="S110" s="105"/>
      <c r="T110" s="105"/>
      <c r="U110" s="105"/>
      <c r="V110" s="105"/>
      <c r="W110" s="105"/>
      <c r="X110" s="105"/>
      <c r="Y110" s="105"/>
      <c r="Z110" s="105"/>
      <c r="AA110" s="105"/>
      <c r="AB110" s="105"/>
      <c r="AC110" s="105"/>
    </row>
    <row r="111" spans="1:29" ht="15.75" customHeight="1" x14ac:dyDescent="0.2">
      <c r="A111" s="106"/>
      <c r="B111" s="105"/>
      <c r="C111" s="105"/>
      <c r="D111" s="105"/>
      <c r="E111" s="105"/>
      <c r="F111" s="105"/>
      <c r="G111" s="105"/>
      <c r="H111" s="105"/>
      <c r="I111" s="105"/>
      <c r="J111" s="105"/>
      <c r="K111" s="105"/>
      <c r="L111" s="105"/>
      <c r="M111" s="105"/>
      <c r="N111" s="105"/>
      <c r="O111" s="105"/>
      <c r="P111" s="105"/>
      <c r="Q111" s="105"/>
      <c r="R111" s="105"/>
      <c r="S111" s="105"/>
      <c r="T111" s="105"/>
      <c r="U111" s="105"/>
      <c r="V111" s="105"/>
      <c r="W111" s="105"/>
      <c r="X111" s="105"/>
      <c r="Y111" s="105"/>
      <c r="Z111" s="105"/>
      <c r="AA111" s="105"/>
      <c r="AB111" s="105"/>
      <c r="AC111" s="105"/>
    </row>
    <row r="112" spans="1:29" ht="15.75" customHeight="1" x14ac:dyDescent="0.2">
      <c r="A112" s="106"/>
      <c r="B112" s="105"/>
      <c r="C112" s="105"/>
      <c r="D112" s="105"/>
      <c r="E112" s="105"/>
      <c r="F112" s="105"/>
      <c r="G112" s="105"/>
      <c r="H112" s="105"/>
      <c r="I112" s="105"/>
      <c r="J112" s="105"/>
      <c r="K112" s="105"/>
      <c r="L112" s="105"/>
      <c r="M112" s="105"/>
      <c r="N112" s="105"/>
      <c r="O112" s="105"/>
      <c r="P112" s="105"/>
      <c r="Q112" s="105"/>
      <c r="R112" s="105"/>
      <c r="S112" s="105"/>
      <c r="T112" s="105"/>
      <c r="U112" s="105"/>
      <c r="V112" s="105"/>
      <c r="W112" s="105"/>
      <c r="X112" s="105"/>
      <c r="Y112" s="105"/>
      <c r="Z112" s="105"/>
      <c r="AA112" s="105"/>
      <c r="AB112" s="105"/>
      <c r="AC112" s="105"/>
    </row>
    <row r="113" spans="1:29" ht="15.75" customHeight="1" x14ac:dyDescent="0.2">
      <c r="A113" s="106"/>
      <c r="B113" s="105"/>
      <c r="C113" s="105"/>
      <c r="D113" s="105"/>
      <c r="E113" s="105"/>
      <c r="F113" s="105"/>
      <c r="G113" s="105"/>
      <c r="H113" s="105"/>
      <c r="I113" s="105"/>
      <c r="J113" s="105"/>
      <c r="K113" s="105"/>
      <c r="L113" s="105"/>
      <c r="M113" s="105"/>
      <c r="N113" s="105"/>
      <c r="O113" s="105"/>
      <c r="P113" s="105"/>
      <c r="Q113" s="105"/>
      <c r="R113" s="105"/>
      <c r="S113" s="105"/>
      <c r="T113" s="105"/>
      <c r="U113" s="105"/>
      <c r="V113" s="105"/>
      <c r="W113" s="105"/>
      <c r="X113" s="105"/>
      <c r="Y113" s="105"/>
      <c r="Z113" s="105"/>
      <c r="AA113" s="105"/>
      <c r="AB113" s="105"/>
      <c r="AC113" s="105"/>
    </row>
    <row r="114" spans="1:29" ht="15.75" customHeight="1" x14ac:dyDescent="0.2">
      <c r="A114" s="106"/>
      <c r="B114" s="105"/>
      <c r="C114" s="105"/>
      <c r="D114" s="105"/>
      <c r="E114" s="105"/>
      <c r="F114" s="105"/>
      <c r="G114" s="105"/>
      <c r="H114" s="105"/>
      <c r="I114" s="105"/>
      <c r="J114" s="105"/>
      <c r="K114" s="105"/>
      <c r="L114" s="105"/>
      <c r="M114" s="105"/>
      <c r="N114" s="105"/>
      <c r="O114" s="105"/>
      <c r="P114" s="105"/>
      <c r="Q114" s="105"/>
      <c r="R114" s="105"/>
      <c r="S114" s="105"/>
      <c r="T114" s="105"/>
      <c r="U114" s="105"/>
      <c r="V114" s="105"/>
      <c r="W114" s="105"/>
      <c r="X114" s="105"/>
      <c r="Y114" s="105"/>
      <c r="Z114" s="105"/>
      <c r="AA114" s="105"/>
      <c r="AB114" s="105"/>
      <c r="AC114" s="105"/>
    </row>
    <row r="115" spans="1:29" ht="15.75" customHeight="1" x14ac:dyDescent="0.2">
      <c r="A115" s="106"/>
      <c r="B115" s="105"/>
      <c r="C115" s="105"/>
      <c r="D115" s="105"/>
      <c r="E115" s="105"/>
      <c r="F115" s="105"/>
      <c r="G115" s="105"/>
      <c r="H115" s="105"/>
      <c r="I115" s="105"/>
      <c r="J115" s="105"/>
      <c r="K115" s="105"/>
      <c r="L115" s="105"/>
      <c r="M115" s="105"/>
      <c r="N115" s="105"/>
      <c r="O115" s="105"/>
      <c r="P115" s="105"/>
      <c r="Q115" s="105"/>
      <c r="R115" s="105"/>
      <c r="S115" s="105"/>
      <c r="T115" s="105"/>
      <c r="U115" s="105"/>
      <c r="V115" s="105"/>
      <c r="W115" s="105"/>
      <c r="X115" s="105"/>
      <c r="Y115" s="105"/>
      <c r="Z115" s="105"/>
      <c r="AA115" s="105"/>
      <c r="AB115" s="105"/>
      <c r="AC115" s="105"/>
    </row>
    <row r="116" spans="1:29" ht="15.75" customHeight="1" x14ac:dyDescent="0.2">
      <c r="A116" s="106"/>
      <c r="B116" s="105"/>
      <c r="C116" s="105"/>
      <c r="D116" s="105"/>
      <c r="E116" s="105"/>
      <c r="F116" s="105"/>
      <c r="G116" s="105"/>
      <c r="H116" s="105"/>
      <c r="I116" s="105"/>
      <c r="J116" s="105"/>
      <c r="K116" s="105"/>
      <c r="L116" s="105"/>
      <c r="M116" s="105"/>
      <c r="N116" s="105"/>
      <c r="O116" s="105"/>
      <c r="P116" s="105"/>
      <c r="Q116" s="105"/>
      <c r="R116" s="105"/>
      <c r="S116" s="105"/>
      <c r="T116" s="105"/>
      <c r="U116" s="105"/>
      <c r="V116" s="105"/>
      <c r="W116" s="105"/>
      <c r="X116" s="105"/>
      <c r="Y116" s="105"/>
      <c r="Z116" s="105"/>
      <c r="AA116" s="105"/>
      <c r="AB116" s="105"/>
      <c r="AC116" s="105"/>
    </row>
    <row r="117" spans="1:29" ht="15.75" customHeight="1" x14ac:dyDescent="0.2">
      <c r="A117" s="106"/>
      <c r="B117" s="105"/>
      <c r="C117" s="105"/>
      <c r="D117" s="105"/>
      <c r="E117" s="105"/>
      <c r="F117" s="105"/>
      <c r="G117" s="105"/>
      <c r="H117" s="105"/>
      <c r="I117" s="105"/>
      <c r="J117" s="105"/>
      <c r="K117" s="105"/>
      <c r="L117" s="105"/>
      <c r="M117" s="105"/>
      <c r="N117" s="105"/>
      <c r="O117" s="105"/>
      <c r="P117" s="105"/>
      <c r="Q117" s="105"/>
      <c r="R117" s="105"/>
      <c r="S117" s="105"/>
      <c r="T117" s="105"/>
      <c r="U117" s="105"/>
      <c r="V117" s="105"/>
      <c r="W117" s="105"/>
      <c r="X117" s="105"/>
      <c r="Y117" s="105"/>
      <c r="Z117" s="105"/>
      <c r="AA117" s="105"/>
      <c r="AB117" s="105"/>
      <c r="AC117" s="105"/>
    </row>
    <row r="118" spans="1:29" ht="15.75" customHeight="1" x14ac:dyDescent="0.2">
      <c r="A118" s="106"/>
      <c r="B118" s="105"/>
      <c r="C118" s="105"/>
      <c r="D118" s="105"/>
      <c r="E118" s="105"/>
      <c r="F118" s="105"/>
      <c r="G118" s="105"/>
      <c r="H118" s="105"/>
      <c r="I118" s="105"/>
      <c r="J118" s="105"/>
      <c r="K118" s="105"/>
      <c r="L118" s="105"/>
      <c r="M118" s="105"/>
      <c r="N118" s="105"/>
      <c r="O118" s="105"/>
      <c r="P118" s="105"/>
      <c r="Q118" s="105"/>
      <c r="R118" s="105"/>
      <c r="S118" s="105"/>
      <c r="T118" s="105"/>
      <c r="U118" s="105"/>
      <c r="V118" s="105"/>
      <c r="W118" s="105"/>
      <c r="X118" s="105"/>
      <c r="Y118" s="105"/>
      <c r="Z118" s="105"/>
      <c r="AA118" s="105"/>
      <c r="AB118" s="105"/>
      <c r="AC118" s="105"/>
    </row>
    <row r="119" spans="1:29" ht="15.75" customHeight="1" x14ac:dyDescent="0.2">
      <c r="A119" s="106"/>
      <c r="B119" s="105"/>
      <c r="C119" s="105"/>
      <c r="D119" s="105"/>
      <c r="E119" s="105"/>
      <c r="F119" s="105"/>
      <c r="G119" s="105"/>
      <c r="H119" s="105"/>
      <c r="I119" s="105"/>
      <c r="J119" s="105"/>
      <c r="K119" s="105"/>
      <c r="L119" s="105"/>
      <c r="M119" s="105"/>
      <c r="N119" s="105"/>
      <c r="O119" s="105"/>
      <c r="P119" s="105"/>
      <c r="Q119" s="105"/>
      <c r="R119" s="105"/>
      <c r="S119" s="105"/>
      <c r="T119" s="105"/>
      <c r="U119" s="105"/>
      <c r="V119" s="105"/>
      <c r="W119" s="105"/>
      <c r="X119" s="105"/>
      <c r="Y119" s="105"/>
      <c r="Z119" s="105"/>
      <c r="AA119" s="105"/>
      <c r="AB119" s="105"/>
      <c r="AC119" s="105"/>
    </row>
    <row r="120" spans="1:29" ht="15.75" customHeight="1" x14ac:dyDescent="0.2">
      <c r="A120" s="106"/>
      <c r="B120" s="105"/>
      <c r="C120" s="105"/>
      <c r="D120" s="105"/>
      <c r="E120" s="105"/>
      <c r="F120" s="105"/>
      <c r="G120" s="105"/>
      <c r="H120" s="105"/>
      <c r="I120" s="105"/>
      <c r="J120" s="105"/>
      <c r="K120" s="105"/>
      <c r="L120" s="105"/>
      <c r="M120" s="105"/>
      <c r="N120" s="105"/>
      <c r="O120" s="105"/>
      <c r="P120" s="105"/>
      <c r="Q120" s="105"/>
      <c r="R120" s="105"/>
      <c r="S120" s="105"/>
      <c r="T120" s="105"/>
      <c r="U120" s="105"/>
      <c r="V120" s="105"/>
      <c r="W120" s="105"/>
      <c r="X120" s="105"/>
      <c r="Y120" s="105"/>
      <c r="Z120" s="105"/>
      <c r="AA120" s="105"/>
      <c r="AB120" s="105"/>
      <c r="AC120" s="105"/>
    </row>
    <row r="121" spans="1:29" ht="15.75" customHeight="1" x14ac:dyDescent="0.2">
      <c r="A121" s="106"/>
      <c r="B121" s="105"/>
      <c r="C121" s="105"/>
      <c r="D121" s="105"/>
      <c r="E121" s="105"/>
      <c r="F121" s="105"/>
      <c r="G121" s="105"/>
      <c r="H121" s="105"/>
      <c r="I121" s="105"/>
      <c r="J121" s="105"/>
      <c r="K121" s="105"/>
      <c r="L121" s="105"/>
      <c r="M121" s="105"/>
      <c r="N121" s="105"/>
      <c r="O121" s="105"/>
      <c r="P121" s="105"/>
      <c r="Q121" s="105"/>
      <c r="R121" s="105"/>
      <c r="S121" s="105"/>
      <c r="T121" s="105"/>
      <c r="U121" s="105"/>
      <c r="V121" s="105"/>
      <c r="W121" s="105"/>
      <c r="X121" s="105"/>
      <c r="Y121" s="105"/>
      <c r="Z121" s="105"/>
      <c r="AA121" s="105"/>
      <c r="AB121" s="105"/>
      <c r="AC121" s="105"/>
    </row>
    <row r="122" spans="1:29" ht="15.75" customHeight="1" x14ac:dyDescent="0.2">
      <c r="A122" s="106"/>
      <c r="B122" s="105"/>
      <c r="C122" s="105"/>
      <c r="D122" s="105"/>
      <c r="E122" s="105"/>
      <c r="F122" s="105"/>
      <c r="G122" s="105"/>
      <c r="H122" s="105"/>
      <c r="I122" s="105"/>
      <c r="J122" s="105"/>
      <c r="K122" s="105"/>
      <c r="L122" s="105"/>
      <c r="M122" s="105"/>
      <c r="N122" s="105"/>
      <c r="O122" s="105"/>
      <c r="P122" s="105"/>
      <c r="Q122" s="105"/>
      <c r="R122" s="105"/>
      <c r="S122" s="105"/>
      <c r="T122" s="105"/>
      <c r="U122" s="105"/>
      <c r="V122" s="105"/>
      <c r="W122" s="105"/>
      <c r="X122" s="105"/>
      <c r="Y122" s="105"/>
      <c r="Z122" s="105"/>
      <c r="AA122" s="105"/>
      <c r="AB122" s="105"/>
      <c r="AC122" s="105"/>
    </row>
    <row r="123" spans="1:29" ht="15.75" customHeight="1" x14ac:dyDescent="0.2">
      <c r="A123" s="106"/>
      <c r="B123" s="105"/>
      <c r="C123" s="105"/>
      <c r="D123" s="105"/>
      <c r="E123" s="105"/>
      <c r="F123" s="105"/>
      <c r="G123" s="105"/>
      <c r="H123" s="105"/>
      <c r="I123" s="105"/>
      <c r="J123" s="105"/>
      <c r="K123" s="105"/>
      <c r="L123" s="105"/>
      <c r="M123" s="105"/>
      <c r="N123" s="105"/>
      <c r="O123" s="105"/>
      <c r="P123" s="105"/>
      <c r="Q123" s="105"/>
      <c r="R123" s="105"/>
      <c r="S123" s="105"/>
      <c r="T123" s="105"/>
      <c r="U123" s="105"/>
      <c r="V123" s="105"/>
      <c r="W123" s="105"/>
      <c r="X123" s="105"/>
      <c r="Y123" s="105"/>
      <c r="Z123" s="105"/>
      <c r="AA123" s="105"/>
      <c r="AB123" s="105"/>
      <c r="AC123" s="105"/>
    </row>
    <row r="124" spans="1:29" ht="15.75" customHeight="1" x14ac:dyDescent="0.2">
      <c r="A124" s="106"/>
      <c r="B124" s="105"/>
      <c r="C124" s="105"/>
      <c r="D124" s="105"/>
      <c r="E124" s="105"/>
      <c r="F124" s="105"/>
      <c r="G124" s="105"/>
      <c r="H124" s="105"/>
      <c r="I124" s="105"/>
      <c r="J124" s="105"/>
      <c r="K124" s="105"/>
      <c r="L124" s="105"/>
      <c r="M124" s="105"/>
      <c r="N124" s="105"/>
      <c r="O124" s="105"/>
      <c r="P124" s="105"/>
      <c r="Q124" s="105"/>
      <c r="R124" s="105"/>
      <c r="S124" s="105"/>
      <c r="T124" s="105"/>
      <c r="U124" s="105"/>
      <c r="V124" s="105"/>
      <c r="W124" s="105"/>
      <c r="X124" s="105"/>
      <c r="Y124" s="105"/>
      <c r="Z124" s="105"/>
      <c r="AA124" s="105"/>
      <c r="AB124" s="105"/>
      <c r="AC124" s="105"/>
    </row>
    <row r="125" spans="1:29" ht="15.75" customHeight="1" x14ac:dyDescent="0.2">
      <c r="A125" s="106"/>
      <c r="B125" s="105"/>
      <c r="C125" s="105"/>
      <c r="D125" s="105"/>
      <c r="E125" s="105"/>
      <c r="F125" s="105"/>
      <c r="G125" s="105"/>
      <c r="H125" s="105"/>
      <c r="I125" s="105"/>
      <c r="J125" s="105"/>
      <c r="K125" s="105"/>
      <c r="L125" s="105"/>
      <c r="M125" s="105"/>
      <c r="N125" s="105"/>
      <c r="O125" s="105"/>
      <c r="P125" s="105"/>
      <c r="Q125" s="105"/>
      <c r="R125" s="105"/>
      <c r="S125" s="105"/>
      <c r="T125" s="105"/>
      <c r="U125" s="105"/>
      <c r="V125" s="105"/>
      <c r="W125" s="105"/>
      <c r="X125" s="105"/>
      <c r="Y125" s="105"/>
      <c r="Z125" s="105"/>
      <c r="AA125" s="105"/>
      <c r="AB125" s="105"/>
      <c r="AC125" s="105"/>
    </row>
    <row r="126" spans="1:29" ht="15.75" customHeight="1" x14ac:dyDescent="0.2">
      <c r="A126" s="106"/>
      <c r="B126" s="105"/>
      <c r="C126" s="105"/>
      <c r="D126" s="105"/>
      <c r="E126" s="105"/>
      <c r="F126" s="105"/>
      <c r="G126" s="105"/>
      <c r="H126" s="105"/>
      <c r="I126" s="105"/>
      <c r="J126" s="105"/>
      <c r="K126" s="105"/>
      <c r="L126" s="105"/>
      <c r="M126" s="105"/>
      <c r="N126" s="105"/>
      <c r="O126" s="105"/>
      <c r="P126" s="105"/>
      <c r="Q126" s="105"/>
      <c r="R126" s="105"/>
      <c r="S126" s="105"/>
      <c r="T126" s="105"/>
      <c r="U126" s="105"/>
      <c r="V126" s="105"/>
      <c r="W126" s="105"/>
      <c r="X126" s="105"/>
      <c r="Y126" s="105"/>
      <c r="Z126" s="105"/>
      <c r="AA126" s="105"/>
      <c r="AB126" s="105"/>
      <c r="AC126" s="105"/>
    </row>
    <row r="127" spans="1:29" ht="15.75" customHeight="1" x14ac:dyDescent="0.2">
      <c r="A127" s="106"/>
      <c r="B127" s="105"/>
      <c r="C127" s="105"/>
      <c r="D127" s="105"/>
      <c r="E127" s="105"/>
      <c r="F127" s="105"/>
      <c r="G127" s="105"/>
      <c r="H127" s="105"/>
      <c r="I127" s="105"/>
      <c r="J127" s="105"/>
      <c r="K127" s="105"/>
      <c r="L127" s="105"/>
      <c r="M127" s="105"/>
      <c r="N127" s="105"/>
      <c r="O127" s="105"/>
      <c r="P127" s="105"/>
      <c r="Q127" s="105"/>
      <c r="R127" s="105"/>
      <c r="S127" s="105"/>
      <c r="T127" s="105"/>
      <c r="U127" s="105"/>
      <c r="V127" s="105"/>
      <c r="W127" s="105"/>
      <c r="X127" s="105"/>
      <c r="Y127" s="105"/>
      <c r="Z127" s="105"/>
      <c r="AA127" s="105"/>
      <c r="AB127" s="105"/>
      <c r="AC127" s="105"/>
    </row>
    <row r="128" spans="1:29" ht="15.75" customHeight="1" x14ac:dyDescent="0.2">
      <c r="A128" s="106"/>
      <c r="B128" s="105"/>
      <c r="C128" s="105"/>
      <c r="D128" s="105"/>
      <c r="E128" s="105"/>
      <c r="F128" s="105"/>
      <c r="G128" s="105"/>
      <c r="H128" s="105"/>
      <c r="I128" s="105"/>
      <c r="J128" s="105"/>
      <c r="K128" s="105"/>
      <c r="L128" s="105"/>
      <c r="M128" s="105"/>
      <c r="N128" s="105"/>
      <c r="O128" s="105"/>
      <c r="P128" s="105"/>
      <c r="Q128" s="105"/>
      <c r="R128" s="105"/>
      <c r="S128" s="105"/>
      <c r="T128" s="105"/>
      <c r="U128" s="105"/>
      <c r="V128" s="105"/>
      <c r="W128" s="105"/>
      <c r="X128" s="105"/>
      <c r="Y128" s="105"/>
      <c r="Z128" s="105"/>
      <c r="AA128" s="105"/>
      <c r="AB128" s="105"/>
      <c r="AC128" s="105"/>
    </row>
    <row r="129" spans="1:29" ht="15.75" customHeight="1" x14ac:dyDescent="0.2">
      <c r="A129" s="106"/>
      <c r="B129" s="105"/>
      <c r="C129" s="105"/>
      <c r="D129" s="105"/>
      <c r="E129" s="105"/>
      <c r="F129" s="105"/>
      <c r="G129" s="105"/>
      <c r="H129" s="105"/>
      <c r="I129" s="105"/>
      <c r="J129" s="105"/>
      <c r="K129" s="105"/>
      <c r="L129" s="105"/>
      <c r="M129" s="105"/>
      <c r="N129" s="105"/>
      <c r="O129" s="105"/>
      <c r="P129" s="105"/>
      <c r="Q129" s="105"/>
      <c r="R129" s="105"/>
      <c r="S129" s="105"/>
      <c r="T129" s="105"/>
      <c r="U129" s="105"/>
      <c r="V129" s="105"/>
      <c r="W129" s="105"/>
      <c r="X129" s="105"/>
      <c r="Y129" s="105"/>
      <c r="Z129" s="105"/>
      <c r="AA129" s="105"/>
      <c r="AB129" s="105"/>
      <c r="AC129" s="105"/>
    </row>
    <row r="130" spans="1:29" ht="15.75" customHeight="1" x14ac:dyDescent="0.2">
      <c r="A130" s="106"/>
      <c r="B130" s="105"/>
      <c r="C130" s="105"/>
      <c r="D130" s="105"/>
      <c r="E130" s="105"/>
      <c r="F130" s="105"/>
      <c r="G130" s="105"/>
      <c r="H130" s="105"/>
      <c r="I130" s="105"/>
      <c r="J130" s="105"/>
      <c r="K130" s="105"/>
      <c r="L130" s="105"/>
      <c r="M130" s="105"/>
      <c r="N130" s="105"/>
      <c r="O130" s="105"/>
      <c r="P130" s="105"/>
      <c r="Q130" s="105"/>
      <c r="R130" s="105"/>
      <c r="S130" s="105"/>
      <c r="T130" s="105"/>
      <c r="U130" s="105"/>
      <c r="V130" s="105"/>
      <c r="W130" s="105"/>
      <c r="X130" s="105"/>
      <c r="Y130" s="105"/>
      <c r="Z130" s="105"/>
      <c r="AA130" s="105"/>
      <c r="AB130" s="105"/>
      <c r="AC130" s="105"/>
    </row>
    <row r="131" spans="1:29" ht="15.75" customHeight="1" x14ac:dyDescent="0.2">
      <c r="A131" s="106"/>
      <c r="B131" s="105"/>
      <c r="C131" s="105"/>
      <c r="D131" s="105"/>
      <c r="E131" s="105"/>
      <c r="F131" s="105"/>
      <c r="G131" s="105"/>
      <c r="H131" s="105"/>
      <c r="I131" s="105"/>
      <c r="J131" s="105"/>
      <c r="K131" s="105"/>
      <c r="L131" s="105"/>
      <c r="M131" s="105"/>
      <c r="N131" s="105"/>
      <c r="O131" s="105"/>
      <c r="P131" s="105"/>
      <c r="Q131" s="105"/>
      <c r="R131" s="105"/>
      <c r="S131" s="105"/>
      <c r="T131" s="105"/>
      <c r="U131" s="105"/>
      <c r="V131" s="105"/>
      <c r="W131" s="105"/>
      <c r="X131" s="105"/>
      <c r="Y131" s="105"/>
      <c r="Z131" s="105"/>
      <c r="AA131" s="105"/>
      <c r="AB131" s="105"/>
      <c r="AC131" s="105"/>
    </row>
    <row r="132" spans="1:29" ht="15.75" customHeight="1" x14ac:dyDescent="0.2">
      <c r="A132" s="106"/>
      <c r="B132" s="105"/>
      <c r="C132" s="105"/>
      <c r="D132" s="105"/>
      <c r="E132" s="105"/>
      <c r="F132" s="105"/>
      <c r="G132" s="105"/>
      <c r="H132" s="105"/>
      <c r="I132" s="105"/>
      <c r="J132" s="105"/>
      <c r="K132" s="105"/>
      <c r="L132" s="105"/>
      <c r="M132" s="105"/>
      <c r="N132" s="105"/>
      <c r="O132" s="105"/>
      <c r="P132" s="105"/>
      <c r="Q132" s="105"/>
      <c r="R132" s="105"/>
      <c r="S132" s="105"/>
      <c r="T132" s="105"/>
      <c r="U132" s="105"/>
      <c r="V132" s="105"/>
      <c r="W132" s="105"/>
      <c r="X132" s="105"/>
      <c r="Y132" s="105"/>
      <c r="Z132" s="105"/>
      <c r="AA132" s="105"/>
      <c r="AB132" s="105"/>
      <c r="AC132" s="105"/>
    </row>
    <row r="133" spans="1:29" ht="15.75" customHeight="1" x14ac:dyDescent="0.2">
      <c r="A133" s="106"/>
      <c r="B133" s="105"/>
      <c r="C133" s="105"/>
      <c r="D133" s="105"/>
      <c r="E133" s="105"/>
      <c r="F133" s="105"/>
      <c r="G133" s="105"/>
      <c r="H133" s="105"/>
      <c r="I133" s="105"/>
      <c r="J133" s="105"/>
      <c r="K133" s="105"/>
      <c r="L133" s="105"/>
      <c r="M133" s="105"/>
      <c r="N133" s="105"/>
      <c r="O133" s="105"/>
      <c r="P133" s="105"/>
      <c r="Q133" s="105"/>
      <c r="R133" s="105"/>
      <c r="S133" s="105"/>
      <c r="T133" s="105"/>
      <c r="U133" s="105"/>
      <c r="V133" s="105"/>
      <c r="W133" s="105"/>
      <c r="X133" s="105"/>
      <c r="Y133" s="105"/>
      <c r="Z133" s="105"/>
      <c r="AA133" s="105"/>
      <c r="AB133" s="105"/>
      <c r="AC133" s="105"/>
    </row>
    <row r="134" spans="1:29" ht="15.75" customHeight="1" x14ac:dyDescent="0.2">
      <c r="A134" s="106"/>
      <c r="B134" s="105"/>
      <c r="C134" s="105"/>
      <c r="D134" s="105"/>
      <c r="E134" s="105"/>
      <c r="F134" s="105"/>
      <c r="G134" s="105"/>
      <c r="H134" s="105"/>
      <c r="I134" s="105"/>
      <c r="J134" s="105"/>
      <c r="K134" s="105"/>
      <c r="L134" s="105"/>
      <c r="M134" s="105"/>
      <c r="N134" s="105"/>
      <c r="O134" s="105"/>
      <c r="P134" s="105"/>
      <c r="Q134" s="105"/>
      <c r="R134" s="105"/>
      <c r="S134" s="105"/>
      <c r="T134" s="105"/>
      <c r="U134" s="105"/>
      <c r="V134" s="105"/>
      <c r="W134" s="105"/>
      <c r="X134" s="105"/>
      <c r="Y134" s="105"/>
      <c r="Z134" s="105"/>
      <c r="AA134" s="105"/>
      <c r="AB134" s="105"/>
      <c r="AC134" s="105"/>
    </row>
    <row r="135" spans="1:29" ht="15.75" customHeight="1" x14ac:dyDescent="0.2">
      <c r="A135" s="106"/>
      <c r="B135" s="105"/>
      <c r="C135" s="105"/>
      <c r="D135" s="105"/>
      <c r="E135" s="105"/>
      <c r="F135" s="105"/>
      <c r="G135" s="105"/>
      <c r="H135" s="105"/>
      <c r="I135" s="105"/>
      <c r="J135" s="105"/>
      <c r="K135" s="105"/>
      <c r="L135" s="105"/>
      <c r="M135" s="105"/>
      <c r="N135" s="105"/>
      <c r="O135" s="105"/>
      <c r="P135" s="105"/>
      <c r="Q135" s="105"/>
      <c r="R135" s="105"/>
      <c r="S135" s="105"/>
      <c r="T135" s="105"/>
      <c r="U135" s="105"/>
      <c r="V135" s="105"/>
      <c r="W135" s="105"/>
      <c r="X135" s="105"/>
      <c r="Y135" s="105"/>
      <c r="Z135" s="105"/>
      <c r="AA135" s="105"/>
      <c r="AB135" s="105"/>
      <c r="AC135" s="105"/>
    </row>
    <row r="136" spans="1:29" ht="15.75" customHeight="1" x14ac:dyDescent="0.2">
      <c r="A136" s="106"/>
      <c r="B136" s="105"/>
      <c r="C136" s="105"/>
      <c r="D136" s="105"/>
      <c r="E136" s="105"/>
      <c r="F136" s="105"/>
      <c r="G136" s="105"/>
      <c r="H136" s="105"/>
      <c r="I136" s="105"/>
      <c r="J136" s="105"/>
      <c r="K136" s="105"/>
      <c r="L136" s="105"/>
      <c r="M136" s="105"/>
      <c r="N136" s="105"/>
      <c r="O136" s="105"/>
      <c r="P136" s="105"/>
      <c r="Q136" s="105"/>
      <c r="R136" s="105"/>
      <c r="S136" s="105"/>
      <c r="T136" s="105"/>
      <c r="U136" s="105"/>
      <c r="V136" s="105"/>
      <c r="W136" s="105"/>
      <c r="X136" s="105"/>
      <c r="Y136" s="105"/>
      <c r="Z136" s="105"/>
      <c r="AA136" s="105"/>
      <c r="AB136" s="105"/>
      <c r="AC136" s="105"/>
    </row>
    <row r="137" spans="1:29" ht="15.75" customHeight="1" x14ac:dyDescent="0.2">
      <c r="A137" s="106"/>
      <c r="B137" s="105"/>
      <c r="C137" s="105"/>
      <c r="D137" s="105"/>
      <c r="E137" s="105"/>
      <c r="F137" s="105"/>
      <c r="G137" s="105"/>
      <c r="H137" s="105"/>
      <c r="I137" s="105"/>
      <c r="J137" s="105"/>
      <c r="K137" s="105"/>
      <c r="L137" s="105"/>
      <c r="M137" s="105"/>
      <c r="N137" s="105"/>
      <c r="O137" s="105"/>
      <c r="P137" s="105"/>
      <c r="Q137" s="105"/>
      <c r="R137" s="105"/>
      <c r="S137" s="105"/>
      <c r="T137" s="105"/>
      <c r="U137" s="105"/>
      <c r="V137" s="105"/>
      <c r="W137" s="105"/>
      <c r="X137" s="105"/>
      <c r="Y137" s="105"/>
      <c r="Z137" s="105"/>
      <c r="AA137" s="105"/>
      <c r="AB137" s="105"/>
      <c r="AC137" s="105"/>
    </row>
    <row r="138" spans="1:29" ht="15.75" customHeight="1" x14ac:dyDescent="0.2">
      <c r="A138" s="106"/>
      <c r="B138" s="105"/>
      <c r="C138" s="105"/>
      <c r="D138" s="105"/>
      <c r="E138" s="105"/>
      <c r="F138" s="105"/>
      <c r="G138" s="105"/>
      <c r="H138" s="105"/>
      <c r="I138" s="105"/>
      <c r="J138" s="105"/>
      <c r="K138" s="105"/>
      <c r="L138" s="105"/>
      <c r="M138" s="105"/>
      <c r="N138" s="105"/>
      <c r="O138" s="105"/>
      <c r="P138" s="105"/>
      <c r="Q138" s="105"/>
      <c r="R138" s="105"/>
      <c r="S138" s="105"/>
      <c r="T138" s="105"/>
      <c r="U138" s="105"/>
      <c r="V138" s="105"/>
      <c r="W138" s="105"/>
      <c r="X138" s="105"/>
      <c r="Y138" s="105"/>
      <c r="Z138" s="105"/>
      <c r="AA138" s="105"/>
      <c r="AB138" s="105"/>
      <c r="AC138" s="105"/>
    </row>
    <row r="139" spans="1:29" ht="15.75" customHeight="1" x14ac:dyDescent="0.2">
      <c r="A139" s="106"/>
      <c r="B139" s="105"/>
      <c r="C139" s="105"/>
      <c r="D139" s="105"/>
      <c r="E139" s="105"/>
      <c r="F139" s="105"/>
      <c r="G139" s="105"/>
      <c r="H139" s="105"/>
      <c r="I139" s="105"/>
      <c r="J139" s="105"/>
      <c r="K139" s="105"/>
      <c r="L139" s="105"/>
      <c r="M139" s="105"/>
      <c r="N139" s="105"/>
      <c r="O139" s="105"/>
      <c r="P139" s="105"/>
      <c r="Q139" s="105"/>
      <c r="R139" s="105"/>
      <c r="S139" s="105"/>
      <c r="T139" s="105"/>
      <c r="U139" s="105"/>
      <c r="V139" s="105"/>
      <c r="W139" s="105"/>
      <c r="X139" s="105"/>
      <c r="Y139" s="105"/>
      <c r="Z139" s="105"/>
      <c r="AA139" s="105"/>
      <c r="AB139" s="105"/>
      <c r="AC139" s="105"/>
    </row>
    <row r="140" spans="1:29" ht="15.75" customHeight="1" x14ac:dyDescent="0.2">
      <c r="A140" s="106"/>
      <c r="B140" s="105"/>
      <c r="C140" s="105"/>
      <c r="D140" s="105"/>
      <c r="E140" s="105"/>
      <c r="F140" s="105"/>
      <c r="G140" s="105"/>
      <c r="H140" s="105"/>
      <c r="I140" s="105"/>
      <c r="J140" s="105"/>
      <c r="K140" s="105"/>
      <c r="L140" s="105"/>
      <c r="M140" s="105"/>
      <c r="N140" s="105"/>
      <c r="O140" s="105"/>
      <c r="P140" s="105"/>
      <c r="Q140" s="105"/>
      <c r="R140" s="105"/>
      <c r="S140" s="105"/>
      <c r="T140" s="105"/>
      <c r="U140" s="105"/>
      <c r="V140" s="105"/>
      <c r="W140" s="105"/>
      <c r="X140" s="105"/>
      <c r="Y140" s="105"/>
      <c r="Z140" s="105"/>
      <c r="AA140" s="105"/>
      <c r="AB140" s="105"/>
      <c r="AC140" s="105"/>
    </row>
    <row r="141" spans="1:29" ht="15.75" customHeight="1" x14ac:dyDescent="0.2">
      <c r="A141" s="106"/>
      <c r="B141" s="105"/>
      <c r="C141" s="105"/>
      <c r="D141" s="105"/>
      <c r="E141" s="105"/>
      <c r="F141" s="105"/>
      <c r="G141" s="105"/>
      <c r="H141" s="105"/>
      <c r="I141" s="105"/>
      <c r="J141" s="105"/>
      <c r="K141" s="105"/>
      <c r="L141" s="105"/>
      <c r="M141" s="105"/>
      <c r="N141" s="105"/>
      <c r="O141" s="105"/>
      <c r="P141" s="105"/>
      <c r="Q141" s="105"/>
      <c r="R141" s="105"/>
      <c r="S141" s="105"/>
      <c r="T141" s="105"/>
      <c r="U141" s="105"/>
      <c r="V141" s="105"/>
      <c r="W141" s="105"/>
      <c r="X141" s="105"/>
      <c r="Y141" s="105"/>
      <c r="Z141" s="105"/>
      <c r="AA141" s="105"/>
      <c r="AB141" s="105"/>
      <c r="AC141" s="105"/>
    </row>
    <row r="142" spans="1:29" ht="15.75" customHeight="1" x14ac:dyDescent="0.2">
      <c r="A142" s="106"/>
      <c r="B142" s="105"/>
      <c r="C142" s="105"/>
      <c r="D142" s="105"/>
      <c r="E142" s="105"/>
      <c r="F142" s="105"/>
      <c r="G142" s="105"/>
      <c r="H142" s="105"/>
      <c r="I142" s="105"/>
      <c r="J142" s="105"/>
      <c r="K142" s="105"/>
      <c r="L142" s="105"/>
      <c r="M142" s="105"/>
      <c r="N142" s="105"/>
      <c r="O142" s="105"/>
      <c r="P142" s="105"/>
      <c r="Q142" s="105"/>
      <c r="R142" s="105"/>
      <c r="S142" s="105"/>
      <c r="T142" s="105"/>
      <c r="U142" s="105"/>
      <c r="V142" s="105"/>
      <c r="W142" s="105"/>
      <c r="X142" s="105"/>
      <c r="Y142" s="105"/>
      <c r="Z142" s="105"/>
      <c r="AA142" s="105"/>
      <c r="AB142" s="105"/>
      <c r="AC142" s="105"/>
    </row>
    <row r="143" spans="1:29" ht="15.75" customHeight="1" x14ac:dyDescent="0.2">
      <c r="A143" s="106"/>
      <c r="B143" s="105"/>
      <c r="C143" s="105"/>
      <c r="D143" s="105"/>
      <c r="E143" s="105"/>
      <c r="F143" s="105"/>
      <c r="G143" s="105"/>
      <c r="H143" s="105"/>
      <c r="I143" s="105"/>
      <c r="J143" s="105"/>
      <c r="K143" s="105"/>
      <c r="L143" s="105"/>
      <c r="M143" s="105"/>
      <c r="N143" s="105"/>
      <c r="O143" s="105"/>
      <c r="P143" s="105"/>
      <c r="Q143" s="105"/>
      <c r="R143" s="105"/>
      <c r="S143" s="105"/>
      <c r="T143" s="105"/>
      <c r="U143" s="105"/>
      <c r="V143" s="105"/>
      <c r="W143" s="105"/>
      <c r="X143" s="105"/>
      <c r="Y143" s="105"/>
      <c r="Z143" s="105"/>
      <c r="AA143" s="105"/>
      <c r="AB143" s="105"/>
      <c r="AC143" s="105"/>
    </row>
    <row r="144" spans="1:29" ht="15.75" customHeight="1" x14ac:dyDescent="0.2">
      <c r="A144" s="106"/>
      <c r="B144" s="105"/>
      <c r="C144" s="105"/>
      <c r="D144" s="105"/>
      <c r="E144" s="105"/>
      <c r="F144" s="105"/>
      <c r="G144" s="105"/>
      <c r="H144" s="105"/>
      <c r="I144" s="105"/>
      <c r="J144" s="105"/>
      <c r="K144" s="105"/>
      <c r="L144" s="105"/>
      <c r="M144" s="105"/>
      <c r="N144" s="105"/>
      <c r="O144" s="105"/>
      <c r="P144" s="105"/>
      <c r="Q144" s="105"/>
      <c r="R144" s="105"/>
      <c r="S144" s="105"/>
      <c r="T144" s="105"/>
      <c r="U144" s="105"/>
      <c r="V144" s="105"/>
      <c r="W144" s="105"/>
      <c r="X144" s="105"/>
      <c r="Y144" s="105"/>
      <c r="Z144" s="105"/>
      <c r="AA144" s="105"/>
      <c r="AB144" s="105"/>
      <c r="AC144" s="105"/>
    </row>
    <row r="145" spans="1:29" ht="15.75" customHeight="1" x14ac:dyDescent="0.2">
      <c r="A145" s="106"/>
      <c r="B145" s="105"/>
      <c r="C145" s="105"/>
      <c r="D145" s="105"/>
      <c r="E145" s="105"/>
      <c r="F145" s="105"/>
      <c r="G145" s="105"/>
      <c r="H145" s="105"/>
      <c r="I145" s="105"/>
      <c r="J145" s="105"/>
      <c r="K145" s="105"/>
      <c r="L145" s="105"/>
      <c r="M145" s="105"/>
      <c r="N145" s="105"/>
      <c r="O145" s="105"/>
      <c r="P145" s="105"/>
      <c r="Q145" s="105"/>
      <c r="R145" s="105"/>
      <c r="S145" s="105"/>
      <c r="T145" s="105"/>
      <c r="U145" s="105"/>
      <c r="V145" s="105"/>
      <c r="W145" s="105"/>
      <c r="X145" s="105"/>
      <c r="Y145" s="105"/>
      <c r="Z145" s="105"/>
      <c r="AA145" s="105"/>
      <c r="AB145" s="105"/>
      <c r="AC145" s="105"/>
    </row>
    <row r="146" spans="1:29" ht="15.75" customHeight="1" x14ac:dyDescent="0.2">
      <c r="A146" s="106"/>
      <c r="B146" s="105"/>
      <c r="C146" s="105"/>
      <c r="D146" s="105"/>
      <c r="E146" s="105"/>
      <c r="F146" s="105"/>
      <c r="G146" s="105"/>
      <c r="H146" s="105"/>
      <c r="I146" s="105"/>
      <c r="J146" s="105"/>
      <c r="K146" s="105"/>
      <c r="L146" s="105"/>
      <c r="M146" s="105"/>
      <c r="N146" s="105"/>
      <c r="O146" s="105"/>
      <c r="P146" s="105"/>
      <c r="Q146" s="105"/>
      <c r="R146" s="105"/>
      <c r="S146" s="105"/>
      <c r="T146" s="105"/>
      <c r="U146" s="105"/>
      <c r="V146" s="105"/>
      <c r="W146" s="105"/>
      <c r="X146" s="105"/>
      <c r="Y146" s="105"/>
      <c r="Z146" s="105"/>
      <c r="AA146" s="105"/>
      <c r="AB146" s="105"/>
      <c r="AC146" s="105"/>
    </row>
    <row r="147" spans="1:29" ht="15.75" customHeight="1" x14ac:dyDescent="0.2">
      <c r="A147" s="106"/>
      <c r="B147" s="105"/>
      <c r="C147" s="105"/>
      <c r="D147" s="105"/>
      <c r="E147" s="105"/>
      <c r="F147" s="105"/>
      <c r="G147" s="105"/>
      <c r="H147" s="105"/>
      <c r="I147" s="105"/>
      <c r="J147" s="105"/>
      <c r="K147" s="105"/>
      <c r="L147" s="105"/>
      <c r="M147" s="105"/>
      <c r="N147" s="105"/>
      <c r="O147" s="105"/>
      <c r="P147" s="105"/>
      <c r="Q147" s="105"/>
      <c r="R147" s="105"/>
      <c r="S147" s="105"/>
      <c r="T147" s="105"/>
      <c r="U147" s="105"/>
      <c r="V147" s="105"/>
      <c r="W147" s="105"/>
      <c r="X147" s="105"/>
      <c r="Y147" s="105"/>
      <c r="Z147" s="105"/>
      <c r="AA147" s="105"/>
      <c r="AB147" s="105"/>
      <c r="AC147" s="105"/>
    </row>
    <row r="148" spans="1:29" ht="15.75" customHeight="1" x14ac:dyDescent="0.2">
      <c r="A148" s="106"/>
      <c r="B148" s="105"/>
      <c r="C148" s="105"/>
      <c r="D148" s="105"/>
      <c r="E148" s="105"/>
      <c r="F148" s="105"/>
      <c r="G148" s="105"/>
      <c r="H148" s="105"/>
      <c r="I148" s="105"/>
      <c r="J148" s="105"/>
      <c r="K148" s="105"/>
      <c r="L148" s="105"/>
      <c r="M148" s="105"/>
      <c r="N148" s="105"/>
      <c r="O148" s="105"/>
      <c r="P148" s="105"/>
      <c r="Q148" s="105"/>
      <c r="R148" s="105"/>
      <c r="S148" s="105"/>
      <c r="T148" s="105"/>
      <c r="U148" s="105"/>
      <c r="V148" s="105"/>
      <c r="W148" s="105"/>
      <c r="X148" s="105"/>
      <c r="Y148" s="105"/>
      <c r="Z148" s="105"/>
      <c r="AA148" s="105"/>
      <c r="AB148" s="105"/>
      <c r="AC148" s="105"/>
    </row>
    <row r="149" spans="1:29" ht="15.75" customHeight="1" x14ac:dyDescent="0.2">
      <c r="A149" s="106"/>
      <c r="B149" s="105"/>
      <c r="C149" s="105"/>
      <c r="D149" s="105"/>
      <c r="E149" s="105"/>
      <c r="F149" s="105"/>
      <c r="G149" s="105"/>
      <c r="H149" s="105"/>
      <c r="I149" s="105"/>
      <c r="J149" s="105"/>
      <c r="K149" s="105"/>
      <c r="L149" s="105"/>
      <c r="M149" s="105"/>
      <c r="N149" s="105"/>
      <c r="O149" s="105"/>
      <c r="P149" s="105"/>
      <c r="Q149" s="105"/>
      <c r="R149" s="105"/>
      <c r="S149" s="105"/>
      <c r="T149" s="105"/>
      <c r="U149" s="105"/>
      <c r="V149" s="105"/>
      <c r="W149" s="105"/>
      <c r="X149" s="105"/>
      <c r="Y149" s="105"/>
      <c r="Z149" s="105"/>
      <c r="AA149" s="105"/>
      <c r="AB149" s="105"/>
      <c r="AC149" s="105"/>
    </row>
    <row r="150" spans="1:29" ht="15.75" customHeight="1" x14ac:dyDescent="0.2">
      <c r="A150" s="106"/>
      <c r="B150" s="105"/>
      <c r="C150" s="105"/>
      <c r="D150" s="105"/>
      <c r="E150" s="105"/>
      <c r="F150" s="105"/>
      <c r="G150" s="105"/>
      <c r="H150" s="105"/>
      <c r="I150" s="105"/>
      <c r="J150" s="105"/>
      <c r="K150" s="105"/>
      <c r="L150" s="105"/>
      <c r="M150" s="105"/>
      <c r="N150" s="105"/>
      <c r="O150" s="105"/>
      <c r="P150" s="105"/>
      <c r="Q150" s="105"/>
      <c r="R150" s="105"/>
      <c r="S150" s="105"/>
      <c r="T150" s="105"/>
      <c r="U150" s="105"/>
      <c r="V150" s="105"/>
      <c r="W150" s="105"/>
      <c r="X150" s="105"/>
      <c r="Y150" s="105"/>
      <c r="Z150" s="105"/>
      <c r="AA150" s="105"/>
      <c r="AB150" s="105"/>
      <c r="AC150" s="105"/>
    </row>
    <row r="151" spans="1:29" ht="15.75" customHeight="1" x14ac:dyDescent="0.2">
      <c r="A151" s="106"/>
      <c r="B151" s="105"/>
      <c r="C151" s="105"/>
      <c r="D151" s="105"/>
      <c r="E151" s="105"/>
      <c r="F151" s="105"/>
      <c r="G151" s="105"/>
      <c r="H151" s="105"/>
      <c r="I151" s="105"/>
      <c r="J151" s="105"/>
      <c r="K151" s="105"/>
      <c r="L151" s="105"/>
      <c r="M151" s="105"/>
      <c r="N151" s="105"/>
      <c r="O151" s="105"/>
      <c r="P151" s="105"/>
      <c r="Q151" s="105"/>
      <c r="R151" s="105"/>
      <c r="S151" s="105"/>
      <c r="T151" s="105"/>
      <c r="U151" s="105"/>
      <c r="V151" s="105"/>
      <c r="W151" s="105"/>
      <c r="X151" s="105"/>
      <c r="Y151" s="105"/>
      <c r="Z151" s="105"/>
      <c r="AA151" s="105"/>
      <c r="AB151" s="105"/>
      <c r="AC151" s="105"/>
    </row>
    <row r="152" spans="1:29" ht="15.75" customHeight="1" x14ac:dyDescent="0.2">
      <c r="A152" s="106"/>
      <c r="B152" s="105"/>
      <c r="C152" s="105"/>
      <c r="D152" s="105"/>
      <c r="E152" s="105"/>
      <c r="F152" s="105"/>
      <c r="G152" s="105"/>
      <c r="H152" s="105"/>
      <c r="I152" s="105"/>
      <c r="J152" s="105"/>
      <c r="K152" s="105"/>
      <c r="L152" s="105"/>
      <c r="M152" s="105"/>
      <c r="N152" s="105"/>
      <c r="O152" s="105"/>
      <c r="P152" s="105"/>
      <c r="Q152" s="105"/>
      <c r="R152" s="105"/>
      <c r="S152" s="105"/>
      <c r="T152" s="105"/>
      <c r="U152" s="105"/>
      <c r="V152" s="105"/>
      <c r="W152" s="105"/>
      <c r="X152" s="105"/>
      <c r="Y152" s="105"/>
      <c r="Z152" s="105"/>
      <c r="AA152" s="105"/>
      <c r="AB152" s="105"/>
      <c r="AC152" s="105"/>
    </row>
    <row r="153" spans="1:29" ht="15.75" customHeight="1" x14ac:dyDescent="0.2">
      <c r="A153" s="106"/>
      <c r="B153" s="105"/>
      <c r="C153" s="105"/>
      <c r="D153" s="105"/>
      <c r="E153" s="105"/>
      <c r="F153" s="105"/>
      <c r="G153" s="105"/>
      <c r="H153" s="105"/>
      <c r="I153" s="105"/>
      <c r="J153" s="105"/>
      <c r="K153" s="105"/>
      <c r="L153" s="105"/>
      <c r="M153" s="105"/>
      <c r="N153" s="105"/>
      <c r="O153" s="105"/>
      <c r="P153" s="105"/>
      <c r="Q153" s="105"/>
      <c r="R153" s="105"/>
      <c r="S153" s="105"/>
      <c r="T153" s="105"/>
      <c r="U153" s="105"/>
      <c r="V153" s="105"/>
      <c r="W153" s="105"/>
      <c r="X153" s="105"/>
      <c r="Y153" s="105"/>
      <c r="Z153" s="105"/>
      <c r="AA153" s="105"/>
      <c r="AB153" s="105"/>
      <c r="AC153" s="105"/>
    </row>
    <row r="154" spans="1:29" ht="15.75" customHeight="1" x14ac:dyDescent="0.2">
      <c r="A154" s="106"/>
      <c r="B154" s="105"/>
      <c r="C154" s="105"/>
      <c r="D154" s="105"/>
      <c r="E154" s="105"/>
      <c r="F154" s="105"/>
      <c r="G154" s="105"/>
      <c r="H154" s="105"/>
      <c r="I154" s="105"/>
      <c r="J154" s="105"/>
      <c r="K154" s="105"/>
      <c r="L154" s="105"/>
      <c r="M154" s="105"/>
      <c r="N154" s="105"/>
      <c r="O154" s="105"/>
      <c r="P154" s="105"/>
      <c r="Q154" s="105"/>
      <c r="R154" s="105"/>
      <c r="S154" s="105"/>
      <c r="T154" s="105"/>
      <c r="U154" s="105"/>
      <c r="V154" s="105"/>
      <c r="W154" s="105"/>
      <c r="X154" s="105"/>
      <c r="Y154" s="105"/>
      <c r="Z154" s="105"/>
      <c r="AA154" s="105"/>
      <c r="AB154" s="105"/>
      <c r="AC154" s="105"/>
    </row>
    <row r="155" spans="1:29" ht="15.75" customHeight="1" x14ac:dyDescent="0.2">
      <c r="A155" s="106"/>
      <c r="B155" s="105"/>
      <c r="C155" s="105"/>
      <c r="D155" s="105"/>
      <c r="E155" s="105"/>
      <c r="F155" s="105"/>
      <c r="G155" s="105"/>
      <c r="H155" s="105"/>
      <c r="I155" s="105"/>
      <c r="J155" s="105"/>
      <c r="K155" s="105"/>
      <c r="L155" s="105"/>
      <c r="M155" s="105"/>
      <c r="N155" s="105"/>
      <c r="O155" s="105"/>
      <c r="P155" s="105"/>
      <c r="Q155" s="105"/>
      <c r="R155" s="105"/>
      <c r="S155" s="105"/>
      <c r="T155" s="105"/>
      <c r="U155" s="105"/>
      <c r="V155" s="105"/>
      <c r="W155" s="105"/>
      <c r="X155" s="105"/>
      <c r="Y155" s="105"/>
      <c r="Z155" s="105"/>
      <c r="AA155" s="105"/>
      <c r="AB155" s="105"/>
      <c r="AC155" s="105"/>
    </row>
    <row r="156" spans="1:29" ht="15.75" customHeight="1" x14ac:dyDescent="0.2">
      <c r="A156" s="106"/>
      <c r="B156" s="105"/>
      <c r="C156" s="105"/>
      <c r="D156" s="105"/>
      <c r="E156" s="105"/>
      <c r="F156" s="105"/>
      <c r="G156" s="105"/>
      <c r="H156" s="105"/>
      <c r="I156" s="105"/>
      <c r="J156" s="105"/>
      <c r="K156" s="105"/>
      <c r="L156" s="105"/>
      <c r="M156" s="105"/>
      <c r="N156" s="105"/>
      <c r="O156" s="105"/>
      <c r="P156" s="105"/>
      <c r="Q156" s="105"/>
      <c r="R156" s="105"/>
      <c r="S156" s="105"/>
      <c r="T156" s="105"/>
      <c r="U156" s="105"/>
      <c r="V156" s="105"/>
      <c r="W156" s="105"/>
      <c r="X156" s="105"/>
      <c r="Y156" s="105"/>
      <c r="Z156" s="105"/>
      <c r="AA156" s="105"/>
      <c r="AB156" s="105"/>
      <c r="AC156" s="105"/>
    </row>
    <row r="157" spans="1:29" ht="15.75" customHeight="1" x14ac:dyDescent="0.2">
      <c r="A157" s="106"/>
      <c r="B157" s="105"/>
      <c r="C157" s="105"/>
      <c r="D157" s="105"/>
      <c r="E157" s="105"/>
      <c r="F157" s="105"/>
      <c r="G157" s="105"/>
      <c r="H157" s="105"/>
      <c r="I157" s="105"/>
      <c r="J157" s="105"/>
      <c r="K157" s="105"/>
      <c r="L157" s="105"/>
      <c r="M157" s="105"/>
      <c r="N157" s="105"/>
      <c r="O157" s="105"/>
      <c r="P157" s="105"/>
      <c r="Q157" s="105"/>
      <c r="R157" s="105"/>
      <c r="S157" s="105"/>
      <c r="T157" s="105"/>
      <c r="U157" s="105"/>
      <c r="V157" s="105"/>
      <c r="W157" s="105"/>
      <c r="X157" s="105"/>
      <c r="Y157" s="105"/>
      <c r="Z157" s="105"/>
      <c r="AA157" s="105"/>
      <c r="AB157" s="105"/>
      <c r="AC157" s="105"/>
    </row>
    <row r="158" spans="1:29" ht="15.75" customHeight="1" x14ac:dyDescent="0.2">
      <c r="A158" s="106"/>
      <c r="B158" s="105"/>
      <c r="C158" s="105"/>
      <c r="D158" s="105"/>
      <c r="E158" s="105"/>
      <c r="F158" s="105"/>
      <c r="G158" s="105"/>
      <c r="H158" s="105"/>
      <c r="I158" s="105"/>
      <c r="J158" s="105"/>
      <c r="K158" s="105"/>
      <c r="L158" s="105"/>
      <c r="M158" s="105"/>
      <c r="N158" s="105"/>
      <c r="O158" s="105"/>
      <c r="P158" s="105"/>
      <c r="Q158" s="105"/>
      <c r="R158" s="105"/>
      <c r="S158" s="105"/>
      <c r="T158" s="105"/>
      <c r="U158" s="105"/>
      <c r="V158" s="105"/>
      <c r="W158" s="105"/>
      <c r="X158" s="105"/>
      <c r="Y158" s="105"/>
      <c r="Z158" s="105"/>
      <c r="AA158" s="105"/>
      <c r="AB158" s="105"/>
      <c r="AC158" s="105"/>
    </row>
    <row r="159" spans="1:29" ht="15.75" customHeight="1" x14ac:dyDescent="0.2">
      <c r="A159" s="106"/>
      <c r="B159" s="105"/>
      <c r="C159" s="105"/>
      <c r="D159" s="105"/>
      <c r="E159" s="105"/>
      <c r="F159" s="105"/>
      <c r="G159" s="105"/>
      <c r="H159" s="105"/>
      <c r="I159" s="105"/>
      <c r="J159" s="105"/>
      <c r="K159" s="105"/>
      <c r="L159" s="105"/>
      <c r="M159" s="105"/>
      <c r="N159" s="105"/>
      <c r="O159" s="105"/>
      <c r="P159" s="105"/>
      <c r="Q159" s="105"/>
      <c r="R159" s="105"/>
      <c r="S159" s="105"/>
      <c r="T159" s="105"/>
      <c r="U159" s="105"/>
      <c r="V159" s="105"/>
      <c r="W159" s="105"/>
      <c r="X159" s="105"/>
      <c r="Y159" s="105"/>
      <c r="Z159" s="105"/>
      <c r="AA159" s="105"/>
      <c r="AB159" s="105"/>
      <c r="AC159" s="105"/>
    </row>
    <row r="160" spans="1:29" ht="15.75" customHeight="1" x14ac:dyDescent="0.2">
      <c r="A160" s="106"/>
      <c r="B160" s="105"/>
      <c r="C160" s="105"/>
      <c r="D160" s="105"/>
      <c r="E160" s="105"/>
      <c r="F160" s="105"/>
      <c r="G160" s="105"/>
      <c r="H160" s="105"/>
      <c r="I160" s="105"/>
      <c r="J160" s="105"/>
      <c r="K160" s="105"/>
      <c r="L160" s="105"/>
      <c r="M160" s="105"/>
      <c r="N160" s="105"/>
      <c r="O160" s="105"/>
      <c r="P160" s="105"/>
      <c r="Q160" s="105"/>
      <c r="R160" s="105"/>
      <c r="S160" s="105"/>
      <c r="T160" s="105"/>
      <c r="U160" s="105"/>
      <c r="V160" s="105"/>
      <c r="W160" s="105"/>
      <c r="X160" s="105"/>
      <c r="Y160" s="105"/>
      <c r="Z160" s="105"/>
      <c r="AA160" s="105"/>
      <c r="AB160" s="105"/>
      <c r="AC160" s="105"/>
    </row>
    <row r="161" spans="1:29" ht="15.75" customHeight="1" x14ac:dyDescent="0.2">
      <c r="A161" s="106"/>
      <c r="B161" s="105"/>
      <c r="C161" s="105"/>
      <c r="D161" s="105"/>
      <c r="E161" s="105"/>
      <c r="F161" s="105"/>
      <c r="G161" s="105"/>
      <c r="H161" s="105"/>
      <c r="I161" s="105"/>
      <c r="J161" s="105"/>
      <c r="K161" s="105"/>
      <c r="L161" s="105"/>
      <c r="M161" s="105"/>
      <c r="N161" s="105"/>
      <c r="O161" s="105"/>
      <c r="P161" s="105"/>
      <c r="Q161" s="105"/>
      <c r="R161" s="105"/>
      <c r="S161" s="105"/>
      <c r="T161" s="105"/>
      <c r="U161" s="105"/>
      <c r="V161" s="105"/>
      <c r="W161" s="105"/>
      <c r="X161" s="105"/>
      <c r="Y161" s="105"/>
      <c r="Z161" s="105"/>
      <c r="AA161" s="105"/>
      <c r="AB161" s="105"/>
      <c r="AC161" s="105"/>
    </row>
    <row r="162" spans="1:29" ht="15.75" customHeight="1" x14ac:dyDescent="0.2">
      <c r="A162" s="106"/>
      <c r="B162" s="105"/>
      <c r="C162" s="105"/>
      <c r="D162" s="105"/>
      <c r="E162" s="105"/>
      <c r="F162" s="105"/>
      <c r="G162" s="105"/>
      <c r="H162" s="105"/>
      <c r="I162" s="105"/>
      <c r="J162" s="105"/>
      <c r="K162" s="105"/>
      <c r="L162" s="105"/>
      <c r="M162" s="105"/>
      <c r="N162" s="105"/>
      <c r="O162" s="105"/>
      <c r="P162" s="105"/>
      <c r="Q162" s="105"/>
      <c r="R162" s="105"/>
      <c r="S162" s="105"/>
      <c r="T162" s="105"/>
      <c r="U162" s="105"/>
      <c r="V162" s="105"/>
      <c r="W162" s="105"/>
      <c r="X162" s="105"/>
      <c r="Y162" s="105"/>
      <c r="Z162" s="105"/>
      <c r="AA162" s="105"/>
      <c r="AB162" s="105"/>
      <c r="AC162" s="105"/>
    </row>
    <row r="163" spans="1:29" ht="15.75" customHeight="1" x14ac:dyDescent="0.2">
      <c r="A163" s="106"/>
      <c r="B163" s="105"/>
      <c r="C163" s="105"/>
      <c r="D163" s="105"/>
      <c r="E163" s="105"/>
      <c r="F163" s="105"/>
      <c r="G163" s="105"/>
      <c r="H163" s="105"/>
      <c r="I163" s="105"/>
      <c r="J163" s="105"/>
      <c r="K163" s="105"/>
      <c r="L163" s="105"/>
      <c r="M163" s="105"/>
      <c r="N163" s="105"/>
      <c r="O163" s="105"/>
      <c r="P163" s="105"/>
      <c r="Q163" s="105"/>
      <c r="R163" s="105"/>
      <c r="S163" s="105"/>
      <c r="T163" s="105"/>
      <c r="U163" s="105"/>
      <c r="V163" s="105"/>
      <c r="W163" s="105"/>
      <c r="X163" s="105"/>
      <c r="Y163" s="105"/>
      <c r="Z163" s="105"/>
      <c r="AA163" s="105"/>
      <c r="AB163" s="105"/>
      <c r="AC163" s="105"/>
    </row>
    <row r="164" spans="1:29" ht="15.75" customHeight="1" x14ac:dyDescent="0.2">
      <c r="A164" s="106"/>
      <c r="B164" s="105"/>
      <c r="C164" s="105"/>
      <c r="D164" s="105"/>
      <c r="E164" s="105"/>
      <c r="F164" s="105"/>
      <c r="G164" s="105"/>
      <c r="H164" s="105"/>
      <c r="I164" s="105"/>
      <c r="J164" s="105"/>
      <c r="K164" s="105"/>
      <c r="L164" s="105"/>
      <c r="M164" s="105"/>
      <c r="N164" s="105"/>
      <c r="O164" s="105"/>
      <c r="P164" s="105"/>
      <c r="Q164" s="105"/>
      <c r="R164" s="105"/>
      <c r="S164" s="105"/>
      <c r="T164" s="105"/>
      <c r="U164" s="105"/>
      <c r="V164" s="105"/>
      <c r="W164" s="105"/>
      <c r="X164" s="105"/>
      <c r="Y164" s="105"/>
      <c r="Z164" s="105"/>
      <c r="AA164" s="105"/>
      <c r="AB164" s="105"/>
      <c r="AC164" s="105"/>
    </row>
    <row r="165" spans="1:29" ht="15.75" customHeight="1" x14ac:dyDescent="0.2">
      <c r="A165" s="106"/>
      <c r="B165" s="105"/>
      <c r="C165" s="105"/>
      <c r="D165" s="105"/>
      <c r="E165" s="105"/>
      <c r="F165" s="105"/>
      <c r="G165" s="105"/>
      <c r="H165" s="105"/>
      <c r="I165" s="105"/>
      <c r="J165" s="105"/>
      <c r="K165" s="105"/>
      <c r="L165" s="105"/>
      <c r="M165" s="105"/>
      <c r="N165" s="105"/>
      <c r="O165" s="105"/>
      <c r="P165" s="105"/>
      <c r="Q165" s="105"/>
      <c r="R165" s="105"/>
      <c r="S165" s="105"/>
      <c r="T165" s="105"/>
      <c r="U165" s="105"/>
      <c r="V165" s="105"/>
      <c r="W165" s="105"/>
      <c r="X165" s="105"/>
      <c r="Y165" s="105"/>
      <c r="Z165" s="105"/>
      <c r="AA165" s="105"/>
      <c r="AB165" s="105"/>
      <c r="AC165" s="105"/>
    </row>
    <row r="166" spans="1:29" ht="15.75" customHeight="1" x14ac:dyDescent="0.2">
      <c r="A166" s="106"/>
      <c r="B166" s="105"/>
      <c r="C166" s="105"/>
      <c r="D166" s="105"/>
      <c r="E166" s="105"/>
      <c r="F166" s="105"/>
      <c r="G166" s="105"/>
      <c r="H166" s="105"/>
      <c r="I166" s="105"/>
      <c r="J166" s="105"/>
      <c r="K166" s="105"/>
      <c r="L166" s="105"/>
      <c r="M166" s="105"/>
      <c r="N166" s="105"/>
      <c r="O166" s="105"/>
      <c r="P166" s="105"/>
      <c r="Q166" s="105"/>
      <c r="R166" s="105"/>
      <c r="S166" s="105"/>
      <c r="T166" s="105"/>
      <c r="U166" s="105"/>
      <c r="V166" s="105"/>
      <c r="W166" s="105"/>
      <c r="X166" s="105"/>
      <c r="Y166" s="105"/>
      <c r="Z166" s="105"/>
      <c r="AA166" s="105"/>
      <c r="AB166" s="105"/>
      <c r="AC166" s="105"/>
    </row>
    <row r="167" spans="1:29" ht="15.75" customHeight="1" x14ac:dyDescent="0.2">
      <c r="A167" s="106"/>
      <c r="B167" s="105"/>
      <c r="C167" s="105"/>
      <c r="D167" s="105"/>
      <c r="E167" s="105"/>
      <c r="F167" s="105"/>
      <c r="G167" s="105"/>
      <c r="H167" s="105"/>
      <c r="I167" s="105"/>
      <c r="J167" s="105"/>
      <c r="K167" s="105"/>
      <c r="L167" s="105"/>
      <c r="M167" s="105"/>
      <c r="N167" s="105"/>
      <c r="O167" s="105"/>
      <c r="P167" s="105"/>
      <c r="Q167" s="105"/>
      <c r="R167" s="105"/>
      <c r="S167" s="105"/>
      <c r="T167" s="105"/>
      <c r="U167" s="105"/>
      <c r="V167" s="105"/>
      <c r="W167" s="105"/>
      <c r="X167" s="105"/>
      <c r="Y167" s="105"/>
      <c r="Z167" s="105"/>
      <c r="AA167" s="105"/>
      <c r="AB167" s="105"/>
      <c r="AC167" s="105"/>
    </row>
    <row r="168" spans="1:29" ht="15.75" customHeight="1" x14ac:dyDescent="0.2">
      <c r="A168" s="106"/>
      <c r="B168" s="105"/>
      <c r="C168" s="105"/>
      <c r="D168" s="105"/>
      <c r="E168" s="105"/>
      <c r="F168" s="105"/>
      <c r="G168" s="105"/>
      <c r="H168" s="105"/>
      <c r="I168" s="105"/>
      <c r="J168" s="105"/>
      <c r="K168" s="105"/>
      <c r="L168" s="105"/>
      <c r="M168" s="105"/>
      <c r="N168" s="105"/>
      <c r="O168" s="105"/>
      <c r="P168" s="105"/>
      <c r="Q168" s="105"/>
      <c r="R168" s="105"/>
      <c r="S168" s="105"/>
      <c r="T168" s="105"/>
      <c r="U168" s="105"/>
      <c r="V168" s="105"/>
      <c r="W168" s="105"/>
      <c r="X168" s="105"/>
      <c r="Y168" s="105"/>
      <c r="Z168" s="105"/>
      <c r="AA168" s="105"/>
      <c r="AB168" s="105"/>
      <c r="AC168" s="105"/>
    </row>
    <row r="169" spans="1:29" ht="15.75" customHeight="1" x14ac:dyDescent="0.2">
      <c r="A169" s="106"/>
      <c r="B169" s="105"/>
      <c r="C169" s="105"/>
      <c r="D169" s="105"/>
      <c r="E169" s="105"/>
      <c r="F169" s="105"/>
      <c r="G169" s="105"/>
      <c r="H169" s="105"/>
      <c r="I169" s="105"/>
      <c r="J169" s="105"/>
      <c r="K169" s="105"/>
      <c r="L169" s="105"/>
      <c r="M169" s="105"/>
      <c r="N169" s="105"/>
      <c r="O169" s="105"/>
      <c r="P169" s="105"/>
      <c r="Q169" s="105"/>
      <c r="R169" s="105"/>
      <c r="S169" s="105"/>
      <c r="T169" s="105"/>
      <c r="U169" s="105"/>
      <c r="V169" s="105"/>
      <c r="W169" s="105"/>
      <c r="X169" s="105"/>
      <c r="Y169" s="105"/>
      <c r="Z169" s="105"/>
      <c r="AA169" s="105"/>
      <c r="AB169" s="105"/>
      <c r="AC169" s="105"/>
    </row>
    <row r="170" spans="1:29" ht="15.75" customHeight="1" x14ac:dyDescent="0.2">
      <c r="A170" s="106"/>
      <c r="B170" s="105"/>
      <c r="C170" s="105"/>
      <c r="D170" s="105"/>
      <c r="E170" s="105"/>
      <c r="F170" s="105"/>
      <c r="G170" s="105"/>
      <c r="H170" s="105"/>
      <c r="I170" s="105"/>
      <c r="J170" s="105"/>
      <c r="K170" s="105"/>
      <c r="L170" s="105"/>
      <c r="M170" s="105"/>
      <c r="N170" s="105"/>
      <c r="O170" s="105"/>
      <c r="P170" s="105"/>
      <c r="Q170" s="105"/>
      <c r="R170" s="105"/>
      <c r="S170" s="105"/>
      <c r="T170" s="105"/>
      <c r="U170" s="105"/>
      <c r="V170" s="105"/>
      <c r="W170" s="105"/>
      <c r="X170" s="105"/>
      <c r="Y170" s="105"/>
      <c r="Z170" s="105"/>
      <c r="AA170" s="105"/>
      <c r="AB170" s="105"/>
      <c r="AC170" s="105"/>
    </row>
    <row r="171" spans="1:29" ht="15.75" customHeight="1" x14ac:dyDescent="0.2">
      <c r="A171" s="106"/>
      <c r="B171" s="105"/>
      <c r="C171" s="105"/>
      <c r="D171" s="105"/>
      <c r="E171" s="105"/>
      <c r="F171" s="105"/>
      <c r="G171" s="105"/>
      <c r="H171" s="105"/>
      <c r="I171" s="105"/>
      <c r="J171" s="105"/>
      <c r="K171" s="105"/>
      <c r="L171" s="105"/>
      <c r="M171" s="105"/>
      <c r="N171" s="105"/>
      <c r="O171" s="105"/>
      <c r="P171" s="105"/>
      <c r="Q171" s="105"/>
      <c r="R171" s="105"/>
      <c r="S171" s="105"/>
      <c r="T171" s="105"/>
      <c r="U171" s="105"/>
      <c r="V171" s="105"/>
      <c r="W171" s="105"/>
      <c r="X171" s="105"/>
      <c r="Y171" s="105"/>
      <c r="Z171" s="105"/>
      <c r="AA171" s="105"/>
      <c r="AB171" s="105"/>
      <c r="AC171" s="105"/>
    </row>
    <row r="172" spans="1:29" ht="15.75" customHeight="1" x14ac:dyDescent="0.2">
      <c r="A172" s="106"/>
      <c r="B172" s="105"/>
      <c r="C172" s="105"/>
      <c r="D172" s="105"/>
      <c r="E172" s="105"/>
      <c r="F172" s="105"/>
      <c r="G172" s="105"/>
      <c r="H172" s="105"/>
      <c r="I172" s="105"/>
      <c r="J172" s="105"/>
      <c r="K172" s="105"/>
      <c r="L172" s="105"/>
      <c r="M172" s="105"/>
      <c r="N172" s="105"/>
      <c r="O172" s="105"/>
      <c r="P172" s="105"/>
      <c r="Q172" s="105"/>
      <c r="R172" s="105"/>
      <c r="S172" s="105"/>
      <c r="T172" s="105"/>
      <c r="U172" s="105"/>
      <c r="V172" s="105"/>
      <c r="W172" s="105"/>
      <c r="X172" s="105"/>
      <c r="Y172" s="105"/>
      <c r="Z172" s="105"/>
      <c r="AA172" s="105"/>
      <c r="AB172" s="105"/>
      <c r="AC172" s="105"/>
    </row>
    <row r="173" spans="1:29" ht="15.75" customHeight="1" x14ac:dyDescent="0.2">
      <c r="A173" s="106"/>
      <c r="B173" s="105"/>
      <c r="C173" s="105"/>
      <c r="D173" s="105"/>
      <c r="E173" s="105"/>
      <c r="F173" s="105"/>
      <c r="G173" s="105"/>
      <c r="H173" s="105"/>
      <c r="I173" s="105"/>
      <c r="J173" s="105"/>
      <c r="K173" s="105"/>
      <c r="L173" s="105"/>
      <c r="M173" s="105"/>
      <c r="N173" s="105"/>
      <c r="O173" s="105"/>
      <c r="P173" s="105"/>
      <c r="Q173" s="105"/>
      <c r="R173" s="105"/>
      <c r="S173" s="105"/>
      <c r="T173" s="105"/>
      <c r="U173" s="105"/>
      <c r="V173" s="105"/>
      <c r="W173" s="105"/>
      <c r="X173" s="105"/>
      <c r="Y173" s="105"/>
      <c r="Z173" s="105"/>
      <c r="AA173" s="105"/>
      <c r="AB173" s="105"/>
      <c r="AC173" s="105"/>
    </row>
    <row r="174" spans="1:29" ht="15.75" customHeight="1" x14ac:dyDescent="0.2">
      <c r="A174" s="106"/>
      <c r="B174" s="105"/>
      <c r="C174" s="105"/>
      <c r="D174" s="105"/>
      <c r="E174" s="105"/>
      <c r="F174" s="105"/>
      <c r="G174" s="105"/>
      <c r="H174" s="105"/>
      <c r="I174" s="105"/>
      <c r="J174" s="105"/>
      <c r="K174" s="105"/>
      <c r="L174" s="105"/>
      <c r="M174" s="105"/>
      <c r="N174" s="105"/>
      <c r="O174" s="105"/>
      <c r="P174" s="105"/>
      <c r="Q174" s="105"/>
      <c r="R174" s="105"/>
      <c r="S174" s="105"/>
      <c r="T174" s="105"/>
      <c r="U174" s="105"/>
      <c r="V174" s="105"/>
      <c r="W174" s="105"/>
      <c r="X174" s="105"/>
      <c r="Y174" s="105"/>
      <c r="Z174" s="105"/>
      <c r="AA174" s="105"/>
      <c r="AB174" s="105"/>
      <c r="AC174" s="105"/>
    </row>
    <row r="175" spans="1:29" ht="15.75" customHeight="1" x14ac:dyDescent="0.2">
      <c r="A175" s="106"/>
      <c r="B175" s="105"/>
      <c r="C175" s="105"/>
      <c r="D175" s="105"/>
      <c r="E175" s="105"/>
      <c r="F175" s="105"/>
      <c r="G175" s="105"/>
      <c r="H175" s="105"/>
      <c r="I175" s="105"/>
      <c r="J175" s="105"/>
      <c r="K175" s="105"/>
      <c r="L175" s="105"/>
      <c r="M175" s="105"/>
      <c r="N175" s="105"/>
      <c r="O175" s="105"/>
      <c r="P175" s="105"/>
      <c r="Q175" s="105"/>
      <c r="R175" s="105"/>
      <c r="S175" s="105"/>
      <c r="T175" s="105"/>
      <c r="U175" s="105"/>
      <c r="V175" s="105"/>
      <c r="W175" s="105"/>
      <c r="X175" s="105"/>
      <c r="Y175" s="105"/>
      <c r="Z175" s="105"/>
      <c r="AA175" s="105"/>
      <c r="AB175" s="105"/>
      <c r="AC175" s="105"/>
    </row>
    <row r="176" spans="1:29" ht="15.75" customHeight="1" x14ac:dyDescent="0.2">
      <c r="A176" s="106"/>
      <c r="B176" s="105"/>
      <c r="C176" s="105"/>
      <c r="D176" s="105"/>
      <c r="E176" s="105"/>
      <c r="F176" s="105"/>
      <c r="G176" s="105"/>
      <c r="H176" s="105"/>
      <c r="I176" s="105"/>
      <c r="J176" s="105"/>
      <c r="K176" s="105"/>
      <c r="L176" s="105"/>
      <c r="M176" s="105"/>
      <c r="N176" s="105"/>
      <c r="O176" s="105"/>
      <c r="P176" s="105"/>
      <c r="Q176" s="105"/>
      <c r="R176" s="105"/>
      <c r="S176" s="105"/>
      <c r="T176" s="105"/>
      <c r="U176" s="105"/>
      <c r="V176" s="105"/>
      <c r="W176" s="105"/>
      <c r="X176" s="105"/>
      <c r="Y176" s="105"/>
      <c r="Z176" s="105"/>
      <c r="AA176" s="105"/>
      <c r="AB176" s="105"/>
      <c r="AC176" s="105"/>
    </row>
    <row r="177" spans="1:29" ht="15.75" customHeight="1" x14ac:dyDescent="0.2">
      <c r="A177" s="106"/>
      <c r="B177" s="105"/>
      <c r="C177" s="105"/>
      <c r="D177" s="105"/>
      <c r="E177" s="105"/>
      <c r="F177" s="105"/>
      <c r="G177" s="105"/>
      <c r="H177" s="105"/>
      <c r="I177" s="105"/>
      <c r="J177" s="105"/>
      <c r="K177" s="105"/>
      <c r="L177" s="105"/>
      <c r="M177" s="105"/>
      <c r="N177" s="105"/>
      <c r="O177" s="105"/>
      <c r="P177" s="105"/>
      <c r="Q177" s="105"/>
      <c r="R177" s="105"/>
      <c r="S177" s="105"/>
      <c r="T177" s="105"/>
      <c r="U177" s="105"/>
      <c r="V177" s="105"/>
      <c r="W177" s="105"/>
      <c r="X177" s="105"/>
      <c r="Y177" s="105"/>
      <c r="Z177" s="105"/>
      <c r="AA177" s="105"/>
      <c r="AB177" s="105"/>
      <c r="AC177" s="105"/>
    </row>
    <row r="178" spans="1:29" ht="15.75" customHeight="1" x14ac:dyDescent="0.2">
      <c r="A178" s="106"/>
      <c r="B178" s="105"/>
      <c r="C178" s="105"/>
      <c r="D178" s="105"/>
      <c r="E178" s="105"/>
      <c r="F178" s="105"/>
      <c r="G178" s="105"/>
      <c r="H178" s="105"/>
      <c r="I178" s="105"/>
      <c r="J178" s="105"/>
      <c r="K178" s="105"/>
      <c r="L178" s="105"/>
      <c r="M178" s="105"/>
      <c r="N178" s="105"/>
      <c r="O178" s="105"/>
      <c r="P178" s="105"/>
      <c r="Q178" s="105"/>
      <c r="R178" s="105"/>
      <c r="S178" s="105"/>
      <c r="T178" s="105"/>
      <c r="U178" s="105"/>
      <c r="V178" s="105"/>
      <c r="W178" s="105"/>
      <c r="X178" s="105"/>
      <c r="Y178" s="105"/>
      <c r="Z178" s="105"/>
      <c r="AA178" s="105"/>
      <c r="AB178" s="105"/>
      <c r="AC178" s="105"/>
    </row>
    <row r="179" spans="1:29" ht="15.75" customHeight="1" x14ac:dyDescent="0.2">
      <c r="A179" s="106"/>
      <c r="B179" s="105"/>
      <c r="C179" s="105"/>
      <c r="D179" s="105"/>
      <c r="E179" s="105"/>
      <c r="F179" s="105"/>
      <c r="G179" s="105"/>
      <c r="H179" s="105"/>
      <c r="I179" s="105"/>
      <c r="J179" s="105"/>
      <c r="K179" s="105"/>
      <c r="L179" s="105"/>
      <c r="M179" s="105"/>
      <c r="N179" s="105"/>
      <c r="O179" s="105"/>
      <c r="P179" s="105"/>
      <c r="Q179" s="105"/>
      <c r="R179" s="105"/>
      <c r="S179" s="105"/>
      <c r="T179" s="105"/>
      <c r="U179" s="105"/>
      <c r="V179" s="105"/>
      <c r="W179" s="105"/>
      <c r="X179" s="105"/>
      <c r="Y179" s="105"/>
      <c r="Z179" s="105"/>
      <c r="AA179" s="105"/>
      <c r="AB179" s="105"/>
      <c r="AC179" s="105"/>
    </row>
    <row r="180" spans="1:29" ht="15.75" customHeight="1" x14ac:dyDescent="0.2">
      <c r="A180" s="106"/>
      <c r="B180" s="105"/>
      <c r="C180" s="105"/>
      <c r="D180" s="105"/>
      <c r="E180" s="105"/>
      <c r="F180" s="105"/>
      <c r="G180" s="105"/>
      <c r="H180" s="105"/>
      <c r="I180" s="105"/>
      <c r="J180" s="105"/>
      <c r="K180" s="105"/>
      <c r="L180" s="105"/>
      <c r="M180" s="105"/>
      <c r="N180" s="105"/>
      <c r="O180" s="105"/>
      <c r="P180" s="105"/>
      <c r="Q180" s="105"/>
      <c r="R180" s="105"/>
      <c r="S180" s="105"/>
      <c r="T180" s="105"/>
      <c r="U180" s="105"/>
      <c r="V180" s="105"/>
      <c r="W180" s="105"/>
      <c r="X180" s="105"/>
      <c r="Y180" s="105"/>
      <c r="Z180" s="105"/>
      <c r="AA180" s="105"/>
      <c r="AB180" s="105"/>
      <c r="AC180" s="105"/>
    </row>
    <row r="181" spans="1:29" ht="15.75" customHeight="1" x14ac:dyDescent="0.2">
      <c r="A181" s="106"/>
      <c r="B181" s="105"/>
      <c r="C181" s="105"/>
      <c r="D181" s="105"/>
      <c r="E181" s="105"/>
      <c r="F181" s="105"/>
      <c r="G181" s="105"/>
      <c r="H181" s="105"/>
      <c r="I181" s="105"/>
      <c r="J181" s="105"/>
      <c r="K181" s="105"/>
      <c r="L181" s="105"/>
      <c r="M181" s="105"/>
      <c r="N181" s="105"/>
      <c r="O181" s="105"/>
      <c r="P181" s="105"/>
      <c r="Q181" s="105"/>
      <c r="R181" s="105"/>
      <c r="S181" s="105"/>
      <c r="T181" s="105"/>
      <c r="U181" s="105"/>
      <c r="V181" s="105"/>
      <c r="W181" s="105"/>
      <c r="X181" s="105"/>
      <c r="Y181" s="105"/>
      <c r="Z181" s="105"/>
      <c r="AA181" s="105"/>
      <c r="AB181" s="105"/>
      <c r="AC181" s="105"/>
    </row>
    <row r="182" spans="1:29" ht="15.75" customHeight="1" x14ac:dyDescent="0.2">
      <c r="A182" s="106"/>
      <c r="B182" s="105"/>
      <c r="C182" s="105"/>
      <c r="D182" s="105"/>
      <c r="E182" s="105"/>
      <c r="F182" s="105"/>
      <c r="G182" s="105"/>
      <c r="H182" s="105"/>
      <c r="I182" s="105"/>
      <c r="J182" s="105"/>
      <c r="K182" s="105"/>
      <c r="L182" s="105"/>
      <c r="M182" s="105"/>
      <c r="N182" s="105"/>
      <c r="O182" s="105"/>
      <c r="P182" s="105"/>
      <c r="Q182" s="105"/>
      <c r="R182" s="105"/>
      <c r="S182" s="105"/>
      <c r="T182" s="105"/>
      <c r="U182" s="105"/>
      <c r="V182" s="105"/>
      <c r="W182" s="105"/>
      <c r="X182" s="105"/>
      <c r="Y182" s="105"/>
      <c r="Z182" s="105"/>
      <c r="AA182" s="105"/>
      <c r="AB182" s="105"/>
      <c r="AC182" s="105"/>
    </row>
    <row r="183" spans="1:29" ht="15.75" customHeight="1" x14ac:dyDescent="0.2">
      <c r="A183" s="106"/>
      <c r="B183" s="105"/>
      <c r="C183" s="105"/>
      <c r="D183" s="105"/>
      <c r="E183" s="105"/>
      <c r="F183" s="105"/>
      <c r="G183" s="105"/>
      <c r="H183" s="105"/>
      <c r="I183" s="105"/>
      <c r="J183" s="105"/>
      <c r="K183" s="105"/>
      <c r="L183" s="105"/>
      <c r="M183" s="105"/>
      <c r="N183" s="105"/>
      <c r="O183" s="105"/>
      <c r="P183" s="105"/>
      <c r="Q183" s="105"/>
      <c r="R183" s="105"/>
      <c r="S183" s="105"/>
      <c r="T183" s="105"/>
      <c r="U183" s="105"/>
      <c r="V183" s="105"/>
      <c r="W183" s="105"/>
      <c r="X183" s="105"/>
      <c r="Y183" s="105"/>
      <c r="Z183" s="105"/>
      <c r="AA183" s="105"/>
      <c r="AB183" s="105"/>
      <c r="AC183" s="105"/>
    </row>
    <row r="184" spans="1:29" ht="15.75" customHeight="1" x14ac:dyDescent="0.2">
      <c r="A184" s="106"/>
      <c r="B184" s="105"/>
      <c r="C184" s="105"/>
      <c r="D184" s="105"/>
      <c r="E184" s="105"/>
      <c r="F184" s="105"/>
      <c r="G184" s="105"/>
      <c r="H184" s="105"/>
      <c r="I184" s="105"/>
      <c r="J184" s="105"/>
      <c r="K184" s="105"/>
      <c r="L184" s="105"/>
      <c r="M184" s="105"/>
      <c r="N184" s="105"/>
      <c r="O184" s="105"/>
      <c r="P184" s="105"/>
      <c r="Q184" s="105"/>
      <c r="R184" s="105"/>
      <c r="S184" s="105"/>
      <c r="T184" s="105"/>
      <c r="U184" s="105"/>
      <c r="V184" s="105"/>
      <c r="W184" s="105"/>
      <c r="X184" s="105"/>
      <c r="Y184" s="105"/>
      <c r="Z184" s="105"/>
      <c r="AA184" s="105"/>
      <c r="AB184" s="105"/>
      <c r="AC184" s="105"/>
    </row>
    <row r="185" spans="1:29" ht="15.75" customHeight="1" x14ac:dyDescent="0.2">
      <c r="A185" s="106"/>
      <c r="B185" s="105"/>
      <c r="C185" s="105"/>
      <c r="D185" s="105"/>
      <c r="E185" s="105"/>
      <c r="F185" s="105"/>
      <c r="G185" s="105"/>
      <c r="H185" s="105"/>
      <c r="I185" s="105"/>
      <c r="J185" s="105"/>
      <c r="K185" s="105"/>
      <c r="L185" s="105"/>
      <c r="M185" s="105"/>
      <c r="N185" s="105"/>
      <c r="O185" s="105"/>
      <c r="P185" s="105"/>
      <c r="Q185" s="105"/>
      <c r="R185" s="105"/>
      <c r="S185" s="105"/>
      <c r="T185" s="105"/>
      <c r="U185" s="105"/>
      <c r="V185" s="105"/>
      <c r="W185" s="105"/>
      <c r="X185" s="105"/>
      <c r="Y185" s="105"/>
      <c r="Z185" s="105"/>
      <c r="AA185" s="105"/>
      <c r="AB185" s="105"/>
      <c r="AC185" s="105"/>
    </row>
    <row r="186" spans="1:29" ht="15.75" customHeight="1" x14ac:dyDescent="0.2">
      <c r="A186" s="106"/>
      <c r="B186" s="105"/>
      <c r="C186" s="105"/>
      <c r="D186" s="105"/>
      <c r="E186" s="105"/>
      <c r="F186" s="105"/>
      <c r="G186" s="105"/>
      <c r="H186" s="105"/>
      <c r="I186" s="105"/>
      <c r="J186" s="105"/>
      <c r="K186" s="105"/>
      <c r="L186" s="105"/>
      <c r="M186" s="105"/>
      <c r="N186" s="105"/>
      <c r="O186" s="105"/>
      <c r="P186" s="105"/>
      <c r="Q186" s="105"/>
      <c r="R186" s="105"/>
      <c r="S186" s="105"/>
      <c r="T186" s="105"/>
      <c r="U186" s="105"/>
      <c r="V186" s="105"/>
      <c r="W186" s="105"/>
      <c r="X186" s="105"/>
      <c r="Y186" s="105"/>
      <c r="Z186" s="105"/>
      <c r="AA186" s="105"/>
      <c r="AB186" s="105"/>
      <c r="AC186" s="105"/>
    </row>
    <row r="187" spans="1:29" ht="15.75" customHeight="1" x14ac:dyDescent="0.2">
      <c r="A187" s="106"/>
      <c r="B187" s="105"/>
      <c r="C187" s="105"/>
      <c r="D187" s="105"/>
      <c r="E187" s="105"/>
      <c r="F187" s="105"/>
      <c r="G187" s="105"/>
      <c r="H187" s="105"/>
      <c r="I187" s="105"/>
      <c r="J187" s="105"/>
      <c r="K187" s="105"/>
      <c r="L187" s="105"/>
      <c r="M187" s="105"/>
      <c r="N187" s="105"/>
      <c r="O187" s="105"/>
      <c r="P187" s="105"/>
      <c r="Q187" s="105"/>
      <c r="R187" s="105"/>
      <c r="S187" s="105"/>
      <c r="T187" s="105"/>
      <c r="U187" s="105"/>
      <c r="V187" s="105"/>
      <c r="W187" s="105"/>
      <c r="X187" s="105"/>
      <c r="Y187" s="105"/>
      <c r="Z187" s="105"/>
      <c r="AA187" s="105"/>
      <c r="AB187" s="105"/>
      <c r="AC187" s="105"/>
    </row>
    <row r="188" spans="1:29" ht="15.75" customHeight="1" x14ac:dyDescent="0.2">
      <c r="A188" s="106"/>
      <c r="B188" s="105"/>
      <c r="C188" s="105"/>
      <c r="D188" s="105"/>
      <c r="E188" s="105"/>
      <c r="F188" s="105"/>
      <c r="G188" s="105"/>
      <c r="H188" s="105"/>
      <c r="I188" s="105"/>
      <c r="J188" s="105"/>
      <c r="K188" s="105"/>
      <c r="L188" s="105"/>
      <c r="M188" s="105"/>
      <c r="N188" s="105"/>
      <c r="O188" s="105"/>
      <c r="P188" s="105"/>
      <c r="Q188" s="105"/>
      <c r="R188" s="105"/>
      <c r="S188" s="105"/>
      <c r="T188" s="105"/>
      <c r="U188" s="105"/>
      <c r="V188" s="105"/>
      <c r="W188" s="105"/>
      <c r="X188" s="105"/>
      <c r="Y188" s="105"/>
      <c r="Z188" s="105"/>
      <c r="AA188" s="105"/>
      <c r="AB188" s="105"/>
      <c r="AC188" s="105"/>
    </row>
    <row r="189" spans="1:29" ht="15.75" customHeight="1" x14ac:dyDescent="0.2">
      <c r="A189" s="106"/>
      <c r="B189" s="105"/>
      <c r="C189" s="105"/>
      <c r="D189" s="105"/>
      <c r="E189" s="105"/>
      <c r="F189" s="105"/>
      <c r="G189" s="105"/>
      <c r="H189" s="105"/>
      <c r="I189" s="105"/>
      <c r="J189" s="105"/>
      <c r="K189" s="105"/>
      <c r="L189" s="105"/>
      <c r="M189" s="105"/>
      <c r="N189" s="105"/>
      <c r="O189" s="105"/>
      <c r="P189" s="105"/>
      <c r="Q189" s="105"/>
      <c r="R189" s="105"/>
      <c r="S189" s="105"/>
      <c r="T189" s="105"/>
      <c r="U189" s="105"/>
      <c r="V189" s="105"/>
      <c r="W189" s="105"/>
      <c r="X189" s="105"/>
      <c r="Y189" s="105"/>
      <c r="Z189" s="105"/>
      <c r="AA189" s="105"/>
      <c r="AB189" s="105"/>
      <c r="AC189" s="105"/>
    </row>
    <row r="190" spans="1:29" ht="15.75" customHeight="1" x14ac:dyDescent="0.2">
      <c r="A190" s="106"/>
      <c r="B190" s="105"/>
      <c r="C190" s="105"/>
      <c r="D190" s="105"/>
      <c r="E190" s="105"/>
      <c r="F190" s="105"/>
      <c r="G190" s="105"/>
      <c r="H190" s="105"/>
      <c r="I190" s="105"/>
      <c r="J190" s="105"/>
      <c r="K190" s="105"/>
      <c r="L190" s="105"/>
      <c r="M190" s="105"/>
      <c r="N190" s="105"/>
      <c r="O190" s="105"/>
      <c r="P190" s="105"/>
      <c r="Q190" s="105"/>
      <c r="R190" s="105"/>
      <c r="S190" s="105"/>
      <c r="T190" s="105"/>
      <c r="U190" s="105"/>
      <c r="V190" s="105"/>
      <c r="W190" s="105"/>
      <c r="X190" s="105"/>
      <c r="Y190" s="105"/>
      <c r="Z190" s="105"/>
      <c r="AA190" s="105"/>
      <c r="AB190" s="105"/>
      <c r="AC190" s="105"/>
    </row>
    <row r="191" spans="1:29" ht="15.75" customHeight="1" x14ac:dyDescent="0.2">
      <c r="A191" s="106"/>
      <c r="B191" s="105"/>
      <c r="C191" s="105"/>
      <c r="D191" s="105"/>
      <c r="E191" s="105"/>
      <c r="F191" s="105"/>
      <c r="G191" s="105"/>
      <c r="H191" s="105"/>
      <c r="I191" s="105"/>
      <c r="J191" s="105"/>
      <c r="K191" s="105"/>
      <c r="L191" s="105"/>
      <c r="M191" s="105"/>
      <c r="N191" s="105"/>
      <c r="O191" s="105"/>
      <c r="P191" s="105"/>
      <c r="Q191" s="105"/>
      <c r="R191" s="105"/>
      <c r="S191" s="105"/>
      <c r="T191" s="105"/>
      <c r="U191" s="105"/>
      <c r="V191" s="105"/>
      <c r="W191" s="105"/>
      <c r="X191" s="105"/>
      <c r="Y191" s="105"/>
      <c r="Z191" s="105"/>
      <c r="AA191" s="105"/>
      <c r="AB191" s="105"/>
      <c r="AC191" s="105"/>
    </row>
    <row r="192" spans="1:29" ht="15.75" customHeight="1" x14ac:dyDescent="0.2">
      <c r="A192" s="106"/>
      <c r="B192" s="105"/>
      <c r="C192" s="105"/>
      <c r="D192" s="105"/>
      <c r="E192" s="105"/>
      <c r="F192" s="105"/>
      <c r="G192" s="105"/>
      <c r="H192" s="105"/>
      <c r="I192" s="105"/>
      <c r="J192" s="105"/>
      <c r="K192" s="105"/>
      <c r="L192" s="105"/>
      <c r="M192" s="105"/>
      <c r="N192" s="105"/>
      <c r="O192" s="105"/>
      <c r="P192" s="105"/>
      <c r="Q192" s="105"/>
      <c r="R192" s="105"/>
      <c r="S192" s="105"/>
      <c r="T192" s="105"/>
      <c r="U192" s="105"/>
      <c r="V192" s="105"/>
      <c r="W192" s="105"/>
      <c r="X192" s="105"/>
      <c r="Y192" s="105"/>
      <c r="Z192" s="105"/>
      <c r="AA192" s="105"/>
      <c r="AB192" s="105"/>
      <c r="AC192" s="105"/>
    </row>
    <row r="193" spans="1:29" ht="15.75" customHeight="1" x14ac:dyDescent="0.2">
      <c r="A193" s="106"/>
      <c r="B193" s="105"/>
      <c r="C193" s="105"/>
      <c r="D193" s="105"/>
      <c r="E193" s="105"/>
      <c r="F193" s="105"/>
      <c r="G193" s="105"/>
      <c r="H193" s="105"/>
      <c r="I193" s="105"/>
      <c r="J193" s="105"/>
      <c r="K193" s="105"/>
      <c r="L193" s="105"/>
      <c r="M193" s="105"/>
      <c r="N193" s="105"/>
      <c r="O193" s="105"/>
      <c r="P193" s="105"/>
      <c r="Q193" s="105"/>
      <c r="R193" s="105"/>
      <c r="S193" s="105"/>
      <c r="T193" s="105"/>
      <c r="U193" s="105"/>
      <c r="V193" s="105"/>
      <c r="W193" s="105"/>
      <c r="X193" s="105"/>
      <c r="Y193" s="105"/>
      <c r="Z193" s="105"/>
      <c r="AA193" s="105"/>
      <c r="AB193" s="105"/>
      <c r="AC193" s="105"/>
    </row>
    <row r="194" spans="1:29" ht="15.75" customHeight="1" x14ac:dyDescent="0.2">
      <c r="A194" s="106"/>
      <c r="B194" s="105"/>
      <c r="C194" s="105"/>
      <c r="D194" s="105"/>
      <c r="E194" s="105"/>
      <c r="F194" s="105"/>
      <c r="G194" s="105"/>
      <c r="H194" s="105"/>
      <c r="I194" s="105"/>
      <c r="J194" s="105"/>
      <c r="K194" s="105"/>
      <c r="L194" s="105"/>
      <c r="M194" s="105"/>
      <c r="N194" s="105"/>
      <c r="O194" s="105"/>
      <c r="P194" s="105"/>
      <c r="Q194" s="105"/>
      <c r="R194" s="105"/>
      <c r="S194" s="105"/>
      <c r="T194" s="105"/>
      <c r="U194" s="105"/>
      <c r="V194" s="105"/>
      <c r="W194" s="105"/>
      <c r="X194" s="105"/>
      <c r="Y194" s="105"/>
      <c r="Z194" s="105"/>
      <c r="AA194" s="105"/>
      <c r="AB194" s="105"/>
      <c r="AC194" s="105"/>
    </row>
    <row r="195" spans="1:29" ht="15.75" customHeight="1" x14ac:dyDescent="0.2">
      <c r="A195" s="106"/>
      <c r="B195" s="105"/>
      <c r="C195" s="105"/>
      <c r="D195" s="105"/>
      <c r="E195" s="105"/>
      <c r="F195" s="105"/>
      <c r="G195" s="105"/>
      <c r="H195" s="105"/>
      <c r="I195" s="105"/>
      <c r="J195" s="105"/>
      <c r="K195" s="105"/>
      <c r="L195" s="105"/>
      <c r="M195" s="105"/>
      <c r="N195" s="105"/>
      <c r="O195" s="105"/>
      <c r="P195" s="105"/>
      <c r="Q195" s="105"/>
      <c r="R195" s="105"/>
      <c r="S195" s="105"/>
      <c r="T195" s="105"/>
      <c r="U195" s="105"/>
      <c r="V195" s="105"/>
      <c r="W195" s="105"/>
      <c r="X195" s="105"/>
      <c r="Y195" s="105"/>
      <c r="Z195" s="105"/>
      <c r="AA195" s="105"/>
      <c r="AB195" s="105"/>
      <c r="AC195" s="105"/>
    </row>
    <row r="196" spans="1:29" ht="15.75" customHeight="1" x14ac:dyDescent="0.2">
      <c r="A196" s="106"/>
      <c r="B196" s="105"/>
      <c r="C196" s="105"/>
      <c r="D196" s="105"/>
      <c r="E196" s="105"/>
      <c r="F196" s="105"/>
      <c r="G196" s="105"/>
      <c r="H196" s="105"/>
      <c r="I196" s="105"/>
      <c r="J196" s="105"/>
      <c r="K196" s="105"/>
      <c r="L196" s="105"/>
      <c r="M196" s="105"/>
      <c r="N196" s="105"/>
      <c r="O196" s="105"/>
      <c r="P196" s="105"/>
      <c r="Q196" s="105"/>
      <c r="R196" s="105"/>
      <c r="S196" s="105"/>
      <c r="T196" s="105"/>
      <c r="U196" s="105"/>
      <c r="V196" s="105"/>
      <c r="W196" s="105"/>
      <c r="X196" s="105"/>
      <c r="Y196" s="105"/>
      <c r="Z196" s="105"/>
      <c r="AA196" s="105"/>
      <c r="AB196" s="105"/>
      <c r="AC196" s="105"/>
    </row>
    <row r="197" spans="1:29" ht="15.75" customHeight="1" x14ac:dyDescent="0.2">
      <c r="A197" s="106"/>
      <c r="B197" s="105"/>
      <c r="C197" s="105"/>
      <c r="D197" s="105"/>
      <c r="E197" s="105"/>
      <c r="F197" s="105"/>
      <c r="G197" s="105"/>
      <c r="H197" s="105"/>
      <c r="I197" s="105"/>
      <c r="J197" s="105"/>
      <c r="K197" s="105"/>
      <c r="L197" s="105"/>
      <c r="M197" s="105"/>
      <c r="N197" s="105"/>
      <c r="O197" s="105"/>
      <c r="P197" s="105"/>
      <c r="Q197" s="105"/>
      <c r="R197" s="105"/>
      <c r="S197" s="105"/>
      <c r="T197" s="105"/>
      <c r="U197" s="105"/>
      <c r="V197" s="105"/>
      <c r="W197" s="105"/>
      <c r="X197" s="105"/>
      <c r="Y197" s="105"/>
      <c r="Z197" s="105"/>
      <c r="AA197" s="105"/>
      <c r="AB197" s="105"/>
      <c r="AC197" s="105"/>
    </row>
    <row r="198" spans="1:29" ht="15.75" customHeight="1" x14ac:dyDescent="0.2">
      <c r="A198" s="105"/>
      <c r="B198" s="105"/>
      <c r="C198" s="105"/>
      <c r="D198" s="105"/>
      <c r="E198" s="105"/>
      <c r="F198" s="105"/>
      <c r="G198" s="105"/>
      <c r="H198" s="105"/>
      <c r="I198" s="105"/>
      <c r="J198" s="105"/>
      <c r="K198" s="105"/>
      <c r="L198" s="105"/>
      <c r="M198" s="105"/>
      <c r="N198" s="105"/>
      <c r="O198" s="105"/>
      <c r="P198" s="105"/>
      <c r="Q198" s="105"/>
      <c r="R198" s="105"/>
      <c r="S198" s="105"/>
      <c r="T198" s="105"/>
      <c r="U198" s="105"/>
      <c r="V198" s="105"/>
      <c r="W198" s="105"/>
      <c r="X198" s="105"/>
      <c r="Y198" s="105"/>
      <c r="Z198" s="105"/>
      <c r="AA198" s="105"/>
      <c r="AB198" s="105"/>
      <c r="AC198" s="105"/>
    </row>
    <row r="199" spans="1:29" ht="15.75" customHeight="1" x14ac:dyDescent="0.2">
      <c r="A199" s="105"/>
      <c r="B199" s="105"/>
      <c r="C199" s="105"/>
      <c r="D199" s="105"/>
      <c r="E199" s="105"/>
      <c r="F199" s="105"/>
      <c r="G199" s="105"/>
      <c r="H199" s="105"/>
      <c r="I199" s="105"/>
      <c r="J199" s="105"/>
      <c r="K199" s="105"/>
      <c r="L199" s="105"/>
      <c r="M199" s="105"/>
      <c r="N199" s="105"/>
      <c r="O199" s="105"/>
      <c r="P199" s="105"/>
      <c r="Q199" s="105"/>
      <c r="R199" s="105"/>
      <c r="S199" s="105"/>
      <c r="T199" s="105"/>
      <c r="U199" s="105"/>
      <c r="V199" s="105"/>
      <c r="W199" s="105"/>
      <c r="X199" s="105"/>
      <c r="Y199" s="105"/>
      <c r="Z199" s="105"/>
      <c r="AA199" s="105"/>
      <c r="AB199" s="105"/>
      <c r="AC199" s="105"/>
    </row>
    <row r="200" spans="1:29" ht="15.75" customHeight="1" x14ac:dyDescent="0.2">
      <c r="A200" s="105"/>
      <c r="B200" s="105"/>
      <c r="C200" s="105"/>
      <c r="D200" s="105"/>
      <c r="E200" s="105"/>
      <c r="F200" s="105"/>
      <c r="G200" s="105"/>
      <c r="H200" s="105"/>
      <c r="I200" s="105"/>
      <c r="J200" s="105"/>
      <c r="K200" s="105"/>
      <c r="L200" s="105"/>
      <c r="M200" s="105"/>
      <c r="N200" s="105"/>
      <c r="O200" s="105"/>
      <c r="P200" s="105"/>
      <c r="Q200" s="105"/>
      <c r="R200" s="105"/>
      <c r="S200" s="105"/>
      <c r="T200" s="105"/>
      <c r="U200" s="105"/>
      <c r="V200" s="105"/>
      <c r="W200" s="105"/>
      <c r="X200" s="105"/>
      <c r="Y200" s="105"/>
      <c r="Z200" s="105"/>
      <c r="AA200" s="105"/>
      <c r="AB200" s="105"/>
      <c r="AC200" s="105"/>
    </row>
    <row r="201" spans="1:29" ht="15.75" customHeight="1" x14ac:dyDescent="0.2">
      <c r="A201" s="105"/>
      <c r="B201" s="105"/>
      <c r="C201" s="105"/>
      <c r="D201" s="105"/>
      <c r="E201" s="105"/>
      <c r="F201" s="105"/>
      <c r="G201" s="105"/>
      <c r="H201" s="105"/>
      <c r="I201" s="105"/>
      <c r="J201" s="105"/>
      <c r="K201" s="105"/>
      <c r="L201" s="105"/>
      <c r="M201" s="105"/>
      <c r="N201" s="105"/>
      <c r="O201" s="105"/>
      <c r="P201" s="105"/>
      <c r="Q201" s="105"/>
      <c r="R201" s="105"/>
      <c r="S201" s="105"/>
      <c r="T201" s="105"/>
      <c r="U201" s="105"/>
      <c r="V201" s="105"/>
      <c r="W201" s="105"/>
      <c r="X201" s="105"/>
      <c r="Y201" s="105"/>
      <c r="Z201" s="105"/>
      <c r="AA201" s="105"/>
      <c r="AB201" s="105"/>
      <c r="AC201" s="105"/>
    </row>
    <row r="202" spans="1:29" ht="15.75" customHeight="1" x14ac:dyDescent="0.2">
      <c r="A202" s="105"/>
      <c r="B202" s="105"/>
      <c r="C202" s="105"/>
      <c r="D202" s="105"/>
      <c r="E202" s="105"/>
      <c r="F202" s="105"/>
      <c r="G202" s="105"/>
      <c r="H202" s="105"/>
      <c r="I202" s="105"/>
      <c r="J202" s="105"/>
      <c r="K202" s="105"/>
      <c r="L202" s="105"/>
      <c r="M202" s="105"/>
      <c r="N202" s="105"/>
      <c r="O202" s="105"/>
      <c r="P202" s="105"/>
      <c r="Q202" s="105"/>
      <c r="R202" s="105"/>
      <c r="S202" s="105"/>
      <c r="T202" s="105"/>
      <c r="U202" s="105"/>
      <c r="V202" s="105"/>
      <c r="W202" s="105"/>
      <c r="X202" s="105"/>
      <c r="Y202" s="105"/>
      <c r="Z202" s="105"/>
      <c r="AA202" s="105"/>
      <c r="AB202" s="105"/>
      <c r="AC202" s="105"/>
    </row>
    <row r="203" spans="1:29" ht="15.75" customHeight="1" x14ac:dyDescent="0.2">
      <c r="A203" s="105"/>
      <c r="B203" s="105"/>
      <c r="C203" s="105"/>
      <c r="D203" s="105"/>
      <c r="E203" s="105"/>
      <c r="F203" s="105"/>
      <c r="G203" s="105"/>
      <c r="H203" s="105"/>
      <c r="I203" s="105"/>
      <c r="J203" s="105"/>
      <c r="K203" s="105"/>
      <c r="L203" s="105"/>
      <c r="M203" s="105"/>
      <c r="N203" s="105"/>
      <c r="O203" s="105"/>
      <c r="P203" s="105"/>
      <c r="Q203" s="105"/>
      <c r="R203" s="105"/>
      <c r="S203" s="105"/>
      <c r="T203" s="105"/>
      <c r="U203" s="105"/>
      <c r="V203" s="105"/>
      <c r="W203" s="105"/>
      <c r="X203" s="105"/>
      <c r="Y203" s="105"/>
      <c r="Z203" s="105"/>
      <c r="AA203" s="105"/>
      <c r="AB203" s="105"/>
      <c r="AC203" s="105"/>
    </row>
    <row r="204" spans="1:29" ht="15.75" customHeight="1" x14ac:dyDescent="0.2">
      <c r="A204" s="105"/>
      <c r="B204" s="105"/>
      <c r="C204" s="105"/>
      <c r="D204" s="105"/>
      <c r="E204" s="105"/>
      <c r="F204" s="105"/>
      <c r="G204" s="105"/>
      <c r="H204" s="105"/>
      <c r="I204" s="105"/>
      <c r="J204" s="105"/>
      <c r="K204" s="105"/>
      <c r="L204" s="105"/>
      <c r="M204" s="105"/>
      <c r="N204" s="105"/>
      <c r="O204" s="105"/>
      <c r="P204" s="105"/>
      <c r="Q204" s="105"/>
      <c r="R204" s="105"/>
      <c r="S204" s="105"/>
      <c r="T204" s="105"/>
      <c r="U204" s="105"/>
      <c r="V204" s="105"/>
      <c r="W204" s="105"/>
      <c r="X204" s="105"/>
      <c r="Y204" s="105"/>
      <c r="Z204" s="105"/>
      <c r="AA204" s="105"/>
      <c r="AB204" s="105"/>
      <c r="AC204" s="105"/>
    </row>
    <row r="205" spans="1:29" ht="15.75" customHeight="1" x14ac:dyDescent="0.2">
      <c r="A205" s="105"/>
      <c r="B205" s="105"/>
      <c r="C205" s="105"/>
      <c r="D205" s="105"/>
      <c r="E205" s="105"/>
      <c r="F205" s="105"/>
      <c r="G205" s="105"/>
      <c r="H205" s="105"/>
      <c r="I205" s="105"/>
      <c r="J205" s="105"/>
      <c r="K205" s="105"/>
      <c r="L205" s="105"/>
      <c r="M205" s="105"/>
      <c r="N205" s="105"/>
      <c r="O205" s="105"/>
      <c r="P205" s="105"/>
      <c r="Q205" s="105"/>
      <c r="R205" s="105"/>
      <c r="S205" s="105"/>
      <c r="T205" s="105"/>
      <c r="U205" s="105"/>
      <c r="V205" s="105"/>
      <c r="W205" s="105"/>
      <c r="X205" s="105"/>
      <c r="Y205" s="105"/>
      <c r="Z205" s="105"/>
      <c r="AA205" s="105"/>
      <c r="AB205" s="105"/>
      <c r="AC205" s="105"/>
    </row>
    <row r="206" spans="1:29" ht="15.75" customHeight="1" x14ac:dyDescent="0.2">
      <c r="A206" s="105"/>
      <c r="B206" s="105"/>
      <c r="C206" s="105"/>
      <c r="D206" s="105"/>
      <c r="E206" s="105"/>
      <c r="F206" s="105"/>
      <c r="G206" s="105"/>
      <c r="H206" s="105"/>
      <c r="I206" s="105"/>
      <c r="J206" s="105"/>
      <c r="K206" s="105"/>
      <c r="L206" s="105"/>
      <c r="M206" s="105"/>
      <c r="N206" s="105"/>
      <c r="O206" s="105"/>
      <c r="P206" s="105"/>
      <c r="Q206" s="105"/>
      <c r="R206" s="105"/>
      <c r="S206" s="105"/>
      <c r="T206" s="105"/>
      <c r="U206" s="105"/>
      <c r="V206" s="105"/>
      <c r="W206" s="105"/>
      <c r="X206" s="105"/>
      <c r="Y206" s="105"/>
      <c r="Z206" s="105"/>
      <c r="AA206" s="105"/>
      <c r="AB206" s="105"/>
      <c r="AC206" s="105"/>
    </row>
    <row r="207" spans="1:29" ht="15.75" customHeight="1" x14ac:dyDescent="0.2">
      <c r="A207" s="105"/>
      <c r="B207" s="105"/>
      <c r="C207" s="105"/>
      <c r="D207" s="105"/>
      <c r="E207" s="105"/>
      <c r="F207" s="105"/>
      <c r="G207" s="105"/>
      <c r="H207" s="105"/>
      <c r="I207" s="105"/>
      <c r="J207" s="105"/>
      <c r="K207" s="105"/>
      <c r="L207" s="105"/>
      <c r="M207" s="105"/>
      <c r="N207" s="105"/>
      <c r="O207" s="105"/>
      <c r="P207" s="105"/>
      <c r="Q207" s="105"/>
      <c r="R207" s="105"/>
      <c r="S207" s="105"/>
      <c r="T207" s="105"/>
      <c r="U207" s="105"/>
      <c r="V207" s="105"/>
      <c r="W207" s="105"/>
      <c r="X207" s="105"/>
      <c r="Y207" s="105"/>
      <c r="Z207" s="105"/>
      <c r="AA207" s="105"/>
      <c r="AB207" s="105"/>
      <c r="AC207" s="105"/>
    </row>
    <row r="208" spans="1:29" ht="15.75" customHeight="1" x14ac:dyDescent="0.2">
      <c r="A208" s="105"/>
      <c r="B208" s="105"/>
      <c r="C208" s="105"/>
      <c r="D208" s="105"/>
      <c r="E208" s="105"/>
      <c r="F208" s="105"/>
      <c r="G208" s="105"/>
      <c r="H208" s="105"/>
      <c r="I208" s="105"/>
      <c r="J208" s="105"/>
      <c r="K208" s="105"/>
      <c r="L208" s="105"/>
      <c r="M208" s="105"/>
      <c r="N208" s="105"/>
      <c r="O208" s="105"/>
      <c r="P208" s="105"/>
      <c r="Q208" s="105"/>
      <c r="R208" s="105"/>
      <c r="S208" s="105"/>
      <c r="T208" s="105"/>
      <c r="U208" s="105"/>
      <c r="V208" s="105"/>
      <c r="W208" s="105"/>
      <c r="X208" s="105"/>
      <c r="Y208" s="105"/>
      <c r="Z208" s="105"/>
      <c r="AA208" s="105"/>
      <c r="AB208" s="105"/>
      <c r="AC208" s="105"/>
    </row>
    <row r="209" spans="1:29" ht="15.75" customHeight="1" x14ac:dyDescent="0.2">
      <c r="A209" s="105"/>
      <c r="B209" s="105"/>
      <c r="C209" s="105"/>
      <c r="D209" s="105"/>
      <c r="E209" s="105"/>
      <c r="F209" s="105"/>
      <c r="G209" s="105"/>
      <c r="H209" s="105"/>
      <c r="I209" s="105"/>
      <c r="J209" s="105"/>
      <c r="K209" s="105"/>
      <c r="L209" s="105"/>
      <c r="M209" s="105"/>
      <c r="N209" s="105"/>
      <c r="O209" s="105"/>
      <c r="P209" s="105"/>
      <c r="Q209" s="105"/>
      <c r="R209" s="105"/>
      <c r="S209" s="105"/>
      <c r="T209" s="105"/>
      <c r="U209" s="105"/>
      <c r="V209" s="105"/>
      <c r="W209" s="105"/>
      <c r="X209" s="105"/>
      <c r="Y209" s="105"/>
      <c r="Z209" s="105"/>
      <c r="AA209" s="105"/>
      <c r="AB209" s="105"/>
      <c r="AC209" s="105"/>
    </row>
    <row r="210" spans="1:29" ht="15.75" customHeight="1" x14ac:dyDescent="0.2">
      <c r="A210" s="105"/>
      <c r="B210" s="105"/>
      <c r="C210" s="105"/>
      <c r="D210" s="105"/>
      <c r="E210" s="105"/>
      <c r="F210" s="105"/>
      <c r="G210" s="105"/>
      <c r="H210" s="105"/>
      <c r="I210" s="105"/>
      <c r="J210" s="105"/>
      <c r="K210" s="105"/>
      <c r="L210" s="105"/>
      <c r="M210" s="105"/>
      <c r="N210" s="105"/>
      <c r="O210" s="105"/>
      <c r="P210" s="105"/>
      <c r="Q210" s="105"/>
      <c r="R210" s="105"/>
      <c r="S210" s="105"/>
      <c r="T210" s="105"/>
      <c r="U210" s="105"/>
      <c r="V210" s="105"/>
      <c r="W210" s="105"/>
      <c r="X210" s="105"/>
      <c r="Y210" s="105"/>
      <c r="Z210" s="105"/>
      <c r="AA210" s="105"/>
      <c r="AB210" s="105"/>
      <c r="AC210" s="105"/>
    </row>
    <row r="211" spans="1:29" ht="15.75" customHeight="1" x14ac:dyDescent="0.2">
      <c r="A211" s="105"/>
      <c r="B211" s="105"/>
      <c r="C211" s="105"/>
      <c r="D211" s="105"/>
      <c r="E211" s="105"/>
      <c r="F211" s="105"/>
      <c r="G211" s="105"/>
      <c r="H211" s="105"/>
      <c r="I211" s="105"/>
      <c r="J211" s="105"/>
      <c r="K211" s="105"/>
      <c r="L211" s="105"/>
      <c r="M211" s="105"/>
      <c r="N211" s="105"/>
      <c r="O211" s="105"/>
      <c r="P211" s="105"/>
      <c r="Q211" s="105"/>
      <c r="R211" s="105"/>
      <c r="S211" s="105"/>
      <c r="T211" s="105"/>
      <c r="U211" s="105"/>
      <c r="V211" s="105"/>
      <c r="W211" s="105"/>
      <c r="X211" s="105"/>
      <c r="Y211" s="105"/>
      <c r="Z211" s="105"/>
      <c r="AA211" s="105"/>
      <c r="AB211" s="105"/>
      <c r="AC211" s="105"/>
    </row>
    <row r="212" spans="1:29" ht="15.75" customHeight="1" x14ac:dyDescent="0.2">
      <c r="A212" s="105"/>
      <c r="B212" s="105"/>
      <c r="C212" s="105"/>
      <c r="D212" s="105"/>
      <c r="E212" s="105"/>
      <c r="F212" s="105"/>
      <c r="G212" s="105"/>
      <c r="H212" s="105"/>
      <c r="I212" s="105"/>
      <c r="J212" s="105"/>
      <c r="K212" s="105"/>
      <c r="L212" s="105"/>
      <c r="M212" s="105"/>
      <c r="N212" s="105"/>
      <c r="O212" s="105"/>
      <c r="P212" s="105"/>
      <c r="Q212" s="105"/>
      <c r="R212" s="105"/>
      <c r="S212" s="105"/>
      <c r="T212" s="105"/>
      <c r="U212" s="105"/>
      <c r="V212" s="105"/>
      <c r="W212" s="105"/>
      <c r="X212" s="105"/>
      <c r="Y212" s="105"/>
      <c r="Z212" s="105"/>
      <c r="AA212" s="105"/>
      <c r="AB212" s="105"/>
      <c r="AC212" s="105"/>
    </row>
    <row r="213" spans="1:29" ht="15.75" customHeight="1" x14ac:dyDescent="0.2">
      <c r="A213" s="105"/>
      <c r="B213" s="105"/>
      <c r="C213" s="105"/>
      <c r="D213" s="105"/>
      <c r="E213" s="105"/>
      <c r="F213" s="105"/>
      <c r="G213" s="105"/>
      <c r="H213" s="105"/>
      <c r="I213" s="105"/>
      <c r="J213" s="105"/>
      <c r="K213" s="105"/>
      <c r="L213" s="105"/>
      <c r="M213" s="105"/>
      <c r="N213" s="105"/>
      <c r="O213" s="105"/>
      <c r="P213" s="105"/>
      <c r="Q213" s="105"/>
      <c r="R213" s="105"/>
      <c r="S213" s="105"/>
      <c r="T213" s="105"/>
      <c r="U213" s="105"/>
      <c r="V213" s="105"/>
      <c r="W213" s="105"/>
      <c r="X213" s="105"/>
      <c r="Y213" s="105"/>
      <c r="Z213" s="105"/>
      <c r="AA213" s="105"/>
      <c r="AB213" s="105"/>
      <c r="AC213" s="105"/>
    </row>
    <row r="214" spans="1:29" ht="15.75" customHeight="1" x14ac:dyDescent="0.2">
      <c r="A214" s="105"/>
      <c r="B214" s="105"/>
      <c r="C214" s="105"/>
      <c r="D214" s="105"/>
      <c r="E214" s="105"/>
      <c r="F214" s="105"/>
      <c r="G214" s="105"/>
      <c r="H214" s="105"/>
      <c r="I214" s="105"/>
      <c r="J214" s="105"/>
      <c r="K214" s="105"/>
      <c r="L214" s="105"/>
      <c r="M214" s="105"/>
      <c r="N214" s="105"/>
      <c r="O214" s="105"/>
      <c r="P214" s="105"/>
      <c r="Q214" s="105"/>
      <c r="R214" s="105"/>
      <c r="S214" s="105"/>
      <c r="T214" s="105"/>
      <c r="U214" s="105"/>
      <c r="V214" s="105"/>
      <c r="W214" s="105"/>
      <c r="X214" s="105"/>
      <c r="Y214" s="105"/>
      <c r="Z214" s="105"/>
      <c r="AA214" s="105"/>
      <c r="AB214" s="105"/>
      <c r="AC214" s="105"/>
    </row>
    <row r="215" spans="1:29" ht="15.75" customHeight="1" x14ac:dyDescent="0.2">
      <c r="A215" s="105"/>
      <c r="B215" s="105"/>
      <c r="C215" s="105"/>
      <c r="D215" s="105"/>
      <c r="E215" s="105"/>
      <c r="F215" s="105"/>
      <c r="G215" s="105"/>
      <c r="H215" s="105"/>
      <c r="I215" s="105"/>
      <c r="J215" s="105"/>
      <c r="K215" s="105"/>
      <c r="L215" s="105"/>
      <c r="M215" s="105"/>
      <c r="N215" s="105"/>
      <c r="O215" s="105"/>
      <c r="P215" s="105"/>
      <c r="Q215" s="105"/>
      <c r="R215" s="105"/>
      <c r="S215" s="105"/>
      <c r="T215" s="105"/>
      <c r="U215" s="105"/>
      <c r="V215" s="105"/>
      <c r="W215" s="105"/>
      <c r="X215" s="105"/>
      <c r="Y215" s="105"/>
      <c r="Z215" s="105"/>
      <c r="AA215" s="105"/>
      <c r="AB215" s="105"/>
      <c r="AC215" s="105"/>
    </row>
    <row r="216" spans="1:29" ht="15.75" customHeight="1" x14ac:dyDescent="0.2">
      <c r="A216" s="105"/>
      <c r="B216" s="105"/>
      <c r="C216" s="105"/>
      <c r="D216" s="105"/>
      <c r="E216" s="105"/>
      <c r="F216" s="105"/>
      <c r="G216" s="105"/>
      <c r="H216" s="105"/>
      <c r="I216" s="105"/>
      <c r="J216" s="105"/>
      <c r="K216" s="105"/>
      <c r="L216" s="105"/>
      <c r="M216" s="105"/>
      <c r="N216" s="105"/>
      <c r="O216" s="105"/>
      <c r="P216" s="105"/>
      <c r="Q216" s="105"/>
      <c r="R216" s="105"/>
      <c r="S216" s="105"/>
      <c r="T216" s="105"/>
      <c r="U216" s="105"/>
      <c r="V216" s="105"/>
      <c r="W216" s="105"/>
      <c r="X216" s="105"/>
      <c r="Y216" s="105"/>
      <c r="Z216" s="105"/>
      <c r="AA216" s="105"/>
      <c r="AB216" s="105"/>
      <c r="AC216" s="105"/>
    </row>
    <row r="217" spans="1:29" ht="15.75" customHeight="1" x14ac:dyDescent="0.2">
      <c r="A217" s="105"/>
      <c r="B217" s="105"/>
      <c r="C217" s="105"/>
      <c r="D217" s="105"/>
      <c r="E217" s="105"/>
      <c r="F217" s="105"/>
      <c r="G217" s="105"/>
      <c r="H217" s="105"/>
      <c r="I217" s="105"/>
      <c r="J217" s="105"/>
      <c r="K217" s="105"/>
      <c r="L217" s="105"/>
      <c r="M217" s="105"/>
      <c r="N217" s="105"/>
      <c r="O217" s="105"/>
      <c r="P217" s="105"/>
      <c r="Q217" s="105"/>
      <c r="R217" s="105"/>
      <c r="S217" s="105"/>
      <c r="T217" s="105"/>
      <c r="U217" s="105"/>
      <c r="V217" s="105"/>
      <c r="W217" s="105"/>
      <c r="X217" s="105"/>
      <c r="Y217" s="105"/>
      <c r="Z217" s="105"/>
      <c r="AA217" s="105"/>
      <c r="AB217" s="105"/>
      <c r="AC217" s="105"/>
    </row>
    <row r="218" spans="1:29" ht="15.75" customHeight="1" x14ac:dyDescent="0.2">
      <c r="A218" s="105"/>
      <c r="B218" s="105"/>
      <c r="C218" s="105"/>
      <c r="D218" s="105"/>
      <c r="E218" s="105"/>
      <c r="F218" s="105"/>
      <c r="G218" s="105"/>
      <c r="H218" s="105"/>
      <c r="I218" s="105"/>
      <c r="J218" s="105"/>
      <c r="K218" s="105"/>
      <c r="L218" s="105"/>
      <c r="M218" s="105"/>
      <c r="N218" s="105"/>
      <c r="O218" s="105"/>
      <c r="P218" s="105"/>
      <c r="Q218" s="105"/>
      <c r="R218" s="105"/>
      <c r="S218" s="105"/>
      <c r="T218" s="105"/>
      <c r="U218" s="105"/>
      <c r="V218" s="105"/>
      <c r="W218" s="105"/>
      <c r="X218" s="105"/>
      <c r="Y218" s="105"/>
      <c r="Z218" s="105"/>
      <c r="AA218" s="105"/>
      <c r="AB218" s="105"/>
      <c r="AC218" s="105"/>
    </row>
    <row r="219" spans="1:29" ht="15.75" customHeight="1" x14ac:dyDescent="0.2">
      <c r="A219" s="105"/>
      <c r="B219" s="105"/>
      <c r="C219" s="105"/>
      <c r="D219" s="105"/>
      <c r="E219" s="105"/>
      <c r="F219" s="105"/>
      <c r="G219" s="105"/>
      <c r="H219" s="105"/>
      <c r="I219" s="105"/>
      <c r="J219" s="105"/>
      <c r="K219" s="105"/>
      <c r="L219" s="105"/>
      <c r="M219" s="105"/>
      <c r="N219" s="105"/>
      <c r="O219" s="105"/>
      <c r="P219" s="105"/>
      <c r="Q219" s="105"/>
      <c r="R219" s="105"/>
      <c r="S219" s="105"/>
      <c r="T219" s="105"/>
      <c r="U219" s="105"/>
      <c r="V219" s="105"/>
      <c r="W219" s="105"/>
      <c r="X219" s="105"/>
      <c r="Y219" s="105"/>
      <c r="Z219" s="105"/>
      <c r="AA219" s="105"/>
      <c r="AB219" s="105"/>
      <c r="AC219" s="105"/>
    </row>
    <row r="220" spans="1:29" ht="15.75" customHeight="1" x14ac:dyDescent="0.2">
      <c r="A220" s="105"/>
      <c r="B220" s="105"/>
      <c r="C220" s="105"/>
      <c r="D220" s="105"/>
      <c r="E220" s="105"/>
      <c r="F220" s="105"/>
      <c r="G220" s="105"/>
      <c r="H220" s="105"/>
      <c r="I220" s="105"/>
      <c r="J220" s="105"/>
      <c r="K220" s="105"/>
      <c r="L220" s="105"/>
      <c r="M220" s="105"/>
      <c r="N220" s="105"/>
      <c r="O220" s="105"/>
      <c r="P220" s="105"/>
      <c r="Q220" s="105"/>
      <c r="R220" s="105"/>
      <c r="S220" s="105"/>
      <c r="T220" s="105"/>
      <c r="U220" s="105"/>
      <c r="V220" s="105"/>
      <c r="W220" s="105"/>
      <c r="X220" s="105"/>
      <c r="Y220" s="105"/>
      <c r="Z220" s="105"/>
      <c r="AA220" s="105"/>
      <c r="AB220" s="105"/>
      <c r="AC220" s="105"/>
    </row>
    <row r="221" spans="1:29" ht="15.75" customHeight="1" x14ac:dyDescent="0.2">
      <c r="A221" s="105"/>
      <c r="B221" s="105"/>
      <c r="C221" s="105"/>
      <c r="D221" s="105"/>
      <c r="E221" s="105"/>
      <c r="F221" s="105"/>
      <c r="G221" s="105"/>
      <c r="H221" s="105"/>
      <c r="I221" s="105"/>
      <c r="J221" s="105"/>
      <c r="K221" s="105"/>
      <c r="L221" s="105"/>
      <c r="M221" s="105"/>
      <c r="N221" s="105"/>
      <c r="O221" s="105"/>
      <c r="P221" s="105"/>
      <c r="Q221" s="105"/>
      <c r="R221" s="105"/>
      <c r="S221" s="105"/>
      <c r="T221" s="105"/>
      <c r="U221" s="105"/>
      <c r="V221" s="105"/>
      <c r="W221" s="105"/>
      <c r="X221" s="105"/>
      <c r="Y221" s="105"/>
      <c r="Z221" s="105"/>
      <c r="AA221" s="105"/>
      <c r="AB221" s="105"/>
      <c r="AC221" s="105"/>
    </row>
    <row r="222" spans="1:29" ht="15.75" customHeight="1" x14ac:dyDescent="0.2">
      <c r="A222" s="105"/>
      <c r="B222" s="105"/>
      <c r="C222" s="105"/>
      <c r="D222" s="105"/>
      <c r="E222" s="105"/>
      <c r="F222" s="105"/>
      <c r="G222" s="105"/>
      <c r="H222" s="105"/>
      <c r="I222" s="105"/>
      <c r="J222" s="105"/>
      <c r="K222" s="105"/>
      <c r="L222" s="105"/>
      <c r="M222" s="105"/>
      <c r="N222" s="105"/>
      <c r="O222" s="105"/>
      <c r="P222" s="105"/>
      <c r="Q222" s="105"/>
      <c r="R222" s="105"/>
      <c r="S222" s="105"/>
      <c r="T222" s="105"/>
      <c r="U222" s="105"/>
      <c r="V222" s="105"/>
      <c r="W222" s="105"/>
      <c r="X222" s="105"/>
      <c r="Y222" s="105"/>
      <c r="Z222" s="105"/>
      <c r="AA222" s="105"/>
      <c r="AB222" s="105"/>
      <c r="AC222" s="105"/>
    </row>
    <row r="223" spans="1:29" ht="15.75" customHeight="1" x14ac:dyDescent="0.2">
      <c r="A223" s="105"/>
      <c r="B223" s="105"/>
      <c r="C223" s="105"/>
      <c r="D223" s="105"/>
      <c r="E223" s="105"/>
      <c r="F223" s="105"/>
      <c r="G223" s="105"/>
      <c r="H223" s="105"/>
      <c r="I223" s="105"/>
      <c r="J223" s="105"/>
      <c r="K223" s="105"/>
      <c r="L223" s="105"/>
      <c r="M223" s="105"/>
      <c r="N223" s="105"/>
      <c r="O223" s="105"/>
      <c r="P223" s="105"/>
      <c r="Q223" s="105"/>
      <c r="R223" s="105"/>
      <c r="S223" s="105"/>
      <c r="T223" s="105"/>
      <c r="U223" s="105"/>
      <c r="V223" s="105"/>
      <c r="W223" s="105"/>
      <c r="X223" s="105"/>
      <c r="Y223" s="105"/>
      <c r="Z223" s="105"/>
      <c r="AA223" s="105"/>
      <c r="AB223" s="105"/>
      <c r="AC223" s="105"/>
    </row>
    <row r="224" spans="1:29" ht="15.75" customHeight="1" x14ac:dyDescent="0.2">
      <c r="A224" s="105"/>
      <c r="B224" s="105"/>
      <c r="C224" s="105"/>
      <c r="D224" s="105"/>
      <c r="E224" s="105"/>
      <c r="F224" s="105"/>
      <c r="G224" s="105"/>
      <c r="H224" s="105"/>
      <c r="I224" s="105"/>
      <c r="J224" s="105"/>
      <c r="K224" s="105"/>
      <c r="L224" s="105"/>
      <c r="M224" s="105"/>
      <c r="N224" s="105"/>
      <c r="O224" s="105"/>
      <c r="P224" s="105"/>
      <c r="Q224" s="105"/>
      <c r="R224" s="105"/>
      <c r="S224" s="105"/>
      <c r="T224" s="105"/>
      <c r="U224" s="105"/>
      <c r="V224" s="105"/>
      <c r="W224" s="105"/>
      <c r="X224" s="105"/>
      <c r="Y224" s="105"/>
      <c r="Z224" s="105"/>
      <c r="AA224" s="105"/>
      <c r="AB224" s="105"/>
      <c r="AC224" s="105"/>
    </row>
    <row r="225" spans="1:29" ht="15.75" customHeight="1" x14ac:dyDescent="0.2">
      <c r="A225" s="105"/>
      <c r="B225" s="105"/>
      <c r="C225" s="105"/>
      <c r="D225" s="105"/>
      <c r="E225" s="105"/>
      <c r="F225" s="105"/>
      <c r="G225" s="105"/>
      <c r="H225" s="105"/>
      <c r="I225" s="105"/>
      <c r="J225" s="105"/>
      <c r="K225" s="105"/>
      <c r="L225" s="105"/>
      <c r="M225" s="105"/>
      <c r="N225" s="105"/>
      <c r="O225" s="105"/>
      <c r="P225" s="105"/>
      <c r="Q225" s="105"/>
      <c r="R225" s="105"/>
      <c r="S225" s="105"/>
      <c r="T225" s="105"/>
      <c r="U225" s="105"/>
      <c r="V225" s="105"/>
      <c r="W225" s="105"/>
      <c r="X225" s="105"/>
      <c r="Y225" s="105"/>
      <c r="Z225" s="105"/>
      <c r="AA225" s="105"/>
      <c r="AB225" s="105"/>
      <c r="AC225" s="105"/>
    </row>
    <row r="226" spans="1:29" ht="15.75" customHeight="1" x14ac:dyDescent="0.2">
      <c r="A226" s="105"/>
      <c r="B226" s="105"/>
      <c r="C226" s="105"/>
      <c r="D226" s="105"/>
      <c r="E226" s="105"/>
      <c r="F226" s="105"/>
      <c r="G226" s="105"/>
      <c r="H226" s="105"/>
      <c r="I226" s="105"/>
      <c r="J226" s="105"/>
      <c r="K226" s="105"/>
      <c r="L226" s="105"/>
      <c r="M226" s="105"/>
      <c r="N226" s="105"/>
      <c r="O226" s="105"/>
      <c r="P226" s="105"/>
      <c r="Q226" s="105"/>
      <c r="R226" s="105"/>
      <c r="S226" s="105"/>
      <c r="T226" s="105"/>
      <c r="U226" s="105"/>
      <c r="V226" s="105"/>
      <c r="W226" s="105"/>
      <c r="X226" s="105"/>
      <c r="Y226" s="105"/>
      <c r="Z226" s="105"/>
      <c r="AA226" s="105"/>
      <c r="AB226" s="105"/>
      <c r="AC226" s="105"/>
    </row>
    <row r="227" spans="1:29" ht="15.75" customHeight="1" x14ac:dyDescent="0.2">
      <c r="A227" s="105"/>
      <c r="B227" s="105"/>
      <c r="C227" s="105"/>
      <c r="D227" s="105"/>
      <c r="E227" s="105"/>
      <c r="F227" s="105"/>
      <c r="G227" s="105"/>
      <c r="H227" s="105"/>
      <c r="I227" s="105"/>
      <c r="J227" s="105"/>
      <c r="K227" s="105"/>
      <c r="L227" s="105"/>
      <c r="M227" s="105"/>
      <c r="N227" s="105"/>
      <c r="O227" s="105"/>
      <c r="P227" s="105"/>
      <c r="Q227" s="105"/>
      <c r="R227" s="105"/>
      <c r="S227" s="105"/>
      <c r="T227" s="105"/>
      <c r="U227" s="105"/>
      <c r="V227" s="105"/>
      <c r="W227" s="105"/>
      <c r="X227" s="105"/>
      <c r="Y227" s="105"/>
      <c r="Z227" s="105"/>
      <c r="AA227" s="105"/>
      <c r="AB227" s="105"/>
      <c r="AC227" s="105"/>
    </row>
    <row r="228" spans="1:29" ht="15.75" customHeight="1" x14ac:dyDescent="0.2">
      <c r="A228" s="105"/>
      <c r="B228" s="105"/>
      <c r="C228" s="105"/>
      <c r="D228" s="105"/>
      <c r="E228" s="105"/>
      <c r="F228" s="105"/>
      <c r="G228" s="105"/>
      <c r="H228" s="105"/>
      <c r="I228" s="105"/>
      <c r="J228" s="105"/>
      <c r="K228" s="105"/>
      <c r="L228" s="105"/>
      <c r="M228" s="105"/>
      <c r="N228" s="105"/>
      <c r="O228" s="105"/>
      <c r="P228" s="105"/>
      <c r="Q228" s="105"/>
      <c r="R228" s="105"/>
      <c r="S228" s="105"/>
      <c r="T228" s="105"/>
      <c r="U228" s="105"/>
      <c r="V228" s="105"/>
      <c r="W228" s="105"/>
      <c r="X228" s="105"/>
      <c r="Y228" s="105"/>
      <c r="Z228" s="105"/>
      <c r="AA228" s="105"/>
      <c r="AB228" s="105"/>
      <c r="AC228" s="105"/>
    </row>
    <row r="229" spans="1:29" ht="15.75" customHeight="1" x14ac:dyDescent="0.2">
      <c r="A229" s="105"/>
      <c r="B229" s="105"/>
      <c r="C229" s="105"/>
      <c r="D229" s="105"/>
      <c r="E229" s="105"/>
      <c r="F229" s="105"/>
      <c r="G229" s="105"/>
      <c r="H229" s="105"/>
      <c r="I229" s="105"/>
      <c r="J229" s="105"/>
      <c r="K229" s="105"/>
      <c r="L229" s="105"/>
      <c r="M229" s="105"/>
      <c r="N229" s="105"/>
      <c r="O229" s="105"/>
      <c r="P229" s="105"/>
      <c r="Q229" s="105"/>
      <c r="R229" s="105"/>
      <c r="S229" s="105"/>
      <c r="T229" s="105"/>
      <c r="U229" s="105"/>
      <c r="V229" s="105"/>
      <c r="W229" s="105"/>
      <c r="X229" s="105"/>
      <c r="Y229" s="105"/>
      <c r="Z229" s="105"/>
      <c r="AA229" s="105"/>
      <c r="AB229" s="105"/>
      <c r="AC229" s="105"/>
    </row>
    <row r="230" spans="1:29" ht="15.75" customHeight="1" x14ac:dyDescent="0.2">
      <c r="A230" s="105"/>
      <c r="B230" s="105"/>
      <c r="C230" s="105"/>
      <c r="D230" s="105"/>
      <c r="E230" s="105"/>
      <c r="F230" s="105"/>
      <c r="G230" s="105"/>
      <c r="H230" s="105"/>
      <c r="I230" s="105"/>
      <c r="J230" s="105"/>
      <c r="K230" s="105"/>
      <c r="L230" s="105"/>
      <c r="M230" s="105"/>
      <c r="N230" s="105"/>
      <c r="O230" s="105"/>
      <c r="P230" s="105"/>
      <c r="Q230" s="105"/>
      <c r="R230" s="105"/>
      <c r="S230" s="105"/>
      <c r="T230" s="105"/>
      <c r="U230" s="105"/>
      <c r="V230" s="105"/>
      <c r="W230" s="105"/>
      <c r="X230" s="105"/>
      <c r="Y230" s="105"/>
      <c r="Z230" s="105"/>
      <c r="AA230" s="105"/>
      <c r="AB230" s="105"/>
      <c r="AC230" s="105"/>
    </row>
    <row r="231" spans="1:29" ht="15.75" customHeight="1" x14ac:dyDescent="0.2">
      <c r="A231" s="105"/>
      <c r="B231" s="105"/>
      <c r="C231" s="105"/>
      <c r="D231" s="105"/>
      <c r="E231" s="105"/>
      <c r="F231" s="105"/>
      <c r="G231" s="105"/>
      <c r="H231" s="105"/>
      <c r="I231" s="105"/>
      <c r="J231" s="105"/>
      <c r="K231" s="105"/>
      <c r="L231" s="105"/>
      <c r="M231" s="105"/>
      <c r="N231" s="105"/>
      <c r="O231" s="105"/>
      <c r="P231" s="105"/>
      <c r="Q231" s="105"/>
      <c r="R231" s="105"/>
      <c r="S231" s="105"/>
      <c r="T231" s="105"/>
      <c r="U231" s="105"/>
      <c r="V231" s="105"/>
      <c r="W231" s="105"/>
      <c r="X231" s="105"/>
      <c r="Y231" s="105"/>
      <c r="Z231" s="105"/>
      <c r="AA231" s="105"/>
      <c r="AB231" s="105"/>
      <c r="AC231" s="105"/>
    </row>
    <row r="232" spans="1:29" ht="15.75" customHeight="1" x14ac:dyDescent="0.2">
      <c r="A232" s="105"/>
      <c r="B232" s="105"/>
      <c r="C232" s="105"/>
      <c r="D232" s="105"/>
      <c r="E232" s="105"/>
      <c r="F232" s="105"/>
      <c r="G232" s="105"/>
      <c r="H232" s="105"/>
      <c r="I232" s="105"/>
      <c r="J232" s="105"/>
      <c r="K232" s="105"/>
      <c r="L232" s="105"/>
      <c r="M232" s="105"/>
      <c r="N232" s="105"/>
      <c r="O232" s="105"/>
      <c r="P232" s="105"/>
      <c r="Q232" s="105"/>
      <c r="R232" s="105"/>
      <c r="S232" s="105"/>
      <c r="T232" s="105"/>
      <c r="U232" s="105"/>
      <c r="V232" s="105"/>
      <c r="W232" s="105"/>
      <c r="X232" s="105"/>
      <c r="Y232" s="105"/>
      <c r="Z232" s="105"/>
      <c r="AA232" s="105"/>
      <c r="AB232" s="105"/>
      <c r="AC232" s="105"/>
    </row>
    <row r="233" spans="1:29" ht="15.75" customHeight="1" x14ac:dyDescent="0.2">
      <c r="A233" s="105"/>
      <c r="B233" s="105"/>
      <c r="C233" s="105"/>
      <c r="D233" s="105"/>
      <c r="E233" s="105"/>
      <c r="F233" s="105"/>
      <c r="G233" s="105"/>
      <c r="H233" s="105"/>
      <c r="I233" s="105"/>
      <c r="J233" s="105"/>
      <c r="K233" s="105"/>
      <c r="L233" s="105"/>
      <c r="M233" s="105"/>
      <c r="N233" s="105"/>
      <c r="O233" s="105"/>
      <c r="P233" s="105"/>
      <c r="Q233" s="105"/>
      <c r="R233" s="105"/>
      <c r="S233" s="105"/>
      <c r="T233" s="105"/>
      <c r="U233" s="105"/>
      <c r="V233" s="105"/>
      <c r="W233" s="105"/>
      <c r="X233" s="105"/>
      <c r="Y233" s="105"/>
      <c r="Z233" s="105"/>
      <c r="AA233" s="105"/>
      <c r="AB233" s="105"/>
      <c r="AC233" s="105"/>
    </row>
    <row r="234" spans="1:29" ht="15.75" customHeight="1" x14ac:dyDescent="0.2">
      <c r="A234" s="105"/>
      <c r="B234" s="105"/>
      <c r="C234" s="105"/>
      <c r="D234" s="105"/>
      <c r="E234" s="105"/>
      <c r="F234" s="105"/>
      <c r="G234" s="105"/>
      <c r="H234" s="105"/>
      <c r="I234" s="105"/>
      <c r="J234" s="105"/>
      <c r="K234" s="105"/>
      <c r="L234" s="105"/>
      <c r="M234" s="105"/>
      <c r="N234" s="105"/>
      <c r="O234" s="105"/>
      <c r="P234" s="105"/>
      <c r="Q234" s="105"/>
      <c r="R234" s="105"/>
      <c r="S234" s="105"/>
      <c r="T234" s="105"/>
      <c r="U234" s="105"/>
      <c r="V234" s="105"/>
      <c r="W234" s="105"/>
      <c r="X234" s="105"/>
      <c r="Y234" s="105"/>
      <c r="Z234" s="105"/>
      <c r="AA234" s="105"/>
      <c r="AB234" s="105"/>
      <c r="AC234" s="105"/>
    </row>
    <row r="235" spans="1:29" ht="15.75" customHeight="1" x14ac:dyDescent="0.2">
      <c r="A235" s="105"/>
      <c r="B235" s="105"/>
      <c r="C235" s="105"/>
      <c r="D235" s="105"/>
      <c r="E235" s="105"/>
      <c r="F235" s="105"/>
      <c r="G235" s="105"/>
      <c r="H235" s="105"/>
      <c r="I235" s="105"/>
      <c r="J235" s="105"/>
      <c r="K235" s="105"/>
      <c r="L235" s="105"/>
      <c r="M235" s="105"/>
      <c r="N235" s="105"/>
      <c r="O235" s="105"/>
      <c r="P235" s="105"/>
      <c r="Q235" s="105"/>
      <c r="R235" s="105"/>
      <c r="S235" s="105"/>
      <c r="T235" s="105"/>
      <c r="U235" s="105"/>
      <c r="V235" s="105"/>
      <c r="W235" s="105"/>
      <c r="X235" s="105"/>
      <c r="Y235" s="105"/>
      <c r="Z235" s="105"/>
      <c r="AA235" s="105"/>
      <c r="AB235" s="105"/>
      <c r="AC235" s="105"/>
    </row>
    <row r="236" spans="1:29" ht="15.75" customHeight="1" x14ac:dyDescent="0.2">
      <c r="A236" s="105"/>
      <c r="B236" s="105"/>
      <c r="C236" s="105"/>
      <c r="D236" s="105"/>
      <c r="E236" s="105"/>
      <c r="F236" s="105"/>
      <c r="G236" s="105"/>
      <c r="H236" s="105"/>
      <c r="I236" s="105"/>
      <c r="J236" s="105"/>
      <c r="K236" s="105"/>
      <c r="L236" s="105"/>
      <c r="M236" s="105"/>
      <c r="N236" s="105"/>
      <c r="O236" s="105"/>
      <c r="P236" s="105"/>
      <c r="Q236" s="105"/>
      <c r="R236" s="105"/>
      <c r="S236" s="105"/>
      <c r="T236" s="105"/>
      <c r="U236" s="105"/>
      <c r="V236" s="105"/>
      <c r="W236" s="105"/>
      <c r="X236" s="105"/>
      <c r="Y236" s="105"/>
      <c r="Z236" s="105"/>
      <c r="AA236" s="105"/>
      <c r="AB236" s="105"/>
      <c r="AC236" s="105"/>
    </row>
    <row r="237" spans="1:29" ht="15.75" customHeight="1" x14ac:dyDescent="0.2">
      <c r="A237" s="105"/>
      <c r="B237" s="105"/>
      <c r="C237" s="105"/>
      <c r="D237" s="105"/>
      <c r="E237" s="105"/>
      <c r="F237" s="105"/>
      <c r="G237" s="105"/>
      <c r="H237" s="105"/>
      <c r="I237" s="105"/>
      <c r="J237" s="105"/>
      <c r="K237" s="105"/>
      <c r="L237" s="105"/>
      <c r="M237" s="105"/>
      <c r="N237" s="105"/>
      <c r="O237" s="105"/>
      <c r="P237" s="105"/>
      <c r="Q237" s="105"/>
      <c r="R237" s="105"/>
      <c r="S237" s="105"/>
      <c r="T237" s="105"/>
      <c r="U237" s="105"/>
      <c r="V237" s="105"/>
      <c r="W237" s="105"/>
      <c r="X237" s="105"/>
      <c r="Y237" s="105"/>
      <c r="Z237" s="105"/>
      <c r="AA237" s="105"/>
      <c r="AB237" s="105"/>
      <c r="AC237" s="105"/>
    </row>
    <row r="238" spans="1:29" ht="15.75" customHeight="1" x14ac:dyDescent="0.2">
      <c r="A238" s="105"/>
      <c r="B238" s="105"/>
      <c r="C238" s="105"/>
      <c r="D238" s="105"/>
      <c r="E238" s="105"/>
      <c r="F238" s="105"/>
      <c r="G238" s="105"/>
      <c r="H238" s="105"/>
      <c r="I238" s="105"/>
      <c r="J238" s="105"/>
      <c r="K238" s="105"/>
      <c r="L238" s="105"/>
      <c r="M238" s="105"/>
      <c r="N238" s="105"/>
      <c r="O238" s="105"/>
      <c r="P238" s="105"/>
      <c r="Q238" s="105"/>
      <c r="R238" s="105"/>
      <c r="S238" s="105"/>
      <c r="T238" s="105"/>
      <c r="U238" s="105"/>
      <c r="V238" s="105"/>
      <c r="W238" s="105"/>
      <c r="X238" s="105"/>
      <c r="Y238" s="105"/>
      <c r="Z238" s="105"/>
      <c r="AA238" s="105"/>
      <c r="AB238" s="105"/>
      <c r="AC238" s="105"/>
    </row>
    <row r="239" spans="1:29" ht="15.75" customHeight="1" x14ac:dyDescent="0.2">
      <c r="A239" s="105"/>
      <c r="B239" s="105"/>
      <c r="C239" s="105"/>
      <c r="D239" s="105"/>
      <c r="E239" s="105"/>
      <c r="F239" s="105"/>
      <c r="G239" s="105"/>
      <c r="H239" s="105"/>
      <c r="I239" s="105"/>
      <c r="J239" s="105"/>
      <c r="K239" s="105"/>
      <c r="L239" s="105"/>
      <c r="M239" s="105"/>
      <c r="N239" s="105"/>
      <c r="O239" s="105"/>
      <c r="P239" s="105"/>
      <c r="Q239" s="105"/>
      <c r="R239" s="105"/>
      <c r="S239" s="105"/>
      <c r="T239" s="105"/>
      <c r="U239" s="105"/>
      <c r="V239" s="105"/>
      <c r="W239" s="105"/>
      <c r="X239" s="105"/>
      <c r="Y239" s="105"/>
      <c r="Z239" s="105"/>
      <c r="AA239" s="105"/>
      <c r="AB239" s="105"/>
      <c r="AC239" s="105"/>
    </row>
    <row r="240" spans="1:29" ht="15.75" customHeight="1" x14ac:dyDescent="0.2">
      <c r="A240" s="105"/>
      <c r="B240" s="105"/>
      <c r="C240" s="105"/>
      <c r="D240" s="105"/>
      <c r="E240" s="105"/>
      <c r="F240" s="105"/>
      <c r="G240" s="105"/>
      <c r="H240" s="105"/>
      <c r="I240" s="105"/>
      <c r="J240" s="105"/>
      <c r="K240" s="105"/>
      <c r="L240" s="105"/>
      <c r="M240" s="105"/>
      <c r="N240" s="105"/>
      <c r="O240" s="105"/>
      <c r="P240" s="105"/>
      <c r="Q240" s="105"/>
      <c r="R240" s="105"/>
      <c r="S240" s="105"/>
      <c r="T240" s="105"/>
      <c r="U240" s="105"/>
      <c r="V240" s="105"/>
      <c r="W240" s="105"/>
      <c r="X240" s="105"/>
      <c r="Y240" s="105"/>
      <c r="Z240" s="105"/>
      <c r="AA240" s="105"/>
      <c r="AB240" s="105"/>
      <c r="AC240" s="105"/>
    </row>
    <row r="241" spans="1:29" ht="15.75" customHeight="1" x14ac:dyDescent="0.2">
      <c r="A241" s="105"/>
      <c r="B241" s="105"/>
      <c r="C241" s="105"/>
      <c r="D241" s="105"/>
      <c r="E241" s="105"/>
      <c r="F241" s="105"/>
      <c r="G241" s="105"/>
      <c r="H241" s="105"/>
      <c r="I241" s="105"/>
      <c r="J241" s="105"/>
      <c r="K241" s="105"/>
      <c r="L241" s="105"/>
      <c r="M241" s="105"/>
      <c r="N241" s="105"/>
      <c r="O241" s="105"/>
      <c r="P241" s="105"/>
      <c r="Q241" s="105"/>
      <c r="R241" s="105"/>
      <c r="S241" s="105"/>
      <c r="T241" s="105"/>
      <c r="U241" s="105"/>
      <c r="V241" s="105"/>
      <c r="W241" s="105"/>
      <c r="X241" s="105"/>
      <c r="Y241" s="105"/>
      <c r="Z241" s="105"/>
      <c r="AA241" s="105"/>
      <c r="AB241" s="105"/>
      <c r="AC241" s="105"/>
    </row>
    <row r="242" spans="1:29" ht="15.75" customHeight="1" x14ac:dyDescent="0.2">
      <c r="A242" s="105"/>
      <c r="B242" s="105"/>
      <c r="C242" s="105"/>
      <c r="D242" s="105"/>
      <c r="E242" s="105"/>
      <c r="F242" s="105"/>
      <c r="G242" s="105"/>
      <c r="H242" s="105"/>
      <c r="I242" s="105"/>
      <c r="J242" s="105"/>
      <c r="K242" s="105"/>
      <c r="L242" s="105"/>
      <c r="M242" s="105"/>
      <c r="N242" s="105"/>
      <c r="O242" s="105"/>
      <c r="P242" s="105"/>
      <c r="Q242" s="105"/>
      <c r="R242" s="105"/>
      <c r="S242" s="105"/>
      <c r="T242" s="105"/>
      <c r="U242" s="105"/>
      <c r="V242" s="105"/>
      <c r="W242" s="105"/>
      <c r="X242" s="105"/>
      <c r="Y242" s="105"/>
      <c r="Z242" s="105"/>
      <c r="AA242" s="105"/>
      <c r="AB242" s="105"/>
      <c r="AC242" s="105"/>
    </row>
    <row r="243" spans="1:29" ht="15.75" customHeight="1" x14ac:dyDescent="0.2">
      <c r="A243" s="105"/>
      <c r="B243" s="105"/>
      <c r="C243" s="105"/>
      <c r="D243" s="105"/>
      <c r="E243" s="105"/>
      <c r="F243" s="105"/>
      <c r="G243" s="105"/>
      <c r="H243" s="105"/>
      <c r="I243" s="105"/>
      <c r="J243" s="105"/>
      <c r="K243" s="105"/>
      <c r="L243" s="105"/>
      <c r="M243" s="105"/>
      <c r="N243" s="105"/>
      <c r="O243" s="105"/>
      <c r="P243" s="105"/>
      <c r="Q243" s="105"/>
      <c r="R243" s="105"/>
      <c r="S243" s="105"/>
      <c r="T243" s="105"/>
      <c r="U243" s="105"/>
      <c r="V243" s="105"/>
      <c r="W243" s="105"/>
      <c r="X243" s="105"/>
      <c r="Y243" s="105"/>
      <c r="Z243" s="105"/>
      <c r="AA243" s="105"/>
      <c r="AB243" s="105"/>
      <c r="AC243" s="105"/>
    </row>
    <row r="244" spans="1:29" ht="15.75" customHeight="1" x14ac:dyDescent="0.2">
      <c r="A244" s="105"/>
      <c r="B244" s="105"/>
      <c r="C244" s="105"/>
      <c r="D244" s="105"/>
      <c r="E244" s="105"/>
      <c r="F244" s="105"/>
      <c r="G244" s="105"/>
      <c r="H244" s="105"/>
      <c r="I244" s="105"/>
      <c r="J244" s="105"/>
      <c r="K244" s="105"/>
      <c r="L244" s="105"/>
      <c r="M244" s="105"/>
      <c r="N244" s="105"/>
      <c r="O244" s="105"/>
      <c r="P244" s="105"/>
      <c r="Q244" s="105"/>
      <c r="R244" s="105"/>
      <c r="S244" s="105"/>
      <c r="T244" s="105"/>
      <c r="U244" s="105"/>
      <c r="V244" s="105"/>
      <c r="W244" s="105"/>
      <c r="X244" s="105"/>
      <c r="Y244" s="105"/>
      <c r="Z244" s="105"/>
      <c r="AA244" s="105"/>
      <c r="AB244" s="105"/>
      <c r="AC244" s="105"/>
    </row>
    <row r="245" spans="1:29" ht="15.75" customHeight="1" x14ac:dyDescent="0.2">
      <c r="A245" s="105"/>
      <c r="B245" s="105"/>
      <c r="C245" s="105"/>
      <c r="D245" s="105"/>
      <c r="E245" s="105"/>
      <c r="F245" s="105"/>
      <c r="G245" s="105"/>
      <c r="H245" s="105"/>
      <c r="I245" s="105"/>
      <c r="J245" s="105"/>
      <c r="K245" s="105"/>
      <c r="L245" s="105"/>
      <c r="M245" s="105"/>
      <c r="N245" s="105"/>
      <c r="O245" s="105"/>
      <c r="P245" s="105"/>
      <c r="Q245" s="105"/>
      <c r="R245" s="105"/>
      <c r="S245" s="105"/>
      <c r="T245" s="105"/>
      <c r="U245" s="105"/>
      <c r="V245" s="105"/>
      <c r="W245" s="105"/>
      <c r="X245" s="105"/>
      <c r="Y245" s="105"/>
      <c r="Z245" s="105"/>
      <c r="AA245" s="105"/>
      <c r="AB245" s="105"/>
      <c r="AC245" s="105"/>
    </row>
    <row r="246" spans="1:29" ht="15.75" customHeight="1" x14ac:dyDescent="0.2">
      <c r="A246" s="105"/>
      <c r="B246" s="105"/>
      <c r="C246" s="105"/>
      <c r="D246" s="105"/>
      <c r="E246" s="105"/>
      <c r="F246" s="105"/>
      <c r="G246" s="105"/>
      <c r="H246" s="105"/>
      <c r="I246" s="105"/>
      <c r="J246" s="105"/>
      <c r="K246" s="105"/>
      <c r="L246" s="105"/>
      <c r="M246" s="105"/>
      <c r="N246" s="105"/>
      <c r="O246" s="105"/>
      <c r="P246" s="105"/>
      <c r="Q246" s="105"/>
      <c r="R246" s="105"/>
      <c r="S246" s="105"/>
      <c r="T246" s="105"/>
      <c r="U246" s="105"/>
      <c r="V246" s="105"/>
      <c r="W246" s="105"/>
      <c r="X246" s="105"/>
      <c r="Y246" s="105"/>
      <c r="Z246" s="105"/>
      <c r="AA246" s="105"/>
      <c r="AB246" s="105"/>
      <c r="AC246" s="105"/>
    </row>
    <row r="247" spans="1:29" ht="15.75" customHeight="1" x14ac:dyDescent="0.2">
      <c r="A247" s="105"/>
      <c r="B247" s="105"/>
      <c r="C247" s="105"/>
      <c r="D247" s="105"/>
      <c r="E247" s="105"/>
      <c r="F247" s="105"/>
      <c r="G247" s="105"/>
      <c r="H247" s="105"/>
      <c r="I247" s="105"/>
      <c r="J247" s="105"/>
      <c r="K247" s="105"/>
      <c r="L247" s="105"/>
      <c r="M247" s="105"/>
      <c r="N247" s="105"/>
      <c r="O247" s="105"/>
      <c r="P247" s="105"/>
      <c r="Q247" s="105"/>
      <c r="R247" s="105"/>
      <c r="S247" s="105"/>
      <c r="T247" s="105"/>
      <c r="U247" s="105"/>
      <c r="V247" s="105"/>
      <c r="W247" s="105"/>
      <c r="X247" s="105"/>
      <c r="Y247" s="105"/>
      <c r="Z247" s="105"/>
      <c r="AA247" s="105"/>
      <c r="AB247" s="105"/>
      <c r="AC247" s="105"/>
    </row>
    <row r="248" spans="1:29" ht="15.75" customHeight="1" x14ac:dyDescent="0.2">
      <c r="A248" s="105"/>
      <c r="B248" s="105"/>
      <c r="C248" s="105"/>
      <c r="D248" s="105"/>
      <c r="E248" s="105"/>
      <c r="F248" s="105"/>
      <c r="G248" s="105"/>
      <c r="H248" s="105"/>
      <c r="I248" s="105"/>
      <c r="J248" s="105"/>
      <c r="K248" s="105"/>
      <c r="L248" s="105"/>
      <c r="M248" s="105"/>
      <c r="N248" s="105"/>
      <c r="O248" s="105"/>
      <c r="P248" s="105"/>
      <c r="Q248" s="105"/>
      <c r="R248" s="105"/>
      <c r="S248" s="105"/>
      <c r="T248" s="105"/>
      <c r="U248" s="105"/>
      <c r="V248" s="105"/>
      <c r="W248" s="105"/>
      <c r="X248" s="105"/>
      <c r="Y248" s="105"/>
      <c r="Z248" s="105"/>
      <c r="AA248" s="105"/>
      <c r="AB248" s="105"/>
      <c r="AC248" s="105"/>
    </row>
    <row r="249" spans="1:29" ht="15.75" customHeight="1" x14ac:dyDescent="0.2">
      <c r="A249" s="105"/>
      <c r="B249" s="105"/>
      <c r="C249" s="105"/>
      <c r="D249" s="105"/>
      <c r="E249" s="105"/>
      <c r="F249" s="105"/>
      <c r="G249" s="105"/>
      <c r="H249" s="105"/>
      <c r="I249" s="105"/>
      <c r="J249" s="105"/>
      <c r="K249" s="105"/>
      <c r="L249" s="105"/>
      <c r="M249" s="105"/>
      <c r="N249" s="105"/>
      <c r="O249" s="105"/>
      <c r="P249" s="105"/>
      <c r="Q249" s="105"/>
      <c r="R249" s="105"/>
      <c r="S249" s="105"/>
      <c r="T249" s="105"/>
      <c r="U249" s="105"/>
      <c r="V249" s="105"/>
      <c r="W249" s="105"/>
      <c r="X249" s="105"/>
      <c r="Y249" s="105"/>
      <c r="Z249" s="105"/>
      <c r="AA249" s="105"/>
      <c r="AB249" s="105"/>
      <c r="AC249" s="105"/>
    </row>
    <row r="250" spans="1:29" ht="15.75" customHeight="1" x14ac:dyDescent="0.2">
      <c r="A250" s="105"/>
      <c r="B250" s="105"/>
      <c r="C250" s="105"/>
      <c r="D250" s="105"/>
      <c r="E250" s="105"/>
      <c r="F250" s="105"/>
      <c r="G250" s="105"/>
      <c r="H250" s="105"/>
      <c r="I250" s="105"/>
      <c r="J250" s="105"/>
      <c r="K250" s="105"/>
      <c r="L250" s="105"/>
      <c r="M250" s="105"/>
      <c r="N250" s="105"/>
      <c r="O250" s="105"/>
      <c r="P250" s="105"/>
      <c r="Q250" s="105"/>
      <c r="R250" s="105"/>
      <c r="S250" s="105"/>
      <c r="T250" s="105"/>
      <c r="U250" s="105"/>
      <c r="V250" s="105"/>
      <c r="W250" s="105"/>
      <c r="X250" s="105"/>
      <c r="Y250" s="105"/>
      <c r="Z250" s="105"/>
      <c r="AA250" s="105"/>
      <c r="AB250" s="105"/>
      <c r="AC250" s="105"/>
    </row>
    <row r="251" spans="1:29" ht="15.75" customHeight="1" x14ac:dyDescent="0.2">
      <c r="A251" s="105"/>
      <c r="B251" s="105"/>
      <c r="C251" s="105"/>
      <c r="D251" s="105"/>
      <c r="E251" s="105"/>
      <c r="F251" s="105"/>
      <c r="G251" s="105"/>
      <c r="H251" s="105"/>
      <c r="I251" s="105"/>
      <c r="J251" s="105"/>
      <c r="K251" s="105"/>
      <c r="L251" s="105"/>
      <c r="M251" s="105"/>
      <c r="N251" s="105"/>
      <c r="O251" s="105"/>
      <c r="P251" s="105"/>
      <c r="Q251" s="105"/>
      <c r="R251" s="105"/>
      <c r="S251" s="105"/>
      <c r="T251" s="105"/>
      <c r="U251" s="105"/>
      <c r="V251" s="105"/>
      <c r="W251" s="105"/>
      <c r="X251" s="105"/>
      <c r="Y251" s="105"/>
      <c r="Z251" s="105"/>
      <c r="AA251" s="105"/>
      <c r="AB251" s="105"/>
      <c r="AC251" s="105"/>
    </row>
    <row r="252" spans="1:29" ht="15.75" customHeight="1" x14ac:dyDescent="0.2">
      <c r="A252" s="105"/>
      <c r="B252" s="105"/>
      <c r="C252" s="105"/>
      <c r="D252" s="105"/>
      <c r="E252" s="105"/>
      <c r="F252" s="105"/>
      <c r="G252" s="105"/>
      <c r="H252" s="105"/>
      <c r="I252" s="105"/>
      <c r="J252" s="105"/>
      <c r="K252" s="105"/>
      <c r="L252" s="105"/>
      <c r="M252" s="105"/>
      <c r="N252" s="105"/>
      <c r="O252" s="105"/>
      <c r="P252" s="105"/>
      <c r="Q252" s="105"/>
      <c r="R252" s="105"/>
      <c r="S252" s="105"/>
      <c r="T252" s="105"/>
      <c r="U252" s="105"/>
      <c r="V252" s="105"/>
      <c r="W252" s="105"/>
      <c r="X252" s="105"/>
      <c r="Y252" s="105"/>
      <c r="Z252" s="105"/>
      <c r="AA252" s="105"/>
      <c r="AB252" s="105"/>
      <c r="AC252" s="105"/>
    </row>
    <row r="253" spans="1:29" ht="15.75" customHeight="1" x14ac:dyDescent="0.2">
      <c r="A253" s="105"/>
      <c r="B253" s="105"/>
      <c r="C253" s="105"/>
      <c r="D253" s="105"/>
      <c r="E253" s="105"/>
      <c r="F253" s="105"/>
      <c r="G253" s="105"/>
      <c r="H253" s="105"/>
      <c r="I253" s="105"/>
      <c r="J253" s="105"/>
      <c r="K253" s="105"/>
      <c r="L253" s="105"/>
      <c r="M253" s="105"/>
      <c r="N253" s="105"/>
      <c r="O253" s="105"/>
      <c r="P253" s="105"/>
      <c r="Q253" s="105"/>
      <c r="R253" s="105"/>
      <c r="S253" s="105"/>
      <c r="T253" s="105"/>
      <c r="U253" s="105"/>
      <c r="V253" s="105"/>
      <c r="W253" s="105"/>
      <c r="X253" s="105"/>
      <c r="Y253" s="105"/>
      <c r="Z253" s="105"/>
      <c r="AA253" s="105"/>
      <c r="AB253" s="105"/>
      <c r="AC253" s="105"/>
    </row>
    <row r="254" spans="1:29" ht="15.75" customHeight="1" x14ac:dyDescent="0.2">
      <c r="A254" s="105"/>
      <c r="B254" s="105"/>
      <c r="C254" s="105"/>
      <c r="D254" s="105"/>
      <c r="E254" s="105"/>
      <c r="F254" s="105"/>
      <c r="G254" s="105"/>
      <c r="H254" s="105"/>
      <c r="I254" s="105"/>
      <c r="J254" s="105"/>
      <c r="K254" s="105"/>
      <c r="L254" s="105"/>
      <c r="M254" s="105"/>
      <c r="N254" s="105"/>
      <c r="O254" s="105"/>
      <c r="P254" s="105"/>
      <c r="Q254" s="105"/>
      <c r="R254" s="105"/>
      <c r="S254" s="105"/>
      <c r="T254" s="105"/>
      <c r="U254" s="105"/>
      <c r="V254" s="105"/>
      <c r="W254" s="105"/>
      <c r="X254" s="105"/>
      <c r="Y254" s="105"/>
      <c r="Z254" s="105"/>
      <c r="AA254" s="105"/>
      <c r="AB254" s="105"/>
      <c r="AC254" s="105"/>
    </row>
    <row r="255" spans="1:29" ht="15.75" customHeight="1" x14ac:dyDescent="0.2">
      <c r="A255" s="105"/>
      <c r="B255" s="105"/>
      <c r="C255" s="105"/>
      <c r="D255" s="105"/>
      <c r="E255" s="105"/>
      <c r="F255" s="105"/>
      <c r="G255" s="105"/>
      <c r="H255" s="105"/>
      <c r="I255" s="105"/>
      <c r="J255" s="105"/>
      <c r="K255" s="105"/>
      <c r="L255" s="105"/>
      <c r="M255" s="105"/>
      <c r="N255" s="105"/>
      <c r="O255" s="105"/>
      <c r="P255" s="105"/>
      <c r="Q255" s="105"/>
      <c r="R255" s="105"/>
      <c r="S255" s="105"/>
      <c r="T255" s="105"/>
      <c r="U255" s="105"/>
      <c r="V255" s="105"/>
      <c r="W255" s="105"/>
      <c r="X255" s="105"/>
      <c r="Y255" s="105"/>
      <c r="Z255" s="105"/>
      <c r="AA255" s="105"/>
      <c r="AB255" s="105"/>
      <c r="AC255" s="105"/>
    </row>
    <row r="256" spans="1:29" ht="15.75" customHeight="1" x14ac:dyDescent="0.2">
      <c r="A256" s="105"/>
      <c r="B256" s="105"/>
      <c r="C256" s="105"/>
      <c r="D256" s="105"/>
      <c r="E256" s="105"/>
      <c r="F256" s="105"/>
      <c r="G256" s="105"/>
      <c r="H256" s="105"/>
      <c r="I256" s="105"/>
      <c r="J256" s="105"/>
      <c r="K256" s="105"/>
      <c r="L256" s="105"/>
      <c r="M256" s="105"/>
      <c r="N256" s="105"/>
      <c r="O256" s="105"/>
      <c r="P256" s="105"/>
      <c r="Q256" s="105"/>
      <c r="R256" s="105"/>
      <c r="S256" s="105"/>
      <c r="T256" s="105"/>
      <c r="U256" s="105"/>
      <c r="V256" s="105"/>
      <c r="W256" s="105"/>
      <c r="X256" s="105"/>
      <c r="Y256" s="105"/>
      <c r="Z256" s="105"/>
      <c r="AA256" s="105"/>
      <c r="AB256" s="105"/>
      <c r="AC256" s="105"/>
    </row>
    <row r="257" spans="1:29" ht="15.75" customHeight="1" x14ac:dyDescent="0.2">
      <c r="A257" s="105"/>
      <c r="B257" s="105"/>
      <c r="C257" s="105"/>
      <c r="D257" s="105"/>
      <c r="E257" s="105"/>
      <c r="F257" s="105"/>
      <c r="G257" s="105"/>
      <c r="H257" s="105"/>
      <c r="I257" s="105"/>
      <c r="J257" s="105"/>
      <c r="K257" s="105"/>
      <c r="L257" s="105"/>
      <c r="M257" s="105"/>
      <c r="N257" s="105"/>
      <c r="O257" s="105"/>
      <c r="P257" s="105"/>
      <c r="Q257" s="105"/>
      <c r="R257" s="105"/>
      <c r="S257" s="105"/>
      <c r="T257" s="105"/>
      <c r="U257" s="105"/>
      <c r="V257" s="105"/>
      <c r="W257" s="105"/>
      <c r="X257" s="105"/>
      <c r="Y257" s="105"/>
      <c r="Z257" s="105"/>
      <c r="AA257" s="105"/>
      <c r="AB257" s="105"/>
      <c r="AC257" s="105"/>
    </row>
    <row r="258" spans="1:29" ht="15.75" customHeight="1" x14ac:dyDescent="0.2">
      <c r="A258" s="105"/>
      <c r="B258" s="105"/>
      <c r="C258" s="105"/>
      <c r="D258" s="105"/>
      <c r="E258" s="105"/>
      <c r="F258" s="105"/>
      <c r="G258" s="105"/>
      <c r="H258" s="105"/>
      <c r="I258" s="105"/>
      <c r="J258" s="105"/>
      <c r="K258" s="105"/>
      <c r="L258" s="105"/>
      <c r="M258" s="105"/>
      <c r="N258" s="105"/>
      <c r="O258" s="105"/>
      <c r="P258" s="105"/>
      <c r="Q258" s="105"/>
      <c r="R258" s="105"/>
      <c r="S258" s="105"/>
      <c r="T258" s="105"/>
      <c r="U258" s="105"/>
      <c r="V258" s="105"/>
      <c r="W258" s="105"/>
      <c r="X258" s="105"/>
      <c r="Y258" s="105"/>
      <c r="Z258" s="105"/>
      <c r="AA258" s="105"/>
      <c r="AB258" s="105"/>
      <c r="AC258" s="105"/>
    </row>
    <row r="259" spans="1:29" ht="15.75" customHeight="1" x14ac:dyDescent="0.2">
      <c r="A259" s="105"/>
      <c r="B259" s="105"/>
      <c r="C259" s="105"/>
      <c r="D259" s="105"/>
      <c r="E259" s="105"/>
      <c r="F259" s="105"/>
      <c r="G259" s="105"/>
      <c r="H259" s="105"/>
      <c r="I259" s="105"/>
      <c r="J259" s="105"/>
      <c r="K259" s="105"/>
      <c r="L259" s="105"/>
      <c r="M259" s="105"/>
      <c r="N259" s="105"/>
      <c r="O259" s="105"/>
      <c r="P259" s="105"/>
      <c r="Q259" s="105"/>
      <c r="R259" s="105"/>
      <c r="S259" s="105"/>
      <c r="T259" s="105"/>
      <c r="U259" s="105"/>
      <c r="V259" s="105"/>
      <c r="W259" s="105"/>
      <c r="X259" s="105"/>
      <c r="Y259" s="105"/>
      <c r="Z259" s="105"/>
      <c r="AA259" s="105"/>
      <c r="AB259" s="105"/>
      <c r="AC259" s="105"/>
    </row>
    <row r="260" spans="1:29" ht="15.75" customHeight="1" x14ac:dyDescent="0.2">
      <c r="A260" s="105"/>
      <c r="B260" s="105"/>
      <c r="C260" s="105"/>
      <c r="D260" s="105"/>
      <c r="E260" s="105"/>
      <c r="F260" s="105"/>
      <c r="G260" s="105"/>
      <c r="H260" s="105"/>
      <c r="I260" s="105"/>
      <c r="J260" s="105"/>
      <c r="K260" s="105"/>
      <c r="L260" s="105"/>
      <c r="M260" s="105"/>
      <c r="N260" s="105"/>
      <c r="O260" s="105"/>
      <c r="P260" s="105"/>
      <c r="Q260" s="105"/>
      <c r="R260" s="105"/>
      <c r="S260" s="105"/>
      <c r="T260" s="105"/>
      <c r="U260" s="105"/>
      <c r="V260" s="105"/>
      <c r="W260" s="105"/>
      <c r="X260" s="105"/>
      <c r="Y260" s="105"/>
      <c r="Z260" s="105"/>
      <c r="AA260" s="105"/>
      <c r="AB260" s="105"/>
      <c r="AC260" s="105"/>
    </row>
    <row r="261" spans="1:29" ht="15.75" customHeight="1" x14ac:dyDescent="0.2">
      <c r="A261" s="105"/>
      <c r="B261" s="105"/>
      <c r="C261" s="105"/>
      <c r="D261" s="105"/>
      <c r="E261" s="105"/>
      <c r="F261" s="105"/>
      <c r="G261" s="105"/>
      <c r="H261" s="105"/>
      <c r="I261" s="105"/>
      <c r="J261" s="105"/>
      <c r="K261" s="105"/>
      <c r="L261" s="105"/>
      <c r="M261" s="105"/>
      <c r="N261" s="105"/>
      <c r="O261" s="105"/>
      <c r="P261" s="105"/>
      <c r="Q261" s="105"/>
      <c r="R261" s="105"/>
      <c r="S261" s="105"/>
      <c r="T261" s="105"/>
      <c r="U261" s="105"/>
      <c r="V261" s="105"/>
      <c r="W261" s="105"/>
      <c r="X261" s="105"/>
      <c r="Y261" s="105"/>
      <c r="Z261" s="105"/>
      <c r="AA261" s="105"/>
      <c r="AB261" s="105"/>
      <c r="AC261" s="105"/>
    </row>
    <row r="262" spans="1:29" ht="15.75" customHeight="1" x14ac:dyDescent="0.2">
      <c r="A262" s="105"/>
      <c r="B262" s="105"/>
      <c r="C262" s="105"/>
      <c r="D262" s="105"/>
      <c r="E262" s="105"/>
      <c r="F262" s="105"/>
      <c r="G262" s="105"/>
      <c r="H262" s="105"/>
      <c r="I262" s="105"/>
      <c r="J262" s="105"/>
      <c r="K262" s="105"/>
      <c r="L262" s="105"/>
      <c r="M262" s="105"/>
      <c r="N262" s="105"/>
      <c r="O262" s="105"/>
      <c r="P262" s="105"/>
      <c r="Q262" s="105"/>
      <c r="R262" s="105"/>
      <c r="S262" s="105"/>
      <c r="T262" s="105"/>
      <c r="U262" s="105"/>
      <c r="V262" s="105"/>
      <c r="W262" s="105"/>
      <c r="X262" s="105"/>
      <c r="Y262" s="105"/>
      <c r="Z262" s="105"/>
      <c r="AA262" s="105"/>
      <c r="AB262" s="105"/>
      <c r="AC262" s="105"/>
    </row>
    <row r="263" spans="1:29" ht="15.75" customHeight="1" x14ac:dyDescent="0.2">
      <c r="A263" s="105"/>
      <c r="B263" s="105"/>
      <c r="C263" s="105"/>
      <c r="D263" s="105"/>
      <c r="E263" s="105"/>
      <c r="F263" s="105"/>
      <c r="G263" s="105"/>
      <c r="H263" s="105"/>
      <c r="I263" s="105"/>
      <c r="J263" s="105"/>
      <c r="K263" s="105"/>
      <c r="L263" s="105"/>
      <c r="M263" s="105"/>
      <c r="N263" s="105"/>
      <c r="O263" s="105"/>
      <c r="P263" s="105"/>
      <c r="Q263" s="105"/>
      <c r="R263" s="105"/>
      <c r="S263" s="105"/>
      <c r="T263" s="105"/>
      <c r="U263" s="105"/>
      <c r="V263" s="105"/>
      <c r="W263" s="105"/>
      <c r="X263" s="105"/>
      <c r="Y263" s="105"/>
      <c r="Z263" s="105"/>
      <c r="AA263" s="105"/>
      <c r="AB263" s="105"/>
      <c r="AC263" s="105"/>
    </row>
    <row r="264" spans="1:29" ht="15.75" customHeight="1" x14ac:dyDescent="0.2">
      <c r="A264" s="105"/>
      <c r="B264" s="105"/>
      <c r="C264" s="105"/>
      <c r="D264" s="105"/>
      <c r="E264" s="105"/>
      <c r="F264" s="105"/>
      <c r="G264" s="105"/>
      <c r="H264" s="105"/>
      <c r="I264" s="105"/>
      <c r="J264" s="105"/>
      <c r="K264" s="105"/>
      <c r="L264" s="105"/>
      <c r="M264" s="105"/>
      <c r="N264" s="105"/>
      <c r="O264" s="105"/>
      <c r="P264" s="105"/>
      <c r="Q264" s="105"/>
      <c r="R264" s="105"/>
      <c r="S264" s="105"/>
      <c r="T264" s="105"/>
      <c r="U264" s="105"/>
      <c r="V264" s="105"/>
      <c r="W264" s="105"/>
      <c r="X264" s="105"/>
      <c r="Y264" s="105"/>
      <c r="Z264" s="105"/>
      <c r="AA264" s="105"/>
      <c r="AB264" s="105"/>
      <c r="AC264" s="105"/>
    </row>
    <row r="265" spans="1:29" ht="15.75" customHeight="1" x14ac:dyDescent="0.2">
      <c r="A265" s="105"/>
      <c r="B265" s="105"/>
      <c r="C265" s="105"/>
      <c r="D265" s="105"/>
      <c r="E265" s="105"/>
      <c r="F265" s="105"/>
      <c r="G265" s="105"/>
      <c r="H265" s="105"/>
      <c r="I265" s="105"/>
      <c r="J265" s="105"/>
      <c r="K265" s="105"/>
      <c r="L265" s="105"/>
      <c r="M265" s="105"/>
      <c r="N265" s="105"/>
      <c r="O265" s="105"/>
      <c r="P265" s="105"/>
      <c r="Q265" s="105"/>
      <c r="R265" s="105"/>
      <c r="S265" s="105"/>
      <c r="T265" s="105"/>
      <c r="U265" s="105"/>
      <c r="V265" s="105"/>
      <c r="W265" s="105"/>
      <c r="X265" s="105"/>
      <c r="Y265" s="105"/>
      <c r="Z265" s="105"/>
      <c r="AA265" s="105"/>
      <c r="AB265" s="105"/>
      <c r="AC265" s="105"/>
    </row>
    <row r="266" spans="1:29" ht="15.75" customHeight="1" x14ac:dyDescent="0.2">
      <c r="A266" s="105"/>
      <c r="B266" s="105"/>
      <c r="C266" s="105"/>
      <c r="D266" s="105"/>
      <c r="E266" s="105"/>
      <c r="F266" s="105"/>
      <c r="G266" s="105"/>
      <c r="H266" s="105"/>
      <c r="I266" s="105"/>
      <c r="J266" s="105"/>
      <c r="K266" s="105"/>
      <c r="L266" s="105"/>
      <c r="M266" s="105"/>
      <c r="N266" s="105"/>
      <c r="O266" s="105"/>
      <c r="P266" s="105"/>
      <c r="Q266" s="105"/>
      <c r="R266" s="105"/>
      <c r="S266" s="105"/>
      <c r="T266" s="105"/>
      <c r="U266" s="105"/>
      <c r="V266" s="105"/>
      <c r="W266" s="105"/>
      <c r="X266" s="105"/>
      <c r="Y266" s="105"/>
      <c r="Z266" s="105"/>
      <c r="AA266" s="105"/>
      <c r="AB266" s="105"/>
      <c r="AC266" s="105"/>
    </row>
    <row r="267" spans="1:29" ht="15.75" customHeight="1" x14ac:dyDescent="0.2">
      <c r="A267" s="105"/>
      <c r="B267" s="105"/>
      <c r="C267" s="105"/>
      <c r="D267" s="105"/>
      <c r="E267" s="105"/>
      <c r="F267" s="105"/>
      <c r="G267" s="105"/>
      <c r="H267" s="105"/>
      <c r="I267" s="105"/>
      <c r="J267" s="105"/>
      <c r="K267" s="105"/>
      <c r="L267" s="105"/>
      <c r="M267" s="105"/>
      <c r="N267" s="105"/>
      <c r="O267" s="105"/>
      <c r="P267" s="105"/>
      <c r="Q267" s="105"/>
      <c r="R267" s="105"/>
      <c r="S267" s="105"/>
      <c r="T267" s="105"/>
      <c r="U267" s="105"/>
      <c r="V267" s="105"/>
      <c r="W267" s="105"/>
      <c r="X267" s="105"/>
      <c r="Y267" s="105"/>
      <c r="Z267" s="105"/>
      <c r="AA267" s="105"/>
      <c r="AB267" s="105"/>
      <c r="AC267" s="105"/>
    </row>
    <row r="268" spans="1:29" ht="15.75" customHeight="1" x14ac:dyDescent="0.2">
      <c r="A268" s="105"/>
      <c r="B268" s="105"/>
      <c r="C268" s="105"/>
      <c r="D268" s="105"/>
      <c r="E268" s="105"/>
      <c r="F268" s="105"/>
      <c r="G268" s="105"/>
      <c r="H268" s="105"/>
      <c r="I268" s="105"/>
      <c r="J268" s="105"/>
      <c r="K268" s="105"/>
      <c r="L268" s="105"/>
      <c r="M268" s="105"/>
      <c r="N268" s="105"/>
      <c r="O268" s="105"/>
      <c r="P268" s="105"/>
      <c r="Q268" s="105"/>
      <c r="R268" s="105"/>
      <c r="S268" s="105"/>
      <c r="T268" s="105"/>
      <c r="U268" s="105"/>
      <c r="V268" s="105"/>
      <c r="W268" s="105"/>
      <c r="X268" s="105"/>
      <c r="Y268" s="105"/>
      <c r="Z268" s="105"/>
      <c r="AA268" s="105"/>
      <c r="AB268" s="105"/>
      <c r="AC268" s="105"/>
    </row>
    <row r="269" spans="1:29" ht="15.75" customHeight="1" x14ac:dyDescent="0.2">
      <c r="A269" s="105"/>
      <c r="B269" s="105"/>
      <c r="C269" s="105"/>
      <c r="D269" s="105"/>
      <c r="E269" s="105"/>
      <c r="F269" s="105"/>
      <c r="G269" s="105"/>
      <c r="H269" s="105"/>
      <c r="I269" s="105"/>
      <c r="J269" s="105"/>
      <c r="K269" s="105"/>
      <c r="L269" s="105"/>
      <c r="M269" s="105"/>
      <c r="N269" s="105"/>
      <c r="O269" s="105"/>
      <c r="P269" s="105"/>
      <c r="Q269" s="105"/>
      <c r="R269" s="105"/>
      <c r="S269" s="105"/>
      <c r="T269" s="105"/>
      <c r="U269" s="105"/>
      <c r="V269" s="105"/>
      <c r="W269" s="105"/>
      <c r="X269" s="105"/>
      <c r="Y269" s="105"/>
      <c r="Z269" s="105"/>
      <c r="AA269" s="105"/>
      <c r="AB269" s="105"/>
      <c r="AC269" s="105"/>
    </row>
    <row r="270" spans="1:29" ht="15.75" customHeight="1" x14ac:dyDescent="0.2">
      <c r="A270" s="105"/>
      <c r="B270" s="105"/>
      <c r="C270" s="105"/>
      <c r="D270" s="105"/>
      <c r="E270" s="105"/>
      <c r="F270" s="105"/>
      <c r="G270" s="105"/>
      <c r="H270" s="105"/>
      <c r="I270" s="105"/>
      <c r="J270" s="105"/>
      <c r="K270" s="105"/>
      <c r="L270" s="105"/>
      <c r="M270" s="105"/>
      <c r="N270" s="105"/>
      <c r="O270" s="105"/>
      <c r="P270" s="105"/>
      <c r="Q270" s="105"/>
      <c r="R270" s="105"/>
      <c r="S270" s="105"/>
      <c r="T270" s="105"/>
      <c r="U270" s="105"/>
      <c r="V270" s="105"/>
      <c r="W270" s="105"/>
      <c r="X270" s="105"/>
      <c r="Y270" s="105"/>
      <c r="Z270" s="105"/>
      <c r="AA270" s="105"/>
      <c r="AB270" s="105"/>
      <c r="AC270" s="105"/>
    </row>
    <row r="271" spans="1:29" ht="15.75" customHeight="1" x14ac:dyDescent="0.2">
      <c r="A271" s="105"/>
      <c r="B271" s="105"/>
      <c r="C271" s="105"/>
      <c r="D271" s="105"/>
      <c r="E271" s="105"/>
      <c r="F271" s="105"/>
      <c r="G271" s="105"/>
      <c r="H271" s="105"/>
      <c r="I271" s="105"/>
      <c r="J271" s="105"/>
      <c r="K271" s="105"/>
      <c r="L271" s="105"/>
      <c r="M271" s="105"/>
      <c r="N271" s="105"/>
      <c r="O271" s="105"/>
      <c r="P271" s="105"/>
      <c r="Q271" s="105"/>
      <c r="R271" s="105"/>
      <c r="S271" s="105"/>
      <c r="T271" s="105"/>
      <c r="U271" s="105"/>
      <c r="V271" s="105"/>
      <c r="W271" s="105"/>
      <c r="X271" s="105"/>
      <c r="Y271" s="105"/>
      <c r="Z271" s="105"/>
      <c r="AA271" s="105"/>
      <c r="AB271" s="105"/>
      <c r="AC271" s="105"/>
    </row>
    <row r="272" spans="1:29" ht="15.75" customHeight="1" x14ac:dyDescent="0.2">
      <c r="A272" s="105"/>
      <c r="B272" s="105"/>
      <c r="C272" s="105"/>
      <c r="D272" s="105"/>
      <c r="E272" s="105"/>
      <c r="F272" s="105"/>
      <c r="G272" s="105"/>
      <c r="H272" s="105"/>
      <c r="I272" s="105"/>
      <c r="J272" s="105"/>
      <c r="K272" s="105"/>
      <c r="L272" s="105"/>
      <c r="M272" s="105"/>
      <c r="N272" s="105"/>
      <c r="O272" s="105"/>
      <c r="P272" s="105"/>
      <c r="Q272" s="105"/>
      <c r="R272" s="105"/>
      <c r="S272" s="105"/>
      <c r="T272" s="105"/>
      <c r="U272" s="105"/>
      <c r="V272" s="105"/>
      <c r="W272" s="105"/>
      <c r="X272" s="105"/>
      <c r="Y272" s="105"/>
      <c r="Z272" s="105"/>
      <c r="AA272" s="105"/>
      <c r="AB272" s="105"/>
      <c r="AC272" s="105"/>
    </row>
    <row r="273" spans="1:29" ht="15.75" customHeight="1" x14ac:dyDescent="0.2">
      <c r="A273" s="105"/>
      <c r="B273" s="105"/>
      <c r="C273" s="105"/>
      <c r="D273" s="105"/>
      <c r="E273" s="105"/>
      <c r="F273" s="105"/>
      <c r="G273" s="105"/>
      <c r="H273" s="105"/>
      <c r="I273" s="105"/>
      <c r="J273" s="105"/>
      <c r="K273" s="105"/>
      <c r="L273" s="105"/>
      <c r="M273" s="105"/>
      <c r="N273" s="105"/>
      <c r="O273" s="105"/>
      <c r="P273" s="105"/>
      <c r="Q273" s="105"/>
      <c r="R273" s="105"/>
      <c r="S273" s="105"/>
      <c r="T273" s="105"/>
      <c r="U273" s="105"/>
      <c r="V273" s="105"/>
      <c r="W273" s="105"/>
      <c r="X273" s="105"/>
      <c r="Y273" s="105"/>
      <c r="Z273" s="105"/>
      <c r="AA273" s="105"/>
      <c r="AB273" s="105"/>
      <c r="AC273" s="105"/>
    </row>
    <row r="274" spans="1:29" ht="15.75" customHeight="1" x14ac:dyDescent="0.2">
      <c r="A274" s="105"/>
      <c r="B274" s="105"/>
      <c r="C274" s="105"/>
      <c r="D274" s="105"/>
      <c r="E274" s="105"/>
      <c r="F274" s="105"/>
      <c r="G274" s="105"/>
      <c r="H274" s="105"/>
      <c r="I274" s="105"/>
      <c r="J274" s="105"/>
      <c r="K274" s="105"/>
      <c r="L274" s="105"/>
      <c r="M274" s="105"/>
      <c r="N274" s="105"/>
      <c r="O274" s="105"/>
      <c r="P274" s="105"/>
      <c r="Q274" s="105"/>
      <c r="R274" s="105"/>
      <c r="S274" s="105"/>
      <c r="T274" s="105"/>
      <c r="U274" s="105"/>
      <c r="V274" s="105"/>
      <c r="W274" s="105"/>
      <c r="X274" s="105"/>
      <c r="Y274" s="105"/>
      <c r="Z274" s="105"/>
      <c r="AA274" s="105"/>
      <c r="AB274" s="105"/>
      <c r="AC274" s="105"/>
    </row>
    <row r="275" spans="1:29" ht="15.75" customHeight="1" x14ac:dyDescent="0.2">
      <c r="A275" s="105"/>
      <c r="B275" s="105"/>
      <c r="C275" s="105"/>
      <c r="D275" s="105"/>
      <c r="E275" s="105"/>
      <c r="F275" s="105"/>
      <c r="G275" s="105"/>
      <c r="H275" s="105"/>
      <c r="I275" s="105"/>
      <c r="J275" s="105"/>
      <c r="K275" s="105"/>
      <c r="L275" s="105"/>
      <c r="M275" s="105"/>
      <c r="N275" s="105"/>
      <c r="O275" s="105"/>
      <c r="P275" s="105"/>
      <c r="Q275" s="105"/>
      <c r="R275" s="105"/>
      <c r="S275" s="105"/>
      <c r="T275" s="105"/>
      <c r="U275" s="105"/>
      <c r="V275" s="105"/>
      <c r="W275" s="105"/>
      <c r="X275" s="105"/>
      <c r="Y275" s="105"/>
      <c r="Z275" s="105"/>
      <c r="AA275" s="105"/>
      <c r="AB275" s="105"/>
      <c r="AC275" s="105"/>
    </row>
    <row r="276" spans="1:29" ht="15.75" customHeight="1" x14ac:dyDescent="0.2">
      <c r="A276" s="105"/>
      <c r="B276" s="105"/>
      <c r="C276" s="105"/>
      <c r="D276" s="105"/>
      <c r="E276" s="105"/>
      <c r="F276" s="105"/>
      <c r="G276" s="105"/>
      <c r="H276" s="105"/>
      <c r="I276" s="105"/>
      <c r="J276" s="105"/>
      <c r="K276" s="105"/>
      <c r="L276" s="105"/>
      <c r="M276" s="105"/>
      <c r="N276" s="105"/>
      <c r="O276" s="105"/>
      <c r="P276" s="105"/>
      <c r="Q276" s="105"/>
      <c r="R276" s="105"/>
      <c r="S276" s="105"/>
      <c r="T276" s="105"/>
      <c r="U276" s="105"/>
      <c r="V276" s="105"/>
      <c r="W276" s="105"/>
      <c r="X276" s="105"/>
      <c r="Y276" s="105"/>
      <c r="Z276" s="105"/>
      <c r="AA276" s="105"/>
      <c r="AB276" s="105"/>
      <c r="AC276" s="105"/>
    </row>
    <row r="277" spans="1:29" ht="15.75" customHeight="1" x14ac:dyDescent="0.2">
      <c r="A277" s="105"/>
      <c r="B277" s="105"/>
      <c r="C277" s="105"/>
      <c r="D277" s="105"/>
      <c r="E277" s="105"/>
      <c r="F277" s="105"/>
      <c r="G277" s="105"/>
      <c r="H277" s="105"/>
      <c r="I277" s="105"/>
      <c r="J277" s="105"/>
      <c r="K277" s="105"/>
      <c r="L277" s="105"/>
      <c r="M277" s="105"/>
      <c r="N277" s="105"/>
      <c r="O277" s="105"/>
      <c r="P277" s="105"/>
      <c r="Q277" s="105"/>
      <c r="R277" s="105"/>
      <c r="S277" s="105"/>
      <c r="T277" s="105"/>
      <c r="U277" s="105"/>
      <c r="V277" s="105"/>
      <c r="W277" s="105"/>
      <c r="X277" s="105"/>
      <c r="Y277" s="105"/>
      <c r="Z277" s="105"/>
      <c r="AA277" s="105"/>
      <c r="AB277" s="105"/>
      <c r="AC277" s="105"/>
    </row>
    <row r="278" spans="1:29" ht="15.75" customHeight="1" x14ac:dyDescent="0.2">
      <c r="A278" s="105"/>
      <c r="B278" s="105"/>
      <c r="C278" s="105"/>
      <c r="D278" s="105"/>
      <c r="E278" s="105"/>
      <c r="F278" s="105"/>
      <c r="G278" s="105"/>
      <c r="H278" s="105"/>
      <c r="I278" s="105"/>
      <c r="J278" s="105"/>
      <c r="K278" s="105"/>
      <c r="L278" s="105"/>
      <c r="M278" s="105"/>
      <c r="N278" s="105"/>
      <c r="O278" s="105"/>
      <c r="P278" s="105"/>
      <c r="Q278" s="105"/>
      <c r="R278" s="105"/>
      <c r="S278" s="105"/>
      <c r="T278" s="105"/>
      <c r="U278" s="105"/>
      <c r="V278" s="105"/>
      <c r="W278" s="105"/>
      <c r="X278" s="105"/>
      <c r="Y278" s="105"/>
      <c r="Z278" s="105"/>
      <c r="AA278" s="105"/>
      <c r="AB278" s="105"/>
      <c r="AC278" s="105"/>
    </row>
    <row r="279" spans="1:29" ht="15.75" customHeight="1" x14ac:dyDescent="0.2">
      <c r="A279" s="105"/>
      <c r="B279" s="105"/>
      <c r="C279" s="105"/>
      <c r="D279" s="105"/>
      <c r="E279" s="105"/>
      <c r="F279" s="105"/>
      <c r="G279" s="105"/>
      <c r="H279" s="105"/>
      <c r="I279" s="105"/>
      <c r="J279" s="105"/>
      <c r="K279" s="105"/>
      <c r="L279" s="105"/>
      <c r="M279" s="105"/>
      <c r="N279" s="105"/>
      <c r="O279" s="105"/>
      <c r="P279" s="105"/>
      <c r="Q279" s="105"/>
      <c r="R279" s="105"/>
      <c r="S279" s="105"/>
      <c r="T279" s="105"/>
      <c r="U279" s="105"/>
      <c r="V279" s="105"/>
      <c r="W279" s="105"/>
      <c r="X279" s="105"/>
      <c r="Y279" s="105"/>
      <c r="Z279" s="105"/>
      <c r="AA279" s="105"/>
      <c r="AB279" s="105"/>
      <c r="AC279" s="105"/>
    </row>
    <row r="280" spans="1:29" ht="15.75" customHeight="1" x14ac:dyDescent="0.2">
      <c r="A280" s="105"/>
      <c r="B280" s="105"/>
      <c r="C280" s="105"/>
      <c r="D280" s="105"/>
      <c r="E280" s="105"/>
      <c r="F280" s="105"/>
      <c r="G280" s="105"/>
      <c r="H280" s="105"/>
      <c r="I280" s="105"/>
      <c r="J280" s="105"/>
      <c r="K280" s="105"/>
      <c r="L280" s="105"/>
      <c r="M280" s="105"/>
      <c r="N280" s="105"/>
      <c r="O280" s="105"/>
      <c r="P280" s="105"/>
      <c r="Q280" s="105"/>
      <c r="R280" s="105"/>
      <c r="S280" s="105"/>
      <c r="T280" s="105"/>
      <c r="U280" s="105"/>
      <c r="V280" s="105"/>
      <c r="W280" s="105"/>
      <c r="X280" s="105"/>
      <c r="Y280" s="105"/>
      <c r="Z280" s="105"/>
      <c r="AA280" s="105"/>
      <c r="AB280" s="105"/>
      <c r="AC280" s="105"/>
    </row>
    <row r="281" spans="1:29" ht="15.75" customHeight="1" x14ac:dyDescent="0.2">
      <c r="A281" s="105"/>
      <c r="B281" s="105"/>
      <c r="C281" s="105"/>
      <c r="D281" s="105"/>
      <c r="E281" s="105"/>
      <c r="F281" s="105"/>
      <c r="G281" s="105"/>
      <c r="H281" s="105"/>
      <c r="I281" s="105"/>
      <c r="J281" s="105"/>
      <c r="K281" s="105"/>
      <c r="L281" s="105"/>
      <c r="M281" s="105"/>
      <c r="N281" s="105"/>
      <c r="O281" s="105"/>
      <c r="P281" s="105"/>
      <c r="Q281" s="105"/>
      <c r="R281" s="105"/>
      <c r="S281" s="105"/>
      <c r="T281" s="105"/>
      <c r="U281" s="105"/>
      <c r="V281" s="105"/>
      <c r="W281" s="105"/>
      <c r="X281" s="105"/>
      <c r="Y281" s="105"/>
      <c r="Z281" s="105"/>
      <c r="AA281" s="105"/>
      <c r="AB281" s="105"/>
      <c r="AC281" s="105"/>
    </row>
    <row r="282" spans="1:29" ht="15.75" customHeight="1" x14ac:dyDescent="0.2">
      <c r="A282" s="105"/>
      <c r="B282" s="105"/>
      <c r="C282" s="105"/>
      <c r="D282" s="105"/>
      <c r="E282" s="105"/>
      <c r="F282" s="105"/>
      <c r="G282" s="105"/>
      <c r="H282" s="105"/>
      <c r="I282" s="105"/>
      <c r="J282" s="105"/>
      <c r="K282" s="105"/>
      <c r="L282" s="105"/>
      <c r="M282" s="105"/>
      <c r="N282" s="105"/>
      <c r="O282" s="105"/>
      <c r="P282" s="105"/>
      <c r="Q282" s="105"/>
      <c r="R282" s="105"/>
      <c r="S282" s="105"/>
      <c r="T282" s="105"/>
      <c r="U282" s="105"/>
      <c r="V282" s="105"/>
      <c r="W282" s="105"/>
      <c r="X282" s="105"/>
      <c r="Y282" s="105"/>
      <c r="Z282" s="105"/>
      <c r="AA282" s="105"/>
      <c r="AB282" s="105"/>
      <c r="AC282" s="105"/>
    </row>
    <row r="283" spans="1:29" ht="15.75" customHeight="1" x14ac:dyDescent="0.2">
      <c r="A283" s="105"/>
      <c r="B283" s="105"/>
      <c r="C283" s="105"/>
      <c r="D283" s="105"/>
      <c r="E283" s="105"/>
      <c r="F283" s="105"/>
      <c r="G283" s="105"/>
      <c r="H283" s="105"/>
      <c r="I283" s="105"/>
      <c r="J283" s="105"/>
      <c r="K283" s="105"/>
      <c r="L283" s="105"/>
      <c r="M283" s="105"/>
      <c r="N283" s="105"/>
      <c r="O283" s="105"/>
      <c r="P283" s="105"/>
      <c r="Q283" s="105"/>
      <c r="R283" s="105"/>
      <c r="S283" s="105"/>
      <c r="T283" s="105"/>
      <c r="U283" s="105"/>
      <c r="V283" s="105"/>
      <c r="W283" s="105"/>
      <c r="X283" s="105"/>
      <c r="Y283" s="105"/>
      <c r="Z283" s="105"/>
      <c r="AA283" s="105"/>
      <c r="AB283" s="105"/>
      <c r="AC283" s="105"/>
    </row>
    <row r="284" spans="1:29" ht="15.75" customHeight="1" x14ac:dyDescent="0.2">
      <c r="A284" s="105"/>
      <c r="B284" s="105"/>
      <c r="C284" s="105"/>
      <c r="D284" s="105"/>
      <c r="E284" s="105"/>
      <c r="F284" s="105"/>
      <c r="G284" s="105"/>
      <c r="H284" s="105"/>
      <c r="I284" s="105"/>
      <c r="J284" s="105"/>
      <c r="K284" s="105"/>
      <c r="L284" s="105"/>
      <c r="M284" s="105"/>
      <c r="N284" s="105"/>
      <c r="O284" s="105"/>
      <c r="P284" s="105"/>
      <c r="Q284" s="105"/>
      <c r="R284" s="105"/>
      <c r="S284" s="105"/>
      <c r="T284" s="105"/>
      <c r="U284" s="105"/>
      <c r="V284" s="105"/>
      <c r="W284" s="105"/>
      <c r="X284" s="105"/>
      <c r="Y284" s="105"/>
      <c r="Z284" s="105"/>
      <c r="AA284" s="105"/>
      <c r="AB284" s="105"/>
      <c r="AC284" s="105"/>
    </row>
    <row r="285" spans="1:29" ht="15.75" customHeight="1" x14ac:dyDescent="0.2">
      <c r="A285" s="105"/>
      <c r="B285" s="105"/>
      <c r="C285" s="105"/>
      <c r="D285" s="105"/>
      <c r="E285" s="105"/>
      <c r="F285" s="105"/>
      <c r="G285" s="105"/>
      <c r="H285" s="105"/>
      <c r="I285" s="105"/>
      <c r="J285" s="105"/>
      <c r="K285" s="105"/>
      <c r="L285" s="105"/>
      <c r="M285" s="105"/>
      <c r="N285" s="105"/>
      <c r="O285" s="105"/>
      <c r="P285" s="105"/>
      <c r="Q285" s="105"/>
      <c r="R285" s="105"/>
      <c r="S285" s="105"/>
      <c r="T285" s="105"/>
      <c r="U285" s="105"/>
      <c r="V285" s="105"/>
      <c r="W285" s="105"/>
      <c r="X285" s="105"/>
      <c r="Y285" s="105"/>
      <c r="Z285" s="105"/>
      <c r="AA285" s="105"/>
      <c r="AB285" s="105"/>
      <c r="AC285" s="105"/>
    </row>
    <row r="286" spans="1:29" ht="15.75" customHeight="1" x14ac:dyDescent="0.2">
      <c r="A286" s="105"/>
      <c r="B286" s="105"/>
      <c r="C286" s="105"/>
      <c r="D286" s="105"/>
      <c r="E286" s="105"/>
      <c r="F286" s="105"/>
      <c r="G286" s="105"/>
      <c r="H286" s="105"/>
      <c r="I286" s="105"/>
      <c r="J286" s="105"/>
      <c r="K286" s="105"/>
      <c r="L286" s="105"/>
      <c r="M286" s="105"/>
      <c r="N286" s="105"/>
      <c r="O286" s="105"/>
      <c r="P286" s="105"/>
      <c r="Q286" s="105"/>
      <c r="R286" s="105"/>
      <c r="S286" s="105"/>
      <c r="T286" s="105"/>
      <c r="U286" s="105"/>
      <c r="V286" s="105"/>
      <c r="W286" s="105"/>
      <c r="X286" s="105"/>
      <c r="Y286" s="105"/>
      <c r="Z286" s="105"/>
      <c r="AA286" s="105"/>
      <c r="AB286" s="105"/>
      <c r="AC286" s="105"/>
    </row>
    <row r="287" spans="1:29" ht="15.75" customHeight="1" x14ac:dyDescent="0.2">
      <c r="A287" s="105"/>
      <c r="B287" s="105"/>
      <c r="C287" s="105"/>
      <c r="D287" s="105"/>
      <c r="E287" s="105"/>
      <c r="F287" s="105"/>
      <c r="G287" s="105"/>
      <c r="H287" s="105"/>
      <c r="I287" s="105"/>
      <c r="J287" s="105"/>
      <c r="K287" s="105"/>
      <c r="L287" s="105"/>
      <c r="M287" s="105"/>
      <c r="N287" s="105"/>
      <c r="O287" s="105"/>
      <c r="P287" s="105"/>
      <c r="Q287" s="105"/>
      <c r="R287" s="105"/>
      <c r="S287" s="105"/>
      <c r="T287" s="105"/>
      <c r="U287" s="105"/>
      <c r="V287" s="105"/>
      <c r="W287" s="105"/>
      <c r="X287" s="105"/>
      <c r="Y287" s="105"/>
      <c r="Z287" s="105"/>
      <c r="AA287" s="105"/>
      <c r="AB287" s="105"/>
      <c r="AC287" s="105"/>
    </row>
    <row r="288" spans="1:29" ht="15.75" customHeight="1" x14ac:dyDescent="0.2">
      <c r="A288" s="105"/>
      <c r="B288" s="105"/>
      <c r="C288" s="105"/>
      <c r="D288" s="105"/>
      <c r="E288" s="105"/>
      <c r="F288" s="105"/>
      <c r="G288" s="105"/>
      <c r="H288" s="105"/>
      <c r="I288" s="105"/>
      <c r="J288" s="105"/>
      <c r="K288" s="105"/>
      <c r="L288" s="105"/>
      <c r="M288" s="105"/>
      <c r="N288" s="105"/>
      <c r="O288" s="105"/>
      <c r="P288" s="105"/>
      <c r="Q288" s="105"/>
      <c r="R288" s="105"/>
      <c r="S288" s="105"/>
      <c r="T288" s="105"/>
      <c r="U288" s="105"/>
      <c r="V288" s="105"/>
      <c r="W288" s="105"/>
      <c r="X288" s="105"/>
      <c r="Y288" s="105"/>
      <c r="Z288" s="105"/>
      <c r="AA288" s="105"/>
      <c r="AB288" s="105"/>
      <c r="AC288" s="105"/>
    </row>
    <row r="289" spans="1:29" ht="15.75" customHeight="1" x14ac:dyDescent="0.2">
      <c r="A289" s="105"/>
      <c r="B289" s="105"/>
      <c r="C289" s="105"/>
      <c r="D289" s="105"/>
      <c r="E289" s="105"/>
      <c r="F289" s="105"/>
      <c r="G289" s="105"/>
      <c r="H289" s="105"/>
      <c r="I289" s="105"/>
      <c r="J289" s="105"/>
      <c r="K289" s="105"/>
      <c r="L289" s="105"/>
      <c r="M289" s="105"/>
      <c r="N289" s="105"/>
      <c r="O289" s="105"/>
      <c r="P289" s="105"/>
      <c r="Q289" s="105"/>
      <c r="R289" s="105"/>
      <c r="S289" s="105"/>
      <c r="T289" s="105"/>
      <c r="U289" s="105"/>
      <c r="V289" s="105"/>
      <c r="W289" s="105"/>
      <c r="X289" s="105"/>
      <c r="Y289" s="105"/>
      <c r="Z289" s="105"/>
      <c r="AA289" s="105"/>
      <c r="AB289" s="105"/>
      <c r="AC289" s="105"/>
    </row>
    <row r="290" spans="1:29" ht="15.75" customHeight="1" x14ac:dyDescent="0.2">
      <c r="A290" s="105"/>
      <c r="B290" s="105"/>
      <c r="C290" s="105"/>
      <c r="D290" s="105"/>
      <c r="E290" s="105"/>
      <c r="F290" s="105"/>
      <c r="G290" s="105"/>
      <c r="H290" s="105"/>
      <c r="I290" s="105"/>
      <c r="J290" s="105"/>
      <c r="K290" s="105"/>
      <c r="L290" s="105"/>
      <c r="M290" s="105"/>
      <c r="N290" s="105"/>
      <c r="O290" s="105"/>
      <c r="P290" s="105"/>
      <c r="Q290" s="105"/>
      <c r="R290" s="105"/>
      <c r="S290" s="105"/>
      <c r="T290" s="105"/>
      <c r="U290" s="105"/>
      <c r="V290" s="105"/>
      <c r="W290" s="105"/>
      <c r="X290" s="105"/>
      <c r="Y290" s="105"/>
      <c r="Z290" s="105"/>
      <c r="AA290" s="105"/>
      <c r="AB290" s="105"/>
      <c r="AC290" s="105"/>
    </row>
    <row r="291" spans="1:29" ht="15.75" customHeight="1" x14ac:dyDescent="0.2">
      <c r="A291" s="105"/>
      <c r="B291" s="105"/>
      <c r="C291" s="105"/>
      <c r="D291" s="105"/>
      <c r="E291" s="105"/>
      <c r="F291" s="105"/>
      <c r="G291" s="105"/>
      <c r="H291" s="105"/>
      <c r="I291" s="105"/>
      <c r="J291" s="105"/>
      <c r="K291" s="105"/>
      <c r="L291" s="105"/>
      <c r="M291" s="105"/>
      <c r="N291" s="105"/>
      <c r="O291" s="105"/>
      <c r="P291" s="105"/>
      <c r="Q291" s="105"/>
      <c r="R291" s="105"/>
      <c r="S291" s="105"/>
      <c r="T291" s="105"/>
      <c r="U291" s="105"/>
      <c r="V291" s="105"/>
      <c r="W291" s="105"/>
      <c r="X291" s="105"/>
      <c r="Y291" s="105"/>
      <c r="Z291" s="105"/>
      <c r="AA291" s="105"/>
      <c r="AB291" s="105"/>
      <c r="AC291" s="105"/>
    </row>
    <row r="292" spans="1:29" ht="15.75" customHeight="1" x14ac:dyDescent="0.2">
      <c r="A292" s="105"/>
      <c r="B292" s="105"/>
      <c r="C292" s="105"/>
      <c r="D292" s="105"/>
      <c r="E292" s="105"/>
      <c r="F292" s="105"/>
      <c r="G292" s="105"/>
      <c r="H292" s="105"/>
      <c r="I292" s="105"/>
      <c r="J292" s="105"/>
      <c r="K292" s="105"/>
      <c r="L292" s="105"/>
      <c r="M292" s="105"/>
      <c r="N292" s="105"/>
      <c r="O292" s="105"/>
      <c r="P292" s="105"/>
      <c r="Q292" s="105"/>
      <c r="R292" s="105"/>
      <c r="S292" s="105"/>
      <c r="T292" s="105"/>
      <c r="U292" s="105"/>
      <c r="V292" s="105"/>
      <c r="W292" s="105"/>
      <c r="X292" s="105"/>
      <c r="Y292" s="105"/>
      <c r="Z292" s="105"/>
      <c r="AA292" s="105"/>
      <c r="AB292" s="105"/>
      <c r="AC292" s="105"/>
    </row>
    <row r="293" spans="1:29" ht="15.75" customHeight="1" x14ac:dyDescent="0.2">
      <c r="A293" s="105"/>
      <c r="B293" s="105"/>
      <c r="C293" s="105"/>
      <c r="D293" s="105"/>
      <c r="E293" s="105"/>
      <c r="F293" s="105"/>
      <c r="G293" s="105"/>
      <c r="H293" s="105"/>
      <c r="I293" s="105"/>
      <c r="J293" s="105"/>
      <c r="K293" s="105"/>
      <c r="L293" s="105"/>
      <c r="M293" s="105"/>
      <c r="N293" s="105"/>
      <c r="O293" s="105"/>
      <c r="P293" s="105"/>
      <c r="Q293" s="105"/>
      <c r="R293" s="105"/>
      <c r="S293" s="105"/>
      <c r="T293" s="105"/>
      <c r="U293" s="105"/>
      <c r="V293" s="105"/>
      <c r="W293" s="105"/>
      <c r="X293" s="105"/>
      <c r="Y293" s="105"/>
      <c r="Z293" s="105"/>
      <c r="AA293" s="105"/>
      <c r="AB293" s="105"/>
      <c r="AC293" s="105"/>
    </row>
    <row r="294" spans="1:29" ht="15.75" customHeight="1" x14ac:dyDescent="0.2">
      <c r="A294" s="105"/>
      <c r="B294" s="105"/>
      <c r="C294" s="105"/>
      <c r="D294" s="105"/>
      <c r="E294" s="105"/>
      <c r="F294" s="105"/>
      <c r="G294" s="105"/>
      <c r="H294" s="105"/>
      <c r="I294" s="105"/>
      <c r="J294" s="105"/>
      <c r="K294" s="105"/>
      <c r="L294" s="105"/>
      <c r="M294" s="105"/>
      <c r="N294" s="105"/>
      <c r="O294" s="105"/>
      <c r="P294" s="105"/>
      <c r="Q294" s="105"/>
      <c r="R294" s="105"/>
      <c r="S294" s="105"/>
      <c r="T294" s="105"/>
      <c r="U294" s="105"/>
      <c r="V294" s="105"/>
      <c r="W294" s="105"/>
      <c r="X294" s="105"/>
      <c r="Y294" s="105"/>
      <c r="Z294" s="105"/>
      <c r="AA294" s="105"/>
      <c r="AB294" s="105"/>
      <c r="AC294" s="105"/>
    </row>
    <row r="295" spans="1:29" ht="15.75" customHeight="1" x14ac:dyDescent="0.2">
      <c r="A295" s="105"/>
      <c r="B295" s="105"/>
      <c r="C295" s="105"/>
      <c r="D295" s="105"/>
      <c r="E295" s="105"/>
      <c r="F295" s="105"/>
      <c r="G295" s="105"/>
      <c r="H295" s="105"/>
      <c r="I295" s="105"/>
      <c r="J295" s="105"/>
      <c r="K295" s="105"/>
      <c r="L295" s="105"/>
      <c r="M295" s="105"/>
      <c r="N295" s="105"/>
      <c r="O295" s="105"/>
      <c r="P295" s="105"/>
      <c r="Q295" s="105"/>
      <c r="R295" s="105"/>
      <c r="S295" s="105"/>
      <c r="T295" s="105"/>
      <c r="U295" s="105"/>
      <c r="V295" s="105"/>
      <c r="W295" s="105"/>
      <c r="X295" s="105"/>
      <c r="Y295" s="105"/>
      <c r="Z295" s="105"/>
      <c r="AA295" s="105"/>
      <c r="AB295" s="105"/>
      <c r="AC295" s="105"/>
    </row>
    <row r="296" spans="1:29" ht="15.75" customHeight="1" x14ac:dyDescent="0.2">
      <c r="A296" s="105"/>
      <c r="B296" s="105"/>
      <c r="C296" s="105"/>
      <c r="D296" s="105"/>
      <c r="E296" s="105"/>
      <c r="F296" s="105"/>
      <c r="G296" s="105"/>
      <c r="H296" s="105"/>
      <c r="I296" s="105"/>
      <c r="J296" s="105"/>
      <c r="K296" s="105"/>
      <c r="L296" s="105"/>
      <c r="M296" s="105"/>
      <c r="N296" s="105"/>
      <c r="O296" s="105"/>
      <c r="P296" s="105"/>
      <c r="Q296" s="105"/>
      <c r="R296" s="105"/>
      <c r="S296" s="105"/>
      <c r="T296" s="105"/>
      <c r="U296" s="105"/>
      <c r="V296" s="105"/>
      <c r="W296" s="105"/>
      <c r="X296" s="105"/>
      <c r="Y296" s="105"/>
      <c r="Z296" s="105"/>
      <c r="AA296" s="105"/>
      <c r="AB296" s="105"/>
      <c r="AC296" s="105"/>
    </row>
    <row r="297" spans="1:29" ht="15.75" customHeight="1" x14ac:dyDescent="0.2">
      <c r="A297" s="105"/>
      <c r="B297" s="105"/>
      <c r="C297" s="105"/>
      <c r="D297" s="105"/>
      <c r="E297" s="105"/>
      <c r="F297" s="105"/>
      <c r="G297" s="105"/>
      <c r="H297" s="105"/>
      <c r="I297" s="105"/>
      <c r="J297" s="105"/>
      <c r="K297" s="105"/>
      <c r="L297" s="105"/>
      <c r="M297" s="105"/>
      <c r="N297" s="105"/>
      <c r="O297" s="105"/>
      <c r="P297" s="105"/>
      <c r="Q297" s="105"/>
      <c r="R297" s="105"/>
      <c r="S297" s="105"/>
      <c r="T297" s="105"/>
      <c r="U297" s="105"/>
      <c r="V297" s="105"/>
      <c r="W297" s="105"/>
      <c r="X297" s="105"/>
      <c r="Y297" s="105"/>
      <c r="Z297" s="105"/>
      <c r="AA297" s="105"/>
      <c r="AB297" s="105"/>
      <c r="AC297" s="105"/>
    </row>
    <row r="298" spans="1:29" ht="15.75" customHeight="1" x14ac:dyDescent="0.2">
      <c r="A298" s="105"/>
      <c r="B298" s="105"/>
      <c r="C298" s="105"/>
      <c r="D298" s="105"/>
      <c r="E298" s="105"/>
      <c r="F298" s="105"/>
      <c r="G298" s="105"/>
      <c r="H298" s="105"/>
      <c r="I298" s="105"/>
      <c r="J298" s="105"/>
      <c r="K298" s="105"/>
      <c r="L298" s="105"/>
      <c r="M298" s="105"/>
      <c r="N298" s="105"/>
      <c r="O298" s="105"/>
      <c r="P298" s="105"/>
      <c r="Q298" s="105"/>
      <c r="R298" s="105"/>
      <c r="S298" s="105"/>
      <c r="T298" s="105"/>
      <c r="U298" s="105"/>
      <c r="V298" s="105"/>
      <c r="W298" s="105"/>
      <c r="X298" s="105"/>
      <c r="Y298" s="105"/>
      <c r="Z298" s="105"/>
      <c r="AA298" s="105"/>
      <c r="AB298" s="105"/>
      <c r="AC298" s="105"/>
    </row>
    <row r="299" spans="1:29" ht="15.75" customHeight="1" x14ac:dyDescent="0.2">
      <c r="A299" s="105"/>
      <c r="B299" s="105"/>
      <c r="C299" s="105"/>
      <c r="D299" s="105"/>
      <c r="E299" s="105"/>
      <c r="F299" s="105"/>
      <c r="G299" s="105"/>
      <c r="H299" s="105"/>
      <c r="I299" s="105"/>
      <c r="J299" s="105"/>
      <c r="K299" s="105"/>
      <c r="L299" s="105"/>
      <c r="M299" s="105"/>
      <c r="N299" s="105"/>
      <c r="O299" s="105"/>
      <c r="P299" s="105"/>
      <c r="Q299" s="105"/>
      <c r="R299" s="105"/>
      <c r="S299" s="105"/>
      <c r="T299" s="105"/>
      <c r="U299" s="105"/>
      <c r="V299" s="105"/>
      <c r="W299" s="105"/>
      <c r="X299" s="105"/>
      <c r="Y299" s="105"/>
      <c r="Z299" s="105"/>
      <c r="AA299" s="105"/>
      <c r="AB299" s="105"/>
      <c r="AC299" s="105"/>
    </row>
    <row r="300" spans="1:29" ht="15.75" customHeight="1" x14ac:dyDescent="0.2">
      <c r="A300" s="105"/>
      <c r="B300" s="105"/>
      <c r="C300" s="105"/>
      <c r="D300" s="105"/>
      <c r="E300" s="105"/>
      <c r="F300" s="105"/>
      <c r="G300" s="105"/>
      <c r="H300" s="105"/>
      <c r="I300" s="105"/>
      <c r="J300" s="105"/>
      <c r="K300" s="105"/>
      <c r="L300" s="105"/>
      <c r="M300" s="105"/>
      <c r="N300" s="105"/>
      <c r="O300" s="105"/>
      <c r="P300" s="105"/>
      <c r="Q300" s="105"/>
      <c r="R300" s="105"/>
      <c r="S300" s="105"/>
      <c r="T300" s="105"/>
      <c r="U300" s="105"/>
      <c r="V300" s="105"/>
      <c r="W300" s="105"/>
      <c r="X300" s="105"/>
      <c r="Y300" s="105"/>
      <c r="Z300" s="105"/>
      <c r="AA300" s="105"/>
      <c r="AB300" s="105"/>
      <c r="AC300" s="105"/>
    </row>
    <row r="301" spans="1:29" ht="15.75" customHeight="1" x14ac:dyDescent="0.2">
      <c r="A301" s="105"/>
      <c r="B301" s="105"/>
      <c r="C301" s="105"/>
      <c r="D301" s="105"/>
      <c r="E301" s="105"/>
      <c r="F301" s="105"/>
      <c r="G301" s="105"/>
      <c r="H301" s="105"/>
      <c r="I301" s="105"/>
      <c r="J301" s="105"/>
      <c r="K301" s="105"/>
      <c r="L301" s="105"/>
      <c r="M301" s="105"/>
      <c r="N301" s="105"/>
      <c r="O301" s="105"/>
      <c r="P301" s="105"/>
      <c r="Q301" s="105"/>
      <c r="R301" s="105"/>
      <c r="S301" s="105"/>
      <c r="T301" s="105"/>
      <c r="U301" s="105"/>
      <c r="V301" s="105"/>
      <c r="W301" s="105"/>
      <c r="X301" s="105"/>
      <c r="Y301" s="105"/>
      <c r="Z301" s="105"/>
      <c r="AA301" s="105"/>
      <c r="AB301" s="105"/>
      <c r="AC301" s="105"/>
    </row>
    <row r="302" spans="1:29" ht="15.75" customHeight="1" x14ac:dyDescent="0.2">
      <c r="A302" s="105"/>
      <c r="B302" s="105"/>
      <c r="C302" s="105"/>
      <c r="D302" s="105"/>
      <c r="E302" s="105"/>
      <c r="F302" s="105"/>
      <c r="G302" s="105"/>
      <c r="H302" s="105"/>
      <c r="I302" s="105"/>
      <c r="J302" s="105"/>
      <c r="K302" s="105"/>
      <c r="L302" s="105"/>
      <c r="M302" s="105"/>
      <c r="N302" s="105"/>
      <c r="O302" s="105"/>
      <c r="P302" s="105"/>
      <c r="Q302" s="105"/>
      <c r="R302" s="105"/>
      <c r="S302" s="105"/>
      <c r="T302" s="105"/>
      <c r="U302" s="105"/>
      <c r="V302" s="105"/>
      <c r="W302" s="105"/>
      <c r="X302" s="105"/>
      <c r="Y302" s="105"/>
      <c r="Z302" s="105"/>
      <c r="AA302" s="105"/>
      <c r="AB302" s="105"/>
      <c r="AC302" s="105"/>
    </row>
    <row r="303" spans="1:29" ht="15.75" customHeight="1" x14ac:dyDescent="0.2">
      <c r="A303" s="105"/>
      <c r="B303" s="105"/>
      <c r="C303" s="105"/>
      <c r="D303" s="105"/>
      <c r="E303" s="105"/>
      <c r="F303" s="105"/>
      <c r="G303" s="105"/>
      <c r="H303" s="105"/>
      <c r="I303" s="105"/>
      <c r="J303" s="105"/>
      <c r="K303" s="105"/>
      <c r="L303" s="105"/>
      <c r="M303" s="105"/>
      <c r="N303" s="105"/>
      <c r="O303" s="105"/>
      <c r="P303" s="105"/>
      <c r="Q303" s="105"/>
      <c r="R303" s="105"/>
      <c r="S303" s="105"/>
      <c r="T303" s="105"/>
      <c r="U303" s="105"/>
      <c r="V303" s="105"/>
      <c r="W303" s="105"/>
      <c r="X303" s="105"/>
      <c r="Y303" s="105"/>
      <c r="Z303" s="105"/>
      <c r="AA303" s="105"/>
      <c r="AB303" s="105"/>
      <c r="AC303" s="105"/>
    </row>
    <row r="304" spans="1:29" ht="15.75" customHeight="1" x14ac:dyDescent="0.2">
      <c r="A304" s="105"/>
      <c r="B304" s="105"/>
      <c r="C304" s="105"/>
      <c r="D304" s="105"/>
      <c r="E304" s="105"/>
      <c r="F304" s="105"/>
      <c r="G304" s="105"/>
      <c r="H304" s="105"/>
      <c r="I304" s="105"/>
      <c r="J304" s="105"/>
      <c r="K304" s="105"/>
      <c r="L304" s="105"/>
      <c r="M304" s="105"/>
      <c r="N304" s="105"/>
      <c r="O304" s="105"/>
      <c r="P304" s="105"/>
      <c r="Q304" s="105"/>
      <c r="R304" s="105"/>
      <c r="S304" s="105"/>
      <c r="T304" s="105"/>
      <c r="U304" s="105"/>
      <c r="V304" s="105"/>
      <c r="W304" s="105"/>
      <c r="X304" s="105"/>
      <c r="Y304" s="105"/>
      <c r="Z304" s="105"/>
      <c r="AA304" s="105"/>
      <c r="AB304" s="105"/>
      <c r="AC304" s="105"/>
    </row>
    <row r="305" spans="1:29" ht="15.75" customHeight="1" x14ac:dyDescent="0.2">
      <c r="A305" s="105"/>
      <c r="B305" s="105"/>
      <c r="C305" s="105"/>
      <c r="D305" s="105"/>
      <c r="E305" s="105"/>
      <c r="F305" s="105"/>
      <c r="G305" s="105"/>
      <c r="H305" s="105"/>
      <c r="I305" s="105"/>
      <c r="J305" s="105"/>
      <c r="K305" s="105"/>
      <c r="L305" s="105"/>
      <c r="M305" s="105"/>
      <c r="N305" s="105"/>
      <c r="O305" s="105"/>
      <c r="P305" s="105"/>
      <c r="Q305" s="105"/>
      <c r="R305" s="105"/>
      <c r="S305" s="105"/>
      <c r="T305" s="105"/>
      <c r="U305" s="105"/>
      <c r="V305" s="105"/>
      <c r="W305" s="105"/>
      <c r="X305" s="105"/>
      <c r="Y305" s="105"/>
      <c r="Z305" s="105"/>
      <c r="AA305" s="105"/>
      <c r="AB305" s="105"/>
      <c r="AC305" s="105"/>
    </row>
    <row r="306" spans="1:29" ht="15.75" customHeight="1" x14ac:dyDescent="0.2">
      <c r="A306" s="105"/>
      <c r="B306" s="105"/>
      <c r="C306" s="105"/>
      <c r="D306" s="105"/>
      <c r="E306" s="105"/>
      <c r="F306" s="105"/>
      <c r="G306" s="105"/>
      <c r="H306" s="105"/>
      <c r="I306" s="105"/>
      <c r="J306" s="105"/>
      <c r="K306" s="105"/>
      <c r="L306" s="105"/>
      <c r="M306" s="105"/>
      <c r="N306" s="105"/>
      <c r="O306" s="105"/>
      <c r="P306" s="105"/>
      <c r="Q306" s="105"/>
      <c r="R306" s="105"/>
      <c r="S306" s="105"/>
      <c r="T306" s="105"/>
      <c r="U306" s="105"/>
      <c r="V306" s="105"/>
      <c r="W306" s="105"/>
      <c r="X306" s="105"/>
      <c r="Y306" s="105"/>
      <c r="Z306" s="105"/>
      <c r="AA306" s="105"/>
      <c r="AB306" s="105"/>
      <c r="AC306" s="105"/>
    </row>
    <row r="307" spans="1:29" ht="15.75" customHeight="1" x14ac:dyDescent="0.2">
      <c r="A307" s="105"/>
      <c r="B307" s="105"/>
      <c r="C307" s="105"/>
      <c r="D307" s="105"/>
      <c r="E307" s="105"/>
      <c r="F307" s="105"/>
      <c r="G307" s="105"/>
      <c r="H307" s="105"/>
      <c r="I307" s="105"/>
      <c r="J307" s="105"/>
      <c r="K307" s="105"/>
      <c r="L307" s="105"/>
      <c r="M307" s="105"/>
      <c r="N307" s="105"/>
      <c r="O307" s="105"/>
      <c r="P307" s="105"/>
      <c r="Q307" s="105"/>
      <c r="R307" s="105"/>
      <c r="S307" s="105"/>
      <c r="T307" s="105"/>
      <c r="U307" s="105"/>
      <c r="V307" s="105"/>
      <c r="W307" s="105"/>
      <c r="X307" s="105"/>
      <c r="Y307" s="105"/>
      <c r="Z307" s="105"/>
      <c r="AA307" s="105"/>
      <c r="AB307" s="105"/>
      <c r="AC307" s="105"/>
    </row>
    <row r="308" spans="1:29" ht="15.75" customHeight="1" x14ac:dyDescent="0.2">
      <c r="A308" s="105"/>
      <c r="B308" s="105"/>
      <c r="C308" s="105"/>
      <c r="D308" s="105"/>
      <c r="E308" s="105"/>
      <c r="F308" s="105"/>
      <c r="G308" s="105"/>
      <c r="H308" s="105"/>
      <c r="I308" s="105"/>
      <c r="J308" s="105"/>
      <c r="K308" s="105"/>
      <c r="L308" s="105"/>
      <c r="M308" s="105"/>
      <c r="N308" s="105"/>
      <c r="O308" s="105"/>
      <c r="P308" s="105"/>
      <c r="Q308" s="105"/>
      <c r="R308" s="105"/>
      <c r="S308" s="105"/>
      <c r="T308" s="105"/>
      <c r="U308" s="105"/>
      <c r="V308" s="105"/>
      <c r="W308" s="105"/>
      <c r="X308" s="105"/>
      <c r="Y308" s="105"/>
      <c r="Z308" s="105"/>
      <c r="AA308" s="105"/>
      <c r="AB308" s="105"/>
      <c r="AC308" s="105"/>
    </row>
    <row r="309" spans="1:29" ht="15.75" customHeight="1" x14ac:dyDescent="0.2">
      <c r="A309" s="105"/>
      <c r="B309" s="105"/>
      <c r="C309" s="105"/>
      <c r="D309" s="105"/>
      <c r="E309" s="105"/>
      <c r="F309" s="105"/>
      <c r="G309" s="105"/>
      <c r="H309" s="105"/>
      <c r="I309" s="105"/>
      <c r="J309" s="105"/>
      <c r="K309" s="105"/>
      <c r="L309" s="105"/>
      <c r="M309" s="105"/>
      <c r="N309" s="105"/>
      <c r="O309" s="105"/>
      <c r="P309" s="105"/>
      <c r="Q309" s="105"/>
      <c r="R309" s="105"/>
      <c r="S309" s="105"/>
      <c r="T309" s="105"/>
      <c r="U309" s="105"/>
      <c r="V309" s="105"/>
      <c r="W309" s="105"/>
      <c r="X309" s="105"/>
      <c r="Y309" s="105"/>
      <c r="Z309" s="105"/>
      <c r="AA309" s="105"/>
      <c r="AB309" s="105"/>
      <c r="AC309" s="105"/>
    </row>
    <row r="310" spans="1:29" ht="15.75" customHeight="1" x14ac:dyDescent="0.2">
      <c r="A310" s="105"/>
      <c r="B310" s="105"/>
      <c r="C310" s="105"/>
      <c r="D310" s="105"/>
      <c r="E310" s="105"/>
      <c r="F310" s="105"/>
      <c r="G310" s="105"/>
      <c r="H310" s="105"/>
      <c r="I310" s="105"/>
      <c r="J310" s="105"/>
      <c r="K310" s="105"/>
      <c r="L310" s="105"/>
      <c r="M310" s="105"/>
      <c r="N310" s="105"/>
      <c r="O310" s="105"/>
      <c r="P310" s="105"/>
      <c r="Q310" s="105"/>
      <c r="R310" s="105"/>
      <c r="S310" s="105"/>
      <c r="T310" s="105"/>
      <c r="U310" s="105"/>
      <c r="V310" s="105"/>
      <c r="W310" s="105"/>
      <c r="X310" s="105"/>
      <c r="Y310" s="105"/>
      <c r="Z310" s="105"/>
      <c r="AA310" s="105"/>
      <c r="AB310" s="105"/>
      <c r="AC310" s="105"/>
    </row>
    <row r="311" spans="1:29" ht="15.75" customHeight="1" x14ac:dyDescent="0.2">
      <c r="A311" s="105"/>
      <c r="B311" s="105"/>
      <c r="C311" s="105"/>
      <c r="D311" s="105"/>
      <c r="E311" s="105"/>
      <c r="F311" s="105"/>
      <c r="G311" s="105"/>
      <c r="H311" s="105"/>
      <c r="I311" s="105"/>
      <c r="J311" s="105"/>
      <c r="K311" s="105"/>
      <c r="L311" s="105"/>
      <c r="M311" s="105"/>
      <c r="N311" s="105"/>
      <c r="O311" s="105"/>
      <c r="P311" s="105"/>
      <c r="Q311" s="105"/>
      <c r="R311" s="105"/>
      <c r="S311" s="105"/>
      <c r="T311" s="105"/>
      <c r="U311" s="105"/>
      <c r="V311" s="105"/>
      <c r="W311" s="105"/>
      <c r="X311" s="105"/>
      <c r="Y311" s="105"/>
      <c r="Z311" s="105"/>
      <c r="AA311" s="105"/>
      <c r="AB311" s="105"/>
      <c r="AC311" s="105"/>
    </row>
    <row r="312" spans="1:29" ht="15.75" customHeight="1" x14ac:dyDescent="0.2">
      <c r="A312" s="105"/>
      <c r="B312" s="105"/>
      <c r="C312" s="105"/>
      <c r="D312" s="105"/>
      <c r="E312" s="105"/>
      <c r="F312" s="105"/>
      <c r="G312" s="105"/>
      <c r="H312" s="105"/>
      <c r="I312" s="105"/>
      <c r="J312" s="105"/>
      <c r="K312" s="105"/>
      <c r="L312" s="105"/>
      <c r="M312" s="105"/>
      <c r="N312" s="105"/>
      <c r="O312" s="105"/>
      <c r="P312" s="105"/>
      <c r="Q312" s="105"/>
      <c r="R312" s="105"/>
      <c r="S312" s="105"/>
      <c r="T312" s="105"/>
      <c r="U312" s="105"/>
      <c r="V312" s="105"/>
      <c r="W312" s="105"/>
      <c r="X312" s="105"/>
      <c r="Y312" s="105"/>
      <c r="Z312" s="105"/>
      <c r="AA312" s="105"/>
      <c r="AB312" s="105"/>
      <c r="AC312" s="105"/>
    </row>
    <row r="313" spans="1:29" ht="15.75" customHeight="1" x14ac:dyDescent="0.2">
      <c r="A313" s="105"/>
      <c r="B313" s="105"/>
      <c r="C313" s="105"/>
      <c r="D313" s="105"/>
      <c r="E313" s="105"/>
      <c r="F313" s="105"/>
      <c r="G313" s="105"/>
      <c r="H313" s="105"/>
      <c r="I313" s="105"/>
      <c r="J313" s="105"/>
      <c r="K313" s="105"/>
      <c r="L313" s="105"/>
      <c r="M313" s="105"/>
      <c r="N313" s="105"/>
      <c r="O313" s="105"/>
      <c r="P313" s="105"/>
      <c r="Q313" s="105"/>
      <c r="R313" s="105"/>
      <c r="S313" s="105"/>
      <c r="T313" s="105"/>
      <c r="U313" s="105"/>
      <c r="V313" s="105"/>
      <c r="W313" s="105"/>
      <c r="X313" s="105"/>
      <c r="Y313" s="105"/>
      <c r="Z313" s="105"/>
      <c r="AA313" s="105"/>
      <c r="AB313" s="105"/>
      <c r="AC313" s="105"/>
    </row>
    <row r="314" spans="1:29" ht="15.75" customHeight="1" x14ac:dyDescent="0.2">
      <c r="A314" s="105"/>
      <c r="B314" s="105"/>
      <c r="C314" s="105"/>
      <c r="D314" s="105"/>
      <c r="E314" s="105"/>
      <c r="F314" s="105"/>
      <c r="G314" s="105"/>
      <c r="H314" s="105"/>
      <c r="I314" s="105"/>
      <c r="J314" s="105"/>
      <c r="K314" s="105"/>
      <c r="L314" s="105"/>
      <c r="M314" s="105"/>
      <c r="N314" s="105"/>
      <c r="O314" s="105"/>
      <c r="P314" s="105"/>
      <c r="Q314" s="105"/>
      <c r="R314" s="105"/>
      <c r="S314" s="105"/>
      <c r="T314" s="105"/>
      <c r="U314" s="105"/>
      <c r="V314" s="105"/>
      <c r="W314" s="105"/>
      <c r="X314" s="105"/>
      <c r="Y314" s="105"/>
      <c r="Z314" s="105"/>
      <c r="AA314" s="105"/>
      <c r="AB314" s="105"/>
      <c r="AC314" s="105"/>
    </row>
    <row r="315" spans="1:29" ht="15.75" customHeight="1" x14ac:dyDescent="0.2">
      <c r="A315" s="105"/>
      <c r="B315" s="105"/>
      <c r="C315" s="105"/>
      <c r="D315" s="105"/>
      <c r="E315" s="105"/>
      <c r="F315" s="105"/>
      <c r="G315" s="105"/>
      <c r="H315" s="105"/>
      <c r="I315" s="105"/>
      <c r="J315" s="105"/>
      <c r="K315" s="105"/>
      <c r="L315" s="105"/>
      <c r="M315" s="105"/>
      <c r="N315" s="105"/>
      <c r="O315" s="105"/>
      <c r="P315" s="105"/>
      <c r="Q315" s="105"/>
      <c r="R315" s="105"/>
      <c r="S315" s="105"/>
      <c r="T315" s="105"/>
      <c r="U315" s="105"/>
      <c r="V315" s="105"/>
      <c r="W315" s="105"/>
      <c r="X315" s="105"/>
      <c r="Y315" s="105"/>
      <c r="Z315" s="105"/>
      <c r="AA315" s="105"/>
      <c r="AB315" s="105"/>
      <c r="AC315" s="105"/>
    </row>
    <row r="316" spans="1:29" ht="15.75" customHeight="1" x14ac:dyDescent="0.2">
      <c r="A316" s="105"/>
      <c r="B316" s="105"/>
      <c r="C316" s="105"/>
      <c r="D316" s="105"/>
      <c r="E316" s="105"/>
      <c r="F316" s="105"/>
      <c r="G316" s="105"/>
      <c r="H316" s="105"/>
      <c r="I316" s="105"/>
      <c r="J316" s="105"/>
      <c r="K316" s="105"/>
      <c r="L316" s="105"/>
      <c r="M316" s="105"/>
      <c r="N316" s="105"/>
      <c r="O316" s="105"/>
      <c r="P316" s="105"/>
      <c r="Q316" s="105"/>
      <c r="R316" s="105"/>
      <c r="S316" s="105"/>
      <c r="T316" s="105"/>
      <c r="U316" s="105"/>
      <c r="V316" s="105"/>
      <c r="W316" s="105"/>
      <c r="X316" s="105"/>
      <c r="Y316" s="105"/>
      <c r="Z316" s="105"/>
      <c r="AA316" s="105"/>
      <c r="AB316" s="105"/>
      <c r="AC316" s="105"/>
    </row>
    <row r="317" spans="1:29" ht="15.75" customHeight="1" x14ac:dyDescent="0.2">
      <c r="A317" s="105"/>
      <c r="B317" s="105"/>
      <c r="C317" s="105"/>
      <c r="D317" s="105"/>
      <c r="E317" s="105"/>
      <c r="F317" s="105"/>
      <c r="G317" s="105"/>
      <c r="H317" s="105"/>
      <c r="I317" s="105"/>
      <c r="J317" s="105"/>
      <c r="K317" s="105"/>
      <c r="L317" s="105"/>
      <c r="M317" s="105"/>
      <c r="N317" s="105"/>
      <c r="O317" s="105"/>
      <c r="P317" s="105"/>
      <c r="Q317" s="105"/>
      <c r="R317" s="105"/>
      <c r="S317" s="105"/>
      <c r="T317" s="105"/>
      <c r="U317" s="105"/>
      <c r="V317" s="105"/>
      <c r="W317" s="105"/>
      <c r="X317" s="105"/>
      <c r="Y317" s="105"/>
      <c r="Z317" s="105"/>
      <c r="AA317" s="105"/>
      <c r="AB317" s="105"/>
      <c r="AC317" s="105"/>
    </row>
    <row r="318" spans="1:29" ht="15.75" customHeight="1" x14ac:dyDescent="0.2">
      <c r="A318" s="105"/>
      <c r="B318" s="105"/>
      <c r="C318" s="105"/>
      <c r="D318" s="105"/>
      <c r="E318" s="105"/>
      <c r="F318" s="105"/>
      <c r="G318" s="105"/>
      <c r="H318" s="105"/>
      <c r="I318" s="105"/>
      <c r="J318" s="105"/>
      <c r="K318" s="105"/>
      <c r="L318" s="105"/>
      <c r="M318" s="105"/>
      <c r="N318" s="105"/>
      <c r="O318" s="105"/>
      <c r="P318" s="105"/>
      <c r="Q318" s="105"/>
      <c r="R318" s="105"/>
      <c r="S318" s="105"/>
      <c r="T318" s="105"/>
      <c r="U318" s="105"/>
      <c r="V318" s="105"/>
      <c r="W318" s="105"/>
      <c r="X318" s="105"/>
      <c r="Y318" s="105"/>
      <c r="Z318" s="105"/>
      <c r="AA318" s="105"/>
      <c r="AB318" s="105"/>
      <c r="AC318" s="105"/>
    </row>
    <row r="319" spans="1:29" ht="15.75" customHeight="1" x14ac:dyDescent="0.2">
      <c r="A319" s="105"/>
      <c r="B319" s="105"/>
      <c r="C319" s="105"/>
      <c r="D319" s="105"/>
      <c r="E319" s="105"/>
      <c r="F319" s="105"/>
      <c r="G319" s="105"/>
      <c r="H319" s="105"/>
      <c r="I319" s="105"/>
      <c r="J319" s="105"/>
      <c r="K319" s="105"/>
      <c r="L319" s="105"/>
      <c r="M319" s="105"/>
      <c r="N319" s="105"/>
      <c r="O319" s="105"/>
      <c r="P319" s="105"/>
      <c r="Q319" s="105"/>
      <c r="R319" s="105"/>
      <c r="S319" s="105"/>
      <c r="T319" s="105"/>
      <c r="U319" s="105"/>
      <c r="V319" s="105"/>
      <c r="W319" s="105"/>
      <c r="X319" s="105"/>
      <c r="Y319" s="105"/>
      <c r="Z319" s="105"/>
      <c r="AA319" s="105"/>
      <c r="AB319" s="105"/>
      <c r="AC319" s="105"/>
    </row>
    <row r="320" spans="1:29" ht="15.75" customHeight="1" x14ac:dyDescent="0.2">
      <c r="A320" s="105"/>
      <c r="B320" s="105"/>
      <c r="C320" s="105"/>
      <c r="D320" s="105"/>
      <c r="E320" s="105"/>
      <c r="F320" s="105"/>
      <c r="G320" s="105"/>
      <c r="H320" s="105"/>
      <c r="I320" s="105"/>
      <c r="J320" s="105"/>
      <c r="K320" s="105"/>
      <c r="L320" s="105"/>
      <c r="M320" s="105"/>
      <c r="N320" s="105"/>
      <c r="O320" s="105"/>
      <c r="P320" s="105"/>
      <c r="Q320" s="105"/>
      <c r="R320" s="105"/>
      <c r="S320" s="105"/>
      <c r="T320" s="105"/>
      <c r="U320" s="105"/>
      <c r="V320" s="105"/>
      <c r="W320" s="105"/>
      <c r="X320" s="105"/>
      <c r="Y320" s="105"/>
      <c r="Z320" s="105"/>
      <c r="AA320" s="105"/>
      <c r="AB320" s="105"/>
      <c r="AC320" s="105"/>
    </row>
    <row r="321" spans="1:29" ht="15.75" customHeight="1" x14ac:dyDescent="0.2">
      <c r="A321" s="105"/>
      <c r="B321" s="105"/>
      <c r="C321" s="105"/>
      <c r="D321" s="105"/>
      <c r="E321" s="105"/>
      <c r="F321" s="105"/>
      <c r="G321" s="105"/>
      <c r="H321" s="105"/>
      <c r="I321" s="105"/>
      <c r="J321" s="105"/>
      <c r="K321" s="105"/>
      <c r="L321" s="105"/>
      <c r="M321" s="105"/>
      <c r="N321" s="105"/>
      <c r="O321" s="105"/>
      <c r="P321" s="105"/>
      <c r="Q321" s="105"/>
      <c r="R321" s="105"/>
      <c r="S321" s="105"/>
      <c r="T321" s="105"/>
      <c r="U321" s="105"/>
      <c r="V321" s="105"/>
      <c r="W321" s="105"/>
      <c r="X321" s="105"/>
      <c r="Y321" s="105"/>
      <c r="Z321" s="105"/>
      <c r="AA321" s="105"/>
      <c r="AB321" s="105"/>
      <c r="AC321" s="105"/>
    </row>
    <row r="322" spans="1:29" ht="15.75" customHeight="1" x14ac:dyDescent="0.2">
      <c r="A322" s="105"/>
      <c r="B322" s="105"/>
      <c r="C322" s="105"/>
      <c r="D322" s="105"/>
      <c r="E322" s="105"/>
      <c r="F322" s="105"/>
      <c r="G322" s="105"/>
      <c r="H322" s="105"/>
      <c r="I322" s="105"/>
      <c r="J322" s="105"/>
      <c r="K322" s="105"/>
      <c r="L322" s="105"/>
      <c r="M322" s="105"/>
      <c r="N322" s="105"/>
      <c r="O322" s="105"/>
      <c r="P322" s="105"/>
      <c r="Q322" s="105"/>
      <c r="R322" s="105"/>
      <c r="S322" s="105"/>
      <c r="T322" s="105"/>
      <c r="U322" s="105"/>
      <c r="V322" s="105"/>
      <c r="W322" s="105"/>
      <c r="X322" s="105"/>
      <c r="Y322" s="105"/>
      <c r="Z322" s="105"/>
      <c r="AA322" s="105"/>
      <c r="AB322" s="105"/>
      <c r="AC322" s="105"/>
    </row>
    <row r="323" spans="1:29" ht="15.75" customHeight="1" x14ac:dyDescent="0.2">
      <c r="A323" s="105"/>
      <c r="B323" s="105"/>
      <c r="C323" s="105"/>
      <c r="D323" s="105"/>
      <c r="E323" s="105"/>
      <c r="F323" s="105"/>
      <c r="G323" s="105"/>
      <c r="H323" s="105"/>
      <c r="I323" s="105"/>
      <c r="J323" s="105"/>
      <c r="K323" s="105"/>
      <c r="L323" s="105"/>
      <c r="M323" s="105"/>
      <c r="N323" s="105"/>
      <c r="O323" s="105"/>
      <c r="P323" s="105"/>
      <c r="Q323" s="105"/>
      <c r="R323" s="105"/>
      <c r="S323" s="105"/>
      <c r="T323" s="105"/>
      <c r="U323" s="105"/>
      <c r="V323" s="105"/>
      <c r="W323" s="105"/>
      <c r="X323" s="105"/>
      <c r="Y323" s="105"/>
      <c r="Z323" s="105"/>
      <c r="AA323" s="105"/>
      <c r="AB323" s="105"/>
      <c r="AC323" s="105"/>
    </row>
    <row r="324" spans="1:29" ht="15.75" customHeight="1" x14ac:dyDescent="0.2">
      <c r="A324" s="105"/>
      <c r="B324" s="105"/>
      <c r="C324" s="105"/>
      <c r="D324" s="105"/>
      <c r="E324" s="105"/>
      <c r="F324" s="105"/>
      <c r="G324" s="105"/>
      <c r="H324" s="105"/>
      <c r="I324" s="105"/>
      <c r="J324" s="105"/>
      <c r="K324" s="105"/>
      <c r="L324" s="105"/>
      <c r="M324" s="105"/>
      <c r="N324" s="105"/>
      <c r="O324" s="105"/>
      <c r="P324" s="105"/>
      <c r="Q324" s="105"/>
      <c r="R324" s="105"/>
      <c r="S324" s="105"/>
      <c r="T324" s="105"/>
      <c r="U324" s="105"/>
      <c r="V324" s="105"/>
      <c r="W324" s="105"/>
      <c r="X324" s="105"/>
      <c r="Y324" s="105"/>
      <c r="Z324" s="105"/>
      <c r="AA324" s="105"/>
      <c r="AB324" s="105"/>
      <c r="AC324" s="105"/>
    </row>
    <row r="325" spans="1:29" ht="15.75" customHeight="1" x14ac:dyDescent="0.2">
      <c r="A325" s="105"/>
      <c r="B325" s="105"/>
      <c r="C325" s="105"/>
      <c r="D325" s="105"/>
      <c r="E325" s="105"/>
      <c r="F325" s="105"/>
      <c r="G325" s="105"/>
      <c r="H325" s="105"/>
      <c r="I325" s="105"/>
      <c r="J325" s="105"/>
      <c r="K325" s="105"/>
      <c r="L325" s="105"/>
      <c r="M325" s="105"/>
      <c r="N325" s="105"/>
      <c r="O325" s="105"/>
      <c r="P325" s="105"/>
      <c r="Q325" s="105"/>
      <c r="R325" s="105"/>
      <c r="S325" s="105"/>
      <c r="T325" s="105"/>
      <c r="U325" s="105"/>
      <c r="V325" s="105"/>
      <c r="W325" s="105"/>
      <c r="X325" s="105"/>
      <c r="Y325" s="105"/>
      <c r="Z325" s="105"/>
      <c r="AA325" s="105"/>
      <c r="AB325" s="105"/>
      <c r="AC325" s="105"/>
    </row>
    <row r="326" spans="1:29" ht="15.75" customHeight="1" x14ac:dyDescent="0.2">
      <c r="A326" s="105"/>
      <c r="B326" s="105"/>
      <c r="C326" s="105"/>
      <c r="D326" s="105"/>
      <c r="E326" s="105"/>
      <c r="F326" s="105"/>
      <c r="G326" s="105"/>
      <c r="H326" s="105"/>
      <c r="I326" s="105"/>
      <c r="J326" s="105"/>
      <c r="K326" s="105"/>
      <c r="L326" s="105"/>
      <c r="M326" s="105"/>
      <c r="N326" s="105"/>
      <c r="O326" s="105"/>
      <c r="P326" s="105"/>
      <c r="Q326" s="105"/>
      <c r="R326" s="105"/>
      <c r="S326" s="105"/>
      <c r="T326" s="105"/>
      <c r="U326" s="105"/>
      <c r="V326" s="105"/>
      <c r="W326" s="105"/>
      <c r="X326" s="105"/>
      <c r="Y326" s="105"/>
      <c r="Z326" s="105"/>
      <c r="AA326" s="105"/>
      <c r="AB326" s="105"/>
      <c r="AC326" s="105"/>
    </row>
    <row r="327" spans="1:29" ht="15.75" customHeight="1" x14ac:dyDescent="0.2">
      <c r="A327" s="105"/>
      <c r="B327" s="105"/>
      <c r="C327" s="105"/>
      <c r="D327" s="105"/>
      <c r="E327" s="105"/>
      <c r="F327" s="105"/>
      <c r="G327" s="105"/>
      <c r="H327" s="105"/>
      <c r="I327" s="105"/>
      <c r="J327" s="105"/>
      <c r="K327" s="105"/>
      <c r="L327" s="105"/>
      <c r="M327" s="105"/>
      <c r="N327" s="105"/>
      <c r="O327" s="105"/>
      <c r="P327" s="105"/>
      <c r="Q327" s="105"/>
      <c r="R327" s="105"/>
      <c r="S327" s="105"/>
      <c r="T327" s="105"/>
      <c r="U327" s="105"/>
      <c r="V327" s="105"/>
      <c r="W327" s="105"/>
      <c r="X327" s="105"/>
      <c r="Y327" s="105"/>
      <c r="Z327" s="105"/>
      <c r="AA327" s="105"/>
      <c r="AB327" s="105"/>
      <c r="AC327" s="105"/>
    </row>
    <row r="328" spans="1:29" ht="15.75" customHeight="1" x14ac:dyDescent="0.2">
      <c r="A328" s="105"/>
      <c r="B328" s="105"/>
      <c r="C328" s="105"/>
      <c r="D328" s="105"/>
      <c r="E328" s="105"/>
      <c r="F328" s="105"/>
      <c r="G328" s="105"/>
      <c r="H328" s="105"/>
      <c r="I328" s="105"/>
      <c r="J328" s="105"/>
      <c r="K328" s="105"/>
      <c r="L328" s="105"/>
      <c r="M328" s="105"/>
      <c r="N328" s="105"/>
      <c r="O328" s="105"/>
      <c r="P328" s="105"/>
      <c r="Q328" s="105"/>
      <c r="R328" s="105"/>
      <c r="S328" s="105"/>
      <c r="T328" s="105"/>
      <c r="U328" s="105"/>
      <c r="V328" s="105"/>
      <c r="W328" s="105"/>
      <c r="X328" s="105"/>
      <c r="Y328" s="105"/>
      <c r="Z328" s="105"/>
      <c r="AA328" s="105"/>
      <c r="AB328" s="105"/>
      <c r="AC328" s="105"/>
    </row>
    <row r="329" spans="1:29" ht="15.75" customHeight="1" x14ac:dyDescent="0.2">
      <c r="A329" s="105"/>
      <c r="B329" s="105"/>
      <c r="C329" s="105"/>
      <c r="D329" s="105"/>
      <c r="E329" s="105"/>
      <c r="F329" s="105"/>
      <c r="G329" s="105"/>
      <c r="H329" s="105"/>
      <c r="I329" s="105"/>
      <c r="J329" s="105"/>
      <c r="K329" s="105"/>
      <c r="L329" s="105"/>
      <c r="M329" s="105"/>
      <c r="N329" s="105"/>
      <c r="O329" s="105"/>
      <c r="P329" s="105"/>
      <c r="Q329" s="105"/>
      <c r="R329" s="105"/>
      <c r="S329" s="105"/>
      <c r="T329" s="105"/>
      <c r="U329" s="105"/>
      <c r="V329" s="105"/>
      <c r="W329" s="105"/>
      <c r="X329" s="105"/>
      <c r="Y329" s="105"/>
      <c r="Z329" s="105"/>
      <c r="AA329" s="105"/>
      <c r="AB329" s="105"/>
      <c r="AC329" s="105"/>
    </row>
    <row r="330" spans="1:29" ht="15.75" customHeight="1" x14ac:dyDescent="0.2">
      <c r="A330" s="105"/>
      <c r="B330" s="105"/>
      <c r="C330" s="105"/>
      <c r="D330" s="105"/>
      <c r="E330" s="105"/>
      <c r="F330" s="105"/>
      <c r="G330" s="105"/>
      <c r="H330" s="105"/>
      <c r="I330" s="105"/>
      <c r="J330" s="105"/>
      <c r="K330" s="105"/>
      <c r="L330" s="105"/>
      <c r="M330" s="105"/>
      <c r="N330" s="105"/>
      <c r="O330" s="105"/>
      <c r="P330" s="105"/>
      <c r="Q330" s="105"/>
      <c r="R330" s="105"/>
      <c r="S330" s="105"/>
      <c r="T330" s="105"/>
      <c r="U330" s="105"/>
      <c r="V330" s="105"/>
      <c r="W330" s="105"/>
      <c r="X330" s="105"/>
      <c r="Y330" s="105"/>
      <c r="Z330" s="105"/>
      <c r="AA330" s="105"/>
      <c r="AB330" s="105"/>
      <c r="AC330" s="105"/>
    </row>
    <row r="331" spans="1:29" ht="15.75" customHeight="1" x14ac:dyDescent="0.2">
      <c r="A331" s="105"/>
      <c r="B331" s="105"/>
      <c r="C331" s="105"/>
      <c r="D331" s="105"/>
      <c r="E331" s="105"/>
      <c r="F331" s="105"/>
      <c r="G331" s="105"/>
      <c r="H331" s="105"/>
      <c r="I331" s="105"/>
      <c r="J331" s="105"/>
      <c r="K331" s="105"/>
      <c r="L331" s="105"/>
      <c r="M331" s="105"/>
      <c r="N331" s="105"/>
      <c r="O331" s="105"/>
      <c r="P331" s="105"/>
      <c r="Q331" s="105"/>
      <c r="R331" s="105"/>
      <c r="S331" s="105"/>
      <c r="T331" s="105"/>
      <c r="U331" s="105"/>
      <c r="V331" s="105"/>
      <c r="W331" s="105"/>
      <c r="X331" s="105"/>
      <c r="Y331" s="105"/>
      <c r="Z331" s="105"/>
      <c r="AA331" s="105"/>
      <c r="AB331" s="105"/>
      <c r="AC331" s="105"/>
    </row>
    <row r="332" spans="1:29" ht="15.75" customHeight="1" x14ac:dyDescent="0.2">
      <c r="A332" s="105"/>
      <c r="B332" s="105"/>
      <c r="C332" s="105"/>
      <c r="D332" s="105"/>
      <c r="E332" s="105"/>
      <c r="F332" s="105"/>
      <c r="G332" s="105"/>
      <c r="H332" s="105"/>
      <c r="I332" s="105"/>
      <c r="J332" s="105"/>
      <c r="K332" s="105"/>
      <c r="L332" s="105"/>
      <c r="M332" s="105"/>
      <c r="N332" s="105"/>
      <c r="O332" s="105"/>
      <c r="P332" s="105"/>
      <c r="Q332" s="105"/>
      <c r="R332" s="105"/>
      <c r="S332" s="105"/>
      <c r="T332" s="105"/>
      <c r="U332" s="105"/>
      <c r="V332" s="105"/>
      <c r="W332" s="105"/>
      <c r="X332" s="105"/>
      <c r="Y332" s="105"/>
      <c r="Z332" s="105"/>
      <c r="AA332" s="105"/>
      <c r="AB332" s="105"/>
      <c r="AC332" s="105"/>
    </row>
    <row r="333" spans="1:29" ht="15.75" customHeight="1" x14ac:dyDescent="0.2">
      <c r="A333" s="105"/>
      <c r="B333" s="105"/>
      <c r="C333" s="105"/>
      <c r="D333" s="105"/>
      <c r="E333" s="105"/>
      <c r="F333" s="105"/>
      <c r="G333" s="105"/>
      <c r="H333" s="105"/>
      <c r="I333" s="105"/>
      <c r="J333" s="105"/>
      <c r="K333" s="105"/>
      <c r="L333" s="105"/>
      <c r="M333" s="105"/>
      <c r="N333" s="105"/>
      <c r="O333" s="105"/>
      <c r="P333" s="105"/>
      <c r="Q333" s="105"/>
      <c r="R333" s="105"/>
      <c r="S333" s="105"/>
      <c r="T333" s="105"/>
      <c r="U333" s="105"/>
      <c r="V333" s="105"/>
      <c r="W333" s="105"/>
      <c r="X333" s="105"/>
      <c r="Y333" s="105"/>
      <c r="Z333" s="105"/>
      <c r="AA333" s="105"/>
      <c r="AB333" s="105"/>
      <c r="AC333" s="105"/>
    </row>
    <row r="334" spans="1:29" ht="15.75" customHeight="1" x14ac:dyDescent="0.2">
      <c r="A334" s="105"/>
      <c r="B334" s="105"/>
      <c r="C334" s="105"/>
      <c r="D334" s="105"/>
      <c r="E334" s="105"/>
      <c r="F334" s="105"/>
      <c r="G334" s="105"/>
      <c r="H334" s="105"/>
      <c r="I334" s="105"/>
      <c r="J334" s="105"/>
      <c r="K334" s="105"/>
      <c r="L334" s="105"/>
      <c r="M334" s="105"/>
      <c r="N334" s="105"/>
      <c r="O334" s="105"/>
      <c r="P334" s="105"/>
      <c r="Q334" s="105"/>
      <c r="R334" s="105"/>
      <c r="S334" s="105"/>
      <c r="T334" s="105"/>
      <c r="U334" s="105"/>
      <c r="V334" s="105"/>
      <c r="W334" s="105"/>
      <c r="X334" s="105"/>
      <c r="Y334" s="105"/>
      <c r="Z334" s="105"/>
      <c r="AA334" s="105"/>
      <c r="AB334" s="105"/>
      <c r="AC334" s="105"/>
    </row>
    <row r="335" spans="1:29" ht="15.75" customHeight="1" x14ac:dyDescent="0.2">
      <c r="A335" s="105"/>
      <c r="B335" s="105"/>
      <c r="C335" s="105"/>
      <c r="D335" s="105"/>
      <c r="E335" s="105"/>
      <c r="F335" s="105"/>
      <c r="G335" s="105"/>
      <c r="H335" s="105"/>
      <c r="I335" s="105"/>
      <c r="J335" s="105"/>
      <c r="K335" s="105"/>
      <c r="L335" s="105"/>
      <c r="M335" s="105"/>
      <c r="N335" s="105"/>
      <c r="O335" s="105"/>
      <c r="P335" s="105"/>
      <c r="Q335" s="105"/>
      <c r="R335" s="105"/>
      <c r="S335" s="105"/>
      <c r="T335" s="105"/>
      <c r="U335" s="105"/>
      <c r="V335" s="105"/>
      <c r="W335" s="105"/>
      <c r="X335" s="105"/>
      <c r="Y335" s="105"/>
      <c r="Z335" s="105"/>
      <c r="AA335" s="105"/>
      <c r="AB335" s="105"/>
      <c r="AC335" s="105"/>
    </row>
    <row r="336" spans="1:29" ht="15.75" customHeight="1" x14ac:dyDescent="0.2">
      <c r="A336" s="105"/>
      <c r="B336" s="105"/>
      <c r="C336" s="105"/>
      <c r="D336" s="105"/>
      <c r="E336" s="105"/>
      <c r="F336" s="105"/>
      <c r="G336" s="105"/>
      <c r="H336" s="105"/>
      <c r="I336" s="105"/>
      <c r="J336" s="105"/>
      <c r="K336" s="105"/>
      <c r="L336" s="105"/>
      <c r="M336" s="105"/>
      <c r="N336" s="105"/>
      <c r="O336" s="105"/>
      <c r="P336" s="105"/>
      <c r="Q336" s="105"/>
      <c r="R336" s="105"/>
      <c r="S336" s="105"/>
      <c r="T336" s="105"/>
      <c r="U336" s="105"/>
      <c r="V336" s="105"/>
      <c r="W336" s="105"/>
      <c r="X336" s="105"/>
      <c r="Y336" s="105"/>
      <c r="Z336" s="105"/>
      <c r="AA336" s="105"/>
      <c r="AB336" s="105"/>
      <c r="AC336" s="105"/>
    </row>
    <row r="337" spans="1:29" ht="15.75" customHeight="1" x14ac:dyDescent="0.2">
      <c r="A337" s="105"/>
      <c r="B337" s="105"/>
      <c r="C337" s="105"/>
      <c r="D337" s="105"/>
      <c r="E337" s="105"/>
      <c r="F337" s="105"/>
      <c r="G337" s="105"/>
      <c r="H337" s="105"/>
      <c r="I337" s="105"/>
      <c r="J337" s="105"/>
      <c r="K337" s="105"/>
      <c r="L337" s="105"/>
      <c r="M337" s="105"/>
      <c r="N337" s="105"/>
      <c r="O337" s="105"/>
      <c r="P337" s="105"/>
      <c r="Q337" s="105"/>
      <c r="R337" s="105"/>
      <c r="S337" s="105"/>
      <c r="T337" s="105"/>
      <c r="U337" s="105"/>
      <c r="V337" s="105"/>
      <c r="W337" s="105"/>
      <c r="X337" s="105"/>
      <c r="Y337" s="105"/>
      <c r="Z337" s="105"/>
      <c r="AA337" s="105"/>
      <c r="AB337" s="105"/>
      <c r="AC337" s="105"/>
    </row>
    <row r="338" spans="1:29" ht="15.75" customHeight="1" x14ac:dyDescent="0.2">
      <c r="A338" s="105"/>
      <c r="B338" s="105"/>
      <c r="C338" s="105"/>
      <c r="D338" s="105"/>
      <c r="E338" s="105"/>
      <c r="F338" s="105"/>
      <c r="G338" s="105"/>
      <c r="H338" s="105"/>
      <c r="I338" s="105"/>
      <c r="J338" s="105"/>
      <c r="K338" s="105"/>
      <c r="L338" s="105"/>
      <c r="M338" s="105"/>
      <c r="N338" s="105"/>
      <c r="O338" s="105"/>
      <c r="P338" s="105"/>
      <c r="Q338" s="105"/>
      <c r="R338" s="105"/>
      <c r="S338" s="105"/>
      <c r="T338" s="105"/>
      <c r="U338" s="105"/>
      <c r="V338" s="105"/>
      <c r="W338" s="105"/>
      <c r="X338" s="105"/>
      <c r="Y338" s="105"/>
      <c r="Z338" s="105"/>
      <c r="AA338" s="105"/>
      <c r="AB338" s="105"/>
      <c r="AC338" s="105"/>
    </row>
    <row r="339" spans="1:29" ht="15.75" customHeight="1" x14ac:dyDescent="0.2">
      <c r="A339" s="105"/>
      <c r="B339" s="105"/>
      <c r="C339" s="105"/>
      <c r="D339" s="105"/>
      <c r="E339" s="105"/>
      <c r="F339" s="105"/>
      <c r="G339" s="105"/>
      <c r="H339" s="105"/>
      <c r="I339" s="105"/>
      <c r="J339" s="105"/>
      <c r="K339" s="105"/>
      <c r="L339" s="105"/>
      <c r="M339" s="105"/>
      <c r="N339" s="105"/>
      <c r="O339" s="105"/>
      <c r="P339" s="105"/>
      <c r="Q339" s="105"/>
      <c r="R339" s="105"/>
      <c r="S339" s="105"/>
      <c r="T339" s="105"/>
      <c r="U339" s="105"/>
      <c r="V339" s="105"/>
      <c r="W339" s="105"/>
      <c r="X339" s="105"/>
      <c r="Y339" s="105"/>
      <c r="Z339" s="105"/>
      <c r="AA339" s="105"/>
      <c r="AB339" s="105"/>
      <c r="AC339" s="105"/>
    </row>
    <row r="340" spans="1:29" ht="15.75" customHeight="1" x14ac:dyDescent="0.2">
      <c r="A340" s="105"/>
      <c r="B340" s="105"/>
      <c r="C340" s="105"/>
      <c r="D340" s="105"/>
      <c r="E340" s="105"/>
      <c r="F340" s="105"/>
      <c r="G340" s="105"/>
      <c r="H340" s="105"/>
      <c r="I340" s="105"/>
      <c r="J340" s="105"/>
      <c r="K340" s="105"/>
      <c r="L340" s="105"/>
      <c r="M340" s="105"/>
      <c r="N340" s="105"/>
      <c r="O340" s="105"/>
      <c r="P340" s="105"/>
      <c r="Q340" s="105"/>
      <c r="R340" s="105"/>
      <c r="S340" s="105"/>
      <c r="T340" s="105"/>
      <c r="U340" s="105"/>
      <c r="V340" s="105"/>
      <c r="W340" s="105"/>
      <c r="X340" s="105"/>
      <c r="Y340" s="105"/>
      <c r="Z340" s="105"/>
      <c r="AA340" s="105"/>
      <c r="AB340" s="105"/>
      <c r="AC340" s="105"/>
    </row>
    <row r="341" spans="1:29" ht="15.75" customHeight="1" x14ac:dyDescent="0.2">
      <c r="A341" s="105"/>
      <c r="B341" s="105"/>
      <c r="C341" s="105"/>
      <c r="D341" s="105"/>
      <c r="E341" s="105"/>
      <c r="F341" s="105"/>
      <c r="G341" s="105"/>
      <c r="H341" s="105"/>
      <c r="I341" s="105"/>
      <c r="J341" s="105"/>
      <c r="K341" s="105"/>
      <c r="L341" s="105"/>
      <c r="M341" s="105"/>
      <c r="N341" s="105"/>
      <c r="O341" s="105"/>
      <c r="P341" s="105"/>
      <c r="Q341" s="105"/>
      <c r="R341" s="105"/>
      <c r="S341" s="105"/>
      <c r="T341" s="105"/>
      <c r="U341" s="105"/>
      <c r="V341" s="105"/>
      <c r="W341" s="105"/>
      <c r="X341" s="105"/>
      <c r="Y341" s="105"/>
      <c r="Z341" s="105"/>
      <c r="AA341" s="105"/>
      <c r="AB341" s="105"/>
      <c r="AC341" s="105"/>
    </row>
    <row r="342" spans="1:29" ht="15.75" customHeight="1" x14ac:dyDescent="0.2">
      <c r="A342" s="105"/>
      <c r="B342" s="105"/>
      <c r="C342" s="105"/>
      <c r="D342" s="105"/>
      <c r="E342" s="105"/>
      <c r="F342" s="105"/>
      <c r="G342" s="105"/>
      <c r="H342" s="105"/>
      <c r="I342" s="105"/>
      <c r="J342" s="105"/>
      <c r="K342" s="105"/>
      <c r="L342" s="105"/>
      <c r="M342" s="105"/>
      <c r="N342" s="105"/>
      <c r="O342" s="105"/>
      <c r="P342" s="105"/>
      <c r="Q342" s="105"/>
      <c r="R342" s="105"/>
      <c r="S342" s="105"/>
      <c r="T342" s="105"/>
      <c r="U342" s="105"/>
      <c r="V342" s="105"/>
      <c r="W342" s="105"/>
      <c r="X342" s="105"/>
      <c r="Y342" s="105"/>
      <c r="Z342" s="105"/>
      <c r="AA342" s="105"/>
      <c r="AB342" s="105"/>
      <c r="AC342" s="105"/>
    </row>
    <row r="343" spans="1:29" ht="15.75" customHeight="1" x14ac:dyDescent="0.2">
      <c r="A343" s="105"/>
      <c r="B343" s="105"/>
      <c r="C343" s="105"/>
      <c r="D343" s="105"/>
      <c r="E343" s="105"/>
      <c r="F343" s="105"/>
      <c r="G343" s="105"/>
      <c r="H343" s="105"/>
      <c r="I343" s="105"/>
      <c r="J343" s="105"/>
      <c r="K343" s="105"/>
      <c r="L343" s="105"/>
      <c r="M343" s="105"/>
      <c r="N343" s="105"/>
      <c r="O343" s="105"/>
      <c r="P343" s="105"/>
      <c r="Q343" s="105"/>
      <c r="R343" s="105"/>
      <c r="S343" s="105"/>
      <c r="T343" s="105"/>
      <c r="U343" s="105"/>
      <c r="V343" s="105"/>
      <c r="W343" s="105"/>
      <c r="X343" s="105"/>
      <c r="Y343" s="105"/>
      <c r="Z343" s="105"/>
      <c r="AA343" s="105"/>
      <c r="AB343" s="105"/>
      <c r="AC343" s="105"/>
    </row>
    <row r="344" spans="1:29" ht="15.75" customHeight="1" x14ac:dyDescent="0.2">
      <c r="A344" s="105"/>
      <c r="B344" s="105"/>
      <c r="C344" s="105"/>
      <c r="D344" s="105"/>
      <c r="E344" s="105"/>
      <c r="F344" s="105"/>
      <c r="G344" s="105"/>
      <c r="H344" s="105"/>
      <c r="I344" s="105"/>
      <c r="J344" s="105"/>
      <c r="K344" s="105"/>
      <c r="L344" s="105"/>
      <c r="M344" s="105"/>
      <c r="N344" s="105"/>
      <c r="O344" s="105"/>
      <c r="P344" s="105"/>
      <c r="Q344" s="105"/>
      <c r="R344" s="105"/>
      <c r="S344" s="105"/>
      <c r="T344" s="105"/>
      <c r="U344" s="105"/>
      <c r="V344" s="105"/>
      <c r="W344" s="105"/>
      <c r="X344" s="105"/>
      <c r="Y344" s="105"/>
      <c r="Z344" s="105"/>
      <c r="AA344" s="105"/>
      <c r="AB344" s="105"/>
      <c r="AC344" s="105"/>
    </row>
    <row r="345" spans="1:29" ht="15.75" customHeight="1" x14ac:dyDescent="0.2">
      <c r="A345" s="105"/>
      <c r="B345" s="105"/>
      <c r="C345" s="105"/>
      <c r="D345" s="105"/>
      <c r="E345" s="105"/>
      <c r="F345" s="105"/>
      <c r="G345" s="105"/>
      <c r="H345" s="105"/>
      <c r="I345" s="105"/>
      <c r="J345" s="105"/>
      <c r="K345" s="105"/>
      <c r="L345" s="105"/>
      <c r="M345" s="105"/>
      <c r="N345" s="105"/>
      <c r="O345" s="105"/>
      <c r="P345" s="105"/>
      <c r="Q345" s="105"/>
      <c r="R345" s="105"/>
      <c r="S345" s="105"/>
      <c r="T345" s="105"/>
      <c r="U345" s="105"/>
      <c r="V345" s="105"/>
      <c r="W345" s="105"/>
      <c r="X345" s="105"/>
      <c r="Y345" s="105"/>
      <c r="Z345" s="105"/>
      <c r="AA345" s="105"/>
      <c r="AB345" s="105"/>
      <c r="AC345" s="105"/>
    </row>
    <row r="346" spans="1:29" ht="15.75" customHeight="1" x14ac:dyDescent="0.2">
      <c r="A346" s="105"/>
      <c r="B346" s="105"/>
      <c r="C346" s="105"/>
      <c r="D346" s="105"/>
      <c r="E346" s="105"/>
      <c r="F346" s="105"/>
      <c r="G346" s="105"/>
      <c r="H346" s="105"/>
      <c r="I346" s="105"/>
      <c r="J346" s="105"/>
      <c r="K346" s="105"/>
      <c r="L346" s="105"/>
      <c r="M346" s="105"/>
      <c r="N346" s="105"/>
      <c r="O346" s="105"/>
      <c r="P346" s="105"/>
      <c r="Q346" s="105"/>
      <c r="R346" s="105"/>
      <c r="S346" s="105"/>
      <c r="T346" s="105"/>
      <c r="U346" s="105"/>
      <c r="V346" s="105"/>
      <c r="W346" s="105"/>
      <c r="X346" s="105"/>
      <c r="Y346" s="105"/>
      <c r="Z346" s="105"/>
      <c r="AA346" s="105"/>
      <c r="AB346" s="105"/>
      <c r="AC346" s="105"/>
    </row>
    <row r="347" spans="1:29" ht="15.75" customHeight="1" x14ac:dyDescent="0.2">
      <c r="A347" s="105"/>
      <c r="B347" s="105"/>
      <c r="C347" s="105"/>
      <c r="D347" s="105"/>
      <c r="E347" s="105"/>
      <c r="F347" s="105"/>
      <c r="G347" s="105"/>
      <c r="H347" s="105"/>
      <c r="I347" s="105"/>
      <c r="J347" s="105"/>
      <c r="K347" s="105"/>
      <c r="L347" s="105"/>
      <c r="M347" s="105"/>
      <c r="N347" s="105"/>
      <c r="O347" s="105"/>
      <c r="P347" s="105"/>
      <c r="Q347" s="105"/>
      <c r="R347" s="105"/>
      <c r="S347" s="105"/>
      <c r="T347" s="105"/>
      <c r="U347" s="105"/>
      <c r="V347" s="105"/>
      <c r="W347" s="105"/>
      <c r="X347" s="105"/>
      <c r="Y347" s="105"/>
      <c r="Z347" s="105"/>
      <c r="AA347" s="105"/>
      <c r="AB347" s="105"/>
      <c r="AC347" s="105"/>
    </row>
    <row r="348" spans="1:29" ht="15.75" customHeight="1" x14ac:dyDescent="0.2">
      <c r="A348" s="105"/>
      <c r="B348" s="105"/>
      <c r="C348" s="105"/>
      <c r="D348" s="105"/>
      <c r="E348" s="105"/>
      <c r="F348" s="105"/>
      <c r="G348" s="105"/>
      <c r="H348" s="105"/>
      <c r="I348" s="105"/>
      <c r="J348" s="105"/>
      <c r="K348" s="105"/>
      <c r="L348" s="105"/>
      <c r="M348" s="105"/>
      <c r="N348" s="105"/>
      <c r="O348" s="105"/>
      <c r="P348" s="105"/>
      <c r="Q348" s="105"/>
      <c r="R348" s="105"/>
      <c r="S348" s="105"/>
      <c r="T348" s="105"/>
      <c r="U348" s="105"/>
      <c r="V348" s="105"/>
      <c r="W348" s="105"/>
      <c r="X348" s="105"/>
      <c r="Y348" s="105"/>
      <c r="Z348" s="105"/>
      <c r="AA348" s="105"/>
      <c r="AB348" s="105"/>
      <c r="AC348" s="105"/>
    </row>
    <row r="349" spans="1:29" ht="15.75" customHeight="1" x14ac:dyDescent="0.2">
      <c r="A349" s="105"/>
      <c r="B349" s="105"/>
      <c r="C349" s="105"/>
      <c r="D349" s="105"/>
      <c r="E349" s="105"/>
      <c r="F349" s="105"/>
      <c r="G349" s="105"/>
      <c r="H349" s="105"/>
      <c r="I349" s="105"/>
      <c r="J349" s="105"/>
      <c r="K349" s="105"/>
      <c r="L349" s="105"/>
      <c r="M349" s="105"/>
      <c r="N349" s="105"/>
      <c r="O349" s="105"/>
      <c r="P349" s="105"/>
      <c r="Q349" s="105"/>
      <c r="R349" s="105"/>
      <c r="S349" s="105"/>
      <c r="T349" s="105"/>
      <c r="U349" s="105"/>
      <c r="V349" s="105"/>
      <c r="W349" s="105"/>
      <c r="X349" s="105"/>
      <c r="Y349" s="105"/>
      <c r="Z349" s="105"/>
      <c r="AA349" s="105"/>
      <c r="AB349" s="105"/>
      <c r="AC349" s="105"/>
    </row>
    <row r="350" spans="1:29" ht="15.75" customHeight="1" x14ac:dyDescent="0.2">
      <c r="A350" s="105"/>
      <c r="B350" s="105"/>
      <c r="C350" s="105"/>
      <c r="D350" s="105"/>
      <c r="E350" s="105"/>
      <c r="F350" s="105"/>
      <c r="G350" s="105"/>
      <c r="H350" s="105"/>
      <c r="I350" s="105"/>
      <c r="J350" s="105"/>
      <c r="K350" s="105"/>
      <c r="L350" s="105"/>
      <c r="M350" s="105"/>
      <c r="N350" s="105"/>
      <c r="O350" s="105"/>
      <c r="P350" s="105"/>
      <c r="Q350" s="105"/>
      <c r="R350" s="105"/>
      <c r="S350" s="105"/>
      <c r="T350" s="105"/>
      <c r="U350" s="105"/>
      <c r="V350" s="105"/>
      <c r="W350" s="105"/>
      <c r="X350" s="105"/>
      <c r="Y350" s="105"/>
      <c r="Z350" s="105"/>
      <c r="AA350" s="105"/>
      <c r="AB350" s="105"/>
      <c r="AC350" s="105"/>
    </row>
    <row r="351" spans="1:29" ht="15.75" customHeight="1" x14ac:dyDescent="0.2">
      <c r="A351" s="105"/>
      <c r="B351" s="105"/>
      <c r="C351" s="105"/>
      <c r="D351" s="105"/>
      <c r="E351" s="105"/>
      <c r="F351" s="105"/>
      <c r="G351" s="105"/>
      <c r="H351" s="105"/>
      <c r="I351" s="105"/>
      <c r="J351" s="105"/>
      <c r="K351" s="105"/>
      <c r="L351" s="105"/>
      <c r="M351" s="105"/>
      <c r="N351" s="105"/>
      <c r="O351" s="105"/>
      <c r="P351" s="105"/>
      <c r="Q351" s="105"/>
      <c r="R351" s="105"/>
      <c r="S351" s="105"/>
      <c r="T351" s="105"/>
      <c r="U351" s="105"/>
      <c r="V351" s="105"/>
      <c r="W351" s="105"/>
      <c r="X351" s="105"/>
      <c r="Y351" s="105"/>
      <c r="Z351" s="105"/>
      <c r="AA351" s="105"/>
      <c r="AB351" s="105"/>
      <c r="AC351" s="105"/>
    </row>
    <row r="352" spans="1:29" ht="15.75" customHeight="1" x14ac:dyDescent="0.2">
      <c r="A352" s="105"/>
      <c r="B352" s="105"/>
      <c r="C352" s="105"/>
      <c r="D352" s="105"/>
      <c r="E352" s="105"/>
      <c r="F352" s="105"/>
      <c r="G352" s="105"/>
      <c r="H352" s="105"/>
      <c r="I352" s="105"/>
      <c r="J352" s="105"/>
      <c r="K352" s="105"/>
      <c r="L352" s="105"/>
      <c r="M352" s="105"/>
      <c r="N352" s="105"/>
      <c r="O352" s="105"/>
      <c r="P352" s="105"/>
      <c r="Q352" s="105"/>
      <c r="R352" s="105"/>
      <c r="S352" s="105"/>
      <c r="T352" s="105"/>
      <c r="U352" s="105"/>
      <c r="V352" s="105"/>
      <c r="W352" s="105"/>
      <c r="X352" s="105"/>
      <c r="Y352" s="105"/>
      <c r="Z352" s="105"/>
      <c r="AA352" s="105"/>
      <c r="AB352" s="105"/>
      <c r="AC352" s="105"/>
    </row>
    <row r="353" spans="1:29" ht="15.75" customHeight="1" x14ac:dyDescent="0.2">
      <c r="A353" s="105"/>
      <c r="B353" s="105"/>
      <c r="C353" s="105"/>
      <c r="D353" s="105"/>
      <c r="E353" s="105"/>
      <c r="F353" s="105"/>
      <c r="G353" s="105"/>
      <c r="H353" s="105"/>
      <c r="I353" s="105"/>
      <c r="J353" s="105"/>
      <c r="K353" s="105"/>
      <c r="L353" s="105"/>
      <c r="M353" s="105"/>
      <c r="N353" s="105"/>
      <c r="O353" s="105"/>
      <c r="P353" s="105"/>
      <c r="Q353" s="105"/>
      <c r="R353" s="105"/>
      <c r="S353" s="105"/>
      <c r="T353" s="105"/>
      <c r="U353" s="105"/>
      <c r="V353" s="105"/>
      <c r="W353" s="105"/>
      <c r="X353" s="105"/>
      <c r="Y353" s="105"/>
      <c r="Z353" s="105"/>
      <c r="AA353" s="105"/>
      <c r="AB353" s="105"/>
      <c r="AC353" s="105"/>
    </row>
    <row r="354" spans="1:29" ht="15.75" customHeight="1" x14ac:dyDescent="0.2">
      <c r="A354" s="105"/>
      <c r="B354" s="105"/>
      <c r="C354" s="105"/>
      <c r="D354" s="105"/>
      <c r="E354" s="105"/>
      <c r="F354" s="105"/>
      <c r="G354" s="105"/>
      <c r="H354" s="105"/>
      <c r="I354" s="105"/>
      <c r="J354" s="105"/>
      <c r="K354" s="105"/>
      <c r="L354" s="105"/>
      <c r="M354" s="105"/>
      <c r="N354" s="105"/>
      <c r="O354" s="105"/>
      <c r="P354" s="105"/>
      <c r="Q354" s="105"/>
      <c r="R354" s="105"/>
      <c r="S354" s="105"/>
      <c r="T354" s="105"/>
      <c r="U354" s="105"/>
      <c r="V354" s="105"/>
      <c r="W354" s="105"/>
      <c r="X354" s="105"/>
      <c r="Y354" s="105"/>
      <c r="Z354" s="105"/>
      <c r="AA354" s="105"/>
      <c r="AB354" s="105"/>
      <c r="AC354" s="105"/>
    </row>
    <row r="355" spans="1:29" ht="15.75" customHeight="1" x14ac:dyDescent="0.2">
      <c r="A355" s="105"/>
      <c r="B355" s="105"/>
      <c r="C355" s="105"/>
      <c r="D355" s="105"/>
      <c r="E355" s="105"/>
      <c r="F355" s="105"/>
      <c r="G355" s="105"/>
      <c r="H355" s="105"/>
      <c r="I355" s="105"/>
      <c r="J355" s="105"/>
      <c r="K355" s="105"/>
      <c r="L355" s="105"/>
      <c r="M355" s="105"/>
      <c r="N355" s="105"/>
      <c r="O355" s="105"/>
      <c r="P355" s="105"/>
      <c r="Q355" s="105"/>
      <c r="R355" s="105"/>
      <c r="S355" s="105"/>
      <c r="T355" s="105"/>
      <c r="U355" s="105"/>
      <c r="V355" s="105"/>
      <c r="W355" s="105"/>
      <c r="X355" s="105"/>
      <c r="Y355" s="105"/>
      <c r="Z355" s="105"/>
      <c r="AA355" s="105"/>
      <c r="AB355" s="105"/>
      <c r="AC355" s="105"/>
    </row>
    <row r="356" spans="1:29" ht="15.75" customHeight="1" x14ac:dyDescent="0.2">
      <c r="A356" s="105"/>
      <c r="B356" s="105"/>
      <c r="C356" s="105"/>
      <c r="D356" s="105"/>
      <c r="E356" s="105"/>
      <c r="F356" s="105"/>
      <c r="G356" s="105"/>
      <c r="H356" s="105"/>
      <c r="I356" s="105"/>
      <c r="J356" s="105"/>
      <c r="K356" s="105"/>
      <c r="L356" s="105"/>
      <c r="M356" s="105"/>
      <c r="N356" s="105"/>
      <c r="O356" s="105"/>
      <c r="P356" s="105"/>
      <c r="Q356" s="105"/>
      <c r="R356" s="105"/>
      <c r="S356" s="105"/>
      <c r="T356" s="105"/>
      <c r="U356" s="105"/>
      <c r="V356" s="105"/>
      <c r="W356" s="105"/>
      <c r="X356" s="105"/>
      <c r="Y356" s="105"/>
      <c r="Z356" s="105"/>
      <c r="AA356" s="105"/>
      <c r="AB356" s="105"/>
      <c r="AC356" s="105"/>
    </row>
    <row r="357" spans="1:29" ht="15.75" customHeight="1" x14ac:dyDescent="0.2">
      <c r="A357" s="105"/>
      <c r="B357" s="105"/>
      <c r="C357" s="105"/>
      <c r="D357" s="105"/>
      <c r="E357" s="105"/>
      <c r="F357" s="105"/>
      <c r="G357" s="105"/>
      <c r="H357" s="105"/>
      <c r="I357" s="105"/>
      <c r="J357" s="105"/>
      <c r="K357" s="105"/>
      <c r="L357" s="105"/>
      <c r="M357" s="105"/>
      <c r="N357" s="105"/>
      <c r="O357" s="105"/>
      <c r="P357" s="105"/>
      <c r="Q357" s="105"/>
      <c r="R357" s="105"/>
      <c r="S357" s="105"/>
      <c r="T357" s="105"/>
      <c r="U357" s="105"/>
      <c r="V357" s="105"/>
      <c r="W357" s="105"/>
      <c r="X357" s="105"/>
      <c r="Y357" s="105"/>
      <c r="Z357" s="105"/>
      <c r="AA357" s="105"/>
      <c r="AB357" s="105"/>
      <c r="AC357" s="105"/>
    </row>
    <row r="358" spans="1:29" ht="15.75" customHeight="1" x14ac:dyDescent="0.2">
      <c r="A358" s="105"/>
      <c r="B358" s="105"/>
      <c r="C358" s="105"/>
      <c r="D358" s="105"/>
      <c r="E358" s="105"/>
      <c r="F358" s="105"/>
      <c r="G358" s="105"/>
      <c r="H358" s="105"/>
      <c r="I358" s="105"/>
      <c r="J358" s="105"/>
      <c r="K358" s="105"/>
      <c r="L358" s="105"/>
      <c r="M358" s="105"/>
      <c r="N358" s="105"/>
      <c r="O358" s="105"/>
      <c r="P358" s="105"/>
      <c r="Q358" s="105"/>
      <c r="R358" s="105"/>
      <c r="S358" s="105"/>
      <c r="T358" s="105"/>
      <c r="U358" s="105"/>
      <c r="V358" s="105"/>
      <c r="W358" s="105"/>
      <c r="X358" s="105"/>
      <c r="Y358" s="105"/>
      <c r="Z358" s="105"/>
      <c r="AA358" s="105"/>
      <c r="AB358" s="105"/>
      <c r="AC358" s="105"/>
    </row>
    <row r="359" spans="1:29" ht="15.75" customHeight="1" x14ac:dyDescent="0.2">
      <c r="A359" s="105"/>
      <c r="B359" s="105"/>
      <c r="C359" s="105"/>
      <c r="D359" s="105"/>
      <c r="E359" s="105"/>
      <c r="F359" s="105"/>
      <c r="G359" s="105"/>
      <c r="H359" s="105"/>
      <c r="I359" s="105"/>
      <c r="J359" s="105"/>
      <c r="K359" s="105"/>
      <c r="L359" s="105"/>
      <c r="M359" s="105"/>
      <c r="N359" s="105"/>
      <c r="O359" s="105"/>
      <c r="P359" s="105"/>
      <c r="Q359" s="105"/>
      <c r="R359" s="105"/>
      <c r="S359" s="105"/>
      <c r="T359" s="105"/>
      <c r="U359" s="105"/>
      <c r="V359" s="105"/>
      <c r="W359" s="105"/>
      <c r="X359" s="105"/>
      <c r="Y359" s="105"/>
      <c r="Z359" s="105"/>
      <c r="AA359" s="105"/>
      <c r="AB359" s="105"/>
      <c r="AC359" s="105"/>
    </row>
    <row r="360" spans="1:29" ht="15.75" customHeight="1" x14ac:dyDescent="0.2">
      <c r="A360" s="105"/>
      <c r="B360" s="105"/>
      <c r="C360" s="105"/>
      <c r="D360" s="105"/>
      <c r="E360" s="105"/>
      <c r="F360" s="105"/>
      <c r="G360" s="105"/>
      <c r="H360" s="105"/>
      <c r="I360" s="105"/>
      <c r="J360" s="105"/>
      <c r="K360" s="105"/>
      <c r="L360" s="105"/>
      <c r="M360" s="105"/>
      <c r="N360" s="105"/>
      <c r="O360" s="105"/>
      <c r="P360" s="105"/>
      <c r="Q360" s="105"/>
      <c r="R360" s="105"/>
      <c r="S360" s="105"/>
      <c r="T360" s="105"/>
      <c r="U360" s="105"/>
      <c r="V360" s="105"/>
      <c r="W360" s="105"/>
      <c r="X360" s="105"/>
      <c r="Y360" s="105"/>
      <c r="Z360" s="105"/>
      <c r="AA360" s="105"/>
      <c r="AB360" s="105"/>
      <c r="AC360" s="105"/>
    </row>
    <row r="361" spans="1:29" ht="15.75" customHeight="1" x14ac:dyDescent="0.2">
      <c r="A361" s="105"/>
      <c r="B361" s="105"/>
      <c r="C361" s="105"/>
      <c r="D361" s="105"/>
      <c r="E361" s="105"/>
      <c r="F361" s="105"/>
      <c r="G361" s="105"/>
      <c r="H361" s="105"/>
      <c r="I361" s="105"/>
      <c r="J361" s="105"/>
      <c r="K361" s="105"/>
      <c r="L361" s="105"/>
      <c r="M361" s="105"/>
      <c r="N361" s="105"/>
      <c r="O361" s="105"/>
      <c r="P361" s="105"/>
      <c r="Q361" s="105"/>
      <c r="R361" s="105"/>
      <c r="S361" s="105"/>
      <c r="T361" s="105"/>
      <c r="U361" s="105"/>
      <c r="V361" s="105"/>
      <c r="W361" s="105"/>
      <c r="X361" s="105"/>
      <c r="Y361" s="105"/>
      <c r="Z361" s="105"/>
      <c r="AA361" s="105"/>
      <c r="AB361" s="105"/>
      <c r="AC361" s="105"/>
    </row>
    <row r="362" spans="1:29" ht="15.75" customHeight="1" x14ac:dyDescent="0.2">
      <c r="A362" s="105"/>
      <c r="B362" s="105"/>
      <c r="C362" s="105"/>
      <c r="D362" s="105"/>
      <c r="E362" s="105"/>
      <c r="F362" s="105"/>
      <c r="G362" s="105"/>
      <c r="H362" s="105"/>
      <c r="I362" s="105"/>
      <c r="J362" s="105"/>
      <c r="K362" s="105"/>
      <c r="L362" s="105"/>
      <c r="M362" s="105"/>
      <c r="N362" s="105"/>
      <c r="O362" s="105"/>
      <c r="P362" s="105"/>
      <c r="Q362" s="105"/>
      <c r="R362" s="105"/>
      <c r="S362" s="105"/>
      <c r="T362" s="105"/>
      <c r="U362" s="105"/>
      <c r="V362" s="105"/>
      <c r="W362" s="105"/>
      <c r="X362" s="105"/>
      <c r="Y362" s="105"/>
      <c r="Z362" s="105"/>
      <c r="AA362" s="105"/>
      <c r="AB362" s="105"/>
      <c r="AC362" s="105"/>
    </row>
    <row r="363" spans="1:29" ht="15.75" customHeight="1" x14ac:dyDescent="0.2">
      <c r="A363" s="105"/>
      <c r="B363" s="105"/>
      <c r="C363" s="105"/>
      <c r="D363" s="105"/>
      <c r="E363" s="105"/>
      <c r="F363" s="105"/>
      <c r="G363" s="105"/>
      <c r="H363" s="105"/>
      <c r="I363" s="105"/>
      <c r="J363" s="105"/>
      <c r="K363" s="105"/>
      <c r="L363" s="105"/>
      <c r="M363" s="105"/>
      <c r="N363" s="105"/>
      <c r="O363" s="105"/>
      <c r="P363" s="105"/>
      <c r="Q363" s="105"/>
      <c r="R363" s="105"/>
      <c r="S363" s="105"/>
      <c r="T363" s="105"/>
      <c r="U363" s="105"/>
      <c r="V363" s="105"/>
      <c r="W363" s="105"/>
      <c r="X363" s="105"/>
      <c r="Y363" s="105"/>
      <c r="Z363" s="105"/>
      <c r="AA363" s="105"/>
      <c r="AB363" s="105"/>
      <c r="AC363" s="105"/>
    </row>
    <row r="364" spans="1:29" ht="15.75" customHeight="1" x14ac:dyDescent="0.2">
      <c r="A364" s="105"/>
      <c r="B364" s="105"/>
      <c r="C364" s="105"/>
      <c r="D364" s="105"/>
      <c r="E364" s="105"/>
      <c r="F364" s="105"/>
      <c r="G364" s="105"/>
      <c r="H364" s="105"/>
      <c r="I364" s="105"/>
      <c r="J364" s="105"/>
      <c r="K364" s="105"/>
      <c r="L364" s="105"/>
      <c r="M364" s="105"/>
      <c r="N364" s="105"/>
      <c r="O364" s="105"/>
      <c r="P364" s="105"/>
      <c r="Q364" s="105"/>
      <c r="R364" s="105"/>
      <c r="S364" s="105"/>
      <c r="T364" s="105"/>
      <c r="U364" s="105"/>
      <c r="V364" s="105"/>
      <c r="W364" s="105"/>
      <c r="X364" s="105"/>
      <c r="Y364" s="105"/>
      <c r="Z364" s="105"/>
      <c r="AA364" s="105"/>
      <c r="AB364" s="105"/>
      <c r="AC364" s="105"/>
    </row>
    <row r="365" spans="1:29" ht="15.75" customHeight="1" x14ac:dyDescent="0.2">
      <c r="A365" s="105"/>
      <c r="B365" s="105"/>
      <c r="C365" s="105"/>
      <c r="D365" s="105"/>
      <c r="E365" s="105"/>
      <c r="F365" s="105"/>
      <c r="G365" s="105"/>
      <c r="H365" s="105"/>
      <c r="I365" s="105"/>
      <c r="J365" s="105"/>
      <c r="K365" s="105"/>
      <c r="L365" s="105"/>
      <c r="M365" s="105"/>
      <c r="N365" s="105"/>
      <c r="O365" s="105"/>
      <c r="P365" s="105"/>
      <c r="Q365" s="105"/>
      <c r="R365" s="105"/>
      <c r="S365" s="105"/>
      <c r="T365" s="105"/>
      <c r="U365" s="105"/>
      <c r="V365" s="105"/>
      <c r="W365" s="105"/>
      <c r="X365" s="105"/>
      <c r="Y365" s="105"/>
      <c r="Z365" s="105"/>
      <c r="AA365" s="105"/>
      <c r="AB365" s="105"/>
      <c r="AC365" s="105"/>
    </row>
    <row r="366" spans="1:29" ht="15.75" customHeight="1" x14ac:dyDescent="0.2">
      <c r="A366" s="105"/>
      <c r="B366" s="105"/>
      <c r="C366" s="105"/>
      <c r="D366" s="105"/>
      <c r="E366" s="105"/>
      <c r="F366" s="105"/>
      <c r="G366" s="105"/>
      <c r="H366" s="105"/>
      <c r="I366" s="105"/>
      <c r="J366" s="105"/>
      <c r="K366" s="105"/>
      <c r="L366" s="105"/>
      <c r="M366" s="105"/>
      <c r="N366" s="105"/>
      <c r="O366" s="105"/>
      <c r="P366" s="105"/>
      <c r="Q366" s="105"/>
      <c r="R366" s="105"/>
      <c r="S366" s="105"/>
      <c r="T366" s="105"/>
      <c r="U366" s="105"/>
      <c r="V366" s="105"/>
      <c r="W366" s="105"/>
      <c r="X366" s="105"/>
      <c r="Y366" s="105"/>
      <c r="Z366" s="105"/>
      <c r="AA366" s="105"/>
      <c r="AB366" s="105"/>
      <c r="AC366" s="105"/>
    </row>
    <row r="367" spans="1:29" ht="15.75" customHeight="1" x14ac:dyDescent="0.2">
      <c r="A367" s="105"/>
      <c r="B367" s="105"/>
      <c r="C367" s="105"/>
      <c r="D367" s="105"/>
      <c r="E367" s="105"/>
      <c r="F367" s="105"/>
      <c r="G367" s="105"/>
      <c r="H367" s="105"/>
      <c r="I367" s="105"/>
      <c r="J367" s="105"/>
      <c r="K367" s="105"/>
      <c r="L367" s="105"/>
      <c r="M367" s="105"/>
      <c r="N367" s="105"/>
      <c r="O367" s="105"/>
      <c r="P367" s="105"/>
      <c r="Q367" s="105"/>
      <c r="R367" s="105"/>
      <c r="S367" s="105"/>
      <c r="T367" s="105"/>
      <c r="U367" s="105"/>
      <c r="V367" s="105"/>
      <c r="W367" s="105"/>
      <c r="X367" s="105"/>
      <c r="Y367" s="105"/>
      <c r="Z367" s="105"/>
      <c r="AA367" s="105"/>
      <c r="AB367" s="105"/>
      <c r="AC367" s="105"/>
    </row>
    <row r="368" spans="1:29" ht="15.75" customHeight="1" x14ac:dyDescent="0.2">
      <c r="A368" s="105"/>
      <c r="B368" s="105"/>
      <c r="C368" s="105"/>
      <c r="D368" s="105"/>
      <c r="E368" s="105"/>
      <c r="F368" s="105"/>
      <c r="G368" s="105"/>
      <c r="H368" s="105"/>
      <c r="I368" s="105"/>
      <c r="J368" s="105"/>
      <c r="K368" s="105"/>
      <c r="L368" s="105"/>
      <c r="M368" s="105"/>
      <c r="N368" s="105"/>
      <c r="O368" s="105"/>
      <c r="P368" s="105"/>
      <c r="Q368" s="105"/>
      <c r="R368" s="105"/>
      <c r="S368" s="105"/>
      <c r="T368" s="105"/>
      <c r="U368" s="105"/>
      <c r="V368" s="105"/>
      <c r="W368" s="105"/>
      <c r="X368" s="105"/>
      <c r="Y368" s="105"/>
      <c r="Z368" s="105"/>
      <c r="AA368" s="105"/>
      <c r="AB368" s="105"/>
      <c r="AC368" s="105"/>
    </row>
    <row r="369" spans="1:29" ht="15.75" customHeight="1" x14ac:dyDescent="0.2">
      <c r="A369" s="105"/>
      <c r="B369" s="105"/>
      <c r="C369" s="105"/>
      <c r="D369" s="105"/>
      <c r="E369" s="105"/>
      <c r="F369" s="105"/>
      <c r="G369" s="105"/>
      <c r="H369" s="105"/>
      <c r="I369" s="105"/>
      <c r="J369" s="105"/>
      <c r="K369" s="105"/>
      <c r="L369" s="105"/>
      <c r="M369" s="105"/>
      <c r="N369" s="105"/>
      <c r="O369" s="105"/>
      <c r="P369" s="105"/>
      <c r="Q369" s="105"/>
      <c r="R369" s="105"/>
      <c r="S369" s="105"/>
      <c r="T369" s="105"/>
      <c r="U369" s="105"/>
      <c r="V369" s="105"/>
      <c r="W369" s="105"/>
      <c r="X369" s="105"/>
      <c r="Y369" s="105"/>
      <c r="Z369" s="105"/>
      <c r="AA369" s="105"/>
      <c r="AB369" s="105"/>
      <c r="AC369" s="105"/>
    </row>
    <row r="370" spans="1:29" ht="15.75" customHeight="1" x14ac:dyDescent="0.2">
      <c r="A370" s="105"/>
      <c r="B370" s="105"/>
      <c r="C370" s="105"/>
      <c r="D370" s="105"/>
      <c r="E370" s="105"/>
      <c r="F370" s="105"/>
      <c r="G370" s="105"/>
      <c r="H370" s="105"/>
      <c r="I370" s="105"/>
      <c r="J370" s="105"/>
      <c r="K370" s="105"/>
      <c r="L370" s="105"/>
      <c r="M370" s="105"/>
      <c r="N370" s="105"/>
      <c r="O370" s="105"/>
      <c r="P370" s="105"/>
      <c r="Q370" s="105"/>
      <c r="R370" s="105"/>
      <c r="S370" s="105"/>
      <c r="T370" s="105"/>
      <c r="U370" s="105"/>
      <c r="V370" s="105"/>
      <c r="W370" s="105"/>
      <c r="X370" s="105"/>
      <c r="Y370" s="105"/>
      <c r="Z370" s="105"/>
      <c r="AA370" s="105"/>
      <c r="AB370" s="105"/>
      <c r="AC370" s="105"/>
    </row>
    <row r="371" spans="1:29" ht="15.75" customHeight="1" x14ac:dyDescent="0.2">
      <c r="A371" s="105"/>
      <c r="B371" s="105"/>
      <c r="C371" s="105"/>
      <c r="D371" s="105"/>
      <c r="E371" s="105"/>
      <c r="F371" s="105"/>
      <c r="G371" s="105"/>
      <c r="H371" s="105"/>
      <c r="I371" s="105"/>
      <c r="J371" s="105"/>
      <c r="K371" s="105"/>
      <c r="L371" s="105"/>
      <c r="M371" s="105"/>
      <c r="N371" s="105"/>
      <c r="O371" s="105"/>
      <c r="P371" s="105"/>
      <c r="Q371" s="105"/>
      <c r="R371" s="105"/>
      <c r="S371" s="105"/>
      <c r="T371" s="105"/>
      <c r="U371" s="105"/>
      <c r="V371" s="105"/>
      <c r="W371" s="105"/>
      <c r="X371" s="105"/>
      <c r="Y371" s="105"/>
      <c r="Z371" s="105"/>
      <c r="AA371" s="105"/>
      <c r="AB371" s="105"/>
      <c r="AC371" s="105"/>
    </row>
    <row r="372" spans="1:29" ht="15.75" customHeight="1" x14ac:dyDescent="0.2">
      <c r="A372" s="105"/>
      <c r="B372" s="105"/>
      <c r="C372" s="105"/>
      <c r="D372" s="105"/>
      <c r="E372" s="105"/>
      <c r="F372" s="105"/>
      <c r="G372" s="105"/>
      <c r="H372" s="105"/>
      <c r="I372" s="105"/>
      <c r="J372" s="105"/>
      <c r="K372" s="105"/>
      <c r="L372" s="105"/>
      <c r="M372" s="105"/>
      <c r="N372" s="105"/>
      <c r="O372" s="105"/>
      <c r="P372" s="105"/>
      <c r="Q372" s="105"/>
      <c r="R372" s="105"/>
      <c r="S372" s="105"/>
      <c r="T372" s="105"/>
      <c r="U372" s="105"/>
      <c r="V372" s="105"/>
      <c r="W372" s="105"/>
      <c r="X372" s="105"/>
      <c r="Y372" s="105"/>
      <c r="Z372" s="105"/>
      <c r="AA372" s="105"/>
      <c r="AB372" s="105"/>
      <c r="AC372" s="105"/>
    </row>
    <row r="373" spans="1:29" ht="15.75" customHeight="1" x14ac:dyDescent="0.2">
      <c r="A373" s="105"/>
      <c r="B373" s="105"/>
      <c r="C373" s="105"/>
      <c r="D373" s="105"/>
      <c r="E373" s="105"/>
      <c r="F373" s="105"/>
      <c r="G373" s="105"/>
      <c r="H373" s="105"/>
      <c r="I373" s="105"/>
      <c r="J373" s="105"/>
      <c r="K373" s="105"/>
      <c r="L373" s="105"/>
      <c r="M373" s="105"/>
      <c r="N373" s="105"/>
      <c r="O373" s="105"/>
      <c r="P373" s="105"/>
      <c r="Q373" s="105"/>
      <c r="R373" s="105"/>
      <c r="S373" s="105"/>
      <c r="T373" s="105"/>
      <c r="U373" s="105"/>
      <c r="V373" s="105"/>
      <c r="W373" s="105"/>
      <c r="X373" s="105"/>
      <c r="Y373" s="105"/>
      <c r="Z373" s="105"/>
      <c r="AA373" s="105"/>
      <c r="AB373" s="105"/>
      <c r="AC373" s="105"/>
    </row>
    <row r="374" spans="1:29" ht="15.75" customHeight="1" x14ac:dyDescent="0.2">
      <c r="A374" s="105"/>
      <c r="B374" s="105"/>
      <c r="C374" s="105"/>
      <c r="D374" s="105"/>
      <c r="E374" s="105"/>
      <c r="F374" s="105"/>
      <c r="G374" s="105"/>
      <c r="H374" s="105"/>
      <c r="I374" s="105"/>
      <c r="J374" s="105"/>
      <c r="K374" s="105"/>
      <c r="L374" s="105"/>
      <c r="M374" s="105"/>
      <c r="N374" s="105"/>
      <c r="O374" s="105"/>
      <c r="P374" s="105"/>
      <c r="Q374" s="105"/>
      <c r="R374" s="105"/>
      <c r="S374" s="105"/>
      <c r="T374" s="105"/>
      <c r="U374" s="105"/>
      <c r="V374" s="105"/>
      <c r="W374" s="105"/>
      <c r="X374" s="105"/>
      <c r="Y374" s="105"/>
      <c r="Z374" s="105"/>
      <c r="AA374" s="105"/>
      <c r="AB374" s="105"/>
      <c r="AC374" s="105"/>
    </row>
    <row r="375" spans="1:29" ht="15.75" customHeight="1" x14ac:dyDescent="0.2">
      <c r="A375" s="105"/>
      <c r="B375" s="105"/>
      <c r="C375" s="105"/>
      <c r="D375" s="105"/>
      <c r="E375" s="105"/>
      <c r="F375" s="105"/>
      <c r="G375" s="105"/>
      <c r="H375" s="105"/>
      <c r="I375" s="105"/>
      <c r="J375" s="105"/>
      <c r="K375" s="105"/>
      <c r="L375" s="105"/>
      <c r="M375" s="105"/>
      <c r="N375" s="105"/>
      <c r="O375" s="105"/>
      <c r="P375" s="105"/>
      <c r="Q375" s="105"/>
      <c r="R375" s="105"/>
      <c r="S375" s="105"/>
      <c r="T375" s="105"/>
      <c r="U375" s="105"/>
      <c r="V375" s="105"/>
      <c r="W375" s="105"/>
      <c r="X375" s="105"/>
      <c r="Y375" s="105"/>
      <c r="Z375" s="105"/>
      <c r="AA375" s="105"/>
      <c r="AB375" s="105"/>
      <c r="AC375" s="105"/>
    </row>
    <row r="376" spans="1:29" ht="15.75" customHeight="1" x14ac:dyDescent="0.2">
      <c r="A376" s="105"/>
      <c r="B376" s="105"/>
      <c r="C376" s="105"/>
      <c r="D376" s="105"/>
      <c r="E376" s="105"/>
      <c r="F376" s="105"/>
      <c r="G376" s="105"/>
      <c r="H376" s="105"/>
      <c r="I376" s="105"/>
      <c r="J376" s="105"/>
      <c r="K376" s="105"/>
      <c r="L376" s="105"/>
      <c r="M376" s="105"/>
      <c r="N376" s="105"/>
      <c r="O376" s="105"/>
      <c r="P376" s="105"/>
      <c r="Q376" s="105"/>
      <c r="R376" s="105"/>
      <c r="S376" s="105"/>
      <c r="T376" s="105"/>
      <c r="U376" s="105"/>
      <c r="V376" s="105"/>
      <c r="W376" s="105"/>
      <c r="X376" s="105"/>
      <c r="Y376" s="105"/>
      <c r="Z376" s="105"/>
      <c r="AA376" s="105"/>
      <c r="AB376" s="105"/>
      <c r="AC376" s="105"/>
    </row>
    <row r="377" spans="1:29" ht="15.75" customHeight="1" x14ac:dyDescent="0.2">
      <c r="A377" s="105"/>
      <c r="B377" s="105"/>
      <c r="C377" s="105"/>
      <c r="D377" s="105"/>
      <c r="E377" s="105"/>
      <c r="F377" s="105"/>
      <c r="G377" s="105"/>
      <c r="H377" s="105"/>
      <c r="I377" s="105"/>
      <c r="J377" s="105"/>
      <c r="K377" s="105"/>
      <c r="L377" s="105"/>
      <c r="M377" s="105"/>
      <c r="N377" s="105"/>
      <c r="O377" s="105"/>
      <c r="P377" s="105"/>
      <c r="Q377" s="105"/>
      <c r="R377" s="105"/>
      <c r="S377" s="105"/>
      <c r="T377" s="105"/>
      <c r="U377" s="105"/>
      <c r="V377" s="105"/>
      <c r="W377" s="105"/>
      <c r="X377" s="105"/>
      <c r="Y377" s="105"/>
      <c r="Z377" s="105"/>
      <c r="AA377" s="105"/>
      <c r="AB377" s="105"/>
      <c r="AC377" s="105"/>
    </row>
    <row r="378" spans="1:29" ht="15.75" customHeight="1" x14ac:dyDescent="0.2">
      <c r="A378" s="105"/>
      <c r="B378" s="105"/>
      <c r="C378" s="105"/>
      <c r="D378" s="105"/>
      <c r="E378" s="105"/>
      <c r="F378" s="105"/>
      <c r="G378" s="105"/>
      <c r="H378" s="105"/>
      <c r="I378" s="105"/>
      <c r="J378" s="105"/>
      <c r="K378" s="105"/>
      <c r="L378" s="105"/>
      <c r="M378" s="105"/>
      <c r="N378" s="105"/>
      <c r="O378" s="105"/>
      <c r="P378" s="105"/>
      <c r="Q378" s="105"/>
      <c r="R378" s="105"/>
      <c r="S378" s="105"/>
      <c r="T378" s="105"/>
      <c r="U378" s="105"/>
      <c r="V378" s="105"/>
      <c r="W378" s="105"/>
      <c r="X378" s="105"/>
      <c r="Y378" s="105"/>
      <c r="Z378" s="105"/>
      <c r="AA378" s="105"/>
      <c r="AB378" s="105"/>
      <c r="AC378" s="105"/>
    </row>
    <row r="379" spans="1:29" ht="15.75" customHeight="1" x14ac:dyDescent="0.2">
      <c r="A379" s="105"/>
      <c r="B379" s="105"/>
      <c r="C379" s="105"/>
      <c r="D379" s="105"/>
      <c r="E379" s="105"/>
      <c r="F379" s="105"/>
      <c r="G379" s="105"/>
      <c r="H379" s="105"/>
      <c r="I379" s="105"/>
      <c r="J379" s="105"/>
      <c r="K379" s="105"/>
      <c r="L379" s="105"/>
      <c r="M379" s="105"/>
      <c r="N379" s="105"/>
      <c r="O379" s="105"/>
      <c r="P379" s="105"/>
      <c r="Q379" s="105"/>
      <c r="R379" s="105"/>
      <c r="S379" s="105"/>
      <c r="T379" s="105"/>
      <c r="U379" s="105"/>
      <c r="V379" s="105"/>
      <c r="W379" s="105"/>
      <c r="X379" s="105"/>
      <c r="Y379" s="105"/>
      <c r="Z379" s="105"/>
      <c r="AA379" s="105"/>
      <c r="AB379" s="105"/>
      <c r="AC379" s="105"/>
    </row>
    <row r="380" spans="1:29" ht="15.75" customHeight="1" x14ac:dyDescent="0.2">
      <c r="A380" s="105"/>
      <c r="B380" s="105"/>
      <c r="C380" s="105"/>
      <c r="D380" s="105"/>
      <c r="E380" s="105"/>
      <c r="F380" s="105"/>
      <c r="G380" s="105"/>
      <c r="H380" s="105"/>
      <c r="I380" s="105"/>
      <c r="J380" s="105"/>
      <c r="K380" s="105"/>
      <c r="L380" s="105"/>
      <c r="M380" s="105"/>
      <c r="N380" s="105"/>
      <c r="O380" s="105"/>
      <c r="P380" s="105"/>
      <c r="Q380" s="105"/>
      <c r="R380" s="105"/>
      <c r="S380" s="105"/>
      <c r="T380" s="105"/>
      <c r="U380" s="105"/>
      <c r="V380" s="105"/>
      <c r="W380" s="105"/>
      <c r="X380" s="105"/>
      <c r="Y380" s="105"/>
      <c r="Z380" s="105"/>
      <c r="AA380" s="105"/>
      <c r="AB380" s="105"/>
      <c r="AC380" s="105"/>
    </row>
    <row r="381" spans="1:29" ht="15.75" customHeight="1" x14ac:dyDescent="0.2">
      <c r="A381" s="105"/>
      <c r="B381" s="105"/>
      <c r="C381" s="105"/>
      <c r="D381" s="105"/>
      <c r="E381" s="105"/>
      <c r="F381" s="105"/>
      <c r="G381" s="105"/>
      <c r="H381" s="105"/>
      <c r="I381" s="105"/>
      <c r="J381" s="105"/>
      <c r="K381" s="105"/>
      <c r="L381" s="105"/>
      <c r="M381" s="105"/>
      <c r="N381" s="105"/>
      <c r="O381" s="105"/>
      <c r="P381" s="105"/>
      <c r="Q381" s="105"/>
      <c r="R381" s="105"/>
      <c r="S381" s="105"/>
      <c r="T381" s="105"/>
      <c r="U381" s="105"/>
      <c r="V381" s="105"/>
      <c r="W381" s="105"/>
      <c r="X381" s="105"/>
      <c r="Y381" s="105"/>
      <c r="Z381" s="105"/>
      <c r="AA381" s="105"/>
      <c r="AB381" s="105"/>
      <c r="AC381" s="105"/>
    </row>
    <row r="382" spans="1:29" ht="15.75" customHeight="1" x14ac:dyDescent="0.2">
      <c r="A382" s="105"/>
      <c r="B382" s="105"/>
      <c r="C382" s="105"/>
      <c r="D382" s="105"/>
      <c r="E382" s="105"/>
      <c r="F382" s="105"/>
      <c r="G382" s="105"/>
      <c r="H382" s="105"/>
      <c r="I382" s="105"/>
      <c r="J382" s="105"/>
      <c r="K382" s="105"/>
      <c r="L382" s="105"/>
      <c r="M382" s="105"/>
      <c r="N382" s="105"/>
      <c r="O382" s="105"/>
      <c r="P382" s="105"/>
      <c r="Q382" s="105"/>
      <c r="R382" s="105"/>
      <c r="S382" s="105"/>
      <c r="T382" s="105"/>
      <c r="U382" s="105"/>
      <c r="V382" s="105"/>
      <c r="W382" s="105"/>
      <c r="X382" s="105"/>
      <c r="Y382" s="105"/>
      <c r="Z382" s="105"/>
      <c r="AA382" s="105"/>
      <c r="AB382" s="105"/>
      <c r="AC382" s="105"/>
    </row>
    <row r="383" spans="1:29" ht="15.75" customHeight="1" x14ac:dyDescent="0.2">
      <c r="A383" s="105"/>
      <c r="B383" s="105"/>
      <c r="C383" s="105"/>
      <c r="D383" s="105"/>
      <c r="E383" s="105"/>
      <c r="F383" s="105"/>
      <c r="G383" s="105"/>
      <c r="H383" s="105"/>
      <c r="I383" s="105"/>
      <c r="J383" s="105"/>
      <c r="K383" s="105"/>
      <c r="L383" s="105"/>
      <c r="M383" s="105"/>
      <c r="N383" s="105"/>
      <c r="O383" s="105"/>
      <c r="P383" s="105"/>
      <c r="Q383" s="105"/>
      <c r="R383" s="105"/>
      <c r="S383" s="105"/>
      <c r="T383" s="105"/>
      <c r="U383" s="105"/>
      <c r="V383" s="105"/>
      <c r="W383" s="105"/>
      <c r="X383" s="105"/>
      <c r="Y383" s="105"/>
      <c r="Z383" s="105"/>
      <c r="AA383" s="105"/>
      <c r="AB383" s="105"/>
      <c r="AC383" s="105"/>
    </row>
    <row r="384" spans="1:29" ht="15.75" customHeight="1" x14ac:dyDescent="0.2">
      <c r="A384" s="105"/>
      <c r="B384" s="105"/>
      <c r="C384" s="105"/>
      <c r="D384" s="105"/>
      <c r="E384" s="105"/>
      <c r="F384" s="105"/>
      <c r="G384" s="105"/>
      <c r="H384" s="105"/>
      <c r="I384" s="105"/>
      <c r="J384" s="105"/>
      <c r="K384" s="105"/>
      <c r="L384" s="105"/>
      <c r="M384" s="105"/>
      <c r="N384" s="105"/>
      <c r="O384" s="105"/>
      <c r="P384" s="105"/>
      <c r="Q384" s="105"/>
      <c r="R384" s="105"/>
      <c r="S384" s="105"/>
      <c r="T384" s="105"/>
      <c r="U384" s="105"/>
      <c r="V384" s="105"/>
      <c r="W384" s="105"/>
      <c r="X384" s="105"/>
      <c r="Y384" s="105"/>
      <c r="Z384" s="105"/>
      <c r="AA384" s="105"/>
      <c r="AB384" s="105"/>
      <c r="AC384" s="105"/>
    </row>
    <row r="385" spans="1:29" ht="15.75" customHeight="1" x14ac:dyDescent="0.2">
      <c r="A385" s="105"/>
      <c r="B385" s="105"/>
      <c r="C385" s="105"/>
      <c r="D385" s="105"/>
      <c r="E385" s="105"/>
      <c r="F385" s="105"/>
      <c r="G385" s="105"/>
      <c r="H385" s="105"/>
      <c r="I385" s="105"/>
      <c r="J385" s="105"/>
      <c r="K385" s="105"/>
      <c r="L385" s="105"/>
      <c r="M385" s="105"/>
      <c r="N385" s="105"/>
      <c r="O385" s="105"/>
      <c r="P385" s="105"/>
      <c r="Q385" s="105"/>
      <c r="R385" s="105"/>
      <c r="S385" s="105"/>
      <c r="T385" s="105"/>
      <c r="U385" s="105"/>
      <c r="V385" s="105"/>
      <c r="W385" s="105"/>
      <c r="X385" s="105"/>
      <c r="Y385" s="105"/>
      <c r="Z385" s="105"/>
      <c r="AA385" s="105"/>
      <c r="AB385" s="105"/>
      <c r="AC385" s="105"/>
    </row>
    <row r="386" spans="1:29" ht="15.75" customHeight="1" x14ac:dyDescent="0.2">
      <c r="A386" s="105"/>
      <c r="B386" s="105"/>
      <c r="C386" s="105"/>
      <c r="D386" s="105"/>
      <c r="E386" s="105"/>
      <c r="F386" s="105"/>
      <c r="G386" s="105"/>
      <c r="H386" s="105"/>
      <c r="I386" s="105"/>
      <c r="J386" s="105"/>
      <c r="K386" s="105"/>
      <c r="L386" s="105"/>
      <c r="M386" s="105"/>
      <c r="N386" s="105"/>
      <c r="O386" s="105"/>
      <c r="P386" s="105"/>
      <c r="Q386" s="105"/>
      <c r="R386" s="105"/>
      <c r="S386" s="105"/>
      <c r="T386" s="105"/>
      <c r="U386" s="105"/>
      <c r="V386" s="105"/>
      <c r="W386" s="105"/>
      <c r="X386" s="105"/>
      <c r="Y386" s="105"/>
      <c r="Z386" s="105"/>
      <c r="AA386" s="105"/>
      <c r="AB386" s="105"/>
      <c r="AC386" s="105"/>
    </row>
    <row r="387" spans="1:29" ht="15.75" customHeight="1" x14ac:dyDescent="0.2">
      <c r="A387" s="105"/>
      <c r="B387" s="105"/>
      <c r="C387" s="105"/>
      <c r="D387" s="105"/>
      <c r="E387" s="105"/>
      <c r="F387" s="105"/>
      <c r="G387" s="105"/>
      <c r="H387" s="105"/>
      <c r="I387" s="105"/>
      <c r="J387" s="105"/>
      <c r="K387" s="105"/>
      <c r="L387" s="105"/>
      <c r="M387" s="105"/>
      <c r="N387" s="105"/>
      <c r="O387" s="105"/>
      <c r="P387" s="105"/>
      <c r="Q387" s="105"/>
      <c r="R387" s="105"/>
      <c r="S387" s="105"/>
      <c r="T387" s="105"/>
      <c r="U387" s="105"/>
      <c r="V387" s="105"/>
      <c r="W387" s="105"/>
      <c r="X387" s="105"/>
      <c r="Y387" s="105"/>
      <c r="Z387" s="105"/>
      <c r="AA387" s="105"/>
      <c r="AB387" s="105"/>
      <c r="AC387" s="105"/>
    </row>
    <row r="388" spans="1:29" ht="15.75" customHeight="1" x14ac:dyDescent="0.2">
      <c r="A388" s="105"/>
      <c r="B388" s="105"/>
      <c r="C388" s="105"/>
      <c r="D388" s="105"/>
      <c r="E388" s="105"/>
      <c r="F388" s="105"/>
      <c r="G388" s="105"/>
      <c r="H388" s="105"/>
      <c r="I388" s="105"/>
      <c r="J388" s="105"/>
      <c r="K388" s="105"/>
      <c r="L388" s="105"/>
      <c r="M388" s="105"/>
      <c r="N388" s="105"/>
      <c r="O388" s="105"/>
      <c r="P388" s="105"/>
      <c r="Q388" s="105"/>
      <c r="R388" s="105"/>
      <c r="S388" s="105"/>
      <c r="T388" s="105"/>
      <c r="U388" s="105"/>
      <c r="V388" s="105"/>
      <c r="W388" s="105"/>
      <c r="X388" s="105"/>
      <c r="Y388" s="105"/>
      <c r="Z388" s="105"/>
      <c r="AA388" s="105"/>
      <c r="AB388" s="105"/>
      <c r="AC388" s="105"/>
    </row>
    <row r="389" spans="1:29" ht="15.75" customHeight="1" x14ac:dyDescent="0.2">
      <c r="A389" s="105"/>
      <c r="B389" s="105"/>
      <c r="C389" s="105"/>
      <c r="D389" s="105"/>
      <c r="E389" s="105"/>
      <c r="F389" s="105"/>
      <c r="G389" s="105"/>
      <c r="H389" s="105"/>
      <c r="I389" s="105"/>
      <c r="J389" s="105"/>
      <c r="K389" s="105"/>
      <c r="L389" s="105"/>
      <c r="M389" s="105"/>
      <c r="N389" s="105"/>
      <c r="O389" s="105"/>
      <c r="P389" s="105"/>
      <c r="Q389" s="105"/>
      <c r="R389" s="105"/>
      <c r="S389" s="105"/>
      <c r="T389" s="105"/>
      <c r="U389" s="105"/>
      <c r="V389" s="105"/>
      <c r="W389" s="105"/>
      <c r="X389" s="105"/>
      <c r="Y389" s="105"/>
      <c r="Z389" s="105"/>
      <c r="AA389" s="105"/>
      <c r="AB389" s="105"/>
      <c r="AC389" s="105"/>
    </row>
    <row r="390" spans="1:29" ht="15.75" customHeight="1" x14ac:dyDescent="0.2">
      <c r="A390" s="105"/>
      <c r="B390" s="105"/>
      <c r="C390" s="105"/>
      <c r="D390" s="105"/>
      <c r="E390" s="105"/>
      <c r="F390" s="105"/>
      <c r="G390" s="105"/>
      <c r="H390" s="105"/>
      <c r="I390" s="105"/>
      <c r="J390" s="105"/>
      <c r="K390" s="105"/>
      <c r="L390" s="105"/>
      <c r="M390" s="105"/>
      <c r="N390" s="105"/>
      <c r="O390" s="105"/>
      <c r="P390" s="105"/>
      <c r="Q390" s="105"/>
      <c r="R390" s="105"/>
      <c r="S390" s="105"/>
      <c r="T390" s="105"/>
      <c r="U390" s="105"/>
      <c r="V390" s="105"/>
      <c r="W390" s="105"/>
      <c r="X390" s="105"/>
      <c r="Y390" s="105"/>
      <c r="Z390" s="105"/>
      <c r="AA390" s="105"/>
      <c r="AB390" s="105"/>
      <c r="AC390" s="105"/>
    </row>
    <row r="391" spans="1:29" ht="15.75" customHeight="1" x14ac:dyDescent="0.2">
      <c r="A391" s="105"/>
      <c r="B391" s="105"/>
      <c r="C391" s="105"/>
      <c r="D391" s="105"/>
      <c r="E391" s="105"/>
      <c r="F391" s="105"/>
      <c r="G391" s="105"/>
      <c r="H391" s="105"/>
      <c r="I391" s="105"/>
      <c r="J391" s="105"/>
      <c r="K391" s="105"/>
      <c r="L391" s="105"/>
      <c r="M391" s="105"/>
      <c r="N391" s="105"/>
      <c r="O391" s="105"/>
      <c r="P391" s="105"/>
      <c r="Q391" s="105"/>
      <c r="R391" s="105"/>
      <c r="S391" s="105"/>
      <c r="T391" s="105"/>
      <c r="U391" s="105"/>
      <c r="V391" s="105"/>
      <c r="W391" s="105"/>
      <c r="X391" s="105"/>
      <c r="Y391" s="105"/>
      <c r="Z391" s="105"/>
      <c r="AA391" s="105"/>
      <c r="AB391" s="105"/>
      <c r="AC391" s="105"/>
    </row>
    <row r="392" spans="1:29" ht="15.75" customHeight="1" x14ac:dyDescent="0.2">
      <c r="A392" s="105"/>
      <c r="B392" s="105"/>
      <c r="C392" s="105"/>
      <c r="D392" s="105"/>
      <c r="E392" s="105"/>
      <c r="F392" s="105"/>
      <c r="G392" s="105"/>
      <c r="H392" s="105"/>
      <c r="I392" s="105"/>
      <c r="J392" s="105"/>
      <c r="K392" s="105"/>
      <c r="L392" s="105"/>
      <c r="M392" s="105"/>
      <c r="N392" s="105"/>
      <c r="O392" s="105"/>
      <c r="P392" s="105"/>
      <c r="Q392" s="105"/>
      <c r="R392" s="105"/>
      <c r="S392" s="105"/>
      <c r="T392" s="105"/>
      <c r="U392" s="105"/>
      <c r="V392" s="105"/>
      <c r="W392" s="105"/>
      <c r="X392" s="105"/>
      <c r="Y392" s="105"/>
      <c r="Z392" s="105"/>
      <c r="AA392" s="105"/>
      <c r="AB392" s="105"/>
      <c r="AC392" s="105"/>
    </row>
    <row r="393" spans="1:29" ht="15.75" customHeight="1" x14ac:dyDescent="0.2">
      <c r="A393" s="105"/>
      <c r="B393" s="105"/>
      <c r="C393" s="105"/>
      <c r="D393" s="105"/>
      <c r="E393" s="105"/>
      <c r="F393" s="105"/>
      <c r="G393" s="105"/>
      <c r="H393" s="105"/>
      <c r="I393" s="105"/>
      <c r="J393" s="105"/>
      <c r="K393" s="105"/>
      <c r="L393" s="105"/>
      <c r="M393" s="105"/>
      <c r="N393" s="105"/>
      <c r="O393" s="105"/>
      <c r="P393" s="105"/>
      <c r="Q393" s="105"/>
      <c r="R393" s="105"/>
      <c r="S393" s="105"/>
      <c r="T393" s="105"/>
      <c r="U393" s="105"/>
      <c r="V393" s="105"/>
      <c r="W393" s="105"/>
      <c r="X393" s="105"/>
      <c r="Y393" s="105"/>
      <c r="Z393" s="105"/>
      <c r="AA393" s="105"/>
      <c r="AB393" s="105"/>
      <c r="AC393" s="105"/>
    </row>
    <row r="394" spans="1:29" ht="15.75" customHeight="1" x14ac:dyDescent="0.2">
      <c r="A394" s="105"/>
      <c r="B394" s="105"/>
      <c r="C394" s="105"/>
      <c r="D394" s="105"/>
      <c r="E394" s="105"/>
      <c r="F394" s="105"/>
      <c r="G394" s="105"/>
      <c r="H394" s="105"/>
      <c r="I394" s="105"/>
      <c r="J394" s="105"/>
      <c r="K394" s="105"/>
      <c r="L394" s="105"/>
      <c r="M394" s="105"/>
      <c r="N394" s="105"/>
      <c r="O394" s="105"/>
      <c r="P394" s="105"/>
      <c r="Q394" s="105"/>
      <c r="R394" s="105"/>
      <c r="S394" s="105"/>
      <c r="T394" s="105"/>
      <c r="U394" s="105"/>
      <c r="V394" s="105"/>
      <c r="W394" s="105"/>
      <c r="X394" s="105"/>
      <c r="Y394" s="105"/>
      <c r="Z394" s="105"/>
      <c r="AA394" s="105"/>
      <c r="AB394" s="105"/>
      <c r="AC394" s="105"/>
    </row>
    <row r="395" spans="1:29" ht="15.75" customHeight="1" x14ac:dyDescent="0.2">
      <c r="A395" s="105"/>
      <c r="B395" s="105"/>
      <c r="C395" s="105"/>
      <c r="D395" s="105"/>
      <c r="E395" s="105"/>
      <c r="F395" s="105"/>
      <c r="G395" s="105"/>
      <c r="H395" s="105"/>
      <c r="I395" s="105"/>
      <c r="J395" s="105"/>
      <c r="K395" s="105"/>
      <c r="L395" s="105"/>
      <c r="M395" s="105"/>
      <c r="N395" s="105"/>
      <c r="O395" s="105"/>
      <c r="P395" s="105"/>
      <c r="Q395" s="105"/>
      <c r="R395" s="105"/>
      <c r="S395" s="105"/>
      <c r="T395" s="105"/>
      <c r="U395" s="105"/>
      <c r="V395" s="105"/>
      <c r="W395" s="105"/>
      <c r="X395" s="105"/>
      <c r="Y395" s="105"/>
      <c r="Z395" s="105"/>
      <c r="AA395" s="105"/>
      <c r="AB395" s="105"/>
      <c r="AC395" s="105"/>
    </row>
    <row r="396" spans="1:29" ht="15.75" customHeight="1" x14ac:dyDescent="0.2">
      <c r="A396" s="105"/>
      <c r="B396" s="105"/>
      <c r="C396" s="105"/>
      <c r="D396" s="105"/>
      <c r="E396" s="105"/>
      <c r="F396" s="105"/>
      <c r="G396" s="105"/>
      <c r="H396" s="105"/>
      <c r="I396" s="105"/>
      <c r="J396" s="105"/>
      <c r="K396" s="105"/>
      <c r="L396" s="105"/>
      <c r="M396" s="105"/>
      <c r="N396" s="105"/>
      <c r="O396" s="105"/>
      <c r="P396" s="105"/>
      <c r="Q396" s="105"/>
      <c r="R396" s="105"/>
      <c r="S396" s="105"/>
      <c r="T396" s="105"/>
      <c r="U396" s="105"/>
      <c r="V396" s="105"/>
      <c r="W396" s="105"/>
      <c r="X396" s="105"/>
      <c r="Y396" s="105"/>
      <c r="Z396" s="105"/>
      <c r="AA396" s="105"/>
      <c r="AB396" s="105"/>
      <c r="AC396" s="105"/>
    </row>
    <row r="397" spans="1:29" ht="15.75" customHeight="1" x14ac:dyDescent="0.2">
      <c r="A397" s="105"/>
      <c r="B397" s="105"/>
      <c r="C397" s="105"/>
      <c r="D397" s="105"/>
      <c r="E397" s="105"/>
      <c r="F397" s="105"/>
      <c r="G397" s="105"/>
      <c r="H397" s="105"/>
      <c r="I397" s="105"/>
      <c r="J397" s="105"/>
      <c r="K397" s="105"/>
      <c r="L397" s="105"/>
      <c r="M397" s="105"/>
      <c r="N397" s="105"/>
      <c r="O397" s="105"/>
      <c r="P397" s="105"/>
      <c r="Q397" s="105"/>
      <c r="R397" s="105"/>
      <c r="S397" s="105"/>
      <c r="T397" s="105"/>
      <c r="U397" s="105"/>
      <c r="V397" s="105"/>
      <c r="W397" s="105"/>
      <c r="X397" s="105"/>
      <c r="Y397" s="105"/>
      <c r="Z397" s="105"/>
      <c r="AA397" s="105"/>
      <c r="AB397" s="105"/>
      <c r="AC397" s="105"/>
    </row>
    <row r="398" spans="1:29" ht="15.75" customHeight="1" x14ac:dyDescent="0.2">
      <c r="A398" s="105"/>
      <c r="B398" s="105"/>
      <c r="C398" s="105"/>
      <c r="D398" s="105"/>
      <c r="E398" s="105"/>
      <c r="F398" s="105"/>
      <c r="G398" s="105"/>
      <c r="H398" s="105"/>
      <c r="I398" s="105"/>
      <c r="J398" s="105"/>
      <c r="K398" s="105"/>
      <c r="L398" s="105"/>
      <c r="M398" s="105"/>
      <c r="N398" s="105"/>
      <c r="O398" s="105"/>
      <c r="P398" s="105"/>
      <c r="Q398" s="105"/>
      <c r="R398" s="105"/>
      <c r="S398" s="105"/>
      <c r="T398" s="105"/>
      <c r="U398" s="105"/>
      <c r="V398" s="105"/>
      <c r="W398" s="105"/>
      <c r="X398" s="105"/>
      <c r="Y398" s="105"/>
      <c r="Z398" s="105"/>
      <c r="AA398" s="105"/>
      <c r="AB398" s="105"/>
      <c r="AC398" s="105"/>
    </row>
    <row r="399" spans="1:29" ht="15.75" customHeight="1" x14ac:dyDescent="0.2">
      <c r="A399" s="105"/>
      <c r="B399" s="105"/>
      <c r="C399" s="105"/>
      <c r="D399" s="105"/>
      <c r="E399" s="105"/>
      <c r="F399" s="105"/>
      <c r="G399" s="105"/>
      <c r="H399" s="105"/>
      <c r="I399" s="105"/>
      <c r="J399" s="105"/>
      <c r="K399" s="105"/>
      <c r="L399" s="105"/>
      <c r="M399" s="105"/>
      <c r="N399" s="105"/>
      <c r="O399" s="105"/>
      <c r="P399" s="105"/>
      <c r="Q399" s="105"/>
      <c r="R399" s="105"/>
      <c r="S399" s="105"/>
      <c r="T399" s="105"/>
      <c r="U399" s="105"/>
      <c r="V399" s="105"/>
      <c r="W399" s="105"/>
      <c r="X399" s="105"/>
      <c r="Y399" s="105"/>
      <c r="Z399" s="105"/>
      <c r="AA399" s="105"/>
      <c r="AB399" s="105"/>
      <c r="AC399" s="105"/>
    </row>
    <row r="400" spans="1:29" ht="15.75" customHeight="1" x14ac:dyDescent="0.2">
      <c r="A400" s="105"/>
      <c r="B400" s="105"/>
      <c r="C400" s="105"/>
      <c r="D400" s="105"/>
      <c r="E400" s="105"/>
      <c r="F400" s="105"/>
      <c r="G400" s="105"/>
      <c r="H400" s="105"/>
      <c r="I400" s="105"/>
      <c r="J400" s="105"/>
      <c r="K400" s="105"/>
      <c r="L400" s="105"/>
      <c r="M400" s="105"/>
      <c r="N400" s="105"/>
      <c r="O400" s="105"/>
      <c r="P400" s="105"/>
      <c r="Q400" s="105"/>
      <c r="R400" s="105"/>
      <c r="S400" s="105"/>
      <c r="T400" s="105"/>
      <c r="U400" s="105"/>
      <c r="V400" s="105"/>
      <c r="W400" s="105"/>
      <c r="X400" s="105"/>
      <c r="Y400" s="105"/>
      <c r="Z400" s="105"/>
      <c r="AA400" s="105"/>
      <c r="AB400" s="105"/>
      <c r="AC400" s="105"/>
    </row>
    <row r="401" spans="1:29" ht="15.75" customHeight="1" x14ac:dyDescent="0.2">
      <c r="A401" s="105"/>
      <c r="B401" s="105"/>
      <c r="C401" s="105"/>
      <c r="D401" s="105"/>
      <c r="E401" s="105"/>
      <c r="F401" s="105"/>
      <c r="G401" s="105"/>
      <c r="H401" s="105"/>
      <c r="I401" s="105"/>
      <c r="J401" s="105"/>
      <c r="K401" s="105"/>
      <c r="L401" s="105"/>
      <c r="M401" s="105"/>
      <c r="N401" s="105"/>
      <c r="O401" s="105"/>
      <c r="P401" s="105"/>
      <c r="Q401" s="105"/>
      <c r="R401" s="105"/>
      <c r="S401" s="105"/>
      <c r="T401" s="105"/>
      <c r="U401" s="105"/>
      <c r="V401" s="105"/>
      <c r="W401" s="105"/>
      <c r="X401" s="105"/>
      <c r="Y401" s="105"/>
      <c r="Z401" s="105"/>
      <c r="AA401" s="105"/>
      <c r="AB401" s="105"/>
      <c r="AC401" s="105"/>
    </row>
    <row r="402" spans="1:29" ht="15.75" customHeight="1" x14ac:dyDescent="0.2">
      <c r="A402" s="105"/>
      <c r="B402" s="105"/>
      <c r="C402" s="105"/>
      <c r="D402" s="105"/>
      <c r="E402" s="105"/>
      <c r="F402" s="105"/>
      <c r="G402" s="105"/>
      <c r="H402" s="105"/>
      <c r="I402" s="105"/>
      <c r="J402" s="105"/>
      <c r="K402" s="105"/>
      <c r="L402" s="105"/>
      <c r="M402" s="105"/>
      <c r="N402" s="105"/>
      <c r="O402" s="105"/>
      <c r="P402" s="105"/>
      <c r="Q402" s="105"/>
      <c r="R402" s="105"/>
      <c r="S402" s="105"/>
      <c r="T402" s="105"/>
      <c r="U402" s="105"/>
      <c r="V402" s="105"/>
      <c r="W402" s="105"/>
      <c r="X402" s="105"/>
      <c r="Y402" s="105"/>
      <c r="Z402" s="105"/>
      <c r="AA402" s="105"/>
      <c r="AB402" s="105"/>
      <c r="AC402" s="105"/>
    </row>
    <row r="403" spans="1:29" ht="15.75" customHeight="1" x14ac:dyDescent="0.2">
      <c r="A403" s="105"/>
      <c r="B403" s="105"/>
      <c r="C403" s="105"/>
      <c r="D403" s="105"/>
      <c r="E403" s="105"/>
      <c r="F403" s="105"/>
      <c r="G403" s="105"/>
      <c r="H403" s="105"/>
      <c r="I403" s="105"/>
      <c r="J403" s="105"/>
      <c r="K403" s="105"/>
      <c r="L403" s="105"/>
      <c r="M403" s="105"/>
      <c r="N403" s="105"/>
      <c r="O403" s="105"/>
      <c r="P403" s="105"/>
      <c r="Q403" s="105"/>
      <c r="R403" s="105"/>
      <c r="S403" s="105"/>
      <c r="T403" s="105"/>
      <c r="U403" s="105"/>
      <c r="V403" s="105"/>
      <c r="W403" s="105"/>
      <c r="X403" s="105"/>
      <c r="Y403" s="105"/>
      <c r="Z403" s="105"/>
      <c r="AA403" s="105"/>
      <c r="AB403" s="105"/>
      <c r="AC403" s="105"/>
    </row>
    <row r="404" spans="1:29" ht="15.75" customHeight="1" x14ac:dyDescent="0.2">
      <c r="A404" s="105"/>
      <c r="B404" s="105"/>
      <c r="C404" s="105"/>
      <c r="D404" s="105"/>
      <c r="E404" s="105"/>
      <c r="F404" s="105"/>
      <c r="G404" s="105"/>
      <c r="H404" s="105"/>
      <c r="I404" s="105"/>
      <c r="J404" s="105"/>
      <c r="K404" s="105"/>
      <c r="L404" s="105"/>
      <c r="M404" s="105"/>
      <c r="N404" s="105"/>
      <c r="O404" s="105"/>
      <c r="P404" s="105"/>
      <c r="Q404" s="105"/>
      <c r="R404" s="105"/>
      <c r="S404" s="105"/>
      <c r="T404" s="105"/>
      <c r="U404" s="105"/>
      <c r="V404" s="105"/>
      <c r="W404" s="105"/>
      <c r="X404" s="105"/>
      <c r="Y404" s="105"/>
      <c r="Z404" s="105"/>
      <c r="AA404" s="105"/>
      <c r="AB404" s="105"/>
      <c r="AC404" s="105"/>
    </row>
    <row r="405" spans="1:29" ht="15.75" customHeight="1" x14ac:dyDescent="0.2">
      <c r="A405" s="105"/>
      <c r="B405" s="105"/>
      <c r="C405" s="105"/>
      <c r="D405" s="105"/>
      <c r="E405" s="105"/>
      <c r="F405" s="105"/>
      <c r="G405" s="105"/>
      <c r="H405" s="105"/>
      <c r="I405" s="105"/>
      <c r="J405" s="105"/>
      <c r="K405" s="105"/>
      <c r="L405" s="105"/>
      <c r="M405" s="105"/>
      <c r="N405" s="105"/>
      <c r="O405" s="105"/>
      <c r="P405" s="105"/>
      <c r="Q405" s="105"/>
      <c r="R405" s="105"/>
      <c r="S405" s="105"/>
      <c r="T405" s="105"/>
      <c r="U405" s="105"/>
      <c r="V405" s="105"/>
      <c r="W405" s="105"/>
      <c r="X405" s="105"/>
      <c r="Y405" s="105"/>
      <c r="Z405" s="105"/>
      <c r="AA405" s="105"/>
      <c r="AB405" s="105"/>
      <c r="AC405" s="105"/>
    </row>
    <row r="406" spans="1:29" ht="15.75" customHeight="1" x14ac:dyDescent="0.2">
      <c r="A406" s="105"/>
      <c r="B406" s="105"/>
      <c r="C406" s="105"/>
      <c r="D406" s="105"/>
      <c r="E406" s="105"/>
      <c r="F406" s="105"/>
      <c r="G406" s="105"/>
      <c r="H406" s="105"/>
      <c r="I406" s="105"/>
      <c r="J406" s="105"/>
      <c r="K406" s="105"/>
      <c r="L406" s="105"/>
      <c r="M406" s="105"/>
      <c r="N406" s="105"/>
      <c r="O406" s="105"/>
      <c r="P406" s="105"/>
      <c r="Q406" s="105"/>
      <c r="R406" s="105"/>
      <c r="S406" s="105"/>
      <c r="T406" s="105"/>
      <c r="U406" s="105"/>
      <c r="V406" s="105"/>
      <c r="W406" s="105"/>
      <c r="X406" s="105"/>
      <c r="Y406" s="105"/>
      <c r="Z406" s="105"/>
      <c r="AA406" s="105"/>
      <c r="AB406" s="105"/>
      <c r="AC406" s="105"/>
    </row>
    <row r="407" spans="1:29" ht="15.75" customHeight="1" x14ac:dyDescent="0.2">
      <c r="A407" s="105"/>
      <c r="B407" s="105"/>
      <c r="C407" s="105"/>
      <c r="D407" s="105"/>
      <c r="E407" s="105"/>
      <c r="F407" s="105"/>
      <c r="G407" s="105"/>
      <c r="H407" s="105"/>
      <c r="I407" s="105"/>
      <c r="J407" s="105"/>
      <c r="K407" s="105"/>
      <c r="L407" s="105"/>
      <c r="M407" s="105"/>
      <c r="N407" s="105"/>
      <c r="O407" s="105"/>
      <c r="P407" s="105"/>
      <c r="Q407" s="105"/>
      <c r="R407" s="105"/>
      <c r="S407" s="105"/>
      <c r="T407" s="105"/>
      <c r="U407" s="105"/>
      <c r="V407" s="105"/>
      <c r="W407" s="105"/>
      <c r="X407" s="105"/>
      <c r="Y407" s="105"/>
      <c r="Z407" s="105"/>
      <c r="AA407" s="105"/>
      <c r="AB407" s="105"/>
      <c r="AC407" s="105"/>
    </row>
    <row r="408" spans="1:29" ht="15.75" customHeight="1" x14ac:dyDescent="0.2">
      <c r="A408" s="105"/>
      <c r="B408" s="105"/>
      <c r="C408" s="105"/>
      <c r="D408" s="105"/>
      <c r="E408" s="105"/>
      <c r="F408" s="105"/>
      <c r="G408" s="105"/>
      <c r="H408" s="105"/>
      <c r="I408" s="105"/>
      <c r="J408" s="105"/>
      <c r="K408" s="105"/>
      <c r="L408" s="105"/>
      <c r="M408" s="105"/>
      <c r="N408" s="105"/>
      <c r="O408" s="105"/>
      <c r="P408" s="105"/>
      <c r="Q408" s="105"/>
      <c r="R408" s="105"/>
      <c r="S408" s="105"/>
      <c r="T408" s="105"/>
      <c r="U408" s="105"/>
      <c r="V408" s="105"/>
      <c r="W408" s="105"/>
      <c r="X408" s="105"/>
      <c r="Y408" s="105"/>
      <c r="Z408" s="105"/>
      <c r="AA408" s="105"/>
      <c r="AB408" s="105"/>
      <c r="AC408" s="105"/>
    </row>
    <row r="409" spans="1:29" ht="15.75" customHeight="1" x14ac:dyDescent="0.2">
      <c r="A409" s="105"/>
      <c r="B409" s="105"/>
      <c r="C409" s="105"/>
      <c r="D409" s="105"/>
      <c r="E409" s="105"/>
      <c r="F409" s="105"/>
      <c r="G409" s="105"/>
      <c r="H409" s="105"/>
      <c r="I409" s="105"/>
      <c r="J409" s="105"/>
      <c r="K409" s="105"/>
      <c r="L409" s="105"/>
      <c r="M409" s="105"/>
      <c r="N409" s="105"/>
      <c r="O409" s="105"/>
      <c r="P409" s="105"/>
      <c r="Q409" s="105"/>
      <c r="R409" s="105"/>
      <c r="S409" s="105"/>
      <c r="T409" s="105"/>
      <c r="U409" s="105"/>
      <c r="V409" s="105"/>
      <c r="W409" s="105"/>
      <c r="X409" s="105"/>
      <c r="Y409" s="105"/>
      <c r="Z409" s="105"/>
      <c r="AA409" s="105"/>
      <c r="AB409" s="105"/>
      <c r="AC409" s="105"/>
    </row>
    <row r="410" spans="1:29" ht="15.75" customHeight="1" x14ac:dyDescent="0.2">
      <c r="A410" s="105"/>
      <c r="B410" s="105"/>
      <c r="C410" s="105"/>
      <c r="D410" s="105"/>
      <c r="E410" s="105"/>
      <c r="F410" s="105"/>
      <c r="G410" s="105"/>
      <c r="H410" s="105"/>
      <c r="I410" s="105"/>
      <c r="J410" s="105"/>
      <c r="K410" s="105"/>
      <c r="L410" s="105"/>
      <c r="M410" s="105"/>
      <c r="N410" s="105"/>
      <c r="O410" s="105"/>
      <c r="P410" s="105"/>
      <c r="Q410" s="105"/>
      <c r="R410" s="105"/>
      <c r="S410" s="105"/>
      <c r="T410" s="105"/>
      <c r="U410" s="105"/>
      <c r="V410" s="105"/>
      <c r="W410" s="105"/>
      <c r="X410" s="105"/>
      <c r="Y410" s="105"/>
      <c r="Z410" s="105"/>
      <c r="AA410" s="105"/>
      <c r="AB410" s="105"/>
      <c r="AC410" s="105"/>
    </row>
    <row r="411" spans="1:29" ht="15.75" customHeight="1" x14ac:dyDescent="0.2">
      <c r="A411" s="105"/>
      <c r="B411" s="105"/>
      <c r="C411" s="105"/>
      <c r="D411" s="105"/>
      <c r="E411" s="105"/>
      <c r="F411" s="105"/>
      <c r="G411" s="105"/>
      <c r="H411" s="105"/>
      <c r="I411" s="105"/>
      <c r="J411" s="105"/>
      <c r="K411" s="105"/>
      <c r="L411" s="105"/>
      <c r="M411" s="105"/>
      <c r="N411" s="105"/>
      <c r="O411" s="105"/>
      <c r="P411" s="105"/>
      <c r="Q411" s="105"/>
      <c r="R411" s="105"/>
      <c r="S411" s="105"/>
      <c r="T411" s="105"/>
      <c r="U411" s="105"/>
      <c r="V411" s="105"/>
      <c r="W411" s="105"/>
      <c r="X411" s="105"/>
      <c r="Y411" s="105"/>
      <c r="Z411" s="105"/>
      <c r="AA411" s="105"/>
      <c r="AB411" s="105"/>
      <c r="AC411" s="105"/>
    </row>
    <row r="412" spans="1:29" ht="15.75" customHeight="1" x14ac:dyDescent="0.2">
      <c r="A412" s="105"/>
      <c r="B412" s="105"/>
      <c r="C412" s="105"/>
      <c r="D412" s="105"/>
      <c r="E412" s="105"/>
      <c r="F412" s="105"/>
      <c r="G412" s="105"/>
      <c r="H412" s="105"/>
      <c r="I412" s="105"/>
      <c r="J412" s="105"/>
      <c r="K412" s="105"/>
      <c r="L412" s="105"/>
      <c r="M412" s="105"/>
      <c r="N412" s="105"/>
      <c r="O412" s="105"/>
      <c r="P412" s="105"/>
      <c r="Q412" s="105"/>
      <c r="R412" s="105"/>
      <c r="S412" s="105"/>
      <c r="T412" s="105"/>
      <c r="U412" s="105"/>
      <c r="V412" s="105"/>
      <c r="W412" s="105"/>
      <c r="X412" s="105"/>
      <c r="Y412" s="105"/>
      <c r="Z412" s="105"/>
      <c r="AA412" s="105"/>
      <c r="AB412" s="105"/>
      <c r="AC412" s="105"/>
    </row>
    <row r="413" spans="1:29" ht="15.75" customHeight="1" x14ac:dyDescent="0.2">
      <c r="A413" s="105"/>
      <c r="B413" s="105"/>
      <c r="C413" s="105"/>
      <c r="D413" s="105"/>
      <c r="E413" s="105"/>
      <c r="F413" s="105"/>
      <c r="G413" s="105"/>
      <c r="H413" s="105"/>
      <c r="I413" s="105"/>
      <c r="J413" s="105"/>
      <c r="K413" s="105"/>
      <c r="L413" s="105"/>
      <c r="M413" s="105"/>
      <c r="N413" s="105"/>
      <c r="O413" s="105"/>
      <c r="P413" s="105"/>
      <c r="Q413" s="105"/>
      <c r="R413" s="105"/>
      <c r="S413" s="105"/>
      <c r="T413" s="105"/>
      <c r="U413" s="105"/>
      <c r="V413" s="105"/>
      <c r="W413" s="105"/>
      <c r="X413" s="105"/>
      <c r="Y413" s="105"/>
      <c r="Z413" s="105"/>
      <c r="AA413" s="105"/>
      <c r="AB413" s="105"/>
      <c r="AC413" s="105"/>
    </row>
    <row r="414" spans="1:29" ht="15.75" customHeight="1" x14ac:dyDescent="0.2">
      <c r="A414" s="105"/>
      <c r="B414" s="105"/>
      <c r="C414" s="105"/>
      <c r="D414" s="105"/>
      <c r="E414" s="105"/>
      <c r="F414" s="105"/>
      <c r="G414" s="105"/>
      <c r="H414" s="105"/>
      <c r="I414" s="105"/>
      <c r="J414" s="105"/>
      <c r="K414" s="105"/>
      <c r="L414" s="105"/>
      <c r="M414" s="105"/>
      <c r="N414" s="105"/>
      <c r="O414" s="105"/>
      <c r="P414" s="105"/>
      <c r="Q414" s="105"/>
      <c r="R414" s="105"/>
      <c r="S414" s="105"/>
      <c r="T414" s="105"/>
      <c r="U414" s="105"/>
      <c r="V414" s="105"/>
      <c r="W414" s="105"/>
      <c r="X414" s="105"/>
      <c r="Y414" s="105"/>
      <c r="Z414" s="105"/>
      <c r="AA414" s="105"/>
      <c r="AB414" s="105"/>
      <c r="AC414" s="105"/>
    </row>
    <row r="415" spans="1:29" ht="15.75" customHeight="1" x14ac:dyDescent="0.2">
      <c r="A415" s="105"/>
      <c r="B415" s="105"/>
      <c r="C415" s="105"/>
      <c r="D415" s="105"/>
      <c r="E415" s="105"/>
      <c r="F415" s="105"/>
      <c r="G415" s="105"/>
      <c r="H415" s="105"/>
      <c r="I415" s="105"/>
      <c r="J415" s="105"/>
      <c r="K415" s="105"/>
      <c r="L415" s="105"/>
      <c r="M415" s="105"/>
      <c r="N415" s="105"/>
      <c r="O415" s="105"/>
      <c r="P415" s="105"/>
      <c r="Q415" s="105"/>
      <c r="R415" s="105"/>
      <c r="S415" s="105"/>
      <c r="T415" s="105"/>
      <c r="U415" s="105"/>
      <c r="V415" s="105"/>
      <c r="W415" s="105"/>
      <c r="X415" s="105"/>
      <c r="Y415" s="105"/>
      <c r="Z415" s="105"/>
      <c r="AA415" s="105"/>
      <c r="AB415" s="105"/>
      <c r="AC415" s="105"/>
    </row>
    <row r="416" spans="1:29" ht="15.75" customHeight="1" x14ac:dyDescent="0.2">
      <c r="A416" s="105"/>
      <c r="B416" s="105"/>
      <c r="C416" s="105"/>
      <c r="D416" s="105"/>
      <c r="E416" s="105"/>
      <c r="F416" s="105"/>
      <c r="G416" s="105"/>
      <c r="H416" s="105"/>
      <c r="I416" s="105"/>
      <c r="J416" s="105"/>
      <c r="K416" s="105"/>
      <c r="L416" s="105"/>
      <c r="M416" s="105"/>
      <c r="N416" s="105"/>
      <c r="O416" s="105"/>
      <c r="P416" s="105"/>
      <c r="Q416" s="105"/>
      <c r="R416" s="105"/>
      <c r="S416" s="105"/>
      <c r="T416" s="105"/>
      <c r="U416" s="105"/>
      <c r="V416" s="105"/>
      <c r="W416" s="105"/>
      <c r="X416" s="105"/>
      <c r="Y416" s="105"/>
      <c r="Z416" s="105"/>
      <c r="AA416" s="105"/>
      <c r="AB416" s="105"/>
      <c r="AC416" s="105"/>
    </row>
    <row r="417" spans="1:29" ht="15.75" customHeight="1" x14ac:dyDescent="0.2">
      <c r="A417" s="105"/>
      <c r="B417" s="105"/>
      <c r="C417" s="105"/>
      <c r="D417" s="105"/>
      <c r="E417" s="105"/>
      <c r="F417" s="105"/>
      <c r="G417" s="105"/>
      <c r="H417" s="105"/>
      <c r="I417" s="105"/>
      <c r="J417" s="105"/>
      <c r="K417" s="105"/>
      <c r="L417" s="105"/>
      <c r="M417" s="105"/>
      <c r="N417" s="105"/>
      <c r="O417" s="105"/>
      <c r="P417" s="105"/>
      <c r="Q417" s="105"/>
      <c r="R417" s="105"/>
      <c r="S417" s="105"/>
      <c r="T417" s="105"/>
      <c r="U417" s="105"/>
      <c r="V417" s="105"/>
      <c r="W417" s="105"/>
      <c r="X417" s="105"/>
      <c r="Y417" s="105"/>
      <c r="Z417" s="105"/>
      <c r="AA417" s="105"/>
      <c r="AB417" s="105"/>
      <c r="AC417" s="105"/>
    </row>
    <row r="418" spans="1:29" ht="15.75" customHeight="1" x14ac:dyDescent="0.2">
      <c r="A418" s="105"/>
      <c r="B418" s="105"/>
      <c r="C418" s="105"/>
      <c r="D418" s="105"/>
      <c r="E418" s="105"/>
      <c r="F418" s="105"/>
      <c r="G418" s="105"/>
      <c r="H418" s="105"/>
      <c r="I418" s="105"/>
      <c r="J418" s="105"/>
      <c r="K418" s="105"/>
      <c r="L418" s="105"/>
      <c r="M418" s="105"/>
      <c r="N418" s="105"/>
      <c r="O418" s="105"/>
      <c r="P418" s="105"/>
      <c r="Q418" s="105"/>
      <c r="R418" s="105"/>
      <c r="S418" s="105"/>
      <c r="T418" s="105"/>
      <c r="U418" s="105"/>
      <c r="V418" s="105"/>
      <c r="W418" s="105"/>
      <c r="X418" s="105"/>
      <c r="Y418" s="105"/>
      <c r="Z418" s="105"/>
      <c r="AA418" s="105"/>
      <c r="AB418" s="105"/>
      <c r="AC418" s="105"/>
    </row>
    <row r="419" spans="1:29" ht="15.75" customHeight="1" x14ac:dyDescent="0.2">
      <c r="A419" s="105"/>
      <c r="B419" s="105"/>
      <c r="C419" s="105"/>
      <c r="D419" s="105"/>
      <c r="E419" s="105"/>
      <c r="F419" s="105"/>
      <c r="G419" s="105"/>
      <c r="H419" s="105"/>
      <c r="I419" s="105"/>
      <c r="J419" s="105"/>
      <c r="K419" s="105"/>
      <c r="L419" s="105"/>
      <c r="M419" s="105"/>
      <c r="N419" s="105"/>
      <c r="O419" s="105"/>
      <c r="P419" s="105"/>
      <c r="Q419" s="105"/>
      <c r="R419" s="105"/>
      <c r="S419" s="105"/>
      <c r="T419" s="105"/>
      <c r="U419" s="105"/>
      <c r="V419" s="105"/>
      <c r="W419" s="105"/>
      <c r="X419" s="105"/>
      <c r="Y419" s="105"/>
      <c r="Z419" s="105"/>
      <c r="AA419" s="105"/>
      <c r="AB419" s="105"/>
      <c r="AC419" s="105"/>
    </row>
    <row r="420" spans="1:29" ht="15.75" customHeight="1" x14ac:dyDescent="0.2">
      <c r="A420" s="105"/>
      <c r="B420" s="105"/>
      <c r="C420" s="105"/>
      <c r="D420" s="105"/>
      <c r="E420" s="105"/>
      <c r="F420" s="105"/>
      <c r="G420" s="105"/>
      <c r="H420" s="105"/>
      <c r="I420" s="105"/>
      <c r="J420" s="105"/>
      <c r="K420" s="105"/>
      <c r="L420" s="105"/>
      <c r="M420" s="105"/>
      <c r="N420" s="105"/>
      <c r="O420" s="105"/>
      <c r="P420" s="105"/>
      <c r="Q420" s="105"/>
      <c r="R420" s="105"/>
      <c r="S420" s="105"/>
      <c r="T420" s="105"/>
      <c r="U420" s="105"/>
      <c r="V420" s="105"/>
      <c r="W420" s="105"/>
      <c r="X420" s="105"/>
      <c r="Y420" s="105"/>
      <c r="Z420" s="105"/>
      <c r="AA420" s="105"/>
      <c r="AB420" s="105"/>
      <c r="AC420" s="105"/>
    </row>
    <row r="421" spans="1:29" ht="15.75" customHeight="1" x14ac:dyDescent="0.2">
      <c r="A421" s="105"/>
      <c r="B421" s="105"/>
      <c r="C421" s="105"/>
      <c r="D421" s="105"/>
      <c r="E421" s="105"/>
      <c r="F421" s="105"/>
      <c r="G421" s="105"/>
      <c r="H421" s="105"/>
      <c r="I421" s="105"/>
      <c r="J421" s="105"/>
      <c r="K421" s="105"/>
      <c r="L421" s="105"/>
      <c r="M421" s="105"/>
      <c r="N421" s="105"/>
      <c r="O421" s="105"/>
      <c r="P421" s="105"/>
      <c r="Q421" s="105"/>
      <c r="R421" s="105"/>
      <c r="S421" s="105"/>
      <c r="T421" s="105"/>
      <c r="U421" s="105"/>
      <c r="V421" s="105"/>
      <c r="W421" s="105"/>
      <c r="X421" s="105"/>
      <c r="Y421" s="105"/>
      <c r="Z421" s="105"/>
      <c r="AA421" s="105"/>
      <c r="AB421" s="105"/>
      <c r="AC421" s="105"/>
    </row>
    <row r="422" spans="1:29" ht="15.75" customHeight="1" x14ac:dyDescent="0.2">
      <c r="A422" s="105"/>
      <c r="B422" s="105"/>
      <c r="C422" s="105"/>
      <c r="D422" s="105"/>
      <c r="E422" s="105"/>
      <c r="F422" s="105"/>
      <c r="G422" s="105"/>
      <c r="H422" s="105"/>
      <c r="I422" s="105"/>
      <c r="J422" s="105"/>
      <c r="K422" s="105"/>
      <c r="L422" s="105"/>
      <c r="M422" s="105"/>
      <c r="N422" s="105"/>
      <c r="O422" s="105"/>
      <c r="P422" s="105"/>
      <c r="Q422" s="105"/>
      <c r="R422" s="105"/>
      <c r="S422" s="105"/>
      <c r="T422" s="105"/>
      <c r="U422" s="105"/>
      <c r="V422" s="105"/>
      <c r="W422" s="105"/>
      <c r="X422" s="105"/>
      <c r="Y422" s="105"/>
      <c r="Z422" s="105"/>
      <c r="AA422" s="105"/>
      <c r="AB422" s="105"/>
      <c r="AC422" s="105"/>
    </row>
    <row r="423" spans="1:29" ht="15.75" customHeight="1" x14ac:dyDescent="0.2">
      <c r="A423" s="105"/>
      <c r="B423" s="105"/>
      <c r="C423" s="105"/>
      <c r="D423" s="105"/>
      <c r="E423" s="105"/>
      <c r="F423" s="105"/>
      <c r="G423" s="105"/>
      <c r="H423" s="105"/>
      <c r="I423" s="105"/>
      <c r="J423" s="105"/>
      <c r="K423" s="105"/>
      <c r="L423" s="105"/>
      <c r="M423" s="105"/>
      <c r="N423" s="105"/>
      <c r="O423" s="105"/>
      <c r="P423" s="105"/>
      <c r="Q423" s="105"/>
      <c r="R423" s="105"/>
      <c r="S423" s="105"/>
      <c r="T423" s="105"/>
      <c r="U423" s="105"/>
      <c r="V423" s="105"/>
      <c r="W423" s="105"/>
      <c r="X423" s="105"/>
      <c r="Y423" s="105"/>
      <c r="Z423" s="105"/>
      <c r="AA423" s="105"/>
      <c r="AB423" s="105"/>
      <c r="AC423" s="105"/>
    </row>
    <row r="424" spans="1:29" ht="15.75" customHeight="1" x14ac:dyDescent="0.2">
      <c r="A424" s="105"/>
      <c r="B424" s="105"/>
      <c r="C424" s="105"/>
      <c r="D424" s="105"/>
      <c r="E424" s="105"/>
      <c r="F424" s="105"/>
      <c r="G424" s="105"/>
      <c r="H424" s="105"/>
      <c r="I424" s="105"/>
      <c r="J424" s="105"/>
      <c r="K424" s="105"/>
      <c r="L424" s="105"/>
      <c r="M424" s="105"/>
      <c r="N424" s="105"/>
      <c r="O424" s="105"/>
      <c r="P424" s="105"/>
      <c r="Q424" s="105"/>
      <c r="R424" s="105"/>
      <c r="S424" s="105"/>
      <c r="T424" s="105"/>
      <c r="U424" s="105"/>
      <c r="V424" s="105"/>
      <c r="W424" s="105"/>
      <c r="X424" s="105"/>
      <c r="Y424" s="105"/>
      <c r="Z424" s="105"/>
      <c r="AA424" s="105"/>
      <c r="AB424" s="105"/>
      <c r="AC424" s="105"/>
    </row>
    <row r="425" spans="1:29" ht="15.75" customHeight="1" x14ac:dyDescent="0.2">
      <c r="A425" s="105"/>
      <c r="B425" s="105"/>
      <c r="C425" s="105"/>
      <c r="D425" s="105"/>
      <c r="E425" s="105"/>
      <c r="F425" s="105"/>
      <c r="G425" s="105"/>
      <c r="H425" s="105"/>
      <c r="I425" s="105"/>
      <c r="J425" s="105"/>
      <c r="K425" s="105"/>
      <c r="L425" s="105"/>
      <c r="M425" s="105"/>
      <c r="N425" s="105"/>
      <c r="O425" s="105"/>
      <c r="P425" s="105"/>
      <c r="Q425" s="105"/>
      <c r="R425" s="105"/>
      <c r="S425" s="105"/>
      <c r="T425" s="105"/>
      <c r="U425" s="105"/>
      <c r="V425" s="105"/>
      <c r="W425" s="105"/>
      <c r="X425" s="105"/>
      <c r="Y425" s="105"/>
      <c r="Z425" s="105"/>
      <c r="AA425" s="105"/>
      <c r="AB425" s="105"/>
      <c r="AC425" s="105"/>
    </row>
    <row r="426" spans="1:29" ht="15.75" customHeight="1" x14ac:dyDescent="0.2">
      <c r="A426" s="105"/>
      <c r="B426" s="105"/>
      <c r="C426" s="105"/>
      <c r="D426" s="105"/>
      <c r="E426" s="105"/>
      <c r="F426" s="105"/>
      <c r="G426" s="105"/>
      <c r="H426" s="105"/>
      <c r="I426" s="105"/>
      <c r="J426" s="105"/>
      <c r="K426" s="105"/>
      <c r="L426" s="105"/>
      <c r="M426" s="105"/>
      <c r="N426" s="105"/>
      <c r="O426" s="105"/>
      <c r="P426" s="105"/>
      <c r="Q426" s="105"/>
      <c r="R426" s="105"/>
      <c r="S426" s="105"/>
      <c r="T426" s="105"/>
      <c r="U426" s="105"/>
      <c r="V426" s="105"/>
      <c r="W426" s="105"/>
      <c r="X426" s="105"/>
      <c r="Y426" s="105"/>
      <c r="Z426" s="105"/>
      <c r="AA426" s="105"/>
      <c r="AB426" s="105"/>
      <c r="AC426" s="105"/>
    </row>
    <row r="427" spans="1:29" ht="15.75" customHeight="1" x14ac:dyDescent="0.2">
      <c r="A427" s="105"/>
      <c r="B427" s="105"/>
      <c r="C427" s="105"/>
      <c r="D427" s="105"/>
      <c r="E427" s="105"/>
      <c r="F427" s="105"/>
      <c r="G427" s="105"/>
      <c r="H427" s="105"/>
      <c r="I427" s="105"/>
      <c r="J427" s="105"/>
      <c r="K427" s="105"/>
      <c r="L427" s="105"/>
      <c r="M427" s="105"/>
      <c r="N427" s="105"/>
      <c r="O427" s="105"/>
      <c r="P427" s="105"/>
      <c r="Q427" s="105"/>
      <c r="R427" s="105"/>
      <c r="S427" s="105"/>
      <c r="T427" s="105"/>
      <c r="U427" s="105"/>
      <c r="V427" s="105"/>
      <c r="W427" s="105"/>
      <c r="X427" s="105"/>
      <c r="Y427" s="105"/>
      <c r="Z427" s="105"/>
      <c r="AA427" s="105"/>
      <c r="AB427" s="105"/>
      <c r="AC427" s="105"/>
    </row>
    <row r="428" spans="1:29" ht="15.75" customHeight="1" x14ac:dyDescent="0.2">
      <c r="A428" s="105"/>
      <c r="B428" s="105"/>
      <c r="C428" s="105"/>
      <c r="D428" s="105"/>
      <c r="E428" s="105"/>
      <c r="F428" s="105"/>
      <c r="G428" s="105"/>
      <c r="H428" s="105"/>
      <c r="I428" s="105"/>
      <c r="J428" s="105"/>
      <c r="K428" s="105"/>
      <c r="L428" s="105"/>
      <c r="M428" s="105"/>
      <c r="N428" s="105"/>
      <c r="O428" s="105"/>
      <c r="P428" s="105"/>
      <c r="Q428" s="105"/>
      <c r="R428" s="105"/>
      <c r="S428" s="105"/>
      <c r="T428" s="105"/>
      <c r="U428" s="105"/>
      <c r="V428" s="105"/>
      <c r="W428" s="105"/>
      <c r="X428" s="105"/>
      <c r="Y428" s="105"/>
      <c r="Z428" s="105"/>
      <c r="AA428" s="105"/>
      <c r="AB428" s="105"/>
      <c r="AC428" s="105"/>
    </row>
    <row r="429" spans="1:29" ht="15.75" customHeight="1" x14ac:dyDescent="0.2">
      <c r="A429" s="105"/>
      <c r="B429" s="105"/>
      <c r="C429" s="105"/>
      <c r="D429" s="105"/>
      <c r="E429" s="105"/>
      <c r="F429" s="105"/>
      <c r="G429" s="105"/>
      <c r="H429" s="105"/>
      <c r="I429" s="105"/>
      <c r="J429" s="105"/>
      <c r="K429" s="105"/>
      <c r="L429" s="105"/>
      <c r="M429" s="105"/>
      <c r="N429" s="105"/>
      <c r="O429" s="105"/>
      <c r="P429" s="105"/>
      <c r="Q429" s="105"/>
      <c r="R429" s="105"/>
      <c r="S429" s="105"/>
      <c r="T429" s="105"/>
      <c r="U429" s="105"/>
      <c r="V429" s="105"/>
      <c r="W429" s="105"/>
      <c r="X429" s="105"/>
      <c r="Y429" s="105"/>
      <c r="Z429" s="105"/>
      <c r="AA429" s="105"/>
      <c r="AB429" s="105"/>
      <c r="AC429" s="105"/>
    </row>
    <row r="430" spans="1:29" ht="15.75" customHeight="1" x14ac:dyDescent="0.2">
      <c r="A430" s="105"/>
      <c r="B430" s="105"/>
      <c r="C430" s="105"/>
      <c r="D430" s="105"/>
      <c r="E430" s="105"/>
      <c r="F430" s="105"/>
      <c r="G430" s="105"/>
      <c r="H430" s="105"/>
      <c r="I430" s="105"/>
      <c r="J430" s="105"/>
      <c r="K430" s="105"/>
      <c r="L430" s="105"/>
      <c r="M430" s="105"/>
      <c r="N430" s="105"/>
      <c r="O430" s="105"/>
      <c r="P430" s="105"/>
      <c r="Q430" s="105"/>
      <c r="R430" s="105"/>
      <c r="S430" s="105"/>
      <c r="T430" s="105"/>
      <c r="U430" s="105"/>
      <c r="V430" s="105"/>
      <c r="W430" s="105"/>
      <c r="X430" s="105"/>
      <c r="Y430" s="105"/>
      <c r="Z430" s="105"/>
      <c r="AA430" s="105"/>
      <c r="AB430" s="105"/>
      <c r="AC430" s="105"/>
    </row>
    <row r="431" spans="1:29" ht="15.75" customHeight="1" x14ac:dyDescent="0.2">
      <c r="A431" s="105"/>
      <c r="B431" s="105"/>
      <c r="C431" s="105"/>
      <c r="D431" s="105"/>
      <c r="E431" s="105"/>
      <c r="F431" s="105"/>
      <c r="G431" s="105"/>
      <c r="H431" s="105"/>
      <c r="I431" s="105"/>
      <c r="J431" s="105"/>
      <c r="K431" s="105"/>
      <c r="L431" s="105"/>
      <c r="M431" s="105"/>
      <c r="N431" s="105"/>
      <c r="O431" s="105"/>
      <c r="P431" s="105"/>
      <c r="Q431" s="105"/>
      <c r="R431" s="105"/>
      <c r="S431" s="105"/>
      <c r="T431" s="105"/>
      <c r="U431" s="105"/>
      <c r="V431" s="105"/>
      <c r="W431" s="105"/>
      <c r="X431" s="105"/>
      <c r="Y431" s="105"/>
      <c r="Z431" s="105"/>
      <c r="AA431" s="105"/>
      <c r="AB431" s="105"/>
      <c r="AC431" s="105"/>
    </row>
    <row r="432" spans="1:29" ht="15.75" customHeight="1" x14ac:dyDescent="0.2">
      <c r="A432" s="105"/>
      <c r="B432" s="105"/>
      <c r="C432" s="105"/>
      <c r="D432" s="105"/>
      <c r="E432" s="105"/>
      <c r="F432" s="105"/>
      <c r="G432" s="105"/>
      <c r="H432" s="105"/>
      <c r="I432" s="105"/>
      <c r="J432" s="105"/>
      <c r="K432" s="105"/>
      <c r="L432" s="105"/>
      <c r="M432" s="105"/>
      <c r="N432" s="105"/>
      <c r="O432" s="105"/>
      <c r="P432" s="105"/>
      <c r="Q432" s="105"/>
      <c r="R432" s="105"/>
      <c r="S432" s="105"/>
      <c r="T432" s="105"/>
      <c r="U432" s="105"/>
      <c r="V432" s="105"/>
      <c r="W432" s="105"/>
      <c r="X432" s="105"/>
      <c r="Y432" s="105"/>
      <c r="Z432" s="105"/>
      <c r="AA432" s="105"/>
      <c r="AB432" s="105"/>
      <c r="AC432" s="105"/>
    </row>
    <row r="433" spans="1:29" ht="15.75" customHeight="1" x14ac:dyDescent="0.2">
      <c r="A433" s="105"/>
      <c r="B433" s="105"/>
      <c r="C433" s="105"/>
      <c r="D433" s="105"/>
      <c r="E433" s="105"/>
      <c r="F433" s="105"/>
      <c r="G433" s="105"/>
      <c r="H433" s="105"/>
      <c r="I433" s="105"/>
      <c r="J433" s="105"/>
      <c r="K433" s="105"/>
      <c r="L433" s="105"/>
      <c r="M433" s="105"/>
      <c r="N433" s="105"/>
      <c r="O433" s="105"/>
      <c r="P433" s="105"/>
      <c r="Q433" s="105"/>
      <c r="R433" s="105"/>
      <c r="S433" s="105"/>
      <c r="T433" s="105"/>
      <c r="U433" s="105"/>
      <c r="V433" s="105"/>
      <c r="W433" s="105"/>
      <c r="X433" s="105"/>
      <c r="Y433" s="105"/>
      <c r="Z433" s="105"/>
      <c r="AA433" s="105"/>
      <c r="AB433" s="105"/>
      <c r="AC433" s="105"/>
    </row>
    <row r="434" spans="1:29" ht="15.75" customHeight="1" x14ac:dyDescent="0.2">
      <c r="A434" s="105"/>
      <c r="B434" s="105"/>
      <c r="C434" s="105"/>
      <c r="D434" s="105"/>
      <c r="E434" s="105"/>
      <c r="F434" s="105"/>
      <c r="G434" s="105"/>
      <c r="H434" s="105"/>
      <c r="I434" s="105"/>
      <c r="J434" s="105"/>
      <c r="K434" s="105"/>
      <c r="L434" s="105"/>
      <c r="M434" s="105"/>
      <c r="N434" s="105"/>
      <c r="O434" s="105"/>
      <c r="P434" s="105"/>
      <c r="Q434" s="105"/>
      <c r="R434" s="105"/>
      <c r="S434" s="105"/>
      <c r="T434" s="105"/>
      <c r="U434" s="105"/>
      <c r="V434" s="105"/>
      <c r="W434" s="105"/>
      <c r="X434" s="105"/>
      <c r="Y434" s="105"/>
      <c r="Z434" s="105"/>
      <c r="AA434" s="105"/>
      <c r="AB434" s="105"/>
      <c r="AC434" s="105"/>
    </row>
    <row r="435" spans="1:29" ht="15.75" customHeight="1" x14ac:dyDescent="0.2">
      <c r="A435" s="105"/>
      <c r="B435" s="105"/>
      <c r="C435" s="105"/>
      <c r="D435" s="105"/>
      <c r="E435" s="105"/>
      <c r="F435" s="105"/>
      <c r="G435" s="105"/>
      <c r="H435" s="105"/>
      <c r="I435" s="105"/>
      <c r="J435" s="105"/>
      <c r="K435" s="105"/>
      <c r="L435" s="105"/>
      <c r="M435" s="105"/>
      <c r="N435" s="105"/>
      <c r="O435" s="105"/>
      <c r="P435" s="105"/>
      <c r="Q435" s="105"/>
      <c r="R435" s="105"/>
      <c r="S435" s="105"/>
      <c r="T435" s="105"/>
      <c r="U435" s="105"/>
      <c r="V435" s="105"/>
      <c r="W435" s="105"/>
      <c r="X435" s="105"/>
      <c r="Y435" s="105"/>
      <c r="Z435" s="105"/>
      <c r="AA435" s="105"/>
      <c r="AB435" s="105"/>
      <c r="AC435" s="105"/>
    </row>
    <row r="436" spans="1:29" ht="15.75" customHeight="1" x14ac:dyDescent="0.2">
      <c r="A436" s="105"/>
      <c r="B436" s="105"/>
      <c r="C436" s="105"/>
      <c r="D436" s="105"/>
      <c r="E436" s="105"/>
      <c r="F436" s="105"/>
      <c r="G436" s="105"/>
      <c r="H436" s="105"/>
      <c r="I436" s="105"/>
      <c r="J436" s="105"/>
      <c r="K436" s="105"/>
      <c r="L436" s="105"/>
      <c r="M436" s="105"/>
      <c r="N436" s="105"/>
      <c r="O436" s="105"/>
      <c r="P436" s="105"/>
      <c r="Q436" s="105"/>
      <c r="R436" s="105"/>
      <c r="S436" s="105"/>
      <c r="T436" s="105"/>
      <c r="U436" s="105"/>
      <c r="V436" s="105"/>
      <c r="W436" s="105"/>
      <c r="X436" s="105"/>
      <c r="Y436" s="105"/>
      <c r="Z436" s="105"/>
      <c r="AA436" s="105"/>
      <c r="AB436" s="105"/>
      <c r="AC436" s="105"/>
    </row>
    <row r="437" spans="1:29" ht="15.75" customHeight="1" x14ac:dyDescent="0.2">
      <c r="A437" s="105"/>
      <c r="B437" s="105"/>
      <c r="C437" s="105"/>
      <c r="D437" s="105"/>
      <c r="E437" s="105"/>
      <c r="F437" s="105"/>
      <c r="G437" s="105"/>
      <c r="H437" s="105"/>
      <c r="I437" s="105"/>
      <c r="J437" s="105"/>
      <c r="K437" s="105"/>
      <c r="L437" s="105"/>
      <c r="M437" s="105"/>
      <c r="N437" s="105"/>
      <c r="O437" s="105"/>
      <c r="P437" s="105"/>
      <c r="Q437" s="105"/>
      <c r="R437" s="105"/>
      <c r="S437" s="105"/>
      <c r="T437" s="105"/>
      <c r="U437" s="105"/>
      <c r="V437" s="105"/>
      <c r="W437" s="105"/>
      <c r="X437" s="105"/>
      <c r="Y437" s="105"/>
      <c r="Z437" s="105"/>
      <c r="AA437" s="105"/>
      <c r="AB437" s="105"/>
      <c r="AC437" s="105"/>
    </row>
    <row r="438" spans="1:29" ht="15.75" customHeight="1" x14ac:dyDescent="0.2">
      <c r="A438" s="105"/>
      <c r="B438" s="105"/>
      <c r="C438" s="105"/>
      <c r="D438" s="105"/>
      <c r="E438" s="105"/>
      <c r="F438" s="105"/>
      <c r="G438" s="105"/>
      <c r="H438" s="105"/>
      <c r="I438" s="105"/>
      <c r="J438" s="105"/>
      <c r="K438" s="105"/>
      <c r="L438" s="105"/>
      <c r="M438" s="105"/>
      <c r="N438" s="105"/>
      <c r="O438" s="105"/>
      <c r="P438" s="105"/>
      <c r="Q438" s="105"/>
      <c r="R438" s="105"/>
      <c r="S438" s="105"/>
      <c r="T438" s="105"/>
      <c r="U438" s="105"/>
      <c r="V438" s="105"/>
      <c r="W438" s="105"/>
      <c r="X438" s="105"/>
      <c r="Y438" s="105"/>
      <c r="Z438" s="105"/>
      <c r="AA438" s="105"/>
      <c r="AB438" s="105"/>
      <c r="AC438" s="105"/>
    </row>
    <row r="439" spans="1:29" ht="15.75" customHeight="1" x14ac:dyDescent="0.2">
      <c r="A439" s="105"/>
      <c r="B439" s="105"/>
      <c r="C439" s="105"/>
      <c r="D439" s="105"/>
      <c r="E439" s="105"/>
      <c r="F439" s="105"/>
      <c r="G439" s="105"/>
      <c r="H439" s="105"/>
      <c r="I439" s="105"/>
      <c r="J439" s="105"/>
      <c r="K439" s="105"/>
      <c r="L439" s="105"/>
      <c r="M439" s="105"/>
      <c r="N439" s="105"/>
      <c r="O439" s="105"/>
      <c r="P439" s="105"/>
      <c r="Q439" s="105"/>
      <c r="R439" s="105"/>
      <c r="S439" s="105"/>
      <c r="T439" s="105"/>
      <c r="U439" s="105"/>
      <c r="V439" s="105"/>
      <c r="W439" s="105"/>
      <c r="X439" s="105"/>
      <c r="Y439" s="105"/>
      <c r="Z439" s="105"/>
      <c r="AA439" s="105"/>
      <c r="AB439" s="105"/>
      <c r="AC439" s="105"/>
    </row>
    <row r="440" spans="1:29" ht="15.75" customHeight="1" x14ac:dyDescent="0.2">
      <c r="A440" s="105"/>
      <c r="B440" s="105"/>
      <c r="C440" s="105"/>
      <c r="D440" s="105"/>
      <c r="E440" s="105"/>
      <c r="F440" s="105"/>
      <c r="G440" s="105"/>
      <c r="H440" s="105"/>
      <c r="I440" s="105"/>
      <c r="J440" s="105"/>
      <c r="K440" s="105"/>
      <c r="L440" s="105"/>
      <c r="M440" s="105"/>
      <c r="N440" s="105"/>
      <c r="O440" s="105"/>
      <c r="P440" s="105"/>
      <c r="Q440" s="105"/>
      <c r="R440" s="105"/>
      <c r="S440" s="105"/>
      <c r="T440" s="105"/>
      <c r="U440" s="105"/>
      <c r="V440" s="105"/>
      <c r="W440" s="105"/>
      <c r="X440" s="105"/>
      <c r="Y440" s="105"/>
      <c r="Z440" s="105"/>
      <c r="AA440" s="105"/>
      <c r="AB440" s="105"/>
      <c r="AC440" s="105"/>
    </row>
    <row r="441" spans="1:29" ht="15.75" customHeight="1" x14ac:dyDescent="0.2">
      <c r="A441" s="105"/>
      <c r="B441" s="105"/>
      <c r="C441" s="105"/>
      <c r="D441" s="105"/>
      <c r="E441" s="105"/>
      <c r="F441" s="105"/>
      <c r="G441" s="105"/>
      <c r="H441" s="105"/>
      <c r="I441" s="105"/>
      <c r="J441" s="105"/>
      <c r="K441" s="105"/>
      <c r="L441" s="105"/>
      <c r="M441" s="105"/>
      <c r="N441" s="105"/>
      <c r="O441" s="105"/>
      <c r="P441" s="105"/>
      <c r="Q441" s="105"/>
      <c r="R441" s="105"/>
      <c r="S441" s="105"/>
      <c r="T441" s="105"/>
      <c r="U441" s="105"/>
      <c r="V441" s="105"/>
      <c r="W441" s="105"/>
      <c r="X441" s="105"/>
      <c r="Y441" s="105"/>
      <c r="Z441" s="105"/>
      <c r="AA441" s="105"/>
      <c r="AB441" s="105"/>
      <c r="AC441" s="105"/>
    </row>
    <row r="442" spans="1:29" ht="15.75" customHeight="1" x14ac:dyDescent="0.2">
      <c r="A442" s="105"/>
      <c r="B442" s="105"/>
      <c r="C442" s="105"/>
      <c r="D442" s="105"/>
      <c r="E442" s="105"/>
      <c r="F442" s="105"/>
      <c r="G442" s="105"/>
      <c r="H442" s="105"/>
      <c r="I442" s="105"/>
      <c r="J442" s="105"/>
      <c r="K442" s="105"/>
      <c r="L442" s="105"/>
      <c r="M442" s="105"/>
      <c r="N442" s="105"/>
      <c r="O442" s="105"/>
      <c r="P442" s="105"/>
      <c r="Q442" s="105"/>
      <c r="R442" s="105"/>
      <c r="S442" s="105"/>
      <c r="T442" s="105"/>
      <c r="U442" s="105"/>
      <c r="V442" s="105"/>
      <c r="W442" s="105"/>
      <c r="X442" s="105"/>
      <c r="Y442" s="105"/>
      <c r="Z442" s="105"/>
      <c r="AA442" s="105"/>
      <c r="AB442" s="105"/>
      <c r="AC442" s="105"/>
    </row>
    <row r="443" spans="1:29" ht="15.75" customHeight="1" x14ac:dyDescent="0.2">
      <c r="A443" s="105"/>
      <c r="B443" s="105"/>
      <c r="C443" s="105"/>
      <c r="D443" s="105"/>
      <c r="E443" s="105"/>
      <c r="F443" s="105"/>
      <c r="G443" s="105"/>
      <c r="H443" s="105"/>
      <c r="I443" s="105"/>
      <c r="J443" s="105"/>
      <c r="K443" s="105"/>
      <c r="L443" s="105"/>
      <c r="M443" s="105"/>
      <c r="N443" s="105"/>
      <c r="O443" s="105"/>
      <c r="P443" s="105"/>
      <c r="Q443" s="105"/>
      <c r="R443" s="105"/>
      <c r="S443" s="105"/>
      <c r="T443" s="105"/>
      <c r="U443" s="105"/>
      <c r="V443" s="105"/>
      <c r="W443" s="105"/>
      <c r="X443" s="105"/>
      <c r="Y443" s="105"/>
      <c r="Z443" s="105"/>
      <c r="AA443" s="105"/>
      <c r="AB443" s="105"/>
      <c r="AC443" s="105"/>
    </row>
    <row r="444" spans="1:29" ht="15.75" customHeight="1" x14ac:dyDescent="0.2">
      <c r="A444" s="105"/>
      <c r="B444" s="105"/>
      <c r="C444" s="105"/>
      <c r="D444" s="105"/>
      <c r="E444" s="105"/>
      <c r="F444" s="105"/>
      <c r="G444" s="105"/>
      <c r="H444" s="105"/>
      <c r="I444" s="105"/>
      <c r="J444" s="105"/>
      <c r="K444" s="105"/>
      <c r="L444" s="105"/>
      <c r="M444" s="105"/>
      <c r="N444" s="105"/>
      <c r="O444" s="105"/>
      <c r="P444" s="105"/>
      <c r="Q444" s="105"/>
      <c r="R444" s="105"/>
      <c r="S444" s="105"/>
      <c r="T444" s="105"/>
      <c r="U444" s="105"/>
      <c r="V444" s="105"/>
      <c r="W444" s="105"/>
      <c r="X444" s="105"/>
      <c r="Y444" s="105"/>
      <c r="Z444" s="105"/>
      <c r="AA444" s="105"/>
      <c r="AB444" s="105"/>
      <c r="AC444" s="105"/>
    </row>
    <row r="445" spans="1:29" ht="15.75" customHeight="1" x14ac:dyDescent="0.2">
      <c r="A445" s="105"/>
      <c r="B445" s="105"/>
      <c r="C445" s="105"/>
      <c r="D445" s="105"/>
      <c r="E445" s="105"/>
      <c r="F445" s="105"/>
      <c r="G445" s="105"/>
      <c r="H445" s="105"/>
      <c r="I445" s="105"/>
      <c r="J445" s="105"/>
      <c r="K445" s="105"/>
      <c r="L445" s="105"/>
      <c r="M445" s="105"/>
      <c r="N445" s="105"/>
      <c r="O445" s="105"/>
      <c r="P445" s="105"/>
      <c r="Q445" s="105"/>
      <c r="R445" s="105"/>
      <c r="S445" s="105"/>
      <c r="T445" s="105"/>
      <c r="U445" s="105"/>
      <c r="V445" s="105"/>
      <c r="W445" s="105"/>
      <c r="X445" s="105"/>
      <c r="Y445" s="105"/>
      <c r="Z445" s="105"/>
      <c r="AA445" s="105"/>
      <c r="AB445" s="105"/>
      <c r="AC445" s="105"/>
    </row>
    <row r="446" spans="1:29" ht="15.75" customHeight="1" x14ac:dyDescent="0.2">
      <c r="A446" s="105"/>
      <c r="B446" s="105"/>
      <c r="C446" s="105"/>
      <c r="D446" s="105"/>
      <c r="E446" s="105"/>
      <c r="F446" s="105"/>
      <c r="G446" s="105"/>
      <c r="H446" s="105"/>
      <c r="I446" s="105"/>
      <c r="J446" s="105"/>
      <c r="K446" s="105"/>
      <c r="L446" s="105"/>
      <c r="M446" s="105"/>
      <c r="N446" s="105"/>
      <c r="O446" s="105"/>
      <c r="P446" s="105"/>
      <c r="Q446" s="105"/>
      <c r="R446" s="105"/>
      <c r="S446" s="105"/>
      <c r="T446" s="105"/>
      <c r="U446" s="105"/>
      <c r="V446" s="105"/>
      <c r="W446" s="105"/>
      <c r="X446" s="105"/>
      <c r="Y446" s="105"/>
      <c r="Z446" s="105"/>
      <c r="AA446" s="105"/>
      <c r="AB446" s="105"/>
      <c r="AC446" s="105"/>
    </row>
    <row r="447" spans="1:29" ht="15.75" customHeight="1" x14ac:dyDescent="0.2">
      <c r="A447" s="105"/>
      <c r="B447" s="105"/>
      <c r="C447" s="105"/>
      <c r="D447" s="105"/>
      <c r="E447" s="105"/>
      <c r="F447" s="105"/>
      <c r="G447" s="105"/>
      <c r="H447" s="105"/>
      <c r="I447" s="105"/>
      <c r="J447" s="105"/>
      <c r="K447" s="105"/>
      <c r="L447" s="105"/>
      <c r="M447" s="105"/>
      <c r="N447" s="105"/>
      <c r="O447" s="105"/>
      <c r="P447" s="105"/>
      <c r="Q447" s="105"/>
      <c r="R447" s="105"/>
      <c r="S447" s="105"/>
      <c r="T447" s="105"/>
      <c r="U447" s="105"/>
      <c r="V447" s="105"/>
      <c r="W447" s="105"/>
      <c r="X447" s="105"/>
      <c r="Y447" s="105"/>
      <c r="Z447" s="105"/>
      <c r="AA447" s="105"/>
      <c r="AB447" s="105"/>
      <c r="AC447" s="105"/>
    </row>
    <row r="448" spans="1:29" ht="15.75" customHeight="1" x14ac:dyDescent="0.2">
      <c r="A448" s="105"/>
      <c r="B448" s="105"/>
      <c r="C448" s="105"/>
      <c r="D448" s="105"/>
      <c r="E448" s="105"/>
      <c r="F448" s="105"/>
      <c r="G448" s="105"/>
      <c r="H448" s="105"/>
      <c r="I448" s="105"/>
      <c r="J448" s="105"/>
      <c r="K448" s="105"/>
      <c r="L448" s="105"/>
      <c r="M448" s="105"/>
      <c r="N448" s="105"/>
      <c r="O448" s="105"/>
      <c r="P448" s="105"/>
      <c r="Q448" s="105"/>
      <c r="R448" s="105"/>
      <c r="S448" s="105"/>
      <c r="T448" s="105"/>
      <c r="U448" s="105"/>
      <c r="V448" s="105"/>
      <c r="W448" s="105"/>
      <c r="X448" s="105"/>
      <c r="Y448" s="105"/>
      <c r="Z448" s="105"/>
      <c r="AA448" s="105"/>
      <c r="AB448" s="105"/>
      <c r="AC448" s="105"/>
    </row>
    <row r="449" spans="1:29" ht="15.75" customHeight="1" x14ac:dyDescent="0.2">
      <c r="A449" s="105"/>
      <c r="B449" s="105"/>
      <c r="C449" s="105"/>
      <c r="D449" s="105"/>
      <c r="E449" s="105"/>
      <c r="F449" s="105"/>
      <c r="G449" s="105"/>
      <c r="H449" s="105"/>
      <c r="I449" s="105"/>
      <c r="J449" s="105"/>
      <c r="K449" s="105"/>
      <c r="L449" s="105"/>
      <c r="M449" s="105"/>
      <c r="N449" s="105"/>
      <c r="O449" s="105"/>
      <c r="P449" s="105"/>
      <c r="Q449" s="105"/>
      <c r="R449" s="105"/>
      <c r="S449" s="105"/>
      <c r="T449" s="105"/>
      <c r="U449" s="105"/>
      <c r="V449" s="105"/>
      <c r="W449" s="105"/>
      <c r="X449" s="105"/>
      <c r="Y449" s="105"/>
      <c r="Z449" s="105"/>
      <c r="AA449" s="105"/>
      <c r="AB449" s="105"/>
      <c r="AC449" s="105"/>
    </row>
    <row r="450" spans="1:29" ht="15.75" customHeight="1" x14ac:dyDescent="0.2">
      <c r="A450" s="105"/>
      <c r="B450" s="105"/>
      <c r="C450" s="105"/>
      <c r="D450" s="105"/>
      <c r="E450" s="105"/>
      <c r="F450" s="105"/>
      <c r="G450" s="105"/>
      <c r="H450" s="105"/>
      <c r="I450" s="105"/>
      <c r="J450" s="105"/>
      <c r="K450" s="105"/>
      <c r="L450" s="105"/>
      <c r="M450" s="105"/>
      <c r="N450" s="105"/>
      <c r="O450" s="105"/>
      <c r="P450" s="105"/>
      <c r="Q450" s="105"/>
      <c r="R450" s="105"/>
      <c r="S450" s="105"/>
      <c r="T450" s="105"/>
      <c r="U450" s="105"/>
      <c r="V450" s="105"/>
      <c r="W450" s="105"/>
      <c r="X450" s="105"/>
      <c r="Y450" s="105"/>
      <c r="Z450" s="105"/>
      <c r="AA450" s="105"/>
      <c r="AB450" s="105"/>
      <c r="AC450" s="105"/>
    </row>
    <row r="451" spans="1:29" ht="15.75" customHeight="1" x14ac:dyDescent="0.2">
      <c r="A451" s="105"/>
      <c r="B451" s="105"/>
      <c r="C451" s="105"/>
      <c r="D451" s="105"/>
      <c r="E451" s="105"/>
      <c r="F451" s="105"/>
      <c r="G451" s="105"/>
      <c r="H451" s="105"/>
      <c r="I451" s="105"/>
      <c r="J451" s="105"/>
      <c r="K451" s="105"/>
      <c r="L451" s="105"/>
      <c r="M451" s="105"/>
      <c r="N451" s="105"/>
      <c r="O451" s="105"/>
      <c r="P451" s="105"/>
      <c r="Q451" s="105"/>
      <c r="R451" s="105"/>
      <c r="S451" s="105"/>
      <c r="T451" s="105"/>
      <c r="U451" s="105"/>
      <c r="V451" s="105"/>
      <c r="W451" s="105"/>
      <c r="X451" s="105"/>
      <c r="Y451" s="105"/>
      <c r="Z451" s="105"/>
      <c r="AA451" s="105"/>
      <c r="AB451" s="105"/>
      <c r="AC451" s="105"/>
    </row>
  </sheetData>
  <mergeCells count="220">
    <mergeCell ref="AA31:AC32"/>
    <mergeCell ref="J32:K32"/>
    <mergeCell ref="M32:P32"/>
    <mergeCell ref="Q32:R32"/>
    <mergeCell ref="S32:T32"/>
    <mergeCell ref="U32:W32"/>
    <mergeCell ref="Y32:Z32"/>
    <mergeCell ref="J31:K31"/>
    <mergeCell ref="M31:P31"/>
    <mergeCell ref="Q31:R31"/>
    <mergeCell ref="S31:T31"/>
    <mergeCell ref="U31:W31"/>
    <mergeCell ref="Y31:Z31"/>
    <mergeCell ref="B31:C32"/>
    <mergeCell ref="D31:D32"/>
    <mergeCell ref="E31:E32"/>
    <mergeCell ref="F31:F32"/>
    <mergeCell ref="G31:G32"/>
    <mergeCell ref="H31:I32"/>
    <mergeCell ref="Y29:Z29"/>
    <mergeCell ref="AA29:AC29"/>
    <mergeCell ref="J30:K30"/>
    <mergeCell ref="M30:P30"/>
    <mergeCell ref="Q30:R30"/>
    <mergeCell ref="S30:T30"/>
    <mergeCell ref="U30:W30"/>
    <mergeCell ref="Y30:Z30"/>
    <mergeCell ref="AA30:AC30"/>
    <mergeCell ref="S28:T28"/>
    <mergeCell ref="U28:W28"/>
    <mergeCell ref="Y28:Z28"/>
    <mergeCell ref="AA28:AC28"/>
    <mergeCell ref="G29:G30"/>
    <mergeCell ref="H29:I30"/>
    <mergeCell ref="J29:K29"/>
    <mergeCell ref="M29:P29"/>
    <mergeCell ref="S29:T29"/>
    <mergeCell ref="U29:W29"/>
    <mergeCell ref="B26:B27"/>
    <mergeCell ref="C26:C27"/>
    <mergeCell ref="H28:I28"/>
    <mergeCell ref="J28:K28"/>
    <mergeCell ref="M28:P28"/>
    <mergeCell ref="Q28:R28"/>
    <mergeCell ref="U25:U26"/>
    <mergeCell ref="V25:W26"/>
    <mergeCell ref="X25:X26"/>
    <mergeCell ref="Y25:Z26"/>
    <mergeCell ref="AA25:AA26"/>
    <mergeCell ref="AB25:AC26"/>
    <mergeCell ref="V24:W24"/>
    <mergeCell ref="Y24:Z24"/>
    <mergeCell ref="AB24:AC24"/>
    <mergeCell ref="D25:D26"/>
    <mergeCell ref="E25:E26"/>
    <mergeCell ref="G25:G26"/>
    <mergeCell ref="H25:I26"/>
    <mergeCell ref="J25:K26"/>
    <mergeCell ref="L25:L26"/>
    <mergeCell ref="M25:N26"/>
    <mergeCell ref="F24:F26"/>
    <mergeCell ref="H24:I24"/>
    <mergeCell ref="J24:K24"/>
    <mergeCell ref="M24:N24"/>
    <mergeCell ref="P24:Q24"/>
    <mergeCell ref="S24:T24"/>
    <mergeCell ref="O25:O26"/>
    <mergeCell ref="P25:Q26"/>
    <mergeCell ref="R25:R26"/>
    <mergeCell ref="S25:T26"/>
    <mergeCell ref="AA21:AC22"/>
    <mergeCell ref="J22:K22"/>
    <mergeCell ref="M22:P22"/>
    <mergeCell ref="Q22:R22"/>
    <mergeCell ref="S22:T22"/>
    <mergeCell ref="U22:W22"/>
    <mergeCell ref="Y22:Z22"/>
    <mergeCell ref="J21:K21"/>
    <mergeCell ref="M21:P21"/>
    <mergeCell ref="Q21:R21"/>
    <mergeCell ref="S21:T21"/>
    <mergeCell ref="U21:W21"/>
    <mergeCell ref="Y21:Z21"/>
    <mergeCell ref="B21:C22"/>
    <mergeCell ref="D21:D22"/>
    <mergeCell ref="E21:E22"/>
    <mergeCell ref="F21:F22"/>
    <mergeCell ref="G21:G22"/>
    <mergeCell ref="H21:I22"/>
    <mergeCell ref="Y19:Z19"/>
    <mergeCell ref="AA19:AC19"/>
    <mergeCell ref="J20:K20"/>
    <mergeCell ref="M20:P20"/>
    <mergeCell ref="Q20:R20"/>
    <mergeCell ref="S20:T20"/>
    <mergeCell ref="U20:W20"/>
    <mergeCell ref="Y20:Z20"/>
    <mergeCell ref="AA20:AC20"/>
    <mergeCell ref="S18:T18"/>
    <mergeCell ref="U18:W18"/>
    <mergeCell ref="Y18:Z18"/>
    <mergeCell ref="AA18:AC18"/>
    <mergeCell ref="G19:G20"/>
    <mergeCell ref="H19:I20"/>
    <mergeCell ref="J19:K19"/>
    <mergeCell ref="M19:P19"/>
    <mergeCell ref="S19:T19"/>
    <mergeCell ref="U19:W19"/>
    <mergeCell ref="B16:B17"/>
    <mergeCell ref="C16:C17"/>
    <mergeCell ref="H18:I18"/>
    <mergeCell ref="J18:K18"/>
    <mergeCell ref="M18:P18"/>
    <mergeCell ref="Q18:R18"/>
    <mergeCell ref="U15:U16"/>
    <mergeCell ref="V15:W16"/>
    <mergeCell ref="X15:X16"/>
    <mergeCell ref="Y15:Z16"/>
    <mergeCell ref="AA15:AA16"/>
    <mergeCell ref="AB15:AC16"/>
    <mergeCell ref="V14:W14"/>
    <mergeCell ref="Y14:Z14"/>
    <mergeCell ref="AB14:AC14"/>
    <mergeCell ref="D15:D16"/>
    <mergeCell ref="E15:E16"/>
    <mergeCell ref="G15:G16"/>
    <mergeCell ref="H15:I16"/>
    <mergeCell ref="J15:K16"/>
    <mergeCell ref="L15:L16"/>
    <mergeCell ref="M15:N16"/>
    <mergeCell ref="F14:F16"/>
    <mergeCell ref="H14:I14"/>
    <mergeCell ref="J14:K14"/>
    <mergeCell ref="M14:N14"/>
    <mergeCell ref="P14:Q14"/>
    <mergeCell ref="S14:T14"/>
    <mergeCell ref="O15:O16"/>
    <mergeCell ref="P15:Q16"/>
    <mergeCell ref="R15:R16"/>
    <mergeCell ref="S15:T16"/>
    <mergeCell ref="S11:T11"/>
    <mergeCell ref="U11:W11"/>
    <mergeCell ref="Y11:Z11"/>
    <mergeCell ref="AA11:AC12"/>
    <mergeCell ref="J12:K12"/>
    <mergeCell ref="M12:P12"/>
    <mergeCell ref="Q12:R12"/>
    <mergeCell ref="S12:T12"/>
    <mergeCell ref="U12:W12"/>
    <mergeCell ref="Y12:Z12"/>
    <mergeCell ref="AA10:AC10"/>
    <mergeCell ref="B11:C12"/>
    <mergeCell ref="D11:D12"/>
    <mergeCell ref="E11:E12"/>
    <mergeCell ref="F11:F12"/>
    <mergeCell ref="G11:G12"/>
    <mergeCell ref="H11:I12"/>
    <mergeCell ref="J11:K11"/>
    <mergeCell ref="M11:P11"/>
    <mergeCell ref="Q11:R11"/>
    <mergeCell ref="J10:K10"/>
    <mergeCell ref="M10:P10"/>
    <mergeCell ref="Q10:R10"/>
    <mergeCell ref="S10:T10"/>
    <mergeCell ref="U10:W10"/>
    <mergeCell ref="Y10:Z10"/>
    <mergeCell ref="Y8:Z8"/>
    <mergeCell ref="AA8:AC8"/>
    <mergeCell ref="G9:G10"/>
    <mergeCell ref="H9:I10"/>
    <mergeCell ref="J9:K9"/>
    <mergeCell ref="M9:P9"/>
    <mergeCell ref="S9:T9"/>
    <mergeCell ref="U9:W9"/>
    <mergeCell ref="Y9:Z9"/>
    <mergeCell ref="AA9:AC9"/>
    <mergeCell ref="H8:I8"/>
    <mergeCell ref="J8:K8"/>
    <mergeCell ref="M8:P8"/>
    <mergeCell ref="Q8:R8"/>
    <mergeCell ref="S8:T8"/>
    <mergeCell ref="U8:W8"/>
    <mergeCell ref="X5:X6"/>
    <mergeCell ref="Y5:Z6"/>
    <mergeCell ref="AA5:AA6"/>
    <mergeCell ref="AB5:AC6"/>
    <mergeCell ref="B6:B7"/>
    <mergeCell ref="C6:C7"/>
    <mergeCell ref="O5:O6"/>
    <mergeCell ref="P5:Q6"/>
    <mergeCell ref="R5:R6"/>
    <mergeCell ref="S5:T6"/>
    <mergeCell ref="U5:U6"/>
    <mergeCell ref="V5:W6"/>
    <mergeCell ref="V4:W4"/>
    <mergeCell ref="Y4:Z4"/>
    <mergeCell ref="AB4:AC4"/>
    <mergeCell ref="D5:D6"/>
    <mergeCell ref="E5:E6"/>
    <mergeCell ref="G5:G6"/>
    <mergeCell ref="H5:I6"/>
    <mergeCell ref="J5:K6"/>
    <mergeCell ref="L5:L6"/>
    <mergeCell ref="M5:N6"/>
    <mergeCell ref="V1:W2"/>
    <mergeCell ref="Y1:Z2"/>
    <mergeCell ref="AB1:AC2"/>
    <mergeCell ref="H2:I2"/>
    <mergeCell ref="F4:F6"/>
    <mergeCell ref="H4:I4"/>
    <mergeCell ref="J4:K4"/>
    <mergeCell ref="M4:N4"/>
    <mergeCell ref="P4:Q4"/>
    <mergeCell ref="S4:T4"/>
    <mergeCell ref="B1:G2"/>
    <mergeCell ref="H1:I1"/>
    <mergeCell ref="J1:K2"/>
    <mergeCell ref="M1:N2"/>
    <mergeCell ref="P1:Q2"/>
    <mergeCell ref="S1:T2"/>
  </mergeCells>
  <printOptions horizontalCentered="1" gridLines="1"/>
  <pageMargins left="0.19685039370078738" right="0.19685039370078738" top="0.19685039370078738" bottom="0.19685039370078738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AB6 EQ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Mukesh Kumar</dc:creator>
  <cp:lastModifiedBy>Mukesh Kumar</cp:lastModifiedBy>
  <dcterms:created xsi:type="dcterms:W3CDTF">2026-07-28T15:49:18Z</dcterms:created>
  <dcterms:modified xsi:type="dcterms:W3CDTF">2026-07-28T15:49:42Z</dcterms:modified>
</cp:coreProperties>
</file>