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FIS\ChatGpt\"/>
    </mc:Choice>
  </mc:AlternateContent>
  <xr:revisionPtr revIDLastSave="0" documentId="8_{3B13DD84-63DE-48AD-B49A-443A130A6A05}" xr6:coauthVersionLast="47" xr6:coauthVersionMax="47" xr10:uidLastSave="{00000000-0000-0000-0000-000000000000}"/>
  <bookViews>
    <workbookView xWindow="-120" yWindow="-120" windowWidth="29040" windowHeight="15840" xr2:uid="{9A392591-DB13-4DCB-9488-24B07CDBD00F}"/>
  </bookViews>
  <sheets>
    <sheet name="AB6 OB" sheetId="1" r:id="rId1"/>
  </sheets>
  <externalReferences>
    <externalReference r:id="rId2"/>
  </externalReferences>
  <definedNames>
    <definedName name="STOCKS">[1]AB8!$B$8:$B$257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98" i="1" l="1"/>
  <c r="T98" i="1"/>
  <c r="J98" i="1"/>
  <c r="H98" i="1"/>
  <c r="T97" i="1"/>
  <c r="H97" i="1"/>
  <c r="B97" i="1"/>
  <c r="Q96" i="1"/>
  <c r="F96" i="1"/>
  <c r="D96" i="1"/>
  <c r="B96" i="1"/>
  <c r="P95" i="1"/>
  <c r="P94" i="1"/>
  <c r="Y93" i="1"/>
  <c r="W93" i="1"/>
  <c r="U93" i="1"/>
  <c r="J93" i="1"/>
  <c r="Y92" i="1"/>
  <c r="W92" i="1"/>
  <c r="U92" i="1"/>
  <c r="J92" i="1"/>
  <c r="Y91" i="1"/>
  <c r="W91" i="1"/>
  <c r="U91" i="1"/>
  <c r="Y90" i="1"/>
  <c r="W90" i="1"/>
  <c r="U90" i="1"/>
  <c r="E89" i="1"/>
  <c r="J87" i="1"/>
  <c r="P86" i="1"/>
  <c r="T85" i="1"/>
  <c r="W83" i="1"/>
  <c r="D82" i="1"/>
  <c r="H81" i="1"/>
  <c r="AA79" i="1"/>
  <c r="Z79" i="1"/>
  <c r="Y79" i="1"/>
  <c r="X79" i="1"/>
  <c r="W79" i="1"/>
  <c r="V79" i="1"/>
  <c r="U79" i="1"/>
  <c r="T79" i="1"/>
  <c r="P79" i="1"/>
  <c r="O79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Q77" i="1"/>
  <c r="B77" i="1"/>
  <c r="AA76" i="1"/>
  <c r="Z76" i="1"/>
  <c r="Y76" i="1"/>
  <c r="X76" i="1"/>
  <c r="W76" i="1"/>
  <c r="V76" i="1"/>
  <c r="U76" i="1"/>
  <c r="T76" i="1"/>
  <c r="P76" i="1"/>
  <c r="O76" i="1"/>
  <c r="B76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C75" i="1" a="1"/>
  <c r="C75" i="1" s="1"/>
  <c r="C74" i="1"/>
  <c r="C74" i="1" a="1"/>
  <c r="AA73" i="1"/>
  <c r="Z73" i="1"/>
  <c r="Y73" i="1"/>
  <c r="X73" i="1"/>
  <c r="W73" i="1"/>
  <c r="V73" i="1"/>
  <c r="U73" i="1"/>
  <c r="T73" i="1"/>
  <c r="P73" i="1"/>
  <c r="O73" i="1"/>
  <c r="N73" i="1"/>
  <c r="L73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L72" i="1"/>
  <c r="I72" i="1"/>
  <c r="H72" i="1"/>
  <c r="F72" i="1"/>
  <c r="B71" i="1"/>
  <c r="AA70" i="1"/>
  <c r="Z70" i="1"/>
  <c r="Y70" i="1"/>
  <c r="X70" i="1"/>
  <c r="W70" i="1"/>
  <c r="V70" i="1"/>
  <c r="U70" i="1"/>
  <c r="T70" i="1"/>
  <c r="P70" i="1"/>
  <c r="O70" i="1"/>
  <c r="I70" i="1"/>
  <c r="B70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L69" i="1"/>
  <c r="I69" i="1"/>
  <c r="H69" i="1"/>
  <c r="F69" i="1"/>
  <c r="D69" i="1"/>
  <c r="B69" i="1"/>
  <c r="Z67" i="1"/>
  <c r="X67" i="1"/>
  <c r="U67" i="1"/>
  <c r="S67" i="1"/>
  <c r="Q67" i="1"/>
  <c r="O67" i="1"/>
  <c r="M67" i="1"/>
  <c r="J67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J66" i="1"/>
  <c r="H66" i="1"/>
  <c r="G66" i="1"/>
  <c r="D66" i="1"/>
  <c r="U64" i="1"/>
  <c r="T64" i="1"/>
  <c r="J64" i="1"/>
  <c r="H64" i="1"/>
  <c r="T63" i="1"/>
  <c r="H63" i="1"/>
  <c r="B63" i="1"/>
  <c r="Q62" i="1"/>
  <c r="F62" i="1"/>
  <c r="D62" i="1"/>
  <c r="B62" i="1"/>
  <c r="P61" i="1"/>
  <c r="P60" i="1"/>
  <c r="O60" i="1"/>
  <c r="N60" i="1"/>
  <c r="M60" i="1"/>
  <c r="L60" i="1"/>
  <c r="J60" i="1"/>
  <c r="U59" i="1"/>
  <c r="S59" i="1"/>
  <c r="Z58" i="1"/>
  <c r="Y58" i="1"/>
  <c r="W58" i="1"/>
  <c r="U58" i="1"/>
  <c r="S58" i="1"/>
  <c r="R58" i="1"/>
  <c r="O58" i="1"/>
  <c r="N58" i="1"/>
  <c r="M58" i="1"/>
  <c r="L58" i="1"/>
  <c r="J58" i="1"/>
  <c r="Z57" i="1"/>
  <c r="Y57" i="1"/>
  <c r="W57" i="1"/>
  <c r="U57" i="1"/>
  <c r="S57" i="1"/>
  <c r="R57" i="1"/>
  <c r="U56" i="1"/>
  <c r="S56" i="1"/>
  <c r="U55" i="1"/>
  <c r="T53" i="1"/>
  <c r="P53" i="1"/>
  <c r="O53" i="1"/>
  <c r="AA52" i="1"/>
  <c r="Z52" i="1"/>
  <c r="X52" i="1"/>
  <c r="W52" i="1"/>
  <c r="V52" i="1"/>
  <c r="T52" i="1"/>
  <c r="S52" i="1"/>
  <c r="O52" i="1"/>
  <c r="N52" i="1"/>
  <c r="M52" i="1"/>
  <c r="L52" i="1"/>
  <c r="J52" i="1"/>
  <c r="AA50" i="1"/>
  <c r="Z50" i="1"/>
  <c r="X50" i="1"/>
  <c r="W50" i="1"/>
  <c r="V50" i="1"/>
  <c r="S50" i="1"/>
  <c r="O50" i="1"/>
  <c r="M50" i="1"/>
  <c r="L50" i="1"/>
  <c r="J50" i="1"/>
  <c r="T49" i="1"/>
  <c r="P49" i="1"/>
  <c r="O49" i="1"/>
  <c r="Y45" i="1"/>
  <c r="W45" i="1"/>
  <c r="U45" i="1"/>
  <c r="S45" i="1"/>
  <c r="P45" i="1"/>
  <c r="I45" i="1"/>
  <c r="G45" i="1"/>
  <c r="AA44" i="1"/>
  <c r="H44" i="1"/>
  <c r="B43" i="1"/>
  <c r="AA42" i="1"/>
  <c r="N42" i="1"/>
  <c r="M42" i="1"/>
  <c r="I42" i="1"/>
  <c r="H42" i="1"/>
  <c r="G42" i="1"/>
  <c r="AA41" i="1"/>
  <c r="Z41" i="1"/>
  <c r="Y41" i="1"/>
  <c r="X41" i="1"/>
  <c r="W41" i="1"/>
  <c r="V41" i="1"/>
  <c r="U41" i="1"/>
  <c r="T41" i="1"/>
  <c r="S41" i="1"/>
  <c r="R41" i="1"/>
  <c r="P41" i="1"/>
  <c r="O41" i="1"/>
  <c r="N41" i="1"/>
  <c r="M41" i="1"/>
  <c r="I41" i="1"/>
  <c r="H41" i="1"/>
  <c r="G41" i="1"/>
  <c r="C40" i="1" a="1"/>
  <c r="C40" i="1" s="1"/>
  <c r="AA39" i="1"/>
  <c r="Z39" i="1"/>
  <c r="Y39" i="1"/>
  <c r="X39" i="1"/>
  <c r="W39" i="1"/>
  <c r="V39" i="1"/>
  <c r="U39" i="1"/>
  <c r="T39" i="1"/>
  <c r="S39" i="1"/>
  <c r="R39" i="1"/>
  <c r="P39" i="1"/>
  <c r="O39" i="1"/>
  <c r="N39" i="1"/>
  <c r="M39" i="1"/>
  <c r="I39" i="1"/>
  <c r="H39" i="1"/>
  <c r="G39" i="1"/>
  <c r="AA38" i="1"/>
  <c r="Z38" i="1"/>
  <c r="Y38" i="1"/>
  <c r="X38" i="1"/>
  <c r="W38" i="1"/>
  <c r="V38" i="1"/>
  <c r="U38" i="1"/>
  <c r="T38" i="1"/>
  <c r="S38" i="1"/>
  <c r="R38" i="1"/>
  <c r="P38" i="1"/>
  <c r="O38" i="1"/>
  <c r="N38" i="1"/>
  <c r="M38" i="1"/>
  <c r="I38" i="1"/>
  <c r="H38" i="1"/>
  <c r="G38" i="1"/>
  <c r="AA36" i="1"/>
  <c r="Z36" i="1"/>
  <c r="Y36" i="1"/>
  <c r="W36" i="1"/>
  <c r="U36" i="1"/>
  <c r="S36" i="1"/>
  <c r="P36" i="1"/>
  <c r="I36" i="1"/>
  <c r="H36" i="1"/>
  <c r="G36" i="1"/>
  <c r="AA35" i="1"/>
  <c r="Z35" i="1"/>
  <c r="J35" i="1"/>
  <c r="H35" i="1"/>
  <c r="B35" i="1"/>
  <c r="U33" i="1"/>
  <c r="T33" i="1"/>
  <c r="J33" i="1"/>
  <c r="H33" i="1"/>
  <c r="T32" i="1"/>
  <c r="H32" i="1"/>
  <c r="B32" i="1"/>
  <c r="Q31" i="1"/>
  <c r="F31" i="1"/>
  <c r="D31" i="1"/>
  <c r="B31" i="1"/>
  <c r="P30" i="1"/>
  <c r="P29" i="1"/>
  <c r="H28" i="1"/>
  <c r="W27" i="1"/>
  <c r="J26" i="1"/>
  <c r="B25" i="1"/>
  <c r="H24" i="1"/>
  <c r="B24" i="1"/>
  <c r="H21" i="1"/>
  <c r="P20" i="1"/>
  <c r="I19" i="1"/>
  <c r="J18" i="1"/>
  <c r="W17" i="1"/>
  <c r="P17" i="1"/>
  <c r="B17" i="1"/>
  <c r="X16" i="1"/>
  <c r="H16" i="1"/>
  <c r="B16" i="1"/>
  <c r="L14" i="1"/>
  <c r="K13" i="1"/>
  <c r="B12" i="1"/>
  <c r="C9" i="1" a="1"/>
  <c r="C9" i="1" s="1"/>
  <c r="C6" i="1" a="1"/>
  <c r="C6" i="1" s="1"/>
  <c r="L4" i="1"/>
  <c r="B4" i="1"/>
  <c r="Z2" i="1"/>
  <c r="X2" i="1"/>
  <c r="V2" i="1"/>
  <c r="T2" i="1"/>
  <c r="R2" i="1"/>
  <c r="O2" i="1"/>
  <c r="M2" i="1"/>
  <c r="I2" i="1"/>
  <c r="H2" i="1"/>
  <c r="G2" i="1"/>
  <c r="AA1" i="1"/>
  <c r="Z1" i="1"/>
  <c r="Y1" i="1"/>
  <c r="X1" i="1"/>
  <c r="W1" i="1"/>
  <c r="V1" i="1"/>
  <c r="U1" i="1"/>
  <c r="T1" i="1"/>
  <c r="S1" i="1"/>
  <c r="R1" i="1"/>
  <c r="P1" i="1"/>
  <c r="O1" i="1"/>
  <c r="N1" i="1"/>
  <c r="M1" i="1"/>
  <c r="K1" i="1"/>
  <c r="J1" i="1"/>
  <c r="I1" i="1"/>
  <c r="H1" i="1"/>
  <c r="G1" i="1"/>
  <c r="F1" i="1"/>
  <c r="D1" i="1"/>
  <c r="A1" i="1"/>
  <c r="Q27" i="1" l="1"/>
  <c r="Q28" i="1"/>
  <c r="G60" i="1"/>
  <c r="W59" i="1"/>
  <c r="M59" i="1"/>
  <c r="H59" i="1"/>
  <c r="B59" i="1"/>
  <c r="P58" i="1"/>
  <c r="I57" i="1"/>
  <c r="Q56" i="1"/>
  <c r="M56" i="1"/>
  <c r="H56" i="1"/>
  <c r="C56" i="1"/>
  <c r="Y55" i="1"/>
  <c r="R55" i="1"/>
  <c r="N55" i="1"/>
  <c r="I55" i="1"/>
  <c r="D55" i="1"/>
  <c r="V53" i="1"/>
  <c r="G52" i="1"/>
  <c r="AA51" i="1"/>
  <c r="V51" i="1"/>
  <c r="O51" i="1"/>
  <c r="J51" i="1"/>
  <c r="I50" i="1"/>
  <c r="G49" i="1"/>
  <c r="X48" i="1"/>
  <c r="S48" i="1"/>
  <c r="M48" i="1"/>
  <c r="H48" i="1"/>
  <c r="C48" i="1"/>
  <c r="Z47" i="1"/>
  <c r="T47" i="1"/>
  <c r="N47" i="1"/>
  <c r="I47" i="1"/>
  <c r="D47" i="1"/>
  <c r="G59" i="1"/>
  <c r="Q57" i="1"/>
  <c r="H57" i="1"/>
  <c r="P56" i="1"/>
  <c r="G56" i="1"/>
  <c r="B56" i="1"/>
  <c r="W55" i="1"/>
  <c r="Q55" i="1"/>
  <c r="M55" i="1"/>
  <c r="H55" i="1"/>
  <c r="B55" i="1"/>
  <c r="C52" i="1"/>
  <c r="Z51" i="1"/>
  <c r="T51" i="1"/>
  <c r="N51" i="1"/>
  <c r="I51" i="1"/>
  <c r="D51" i="1"/>
  <c r="J49" i="1"/>
  <c r="W48" i="1"/>
  <c r="P48" i="1"/>
  <c r="G48" i="1"/>
  <c r="B48" i="1"/>
  <c r="X47" i="1"/>
  <c r="S47" i="1"/>
  <c r="M47" i="1"/>
  <c r="H47" i="1"/>
  <c r="B47" i="1"/>
  <c r="J61" i="1"/>
  <c r="I60" i="1"/>
  <c r="O59" i="1"/>
  <c r="J59" i="1"/>
  <c r="I58" i="1"/>
  <c r="G57" i="1"/>
  <c r="O56" i="1"/>
  <c r="J56" i="1"/>
  <c r="P55" i="1"/>
  <c r="L55" i="1"/>
  <c r="G55" i="1"/>
  <c r="J53" i="1"/>
  <c r="I52" i="1"/>
  <c r="B52" i="1"/>
  <c r="X51" i="1"/>
  <c r="S51" i="1"/>
  <c r="M51" i="1"/>
  <c r="H51" i="1"/>
  <c r="B51" i="1"/>
  <c r="I49" i="1"/>
  <c r="AA48" i="1"/>
  <c r="V48" i="1"/>
  <c r="O48" i="1"/>
  <c r="J48" i="1"/>
  <c r="W47" i="1"/>
  <c r="P47" i="1"/>
  <c r="L47" i="1"/>
  <c r="G47" i="1"/>
  <c r="L45" i="1"/>
  <c r="D59" i="1"/>
  <c r="J57" i="1"/>
  <c r="I56" i="1"/>
  <c r="S55" i="1"/>
  <c r="H52" i="1"/>
  <c r="Z48" i="1"/>
  <c r="D48" i="1"/>
  <c r="J47" i="1"/>
  <c r="C42" i="1" a="1"/>
  <c r="C42" i="1" s="1"/>
  <c r="D41" i="1"/>
  <c r="B36" i="1"/>
  <c r="L35" i="1"/>
  <c r="F35" i="1"/>
  <c r="H60" i="1"/>
  <c r="D56" i="1"/>
  <c r="O55" i="1"/>
  <c r="G51" i="1"/>
  <c r="V49" i="1"/>
  <c r="T48" i="1"/>
  <c r="AA47" i="1"/>
  <c r="E47" i="1"/>
  <c r="F44" i="1"/>
  <c r="B42" i="1"/>
  <c r="L41" i="1"/>
  <c r="K35" i="1"/>
  <c r="D35" i="1"/>
  <c r="I61" i="1"/>
  <c r="W56" i="1"/>
  <c r="N56" i="1"/>
  <c r="E55" i="1"/>
  <c r="I53" i="1"/>
  <c r="I48" i="1"/>
  <c r="L44" i="1"/>
  <c r="J41" i="1"/>
  <c r="F41" i="1"/>
  <c r="B40" i="1"/>
  <c r="C37" i="1" a="1"/>
  <c r="C37" i="1" s="1"/>
  <c r="C36" i="1" a="1"/>
  <c r="C36" i="1" s="1"/>
  <c r="Z55" i="1"/>
  <c r="H49" i="1"/>
  <c r="V47" i="1"/>
  <c r="K44" i="1"/>
  <c r="C41" i="1" a="1"/>
  <c r="C41" i="1" s="1"/>
  <c r="B37" i="1"/>
  <c r="N59" i="1"/>
  <c r="W51" i="1"/>
  <c r="O47" i="1"/>
  <c r="B41" i="1"/>
  <c r="L38" i="1"/>
  <c r="I59" i="1"/>
  <c r="J55" i="1"/>
  <c r="P51" i="1"/>
  <c r="N48" i="1"/>
  <c r="L42" i="1"/>
  <c r="K41" i="1"/>
  <c r="G29" i="1"/>
  <c r="W28" i="1"/>
  <c r="O28" i="1"/>
  <c r="J28" i="1"/>
  <c r="J27" i="1"/>
  <c r="Q26" i="1"/>
  <c r="H26" i="1"/>
  <c r="N25" i="1"/>
  <c r="I25" i="1"/>
  <c r="D25" i="1"/>
  <c r="J30" i="1"/>
  <c r="J29" i="1"/>
  <c r="N28" i="1"/>
  <c r="I28" i="1"/>
  <c r="D28" i="1"/>
  <c r="I27" i="1"/>
  <c r="W26" i="1"/>
  <c r="G26" i="1"/>
  <c r="Q25" i="1"/>
  <c r="M25" i="1"/>
  <c r="H25" i="1"/>
  <c r="C25" i="1"/>
  <c r="Y24" i="1"/>
  <c r="R24" i="1"/>
  <c r="N24" i="1"/>
  <c r="I24" i="1"/>
  <c r="G28" i="1"/>
  <c r="I26" i="1"/>
  <c r="J25" i="1"/>
  <c r="S24" i="1"/>
  <c r="M24" i="1"/>
  <c r="G24" i="1"/>
  <c r="I22" i="1"/>
  <c r="V21" i="1"/>
  <c r="G21" i="1"/>
  <c r="AA20" i="1"/>
  <c r="V20" i="1"/>
  <c r="O20" i="1"/>
  <c r="J20" i="1"/>
  <c r="I18" i="1"/>
  <c r="AA17" i="1"/>
  <c r="V17" i="1"/>
  <c r="O17" i="1"/>
  <c r="J17" i="1"/>
  <c r="W16" i="1"/>
  <c r="P16" i="1"/>
  <c r="L16" i="1"/>
  <c r="G16" i="1"/>
  <c r="H11" i="1"/>
  <c r="C11" i="1" a="1"/>
  <c r="C11" i="1" s="1"/>
  <c r="K10" i="1"/>
  <c r="F10" i="1"/>
  <c r="B10" i="1"/>
  <c r="B9" i="1"/>
  <c r="H8" i="1"/>
  <c r="L7" i="1"/>
  <c r="F7" i="1"/>
  <c r="B6" i="1"/>
  <c r="H5" i="1"/>
  <c r="C5" i="1" a="1"/>
  <c r="C5" i="1" s="1"/>
  <c r="K4" i="1"/>
  <c r="F4" i="1"/>
  <c r="I30" i="1"/>
  <c r="I29" i="1"/>
  <c r="M28" i="1"/>
  <c r="B28" i="1"/>
  <c r="W25" i="1"/>
  <c r="P25" i="1"/>
  <c r="G25" i="1"/>
  <c r="Z24" i="1"/>
  <c r="Q24" i="1"/>
  <c r="L24" i="1"/>
  <c r="E24" i="1"/>
  <c r="J21" i="1"/>
  <c r="C21" i="1"/>
  <c r="Z20" i="1"/>
  <c r="T20" i="1"/>
  <c r="N20" i="1"/>
  <c r="I20" i="1"/>
  <c r="D20" i="1"/>
  <c r="V19" i="1"/>
  <c r="H18" i="1"/>
  <c r="Z17" i="1"/>
  <c r="T17" i="1"/>
  <c r="N17" i="1"/>
  <c r="I17" i="1"/>
  <c r="D17" i="1"/>
  <c r="AA16" i="1"/>
  <c r="V16" i="1"/>
  <c r="O16" i="1"/>
  <c r="J16" i="1"/>
  <c r="E16" i="1"/>
  <c r="L11" i="1"/>
  <c r="B11" i="1"/>
  <c r="J10" i="1"/>
  <c r="D10" i="1"/>
  <c r="L8" i="1"/>
  <c r="K7" i="1"/>
  <c r="L5" i="1"/>
  <c r="B5" i="1"/>
  <c r="J4" i="1"/>
  <c r="D4" i="1"/>
  <c r="H29" i="1"/>
  <c r="O25" i="1"/>
  <c r="W24" i="1"/>
  <c r="P24" i="1"/>
  <c r="J24" i="1"/>
  <c r="D24" i="1"/>
  <c r="V22" i="1"/>
  <c r="I21" i="1"/>
  <c r="B21" i="1"/>
  <c r="X20" i="1"/>
  <c r="S20" i="1"/>
  <c r="M20" i="1"/>
  <c r="H20" i="1"/>
  <c r="B20" i="1"/>
  <c r="J19" i="1"/>
  <c r="V18" i="1"/>
  <c r="G18" i="1"/>
  <c r="X17" i="1"/>
  <c r="S17" i="1"/>
  <c r="M17" i="1"/>
  <c r="H17" i="1"/>
  <c r="C17" i="1"/>
  <c r="Z16" i="1"/>
  <c r="T16" i="1"/>
  <c r="N16" i="1"/>
  <c r="I16" i="1"/>
  <c r="D16" i="1"/>
  <c r="H14" i="1"/>
  <c r="L13" i="1"/>
  <c r="F13" i="1"/>
  <c r="L10" i="1"/>
  <c r="M16" i="1"/>
  <c r="G17" i="1"/>
  <c r="W20" i="1"/>
  <c r="O24" i="1"/>
  <c r="L36" i="1"/>
  <c r="L39" i="1"/>
  <c r="C10" i="1" a="1"/>
  <c r="C10" i="1" s="1"/>
  <c r="S16" i="1"/>
  <c r="G20" i="1"/>
  <c r="J22" i="1"/>
  <c r="U24" i="1"/>
  <c r="P27" i="1"/>
  <c r="F38" i="1"/>
  <c r="K38" i="1"/>
  <c r="O95" i="1"/>
  <c r="J95" i="1"/>
  <c r="I94" i="1"/>
  <c r="N93" i="1"/>
  <c r="I93" i="1"/>
  <c r="D93" i="1"/>
  <c r="I92" i="1"/>
  <c r="Q91" i="1"/>
  <c r="G91" i="1"/>
  <c r="N90" i="1"/>
  <c r="I90" i="1"/>
  <c r="D90" i="1"/>
  <c r="Z89" i="1"/>
  <c r="R89" i="1"/>
  <c r="N89" i="1"/>
  <c r="I89" i="1"/>
  <c r="D89" i="1"/>
  <c r="V87" i="1"/>
  <c r="I87" i="1"/>
  <c r="V86" i="1"/>
  <c r="I86" i="1"/>
  <c r="B86" i="1"/>
  <c r="X85" i="1"/>
  <c r="S85" i="1"/>
  <c r="J85" i="1"/>
  <c r="W84" i="1"/>
  <c r="P84" i="1"/>
  <c r="J84" i="1"/>
  <c r="V83" i="1"/>
  <c r="I83" i="1"/>
  <c r="AA82" i="1"/>
  <c r="V82" i="1"/>
  <c r="M82" i="1"/>
  <c r="H82" i="1"/>
  <c r="C82" i="1"/>
  <c r="Z81" i="1"/>
  <c r="T81" i="1"/>
  <c r="L81" i="1"/>
  <c r="G81" i="1"/>
  <c r="L79" i="1"/>
  <c r="I78" i="1"/>
  <c r="B75" i="1"/>
  <c r="I95" i="1"/>
  <c r="H94" i="1"/>
  <c r="M93" i="1"/>
  <c r="H93" i="1"/>
  <c r="B93" i="1"/>
  <c r="O91" i="1"/>
  <c r="J91" i="1"/>
  <c r="Q90" i="1"/>
  <c r="M90" i="1"/>
  <c r="H90" i="1"/>
  <c r="C90" i="1"/>
  <c r="Y89" i="1"/>
  <c r="Q89" i="1"/>
  <c r="M89" i="1"/>
  <c r="H89" i="1"/>
  <c r="B89" i="1"/>
  <c r="T87" i="1"/>
  <c r="T86" i="1"/>
  <c r="H86" i="1"/>
  <c r="W85" i="1"/>
  <c r="P85" i="1"/>
  <c r="I85" i="1"/>
  <c r="D85" i="1"/>
  <c r="V84" i="1"/>
  <c r="I84" i="1"/>
  <c r="T83" i="1"/>
  <c r="H83" i="1"/>
  <c r="Z82" i="1"/>
  <c r="T82" i="1"/>
  <c r="G82" i="1"/>
  <c r="B82" i="1"/>
  <c r="X81" i="1"/>
  <c r="S81" i="1"/>
  <c r="J81" i="1"/>
  <c r="E81" i="1"/>
  <c r="N79" i="1"/>
  <c r="L76" i="1"/>
  <c r="L75" i="1"/>
  <c r="D75" i="1"/>
  <c r="B74" i="1"/>
  <c r="N72" i="1"/>
  <c r="L70" i="1"/>
  <c r="G94" i="1"/>
  <c r="G93" i="1"/>
  <c r="P92" i="1"/>
  <c r="I91" i="1"/>
  <c r="P90" i="1"/>
  <c r="G90" i="1"/>
  <c r="B90" i="1"/>
  <c r="W89" i="1"/>
  <c r="P89" i="1"/>
  <c r="L89" i="1"/>
  <c r="G89" i="1"/>
  <c r="G86" i="1"/>
  <c r="AA85" i="1"/>
  <c r="V85" i="1"/>
  <c r="M85" i="1"/>
  <c r="H85" i="1"/>
  <c r="B85" i="1"/>
  <c r="T84" i="1"/>
  <c r="G83" i="1"/>
  <c r="X82" i="1"/>
  <c r="S82" i="1"/>
  <c r="J82" i="1"/>
  <c r="W81" i="1"/>
  <c r="P81" i="1"/>
  <c r="I81" i="1"/>
  <c r="D81" i="1"/>
  <c r="C76" i="1" a="1"/>
  <c r="C76" i="1" s="1"/>
  <c r="N75" i="1"/>
  <c r="Q74" i="1"/>
  <c r="I73" i="1"/>
  <c r="C71" i="1" a="1"/>
  <c r="C71" i="1" s="1"/>
  <c r="N70" i="1"/>
  <c r="C70" i="1" a="1"/>
  <c r="C70" i="1" s="1"/>
  <c r="M81" i="1"/>
  <c r="I82" i="1"/>
  <c r="Z85" i="1"/>
  <c r="W86" i="1"/>
  <c r="P87" i="1"/>
  <c r="J89" i="1"/>
  <c r="O92" i="1"/>
  <c r="O93" i="1"/>
  <c r="F78" i="1"/>
  <c r="I76" i="1"/>
  <c r="I75" i="1"/>
  <c r="F75" i="1"/>
  <c r="L78" i="1"/>
  <c r="H78" i="1"/>
  <c r="H75" i="1"/>
  <c r="N78" i="1"/>
  <c r="N76" i="1"/>
  <c r="V81" i="1"/>
  <c r="P82" i="1"/>
  <c r="J83" i="1"/>
  <c r="G85" i="1"/>
  <c r="C86" i="1"/>
  <c r="W87" i="1"/>
  <c r="O89" i="1"/>
  <c r="J90" i="1"/>
  <c r="H91" i="1"/>
  <c r="J94" i="1"/>
  <c r="I79" i="1"/>
  <c r="B81" i="1"/>
  <c r="AA81" i="1"/>
  <c r="W82" i="1"/>
  <c r="P83" i="1"/>
  <c r="J86" i="1"/>
  <c r="U89" i="1"/>
  <c r="O90" i="1"/>
  <c r="O94" i="1"/>
  <c r="Q92" i="1" l="1"/>
  <c r="Q93" i="1"/>
  <c r="S79" i="1"/>
  <c r="A79" i="1"/>
  <c r="A77" i="1"/>
  <c r="A76" i="1"/>
  <c r="R92" i="1" s="1" a="1"/>
  <c r="R92" i="1" s="1"/>
  <c r="A91" i="1"/>
  <c r="A87" i="1"/>
  <c r="C87" i="1" s="1" a="1"/>
  <c r="C87" i="1" s="1"/>
  <c r="A86" i="1"/>
  <c r="R79" i="1"/>
  <c r="A78" i="1"/>
  <c r="S76" i="1"/>
  <c r="A75" i="1"/>
  <c r="Q73" i="1"/>
  <c r="S70" i="1"/>
  <c r="A82" i="1"/>
  <c r="B83" i="1" s="1" a="1"/>
  <c r="B83" i="1" s="1"/>
  <c r="Q79" i="1"/>
  <c r="R76" i="1"/>
  <c r="A74" i="1"/>
  <c r="R70" i="1"/>
  <c r="S73" i="1"/>
  <c r="A71" i="1"/>
  <c r="A69" i="1"/>
  <c r="R73" i="1"/>
  <c r="Q70" i="1"/>
  <c r="A70" i="1"/>
  <c r="A72" i="1"/>
  <c r="A83" i="1"/>
  <c r="C83" i="1" s="1" a="1"/>
  <c r="C83" i="1" s="1"/>
  <c r="A73" i="1"/>
  <c r="Q76" i="1"/>
  <c r="A90" i="1"/>
  <c r="A53" i="1"/>
  <c r="C53" i="1" s="1" a="1"/>
  <c r="C53" i="1" s="1"/>
  <c r="H45" i="1"/>
  <c r="A49" i="1"/>
  <c r="C49" i="1" s="1" a="1"/>
  <c r="C49" i="1" s="1"/>
  <c r="A56" i="1"/>
  <c r="B57" i="1" s="1" a="1"/>
  <c r="B57" i="1" s="1"/>
  <c r="A48" i="1"/>
  <c r="B49" i="1" s="1" a="1"/>
  <c r="B49" i="1" s="1"/>
  <c r="AA45" i="1"/>
  <c r="A45" i="1"/>
  <c r="N45" i="1" s="1" a="1"/>
  <c r="N45" i="1" s="1"/>
  <c r="A43" i="1"/>
  <c r="X42" i="1"/>
  <c r="T42" i="1"/>
  <c r="O42" i="1"/>
  <c r="A41" i="1"/>
  <c r="A40" i="1"/>
  <c r="A38" i="1"/>
  <c r="A37" i="1"/>
  <c r="A52" i="1"/>
  <c r="W42" i="1"/>
  <c r="S42" i="1"/>
  <c r="A36" i="1"/>
  <c r="N36" i="1" s="1" a="1"/>
  <c r="N36" i="1" s="1"/>
  <c r="A44" i="1"/>
  <c r="Y42" i="1"/>
  <c r="P42" i="1"/>
  <c r="A42" i="1"/>
  <c r="V42" i="1"/>
  <c r="A35" i="1"/>
  <c r="U42" i="1"/>
  <c r="A57" i="1"/>
  <c r="C57" i="1" s="1" a="1"/>
  <c r="C57" i="1" s="1"/>
  <c r="Z42" i="1"/>
  <c r="R42" i="1"/>
  <c r="A39" i="1"/>
  <c r="A25" i="1"/>
  <c r="B26" i="1" s="1" a="1"/>
  <c r="B26" i="1" s="1"/>
  <c r="A17" i="1"/>
  <c r="B18" i="1" s="1" a="1"/>
  <c r="B18" i="1" s="1"/>
  <c r="A22" i="1"/>
  <c r="C22" i="1" s="1" a="1"/>
  <c r="C22" i="1" s="1"/>
  <c r="A14" i="1"/>
  <c r="A12" i="1"/>
  <c r="A10" i="1"/>
  <c r="A9" i="1"/>
  <c r="A7" i="1"/>
  <c r="A6" i="1"/>
  <c r="A11" i="1"/>
  <c r="A5" i="1"/>
  <c r="A26" i="1"/>
  <c r="C26" i="1" s="1" a="1"/>
  <c r="C26" i="1" s="1"/>
  <c r="A21" i="1"/>
  <c r="A13" i="1"/>
  <c r="A18" i="1"/>
  <c r="C18" i="1" s="1" a="1"/>
  <c r="C18" i="1" s="1"/>
  <c r="A4" i="1"/>
  <c r="A8" i="1"/>
  <c r="Q59" i="1"/>
  <c r="Q58" i="1"/>
  <c r="P52" i="1"/>
  <c r="T50" i="1"/>
  <c r="N50" i="1"/>
  <c r="P50" i="1"/>
  <c r="E59" i="1" l="1"/>
  <c r="E56" i="1"/>
  <c r="B91" i="1" a="1"/>
  <c r="B91" i="1" s="1"/>
  <c r="R90" i="1" a="1"/>
  <c r="R90" i="1" s="1"/>
  <c r="M72" i="1" a="1"/>
  <c r="M72" i="1" s="1"/>
  <c r="J72" i="1" a="1"/>
  <c r="J72" i="1" s="1"/>
  <c r="M73" i="1" a="1"/>
  <c r="M73" i="1" s="1"/>
  <c r="J73" i="1" a="1"/>
  <c r="J73" i="1" s="1"/>
  <c r="G72" i="1" a="1"/>
  <c r="G72" i="1" s="1"/>
  <c r="AA84" i="1" a="1"/>
  <c r="AA84" i="1" s="1"/>
  <c r="AA87" i="1" a="1"/>
  <c r="AA87" i="1" s="1"/>
  <c r="J69" i="1" a="1"/>
  <c r="J69" i="1" s="1"/>
  <c r="G69" i="1" a="1"/>
  <c r="G69" i="1" s="1"/>
  <c r="AA86" i="1" a="1"/>
  <c r="AA86" i="1" s="1"/>
  <c r="M70" i="1" a="1"/>
  <c r="M70" i="1" s="1"/>
  <c r="M69" i="1" a="1"/>
  <c r="M69" i="1" s="1"/>
  <c r="AA83" i="1" a="1"/>
  <c r="AA83" i="1" s="1"/>
  <c r="J70" i="1" a="1"/>
  <c r="J70" i="1" s="1"/>
  <c r="Z90" i="1" a="1"/>
  <c r="Z90" i="1" s="1"/>
  <c r="Z91" i="1" a="1"/>
  <c r="Z91" i="1" s="1"/>
  <c r="Z92" i="1" a="1"/>
  <c r="Z92" i="1" s="1"/>
  <c r="J78" i="1" a="1"/>
  <c r="J78" i="1" s="1"/>
  <c r="M79" i="1" a="1"/>
  <c r="M79" i="1" s="1"/>
  <c r="M78" i="1" a="1"/>
  <c r="M78" i="1" s="1"/>
  <c r="J79" i="1" a="1"/>
  <c r="J79" i="1" s="1"/>
  <c r="R93" i="1" a="1"/>
  <c r="R93" i="1" s="1"/>
  <c r="M76" i="1" a="1"/>
  <c r="M76" i="1" s="1"/>
  <c r="G78" i="1" a="1"/>
  <c r="G78" i="1" s="1"/>
  <c r="Z93" i="1" a="1"/>
  <c r="Z93" i="1" s="1"/>
  <c r="R91" i="1" a="1"/>
  <c r="R91" i="1" s="1"/>
  <c r="C91" i="1" a="1"/>
  <c r="C91" i="1" s="1"/>
  <c r="L18" i="1"/>
  <c r="L21" i="1"/>
  <c r="L19" i="1"/>
  <c r="L22" i="1"/>
  <c r="I5" i="1" a="1"/>
  <c r="I5" i="1" s="1"/>
  <c r="R5" i="1" a="1"/>
  <c r="R5" i="1" s="1"/>
  <c r="X5" i="1" a="1"/>
  <c r="X5" i="1" s="1"/>
  <c r="O5" i="1" a="1"/>
  <c r="O5" i="1" s="1"/>
  <c r="W5" i="1" a="1"/>
  <c r="W5" i="1" s="1"/>
  <c r="N5" i="1" a="1"/>
  <c r="N5" i="1" s="1"/>
  <c r="V5" i="1" a="1"/>
  <c r="V5" i="1" s="1"/>
  <c r="M5" i="1" a="1"/>
  <c r="M5" i="1" s="1"/>
  <c r="U5" i="1" a="1"/>
  <c r="U5" i="1" s="1"/>
  <c r="G5" i="1" a="1"/>
  <c r="G5" i="1" s="1"/>
  <c r="T5" i="1" a="1"/>
  <c r="T5" i="1" s="1"/>
  <c r="Y5" i="1" a="1"/>
  <c r="Y5" i="1" s="1"/>
  <c r="P5" i="1" a="1"/>
  <c r="P5" i="1" s="1"/>
  <c r="S5" i="1" a="1"/>
  <c r="S5" i="1" s="1"/>
  <c r="AA5" i="1"/>
  <c r="E51" i="1"/>
  <c r="L48" i="1"/>
  <c r="E48" i="1"/>
  <c r="L51" i="1"/>
  <c r="L84" i="1"/>
  <c r="L83" i="1"/>
  <c r="L86" i="1"/>
  <c r="L87" i="1"/>
  <c r="L85" i="1"/>
  <c r="L82" i="1"/>
  <c r="E85" i="1"/>
  <c r="E82" i="1"/>
  <c r="L91" i="1"/>
  <c r="L94" i="1"/>
  <c r="L95" i="1"/>
  <c r="N95" i="1" s="1"/>
  <c r="M95" i="1" s="1"/>
  <c r="L92" i="1"/>
  <c r="S13" i="1" a="1"/>
  <c r="S13" i="1" s="1"/>
  <c r="U13" i="1" a="1"/>
  <c r="U13" i="1" s="1"/>
  <c r="H13" i="1" a="1"/>
  <c r="H13" i="1" s="1"/>
  <c r="T13" i="1" a="1"/>
  <c r="T13" i="1" s="1"/>
  <c r="I13" i="1" a="1"/>
  <c r="I13" i="1" s="1"/>
  <c r="Y28" i="1" s="1"/>
  <c r="Y13" i="1" a="1"/>
  <c r="Y13" i="1" s="1"/>
  <c r="R13" i="1" a="1"/>
  <c r="R13" i="1" s="1"/>
  <c r="G13" i="1" a="1"/>
  <c r="G13" i="1" s="1"/>
  <c r="U28" i="1" a="1"/>
  <c r="U28" i="1" s="1"/>
  <c r="O13" i="1" a="1"/>
  <c r="O13" i="1" s="1"/>
  <c r="N13" i="1" a="1"/>
  <c r="N13" i="1" s="1"/>
  <c r="V13" i="1" a="1"/>
  <c r="V13" i="1" s="1"/>
  <c r="M13" i="1" a="1"/>
  <c r="M13" i="1" s="1"/>
  <c r="W13" i="1" a="1"/>
  <c r="W13" i="1" s="1"/>
  <c r="P13" i="1" a="1"/>
  <c r="P13" i="1" s="1"/>
  <c r="X13" i="1" a="1"/>
  <c r="X13" i="1" s="1"/>
  <c r="Z14" i="1" a="1"/>
  <c r="Z14" i="1" s="1"/>
  <c r="R28" i="1" a="1"/>
  <c r="R28" i="1" s="1"/>
  <c r="V11" i="1" a="1"/>
  <c r="V11" i="1" s="1"/>
  <c r="M11" i="1" a="1"/>
  <c r="M11" i="1" s="1"/>
  <c r="T11" i="1" a="1"/>
  <c r="T11" i="1" s="1"/>
  <c r="AA11" i="1"/>
  <c r="S11" i="1" a="1"/>
  <c r="S11" i="1" s="1"/>
  <c r="R11" i="1" a="1"/>
  <c r="R11" i="1" s="1"/>
  <c r="Y11" i="1" a="1"/>
  <c r="Y11" i="1" s="1"/>
  <c r="P11" i="1" a="1"/>
  <c r="P11" i="1" s="1"/>
  <c r="I11" i="1" a="1"/>
  <c r="I11" i="1" s="1"/>
  <c r="X11" i="1" a="1"/>
  <c r="X11" i="1" s="1"/>
  <c r="O11" i="1" a="1"/>
  <c r="O11" i="1" s="1"/>
  <c r="G11" i="1" a="1"/>
  <c r="G11" i="1" s="1"/>
  <c r="W11" i="1" a="1"/>
  <c r="W11" i="1" s="1"/>
  <c r="U11" i="1" a="1"/>
  <c r="U11" i="1" s="1"/>
  <c r="N11" i="1" a="1"/>
  <c r="N11" i="1" s="1"/>
  <c r="G10" i="1" a="1"/>
  <c r="G10" i="1" s="1"/>
  <c r="I10" i="1" a="1"/>
  <c r="I10" i="1" s="1"/>
  <c r="W10" i="1" a="1"/>
  <c r="W10" i="1" s="1"/>
  <c r="N10" i="1" a="1"/>
  <c r="N10" i="1" s="1"/>
  <c r="U10" i="1" a="1"/>
  <c r="U10" i="1" s="1"/>
  <c r="X10" i="1" a="1"/>
  <c r="X10" i="1" s="1"/>
  <c r="O10" i="1" a="1"/>
  <c r="O10" i="1" s="1"/>
  <c r="Z11" i="1" a="1"/>
  <c r="Z11" i="1" s="1"/>
  <c r="S10" i="1" a="1"/>
  <c r="S10" i="1" s="1"/>
  <c r="H10" i="1" a="1"/>
  <c r="H10" i="1" s="1"/>
  <c r="V10" i="1" a="1"/>
  <c r="V10" i="1" s="1"/>
  <c r="M10" i="1" a="1"/>
  <c r="M10" i="1" s="1"/>
  <c r="Y10" i="1" a="1"/>
  <c r="Y10" i="1" s="1"/>
  <c r="U27" i="1" a="1"/>
  <c r="U27" i="1" s="1"/>
  <c r="P10" i="1" a="1"/>
  <c r="P10" i="1" s="1"/>
  <c r="R10" i="1" a="1"/>
  <c r="R10" i="1" s="1"/>
  <c r="T10" i="1" a="1"/>
  <c r="T10" i="1" s="1"/>
  <c r="L20" i="1"/>
  <c r="E20" i="1"/>
  <c r="E17" i="1"/>
  <c r="L17" i="1"/>
  <c r="R45" i="1" a="1"/>
  <c r="R45" i="1" s="1"/>
  <c r="Y44" i="1" a="1"/>
  <c r="Y44" i="1" s="1"/>
  <c r="O44" i="1" a="1"/>
  <c r="O44" i="1" s="1"/>
  <c r="W44" i="1" a="1"/>
  <c r="W44" i="1" s="1"/>
  <c r="V45" i="1" a="1"/>
  <c r="V45" i="1" s="1"/>
  <c r="G44" i="1" a="1"/>
  <c r="G44" i="1" s="1"/>
  <c r="V44" i="1" a="1"/>
  <c r="V44" i="1" s="1"/>
  <c r="M44" i="1" a="1"/>
  <c r="M44" i="1" s="1"/>
  <c r="U44" i="1" a="1"/>
  <c r="U44" i="1" s="1"/>
  <c r="S44" i="1" a="1"/>
  <c r="S44" i="1" s="1"/>
  <c r="T44" i="1" a="1"/>
  <c r="T44" i="1" s="1"/>
  <c r="I44" i="1" a="1"/>
  <c r="I44" i="1" s="1"/>
  <c r="W53" i="1" s="1"/>
  <c r="P44" i="1" a="1"/>
  <c r="P44" i="1" s="1"/>
  <c r="O45" i="1" a="1"/>
  <c r="O45" i="1" s="1"/>
  <c r="N44" i="1" a="1"/>
  <c r="N44" i="1" s="1"/>
  <c r="R44" i="1" a="1"/>
  <c r="R44" i="1" s="1"/>
  <c r="X45" i="1" a="1"/>
  <c r="X45" i="1" s="1"/>
  <c r="T45" i="1" a="1"/>
  <c r="T45" i="1" s="1"/>
  <c r="M45" i="1" a="1"/>
  <c r="M45" i="1" s="1"/>
  <c r="X44" i="1" a="1"/>
  <c r="X44" i="1" s="1"/>
  <c r="B64" i="1" a="1"/>
  <c r="B64" i="1" s="1"/>
  <c r="B53" i="1" a="1"/>
  <c r="B53" i="1" s="1"/>
  <c r="E28" i="1"/>
  <c r="E25" i="1"/>
  <c r="L49" i="1"/>
  <c r="L53" i="1"/>
  <c r="L26" i="1"/>
  <c r="N26" i="1" s="1"/>
  <c r="L30" i="1"/>
  <c r="N30" i="1" s="1"/>
  <c r="M30" i="1" s="1"/>
  <c r="L29" i="1"/>
  <c r="N29" i="1" s="1"/>
  <c r="M29" i="1" s="1"/>
  <c r="L27" i="1"/>
  <c r="N27" i="1" s="1"/>
  <c r="N49" i="1" a="1"/>
  <c r="N49" i="1" s="1"/>
  <c r="O61" i="1" a="1"/>
  <c r="O61" i="1" s="1"/>
  <c r="Y56" i="1"/>
  <c r="N53" i="1" a="1"/>
  <c r="N53" i="1" s="1"/>
  <c r="R59" i="1" s="1" a="1"/>
  <c r="R59" i="1" s="1"/>
  <c r="AA49" i="1" a="1"/>
  <c r="AA49" i="1" s="1"/>
  <c r="Z56" i="1" s="1" a="1"/>
  <c r="Z56" i="1" s="1"/>
  <c r="W49" i="1"/>
  <c r="AA53" i="1" a="1"/>
  <c r="AA53" i="1" s="1"/>
  <c r="Z59" i="1" s="1" a="1"/>
  <c r="Z59" i="1" s="1"/>
  <c r="O57" i="1" a="1"/>
  <c r="O57" i="1" s="1"/>
  <c r="Y59" i="1"/>
  <c r="R36" i="1" a="1"/>
  <c r="R36" i="1" s="1"/>
  <c r="V36" i="1" a="1"/>
  <c r="V36" i="1" s="1"/>
  <c r="M36" i="1" a="1"/>
  <c r="M36" i="1" s="1"/>
  <c r="S35" i="1" a="1"/>
  <c r="S35" i="1" s="1"/>
  <c r="O35" i="1" a="1"/>
  <c r="O35" i="1" s="1"/>
  <c r="R35" i="1" a="1"/>
  <c r="R35" i="1" s="1"/>
  <c r="Y35" i="1" a="1"/>
  <c r="Y35" i="1" s="1"/>
  <c r="P35" i="1" a="1"/>
  <c r="P35" i="1" s="1"/>
  <c r="M35" i="1" a="1"/>
  <c r="M35" i="1" s="1"/>
  <c r="G35" i="1" a="1"/>
  <c r="G35" i="1" s="1"/>
  <c r="X36" i="1" a="1"/>
  <c r="X36" i="1" s="1"/>
  <c r="W35" i="1" a="1"/>
  <c r="W35" i="1" s="1"/>
  <c r="N35" i="1" a="1"/>
  <c r="N35" i="1" s="1"/>
  <c r="X35" i="1" a="1"/>
  <c r="X35" i="1" s="1"/>
  <c r="T36" i="1" a="1"/>
  <c r="T36" i="1" s="1"/>
  <c r="I35" i="1" a="1"/>
  <c r="I35" i="1" s="1"/>
  <c r="O36" i="1" a="1"/>
  <c r="O36" i="1" s="1"/>
  <c r="V35" i="1" a="1"/>
  <c r="V35" i="1" s="1"/>
  <c r="U35" i="1" a="1"/>
  <c r="U35" i="1" s="1"/>
  <c r="T35" i="1" a="1"/>
  <c r="T35" i="1" s="1"/>
  <c r="R56" i="1" a="1"/>
  <c r="R56" i="1" s="1"/>
  <c r="L61" i="1"/>
  <c r="N61" i="1" s="1"/>
  <c r="M61" i="1" s="1"/>
  <c r="L57" i="1"/>
  <c r="N57" i="1" s="1"/>
  <c r="I8" i="1" a="1"/>
  <c r="I8" i="1" s="1"/>
  <c r="T8" i="1" a="1"/>
  <c r="T8" i="1" s="1"/>
  <c r="R8" i="1" a="1"/>
  <c r="R8" i="1" s="1"/>
  <c r="W8" i="1" a="1"/>
  <c r="W8" i="1" s="1"/>
  <c r="N8" i="1" a="1"/>
  <c r="N8" i="1" s="1"/>
  <c r="X8" i="1" a="1"/>
  <c r="X8" i="1" s="1"/>
  <c r="O8" i="1" a="1"/>
  <c r="O8" i="1" s="1"/>
  <c r="U8" i="1" a="1"/>
  <c r="U8" i="1" s="1"/>
  <c r="G8" i="1" a="1"/>
  <c r="G8" i="1" s="1"/>
  <c r="M8" i="1" a="1"/>
  <c r="M8" i="1" s="1"/>
  <c r="V8" i="1" a="1"/>
  <c r="V8" i="1" s="1"/>
  <c r="Y8" i="1" a="1"/>
  <c r="Y8" i="1" s="1"/>
  <c r="AA8" i="1"/>
  <c r="S8" i="1" a="1"/>
  <c r="S8" i="1" s="1"/>
  <c r="P8" i="1" a="1"/>
  <c r="P8" i="1" s="1"/>
  <c r="B33" i="1" a="1"/>
  <c r="B33" i="1" s="1"/>
  <c r="B22" i="1" a="1"/>
  <c r="B22" i="1" s="1"/>
  <c r="O27" i="1" a="1"/>
  <c r="O27" i="1" s="1"/>
  <c r="O30" i="1" a="1"/>
  <c r="O30" i="1" s="1"/>
  <c r="O29" i="1" a="1"/>
  <c r="O29" i="1" s="1"/>
  <c r="Y27" i="1"/>
  <c r="Y25" i="1"/>
  <c r="AA19" i="1" a="1"/>
  <c r="AA19" i="1" s="1"/>
  <c r="Z27" i="1" s="1" a="1"/>
  <c r="Z27" i="1" s="1"/>
  <c r="W19" i="1"/>
  <c r="O26" i="1" a="1"/>
  <c r="O26" i="1" s="1"/>
  <c r="AA22" i="1" a="1"/>
  <c r="AA22" i="1" s="1"/>
  <c r="Z28" i="1" s="1" a="1"/>
  <c r="Z28" i="1" s="1"/>
  <c r="P21" i="1" a="1"/>
  <c r="P21" i="1" s="1"/>
  <c r="N21" i="1" a="1"/>
  <c r="N21" i="1" s="1"/>
  <c r="R26" i="1" s="1" a="1"/>
  <c r="R26" i="1" s="1"/>
  <c r="AA18" i="1" a="1"/>
  <c r="AA18" i="1" s="1"/>
  <c r="P19" i="1" a="1"/>
  <c r="P19" i="1" s="1"/>
  <c r="N19" i="1" a="1"/>
  <c r="N19" i="1" s="1"/>
  <c r="R27" i="1" s="1" a="1"/>
  <c r="R27" i="1" s="1"/>
  <c r="P18" i="1" a="1"/>
  <c r="P18" i="1" s="1"/>
  <c r="G4" i="1" a="1"/>
  <c r="G4" i="1" s="1"/>
  <c r="N22" i="1" a="1"/>
  <c r="N22" i="1" s="1"/>
  <c r="P22" i="1" a="1"/>
  <c r="P22" i="1" s="1"/>
  <c r="AA21" i="1" a="1"/>
  <c r="AA21" i="1" s="1"/>
  <c r="N18" i="1" a="1"/>
  <c r="N18" i="1" s="1"/>
  <c r="S28" i="1" s="1" a="1"/>
  <c r="S28" i="1" s="1"/>
  <c r="Z5" i="1" a="1"/>
  <c r="Z5" i="1" s="1"/>
  <c r="S4" i="1" a="1"/>
  <c r="S4" i="1" s="1"/>
  <c r="Z25" i="1" a="1"/>
  <c r="Z25" i="1" s="1"/>
  <c r="Y4" i="1" a="1"/>
  <c r="Y4" i="1" s="1"/>
  <c r="P4" i="1" a="1"/>
  <c r="P4" i="1" s="1"/>
  <c r="T4" i="1" a="1"/>
  <c r="T4" i="1" s="1"/>
  <c r="U25" i="1" a="1"/>
  <c r="U25" i="1" s="1"/>
  <c r="W4" i="1" a="1"/>
  <c r="W4" i="1" s="1"/>
  <c r="N4" i="1" a="1"/>
  <c r="N4" i="1" s="1"/>
  <c r="R4" i="1" a="1"/>
  <c r="R4" i="1" s="1"/>
  <c r="U4" i="1" a="1"/>
  <c r="U4" i="1" s="1"/>
  <c r="V4" i="1" a="1"/>
  <c r="V4" i="1" s="1"/>
  <c r="X4" i="1" a="1"/>
  <c r="X4" i="1" s="1"/>
  <c r="I4" i="1" a="1"/>
  <c r="I4" i="1" s="1"/>
  <c r="W18" i="1" s="1"/>
  <c r="O4" i="1" a="1"/>
  <c r="O4" i="1" s="1"/>
  <c r="H4" i="1" a="1"/>
  <c r="H4" i="1" s="1"/>
  <c r="M4" i="1" a="1"/>
  <c r="M4" i="1" s="1"/>
  <c r="T7" i="1" a="1"/>
  <c r="T7" i="1" s="1"/>
  <c r="I7" i="1" a="1"/>
  <c r="I7" i="1" s="1"/>
  <c r="Y26" i="1" s="1"/>
  <c r="O7" i="1" a="1"/>
  <c r="O7" i="1" s="1"/>
  <c r="R7" i="1" a="1"/>
  <c r="R7" i="1" s="1"/>
  <c r="G7" i="1" a="1"/>
  <c r="G7" i="1" s="1"/>
  <c r="X7" i="1" a="1"/>
  <c r="X7" i="1" s="1"/>
  <c r="Z8" i="1" a="1"/>
  <c r="Z8" i="1" s="1"/>
  <c r="Y7" i="1" a="1"/>
  <c r="Y7" i="1" s="1"/>
  <c r="P7" i="1" a="1"/>
  <c r="P7" i="1" s="1"/>
  <c r="U26" i="1" a="1"/>
  <c r="U26" i="1" s="1"/>
  <c r="M7" i="1" a="1"/>
  <c r="M7" i="1" s="1"/>
  <c r="Z26" i="1" a="1"/>
  <c r="Z26" i="1" s="1"/>
  <c r="W7" i="1" a="1"/>
  <c r="W7" i="1" s="1"/>
  <c r="N7" i="1" a="1"/>
  <c r="N7" i="1" s="1"/>
  <c r="V7" i="1" a="1"/>
  <c r="V7" i="1" s="1"/>
  <c r="S26" i="1" a="1"/>
  <c r="S26" i="1" s="1"/>
  <c r="S7" i="1" a="1"/>
  <c r="S7" i="1" s="1"/>
  <c r="H7" i="1" a="1"/>
  <c r="H7" i="1" s="1"/>
  <c r="U7" i="1" a="1"/>
  <c r="U7" i="1" s="1"/>
  <c r="W14" i="1" a="1"/>
  <c r="W14" i="1" s="1"/>
  <c r="N14" i="1" a="1"/>
  <c r="N14" i="1" s="1"/>
  <c r="U14" i="1" a="1"/>
  <c r="U14" i="1" s="1"/>
  <c r="G14" i="1" a="1"/>
  <c r="G14" i="1" s="1"/>
  <c r="V14" i="1" a="1"/>
  <c r="V14" i="1" s="1"/>
  <c r="M14" i="1" a="1"/>
  <c r="M14" i="1" s="1"/>
  <c r="AA14" i="1"/>
  <c r="S14" i="1" a="1"/>
  <c r="S14" i="1" s="1"/>
  <c r="I14" i="1" a="1"/>
  <c r="I14" i="1" s="1"/>
  <c r="T14" i="1" a="1"/>
  <c r="T14" i="1" s="1"/>
  <c r="Y14" i="1" a="1"/>
  <c r="Y14" i="1" s="1"/>
  <c r="P14" i="1" a="1"/>
  <c r="P14" i="1" s="1"/>
  <c r="R14" i="1" a="1"/>
  <c r="R14" i="1" s="1"/>
  <c r="O14" i="1" a="1"/>
  <c r="O14" i="1" s="1"/>
  <c r="X14" i="1" a="1"/>
  <c r="X14" i="1" s="1"/>
  <c r="J75" i="1" a="1"/>
  <c r="J75" i="1" s="1"/>
  <c r="J76" i="1" a="1"/>
  <c r="J76" i="1" s="1"/>
  <c r="G75" i="1" a="1"/>
  <c r="G75" i="1" s="1"/>
  <c r="M75" i="1" a="1"/>
  <c r="M75" i="1" s="1"/>
  <c r="B98" i="1" a="1"/>
  <c r="B98" i="1" s="1"/>
  <c r="B87" i="1" a="1"/>
  <c r="B87" i="1" s="1"/>
  <c r="R25" i="1" l="1" a="1"/>
  <c r="R25" i="1" s="1"/>
  <c r="S25" i="1" a="1"/>
  <c r="S25" i="1" s="1"/>
  <c r="W22" i="1"/>
  <c r="L25" i="1"/>
  <c r="L28" i="1"/>
  <c r="M26" i="1"/>
  <c r="S27" i="1" a="1"/>
  <c r="S27" i="1" s="1"/>
  <c r="S83" i="1"/>
  <c r="M83" i="1" s="1" a="1"/>
  <c r="M83" i="1" s="1"/>
  <c r="S84" i="1"/>
  <c r="M84" i="1" s="1" a="1"/>
  <c r="M84" i="1" s="1"/>
  <c r="S86" i="1"/>
  <c r="M86" i="1" s="1" a="1"/>
  <c r="M86" i="1" s="1"/>
  <c r="Z84" i="1"/>
  <c r="X84" i="1" s="1" a="1"/>
  <c r="X84" i="1" s="1"/>
  <c r="Z86" i="1"/>
  <c r="X86" i="1" s="1" a="1"/>
  <c r="X86" i="1" s="1"/>
  <c r="Z83" i="1"/>
  <c r="X83" i="1" s="1" a="1"/>
  <c r="X83" i="1" s="1"/>
  <c r="S18" i="1"/>
  <c r="Z18" i="1"/>
  <c r="X18" i="1" s="1" a="1"/>
  <c r="X18" i="1" s="1"/>
  <c r="Z49" i="1"/>
  <c r="X49" i="1" s="1" a="1"/>
  <c r="X49" i="1" s="1"/>
  <c r="S49" i="1"/>
  <c r="M49" i="1" s="1" a="1"/>
  <c r="M49" i="1" s="1"/>
  <c r="J63" i="1"/>
  <c r="U63" i="1"/>
  <c r="F64" i="1"/>
  <c r="F63" i="1"/>
  <c r="Q64" i="1"/>
  <c r="Q63" i="1"/>
  <c r="U97" i="1"/>
  <c r="F98" i="1"/>
  <c r="F97" i="1"/>
  <c r="Q98" i="1"/>
  <c r="Q97" i="1"/>
  <c r="J97" i="1"/>
  <c r="U32" i="1"/>
  <c r="F33" i="1"/>
  <c r="F32" i="1"/>
  <c r="Q33" i="1"/>
  <c r="Q32" i="1"/>
  <c r="J32" i="1"/>
  <c r="M57" i="1"/>
  <c r="M27" i="1"/>
  <c r="S53" i="1"/>
  <c r="M53" i="1" s="1" a="1"/>
  <c r="M53" i="1" s="1"/>
  <c r="Z53" i="1"/>
  <c r="X53" i="1" s="1" a="1"/>
  <c r="X53" i="1" s="1"/>
  <c r="L56" i="1"/>
  <c r="L59" i="1"/>
  <c r="N92" i="1"/>
  <c r="M92" i="1" s="1"/>
  <c r="N94" i="1"/>
  <c r="M94" i="1" s="1"/>
  <c r="N91" i="1"/>
  <c r="M91" i="1" s="1"/>
  <c r="Z22" i="1"/>
  <c r="X22" i="1" s="1" a="1"/>
  <c r="X22" i="1" s="1"/>
  <c r="S22" i="1"/>
  <c r="E90" i="1"/>
  <c r="E93" i="1"/>
  <c r="Z19" i="1"/>
  <c r="X19" i="1" s="1" a="1"/>
  <c r="X19" i="1" s="1"/>
  <c r="S19" i="1"/>
  <c r="W21" i="1"/>
  <c r="S87" i="1"/>
  <c r="M87" i="1" s="1" a="1"/>
  <c r="M87" i="1" s="1"/>
  <c r="Z87" i="1"/>
  <c r="X87" i="1" s="1" a="1"/>
  <c r="X87" i="1" s="1"/>
  <c r="L93" i="1"/>
  <c r="L90" i="1"/>
  <c r="Z21" i="1"/>
  <c r="X21" i="1" s="1" a="1"/>
  <c r="X21" i="1" s="1"/>
  <c r="S21" i="1"/>
  <c r="T18" i="1" l="1" a="1"/>
  <c r="T18" i="1" s="1"/>
  <c r="T19" i="1" a="1"/>
  <c r="T19" i="1" s="1"/>
  <c r="O18" i="1" a="1"/>
  <c r="O18" i="1" s="1"/>
  <c r="M18" i="1" a="1"/>
  <c r="M18" i="1" s="1"/>
  <c r="M19" i="1" a="1"/>
  <c r="M19" i="1" s="1"/>
  <c r="O19" i="1" a="1"/>
  <c r="O19" i="1" s="1"/>
  <c r="O22" i="1" a="1"/>
  <c r="O22" i="1" s="1"/>
  <c r="M22" i="1" a="1"/>
  <c r="M22" i="1" s="1"/>
  <c r="T22" i="1" a="1"/>
  <c r="T22" i="1" s="1"/>
  <c r="O21" i="1" a="1"/>
  <c r="O21" i="1" s="1"/>
  <c r="M21" i="1" a="1"/>
  <c r="M21" i="1" s="1"/>
  <c r="T21" i="1" a="1"/>
  <c r="T21" i="1" s="1"/>
</calcChain>
</file>

<file path=xl/sharedStrings.xml><?xml version="1.0" encoding="utf-8"?>
<sst xmlns="http://schemas.openxmlformats.org/spreadsheetml/2006/main" count="12" uniqueCount="3">
  <si>
    <t>-</t>
  </si>
  <si>
    <t>Wishing You A Peace, Joy &amp; Prosperity !!</t>
  </si>
  <si>
    <t>TR PROFIT AFTER TGT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</si>
</sst>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&quot;:&quot;ss&quot; &quot;AM/PM"/>
  </numFmts>
  <fonts count="12" x14ac:knownFonts="1">
    <font>
      <sz val="10"/>
      <color rgb="FF000000"/>
      <name val="Arial"/>
      <scheme val="minor"/>
    </font>
    <font>
      <sz val="11"/>
      <color rgb="FF000000"/>
      <name val="Pacifico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color rgb="FFFFFFFF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FFFFFF"/>
      <name val="Pacifico"/>
    </font>
    <font>
      <sz val="11"/>
      <color rgb="FF0000FF"/>
      <name val="Pacifico"/>
    </font>
    <font>
      <b/>
      <sz val="11"/>
      <color rgb="FF434343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3DAF4"/>
        <bgColor rgb="FFE3DAF4"/>
      </patternFill>
    </fill>
    <fill>
      <patternFill patternType="solid">
        <fgColor rgb="FFFBE8D4"/>
        <bgColor rgb="FFFBE8D4"/>
      </patternFill>
    </fill>
    <fill>
      <patternFill patternType="solid">
        <fgColor rgb="FFBDEBEC"/>
        <bgColor rgb="FFBDEBEC"/>
      </patternFill>
    </fill>
    <fill>
      <patternFill patternType="solid">
        <fgColor rgb="FFCDF1F4"/>
        <bgColor rgb="FFCDF1F4"/>
      </patternFill>
    </fill>
    <fill>
      <patternFill patternType="solid">
        <fgColor rgb="FFFFF2CC"/>
        <bgColor rgb="FFFFF2CC"/>
      </patternFill>
    </fill>
    <fill>
      <patternFill patternType="solid">
        <fgColor rgb="FFC5F2D5"/>
        <bgColor rgb="FFC5F2D5"/>
      </patternFill>
    </fill>
    <fill>
      <patternFill patternType="solid">
        <fgColor rgb="FFE7F8ED"/>
        <bgColor rgb="FFE7F8ED"/>
      </patternFill>
    </fill>
    <fill>
      <patternFill patternType="solid">
        <fgColor rgb="FFF3F3F3"/>
        <bgColor rgb="FFF3F3F3"/>
      </patternFill>
    </fill>
    <fill>
      <patternFill patternType="solid">
        <fgColor rgb="FFFFEEFF"/>
        <bgColor rgb="FFFFEEFF"/>
      </patternFill>
    </fill>
    <fill>
      <patternFill patternType="solid">
        <fgColor rgb="FFFECCFE"/>
        <bgColor rgb="FFFECCFE"/>
      </patternFill>
    </fill>
    <fill>
      <patternFill patternType="solid">
        <fgColor rgb="FFDFF4F6"/>
        <bgColor rgb="FFDFF4F6"/>
      </patternFill>
    </fill>
  </fills>
  <borders count="79">
    <border>
      <left/>
      <right/>
      <top/>
      <bottom/>
      <diagonal/>
    </border>
    <border>
      <left style="thin">
        <color rgb="FF34A853"/>
      </left>
      <right/>
      <top style="thin">
        <color rgb="FF34A853"/>
      </top>
      <bottom/>
      <diagonal/>
    </border>
    <border>
      <left/>
      <right/>
      <top style="thin">
        <color rgb="FF34A853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34A853"/>
      </left>
      <right/>
      <top/>
      <bottom style="thin">
        <color rgb="FF9900FF"/>
      </bottom>
      <diagonal/>
    </border>
    <border>
      <left/>
      <right/>
      <top/>
      <bottom style="thin">
        <color rgb="FF9900FF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 style="medium">
        <color rgb="FF999999"/>
      </top>
      <bottom style="thin">
        <color rgb="FF999999"/>
      </bottom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/>
      <top style="medium">
        <color rgb="FF999999"/>
      </top>
      <bottom style="thin">
        <color rgb="FF999999"/>
      </bottom>
      <diagonal/>
    </border>
    <border>
      <left/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999999"/>
      </left>
      <right/>
      <top/>
      <bottom/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 style="medium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/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medium">
        <color rgb="FF999999"/>
      </right>
      <top style="thin">
        <color rgb="FF999999"/>
      </top>
      <bottom/>
      <diagonal/>
    </border>
    <border>
      <left style="medium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/>
      <bottom style="thin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thin">
        <color rgb="FF999999"/>
      </top>
      <bottom/>
      <diagonal/>
    </border>
    <border>
      <left/>
      <right style="medium">
        <color rgb="FF999999"/>
      </right>
      <top style="thin">
        <color rgb="FF999999"/>
      </top>
      <bottom/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999999"/>
      </left>
      <right/>
      <top style="medium">
        <color rgb="FF999999"/>
      </top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999999"/>
      </left>
      <right/>
      <top style="medium">
        <color rgb="FF999999"/>
      </top>
      <bottom/>
      <diagonal/>
    </border>
    <border>
      <left/>
      <right style="thin">
        <color rgb="FF999999"/>
      </right>
      <top style="medium">
        <color rgb="FF999999"/>
      </top>
      <bottom/>
      <diagonal/>
    </border>
    <border>
      <left/>
      <right/>
      <top style="medium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/>
      <bottom style="medium">
        <color rgb="FF999999"/>
      </bottom>
      <diagonal/>
    </border>
    <border>
      <left style="thin">
        <color rgb="FF999999"/>
      </left>
      <right/>
      <top/>
      <bottom style="medium">
        <color rgb="FF999999"/>
      </bottom>
      <diagonal/>
    </border>
    <border>
      <left style="medium">
        <color rgb="FF999999"/>
      </left>
      <right/>
      <top/>
      <bottom style="thin">
        <color rgb="FF999999"/>
      </bottom>
      <diagonal/>
    </border>
    <border>
      <left style="medium">
        <color rgb="FF999999"/>
      </left>
      <right/>
      <top style="medium">
        <color rgb="FF999999"/>
      </top>
      <bottom style="thin">
        <color rgb="FF999999"/>
      </bottom>
      <diagonal/>
    </border>
    <border>
      <left/>
      <right style="medium">
        <color rgb="FF999999"/>
      </right>
      <top style="medium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/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/>
      <bottom style="medium">
        <color rgb="FF999999"/>
      </bottom>
      <diagonal/>
    </border>
    <border>
      <left/>
      <right/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/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/>
      <diagonal/>
    </border>
    <border>
      <left/>
      <right style="medium">
        <color rgb="FF999999"/>
      </right>
      <top style="thin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 style="medium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medium">
        <color rgb="FF999999"/>
      </right>
      <top style="thin">
        <color rgb="FF999999"/>
      </top>
      <bottom style="thin">
        <color rgb="FF999999"/>
      </bottom>
      <diagonal/>
    </border>
    <border>
      <left/>
      <right style="medium">
        <color rgb="FF999999"/>
      </right>
      <top/>
      <bottom style="thin">
        <color rgb="FF999999"/>
      </bottom>
      <diagonal/>
    </border>
    <border>
      <left style="medium">
        <color rgb="FF999999"/>
      </left>
      <right/>
      <top style="thin">
        <color rgb="FF999999"/>
      </top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/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3" fillId="3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4" fillId="0" borderId="0" xfId="0" applyFont="1" applyAlignment="1">
      <alignment horizontal="left" vertical="center" wrapText="1"/>
    </xf>
    <xf numFmtId="0" fontId="3" fillId="6" borderId="12" xfId="0" applyFont="1" applyFill="1" applyBorder="1" applyAlignment="1">
      <alignment horizontal="left" vertical="center" wrapText="1"/>
    </xf>
    <xf numFmtId="0" fontId="3" fillId="7" borderId="13" xfId="0" applyFont="1" applyFill="1" applyBorder="1" applyAlignment="1">
      <alignment horizontal="left" vertical="center" wrapText="1"/>
    </xf>
    <xf numFmtId="0" fontId="3" fillId="8" borderId="14" xfId="0" applyFont="1" applyFill="1" applyBorder="1" applyAlignment="1">
      <alignment horizontal="left" vertical="center" wrapText="1"/>
    </xf>
    <xf numFmtId="0" fontId="2" fillId="0" borderId="15" xfId="0" applyFont="1" applyBorder="1"/>
    <xf numFmtId="0" fontId="4" fillId="9" borderId="16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left" vertical="center" wrapText="1"/>
    </xf>
    <xf numFmtId="0" fontId="4" fillId="10" borderId="16" xfId="0" applyFont="1" applyFill="1" applyBorder="1" applyAlignment="1">
      <alignment horizontal="center" vertical="center" wrapText="1"/>
    </xf>
    <xf numFmtId="3" fontId="4" fillId="10" borderId="16" xfId="0" applyNumberFormat="1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 wrapText="1"/>
    </xf>
    <xf numFmtId="3" fontId="4" fillId="10" borderId="17" xfId="0" applyNumberFormat="1" applyFont="1" applyFill="1" applyBorder="1" applyAlignment="1">
      <alignment horizontal="center" vertical="center" wrapText="1"/>
    </xf>
    <xf numFmtId="0" fontId="2" fillId="0" borderId="18" xfId="0" applyFont="1" applyBorder="1"/>
    <xf numFmtId="3" fontId="4" fillId="10" borderId="13" xfId="0" applyNumberFormat="1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left" vertical="center" wrapText="1"/>
    </xf>
    <xf numFmtId="0" fontId="3" fillId="10" borderId="20" xfId="0" applyFont="1" applyFill="1" applyBorder="1" applyAlignment="1">
      <alignment horizontal="left" vertical="center" wrapText="1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4" fillId="11" borderId="24" xfId="0" applyFont="1" applyFill="1" applyBorder="1" applyAlignment="1">
      <alignment horizontal="center" vertical="center" wrapText="1"/>
    </xf>
    <xf numFmtId="0" fontId="4" fillId="11" borderId="25" xfId="0" applyFont="1" applyFill="1" applyBorder="1" applyAlignment="1">
      <alignment horizontal="center" vertical="center" wrapText="1"/>
    </xf>
    <xf numFmtId="0" fontId="4" fillId="10" borderId="24" xfId="0" applyFont="1" applyFill="1" applyBorder="1" applyAlignment="1">
      <alignment horizontal="center" vertical="center" wrapText="1"/>
    </xf>
    <xf numFmtId="3" fontId="4" fillId="10" borderId="24" xfId="0" applyNumberFormat="1" applyFont="1" applyFill="1" applyBorder="1" applyAlignment="1">
      <alignment horizontal="center" vertical="center" wrapText="1"/>
    </xf>
    <xf numFmtId="3" fontId="4" fillId="10" borderId="26" xfId="0" applyNumberFormat="1" applyFont="1" applyFill="1" applyBorder="1" applyAlignment="1">
      <alignment horizontal="center" vertical="center" wrapText="1"/>
    </xf>
    <xf numFmtId="0" fontId="2" fillId="0" borderId="27" xfId="0" applyFont="1" applyBorder="1"/>
    <xf numFmtId="10" fontId="4" fillId="11" borderId="24" xfId="0" applyNumberFormat="1" applyFont="1" applyFill="1" applyBorder="1" applyAlignment="1">
      <alignment horizontal="center" vertical="center" wrapText="1"/>
    </xf>
    <xf numFmtId="3" fontId="4" fillId="10" borderId="25" xfId="0" applyNumberFormat="1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left" vertical="center" wrapText="1"/>
    </xf>
    <xf numFmtId="0" fontId="3" fillId="10" borderId="29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2" fillId="0" borderId="30" xfId="0" applyFont="1" applyBorder="1"/>
    <xf numFmtId="0" fontId="2" fillId="0" borderId="31" xfId="0" applyFont="1" applyBorder="1"/>
    <xf numFmtId="0" fontId="3" fillId="12" borderId="14" xfId="0" applyFont="1" applyFill="1" applyBorder="1" applyAlignment="1">
      <alignment horizontal="left" vertical="center" wrapText="1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3" fillId="0" borderId="0" xfId="0" applyFont="1" applyAlignment="1">
      <alignment horizontal="left" vertical="center" wrapText="1"/>
    </xf>
    <xf numFmtId="0" fontId="3" fillId="12" borderId="15" xfId="0" applyFont="1" applyFill="1" applyBorder="1" applyAlignment="1">
      <alignment horizontal="left" vertical="center" wrapText="1"/>
    </xf>
    <xf numFmtId="0" fontId="3" fillId="6" borderId="35" xfId="0" applyFont="1" applyFill="1" applyBorder="1" applyAlignment="1">
      <alignment horizontal="left" vertical="center" wrapText="1"/>
    </xf>
    <xf numFmtId="0" fontId="2" fillId="0" borderId="36" xfId="0" applyFont="1" applyBorder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3" fillId="6" borderId="37" xfId="0" applyFont="1" applyFill="1" applyBorder="1" applyAlignment="1">
      <alignment horizontal="left" vertical="center" wrapText="1"/>
    </xf>
    <xf numFmtId="0" fontId="2" fillId="0" borderId="38" xfId="0" applyFont="1" applyBorder="1"/>
    <xf numFmtId="0" fontId="3" fillId="5" borderId="37" xfId="0" applyFont="1" applyFill="1" applyBorder="1" applyAlignment="1">
      <alignment horizontal="left" vertical="center" wrapText="1"/>
    </xf>
    <xf numFmtId="0" fontId="3" fillId="5" borderId="37" xfId="0" applyFont="1" applyFill="1" applyBorder="1" applyAlignment="1">
      <alignment horizontal="left" vertical="center" wrapText="1"/>
    </xf>
    <xf numFmtId="0" fontId="2" fillId="0" borderId="39" xfId="0" applyFont="1" applyBorder="1"/>
    <xf numFmtId="0" fontId="3" fillId="5" borderId="40" xfId="0" applyFont="1" applyFill="1" applyBorder="1" applyAlignment="1">
      <alignment horizontal="left" vertical="center" wrapText="1"/>
    </xf>
    <xf numFmtId="0" fontId="3" fillId="5" borderId="41" xfId="0" applyFont="1" applyFill="1" applyBorder="1" applyAlignment="1">
      <alignment vertical="center" wrapText="1"/>
    </xf>
    <xf numFmtId="0" fontId="3" fillId="5" borderId="40" xfId="0" applyFont="1" applyFill="1" applyBorder="1" applyAlignment="1">
      <alignment vertical="center" wrapText="1"/>
    </xf>
    <xf numFmtId="0" fontId="3" fillId="5" borderId="40" xfId="0" applyFont="1" applyFill="1" applyBorder="1" applyAlignment="1">
      <alignment horizontal="left" vertical="center" wrapText="1"/>
    </xf>
    <xf numFmtId="0" fontId="3" fillId="5" borderId="41" xfId="0" applyFont="1" applyFill="1" applyBorder="1" applyAlignment="1">
      <alignment horizontal="left" vertical="center" wrapText="1"/>
    </xf>
    <xf numFmtId="0" fontId="3" fillId="5" borderId="41" xfId="0" applyFont="1" applyFill="1" applyBorder="1" applyAlignment="1">
      <alignment vertical="center"/>
    </xf>
    <xf numFmtId="0" fontId="3" fillId="5" borderId="40" xfId="0" applyFont="1" applyFill="1" applyBorder="1" applyAlignment="1">
      <alignment vertical="center" wrapText="1"/>
    </xf>
    <xf numFmtId="0" fontId="3" fillId="5" borderId="39" xfId="0" applyFont="1" applyFill="1" applyBorder="1" applyAlignment="1">
      <alignment vertical="center" wrapText="1"/>
    </xf>
    <xf numFmtId="0" fontId="3" fillId="5" borderId="42" xfId="0" applyFont="1" applyFill="1" applyBorder="1" applyAlignment="1">
      <alignment horizontal="left" vertical="center" wrapText="1"/>
    </xf>
    <xf numFmtId="0" fontId="3" fillId="13" borderId="32" xfId="0" applyFont="1" applyFill="1" applyBorder="1" applyAlignment="1">
      <alignment vertical="center"/>
    </xf>
    <xf numFmtId="0" fontId="3" fillId="13" borderId="9" xfId="0" applyFont="1" applyFill="1" applyBorder="1" applyAlignment="1">
      <alignment vertical="center"/>
    </xf>
    <xf numFmtId="0" fontId="4" fillId="9" borderId="43" xfId="0" applyFont="1" applyFill="1" applyBorder="1" applyAlignment="1">
      <alignment horizontal="left" vertical="center" wrapText="1"/>
    </xf>
    <xf numFmtId="0" fontId="2" fillId="0" borderId="44" xfId="0" applyFont="1" applyBorder="1"/>
    <xf numFmtId="0" fontId="3" fillId="8" borderId="16" xfId="0" applyFont="1" applyFill="1" applyBorder="1" applyAlignment="1">
      <alignment horizontal="left" vertical="center" wrapText="1"/>
    </xf>
    <xf numFmtId="0" fontId="4" fillId="9" borderId="16" xfId="0" applyFont="1" applyFill="1" applyBorder="1" applyAlignment="1">
      <alignment horizontal="left" vertical="center" wrapText="1"/>
    </xf>
    <xf numFmtId="0" fontId="4" fillId="9" borderId="17" xfId="0" applyFont="1" applyFill="1" applyBorder="1" applyAlignment="1">
      <alignment horizontal="left" vertical="center" wrapText="1"/>
    </xf>
    <xf numFmtId="0" fontId="4" fillId="9" borderId="17" xfId="0" applyFont="1" applyFill="1" applyBorder="1" applyAlignment="1">
      <alignment horizontal="left" vertical="center" wrapText="1"/>
    </xf>
    <xf numFmtId="164" fontId="4" fillId="9" borderId="16" xfId="0" applyNumberFormat="1" applyFont="1" applyFill="1" applyBorder="1" applyAlignment="1">
      <alignment horizontal="left" vertical="center" wrapText="1"/>
    </xf>
    <xf numFmtId="0" fontId="5" fillId="9" borderId="16" xfId="0" applyFont="1" applyFill="1" applyBorder="1" applyAlignment="1">
      <alignment horizontal="left" vertical="center"/>
    </xf>
    <xf numFmtId="10" fontId="4" fillId="9" borderId="16" xfId="0" applyNumberFormat="1" applyFont="1" applyFill="1" applyBorder="1" applyAlignment="1">
      <alignment horizontal="left" vertical="center" wrapText="1"/>
    </xf>
    <xf numFmtId="10" fontId="4" fillId="9" borderId="17" xfId="0" applyNumberFormat="1" applyFont="1" applyFill="1" applyBorder="1" applyAlignment="1">
      <alignment horizontal="left" vertical="center" wrapText="1"/>
    </xf>
    <xf numFmtId="0" fontId="2" fillId="0" borderId="45" xfId="0" applyFont="1" applyBorder="1"/>
    <xf numFmtId="0" fontId="4" fillId="9" borderId="16" xfId="0" applyFont="1" applyFill="1" applyBorder="1" applyAlignment="1">
      <alignment horizontal="left" vertical="center"/>
    </xf>
    <xf numFmtId="10" fontId="5" fillId="9" borderId="17" xfId="0" applyNumberFormat="1" applyFont="1" applyFill="1" applyBorder="1" applyAlignment="1">
      <alignment horizontal="left" vertical="center"/>
    </xf>
    <xf numFmtId="10" fontId="5" fillId="9" borderId="16" xfId="0" applyNumberFormat="1" applyFont="1" applyFill="1" applyBorder="1" applyAlignment="1">
      <alignment horizontal="left" vertical="center"/>
    </xf>
    <xf numFmtId="10" fontId="4" fillId="9" borderId="13" xfId="0" applyNumberFormat="1" applyFont="1" applyFill="1" applyBorder="1" applyAlignment="1">
      <alignment horizontal="left" vertical="center"/>
    </xf>
    <xf numFmtId="164" fontId="4" fillId="0" borderId="28" xfId="0" applyNumberFormat="1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0" fontId="2" fillId="0" borderId="46" xfId="0" applyFont="1" applyBorder="1"/>
    <xf numFmtId="0" fontId="2" fillId="0" borderId="47" xfId="0" applyFont="1" applyBorder="1"/>
    <xf numFmtId="0" fontId="3" fillId="8" borderId="5" xfId="0" applyFont="1" applyFill="1" applyBorder="1" applyAlignment="1">
      <alignment horizontal="left" vertical="center" wrapText="1"/>
    </xf>
    <xf numFmtId="0" fontId="4" fillId="9" borderId="5" xfId="0" applyFont="1" applyFill="1" applyBorder="1" applyAlignment="1">
      <alignment horizontal="left" vertical="center" wrapText="1"/>
    </xf>
    <xf numFmtId="0" fontId="4" fillId="9" borderId="48" xfId="0" applyFont="1" applyFill="1" applyBorder="1" applyAlignment="1">
      <alignment horizontal="left" vertical="center" wrapText="1"/>
    </xf>
    <xf numFmtId="0" fontId="4" fillId="9" borderId="48" xfId="0" applyFont="1" applyFill="1" applyBorder="1" applyAlignment="1">
      <alignment horizontal="left" vertical="center" wrapText="1"/>
    </xf>
    <xf numFmtId="0" fontId="2" fillId="0" borderId="49" xfId="0" applyFont="1" applyBorder="1"/>
    <xf numFmtId="164" fontId="4" fillId="9" borderId="6" xfId="0" applyNumberFormat="1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left" vertical="center" wrapText="1"/>
    </xf>
    <xf numFmtId="0" fontId="2" fillId="0" borderId="50" xfId="0" applyFont="1" applyBorder="1"/>
    <xf numFmtId="0" fontId="4" fillId="9" borderId="6" xfId="0" applyFont="1" applyFill="1" applyBorder="1" applyAlignment="1">
      <alignment horizontal="left" vertical="center"/>
    </xf>
    <xf numFmtId="0" fontId="4" fillId="9" borderId="20" xfId="0" applyFont="1" applyFill="1" applyBorder="1" applyAlignment="1">
      <alignment horizontal="left" vertical="center"/>
    </xf>
    <xf numFmtId="0" fontId="2" fillId="0" borderId="51" xfId="0" applyFont="1" applyBorder="1"/>
    <xf numFmtId="0" fontId="2" fillId="0" borderId="52" xfId="0" applyFont="1" applyBorder="1"/>
    <xf numFmtId="0" fontId="2" fillId="0" borderId="53" xfId="0" applyFont="1" applyBorder="1"/>
    <xf numFmtId="0" fontId="3" fillId="6" borderId="54" xfId="0" applyFont="1" applyFill="1" applyBorder="1" applyAlignment="1">
      <alignment horizontal="left" vertical="center" wrapText="1"/>
    </xf>
    <xf numFmtId="0" fontId="2" fillId="0" borderId="55" xfId="0" applyFont="1" applyBorder="1"/>
    <xf numFmtId="0" fontId="3" fillId="12" borderId="35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3" fillId="12" borderId="6" xfId="0" applyFont="1" applyFill="1" applyBorder="1" applyAlignment="1">
      <alignment horizontal="left" vertical="center" wrapText="1"/>
    </xf>
    <xf numFmtId="0" fontId="4" fillId="11" borderId="6" xfId="0" applyFont="1" applyFill="1" applyBorder="1" applyAlignment="1">
      <alignment horizontal="left" vertical="center" wrapText="1"/>
    </xf>
    <xf numFmtId="0" fontId="4" fillId="11" borderId="48" xfId="0" applyFont="1" applyFill="1" applyBorder="1" applyAlignment="1">
      <alignment horizontal="left" vertical="center" wrapText="1"/>
    </xf>
    <xf numFmtId="0" fontId="4" fillId="11" borderId="48" xfId="0" applyFont="1" applyFill="1" applyBorder="1" applyAlignment="1">
      <alignment horizontal="left" vertical="center" wrapText="1"/>
    </xf>
    <xf numFmtId="164" fontId="4" fillId="11" borderId="6" xfId="0" applyNumberFormat="1" applyFont="1" applyFill="1" applyBorder="1" applyAlignment="1">
      <alignment horizontal="left" vertical="center" wrapText="1"/>
    </xf>
    <xf numFmtId="10" fontId="4" fillId="11" borderId="6" xfId="0" applyNumberFormat="1" applyFont="1" applyFill="1" applyBorder="1" applyAlignment="1">
      <alignment horizontal="left" vertical="center" wrapText="1"/>
    </xf>
    <xf numFmtId="10" fontId="4" fillId="11" borderId="48" xfId="0" applyNumberFormat="1" applyFont="1" applyFill="1" applyBorder="1" applyAlignment="1">
      <alignment horizontal="left" vertical="center" wrapText="1"/>
    </xf>
    <xf numFmtId="0" fontId="4" fillId="11" borderId="6" xfId="0" applyFont="1" applyFill="1" applyBorder="1" applyAlignment="1">
      <alignment horizontal="left" vertical="center"/>
    </xf>
    <xf numFmtId="10" fontId="4" fillId="11" borderId="20" xfId="0" applyNumberFormat="1" applyFont="1" applyFill="1" applyBorder="1" applyAlignment="1">
      <alignment horizontal="left" vertical="center"/>
    </xf>
    <xf numFmtId="0" fontId="3" fillId="13" borderId="19" xfId="0" applyFont="1" applyFill="1" applyBorder="1" applyAlignment="1">
      <alignment vertical="center"/>
    </xf>
    <xf numFmtId="0" fontId="3" fillId="13" borderId="48" xfId="0" applyFont="1" applyFill="1" applyBorder="1" applyAlignment="1">
      <alignment vertical="center"/>
    </xf>
    <xf numFmtId="0" fontId="3" fillId="12" borderId="5" xfId="0" applyFont="1" applyFill="1" applyBorder="1" applyAlignment="1">
      <alignment horizontal="left" vertical="center" wrapText="1"/>
    </xf>
    <xf numFmtId="0" fontId="4" fillId="11" borderId="5" xfId="0" applyFont="1" applyFill="1" applyBorder="1" applyAlignment="1">
      <alignment horizontal="left" vertical="center" wrapText="1"/>
    </xf>
    <xf numFmtId="0" fontId="4" fillId="11" borderId="20" xfId="0" applyFont="1" applyFill="1" applyBorder="1" applyAlignment="1">
      <alignment horizontal="left" vertical="center"/>
    </xf>
    <xf numFmtId="164" fontId="4" fillId="0" borderId="56" xfId="0" applyNumberFormat="1" applyFont="1" applyBorder="1" applyAlignment="1">
      <alignment vertical="center"/>
    </xf>
    <xf numFmtId="164" fontId="4" fillId="0" borderId="26" xfId="0" applyNumberFormat="1" applyFont="1" applyBorder="1" applyAlignment="1">
      <alignment vertical="center"/>
    </xf>
    <xf numFmtId="0" fontId="2" fillId="0" borderId="57" xfId="0" applyFont="1" applyBorder="1"/>
    <xf numFmtId="0" fontId="2" fillId="0" borderId="58" xfId="0" applyFont="1" applyBorder="1"/>
    <xf numFmtId="0" fontId="4" fillId="11" borderId="26" xfId="0" applyFont="1" applyFill="1" applyBorder="1" applyAlignment="1">
      <alignment horizontal="left" vertical="center" wrapText="1"/>
    </xf>
    <xf numFmtId="0" fontId="4" fillId="11" borderId="26" xfId="0" applyFont="1" applyFill="1" applyBorder="1" applyAlignment="1">
      <alignment horizontal="left" vertical="center" wrapText="1"/>
    </xf>
    <xf numFmtId="164" fontId="4" fillId="11" borderId="24" xfId="0" applyNumberFormat="1" applyFont="1" applyFill="1" applyBorder="1" applyAlignment="1">
      <alignment horizontal="left" vertical="center" wrapText="1"/>
    </xf>
    <xf numFmtId="0" fontId="4" fillId="11" borderId="24" xfId="0" applyFont="1" applyFill="1" applyBorder="1" applyAlignment="1">
      <alignment horizontal="left" vertical="center" wrapText="1"/>
    </xf>
    <xf numFmtId="10" fontId="4" fillId="11" borderId="24" xfId="0" applyNumberFormat="1" applyFont="1" applyFill="1" applyBorder="1" applyAlignment="1">
      <alignment horizontal="left" vertical="center" wrapText="1"/>
    </xf>
    <xf numFmtId="10" fontId="4" fillId="11" borderId="26" xfId="0" applyNumberFormat="1" applyFont="1" applyFill="1" applyBorder="1" applyAlignment="1">
      <alignment horizontal="left" vertical="center" wrapText="1"/>
    </xf>
    <xf numFmtId="0" fontId="2" fillId="0" borderId="59" xfId="0" applyFont="1" applyBorder="1"/>
    <xf numFmtId="0" fontId="4" fillId="11" borderId="24" xfId="0" applyFont="1" applyFill="1" applyBorder="1" applyAlignment="1">
      <alignment horizontal="left" vertical="center"/>
    </xf>
    <xf numFmtId="0" fontId="4" fillId="11" borderId="25" xfId="0" applyFont="1" applyFill="1" applyBorder="1" applyAlignment="1">
      <alignment horizontal="left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3" fillId="5" borderId="41" xfId="0" applyFont="1" applyFill="1" applyBorder="1" applyAlignment="1">
      <alignment horizontal="center" vertical="center" wrapText="1"/>
    </xf>
    <xf numFmtId="0" fontId="3" fillId="5" borderId="40" xfId="0" applyFont="1" applyFill="1" applyBorder="1" applyAlignment="1">
      <alignment horizontal="center" vertical="center" wrapText="1"/>
    </xf>
    <xf numFmtId="0" fontId="2" fillId="0" borderId="60" xfId="0" applyFont="1" applyBorder="1"/>
    <xf numFmtId="0" fontId="4" fillId="11" borderId="21" xfId="0" applyFont="1" applyFill="1" applyBorder="1" applyAlignment="1">
      <alignment horizontal="left" vertical="center" wrapText="1"/>
    </xf>
    <xf numFmtId="0" fontId="0" fillId="0" borderId="0" xfId="0"/>
    <xf numFmtId="0" fontId="3" fillId="12" borderId="9" xfId="0" applyFont="1" applyFill="1" applyBorder="1" applyAlignment="1">
      <alignment vertical="center"/>
    </xf>
    <xf numFmtId="0" fontId="4" fillId="11" borderId="11" xfId="0" applyFont="1" applyFill="1" applyBorder="1" applyAlignment="1">
      <alignment vertical="center" wrapText="1"/>
    </xf>
    <xf numFmtId="0" fontId="4" fillId="11" borderId="9" xfId="0" applyFont="1" applyFill="1" applyBorder="1" applyAlignment="1">
      <alignment vertical="center" wrapText="1"/>
    </xf>
    <xf numFmtId="0" fontId="4" fillId="11" borderId="9" xfId="0" applyFont="1" applyFill="1" applyBorder="1" applyAlignment="1">
      <alignment vertical="center" wrapText="1"/>
    </xf>
    <xf numFmtId="0" fontId="2" fillId="0" borderId="61" xfId="0" applyFont="1" applyBorder="1"/>
    <xf numFmtId="164" fontId="4" fillId="11" borderId="11" xfId="0" applyNumberFormat="1" applyFont="1" applyFill="1" applyBorder="1" applyAlignment="1">
      <alignment vertical="center" wrapText="1"/>
    </xf>
    <xf numFmtId="0" fontId="4" fillId="11" borderId="61" xfId="0" applyFont="1" applyFill="1" applyBorder="1" applyAlignment="1">
      <alignment vertical="center" wrapText="1"/>
    </xf>
    <xf numFmtId="10" fontId="4" fillId="11" borderId="9" xfId="0" applyNumberFormat="1" applyFont="1" applyFill="1" applyBorder="1" applyAlignment="1">
      <alignment horizontal="left" vertical="center" wrapText="1"/>
    </xf>
    <xf numFmtId="0" fontId="3" fillId="8" borderId="62" xfId="0" applyFont="1" applyFill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3" fillId="12" borderId="3" xfId="0" applyFont="1" applyFill="1" applyBorder="1" applyAlignment="1">
      <alignment vertical="center"/>
    </xf>
    <xf numFmtId="0" fontId="4" fillId="11" borderId="5" xfId="0" applyFont="1" applyFill="1" applyBorder="1" applyAlignment="1">
      <alignment vertical="center" wrapText="1"/>
    </xf>
    <xf numFmtId="0" fontId="4" fillId="11" borderId="48" xfId="0" applyFont="1" applyFill="1" applyBorder="1" applyAlignment="1">
      <alignment vertical="center" wrapText="1"/>
    </xf>
    <xf numFmtId="0" fontId="4" fillId="11" borderId="48" xfId="0" applyFont="1" applyFill="1" applyBorder="1" applyAlignment="1">
      <alignment vertical="center" wrapText="1"/>
    </xf>
    <xf numFmtId="164" fontId="4" fillId="11" borderId="6" xfId="0" applyNumberFormat="1" applyFont="1" applyFill="1" applyBorder="1" applyAlignment="1">
      <alignment vertical="center" wrapText="1"/>
    </xf>
    <xf numFmtId="0" fontId="4" fillId="11" borderId="50" xfId="0" applyFont="1" applyFill="1" applyBorder="1" applyAlignment="1">
      <alignment vertical="center" wrapText="1"/>
    </xf>
    <xf numFmtId="10" fontId="4" fillId="11" borderId="48" xfId="0" applyNumberFormat="1" applyFont="1" applyFill="1" applyBorder="1" applyAlignment="1">
      <alignment horizontal="left" vertical="center" wrapText="1"/>
    </xf>
    <xf numFmtId="0" fontId="3" fillId="12" borderId="24" xfId="0" applyFont="1" applyFill="1" applyBorder="1" applyAlignment="1">
      <alignment horizontal="left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2" fillId="0" borderId="63" xfId="0" applyFont="1" applyBorder="1"/>
    <xf numFmtId="0" fontId="3" fillId="12" borderId="62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12" borderId="64" xfId="0" applyFont="1" applyFill="1" applyBorder="1" applyAlignment="1">
      <alignment horizontal="left" vertical="center" wrapText="1"/>
    </xf>
    <xf numFmtId="0" fontId="4" fillId="11" borderId="65" xfId="0" applyFont="1" applyFill="1" applyBorder="1" applyAlignment="1">
      <alignment horizontal="left" vertical="center" wrapText="1"/>
    </xf>
    <xf numFmtId="0" fontId="2" fillId="0" borderId="65" xfId="0" applyFont="1" applyBorder="1"/>
    <xf numFmtId="0" fontId="3" fillId="8" borderId="48" xfId="0" applyFont="1" applyFill="1" applyBorder="1" applyAlignment="1">
      <alignment vertical="center"/>
    </xf>
    <xf numFmtId="0" fontId="4" fillId="9" borderId="6" xfId="0" applyFont="1" applyFill="1" applyBorder="1" applyAlignment="1">
      <alignment vertical="center" wrapText="1"/>
    </xf>
    <xf numFmtId="0" fontId="4" fillId="9" borderId="48" xfId="0" applyFont="1" applyFill="1" applyBorder="1" applyAlignment="1">
      <alignment vertical="center" wrapText="1"/>
    </xf>
    <xf numFmtId="0" fontId="4" fillId="9" borderId="48" xfId="0" applyFont="1" applyFill="1" applyBorder="1" applyAlignment="1">
      <alignment vertical="center" wrapText="1"/>
    </xf>
    <xf numFmtId="164" fontId="4" fillId="9" borderId="6" xfId="0" applyNumberFormat="1" applyFont="1" applyFill="1" applyBorder="1" applyAlignment="1">
      <alignment vertical="center" wrapText="1"/>
    </xf>
    <xf numFmtId="0" fontId="4" fillId="9" borderId="50" xfId="0" applyFont="1" applyFill="1" applyBorder="1" applyAlignment="1">
      <alignment vertical="center" wrapText="1"/>
    </xf>
    <xf numFmtId="10" fontId="4" fillId="9" borderId="48" xfId="0" applyNumberFormat="1" applyFont="1" applyFill="1" applyBorder="1" applyAlignment="1">
      <alignment horizontal="left" vertical="center" wrapText="1"/>
    </xf>
    <xf numFmtId="0" fontId="2" fillId="0" borderId="66" xfId="0" applyFont="1" applyBorder="1"/>
    <xf numFmtId="0" fontId="3" fillId="8" borderId="3" xfId="0" applyFont="1" applyFill="1" applyBorder="1" applyAlignment="1">
      <alignment vertical="center"/>
    </xf>
    <xf numFmtId="0" fontId="4" fillId="9" borderId="5" xfId="0" applyFont="1" applyFill="1" applyBorder="1" applyAlignment="1">
      <alignment vertical="center" wrapText="1"/>
    </xf>
    <xf numFmtId="10" fontId="4" fillId="9" borderId="20" xfId="0" applyNumberFormat="1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67" xfId="0" applyFont="1" applyBorder="1"/>
    <xf numFmtId="0" fontId="2" fillId="0" borderId="68" xfId="0" applyFont="1" applyBorder="1"/>
    <xf numFmtId="0" fontId="4" fillId="9" borderId="26" xfId="0" applyFont="1" applyFill="1" applyBorder="1" applyAlignment="1">
      <alignment vertical="center" wrapText="1"/>
    </xf>
    <xf numFmtId="0" fontId="4" fillId="9" borderId="26" xfId="0" applyFont="1" applyFill="1" applyBorder="1" applyAlignment="1">
      <alignment vertical="center" wrapText="1"/>
    </xf>
    <xf numFmtId="164" fontId="4" fillId="9" borderId="24" xfId="0" applyNumberFormat="1" applyFont="1" applyFill="1" applyBorder="1" applyAlignment="1">
      <alignment vertical="center" wrapText="1"/>
    </xf>
    <xf numFmtId="0" fontId="4" fillId="9" borderId="59" xfId="0" applyFont="1" applyFill="1" applyBorder="1" applyAlignment="1">
      <alignment vertical="center" wrapText="1"/>
    </xf>
    <xf numFmtId="0" fontId="4" fillId="9" borderId="24" xfId="0" applyFont="1" applyFill="1" applyBorder="1" applyAlignment="1">
      <alignment horizontal="left" vertical="center" wrapText="1"/>
    </xf>
    <xf numFmtId="10" fontId="4" fillId="9" borderId="25" xfId="0" applyNumberFormat="1" applyFont="1" applyFill="1" applyBorder="1" applyAlignment="1">
      <alignment horizontal="left" vertical="center" wrapText="1"/>
    </xf>
    <xf numFmtId="0" fontId="3" fillId="6" borderId="68" xfId="0" applyFont="1" applyFill="1" applyBorder="1" applyAlignment="1">
      <alignment horizontal="left" vertical="center" wrapText="1"/>
    </xf>
    <xf numFmtId="0" fontId="6" fillId="2" borderId="0" xfId="0" applyFont="1" applyFill="1"/>
    <xf numFmtId="0" fontId="7" fillId="6" borderId="54" xfId="0" applyFont="1" applyFill="1" applyBorder="1" applyAlignment="1">
      <alignment horizontal="left" vertical="center" wrapText="1"/>
    </xf>
    <xf numFmtId="0" fontId="7" fillId="5" borderId="14" xfId="0" applyFont="1" applyFill="1" applyBorder="1" applyAlignment="1">
      <alignment horizontal="left" vertical="center" wrapText="1"/>
    </xf>
    <xf numFmtId="0" fontId="7" fillId="6" borderId="37" xfId="0" applyFont="1" applyFill="1" applyBorder="1" applyAlignment="1">
      <alignment horizontal="left" vertical="center" wrapText="1"/>
    </xf>
    <xf numFmtId="0" fontId="7" fillId="13" borderId="69" xfId="0" applyFont="1" applyFill="1" applyBorder="1" applyAlignment="1">
      <alignment horizontal="left" vertical="center"/>
    </xf>
    <xf numFmtId="0" fontId="2" fillId="0" borderId="70" xfId="0" applyFont="1" applyBorder="1"/>
    <xf numFmtId="0" fontId="8" fillId="11" borderId="69" xfId="0" applyFont="1" applyFill="1" applyBorder="1" applyAlignment="1">
      <alignment horizontal="left" vertical="center" wrapText="1"/>
    </xf>
    <xf numFmtId="0" fontId="7" fillId="8" borderId="9" xfId="0" applyFont="1" applyFill="1" applyBorder="1" applyAlignment="1">
      <alignment horizontal="left" vertical="center"/>
    </xf>
    <xf numFmtId="0" fontId="8" fillId="9" borderId="9" xfId="0" applyFont="1" applyFill="1" applyBorder="1" applyAlignment="1">
      <alignment horizontal="left" vertical="center"/>
    </xf>
    <xf numFmtId="0" fontId="2" fillId="0" borderId="71" xfId="0" applyFont="1" applyBorder="1"/>
    <xf numFmtId="0" fontId="8" fillId="11" borderId="53" xfId="0" applyFont="1" applyFill="1" applyBorder="1" applyAlignment="1">
      <alignment horizontal="left" vertical="center" wrapText="1"/>
    </xf>
    <xf numFmtId="0" fontId="7" fillId="8" borderId="11" xfId="0" applyFont="1" applyFill="1" applyBorder="1" applyAlignment="1">
      <alignment horizontal="left" vertical="center"/>
    </xf>
    <xf numFmtId="0" fontId="8" fillId="9" borderId="9" xfId="0" applyFont="1" applyFill="1" applyBorder="1" applyAlignment="1">
      <alignment horizontal="left" vertical="center" wrapText="1"/>
    </xf>
    <xf numFmtId="164" fontId="8" fillId="0" borderId="72" xfId="0" applyNumberFormat="1" applyFont="1" applyBorder="1" applyAlignment="1">
      <alignment horizontal="left" vertical="center"/>
    </xf>
    <xf numFmtId="0" fontId="8" fillId="11" borderId="72" xfId="0" applyFont="1" applyFill="1" applyBorder="1" applyAlignment="1">
      <alignment horizontal="left" vertical="center" wrapText="1"/>
    </xf>
    <xf numFmtId="0" fontId="7" fillId="8" borderId="26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 wrapText="1"/>
    </xf>
    <xf numFmtId="0" fontId="7" fillId="8" borderId="24" xfId="0" applyFont="1" applyFill="1" applyBorder="1" applyAlignment="1">
      <alignment horizontal="left" vertical="center"/>
    </xf>
    <xf numFmtId="0" fontId="5" fillId="2" borderId="0" xfId="0" applyFont="1" applyFill="1"/>
    <xf numFmtId="0" fontId="4" fillId="11" borderId="49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4" fillId="9" borderId="7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4" fillId="10" borderId="74" xfId="0" applyFont="1" applyFill="1" applyBorder="1" applyAlignment="1">
      <alignment horizontal="center" vertical="center" wrapText="1"/>
    </xf>
    <xf numFmtId="0" fontId="4" fillId="8" borderId="75" xfId="0" applyFont="1" applyFill="1" applyBorder="1" applyAlignment="1">
      <alignment horizontal="center" vertical="center" wrapText="1"/>
    </xf>
    <xf numFmtId="0" fontId="2" fillId="0" borderId="76" xfId="0" applyFont="1" applyBorder="1"/>
    <xf numFmtId="0" fontId="4" fillId="9" borderId="73" xfId="0" applyFont="1" applyFill="1" applyBorder="1" applyAlignment="1">
      <alignment horizontal="center" vertical="center" wrapText="1"/>
    </xf>
    <xf numFmtId="3" fontId="4" fillId="10" borderId="18" xfId="0" applyNumberFormat="1" applyFont="1" applyFill="1" applyBorder="1" applyAlignment="1">
      <alignment horizontal="center" vertical="center" wrapText="1"/>
    </xf>
    <xf numFmtId="0" fontId="4" fillId="10" borderId="52" xfId="0" applyFont="1" applyFill="1" applyBorder="1" applyAlignment="1">
      <alignment horizontal="center" vertical="center" wrapText="1"/>
    </xf>
    <xf numFmtId="0" fontId="4" fillId="8" borderId="23" xfId="0" applyFont="1" applyFill="1" applyBorder="1" applyAlignment="1">
      <alignment horizontal="left" vertical="center" wrapText="1"/>
    </xf>
    <xf numFmtId="3" fontId="4" fillId="10" borderId="26" xfId="0" applyNumberFormat="1" applyFont="1" applyFill="1" applyBorder="1" applyAlignment="1">
      <alignment horizontal="center" vertical="center" wrapText="1"/>
    </xf>
    <xf numFmtId="0" fontId="4" fillId="9" borderId="77" xfId="0" applyFont="1" applyFill="1" applyBorder="1" applyAlignment="1">
      <alignment horizontal="center" vertical="center" wrapText="1"/>
    </xf>
    <xf numFmtId="3" fontId="4" fillId="10" borderId="27" xfId="0" applyNumberFormat="1" applyFont="1" applyFill="1" applyBorder="1" applyAlignment="1">
      <alignment horizontal="center" vertical="center" wrapText="1"/>
    </xf>
    <xf numFmtId="3" fontId="4" fillId="10" borderId="33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3" fontId="4" fillId="0" borderId="18" xfId="0" applyNumberFormat="1" applyFont="1" applyBorder="1" applyAlignment="1">
      <alignment horizontal="center" vertical="center" wrapText="1"/>
    </xf>
    <xf numFmtId="0" fontId="3" fillId="12" borderId="14" xfId="0" applyFont="1" applyFill="1" applyBorder="1" applyAlignment="1">
      <alignment horizontal="center" vertical="center" wrapText="1"/>
    </xf>
    <xf numFmtId="0" fontId="4" fillId="10" borderId="17" xfId="0" applyFont="1" applyFill="1" applyBorder="1" applyAlignment="1">
      <alignment horizontal="center" vertical="center" wrapText="1"/>
    </xf>
    <xf numFmtId="0" fontId="4" fillId="12" borderId="78" xfId="0" applyFont="1" applyFill="1" applyBorder="1" applyAlignment="1">
      <alignment horizontal="center" vertical="center" wrapText="1"/>
    </xf>
    <xf numFmtId="3" fontId="4" fillId="10" borderId="45" xfId="0" applyNumberFormat="1" applyFont="1" applyFill="1" applyBorder="1" applyAlignment="1">
      <alignment horizontal="center" vertical="center" wrapText="1"/>
    </xf>
    <xf numFmtId="0" fontId="4" fillId="12" borderId="77" xfId="0" applyFont="1" applyFill="1" applyBorder="1" applyAlignment="1">
      <alignment horizontal="center" vertical="center" wrapText="1"/>
    </xf>
    <xf numFmtId="0" fontId="4" fillId="10" borderId="26" xfId="0" applyFont="1" applyFill="1" applyBorder="1" applyAlignment="1">
      <alignment horizontal="center" vertical="center" wrapText="1"/>
    </xf>
    <xf numFmtId="0" fontId="4" fillId="12" borderId="23" xfId="0" applyFont="1" applyFill="1" applyBorder="1" applyAlignment="1">
      <alignment horizontal="left" vertical="center" wrapText="1"/>
    </xf>
    <xf numFmtId="0" fontId="4" fillId="12" borderId="58" xfId="0" applyFont="1" applyFill="1" applyBorder="1" applyAlignment="1">
      <alignment horizontal="center" vertical="center" wrapText="1"/>
    </xf>
    <xf numFmtId="0" fontId="3" fillId="6" borderId="35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left" vertical="center"/>
    </xf>
    <xf numFmtId="10" fontId="4" fillId="9" borderId="48" xfId="0" applyNumberFormat="1" applyFont="1" applyFill="1" applyBorder="1" applyAlignment="1">
      <alignment horizontal="left" vertical="center" wrapText="1"/>
    </xf>
    <xf numFmtId="10" fontId="4" fillId="9" borderId="6" xfId="0" applyNumberFormat="1" applyFont="1" applyFill="1" applyBorder="1" applyAlignment="1">
      <alignment horizontal="left" vertical="center" wrapText="1"/>
    </xf>
    <xf numFmtId="10" fontId="4" fillId="0" borderId="17" xfId="0" applyNumberFormat="1" applyFont="1" applyBorder="1" applyAlignment="1">
      <alignment horizontal="center" vertical="center" wrapText="1"/>
    </xf>
    <xf numFmtId="10" fontId="4" fillId="0" borderId="16" xfId="0" applyNumberFormat="1" applyFont="1" applyBorder="1" applyAlignment="1">
      <alignment horizontal="center" vertical="center"/>
    </xf>
    <xf numFmtId="10" fontId="4" fillId="0" borderId="26" xfId="0" applyNumberFormat="1" applyFont="1" applyBorder="1" applyAlignment="1">
      <alignment horizontal="center" vertical="center" wrapText="1"/>
    </xf>
    <xf numFmtId="10" fontId="4" fillId="0" borderId="2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FIS\Selected\All_in_One_TFIS_26-12-2023_Unprotected_Copy.xlsx" TargetMode="External"/><Relationship Id="rId1" Type="http://schemas.openxmlformats.org/officeDocument/2006/relationships/externalLinkPath" Target="/TFIS/Selected/All_in_One_TFIS_26-12-2023_Unprotected_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s"/>
      <sheetName val="Index"/>
      <sheetName val="AB1"/>
      <sheetName val="AB2"/>
      <sheetName val="AB3"/>
      <sheetName val="AB4"/>
      <sheetName val="AB5"/>
      <sheetName val="AB6 FUT"/>
      <sheetName val="AB6 OS"/>
      <sheetName val="AB6 OB"/>
      <sheetName val="AB6 EQ"/>
      <sheetName val="AB8"/>
      <sheetName val="AB9"/>
      <sheetName val="AB10"/>
      <sheetName val="AB11"/>
      <sheetName val="AB12"/>
      <sheetName val="AB13"/>
      <sheetName val="AB14"/>
      <sheetName val="AB15"/>
      <sheetName val="AB16"/>
      <sheetName val="AB17"/>
      <sheetName val="AB18"/>
      <sheetName val="AB19 PA"/>
      <sheetName val="1. 0900 TGT"/>
      <sheetName val="2. 0905 E &amp; SL"/>
      <sheetName val="3. 0910 E &amp; SL"/>
      <sheetName val="4. 0915 E &amp; SL 4"/>
      <sheetName val="5. 0915 TGT"/>
      <sheetName val="6. 0920 E &amp; SL 2"/>
      <sheetName val="7. 0925 E &amp; SL 1"/>
      <sheetName val="8. 0930 E &amp; SL"/>
    </sheetNames>
    <sheetDataSet>
      <sheetData sheetId="0"/>
      <sheetData sheetId="1"/>
      <sheetData sheetId="2"/>
      <sheetData sheetId="3">
        <row r="1">
          <cell r="A1" t="str">
            <v>SR. NO.</v>
          </cell>
          <cell r="B1" t="str">
            <v>STRATEGY CODE</v>
          </cell>
          <cell r="C1" t="str">
            <v>SEGMENT</v>
          </cell>
          <cell r="E1" t="str">
            <v>SYMBOL</v>
          </cell>
          <cell r="K1" t="str">
            <v>No. of Targets</v>
          </cell>
          <cell r="N1" t="str">
            <v>Unique Code</v>
          </cell>
        </row>
        <row r="6">
          <cell r="A6">
            <v>1</v>
          </cell>
          <cell r="B6" t="str">
            <v>S1</v>
          </cell>
          <cell r="C6" t="str">
            <v>FUTURES</v>
          </cell>
          <cell r="E6" t="str">
            <v>USDINR</v>
          </cell>
          <cell r="K6" t="str">
            <v>4 &amp; APS</v>
          </cell>
          <cell r="N6" t="str">
            <v>USDINR_FUT_MT_SAME_2D_2D</v>
          </cell>
        </row>
        <row r="7">
          <cell r="A7">
            <v>2</v>
          </cell>
          <cell r="B7" t="str">
            <v>S2</v>
          </cell>
          <cell r="C7" t="str">
            <v>FUTURES</v>
          </cell>
          <cell r="E7" t="str">
            <v>USDINR</v>
          </cell>
          <cell r="K7" t="str">
            <v>4 &amp; APS</v>
          </cell>
          <cell r="N7" t="str">
            <v>USDINR_FUT_MT_DIFF_2D_4D</v>
          </cell>
        </row>
        <row r="8">
          <cell r="A8">
            <v>3</v>
          </cell>
          <cell r="B8" t="str">
            <v>S3</v>
          </cell>
          <cell r="C8" t="str">
            <v>FUTURES</v>
          </cell>
          <cell r="E8" t="str">
            <v>BANKNIFTY</v>
          </cell>
          <cell r="K8" t="str">
            <v>4 &amp; APS</v>
          </cell>
          <cell r="N8" t="str">
            <v>BANKNIFTY_FUT_MT_DIFF_1D_2D</v>
          </cell>
        </row>
        <row r="9">
          <cell r="A9">
            <v>4</v>
          </cell>
          <cell r="B9" t="str">
            <v>S4</v>
          </cell>
          <cell r="C9" t="str">
            <v>FUTURES</v>
          </cell>
          <cell r="E9" t="str">
            <v>BANKNIFTY</v>
          </cell>
          <cell r="K9" t="str">
            <v>4 &amp; APS</v>
          </cell>
          <cell r="N9" t="str">
            <v>BANKNIFTY_FUT_MT_SAME_2D_2D</v>
          </cell>
        </row>
        <row r="10">
          <cell r="A10">
            <v>5</v>
          </cell>
          <cell r="B10" t="str">
            <v>S5</v>
          </cell>
          <cell r="C10" t="str">
            <v>FUTURES</v>
          </cell>
          <cell r="E10" t="str">
            <v>STOCKS</v>
          </cell>
          <cell r="K10" t="str">
            <v>4 &amp; APS</v>
          </cell>
          <cell r="N10" t="str">
            <v>STOCKS_FUT_MT_DIFF_2D_3D</v>
          </cell>
        </row>
        <row r="11">
          <cell r="A11">
            <v>6</v>
          </cell>
          <cell r="B11" t="str">
            <v>S6</v>
          </cell>
          <cell r="C11" t="str">
            <v>FUTURES</v>
          </cell>
          <cell r="E11" t="str">
            <v>STOCKS</v>
          </cell>
          <cell r="K11" t="str">
            <v>4 &amp; APS</v>
          </cell>
          <cell r="N11" t="str">
            <v>STOCKS_FUT_MT_SAME_3D_3D</v>
          </cell>
        </row>
        <row r="12">
          <cell r="A12">
            <v>7</v>
          </cell>
          <cell r="B12" t="str">
            <v>S7</v>
          </cell>
          <cell r="C12" t="str">
            <v>FUTURES</v>
          </cell>
          <cell r="E12" t="str">
            <v>STOCKS</v>
          </cell>
          <cell r="K12" t="str">
            <v>4 &amp; APS</v>
          </cell>
          <cell r="N12" t="str">
            <v>STOCKS_FUT_MT_DIFF_2D_PW&amp;CW</v>
          </cell>
        </row>
        <row r="13">
          <cell r="A13">
            <v>8</v>
          </cell>
          <cell r="B13" t="str">
            <v>S8</v>
          </cell>
          <cell r="C13" t="str">
            <v>FUTURES</v>
          </cell>
          <cell r="E13" t="str">
            <v>NIFTY</v>
          </cell>
          <cell r="K13" t="str">
            <v>4 &amp; APS</v>
          </cell>
          <cell r="N13" t="str">
            <v>NIFTY_FUT_MT_DIFF_1D_2D</v>
          </cell>
        </row>
        <row r="14">
          <cell r="A14">
            <v>9</v>
          </cell>
          <cell r="B14" t="str">
            <v>S9</v>
          </cell>
          <cell r="C14" t="str">
            <v>FUTURES</v>
          </cell>
          <cell r="E14" t="str">
            <v>NIFTY</v>
          </cell>
          <cell r="K14" t="str">
            <v>4 &amp; APS</v>
          </cell>
          <cell r="N14" t="str">
            <v>NIFTY_FUT_MT_SAME_2D_2D</v>
          </cell>
        </row>
        <row r="15">
          <cell r="A15">
            <v>10</v>
          </cell>
          <cell r="B15" t="str">
            <v>S10</v>
          </cell>
          <cell r="C15" t="str">
            <v>FUTURES</v>
          </cell>
          <cell r="E15" t="str">
            <v>GOLDM</v>
          </cell>
          <cell r="K15" t="str">
            <v>4 &amp; APS</v>
          </cell>
          <cell r="N15" t="str">
            <v>GOLDM_FUT_MT_DIFF_2D_3D</v>
          </cell>
        </row>
        <row r="16">
          <cell r="A16">
            <v>11</v>
          </cell>
          <cell r="B16" t="str">
            <v>S11</v>
          </cell>
          <cell r="C16" t="str">
            <v>FUTURES</v>
          </cell>
          <cell r="E16" t="str">
            <v>GOLDM</v>
          </cell>
          <cell r="K16" t="str">
            <v>4 &amp; APS</v>
          </cell>
          <cell r="N16" t="str">
            <v>GOLDM_FUT_MT_SAME_3D_3D</v>
          </cell>
        </row>
        <row r="17">
          <cell r="A17">
            <v>12</v>
          </cell>
          <cell r="B17" t="str">
            <v>S12</v>
          </cell>
          <cell r="C17" t="str">
            <v>FUTURES</v>
          </cell>
          <cell r="E17" t="str">
            <v>SILVERM</v>
          </cell>
          <cell r="K17" t="str">
            <v>4 &amp; APS</v>
          </cell>
          <cell r="N17" t="str">
            <v>SILVERM_FUT_MT_DIFF_2D_3D</v>
          </cell>
        </row>
        <row r="18">
          <cell r="A18">
            <v>13</v>
          </cell>
          <cell r="B18" t="str">
            <v>S13</v>
          </cell>
          <cell r="C18" t="str">
            <v>FUTURES</v>
          </cell>
          <cell r="E18" t="str">
            <v>SILVERM</v>
          </cell>
          <cell r="K18" t="str">
            <v>4 &amp; APS</v>
          </cell>
          <cell r="N18" t="str">
            <v>SILVERM_FUT_MT_SAME_3D_3D</v>
          </cell>
        </row>
        <row r="19">
          <cell r="A19">
            <v>14</v>
          </cell>
          <cell r="B19" t="str">
            <v>S14</v>
          </cell>
          <cell r="C19" t="str">
            <v>FUTURES</v>
          </cell>
          <cell r="E19" t="str">
            <v>CRUDEOIL</v>
          </cell>
          <cell r="K19" t="str">
            <v>4 &amp; APS</v>
          </cell>
          <cell r="N19" t="str">
            <v>CRUDEOIL_FUT_MT_SAME_2D_2D</v>
          </cell>
        </row>
        <row r="20">
          <cell r="A20">
            <v>15</v>
          </cell>
          <cell r="B20" t="str">
            <v>S15</v>
          </cell>
          <cell r="C20" t="str">
            <v>FUTURES</v>
          </cell>
          <cell r="E20" t="str">
            <v>CRUDEOIL</v>
          </cell>
          <cell r="K20" t="str">
            <v>4 &amp; APS</v>
          </cell>
          <cell r="N20" t="str">
            <v>CRUDEOIL_FUT_MT_DIFF_1D_2D</v>
          </cell>
        </row>
        <row r="21">
          <cell r="A21">
            <v>16</v>
          </cell>
          <cell r="B21" t="str">
            <v>S16</v>
          </cell>
          <cell r="C21" t="str">
            <v>FUTURES</v>
          </cell>
          <cell r="E21" t="str">
            <v>NATURALGAS</v>
          </cell>
          <cell r="K21" t="str">
            <v>4 &amp; APS</v>
          </cell>
          <cell r="N21" t="str">
            <v>NATURALGAS_FUT_MT_DIFF_2D_3D</v>
          </cell>
        </row>
        <row r="22">
          <cell r="A22">
            <v>17</v>
          </cell>
          <cell r="B22" t="str">
            <v>S17</v>
          </cell>
          <cell r="C22" t="str">
            <v>FUTURES</v>
          </cell>
          <cell r="E22" t="str">
            <v>NATURALGAS</v>
          </cell>
          <cell r="K22" t="str">
            <v>4 &amp; APS</v>
          </cell>
          <cell r="N22" t="str">
            <v>NATURALGAS_FUT_MT_DIFF_2D_PW&amp;CW</v>
          </cell>
        </row>
        <row r="23">
          <cell r="A23">
            <v>18</v>
          </cell>
          <cell r="B23" t="str">
            <v>S18</v>
          </cell>
          <cell r="C23" t="str">
            <v>OPTIONS SELL</v>
          </cell>
          <cell r="E23" t="str">
            <v>USDINR</v>
          </cell>
          <cell r="K23" t="str">
            <v>APS</v>
          </cell>
          <cell r="N23" t="str">
            <v>USDINR_OP_SELL_WK_DIFF_2D_3D</v>
          </cell>
        </row>
        <row r="24">
          <cell r="A24">
            <v>19</v>
          </cell>
          <cell r="B24" t="str">
            <v>S19</v>
          </cell>
          <cell r="C24" t="str">
            <v>OPTIONS SELL</v>
          </cell>
          <cell r="E24" t="str">
            <v>USDINR</v>
          </cell>
          <cell r="K24" t="str">
            <v>APS</v>
          </cell>
          <cell r="N24" t="str">
            <v>USDINR_OP_SELL_MT_DIFF_2D_3D</v>
          </cell>
        </row>
        <row r="25">
          <cell r="A25">
            <v>20</v>
          </cell>
          <cell r="B25" t="str">
            <v>S20</v>
          </cell>
          <cell r="C25" t="str">
            <v>OPTIONS SELL</v>
          </cell>
          <cell r="E25" t="str">
            <v>BANKNIFTY</v>
          </cell>
          <cell r="K25" t="str">
            <v>APS</v>
          </cell>
          <cell r="N25" t="str">
            <v>BANKNIFTY_OP_SELL_WK_DIFF_2D_3D</v>
          </cell>
        </row>
        <row r="26">
          <cell r="A26">
            <v>21</v>
          </cell>
          <cell r="B26" t="str">
            <v>S21</v>
          </cell>
          <cell r="C26" t="str">
            <v>OPTIONS SELL</v>
          </cell>
          <cell r="E26" t="str">
            <v>BANKNIFTY</v>
          </cell>
          <cell r="K26" t="str">
            <v>APS</v>
          </cell>
          <cell r="N26" t="str">
            <v>BANKNIFTY_OP_SELL_MT_DIFF_2D_3D</v>
          </cell>
        </row>
        <row r="27">
          <cell r="A27">
            <v>22</v>
          </cell>
          <cell r="B27" t="str">
            <v>S22</v>
          </cell>
          <cell r="C27" t="str">
            <v>OPTIONS SELL</v>
          </cell>
          <cell r="E27" t="str">
            <v>STOCKS</v>
          </cell>
          <cell r="K27" t="str">
            <v>APS</v>
          </cell>
          <cell r="N27" t="str">
            <v>STOCKS_OP_SELL_MT_DIFF_2D_4D</v>
          </cell>
        </row>
        <row r="28">
          <cell r="A28">
            <v>23</v>
          </cell>
          <cell r="B28" t="str">
            <v>S23</v>
          </cell>
          <cell r="C28" t="str">
            <v>OPTIONS SELL</v>
          </cell>
          <cell r="E28" t="str">
            <v>NIFTY</v>
          </cell>
          <cell r="K28" t="str">
            <v>APS</v>
          </cell>
          <cell r="N28" t="str">
            <v>NIFTY_OP_SELL_WK_DIFF_2D_3D</v>
          </cell>
        </row>
        <row r="29">
          <cell r="A29">
            <v>24</v>
          </cell>
          <cell r="B29" t="str">
            <v>S24</v>
          </cell>
          <cell r="C29" t="str">
            <v>OPTIONS SELL</v>
          </cell>
          <cell r="E29" t="str">
            <v>NIFTY</v>
          </cell>
          <cell r="K29" t="str">
            <v>APS</v>
          </cell>
          <cell r="N29" t="str">
            <v>NIFTY_OP_SELL_MT_DIFF_2D_3D</v>
          </cell>
        </row>
        <row r="30">
          <cell r="A30">
            <v>25</v>
          </cell>
          <cell r="B30" t="str">
            <v>S25</v>
          </cell>
          <cell r="C30" t="str">
            <v>OPTIONS BUY</v>
          </cell>
          <cell r="E30" t="str">
            <v>BANKNIFTY</v>
          </cell>
          <cell r="K30" t="str">
            <v>1 &amp; APS</v>
          </cell>
          <cell r="N30" t="str">
            <v>BANKNIFTY_OP_BUY_WK_SAME_1D 75 Mins_1D 75 Mins</v>
          </cell>
        </row>
        <row r="31">
          <cell r="A31">
            <v>26</v>
          </cell>
          <cell r="B31" t="str">
            <v>S26</v>
          </cell>
          <cell r="C31" t="str">
            <v>OPTIONS BUY</v>
          </cell>
          <cell r="E31" t="str">
            <v>STOCKS</v>
          </cell>
          <cell r="K31" t="str">
            <v>4 &amp; APS</v>
          </cell>
          <cell r="N31" t="str">
            <v>STOCKS_OP_BUY_MT_DIFF_2D_4D</v>
          </cell>
        </row>
        <row r="32">
          <cell r="A32">
            <v>27</v>
          </cell>
          <cell r="B32" t="str">
            <v>S27</v>
          </cell>
          <cell r="C32" t="str">
            <v>OPTIONS BUY</v>
          </cell>
          <cell r="E32" t="str">
            <v>STOCKS</v>
          </cell>
          <cell r="K32" t="str">
            <v>4 &amp; APS</v>
          </cell>
          <cell r="N32" t="str">
            <v>STOCKS_OP_BUY_MT_DIFF_2D_2D</v>
          </cell>
        </row>
        <row r="33">
          <cell r="A33">
            <v>28</v>
          </cell>
          <cell r="B33" t="str">
            <v>S28</v>
          </cell>
          <cell r="C33" t="str">
            <v>EQUITY</v>
          </cell>
          <cell r="E33" t="str">
            <v>STOCKS</v>
          </cell>
          <cell r="K33" t="str">
            <v>5 &amp; APS</v>
          </cell>
          <cell r="N33" t="str">
            <v>STOCKS_EQ_DCC</v>
          </cell>
        </row>
        <row r="34">
          <cell r="A34">
            <v>29</v>
          </cell>
          <cell r="B34" t="str">
            <v>S29</v>
          </cell>
          <cell r="C34" t="str">
            <v>EQUITY</v>
          </cell>
          <cell r="E34" t="str">
            <v>STOCKS</v>
          </cell>
          <cell r="K34" t="str">
            <v>5 &amp; APS</v>
          </cell>
          <cell r="N34" t="str">
            <v>STOCKS_EQ_WCC</v>
          </cell>
        </row>
        <row r="35">
          <cell r="A35">
            <v>30</v>
          </cell>
          <cell r="B35" t="str">
            <v>S30</v>
          </cell>
          <cell r="C35" t="str">
            <v>EQUITY</v>
          </cell>
          <cell r="E35" t="str">
            <v>STOCKS</v>
          </cell>
          <cell r="K35" t="str">
            <v>5 &amp; APS</v>
          </cell>
          <cell r="N35" t="str">
            <v>STOCKS_EQ_MCC</v>
          </cell>
        </row>
        <row r="36">
          <cell r="A36">
            <v>31</v>
          </cell>
          <cell r="B36" t="str">
            <v>S31</v>
          </cell>
        </row>
        <row r="37">
          <cell r="A37">
            <v>32</v>
          </cell>
          <cell r="B37" t="str">
            <v>S32</v>
          </cell>
        </row>
        <row r="38">
          <cell r="A38">
            <v>33</v>
          </cell>
          <cell r="B38" t="str">
            <v>S33</v>
          </cell>
        </row>
        <row r="39">
          <cell r="A39">
            <v>34</v>
          </cell>
          <cell r="B39" t="str">
            <v>S34</v>
          </cell>
        </row>
        <row r="40">
          <cell r="A40">
            <v>35</v>
          </cell>
          <cell r="B40" t="str">
            <v>S35</v>
          </cell>
        </row>
        <row r="41">
          <cell r="A41">
            <v>36</v>
          </cell>
          <cell r="B41" t="str">
            <v>S36</v>
          </cell>
        </row>
        <row r="42">
          <cell r="A42">
            <v>37</v>
          </cell>
          <cell r="B42" t="str">
            <v>S37</v>
          </cell>
        </row>
        <row r="43">
          <cell r="A43">
            <v>38</v>
          </cell>
          <cell r="B43" t="str">
            <v>S38</v>
          </cell>
        </row>
        <row r="44">
          <cell r="A44">
            <v>39</v>
          </cell>
          <cell r="B44" t="str">
            <v>S39</v>
          </cell>
        </row>
        <row r="45">
          <cell r="A45">
            <v>40</v>
          </cell>
          <cell r="B45" t="str">
            <v>S40</v>
          </cell>
        </row>
        <row r="46">
          <cell r="A46">
            <v>41</v>
          </cell>
          <cell r="B46" t="str">
            <v>S41</v>
          </cell>
        </row>
        <row r="47">
          <cell r="A47">
            <v>42</v>
          </cell>
          <cell r="B47" t="str">
            <v>S42</v>
          </cell>
        </row>
        <row r="48">
          <cell r="A48">
            <v>43</v>
          </cell>
          <cell r="B48" t="str">
            <v>S43</v>
          </cell>
        </row>
        <row r="49">
          <cell r="A49">
            <v>44</v>
          </cell>
          <cell r="B49" t="str">
            <v>S44</v>
          </cell>
        </row>
        <row r="50">
          <cell r="A50">
            <v>45</v>
          </cell>
          <cell r="B50" t="str">
            <v>S45</v>
          </cell>
        </row>
        <row r="51">
          <cell r="A51">
            <v>46</v>
          </cell>
          <cell r="B51" t="str">
            <v>S46</v>
          </cell>
        </row>
        <row r="52">
          <cell r="A52">
            <v>47</v>
          </cell>
          <cell r="B52" t="str">
            <v>S47</v>
          </cell>
        </row>
        <row r="53">
          <cell r="A53">
            <v>48</v>
          </cell>
          <cell r="B53" t="str">
            <v>S48</v>
          </cell>
        </row>
        <row r="54">
          <cell r="A54">
            <v>49</v>
          </cell>
          <cell r="B54" t="str">
            <v>S49</v>
          </cell>
        </row>
        <row r="55">
          <cell r="A55">
            <v>50</v>
          </cell>
          <cell r="B55" t="str">
            <v>S50</v>
          </cell>
        </row>
      </sheetData>
      <sheetData sheetId="4"/>
      <sheetData sheetId="5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  <cell r="AF1">
            <v>31</v>
          </cell>
          <cell r="AG1">
            <v>32</v>
          </cell>
          <cell r="AH1">
            <v>32</v>
          </cell>
          <cell r="AI1">
            <v>34</v>
          </cell>
          <cell r="AJ1">
            <v>35</v>
          </cell>
          <cell r="AK1">
            <v>36</v>
          </cell>
          <cell r="AL1">
            <v>37</v>
          </cell>
          <cell r="AM1">
            <v>38</v>
          </cell>
          <cell r="AN1">
            <v>39</v>
          </cell>
          <cell r="AO1">
            <v>40</v>
          </cell>
          <cell r="AP1">
            <v>41</v>
          </cell>
          <cell r="AQ1">
            <v>42</v>
          </cell>
          <cell r="AR1">
            <v>43</v>
          </cell>
          <cell r="AS1">
            <v>44</v>
          </cell>
          <cell r="AT1">
            <v>45</v>
          </cell>
          <cell r="AU1">
            <v>46</v>
          </cell>
          <cell r="AV1">
            <v>47</v>
          </cell>
          <cell r="AW1">
            <v>48</v>
          </cell>
          <cell r="AX1">
            <v>49</v>
          </cell>
          <cell r="AY1">
            <v>50</v>
          </cell>
          <cell r="AZ1">
            <v>51</v>
          </cell>
          <cell r="BA1">
            <v>52</v>
          </cell>
          <cell r="BB1">
            <v>53</v>
          </cell>
          <cell r="BC1">
            <v>54</v>
          </cell>
          <cell r="BD1">
            <v>55</v>
          </cell>
          <cell r="BE1">
            <v>56</v>
          </cell>
          <cell r="BF1">
            <v>57</v>
          </cell>
          <cell r="BG1">
            <v>58</v>
          </cell>
          <cell r="BI1">
            <v>60</v>
          </cell>
          <cell r="BJ1">
            <v>61</v>
          </cell>
          <cell r="BK1">
            <v>62</v>
          </cell>
          <cell r="BL1">
            <v>63</v>
          </cell>
          <cell r="BM1">
            <v>64</v>
          </cell>
          <cell r="BN1">
            <v>65</v>
          </cell>
          <cell r="BO1">
            <v>66</v>
          </cell>
          <cell r="BP1">
            <v>67</v>
          </cell>
          <cell r="BQ1">
            <v>68</v>
          </cell>
          <cell r="BR1">
            <v>69</v>
          </cell>
          <cell r="BS1">
            <v>70</v>
          </cell>
          <cell r="BT1">
            <v>71</v>
          </cell>
          <cell r="BU1">
            <v>72</v>
          </cell>
          <cell r="BV1">
            <v>73</v>
          </cell>
          <cell r="BW1">
            <v>74</v>
          </cell>
          <cell r="BX1">
            <v>75</v>
          </cell>
          <cell r="BY1">
            <v>76</v>
          </cell>
          <cell r="BZ1">
            <v>77</v>
          </cell>
          <cell r="CB1">
            <v>78</v>
          </cell>
          <cell r="CC1">
            <v>79</v>
          </cell>
          <cell r="CD1">
            <v>80</v>
          </cell>
          <cell r="CE1">
            <v>81</v>
          </cell>
          <cell r="CF1">
            <v>82</v>
          </cell>
          <cell r="CG1">
            <v>83</v>
          </cell>
          <cell r="CH1">
            <v>84</v>
          </cell>
          <cell r="CI1">
            <v>85</v>
          </cell>
          <cell r="CJ1">
            <v>86</v>
          </cell>
          <cell r="CL1">
            <v>11</v>
          </cell>
          <cell r="CR1">
            <v>11</v>
          </cell>
          <cell r="CS1">
            <v>11</v>
          </cell>
          <cell r="CU1">
            <v>30</v>
          </cell>
        </row>
        <row r="2">
          <cell r="B2" t="str">
            <v>Code For AP</v>
          </cell>
          <cell r="C2" t="str">
            <v>Wishing You A Peace, Joy &amp; Prosperity !!</v>
          </cell>
          <cell r="G2" t="str">
            <v>Entry</v>
          </cell>
          <cell r="L2" t="str">
            <v>Target</v>
          </cell>
          <cell r="AA2" t="str">
            <v>Final Exit</v>
          </cell>
          <cell r="AE2" t="str">
            <v>Stop Loss : MSL</v>
          </cell>
          <cell r="AJ2" t="str">
            <v>Data +/- Buffer</v>
          </cell>
          <cell r="AK2" t="str">
            <v>Stop Loss : TSL</v>
          </cell>
          <cell r="BD2" t="str">
            <v>Gap Timings</v>
          </cell>
          <cell r="BI2" t="str">
            <v>Gap Buffer</v>
          </cell>
          <cell r="CL2" t="str">
            <v>Target</v>
          </cell>
          <cell r="CR2" t="str">
            <v>Gap Buffer</v>
          </cell>
          <cell r="CU2" t="str">
            <v>Stop Loss : MSL</v>
          </cell>
        </row>
        <row r="3">
          <cell r="L3" t="str">
            <v>Target</v>
          </cell>
          <cell r="M3" t="str">
            <v>+ | -</v>
          </cell>
          <cell r="N3" t="str">
            <v>Target 1</v>
          </cell>
          <cell r="P3" t="str">
            <v>TGT 2</v>
          </cell>
          <cell r="R3" t="str">
            <v>TGT 3</v>
          </cell>
          <cell r="T3" t="str">
            <v>TGT 4</v>
          </cell>
          <cell r="V3" t="str">
            <v>TGT 5</v>
          </cell>
          <cell r="X3" t="str">
            <v>TGT 6</v>
          </cell>
          <cell r="AA3" t="str">
            <v>Max / Min</v>
          </cell>
          <cell r="AB3" t="str">
            <v>After Entry</v>
          </cell>
          <cell r="AC3" t="str">
            <v>After Target</v>
          </cell>
          <cell r="AE3" t="str">
            <v>MSL</v>
          </cell>
          <cell r="AG3" t="str">
            <v>MSL 1</v>
          </cell>
          <cell r="AH3" t="str">
            <v>MSL 2</v>
          </cell>
          <cell r="AK3" t="str">
            <v>TSL After Entry</v>
          </cell>
          <cell r="AN3" t="str">
            <v>TSL After TGT 1</v>
          </cell>
          <cell r="AQ3" t="str">
            <v>TSL After TGT 2</v>
          </cell>
          <cell r="AT3" t="str">
            <v>TSL After TGT 3</v>
          </cell>
          <cell r="AW3" t="str">
            <v>TSL After TGT 4</v>
          </cell>
          <cell r="AZ3" t="str">
            <v>TSL After TGT 5</v>
          </cell>
          <cell r="BE3" t="str">
            <v>For Entry</v>
          </cell>
          <cell r="BF3" t="str">
            <v>For SL (P. = Open)</v>
          </cell>
          <cell r="BG3" t="str">
            <v>For TGT (P. = Open)</v>
          </cell>
          <cell r="BK3" t="str">
            <v>For Entry</v>
          </cell>
          <cell r="BL3" t="str">
            <v>For SL 
(P. = Open)</v>
          </cell>
          <cell r="BN3" t="str">
            <v>Finding the Final Strike</v>
          </cell>
          <cell r="BP3" t="str">
            <v>Start Stike</v>
          </cell>
          <cell r="BT3" t="str">
            <v>End Stike</v>
          </cell>
          <cell r="BZ3" t="str">
            <v>Last Choice Stike</v>
          </cell>
          <cell r="CE3" t="str">
            <v>Ideal Premium</v>
          </cell>
          <cell r="CG3" t="str">
            <v>Minimum Premium</v>
          </cell>
          <cell r="CI3" t="str">
            <v>Minimum OI ( in Lots )</v>
          </cell>
          <cell r="CJ3" t="str">
            <v>No of Expiry to Check</v>
          </cell>
          <cell r="CL3" t="str">
            <v>Target</v>
          </cell>
          <cell r="CR3" t="str">
            <v>Start Strike</v>
          </cell>
          <cell r="CS3" t="str">
            <v>End Strike</v>
          </cell>
          <cell r="CU3" t="str">
            <v>For SL (P. = Open)</v>
          </cell>
        </row>
        <row r="4">
          <cell r="G4" t="str">
            <v>Data</v>
          </cell>
          <cell r="H4" t="str">
            <v>+ | -</v>
          </cell>
          <cell r="I4" t="str">
            <v>Buffer</v>
          </cell>
          <cell r="J4" t="str">
            <v>Lots</v>
          </cell>
          <cell r="L4" t="str">
            <v>Data 1</v>
          </cell>
          <cell r="N4" t="str">
            <v>Buffer</v>
          </cell>
          <cell r="O4" t="str">
            <v>Lots</v>
          </cell>
          <cell r="P4" t="str">
            <v>Buffer</v>
          </cell>
          <cell r="Q4" t="str">
            <v>Lots</v>
          </cell>
          <cell r="R4" t="str">
            <v>Buffer</v>
          </cell>
          <cell r="S4" t="str">
            <v>Lots</v>
          </cell>
          <cell r="T4" t="str">
            <v>Buffer</v>
          </cell>
          <cell r="U4" t="str">
            <v>Lots</v>
          </cell>
          <cell r="V4" t="str">
            <v>Buffer</v>
          </cell>
          <cell r="W4" t="str">
            <v>Lots</v>
          </cell>
          <cell r="X4" t="str">
            <v>Buffer</v>
          </cell>
          <cell r="Y4" t="str">
            <v>Lots</v>
          </cell>
          <cell r="AE4" t="str">
            <v>Data</v>
          </cell>
          <cell r="AF4" t="str">
            <v>+ | -</v>
          </cell>
          <cell r="AG4" t="str">
            <v>Buffer</v>
          </cell>
          <cell r="AH4" t="str">
            <v>Buffer</v>
          </cell>
          <cell r="AJ4" t="str">
            <v>+ | -</v>
          </cell>
          <cell r="AK4" t="str">
            <v>Data</v>
          </cell>
          <cell r="AL4" t="str">
            <v>Buffer</v>
          </cell>
          <cell r="AM4" t="str">
            <v>Lots</v>
          </cell>
          <cell r="AN4" t="str">
            <v>Data</v>
          </cell>
          <cell r="AO4" t="str">
            <v>Buffer</v>
          </cell>
          <cell r="AP4" t="str">
            <v>Lots</v>
          </cell>
          <cell r="AQ4" t="str">
            <v>Data</v>
          </cell>
          <cell r="AR4" t="str">
            <v>Buffer</v>
          </cell>
          <cell r="AS4" t="str">
            <v>Lots</v>
          </cell>
          <cell r="AT4" t="str">
            <v>Data</v>
          </cell>
          <cell r="AU4" t="str">
            <v>Buffer</v>
          </cell>
          <cell r="AV4" t="str">
            <v>Lots</v>
          </cell>
          <cell r="AW4" t="str">
            <v>Data</v>
          </cell>
          <cell r="AX4" t="str">
            <v>Buffer</v>
          </cell>
          <cell r="AY4" t="str">
            <v>Lots</v>
          </cell>
          <cell r="AZ4" t="str">
            <v>Data</v>
          </cell>
          <cell r="BA4" t="str">
            <v>Buffer</v>
          </cell>
          <cell r="BB4" t="str">
            <v>Lots</v>
          </cell>
          <cell r="BP4" t="str">
            <v>Data</v>
          </cell>
          <cell r="BQ4" t="str">
            <v>+ | -</v>
          </cell>
          <cell r="BR4" t="str">
            <v>Buffer</v>
          </cell>
          <cell r="BS4" t="str">
            <v>Round</v>
          </cell>
          <cell r="BT4" t="str">
            <v>Data</v>
          </cell>
          <cell r="BU4" t="str">
            <v>+ | -</v>
          </cell>
          <cell r="BV4" t="str">
            <v>Buffer</v>
          </cell>
          <cell r="BW4" t="str">
            <v>Round</v>
          </cell>
          <cell r="BX4" t="str">
            <v>+ | -</v>
          </cell>
          <cell r="BY4" t="str">
            <v>Strike</v>
          </cell>
          <cell r="BZ4" t="str">
            <v>Data</v>
          </cell>
          <cell r="CA4" t="str">
            <v>Round</v>
          </cell>
          <cell r="CB4" t="str">
            <v>+ | -</v>
          </cell>
          <cell r="CC4" t="str">
            <v>Strike</v>
          </cell>
          <cell r="CE4" t="str">
            <v>Data</v>
          </cell>
          <cell r="CF4" t="str">
            <v>Buffer</v>
          </cell>
          <cell r="CG4" t="str">
            <v>Data</v>
          </cell>
          <cell r="CH4" t="str">
            <v>Buffer</v>
          </cell>
          <cell r="CI4" t="str">
            <v>Data</v>
          </cell>
          <cell r="CJ4" t="str">
            <v>Data</v>
          </cell>
          <cell r="CL4" t="str">
            <v>Data 2</v>
          </cell>
          <cell r="CR4" t="str">
            <v>Buffer</v>
          </cell>
          <cell r="CS4" t="str">
            <v>Buffer</v>
          </cell>
        </row>
        <row r="6">
          <cell r="B6" t="str">
            <v>S1A</v>
          </cell>
          <cell r="C6" t="str">
            <v>Strategy Code</v>
          </cell>
          <cell r="D6" t="str">
            <v>S1</v>
          </cell>
          <cell r="E6" t="str">
            <v>Bull / 
Bull CF</v>
          </cell>
          <cell r="F6" t="str">
            <v>Long</v>
          </cell>
          <cell r="G6" t="str">
            <v>FUT : PRV : 2DHH</v>
          </cell>
          <cell r="H6" t="str">
            <v xml:space="preserve"> + </v>
          </cell>
          <cell r="I6">
            <v>5.0000000000000001E-4</v>
          </cell>
          <cell r="J6">
            <v>5</v>
          </cell>
          <cell r="L6" t="str">
            <v xml:space="preserve">L : Entry </v>
          </cell>
          <cell r="M6" t="str">
            <v xml:space="preserve"> + </v>
          </cell>
          <cell r="N6">
            <v>4.0000000000000001E-3</v>
          </cell>
          <cell r="O6">
            <v>1</v>
          </cell>
          <cell r="P6">
            <v>6.0000000000000001E-3</v>
          </cell>
          <cell r="Q6">
            <v>1</v>
          </cell>
          <cell r="R6">
            <v>8.0000000000000002E-3</v>
          </cell>
          <cell r="S6">
            <v>1</v>
          </cell>
          <cell r="T6">
            <v>0.01</v>
          </cell>
          <cell r="U6">
            <v>1</v>
          </cell>
          <cell r="V6" t="str">
            <v>TR PROFIT AFTER TGT 4</v>
          </cell>
          <cell r="W6">
            <v>1</v>
          </cell>
          <cell r="X6" t="str">
            <v>N.A.</v>
          </cell>
          <cell r="Y6" t="str">
            <v>N.A.</v>
          </cell>
          <cell r="AA6" t="str">
            <v>Max</v>
          </cell>
          <cell r="AB6" t="str">
            <v>MSL &amp; TSL</v>
          </cell>
          <cell r="AC6" t="str">
            <v>Entry &amp; TRP</v>
          </cell>
          <cell r="AE6" t="str">
            <v>L : Entry</v>
          </cell>
          <cell r="AF6" t="str">
            <v xml:space="preserve"> - </v>
          </cell>
          <cell r="AG6">
            <v>4.0000000000000001E-3</v>
          </cell>
          <cell r="AH6">
            <v>0</v>
          </cell>
          <cell r="AJ6" t="str">
            <v xml:space="preserve"> - </v>
          </cell>
          <cell r="AK6" t="str">
            <v>FUT : PRV : 2DLL</v>
          </cell>
          <cell r="AL6">
            <v>5.0000000000000001E-4</v>
          </cell>
          <cell r="AM6">
            <v>5</v>
          </cell>
          <cell r="AN6" t="str">
            <v>FUT : PRV : 2DLL</v>
          </cell>
          <cell r="AO6">
            <v>5.0000000000000001E-4</v>
          </cell>
          <cell r="AP6">
            <v>4</v>
          </cell>
          <cell r="AQ6" t="str">
            <v>FUT : PRV : 2DLL</v>
          </cell>
          <cell r="AR6">
            <v>5.0000000000000001E-4</v>
          </cell>
          <cell r="AS6">
            <v>3</v>
          </cell>
          <cell r="AT6" t="str">
            <v>FUT : PRV : 2DLL</v>
          </cell>
          <cell r="AU6">
            <v>5.0000000000000001E-4</v>
          </cell>
          <cell r="AV6">
            <v>2</v>
          </cell>
          <cell r="AW6" t="str">
            <v>FUT : PRV : 2DLL</v>
          </cell>
          <cell r="AX6">
            <v>5.0000000000000001E-4</v>
          </cell>
          <cell r="AY6">
            <v>1</v>
          </cell>
          <cell r="AZ6">
            <v>0</v>
          </cell>
          <cell r="BA6">
            <v>0</v>
          </cell>
          <cell r="BB6">
            <v>0</v>
          </cell>
          <cell r="BD6" t="str">
            <v xml:space="preserve">ORPT </v>
          </cell>
          <cell r="BE6">
            <v>0.37846527777777778</v>
          </cell>
          <cell r="BF6">
            <v>0.37846527777777778</v>
          </cell>
          <cell r="BG6">
            <v>0.375</v>
          </cell>
          <cell r="BI6" t="str">
            <v>Bull / 
Bull CF</v>
          </cell>
          <cell r="BJ6" t="str">
            <v>Long</v>
          </cell>
          <cell r="BK6">
            <v>5.0000000000000001E-4</v>
          </cell>
          <cell r="BL6">
            <v>5.0000000000000001E-4</v>
          </cell>
          <cell r="BN6" t="str">
            <v>Bull | 
Bull CF</v>
          </cell>
          <cell r="BO6" t="str">
            <v>Call</v>
          </cell>
          <cell r="BP6" t="str">
            <v/>
          </cell>
          <cell r="CL6">
            <v>0</v>
          </cell>
          <cell r="CR6" t="b">
            <v>0</v>
          </cell>
          <cell r="CS6" t="b">
            <v>0</v>
          </cell>
          <cell r="CU6">
            <v>0.6875</v>
          </cell>
        </row>
        <row r="7">
          <cell r="B7" t="str">
            <v>S1B</v>
          </cell>
          <cell r="C7" t="str">
            <v>Unique Code</v>
          </cell>
          <cell r="D7" t="str">
            <v>USDINR_FUT_MT_SAME_2D_2D</v>
          </cell>
          <cell r="F7" t="str">
            <v>Short</v>
          </cell>
          <cell r="G7" t="str">
            <v>FUT : PRV : 2DLL</v>
          </cell>
          <cell r="H7" t="str">
            <v xml:space="preserve"> - </v>
          </cell>
          <cell r="I7">
            <v>5.0000000000000001E-4</v>
          </cell>
          <cell r="J7">
            <v>5</v>
          </cell>
          <cell r="L7" t="str">
            <v xml:space="preserve">S : Entry </v>
          </cell>
          <cell r="M7" t="str">
            <v xml:space="preserve"> - </v>
          </cell>
          <cell r="N7">
            <v>4.0000000000000001E-3</v>
          </cell>
          <cell r="O7">
            <v>1</v>
          </cell>
          <cell r="P7">
            <v>6.0000000000000001E-3</v>
          </cell>
          <cell r="Q7">
            <v>1</v>
          </cell>
          <cell r="R7">
            <v>8.0000000000000002E-3</v>
          </cell>
          <cell r="S7">
            <v>1</v>
          </cell>
          <cell r="T7">
            <v>0.01</v>
          </cell>
          <cell r="U7">
            <v>1</v>
          </cell>
          <cell r="V7" t="str">
            <v>TR PROFIT AFTER TGT 4</v>
          </cell>
          <cell r="W7">
            <v>1</v>
          </cell>
          <cell r="X7" t="str">
            <v>N.A.</v>
          </cell>
          <cell r="Y7" t="str">
            <v>N.A.</v>
          </cell>
          <cell r="AA7" t="str">
            <v>Min</v>
          </cell>
          <cell r="AB7" t="str">
            <v>MSL &amp; TSL</v>
          </cell>
          <cell r="AC7" t="str">
            <v>Entry &amp; TRP</v>
          </cell>
          <cell r="AE7" t="str">
            <v>S : Entry</v>
          </cell>
          <cell r="AF7" t="str">
            <v xml:space="preserve"> + </v>
          </cell>
          <cell r="AG7">
            <v>4.0000000000000001E-3</v>
          </cell>
          <cell r="AH7">
            <v>0</v>
          </cell>
          <cell r="AJ7" t="str">
            <v xml:space="preserve"> + </v>
          </cell>
          <cell r="AK7" t="str">
            <v>FUT : PRV : 2DHH</v>
          </cell>
          <cell r="AL7">
            <v>5.0000000000000001E-4</v>
          </cell>
          <cell r="AM7">
            <v>5</v>
          </cell>
          <cell r="AN7" t="str">
            <v>FUT : PRV : 2DHH</v>
          </cell>
          <cell r="AO7">
            <v>5.0000000000000001E-4</v>
          </cell>
          <cell r="AP7">
            <v>4</v>
          </cell>
          <cell r="AQ7" t="str">
            <v>FUT : PRV : 2DHH</v>
          </cell>
          <cell r="AR7">
            <v>5.0000000000000001E-4</v>
          </cell>
          <cell r="AS7">
            <v>3</v>
          </cell>
          <cell r="AT7" t="str">
            <v>FUT : PRV : 2DHH</v>
          </cell>
          <cell r="AU7">
            <v>5.0000000000000001E-4</v>
          </cell>
          <cell r="AV7">
            <v>2</v>
          </cell>
          <cell r="AW7" t="str">
            <v>FUT : PRV : 2DHH</v>
          </cell>
          <cell r="AX7">
            <v>5.0000000000000001E-4</v>
          </cell>
          <cell r="AY7">
            <v>1</v>
          </cell>
          <cell r="AZ7">
            <v>0</v>
          </cell>
          <cell r="BA7">
            <v>0</v>
          </cell>
          <cell r="BB7">
            <v>0</v>
          </cell>
          <cell r="BD7" t="str">
            <v xml:space="preserve"> RC. Time</v>
          </cell>
          <cell r="BE7">
            <v>0.38540972222222225</v>
          </cell>
          <cell r="BF7">
            <v>0.38540972222222225</v>
          </cell>
          <cell r="BG7" t="str">
            <v>N.A.</v>
          </cell>
          <cell r="BJ7" t="str">
            <v>Short</v>
          </cell>
          <cell r="BK7">
            <v>5.0000000000000001E-4</v>
          </cell>
          <cell r="BL7">
            <v>5.0000000000000001E-4</v>
          </cell>
          <cell r="BO7" t="str">
            <v>Put</v>
          </cell>
          <cell r="BP7" t="str">
            <v/>
          </cell>
          <cell r="CL7">
            <v>0</v>
          </cell>
          <cell r="CR7" t="b">
            <v>0</v>
          </cell>
          <cell r="CS7" t="b">
            <v>0</v>
          </cell>
        </row>
        <row r="8">
          <cell r="B8" t="str">
            <v>S1C</v>
          </cell>
          <cell r="C8" t="str">
            <v>Segment</v>
          </cell>
          <cell r="D8" t="str">
            <v>FUTURES</v>
          </cell>
          <cell r="E8" t="str">
            <v>Contract</v>
          </cell>
          <cell r="F8" t="str">
            <v>MONTHLY</v>
          </cell>
        </row>
        <row r="9">
          <cell r="B9" t="str">
            <v>S1D</v>
          </cell>
          <cell r="C9" t="str">
            <v>Symbol</v>
          </cell>
          <cell r="D9" t="str">
            <v>USDINR</v>
          </cell>
          <cell r="E9" t="str">
            <v>Bear / 
Bear CF</v>
          </cell>
          <cell r="F9" t="str">
            <v>Long</v>
          </cell>
          <cell r="G9" t="str">
            <v>FUT : PRV : 2DHH</v>
          </cell>
          <cell r="H9" t="str">
            <v xml:space="preserve"> + </v>
          </cell>
          <cell r="I9">
            <v>5.0000000000000001E-4</v>
          </cell>
          <cell r="J9">
            <v>5</v>
          </cell>
          <cell r="L9" t="str">
            <v xml:space="preserve">L : Entry </v>
          </cell>
          <cell r="M9" t="str">
            <v xml:space="preserve"> + </v>
          </cell>
          <cell r="N9">
            <v>4.0000000000000001E-3</v>
          </cell>
          <cell r="O9">
            <v>1</v>
          </cell>
          <cell r="P9">
            <v>6.0000000000000001E-3</v>
          </cell>
          <cell r="Q9">
            <v>1</v>
          </cell>
          <cell r="R9">
            <v>8.0000000000000002E-3</v>
          </cell>
          <cell r="S9">
            <v>1</v>
          </cell>
          <cell r="T9">
            <v>0.01</v>
          </cell>
          <cell r="U9">
            <v>1</v>
          </cell>
          <cell r="V9" t="str">
            <v>TR PROFIT AFTER TGT 4</v>
          </cell>
          <cell r="W9">
            <v>1</v>
          </cell>
          <cell r="X9" t="str">
            <v>N.A.</v>
          </cell>
          <cell r="Y9" t="str">
            <v>N.A.</v>
          </cell>
          <cell r="AA9" t="str">
            <v>Max</v>
          </cell>
          <cell r="AB9" t="str">
            <v>MSL &amp; TSL</v>
          </cell>
          <cell r="AC9" t="str">
            <v>Entry &amp; TRP</v>
          </cell>
          <cell r="AE9" t="str">
            <v>L : Entry</v>
          </cell>
          <cell r="AF9" t="str">
            <v xml:space="preserve"> - </v>
          </cell>
          <cell r="AG9">
            <v>4.0000000000000001E-3</v>
          </cell>
          <cell r="AH9">
            <v>0</v>
          </cell>
          <cell r="AJ9" t="str">
            <v xml:space="preserve"> - </v>
          </cell>
          <cell r="AK9" t="str">
            <v>FUT : PRV : 2DLL</v>
          </cell>
          <cell r="AL9">
            <v>5.0000000000000001E-4</v>
          </cell>
          <cell r="AM9">
            <v>5</v>
          </cell>
          <cell r="AN9" t="str">
            <v>FUT : PRV : 2DLL</v>
          </cell>
          <cell r="AO9">
            <v>5.0000000000000001E-4</v>
          </cell>
          <cell r="AP9">
            <v>4</v>
          </cell>
          <cell r="AQ9" t="str">
            <v>FUT : PRV : 2DLL</v>
          </cell>
          <cell r="AR9">
            <v>5.0000000000000001E-4</v>
          </cell>
          <cell r="AS9">
            <v>3</v>
          </cell>
          <cell r="AT9" t="str">
            <v>FUT : PRV : 2DLL</v>
          </cell>
          <cell r="AU9">
            <v>5.0000000000000001E-4</v>
          </cell>
          <cell r="AV9">
            <v>2</v>
          </cell>
          <cell r="AW9" t="str">
            <v>FUT : PRV : 2DLL</v>
          </cell>
          <cell r="AX9">
            <v>5.0000000000000001E-4</v>
          </cell>
          <cell r="AY9">
            <v>1</v>
          </cell>
          <cell r="AZ9">
            <v>0</v>
          </cell>
          <cell r="BA9">
            <v>0</v>
          </cell>
          <cell r="BB9">
            <v>0</v>
          </cell>
          <cell r="BD9" t="str">
            <v>Market Start Time</v>
          </cell>
          <cell r="BE9">
            <v>0.375</v>
          </cell>
          <cell r="BI9" t="str">
            <v>Bear / 
Bear CF</v>
          </cell>
          <cell r="BJ9" t="str">
            <v>Long</v>
          </cell>
          <cell r="BK9">
            <v>5.0000000000000001E-4</v>
          </cell>
          <cell r="BL9">
            <v>5.0000000000000001E-4</v>
          </cell>
          <cell r="BN9" t="str">
            <v>Bear | 
Bear CF</v>
          </cell>
          <cell r="BO9" t="str">
            <v>Call</v>
          </cell>
          <cell r="BP9" t="str">
            <v/>
          </cell>
          <cell r="CL9">
            <v>0</v>
          </cell>
          <cell r="CR9" t="b">
            <v>0</v>
          </cell>
          <cell r="CS9" t="b">
            <v>0</v>
          </cell>
        </row>
        <row r="10">
          <cell r="B10" t="str">
            <v>S1E</v>
          </cell>
          <cell r="C10" t="str">
            <v>No. of Targets</v>
          </cell>
          <cell r="D10" t="str">
            <v>4 &amp; APS</v>
          </cell>
          <cell r="F10" t="str">
            <v>Short</v>
          </cell>
          <cell r="G10" t="str">
            <v>FUT : PRV : 2DLL</v>
          </cell>
          <cell r="H10" t="str">
            <v xml:space="preserve"> - </v>
          </cell>
          <cell r="I10">
            <v>5.0000000000000001E-4</v>
          </cell>
          <cell r="J10">
            <v>5</v>
          </cell>
          <cell r="L10" t="str">
            <v xml:space="preserve">S : Entry </v>
          </cell>
          <cell r="M10" t="str">
            <v xml:space="preserve"> - </v>
          </cell>
          <cell r="N10">
            <v>4.0000000000000001E-3</v>
          </cell>
          <cell r="O10">
            <v>1</v>
          </cell>
          <cell r="P10">
            <v>6.0000000000000001E-3</v>
          </cell>
          <cell r="Q10">
            <v>1</v>
          </cell>
          <cell r="R10">
            <v>8.0000000000000002E-3</v>
          </cell>
          <cell r="S10">
            <v>1</v>
          </cell>
          <cell r="T10">
            <v>0.01</v>
          </cell>
          <cell r="U10">
            <v>1</v>
          </cell>
          <cell r="V10" t="str">
            <v>TR PROFIT AFTER TGT 4</v>
          </cell>
          <cell r="W10">
            <v>1</v>
          </cell>
          <cell r="X10" t="str">
            <v>N.A.</v>
          </cell>
          <cell r="Y10" t="str">
            <v>N.A.</v>
          </cell>
          <cell r="AA10" t="str">
            <v>Min</v>
          </cell>
          <cell r="AB10" t="str">
            <v>MSL &amp; TSL</v>
          </cell>
          <cell r="AC10" t="str">
            <v>Entry &amp; TRP</v>
          </cell>
          <cell r="AE10" t="str">
            <v>S : Entry</v>
          </cell>
          <cell r="AF10" t="str">
            <v xml:space="preserve"> + </v>
          </cell>
          <cell r="AG10">
            <v>4.0000000000000001E-3</v>
          </cell>
          <cell r="AH10">
            <v>0</v>
          </cell>
          <cell r="AJ10" t="str">
            <v xml:space="preserve"> + </v>
          </cell>
          <cell r="AK10" t="str">
            <v>FUT : PRV : 2DHH</v>
          </cell>
          <cell r="AL10">
            <v>5.0000000000000001E-4</v>
          </cell>
          <cell r="AM10">
            <v>5</v>
          </cell>
          <cell r="AN10" t="str">
            <v>FUT : PRV : 2DHH</v>
          </cell>
          <cell r="AO10">
            <v>5.0000000000000001E-4</v>
          </cell>
          <cell r="AP10">
            <v>4</v>
          </cell>
          <cell r="AQ10" t="str">
            <v>FUT : PRV : 2DHH</v>
          </cell>
          <cell r="AR10">
            <v>5.0000000000000001E-4</v>
          </cell>
          <cell r="AS10">
            <v>3</v>
          </cell>
          <cell r="AT10" t="str">
            <v>FUT : PRV : 2DHH</v>
          </cell>
          <cell r="AU10">
            <v>5.0000000000000001E-4</v>
          </cell>
          <cell r="AV10">
            <v>2</v>
          </cell>
          <cell r="AW10" t="str">
            <v>FUT : PRV : 2DHH</v>
          </cell>
          <cell r="AX10">
            <v>5.0000000000000001E-4</v>
          </cell>
          <cell r="AY10">
            <v>1</v>
          </cell>
          <cell r="AZ10">
            <v>0</v>
          </cell>
          <cell r="BA10">
            <v>0</v>
          </cell>
          <cell r="BB10">
            <v>0</v>
          </cell>
          <cell r="BD10" t="str">
            <v>Market End Time</v>
          </cell>
          <cell r="BE10">
            <v>0.70833333333333337</v>
          </cell>
          <cell r="BJ10" t="str">
            <v>Short</v>
          </cell>
          <cell r="BK10">
            <v>5.0000000000000001E-4</v>
          </cell>
          <cell r="BL10">
            <v>5.0000000000000001E-4</v>
          </cell>
          <cell r="BO10" t="str">
            <v>Put</v>
          </cell>
          <cell r="BP10" t="str">
            <v/>
          </cell>
          <cell r="CL10">
            <v>0</v>
          </cell>
          <cell r="CR10" t="b">
            <v>0</v>
          </cell>
          <cell r="CS10" t="b">
            <v>0</v>
          </cell>
        </row>
        <row r="12">
          <cell r="B12" t="str">
            <v>S2A</v>
          </cell>
          <cell r="C12" t="str">
            <v>Strategy Code</v>
          </cell>
          <cell r="D12" t="str">
            <v>S2</v>
          </cell>
          <cell r="E12" t="str">
            <v>Bull / 
Bull CF</v>
          </cell>
          <cell r="F12" t="str">
            <v>Long</v>
          </cell>
          <cell r="G12" t="str">
            <v>FUT : PRV : 2DHH</v>
          </cell>
          <cell r="H12" t="str">
            <v xml:space="preserve"> + </v>
          </cell>
          <cell r="I12">
            <v>2.0000000000000001E-4</v>
          </cell>
          <cell r="J12">
            <v>5</v>
          </cell>
          <cell r="L12" t="str">
            <v xml:space="preserve">L : Entry </v>
          </cell>
          <cell r="M12" t="str">
            <v xml:space="preserve"> + </v>
          </cell>
          <cell r="N12">
            <v>4.0000000000000001E-3</v>
          </cell>
          <cell r="O12">
            <v>1</v>
          </cell>
          <cell r="P12">
            <v>6.0000000000000001E-3</v>
          </cell>
          <cell r="Q12">
            <v>1</v>
          </cell>
          <cell r="R12">
            <v>8.0000000000000002E-3</v>
          </cell>
          <cell r="S12">
            <v>1</v>
          </cell>
          <cell r="T12">
            <v>0.01</v>
          </cell>
          <cell r="U12">
            <v>1</v>
          </cell>
          <cell r="V12" t="str">
            <v>TR PROFIT AFTER TGT 4</v>
          </cell>
          <cell r="W12">
            <v>1</v>
          </cell>
          <cell r="X12" t="str">
            <v>N.A.</v>
          </cell>
          <cell r="Y12" t="str">
            <v>N.A.</v>
          </cell>
          <cell r="AA12" t="str">
            <v>Max</v>
          </cell>
          <cell r="AB12" t="str">
            <v>MSL &amp; TSL</v>
          </cell>
          <cell r="AC12" t="str">
            <v>Entry &amp; TRP</v>
          </cell>
          <cell r="AE12" t="str">
            <v>L : Entry</v>
          </cell>
          <cell r="AF12" t="str">
            <v xml:space="preserve"> - </v>
          </cell>
          <cell r="AG12">
            <v>4.0000000000000001E-3</v>
          </cell>
          <cell r="AH12">
            <v>0</v>
          </cell>
          <cell r="AJ12" t="str">
            <v xml:space="preserve"> - </v>
          </cell>
          <cell r="AK12" t="str">
            <v>FUT : PRV : 4DLL</v>
          </cell>
          <cell r="AL12">
            <v>5.0000000000000001E-4</v>
          </cell>
          <cell r="AM12">
            <v>5</v>
          </cell>
          <cell r="AN12" t="str">
            <v>FUT : PRV : 4DLL</v>
          </cell>
          <cell r="AO12">
            <v>5.0000000000000001E-4</v>
          </cell>
          <cell r="AP12">
            <v>4</v>
          </cell>
          <cell r="AQ12" t="str">
            <v>FUT : PRV : 4DLL</v>
          </cell>
          <cell r="AR12">
            <v>5.0000000000000001E-4</v>
          </cell>
          <cell r="AS12">
            <v>3</v>
          </cell>
          <cell r="AT12" t="str">
            <v>FUT : PRV : 4DLL</v>
          </cell>
          <cell r="AU12">
            <v>5.0000000000000001E-4</v>
          </cell>
          <cell r="AV12">
            <v>2</v>
          </cell>
          <cell r="AW12" t="str">
            <v>FUT : PRV : 4DLL</v>
          </cell>
          <cell r="AX12">
            <v>5.0000000000000001E-4</v>
          </cell>
          <cell r="AY12">
            <v>1</v>
          </cell>
          <cell r="AZ12">
            <v>0</v>
          </cell>
          <cell r="BA12">
            <v>0</v>
          </cell>
          <cell r="BB12">
            <v>0</v>
          </cell>
          <cell r="BD12" t="str">
            <v xml:space="preserve">ORPT </v>
          </cell>
          <cell r="BE12">
            <v>0.37846527777777778</v>
          </cell>
          <cell r="BF12">
            <v>0.37846527777777778</v>
          </cell>
          <cell r="BG12">
            <v>0.375</v>
          </cell>
          <cell r="BI12" t="str">
            <v>Bull / 
Bull CF</v>
          </cell>
          <cell r="BJ12" t="str">
            <v>Long</v>
          </cell>
          <cell r="BK12">
            <v>2.0000000000000001E-4</v>
          </cell>
          <cell r="BL12">
            <v>5.0000000000000001E-4</v>
          </cell>
          <cell r="BN12" t="str">
            <v>Bull | 
Bull CF</v>
          </cell>
          <cell r="BO12" t="str">
            <v>Call</v>
          </cell>
          <cell r="BP12" t="str">
            <v/>
          </cell>
          <cell r="CU12">
            <v>0.6875</v>
          </cell>
        </row>
        <row r="13">
          <cell r="B13" t="str">
            <v>S2B</v>
          </cell>
          <cell r="C13" t="str">
            <v>Unique Code</v>
          </cell>
          <cell r="D13" t="str">
            <v>USDINR_FUT_MT_DIFF_2D_4D</v>
          </cell>
          <cell r="F13" t="str">
            <v>Short</v>
          </cell>
          <cell r="G13" t="str">
            <v>FUT : PRV : 4DLL</v>
          </cell>
          <cell r="H13" t="str">
            <v xml:space="preserve"> - </v>
          </cell>
          <cell r="I13">
            <v>5.0000000000000001E-4</v>
          </cell>
          <cell r="J13">
            <v>5</v>
          </cell>
          <cell r="L13" t="str">
            <v xml:space="preserve">S : Entry </v>
          </cell>
          <cell r="M13" t="str">
            <v xml:space="preserve"> - </v>
          </cell>
          <cell r="N13">
            <v>4.0000000000000001E-3</v>
          </cell>
          <cell r="O13">
            <v>1</v>
          </cell>
          <cell r="P13">
            <v>6.0000000000000001E-3</v>
          </cell>
          <cell r="Q13">
            <v>1</v>
          </cell>
          <cell r="R13">
            <v>8.0000000000000002E-3</v>
          </cell>
          <cell r="S13">
            <v>1</v>
          </cell>
          <cell r="T13">
            <v>0.01</v>
          </cell>
          <cell r="U13">
            <v>1</v>
          </cell>
          <cell r="V13" t="str">
            <v>TR PROFIT AFTER TGT 4</v>
          </cell>
          <cell r="W13">
            <v>1</v>
          </cell>
          <cell r="X13" t="str">
            <v>N.A.</v>
          </cell>
          <cell r="Y13" t="str">
            <v>N.A.</v>
          </cell>
          <cell r="AA13" t="str">
            <v>Min</v>
          </cell>
          <cell r="AB13" t="str">
            <v>MSL &amp; TSL</v>
          </cell>
          <cell r="AC13" t="str">
            <v>Entry &amp; TRP</v>
          </cell>
          <cell r="AE13" t="str">
            <v>S : Entry</v>
          </cell>
          <cell r="AF13" t="str">
            <v xml:space="preserve"> + </v>
          </cell>
          <cell r="AG13">
            <v>4.0000000000000001E-3</v>
          </cell>
          <cell r="AH13">
            <v>0</v>
          </cell>
          <cell r="AJ13" t="str">
            <v xml:space="preserve"> + </v>
          </cell>
          <cell r="AK13" t="str">
            <v>FUT : PRV : 2DHH</v>
          </cell>
          <cell r="AL13">
            <v>2.0000000000000001E-4</v>
          </cell>
          <cell r="AM13">
            <v>5</v>
          </cell>
          <cell r="AN13" t="str">
            <v>FUT : PRV : 2DHH</v>
          </cell>
          <cell r="AO13">
            <v>2.0000000000000001E-4</v>
          </cell>
          <cell r="AP13">
            <v>4</v>
          </cell>
          <cell r="AQ13" t="str">
            <v>FUT : PRV : 2DHH</v>
          </cell>
          <cell r="AR13">
            <v>2.0000000000000001E-4</v>
          </cell>
          <cell r="AS13">
            <v>3</v>
          </cell>
          <cell r="AT13" t="str">
            <v>FUT : PRV : 2DHH</v>
          </cell>
          <cell r="AU13">
            <v>2.0000000000000001E-4</v>
          </cell>
          <cell r="AV13">
            <v>2</v>
          </cell>
          <cell r="AW13" t="str">
            <v>FUT : PRV : 2DHH</v>
          </cell>
          <cell r="AX13">
            <v>2.0000000000000001E-4</v>
          </cell>
          <cell r="AY13">
            <v>1</v>
          </cell>
          <cell r="AZ13">
            <v>0</v>
          </cell>
          <cell r="BA13">
            <v>0</v>
          </cell>
          <cell r="BB13">
            <v>0</v>
          </cell>
          <cell r="BD13" t="str">
            <v xml:space="preserve"> RC. Time</v>
          </cell>
          <cell r="BE13">
            <v>0.38540972222222225</v>
          </cell>
          <cell r="BF13">
            <v>0.38540972222222225</v>
          </cell>
          <cell r="BG13" t="str">
            <v>N.A.</v>
          </cell>
          <cell r="BJ13" t="str">
            <v>Short</v>
          </cell>
          <cell r="BK13">
            <v>5.0000000000000001E-4</v>
          </cell>
          <cell r="BL13">
            <v>2.0000000000000001E-4</v>
          </cell>
          <cell r="BO13" t="str">
            <v>Put</v>
          </cell>
          <cell r="BP13" t="str">
            <v/>
          </cell>
        </row>
        <row r="14">
          <cell r="B14" t="str">
            <v>S2C</v>
          </cell>
          <cell r="C14" t="str">
            <v>Segment</v>
          </cell>
          <cell r="D14" t="str">
            <v>FUTURES</v>
          </cell>
          <cell r="E14" t="str">
            <v>Contract</v>
          </cell>
          <cell r="F14" t="str">
            <v>MONTHLY</v>
          </cell>
        </row>
        <row r="15">
          <cell r="B15" t="str">
            <v>S2D</v>
          </cell>
          <cell r="C15" t="str">
            <v>Symbol</v>
          </cell>
          <cell r="D15" t="str">
            <v>USDINR</v>
          </cell>
          <cell r="E15" t="str">
            <v>Bear / 
Bear CF</v>
          </cell>
          <cell r="F15" t="str">
            <v>Long</v>
          </cell>
          <cell r="G15" t="str">
            <v>FUT : PRV : 4DHH</v>
          </cell>
          <cell r="H15" t="str">
            <v xml:space="preserve"> + </v>
          </cell>
          <cell r="I15">
            <v>5.0000000000000001E-4</v>
          </cell>
          <cell r="J15">
            <v>5</v>
          </cell>
          <cell r="L15" t="str">
            <v xml:space="preserve">L : Entry </v>
          </cell>
          <cell r="M15" t="str">
            <v xml:space="preserve"> + </v>
          </cell>
          <cell r="N15">
            <v>4.0000000000000001E-3</v>
          </cell>
          <cell r="O15">
            <v>1</v>
          </cell>
          <cell r="P15">
            <v>6.0000000000000001E-3</v>
          </cell>
          <cell r="Q15">
            <v>1</v>
          </cell>
          <cell r="R15">
            <v>8.0000000000000002E-3</v>
          </cell>
          <cell r="S15">
            <v>1</v>
          </cell>
          <cell r="T15">
            <v>0.01</v>
          </cell>
          <cell r="U15">
            <v>1</v>
          </cell>
          <cell r="V15" t="str">
            <v>TR PROFIT AFTER TGT 4</v>
          </cell>
          <cell r="W15">
            <v>1</v>
          </cell>
          <cell r="X15" t="str">
            <v>N.A.</v>
          </cell>
          <cell r="Y15" t="str">
            <v>N.A.</v>
          </cell>
          <cell r="AA15" t="str">
            <v>Max</v>
          </cell>
          <cell r="AB15" t="str">
            <v>MSL &amp; TSL</v>
          </cell>
          <cell r="AC15" t="str">
            <v>Entry &amp; TRP</v>
          </cell>
          <cell r="AE15" t="str">
            <v>L : Entry</v>
          </cell>
          <cell r="AF15" t="str">
            <v xml:space="preserve"> - </v>
          </cell>
          <cell r="AG15">
            <v>4.0000000000000001E-3</v>
          </cell>
          <cell r="AH15">
            <v>0</v>
          </cell>
          <cell r="AJ15" t="str">
            <v xml:space="preserve"> - </v>
          </cell>
          <cell r="AK15" t="str">
            <v>FUT : PRV : 2DLL</v>
          </cell>
          <cell r="AL15">
            <v>2.0000000000000001E-4</v>
          </cell>
          <cell r="AM15">
            <v>5</v>
          </cell>
          <cell r="AN15" t="str">
            <v>FUT : PRV : 2DLL</v>
          </cell>
          <cell r="AO15">
            <v>2.0000000000000001E-4</v>
          </cell>
          <cell r="AP15">
            <v>4</v>
          </cell>
          <cell r="AQ15" t="str">
            <v>FUT : PRV : 2DLL</v>
          </cell>
          <cell r="AR15">
            <v>2.0000000000000001E-4</v>
          </cell>
          <cell r="AS15">
            <v>3</v>
          </cell>
          <cell r="AT15" t="str">
            <v>FUT : PRV : 2DLL</v>
          </cell>
          <cell r="AU15">
            <v>2.0000000000000001E-4</v>
          </cell>
          <cell r="AV15">
            <v>2</v>
          </cell>
          <cell r="AW15" t="str">
            <v>FUT : PRV : 2DLL</v>
          </cell>
          <cell r="AX15">
            <v>2.0000000000000001E-4</v>
          </cell>
          <cell r="AY15">
            <v>1</v>
          </cell>
          <cell r="AZ15">
            <v>0</v>
          </cell>
          <cell r="BA15">
            <v>0</v>
          </cell>
          <cell r="BB15">
            <v>0</v>
          </cell>
          <cell r="BD15" t="str">
            <v>Market Start Time</v>
          </cell>
          <cell r="BE15">
            <v>0.375</v>
          </cell>
          <cell r="BI15" t="str">
            <v>Bear / 
Bear CF</v>
          </cell>
          <cell r="BJ15" t="str">
            <v>Long</v>
          </cell>
          <cell r="BK15">
            <v>5.0000000000000001E-4</v>
          </cell>
          <cell r="BL15">
            <v>2.0000000000000001E-4</v>
          </cell>
          <cell r="BN15" t="str">
            <v>Bear | 
Bear CF</v>
          </cell>
          <cell r="BO15" t="str">
            <v>Call</v>
          </cell>
          <cell r="BP15" t="str">
            <v/>
          </cell>
        </row>
        <row r="16">
          <cell r="B16" t="str">
            <v>S2E</v>
          </cell>
          <cell r="C16" t="str">
            <v>No. of Targets</v>
          </cell>
          <cell r="D16" t="str">
            <v>4 &amp; APS</v>
          </cell>
          <cell r="F16" t="str">
            <v>Short</v>
          </cell>
          <cell r="G16" t="str">
            <v>FUT : PRV : 2DLL</v>
          </cell>
          <cell r="H16" t="str">
            <v xml:space="preserve"> - </v>
          </cell>
          <cell r="I16">
            <v>2.0000000000000001E-4</v>
          </cell>
          <cell r="J16">
            <v>5</v>
          </cell>
          <cell r="L16" t="str">
            <v xml:space="preserve">S : Entry </v>
          </cell>
          <cell r="M16" t="str">
            <v xml:space="preserve"> - </v>
          </cell>
          <cell r="N16">
            <v>4.0000000000000001E-3</v>
          </cell>
          <cell r="O16">
            <v>1</v>
          </cell>
          <cell r="P16">
            <v>6.0000000000000001E-3</v>
          </cell>
          <cell r="Q16">
            <v>1</v>
          </cell>
          <cell r="R16">
            <v>8.0000000000000002E-3</v>
          </cell>
          <cell r="S16">
            <v>1</v>
          </cell>
          <cell r="T16">
            <v>0.01</v>
          </cell>
          <cell r="U16">
            <v>1</v>
          </cell>
          <cell r="V16" t="str">
            <v>TR PROFIT AFTER TGT 4</v>
          </cell>
          <cell r="W16">
            <v>1</v>
          </cell>
          <cell r="X16" t="str">
            <v>N.A.</v>
          </cell>
          <cell r="Y16" t="str">
            <v>N.A.</v>
          </cell>
          <cell r="AA16" t="str">
            <v>Min</v>
          </cell>
          <cell r="AB16" t="str">
            <v>MSL &amp; TSL</v>
          </cell>
          <cell r="AC16" t="str">
            <v>Entry &amp; TRP</v>
          </cell>
          <cell r="AE16" t="str">
            <v>S : Entry</v>
          </cell>
          <cell r="AF16" t="str">
            <v xml:space="preserve"> + </v>
          </cell>
          <cell r="AG16">
            <v>4.0000000000000001E-3</v>
          </cell>
          <cell r="AH16">
            <v>0</v>
          </cell>
          <cell r="AJ16" t="str">
            <v xml:space="preserve"> + </v>
          </cell>
          <cell r="AK16" t="str">
            <v>FUT : PRV : 4DHH</v>
          </cell>
          <cell r="AL16">
            <v>5.0000000000000001E-4</v>
          </cell>
          <cell r="AM16">
            <v>5</v>
          </cell>
          <cell r="AN16" t="str">
            <v>FUT : PRV : 4DHH</v>
          </cell>
          <cell r="AO16">
            <v>5.0000000000000001E-4</v>
          </cell>
          <cell r="AP16">
            <v>4</v>
          </cell>
          <cell r="AQ16" t="str">
            <v>FUT : PRV : 4DHH</v>
          </cell>
          <cell r="AR16">
            <v>5.0000000000000001E-4</v>
          </cell>
          <cell r="AS16">
            <v>3</v>
          </cell>
          <cell r="AT16" t="str">
            <v>FUT : PRV : 4DHH</v>
          </cell>
          <cell r="AU16">
            <v>5.0000000000000001E-4</v>
          </cell>
          <cell r="AV16">
            <v>2</v>
          </cell>
          <cell r="AW16" t="str">
            <v>FUT : PRV : 4DHH</v>
          </cell>
          <cell r="AX16">
            <v>5.0000000000000001E-4</v>
          </cell>
          <cell r="AY16">
            <v>1</v>
          </cell>
          <cell r="AZ16">
            <v>0</v>
          </cell>
          <cell r="BA16">
            <v>0</v>
          </cell>
          <cell r="BB16">
            <v>0</v>
          </cell>
          <cell r="BD16" t="str">
            <v>Market End Time</v>
          </cell>
          <cell r="BE16">
            <v>0.70833333333333337</v>
          </cell>
          <cell r="BJ16" t="str">
            <v>Short</v>
          </cell>
          <cell r="BK16">
            <v>2.0000000000000001E-4</v>
          </cell>
          <cell r="BL16">
            <v>5.0000000000000001E-4</v>
          </cell>
          <cell r="BO16" t="str">
            <v>Put</v>
          </cell>
          <cell r="BP16" t="str">
            <v/>
          </cell>
        </row>
        <row r="18">
          <cell r="B18" t="str">
            <v>S3A</v>
          </cell>
          <cell r="C18" t="str">
            <v>Strategy Code</v>
          </cell>
          <cell r="D18" t="str">
            <v>S3</v>
          </cell>
          <cell r="E18" t="str">
            <v>Bull / 
Bull CF</v>
          </cell>
          <cell r="F18" t="str">
            <v>Long</v>
          </cell>
          <cell r="G18" t="str">
            <v>FUT : PRV : 1DHH</v>
          </cell>
          <cell r="H18" t="str">
            <v xml:space="preserve"> + </v>
          </cell>
          <cell r="I18">
            <v>0</v>
          </cell>
          <cell r="J18">
            <v>5</v>
          </cell>
          <cell r="L18" t="str">
            <v xml:space="preserve">L : Entry </v>
          </cell>
          <cell r="M18" t="str">
            <v xml:space="preserve"> + </v>
          </cell>
          <cell r="N18">
            <v>1.4999999999999999E-2</v>
          </cell>
          <cell r="O18">
            <v>1</v>
          </cell>
          <cell r="P18">
            <v>0.02</v>
          </cell>
          <cell r="Q18">
            <v>1</v>
          </cell>
          <cell r="R18">
            <v>2.5000000000000001E-2</v>
          </cell>
          <cell r="S18">
            <v>1</v>
          </cell>
          <cell r="T18">
            <v>0.03</v>
          </cell>
          <cell r="U18">
            <v>1</v>
          </cell>
          <cell r="V18" t="str">
            <v>TR PROFIT AFTER TGT 4</v>
          </cell>
          <cell r="W18">
            <v>1</v>
          </cell>
          <cell r="X18" t="str">
            <v>N.A.</v>
          </cell>
          <cell r="Y18" t="str">
            <v>N.A.</v>
          </cell>
          <cell r="AA18" t="str">
            <v>Max</v>
          </cell>
          <cell r="AB18" t="str">
            <v>MSL &amp; TSL</v>
          </cell>
          <cell r="AC18" t="str">
            <v>Entry &amp; TRP</v>
          </cell>
          <cell r="AE18" t="str">
            <v>L : Entry</v>
          </cell>
          <cell r="AF18" t="str">
            <v xml:space="preserve"> - </v>
          </cell>
          <cell r="AG18">
            <v>1.4999999999999999E-2</v>
          </cell>
          <cell r="AH18">
            <v>0</v>
          </cell>
          <cell r="AJ18" t="str">
            <v xml:space="preserve"> - </v>
          </cell>
          <cell r="AK18" t="str">
            <v>FUT : PRV : 2DLL</v>
          </cell>
          <cell r="AL18">
            <v>1.5E-3</v>
          </cell>
          <cell r="AM18">
            <v>5</v>
          </cell>
          <cell r="AN18" t="str">
            <v>FUT : PRV : 2DLL</v>
          </cell>
          <cell r="AO18">
            <v>1.5E-3</v>
          </cell>
          <cell r="AP18">
            <v>4</v>
          </cell>
          <cell r="AQ18" t="str">
            <v>FUT : PRV : 2DLL</v>
          </cell>
          <cell r="AR18">
            <v>1.5E-3</v>
          </cell>
          <cell r="AS18">
            <v>3</v>
          </cell>
          <cell r="AT18" t="str">
            <v>FUT : PRV : 2DLL</v>
          </cell>
          <cell r="AU18">
            <v>1.5E-3</v>
          </cell>
          <cell r="AV18">
            <v>2</v>
          </cell>
          <cell r="AW18" t="str">
            <v>FUT : PRV : 2DLL</v>
          </cell>
          <cell r="AX18">
            <v>1.5E-3</v>
          </cell>
          <cell r="AY18">
            <v>1</v>
          </cell>
          <cell r="AZ18">
            <v>0</v>
          </cell>
          <cell r="BA18">
            <v>0</v>
          </cell>
          <cell r="BB18">
            <v>0</v>
          </cell>
          <cell r="BD18" t="str">
            <v xml:space="preserve">ORPT </v>
          </cell>
          <cell r="BE18">
            <v>0.38888194444444446</v>
          </cell>
          <cell r="BF18">
            <v>0.38888194444444446</v>
          </cell>
          <cell r="BG18">
            <v>0.38541666666666669</v>
          </cell>
          <cell r="BI18" t="str">
            <v>Bull / 
Bull CF</v>
          </cell>
          <cell r="BJ18" t="str">
            <v>Long</v>
          </cell>
          <cell r="BK18">
            <v>1.5E-3</v>
          </cell>
          <cell r="BL18">
            <v>1.5E-3</v>
          </cell>
          <cell r="BN18" t="str">
            <v>Bull | 
Bull CF</v>
          </cell>
          <cell r="BO18" t="str">
            <v>Call</v>
          </cell>
          <cell r="BP18" t="str">
            <v/>
          </cell>
          <cell r="CU18">
            <v>0.625</v>
          </cell>
        </row>
        <row r="19">
          <cell r="B19" t="str">
            <v>S3B</v>
          </cell>
          <cell r="C19" t="str">
            <v>Unique Code</v>
          </cell>
          <cell r="D19" t="str">
            <v>BANKNIFTY_FUT_MT_DIFF_1D_2D</v>
          </cell>
          <cell r="F19" t="str">
            <v>Short</v>
          </cell>
          <cell r="G19" t="str">
            <v>FUT : PRV : 2DLL</v>
          </cell>
          <cell r="H19" t="str">
            <v xml:space="preserve"> - </v>
          </cell>
          <cell r="I19">
            <v>1.5E-3</v>
          </cell>
          <cell r="J19">
            <v>5</v>
          </cell>
          <cell r="L19" t="str">
            <v xml:space="preserve">S : Entry </v>
          </cell>
          <cell r="M19" t="str">
            <v xml:space="preserve"> - </v>
          </cell>
          <cell r="N19">
            <v>1.4999999999999999E-2</v>
          </cell>
          <cell r="O19">
            <v>1</v>
          </cell>
          <cell r="P19">
            <v>0.02</v>
          </cell>
          <cell r="Q19">
            <v>1</v>
          </cell>
          <cell r="R19">
            <v>2.5000000000000001E-2</v>
          </cell>
          <cell r="S19">
            <v>1</v>
          </cell>
          <cell r="T19">
            <v>0.03</v>
          </cell>
          <cell r="U19">
            <v>1</v>
          </cell>
          <cell r="V19" t="str">
            <v>TR PROFIT AFTER TGT 4</v>
          </cell>
          <cell r="W19">
            <v>1</v>
          </cell>
          <cell r="X19" t="str">
            <v>N.A.</v>
          </cell>
          <cell r="Y19" t="str">
            <v>N.A.</v>
          </cell>
          <cell r="AA19" t="str">
            <v>Min</v>
          </cell>
          <cell r="AB19" t="str">
            <v>MSL &amp; TSL</v>
          </cell>
          <cell r="AC19" t="str">
            <v>Entry &amp; TRP</v>
          </cell>
          <cell r="AE19" t="str">
            <v>S : Entry</v>
          </cell>
          <cell r="AF19" t="str">
            <v xml:space="preserve"> + </v>
          </cell>
          <cell r="AG19">
            <v>1.4999999999999999E-2</v>
          </cell>
          <cell r="AH19">
            <v>0</v>
          </cell>
          <cell r="AJ19" t="str">
            <v xml:space="preserve"> + </v>
          </cell>
          <cell r="AK19" t="str">
            <v>FUT : PRV : 1DHH</v>
          </cell>
          <cell r="AL19">
            <v>0</v>
          </cell>
          <cell r="AM19">
            <v>5</v>
          </cell>
          <cell r="AN19" t="str">
            <v>FUT : PRV : 1DHH</v>
          </cell>
          <cell r="AO19">
            <v>0</v>
          </cell>
          <cell r="AP19">
            <v>4</v>
          </cell>
          <cell r="AQ19" t="str">
            <v>FUT : PRV : 1DHH</v>
          </cell>
          <cell r="AR19">
            <v>0</v>
          </cell>
          <cell r="AS19">
            <v>3</v>
          </cell>
          <cell r="AT19" t="str">
            <v>FUT : PRV : 1DHH</v>
          </cell>
          <cell r="AU19">
            <v>0</v>
          </cell>
          <cell r="AV19">
            <v>2</v>
          </cell>
          <cell r="AW19" t="str">
            <v>FUT : PRV : 1DHH</v>
          </cell>
          <cell r="AX19">
            <v>0</v>
          </cell>
          <cell r="AY19">
            <v>1</v>
          </cell>
          <cell r="AZ19">
            <v>0</v>
          </cell>
          <cell r="BA19">
            <v>0</v>
          </cell>
          <cell r="BB19">
            <v>0</v>
          </cell>
          <cell r="BD19" t="str">
            <v xml:space="preserve"> RC. Time</v>
          </cell>
          <cell r="BE19">
            <v>0.39582638888888888</v>
          </cell>
          <cell r="BF19">
            <v>0.39582638888888888</v>
          </cell>
          <cell r="BG19" t="str">
            <v>N.A.</v>
          </cell>
          <cell r="BJ19" t="str">
            <v>Short</v>
          </cell>
          <cell r="BK19">
            <v>1.5E-3</v>
          </cell>
          <cell r="BL19">
            <v>1.5E-3</v>
          </cell>
          <cell r="BO19" t="str">
            <v>Put</v>
          </cell>
          <cell r="BP19" t="str">
            <v/>
          </cell>
        </row>
        <row r="20">
          <cell r="B20" t="str">
            <v>S3C</v>
          </cell>
          <cell r="C20" t="str">
            <v>Segment</v>
          </cell>
          <cell r="D20" t="str">
            <v>FUTURES</v>
          </cell>
          <cell r="E20" t="str">
            <v>Contract</v>
          </cell>
          <cell r="F20" t="str">
            <v>MONTHLY</v>
          </cell>
        </row>
        <row r="21">
          <cell r="B21" t="str">
            <v>S3D</v>
          </cell>
          <cell r="C21" t="str">
            <v>Symbol</v>
          </cell>
          <cell r="D21" t="str">
            <v>BANKNIFTY</v>
          </cell>
          <cell r="E21" t="str">
            <v>Bear / 
Bear CF</v>
          </cell>
          <cell r="F21" t="str">
            <v>Long</v>
          </cell>
          <cell r="G21" t="str">
            <v>FUT : PRV : 2DHH</v>
          </cell>
          <cell r="H21" t="str">
            <v xml:space="preserve"> + </v>
          </cell>
          <cell r="I21">
            <v>1.5E-3</v>
          </cell>
          <cell r="J21">
            <v>5</v>
          </cell>
          <cell r="L21" t="str">
            <v xml:space="preserve">L : Entry </v>
          </cell>
          <cell r="M21" t="str">
            <v xml:space="preserve"> + </v>
          </cell>
          <cell r="N21">
            <v>1.4999999999999999E-2</v>
          </cell>
          <cell r="O21">
            <v>1</v>
          </cell>
          <cell r="P21">
            <v>0.02</v>
          </cell>
          <cell r="Q21">
            <v>1</v>
          </cell>
          <cell r="R21">
            <v>2.5000000000000001E-2</v>
          </cell>
          <cell r="S21">
            <v>1</v>
          </cell>
          <cell r="T21">
            <v>0.03</v>
          </cell>
          <cell r="U21">
            <v>1</v>
          </cell>
          <cell r="V21" t="str">
            <v>TR PROFIT AFTER TGT 4</v>
          </cell>
          <cell r="W21">
            <v>1</v>
          </cell>
          <cell r="X21" t="str">
            <v>N.A.</v>
          </cell>
          <cell r="Y21" t="str">
            <v>N.A.</v>
          </cell>
          <cell r="AA21" t="str">
            <v>Max</v>
          </cell>
          <cell r="AB21" t="str">
            <v>MSL &amp; TSL</v>
          </cell>
          <cell r="AC21" t="str">
            <v>Entry &amp; TRP</v>
          </cell>
          <cell r="AE21" t="str">
            <v>L : Entry</v>
          </cell>
          <cell r="AF21" t="str">
            <v xml:space="preserve"> - </v>
          </cell>
          <cell r="AG21">
            <v>1.4999999999999999E-2</v>
          </cell>
          <cell r="AH21">
            <v>0</v>
          </cell>
          <cell r="AJ21" t="str">
            <v xml:space="preserve"> - </v>
          </cell>
          <cell r="AK21" t="str">
            <v>FUT : PRV : 1DLL</v>
          </cell>
          <cell r="AL21">
            <v>0</v>
          </cell>
          <cell r="AM21">
            <v>5</v>
          </cell>
          <cell r="AN21" t="str">
            <v>FUT : PRV : 1DLL</v>
          </cell>
          <cell r="AO21">
            <v>0</v>
          </cell>
          <cell r="AP21">
            <v>4</v>
          </cell>
          <cell r="AQ21" t="str">
            <v>FUT : PRV : 1DLL</v>
          </cell>
          <cell r="AR21">
            <v>0</v>
          </cell>
          <cell r="AS21">
            <v>3</v>
          </cell>
          <cell r="AT21" t="str">
            <v>FUT : PRV : 1DLL</v>
          </cell>
          <cell r="AU21">
            <v>0</v>
          </cell>
          <cell r="AV21">
            <v>2</v>
          </cell>
          <cell r="AW21" t="str">
            <v>FUT : PRV : 1DLL</v>
          </cell>
          <cell r="AX21">
            <v>0</v>
          </cell>
          <cell r="AY21">
            <v>1</v>
          </cell>
          <cell r="AZ21">
            <v>0</v>
          </cell>
          <cell r="BA21">
            <v>0</v>
          </cell>
          <cell r="BB21">
            <v>0</v>
          </cell>
          <cell r="BD21" t="str">
            <v>Market Start Time</v>
          </cell>
          <cell r="BE21">
            <v>0.38541666666666669</v>
          </cell>
          <cell r="BI21" t="str">
            <v>Bear / 
Bear CF</v>
          </cell>
          <cell r="BJ21" t="str">
            <v>Long</v>
          </cell>
          <cell r="BK21">
            <v>1.5E-3</v>
          </cell>
          <cell r="BL21">
            <v>1.5E-3</v>
          </cell>
          <cell r="BN21" t="str">
            <v>Bear | 
Bear CF</v>
          </cell>
          <cell r="BO21" t="str">
            <v>Call</v>
          </cell>
          <cell r="BP21" t="str">
            <v/>
          </cell>
        </row>
        <row r="22">
          <cell r="B22" t="str">
            <v>S3E</v>
          </cell>
          <cell r="C22" t="str">
            <v>No. of Targets</v>
          </cell>
          <cell r="D22" t="str">
            <v>4 &amp; APS</v>
          </cell>
          <cell r="F22" t="str">
            <v>Short</v>
          </cell>
          <cell r="G22" t="str">
            <v>FUT : PRV : 1DLL</v>
          </cell>
          <cell r="H22" t="str">
            <v xml:space="preserve"> - </v>
          </cell>
          <cell r="I22">
            <v>0</v>
          </cell>
          <cell r="J22">
            <v>5</v>
          </cell>
          <cell r="L22" t="str">
            <v xml:space="preserve">S : Entry </v>
          </cell>
          <cell r="M22" t="str">
            <v xml:space="preserve"> - </v>
          </cell>
          <cell r="N22">
            <v>1.4999999999999999E-2</v>
          </cell>
          <cell r="O22">
            <v>1</v>
          </cell>
          <cell r="P22">
            <v>0.02</v>
          </cell>
          <cell r="Q22">
            <v>1</v>
          </cell>
          <cell r="R22">
            <v>2.5000000000000001E-2</v>
          </cell>
          <cell r="S22">
            <v>1</v>
          </cell>
          <cell r="T22">
            <v>0.03</v>
          </cell>
          <cell r="U22">
            <v>1</v>
          </cell>
          <cell r="V22" t="str">
            <v>TR PROFIT AFTER TGT 4</v>
          </cell>
          <cell r="W22">
            <v>1</v>
          </cell>
          <cell r="X22" t="str">
            <v>N.A.</v>
          </cell>
          <cell r="Y22" t="str">
            <v>N.A.</v>
          </cell>
          <cell r="AA22" t="str">
            <v>Min</v>
          </cell>
          <cell r="AB22" t="str">
            <v>MSL &amp; TSL</v>
          </cell>
          <cell r="AC22" t="str">
            <v>Entry &amp; TRP</v>
          </cell>
          <cell r="AE22" t="str">
            <v>S : Entry</v>
          </cell>
          <cell r="AF22" t="str">
            <v xml:space="preserve"> + </v>
          </cell>
          <cell r="AG22">
            <v>1.4999999999999999E-2</v>
          </cell>
          <cell r="AH22">
            <v>0</v>
          </cell>
          <cell r="AJ22" t="str">
            <v xml:space="preserve"> + </v>
          </cell>
          <cell r="AK22" t="str">
            <v>FUT : PRV : 2DHH</v>
          </cell>
          <cell r="AL22">
            <v>1.5E-3</v>
          </cell>
          <cell r="AM22">
            <v>5</v>
          </cell>
          <cell r="AN22" t="str">
            <v>FUT : PRV : 2DHH</v>
          </cell>
          <cell r="AO22">
            <v>1.5E-3</v>
          </cell>
          <cell r="AP22">
            <v>4</v>
          </cell>
          <cell r="AQ22" t="str">
            <v>FUT : PRV : 2DHH</v>
          </cell>
          <cell r="AR22">
            <v>1.5E-3</v>
          </cell>
          <cell r="AS22">
            <v>3</v>
          </cell>
          <cell r="AT22" t="str">
            <v>FUT : PRV : 2DHH</v>
          </cell>
          <cell r="AU22">
            <v>1.5E-3</v>
          </cell>
          <cell r="AV22">
            <v>2</v>
          </cell>
          <cell r="AW22" t="str">
            <v>FUT : PRV : 2DHH</v>
          </cell>
          <cell r="AX22">
            <v>1.5E-3</v>
          </cell>
          <cell r="AY22">
            <v>1</v>
          </cell>
          <cell r="AZ22">
            <v>0</v>
          </cell>
          <cell r="BA22">
            <v>0</v>
          </cell>
          <cell r="BB22">
            <v>0</v>
          </cell>
          <cell r="BD22" t="str">
            <v>Market End Time</v>
          </cell>
          <cell r="BE22">
            <v>0.64583333333333337</v>
          </cell>
          <cell r="BJ22" t="str">
            <v>Short</v>
          </cell>
          <cell r="BK22">
            <v>1.5E-3</v>
          </cell>
          <cell r="BL22">
            <v>1.5E-3</v>
          </cell>
          <cell r="BO22" t="str">
            <v>Put</v>
          </cell>
          <cell r="BP22" t="str">
            <v/>
          </cell>
        </row>
        <row r="24">
          <cell r="B24" t="str">
            <v>S4A</v>
          </cell>
          <cell r="C24" t="str">
            <v>Strategy Code</v>
          </cell>
          <cell r="D24" t="str">
            <v>S4</v>
          </cell>
          <cell r="E24" t="str">
            <v>Bull / 
Bull CF</v>
          </cell>
          <cell r="F24" t="str">
            <v>Long</v>
          </cell>
          <cell r="G24" t="str">
            <v>FUT : PRV : 2DHH</v>
          </cell>
          <cell r="H24" t="str">
            <v xml:space="preserve"> + </v>
          </cell>
          <cell r="I24">
            <v>1.5E-3</v>
          </cell>
          <cell r="J24">
            <v>5</v>
          </cell>
          <cell r="L24" t="str">
            <v xml:space="preserve">L : Entry </v>
          </cell>
          <cell r="M24" t="str">
            <v xml:space="preserve"> + </v>
          </cell>
          <cell r="N24">
            <v>1.4999999999999999E-2</v>
          </cell>
          <cell r="O24">
            <v>1</v>
          </cell>
          <cell r="P24">
            <v>0.02</v>
          </cell>
          <cell r="Q24">
            <v>1</v>
          </cell>
          <cell r="R24">
            <v>2.5000000000000001E-2</v>
          </cell>
          <cell r="S24">
            <v>1</v>
          </cell>
          <cell r="T24">
            <v>0.03</v>
          </cell>
          <cell r="U24">
            <v>1</v>
          </cell>
          <cell r="V24" t="str">
            <v>TR PROFIT AFTER TGT 4</v>
          </cell>
          <cell r="W24">
            <v>1</v>
          </cell>
          <cell r="X24" t="str">
            <v>N.A.</v>
          </cell>
          <cell r="Y24" t="str">
            <v>N.A.</v>
          </cell>
          <cell r="AA24" t="str">
            <v>Max</v>
          </cell>
          <cell r="AB24" t="str">
            <v>MSL &amp; TSL</v>
          </cell>
          <cell r="AC24" t="str">
            <v>Entry &amp; TRP</v>
          </cell>
          <cell r="AE24" t="str">
            <v>L : Entry</v>
          </cell>
          <cell r="AF24" t="str">
            <v xml:space="preserve"> - </v>
          </cell>
          <cell r="AG24">
            <v>1.4999999999999999E-2</v>
          </cell>
          <cell r="AH24">
            <v>0</v>
          </cell>
          <cell r="AJ24" t="str">
            <v xml:space="preserve"> - </v>
          </cell>
          <cell r="AK24" t="str">
            <v>FUT : PRV : 2DLL</v>
          </cell>
          <cell r="AL24">
            <v>1.5E-3</v>
          </cell>
          <cell r="AM24">
            <v>5</v>
          </cell>
          <cell r="AN24" t="str">
            <v>FUT : PRV : 2DLL</v>
          </cell>
          <cell r="AO24">
            <v>1.5E-3</v>
          </cell>
          <cell r="AP24">
            <v>4</v>
          </cell>
          <cell r="AQ24" t="str">
            <v>FUT : PRV : 2DLL</v>
          </cell>
          <cell r="AR24">
            <v>1.5E-3</v>
          </cell>
          <cell r="AS24">
            <v>3</v>
          </cell>
          <cell r="AT24" t="str">
            <v>FUT : PRV : 2DLL</v>
          </cell>
          <cell r="AU24">
            <v>1.5E-3</v>
          </cell>
          <cell r="AV24">
            <v>2</v>
          </cell>
          <cell r="AW24" t="str">
            <v>FUT : PRV : 2DLL</v>
          </cell>
          <cell r="AX24">
            <v>1.5E-3</v>
          </cell>
          <cell r="AY24">
            <v>1</v>
          </cell>
          <cell r="AZ24">
            <v>0</v>
          </cell>
          <cell r="BA24">
            <v>0</v>
          </cell>
          <cell r="BB24">
            <v>0</v>
          </cell>
          <cell r="BD24" t="str">
            <v xml:space="preserve">ORPT </v>
          </cell>
          <cell r="BE24">
            <v>0.38888194444444446</v>
          </cell>
          <cell r="BF24">
            <v>0.38888194444444446</v>
          </cell>
          <cell r="BG24">
            <v>0.38541666666666669</v>
          </cell>
          <cell r="BI24" t="str">
            <v>Bull / 
Bull CF</v>
          </cell>
          <cell r="BJ24" t="str">
            <v>Long</v>
          </cell>
          <cell r="BK24">
            <v>1.5E-3</v>
          </cell>
          <cell r="BL24">
            <v>1.5E-3</v>
          </cell>
          <cell r="BN24" t="str">
            <v>Bull | 
Bull CF</v>
          </cell>
          <cell r="BO24" t="str">
            <v>Call</v>
          </cell>
          <cell r="BP24" t="str">
            <v/>
          </cell>
          <cell r="CU24">
            <v>0.625</v>
          </cell>
        </row>
        <row r="25">
          <cell r="B25" t="str">
            <v>S4B</v>
          </cell>
          <cell r="C25" t="str">
            <v>Unique Code</v>
          </cell>
          <cell r="D25" t="str">
            <v>BANKNIFTY_FUT_MT_SAME_2D_2D</v>
          </cell>
          <cell r="F25" t="str">
            <v>Short</v>
          </cell>
          <cell r="G25" t="str">
            <v>FUT : PRV : 2DLL</v>
          </cell>
          <cell r="H25" t="str">
            <v xml:space="preserve"> - </v>
          </cell>
          <cell r="I25">
            <v>1.5E-3</v>
          </cell>
          <cell r="J25">
            <v>5</v>
          </cell>
          <cell r="L25" t="str">
            <v xml:space="preserve">S : Entry </v>
          </cell>
          <cell r="M25" t="str">
            <v xml:space="preserve"> - </v>
          </cell>
          <cell r="N25">
            <v>1.4999999999999999E-2</v>
          </cell>
          <cell r="O25">
            <v>1</v>
          </cell>
          <cell r="P25">
            <v>0.02</v>
          </cell>
          <cell r="Q25">
            <v>1</v>
          </cell>
          <cell r="R25">
            <v>2.5000000000000001E-2</v>
          </cell>
          <cell r="S25">
            <v>1</v>
          </cell>
          <cell r="T25">
            <v>0.03</v>
          </cell>
          <cell r="U25">
            <v>1</v>
          </cell>
          <cell r="V25" t="str">
            <v>TR PROFIT AFTER TGT 4</v>
          </cell>
          <cell r="W25">
            <v>1</v>
          </cell>
          <cell r="X25" t="str">
            <v>N.A.</v>
          </cell>
          <cell r="Y25" t="str">
            <v>N.A.</v>
          </cell>
          <cell r="AA25" t="str">
            <v>Min</v>
          </cell>
          <cell r="AB25" t="str">
            <v>MSL &amp; TSL</v>
          </cell>
          <cell r="AC25" t="str">
            <v>Entry &amp; TRP</v>
          </cell>
          <cell r="AE25" t="str">
            <v>S : Entry</v>
          </cell>
          <cell r="AF25" t="str">
            <v xml:space="preserve"> + </v>
          </cell>
          <cell r="AG25">
            <v>1.4999999999999999E-2</v>
          </cell>
          <cell r="AH25">
            <v>0</v>
          </cell>
          <cell r="AJ25" t="str">
            <v xml:space="preserve"> + </v>
          </cell>
          <cell r="AK25" t="str">
            <v>FUT : PRV : 2DHH</v>
          </cell>
          <cell r="AL25">
            <v>1.5E-3</v>
          </cell>
          <cell r="AM25">
            <v>5</v>
          </cell>
          <cell r="AN25" t="str">
            <v>FUT : PRV : 2DHH</v>
          </cell>
          <cell r="AO25">
            <v>1.5E-3</v>
          </cell>
          <cell r="AP25">
            <v>4</v>
          </cell>
          <cell r="AQ25" t="str">
            <v>FUT : PRV : 2DHH</v>
          </cell>
          <cell r="AR25">
            <v>1.5E-3</v>
          </cell>
          <cell r="AS25">
            <v>3</v>
          </cell>
          <cell r="AT25" t="str">
            <v>FUT : PRV : 2DHH</v>
          </cell>
          <cell r="AU25">
            <v>1.5E-3</v>
          </cell>
          <cell r="AV25">
            <v>2</v>
          </cell>
          <cell r="AW25" t="str">
            <v>FUT : PRV : 2DHH</v>
          </cell>
          <cell r="AX25">
            <v>1.5E-3</v>
          </cell>
          <cell r="AY25">
            <v>1</v>
          </cell>
          <cell r="AZ25">
            <v>0</v>
          </cell>
          <cell r="BA25">
            <v>0</v>
          </cell>
          <cell r="BB25">
            <v>0</v>
          </cell>
          <cell r="BD25" t="str">
            <v xml:space="preserve"> RC. Time</v>
          </cell>
          <cell r="BE25">
            <v>0.39582638888888888</v>
          </cell>
          <cell r="BF25">
            <v>0.39582638888888888</v>
          </cell>
          <cell r="BG25" t="str">
            <v>N.A.</v>
          </cell>
          <cell r="BJ25" t="str">
            <v>Short</v>
          </cell>
          <cell r="BK25">
            <v>1.5E-3</v>
          </cell>
          <cell r="BL25">
            <v>1.5E-3</v>
          </cell>
          <cell r="BO25" t="str">
            <v>Put</v>
          </cell>
          <cell r="BP25" t="str">
            <v/>
          </cell>
        </row>
        <row r="26">
          <cell r="B26" t="str">
            <v>S4C</v>
          </cell>
          <cell r="C26" t="str">
            <v>Segment</v>
          </cell>
          <cell r="D26" t="str">
            <v>FUTURES</v>
          </cell>
          <cell r="E26" t="str">
            <v>Contract</v>
          </cell>
          <cell r="F26" t="str">
            <v>MONTHLY</v>
          </cell>
        </row>
        <row r="27">
          <cell r="B27" t="str">
            <v>S4D</v>
          </cell>
          <cell r="C27" t="str">
            <v>Symbol</v>
          </cell>
          <cell r="D27" t="str">
            <v>BANKNIFTY</v>
          </cell>
          <cell r="E27" t="str">
            <v>Bear / 
Bear CF</v>
          </cell>
          <cell r="F27" t="str">
            <v>Long</v>
          </cell>
          <cell r="G27" t="str">
            <v>FUT : PRV : 2DHH</v>
          </cell>
          <cell r="H27" t="str">
            <v xml:space="preserve"> + </v>
          </cell>
          <cell r="I27">
            <v>1.5E-3</v>
          </cell>
          <cell r="J27">
            <v>5</v>
          </cell>
          <cell r="L27" t="str">
            <v xml:space="preserve">L : Entry </v>
          </cell>
          <cell r="M27" t="str">
            <v xml:space="preserve"> + </v>
          </cell>
          <cell r="N27">
            <v>1.4999999999999999E-2</v>
          </cell>
          <cell r="O27">
            <v>1</v>
          </cell>
          <cell r="P27">
            <v>0.02</v>
          </cell>
          <cell r="Q27">
            <v>1</v>
          </cell>
          <cell r="R27">
            <v>2.5000000000000001E-2</v>
          </cell>
          <cell r="S27">
            <v>1</v>
          </cell>
          <cell r="T27">
            <v>0.03</v>
          </cell>
          <cell r="U27">
            <v>1</v>
          </cell>
          <cell r="V27" t="str">
            <v>TR PROFIT AFTER TGT 4</v>
          </cell>
          <cell r="W27">
            <v>1</v>
          </cell>
          <cell r="X27" t="str">
            <v>N.A.</v>
          </cell>
          <cell r="Y27" t="str">
            <v>N.A.</v>
          </cell>
          <cell r="AA27" t="str">
            <v>Max</v>
          </cell>
          <cell r="AB27" t="str">
            <v>MSL &amp; TSL</v>
          </cell>
          <cell r="AC27" t="str">
            <v>Entry &amp; TRP</v>
          </cell>
          <cell r="AE27" t="str">
            <v>L : Entry</v>
          </cell>
          <cell r="AF27" t="str">
            <v xml:space="preserve"> - </v>
          </cell>
          <cell r="AG27">
            <v>1.4999999999999999E-2</v>
          </cell>
          <cell r="AH27">
            <v>0</v>
          </cell>
          <cell r="AJ27" t="str">
            <v xml:space="preserve"> - </v>
          </cell>
          <cell r="AK27" t="str">
            <v>FUT : PRV : 2DLL</v>
          </cell>
          <cell r="AL27">
            <v>1.5E-3</v>
          </cell>
          <cell r="AM27">
            <v>5</v>
          </cell>
          <cell r="AN27" t="str">
            <v>FUT : PRV : 2DLL</v>
          </cell>
          <cell r="AO27">
            <v>1.5E-3</v>
          </cell>
          <cell r="AP27">
            <v>4</v>
          </cell>
          <cell r="AQ27" t="str">
            <v>FUT : PRV : 2DLL</v>
          </cell>
          <cell r="AR27">
            <v>1.5E-3</v>
          </cell>
          <cell r="AS27">
            <v>3</v>
          </cell>
          <cell r="AT27" t="str">
            <v>FUT : PRV : 2DLL</v>
          </cell>
          <cell r="AU27">
            <v>1.5E-3</v>
          </cell>
          <cell r="AV27">
            <v>2</v>
          </cell>
          <cell r="AW27" t="str">
            <v>FUT : PRV : 2DLL</v>
          </cell>
          <cell r="AX27">
            <v>1.5E-3</v>
          </cell>
          <cell r="AY27">
            <v>1</v>
          </cell>
          <cell r="AZ27">
            <v>0</v>
          </cell>
          <cell r="BA27">
            <v>0</v>
          </cell>
          <cell r="BB27">
            <v>0</v>
          </cell>
          <cell r="BD27" t="str">
            <v>Market Start Time</v>
          </cell>
          <cell r="BE27">
            <v>0.38541666666666669</v>
          </cell>
          <cell r="BI27" t="str">
            <v>Bear / 
Bear CF</v>
          </cell>
          <cell r="BJ27" t="str">
            <v>Long</v>
          </cell>
          <cell r="BK27">
            <v>1.5E-3</v>
          </cell>
          <cell r="BL27">
            <v>1.5E-3</v>
          </cell>
          <cell r="BN27" t="str">
            <v>Bear | 
Bear CF</v>
          </cell>
          <cell r="BO27" t="str">
            <v>Call</v>
          </cell>
          <cell r="BP27" t="str">
            <v/>
          </cell>
        </row>
        <row r="28">
          <cell r="B28" t="str">
            <v>S4E</v>
          </cell>
          <cell r="C28" t="str">
            <v>Contract</v>
          </cell>
          <cell r="D28" t="str">
            <v>4 &amp; APS</v>
          </cell>
          <cell r="F28" t="str">
            <v>Short</v>
          </cell>
          <cell r="G28" t="str">
            <v>FUT : PRV : 2DLL</v>
          </cell>
          <cell r="H28" t="str">
            <v xml:space="preserve"> - </v>
          </cell>
          <cell r="I28">
            <v>1.5E-3</v>
          </cell>
          <cell r="J28">
            <v>5</v>
          </cell>
          <cell r="L28" t="str">
            <v xml:space="preserve">S : Entry </v>
          </cell>
          <cell r="M28" t="str">
            <v xml:space="preserve"> - </v>
          </cell>
          <cell r="N28">
            <v>1.4999999999999999E-2</v>
          </cell>
          <cell r="O28">
            <v>1</v>
          </cell>
          <cell r="P28">
            <v>0.02</v>
          </cell>
          <cell r="Q28">
            <v>1</v>
          </cell>
          <cell r="R28">
            <v>2.5000000000000001E-2</v>
          </cell>
          <cell r="S28">
            <v>1</v>
          </cell>
          <cell r="T28">
            <v>0.03</v>
          </cell>
          <cell r="U28">
            <v>1</v>
          </cell>
          <cell r="V28" t="str">
            <v>TR PROFIT AFTER TGT 4</v>
          </cell>
          <cell r="W28">
            <v>1</v>
          </cell>
          <cell r="X28" t="str">
            <v>N.A.</v>
          </cell>
          <cell r="Y28" t="str">
            <v>N.A.</v>
          </cell>
          <cell r="AA28" t="str">
            <v>Min</v>
          </cell>
          <cell r="AB28" t="str">
            <v>MSL &amp; TSL</v>
          </cell>
          <cell r="AC28" t="str">
            <v>Entry &amp; TRP</v>
          </cell>
          <cell r="AE28" t="str">
            <v>S : Entry</v>
          </cell>
          <cell r="AF28" t="str">
            <v xml:space="preserve"> + </v>
          </cell>
          <cell r="AG28">
            <v>1.4999999999999999E-2</v>
          </cell>
          <cell r="AH28">
            <v>0</v>
          </cell>
          <cell r="AJ28" t="str">
            <v xml:space="preserve"> + </v>
          </cell>
          <cell r="AK28" t="str">
            <v>FUT : PRV : 2DHH</v>
          </cell>
          <cell r="AL28">
            <v>1.5E-3</v>
          </cell>
          <cell r="AM28">
            <v>5</v>
          </cell>
          <cell r="AN28" t="str">
            <v>FUT : PRV : 2DHH</v>
          </cell>
          <cell r="AO28">
            <v>1.5E-3</v>
          </cell>
          <cell r="AP28">
            <v>4</v>
          </cell>
          <cell r="AQ28" t="str">
            <v>FUT : PRV : 2DHH</v>
          </cell>
          <cell r="AR28">
            <v>1.5E-3</v>
          </cell>
          <cell r="AS28">
            <v>3</v>
          </cell>
          <cell r="AT28" t="str">
            <v>FUT : PRV : 2DHH</v>
          </cell>
          <cell r="AU28">
            <v>1.5E-3</v>
          </cell>
          <cell r="AV28">
            <v>2</v>
          </cell>
          <cell r="AW28" t="str">
            <v>FUT : PRV : 2DHH</v>
          </cell>
          <cell r="AX28">
            <v>1.5E-3</v>
          </cell>
          <cell r="AY28">
            <v>1</v>
          </cell>
          <cell r="AZ28">
            <v>0</v>
          </cell>
          <cell r="BA28">
            <v>0</v>
          </cell>
          <cell r="BB28">
            <v>0</v>
          </cell>
          <cell r="BD28" t="str">
            <v>Market End Time</v>
          </cell>
          <cell r="BE28">
            <v>0.64583333333333337</v>
          </cell>
          <cell r="BJ28" t="str">
            <v>Short</v>
          </cell>
          <cell r="BK28">
            <v>1.5E-3</v>
          </cell>
          <cell r="BL28">
            <v>1.5E-3</v>
          </cell>
          <cell r="BO28" t="str">
            <v>Put</v>
          </cell>
          <cell r="BP28" t="str">
            <v/>
          </cell>
        </row>
        <row r="30">
          <cell r="B30" t="str">
            <v>S5A</v>
          </cell>
          <cell r="C30" t="str">
            <v>Strategy Code</v>
          </cell>
          <cell r="D30" t="str">
            <v>S5</v>
          </cell>
          <cell r="E30" t="str">
            <v>Bull / 
Bull CF</v>
          </cell>
          <cell r="F30" t="str">
            <v>Long</v>
          </cell>
          <cell r="G30" t="str">
            <v>FUT : PRV : 2DHH</v>
          </cell>
          <cell r="H30" t="str">
            <v xml:space="preserve"> + </v>
          </cell>
          <cell r="I30">
            <v>0</v>
          </cell>
          <cell r="J30">
            <v>5</v>
          </cell>
          <cell r="L30" t="str">
            <v xml:space="preserve">L : Entry </v>
          </cell>
          <cell r="M30" t="str">
            <v xml:space="preserve"> + </v>
          </cell>
          <cell r="N30">
            <v>0.03</v>
          </cell>
          <cell r="O30">
            <v>1</v>
          </cell>
          <cell r="P30">
            <v>4.4999999999999998E-2</v>
          </cell>
          <cell r="Q30">
            <v>1</v>
          </cell>
          <cell r="R30">
            <v>0.06</v>
          </cell>
          <cell r="S30">
            <v>1</v>
          </cell>
          <cell r="T30">
            <v>0.08</v>
          </cell>
          <cell r="U30">
            <v>1</v>
          </cell>
          <cell r="V30" t="str">
            <v>TR PROFIT AFTER TGT 4</v>
          </cell>
          <cell r="W30">
            <v>1</v>
          </cell>
          <cell r="X30" t="str">
            <v>N.A.</v>
          </cell>
          <cell r="Y30" t="str">
            <v>N.A.</v>
          </cell>
          <cell r="AA30" t="str">
            <v>Max</v>
          </cell>
          <cell r="AB30" t="str">
            <v>MSL &amp; TSL</v>
          </cell>
          <cell r="AC30" t="str">
            <v>Entry &amp; TRP</v>
          </cell>
          <cell r="AE30" t="str">
            <v>L : Entry</v>
          </cell>
          <cell r="AF30" t="str">
            <v xml:space="preserve"> - </v>
          </cell>
          <cell r="AG30">
            <v>0.03</v>
          </cell>
          <cell r="AH30">
            <v>0</v>
          </cell>
          <cell r="AJ30" t="str">
            <v xml:space="preserve"> - </v>
          </cell>
          <cell r="AK30" t="str">
            <v>FUT : PRV : 3DLL</v>
          </cell>
          <cell r="AL30">
            <v>0.01</v>
          </cell>
          <cell r="AM30">
            <v>5</v>
          </cell>
          <cell r="AN30" t="str">
            <v>FUT : PRV : 3DLL</v>
          </cell>
          <cell r="AO30">
            <v>0.01</v>
          </cell>
          <cell r="AP30">
            <v>4</v>
          </cell>
          <cell r="AQ30" t="str">
            <v>FUT : PRV : 3DLL</v>
          </cell>
          <cell r="AR30">
            <v>0.01</v>
          </cell>
          <cell r="AS30">
            <v>3</v>
          </cell>
          <cell r="AT30" t="str">
            <v>FUT : PRV : 3DLL</v>
          </cell>
          <cell r="AU30">
            <v>0.01</v>
          </cell>
          <cell r="AV30">
            <v>2</v>
          </cell>
          <cell r="AW30" t="str">
            <v>FUT : PRV : 3DLL</v>
          </cell>
          <cell r="AX30">
            <v>0.01</v>
          </cell>
          <cell r="AY30">
            <v>1</v>
          </cell>
          <cell r="AZ30">
            <v>0</v>
          </cell>
          <cell r="BA30">
            <v>0</v>
          </cell>
          <cell r="BB30">
            <v>0</v>
          </cell>
          <cell r="BD30" t="str">
            <v xml:space="preserve">ORPT </v>
          </cell>
          <cell r="BE30">
            <v>0.38888194444444446</v>
          </cell>
          <cell r="BF30">
            <v>0.38888194444444446</v>
          </cell>
          <cell r="BG30">
            <v>0.38541666666666669</v>
          </cell>
          <cell r="BI30" t="str">
            <v>Bull / 
Bull CF</v>
          </cell>
          <cell r="BJ30" t="str">
            <v>Long</v>
          </cell>
          <cell r="BK30">
            <v>0.01</v>
          </cell>
          <cell r="BL30">
            <v>0.01</v>
          </cell>
          <cell r="BN30" t="str">
            <v>Bull | 
Bull CF</v>
          </cell>
          <cell r="BO30" t="str">
            <v>Call</v>
          </cell>
          <cell r="BP30" t="str">
            <v/>
          </cell>
          <cell r="CU30">
            <v>0.625</v>
          </cell>
        </row>
        <row r="31">
          <cell r="B31" t="str">
            <v>S5B</v>
          </cell>
          <cell r="C31" t="str">
            <v>Unique Code</v>
          </cell>
          <cell r="D31" t="str">
            <v>STOCKS_FUT_MT_DIFF_2D_3D</v>
          </cell>
          <cell r="F31" t="str">
            <v>Short</v>
          </cell>
          <cell r="G31" t="str">
            <v>FUT : PRV : 3DLL</v>
          </cell>
          <cell r="H31" t="str">
            <v xml:space="preserve"> - </v>
          </cell>
          <cell r="I31">
            <v>0.01</v>
          </cell>
          <cell r="J31">
            <v>5</v>
          </cell>
          <cell r="L31" t="str">
            <v xml:space="preserve">S : Entry </v>
          </cell>
          <cell r="M31" t="str">
            <v xml:space="preserve"> - </v>
          </cell>
          <cell r="N31">
            <v>0.03</v>
          </cell>
          <cell r="O31">
            <v>1</v>
          </cell>
          <cell r="P31">
            <v>4.4999999999999998E-2</v>
          </cell>
          <cell r="Q31">
            <v>1</v>
          </cell>
          <cell r="R31">
            <v>0.06</v>
          </cell>
          <cell r="S31">
            <v>1</v>
          </cell>
          <cell r="T31">
            <v>0.08</v>
          </cell>
          <cell r="U31">
            <v>1</v>
          </cell>
          <cell r="V31" t="str">
            <v>TR PROFIT AFTER TGT 4</v>
          </cell>
          <cell r="W31">
            <v>1</v>
          </cell>
          <cell r="X31" t="str">
            <v>N.A.</v>
          </cell>
          <cell r="Y31" t="str">
            <v>N.A.</v>
          </cell>
          <cell r="AA31" t="str">
            <v>Min</v>
          </cell>
          <cell r="AB31" t="str">
            <v>MSL &amp; TSL</v>
          </cell>
          <cell r="AC31" t="str">
            <v>Entry &amp; TRP</v>
          </cell>
          <cell r="AE31" t="str">
            <v>S : Entry</v>
          </cell>
          <cell r="AF31" t="str">
            <v xml:space="preserve"> + </v>
          </cell>
          <cell r="AG31">
            <v>0.03</v>
          </cell>
          <cell r="AH31">
            <v>0</v>
          </cell>
          <cell r="AJ31" t="str">
            <v xml:space="preserve"> + </v>
          </cell>
          <cell r="AK31" t="str">
            <v>FUT : PRV : 2DHH</v>
          </cell>
          <cell r="AL31">
            <v>0</v>
          </cell>
          <cell r="AM31">
            <v>5</v>
          </cell>
          <cell r="AN31" t="str">
            <v>FUT : PRV : 2DHH</v>
          </cell>
          <cell r="AO31">
            <v>0</v>
          </cell>
          <cell r="AP31">
            <v>4</v>
          </cell>
          <cell r="AQ31" t="str">
            <v>FUT : PRV : 2DHH</v>
          </cell>
          <cell r="AR31">
            <v>0</v>
          </cell>
          <cell r="AS31">
            <v>3</v>
          </cell>
          <cell r="AT31" t="str">
            <v>FUT : PRV : 2DHH</v>
          </cell>
          <cell r="AU31">
            <v>0</v>
          </cell>
          <cell r="AV31">
            <v>2</v>
          </cell>
          <cell r="AW31" t="str">
            <v>FUT : PRV : 2DHH</v>
          </cell>
          <cell r="AX31">
            <v>0</v>
          </cell>
          <cell r="AY31">
            <v>1</v>
          </cell>
          <cell r="AZ31">
            <v>0</v>
          </cell>
          <cell r="BA31">
            <v>0</v>
          </cell>
          <cell r="BB31">
            <v>0</v>
          </cell>
          <cell r="BD31" t="str">
            <v xml:space="preserve"> RC. Time</v>
          </cell>
          <cell r="BE31">
            <v>0.39582638888888888</v>
          </cell>
          <cell r="BF31">
            <v>0.39582638888888888</v>
          </cell>
          <cell r="BG31" t="str">
            <v>N.A.</v>
          </cell>
          <cell r="BJ31" t="str">
            <v>Short</v>
          </cell>
          <cell r="BK31">
            <v>0.01</v>
          </cell>
          <cell r="BL31">
            <v>0.01</v>
          </cell>
          <cell r="BO31" t="str">
            <v>Put</v>
          </cell>
          <cell r="BP31" t="str">
            <v/>
          </cell>
        </row>
        <row r="32">
          <cell r="B32" t="str">
            <v>S5C</v>
          </cell>
          <cell r="C32" t="str">
            <v>Segment</v>
          </cell>
          <cell r="D32" t="str">
            <v>FUTURES</v>
          </cell>
          <cell r="E32" t="str">
            <v>Contract</v>
          </cell>
          <cell r="F32" t="str">
            <v>MONTHLY</v>
          </cell>
        </row>
        <row r="33">
          <cell r="B33" t="str">
            <v>S5D</v>
          </cell>
          <cell r="C33" t="str">
            <v>Symbol</v>
          </cell>
          <cell r="D33" t="str">
            <v>STOCKS</v>
          </cell>
          <cell r="E33" t="str">
            <v>Bear / 
Bear CF</v>
          </cell>
          <cell r="F33" t="str">
            <v>Long</v>
          </cell>
          <cell r="G33" t="str">
            <v>FUT : PRV : 3DHH</v>
          </cell>
          <cell r="H33" t="str">
            <v xml:space="preserve"> + </v>
          </cell>
          <cell r="I33">
            <v>0.01</v>
          </cell>
          <cell r="J33">
            <v>5</v>
          </cell>
          <cell r="L33" t="str">
            <v xml:space="preserve">L : Entry </v>
          </cell>
          <cell r="M33" t="str">
            <v xml:space="preserve"> + </v>
          </cell>
          <cell r="N33">
            <v>0.03</v>
          </cell>
          <cell r="O33">
            <v>1</v>
          </cell>
          <cell r="P33">
            <v>4.4999999999999998E-2</v>
          </cell>
          <cell r="Q33">
            <v>1</v>
          </cell>
          <cell r="R33">
            <v>0.06</v>
          </cell>
          <cell r="S33">
            <v>1</v>
          </cell>
          <cell r="T33">
            <v>0.08</v>
          </cell>
          <cell r="U33">
            <v>1</v>
          </cell>
          <cell r="V33" t="str">
            <v>TR PROFIT AFTER TGT 4</v>
          </cell>
          <cell r="W33">
            <v>1</v>
          </cell>
          <cell r="X33" t="str">
            <v>N.A.</v>
          </cell>
          <cell r="Y33" t="str">
            <v>N.A.</v>
          </cell>
          <cell r="AA33" t="str">
            <v>Max</v>
          </cell>
          <cell r="AB33" t="str">
            <v>MSL &amp; TSL</v>
          </cell>
          <cell r="AC33" t="str">
            <v>Entry &amp; TRP</v>
          </cell>
          <cell r="AE33" t="str">
            <v>L : Entry</v>
          </cell>
          <cell r="AF33" t="str">
            <v xml:space="preserve"> - </v>
          </cell>
          <cell r="AG33">
            <v>0.03</v>
          </cell>
          <cell r="AH33">
            <v>0</v>
          </cell>
          <cell r="AJ33" t="str">
            <v xml:space="preserve"> - </v>
          </cell>
          <cell r="AK33" t="str">
            <v>FUT : PRV : 2DLL</v>
          </cell>
          <cell r="AL33">
            <v>0</v>
          </cell>
          <cell r="AM33">
            <v>5</v>
          </cell>
          <cell r="AN33" t="str">
            <v>FUT : PRV : 2DLL</v>
          </cell>
          <cell r="AO33">
            <v>0</v>
          </cell>
          <cell r="AP33">
            <v>4</v>
          </cell>
          <cell r="AQ33" t="str">
            <v>FUT : PRV : 2DLL</v>
          </cell>
          <cell r="AR33">
            <v>0</v>
          </cell>
          <cell r="AS33">
            <v>3</v>
          </cell>
          <cell r="AT33" t="str">
            <v>FUT : PRV : 2DLL</v>
          </cell>
          <cell r="AU33">
            <v>0</v>
          </cell>
          <cell r="AV33">
            <v>2</v>
          </cell>
          <cell r="AW33" t="str">
            <v>FUT : PRV : 2DLL</v>
          </cell>
          <cell r="AX33">
            <v>0</v>
          </cell>
          <cell r="AY33">
            <v>1</v>
          </cell>
          <cell r="AZ33">
            <v>0</v>
          </cell>
          <cell r="BA33">
            <v>0</v>
          </cell>
          <cell r="BB33">
            <v>0</v>
          </cell>
          <cell r="BD33" t="str">
            <v>Market Start Time</v>
          </cell>
          <cell r="BE33">
            <v>0.38541666666666669</v>
          </cell>
          <cell r="BI33" t="str">
            <v>Bear / 
Bear CF</v>
          </cell>
          <cell r="BJ33" t="str">
            <v>Long</v>
          </cell>
          <cell r="BK33">
            <v>0.01</v>
          </cell>
          <cell r="BL33">
            <v>0.01</v>
          </cell>
          <cell r="BN33" t="str">
            <v>Bear | 
Bear CF</v>
          </cell>
          <cell r="BO33" t="str">
            <v>Call</v>
          </cell>
          <cell r="BP33" t="str">
            <v/>
          </cell>
        </row>
        <row r="34">
          <cell r="B34" t="str">
            <v>S5E</v>
          </cell>
          <cell r="C34" t="str">
            <v>No. of Targets</v>
          </cell>
          <cell r="D34" t="str">
            <v>4 &amp; APS</v>
          </cell>
          <cell r="F34" t="str">
            <v>Short</v>
          </cell>
          <cell r="G34" t="str">
            <v>FUT : PRV : 2DLL</v>
          </cell>
          <cell r="H34" t="str">
            <v xml:space="preserve"> - </v>
          </cell>
          <cell r="I34">
            <v>0</v>
          </cell>
          <cell r="J34">
            <v>5</v>
          </cell>
          <cell r="L34" t="str">
            <v xml:space="preserve">S : Entry </v>
          </cell>
          <cell r="M34" t="str">
            <v xml:space="preserve"> - </v>
          </cell>
          <cell r="N34">
            <v>0.03</v>
          </cell>
          <cell r="O34">
            <v>1</v>
          </cell>
          <cell r="P34">
            <v>4.4999999999999998E-2</v>
          </cell>
          <cell r="Q34">
            <v>1</v>
          </cell>
          <cell r="R34">
            <v>0.06</v>
          </cell>
          <cell r="S34">
            <v>1</v>
          </cell>
          <cell r="T34">
            <v>0.08</v>
          </cell>
          <cell r="U34">
            <v>1</v>
          </cell>
          <cell r="V34" t="str">
            <v>TR PROFIT AFTER TGT 4</v>
          </cell>
          <cell r="W34">
            <v>1</v>
          </cell>
          <cell r="X34" t="str">
            <v>N.A.</v>
          </cell>
          <cell r="Y34" t="str">
            <v>N.A.</v>
          </cell>
          <cell r="AA34" t="str">
            <v>Min</v>
          </cell>
          <cell r="AB34" t="str">
            <v>MSL &amp; TSL</v>
          </cell>
          <cell r="AC34" t="str">
            <v>Entry &amp; TRP</v>
          </cell>
          <cell r="AE34" t="str">
            <v>S : Entry</v>
          </cell>
          <cell r="AF34" t="str">
            <v xml:space="preserve"> + </v>
          </cell>
          <cell r="AG34">
            <v>0.03</v>
          </cell>
          <cell r="AH34">
            <v>0</v>
          </cell>
          <cell r="AJ34" t="str">
            <v xml:space="preserve"> + </v>
          </cell>
          <cell r="AK34" t="str">
            <v>FUT : PRV : 3DHH</v>
          </cell>
          <cell r="AL34">
            <v>0.01</v>
          </cell>
          <cell r="AM34">
            <v>5</v>
          </cell>
          <cell r="AN34" t="str">
            <v>FUT : PRV : 3DHH</v>
          </cell>
          <cell r="AO34">
            <v>0.01</v>
          </cell>
          <cell r="AP34">
            <v>4</v>
          </cell>
          <cell r="AQ34" t="str">
            <v>FUT : PRV : 3DHH</v>
          </cell>
          <cell r="AR34">
            <v>0.01</v>
          </cell>
          <cell r="AS34">
            <v>3</v>
          </cell>
          <cell r="AT34" t="str">
            <v>FUT : PRV : 3DHH</v>
          </cell>
          <cell r="AU34">
            <v>0.01</v>
          </cell>
          <cell r="AV34">
            <v>2</v>
          </cell>
          <cell r="AW34" t="str">
            <v>FUT : PRV : 3DHH</v>
          </cell>
          <cell r="AX34">
            <v>0.01</v>
          </cell>
          <cell r="AY34">
            <v>1</v>
          </cell>
          <cell r="AZ34">
            <v>0</v>
          </cell>
          <cell r="BA34">
            <v>0</v>
          </cell>
          <cell r="BB34">
            <v>0</v>
          </cell>
          <cell r="BD34" t="str">
            <v>Market End Time</v>
          </cell>
          <cell r="BE34">
            <v>0.64583333333333337</v>
          </cell>
          <cell r="BJ34" t="str">
            <v>Short</v>
          </cell>
          <cell r="BK34">
            <v>0.01</v>
          </cell>
          <cell r="BL34">
            <v>0.01</v>
          </cell>
          <cell r="BO34" t="str">
            <v>Put</v>
          </cell>
          <cell r="BP34" t="str">
            <v/>
          </cell>
        </row>
        <row r="36">
          <cell r="B36" t="str">
            <v>S6A</v>
          </cell>
          <cell r="C36" t="str">
            <v>Strategy Code</v>
          </cell>
          <cell r="D36" t="str">
            <v>S6</v>
          </cell>
          <cell r="E36" t="str">
            <v>Bull / 
Bull CF</v>
          </cell>
          <cell r="F36" t="str">
            <v>Long</v>
          </cell>
          <cell r="G36" t="str">
            <v>FUT : PRV : 3DHH</v>
          </cell>
          <cell r="H36" t="str">
            <v xml:space="preserve"> + </v>
          </cell>
          <cell r="I36">
            <v>0.01</v>
          </cell>
          <cell r="J36">
            <v>5</v>
          </cell>
          <cell r="L36" t="str">
            <v xml:space="preserve">L : Entry </v>
          </cell>
          <cell r="M36" t="str">
            <v xml:space="preserve"> + </v>
          </cell>
          <cell r="N36">
            <v>0.03</v>
          </cell>
          <cell r="O36">
            <v>1</v>
          </cell>
          <cell r="P36">
            <v>4.4999999999999998E-2</v>
          </cell>
          <cell r="Q36">
            <v>1</v>
          </cell>
          <cell r="R36">
            <v>0.06</v>
          </cell>
          <cell r="S36">
            <v>1</v>
          </cell>
          <cell r="T36">
            <v>0.08</v>
          </cell>
          <cell r="U36">
            <v>1</v>
          </cell>
          <cell r="V36" t="str">
            <v>TR PROFIT AFTER TGT 4</v>
          </cell>
          <cell r="W36">
            <v>1</v>
          </cell>
          <cell r="X36" t="str">
            <v>N.A.</v>
          </cell>
          <cell r="Y36" t="str">
            <v>N.A.</v>
          </cell>
          <cell r="AA36" t="str">
            <v>Max</v>
          </cell>
          <cell r="AB36" t="str">
            <v>MSL &amp; TSL</v>
          </cell>
          <cell r="AC36" t="str">
            <v>Entry &amp; TRP</v>
          </cell>
          <cell r="AE36" t="str">
            <v>L : Entry</v>
          </cell>
          <cell r="AF36" t="str">
            <v xml:space="preserve"> - </v>
          </cell>
          <cell r="AG36">
            <v>0.03</v>
          </cell>
          <cell r="AH36">
            <v>0</v>
          </cell>
          <cell r="AJ36" t="str">
            <v xml:space="preserve"> - </v>
          </cell>
          <cell r="AK36" t="str">
            <v>FUT : PRV : 3DLL</v>
          </cell>
          <cell r="AL36">
            <v>0.01</v>
          </cell>
          <cell r="AM36">
            <v>5</v>
          </cell>
          <cell r="AN36" t="str">
            <v>FUT : PRV : 3DLL</v>
          </cell>
          <cell r="AO36">
            <v>0.01</v>
          </cell>
          <cell r="AP36">
            <v>4</v>
          </cell>
          <cell r="AQ36" t="str">
            <v>FUT : PRV : 3DLL</v>
          </cell>
          <cell r="AR36">
            <v>0.01</v>
          </cell>
          <cell r="AS36">
            <v>3</v>
          </cell>
          <cell r="AT36" t="str">
            <v>FUT : PRV : 3DLL</v>
          </cell>
          <cell r="AU36">
            <v>0.01</v>
          </cell>
          <cell r="AV36">
            <v>2</v>
          </cell>
          <cell r="AW36" t="str">
            <v>FUT : PRV : 3DLL</v>
          </cell>
          <cell r="AX36">
            <v>0.01</v>
          </cell>
          <cell r="AY36">
            <v>1</v>
          </cell>
          <cell r="AZ36">
            <v>0</v>
          </cell>
          <cell r="BA36">
            <v>0</v>
          </cell>
          <cell r="BB36">
            <v>0</v>
          </cell>
          <cell r="BD36" t="str">
            <v xml:space="preserve">ORPT </v>
          </cell>
          <cell r="BE36">
            <v>0.38888194444444446</v>
          </cell>
          <cell r="BF36">
            <v>0.38888194444444446</v>
          </cell>
          <cell r="BG36">
            <v>0.38541666666666669</v>
          </cell>
          <cell r="BI36" t="str">
            <v>Bull / 
Bull CF</v>
          </cell>
          <cell r="BJ36" t="str">
            <v>Long</v>
          </cell>
          <cell r="BK36">
            <v>0.01</v>
          </cell>
          <cell r="BL36">
            <v>0.01</v>
          </cell>
          <cell r="BN36" t="str">
            <v>Bull | 
Bull CF</v>
          </cell>
          <cell r="BO36" t="str">
            <v>Call</v>
          </cell>
          <cell r="BP36" t="str">
            <v/>
          </cell>
          <cell r="CU36">
            <v>0.625</v>
          </cell>
        </row>
        <row r="37">
          <cell r="B37" t="str">
            <v>S6B</v>
          </cell>
          <cell r="C37" t="str">
            <v>Unique Code</v>
          </cell>
          <cell r="D37" t="str">
            <v>STOCKS_FUT_MT_SAME_3D_3D</v>
          </cell>
          <cell r="F37" t="str">
            <v>Short</v>
          </cell>
          <cell r="G37" t="str">
            <v>FUT : PRV : 3DLL</v>
          </cell>
          <cell r="H37" t="str">
            <v xml:space="preserve"> - </v>
          </cell>
          <cell r="I37">
            <v>0.01</v>
          </cell>
          <cell r="J37">
            <v>5</v>
          </cell>
          <cell r="L37" t="str">
            <v xml:space="preserve">S : Entry </v>
          </cell>
          <cell r="M37" t="str">
            <v xml:space="preserve"> - </v>
          </cell>
          <cell r="N37">
            <v>0.03</v>
          </cell>
          <cell r="O37">
            <v>1</v>
          </cell>
          <cell r="P37">
            <v>4.4999999999999998E-2</v>
          </cell>
          <cell r="Q37">
            <v>1</v>
          </cell>
          <cell r="R37">
            <v>0.06</v>
          </cell>
          <cell r="S37">
            <v>1</v>
          </cell>
          <cell r="T37">
            <v>0.08</v>
          </cell>
          <cell r="U37">
            <v>1</v>
          </cell>
          <cell r="V37" t="str">
            <v>TR PROFIT AFTER TGT 4</v>
          </cell>
          <cell r="W37">
            <v>1</v>
          </cell>
          <cell r="X37" t="str">
            <v>N.A.</v>
          </cell>
          <cell r="Y37" t="str">
            <v>N.A.</v>
          </cell>
          <cell r="AA37" t="str">
            <v>Min</v>
          </cell>
          <cell r="AB37" t="str">
            <v>MSL &amp; TSL</v>
          </cell>
          <cell r="AC37" t="str">
            <v>Entry &amp; TRP</v>
          </cell>
          <cell r="AE37" t="str">
            <v>S : Entry</v>
          </cell>
          <cell r="AF37" t="str">
            <v xml:space="preserve"> + </v>
          </cell>
          <cell r="AG37">
            <v>0.03</v>
          </cell>
          <cell r="AH37">
            <v>0</v>
          </cell>
          <cell r="AJ37" t="str">
            <v xml:space="preserve"> + </v>
          </cell>
          <cell r="AK37" t="str">
            <v>FUT : PRV : 3DHH</v>
          </cell>
          <cell r="AL37">
            <v>0.01</v>
          </cell>
          <cell r="AM37">
            <v>5</v>
          </cell>
          <cell r="AN37" t="str">
            <v>FUT : PRV : 3DHH</v>
          </cell>
          <cell r="AO37">
            <v>0.01</v>
          </cell>
          <cell r="AP37">
            <v>4</v>
          </cell>
          <cell r="AQ37" t="str">
            <v>FUT : PRV : 3DHH</v>
          </cell>
          <cell r="AR37">
            <v>0.01</v>
          </cell>
          <cell r="AS37">
            <v>3</v>
          </cell>
          <cell r="AT37" t="str">
            <v>FUT : PRV : 3DHH</v>
          </cell>
          <cell r="AU37">
            <v>0.01</v>
          </cell>
          <cell r="AV37">
            <v>2</v>
          </cell>
          <cell r="AW37" t="str">
            <v>FUT : PRV : 3DHH</v>
          </cell>
          <cell r="AX37">
            <v>0.01</v>
          </cell>
          <cell r="AY37">
            <v>1</v>
          </cell>
          <cell r="AZ37">
            <v>0</v>
          </cell>
          <cell r="BA37">
            <v>0</v>
          </cell>
          <cell r="BB37">
            <v>0</v>
          </cell>
          <cell r="BD37" t="str">
            <v xml:space="preserve"> RC. Time</v>
          </cell>
          <cell r="BE37">
            <v>0.39582638888888888</v>
          </cell>
          <cell r="BF37">
            <v>0.39582638888888888</v>
          </cell>
          <cell r="BG37" t="str">
            <v>N.A.</v>
          </cell>
          <cell r="BJ37" t="str">
            <v>Short</v>
          </cell>
          <cell r="BK37">
            <v>0.01</v>
          </cell>
          <cell r="BL37">
            <v>0.01</v>
          </cell>
          <cell r="BO37" t="str">
            <v>Put</v>
          </cell>
          <cell r="BP37" t="str">
            <v/>
          </cell>
        </row>
        <row r="38">
          <cell r="B38" t="str">
            <v>S6C</v>
          </cell>
          <cell r="C38" t="str">
            <v>Segment</v>
          </cell>
          <cell r="D38" t="str">
            <v>FUTURES</v>
          </cell>
          <cell r="E38" t="str">
            <v>Contract</v>
          </cell>
          <cell r="F38" t="str">
            <v>MONTHLY</v>
          </cell>
        </row>
        <row r="39">
          <cell r="B39" t="str">
            <v>S6D</v>
          </cell>
          <cell r="C39" t="str">
            <v>Symbol</v>
          </cell>
          <cell r="D39" t="str">
            <v>STOCKS</v>
          </cell>
          <cell r="E39" t="str">
            <v>Bear / 
Bear CF</v>
          </cell>
          <cell r="F39" t="str">
            <v>Long</v>
          </cell>
          <cell r="G39" t="str">
            <v>FUT : PRV : 3DHH</v>
          </cell>
          <cell r="H39" t="str">
            <v xml:space="preserve"> + </v>
          </cell>
          <cell r="I39">
            <v>0.01</v>
          </cell>
          <cell r="J39">
            <v>5</v>
          </cell>
          <cell r="L39" t="str">
            <v xml:space="preserve">L : Entry </v>
          </cell>
          <cell r="M39" t="str">
            <v xml:space="preserve"> + </v>
          </cell>
          <cell r="N39">
            <v>0.03</v>
          </cell>
          <cell r="O39">
            <v>1</v>
          </cell>
          <cell r="P39">
            <v>4.4999999999999998E-2</v>
          </cell>
          <cell r="Q39">
            <v>1</v>
          </cell>
          <cell r="R39">
            <v>0.06</v>
          </cell>
          <cell r="S39">
            <v>1</v>
          </cell>
          <cell r="T39">
            <v>0.08</v>
          </cell>
          <cell r="U39">
            <v>1</v>
          </cell>
          <cell r="V39" t="str">
            <v>TR PROFIT AFTER TGT 4</v>
          </cell>
          <cell r="W39">
            <v>1</v>
          </cell>
          <cell r="X39" t="str">
            <v>N.A.</v>
          </cell>
          <cell r="Y39" t="str">
            <v>N.A.</v>
          </cell>
          <cell r="AA39" t="str">
            <v>Max</v>
          </cell>
          <cell r="AB39" t="str">
            <v>MSL &amp; TSL</v>
          </cell>
          <cell r="AC39" t="str">
            <v>Entry &amp; TRP</v>
          </cell>
          <cell r="AE39" t="str">
            <v>L : Entry</v>
          </cell>
          <cell r="AF39" t="str">
            <v xml:space="preserve"> - </v>
          </cell>
          <cell r="AG39">
            <v>0.03</v>
          </cell>
          <cell r="AH39">
            <v>0</v>
          </cell>
          <cell r="AJ39" t="str">
            <v xml:space="preserve"> - </v>
          </cell>
          <cell r="AK39" t="str">
            <v>FUT : PRV : 3DLL</v>
          </cell>
          <cell r="AL39">
            <v>0.01</v>
          </cell>
          <cell r="AM39">
            <v>5</v>
          </cell>
          <cell r="AN39" t="str">
            <v>FUT : PRV : 3DLL</v>
          </cell>
          <cell r="AO39">
            <v>0.01</v>
          </cell>
          <cell r="AP39">
            <v>4</v>
          </cell>
          <cell r="AQ39" t="str">
            <v>FUT : PRV : 3DLL</v>
          </cell>
          <cell r="AR39">
            <v>0.01</v>
          </cell>
          <cell r="AS39">
            <v>3</v>
          </cell>
          <cell r="AT39" t="str">
            <v>FUT : PRV : 3DLL</v>
          </cell>
          <cell r="AU39">
            <v>0.01</v>
          </cell>
          <cell r="AV39">
            <v>2</v>
          </cell>
          <cell r="AW39" t="str">
            <v>FUT : PRV : 3DLL</v>
          </cell>
          <cell r="AX39">
            <v>0.01</v>
          </cell>
          <cell r="AY39">
            <v>1</v>
          </cell>
          <cell r="AZ39">
            <v>0</v>
          </cell>
          <cell r="BA39">
            <v>0</v>
          </cell>
          <cell r="BB39">
            <v>0</v>
          </cell>
          <cell r="BD39" t="str">
            <v>Market Start Time</v>
          </cell>
          <cell r="BE39">
            <v>0.38541666666666669</v>
          </cell>
          <cell r="BI39" t="str">
            <v>Bear / 
Bear CF</v>
          </cell>
          <cell r="BJ39" t="str">
            <v>Long</v>
          </cell>
          <cell r="BK39">
            <v>0.01</v>
          </cell>
          <cell r="BL39">
            <v>0.01</v>
          </cell>
          <cell r="BN39" t="str">
            <v>Bear | 
Bear CF</v>
          </cell>
          <cell r="BO39" t="str">
            <v>Call</v>
          </cell>
          <cell r="BP39" t="str">
            <v/>
          </cell>
        </row>
        <row r="40">
          <cell r="B40" t="str">
            <v>S6E</v>
          </cell>
          <cell r="C40" t="str">
            <v>No. of Targets</v>
          </cell>
          <cell r="D40" t="str">
            <v>4 &amp; APS</v>
          </cell>
          <cell r="F40" t="str">
            <v>Short</v>
          </cell>
          <cell r="G40" t="str">
            <v>FUT : PRV : 3DLL</v>
          </cell>
          <cell r="H40" t="str">
            <v xml:space="preserve"> - </v>
          </cell>
          <cell r="I40">
            <v>0.01</v>
          </cell>
          <cell r="J40">
            <v>5</v>
          </cell>
          <cell r="L40" t="str">
            <v xml:space="preserve">S : Entry </v>
          </cell>
          <cell r="M40" t="str">
            <v xml:space="preserve"> - </v>
          </cell>
          <cell r="N40">
            <v>0.03</v>
          </cell>
          <cell r="O40">
            <v>1</v>
          </cell>
          <cell r="P40">
            <v>4.4999999999999998E-2</v>
          </cell>
          <cell r="Q40">
            <v>1</v>
          </cell>
          <cell r="R40">
            <v>0.06</v>
          </cell>
          <cell r="S40">
            <v>1</v>
          </cell>
          <cell r="T40">
            <v>0.08</v>
          </cell>
          <cell r="U40">
            <v>1</v>
          </cell>
          <cell r="V40" t="str">
            <v>TR PROFIT AFTER TGT 4</v>
          </cell>
          <cell r="W40">
            <v>1</v>
          </cell>
          <cell r="X40" t="str">
            <v>N.A.</v>
          </cell>
          <cell r="Y40" t="str">
            <v>N.A.</v>
          </cell>
          <cell r="AA40" t="str">
            <v>Min</v>
          </cell>
          <cell r="AB40" t="str">
            <v>MSL &amp; TSL</v>
          </cell>
          <cell r="AC40" t="str">
            <v>Entry &amp; TRP</v>
          </cell>
          <cell r="AE40" t="str">
            <v>S : Entry</v>
          </cell>
          <cell r="AF40" t="str">
            <v xml:space="preserve"> + </v>
          </cell>
          <cell r="AG40">
            <v>0.03</v>
          </cell>
          <cell r="AH40">
            <v>0</v>
          </cell>
          <cell r="AJ40" t="str">
            <v xml:space="preserve"> + </v>
          </cell>
          <cell r="AK40" t="str">
            <v>FUT : PRV : 3DHH</v>
          </cell>
          <cell r="AL40">
            <v>0.01</v>
          </cell>
          <cell r="AM40">
            <v>5</v>
          </cell>
          <cell r="AN40" t="str">
            <v>FUT : PRV : 3DHH</v>
          </cell>
          <cell r="AO40">
            <v>0.01</v>
          </cell>
          <cell r="AP40">
            <v>4</v>
          </cell>
          <cell r="AQ40" t="str">
            <v>FUT : PRV : 3DHH</v>
          </cell>
          <cell r="AR40">
            <v>0.01</v>
          </cell>
          <cell r="AS40">
            <v>3</v>
          </cell>
          <cell r="AT40" t="str">
            <v>FUT : PRV : 3DHH</v>
          </cell>
          <cell r="AU40">
            <v>0.01</v>
          </cell>
          <cell r="AV40">
            <v>2</v>
          </cell>
          <cell r="AW40" t="str">
            <v>FUT : PRV : 3DHH</v>
          </cell>
          <cell r="AX40">
            <v>0.01</v>
          </cell>
          <cell r="AY40">
            <v>1</v>
          </cell>
          <cell r="AZ40">
            <v>0</v>
          </cell>
          <cell r="BA40">
            <v>0</v>
          </cell>
          <cell r="BB40">
            <v>0</v>
          </cell>
          <cell r="BD40" t="str">
            <v>Market End Time</v>
          </cell>
          <cell r="BE40">
            <v>0.64583333333333337</v>
          </cell>
          <cell r="BJ40" t="str">
            <v>Short</v>
          </cell>
          <cell r="BK40">
            <v>0.01</v>
          </cell>
          <cell r="BL40">
            <v>0.01</v>
          </cell>
          <cell r="BO40" t="str">
            <v>Put</v>
          </cell>
          <cell r="BP40" t="str">
            <v/>
          </cell>
        </row>
        <row r="42">
          <cell r="B42" t="str">
            <v>S7A</v>
          </cell>
          <cell r="C42" t="str">
            <v>Strategy Code</v>
          </cell>
          <cell r="D42" t="str">
            <v>S7</v>
          </cell>
          <cell r="E42" t="str">
            <v>Bull / 
Bull CF</v>
          </cell>
          <cell r="F42" t="str">
            <v>Long</v>
          </cell>
          <cell r="G42" t="str">
            <v>FUT : PRV : 2DHH</v>
          </cell>
          <cell r="H42" t="str">
            <v xml:space="preserve"> + </v>
          </cell>
          <cell r="I42">
            <v>0</v>
          </cell>
          <cell r="J42">
            <v>5</v>
          </cell>
          <cell r="L42" t="str">
            <v xml:space="preserve">L : Entry </v>
          </cell>
          <cell r="M42" t="str">
            <v xml:space="preserve"> + </v>
          </cell>
          <cell r="N42">
            <v>0.03</v>
          </cell>
          <cell r="O42">
            <v>1</v>
          </cell>
          <cell r="P42">
            <v>4.4999999999999998E-2</v>
          </cell>
          <cell r="Q42">
            <v>1</v>
          </cell>
          <cell r="R42">
            <v>0.06</v>
          </cell>
          <cell r="S42">
            <v>1</v>
          </cell>
          <cell r="T42">
            <v>0.08</v>
          </cell>
          <cell r="U42">
            <v>1</v>
          </cell>
          <cell r="V42" t="str">
            <v>TR PROFIT AFTER TGT 4</v>
          </cell>
          <cell r="W42">
            <v>1</v>
          </cell>
          <cell r="X42" t="str">
            <v>N.A.</v>
          </cell>
          <cell r="Y42" t="str">
            <v>N.A.</v>
          </cell>
          <cell r="AA42" t="str">
            <v>Max</v>
          </cell>
          <cell r="AB42" t="str">
            <v>MSL &amp; TSL</v>
          </cell>
          <cell r="AC42" t="str">
            <v>Entry &amp; TRP</v>
          </cell>
          <cell r="AE42" t="str">
            <v>L : Entry</v>
          </cell>
          <cell r="AF42" t="str">
            <v xml:space="preserve"> - </v>
          </cell>
          <cell r="AG42">
            <v>0.03</v>
          </cell>
          <cell r="AH42">
            <v>0</v>
          </cell>
          <cell r="AJ42" t="str">
            <v xml:space="preserve"> - </v>
          </cell>
          <cell r="AK42" t="str">
            <v>FUT : PRV : PW&amp;CWLL</v>
          </cell>
          <cell r="AL42">
            <v>0.01</v>
          </cell>
          <cell r="AM42">
            <v>5</v>
          </cell>
          <cell r="AN42" t="str">
            <v>FUT : PRV : PW&amp;CWLL</v>
          </cell>
          <cell r="AO42">
            <v>0.01</v>
          </cell>
          <cell r="AP42">
            <v>4</v>
          </cell>
          <cell r="AQ42" t="str">
            <v>FUT : PRV : PW&amp;CWLL</v>
          </cell>
          <cell r="AR42">
            <v>0.01</v>
          </cell>
          <cell r="AS42">
            <v>3</v>
          </cell>
          <cell r="AT42" t="str">
            <v>FUT : PRV : PW&amp;CWLL</v>
          </cell>
          <cell r="AU42">
            <v>0.01</v>
          </cell>
          <cell r="AV42">
            <v>2</v>
          </cell>
          <cell r="AW42" t="str">
            <v>FUT : PRV : PW&amp;CWLL</v>
          </cell>
          <cell r="AX42">
            <v>0.01</v>
          </cell>
          <cell r="AY42">
            <v>1</v>
          </cell>
          <cell r="AZ42">
            <v>0</v>
          </cell>
          <cell r="BA42">
            <v>0</v>
          </cell>
          <cell r="BB42">
            <v>0</v>
          </cell>
          <cell r="BD42" t="str">
            <v xml:space="preserve">ORPT </v>
          </cell>
          <cell r="BE42">
            <v>0.38888194444444446</v>
          </cell>
          <cell r="BF42">
            <v>0.38888194444444446</v>
          </cell>
          <cell r="BG42">
            <v>0.38541666666666669</v>
          </cell>
          <cell r="BI42" t="str">
            <v>Bull / 
Bull CF</v>
          </cell>
          <cell r="BJ42" t="str">
            <v>Long</v>
          </cell>
          <cell r="BK42">
            <v>0.01</v>
          </cell>
          <cell r="BL42">
            <v>0.01</v>
          </cell>
          <cell r="BN42" t="str">
            <v>Bull | 
Bull CF</v>
          </cell>
          <cell r="BO42" t="str">
            <v>Call</v>
          </cell>
          <cell r="BP42" t="str">
            <v/>
          </cell>
          <cell r="CU42">
            <v>0.625</v>
          </cell>
        </row>
        <row r="43">
          <cell r="B43" t="str">
            <v>S7B</v>
          </cell>
          <cell r="C43" t="str">
            <v>Unique Code</v>
          </cell>
          <cell r="D43" t="str">
            <v>STOCKS_FUT_MT_DIFF_2D_PW&amp;CW</v>
          </cell>
          <cell r="F43" t="str">
            <v>Short</v>
          </cell>
          <cell r="G43" t="str">
            <v>FUT : PRV : PW&amp;CWLL</v>
          </cell>
          <cell r="H43" t="str">
            <v xml:space="preserve"> - </v>
          </cell>
          <cell r="I43">
            <v>0.01</v>
          </cell>
          <cell r="J43">
            <v>5</v>
          </cell>
          <cell r="L43" t="str">
            <v xml:space="preserve">S : Entry </v>
          </cell>
          <cell r="M43" t="str">
            <v xml:space="preserve"> - </v>
          </cell>
          <cell r="N43">
            <v>0.03</v>
          </cell>
          <cell r="O43">
            <v>1</v>
          </cell>
          <cell r="P43">
            <v>4.4999999999999998E-2</v>
          </cell>
          <cell r="Q43">
            <v>1</v>
          </cell>
          <cell r="R43">
            <v>0.06</v>
          </cell>
          <cell r="S43">
            <v>1</v>
          </cell>
          <cell r="T43">
            <v>0.08</v>
          </cell>
          <cell r="U43">
            <v>1</v>
          </cell>
          <cell r="V43" t="str">
            <v>TR PROFIT AFTER TGT 4</v>
          </cell>
          <cell r="W43">
            <v>1</v>
          </cell>
          <cell r="X43" t="str">
            <v>N.A.</v>
          </cell>
          <cell r="Y43" t="str">
            <v>N.A.</v>
          </cell>
          <cell r="AA43" t="str">
            <v>Min</v>
          </cell>
          <cell r="AB43" t="str">
            <v>MSL &amp; TSL</v>
          </cell>
          <cell r="AC43" t="str">
            <v>Entry &amp; TRP</v>
          </cell>
          <cell r="AE43" t="str">
            <v>S : Entry</v>
          </cell>
          <cell r="AF43" t="str">
            <v xml:space="preserve"> + </v>
          </cell>
          <cell r="AG43">
            <v>0.03</v>
          </cell>
          <cell r="AH43">
            <v>0</v>
          </cell>
          <cell r="AJ43" t="str">
            <v xml:space="preserve"> + </v>
          </cell>
          <cell r="AK43" t="str">
            <v>FUT : PRV : 2DHH</v>
          </cell>
          <cell r="AL43">
            <v>0</v>
          </cell>
          <cell r="AM43">
            <v>5</v>
          </cell>
          <cell r="AN43" t="str">
            <v>FUT : PRV : 2DHH</v>
          </cell>
          <cell r="AO43">
            <v>0</v>
          </cell>
          <cell r="AP43">
            <v>4</v>
          </cell>
          <cell r="AQ43" t="str">
            <v>FUT : PRV : 2DHH</v>
          </cell>
          <cell r="AR43">
            <v>0</v>
          </cell>
          <cell r="AS43">
            <v>3</v>
          </cell>
          <cell r="AT43" t="str">
            <v>FUT : PRV : 2DHH</v>
          </cell>
          <cell r="AU43">
            <v>0</v>
          </cell>
          <cell r="AV43">
            <v>2</v>
          </cell>
          <cell r="AW43" t="str">
            <v>FUT : PRV : 2DHH</v>
          </cell>
          <cell r="AX43">
            <v>0</v>
          </cell>
          <cell r="AY43">
            <v>1</v>
          </cell>
          <cell r="AZ43">
            <v>0</v>
          </cell>
          <cell r="BA43">
            <v>0</v>
          </cell>
          <cell r="BB43">
            <v>0</v>
          </cell>
          <cell r="BD43" t="str">
            <v xml:space="preserve"> RC. Time</v>
          </cell>
          <cell r="BE43">
            <v>0.39582638888888888</v>
          </cell>
          <cell r="BF43">
            <v>0.39582638888888888</v>
          </cell>
          <cell r="BG43" t="str">
            <v>N.A.</v>
          </cell>
          <cell r="BJ43" t="str">
            <v>Short</v>
          </cell>
          <cell r="BK43">
            <v>0.01</v>
          </cell>
          <cell r="BL43">
            <v>0.01</v>
          </cell>
          <cell r="BO43" t="str">
            <v>Put</v>
          </cell>
          <cell r="BP43" t="str">
            <v/>
          </cell>
        </row>
        <row r="44">
          <cell r="B44" t="str">
            <v>S7C</v>
          </cell>
          <cell r="C44" t="str">
            <v>Segment</v>
          </cell>
          <cell r="D44" t="str">
            <v>FUTURES</v>
          </cell>
          <cell r="E44" t="str">
            <v>Contract</v>
          </cell>
          <cell r="F44" t="str">
            <v>MONTHLY</v>
          </cell>
        </row>
        <row r="45">
          <cell r="B45" t="str">
            <v>S7D</v>
          </cell>
          <cell r="C45" t="str">
            <v>Symbol</v>
          </cell>
          <cell r="D45" t="str">
            <v>STOCKS</v>
          </cell>
          <cell r="E45" t="str">
            <v>Bear / 
Bear CF</v>
          </cell>
          <cell r="F45" t="str">
            <v>Long</v>
          </cell>
          <cell r="G45" t="str">
            <v>FUT : PRV : PW&amp;CWHH</v>
          </cell>
          <cell r="H45" t="str">
            <v xml:space="preserve"> + </v>
          </cell>
          <cell r="I45">
            <v>0.01</v>
          </cell>
          <cell r="J45">
            <v>5</v>
          </cell>
          <cell r="L45" t="str">
            <v xml:space="preserve">L : Entry </v>
          </cell>
          <cell r="M45" t="str">
            <v xml:space="preserve"> + </v>
          </cell>
          <cell r="N45">
            <v>0.03</v>
          </cell>
          <cell r="O45">
            <v>1</v>
          </cell>
          <cell r="P45">
            <v>4.4999999999999998E-2</v>
          </cell>
          <cell r="Q45">
            <v>1</v>
          </cell>
          <cell r="R45">
            <v>0.06</v>
          </cell>
          <cell r="S45">
            <v>1</v>
          </cell>
          <cell r="T45">
            <v>0.08</v>
          </cell>
          <cell r="U45">
            <v>1</v>
          </cell>
          <cell r="V45" t="str">
            <v>TR PROFIT AFTER TGT 4</v>
          </cell>
          <cell r="W45">
            <v>1</v>
          </cell>
          <cell r="X45" t="str">
            <v>N.A.</v>
          </cell>
          <cell r="Y45" t="str">
            <v>N.A.</v>
          </cell>
          <cell r="AA45" t="str">
            <v>Max</v>
          </cell>
          <cell r="AB45" t="str">
            <v>MSL &amp; TSL</v>
          </cell>
          <cell r="AC45" t="str">
            <v>Entry &amp; TRP</v>
          </cell>
          <cell r="AE45" t="str">
            <v>L : Entry</v>
          </cell>
          <cell r="AF45" t="str">
            <v xml:space="preserve"> - </v>
          </cell>
          <cell r="AG45">
            <v>0.03</v>
          </cell>
          <cell r="AH45">
            <v>0</v>
          </cell>
          <cell r="AJ45" t="str">
            <v xml:space="preserve"> - </v>
          </cell>
          <cell r="AK45" t="str">
            <v>FUT : PRV : 2DLL</v>
          </cell>
          <cell r="AL45">
            <v>0</v>
          </cell>
          <cell r="AM45">
            <v>5</v>
          </cell>
          <cell r="AN45" t="str">
            <v>FUT : PRV : 2DLL</v>
          </cell>
          <cell r="AO45">
            <v>0</v>
          </cell>
          <cell r="AP45">
            <v>4</v>
          </cell>
          <cell r="AQ45" t="str">
            <v>FUT : PRV : 2DLL</v>
          </cell>
          <cell r="AR45">
            <v>0</v>
          </cell>
          <cell r="AS45">
            <v>3</v>
          </cell>
          <cell r="AT45" t="str">
            <v>FUT : PRV : 2DLL</v>
          </cell>
          <cell r="AU45">
            <v>0</v>
          </cell>
          <cell r="AV45">
            <v>2</v>
          </cell>
          <cell r="AW45" t="str">
            <v>FUT : PRV : 2DLL</v>
          </cell>
          <cell r="AX45">
            <v>0</v>
          </cell>
          <cell r="AY45">
            <v>1</v>
          </cell>
          <cell r="AZ45">
            <v>0</v>
          </cell>
          <cell r="BA45">
            <v>0</v>
          </cell>
          <cell r="BB45">
            <v>0</v>
          </cell>
          <cell r="BD45" t="str">
            <v>Market Start Time</v>
          </cell>
          <cell r="BE45">
            <v>0.38541666666666669</v>
          </cell>
          <cell r="BI45" t="str">
            <v>Bear / 
Bear CF</v>
          </cell>
          <cell r="BJ45" t="str">
            <v>Long</v>
          </cell>
          <cell r="BK45">
            <v>0.01</v>
          </cell>
          <cell r="BL45">
            <v>0.01</v>
          </cell>
          <cell r="BN45" t="str">
            <v>Bear | 
Bear CF</v>
          </cell>
          <cell r="BO45" t="str">
            <v>Call</v>
          </cell>
          <cell r="BP45" t="str">
            <v/>
          </cell>
        </row>
        <row r="46">
          <cell r="B46" t="str">
            <v>S7E</v>
          </cell>
          <cell r="C46" t="str">
            <v>No. of Targets</v>
          </cell>
          <cell r="D46" t="str">
            <v>4 &amp; APS</v>
          </cell>
          <cell r="F46" t="str">
            <v>Short</v>
          </cell>
          <cell r="G46" t="str">
            <v>FUT : PRV : 2DLL</v>
          </cell>
          <cell r="H46" t="str">
            <v xml:space="preserve"> - </v>
          </cell>
          <cell r="I46">
            <v>0</v>
          </cell>
          <cell r="J46">
            <v>5</v>
          </cell>
          <cell r="L46" t="str">
            <v xml:space="preserve">S : Entry </v>
          </cell>
          <cell r="M46" t="str">
            <v xml:space="preserve"> - </v>
          </cell>
          <cell r="N46">
            <v>0.03</v>
          </cell>
          <cell r="O46">
            <v>1</v>
          </cell>
          <cell r="P46">
            <v>4.4999999999999998E-2</v>
          </cell>
          <cell r="Q46">
            <v>1</v>
          </cell>
          <cell r="R46">
            <v>0.06</v>
          </cell>
          <cell r="S46">
            <v>1</v>
          </cell>
          <cell r="T46">
            <v>0.08</v>
          </cell>
          <cell r="U46">
            <v>1</v>
          </cell>
          <cell r="V46" t="str">
            <v>TR PROFIT AFTER TGT 4</v>
          </cell>
          <cell r="W46">
            <v>1</v>
          </cell>
          <cell r="X46" t="str">
            <v>N.A.</v>
          </cell>
          <cell r="Y46" t="str">
            <v>N.A.</v>
          </cell>
          <cell r="AA46" t="str">
            <v>Min</v>
          </cell>
          <cell r="AB46" t="str">
            <v>MSL &amp; TSL</v>
          </cell>
          <cell r="AC46" t="str">
            <v>Entry &amp; TRP</v>
          </cell>
          <cell r="AE46" t="str">
            <v>S : Entry</v>
          </cell>
          <cell r="AF46" t="str">
            <v xml:space="preserve"> + </v>
          </cell>
          <cell r="AG46">
            <v>0.03</v>
          </cell>
          <cell r="AH46">
            <v>0</v>
          </cell>
          <cell r="AJ46" t="str">
            <v xml:space="preserve"> + </v>
          </cell>
          <cell r="AK46" t="str">
            <v>FUT : PRV : PW&amp;CWHH</v>
          </cell>
          <cell r="AL46">
            <v>0.01</v>
          </cell>
          <cell r="AM46">
            <v>5</v>
          </cell>
          <cell r="AN46" t="str">
            <v>FUT : PRV : PW&amp;CWHH</v>
          </cell>
          <cell r="AO46">
            <v>0.01</v>
          </cell>
          <cell r="AP46">
            <v>4</v>
          </cell>
          <cell r="AQ46" t="str">
            <v>FUT : PRV : PW&amp;CWHH</v>
          </cell>
          <cell r="AR46">
            <v>0.01</v>
          </cell>
          <cell r="AS46">
            <v>3</v>
          </cell>
          <cell r="AT46" t="str">
            <v>FUT : PRV : PW&amp;CWHH</v>
          </cell>
          <cell r="AU46">
            <v>0.01</v>
          </cell>
          <cell r="AV46">
            <v>2</v>
          </cell>
          <cell r="AW46" t="str">
            <v>FUT : PRV : PW&amp;CWHH</v>
          </cell>
          <cell r="AX46">
            <v>0.01</v>
          </cell>
          <cell r="AY46">
            <v>1</v>
          </cell>
          <cell r="AZ46">
            <v>0</v>
          </cell>
          <cell r="BA46">
            <v>0</v>
          </cell>
          <cell r="BB46">
            <v>0</v>
          </cell>
          <cell r="BD46" t="str">
            <v>Market End Time</v>
          </cell>
          <cell r="BE46">
            <v>0.64583333333333337</v>
          </cell>
          <cell r="BJ46" t="str">
            <v>Short</v>
          </cell>
          <cell r="BK46">
            <v>0.01</v>
          </cell>
          <cell r="BL46">
            <v>0.01</v>
          </cell>
          <cell r="BO46" t="str">
            <v>Put</v>
          </cell>
          <cell r="BP46" t="str">
            <v/>
          </cell>
        </row>
        <row r="48">
          <cell r="B48" t="str">
            <v>S8A</v>
          </cell>
          <cell r="C48" t="str">
            <v>Strategy Code</v>
          </cell>
          <cell r="D48" t="str">
            <v>S8</v>
          </cell>
          <cell r="E48" t="str">
            <v>Bull / 
Bull CF</v>
          </cell>
          <cell r="F48" t="str">
            <v>Long</v>
          </cell>
          <cell r="G48" t="str">
            <v>FUT : PRV : 1DHH</v>
          </cell>
          <cell r="H48" t="str">
            <v xml:space="preserve"> + </v>
          </cell>
          <cell r="I48">
            <v>0</v>
          </cell>
          <cell r="J48">
            <v>5</v>
          </cell>
          <cell r="L48" t="str">
            <v xml:space="preserve">L : Entry </v>
          </cell>
          <cell r="M48" t="str">
            <v xml:space="preserve"> + </v>
          </cell>
          <cell r="N48">
            <v>1.4999999999999999E-2</v>
          </cell>
          <cell r="O48">
            <v>1</v>
          </cell>
          <cell r="P48">
            <v>0.02</v>
          </cell>
          <cell r="Q48">
            <v>1</v>
          </cell>
          <cell r="R48">
            <v>2.5000000000000001E-2</v>
          </cell>
          <cell r="S48">
            <v>1</v>
          </cell>
          <cell r="T48">
            <v>0.03</v>
          </cell>
          <cell r="U48">
            <v>1</v>
          </cell>
          <cell r="V48" t="str">
            <v>TR PROFIT AFTER TGT 4</v>
          </cell>
          <cell r="W48">
            <v>1</v>
          </cell>
          <cell r="X48" t="str">
            <v>N.A.</v>
          </cell>
          <cell r="Y48" t="str">
            <v>N.A.</v>
          </cell>
          <cell r="AA48" t="str">
            <v>Max</v>
          </cell>
          <cell r="AB48" t="str">
            <v>MSL &amp; TSL</v>
          </cell>
          <cell r="AC48" t="str">
            <v>Entry &amp; TRP</v>
          </cell>
          <cell r="AE48" t="str">
            <v>L : Entry</v>
          </cell>
          <cell r="AF48" t="str">
            <v xml:space="preserve"> - </v>
          </cell>
          <cell r="AG48">
            <v>1.4999999999999999E-2</v>
          </cell>
          <cell r="AH48">
            <v>0</v>
          </cell>
          <cell r="AJ48" t="str">
            <v xml:space="preserve"> - </v>
          </cell>
          <cell r="AK48" t="str">
            <v>FUT : PRV : 2DLL</v>
          </cell>
          <cell r="AL48">
            <v>1.8E-3</v>
          </cell>
          <cell r="AM48">
            <v>5</v>
          </cell>
          <cell r="AN48" t="str">
            <v>FUT : PRV : 2DLL</v>
          </cell>
          <cell r="AO48">
            <v>1.8E-3</v>
          </cell>
          <cell r="AP48">
            <v>4</v>
          </cell>
          <cell r="AQ48" t="str">
            <v>FUT : PRV : 2DLL</v>
          </cell>
          <cell r="AR48">
            <v>1.8E-3</v>
          </cell>
          <cell r="AS48">
            <v>3</v>
          </cell>
          <cell r="AT48" t="str">
            <v>FUT : PRV : 2DLL</v>
          </cell>
          <cell r="AU48">
            <v>1.8E-3</v>
          </cell>
          <cell r="AV48">
            <v>2</v>
          </cell>
          <cell r="AW48" t="str">
            <v>FUT : PRV : 2DLL</v>
          </cell>
          <cell r="AX48">
            <v>1.8E-3</v>
          </cell>
          <cell r="AY48">
            <v>1</v>
          </cell>
          <cell r="AZ48">
            <v>0</v>
          </cell>
          <cell r="BA48">
            <v>0</v>
          </cell>
          <cell r="BB48">
            <v>0</v>
          </cell>
          <cell r="BD48" t="str">
            <v xml:space="preserve">ORPT </v>
          </cell>
          <cell r="BE48">
            <v>0.38888194444444446</v>
          </cell>
          <cell r="BF48">
            <v>0.38888194444444446</v>
          </cell>
          <cell r="BG48">
            <v>0.38541666666666669</v>
          </cell>
          <cell r="BI48" t="str">
            <v>Bull / 
Bull CF</v>
          </cell>
          <cell r="BJ48" t="str">
            <v>Long</v>
          </cell>
          <cell r="BK48">
            <v>1.8E-3</v>
          </cell>
          <cell r="BL48">
            <v>1.8E-3</v>
          </cell>
          <cell r="BN48" t="str">
            <v>Bull | 
Bull CF</v>
          </cell>
          <cell r="BO48" t="str">
            <v>Call</v>
          </cell>
          <cell r="BP48" t="str">
            <v/>
          </cell>
          <cell r="CU48">
            <v>0.625</v>
          </cell>
        </row>
        <row r="49">
          <cell r="B49" t="str">
            <v>S8B</v>
          </cell>
          <cell r="C49" t="str">
            <v>Unique Code</v>
          </cell>
          <cell r="D49" t="str">
            <v>NIFTY_FUT_MT_DIFF_1D_2D</v>
          </cell>
          <cell r="F49" t="str">
            <v>Short</v>
          </cell>
          <cell r="G49" t="str">
            <v>FUT : PRV : 2DLL</v>
          </cell>
          <cell r="H49" t="str">
            <v xml:space="preserve"> - </v>
          </cell>
          <cell r="I49">
            <v>1.8E-3</v>
          </cell>
          <cell r="J49">
            <v>5</v>
          </cell>
          <cell r="L49" t="str">
            <v xml:space="preserve">S : Entry </v>
          </cell>
          <cell r="M49" t="str">
            <v xml:space="preserve"> - </v>
          </cell>
          <cell r="N49">
            <v>1.4999999999999999E-2</v>
          </cell>
          <cell r="O49">
            <v>1</v>
          </cell>
          <cell r="P49">
            <v>0.02</v>
          </cell>
          <cell r="Q49">
            <v>1</v>
          </cell>
          <cell r="R49">
            <v>2.5000000000000001E-2</v>
          </cell>
          <cell r="S49">
            <v>1</v>
          </cell>
          <cell r="T49">
            <v>0.03</v>
          </cell>
          <cell r="U49">
            <v>1</v>
          </cell>
          <cell r="V49" t="str">
            <v>TR PROFIT AFTER TGT 4</v>
          </cell>
          <cell r="W49">
            <v>1</v>
          </cell>
          <cell r="X49" t="str">
            <v>N.A.</v>
          </cell>
          <cell r="Y49" t="str">
            <v>N.A.</v>
          </cell>
          <cell r="AA49" t="str">
            <v>Min</v>
          </cell>
          <cell r="AB49" t="str">
            <v>MSL &amp; TSL</v>
          </cell>
          <cell r="AC49" t="str">
            <v>Entry &amp; TRP</v>
          </cell>
          <cell r="AE49" t="str">
            <v>S : Entry</v>
          </cell>
          <cell r="AF49" t="str">
            <v xml:space="preserve"> + </v>
          </cell>
          <cell r="AG49">
            <v>1.4999999999999999E-2</v>
          </cell>
          <cell r="AH49">
            <v>0</v>
          </cell>
          <cell r="AJ49" t="str">
            <v xml:space="preserve"> + </v>
          </cell>
          <cell r="AK49" t="str">
            <v>FUT : PRV : 1DHH</v>
          </cell>
          <cell r="AL49">
            <v>0</v>
          </cell>
          <cell r="AM49">
            <v>5</v>
          </cell>
          <cell r="AN49" t="str">
            <v>FUT : PRV : 1DHH</v>
          </cell>
          <cell r="AO49">
            <v>0</v>
          </cell>
          <cell r="AP49">
            <v>4</v>
          </cell>
          <cell r="AQ49" t="str">
            <v>FUT : PRV : 1DHH</v>
          </cell>
          <cell r="AR49">
            <v>0</v>
          </cell>
          <cell r="AS49">
            <v>3</v>
          </cell>
          <cell r="AT49" t="str">
            <v>FUT : PRV : 1DHH</v>
          </cell>
          <cell r="AU49">
            <v>0</v>
          </cell>
          <cell r="AV49">
            <v>2</v>
          </cell>
          <cell r="AW49" t="str">
            <v>FUT : PRV : 1DHH</v>
          </cell>
          <cell r="AX49">
            <v>0</v>
          </cell>
          <cell r="AY49">
            <v>1</v>
          </cell>
          <cell r="AZ49">
            <v>0</v>
          </cell>
          <cell r="BA49">
            <v>0</v>
          </cell>
          <cell r="BB49">
            <v>0</v>
          </cell>
          <cell r="BD49" t="str">
            <v xml:space="preserve"> RC. Time</v>
          </cell>
          <cell r="BE49">
            <v>0.39582638888888888</v>
          </cell>
          <cell r="BF49">
            <v>0.39582638888888888</v>
          </cell>
          <cell r="BG49" t="str">
            <v>N.A.</v>
          </cell>
          <cell r="BJ49" t="str">
            <v>Short</v>
          </cell>
          <cell r="BK49">
            <v>1.8E-3</v>
          </cell>
          <cell r="BL49">
            <v>1.8E-3</v>
          </cell>
          <cell r="BO49" t="str">
            <v>Put</v>
          </cell>
          <cell r="BP49" t="str">
            <v/>
          </cell>
        </row>
        <row r="50">
          <cell r="B50" t="str">
            <v>S8C</v>
          </cell>
          <cell r="C50" t="str">
            <v>Segment</v>
          </cell>
          <cell r="D50" t="str">
            <v>FUTURES</v>
          </cell>
          <cell r="E50" t="str">
            <v>Contract</v>
          </cell>
          <cell r="F50" t="str">
            <v>MONTHLY</v>
          </cell>
        </row>
        <row r="51">
          <cell r="B51" t="str">
            <v>S8D</v>
          </cell>
          <cell r="C51" t="str">
            <v>Symbol</v>
          </cell>
          <cell r="D51" t="str">
            <v>NIFTY</v>
          </cell>
          <cell r="E51" t="str">
            <v>Bear / 
Bear CF</v>
          </cell>
          <cell r="F51" t="str">
            <v>Long</v>
          </cell>
          <cell r="G51" t="str">
            <v>FUT : PRV : 2DHH</v>
          </cell>
          <cell r="H51" t="str">
            <v xml:space="preserve"> + </v>
          </cell>
          <cell r="I51">
            <v>1.8E-3</v>
          </cell>
          <cell r="J51">
            <v>5</v>
          </cell>
          <cell r="L51" t="str">
            <v xml:space="preserve">L : Entry </v>
          </cell>
          <cell r="M51" t="str">
            <v xml:space="preserve"> + </v>
          </cell>
          <cell r="N51">
            <v>1.4999999999999999E-2</v>
          </cell>
          <cell r="O51">
            <v>1</v>
          </cell>
          <cell r="P51">
            <v>0.02</v>
          </cell>
          <cell r="Q51">
            <v>1</v>
          </cell>
          <cell r="R51">
            <v>2.5000000000000001E-2</v>
          </cell>
          <cell r="S51">
            <v>1</v>
          </cell>
          <cell r="T51">
            <v>0.03</v>
          </cell>
          <cell r="U51">
            <v>1</v>
          </cell>
          <cell r="V51" t="str">
            <v>TR PROFIT AFTER TGT 4</v>
          </cell>
          <cell r="W51">
            <v>1</v>
          </cell>
          <cell r="X51" t="str">
            <v>N.A.</v>
          </cell>
          <cell r="Y51" t="str">
            <v>N.A.</v>
          </cell>
          <cell r="AA51" t="str">
            <v>Max</v>
          </cell>
          <cell r="AB51" t="str">
            <v>MSL &amp; TSL</v>
          </cell>
          <cell r="AC51" t="str">
            <v>Entry &amp; TRP</v>
          </cell>
          <cell r="AE51" t="str">
            <v>L : Entry</v>
          </cell>
          <cell r="AF51" t="str">
            <v xml:space="preserve"> - </v>
          </cell>
          <cell r="AG51">
            <v>1.4999999999999999E-2</v>
          </cell>
          <cell r="AH51">
            <v>0</v>
          </cell>
          <cell r="AJ51" t="str">
            <v xml:space="preserve"> - </v>
          </cell>
          <cell r="AK51" t="str">
            <v>FUT : PRV : 1DLL</v>
          </cell>
          <cell r="AL51">
            <v>0</v>
          </cell>
          <cell r="AM51">
            <v>5</v>
          </cell>
          <cell r="AN51" t="str">
            <v>FUT : PRV : 1DLL</v>
          </cell>
          <cell r="AO51">
            <v>0</v>
          </cell>
          <cell r="AP51">
            <v>4</v>
          </cell>
          <cell r="AQ51" t="str">
            <v>FUT : PRV : 1DLL</v>
          </cell>
          <cell r="AR51">
            <v>0</v>
          </cell>
          <cell r="AS51">
            <v>3</v>
          </cell>
          <cell r="AT51" t="str">
            <v>FUT : PRV : 1DLL</v>
          </cell>
          <cell r="AU51">
            <v>0</v>
          </cell>
          <cell r="AV51">
            <v>2</v>
          </cell>
          <cell r="AW51" t="str">
            <v>FUT : PRV : 1DLL</v>
          </cell>
          <cell r="AX51">
            <v>0</v>
          </cell>
          <cell r="AY51">
            <v>1</v>
          </cell>
          <cell r="AZ51">
            <v>0</v>
          </cell>
          <cell r="BA51">
            <v>0</v>
          </cell>
          <cell r="BB51">
            <v>0</v>
          </cell>
          <cell r="BD51" t="str">
            <v>Market Start Time</v>
          </cell>
          <cell r="BE51">
            <v>0.38541666666666669</v>
          </cell>
          <cell r="BI51" t="str">
            <v>Bear / 
Bear CF</v>
          </cell>
          <cell r="BJ51" t="str">
            <v>Long</v>
          </cell>
          <cell r="BK51">
            <v>1.8E-3</v>
          </cell>
          <cell r="BL51">
            <v>1.8E-3</v>
          </cell>
          <cell r="BN51" t="str">
            <v>Bear | 
Bear CF</v>
          </cell>
          <cell r="BO51" t="str">
            <v>Call</v>
          </cell>
          <cell r="BP51" t="str">
            <v/>
          </cell>
        </row>
        <row r="52">
          <cell r="B52" t="str">
            <v>S8E</v>
          </cell>
          <cell r="C52" t="str">
            <v>Contract</v>
          </cell>
          <cell r="D52" t="str">
            <v>4 &amp; APS</v>
          </cell>
          <cell r="F52" t="str">
            <v>Short</v>
          </cell>
          <cell r="G52" t="str">
            <v>FUT : PRV : 1DLL</v>
          </cell>
          <cell r="H52" t="str">
            <v xml:space="preserve"> - </v>
          </cell>
          <cell r="I52">
            <v>0</v>
          </cell>
          <cell r="J52">
            <v>5</v>
          </cell>
          <cell r="L52" t="str">
            <v xml:space="preserve">S : Entry </v>
          </cell>
          <cell r="M52" t="str">
            <v xml:space="preserve"> - </v>
          </cell>
          <cell r="N52">
            <v>1.4999999999999999E-2</v>
          </cell>
          <cell r="O52">
            <v>1</v>
          </cell>
          <cell r="P52">
            <v>0.02</v>
          </cell>
          <cell r="Q52">
            <v>1</v>
          </cell>
          <cell r="R52">
            <v>2.5000000000000001E-2</v>
          </cell>
          <cell r="S52">
            <v>1</v>
          </cell>
          <cell r="T52">
            <v>0.03</v>
          </cell>
          <cell r="U52">
            <v>1</v>
          </cell>
          <cell r="V52" t="str">
            <v>TR PROFIT AFTER TGT 4</v>
          </cell>
          <cell r="W52">
            <v>1</v>
          </cell>
          <cell r="X52" t="str">
            <v>N.A.</v>
          </cell>
          <cell r="Y52" t="str">
            <v>N.A.</v>
          </cell>
          <cell r="AA52" t="str">
            <v>Min</v>
          </cell>
          <cell r="AB52" t="str">
            <v>MSL &amp; TSL</v>
          </cell>
          <cell r="AC52" t="str">
            <v>Entry &amp; TRP</v>
          </cell>
          <cell r="AE52" t="str">
            <v>S : Entry</v>
          </cell>
          <cell r="AF52" t="str">
            <v xml:space="preserve"> + </v>
          </cell>
          <cell r="AG52">
            <v>1.4999999999999999E-2</v>
          </cell>
          <cell r="AH52">
            <v>0</v>
          </cell>
          <cell r="AJ52" t="str">
            <v xml:space="preserve"> + </v>
          </cell>
          <cell r="AK52" t="str">
            <v>FUT : PRV : 2DHH</v>
          </cell>
          <cell r="AL52">
            <v>1.8E-3</v>
          </cell>
          <cell r="AM52">
            <v>5</v>
          </cell>
          <cell r="AN52" t="str">
            <v>FUT : PRV : 2DHH</v>
          </cell>
          <cell r="AO52">
            <v>1.8E-3</v>
          </cell>
          <cell r="AP52">
            <v>4</v>
          </cell>
          <cell r="AQ52" t="str">
            <v>FUT : PRV : 2DHH</v>
          </cell>
          <cell r="AR52">
            <v>1.8E-3</v>
          </cell>
          <cell r="AS52">
            <v>3</v>
          </cell>
          <cell r="AT52" t="str">
            <v>FUT : PRV : 2DHH</v>
          </cell>
          <cell r="AU52">
            <v>1.8E-3</v>
          </cell>
          <cell r="AV52">
            <v>2</v>
          </cell>
          <cell r="AW52" t="str">
            <v>FUT : PRV : 2DHH</v>
          </cell>
          <cell r="AX52">
            <v>1.8E-3</v>
          </cell>
          <cell r="AY52">
            <v>1</v>
          </cell>
          <cell r="AZ52">
            <v>0</v>
          </cell>
          <cell r="BA52">
            <v>0</v>
          </cell>
          <cell r="BB52">
            <v>0</v>
          </cell>
          <cell r="BD52" t="str">
            <v>Market End Time</v>
          </cell>
          <cell r="BE52">
            <v>0.64583333333333337</v>
          </cell>
          <cell r="BJ52" t="str">
            <v>Short</v>
          </cell>
          <cell r="BK52">
            <v>1.8E-3</v>
          </cell>
          <cell r="BL52">
            <v>1.8E-3</v>
          </cell>
          <cell r="BO52" t="str">
            <v>Put</v>
          </cell>
          <cell r="BP52" t="str">
            <v/>
          </cell>
        </row>
        <row r="54">
          <cell r="B54" t="str">
            <v>S9A</v>
          </cell>
          <cell r="C54" t="str">
            <v>Strategy Code</v>
          </cell>
          <cell r="D54" t="str">
            <v>S9</v>
          </cell>
          <cell r="E54" t="str">
            <v>Bull / 
Bull CF</v>
          </cell>
          <cell r="F54" t="str">
            <v>Long</v>
          </cell>
          <cell r="G54" t="str">
            <v>FUT : PRV : 2DHH</v>
          </cell>
          <cell r="H54" t="str">
            <v xml:space="preserve"> + </v>
          </cell>
          <cell r="I54">
            <v>1.8E-3</v>
          </cell>
          <cell r="J54">
            <v>5</v>
          </cell>
          <cell r="L54" t="str">
            <v xml:space="preserve">L : Entry </v>
          </cell>
          <cell r="M54" t="str">
            <v xml:space="preserve"> + </v>
          </cell>
          <cell r="N54">
            <v>1.4999999999999999E-2</v>
          </cell>
          <cell r="O54">
            <v>1</v>
          </cell>
          <cell r="P54">
            <v>0.02</v>
          </cell>
          <cell r="Q54">
            <v>1</v>
          </cell>
          <cell r="R54">
            <v>2.5000000000000001E-2</v>
          </cell>
          <cell r="S54">
            <v>1</v>
          </cell>
          <cell r="T54">
            <v>0.03</v>
          </cell>
          <cell r="U54">
            <v>1</v>
          </cell>
          <cell r="V54" t="str">
            <v>TR PROFIT AFTER TGT 4</v>
          </cell>
          <cell r="W54">
            <v>1</v>
          </cell>
          <cell r="X54" t="str">
            <v>N.A.</v>
          </cell>
          <cell r="Y54" t="str">
            <v>N.A.</v>
          </cell>
          <cell r="AA54" t="str">
            <v>Max</v>
          </cell>
          <cell r="AB54" t="str">
            <v>MSL &amp; TSL</v>
          </cell>
          <cell r="AC54" t="str">
            <v>Entry &amp; TRP</v>
          </cell>
          <cell r="AE54" t="str">
            <v>L : Entry</v>
          </cell>
          <cell r="AF54" t="str">
            <v xml:space="preserve"> - </v>
          </cell>
          <cell r="AG54">
            <v>1.4999999999999999E-2</v>
          </cell>
          <cell r="AH54">
            <v>0</v>
          </cell>
          <cell r="AJ54" t="str">
            <v xml:space="preserve"> - </v>
          </cell>
          <cell r="AK54" t="str">
            <v>FUT : PRV : 2DLL</v>
          </cell>
          <cell r="AL54">
            <v>1.8E-3</v>
          </cell>
          <cell r="AM54">
            <v>5</v>
          </cell>
          <cell r="AN54" t="str">
            <v>FUT : PRV : 2DLL</v>
          </cell>
          <cell r="AO54">
            <v>1.8E-3</v>
          </cell>
          <cell r="AP54">
            <v>4</v>
          </cell>
          <cell r="AQ54" t="str">
            <v>FUT : PRV : 2DLL</v>
          </cell>
          <cell r="AR54">
            <v>1.8E-3</v>
          </cell>
          <cell r="AS54">
            <v>3</v>
          </cell>
          <cell r="AT54" t="str">
            <v>FUT : PRV : 2DLL</v>
          </cell>
          <cell r="AU54">
            <v>1.8E-3</v>
          </cell>
          <cell r="AV54">
            <v>2</v>
          </cell>
          <cell r="AW54" t="str">
            <v>FUT : PRV : 2DLL</v>
          </cell>
          <cell r="AX54">
            <v>1.8E-3</v>
          </cell>
          <cell r="AY54">
            <v>1</v>
          </cell>
          <cell r="AZ54">
            <v>0</v>
          </cell>
          <cell r="BA54">
            <v>0</v>
          </cell>
          <cell r="BB54">
            <v>0</v>
          </cell>
          <cell r="BD54" t="str">
            <v xml:space="preserve">ORPT </v>
          </cell>
          <cell r="BE54">
            <v>0.38888194444444446</v>
          </cell>
          <cell r="BF54">
            <v>0.38888194444444446</v>
          </cell>
          <cell r="BG54">
            <v>0.38541666666666669</v>
          </cell>
          <cell r="BI54" t="str">
            <v>Bull / 
Bull CF</v>
          </cell>
          <cell r="BJ54" t="str">
            <v>Long</v>
          </cell>
          <cell r="BK54">
            <v>1.8E-3</v>
          </cell>
          <cell r="BL54">
            <v>1.8E-3</v>
          </cell>
          <cell r="BN54" t="str">
            <v>Bull | 
Bull CF</v>
          </cell>
          <cell r="BO54" t="str">
            <v>Call</v>
          </cell>
          <cell r="BP54" t="str">
            <v/>
          </cell>
          <cell r="CU54">
            <v>0.625</v>
          </cell>
        </row>
        <row r="55">
          <cell r="B55" t="str">
            <v>S9B</v>
          </cell>
          <cell r="C55" t="str">
            <v>Unique Code</v>
          </cell>
          <cell r="D55" t="str">
            <v>NIFTY_FUT_MT_SAME_2D_2D</v>
          </cell>
          <cell r="F55" t="str">
            <v>Short</v>
          </cell>
          <cell r="G55" t="str">
            <v>FUT : PRV : 2DLL</v>
          </cell>
          <cell r="H55" t="str">
            <v xml:space="preserve"> - </v>
          </cell>
          <cell r="I55">
            <v>1.8E-3</v>
          </cell>
          <cell r="J55">
            <v>5</v>
          </cell>
          <cell r="L55" t="str">
            <v xml:space="preserve">S : Entry </v>
          </cell>
          <cell r="M55" t="str">
            <v xml:space="preserve"> - </v>
          </cell>
          <cell r="N55">
            <v>1.4999999999999999E-2</v>
          </cell>
          <cell r="O55">
            <v>1</v>
          </cell>
          <cell r="P55">
            <v>0.02</v>
          </cell>
          <cell r="Q55">
            <v>1</v>
          </cell>
          <cell r="R55">
            <v>2.5000000000000001E-2</v>
          </cell>
          <cell r="S55">
            <v>1</v>
          </cell>
          <cell r="T55">
            <v>0.03</v>
          </cell>
          <cell r="U55">
            <v>1</v>
          </cell>
          <cell r="V55" t="str">
            <v>TR PROFIT AFTER TGT 4</v>
          </cell>
          <cell r="W55">
            <v>1</v>
          </cell>
          <cell r="X55" t="str">
            <v>N.A.</v>
          </cell>
          <cell r="Y55" t="str">
            <v>N.A.</v>
          </cell>
          <cell r="AA55" t="str">
            <v>Min</v>
          </cell>
          <cell r="AB55" t="str">
            <v>MSL &amp; TSL</v>
          </cell>
          <cell r="AC55" t="str">
            <v>Entry &amp; TRP</v>
          </cell>
          <cell r="AE55" t="str">
            <v>S : Entry</v>
          </cell>
          <cell r="AF55" t="str">
            <v xml:space="preserve"> + </v>
          </cell>
          <cell r="AG55">
            <v>1.4999999999999999E-2</v>
          </cell>
          <cell r="AH55">
            <v>0</v>
          </cell>
          <cell r="AJ55" t="str">
            <v xml:space="preserve"> + </v>
          </cell>
          <cell r="AK55" t="str">
            <v>FUT : PRV : 2DHH</v>
          </cell>
          <cell r="AL55">
            <v>1.8E-3</v>
          </cell>
          <cell r="AM55">
            <v>5</v>
          </cell>
          <cell r="AN55" t="str">
            <v>FUT : PRV : 2DHH</v>
          </cell>
          <cell r="AO55">
            <v>1.8E-3</v>
          </cell>
          <cell r="AP55">
            <v>4</v>
          </cell>
          <cell r="AQ55" t="str">
            <v>FUT : PRV : 2DHH</v>
          </cell>
          <cell r="AR55">
            <v>1.8E-3</v>
          </cell>
          <cell r="AS55">
            <v>3</v>
          </cell>
          <cell r="AT55" t="str">
            <v>FUT : PRV : 2DHH</v>
          </cell>
          <cell r="AU55">
            <v>1.8E-3</v>
          </cell>
          <cell r="AV55">
            <v>2</v>
          </cell>
          <cell r="AW55" t="str">
            <v>FUT : PRV : 2DHH</v>
          </cell>
          <cell r="AX55">
            <v>1.8E-3</v>
          </cell>
          <cell r="AY55">
            <v>1</v>
          </cell>
          <cell r="AZ55">
            <v>0</v>
          </cell>
          <cell r="BA55">
            <v>0</v>
          </cell>
          <cell r="BB55">
            <v>0</v>
          </cell>
          <cell r="BD55" t="str">
            <v xml:space="preserve"> RC. Time</v>
          </cell>
          <cell r="BE55">
            <v>0.39582638888888888</v>
          </cell>
          <cell r="BF55">
            <v>0.39582638888888888</v>
          </cell>
          <cell r="BG55" t="str">
            <v>N.A.</v>
          </cell>
          <cell r="BJ55" t="str">
            <v>Short</v>
          </cell>
          <cell r="BK55">
            <v>1.8E-3</v>
          </cell>
          <cell r="BL55">
            <v>1.8E-3</v>
          </cell>
          <cell r="BO55" t="str">
            <v>Put</v>
          </cell>
          <cell r="BP55" t="str">
            <v/>
          </cell>
        </row>
        <row r="56">
          <cell r="B56" t="str">
            <v>S9C</v>
          </cell>
          <cell r="C56" t="str">
            <v>Segment</v>
          </cell>
          <cell r="D56" t="str">
            <v>FUTURES</v>
          </cell>
          <cell r="E56" t="str">
            <v>Contract</v>
          </cell>
          <cell r="F56" t="str">
            <v>MONTHLY</v>
          </cell>
        </row>
        <row r="57">
          <cell r="B57" t="str">
            <v>S9D</v>
          </cell>
          <cell r="C57" t="str">
            <v>Symbol</v>
          </cell>
          <cell r="D57" t="str">
            <v>NIFTY</v>
          </cell>
          <cell r="E57" t="str">
            <v>Bear / 
Bear CF</v>
          </cell>
          <cell r="F57" t="str">
            <v>Long</v>
          </cell>
          <cell r="G57" t="str">
            <v>FUT : PRV : 2DHH</v>
          </cell>
          <cell r="H57" t="str">
            <v xml:space="preserve"> + </v>
          </cell>
          <cell r="I57">
            <v>1.8E-3</v>
          </cell>
          <cell r="J57">
            <v>5</v>
          </cell>
          <cell r="L57" t="str">
            <v xml:space="preserve">L : Entry </v>
          </cell>
          <cell r="M57" t="str">
            <v xml:space="preserve"> + </v>
          </cell>
          <cell r="N57">
            <v>1.4999999999999999E-2</v>
          </cell>
          <cell r="O57">
            <v>1</v>
          </cell>
          <cell r="P57">
            <v>0.02</v>
          </cell>
          <cell r="Q57">
            <v>1</v>
          </cell>
          <cell r="R57">
            <v>2.5000000000000001E-2</v>
          </cell>
          <cell r="S57">
            <v>1</v>
          </cell>
          <cell r="T57">
            <v>0.03</v>
          </cell>
          <cell r="U57">
            <v>1</v>
          </cell>
          <cell r="V57" t="str">
            <v>TR PROFIT AFTER TGT 4</v>
          </cell>
          <cell r="W57">
            <v>1</v>
          </cell>
          <cell r="X57" t="str">
            <v>N.A.</v>
          </cell>
          <cell r="Y57" t="str">
            <v>N.A.</v>
          </cell>
          <cell r="AA57" t="str">
            <v>Max</v>
          </cell>
          <cell r="AB57" t="str">
            <v>MSL &amp; TSL</v>
          </cell>
          <cell r="AC57" t="str">
            <v>Entry &amp; TRP</v>
          </cell>
          <cell r="AE57" t="str">
            <v>L : Entry</v>
          </cell>
          <cell r="AF57" t="str">
            <v xml:space="preserve"> - </v>
          </cell>
          <cell r="AG57">
            <v>1.4999999999999999E-2</v>
          </cell>
          <cell r="AH57">
            <v>0</v>
          </cell>
          <cell r="AJ57" t="str">
            <v xml:space="preserve"> - </v>
          </cell>
          <cell r="AK57" t="str">
            <v>FUT : PRV : 2DLL</v>
          </cell>
          <cell r="AL57">
            <v>1.8E-3</v>
          </cell>
          <cell r="AM57">
            <v>5</v>
          </cell>
          <cell r="AN57" t="str">
            <v>FUT : PRV : 2DLL</v>
          </cell>
          <cell r="AO57">
            <v>1.8E-3</v>
          </cell>
          <cell r="AP57">
            <v>4</v>
          </cell>
          <cell r="AQ57" t="str">
            <v>FUT : PRV : 2DLL</v>
          </cell>
          <cell r="AR57">
            <v>1.8E-3</v>
          </cell>
          <cell r="AS57">
            <v>3</v>
          </cell>
          <cell r="AT57" t="str">
            <v>FUT : PRV : 2DLL</v>
          </cell>
          <cell r="AU57">
            <v>1.8E-3</v>
          </cell>
          <cell r="AV57">
            <v>2</v>
          </cell>
          <cell r="AW57" t="str">
            <v>FUT : PRV : 2DLL</v>
          </cell>
          <cell r="AX57">
            <v>1.8E-3</v>
          </cell>
          <cell r="AY57">
            <v>1</v>
          </cell>
          <cell r="AZ57">
            <v>0</v>
          </cell>
          <cell r="BA57">
            <v>0</v>
          </cell>
          <cell r="BB57">
            <v>0</v>
          </cell>
          <cell r="BD57" t="str">
            <v>Market Start Time</v>
          </cell>
          <cell r="BE57">
            <v>0.38541666666666669</v>
          </cell>
          <cell r="BI57" t="str">
            <v>Bear / 
Bear CF</v>
          </cell>
          <cell r="BJ57" t="str">
            <v>Long</v>
          </cell>
          <cell r="BK57">
            <v>1.8E-3</v>
          </cell>
          <cell r="BL57">
            <v>1.8E-3</v>
          </cell>
          <cell r="BN57" t="str">
            <v>Bear | 
Bear CF</v>
          </cell>
          <cell r="BO57" t="str">
            <v>Call</v>
          </cell>
          <cell r="BP57" t="str">
            <v/>
          </cell>
        </row>
        <row r="58">
          <cell r="B58" t="str">
            <v>S9E</v>
          </cell>
          <cell r="C58" t="str">
            <v>No. of Targets</v>
          </cell>
          <cell r="D58" t="str">
            <v>4 &amp; APS</v>
          </cell>
          <cell r="F58" t="str">
            <v>Short</v>
          </cell>
          <cell r="G58" t="str">
            <v>FUT : PRV : 2DLL</v>
          </cell>
          <cell r="H58" t="str">
            <v xml:space="preserve"> - </v>
          </cell>
          <cell r="I58">
            <v>1.8E-3</v>
          </cell>
          <cell r="J58">
            <v>5</v>
          </cell>
          <cell r="L58" t="str">
            <v xml:space="preserve">S : Entry </v>
          </cell>
          <cell r="M58" t="str">
            <v xml:space="preserve"> - </v>
          </cell>
          <cell r="N58">
            <v>1.4999999999999999E-2</v>
          </cell>
          <cell r="O58">
            <v>1</v>
          </cell>
          <cell r="P58">
            <v>0.02</v>
          </cell>
          <cell r="Q58">
            <v>1</v>
          </cell>
          <cell r="R58">
            <v>2.5000000000000001E-2</v>
          </cell>
          <cell r="S58">
            <v>1</v>
          </cell>
          <cell r="T58">
            <v>0.03</v>
          </cell>
          <cell r="U58">
            <v>1</v>
          </cell>
          <cell r="V58" t="str">
            <v>TR PROFIT AFTER TGT 4</v>
          </cell>
          <cell r="W58">
            <v>1</v>
          </cell>
          <cell r="X58" t="str">
            <v>N.A.</v>
          </cell>
          <cell r="Y58" t="str">
            <v>N.A.</v>
          </cell>
          <cell r="AA58" t="str">
            <v>Min</v>
          </cell>
          <cell r="AB58" t="str">
            <v>MSL &amp; TSL</v>
          </cell>
          <cell r="AC58" t="str">
            <v>Entry &amp; TRP</v>
          </cell>
          <cell r="AE58" t="str">
            <v>S : Entry</v>
          </cell>
          <cell r="AF58" t="str">
            <v xml:space="preserve"> + </v>
          </cell>
          <cell r="AG58">
            <v>1.4999999999999999E-2</v>
          </cell>
          <cell r="AH58">
            <v>0</v>
          </cell>
          <cell r="AJ58" t="str">
            <v xml:space="preserve"> + </v>
          </cell>
          <cell r="AK58" t="str">
            <v>FUT : PRV : 2DHH</v>
          </cell>
          <cell r="AL58">
            <v>1.8E-3</v>
          </cell>
          <cell r="AM58">
            <v>5</v>
          </cell>
          <cell r="AN58" t="str">
            <v>FUT : PRV : 2DHH</v>
          </cell>
          <cell r="AO58">
            <v>1.8E-3</v>
          </cell>
          <cell r="AP58">
            <v>4</v>
          </cell>
          <cell r="AQ58" t="str">
            <v>FUT : PRV : 2DHH</v>
          </cell>
          <cell r="AR58">
            <v>1.8E-3</v>
          </cell>
          <cell r="AS58">
            <v>3</v>
          </cell>
          <cell r="AT58" t="str">
            <v>FUT : PRV : 2DHH</v>
          </cell>
          <cell r="AU58">
            <v>1.8E-3</v>
          </cell>
          <cell r="AV58">
            <v>2</v>
          </cell>
          <cell r="AW58" t="str">
            <v>FUT : PRV : 2DHH</v>
          </cell>
          <cell r="AX58">
            <v>1.8E-3</v>
          </cell>
          <cell r="AY58">
            <v>1</v>
          </cell>
          <cell r="AZ58">
            <v>0</v>
          </cell>
          <cell r="BA58">
            <v>0</v>
          </cell>
          <cell r="BB58">
            <v>0</v>
          </cell>
          <cell r="BD58" t="str">
            <v>Market End Time</v>
          </cell>
          <cell r="BE58">
            <v>0.64583333333333337</v>
          </cell>
          <cell r="BJ58" t="str">
            <v>Short</v>
          </cell>
          <cell r="BK58">
            <v>1.8E-3</v>
          </cell>
          <cell r="BL58">
            <v>1.8E-3</v>
          </cell>
          <cell r="BO58" t="str">
            <v>Put</v>
          </cell>
          <cell r="BP58" t="str">
            <v/>
          </cell>
        </row>
        <row r="60">
          <cell r="B60" t="str">
            <v>S10A</v>
          </cell>
          <cell r="C60" t="str">
            <v>Strategy Code</v>
          </cell>
          <cell r="D60" t="str">
            <v>S10</v>
          </cell>
          <cell r="E60" t="str">
            <v>Bull / 
Bull CF</v>
          </cell>
          <cell r="F60" t="str">
            <v>Long</v>
          </cell>
          <cell r="G60" t="str">
            <v>FUT : PRV : 2DHH</v>
          </cell>
          <cell r="H60" t="str">
            <v xml:space="preserve"> + </v>
          </cell>
          <cell r="I60">
            <v>0</v>
          </cell>
          <cell r="J60">
            <v>5</v>
          </cell>
          <cell r="L60" t="str">
            <v xml:space="preserve">L : Entry </v>
          </cell>
          <cell r="M60" t="str">
            <v xml:space="preserve"> + </v>
          </cell>
          <cell r="N60">
            <v>0.01</v>
          </cell>
          <cell r="O60">
            <v>1</v>
          </cell>
          <cell r="P60">
            <v>1.4999999999999999E-2</v>
          </cell>
          <cell r="Q60">
            <v>1</v>
          </cell>
          <cell r="R60">
            <v>0.02</v>
          </cell>
          <cell r="S60">
            <v>1</v>
          </cell>
          <cell r="T60">
            <v>2.5000000000000001E-2</v>
          </cell>
          <cell r="U60">
            <v>1</v>
          </cell>
          <cell r="V60" t="str">
            <v>TR PROFIT AFTER TGT 4</v>
          </cell>
          <cell r="W60">
            <v>1</v>
          </cell>
          <cell r="X60" t="str">
            <v>N.A.</v>
          </cell>
          <cell r="Y60" t="str">
            <v>N.A.</v>
          </cell>
          <cell r="AA60" t="str">
            <v>Max</v>
          </cell>
          <cell r="AB60" t="str">
            <v>MSL &amp; TSL</v>
          </cell>
          <cell r="AC60" t="str">
            <v>Entry &amp; TRP</v>
          </cell>
          <cell r="AE60" t="str">
            <v>L : Entry</v>
          </cell>
          <cell r="AF60" t="str">
            <v xml:space="preserve"> - </v>
          </cell>
          <cell r="AG60">
            <v>0.01</v>
          </cell>
          <cell r="AH60">
            <v>0</v>
          </cell>
          <cell r="AJ60" t="str">
            <v xml:space="preserve"> - </v>
          </cell>
          <cell r="AK60" t="str">
            <v>FUT : PRV : 3DLL</v>
          </cell>
          <cell r="AL60">
            <v>1E-3</v>
          </cell>
          <cell r="AM60">
            <v>5</v>
          </cell>
          <cell r="AN60" t="str">
            <v>FUT : PRV : 3DLL</v>
          </cell>
          <cell r="AO60">
            <v>1E-3</v>
          </cell>
          <cell r="AP60">
            <v>4</v>
          </cell>
          <cell r="AQ60" t="str">
            <v>FUT : PRV : 3DLL</v>
          </cell>
          <cell r="AR60">
            <v>1E-3</v>
          </cell>
          <cell r="AS60">
            <v>3</v>
          </cell>
          <cell r="AT60" t="str">
            <v>FUT : PRV : 3DLL</v>
          </cell>
          <cell r="AU60">
            <v>1E-3</v>
          </cell>
          <cell r="AV60">
            <v>2</v>
          </cell>
          <cell r="AW60" t="str">
            <v>FUT : PRV : 3DLL</v>
          </cell>
          <cell r="AX60">
            <v>1E-3</v>
          </cell>
          <cell r="AY60">
            <v>1</v>
          </cell>
          <cell r="AZ60">
            <v>0</v>
          </cell>
          <cell r="BA60">
            <v>0</v>
          </cell>
          <cell r="BB60">
            <v>0</v>
          </cell>
          <cell r="BD60" t="str">
            <v xml:space="preserve">ORPT </v>
          </cell>
          <cell r="BE60">
            <v>0.37846527777777778</v>
          </cell>
          <cell r="BF60">
            <v>0.37846527777777778</v>
          </cell>
          <cell r="BG60">
            <v>0.375</v>
          </cell>
          <cell r="BI60" t="str">
            <v>Bull / 
Bull CF</v>
          </cell>
          <cell r="BJ60" t="str">
            <v>Long</v>
          </cell>
          <cell r="BK60">
            <v>1E-3</v>
          </cell>
          <cell r="BL60">
            <v>1E-3</v>
          </cell>
          <cell r="BN60" t="str">
            <v>Bull | 
Bull CF</v>
          </cell>
          <cell r="BO60" t="str">
            <v>Call</v>
          </cell>
          <cell r="BP60" t="str">
            <v/>
          </cell>
          <cell r="CU60">
            <v>0.95833333333333326</v>
          </cell>
        </row>
        <row r="61">
          <cell r="B61" t="str">
            <v>S10B</v>
          </cell>
          <cell r="C61" t="str">
            <v>Unique Code</v>
          </cell>
          <cell r="D61" t="str">
            <v>GOLDM_FUT_MT_DIFF_2D_3D</v>
          </cell>
          <cell r="F61" t="str">
            <v>Short</v>
          </cell>
          <cell r="G61" t="str">
            <v>FUT : PRV : 3DLL</v>
          </cell>
          <cell r="H61" t="str">
            <v xml:space="preserve"> - </v>
          </cell>
          <cell r="I61">
            <v>1E-3</v>
          </cell>
          <cell r="J61">
            <v>5</v>
          </cell>
          <cell r="L61" t="str">
            <v xml:space="preserve">S : Entry </v>
          </cell>
          <cell r="M61" t="str">
            <v xml:space="preserve"> - </v>
          </cell>
          <cell r="N61">
            <v>0.01</v>
          </cell>
          <cell r="O61">
            <v>1</v>
          </cell>
          <cell r="P61">
            <v>1.4999999999999999E-2</v>
          </cell>
          <cell r="Q61">
            <v>1</v>
          </cell>
          <cell r="R61">
            <v>0.02</v>
          </cell>
          <cell r="S61">
            <v>1</v>
          </cell>
          <cell r="T61">
            <v>2.5000000000000001E-2</v>
          </cell>
          <cell r="U61">
            <v>1</v>
          </cell>
          <cell r="V61" t="str">
            <v>TR PROFIT AFTER TGT 4</v>
          </cell>
          <cell r="W61">
            <v>1</v>
          </cell>
          <cell r="X61" t="str">
            <v>N.A.</v>
          </cell>
          <cell r="Y61" t="str">
            <v>N.A.</v>
          </cell>
          <cell r="AA61" t="str">
            <v>Min</v>
          </cell>
          <cell r="AB61" t="str">
            <v>MSL &amp; TSL</v>
          </cell>
          <cell r="AC61" t="str">
            <v>Entry &amp; TRP</v>
          </cell>
          <cell r="AE61" t="str">
            <v>S : Entry</v>
          </cell>
          <cell r="AF61" t="str">
            <v xml:space="preserve"> + </v>
          </cell>
          <cell r="AG61">
            <v>0.01</v>
          </cell>
          <cell r="AH61">
            <v>0</v>
          </cell>
          <cell r="AJ61" t="str">
            <v xml:space="preserve"> + </v>
          </cell>
          <cell r="AK61" t="str">
            <v>FUT : PRV : 2DHH</v>
          </cell>
          <cell r="AL61">
            <v>0</v>
          </cell>
          <cell r="AM61">
            <v>5</v>
          </cell>
          <cell r="AN61" t="str">
            <v>FUT : PRV : 2DHH</v>
          </cell>
          <cell r="AO61">
            <v>0</v>
          </cell>
          <cell r="AP61">
            <v>4</v>
          </cell>
          <cell r="AQ61" t="str">
            <v>FUT : PRV : 2DHH</v>
          </cell>
          <cell r="AR61">
            <v>0</v>
          </cell>
          <cell r="AS61">
            <v>3</v>
          </cell>
          <cell r="AT61" t="str">
            <v>FUT : PRV : 2DHH</v>
          </cell>
          <cell r="AU61">
            <v>0</v>
          </cell>
          <cell r="AV61">
            <v>2</v>
          </cell>
          <cell r="AW61" t="str">
            <v>FUT : PRV : 2DHH</v>
          </cell>
          <cell r="AX61">
            <v>0</v>
          </cell>
          <cell r="AY61">
            <v>1</v>
          </cell>
          <cell r="AZ61">
            <v>0</v>
          </cell>
          <cell r="BA61">
            <v>0</v>
          </cell>
          <cell r="BB61">
            <v>0</v>
          </cell>
          <cell r="BD61" t="str">
            <v xml:space="preserve"> RC. Time</v>
          </cell>
          <cell r="BE61">
            <v>0.38540972222222225</v>
          </cell>
          <cell r="BF61">
            <v>0.38540972222222225</v>
          </cell>
          <cell r="BG61" t="str">
            <v>N.A.</v>
          </cell>
          <cell r="BJ61" t="str">
            <v>Short</v>
          </cell>
          <cell r="BK61">
            <v>1E-3</v>
          </cell>
          <cell r="BL61">
            <v>1E-3</v>
          </cell>
          <cell r="BO61" t="str">
            <v>Put</v>
          </cell>
          <cell r="BP61" t="str">
            <v/>
          </cell>
        </row>
        <row r="62">
          <cell r="B62" t="str">
            <v>S10C</v>
          </cell>
          <cell r="C62" t="str">
            <v>Segment</v>
          </cell>
          <cell r="D62" t="str">
            <v>FUTURES</v>
          </cell>
          <cell r="E62" t="str">
            <v>Contract</v>
          </cell>
          <cell r="F62" t="str">
            <v>MONTHLY</v>
          </cell>
        </row>
        <row r="63">
          <cell r="B63" t="str">
            <v>S10D</v>
          </cell>
          <cell r="C63" t="str">
            <v>Symbol</v>
          </cell>
          <cell r="D63" t="str">
            <v>GOLDM</v>
          </cell>
          <cell r="E63" t="str">
            <v>Bear / 
Bear CF</v>
          </cell>
          <cell r="F63" t="str">
            <v>Long</v>
          </cell>
          <cell r="G63" t="str">
            <v>FUT : PRV : 3DHH</v>
          </cell>
          <cell r="H63" t="str">
            <v xml:space="preserve"> + </v>
          </cell>
          <cell r="I63">
            <v>1E-3</v>
          </cell>
          <cell r="J63">
            <v>5</v>
          </cell>
          <cell r="L63" t="str">
            <v xml:space="preserve">L : Entry </v>
          </cell>
          <cell r="M63" t="str">
            <v xml:space="preserve"> + </v>
          </cell>
          <cell r="N63">
            <v>0.01</v>
          </cell>
          <cell r="O63">
            <v>1</v>
          </cell>
          <cell r="P63">
            <v>1.4999999999999999E-2</v>
          </cell>
          <cell r="Q63">
            <v>1</v>
          </cell>
          <cell r="R63">
            <v>0.02</v>
          </cell>
          <cell r="S63">
            <v>1</v>
          </cell>
          <cell r="T63">
            <v>2.5000000000000001E-2</v>
          </cell>
          <cell r="U63">
            <v>1</v>
          </cell>
          <cell r="V63" t="str">
            <v>TR PROFIT AFTER TGT 4</v>
          </cell>
          <cell r="W63">
            <v>1</v>
          </cell>
          <cell r="X63" t="str">
            <v>N.A.</v>
          </cell>
          <cell r="Y63" t="str">
            <v>N.A.</v>
          </cell>
          <cell r="AA63" t="str">
            <v>Max</v>
          </cell>
          <cell r="AB63" t="str">
            <v>MSL &amp; TSL</v>
          </cell>
          <cell r="AC63" t="str">
            <v>Entry &amp; TRP</v>
          </cell>
          <cell r="AE63" t="str">
            <v>L : Entry</v>
          </cell>
          <cell r="AF63" t="str">
            <v xml:space="preserve"> - </v>
          </cell>
          <cell r="AG63">
            <v>0.01</v>
          </cell>
          <cell r="AH63">
            <v>0</v>
          </cell>
          <cell r="AJ63" t="str">
            <v xml:space="preserve"> - </v>
          </cell>
          <cell r="AK63" t="str">
            <v>FUT : PRV : 2DLL</v>
          </cell>
          <cell r="AL63">
            <v>0</v>
          </cell>
          <cell r="AM63">
            <v>5</v>
          </cell>
          <cell r="AN63" t="str">
            <v>FUT : PRV : 2DLL</v>
          </cell>
          <cell r="AO63">
            <v>0</v>
          </cell>
          <cell r="AP63">
            <v>4</v>
          </cell>
          <cell r="AQ63" t="str">
            <v>FUT : PRV : 2DLL</v>
          </cell>
          <cell r="AR63">
            <v>0</v>
          </cell>
          <cell r="AS63">
            <v>3</v>
          </cell>
          <cell r="AT63" t="str">
            <v>FUT : PRV : 2DLL</v>
          </cell>
          <cell r="AU63">
            <v>0</v>
          </cell>
          <cell r="AV63">
            <v>2</v>
          </cell>
          <cell r="AW63" t="str">
            <v>FUT : PRV : 2DLL</v>
          </cell>
          <cell r="AX63">
            <v>0</v>
          </cell>
          <cell r="AY63">
            <v>1</v>
          </cell>
          <cell r="AZ63">
            <v>0</v>
          </cell>
          <cell r="BA63">
            <v>0</v>
          </cell>
          <cell r="BB63">
            <v>0</v>
          </cell>
          <cell r="BD63" t="str">
            <v>Market Start Time</v>
          </cell>
          <cell r="BE63">
            <v>0.375</v>
          </cell>
          <cell r="BI63" t="str">
            <v>Bear / 
Bear CF</v>
          </cell>
          <cell r="BJ63" t="str">
            <v>Long</v>
          </cell>
          <cell r="BK63">
            <v>1E-3</v>
          </cell>
          <cell r="BL63">
            <v>1E-3</v>
          </cell>
          <cell r="BN63" t="str">
            <v>Bear | 
Bear CF</v>
          </cell>
          <cell r="BO63" t="str">
            <v>Call</v>
          </cell>
          <cell r="BP63" t="str">
            <v/>
          </cell>
        </row>
        <row r="64">
          <cell r="B64" t="str">
            <v>S10E</v>
          </cell>
          <cell r="C64" t="str">
            <v>No. of Targets</v>
          </cell>
          <cell r="D64" t="str">
            <v>4 &amp; APS</v>
          </cell>
          <cell r="F64" t="str">
            <v>Short</v>
          </cell>
          <cell r="G64" t="str">
            <v>FUT : PRV : 2DLL</v>
          </cell>
          <cell r="H64" t="str">
            <v xml:space="preserve"> - </v>
          </cell>
          <cell r="I64">
            <v>0</v>
          </cell>
          <cell r="J64">
            <v>5</v>
          </cell>
          <cell r="L64" t="str">
            <v xml:space="preserve">S : Entry </v>
          </cell>
          <cell r="M64" t="str">
            <v xml:space="preserve"> - </v>
          </cell>
          <cell r="N64">
            <v>0.01</v>
          </cell>
          <cell r="O64">
            <v>1</v>
          </cell>
          <cell r="P64">
            <v>1.4999999999999999E-2</v>
          </cell>
          <cell r="Q64">
            <v>1</v>
          </cell>
          <cell r="R64">
            <v>0.02</v>
          </cell>
          <cell r="S64">
            <v>1</v>
          </cell>
          <cell r="T64">
            <v>2.5000000000000001E-2</v>
          </cell>
          <cell r="U64">
            <v>1</v>
          </cell>
          <cell r="V64" t="str">
            <v>TR PROFIT AFTER TGT 4</v>
          </cell>
          <cell r="W64">
            <v>1</v>
          </cell>
          <cell r="X64" t="str">
            <v>N.A.</v>
          </cell>
          <cell r="Y64" t="str">
            <v>N.A.</v>
          </cell>
          <cell r="AA64" t="str">
            <v>Min</v>
          </cell>
          <cell r="AB64" t="str">
            <v>MSL &amp; TSL</v>
          </cell>
          <cell r="AC64" t="str">
            <v>Entry &amp; TRP</v>
          </cell>
          <cell r="AE64" t="str">
            <v>S : Entry</v>
          </cell>
          <cell r="AF64" t="str">
            <v xml:space="preserve"> + </v>
          </cell>
          <cell r="AG64">
            <v>0.01</v>
          </cell>
          <cell r="AH64">
            <v>0</v>
          </cell>
          <cell r="AJ64" t="str">
            <v xml:space="preserve"> + </v>
          </cell>
          <cell r="AK64" t="str">
            <v>FUT : PRV : 3DHH</v>
          </cell>
          <cell r="AL64">
            <v>1E-3</v>
          </cell>
          <cell r="AM64">
            <v>5</v>
          </cell>
          <cell r="AN64" t="str">
            <v>FUT : PRV : 3DHH</v>
          </cell>
          <cell r="AO64">
            <v>1E-3</v>
          </cell>
          <cell r="AP64">
            <v>4</v>
          </cell>
          <cell r="AQ64" t="str">
            <v>FUT : PRV : 3DHH</v>
          </cell>
          <cell r="AR64">
            <v>1E-3</v>
          </cell>
          <cell r="AS64">
            <v>3</v>
          </cell>
          <cell r="AT64" t="str">
            <v>FUT : PRV : 3DHH</v>
          </cell>
          <cell r="AU64">
            <v>1E-3</v>
          </cell>
          <cell r="AV64">
            <v>2</v>
          </cell>
          <cell r="AW64" t="str">
            <v>FUT : PRV : 3DHH</v>
          </cell>
          <cell r="AX64">
            <v>1E-3</v>
          </cell>
          <cell r="AY64">
            <v>1</v>
          </cell>
          <cell r="AZ64">
            <v>0</v>
          </cell>
          <cell r="BA64">
            <v>0</v>
          </cell>
          <cell r="BB64">
            <v>0</v>
          </cell>
          <cell r="BD64" t="str">
            <v>Market End Time</v>
          </cell>
          <cell r="BE64">
            <v>0.97916666666666663</v>
          </cell>
          <cell r="BJ64" t="str">
            <v>Short</v>
          </cell>
          <cell r="BK64">
            <v>1E-3</v>
          </cell>
          <cell r="BL64">
            <v>1E-3</v>
          </cell>
          <cell r="BO64" t="str">
            <v>Put</v>
          </cell>
          <cell r="BP64" t="str">
            <v/>
          </cell>
        </row>
        <row r="66">
          <cell r="B66" t="str">
            <v>S11A</v>
          </cell>
          <cell r="C66" t="str">
            <v>Strategy Code</v>
          </cell>
          <cell r="D66" t="str">
            <v>S11</v>
          </cell>
          <cell r="E66" t="str">
            <v>Bull / 
Bull CF</v>
          </cell>
          <cell r="F66" t="str">
            <v>Long</v>
          </cell>
          <cell r="G66" t="str">
            <v>FUT : PRV : 3DHH</v>
          </cell>
          <cell r="H66" t="str">
            <v xml:space="preserve"> + </v>
          </cell>
          <cell r="I66">
            <v>1E-3</v>
          </cell>
          <cell r="J66">
            <v>5</v>
          </cell>
          <cell r="L66" t="str">
            <v xml:space="preserve">L : Entry </v>
          </cell>
          <cell r="M66" t="str">
            <v xml:space="preserve"> + </v>
          </cell>
          <cell r="N66">
            <v>0.01</v>
          </cell>
          <cell r="O66">
            <v>1</v>
          </cell>
          <cell r="P66">
            <v>1.4999999999999999E-2</v>
          </cell>
          <cell r="Q66">
            <v>1</v>
          </cell>
          <cell r="R66">
            <v>0.02</v>
          </cell>
          <cell r="S66">
            <v>1</v>
          </cell>
          <cell r="T66">
            <v>2.5000000000000001E-2</v>
          </cell>
          <cell r="U66">
            <v>1</v>
          </cell>
          <cell r="V66" t="str">
            <v>TR PROFIT AFTER TGT 4</v>
          </cell>
          <cell r="W66">
            <v>1</v>
          </cell>
          <cell r="X66" t="str">
            <v>N.A.</v>
          </cell>
          <cell r="Y66" t="str">
            <v>N.A.</v>
          </cell>
          <cell r="AA66" t="str">
            <v>Max</v>
          </cell>
          <cell r="AB66" t="str">
            <v>MSL &amp; TSL</v>
          </cell>
          <cell r="AC66" t="str">
            <v>Entry &amp; TRP</v>
          </cell>
          <cell r="AE66" t="str">
            <v>L : Entry</v>
          </cell>
          <cell r="AF66" t="str">
            <v xml:space="preserve"> - </v>
          </cell>
          <cell r="AG66">
            <v>0.01</v>
          </cell>
          <cell r="AH66">
            <v>0</v>
          </cell>
          <cell r="AJ66" t="str">
            <v xml:space="preserve"> - </v>
          </cell>
          <cell r="AK66" t="str">
            <v>FUT : PRV : 3DLL</v>
          </cell>
          <cell r="AL66">
            <v>1E-3</v>
          </cell>
          <cell r="AM66">
            <v>5</v>
          </cell>
          <cell r="AN66" t="str">
            <v>FUT : PRV : 3DLL</v>
          </cell>
          <cell r="AO66">
            <v>1E-3</v>
          </cell>
          <cell r="AP66">
            <v>4</v>
          </cell>
          <cell r="AQ66" t="str">
            <v>FUT : PRV : 3DLL</v>
          </cell>
          <cell r="AR66">
            <v>1E-3</v>
          </cell>
          <cell r="AS66">
            <v>3</v>
          </cell>
          <cell r="AT66" t="str">
            <v>FUT : PRV : 3DLL</v>
          </cell>
          <cell r="AU66">
            <v>1E-3</v>
          </cell>
          <cell r="AV66">
            <v>2</v>
          </cell>
          <cell r="AW66" t="str">
            <v>FUT : PRV : 3DLL</v>
          </cell>
          <cell r="AX66">
            <v>1E-3</v>
          </cell>
          <cell r="AY66">
            <v>1</v>
          </cell>
          <cell r="AZ66">
            <v>0</v>
          </cell>
          <cell r="BA66">
            <v>0</v>
          </cell>
          <cell r="BB66">
            <v>0</v>
          </cell>
          <cell r="BD66" t="str">
            <v xml:space="preserve">ORPT </v>
          </cell>
          <cell r="BE66">
            <v>0.37846527777777778</v>
          </cell>
          <cell r="BF66">
            <v>0.37846527777777778</v>
          </cell>
          <cell r="BG66">
            <v>0.375</v>
          </cell>
          <cell r="BI66" t="str">
            <v>Bull / 
Bull CF</v>
          </cell>
          <cell r="BJ66" t="str">
            <v>Long</v>
          </cell>
          <cell r="BK66">
            <v>1E-3</v>
          </cell>
          <cell r="BL66">
            <v>1E-3</v>
          </cell>
          <cell r="BN66" t="str">
            <v>Bull | 
Bull CF</v>
          </cell>
          <cell r="BO66" t="str">
            <v>Call</v>
          </cell>
          <cell r="BP66" t="str">
            <v/>
          </cell>
          <cell r="CU66">
            <v>0.95833333333333326</v>
          </cell>
        </row>
        <row r="67">
          <cell r="B67" t="str">
            <v>S11B</v>
          </cell>
          <cell r="C67" t="str">
            <v>Unique Code</v>
          </cell>
          <cell r="D67" t="str">
            <v>GOLDM_FUT_MT_SAME_3D_3D</v>
          </cell>
          <cell r="F67" t="str">
            <v>Short</v>
          </cell>
          <cell r="G67" t="str">
            <v>FUT : PRV : 3DLL</v>
          </cell>
          <cell r="H67" t="str">
            <v xml:space="preserve"> - </v>
          </cell>
          <cell r="I67">
            <v>1E-3</v>
          </cell>
          <cell r="J67">
            <v>5</v>
          </cell>
          <cell r="L67" t="str">
            <v xml:space="preserve">S : Entry </v>
          </cell>
          <cell r="M67" t="str">
            <v xml:space="preserve"> - </v>
          </cell>
          <cell r="N67">
            <v>0.01</v>
          </cell>
          <cell r="O67">
            <v>1</v>
          </cell>
          <cell r="P67">
            <v>1.4999999999999999E-2</v>
          </cell>
          <cell r="Q67">
            <v>1</v>
          </cell>
          <cell r="R67">
            <v>0.02</v>
          </cell>
          <cell r="S67">
            <v>1</v>
          </cell>
          <cell r="T67">
            <v>2.5000000000000001E-2</v>
          </cell>
          <cell r="U67">
            <v>1</v>
          </cell>
          <cell r="V67" t="str">
            <v>TR PROFIT AFTER TGT 4</v>
          </cell>
          <cell r="W67">
            <v>1</v>
          </cell>
          <cell r="X67" t="str">
            <v>N.A.</v>
          </cell>
          <cell r="Y67" t="str">
            <v>N.A.</v>
          </cell>
          <cell r="AA67" t="str">
            <v>Min</v>
          </cell>
          <cell r="AB67" t="str">
            <v>MSL &amp; TSL</v>
          </cell>
          <cell r="AC67" t="str">
            <v>Entry &amp; TRP</v>
          </cell>
          <cell r="AE67" t="str">
            <v>S : Entry</v>
          </cell>
          <cell r="AF67" t="str">
            <v xml:space="preserve"> + </v>
          </cell>
          <cell r="AG67">
            <v>0.01</v>
          </cell>
          <cell r="AH67">
            <v>0</v>
          </cell>
          <cell r="AJ67" t="str">
            <v xml:space="preserve"> + </v>
          </cell>
          <cell r="AK67" t="str">
            <v>FUT : PRV : 3DHH</v>
          </cell>
          <cell r="AL67">
            <v>1E-3</v>
          </cell>
          <cell r="AM67">
            <v>5</v>
          </cell>
          <cell r="AN67" t="str">
            <v>FUT : PRV : 3DHH</v>
          </cell>
          <cell r="AO67">
            <v>1E-3</v>
          </cell>
          <cell r="AP67">
            <v>4</v>
          </cell>
          <cell r="AQ67" t="str">
            <v>FUT : PRV : 3DHH</v>
          </cell>
          <cell r="AR67">
            <v>1E-3</v>
          </cell>
          <cell r="AS67">
            <v>3</v>
          </cell>
          <cell r="AT67" t="str">
            <v>FUT : PRV : 3DHH</v>
          </cell>
          <cell r="AU67">
            <v>1E-3</v>
          </cell>
          <cell r="AV67">
            <v>2</v>
          </cell>
          <cell r="AW67" t="str">
            <v>FUT : PRV : 3DHH</v>
          </cell>
          <cell r="AX67">
            <v>1E-3</v>
          </cell>
          <cell r="AY67">
            <v>1</v>
          </cell>
          <cell r="AZ67">
            <v>0</v>
          </cell>
          <cell r="BA67">
            <v>0</v>
          </cell>
          <cell r="BB67">
            <v>0</v>
          </cell>
          <cell r="BD67" t="str">
            <v xml:space="preserve"> RC. Time</v>
          </cell>
          <cell r="BE67">
            <v>0.38540972222222225</v>
          </cell>
          <cell r="BF67">
            <v>0.38540972222222225</v>
          </cell>
          <cell r="BG67" t="str">
            <v>N.A.</v>
          </cell>
          <cell r="BJ67" t="str">
            <v>Short</v>
          </cell>
          <cell r="BK67">
            <v>1E-3</v>
          </cell>
          <cell r="BL67">
            <v>1E-3</v>
          </cell>
          <cell r="BO67" t="str">
            <v>Put</v>
          </cell>
          <cell r="BP67" t="str">
            <v/>
          </cell>
        </row>
        <row r="68">
          <cell r="B68" t="str">
            <v>S11C</v>
          </cell>
          <cell r="C68" t="str">
            <v>Segment</v>
          </cell>
          <cell r="D68" t="str">
            <v>FUTURES</v>
          </cell>
          <cell r="E68" t="str">
            <v>Contract</v>
          </cell>
          <cell r="F68" t="str">
            <v>MONTHLY</v>
          </cell>
        </row>
        <row r="69">
          <cell r="B69" t="str">
            <v>S11D</v>
          </cell>
          <cell r="C69" t="str">
            <v>Symbol</v>
          </cell>
          <cell r="D69" t="str">
            <v>GOLDM</v>
          </cell>
          <cell r="E69" t="str">
            <v>Bear / 
Bear CF</v>
          </cell>
          <cell r="F69" t="str">
            <v>Long</v>
          </cell>
          <cell r="G69" t="str">
            <v>FUT : PRV : 3DHH</v>
          </cell>
          <cell r="H69" t="str">
            <v xml:space="preserve"> + </v>
          </cell>
          <cell r="I69">
            <v>1E-3</v>
          </cell>
          <cell r="J69">
            <v>5</v>
          </cell>
          <cell r="L69" t="str">
            <v xml:space="preserve">L : Entry </v>
          </cell>
          <cell r="M69" t="str">
            <v xml:space="preserve"> + </v>
          </cell>
          <cell r="N69">
            <v>0.01</v>
          </cell>
          <cell r="O69">
            <v>1</v>
          </cell>
          <cell r="P69">
            <v>1.4999999999999999E-2</v>
          </cell>
          <cell r="Q69">
            <v>1</v>
          </cell>
          <cell r="R69">
            <v>0.02</v>
          </cell>
          <cell r="S69">
            <v>1</v>
          </cell>
          <cell r="T69">
            <v>2.5000000000000001E-2</v>
          </cell>
          <cell r="U69">
            <v>1</v>
          </cell>
          <cell r="V69" t="str">
            <v>TR PROFIT AFTER TGT 4</v>
          </cell>
          <cell r="W69">
            <v>1</v>
          </cell>
          <cell r="X69" t="str">
            <v>N.A.</v>
          </cell>
          <cell r="Y69" t="str">
            <v>N.A.</v>
          </cell>
          <cell r="AA69" t="str">
            <v>Max</v>
          </cell>
          <cell r="AB69" t="str">
            <v>MSL &amp; TSL</v>
          </cell>
          <cell r="AC69" t="str">
            <v>Entry &amp; TRP</v>
          </cell>
          <cell r="AE69" t="str">
            <v>L : Entry</v>
          </cell>
          <cell r="AF69" t="str">
            <v xml:space="preserve"> - </v>
          </cell>
          <cell r="AG69">
            <v>0.01</v>
          </cell>
          <cell r="AH69">
            <v>0</v>
          </cell>
          <cell r="AJ69" t="str">
            <v xml:space="preserve"> - </v>
          </cell>
          <cell r="AK69" t="str">
            <v>FUT : PRV : 3DLL</v>
          </cell>
          <cell r="AL69">
            <v>1E-3</v>
          </cell>
          <cell r="AM69">
            <v>5</v>
          </cell>
          <cell r="AN69" t="str">
            <v>FUT : PRV : 3DLL</v>
          </cell>
          <cell r="AO69">
            <v>1E-3</v>
          </cell>
          <cell r="AP69">
            <v>4</v>
          </cell>
          <cell r="AQ69" t="str">
            <v>FUT : PRV : 3DLL</v>
          </cell>
          <cell r="AR69">
            <v>1E-3</v>
          </cell>
          <cell r="AS69">
            <v>3</v>
          </cell>
          <cell r="AT69" t="str">
            <v>FUT : PRV : 3DLL</v>
          </cell>
          <cell r="AU69">
            <v>1E-3</v>
          </cell>
          <cell r="AV69">
            <v>2</v>
          </cell>
          <cell r="AW69" t="str">
            <v>FUT : PRV : 3DLL</v>
          </cell>
          <cell r="AX69">
            <v>1E-3</v>
          </cell>
          <cell r="AY69">
            <v>1</v>
          </cell>
          <cell r="AZ69">
            <v>0</v>
          </cell>
          <cell r="BA69">
            <v>0</v>
          </cell>
          <cell r="BB69">
            <v>0</v>
          </cell>
          <cell r="BD69" t="str">
            <v>Market Start Time</v>
          </cell>
          <cell r="BE69">
            <v>0.375</v>
          </cell>
          <cell r="BI69" t="str">
            <v>Bear / 
Bear CF</v>
          </cell>
          <cell r="BJ69" t="str">
            <v>Long</v>
          </cell>
          <cell r="BK69">
            <v>1E-3</v>
          </cell>
          <cell r="BL69">
            <v>1E-3</v>
          </cell>
          <cell r="BN69" t="str">
            <v>Bear | 
Bear CF</v>
          </cell>
          <cell r="BO69" t="str">
            <v>Call</v>
          </cell>
          <cell r="BP69" t="str">
            <v/>
          </cell>
        </row>
        <row r="70">
          <cell r="B70" t="str">
            <v>S11E</v>
          </cell>
          <cell r="C70" t="str">
            <v>No. of Targets</v>
          </cell>
          <cell r="D70" t="str">
            <v>4 &amp; APS</v>
          </cell>
          <cell r="F70" t="str">
            <v>Short</v>
          </cell>
          <cell r="G70" t="str">
            <v>FUT : PRV : 3DLL</v>
          </cell>
          <cell r="H70" t="str">
            <v xml:space="preserve"> - </v>
          </cell>
          <cell r="I70">
            <v>1E-3</v>
          </cell>
          <cell r="J70">
            <v>5</v>
          </cell>
          <cell r="L70" t="str">
            <v xml:space="preserve">S : Entry </v>
          </cell>
          <cell r="M70" t="str">
            <v xml:space="preserve"> - </v>
          </cell>
          <cell r="N70">
            <v>0.01</v>
          </cell>
          <cell r="O70">
            <v>1</v>
          </cell>
          <cell r="P70">
            <v>1.4999999999999999E-2</v>
          </cell>
          <cell r="Q70">
            <v>1</v>
          </cell>
          <cell r="R70">
            <v>0.02</v>
          </cell>
          <cell r="S70">
            <v>1</v>
          </cell>
          <cell r="T70">
            <v>2.5000000000000001E-2</v>
          </cell>
          <cell r="U70">
            <v>1</v>
          </cell>
          <cell r="V70" t="str">
            <v>TR PROFIT AFTER TGT 4</v>
          </cell>
          <cell r="W70">
            <v>1</v>
          </cell>
          <cell r="X70" t="str">
            <v>N.A.</v>
          </cell>
          <cell r="Y70" t="str">
            <v>N.A.</v>
          </cell>
          <cell r="AA70" t="str">
            <v>Min</v>
          </cell>
          <cell r="AB70" t="str">
            <v>MSL &amp; TSL</v>
          </cell>
          <cell r="AC70" t="str">
            <v>Entry &amp; TRP</v>
          </cell>
          <cell r="AE70" t="str">
            <v>S : Entry</v>
          </cell>
          <cell r="AF70" t="str">
            <v xml:space="preserve"> + </v>
          </cell>
          <cell r="AG70">
            <v>0.01</v>
          </cell>
          <cell r="AH70">
            <v>0</v>
          </cell>
          <cell r="AJ70" t="str">
            <v xml:space="preserve"> + </v>
          </cell>
          <cell r="AK70" t="str">
            <v>FUT : PRV : 3DHH</v>
          </cell>
          <cell r="AL70">
            <v>1E-3</v>
          </cell>
          <cell r="AM70">
            <v>5</v>
          </cell>
          <cell r="AN70" t="str">
            <v>FUT : PRV : 3DHH</v>
          </cell>
          <cell r="AO70">
            <v>1E-3</v>
          </cell>
          <cell r="AP70">
            <v>4</v>
          </cell>
          <cell r="AQ70" t="str">
            <v>FUT : PRV : 3DHH</v>
          </cell>
          <cell r="AR70">
            <v>1E-3</v>
          </cell>
          <cell r="AS70">
            <v>3</v>
          </cell>
          <cell r="AT70" t="str">
            <v>FUT : PRV : 3DHH</v>
          </cell>
          <cell r="AU70">
            <v>1E-3</v>
          </cell>
          <cell r="AV70">
            <v>2</v>
          </cell>
          <cell r="AW70" t="str">
            <v>FUT : PRV : 3DHH</v>
          </cell>
          <cell r="AX70">
            <v>1E-3</v>
          </cell>
          <cell r="AY70">
            <v>1</v>
          </cell>
          <cell r="AZ70">
            <v>0</v>
          </cell>
          <cell r="BA70">
            <v>0</v>
          </cell>
          <cell r="BB70">
            <v>0</v>
          </cell>
          <cell r="BD70" t="str">
            <v>Market End Time</v>
          </cell>
          <cell r="BE70">
            <v>0.97916666666666663</v>
          </cell>
          <cell r="BJ70" t="str">
            <v>Short</v>
          </cell>
          <cell r="BK70">
            <v>1E-3</v>
          </cell>
          <cell r="BL70">
            <v>1E-3</v>
          </cell>
          <cell r="BO70" t="str">
            <v>Put</v>
          </cell>
          <cell r="BP70" t="str">
            <v/>
          </cell>
        </row>
        <row r="72">
          <cell r="B72" t="str">
            <v>S12A</v>
          </cell>
          <cell r="C72" t="str">
            <v>Strategy Code</v>
          </cell>
          <cell r="D72" t="str">
            <v>S12</v>
          </cell>
          <cell r="E72" t="str">
            <v>Bull / 
Bull CF</v>
          </cell>
          <cell r="F72" t="str">
            <v>Long</v>
          </cell>
          <cell r="G72" t="str">
            <v>FUT : PRV : 2DHH</v>
          </cell>
          <cell r="H72" t="str">
            <v xml:space="preserve"> + </v>
          </cell>
          <cell r="I72">
            <v>0</v>
          </cell>
          <cell r="J72">
            <v>5</v>
          </cell>
          <cell r="L72" t="str">
            <v xml:space="preserve">L : Entry </v>
          </cell>
          <cell r="M72" t="str">
            <v xml:space="preserve"> + </v>
          </cell>
          <cell r="N72">
            <v>1.4E-2</v>
          </cell>
          <cell r="O72">
            <v>1</v>
          </cell>
          <cell r="P72">
            <v>2.1000000000000001E-2</v>
          </cell>
          <cell r="Q72">
            <v>1</v>
          </cell>
          <cell r="R72">
            <v>2.8000000000000001E-2</v>
          </cell>
          <cell r="S72">
            <v>1</v>
          </cell>
          <cell r="T72">
            <v>3.5000000000000003E-2</v>
          </cell>
          <cell r="U72">
            <v>1</v>
          </cell>
          <cell r="V72" t="str">
            <v>TR PROFIT AFTER TGT 4</v>
          </cell>
          <cell r="W72">
            <v>1</v>
          </cell>
          <cell r="X72" t="str">
            <v>N.A.</v>
          </cell>
          <cell r="Y72" t="str">
            <v>N.A.</v>
          </cell>
          <cell r="AA72" t="str">
            <v>Max</v>
          </cell>
          <cell r="AB72" t="str">
            <v>MSL &amp; TSL</v>
          </cell>
          <cell r="AC72" t="str">
            <v>Entry &amp; TRP</v>
          </cell>
          <cell r="AE72" t="str">
            <v>L : Entry</v>
          </cell>
          <cell r="AF72" t="str">
            <v xml:space="preserve"> - </v>
          </cell>
          <cell r="AG72">
            <v>1.4E-2</v>
          </cell>
          <cell r="AH72">
            <v>0</v>
          </cell>
          <cell r="AJ72" t="str">
            <v xml:space="preserve"> - </v>
          </cell>
          <cell r="AK72" t="str">
            <v>FUT : PRV : 3DLL</v>
          </cell>
          <cell r="AL72">
            <v>1E-3</v>
          </cell>
          <cell r="AM72">
            <v>5</v>
          </cell>
          <cell r="AN72" t="str">
            <v>FUT : PRV : 3DLL</v>
          </cell>
          <cell r="AO72">
            <v>1E-3</v>
          </cell>
          <cell r="AP72">
            <v>4</v>
          </cell>
          <cell r="AQ72" t="str">
            <v>FUT : PRV : 3DLL</v>
          </cell>
          <cell r="AR72">
            <v>1E-3</v>
          </cell>
          <cell r="AS72">
            <v>3</v>
          </cell>
          <cell r="AT72" t="str">
            <v>FUT : PRV : 3DLL</v>
          </cell>
          <cell r="AU72">
            <v>1E-3</v>
          </cell>
          <cell r="AV72">
            <v>2</v>
          </cell>
          <cell r="AW72" t="str">
            <v>FUT : PRV : 3DLL</v>
          </cell>
          <cell r="AX72">
            <v>1E-3</v>
          </cell>
          <cell r="AY72">
            <v>1</v>
          </cell>
          <cell r="AZ72">
            <v>0</v>
          </cell>
          <cell r="BA72">
            <v>0</v>
          </cell>
          <cell r="BB72">
            <v>0</v>
          </cell>
          <cell r="BD72" t="str">
            <v xml:space="preserve">ORPT </v>
          </cell>
          <cell r="BE72">
            <v>0.37846527777777778</v>
          </cell>
          <cell r="BF72">
            <v>0.37846527777777778</v>
          </cell>
          <cell r="BG72">
            <v>0.375</v>
          </cell>
          <cell r="BI72" t="str">
            <v>Bull / 
Bull CF</v>
          </cell>
          <cell r="BJ72" t="str">
            <v>Long</v>
          </cell>
          <cell r="BK72">
            <v>1E-3</v>
          </cell>
          <cell r="BL72">
            <v>1E-3</v>
          </cell>
          <cell r="BN72" t="str">
            <v>Bull | 
Bull CF</v>
          </cell>
          <cell r="BO72" t="str">
            <v>Call</v>
          </cell>
          <cell r="BP72" t="str">
            <v/>
          </cell>
          <cell r="CU72">
            <v>0.95833333333333326</v>
          </cell>
        </row>
        <row r="73">
          <cell r="B73" t="str">
            <v>S12B</v>
          </cell>
          <cell r="C73" t="str">
            <v>Unique Code</v>
          </cell>
          <cell r="D73" t="str">
            <v>SILVERM_FUT_MT_DIFF_2D_3D</v>
          </cell>
          <cell r="F73" t="str">
            <v>Short</v>
          </cell>
          <cell r="G73" t="str">
            <v>FUT : PRV : 3DLL</v>
          </cell>
          <cell r="H73" t="str">
            <v xml:space="preserve"> - </v>
          </cell>
          <cell r="I73">
            <v>1E-3</v>
          </cell>
          <cell r="J73">
            <v>5</v>
          </cell>
          <cell r="L73" t="str">
            <v xml:space="preserve">S : Entry </v>
          </cell>
          <cell r="M73" t="str">
            <v xml:space="preserve"> - </v>
          </cell>
          <cell r="N73">
            <v>1.4E-2</v>
          </cell>
          <cell r="O73">
            <v>1</v>
          </cell>
          <cell r="P73">
            <v>2.1000000000000001E-2</v>
          </cell>
          <cell r="Q73">
            <v>1</v>
          </cell>
          <cell r="R73">
            <v>2.8000000000000001E-2</v>
          </cell>
          <cell r="S73">
            <v>1</v>
          </cell>
          <cell r="T73">
            <v>3.5000000000000003E-2</v>
          </cell>
          <cell r="U73">
            <v>1</v>
          </cell>
          <cell r="V73" t="str">
            <v>TR PROFIT AFTER TGT 4</v>
          </cell>
          <cell r="W73">
            <v>1</v>
          </cell>
          <cell r="X73" t="str">
            <v>N.A.</v>
          </cell>
          <cell r="Y73" t="str">
            <v>N.A.</v>
          </cell>
          <cell r="AA73" t="str">
            <v>Min</v>
          </cell>
          <cell r="AB73" t="str">
            <v>MSL &amp; TSL</v>
          </cell>
          <cell r="AC73" t="str">
            <v>Entry &amp; TRP</v>
          </cell>
          <cell r="AE73" t="str">
            <v>S : Entry</v>
          </cell>
          <cell r="AF73" t="str">
            <v xml:space="preserve"> + </v>
          </cell>
          <cell r="AG73">
            <v>1.4E-2</v>
          </cell>
          <cell r="AH73">
            <v>0</v>
          </cell>
          <cell r="AJ73" t="str">
            <v xml:space="preserve"> + </v>
          </cell>
          <cell r="AK73" t="str">
            <v>FUT : PRV : 2DHH</v>
          </cell>
          <cell r="AL73">
            <v>0</v>
          </cell>
          <cell r="AM73">
            <v>5</v>
          </cell>
          <cell r="AN73" t="str">
            <v>FUT : PRV : 2DHH</v>
          </cell>
          <cell r="AO73">
            <v>0</v>
          </cell>
          <cell r="AP73">
            <v>4</v>
          </cell>
          <cell r="AQ73" t="str">
            <v>FUT : PRV : 2DHH</v>
          </cell>
          <cell r="AR73">
            <v>0</v>
          </cell>
          <cell r="AS73">
            <v>3</v>
          </cell>
          <cell r="AT73" t="str">
            <v>FUT : PRV : 2DHH</v>
          </cell>
          <cell r="AU73">
            <v>0</v>
          </cell>
          <cell r="AV73">
            <v>2</v>
          </cell>
          <cell r="AW73" t="str">
            <v>FUT : PRV : 2DHH</v>
          </cell>
          <cell r="AX73">
            <v>0</v>
          </cell>
          <cell r="AY73">
            <v>1</v>
          </cell>
          <cell r="AZ73">
            <v>0</v>
          </cell>
          <cell r="BA73">
            <v>0</v>
          </cell>
          <cell r="BB73">
            <v>0</v>
          </cell>
          <cell r="BD73" t="str">
            <v xml:space="preserve"> RC. Time</v>
          </cell>
          <cell r="BE73">
            <v>0.38540972222222225</v>
          </cell>
          <cell r="BF73">
            <v>0.38540972222222225</v>
          </cell>
          <cell r="BG73" t="str">
            <v>N.A.</v>
          </cell>
          <cell r="BJ73" t="str">
            <v>Short</v>
          </cell>
          <cell r="BK73">
            <v>1E-3</v>
          </cell>
          <cell r="BL73">
            <v>1E-3</v>
          </cell>
          <cell r="BO73" t="str">
            <v>Put</v>
          </cell>
          <cell r="BP73" t="str">
            <v/>
          </cell>
        </row>
        <row r="74">
          <cell r="B74" t="str">
            <v>S12C</v>
          </cell>
          <cell r="C74" t="str">
            <v>Segment</v>
          </cell>
          <cell r="D74" t="str">
            <v>FUTURES</v>
          </cell>
          <cell r="E74" t="str">
            <v>Contract</v>
          </cell>
          <cell r="F74" t="str">
            <v>MONTHLY</v>
          </cell>
        </row>
        <row r="75">
          <cell r="B75" t="str">
            <v>S12D</v>
          </cell>
          <cell r="C75" t="str">
            <v>Symbol</v>
          </cell>
          <cell r="D75" t="str">
            <v>SILVERM</v>
          </cell>
          <cell r="E75" t="str">
            <v>Bear / 
Bear CF</v>
          </cell>
          <cell r="F75" t="str">
            <v>Long</v>
          </cell>
          <cell r="G75" t="str">
            <v>FUT : PRV : 3DHH</v>
          </cell>
          <cell r="H75" t="str">
            <v xml:space="preserve"> + </v>
          </cell>
          <cell r="I75">
            <v>1E-3</v>
          </cell>
          <cell r="J75">
            <v>5</v>
          </cell>
          <cell r="L75" t="str">
            <v xml:space="preserve">L : Entry </v>
          </cell>
          <cell r="M75" t="str">
            <v xml:space="preserve"> + </v>
          </cell>
          <cell r="N75">
            <v>1.4E-2</v>
          </cell>
          <cell r="O75">
            <v>1</v>
          </cell>
          <cell r="P75">
            <v>2.1000000000000001E-2</v>
          </cell>
          <cell r="Q75">
            <v>1</v>
          </cell>
          <cell r="R75">
            <v>2.8000000000000001E-2</v>
          </cell>
          <cell r="S75">
            <v>1</v>
          </cell>
          <cell r="T75">
            <v>3.5000000000000003E-2</v>
          </cell>
          <cell r="U75">
            <v>1</v>
          </cell>
          <cell r="V75" t="str">
            <v>TR PROFIT AFTER TGT 4</v>
          </cell>
          <cell r="W75">
            <v>1</v>
          </cell>
          <cell r="X75" t="str">
            <v>N.A.</v>
          </cell>
          <cell r="Y75" t="str">
            <v>N.A.</v>
          </cell>
          <cell r="AA75" t="str">
            <v>Max</v>
          </cell>
          <cell r="AB75" t="str">
            <v>MSL &amp; TSL</v>
          </cell>
          <cell r="AC75" t="str">
            <v>Entry &amp; TRP</v>
          </cell>
          <cell r="AE75" t="str">
            <v>L : Entry</v>
          </cell>
          <cell r="AF75" t="str">
            <v xml:space="preserve"> - </v>
          </cell>
          <cell r="AG75">
            <v>1.4E-2</v>
          </cell>
          <cell r="AH75">
            <v>0</v>
          </cell>
          <cell r="AJ75" t="str">
            <v xml:space="preserve"> - </v>
          </cell>
          <cell r="AK75" t="str">
            <v>FUT : PRV : 2DLL</v>
          </cell>
          <cell r="AL75">
            <v>0</v>
          </cell>
          <cell r="AM75">
            <v>5</v>
          </cell>
          <cell r="AN75" t="str">
            <v>FUT : PRV : 2DLL</v>
          </cell>
          <cell r="AO75">
            <v>0</v>
          </cell>
          <cell r="AP75">
            <v>4</v>
          </cell>
          <cell r="AQ75" t="str">
            <v>FUT : PRV : 2DLL</v>
          </cell>
          <cell r="AR75">
            <v>0</v>
          </cell>
          <cell r="AS75">
            <v>3</v>
          </cell>
          <cell r="AT75" t="str">
            <v>FUT : PRV : 2DLL</v>
          </cell>
          <cell r="AU75">
            <v>0</v>
          </cell>
          <cell r="AV75">
            <v>2</v>
          </cell>
          <cell r="AW75" t="str">
            <v>FUT : PRV : 2DLL</v>
          </cell>
          <cell r="AX75">
            <v>0</v>
          </cell>
          <cell r="AY75">
            <v>1</v>
          </cell>
          <cell r="AZ75">
            <v>0</v>
          </cell>
          <cell r="BA75">
            <v>0</v>
          </cell>
          <cell r="BB75">
            <v>0</v>
          </cell>
          <cell r="BD75" t="str">
            <v>Market Start Time</v>
          </cell>
          <cell r="BE75">
            <v>0.375</v>
          </cell>
          <cell r="BI75" t="str">
            <v>Bear / 
Bear CF</v>
          </cell>
          <cell r="BJ75" t="str">
            <v>Long</v>
          </cell>
          <cell r="BK75">
            <v>1E-3</v>
          </cell>
          <cell r="BL75">
            <v>1E-3</v>
          </cell>
          <cell r="BN75" t="str">
            <v>Bear | 
Bear CF</v>
          </cell>
          <cell r="BO75" t="str">
            <v>Call</v>
          </cell>
          <cell r="BP75" t="str">
            <v/>
          </cell>
        </row>
        <row r="76">
          <cell r="B76" t="str">
            <v>S12E</v>
          </cell>
          <cell r="C76" t="str">
            <v>Contract</v>
          </cell>
          <cell r="D76" t="str">
            <v>4 &amp; APS</v>
          </cell>
          <cell r="F76" t="str">
            <v>Short</v>
          </cell>
          <cell r="G76" t="str">
            <v>FUT : PRV : 2DLL</v>
          </cell>
          <cell r="H76" t="str">
            <v xml:space="preserve"> - </v>
          </cell>
          <cell r="I76">
            <v>0</v>
          </cell>
          <cell r="J76">
            <v>5</v>
          </cell>
          <cell r="L76" t="str">
            <v xml:space="preserve">S : Entry </v>
          </cell>
          <cell r="M76" t="str">
            <v xml:space="preserve"> - </v>
          </cell>
          <cell r="N76">
            <v>1.4E-2</v>
          </cell>
          <cell r="O76">
            <v>1</v>
          </cell>
          <cell r="P76">
            <v>2.1000000000000001E-2</v>
          </cell>
          <cell r="Q76">
            <v>1</v>
          </cell>
          <cell r="R76">
            <v>2.8000000000000001E-2</v>
          </cell>
          <cell r="S76">
            <v>1</v>
          </cell>
          <cell r="T76">
            <v>3.5000000000000003E-2</v>
          </cell>
          <cell r="U76">
            <v>1</v>
          </cell>
          <cell r="V76" t="str">
            <v>TR PROFIT AFTER TGT 4</v>
          </cell>
          <cell r="W76">
            <v>1</v>
          </cell>
          <cell r="X76" t="str">
            <v>N.A.</v>
          </cell>
          <cell r="Y76" t="str">
            <v>N.A.</v>
          </cell>
          <cell r="AA76" t="str">
            <v>Min</v>
          </cell>
          <cell r="AB76" t="str">
            <v>MSL &amp; TSL</v>
          </cell>
          <cell r="AC76" t="str">
            <v>Entry &amp; TRP</v>
          </cell>
          <cell r="AE76" t="str">
            <v>S : Entry</v>
          </cell>
          <cell r="AF76" t="str">
            <v xml:space="preserve"> + </v>
          </cell>
          <cell r="AG76">
            <v>1.4E-2</v>
          </cell>
          <cell r="AH76">
            <v>0</v>
          </cell>
          <cell r="AJ76" t="str">
            <v xml:space="preserve"> + </v>
          </cell>
          <cell r="AK76" t="str">
            <v>FUT : PRV : 3DHH</v>
          </cell>
          <cell r="AL76">
            <v>1E-3</v>
          </cell>
          <cell r="AM76">
            <v>5</v>
          </cell>
          <cell r="AN76" t="str">
            <v>FUT : PRV : 3DHH</v>
          </cell>
          <cell r="AO76">
            <v>1E-3</v>
          </cell>
          <cell r="AP76">
            <v>4</v>
          </cell>
          <cell r="AQ76" t="str">
            <v>FUT : PRV : 3DHH</v>
          </cell>
          <cell r="AR76">
            <v>1E-3</v>
          </cell>
          <cell r="AS76">
            <v>3</v>
          </cell>
          <cell r="AT76" t="str">
            <v>FUT : PRV : 3DHH</v>
          </cell>
          <cell r="AU76">
            <v>1E-3</v>
          </cell>
          <cell r="AV76">
            <v>2</v>
          </cell>
          <cell r="AW76" t="str">
            <v>FUT : PRV : 3DHH</v>
          </cell>
          <cell r="AX76">
            <v>1E-3</v>
          </cell>
          <cell r="AY76">
            <v>1</v>
          </cell>
          <cell r="AZ76">
            <v>0</v>
          </cell>
          <cell r="BA76">
            <v>0</v>
          </cell>
          <cell r="BB76">
            <v>0</v>
          </cell>
          <cell r="BD76" t="str">
            <v>Market End Time</v>
          </cell>
          <cell r="BE76">
            <v>0.97916666666666663</v>
          </cell>
          <cell r="BJ76" t="str">
            <v>Short</v>
          </cell>
          <cell r="BK76">
            <v>1E-3</v>
          </cell>
          <cell r="BL76">
            <v>1E-3</v>
          </cell>
          <cell r="BO76" t="str">
            <v>Put</v>
          </cell>
          <cell r="BP76" t="str">
            <v/>
          </cell>
        </row>
        <row r="78">
          <cell r="B78" t="str">
            <v>S13A</v>
          </cell>
          <cell r="C78" t="str">
            <v>Strategy Code</v>
          </cell>
          <cell r="D78" t="str">
            <v>S13</v>
          </cell>
          <cell r="E78" t="str">
            <v>Bull / 
Bull CF</v>
          </cell>
          <cell r="F78" t="str">
            <v>Long</v>
          </cell>
          <cell r="G78" t="str">
            <v>FUT : PRV : 3DHH</v>
          </cell>
          <cell r="H78" t="str">
            <v xml:space="preserve"> + </v>
          </cell>
          <cell r="I78">
            <v>1E-3</v>
          </cell>
          <cell r="J78">
            <v>5</v>
          </cell>
          <cell r="L78" t="str">
            <v xml:space="preserve">L : Entry </v>
          </cell>
          <cell r="M78" t="str">
            <v xml:space="preserve"> + </v>
          </cell>
          <cell r="N78">
            <v>1.4E-2</v>
          </cell>
          <cell r="O78">
            <v>1</v>
          </cell>
          <cell r="P78">
            <v>2.1000000000000001E-2</v>
          </cell>
          <cell r="Q78">
            <v>1</v>
          </cell>
          <cell r="R78">
            <v>2.8000000000000001E-2</v>
          </cell>
          <cell r="S78">
            <v>1</v>
          </cell>
          <cell r="T78">
            <v>3.5000000000000003E-2</v>
          </cell>
          <cell r="U78">
            <v>1</v>
          </cell>
          <cell r="V78" t="str">
            <v>TR PROFIT AFTER TGT 4</v>
          </cell>
          <cell r="W78">
            <v>1</v>
          </cell>
          <cell r="X78" t="str">
            <v>N.A.</v>
          </cell>
          <cell r="Y78" t="str">
            <v>N.A.</v>
          </cell>
          <cell r="AA78" t="str">
            <v>Max</v>
          </cell>
          <cell r="AB78" t="str">
            <v>MSL &amp; TSL</v>
          </cell>
          <cell r="AC78" t="str">
            <v>Entry &amp; TRP</v>
          </cell>
          <cell r="AE78" t="str">
            <v>L : Entry</v>
          </cell>
          <cell r="AF78" t="str">
            <v xml:space="preserve"> - </v>
          </cell>
          <cell r="AG78">
            <v>1.4E-2</v>
          </cell>
          <cell r="AH78">
            <v>0</v>
          </cell>
          <cell r="AJ78" t="str">
            <v xml:space="preserve"> - </v>
          </cell>
          <cell r="AK78" t="str">
            <v>FUT : PRV : 3DLL</v>
          </cell>
          <cell r="AL78">
            <v>1E-3</v>
          </cell>
          <cell r="AM78">
            <v>5</v>
          </cell>
          <cell r="AN78" t="str">
            <v>FUT : PRV : 3DLL</v>
          </cell>
          <cell r="AO78">
            <v>1E-3</v>
          </cell>
          <cell r="AP78">
            <v>4</v>
          </cell>
          <cell r="AQ78" t="str">
            <v>FUT : PRV : 3DLL</v>
          </cell>
          <cell r="AR78">
            <v>1E-3</v>
          </cell>
          <cell r="AS78">
            <v>3</v>
          </cell>
          <cell r="AT78" t="str">
            <v>FUT : PRV : 3DLL</v>
          </cell>
          <cell r="AU78">
            <v>1E-3</v>
          </cell>
          <cell r="AV78">
            <v>2</v>
          </cell>
          <cell r="AW78" t="str">
            <v>FUT : PRV : 3DLL</v>
          </cell>
          <cell r="AX78">
            <v>1E-3</v>
          </cell>
          <cell r="AY78">
            <v>1</v>
          </cell>
          <cell r="AZ78">
            <v>0</v>
          </cell>
          <cell r="BA78">
            <v>0</v>
          </cell>
          <cell r="BB78">
            <v>0</v>
          </cell>
          <cell r="BD78" t="str">
            <v xml:space="preserve">ORPT </v>
          </cell>
          <cell r="BE78">
            <v>0.37846527777777778</v>
          </cell>
          <cell r="BF78">
            <v>0.37846527777777778</v>
          </cell>
          <cell r="BG78">
            <v>0.375</v>
          </cell>
          <cell r="BI78" t="str">
            <v>Bull / 
Bull CF</v>
          </cell>
          <cell r="BJ78" t="str">
            <v>Long</v>
          </cell>
          <cell r="BK78">
            <v>1E-3</v>
          </cell>
          <cell r="BL78">
            <v>1E-3</v>
          </cell>
          <cell r="BN78" t="str">
            <v>Bull | 
Bull CF</v>
          </cell>
          <cell r="BO78" t="str">
            <v>Call</v>
          </cell>
          <cell r="BP78" t="str">
            <v/>
          </cell>
          <cell r="CU78">
            <v>0.95833333333333326</v>
          </cell>
        </row>
        <row r="79">
          <cell r="B79" t="str">
            <v>S13B</v>
          </cell>
          <cell r="C79" t="str">
            <v>Unique Code</v>
          </cell>
          <cell r="D79" t="str">
            <v>SILVERM_FUT_MT_SAME_3D_3D</v>
          </cell>
          <cell r="F79" t="str">
            <v>Short</v>
          </cell>
          <cell r="G79" t="str">
            <v>FUT : PRV : 3DLL</v>
          </cell>
          <cell r="H79" t="str">
            <v xml:space="preserve"> - </v>
          </cell>
          <cell r="I79">
            <v>1E-3</v>
          </cell>
          <cell r="J79">
            <v>5</v>
          </cell>
          <cell r="L79" t="str">
            <v xml:space="preserve">S : Entry </v>
          </cell>
          <cell r="M79" t="str">
            <v xml:space="preserve"> - </v>
          </cell>
          <cell r="N79">
            <v>1.4E-2</v>
          </cell>
          <cell r="O79">
            <v>1</v>
          </cell>
          <cell r="P79">
            <v>2.1000000000000001E-2</v>
          </cell>
          <cell r="Q79">
            <v>1</v>
          </cell>
          <cell r="R79">
            <v>2.8000000000000001E-2</v>
          </cell>
          <cell r="S79">
            <v>1</v>
          </cell>
          <cell r="T79">
            <v>3.5000000000000003E-2</v>
          </cell>
          <cell r="U79">
            <v>1</v>
          </cell>
          <cell r="V79" t="str">
            <v>TR PROFIT AFTER TGT 4</v>
          </cell>
          <cell r="W79">
            <v>1</v>
          </cell>
          <cell r="X79" t="str">
            <v>N.A.</v>
          </cell>
          <cell r="Y79" t="str">
            <v>N.A.</v>
          </cell>
          <cell r="AA79" t="str">
            <v>Min</v>
          </cell>
          <cell r="AB79" t="str">
            <v>MSL &amp; TSL</v>
          </cell>
          <cell r="AC79" t="str">
            <v>Entry &amp; TRP</v>
          </cell>
          <cell r="AE79" t="str">
            <v>S : Entry</v>
          </cell>
          <cell r="AF79" t="str">
            <v xml:space="preserve"> + </v>
          </cell>
          <cell r="AG79">
            <v>1.4E-2</v>
          </cell>
          <cell r="AH79">
            <v>0</v>
          </cell>
          <cell r="AJ79" t="str">
            <v xml:space="preserve"> + </v>
          </cell>
          <cell r="AK79" t="str">
            <v>FUT : PRV : 3DHH</v>
          </cell>
          <cell r="AL79">
            <v>1E-3</v>
          </cell>
          <cell r="AM79">
            <v>5</v>
          </cell>
          <cell r="AN79" t="str">
            <v>FUT : PRV : 3DHH</v>
          </cell>
          <cell r="AO79">
            <v>1E-3</v>
          </cell>
          <cell r="AP79">
            <v>4</v>
          </cell>
          <cell r="AQ79" t="str">
            <v>FUT : PRV : 3DHH</v>
          </cell>
          <cell r="AR79">
            <v>1E-3</v>
          </cell>
          <cell r="AS79">
            <v>3</v>
          </cell>
          <cell r="AT79" t="str">
            <v>FUT : PRV : 3DHH</v>
          </cell>
          <cell r="AU79">
            <v>1E-3</v>
          </cell>
          <cell r="AV79">
            <v>2</v>
          </cell>
          <cell r="AW79" t="str">
            <v>FUT : PRV : 3DHH</v>
          </cell>
          <cell r="AX79">
            <v>1E-3</v>
          </cell>
          <cell r="AY79">
            <v>1</v>
          </cell>
          <cell r="AZ79">
            <v>0</v>
          </cell>
          <cell r="BA79">
            <v>0</v>
          </cell>
          <cell r="BB79">
            <v>0</v>
          </cell>
          <cell r="BD79" t="str">
            <v xml:space="preserve"> RC. Time</v>
          </cell>
          <cell r="BE79">
            <v>0.38540972222222225</v>
          </cell>
          <cell r="BF79">
            <v>0.38540972222222225</v>
          </cell>
          <cell r="BG79" t="str">
            <v>N.A.</v>
          </cell>
          <cell r="BJ79" t="str">
            <v>Short</v>
          </cell>
          <cell r="BK79">
            <v>1E-3</v>
          </cell>
          <cell r="BL79">
            <v>1E-3</v>
          </cell>
          <cell r="BO79" t="str">
            <v>Put</v>
          </cell>
          <cell r="BP79" t="str">
            <v/>
          </cell>
        </row>
        <row r="80">
          <cell r="B80" t="str">
            <v>S13C</v>
          </cell>
          <cell r="C80" t="str">
            <v>Segment</v>
          </cell>
          <cell r="D80" t="str">
            <v>FUTURES</v>
          </cell>
          <cell r="E80" t="str">
            <v>Contract</v>
          </cell>
          <cell r="F80" t="str">
            <v>MONTHLY</v>
          </cell>
        </row>
        <row r="81">
          <cell r="B81" t="str">
            <v>S13D</v>
          </cell>
          <cell r="C81" t="str">
            <v>Symbol</v>
          </cell>
          <cell r="D81" t="str">
            <v>SILVERM</v>
          </cell>
          <cell r="E81" t="str">
            <v>Bear / 
Bear CF</v>
          </cell>
          <cell r="F81" t="str">
            <v>Long</v>
          </cell>
          <cell r="G81" t="str">
            <v>FUT : PRV : 3DHH</v>
          </cell>
          <cell r="H81" t="str">
            <v xml:space="preserve"> + </v>
          </cell>
          <cell r="I81">
            <v>1E-3</v>
          </cell>
          <cell r="J81">
            <v>5</v>
          </cell>
          <cell r="L81" t="str">
            <v xml:space="preserve">L : Entry </v>
          </cell>
          <cell r="M81" t="str">
            <v xml:space="preserve"> + </v>
          </cell>
          <cell r="N81">
            <v>1.4E-2</v>
          </cell>
          <cell r="O81">
            <v>1</v>
          </cell>
          <cell r="P81">
            <v>2.1000000000000001E-2</v>
          </cell>
          <cell r="Q81">
            <v>1</v>
          </cell>
          <cell r="R81">
            <v>2.8000000000000001E-2</v>
          </cell>
          <cell r="S81">
            <v>1</v>
          </cell>
          <cell r="T81">
            <v>3.5000000000000003E-2</v>
          </cell>
          <cell r="U81">
            <v>1</v>
          </cell>
          <cell r="V81" t="str">
            <v>TR PROFIT AFTER TGT 4</v>
          </cell>
          <cell r="W81">
            <v>1</v>
          </cell>
          <cell r="X81" t="str">
            <v>N.A.</v>
          </cell>
          <cell r="Y81" t="str">
            <v>N.A.</v>
          </cell>
          <cell r="AA81" t="str">
            <v>Max</v>
          </cell>
          <cell r="AB81" t="str">
            <v>MSL &amp; TSL</v>
          </cell>
          <cell r="AC81" t="str">
            <v>Entry &amp; TRP</v>
          </cell>
          <cell r="AE81" t="str">
            <v>L : Entry</v>
          </cell>
          <cell r="AF81" t="str">
            <v xml:space="preserve"> - </v>
          </cell>
          <cell r="AG81">
            <v>1.4E-2</v>
          </cell>
          <cell r="AH81">
            <v>0</v>
          </cell>
          <cell r="AJ81" t="str">
            <v xml:space="preserve"> - </v>
          </cell>
          <cell r="AK81" t="str">
            <v>FUT : PRV : 3DLL</v>
          </cell>
          <cell r="AL81">
            <v>1E-3</v>
          </cell>
          <cell r="AM81">
            <v>5</v>
          </cell>
          <cell r="AN81" t="str">
            <v>FUT : PRV : 3DLL</v>
          </cell>
          <cell r="AO81">
            <v>1E-3</v>
          </cell>
          <cell r="AP81">
            <v>4</v>
          </cell>
          <cell r="AQ81" t="str">
            <v>FUT : PRV : 3DLL</v>
          </cell>
          <cell r="AR81">
            <v>1E-3</v>
          </cell>
          <cell r="AS81">
            <v>3</v>
          </cell>
          <cell r="AT81" t="str">
            <v>FUT : PRV : 3DLL</v>
          </cell>
          <cell r="AU81">
            <v>1E-3</v>
          </cell>
          <cell r="AV81">
            <v>2</v>
          </cell>
          <cell r="AW81" t="str">
            <v>FUT : PRV : 3DLL</v>
          </cell>
          <cell r="AX81">
            <v>1E-3</v>
          </cell>
          <cell r="AY81">
            <v>1</v>
          </cell>
          <cell r="AZ81">
            <v>0</v>
          </cell>
          <cell r="BA81">
            <v>0</v>
          </cell>
          <cell r="BB81">
            <v>0</v>
          </cell>
          <cell r="BD81" t="str">
            <v>Market Start Time</v>
          </cell>
          <cell r="BE81">
            <v>0.375</v>
          </cell>
          <cell r="BI81" t="str">
            <v>Bear / 
Bear CF</v>
          </cell>
          <cell r="BJ81" t="str">
            <v>Long</v>
          </cell>
          <cell r="BK81">
            <v>1E-3</v>
          </cell>
          <cell r="BL81">
            <v>1E-3</v>
          </cell>
          <cell r="BN81" t="str">
            <v>Bear | 
Bear CF</v>
          </cell>
          <cell r="BO81" t="str">
            <v>Call</v>
          </cell>
          <cell r="BP81" t="str">
            <v/>
          </cell>
        </row>
        <row r="82">
          <cell r="B82" t="str">
            <v>S13E</v>
          </cell>
          <cell r="C82" t="str">
            <v>No. of Targets</v>
          </cell>
          <cell r="D82" t="str">
            <v>4 &amp; APS</v>
          </cell>
          <cell r="F82" t="str">
            <v>Short</v>
          </cell>
          <cell r="G82" t="str">
            <v>FUT : PRV : 3DLL</v>
          </cell>
          <cell r="H82" t="str">
            <v xml:space="preserve"> - </v>
          </cell>
          <cell r="I82">
            <v>1E-3</v>
          </cell>
          <cell r="J82">
            <v>5</v>
          </cell>
          <cell r="L82" t="str">
            <v xml:space="preserve">S : Entry </v>
          </cell>
          <cell r="M82" t="str">
            <v xml:space="preserve"> - </v>
          </cell>
          <cell r="N82">
            <v>1.4E-2</v>
          </cell>
          <cell r="O82">
            <v>1</v>
          </cell>
          <cell r="P82">
            <v>2.1000000000000001E-2</v>
          </cell>
          <cell r="Q82">
            <v>1</v>
          </cell>
          <cell r="R82">
            <v>2.8000000000000001E-2</v>
          </cell>
          <cell r="S82">
            <v>1</v>
          </cell>
          <cell r="T82">
            <v>3.5000000000000003E-2</v>
          </cell>
          <cell r="U82">
            <v>1</v>
          </cell>
          <cell r="V82" t="str">
            <v>TR PROFIT AFTER TGT 4</v>
          </cell>
          <cell r="W82">
            <v>1</v>
          </cell>
          <cell r="X82" t="str">
            <v>N.A.</v>
          </cell>
          <cell r="Y82" t="str">
            <v>N.A.</v>
          </cell>
          <cell r="AA82" t="str">
            <v>Min</v>
          </cell>
          <cell r="AB82" t="str">
            <v>MSL &amp; TSL</v>
          </cell>
          <cell r="AC82" t="str">
            <v>Entry &amp; TRP</v>
          </cell>
          <cell r="AE82" t="str">
            <v>S : Entry</v>
          </cell>
          <cell r="AF82" t="str">
            <v xml:space="preserve"> + </v>
          </cell>
          <cell r="AG82">
            <v>1.4E-2</v>
          </cell>
          <cell r="AH82">
            <v>0</v>
          </cell>
          <cell r="AJ82" t="str">
            <v xml:space="preserve"> + </v>
          </cell>
          <cell r="AK82" t="str">
            <v>FUT : PRV : 3DHH</v>
          </cell>
          <cell r="AL82">
            <v>1E-3</v>
          </cell>
          <cell r="AM82">
            <v>5</v>
          </cell>
          <cell r="AN82" t="str">
            <v>FUT : PRV : 3DHH</v>
          </cell>
          <cell r="AO82">
            <v>1E-3</v>
          </cell>
          <cell r="AP82">
            <v>4</v>
          </cell>
          <cell r="AQ82" t="str">
            <v>FUT : PRV : 3DHH</v>
          </cell>
          <cell r="AR82">
            <v>1E-3</v>
          </cell>
          <cell r="AS82">
            <v>3</v>
          </cell>
          <cell r="AT82" t="str">
            <v>FUT : PRV : 3DHH</v>
          </cell>
          <cell r="AU82">
            <v>1E-3</v>
          </cell>
          <cell r="AV82">
            <v>2</v>
          </cell>
          <cell r="AW82" t="str">
            <v>FUT : PRV : 3DHH</v>
          </cell>
          <cell r="AX82">
            <v>1E-3</v>
          </cell>
          <cell r="AY82">
            <v>1</v>
          </cell>
          <cell r="AZ82">
            <v>0</v>
          </cell>
          <cell r="BA82">
            <v>0</v>
          </cell>
          <cell r="BB82">
            <v>0</v>
          </cell>
          <cell r="BD82" t="str">
            <v>Market End Time</v>
          </cell>
          <cell r="BE82">
            <v>0.97916666666666663</v>
          </cell>
          <cell r="BJ82" t="str">
            <v>Short</v>
          </cell>
          <cell r="BK82">
            <v>1E-3</v>
          </cell>
          <cell r="BL82">
            <v>1E-3</v>
          </cell>
          <cell r="BO82" t="str">
            <v>Put</v>
          </cell>
          <cell r="BP82" t="str">
            <v/>
          </cell>
        </row>
        <row r="84">
          <cell r="B84" t="str">
            <v>S14A</v>
          </cell>
          <cell r="C84" t="str">
            <v>Strategy Code</v>
          </cell>
          <cell r="D84" t="str">
            <v>S14</v>
          </cell>
          <cell r="E84" t="str">
            <v>Bull / 
Bull CF</v>
          </cell>
          <cell r="F84" t="str">
            <v>Long</v>
          </cell>
          <cell r="G84" t="str">
            <v>FUT : PRV : 2DHH</v>
          </cell>
          <cell r="H84" t="str">
            <v xml:space="preserve"> + </v>
          </cell>
          <cell r="I84">
            <v>4.0000000000000001E-3</v>
          </cell>
          <cell r="J84">
            <v>5</v>
          </cell>
          <cell r="L84" t="str">
            <v xml:space="preserve">L : Entry </v>
          </cell>
          <cell r="M84" t="str">
            <v xml:space="preserve"> + </v>
          </cell>
          <cell r="N84">
            <v>2.5000000000000001E-2</v>
          </cell>
          <cell r="O84">
            <v>1</v>
          </cell>
          <cell r="P84">
            <v>3.5000000000000003E-2</v>
          </cell>
          <cell r="Q84">
            <v>1</v>
          </cell>
          <cell r="R84">
            <v>4.4999999999999998E-2</v>
          </cell>
          <cell r="S84">
            <v>1</v>
          </cell>
          <cell r="T84">
            <v>5.5E-2</v>
          </cell>
          <cell r="U84">
            <v>1</v>
          </cell>
          <cell r="V84" t="str">
            <v>TR PROFIT AFTER TGT 4</v>
          </cell>
          <cell r="W84">
            <v>1</v>
          </cell>
          <cell r="X84" t="str">
            <v>N.A.</v>
          </cell>
          <cell r="Y84" t="str">
            <v>N.A.</v>
          </cell>
          <cell r="AA84" t="str">
            <v>Max</v>
          </cell>
          <cell r="AB84" t="str">
            <v>MSL &amp; TSL</v>
          </cell>
          <cell r="AC84" t="str">
            <v>Entry &amp; TRP</v>
          </cell>
          <cell r="AE84" t="str">
            <v>L : Entry</v>
          </cell>
          <cell r="AF84" t="str">
            <v xml:space="preserve"> - </v>
          </cell>
          <cell r="AG84">
            <v>2.5000000000000001E-2</v>
          </cell>
          <cell r="AH84">
            <v>0</v>
          </cell>
          <cell r="AJ84" t="str">
            <v xml:space="preserve"> - </v>
          </cell>
          <cell r="AK84" t="str">
            <v>FUT : PRV : 2DLL</v>
          </cell>
          <cell r="AL84">
            <v>4.0000000000000001E-3</v>
          </cell>
          <cell r="AM84">
            <v>5</v>
          </cell>
          <cell r="AN84" t="str">
            <v>FUT : PRV : 2DLL</v>
          </cell>
          <cell r="AO84">
            <v>4.0000000000000001E-3</v>
          </cell>
          <cell r="AP84">
            <v>4</v>
          </cell>
          <cell r="AQ84" t="str">
            <v>FUT : PRV : 2DLL</v>
          </cell>
          <cell r="AR84">
            <v>4.0000000000000001E-3</v>
          </cell>
          <cell r="AS84">
            <v>3</v>
          </cell>
          <cell r="AT84" t="str">
            <v>FUT : PRV : 2DLL</v>
          </cell>
          <cell r="AU84">
            <v>4.0000000000000001E-3</v>
          </cell>
          <cell r="AV84">
            <v>2</v>
          </cell>
          <cell r="AW84" t="str">
            <v>FUT : PRV : 2DLL</v>
          </cell>
          <cell r="AX84">
            <v>4.0000000000000001E-3</v>
          </cell>
          <cell r="AY84">
            <v>1</v>
          </cell>
          <cell r="AZ84">
            <v>0</v>
          </cell>
          <cell r="BA84">
            <v>0</v>
          </cell>
          <cell r="BB84">
            <v>0</v>
          </cell>
          <cell r="BD84" t="str">
            <v xml:space="preserve">ORPT </v>
          </cell>
          <cell r="BE84">
            <v>0.37846527777777778</v>
          </cell>
          <cell r="BF84">
            <v>0.37846527777777778</v>
          </cell>
          <cell r="BG84">
            <v>0.375</v>
          </cell>
          <cell r="BI84" t="str">
            <v>Bull / 
Bull CF</v>
          </cell>
          <cell r="BJ84" t="str">
            <v>Long</v>
          </cell>
          <cell r="BK84">
            <v>4.0000000000000001E-3</v>
          </cell>
          <cell r="BL84">
            <v>4.0000000000000001E-3</v>
          </cell>
          <cell r="BN84" t="str">
            <v>Bull | 
Bull CF</v>
          </cell>
          <cell r="BO84" t="str">
            <v>Call</v>
          </cell>
          <cell r="BP84" t="str">
            <v/>
          </cell>
          <cell r="CU84">
            <v>0.95833333333333326</v>
          </cell>
        </row>
        <row r="85">
          <cell r="B85" t="str">
            <v>S14B</v>
          </cell>
          <cell r="C85" t="str">
            <v>Unique Code</v>
          </cell>
          <cell r="D85" t="str">
            <v>CRUDEOIL_FUT_MT_SAME_2D_2D</v>
          </cell>
          <cell r="F85" t="str">
            <v>Short</v>
          </cell>
          <cell r="G85" t="str">
            <v>FUT : PRV : 2DLL</v>
          </cell>
          <cell r="H85" t="str">
            <v xml:space="preserve"> - </v>
          </cell>
          <cell r="I85">
            <v>4.0000000000000001E-3</v>
          </cell>
          <cell r="J85">
            <v>5</v>
          </cell>
          <cell r="L85" t="str">
            <v xml:space="preserve">S : Entry </v>
          </cell>
          <cell r="M85" t="str">
            <v xml:space="preserve"> - </v>
          </cell>
          <cell r="N85">
            <v>2.5000000000000001E-2</v>
          </cell>
          <cell r="O85">
            <v>1</v>
          </cell>
          <cell r="P85">
            <v>3.5000000000000003E-2</v>
          </cell>
          <cell r="Q85">
            <v>1</v>
          </cell>
          <cell r="R85">
            <v>4.4999999999999998E-2</v>
          </cell>
          <cell r="S85">
            <v>1</v>
          </cell>
          <cell r="T85">
            <v>5.5E-2</v>
          </cell>
          <cell r="U85">
            <v>1</v>
          </cell>
          <cell r="V85" t="str">
            <v>TR PROFIT AFTER TGT 4</v>
          </cell>
          <cell r="W85">
            <v>1</v>
          </cell>
          <cell r="X85" t="str">
            <v>N.A.</v>
          </cell>
          <cell r="Y85" t="str">
            <v>N.A.</v>
          </cell>
          <cell r="AA85" t="str">
            <v>Min</v>
          </cell>
          <cell r="AB85" t="str">
            <v>MSL &amp; TSL</v>
          </cell>
          <cell r="AC85" t="str">
            <v>Entry &amp; TRP</v>
          </cell>
          <cell r="AE85" t="str">
            <v>S : Entry</v>
          </cell>
          <cell r="AF85" t="str">
            <v xml:space="preserve"> + </v>
          </cell>
          <cell r="AG85">
            <v>2.5000000000000001E-2</v>
          </cell>
          <cell r="AH85">
            <v>0</v>
          </cell>
          <cell r="AJ85" t="str">
            <v xml:space="preserve"> + </v>
          </cell>
          <cell r="AK85" t="str">
            <v>FUT : PRV : 2DHH</v>
          </cell>
          <cell r="AL85">
            <v>4.0000000000000001E-3</v>
          </cell>
          <cell r="AM85">
            <v>5</v>
          </cell>
          <cell r="AN85" t="str">
            <v>FUT : PRV : 2DHH</v>
          </cell>
          <cell r="AO85">
            <v>4.0000000000000001E-3</v>
          </cell>
          <cell r="AP85">
            <v>4</v>
          </cell>
          <cell r="AQ85" t="str">
            <v>FUT : PRV : 2DHH</v>
          </cell>
          <cell r="AR85">
            <v>4.0000000000000001E-3</v>
          </cell>
          <cell r="AS85">
            <v>3</v>
          </cell>
          <cell r="AT85" t="str">
            <v>FUT : PRV : 2DHH</v>
          </cell>
          <cell r="AU85">
            <v>4.0000000000000001E-3</v>
          </cell>
          <cell r="AV85">
            <v>2</v>
          </cell>
          <cell r="AW85" t="str">
            <v>FUT : PRV : 2DHH</v>
          </cell>
          <cell r="AX85">
            <v>4.0000000000000001E-3</v>
          </cell>
          <cell r="AY85">
            <v>1</v>
          </cell>
          <cell r="AZ85">
            <v>0</v>
          </cell>
          <cell r="BA85">
            <v>0</v>
          </cell>
          <cell r="BB85">
            <v>0</v>
          </cell>
          <cell r="BD85" t="str">
            <v xml:space="preserve"> RC. Time</v>
          </cell>
          <cell r="BE85">
            <v>0.38540972222222225</v>
          </cell>
          <cell r="BF85">
            <v>0.38540972222222225</v>
          </cell>
          <cell r="BG85" t="str">
            <v>N.A.</v>
          </cell>
          <cell r="BJ85" t="str">
            <v>Short</v>
          </cell>
          <cell r="BK85">
            <v>4.0000000000000001E-3</v>
          </cell>
          <cell r="BL85">
            <v>4.0000000000000001E-3</v>
          </cell>
          <cell r="BO85" t="str">
            <v>Put</v>
          </cell>
          <cell r="BP85" t="str">
            <v/>
          </cell>
        </row>
        <row r="86">
          <cell r="B86" t="str">
            <v>S14C</v>
          </cell>
          <cell r="C86" t="str">
            <v>Segment</v>
          </cell>
          <cell r="D86" t="str">
            <v>FUTURES</v>
          </cell>
          <cell r="E86" t="str">
            <v>Contract</v>
          </cell>
          <cell r="F86" t="str">
            <v>MONTHLY</v>
          </cell>
        </row>
        <row r="87">
          <cell r="B87" t="str">
            <v>S14D</v>
          </cell>
          <cell r="C87" t="str">
            <v>Symbol</v>
          </cell>
          <cell r="D87" t="str">
            <v>CRUDEOIL</v>
          </cell>
          <cell r="E87" t="str">
            <v>Bear / 
Bear CF</v>
          </cell>
          <cell r="F87" t="str">
            <v>Long</v>
          </cell>
          <cell r="G87" t="str">
            <v>FUT : PRV : 2DHH</v>
          </cell>
          <cell r="H87" t="str">
            <v xml:space="preserve"> + </v>
          </cell>
          <cell r="I87">
            <v>4.0000000000000001E-3</v>
          </cell>
          <cell r="J87">
            <v>5</v>
          </cell>
          <cell r="L87" t="str">
            <v xml:space="preserve">L : Entry </v>
          </cell>
          <cell r="M87" t="str">
            <v xml:space="preserve"> + </v>
          </cell>
          <cell r="N87">
            <v>2.5000000000000001E-2</v>
          </cell>
          <cell r="O87">
            <v>1</v>
          </cell>
          <cell r="P87">
            <v>3.5000000000000003E-2</v>
          </cell>
          <cell r="Q87">
            <v>1</v>
          </cell>
          <cell r="R87">
            <v>4.4999999999999998E-2</v>
          </cell>
          <cell r="S87">
            <v>1</v>
          </cell>
          <cell r="T87">
            <v>5.5E-2</v>
          </cell>
          <cell r="U87">
            <v>1</v>
          </cell>
          <cell r="V87" t="str">
            <v>TR PROFIT AFTER TGT 4</v>
          </cell>
          <cell r="W87">
            <v>1</v>
          </cell>
          <cell r="X87" t="str">
            <v>N.A.</v>
          </cell>
          <cell r="Y87" t="str">
            <v>N.A.</v>
          </cell>
          <cell r="AA87" t="str">
            <v>Max</v>
          </cell>
          <cell r="AB87" t="str">
            <v>MSL &amp; TSL</v>
          </cell>
          <cell r="AC87" t="str">
            <v>Entry &amp; TRP</v>
          </cell>
          <cell r="AE87" t="str">
            <v>L : Entry</v>
          </cell>
          <cell r="AF87" t="str">
            <v xml:space="preserve"> - </v>
          </cell>
          <cell r="AG87">
            <v>2.5000000000000001E-2</v>
          </cell>
          <cell r="AH87">
            <v>0</v>
          </cell>
          <cell r="AJ87" t="str">
            <v xml:space="preserve"> - </v>
          </cell>
          <cell r="AK87" t="str">
            <v>FUT : PRV : 2DLL</v>
          </cell>
          <cell r="AL87">
            <v>4.0000000000000001E-3</v>
          </cell>
          <cell r="AM87">
            <v>5</v>
          </cell>
          <cell r="AN87" t="str">
            <v>FUT : PRV : 2DLL</v>
          </cell>
          <cell r="AO87">
            <v>4.0000000000000001E-3</v>
          </cell>
          <cell r="AP87">
            <v>4</v>
          </cell>
          <cell r="AQ87" t="str">
            <v>FUT : PRV : 2DLL</v>
          </cell>
          <cell r="AR87">
            <v>4.0000000000000001E-3</v>
          </cell>
          <cell r="AS87">
            <v>3</v>
          </cell>
          <cell r="AT87" t="str">
            <v>FUT : PRV : 2DLL</v>
          </cell>
          <cell r="AU87">
            <v>4.0000000000000001E-3</v>
          </cell>
          <cell r="AV87">
            <v>2</v>
          </cell>
          <cell r="AW87" t="str">
            <v>FUT : PRV : 2DLL</v>
          </cell>
          <cell r="AX87">
            <v>4.0000000000000001E-3</v>
          </cell>
          <cell r="AY87">
            <v>1</v>
          </cell>
          <cell r="AZ87">
            <v>0</v>
          </cell>
          <cell r="BA87">
            <v>0</v>
          </cell>
          <cell r="BB87">
            <v>0</v>
          </cell>
          <cell r="BD87" t="str">
            <v>Market Start Time</v>
          </cell>
          <cell r="BE87">
            <v>0.375</v>
          </cell>
          <cell r="BI87" t="str">
            <v>Bear / 
Bear CF</v>
          </cell>
          <cell r="BJ87" t="str">
            <v>Long</v>
          </cell>
          <cell r="BK87">
            <v>4.0000000000000001E-3</v>
          </cell>
          <cell r="BL87">
            <v>4.0000000000000001E-3</v>
          </cell>
          <cell r="BN87" t="str">
            <v>Bear | 
Bear CF</v>
          </cell>
          <cell r="BO87" t="str">
            <v>Call</v>
          </cell>
          <cell r="BP87" t="str">
            <v/>
          </cell>
        </row>
        <row r="88">
          <cell r="B88" t="str">
            <v>S14E</v>
          </cell>
          <cell r="C88" t="str">
            <v>No. of Targets</v>
          </cell>
          <cell r="D88" t="str">
            <v>4 &amp; APS</v>
          </cell>
          <cell r="F88" t="str">
            <v>Short</v>
          </cell>
          <cell r="G88" t="str">
            <v>FUT : PRV : 2DLL</v>
          </cell>
          <cell r="H88" t="str">
            <v xml:space="preserve"> - </v>
          </cell>
          <cell r="I88">
            <v>4.0000000000000001E-3</v>
          </cell>
          <cell r="J88">
            <v>5</v>
          </cell>
          <cell r="L88" t="str">
            <v xml:space="preserve">S : Entry </v>
          </cell>
          <cell r="M88" t="str">
            <v xml:space="preserve"> - </v>
          </cell>
          <cell r="N88">
            <v>2.5000000000000001E-2</v>
          </cell>
          <cell r="O88">
            <v>1</v>
          </cell>
          <cell r="P88">
            <v>3.5000000000000003E-2</v>
          </cell>
          <cell r="Q88">
            <v>1</v>
          </cell>
          <cell r="R88">
            <v>4.4999999999999998E-2</v>
          </cell>
          <cell r="S88">
            <v>1</v>
          </cell>
          <cell r="T88">
            <v>5.5E-2</v>
          </cell>
          <cell r="U88">
            <v>1</v>
          </cell>
          <cell r="V88" t="str">
            <v>TR PROFIT AFTER TGT 4</v>
          </cell>
          <cell r="W88">
            <v>1</v>
          </cell>
          <cell r="X88" t="str">
            <v>N.A.</v>
          </cell>
          <cell r="Y88" t="str">
            <v>N.A.</v>
          </cell>
          <cell r="AA88" t="str">
            <v>Min</v>
          </cell>
          <cell r="AB88" t="str">
            <v>MSL &amp; TSL</v>
          </cell>
          <cell r="AC88" t="str">
            <v>Entry &amp; TRP</v>
          </cell>
          <cell r="AE88" t="str">
            <v>S : Entry</v>
          </cell>
          <cell r="AF88" t="str">
            <v xml:space="preserve"> + </v>
          </cell>
          <cell r="AG88">
            <v>2.5000000000000001E-2</v>
          </cell>
          <cell r="AH88">
            <v>0</v>
          </cell>
          <cell r="AJ88" t="str">
            <v xml:space="preserve"> + </v>
          </cell>
          <cell r="AK88" t="str">
            <v>FUT : PRV : 2DHH</v>
          </cell>
          <cell r="AL88">
            <v>4.0000000000000001E-3</v>
          </cell>
          <cell r="AM88">
            <v>5</v>
          </cell>
          <cell r="AN88" t="str">
            <v>FUT : PRV : 2DHH</v>
          </cell>
          <cell r="AO88">
            <v>4.0000000000000001E-3</v>
          </cell>
          <cell r="AP88">
            <v>4</v>
          </cell>
          <cell r="AQ88" t="str">
            <v>FUT : PRV : 2DHH</v>
          </cell>
          <cell r="AR88">
            <v>4.0000000000000001E-3</v>
          </cell>
          <cell r="AS88">
            <v>3</v>
          </cell>
          <cell r="AT88" t="str">
            <v>FUT : PRV : 2DHH</v>
          </cell>
          <cell r="AU88">
            <v>4.0000000000000001E-3</v>
          </cell>
          <cell r="AV88">
            <v>2</v>
          </cell>
          <cell r="AW88" t="str">
            <v>FUT : PRV : 2DHH</v>
          </cell>
          <cell r="AX88">
            <v>4.0000000000000001E-3</v>
          </cell>
          <cell r="AY88">
            <v>1</v>
          </cell>
          <cell r="AZ88">
            <v>0</v>
          </cell>
          <cell r="BA88">
            <v>0</v>
          </cell>
          <cell r="BB88">
            <v>0</v>
          </cell>
          <cell r="BD88" t="str">
            <v>Market End Time</v>
          </cell>
          <cell r="BE88">
            <v>0.97916666666666663</v>
          </cell>
          <cell r="BJ88" t="str">
            <v>Short</v>
          </cell>
          <cell r="BK88">
            <v>4.0000000000000001E-3</v>
          </cell>
          <cell r="BL88">
            <v>4.0000000000000001E-3</v>
          </cell>
          <cell r="BO88" t="str">
            <v>Put</v>
          </cell>
          <cell r="BP88" t="str">
            <v/>
          </cell>
        </row>
        <row r="90">
          <cell r="B90" t="str">
            <v>S15A</v>
          </cell>
          <cell r="C90" t="str">
            <v>Strategy Code</v>
          </cell>
          <cell r="D90" t="str">
            <v>S15</v>
          </cell>
          <cell r="E90" t="str">
            <v>Bull / 
Bull CF</v>
          </cell>
          <cell r="F90" t="str">
            <v>Long</v>
          </cell>
          <cell r="G90" t="str">
            <v>FUT : PRV : 1DHH</v>
          </cell>
          <cell r="H90" t="str">
            <v xml:space="preserve"> + </v>
          </cell>
          <cell r="I90">
            <v>0</v>
          </cell>
          <cell r="J90">
            <v>5</v>
          </cell>
          <cell r="L90" t="str">
            <v xml:space="preserve">L : Entry </v>
          </cell>
          <cell r="M90" t="str">
            <v xml:space="preserve"> + </v>
          </cell>
          <cell r="N90">
            <v>2.5000000000000001E-2</v>
          </cell>
          <cell r="O90">
            <v>1</v>
          </cell>
          <cell r="P90">
            <v>3.5000000000000003E-2</v>
          </cell>
          <cell r="Q90">
            <v>1</v>
          </cell>
          <cell r="R90">
            <v>4.4999999999999998E-2</v>
          </cell>
          <cell r="S90">
            <v>1</v>
          </cell>
          <cell r="T90">
            <v>5.5E-2</v>
          </cell>
          <cell r="U90">
            <v>1</v>
          </cell>
          <cell r="V90" t="str">
            <v>TR PROFIT AFTER TGT 4</v>
          </cell>
          <cell r="W90">
            <v>1</v>
          </cell>
          <cell r="X90" t="str">
            <v>N.A.</v>
          </cell>
          <cell r="Y90" t="str">
            <v>N.A.</v>
          </cell>
          <cell r="AA90" t="str">
            <v>Max</v>
          </cell>
          <cell r="AB90" t="str">
            <v>MSL &amp; TSL</v>
          </cell>
          <cell r="AC90" t="str">
            <v>Entry &amp; TRP</v>
          </cell>
          <cell r="AE90" t="str">
            <v>L : Entry</v>
          </cell>
          <cell r="AF90" t="str">
            <v xml:space="preserve"> - </v>
          </cell>
          <cell r="AG90">
            <v>2.5000000000000001E-2</v>
          </cell>
          <cell r="AH90">
            <v>0</v>
          </cell>
          <cell r="AJ90" t="str">
            <v xml:space="preserve"> - </v>
          </cell>
          <cell r="AK90" t="str">
            <v>FUT : PRV : 2DLL</v>
          </cell>
          <cell r="AL90">
            <v>4.0000000000000001E-3</v>
          </cell>
          <cell r="AM90">
            <v>5</v>
          </cell>
          <cell r="AN90" t="str">
            <v>FUT : PRV : 2DLL</v>
          </cell>
          <cell r="AO90">
            <v>4.0000000000000001E-3</v>
          </cell>
          <cell r="AP90">
            <v>4</v>
          </cell>
          <cell r="AQ90" t="str">
            <v>FUT : PRV : 2DLL</v>
          </cell>
          <cell r="AR90">
            <v>4.0000000000000001E-3</v>
          </cell>
          <cell r="AS90">
            <v>3</v>
          </cell>
          <cell r="AT90" t="str">
            <v>FUT : PRV : 2DLL</v>
          </cell>
          <cell r="AU90">
            <v>4.0000000000000001E-3</v>
          </cell>
          <cell r="AV90">
            <v>2</v>
          </cell>
          <cell r="AW90" t="str">
            <v>FUT : PRV : 2DLL</v>
          </cell>
          <cell r="AX90">
            <v>4.0000000000000001E-3</v>
          </cell>
          <cell r="AY90">
            <v>1</v>
          </cell>
          <cell r="AZ90">
            <v>0</v>
          </cell>
          <cell r="BA90">
            <v>0</v>
          </cell>
          <cell r="BB90">
            <v>0</v>
          </cell>
          <cell r="BD90" t="str">
            <v xml:space="preserve">ORPT </v>
          </cell>
          <cell r="BE90">
            <v>0.37846527777777778</v>
          </cell>
          <cell r="BF90">
            <v>0.37846527777777778</v>
          </cell>
          <cell r="BG90">
            <v>0.375</v>
          </cell>
          <cell r="BI90" t="str">
            <v>Bull / 
Bull CF</v>
          </cell>
          <cell r="BJ90" t="str">
            <v>Long</v>
          </cell>
          <cell r="BK90">
            <v>4.0000000000000001E-3</v>
          </cell>
          <cell r="BL90">
            <v>4.0000000000000001E-3</v>
          </cell>
          <cell r="BN90" t="str">
            <v>Bull | 
Bull CF</v>
          </cell>
          <cell r="BO90" t="str">
            <v>Call</v>
          </cell>
          <cell r="BP90" t="str">
            <v/>
          </cell>
          <cell r="CU90">
            <v>0.95833333333333326</v>
          </cell>
        </row>
        <row r="91">
          <cell r="B91" t="str">
            <v>S15B</v>
          </cell>
          <cell r="C91" t="str">
            <v>Unique Code</v>
          </cell>
          <cell r="D91" t="str">
            <v>CRUDEOIL_FUT_MT_DIFF_1D_2D</v>
          </cell>
          <cell r="F91" t="str">
            <v>Short</v>
          </cell>
          <cell r="G91" t="str">
            <v>FUT : PRV : 2DLL</v>
          </cell>
          <cell r="H91" t="str">
            <v xml:space="preserve"> - </v>
          </cell>
          <cell r="I91">
            <v>4.0000000000000001E-3</v>
          </cell>
          <cell r="J91">
            <v>5</v>
          </cell>
          <cell r="L91" t="str">
            <v xml:space="preserve">S : Entry </v>
          </cell>
          <cell r="M91" t="str">
            <v xml:space="preserve"> - </v>
          </cell>
          <cell r="N91">
            <v>2.5000000000000001E-2</v>
          </cell>
          <cell r="O91">
            <v>1</v>
          </cell>
          <cell r="P91">
            <v>3.5000000000000003E-2</v>
          </cell>
          <cell r="Q91">
            <v>1</v>
          </cell>
          <cell r="R91">
            <v>4.4999999999999998E-2</v>
          </cell>
          <cell r="S91">
            <v>1</v>
          </cell>
          <cell r="T91">
            <v>5.5E-2</v>
          </cell>
          <cell r="U91">
            <v>1</v>
          </cell>
          <cell r="V91" t="str">
            <v>TR PROFIT AFTER TGT 4</v>
          </cell>
          <cell r="W91">
            <v>1</v>
          </cell>
          <cell r="X91" t="str">
            <v>N.A.</v>
          </cell>
          <cell r="Y91" t="str">
            <v>N.A.</v>
          </cell>
          <cell r="AA91" t="str">
            <v>Min</v>
          </cell>
          <cell r="AB91" t="str">
            <v>MSL &amp; TSL</v>
          </cell>
          <cell r="AC91" t="str">
            <v>Entry &amp; TRP</v>
          </cell>
          <cell r="AE91" t="str">
            <v>S : Entry</v>
          </cell>
          <cell r="AF91" t="str">
            <v xml:space="preserve"> + </v>
          </cell>
          <cell r="AG91">
            <v>2.5000000000000001E-2</v>
          </cell>
          <cell r="AH91">
            <v>0</v>
          </cell>
          <cell r="AJ91" t="str">
            <v xml:space="preserve"> + </v>
          </cell>
          <cell r="AK91" t="str">
            <v>FUT : PRV : 1DHH</v>
          </cell>
          <cell r="AL91">
            <v>0</v>
          </cell>
          <cell r="AM91">
            <v>5</v>
          </cell>
          <cell r="AN91" t="str">
            <v>FUT : PRV : 1DHH</v>
          </cell>
          <cell r="AO91">
            <v>0</v>
          </cell>
          <cell r="AP91">
            <v>4</v>
          </cell>
          <cell r="AQ91" t="str">
            <v>FUT : PRV : 1DHH</v>
          </cell>
          <cell r="AR91">
            <v>0</v>
          </cell>
          <cell r="AS91">
            <v>3</v>
          </cell>
          <cell r="AT91" t="str">
            <v>FUT : PRV : 1DHH</v>
          </cell>
          <cell r="AU91">
            <v>0</v>
          </cell>
          <cell r="AV91">
            <v>2</v>
          </cell>
          <cell r="AW91" t="str">
            <v>FUT : PRV : 1DHH</v>
          </cell>
          <cell r="AX91">
            <v>0</v>
          </cell>
          <cell r="AY91">
            <v>1</v>
          </cell>
          <cell r="AZ91">
            <v>0</v>
          </cell>
          <cell r="BA91">
            <v>0</v>
          </cell>
          <cell r="BB91">
            <v>0</v>
          </cell>
          <cell r="BD91" t="str">
            <v xml:space="preserve"> RC. Time</v>
          </cell>
          <cell r="BE91">
            <v>0.38540972222222225</v>
          </cell>
          <cell r="BF91">
            <v>0.38540972222222225</v>
          </cell>
          <cell r="BG91" t="str">
            <v>N.A.</v>
          </cell>
          <cell r="BJ91" t="str">
            <v>Short</v>
          </cell>
          <cell r="BK91">
            <v>4.0000000000000001E-3</v>
          </cell>
          <cell r="BL91">
            <v>4.0000000000000001E-3</v>
          </cell>
          <cell r="BO91" t="str">
            <v>Put</v>
          </cell>
          <cell r="BP91" t="str">
            <v/>
          </cell>
        </row>
        <row r="92">
          <cell r="B92" t="str">
            <v>S15C</v>
          </cell>
          <cell r="C92" t="str">
            <v>Segment</v>
          </cell>
          <cell r="D92" t="str">
            <v>FUTURES</v>
          </cell>
          <cell r="E92" t="str">
            <v>Contract</v>
          </cell>
          <cell r="F92" t="str">
            <v>MONTHLY</v>
          </cell>
        </row>
        <row r="93">
          <cell r="B93" t="str">
            <v>S15D</v>
          </cell>
          <cell r="C93" t="str">
            <v>Symbol</v>
          </cell>
          <cell r="D93" t="str">
            <v>CRUDEOIL</v>
          </cell>
          <cell r="E93" t="str">
            <v>Bear / 
Bear CF</v>
          </cell>
          <cell r="F93" t="str">
            <v>Long</v>
          </cell>
          <cell r="G93" t="str">
            <v>FUT : PRV : 2DHH</v>
          </cell>
          <cell r="H93" t="str">
            <v xml:space="preserve"> + </v>
          </cell>
          <cell r="I93">
            <v>4.0000000000000001E-3</v>
          </cell>
          <cell r="J93">
            <v>5</v>
          </cell>
          <cell r="L93" t="str">
            <v xml:space="preserve">L : Entry </v>
          </cell>
          <cell r="M93" t="str">
            <v xml:space="preserve"> + </v>
          </cell>
          <cell r="N93">
            <v>2.5000000000000001E-2</v>
          </cell>
          <cell r="O93">
            <v>1</v>
          </cell>
          <cell r="P93">
            <v>3.5000000000000003E-2</v>
          </cell>
          <cell r="Q93">
            <v>1</v>
          </cell>
          <cell r="R93">
            <v>4.4999999999999998E-2</v>
          </cell>
          <cell r="S93">
            <v>1</v>
          </cell>
          <cell r="T93">
            <v>5.5E-2</v>
          </cell>
          <cell r="U93">
            <v>1</v>
          </cell>
          <cell r="V93" t="str">
            <v>TR PROFIT AFTER TGT 4</v>
          </cell>
          <cell r="W93">
            <v>1</v>
          </cell>
          <cell r="X93" t="str">
            <v>N.A.</v>
          </cell>
          <cell r="Y93" t="str">
            <v>N.A.</v>
          </cell>
          <cell r="AA93" t="str">
            <v>Max</v>
          </cell>
          <cell r="AB93" t="str">
            <v>MSL &amp; TSL</v>
          </cell>
          <cell r="AC93" t="str">
            <v>Entry &amp; TRP</v>
          </cell>
          <cell r="AE93" t="str">
            <v>L : Entry</v>
          </cell>
          <cell r="AF93" t="str">
            <v xml:space="preserve"> - </v>
          </cell>
          <cell r="AG93">
            <v>2.5000000000000001E-2</v>
          </cell>
          <cell r="AH93">
            <v>0</v>
          </cell>
          <cell r="AJ93" t="str">
            <v xml:space="preserve"> - </v>
          </cell>
          <cell r="AK93" t="str">
            <v>FUT : PRV : 1DLL</v>
          </cell>
          <cell r="AL93">
            <v>0</v>
          </cell>
          <cell r="AM93">
            <v>5</v>
          </cell>
          <cell r="AN93" t="str">
            <v>FUT : PRV : 1DLL</v>
          </cell>
          <cell r="AO93">
            <v>0</v>
          </cell>
          <cell r="AP93">
            <v>4</v>
          </cell>
          <cell r="AQ93" t="str">
            <v>FUT : PRV : 1DLL</v>
          </cell>
          <cell r="AR93">
            <v>0</v>
          </cell>
          <cell r="AS93">
            <v>3</v>
          </cell>
          <cell r="AT93" t="str">
            <v>FUT : PRV : 1DLL</v>
          </cell>
          <cell r="AU93">
            <v>0</v>
          </cell>
          <cell r="AV93">
            <v>2</v>
          </cell>
          <cell r="AW93" t="str">
            <v>FUT : PRV : 1DLL</v>
          </cell>
          <cell r="AX93">
            <v>0</v>
          </cell>
          <cell r="AY93">
            <v>1</v>
          </cell>
          <cell r="AZ93">
            <v>0</v>
          </cell>
          <cell r="BA93">
            <v>0</v>
          </cell>
          <cell r="BB93">
            <v>0</v>
          </cell>
          <cell r="BD93" t="str">
            <v>Market Start Time</v>
          </cell>
          <cell r="BE93">
            <v>0.375</v>
          </cell>
          <cell r="BI93" t="str">
            <v>Bear / 
Bear CF</v>
          </cell>
          <cell r="BJ93" t="str">
            <v>Long</v>
          </cell>
          <cell r="BK93">
            <v>4.0000000000000001E-3</v>
          </cell>
          <cell r="BL93">
            <v>4.0000000000000001E-3</v>
          </cell>
          <cell r="BN93" t="str">
            <v>Bear | 
Bear CF</v>
          </cell>
          <cell r="BO93" t="str">
            <v>Call</v>
          </cell>
          <cell r="BP93" t="str">
            <v/>
          </cell>
        </row>
        <row r="94">
          <cell r="B94" t="str">
            <v>S15E</v>
          </cell>
          <cell r="C94" t="str">
            <v>No. of Targets</v>
          </cell>
          <cell r="D94" t="str">
            <v>4 &amp; APS</v>
          </cell>
          <cell r="F94" t="str">
            <v>Short</v>
          </cell>
          <cell r="G94" t="str">
            <v>FUT : PRV : 1DLL</v>
          </cell>
          <cell r="H94" t="str">
            <v xml:space="preserve"> - </v>
          </cell>
          <cell r="I94">
            <v>0</v>
          </cell>
          <cell r="J94">
            <v>5</v>
          </cell>
          <cell r="L94" t="str">
            <v xml:space="preserve">S : Entry </v>
          </cell>
          <cell r="M94" t="str">
            <v xml:space="preserve"> - </v>
          </cell>
          <cell r="N94">
            <v>2.5000000000000001E-2</v>
          </cell>
          <cell r="O94">
            <v>1</v>
          </cell>
          <cell r="P94">
            <v>3.5000000000000003E-2</v>
          </cell>
          <cell r="Q94">
            <v>1</v>
          </cell>
          <cell r="R94">
            <v>4.4999999999999998E-2</v>
          </cell>
          <cell r="S94">
            <v>1</v>
          </cell>
          <cell r="T94">
            <v>5.5E-2</v>
          </cell>
          <cell r="U94">
            <v>1</v>
          </cell>
          <cell r="V94" t="str">
            <v>TR PROFIT AFTER TGT 4</v>
          </cell>
          <cell r="W94">
            <v>1</v>
          </cell>
          <cell r="X94" t="str">
            <v>N.A.</v>
          </cell>
          <cell r="Y94" t="str">
            <v>N.A.</v>
          </cell>
          <cell r="AA94" t="str">
            <v>Min</v>
          </cell>
          <cell r="AB94" t="str">
            <v>MSL &amp; TSL</v>
          </cell>
          <cell r="AC94" t="str">
            <v>Entry &amp; TRP</v>
          </cell>
          <cell r="AE94" t="str">
            <v>S : Entry</v>
          </cell>
          <cell r="AF94" t="str">
            <v xml:space="preserve"> + </v>
          </cell>
          <cell r="AG94">
            <v>2.5000000000000001E-2</v>
          </cell>
          <cell r="AH94">
            <v>0</v>
          </cell>
          <cell r="AJ94" t="str">
            <v xml:space="preserve"> + </v>
          </cell>
          <cell r="AK94" t="str">
            <v>FUT : PRV : 2DHH</v>
          </cell>
          <cell r="AL94">
            <v>4.0000000000000001E-3</v>
          </cell>
          <cell r="AM94">
            <v>5</v>
          </cell>
          <cell r="AN94" t="str">
            <v>FUT : PRV : 2DHH</v>
          </cell>
          <cell r="AO94">
            <v>4.0000000000000001E-3</v>
          </cell>
          <cell r="AP94">
            <v>4</v>
          </cell>
          <cell r="AQ94" t="str">
            <v>FUT : PRV : 2DHH</v>
          </cell>
          <cell r="AR94">
            <v>4.0000000000000001E-3</v>
          </cell>
          <cell r="AS94">
            <v>3</v>
          </cell>
          <cell r="AT94" t="str">
            <v>FUT : PRV : 2DHH</v>
          </cell>
          <cell r="AU94">
            <v>4.0000000000000001E-3</v>
          </cell>
          <cell r="AV94">
            <v>2</v>
          </cell>
          <cell r="AW94" t="str">
            <v>FUT : PRV : 2DHH</v>
          </cell>
          <cell r="AX94">
            <v>4.0000000000000001E-3</v>
          </cell>
          <cell r="AY94">
            <v>1</v>
          </cell>
          <cell r="AZ94">
            <v>0</v>
          </cell>
          <cell r="BA94">
            <v>0</v>
          </cell>
          <cell r="BB94">
            <v>0</v>
          </cell>
          <cell r="BD94" t="str">
            <v>Market End Time</v>
          </cell>
          <cell r="BE94">
            <v>0.97916666666666663</v>
          </cell>
          <cell r="BJ94" t="str">
            <v>Short</v>
          </cell>
          <cell r="BK94">
            <v>4.0000000000000001E-3</v>
          </cell>
          <cell r="BL94">
            <v>4.0000000000000001E-3</v>
          </cell>
          <cell r="BO94" t="str">
            <v>Put</v>
          </cell>
          <cell r="BP94" t="str">
            <v/>
          </cell>
        </row>
        <row r="96">
          <cell r="B96" t="str">
            <v>S16A</v>
          </cell>
          <cell r="C96" t="str">
            <v>Strategy Code</v>
          </cell>
          <cell r="D96" t="str">
            <v>S16</v>
          </cell>
          <cell r="E96" t="str">
            <v>Bull / 
Bull CF</v>
          </cell>
          <cell r="F96" t="str">
            <v>Long</v>
          </cell>
          <cell r="G96" t="str">
            <v>FUT : PRV : 2DHH</v>
          </cell>
          <cell r="H96" t="str">
            <v xml:space="preserve"> + </v>
          </cell>
          <cell r="I96">
            <v>0</v>
          </cell>
          <cell r="J96">
            <v>5</v>
          </cell>
          <cell r="L96" t="str">
            <v xml:space="preserve">L : Entry </v>
          </cell>
          <cell r="M96" t="str">
            <v xml:space="preserve"> + </v>
          </cell>
          <cell r="N96">
            <v>0.03</v>
          </cell>
          <cell r="O96">
            <v>1</v>
          </cell>
          <cell r="P96">
            <v>0.04</v>
          </cell>
          <cell r="Q96">
            <v>1</v>
          </cell>
          <cell r="R96">
            <v>0.05</v>
          </cell>
          <cell r="S96">
            <v>1</v>
          </cell>
          <cell r="T96">
            <v>0.06</v>
          </cell>
          <cell r="U96">
            <v>1</v>
          </cell>
          <cell r="V96" t="str">
            <v>TR PROFIT AFTER TGT 4</v>
          </cell>
          <cell r="W96">
            <v>1</v>
          </cell>
          <cell r="X96" t="str">
            <v>N.A.</v>
          </cell>
          <cell r="Y96" t="str">
            <v>N.A.</v>
          </cell>
          <cell r="AA96" t="str">
            <v>Max</v>
          </cell>
          <cell r="AB96" t="str">
            <v>MSL &amp; TSL</v>
          </cell>
          <cell r="AC96" t="str">
            <v>Entry &amp; TRP</v>
          </cell>
          <cell r="AE96" t="str">
            <v>L : Entry</v>
          </cell>
          <cell r="AF96" t="str">
            <v xml:space="preserve"> - </v>
          </cell>
          <cell r="AG96">
            <v>0.03</v>
          </cell>
          <cell r="AH96">
            <v>0</v>
          </cell>
          <cell r="AJ96" t="str">
            <v xml:space="preserve"> - </v>
          </cell>
          <cell r="AK96" t="str">
            <v>FUT : PRV : 3DLL</v>
          </cell>
          <cell r="AL96">
            <v>0.01</v>
          </cell>
          <cell r="AM96">
            <v>5</v>
          </cell>
          <cell r="AN96" t="str">
            <v>FUT : PRV : 3DLL</v>
          </cell>
          <cell r="AO96">
            <v>0.01</v>
          </cell>
          <cell r="AP96">
            <v>4</v>
          </cell>
          <cell r="AQ96" t="str">
            <v>FUT : PRV : 3DLL</v>
          </cell>
          <cell r="AR96">
            <v>0.01</v>
          </cell>
          <cell r="AS96">
            <v>3</v>
          </cell>
          <cell r="AT96" t="str">
            <v>FUT : PRV : 3DLL</v>
          </cell>
          <cell r="AU96">
            <v>0.01</v>
          </cell>
          <cell r="AV96">
            <v>2</v>
          </cell>
          <cell r="AW96" t="str">
            <v>FUT : PRV : 3DLL</v>
          </cell>
          <cell r="AX96">
            <v>0.01</v>
          </cell>
          <cell r="AY96">
            <v>1</v>
          </cell>
          <cell r="AZ96">
            <v>0</v>
          </cell>
          <cell r="BA96">
            <v>0</v>
          </cell>
          <cell r="BB96">
            <v>0</v>
          </cell>
          <cell r="BD96" t="str">
            <v xml:space="preserve">ORPT </v>
          </cell>
          <cell r="BE96">
            <v>0.37846527777777778</v>
          </cell>
          <cell r="BF96">
            <v>0.37846527777777778</v>
          </cell>
          <cell r="BG96">
            <v>0.375</v>
          </cell>
          <cell r="BI96" t="str">
            <v>Bull / 
Bull CF</v>
          </cell>
          <cell r="BJ96" t="str">
            <v>Long</v>
          </cell>
          <cell r="BK96">
            <v>0.01</v>
          </cell>
          <cell r="BL96">
            <v>0.01</v>
          </cell>
          <cell r="BN96" t="str">
            <v>Bull | 
Bull CF</v>
          </cell>
          <cell r="BO96" t="str">
            <v>Call</v>
          </cell>
          <cell r="BP96" t="str">
            <v/>
          </cell>
          <cell r="CU96">
            <v>0.95833333333333326</v>
          </cell>
        </row>
        <row r="97">
          <cell r="B97" t="str">
            <v>S16B</v>
          </cell>
          <cell r="C97" t="str">
            <v>Unique Code</v>
          </cell>
          <cell r="D97" t="str">
            <v>NATURALGAS_FUT_MT_DIFF_2D_3D</v>
          </cell>
          <cell r="F97" t="str">
            <v>Short</v>
          </cell>
          <cell r="G97" t="str">
            <v>FUT : PRV : 3DLL</v>
          </cell>
          <cell r="H97" t="str">
            <v xml:space="preserve"> - </v>
          </cell>
          <cell r="I97">
            <v>0.01</v>
          </cell>
          <cell r="J97">
            <v>5</v>
          </cell>
          <cell r="L97" t="str">
            <v xml:space="preserve">S : Entry </v>
          </cell>
          <cell r="M97" t="str">
            <v xml:space="preserve"> - </v>
          </cell>
          <cell r="N97">
            <v>0.03</v>
          </cell>
          <cell r="O97">
            <v>1</v>
          </cell>
          <cell r="P97">
            <v>0.04</v>
          </cell>
          <cell r="Q97">
            <v>1</v>
          </cell>
          <cell r="R97">
            <v>0.05</v>
          </cell>
          <cell r="S97">
            <v>1</v>
          </cell>
          <cell r="T97">
            <v>0.06</v>
          </cell>
          <cell r="U97">
            <v>1</v>
          </cell>
          <cell r="V97" t="str">
            <v>TR PROFIT AFTER TGT 4</v>
          </cell>
          <cell r="W97">
            <v>1</v>
          </cell>
          <cell r="X97" t="str">
            <v>N.A.</v>
          </cell>
          <cell r="Y97" t="str">
            <v>N.A.</v>
          </cell>
          <cell r="AA97" t="str">
            <v>Min</v>
          </cell>
          <cell r="AB97" t="str">
            <v>MSL &amp; TSL</v>
          </cell>
          <cell r="AC97" t="str">
            <v>Entry &amp; TRP</v>
          </cell>
          <cell r="AE97" t="str">
            <v>S : Entry</v>
          </cell>
          <cell r="AF97" t="str">
            <v xml:space="preserve"> + </v>
          </cell>
          <cell r="AG97">
            <v>0.03</v>
          </cell>
          <cell r="AH97">
            <v>0</v>
          </cell>
          <cell r="AJ97" t="str">
            <v xml:space="preserve"> + </v>
          </cell>
          <cell r="AK97" t="str">
            <v>FUT : PRV : 2DHH</v>
          </cell>
          <cell r="AL97">
            <v>0</v>
          </cell>
          <cell r="AM97">
            <v>5</v>
          </cell>
          <cell r="AN97" t="str">
            <v>FUT : PRV : 2DHH</v>
          </cell>
          <cell r="AO97">
            <v>0</v>
          </cell>
          <cell r="AP97">
            <v>4</v>
          </cell>
          <cell r="AQ97" t="str">
            <v>FUT : PRV : 2DHH</v>
          </cell>
          <cell r="AR97">
            <v>0</v>
          </cell>
          <cell r="AS97">
            <v>3</v>
          </cell>
          <cell r="AT97" t="str">
            <v>FUT : PRV : 2DHH</v>
          </cell>
          <cell r="AU97">
            <v>0</v>
          </cell>
          <cell r="AV97">
            <v>2</v>
          </cell>
          <cell r="AW97" t="str">
            <v>FUT : PRV : 2DHH</v>
          </cell>
          <cell r="AX97">
            <v>0</v>
          </cell>
          <cell r="AY97">
            <v>1</v>
          </cell>
          <cell r="AZ97">
            <v>0</v>
          </cell>
          <cell r="BA97">
            <v>0</v>
          </cell>
          <cell r="BB97">
            <v>0</v>
          </cell>
          <cell r="BD97" t="str">
            <v xml:space="preserve"> RC. Time</v>
          </cell>
          <cell r="BE97">
            <v>0.38540972222222225</v>
          </cell>
          <cell r="BF97">
            <v>0.38540972222222225</v>
          </cell>
          <cell r="BG97" t="str">
            <v>N.A.</v>
          </cell>
          <cell r="BJ97" t="str">
            <v>Short</v>
          </cell>
          <cell r="BK97">
            <v>0.01</v>
          </cell>
          <cell r="BL97">
            <v>0.01</v>
          </cell>
          <cell r="BO97" t="str">
            <v>Put</v>
          </cell>
          <cell r="BP97" t="str">
            <v/>
          </cell>
        </row>
        <row r="98">
          <cell r="B98" t="str">
            <v>S16C</v>
          </cell>
          <cell r="C98" t="str">
            <v>Segment</v>
          </cell>
          <cell r="D98" t="str">
            <v>FUTURES</v>
          </cell>
          <cell r="E98" t="str">
            <v>Contract</v>
          </cell>
          <cell r="F98" t="str">
            <v>MONTHLY</v>
          </cell>
        </row>
        <row r="99">
          <cell r="B99" t="str">
            <v>S16D</v>
          </cell>
          <cell r="C99" t="str">
            <v>Symbol</v>
          </cell>
          <cell r="D99" t="str">
            <v>NATURALGAS</v>
          </cell>
          <cell r="E99" t="str">
            <v>Bear / 
Bear CF</v>
          </cell>
          <cell r="F99" t="str">
            <v>Long</v>
          </cell>
          <cell r="G99" t="str">
            <v>FUT : PRV : 3DHH</v>
          </cell>
          <cell r="H99" t="str">
            <v xml:space="preserve"> + </v>
          </cell>
          <cell r="I99">
            <v>0.01</v>
          </cell>
          <cell r="J99">
            <v>5</v>
          </cell>
          <cell r="L99" t="str">
            <v xml:space="preserve">L : Entry </v>
          </cell>
          <cell r="M99" t="str">
            <v xml:space="preserve"> + </v>
          </cell>
          <cell r="N99">
            <v>0.03</v>
          </cell>
          <cell r="O99">
            <v>1</v>
          </cell>
          <cell r="P99">
            <v>0.04</v>
          </cell>
          <cell r="Q99">
            <v>1</v>
          </cell>
          <cell r="R99">
            <v>0.05</v>
          </cell>
          <cell r="S99">
            <v>1</v>
          </cell>
          <cell r="T99">
            <v>0.06</v>
          </cell>
          <cell r="U99">
            <v>1</v>
          </cell>
          <cell r="V99" t="str">
            <v>TR PROFIT AFTER TGT 4</v>
          </cell>
          <cell r="W99">
            <v>1</v>
          </cell>
          <cell r="X99" t="str">
            <v>N.A.</v>
          </cell>
          <cell r="Y99" t="str">
            <v>N.A.</v>
          </cell>
          <cell r="AA99" t="str">
            <v>Max</v>
          </cell>
          <cell r="AB99" t="str">
            <v>MSL &amp; TSL</v>
          </cell>
          <cell r="AC99" t="str">
            <v>Entry &amp; TRP</v>
          </cell>
          <cell r="AE99" t="str">
            <v>L : Entry</v>
          </cell>
          <cell r="AF99" t="str">
            <v xml:space="preserve"> - </v>
          </cell>
          <cell r="AG99">
            <v>0.03</v>
          </cell>
          <cell r="AH99">
            <v>0</v>
          </cell>
          <cell r="AJ99" t="str">
            <v xml:space="preserve"> - </v>
          </cell>
          <cell r="AK99" t="str">
            <v>FUT : PRV : 2DLL</v>
          </cell>
          <cell r="AL99">
            <v>0</v>
          </cell>
          <cell r="AM99">
            <v>5</v>
          </cell>
          <cell r="AN99" t="str">
            <v>FUT : PRV : 2DLL</v>
          </cell>
          <cell r="AO99">
            <v>0</v>
          </cell>
          <cell r="AP99">
            <v>4</v>
          </cell>
          <cell r="AQ99" t="str">
            <v>FUT : PRV : 2DLL</v>
          </cell>
          <cell r="AR99">
            <v>0</v>
          </cell>
          <cell r="AS99">
            <v>3</v>
          </cell>
          <cell r="AT99" t="str">
            <v>FUT : PRV : 2DLL</v>
          </cell>
          <cell r="AU99">
            <v>0</v>
          </cell>
          <cell r="AV99">
            <v>2</v>
          </cell>
          <cell r="AW99" t="str">
            <v>FUT : PRV : 2DLL</v>
          </cell>
          <cell r="AX99">
            <v>0</v>
          </cell>
          <cell r="AY99">
            <v>1</v>
          </cell>
          <cell r="AZ99">
            <v>0</v>
          </cell>
          <cell r="BA99">
            <v>0</v>
          </cell>
          <cell r="BB99">
            <v>0</v>
          </cell>
          <cell r="BD99" t="str">
            <v>Market Start Time</v>
          </cell>
          <cell r="BE99">
            <v>0.375</v>
          </cell>
          <cell r="BI99" t="str">
            <v>Bear / 
Bear CF</v>
          </cell>
          <cell r="BJ99" t="str">
            <v>Long</v>
          </cell>
          <cell r="BK99">
            <v>0.01</v>
          </cell>
          <cell r="BL99">
            <v>0.01</v>
          </cell>
          <cell r="BN99" t="str">
            <v>Bear | 
Bear CF</v>
          </cell>
          <cell r="BO99" t="str">
            <v>Call</v>
          </cell>
          <cell r="BP99" t="str">
            <v/>
          </cell>
        </row>
        <row r="100">
          <cell r="B100" t="str">
            <v>S16E</v>
          </cell>
          <cell r="C100" t="str">
            <v>Contract</v>
          </cell>
          <cell r="D100" t="str">
            <v>4 &amp; APS</v>
          </cell>
          <cell r="F100" t="str">
            <v>Short</v>
          </cell>
          <cell r="G100" t="str">
            <v>FUT : PRV : 2DLL</v>
          </cell>
          <cell r="H100" t="str">
            <v xml:space="preserve"> - </v>
          </cell>
          <cell r="I100">
            <v>0</v>
          </cell>
          <cell r="J100">
            <v>5</v>
          </cell>
          <cell r="L100" t="str">
            <v xml:space="preserve">S : Entry </v>
          </cell>
          <cell r="M100" t="str">
            <v xml:space="preserve"> - </v>
          </cell>
          <cell r="N100">
            <v>0.03</v>
          </cell>
          <cell r="O100">
            <v>1</v>
          </cell>
          <cell r="P100">
            <v>0.04</v>
          </cell>
          <cell r="Q100">
            <v>1</v>
          </cell>
          <cell r="R100">
            <v>0.05</v>
          </cell>
          <cell r="S100">
            <v>1</v>
          </cell>
          <cell r="T100">
            <v>0.06</v>
          </cell>
          <cell r="U100">
            <v>1</v>
          </cell>
          <cell r="V100" t="str">
            <v>TR PROFIT AFTER TGT 4</v>
          </cell>
          <cell r="W100">
            <v>1</v>
          </cell>
          <cell r="X100" t="str">
            <v>N.A.</v>
          </cell>
          <cell r="Y100" t="str">
            <v>N.A.</v>
          </cell>
          <cell r="AA100" t="str">
            <v>Min</v>
          </cell>
          <cell r="AB100" t="str">
            <v>MSL &amp; TSL</v>
          </cell>
          <cell r="AC100" t="str">
            <v>Entry &amp; TRP</v>
          </cell>
          <cell r="AE100" t="str">
            <v>S : Entry</v>
          </cell>
          <cell r="AF100" t="str">
            <v xml:space="preserve"> + </v>
          </cell>
          <cell r="AG100">
            <v>0.03</v>
          </cell>
          <cell r="AH100">
            <v>0</v>
          </cell>
          <cell r="AJ100" t="str">
            <v xml:space="preserve"> + </v>
          </cell>
          <cell r="AK100" t="str">
            <v>FUT : PRV : 3DHH</v>
          </cell>
          <cell r="AL100">
            <v>0.01</v>
          </cell>
          <cell r="AM100">
            <v>5</v>
          </cell>
          <cell r="AN100" t="str">
            <v>FUT : PRV : 3DHH</v>
          </cell>
          <cell r="AO100">
            <v>0.01</v>
          </cell>
          <cell r="AP100">
            <v>4</v>
          </cell>
          <cell r="AQ100" t="str">
            <v>FUT : PRV : 3DHH</v>
          </cell>
          <cell r="AR100">
            <v>0.01</v>
          </cell>
          <cell r="AS100">
            <v>3</v>
          </cell>
          <cell r="AT100" t="str">
            <v>FUT : PRV : 3DHH</v>
          </cell>
          <cell r="AU100">
            <v>0.01</v>
          </cell>
          <cell r="AV100">
            <v>2</v>
          </cell>
          <cell r="AW100" t="str">
            <v>FUT : PRV : 3DHH</v>
          </cell>
          <cell r="AX100">
            <v>0.01</v>
          </cell>
          <cell r="AY100">
            <v>1</v>
          </cell>
          <cell r="AZ100">
            <v>0</v>
          </cell>
          <cell r="BA100">
            <v>0</v>
          </cell>
          <cell r="BB100">
            <v>0</v>
          </cell>
          <cell r="BD100" t="str">
            <v>Market End Time</v>
          </cell>
          <cell r="BE100">
            <v>0.97916666666666663</v>
          </cell>
          <cell r="BJ100" t="str">
            <v>Short</v>
          </cell>
          <cell r="BK100">
            <v>0.01</v>
          </cell>
          <cell r="BL100">
            <v>0.01</v>
          </cell>
          <cell r="BO100" t="str">
            <v>Put</v>
          </cell>
          <cell r="BP100" t="str">
            <v/>
          </cell>
        </row>
        <row r="102">
          <cell r="B102" t="str">
            <v>S17A</v>
          </cell>
          <cell r="C102" t="str">
            <v>Strategy Code</v>
          </cell>
          <cell r="D102" t="str">
            <v>S17</v>
          </cell>
          <cell r="E102" t="str">
            <v>Bull / 
Bull CF</v>
          </cell>
          <cell r="F102" t="str">
            <v>Long</v>
          </cell>
          <cell r="G102" t="str">
            <v>FUT : PRV : 2DHH</v>
          </cell>
          <cell r="H102" t="str">
            <v xml:space="preserve"> + </v>
          </cell>
          <cell r="I102">
            <v>0</v>
          </cell>
          <cell r="J102">
            <v>5</v>
          </cell>
          <cell r="L102" t="str">
            <v xml:space="preserve">L : Entry </v>
          </cell>
          <cell r="M102" t="str">
            <v xml:space="preserve"> + </v>
          </cell>
          <cell r="N102">
            <v>0.03</v>
          </cell>
          <cell r="O102">
            <v>1</v>
          </cell>
          <cell r="P102">
            <v>0.04</v>
          </cell>
          <cell r="Q102">
            <v>1</v>
          </cell>
          <cell r="R102">
            <v>0.05</v>
          </cell>
          <cell r="S102">
            <v>1</v>
          </cell>
          <cell r="T102">
            <v>0.06</v>
          </cell>
          <cell r="U102">
            <v>1</v>
          </cell>
          <cell r="V102" t="str">
            <v>TR PROFIT AFTER TGT 4</v>
          </cell>
          <cell r="W102">
            <v>1</v>
          </cell>
          <cell r="X102" t="str">
            <v>N.A.</v>
          </cell>
          <cell r="Y102" t="str">
            <v>N.A.</v>
          </cell>
          <cell r="AA102" t="str">
            <v>Max</v>
          </cell>
          <cell r="AB102" t="str">
            <v>MSL &amp; TSL</v>
          </cell>
          <cell r="AC102" t="str">
            <v>Entry &amp; TRP</v>
          </cell>
          <cell r="AE102" t="str">
            <v>L : Entry</v>
          </cell>
          <cell r="AF102" t="str">
            <v xml:space="preserve"> - </v>
          </cell>
          <cell r="AG102">
            <v>0.03</v>
          </cell>
          <cell r="AH102">
            <v>0</v>
          </cell>
          <cell r="AJ102" t="str">
            <v xml:space="preserve"> - </v>
          </cell>
          <cell r="AK102" t="str">
            <v>FUT : PRV : PW&amp;CWLL</v>
          </cell>
          <cell r="AL102">
            <v>0.01</v>
          </cell>
          <cell r="AM102">
            <v>5</v>
          </cell>
          <cell r="AN102" t="str">
            <v>FUT : PRV : PW&amp;CWLL</v>
          </cell>
          <cell r="AO102">
            <v>0.01</v>
          </cell>
          <cell r="AP102">
            <v>4</v>
          </cell>
          <cell r="AQ102" t="str">
            <v>FUT : PRV : PW&amp;CWLL</v>
          </cell>
          <cell r="AR102">
            <v>0.01</v>
          </cell>
          <cell r="AS102">
            <v>3</v>
          </cell>
          <cell r="AT102" t="str">
            <v>FUT : PRV : PW&amp;CWLL</v>
          </cell>
          <cell r="AU102">
            <v>0.01</v>
          </cell>
          <cell r="AV102">
            <v>2</v>
          </cell>
          <cell r="AW102" t="str">
            <v>FUT : PRV : PW&amp;CWLL</v>
          </cell>
          <cell r="AX102">
            <v>0.01</v>
          </cell>
          <cell r="AY102">
            <v>1</v>
          </cell>
          <cell r="AZ102">
            <v>0</v>
          </cell>
          <cell r="BA102">
            <v>0</v>
          </cell>
          <cell r="BB102">
            <v>0</v>
          </cell>
          <cell r="BD102" t="str">
            <v xml:space="preserve">ORPT </v>
          </cell>
          <cell r="BE102">
            <v>0.37846527777777778</v>
          </cell>
          <cell r="BF102">
            <v>0.37846527777777778</v>
          </cell>
          <cell r="BG102">
            <v>0.375</v>
          </cell>
          <cell r="BI102" t="str">
            <v>Bull / 
Bull CF</v>
          </cell>
          <cell r="BJ102" t="str">
            <v>Long</v>
          </cell>
          <cell r="BK102">
            <v>0.01</v>
          </cell>
          <cell r="BL102">
            <v>0.01</v>
          </cell>
          <cell r="BN102" t="str">
            <v>Bull | 
Bull CF</v>
          </cell>
          <cell r="BO102" t="str">
            <v>Call</v>
          </cell>
          <cell r="BP102" t="str">
            <v/>
          </cell>
          <cell r="CU102">
            <v>0.95833333333333326</v>
          </cell>
        </row>
        <row r="103">
          <cell r="B103" t="str">
            <v>S17B</v>
          </cell>
          <cell r="C103" t="str">
            <v>Unique Code</v>
          </cell>
          <cell r="D103" t="str">
            <v>NATURALGAS_FUT_MT_DIFF_2D_PW&amp;CW</v>
          </cell>
          <cell r="F103" t="str">
            <v>Short</v>
          </cell>
          <cell r="G103" t="str">
            <v>FUT : PRV : PW&amp;CWLL</v>
          </cell>
          <cell r="H103" t="str">
            <v xml:space="preserve"> - </v>
          </cell>
          <cell r="I103">
            <v>0.01</v>
          </cell>
          <cell r="J103">
            <v>5</v>
          </cell>
          <cell r="L103" t="str">
            <v xml:space="preserve">S : Entry </v>
          </cell>
          <cell r="M103" t="str">
            <v xml:space="preserve"> - </v>
          </cell>
          <cell r="N103">
            <v>0.03</v>
          </cell>
          <cell r="O103">
            <v>1</v>
          </cell>
          <cell r="P103">
            <v>0.04</v>
          </cell>
          <cell r="Q103">
            <v>1</v>
          </cell>
          <cell r="R103">
            <v>0.05</v>
          </cell>
          <cell r="S103">
            <v>1</v>
          </cell>
          <cell r="T103">
            <v>0.06</v>
          </cell>
          <cell r="U103">
            <v>1</v>
          </cell>
          <cell r="V103" t="str">
            <v>TR PROFIT AFTER TGT 4</v>
          </cell>
          <cell r="W103">
            <v>1</v>
          </cell>
          <cell r="X103" t="str">
            <v>N.A.</v>
          </cell>
          <cell r="Y103" t="str">
            <v>N.A.</v>
          </cell>
          <cell r="AA103" t="str">
            <v>Min</v>
          </cell>
          <cell r="AB103" t="str">
            <v>MSL &amp; TSL</v>
          </cell>
          <cell r="AC103" t="str">
            <v>Entry &amp; TRP</v>
          </cell>
          <cell r="AE103" t="str">
            <v>S : Entry</v>
          </cell>
          <cell r="AF103" t="str">
            <v xml:space="preserve"> + </v>
          </cell>
          <cell r="AG103">
            <v>0.03</v>
          </cell>
          <cell r="AH103">
            <v>0</v>
          </cell>
          <cell r="AJ103" t="str">
            <v xml:space="preserve"> + </v>
          </cell>
          <cell r="AK103" t="str">
            <v>FUT : PRV : 2DHH</v>
          </cell>
          <cell r="AL103">
            <v>0</v>
          </cell>
          <cell r="AM103">
            <v>5</v>
          </cell>
          <cell r="AN103" t="str">
            <v>FUT : PRV : 2DHH</v>
          </cell>
          <cell r="AO103">
            <v>0</v>
          </cell>
          <cell r="AP103">
            <v>4</v>
          </cell>
          <cell r="AQ103" t="str">
            <v>FUT : PRV : 2DHH</v>
          </cell>
          <cell r="AR103">
            <v>0</v>
          </cell>
          <cell r="AS103">
            <v>3</v>
          </cell>
          <cell r="AT103" t="str">
            <v>FUT : PRV : 2DHH</v>
          </cell>
          <cell r="AU103">
            <v>0</v>
          </cell>
          <cell r="AV103">
            <v>2</v>
          </cell>
          <cell r="AW103" t="str">
            <v>FUT : PRV : 2DHH</v>
          </cell>
          <cell r="AX103">
            <v>0</v>
          </cell>
          <cell r="AY103">
            <v>1</v>
          </cell>
          <cell r="AZ103">
            <v>0</v>
          </cell>
          <cell r="BA103">
            <v>0</v>
          </cell>
          <cell r="BB103">
            <v>0</v>
          </cell>
          <cell r="BD103" t="str">
            <v xml:space="preserve"> RC. Time</v>
          </cell>
          <cell r="BE103">
            <v>0.38540972222222225</v>
          </cell>
          <cell r="BF103">
            <v>0.38540972222222225</v>
          </cell>
          <cell r="BG103" t="str">
            <v>N.A.</v>
          </cell>
          <cell r="BJ103" t="str">
            <v>Short</v>
          </cell>
          <cell r="BK103">
            <v>0.01</v>
          </cell>
          <cell r="BL103">
            <v>0.01</v>
          </cell>
          <cell r="BO103" t="str">
            <v>Put</v>
          </cell>
          <cell r="BP103" t="str">
            <v/>
          </cell>
        </row>
        <row r="104">
          <cell r="B104" t="str">
            <v>S17C</v>
          </cell>
          <cell r="C104" t="str">
            <v>Segment</v>
          </cell>
          <cell r="D104" t="str">
            <v>FUTURES</v>
          </cell>
          <cell r="E104" t="str">
            <v>Contract</v>
          </cell>
          <cell r="F104" t="str">
            <v>MONTHLY</v>
          </cell>
        </row>
        <row r="105">
          <cell r="B105" t="str">
            <v>S17D</v>
          </cell>
          <cell r="C105" t="str">
            <v>Symbol</v>
          </cell>
          <cell r="D105" t="str">
            <v>NATURALGAS</v>
          </cell>
          <cell r="E105" t="str">
            <v>Bear / 
Bear CF</v>
          </cell>
          <cell r="F105" t="str">
            <v>Long</v>
          </cell>
          <cell r="G105" t="str">
            <v>FUT : PRV : PW&amp;CWHH</v>
          </cell>
          <cell r="H105" t="str">
            <v xml:space="preserve"> + </v>
          </cell>
          <cell r="I105">
            <v>0.01</v>
          </cell>
          <cell r="J105">
            <v>5</v>
          </cell>
          <cell r="L105" t="str">
            <v xml:space="preserve">L : Entry </v>
          </cell>
          <cell r="M105" t="str">
            <v xml:space="preserve"> + </v>
          </cell>
          <cell r="N105">
            <v>0.03</v>
          </cell>
          <cell r="O105">
            <v>1</v>
          </cell>
          <cell r="P105">
            <v>0.04</v>
          </cell>
          <cell r="Q105">
            <v>1</v>
          </cell>
          <cell r="R105">
            <v>0.05</v>
          </cell>
          <cell r="S105">
            <v>1</v>
          </cell>
          <cell r="T105">
            <v>0.06</v>
          </cell>
          <cell r="U105">
            <v>1</v>
          </cell>
          <cell r="V105" t="str">
            <v>TR PROFIT AFTER TGT 4</v>
          </cell>
          <cell r="W105">
            <v>1</v>
          </cell>
          <cell r="X105" t="str">
            <v>N.A.</v>
          </cell>
          <cell r="Y105" t="str">
            <v>N.A.</v>
          </cell>
          <cell r="AA105" t="str">
            <v>Max</v>
          </cell>
          <cell r="AB105" t="str">
            <v>MSL &amp; TSL</v>
          </cell>
          <cell r="AC105" t="str">
            <v>Entry &amp; TRP</v>
          </cell>
          <cell r="AE105" t="str">
            <v>L : Entry</v>
          </cell>
          <cell r="AF105" t="str">
            <v xml:space="preserve"> - </v>
          </cell>
          <cell r="AG105">
            <v>0.03</v>
          </cell>
          <cell r="AH105">
            <v>0</v>
          </cell>
          <cell r="AJ105" t="str">
            <v xml:space="preserve"> - </v>
          </cell>
          <cell r="AK105" t="str">
            <v>FUT : PRV : 2DLL</v>
          </cell>
          <cell r="AL105">
            <v>0</v>
          </cell>
          <cell r="AM105">
            <v>5</v>
          </cell>
          <cell r="AN105" t="str">
            <v>FUT : PRV : 2DLL</v>
          </cell>
          <cell r="AO105">
            <v>0</v>
          </cell>
          <cell r="AP105">
            <v>4</v>
          </cell>
          <cell r="AQ105" t="str">
            <v>FUT : PRV : 2DLL</v>
          </cell>
          <cell r="AR105">
            <v>0</v>
          </cell>
          <cell r="AS105">
            <v>3</v>
          </cell>
          <cell r="AT105" t="str">
            <v>FUT : PRV : 2DLL</v>
          </cell>
          <cell r="AU105">
            <v>0</v>
          </cell>
          <cell r="AV105">
            <v>2</v>
          </cell>
          <cell r="AW105" t="str">
            <v>FUT : PRV : 2DLL</v>
          </cell>
          <cell r="AX105">
            <v>0</v>
          </cell>
          <cell r="AY105">
            <v>1</v>
          </cell>
          <cell r="AZ105">
            <v>0</v>
          </cell>
          <cell r="BA105">
            <v>0</v>
          </cell>
          <cell r="BB105">
            <v>0</v>
          </cell>
          <cell r="BD105" t="str">
            <v>Market Start Time</v>
          </cell>
          <cell r="BE105">
            <v>0.375</v>
          </cell>
          <cell r="BI105" t="str">
            <v>Bear / 
Bear CF</v>
          </cell>
          <cell r="BJ105" t="str">
            <v>Long</v>
          </cell>
          <cell r="BK105">
            <v>0.01</v>
          </cell>
          <cell r="BL105">
            <v>0.01</v>
          </cell>
          <cell r="BN105" t="str">
            <v>Bear | 
Bear CF</v>
          </cell>
          <cell r="BO105" t="str">
            <v>Call</v>
          </cell>
          <cell r="BP105" t="str">
            <v/>
          </cell>
        </row>
        <row r="106">
          <cell r="B106" t="str">
            <v>S17E</v>
          </cell>
          <cell r="C106" t="str">
            <v>No. of Targets</v>
          </cell>
          <cell r="D106" t="str">
            <v>4 &amp; APS</v>
          </cell>
          <cell r="F106" t="str">
            <v>Short</v>
          </cell>
          <cell r="G106" t="str">
            <v>FUT : PRV : 2DLL</v>
          </cell>
          <cell r="H106" t="str">
            <v xml:space="preserve"> - </v>
          </cell>
          <cell r="I106">
            <v>0</v>
          </cell>
          <cell r="J106">
            <v>5</v>
          </cell>
          <cell r="L106" t="str">
            <v xml:space="preserve">S : Entry </v>
          </cell>
          <cell r="M106" t="str">
            <v xml:space="preserve"> - </v>
          </cell>
          <cell r="N106">
            <v>0.03</v>
          </cell>
          <cell r="O106">
            <v>1</v>
          </cell>
          <cell r="P106">
            <v>0.04</v>
          </cell>
          <cell r="Q106">
            <v>1</v>
          </cell>
          <cell r="R106">
            <v>0.05</v>
          </cell>
          <cell r="S106">
            <v>1</v>
          </cell>
          <cell r="T106">
            <v>0.06</v>
          </cell>
          <cell r="U106">
            <v>1</v>
          </cell>
          <cell r="V106" t="str">
            <v>TR PROFIT AFTER TGT 4</v>
          </cell>
          <cell r="W106">
            <v>1</v>
          </cell>
          <cell r="X106" t="str">
            <v>N.A.</v>
          </cell>
          <cell r="Y106" t="str">
            <v>N.A.</v>
          </cell>
          <cell r="AA106" t="str">
            <v>Min</v>
          </cell>
          <cell r="AB106" t="str">
            <v>MSL &amp; TSL</v>
          </cell>
          <cell r="AC106" t="str">
            <v>Entry &amp; TRP</v>
          </cell>
          <cell r="AE106" t="str">
            <v>S : Entry</v>
          </cell>
          <cell r="AF106" t="str">
            <v xml:space="preserve"> + </v>
          </cell>
          <cell r="AG106">
            <v>0.03</v>
          </cell>
          <cell r="AH106">
            <v>0</v>
          </cell>
          <cell r="AJ106" t="str">
            <v xml:space="preserve"> + </v>
          </cell>
          <cell r="AK106" t="str">
            <v>FUT : PRV : PW&amp;CWHH</v>
          </cell>
          <cell r="AL106">
            <v>0.01</v>
          </cell>
          <cell r="AM106">
            <v>5</v>
          </cell>
          <cell r="AN106" t="str">
            <v>FUT : PRV : PW&amp;CWHH</v>
          </cell>
          <cell r="AO106">
            <v>0.01</v>
          </cell>
          <cell r="AP106">
            <v>4</v>
          </cell>
          <cell r="AQ106" t="str">
            <v>FUT : PRV : PW&amp;CWHH</v>
          </cell>
          <cell r="AR106">
            <v>0.01</v>
          </cell>
          <cell r="AS106">
            <v>3</v>
          </cell>
          <cell r="AT106" t="str">
            <v>FUT : PRV : PW&amp;CWHH</v>
          </cell>
          <cell r="AU106">
            <v>0.01</v>
          </cell>
          <cell r="AV106">
            <v>2</v>
          </cell>
          <cell r="AW106" t="str">
            <v>FUT : PRV : PW&amp;CWHH</v>
          </cell>
          <cell r="AX106">
            <v>0.01</v>
          </cell>
          <cell r="AY106">
            <v>1</v>
          </cell>
          <cell r="AZ106">
            <v>0</v>
          </cell>
          <cell r="BA106">
            <v>0</v>
          </cell>
          <cell r="BB106">
            <v>0</v>
          </cell>
          <cell r="BD106" t="str">
            <v>Market End Time</v>
          </cell>
          <cell r="BE106">
            <v>0.97916666666666663</v>
          </cell>
          <cell r="BJ106" t="str">
            <v>Short</v>
          </cell>
          <cell r="BK106">
            <v>0.01</v>
          </cell>
          <cell r="BL106">
            <v>0.01</v>
          </cell>
          <cell r="BO106" t="str">
            <v>Put</v>
          </cell>
          <cell r="BP106" t="str">
            <v/>
          </cell>
        </row>
        <row r="108">
          <cell r="B108" t="str">
            <v>S18A</v>
          </cell>
          <cell r="C108" t="str">
            <v>Strategy Code</v>
          </cell>
          <cell r="D108" t="str">
            <v>S18</v>
          </cell>
          <cell r="E108" t="str">
            <v>Bull / 
Bull CF</v>
          </cell>
          <cell r="F108" t="str">
            <v>Call</v>
          </cell>
          <cell r="G108" t="str">
            <v>OPT : PRV : 3DLL</v>
          </cell>
          <cell r="H108" t="str">
            <v xml:space="preserve"> - </v>
          </cell>
          <cell r="I108">
            <v>7.4999999999999997E-2</v>
          </cell>
          <cell r="J108">
            <v>1</v>
          </cell>
          <cell r="L108" t="str">
            <v xml:space="preserve">CE : Entry </v>
          </cell>
          <cell r="M108" t="str">
            <v xml:space="preserve"> - </v>
          </cell>
          <cell r="N108">
            <v>0.6</v>
          </cell>
          <cell r="O108">
            <v>1</v>
          </cell>
          <cell r="AA108" t="str">
            <v>Min</v>
          </cell>
          <cell r="AB108" t="str">
            <v>MSL &amp; TSL</v>
          </cell>
          <cell r="AC108" t="str">
            <v>Entry &amp; TRP</v>
          </cell>
          <cell r="AE108" t="str">
            <v xml:space="preserve">CE : Entry </v>
          </cell>
          <cell r="AF108" t="str">
            <v xml:space="preserve"> + </v>
          </cell>
          <cell r="AG108">
            <v>0.6</v>
          </cell>
          <cell r="AJ108" t="str">
            <v xml:space="preserve"> + </v>
          </cell>
          <cell r="AK108" t="str">
            <v>OPT : PRV : 2DHH</v>
          </cell>
          <cell r="AL108">
            <v>7.0000000000000007E-2</v>
          </cell>
          <cell r="AM108">
            <v>1</v>
          </cell>
          <cell r="AN108">
            <v>0</v>
          </cell>
          <cell r="AP108">
            <v>0</v>
          </cell>
          <cell r="AQ108">
            <v>0</v>
          </cell>
          <cell r="AS108">
            <v>0</v>
          </cell>
          <cell r="AT108">
            <v>0</v>
          </cell>
          <cell r="AV108">
            <v>0</v>
          </cell>
          <cell r="AW108">
            <v>0</v>
          </cell>
          <cell r="AY108">
            <v>0</v>
          </cell>
          <cell r="AZ108">
            <v>0</v>
          </cell>
          <cell r="BB108">
            <v>0</v>
          </cell>
          <cell r="BD108" t="str">
            <v xml:space="preserve">ORPT </v>
          </cell>
          <cell r="BE108">
            <v>0.38193749999999999</v>
          </cell>
          <cell r="BF108">
            <v>0.38193749999999999</v>
          </cell>
          <cell r="BG108">
            <v>0.375</v>
          </cell>
          <cell r="BI108" t="str">
            <v>Bull / 
Bull CF</v>
          </cell>
          <cell r="BJ108" t="str">
            <v>Call</v>
          </cell>
          <cell r="BK108">
            <v>7.4999999999999997E-2</v>
          </cell>
          <cell r="BL108">
            <v>7.0000000000000007E-2</v>
          </cell>
          <cell r="BN108" t="str">
            <v>Bull | 
Bull CF</v>
          </cell>
          <cell r="BO108" t="str">
            <v>Call</v>
          </cell>
          <cell r="BP108" t="str">
            <v>SPT : PRV : 3DLL</v>
          </cell>
          <cell r="BQ108" t="str">
            <v>+</v>
          </cell>
          <cell r="BR108">
            <v>0.02</v>
          </cell>
          <cell r="BS108" t="str">
            <v>Round Down</v>
          </cell>
          <cell r="BT108" t="str">
            <v>SPT : PRV : 3DLL</v>
          </cell>
          <cell r="BW108" t="str">
            <v>Round Down</v>
          </cell>
          <cell r="BX108" t="str">
            <v>-</v>
          </cell>
          <cell r="BY108">
            <v>1</v>
          </cell>
          <cell r="CE108" t="str">
            <v>SPT : PRV : 3DLL</v>
          </cell>
          <cell r="CF108">
            <v>3.0000000000000001E-3</v>
          </cell>
          <cell r="CG108" t="str">
            <v>SPT : PRV : 3DLL</v>
          </cell>
          <cell r="CH108">
            <v>1.5E-3</v>
          </cell>
          <cell r="CI108">
            <v>100</v>
          </cell>
          <cell r="CJ108">
            <v>1</v>
          </cell>
          <cell r="CR108">
            <v>0.02</v>
          </cell>
          <cell r="CU108">
            <v>0.6875</v>
          </cell>
        </row>
        <row r="109">
          <cell r="B109" t="str">
            <v>S18B</v>
          </cell>
          <cell r="C109" t="str">
            <v>Unique Code</v>
          </cell>
          <cell r="D109" t="str">
            <v>USDINR_OP_SELL_WK_DIFF_2D_3D</v>
          </cell>
          <cell r="F109" t="str">
            <v>Put</v>
          </cell>
          <cell r="G109" t="str">
            <v>OPT : PRV : 2DLL</v>
          </cell>
          <cell r="H109" t="str">
            <v xml:space="preserve"> - </v>
          </cell>
          <cell r="I109">
            <v>7.4999999999999997E-2</v>
          </cell>
          <cell r="J109">
            <v>1</v>
          </cell>
          <cell r="L109" t="str">
            <v xml:space="preserve">PE : Entry </v>
          </cell>
          <cell r="M109" t="str">
            <v xml:space="preserve"> - </v>
          </cell>
          <cell r="N109">
            <v>0.6</v>
          </cell>
          <cell r="O109">
            <v>1</v>
          </cell>
          <cell r="AA109" t="str">
            <v>Min</v>
          </cell>
          <cell r="AB109" t="str">
            <v>MSL &amp; TSL</v>
          </cell>
          <cell r="AC109" t="str">
            <v>Entry &amp; TRP</v>
          </cell>
          <cell r="AE109" t="str">
            <v xml:space="preserve">PE : Entry </v>
          </cell>
          <cell r="AF109" t="str">
            <v xml:space="preserve"> + </v>
          </cell>
          <cell r="AG109">
            <v>0.6</v>
          </cell>
          <cell r="AJ109" t="str">
            <v xml:space="preserve"> + </v>
          </cell>
          <cell r="AK109" t="str">
            <v>OPT : PRV : 3DHH</v>
          </cell>
          <cell r="AL109">
            <v>0.1</v>
          </cell>
          <cell r="AM109">
            <v>1</v>
          </cell>
          <cell r="AN109">
            <v>0</v>
          </cell>
          <cell r="AP109">
            <v>0</v>
          </cell>
          <cell r="AQ109">
            <v>0</v>
          </cell>
          <cell r="AS109">
            <v>0</v>
          </cell>
          <cell r="AT109">
            <v>0</v>
          </cell>
          <cell r="AV109">
            <v>0</v>
          </cell>
          <cell r="AW109">
            <v>0</v>
          </cell>
          <cell r="AY109">
            <v>0</v>
          </cell>
          <cell r="AZ109">
            <v>0</v>
          </cell>
          <cell r="BB109">
            <v>0</v>
          </cell>
          <cell r="BD109" t="str">
            <v xml:space="preserve"> RC. Time</v>
          </cell>
          <cell r="BE109">
            <v>0.38540972222222225</v>
          </cell>
          <cell r="BF109">
            <v>0.38540972222222225</v>
          </cell>
          <cell r="BG109" t="str">
            <v>N.A.</v>
          </cell>
          <cell r="BJ109" t="str">
            <v>Put</v>
          </cell>
          <cell r="BK109">
            <v>7.4999999999999997E-2</v>
          </cell>
          <cell r="BL109">
            <v>0.1</v>
          </cell>
          <cell r="BO109" t="str">
            <v>Put</v>
          </cell>
          <cell r="BP109" t="str">
            <v>SPT : PRV : 2DHH</v>
          </cell>
          <cell r="BQ109" t="str">
            <v>-</v>
          </cell>
          <cell r="BR109">
            <v>0.02</v>
          </cell>
          <cell r="BS109" t="str">
            <v>Round Up</v>
          </cell>
          <cell r="BT109" t="str">
            <v>SPT : PRV : 2DHH</v>
          </cell>
          <cell r="BW109" t="str">
            <v>Round Up</v>
          </cell>
          <cell r="BX109" t="str">
            <v>+</v>
          </cell>
          <cell r="BY109">
            <v>1</v>
          </cell>
          <cell r="CE109" t="str">
            <v>SPT : PRV : 2DHH</v>
          </cell>
          <cell r="CF109">
            <v>3.0000000000000001E-3</v>
          </cell>
          <cell r="CG109" t="str">
            <v>SPT : PRV : 2DHH</v>
          </cell>
          <cell r="CH109">
            <v>1.5E-3</v>
          </cell>
          <cell r="CI109">
            <v>100</v>
          </cell>
          <cell r="CJ109">
            <v>1</v>
          </cell>
          <cell r="CR109">
            <v>0.02</v>
          </cell>
        </row>
        <row r="110">
          <cell r="B110" t="str">
            <v>S18C</v>
          </cell>
          <cell r="C110" t="str">
            <v>Segment</v>
          </cell>
          <cell r="D110" t="str">
            <v>OPTIONS SELL</v>
          </cell>
          <cell r="E110" t="str">
            <v>Contract</v>
          </cell>
          <cell r="F110" t="str">
            <v>WEEKLY</v>
          </cell>
        </row>
        <row r="111">
          <cell r="B111" t="str">
            <v>S18D</v>
          </cell>
          <cell r="C111" t="str">
            <v>Symbol</v>
          </cell>
          <cell r="D111" t="str">
            <v>USDINR</v>
          </cell>
          <cell r="E111" t="str">
            <v>Bear / 
Bear CF</v>
          </cell>
          <cell r="F111" t="str">
            <v>Call</v>
          </cell>
          <cell r="G111" t="str">
            <v>OPT : PRV : 2DLL</v>
          </cell>
          <cell r="H111" t="str">
            <v xml:space="preserve"> - </v>
          </cell>
          <cell r="I111">
            <v>7.4999999999999997E-2</v>
          </cell>
          <cell r="J111">
            <v>1</v>
          </cell>
          <cell r="L111" t="str">
            <v xml:space="preserve">CE : Entry </v>
          </cell>
          <cell r="M111" t="str">
            <v xml:space="preserve"> - </v>
          </cell>
          <cell r="N111">
            <v>0.6</v>
          </cell>
          <cell r="O111">
            <v>1</v>
          </cell>
          <cell r="AA111" t="str">
            <v>Min</v>
          </cell>
          <cell r="AB111" t="str">
            <v>MSL &amp; TSL</v>
          </cell>
          <cell r="AC111" t="str">
            <v>Entry &amp; TRP</v>
          </cell>
          <cell r="AE111" t="str">
            <v xml:space="preserve">CE : Entry </v>
          </cell>
          <cell r="AF111" t="str">
            <v xml:space="preserve"> + </v>
          </cell>
          <cell r="AG111">
            <v>0.6</v>
          </cell>
          <cell r="AJ111" t="str">
            <v xml:space="preserve"> + </v>
          </cell>
          <cell r="AK111" t="str">
            <v>OPT : PRV : 3DHH</v>
          </cell>
          <cell r="AL111">
            <v>0.1</v>
          </cell>
          <cell r="AM111">
            <v>1</v>
          </cell>
          <cell r="AN111">
            <v>0</v>
          </cell>
          <cell r="AP111">
            <v>0</v>
          </cell>
          <cell r="AQ111">
            <v>0</v>
          </cell>
          <cell r="AS111">
            <v>0</v>
          </cell>
          <cell r="AT111">
            <v>0</v>
          </cell>
          <cell r="AV111">
            <v>0</v>
          </cell>
          <cell r="AW111">
            <v>0</v>
          </cell>
          <cell r="AY111">
            <v>0</v>
          </cell>
          <cell r="AZ111">
            <v>0</v>
          </cell>
          <cell r="BB111">
            <v>0</v>
          </cell>
          <cell r="BD111" t="str">
            <v>Market Start Time</v>
          </cell>
          <cell r="BE111">
            <v>0.375</v>
          </cell>
          <cell r="BI111" t="str">
            <v>Bear / 
Bear CF</v>
          </cell>
          <cell r="BJ111" t="str">
            <v>Call</v>
          </cell>
          <cell r="BK111">
            <v>7.4999999999999997E-2</v>
          </cell>
          <cell r="BL111">
            <v>0.1</v>
          </cell>
          <cell r="BN111" t="str">
            <v>Bear | 
Bear CF</v>
          </cell>
          <cell r="BO111" t="str">
            <v>Call</v>
          </cell>
          <cell r="BP111" t="str">
            <v>SPT : PRV : 2DLL</v>
          </cell>
          <cell r="BQ111" t="str">
            <v>+</v>
          </cell>
          <cell r="BR111">
            <v>0.02</v>
          </cell>
          <cell r="BS111" t="str">
            <v>Round Down</v>
          </cell>
          <cell r="BT111" t="str">
            <v>SPT : PRV : 2DLL</v>
          </cell>
          <cell r="BW111" t="str">
            <v>Round Down</v>
          </cell>
          <cell r="BX111" t="str">
            <v>-</v>
          </cell>
          <cell r="BY111">
            <v>1</v>
          </cell>
          <cell r="CE111" t="str">
            <v>SPT : PRV : 2DLL</v>
          </cell>
          <cell r="CF111">
            <v>3.0000000000000001E-3</v>
          </cell>
          <cell r="CG111" t="str">
            <v>SPT : PRV : 2DLL</v>
          </cell>
          <cell r="CH111">
            <v>1.5E-3</v>
          </cell>
          <cell r="CI111">
            <v>100</v>
          </cell>
          <cell r="CJ111">
            <v>1</v>
          </cell>
          <cell r="CR111">
            <v>0.02</v>
          </cell>
        </row>
        <row r="112">
          <cell r="B112" t="str">
            <v>S18E</v>
          </cell>
          <cell r="C112" t="str">
            <v>No. of Targets</v>
          </cell>
          <cell r="D112" t="str">
            <v>APS</v>
          </cell>
          <cell r="F112" t="str">
            <v>Put</v>
          </cell>
          <cell r="G112" t="str">
            <v>OPT : PRV : 3DLL</v>
          </cell>
          <cell r="H112" t="str">
            <v xml:space="preserve"> - </v>
          </cell>
          <cell r="I112">
            <v>7.4999999999999997E-2</v>
          </cell>
          <cell r="J112">
            <v>1</v>
          </cell>
          <cell r="L112" t="str">
            <v xml:space="preserve">PE : Entry </v>
          </cell>
          <cell r="M112" t="str">
            <v xml:space="preserve"> - </v>
          </cell>
          <cell r="N112">
            <v>0.6</v>
          </cell>
          <cell r="O112">
            <v>1</v>
          </cell>
          <cell r="AA112" t="str">
            <v>Min</v>
          </cell>
          <cell r="AB112" t="str">
            <v>MSL &amp; TSL</v>
          </cell>
          <cell r="AC112" t="str">
            <v>Entry &amp; TRP</v>
          </cell>
          <cell r="AE112" t="str">
            <v xml:space="preserve">PE : Entry </v>
          </cell>
          <cell r="AF112" t="str">
            <v xml:space="preserve"> + </v>
          </cell>
          <cell r="AG112">
            <v>0.6</v>
          </cell>
          <cell r="AJ112" t="str">
            <v xml:space="preserve"> + </v>
          </cell>
          <cell r="AK112" t="str">
            <v>OPT : PRV : 2DHH</v>
          </cell>
          <cell r="AL112">
            <v>7.0000000000000007E-2</v>
          </cell>
          <cell r="AM112">
            <v>1</v>
          </cell>
          <cell r="AN112">
            <v>0</v>
          </cell>
          <cell r="AP112">
            <v>0</v>
          </cell>
          <cell r="AQ112">
            <v>0</v>
          </cell>
          <cell r="AS112">
            <v>0</v>
          </cell>
          <cell r="AT112">
            <v>0</v>
          </cell>
          <cell r="AV112">
            <v>0</v>
          </cell>
          <cell r="AW112">
            <v>0</v>
          </cell>
          <cell r="AY112">
            <v>0</v>
          </cell>
          <cell r="AZ112">
            <v>0</v>
          </cell>
          <cell r="BB112">
            <v>0</v>
          </cell>
          <cell r="BD112" t="str">
            <v>Market End Time</v>
          </cell>
          <cell r="BE112">
            <v>0.70833333333333337</v>
          </cell>
          <cell r="BJ112" t="str">
            <v>Put</v>
          </cell>
          <cell r="BK112">
            <v>7.4999999999999997E-2</v>
          </cell>
          <cell r="BL112">
            <v>7.0000000000000007E-2</v>
          </cell>
          <cell r="BO112" t="str">
            <v>Put</v>
          </cell>
          <cell r="BP112" t="str">
            <v>SPT : PRV : 3DHH</v>
          </cell>
          <cell r="BQ112" t="str">
            <v>-</v>
          </cell>
          <cell r="BR112">
            <v>0.02</v>
          </cell>
          <cell r="BS112" t="str">
            <v>Round Up</v>
          </cell>
          <cell r="BT112" t="str">
            <v>SPT : PRV : 3DHH</v>
          </cell>
          <cell r="BW112" t="str">
            <v>Round Up</v>
          </cell>
          <cell r="BX112" t="str">
            <v>+</v>
          </cell>
          <cell r="BY112">
            <v>1</v>
          </cell>
          <cell r="CE112" t="str">
            <v>SPT : PRV : 3DHH</v>
          </cell>
          <cell r="CF112">
            <v>3.0000000000000001E-3</v>
          </cell>
          <cell r="CG112" t="str">
            <v>SPT : PRV : 3DHH</v>
          </cell>
          <cell r="CH112">
            <v>1.5E-3</v>
          </cell>
          <cell r="CI112">
            <v>100</v>
          </cell>
          <cell r="CJ112">
            <v>1</v>
          </cell>
          <cell r="CR112">
            <v>0.02</v>
          </cell>
        </row>
        <row r="114">
          <cell r="B114" t="str">
            <v>S19A</v>
          </cell>
          <cell r="C114" t="str">
            <v>Strategy Code</v>
          </cell>
          <cell r="D114" t="str">
            <v>S19</v>
          </cell>
          <cell r="E114" t="str">
            <v>Bull / 
Bull CF</v>
          </cell>
          <cell r="F114" t="str">
            <v>Call</v>
          </cell>
          <cell r="G114" t="str">
            <v>OPT : PRV : 3DLL</v>
          </cell>
          <cell r="H114" t="str">
            <v xml:space="preserve"> - </v>
          </cell>
          <cell r="I114">
            <v>7.4999999999999997E-2</v>
          </cell>
          <cell r="J114">
            <v>1</v>
          </cell>
          <cell r="L114" t="str">
            <v xml:space="preserve">CE : Entry </v>
          </cell>
          <cell r="M114" t="str">
            <v xml:space="preserve"> - </v>
          </cell>
          <cell r="N114">
            <v>0.6</v>
          </cell>
          <cell r="O114">
            <v>1</v>
          </cell>
          <cell r="AA114" t="str">
            <v>Min</v>
          </cell>
          <cell r="AB114" t="str">
            <v>MSL &amp; TSL</v>
          </cell>
          <cell r="AC114" t="str">
            <v>Entry &amp; TRP</v>
          </cell>
          <cell r="AE114" t="str">
            <v xml:space="preserve">CE : Entry </v>
          </cell>
          <cell r="AF114" t="str">
            <v xml:space="preserve"> + </v>
          </cell>
          <cell r="AG114">
            <v>0.6</v>
          </cell>
          <cell r="AJ114" t="str">
            <v xml:space="preserve"> + </v>
          </cell>
          <cell r="AK114" t="str">
            <v>OPT : PRV : 2DHH</v>
          </cell>
          <cell r="AL114">
            <v>7.0000000000000007E-2</v>
          </cell>
          <cell r="AM114">
            <v>1</v>
          </cell>
          <cell r="AN114">
            <v>0</v>
          </cell>
          <cell r="AP114">
            <v>0</v>
          </cell>
          <cell r="AQ114">
            <v>0</v>
          </cell>
          <cell r="AS114">
            <v>0</v>
          </cell>
          <cell r="AT114">
            <v>0</v>
          </cell>
          <cell r="AV114">
            <v>0</v>
          </cell>
          <cell r="AW114">
            <v>0</v>
          </cell>
          <cell r="AY114">
            <v>0</v>
          </cell>
          <cell r="AZ114">
            <v>0</v>
          </cell>
          <cell r="BB114">
            <v>0</v>
          </cell>
          <cell r="BD114" t="str">
            <v xml:space="preserve">ORPT </v>
          </cell>
          <cell r="BE114">
            <v>0.38193749999999999</v>
          </cell>
          <cell r="BF114">
            <v>0.38193749999999999</v>
          </cell>
          <cell r="BG114">
            <v>0.375</v>
          </cell>
          <cell r="BI114" t="str">
            <v>Bull / 
Bull CF</v>
          </cell>
          <cell r="BJ114" t="str">
            <v>Call</v>
          </cell>
          <cell r="BK114">
            <v>7.4999999999999997E-2</v>
          </cell>
          <cell r="BL114">
            <v>7.0000000000000007E-2</v>
          </cell>
          <cell r="BN114" t="str">
            <v>Bull | 
Bull CF</v>
          </cell>
          <cell r="BO114" t="str">
            <v>Call</v>
          </cell>
          <cell r="BP114" t="str">
            <v>SPT : PRV : 3DLL</v>
          </cell>
          <cell r="BQ114" t="str">
            <v>+</v>
          </cell>
          <cell r="BR114">
            <v>0.02</v>
          </cell>
          <cell r="BS114" t="str">
            <v>Round Down</v>
          </cell>
          <cell r="BT114" t="str">
            <v>SPT : PRV : 3DLL</v>
          </cell>
          <cell r="BW114" t="str">
            <v>Round Down</v>
          </cell>
          <cell r="BX114" t="str">
            <v>-</v>
          </cell>
          <cell r="BY114">
            <v>1</v>
          </cell>
          <cell r="CE114" t="str">
            <v>SPT : PRV : 3DLL</v>
          </cell>
          <cell r="CF114">
            <v>4.0000000000000001E-3</v>
          </cell>
          <cell r="CG114" t="str">
            <v>SPT : PRV : 3DLL</v>
          </cell>
          <cell r="CH114">
            <v>2E-3</v>
          </cell>
          <cell r="CI114">
            <v>100</v>
          </cell>
          <cell r="CJ114">
            <v>1</v>
          </cell>
          <cell r="CR114">
            <v>0.02</v>
          </cell>
          <cell r="CU114">
            <v>0.6875</v>
          </cell>
        </row>
        <row r="115">
          <cell r="B115" t="str">
            <v>S19B</v>
          </cell>
          <cell r="C115" t="str">
            <v>Unique Code</v>
          </cell>
          <cell r="D115" t="str">
            <v>USDINR_OP_SELL_MT_DIFF_2D_3D</v>
          </cell>
          <cell r="F115" t="str">
            <v>Put</v>
          </cell>
          <cell r="G115" t="str">
            <v>OPT : PRV : 2DLL</v>
          </cell>
          <cell r="H115" t="str">
            <v xml:space="preserve"> - </v>
          </cell>
          <cell r="I115">
            <v>7.4999999999999997E-2</v>
          </cell>
          <cell r="J115">
            <v>1</v>
          </cell>
          <cell r="L115" t="str">
            <v xml:space="preserve">PE : Entry </v>
          </cell>
          <cell r="M115" t="str">
            <v xml:space="preserve"> - </v>
          </cell>
          <cell r="N115">
            <v>0.6</v>
          </cell>
          <cell r="O115">
            <v>1</v>
          </cell>
          <cell r="AA115" t="str">
            <v>Min</v>
          </cell>
          <cell r="AB115" t="str">
            <v>MSL &amp; TSL</v>
          </cell>
          <cell r="AC115" t="str">
            <v>Entry &amp; TRP</v>
          </cell>
          <cell r="AE115" t="str">
            <v xml:space="preserve">PE : Entry </v>
          </cell>
          <cell r="AF115" t="str">
            <v xml:space="preserve"> + </v>
          </cell>
          <cell r="AG115">
            <v>0.6</v>
          </cell>
          <cell r="AJ115" t="str">
            <v xml:space="preserve"> + </v>
          </cell>
          <cell r="AK115" t="str">
            <v>OPT : PRV : 3DHH</v>
          </cell>
          <cell r="AL115">
            <v>0.1</v>
          </cell>
          <cell r="AM115">
            <v>1</v>
          </cell>
          <cell r="AN115">
            <v>0</v>
          </cell>
          <cell r="AP115">
            <v>0</v>
          </cell>
          <cell r="AQ115">
            <v>0</v>
          </cell>
          <cell r="AS115">
            <v>0</v>
          </cell>
          <cell r="AT115">
            <v>0</v>
          </cell>
          <cell r="AV115">
            <v>0</v>
          </cell>
          <cell r="AW115">
            <v>0</v>
          </cell>
          <cell r="AY115">
            <v>0</v>
          </cell>
          <cell r="AZ115">
            <v>0</v>
          </cell>
          <cell r="BB115">
            <v>0</v>
          </cell>
          <cell r="BD115" t="str">
            <v xml:space="preserve"> RC. Time</v>
          </cell>
          <cell r="BE115">
            <v>0.38540972222222225</v>
          </cell>
          <cell r="BF115">
            <v>0.38540972222222225</v>
          </cell>
          <cell r="BG115" t="str">
            <v>N.A.</v>
          </cell>
          <cell r="BJ115" t="str">
            <v>Put</v>
          </cell>
          <cell r="BK115">
            <v>7.4999999999999997E-2</v>
          </cell>
          <cell r="BL115">
            <v>0.1</v>
          </cell>
          <cell r="BO115" t="str">
            <v>Put</v>
          </cell>
          <cell r="BP115" t="str">
            <v>SPT : PRV : 2DHH</v>
          </cell>
          <cell r="BQ115" t="str">
            <v>-</v>
          </cell>
          <cell r="BR115">
            <v>0.02</v>
          </cell>
          <cell r="BS115" t="str">
            <v>Round Up</v>
          </cell>
          <cell r="BT115" t="str">
            <v>SPT : PRV : 2DHH</v>
          </cell>
          <cell r="BW115" t="str">
            <v>Round Up</v>
          </cell>
          <cell r="BX115" t="str">
            <v>+</v>
          </cell>
          <cell r="BY115">
            <v>1</v>
          </cell>
          <cell r="CE115" t="str">
            <v>SPT : PRV : 2DHH</v>
          </cell>
          <cell r="CF115">
            <v>4.0000000000000001E-3</v>
          </cell>
          <cell r="CG115" t="str">
            <v>SPT : PRV : 2DHH</v>
          </cell>
          <cell r="CH115">
            <v>2E-3</v>
          </cell>
          <cell r="CI115">
            <v>100</v>
          </cell>
          <cell r="CJ115">
            <v>1</v>
          </cell>
          <cell r="CR115">
            <v>0.02</v>
          </cell>
        </row>
        <row r="116">
          <cell r="B116" t="str">
            <v>S19C</v>
          </cell>
          <cell r="C116" t="str">
            <v>Segment</v>
          </cell>
          <cell r="D116" t="str">
            <v>OPTIONS SELL</v>
          </cell>
          <cell r="E116" t="str">
            <v>Contract</v>
          </cell>
          <cell r="F116" t="str">
            <v>MONTHLY</v>
          </cell>
        </row>
        <row r="117">
          <cell r="B117" t="str">
            <v>S19D</v>
          </cell>
          <cell r="C117" t="str">
            <v>Symbol</v>
          </cell>
          <cell r="D117" t="str">
            <v>USDINR</v>
          </cell>
          <cell r="E117" t="str">
            <v>Bear / 
Bear CF</v>
          </cell>
          <cell r="F117" t="str">
            <v>Call</v>
          </cell>
          <cell r="G117" t="str">
            <v>OPT : PRV : 2DLL</v>
          </cell>
          <cell r="H117" t="str">
            <v xml:space="preserve"> - </v>
          </cell>
          <cell r="I117">
            <v>7.4999999999999997E-2</v>
          </cell>
          <cell r="J117">
            <v>1</v>
          </cell>
          <cell r="L117" t="str">
            <v xml:space="preserve">CE : Entry </v>
          </cell>
          <cell r="M117" t="str">
            <v xml:space="preserve"> - </v>
          </cell>
          <cell r="N117">
            <v>0.6</v>
          </cell>
          <cell r="O117">
            <v>1</v>
          </cell>
          <cell r="AA117" t="str">
            <v>Min</v>
          </cell>
          <cell r="AB117" t="str">
            <v>MSL &amp; TSL</v>
          </cell>
          <cell r="AC117" t="str">
            <v>Entry &amp; TRP</v>
          </cell>
          <cell r="AE117" t="str">
            <v xml:space="preserve">CE : Entry </v>
          </cell>
          <cell r="AF117" t="str">
            <v xml:space="preserve"> + </v>
          </cell>
          <cell r="AG117">
            <v>0.6</v>
          </cell>
          <cell r="AJ117" t="str">
            <v xml:space="preserve"> + </v>
          </cell>
          <cell r="AK117" t="str">
            <v>OPT : PRV : 3DHH</v>
          </cell>
          <cell r="AL117">
            <v>0.1</v>
          </cell>
          <cell r="AM117">
            <v>1</v>
          </cell>
          <cell r="AN117">
            <v>0</v>
          </cell>
          <cell r="AP117">
            <v>0</v>
          </cell>
          <cell r="AQ117">
            <v>0</v>
          </cell>
          <cell r="AS117">
            <v>0</v>
          </cell>
          <cell r="AT117">
            <v>0</v>
          </cell>
          <cell r="AV117">
            <v>0</v>
          </cell>
          <cell r="AW117">
            <v>0</v>
          </cell>
          <cell r="AY117">
            <v>0</v>
          </cell>
          <cell r="AZ117">
            <v>0</v>
          </cell>
          <cell r="BB117">
            <v>0</v>
          </cell>
          <cell r="BD117" t="str">
            <v>Market Start Time</v>
          </cell>
          <cell r="BE117">
            <v>0.375</v>
          </cell>
          <cell r="BI117" t="str">
            <v>Bear / 
Bear CF</v>
          </cell>
          <cell r="BJ117" t="str">
            <v>Call</v>
          </cell>
          <cell r="BK117">
            <v>7.4999999999999997E-2</v>
          </cell>
          <cell r="BL117">
            <v>0.1</v>
          </cell>
          <cell r="BN117" t="str">
            <v>Bear | 
Bear CF</v>
          </cell>
          <cell r="BO117" t="str">
            <v>Call</v>
          </cell>
          <cell r="BP117" t="str">
            <v>SPT : PRV : 2DLL</v>
          </cell>
          <cell r="BQ117" t="str">
            <v>+</v>
          </cell>
          <cell r="BR117">
            <v>0.02</v>
          </cell>
          <cell r="BS117" t="str">
            <v>Round Down</v>
          </cell>
          <cell r="BT117" t="str">
            <v>SPT : PRV : 2DLL</v>
          </cell>
          <cell r="BW117" t="str">
            <v>Round Down</v>
          </cell>
          <cell r="BX117" t="str">
            <v>-</v>
          </cell>
          <cell r="BY117">
            <v>1</v>
          </cell>
          <cell r="CE117" t="str">
            <v>SPT : PRV : 2DLL</v>
          </cell>
          <cell r="CF117">
            <v>4.0000000000000001E-3</v>
          </cell>
          <cell r="CG117" t="str">
            <v>SPT : PRV : 2DLL</v>
          </cell>
          <cell r="CH117">
            <v>2E-3</v>
          </cell>
          <cell r="CI117">
            <v>100</v>
          </cell>
          <cell r="CJ117">
            <v>1</v>
          </cell>
          <cell r="CR117">
            <v>0.02</v>
          </cell>
        </row>
        <row r="118">
          <cell r="B118" t="str">
            <v>S19E</v>
          </cell>
          <cell r="C118" t="str">
            <v>No. of Targets</v>
          </cell>
          <cell r="D118" t="str">
            <v>APS</v>
          </cell>
          <cell r="F118" t="str">
            <v>Put</v>
          </cell>
          <cell r="G118" t="str">
            <v>OPT : PRV : 3DLL</v>
          </cell>
          <cell r="H118" t="str">
            <v xml:space="preserve"> - </v>
          </cell>
          <cell r="I118">
            <v>7.4999999999999997E-2</v>
          </cell>
          <cell r="J118">
            <v>1</v>
          </cell>
          <cell r="L118" t="str">
            <v xml:space="preserve">PE : Entry </v>
          </cell>
          <cell r="M118" t="str">
            <v xml:space="preserve"> - </v>
          </cell>
          <cell r="N118">
            <v>0.6</v>
          </cell>
          <cell r="O118">
            <v>1</v>
          </cell>
          <cell r="AA118" t="str">
            <v>Min</v>
          </cell>
          <cell r="AB118" t="str">
            <v>MSL &amp; TSL</v>
          </cell>
          <cell r="AC118" t="str">
            <v>Entry &amp; TRP</v>
          </cell>
          <cell r="AE118" t="str">
            <v xml:space="preserve">PE : Entry </v>
          </cell>
          <cell r="AF118" t="str">
            <v xml:space="preserve"> + </v>
          </cell>
          <cell r="AG118">
            <v>0.6</v>
          </cell>
          <cell r="AJ118" t="str">
            <v xml:space="preserve"> + </v>
          </cell>
          <cell r="AK118" t="str">
            <v>OPT : PRV : 2DHH</v>
          </cell>
          <cell r="AL118">
            <v>7.0000000000000007E-2</v>
          </cell>
          <cell r="AM118">
            <v>1</v>
          </cell>
          <cell r="AN118">
            <v>0</v>
          </cell>
          <cell r="AP118">
            <v>0</v>
          </cell>
          <cell r="AQ118">
            <v>0</v>
          </cell>
          <cell r="AS118">
            <v>0</v>
          </cell>
          <cell r="AT118">
            <v>0</v>
          </cell>
          <cell r="AV118">
            <v>0</v>
          </cell>
          <cell r="AW118">
            <v>0</v>
          </cell>
          <cell r="AY118">
            <v>0</v>
          </cell>
          <cell r="AZ118">
            <v>0</v>
          </cell>
          <cell r="BB118">
            <v>0</v>
          </cell>
          <cell r="BD118" t="str">
            <v>Market End Time</v>
          </cell>
          <cell r="BE118">
            <v>0.70833333333333337</v>
          </cell>
          <cell r="BJ118" t="str">
            <v>Put</v>
          </cell>
          <cell r="BK118">
            <v>7.4999999999999997E-2</v>
          </cell>
          <cell r="BL118">
            <v>7.0000000000000007E-2</v>
          </cell>
          <cell r="BO118" t="str">
            <v>Put</v>
          </cell>
          <cell r="BP118" t="str">
            <v>SPT : PRV : 3DHH</v>
          </cell>
          <cell r="BQ118" t="str">
            <v>-</v>
          </cell>
          <cell r="BR118">
            <v>0.02</v>
          </cell>
          <cell r="BS118" t="str">
            <v>Round Up</v>
          </cell>
          <cell r="BT118" t="str">
            <v>SPT : PRV : 3DHH</v>
          </cell>
          <cell r="BW118" t="str">
            <v>Round Up</v>
          </cell>
          <cell r="BX118" t="str">
            <v>+</v>
          </cell>
          <cell r="BY118">
            <v>1</v>
          </cell>
          <cell r="CE118" t="str">
            <v>SPT : PRV : 3DHH</v>
          </cell>
          <cell r="CF118">
            <v>4.0000000000000001E-3</v>
          </cell>
          <cell r="CG118" t="str">
            <v>SPT : PRV : 3DHH</v>
          </cell>
          <cell r="CH118">
            <v>2E-3</v>
          </cell>
          <cell r="CI118">
            <v>100</v>
          </cell>
          <cell r="CJ118">
            <v>1</v>
          </cell>
          <cell r="CR118">
            <v>0.02</v>
          </cell>
        </row>
        <row r="120">
          <cell r="B120" t="str">
            <v>S20A</v>
          </cell>
          <cell r="C120" t="str">
            <v>Strategy Code</v>
          </cell>
          <cell r="D120" t="str">
            <v>S20</v>
          </cell>
          <cell r="E120" t="str">
            <v>Bull / 
Bull CF</v>
          </cell>
          <cell r="F120" t="str">
            <v>Call</v>
          </cell>
          <cell r="G120" t="str">
            <v>OPT : PRV : 3DLL</v>
          </cell>
          <cell r="H120" t="str">
            <v xml:space="preserve"> - </v>
          </cell>
          <cell r="I120">
            <v>7.4999999999999997E-2</v>
          </cell>
          <cell r="J120">
            <v>1</v>
          </cell>
          <cell r="L120" t="str">
            <v xml:space="preserve">CE : Entry </v>
          </cell>
          <cell r="M120" t="str">
            <v xml:space="preserve"> - </v>
          </cell>
          <cell r="N120">
            <v>0.6</v>
          </cell>
          <cell r="O120">
            <v>1</v>
          </cell>
          <cell r="AA120" t="str">
            <v>Min</v>
          </cell>
          <cell r="AB120" t="str">
            <v>MSL &amp; TSL</v>
          </cell>
          <cell r="AC120" t="str">
            <v>Entry &amp; TRP</v>
          </cell>
          <cell r="AE120" t="str">
            <v xml:space="preserve">CE : Entry </v>
          </cell>
          <cell r="AF120" t="str">
            <v xml:space="preserve"> + </v>
          </cell>
          <cell r="AG120">
            <v>0.6</v>
          </cell>
          <cell r="AH120">
            <v>0</v>
          </cell>
          <cell r="AJ120" t="str">
            <v xml:space="preserve"> + </v>
          </cell>
          <cell r="AK120" t="str">
            <v>OPT : PRV : 2DHH</v>
          </cell>
          <cell r="AL120">
            <v>7.0000000000000007E-2</v>
          </cell>
          <cell r="AM120">
            <v>1</v>
          </cell>
          <cell r="AN120">
            <v>0</v>
          </cell>
          <cell r="AP120">
            <v>0</v>
          </cell>
          <cell r="AQ120">
            <v>0</v>
          </cell>
          <cell r="AS120">
            <v>0</v>
          </cell>
          <cell r="AT120">
            <v>0</v>
          </cell>
          <cell r="AV120">
            <v>0</v>
          </cell>
          <cell r="AW120">
            <v>0</v>
          </cell>
          <cell r="AY120">
            <v>0</v>
          </cell>
          <cell r="AZ120">
            <v>0</v>
          </cell>
          <cell r="BB120">
            <v>0</v>
          </cell>
          <cell r="BD120" t="str">
            <v xml:space="preserve">ORPT </v>
          </cell>
          <cell r="BE120">
            <v>0.39235416666666667</v>
          </cell>
          <cell r="BF120">
            <v>0.39235416666666667</v>
          </cell>
          <cell r="BG120">
            <v>0.38541666666666669</v>
          </cell>
          <cell r="BI120" t="str">
            <v>Bull / 
Bull CF</v>
          </cell>
          <cell r="BJ120" t="str">
            <v>Call</v>
          </cell>
          <cell r="BK120">
            <v>7.4999999999999997E-2</v>
          </cell>
          <cell r="BL120">
            <v>7.0000000000000007E-2</v>
          </cell>
          <cell r="BN120" t="str">
            <v>Bull | 
Bull CF</v>
          </cell>
          <cell r="BO120" t="str">
            <v>Call</v>
          </cell>
          <cell r="BP120" t="str">
            <v>SPT : PRV : 3DLL</v>
          </cell>
          <cell r="BQ120" t="str">
            <v>+</v>
          </cell>
          <cell r="BR120">
            <v>0.05</v>
          </cell>
          <cell r="BS120" t="str">
            <v>Round Down</v>
          </cell>
          <cell r="BT120" t="str">
            <v>SPT : PRV : 3DLL</v>
          </cell>
          <cell r="BW120" t="str">
            <v>Round Down</v>
          </cell>
          <cell r="BX120" t="str">
            <v>-</v>
          </cell>
          <cell r="BY120">
            <v>1</v>
          </cell>
          <cell r="CE120" t="str">
            <v>SPT : PRV : 3DLL</v>
          </cell>
          <cell r="CF120">
            <v>1.4999999999999999E-2</v>
          </cell>
          <cell r="CG120" t="str">
            <v>SPT : PRV : 3DLL</v>
          </cell>
          <cell r="CH120">
            <v>1.0999999999999999E-2</v>
          </cell>
          <cell r="CI120">
            <v>500</v>
          </cell>
          <cell r="CJ120">
            <v>1</v>
          </cell>
          <cell r="CR120">
            <v>0.05</v>
          </cell>
          <cell r="CU120">
            <v>0.625</v>
          </cell>
        </row>
        <row r="121">
          <cell r="B121" t="str">
            <v>S20B</v>
          </cell>
          <cell r="C121" t="str">
            <v>Unique Code</v>
          </cell>
          <cell r="D121" t="str">
            <v>BANKNIFTY_OP_SELL_WK_DIFF_2D_3D</v>
          </cell>
          <cell r="F121" t="str">
            <v>Put</v>
          </cell>
          <cell r="G121" t="str">
            <v>OPT : PRV : 2DLL</v>
          </cell>
          <cell r="H121" t="str">
            <v xml:space="preserve"> - </v>
          </cell>
          <cell r="I121">
            <v>7.4999999999999997E-2</v>
          </cell>
          <cell r="J121">
            <v>1</v>
          </cell>
          <cell r="L121" t="str">
            <v xml:space="preserve">PE : Entry </v>
          </cell>
          <cell r="M121" t="str">
            <v xml:space="preserve"> - </v>
          </cell>
          <cell r="N121">
            <v>0.6</v>
          </cell>
          <cell r="O121">
            <v>1</v>
          </cell>
          <cell r="AA121" t="str">
            <v>Min</v>
          </cell>
          <cell r="AB121" t="str">
            <v>MSL &amp; TSL</v>
          </cell>
          <cell r="AC121" t="str">
            <v>Entry &amp; TRP</v>
          </cell>
          <cell r="AE121" t="str">
            <v xml:space="preserve">PE : Entry </v>
          </cell>
          <cell r="AF121" t="str">
            <v xml:space="preserve"> + </v>
          </cell>
          <cell r="AG121">
            <v>0.6</v>
          </cell>
          <cell r="AH121">
            <v>0</v>
          </cell>
          <cell r="AJ121" t="str">
            <v xml:space="preserve"> + </v>
          </cell>
          <cell r="AK121" t="str">
            <v>OPT : PRV : 3DHH</v>
          </cell>
          <cell r="AL121">
            <v>0.1</v>
          </cell>
          <cell r="AM121">
            <v>1</v>
          </cell>
          <cell r="AN121">
            <v>0</v>
          </cell>
          <cell r="AP121">
            <v>0</v>
          </cell>
          <cell r="AQ121">
            <v>0</v>
          </cell>
          <cell r="AS121">
            <v>0</v>
          </cell>
          <cell r="AT121">
            <v>0</v>
          </cell>
          <cell r="AV121">
            <v>0</v>
          </cell>
          <cell r="AW121">
            <v>0</v>
          </cell>
          <cell r="AY121">
            <v>0</v>
          </cell>
          <cell r="AZ121">
            <v>0</v>
          </cell>
          <cell r="BB121">
            <v>0</v>
          </cell>
          <cell r="BD121" t="str">
            <v xml:space="preserve"> RC. Time</v>
          </cell>
          <cell r="BE121">
            <v>0.39582638888888888</v>
          </cell>
          <cell r="BF121">
            <v>0.39582638888888888</v>
          </cell>
          <cell r="BG121" t="str">
            <v>N.A.</v>
          </cell>
          <cell r="BJ121" t="str">
            <v>Put</v>
          </cell>
          <cell r="BK121">
            <v>7.4999999999999997E-2</v>
          </cell>
          <cell r="BL121">
            <v>0.1</v>
          </cell>
          <cell r="BO121" t="str">
            <v>Put</v>
          </cell>
          <cell r="BP121" t="str">
            <v>SPT : PRV : 2DHH</v>
          </cell>
          <cell r="BQ121" t="str">
            <v>-</v>
          </cell>
          <cell r="BR121">
            <v>0.05</v>
          </cell>
          <cell r="BS121" t="str">
            <v>Round Up</v>
          </cell>
          <cell r="BT121" t="str">
            <v>SPT : PRV : 2DHH</v>
          </cell>
          <cell r="BW121" t="str">
            <v>Round Up</v>
          </cell>
          <cell r="BX121" t="str">
            <v>+</v>
          </cell>
          <cell r="BY121">
            <v>1</v>
          </cell>
          <cell r="CE121" t="str">
            <v>SPT : PRV : 2DHH</v>
          </cell>
          <cell r="CF121">
            <v>1.4999999999999999E-2</v>
          </cell>
          <cell r="CG121" t="str">
            <v>SPT : PRV : 2DHH</v>
          </cell>
          <cell r="CH121">
            <v>1.0999999999999999E-2</v>
          </cell>
          <cell r="CI121">
            <v>500</v>
          </cell>
          <cell r="CJ121">
            <v>1</v>
          </cell>
          <cell r="CR121">
            <v>0.05</v>
          </cell>
        </row>
        <row r="122">
          <cell r="B122" t="str">
            <v>S20C</v>
          </cell>
          <cell r="C122" t="str">
            <v>Segment</v>
          </cell>
          <cell r="D122" t="str">
            <v>OPTIONS SELL</v>
          </cell>
          <cell r="E122" t="str">
            <v>Contract</v>
          </cell>
          <cell r="F122" t="str">
            <v>WEEKLY</v>
          </cell>
        </row>
        <row r="123">
          <cell r="B123" t="str">
            <v>S20D</v>
          </cell>
          <cell r="C123" t="str">
            <v>Symbol</v>
          </cell>
          <cell r="D123" t="str">
            <v>BANKNIFTY</v>
          </cell>
          <cell r="E123" t="str">
            <v>Bear / 
Bear CF</v>
          </cell>
          <cell r="F123" t="str">
            <v>Call</v>
          </cell>
          <cell r="G123" t="str">
            <v>OPT : PRV : 2DLL</v>
          </cell>
          <cell r="H123" t="str">
            <v xml:space="preserve"> - </v>
          </cell>
          <cell r="I123">
            <v>7.4999999999999997E-2</v>
          </cell>
          <cell r="J123">
            <v>1</v>
          </cell>
          <cell r="L123" t="str">
            <v xml:space="preserve">CE : Entry </v>
          </cell>
          <cell r="M123" t="str">
            <v xml:space="preserve"> - </v>
          </cell>
          <cell r="N123">
            <v>0.6</v>
          </cell>
          <cell r="O123">
            <v>1</v>
          </cell>
          <cell r="AA123" t="str">
            <v>Min</v>
          </cell>
          <cell r="AB123" t="str">
            <v>MSL &amp; TSL</v>
          </cell>
          <cell r="AC123" t="str">
            <v>Entry &amp; TRP</v>
          </cell>
          <cell r="AE123" t="str">
            <v xml:space="preserve">CE : Entry </v>
          </cell>
          <cell r="AF123" t="str">
            <v xml:space="preserve"> + </v>
          </cell>
          <cell r="AG123">
            <v>0.6</v>
          </cell>
          <cell r="AH123">
            <v>0</v>
          </cell>
          <cell r="AJ123" t="str">
            <v xml:space="preserve"> + </v>
          </cell>
          <cell r="AK123" t="str">
            <v>OPT : PRV : 3DHH</v>
          </cell>
          <cell r="AL123">
            <v>0.1</v>
          </cell>
          <cell r="AM123">
            <v>1</v>
          </cell>
          <cell r="AN123">
            <v>0</v>
          </cell>
          <cell r="AP123">
            <v>0</v>
          </cell>
          <cell r="AQ123">
            <v>0</v>
          </cell>
          <cell r="AS123">
            <v>0</v>
          </cell>
          <cell r="AT123">
            <v>0</v>
          </cell>
          <cell r="AV123">
            <v>0</v>
          </cell>
          <cell r="AW123">
            <v>0</v>
          </cell>
          <cell r="AY123">
            <v>0</v>
          </cell>
          <cell r="AZ123">
            <v>0</v>
          </cell>
          <cell r="BB123">
            <v>0</v>
          </cell>
          <cell r="BD123" t="str">
            <v>Market Start Time</v>
          </cell>
          <cell r="BE123">
            <v>0.38541666666666669</v>
          </cell>
          <cell r="BI123" t="str">
            <v>Bear / 
Bear CF</v>
          </cell>
          <cell r="BJ123" t="str">
            <v>Call</v>
          </cell>
          <cell r="BK123">
            <v>7.4999999999999997E-2</v>
          </cell>
          <cell r="BL123">
            <v>0.1</v>
          </cell>
          <cell r="BN123" t="str">
            <v>Bear | 
Bear CF</v>
          </cell>
          <cell r="BO123" t="str">
            <v>Call</v>
          </cell>
          <cell r="BP123" t="str">
            <v>SPT : PRV : 2DLL</v>
          </cell>
          <cell r="BQ123" t="str">
            <v>+</v>
          </cell>
          <cell r="BR123">
            <v>0.05</v>
          </cell>
          <cell r="BS123" t="str">
            <v>Round Down</v>
          </cell>
          <cell r="BT123" t="str">
            <v>SPT : PRV : 2DLL</v>
          </cell>
          <cell r="BW123" t="str">
            <v>Round Down</v>
          </cell>
          <cell r="BX123" t="str">
            <v>-</v>
          </cell>
          <cell r="BY123">
            <v>1</v>
          </cell>
          <cell r="CE123" t="str">
            <v>SPT : PRV : 2DLL</v>
          </cell>
          <cell r="CF123">
            <v>1.4999999999999999E-2</v>
          </cell>
          <cell r="CG123" t="str">
            <v>SPT : PRV : 2DLL</v>
          </cell>
          <cell r="CH123">
            <v>1.0999999999999999E-2</v>
          </cell>
          <cell r="CI123">
            <v>500</v>
          </cell>
          <cell r="CJ123">
            <v>1</v>
          </cell>
          <cell r="CR123">
            <v>0.05</v>
          </cell>
        </row>
        <row r="124">
          <cell r="B124" t="str">
            <v>S20E</v>
          </cell>
          <cell r="C124" t="str">
            <v>Contract</v>
          </cell>
          <cell r="D124" t="str">
            <v>APS</v>
          </cell>
          <cell r="F124" t="str">
            <v>Put</v>
          </cell>
          <cell r="G124" t="str">
            <v>OPT : PRV : 3DLL</v>
          </cell>
          <cell r="H124" t="str">
            <v xml:space="preserve"> - </v>
          </cell>
          <cell r="I124">
            <v>7.4999999999999997E-2</v>
          </cell>
          <cell r="J124">
            <v>1</v>
          </cell>
          <cell r="L124" t="str">
            <v xml:space="preserve">PE : Entry </v>
          </cell>
          <cell r="M124" t="str">
            <v xml:space="preserve"> - </v>
          </cell>
          <cell r="N124">
            <v>0.6</v>
          </cell>
          <cell r="O124">
            <v>1</v>
          </cell>
          <cell r="AA124" t="str">
            <v>Min</v>
          </cell>
          <cell r="AB124" t="str">
            <v>MSL &amp; TSL</v>
          </cell>
          <cell r="AC124" t="str">
            <v>Entry &amp; TRP</v>
          </cell>
          <cell r="AE124" t="str">
            <v xml:space="preserve">PE : Entry </v>
          </cell>
          <cell r="AF124" t="str">
            <v xml:space="preserve"> + </v>
          </cell>
          <cell r="AG124">
            <v>0.6</v>
          </cell>
          <cell r="AH124">
            <v>0</v>
          </cell>
          <cell r="AJ124" t="str">
            <v xml:space="preserve"> + </v>
          </cell>
          <cell r="AK124" t="str">
            <v>OPT : PRV : 2DHH</v>
          </cell>
          <cell r="AL124">
            <v>7.0000000000000007E-2</v>
          </cell>
          <cell r="AM124">
            <v>1</v>
          </cell>
          <cell r="AN124">
            <v>0</v>
          </cell>
          <cell r="AP124">
            <v>0</v>
          </cell>
          <cell r="AQ124">
            <v>0</v>
          </cell>
          <cell r="AS124">
            <v>0</v>
          </cell>
          <cell r="AT124">
            <v>0</v>
          </cell>
          <cell r="AV124">
            <v>0</v>
          </cell>
          <cell r="AW124">
            <v>0</v>
          </cell>
          <cell r="AY124">
            <v>0</v>
          </cell>
          <cell r="AZ124">
            <v>0</v>
          </cell>
          <cell r="BB124">
            <v>0</v>
          </cell>
          <cell r="BD124" t="str">
            <v>Market End Time</v>
          </cell>
          <cell r="BE124">
            <v>0.64583333333333337</v>
          </cell>
          <cell r="BJ124" t="str">
            <v>Put</v>
          </cell>
          <cell r="BK124">
            <v>7.4999999999999997E-2</v>
          </cell>
          <cell r="BL124">
            <v>7.0000000000000007E-2</v>
          </cell>
          <cell r="BO124" t="str">
            <v>Put</v>
          </cell>
          <cell r="BP124" t="str">
            <v>SPT : PRV : 3DHH</v>
          </cell>
          <cell r="BQ124" t="str">
            <v>-</v>
          </cell>
          <cell r="BR124">
            <v>0.05</v>
          </cell>
          <cell r="BS124" t="str">
            <v>Round Up</v>
          </cell>
          <cell r="BT124" t="str">
            <v>SPT : PRV : 3DHH</v>
          </cell>
          <cell r="BW124" t="str">
            <v>Round Up</v>
          </cell>
          <cell r="BX124" t="str">
            <v>+</v>
          </cell>
          <cell r="BY124">
            <v>1</v>
          </cell>
          <cell r="CE124" t="str">
            <v>SPT : PRV : 3DHH</v>
          </cell>
          <cell r="CF124">
            <v>1.4999999999999999E-2</v>
          </cell>
          <cell r="CG124" t="str">
            <v>SPT : PRV : 3DHH</v>
          </cell>
          <cell r="CH124">
            <v>1.0999999999999999E-2</v>
          </cell>
          <cell r="CI124">
            <v>500</v>
          </cell>
          <cell r="CJ124">
            <v>1</v>
          </cell>
          <cell r="CR124">
            <v>0.05</v>
          </cell>
        </row>
        <row r="126">
          <cell r="B126" t="str">
            <v>S21A</v>
          </cell>
          <cell r="C126" t="str">
            <v>Strategy Code</v>
          </cell>
          <cell r="D126" t="str">
            <v>S21</v>
          </cell>
          <cell r="E126" t="str">
            <v>Bull / 
Bull CF</v>
          </cell>
          <cell r="F126" t="str">
            <v>Call</v>
          </cell>
          <cell r="G126" t="str">
            <v>OPT : PRV : 3DLL</v>
          </cell>
          <cell r="H126" t="str">
            <v xml:space="preserve"> - </v>
          </cell>
          <cell r="I126">
            <v>7.4999999999999997E-2</v>
          </cell>
          <cell r="J126">
            <v>1</v>
          </cell>
          <cell r="L126" t="str">
            <v xml:space="preserve">CE : Entry </v>
          </cell>
          <cell r="M126" t="str">
            <v xml:space="preserve"> - </v>
          </cell>
          <cell r="N126">
            <v>0.6</v>
          </cell>
          <cell r="O126">
            <v>1</v>
          </cell>
          <cell r="AA126" t="str">
            <v>Min</v>
          </cell>
          <cell r="AB126" t="str">
            <v>MSL &amp; TSL</v>
          </cell>
          <cell r="AC126" t="str">
            <v>Entry &amp; TRP</v>
          </cell>
          <cell r="AE126" t="str">
            <v xml:space="preserve">CE : Entry </v>
          </cell>
          <cell r="AF126" t="str">
            <v xml:space="preserve"> + </v>
          </cell>
          <cell r="AG126">
            <v>0.6</v>
          </cell>
          <cell r="AH126">
            <v>0</v>
          </cell>
          <cell r="AJ126" t="str">
            <v xml:space="preserve"> + </v>
          </cell>
          <cell r="AK126" t="str">
            <v>OPT : PRV : 2DHH</v>
          </cell>
          <cell r="AL126">
            <v>7.0000000000000007E-2</v>
          </cell>
          <cell r="AM126">
            <v>1</v>
          </cell>
          <cell r="AN126">
            <v>0</v>
          </cell>
          <cell r="AP126">
            <v>0</v>
          </cell>
          <cell r="AQ126">
            <v>0</v>
          </cell>
          <cell r="AS126">
            <v>0</v>
          </cell>
          <cell r="AT126">
            <v>0</v>
          </cell>
          <cell r="AV126">
            <v>0</v>
          </cell>
          <cell r="AW126">
            <v>0</v>
          </cell>
          <cell r="AY126">
            <v>0</v>
          </cell>
          <cell r="AZ126">
            <v>0</v>
          </cell>
          <cell r="BB126">
            <v>0</v>
          </cell>
          <cell r="BD126" t="str">
            <v xml:space="preserve">ORPT </v>
          </cell>
          <cell r="BE126">
            <v>0.39235416666666667</v>
          </cell>
          <cell r="BF126">
            <v>0.39235416666666667</v>
          </cell>
          <cell r="BG126">
            <v>0.38541666666666669</v>
          </cell>
          <cell r="BI126" t="str">
            <v>Bull / 
Bull CF</v>
          </cell>
          <cell r="BJ126" t="str">
            <v>Call</v>
          </cell>
          <cell r="BK126">
            <v>7.4999999999999997E-2</v>
          </cell>
          <cell r="BL126">
            <v>7.0000000000000007E-2</v>
          </cell>
          <cell r="BN126" t="str">
            <v>Bull | 
Bull CF</v>
          </cell>
          <cell r="BO126" t="str">
            <v>Call</v>
          </cell>
          <cell r="BP126" t="str">
            <v>SPT : PRV : 3DLL</v>
          </cell>
          <cell r="BQ126" t="str">
            <v>+</v>
          </cell>
          <cell r="BR126">
            <v>0.05</v>
          </cell>
          <cell r="BS126" t="str">
            <v>Round Down</v>
          </cell>
          <cell r="BT126" t="str">
            <v>SPT : PRV : 3DLL</v>
          </cell>
          <cell r="BW126" t="str">
            <v>Round Down</v>
          </cell>
          <cell r="BX126" t="str">
            <v>-</v>
          </cell>
          <cell r="BY126">
            <v>1</v>
          </cell>
          <cell r="CE126" t="str">
            <v>SPT : PRV : 3DLL</v>
          </cell>
          <cell r="CF126">
            <v>0.02</v>
          </cell>
          <cell r="CG126" t="str">
            <v>SPT : PRV : 3DLL</v>
          </cell>
          <cell r="CH126">
            <v>1.4999999999999999E-2</v>
          </cell>
          <cell r="CI126">
            <v>500</v>
          </cell>
          <cell r="CJ126">
            <v>1</v>
          </cell>
          <cell r="CR126">
            <v>0.05</v>
          </cell>
          <cell r="CU126">
            <v>0.625</v>
          </cell>
        </row>
        <row r="127">
          <cell r="B127" t="str">
            <v>S21B</v>
          </cell>
          <cell r="C127" t="str">
            <v>Unique Code</v>
          </cell>
          <cell r="D127" t="str">
            <v>BANKNIFTY_OP_SELL_MT_DIFF_2D_3D</v>
          </cell>
          <cell r="F127" t="str">
            <v>Put</v>
          </cell>
          <cell r="G127" t="str">
            <v>OPT : PRV : 2DLL</v>
          </cell>
          <cell r="H127" t="str">
            <v xml:space="preserve"> - </v>
          </cell>
          <cell r="I127">
            <v>7.4999999999999997E-2</v>
          </cell>
          <cell r="J127">
            <v>1</v>
          </cell>
          <cell r="L127" t="str">
            <v xml:space="preserve">PE : Entry </v>
          </cell>
          <cell r="M127" t="str">
            <v xml:space="preserve"> - </v>
          </cell>
          <cell r="N127">
            <v>0.6</v>
          </cell>
          <cell r="O127">
            <v>1</v>
          </cell>
          <cell r="AA127" t="str">
            <v>Min</v>
          </cell>
          <cell r="AB127" t="str">
            <v>MSL &amp; TSL</v>
          </cell>
          <cell r="AC127" t="str">
            <v>Entry &amp; TRP</v>
          </cell>
          <cell r="AE127" t="str">
            <v xml:space="preserve">PE : Entry </v>
          </cell>
          <cell r="AF127" t="str">
            <v xml:space="preserve"> + </v>
          </cell>
          <cell r="AG127">
            <v>0.6</v>
          </cell>
          <cell r="AH127">
            <v>0</v>
          </cell>
          <cell r="AJ127" t="str">
            <v xml:space="preserve"> + </v>
          </cell>
          <cell r="AK127" t="str">
            <v>OPT : PRV : 3DHH</v>
          </cell>
          <cell r="AL127">
            <v>0.1</v>
          </cell>
          <cell r="AM127">
            <v>1</v>
          </cell>
          <cell r="AN127">
            <v>0</v>
          </cell>
          <cell r="AP127">
            <v>0</v>
          </cell>
          <cell r="AQ127">
            <v>0</v>
          </cell>
          <cell r="AS127">
            <v>0</v>
          </cell>
          <cell r="AT127">
            <v>0</v>
          </cell>
          <cell r="AV127">
            <v>0</v>
          </cell>
          <cell r="AW127">
            <v>0</v>
          </cell>
          <cell r="AY127">
            <v>0</v>
          </cell>
          <cell r="AZ127">
            <v>0</v>
          </cell>
          <cell r="BB127">
            <v>0</v>
          </cell>
          <cell r="BD127" t="str">
            <v xml:space="preserve"> RC. Time</v>
          </cell>
          <cell r="BE127">
            <v>0.39582638888888888</v>
          </cell>
          <cell r="BF127">
            <v>0.39582638888888888</v>
          </cell>
          <cell r="BG127" t="str">
            <v>N.A.</v>
          </cell>
          <cell r="BJ127" t="str">
            <v>Put</v>
          </cell>
          <cell r="BK127">
            <v>7.4999999999999997E-2</v>
          </cell>
          <cell r="BL127">
            <v>0.1</v>
          </cell>
          <cell r="BO127" t="str">
            <v>Put</v>
          </cell>
          <cell r="BP127" t="str">
            <v>SPT : PRV : 2DHH</v>
          </cell>
          <cell r="BQ127" t="str">
            <v>-</v>
          </cell>
          <cell r="BR127">
            <v>0.05</v>
          </cell>
          <cell r="BS127" t="str">
            <v>Round Up</v>
          </cell>
          <cell r="BT127" t="str">
            <v>SPT : PRV : 2DHH</v>
          </cell>
          <cell r="BW127" t="str">
            <v>Round Up</v>
          </cell>
          <cell r="BX127" t="str">
            <v>+</v>
          </cell>
          <cell r="BY127">
            <v>1</v>
          </cell>
          <cell r="CE127" t="str">
            <v>SPT : PRV : 2DHH</v>
          </cell>
          <cell r="CF127">
            <v>0.02</v>
          </cell>
          <cell r="CG127" t="str">
            <v>SPT : PRV : 2DHH</v>
          </cell>
          <cell r="CH127">
            <v>1.4999999999999999E-2</v>
          </cell>
          <cell r="CI127">
            <v>500</v>
          </cell>
          <cell r="CJ127">
            <v>1</v>
          </cell>
          <cell r="CR127">
            <v>0.05</v>
          </cell>
        </row>
        <row r="128">
          <cell r="B128" t="str">
            <v>S21C</v>
          </cell>
          <cell r="C128" t="str">
            <v>Segment</v>
          </cell>
          <cell r="D128" t="str">
            <v>OPTIONS SELL</v>
          </cell>
          <cell r="E128" t="str">
            <v>Contract</v>
          </cell>
          <cell r="F128" t="str">
            <v>MONTHLY</v>
          </cell>
        </row>
        <row r="129">
          <cell r="B129" t="str">
            <v>S21D</v>
          </cell>
          <cell r="C129" t="str">
            <v>Symbol</v>
          </cell>
          <cell r="D129" t="str">
            <v>BANKNIFTY</v>
          </cell>
          <cell r="E129" t="str">
            <v>Bear / 
Bear CF</v>
          </cell>
          <cell r="F129" t="str">
            <v>Call</v>
          </cell>
          <cell r="G129" t="str">
            <v>OPT : PRV : 2DLL</v>
          </cell>
          <cell r="H129" t="str">
            <v xml:space="preserve"> - </v>
          </cell>
          <cell r="I129">
            <v>7.4999999999999997E-2</v>
          </cell>
          <cell r="J129">
            <v>1</v>
          </cell>
          <cell r="L129" t="str">
            <v xml:space="preserve">CE : Entry </v>
          </cell>
          <cell r="M129" t="str">
            <v xml:space="preserve"> - </v>
          </cell>
          <cell r="N129">
            <v>0.6</v>
          </cell>
          <cell r="O129">
            <v>1</v>
          </cell>
          <cell r="AA129" t="str">
            <v>Min</v>
          </cell>
          <cell r="AB129" t="str">
            <v>MSL &amp; TSL</v>
          </cell>
          <cell r="AC129" t="str">
            <v>Entry &amp; TRP</v>
          </cell>
          <cell r="AE129" t="str">
            <v xml:space="preserve">CE : Entry </v>
          </cell>
          <cell r="AF129" t="str">
            <v xml:space="preserve"> + </v>
          </cell>
          <cell r="AG129">
            <v>0.6</v>
          </cell>
          <cell r="AH129">
            <v>0</v>
          </cell>
          <cell r="AJ129" t="str">
            <v xml:space="preserve"> + </v>
          </cell>
          <cell r="AK129" t="str">
            <v>OPT : PRV : 3DHH</v>
          </cell>
          <cell r="AL129">
            <v>0.1</v>
          </cell>
          <cell r="AM129">
            <v>1</v>
          </cell>
          <cell r="AN129">
            <v>0</v>
          </cell>
          <cell r="AP129">
            <v>0</v>
          </cell>
          <cell r="AQ129">
            <v>0</v>
          </cell>
          <cell r="AS129">
            <v>0</v>
          </cell>
          <cell r="AT129">
            <v>0</v>
          </cell>
          <cell r="AV129">
            <v>0</v>
          </cell>
          <cell r="AW129">
            <v>0</v>
          </cell>
          <cell r="AY129">
            <v>0</v>
          </cell>
          <cell r="AZ129">
            <v>0</v>
          </cell>
          <cell r="BB129">
            <v>0</v>
          </cell>
          <cell r="BD129" t="str">
            <v>Market Start Time</v>
          </cell>
          <cell r="BE129">
            <v>0.38541666666666669</v>
          </cell>
          <cell r="BI129" t="str">
            <v>Bear / 
Bear CF</v>
          </cell>
          <cell r="BJ129" t="str">
            <v>Call</v>
          </cell>
          <cell r="BK129">
            <v>7.4999999999999997E-2</v>
          </cell>
          <cell r="BL129">
            <v>0.1</v>
          </cell>
          <cell r="BN129" t="str">
            <v>Bear | 
Bear CF</v>
          </cell>
          <cell r="BO129" t="str">
            <v>Call</v>
          </cell>
          <cell r="BP129" t="str">
            <v>SPT : PRV : 2DLL</v>
          </cell>
          <cell r="BQ129" t="str">
            <v>+</v>
          </cell>
          <cell r="BR129">
            <v>0.05</v>
          </cell>
          <cell r="BS129" t="str">
            <v>Round Down</v>
          </cell>
          <cell r="BT129" t="str">
            <v>SPT : PRV : 2DLL</v>
          </cell>
          <cell r="BW129" t="str">
            <v>Round Down</v>
          </cell>
          <cell r="BX129" t="str">
            <v>-</v>
          </cell>
          <cell r="BY129">
            <v>1</v>
          </cell>
          <cell r="CE129" t="str">
            <v>SPT : PRV : 2DLL</v>
          </cell>
          <cell r="CF129">
            <v>0.02</v>
          </cell>
          <cell r="CG129" t="str">
            <v>SPT : PRV : 2DLL</v>
          </cell>
          <cell r="CH129">
            <v>1.4999999999999999E-2</v>
          </cell>
          <cell r="CI129">
            <v>500</v>
          </cell>
          <cell r="CJ129">
            <v>1</v>
          </cell>
          <cell r="CR129">
            <v>0.05</v>
          </cell>
        </row>
        <row r="130">
          <cell r="B130" t="str">
            <v>S21E</v>
          </cell>
          <cell r="C130" t="str">
            <v>No. of Targets</v>
          </cell>
          <cell r="D130" t="str">
            <v>APS</v>
          </cell>
          <cell r="F130" t="str">
            <v>Put</v>
          </cell>
          <cell r="G130" t="str">
            <v>OPT : PRV : 3DLL</v>
          </cell>
          <cell r="H130" t="str">
            <v xml:space="preserve"> - </v>
          </cell>
          <cell r="I130">
            <v>7.4999999999999997E-2</v>
          </cell>
          <cell r="J130">
            <v>1</v>
          </cell>
          <cell r="L130" t="str">
            <v xml:space="preserve">PE : Entry </v>
          </cell>
          <cell r="M130" t="str">
            <v xml:space="preserve"> - </v>
          </cell>
          <cell r="N130">
            <v>0.6</v>
          </cell>
          <cell r="O130">
            <v>1</v>
          </cell>
          <cell r="AA130" t="str">
            <v>Min</v>
          </cell>
          <cell r="AB130" t="str">
            <v>MSL &amp; TSL</v>
          </cell>
          <cell r="AC130" t="str">
            <v>Entry &amp; TRP</v>
          </cell>
          <cell r="AE130" t="str">
            <v xml:space="preserve">PE : Entry </v>
          </cell>
          <cell r="AF130" t="str">
            <v xml:space="preserve"> + </v>
          </cell>
          <cell r="AG130">
            <v>0.6</v>
          </cell>
          <cell r="AH130">
            <v>0</v>
          </cell>
          <cell r="AJ130" t="str">
            <v xml:space="preserve"> + </v>
          </cell>
          <cell r="AK130" t="str">
            <v>OPT : PRV : 2DHH</v>
          </cell>
          <cell r="AL130">
            <v>7.0000000000000007E-2</v>
          </cell>
          <cell r="AM130">
            <v>1</v>
          </cell>
          <cell r="AN130">
            <v>0</v>
          </cell>
          <cell r="AP130">
            <v>0</v>
          </cell>
          <cell r="AQ130">
            <v>0</v>
          </cell>
          <cell r="AS130">
            <v>0</v>
          </cell>
          <cell r="AT130">
            <v>0</v>
          </cell>
          <cell r="AV130">
            <v>0</v>
          </cell>
          <cell r="AW130">
            <v>0</v>
          </cell>
          <cell r="AY130">
            <v>0</v>
          </cell>
          <cell r="AZ130">
            <v>0</v>
          </cell>
          <cell r="BB130">
            <v>0</v>
          </cell>
          <cell r="BD130" t="str">
            <v>Market End Time</v>
          </cell>
          <cell r="BE130">
            <v>0.64583333333333337</v>
          </cell>
          <cell r="BJ130" t="str">
            <v>Put</v>
          </cell>
          <cell r="BK130">
            <v>7.4999999999999997E-2</v>
          </cell>
          <cell r="BL130">
            <v>7.0000000000000007E-2</v>
          </cell>
          <cell r="BO130" t="str">
            <v>Put</v>
          </cell>
          <cell r="BP130" t="str">
            <v>SPT : PRV : 3DHH</v>
          </cell>
          <cell r="BQ130" t="str">
            <v>-</v>
          </cell>
          <cell r="BR130">
            <v>0.05</v>
          </cell>
          <cell r="BS130" t="str">
            <v>Round Up</v>
          </cell>
          <cell r="BT130" t="str">
            <v>SPT : PRV : 3DHH</v>
          </cell>
          <cell r="BW130" t="str">
            <v>Round Up</v>
          </cell>
          <cell r="BX130" t="str">
            <v>+</v>
          </cell>
          <cell r="BY130">
            <v>1</v>
          </cell>
          <cell r="CE130" t="str">
            <v>SPT : PRV : 3DHH</v>
          </cell>
          <cell r="CF130">
            <v>0.02</v>
          </cell>
          <cell r="CG130" t="str">
            <v>SPT : PRV : 3DHH</v>
          </cell>
          <cell r="CH130">
            <v>1.4999999999999999E-2</v>
          </cell>
          <cell r="CI130">
            <v>500</v>
          </cell>
          <cell r="CJ130">
            <v>1</v>
          </cell>
          <cell r="CR130">
            <v>0.05</v>
          </cell>
        </row>
        <row r="132">
          <cell r="B132" t="str">
            <v>S22A</v>
          </cell>
          <cell r="C132" t="str">
            <v>Strategy Code</v>
          </cell>
          <cell r="D132" t="str">
            <v>S22</v>
          </cell>
          <cell r="E132" t="str">
            <v>Bull / 
Bull CF</v>
          </cell>
          <cell r="F132" t="str">
            <v>Call</v>
          </cell>
          <cell r="G132" t="str">
            <v>OPT : PRV : 4DLL</v>
          </cell>
          <cell r="H132" t="str">
            <v xml:space="preserve"> - </v>
          </cell>
          <cell r="I132">
            <v>0.1</v>
          </cell>
          <cell r="J132">
            <v>1</v>
          </cell>
          <cell r="L132" t="str">
            <v xml:space="preserve">CE : Entry </v>
          </cell>
          <cell r="M132" t="str">
            <v xml:space="preserve"> - </v>
          </cell>
          <cell r="N132">
            <v>0.6</v>
          </cell>
          <cell r="O132">
            <v>1</v>
          </cell>
          <cell r="AA132" t="str">
            <v>Min</v>
          </cell>
          <cell r="AB132" t="str">
            <v>MSL &amp; TSL</v>
          </cell>
          <cell r="AC132" t="str">
            <v>Entry &amp; TRP</v>
          </cell>
          <cell r="AE132" t="str">
            <v xml:space="preserve">CE : Entry </v>
          </cell>
          <cell r="AF132" t="str">
            <v xml:space="preserve"> + </v>
          </cell>
          <cell r="AG132">
            <v>0.6</v>
          </cell>
          <cell r="AH132">
            <v>0</v>
          </cell>
          <cell r="AJ132" t="str">
            <v xml:space="preserve"> + </v>
          </cell>
          <cell r="AK132" t="str">
            <v>OPT : PRV : 2DHH</v>
          </cell>
          <cell r="AL132">
            <v>7.0000000000000007E-2</v>
          </cell>
          <cell r="AM132">
            <v>1</v>
          </cell>
          <cell r="AN132">
            <v>0</v>
          </cell>
          <cell r="AP132">
            <v>0</v>
          </cell>
          <cell r="AQ132">
            <v>0</v>
          </cell>
          <cell r="AS132">
            <v>0</v>
          </cell>
          <cell r="AT132">
            <v>0</v>
          </cell>
          <cell r="AV132">
            <v>0</v>
          </cell>
          <cell r="AW132">
            <v>0</v>
          </cell>
          <cell r="AY132">
            <v>0</v>
          </cell>
          <cell r="AZ132">
            <v>0</v>
          </cell>
          <cell r="BB132">
            <v>0</v>
          </cell>
          <cell r="BD132" t="str">
            <v xml:space="preserve">ORPT </v>
          </cell>
          <cell r="BE132">
            <v>0.39235416666666667</v>
          </cell>
          <cell r="BF132">
            <v>0.39235416666666667</v>
          </cell>
          <cell r="BG132">
            <v>0.38541666666666669</v>
          </cell>
          <cell r="BI132" t="str">
            <v>Bull / 
Bull CF</v>
          </cell>
          <cell r="BJ132" t="str">
            <v>Call</v>
          </cell>
          <cell r="BK132">
            <v>0.1</v>
          </cell>
          <cell r="BL132">
            <v>7.0000000000000007E-2</v>
          </cell>
          <cell r="BN132" t="str">
            <v>Bull | 
Bull CF</v>
          </cell>
          <cell r="BO132" t="str">
            <v>Call</v>
          </cell>
          <cell r="BP132" t="str">
            <v>SPT : PRV : 4DLL</v>
          </cell>
          <cell r="BQ132" t="str">
            <v>+</v>
          </cell>
          <cell r="BR132">
            <v>0.1</v>
          </cell>
          <cell r="BS132" t="str">
            <v>Round Down</v>
          </cell>
          <cell r="BT132" t="str">
            <v>SPT : PRV : 4DLL</v>
          </cell>
          <cell r="BW132" t="str">
            <v>Round Down</v>
          </cell>
          <cell r="BX132" t="str">
            <v>-</v>
          </cell>
          <cell r="BY132">
            <v>1</v>
          </cell>
          <cell r="CE132" t="str">
            <v>SPT : PRV : 4DLL</v>
          </cell>
          <cell r="CF132">
            <v>0.04</v>
          </cell>
          <cell r="CG132" t="str">
            <v>SPT : PRV : 4DLL</v>
          </cell>
          <cell r="CH132">
            <v>0.03</v>
          </cell>
          <cell r="CI132">
            <v>100</v>
          </cell>
          <cell r="CJ132">
            <v>1</v>
          </cell>
          <cell r="CR132">
            <v>0.1</v>
          </cell>
          <cell r="CU132">
            <v>0.625</v>
          </cell>
        </row>
        <row r="133">
          <cell r="B133" t="str">
            <v>S22B</v>
          </cell>
          <cell r="C133" t="str">
            <v>Unique Code</v>
          </cell>
          <cell r="D133" t="str">
            <v>STOCKS_OP_SELL_MT_DIFF_2D_4D</v>
          </cell>
          <cell r="F133" t="str">
            <v>Put</v>
          </cell>
          <cell r="G133" t="str">
            <v>OPT : PRV : 2DLL</v>
          </cell>
          <cell r="H133" t="str">
            <v xml:space="preserve"> - </v>
          </cell>
          <cell r="I133">
            <v>0.1</v>
          </cell>
          <cell r="J133">
            <v>1</v>
          </cell>
          <cell r="L133" t="str">
            <v xml:space="preserve">PE : Entry </v>
          </cell>
          <cell r="M133" t="str">
            <v xml:space="preserve"> - </v>
          </cell>
          <cell r="N133">
            <v>0.6</v>
          </cell>
          <cell r="O133">
            <v>1</v>
          </cell>
          <cell r="AA133" t="str">
            <v>Min</v>
          </cell>
          <cell r="AB133" t="str">
            <v>MSL &amp; TSL</v>
          </cell>
          <cell r="AC133" t="str">
            <v>Entry &amp; TRP</v>
          </cell>
          <cell r="AE133" t="str">
            <v xml:space="preserve">PE : Entry </v>
          </cell>
          <cell r="AF133" t="str">
            <v xml:space="preserve"> + </v>
          </cell>
          <cell r="AG133">
            <v>0.6</v>
          </cell>
          <cell r="AH133">
            <v>0</v>
          </cell>
          <cell r="AJ133" t="str">
            <v xml:space="preserve"> + </v>
          </cell>
          <cell r="AK133" t="str">
            <v>OPT : PRV : 3DHH</v>
          </cell>
          <cell r="AL133">
            <v>0.1</v>
          </cell>
          <cell r="AM133">
            <v>1</v>
          </cell>
          <cell r="AN133">
            <v>0</v>
          </cell>
          <cell r="AP133">
            <v>0</v>
          </cell>
          <cell r="AQ133">
            <v>0</v>
          </cell>
          <cell r="AS133">
            <v>0</v>
          </cell>
          <cell r="AT133">
            <v>0</v>
          </cell>
          <cell r="AV133">
            <v>0</v>
          </cell>
          <cell r="AW133">
            <v>0</v>
          </cell>
          <cell r="AY133">
            <v>0</v>
          </cell>
          <cell r="AZ133">
            <v>0</v>
          </cell>
          <cell r="BB133">
            <v>0</v>
          </cell>
          <cell r="BD133" t="str">
            <v xml:space="preserve"> RC. Time</v>
          </cell>
          <cell r="BE133">
            <v>0.39582638888888888</v>
          </cell>
          <cell r="BF133">
            <v>0.39582638888888888</v>
          </cell>
          <cell r="BG133" t="str">
            <v>N.A.</v>
          </cell>
          <cell r="BJ133" t="str">
            <v>Put</v>
          </cell>
          <cell r="BK133">
            <v>0.1</v>
          </cell>
          <cell r="BL133">
            <v>0.1</v>
          </cell>
          <cell r="BO133" t="str">
            <v>Put</v>
          </cell>
          <cell r="BP133" t="str">
            <v>SPT : PRV : 2DHH</v>
          </cell>
          <cell r="BQ133" t="str">
            <v>-</v>
          </cell>
          <cell r="BR133">
            <v>0.1</v>
          </cell>
          <cell r="BS133" t="str">
            <v>Round Up</v>
          </cell>
          <cell r="BT133" t="str">
            <v>SPT : PRV : 2DHH</v>
          </cell>
          <cell r="BW133" t="str">
            <v>Round Up</v>
          </cell>
          <cell r="BX133" t="str">
            <v>+</v>
          </cell>
          <cell r="BY133">
            <v>1</v>
          </cell>
          <cell r="CE133" t="str">
            <v>SPT : PRV : 2DHH</v>
          </cell>
          <cell r="CF133">
            <v>0.04</v>
          </cell>
          <cell r="CG133" t="str">
            <v>SPT : PRV : 2DHH</v>
          </cell>
          <cell r="CH133">
            <v>0.03</v>
          </cell>
          <cell r="CI133">
            <v>100</v>
          </cell>
          <cell r="CJ133">
            <v>1</v>
          </cell>
          <cell r="CR133">
            <v>0.1</v>
          </cell>
        </row>
        <row r="134">
          <cell r="B134" t="str">
            <v>S22C</v>
          </cell>
          <cell r="C134" t="str">
            <v>Segment</v>
          </cell>
          <cell r="D134" t="str">
            <v>OPTIONS SELL</v>
          </cell>
          <cell r="E134" t="str">
            <v>Contract</v>
          </cell>
          <cell r="F134" t="str">
            <v>MONTHLY</v>
          </cell>
        </row>
        <row r="135">
          <cell r="B135" t="str">
            <v>S22D</v>
          </cell>
          <cell r="C135" t="str">
            <v>Symbol</v>
          </cell>
          <cell r="D135" t="str">
            <v>STOCKS</v>
          </cell>
          <cell r="E135" t="str">
            <v>Bear / 
Bear CF</v>
          </cell>
          <cell r="F135" t="str">
            <v>Call</v>
          </cell>
          <cell r="G135" t="str">
            <v>OPT : PRV : 2DLL</v>
          </cell>
          <cell r="H135" t="str">
            <v xml:space="preserve"> - </v>
          </cell>
          <cell r="I135">
            <v>0.1</v>
          </cell>
          <cell r="J135">
            <v>1</v>
          </cell>
          <cell r="L135" t="str">
            <v xml:space="preserve">CE : Entry </v>
          </cell>
          <cell r="M135" t="str">
            <v xml:space="preserve"> - </v>
          </cell>
          <cell r="N135">
            <v>0.6</v>
          </cell>
          <cell r="O135">
            <v>1</v>
          </cell>
          <cell r="AA135" t="str">
            <v>Min</v>
          </cell>
          <cell r="AB135" t="str">
            <v>MSL &amp; TSL</v>
          </cell>
          <cell r="AC135" t="str">
            <v>Entry &amp; TRP</v>
          </cell>
          <cell r="AE135" t="str">
            <v xml:space="preserve">CE : Entry </v>
          </cell>
          <cell r="AF135" t="str">
            <v xml:space="preserve"> + </v>
          </cell>
          <cell r="AG135">
            <v>0.6</v>
          </cell>
          <cell r="AH135">
            <v>0</v>
          </cell>
          <cell r="AJ135" t="str">
            <v xml:space="preserve"> + </v>
          </cell>
          <cell r="AK135" t="str">
            <v>OPT : PRV : 3DHH</v>
          </cell>
          <cell r="AL135">
            <v>0.1</v>
          </cell>
          <cell r="AM135">
            <v>1</v>
          </cell>
          <cell r="AN135">
            <v>0</v>
          </cell>
          <cell r="AP135">
            <v>0</v>
          </cell>
          <cell r="AQ135">
            <v>0</v>
          </cell>
          <cell r="AS135">
            <v>0</v>
          </cell>
          <cell r="AT135">
            <v>0</v>
          </cell>
          <cell r="AV135">
            <v>0</v>
          </cell>
          <cell r="AW135">
            <v>0</v>
          </cell>
          <cell r="AY135">
            <v>0</v>
          </cell>
          <cell r="AZ135">
            <v>0</v>
          </cell>
          <cell r="BB135">
            <v>0</v>
          </cell>
          <cell r="BD135" t="str">
            <v>Market Start Time</v>
          </cell>
          <cell r="BE135">
            <v>0.38541666666666669</v>
          </cell>
          <cell r="BI135" t="str">
            <v>Bear / 
Bear CF</v>
          </cell>
          <cell r="BJ135" t="str">
            <v>Call</v>
          </cell>
          <cell r="BK135">
            <v>0.1</v>
          </cell>
          <cell r="BL135">
            <v>0.1</v>
          </cell>
          <cell r="BN135" t="str">
            <v>Bear | 
Bear CF</v>
          </cell>
          <cell r="BO135" t="str">
            <v>Call</v>
          </cell>
          <cell r="BP135" t="str">
            <v>SPT : PRV : 2DLL</v>
          </cell>
          <cell r="BQ135" t="str">
            <v>+</v>
          </cell>
          <cell r="BR135">
            <v>0.1</v>
          </cell>
          <cell r="BS135" t="str">
            <v>Round Down</v>
          </cell>
          <cell r="BT135" t="str">
            <v>SPT : PRV : 2DLL</v>
          </cell>
          <cell r="BW135" t="str">
            <v>Round Down</v>
          </cell>
          <cell r="BX135" t="str">
            <v>-</v>
          </cell>
          <cell r="BY135">
            <v>1</v>
          </cell>
          <cell r="CE135" t="str">
            <v>SPT : PRV : 2DLL</v>
          </cell>
          <cell r="CF135">
            <v>0.04</v>
          </cell>
          <cell r="CG135" t="str">
            <v>SPT : PRV : 2DLL</v>
          </cell>
          <cell r="CH135">
            <v>0.03</v>
          </cell>
          <cell r="CI135">
            <v>100</v>
          </cell>
          <cell r="CJ135">
            <v>1</v>
          </cell>
          <cell r="CR135">
            <v>0.1</v>
          </cell>
        </row>
        <row r="136">
          <cell r="B136" t="str">
            <v>S22E</v>
          </cell>
          <cell r="C136" t="str">
            <v>No. of Targets</v>
          </cell>
          <cell r="D136" t="str">
            <v>APS</v>
          </cell>
          <cell r="F136" t="str">
            <v>Put</v>
          </cell>
          <cell r="G136" t="str">
            <v>OPT : PRV : 4DLL</v>
          </cell>
          <cell r="H136" t="str">
            <v xml:space="preserve"> - </v>
          </cell>
          <cell r="I136">
            <v>0.1</v>
          </cell>
          <cell r="J136">
            <v>1</v>
          </cell>
          <cell r="L136" t="str">
            <v xml:space="preserve">PE : Entry </v>
          </cell>
          <cell r="M136" t="str">
            <v xml:space="preserve"> - </v>
          </cell>
          <cell r="N136">
            <v>0.6</v>
          </cell>
          <cell r="O136">
            <v>1</v>
          </cell>
          <cell r="AA136" t="str">
            <v>Min</v>
          </cell>
          <cell r="AB136" t="str">
            <v>MSL &amp; TSL</v>
          </cell>
          <cell r="AC136" t="str">
            <v>Entry &amp; TRP</v>
          </cell>
          <cell r="AE136" t="str">
            <v xml:space="preserve">PE : Entry </v>
          </cell>
          <cell r="AF136" t="str">
            <v xml:space="preserve"> + </v>
          </cell>
          <cell r="AG136">
            <v>0.6</v>
          </cell>
          <cell r="AH136">
            <v>0</v>
          </cell>
          <cell r="AJ136" t="str">
            <v xml:space="preserve"> + </v>
          </cell>
          <cell r="AK136" t="str">
            <v>OPT : PRV : 2DHH</v>
          </cell>
          <cell r="AL136">
            <v>7.0000000000000007E-2</v>
          </cell>
          <cell r="AM136">
            <v>1</v>
          </cell>
          <cell r="AN136">
            <v>0</v>
          </cell>
          <cell r="AP136">
            <v>0</v>
          </cell>
          <cell r="AQ136">
            <v>0</v>
          </cell>
          <cell r="AS136">
            <v>0</v>
          </cell>
          <cell r="AT136">
            <v>0</v>
          </cell>
          <cell r="AV136">
            <v>0</v>
          </cell>
          <cell r="AW136">
            <v>0</v>
          </cell>
          <cell r="AY136">
            <v>0</v>
          </cell>
          <cell r="AZ136">
            <v>0</v>
          </cell>
          <cell r="BB136">
            <v>0</v>
          </cell>
          <cell r="BD136" t="str">
            <v>Market End Time</v>
          </cell>
          <cell r="BE136">
            <v>0.64583333333333337</v>
          </cell>
          <cell r="BJ136" t="str">
            <v>Put</v>
          </cell>
          <cell r="BK136">
            <v>0.1</v>
          </cell>
          <cell r="BL136">
            <v>7.0000000000000007E-2</v>
          </cell>
          <cell r="BO136" t="str">
            <v>Put</v>
          </cell>
          <cell r="BP136" t="str">
            <v>SPT : PRV : 4DHH</v>
          </cell>
          <cell r="BQ136" t="str">
            <v>-</v>
          </cell>
          <cell r="BR136">
            <v>0.1</v>
          </cell>
          <cell r="BS136" t="str">
            <v>Round Up</v>
          </cell>
          <cell r="BT136" t="str">
            <v>SPT : PRV : 4DHH</v>
          </cell>
          <cell r="BW136" t="str">
            <v>Round Up</v>
          </cell>
          <cell r="BX136" t="str">
            <v>+</v>
          </cell>
          <cell r="BY136">
            <v>1</v>
          </cell>
          <cell r="CE136" t="str">
            <v>SPT : PRV : 4DHH</v>
          </cell>
          <cell r="CF136">
            <v>0.04</v>
          </cell>
          <cell r="CG136" t="str">
            <v>SPT : PRV : 4DHH</v>
          </cell>
          <cell r="CH136">
            <v>0.03</v>
          </cell>
          <cell r="CI136">
            <v>100</v>
          </cell>
          <cell r="CJ136">
            <v>1</v>
          </cell>
          <cell r="CR136">
            <v>0.1</v>
          </cell>
        </row>
        <row r="138">
          <cell r="B138" t="str">
            <v>S23A</v>
          </cell>
          <cell r="C138" t="str">
            <v>Strategy Code</v>
          </cell>
          <cell r="D138" t="str">
            <v>S23</v>
          </cell>
          <cell r="E138" t="str">
            <v>Bull / 
Bull CF</v>
          </cell>
          <cell r="F138" t="str">
            <v>Call</v>
          </cell>
          <cell r="G138" t="str">
            <v>OPT : PRV : 3DLL</v>
          </cell>
          <cell r="H138" t="str">
            <v xml:space="preserve"> - </v>
          </cell>
          <cell r="I138">
            <v>7.4999999999999997E-2</v>
          </cell>
          <cell r="J138">
            <v>1</v>
          </cell>
          <cell r="L138" t="str">
            <v xml:space="preserve">CE : Entry </v>
          </cell>
          <cell r="M138" t="str">
            <v xml:space="preserve"> - </v>
          </cell>
          <cell r="N138">
            <v>0.6</v>
          </cell>
          <cell r="O138">
            <v>1</v>
          </cell>
          <cell r="AA138" t="str">
            <v>Min</v>
          </cell>
          <cell r="AB138" t="str">
            <v>MSL &amp; TSL</v>
          </cell>
          <cell r="AC138" t="str">
            <v>Entry &amp; TRP</v>
          </cell>
          <cell r="AE138" t="str">
            <v xml:space="preserve">CE : Entry </v>
          </cell>
          <cell r="AF138" t="str">
            <v xml:space="preserve"> + </v>
          </cell>
          <cell r="AG138">
            <v>0.6</v>
          </cell>
          <cell r="AH138">
            <v>0</v>
          </cell>
          <cell r="AJ138" t="str">
            <v xml:space="preserve"> + </v>
          </cell>
          <cell r="AK138" t="str">
            <v>OPT : PRV : 2DHH</v>
          </cell>
          <cell r="AL138">
            <v>7.0000000000000007E-2</v>
          </cell>
          <cell r="AM138">
            <v>1</v>
          </cell>
          <cell r="AN138">
            <v>0</v>
          </cell>
          <cell r="AP138">
            <v>0</v>
          </cell>
          <cell r="AQ138">
            <v>0</v>
          </cell>
          <cell r="AS138">
            <v>0</v>
          </cell>
          <cell r="AT138">
            <v>0</v>
          </cell>
          <cell r="AV138">
            <v>0</v>
          </cell>
          <cell r="AW138">
            <v>0</v>
          </cell>
          <cell r="AY138">
            <v>0</v>
          </cell>
          <cell r="AZ138">
            <v>0</v>
          </cell>
          <cell r="BB138">
            <v>0</v>
          </cell>
          <cell r="BD138" t="str">
            <v xml:space="preserve">ORPT </v>
          </cell>
          <cell r="BE138">
            <v>0.39235416666666667</v>
          </cell>
          <cell r="BF138">
            <v>0.39235416666666667</v>
          </cell>
          <cell r="BG138">
            <v>0.38541666666666669</v>
          </cell>
          <cell r="BI138" t="str">
            <v>Bull / 
Bull CF</v>
          </cell>
          <cell r="BJ138" t="str">
            <v>Call</v>
          </cell>
          <cell r="BK138">
            <v>7.4999999999999997E-2</v>
          </cell>
          <cell r="BL138">
            <v>7.0000000000000007E-2</v>
          </cell>
          <cell r="BN138" t="str">
            <v>Bull | 
Bull CF</v>
          </cell>
          <cell r="BO138" t="str">
            <v>Call</v>
          </cell>
          <cell r="BP138" t="str">
            <v>SPT : PRV : 3DLL</v>
          </cell>
          <cell r="BQ138" t="str">
            <v>+</v>
          </cell>
          <cell r="BR138">
            <v>0.05</v>
          </cell>
          <cell r="BS138" t="str">
            <v>Round Down</v>
          </cell>
          <cell r="BT138" t="str">
            <v>SPT : PRV : 3DLL</v>
          </cell>
          <cell r="BW138" t="str">
            <v>Round Down</v>
          </cell>
          <cell r="BX138" t="str">
            <v>-</v>
          </cell>
          <cell r="BY138">
            <v>1</v>
          </cell>
          <cell r="CE138" t="str">
            <v>SPT : PRV : 3DLL</v>
          </cell>
          <cell r="CF138">
            <v>1.2E-2</v>
          </cell>
          <cell r="CG138" t="str">
            <v>SPT : PRV : 3DLL</v>
          </cell>
          <cell r="CH138">
            <v>8.9999999999999993E-3</v>
          </cell>
          <cell r="CI138">
            <v>500</v>
          </cell>
          <cell r="CJ138">
            <v>1</v>
          </cell>
          <cell r="CR138">
            <v>0.05</v>
          </cell>
          <cell r="CU138">
            <v>0.625</v>
          </cell>
        </row>
        <row r="139">
          <cell r="B139" t="str">
            <v>S23B</v>
          </cell>
          <cell r="C139" t="str">
            <v>Unique Code</v>
          </cell>
          <cell r="D139" t="str">
            <v>NIFTY_OP_SELL_WK_DIFF_2D_3D</v>
          </cell>
          <cell r="F139" t="str">
            <v>Put</v>
          </cell>
          <cell r="G139" t="str">
            <v>OPT : PRV : 2DLL</v>
          </cell>
          <cell r="H139" t="str">
            <v xml:space="preserve"> - </v>
          </cell>
          <cell r="I139">
            <v>7.4999999999999997E-2</v>
          </cell>
          <cell r="J139">
            <v>1</v>
          </cell>
          <cell r="L139" t="str">
            <v xml:space="preserve">PE : Entry </v>
          </cell>
          <cell r="M139" t="str">
            <v xml:space="preserve"> - </v>
          </cell>
          <cell r="N139">
            <v>0.6</v>
          </cell>
          <cell r="O139">
            <v>1</v>
          </cell>
          <cell r="AA139" t="str">
            <v>Min</v>
          </cell>
          <cell r="AB139" t="str">
            <v>MSL &amp; TSL</v>
          </cell>
          <cell r="AC139" t="str">
            <v>Entry &amp; TRP</v>
          </cell>
          <cell r="AE139" t="str">
            <v xml:space="preserve">PE : Entry </v>
          </cell>
          <cell r="AF139" t="str">
            <v xml:space="preserve"> + </v>
          </cell>
          <cell r="AG139">
            <v>0.6</v>
          </cell>
          <cell r="AH139">
            <v>0</v>
          </cell>
          <cell r="AJ139" t="str">
            <v xml:space="preserve"> + </v>
          </cell>
          <cell r="AK139" t="str">
            <v>OPT : PRV : 3DHH</v>
          </cell>
          <cell r="AL139">
            <v>0.1</v>
          </cell>
          <cell r="AM139">
            <v>1</v>
          </cell>
          <cell r="AN139">
            <v>0</v>
          </cell>
          <cell r="AP139">
            <v>0</v>
          </cell>
          <cell r="AQ139">
            <v>0</v>
          </cell>
          <cell r="AS139">
            <v>0</v>
          </cell>
          <cell r="AT139">
            <v>0</v>
          </cell>
          <cell r="AV139">
            <v>0</v>
          </cell>
          <cell r="AW139">
            <v>0</v>
          </cell>
          <cell r="AY139">
            <v>0</v>
          </cell>
          <cell r="AZ139">
            <v>0</v>
          </cell>
          <cell r="BB139">
            <v>0</v>
          </cell>
          <cell r="BD139" t="str">
            <v xml:space="preserve"> RC. Time</v>
          </cell>
          <cell r="BE139">
            <v>0.39582638888888888</v>
          </cell>
          <cell r="BF139">
            <v>0.39582638888888888</v>
          </cell>
          <cell r="BG139" t="str">
            <v>N.A.</v>
          </cell>
          <cell r="BJ139" t="str">
            <v>Put</v>
          </cell>
          <cell r="BK139">
            <v>7.4999999999999997E-2</v>
          </cell>
          <cell r="BL139">
            <v>0.1</v>
          </cell>
          <cell r="BO139" t="str">
            <v>Put</v>
          </cell>
          <cell r="BP139" t="str">
            <v>SPT : PRV : 2DHH</v>
          </cell>
          <cell r="BQ139" t="str">
            <v>-</v>
          </cell>
          <cell r="BR139">
            <v>0.05</v>
          </cell>
          <cell r="BS139" t="str">
            <v>Round Up</v>
          </cell>
          <cell r="BT139" t="str">
            <v>SPT : PRV : 2DHH</v>
          </cell>
          <cell r="BW139" t="str">
            <v>Round Up</v>
          </cell>
          <cell r="BX139" t="str">
            <v>+</v>
          </cell>
          <cell r="BY139">
            <v>1</v>
          </cell>
          <cell r="CE139" t="str">
            <v>SPT : PRV : 2DHH</v>
          </cell>
          <cell r="CF139">
            <v>1.2E-2</v>
          </cell>
          <cell r="CG139" t="str">
            <v>SPT : PRV : 2DHH</v>
          </cell>
          <cell r="CH139">
            <v>8.9999999999999993E-3</v>
          </cell>
          <cell r="CI139">
            <v>500</v>
          </cell>
          <cell r="CJ139">
            <v>1</v>
          </cell>
          <cell r="CR139">
            <v>0.05</v>
          </cell>
        </row>
        <row r="140">
          <cell r="B140" t="str">
            <v>S23C</v>
          </cell>
          <cell r="C140" t="str">
            <v>Segment</v>
          </cell>
          <cell r="D140" t="str">
            <v>OPTIONS SELL</v>
          </cell>
          <cell r="E140" t="str">
            <v>Contract</v>
          </cell>
          <cell r="F140" t="str">
            <v>WEEKLY</v>
          </cell>
        </row>
        <row r="141">
          <cell r="B141" t="str">
            <v>S23D</v>
          </cell>
          <cell r="C141" t="str">
            <v>Symbol</v>
          </cell>
          <cell r="D141" t="str">
            <v>NIFTY</v>
          </cell>
          <cell r="E141" t="str">
            <v>Bear / 
Bear CF</v>
          </cell>
          <cell r="F141" t="str">
            <v>Call</v>
          </cell>
          <cell r="G141" t="str">
            <v>OPT : PRV : 2DLL</v>
          </cell>
          <cell r="H141" t="str">
            <v xml:space="preserve"> - </v>
          </cell>
          <cell r="I141">
            <v>7.4999999999999997E-2</v>
          </cell>
          <cell r="J141">
            <v>1</v>
          </cell>
          <cell r="L141" t="str">
            <v xml:space="preserve">CE : Entry </v>
          </cell>
          <cell r="M141" t="str">
            <v xml:space="preserve"> - </v>
          </cell>
          <cell r="N141">
            <v>0.6</v>
          </cell>
          <cell r="O141">
            <v>1</v>
          </cell>
          <cell r="AA141" t="str">
            <v>Min</v>
          </cell>
          <cell r="AB141" t="str">
            <v>MSL &amp; TSL</v>
          </cell>
          <cell r="AC141" t="str">
            <v>Entry &amp; TRP</v>
          </cell>
          <cell r="AE141" t="str">
            <v xml:space="preserve">CE : Entry </v>
          </cell>
          <cell r="AF141" t="str">
            <v xml:space="preserve"> + </v>
          </cell>
          <cell r="AG141">
            <v>0.6</v>
          </cell>
          <cell r="AH141">
            <v>0</v>
          </cell>
          <cell r="AJ141" t="str">
            <v xml:space="preserve"> + </v>
          </cell>
          <cell r="AK141" t="str">
            <v>OPT : PRV : 3DHH</v>
          </cell>
          <cell r="AL141">
            <v>0.1</v>
          </cell>
          <cell r="AM141">
            <v>1</v>
          </cell>
          <cell r="AN141">
            <v>0</v>
          </cell>
          <cell r="AP141">
            <v>0</v>
          </cell>
          <cell r="AQ141">
            <v>0</v>
          </cell>
          <cell r="AS141">
            <v>0</v>
          </cell>
          <cell r="AT141">
            <v>0</v>
          </cell>
          <cell r="AV141">
            <v>0</v>
          </cell>
          <cell r="AW141">
            <v>0</v>
          </cell>
          <cell r="AY141">
            <v>0</v>
          </cell>
          <cell r="AZ141">
            <v>0</v>
          </cell>
          <cell r="BB141">
            <v>0</v>
          </cell>
          <cell r="BD141" t="str">
            <v>Market Start Time</v>
          </cell>
          <cell r="BE141">
            <v>0.38541666666666669</v>
          </cell>
          <cell r="BI141" t="str">
            <v>Bear / 
Bear CF</v>
          </cell>
          <cell r="BJ141" t="str">
            <v>Call</v>
          </cell>
          <cell r="BK141">
            <v>7.4999999999999997E-2</v>
          </cell>
          <cell r="BL141">
            <v>0.1</v>
          </cell>
          <cell r="BN141" t="str">
            <v>Bear | 
Bear CF</v>
          </cell>
          <cell r="BO141" t="str">
            <v>Call</v>
          </cell>
          <cell r="BP141" t="str">
            <v>SPT : PRV : 2DLL</v>
          </cell>
          <cell r="BQ141" t="str">
            <v>+</v>
          </cell>
          <cell r="BR141">
            <v>0.05</v>
          </cell>
          <cell r="BS141" t="str">
            <v>Round Down</v>
          </cell>
          <cell r="BT141" t="str">
            <v>SPT : PRV : 2DLL</v>
          </cell>
          <cell r="BW141" t="str">
            <v>Round Down</v>
          </cell>
          <cell r="BX141" t="str">
            <v>-</v>
          </cell>
          <cell r="BY141">
            <v>1</v>
          </cell>
          <cell r="CE141" t="str">
            <v>SPT : PRV : 2DLL</v>
          </cell>
          <cell r="CF141">
            <v>1.2E-2</v>
          </cell>
          <cell r="CG141" t="str">
            <v>SPT : PRV : 2DLL</v>
          </cell>
          <cell r="CH141">
            <v>8.9999999999999993E-3</v>
          </cell>
          <cell r="CI141">
            <v>500</v>
          </cell>
          <cell r="CJ141">
            <v>1</v>
          </cell>
          <cell r="CR141">
            <v>0.05</v>
          </cell>
        </row>
        <row r="142">
          <cell r="B142" t="str">
            <v>S23E</v>
          </cell>
          <cell r="C142" t="str">
            <v>No. of Targets</v>
          </cell>
          <cell r="D142" t="str">
            <v>APS</v>
          </cell>
          <cell r="F142" t="str">
            <v>Put</v>
          </cell>
          <cell r="G142" t="str">
            <v>OPT : PRV : 3DLL</v>
          </cell>
          <cell r="H142" t="str">
            <v xml:space="preserve"> - </v>
          </cell>
          <cell r="I142">
            <v>7.4999999999999997E-2</v>
          </cell>
          <cell r="J142">
            <v>1</v>
          </cell>
          <cell r="L142" t="str">
            <v xml:space="preserve">PE : Entry </v>
          </cell>
          <cell r="M142" t="str">
            <v xml:space="preserve"> - </v>
          </cell>
          <cell r="N142">
            <v>0.6</v>
          </cell>
          <cell r="O142">
            <v>1</v>
          </cell>
          <cell r="AA142" t="str">
            <v>Min</v>
          </cell>
          <cell r="AB142" t="str">
            <v>MSL &amp; TSL</v>
          </cell>
          <cell r="AC142" t="str">
            <v>Entry &amp; TRP</v>
          </cell>
          <cell r="AE142" t="str">
            <v xml:space="preserve">PE : Entry </v>
          </cell>
          <cell r="AF142" t="str">
            <v xml:space="preserve"> + </v>
          </cell>
          <cell r="AG142">
            <v>0.6</v>
          </cell>
          <cell r="AH142">
            <v>0</v>
          </cell>
          <cell r="AJ142" t="str">
            <v xml:space="preserve"> + </v>
          </cell>
          <cell r="AK142" t="str">
            <v>OPT : PRV : 2DHH</v>
          </cell>
          <cell r="AL142">
            <v>7.0000000000000007E-2</v>
          </cell>
          <cell r="AM142">
            <v>1</v>
          </cell>
          <cell r="AN142">
            <v>0</v>
          </cell>
          <cell r="AP142">
            <v>0</v>
          </cell>
          <cell r="AQ142">
            <v>0</v>
          </cell>
          <cell r="AS142">
            <v>0</v>
          </cell>
          <cell r="AT142">
            <v>0</v>
          </cell>
          <cell r="AV142">
            <v>0</v>
          </cell>
          <cell r="AW142">
            <v>0</v>
          </cell>
          <cell r="AY142">
            <v>0</v>
          </cell>
          <cell r="AZ142">
            <v>0</v>
          </cell>
          <cell r="BB142">
            <v>0</v>
          </cell>
          <cell r="BD142" t="str">
            <v>Market End Time</v>
          </cell>
          <cell r="BE142">
            <v>0.64583333333333337</v>
          </cell>
          <cell r="BJ142" t="str">
            <v>Put</v>
          </cell>
          <cell r="BK142">
            <v>7.4999999999999997E-2</v>
          </cell>
          <cell r="BL142">
            <v>7.0000000000000007E-2</v>
          </cell>
          <cell r="BO142" t="str">
            <v>Put</v>
          </cell>
          <cell r="BP142" t="str">
            <v>SPT : PRV : 3DHH</v>
          </cell>
          <cell r="BQ142" t="str">
            <v>-</v>
          </cell>
          <cell r="BR142">
            <v>0.05</v>
          </cell>
          <cell r="BS142" t="str">
            <v>Round Up</v>
          </cell>
          <cell r="BT142" t="str">
            <v>SPT : PRV : 3DHH</v>
          </cell>
          <cell r="BW142" t="str">
            <v>Round Up</v>
          </cell>
          <cell r="BX142" t="str">
            <v>+</v>
          </cell>
          <cell r="BY142">
            <v>1</v>
          </cell>
          <cell r="CE142" t="str">
            <v>SPT : PRV : 3DHH</v>
          </cell>
          <cell r="CF142">
            <v>1.2E-2</v>
          </cell>
          <cell r="CG142" t="str">
            <v>SPT : PRV : 3DHH</v>
          </cell>
          <cell r="CH142">
            <v>8.9999999999999993E-3</v>
          </cell>
          <cell r="CI142">
            <v>500</v>
          </cell>
          <cell r="CJ142">
            <v>1</v>
          </cell>
          <cell r="CR142">
            <v>0.05</v>
          </cell>
        </row>
        <row r="144">
          <cell r="B144" t="str">
            <v>S24A</v>
          </cell>
          <cell r="C144" t="str">
            <v>Strategy Code</v>
          </cell>
          <cell r="D144" t="str">
            <v>S24</v>
          </cell>
          <cell r="E144" t="str">
            <v>Bull / 
Bull CF</v>
          </cell>
          <cell r="F144" t="str">
            <v>Call</v>
          </cell>
          <cell r="G144" t="str">
            <v>OPT : PRV : 3DLL</v>
          </cell>
          <cell r="H144" t="str">
            <v xml:space="preserve"> - </v>
          </cell>
          <cell r="I144">
            <v>7.4999999999999997E-2</v>
          </cell>
          <cell r="J144">
            <v>1</v>
          </cell>
          <cell r="L144" t="str">
            <v xml:space="preserve">CE : Entry </v>
          </cell>
          <cell r="M144" t="str">
            <v xml:space="preserve"> - </v>
          </cell>
          <cell r="N144">
            <v>0.6</v>
          </cell>
          <cell r="O144">
            <v>1</v>
          </cell>
          <cell r="AA144" t="str">
            <v>Min</v>
          </cell>
          <cell r="AB144" t="str">
            <v>MSL &amp; TSL</v>
          </cell>
          <cell r="AC144" t="str">
            <v>Entry &amp; TRP</v>
          </cell>
          <cell r="AE144" t="str">
            <v xml:space="preserve">CE : Entry </v>
          </cell>
          <cell r="AF144" t="str">
            <v xml:space="preserve"> + </v>
          </cell>
          <cell r="AG144">
            <v>0.6</v>
          </cell>
          <cell r="AH144">
            <v>0</v>
          </cell>
          <cell r="AJ144" t="str">
            <v xml:space="preserve"> + </v>
          </cell>
          <cell r="AK144" t="str">
            <v>OPT : PRV : 2DHH</v>
          </cell>
          <cell r="AL144">
            <v>7.0000000000000007E-2</v>
          </cell>
          <cell r="AM144">
            <v>1</v>
          </cell>
          <cell r="AN144">
            <v>0</v>
          </cell>
          <cell r="AP144">
            <v>0</v>
          </cell>
          <cell r="AQ144">
            <v>0</v>
          </cell>
          <cell r="AS144">
            <v>0</v>
          </cell>
          <cell r="AT144">
            <v>0</v>
          </cell>
          <cell r="AV144">
            <v>0</v>
          </cell>
          <cell r="AW144">
            <v>0</v>
          </cell>
          <cell r="AY144">
            <v>0</v>
          </cell>
          <cell r="AZ144">
            <v>0</v>
          </cell>
          <cell r="BB144">
            <v>0</v>
          </cell>
          <cell r="BD144" t="str">
            <v xml:space="preserve">ORPT </v>
          </cell>
          <cell r="BE144">
            <v>0.39235416666666667</v>
          </cell>
          <cell r="BF144">
            <v>0.39235416666666667</v>
          </cell>
          <cell r="BG144">
            <v>0.38541666666666669</v>
          </cell>
          <cell r="BI144" t="str">
            <v>Bull / 
Bull CF</v>
          </cell>
          <cell r="BJ144" t="str">
            <v>Call</v>
          </cell>
          <cell r="BK144">
            <v>7.4999999999999997E-2</v>
          </cell>
          <cell r="BL144">
            <v>7.0000000000000007E-2</v>
          </cell>
          <cell r="BN144" t="str">
            <v>Bull | 
Bull CF</v>
          </cell>
          <cell r="BO144" t="str">
            <v>Call</v>
          </cell>
          <cell r="BP144" t="str">
            <v>SPT : PRV : 3DLL</v>
          </cell>
          <cell r="BQ144" t="str">
            <v>+</v>
          </cell>
          <cell r="BR144">
            <v>0.05</v>
          </cell>
          <cell r="BS144" t="str">
            <v>Round Down</v>
          </cell>
          <cell r="BT144" t="str">
            <v>SPT : PRV : 3DLL</v>
          </cell>
          <cell r="BW144" t="str">
            <v>Round Down</v>
          </cell>
          <cell r="BX144" t="str">
            <v>-</v>
          </cell>
          <cell r="BY144">
            <v>1</v>
          </cell>
          <cell r="CE144" t="str">
            <v>SPT : PRV : 3DLL</v>
          </cell>
          <cell r="CF144">
            <v>1.6E-2</v>
          </cell>
          <cell r="CG144" t="str">
            <v>SPT : PRV : 3DLL</v>
          </cell>
          <cell r="CH144">
            <v>1.2E-2</v>
          </cell>
          <cell r="CI144">
            <v>500</v>
          </cell>
          <cell r="CJ144">
            <v>1</v>
          </cell>
          <cell r="CR144">
            <v>0.05</v>
          </cell>
          <cell r="CU144">
            <v>0.625</v>
          </cell>
        </row>
        <row r="145">
          <cell r="B145" t="str">
            <v>S24B</v>
          </cell>
          <cell r="C145" t="str">
            <v>Unique Code</v>
          </cell>
          <cell r="D145" t="str">
            <v>NIFTY_OP_SELL_MT_DIFF_2D_3D</v>
          </cell>
          <cell r="F145" t="str">
            <v>Put</v>
          </cell>
          <cell r="G145" t="str">
            <v>OPT : PRV : 2DLL</v>
          </cell>
          <cell r="H145" t="str">
            <v xml:space="preserve"> - </v>
          </cell>
          <cell r="I145">
            <v>7.4999999999999997E-2</v>
          </cell>
          <cell r="J145">
            <v>1</v>
          </cell>
          <cell r="L145" t="str">
            <v xml:space="preserve">PE : Entry </v>
          </cell>
          <cell r="M145" t="str">
            <v xml:space="preserve"> - </v>
          </cell>
          <cell r="N145">
            <v>0.6</v>
          </cell>
          <cell r="O145">
            <v>1</v>
          </cell>
          <cell r="AA145" t="str">
            <v>Min</v>
          </cell>
          <cell r="AB145" t="str">
            <v>MSL &amp; TSL</v>
          </cell>
          <cell r="AC145" t="str">
            <v>Entry &amp; TRP</v>
          </cell>
          <cell r="AE145" t="str">
            <v xml:space="preserve">PE : Entry </v>
          </cell>
          <cell r="AF145" t="str">
            <v xml:space="preserve"> + </v>
          </cell>
          <cell r="AG145">
            <v>0.6</v>
          </cell>
          <cell r="AH145">
            <v>0</v>
          </cell>
          <cell r="AJ145" t="str">
            <v xml:space="preserve"> + </v>
          </cell>
          <cell r="AK145" t="str">
            <v>OPT : PRV : 3DHH</v>
          </cell>
          <cell r="AL145">
            <v>0.1</v>
          </cell>
          <cell r="AM145">
            <v>1</v>
          </cell>
          <cell r="AN145">
            <v>0</v>
          </cell>
          <cell r="AP145">
            <v>0</v>
          </cell>
          <cell r="AQ145">
            <v>0</v>
          </cell>
          <cell r="AS145">
            <v>0</v>
          </cell>
          <cell r="AT145">
            <v>0</v>
          </cell>
          <cell r="AV145">
            <v>0</v>
          </cell>
          <cell r="AW145">
            <v>0</v>
          </cell>
          <cell r="AY145">
            <v>0</v>
          </cell>
          <cell r="AZ145">
            <v>0</v>
          </cell>
          <cell r="BB145">
            <v>0</v>
          </cell>
          <cell r="BD145" t="str">
            <v xml:space="preserve"> RC. Time</v>
          </cell>
          <cell r="BE145">
            <v>0.39582638888888888</v>
          </cell>
          <cell r="BF145">
            <v>0.39582638888888888</v>
          </cell>
          <cell r="BG145" t="str">
            <v>N.A.</v>
          </cell>
          <cell r="BJ145" t="str">
            <v>Put</v>
          </cell>
          <cell r="BK145">
            <v>7.4999999999999997E-2</v>
          </cell>
          <cell r="BL145">
            <v>0.1</v>
          </cell>
          <cell r="BO145" t="str">
            <v>Put</v>
          </cell>
          <cell r="BP145" t="str">
            <v>SPT : PRV : 2DHH</v>
          </cell>
          <cell r="BQ145" t="str">
            <v>-</v>
          </cell>
          <cell r="BR145">
            <v>0.05</v>
          </cell>
          <cell r="BS145" t="str">
            <v>Round Up</v>
          </cell>
          <cell r="BT145" t="str">
            <v>SPT : PRV : 2DHH</v>
          </cell>
          <cell r="BW145" t="str">
            <v>Round Up</v>
          </cell>
          <cell r="BX145" t="str">
            <v>+</v>
          </cell>
          <cell r="BY145">
            <v>1</v>
          </cell>
          <cell r="CE145" t="str">
            <v>SPT : PRV : 2DHH</v>
          </cell>
          <cell r="CF145">
            <v>1.6E-2</v>
          </cell>
          <cell r="CG145" t="str">
            <v>SPT : PRV : 2DHH</v>
          </cell>
          <cell r="CH145">
            <v>1.2E-2</v>
          </cell>
          <cell r="CI145">
            <v>500</v>
          </cell>
          <cell r="CJ145">
            <v>1</v>
          </cell>
          <cell r="CR145">
            <v>0.05</v>
          </cell>
        </row>
        <row r="146">
          <cell r="B146" t="str">
            <v>S24C</v>
          </cell>
          <cell r="C146" t="str">
            <v>Segment</v>
          </cell>
          <cell r="D146" t="str">
            <v>OPTIONS SELL</v>
          </cell>
          <cell r="E146" t="str">
            <v>Contract</v>
          </cell>
          <cell r="F146" t="str">
            <v>MONTHLY</v>
          </cell>
        </row>
        <row r="147">
          <cell r="B147" t="str">
            <v>S24D</v>
          </cell>
          <cell r="C147" t="str">
            <v>Symbol</v>
          </cell>
          <cell r="D147" t="str">
            <v>NIFTY</v>
          </cell>
          <cell r="E147" t="str">
            <v>Bear / 
Bear CF</v>
          </cell>
          <cell r="F147" t="str">
            <v>Call</v>
          </cell>
          <cell r="G147" t="str">
            <v>OPT : PRV : 2DLL</v>
          </cell>
          <cell r="H147" t="str">
            <v xml:space="preserve"> - </v>
          </cell>
          <cell r="I147">
            <v>7.4999999999999997E-2</v>
          </cell>
          <cell r="J147">
            <v>1</v>
          </cell>
          <cell r="L147" t="str">
            <v xml:space="preserve">CE : Entry </v>
          </cell>
          <cell r="M147" t="str">
            <v xml:space="preserve"> - </v>
          </cell>
          <cell r="N147">
            <v>0.6</v>
          </cell>
          <cell r="O147">
            <v>1</v>
          </cell>
          <cell r="AA147" t="str">
            <v>Min</v>
          </cell>
          <cell r="AB147" t="str">
            <v>MSL &amp; TSL</v>
          </cell>
          <cell r="AC147" t="str">
            <v>Entry &amp; TRP</v>
          </cell>
          <cell r="AE147" t="str">
            <v xml:space="preserve">CE : Entry </v>
          </cell>
          <cell r="AF147" t="str">
            <v xml:space="preserve"> + </v>
          </cell>
          <cell r="AG147">
            <v>0.6</v>
          </cell>
          <cell r="AH147">
            <v>0</v>
          </cell>
          <cell r="AJ147" t="str">
            <v xml:space="preserve"> + </v>
          </cell>
          <cell r="AK147" t="str">
            <v>OPT : PRV : 3DHH</v>
          </cell>
          <cell r="AL147">
            <v>0.1</v>
          </cell>
          <cell r="AM147">
            <v>1</v>
          </cell>
          <cell r="AN147">
            <v>0</v>
          </cell>
          <cell r="AP147">
            <v>0</v>
          </cell>
          <cell r="AQ147">
            <v>0</v>
          </cell>
          <cell r="AS147">
            <v>0</v>
          </cell>
          <cell r="AT147">
            <v>0</v>
          </cell>
          <cell r="AV147">
            <v>0</v>
          </cell>
          <cell r="AW147">
            <v>0</v>
          </cell>
          <cell r="AY147">
            <v>0</v>
          </cell>
          <cell r="AZ147">
            <v>0</v>
          </cell>
          <cell r="BB147">
            <v>0</v>
          </cell>
          <cell r="BD147" t="str">
            <v>Market Start Time</v>
          </cell>
          <cell r="BE147">
            <v>0.38541666666666669</v>
          </cell>
          <cell r="BI147" t="str">
            <v>Bear / 
Bear CF</v>
          </cell>
          <cell r="BJ147" t="str">
            <v>Call</v>
          </cell>
          <cell r="BK147">
            <v>7.4999999999999997E-2</v>
          </cell>
          <cell r="BL147">
            <v>0.1</v>
          </cell>
          <cell r="BN147" t="str">
            <v>Bear | 
Bear CF</v>
          </cell>
          <cell r="BO147" t="str">
            <v>Call</v>
          </cell>
          <cell r="BP147" t="str">
            <v>SPT : PRV : 2DLL</v>
          </cell>
          <cell r="BQ147" t="str">
            <v>+</v>
          </cell>
          <cell r="BR147">
            <v>0.05</v>
          </cell>
          <cell r="BS147" t="str">
            <v>Round Down</v>
          </cell>
          <cell r="BT147" t="str">
            <v>SPT : PRV : 2DLL</v>
          </cell>
          <cell r="BW147" t="str">
            <v>Round Down</v>
          </cell>
          <cell r="BX147" t="str">
            <v>-</v>
          </cell>
          <cell r="BY147">
            <v>1</v>
          </cell>
          <cell r="CE147" t="str">
            <v>SPT : PRV : 2DLL</v>
          </cell>
          <cell r="CF147">
            <v>1.6E-2</v>
          </cell>
          <cell r="CG147" t="str">
            <v>SPT : PRV : 2DLL</v>
          </cell>
          <cell r="CH147">
            <v>1.2E-2</v>
          </cell>
          <cell r="CI147">
            <v>500</v>
          </cell>
          <cell r="CJ147">
            <v>1</v>
          </cell>
          <cell r="CR147">
            <v>0.05</v>
          </cell>
        </row>
        <row r="148">
          <cell r="B148" t="str">
            <v>S24E</v>
          </cell>
          <cell r="C148" t="str">
            <v>Contract</v>
          </cell>
          <cell r="D148" t="str">
            <v>APS</v>
          </cell>
          <cell r="F148" t="str">
            <v>Put</v>
          </cell>
          <cell r="G148" t="str">
            <v>OPT : PRV : 3DLL</v>
          </cell>
          <cell r="H148" t="str">
            <v xml:space="preserve"> - </v>
          </cell>
          <cell r="I148">
            <v>7.4999999999999997E-2</v>
          </cell>
          <cell r="J148">
            <v>1</v>
          </cell>
          <cell r="L148" t="str">
            <v xml:space="preserve">PE : Entry </v>
          </cell>
          <cell r="M148" t="str">
            <v xml:space="preserve"> - </v>
          </cell>
          <cell r="N148">
            <v>0.6</v>
          </cell>
          <cell r="O148">
            <v>1</v>
          </cell>
          <cell r="AA148" t="str">
            <v>Min</v>
          </cell>
          <cell r="AB148" t="str">
            <v>MSL &amp; TSL</v>
          </cell>
          <cell r="AC148" t="str">
            <v>Entry &amp; TRP</v>
          </cell>
          <cell r="AE148" t="str">
            <v xml:space="preserve">PE : Entry </v>
          </cell>
          <cell r="AF148" t="str">
            <v xml:space="preserve"> + </v>
          </cell>
          <cell r="AG148">
            <v>0.6</v>
          </cell>
          <cell r="AH148">
            <v>0</v>
          </cell>
          <cell r="AJ148" t="str">
            <v xml:space="preserve"> + </v>
          </cell>
          <cell r="AK148" t="str">
            <v>OPT : PRV : 2DHH</v>
          </cell>
          <cell r="AL148">
            <v>7.0000000000000007E-2</v>
          </cell>
          <cell r="AM148">
            <v>1</v>
          </cell>
          <cell r="AN148">
            <v>0</v>
          </cell>
          <cell r="AP148">
            <v>0</v>
          </cell>
          <cell r="AQ148">
            <v>0</v>
          </cell>
          <cell r="AS148">
            <v>0</v>
          </cell>
          <cell r="AT148">
            <v>0</v>
          </cell>
          <cell r="AV148">
            <v>0</v>
          </cell>
          <cell r="AW148">
            <v>0</v>
          </cell>
          <cell r="AY148">
            <v>0</v>
          </cell>
          <cell r="AZ148">
            <v>0</v>
          </cell>
          <cell r="BB148">
            <v>0</v>
          </cell>
          <cell r="BD148" t="str">
            <v>Market End Time</v>
          </cell>
          <cell r="BE148">
            <v>0.64583333333333337</v>
          </cell>
          <cell r="BJ148" t="str">
            <v>Put</v>
          </cell>
          <cell r="BK148">
            <v>7.4999999999999997E-2</v>
          </cell>
          <cell r="BL148">
            <v>7.0000000000000007E-2</v>
          </cell>
          <cell r="BO148" t="str">
            <v>Put</v>
          </cell>
          <cell r="BP148" t="str">
            <v>SPT : PRV : 3DHH</v>
          </cell>
          <cell r="BQ148" t="str">
            <v>-</v>
          </cell>
          <cell r="BR148">
            <v>0.05</v>
          </cell>
          <cell r="BS148" t="str">
            <v>Round Up</v>
          </cell>
          <cell r="BT148" t="str">
            <v>SPT : PRV : 3DHH</v>
          </cell>
          <cell r="BW148" t="str">
            <v>Round Up</v>
          </cell>
          <cell r="BX148" t="str">
            <v>+</v>
          </cell>
          <cell r="BY148">
            <v>1</v>
          </cell>
          <cell r="CE148" t="str">
            <v>SPT : PRV : 3DHH</v>
          </cell>
          <cell r="CF148">
            <v>1.6E-2</v>
          </cell>
          <cell r="CG148" t="str">
            <v>SPT : PRV : 3DHH</v>
          </cell>
          <cell r="CH148">
            <v>1.2E-2</v>
          </cell>
          <cell r="CI148">
            <v>500</v>
          </cell>
          <cell r="CJ148">
            <v>1</v>
          </cell>
          <cell r="CR148">
            <v>0.05</v>
          </cell>
        </row>
        <row r="150">
          <cell r="B150" t="str">
            <v>S25A</v>
          </cell>
          <cell r="C150" t="str">
            <v>Strategy Code</v>
          </cell>
          <cell r="D150" t="str">
            <v>S25</v>
          </cell>
          <cell r="E150" t="str">
            <v>Bull / 
Bull CF</v>
          </cell>
          <cell r="F150" t="str">
            <v>Call</v>
          </cell>
          <cell r="G150" t="str">
            <v>OPT : PRV : 1D 75 Mins HH</v>
          </cell>
          <cell r="H150" t="str">
            <v xml:space="preserve"> + </v>
          </cell>
          <cell r="I150">
            <v>0.1</v>
          </cell>
          <cell r="J150">
            <v>2</v>
          </cell>
          <cell r="L150" t="str">
            <v xml:space="preserve">CE : Entry </v>
          </cell>
          <cell r="M150" t="str">
            <v xml:space="preserve"> + </v>
          </cell>
          <cell r="N150">
            <v>0.7</v>
          </cell>
          <cell r="O150">
            <v>1</v>
          </cell>
          <cell r="AA150" t="str">
            <v>Max</v>
          </cell>
          <cell r="AB150" t="str">
            <v>MSL &amp; TSL</v>
          </cell>
          <cell r="AC150" t="str">
            <v>Entry &amp; TRP</v>
          </cell>
          <cell r="AE150" t="str">
            <v xml:space="preserve">CE : Entry </v>
          </cell>
          <cell r="AF150" t="str">
            <v xml:space="preserve"> - </v>
          </cell>
          <cell r="AG150">
            <v>0.7</v>
          </cell>
          <cell r="AJ150" t="str">
            <v xml:space="preserve"> - </v>
          </cell>
          <cell r="AK150" t="str">
            <v>OPT : PRV : 1D 75 MinsLL</v>
          </cell>
          <cell r="AL150">
            <v>0.1</v>
          </cell>
          <cell r="AM150">
            <v>2</v>
          </cell>
          <cell r="AN150" t="str">
            <v>OPT : PRV : 1D 75 MinsLL</v>
          </cell>
          <cell r="AP150">
            <v>1</v>
          </cell>
          <cell r="AQ150">
            <v>0</v>
          </cell>
          <cell r="AS150">
            <v>1</v>
          </cell>
          <cell r="AT150">
            <v>0</v>
          </cell>
          <cell r="AV150">
            <v>1</v>
          </cell>
          <cell r="AW150">
            <v>0</v>
          </cell>
          <cell r="AY150">
            <v>1</v>
          </cell>
          <cell r="AZ150">
            <v>0</v>
          </cell>
          <cell r="BB150">
            <v>1</v>
          </cell>
          <cell r="BD150" t="str">
            <v xml:space="preserve">ORPT </v>
          </cell>
          <cell r="BE150">
            <v>0.39235416666666667</v>
          </cell>
          <cell r="BF150">
            <v>0.39235416666666667</v>
          </cell>
          <cell r="BG150">
            <v>0.38541666666666669</v>
          </cell>
          <cell r="BI150" t="str">
            <v>Bull / 
Bull CF</v>
          </cell>
          <cell r="BJ150" t="str">
            <v>Call</v>
          </cell>
          <cell r="BK150">
            <v>0.1</v>
          </cell>
          <cell r="BL150">
            <v>0.1</v>
          </cell>
          <cell r="BN150" t="str">
            <v>Bull | 
Bull CF</v>
          </cell>
          <cell r="BO150" t="str">
            <v>Call</v>
          </cell>
          <cell r="BP150" t="str">
            <v>SPT : PRV : 1D 75 Mins HH</v>
          </cell>
          <cell r="BQ150" t="str">
            <v>+</v>
          </cell>
          <cell r="BR150">
            <v>0.05</v>
          </cell>
          <cell r="BS150" t="str">
            <v>Round Down</v>
          </cell>
          <cell r="BT150" t="str">
            <v>SPT : PRV : 1D 75 Mins HH</v>
          </cell>
          <cell r="BW150" t="str">
            <v>Round Down</v>
          </cell>
          <cell r="BX150" t="str">
            <v>-</v>
          </cell>
          <cell r="BY150">
            <v>1</v>
          </cell>
          <cell r="CE150" t="str">
            <v>SPT : PRV : 1D 75 Mins HH</v>
          </cell>
          <cell r="CG150" t="str">
            <v>SPT : PRV : 1D 75 Mins HH</v>
          </cell>
          <cell r="CI150">
            <v>1000</v>
          </cell>
          <cell r="CU150">
            <v>0.625</v>
          </cell>
        </row>
        <row r="151">
          <cell r="B151" t="str">
            <v>S25B</v>
          </cell>
          <cell r="C151" t="str">
            <v>Unique Code</v>
          </cell>
          <cell r="D151" t="str">
            <v>BANKNIFTY_OP_BUY_WK_SAME_1D 75 Mins_1D 75 Mins</v>
          </cell>
          <cell r="F151" t="str">
            <v>Put</v>
          </cell>
          <cell r="G151" t="str">
            <v>OPT : PRV : 1D 75 Mins HH</v>
          </cell>
          <cell r="H151" t="str">
            <v xml:space="preserve"> + </v>
          </cell>
          <cell r="I151">
            <v>0.1</v>
          </cell>
          <cell r="J151">
            <v>2</v>
          </cell>
          <cell r="L151" t="str">
            <v xml:space="preserve">PE : Entry </v>
          </cell>
          <cell r="M151" t="str">
            <v xml:space="preserve"> + </v>
          </cell>
          <cell r="N151">
            <v>0.7</v>
          </cell>
          <cell r="O151">
            <v>1</v>
          </cell>
          <cell r="AA151" t="str">
            <v>Max</v>
          </cell>
          <cell r="AB151" t="str">
            <v>MSL &amp; TSL</v>
          </cell>
          <cell r="AC151" t="str">
            <v>Entry &amp; TRP</v>
          </cell>
          <cell r="AE151" t="str">
            <v xml:space="preserve">PE : Entry </v>
          </cell>
          <cell r="AF151" t="str">
            <v xml:space="preserve"> - </v>
          </cell>
          <cell r="AG151">
            <v>0.7</v>
          </cell>
          <cell r="AJ151" t="str">
            <v xml:space="preserve"> - </v>
          </cell>
          <cell r="AK151" t="str">
            <v>OPT : PRV : 1D 75 MinsLL</v>
          </cell>
          <cell r="AL151">
            <v>0.1</v>
          </cell>
          <cell r="AM151">
            <v>2</v>
          </cell>
          <cell r="AN151" t="str">
            <v>OPT : PRV : 1D 75 MinsLL</v>
          </cell>
          <cell r="AP151">
            <v>1</v>
          </cell>
          <cell r="AQ151">
            <v>0</v>
          </cell>
          <cell r="AS151">
            <v>1</v>
          </cell>
          <cell r="AT151">
            <v>0</v>
          </cell>
          <cell r="AV151">
            <v>1</v>
          </cell>
          <cell r="AW151">
            <v>0</v>
          </cell>
          <cell r="AY151">
            <v>1</v>
          </cell>
          <cell r="AZ151">
            <v>0</v>
          </cell>
          <cell r="BB151">
            <v>1</v>
          </cell>
          <cell r="BD151" t="str">
            <v xml:space="preserve"> RC. Time</v>
          </cell>
          <cell r="BE151">
            <v>0.39582638888888888</v>
          </cell>
          <cell r="BF151">
            <v>0.39582638888888888</v>
          </cell>
          <cell r="BG151" t="str">
            <v>N.A.</v>
          </cell>
          <cell r="BJ151" t="str">
            <v>Put</v>
          </cell>
          <cell r="BK151">
            <v>0.1</v>
          </cell>
          <cell r="BL151">
            <v>0.1</v>
          </cell>
          <cell r="BO151" t="str">
            <v>Put</v>
          </cell>
          <cell r="BP151" t="str">
            <v>SPT : PRV : 1D 75 Mins LL</v>
          </cell>
          <cell r="BQ151" t="str">
            <v>-</v>
          </cell>
          <cell r="BR151">
            <v>0.05</v>
          </cell>
          <cell r="BS151" t="str">
            <v>Round Up</v>
          </cell>
          <cell r="BT151" t="str">
            <v>SPT : PRV : 1D 75 Mins LL</v>
          </cell>
          <cell r="BW151" t="str">
            <v>Round Up</v>
          </cell>
          <cell r="BX151" t="str">
            <v>+</v>
          </cell>
          <cell r="BY151">
            <v>1</v>
          </cell>
          <cell r="CE151" t="str">
            <v>SPT : PRV : 1D 75 Mins LL</v>
          </cell>
          <cell r="CG151" t="str">
            <v>SPT : PRV : 1D 75 Mins LL</v>
          </cell>
          <cell r="CI151">
            <v>1000</v>
          </cell>
        </row>
        <row r="152">
          <cell r="B152" t="str">
            <v>S25C</v>
          </cell>
          <cell r="C152" t="str">
            <v>Segment</v>
          </cell>
          <cell r="D152" t="str">
            <v>OPTIONS BUY</v>
          </cell>
          <cell r="E152" t="str">
            <v>Contract</v>
          </cell>
          <cell r="F152" t="str">
            <v>WEEKLY</v>
          </cell>
        </row>
        <row r="153">
          <cell r="B153" t="str">
            <v>S25D</v>
          </cell>
          <cell r="C153" t="str">
            <v>Symbol</v>
          </cell>
          <cell r="D153" t="str">
            <v>BANKNIFTY</v>
          </cell>
          <cell r="E153" t="str">
            <v>Bear / 
Bear CF</v>
          </cell>
          <cell r="F153" t="str">
            <v>Call</v>
          </cell>
          <cell r="G153" t="str">
            <v>OPT : PRV : 1D 75 Mins HH</v>
          </cell>
          <cell r="H153" t="str">
            <v xml:space="preserve"> + </v>
          </cell>
          <cell r="I153">
            <v>0.1</v>
          </cell>
          <cell r="J153">
            <v>2</v>
          </cell>
          <cell r="L153" t="str">
            <v xml:space="preserve">CE : Entry </v>
          </cell>
          <cell r="M153" t="str">
            <v xml:space="preserve"> + </v>
          </cell>
          <cell r="N153">
            <v>0.7</v>
          </cell>
          <cell r="O153">
            <v>1</v>
          </cell>
          <cell r="AA153" t="str">
            <v>Max</v>
          </cell>
          <cell r="AB153" t="str">
            <v>MSL &amp; TSL</v>
          </cell>
          <cell r="AC153" t="str">
            <v>Entry &amp; TRP</v>
          </cell>
          <cell r="AE153" t="str">
            <v xml:space="preserve">CE : Entry </v>
          </cell>
          <cell r="AF153" t="str">
            <v xml:space="preserve"> - </v>
          </cell>
          <cell r="AG153">
            <v>0.7</v>
          </cell>
          <cell r="AJ153" t="str">
            <v xml:space="preserve"> - </v>
          </cell>
          <cell r="AK153" t="str">
            <v>OPT : PRV : 1D 75 MinsLL</v>
          </cell>
          <cell r="AL153">
            <v>0.1</v>
          </cell>
          <cell r="AM153">
            <v>2</v>
          </cell>
          <cell r="AN153" t="str">
            <v>OPT : PRV : 1D 75 MinsLL</v>
          </cell>
          <cell r="AP153">
            <v>1</v>
          </cell>
          <cell r="AQ153">
            <v>0</v>
          </cell>
          <cell r="AS153">
            <v>1</v>
          </cell>
          <cell r="AT153">
            <v>0</v>
          </cell>
          <cell r="AV153">
            <v>1</v>
          </cell>
          <cell r="AW153">
            <v>0</v>
          </cell>
          <cell r="AY153">
            <v>1</v>
          </cell>
          <cell r="AZ153">
            <v>0</v>
          </cell>
          <cell r="BB153">
            <v>1</v>
          </cell>
          <cell r="BD153" t="str">
            <v>Market Start Time</v>
          </cell>
          <cell r="BE153">
            <v>0.38541666666666669</v>
          </cell>
          <cell r="BI153" t="str">
            <v>Bear / 
Bear CF</v>
          </cell>
          <cell r="BJ153" t="str">
            <v>Call</v>
          </cell>
          <cell r="BK153">
            <v>0.1</v>
          </cell>
          <cell r="BL153">
            <v>0.1</v>
          </cell>
          <cell r="BN153" t="str">
            <v>Bear | 
Bear CF</v>
          </cell>
          <cell r="BO153" t="str">
            <v>Call</v>
          </cell>
          <cell r="BP153" t="str">
            <v>SPT : PRV : 1D 75 Mins HH</v>
          </cell>
          <cell r="BQ153" t="str">
            <v>+</v>
          </cell>
          <cell r="BR153">
            <v>0.05</v>
          </cell>
          <cell r="BS153" t="str">
            <v>Round Down</v>
          </cell>
          <cell r="BT153" t="str">
            <v>SPT : PRV : 1D 75 Mins HH</v>
          </cell>
          <cell r="BW153" t="str">
            <v>Round Down</v>
          </cell>
          <cell r="BX153" t="str">
            <v>-</v>
          </cell>
          <cell r="BY153">
            <v>1</v>
          </cell>
          <cell r="CE153" t="str">
            <v>SPT : PRV : 1D 75 Mins HH</v>
          </cell>
          <cell r="CG153" t="str">
            <v>SPT : PRV : 1D 75 Mins HH</v>
          </cell>
          <cell r="CI153">
            <v>1000</v>
          </cell>
        </row>
        <row r="154">
          <cell r="B154" t="str">
            <v>S25E</v>
          </cell>
          <cell r="C154" t="str">
            <v>No. of Targets</v>
          </cell>
          <cell r="D154" t="str">
            <v>1 &amp; APS</v>
          </cell>
          <cell r="F154" t="str">
            <v>Put</v>
          </cell>
          <cell r="G154" t="str">
            <v>OPT : PRV : 1D 75 Mins HH</v>
          </cell>
          <cell r="H154" t="str">
            <v xml:space="preserve"> + </v>
          </cell>
          <cell r="I154">
            <v>0.1</v>
          </cell>
          <cell r="J154">
            <v>2</v>
          </cell>
          <cell r="L154" t="str">
            <v xml:space="preserve">PE : Entry </v>
          </cell>
          <cell r="M154" t="str">
            <v xml:space="preserve"> + </v>
          </cell>
          <cell r="N154">
            <v>0.7</v>
          </cell>
          <cell r="O154">
            <v>1</v>
          </cell>
          <cell r="AA154" t="str">
            <v>Max</v>
          </cell>
          <cell r="AB154" t="str">
            <v>MSL &amp; TSL</v>
          </cell>
          <cell r="AC154" t="str">
            <v>Entry &amp; TRP</v>
          </cell>
          <cell r="AE154" t="str">
            <v xml:space="preserve">PE : Entry </v>
          </cell>
          <cell r="AF154" t="str">
            <v xml:space="preserve"> - </v>
          </cell>
          <cell r="AG154">
            <v>0.7</v>
          </cell>
          <cell r="AJ154" t="str">
            <v xml:space="preserve"> - </v>
          </cell>
          <cell r="AK154" t="str">
            <v>OPT : PRV : 1D 75 MinsLL</v>
          </cell>
          <cell r="AL154">
            <v>0.1</v>
          </cell>
          <cell r="AM154">
            <v>2</v>
          </cell>
          <cell r="AN154" t="str">
            <v>OPT : PRV : 1D 75 MinsLL</v>
          </cell>
          <cell r="AP154">
            <v>1</v>
          </cell>
          <cell r="AQ154">
            <v>0</v>
          </cell>
          <cell r="AS154">
            <v>1</v>
          </cell>
          <cell r="AT154">
            <v>0</v>
          </cell>
          <cell r="AV154">
            <v>1</v>
          </cell>
          <cell r="AW154">
            <v>0</v>
          </cell>
          <cell r="AY154">
            <v>1</v>
          </cell>
          <cell r="AZ154">
            <v>0</v>
          </cell>
          <cell r="BB154">
            <v>1</v>
          </cell>
          <cell r="BD154" t="str">
            <v>Market End Time</v>
          </cell>
          <cell r="BE154">
            <v>0.64583333333333337</v>
          </cell>
          <cell r="BJ154" t="str">
            <v>Put</v>
          </cell>
          <cell r="BK154">
            <v>0.1</v>
          </cell>
          <cell r="BL154">
            <v>0.1</v>
          </cell>
          <cell r="BO154" t="str">
            <v>Put</v>
          </cell>
          <cell r="BP154" t="str">
            <v>SPT : PRV : 1D 75 Mins LL</v>
          </cell>
          <cell r="BQ154" t="str">
            <v>-</v>
          </cell>
          <cell r="BR154">
            <v>0.05</v>
          </cell>
          <cell r="BS154" t="str">
            <v>Round Up</v>
          </cell>
          <cell r="BT154" t="str">
            <v>SPT : PRV : 1D 75 Mins LL</v>
          </cell>
          <cell r="BW154" t="str">
            <v>Round Up</v>
          </cell>
          <cell r="BX154" t="str">
            <v>+</v>
          </cell>
          <cell r="BY154">
            <v>1</v>
          </cell>
          <cell r="CE154" t="str">
            <v>SPT : PRV : 1D 75 Mins LL</v>
          </cell>
          <cell r="CG154" t="str">
            <v>SPT : PRV : 1D 75 Mins LL</v>
          </cell>
          <cell r="CI154">
            <v>1000</v>
          </cell>
        </row>
        <row r="156">
          <cell r="B156" t="str">
            <v>S26A</v>
          </cell>
          <cell r="C156" t="str">
            <v>Strategy Code</v>
          </cell>
          <cell r="D156" t="str">
            <v>S26</v>
          </cell>
          <cell r="E156" t="str">
            <v>Bull / 
Bull CF</v>
          </cell>
          <cell r="F156" t="str">
            <v>Call</v>
          </cell>
          <cell r="G156" t="str">
            <v>OPT : PRV : 2D HH</v>
          </cell>
          <cell r="H156" t="str">
            <v xml:space="preserve"> + </v>
          </cell>
          <cell r="I156">
            <v>0.05</v>
          </cell>
          <cell r="J156">
            <v>5</v>
          </cell>
          <cell r="L156" t="str">
            <v xml:space="preserve">CE : Entry </v>
          </cell>
          <cell r="M156" t="str">
            <v xml:space="preserve"> + </v>
          </cell>
          <cell r="N156">
            <v>0.03</v>
          </cell>
          <cell r="O156">
            <v>1</v>
          </cell>
          <cell r="P156">
            <v>4.4999999999999998E-2</v>
          </cell>
          <cell r="Q156">
            <v>1</v>
          </cell>
          <cell r="R156">
            <v>0.06</v>
          </cell>
          <cell r="S156">
            <v>1</v>
          </cell>
          <cell r="T156">
            <v>0.08</v>
          </cell>
          <cell r="U156">
            <v>1</v>
          </cell>
          <cell r="V156" t="str">
            <v>TR PROFIT AFTER TGT 4</v>
          </cell>
          <cell r="W156">
            <v>1</v>
          </cell>
          <cell r="AA156" t="str">
            <v>Max</v>
          </cell>
          <cell r="AB156" t="str">
            <v>MSL &amp; TSL</v>
          </cell>
          <cell r="AC156" t="str">
            <v>Entry &amp; TRP</v>
          </cell>
          <cell r="AE156" t="str">
            <v xml:space="preserve">CE : Entry </v>
          </cell>
          <cell r="AF156" t="str">
            <v xml:space="preserve"> - </v>
          </cell>
          <cell r="AG156">
            <v>0.03</v>
          </cell>
          <cell r="AJ156" t="str">
            <v xml:space="preserve"> - </v>
          </cell>
          <cell r="AK156" t="str">
            <v>OPT : PRV : 3DLL</v>
          </cell>
          <cell r="AL156">
            <v>0.12</v>
          </cell>
          <cell r="AM156">
            <v>5</v>
          </cell>
          <cell r="AN156" t="str">
            <v>OPT : PRV : 3DLL</v>
          </cell>
          <cell r="AO156">
            <v>0.12</v>
          </cell>
          <cell r="AP156">
            <v>4</v>
          </cell>
          <cell r="AQ156" t="str">
            <v>OPT : PRV : 3DLL</v>
          </cell>
          <cell r="AR156">
            <v>0.12</v>
          </cell>
          <cell r="AS156">
            <v>3</v>
          </cell>
          <cell r="AT156" t="str">
            <v>OPT : PRV : 3DLL</v>
          </cell>
          <cell r="AU156">
            <v>0.12</v>
          </cell>
          <cell r="AV156">
            <v>2</v>
          </cell>
          <cell r="AW156" t="str">
            <v>OPT : PRV : 3DLL</v>
          </cell>
          <cell r="AX156">
            <v>0.12</v>
          </cell>
          <cell r="AY156">
            <v>1</v>
          </cell>
          <cell r="AZ156">
            <v>0</v>
          </cell>
          <cell r="BA156" t="str">
            <v>N.A.</v>
          </cell>
          <cell r="BB156">
            <v>0</v>
          </cell>
          <cell r="BD156" t="str">
            <v xml:space="preserve">ORPT </v>
          </cell>
          <cell r="BE156">
            <v>0.39235416666666667</v>
          </cell>
          <cell r="BF156">
            <v>0.39235416666666667</v>
          </cell>
          <cell r="BG156">
            <v>0.38541666666666669</v>
          </cell>
          <cell r="BI156" t="str">
            <v>Bull / 
Bull CF</v>
          </cell>
          <cell r="BJ156" t="str">
            <v>Call</v>
          </cell>
          <cell r="BK156">
            <v>0.05</v>
          </cell>
          <cell r="BL156">
            <v>0.12</v>
          </cell>
          <cell r="BN156" t="str">
            <v>Bull | 
Bull CF</v>
          </cell>
          <cell r="BO156" t="str">
            <v>Call</v>
          </cell>
          <cell r="BP156" t="str">
            <v>SPT : PRV : 2DHH</v>
          </cell>
          <cell r="BQ156" t="str">
            <v>-</v>
          </cell>
          <cell r="BR156">
            <v>0.03</v>
          </cell>
          <cell r="BS156" t="str">
            <v>Round Down</v>
          </cell>
          <cell r="BT156" t="str">
            <v>SPT : PRV : 2DHH</v>
          </cell>
          <cell r="BU156" t="str">
            <v>+</v>
          </cell>
          <cell r="BV156">
            <v>0.03</v>
          </cell>
          <cell r="BW156" t="str">
            <v>Round Down</v>
          </cell>
          <cell r="CE156" t="str">
            <v>SPT : PRV : 2DHH</v>
          </cell>
          <cell r="CF156">
            <v>0.08</v>
          </cell>
          <cell r="CI156">
            <v>100</v>
          </cell>
          <cell r="CL156" t="str">
            <v>Final Strike</v>
          </cell>
          <cell r="CR156">
            <v>0.03</v>
          </cell>
          <cell r="CS156">
            <v>0.03</v>
          </cell>
          <cell r="CU156">
            <v>0.625</v>
          </cell>
        </row>
        <row r="157">
          <cell r="B157" t="str">
            <v>S26B</v>
          </cell>
          <cell r="C157" t="str">
            <v>Unique Code</v>
          </cell>
          <cell r="D157" t="str">
            <v>STOCKS_OP_BUY_MT_DIFF_2D_4D</v>
          </cell>
          <cell r="F157" t="str">
            <v>Put</v>
          </cell>
          <cell r="G157" t="str">
            <v>OPT : PRV : 4D HH</v>
          </cell>
          <cell r="H157" t="str">
            <v xml:space="preserve"> + </v>
          </cell>
          <cell r="I157">
            <v>7.0000000000000007E-2</v>
          </cell>
          <cell r="J157">
            <v>5</v>
          </cell>
          <cell r="L157" t="str">
            <v xml:space="preserve">PE : Entry </v>
          </cell>
          <cell r="M157" t="str">
            <v xml:space="preserve"> + </v>
          </cell>
          <cell r="N157">
            <v>0.03</v>
          </cell>
          <cell r="O157">
            <v>1</v>
          </cell>
          <cell r="P157">
            <v>4.4999999999999998E-2</v>
          </cell>
          <cell r="Q157">
            <v>1</v>
          </cell>
          <cell r="R157">
            <v>0.06</v>
          </cell>
          <cell r="S157">
            <v>1</v>
          </cell>
          <cell r="T157">
            <v>0.08</v>
          </cell>
          <cell r="U157">
            <v>1</v>
          </cell>
          <cell r="V157" t="str">
            <v>TR PROFIT AFTER TGT 4</v>
          </cell>
          <cell r="W157">
            <v>1</v>
          </cell>
          <cell r="AA157" t="str">
            <v>Max</v>
          </cell>
          <cell r="AB157" t="str">
            <v>MSL &amp; TSL</v>
          </cell>
          <cell r="AC157" t="str">
            <v>Entry &amp; TRP</v>
          </cell>
          <cell r="AE157" t="str">
            <v xml:space="preserve">PE : Entry </v>
          </cell>
          <cell r="AF157" t="str">
            <v xml:space="preserve"> - </v>
          </cell>
          <cell r="AG157">
            <v>0.03</v>
          </cell>
          <cell r="AJ157" t="str">
            <v xml:space="preserve"> - </v>
          </cell>
          <cell r="AK157" t="str">
            <v>OPT : PRV : 2DLL</v>
          </cell>
          <cell r="AL157">
            <v>0.1</v>
          </cell>
          <cell r="AM157">
            <v>5</v>
          </cell>
          <cell r="AN157" t="str">
            <v>OPT : PRV : 2DLL</v>
          </cell>
          <cell r="AO157">
            <v>0.1</v>
          </cell>
          <cell r="AP157">
            <v>4</v>
          </cell>
          <cell r="AQ157" t="str">
            <v>OPT : PRV : 2DLL</v>
          </cell>
          <cell r="AR157">
            <v>0.1</v>
          </cell>
          <cell r="AS157">
            <v>3</v>
          </cell>
          <cell r="AT157" t="str">
            <v>OPT : PRV : 2DLL</v>
          </cell>
          <cell r="AU157">
            <v>0.1</v>
          </cell>
          <cell r="AV157">
            <v>2</v>
          </cell>
          <cell r="AW157" t="str">
            <v>OPT : PRV : 2DLL</v>
          </cell>
          <cell r="AX157">
            <v>0.1</v>
          </cell>
          <cell r="AY157">
            <v>1</v>
          </cell>
          <cell r="AZ157">
            <v>0</v>
          </cell>
          <cell r="BA157" t="str">
            <v>N.A.</v>
          </cell>
          <cell r="BB157">
            <v>0</v>
          </cell>
          <cell r="BD157" t="str">
            <v xml:space="preserve"> RC. Time</v>
          </cell>
          <cell r="BE157">
            <v>0.39582638888888888</v>
          </cell>
          <cell r="BF157">
            <v>0.39582638888888888</v>
          </cell>
          <cell r="BG157" t="str">
            <v>N.A.</v>
          </cell>
          <cell r="BJ157" t="str">
            <v>Put</v>
          </cell>
          <cell r="BK157">
            <v>7.0000000000000007E-2</v>
          </cell>
          <cell r="BL157">
            <v>0.1</v>
          </cell>
          <cell r="BO157" t="str">
            <v>Put</v>
          </cell>
          <cell r="BP157" t="str">
            <v>SPT : PRV : 4DLL</v>
          </cell>
          <cell r="BQ157" t="str">
            <v>+</v>
          </cell>
          <cell r="BR157">
            <v>0.03</v>
          </cell>
          <cell r="BS157" t="str">
            <v>Round Up</v>
          </cell>
          <cell r="BT157" t="str">
            <v>SPT : PRV : 4DLL</v>
          </cell>
          <cell r="BU157" t="str">
            <v>-</v>
          </cell>
          <cell r="BV157">
            <v>0.03</v>
          </cell>
          <cell r="BW157" t="str">
            <v>Round Up</v>
          </cell>
          <cell r="CE157" t="str">
            <v>SPT : PRV : 4DLL</v>
          </cell>
          <cell r="CF157">
            <v>0.08</v>
          </cell>
          <cell r="CI157">
            <v>100</v>
          </cell>
          <cell r="CL157" t="str">
            <v>Final Strike</v>
          </cell>
          <cell r="CR157">
            <v>0.03</v>
          </cell>
          <cell r="CS157">
            <v>0.03</v>
          </cell>
        </row>
        <row r="158">
          <cell r="B158" t="str">
            <v>S26C</v>
          </cell>
          <cell r="C158" t="str">
            <v>Segment</v>
          </cell>
          <cell r="D158" t="str">
            <v>OPTIONS BUY</v>
          </cell>
          <cell r="E158" t="str">
            <v>Contract</v>
          </cell>
          <cell r="F158" t="str">
            <v>MONTHLY</v>
          </cell>
        </row>
        <row r="159">
          <cell r="B159" t="str">
            <v>S26D</v>
          </cell>
          <cell r="C159" t="str">
            <v>Symbol</v>
          </cell>
          <cell r="D159" t="str">
            <v>STOCKS</v>
          </cell>
          <cell r="E159" t="str">
            <v>Bear / 
Bear CF</v>
          </cell>
          <cell r="F159" t="str">
            <v>Call</v>
          </cell>
          <cell r="G159" t="str">
            <v>OPT : PRV : 4D HH</v>
          </cell>
          <cell r="H159" t="str">
            <v xml:space="preserve"> + </v>
          </cell>
          <cell r="I159">
            <v>7.0000000000000007E-2</v>
          </cell>
          <cell r="J159">
            <v>5</v>
          </cell>
          <cell r="L159" t="str">
            <v xml:space="preserve">CE : Entry </v>
          </cell>
          <cell r="M159" t="str">
            <v xml:space="preserve"> + </v>
          </cell>
          <cell r="N159">
            <v>0.03</v>
          </cell>
          <cell r="O159">
            <v>1</v>
          </cell>
          <cell r="P159">
            <v>4.4999999999999998E-2</v>
          </cell>
          <cell r="Q159">
            <v>1</v>
          </cell>
          <cell r="R159">
            <v>0.06</v>
          </cell>
          <cell r="S159">
            <v>1</v>
          </cell>
          <cell r="T159">
            <v>0.08</v>
          </cell>
          <cell r="U159">
            <v>1</v>
          </cell>
          <cell r="V159" t="str">
            <v>TR PROFIT AFTER TGT 4</v>
          </cell>
          <cell r="W159">
            <v>1</v>
          </cell>
          <cell r="AA159" t="str">
            <v>Max</v>
          </cell>
          <cell r="AB159" t="str">
            <v>MSL &amp; TSL</v>
          </cell>
          <cell r="AC159" t="str">
            <v>Entry &amp; TRP</v>
          </cell>
          <cell r="AE159" t="str">
            <v xml:space="preserve">CE : Entry </v>
          </cell>
          <cell r="AF159" t="str">
            <v xml:space="preserve"> - </v>
          </cell>
          <cell r="AG159">
            <v>0.03</v>
          </cell>
          <cell r="AJ159" t="str">
            <v xml:space="preserve"> - </v>
          </cell>
          <cell r="AK159" t="str">
            <v>OPT : PRV : 2DLL</v>
          </cell>
          <cell r="AL159">
            <v>0.1</v>
          </cell>
          <cell r="AM159">
            <v>5</v>
          </cell>
          <cell r="AN159" t="str">
            <v>OPT : PRV : 2DLL</v>
          </cell>
          <cell r="AO159">
            <v>0.1</v>
          </cell>
          <cell r="AP159">
            <v>4</v>
          </cell>
          <cell r="AQ159" t="str">
            <v>OPT : PRV : 2DLL</v>
          </cell>
          <cell r="AR159">
            <v>0.1</v>
          </cell>
          <cell r="AS159">
            <v>3</v>
          </cell>
          <cell r="AT159" t="str">
            <v>OPT : PRV : 2DLL</v>
          </cell>
          <cell r="AU159">
            <v>0.1</v>
          </cell>
          <cell r="AV159">
            <v>2</v>
          </cell>
          <cell r="AW159" t="str">
            <v>OPT : PRV : 2DLL</v>
          </cell>
          <cell r="AX159">
            <v>0.1</v>
          </cell>
          <cell r="AY159">
            <v>1</v>
          </cell>
          <cell r="AZ159">
            <v>0</v>
          </cell>
          <cell r="BA159" t="str">
            <v>N.A.</v>
          </cell>
          <cell r="BB159">
            <v>0</v>
          </cell>
          <cell r="BD159" t="str">
            <v>Market Start Time</v>
          </cell>
          <cell r="BE159">
            <v>0.38541666666666669</v>
          </cell>
          <cell r="BI159" t="str">
            <v>Bear / 
Bear CF</v>
          </cell>
          <cell r="BJ159" t="str">
            <v>Call</v>
          </cell>
          <cell r="BK159">
            <v>7.0000000000000007E-2</v>
          </cell>
          <cell r="BL159">
            <v>0.1</v>
          </cell>
          <cell r="BN159" t="str">
            <v>Bear | 
Bear CF</v>
          </cell>
          <cell r="BO159" t="str">
            <v>Call</v>
          </cell>
          <cell r="BP159" t="str">
            <v>SPT : PRV : 4DHH</v>
          </cell>
          <cell r="BQ159" t="str">
            <v>-</v>
          </cell>
          <cell r="BR159">
            <v>0.03</v>
          </cell>
          <cell r="BS159" t="str">
            <v>Round Down</v>
          </cell>
          <cell r="BT159" t="str">
            <v>SPT : PRV : 4DHH</v>
          </cell>
          <cell r="BU159" t="str">
            <v>+</v>
          </cell>
          <cell r="BV159">
            <v>0.03</v>
          </cell>
          <cell r="BW159" t="str">
            <v>Round Down</v>
          </cell>
          <cell r="CE159" t="str">
            <v>SPT : PRV : 4DHH</v>
          </cell>
          <cell r="CF159">
            <v>0.08</v>
          </cell>
          <cell r="CI159">
            <v>100</v>
          </cell>
          <cell r="CL159" t="str">
            <v>Final Strike</v>
          </cell>
          <cell r="CR159">
            <v>0.03</v>
          </cell>
          <cell r="CS159">
            <v>0.03</v>
          </cell>
        </row>
        <row r="160">
          <cell r="B160" t="str">
            <v>S26E</v>
          </cell>
          <cell r="C160" t="str">
            <v>No. of Targets</v>
          </cell>
          <cell r="D160" t="str">
            <v>4 &amp; APS</v>
          </cell>
          <cell r="F160" t="str">
            <v>Put</v>
          </cell>
          <cell r="G160" t="str">
            <v>OPT : PRV : 2D HH</v>
          </cell>
          <cell r="H160" t="str">
            <v xml:space="preserve"> + </v>
          </cell>
          <cell r="I160">
            <v>0.05</v>
          </cell>
          <cell r="J160">
            <v>5</v>
          </cell>
          <cell r="L160" t="str">
            <v xml:space="preserve">PE : Entry </v>
          </cell>
          <cell r="M160" t="str">
            <v xml:space="preserve"> + </v>
          </cell>
          <cell r="N160">
            <v>0.03</v>
          </cell>
          <cell r="O160">
            <v>1</v>
          </cell>
          <cell r="P160">
            <v>4.4999999999999998E-2</v>
          </cell>
          <cell r="Q160">
            <v>1</v>
          </cell>
          <cell r="R160">
            <v>0.06</v>
          </cell>
          <cell r="S160">
            <v>1</v>
          </cell>
          <cell r="T160">
            <v>0.08</v>
          </cell>
          <cell r="U160">
            <v>1</v>
          </cell>
          <cell r="V160" t="str">
            <v>TR PROFIT AFTER TGT 4</v>
          </cell>
          <cell r="W160">
            <v>1</v>
          </cell>
          <cell r="AA160" t="str">
            <v>Max</v>
          </cell>
          <cell r="AB160" t="str">
            <v>MSL &amp; TSL</v>
          </cell>
          <cell r="AC160" t="str">
            <v>Entry &amp; TRP</v>
          </cell>
          <cell r="AE160" t="str">
            <v xml:space="preserve">PE : Entry </v>
          </cell>
          <cell r="AF160" t="str">
            <v xml:space="preserve"> - </v>
          </cell>
          <cell r="AG160">
            <v>0.03</v>
          </cell>
          <cell r="AJ160" t="str">
            <v xml:space="preserve"> - </v>
          </cell>
          <cell r="AK160" t="str">
            <v>OPT : PRV : 3DLL</v>
          </cell>
          <cell r="AL160">
            <v>0.12</v>
          </cell>
          <cell r="AM160">
            <v>5</v>
          </cell>
          <cell r="AN160" t="str">
            <v>OPT : PRV : 3DLL</v>
          </cell>
          <cell r="AO160">
            <v>0.12</v>
          </cell>
          <cell r="AP160">
            <v>4</v>
          </cell>
          <cell r="AQ160" t="str">
            <v>OPT : PRV : 3DLL</v>
          </cell>
          <cell r="AR160">
            <v>0.12</v>
          </cell>
          <cell r="AS160">
            <v>3</v>
          </cell>
          <cell r="AT160" t="str">
            <v>OPT : PRV : 3DLL</v>
          </cell>
          <cell r="AU160">
            <v>0.12</v>
          </cell>
          <cell r="AV160">
            <v>2</v>
          </cell>
          <cell r="AW160" t="str">
            <v>OPT : PRV : 3DLL</v>
          </cell>
          <cell r="AX160">
            <v>0.12</v>
          </cell>
          <cell r="AY160">
            <v>1</v>
          </cell>
          <cell r="AZ160">
            <v>0</v>
          </cell>
          <cell r="BA160" t="str">
            <v>N.A.</v>
          </cell>
          <cell r="BB160">
            <v>0</v>
          </cell>
          <cell r="BD160" t="str">
            <v>Market End Time</v>
          </cell>
          <cell r="BE160">
            <v>0.64583333333333337</v>
          </cell>
          <cell r="BJ160" t="str">
            <v>Put</v>
          </cell>
          <cell r="BK160">
            <v>0.05</v>
          </cell>
          <cell r="BL160">
            <v>0.12</v>
          </cell>
          <cell r="BO160" t="str">
            <v>Put</v>
          </cell>
          <cell r="BP160" t="str">
            <v>SPT : PRV : 2DLL</v>
          </cell>
          <cell r="BQ160" t="str">
            <v>+</v>
          </cell>
          <cell r="BR160">
            <v>0.03</v>
          </cell>
          <cell r="BS160" t="str">
            <v>Round Up</v>
          </cell>
          <cell r="BT160" t="str">
            <v>SPT : PRV : 2DLL</v>
          </cell>
          <cell r="BU160" t="str">
            <v>-</v>
          </cell>
          <cell r="BV160">
            <v>0.03</v>
          </cell>
          <cell r="BW160" t="str">
            <v>Round Up</v>
          </cell>
          <cell r="CE160" t="str">
            <v>SPT : PRV : 2DLL</v>
          </cell>
          <cell r="CF160">
            <v>0.08</v>
          </cell>
          <cell r="CI160">
            <v>100</v>
          </cell>
          <cell r="CL160" t="str">
            <v>Final Strike</v>
          </cell>
          <cell r="CR160">
            <v>0.03</v>
          </cell>
          <cell r="CS160">
            <v>0.03</v>
          </cell>
        </row>
        <row r="162">
          <cell r="B162" t="str">
            <v>S27A</v>
          </cell>
          <cell r="C162" t="str">
            <v>Strategy Code</v>
          </cell>
          <cell r="D162" t="str">
            <v>S27</v>
          </cell>
          <cell r="E162" t="str">
            <v>Bull / 
Bull CF</v>
          </cell>
          <cell r="F162" t="str">
            <v>Call</v>
          </cell>
          <cell r="G162" t="str">
            <v>OPT : PRV : 2D HH</v>
          </cell>
          <cell r="H162" t="str">
            <v xml:space="preserve"> + </v>
          </cell>
          <cell r="I162">
            <v>0.05</v>
          </cell>
          <cell r="J162">
            <v>5</v>
          </cell>
          <cell r="L162" t="str">
            <v xml:space="preserve">CE : Entry </v>
          </cell>
          <cell r="M162" t="str">
            <v xml:space="preserve"> + </v>
          </cell>
          <cell r="N162">
            <v>0.03</v>
          </cell>
          <cell r="O162">
            <v>1</v>
          </cell>
          <cell r="P162">
            <v>4.4999999999999998E-2</v>
          </cell>
          <cell r="Q162">
            <v>1</v>
          </cell>
          <cell r="R162">
            <v>0.06</v>
          </cell>
          <cell r="S162">
            <v>1</v>
          </cell>
          <cell r="T162">
            <v>0.08</v>
          </cell>
          <cell r="U162">
            <v>1</v>
          </cell>
          <cell r="V162" t="str">
            <v>TR PROFIT AFTER TGT 4</v>
          </cell>
          <cell r="W162">
            <v>1</v>
          </cell>
          <cell r="AA162" t="str">
            <v>Max</v>
          </cell>
          <cell r="AB162" t="str">
            <v>MSL &amp; TSL</v>
          </cell>
          <cell r="AC162" t="str">
            <v>Entry &amp; TRP</v>
          </cell>
          <cell r="AE162" t="str">
            <v xml:space="preserve">CE : Entry </v>
          </cell>
          <cell r="AF162" t="str">
            <v xml:space="preserve"> - </v>
          </cell>
          <cell r="AG162">
            <v>0.03</v>
          </cell>
          <cell r="AJ162" t="str">
            <v xml:space="preserve"> - </v>
          </cell>
          <cell r="AM162">
            <v>5</v>
          </cell>
          <cell r="AP162">
            <v>4</v>
          </cell>
          <cell r="AS162">
            <v>3</v>
          </cell>
          <cell r="AV162">
            <v>2</v>
          </cell>
          <cell r="AY162">
            <v>1</v>
          </cell>
          <cell r="BD162" t="str">
            <v xml:space="preserve">ORPT </v>
          </cell>
          <cell r="BE162">
            <v>0.39235416666666667</v>
          </cell>
          <cell r="BF162">
            <v>0.39235416666666667</v>
          </cell>
          <cell r="BG162">
            <v>0.38541666666666669</v>
          </cell>
          <cell r="BI162" t="str">
            <v>Bull / 
Bull CF</v>
          </cell>
          <cell r="BJ162" t="str">
            <v>Call</v>
          </cell>
          <cell r="BK162">
            <v>0.05</v>
          </cell>
          <cell r="BN162" t="str">
            <v>Bull | 
Bull CF</v>
          </cell>
          <cell r="BO162" t="str">
            <v>Call</v>
          </cell>
          <cell r="BP162" t="str">
            <v>SPT : PRV : 2DHH</v>
          </cell>
          <cell r="BS162" t="str">
            <v>Round off to the Nearest Strike</v>
          </cell>
          <cell r="BT162" t="str">
            <v>SPT : PRV : 2DHH</v>
          </cell>
          <cell r="BW162" t="str">
            <v>Nearest Strike</v>
          </cell>
          <cell r="BX162" t="str">
            <v>-</v>
          </cell>
          <cell r="BY162">
            <v>1</v>
          </cell>
          <cell r="BZ162" t="str">
            <v>SPT : PRV : 2DHH</v>
          </cell>
          <cell r="CA162" t="str">
            <v>Nearest Strike</v>
          </cell>
          <cell r="CB162" t="str">
            <v>+</v>
          </cell>
          <cell r="CC162">
            <v>1</v>
          </cell>
          <cell r="CI162">
            <v>100</v>
          </cell>
          <cell r="CL162" t="str">
            <v>Final Strike</v>
          </cell>
          <cell r="CU162">
            <v>0.625</v>
          </cell>
        </row>
        <row r="163">
          <cell r="B163" t="str">
            <v>S27B</v>
          </cell>
          <cell r="C163" t="str">
            <v>Unique Code</v>
          </cell>
          <cell r="D163" t="str">
            <v>STOCKS_OP_BUY_MT_DIFF_2D_2D</v>
          </cell>
          <cell r="F163" t="str">
            <v>Put</v>
          </cell>
          <cell r="AM163">
            <v>0</v>
          </cell>
          <cell r="BD163" t="str">
            <v xml:space="preserve"> RC. Time</v>
          </cell>
          <cell r="BE163">
            <v>0.39582638888888888</v>
          </cell>
          <cell r="BF163">
            <v>0.39582638888888888</v>
          </cell>
          <cell r="BG163" t="str">
            <v>N.A.</v>
          </cell>
          <cell r="BJ163" t="str">
            <v>Put</v>
          </cell>
          <cell r="BO163" t="str">
            <v>Put</v>
          </cell>
          <cell r="BT163">
            <v>0</v>
          </cell>
          <cell r="BZ163">
            <v>0</v>
          </cell>
          <cell r="CE163">
            <v>0</v>
          </cell>
          <cell r="CG163">
            <v>0</v>
          </cell>
          <cell r="CL163" t="str">
            <v>Final Strike</v>
          </cell>
        </row>
        <row r="164">
          <cell r="B164" t="str">
            <v>S27C</v>
          </cell>
          <cell r="C164" t="str">
            <v>Segment</v>
          </cell>
          <cell r="D164" t="str">
            <v>OPTIONS BUY</v>
          </cell>
          <cell r="E164" t="str">
            <v>Contract</v>
          </cell>
          <cell r="F164" t="str">
            <v>MONTHLY</v>
          </cell>
        </row>
        <row r="165">
          <cell r="B165" t="str">
            <v>S27D</v>
          </cell>
          <cell r="C165" t="str">
            <v>Symbol</v>
          </cell>
          <cell r="D165" t="str">
            <v>STOCKS</v>
          </cell>
          <cell r="E165" t="str">
            <v>Bear / 
Bear CF</v>
          </cell>
          <cell r="F165" t="str">
            <v>Call</v>
          </cell>
          <cell r="AM165">
            <v>0</v>
          </cell>
          <cell r="BD165" t="str">
            <v>Market Start Time</v>
          </cell>
          <cell r="BE165">
            <v>0.38541666666666669</v>
          </cell>
          <cell r="BI165" t="str">
            <v>Bear / 
Bear CF</v>
          </cell>
          <cell r="BJ165" t="str">
            <v>Call</v>
          </cell>
          <cell r="BN165" t="str">
            <v>Bear | 
Bear CF</v>
          </cell>
          <cell r="BO165" t="str">
            <v>Call</v>
          </cell>
          <cell r="CL165" t="str">
            <v>Final Strike</v>
          </cell>
        </row>
        <row r="166">
          <cell r="B166" t="str">
            <v>S27E</v>
          </cell>
          <cell r="C166" t="str">
            <v>No. of Targets</v>
          </cell>
          <cell r="D166" t="str">
            <v>4 &amp; APS</v>
          </cell>
          <cell r="F166" t="str">
            <v>Put</v>
          </cell>
          <cell r="G166" t="str">
            <v>OPT : PRV : 2D HH</v>
          </cell>
          <cell r="H166" t="str">
            <v xml:space="preserve"> + </v>
          </cell>
          <cell r="I166">
            <v>0.05</v>
          </cell>
          <cell r="J166">
            <v>5</v>
          </cell>
          <cell r="L166" t="str">
            <v xml:space="preserve">PE : Entry </v>
          </cell>
          <cell r="M166" t="str">
            <v xml:space="preserve"> + </v>
          </cell>
          <cell r="N166">
            <v>0.03</v>
          </cell>
          <cell r="O166">
            <v>1</v>
          </cell>
          <cell r="P166">
            <v>4.4999999999999998E-2</v>
          </cell>
          <cell r="Q166">
            <v>1</v>
          </cell>
          <cell r="R166">
            <v>0.06</v>
          </cell>
          <cell r="S166">
            <v>1</v>
          </cell>
          <cell r="T166">
            <v>0.08</v>
          </cell>
          <cell r="U166">
            <v>1</v>
          </cell>
          <cell r="V166" t="str">
            <v>TR PROFIT AFTER TGT 4</v>
          </cell>
          <cell r="W166">
            <v>1</v>
          </cell>
          <cell r="AA166" t="str">
            <v>Max</v>
          </cell>
          <cell r="AB166" t="str">
            <v>MSL &amp; TSL</v>
          </cell>
          <cell r="AC166" t="str">
            <v>Entry &amp; TRP</v>
          </cell>
          <cell r="AE166" t="str">
            <v xml:space="preserve">PE : Entry </v>
          </cell>
          <cell r="AF166" t="str">
            <v xml:space="preserve"> - </v>
          </cell>
          <cell r="AG166">
            <v>0.03</v>
          </cell>
          <cell r="AJ166" t="str">
            <v xml:space="preserve"> - </v>
          </cell>
          <cell r="AM166">
            <v>5</v>
          </cell>
          <cell r="AP166">
            <v>4</v>
          </cell>
          <cell r="AS166">
            <v>3</v>
          </cell>
          <cell r="AV166">
            <v>2</v>
          </cell>
          <cell r="AY166">
            <v>1</v>
          </cell>
          <cell r="BD166" t="str">
            <v>Market End Time</v>
          </cell>
          <cell r="BE166">
            <v>0.64583333333333337</v>
          </cell>
          <cell r="BJ166" t="str">
            <v>Put</v>
          </cell>
          <cell r="BK166">
            <v>0.05</v>
          </cell>
          <cell r="BO166" t="str">
            <v>Put</v>
          </cell>
          <cell r="BP166" t="str">
            <v>SPT : PRV : 2DLL</v>
          </cell>
          <cell r="BS166" t="str">
            <v>Round off to the Nearest Strike</v>
          </cell>
          <cell r="BT166" t="str">
            <v>SPT : PRV : 2DLL</v>
          </cell>
          <cell r="BW166" t="str">
            <v>Nearest Strike</v>
          </cell>
          <cell r="BX166" t="str">
            <v>+</v>
          </cell>
          <cell r="BY166">
            <v>1</v>
          </cell>
          <cell r="BZ166" t="str">
            <v>SPT : PRV : 2DLL</v>
          </cell>
          <cell r="CA166" t="str">
            <v>Nearest Strike</v>
          </cell>
          <cell r="CB166" t="str">
            <v>-</v>
          </cell>
          <cell r="CC166">
            <v>1</v>
          </cell>
          <cell r="CI166">
            <v>100</v>
          </cell>
          <cell r="CL166" t="str">
            <v>Final Strike</v>
          </cell>
        </row>
        <row r="168">
          <cell r="B168" t="str">
            <v>S28A</v>
          </cell>
          <cell r="C168" t="str">
            <v>Strategy Code</v>
          </cell>
          <cell r="D168" t="str">
            <v>S28</v>
          </cell>
          <cell r="E168">
            <v>0</v>
          </cell>
          <cell r="F168" t="str">
            <v>Long</v>
          </cell>
          <cell r="G168" t="str">
            <v>SPT : DCC HH</v>
          </cell>
          <cell r="H168" t="str">
            <v xml:space="preserve"> + </v>
          </cell>
          <cell r="I168">
            <v>0.01</v>
          </cell>
          <cell r="J168">
            <v>1</v>
          </cell>
          <cell r="L168" t="str">
            <v xml:space="preserve">L : Entry </v>
          </cell>
          <cell r="M168" t="str">
            <v xml:space="preserve"> + </v>
          </cell>
          <cell r="N168">
            <v>0.125</v>
          </cell>
          <cell r="O168">
            <v>0.2</v>
          </cell>
          <cell r="P168">
            <v>0.25</v>
          </cell>
          <cell r="Q168">
            <v>0.2</v>
          </cell>
          <cell r="R168">
            <v>0.5</v>
          </cell>
          <cell r="S168">
            <v>0.1</v>
          </cell>
          <cell r="T168">
            <v>0.75</v>
          </cell>
          <cell r="U168">
            <v>0.1</v>
          </cell>
          <cell r="V168">
            <v>1</v>
          </cell>
          <cell r="W168">
            <v>0.1</v>
          </cell>
          <cell r="X168" t="str">
            <v>TR PROFIT AFTER TGT 5</v>
          </cell>
          <cell r="Y168">
            <v>0.3</v>
          </cell>
          <cell r="AA168" t="str">
            <v>Max</v>
          </cell>
          <cell r="AB168" t="str">
            <v>MSL &amp; TSL</v>
          </cell>
          <cell r="AC168" t="str">
            <v>Entry &amp; TRP</v>
          </cell>
          <cell r="AE168" t="str">
            <v>L : Entry</v>
          </cell>
          <cell r="AF168" t="str">
            <v xml:space="preserve"> - </v>
          </cell>
          <cell r="AG168">
            <v>0.25</v>
          </cell>
          <cell r="AJ168" t="str">
            <v xml:space="preserve"> - </v>
          </cell>
          <cell r="AK168" t="str">
            <v>SPT : PRV M : 20 SMA</v>
          </cell>
          <cell r="AM168">
            <v>1</v>
          </cell>
          <cell r="AN168" t="str">
            <v>SPT : PRV M : 20 SMA</v>
          </cell>
          <cell r="AO168" t="str">
            <v/>
          </cell>
          <cell r="AP168">
            <v>0.8</v>
          </cell>
          <cell r="AQ168" t="str">
            <v>SPT : PRV M : 20 SMA</v>
          </cell>
          <cell r="AR168" t="str">
            <v/>
          </cell>
          <cell r="AS168">
            <v>0.60000000000000009</v>
          </cell>
          <cell r="AT168" t="str">
            <v>SPT : PRV M : 20 SMA</v>
          </cell>
          <cell r="AU168" t="str">
            <v/>
          </cell>
          <cell r="AV168">
            <v>0.50000000000000011</v>
          </cell>
          <cell r="AW168" t="str">
            <v>SPT : PRV M : 20 SMA</v>
          </cell>
          <cell r="AX168" t="str">
            <v/>
          </cell>
          <cell r="AY168">
            <v>0.40000000000000013</v>
          </cell>
          <cell r="AZ168" t="str">
            <v>SPT : PRV M : 10 SMA</v>
          </cell>
          <cell r="BA168" t="str">
            <v/>
          </cell>
          <cell r="BB168">
            <v>0.30000000000000016</v>
          </cell>
          <cell r="BD168" t="str">
            <v xml:space="preserve">ORPT </v>
          </cell>
          <cell r="BE168">
            <v>0.38888194444444446</v>
          </cell>
          <cell r="BF168">
            <v>0.38888194444444446</v>
          </cell>
          <cell r="BG168">
            <v>0.38541666666666669</v>
          </cell>
          <cell r="BI168">
            <v>0</v>
          </cell>
          <cell r="BJ168" t="str">
            <v>Long</v>
          </cell>
          <cell r="BK168">
            <v>0.01</v>
          </cell>
          <cell r="BL168">
            <v>0.01</v>
          </cell>
          <cell r="BN168">
            <v>0</v>
          </cell>
          <cell r="BO168" t="str">
            <v>Long</v>
          </cell>
          <cell r="BP168" t="str">
            <v/>
          </cell>
          <cell r="CU168" t="str">
            <v/>
          </cell>
        </row>
        <row r="169">
          <cell r="B169" t="str">
            <v>S28B</v>
          </cell>
          <cell r="C169" t="str">
            <v>Unique Code</v>
          </cell>
          <cell r="D169" t="str">
            <v>STOCKS_EQ_DCC</v>
          </cell>
          <cell r="F169">
            <v>0</v>
          </cell>
          <cell r="G169" t="str">
            <v/>
          </cell>
          <cell r="H169" t="str">
            <v/>
          </cell>
          <cell r="L169" t="str">
            <v/>
          </cell>
          <cell r="M169" t="str">
            <v/>
          </cell>
          <cell r="AA169" t="str">
            <v/>
          </cell>
          <cell r="AB169" t="str">
            <v/>
          </cell>
          <cell r="AC169" t="str">
            <v/>
          </cell>
          <cell r="AE169" t="str">
            <v/>
          </cell>
          <cell r="AF169" t="str">
            <v/>
          </cell>
          <cell r="AJ169" t="str">
            <v/>
          </cell>
          <cell r="AK169" t="str">
            <v/>
          </cell>
          <cell r="AM169" t="str">
            <v/>
          </cell>
          <cell r="AN169" t="str">
            <v/>
          </cell>
          <cell r="AO169" t="str">
            <v/>
          </cell>
          <cell r="AP169" t="str">
            <v/>
          </cell>
          <cell r="AQ169" t="str">
            <v/>
          </cell>
          <cell r="AR169" t="str">
            <v/>
          </cell>
          <cell r="AS169" t="str">
            <v/>
          </cell>
          <cell r="AT169" t="str">
            <v/>
          </cell>
          <cell r="AU169" t="str">
            <v/>
          </cell>
          <cell r="AV169" t="str">
            <v/>
          </cell>
          <cell r="AW169" t="str">
            <v/>
          </cell>
          <cell r="AX169" t="str">
            <v/>
          </cell>
          <cell r="AY169" t="str">
            <v/>
          </cell>
          <cell r="AZ169" t="str">
            <v/>
          </cell>
          <cell r="BA169" t="str">
            <v/>
          </cell>
          <cell r="BB169" t="str">
            <v/>
          </cell>
          <cell r="BD169" t="str">
            <v xml:space="preserve"> RC. Time</v>
          </cell>
          <cell r="BE169">
            <v>0.39582638888888888</v>
          </cell>
          <cell r="BF169">
            <v>0.39582638888888888</v>
          </cell>
          <cell r="BG169" t="str">
            <v>N.A.</v>
          </cell>
          <cell r="BJ169">
            <v>0</v>
          </cell>
          <cell r="BO169">
            <v>0</v>
          </cell>
          <cell r="BP169" t="str">
            <v/>
          </cell>
        </row>
        <row r="170">
          <cell r="B170" t="str">
            <v>S28C</v>
          </cell>
          <cell r="C170" t="str">
            <v>Segment</v>
          </cell>
          <cell r="D170" t="str">
            <v>EQUITY</v>
          </cell>
          <cell r="E170" t="str">
            <v>Contract</v>
          </cell>
          <cell r="F170" t="str">
            <v>DCC</v>
          </cell>
        </row>
        <row r="171">
          <cell r="B171" t="str">
            <v>S28D</v>
          </cell>
          <cell r="C171" t="str">
            <v>Symbol</v>
          </cell>
          <cell r="D171" t="str">
            <v>STOCKS</v>
          </cell>
          <cell r="E171">
            <v>0</v>
          </cell>
          <cell r="F171">
            <v>0</v>
          </cell>
          <cell r="G171" t="str">
            <v/>
          </cell>
          <cell r="H171" t="str">
            <v/>
          </cell>
          <cell r="L171" t="str">
            <v/>
          </cell>
          <cell r="M171" t="str">
            <v/>
          </cell>
          <cell r="AA171" t="str">
            <v/>
          </cell>
          <cell r="AB171" t="str">
            <v/>
          </cell>
          <cell r="AC171" t="str">
            <v/>
          </cell>
          <cell r="AE171" t="str">
            <v/>
          </cell>
          <cell r="AF171" t="str">
            <v/>
          </cell>
          <cell r="AJ171" t="str">
            <v/>
          </cell>
          <cell r="AK171" t="str">
            <v/>
          </cell>
          <cell r="AM171">
            <v>0</v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/>
          </cell>
          <cell r="AY171" t="str">
            <v/>
          </cell>
          <cell r="AZ171" t="str">
            <v/>
          </cell>
          <cell r="BA171" t="str">
            <v/>
          </cell>
          <cell r="BB171" t="str">
            <v/>
          </cell>
          <cell r="BD171" t="str">
            <v>Market Start Time</v>
          </cell>
          <cell r="BE171">
            <v>0.38541666666666669</v>
          </cell>
          <cell r="BI171">
            <v>0</v>
          </cell>
          <cell r="BJ171">
            <v>0</v>
          </cell>
          <cell r="BN171">
            <v>0</v>
          </cell>
          <cell r="BO171">
            <v>0</v>
          </cell>
          <cell r="BP171" t="str">
            <v/>
          </cell>
        </row>
        <row r="172">
          <cell r="B172" t="str">
            <v>S28E</v>
          </cell>
          <cell r="C172" t="str">
            <v>No. of Targets</v>
          </cell>
          <cell r="D172" t="str">
            <v>5 &amp; APS</v>
          </cell>
          <cell r="F172">
            <v>0</v>
          </cell>
          <cell r="G172" t="str">
            <v/>
          </cell>
          <cell r="H172" t="str">
            <v/>
          </cell>
          <cell r="L172" t="str">
            <v/>
          </cell>
          <cell r="M172" t="str">
            <v/>
          </cell>
          <cell r="AA172" t="str">
            <v/>
          </cell>
          <cell r="AB172" t="str">
            <v/>
          </cell>
          <cell r="AC172" t="str">
            <v/>
          </cell>
          <cell r="AE172" t="str">
            <v/>
          </cell>
          <cell r="AF172" t="str">
            <v/>
          </cell>
          <cell r="AJ172" t="str">
            <v/>
          </cell>
          <cell r="AK172" t="str">
            <v/>
          </cell>
          <cell r="AM172">
            <v>0</v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/>
          </cell>
          <cell r="AY172" t="str">
            <v/>
          </cell>
          <cell r="AZ172" t="str">
            <v/>
          </cell>
          <cell r="BA172" t="str">
            <v/>
          </cell>
          <cell r="BB172" t="str">
            <v/>
          </cell>
          <cell r="BD172" t="str">
            <v>Market End Time</v>
          </cell>
          <cell r="BE172">
            <v>0.64583333333333337</v>
          </cell>
          <cell r="BJ172">
            <v>0</v>
          </cell>
          <cell r="BO172">
            <v>0</v>
          </cell>
          <cell r="BP172" t="str">
            <v/>
          </cell>
        </row>
        <row r="174">
          <cell r="B174" t="str">
            <v>S29A</v>
          </cell>
          <cell r="C174" t="str">
            <v>Strategy Code</v>
          </cell>
          <cell r="D174" t="str">
            <v>S29</v>
          </cell>
          <cell r="E174">
            <v>0</v>
          </cell>
          <cell r="F174" t="str">
            <v>Long</v>
          </cell>
          <cell r="G174" t="str">
            <v>SPT : WCC HH</v>
          </cell>
          <cell r="H174" t="str">
            <v xml:space="preserve"> + </v>
          </cell>
          <cell r="I174">
            <v>0.01</v>
          </cell>
          <cell r="J174">
            <v>1</v>
          </cell>
          <cell r="L174" t="str">
            <v xml:space="preserve">L : Entry </v>
          </cell>
          <cell r="M174" t="str">
            <v xml:space="preserve"> + </v>
          </cell>
          <cell r="N174">
            <v>0.125</v>
          </cell>
          <cell r="O174">
            <v>0.2</v>
          </cell>
          <cell r="P174">
            <v>0.25</v>
          </cell>
          <cell r="Q174">
            <v>0.2</v>
          </cell>
          <cell r="R174">
            <v>0.5</v>
          </cell>
          <cell r="S174">
            <v>0.1</v>
          </cell>
          <cell r="T174">
            <v>0.75</v>
          </cell>
          <cell r="U174">
            <v>0.1</v>
          </cell>
          <cell r="V174">
            <v>1</v>
          </cell>
          <cell r="W174">
            <v>0.1</v>
          </cell>
          <cell r="X174" t="str">
            <v>TR PROFIT AFTER TGT 5</v>
          </cell>
          <cell r="Y174">
            <v>0.3</v>
          </cell>
          <cell r="AA174" t="str">
            <v>Max</v>
          </cell>
          <cell r="AB174" t="str">
            <v>MSL &amp; TSL</v>
          </cell>
          <cell r="AC174" t="str">
            <v>Entry &amp; TRP</v>
          </cell>
          <cell r="AE174" t="str">
            <v>L : Entry</v>
          </cell>
          <cell r="AF174" t="str">
            <v xml:space="preserve"> - </v>
          </cell>
          <cell r="AG174">
            <v>0.25</v>
          </cell>
          <cell r="AJ174" t="str">
            <v xml:space="preserve"> - </v>
          </cell>
          <cell r="AK174" t="str">
            <v>SPT : PRV M : 20 SMA</v>
          </cell>
          <cell r="AL174" t="str">
            <v/>
          </cell>
          <cell r="AM174">
            <v>1</v>
          </cell>
          <cell r="AN174" t="str">
            <v>SPT : PRV M : 20 SMA</v>
          </cell>
          <cell r="AO174" t="str">
            <v/>
          </cell>
          <cell r="AP174">
            <v>0.8</v>
          </cell>
          <cell r="AQ174" t="str">
            <v>SPT : PRV M : 20 SMA</v>
          </cell>
          <cell r="AR174" t="str">
            <v/>
          </cell>
          <cell r="AS174">
            <v>0.60000000000000009</v>
          </cell>
          <cell r="AT174" t="str">
            <v>SPT : PRV M : 20 SMA</v>
          </cell>
          <cell r="AU174" t="str">
            <v/>
          </cell>
          <cell r="AV174">
            <v>0.50000000000000011</v>
          </cell>
          <cell r="AW174" t="str">
            <v>SPT : PRV M : 20 SMA</v>
          </cell>
          <cell r="AX174" t="str">
            <v/>
          </cell>
          <cell r="AY174">
            <v>0.40000000000000013</v>
          </cell>
          <cell r="AZ174" t="str">
            <v>SPT : PRV M : 10 SMA</v>
          </cell>
          <cell r="BA174" t="str">
            <v/>
          </cell>
          <cell r="BB174">
            <v>0.30000000000000016</v>
          </cell>
          <cell r="BD174" t="str">
            <v xml:space="preserve">ORPT </v>
          </cell>
          <cell r="BE174">
            <v>0.38888194444444446</v>
          </cell>
          <cell r="BF174">
            <v>0.38888194444444446</v>
          </cell>
          <cell r="BG174">
            <v>0.38541666666666669</v>
          </cell>
          <cell r="BI174">
            <v>0</v>
          </cell>
          <cell r="BJ174" t="str">
            <v>Long</v>
          </cell>
          <cell r="BK174">
            <v>0.01</v>
          </cell>
          <cell r="BL174">
            <v>0.01</v>
          </cell>
          <cell r="BN174">
            <v>0</v>
          </cell>
          <cell r="BO174" t="str">
            <v>Long</v>
          </cell>
          <cell r="BP174" t="str">
            <v/>
          </cell>
          <cell r="CU174" t="str">
            <v/>
          </cell>
        </row>
        <row r="175">
          <cell r="B175" t="str">
            <v>S29B</v>
          </cell>
          <cell r="C175" t="str">
            <v>Unique Code</v>
          </cell>
          <cell r="D175" t="str">
            <v>STOCKS_EQ_WCC</v>
          </cell>
          <cell r="F175">
            <v>0</v>
          </cell>
          <cell r="G175" t="str">
            <v/>
          </cell>
          <cell r="H175" t="str">
            <v/>
          </cell>
          <cell r="L175" t="str">
            <v/>
          </cell>
          <cell r="M175" t="str">
            <v/>
          </cell>
          <cell r="AA175" t="str">
            <v/>
          </cell>
          <cell r="AB175" t="str">
            <v/>
          </cell>
          <cell r="AC175" t="str">
            <v/>
          </cell>
          <cell r="AE175" t="str">
            <v/>
          </cell>
          <cell r="AF175" t="str">
            <v/>
          </cell>
          <cell r="AJ175" t="str">
            <v/>
          </cell>
          <cell r="AK175" t="str">
            <v/>
          </cell>
          <cell r="AL175" t="str">
            <v/>
          </cell>
          <cell r="AM175" t="str">
            <v/>
          </cell>
          <cell r="AN175" t="str">
            <v/>
          </cell>
          <cell r="AO175" t="str">
            <v/>
          </cell>
          <cell r="AP175" t="str">
            <v/>
          </cell>
          <cell r="AQ175" t="str">
            <v/>
          </cell>
          <cell r="AR175" t="str">
            <v/>
          </cell>
          <cell r="AS175" t="str">
            <v/>
          </cell>
          <cell r="AT175" t="str">
            <v/>
          </cell>
          <cell r="AU175" t="str">
            <v/>
          </cell>
          <cell r="AV175" t="str">
            <v/>
          </cell>
          <cell r="AW175" t="str">
            <v/>
          </cell>
          <cell r="AX175" t="str">
            <v/>
          </cell>
          <cell r="AY175" t="str">
            <v/>
          </cell>
          <cell r="AZ175" t="str">
            <v/>
          </cell>
          <cell r="BA175" t="str">
            <v/>
          </cell>
          <cell r="BB175" t="str">
            <v/>
          </cell>
          <cell r="BD175" t="str">
            <v xml:space="preserve"> RC. Time</v>
          </cell>
          <cell r="BE175">
            <v>0.39582638888888888</v>
          </cell>
          <cell r="BF175">
            <v>0.39582638888888888</v>
          </cell>
          <cell r="BG175" t="str">
            <v>N.A.</v>
          </cell>
          <cell r="BJ175">
            <v>0</v>
          </cell>
          <cell r="BO175">
            <v>0</v>
          </cell>
          <cell r="BP175" t="str">
            <v/>
          </cell>
        </row>
        <row r="176">
          <cell r="B176" t="str">
            <v>S29C</v>
          </cell>
          <cell r="C176" t="str">
            <v>Segment</v>
          </cell>
          <cell r="D176" t="str">
            <v>EQUITY</v>
          </cell>
          <cell r="E176" t="str">
            <v>Contract</v>
          </cell>
          <cell r="F176" t="str">
            <v>WCC</v>
          </cell>
        </row>
        <row r="177">
          <cell r="B177" t="str">
            <v>S29D</v>
          </cell>
          <cell r="C177" t="str">
            <v>Symbol</v>
          </cell>
          <cell r="D177" t="str">
            <v>STOCKS</v>
          </cell>
          <cell r="E177">
            <v>0</v>
          </cell>
          <cell r="F177">
            <v>0</v>
          </cell>
          <cell r="G177" t="str">
            <v/>
          </cell>
          <cell r="H177" t="str">
            <v/>
          </cell>
          <cell r="L177" t="str">
            <v/>
          </cell>
          <cell r="M177" t="str">
            <v/>
          </cell>
          <cell r="AA177" t="str">
            <v/>
          </cell>
          <cell r="AB177" t="str">
            <v/>
          </cell>
          <cell r="AC177" t="str">
            <v/>
          </cell>
          <cell r="AE177" t="str">
            <v/>
          </cell>
          <cell r="AF177" t="str">
            <v/>
          </cell>
          <cell r="AJ177" t="str">
            <v/>
          </cell>
          <cell r="AK177" t="str">
            <v/>
          </cell>
          <cell r="AL177" t="str">
            <v/>
          </cell>
          <cell r="AM177">
            <v>0</v>
          </cell>
          <cell r="AN177" t="str">
            <v/>
          </cell>
          <cell r="AO177" t="str">
            <v/>
          </cell>
          <cell r="AP177" t="str">
            <v/>
          </cell>
          <cell r="AQ177" t="str">
            <v/>
          </cell>
          <cell r="AR177" t="str">
            <v/>
          </cell>
          <cell r="AS177" t="str">
            <v/>
          </cell>
          <cell r="AT177" t="str">
            <v/>
          </cell>
          <cell r="AU177" t="str">
            <v/>
          </cell>
          <cell r="AV177" t="str">
            <v/>
          </cell>
          <cell r="AW177" t="str">
            <v/>
          </cell>
          <cell r="AX177" t="str">
            <v/>
          </cell>
          <cell r="AY177" t="str">
            <v/>
          </cell>
          <cell r="AZ177" t="str">
            <v/>
          </cell>
          <cell r="BA177" t="str">
            <v/>
          </cell>
          <cell r="BB177" t="str">
            <v/>
          </cell>
          <cell r="BD177" t="str">
            <v>Market Start Time</v>
          </cell>
          <cell r="BE177">
            <v>0.38541666666666669</v>
          </cell>
          <cell r="BI177">
            <v>0</v>
          </cell>
          <cell r="BJ177">
            <v>0</v>
          </cell>
          <cell r="BN177">
            <v>0</v>
          </cell>
          <cell r="BO177">
            <v>0</v>
          </cell>
          <cell r="BP177" t="str">
            <v/>
          </cell>
        </row>
        <row r="178">
          <cell r="B178" t="str">
            <v>S29E</v>
          </cell>
          <cell r="C178" t="str">
            <v>No. of Targets</v>
          </cell>
          <cell r="D178" t="str">
            <v>5 &amp; APS</v>
          </cell>
          <cell r="F178">
            <v>0</v>
          </cell>
          <cell r="G178" t="str">
            <v/>
          </cell>
          <cell r="H178" t="str">
            <v/>
          </cell>
          <cell r="L178" t="str">
            <v/>
          </cell>
          <cell r="M178" t="str">
            <v/>
          </cell>
          <cell r="AA178" t="str">
            <v/>
          </cell>
          <cell r="AB178" t="str">
            <v/>
          </cell>
          <cell r="AC178" t="str">
            <v/>
          </cell>
          <cell r="AE178" t="str">
            <v/>
          </cell>
          <cell r="AF178" t="str">
            <v/>
          </cell>
          <cell r="AJ178" t="str">
            <v/>
          </cell>
          <cell r="AK178" t="str">
            <v/>
          </cell>
          <cell r="AL178" t="str">
            <v/>
          </cell>
          <cell r="AM178">
            <v>0</v>
          </cell>
          <cell r="AN178" t="str">
            <v/>
          </cell>
          <cell r="AO178" t="str">
            <v/>
          </cell>
          <cell r="AP178" t="str">
            <v/>
          </cell>
          <cell r="AQ178" t="str">
            <v/>
          </cell>
          <cell r="AR178" t="str">
            <v/>
          </cell>
          <cell r="AS178" t="str">
            <v/>
          </cell>
          <cell r="AT178" t="str">
            <v/>
          </cell>
          <cell r="AU178" t="str">
            <v/>
          </cell>
          <cell r="AV178" t="str">
            <v/>
          </cell>
          <cell r="AW178" t="str">
            <v/>
          </cell>
          <cell r="AX178" t="str">
            <v/>
          </cell>
          <cell r="AY178" t="str">
            <v/>
          </cell>
          <cell r="AZ178" t="str">
            <v/>
          </cell>
          <cell r="BA178" t="str">
            <v/>
          </cell>
          <cell r="BB178" t="str">
            <v/>
          </cell>
          <cell r="BD178" t="str">
            <v>Market End Time</v>
          </cell>
          <cell r="BE178">
            <v>0.64583333333333337</v>
          </cell>
          <cell r="BJ178">
            <v>0</v>
          </cell>
          <cell r="BO178">
            <v>0</v>
          </cell>
          <cell r="BP178" t="str">
            <v/>
          </cell>
        </row>
        <row r="180">
          <cell r="B180" t="str">
            <v>S30A</v>
          </cell>
          <cell r="C180" t="str">
            <v>Strategy Code</v>
          </cell>
          <cell r="D180" t="str">
            <v>S30</v>
          </cell>
          <cell r="E180">
            <v>0</v>
          </cell>
          <cell r="F180" t="str">
            <v>Long</v>
          </cell>
          <cell r="G180" t="str">
            <v>SPT : MCC HH</v>
          </cell>
          <cell r="H180" t="str">
            <v xml:space="preserve"> + </v>
          </cell>
          <cell r="I180">
            <v>0.01</v>
          </cell>
          <cell r="J180">
            <v>1</v>
          </cell>
          <cell r="L180" t="str">
            <v xml:space="preserve">L : Entry </v>
          </cell>
          <cell r="M180" t="str">
            <v xml:space="preserve"> + </v>
          </cell>
          <cell r="N180">
            <v>0.125</v>
          </cell>
          <cell r="O180">
            <v>0.2</v>
          </cell>
          <cell r="P180">
            <v>0.25</v>
          </cell>
          <cell r="Q180">
            <v>0.2</v>
          </cell>
          <cell r="R180">
            <v>0.5</v>
          </cell>
          <cell r="S180">
            <v>0.1</v>
          </cell>
          <cell r="T180">
            <v>0.75</v>
          </cell>
          <cell r="U180">
            <v>0.1</v>
          </cell>
          <cell r="V180">
            <v>1</v>
          </cell>
          <cell r="W180">
            <v>0.1</v>
          </cell>
          <cell r="X180" t="str">
            <v>TR PROFIT AFTER TGT 5</v>
          </cell>
          <cell r="Y180">
            <v>0.3</v>
          </cell>
          <cell r="AA180" t="str">
            <v>Max</v>
          </cell>
          <cell r="AB180" t="str">
            <v>MSL &amp; TSL</v>
          </cell>
          <cell r="AC180" t="str">
            <v>Entry &amp; TRP</v>
          </cell>
          <cell r="AE180" t="str">
            <v>L : Entry</v>
          </cell>
          <cell r="AF180" t="str">
            <v xml:space="preserve"> - </v>
          </cell>
          <cell r="AG180">
            <v>0.25</v>
          </cell>
          <cell r="AJ180" t="str">
            <v xml:space="preserve"> - </v>
          </cell>
          <cell r="AK180" t="str">
            <v>SPT : PRV M : 20 SMA</v>
          </cell>
          <cell r="AL180" t="str">
            <v/>
          </cell>
          <cell r="AM180">
            <v>1</v>
          </cell>
          <cell r="AN180" t="str">
            <v>SPT : PRV M : 20 SMA</v>
          </cell>
          <cell r="AO180" t="str">
            <v/>
          </cell>
          <cell r="AP180">
            <v>0.8</v>
          </cell>
          <cell r="AQ180" t="str">
            <v>SPT : PRV M : 20 SMA</v>
          </cell>
          <cell r="AR180" t="str">
            <v/>
          </cell>
          <cell r="AS180">
            <v>0.60000000000000009</v>
          </cell>
          <cell r="AT180" t="str">
            <v>SPT : PRV M : 20 SMA</v>
          </cell>
          <cell r="AU180" t="str">
            <v/>
          </cell>
          <cell r="AV180">
            <v>0.50000000000000011</v>
          </cell>
          <cell r="AW180" t="str">
            <v>SPT : PRV M : 20 SMA</v>
          </cell>
          <cell r="AX180" t="str">
            <v/>
          </cell>
          <cell r="AY180">
            <v>0.40000000000000013</v>
          </cell>
          <cell r="AZ180" t="str">
            <v>SPT : PRV M : 10 SMA</v>
          </cell>
          <cell r="BA180" t="str">
            <v/>
          </cell>
          <cell r="BB180">
            <v>0.30000000000000016</v>
          </cell>
          <cell r="BD180" t="str">
            <v xml:space="preserve">ORPT </v>
          </cell>
          <cell r="BE180">
            <v>0.38888194444444446</v>
          </cell>
          <cell r="BF180">
            <v>0.38888194444444446</v>
          </cell>
          <cell r="BG180">
            <v>0.38541666666666669</v>
          </cell>
          <cell r="BI180">
            <v>0</v>
          </cell>
          <cell r="BJ180" t="str">
            <v>Long</v>
          </cell>
          <cell r="BK180">
            <v>0.01</v>
          </cell>
          <cell r="BL180">
            <v>0.01</v>
          </cell>
          <cell r="BN180">
            <v>0</v>
          </cell>
          <cell r="BO180" t="str">
            <v>Long</v>
          </cell>
          <cell r="BP180" t="str">
            <v/>
          </cell>
          <cell r="CU180" t="str">
            <v/>
          </cell>
        </row>
        <row r="181">
          <cell r="B181" t="str">
            <v>S30B</v>
          </cell>
          <cell r="C181" t="str">
            <v>Unique Code</v>
          </cell>
          <cell r="D181" t="str">
            <v>STOCKS_EQ_MCC</v>
          </cell>
          <cell r="F181">
            <v>0</v>
          </cell>
          <cell r="G181" t="str">
            <v/>
          </cell>
          <cell r="H181" t="str">
            <v/>
          </cell>
          <cell r="L181" t="str">
            <v/>
          </cell>
          <cell r="M181" t="str">
            <v/>
          </cell>
          <cell r="AA181" t="str">
            <v/>
          </cell>
          <cell r="AB181" t="str">
            <v/>
          </cell>
          <cell r="AC181" t="str">
            <v/>
          </cell>
          <cell r="AE181" t="str">
            <v/>
          </cell>
          <cell r="AF181" t="str">
            <v/>
          </cell>
          <cell r="AJ181" t="str">
            <v/>
          </cell>
          <cell r="AK181" t="str">
            <v/>
          </cell>
          <cell r="AL181" t="str">
            <v/>
          </cell>
          <cell r="AM181" t="str">
            <v/>
          </cell>
          <cell r="AN181" t="str">
            <v/>
          </cell>
          <cell r="AO181" t="str">
            <v/>
          </cell>
          <cell r="AP181" t="str">
            <v/>
          </cell>
          <cell r="AQ181" t="str">
            <v/>
          </cell>
          <cell r="AR181" t="str">
            <v/>
          </cell>
          <cell r="AS181" t="str">
            <v/>
          </cell>
          <cell r="AT181" t="str">
            <v/>
          </cell>
          <cell r="AU181" t="str">
            <v/>
          </cell>
          <cell r="AV181" t="str">
            <v/>
          </cell>
          <cell r="AW181" t="str">
            <v/>
          </cell>
          <cell r="AX181" t="str">
            <v/>
          </cell>
          <cell r="AY181" t="str">
            <v/>
          </cell>
          <cell r="AZ181" t="str">
            <v/>
          </cell>
          <cell r="BA181" t="str">
            <v/>
          </cell>
          <cell r="BB181" t="str">
            <v/>
          </cell>
          <cell r="BD181" t="str">
            <v xml:space="preserve"> RC. Time</v>
          </cell>
          <cell r="BE181">
            <v>0.39582638888888888</v>
          </cell>
          <cell r="BF181">
            <v>0.39582638888888888</v>
          </cell>
          <cell r="BG181" t="str">
            <v>N.A.</v>
          </cell>
          <cell r="BJ181">
            <v>0</v>
          </cell>
          <cell r="BO181">
            <v>0</v>
          </cell>
          <cell r="BP181" t="str">
            <v/>
          </cell>
        </row>
        <row r="182">
          <cell r="B182" t="str">
            <v>S30C</v>
          </cell>
          <cell r="C182" t="str">
            <v>Segment</v>
          </cell>
          <cell r="D182" t="str">
            <v>EQUITY</v>
          </cell>
          <cell r="E182" t="str">
            <v>Contract</v>
          </cell>
          <cell r="F182" t="str">
            <v>MCC</v>
          </cell>
        </row>
        <row r="183">
          <cell r="B183" t="str">
            <v>S30D</v>
          </cell>
          <cell r="C183" t="str">
            <v>Symbol</v>
          </cell>
          <cell r="D183" t="str">
            <v>STOCKS</v>
          </cell>
          <cell r="E183">
            <v>0</v>
          </cell>
          <cell r="F183">
            <v>0</v>
          </cell>
          <cell r="G183" t="str">
            <v/>
          </cell>
          <cell r="H183" t="str">
            <v/>
          </cell>
          <cell r="L183" t="str">
            <v/>
          </cell>
          <cell r="M183" t="str">
            <v/>
          </cell>
          <cell r="AA183" t="str">
            <v/>
          </cell>
          <cell r="AB183" t="str">
            <v/>
          </cell>
          <cell r="AC183" t="str">
            <v/>
          </cell>
          <cell r="AE183" t="str">
            <v/>
          </cell>
          <cell r="AF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>
            <v>0</v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/>
          </cell>
          <cell r="AY183" t="str">
            <v/>
          </cell>
          <cell r="AZ183" t="str">
            <v/>
          </cell>
          <cell r="BA183" t="str">
            <v/>
          </cell>
          <cell r="BB183" t="str">
            <v/>
          </cell>
          <cell r="BD183" t="str">
            <v>Market Start Time</v>
          </cell>
          <cell r="BE183">
            <v>0.38541666666666669</v>
          </cell>
          <cell r="BI183">
            <v>0</v>
          </cell>
          <cell r="BJ183">
            <v>0</v>
          </cell>
          <cell r="BN183">
            <v>0</v>
          </cell>
          <cell r="BO183">
            <v>0</v>
          </cell>
          <cell r="BP183" t="str">
            <v/>
          </cell>
        </row>
        <row r="184">
          <cell r="B184" t="str">
            <v>S30E</v>
          </cell>
          <cell r="C184" t="str">
            <v>No. of Targets</v>
          </cell>
          <cell r="D184" t="str">
            <v>5 &amp; APS</v>
          </cell>
          <cell r="F184">
            <v>0</v>
          </cell>
          <cell r="G184" t="str">
            <v/>
          </cell>
          <cell r="H184" t="str">
            <v/>
          </cell>
          <cell r="L184" t="str">
            <v/>
          </cell>
          <cell r="M184" t="str">
            <v/>
          </cell>
          <cell r="AA184" t="str">
            <v/>
          </cell>
          <cell r="AB184" t="str">
            <v/>
          </cell>
          <cell r="AC184" t="str">
            <v/>
          </cell>
          <cell r="AE184" t="str">
            <v/>
          </cell>
          <cell r="AF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>
            <v>0</v>
          </cell>
          <cell r="AN184" t="str">
            <v/>
          </cell>
          <cell r="AO184" t="str">
            <v/>
          </cell>
          <cell r="AP184" t="str">
            <v/>
          </cell>
          <cell r="AQ184" t="str">
            <v/>
          </cell>
          <cell r="AR184" t="str">
            <v/>
          </cell>
          <cell r="AS184" t="str">
            <v/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/>
          </cell>
          <cell r="AY184" t="str">
            <v/>
          </cell>
          <cell r="AZ184" t="str">
            <v/>
          </cell>
          <cell r="BA184" t="str">
            <v/>
          </cell>
          <cell r="BB184" t="str">
            <v/>
          </cell>
          <cell r="BD184" t="str">
            <v>Market End Time</v>
          </cell>
          <cell r="BE184">
            <v>0.64583333333333337</v>
          </cell>
          <cell r="BJ184">
            <v>0</v>
          </cell>
          <cell r="BO184">
            <v>0</v>
          </cell>
          <cell r="BP184" t="str">
            <v/>
          </cell>
        </row>
      </sheetData>
      <sheetData sheetId="6">
        <row r="4">
          <cell r="A4" t="str">
            <v>A</v>
          </cell>
        </row>
        <row r="5">
          <cell r="A5" t="str">
            <v>A</v>
          </cell>
        </row>
        <row r="7">
          <cell r="A7" t="str">
            <v>B</v>
          </cell>
        </row>
        <row r="8">
          <cell r="A8" t="str">
            <v>B</v>
          </cell>
        </row>
        <row r="9">
          <cell r="A9" t="str">
            <v>C</v>
          </cell>
        </row>
        <row r="10">
          <cell r="A10" t="str">
            <v>D</v>
          </cell>
        </row>
        <row r="11">
          <cell r="A11" t="str">
            <v>D</v>
          </cell>
        </row>
        <row r="13">
          <cell r="A13" t="str">
            <v>E</v>
          </cell>
        </row>
        <row r="14">
          <cell r="A14" t="str">
            <v>E</v>
          </cell>
        </row>
        <row r="56">
          <cell r="A56" t="str">
            <v>Wishing You A Peace, Joy &amp; Prosperity !!</v>
          </cell>
          <cell r="D56" t="str">
            <v>MONTHLY STATUS</v>
          </cell>
          <cell r="F56" t="str">
            <v>OPTION TYPE</v>
          </cell>
          <cell r="G56" t="str">
            <v>START STRIKE</v>
          </cell>
          <cell r="H56" t="str">
            <v>IDEAL PREMIUM</v>
          </cell>
          <cell r="I56" t="str">
            <v>MINIMUM OI</v>
          </cell>
          <cell r="J56" t="str">
            <v>MONTHLY STATUS</v>
          </cell>
          <cell r="K56" t="str">
            <v>OPTION TYPE</v>
          </cell>
          <cell r="M56" t="str">
            <v>ENTRY</v>
          </cell>
          <cell r="N56" t="str">
            <v>LOTS</v>
          </cell>
          <cell r="O56" t="str">
            <v>TGT 1</v>
          </cell>
          <cell r="P56" t="str">
            <v>LOTS</v>
          </cell>
          <cell r="R56" t="str">
            <v>TGT 2</v>
          </cell>
          <cell r="S56" t="str">
            <v>LOTS</v>
          </cell>
          <cell r="T56" t="str">
            <v>TGT 3</v>
          </cell>
          <cell r="U56" t="str">
            <v>LOTS</v>
          </cell>
          <cell r="V56" t="str">
            <v>TGT 4</v>
          </cell>
          <cell r="W56" t="str">
            <v>LOTS</v>
          </cell>
          <cell r="X56" t="str">
            <v>TGT 5</v>
          </cell>
          <cell r="Y56" t="str">
            <v>LOTS</v>
          </cell>
          <cell r="Z56" t="str">
            <v>TGT 6</v>
          </cell>
          <cell r="AA56" t="str">
            <v>LOTS</v>
          </cell>
        </row>
        <row r="57">
          <cell r="G57" t="str">
            <v>END STRIKE</v>
          </cell>
          <cell r="H57" t="str">
            <v>MINIMUM  PREMIUM</v>
          </cell>
          <cell r="I57" t="str">
            <v>NO OF EXP</v>
          </cell>
          <cell r="M57" t="str">
            <v>SL AFTER ENTRY</v>
          </cell>
          <cell r="O57" t="str">
            <v>TR PROFIT AFTER TGT 1</v>
          </cell>
          <cell r="R57" t="str">
            <v>TR PROFIT AFTER TGT 2</v>
          </cell>
          <cell r="T57" t="str">
            <v>TR PROFIT AFTER TGT 3</v>
          </cell>
          <cell r="V57" t="str">
            <v>TR PROFIT AFTER TGT 4</v>
          </cell>
          <cell r="X57" t="str">
            <v>TR PROFIT AFTER TGT 5</v>
          </cell>
          <cell r="Z57" t="str">
            <v>TR PROFIT AFTER TGT 6</v>
          </cell>
        </row>
        <row r="84">
          <cell r="P84" t="str">
            <v>When You Call And Put Position is Exited</v>
          </cell>
        </row>
        <row r="85">
          <cell r="P85" t="str">
            <v>This is Only Applicable for Same Day</v>
          </cell>
        </row>
        <row r="120">
          <cell r="D120" t="str">
            <v>Note: ( Optional )</v>
          </cell>
        </row>
        <row r="125">
          <cell r="W125" t="str">
            <v>LOTS</v>
          </cell>
          <cell r="X125" t="str">
            <v>TGT 5</v>
          </cell>
          <cell r="Z125" t="str">
            <v>TGT 6</v>
          </cell>
          <cell r="AA125" t="str">
            <v>LOTS</v>
          </cell>
        </row>
        <row r="126">
          <cell r="X126" t="str">
            <v>TR PROFIT AFTER TGT 5</v>
          </cell>
          <cell r="Z126" t="str">
            <v>TR PROFIT AFTER TGT 6</v>
          </cell>
        </row>
        <row r="128">
          <cell r="B128" t="str">
            <v>Sr. No.</v>
          </cell>
          <cell r="D128" t="str">
            <v>BULL / BULL CF</v>
          </cell>
          <cell r="F128" t="str">
            <v>Call</v>
          </cell>
          <cell r="H128" t="str">
            <v xml:space="preserve"> * </v>
          </cell>
          <cell r="I128" t="str">
            <v xml:space="preserve"> Lots</v>
          </cell>
          <cell r="J128" t="str">
            <v>BULL / BULL CF</v>
          </cell>
          <cell r="K128" t="str">
            <v>Call</v>
          </cell>
          <cell r="L128" t="str">
            <v>E &amp; T</v>
          </cell>
          <cell r="O128" t="str">
            <v xml:space="preserve">Final Strike * </v>
          </cell>
          <cell r="R128" t="str">
            <v xml:space="preserve">Final Strike * </v>
          </cell>
          <cell r="T128" t="str">
            <v xml:space="preserve">Final Strike * </v>
          </cell>
          <cell r="V128" t="str">
            <v xml:space="preserve">Final Strike * </v>
          </cell>
        </row>
        <row r="129">
          <cell r="B129" t="str">
            <v>Strategy Code</v>
          </cell>
          <cell r="H129" t="str">
            <v>N.A.</v>
          </cell>
          <cell r="I129" t="str">
            <v>N.A.</v>
          </cell>
          <cell r="L129" t="str">
            <v>SL / TRP</v>
          </cell>
        </row>
        <row r="130">
          <cell r="B130" t="str">
            <v>Unique Code</v>
          </cell>
        </row>
        <row r="131">
          <cell r="F131" t="str">
            <v>Put</v>
          </cell>
          <cell r="K131" t="str">
            <v>Put</v>
          </cell>
          <cell r="L131" t="str">
            <v>E &amp; T</v>
          </cell>
          <cell r="O131" t="str">
            <v xml:space="preserve">Final Strike * </v>
          </cell>
          <cell r="R131" t="str">
            <v xml:space="preserve">Final Strike * </v>
          </cell>
          <cell r="T131" t="str">
            <v xml:space="preserve">Final Strike * </v>
          </cell>
          <cell r="V131" t="str">
            <v xml:space="preserve">Final Strike * </v>
          </cell>
        </row>
        <row r="132">
          <cell r="L132" t="str">
            <v>SL / TRP</v>
          </cell>
          <cell r="O132" t="str">
            <v xml:space="preserve">Final Strike * </v>
          </cell>
        </row>
        <row r="133">
          <cell r="B133" t="str">
            <v>Segment</v>
          </cell>
        </row>
        <row r="134">
          <cell r="B134" t="str">
            <v>Symbol</v>
          </cell>
          <cell r="D134" t="str">
            <v>BEAR / BEAR CF</v>
          </cell>
          <cell r="F134" t="str">
            <v>Call</v>
          </cell>
          <cell r="J134" t="str">
            <v>BEAR / BEAR CF</v>
          </cell>
          <cell r="K134" t="str">
            <v>Call</v>
          </cell>
          <cell r="L134" t="str">
            <v>E &amp; T</v>
          </cell>
          <cell r="O134" t="str">
            <v xml:space="preserve">Final Strike * </v>
          </cell>
          <cell r="R134" t="str">
            <v xml:space="preserve">Final Strike * </v>
          </cell>
          <cell r="T134" t="str">
            <v xml:space="preserve">Final Strike * </v>
          </cell>
          <cell r="V134" t="str">
            <v xml:space="preserve">Final Strike * </v>
          </cell>
        </row>
        <row r="135">
          <cell r="B135" t="str">
            <v>No. of TGT</v>
          </cell>
          <cell r="L135" t="str">
            <v>SL / TRP</v>
          </cell>
          <cell r="O135" t="str">
            <v xml:space="preserve">Final Strike * </v>
          </cell>
        </row>
        <row r="136">
          <cell r="B136" t="str">
            <v xml:space="preserve">I Commit To Follow The Rules &amp; Process
</v>
          </cell>
        </row>
        <row r="137">
          <cell r="F137" t="str">
            <v>Put</v>
          </cell>
          <cell r="K137" t="str">
            <v>Put</v>
          </cell>
          <cell r="L137" t="str">
            <v>E &amp; T</v>
          </cell>
          <cell r="O137" t="str">
            <v xml:space="preserve">Final Strike * </v>
          </cell>
          <cell r="R137" t="str">
            <v xml:space="preserve">Final Strike * </v>
          </cell>
          <cell r="T137" t="str">
            <v xml:space="preserve">Final Strike * </v>
          </cell>
          <cell r="V137" t="str">
            <v xml:space="preserve">Final Strike * </v>
          </cell>
        </row>
        <row r="138">
          <cell r="L138" t="str">
            <v>SL / TRP</v>
          </cell>
          <cell r="O138" t="str">
            <v xml:space="preserve">Final Strike * </v>
          </cell>
        </row>
        <row r="140">
          <cell r="B140" t="str">
            <v>For Entry</v>
          </cell>
          <cell r="D140" t="str">
            <v>Gap Check</v>
          </cell>
          <cell r="E140" t="str">
            <v>Process</v>
          </cell>
          <cell r="G140" t="str">
            <v>Yes / No</v>
          </cell>
          <cell r="H140" t="str">
            <v>Order Status</v>
          </cell>
          <cell r="I140" t="str">
            <v>Step 1</v>
          </cell>
          <cell r="J140" t="str">
            <v>Order Placement Timings</v>
          </cell>
          <cell r="L140" t="str">
            <v>Time</v>
          </cell>
          <cell r="M140" t="str">
            <v>Rules For Gap = Step 1 Start Strike</v>
          </cell>
          <cell r="N140" t="str">
            <v>Start Strike Buffer</v>
          </cell>
          <cell r="O140" t="str">
            <v>Rules For Gap = Step 2 End Strike</v>
          </cell>
          <cell r="P140" t="str">
            <v>Last Choice Strike</v>
          </cell>
          <cell r="S140" t="str">
            <v>Data</v>
          </cell>
          <cell r="T140" t="str">
            <v xml:space="preserve"> Ideal Premium</v>
          </cell>
          <cell r="V140" t="str">
            <v>Minimum Premium</v>
          </cell>
          <cell r="W140" t="str">
            <v>Minimum OI</v>
          </cell>
          <cell r="X140" t="str">
            <v>Rules For Gap = Step 3 Revised Option Entry</v>
          </cell>
          <cell r="Z140" t="str">
            <v>Data</v>
          </cell>
          <cell r="AA140" t="str">
            <v>Buffer</v>
          </cell>
        </row>
        <row r="141">
          <cell r="B141" t="str">
            <v xml:space="preserve">ORPT </v>
          </cell>
          <cell r="C141" t="str">
            <v xml:space="preserve"> RC. Time</v>
          </cell>
          <cell r="D141" t="str">
            <v>For Call Buy Entry</v>
          </cell>
          <cell r="E141" t="str">
            <v xml:space="preserve">Check If </v>
          </cell>
          <cell r="F141" t="str">
            <v xml:space="preserve"> HH &gt; Call Buy Entry</v>
          </cell>
          <cell r="G141" t="str">
            <v>No</v>
          </cell>
          <cell r="H141" t="str">
            <v>Entry Not Missed</v>
          </cell>
          <cell r="I141" t="str">
            <v>Place the Order at ORPT</v>
          </cell>
          <cell r="J141" t="str">
            <v>ORPT Time</v>
          </cell>
          <cell r="M141" t="str">
            <v>N.A.</v>
          </cell>
          <cell r="N141" t="str">
            <v>N.A.</v>
          </cell>
          <cell r="O141" t="str">
            <v>N.A.</v>
          </cell>
          <cell r="P141" t="str">
            <v>N.A.</v>
          </cell>
          <cell r="S141" t="str">
            <v>N.A.</v>
          </cell>
          <cell r="T141" t="str">
            <v>N.A.</v>
          </cell>
          <cell r="V141" t="str">
            <v>N.A.</v>
          </cell>
          <cell r="W141" t="str">
            <v>N.A.</v>
          </cell>
          <cell r="X141" t="str">
            <v>N.A.</v>
          </cell>
          <cell r="Z141" t="str">
            <v>N.A.</v>
          </cell>
          <cell r="AA141" t="str">
            <v>N.A.</v>
          </cell>
        </row>
        <row r="142">
          <cell r="G142" t="str">
            <v>Yes</v>
          </cell>
          <cell r="H142" t="str">
            <v>Entry Missed</v>
          </cell>
          <cell r="I142" t="str">
            <v>Recalcuate : Call Buy Entry : Bull / Bull CF</v>
          </cell>
          <cell r="J142" t="str">
            <v>Wait Till Recalculation Time</v>
          </cell>
          <cell r="M142" t="str">
            <v xml:space="preserve">Max of </v>
          </cell>
          <cell r="O142" t="str">
            <v xml:space="preserve">Max of </v>
          </cell>
          <cell r="S142" t="str">
            <v xml:space="preserve"> HH</v>
          </cell>
          <cell r="T142" t="str">
            <v xml:space="preserve">Max of </v>
          </cell>
          <cell r="X142" t="str">
            <v xml:space="preserve">Max of </v>
          </cell>
        </row>
        <row r="143">
          <cell r="I143" t="str">
            <v>Recalcuate : Call Buy Entry : Bear / Bear CF</v>
          </cell>
          <cell r="J143" t="str">
            <v>Wait Till Recalculation Time</v>
          </cell>
          <cell r="M143" t="str">
            <v xml:space="preserve">Max of </v>
          </cell>
          <cell r="O143" t="str">
            <v xml:space="preserve">Max of </v>
          </cell>
          <cell r="S143" t="str">
            <v xml:space="preserve"> HH</v>
          </cell>
          <cell r="T143" t="str">
            <v xml:space="preserve">Max of </v>
          </cell>
          <cell r="X143" t="str">
            <v xml:space="preserve">Max of </v>
          </cell>
        </row>
        <row r="144">
          <cell r="B144" t="str">
            <v>For SL (Position = Open)</v>
          </cell>
          <cell r="D144" t="str">
            <v>For Put Buy Entry</v>
          </cell>
          <cell r="E144" t="str">
            <v xml:space="preserve">Check If </v>
          </cell>
          <cell r="F144" t="str">
            <v xml:space="preserve"> HH &gt; Put Buy Entry</v>
          </cell>
          <cell r="G144" t="str">
            <v>No</v>
          </cell>
          <cell r="H144" t="str">
            <v>Entry Not Missed</v>
          </cell>
          <cell r="I144" t="str">
            <v>Place the Order at ORPT</v>
          </cell>
          <cell r="J144" t="str">
            <v>ORPT Time</v>
          </cell>
          <cell r="M144" t="str">
            <v>N.A.</v>
          </cell>
          <cell r="N144" t="str">
            <v>N.A.</v>
          </cell>
          <cell r="O144" t="str">
            <v>N.A.</v>
          </cell>
          <cell r="P144" t="str">
            <v>N.A.</v>
          </cell>
          <cell r="S144" t="str">
            <v>N.A.</v>
          </cell>
          <cell r="T144" t="str">
            <v>N.A.</v>
          </cell>
          <cell r="V144" t="str">
            <v>N.A.</v>
          </cell>
          <cell r="W144" t="str">
            <v>N.A.</v>
          </cell>
          <cell r="X144" t="str">
            <v>N.A.</v>
          </cell>
          <cell r="Z144" t="str">
            <v>N.A.</v>
          </cell>
          <cell r="AA144" t="str">
            <v>N.A.</v>
          </cell>
        </row>
        <row r="145">
          <cell r="B145" t="str">
            <v xml:space="preserve">ORPT </v>
          </cell>
          <cell r="C145" t="str">
            <v xml:space="preserve"> RC. Time</v>
          </cell>
          <cell r="G145" t="str">
            <v>Yes</v>
          </cell>
          <cell r="H145" t="str">
            <v>Entry Missed</v>
          </cell>
          <cell r="I145" t="str">
            <v>Recalcuate : Put Buy Entry : Bull / Bull CF</v>
          </cell>
          <cell r="J145" t="str">
            <v>Wait Till Recalculation Time</v>
          </cell>
          <cell r="M145" t="str">
            <v xml:space="preserve">Min of </v>
          </cell>
          <cell r="O145" t="str">
            <v xml:space="preserve">Min of </v>
          </cell>
          <cell r="S145" t="str">
            <v xml:space="preserve"> HH</v>
          </cell>
          <cell r="T145" t="str">
            <v xml:space="preserve">Min of </v>
          </cell>
          <cell r="X145" t="str">
            <v xml:space="preserve">Max of </v>
          </cell>
        </row>
        <row r="146">
          <cell r="I146" t="str">
            <v>Recalcuate : Put Buy Entry : Bear / Bear CF</v>
          </cell>
          <cell r="J146" t="str">
            <v>Wait Till Recalculation Time</v>
          </cell>
          <cell r="M146" t="str">
            <v xml:space="preserve">Min of </v>
          </cell>
          <cell r="O146" t="str">
            <v xml:space="preserve">Min of </v>
          </cell>
          <cell r="S146" t="str">
            <v xml:space="preserve"> HH</v>
          </cell>
          <cell r="T146" t="str">
            <v xml:space="preserve">Min of </v>
          </cell>
          <cell r="X146" t="str">
            <v xml:space="preserve">Max of </v>
          </cell>
        </row>
        <row r="148">
          <cell r="B148" t="str">
            <v>For TGT (Position = Open)</v>
          </cell>
          <cell r="D148" t="str">
            <v>Gap Check</v>
          </cell>
          <cell r="E148" t="str">
            <v>Process</v>
          </cell>
          <cell r="G148" t="str">
            <v>Y / N</v>
          </cell>
          <cell r="H148" t="str">
            <v>Status</v>
          </cell>
          <cell r="I148" t="str">
            <v>Step 1</v>
          </cell>
          <cell r="J148" t="str">
            <v>Order Placement Timings</v>
          </cell>
          <cell r="L148" t="str">
            <v>Time</v>
          </cell>
          <cell r="M148" t="str">
            <v>Rules For Gaps</v>
          </cell>
          <cell r="N148" t="str">
            <v>Data</v>
          </cell>
          <cell r="O148" t="str">
            <v>Buffer</v>
          </cell>
          <cell r="P148" t="str">
            <v>Monthly Status</v>
          </cell>
          <cell r="Q148" t="str">
            <v>Options Type</v>
          </cell>
          <cell r="R148" t="str">
            <v>Start Strike</v>
          </cell>
          <cell r="S148" t="str">
            <v>End Strike</v>
          </cell>
          <cell r="U148" t="str">
            <v>Ideal Premium</v>
          </cell>
          <cell r="W148" t="str">
            <v>Minimum Premium</v>
          </cell>
          <cell r="Y148" t="str">
            <v>Minimum OI</v>
          </cell>
          <cell r="Z148" t="str">
            <v>Option Entry</v>
          </cell>
        </row>
        <row r="149">
          <cell r="B149" t="str">
            <v xml:space="preserve">ORPT </v>
          </cell>
          <cell r="C149" t="str">
            <v xml:space="preserve"> RC. Time</v>
          </cell>
          <cell r="D149" t="str">
            <v>For Call Buy SL</v>
          </cell>
          <cell r="E149" t="str">
            <v xml:space="preserve">Check If  </v>
          </cell>
          <cell r="F149" t="str">
            <v xml:space="preserve"> LL &lt; Call Buy SL</v>
          </cell>
          <cell r="G149" t="str">
            <v>No</v>
          </cell>
          <cell r="H149" t="str">
            <v>FSL / TRP Not Missed</v>
          </cell>
          <cell r="I149" t="str">
            <v>Place the Order at ORPT</v>
          </cell>
          <cell r="J149" t="str">
            <v>ORPT Time</v>
          </cell>
          <cell r="M149" t="str">
            <v>N.A.</v>
          </cell>
          <cell r="N149" t="str">
            <v>N.A.</v>
          </cell>
          <cell r="O149" t="str">
            <v>N.A.</v>
          </cell>
          <cell r="P149" t="str">
            <v>BULL / BULL CF</v>
          </cell>
          <cell r="Q149" t="str">
            <v>Call</v>
          </cell>
          <cell r="R149" t="str">
            <v>SPT : CDHH</v>
          </cell>
          <cell r="S149" t="str">
            <v>SPT : CDHH</v>
          </cell>
          <cell r="U149" t="str">
            <v>SPT : CDHH</v>
          </cell>
          <cell r="Z149" t="str">
            <v>OPT : CDHH</v>
          </cell>
        </row>
        <row r="150">
          <cell r="G150" t="str">
            <v>Yes</v>
          </cell>
          <cell r="H150" t="str">
            <v>FSL / TRP Missed</v>
          </cell>
          <cell r="J150" t="str">
            <v>Wait Till Recalculation Time</v>
          </cell>
          <cell r="M150" t="str">
            <v>-</v>
          </cell>
          <cell r="N150" t="str">
            <v xml:space="preserve"> LL</v>
          </cell>
          <cell r="Q150" t="str">
            <v>Put</v>
          </cell>
          <cell r="R150" t="str">
            <v>SPT : CDLL</v>
          </cell>
          <cell r="S150" t="str">
            <v>SPT : CDLL</v>
          </cell>
          <cell r="U150" t="str">
            <v>SPT : CDHH</v>
          </cell>
          <cell r="Z150" t="str">
            <v>OPT : CDHH</v>
          </cell>
        </row>
        <row r="151">
          <cell r="J151" t="str">
            <v>Wait Till Recalculation Time</v>
          </cell>
          <cell r="M151" t="str">
            <v>-</v>
          </cell>
          <cell r="N151" t="str">
            <v xml:space="preserve"> LL</v>
          </cell>
          <cell r="P151" t="str">
            <v>BEAR / BEAR CF</v>
          </cell>
          <cell r="Q151" t="str">
            <v>Call</v>
          </cell>
          <cell r="R151" t="str">
            <v>SPT : CDHH</v>
          </cell>
          <cell r="S151" t="str">
            <v>SPT : CDHH</v>
          </cell>
          <cell r="U151" t="str">
            <v>SPT : CDHH</v>
          </cell>
          <cell r="Z151" t="str">
            <v>OPT : CDHH</v>
          </cell>
        </row>
        <row r="152">
          <cell r="B152" t="str">
            <v>Stay Blessed !!!</v>
          </cell>
          <cell r="D152" t="str">
            <v>For Put Buy SL</v>
          </cell>
          <cell r="E152" t="str">
            <v xml:space="preserve">Check If  </v>
          </cell>
          <cell r="F152" t="str">
            <v xml:space="preserve"> LL &lt; Put Buy SL</v>
          </cell>
          <cell r="G152" t="str">
            <v>No</v>
          </cell>
          <cell r="H152" t="str">
            <v>FSL / TRP Not Missed</v>
          </cell>
          <cell r="I152" t="str">
            <v>Place the Order at ORPT</v>
          </cell>
          <cell r="J152" t="str">
            <v>ORPT Time</v>
          </cell>
          <cell r="M152" t="str">
            <v>N.A.</v>
          </cell>
          <cell r="N152" t="str">
            <v>N.A.</v>
          </cell>
          <cell r="O152" t="str">
            <v>N.A.</v>
          </cell>
          <cell r="Q152" t="str">
            <v>Put</v>
          </cell>
          <cell r="R152" t="str">
            <v>SPT : CDLL</v>
          </cell>
          <cell r="S152" t="str">
            <v>SPT : CDLL</v>
          </cell>
          <cell r="U152" t="str">
            <v>SPT : CDHH</v>
          </cell>
          <cell r="Z152" t="str">
            <v>OPT : CDHH</v>
          </cell>
        </row>
        <row r="153">
          <cell r="G153" t="str">
            <v>Yes</v>
          </cell>
          <cell r="H153" t="str">
            <v>FSL / TRP Missed</v>
          </cell>
          <cell r="J153" t="str">
            <v>Wait Till Recalculation Time</v>
          </cell>
          <cell r="M153" t="str">
            <v>-</v>
          </cell>
          <cell r="N153" t="str">
            <v xml:space="preserve"> LL</v>
          </cell>
        </row>
        <row r="154">
          <cell r="J154" t="str">
            <v>Wait Till Recalculation Time</v>
          </cell>
          <cell r="M154" t="str">
            <v>-</v>
          </cell>
          <cell r="N154" t="str">
            <v xml:space="preserve"> LL</v>
          </cell>
        </row>
        <row r="155">
          <cell r="B155" t="str">
            <v>For Missed SL (Position = Open)</v>
          </cell>
          <cell r="I155" t="str">
            <v>For Call Buy SL</v>
          </cell>
          <cell r="R155" t="str">
            <v>For Put Buy SL</v>
          </cell>
        </row>
        <row r="156">
          <cell r="B156" t="str">
            <v>Check time</v>
          </cell>
          <cell r="G156" t="str">
            <v xml:space="preserve">Check If Close at </v>
          </cell>
          <cell r="H156" t="str">
            <v xml:space="preserve">  &lt; Call Buy Original SL</v>
          </cell>
          <cell r="I156" t="str">
            <v>Yes</v>
          </cell>
          <cell r="K156" t="str">
            <v xml:space="preserve"> Then Square Off The Position At CMP at </v>
          </cell>
          <cell r="R156" t="str">
            <v xml:space="preserve">Check If Close at </v>
          </cell>
          <cell r="S156" t="str">
            <v xml:space="preserve">  &gt; Put Buy Original SL</v>
          </cell>
          <cell r="U156" t="str">
            <v>Yes</v>
          </cell>
          <cell r="W156" t="str">
            <v xml:space="preserve"> Then Square Off The Position At CMP at </v>
          </cell>
        </row>
        <row r="157">
          <cell r="G157" t="str">
            <v xml:space="preserve">Check If Close at </v>
          </cell>
          <cell r="H157" t="str">
            <v xml:space="preserve">  &gt; Call Buy Original SL</v>
          </cell>
          <cell r="I157" t="str">
            <v>Yes</v>
          </cell>
          <cell r="K157" t="str">
            <v xml:space="preserve"> Then Continue the Position for Next Day And Calculate Stop Loss Price as per the Rules</v>
          </cell>
          <cell r="R157" t="str">
            <v xml:space="preserve">Check If Close at </v>
          </cell>
          <cell r="S157" t="str">
            <v xml:space="preserve">  &lt; Put Buy Original SL</v>
          </cell>
          <cell r="U157" t="str">
            <v>Yes</v>
          </cell>
          <cell r="W157" t="str">
            <v xml:space="preserve"> Then Continue the Position for Next Day And Calculate Stop Loss Price as per the Rules</v>
          </cell>
        </row>
        <row r="171">
          <cell r="D171" t="str">
            <v>Monthly Status</v>
          </cell>
          <cell r="G171" t="str">
            <v>FINAL STIKE</v>
          </cell>
          <cell r="H171" t="str">
            <v>OPTION TYPE</v>
          </cell>
          <cell r="J171" t="str">
            <v>ENTRY</v>
          </cell>
          <cell r="L171" t="str">
            <v>LOTS</v>
          </cell>
          <cell r="M171" t="str">
            <v>TGT 1</v>
          </cell>
          <cell r="N171" t="str">
            <v>LOTS</v>
          </cell>
          <cell r="O171" t="str">
            <v>TGT 2</v>
          </cell>
          <cell r="P171" t="str">
            <v>LOTS</v>
          </cell>
          <cell r="Q171" t="str">
            <v>TGT 3</v>
          </cell>
          <cell r="R171" t="str">
            <v>LOTS</v>
          </cell>
          <cell r="S171" t="str">
            <v>TGT 4</v>
          </cell>
          <cell r="T171" t="str">
            <v>LOTS</v>
          </cell>
          <cell r="U171" t="str">
            <v>TGT 5</v>
          </cell>
          <cell r="V171" t="str">
            <v>LOTS</v>
          </cell>
          <cell r="W171" t="str">
            <v>TGT 6</v>
          </cell>
        </row>
        <row r="172">
          <cell r="J172" t="str">
            <v>SL AFTER ENTRY</v>
          </cell>
          <cell r="M172" t="str">
            <v>TR PROFIT AFTER TGT 1</v>
          </cell>
          <cell r="O172" t="str">
            <v>TR PROFIT AFTER TGT 2</v>
          </cell>
          <cell r="Q172" t="str">
            <v>TR PROFIT AFTER TGT 3</v>
          </cell>
          <cell r="S172" t="str">
            <v>TR PROFIT AFTER TGT 4</v>
          </cell>
          <cell r="U172" t="str">
            <v>TR PROFIT AFTER TGT 5</v>
          </cell>
        </row>
        <row r="174">
          <cell r="D174" t="str">
            <v>Call</v>
          </cell>
          <cell r="H174" t="str">
            <v>Call</v>
          </cell>
          <cell r="I174" t="str">
            <v>E &amp; T</v>
          </cell>
          <cell r="J174" t="str">
            <v xml:space="preserve"> of Final strike</v>
          </cell>
          <cell r="L174">
            <v>2</v>
          </cell>
          <cell r="N174">
            <v>1</v>
          </cell>
          <cell r="O174" t="str">
            <v>N.A.</v>
          </cell>
          <cell r="P174" t="str">
            <v>N.A.</v>
          </cell>
          <cell r="Q174" t="str">
            <v>N.A.</v>
          </cell>
          <cell r="R174" t="str">
            <v>N.A.</v>
          </cell>
          <cell r="S174" t="str">
            <v>N.A.</v>
          </cell>
          <cell r="T174" t="str">
            <v>N.A.</v>
          </cell>
          <cell r="U174" t="str">
            <v>N.A.</v>
          </cell>
          <cell r="V174" t="str">
            <v>N.A.</v>
          </cell>
        </row>
        <row r="175">
          <cell r="M175" t="str">
            <v xml:space="preserve"> of Final strike</v>
          </cell>
          <cell r="N175">
            <v>1</v>
          </cell>
          <cell r="O175" t="str">
            <v>N.A.</v>
          </cell>
          <cell r="P175" t="str">
            <v>N.A.</v>
          </cell>
          <cell r="Q175" t="str">
            <v>N.A.</v>
          </cell>
          <cell r="R175" t="str">
            <v>N.A.</v>
          </cell>
          <cell r="S175" t="str">
            <v>N.A.</v>
          </cell>
          <cell r="T175" t="str">
            <v>N.A.</v>
          </cell>
          <cell r="U175" t="str">
            <v>N.A.</v>
          </cell>
          <cell r="V175" t="str">
            <v>N.A.</v>
          </cell>
        </row>
        <row r="177">
          <cell r="I177" t="str">
            <v>SL / TRP</v>
          </cell>
          <cell r="J177" t="str">
            <v xml:space="preserve"> of Final strike</v>
          </cell>
          <cell r="L177">
            <v>2</v>
          </cell>
          <cell r="N177">
            <v>1</v>
          </cell>
          <cell r="O177" t="str">
            <v>N.A.</v>
          </cell>
          <cell r="P177" t="str">
            <v>N.A.</v>
          </cell>
          <cell r="Q177" t="str">
            <v>N.A.</v>
          </cell>
          <cell r="R177" t="str">
            <v>N.A.</v>
          </cell>
          <cell r="S177" t="str">
            <v>N.A.</v>
          </cell>
          <cell r="T177" t="str">
            <v>N.A.</v>
          </cell>
          <cell r="U177" t="str">
            <v>N.A.</v>
          </cell>
          <cell r="V177" t="str">
            <v>N.A.</v>
          </cell>
        </row>
        <row r="178">
          <cell r="M178" t="str">
            <v xml:space="preserve"> of Final strike</v>
          </cell>
          <cell r="N178">
            <v>1</v>
          </cell>
          <cell r="O178" t="str">
            <v>N.A.</v>
          </cell>
          <cell r="P178" t="str">
            <v>N.A.</v>
          </cell>
          <cell r="Q178" t="str">
            <v>N.A.</v>
          </cell>
          <cell r="R178" t="str">
            <v>N.A.</v>
          </cell>
          <cell r="S178" t="str">
            <v>N.A.</v>
          </cell>
          <cell r="T178" t="str">
            <v>N.A.</v>
          </cell>
          <cell r="U178" t="str">
            <v>N.A.</v>
          </cell>
          <cell r="V178" t="str">
            <v>N.A.</v>
          </cell>
        </row>
        <row r="180">
          <cell r="D180" t="str">
            <v>Put</v>
          </cell>
          <cell r="H180" t="str">
            <v>Put</v>
          </cell>
          <cell r="I180" t="str">
            <v>E &amp; T</v>
          </cell>
          <cell r="L180">
            <v>2</v>
          </cell>
          <cell r="N180">
            <v>1</v>
          </cell>
          <cell r="O180" t="str">
            <v>N.A.</v>
          </cell>
          <cell r="P180" t="str">
            <v>N.A.</v>
          </cell>
          <cell r="Q180" t="str">
            <v>N.A.</v>
          </cell>
          <cell r="R180" t="str">
            <v>N.A.</v>
          </cell>
          <cell r="S180" t="str">
            <v>N.A.</v>
          </cell>
          <cell r="T180" t="str">
            <v>N.A.</v>
          </cell>
          <cell r="U180" t="str">
            <v>N.A.</v>
          </cell>
          <cell r="V180" t="str">
            <v>N.A.</v>
          </cell>
        </row>
        <row r="181">
          <cell r="N181">
            <v>1</v>
          </cell>
          <cell r="O181" t="str">
            <v>N.A.</v>
          </cell>
          <cell r="P181" t="str">
            <v>N.A.</v>
          </cell>
          <cell r="Q181" t="str">
            <v>N.A.</v>
          </cell>
          <cell r="R181" t="str">
            <v>N.A.</v>
          </cell>
          <cell r="S181" t="str">
            <v>N.A.</v>
          </cell>
          <cell r="T181" t="str">
            <v>N.A.</v>
          </cell>
          <cell r="U181" t="str">
            <v>N.A.</v>
          </cell>
          <cell r="V181" t="str">
            <v>N.A.</v>
          </cell>
        </row>
        <row r="183">
          <cell r="I183" t="str">
            <v>SL / TRP</v>
          </cell>
          <cell r="L183">
            <v>2</v>
          </cell>
          <cell r="N183">
            <v>1</v>
          </cell>
          <cell r="O183" t="str">
            <v>N.A.</v>
          </cell>
          <cell r="P183" t="str">
            <v>N.A.</v>
          </cell>
          <cell r="Q183" t="str">
            <v>N.A.</v>
          </cell>
          <cell r="R183" t="str">
            <v>N.A.</v>
          </cell>
          <cell r="S183" t="str">
            <v>N.A.</v>
          </cell>
          <cell r="T183" t="str">
            <v>N.A.</v>
          </cell>
          <cell r="U183" t="str">
            <v>N.A.</v>
          </cell>
          <cell r="V183" t="str">
            <v>N.A.</v>
          </cell>
        </row>
        <row r="184">
          <cell r="N184">
            <v>1</v>
          </cell>
          <cell r="O184" t="str">
            <v>N.A.</v>
          </cell>
          <cell r="P184" t="str">
            <v>N.A.</v>
          </cell>
          <cell r="Q184" t="str">
            <v>N.A.</v>
          </cell>
          <cell r="R184" t="str">
            <v>N.A.</v>
          </cell>
          <cell r="S184" t="str">
            <v>N.A.</v>
          </cell>
          <cell r="T184" t="str">
            <v>N.A.</v>
          </cell>
          <cell r="U184" t="str">
            <v>N.A.</v>
          </cell>
          <cell r="V184" t="str">
            <v>N.A.</v>
          </cell>
        </row>
        <row r="186">
          <cell r="M186" t="str">
            <v>Rules For Gap = Final Strike</v>
          </cell>
        </row>
        <row r="187">
          <cell r="M187" t="str">
            <v>N.A.</v>
          </cell>
          <cell r="P187" t="str">
            <v>N.A.</v>
          </cell>
          <cell r="T187" t="str">
            <v>N.A.</v>
          </cell>
          <cell r="V187" t="str">
            <v>N.A.</v>
          </cell>
          <cell r="W187" t="str">
            <v>N.A.</v>
          </cell>
          <cell r="X187" t="str">
            <v>N.A.</v>
          </cell>
        </row>
        <row r="188">
          <cell r="M188" t="str">
            <v xml:space="preserve">Max of </v>
          </cell>
          <cell r="P188" t="str">
            <v>N.A.</v>
          </cell>
          <cell r="S188" t="str">
            <v xml:space="preserve"> HH</v>
          </cell>
          <cell r="T188" t="str">
            <v>N.A.</v>
          </cell>
          <cell r="V188" t="str">
            <v>N.A.</v>
          </cell>
          <cell r="W188" t="str">
            <v>N.A.</v>
          </cell>
          <cell r="X188" t="str">
            <v xml:space="preserve">Max of </v>
          </cell>
          <cell r="Z188" t="str">
            <v xml:space="preserve"> HH</v>
          </cell>
          <cell r="AA188">
            <v>0.1</v>
          </cell>
        </row>
        <row r="189">
          <cell r="P189" t="str">
            <v>N.A.</v>
          </cell>
          <cell r="S189" t="str">
            <v xml:space="preserve"> HH</v>
          </cell>
          <cell r="T189" t="str">
            <v>N.A.</v>
          </cell>
          <cell r="V189" t="str">
            <v>N.A.</v>
          </cell>
          <cell r="W189" t="str">
            <v>N.A.</v>
          </cell>
          <cell r="X189" t="str">
            <v xml:space="preserve">Max of </v>
          </cell>
          <cell r="Z189" t="str">
            <v xml:space="preserve"> HH</v>
          </cell>
        </row>
        <row r="190">
          <cell r="M190" t="str">
            <v>N.A.</v>
          </cell>
          <cell r="P190" t="str">
            <v>N.A.</v>
          </cell>
          <cell r="T190" t="str">
            <v>N.A.</v>
          </cell>
          <cell r="V190" t="str">
            <v>N.A.</v>
          </cell>
          <cell r="W190" t="str">
            <v>N.A.</v>
          </cell>
          <cell r="Z190" t="str">
            <v>N.A.</v>
          </cell>
        </row>
        <row r="191">
          <cell r="M191" t="str">
            <v xml:space="preserve">Min of </v>
          </cell>
          <cell r="P191" t="str">
            <v>N.A.</v>
          </cell>
          <cell r="S191" t="str">
            <v xml:space="preserve"> LL</v>
          </cell>
          <cell r="V191" t="str">
            <v>N.A.</v>
          </cell>
          <cell r="W191" t="str">
            <v>N.A.</v>
          </cell>
          <cell r="X191" t="str">
            <v xml:space="preserve">Max of </v>
          </cell>
          <cell r="Z191" t="str">
            <v xml:space="preserve"> HH</v>
          </cell>
        </row>
        <row r="192">
          <cell r="M192" t="str">
            <v xml:space="preserve">Min of </v>
          </cell>
          <cell r="P192" t="str">
            <v>N.A.</v>
          </cell>
          <cell r="S192" t="str">
            <v xml:space="preserve"> LL</v>
          </cell>
          <cell r="W192" t="str">
            <v>N.A.</v>
          </cell>
          <cell r="X192" t="str">
            <v xml:space="preserve">Max of </v>
          </cell>
          <cell r="Z192" t="str">
            <v xml:space="preserve"> HH</v>
          </cell>
        </row>
        <row r="194">
          <cell r="R194" t="str">
            <v>Final Strike</v>
          </cell>
        </row>
        <row r="195">
          <cell r="U195" t="str">
            <v>N.A.</v>
          </cell>
          <cell r="W195" t="str">
            <v>N.A.</v>
          </cell>
          <cell r="Y195" t="str">
            <v>N.A.</v>
          </cell>
        </row>
        <row r="196">
          <cell r="I196" t="str">
            <v>Recalcuate : Call Sell FSL / TRP : Bull / Bull CF</v>
          </cell>
          <cell r="M196" t="str">
            <v>-</v>
          </cell>
          <cell r="N196" t="str">
            <v xml:space="preserve"> LL</v>
          </cell>
          <cell r="O196">
            <v>0.1</v>
          </cell>
          <cell r="R196" t="str">
            <v>SPT : CDLL</v>
          </cell>
          <cell r="U196" t="str">
            <v>N.A.</v>
          </cell>
          <cell r="W196" t="str">
            <v>N.A.</v>
          </cell>
          <cell r="Y196" t="str">
            <v>N.A.</v>
          </cell>
        </row>
        <row r="197">
          <cell r="I197" t="str">
            <v>Recalcuate : Call Sell FSL / TRP : Bear / Bear CF</v>
          </cell>
          <cell r="M197" t="str">
            <v>-</v>
          </cell>
          <cell r="N197" t="str">
            <v xml:space="preserve"> LL</v>
          </cell>
          <cell r="O197">
            <v>0.1</v>
          </cell>
          <cell r="U197" t="str">
            <v>N.A.</v>
          </cell>
          <cell r="W197" t="str">
            <v>N.A.</v>
          </cell>
          <cell r="Y197" t="str">
            <v>N.A.</v>
          </cell>
        </row>
        <row r="198">
          <cell r="M198" t="str">
            <v>N.A.</v>
          </cell>
          <cell r="O198" t="str">
            <v>N.A.</v>
          </cell>
          <cell r="R198" t="str">
            <v>SPT : CDLL</v>
          </cell>
          <cell r="U198" t="str">
            <v>N.A.</v>
          </cell>
          <cell r="W198" t="str">
            <v>N.A.</v>
          </cell>
          <cell r="Y198" t="str">
            <v>N.A.</v>
          </cell>
        </row>
        <row r="199">
          <cell r="I199" t="str">
            <v>Recalcuate : Short FSL / TRP : Bull / Bull CF</v>
          </cell>
          <cell r="M199" t="str">
            <v>-</v>
          </cell>
          <cell r="N199" t="str">
            <v xml:space="preserve"> LL</v>
          </cell>
          <cell r="O199">
            <v>0.1</v>
          </cell>
        </row>
        <row r="200">
          <cell r="I200" t="str">
            <v>Recalcuate : Short FSL / TRP : Bear / Bear CF</v>
          </cell>
          <cell r="M200" t="str">
            <v>-</v>
          </cell>
          <cell r="O200">
            <v>0.1</v>
          </cell>
        </row>
        <row r="210">
          <cell r="H210" t="str">
            <v>N.A.</v>
          </cell>
          <cell r="Z210" t="str">
            <v>N.A.</v>
          </cell>
          <cell r="AA210" t="str">
            <v>N.A.</v>
          </cell>
        </row>
        <row r="211">
          <cell r="G211" t="str">
            <v>Start Strike - 1 Strike</v>
          </cell>
          <cell r="H211" t="str">
            <v>N.A.</v>
          </cell>
          <cell r="I211" t="str">
            <v>N.A.</v>
          </cell>
          <cell r="M211" t="str">
            <v xml:space="preserve">Final Strike * </v>
          </cell>
          <cell r="O211" t="str">
            <v xml:space="preserve">Final Strike * </v>
          </cell>
          <cell r="Q211">
            <v>4</v>
          </cell>
          <cell r="R211" t="str">
            <v xml:space="preserve">Final Strike * </v>
          </cell>
          <cell r="S211">
            <v>3</v>
          </cell>
          <cell r="U211">
            <v>2</v>
          </cell>
          <cell r="V211" t="str">
            <v xml:space="preserve">Final Strike * </v>
          </cell>
          <cell r="W211">
            <v>1</v>
          </cell>
          <cell r="X211" t="str">
            <v xml:space="preserve">Final Strike * </v>
          </cell>
          <cell r="Y211">
            <v>1</v>
          </cell>
          <cell r="Z211" t="str">
            <v>N.A.</v>
          </cell>
          <cell r="AA211" t="str">
            <v>N.A.</v>
          </cell>
        </row>
        <row r="213">
          <cell r="G213" t="str">
            <v>N.A.</v>
          </cell>
          <cell r="M213" t="str">
            <v>N.A.</v>
          </cell>
          <cell r="O213" t="str">
            <v>N.A.</v>
          </cell>
          <cell r="P213" t="str">
            <v>N.A.</v>
          </cell>
          <cell r="Q213" t="str">
            <v>N.A.</v>
          </cell>
          <cell r="S213" t="str">
            <v>N.A.</v>
          </cell>
          <cell r="T213" t="str">
            <v>N.A.</v>
          </cell>
          <cell r="U213" t="str">
            <v>N.A.</v>
          </cell>
          <cell r="V213" t="str">
            <v>N.A.</v>
          </cell>
          <cell r="W213" t="str">
            <v>N.A.</v>
          </cell>
          <cell r="X213" t="str">
            <v>N.A.</v>
          </cell>
          <cell r="Y213" t="str">
            <v>N.A.</v>
          </cell>
        </row>
        <row r="214">
          <cell r="G214" t="str">
            <v>N.A.</v>
          </cell>
          <cell r="M214" t="str">
            <v>N.A.</v>
          </cell>
          <cell r="O214" t="str">
            <v>N.A.</v>
          </cell>
          <cell r="P214" t="str">
            <v>N.A.</v>
          </cell>
          <cell r="Q214" t="str">
            <v>N.A.</v>
          </cell>
          <cell r="S214" t="str">
            <v>N.A.</v>
          </cell>
          <cell r="T214" t="str">
            <v>N.A.</v>
          </cell>
          <cell r="U214" t="str">
            <v>N.A.</v>
          </cell>
          <cell r="V214" t="str">
            <v>N.A.</v>
          </cell>
          <cell r="W214" t="str">
            <v>N.A.</v>
          </cell>
          <cell r="X214" t="str">
            <v>N.A.</v>
          </cell>
          <cell r="Y214" t="str">
            <v>N.A.</v>
          </cell>
        </row>
        <row r="216">
          <cell r="G216" t="str">
            <v>N.A.</v>
          </cell>
          <cell r="H216" t="str">
            <v>N.A.</v>
          </cell>
          <cell r="I216" t="str">
            <v>N.A.</v>
          </cell>
          <cell r="M216" t="str">
            <v>N.A.</v>
          </cell>
          <cell r="N216" t="str">
            <v>N.A.</v>
          </cell>
          <cell r="O216" t="str">
            <v>N.A.</v>
          </cell>
          <cell r="P216" t="str">
            <v>N.A.</v>
          </cell>
          <cell r="R216" t="str">
            <v>N.A.</v>
          </cell>
          <cell r="S216" t="str">
            <v>N.A.</v>
          </cell>
          <cell r="T216" t="str">
            <v>N.A.</v>
          </cell>
          <cell r="U216" t="str">
            <v>N.A.</v>
          </cell>
          <cell r="V216" t="str">
            <v>N.A.</v>
          </cell>
          <cell r="W216" t="str">
            <v>N.A.</v>
          </cell>
          <cell r="X216" t="str">
            <v>N.A.</v>
          </cell>
          <cell r="Y216" t="str">
            <v>N.A.</v>
          </cell>
          <cell r="Z216" t="str">
            <v>N.A.</v>
          </cell>
          <cell r="AA216" t="str">
            <v>N.A.</v>
          </cell>
        </row>
        <row r="217">
          <cell r="G217" t="str">
            <v>N.A.</v>
          </cell>
          <cell r="H217" t="str">
            <v>N.A.</v>
          </cell>
          <cell r="I217" t="str">
            <v>N.A.</v>
          </cell>
          <cell r="M217" t="str">
            <v>N.A.</v>
          </cell>
          <cell r="N217" t="str">
            <v>N.A.</v>
          </cell>
          <cell r="O217" t="str">
            <v>N.A.</v>
          </cell>
          <cell r="P217" t="str">
            <v>N.A.</v>
          </cell>
          <cell r="R217" t="str">
            <v>N.A.</v>
          </cell>
          <cell r="S217" t="str">
            <v>N.A.</v>
          </cell>
          <cell r="T217" t="str">
            <v>N.A.</v>
          </cell>
          <cell r="U217" t="str">
            <v>N.A.</v>
          </cell>
          <cell r="V217" t="str">
            <v>N.A.</v>
          </cell>
          <cell r="W217" t="str">
            <v>N.A.</v>
          </cell>
          <cell r="X217" t="str">
            <v>N.A.</v>
          </cell>
          <cell r="Y217" t="str">
            <v>N.A.</v>
          </cell>
          <cell r="Z217" t="str">
            <v>N.A.</v>
          </cell>
          <cell r="AA217" t="str">
            <v>N.A.</v>
          </cell>
        </row>
        <row r="218">
          <cell r="B218" t="str">
            <v xml:space="preserve">I Commit To Follow The Rules &amp; Process
</v>
          </cell>
        </row>
        <row r="219">
          <cell r="H219" t="str">
            <v>N.A.</v>
          </cell>
        </row>
        <row r="220">
          <cell r="G220" t="str">
            <v>Start Strike + 1 Strike</v>
          </cell>
          <cell r="H220" t="str">
            <v>N.A.</v>
          </cell>
          <cell r="I220" t="str">
            <v>N.A.</v>
          </cell>
          <cell r="M220" t="str">
            <v xml:space="preserve">Final Strike * </v>
          </cell>
          <cell r="O220" t="str">
            <v xml:space="preserve">Final Strike * </v>
          </cell>
          <cell r="Q220">
            <v>4</v>
          </cell>
          <cell r="R220" t="str">
            <v xml:space="preserve">Final Strike * </v>
          </cell>
          <cell r="S220">
            <v>3</v>
          </cell>
          <cell r="T220" t="str">
            <v xml:space="preserve">Final Strike * </v>
          </cell>
          <cell r="U220">
            <v>2</v>
          </cell>
          <cell r="V220" t="str">
            <v xml:space="preserve">Final Strike * </v>
          </cell>
          <cell r="W220">
            <v>1</v>
          </cell>
          <cell r="X220" t="str">
            <v xml:space="preserve">Final Strike * </v>
          </cell>
          <cell r="Y220">
            <v>1</v>
          </cell>
        </row>
        <row r="224">
          <cell r="O224" t="str">
            <v>Start Strike - 1 Strike</v>
          </cell>
          <cell r="P224" t="str">
            <v>Start Strike + 1 Strike</v>
          </cell>
          <cell r="T224" t="str">
            <v>N.A.</v>
          </cell>
        </row>
        <row r="225">
          <cell r="J225" t="str">
            <v>N.A.</v>
          </cell>
          <cell r="L225" t="str">
            <v>N.A.</v>
          </cell>
          <cell r="M225" t="str">
            <v>N.A.</v>
          </cell>
          <cell r="N225" t="str">
            <v>N.A.</v>
          </cell>
          <cell r="O225" t="str">
            <v>N.A.</v>
          </cell>
          <cell r="P225" t="str">
            <v>N.A.</v>
          </cell>
          <cell r="S225" t="str">
            <v>N.A.</v>
          </cell>
          <cell r="T225" t="str">
            <v>N.A.</v>
          </cell>
          <cell r="V225" t="str">
            <v>N.A.</v>
          </cell>
          <cell r="W225" t="str">
            <v>N.A.</v>
          </cell>
          <cell r="X225" t="str">
            <v>N.A.</v>
          </cell>
          <cell r="Z225" t="str">
            <v>N.A.</v>
          </cell>
          <cell r="AA225" t="str">
            <v>N.A.</v>
          </cell>
        </row>
        <row r="227">
          <cell r="J227" t="str">
            <v>N.A.</v>
          </cell>
          <cell r="L227" t="str">
            <v>N.A.</v>
          </cell>
          <cell r="M227" t="str">
            <v>N.A.</v>
          </cell>
          <cell r="N227" t="str">
            <v>N.A.</v>
          </cell>
          <cell r="O227" t="str">
            <v>N.A.</v>
          </cell>
          <cell r="P227" t="str">
            <v>N.A.</v>
          </cell>
          <cell r="T227" t="str">
            <v>N.A.</v>
          </cell>
          <cell r="V227" t="str">
            <v>N.A.</v>
          </cell>
          <cell r="W227" t="str">
            <v>N.A.</v>
          </cell>
          <cell r="X227" t="str">
            <v>N.A.</v>
          </cell>
          <cell r="Z227" t="str">
            <v>N.A.</v>
          </cell>
          <cell r="AA227" t="str">
            <v>N.A.</v>
          </cell>
        </row>
        <row r="228">
          <cell r="O228" t="str">
            <v>Start Strike + 1 Strike</v>
          </cell>
          <cell r="P228" t="str">
            <v>Start Strike - 1 Strike</v>
          </cell>
          <cell r="S228" t="str">
            <v xml:space="preserve"> LL</v>
          </cell>
          <cell r="T228" t="str">
            <v>N.A.</v>
          </cell>
        </row>
        <row r="230">
          <cell r="T230" t="str">
            <v>Last Choosen Strike</v>
          </cell>
        </row>
        <row r="231">
          <cell r="S231" t="str">
            <v>Start Strike - 1 Strike</v>
          </cell>
          <cell r="T231" t="str">
            <v>Start Strike + 1 Strike</v>
          </cell>
        </row>
        <row r="232">
          <cell r="R232" t="str">
            <v>N.A.</v>
          </cell>
          <cell r="S232" t="str">
            <v>N.A.</v>
          </cell>
          <cell r="T232" t="str">
            <v>N.A.</v>
          </cell>
          <cell r="V232" t="str">
            <v>N.A.</v>
          </cell>
          <cell r="X232" t="str">
            <v>N.A.</v>
          </cell>
          <cell r="Y232" t="str">
            <v>N.A.</v>
          </cell>
        </row>
        <row r="233">
          <cell r="J233" t="str">
            <v>N.A.</v>
          </cell>
          <cell r="L233" t="str">
            <v>N.A.</v>
          </cell>
          <cell r="M233" t="str">
            <v>N.A.</v>
          </cell>
          <cell r="N233" t="str">
            <v>N.A.</v>
          </cell>
          <cell r="O233" t="str">
            <v>N.A.</v>
          </cell>
          <cell r="R233" t="str">
            <v>N.A.</v>
          </cell>
          <cell r="S233" t="str">
            <v>N.A.</v>
          </cell>
          <cell r="T233" t="str">
            <v>N.A.</v>
          </cell>
          <cell r="V233" t="str">
            <v>N.A.</v>
          </cell>
          <cell r="X233" t="str">
            <v>N.A.</v>
          </cell>
          <cell r="Y233" t="str">
            <v>N.A.</v>
          </cell>
        </row>
        <row r="234">
          <cell r="S234" t="str">
            <v>Start Strike + 1 Strike</v>
          </cell>
          <cell r="T234" t="str">
            <v>Start Strike - 1 Strike</v>
          </cell>
        </row>
        <row r="235">
          <cell r="J235" t="str">
            <v>N.A.</v>
          </cell>
          <cell r="L235" t="str">
            <v>N.A.</v>
          </cell>
          <cell r="M235" t="str">
            <v>N.A.</v>
          </cell>
          <cell r="N235" t="str">
            <v>N.A.</v>
          </cell>
          <cell r="O235" t="str">
            <v>N.A.</v>
          </cell>
        </row>
      </sheetData>
      <sheetData sheetId="7"/>
      <sheetData sheetId="8"/>
      <sheetData sheetId="9"/>
      <sheetData sheetId="10"/>
      <sheetData sheetId="11">
        <row r="8">
          <cell r="B8" t="str">
            <v>AARTIIND</v>
          </cell>
        </row>
        <row r="9">
          <cell r="B9" t="str">
            <v>ABB</v>
          </cell>
        </row>
        <row r="10">
          <cell r="B10" t="str">
            <v>ABBOTINDIA</v>
          </cell>
        </row>
        <row r="11">
          <cell r="B11" t="str">
            <v>ABCAPITAL</v>
          </cell>
        </row>
        <row r="12">
          <cell r="B12" t="str">
            <v>ABFRL</v>
          </cell>
        </row>
        <row r="13">
          <cell r="B13" t="str">
            <v>ACC</v>
          </cell>
        </row>
        <row r="14">
          <cell r="B14" t="str">
            <v>ADANIENT</v>
          </cell>
        </row>
        <row r="15">
          <cell r="B15" t="str">
            <v>ADANIPORTS</v>
          </cell>
        </row>
        <row r="16">
          <cell r="B16" t="str">
            <v>ALKEM</v>
          </cell>
        </row>
        <row r="17">
          <cell r="B17" t="str">
            <v>AMBUJACEM</v>
          </cell>
        </row>
        <row r="18">
          <cell r="B18" t="str">
            <v>APOLLOHOSP</v>
          </cell>
        </row>
        <row r="19">
          <cell r="B19" t="str">
            <v>APOLLOTYRE</v>
          </cell>
        </row>
        <row r="20">
          <cell r="B20" t="str">
            <v>ASHOKLEY</v>
          </cell>
        </row>
        <row r="21">
          <cell r="B21" t="str">
            <v>ASIANPAINT</v>
          </cell>
        </row>
        <row r="22">
          <cell r="B22" t="str">
            <v>ASTRAL</v>
          </cell>
        </row>
        <row r="23">
          <cell r="B23" t="str">
            <v>ATUL</v>
          </cell>
        </row>
        <row r="24">
          <cell r="B24" t="str">
            <v>AUBANK</v>
          </cell>
        </row>
        <row r="25">
          <cell r="B25" t="str">
            <v>AUROPHARMA</v>
          </cell>
        </row>
        <row r="26">
          <cell r="B26" t="str">
            <v>AXISBANK</v>
          </cell>
        </row>
        <row r="27">
          <cell r="B27" t="str">
            <v>BAJAJ-AUTO</v>
          </cell>
        </row>
        <row r="28">
          <cell r="B28" t="str">
            <v>BAJAJFINSV</v>
          </cell>
        </row>
        <row r="29">
          <cell r="B29" t="str">
            <v>BAJFINANCE</v>
          </cell>
        </row>
        <row r="30">
          <cell r="B30" t="str">
            <v>BALKRISIND</v>
          </cell>
        </row>
        <row r="31">
          <cell r="B31" t="str">
            <v>BALRAMCHIN</v>
          </cell>
        </row>
        <row r="32">
          <cell r="B32" t="str">
            <v>BANDHANBNK</v>
          </cell>
        </row>
        <row r="33">
          <cell r="B33" t="str">
            <v>BANKBARODA</v>
          </cell>
        </row>
        <row r="34">
          <cell r="B34" t="str">
            <v>BANKNIFTY</v>
          </cell>
        </row>
        <row r="35">
          <cell r="B35" t="str">
            <v>BATAINDIA</v>
          </cell>
        </row>
        <row r="36">
          <cell r="B36" t="str">
            <v>BEL</v>
          </cell>
        </row>
        <row r="37">
          <cell r="B37" t="str">
            <v>BERGEPAINT</v>
          </cell>
        </row>
        <row r="38">
          <cell r="B38" t="str">
            <v>BHARATFORG</v>
          </cell>
        </row>
        <row r="39">
          <cell r="B39" t="str">
            <v>BHARTIARTL</v>
          </cell>
        </row>
        <row r="40">
          <cell r="B40" t="str">
            <v>BHEL</v>
          </cell>
        </row>
        <row r="41">
          <cell r="B41" t="str">
            <v>BIOCON</v>
          </cell>
        </row>
        <row r="42">
          <cell r="B42" t="str">
            <v>BOSCHLTD</v>
          </cell>
        </row>
        <row r="43">
          <cell r="B43" t="str">
            <v>BPCL</v>
          </cell>
        </row>
        <row r="44">
          <cell r="B44" t="str">
            <v>BRITANNIA</v>
          </cell>
        </row>
        <row r="45">
          <cell r="B45" t="str">
            <v>BSOFT</v>
          </cell>
        </row>
        <row r="46">
          <cell r="B46" t="str">
            <v>CANBK</v>
          </cell>
        </row>
        <row r="47">
          <cell r="B47" t="str">
            <v>CANFINHOME</v>
          </cell>
        </row>
        <row r="48">
          <cell r="B48" t="str">
            <v>CHAMBLFERT</v>
          </cell>
        </row>
        <row r="49">
          <cell r="B49" t="str">
            <v>CHOLAFIN</v>
          </cell>
        </row>
        <row r="50">
          <cell r="B50" t="str">
            <v>CIPLA</v>
          </cell>
        </row>
        <row r="51">
          <cell r="B51" t="str">
            <v>COALINDIA</v>
          </cell>
        </row>
        <row r="52">
          <cell r="B52" t="str">
            <v>COFORGE</v>
          </cell>
        </row>
        <row r="53">
          <cell r="B53" t="str">
            <v>COLPAL</v>
          </cell>
        </row>
        <row r="54">
          <cell r="B54" t="str">
            <v>CONCOR</v>
          </cell>
        </row>
        <row r="55">
          <cell r="B55" t="str">
            <v>COROMANDEL</v>
          </cell>
        </row>
        <row r="56">
          <cell r="B56" t="str">
            <v>CROMPTON</v>
          </cell>
        </row>
        <row r="57">
          <cell r="B57" t="str">
            <v>CUB</v>
          </cell>
        </row>
        <row r="58">
          <cell r="B58" t="str">
            <v>CUMMINSIND</v>
          </cell>
        </row>
        <row r="59">
          <cell r="B59" t="str">
            <v>DABUR</v>
          </cell>
        </row>
        <row r="60">
          <cell r="B60" t="str">
            <v>DALBHARAT</v>
          </cell>
        </row>
        <row r="61">
          <cell r="B61" t="str">
            <v>DEEPAKNTR</v>
          </cell>
        </row>
        <row r="62">
          <cell r="B62" t="str">
            <v>DELTACORP</v>
          </cell>
        </row>
        <row r="63">
          <cell r="B63" t="str">
            <v>DIVISLAB</v>
          </cell>
        </row>
        <row r="64">
          <cell r="B64" t="str">
            <v>DIXON</v>
          </cell>
        </row>
        <row r="65">
          <cell r="B65" t="str">
            <v>DLF</v>
          </cell>
        </row>
        <row r="66">
          <cell r="B66" t="str">
            <v>DRREDDY</v>
          </cell>
        </row>
        <row r="67">
          <cell r="B67" t="str">
            <v>EICHERMOT</v>
          </cell>
        </row>
        <row r="68">
          <cell r="B68" t="str">
            <v>ESCORTS</v>
          </cell>
        </row>
        <row r="69">
          <cell r="B69" t="str">
            <v>EXIDEIND</v>
          </cell>
        </row>
        <row r="70">
          <cell r="B70" t="str">
            <v>FEDERALBNK</v>
          </cell>
        </row>
        <row r="71">
          <cell r="B71" t="str">
            <v>FINNIFTY</v>
          </cell>
        </row>
        <row r="72">
          <cell r="B72" t="str">
            <v>GAIL</v>
          </cell>
        </row>
        <row r="73">
          <cell r="B73" t="str">
            <v>GLENMARK</v>
          </cell>
        </row>
        <row r="74">
          <cell r="B74" t="str">
            <v>GMRINFRA</v>
          </cell>
        </row>
        <row r="75">
          <cell r="B75" t="str">
            <v>GNFC</v>
          </cell>
        </row>
        <row r="76">
          <cell r="B76" t="str">
            <v>GODREJCP</v>
          </cell>
        </row>
        <row r="77">
          <cell r="B77" t="str">
            <v>GODREJPROP</v>
          </cell>
        </row>
        <row r="78">
          <cell r="B78" t="str">
            <v>GRANULES</v>
          </cell>
        </row>
        <row r="79">
          <cell r="B79" t="str">
            <v>GRASIM</v>
          </cell>
        </row>
        <row r="80">
          <cell r="B80" t="str">
            <v>GUJGASLTD</v>
          </cell>
        </row>
        <row r="81">
          <cell r="B81" t="str">
            <v>HAL</v>
          </cell>
        </row>
        <row r="82">
          <cell r="B82" t="str">
            <v>HAVELLS</v>
          </cell>
        </row>
        <row r="83">
          <cell r="B83" t="str">
            <v>HCLTECH</v>
          </cell>
        </row>
        <row r="84">
          <cell r="B84" t="str">
            <v>HDFCAMC</v>
          </cell>
        </row>
        <row r="85">
          <cell r="B85" t="str">
            <v>HDFCBANK</v>
          </cell>
        </row>
        <row r="86">
          <cell r="B86" t="str">
            <v>HDFCLIFE</v>
          </cell>
        </row>
        <row r="87">
          <cell r="B87" t="str">
            <v>HEROMOTOCO</v>
          </cell>
        </row>
        <row r="88">
          <cell r="B88" t="str">
            <v>HINDALCO</v>
          </cell>
        </row>
        <row r="89">
          <cell r="B89" t="str">
            <v>HINDCOPPER</v>
          </cell>
        </row>
        <row r="90">
          <cell r="B90" t="str">
            <v>HINDPETRO</v>
          </cell>
        </row>
        <row r="91">
          <cell r="B91" t="str">
            <v>HINDUNILVR</v>
          </cell>
        </row>
        <row r="92">
          <cell r="B92" t="str">
            <v>IBULHSGFIN</v>
          </cell>
        </row>
        <row r="93">
          <cell r="B93" t="str">
            <v>ICICIBANK</v>
          </cell>
        </row>
        <row r="94">
          <cell r="B94" t="str">
            <v>ICICIGI</v>
          </cell>
        </row>
        <row r="95">
          <cell r="B95" t="str">
            <v>ICICIPRULI</v>
          </cell>
        </row>
        <row r="96">
          <cell r="B96" t="str">
            <v>IDEA</v>
          </cell>
        </row>
        <row r="97">
          <cell r="B97" t="str">
            <v>IDFC</v>
          </cell>
        </row>
        <row r="98">
          <cell r="B98" t="str">
            <v>IDFCFIRSTB</v>
          </cell>
        </row>
        <row r="99">
          <cell r="B99" t="str">
            <v>IEX</v>
          </cell>
        </row>
        <row r="100">
          <cell r="B100" t="str">
            <v>IGL</v>
          </cell>
        </row>
        <row r="101">
          <cell r="B101" t="str">
            <v>INDHOTEL</v>
          </cell>
        </row>
        <row r="102">
          <cell r="B102" t="str">
            <v>INDIACEM</v>
          </cell>
        </row>
        <row r="103">
          <cell r="B103" t="str">
            <v>INDIAMART</v>
          </cell>
        </row>
        <row r="104">
          <cell r="B104" t="str">
            <v>INDIGO</v>
          </cell>
        </row>
        <row r="105">
          <cell r="B105" t="str">
            <v>INDUSINDBK</v>
          </cell>
        </row>
        <row r="106">
          <cell r="B106" t="str">
            <v>INDUSTOWER</v>
          </cell>
        </row>
        <row r="107">
          <cell r="B107" t="str">
            <v>INFY</v>
          </cell>
        </row>
        <row r="108">
          <cell r="B108" t="str">
            <v>IOC</v>
          </cell>
        </row>
        <row r="109">
          <cell r="B109" t="str">
            <v>IPCALAB</v>
          </cell>
        </row>
        <row r="110">
          <cell r="B110" t="str">
            <v>IRCTC</v>
          </cell>
        </row>
        <row r="111">
          <cell r="B111" t="str">
            <v>ITC</v>
          </cell>
        </row>
        <row r="112">
          <cell r="B112" t="str">
            <v>JINDALSTEL</v>
          </cell>
        </row>
        <row r="113">
          <cell r="B113" t="str">
            <v>JKCEMENT</v>
          </cell>
        </row>
        <row r="114">
          <cell r="B114" t="str">
            <v>JSWSTEEL</v>
          </cell>
        </row>
        <row r="115">
          <cell r="B115" t="str">
            <v>JUBLFOOD</v>
          </cell>
        </row>
        <row r="116">
          <cell r="B116" t="str">
            <v>KOTAKBANK</v>
          </cell>
        </row>
        <row r="117">
          <cell r="B117" t="str">
            <v>L&amp;TFH</v>
          </cell>
        </row>
        <row r="118">
          <cell r="B118" t="str">
            <v>LALPATHLAB</v>
          </cell>
        </row>
        <row r="119">
          <cell r="B119" t="str">
            <v>LAURUSLABS</v>
          </cell>
        </row>
        <row r="120">
          <cell r="B120" t="str">
            <v>LICHSGFIN</v>
          </cell>
        </row>
        <row r="121">
          <cell r="B121" t="str">
            <v>LT</v>
          </cell>
        </row>
        <row r="122">
          <cell r="B122" t="str">
            <v>LTIM</v>
          </cell>
        </row>
        <row r="123">
          <cell r="B123" t="str">
            <v>LTTS</v>
          </cell>
        </row>
        <row r="124">
          <cell r="B124" t="str">
            <v>LUPIN</v>
          </cell>
        </row>
        <row r="125">
          <cell r="B125" t="str">
            <v>M&amp;M</v>
          </cell>
        </row>
        <row r="126">
          <cell r="B126" t="str">
            <v>M&amp;MFIN</v>
          </cell>
        </row>
        <row r="127">
          <cell r="B127" t="str">
            <v>MANAPPURAM</v>
          </cell>
        </row>
        <row r="128">
          <cell r="B128" t="str">
            <v>MARICO</v>
          </cell>
        </row>
        <row r="129">
          <cell r="B129" t="str">
            <v>MARUTI</v>
          </cell>
        </row>
        <row r="130">
          <cell r="B130" t="str">
            <v>MCDOWELL-N</v>
          </cell>
        </row>
        <row r="131">
          <cell r="B131" t="str">
            <v>MCX</v>
          </cell>
        </row>
        <row r="132">
          <cell r="B132" t="str">
            <v>METROPOLIS</v>
          </cell>
        </row>
        <row r="133">
          <cell r="B133" t="str">
            <v>MFSL</v>
          </cell>
        </row>
        <row r="134">
          <cell r="B134" t="str">
            <v>MGL</v>
          </cell>
        </row>
        <row r="135">
          <cell r="B135" t="str">
            <v>MIDCPNIFTY</v>
          </cell>
        </row>
        <row r="136">
          <cell r="B136" t="str">
            <v>MOTHERSON</v>
          </cell>
        </row>
        <row r="137">
          <cell r="B137" t="str">
            <v>MPHASIS</v>
          </cell>
        </row>
        <row r="138">
          <cell r="B138" t="str">
            <v>MRF</v>
          </cell>
        </row>
        <row r="139">
          <cell r="B139" t="str">
            <v>MUTHOOTFIN</v>
          </cell>
        </row>
        <row r="140">
          <cell r="B140" t="str">
            <v>NATIONALUM</v>
          </cell>
        </row>
        <row r="141">
          <cell r="B141" t="str">
            <v>NAUKRI</v>
          </cell>
        </row>
        <row r="142">
          <cell r="B142" t="str">
            <v>NAVINFLUOR</v>
          </cell>
        </row>
        <row r="143">
          <cell r="B143" t="str">
            <v>NESTLEIND</v>
          </cell>
        </row>
        <row r="144">
          <cell r="B144" t="str">
            <v>NIFTY</v>
          </cell>
        </row>
        <row r="145">
          <cell r="B145" t="str">
            <v>NMDC</v>
          </cell>
        </row>
        <row r="146">
          <cell r="B146" t="str">
            <v>NTPC</v>
          </cell>
        </row>
        <row r="147">
          <cell r="B147" t="str">
            <v>OBEROIRLTY</v>
          </cell>
        </row>
        <row r="148">
          <cell r="B148" t="str">
            <v>OFSS</v>
          </cell>
        </row>
        <row r="149">
          <cell r="B149" t="str">
            <v>ONGC</v>
          </cell>
        </row>
        <row r="150">
          <cell r="B150" t="str">
            <v>PAGEIND</v>
          </cell>
        </row>
        <row r="151">
          <cell r="B151" t="str">
            <v>PEL</v>
          </cell>
        </row>
        <row r="152">
          <cell r="B152" t="str">
            <v>PERSISTENT</v>
          </cell>
        </row>
        <row r="153">
          <cell r="B153" t="str">
            <v>PETRONET</v>
          </cell>
        </row>
        <row r="154">
          <cell r="B154" t="str">
            <v>PFC</v>
          </cell>
        </row>
        <row r="155">
          <cell r="B155" t="str">
            <v>PIDILITIND</v>
          </cell>
        </row>
        <row r="156">
          <cell r="B156" t="str">
            <v>PIIND</v>
          </cell>
        </row>
        <row r="157">
          <cell r="B157" t="str">
            <v>PNB</v>
          </cell>
        </row>
        <row r="158">
          <cell r="B158" t="str">
            <v>POLYCAB</v>
          </cell>
        </row>
        <row r="159">
          <cell r="B159" t="str">
            <v>POWERGRID</v>
          </cell>
        </row>
        <row r="160">
          <cell r="B160" t="str">
            <v>PVRINOX</v>
          </cell>
        </row>
        <row r="161">
          <cell r="B161" t="str">
            <v>RAMCOCEM</v>
          </cell>
        </row>
        <row r="162">
          <cell r="B162" t="str">
            <v>RBLBANK</v>
          </cell>
        </row>
        <row r="163">
          <cell r="B163" t="str">
            <v>RECLTD</v>
          </cell>
        </row>
        <row r="164">
          <cell r="B164" t="str">
            <v>RELIANCE</v>
          </cell>
        </row>
        <row r="165">
          <cell r="B165" t="str">
            <v>SAIL</v>
          </cell>
        </row>
        <row r="166">
          <cell r="B166" t="str">
            <v>SBICARD</v>
          </cell>
        </row>
        <row r="167">
          <cell r="B167" t="str">
            <v>SBILIFE</v>
          </cell>
        </row>
        <row r="168">
          <cell r="B168" t="str">
            <v>SBIN</v>
          </cell>
        </row>
        <row r="169">
          <cell r="B169" t="str">
            <v>SHREECEM</v>
          </cell>
        </row>
        <row r="170">
          <cell r="B170" t="str">
            <v>SHRIRAMFIN</v>
          </cell>
        </row>
        <row r="171">
          <cell r="B171" t="str">
            <v>SIEMENS</v>
          </cell>
        </row>
        <row r="172">
          <cell r="B172" t="str">
            <v>SRF</v>
          </cell>
        </row>
        <row r="173">
          <cell r="B173" t="str">
            <v>SUNPHARMA</v>
          </cell>
        </row>
        <row r="174">
          <cell r="B174" t="str">
            <v>SUNTV</v>
          </cell>
        </row>
        <row r="175">
          <cell r="B175" t="str">
            <v>SYNGENE</v>
          </cell>
        </row>
        <row r="176">
          <cell r="B176" t="str">
            <v>TATACHEM</v>
          </cell>
        </row>
        <row r="177">
          <cell r="B177" t="str">
            <v>TATACOMM</v>
          </cell>
        </row>
        <row r="178">
          <cell r="B178" t="str">
            <v>TATACONSUM</v>
          </cell>
        </row>
        <row r="179">
          <cell r="B179" t="str">
            <v>TATAMOTORS</v>
          </cell>
        </row>
        <row r="180">
          <cell r="B180" t="str">
            <v>TATAPOWER</v>
          </cell>
        </row>
        <row r="181">
          <cell r="B181" t="str">
            <v>TATASTEEL</v>
          </cell>
        </row>
        <row r="182">
          <cell r="B182" t="str">
            <v>TCS</v>
          </cell>
        </row>
        <row r="183">
          <cell r="B183" t="str">
            <v>TECHM</v>
          </cell>
        </row>
        <row r="184">
          <cell r="B184" t="str">
            <v>TITAN</v>
          </cell>
        </row>
        <row r="185">
          <cell r="B185" t="str">
            <v>TORNTPHARM</v>
          </cell>
        </row>
        <row r="186">
          <cell r="B186" t="str">
            <v>TRENT</v>
          </cell>
        </row>
        <row r="187">
          <cell r="B187" t="str">
            <v>TVSMOTOR</v>
          </cell>
        </row>
        <row r="188">
          <cell r="B188" t="str">
            <v>UBL</v>
          </cell>
        </row>
        <row r="189">
          <cell r="B189" t="str">
            <v>ULTRACEMCO</v>
          </cell>
        </row>
        <row r="190">
          <cell r="B190" t="str">
            <v>UPL</v>
          </cell>
        </row>
        <row r="191">
          <cell r="B191" t="str">
            <v>VEDL</v>
          </cell>
        </row>
        <row r="192">
          <cell r="B192" t="str">
            <v>VOLTAS</v>
          </cell>
        </row>
        <row r="193">
          <cell r="B193" t="str">
            <v>WIPRO</v>
          </cell>
        </row>
        <row r="194">
          <cell r="B194" t="str">
            <v>ZEEL</v>
          </cell>
        </row>
        <row r="195">
          <cell r="B195" t="str">
            <v>ZYDUSLIFE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9A6A-3F9D-4609-9F06-B5A5BA01D93B}">
  <sheetPr>
    <outlinePr summaryBelow="0" summaryRight="0"/>
  </sheetPr>
  <dimension ref="A1:AA99"/>
  <sheetViews>
    <sheetView showGridLines="0" tabSelected="1" zoomScale="76" workbookViewId="0">
      <pane ySplit="2" topLeftCell="A70" activePane="bottomLeft" state="frozen"/>
      <selection pane="bottomLeft" sqref="A1:XFD1048576"/>
    </sheetView>
  </sheetViews>
  <sheetFormatPr defaultColWidth="12.7109375" defaultRowHeight="15" customHeight="1" x14ac:dyDescent="0.2"/>
  <cols>
    <col min="1" max="1" width="5.28515625" customWidth="1"/>
    <col min="2" max="2" width="11" customWidth="1"/>
    <col min="3" max="3" width="16.42578125" customWidth="1"/>
    <col min="4" max="4" width="10.7109375" customWidth="1"/>
    <col min="5" max="5" width="0.28515625" customWidth="1"/>
    <col min="6" max="6" width="10.42578125" customWidth="1"/>
    <col min="7" max="7" width="28.28515625" customWidth="1"/>
    <col min="8" max="8" width="17.28515625" customWidth="1"/>
    <col min="9" max="9" width="16.42578125" customWidth="1"/>
    <col min="10" max="10" width="9.7109375" customWidth="1"/>
    <col min="11" max="11" width="20.7109375" customWidth="1"/>
    <col min="12" max="12" width="13.42578125" customWidth="1"/>
    <col min="13" max="13" width="27.85546875" customWidth="1"/>
    <col min="14" max="14" width="9.42578125" customWidth="1"/>
    <col min="15" max="15" width="25.140625" customWidth="1"/>
    <col min="16" max="16" width="13.85546875" customWidth="1"/>
    <col min="17" max="17" width="7.140625" customWidth="1"/>
    <col min="18" max="18" width="26" customWidth="1"/>
    <col min="19" max="19" width="13.42578125" customWidth="1"/>
    <col min="20" max="20" width="23" customWidth="1"/>
    <col min="21" max="21" width="8" customWidth="1"/>
    <col min="22" max="22" width="20" customWidth="1"/>
    <col min="23" max="23" width="9.42578125" customWidth="1"/>
    <col min="24" max="24" width="20" customWidth="1"/>
    <col min="25" max="25" width="6.7109375" customWidth="1"/>
    <col min="26" max="26" width="22.85546875" customWidth="1"/>
    <col min="27" max="27" width="7.28515625" customWidth="1"/>
  </cols>
  <sheetData>
    <row r="1" spans="1:27" ht="23.25" customHeight="1" x14ac:dyDescent="0.2">
      <c r="A1" s="1" t="str">
        <f>IF([1]AB5!A56="","",[1]AB5!A56)</f>
        <v>Wishing You A Peace, Joy &amp; Prosperity !!</v>
      </c>
      <c r="B1" s="2"/>
      <c r="C1" s="2"/>
      <c r="D1" s="3" t="str">
        <f>IF([1]AB5!D56="","",[1]AB5!D56)</f>
        <v>MONTHLY STATUS</v>
      </c>
      <c r="E1" s="4"/>
      <c r="F1" s="5" t="str">
        <f>IF([1]AB5!F56="","",[1]AB5!F56)</f>
        <v>OPTION TYPE</v>
      </c>
      <c r="G1" s="6" t="str">
        <f>IF([1]AB5!G56="","",[1]AB5!G56)</f>
        <v>START STRIKE</v>
      </c>
      <c r="H1" s="6" t="str">
        <f>IF([1]AB5!H56="","",[1]AB5!H56)</f>
        <v>IDEAL PREMIUM</v>
      </c>
      <c r="I1" s="6" t="str">
        <f>IF([1]AB5!I56="","",[1]AB5!I56)</f>
        <v>MINIMUM OI</v>
      </c>
      <c r="J1" s="5" t="str">
        <f>IF([1]AB5!J56="","",[1]AB5!J56)</f>
        <v>MONTHLY STATUS</v>
      </c>
      <c r="K1" s="3" t="str">
        <f>IF([1]AB5!K56="","",[1]AB5!K56)</f>
        <v>OPTION TYPE</v>
      </c>
      <c r="L1" s="4"/>
      <c r="M1" s="6" t="str">
        <f>IF([1]AB5!M56="","",[1]AB5!M56)</f>
        <v>ENTRY</v>
      </c>
      <c r="N1" s="5" t="str">
        <f>IF([1]AB5!N56="","",[1]AB5!N56)</f>
        <v>LOTS</v>
      </c>
      <c r="O1" s="7" t="str">
        <f>IF([1]AB5!O56="","",[1]AB5!O56)</f>
        <v>TGT 1</v>
      </c>
      <c r="P1" s="3" t="str">
        <f>IF([1]AB5!P56="","",[1]AB5!P56)</f>
        <v>LOTS</v>
      </c>
      <c r="Q1" s="4"/>
      <c r="R1" s="8" t="str">
        <f>IF([1]AB5!R56="","",[1]AB5!R56)</f>
        <v>TGT 2</v>
      </c>
      <c r="S1" s="5" t="str">
        <f>IF([1]AB5!S56="","",[1]AB5!S56)</f>
        <v>LOTS</v>
      </c>
      <c r="T1" s="6" t="str">
        <f>IF([1]AB5!T56="","",[1]AB5!T56)</f>
        <v>TGT 3</v>
      </c>
      <c r="U1" s="5" t="str">
        <f>IF([1]AB5!U56="","",[1]AB5!U56)</f>
        <v>LOTS</v>
      </c>
      <c r="V1" s="7" t="str">
        <f>IF([1]AB5!V56="","",[1]AB5!V56)</f>
        <v>TGT 4</v>
      </c>
      <c r="W1" s="5" t="str">
        <f>IF([1]AB5!W56="","",[1]AB5!W56)</f>
        <v>LOTS</v>
      </c>
      <c r="X1" s="8" t="str">
        <f>IF([1]AB5!X56="","",[1]AB5!X56)</f>
        <v>TGT 5</v>
      </c>
      <c r="Y1" s="5" t="str">
        <f>IF([1]AB5!Y56="","",[1]AB5!Y56)</f>
        <v>LOTS</v>
      </c>
      <c r="Z1" s="6" t="str">
        <f>IF([1]AB5!Z56="","",[1]AB5!Z56)</f>
        <v>TGT 6</v>
      </c>
      <c r="AA1" s="5" t="str">
        <f>IF([1]AB5!AA56="","",[1]AB5!AA56)</f>
        <v>LOTS</v>
      </c>
    </row>
    <row r="2" spans="1:27" ht="31.5" customHeight="1" x14ac:dyDescent="0.2">
      <c r="A2" s="9"/>
      <c r="B2" s="10"/>
      <c r="C2" s="10"/>
      <c r="D2" s="11"/>
      <c r="E2" s="12"/>
      <c r="F2" s="13"/>
      <c r="G2" s="6" t="str">
        <f>IF([1]AB5!G57="","",[1]AB5!G57)</f>
        <v>END STRIKE</v>
      </c>
      <c r="H2" s="6" t="str">
        <f>IF([1]AB5!H57="","",[1]AB5!H57)</f>
        <v>MINIMUM  PREMIUM</v>
      </c>
      <c r="I2" s="6" t="str">
        <f>IF([1]AB5!I57="","",[1]AB5!I57)</f>
        <v>NO OF EXP</v>
      </c>
      <c r="J2" s="13"/>
      <c r="K2" s="11"/>
      <c r="L2" s="12"/>
      <c r="M2" s="6" t="str">
        <f>IF([1]AB5!M57="","",[1]AB5!M57)</f>
        <v>SL AFTER ENTRY</v>
      </c>
      <c r="N2" s="13"/>
      <c r="O2" s="7" t="str">
        <f>IF([1]AB5!O57="","",[1]AB5!O57)</f>
        <v>TR PROFIT AFTER TGT 1</v>
      </c>
      <c r="P2" s="11"/>
      <c r="Q2" s="12"/>
      <c r="R2" s="8" t="str">
        <f>IF([1]AB5!R57="","",[1]AB5!R57)</f>
        <v>TR PROFIT AFTER TGT 2</v>
      </c>
      <c r="S2" s="13"/>
      <c r="T2" s="6" t="str">
        <f>IF([1]AB5!T57="","",[1]AB5!T57)</f>
        <v>TR PROFIT AFTER TGT 3</v>
      </c>
      <c r="U2" s="13"/>
      <c r="V2" s="7" t="str">
        <f>IF([1]AB5!V57="","",[1]AB5!V57)</f>
        <v>TR PROFIT AFTER TGT 4</v>
      </c>
      <c r="W2" s="13"/>
      <c r="X2" s="8" t="str">
        <f>IF([1]AB5!X57="","",[1]AB5!X57)</f>
        <v>TR PROFIT AFTER TGT 5</v>
      </c>
      <c r="Y2" s="13"/>
      <c r="Z2" s="6" t="str">
        <f>IF([1]AB5!Z57="","",[1]AB5!Z57)</f>
        <v>TR PROFIT AFTER TGT 6</v>
      </c>
      <c r="AA2" s="13"/>
    </row>
    <row r="3" spans="1:27" ht="12.75" customHeight="1" thickBo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53.25" customHeight="1" x14ac:dyDescent="0.2">
      <c r="A4" s="14" t="str">
        <f>IF(C4="","",CONCATENATE(C5,[1]AB5!$A$4))</f>
        <v>S26A</v>
      </c>
      <c r="B4" s="15" t="str">
        <f>IF(C4="","",[1]AB5!$B$128)</f>
        <v>Sr. No.</v>
      </c>
      <c r="C4" s="16">
        <v>26</v>
      </c>
      <c r="D4" s="17" t="str">
        <f>IF(C4="","",IF(C9="Futures","",IF(C9="OPTIONS SELL","",IF(C9="OPTIONS BUY",[1]AB5!$D$128))))</f>
        <v>BULL / BULL CF</v>
      </c>
      <c r="E4" s="18"/>
      <c r="F4" s="17" t="str">
        <f>IF(C4="","",IF(C9="Futures","",IF(C9="OPTIONS SELL","",IF(C9="OPTIONS BUY",[1]AB5!$F$128))))</f>
        <v>Call</v>
      </c>
      <c r="G4" s="19" t="str">
        <f t="array" ref="G4">IF(C4="","",IF(C9="Futures","",IF(C9="OPTIONS SELL","",IF(C9="OPTIONS BUY",CONCATENATE("( ",INDEX([1]AB4!BP:BP,MATCH(A4,[1]AB4!B:B,0))," ",INDEX([1]AB4!BQ:BQ,MATCH(A4,[1]AB4!B:B,0))," ",TEXT(INDEX([1]AB4!BR:BR,MATCH(A4,[1]AB4!B:B,0)),"0.00%")," ) &amp; ",INDEX([1]AB4!BS:BS,MATCH(A4,[1]AB4!B:B,0)))))))</f>
        <v>( SPT : PRV : 2DHH - 3.00% ) &amp; Round Down</v>
      </c>
      <c r="H4" s="19" t="str">
        <f t="array" ref="H4">IF(C4="","",IF(C9="Futures","",IF(C9="OPTIONS SELL","",IF(C9="OPTIONS BUY",CONCATENATE(INDEX([1]AB4!CE:CE,MATCH(A4,[1]AB4!B:B,0)),[1]AB5!$H$128,TEXT(INDEX([1]AB4!CF:CF,MATCH(A4,[1]AB4!B:B,0)),"0.00%"))))))</f>
        <v>SPT : PRV : 2DHH * 8.00%</v>
      </c>
      <c r="I4" s="20" t="str">
        <f t="array" ref="I4">IF(C4="","",IF(C9="Futures","",IF(C9="OPTIONS SELL","",IF(C9="OPTIONS BUY",CONCATENATE(INDEX([1]AB4!CI:CI,MATCH(A4,[1]AB4!B:B,0)),[1]AB5!$I$128)))))</f>
        <v>100 Lots</v>
      </c>
      <c r="J4" s="21" t="str">
        <f>IF(C4="","",IF(C9="Futures","",IF(C9="OPTIONS SELL","",IF(C9="OPTIONS BUY",[1]AB5!$J$128))))</f>
        <v>BULL / BULL CF</v>
      </c>
      <c r="K4" s="17" t="str">
        <f>IF(C4="","",IF(C9="Futures","",IF(C9="OPTIONS SELL","",IF(C9="OPTIONS BUY",[1]AB5!$K$128))))</f>
        <v>Call</v>
      </c>
      <c r="L4" s="22" t="str">
        <f>IF(C4="","",IF(C9="Futures","",IF(C9="OPTIONS SELL","",IF(C9="OPTIONS BUY",[1]AB5!$L$128))))</f>
        <v>E &amp; T</v>
      </c>
      <c r="M4" s="19" t="str">
        <f t="array" ref="M4">IF(C4="","",IF(C9="Futures","",IF(C9="OPTIONS SELL","",IF(C9="OPTIONS BUY",CONCATENATE(INDEX([1]AB4!G:G,MATCH(A4,[1]AB4!B:B,0)),INDEX([1]AB4!H:H,MATCH(A4,[1]AB4!B:B,0)),TEXT(INDEX([1]AB4!I:I,MATCH(A4,[1]AB4!B:B,0)),"0.00%"))))))</f>
        <v>OPT : PRV : 2D HH + 5.00%</v>
      </c>
      <c r="N4" s="23">
        <f t="array" ref="N4">IF(C4="","",IF(C9="Futures","",IF(C9="OPTIONS SELL","",IF(C9="OPTIONS BUY",INDEX([1]AB4!J:J,MATCH(A4,[1]AB4!B:B,0))))))</f>
        <v>5</v>
      </c>
      <c r="O4" s="24" t="str">
        <f t="array" ref="O4">IF(C4="","",IF(C9="Futures","",IF(C9="OPTIONS SELL","",IF(C9="OPTIONS BUY",IF(INDEX([1]AB4!N:N,MATCH(A4,[1]AB4!B:B,0))="","",CONCATENATE(INDEX([1]AB4!L:L,MATCH(A4,[1]AB4!B:B,0)),INDEX([1]AB4!M:M,MATCH(A4,[1]AB4!B:B,0)),CONCATENATE("( ",CONCATENATE([1]AB5!$O$128,TEXT(INDEX([1]AB4!N:N,MATCH(A4,[1]AB4!B:B,0)),"0.00%"),CONCATENATE(" ) ")))))))))</f>
        <v xml:space="preserve">CE : Entry  + ( Final Strike * 3.00% ) </v>
      </c>
      <c r="P4" s="25">
        <f t="array" ref="P4">IF(C4="","",IF(C9="Futures","",IF(C9="OPTIONS SELL","",IF(C9="OPTIONS BUY",IF(INDEX([1]AB4!N:N,MATCH(A4,[1]AB4!B:B,0))="","",INDEX([1]AB4!O:O,MATCH(A4,[1]AB4!B:B,0)))))))</f>
        <v>1</v>
      </c>
      <c r="Q4" s="26"/>
      <c r="R4" s="24" t="str">
        <f t="array" ref="R4">IF(C4="","",IF(C9="Futures","",IF(C9="OPTIONS SELL","",IF(C9="OPTIONS BUY",IF(INDEX([1]AB4!P:P,MATCH(A4,[1]AB4!B:B,0))="","",CONCATENATE(INDEX([1]AB4!L:L,MATCH(A4,[1]AB4!B:B,0)),INDEX([1]AB4!M:M,MATCH(A4,[1]AB4!B:B,0)),CONCATENATE("( ",CONCATENATE([1]AB5!$R$128,TEXT(INDEX([1]AB4!P:P,MATCH(A4,[1]AB4!B:B,0)),"0.00%"),CONCATENATE(" ) ",)))))))))</f>
        <v xml:space="preserve">CE : Entry  + ( Final Strike * 4.50% ) </v>
      </c>
      <c r="S4" s="23">
        <f t="array" ref="S4">IF(C4="","",IF(C9="Futures","",IF(C9="OPTIONS SELL","",IF(C9="OPTIONS BUY",IF(INDEX([1]AB4!P:P,MATCH(A4,[1]AB4!B:B,0))="","",INDEX([1]AB4!Q:Q,MATCH(A4,[1]AB4!B:B,0)))))))</f>
        <v>1</v>
      </c>
      <c r="T4" s="24" t="str">
        <f t="array" ref="T4">IF(C4="","",IF(C9="Futures","",IF(C9="OPTIONS SELL","",IF(C9="OPTIONS BUY",IF(INDEX([1]AB4!R:R,MATCH(A4,[1]AB4!B:B,0))="","",CONCATENATE(INDEX([1]AB4!L:L,MATCH(A4,[1]AB4!B:B,0)),INDEX([1]AB4!M:M,MATCH(A4,[1]AB4!B:B,0)),CONCATENATE("( ",CONCATENATE([1]AB5!$T$128,TEXT(INDEX([1]AB4!R:R,MATCH(A4,[1]AB4!B:B,0)),"0.00%"),CONCATENATE(" ) ")))))))))</f>
        <v xml:space="preserve">CE : Entry  + ( Final Strike * 6.00% ) </v>
      </c>
      <c r="U4" s="23">
        <f t="array" ref="U4">IF(C4="","",IF(C9="Futures","",IF(C9="OPTIONS SELL","",IF(C9="OPTIONS BUY",IF(INDEX([1]AB4!R:R,MATCH(A4,[1]AB4!B:B,0))="","",INDEX([1]AB4!S:S,MATCH(A4,[1]AB4!B:B,0)))))))</f>
        <v>1</v>
      </c>
      <c r="V4" s="24" t="str">
        <f t="array" ref="V4">IF(C4="","",IF(C9="Futures","",IF(C9="OPTIONS SELL","",IF(C9="OPTIONS BUY",IF(INDEX([1]AB4!T:T,MATCH(A4,[1]AB4!B:B,0))="","",CONCATENATE(INDEX([1]AB4!L:L,MATCH(A4,[1]AB4!B:B,0)),INDEX([1]AB4!M:M,MATCH(A4,[1]AB4!B:B,0)),CONCATENATE("( ",CONCATENATE([1]AB5!$V$128,TEXT(INDEX([1]AB4!T:T,MATCH(A4,[1]AB4!B:B,0)),"0.00%"),CONCATENATE(" ) ")))))))))</f>
        <v xml:space="preserve">CE : Entry  + ( Final Strike * 8.00% ) </v>
      </c>
      <c r="W4" s="23">
        <f t="array" ref="W4">IF(C4="","",IF(C9="Futures","",IF(C9="OPTIONS SELL","",IF(C9="OPTIONS BUY",IF(INDEX([1]AB4!T:T,MATCH(A4,[1]AB4!B:B,0))="","",INDEX([1]AB4!U:U,MATCH(A4,[1]AB4!B:B,0)))))))</f>
        <v>1</v>
      </c>
      <c r="X4" s="24" t="str">
        <f t="array" ref="X4">IF(C4="","",IF(C9="Futures","",IF(C9="OPTIONS SELL","",IF(C9="OPTIONS BUY",IF(INDEX([1]AB4!V:V,MATCH(A4,[1]AB4!B:B,0))="","",INDEX([1]AB4!V:V,MATCH(A4,[1]AB4!B:B,0)))))))</f>
        <v>TR PROFIT AFTER TGT 4</v>
      </c>
      <c r="Y4" s="23">
        <f t="array" ref="Y4">IF(C4="","",IF(C9="Futures","",IF(C9="OPTIONS SELL","",IF(C9="OPTIONS BUY",IF(INDEX([1]AB4!V:V,MATCH(A4,[1]AB4!B:B,0))="","",INDEX([1]AB4!W:W,MATCH(A4,[1]AB4!B:B,0)))))))</f>
        <v>1</v>
      </c>
      <c r="Z4" s="24" t="s">
        <v>0</v>
      </c>
      <c r="AA4" s="27" t="s">
        <v>0</v>
      </c>
    </row>
    <row r="5" spans="1:27" ht="53.25" customHeight="1" thickBot="1" x14ac:dyDescent="0.25">
      <c r="A5" s="14" t="str">
        <f>IF(C4="","",CONCATENATE(C5,[1]AB5!$A$5))</f>
        <v>S26A</v>
      </c>
      <c r="B5" s="28" t="str">
        <f>IF(C4="","",IF(C9="Futures","",IF(C9="OPTIONS SELL","",[1]AB5!$B$129)))</f>
        <v>Strategy Code</v>
      </c>
      <c r="C5" s="29" t="str">
        <f t="array" ref="C5">IF(C4="","",IF(C9="Futures","",IF(C9="OPTIONS SELL","",IF(C9="OPTIONS BUY",INDEX([1]AB2!B:B,MATCH(C4,[1]AB2!A:A,0))))))</f>
        <v>S26</v>
      </c>
      <c r="D5" s="30"/>
      <c r="E5" s="31"/>
      <c r="F5" s="32"/>
      <c r="G5" s="33" t="str">
        <f t="array" ref="G5">IF(C4="","",IF(C9="Futures","",IF(C9="OPTIONS SELL","",IF(C9="OPTIONS BUY",CONCATENATE("( ",INDEX([1]AB4!BT:BT,MATCH(A5,[1]AB4!B:B,0))," ",INDEX([1]AB4!BU:BU,MATCH(A5,[1]AB4!B:B,0))," ",TEXT(INDEX([1]AB4!BV:BV,MATCH(A5,[1]AB4!B:B,0)),"0.00%")," ) &amp; ",INDEX([1]AB4!BW:BW,MATCH(A5,[1]AB4!B:B,0)))))))</f>
        <v>( SPT : PRV : 2DHH + 3.00% ) &amp; Round Down</v>
      </c>
      <c r="H5" s="33" t="str">
        <f>IF(C4="","",IF(C9="Futures","",IF(C9="OPTIONS SELL","",IF(C9="OPTIONS BUY",[1]AB5!$H$129))))</f>
        <v>N.A.</v>
      </c>
      <c r="I5" s="34" t="str">
        <f t="array" ref="I5">IF(C4="","",IF(C9="Futures","",IF(C9="OPTIONS SELL","",IF(C9="OPTIONS BUY",CONCATENATE(INDEX([1]AB4!CJ:CJ,MATCH(A5,[1]AB4!B:B,0)),[1]AB5!$I$129)))))</f>
        <v>N.A.</v>
      </c>
      <c r="J5" s="31"/>
      <c r="K5" s="32"/>
      <c r="L5" s="35" t="str">
        <f>IF(C4="","",IF(C9="Futures","",IF(C9="OPTIONS SELL","",IF(C9="OPTIONS BUY",[1]AB5!$L$129))))</f>
        <v>SL / TRP</v>
      </c>
      <c r="M5" s="33" t="str">
        <f t="array" ref="M5">IF(C4="","",IF(C9="Futures","",IF(C9="OPTIONS SELL","",IF(C9="OPTIONS BUY",IF(INDEX([1]AB4!AL:AL,MATCH(A5,[1]AB4!B:B,0))="","",CONCATENATE(INDEX([1]AB4!AA:AA,MATCH(A5,[1]AB4!B:B,0)),CONCATENATE(" { ","( ",INDEX([1]AB4!AE:AE,MATCH(A5,[1]AB4!B:B,0)),INDEX([1]AB4!AF:AF,MATCH(A5,[1]AB4!B:B,0)),CONCATENATE("( ",CONCATENATE([1]AB5!$O$128,TEXT(INDEX([1]AB4!AG:AG,MATCH(A5,[1]AB4!B:B,0)),"0.00%"),CONCATENATE(" ) "," &amp; ",," ( ",INDEX([1]AB4!AK:AK,MATCH(A5,[1]AB4!B:B,0)),INDEX([1]AB4!AJ:AJ,MATCH(A5,[1]AB4!B:B,0)),TEXT(INDEX([1]AB4!AL:AL,MATCH(A5,[1]AB4!B:B,0)),"0.00%")," )"," } "))))))))))</f>
        <v xml:space="preserve">Max { ( CE : Entry  - ( Final Strike * 3.00% )  &amp;  ( OPT : PRV : 3DLL - 12.00% ) } </v>
      </c>
      <c r="N5" s="36">
        <f t="array" ref="N5">IF(C4="","",IF(C9="Futures","",IF(C9="OPTIONS SELL","",IF(C9="OPTIONS BUY",INDEX([1]AB4!AM:AM,MATCH(A5,[1]AB4!B:B,0))))))</f>
        <v>5</v>
      </c>
      <c r="O5" s="33" t="str">
        <f t="array" ref="O5">IF(C4="","",IF(C9="Futures","",IF(C9="OPTIONS SELL","",IF(C9="OPTIONS BUY",IF(INDEX([1]AB4!AO:AO,MATCH(A5,[1]AB4!B:B,0))="","",CONCATENATE(INDEX([1]AB4!AA:AA,MATCH(A5,[1]AB4!B:B,0))," ( ",INDEX([1]AB4!AE:AE,MATCH(A5,[1]AB4!B:B,0))," &amp; ",INDEX([1]AB4!AN:AN,MATCH(A5,[1]AB4!B:B,0)),INDEX([1]AB4!AJ:AJ,MATCH(A5,[1]AB4!B:B,0)),TEXT(INDEX([1]AB4!AO:AO,MATCH(A5,[1]AB4!B:B,0)),"0.00%")," )"))))))</f>
        <v>Max ( CE : Entry  &amp; OPT : PRV : 3DLL - 12.00% )</v>
      </c>
      <c r="P5" s="37">
        <f t="array" ref="P5">IF(C4="","",IF(C9="Futures","",IF(C9="OPTIONS SELL","",IF(C9="OPTIONS BUY",IF(INDEX([1]AB4!AO:AO,MATCH(A5,[1]AB4!B:B,0))="","",INDEX([1]AB4!AP:AP,MATCH(A5,[1]AB4!B:B,0)))))))</f>
        <v>4</v>
      </c>
      <c r="Q5" s="38"/>
      <c r="R5" s="33" t="str">
        <f t="array" ref="R5">IF(C4="","",IF(C9="Futures","",IF(C9="OPTIONS SELL","",IF(C9="OPTIONS BUY",IF(INDEX([1]AB4!AR:AR,MATCH(A5,[1]AB4!B:B,0))="","",CONCATENATE(INDEX([1]AB4!AA:AA,MATCH(A5,[1]AB4!B:B,0))," ( ",INDEX([1]AB4!AE:AE,MATCH(A5,[1]AB4!B:B,0))," &amp; ",INDEX([1]AB4!AQ:AQ,MATCH(A5,[1]AB4!B:B,0)),INDEX([1]AB4!AJ:AJ,MATCH(A5,[1]AB4!B:B,0)),TEXT(INDEX([1]AB4!AR:AR,MATCH(A5,[1]AB4!B:B,0)),"0.00%")," ) "))))))</f>
        <v xml:space="preserve">Max ( CE : Entry  &amp; OPT : PRV : 3DLL - 12.00% ) </v>
      </c>
      <c r="S5" s="36">
        <f t="array" ref="S5">IF(C4="","",IF(C9="Futures","",IF(C9="OPTIONS SELL","",IF(C9="OPTIONS BUY",IF(INDEX([1]AB4!AR:AR,MATCH(A5,[1]AB4!B:B,0))="","",INDEX([1]AB4!AS:AS,MATCH(A5,[1]AB4!B:B,0)))))))</f>
        <v>3</v>
      </c>
      <c r="T5" s="33" t="str">
        <f t="array" ref="T5">IF(C4="","",IF(C9="Futures","",IF(C9="OPTIONS SELL","",IF(C9="OPTIONS BUY",IF(INDEX([1]AB4!AU:AU,MATCH(A5,[1]AB4!B:B))="","",CONCATENATE(INDEX([1]AB4!AA:AA,MATCH(A5,[1]AB4!B:B))," ( ",INDEX([1]AB4!AE:AE,MATCH(A5,[1]AB4!B:B))," &amp; ",INDEX([1]AB4!AT:AT,MATCH(A5,[1]AB4!B:B)),INDEX([1]AB4!AJ:AJ,MATCH(A5,[1]AB4!B:B)),TEXT(INDEX([1]AB4!AU:AU,MATCH(A5,[1]AB4!B:B)),"0.00%")," )"))))))</f>
        <v>Max ( CE : Entry  &amp; OPT : PRV : 3DLL - 12.00% )</v>
      </c>
      <c r="U5" s="36">
        <f t="array" ref="U5">IF(C4="","",IF(C9="Futures","",IF(C9="OPTIONS SELL","",IF(C9="OPTIONS BUY",IF(INDEX([1]AB4!AU:AU,MATCH(A5,[1]AB4!B:B,0))="","",INDEX([1]AB4!AV:AV,MATCH(A5,[1]AB4!B:B,0)))))))</f>
        <v>2</v>
      </c>
      <c r="V5" s="33" t="str">
        <f t="array" ref="V5">IF(C4="","",IF(C9="Futures","",IF(C9="OPTIONS SELL","",IF(C9="OPTIONS BUY",IF(INDEX([1]AB4!AX:AX,MATCH(A5,[1]AB4!B:B,0))="","",CONCATENATE(INDEX([1]AB4!AA:AA,MATCH(A5,[1]AB4!B:B,0))," ( ",INDEX([1]AB4!AE:AE,MATCH(A5,[1]AB4!B:B,0))," &amp; ",INDEX([1]AB4!AW:AW,MATCH(A5,[1]AB4!B:B,0)),INDEX([1]AB4!AJ:AJ,MATCH(A5,[1]AB4!B:B,0)),TEXT(INDEX([1]AB4!AX:AX,MATCH(A5,[1]AB4!B:B,0)),"0.00%")," )"))))))</f>
        <v>Max ( CE : Entry  &amp; OPT : PRV : 3DLL - 12.00% )</v>
      </c>
      <c r="W5" s="36">
        <f t="array" ref="W5">IF(C4="","",IF(C9="Futures","",IF(C9="OPTIONS SELL","",IF(C9="OPTIONS BUY",IF(INDEX([1]AB4!AX:AX,MATCH(A5,[1]AB4!B:B,0))="","",INDEX([1]AB4!AY:AY,MATCH(A5,[1]AB4!B:B,0)))))))</f>
        <v>1</v>
      </c>
      <c r="X5" s="33" t="str">
        <f t="array" ref="X5">IF(C4="","",IF(C9="Futures","",IF(C9="OPTIONS SELL","",IF(C9="OPTIONS BUY",IF(INDEX([1]AB4!BA:BA,MATCH(A5,[1]AB4!B:B,0))="","",CONCATENATE(INDEX([1]AB4!AA:AA,MATCH(A5,[1]AB4!B:B,0))," ( ",INDEX([1]AB4!AE:AE,MATCH(A5,[1]AB4!B:B,0))," &amp; ",INDEX([1]AB4!AW:AW,MATCH(A5,[1]AB4!B:B,0)),INDEX([1]AB4!AJ:AJ,MATCH(A5,[1]AB4!B:B,0)),TEXT(INDEX([1]AB4!AX:AX,MATCH(A5,[1]AB4!B:B,0)),"0.00%")," )"))))))</f>
        <v>Max ( CE : Entry  &amp; OPT : PRV : 3DLL - 12.00% )</v>
      </c>
      <c r="Y5" s="36">
        <f t="array" ref="Y5">IF(C4="","",IF(C9="Futures","",IF(C9="OPTIONS SELL","",IF(C9="OPTIONS BUY",IF(INDEX([1]AB4!BA:BA,MATCH(A5,[1]AB4!B:B,0))="","",INDEX([1]AB4!AY:AY,MATCH(A5,[1]AB4!B:B,0)))))))</f>
        <v>1</v>
      </c>
      <c r="Z5" s="39">
        <f t="array" ref="Z5">IF(C4="","",IF(C9="Futures","",IF(C9="OPTIONS SELL","",IF(C9="OPTIONS BUY",IF(INDEX([1]AB4!BD:BD,MATCH(A4,[1]AB4!B:B,0))="","",INDEX([1]AB4!AZ:AZ,MATCH(A4,[1]AB4!B:B,0)))))))</f>
        <v>0</v>
      </c>
      <c r="AA5" s="40">
        <f>IF(C4="","",IF(C9="Futures","",IF(C9="OPTIONS SELL","",IF(C9="OPTIONS BUY",IF(VLOOKUP(A5,[1]AB4!B:CL,55,FALSE)="","",VLOOKUP(A5,[1]AB4!B:CL,53,FALSE))))))</f>
        <v>0</v>
      </c>
    </row>
    <row r="6" spans="1:27" ht="12" customHeight="1" thickBot="1" x14ac:dyDescent="0.25">
      <c r="A6" s="14" t="str">
        <f>IF(C4="","",CONCATENATE(C5,[1]AB5!A6))</f>
        <v>S26</v>
      </c>
      <c r="B6" s="41" t="str">
        <f>IF(C4="","",IF(C9="Futures","",IF(C9="OPTIONS SELL","",[1]AB5!$B$130)))</f>
        <v>Unique Code</v>
      </c>
      <c r="C6" s="42" t="str">
        <f t="array" ref="C6">IF(C4="","",IF(C9="Futures","",IF(C9="OPTIONS SELL","",IF(C9="OPTIONS BUY",INDEX([1]AB2!N:N,MATCH(C4,[1]AB2!A:A,0))))))</f>
        <v>STOCKS_OP_BUY_MT_DIFF_2D_4D</v>
      </c>
      <c r="D6" s="30"/>
      <c r="E6" s="31"/>
      <c r="F6" s="43"/>
      <c r="G6" s="44"/>
      <c r="H6" s="44"/>
      <c r="I6" s="45"/>
      <c r="J6" s="31"/>
      <c r="K6" s="43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 spans="1:27" ht="53.25" customHeight="1" x14ac:dyDescent="0.2">
      <c r="A7" s="14" t="str">
        <f>IF(C4="","",CONCATENATE(C5,[1]AB5!$A$7))</f>
        <v>S26B</v>
      </c>
      <c r="B7" s="46"/>
      <c r="C7" s="47"/>
      <c r="D7" s="30"/>
      <c r="E7" s="31"/>
      <c r="F7" s="48" t="str">
        <f>IF(C4="","",IF(C9="Futures","",IF(C9="OPTIONS SELL","",IF(C9="OPTIONS BUY",[1]AB5!$F$131))))</f>
        <v>Put</v>
      </c>
      <c r="G7" s="19" t="str">
        <f t="array" ref="G7">IF(C4="","",IF(C9="Futures","",IF(C9="OPTIONS SELL","",IF(C9="OPTIONS BUY",CONCATENATE("( ",INDEX([1]AB4!BP:BP,MATCH(A7,[1]AB4!B:B,0))," ",INDEX([1]AB4!BQ:BQ,MATCH(A7,[1]AB4!B:B,0))," ",TEXT(INDEX([1]AB4!BR:BR,MATCH(A7,[1]AB4!B:B,0)),"0.00%")," ) &amp; ",INDEX([1]AB4!BS:BS,MATCH(A7,[1]AB4!B:B,0)))))))</f>
        <v>( SPT : PRV : 4DLL + 3.00% ) &amp; Round Up</v>
      </c>
      <c r="H7" s="19" t="str">
        <f t="array" ref="H7">IF(C4="","",IF(C9="Futures","",IF(C9="OPTIONS SELL","",IF(C9="OPTIONS BUY",CONCATENATE(INDEX([1]AB4!CE:CE,MATCH(A7,[1]AB4!B:B,0)),[1]AB5!$H$128,TEXT(INDEX([1]AB4!CF:CF,MATCH(A7,[1]AB4!B:B,0)),"0.00%"))))))</f>
        <v>SPT : PRV : 4DLL * 8.00%</v>
      </c>
      <c r="I7" s="20" t="str">
        <f t="array" ref="I7">IF(C4="","",IF(C9="Futures","",IF(C9="OPTIONS SELL","",IF(C9="OPTIONS BUY",CONCATENATE(INDEX([1]AB4!CI:CI,MATCH(A7,[1]AB4!B:B,0)),[1]AB5!$I$128)))))</f>
        <v>100 Lots</v>
      </c>
      <c r="J7" s="31"/>
      <c r="K7" s="48" t="str">
        <f>IF(C4="","",IF(C9="Futures","",IF(C9="OPTIONS SELL","",IF(C9="OPTIONS BUY",[1]AB5!$K$131))))</f>
        <v>Put</v>
      </c>
      <c r="L7" s="22" t="str">
        <f>IF(C4="","",IF(C9="Futures","",IF(C9="OPTIONS SELL","",IF(C9="OPTIONS BUY",[1]AB5!$L$131))))</f>
        <v>E &amp; T</v>
      </c>
      <c r="M7" s="19" t="str">
        <f t="array" ref="M7">IF(C4="","",IF(C9="Futures","",IF(C9="OPTIONS SELL","",IF(C9="OPTIONS BUY",CONCATENATE(INDEX([1]AB4!G:G,MATCH(A7,[1]AB4!B:B,0)),INDEX([1]AB4!H:H,MATCH(A7,[1]AB4!B:B,0)),TEXT(INDEX([1]AB4!I:I,MATCH(A7,[1]AB4!B:B,0)),"0.00%"))))))</f>
        <v>OPT : PRV : 4D HH + 7.00%</v>
      </c>
      <c r="N7" s="23">
        <f t="array" ref="N7">IF(C4="","",IF(C9="Futures","",IF(C9="OPTIONS SELL","",IF(C9="OPTIONS BUY",INDEX([1]AB4!J:J,MATCH(A7,[1]AB4!B:B,0))))))</f>
        <v>5</v>
      </c>
      <c r="O7" s="24" t="str">
        <f t="array" ref="O7">IF(C4="","",IF(C9="Futures","",IF(C9="OPTIONS SELL","",IF(C9="OPTIONS BUY",IF(INDEX([1]AB4!N:N,MATCH(A7,[1]AB4!B:B,0))="","",CONCATENATE(INDEX([1]AB4!L:L,MATCH(A7,[1]AB4!B:B,0)),INDEX([1]AB4!M:M,MATCH(A7,[1]AB4!B:B,0)),CONCATENATE("( ",CONCATENATE([1]AB5!$O$131,TEXT(INDEX([1]AB4!N:N,MATCH(A7,[1]AB4!B:B,0)),"0.00%"),CONCATENATE(" ) ")))))))))</f>
        <v xml:space="preserve">PE : Entry  + ( Final Strike * 3.00% ) </v>
      </c>
      <c r="P7" s="25">
        <f t="array" ref="P7">IF(C4="","",IF(C9="Futures","",IF(C9="OPTIONS SELL","",IF(C9="OPTIONS BUY",IF(INDEX([1]AB4!N:N,MATCH(A7,[1]AB4!B:B,0))="","",INDEX([1]AB4!O:O,MATCH(A7,[1]AB4!B:B,0)))))))</f>
        <v>1</v>
      </c>
      <c r="Q7" s="26"/>
      <c r="R7" s="24" t="str">
        <f t="array" ref="R7">IF(C4="","",IF(C9="Futures","",IF(C9="OPTIONS SELL","",IF(C9="OPTIONS BUY",IF(INDEX([1]AB4!P:P,MATCH(A7,[1]AB4!B:B,0))="","",CONCATENATE(INDEX([1]AB4!L:L,MATCH(A7,[1]AB4!B:B,0)),INDEX([1]AB4!M:M,MATCH(A7,[1]AB4!B:B,0)),CONCATENATE("( ",CONCATENATE([1]AB5!$R$131,TEXT(INDEX([1]AB4!P:P,MATCH(A7,[1]AB4!B:B,0)),"0.00%"),CONCATENATE(" ) ")))))))))</f>
        <v xml:space="preserve">PE : Entry  + ( Final Strike * 4.50% ) </v>
      </c>
      <c r="S7" s="23">
        <f t="array" ref="S7">IF(C4="","",IF(C9="Futures","",IF(C9="OPTIONS SELL","",IF(C9="OPTIONS BUY",IF(INDEX([1]AB4!P:P,MATCH(A7,[1]AB4!B:B,0))="","",INDEX([1]AB4!Q:Q,MATCH(A7,[1]AB4!B:B,0)))))))</f>
        <v>1</v>
      </c>
      <c r="T7" s="24" t="str">
        <f t="array" ref="T7">IF(C4="","",IF(C9="Futures","",IF(C9="OPTIONS SELL","",IF(C9="OPTIONS BUY",IF(INDEX([1]AB4!R:R,MATCH(A7,[1]AB4!B:B,0))="","",CONCATENATE(INDEX([1]AB4!L:L,MATCH(A7,[1]AB4!B:B,0)),INDEX([1]AB4!M:M,MATCH(A7,[1]AB4!B:B,0)),CONCATENATE("( ",CONCATENATE([1]AB5!$T$131,TEXT(INDEX([1]AB4!R:R,MATCH(A7,[1]AB4!B:B,0)),"0.00%"),CONCATENATE(" ) ")))))))))</f>
        <v xml:space="preserve">PE : Entry  + ( Final Strike * 6.00% ) </v>
      </c>
      <c r="U7" s="23">
        <f t="array" ref="U7">IF(C4="","",IF(C9="Futures","",IF(C9="OPTIONS SELL","",IF(C9="OPTIONS BUY",IF(INDEX([1]AB4!R:R,MATCH(A7,[1]AB4!B:B,0))="","",INDEX([1]AB4!S:S,MATCH(A7,[1]AB4!B:B,0)))))))</f>
        <v>1</v>
      </c>
      <c r="V7" s="24" t="str">
        <f t="array" ref="V7">IF(C4="","",IF(C9="Futures","",IF(C9="OPTIONS SELL","",IF(C9="OPTIONS BUY",IF(INDEX([1]AB4!T:T,MATCH(A7,[1]AB4!B:B,0))="","",CONCATENATE(INDEX([1]AB4!L:L,MATCH(A7,[1]AB4!B:B,0)),INDEX([1]AB4!M:M,MATCH(A7,[1]AB4!B:B,0)),CONCATENATE("( ",CONCATENATE([1]AB5!$V$131,TEXT(INDEX([1]AB4!T:T,MATCH(A7,[1]AB4!B:B,0)),"0.00%"),CONCATENATE(" ) ")))))))))</f>
        <v xml:space="preserve">PE : Entry  + ( Final Strike * 8.00% ) </v>
      </c>
      <c r="W7" s="23">
        <f t="array" ref="W7">IF(C4="","",IF(C9="Futures","",IF(C9="OPTIONS SELL","",IF(C9="OPTIONS BUY",IF(INDEX([1]AB4!T:T,MATCH(A7,[1]AB4!B:B,0))="","",INDEX([1]AB4!U:U,MATCH(A7,[1]AB4!B:B,0)))))))</f>
        <v>1</v>
      </c>
      <c r="X7" s="24" t="str">
        <f t="array" ref="X7">IF(C4="","",IF(C9="Futures","",IF(C9="OPTIONS SELL","",IF(C9="OPTIONS BUY",IF(INDEX([1]AB4!V:V,MATCH(A7,[1]AB4!B:B,0))="","",INDEX([1]AB4!V:V,MATCH(A7,[1]AB4!B:B,0)))))))</f>
        <v>TR PROFIT AFTER TGT 4</v>
      </c>
      <c r="Y7" s="23">
        <f t="array" ref="Y7">IF(C4="","",IF(C9="Futures","",IF(C9="OPTIONS SELL","",IF(C9="OPTIONS BUY",IF(INDEX([1]AB4!V:V,MATCH(A7,[1]AB4!B:B,0))="","",INDEX([1]AB4!W:W,MATCH(A7,[1]AB4!B:B,0)))))))</f>
        <v>1</v>
      </c>
      <c r="Z7" s="24" t="s">
        <v>0</v>
      </c>
      <c r="AA7" s="27" t="s">
        <v>0</v>
      </c>
    </row>
    <row r="8" spans="1:27" ht="53.25" customHeight="1" thickBot="1" x14ac:dyDescent="0.25">
      <c r="A8" s="14" t="str">
        <f>IF(C4="","",CONCATENATE(C5,[1]AB5!$A$8))</f>
        <v>S26B</v>
      </c>
      <c r="B8" s="49"/>
      <c r="C8" s="50"/>
      <c r="D8" s="32"/>
      <c r="E8" s="51"/>
      <c r="F8" s="32"/>
      <c r="G8" s="33" t="str">
        <f t="array" ref="G8">IF(C4="","",IF(C9="Futures","",IF(C9="OPTIONS SELL","",IF(C9="OPTIONS BUY",CONCATENATE("( ",INDEX([1]AB4!BT:BT,MATCH(A8,[1]AB4!B:B,0))," ",INDEX([1]AB4!BU:BU,MATCH(A8,[1]AB4!B:B,0))," ",TEXT(INDEX([1]AB4!BV:BV,MATCH(A8,[1]AB4!B:B,0)),"0.00%")," ) &amp; ",INDEX([1]AB4!BW:BW,MATCH(A8,[1]AB4!B:B,0)))))))</f>
        <v>( SPT : PRV : 4DLL - 3.00% ) &amp; Round Up</v>
      </c>
      <c r="H8" s="33" t="str">
        <f>IF(C4="","",IF(C9="Futures","",IF(C9="OPTIONS SELL","",IF(C9="OPTIONS BUY",[1]AB5!$H$129))))</f>
        <v>N.A.</v>
      </c>
      <c r="I8" s="34" t="str">
        <f t="array" ref="I8">IF(C4="","",IF(C9="Futures","",IF(C9="OPTIONS SELL","",IF(C9="OPTIONS BUY",CONCATENATE(INDEX([1]AB4!CJ:CJ,MATCH(A8,[1]AB4!B:B,0)),[1]AB5!$I$129)))))</f>
        <v>N.A.</v>
      </c>
      <c r="J8" s="51"/>
      <c r="K8" s="32"/>
      <c r="L8" s="35" t="str">
        <f>IF(C4="","",IF(C9="Futures","",IF(C9="OPTIONS SELL","",IF(C9="OPTIONS BUY",[1]AB5!$L$132))))</f>
        <v>SL / TRP</v>
      </c>
      <c r="M8" s="33" t="str">
        <f t="array" ref="M8">IF(C4="","",IF(C9="Futures","",IF(C9="OPTIONS SELL","",IF(C9="OPTIONS BUY",IF(INDEX([1]AB4!AL:AL,MATCH(A8,[1]AB4!B:B,0))="","",CONCATENATE(INDEX([1]AB4!AA:AA,MATCH(A8,[1]AB4!B:B,0)),"{ ","( ",INDEX([1]AB4!AE:AE,MATCH(A8,[1]AB4!B:B,0)),INDEX([1]AB4!AF:AF,MATCH(A8,[1]AB4!B:B,0)),CONCATENATE("( ",CONCATENATE([1]AB5!$O$132,TEXT(INDEX([1]AB4!AG:AG,MATCH(A8,[1]AB4!B:B,0)),"0.00%"),") "," &amp; ","( ",INDEX([1]AB4!AK:AK,MATCH(A8,[1]AB4!B:B,0)),INDEX([1]AB4!AJ:AJ,MATCH(A8,[1]AB4!B:B,0)),TEXT(INDEX([1]AB4!AL:AL,MATCH(A8,[1]AB4!B:B,0)),"0.00%")," )"," } "))))))))</f>
        <v xml:space="preserve">Max{ ( PE : Entry  - ( Final Strike * 3.00%)  &amp; ( OPT : PRV : 2DLL - 10.00% ) } </v>
      </c>
      <c r="N8" s="36">
        <f t="array" ref="N8">IF(C4="","",IF(C9="Futures","",IF(C9="OPTIONS SELL","",IF(C9="OPTIONS BUY",INDEX([1]AB4!AM:AM,MATCH(A8,[1]AB4!B:B,0))))))</f>
        <v>5</v>
      </c>
      <c r="O8" s="33" t="str">
        <f t="array" ref="O8">IF(C4="","",IF(C9="Futures","",IF(C9="OPTIONS SELL","",IF(C9="OPTIONS BUY",IF(INDEX([1]AB4!AO:AO,MATCH(A8,[1]AB4!B:B,0))="","",CONCATENATE(INDEX([1]AB4!AA:AA,MATCH(A8,[1]AB4!B:B,0))," ( ",INDEX([1]AB4!AE:AE,MATCH(A8,[1]AB4!B:B,0))," &amp; ",INDEX([1]AB4!AN:AN,MATCH(A8,[1]AB4!B:B,0)),INDEX([1]AB4!AJ:AJ,MATCH(A8,[1]AB4!B:B,0)),TEXT(INDEX([1]AB4!AO:AO,MATCH(A8,[1]AB4!B:B,0)),"0.00%")," )"))))))</f>
        <v>Max ( PE : Entry  &amp; OPT : PRV : 2DLL - 10.00% )</v>
      </c>
      <c r="P8" s="37">
        <f t="array" ref="P8">IF(C4="","",IF(C9="Futures","",IF(C9="OPTIONS SELL","",IF(C9="OPTIONS BUY",IF(INDEX([1]AB4!AO:AO,MATCH(A8,[1]AB4!B:B,0))="","",INDEX([1]AB4!AP:AP,MATCH(A8,[1]AB4!B:B,0)))))))</f>
        <v>4</v>
      </c>
      <c r="Q8" s="38"/>
      <c r="R8" s="33" t="str">
        <f t="array" ref="R8">IF(C4="","",IF(C9="Futures","",IF(C9="OPTIONS SELL","",IF(C9="OPTIONS BUY",IF(INDEX([1]AB4!AR:AR,MATCH(A8,[1]AB4!B:B,0))="","",CONCATENATE(INDEX([1]AB4!AA:AA,MATCH(A8,[1]AB4!B:B,0))," ( ",INDEX([1]AB4!AE:AE,MATCH(A8,[1]AB4!B:B,0))," &amp; ",INDEX([1]AB4!AQ:AQ,MATCH(A8,[1]AB4!B:B,0)),INDEX([1]AB4!AJ:AJ,MATCH(A8,[1]AB4!B:B,0)),TEXT(INDEX([1]AB4!AR:AR,MATCH(A8,[1]AB4!B:B,0)),"0.00%")," )"))))))</f>
        <v>Max ( PE : Entry  &amp; OPT : PRV : 2DLL - 10.00% )</v>
      </c>
      <c r="S8" s="36">
        <f t="array" ref="S8">IF(C4="","",IF(C9="Futures","",IF(C9="OPTIONS SELL","",IF(C9="OPTIONS BUY",IF(INDEX([1]AB4!AR:AR,MATCH(A8,[1]AB4!B:B,0))="","",INDEX([1]AB4!AS:AS,MATCH(A8,[1]AB4!B:B,0)))))))</f>
        <v>3</v>
      </c>
      <c r="T8" s="33" t="str">
        <f t="array" ref="T8">IF(C4="","",IF(C9="Futures","",IF(C9="OPTIONS SELL","",IF(C9="OPTIONS BUY",IF(INDEX([1]AB4!AU:AU,MATCH(A8,[1]AB4!B:B))="","",CONCATENATE(INDEX([1]AB4!AA:AA,MATCH(A8,[1]AB4!B:B))," ( ",INDEX([1]AB4!AE:AE,MATCH(A8,[1]AB4!B:B))," &amp; ",INDEX([1]AB4!AT:AT,MATCH(A8,[1]AB4!B:B)),INDEX([1]AB4!AJ:AJ,MATCH(A8,[1]AB4!B:B)),TEXT(INDEX([1]AB4!AU:AU,MATCH(A8,[1]AB4!B:B)),"0.00%")," )"))))))</f>
        <v>Max ( PE : Entry  &amp; OPT : PRV : 2DLL - 10.00% )</v>
      </c>
      <c r="U8" s="36">
        <f t="array" ref="U8">IF(C4="","",IF(C9="Futures","",IF(C9="OPTIONS SELL","",IF(C9="OPTIONS BUY",IF(INDEX([1]AB4!AU:AU,MATCH(A8,[1]AB4!B:B,0))="","",INDEX([1]AB4!AV:AV,MATCH(A8,[1]AB4!B:B,0)))))))</f>
        <v>2</v>
      </c>
      <c r="V8" s="33" t="str">
        <f t="array" ref="V8">IF(C4="","",IF(C9="Futures","",IF(C9="OPTIONS SELL","",IF(C9="OPTIONS BUY",IF(INDEX([1]AB4!AX:AX,MATCH(A8,[1]AB4!B:B,0))="","",CONCATENATE(INDEX([1]AB4!AA:AA,MATCH(A8,[1]AB4!B:B,0))," ( ",INDEX([1]AB4!AE:AE,MATCH(A8,[1]AB4!B:B,0))," &amp; ",INDEX([1]AB4!AW:AW,MATCH(A8,[1]AB4!B:B,0)),INDEX([1]AB4!AJ:AJ,MATCH(A8,[1]AB4!B:B,0)),TEXT(INDEX([1]AB4!AX:AX,MATCH(A8,[1]AB4!B:B,0)),"0.00%")," )"))))))</f>
        <v>Max ( PE : Entry  &amp; OPT : PRV : 2DLL - 10.00% )</v>
      </c>
      <c r="W8" s="36">
        <f t="array" ref="W8">IF(C4="","",IF(C9="Futures","",IF(C9="OPTIONS SELL","",IF(C9="OPTIONS BUY",IF(INDEX([1]AB4!AX:AX,MATCH(A8,[1]AB4!B:B,0))="","",INDEX([1]AB4!AY:AY,MATCH(A8,[1]AB4!B:B,0)))))))</f>
        <v>1</v>
      </c>
      <c r="X8" s="33" t="str">
        <f t="array" ref="X8">IF(C4="","",IF(C9="Futures","",IF(C9="OPTIONS SELL","",IF(C9="OPTIONS BUY",IF(INDEX([1]AB4!BA:BA,MATCH(A8,[1]AB4!B:B,0))="","",CONCATENATE(INDEX([1]AB4!AA:AA,MATCH(A8,[1]AB4!B:B,0))," ( ",INDEX([1]AB4!AE:AE,MATCH(A8,[1]AB4!B:B,0))," &amp; ",INDEX([1]AB4!AW:AW,MATCH(A8,[1]AB4!B:B,0)),INDEX([1]AB4!AJ:AJ,MATCH(A8,[1]AB4!B:B,0)),TEXT(INDEX([1]AB4!AX:AX,MATCH(A8,[1]AB4!B:B,0)),"0.00%")," )"))))))</f>
        <v>Max ( PE : Entry  &amp; OPT : PRV : 2DLL - 10.00% )</v>
      </c>
      <c r="Y8" s="36">
        <f t="array" ref="Y8">IF(C4="","",IF(C9="Futures","",IF(C9="OPTIONS SELL","",IF(C9="OPTIONS BUY",IF(INDEX([1]AB4!BA:BA,MATCH(A8,[1]AB4!B:B,0))="","",INDEX([1]AB4!AY:AY,MATCH(A8,[1]AB4!B:B,0)))))))</f>
        <v>1</v>
      </c>
      <c r="Z8" s="39">
        <f t="array" ref="Z8">IF(C4="","",IF(C9="Futures","",IF(C9="OPTIONS SELL","",IF(C9="OPTIONS BUY",IF(INDEX([1]AB4!BD:BD,MATCH(A7,[1]AB4!B:B,0))="","",INDEX([1]AB4!AZ:AZ,MATCH(A7,[1]AB4!B:B,0)))))))</f>
        <v>0</v>
      </c>
      <c r="AA8" s="40">
        <f>IF(C4="","",IF(C9="Futures","",IF(C9="OPTIONS SELL","",IF(C9="OPTIONS BUY",IF(VLOOKUP(A8,[1]AB4!B:CL,55,FALSE)="","",VLOOKUP(A8,[1]AB4!B:CL,53,FALSE))))))</f>
        <v>0</v>
      </c>
    </row>
    <row r="9" spans="1:27" ht="24.75" customHeight="1" thickBot="1" x14ac:dyDescent="0.25">
      <c r="A9" s="14" t="str">
        <f>IF(C4="","",CONCATENATE(C5,[1]AB5!$A$9))</f>
        <v>S26C</v>
      </c>
      <c r="B9" s="28" t="str">
        <f>IF(C4="","",IF(C9="Futures","",IF(C9="OPTIONS SELL","",[1]AB5!$B$133)))</f>
        <v>Segment</v>
      </c>
      <c r="C9" s="29" t="str">
        <f t="array" ref="C9">IF(C4="","",INDEX([1]AB2!C:C,MATCH(C4,[1]AB2!A:A,0)))</f>
        <v>OPTIONS BUY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 spans="1:27" ht="53.25" customHeight="1" x14ac:dyDescent="0.2">
      <c r="A10" s="14" t="str">
        <f>IF(C4="","",CONCATENATE(C5,[1]AB5!$A$10))</f>
        <v>S26D</v>
      </c>
      <c r="B10" s="28" t="str">
        <f>IF(C4="","",IF(C9="Futures","",IF(C9="OPTIONS SELL","",[1]AB5!$B$134)))</f>
        <v>Symbol</v>
      </c>
      <c r="C10" s="29" t="str">
        <f t="array" ref="C10">IF(C4="","",IF(C9="Futures","",IF(C9="OPTIONS SELL","",IF(C9="OPTIONS BUY",INDEX([1]AB2!E:E,MATCH(C4,[1]AB2!A:A,0))))))</f>
        <v>STOCKS</v>
      </c>
      <c r="D10" s="48" t="str">
        <f>IF(C4="","",IF(C9="Futures","",IF(C9="OPTIONS SELL","",IF(C9="OPTIONS BUY",[1]AB5!$D$134))))</f>
        <v>BEAR / BEAR CF</v>
      </c>
      <c r="E10" s="18"/>
      <c r="F10" s="17" t="str">
        <f>IF(C4="","",IF(C9="Futures","",IF(C9="OPTIONS SELL","",IF(C9="OPTIONS BUY",[1]AB5!$F$134))))</f>
        <v>Call</v>
      </c>
      <c r="G10" s="19" t="str">
        <f t="array" ref="G10">IF(C4="","",IF(C9="Futures","",IF(C9="OPTIONS SELL","",IF(C9="OPTIONS BUY",CONCATENATE("( ",INDEX([1]AB4!BP:BP,MATCH(A10,[1]AB4!B:B,0))," ",INDEX([1]AB4!BQ:BQ,MATCH(A10,[1]AB4!B:B,0))," ",TEXT(INDEX([1]AB4!BR:BR,MATCH(A10,[1]AB4!B:B,0)),"0.00%")," ) &amp; ",INDEX([1]AB4!BS:BS,MATCH(A10,[1]AB4!B:B,0)))))))</f>
        <v>( SPT : PRV : 4DHH - 3.00% ) &amp; Round Down</v>
      </c>
      <c r="H10" s="19" t="str">
        <f t="array" ref="H10">IF(C4="","",IF(C9="Futures","",IF(C9="OPTIONS SELL","",IF(C9="OPTIONS BUY",CONCATENATE(INDEX([1]AB4!CE:CE,MATCH(A10,[1]AB4!B:B,0)),[1]AB5!$H$128,TEXT(INDEX([1]AB4!CF:CF,MATCH(A10,[1]AB4!B:B,0)),"0.00%"))))))</f>
        <v>SPT : PRV : 4DHH * 8.00%</v>
      </c>
      <c r="I10" s="20" t="str">
        <f t="array" ref="I10">IF(C4="","",IF(C9="Futures","",IF(C9="OPTIONS SELL","",IF(C9="OPTIONS BUY",CONCATENATE(INDEX([1]AB4!CI:CI,MATCH(A10,[1]AB4!B:B,0)),[1]AB5!$I$128)))))</f>
        <v>100 Lots</v>
      </c>
      <c r="J10" s="53" t="str">
        <f>IF(C4="","",IF(C9="Futures","",IF(C9="OPTIONS SELL","",IF(C9="OPTIONS BUY",[1]AB5!$J$134))))</f>
        <v>BEAR / BEAR CF</v>
      </c>
      <c r="K10" s="17" t="str">
        <f>IF(C4="","",IF(C9="Futures","",IF(C9="OPTIONS SELL","",IF(C9="OPTIONS BUY",[1]AB5!$K$134))))</f>
        <v>Call</v>
      </c>
      <c r="L10" s="22" t="str">
        <f>IF(C4="","",IF(C9="Futures","",IF(C9="OPTIONS SELL","",IF(C9="OPTIONS BUY",[1]AB5!$L$134))))</f>
        <v>E &amp; T</v>
      </c>
      <c r="M10" s="19" t="str">
        <f t="array" ref="M10">IF(C4="","",IF(C9="Futures","",IF(C9="OPTIONS SELL","",IF(C9="OPTIONS BUY",CONCATENATE(INDEX([1]AB4!G:G,MATCH(A10,[1]AB4!B:B,0)),INDEX([1]AB4!H:H,MATCH(A10,[1]AB4!B:B,0)),TEXT(INDEX([1]AB4!I:I,MATCH(A10,[1]AB4!B:B,0)),"0.00%"))))))</f>
        <v>OPT : PRV : 4D HH + 7.00%</v>
      </c>
      <c r="N10" s="23">
        <f t="array" ref="N10">IF(C4="","",IF(C9="Futures","",IF(C9="OPTIONS SELL","",IF(C9="OPTIONS BUY",INDEX([1]AB4!J:J,MATCH(A10,[1]AB4!B:B,0))))))</f>
        <v>5</v>
      </c>
      <c r="O10" s="24" t="str">
        <f t="array" ref="O10">IF(C4="","",IF(C9="Futures","",IF(C9="OPTIONS SELL","",IF(C9="OPTIONS BUY",IF(INDEX([1]AB4!N:N,MATCH(A10,[1]AB4!B:B,0))="","",CONCATENATE(INDEX([1]AB4!L:L,MATCH(A10,[1]AB4!B:B,0)),INDEX([1]AB4!M:M,MATCH(A10,[1]AB4!B:B,0)),CONCATENATE("( ",CONCATENATE([1]AB5!$O$134,TEXT(INDEX([1]AB4!N:N,MATCH(A10,[1]AB4!B:B,0)),"0.00%"),CONCATENATE(" ) ")))))))))</f>
        <v xml:space="preserve">CE : Entry  + ( Final Strike * 3.00% ) </v>
      </c>
      <c r="P10" s="25">
        <f t="array" ref="P10">IF(C4="","",IF(C9="Futures","",IF(C9="OPTIONS SELL","",IF(C9="OPTIONS BUY",IF(INDEX([1]AB4!N:N,MATCH(A10,[1]AB4!B:B,0))="","",INDEX([1]AB4!O:O,MATCH(A10,[1]AB4!B:B,0)))))))</f>
        <v>1</v>
      </c>
      <c r="Q10" s="26"/>
      <c r="R10" s="24" t="str">
        <f t="array" ref="R10">IF(C4="","",IF(C9="Futures","",IF(C9="OPTIONS SELL","",IF(C9="OPTIONS BUY",IF(INDEX([1]AB4!P:P,MATCH(A10,[1]AB4!B:B,0))="","",CONCATENATE(INDEX([1]AB4!L:L,MATCH(A10,[1]AB4!B:B,0)),INDEX([1]AB4!M:M,MATCH(A10,[1]AB4!B:B,0)),CONCATENATE("( ",CONCATENATE([1]AB5!$R$134,TEXT(INDEX([1]AB4!P:P,MATCH(A10,[1]AB4!B:B,0)),"0.00%"),CONCATENATE(" ) ")))))))))</f>
        <v xml:space="preserve">CE : Entry  + ( Final Strike * 4.50% ) </v>
      </c>
      <c r="S10" s="23">
        <f t="array" ref="S10">IF(C4="","",IF(C9="Futures","",IF(C9="OPTIONS SELL","",IF(C9="OPTIONS BUY",IF(INDEX([1]AB4!P:P,MATCH(A10,[1]AB4!B:B,0))="","",INDEX([1]AB4!Q:Q,MATCH(A10,[1]AB4!B:B,0)))))))</f>
        <v>1</v>
      </c>
      <c r="T10" s="24" t="str">
        <f t="array" ref="T10">IF(C4="","",IF(C9="Futures","",IF(C9="OPTIONS SELL","",IF(C9="OPTIONS BUY",IF(INDEX([1]AB4!R:R,MATCH(A10,[1]AB4!B:B,0))="","",CONCATENATE(INDEX([1]AB4!L:L,MATCH(A10,[1]AB4!B:B,0)),INDEX([1]AB4!M:M,MATCH(A10,[1]AB4!B:B,0)),CONCATENATE("( ",CONCATENATE([1]AB5!$T$134,TEXT(INDEX([1]AB4!R:R,MATCH(A10,[1]AB4!B:B,0)),"0.00%"),CONCATENATE(" ) ")))))))))</f>
        <v xml:space="preserve">CE : Entry  + ( Final Strike * 6.00% ) </v>
      </c>
      <c r="U10" s="23">
        <f t="array" ref="U10">IF(C4="","",IF(C9="Futures","",IF(C9="OPTIONS SELL","",IF(C9="OPTIONS BUY",IF(INDEX([1]AB4!R:R,MATCH(A10,[1]AB4!B:B,0))="","",INDEX([1]AB4!S:S,MATCH(A10,[1]AB4!B:B,0)))))))</f>
        <v>1</v>
      </c>
      <c r="V10" s="24" t="str">
        <f t="array" ref="V10">IF(C4="","",IF(C9="Futures","",IF(C9="OPTIONS SELL","",IF(C9="OPTIONS BUY",IF(INDEX([1]AB4!T:T,MATCH(A10,[1]AB4!B:B,0))="","",CONCATENATE(INDEX([1]AB4!L:L,MATCH(A10,[1]AB4!B:B,0)),INDEX([1]AB4!M:M,MATCH(A10,[1]AB4!B:B,0)),CONCATENATE("( ",CONCATENATE([1]AB5!$V$134,TEXT(INDEX([1]AB4!T:T,MATCH(A10,[1]AB4!B:B,0)),"0.00%"),CONCATENATE(" ) ")))))))))</f>
        <v xml:space="preserve">CE : Entry  + ( Final Strike * 8.00% ) </v>
      </c>
      <c r="W10" s="23">
        <f t="array" ref="W10">IF(C4="","",IF(C9="Futures","",IF(C9="OPTIONS SELL","",IF(C9="OPTIONS BUY",IF(INDEX([1]AB4!T:T,MATCH(A10,[1]AB4!B:B,0))="","",INDEX([1]AB4!U:U,MATCH(A10,[1]AB4!B:B,0)))))))</f>
        <v>1</v>
      </c>
      <c r="X10" s="24" t="str">
        <f t="array" ref="X10">IF(C4="","",IF(C9="Futures","",IF(C9="OPTIONS SELL","",IF(C9="OPTIONS BUY",IF(INDEX([1]AB4!V:V,MATCH(A10,[1]AB4!B:B,0))="","",INDEX([1]AB4!V:V,MATCH(A10,[1]AB4!B:B,0)))))))</f>
        <v>TR PROFIT AFTER TGT 4</v>
      </c>
      <c r="Y10" s="23">
        <f t="array" ref="Y10">IF(C4="","",IF(C9="Futures","",IF(C9="OPTIONS SELL","",IF(C9="OPTIONS BUY",IF(INDEX([1]AB4!V:V,MATCH(A10,[1]AB4!B:B,0))="","",INDEX([1]AB4!W:W,MATCH(A10,[1]AB4!B:B,0)))))))</f>
        <v>1</v>
      </c>
      <c r="Z10" s="24" t="s">
        <v>0</v>
      </c>
      <c r="AA10" s="27" t="s">
        <v>0</v>
      </c>
    </row>
    <row r="11" spans="1:27" ht="53.25" customHeight="1" thickBot="1" x14ac:dyDescent="0.25">
      <c r="A11" s="14" t="str">
        <f>IF(C4="","",CONCATENATE(C5,[1]AB5!$A$11))</f>
        <v>S26D</v>
      </c>
      <c r="B11" s="28" t="str">
        <f>IF(C4="","",IF(C9="Futures","",IF(C9="OPTIONS SELL","",[1]AB5!$B$135)))</f>
        <v>No. of TGT</v>
      </c>
      <c r="C11" s="29" t="str">
        <f t="array" ref="C11">IF(C4="","",IF(C9="Futures","",IF(C9="OPTIONS SELL","",IF(C9="OPTIONS BUY",INDEX([1]AB2!K:K,MATCH(C4,[1]AB2!A:A,0))))))</f>
        <v>4 &amp; APS</v>
      </c>
      <c r="D11" s="30"/>
      <c r="E11" s="31"/>
      <c r="F11" s="32"/>
      <c r="G11" s="33" t="str">
        <f t="array" ref="G11">IF(C4="","",IF(C9="Futures","",IF(C9="OPTIONS SELL","",IF(C9="OPTIONS BUY",CONCATENATE("( ",INDEX([1]AB4!BT:BT,MATCH(A11,[1]AB4!B:B,0))," ",INDEX([1]AB4!BU:BU,MATCH(A11,[1]AB4!B:B,0))," ",TEXT(INDEX([1]AB4!BV:BV,MATCH(A11,[1]AB4!B:B,0)),"0.00%")," ) &amp; ",INDEX([1]AB4!BW:BW,MATCH(A11,[1]AB4!B:B,0)))))))</f>
        <v>( SPT : PRV : 4DHH + 3.00% ) &amp; Round Down</v>
      </c>
      <c r="H11" s="33" t="str">
        <f>IF(C4="","",IF(C9="Futures","",IF(C9="OPTIONS SELL","",IF(C9="OPTIONS BUY",[1]AB5!$H$129))))</f>
        <v>N.A.</v>
      </c>
      <c r="I11" s="34" t="str">
        <f t="array" ref="I11">IF(C4="","",IF(C9="Futures","",IF(C9="OPTIONS SELL","",IF(C9="OPTIONS BUY",CONCATENATE(INDEX([1]AB4!CJ:CJ,MATCH(A11,[1]AB4!B:B,0)),[1]AB5!$I$129)))))</f>
        <v>N.A.</v>
      </c>
      <c r="J11" s="31"/>
      <c r="K11" s="32"/>
      <c r="L11" s="35" t="str">
        <f>IF(C4="","",IF(C9="Futures","",IF(C9="OPTIONS SELL","",IF(C9="OPTIONS BUY",[1]AB5!$L$135))))</f>
        <v>SL / TRP</v>
      </c>
      <c r="M11" s="33" t="str">
        <f t="array" ref="M11">IF(C4="","",IF(C9="Futures","",IF(C9="OPTIONS SELL","",IF(C9="OPTIONS BUY",IF(INDEX([1]AB4!AL:AL,MATCH(A11,[1]AB4!B:B,0))="","",CONCATENATE(INDEX([1]AB4!AA:AA,MATCH(A11,[1]AB4!B:B,0))," { ","( ",INDEX([1]AB4!AE:AE,MATCH(A11,[1]AB4!B:B,0)),INDEX([1]AB4!AF:AF,MATCH(A11,[1]AB4!B:B,0)),CONCATENATE("( ",CONCATENATE([1]AB5!$O$135,TEXT(INDEX([1]AB4!AG:AG,MATCH(A11,[1]AB4!B:B,0)),"0.00%")," ) ",," &amp; "," ( ",INDEX([1]AB4!AK:AK,MATCH(A11,[1]AB4!B:B,0)),INDEX([1]AB4!AJ:AJ,MATCH(A11,[1]AB4!B:B,0)),TEXT(INDEX([1]AB4!AL:AL,MATCH(A11,[1]AB4!B:B,0)),"0.00%")," )"," } "))))))))</f>
        <v xml:space="preserve">Max { ( CE : Entry  - ( Final Strike * 3.00% )  &amp;  ( OPT : PRV : 2DLL - 10.00% ) } </v>
      </c>
      <c r="N11" s="36">
        <f t="array" ref="N11">IF(C4="","",IF(C9="Futures","",IF(C9="OPTIONS SELL","",IF(C9="OPTIONS BUY",INDEX([1]AB4!AM:AM,MATCH(A11,[1]AB4!B:B,0))))))</f>
        <v>5</v>
      </c>
      <c r="O11" s="33" t="str">
        <f t="array" ref="O11">IF(C4="","",IF(C9="Futures","",IF(C9="OPTIONS SELL","",IF(C9="OPTIONS BUY",IF(INDEX([1]AB4!AO:AO,MATCH(A11,[1]AB4!B:B,0))="","",CONCATENATE(INDEX([1]AB4!AA:AA,MATCH(A11,[1]AB4!B:B,0))," ( ",INDEX([1]AB4!AE:AE,MATCH(A11,[1]AB4!B:B,0))," &amp; ",INDEX([1]AB4!AN:AN,MATCH(A11,[1]AB4!B:B,0)),INDEX([1]AB4!AJ:AJ,MATCH(A11,[1]AB4!B:B,0)),TEXT(INDEX([1]AB4!AO:AO,MATCH(A11,[1]AB4!B:B,0)),"0.00%")," )"))))))</f>
        <v>Max ( CE : Entry  &amp; OPT : PRV : 2DLL - 10.00% )</v>
      </c>
      <c r="P11" s="37">
        <f t="array" ref="P11">IF(C4="","",IF(C9="Futures","",IF(C9="OPTIONS SELL","",IF(C9="OPTIONS BUY",IF(INDEX([1]AB4!AO:AO,MATCH(A11,[1]AB4!B:B,0))="","",INDEX([1]AB4!AP:AP,MATCH(A11,[1]AB4!B:B,0)))))))</f>
        <v>4</v>
      </c>
      <c r="Q11" s="38"/>
      <c r="R11" s="33" t="str">
        <f t="array" ref="R11">IF(C4="","",IF(C9="Futures","",IF(C9="OPTIONS SELL","",IF(C9="OPTIONS BUY",IF(INDEX([1]AB4!AR:AR,MATCH(A11,[1]AB4!B:B,0))="","",CONCATENATE(INDEX([1]AB4!AA:AA,MATCH(A11,[1]AB4!B:B,0))," ( ",INDEX([1]AB4!AE:AE,MATCH(A11,[1]AB4!B:B,0))," &amp; ",INDEX([1]AB4!AQ:AQ,MATCH(A11,[1]AB4!B:B,0)),INDEX([1]AB4!AJ:AJ,MATCH(A11,[1]AB4!B:B,0)),TEXT(INDEX([1]AB4!AR:AR,MATCH(A11,[1]AB4!B:B,0)),"0.00%")," )"))))))</f>
        <v>Max ( CE : Entry  &amp; OPT : PRV : 2DLL - 10.00% )</v>
      </c>
      <c r="S11" s="36">
        <f t="array" ref="S11">IF(C4="","",IF(C9="Futures","",IF(C9="OPTIONS SELL","",IF(C9="OPTIONS BUY",IF(INDEX([1]AB4!AR:AR,MATCH(A11,[1]AB4!B:B,0))="","",INDEX([1]AB4!AS:AS,MATCH(A11,[1]AB4!B:B,0)))))))</f>
        <v>3</v>
      </c>
      <c r="T11" s="33" t="str">
        <f t="array" ref="T11">IF(C4="","",IF(C9="Futures","",IF(C9="OPTIONS SELL","",IF(C9="OPTIONS BUY",IF(INDEX([1]AB4!AU:AU,MATCH(A11,[1]AB4!B:B))="","",CONCATENATE(INDEX([1]AB4!AA:AA,MATCH(A11,[1]AB4!B:B))," ( ",INDEX([1]AB4!AE:AE,MATCH(A11,[1]AB4!B:B))," &amp; ",INDEX([1]AB4!AT:AT,MATCH(A11,[1]AB4!B:B)),INDEX([1]AB4!AJ:AJ,MATCH(A11,[1]AB4!B:B)),TEXT(INDEX([1]AB4!AU:AU,MATCH(A11,[1]AB4!B:B)),"0.00%")," )"))))))</f>
        <v>Max ( CE : Entry  &amp; OPT : PRV : 2DLL - 10.00% )</v>
      </c>
      <c r="U11" s="36">
        <f t="array" ref="U11">IF(C4="","",IF(C9="Futures","",IF(C9="OPTIONS SELL","",IF(C9="OPTIONS BUY",IF(INDEX([1]AB4!AU:AU,MATCH(A11,[1]AB4!B:B,0))="","",INDEX([1]AB4!AV:AV,MATCH(A11,[1]AB4!B:B,0)))))))</f>
        <v>2</v>
      </c>
      <c r="V11" s="33" t="str">
        <f t="array" ref="V11">IF(C4="","",IF(C9="Futures","",IF(C9="OPTIONS SELL","",IF(C9="OPTIONS BUY",IF(INDEX([1]AB4!AX:AX,MATCH(A11,[1]AB4!B:B,0))="","",CONCATENATE(INDEX([1]AB4!AA:AA,MATCH(A11,[1]AB4!B:B,0))," ( ",INDEX([1]AB4!AE:AE,MATCH(A11,[1]AB4!B:B,0))," &amp; ",INDEX([1]AB4!AW:AW,MATCH(A11,[1]AB4!B:B,0)),INDEX([1]AB4!AJ:AJ,MATCH(A11,[1]AB4!B:B,0)),TEXT(INDEX([1]AB4!AX:AX,MATCH(A11,[1]AB4!B:B,0)),"0.00%")," )"))))))</f>
        <v>Max ( CE : Entry  &amp; OPT : PRV : 2DLL - 10.00% )</v>
      </c>
      <c r="W11" s="36">
        <f t="array" ref="W11">IF(C4="","",IF(C9="Futures","",IF(C9="OPTIONS SELL","",IF(C9="OPTIONS BUY",IF(INDEX([1]AB4!AX:AX,MATCH(A11,[1]AB4!B:B,0))="","",INDEX([1]AB4!AY:AY,MATCH(A11,[1]AB4!B:B,0)))))))</f>
        <v>1</v>
      </c>
      <c r="X11" s="33" t="str">
        <f t="array" ref="X11">IF(C4="","",IF(C9="Futures","",IF(C9="OPTIONS SELL","",IF(C9="OPTIONS BUY",IF(INDEX([1]AB4!BA:BA,MATCH(A11,[1]AB4!B:B,0))="","",CONCATENATE(INDEX([1]AB4!AA:AA,MATCH(A11,[1]AB4!B:B,0))," ( ",INDEX([1]AB4!AE:AE,MATCH(A11,[1]AB4!B:B,0))," &amp; ",INDEX([1]AB4!AW:AW,MATCH(A11,[1]AB4!B:B,0)),INDEX([1]AB4!AJ:AJ,MATCH(A11,[1]AB4!B:B,0)),TEXT(INDEX([1]AB4!AX:AX,MATCH(A11,[1]AB4!B:B,0)),"0.00%")," )"))))))</f>
        <v>Max ( CE : Entry  &amp; OPT : PRV : 2DLL - 10.00% )</v>
      </c>
      <c r="Y11" s="36">
        <f t="array" ref="Y11">IF(C4="","",IF(C9="Futures","",IF(C9="OPTIONS SELL","",IF(C9="OPTIONS BUY",IF(INDEX([1]AB4!BA:BA,MATCH(A11,[1]AB4!B:B,0))="","",INDEX([1]AB4!AY:AY,MATCH(A11,[1]AB4!B:B,0)))))))</f>
        <v>1</v>
      </c>
      <c r="Z11" s="39">
        <f t="array" ref="Z11">IF(C4="","",IF(C9="Futures","",IF(C9="OPTIONS SELL","",IF(C9="OPTIONS BUY",IF(INDEX([1]AB4!BD:BD,MATCH(A10,[1]AB4!B:B,0))="","",INDEX([1]AB4!AZ:AZ,MATCH(A10,[1]AB4!B:B,0)))))))</f>
        <v>0</v>
      </c>
      <c r="AA11" s="40">
        <f>IF(C4="","",IF(C9="Futures","",IF(C9="OPTIONS SELL","",IF(C9="OPTIONS BUY",IF(VLOOKUP(A11,[1]AB4!B:CL,55,FALSE)="","",VLOOKUP(A11,[1]AB4!B:CL,53,FALSE))))))</f>
        <v>0</v>
      </c>
    </row>
    <row r="12" spans="1:27" ht="9" customHeight="1" thickBot="1" x14ac:dyDescent="0.25">
      <c r="A12" s="14" t="str">
        <f>IF(C4="","",CONCATENATE(C5,[1]AB5!A12))</f>
        <v>S26</v>
      </c>
      <c r="B12" s="54" t="str">
        <f>IF(C4="","",[1]AB5!B136)</f>
        <v xml:space="preserve">I Commit To Follow The Rules &amp; Process
</v>
      </c>
      <c r="C12" s="55"/>
      <c r="D12" s="30"/>
      <c r="E12" s="31"/>
      <c r="F12" s="43"/>
      <c r="G12" s="44"/>
      <c r="H12" s="44"/>
      <c r="I12" s="45"/>
      <c r="J12" s="31"/>
      <c r="K12" s="43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spans="1:27" ht="53.25" customHeight="1" x14ac:dyDescent="0.2">
      <c r="A13" s="14" t="str">
        <f>IF(C4="","",CONCATENATE(C5,[1]AB5!$A$13))</f>
        <v>S26E</v>
      </c>
      <c r="B13" s="30"/>
      <c r="C13" s="31"/>
      <c r="D13" s="30"/>
      <c r="E13" s="31"/>
      <c r="F13" s="48" t="str">
        <f>IF(C4="","",IF(C9="Futures","",IF(C9="OPTIONS SELL","",IF(C9="OPTIONS BUY",[1]AB5!$F$137))))</f>
        <v>Put</v>
      </c>
      <c r="G13" s="19" t="str">
        <f t="array" ref="G13">IF(C4="","",IF(C9="Futures","",IF(C9="OPTIONS SELL","",IF(C9="OPTIONS BUY",CONCATENATE("( ",INDEX([1]AB4!BP:BP,MATCH(A13,[1]AB4!B:B,0))," ",INDEX([1]AB4!BQ:BQ,MATCH(A13,[1]AB4!B:B,0))," ",TEXT(INDEX([1]AB4!BR:BR,MATCH(A13,[1]AB4!B:B,0)),"0.00%")," ) &amp; ",INDEX([1]AB4!BS:BS,MATCH(A13,[1]AB4!B:B,0)))))))</f>
        <v>( SPT : PRV : 2DLL + 3.00% ) &amp; Round Up</v>
      </c>
      <c r="H13" s="19" t="str">
        <f t="array" ref="H13">IF(C4="","",IF(C9="Futures","",IF(C9="OPTIONS SELL","",IF(C9="OPTIONS BUY",CONCATENATE(INDEX([1]AB4!CE:CE,MATCH(A13,[1]AB4!B:B,0)),[1]AB5!$H$128,TEXT(INDEX([1]AB4!CF:CF,MATCH(A13,[1]AB4!B:B,0)),"0.00%"))))))</f>
        <v>SPT : PRV : 2DLL * 8.00%</v>
      </c>
      <c r="I13" s="20" t="str">
        <f t="array" ref="I13">IF(C4="","",IF(C9="Futures","",IF(C9="OPTIONS SELL","",IF(C9="OPTIONS BUY",CONCATENATE(INDEX([1]AB4!CI:CI,MATCH(A13,[1]AB4!B:B,0)),[1]AB5!$I$128)))))</f>
        <v>100 Lots</v>
      </c>
      <c r="J13" s="31"/>
      <c r="K13" s="48" t="str">
        <f>IF(C4="","",IF(C9="Futures","",IF(C9="OPTIONS SELL","",IF(C9="OPTIONS BUY",[1]AB5!$K$137))))</f>
        <v>Put</v>
      </c>
      <c r="L13" s="22" t="str">
        <f>IF(C4="","",IF(C9="Futures","",IF(C9="OPTIONS SELL","",IF(C9="OPTIONS BUY",[1]AB5!$L$137))))</f>
        <v>E &amp; T</v>
      </c>
      <c r="M13" s="19" t="str">
        <f t="array" ref="M13">IF(C4="","",IF(C9="Futures","",IF(C9="OPTIONS SELL","",IF(C9="OPTIONS BUY",CONCATENATE(INDEX([1]AB4!G:G,MATCH(A13,[1]AB4!B:B,0)),INDEX([1]AB4!H:H,MATCH(A13,[1]AB4!B:B,0)),TEXT(INDEX([1]AB4!I:I,MATCH(A13,[1]AB4!B:B,0)),"0.00%"))))))</f>
        <v>OPT : PRV : 2D HH + 5.00%</v>
      </c>
      <c r="N13" s="23">
        <f t="array" ref="N13">IF(C4="","",IF(C9="Futures","",IF(C9="OPTIONS SELL","",IF(C9="OPTIONS BUY",INDEX([1]AB4!J:J,MATCH(A13,[1]AB4!B:B,0))))))</f>
        <v>5</v>
      </c>
      <c r="O13" s="24" t="str">
        <f t="array" ref="O13">IF(C4="","",IF(C9="Futures","",IF(C9="OPTIONS SELL","",IF(C9="OPTIONS BUY",IF(INDEX([1]AB4!N:N,MATCH(A13,[1]AB4!B:B,0))="","",CONCATENATE(INDEX([1]AB4!L:L,MATCH(A13,[1]AB4!B:B,0)),INDEX([1]AB4!M:M,MATCH(A13,[1]AB4!B:B,0)),CONCATENATE("( ",CONCATENATE([1]AB5!$O$137,TEXT(INDEX([1]AB4!N:N,MATCH(A13,[1]AB4!B:B,0)),"0.00%"),CONCATENATE(" ) ")))))))))</f>
        <v xml:space="preserve">PE : Entry  + ( Final Strike * 3.00% ) </v>
      </c>
      <c r="P13" s="25">
        <f t="array" ref="P13">IF(C4="","",IF(C9="Futures","",IF(C9="OPTIONS SELL","",IF(C9="OPTIONS BUY",IF(INDEX([1]AB4!N:N,MATCH(A13,[1]AB4!B:B,0))="","",INDEX([1]AB4!O:O,MATCH(A13,[1]AB4!B:B,0)))))))</f>
        <v>1</v>
      </c>
      <c r="Q13" s="26"/>
      <c r="R13" s="24" t="str">
        <f t="array" ref="R13">IF(C4="","",IF(C9="Futures","",IF(C9="OPTIONS SELL","",IF(C9="OPTIONS BUY",IF(INDEX([1]AB4!P:P,MATCH(A13,[1]AB4!B:B,0))="","",CONCATENATE(INDEX([1]AB4!L:L,MATCH(A13,[1]AB4!B:B,0)),INDEX([1]AB4!M:M,MATCH(A13,[1]AB4!B:B,0)),CONCATENATE("( ",CONCATENATE([1]AB5!$R$137,TEXT(INDEX([1]AB4!P:P,MATCH(A13,[1]AB4!B:B,0)),"0.00%"),CONCATENATE(" ) ")))))))))</f>
        <v xml:space="preserve">PE : Entry  + ( Final Strike * 4.50% ) </v>
      </c>
      <c r="S13" s="23">
        <f t="array" ref="S13">IF(C4="","",IF(C9="Futures","",IF(C9="OPTIONS SELL","",IF(C9="OPTIONS BUY",IF(INDEX([1]AB4!P:P,MATCH(A13,[1]AB4!B:B,0))="","",INDEX([1]AB4!Q:Q,MATCH(A13,[1]AB4!B:B,0)))))))</f>
        <v>1</v>
      </c>
      <c r="T13" s="24" t="str">
        <f t="array" ref="T13">IF(C4="","",IF(C9="Futures","",IF(C9="OPTIONS SELL","",IF(C9="OPTIONS BUY",IF(INDEX([1]AB4!R:R,MATCH(A13,[1]AB4!B:B,0))="","",CONCATENATE(INDEX([1]AB4!L:L,MATCH(A13,[1]AB4!B:B,0)),INDEX([1]AB4!M:M,MATCH(A13,[1]AB4!B:B,0)),CONCATENATE("( ",CONCATENATE([1]AB5!$T$137,TEXT(INDEX([1]AB4!R:R,MATCH(A13,[1]AB4!B:B,0)),"0.00%"),CONCATENATE(" ) ")))))))))</f>
        <v xml:space="preserve">PE : Entry  + ( Final Strike * 6.00% ) </v>
      </c>
      <c r="U13" s="23">
        <f t="array" ref="U13">IF(C4="","",IF(C9="Futures","",IF(C9="OPTIONS SELL","",IF(C9="OPTIONS BUY",IF(INDEX([1]AB4!R:R,MATCH(A13,[1]AB4!B:B,0))="","",INDEX([1]AB4!S:S,MATCH(A13,[1]AB4!B:B,0)))))))</f>
        <v>1</v>
      </c>
      <c r="V13" s="24" t="str">
        <f t="array" ref="V13">IF(C4="","",IF(C9="Futures","",IF(C9="OPTIONS SELL","",IF(C9="OPTIONS BUY",IF(INDEX([1]AB4!T:T,MATCH(A13,[1]AB4!B:B,0))="","",CONCATENATE(INDEX([1]AB4!L:L,MATCH(A13,[1]AB4!B:B,0)),INDEX([1]AB4!M:M,MATCH(A13,[1]AB4!B:B,0)),CONCATENATE("( ",CONCATENATE([1]AB5!$V$137,TEXT(INDEX([1]AB4!T:T,MATCH(A13,[1]AB4!B:B,0)),"0.00%"),CONCATENATE(" ) ")))))))))</f>
        <v xml:space="preserve">PE : Entry  + ( Final Strike * 8.00% ) </v>
      </c>
      <c r="W13" s="23">
        <f t="array" ref="W13">IF(C4="","",IF(C9="Futures","",IF(C9="OPTIONS SELL","",IF(C9="OPTIONS BUY",IF(INDEX([1]AB4!T:T,MATCH(A13,[1]AB4!B:B,0))="","",INDEX([1]AB4!U:U,MATCH(A13,[1]AB4!B:B,0)))))))</f>
        <v>1</v>
      </c>
      <c r="X13" s="24" t="str">
        <f t="array" ref="X13">IF(C4="","",IF(C9="Futures","",IF(C9="OPTIONS SELL","",IF(C9="OPTIONS BUY",IF(INDEX([1]AB4!V:V,MATCH(A13,[1]AB4!B:B,0))="","",INDEX([1]AB4!V:V,MATCH(A13,[1]AB4!B:B,0)))))))</f>
        <v>TR PROFIT AFTER TGT 4</v>
      </c>
      <c r="Y13" s="23">
        <f t="array" ref="Y13">IF(C4="","",IF(C9="Futures","",IF(C9="OPTIONS SELL","",IF(C9="OPTIONS BUY",IF(INDEX([1]AB4!V:V,MATCH(A13,[1]AB4!B:B,0))="","",INDEX([1]AB4!W:W,MATCH(A13,[1]AB4!B:B,0)))))))</f>
        <v>1</v>
      </c>
      <c r="Z13" s="24" t="s">
        <v>0</v>
      </c>
      <c r="AA13" s="27" t="s">
        <v>0</v>
      </c>
    </row>
    <row r="14" spans="1:27" ht="53.25" customHeight="1" thickBot="1" x14ac:dyDescent="0.25">
      <c r="A14" s="14" t="str">
        <f>IF(C4="","",CONCATENATE(C5,[1]AB5!$A$14))</f>
        <v>S26E</v>
      </c>
      <c r="B14" s="32"/>
      <c r="C14" s="51"/>
      <c r="D14" s="32"/>
      <c r="E14" s="51"/>
      <c r="F14" s="32"/>
      <c r="G14" s="33" t="str">
        <f t="array" ref="G14">IF(C4="","",IF(C9="Futures","",IF(C9="OPTIONS SELL","",IF(C9="OPTIONS BUY",CONCATENATE("( ",INDEX([1]AB4!BT:BT,MATCH(A14,[1]AB4!B:B,0))," ",INDEX([1]AB4!BU:BU,MATCH(A14,[1]AB4!B:B,0))," ",TEXT(INDEX([1]AB4!BV:BV,MATCH(A14,[1]AB4!B:B,0)),"0.00%")," ) &amp; ",INDEX([1]AB4!BW:BW,MATCH(A14,[1]AB4!B:B,0)))))))</f>
        <v>( SPT : PRV : 2DLL - 3.00% ) &amp; Round Up</v>
      </c>
      <c r="H14" s="33" t="str">
        <f>IF(C4="","",IF(C9="Futures","",IF(C9="OPTIONS SELL","",IF(C9="OPTIONS BUY",[1]AB5!$H$129))))</f>
        <v>N.A.</v>
      </c>
      <c r="I14" s="34" t="str">
        <f t="array" ref="I14">IF(C4="","",IF(C9="Futures","",IF(C9="OPTIONS SELL","",IF(C9="OPTIONS BUY",CONCATENATE(INDEX([1]AB4!CJ:CJ,MATCH(A14,[1]AB4!B:B,0)),[1]AB5!$I$129)))))</f>
        <v>N.A.</v>
      </c>
      <c r="J14" s="51"/>
      <c r="K14" s="32"/>
      <c r="L14" s="35" t="str">
        <f>IF(C4="","",IF(C9="Futures","",IF(C9="OPTIONS SELL","",IF(C9="OPTIONS BUY",[1]AB5!$L$138))))</f>
        <v>SL / TRP</v>
      </c>
      <c r="M14" s="33" t="str">
        <f t="array" ref="M14">IF(C4="","",IF(C9="Futures","",IF(C9="OPTIONS SELL","",IF(C9="OPTIONS BUY",IF(INDEX([1]AB4!AL:AL,MATCH(A14,[1]AB4!B:B,0))="","",CONCATENATE(INDEX([1]AB4!AA:AA,MATCH(A14,[1]AB4!B:B,0))," { ","( ",INDEX([1]AB4!AE:AE,MATCH(A14,[1]AB4!B:B,0)),INDEX([1]AB4!AF:AF,MATCH(A14,[1]AB4!B:B,0)),CONCATENATE("( ",CONCATENATE([1]AB5!$O$138,TEXT(INDEX([1]AB4!AG:AG,MATCH(A14,[1]AB4!B:B,0)),"0.00%")," ) "," &amp; "," ( ",INDEX([1]AB4!AK:AK,MATCH(A14,[1]AB4!B:B,0)),INDEX([1]AB4!AJ:AJ,MATCH(A14,[1]AB4!B:B,0)),TEXT(INDEX([1]AB4!AL:AL,MATCH(A14,[1]AB4!B:B,0)),"0.00%")," )"," }"))))))))</f>
        <v>Max { ( PE : Entry  - ( Final Strike * 3.00% )  &amp;  ( OPT : PRV : 3DLL - 12.00% ) }</v>
      </c>
      <c r="N14" s="36">
        <f t="array" ref="N14">IF(C4="","",IF(C9="Futures","",IF(C9="OPTIONS SELL","",IF(C9="OPTIONS BUY",INDEX([1]AB4!AM:AM,MATCH(A14,[1]AB4!B:B,0))))))</f>
        <v>5</v>
      </c>
      <c r="O14" s="33" t="str">
        <f t="array" ref="O14">IF(C4="","",IF(C9="Futures","",IF(C9="OPTIONS SELL","",IF(C9="OPTIONS BUY",IF(INDEX([1]AB4!AO:AO,MATCH(A14,[1]AB4!B:B,0))="","",CONCATENATE(INDEX([1]AB4!AA:AA,MATCH(A14,[1]AB4!B:B,0))," ( ",INDEX([1]AB4!AE:AE,MATCH(A14,[1]AB4!B:B,0))," &amp; ",INDEX([1]AB4!AN:AN,MATCH(A14,[1]AB4!B:B,0)),INDEX([1]AB4!AJ:AJ,MATCH(A14,[1]AB4!B:B,0)),TEXT(INDEX([1]AB4!AO:AO,MATCH(A14,[1]AB4!B:B,0)),"0.00%")," )"))))))</f>
        <v>Max ( PE : Entry  &amp; OPT : PRV : 3DLL - 12.00% )</v>
      </c>
      <c r="P14" s="37">
        <f t="array" ref="P14">IF(C4="","",IF(C9="Futures","",IF(C9="OPTIONS SELL","",IF(C9="OPTIONS BUY",IF(INDEX([1]AB4!AO:AO,MATCH(A14,[1]AB4!B:B,0))="","",INDEX([1]AB4!AP:AP,MATCH(A14,[1]AB4!B:B,0)))))))</f>
        <v>4</v>
      </c>
      <c r="Q14" s="38"/>
      <c r="R14" s="33" t="str">
        <f t="array" ref="R14">IF(C4="","",IF(C9="Futures","",IF(C9="OPTIONS SELL","",IF(C9="OPTIONS BUY",IF(INDEX([1]AB4!AR:AR,MATCH(A14,[1]AB4!B:B,0))="","",CONCATENATE(INDEX([1]AB4!AA:AA,MATCH(A14,[1]AB4!B:B,0))," ( ",INDEX([1]AB4!AE:AE,MATCH(A14,[1]AB4!B:B,0))," &amp; ",INDEX([1]AB4!AQ:AQ,MATCH(A14,[1]AB4!B:B,0)),INDEX([1]AB4!AJ:AJ,MATCH(A14,[1]AB4!B:B,0)),TEXT(INDEX([1]AB4!AR:AR,MATCH(A14,[1]AB4!B:B,0)),"0.00%")," )"))))))</f>
        <v>Max ( PE : Entry  &amp; OPT : PRV : 3DLL - 12.00% )</v>
      </c>
      <c r="S14" s="36">
        <f t="array" ref="S14">IF(C4="","",IF(C9="Futures","",IF(C9="OPTIONS SELL","",IF(C9="OPTIONS BUY",IF(INDEX([1]AB4!AR:AR,MATCH(A14,[1]AB4!B:B,0))="","",INDEX([1]AB4!AS:AS,MATCH(A14,[1]AB4!B:B,0)))))))</f>
        <v>3</v>
      </c>
      <c r="T14" s="33" t="str">
        <f t="array" ref="T14">IF(C4="","",IF(C9="Futures","",IF(C9="OPTIONS SELL","",IF(C9="OPTIONS BUY",IF(INDEX([1]AB4!AU:AU,MATCH(A14,[1]AB4!B:B))="","",CONCATENATE(INDEX([1]AB4!AA:AA,MATCH(A14,[1]AB4!B:B))," ( ",INDEX([1]AB4!AE:AE,MATCH(A14,[1]AB4!B:B))," &amp; ",INDEX([1]AB4!AT:AT,MATCH(A14,[1]AB4!B:B)),INDEX([1]AB4!AJ:AJ,MATCH(A14,[1]AB4!B:B)),TEXT(INDEX([1]AB4!AU:AU,MATCH(A14,[1]AB4!B:B)),"0.00%")," )"))))))</f>
        <v>Max ( PE : Entry  &amp; OPT : PRV : 3DLL - 12.00% )</v>
      </c>
      <c r="U14" s="36">
        <f t="array" ref="U14">IF(C4="","",IF(C9="Futures","",IF(C9="OPTIONS SELL","",IF(C9="OPTIONS BUY",IF(INDEX([1]AB4!AU:AU,MATCH(A14,[1]AB4!B:B,0))="","",INDEX([1]AB4!AV:AV,MATCH(A14,[1]AB4!B:B,0)))))))</f>
        <v>2</v>
      </c>
      <c r="V14" s="33" t="str">
        <f t="array" ref="V14">IF(C4="","",IF(C9="Futures","",IF(C9="OPTIONS SELL","",IF(C9="OPTIONS BUY",IF(INDEX([1]AB4!AX:AX,MATCH(A14,[1]AB4!B:B,0))="","",CONCATENATE(INDEX([1]AB4!AA:AA,MATCH(A14,[1]AB4!B:B,0))," ( ",INDEX([1]AB4!AE:AE,MATCH(A14,[1]AB4!B:B,0))," &amp; ",INDEX([1]AB4!AW:AW,MATCH(A14,[1]AB4!B:B,0)),INDEX([1]AB4!AJ:AJ,MATCH(A14,[1]AB4!B:B,0)),TEXT(INDEX([1]AB4!AX:AX,MATCH(A14,[1]AB4!B:B,0)),"0.00%")," )"))))))</f>
        <v>Max ( PE : Entry  &amp; OPT : PRV : 3DLL - 12.00% )</v>
      </c>
      <c r="W14" s="36">
        <f t="array" ref="W14">IF(C4="","",IF(C9="Futures","",IF(C9="OPTIONS SELL","",IF(C9="OPTIONS BUY",IF(INDEX([1]AB4!AX:AX,MATCH(A14,[1]AB4!B:B,0))="","",INDEX([1]AB4!AY:AY,MATCH(A14,[1]AB4!B:B,0)))))))</f>
        <v>1</v>
      </c>
      <c r="X14" s="33" t="str">
        <f t="array" ref="X14">IF(C4="","",IF(C9="Futures","",IF(C9="OPTIONS SELL","",IF(C9="OPTIONS BUY",IF(INDEX([1]AB4!BA:BA,MATCH(A14,[1]AB4!B:B,0))="","",CONCATENATE(INDEX([1]AB4!AA:AA,MATCH(A14,[1]AB4!B:B,0))," ( ",INDEX([1]AB4!AE:AE,MATCH(A14,[1]AB4!B:B,0))," &amp; ",INDEX([1]AB4!AW:AW,MATCH(A14,[1]AB4!B:B,0)),INDEX([1]AB4!AJ:AJ,MATCH(A14,[1]AB4!B:B,0)),TEXT(INDEX([1]AB4!AX:AX,MATCH(A14,[1]AB4!B:B,0)),"0.00%")," )"))))))</f>
        <v>Max ( PE : Entry  &amp; OPT : PRV : 3DLL - 12.00% )</v>
      </c>
      <c r="Y14" s="36">
        <f t="array" ref="Y14">IF(C4="","",IF(C9="Futures","",IF(C9="OPTIONS SELL","",IF(C9="OPTIONS BUY",IF(INDEX([1]AB4!BA:BA,MATCH(A14,[1]AB4!B:B,0))="","",INDEX([1]AB4!AY:AY,MATCH(A14,[1]AB4!B:B,0)))))))</f>
        <v>1</v>
      </c>
      <c r="Z14" s="39">
        <f t="array" ref="Z14">IF(C4="","",IF(C9="Futures","",IF(C9="OPTIONS SELL","",IF(C9="OPTIONS BUY",IF(INDEX([1]AB4!BD:BD,MATCH(A13,[1]AB4!B:B,0))="","",INDEX([1]AB4!AZ:AZ,MATCH(A13,[1]AB4!B:B,0)))))))</f>
        <v>0</v>
      </c>
      <c r="AA14" s="40">
        <f>IF(C4="","",IF(C9="Futures","",IF(C9="OPTIONS SELL","",IF(C9="OPTIONS BUY",IF(VLOOKUP(A14,[1]AB4!B:CL,55,FALSE)="","",VLOOKUP(A14,[1]AB4!B:CL,53,FALSE))))))</f>
        <v>0</v>
      </c>
    </row>
    <row r="15" spans="1:27" ht="12.75" customHeight="1" thickBot="1" x14ac:dyDescent="0.25">
      <c r="A15" s="14"/>
      <c r="B15" s="52"/>
      <c r="C15" s="52"/>
      <c r="D15" s="52"/>
      <c r="E15" s="52"/>
      <c r="F15" s="52"/>
      <c r="G15" s="52"/>
      <c r="H15" s="52"/>
      <c r="I15" s="52"/>
      <c r="J15" s="52"/>
      <c r="K15" s="14"/>
      <c r="L15" s="56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14"/>
    </row>
    <row r="16" spans="1:27" ht="53.25" customHeight="1" thickBot="1" x14ac:dyDescent="0.25">
      <c r="A16" s="14"/>
      <c r="B16" s="58" t="str">
        <f>IF(C4="","",IF(C9="Futures","",IF(C9="OPTIONS SELL","",IF(C9="OPTIONS BUY",[1]AB5!$B$140))))</f>
        <v>For Entry</v>
      </c>
      <c r="C16" s="59"/>
      <c r="D16" s="60" t="str">
        <f>IF(C4="","",IF(C9="Futures","",IF(C9="OPTIONS SELL","",IF(C9="OPTIONS BUY",[1]AB5!$D$140))))</f>
        <v>Gap Check</v>
      </c>
      <c r="E16" s="61" t="str">
        <f>IF(C4="","",IF(C9="Futures","",IF(C9="OPTIONS SELL","",IF(C9="OPTIONS BUY",[1]AB5!$E$140))))</f>
        <v>Process</v>
      </c>
      <c r="F16" s="62"/>
      <c r="G16" s="63" t="str">
        <f>IF(C4="","",IF(C9="Futures","",IF(C9="OPTIONS SELL","",IF(C9="OPTIONS BUY",[1]AB5!$G$140))))</f>
        <v>Yes / No</v>
      </c>
      <c r="H16" s="64" t="str">
        <f>IF(C4="","",IF(C9="Futures","",IF(C9="OPTIONS SELL","",IF(C9="OPTIONS BUY",[1]AB5!$H$140))))</f>
        <v>Order Status</v>
      </c>
      <c r="I16" s="65" t="str">
        <f>IF(C4="","",IF(C9="Futures","",IF(C9="OPTIONS SELL","",IF(C9="OPTIONS BUY",[1]AB5!$I$140))))</f>
        <v>Step 1</v>
      </c>
      <c r="J16" s="66" t="str">
        <f>IF(C4="","",IF(C9="Futures","",IF(C9="OPTIONS SELL","",IF(C9="OPTIONS BUY",[1]AB5!$J$140))))</f>
        <v>Order Placement Timings</v>
      </c>
      <c r="K16" s="62"/>
      <c r="L16" s="67" t="str">
        <f>IF(C4="","",IF(C9="Futures","",IF(C9="OPTIONS SELL","",IF(C9="OPTIONS BUY",[1]AB5!$L$140))))</f>
        <v>Time</v>
      </c>
      <c r="M16" s="65" t="str">
        <f>IF(C4="","",IF(C9="Futures","",IF(C9="OPTIONS SELL","",IF(C9="OPTIONS BUY",[1]AB5!$M$140))))</f>
        <v>Rules For Gap = Step 1 Start Strike</v>
      </c>
      <c r="N16" s="63" t="str">
        <f>IF(C4="","",IF(C9="Futures","",IF(C9="OPTIONS SELL","",IF(C9="OPTIONS BUY",[1]AB5!$N$140))))</f>
        <v>Start Strike Buffer</v>
      </c>
      <c r="O16" s="65" t="str">
        <f>IF(C4="","",IF(C9="Futures","",IF(C9="OPTIONS SELL","",IF(C9="OPTIONS BUY",[1]AB5!$O$140))))</f>
        <v>Rules For Gap = Step 2 End Strike</v>
      </c>
      <c r="P16" s="66" t="str">
        <f>IF(C4="","",IF(C9="Futures","",IF(C9="OPTIONS SELL","",IF(C9="OPTIONS BUY",[1]AB5!$P$140))))</f>
        <v>Last Choice Strike</v>
      </c>
      <c r="Q16" s="62"/>
      <c r="R16" s="62"/>
      <c r="S16" s="68" t="str">
        <f>IF(C4="","",IF(C9="Futures","",IF(C9="OPTIONS SELL","",IF(C9="OPTIONS BUY",[1]AB5!$S$140))))</f>
        <v>Data</v>
      </c>
      <c r="T16" s="69" t="str">
        <f>IF(C4="","",IF(C9="Futures","",IF(C9="OPTIONS SELL","",IF(C9="OPTIONS BUY",[1]AB5!$T$140))))</f>
        <v xml:space="preserve"> Ideal Premium</v>
      </c>
      <c r="U16" s="62"/>
      <c r="V16" s="65" t="str">
        <f>IF(C4="","",IF(C9="Futures","",IF(C9="OPTIONS SELL","",IF(C9="OPTIONS BUY",[1]AB5!$V$140))))</f>
        <v>Minimum Premium</v>
      </c>
      <c r="W16" s="65" t="str">
        <f>IF(C4="","",IF(C9="Futures","",IF(C9="OPTIONS SELL","",IF(C9="OPTIONS BUY",[1]AB5!$W$140))))</f>
        <v>Minimum OI</v>
      </c>
      <c r="X16" s="70" t="str">
        <f>IF(C4="","",IF(C9="Futures","",IF(C9="OPTIONS SELL","",IF(C9="OPTIONS BUY",[1]AB5!$X$140))))</f>
        <v>Rules For Gap = Step 3 Revised Option Entry</v>
      </c>
      <c r="Y16" s="62"/>
      <c r="Z16" s="65" t="str">
        <f>IF(C4="","",IF(C9="Futures","",IF(C9="OPTIONS SELL","",IF(C9="OPTIONS BUY",[1]AB5!$Z$140,#REF!))))</f>
        <v>Data</v>
      </c>
      <c r="AA16" s="71" t="str">
        <f>IF(C4="","",IF(C9="Futures","",IF(C9="OPTIONS SELL","",IF(C9="OPTIONS BUY",[1]AB5!$AA$140))))</f>
        <v>Buffer</v>
      </c>
    </row>
    <row r="17" spans="1:27" ht="53.25" customHeight="1" x14ac:dyDescent="0.2">
      <c r="A17" s="14" t="str">
        <f>IF(C4="","",CONCATENATE(C5,[1]AB5!$A$4))</f>
        <v>S26A</v>
      </c>
      <c r="B17" s="72" t="str">
        <f>IF(C4="","",IF(C9="Futures","",IF(C9="OPTIONS SELL","",IF(C9="OPTIONS BUY",[1]AB5!$B$141))))</f>
        <v xml:space="preserve">ORPT </v>
      </c>
      <c r="C17" s="73" t="str">
        <f>IF(C4="","",IF(C9="Futures","",IF(C9="OPTIONS SELL","",IF(C9="OPTIONS BUY",[1]AB5!$C$141))))</f>
        <v xml:space="preserve"> RC. Time</v>
      </c>
      <c r="D17" s="17" t="str">
        <f>IF(C4="","",IF(C9="Futures","",IF(C9="OPTIONS SELL","",IF(C9="OPTIONS BUY",[1]AB5!$D$141))))</f>
        <v>For Call Buy Entry</v>
      </c>
      <c r="E17" s="74" t="str">
        <f>IF(C4="","",IF(C9="Futures","",IF(C9="OPTIONS SELL","",IF(C9="OPTIONS BUY",CONCATENATE([1]AB5!$E$141,TEXT(B18,"HH:MM:SS AM/PM"),[1]AB5!$F$141)))))</f>
        <v>Check If 09:24:59 AM HH &gt; Call Buy Entry</v>
      </c>
      <c r="F17" s="75"/>
      <c r="G17" s="76" t="str">
        <f>IF(C4="","",IF(C9="Futures","",IF(C9="OPTIONS SELL","",IF(C9="OPTIONS BUY",[1]AB5!$G$141))))</f>
        <v>No</v>
      </c>
      <c r="H17" s="77" t="str">
        <f>IF(C4="","",IF(C9="Futures","",IF(C9="OPTIONS SELL","",IF(C9="OPTIONS BUY",[1]AB5!$H$141))))</f>
        <v>Entry Not Missed</v>
      </c>
      <c r="I17" s="78" t="str">
        <f>IF(C4="","",IF(C9="Futures","",IF(C9="OPTIONS SELL","",IF(C9="OPTIONS BUY",[1]AB5!$I$141))))</f>
        <v>Place the Order at ORPT</v>
      </c>
      <c r="J17" s="79" t="str">
        <f>IF(C4="","",IF(C9="Futures","",IF(C9="OPTIONS SELL","",IF(C9="OPTIONS BUY",[1]AB5!$J$141))))</f>
        <v>ORPT Time</v>
      </c>
      <c r="K17" s="26"/>
      <c r="L17" s="80">
        <f>IF(C4="","",IF(C9="Futures","",IF(C9="OPTIONS SELL","",IF(C9="OPTIONS BUY",B18))))</f>
        <v>0.39235416666666667</v>
      </c>
      <c r="M17" s="81" t="str">
        <f>IF(C4="","",IF(C9="Futures","",IF(C9="OPTIONS SELL","",IF(C9="OPTIONS BUY",[1]AB5!$M$141))))</f>
        <v>N.A.</v>
      </c>
      <c r="N17" s="82" t="str">
        <f>IF(C4="","",IF(C9="Futures","",IF(C9="OPTIONS SELL","",IF(C9="OPTIONS BUY",[1]AB5!$N$141))))</f>
        <v>N.A.</v>
      </c>
      <c r="O17" s="81" t="str">
        <f>IF(C4="","",IF(C9="Futures","",IF(C9="OPTIONS SELL","",IF(C9="OPTIONS BUY",[1]AB5!$O$141))))</f>
        <v>N.A.</v>
      </c>
      <c r="P17" s="83" t="str">
        <f>IF(C4="","",IF(C9="Futures","",IF(C9="OPTIONS SELL","",IF(C9="OPTIONS BUY",[1]AB5!$P$141))))</f>
        <v>N.A.</v>
      </c>
      <c r="Q17" s="84"/>
      <c r="R17" s="26"/>
      <c r="S17" s="85" t="str">
        <f>IF(C4="","",IF(C9="Futures","",IF(C9="OPTIONS SELL","",IF(C9="OPTIONS BUY",[1]AB5!$S$141))))</f>
        <v>N.A.</v>
      </c>
      <c r="T17" s="86" t="str">
        <f>IF(C4="","",IF(C9="Futures","",IF(C9="OPTIONS SELL","",IF(C9="OPTIONS BUY",[1]AB5!$T$141))))</f>
        <v>N.A.</v>
      </c>
      <c r="U17" s="26"/>
      <c r="V17" s="87" t="str">
        <f>IF(C4="","",IF(C9="Futures","",IF(C9="OPTIONS SELL","",IF(C9="OPTIONS BUY",[1]AB5!$V$141))))</f>
        <v>N.A.</v>
      </c>
      <c r="W17" s="87" t="str">
        <f>IF(C4="","",IF(C9="Futures","",IF(C9="OPTIONS SELL","",IF(C9="OPTIONS BUY",[1]AB5!$W$141))))</f>
        <v>N.A.</v>
      </c>
      <c r="X17" s="79" t="str">
        <f>IF(C4="","",IF(C9="Futures","",IF(C9="OPTIONS SELL","",IF(C9="OPTIONS BUY",[1]AB5!$X$141))))</f>
        <v>N.A.</v>
      </c>
      <c r="Y17" s="26"/>
      <c r="Z17" s="85" t="str">
        <f>IF(C4="","",IF(C9="Futures","",IF(C9="OPTIONS SELL","",IF(C9="OPTIONS BUY",[1]AB5!$Z$141))))</f>
        <v>N.A.</v>
      </c>
      <c r="AA17" s="88" t="str">
        <f>IF(C4="","",IF(C9="Futures","",IF(C9="OPTIONS SELL","",IF(C9="OPTIONS BUY",[1]AB5!$AA$141))))</f>
        <v>N.A.</v>
      </c>
    </row>
    <row r="18" spans="1:27" ht="59.25" customHeight="1" x14ac:dyDescent="0.2">
      <c r="A18" s="14" t="str">
        <f>IF(C4="","",CONCATENATE(C5,[1]AB5!$A$7))</f>
        <v>S26B</v>
      </c>
      <c r="B18" s="89">
        <f t="array" ref="B18">IF(C4="","",IF(C9="Futures","",IF(C9="OPTIONS SELL","",IF(C9="OPTIONS BUY",INDEX([1]AB4!BE:BE,MATCH(A17,[1]AB4!B:B,0))))))</f>
        <v>0.39235416666666667</v>
      </c>
      <c r="C18" s="90">
        <f t="array" ref="C18">IF(C4="","",IF(C9="Futures","",IF(C9="OPTIONS SELL","",IF(C9="OPTIONS BUY",INDEX([1]AB4!BE:BE,MATCH(A18,[1]AB4!B:B,0))))))</f>
        <v>0.39582638888888888</v>
      </c>
      <c r="D18" s="30"/>
      <c r="E18" s="91"/>
      <c r="F18" s="92"/>
      <c r="G18" s="93" t="str">
        <f>IF(C4="","",IF(C9="Futures","",IF(C9="OPTIONS SELL","",IF(C9="OPTIONS BUY",[1]AB5!$G$142))))</f>
        <v>Yes</v>
      </c>
      <c r="H18" s="94" t="str">
        <f>IF(C4="","",IF(C9="Futures","",IF(C9="OPTIONS SELL","",IF(C9="OPTIONS BUY",[1]AB5!$H$142))))</f>
        <v>Entry Missed</v>
      </c>
      <c r="I18" s="95" t="str">
        <f>IF(C4="","",IF(C9="Futures","",IF(C9="OPTIONS SELL","",IF(C9="OPTIONS BUY",[1]AB5!$I$142))))</f>
        <v>Recalcuate : Call Buy Entry : Bull / Bull CF</v>
      </c>
      <c r="J18" s="96" t="str">
        <f>IF(C4="","",IF(C9="Futures","",IF(C9="OPTIONS SELL","",IF(C9="OPTIONS BUY",[1]AB5!$J$142))))</f>
        <v>Wait Till Recalculation Time</v>
      </c>
      <c r="K18" s="97"/>
      <c r="L18" s="98">
        <f>IF(C4="","",IF(C9="Futures","",IF(C9="OPTIONS SELL","",IF(C9="OPTIONS BUY",C18))))</f>
        <v>0.39582638888888888</v>
      </c>
      <c r="M18" s="99" t="str">
        <f t="array" ref="M18">IF(C4="","",IF(C9="Futures","",IF(C9="OPTIONS SELL","",IF(C9="OPTIONS BUY",CONCATENATE([1]AB5!$M$142, "( ",INDEX([1]AB4!BP:BP,MATCH(A4,[1]AB4!B:B,0))," &amp; ",S18," ) ",INDEX([1]AB4!BQ:BQ,MATCH(A4,[1]AB4!B:B))," ",N18," ) &amp; ",INDEX([1]AB4!BS:BS,MATCH(A4,[1]AB4!B:B,0)))))))</f>
        <v>Max of ( SPT : PRV : 2DHH &amp; 09:29:59 AM HH ) - 3.00% ) &amp; Round Down</v>
      </c>
      <c r="N18" s="99" t="str">
        <f t="array" ref="N18">IF(A4="","",IF(C9="Futures","",IF(C9="OPTIONS SELL","",IF(C9="OPTIONS BUY",TEXT(INDEX([1]AB4!CR:CR,MATCH(A4,[1]AB4!B:B,0)),"0.00%")))))</f>
        <v>3.00%</v>
      </c>
      <c r="O18" s="99" t="str">
        <f t="array" ref="O18">IF(C4="","",IF(C9="Futures","",IF(C9="OPTIONS SELL","",IF(C9="OPTIONS BUY",CONCATENATE([1]AB5!$O$142,"( ",INDEX([1]AB4!BT:BT,MATCH(A4,[1]AB4!B:B,0))," &amp; ",S18,,INDEX([1]AB4!BQ:BQ,MATCH(A18,[1]AB4!B:B))," ",N18," ) &amp; ",,INDEX([1]AB4!BW:BW,MATCH(A4,[1]AB4!B:B,0))," ",INDEX([1]AB4!BX:BX,MATCH(A4,[1]AB4!B:B,0))," ",INDEX([1]AB4!BY:BY,MATCH(A4,[1]AB4!B:B,0)))))))</f>
        <v xml:space="preserve">Max of ( SPT : PRV : 2DHH &amp; 09:29:59 AM HH+ 3.00% ) &amp; Round Down  </v>
      </c>
      <c r="P18" s="96" t="str">
        <f t="array" ref="P18">IF(A4="","",IF(C9="Futures","",IF(C9="OPTIONS SELL","",IF(C9="OPTIONS BUY",IF(INDEX([1]AB4!CS:CS,MATCH(A4,[1]AB4!B:B,0))="","",TEXT(INDEX([1]AB4!CS:CS,MATCH(A4,[1]AB4!B:B,0)),"0.00%"))))))</f>
        <v>3.00%</v>
      </c>
      <c r="Q18" s="100"/>
      <c r="R18" s="97"/>
      <c r="S18" s="99" t="str">
        <f>IF(C4="","",IF(C9="Futures","",IF(C9="OPTIONS SELL","",IF(C9="OPTIONS BUY",CONCATENATE(TEXT(L18,"HH:MM:SS AM/PM"),[1]AB5!$S$142)))))</f>
        <v>09:29:59 AM HH</v>
      </c>
      <c r="T18" s="96" t="str">
        <f t="array" ref="T18">IF(C4="","",IF(C9="Futures","",IF(C9="OPTIONS SELL","",IF(C9="OPTIONS BUY",CONCATENATE([1]AB5!$T$142,"( ",INDEX([1]AB4!CE:CE,MATCH(A4,[1]AB4!B:B,0))," &amp; ",S18," ) ",[1]AB5!$H$128,TEXT(INDEX([1]AB4!CF:CF,MATCH(A4,[1]AB4!B:B,0)),"0.00%"))))))</f>
        <v>Max of ( SPT : PRV : 2DHH &amp; 09:29:59 AM HH )  * 8.00%</v>
      </c>
      <c r="U18" s="97"/>
      <c r="V18" s="99" t="str">
        <f>IF(C4="","",IF(C9="Futures","",IF(C9="OPTIONS SELL","",IF(C9="OPTIONS BUY",[1]AB5!$H$129))))</f>
        <v>N.A.</v>
      </c>
      <c r="W18" s="99" t="str">
        <f>IF(A4="","",IF(C9="Futures","",IF(C9="OPTIONS SELL","",IF(C9="OPTIONS BUY",I4))))</f>
        <v>100 Lots</v>
      </c>
      <c r="X18" s="96" t="str">
        <f t="array" ref="X18">IF(C4="","",IF(C9="Futures","",IF(C9="OPTIONS SELL","",IF(C9="OPTIONS BUY",CONCATENATE([1]AB5!$X$142,"( ",INDEX([1]AB4!G:G,MATCH(A4,[1]AB4!B:B,0))," &amp; ",Z18," ) ",INDEX([1]AB4!H:H,MATCH(A4,[1]AB4!B:B,0))," ",AA18)))))</f>
        <v>Max of ( OPT : PRV : 2D HH &amp; 09:29:59 AM HH )  +  5.00%</v>
      </c>
      <c r="Y18" s="97"/>
      <c r="Z18" s="101" t="str">
        <f>IF(C4="","",IF(C9="Futures","",IF(C9="OPTIONS SELL","",IF(C9="OPTIONS BUY",CONCATENATE(TEXT(L18,"HH:MM:SS AM/PM"),[1]AB5!$S$142)))))</f>
        <v>09:29:59 AM HH</v>
      </c>
      <c r="AA18" s="102" t="str">
        <f t="array" ref="AA18">IF(A4="","",IF(C9="Futures","",IF(C9="OPTIONS SELL","",IF(C9="OPTIONS BUY",TEXT(INDEX([1]AB4!BK:BK,MATCH(A4,[1]AB4!B:B,0)),"0.00%")))))</f>
        <v>5.00%</v>
      </c>
    </row>
    <row r="19" spans="1:27" ht="60.75" customHeight="1" thickBot="1" x14ac:dyDescent="0.25">
      <c r="A19" s="14"/>
      <c r="B19" s="103"/>
      <c r="C19" s="104"/>
      <c r="D19" s="105"/>
      <c r="E19" s="11"/>
      <c r="F19" s="12"/>
      <c r="G19" s="13"/>
      <c r="H19" s="13"/>
      <c r="I19" s="95" t="str">
        <f>IF(C4="","",IF(C9="Futures","",IF(C9="OPTIONS SELL","",IF(C9="OPTIONS BUY",[1]AB5!$I$143))))</f>
        <v>Recalcuate : Call Buy Entry : Bear / Bear CF</v>
      </c>
      <c r="J19" s="96" t="str">
        <f>IF(C4="","",IF(C9="Futures","",IF(C9="OPTIONS SELL","",IF(C9="OPTIONS BUY",[1]AB5!$J$143))))</f>
        <v>Wait Till Recalculation Time</v>
      </c>
      <c r="K19" s="97"/>
      <c r="L19" s="98">
        <f>IF(C4="","",IF(C9="Futures","",IF(C9="OPTIONS SELL","",IF(C9="OPTIONS BUY",C18))))</f>
        <v>0.39582638888888888</v>
      </c>
      <c r="M19" s="99" t="str">
        <f t="array" ref="M19">IF(C4="","",IF(C9="Futures","",IF(C9="OPTIONS SELL","",IF(C9="OPTIONS BUY",CONCATENATE([1]AB5!$M$143,"( ",INDEX([1]AB4!BP:BP,MATCH(A10,[1]AB4!B:B,0))," &amp; ",S19," ) ",INDEX([1]AB4!BQ:BQ,MATCH(A10,[1]AB4!B:B,0))," ",N19," ) &amp; ",INDEX([1]AB4!BS:BS,MATCH(A10,[1]AB4!B:B,0)))))))</f>
        <v>Max of ( SPT : PRV : 4DHH &amp; 09:29:59 AM HH ) - 3.00% ) &amp; Round Down</v>
      </c>
      <c r="N19" s="99" t="str">
        <f t="array" ref="N19">IF(A4="","",IF(C9="Futures","",IF(C9="OPTIONS SELL","",IF(C9="OPTIONS BUY",TEXT(INDEX([1]AB4!CR:CR,MATCH(A10,[1]AB4!B:B,0)),"0.00%")))))</f>
        <v>3.00%</v>
      </c>
      <c r="O19" s="99" t="str">
        <f t="array" ref="O19">IF(C4="","",IF(C9="Futures","",IF(C9="OPTIONS SELL","",IF(C9="OPTIONS BUY",CONCATENATE([1]AB5!$O$143,"( ",INDEX([1]AB4!BT:BT,MATCH(A10,[1]AB4!B:B,0))," &amp; ",S19,," ",INDEX([1]AB4!BQ:BQ,MATCH(A18,[1]AB4!B:B))," ",N18," ) &amp; ",,INDEX([1]AB4!BW:BW,MATCH(A10,[1]AB4!B:B,0))," ",INDEX([1]AB4!BX:BX,MATCH(A10,[1]AB4!B:B,0))," ",INDEX([1]AB4!BY:BY,MATCH(A10,[1]AB4!B:B,0)))))))</f>
        <v xml:space="preserve">Max of ( SPT : PRV : 4DHH &amp; 09:29:59 AM HH + 3.00% ) &amp; Round Down  </v>
      </c>
      <c r="P19" s="96" t="str">
        <f t="array" ref="P19">IF(A4="","",IF(C9="Futures","",IF(C9="OPTIONS SELL","",IF(C9="OPTIONS BUY",IF(INDEX([1]AB4!CS:CS,MATCH(A10,[1]AB4!B:B,0))="","",TEXT(INDEX([1]AB4!CS:CS,MATCH(A10,[1]AB4!B:B,0)),"0.00%"))))))</f>
        <v>3.00%</v>
      </c>
      <c r="Q19" s="100"/>
      <c r="R19" s="97"/>
      <c r="S19" s="99" t="str">
        <f>IF(C4="","",IF(C9="Futures","",IF(C9="OPTIONS SELL","",IF(C9="OPTIONS BUY",CONCATENATE(TEXT(L19,"HH:MM:SS AM/PM"),[1]AB5!$S$143)))))</f>
        <v>09:29:59 AM HH</v>
      </c>
      <c r="T19" s="96" t="str">
        <f t="array" ref="T19">IF(C4="","",IF(C9="Futures","",IF(C9="OPTIONS SELL","",IF(C9="OPTIONS BUY",CONCATENATE([1]AB5!$T$143," of ( ",INDEX([1]AB4!CE:CE,MATCH(A10,[1]AB4!B:B,0))," &amp; ",S18," ) ",[1]AB5!$H$128,TEXT(INDEX([1]AB4!CF:CF,MATCH(A10,[1]AB4!B:B,0)),"0.00%"))))))</f>
        <v>Max of  of ( SPT : PRV : 4DHH &amp; 09:29:59 AM HH )  * 8.00%</v>
      </c>
      <c r="U19" s="97"/>
      <c r="V19" s="99" t="str">
        <f>IF(C4="","",IF(C9="Futures","",IF(C9="OPTIONS SELL","",IF(C9="OPTIONS BUY",[1]AB5!$H$129))))</f>
        <v>N.A.</v>
      </c>
      <c r="W19" s="99" t="str">
        <f>IF(A4="","",IF(C9="Futures","",IF(C9="OPTIONS SELL","",IF(C9="OPTIONS BUY",I10))))</f>
        <v>100 Lots</v>
      </c>
      <c r="X19" s="96" t="str">
        <f t="array" ref="X19">IF(C4="","",IF(C9="Futures","",IF(C9="OPTIONS SELL","",IF(C9="OPTIONS BUY",CONCATENATE([1]AB5!$X$143,"( ",INDEX([1]AB4!G:G,MATCH(A10,[1]AB4!B:B,0))," &amp; ",Z19," ) ", INDEX([1]AB4!H:H,MATCH(A10,[1]AB4!B:B,0))," ",AA19)))))</f>
        <v>Max of ( OPT : PRV : 4D HH &amp; 09:29:59 AM HH )  +  7.00%</v>
      </c>
      <c r="Y19" s="97"/>
      <c r="Z19" s="101" t="str">
        <f>IF(C4="","",IF(C9="Futures","",IF(C9="OPTIONS SELL","",IF(C9="OPTIONS BUY",CONCATENATE(TEXT(L19,"HH:MM:SS AM/PM"), [1]AB5!$S$143)))))</f>
        <v>09:29:59 AM HH</v>
      </c>
      <c r="AA19" s="102" t="str">
        <f t="array" ref="AA19">IF(A4="","",IF(C9="Futures","",IF(C9="OPTIONS SELL","",IF(C9="OPTIONS BUY",TEXT(INDEX([1]AB4!BK:BK,MATCH(A10,[1]AB4!B:B,0)),"0.00%")))))</f>
        <v>7.00%</v>
      </c>
    </row>
    <row r="20" spans="1:27" ht="45" customHeight="1" x14ac:dyDescent="0.2">
      <c r="A20" s="14"/>
      <c r="B20" s="106" t="str">
        <f>IF(C4="","",IF(C9="Futures","",IF(C9="OPTIONS SELL","",IF(C9="OPTIONS BUY",[1]AB5!$B$144))))</f>
        <v>For SL (Position = Open)</v>
      </c>
      <c r="C20" s="107"/>
      <c r="D20" s="108" t="str">
        <f>IF(C4="","",IF(C9="Futures","",IF(C9="OPTIONS SELL","",IF(C9="OPTIONS BUY",[1]AB5!$D$144))))</f>
        <v>For Put Buy Entry</v>
      </c>
      <c r="E20" s="109" t="str">
        <f>IF(C4="","",IF(C9="Futures","",IF(C9="OPTIONS SELL","",IF(C9="OPTIONS BUY",CONCATENATE([1]AB5!$E$144,TEXT(B18,"HH:MM:SS AM/PM"),[1]AB5!$F$144)))))</f>
        <v>Check If 09:24:59 AM HH &gt; Put Buy Entry</v>
      </c>
      <c r="F20" s="4"/>
      <c r="G20" s="110" t="str">
        <f>IF(C4="","",IF(C9="Futures","",IF(C9="OPTIONS SELL","",IF(C9="OPTIONS BUY",[1]AB5!$G$144))))</f>
        <v>No</v>
      </c>
      <c r="H20" s="111" t="str">
        <f>IF(C4="","",IF(C9="Futures","",IF(C9="OPTIONS SELL","",IF(C9="OPTIONS BUY",[1]AB5!$H$144))))</f>
        <v>Entry Not Missed</v>
      </c>
      <c r="I20" s="112" t="str">
        <f>IF(C4="","",IF(C9="Futures","",IF(C9="OPTIONS SELL","",IF(C9="OPTIONS BUY",[1]AB5!$I$144))))</f>
        <v>Place the Order at ORPT</v>
      </c>
      <c r="J20" s="113" t="str">
        <f>IF(C4="","",IF(C9="Futures","",IF(C9="OPTIONS SELL","",IF(C9="OPTIONS BUY",[1]AB5!$J$144))))</f>
        <v>ORPT Time</v>
      </c>
      <c r="K20" s="97"/>
      <c r="L20" s="114">
        <f>IF(C4="","",IF(C9="Futures","",IF(C9="OPTIONS SELL","",IF(C9="OPTIONS BUY",B18))))</f>
        <v>0.39235416666666667</v>
      </c>
      <c r="M20" s="111" t="str">
        <f>IF(C4="","",IF(C9="Futures","",IF(C9="OPTIONS SELL","",IF(C9="OPTIONS BUY",[1]AB5!$M$144))))</f>
        <v>N.A.</v>
      </c>
      <c r="N20" s="115" t="str">
        <f>IF(C4="","",IF(C9="Futures","",IF(C9="OPTIONS SELL","",IF(C9="OPTIONS BUY",[1]AB5!$N$144))))</f>
        <v>N.A.</v>
      </c>
      <c r="O20" s="111" t="str">
        <f>IF(C4="","",IF(C9="Futures","",IF(C9="OPTIONS SELL","",IF(C9="OPTIONS BUY",[1]AB5!$O$144))))</f>
        <v>N.A.</v>
      </c>
      <c r="P20" s="116" t="str">
        <f>IF(C4="","",IF(C9="Futures","",IF(C9="OPTIONS SELL","",IF(C9="OPTIONS BUY",[1]AB5!$P$144))))</f>
        <v>N.A.</v>
      </c>
      <c r="Q20" s="100"/>
      <c r="R20" s="97"/>
      <c r="S20" s="111" t="str">
        <f>IF(C4="","",IF(C9="Futures","",IF(C9="OPTIONS SELL","",IF(C9="OPTIONS BUY",[1]AB5!$S$144))))</f>
        <v>N.A.</v>
      </c>
      <c r="T20" s="116" t="str">
        <f>IF(C4="","",IF(C9="Futures","",IF(C9="OPTIONS SELL","",IF(C9="OPTIONS BUY",[1]AB5!$T$144))))</f>
        <v>N.A.</v>
      </c>
      <c r="U20" s="97"/>
      <c r="V20" s="115" t="str">
        <f>IF(C4="","",IF(C9="Futures","",IF(C9="OPTIONS SELL","",IF(C9="OPTIONS BUY",[1]AB5!$V$144))))</f>
        <v>N.A.</v>
      </c>
      <c r="W20" s="115" t="str">
        <f>IF(C4="","",IF(C9="Futures","",IF(C9="OPTIONS SELL","",IF(C9="OPTIONS BUY",[1]AB5!$W$144))))</f>
        <v>N.A.</v>
      </c>
      <c r="X20" s="113" t="str">
        <f>IF(C4="","",IF(C9="Futures","",IF(C9="OPTIONS SELL","",IF(C9="OPTIONS BUY",[1]AB5!$X$144))))</f>
        <v>N.A.</v>
      </c>
      <c r="Y20" s="97"/>
      <c r="Z20" s="117" t="str">
        <f>IF(C4="","",IF(C9="Futures","",IF(C9="OPTIONS SELL","",IF(C9="OPTIONS BUY",[1]AB5!$Z$144))))</f>
        <v>N.A.</v>
      </c>
      <c r="AA20" s="118" t="str">
        <f>IF(C4="","",IF(C9="Futures","",IF(C9="OPTIONS SELL","",IF(C9="OPTIONS BUY",[1]AB5!$AA$144))))</f>
        <v>N.A.</v>
      </c>
    </row>
    <row r="21" spans="1:27" ht="53.25" customHeight="1" x14ac:dyDescent="0.2">
      <c r="A21" s="14" t="str">
        <f>IF(C4="","",CONCATENATE(C5,[1]AB5!$A$4))</f>
        <v>S26A</v>
      </c>
      <c r="B21" s="119" t="str">
        <f>IF(C4="","",IF(C9="Futures","",IF(C9="OPTIONS SELL","",IF(C9="OPTIONS BUY",[1]AB5!$B$145))))</f>
        <v xml:space="preserve">ORPT </v>
      </c>
      <c r="C21" s="120" t="str">
        <f>IF(C4="","",IF(C9="Futures","",IF(C9="OPTIONS SELL","",IF(C9="OPTIONS BUY",[1]AB5!$C$145))))</f>
        <v xml:space="preserve"> RC. Time</v>
      </c>
      <c r="D21" s="30"/>
      <c r="E21" s="91"/>
      <c r="F21" s="92"/>
      <c r="G21" s="121" t="str">
        <f>IF(C4="","",IF(C9="Futures","",IF(C9="OPTIONS SELL","",IF(C9="OPTIONS BUY",[1]AB5!$G$145))))</f>
        <v>Yes</v>
      </c>
      <c r="H21" s="122" t="str">
        <f>IF(C4="","",IF(C9="Futures","",IF(C9="OPTIONS SELL","",IF(C9="OPTIONS BUY",[1]AB5!$H$145))))</f>
        <v>Entry Missed</v>
      </c>
      <c r="I21" s="112" t="str">
        <f>IF(C4="","",IF(C9="Futures","",IF(C9="OPTIONS SELL","",IF(C9="OPTIONS BUY",[1]AB5!$I$145))))</f>
        <v>Recalcuate : Put Buy Entry : Bull / Bull CF</v>
      </c>
      <c r="J21" s="113" t="str">
        <f>IF(C4="","",IF(C9="Futures","",IF(C9="OPTIONS SELL","",IF(C9="OPTIONS BUY",[1]AB5!$J$145))))</f>
        <v>Wait Till Recalculation Time</v>
      </c>
      <c r="K21" s="97"/>
      <c r="L21" s="114">
        <f>IF(C4="","",IF(C9="Futures","",IF(C9="OPTIONS SELL","",IF(C9="OPTIONS BUY",C18))))</f>
        <v>0.39582638888888888</v>
      </c>
      <c r="M21" s="111" t="str">
        <f t="array" ref="M21">IF(C4="","",IF(C9="Futures","",IF(C9="OPTIONS SELL","",IF(C9="OPTIONS BUY",CONCATENATE([1]AB5!$M$145, "( ",INDEX([1]AB4!BP:BP,MATCH(A7,[1]AB4!B:B,0))," &amp; ",S21," ) ",INDEX([1]AB4!BQ:BQ,MATCH(A7,[1]AB4!B:B,0))," ",N21," ) &amp; ",INDEX([1]AB4!BS:BS,MATCH(A7,[1]AB4!B:B,0)))))))</f>
        <v>Min of ( SPT : PRV : 4DLL &amp; 09:29:59 AM HH ) + 3.00% ) &amp; Round Up</v>
      </c>
      <c r="N21" s="115" t="str">
        <f t="array" ref="N21">IF(A4="","",IF(C9="Futures","",IF(C9="OPTIONS SELL","",IF(C9="OPTIONS BUY",TEXT(INDEX([1]AB4!CR:CR,MATCH(A7,[1]AB4!B:B,0)),"0.00%")))))</f>
        <v>3.00%</v>
      </c>
      <c r="O21" s="111" t="str">
        <f t="array" ref="O21">IF(C4="","",IF(C9="Futures","",IF(C9="OPTIONS SELL","",IF(C9="OPTIONS BUY",CONCATENATE([1]AB5!$O$145,"( ",INDEX([1]AB4!BT:BT,MATCH(A7,[1]AB4!B:B,0))," &amp; ",S21,,INDEX([1]AB4!BQ:BQ,MATCH(A21,[1]AB4!B:B))," ",N18," ) &amp; ",,INDEX([1]AB4!BW:BW,MATCH(A7,[1]AB4!B:B,0))," ",INDEX([1]AB4!BX:BX,MATCH(A7,[1]AB4!B:B,0))," ",INDEX([1]AB4!BY:BY,MATCH(A7,[1]AB4!B:B,0)))))))</f>
        <v xml:space="preserve">Min of ( SPT : PRV : 4DLL &amp; 09:29:59 AM HH- 3.00% ) &amp; Round Up  </v>
      </c>
      <c r="P21" s="116" t="str">
        <f t="array" ref="P21">IF(A4="","",IF(C9="Futures","",IF(C9="OPTIONS SELL","",IF(C9="OPTIONS BUY",IF(INDEX([1]AB4!CS:CS,MATCH(A7,[1]AB4!B:B,0))="","",TEXT(INDEX([1]AB4!CS:CS,MATCH(A7,[1]AB4!B:B,0)),"0.00%"))))))</f>
        <v>3.00%</v>
      </c>
      <c r="Q21" s="100"/>
      <c r="R21" s="97"/>
      <c r="S21" s="111" t="str">
        <f>IF(C4="","",IF(C9="Futures","",IF(C9="OPTIONS SELL","",IF(C9="OPTIONS BUY",CONCATENATE(TEXT(L21,"HH:MM:SS AM/PM"),[1]AB5!$S$145)))))</f>
        <v>09:29:59 AM HH</v>
      </c>
      <c r="T21" s="113" t="str">
        <f t="array" ref="T21">IF(C4="","",IF(C9="Futures","",IF(C9="OPTIONS SELL","",IF(C9="OPTIONS BUY",CONCATENATE([1]AB5!$T$145,"( ",INDEX([1]AB4!CE:CE,MATCH(A7,[1]AB4!B:B,0))," &amp; ",S21," ) ",[1]AB5!$H$128,TEXT(INDEX([1]AB4!CF:CF,MATCH(A7,[1]AB4!B:B,0)),"0.00%"))))))</f>
        <v>Min of ( SPT : PRV : 4DLL &amp; 09:29:59 AM HH )  * 8.00%</v>
      </c>
      <c r="U21" s="97"/>
      <c r="V21" s="111" t="str">
        <f>IF(C4="","",IF(C9="Futures","",IF(C9="OPTIONS SELL","",IF(C9="OPTIONS BUY",[1]AB5!$H$129))))</f>
        <v>N.A.</v>
      </c>
      <c r="W21" s="111" t="str">
        <f>IF(A4="","",IF(C9="Futures","",IF(C9="OPTIONS SELL","",IF(C9="OPTIONS BUY",I7))))</f>
        <v>100 Lots</v>
      </c>
      <c r="X21" s="113" t="str">
        <f t="array" ref="X21">IF(C4="","",IF(C9="Futures","",IF(C9="OPTIONS SELL","",IF(C9="OPTIONS BUY",CONCATENATE([1]AB5!$X$145,"( ",INDEX([1]AB4!G:G,MATCH(A7,[1]AB4!B:B,0))," &amp; ",Z21," ) ", INDEX([1]AB4!H:H,MATCH(A7,[1]AB4!B:B,0))," ",AA21)))))</f>
        <v>Max of ( OPT : PRV : 4D HH &amp; 09:29:59 AM HH )  +  7.00%</v>
      </c>
      <c r="Y21" s="97"/>
      <c r="Z21" s="117" t="str">
        <f>IF(C4="","",IF(C9="Futures","",IF(C9="OPTIONS SELL","",IF(C9="OPTIONS BUY",CONCATENATE(TEXT(L21,"HH:MM:SS AM/PM"), [1]AB5!$S$145)))))</f>
        <v>09:29:59 AM HH</v>
      </c>
      <c r="AA21" s="123" t="str">
        <f t="array" ref="AA21">IF(A4="","",IF(C9="Futures","",IF(C9="OPTIONS SELL","",IF(C9="OPTIONS BUY",TEXT(INDEX([1]AB4!BK:BK,MATCH(A7,[1]AB4!B:B,0)),"0.00%")))))</f>
        <v>7.00%</v>
      </c>
    </row>
    <row r="22" spans="1:27" ht="62.25" customHeight="1" thickBot="1" x14ac:dyDescent="0.25">
      <c r="A22" s="14" t="str">
        <f>IF(C4="","",CONCATENATE(C5,[1]AB5!$A$7))</f>
        <v>S26B</v>
      </c>
      <c r="B22" s="124">
        <f t="array" ref="B22">IF(C4="","", IF(C9="Futures","",IF(C9="OPTIONS SELL","",IF(C9="OPTIONS BUY",INDEX([1]AB4!BF:BF,MATCH(A21,[1]AB4!B:B,0))))))</f>
        <v>0.39235416666666667</v>
      </c>
      <c r="C22" s="125">
        <f t="array" ref="C22">IF(C4="","", IF(C9="Futures","",IF(C9="OPTIONS SELL","",IF(C9="OPTIONS BUY",INDEX([1]AB4!BF:BF,MATCH(A22,[1]AB4!B:B,0))))))</f>
        <v>0.39582638888888888</v>
      </c>
      <c r="D22" s="32"/>
      <c r="E22" s="104"/>
      <c r="F22" s="126"/>
      <c r="G22" s="127"/>
      <c r="H22" s="127"/>
      <c r="I22" s="128" t="str">
        <f>IF(C4="","",IF(C9="Futures","",IF(C9="OPTIONS SELL","",IF(C9="OPTIONS BUY",[1]AB5!$I$146))))</f>
        <v>Recalcuate : Put Buy Entry : Bear / Bear CF</v>
      </c>
      <c r="J22" s="129" t="str">
        <f>IF(C4="","",IF(C9="Futures","",IF(C9="OPTIONS SELL","",IF(C9="OPTIONS BUY",[1]AB5!$J$146))))</f>
        <v>Wait Till Recalculation Time</v>
      </c>
      <c r="K22" s="38"/>
      <c r="L22" s="130">
        <f>IF(C4="","",IF(C9="Futures","",IF(C9="OPTIONS SELL","",IF(C9="OPTIONS BUY",C18))))</f>
        <v>0.39582638888888888</v>
      </c>
      <c r="M22" s="131" t="str">
        <f t="array" ref="M22">IF(C4="","",IF(C9="Futures","",IF(C9="OPTIONS SELL","",IF(C9="OPTIONS BUY",CONCATENATE([1]AB5!$M$146, "( ",INDEX([1]AB4!BP:BP,MATCH(A13,[1]AB4!B:B,0))," &amp; ",S22," ) ", INDEX([1]AB4!BQ:BQ,MATCH(A13,[1]AB4!B:B,0))," ",N22," ) &amp; ",INDEX([1]AB4!BS:BS,MATCH(A13,[1]AB4!B:B,0)))))))</f>
        <v>Min of ( SPT : PRV : 2DLL &amp; 09:29:59 AM HH ) + 3.00% ) &amp; Round Up</v>
      </c>
      <c r="N22" s="132" t="str">
        <f t="array" ref="N22">IF(A4="","",IF(C9="Futures","",IF(C9="OPTIONS SELL","",IF(C9="OPTIONS BUY",TEXT(INDEX([1]AB4!CR:CR,MATCH(A13,[1]AB4!B:B,0)),"0.00%")))))</f>
        <v>3.00%</v>
      </c>
      <c r="O22" s="131" t="str">
        <f t="array" ref="O22">IF(C4="","",IF(C9="Futures","",IF(C9="OPTIONS SELL","",IF(C9="OPTIONS BUY",CONCATENATE([1]AB5!$O$146,"( ",INDEX([1]AB4!BT:BT,MATCH(A13,[1]AB4!B:B,0))," &amp; ",S22,,INDEX([1]AB4!BQ:BQ,MATCH(A21,[1]AB4!B:B))," ",N18," ) &amp; ",,INDEX([1]AB4!BW:BW,MATCH(A13,[1]AB4!B:B,0))," ",INDEX([1]AB4!BX:BX,MATCH(A13,[1]AB4!B:B,0))," ",INDEX([1]AB4!BY:BY,MATCH(A13,[1]AB4!B:B,0)))))))</f>
        <v xml:space="preserve">Min of ( SPT : PRV : 2DLL &amp; 09:29:59 AM HH- 3.00% ) &amp; Round Up  </v>
      </c>
      <c r="P22" s="133" t="str">
        <f t="array" ref="P22">IF(A4="","",IF(C9="Futures","",IF(C9="OPTIONS SELL","",IF(C9="OPTIONS BUY",IF(INDEX([1]AB4!CS:CS,MATCH(A13,[1]AB4!B:B,0))="","",TEXT(INDEX([1]AB4!CS:CS,MATCH(A13,[1]AB4!B:B,0)),"0.00%"))))))</f>
        <v>3.00%</v>
      </c>
      <c r="Q22" s="134"/>
      <c r="R22" s="38"/>
      <c r="S22" s="131" t="str">
        <f>IF(C4="","",IF(C9="Futures","",IF(C9="OPTIONS SELL","",IF(C9="OPTIONS BUY",CONCATENATE(TEXT(L22,"HH:MM:SS AM/PM"),[1]AB5!$S$146)))))</f>
        <v>09:29:59 AM HH</v>
      </c>
      <c r="T22" s="129" t="str">
        <f t="array" ref="T22">IF(C4="","",IF(C9="Futures","",IF(C9="OPTIONS SELL","",IF(C9="OPTIONS BUY",CONCATENATE([1]AB5!$T$146,"( ",INDEX([1]AB4!CE:CE,MATCH(A13,[1]AB4!B:B,0))," &amp; ",S22," ) ",[1]AB5!$H$128,TEXT(INDEX([1]AB4!CF:CF,MATCH(A13,[1]AB4!B:B,0)),"0.00%"))))))</f>
        <v>Min of ( SPT : PRV : 2DLL &amp; 09:29:59 AM HH )  * 8.00%</v>
      </c>
      <c r="U22" s="38"/>
      <c r="V22" s="131" t="str">
        <f>IF(C4="","",IF(C9="Futures","",IF(C9="OPTIONS SELL","",IF(C9="OPTIONS BUY",[1]AB5!$H$129))))</f>
        <v>N.A.</v>
      </c>
      <c r="W22" s="131" t="str">
        <f>IF(A4="","",IF(C9="Futures","",IF(C9="OPTIONS SELL","",IF(C9="OPTIONS BUY",I13))))</f>
        <v>100 Lots</v>
      </c>
      <c r="X22" s="129" t="str">
        <f t="array" ref="X22">IF(C4="","",IF(C9="Futures","",IF(C9="OPTIONS SELL","",IF(C9="OPTIONS BUY",CONCATENATE([1]AB5!$X$146,"( ",INDEX([1]AB4!G:G,MATCH(A13,[1]AB4!B:B,0))," &amp; ",Z22," ) ", INDEX([1]AB4!H:H,MATCH(A13,[1]AB4!B:B,0))," ",AA22)))))</f>
        <v>Max of ( OPT : PRV : 2D HH &amp; 09:29:59 AM HH )  +  5.00%</v>
      </c>
      <c r="Y22" s="38"/>
      <c r="Z22" s="135" t="str">
        <f>IF(C4="","",IF(C9="Futures","",IF(C9="OPTIONS SELL","",IF(C9="OPTIONS BUY",CONCATENATE(TEXT(L22,"HH:MM:SS AM/PM"), [1]AB5!$S$146)))))</f>
        <v>09:29:59 AM HH</v>
      </c>
      <c r="AA22" s="136" t="str">
        <f t="array" ref="AA22">IF(A4="","",IF(C9="Futures","",IF(C9="OPTIONS SELL","",IF(C9="OPTIONS BUY",TEXT(INDEX([1]AB4!BK:BK,MATCH(A13,[1]AB4!B:B,0)),"0.00%")))))</f>
        <v>5.00%</v>
      </c>
    </row>
    <row r="23" spans="1:27" ht="12.75" customHeight="1" thickBo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37"/>
      <c r="L23" s="14"/>
      <c r="M23" s="14"/>
      <c r="N23" s="14"/>
      <c r="O23" s="138"/>
      <c r="P23" s="14"/>
      <c r="Q23" s="14"/>
      <c r="R23" s="14"/>
      <c r="S23" s="14"/>
      <c r="T23" s="14"/>
      <c r="U23" s="14"/>
      <c r="V23" s="14"/>
      <c r="W23" s="14"/>
      <c r="X23" s="14"/>
      <c r="Y23" s="138"/>
      <c r="Z23" s="138"/>
      <c r="AA23" s="138"/>
    </row>
    <row r="24" spans="1:27" ht="53.25" customHeight="1" thickBot="1" x14ac:dyDescent="0.25">
      <c r="A24" s="52"/>
      <c r="B24" s="106" t="str">
        <f>IF(C4="","",IF(C9="Futures","",IF(C9="OPTIONS SELL","",IF(C9="OPTIONS BUY",[1]AB5!$B$148,IF(C9="OPTIONS BUY",#REF!)))))</f>
        <v>For TGT (Position = Open)</v>
      </c>
      <c r="C24" s="107"/>
      <c r="D24" s="60" t="str">
        <f>IF(C4="","",IF(C9="Futures","",IF(C9="OPTIONS SELL","",IF(C9="OPTIONS BUY",[1]AB5!$D$148))))</f>
        <v>Gap Check</v>
      </c>
      <c r="E24" s="61" t="str">
        <f>IF(C4="","",IF(C9="Futures","",IF(C9="OPTIONS SELL","",IF(C9="OPTIONS BUY",[1]AB5!$E$148,))))</f>
        <v>Process</v>
      </c>
      <c r="F24" s="62"/>
      <c r="G24" s="63" t="str">
        <f>IF(C4="","",IF(C9="Futures","",IF(C9="OPTIONS SELL","",IF(C9="OPTIONS BUY",[1]AB5!$G$148))))</f>
        <v>Y / N</v>
      </c>
      <c r="H24" s="64" t="str">
        <f>IF(C4="","",IF(C9="Futures","",IF(C9="OPTIONS SELL","",IF(C9="OPTIONS BUY",[1]AB5!$H$148))))</f>
        <v>Status</v>
      </c>
      <c r="I24" s="65" t="str">
        <f>IF(C4="","",IF(C9="Futures","",IF(C9="OPTIONS SELL","",IF(C9="OPTIONS BUY",[1]AB5!$I$148))))</f>
        <v>Step 1</v>
      </c>
      <c r="J24" s="66" t="str">
        <f>IF(C4="","",IF(C9="Futures","",IF(C9="OPTIONS SELL","",IF(C9="OPTIONS BUY",[1]AB5!$J$148))))</f>
        <v>Order Placement Timings</v>
      </c>
      <c r="K24" s="62"/>
      <c r="L24" s="67" t="str">
        <f>IF(C4="","",IF(C9="Futures","",IF(C9="OPTIONS SELL","",IF(C9="OPTIONS BUY",[1]AB5!$L$148))))</f>
        <v>Time</v>
      </c>
      <c r="M24" s="65" t="str">
        <f>IF(C4="","",IF(C9="Futures","",IF(C9="OPTIONS SELL","",IF(C9="OPTIONS BUY",[1]AB5!$M$148))))</f>
        <v>Rules For Gaps</v>
      </c>
      <c r="N24" s="64" t="str">
        <f>IF(C4="","",IF(C9="Futures","",IF(C9="OPTIONS SELL","",IF(C9="OPTIONS BUY",[1]AB5!$N$148))))</f>
        <v>Data</v>
      </c>
      <c r="O24" s="71" t="str">
        <f>IF(C4="","",IF(C9="Futures","",IF(C9="OPTIONS SELL","",IF(C9="OPTIONS BUY",[1]AB5!$O$148))))</f>
        <v>Buffer</v>
      </c>
      <c r="P24" s="67" t="str">
        <f>IF(C4="","",IF(C9="Futures","",IF(C9="OPTIONS SELL","",IF(C9="OPTIONS BUY",[1]AB5!$P$148))))</f>
        <v>Monthly Status</v>
      </c>
      <c r="Q24" s="67" t="str">
        <f>IF(C4="","",IF(C9="Futures","",IF(C9="OPTIONS SELL","",IF(C9="OPTIONS BUY",[1]AB5!$Q$148))))</f>
        <v>Options Type</v>
      </c>
      <c r="R24" s="139" t="str">
        <f>IF(C4="","",IF(C9="Futures","",IF(C9="OPTIONS SELL","",IF(C9="OPTIONS BUY",[1]AB5!$R$148))))</f>
        <v>Start Strike</v>
      </c>
      <c r="S24" s="140" t="str">
        <f>IF(C4="","",IF(C9="Futures","",IF(C9="OPTIONS SELL","",IF(C9="OPTIONS BUY",[1]AB5!$S$148))))</f>
        <v>End Strike</v>
      </c>
      <c r="T24" s="141"/>
      <c r="U24" s="140" t="str">
        <f>IF(C4="","",IF(C9="Futures","",IF(C9="OPTIONS SELL","",IF(C9="OPTIONS BUY",[1]AB5!$U$148))))</f>
        <v>Ideal Premium</v>
      </c>
      <c r="V24" s="141"/>
      <c r="W24" s="140" t="str">
        <f>IF(C4="","",IF(C9="Futures","",IF(C9="OPTIONS SELL","",IF(C9="OPTIONS BUY",[1]AB5!$W$148))))</f>
        <v>Minimum Premium</v>
      </c>
      <c r="X24" s="141"/>
      <c r="Y24" s="139" t="str">
        <f>IF(C4="","",IF(C9="Futures","",IF(C9="OPTIONS SELL","",IF(C9="OPTIONS BUY",[1]AB5!$Y$148))))</f>
        <v>Minimum OI</v>
      </c>
      <c r="Z24" s="140" t="str">
        <f>IF(C4="","",IF(C9="Futures","",IF(C9="OPTIONS SELL","",IF(C9="OPTIONS BUY",[1]AB5!$Z$148))))</f>
        <v>Option Entry</v>
      </c>
      <c r="AA24" s="141"/>
    </row>
    <row r="25" spans="1:27" ht="53.25" customHeight="1" x14ac:dyDescent="0.2">
      <c r="A25" s="14" t="str">
        <f>IF(C4="","",CONCATENATE(C5,[1]AB5!$A$4))</f>
        <v>S26A</v>
      </c>
      <c r="B25" s="119" t="str">
        <f>IF(C4="","",IF(C9="Futures","",IF(C9="OPTIONS SELL","",IF(C9="OPTIONS BUY",[1]AB5!$B$149))))</f>
        <v xml:space="preserve">ORPT </v>
      </c>
      <c r="C25" s="120" t="str">
        <f>IF(C4="","",IF(C9="Futures","",IF(C9="OPTIONS SELL","",IF(C9="OPTIONS BUY",[1]AB5!$C$149))))</f>
        <v xml:space="preserve"> RC. Time</v>
      </c>
      <c r="D25" s="17" t="str">
        <f>IF(C4="","",IF(C9="Futures","",IF(C9="OPTIONS SELL","",IF(C9="OPTIONS BUY",[1]AB5!$D$149))))</f>
        <v>For Call Buy SL</v>
      </c>
      <c r="E25" s="142" t="str">
        <f>IF(C4="","",IF(C9="Futures","",IF(C9="OPTIONS SELL","",IF(C9="OPTIONS BUY",CONCATENATE([1]AB5!$E$149,TEXT(B26,"HH:MM:SS AM/PM"),[1]AB5!$B$150,[1]AB5!$F$149)))))</f>
        <v>Check If  09:15:00 AM LL &lt; Call Buy SL</v>
      </c>
      <c r="F25" s="143"/>
      <c r="G25" s="144" t="str">
        <f>IF(C4="","",IF(C9="Futures","",IF(C9="OPTIONS SELL","",IF(C9="OPTIONS BUY",[1]AB5!$G$149))))</f>
        <v>No</v>
      </c>
      <c r="H25" s="145" t="str">
        <f>IF(C4="","",IF(C9="Futures","",IF(C9="OPTIONS SELL","",IF(C9="OPTIONS BUY",[1]AB5!$H$149))))</f>
        <v>FSL / TRP Not Missed</v>
      </c>
      <c r="I25" s="146" t="str">
        <f>IF(C4="","",IF(C9="Futures","",IF(C9="OPTIONS SELL","",IF(C9="OPTIONS BUY",[1]AB5!$I$149))))</f>
        <v>Place the Order at ORPT</v>
      </c>
      <c r="J25" s="147" t="str">
        <f>IF(C4="","",IF(C9="Futures","",IF(C9="OPTIONS SELL","",IF(C9="OPTIONS BUY",[1]AB5!$J$149))))</f>
        <v>ORPT Time</v>
      </c>
      <c r="K25" s="148"/>
      <c r="L25" s="149">
        <f>IF(C4="","",IF(C9="Futures","",IF(C9="OPTIONS SELL","",IF(C9="OPTIONS BUY",B22))))</f>
        <v>0.39235416666666667</v>
      </c>
      <c r="M25" s="150" t="str">
        <f>IF(C4="","",IF(C9="Futures","",IF(C9="OPTIONS SELL","",IF(C9="OPTIONS BUY",[1]AB5!$M$149))))</f>
        <v>N.A.</v>
      </c>
      <c r="N25" s="145" t="str">
        <f>IF(C4="","",IF(C9="Futures","",IF(C9="OPTIONS SELL","",IF(C9="OPTIONS BUY",[1]AB5!$N$149))))</f>
        <v>N.A.</v>
      </c>
      <c r="O25" s="151" t="str">
        <f>IF(C4="","",IF(C9="Futures","",IF(C9="OPTIONS SELL","",IF(C9="OPTIONS BUY",[1]AB5!$O$149))))</f>
        <v>N.A.</v>
      </c>
      <c r="P25" s="152" t="str">
        <f>IF(C4="","",IF(C9="Futures","",IF(C9="OPTIONS SELL","",IF(C9="OPTIONS BUY",[1]AB5!$P$149))))</f>
        <v>BULL / BULL CF</v>
      </c>
      <c r="Q25" s="76" t="str">
        <f>IF(C4="","",IF(C9="Futures","",IF(C9="OPTIONS SELL","",IF(C9="OPTIONS BUY",[1]AB5!$Q$149))))</f>
        <v>Call</v>
      </c>
      <c r="R25" s="153" t="str">
        <f t="array" ref="R25">IF(C4="","",IF(C9="Futures","",IF(C9="OPTIONS SELL","",IF(C9="OPTIONS BUY",CONCATENATE([1]AB5!$M$142, "( ",INDEX([1]AB4!BP:BP,MATCH(A4,[1]AB4!B:B,0))," &amp; ",[1]AB5!$R$149," ) ",INDEX([1]AB4!BQ:BQ,MATCH(A4,[1]AB4!B:B))," ",N18," ) &amp; ",INDEX([1]AB4!BS:BS,MATCH(A4,[1]AB4!B:B,0)))))))</f>
        <v>Max of ( SPT : PRV : 2DHH &amp; SPT : CDHH ) - 3.00% ) &amp; Round Down</v>
      </c>
      <c r="S25" s="154" t="str">
        <f t="array" ref="S25">IF(C4="","",IF(C9="Futures","",IF(C9="OPTIONS SELL","",IF(C9="OPTIONS BUY",CONCATENATE([1]AB5!$O$142,"( ",INDEX([1]AB4!BT:BT,MATCH(A4,[1]AB4!B:B,0))," &amp; ",[1]AB5!$S$149, " ) ",INDEX([1]AB4!BU:BU,MATCH(A4,[1]AB4!B:B))," ",N18," ) &amp; ",,INDEX([1]AB4!BW:BW,MATCH(A4,[1]AB4!B:B,0))," ",INDEX([1]AB4!BX:BX,MATCH(A4,[1]AB4!B:B,0))," ",INDEX([1]AB4!BY:BY,MATCH(A4,[1]AB4!B:B,0)))))))</f>
        <v xml:space="preserve">Max of ( SPT : PRV : 2DHH &amp; SPT : CDHH ) + 3.00% ) &amp; Round Down  </v>
      </c>
      <c r="T25" s="26"/>
      <c r="U25" s="154" t="str">
        <f t="array" ref="U25">IF(C4="","",IF(C9="Futures","",IF(C9="OPTIONS SELL","",IF(C9="OPTIONS BUY",CONCATENATE([1]AB5!$T$142,"( ",INDEX([1]AB4!CE:CE,MATCH(A4,[1]AB4!B:B,0))," &amp; ",[1]AB5!$U$149," ) ",[1]AB5!$H$128,TEXT(INDEX([1]AB4!CF:CF,MATCH(A4,[1]AB4!B:B,0)),"0.00%"))))))</f>
        <v>Max of ( SPT : PRV : 2DHH &amp; SPT : CDHH )  * 8.00%</v>
      </c>
      <c r="V25" s="26"/>
      <c r="W25" s="154" t="str">
        <f>IF(C4="","",IF(C9="Futures","",IF(C9="OPTIONS SELL","",IF(C9="OPTIONS BUY",[1]AB5!$H$129))))</f>
        <v>N.A.</v>
      </c>
      <c r="X25" s="26"/>
      <c r="Y25" s="155" t="str">
        <f>IF(A4="","",IF(C9="Futures","",IF(C9="OPTIONS SELL","",IF(C9="OPTIONS BUY",I4))))</f>
        <v>100 Lots</v>
      </c>
      <c r="Z25" s="154" t="str">
        <f t="array" ref="Z25">IF(C4="","",IF(C9="Futures","",IF(C9="OPTIONS SELL","",IF(C9="OPTIONS BUY",CONCATENATE([1]AB5!$X$142,"( ",INDEX([1]AB4!G:G,MATCH(A4,[1]AB4!B:B,0))," &amp; ",[1]AB5!$Z$149," ) ",INDEX([1]AB4!H:H,MATCH(A4,[1]AB4!B:B,0))," ",AA18)))))</f>
        <v>Max of ( OPT : PRV : 2D HH &amp; OPT : CDHH )  +  5.00%</v>
      </c>
      <c r="AA25" s="107"/>
    </row>
    <row r="26" spans="1:27" ht="53.25" customHeight="1" thickBot="1" x14ac:dyDescent="0.25">
      <c r="A26" s="14" t="str">
        <f>IF(C4="","",CONCATENATE(C5,[1]AB5!$A$7))</f>
        <v>S26B</v>
      </c>
      <c r="B26" s="89">
        <f t="array" ref="B26">IF(C4="","",IF(C9="Futures","",IF(C9="OPTIONS SELL","",IF(C9="OPTIONS BUY",INDEX([1]AB4!BG:BG,MATCH(A25,[1]AB4!B:B,0))))))</f>
        <v>0.38541666666666669</v>
      </c>
      <c r="C26" s="90" t="str">
        <f t="array" ref="C26">IF(C4="","",IF(C9="Futures","",IF(C9="OPTIONS SELL","",IF(C9="OPTIONS BUY",INDEX([1]AB4!BG:BG,MATCH(A26,[1]AB4!B:B,0))))))</f>
        <v>N.A.</v>
      </c>
      <c r="D26" s="30"/>
      <c r="E26" s="30"/>
      <c r="F26" s="143"/>
      <c r="G26" s="156" t="str">
        <f>IF(C4="","",IF(C9="Futures","",IF(C9="OPTIONS SELL","",IF(C9="OPTIONS BUY",[1]AB5!$G$150))))</f>
        <v>Yes</v>
      </c>
      <c r="H26" s="157" t="str">
        <f>IF(C4="","",IF(C9="Futures","",IF(C9="OPTIONS SELL","",IF(C9="OPTIONS BUY",[1]AB5!$H$150))))</f>
        <v>FSL / TRP Missed</v>
      </c>
      <c r="I26" s="158" t="str">
        <f>IF(C4="","",IF(C9="Futures","",IF(C9="OPTIONS SELL","",IF(C9="OPTIONS BUY",[1]AB5!$I$142))))</f>
        <v>Recalcuate : Call Buy Entry : Bull / Bull CF</v>
      </c>
      <c r="J26" s="159" t="str">
        <f>IF(C4="","",IF(C9="Futures","",IF(C9="OPTIONS SELL","",IF(C9="OPTIONS BUY",[1]AB5!$J$150))))</f>
        <v>Wait Till Recalculation Time</v>
      </c>
      <c r="K26" s="100"/>
      <c r="L26" s="160">
        <f>IF(C4="","",IF(C9="Futures","",IF(C9="OPTIONS SELL","",IF(C9="OPTIONS BUY",C22))))</f>
        <v>0.39582638888888888</v>
      </c>
      <c r="M26" s="161" t="str">
        <f>IF(C4="","",IF(C9="Futures","",IF(C9="OPTIONS SELL","",IF(C9="OPTIONS BUY",CONCATENATE(N26," ",[1]AB5!$M$150," ",TEXT(O26,"0.00%"))))))</f>
        <v>09:29:59 AM LL - 12.00%</v>
      </c>
      <c r="N26" s="111" t="str">
        <f>IF(C4="","",IF(C9="Futures","",IF(C9="OPTIONS SELL","",IF(C9="OPTIONS BUY",CONCATENATE(TEXT(L26,"HH:MM:SS AM/PM"),[1]AB5!$N$150)))))</f>
        <v>09:29:59 AM LL</v>
      </c>
      <c r="O26" s="162" t="str">
        <f t="array" ref="O26">IF(A4="","",IF(C9="Futures","",IF(C9="OPTIONS SELL","",IF(C9="OPTIONS BUY",TEXT(INDEX([1]AB4!BL:BL,MATCH(A4,[1]AB4!B:B,0)),"0.00%")))))</f>
        <v>12.00%</v>
      </c>
      <c r="P26" s="103"/>
      <c r="Q26" s="163" t="str">
        <f>IF(C4="","",IF(C9="Futures","",IF(C9="OPTIONS SELL","",IF(C9="OPTIONS BUY",[1]AB5!$Q$150))))</f>
        <v>Put</v>
      </c>
      <c r="R26" s="164" t="str">
        <f t="array" ref="R26">IF(C4="","",IF(C9="Futures","",IF(C9="OPTIONS SELL","",IF(C9="OPTIONS BUY",CONCATENATE([1]AB5!$M$145, "( ",INDEX([1]AB4!BP:BP,MATCH(A7,[1]AB4!B:B,0))," &amp; ",[1]AB5!$R$150," ) ",INDEX([1]AB4!BQ:BQ,MATCH(A7,[1]AB4!B:B,0))," ",N21," ) &amp; ",INDEX([1]AB4!BS:BS,MATCH(A7,[1]AB4!B:B,0)))))))</f>
        <v>Min of ( SPT : PRV : 4DLL &amp; SPT : CDLL ) + 3.00% ) &amp; Round Up</v>
      </c>
      <c r="S26" s="165" t="str">
        <f t="array" ref="S26">IF(C4="","",IF(C9="Futures","",IF(C9="OPTIONS SELL","",IF(C9="OPTIONS BUY",CONCATENATE([1]AB5!$O$145,"( ",INDEX([1]AB4!BT:BT,MATCH(A7,[1]AB4!B:B,0))," &amp; ",[1]AB5!$S$150," ) ",INDEX([1]AB4!BU:BU,MATCH(A18,[1]AB4!B:B))," ",N18," ) &amp; ",INDEX([1]AB4!BW:BW,MATCH(A7,[1]AB4!B:B,0))," ",INDEX([1]AB4!BX:BX,MATCH(A7,[1]AB4!B:B,0))," ",INDEX([1]AB4!BY:BY,MATCH(A7,[1]AB4!B:B,0)))))))</f>
        <v xml:space="preserve">Min of ( SPT : PRV : 4DLL &amp; SPT : CDLL ) - 3.00% ) &amp; Round Up  </v>
      </c>
      <c r="T26" s="38"/>
      <c r="U26" s="165" t="str">
        <f t="array" ref="U26">IF(C4="","",IF(C9="Futures","",IF(C9="OPTIONS SELL","",IF(C9="OPTIONS BUY",CONCATENATE([1]AB5!$T$145,"( ",INDEX([1]AB4!CE:CE,MATCH(A7,[1]AB4!B:B,0))," &amp; ",[1]AB5!$U$150," ) ",[1]AB5!$H$128,TEXT(INDEX([1]AB4!CF:CF,MATCH(A7,[1]AB4!B:B,0)),"0.00%"))))))</f>
        <v>Min of ( SPT : PRV : 4DLL &amp; SPT : CDHH )  * 8.00%</v>
      </c>
      <c r="V26" s="38"/>
      <c r="W26" s="165" t="str">
        <f>IF(C4="","",IF(C9="Futures","",IF(C9="OPTIONS SELL","",IF(C9="OPTIONS BUY",[1]AB5!$H$129))))</f>
        <v>N.A.</v>
      </c>
      <c r="X26" s="38"/>
      <c r="Y26" s="166" t="str">
        <f>IF(A4="","",IF(C9="Futures","",IF(C9="OPTIONS SELL","",IF(C9="OPTIONS BUY",I7))))</f>
        <v>100 Lots</v>
      </c>
      <c r="Z26" s="165" t="str">
        <f t="array" ref="Z26">IF(C4="","",IF(C9="Futures","",IF(C9="OPTIONS SELL","",IF(C9="OPTIONS BUY",CONCATENATE([1]AB5!$X$145,"( ",INDEX([1]AB4!G:G,MATCH(A7,[1]AB4!B:B,0))," &amp; ",[1]AB5!$Z$150," ) ", INDEX([1]AB4!H:H,MATCH(A7,[1]AB4!B:B,0))," ",AA21)))))</f>
        <v>Max of ( OPT : PRV : 4D HH &amp; OPT : CDHH )  +  7.00%</v>
      </c>
      <c r="AA26" s="167"/>
    </row>
    <row r="27" spans="1:27" ht="58.5" customHeight="1" thickBot="1" x14ac:dyDescent="0.25">
      <c r="A27" s="14"/>
      <c r="B27" s="103"/>
      <c r="C27" s="104"/>
      <c r="D27" s="105"/>
      <c r="E27" s="105"/>
      <c r="F27" s="148"/>
      <c r="G27" s="91"/>
      <c r="H27" s="13"/>
      <c r="I27" s="158" t="str">
        <f>IF(C4="","",IF(C9="Futures","",IF(C9="OPTIONS SELL","",IF(C9="OPTIONS BUY",[1]AB5!$I$143))))</f>
        <v>Recalcuate : Call Buy Entry : Bear / Bear CF</v>
      </c>
      <c r="J27" s="159" t="str">
        <f>IF(C4="","",IF(C9="Futures","",IF(C9="OPTIONS SELL","",IF(C9="OPTIONS BUY",[1]AB5!$J$151))))</f>
        <v>Wait Till Recalculation Time</v>
      </c>
      <c r="K27" s="100"/>
      <c r="L27" s="160">
        <f>IF(C4="","",IF(C9="Futures","",IF(C9="OPTIONS SELL","",IF(C9="OPTIONS BUY",C22))))</f>
        <v>0.39582638888888888</v>
      </c>
      <c r="M27" s="161" t="str">
        <f>IF(C4="","",IF(C9="Futures","",IF(C9="OPTIONS SELL","",IF(C9="OPTIONS BUY",CONCATENATE(N27," ",[1]AB5!$M$151," ",TEXT(O27,"0.00%"))))))</f>
        <v>09:29:59 AM LL - 10.00%</v>
      </c>
      <c r="N27" s="111" t="str">
        <f>IF(C4="","",IF(C9="Futures","",IF(C9="OPTIONS SELL","",IF(C9="OPTIONS BUY",CONCATENATE(TEXT(L27,"HH:MM:SS AM/PM"),[1]AB5!$N$151)))))</f>
        <v>09:29:59 AM LL</v>
      </c>
      <c r="O27" s="162" t="str">
        <f t="array" ref="O27">IF(A4="","",IF(C9="Futures","",IF(C9="OPTIONS SELL","",IF(C9="OPTIONS BUY",TEXT(INDEX([1]AB4!BL:BL,MATCH(A10,[1]AB4!B:B,0)),"0.00%")))))</f>
        <v>10.00%</v>
      </c>
      <c r="P27" s="168" t="str">
        <f>IF(C4="","",IF(C9="Futures","",IF(C9="OPTIONS SELL","",IF(C9="OPTIONS BUY",[1]AB5!$P$151))))</f>
        <v>BEAR / BEAR CF</v>
      </c>
      <c r="Q27" s="76" t="str">
        <f>IF(C6="","",IF(C9="Futures","",IF(C9="OPTIONS SELL","",IF(C9="OPTIONS BUY",[1]AB5!$Q$151))))</f>
        <v>Call</v>
      </c>
      <c r="R27" s="153" t="str">
        <f t="array" ref="R27">IF(C4="","",IF(C9="Futures","",IF(C9="OPTIONS SELL","",IF(C9="OPTIONS BUY",CONCATENATE([1]AB5!$M$143,"( ",INDEX([1]AB4!BP:BP,MATCH(A10,[1]AB4!B:B,0))," &amp; ",[1]AB5!$R$151," ) ",INDEX([1]AB4!BQ:BQ,MATCH(A10,[1]AB4!B:B,0))," ",N19," ) &amp; ",INDEX([1]AB4!BS:BS,MATCH(A10,[1]AB4!B:B,0)))))))</f>
        <v>Max of ( SPT : PRV : 4DHH &amp; SPT : CDHH ) - 3.00% ) &amp; Round Down</v>
      </c>
      <c r="S27" s="154" t="str">
        <f t="array" ref="S27">IF(C4="","",IF(C9="Futures","",IF(C9="OPTIONS SELL","",IF(C9="OPTIONS BUY",CONCATENATE([1]AB5!$O$143,"( ",INDEX([1]AB4!BT:BT,MATCH(A10,[1]AB4!B:B,0))," &amp; ",[1]AB5!$S$151," ) ",INDEX([1]AB4!BU:BU,MATCH(A10,[1]AB4!B:B))," ",N18," ) &amp; ",INDEX([1]AB4!BW:BW,MATCH(A10,[1]AB4!B:B,0))," ",INDEX([1]AB4!BX:BX,MATCH(A10,[1]AB4!B:B,0))," ",INDEX([1]AB4!BY:BY,MATCH(A10,[1]AB4!B:B,0)))))))</f>
        <v xml:space="preserve">Max of ( SPT : PRV : 4DHH &amp; SPT : CDHH ) + 3.00% ) &amp; Round Down  </v>
      </c>
      <c r="T27" s="26"/>
      <c r="U27" s="154" t="str">
        <f t="array" ref="U27">IF(C4="","",IF(C9="Futures","",IF(C9="OPTIONS SELL","",IF(C9="OPTIONS BUY",CONCATENATE([1]AB5!$T$143," of ( ",INDEX([1]AB4!CE:CE,MATCH(A10,[1]AB4!B:B,0))," &amp; ",[1]AB5!$U$151," ) ",[1]AB5!$H$128,TEXT(INDEX([1]AB4!CF:CF,MATCH(A10,[1]AB4!B:B,0)),"0.00%"))))))</f>
        <v>Max of  of ( SPT : PRV : 4DHH &amp; SPT : CDHH )  * 8.00%</v>
      </c>
      <c r="V27" s="26"/>
      <c r="W27" s="154" t="str">
        <f>IF(C4="","",IF(C9="Futures","",IF(C9="OPTIONS SELL","",IF(C9="OPTIONS BUY",[1]AB5!$H$129))))</f>
        <v>N.A.</v>
      </c>
      <c r="X27" s="26"/>
      <c r="Y27" s="155" t="str">
        <f>IF(A4="","",IF(C9="Futures","",IF(C9="OPTIONS SELL","",IF(C9="OPTIONS BUY",I10))))</f>
        <v>100 Lots</v>
      </c>
      <c r="Z27" s="154" t="str">
        <f t="array" ref="Z27">IF(C4="","",IF(C9="Futures","",IF(C9="OPTIONS SELL","",IF(C9="OPTIONS BUY",CONCATENATE([1]AB5!$X$143,"( ",INDEX([1]AB4!G:G,MATCH(A10,[1]AB4!B:B,0))," &amp; ",[1]AB5!$Z$151," ) ", INDEX([1]AB4!H:H,MATCH(A10,[1]AB4!B:B,0))," ",AA19)))))</f>
        <v>Max of ( OPT : PRV : 4D HH &amp; OPT : CDHH )  +  7.00%</v>
      </c>
      <c r="AA27" s="107"/>
    </row>
    <row r="28" spans="1:27" ht="53.25" customHeight="1" thickBot="1" x14ac:dyDescent="0.25">
      <c r="A28" s="14"/>
      <c r="B28" s="169" t="str">
        <f>IF(C4="","",IF(C9="Futures","",IF(C9="OPTIONS SELL","",IF(C9="OPTIONS BUY",[1]AB5!$B$152))))</f>
        <v>Stay Blessed !!!</v>
      </c>
      <c r="C28" s="18"/>
      <c r="D28" s="170" t="str">
        <f>IF(C4="","",IF(C9="Futures","",IF(C9="OPTIONS SELL","",IF(C9="OPTIONS BUY",[1]AB5!$D$152))))</f>
        <v>For Put Buy SL</v>
      </c>
      <c r="E28" s="171" t="str">
        <f>IF(C4="","",IF(C9="Futures","",IF(C9="OPTIONS SELL","",IF(C9="OPTIONS BUY",CONCATENATE([1]AB5!$E$152,TEXT(B26,"HH:MM:SS AM/PM"),[1]AB5!$B$150,[1]AB5!$F$152)))))</f>
        <v>Check If  09:15:00 AM LL &lt; Put Buy SL</v>
      </c>
      <c r="F28" s="172"/>
      <c r="G28" s="173" t="str">
        <f>IF(C4="","",IF(C9="Futures","",IF(C9="OPTIONS SELL","",IF(C9="OPTIONS BUY",[1]AB5!$G$152))))</f>
        <v>No</v>
      </c>
      <c r="H28" s="174" t="str">
        <f>IF(C4="","",IF(C9="Futures","",IF(C9="OPTIONS SELL","",IF(C9="OPTIONS BUY",[1]AB5!$H$152))))</f>
        <v>FSL / TRP Not Missed</v>
      </c>
      <c r="I28" s="175" t="str">
        <f>IF(C4="","",IF(C9="Futures","",IF(C9="OPTIONS SELL","",IF(C9="OPTIONS BUY",[1]AB5!$I$144))))</f>
        <v>Place the Order at ORPT</v>
      </c>
      <c r="J28" s="176" t="str">
        <f>IF(C4="","",IF(C9="Futures","",IF(C9="OPTIONS SELL","",IF(C9="OPTIONS BUY",[1]AB5!$J$152))))</f>
        <v>ORPT Time</v>
      </c>
      <c r="K28" s="97"/>
      <c r="L28" s="177">
        <f>IF(C4="","",IF(C9="Futures","",IF(C9="OPTIONS SELL","",IF(C9="OPTIONS BUY",B22))))</f>
        <v>0.39235416666666667</v>
      </c>
      <c r="M28" s="178" t="str">
        <f>IF(C4="","",IF(C9="Futures","",IF(C9="OPTIONS SELL","",IF(C9="OPTIONS BUY",[1]AB5!$M$152))))</f>
        <v>N.A.</v>
      </c>
      <c r="N28" s="174" t="str">
        <f>IF(C4="","",IF(C9="Futures","",IF(C9="OPTIONS SELL","",IF(C9="OPTIONS BUY",[1]AB5!$N$152))))</f>
        <v>N.A.</v>
      </c>
      <c r="O28" s="179" t="str">
        <f>IF(C4="","",IF(C9="Futures","",IF(C9="OPTIONS SELL","",IF(C9="OPTIONS BUY",[1]AB5!$O$152))))</f>
        <v>N.A.</v>
      </c>
      <c r="P28" s="103"/>
      <c r="Q28" s="163" t="str">
        <f>IF(C6="","",IF(C9="Futures","",IF(C9="OPTIONS SELL","",IF(C9="OPTIONS BUY",[1]AB5!$Q$152))))</f>
        <v>Put</v>
      </c>
      <c r="R28" s="164" t="str">
        <f t="array" ref="R28">IF(C4="","",IF(C9="Futures","",IF(C9="OPTIONS SELL","",IF(C9="OPTIONS BUY",CONCATENATE([1]AB5!$M$146, "( ",INDEX([1]AB4!BP:BP,MATCH(A13,[1]AB4!B:B,0))," &amp; ",[1]AB5!$R$152," ) ", INDEX([1]AB4!BQ:BQ,MATCH(A13,[1]AB4!B:B,0))," ",N22," ) &amp; ",INDEX([1]AB4!BS:BS,MATCH(A13,[1]AB4!B:B,0)))))))</f>
        <v>Min of ( SPT : PRV : 2DLL &amp; SPT : CDLL ) + 3.00% ) &amp; Round Up</v>
      </c>
      <c r="S28" s="165" t="str">
        <f t="array" ref="S28">IF(C4="","",IF(C9="Futures","",IF(C9="OPTIONS SELL","",IF(C9="OPTIONS BUY",CONCATENATE([1]AB5!$O$146,"( ",INDEX([1]AB4!BT:BT,MATCH(A13,[1]AB4!B:B,0))," &amp; ",[1]AB5!$S$152," ) ",INDEX([1]AB4!BU:BU,MATCH(A13,[1]AB4!B:B))," ",N18," ) &amp; ",INDEX([1]AB4!BW:BW,MATCH(A13,[1]AB4!B:B,0))," ",INDEX([1]AB4!BX:BX,MATCH(A13,[1]AB4!B:B,0))," ",INDEX([1]AB4!BY:BY,MATCH(A13,[1]AB4!B:B,0)))))))</f>
        <v xml:space="preserve">Min of ( SPT : PRV : 2DLL &amp; SPT : CDLL ) - 3.00% ) &amp; Round Up  </v>
      </c>
      <c r="T28" s="38"/>
      <c r="U28" s="165" t="str">
        <f t="array" ref="U28">IF(C4="","",IF(C9="Futures","",IF(C9="OPTIONS SELL","",IF(C9="OPTIONS BUY",CONCATENATE([1]AB5!$T$146,"( ",INDEX([1]AB4!CE:CE,MATCH(A13,[1]AB4!B:B,0))," &amp; ",[1]AB5!$U$152," ) ",[1]AB5!$H$128,TEXT(INDEX([1]AB4!CF:CF,MATCH(A13,[1]AB4!B:B,0)),"0.00%"))))))</f>
        <v>Min of ( SPT : PRV : 2DLL &amp; SPT : CDHH )  * 8.00%</v>
      </c>
      <c r="V28" s="38"/>
      <c r="W28" s="165" t="str">
        <f>IF(C4="","",IF(C9="Futures","",IF(C9="OPTIONS SELL","",IF(C9="OPTIONS BUY",[1]AB5!$H$129))))</f>
        <v>N.A.</v>
      </c>
      <c r="X28" s="38"/>
      <c r="Y28" s="166" t="str">
        <f>IF(A4="","",IF(C9="Futures","",IF(C9="OPTIONS SELL","",IF(C9="OPTIONS BUY",I13))))</f>
        <v>100 Lots</v>
      </c>
      <c r="Z28" s="165" t="str">
        <f t="array" ref="Z28">IF(C4="","",IF(C9="Futures","",IF(C9="OPTIONS SELL","",IF(C9="OPTIONS BUY",CONCATENATE([1]AB5!$X$146,"( ",INDEX([1]AB4!G:G,MATCH(A13,[1]AB4!B:B,0))," &amp; ",[1]AB5!$Z$152," ) ", INDEX([1]AB4!H:H,MATCH(A13,[1]AB4!B:B,0))," ",AA22)))))</f>
        <v>Max of ( OPT : PRV : 2D HH &amp; OPT : CDHH )  +  5.00%</v>
      </c>
      <c r="AA28" s="167"/>
    </row>
    <row r="29" spans="1:27" ht="53.25" customHeight="1" x14ac:dyDescent="0.2">
      <c r="A29" s="138"/>
      <c r="B29" s="30"/>
      <c r="C29" s="31"/>
      <c r="D29" s="180"/>
      <c r="E29" s="143"/>
      <c r="F29" s="143"/>
      <c r="G29" s="181" t="str">
        <f>IF(C4="","",IF(C9="Futures","",IF(C9="OPTIONS SELL","",IF(C9="OPTIONS BUY",[1]AB5!$G$153))))</f>
        <v>Yes</v>
      </c>
      <c r="H29" s="182" t="str">
        <f>IF(C4="","",IF(C9="Futures","",IF(C9="OPTIONS SELL","",IF(C9="OPTIONS BUY",[1]AB5!$H$153))))</f>
        <v>FSL / TRP Missed</v>
      </c>
      <c r="I29" s="175" t="str">
        <f>IF(C4="","",IF(C9="Futures","",IF(C9="OPTIONS SELL","",IF(C9="OPTIONS BUY",[1]AB5!$I$145))))</f>
        <v>Recalcuate : Put Buy Entry : Bull / Bull CF</v>
      </c>
      <c r="J29" s="176" t="str">
        <f>IF(C4="","",IF(C9="Futures","",IF(C9="OPTIONS SELL","",IF(C9="OPTIONS BUY",[1]AB5!$J$153))))</f>
        <v>Wait Till Recalculation Time</v>
      </c>
      <c r="K29" s="97"/>
      <c r="L29" s="177">
        <f>IF(C4="","",IF(C9="Futures","",IF(C9="OPTIONS SELL","",IF(C9="OPTIONS BUY",C22))))</f>
        <v>0.39582638888888888</v>
      </c>
      <c r="M29" s="178" t="str">
        <f>IF(C4="","",IF(C9="Futures","",IF(C9="OPTIONS SELL","",IF(C9="OPTIONS BUY",CONCATENATE(N29," ",[1]AB5!$M$153," ",TEXT(O29,"0.00%"))))))</f>
        <v>09:29:59 AM LL - 10.00%</v>
      </c>
      <c r="N29" s="99" t="str">
        <f>IF(C4="","",IF(C9="Futures","",IF(C9="OPTIONS SELL","",IF(C9="OPTIONS BUY",CONCATENATE(TEXT(L29,"HH:MM:SS AM/PM"),[1]AB5!$N$153)))))</f>
        <v>09:29:59 AM LL</v>
      </c>
      <c r="O29" s="183" t="str">
        <f t="array" ref="O29">IF(A4="","",IF(C9="Futures","",IF(C9="OPTIONS SELL","",IF(C9="OPTIONS BUY",TEXT(INDEX([1]AB4!BL:BL,MATCH(A7,[1]AB4!B:B,0)),"0.00%")))))</f>
        <v>10.00%</v>
      </c>
      <c r="P29" s="184" t="str">
        <f>IF(C4="","",[1]AB5!$P$84)</f>
        <v>When You Call And Put Position is Exited</v>
      </c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31"/>
    </row>
    <row r="30" spans="1:27" ht="53.25" customHeight="1" thickBot="1" x14ac:dyDescent="0.25">
      <c r="A30" s="138"/>
      <c r="B30" s="32"/>
      <c r="C30" s="51"/>
      <c r="D30" s="186"/>
      <c r="E30" s="187"/>
      <c r="F30" s="187"/>
      <c r="G30" s="104"/>
      <c r="H30" s="127"/>
      <c r="I30" s="188" t="str">
        <f>IF(C4="","",IF(C9="Futures","",IF(C9="OPTIONS SELL","",IF(C9="OPTIONS BUY",[1]AB5!$I$146))))</f>
        <v>Recalcuate : Put Buy Entry : Bear / Bear CF</v>
      </c>
      <c r="J30" s="189" t="str">
        <f>IF(C4="","",IF(C9="Futures","",IF(C9="OPTIONS SELL","",IF(C9="OPTIONS BUY",[1]AB5!$J$154))))</f>
        <v>Wait Till Recalculation Time</v>
      </c>
      <c r="K30" s="38"/>
      <c r="L30" s="190">
        <f>IF(C4="","",IF(C9="Futures","",IF(C9="OPTIONS SELL","",IF(C9="OPTIONS BUY",C22))))</f>
        <v>0.39582638888888888</v>
      </c>
      <c r="M30" s="191" t="str">
        <f>IF(C4="","",IF(C9="Futures","",IF(C9="OPTIONS SELL","",IF(C9="OPTIONS BUY",CONCATENATE(N30," ",[1]AB5!$M$154," ",TEXT(O30,"0.00%"))))))</f>
        <v>09:29:59 AM LL - 12.00%</v>
      </c>
      <c r="N30" s="192" t="str">
        <f>IF(C4="","",IF(C9="Futures","",IF(C9="OPTIONS SELL","",IF(C9="OPTIONS BUY",CONCATENATE(TEXT(L30,"HH:MM:SS AM/PM"),[1]AB5!$N$154)))))</f>
        <v>09:29:59 AM LL</v>
      </c>
      <c r="O30" s="193" t="str">
        <f t="array" ref="O30">IF(A4="","",IF(C9="Futures","",IF(C9="OPTIONS SELL","",IF(C9="OPTIONS BUY",TEXT(INDEX([1]AB4!BL:BL,MATCH(A13,[1]AB4!B:B,0)),"0.00%")))))</f>
        <v>12.00%</v>
      </c>
      <c r="P30" s="194" t="str">
        <f>IF(C4="","",[1]AB5!$P$85)</f>
        <v>This is Only Applicable for Same Day</v>
      </c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51"/>
    </row>
    <row r="31" spans="1:27" ht="45.75" customHeight="1" thickBot="1" x14ac:dyDescent="0.25">
      <c r="A31" s="195"/>
      <c r="B31" s="196" t="str">
        <f>IF(C4="","",[1]AB5!$B$155)</f>
        <v>For Missed SL (Position = Open)</v>
      </c>
      <c r="C31" s="107"/>
      <c r="D31" s="197" t="str">
        <f>IF(C4="","",[1]AB5!$D$120)</f>
        <v>Note: ( Optional )</v>
      </c>
      <c r="E31" s="18"/>
      <c r="F31" s="198" t="str">
        <f>IF(C4="","",[1]AB5!$I$155)</f>
        <v>For Call Buy SL</v>
      </c>
      <c r="G31" s="62"/>
      <c r="H31" s="62"/>
      <c r="I31" s="62"/>
      <c r="J31" s="62"/>
      <c r="K31" s="62"/>
      <c r="L31" s="62"/>
      <c r="M31" s="62"/>
      <c r="N31" s="62"/>
      <c r="O31" s="62"/>
      <c r="P31" s="59"/>
      <c r="Q31" s="198" t="str">
        <f>IF(C4="","",[1]AB5!$R$155)</f>
        <v>For Put Buy SL</v>
      </c>
      <c r="R31" s="62"/>
      <c r="S31" s="62"/>
      <c r="T31" s="62"/>
      <c r="U31" s="62"/>
      <c r="V31" s="62"/>
      <c r="W31" s="62"/>
      <c r="X31" s="62"/>
      <c r="Y31" s="62"/>
      <c r="Z31" s="62"/>
      <c r="AA31" s="59"/>
    </row>
    <row r="32" spans="1:27" ht="45.75" customHeight="1" x14ac:dyDescent="0.2">
      <c r="A32" s="195"/>
      <c r="B32" s="199" t="str">
        <f>IF(C4="","",[1]AB5!$B$156)</f>
        <v>Check time</v>
      </c>
      <c r="C32" s="200"/>
      <c r="D32" s="30"/>
      <c r="E32" s="31"/>
      <c r="F32" s="201" t="str">
        <f>IF(C4="","",CONCATENATE([1]AB5!$G$156,TEXT(B33,"HH:MM:SS AM/PM"),[1]AB5!$B$157,[1]AB5!$H$156))</f>
        <v>Check If Close at 03:00:00 PM  &lt; Call Buy Original SL</v>
      </c>
      <c r="G32" s="97"/>
      <c r="H32" s="202" t="str">
        <f>IF(C4="","",[1]AB5!$I$156)</f>
        <v>Yes</v>
      </c>
      <c r="I32" s="12"/>
      <c r="J32" s="203" t="str">
        <f>IF(C4="","",CONCATENATE([1]AB5!$K$156,TEXT(B33,"HH:MM:SS AM/PM")))</f>
        <v xml:space="preserve"> Then Square Off The Position At CMP at 03:00:00 PM</v>
      </c>
      <c r="K32" s="148"/>
      <c r="L32" s="148"/>
      <c r="M32" s="148"/>
      <c r="N32" s="148"/>
      <c r="O32" s="148"/>
      <c r="P32" s="204"/>
      <c r="Q32" s="205" t="str">
        <f>IF(C4="","",CONCATENATE([1]AB5!$R$156,TEXT(B33,"HH:MM:SS AM/PM"),[1]AB5!$B$157,[1]AB5!$S$156))</f>
        <v>Check If Close at 03:00:00 PM  &gt; Put Buy Original SL</v>
      </c>
      <c r="R32" s="148"/>
      <c r="S32" s="12"/>
      <c r="T32" s="206" t="str">
        <f>IF(C4="","",[1]AB5!$U$156)</f>
        <v>Yes</v>
      </c>
      <c r="U32" s="207" t="str">
        <f>IF(C4="","",CONCATENATE([1]AB5!$W$156,TEXT(B33,"HH:MM:SS AM/PM")))</f>
        <v xml:space="preserve"> Then Square Off The Position At CMP at 03:00:00 PM</v>
      </c>
      <c r="V32" s="148"/>
      <c r="W32" s="148"/>
      <c r="X32" s="148"/>
      <c r="Y32" s="148"/>
      <c r="Z32" s="148"/>
      <c r="AA32" s="204"/>
    </row>
    <row r="33" spans="1:27" ht="45.75" customHeight="1" thickBot="1" x14ac:dyDescent="0.25">
      <c r="A33" s="195"/>
      <c r="B33" s="208">
        <f t="array" ref="B33">IF(C4="","",INDEX([1]AB4!CU:CU,MATCH(A21,[1]AB4!B:B,0)))</f>
        <v>0.625</v>
      </c>
      <c r="C33" s="167"/>
      <c r="D33" s="32"/>
      <c r="E33" s="51"/>
      <c r="F33" s="209" t="str">
        <f>IF(C4="","",CONCATENATE([1]AB5!$G$157,TEXT(B33,"HH:MM:SS AM/PM"),[1]AB5!$B$157,[1]AB5!$H$157))</f>
        <v>Check If Close at 03:00:00 PM  &gt; Call Buy Original SL</v>
      </c>
      <c r="G33" s="38"/>
      <c r="H33" s="210" t="str">
        <f>IF(C4="","",[1]AB5!$I$157)</f>
        <v>Yes</v>
      </c>
      <c r="I33" s="38"/>
      <c r="J33" s="211" t="str">
        <f>IF(C4="","",CONCATENATE([1]AB5!$K$157))</f>
        <v xml:space="preserve"> Then Continue the Position for Next Day And Calculate Stop Loss Price as per the Rules</v>
      </c>
      <c r="K33" s="134"/>
      <c r="L33" s="134"/>
      <c r="M33" s="134"/>
      <c r="N33" s="134"/>
      <c r="O33" s="134"/>
      <c r="P33" s="167"/>
      <c r="Q33" s="209" t="str">
        <f>IF(C4="","",CONCATENATE([1]AB5!$R$157,TEXT(B33,"HH:MM:SS AM/PM"),[1]AB5!$B$158,[1]AB5!$S$157))</f>
        <v>Check If Close at 03:00:00 PM  &lt; Put Buy Original SL</v>
      </c>
      <c r="R33" s="134"/>
      <c r="S33" s="38"/>
      <c r="T33" s="212" t="str">
        <f>IF(C4="","",[1]AB5!$U$157)</f>
        <v>Yes</v>
      </c>
      <c r="U33" s="211" t="str">
        <f>IF(C4="","",CONCATENATE([1]AB5!$W$157))</f>
        <v xml:space="preserve"> Then Continue the Position for Next Day And Calculate Stop Loss Price as per the Rules</v>
      </c>
      <c r="V33" s="134"/>
      <c r="W33" s="134"/>
      <c r="X33" s="134"/>
      <c r="Y33" s="134"/>
      <c r="Z33" s="134"/>
      <c r="AA33" s="167"/>
    </row>
    <row r="34" spans="1:27" ht="15.75" customHeight="1" thickBot="1" x14ac:dyDescent="0.25">
      <c r="A34" s="138"/>
      <c r="B34" s="138"/>
      <c r="C34" s="138"/>
      <c r="D34" s="138"/>
      <c r="E34" s="138"/>
      <c r="F34" s="138"/>
      <c r="G34" s="138"/>
      <c r="H34" s="138"/>
      <c r="I34" s="138"/>
      <c r="J34" s="137"/>
      <c r="K34" s="137"/>
      <c r="L34" s="137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213"/>
      <c r="Y34" s="138"/>
      <c r="Z34" s="138"/>
      <c r="AA34" s="138"/>
    </row>
    <row r="35" spans="1:27" ht="53.25" customHeight="1" x14ac:dyDescent="0.2">
      <c r="A35" s="14" t="str">
        <f>IF(C35="","",CONCATENATE(C36,[1]AB5!$A$4))</f>
        <v>S27A</v>
      </c>
      <c r="B35" s="15" t="str">
        <f>IF(C35="","",[1]AB5!$B$128)</f>
        <v>Sr. No.</v>
      </c>
      <c r="C35" s="16">
        <v>27</v>
      </c>
      <c r="D35" s="17" t="str">
        <f>IF(C35="","",IF(C40="Futures","",IF(C40="OPTIONS SELL","",IF(C40="OPTIONS BUY",[1]AB5!$D$128))))</f>
        <v>BULL / BULL CF</v>
      </c>
      <c r="E35" s="18"/>
      <c r="F35" s="17" t="str">
        <f>IF(C35="","",IF(C40="Futures","",IF(C40="OPTIONS SELL","",IF(C40="OPTIONS BUY",[1]AB5!$F$128))))</f>
        <v>Call</v>
      </c>
      <c r="G35" s="19" t="str">
        <f t="array" ref="G35">IF(C35="","",IF(C40="Futures","",IF(C40="OPTIONS SELL","",IF(C40="OPTIONS BUY",CONCATENATE("( ",INDEX([1]AB4!BP:BP,MATCH(A35,[1]AB4!B:B,0))," ",INDEX([1]AB4!BQ:BQ,MATCH(A35,[1]AB4!B:B,0))," ",TEXT(INDEX([1]AB4!BR:BR,MATCH(A35,[1]AB4!B:B,0)),""),") &amp; ",INDEX([1]AB4!BS:BS,MATCH(A35,[1]AB4!B:B,0)))))))</f>
        <v>( SPT : PRV : 2DHH  ) &amp; Round off to the Nearest Strike</v>
      </c>
      <c r="H35" s="19" t="str">
        <f>IF(C35="","",[1]AB5!H210)</f>
        <v>N.A.</v>
      </c>
      <c r="I35" s="20" t="str">
        <f t="array" ref="I35">IF(C35="","",IF(C40="Futures","",IF(C40="OPTIONS SELL","",IF(C40="OPTIONS BUY",CONCATENATE(INDEX([1]AB4!CI:CI,MATCH(A35,[1]AB4!B:B,0)),[1]AB5!$I$128)))))</f>
        <v>100 Lots</v>
      </c>
      <c r="J35" s="21" t="str">
        <f>IF(C35="","",IF(C40="Futures","",IF(C40="OPTIONS SELL","",IF(C40="OPTIONS BUY",[1]AB5!$J$128))))</f>
        <v>BULL / BULL CF</v>
      </c>
      <c r="K35" s="17" t="str">
        <f>IF(C35="","",IF(C40="Futures","",IF(C40="OPTIONS SELL","",IF(C40="OPTIONS BUY",[1]AB5!$K$128))))</f>
        <v>Call</v>
      </c>
      <c r="L35" s="22" t="str">
        <f>IF(C35="","",IF(C40="Futures","",IF(C40="OPTIONS SELL","",IF(C40="OPTIONS BUY",[1]AB5!$L$128))))</f>
        <v>E &amp; T</v>
      </c>
      <c r="M35" s="19" t="str">
        <f t="array" ref="M35">IF(C35="","",IF(C40="Futures","",IF(C40="OPTIONS SELL","",IF(C40="OPTIONS BUY",CONCATENATE(INDEX([1]AB4!G:G,MATCH(A35,[1]AB4!B:B,0)),INDEX([1]AB4!H:H,MATCH(A35,[1]AB4!B:B,0)),TEXT(INDEX([1]AB4!I:I,MATCH(A35,[1]AB4!B:B,0)),"0.00%"))))))</f>
        <v>OPT : PRV : 2D HH + 5.00%</v>
      </c>
      <c r="N35" s="23">
        <f t="array" ref="N35">IF(C35="","",IF(C40="Futures","",IF(C40="OPTIONS SELL","",IF(C40="OPTIONS BUY",INDEX([1]AB4!J:J,MATCH(A35,[1]AB4!B:B,0))))))</f>
        <v>5</v>
      </c>
      <c r="O35" s="24" t="str">
        <f t="array" ref="O35">IF(C35="","",IF(C40="Futures","",IF(C40="OPTIONS SELL","",IF(C40="OPTIONS BUY",IF(INDEX([1]AB4!N:N,MATCH(A35,[1]AB4!B:B,0))="","",CONCATENATE(INDEX([1]AB4!L:L,MATCH(A35,[1]AB4!B:B,0)),INDEX([1]AB4!M:M,MATCH(A35,[1]AB4!B:B,0)),CONCATENATE("( ",CONCATENATE([1]AB5!$O$128,TEXT(INDEX([1]AB4!N:N,MATCH(A35,[1]AB4!B:B,0)),"0.00%"),CONCATENATE(" ) ")))))))))</f>
        <v xml:space="preserve">CE : Entry  + ( Final Strike * 3.00% ) </v>
      </c>
      <c r="P35" s="25">
        <f t="array" ref="P35">IF(C35="","",IF(C40="Futures","",IF(C40="OPTIONS SELL","",IF(C40="OPTIONS BUY",IF(INDEX([1]AB4!N:N,MATCH(A35,[1]AB4!B:B,0))="","",INDEX([1]AB4!O:O,MATCH(A35,[1]AB4!B:B,0)))))))</f>
        <v>1</v>
      </c>
      <c r="Q35" s="26"/>
      <c r="R35" s="24" t="str">
        <f t="array" ref="R35">IF(C35="","",IF(C40="Futures","",IF(C40="OPTIONS SELL","",IF(C40="OPTIONS BUY",IF(INDEX([1]AB4!P:P,MATCH(A35,[1]AB4!B:B,0))="","",CONCATENATE(INDEX([1]AB4!L:L,MATCH(A35,[1]AB4!B:B,0)),INDEX([1]AB4!M:M,MATCH(A35,[1]AB4!B:B,0)),CONCATENATE("( ",CONCATENATE([1]AB5!$R$128,TEXT(INDEX([1]AB4!P:P,MATCH(A35,[1]AB4!B:B,0)),"0.00%"),CONCATENATE(" ) ",)))))))))</f>
        <v xml:space="preserve">CE : Entry  + ( Final Strike * 4.50% ) </v>
      </c>
      <c r="S35" s="23">
        <f t="array" ref="S35">IF(C35="","",IF(C40="Futures","",IF(C40="OPTIONS SELL","",IF(C40="OPTIONS BUY",IF(INDEX([1]AB4!P:P,MATCH(A35,[1]AB4!B:B,0))="","",INDEX([1]AB4!Q:Q,MATCH(A35,[1]AB4!B:B,0)))))))</f>
        <v>1</v>
      </c>
      <c r="T35" s="24" t="str">
        <f t="array" ref="T35">IF(C35="","",IF(C40="Futures","",IF(C40="OPTIONS SELL","",IF(C40="OPTIONS BUY",IF(INDEX([1]AB4!R:R,MATCH(A35,[1]AB4!B:B,0))="","",CONCATENATE(INDEX([1]AB4!L:L,MATCH(A35,[1]AB4!B:B,0)),INDEX([1]AB4!M:M,MATCH(A35,[1]AB4!B:B,0)),CONCATENATE("( ",CONCATENATE([1]AB5!$T$128,TEXT(INDEX([1]AB4!R:R,MATCH(A35,[1]AB4!B:B,0)),"0.00%"),CONCATENATE(" ) ")))))))))</f>
        <v xml:space="preserve">CE : Entry  + ( Final Strike * 6.00% ) </v>
      </c>
      <c r="U35" s="23">
        <f t="array" ref="U35">IF(C35="","",IF(C40="Futures","",IF(C40="OPTIONS SELL","",IF(C40="OPTIONS BUY",IF(INDEX([1]AB4!R:R,MATCH(A35,[1]AB4!B:B,0))="","",INDEX([1]AB4!S:S,MATCH(A35,[1]AB4!B:B,0)))))))</f>
        <v>1</v>
      </c>
      <c r="V35" s="24" t="str">
        <f t="array" ref="V35">IF(C35="","",IF(C40="Futures","",IF(C40="OPTIONS SELL","",IF(C40="OPTIONS BUY",IF(INDEX([1]AB4!T:T,MATCH(A35,[1]AB4!B:B,0))="","",CONCATENATE(INDEX([1]AB4!L:L,MATCH(A35,[1]AB4!B:B,0)),INDEX([1]AB4!M:M,MATCH(A35,[1]AB4!B:B,0)),CONCATENATE("( ",CONCATENATE([1]AB5!$V$128,TEXT(INDEX([1]AB4!T:T,MATCH(A35,[1]AB4!B:B,0)),"0.00%"),CONCATENATE(" ) ")))))))))</f>
        <v xml:space="preserve">CE : Entry  + ( Final Strike * 8.00% ) </v>
      </c>
      <c r="W35" s="23">
        <f t="array" ref="W35">IF(C35="","",IF(C40="Futures","",IF(C40="OPTIONS SELL","",IF(C40="OPTIONS BUY",IF(INDEX([1]AB4!T:T,MATCH(A35,[1]AB4!B:B,0))="","",INDEX([1]AB4!U:U,MATCH(A35,[1]AB4!B:B,0)))))))</f>
        <v>1</v>
      </c>
      <c r="X35" s="24" t="str">
        <f t="array" ref="X35">IF(C35="","",IF(C40="Futures","",IF(C40="OPTIONS SELL","",IF(C40="OPTIONS BUY",IF(INDEX([1]AB4!V:V,MATCH(A35,[1]AB4!B:B,0))="","",INDEX([1]AB4!V:V,MATCH(A35,[1]AB4!B:B,0)))))))</f>
        <v>TR PROFIT AFTER TGT 4</v>
      </c>
      <c r="Y35" s="23">
        <f t="array" ref="Y35">IF(C35="","",IF(C40="Futures","",IF(C40="OPTIONS SELL","",IF(C40="OPTIONS BUY",IF(INDEX([1]AB4!V:V,MATCH(A35,[1]AB4!B:B,0))="","",INDEX([1]AB4!W:W,MATCH(A35,[1]AB4!B:B,0)))))))</f>
        <v>1</v>
      </c>
      <c r="Z35" s="24" t="str">
        <f>IF(C35="","",[1]AB5!Z210)</f>
        <v>N.A.</v>
      </c>
      <c r="AA35" s="27" t="str">
        <f>IF(C35="","",[1]AB5!AA210)</f>
        <v>N.A.</v>
      </c>
    </row>
    <row r="36" spans="1:27" ht="53.25" customHeight="1" thickBot="1" x14ac:dyDescent="0.25">
      <c r="A36" s="14" t="str">
        <f>IF(C35="","",CONCATENATE(C36,[1]AB5!$A$5))</f>
        <v>S27A</v>
      </c>
      <c r="B36" s="28" t="str">
        <f>IF(C35="","",IF(C40="Futures","",IF(C40="OPTIONS SELL","",[1]AB5!$B$129)))</f>
        <v>Strategy Code</v>
      </c>
      <c r="C36" s="29" t="str">
        <f t="array" ref="C36">IF(C35="","",IF(C40="Futures","",IF(C40="OPTIONS SELL","",IF(C40="OPTIONS BUY",INDEX([1]AB2!B:B,MATCH(C35,[1]AB2!A:A,0))))))</f>
        <v>S27</v>
      </c>
      <c r="D36" s="30"/>
      <c r="E36" s="31"/>
      <c r="F36" s="32"/>
      <c r="G36" s="33" t="str">
        <f>IF(C35="","",[1]AB5!G211)</f>
        <v>Start Strike - 1 Strike</v>
      </c>
      <c r="H36" s="34" t="str">
        <f>IF(C35="","",[1]AB5!H211)</f>
        <v>N.A.</v>
      </c>
      <c r="I36" s="34" t="str">
        <f>IF(C35="","",[1]AB5!I211)</f>
        <v>N.A.</v>
      </c>
      <c r="J36" s="31"/>
      <c r="K36" s="32"/>
      <c r="L36" s="35" t="str">
        <f>IF(C35="","",IF(C40="Futures","",IF(C40="OPTIONS SELL","",IF(C40="OPTIONS BUY",[1]AB5!$L$129))))</f>
        <v>SL / TRP</v>
      </c>
      <c r="M36" s="33" t="str">
        <f t="array" ref="M36">IF(C35="","",IF(C40="Futures","",IF(C40="OPTIONS SELL","",IF(C40="OPTIONS BUY",CONCATENATE(INDEX([1]AB4!AE:AE,MATCH(A35,[1]AB4!B:B,0)),INDEX([1]AB4!AF:AF,MATCH(A35,[1]AB4!B:B,0))," ( ",[1]AB5!M211,TEXT(INDEX([1]AB4!AG:AG,MATCH(A35,[1]AB4!B:B,0)),"0.00%"),CONCATENATE(" ) "))))))</f>
        <v xml:space="preserve">CE : Entry  -  ( Final Strike * 3.00% ) </v>
      </c>
      <c r="N36" s="36">
        <f t="array" ref="N36">IF(C35="","",IF(C40="Futures","",IF(C40="OPTIONS SELL","",IF(C40="OPTIONS BUY",INDEX([1]AB4!AM:AM,MATCH(A36,[1]AB4!B:B,0))))))</f>
        <v>5</v>
      </c>
      <c r="O36" s="33" t="str">
        <f t="array" ref="O36">IF(C35="","",IF(C40="Futures","",IF(C40="OPTIONS SELL","",IF(C40="OPTIONS BUY",CONCATENATE(INDEX([1]AB4!AE:AE,MATCH(A35,[1]AB4!B:B,0)),INDEX([1]AB4!AF:AF,MATCH(A35,[1]AB4!B:B,0))," ( ",[1]AB5!O211,TEXT(INDEX([1]AB4!AG:AG,MATCH(A35,[1]AB4!B:B,0)),"0.00%"),CONCATENATE(" ) "))))))</f>
        <v xml:space="preserve">CE : Entry  -  ( Final Strike * 3.00% ) </v>
      </c>
      <c r="P36" s="37">
        <f>IF(C35="","",[1]AB5!Q211)</f>
        <v>4</v>
      </c>
      <c r="Q36" s="38"/>
      <c r="R36" s="33" t="str">
        <f t="array" ref="R36">IF(C35="","",IF(C40="Futures","",IF(C40="OPTIONS SELL","",IF(C40="OPTIONS BUY",CONCATENATE(INDEX([1]AB4!AE:AE,MATCH(A35,[1]AB4!B:B,0)),INDEX([1]AB4!AF:AF,MATCH(A35,[1]AB4!B:B,0))," ( ",[1]AB5!R211,TEXT(INDEX([1]AB4!AG:AG,MATCH(A35,[1]AB4!B:B,0)),"0.00%"),CONCATENATE(" ) "))))))</f>
        <v xml:space="preserve">CE : Entry  -  ( Final Strike * 3.00% ) </v>
      </c>
      <c r="S36" s="36">
        <f>IF(C35="","",[1]AB5!S211)</f>
        <v>3</v>
      </c>
      <c r="T36" s="33" t="str">
        <f t="array" ref="T36">IF(C35="","",IF(C40="Futures","",IF(C40="OPTIONS SELL","",IF(C40="OPTIONS BUY",CONCATENATE(INDEX([1]AB4!AE:AE,MATCH(A35,[1]AB4!B:B,0)),INDEX([1]AB4!AF:AF,MATCH(A35,[1]AB4!B:B,0))," ( ",[1]AB5!O211,TEXT(INDEX([1]AB4!AG:AG,MATCH(A35,[1]AB4!B:B,0)),"0.00%"),CONCATENATE(" ) "))))))</f>
        <v xml:space="preserve">CE : Entry  -  ( Final Strike * 3.00% ) </v>
      </c>
      <c r="U36" s="36">
        <f>IF(C35="","",[1]AB5!U211)</f>
        <v>2</v>
      </c>
      <c r="V36" s="33" t="str">
        <f t="array" ref="V36">IF(C35="","",IF(C40="Futures","",IF(C40="OPTIONS SELL","",IF(C40="OPTIONS BUY",CONCATENATE(INDEX([1]AB4!AE:AE,MATCH(A35,[1]AB4!B:B,0)),INDEX([1]AB4!AF:AF,MATCH(A35,[1]AB4!B:B,0))," ( ",[1]AB5!V211,TEXT(INDEX([1]AB4!AG:AG,MATCH(A35,[1]AB4!B:B,0)),"0.00%"),CONCATENATE(" ) "))))))</f>
        <v xml:space="preserve">CE : Entry  -  ( Final Strike * 3.00% ) </v>
      </c>
      <c r="W36" s="36">
        <f>IF(C35="","",[1]AB5!W211)</f>
        <v>1</v>
      </c>
      <c r="X36" s="33" t="str">
        <f t="array" ref="X36">IF(C35="","",IF(C40="Futures","",IF(C40="OPTIONS SELL","",IF(C40="OPTIONS BUY",CONCATENATE(INDEX([1]AB4!AE:AE,MATCH(A35,[1]AB4!B:B,0)),INDEX([1]AB4!AF:AF,MATCH(A35,[1]AB4!B:B,0))," ( ",[1]AB5!X211,TEXT(INDEX([1]AB4!AG:AG,MATCH(A35,[1]AB4!B:B,0)),"0.00%"),CONCATENATE(" ) "))))))</f>
        <v xml:space="preserve">CE : Entry  -  ( Final Strike * 3.00% ) </v>
      </c>
      <c r="Y36" s="36">
        <f>IF(C35="","",[1]AB5!Y211)</f>
        <v>1</v>
      </c>
      <c r="Z36" s="39" t="str">
        <f>IF(C35="","",[1]AB5!Z211)</f>
        <v>N.A.</v>
      </c>
      <c r="AA36" s="40" t="str">
        <f>IF(C35="","",[1]AB5!AA211)</f>
        <v>N.A.</v>
      </c>
    </row>
    <row r="37" spans="1:27" ht="12" customHeight="1" thickBot="1" x14ac:dyDescent="0.25">
      <c r="A37" s="14" t="str">
        <f>IF(C35="","",CONCATENATE(C36,[1]AB5!A37))</f>
        <v>S27</v>
      </c>
      <c r="B37" s="41" t="str">
        <f>IF(C35="","",IF(C40="Futures","",IF(C40="OPTIONS SELL","",[1]AB5!$B$130)))</f>
        <v>Unique Code</v>
      </c>
      <c r="C37" s="42" t="str">
        <f t="array" ref="C37">IF(C35="","",IF(C40="Futures","",IF(C40="OPTIONS SELL","",IF(C40="OPTIONS BUY",INDEX([1]AB2!N:N,MATCH(C35,[1]AB2!A:A,0))))))</f>
        <v>STOCKS_OP_BUY_MT_DIFF_2D_2D</v>
      </c>
      <c r="D37" s="30"/>
      <c r="E37" s="31"/>
      <c r="F37" s="43"/>
      <c r="G37" s="44"/>
      <c r="H37" s="44"/>
      <c r="I37" s="45"/>
      <c r="J37" s="31"/>
      <c r="K37" s="43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 spans="1:27" ht="53.25" customHeight="1" thickBot="1" x14ac:dyDescent="0.25">
      <c r="A38" s="14" t="str">
        <f>IF(C35="","",CONCATENATE(C36,[1]AB5!$A$7))</f>
        <v>S27B</v>
      </c>
      <c r="B38" s="46"/>
      <c r="C38" s="47"/>
      <c r="D38" s="30"/>
      <c r="E38" s="31"/>
      <c r="F38" s="48" t="str">
        <f>IF(C35="","",IF(C40="Futures","",IF(C40="OPTIONS SELL","",IF(C40="OPTIONS BUY",[1]AB5!$F$131))))</f>
        <v>Put</v>
      </c>
      <c r="G38" s="19" t="str">
        <f>IF(C35="","",[1]AB5!G213)</f>
        <v>N.A.</v>
      </c>
      <c r="H38" s="19" t="str">
        <f>IF(C35="","",[1]AB5!H216)</f>
        <v>N.A.</v>
      </c>
      <c r="I38" s="20" t="str">
        <f>IF(C35="","",[1]AB5!I216)</f>
        <v>N.A.</v>
      </c>
      <c r="J38" s="31"/>
      <c r="K38" s="48" t="str">
        <f>IF(C35="","",IF(C40="Futures","",IF(C40="OPTIONS SELL","",IF(C40="OPTIONS BUY",[1]AB5!$K$131))))</f>
        <v>Put</v>
      </c>
      <c r="L38" s="22" t="str">
        <f>IF(C35="","",IF(C40="Futures","",IF(C40="OPTIONS SELL","",IF(C40="OPTIONS BUY",[1]AB5!$L$131))))</f>
        <v>E &amp; T</v>
      </c>
      <c r="M38" s="19" t="str">
        <f>IF(C35="","",[1]AB5!M213)</f>
        <v>N.A.</v>
      </c>
      <c r="N38" s="23" t="str">
        <f>IF(C35="","",[1]AB5!Q213)</f>
        <v>N.A.</v>
      </c>
      <c r="O38" s="24" t="str">
        <f>IF($C$35="","",[1]AB5!O213)</f>
        <v>N.A.</v>
      </c>
      <c r="P38" s="25" t="str">
        <f>IF($C$35="","",[1]AB5!P213)</f>
        <v>N.A.</v>
      </c>
      <c r="Q38" s="26"/>
      <c r="R38" s="24" t="str">
        <f>IF($C$35="","",[1]AB5!Q213)</f>
        <v>N.A.</v>
      </c>
      <c r="S38" s="23" t="str">
        <f>IF($C$35="","",[1]AB5!S213)</f>
        <v>N.A.</v>
      </c>
      <c r="T38" s="24" t="str">
        <f>IF($C$35="","",[1]AB5!T213)</f>
        <v>N.A.</v>
      </c>
      <c r="U38" s="23" t="str">
        <f>IF($C$35="","",[1]AB5!U213)</f>
        <v>N.A.</v>
      </c>
      <c r="V38" s="24" t="str">
        <f>IF($C$35="","",[1]AB5!V213)</f>
        <v>N.A.</v>
      </c>
      <c r="W38" s="23" t="str">
        <f>IF($C$35="","",[1]AB5!W213)</f>
        <v>N.A.</v>
      </c>
      <c r="X38" s="24" t="str">
        <f>IF($C$35="","",[1]AB5!X213)</f>
        <v>N.A.</v>
      </c>
      <c r="Y38" s="23" t="str">
        <f>IF($C$35="","",[1]AB5!Y213)</f>
        <v>N.A.</v>
      </c>
      <c r="Z38" s="24" t="str">
        <f>IF($C$35="","",[1]AB5!Y213)</f>
        <v>N.A.</v>
      </c>
      <c r="AA38" s="27" t="str">
        <f>IF($C$35="","",[1]AB5!Y213)</f>
        <v>N.A.</v>
      </c>
    </row>
    <row r="39" spans="1:27" ht="53.25" customHeight="1" thickBot="1" x14ac:dyDescent="0.25">
      <c r="A39" s="14" t="str">
        <f>IF(C35="","",CONCATENATE(C36,[1]AB5!$A$8))</f>
        <v>S27B</v>
      </c>
      <c r="B39" s="49"/>
      <c r="C39" s="50"/>
      <c r="D39" s="32"/>
      <c r="E39" s="51"/>
      <c r="F39" s="32"/>
      <c r="G39" s="19" t="str">
        <f>IF(C35="","",[1]AB5!G214)</f>
        <v>N.A.</v>
      </c>
      <c r="H39" s="33" t="str">
        <f>IF(C35="","",[1]AB5!H217)</f>
        <v>N.A.</v>
      </c>
      <c r="I39" s="34" t="str">
        <f>IF(C35="","",[1]AB5!I217)</f>
        <v>N.A.</v>
      </c>
      <c r="J39" s="51"/>
      <c r="K39" s="32"/>
      <c r="L39" s="35" t="str">
        <f>IF(C35="","",IF(C40="Futures","",IF(C40="OPTIONS SELL","",IF(C40="OPTIONS BUY",[1]AB5!$L$132))))</f>
        <v>SL / TRP</v>
      </c>
      <c r="M39" s="33" t="str">
        <f>IF(C35="","",[1]AB5!M214)</f>
        <v>N.A.</v>
      </c>
      <c r="N39" s="23" t="str">
        <f>IF(C35="","",[1]AB5!Q214)</f>
        <v>N.A.</v>
      </c>
      <c r="O39" s="24" t="str">
        <f>IF($C$35="","",[1]AB5!O214)</f>
        <v>N.A.</v>
      </c>
      <c r="P39" s="25" t="str">
        <f>IF($C$35="","",[1]AB5!P214)</f>
        <v>N.A.</v>
      </c>
      <c r="Q39" s="26"/>
      <c r="R39" s="24" t="str">
        <f>IF($C$35="","",[1]AB5!Q214)</f>
        <v>N.A.</v>
      </c>
      <c r="S39" s="23" t="str">
        <f>IF($C$35="","",[1]AB5!S214)</f>
        <v>N.A.</v>
      </c>
      <c r="T39" s="24" t="str">
        <f>IF($C$35="","",[1]AB5!T214)</f>
        <v>N.A.</v>
      </c>
      <c r="U39" s="23" t="str">
        <f>IF($C$35="","",[1]AB5!U214)</f>
        <v>N.A.</v>
      </c>
      <c r="V39" s="24" t="str">
        <f>IF($C$35="","",[1]AB5!V214)</f>
        <v>N.A.</v>
      </c>
      <c r="W39" s="23" t="str">
        <f>IF($C$35="","",[1]AB5!W214)</f>
        <v>N.A.</v>
      </c>
      <c r="X39" s="24" t="str">
        <f>IF($C$35="","",[1]AB5!X214)</f>
        <v>N.A.</v>
      </c>
      <c r="Y39" s="23" t="str">
        <f>IF($C$35="","",[1]AB5!Y214)</f>
        <v>N.A.</v>
      </c>
      <c r="Z39" s="24" t="str">
        <f>IF($C$35="","",[1]AB5!Y214)</f>
        <v>N.A.</v>
      </c>
      <c r="AA39" s="27" t="str">
        <f>IF($C$35="","",[1]AB5!Y214)</f>
        <v>N.A.</v>
      </c>
    </row>
    <row r="40" spans="1:27" ht="24.75" customHeight="1" thickBot="1" x14ac:dyDescent="0.25">
      <c r="A40" s="14" t="str">
        <f>IF(C35="","",CONCATENATE(C36,[1]AB5!$A$9))</f>
        <v>S27C</v>
      </c>
      <c r="B40" s="28" t="str">
        <f>IF(C35="","",IF(C40="Futures","",IF(C40="OPTIONS SELL","",[1]AB5!$B$133)))</f>
        <v>Segment</v>
      </c>
      <c r="C40" s="29" t="str">
        <f t="array" ref="C40">IF(C35="","",INDEX([1]AB2!C:C,MATCH(C35,[1]AB2!A:A,0)))</f>
        <v>OPTIONS BUY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</row>
    <row r="41" spans="1:27" ht="53.25" customHeight="1" thickBot="1" x14ac:dyDescent="0.25">
      <c r="A41" s="14" t="str">
        <f>IF(C35="","",CONCATENATE(C36,[1]AB5!$A$10))</f>
        <v>S27D</v>
      </c>
      <c r="B41" s="28" t="str">
        <f>IF(C35="","",IF(C40="Futures","",IF(C40="OPTIONS SELL","",[1]AB5!$B$134)))</f>
        <v>Symbol</v>
      </c>
      <c r="C41" s="29" t="str">
        <f t="array" ref="C41">IF(C35="","",IF(C40="Futures","",IF(C40="OPTIONS SELL","",IF(C40="OPTIONS BUY",INDEX([1]AB2!E:E,MATCH(C35,[1]AB2!A:A,0))))))</f>
        <v>STOCKS</v>
      </c>
      <c r="D41" s="48" t="str">
        <f>IF(C35="","",IF(C40="Futures","",IF(C40="OPTIONS SELL","",IF(C40="OPTIONS BUY",[1]AB5!$D$134))))</f>
        <v>BEAR / BEAR CF</v>
      </c>
      <c r="E41" s="18"/>
      <c r="F41" s="17" t="str">
        <f>IF(C35="","",IF(C40="Futures","",IF(C40="OPTIONS SELL","",IF(C40="OPTIONS BUY",[1]AB5!$F$134))))</f>
        <v>Call</v>
      </c>
      <c r="G41" s="19" t="str">
        <f>IF($C$35="","",[1]AB5!G216)</f>
        <v>N.A.</v>
      </c>
      <c r="H41" s="19" t="str">
        <f>IF($C$35="","",[1]AB5!H216)</f>
        <v>N.A.</v>
      </c>
      <c r="I41" s="19" t="str">
        <f>IF($C$35="","",[1]AB5!I216)</f>
        <v>N.A.</v>
      </c>
      <c r="J41" s="53" t="str">
        <f>IF(C35="","",IF(C40="Futures","",IF(C40="OPTIONS SELL","",IF(C40="OPTIONS BUY",[1]AB5!$J$134))))</f>
        <v>BEAR / BEAR CF</v>
      </c>
      <c r="K41" s="17" t="str">
        <f>IF(C35="","",IF(C40="Futures","",IF(C40="OPTIONS SELL","",IF(C40="OPTIONS BUY",[1]AB5!$K$134))))</f>
        <v>Call</v>
      </c>
      <c r="L41" s="22" t="str">
        <f>IF(C35="","",IF(C40="Futures","",IF(C40="OPTIONS SELL","",IF(C40="OPTIONS BUY",[1]AB5!$L$134))))</f>
        <v>E &amp; T</v>
      </c>
      <c r="M41" s="19" t="str">
        <f>IF($C$35="","",[1]AB5!M216)</f>
        <v>N.A.</v>
      </c>
      <c r="N41" s="23" t="str">
        <f>IF($C$35="","",[1]AB5!N216)</f>
        <v>N.A.</v>
      </c>
      <c r="O41" s="24" t="str">
        <f>IF(C35="","",[1]AB5!O216)</f>
        <v>N.A.</v>
      </c>
      <c r="P41" s="25" t="str">
        <f>IF(C35="","",[1]AB5!P216)</f>
        <v>N.A.</v>
      </c>
      <c r="Q41" s="26"/>
      <c r="R41" s="24" t="str">
        <f>IF(C35="","",[1]AB5!R216)</f>
        <v>N.A.</v>
      </c>
      <c r="S41" s="23" t="str">
        <f>IF(C35="","",[1]AB5!S216)</f>
        <v>N.A.</v>
      </c>
      <c r="T41" s="24" t="str">
        <f>IF(C35="","",[1]AB5!T216)</f>
        <v>N.A.</v>
      </c>
      <c r="U41" s="23" t="str">
        <f>IF(C35="","",[1]AB5!U216)</f>
        <v>N.A.</v>
      </c>
      <c r="V41" s="24" t="str">
        <f>IF(C35="","",[1]AB5!V216)</f>
        <v>N.A.</v>
      </c>
      <c r="W41" s="23" t="str">
        <f>IF(C35="","",[1]AB5!W216)</f>
        <v>N.A.</v>
      </c>
      <c r="X41" s="24" t="str">
        <f>IF(C35="","",[1]AB5!X216)</f>
        <v>N.A.</v>
      </c>
      <c r="Y41" s="23" t="str">
        <f>IF(C35="","",[1]AB5!Y216)</f>
        <v>N.A.</v>
      </c>
      <c r="Z41" s="24" t="str">
        <f>IF(C35="","",[1]AB5!Z216)</f>
        <v>N.A.</v>
      </c>
      <c r="AA41" s="27" t="str">
        <f>IF(C35="","",[1]AB5!AA216)</f>
        <v>N.A.</v>
      </c>
    </row>
    <row r="42" spans="1:27" ht="53.25" customHeight="1" thickBot="1" x14ac:dyDescent="0.25">
      <c r="A42" s="14" t="str">
        <f>IF(C35="","",CONCATENATE(C36,[1]AB5!$A$11))</f>
        <v>S27D</v>
      </c>
      <c r="B42" s="28" t="str">
        <f>IF(C35="","",IF(C40="Futures","",IF(C40="OPTIONS SELL","",[1]AB5!$B$135)))</f>
        <v>No. of TGT</v>
      </c>
      <c r="C42" s="29" t="str">
        <f t="array" ref="C42">IF(C35="","",IF(C40="Futures","",IF(C40="OPTIONS SELL","",IF(C40="OPTIONS BUY",INDEX([1]AB2!K:K,MATCH(C35,[1]AB2!A:A,0))))))</f>
        <v>4 &amp; APS</v>
      </c>
      <c r="D42" s="30"/>
      <c r="E42" s="31"/>
      <c r="F42" s="32"/>
      <c r="G42" s="33" t="str">
        <f>IF($C$35="","",[1]AB5!G217)</f>
        <v>N.A.</v>
      </c>
      <c r="H42" s="34" t="str">
        <f>IF($C$35="","",[1]AB5!H217)</f>
        <v>N.A.</v>
      </c>
      <c r="I42" s="34" t="str">
        <f>IF($C$35="","",[1]AB5!I217)</f>
        <v>N.A.</v>
      </c>
      <c r="J42" s="31"/>
      <c r="K42" s="32"/>
      <c r="L42" s="35" t="str">
        <f>IF(C35="","",IF(C40="Futures","",IF(C40="OPTIONS SELL","",IF(C40="OPTIONS BUY",[1]AB5!$L$135))))</f>
        <v>SL / TRP</v>
      </c>
      <c r="M42" s="19" t="str">
        <f>IF($C$35="","",[1]AB5!M217)</f>
        <v>N.A.</v>
      </c>
      <c r="N42" s="23" t="str">
        <f>IF($C$35="","",[1]AB5!N217)</f>
        <v>N.A.</v>
      </c>
      <c r="O42" s="24" t="str">
        <f>IF(C36="","",[1]AB5!O217)</f>
        <v>N.A.</v>
      </c>
      <c r="P42" s="25" t="str">
        <f>IF(C36="","",[1]AB5!P217)</f>
        <v>N.A.</v>
      </c>
      <c r="Q42" s="26"/>
      <c r="R42" s="24" t="str">
        <f>IF(C36="","",[1]AB5!R217)</f>
        <v>N.A.</v>
      </c>
      <c r="S42" s="23" t="str">
        <f>IF(C36="","",[1]AB5!S217)</f>
        <v>N.A.</v>
      </c>
      <c r="T42" s="24" t="str">
        <f>IF(C36="","",[1]AB5!T217)</f>
        <v>N.A.</v>
      </c>
      <c r="U42" s="23" t="str">
        <f>IF(C36="","",[1]AB5!U217)</f>
        <v>N.A.</v>
      </c>
      <c r="V42" s="24" t="str">
        <f>IF(C36="","",[1]AB5!V217)</f>
        <v>N.A.</v>
      </c>
      <c r="W42" s="23" t="str">
        <f>IF(C36="","",[1]AB5!W217)</f>
        <v>N.A.</v>
      </c>
      <c r="X42" s="24" t="str">
        <f>IF(C36="","",[1]AB5!X217)</f>
        <v>N.A.</v>
      </c>
      <c r="Y42" s="23" t="str">
        <f>IF(C36="","",[1]AB5!Y217)</f>
        <v>N.A.</v>
      </c>
      <c r="Z42" s="24" t="str">
        <f>IF(C36="","",[1]AB5!Z217)</f>
        <v>N.A.</v>
      </c>
      <c r="AA42" s="27" t="str">
        <f>IF(C35="","",[1]AB5!AA217)</f>
        <v>N.A.</v>
      </c>
    </row>
    <row r="43" spans="1:27" ht="9" customHeight="1" thickBot="1" x14ac:dyDescent="0.25">
      <c r="A43" s="14" t="str">
        <f>IF(C35="","",CONCATENATE(C36,[1]AB5!A43))</f>
        <v>S27</v>
      </c>
      <c r="B43" s="54" t="str">
        <f>IF(C35="","",[1]AB5!B218)</f>
        <v xml:space="preserve">I Commit To Follow The Rules &amp; Process
</v>
      </c>
      <c r="C43" s="55"/>
      <c r="D43" s="30"/>
      <c r="E43" s="31"/>
      <c r="F43" s="43"/>
      <c r="G43" s="44"/>
      <c r="H43" s="44"/>
      <c r="I43" s="45"/>
      <c r="J43" s="31"/>
      <c r="K43" s="43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spans="1:27" ht="53.25" customHeight="1" thickBot="1" x14ac:dyDescent="0.25">
      <c r="A44" s="14" t="str">
        <f>IF(C35="","",CONCATENATE(C36,[1]AB5!$A$13))</f>
        <v>S27E</v>
      </c>
      <c r="B44" s="30"/>
      <c r="C44" s="31"/>
      <c r="D44" s="30"/>
      <c r="E44" s="31"/>
      <c r="F44" s="48" t="str">
        <f>IF(C35="","",IF(C40="Futures","",IF(C40="OPTIONS SELL","",IF(C40="OPTIONS BUY",[1]AB5!$F$137))))</f>
        <v>Put</v>
      </c>
      <c r="G44" s="19" t="str">
        <f t="array" ref="G44">IF(C35="","",IF(C40="Futures","",IF(C40="OPTIONS SELL","",IF(C40="OPTIONS BUY",CONCATENATE("( ",INDEX([1]AB4!BP:BP,MATCH(A44,[1]AB4!B:B,0))," ",INDEX([1]AB4!BQ:BQ,MATCH(A44,[1]AB4!B:B,0))," ",TEXT(INDEX([1]AB4!BR:BR,MATCH(A44,[1]AB4!B:B,0)),""),") &amp; ",INDEX([1]AB4!BS:BS,MATCH(A44,[1]AB4!B:B,0)))))))</f>
        <v>( SPT : PRV : 2DLL  ) &amp; Round off to the Nearest Strike</v>
      </c>
      <c r="H44" s="19" t="str">
        <f>IF(C35="","",[1]AB5!H219)</f>
        <v>N.A.</v>
      </c>
      <c r="I44" s="20" t="str">
        <f t="array" ref="I44">IF(C35="","",IF(C40="Futures","",IF(C40="OPTIONS SELL","",IF(C40="OPTIONS BUY",CONCATENATE(INDEX([1]AB4!CI:CI,MATCH(A44,[1]AB4!B:B,0)),[1]AB5!$I$128)))))</f>
        <v>100 Lots</v>
      </c>
      <c r="J44" s="31"/>
      <c r="K44" s="48" t="str">
        <f>IF(C35="","",IF(C40="Futures","",IF(C40="OPTIONS SELL","",IF(C40="OPTIONS BUY",[1]AB5!$K$137))))</f>
        <v>Put</v>
      </c>
      <c r="L44" s="22" t="str">
        <f>IF(C35="","",IF(C40="Futures","",IF(C40="OPTIONS SELL","",IF(C40="OPTIONS BUY",[1]AB5!$L$137))))</f>
        <v>E &amp; T</v>
      </c>
      <c r="M44" s="19" t="str">
        <f t="array" ref="M44">IF(C35="","",IF(C40="Futures","",IF(C40="OPTIONS SELL","",IF(C40="OPTIONS BUY",CONCATENATE(INDEX([1]AB4!G:G,MATCH(A44,[1]AB4!B:B,0)),INDEX([1]AB4!H:H,MATCH(A44,[1]AB4!B:B,0)),TEXT(INDEX([1]AB4!I:I,MATCH(A44,[1]AB4!B:B,0)),"0.00%"))))))</f>
        <v>OPT : PRV : 2D HH + 5.00%</v>
      </c>
      <c r="N44" s="23">
        <f t="array" ref="N44">IF(C35="","",IF(C40="Futures","",IF(C40="OPTIONS SELL","",IF(C40="OPTIONS BUY",INDEX([1]AB4!J:J,MATCH(A44,[1]AB4!B:B,0))))))</f>
        <v>5</v>
      </c>
      <c r="O44" s="24" t="str">
        <f t="array" ref="O44">IF(C35="","",IF(C40="Futures","",IF(C40="OPTIONS SELL","",IF(C40="OPTIONS BUY",IF(INDEX([1]AB4!N:N,MATCH(A44,[1]AB4!B:B,0))="","",CONCATENATE(INDEX([1]AB4!L:L,MATCH(A44,[1]AB4!B:B,0)),INDEX([1]AB4!M:M,MATCH(A44,[1]AB4!B:B,0)),CONCATENATE("( ",CONCATENATE([1]AB5!$O$137,TEXT(INDEX([1]AB4!N:N,MATCH(A44,[1]AB4!B:B,0)),"0.00%"),CONCATENATE(" ) ")))))))))</f>
        <v xml:space="preserve">PE : Entry  + ( Final Strike * 3.00% ) </v>
      </c>
      <c r="P44" s="25">
        <f t="array" ref="P44">IF(C35="","",IF(C40="Futures","",IF(C40="OPTIONS SELL","",IF(C40="OPTIONS BUY",IF(INDEX([1]AB4!N:N,MATCH(A44,[1]AB4!B:B,0))="","",INDEX([1]AB4!O:O,MATCH(A44,[1]AB4!B:B,0)))))))</f>
        <v>1</v>
      </c>
      <c r="Q44" s="26"/>
      <c r="R44" s="24" t="str">
        <f t="array" ref="R44">IF(C35="","",IF(C40="Futures","",IF(C40="OPTIONS SELL","",IF(C40="OPTIONS BUY",IF(INDEX([1]AB4!P:P,MATCH(A44,[1]AB4!B:B,0))="","",CONCATENATE(INDEX([1]AB4!L:L,MATCH(A44,[1]AB4!B:B,0)),INDEX([1]AB4!M:M,MATCH(A44,[1]AB4!B:B,0)),CONCATENATE("( ",CONCATENATE([1]AB5!$R$137,TEXT(INDEX([1]AB4!P:P,MATCH(A44,[1]AB4!B:B,0)),"0.00%"),CONCATENATE(" ) ")))))))))</f>
        <v xml:space="preserve">PE : Entry  + ( Final Strike * 4.50% ) </v>
      </c>
      <c r="S44" s="23">
        <f t="array" ref="S44">IF(C35="","",IF(C40="Futures","",IF(C40="OPTIONS SELL","",IF(C40="OPTIONS BUY",IF(INDEX([1]AB4!P:P,MATCH(A44,[1]AB4!B:B,0))="","",INDEX([1]AB4!Q:Q,MATCH(A44,[1]AB4!B:B,0)))))))</f>
        <v>1</v>
      </c>
      <c r="T44" s="24" t="str">
        <f t="array" ref="T44">IF(C35="","",IF(C40="Futures","",IF(C40="OPTIONS SELL","",IF(C40="OPTIONS BUY",IF(INDEX([1]AB4!R:R,MATCH(A44,[1]AB4!B:B,0))="","",CONCATENATE(INDEX([1]AB4!L:L,MATCH(A44,[1]AB4!B:B,0)),INDEX([1]AB4!M:M,MATCH(A44,[1]AB4!B:B,0)),CONCATENATE("( ",CONCATENATE([1]AB5!$T$137,TEXT(INDEX([1]AB4!R:R,MATCH(A44,[1]AB4!B:B,0)),"0.00%"),CONCATENATE(" ) ")))))))))</f>
        <v xml:space="preserve">PE : Entry  + ( Final Strike * 6.00% ) </v>
      </c>
      <c r="U44" s="23">
        <f t="array" ref="U44">IF(C35="","",IF(C40="Futures","",IF(C40="OPTIONS SELL","",IF(C40="OPTIONS BUY",IF(INDEX([1]AB4!R:R,MATCH(A44,[1]AB4!B:B,0))="","",INDEX([1]AB4!S:S,MATCH(A44,[1]AB4!B:B,0)))))))</f>
        <v>1</v>
      </c>
      <c r="V44" s="24" t="str">
        <f t="array" ref="V44">IF(C35="","",IF(C40="Futures","",IF(C40="OPTIONS SELL","",IF(C40="OPTIONS BUY",IF(INDEX([1]AB4!T:T,MATCH(A44,[1]AB4!B:B,0))="","",CONCATENATE(INDEX([1]AB4!L:L,MATCH(A44,[1]AB4!B:B,0)),INDEX([1]AB4!M:M,MATCH(A44,[1]AB4!B:B,0)),CONCATENATE("( ",CONCATENATE([1]AB5!$V$137,TEXT(INDEX([1]AB4!T:T,MATCH(A44,[1]AB4!B:B,0)),"0.00%"),CONCATENATE(" ) ")))))))))</f>
        <v xml:space="preserve">PE : Entry  + ( Final Strike * 8.00% ) </v>
      </c>
      <c r="W44" s="23">
        <f t="array" ref="W44">IF(C35="","",IF(C40="Futures","",IF(C40="OPTIONS SELL","",IF(C40="OPTIONS BUY",IF(INDEX([1]AB4!T:T,MATCH(A44,[1]AB4!B:B,0))="","",INDEX([1]AB4!U:U,MATCH(A44,[1]AB4!B:B,0)))))))</f>
        <v>1</v>
      </c>
      <c r="X44" s="24" t="str">
        <f t="array" ref="X44">IF(C35="","",IF(C40="Futures","",IF(C40="OPTIONS SELL","",IF(C40="OPTIONS BUY",IF(INDEX([1]AB4!V:V,MATCH(A44,[1]AB4!B:B,0))="","",INDEX([1]AB4!V:V,MATCH(A44,[1]AB4!B:B,0)))))))</f>
        <v>TR PROFIT AFTER TGT 4</v>
      </c>
      <c r="Y44" s="23">
        <f t="array" ref="Y44">IF(C35="","",IF(C40="Futures","",IF(C40="OPTIONS SELL","",IF(C40="OPTIONS BUY",IF(INDEX([1]AB4!V:V,MATCH(A44,[1]AB4!B:B,0))="","",INDEX([1]AB4!W:W,MATCH(A44,[1]AB4!B:B,0)))))))</f>
        <v>1</v>
      </c>
      <c r="Z44" s="24" t="s">
        <v>0</v>
      </c>
      <c r="AA44" s="27" t="str">
        <f>IF(C35="","",[1]AB5!AA216)</f>
        <v>N.A.</v>
      </c>
    </row>
    <row r="45" spans="1:27" ht="53.25" customHeight="1" thickBot="1" x14ac:dyDescent="0.25">
      <c r="A45" s="14" t="str">
        <f>IF(C35="","",CONCATENATE(C36,[1]AB5!$A$14))</f>
        <v>S27E</v>
      </c>
      <c r="B45" s="32"/>
      <c r="C45" s="51"/>
      <c r="D45" s="32"/>
      <c r="E45" s="51"/>
      <c r="F45" s="32"/>
      <c r="G45" s="33" t="str">
        <f>IF(C35="","",[1]AB5!G220)</f>
        <v>Start Strike + 1 Strike</v>
      </c>
      <c r="H45" s="34" t="str">
        <f>IF(C36="","",[1]AB5!H220)</f>
        <v>N.A.</v>
      </c>
      <c r="I45" s="34" t="str">
        <f>IF(C35="","",[1]AB5!I220)</f>
        <v>N.A.</v>
      </c>
      <c r="J45" s="51"/>
      <c r="K45" s="32"/>
      <c r="L45" s="35" t="str">
        <f>IF(C35="","",IF(C40="Futures","",IF(C40="OPTIONS SELL","",IF(C40="OPTIONS BUY",[1]AB5!$L$138))))</f>
        <v>SL / TRP</v>
      </c>
      <c r="M45" s="33" t="str">
        <f t="array" ref="M45">IF(C35="","",IF(C40="Futures","",IF(C40="OPTIONS SELL","",IF(C40="OPTIONS BUY",CONCATENATE(INDEX([1]AB4!AE:AE,MATCH(A44,[1]AB4!B:B,0)),INDEX([1]AB4!AF:AF,MATCH(A44,[1]AB4!B:B,0))," ( ",[1]AB5!M220,TEXT(INDEX([1]AB4!AG:AG,MATCH(A44,[1]AB4!B:B,0)),"0.00%"),CONCATENATE(" ) "))))))</f>
        <v xml:space="preserve">PE : Entry  -  ( Final Strike * 3.00% ) </v>
      </c>
      <c r="N45" s="36">
        <f t="array" ref="N45">IF(C35="","",IF(C40="Futures","",IF(C40="OPTIONS SELL","",IF(C40="OPTIONS BUY",INDEX([1]AB4!AM:AM,MATCH(A45,[1]AB4!B:B,0))))))</f>
        <v>5</v>
      </c>
      <c r="O45" s="33" t="str">
        <f t="array" ref="O45">IF(C35="","",IF(C40="Futures","",IF(C40="OPTIONS SELL","",IF(C40="OPTIONS BUY",CONCATENATE(INDEX([1]AB4!AE:AE,MATCH(A44,[1]AB4!B:B,0)),INDEX([1]AB4!AF:AF,MATCH(A44,[1]AB4!B:B,0))," ( ",[1]AB5!O220,TEXT(INDEX([1]AB4!AG:AG,MATCH(A44,[1]AB4!B:B,0)),"0.00%"),CONCATENATE(" ) "))))))</f>
        <v xml:space="preserve">PE : Entry  -  ( Final Strike * 3.00% ) </v>
      </c>
      <c r="P45" s="37">
        <f>IF(C35="","",[1]AB5!Q220)</f>
        <v>4</v>
      </c>
      <c r="Q45" s="38"/>
      <c r="R45" s="33" t="str">
        <f t="array" ref="R45">IF(C35="","",IF(C40="Futures","",IF(C40="OPTIONS SELL","",IF(C40="OPTIONS BUY",CONCATENATE(INDEX([1]AB4!AE:AE,MATCH(A44,[1]AB4!B:B,0)),INDEX([1]AB4!AF:AF,MATCH(A44,[1]AB4!B:B,0))," ( ",[1]AB5!R220,TEXT(INDEX([1]AB4!AG:AG,MATCH(A44,[1]AB4!B:B,0)),"0.00%"),CONCATENATE(" ) "))))))</f>
        <v xml:space="preserve">PE : Entry  -  ( Final Strike * 3.00% ) </v>
      </c>
      <c r="S45" s="36">
        <f>IF(C35="","",[1]AB5!S220)</f>
        <v>3</v>
      </c>
      <c r="T45" s="33" t="str">
        <f t="array" ref="T45">IF(C35="","",IF(C40="Futures","",IF(C40="OPTIONS SELL","",IF(C40="OPTIONS BUY",CONCATENATE(INDEX([1]AB4!AE:AE,MATCH(A44,[1]AB4!B:B,0)),INDEX([1]AB4!AF:AF,MATCH(A44,[1]AB4!B:B,0))," ( ",[1]AB5!T220,TEXT(INDEX([1]AB4!AG:AG,MATCH(A44,[1]AB4!B:B,0)),"0.00%"),CONCATENATE(" ) "))))))</f>
        <v xml:space="preserve">PE : Entry  -  ( Final Strike * 3.00% ) </v>
      </c>
      <c r="U45" s="36">
        <f>IF(C35="","",[1]AB5!U220)</f>
        <v>2</v>
      </c>
      <c r="V45" s="33" t="str">
        <f t="array" ref="V45">IF(C35="","",IF(C40="Futures","",IF(C40="OPTIONS SELL","",IF(C40="OPTIONS BUY",CONCATENATE(INDEX([1]AB4!AE:AE,MATCH(A44,[1]AB4!B:B,0)),INDEX([1]AB4!AF:AF,MATCH(A44,[1]AB4!B:B,0))," ( ",[1]AB5!V220,TEXT(INDEX([1]AB4!AG:AG,MATCH(A44,[1]AB4!B:B,0)),"0.00%"),CONCATENATE(" ) "))))))</f>
        <v xml:space="preserve">PE : Entry  -  ( Final Strike * 3.00% ) </v>
      </c>
      <c r="W45" s="36">
        <f>IF(C35="","",[1]AB5!W220)</f>
        <v>1</v>
      </c>
      <c r="X45" s="33" t="str">
        <f t="array" ref="X45">IF(C35="","",IF(C40="Futures","",IF(C40="OPTIONS SELL","",IF(C40="OPTIONS BUY",CONCATENATE(INDEX([1]AB4!AE:AE,MATCH(A44,[1]AB4!B:B,0)),INDEX([1]AB4!AF:AF,MATCH(A44,[1]AB4!B:B,0))," ( ",[1]AB5!X220,TEXT(INDEX([1]AB4!AG:AG,MATCH(A44,[1]AB4!B:B,0)),"0.00%"),CONCATENATE(" ) "))))))</f>
        <v xml:space="preserve">PE : Entry  -  ( Final Strike * 3.00% ) </v>
      </c>
      <c r="Y45" s="36">
        <f>IF(C35="","",[1]AB5!Y220)</f>
        <v>1</v>
      </c>
      <c r="Z45" s="24" t="s">
        <v>0</v>
      </c>
      <c r="AA45" s="27" t="str">
        <f>IF(C36="","",[1]AB5!AA217)</f>
        <v>N.A.</v>
      </c>
    </row>
    <row r="46" spans="1:27" ht="12.75" customHeight="1" thickBot="1" x14ac:dyDescent="0.25">
      <c r="A46" s="14"/>
      <c r="B46" s="52"/>
      <c r="C46" s="52"/>
      <c r="D46" s="52"/>
      <c r="E46" s="52"/>
      <c r="F46" s="52"/>
      <c r="G46" s="52"/>
      <c r="H46" s="52"/>
      <c r="I46" s="52"/>
      <c r="J46" s="52"/>
      <c r="K46" s="14"/>
      <c r="L46" s="56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14"/>
    </row>
    <row r="47" spans="1:27" ht="53.25" customHeight="1" thickBot="1" x14ac:dyDescent="0.25">
      <c r="A47" s="14"/>
      <c r="B47" s="58" t="str">
        <f>IF(C35="","",IF(C40="Futures","",IF(C40="OPTIONS SELL","",IF(C40="OPTIONS BUY",[1]AB5!$B$140))))</f>
        <v>For Entry</v>
      </c>
      <c r="C47" s="59"/>
      <c r="D47" s="60" t="str">
        <f>IF(C35="","",IF(C40="Futures","",IF(C40="OPTIONS SELL","",IF(C40="OPTIONS BUY",[1]AB5!$D$140))))</f>
        <v>Gap Check</v>
      </c>
      <c r="E47" s="61" t="str">
        <f>IF(C35="","",IF(C40="Futures","",IF(C40="OPTIONS SELL","",IF(C40="OPTIONS BUY",[1]AB5!$E$140))))</f>
        <v>Process</v>
      </c>
      <c r="F47" s="62"/>
      <c r="G47" s="63" t="str">
        <f>IF(C35="","",IF(C40="Futures","",IF(C40="OPTIONS SELL","",IF(C40="OPTIONS BUY",[1]AB5!$G$140))))</f>
        <v>Yes / No</v>
      </c>
      <c r="H47" s="64" t="str">
        <f>IF(C35="","",IF(C40="Futures","",IF(C40="OPTIONS SELL","",IF(C40="OPTIONS BUY",[1]AB5!$H$140))))</f>
        <v>Order Status</v>
      </c>
      <c r="I47" s="65" t="str">
        <f>IF(C35="","",IF(C40="Futures","",IF(C40="OPTIONS SELL","",IF(C40="OPTIONS BUY",[1]AB5!$I$140))))</f>
        <v>Step 1</v>
      </c>
      <c r="J47" s="66" t="str">
        <f>IF(C35="","",IF(C40="Futures","",IF(C40="OPTIONS SELL","",IF(C40="OPTIONS BUY",[1]AB5!$J$140))))</f>
        <v>Order Placement Timings</v>
      </c>
      <c r="K47" s="62"/>
      <c r="L47" s="67" t="str">
        <f>IF(C35="","",IF(C40="Futures","",IF(C40="OPTIONS SELL","",IF(C40="OPTIONS BUY",[1]AB5!$L$140))))</f>
        <v>Time</v>
      </c>
      <c r="M47" s="65" t="str">
        <f>IF(C35="","",IF(C40="Futures","",IF(C40="OPTIONS SELL","",IF(C40="OPTIONS BUY",[1]AB5!$M$140))))</f>
        <v>Rules For Gap = Step 1 Start Strike</v>
      </c>
      <c r="N47" s="63" t="str">
        <f>IF(C35="","",IF(C40="Futures","",IF(C40="OPTIONS SELL","",IF(C40="OPTIONS BUY",[1]AB5!$N$140))))</f>
        <v>Start Strike Buffer</v>
      </c>
      <c r="O47" s="65" t="str">
        <f>IF(C35="","",IF(C40="Futures","",IF(C40="OPTIONS SELL","",IF(C40="OPTIONS BUY",[1]AB5!$O$140))))</f>
        <v>Rules For Gap = Step 2 End Strike</v>
      </c>
      <c r="P47" s="66" t="str">
        <f>IF(C35="","",IF(C40="Futures","",IF(C40="OPTIONS SELL","",IF(C40="OPTIONS BUY",[1]AB5!$P$140))))</f>
        <v>Last Choice Strike</v>
      </c>
      <c r="Q47" s="62"/>
      <c r="R47" s="62"/>
      <c r="S47" s="68" t="str">
        <f>IF(C35="","",IF(C40="Futures","",IF(C40="OPTIONS SELL","",IF(C40="OPTIONS BUY",[1]AB5!$S$140))))</f>
        <v>Data</v>
      </c>
      <c r="T47" s="69" t="str">
        <f>IF(C35="","",IF(C40="Futures","",IF(C40="OPTIONS SELL","",IF(C40="OPTIONS BUY",[1]AB5!$T$140))))</f>
        <v xml:space="preserve"> Ideal Premium</v>
      </c>
      <c r="U47" s="62"/>
      <c r="V47" s="65" t="str">
        <f>IF(C35="","",IF(C40="Futures","",IF(C40="OPTIONS SELL","",IF(C40="OPTIONS BUY",[1]AB5!$V$140))))</f>
        <v>Minimum Premium</v>
      </c>
      <c r="W47" s="65" t="str">
        <f>IF(C35="","",IF(C40="Futures","",IF(C40="OPTIONS SELL","",IF(C40="OPTIONS BUY",[1]AB5!$W$140))))</f>
        <v>Minimum OI</v>
      </c>
      <c r="X47" s="70" t="str">
        <f>IF(C35="","",IF(C40="Futures","",IF(C40="OPTIONS SELL","",IF(C40="OPTIONS BUY",[1]AB5!$X$140))))</f>
        <v>Rules For Gap = Step 3 Revised Option Entry</v>
      </c>
      <c r="Y47" s="62"/>
      <c r="Z47" s="65" t="str">
        <f>IF(C35="","",IF(C40="Futures","",IF(C40="OPTIONS SELL","",IF(C40="OPTIONS BUY",[1]AB5!$Z$140,#REF!))))</f>
        <v>Data</v>
      </c>
      <c r="AA47" s="71" t="str">
        <f>IF(C35="","",IF(C40="Futures","",IF(C40="OPTIONS SELL","",IF(C40="OPTIONS BUY",[1]AB5!$AA$140))))</f>
        <v>Buffer</v>
      </c>
    </row>
    <row r="48" spans="1:27" ht="53.25" customHeight="1" x14ac:dyDescent="0.2">
      <c r="A48" s="14" t="str">
        <f>IF(C35="","",CONCATENATE(C36,[1]AB5!$A$4))</f>
        <v>S27A</v>
      </c>
      <c r="B48" s="72" t="str">
        <f>IF(C35="","",IF(C40="Futures","",IF(C40="OPTIONS SELL","",IF(C40="OPTIONS BUY",[1]AB5!$B$141))))</f>
        <v xml:space="preserve">ORPT </v>
      </c>
      <c r="C48" s="73" t="str">
        <f>IF(C35="","",IF(C40="Futures","",IF(C40="OPTIONS SELL","",IF(C40="OPTIONS BUY",[1]AB5!$C$141))))</f>
        <v xml:space="preserve"> RC. Time</v>
      </c>
      <c r="D48" s="17" t="str">
        <f>IF(C35="","",IF(C40="Futures","",IF(C40="OPTIONS SELL","",IF(C40="OPTIONS BUY",[1]AB5!$D$141))))</f>
        <v>For Call Buy Entry</v>
      </c>
      <c r="E48" s="74" t="str">
        <f>IF(C35="","",IF(C40="Futures","",IF(C40="OPTIONS SELL","",IF(C40="OPTIONS BUY",CONCATENATE([1]AB5!$E$141,TEXT(B49,"HH:MM:SS AM/PM"),[1]AB5!$F$141)))))</f>
        <v>Check If 09:24:59 AM HH &gt; Call Buy Entry</v>
      </c>
      <c r="F48" s="75"/>
      <c r="G48" s="76" t="str">
        <f>IF(C35="","",IF(C40="Futures","",IF(C40="OPTIONS SELL","",IF(C40="OPTIONS BUY",[1]AB5!$G$141))))</f>
        <v>No</v>
      </c>
      <c r="H48" s="77" t="str">
        <f>IF(C35="","",IF(C40="Futures","",IF(C40="OPTIONS SELL","",IF(C40="OPTIONS BUY",[1]AB5!$H$141))))</f>
        <v>Entry Not Missed</v>
      </c>
      <c r="I48" s="78" t="str">
        <f>IF(C35="","",IF(C40="Futures","",IF(C40="OPTIONS SELL","",IF(C40="OPTIONS BUY",[1]AB5!$I$141))))</f>
        <v>Place the Order at ORPT</v>
      </c>
      <c r="J48" s="79" t="str">
        <f>IF(C35="","",IF(C40="Futures","",IF(C40="OPTIONS SELL","",IF(C40="OPTIONS BUY",[1]AB5!$J$141))))</f>
        <v>ORPT Time</v>
      </c>
      <c r="K48" s="26"/>
      <c r="L48" s="80">
        <f>IF(C35="","",IF(C40="Futures","",IF(C40="OPTIONS SELL","",IF(C40="OPTIONS BUY",B49))))</f>
        <v>0.39235416666666667</v>
      </c>
      <c r="M48" s="81" t="str">
        <f>IF(C35="","",IF(C40="Futures","",IF(C40="OPTIONS SELL","",IF(C40="OPTIONS BUY",[1]AB5!$M$141))))</f>
        <v>N.A.</v>
      </c>
      <c r="N48" s="82" t="str">
        <f>IF(C35="","",IF(C40="Futures","",IF(C40="OPTIONS SELL","",IF(C40="OPTIONS BUY",[1]AB5!$N$141))))</f>
        <v>N.A.</v>
      </c>
      <c r="O48" s="81" t="str">
        <f>IF(C35="","",IF(C40="Futures","",IF(C40="OPTIONS SELL","",IF(C40="OPTIONS BUY",[1]AB5!$O$141))))</f>
        <v>N.A.</v>
      </c>
      <c r="P48" s="83" t="str">
        <f>IF(C35="","",IF(C40="Futures","",IF(C40="OPTIONS SELL","",IF(C40="OPTIONS BUY",[1]AB5!$P$141))))</f>
        <v>N.A.</v>
      </c>
      <c r="Q48" s="84"/>
      <c r="R48" s="26"/>
      <c r="S48" s="85" t="str">
        <f>IF(C35="","",IF(C40="Futures","",IF(C40="OPTIONS SELL","",IF(C40="OPTIONS BUY",[1]AB5!$S$141))))</f>
        <v>N.A.</v>
      </c>
      <c r="T48" s="86" t="str">
        <f>IF(C35="","",IF(C40="Futures","",IF(C40="OPTIONS SELL","",IF(C40="OPTIONS BUY",[1]AB5!$T$141))))</f>
        <v>N.A.</v>
      </c>
      <c r="U48" s="26"/>
      <c r="V48" s="87" t="str">
        <f>IF(C35="","",IF(C40="Futures","",IF(C40="OPTIONS SELL","",IF(C40="OPTIONS BUY",[1]AB5!$V$141))))</f>
        <v>N.A.</v>
      </c>
      <c r="W48" s="87" t="str">
        <f>IF(C35="","",IF(C40="Futures","",IF(C40="OPTIONS SELL","",IF(C40="OPTIONS BUY",[1]AB5!$W$141))))</f>
        <v>N.A.</v>
      </c>
      <c r="X48" s="79" t="str">
        <f>IF(C35="","",IF(C40="Futures","",IF(C40="OPTIONS SELL","",IF(C40="OPTIONS BUY",[1]AB5!$X$141))))</f>
        <v>N.A.</v>
      </c>
      <c r="Y48" s="26"/>
      <c r="Z48" s="85" t="str">
        <f>IF(C35="","",IF(C40="Futures","",IF(C40="OPTIONS SELL","",IF(C40="OPTIONS BUY",[1]AB5!$Z$141))))</f>
        <v>N.A.</v>
      </c>
      <c r="AA48" s="88" t="str">
        <f>IF(C35="","",IF(C40="Futures","",IF(C40="OPTIONS SELL","",IF(C40="OPTIONS BUY",[1]AB5!$AA$141))))</f>
        <v>N.A.</v>
      </c>
    </row>
    <row r="49" spans="1:27" ht="59.25" customHeight="1" x14ac:dyDescent="0.2">
      <c r="A49" s="14" t="str">
        <f>IF(C35="","",CONCATENATE(C36,[1]AB5!$A$7))</f>
        <v>S27B</v>
      </c>
      <c r="B49" s="89">
        <f t="array" ref="B49">IF(C35="","",IF(C40="Futures","",IF(C40="OPTIONS SELL","",IF(C40="OPTIONS BUY",INDEX([1]AB4!BE:BE,MATCH(A48,[1]AB4!B:B,0))))))</f>
        <v>0.39235416666666667</v>
      </c>
      <c r="C49" s="90">
        <f t="array" ref="C49">IF(C35="","",IF(C40="Futures","",IF(C40="OPTIONS SELL","",IF(C40="OPTIONS BUY",INDEX([1]AB4!BE:BE,MATCH(A49,[1]AB4!B:B,0))))))</f>
        <v>0.39582638888888888</v>
      </c>
      <c r="D49" s="30"/>
      <c r="E49" s="91"/>
      <c r="F49" s="92"/>
      <c r="G49" s="93" t="str">
        <f>IF(C35="","",IF(C40="Futures","",IF(C40="OPTIONS SELL","",IF(C40="OPTIONS BUY",[1]AB5!$G$142))))</f>
        <v>Yes</v>
      </c>
      <c r="H49" s="94" t="str">
        <f>IF(C35="","",IF(C40="Futures","",IF(C40="OPTIONS SELL","",IF(C40="OPTIONS BUY",[1]AB5!$H$142))))</f>
        <v>Entry Missed</v>
      </c>
      <c r="I49" s="95" t="str">
        <f>IF(C35="","",IF(C40="Futures","",IF(C40="OPTIONS SELL","",IF(C40="OPTIONS BUY",[1]AB5!$I$142))))</f>
        <v>Recalcuate : Call Buy Entry : Bull / Bull CF</v>
      </c>
      <c r="J49" s="96" t="str">
        <f>IF(C35="","",IF(C40="Futures","",IF(C40="OPTIONS SELL","",IF(C40="OPTIONS BUY",[1]AB5!$J$142))))</f>
        <v>Wait Till Recalculation Time</v>
      </c>
      <c r="K49" s="97"/>
      <c r="L49" s="98">
        <f>IF(C35="","",IF(C40="Futures","",IF(C40="OPTIONS SELL","",IF(C40="OPTIONS BUY",C49))))</f>
        <v>0.39582638888888888</v>
      </c>
      <c r="M49" s="99" t="str">
        <f t="array" ref="M49">IF(C35="","",IF(C40="Futures","",IF(C40="OPTIONS SELL","",IF(C40="OPTIONS BUY",CONCATENATE([1]AB5!$M$142, "( ",INDEX([1]AB4!BP:BP,MATCH(A35,[1]AB4!B:B,0))," &amp; ",S49," ) ",INDEX([1]AB4!BQ:BQ,MATCH(A35,[1]AB4!B:B)),"","&amp; ",INDEX([1]AB4!BS:BS,MATCH(A35,[1]AB4!B:B,0)))))))</f>
        <v>Max of ( SPT : PRV : 2DHH &amp; 09:29:59 AM HH ) &amp; Round off to the Nearest Strike</v>
      </c>
      <c r="N49" s="99" t="str">
        <f t="array" ref="N49">IF(A35="","",IF(C40="Futures","",IF(C40="OPTIONS SELL","",IF(C40="OPTIONS BUY",TEXT(INDEX([1]AB4!CR:CR,MATCH(A35,[1]AB4!B:B,0)),"0.00%")))))</f>
        <v>0.00%</v>
      </c>
      <c r="O49" s="99" t="str">
        <f>IF(C35="","",[1]AB5!O224)</f>
        <v>Start Strike - 1 Strike</v>
      </c>
      <c r="P49" s="96" t="str">
        <f>IF(C35="","",[1]AB5!P224)</f>
        <v>Start Strike + 1 Strike</v>
      </c>
      <c r="Q49" s="100"/>
      <c r="R49" s="97"/>
      <c r="S49" s="99" t="str">
        <f>IF(C35="","",IF(C40="Futures","",IF(C40="OPTIONS SELL","",IF(C40="OPTIONS BUY",CONCATENATE(TEXT(L49,"HH:MM:SS AM/PM"),[1]AB5!$S$142)))))</f>
        <v>09:29:59 AM HH</v>
      </c>
      <c r="T49" s="96" t="str">
        <f>IF(C35="","",[1]AB5!T224)</f>
        <v>N.A.</v>
      </c>
      <c r="U49" s="97"/>
      <c r="V49" s="99" t="str">
        <f>IF(C35="","",IF(C40="Futures","",IF(C40="OPTIONS SELL","",IF(C40="OPTIONS BUY",[1]AB5!$H$129))))</f>
        <v>N.A.</v>
      </c>
      <c r="W49" s="99" t="str">
        <f>IF(A35="","",IF(C40="Futures","",IF(C40="OPTIONS SELL","",IF(C40="OPTIONS BUY",I35))))</f>
        <v>100 Lots</v>
      </c>
      <c r="X49" s="96" t="str">
        <f t="array" ref="X49">IF(C35="","",IF(C40="Futures","",IF(C40="OPTIONS SELL","",IF(C40="OPTIONS BUY",CONCATENATE([1]AB5!$X$142,"( ",INDEX([1]AB4!G:G,MATCH(A35,[1]AB4!B:B,0))," &amp; ",Z49," ) ",INDEX([1]AB4!H:H,MATCH(A35,[1]AB4!B:B,0))," ",AA49)))))</f>
        <v>Max of ( OPT : PRV : 2D HH &amp; 09:29:59 AM HH )  +  5.00%</v>
      </c>
      <c r="Y49" s="97"/>
      <c r="Z49" s="101" t="str">
        <f>IF(C35="","",IF(C40="Futures","",IF(C40="OPTIONS SELL","",IF(C40="OPTIONS BUY",CONCATENATE(TEXT(L49,"HH:MM:SS AM/PM"),[1]AB5!$S$142)))))</f>
        <v>09:29:59 AM HH</v>
      </c>
      <c r="AA49" s="102" t="str">
        <f t="array" ref="AA49">IF(A35="","",IF(C40="Futures","",IF(C40="OPTIONS SELL","",IF(C40="OPTIONS BUY",TEXT(INDEX([1]AB4!BK:BK,MATCH(A35,[1]AB4!B:B,0)),"0.00%")))))</f>
        <v>5.00%</v>
      </c>
    </row>
    <row r="50" spans="1:27" ht="60.75" customHeight="1" thickBot="1" x14ac:dyDescent="0.25">
      <c r="A50" s="14"/>
      <c r="B50" s="103"/>
      <c r="C50" s="104"/>
      <c r="D50" s="105"/>
      <c r="E50" s="11"/>
      <c r="F50" s="12"/>
      <c r="G50" s="13"/>
      <c r="H50" s="13"/>
      <c r="I50" s="95" t="str">
        <f>IF(C35="","",IF(C40="Futures","",IF(C40="OPTIONS SELL","",IF(C40="OPTIONS BUY",[1]AB5!$I$143))))</f>
        <v>Recalcuate : Call Buy Entry : Bear / Bear CF</v>
      </c>
      <c r="J50" s="96" t="str">
        <f>IF(C35="","",[1]AB5!J225)</f>
        <v>N.A.</v>
      </c>
      <c r="K50" s="97"/>
      <c r="L50" s="98" t="str">
        <f>IF(C35="","",[1]AB5!L225)</f>
        <v>N.A.</v>
      </c>
      <c r="M50" s="99" t="str">
        <f>IF(C35="","",[1]AB5!M225)</f>
        <v>N.A.</v>
      </c>
      <c r="N50" s="99" t="str">
        <f>IF(D35="","",[1]AB5!N225)</f>
        <v>N.A.</v>
      </c>
      <c r="O50" s="99" t="str">
        <f>IF(C35="","",[1]AB5!O225)</f>
        <v>N.A.</v>
      </c>
      <c r="P50" s="96" t="str">
        <f>IF(D35="","",[1]AB5!P225)</f>
        <v>N.A.</v>
      </c>
      <c r="Q50" s="100"/>
      <c r="R50" s="97"/>
      <c r="S50" s="99" t="str">
        <f>IF(C35="","",[1]AB5!S225)</f>
        <v>N.A.</v>
      </c>
      <c r="T50" s="96" t="str">
        <f>IF(D35="","",[1]AB5!T225)</f>
        <v>N.A.</v>
      </c>
      <c r="U50" s="97"/>
      <c r="V50" s="99" t="str">
        <f>IF(C35="","",[1]AB5!V225)</f>
        <v>N.A.</v>
      </c>
      <c r="W50" s="99" t="str">
        <f>IF(C35="","",[1]AB5!W225)</f>
        <v>N.A.</v>
      </c>
      <c r="X50" s="96" t="str">
        <f>IF(C35="","",[1]AB5!X225)</f>
        <v>N.A.</v>
      </c>
      <c r="Y50" s="97"/>
      <c r="Z50" s="101" t="str">
        <f>IF(C35="","",[1]AB5!Z225)</f>
        <v>N.A.</v>
      </c>
      <c r="AA50" s="102" t="str">
        <f>IF(C35="","",[1]AB5!AA225)</f>
        <v>N.A.</v>
      </c>
    </row>
    <row r="51" spans="1:27" ht="45" customHeight="1" x14ac:dyDescent="0.2">
      <c r="A51" s="14"/>
      <c r="B51" s="106" t="str">
        <f>IF(C35="","",IF(C40="Futures","",IF(C40="OPTIONS SELL","",IF(C40="OPTIONS BUY",[1]AB5!$B$144))))</f>
        <v>For SL (Position = Open)</v>
      </c>
      <c r="C51" s="107"/>
      <c r="D51" s="108" t="str">
        <f>IF(C35="","",IF(C40="Futures","",IF(C40="OPTIONS SELL","",IF(C40="OPTIONS BUY",[1]AB5!$D$144))))</f>
        <v>For Put Buy Entry</v>
      </c>
      <c r="E51" s="109" t="str">
        <f>IF(C35="","",IF(C40="Futures","",IF(C40="OPTIONS SELL","",IF(C40="OPTIONS BUY",CONCATENATE([1]AB5!$E$144,TEXT(B49,"HH:MM:SS AM/PM"),[1]AB5!$F$144)))))</f>
        <v>Check If 09:24:59 AM HH &gt; Put Buy Entry</v>
      </c>
      <c r="F51" s="4"/>
      <c r="G51" s="110" t="str">
        <f>IF(C35="","",IF(C40="Futures","",IF(C40="OPTIONS SELL","",IF(C40="OPTIONS BUY",[1]AB5!$G$144))))</f>
        <v>No</v>
      </c>
      <c r="H51" s="111" t="str">
        <f>IF(C35="","",IF(C40="Futures","",IF(C40="OPTIONS SELL","",IF(C40="OPTIONS BUY",[1]AB5!$H$144))))</f>
        <v>Entry Not Missed</v>
      </c>
      <c r="I51" s="112" t="str">
        <f>IF(C35="","",IF(C40="Futures","",IF(C40="OPTIONS SELL","",IF(C40="OPTIONS BUY",[1]AB5!$I$144))))</f>
        <v>Place the Order at ORPT</v>
      </c>
      <c r="J51" s="113" t="str">
        <f>IF(C35="","",IF(C40="Futures","",IF(C40="OPTIONS SELL","",IF(C40="OPTIONS BUY",[1]AB5!$J$144))))</f>
        <v>ORPT Time</v>
      </c>
      <c r="K51" s="97"/>
      <c r="L51" s="114">
        <f>IF(C35="","",IF(C40="Futures","",IF(C40="OPTIONS SELL","",IF(C40="OPTIONS BUY",B49))))</f>
        <v>0.39235416666666667</v>
      </c>
      <c r="M51" s="111" t="str">
        <f>IF(C35="","",IF(C40="Futures","",IF(C40="OPTIONS SELL","",IF(C40="OPTIONS BUY",[1]AB5!$M$144))))</f>
        <v>N.A.</v>
      </c>
      <c r="N51" s="115" t="str">
        <f>IF(C35="","",IF(C40="Futures","",IF(C40="OPTIONS SELL","",IF(C40="OPTIONS BUY",[1]AB5!$N$144))))</f>
        <v>N.A.</v>
      </c>
      <c r="O51" s="111" t="str">
        <f>IF(C35="","",IF(C40="Futures","",IF(C40="OPTIONS SELL","",IF(C40="OPTIONS BUY",[1]AB5!$O$144))))</f>
        <v>N.A.</v>
      </c>
      <c r="P51" s="116" t="str">
        <f>IF(C35="","",IF(C40="Futures","",IF(C40="OPTIONS SELL","",IF(C40="OPTIONS BUY",[1]AB5!$P$144))))</f>
        <v>N.A.</v>
      </c>
      <c r="Q51" s="100"/>
      <c r="R51" s="97"/>
      <c r="S51" s="111" t="str">
        <f>IF(C35="","",IF(C40="Futures","",IF(C40="OPTIONS SELL","",IF(C40="OPTIONS BUY",[1]AB5!$S$144))))</f>
        <v>N.A.</v>
      </c>
      <c r="T51" s="116" t="str">
        <f>IF(C35="","",IF(C40="Futures","",IF(C40="OPTIONS SELL","",IF(C40="OPTIONS BUY",[1]AB5!$T$144))))</f>
        <v>N.A.</v>
      </c>
      <c r="U51" s="97"/>
      <c r="V51" s="115" t="str">
        <f>IF(C35="","",IF(C40="Futures","",IF(C40="OPTIONS SELL","",IF(C40="OPTIONS BUY",[1]AB5!$V$144))))</f>
        <v>N.A.</v>
      </c>
      <c r="W51" s="115" t="str">
        <f>IF(C35="","",IF(C40="Futures","",IF(C40="OPTIONS SELL","",IF(C40="OPTIONS BUY",[1]AB5!$W$144))))</f>
        <v>N.A.</v>
      </c>
      <c r="X51" s="113" t="str">
        <f>IF(C35="","",IF(C40="Futures","",IF(C40="OPTIONS SELL","",IF(C40="OPTIONS BUY",[1]AB5!$X$144))))</f>
        <v>N.A.</v>
      </c>
      <c r="Y51" s="97"/>
      <c r="Z51" s="117" t="str">
        <f>IF(C35="","",IF(C40="Futures","",IF(C40="OPTIONS SELL","",IF(C40="OPTIONS BUY",[1]AB5!$Z$144))))</f>
        <v>N.A.</v>
      </c>
      <c r="AA51" s="118" t="str">
        <f>IF(C35="","",IF(C40="Futures","",IF(C40="OPTIONS SELL","",IF(C40="OPTIONS BUY",[1]AB5!$AA$144))))</f>
        <v>N.A.</v>
      </c>
    </row>
    <row r="52" spans="1:27" ht="53.25" customHeight="1" x14ac:dyDescent="0.2">
      <c r="A52" s="14" t="str">
        <f>IF(C35="","",CONCATENATE(C36,[1]AB5!$A$4))</f>
        <v>S27A</v>
      </c>
      <c r="B52" s="119" t="str">
        <f>IF(C35="","",IF(C40="Futures","",IF(C40="OPTIONS SELL","",IF(C40="OPTIONS BUY",[1]AB5!$B$145))))</f>
        <v xml:space="preserve">ORPT </v>
      </c>
      <c r="C52" s="120" t="str">
        <f>IF(C35="","",IF(C40="Futures","",IF(C40="OPTIONS SELL","",IF(C40="OPTIONS BUY",[1]AB5!$C$145))))</f>
        <v xml:space="preserve"> RC. Time</v>
      </c>
      <c r="D52" s="30"/>
      <c r="E52" s="91"/>
      <c r="F52" s="92"/>
      <c r="G52" s="121" t="str">
        <f>IF(C35="","",IF(C40="Futures","",IF(C40="OPTIONS SELL","",IF(C40="OPTIONS BUY",[1]AB5!$G$145))))</f>
        <v>Yes</v>
      </c>
      <c r="H52" s="122" t="str">
        <f>IF(C35="","",IF(C40="Futures","",IF(C40="OPTIONS SELL","",IF(C40="OPTIONS BUY",[1]AB5!$H$145))))</f>
        <v>Entry Missed</v>
      </c>
      <c r="I52" s="112" t="str">
        <f>IF(C35="","",IF(C40="Futures","",IF(C40="OPTIONS SELL","",IF(C40="OPTIONS BUY",[1]AB5!$I$145))))</f>
        <v>Recalcuate : Put Buy Entry : Bull / Bull CF</v>
      </c>
      <c r="J52" s="113" t="str">
        <f>IF(C35="","",[1]AB5!J227)</f>
        <v>N.A.</v>
      </c>
      <c r="K52" s="97"/>
      <c r="L52" s="114" t="str">
        <f>IF(C35="","",[1]AB5!L227)</f>
        <v>N.A.</v>
      </c>
      <c r="M52" s="111" t="str">
        <f>IF(C35="","",[1]AB5!M227)</f>
        <v>N.A.</v>
      </c>
      <c r="N52" s="115" t="str">
        <f>IF(C35="","",[1]AB5!N227)</f>
        <v>N.A.</v>
      </c>
      <c r="O52" s="111" t="str">
        <f>IF(C35="","",[1]AB5!O227)</f>
        <v>N.A.</v>
      </c>
      <c r="P52" s="113" t="str">
        <f>IF(D35="","",[1]AB5!P227)</f>
        <v>N.A.</v>
      </c>
      <c r="Q52" s="100"/>
      <c r="R52" s="97"/>
      <c r="S52" s="111" t="str">
        <f>IF(C35="","",[1]AB5!T227)</f>
        <v>N.A.</v>
      </c>
      <c r="T52" s="113" t="str">
        <f>IF(C35="","",[1]AB5!V227)</f>
        <v>N.A.</v>
      </c>
      <c r="U52" s="97"/>
      <c r="V52" s="111" t="str">
        <f>IF(C35="","",[1]AB5!X227)</f>
        <v>N.A.</v>
      </c>
      <c r="W52" s="214" t="str">
        <f>IF(C35="","",[1]AB5!W227)</f>
        <v>N.A.</v>
      </c>
      <c r="X52" s="113" t="str">
        <f>IF(C35="","",[1]AB5!X227)</f>
        <v>N.A.</v>
      </c>
      <c r="Y52" s="97"/>
      <c r="Z52" s="117" t="str">
        <f>IF(C35="","",[1]AB5!Z227)</f>
        <v>N.A.</v>
      </c>
      <c r="AA52" s="123" t="str">
        <f>IF(C35="","",[1]AB5!AA227)</f>
        <v>N.A.</v>
      </c>
    </row>
    <row r="53" spans="1:27" ht="62.25" customHeight="1" thickBot="1" x14ac:dyDescent="0.25">
      <c r="A53" s="14" t="str">
        <f>IF(C35="","",CONCATENATE(C36,[1]AB5!$A$7))</f>
        <v>S27B</v>
      </c>
      <c r="B53" s="124">
        <f t="array" ref="B53">IF(C35="","", IF(C40="Futures","",IF(C40="OPTIONS SELL","",IF(C40="OPTIONS BUY",INDEX([1]AB4!BF:BF,MATCH(A52,[1]AB4!B:B,0))))))</f>
        <v>0.39235416666666667</v>
      </c>
      <c r="C53" s="125">
        <f t="array" ref="C53">IF(C35="","", IF(C40="Futures","",IF(C40="OPTIONS SELL","",IF(C40="OPTIONS BUY",INDEX([1]AB4!BF:BF,MATCH(A53,[1]AB4!B:B,0))))))</f>
        <v>0.39582638888888888</v>
      </c>
      <c r="D53" s="32"/>
      <c r="E53" s="104"/>
      <c r="F53" s="126"/>
      <c r="G53" s="127"/>
      <c r="H53" s="127"/>
      <c r="I53" s="128" t="str">
        <f>IF(C35="","",IF(C40="Futures","",IF(C40="OPTIONS SELL","",IF(C40="OPTIONS BUY",[1]AB5!$I$146))))</f>
        <v>Recalcuate : Put Buy Entry : Bear / Bear CF</v>
      </c>
      <c r="J53" s="129" t="str">
        <f>IF(C35="","",IF(C40="Futures","",IF(C40="OPTIONS SELL","",IF(C40="OPTIONS BUY",[1]AB5!$J$146))))</f>
        <v>Wait Till Recalculation Time</v>
      </c>
      <c r="K53" s="38"/>
      <c r="L53" s="130">
        <f>IF(C35="","",IF(C40="Futures","",IF(C40="OPTIONS SELL","",IF(C40="OPTIONS BUY",C49))))</f>
        <v>0.39582638888888888</v>
      </c>
      <c r="M53" s="131" t="str">
        <f t="array" ref="M53">IF(C35="","",IF(C40="Futures","",IF(C40="OPTIONS SELL","",IF(C40="OPTIONS BUY",CONCATENATE([1]AB5!$M$146, "( ",INDEX([1]AB4!BP:BP,MATCH(A44,[1]AB4!B:B,0))," &amp; ",S53," ) ", INDEX([1]AB4!BS:BS,MATCH(A44,[1]AB4!B:B,0)))))))</f>
        <v>Min of ( SPT : PRV : 2DLL &amp; 09:29:59 AM LL ) Round off to the Nearest Strike</v>
      </c>
      <c r="N53" s="132" t="str">
        <f t="array" ref="N53">IF(A35="","",IF(C40="Futures","",IF(C40="OPTIONS SELL","",IF(C40="OPTIONS BUY",TEXT(INDEX([1]AB4!CR:CR,MATCH(A44,[1]AB4!B:B,0)),"0.00%")))))</f>
        <v>0.00%</v>
      </c>
      <c r="O53" s="131" t="str">
        <f>IF(C35="","",[1]AB5!O228)</f>
        <v>Start Strike + 1 Strike</v>
      </c>
      <c r="P53" s="133" t="str">
        <f>IF(C35="","",[1]AB5!P228)</f>
        <v>Start Strike - 1 Strike</v>
      </c>
      <c r="Q53" s="134"/>
      <c r="R53" s="38"/>
      <c r="S53" s="131" t="str">
        <f>IF(C35="","",IF(C40="Futures","",IF(C40="OPTIONS SELL","",IF(C40="OPTIONS BUY",CONCATENATE(TEXT(L53,"HH:MM:SS AM/PM"),[1]AB5!$S$228)))))</f>
        <v>09:29:59 AM LL</v>
      </c>
      <c r="T53" s="129" t="str">
        <f>IF(C35="","",[1]AB5!T228)</f>
        <v>N.A.</v>
      </c>
      <c r="U53" s="38"/>
      <c r="V53" s="131" t="str">
        <f>IF(C35="","",IF(C40="Futures","",IF(C40="OPTIONS SELL","",IF(C40="OPTIONS BUY",[1]AB5!$H$129))))</f>
        <v>N.A.</v>
      </c>
      <c r="W53" s="131" t="str">
        <f>IF(A35="","",IF(C40="Futures","",IF(C40="OPTIONS SELL","",IF(C40="OPTIONS BUY",I44))))</f>
        <v>100 Lots</v>
      </c>
      <c r="X53" s="129" t="str">
        <f t="array" ref="X53">IF(C35="","",IF(C40="Futures","",IF(C40="OPTIONS SELL","",IF(C40="OPTIONS BUY",CONCATENATE([1]AB5!$X$146,"( ",INDEX([1]AB4!G:G,MATCH(A44,[1]AB4!B:B,0))," &amp; ",Z53," ) ", INDEX([1]AB4!H:H,MATCH(A44,[1]AB4!B:B,0))," ",AA53)))))</f>
        <v>Max of ( OPT : PRV : 2D HH &amp; 09:29:59 AM HH )  +  5.00%</v>
      </c>
      <c r="Y53" s="38"/>
      <c r="Z53" s="135" t="str">
        <f>IF(C35="","",IF(C40="Futures","",IF(C40="OPTIONS SELL","",IF(C40="OPTIONS BUY",CONCATENATE(TEXT(L53,"HH:MM:SS AM/PM"), [1]AB5!$S$146)))))</f>
        <v>09:29:59 AM HH</v>
      </c>
      <c r="AA53" s="136" t="str">
        <f t="array" ref="AA53">IF(A35="","",IF(C40="Futures","",IF(C40="OPTIONS SELL","",IF(C40="OPTIONS BUY",TEXT(INDEX([1]AB4!BK:BK,MATCH(A44,[1]AB4!B:B,0)),"0.00%")))))</f>
        <v>5.00%</v>
      </c>
    </row>
    <row r="54" spans="1:27" ht="12.75" customHeight="1" thickBo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37"/>
      <c r="L54" s="14"/>
      <c r="M54" s="14"/>
      <c r="N54" s="14"/>
      <c r="O54" s="138"/>
      <c r="P54" s="14"/>
      <c r="Q54" s="14"/>
      <c r="R54" s="14"/>
      <c r="S54" s="14"/>
      <c r="T54" s="14"/>
      <c r="U54" s="14"/>
      <c r="V54" s="14"/>
      <c r="W54" s="14"/>
      <c r="X54" s="14"/>
      <c r="Y54" s="138"/>
      <c r="Z54" s="138"/>
      <c r="AA54" s="138"/>
    </row>
    <row r="55" spans="1:27" ht="53.25" customHeight="1" thickBot="1" x14ac:dyDescent="0.25">
      <c r="A55" s="52"/>
      <c r="B55" s="106" t="str">
        <f>IF(C35="","",IF(C40="Futures","",IF(C40="OPTIONS SELL","",IF(C40="OPTIONS BUY",[1]AB5!$B$148,IF(C40="OPTIONS BUY",#REF!)))))</f>
        <v>For TGT (Position = Open)</v>
      </c>
      <c r="C55" s="107"/>
      <c r="D55" s="60" t="str">
        <f>IF(C35="","",IF(C40="Futures","",IF(C40="OPTIONS SELL","",IF(C40="OPTIONS BUY",[1]AB5!$D$148))))</f>
        <v>Gap Check</v>
      </c>
      <c r="E55" s="61" t="str">
        <f>IF(C35="","",IF(C40="Futures","",IF(C40="OPTIONS SELL","",IF(C40="OPTIONS BUY",[1]AB5!$E$148,))))</f>
        <v>Process</v>
      </c>
      <c r="F55" s="62"/>
      <c r="G55" s="63" t="str">
        <f>IF(C35="","",IF(C40="Futures","",IF(C40="OPTIONS SELL","",IF(C40="OPTIONS BUY",[1]AB5!$G$148))))</f>
        <v>Y / N</v>
      </c>
      <c r="H55" s="64" t="str">
        <f>IF(C35="","",IF(C40="Futures","",IF(C40="OPTIONS SELL","",IF(C40="OPTIONS BUY",[1]AB5!$H$148))))</f>
        <v>Status</v>
      </c>
      <c r="I55" s="65" t="str">
        <f>IF(C35="","",IF(C40="Futures","",IF(C40="OPTIONS SELL","",IF(C40="OPTIONS BUY",[1]AB5!$I$148))))</f>
        <v>Step 1</v>
      </c>
      <c r="J55" s="66" t="str">
        <f>IF(C35="","",IF(C40="Futures","",IF(C40="OPTIONS SELL","",IF(C40="OPTIONS BUY",[1]AB5!$J$148))))</f>
        <v>Order Placement Timings</v>
      </c>
      <c r="K55" s="62"/>
      <c r="L55" s="67" t="str">
        <f>IF(C35="","",IF(C40="Futures","",IF(C40="OPTIONS SELL","",IF(C40="OPTIONS BUY",[1]AB5!$L$148))))</f>
        <v>Time</v>
      </c>
      <c r="M55" s="65" t="str">
        <f>IF(C35="","",IF(C40="Futures","",IF(C40="OPTIONS SELL","",IF(C40="OPTIONS BUY",[1]AB5!$M$148))))</f>
        <v>Rules For Gaps</v>
      </c>
      <c r="N55" s="64" t="str">
        <f>IF(C35="","",IF(C40="Futures","",IF(C40="OPTIONS SELL","",IF(C40="OPTIONS BUY",[1]AB5!$N$148))))</f>
        <v>Data</v>
      </c>
      <c r="O55" s="71" t="str">
        <f>IF(C35="","",IF(C40="Futures","",IF(C40="OPTIONS SELL","",IF(C40="OPTIONS BUY",[1]AB5!$O$148))))</f>
        <v>Buffer</v>
      </c>
      <c r="P55" s="67" t="str">
        <f>IF(C35="","",IF(C40="Futures","",IF(C40="OPTIONS SELL","",IF(C40="OPTIONS BUY",[1]AB5!$P$148))))</f>
        <v>Monthly Status</v>
      </c>
      <c r="Q55" s="67" t="str">
        <f>IF(C35="","",IF(C40="Futures","",IF(C40="OPTIONS SELL","",IF(C40="OPTIONS BUY",[1]AB5!$Q$148))))</f>
        <v>Options Type</v>
      </c>
      <c r="R55" s="139" t="str">
        <f>IF(C35="","",IF(C40="Futures","",IF(C40="OPTIONS SELL","",IF(C40="OPTIONS BUY",[1]AB5!$R$148))))</f>
        <v>Start Strike</v>
      </c>
      <c r="S55" s="140" t="str">
        <f>IF(C35="","",IF(C40="Futures","",IF(C40="OPTIONS SELL","",IF(C40="OPTIONS BUY",[1]AB5!$S$148))))</f>
        <v>End Strike</v>
      </c>
      <c r="T55" s="141"/>
      <c r="U55" s="140" t="str">
        <f>IF(C35="","",[1]AB5!T230)</f>
        <v>Last Choosen Strike</v>
      </c>
      <c r="V55" s="141"/>
      <c r="W55" s="140" t="str">
        <f>IF(C35="","",IF(C40="Futures","",IF(C40="OPTIONS SELL","",IF(C40="OPTIONS BUY",[1]AB5!$W$148))))</f>
        <v>Minimum Premium</v>
      </c>
      <c r="X55" s="141"/>
      <c r="Y55" s="139" t="str">
        <f>IF(C35="","",IF(C40="Futures","",IF(C40="OPTIONS SELL","",IF(C40="OPTIONS BUY",[1]AB5!$Y$148))))</f>
        <v>Minimum OI</v>
      </c>
      <c r="Z55" s="140" t="str">
        <f>IF(C35="","",IF(C40="Futures","",IF(C40="OPTIONS SELL","",IF(C40="OPTIONS BUY",[1]AB5!$Z$148))))</f>
        <v>Option Entry</v>
      </c>
      <c r="AA55" s="141"/>
    </row>
    <row r="56" spans="1:27" ht="59.25" customHeight="1" x14ac:dyDescent="0.2">
      <c r="A56" s="14" t="str">
        <f>IF(C35="","",CONCATENATE(C36,[1]AB5!$A$4))</f>
        <v>S27A</v>
      </c>
      <c r="B56" s="119" t="str">
        <f>IF(C35="","",IF(C40="Futures","",IF(C40="OPTIONS SELL","",IF(C40="OPTIONS BUY",[1]AB5!$B$149))))</f>
        <v xml:space="preserve">ORPT </v>
      </c>
      <c r="C56" s="120" t="str">
        <f>IF(C35="","",IF(C40="Futures","",IF(C40="OPTIONS SELL","",IF(C40="OPTIONS BUY",[1]AB5!$C$149))))</f>
        <v xml:space="preserve"> RC. Time</v>
      </c>
      <c r="D56" s="17" t="str">
        <f>IF(C35="","",IF(C40="Futures","",IF(C40="OPTIONS SELL","",IF(C40="OPTIONS BUY",[1]AB5!$D$149))))</f>
        <v>For Call Buy SL</v>
      </c>
      <c r="E56" s="142" t="str">
        <f>IF(C35="","",IF(C40="Futures","",IF(C40="OPTIONS SELL","",IF(C40="OPTIONS BUY",CONCATENATE([1]AB5!$E$149,TEXT(B57,"HH:MM:SS AM/PM"),[1]AB5!$B$150,[1]AB5!$F$149)))))</f>
        <v>Check If  09:15:00 AM LL &lt; Call Buy SL</v>
      </c>
      <c r="F56" s="143"/>
      <c r="G56" s="144" t="str">
        <f>IF(C35="","",IF(C40="Futures","",IF(C40="OPTIONS SELL","",IF(C40="OPTIONS BUY",[1]AB5!$G$149))))</f>
        <v>No</v>
      </c>
      <c r="H56" s="145" t="str">
        <f>IF(C35="","",IF(C40="Futures","",IF(C40="OPTIONS SELL","",IF(C40="OPTIONS BUY",[1]AB5!$H$149))))</f>
        <v>FSL / TRP Not Missed</v>
      </c>
      <c r="I56" s="146" t="str">
        <f>IF(C35="","",IF(C40="Futures","",IF(C40="OPTIONS SELL","",IF(C40="OPTIONS BUY",[1]AB5!$I$149))))</f>
        <v>Place the Order at ORPT</v>
      </c>
      <c r="J56" s="147" t="str">
        <f>IF(C35="","",IF(C40="Futures","",IF(C40="OPTIONS SELL","",IF(C40="OPTIONS BUY",[1]AB5!$J$149))))</f>
        <v>ORPT Time</v>
      </c>
      <c r="K56" s="148"/>
      <c r="L56" s="149">
        <f>IF(C35="","",IF(C40="Futures","",IF(C40="OPTIONS SELL","",IF(C40="OPTIONS BUY",B53))))</f>
        <v>0.39235416666666667</v>
      </c>
      <c r="M56" s="150" t="str">
        <f>IF(C35="","",IF(C40="Futures","",IF(C40="OPTIONS SELL","",IF(C40="OPTIONS BUY",[1]AB5!$M$149))))</f>
        <v>N.A.</v>
      </c>
      <c r="N56" s="145" t="str">
        <f>IF(C35="","",IF(C40="Futures","",IF(C40="OPTIONS SELL","",IF(C40="OPTIONS BUY",[1]AB5!$N$149))))</f>
        <v>N.A.</v>
      </c>
      <c r="O56" s="151" t="str">
        <f>IF(C35="","",IF(C40="Futures","",IF(C40="OPTIONS SELL","",IF(C40="OPTIONS BUY",[1]AB5!$O$149))))</f>
        <v>N.A.</v>
      </c>
      <c r="P56" s="152" t="str">
        <f>IF(C35="","",IF(C40="Futures","",IF(C40="OPTIONS SELL","",IF(C40="OPTIONS BUY",[1]AB5!$P$149))))</f>
        <v>BULL / BULL CF</v>
      </c>
      <c r="Q56" s="76" t="str">
        <f>IF(C35="","",IF(C40="Futures","",IF(C40="OPTIONS SELL","",IF(C40="OPTIONS BUY",[1]AB5!$Q$149))))</f>
        <v>Call</v>
      </c>
      <c r="R56" s="153" t="str">
        <f t="array" ref="R56">IF(C35="","",IF(C40="Futures","",IF(C40="OPTIONS SELL","",IF(C40="OPTIONS BUY",CONCATENATE([1]AB5!$M$142, "( ",INDEX([1]AB4!BP:BP,MATCH(A35,[1]AB4!B:B,0))," &amp; ",[1]AB5!$R$149," ) ",INDEX([1]AB4!BQ:BQ,MATCH(A35,[1]AB4!B:B)),""," &amp; ",INDEX([1]AB4!BS:BS,MATCH(A35,[1]AB4!B:B,0)))))))</f>
        <v>Max of ( SPT : PRV : 2DHH &amp; SPT : CDHH )  &amp; Round off to the Nearest Strike</v>
      </c>
      <c r="S56" s="154" t="str">
        <f>IF(C35="","",[1]AB5!S231)</f>
        <v>Start Strike - 1 Strike</v>
      </c>
      <c r="T56" s="26"/>
      <c r="U56" s="154" t="str">
        <f>IF(C35="","",[1]AB5!T231)</f>
        <v>Start Strike + 1 Strike</v>
      </c>
      <c r="V56" s="26"/>
      <c r="W56" s="154" t="str">
        <f>IF(C35="","",IF(C40="Futures","",IF(C40="OPTIONS SELL","",IF(C40="OPTIONS BUY",[1]AB5!$H$129))))</f>
        <v>N.A.</v>
      </c>
      <c r="X56" s="26"/>
      <c r="Y56" s="155" t="str">
        <f>IF(A35="","",IF(C40="Futures","",IF(C40="OPTIONS SELL","",IF(C40="OPTIONS BUY",I35))))</f>
        <v>100 Lots</v>
      </c>
      <c r="Z56" s="154" t="str">
        <f t="array" ref="Z56">IF(C35="","",IF(C40="Futures","",IF(C40="OPTIONS SELL","",IF(C40="OPTIONS BUY",CONCATENATE([1]AB5!$X$142,"( ",INDEX([1]AB4!G:G,MATCH(A35,[1]AB4!B:B,0))," &amp; ",[1]AB5!$Z$149," ) ",INDEX([1]AB4!H:H,MATCH(A35,[1]AB4!B:B,0))," ",AA49)))))</f>
        <v>Max of ( OPT : PRV : 2D HH &amp; OPT : CDHH )  +  5.00%</v>
      </c>
      <c r="AA56" s="107"/>
    </row>
    <row r="57" spans="1:27" ht="53.25" customHeight="1" thickBot="1" x14ac:dyDescent="0.25">
      <c r="A57" s="14" t="str">
        <f>IF(C35="","",CONCATENATE(C36,[1]AB5!$A$7))</f>
        <v>S27B</v>
      </c>
      <c r="B57" s="89">
        <f t="array" ref="B57">IF(C35="","",IF(C40="Futures","",IF(C40="OPTIONS SELL","",IF(C40="OPTIONS BUY",INDEX([1]AB4!BG:BG,MATCH(A56,[1]AB4!B:B,0))))))</f>
        <v>0.38541666666666669</v>
      </c>
      <c r="C57" s="90" t="str">
        <f t="array" ref="C57">IF(C35="","",IF(C40="Futures","",IF(C40="OPTIONS SELL","",IF(C40="OPTIONS BUY",INDEX([1]AB4!BG:BG,MATCH(A57,[1]AB4!B:B,0))))))</f>
        <v>N.A.</v>
      </c>
      <c r="D57" s="30"/>
      <c r="E57" s="30"/>
      <c r="F57" s="143"/>
      <c r="G57" s="156" t="str">
        <f>IF(C35="","",IF(C40="Futures","",IF(C40="OPTIONS SELL","",IF(C40="OPTIONS BUY",[1]AB5!$G$150))))</f>
        <v>Yes</v>
      </c>
      <c r="H57" s="157" t="str">
        <f>IF(C35="","",IF(C40="Futures","",IF(C40="OPTIONS SELL","",IF(C40="OPTIONS BUY",[1]AB5!$H$150))))</f>
        <v>FSL / TRP Missed</v>
      </c>
      <c r="I57" s="158" t="str">
        <f>IF(C35="","",IF(C40="Futures","",IF(C40="OPTIONS SELL","",IF(C40="OPTIONS BUY",[1]AB5!$I$142))))</f>
        <v>Recalcuate : Call Buy Entry : Bull / Bull CF</v>
      </c>
      <c r="J57" s="159" t="str">
        <f>IF(C35="","",IF(C40="Futures","",IF(C40="OPTIONS SELL","",IF(C40="OPTIONS BUY",[1]AB5!$J$150))))</f>
        <v>Wait Till Recalculation Time</v>
      </c>
      <c r="K57" s="100"/>
      <c r="L57" s="160">
        <f>IF(C35="","",IF(C40="Futures","",IF(C40="OPTIONS SELL","",IF(C40="OPTIONS BUY",C53))))</f>
        <v>0.39582638888888888</v>
      </c>
      <c r="M57" s="161" t="str">
        <f>IF(C35="","",IF(C40="Futures","",IF(C40="OPTIONS SELL","",IF(C40="OPTIONS BUY",CONCATENATE(N57," ",[1]AB5!$M$150," ",TEXT(O57,"0.00%"))))))</f>
        <v>09:29:59 AM LL - 0.00%</v>
      </c>
      <c r="N57" s="111" t="str">
        <f>IF(C35="","",IF(C40="Futures","",IF(C40="OPTIONS SELL","",IF(C40="OPTIONS BUY",CONCATENATE(TEXT(L57,"HH:MM:SS AM/PM"),[1]AB5!$N$150)))))</f>
        <v>09:29:59 AM LL</v>
      </c>
      <c r="O57" s="162" t="str">
        <f t="array" ref="O57">IF(A35="","",IF(C40="Futures","",IF(C40="OPTIONS SELL","",IF(C40="OPTIONS BUY",TEXT(INDEX([1]AB4!BL:BL,MATCH(A35,[1]AB4!B:B,0)),"0.00%")))))</f>
        <v>0.00%</v>
      </c>
      <c r="P57" s="103"/>
      <c r="Q57" s="163" t="str">
        <f>IF(C35="","",IF(C40="Futures","",IF(C40="OPTIONS SELL","",IF(C40="OPTIONS BUY",[1]AB5!$Q$150))))</f>
        <v>Put</v>
      </c>
      <c r="R57" s="164" t="str">
        <f>IF($C$35="","",[1]AB5!R232)</f>
        <v>N.A.</v>
      </c>
      <c r="S57" s="165" t="str">
        <f>IF($C$35="","",[1]AB5!S232)</f>
        <v>N.A.</v>
      </c>
      <c r="T57" s="38"/>
      <c r="U57" s="165" t="str">
        <f>IF($C$35="","",[1]AB5!T232)</f>
        <v>N.A.</v>
      </c>
      <c r="V57" s="38"/>
      <c r="W57" s="215" t="str">
        <f>IF($C$35="","",[1]AB5!V232)</f>
        <v>N.A.</v>
      </c>
      <c r="X57" s="4"/>
      <c r="Y57" s="166" t="str">
        <f>IF($C$35="","",[1]AB5!X232)</f>
        <v>N.A.</v>
      </c>
      <c r="Z57" s="215" t="str">
        <f>IF($C$35="","",[1]AB5!Y232)</f>
        <v>N.A.</v>
      </c>
      <c r="AA57" s="55"/>
    </row>
    <row r="58" spans="1:27" ht="58.5" customHeight="1" thickBot="1" x14ac:dyDescent="0.25">
      <c r="A58" s="14"/>
      <c r="B58" s="103"/>
      <c r="C58" s="104"/>
      <c r="D58" s="105"/>
      <c r="E58" s="105"/>
      <c r="F58" s="148"/>
      <c r="G58" s="91"/>
      <c r="H58" s="13"/>
      <c r="I58" s="158" t="str">
        <f>IF(C35="","",IF(C40="Futures","",IF(C40="OPTIONS SELL","",IF(C40="OPTIONS BUY",[1]AB5!$I$143))))</f>
        <v>Recalcuate : Call Buy Entry : Bear / Bear CF</v>
      </c>
      <c r="J58" s="159" t="str">
        <f>IF(C35="","",[1]AB5!J233)</f>
        <v>N.A.</v>
      </c>
      <c r="K58" s="100"/>
      <c r="L58" s="160" t="str">
        <f>IF(C35="","",[1]AB5!L233)</f>
        <v>N.A.</v>
      </c>
      <c r="M58" s="161" t="str">
        <f>IF(C35="","",[1]AB5!M233)</f>
        <v>N.A.</v>
      </c>
      <c r="N58" s="111" t="str">
        <f>IF(C35="","",[1]AB5!N233)</f>
        <v>N.A.</v>
      </c>
      <c r="O58" s="162" t="str">
        <f>IF(C35="","",[1]AB5!O233)</f>
        <v>N.A.</v>
      </c>
      <c r="P58" s="168" t="str">
        <f>IF(C35="","",IF(C40="Futures","",IF(C40="OPTIONS SELL","",IF(C40="OPTIONS BUY",[1]AB5!$P$151))))</f>
        <v>BEAR / BEAR CF</v>
      </c>
      <c r="Q58" s="76" t="str">
        <f>IF(C37="","",IF(C40="Futures","",IF(C40="OPTIONS SELL","",IF(C40="OPTIONS BUY",[1]AB5!$Q$151))))</f>
        <v>Call</v>
      </c>
      <c r="R58" s="164" t="str">
        <f>IF($C$35="","",[1]AB5!R233)</f>
        <v>N.A.</v>
      </c>
      <c r="S58" s="165" t="str">
        <f>IF($C$35="","",[1]AB5!S233)</f>
        <v>N.A.</v>
      </c>
      <c r="T58" s="38"/>
      <c r="U58" s="165" t="str">
        <f>IF($C$35="","",[1]AB5!T233)</f>
        <v>N.A.</v>
      </c>
      <c r="V58" s="38"/>
      <c r="W58" s="154" t="str">
        <f>IF($C$35="","",[1]AB5!V233)</f>
        <v>N.A.</v>
      </c>
      <c r="X58" s="26"/>
      <c r="Y58" s="166" t="str">
        <f>IF($C$35="","",[1]AB5!X233)</f>
        <v>N.A.</v>
      </c>
      <c r="Z58" s="154" t="str">
        <f>IF($C$35="","",[1]AB5!Y233)</f>
        <v>N.A.</v>
      </c>
      <c r="AA58" s="107"/>
    </row>
    <row r="59" spans="1:27" ht="59.25" customHeight="1" thickBot="1" x14ac:dyDescent="0.25">
      <c r="A59" s="14"/>
      <c r="B59" s="169" t="str">
        <f>IF(C35="","",IF(C40="Futures","",IF(C40="OPTIONS SELL","",IF(C40="OPTIONS BUY",[1]AB5!$B$152))))</f>
        <v>Stay Blessed !!!</v>
      </c>
      <c r="C59" s="18"/>
      <c r="D59" s="170" t="str">
        <f>IF(C35="","",IF(C40="Futures","",IF(C40="OPTIONS SELL","",IF(C40="OPTIONS BUY",[1]AB5!$D$152))))</f>
        <v>For Put Buy SL</v>
      </c>
      <c r="E59" s="171" t="str">
        <f>IF(C35="","",IF(C40="Futures","",IF(C40="OPTIONS SELL","",IF(C40="OPTIONS BUY",CONCATENATE([1]AB5!$E$152,TEXT(B57,"HH:MM:SS AM/PM"),[1]AB5!$B$150,[1]AB5!$F$152)))))</f>
        <v>Check If  09:15:00 AM LL &lt; Put Buy SL</v>
      </c>
      <c r="F59" s="172"/>
      <c r="G59" s="173" t="str">
        <f>IF(C35="","",IF(C40="Futures","",IF(C40="OPTIONS SELL","",IF(C40="OPTIONS BUY",[1]AB5!$G$152))))</f>
        <v>No</v>
      </c>
      <c r="H59" s="174" t="str">
        <f>IF(C35="","",IF(C40="Futures","",IF(C40="OPTIONS SELL","",IF(C40="OPTIONS BUY",[1]AB5!$H$152))))</f>
        <v>FSL / TRP Not Missed</v>
      </c>
      <c r="I59" s="175" t="str">
        <f>IF(C35="","",IF(C40="Futures","",IF(C40="OPTIONS SELL","",IF(C40="OPTIONS BUY",[1]AB5!$I$144))))</f>
        <v>Place the Order at ORPT</v>
      </c>
      <c r="J59" s="176" t="str">
        <f>IF(C35="","",IF(C40="Futures","",IF(C40="OPTIONS SELL","",IF(C40="OPTIONS BUY",[1]AB5!$J$152))))</f>
        <v>ORPT Time</v>
      </c>
      <c r="K59" s="97"/>
      <c r="L59" s="177">
        <f>IF(C35="","",IF(C40="Futures","",IF(C40="OPTIONS SELL","",IF(C40="OPTIONS BUY",B53))))</f>
        <v>0.39235416666666667</v>
      </c>
      <c r="M59" s="178" t="str">
        <f>IF(C35="","",IF(C40="Futures","",IF(C40="OPTIONS SELL","",IF(C40="OPTIONS BUY",[1]AB5!$M$152))))</f>
        <v>N.A.</v>
      </c>
      <c r="N59" s="174" t="str">
        <f>IF(C35="","",IF(C40="Futures","",IF(C40="OPTIONS SELL","",IF(C40="OPTIONS BUY",[1]AB5!$N$152))))</f>
        <v>N.A.</v>
      </c>
      <c r="O59" s="179" t="str">
        <f>IF(C35="","",IF(C40="Futures","",IF(C40="OPTIONS SELL","",IF(C40="OPTIONS BUY",[1]AB5!$O$152))))</f>
        <v>N.A.</v>
      </c>
      <c r="P59" s="103"/>
      <c r="Q59" s="163" t="str">
        <f>IF(C37="","",IF(C40="Futures","",IF(C40="OPTIONS SELL","",IF(C40="OPTIONS BUY",[1]AB5!$Q$152))))</f>
        <v>Put</v>
      </c>
      <c r="R59" s="164" t="str">
        <f t="array" ref="R59">IF(C35="","",IF(C40="Futures","",IF(C40="OPTIONS SELL","",IF(C40="OPTIONS BUY",CONCATENATE([1]AB5!$M$146, "( ",INDEX([1]AB4!BP:BP,MATCH(A44,[1]AB4!B:B,0))," &amp; ",[1]AB5!$R$152," ) ", INDEX([1]AB4!BQ:BQ,MATCH(A44,[1]AB4!B:B,0))," ",N53," ) &amp; ",INDEX([1]AB4!BS:BS,MATCH(A44,[1]AB4!B:B,0)))))))</f>
        <v>Min of ( SPT : PRV : 2DLL &amp; SPT : CDLL )  0.00% ) &amp; Round off to the Nearest Strike</v>
      </c>
      <c r="S59" s="165" t="str">
        <f>IF(C35="","",[1]AB5!S234)</f>
        <v>Start Strike + 1 Strike</v>
      </c>
      <c r="T59" s="38"/>
      <c r="U59" s="165" t="str">
        <f>IF(C35="","",[1]AB5!T234)</f>
        <v>Start Strike - 1 Strike</v>
      </c>
      <c r="V59" s="38"/>
      <c r="W59" s="216" t="str">
        <f>IF(C35="","",IF(C40="Futures","",IF(C40="OPTIONS SELL","",IF(C40="OPTIONS BUY",[1]AB5!$H$129))))</f>
        <v>N.A.</v>
      </c>
      <c r="X59" s="126"/>
      <c r="Y59" s="166" t="str">
        <f>IF(A35="","",IF(C40="Futures","",IF(C40="OPTIONS SELL","",IF(C40="OPTIONS BUY",I44))))</f>
        <v>100 Lots</v>
      </c>
      <c r="Z59" s="216" t="str">
        <f t="array" ref="Z59">IF(C35="","",IF(C40="Futures","",IF(C40="OPTIONS SELL","",IF(C40="OPTIONS BUY",CONCATENATE([1]AB5!$X$146,"( ",INDEX([1]AB4!G:G,MATCH(A44,[1]AB4!B:B,0))," &amp; ",[1]AB5!$Z$152," ) ", INDEX([1]AB4!H:H,MATCH(A44,[1]AB4!B:B,0))," ",AA53)))))</f>
        <v>Max of ( OPT : PRV : 2D HH &amp; OPT : CDHH )  +  5.00%</v>
      </c>
      <c r="AA59" s="51"/>
    </row>
    <row r="60" spans="1:27" ht="53.25" customHeight="1" x14ac:dyDescent="0.2">
      <c r="A60" s="138"/>
      <c r="B60" s="30"/>
      <c r="C60" s="31"/>
      <c r="D60" s="180"/>
      <c r="E60" s="143"/>
      <c r="F60" s="143"/>
      <c r="G60" s="181" t="str">
        <f>IF(C35="","",IF(C40="Futures","",IF(C40="OPTIONS SELL","",IF(C40="OPTIONS BUY",[1]AB5!$G$153))))</f>
        <v>Yes</v>
      </c>
      <c r="H60" s="182" t="str">
        <f>IF(C35="","",IF(C40="Futures","",IF(C40="OPTIONS SELL","",IF(C40="OPTIONS BUY",[1]AB5!$H$153))))</f>
        <v>FSL / TRP Missed</v>
      </c>
      <c r="I60" s="175" t="str">
        <f>IF(C35="","",IF(C40="Futures","",IF(C40="OPTIONS SELL","",IF(C40="OPTIONS BUY",[1]AB5!$I$145))))</f>
        <v>Recalcuate : Put Buy Entry : Bull / Bull CF</v>
      </c>
      <c r="J60" s="176" t="str">
        <f>IF(C35="","",[1]AB5!J235)</f>
        <v>N.A.</v>
      </c>
      <c r="K60" s="97"/>
      <c r="L60" s="177" t="str">
        <f>IF(C35="","",[1]AB5!L235)</f>
        <v>N.A.</v>
      </c>
      <c r="M60" s="178" t="str">
        <f>IF(C35="","",[1]AB5!M235)</f>
        <v>N.A.</v>
      </c>
      <c r="N60" s="99" t="str">
        <f>IF(C35="","",[1]AB5!N235)</f>
        <v>N.A.</v>
      </c>
      <c r="O60" s="183" t="str">
        <f>IF(C35="","",[1]AB5!O235)</f>
        <v>N.A.</v>
      </c>
      <c r="P60" s="184" t="str">
        <f>IF(C35="","",[1]AB5!$P$84)</f>
        <v>When You Call And Put Position is Exited</v>
      </c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31"/>
    </row>
    <row r="61" spans="1:27" ht="53.25" customHeight="1" thickBot="1" x14ac:dyDescent="0.25">
      <c r="A61" s="138"/>
      <c r="B61" s="32"/>
      <c r="C61" s="51"/>
      <c r="D61" s="186"/>
      <c r="E61" s="187"/>
      <c r="F61" s="187"/>
      <c r="G61" s="104"/>
      <c r="H61" s="127"/>
      <c r="I61" s="188" t="str">
        <f>IF(C35="","",IF(C40="Futures","",IF(C40="OPTIONS SELL","",IF(C40="OPTIONS BUY",[1]AB5!$I$146))))</f>
        <v>Recalcuate : Put Buy Entry : Bear / Bear CF</v>
      </c>
      <c r="J61" s="189" t="str">
        <f>IF(C35="","",IF(C40="Futures","",IF(C40="OPTIONS SELL","",IF(C40="OPTIONS BUY",[1]AB5!$J$154))))</f>
        <v>Wait Till Recalculation Time</v>
      </c>
      <c r="K61" s="38"/>
      <c r="L61" s="190">
        <f>IF(C35="","",IF(C40="Futures","",IF(C40="OPTIONS SELL","",IF(C40="OPTIONS BUY",C53))))</f>
        <v>0.39582638888888888</v>
      </c>
      <c r="M61" s="191" t="str">
        <f>IF(C35="","",IF(C40="Futures","",IF(C40="OPTIONS SELL","",IF(C40="OPTIONS BUY",CONCATENATE(N61," ",[1]AB5!$M$154," ",TEXT(O61,"0.00%"))))))</f>
        <v>09:29:59 AM LL - 0.00%</v>
      </c>
      <c r="N61" s="192" t="str">
        <f>IF(C35="","",IF(C40="Futures","",IF(C40="OPTIONS SELL","",IF(C40="OPTIONS BUY",CONCATENATE(TEXT(L61,"HH:MM:SS AM/PM"),[1]AB5!$N$154)))))</f>
        <v>09:29:59 AM LL</v>
      </c>
      <c r="O61" s="193" t="str">
        <f t="array" ref="O61">IF(A35="","",IF(C40="Futures","",IF(C40="OPTIONS SELL","",IF(C40="OPTIONS BUY",TEXT(INDEX([1]AB4!BL:BL,MATCH(A44,[1]AB4!B:B,0)),"0.00%")))))</f>
        <v>0.00%</v>
      </c>
      <c r="P61" s="194" t="str">
        <f>IF(C35="","",[1]AB5!$P$85)</f>
        <v>This is Only Applicable for Same Day</v>
      </c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51"/>
    </row>
    <row r="62" spans="1:27" ht="45.75" customHeight="1" thickBot="1" x14ac:dyDescent="0.25">
      <c r="A62" s="195"/>
      <c r="B62" s="196" t="str">
        <f>IF(C35="","",[1]AB5!$B$155)</f>
        <v>For Missed SL (Position = Open)</v>
      </c>
      <c r="C62" s="107"/>
      <c r="D62" s="197" t="str">
        <f>IF(C35="","",[1]AB5!$D$120)</f>
        <v>Note: ( Optional )</v>
      </c>
      <c r="E62" s="18"/>
      <c r="F62" s="198" t="str">
        <f>IF(C35="","",[1]AB5!$I$155)</f>
        <v>For Call Buy SL</v>
      </c>
      <c r="G62" s="62"/>
      <c r="H62" s="62"/>
      <c r="I62" s="62"/>
      <c r="J62" s="62"/>
      <c r="K62" s="62"/>
      <c r="L62" s="62"/>
      <c r="M62" s="62"/>
      <c r="N62" s="62"/>
      <c r="O62" s="62"/>
      <c r="P62" s="59"/>
      <c r="Q62" s="198" t="str">
        <f>IF(C35="","",[1]AB5!$R$155)</f>
        <v>For Put Buy SL</v>
      </c>
      <c r="R62" s="62"/>
      <c r="S62" s="62"/>
      <c r="T62" s="62"/>
      <c r="U62" s="62"/>
      <c r="V62" s="62"/>
      <c r="W62" s="62"/>
      <c r="X62" s="62"/>
      <c r="Y62" s="62"/>
      <c r="Z62" s="62"/>
      <c r="AA62" s="59"/>
    </row>
    <row r="63" spans="1:27" ht="45.75" customHeight="1" x14ac:dyDescent="0.2">
      <c r="A63" s="195"/>
      <c r="B63" s="199" t="str">
        <f>IF(C35="","",[1]AB5!$B$156)</f>
        <v>Check time</v>
      </c>
      <c r="C63" s="200"/>
      <c r="D63" s="30"/>
      <c r="E63" s="31"/>
      <c r="F63" s="205" t="str">
        <f>IF(C35="","",CONCATENATE([1]AB5!$G$156,TEXT(B64,"HH:MM:SS AM/PM"),[1]AB5!$B$157,[1]AB5!$H$156))</f>
        <v>Check If Close at 03:00:00 PM  &lt; Call Buy Original SL</v>
      </c>
      <c r="G63" s="12"/>
      <c r="H63" s="202" t="str">
        <f>IF(C35="","",[1]AB5!$I$156)</f>
        <v>Yes</v>
      </c>
      <c r="I63" s="12"/>
      <c r="J63" s="203" t="str">
        <f>IF(C35="","",CONCATENATE([1]AB5!$K$156,TEXT(B64,"HH:MM:SS AM/PM")))</f>
        <v xml:space="preserve"> Then Square Off The Position At CMP at 03:00:00 PM</v>
      </c>
      <c r="K63" s="148"/>
      <c r="L63" s="148"/>
      <c r="M63" s="148"/>
      <c r="N63" s="148"/>
      <c r="O63" s="148"/>
      <c r="P63" s="204"/>
      <c r="Q63" s="205" t="str">
        <f>IF(C35="","",CONCATENATE([1]AB5!$R$156,TEXT(B64,"HH:MM:SS AM/PM"),[1]AB5!$B$157,[1]AB5!$S$156))</f>
        <v>Check If Close at 03:00:00 PM  &gt; Put Buy Original SL</v>
      </c>
      <c r="R63" s="148"/>
      <c r="S63" s="12"/>
      <c r="T63" s="206" t="str">
        <f>IF(C35="","",[1]AB5!$U$156)</f>
        <v>Yes</v>
      </c>
      <c r="U63" s="207" t="str">
        <f>IF(C35="","",CONCATENATE([1]AB5!$W$156,TEXT(B64,"HH:MM:SS AM/PM")))</f>
        <v xml:space="preserve"> Then Square Off The Position At CMP at 03:00:00 PM</v>
      </c>
      <c r="V63" s="148"/>
      <c r="W63" s="148"/>
      <c r="X63" s="148"/>
      <c r="Y63" s="148"/>
      <c r="Z63" s="148"/>
      <c r="AA63" s="204"/>
    </row>
    <row r="64" spans="1:27" ht="45.75" customHeight="1" thickBot="1" x14ac:dyDescent="0.25">
      <c r="A64" s="195"/>
      <c r="B64" s="208">
        <f t="array" ref="B64">IF(C35="","",INDEX([1]AB4!CU:CU,MATCH(A52,[1]AB4!B:B,0)))</f>
        <v>0.625</v>
      </c>
      <c r="C64" s="167"/>
      <c r="D64" s="32"/>
      <c r="E64" s="51"/>
      <c r="F64" s="209" t="str">
        <f>IF(C35="","",CONCATENATE([1]AB5!$G$157,TEXT(B64,"HH:MM:SS AM/PM"),[1]AB5!$B$157,[1]AB5!$H$157))</f>
        <v>Check If Close at 03:00:00 PM  &gt; Call Buy Original SL</v>
      </c>
      <c r="G64" s="38"/>
      <c r="H64" s="210" t="str">
        <f>IF(C35="","",[1]AB5!$I$157)</f>
        <v>Yes</v>
      </c>
      <c r="I64" s="38"/>
      <c r="J64" s="211" t="str">
        <f>IF(C35="","",CONCATENATE([1]AB5!$K$157))</f>
        <v xml:space="preserve"> Then Continue the Position for Next Day And Calculate Stop Loss Price as per the Rules</v>
      </c>
      <c r="K64" s="134"/>
      <c r="L64" s="134"/>
      <c r="M64" s="134"/>
      <c r="N64" s="134"/>
      <c r="O64" s="134"/>
      <c r="P64" s="167"/>
      <c r="Q64" s="209" t="str">
        <f>IF(C35="","",CONCATENATE([1]AB5!$R$157,TEXT(B64,"HH:MM:SS AM/PM"),[1]AB5!$B$158,[1]AB5!$S$157))</f>
        <v>Check If Close at 03:00:00 PM  &lt; Put Buy Original SL</v>
      </c>
      <c r="R64" s="134"/>
      <c r="S64" s="38"/>
      <c r="T64" s="212" t="str">
        <f>IF(C35="","",[1]AB5!$U$157)</f>
        <v>Yes</v>
      </c>
      <c r="U64" s="211" t="str">
        <f>IF(C35="","",CONCATENATE([1]AB5!$W$157))</f>
        <v xml:space="preserve"> Then Continue the Position for Next Day And Calculate Stop Loss Price as per the Rules</v>
      </c>
      <c r="V64" s="134"/>
      <c r="W64" s="134"/>
      <c r="X64" s="134"/>
      <c r="Y64" s="134"/>
      <c r="Z64" s="134"/>
      <c r="AA64" s="167"/>
    </row>
    <row r="65" spans="1:27" ht="15.75" customHeight="1" x14ac:dyDescent="0.2">
      <c r="A65" s="138"/>
      <c r="B65" s="138"/>
      <c r="C65" s="138"/>
      <c r="D65" s="138"/>
      <c r="E65" s="138"/>
      <c r="F65" s="138"/>
      <c r="G65" s="138"/>
      <c r="H65" s="138"/>
      <c r="I65" s="138"/>
      <c r="J65" s="137"/>
      <c r="K65" s="137"/>
      <c r="L65" s="137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213"/>
      <c r="Y65" s="138"/>
      <c r="Z65" s="138"/>
      <c r="AA65" s="138"/>
    </row>
    <row r="66" spans="1:27" ht="23.25" customHeight="1" x14ac:dyDescent="0.2">
      <c r="A66" s="217"/>
      <c r="B66" s="218" t="s">
        <v>1</v>
      </c>
      <c r="C66" s="2"/>
      <c r="D66" s="219" t="str">
        <f>IF(C69="","",[1]AB5!D171)</f>
        <v>Monthly Status</v>
      </c>
      <c r="E66" s="172"/>
      <c r="F66" s="4"/>
      <c r="G66" s="220" t="str">
        <f>IF(C69="","",[1]AB5!G171)</f>
        <v>FINAL STIKE</v>
      </c>
      <c r="H66" s="219" t="str">
        <f>IF(C69="","",[1]AB5!H171)</f>
        <v>OPTION TYPE</v>
      </c>
      <c r="I66" s="4"/>
      <c r="J66" s="221" t="str">
        <f>IF(C69="","",[1]AB5!J171)</f>
        <v>ENTRY</v>
      </c>
      <c r="K66" s="97"/>
      <c r="L66" s="220" t="str">
        <f>IF(C69="","",[1]AB5!L171)</f>
        <v>LOTS</v>
      </c>
      <c r="M66" s="222" t="str">
        <f>IF(C69="","",[1]AB5!M171)</f>
        <v>TGT 1</v>
      </c>
      <c r="N66" s="220" t="str">
        <f>IF(C69="","",[1]AB5!N171)</f>
        <v>LOTS</v>
      </c>
      <c r="O66" s="223" t="str">
        <f>IF(C69="","",[1]AB5!O171)</f>
        <v>TGT 2</v>
      </c>
      <c r="P66" s="220" t="str">
        <f>IF(C69="","",[1]AB5!P171)</f>
        <v>LOTS</v>
      </c>
      <c r="Q66" s="224" t="str">
        <f>IF(C69="","",[1]AB5!Q171)</f>
        <v>TGT 3</v>
      </c>
      <c r="R66" s="220" t="str">
        <f>IF(C69="","",[1]AB5!R171)</f>
        <v>LOTS</v>
      </c>
      <c r="S66" s="222" t="str">
        <f>IF(C69="","",[1]AB5!S171)</f>
        <v>TGT 4</v>
      </c>
      <c r="T66" s="220" t="str">
        <f>IF(C69="","",[1]AB5!T171)</f>
        <v>LOTS</v>
      </c>
      <c r="U66" s="223" t="str">
        <f>IF(C69="","",[1]AB5!U171)</f>
        <v>TGT 5</v>
      </c>
      <c r="V66" s="220" t="str">
        <f>IF(C69="","",[1]AB5!V171)</f>
        <v>LOTS</v>
      </c>
      <c r="W66" s="223" t="str">
        <f>IF(C69="","",[1]AB5!W171)</f>
        <v>TGT 6</v>
      </c>
      <c r="X66" s="8" t="str">
        <f>IF(C69="","",[1]AB5!$X$125)</f>
        <v>TGT 5</v>
      </c>
      <c r="Y66" s="5" t="str">
        <f>IF(C69="","",[1]AB5!$W$125)</f>
        <v>LOTS</v>
      </c>
      <c r="Z66" s="6" t="str">
        <f>IF(C69="","",[1]AB5!$Z$125)</f>
        <v>TGT 6</v>
      </c>
      <c r="AA66" s="5" t="str">
        <f>IF(C69="","",[1]AB5!$AA$125)</f>
        <v>LOTS</v>
      </c>
    </row>
    <row r="67" spans="1:27" ht="26.25" customHeight="1" x14ac:dyDescent="0.2">
      <c r="A67" s="225"/>
      <c r="B67" s="9"/>
      <c r="C67" s="10"/>
      <c r="D67" s="11"/>
      <c r="E67" s="148"/>
      <c r="F67" s="12"/>
      <c r="G67" s="13"/>
      <c r="H67" s="11"/>
      <c r="I67" s="12"/>
      <c r="J67" s="221" t="str">
        <f>IF(C69="","",[1]AB5!J172)</f>
        <v>SL AFTER ENTRY</v>
      </c>
      <c r="K67" s="97"/>
      <c r="L67" s="13"/>
      <c r="M67" s="222" t="str">
        <f>IF(C69="","",[1]AB5!M172)</f>
        <v>TR PROFIT AFTER TGT 1</v>
      </c>
      <c r="N67" s="13"/>
      <c r="O67" s="223" t="str">
        <f>IF(C69="","",[1]AB5!O172)</f>
        <v>TR PROFIT AFTER TGT 2</v>
      </c>
      <c r="P67" s="13"/>
      <c r="Q67" s="224" t="str">
        <f>IF(C69="","",[1]AB5!Q172)</f>
        <v>TR PROFIT AFTER TGT 3</v>
      </c>
      <c r="R67" s="13"/>
      <c r="S67" s="222" t="str">
        <f>IF(C69="","",[1]AB5!S172)</f>
        <v>TR PROFIT AFTER TGT 4</v>
      </c>
      <c r="T67" s="13"/>
      <c r="U67" s="223" t="str">
        <f>IF(C69="","",[1]AB5!U172)</f>
        <v>TR PROFIT AFTER TGT 5</v>
      </c>
      <c r="V67" s="13"/>
      <c r="W67" s="223" t="s">
        <v>2</v>
      </c>
      <c r="X67" s="8" t="str">
        <f>IF(C69="","",[1]AB5!$X$126)</f>
        <v>TR PROFIT AFTER TGT 5</v>
      </c>
      <c r="Y67" s="13"/>
      <c r="Z67" s="6" t="str">
        <f>IF(C69="","",[1]AB5!$Z$126)</f>
        <v>TR PROFIT AFTER TGT 6</v>
      </c>
      <c r="AA67" s="13"/>
    </row>
    <row r="68" spans="1:27" ht="12.75" customHeight="1" thickBo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53.25" customHeight="1" thickBot="1" x14ac:dyDescent="0.25">
      <c r="A69" s="14" t="str">
        <f>IF(C69="","",CONCATENATE(C70,[1]AB5!$A$4))</f>
        <v>S25A</v>
      </c>
      <c r="B69" s="15" t="str">
        <f>IF(C69="","",[1]AB5!$B$128)</f>
        <v>Sr. No.</v>
      </c>
      <c r="C69" s="16">
        <v>25</v>
      </c>
      <c r="D69" s="17" t="str">
        <f>IF(C69="","",IF(C74="Futures","",IF(C74="OPTIONS SELL","",IF(C74="OPTIONS BUY",[1]AB5!$D$128))))</f>
        <v>BULL / BULL CF</v>
      </c>
      <c r="E69" s="18"/>
      <c r="F69" s="17" t="str">
        <f>IF(C69="","",IF(C74="Futures","",IF(C74="OPTIONS SELL","",IF(C74="OPTIONS BUY",[1]AB5!$D$174))))</f>
        <v>Call</v>
      </c>
      <c r="G69" s="226" t="str">
        <f t="array" ref="G69">IF(C69="","",IF(C74="Futures","",IF(C74="OPTIONS SELL","",IF(C74="OPTIONS BUY",CONCATENATE("( ",INDEX([1]AB4!BP:BP,MATCH(A69,[1]AB4!B:B,0))," ",INDEX([1]AB4!BQ:BQ,MATCH(A69,[1]AB4!B:B,0)),") &amp; ",INDEX([1]AB4!BS:BS,MATCH(A69,[1]AB4!B:B,0)))))))</f>
        <v>( SPT : PRV : 1D 75 Mins HH +) &amp; Round Down</v>
      </c>
      <c r="H69" s="227" t="str">
        <f>IF(C69="","",IF(C74="Futures","",IF(C74="OPTIONS SELL","",IF(C74="OPTIONS BUY",[1]AB5!H174))))</f>
        <v>Call</v>
      </c>
      <c r="I69" s="228" t="str">
        <f>IF(C69="","",IF(C74="Futures","",IF(C74="OPTIONS SELL","",IF(C74="OPTIONS BUY",[1]AB5!$I$174))))</f>
        <v>E &amp; T</v>
      </c>
      <c r="J69" s="229" t="str">
        <f t="array" ref="J69">IF(C69="","",IF(C74="Futures","",IF(C74="OPTIONS SELL","",IF(C74="OPTIONS BUY",CONCATENATE(INDEX([1]AB4!G:G,MATCH(A69,[1]AB4!B:B,0)),[1]AB5!J174,INDEX([1]AB4!H:H,MATCH(A69,[1]AB4!B:B,0)),TEXT(INDEX([1]AB4!I:I,MATCH(A69,[1]AB4!B:B,0)),"0.00%"))))))</f>
        <v>OPT : PRV : 1D 75 Mins HH of Final strike + 10.00%</v>
      </c>
      <c r="K69" s="230"/>
      <c r="L69" s="23">
        <f>IF(C69="","",IF(C74="Futures","",IF(C74="OPTIONS SELL","",IF(C74="OPTIONS BUY",[1]AB5!L174))))</f>
        <v>2</v>
      </c>
      <c r="M69" s="231" t="str">
        <f t="array" ref="M69">IF(C69="","",IF(C74="Futures","",IF(C74="OPTIONS SELL","",IF(C74="OPTIONS BUY",IF(INDEX([1]AB4!N:N,MATCH(A69,[1]AB4!B:B,0))="","",CONCATENATE(INDEX([1]AB4!L:L,MATCH(A69,[1]AB4!B:B,0)),INDEX([1]AB4!M:M,MATCH(A69,[1]AB4!B:B,0)),TEXT(INDEX([1]AB4!N:N,MATCH(A69,[1]AB4!B:B,0)),"0.00%")))))))</f>
        <v>CE : Entry  + 70.00%</v>
      </c>
      <c r="N69" s="23">
        <f>IF(C69="","",IF(C74="Futures","",IF(C74="OPTIONS SELL","",IF(C74="OPTIONS BUY",[1]AB5!N174))))</f>
        <v>1</v>
      </c>
      <c r="O69" s="24" t="str">
        <f>IF($C$69="","",[1]AB5!O174)</f>
        <v>N.A.</v>
      </c>
      <c r="P69" s="23" t="str">
        <f>IF($C$69="","",[1]AB5!P174)</f>
        <v>N.A.</v>
      </c>
      <c r="Q69" s="232" t="str">
        <f>IF($C$69="","",[1]AB5!O174)</f>
        <v>N.A.</v>
      </c>
      <c r="R69" s="24" t="str">
        <f>IF($C$69="","",[1]AB5!P174)</f>
        <v>N.A.</v>
      </c>
      <c r="S69" s="23" t="str">
        <f>IF($C$69="","",[1]AB5!Q174)</f>
        <v>N.A.</v>
      </c>
      <c r="T69" s="24" t="str">
        <f>IF($C$69="","",[1]AB5!R174)</f>
        <v>N.A.</v>
      </c>
      <c r="U69" s="23" t="str">
        <f>IF($C$69="","",[1]AB5!S174)</f>
        <v>N.A.</v>
      </c>
      <c r="V69" s="24" t="str">
        <f>IF($C$69="","",[1]AB5!S174)</f>
        <v>N.A.</v>
      </c>
      <c r="W69" s="23" t="str">
        <f>IF($C$69="","",[1]AB5!T174)</f>
        <v>N.A.</v>
      </c>
      <c r="X69" s="24" t="str">
        <f>IF($C$69="","",[1]AB5!T174)</f>
        <v>N.A.</v>
      </c>
      <c r="Y69" s="23" t="str">
        <f>IF($C$69="","",[1]AB5!U174)</f>
        <v>N.A.</v>
      </c>
      <c r="Z69" s="24" t="str">
        <f>IF($C$69="","",[1]AB5!V174)</f>
        <v>N.A.</v>
      </c>
      <c r="AA69" s="27" t="str">
        <f>IF($C$69="","",[1]AB5!V174)</f>
        <v>N.A.</v>
      </c>
    </row>
    <row r="70" spans="1:27" ht="53.25" customHeight="1" thickBot="1" x14ac:dyDescent="0.25">
      <c r="A70" s="14" t="str">
        <f>IF(C69="","",CONCATENATE(C70,[1]AB5!$A$5))</f>
        <v>S25A</v>
      </c>
      <c r="B70" s="28" t="str">
        <f>IF(C69="","",IF(C74="Futures","",IF(C74="OPTIONS SELL","",[1]AB5!$B$129)))</f>
        <v>Strategy Code</v>
      </c>
      <c r="C70" s="29" t="str">
        <f t="array" ref="C70">IF(C69="","",IF(C74="Futures","",IF(C74="OPTIONS SELL","",IF(C74="OPTIONS BUY",INDEX([1]AB2!B:B,MATCH(C69,[1]AB2!A:A,0))))))</f>
        <v>S25</v>
      </c>
      <c r="D70" s="30"/>
      <c r="E70" s="31"/>
      <c r="F70" s="32"/>
      <c r="G70" s="127"/>
      <c r="H70" s="32"/>
      <c r="I70" s="233" t="str">
        <f>IF(C69="","",IF(C74="Futures","",IF(C74="OPTIONS SELL","",IF(C74="OPTIONS BUY",[1]AB5!$I$177))))</f>
        <v>SL / TRP</v>
      </c>
      <c r="J70" s="234" t="str">
        <f t="array" ref="J70">IF(C69="","",IF(C74="Futures","",IF(C74="OPTIONS SELL","",IF(C74="OPTIONS BUY",IF(INDEX([1]AB4!AL:AL,MATCH(A69,[1]AB4!B:B,0))="","",CONCATENATE(INDEX([1]AB4!AA:AA,MATCH(A69,[1]AB4!B:B,0))," ( ",INDEX([1]AB4!AE:AE,MATCH(A69,[1]AB4!B:B,0)),INDEX([1]AB4!AF:AF,MATCH(A69,[1]AB4!B:B,0)),TEXT(INDEX([1]AB4!AG:AG,MATCH(A69,[1]AB4!B:B,0)),"0.00%")," &amp; ",INDEX([1]AB4!AK:AK,MATCH(A69,[1]AB4!B:B,0)),[1]AB5!J174,INDEX([1]AB4!AJ:AJ,MATCH(A69,[1]AB4!B:B,0)),TEXT(INDEX([1]AB4!AL:AL,MATCH(A69,[1]AB4!B:B,0)),"0.00%")," )"))))))</f>
        <v>Max ( CE : Entry  - 70.00% &amp; OPT : PRV : 1D 75 MinsLL of Final strike - 10.00% )</v>
      </c>
      <c r="K70" s="187"/>
      <c r="L70" s="235">
        <f>IF(C69="","",IF(C74="Futures","",IF(C74="OPTIONS SELL","",IF(C74="OPTIONS BUY",[1]AB5!L177))))</f>
        <v>2</v>
      </c>
      <c r="M70" s="236" t="str">
        <f t="array" ref="M70">IF(C69="","",IF(C74="Futures","",IF(C74="OPTIONS SELL","",IF(C74="OPTIONS BUY",IF(INDEX([1]AB4!AO:AO,MATCH(A69,[1]AB4!B:B,0))="","",CONCATENATE(INDEX([1]AB4!AA:AA,MATCH(A69,[1]AB4!B:B,0))," ( ",INDEX([1]AB4!AE:AE,MATCH(A69,[1]AB4!B:B,0))," &amp; ",INDEX([1]AB4!AN:AN,MATCH(A69,[1]AB4!B:B,0)),[1]AB5!M175,INDEX([1]AB4!AJ:AJ,MATCH(A69,[1]AB4!B:B,0)),TEXT(INDEX([1]AB4!AO:AO,MATCH(A69,[1]AB4!B:B,0)),"0.00%")," )"))))))</f>
        <v/>
      </c>
      <c r="N70" s="237">
        <f>IF(C69="","",IF(C74="Futures","",IF(C74="OPTIONS SELL","",IF(C74="OPTIONS BUY",[1]AB5!N175))))</f>
        <v>1</v>
      </c>
      <c r="O70" s="33" t="str">
        <f>IF($C$69="","",[1]AB5!O175)</f>
        <v>N.A.</v>
      </c>
      <c r="P70" s="23" t="str">
        <f>IF($C$69="","",[1]AB5!P175)</f>
        <v>N.A.</v>
      </c>
      <c r="Q70" s="232" t="str">
        <f>IF($C$70="","",[1]AB5!O175)</f>
        <v>N.A.</v>
      </c>
      <c r="R70" s="33" t="str">
        <f>IF($C$70="","",[1]AB5!O174)</f>
        <v>N.A.</v>
      </c>
      <c r="S70" s="36" t="str">
        <f>IF($C$70="","",[1]AB5!Q175)</f>
        <v>N.A.</v>
      </c>
      <c r="T70" s="33" t="str">
        <f>IF($C$69="","",[1]AB5!R175)</f>
        <v>N.A.</v>
      </c>
      <c r="U70" s="36" t="str">
        <f>IF($C$69="","",[1]AB5!S175)</f>
        <v>N.A.</v>
      </c>
      <c r="V70" s="33" t="str">
        <f>IF($C$69="","",[1]AB5!S175)</f>
        <v>N.A.</v>
      </c>
      <c r="W70" s="36" t="str">
        <f>IF($C$69="","",[1]AB5!T175)</f>
        <v>N.A.</v>
      </c>
      <c r="X70" s="33" t="str">
        <f>IF($C$69="","",[1]AB5!T175)</f>
        <v>N.A.</v>
      </c>
      <c r="Y70" s="36" t="str">
        <f>IF($C$69="","",[1]AB5!U175)</f>
        <v>N.A.</v>
      </c>
      <c r="Z70" s="39" t="str">
        <f>IF($C$69="","",[1]AB5!V175)</f>
        <v>N.A.</v>
      </c>
      <c r="AA70" s="238" t="str">
        <f>IF($C$69="","",[1]AB5!V175)</f>
        <v>N.A.</v>
      </c>
    </row>
    <row r="71" spans="1:27" ht="12" customHeight="1" thickBot="1" x14ac:dyDescent="0.25">
      <c r="A71" s="14" t="str">
        <f>IF(C69="","",CONCATENATE(C70,[1]AB5!A34))</f>
        <v>S25</v>
      </c>
      <c r="B71" s="41" t="str">
        <f>IF(C69="","",IF(C74="Futures","",IF(C74="OPTIONS SELL","",[1]AB5!$B$130)))</f>
        <v>Unique Code</v>
      </c>
      <c r="C71" s="42" t="str">
        <f t="array" ref="C71">IF(C69="","",IF(C74="Futures","",IF(C74="OPTIONS SELL","",IF(C74="OPTIONS BUY",INDEX([1]AB2!N:N,MATCH(C69,[1]AB2!A:A,0))))))</f>
        <v>BANKNIFTY_OP_BUY_WK_SAME_1D 75 Mins_1D 75 Mins</v>
      </c>
      <c r="D71" s="30"/>
      <c r="E71" s="31"/>
      <c r="F71" s="43"/>
      <c r="G71" s="44"/>
      <c r="H71" s="44"/>
      <c r="I71" s="239"/>
      <c r="J71" s="185"/>
      <c r="K71" s="185"/>
      <c r="L71" s="44"/>
      <c r="M71" s="44"/>
      <c r="N71" s="44"/>
      <c r="O71" s="44"/>
      <c r="P71" s="44"/>
      <c r="Q71" s="240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spans="1:27" ht="53.25" customHeight="1" thickBot="1" x14ac:dyDescent="0.25">
      <c r="A72" s="14" t="str">
        <f>IF(C69="","",CONCATENATE(C70,[1]AB5!$A$7))</f>
        <v>S25B</v>
      </c>
      <c r="B72" s="46"/>
      <c r="C72" s="47"/>
      <c r="D72" s="30"/>
      <c r="E72" s="31"/>
      <c r="F72" s="48" t="str">
        <f>IF(C69="","",IF(C74="Futures","",IF(C74="OPTIONS SELL","",IF(C74="OPTIONS BUY",[1]AB5!$D$180))))</f>
        <v>Put</v>
      </c>
      <c r="G72" s="226" t="str">
        <f t="array" ref="G72">IF(C69="","",IF(C74="Futures","",IF(C74="OPTIONS SELL","",IF(C74="OPTIONS BUY",CONCATENATE("( ",INDEX([1]AB4!BP:BP,MATCH(A72,[1]AB4!B:B,0))," ",INDEX([1]AB4!BQ:BQ,MATCH(A72,[1]AB4!B:B,0)),") &amp; ",INDEX([1]AB4!BS:BS,MATCH(A72,[1]AB4!B:B,0)))))))</f>
        <v>( SPT : PRV : 1D 75 Mins LL -) &amp; Round Up</v>
      </c>
      <c r="H72" s="241" t="str">
        <f>IF(C69="","",IF(C74="Futures","",IF(C74="OPTIONS SELL","",IF(C74="OPTIONS BUY",[1]AB5!D180))))</f>
        <v>Put</v>
      </c>
      <c r="I72" s="242" t="str">
        <f>IF(C69="","",IF(C74="Futures","",IF(C74="OPTIONS SELL","",IF(C74="OPTIONS BUY",[1]AB5!$I$180))))</f>
        <v>E &amp; T</v>
      </c>
      <c r="J72" s="243" t="str">
        <f t="array" ref="J72">IF(C69="","",IF(C9="Futures","",IF(C9="OPTIONS SELL","",IF(C9="OPTIONS BUY",CONCATENATE(INDEX([1]AB4!G:G,MATCH(A72,[1]AB4!B:B,0)),[1]AB5!J174,INDEX([1]AB4!H:H,MATCH(A72,[1]AB4!B:B,0)),TEXT(INDEX([1]AB4!I:I,MATCH(A72,[1]AB4!B:B,0)),"0.00%"))))))</f>
        <v>OPT : PRV : 1D 75 Mins HH of Final strike + 10.00%</v>
      </c>
      <c r="K72" s="230"/>
      <c r="L72" s="244">
        <f>IF(C69="","",IF(C74="Futures","",IF(C74="OPTIONS SELL","",IF(C74="OPTIONS BUY",[1]AB5!L180))))</f>
        <v>2</v>
      </c>
      <c r="M72" s="245" t="str">
        <f t="array" ref="M72">IF(C69="","",IF(C74="Futures","",IF(C74="OPTIONS SELL","",IF(C74="OPTIONS BUY",IF(INDEX([1]AB4!N:N,MATCH(A72,[1]AB4!B:B,0))="","",CONCATENATE(INDEX([1]AB4!L:L,MATCH(A72,[1]AB4!B:B,0)),INDEX([1]AB4!M:M,MATCH(A72,[1]AB4!B:B,0)),TEXT(INDEX([1]AB4!N:N,MATCH(A72,[1]AB4!B:B,0)),"0.00%")))))))</f>
        <v>PE : Entry  + 70.00%</v>
      </c>
      <c r="N72" s="232">
        <f>IF(C69="","",IF(C74="Futures","",IF(C74="OPTIONS SELL","",IF(C74="OPTIONS BUY",[1]AB5!$N$177))))</f>
        <v>1</v>
      </c>
      <c r="O72" s="24" t="str">
        <f>IF($C$69="","",[1]AB5!O177)</f>
        <v>N.A.</v>
      </c>
      <c r="P72" s="23" t="str">
        <f>IF($C$69="","",[1]AB5!P177)</f>
        <v>N.A.</v>
      </c>
      <c r="Q72" s="232" t="str">
        <f>IF($C$69="","",[1]AB5!O177)</f>
        <v>N.A.</v>
      </c>
      <c r="R72" s="24" t="str">
        <f>IF($C$69="","",[1]AB5!P177)</f>
        <v>N.A.</v>
      </c>
      <c r="S72" s="23" t="str">
        <f>IF($C$69="","",[1]AB5!Q177)</f>
        <v>N.A.</v>
      </c>
      <c r="T72" s="24" t="str">
        <f>IF($C$69="","",[1]AB5!R177)</f>
        <v>N.A.</v>
      </c>
      <c r="U72" s="23" t="str">
        <f>IF($C$69="","",[1]AB5!S177)</f>
        <v>N.A.</v>
      </c>
      <c r="V72" s="24" t="str">
        <f>IF($C$69="","",[1]AB5!S177)</f>
        <v>N.A.</v>
      </c>
      <c r="W72" s="23" t="str">
        <f>IF($C$69="","",[1]AB5!T177)</f>
        <v>N.A.</v>
      </c>
      <c r="X72" s="24" t="str">
        <f>IF($C$69="","",[1]AB5!T177)</f>
        <v>N.A.</v>
      </c>
      <c r="Y72" s="23" t="str">
        <f>IF($C$69="","",[1]AB5!U177)</f>
        <v>N.A.</v>
      </c>
      <c r="Z72" s="24" t="str">
        <f>IF($C$69="","",[1]AB5!V177)</f>
        <v>N.A.</v>
      </c>
      <c r="AA72" s="27" t="str">
        <f>IF($C$69="","",[1]AB5!V177)</f>
        <v>N.A.</v>
      </c>
    </row>
    <row r="73" spans="1:27" ht="53.25" customHeight="1" thickBot="1" x14ac:dyDescent="0.25">
      <c r="A73" s="14" t="str">
        <f>IF(C69="","",CONCATENATE(C70,[1]AB5!$A$8))</f>
        <v>S25B</v>
      </c>
      <c r="B73" s="49"/>
      <c r="C73" s="50"/>
      <c r="D73" s="32"/>
      <c r="E73" s="51"/>
      <c r="F73" s="32"/>
      <c r="G73" s="127"/>
      <c r="H73" s="32"/>
      <c r="I73" s="246" t="str">
        <f>IF(C69="","",IF(C74="Futures","",IF(C74="OPTIONS SELL","",IF(C74="OPTIONS BUY",[1]AB5!$I$183))))</f>
        <v>SL / TRP</v>
      </c>
      <c r="J73" s="247" t="str">
        <f t="array" ref="J73">IF(C69="","",IF(C74="Futures","",IF(C74="OPTIONS SELL","",IF(C74="OPTIONS BUY",IF(INDEX([1]AB4!AL:AL,MATCH(A72,[1]AB4!B:B,0))="","",CONCATENATE(INDEX([1]AB4!AA:AA,MATCH(A72,[1]AB4!B:B,0))," ( ",INDEX([1]AB4!AE:AE,MATCH(A72,[1]AB4!B:B,0)),INDEX([1]AB4!AF:AF,MATCH(A72,[1]AB4!B:B,0)),TEXT(INDEX([1]AB4!AG:AG,MATCH(A72,[1]AB4!B:B,0)),"0.00%")," &amp; ",INDEX([1]AB4!AK:AK,MATCH(A72,[1]AB4!B:B,0)),[1]AB5!J177,INDEX([1]AB4!AJ:AJ,MATCH(A72,[1]AB4!B:B,0)),TEXT(INDEX([1]AB4!AL:AL,MATCH(A72,[1]AB4!B:B,0)),"0.00%")," )"))))))</f>
        <v>Max ( PE : Entry  - 70.00% &amp; OPT : PRV : 1D 75 MinsLL of Final strike - 10.00% )</v>
      </c>
      <c r="K73" s="187"/>
      <c r="L73" s="36">
        <f>IF(C69="","",IF(C74="Futures","",IF(C74="OPTIONS SELL","",IF(C74="OPTIONS BUY",[1]AB5!L183))))</f>
        <v>2</v>
      </c>
      <c r="M73" s="248" t="str">
        <f t="array" ref="M73">IF(C69="","",IF(C74="Futures","",IF(C74="OPTIONS SELL","",IF(C74="OPTIONS BUY",IF(INDEX([1]AB4!AO:AO,MATCH(A72,[1]AB4!B:B,0))="","",CONCATENATE(INDEX([1]AB4!AA:AA,MATCH(A72,[1]AB4!B:B,0))," ( ",INDEX([1]AB4!AE:AE,MATCH(A72,[1]AB4!B:B,0))," &amp; ",INDEX([1]AB4!AN:AN,MATCH(A72,[1]AB4!B:B,0)),[1]AB5!M178,INDEX([1]AB4!AJ:AJ,MATCH(A72,[1]AB4!B:B,0)),TEXT(INDEX([1]AB4!AO:AO,MATCH(A72,[1]AB4!B:B,0)),"0.00%")," )"))))))</f>
        <v/>
      </c>
      <c r="N73" s="36">
        <f>IF(C69="","",IF(C74="Futures","",IF(C74="OPTIONS SELL","",IF(C74="OPTIONS BUY",[1]AB5!$N$178))))</f>
        <v>1</v>
      </c>
      <c r="O73" s="33" t="str">
        <f>IF($C$69="","",[1]AB5!O178)</f>
        <v>N.A.</v>
      </c>
      <c r="P73" s="23" t="str">
        <f>IF($C$69="","",[1]AB5!P178)</f>
        <v>N.A.</v>
      </c>
      <c r="Q73" s="232" t="str">
        <f>IF($C$70="","",[1]AB5!O178)</f>
        <v>N.A.</v>
      </c>
      <c r="R73" s="33" t="str">
        <f>IF($C$70="","",[1]AB5!O177)</f>
        <v>N.A.</v>
      </c>
      <c r="S73" s="36" t="str">
        <f>IF($C$70="","",[1]AB5!Q178)</f>
        <v>N.A.</v>
      </c>
      <c r="T73" s="33" t="str">
        <f>IF($C$69="","",[1]AB5!R178)</f>
        <v>N.A.</v>
      </c>
      <c r="U73" s="36" t="str">
        <f>IF($C$69="","",[1]AB5!S178)</f>
        <v>N.A.</v>
      </c>
      <c r="V73" s="33" t="str">
        <f>IF($C$69="","",[1]AB5!S178)</f>
        <v>N.A.</v>
      </c>
      <c r="W73" s="36" t="str">
        <f>IF($C$69="","",[1]AB5!T178)</f>
        <v>N.A.</v>
      </c>
      <c r="X73" s="33" t="str">
        <f>IF($C$69="","",[1]AB5!T178)</f>
        <v>N.A.</v>
      </c>
      <c r="Y73" s="36" t="str">
        <f>IF($C$69="","",[1]AB5!U178)</f>
        <v>N.A.</v>
      </c>
      <c r="Z73" s="39" t="str">
        <f>IF($C$69="","",[1]AB5!V178)</f>
        <v>N.A.</v>
      </c>
      <c r="AA73" s="238" t="str">
        <f>IF($C$69="","",[1]AB5!V178)</f>
        <v>N.A.</v>
      </c>
    </row>
    <row r="74" spans="1:27" ht="24.75" customHeight="1" thickBot="1" x14ac:dyDescent="0.25">
      <c r="A74" s="14" t="str">
        <f>IF(C69="","",CONCATENATE(C70,[1]AB5!$A$9))</f>
        <v>S25C</v>
      </c>
      <c r="B74" s="28" t="str">
        <f>IF(C69="","",IF(C74="Futures","",IF(C74="OPTIONS SELL","",[1]AB5!$B$133)))</f>
        <v>Segment</v>
      </c>
      <c r="C74" s="29" t="str">
        <f t="array" ref="C74">IF(C69="","",INDEX([1]AB2!C:C,MATCH(C69,[1]AB2!A:A,0)))</f>
        <v>OPTIONS BUY</v>
      </c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240">
        <f>IF(C74="","",[1]AB5!O179)</f>
        <v>0</v>
      </c>
      <c r="R74" s="52"/>
      <c r="S74" s="52"/>
      <c r="T74" s="52"/>
      <c r="U74" s="52"/>
      <c r="V74" s="52"/>
      <c r="W74" s="52"/>
      <c r="X74" s="52"/>
      <c r="Y74" s="52"/>
      <c r="Z74" s="52"/>
      <c r="AA74" s="52"/>
    </row>
    <row r="75" spans="1:27" ht="53.25" customHeight="1" thickBot="1" x14ac:dyDescent="0.25">
      <c r="A75" s="14" t="str">
        <f>IF(C69="","",CONCATENATE(C70,[1]AB5!$A$10))</f>
        <v>S25D</v>
      </c>
      <c r="B75" s="28" t="str">
        <f>IF(C69="","",IF(C74="Futures","",IF(C74="OPTIONS SELL","",[1]AB5!$B$134)))</f>
        <v>Symbol</v>
      </c>
      <c r="C75" s="29" t="str">
        <f t="array" ref="C75">IF(C69="","",IF(C74="Futures","",IF(C74="OPTIONS SELL","",IF(C74="OPTIONS BUY",INDEX([1]AB2!E:E,MATCH(C69,[1]AB2!A:A,0))))))</f>
        <v>BANKNIFTY</v>
      </c>
      <c r="D75" s="48" t="str">
        <f>IF(C69="","",IF(C74="Futures","",IF(C74="OPTIONS SELL","",IF(C74="OPTIONS BUY",[1]AB5!$D$134))))</f>
        <v>BEAR / BEAR CF</v>
      </c>
      <c r="E75" s="18"/>
      <c r="F75" s="17" t="str">
        <f>IF(C75="","",IF(C74="Futures","",IF(C74="OPTIONS SELL","",IF(C74="OPTIONS BUY",[1]AB5!$D$174))))</f>
        <v>Call</v>
      </c>
      <c r="G75" s="226" t="str">
        <f t="array" ref="G75">IF(C75="","",IF(C74="Futures","",IF(C74="OPTIONS SELL","",IF(C74="OPTIONS BUY",CONCATENATE("( ",INDEX([1]AB4!BP:BP,MATCH(A75,[1]AB4!B:B,0))," ",INDEX([1]AB4!BQ:BQ,MATCH(A75,[1]AB4!B:B,0)),") &amp; ",INDEX([1]AB4!BS:BS,MATCH(A75,[1]AB4!B:B,0)))))))</f>
        <v>( SPT : PRV : 1D 75 Mins HH +) &amp; Round Down</v>
      </c>
      <c r="H75" s="227" t="str">
        <f>IF(C75="","",IF(C74="Futures","",IF(C74="OPTIONS SELL","",IF(C74="OPTIONS BUY",[1]AB5!H174))))</f>
        <v>Call</v>
      </c>
      <c r="I75" s="228" t="str">
        <f>IF(C75="","",IF(C74="Futures","",IF(C74="OPTIONS SELL","",IF(C74="OPTIONS BUY",[1]AB5!$I$174))))</f>
        <v>E &amp; T</v>
      </c>
      <c r="J75" s="229" t="str">
        <f t="array" ref="J75">IF(C69="","",IF(C74="Futures","",IF(C74="OPTIONS SELL","",IF(C74="OPTIONS BUY",CONCATENATE(INDEX([1]AB4!G:G,MATCH(A75,[1]AB4!B:B,0)),[1]AB5!J174,INDEX([1]AB4!H:H,MATCH(A75,[1]AB4!B:B,0)),TEXT(INDEX([1]AB4!I:I,MATCH(A75,[1]AB4!B:B,0)),"0.00%"))))))</f>
        <v>OPT : PRV : 1D 75 Mins HH of Final strike + 10.00%</v>
      </c>
      <c r="K75" s="230"/>
      <c r="L75" s="23">
        <f>IF(C69="","",IF(C74="Futures","",IF(C74="OPTIONS SELL","",IF(C74="OPTIONS BUY",[1]AB5!L180))))</f>
        <v>2</v>
      </c>
      <c r="M75" s="231" t="str">
        <f t="array" ref="M75">IF(C69="","",IF(C74="Futures","",IF(C74="OPTIONS SELL","",IF(C74="OPTIONS BUY",IF(INDEX([1]AB4!N:N,MATCH(A75,[1]AB4!B:B,0))="","",CONCATENATE(INDEX([1]AB4!L:L,MATCH(A75,[1]AB4!B:B,0)),INDEX([1]AB4!M:M,MATCH(A75,[1]AB4!B:B,0)),TEXT(INDEX([1]AB4!N:N,MATCH(A75,[1]AB4!B:B,0)),"0.00%")))))))</f>
        <v>CE : Entry  + 70.00%</v>
      </c>
      <c r="N75" s="23">
        <f>IF(C69="","",IF(C74="Futures","",IF(C74="OPTIONS SELL","",IF(C74="OPTIONS BUY",[1]AB5!N180))))</f>
        <v>1</v>
      </c>
      <c r="O75" s="24" t="str">
        <f>IF($C$69="","",[1]AB5!O180)</f>
        <v>N.A.</v>
      </c>
      <c r="P75" s="23" t="str">
        <f>IF($C$69="","",[1]AB5!P180)</f>
        <v>N.A.</v>
      </c>
      <c r="Q75" s="232" t="str">
        <f>IF($C$69="","",[1]AB5!O180)</f>
        <v>N.A.</v>
      </c>
      <c r="R75" s="24" t="str">
        <f>IF($C$69="","",[1]AB5!P180)</f>
        <v>N.A.</v>
      </c>
      <c r="S75" s="23" t="str">
        <f>IF($C$69="","",[1]AB5!Q180)</f>
        <v>N.A.</v>
      </c>
      <c r="T75" s="24" t="str">
        <f>IF($C$69="","",[1]AB5!R180)</f>
        <v>N.A.</v>
      </c>
      <c r="U75" s="23" t="str">
        <f>IF($C$69="","",[1]AB5!S180)</f>
        <v>N.A.</v>
      </c>
      <c r="V75" s="24" t="str">
        <f>IF($C$69="","",[1]AB5!S180)</f>
        <v>N.A.</v>
      </c>
      <c r="W75" s="23" t="str">
        <f>IF($C$69="","",[1]AB5!T180)</f>
        <v>N.A.</v>
      </c>
      <c r="X75" s="24" t="str">
        <f>IF($C$69="","",[1]AB5!T180)</f>
        <v>N.A.</v>
      </c>
      <c r="Y75" s="23" t="str">
        <f>IF($C$69="","",[1]AB5!U180)</f>
        <v>N.A.</v>
      </c>
      <c r="Z75" s="24" t="str">
        <f>IF($C$69="","",[1]AB5!V180)</f>
        <v>N.A.</v>
      </c>
      <c r="AA75" s="27" t="str">
        <f>IF($C$69="","",[1]AB5!V180)</f>
        <v>N.A.</v>
      </c>
    </row>
    <row r="76" spans="1:27" ht="53.25" customHeight="1" thickBot="1" x14ac:dyDescent="0.25">
      <c r="A76" s="14" t="str">
        <f>IF(C69="","",CONCATENATE(C70,[1]AB5!$A$11))</f>
        <v>S25D</v>
      </c>
      <c r="B76" s="28" t="str">
        <f>IF(C69="","",IF(C74="Futures","",IF(C74="OPTIONS SELL","",[1]AB5!$B$135)))</f>
        <v>No. of TGT</v>
      </c>
      <c r="C76" s="29" t="str">
        <f t="array" ref="C76">IF(C69="","",IF(C74="Futures","",IF(C74="OPTIONS SELL","",IF(C74="OPTIONS BUY",INDEX([1]AB2!K:K,MATCH(C69,[1]AB2!A:A,0))))))</f>
        <v>1 &amp; APS</v>
      </c>
      <c r="D76" s="30"/>
      <c r="E76" s="31"/>
      <c r="F76" s="32"/>
      <c r="G76" s="127"/>
      <c r="H76" s="32"/>
      <c r="I76" s="233" t="str">
        <f>IF(C75="","",IF(C74="Futures","",IF(C74="OPTIONS SELL","",IF(C74="OPTIONS BUY",[1]AB5!$I$177))))</f>
        <v>SL / TRP</v>
      </c>
      <c r="J76" s="234" t="str">
        <f t="array" ref="J76">IF(C69="","",IF(C74="Futures","",IF(C74="OPTIONS SELL","",IF(C74="OPTIONS BUY",IF(INDEX([1]AB4!AL:AL,MATCH(A75,[1]AB4!B:B,0))="","",CONCATENATE(INDEX([1]AB4!AA:AA,MATCH(A75,[1]AB4!B:B,0))," ( ",INDEX([1]AB4!AE:AE,MATCH(A75,[1]AB4!B:B,0)),INDEX([1]AB4!AF:AF,MATCH(A75,[1]AB4!B:B,0)),TEXT(INDEX([1]AB4!AG:AG,MATCH(A75,[1]AB4!B:B,0)),"0.00%")," &amp; ",INDEX([1]AB4!AK:AK,MATCH(A75,[1]AB4!B:B,0)),[1]AB5!J177,INDEX([1]AB4!AJ:AJ,MATCH(A75,[1]AB4!B:B,0)),TEXT(INDEX([1]AB4!AL:AL,MATCH(A75,[1]AB4!B:B,0)),"0.00%")," )"))))))</f>
        <v>Max ( CE : Entry  - 70.00% &amp; OPT : PRV : 1D 75 MinsLL of Final strike - 10.00% )</v>
      </c>
      <c r="K76" s="187"/>
      <c r="L76" s="235">
        <f>IF(C69="","",IF(C74="Futures","",IF(C74="OPTIONS SELL","",IF(C74="OPTIONS BUY",[1]AB5!L183))))</f>
        <v>2</v>
      </c>
      <c r="M76" s="236" t="str">
        <f t="array" ref="M76">IF(C69="","",IF(C74="Futures","",IF(C74="OPTIONS SELL","",IF(C74="OPTIONS BUY",IF(INDEX([1]AB4!AO:AO,MATCH(A78,[1]AB4!B:B,0))="","",CONCATENATE(INDEX([1]AB4!AA:AA,MATCH(A78,[1]AB4!B:B,0))," ( ",INDEX([1]AB4!AE:AE,MATCH(A78,[1]AB4!B:B,0))," &amp; ",INDEX([1]AB4!AN:AN,MATCH(A78,[1]AB4!B:B,0)),[1]AB5!M178,INDEX([1]AB4!AJ:AJ,MATCH(A78,[1]AB4!B:B,0)),TEXT(INDEX([1]AB4!AO:AO,MATCH(A78,[1]AB4!B:B,0)),"0.00%")," )"))))))</f>
        <v/>
      </c>
      <c r="N76" s="237">
        <f>IF(C75="","",IF(C74="Futures","",IF(C74="OPTIONS SELL","",IF(C74="OPTIONS BUY",[1]AB5!N181))))</f>
        <v>1</v>
      </c>
      <c r="O76" s="33" t="str">
        <f>IF($C$69="","",[1]AB5!O181)</f>
        <v>N.A.</v>
      </c>
      <c r="P76" s="23" t="str">
        <f>IF($C$69="","",[1]AB5!P181)</f>
        <v>N.A.</v>
      </c>
      <c r="Q76" s="232" t="str">
        <f>IF($C$70="","",[1]AB5!O181)</f>
        <v>N.A.</v>
      </c>
      <c r="R76" s="33" t="str">
        <f>IF($C$70="","",[1]AB5!O180)</f>
        <v>N.A.</v>
      </c>
      <c r="S76" s="36" t="str">
        <f>IF($C$70="","",[1]AB5!Q181)</f>
        <v>N.A.</v>
      </c>
      <c r="T76" s="33" t="str">
        <f>IF($C$69="","",[1]AB5!R181)</f>
        <v>N.A.</v>
      </c>
      <c r="U76" s="36" t="str">
        <f>IF($C$69="","",[1]AB5!S181)</f>
        <v>N.A.</v>
      </c>
      <c r="V76" s="33" t="str">
        <f>IF($C$69="","",[1]AB5!S181)</f>
        <v>N.A.</v>
      </c>
      <c r="W76" s="36" t="str">
        <f>IF($C$69="","",[1]AB5!T181)</f>
        <v>N.A.</v>
      </c>
      <c r="X76" s="33" t="str">
        <f>IF($C$69="","",[1]AB5!T181)</f>
        <v>N.A.</v>
      </c>
      <c r="Y76" s="36" t="str">
        <f>IF($C$69="","",[1]AB5!U181)</f>
        <v>N.A.</v>
      </c>
      <c r="Z76" s="39" t="str">
        <f>IF($C$69="","",[1]AB5!V181)</f>
        <v>N.A.</v>
      </c>
      <c r="AA76" s="238" t="str">
        <f>IF($C$69="","",[1]AB5!V181)</f>
        <v>N.A.</v>
      </c>
    </row>
    <row r="77" spans="1:27" ht="9" customHeight="1" thickBot="1" x14ac:dyDescent="0.25">
      <c r="A77" s="14" t="e">
        <f>IF(C69="","",CONCATENATE(C70,#REF!))</f>
        <v>#REF!</v>
      </c>
      <c r="B77" s="249" t="str">
        <f>IF(C69="","",[1]AB5!$B$136)</f>
        <v xml:space="preserve">I Commit To Follow The Rules &amp; Process
</v>
      </c>
      <c r="C77" s="55"/>
      <c r="D77" s="30"/>
      <c r="E77" s="31"/>
      <c r="F77" s="43"/>
      <c r="G77" s="44"/>
      <c r="H77" s="44"/>
      <c r="I77" s="239"/>
      <c r="J77" s="185"/>
      <c r="K77" s="185"/>
      <c r="L77" s="44"/>
      <c r="M77" s="44"/>
      <c r="N77" s="44"/>
      <c r="O77" s="44"/>
      <c r="P77" s="44"/>
      <c r="Q77" s="232" t="str">
        <f>IF(C77="","",[1]AB5!O182)</f>
        <v/>
      </c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spans="1:27" ht="53.25" customHeight="1" thickBot="1" x14ac:dyDescent="0.25">
      <c r="A78" s="14" t="str">
        <f>IF(C69="","",CONCATENATE(C70,[1]AB5!$A$13))</f>
        <v>S25E</v>
      </c>
      <c r="B78" s="30"/>
      <c r="C78" s="31"/>
      <c r="D78" s="30"/>
      <c r="E78" s="31"/>
      <c r="F78" s="48" t="str">
        <f>IF(C75="","",IF(C74="Futures","",IF(C74="OPTIONS SELL","",IF(C74="OPTIONS BUY",[1]AB5!$D$180))))</f>
        <v>Put</v>
      </c>
      <c r="G78" s="226" t="str">
        <f t="array" ref="G78">IF(C75="","",IF(C74="Futures","",IF(C74="OPTIONS SELL","",IF(C74="OPTIONS BUY",CONCATENATE("( ",INDEX([1]AB4!BP:BP,MATCH(A78,[1]AB4!B:B,0))," ",INDEX([1]AB4!BQ:BQ,MATCH(A78,[1]AB4!B:B,0)),") &amp; ",INDEX([1]AB4!BS:BS,MATCH(A78,[1]AB4!B:B,0)))))))</f>
        <v>( SPT : PRV : 1D 75 Mins LL -) &amp; Round Up</v>
      </c>
      <c r="H78" s="241" t="str">
        <f>IF(C75="","",IF(C74="Futures","",IF(C74="OPTIONS SELL","",IF(C74="OPTIONS BUY",[1]AB5!H180))))</f>
        <v>Put</v>
      </c>
      <c r="I78" s="242" t="str">
        <f>IF(C69="","",IF(C74="Futures","",IF(C74="OPTIONS SELL","",IF(C74="OPTIONS BUY",[1]AB5!I180))))</f>
        <v>E &amp; T</v>
      </c>
      <c r="J78" s="243" t="str">
        <f t="array" ref="J78">IF(C69="","",IF(C74="Futures","",IF(C74="OPTIONS SELL","",IF(C74="OPTIONS BUY",CONCATENATE(INDEX([1]AB4!G:G,MATCH(A78,[1]AB4!B:B,0)),[1]AB5!J174,INDEX([1]AB4!H:H,MATCH(A78,[1]AB4!B:B,0)),TEXT(INDEX([1]AB4!I:I,MATCH(A78,[1]AB4!B:B,0)),"0.00%"))))))</f>
        <v>OPT : PRV : 1D 75 Mins HH of Final strike + 10.00%</v>
      </c>
      <c r="K78" s="230"/>
      <c r="L78" s="244">
        <f>IF(C75="","",IF(C74="Futures","",IF(C74="OPTIONS SELL","",IF(C74="OPTIONS BUY",[1]AB5!L180))))</f>
        <v>2</v>
      </c>
      <c r="M78" s="245" t="str">
        <f t="array" ref="M78">IF(C69="","",IF(C74="Futures","",IF(C74="OPTIONS SELL","",IF(C74="OPTIONS BUY",IF(INDEX([1]AB4!N:N,MATCH(A78,[1]AB4!B:B,0))="","",CONCATENATE(INDEX([1]AB4!L:L,MATCH(A78,[1]AB4!B:B,0)),INDEX([1]AB4!M:M,MATCH(A78,[1]AB4!B:B,0)),TEXT(INDEX([1]AB4!N:N,MATCH(A78,[1]AB4!B:B,0)),"0.00%")))))))</f>
        <v>PE : Entry  + 70.00%</v>
      </c>
      <c r="N78" s="232">
        <f>IF(C75="","",IF(C74="Futures","",IF(C74="OPTIONS SELL","",IF(C74="OPTIONS BUY",[1]AB5!N183))))</f>
        <v>1</v>
      </c>
      <c r="O78" s="24" t="str">
        <f>IF($C$69="","",[1]AB5!O183)</f>
        <v>N.A.</v>
      </c>
      <c r="P78" s="23" t="str">
        <f>IF($C$69="","",[1]AB5!P183)</f>
        <v>N.A.</v>
      </c>
      <c r="Q78" s="232" t="str">
        <f>IF($C$69="","",[1]AB5!O183)</f>
        <v>N.A.</v>
      </c>
      <c r="R78" s="24" t="str">
        <f>IF($C$69="","",[1]AB5!P183)</f>
        <v>N.A.</v>
      </c>
      <c r="S78" s="23" t="str">
        <f>IF($C$69="","",[1]AB5!Q183)</f>
        <v>N.A.</v>
      </c>
      <c r="T78" s="24" t="str">
        <f>IF($C$69="","",[1]AB5!R183)</f>
        <v>N.A.</v>
      </c>
      <c r="U78" s="23" t="str">
        <f>IF($C$69="","",[1]AB5!S183)</f>
        <v>N.A.</v>
      </c>
      <c r="V78" s="24" t="str">
        <f>IF($C$69="","",[1]AB5!S183)</f>
        <v>N.A.</v>
      </c>
      <c r="W78" s="23" t="str">
        <f>IF($C$69="","",[1]AB5!T183)</f>
        <v>N.A.</v>
      </c>
      <c r="X78" s="24" t="str">
        <f>IF($C$69="","",[1]AB5!T183)</f>
        <v>N.A.</v>
      </c>
      <c r="Y78" s="23" t="str">
        <f>IF($C$69="","",[1]AB5!U183)</f>
        <v>N.A.</v>
      </c>
      <c r="Z78" s="24" t="str">
        <f>IF($C$69="","",[1]AB5!V183)</f>
        <v>N.A.</v>
      </c>
      <c r="AA78" s="27" t="str">
        <f>IF($C$69="","",[1]AB5!V183)</f>
        <v>N.A.</v>
      </c>
    </row>
    <row r="79" spans="1:27" ht="53.25" customHeight="1" thickBot="1" x14ac:dyDescent="0.25">
      <c r="A79" s="14" t="str">
        <f>IF(C69="","",CONCATENATE(C70,[1]AB5!$A$14))</f>
        <v>S25E</v>
      </c>
      <c r="B79" s="32"/>
      <c r="C79" s="51"/>
      <c r="D79" s="32"/>
      <c r="E79" s="51"/>
      <c r="F79" s="32"/>
      <c r="G79" s="127"/>
      <c r="H79" s="32"/>
      <c r="I79" s="246" t="str">
        <f>IF(C75="","",IF(C74="Futures","",IF(C74="OPTIONS SELL","",IF(C74="OPTIONS BUY",[1]AB5!I183))))</f>
        <v>SL / TRP</v>
      </c>
      <c r="J79" s="247" t="str">
        <f t="array" ref="J79">IF(C69="","",IF(C74="Futures","",IF(C74="OPTIONS SELL","",IF(C74="OPTIONS BUY",IF(INDEX([1]AB4!AL:AL,MATCH(A78,[1]AB4!B:B,0))="","",CONCATENATE(INDEX([1]AB4!AA:AA,MATCH(A78,[1]AB4!B:B,0))," ( ",INDEX([1]AB4!AE:AE,MATCH(A78,[1]AB4!B:B,0)),INDEX([1]AB4!AF:AF,MATCH(A78,[1]AB4!B:B,0)),TEXT(INDEX([1]AB4!AG:AG,MATCH(A78,[1]AB4!B:B,0)),"0.00%")," &amp; ",INDEX([1]AB4!AK:AK,MATCH(A78,[1]AB4!B:B,0)),[1]AB5!J177,INDEX([1]AB4!AJ:AJ,MATCH(A78,[1]AB4!B:B,0)),TEXT(INDEX([1]AB4!AL:AL,MATCH(A78,[1]AB4!B:B,0)),"0.00%")," )"))))))</f>
        <v>Max ( PE : Entry  - 70.00% &amp; OPT : PRV : 1D 75 MinsLL of Final strike - 10.00% )</v>
      </c>
      <c r="K79" s="187"/>
      <c r="L79" s="36">
        <f>IF(C69="","",IF(C74="Futures","",IF(C74="OPTIONS SELL","",IF(C74="OPTIONS BUY",[1]AB5!L183))))</f>
        <v>2</v>
      </c>
      <c r="M79" s="248" t="str">
        <f t="array" ref="M79">IF(C69="","",IF(C74="Futures","",IF(C74="OPTIONS SELL","",IF(C74="OPTIONS BUY",IF(INDEX([1]AB4!AO:AO,MATCH(A78,[1]AB4!B:B,0))="","",CONCATENATE(INDEX([1]AB4!AA:AA,MATCH(A78,[1]AB4!B:B,0))," ( ",INDEX([1]AB4!AE:AE,MATCH(A78,[1]AB4!B:B,0))," &amp; ",INDEX([1]AB4!AN:AN,MATCH(A78,[1]AB4!B:B,0)),[1]AB5!M178,INDEX([1]AB4!AJ:AJ,MATCH(A78,[1]AB4!B:B,0)),TEXT(INDEX([1]AB4!AO:AO,MATCH(A78,[1]AB4!B:B,0)),"0.00%")," )"))))))</f>
        <v/>
      </c>
      <c r="N79" s="36">
        <f>IF(C69="","",IF(C74="Futures","",IF(C74="OPTIONS SELL","",IF(C74="OPTIONS BUY",[1]AB5!N184))))</f>
        <v>1</v>
      </c>
      <c r="O79" s="33" t="str">
        <f>IF($C$69="","",[1]AB5!O184)</f>
        <v>N.A.</v>
      </c>
      <c r="P79" s="23" t="str">
        <f>IF($C$69="","",[1]AB5!P184)</f>
        <v>N.A.</v>
      </c>
      <c r="Q79" s="232" t="str">
        <f>IF($C$70="","",[1]AB5!O184)</f>
        <v>N.A.</v>
      </c>
      <c r="R79" s="33" t="str">
        <f>IF($C$70="","",[1]AB5!O183)</f>
        <v>N.A.</v>
      </c>
      <c r="S79" s="36" t="str">
        <f>IF($C$70="","",[1]AB5!Q184)</f>
        <v>N.A.</v>
      </c>
      <c r="T79" s="33" t="str">
        <f>IF($C$69="","",[1]AB5!R184)</f>
        <v>N.A.</v>
      </c>
      <c r="U79" s="36" t="str">
        <f>IF($C$69="","",[1]AB5!S184)</f>
        <v>N.A.</v>
      </c>
      <c r="V79" s="33" t="str">
        <f>IF($C$69="","",[1]AB5!S184)</f>
        <v>N.A.</v>
      </c>
      <c r="W79" s="36" t="str">
        <f>IF($C$69="","",[1]AB5!T184)</f>
        <v>N.A.</v>
      </c>
      <c r="X79" s="33" t="str">
        <f>IF($C$69="","",[1]AB5!T184)</f>
        <v>N.A.</v>
      </c>
      <c r="Y79" s="36" t="str">
        <f>IF($C$69="","",[1]AB5!U184)</f>
        <v>N.A.</v>
      </c>
      <c r="Z79" s="39" t="str">
        <f>IF($C$69="","",[1]AB5!V184)</f>
        <v>N.A.</v>
      </c>
      <c r="AA79" s="238" t="str">
        <f>IF($C$69="","",[1]AB5!V184)</f>
        <v>N.A.</v>
      </c>
    </row>
    <row r="80" spans="1:27" ht="12.75" customHeight="1" thickBot="1" x14ac:dyDescent="0.25">
      <c r="A80" s="14"/>
      <c r="B80" s="52"/>
      <c r="C80" s="52"/>
      <c r="D80" s="52"/>
      <c r="E80" s="52"/>
      <c r="F80" s="52"/>
      <c r="G80" s="52"/>
      <c r="H80" s="52"/>
      <c r="I80" s="52"/>
      <c r="J80" s="52"/>
      <c r="K80" s="14"/>
      <c r="L80" s="56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14"/>
    </row>
    <row r="81" spans="1:27" ht="53.25" customHeight="1" thickBot="1" x14ac:dyDescent="0.25">
      <c r="A81" s="14"/>
      <c r="B81" s="58" t="str">
        <f>IF(C69="","",IF(C74="Futures","",IF(C74="OPTIONS SELL","",IF(C74="OPTIONS BUY",[1]AB5!$B$140))))</f>
        <v>For Entry</v>
      </c>
      <c r="C81" s="59"/>
      <c r="D81" s="60" t="str">
        <f>IF(C69="","",IF(C74="Futures","",IF(C74="OPTIONS SELL","",IF(C74="OPTIONS BUY",[1]AB5!$D$140))))</f>
        <v>Gap Check</v>
      </c>
      <c r="E81" s="61" t="str">
        <f>IF(C69="","",IF(C74="Futures","",IF(C74="OPTIONS SELL","",IF(C74="OPTIONS BUY",[1]AB5!$E$140))))</f>
        <v>Process</v>
      </c>
      <c r="F81" s="62"/>
      <c r="G81" s="63" t="str">
        <f>IF(C69="","",IF(C74="Futures","",IF(C74="OPTIONS SELL","",IF(C74="OPTIONS BUY",[1]AB5!$G$140))))</f>
        <v>Yes / No</v>
      </c>
      <c r="H81" s="64" t="str">
        <f>IF(C69="","",IF(C74="Futures","",IF(C74="OPTIONS SELL","",IF(C74="OPTIONS BUY",[1]AB5!$H$140))))</f>
        <v>Order Status</v>
      </c>
      <c r="I81" s="65" t="str">
        <f>IF(C69="","",IF(C74="Futures","",IF(C74="OPTIONS SELL","",IF(C74="OPTIONS BUY",[1]AB5!$I$140))))</f>
        <v>Step 1</v>
      </c>
      <c r="J81" s="66" t="str">
        <f>IF(C69="","",IF(C74="Futures","",IF(C74="OPTIONS SELL","",IF(C74="OPTIONS BUY",[1]AB5!$J$140))))</f>
        <v>Order Placement Timings</v>
      </c>
      <c r="K81" s="62"/>
      <c r="L81" s="67" t="str">
        <f>IF(C69="","",IF(C74="Futures","",IF(C74="OPTIONS SELL","",IF(C74="OPTIONS BUY",[1]AB5!$L$140))))</f>
        <v>Time</v>
      </c>
      <c r="M81" s="69" t="str">
        <f>IF(C69="","",IF(C74="Futures","",IF(C74="OPTIONS SELL","",IF(C74="OPTIONS BUY",[1]AB5!$M$186))))</f>
        <v>Rules For Gap = Final Strike</v>
      </c>
      <c r="N81" s="62"/>
      <c r="O81" s="62"/>
      <c r="P81" s="66" t="str">
        <f>IF(C69="","",IF(C74="Futures","",IF(C74="OPTIONS SELL","",IF(C74="OPTIONS BUY",[1]AB5!$P$140))))</f>
        <v>Last Choice Strike</v>
      </c>
      <c r="Q81" s="62"/>
      <c r="R81" s="62"/>
      <c r="S81" s="68" t="str">
        <f>IF(C69="","",IF(C74="Futures","",IF(C74="OPTIONS SELL","",IF(C74="OPTIONS BUY",[1]AB5!$S$140))))</f>
        <v>Data</v>
      </c>
      <c r="T81" s="69" t="str">
        <f>IF(C69="","",IF(C74="Futures","",IF(C74="OPTIONS SELL","",IF(C74="OPTIONS BUY",[1]AB5!$T$140))))</f>
        <v xml:space="preserve"> Ideal Premium</v>
      </c>
      <c r="U81" s="62"/>
      <c r="V81" s="65" t="str">
        <f>IF(C69="","",IF(C74="Futures","",IF(C74="OPTIONS SELL","",IF(C74="OPTIONS BUY",[1]AB5!$V$140))))</f>
        <v>Minimum Premium</v>
      </c>
      <c r="W81" s="64" t="str">
        <f>IF(C69="","",IF(C74="Futures","",IF(C74="OPTIONS SELL","",IF(C74="OPTIONS BUY",[1]AB5!$W$140))))</f>
        <v>Minimum OI</v>
      </c>
      <c r="X81" s="70" t="str">
        <f>IF(C69="","",IF(C74="Futures","",IF(C74="OPTIONS SELL","",IF(C74="OPTIONS BUY",[1]AB5!$X$140))))</f>
        <v>Rules For Gap = Step 3 Revised Option Entry</v>
      </c>
      <c r="Y81" s="62"/>
      <c r="Z81" s="65" t="str">
        <f>IF(C69="","",IF(C74="Futures","",IF(C74="OPTIONS SELL","",IF(C74="OPTIONS BUY",[1]AB5!$Z$140,#REF!))))</f>
        <v>Data</v>
      </c>
      <c r="AA81" s="71" t="str">
        <f>IF(C69="","",IF(C74="Futures","",IF(C74="OPTIONS SELL","",IF(C74="OPTIONS BUY",[1]AB5!$AA$140))))</f>
        <v>Buffer</v>
      </c>
    </row>
    <row r="82" spans="1:27" ht="53.25" customHeight="1" x14ac:dyDescent="0.2">
      <c r="A82" s="14" t="str">
        <f>IF(C69="","",CONCATENATE(C70,[1]AB5!$A$4))</f>
        <v>S25A</v>
      </c>
      <c r="B82" s="72" t="str">
        <f>IF(C69="","",IF(C74="Futures","",IF(C74="OPTIONS SELL","",IF(C74="OPTIONS BUY",[1]AB5!$B$141))))</f>
        <v xml:space="preserve">ORPT </v>
      </c>
      <c r="C82" s="73" t="str">
        <f>IF(C69="","",IF(C74="Futures","",IF(C74="OPTIONS SELL","",IF(C74="OPTIONS BUY",[1]AB5!$C$141))))</f>
        <v xml:space="preserve"> RC. Time</v>
      </c>
      <c r="D82" s="17" t="str">
        <f>IF(C69="","",IF(C74="Futures","",IF(C74="OPTIONS SELL","",IF(C74="OPTIONS BUY",[1]AB5!$D$141))))</f>
        <v>For Call Buy Entry</v>
      </c>
      <c r="E82" s="74" t="str">
        <f>IF(C69="","",IF(C74="Futures","",IF(C74="OPTIONS SELL","",IF(C74="OPTIONS BUY",CONCATENATE([1]AB5!$E$141,TEXT(B83,"HH:MM:SS AM/PM"),[1]AB5!$F$141)))))</f>
        <v>Check If 09:24:59 AM HH &gt; Call Buy Entry</v>
      </c>
      <c r="F82" s="75"/>
      <c r="G82" s="76" t="str">
        <f>IF(C69="","",IF(C74="Futures","",IF(C74="OPTIONS SELL","",IF(C74="OPTIONS BUY",[1]AB5!$G$141))))</f>
        <v>No</v>
      </c>
      <c r="H82" s="77" t="str">
        <f>IF(C69="","",IF(C74="Futures","",IF(C74="OPTIONS SELL","",IF(C74="OPTIONS BUY",[1]AB5!$H$141))))</f>
        <v>Entry Not Missed</v>
      </c>
      <c r="I82" s="78" t="str">
        <f>IF(C69="","",IF(C74="Futures","",IF(C74="OPTIONS SELL","",IF(C74="OPTIONS BUY",[1]AB5!$I$141))))</f>
        <v>Place the Order at ORPT</v>
      </c>
      <c r="J82" s="79" t="str">
        <f>IF(C69="","",IF(C74="Futures","",IF(C74="OPTIONS SELL","",IF(C74="OPTIONS BUY",[1]AB5!$J$141))))</f>
        <v>ORPT Time</v>
      </c>
      <c r="K82" s="26"/>
      <c r="L82" s="80">
        <f>IF(C69="","",IF(C74="Futures","",IF(C74="OPTIONS SELL","",IF(C74="OPTIONS BUY",B83))))</f>
        <v>0.39235416666666667</v>
      </c>
      <c r="M82" s="250" t="str">
        <f>IF(C69="","",IF(C74="Futures","",IF(C74="OPTIONS SELL","",IF(C74="OPTIONS BUY",[1]AB5!$M$187))))</f>
        <v>N.A.</v>
      </c>
      <c r="N82" s="84"/>
      <c r="O82" s="26"/>
      <c r="P82" s="83" t="str">
        <f>IF(C69="","",IF(C74="Futures","",IF(C74="OPTIONS SELL","",IF(C74="OPTIONS BUY",[1]AB5!$P$187))))</f>
        <v>N.A.</v>
      </c>
      <c r="Q82" s="84"/>
      <c r="R82" s="26"/>
      <c r="S82" s="85" t="str">
        <f>IF(C69="","",IF(C74="Futures","",IF(C74="OPTIONS SELL","",IF(C74="OPTIONS BUY",[1]AB5!$S$141))))</f>
        <v>N.A.</v>
      </c>
      <c r="T82" s="86" t="str">
        <f>IF(C69="","",IF(C74="Futures","",IF(C74="OPTIONS SELL","",IF(C74="OPTIONS BUY",[1]AB5!$T$187))))</f>
        <v>N.A.</v>
      </c>
      <c r="U82" s="26"/>
      <c r="V82" s="87" t="str">
        <f>IF(C69="","",IF(C74="Futures","",IF(C74="OPTIONS SELL","",IF(C74="OPTIONS BUY",[1]AB5!$V$187))))</f>
        <v>N.A.</v>
      </c>
      <c r="W82" s="87" t="str">
        <f>IF(C69="","",IF(C74="Futures","",IF(C74="OPTIONS SELL","",IF(C74="OPTIONS BUY",[1]AB5!$W$187))))</f>
        <v>N.A.</v>
      </c>
      <c r="X82" s="79" t="str">
        <f>IF(C69="","",IF(C74="Futures","",IF(C74="OPTIONS SELL","",IF(C74="OPTIONS BUY",[1]AB5!$X$187))))</f>
        <v>N.A.</v>
      </c>
      <c r="Y82" s="26"/>
      <c r="Z82" s="85" t="str">
        <f>IF(C69="","",IF(C74="Futures","",IF(C74="OPTIONS SELL","",IF(C74="OPTIONS BUY",[1]AB5!$Z$141))))</f>
        <v>N.A.</v>
      </c>
      <c r="AA82" s="88">
        <f>IF(C69="","",IF(C74="Futures","",IF(C74="OPTIONS SELL","",IF(C74="OPTIONS BUY",[1]AB5!$AA$188))))</f>
        <v>0.1</v>
      </c>
    </row>
    <row r="83" spans="1:27" ht="59.25" customHeight="1" x14ac:dyDescent="0.2">
      <c r="A83" s="14" t="str">
        <f>IF(C69="","",CONCATENATE(C70,[1]AB5!$A$7))</f>
        <v>S25B</v>
      </c>
      <c r="B83" s="89">
        <f t="array" ref="B83">IF(C69="","",IF(C74="Futures","",IF(C74="OPTIONS SELL","",IF(C74="OPTIONS BUY",INDEX([1]AB4!BE:BE,MATCH(A82,[1]AB4!B:B,0))))))</f>
        <v>0.39235416666666667</v>
      </c>
      <c r="C83" s="90">
        <f t="array" ref="C83">IF(C69="","",IF(C74="Futures","",IF(C74="OPTIONS SELL","",IF(C74="OPTIONS BUY",INDEX([1]AB4!BE:BE,MATCH(A83,[1]AB4!B:B,0))))))</f>
        <v>0.39582638888888888</v>
      </c>
      <c r="D83" s="30"/>
      <c r="E83" s="91"/>
      <c r="F83" s="92"/>
      <c r="G83" s="93" t="str">
        <f>IF(C69="","",IF(C74="Futures","",IF(C74="OPTIONS SELL","",IF(C74="OPTIONS BUY",[1]AB5!$G$142))))</f>
        <v>Yes</v>
      </c>
      <c r="H83" s="94" t="str">
        <f>IF(C69="","",IF(C74="Futures","",IF(C74="OPTIONS SELL","",IF(C74="OPTIONS BUY",[1]AB5!$H$142))))</f>
        <v>Entry Missed</v>
      </c>
      <c r="I83" s="95" t="str">
        <f>IF(C69="","",IF(C74="Futures","",IF(C74="OPTIONS SELL","",IF(C74="OPTIONS BUY",[1]AB5!$I$142))))</f>
        <v>Recalcuate : Call Buy Entry : Bull / Bull CF</v>
      </c>
      <c r="J83" s="96" t="str">
        <f>IF(C69="","",IF(C74="Futures","",IF(C74="OPTIONS SELL","",IF(C74="OPTIONS BUY",[1]AB5!$J$142))))</f>
        <v>Wait Till Recalculation Time</v>
      </c>
      <c r="K83" s="97"/>
      <c r="L83" s="98">
        <f>IF(C69="","",IF(C74="Futures","",IF(C74="OPTIONS SELL","",IF(C74="OPTIONS BUY",C83))))</f>
        <v>0.39582638888888888</v>
      </c>
      <c r="M83" s="96" t="str">
        <f t="array" ref="M83">IF(C69="","",IF(C74="Futures","",IF(C74="OPTIONS SELL","",IF(C74="OPTIONS BUY",CONCATENATE([1]AB5!$M$188, "( ",INDEX([1]AB4!BP:BP,MATCH(A69,[1]AB4!B:B,0))," &amp; ",S83," ) &amp; ",INDEX([1]AB4!BS:BS,MATCH(A69,[1]AB4!B:B,0)))))))</f>
        <v>Max of ( SPT : PRV : 1D 75 Mins HH &amp; 09:29:59 AM HH ) &amp; Round Down</v>
      </c>
      <c r="N83" s="100"/>
      <c r="O83" s="97"/>
      <c r="P83" s="251" t="str">
        <f>IF(C69="","",IF(C74="Futures","",IF(C74="OPTIONS SELL","",IF(C74="OPTIONS BUY",[1]AB5!$P$188))))</f>
        <v>N.A.</v>
      </c>
      <c r="Q83" s="100"/>
      <c r="R83" s="97"/>
      <c r="S83" s="99" t="str">
        <f>IF(C69="","",IF(C74="Futures","",IF(C74="OPTIONS SELL","",IF(C74="OPTIONS BUY",CONCATENATE(TEXT(L83,"HH:MM:SS AM/PM"),[1]AB5!$S$188)))))</f>
        <v>09:29:59 AM HH</v>
      </c>
      <c r="T83" s="251" t="str">
        <f>IF(C69="","",IF(C74="Futures","",IF(C74="OPTIONS SELL","",IF(C74="OPTIONS BUY",[1]AB5!$T$188))))</f>
        <v>N.A.</v>
      </c>
      <c r="U83" s="97"/>
      <c r="V83" s="252" t="str">
        <f>IF(C69="","",IF(C74="Futures","",IF(C74="OPTIONS SELL","",IF(C74="OPTIONS BUY",[1]AB5!$V$188))))</f>
        <v>N.A.</v>
      </c>
      <c r="W83" s="252" t="str">
        <f>IF(C69="","",IF(C74="Futures","",IF(C74="OPTIONS SELL","",IF(C74="OPTIONS BUY",[1]AB5!$W$188))))</f>
        <v>N.A.</v>
      </c>
      <c r="X83" s="96" t="str">
        <f t="array" ref="X83">IF(C69="","",IF(C74="Futures","",IF(C74="OPTIONS SELL","",IF(C74="OPTIONS BUY",CONCATENATE([1]AB5!$X$188,"( ",INDEX([1]AB4!G:G,MATCH(A69,[1]AB4!B:B,0))," &amp; ",Z83," ) ",INDEX([1]AB4!H:H,MATCH(A69,[1]AB4!B:B,0))," ",AA83)))))</f>
        <v>Max of ( OPT : PRV : 1D 75 Mins HH &amp; 09:29:59 AM HH )  +  10.00%</v>
      </c>
      <c r="Y83" s="97"/>
      <c r="Z83" s="101" t="str">
        <f>IF(C69="","",IF(C74="Futures","",IF(C74="OPTIONS SELL","",IF(C74="OPTIONS BUY",CONCATENATE(TEXT(L83,"HH:MM:SS AM/PM"),[1]AB5!$Z$188)))))</f>
        <v>09:29:59 AM HH</v>
      </c>
      <c r="AA83" s="102" t="str">
        <f t="array" ref="AA83">IF(A69="","",IF(C74="Futures","",IF(C74="OPTIONS SELL","",IF(C74="OPTIONS BUY",TEXT(INDEX([1]AB4!BK:BK,MATCH(A69,[1]AB4!B:B,0)),"0.00%")))))</f>
        <v>10.00%</v>
      </c>
    </row>
    <row r="84" spans="1:27" ht="60.75" customHeight="1" thickBot="1" x14ac:dyDescent="0.25">
      <c r="A84" s="14"/>
      <c r="B84" s="103"/>
      <c r="C84" s="104"/>
      <c r="D84" s="105"/>
      <c r="E84" s="11"/>
      <c r="F84" s="12"/>
      <c r="G84" s="13"/>
      <c r="H84" s="13"/>
      <c r="I84" s="95" t="str">
        <f>IF(C69="","",IF(C74="Futures","",IF(C74="OPTIONS SELL","",IF(C74="OPTIONS BUY",[1]AB5!$I$143))))</f>
        <v>Recalcuate : Call Buy Entry : Bear / Bear CF</v>
      </c>
      <c r="J84" s="96" t="str">
        <f>IF(C69="","",IF(C74="Futures","",IF(C74="OPTIONS SELL","",IF(C74="OPTIONS BUY",[1]AB5!$J$143))))</f>
        <v>Wait Till Recalculation Time</v>
      </c>
      <c r="K84" s="97"/>
      <c r="L84" s="98">
        <f>IF(C69="","",IF(C74="Futures","",IF(C74="OPTIONS SELL","",IF(C74="OPTIONS BUY",C83))))</f>
        <v>0.39582638888888888</v>
      </c>
      <c r="M84" s="96" t="str">
        <f t="array" ref="M84">IF(C69="","",IF(C74="Futures","",IF(C74="OPTIONS SELL","",IF(C74="OPTIONS BUY",CONCATENATE([1]AB5!$M$188, "( ",INDEX([1]AB4!BP:BP,MATCH(A69,[1]AB4!B:B,0))," &amp; ",S84," ) &amp; ",INDEX([1]AB4!BS:BS,MATCH(A69,[1]AB4!B:B,0)))))))</f>
        <v>Max of ( SPT : PRV : 1D 75 Mins HH &amp; 09:29:59 AM HH ) &amp; Round Down</v>
      </c>
      <c r="N84" s="100"/>
      <c r="O84" s="97"/>
      <c r="P84" s="251" t="str">
        <f>IF(C69="","",IF(C74="Futures","",IF(C74="OPTIONS SELL","",IF(C74="OPTIONS BUY",[1]AB5!$P$189))))</f>
        <v>N.A.</v>
      </c>
      <c r="Q84" s="100"/>
      <c r="R84" s="97"/>
      <c r="S84" s="99" t="str">
        <f>IF(C69="","",IF(C74="Futures","",IF(C74="OPTIONS SELL","",IF(C74="OPTIONS BUY",CONCATENATE(TEXT(L83,"HH:MM:SS AM/PM"),[1]AB5!$S$189)))))</f>
        <v>09:29:59 AM HH</v>
      </c>
      <c r="T84" s="251" t="str">
        <f>IF(C69="","",IF(C74="Futures","",IF(C74="OPTIONS SELL","",IF(C74="OPTIONS BUY",[1]AB5!$T$189))))</f>
        <v>N.A.</v>
      </c>
      <c r="U84" s="97"/>
      <c r="V84" s="252" t="str">
        <f>IF(C69="","",IF(C74="Futures","",IF(C74="OPTIONS SELL","",IF(C74="OPTIONS BUY",[1]AB5!$V$189))))</f>
        <v>N.A.</v>
      </c>
      <c r="W84" s="252" t="str">
        <f>IF(C69="","",IF(C74="Futures","",IF(C74="OPTIONS SELL","",IF(C74="OPTIONS BUY",[1]AB5!$W$189))))</f>
        <v>N.A.</v>
      </c>
      <c r="X84" s="96" t="str">
        <f t="array" ref="X84">IF(C69="","",IF(C74="Futures","",IF(C74="OPTIONS SELL","",IF(C74="OPTIONS BUY",CONCATENATE([1]AB5!$X$189,"( ",INDEX([1]AB4!G:G,MATCH(A69,[1]AB4!B:B,0))," &amp; ",Z84," ) ",INDEX([1]AB4!H:H,MATCH(A69,[1]AB4!B:B,0))," ",AA83)))))</f>
        <v>Max of ( OPT : PRV : 1D 75 Mins HH &amp; 09:29:59 AM HH )  +  10.00%</v>
      </c>
      <c r="Y84" s="97"/>
      <c r="Z84" s="101" t="str">
        <f>IF(C69="","",IF(C74="Futures","",IF(C74="OPTIONS SELL","",IF(C74="OPTIONS BUY",CONCATENATE(TEXT(L83,"HH:MM:SS AM/PM"),[1]AB5!$Z$189)))))</f>
        <v>09:29:59 AM HH</v>
      </c>
      <c r="AA84" s="102" t="str">
        <f t="array" ref="AA84">IF(A69="","",IF(C74="Futures","",IF(C74="OPTIONS SELL","",IF(C74="OPTIONS BUY",TEXT(INDEX([1]AB4!BK:BK,MATCH(A69,[1]AB4!B:B,0)),"0.00%")))))</f>
        <v>10.00%</v>
      </c>
    </row>
    <row r="85" spans="1:27" ht="45" customHeight="1" x14ac:dyDescent="0.2">
      <c r="A85" s="14"/>
      <c r="B85" s="106" t="str">
        <f>IF(C69="","",IF(C74="Futures","",IF(C74="OPTIONS SELL","",IF(C74="OPTIONS BUY",[1]AB5!$B$144))))</f>
        <v>For SL (Position = Open)</v>
      </c>
      <c r="C85" s="107"/>
      <c r="D85" s="108" t="str">
        <f>IF(C69="","",IF(C74="Futures","",IF(C74="OPTIONS SELL","",IF(C74="OPTIONS BUY",[1]AB5!$D$144))))</f>
        <v>For Put Buy Entry</v>
      </c>
      <c r="E85" s="109" t="str">
        <f>IF(C69="","",IF(C74="Futures","",IF(C74="OPTIONS SELL","",IF(C74="OPTIONS BUY",CONCATENATE([1]AB5!$E$144,TEXT(B83,"HH:MM:SS AM/PM"),[1]AB5!$F$144)))))</f>
        <v>Check If 09:24:59 AM HH &gt; Put Buy Entry</v>
      </c>
      <c r="F85" s="4"/>
      <c r="G85" s="110" t="str">
        <f>IF(C69="","",IF(C74="Futures","",IF(C74="OPTIONS SELL","",IF(C74="OPTIONS BUY",[1]AB5!$G$144))))</f>
        <v>No</v>
      </c>
      <c r="H85" s="111" t="str">
        <f>IF(C69="","",IF(C74="Futures","",IF(C74="OPTIONS SELL","",IF(C74="OPTIONS BUY",[1]AB5!$H$144))))</f>
        <v>Entry Not Missed</v>
      </c>
      <c r="I85" s="112" t="str">
        <f>IF(C69="","",IF(C74="Futures","",IF(C74="OPTIONS SELL","",IF(C74="OPTIONS BUY",[1]AB5!$I$144))))</f>
        <v>Place the Order at ORPT</v>
      </c>
      <c r="J85" s="113" t="str">
        <f>IF(C69="","",IF(C74="Futures","",IF(C74="OPTIONS SELL","",IF(C74="OPTIONS BUY",[1]AB5!$J$144))))</f>
        <v>ORPT Time</v>
      </c>
      <c r="K85" s="97"/>
      <c r="L85" s="114">
        <f>IF(C69="","",IF(C74="Futures","",IF(C74="OPTIONS SELL","",IF(C74="OPTIONS BUY",B83))))</f>
        <v>0.39235416666666667</v>
      </c>
      <c r="M85" s="113" t="str">
        <f>IF(C69="","",IF(C74="Futures","",IF(C74="OPTIONS SELL","",IF(C74="OPTIONS BUY",[1]AB5!$M$190))))</f>
        <v>N.A.</v>
      </c>
      <c r="N85" s="100"/>
      <c r="O85" s="97"/>
      <c r="P85" s="116" t="str">
        <f>IF(C69="","",IF(C74="Futures","",IF(C74="OPTIONS SELL","",IF(C74="OPTIONS BUY",[1]AB5!$P$190))))</f>
        <v>N.A.</v>
      </c>
      <c r="Q85" s="100"/>
      <c r="R85" s="97"/>
      <c r="S85" s="111" t="str">
        <f>IF(C69="","",IF(C74="Futures","",IF(C74="OPTIONS SELL","",IF(C74="OPTIONS BUY",[1]AB5!$S$144))))</f>
        <v>N.A.</v>
      </c>
      <c r="T85" s="116" t="str">
        <f>IF(C69="","",IF(C74="Futures","",IF(C74="OPTIONS SELL","",IF(C74="OPTIONS BUY",[1]AB5!$T$189))))</f>
        <v>N.A.</v>
      </c>
      <c r="U85" s="97"/>
      <c r="V85" s="115" t="str">
        <f>IF(C69="","",IF(C74="Futures","",IF(C74="OPTIONS SELL","",IF(C74="OPTIONS BUY",[1]AB5!$V$190))))</f>
        <v>N.A.</v>
      </c>
      <c r="W85" s="115" t="str">
        <f>IF(C69="","",IF(C74="Futures","",IF(C74="OPTIONS SELL","",IF(C74="OPTIONS BUY",[1]AB5!$W$190))))</f>
        <v>N.A.</v>
      </c>
      <c r="X85" s="113" t="str">
        <f>IF(C69="","",IF(C74="Futures","",IF(C74="OPTIONS SELL","",IF(C74="OPTIONS BUY",[1]AB5!$X$144))))</f>
        <v>N.A.</v>
      </c>
      <c r="Y85" s="97"/>
      <c r="Z85" s="117" t="str">
        <f>IF(C69="","",IF(C74="Futures","",IF(C74="OPTIONS SELL","",IF(C74="OPTIONS BUY",[1]AB5!$Z$190))))</f>
        <v>N.A.</v>
      </c>
      <c r="AA85" s="118" t="str">
        <f>IF(C69="","",IF(C74="Futures","",IF(C74="OPTIONS SELL","",IF(C74="OPTIONS BUY",[1]AB5!$AA$144))))</f>
        <v>N.A.</v>
      </c>
    </row>
    <row r="86" spans="1:27" ht="53.25" customHeight="1" x14ac:dyDescent="0.2">
      <c r="A86" s="14" t="str">
        <f>IF(C69="","",CONCATENATE(C70,[1]AB5!$A$4))</f>
        <v>S25A</v>
      </c>
      <c r="B86" s="119" t="str">
        <f>IF(C69="","",IF(C74="Futures","",IF(C74="OPTIONS SELL","",IF(C74="OPTIONS BUY",[1]AB5!$B$145))))</f>
        <v xml:space="preserve">ORPT </v>
      </c>
      <c r="C86" s="120" t="str">
        <f>IF(C69="","",IF(C74="Futures","",IF(C74="OPTIONS SELL","",IF(C74="OPTIONS BUY",[1]AB5!$C$145))))</f>
        <v xml:space="preserve"> RC. Time</v>
      </c>
      <c r="D86" s="30"/>
      <c r="E86" s="91"/>
      <c r="F86" s="92"/>
      <c r="G86" s="121" t="str">
        <f>IF(C69="","",IF(C74="Futures","",IF(C74="OPTIONS SELL","",IF(C74="OPTIONS BUY",[1]AB5!$G$145))))</f>
        <v>Yes</v>
      </c>
      <c r="H86" s="122" t="str">
        <f>IF(C69="","",IF(C74="Futures","",IF(C74="OPTIONS SELL","",IF(C74="OPTIONS BUY",[1]AB5!$H$145))))</f>
        <v>Entry Missed</v>
      </c>
      <c r="I86" s="112" t="str">
        <f>IF(C69="","",IF(C74="Futures","",IF(C74="OPTIONS SELL","",IF(C74="OPTIONS BUY",[1]AB5!$I$145))))</f>
        <v>Recalcuate : Put Buy Entry : Bull / Bull CF</v>
      </c>
      <c r="J86" s="113" t="str">
        <f>IF(C69="","",IF(C74="Futures","",IF(C74="OPTIONS SELL","",IF(C74="OPTIONS BUY",[1]AB5!$J$145))))</f>
        <v>Wait Till Recalculation Time</v>
      </c>
      <c r="K86" s="97"/>
      <c r="L86" s="114">
        <f>IF(C69="","",IF(C74="Futures","",IF(C74="OPTIONS SELL","",IF(C74="OPTIONS BUY",C83))))</f>
        <v>0.39582638888888888</v>
      </c>
      <c r="M86" s="113" t="str">
        <f t="array" ref="M86">IF(C69="","",IF(C74="Futures","",IF(C74="OPTIONS SELL","",IF(C74="OPTIONS BUY",CONCATENATE([1]AB5!$M$191, "( ",INDEX([1]AB4!BP:BP,MATCH(A72,[1]AB4!B:B,0))," &amp; ",S86," ) &amp; ",INDEX([1]AB4!BS:BS,MATCH(A72,[1]AB4!B:B,0)))))))</f>
        <v>Min of ( SPT : PRV : 1D 75 Mins LL &amp; 09:29:59 AM LL ) &amp; Round Up</v>
      </c>
      <c r="N86" s="100"/>
      <c r="O86" s="97"/>
      <c r="P86" s="116" t="str">
        <f>IF(C69="","",IF(C74="Futures","",IF(C74="OPTIONS SELL","",IF(C74="OPTIONS BUY",[1]AB5!$P$191))))</f>
        <v>N.A.</v>
      </c>
      <c r="Q86" s="100"/>
      <c r="R86" s="97"/>
      <c r="S86" s="111" t="str">
        <f>IF(C69="","",IF(C74="Futures","",IF(C74="OPTIONS SELL","",IF(C74="OPTIONS BUY",CONCATENATE(TEXT(L83,"HH:MM:SS AM/PM"),[1]AB5!$S$191)))))</f>
        <v>09:29:59 AM LL</v>
      </c>
      <c r="T86" s="113" t="str">
        <f>IF(C69="","",IF(C74="Futures","",IF(C74="OPTIONS SELL","",IF(C74="OPTIONS BUY",[1]AB5!$T$190))))</f>
        <v>N.A.</v>
      </c>
      <c r="U86" s="97"/>
      <c r="V86" s="111" t="str">
        <f>IF(C69="","",IF(C74="Futures","",IF(C74="OPTIONS SELL","",IF(C74="OPTIONS BUY",[1]AB5!$V$191))))</f>
        <v>N.A.</v>
      </c>
      <c r="W86" s="111" t="str">
        <f>IF(C69="","",IF(C74="Futures","",IF(C74="OPTIONS SELL","",IF(C74="OPTIONS BUY",[1]AB5!$W$191))))</f>
        <v>N.A.</v>
      </c>
      <c r="X86" s="113" t="str">
        <f t="array" ref="X86">IF(C69="","",IF(C74="Futures","",IF(C74="OPTIONS SELL","",IF(C74="OPTIONS BUY",CONCATENATE([1]AB5!$X$191,"( ",INDEX([1]AB4!G:G,MATCH(A69,[1]AB4!B:B,0))," &amp; ",Z86," ) ",INDEX([1]AB4!H:H,MATCH(A69,[1]AB4!B:B,0))," ",AA86)))))</f>
        <v>Max of ( OPT : PRV : 1D 75 Mins HH &amp; 09:29:59 AM HH )  +  10.00%</v>
      </c>
      <c r="Y86" s="97"/>
      <c r="Z86" s="117" t="str">
        <f>IF(C69="","",IF(C74="Futures","",IF(C74="OPTIONS SELL","",IF(C74="OPTIONS BUY",CONCATENATE(TEXT(L83,"HH:MM:SS AM/PM"),[1]AB5!$Z$191)))))</f>
        <v>09:29:59 AM HH</v>
      </c>
      <c r="AA86" s="123" t="str">
        <f t="array" ref="AA86">IF(A69="","",IF(C74="Futures","",IF(C74="OPTIONS SELL","",IF(C74="OPTIONS BUY",TEXT(INDEX([1]AB4!BK:BK,MATCH(A72,[1]AB4!B:B,0)),"0.00%")))))</f>
        <v>10.00%</v>
      </c>
    </row>
    <row r="87" spans="1:27" ht="62.25" customHeight="1" thickBot="1" x14ac:dyDescent="0.25">
      <c r="A87" s="14" t="str">
        <f>IF(C69="","",CONCATENATE(C70,[1]AB5!$A$7))</f>
        <v>S25B</v>
      </c>
      <c r="B87" s="124">
        <f t="array" ref="B87">IF(C69="","", IF(C74="Futures","",IF(C74="OPTIONS SELL","",IF(C74="OPTIONS BUY",INDEX([1]AB4!BF:BF,MATCH(A86,[1]AB4!B:B,0))))))</f>
        <v>0.39235416666666667</v>
      </c>
      <c r="C87" s="125">
        <f t="array" ref="C87">IF(C69="","", IF(C74="Futures","",IF(C74="OPTIONS SELL","",IF(C74="OPTIONS BUY",INDEX([1]AB4!BF:BF,MATCH(A87,[1]AB4!B:B,0))))))</f>
        <v>0.39582638888888888</v>
      </c>
      <c r="D87" s="32"/>
      <c r="E87" s="104"/>
      <c r="F87" s="126"/>
      <c r="G87" s="127"/>
      <c r="H87" s="127"/>
      <c r="I87" s="128" t="str">
        <f>IF(C69="","",IF(C74="Futures","",IF(C74="OPTIONS SELL","",IF(C74="OPTIONS BUY",[1]AB5!$I$146))))</f>
        <v>Recalcuate : Put Buy Entry : Bear / Bear CF</v>
      </c>
      <c r="J87" s="129" t="str">
        <f>IF(C69="","",IF(C74="Futures","",IF(C74="OPTIONS SELL","",IF(C74="OPTIONS BUY",[1]AB5!$J$146))))</f>
        <v>Wait Till Recalculation Time</v>
      </c>
      <c r="K87" s="38"/>
      <c r="L87" s="130">
        <f>IF(C69="","",IF(C74="Futures","",IF(C74="OPTIONS SELL","",IF(C74="OPTIONS BUY",C83))))</f>
        <v>0.39582638888888888</v>
      </c>
      <c r="M87" s="129" t="str">
        <f t="array" ref="M87">IF(C69="","",IF(C74="Futures","",IF(C74="OPTIONS SELL","",IF(C74="OPTIONS BUY",CONCATENATE([1]AB5!$M$192, "( ",INDEX([1]AB4!BP:BP,MATCH(A72,[1]AB4!B:B,0))," &amp; ",S87," ) &amp; ",INDEX([1]AB4!BS:BS,MATCH(A72,[1]AB4!B:B,0)))))))</f>
        <v>Min of ( SPT : PRV : 1D 75 Mins LL &amp; 09:29:59 AM LL ) &amp; Round Up</v>
      </c>
      <c r="N87" s="134"/>
      <c r="O87" s="38"/>
      <c r="P87" s="133" t="str">
        <f>IF(C69="","",IF(C74="Futures","",IF(C74="OPTIONS SELL","",IF(C74="OPTIONS BUY",[1]AB5!$P$192))))</f>
        <v>N.A.</v>
      </c>
      <c r="Q87" s="134"/>
      <c r="R87" s="38"/>
      <c r="S87" s="131" t="str">
        <f>IF(C69="","",IF(C74="Futures","",IF(C74="OPTIONS SELL","",IF(C74="OPTIONS BUY",CONCATENATE(TEXT(L87,"HH:MM:SS AM/PM"),[1]AB5!$S$192)))))</f>
        <v>09:29:59 AM LL</v>
      </c>
      <c r="T87" s="129" t="str">
        <f>IF(C69="","",IF(C74="Futures","",IF(C74="OPTIONS SELL","",IF(C74="OPTIONS BUY",[1]AB5!$T$190))))</f>
        <v>N.A.</v>
      </c>
      <c r="U87" s="38"/>
      <c r="V87" s="131" t="str">
        <f>IF(C69="","",IF(C74="Futures","",IF(C74="OPTIONS SELL","",IF(C74="OPTIONS BUY",[1]AB5!$V$191))))</f>
        <v>N.A.</v>
      </c>
      <c r="W87" s="131" t="str">
        <f>IF(C69="","",IF(C74="Futures","",IF(C74="OPTIONS SELL","",IF(C74="OPTIONS BUY",[1]AB5!$W$192))))</f>
        <v>N.A.</v>
      </c>
      <c r="X87" s="129" t="str">
        <f t="array" ref="X87">IF(C69="","",IF(C74="Futures","",IF(C74="OPTIONS SELL","",IF(C74="OPTIONS BUY",CONCATENATE([1]AB5!$X$192,"( ",INDEX([1]AB4!G:G,MATCH(A78,[1]AB4!B:B,0))," &amp; ",Z87," ) ", INDEX([1]AB4!H:H,MATCH(A78,[1]AB4!B:B,0))," ",AA87)))))</f>
        <v>Max of ( OPT : PRV : 1D 75 Mins HH &amp; 09:29:59 AM HH )  +  10.00%</v>
      </c>
      <c r="Y87" s="38"/>
      <c r="Z87" s="135" t="str">
        <f>IF(C69="","",IF(C74="Futures","",IF(C74="OPTIONS SELL","",IF(C74="OPTIONS BUY",CONCATENATE(TEXT(L87,"HH:MM:SS AM/PM"), [1]AB5!$Z$192)))))</f>
        <v>09:29:59 AM HH</v>
      </c>
      <c r="AA87" s="136" t="str">
        <f t="array" ref="AA87">IF(A69="","",IF(C74="Futures","",IF(C74="OPTIONS SELL","",IF(C74="OPTIONS BUY",TEXT(INDEX([1]AB4!BK:BK,MATCH(A78,[1]AB4!B:B,0)),"0.00%")))))</f>
        <v>10.00%</v>
      </c>
    </row>
    <row r="88" spans="1:27" ht="12.75" customHeight="1" thickBo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37"/>
      <c r="L88" s="14"/>
      <c r="M88" s="14"/>
      <c r="N88" s="14"/>
      <c r="O88" s="138"/>
      <c r="P88" s="14"/>
      <c r="Q88" s="14"/>
      <c r="R88" s="14"/>
      <c r="S88" s="14"/>
      <c r="T88" s="14"/>
      <c r="U88" s="14"/>
      <c r="V88" s="14"/>
      <c r="W88" s="14"/>
      <c r="X88" s="14"/>
      <c r="Y88" s="138"/>
      <c r="Z88" s="138"/>
      <c r="AA88" s="138"/>
    </row>
    <row r="89" spans="1:27" ht="53.25" customHeight="1" thickBot="1" x14ac:dyDescent="0.25">
      <c r="A89" s="52"/>
      <c r="B89" s="106" t="str">
        <f>IF(C69="","",IF(C74="Futures","",IF(C74="OPTIONS SELL","",IF(C74="OPTIONS BUY",[1]AB5!$B$148,IF(C74="OPTIONS BUY",#REF!)))))</f>
        <v>For TGT (Position = Open)</v>
      </c>
      <c r="C89" s="107"/>
      <c r="D89" s="60" t="str">
        <f>IF(C69="","",IF(C74="Futures","",IF(C74="OPTIONS SELL","",IF(C74="OPTIONS BUY",[1]AB5!$D$148))))</f>
        <v>Gap Check</v>
      </c>
      <c r="E89" s="61" t="str">
        <f>IF(C69="","",IF(C74="Futures","",IF(C74="OPTIONS SELL","",IF(C74="OPTIONS BUY",[1]AB5!$E$148,))))</f>
        <v>Process</v>
      </c>
      <c r="F89" s="62"/>
      <c r="G89" s="63" t="str">
        <f>IF(C69="","",IF(C74="Futures","",IF(C74="OPTIONS SELL","",IF(C74="OPTIONS BUY",[1]AB5!$G$148))))</f>
        <v>Y / N</v>
      </c>
      <c r="H89" s="64" t="str">
        <f>IF(C69="","",IF(C74="Futures","",IF(C74="OPTIONS SELL","",IF(C74="OPTIONS BUY",[1]AB5!$H$148))))</f>
        <v>Status</v>
      </c>
      <c r="I89" s="65" t="str">
        <f>IF(C69="","",IF(C74="Futures","",IF(C74="OPTIONS SELL","",IF(C74="OPTIONS BUY",[1]AB5!$I$148))))</f>
        <v>Step 1</v>
      </c>
      <c r="J89" s="66" t="str">
        <f>IF(C69="","",IF(C74="Futures","",IF(C74="OPTIONS SELL","",IF(C74="OPTIONS BUY",[1]AB5!$J$148))))</f>
        <v>Order Placement Timings</v>
      </c>
      <c r="K89" s="62"/>
      <c r="L89" s="67" t="str">
        <f>IF(C69="","",IF(C74="Futures","",IF(C74="OPTIONS SELL","",IF(C74="OPTIONS BUY",[1]AB5!$L$148))))</f>
        <v>Time</v>
      </c>
      <c r="M89" s="65" t="str">
        <f>IF(C69="","",IF(C74="Futures","",IF(C74="OPTIONS SELL","",IF(C74="OPTIONS BUY",[1]AB5!$M$148))))</f>
        <v>Rules For Gaps</v>
      </c>
      <c r="N89" s="64" t="str">
        <f>IF(C69="","",IF(C74="Futures","",IF(C74="OPTIONS SELL","",IF(C74="OPTIONS BUY",[1]AB5!$N$148))))</f>
        <v>Data</v>
      </c>
      <c r="O89" s="71" t="str">
        <f>IF(C69="","",IF(C74="Futures","",IF(C74="OPTIONS SELL","",IF(C74="OPTIONS BUY",[1]AB5!$O$148))))</f>
        <v>Buffer</v>
      </c>
      <c r="P89" s="67" t="str">
        <f>IF(C69="","",IF(C74="Futures","",IF(C74="OPTIONS SELL","",IF(C74="OPTIONS BUY",[1]AB5!$P$148))))</f>
        <v>Monthly Status</v>
      </c>
      <c r="Q89" s="67" t="str">
        <f>IF(C69="","",IF(C74="Futures","",IF(C74="OPTIONS SELL","",IF(C74="OPTIONS BUY",[1]AB5!$Q$148))))</f>
        <v>Options Type</v>
      </c>
      <c r="R89" s="140" t="str">
        <f>IF(C69="","",IF(C74="Futures","",IF(C74="OPTIONS SELL","",IF(C74="OPTIONS BUY",[1]AB5!$R$194))))</f>
        <v>Final Strike</v>
      </c>
      <c r="S89" s="62"/>
      <c r="T89" s="141"/>
      <c r="U89" s="140" t="str">
        <f>IF(C69="","",IF(C74="Futures","",IF(C74="OPTIONS SELL","",IF(C74="OPTIONS BUY",[1]AB5!$U$148))))</f>
        <v>Ideal Premium</v>
      </c>
      <c r="V89" s="141"/>
      <c r="W89" s="140" t="str">
        <f>IF(C69="","",IF(C74="Futures","",IF(C74="OPTIONS SELL","",IF(C74="OPTIONS BUY",[1]AB5!$W$148))))</f>
        <v>Minimum Premium</v>
      </c>
      <c r="X89" s="141"/>
      <c r="Y89" s="139" t="str">
        <f>IF(C69="","",IF(C74="Futures","",IF(C74="OPTIONS SELL","",IF(C74="OPTIONS BUY",[1]AB5!$Y$148))))</f>
        <v>Minimum OI</v>
      </c>
      <c r="Z89" s="140" t="str">
        <f>IF(C69="","",IF(C74="Futures","",IF(C74="OPTIONS SELL","",IF(C74="OPTIONS BUY",[1]AB5!$Z$148))))</f>
        <v>Option Entry</v>
      </c>
      <c r="AA89" s="141"/>
    </row>
    <row r="90" spans="1:27" ht="53.25" customHeight="1" x14ac:dyDescent="0.2">
      <c r="A90" s="14" t="str">
        <f>IF(C69="","",CONCATENATE(C70,[1]AB5!$A$4))</f>
        <v>S25A</v>
      </c>
      <c r="B90" s="119" t="str">
        <f>IF(C69="","",IF(C74="Futures","",IF(C74="OPTIONS SELL","",IF(C74="OPTIONS BUY",[1]AB5!$B$149))))</f>
        <v xml:space="preserve">ORPT </v>
      </c>
      <c r="C90" s="120" t="str">
        <f>IF(C69="","",IF(C74="Futures","",IF(C74="OPTIONS SELL","",IF(C74="OPTIONS BUY",[1]AB5!$C$149))))</f>
        <v xml:space="preserve"> RC. Time</v>
      </c>
      <c r="D90" s="17" t="str">
        <f>IF(C69="","",IF(C74="Futures","",IF(C74="OPTIONS SELL","",IF(C74="OPTIONS BUY",[1]AB5!$D$149))))</f>
        <v>For Call Buy SL</v>
      </c>
      <c r="E90" s="142" t="str">
        <f>IF(C69="","",IF(C74="Futures","",IF(C74="OPTIONS SELL","",IF(C74="OPTIONS BUY",CONCATENATE([1]AB5!$E$149,TEXT(B91,"HH:MM:SS AM/PM"),[1]AB5!$B$150,[1]AB5!$F$149)))))</f>
        <v>Check If  09:15:00 AM LL &lt; Call Buy SL</v>
      </c>
      <c r="F90" s="143"/>
      <c r="G90" s="144" t="str">
        <f>IF(C69="","",IF(C74="Futures","",IF(C74="OPTIONS SELL","",IF(C74="OPTIONS BUY",[1]AB5!$G$149))))</f>
        <v>No</v>
      </c>
      <c r="H90" s="145" t="str">
        <f>IF(C69="","",IF(C74="Futures","",IF(C74="OPTIONS SELL","",IF(C74="OPTIONS BUY",[1]AB5!$H$149))))</f>
        <v>FSL / TRP Not Missed</v>
      </c>
      <c r="I90" s="146" t="str">
        <f>IF(C69="","",IF(C74="Futures","",IF(C74="OPTIONS SELL","",IF(C74="OPTIONS BUY",[1]AB5!$I$149))))</f>
        <v>Place the Order at ORPT</v>
      </c>
      <c r="J90" s="147" t="str">
        <f>IF(C69="","",IF(C74="Futures","",IF(C74="OPTIONS SELL","",IF(C74="OPTIONS BUY",[1]AB5!$J$149))))</f>
        <v>ORPT Time</v>
      </c>
      <c r="K90" s="148"/>
      <c r="L90" s="149">
        <f>IF(C69="","",IF(C74="Futures","",IF(C74="OPTIONS SELL","",IF(C74="OPTIONS BUY",B87))))</f>
        <v>0.39235416666666667</v>
      </c>
      <c r="M90" s="150" t="str">
        <f>IF(C69="","",IF(C74="Futures","",IF(C74="OPTIONS SELL","",IF(C74="OPTIONS BUY",[1]AB5!$M$149))))</f>
        <v>N.A.</v>
      </c>
      <c r="N90" s="145" t="str">
        <f>IF(C69="","",IF(C74="Futures","",IF(C74="OPTIONS SELL","",IF(C74="OPTIONS BUY",[1]AB5!$N$149))))</f>
        <v>N.A.</v>
      </c>
      <c r="O90" s="151" t="str">
        <f>IF(C69="","",IF(C74="Futures","",IF(C74="OPTIONS SELL","",IF(C74="OPTIONS BUY",[1]AB5!$O$149))))</f>
        <v>N.A.</v>
      </c>
      <c r="P90" s="152" t="str">
        <f>IF(C69="","",IF(C74="Futures","",IF(C74="OPTIONS SELL","",IF(C74="OPTIONS BUY",[1]AB5!$P$149))))</f>
        <v>BULL / BULL CF</v>
      </c>
      <c r="Q90" s="76" t="str">
        <f>IF(C69="","",IF(C74="Futures","",IF(C74="OPTIONS SELL","",IF(C74="OPTIONS BUY",[1]AB5!$Q$149))))</f>
        <v>Call</v>
      </c>
      <c r="R90" s="154" t="str">
        <f t="array" ref="R90">IF(C69="","",IF(C74="Futures","",IF(C74="OPTIONS SELL","",IF(C74="OPTIONS BUY",CONCATENATE([1]AB5!$M$142, "( ",INDEX([1]AB4!BP:BP,MATCH(A90,[1]AB4!B:B,0))," &amp; ",[1]AB5!$R$149," ) &amp; ",INDEX([1]AB4!BS:BS,MATCH(A90,[1]AB4!B:B,0)))))))</f>
        <v>Max of ( SPT : PRV : 1D 75 Mins HH &amp; SPT : CDHH ) &amp; Round Down</v>
      </c>
      <c r="S90" s="84"/>
      <c r="T90" s="26"/>
      <c r="U90" s="253" t="str">
        <f>IF(C69="","",[1]AB5!U195)</f>
        <v>N.A.</v>
      </c>
      <c r="V90" s="26"/>
      <c r="W90" s="253" t="str">
        <f>IF(C69="","",[1]AB5!W195)</f>
        <v>N.A.</v>
      </c>
      <c r="X90" s="26"/>
      <c r="Y90" s="254" t="str">
        <f>IF(C69="","",[1]AB5!Y195)</f>
        <v>N.A.</v>
      </c>
      <c r="Z90" s="154" t="str">
        <f t="array" ref="Z90">IF(C69="","",IF(C74="Futures","",IF(C74="OPTIONS SELL","",IF(C74="OPTIONS BUY",CONCATENATE([1]AB5!$X$142,"( ",INDEX([1]AB4!G:G,MATCH(A69,[1]AB4!B:B,0))," &amp; ",[1]AB5!$Z$149," ) ",INDEX([1]AB4!H:H,MATCH(A69,[1]AB4!B:B,0))," ",AA83)))))</f>
        <v>Max of ( OPT : PRV : 1D 75 Mins HH &amp; OPT : CDHH )  +  10.00%</v>
      </c>
      <c r="AA90" s="107"/>
    </row>
    <row r="91" spans="1:27" ht="53.25" customHeight="1" thickBot="1" x14ac:dyDescent="0.25">
      <c r="A91" s="14" t="str">
        <f>IF(C69="","",CONCATENATE(C70,[1]AB5!$A$7))</f>
        <v>S25B</v>
      </c>
      <c r="B91" s="89">
        <f t="array" ref="B91">IF(C69="","",IF(C74="Futures","",IF(C74="OPTIONS SELL","",IF(C74="OPTIONS BUY",INDEX([1]AB4!BG:BG,MATCH(A90,[1]AB4!B:B,0))))))</f>
        <v>0.38541666666666669</v>
      </c>
      <c r="C91" s="90" t="str">
        <f t="array" ref="C91">IF(C69="","",IF(C74="Futures","",IF(C74="OPTIONS SELL","",IF(C74="OPTIONS BUY",INDEX([1]AB4!BG:BG,MATCH(A91,[1]AB4!B:B,0))))))</f>
        <v>N.A.</v>
      </c>
      <c r="D91" s="30"/>
      <c r="E91" s="30"/>
      <c r="F91" s="143"/>
      <c r="G91" s="156" t="str">
        <f>IF(C69="","",IF(C74="Futures","",IF(C74="OPTIONS SELL","",IF(C74="OPTIONS BUY",[1]AB5!$G$150))))</f>
        <v>Yes</v>
      </c>
      <c r="H91" s="157" t="str">
        <f>IF(C69="","",IF(C74="Futures","",IF(C74="OPTIONS SELL","",IF(C74="OPTIONS BUY",[1]AB5!$H$150))))</f>
        <v>FSL / TRP Missed</v>
      </c>
      <c r="I91" s="158" t="str">
        <f>IF(C69="","",IF(C74="Futures","",IF(C74="OPTIONS SELL","",IF(C74="OPTIONS BUY",[1]AB5!$I$196))))</f>
        <v>Recalcuate : Call Sell FSL / TRP : Bull / Bull CF</v>
      </c>
      <c r="J91" s="159" t="str">
        <f>IF(C69="","",IF(C74="Futures","",IF(C74="OPTIONS SELL","",IF(C74="OPTIONS BUY",[1]AB5!$J$150))))</f>
        <v>Wait Till Recalculation Time</v>
      </c>
      <c r="K91" s="100"/>
      <c r="L91" s="160">
        <f>IF(C69="","",IF(C74="Futures","",IF(C74="OPTIONS SELL","",IF(C74="OPTIONS BUY",C87))))</f>
        <v>0.39582638888888888</v>
      </c>
      <c r="M91" s="161" t="str">
        <f>IF(C74="","",CONCATENATE(N91," ",[1]AB5!$M$196," ",TEXT(O91,"0.00%")))</f>
        <v>09:29:59 AM LL - 10.00%</v>
      </c>
      <c r="N91" s="111" t="str">
        <f>IF(C69="","",IF(C74="Futures","",IF(C74="OPTIONS SELL","",IF(C74="OPTIONS BUY",CONCATENATE(TEXT(L91,"HH:MM:SS AM/PM"),[1]AB5!$N$196)))))</f>
        <v>09:29:59 AM LL</v>
      </c>
      <c r="O91" s="162">
        <f>IF(C69="","",IF(C74="Futures","",IF(C74="OPTIONS SELL","",IF(C74="OPTIONS BUY",[1]AB5!$O$196))))</f>
        <v>0.1</v>
      </c>
      <c r="P91" s="103"/>
      <c r="Q91" s="163" t="str">
        <f>IF(C69="","",IF(C74="Futures","",IF(C74="OPTIONS SELL","",IF(C74="OPTIONS BUY",[1]AB5!$Q$150))))</f>
        <v>Put</v>
      </c>
      <c r="R91" s="165" t="str">
        <f t="array" ref="R91">IF(C69="","",IF(C74="Futures","",IF(C74="OPTIONS SELL","",IF(C74="OPTIONS BUY",CONCATENATE([1]AB5!$M$142, "( ",INDEX([1]AB4!BP:BP,MATCH(A91,[1]AB4!B:B,0))," &amp; ",[1]AB5!$R$196," ) &amp; ",INDEX([1]AB4!BS:BS,MATCH(A91,[1]AB4!B:B,0)))))))</f>
        <v>Max of ( SPT : PRV : 1D 75 Mins LL &amp; SPT : CDLL ) &amp; Round Up</v>
      </c>
      <c r="S91" s="134"/>
      <c r="T91" s="38"/>
      <c r="U91" s="255" t="str">
        <f>IF(C69="","",[1]AB5!U196)</f>
        <v>N.A.</v>
      </c>
      <c r="V91" s="38"/>
      <c r="W91" s="255" t="str">
        <f>IF(C69="","",[1]AB5!W196)</f>
        <v>N.A.</v>
      </c>
      <c r="X91" s="38"/>
      <c r="Y91" s="256" t="str">
        <f>IF(C69="","",[1]AB5!Y196)</f>
        <v>N.A.</v>
      </c>
      <c r="Z91" s="165" t="str">
        <f t="array" ref="Z91">IF(C69="","",IF(C74="Futures","",IF(C74="OPTIONS SELL","",IF(C74="OPTIONS BUY",CONCATENATE([1]AB5!$X$142,"( ",INDEX([1]AB4!G:G,MATCH(A69,[1]AB4!B:B,0))," &amp; ",[1]AB5!$Z$149," ) ",INDEX([1]AB4!H:H,MATCH(A69,[1]AB4!B:B,0))," ",AA83)))))</f>
        <v>Max of ( OPT : PRV : 1D 75 Mins HH &amp; OPT : CDHH )  +  10.00%</v>
      </c>
      <c r="AA91" s="167"/>
    </row>
    <row r="92" spans="1:27" ht="58.5" customHeight="1" thickBot="1" x14ac:dyDescent="0.25">
      <c r="A92" s="14"/>
      <c r="B92" s="103"/>
      <c r="C92" s="104"/>
      <c r="D92" s="105"/>
      <c r="E92" s="105"/>
      <c r="F92" s="148"/>
      <c r="G92" s="91"/>
      <c r="H92" s="13"/>
      <c r="I92" s="158" t="str">
        <f>IF(C69="","",IF(C74="Futures","",IF(C74="OPTIONS SELL","",IF(C74="OPTIONS BUY",[1]AB5!$I$197))))</f>
        <v>Recalcuate : Call Sell FSL / TRP : Bear / Bear CF</v>
      </c>
      <c r="J92" s="159" t="str">
        <f>IF(C69="","",IF(C74="Futures","",IF(C74="OPTIONS SELL","",IF(C74="OPTIONS BUY",[1]AB5!$J$151))))</f>
        <v>Wait Till Recalculation Time</v>
      </c>
      <c r="K92" s="100"/>
      <c r="L92" s="160">
        <f>IF(C69="","",IF(C74="Futures","",IF(C74="OPTIONS SELL","",IF(C74="OPTIONS BUY",C87))))</f>
        <v>0.39582638888888888</v>
      </c>
      <c r="M92" s="161" t="str">
        <f>IF(C74="","",CONCATENATE(N92," ",[1]AB5!$M$197," ",TEXT(O92,"0.00%")))</f>
        <v>09:29:59 AM LL - 10.00%</v>
      </c>
      <c r="N92" s="111" t="str">
        <f>IF(C69="","",IF(C74="Futures","",IF(C74="OPTIONS SELL","",IF(C74="OPTIONS BUY",CONCATENATE(TEXT(L91,"HH:MM:SS AM/PM"),[1]AB5!$N$197)))))</f>
        <v>09:29:59 AM LL</v>
      </c>
      <c r="O92" s="162">
        <f>IF(C69="","",IF(C74="Futures","",IF(C74="OPTIONS SELL","",IF(C74="OPTIONS BUY",[1]AB5!$O$197))))</f>
        <v>0.1</v>
      </c>
      <c r="P92" s="168" t="str">
        <f>IF(C69="","",IF(C74="Futures","",IF(C74="OPTIONS SELL","",IF(C74="OPTIONS BUY",[1]AB5!$P$151))))</f>
        <v>BEAR / BEAR CF</v>
      </c>
      <c r="Q92" s="76" t="str">
        <f>IF(C71="","",IF(C74="Futures","",IF(C74="OPTIONS SELL","",IF(C74="OPTIONS BUY",[1]AB5!$Q$151))))</f>
        <v>Call</v>
      </c>
      <c r="R92" s="154" t="str">
        <f t="array" ref="R92">IF(C69="","",IF(C74="Futures","",IF(C74="OPTIONS SELL","",IF(C74="OPTIONS BUY",CONCATENATE([1]AB5!$M$142, "( ",INDEX([1]AB4!BP:BP,MATCH(A76,[1]AB4!B:B,0))," &amp; ",[1]AB5!$R$149," ) &amp; ",INDEX([1]AB4!BS:BS,MATCH(A76,[1]AB4!B:B,0)))))))</f>
        <v>Max of ( SPT : PRV : 1D 75 Mins HH &amp; SPT : CDHH ) &amp; Round Down</v>
      </c>
      <c r="S92" s="84"/>
      <c r="T92" s="26"/>
      <c r="U92" s="253" t="str">
        <f>IF(C69="","",[1]AB5!U197)</f>
        <v>N.A.</v>
      </c>
      <c r="V92" s="26"/>
      <c r="W92" s="253" t="str">
        <f>IF(C69="","",[1]AB5!W197)</f>
        <v>N.A.</v>
      </c>
      <c r="X92" s="26"/>
      <c r="Y92" s="254" t="str">
        <f>IF(C69="","",[1]AB5!Y197)</f>
        <v>N.A.</v>
      </c>
      <c r="Z92" s="154" t="str">
        <f t="array" ref="Z92">IF(C69="","",IF(C74="Futures","",IF(C74="OPTIONS SELL","",IF(C74="OPTIONS BUY",CONCATENATE([1]AB5!$X$142,"( ",INDEX([1]AB4!G:G,MATCH(A69,[1]AB4!B:B,0))," &amp; ",[1]AB5!$Z$149," ) ",INDEX([1]AB4!H:H,MATCH(A69,[1]AB4!B:B,0))," ",AA83)))))</f>
        <v>Max of ( OPT : PRV : 1D 75 Mins HH &amp; OPT : CDHH )  +  10.00%</v>
      </c>
      <c r="AA92" s="107"/>
    </row>
    <row r="93" spans="1:27" ht="53.25" customHeight="1" thickBot="1" x14ac:dyDescent="0.25">
      <c r="A93" s="14"/>
      <c r="B93" s="169" t="str">
        <f>IF(C69="","",IF(C74="Futures","",IF(C74="OPTIONS SELL","",IF(C74="OPTIONS BUY",[1]AB5!$B$152))))</f>
        <v>Stay Blessed !!!</v>
      </c>
      <c r="C93" s="18"/>
      <c r="D93" s="170" t="str">
        <f>IF(C69="","",IF(C74="Futures","",IF(C74="OPTIONS SELL","",IF(C74="OPTIONS BUY",[1]AB5!$D$152))))</f>
        <v>For Put Buy SL</v>
      </c>
      <c r="E93" s="171" t="str">
        <f>IF(C69="","",IF(C74="Futures","",IF(C74="OPTIONS SELL","",IF(C74="OPTIONS BUY",CONCATENATE([1]AB5!$E$152,TEXT(B91,"HH:MM:SS AM/PM"),[1]AB5!$B$150,[1]AB5!$F$152)))))</f>
        <v>Check If  09:15:00 AM LL &lt; Put Buy SL</v>
      </c>
      <c r="F93" s="172"/>
      <c r="G93" s="173" t="str">
        <f>IF(C69="","",IF(C74="Futures","",IF(C74="OPTIONS SELL","",IF(C74="OPTIONS BUY",[1]AB5!$G$152))))</f>
        <v>No</v>
      </c>
      <c r="H93" s="174" t="str">
        <f>IF(C69="","",IF(C74="Futures","",IF(C74="OPTIONS SELL","",IF(C74="OPTIONS BUY",[1]AB5!$H$152))))</f>
        <v>FSL / TRP Not Missed</v>
      </c>
      <c r="I93" s="175" t="str">
        <f>IF(C69="","",IF(C74="Futures","",IF(C74="OPTIONS SELL","",IF(C74="OPTIONS BUY",[1]AB5!$I$152))))</f>
        <v>Place the Order at ORPT</v>
      </c>
      <c r="J93" s="176" t="str">
        <f>IF(C69="","",IF(C74="Futures","",IF(C74="OPTIONS SELL","",IF(C74="OPTIONS BUY",[1]AB5!$J$152))))</f>
        <v>ORPT Time</v>
      </c>
      <c r="K93" s="97"/>
      <c r="L93" s="177">
        <f>IF(C69="","",IF(C74="Futures","",IF(C74="OPTIONS SELL","",IF(C74="OPTIONS BUY",B87))))</f>
        <v>0.39235416666666667</v>
      </c>
      <c r="M93" s="178" t="str">
        <f>IF(C69="","",IF(C74="Futures","",IF(C74="OPTIONS SELL","",IF(C74="OPTIONS BUY",[1]AB5!$M$198))))</f>
        <v>N.A.</v>
      </c>
      <c r="N93" s="174" t="str">
        <f>IF(C69="","",IF(C74="Futures","",IF(C74="OPTIONS SELL","",IF(C74="OPTIONS BUY",[1]AB5!$N$152))))</f>
        <v>N.A.</v>
      </c>
      <c r="O93" s="179" t="str">
        <f>IF(C69="","",IF(C74="Futures","",IF(C74="OPTIONS SELL","",IF(C74="OPTIONS BUY",[1]AB5!$O$198))))</f>
        <v>N.A.</v>
      </c>
      <c r="P93" s="103"/>
      <c r="Q93" s="163" t="str">
        <f>IF(C71="","",IF(C74="Futures","",IF(C74="OPTIONS SELL","",IF(C74="OPTIONS BUY",[1]AB5!$Q$152))))</f>
        <v>Put</v>
      </c>
      <c r="R93" s="165" t="str">
        <f t="array" ref="R93">IF(C69="","",IF(C74="Futures","",IF(C74="OPTIONS SELL","",IF(C74="OPTIONS BUY",CONCATENATE([1]AB5!$M$142, "( ",INDEX([1]AB4!BP:BP,MATCH(A78,[1]AB4!B:B,0))," &amp; ",[1]AB5!$R$198," ) &amp; ",INDEX([1]AB4!BS:BS,MATCH(A78,[1]AB4!B:B,0)))))))</f>
        <v>Max of ( SPT : PRV : 1D 75 Mins LL &amp; SPT : CDLL ) &amp; Round Up</v>
      </c>
      <c r="S93" s="134"/>
      <c r="T93" s="38"/>
      <c r="U93" s="255" t="str">
        <f>IF(C69="","",[1]AB5!U198)</f>
        <v>N.A.</v>
      </c>
      <c r="V93" s="38"/>
      <c r="W93" s="255" t="str">
        <f>IF(C69="","",[1]AB5!W198)</f>
        <v>N.A.</v>
      </c>
      <c r="X93" s="38"/>
      <c r="Y93" s="256" t="str">
        <f>IF(C69="","",[1]AB5!Y198)</f>
        <v>N.A.</v>
      </c>
      <c r="Z93" s="165" t="str">
        <f t="array" ref="Z93">IF(C69="","",IF(C74="Futures","",IF(C74="OPTIONS SELL","",IF(C74="OPTIONS BUY",CONCATENATE([1]AB5!$X$146,"( ",INDEX([1]AB4!G:G,MATCH(A78,[1]AB4!B:B,0))," &amp; ",[1]AB5!$Z$152," ) ", INDEX([1]AB4!H:H,MATCH(A78,[1]AB4!B:B,0))," ",AA87)))))</f>
        <v>Max of ( OPT : PRV : 1D 75 Mins HH &amp; OPT : CDHH )  +  10.00%</v>
      </c>
      <c r="AA93" s="167"/>
    </row>
    <row r="94" spans="1:27" ht="53.25" customHeight="1" x14ac:dyDescent="0.2">
      <c r="A94" s="138"/>
      <c r="B94" s="30"/>
      <c r="C94" s="31"/>
      <c r="D94" s="180"/>
      <c r="E94" s="143"/>
      <c r="F94" s="143"/>
      <c r="G94" s="181" t="str">
        <f>IF(C69="","",IF(C74="Futures","",IF(C74="OPTIONS SELL","",IF(C74="OPTIONS BUY",[1]AB5!$G$153))))</f>
        <v>Yes</v>
      </c>
      <c r="H94" s="182" t="str">
        <f>IF(C69="","",IF(C74="Futures","",IF(C74="OPTIONS SELL","",IF(C74="OPTIONS BUY",[1]AB5!$H$153))))</f>
        <v>FSL / TRP Missed</v>
      </c>
      <c r="I94" s="175" t="str">
        <f>IF(C69="","",IF(C74="Futures","",IF(C74="OPTIONS SELL","",IF(C74="OPTIONS BUY",[1]AB5!$I$199))))</f>
        <v>Recalcuate : Short FSL / TRP : Bull / Bull CF</v>
      </c>
      <c r="J94" s="176" t="str">
        <f>IF(C69="","",IF(C74="Futures","",IF(C74="OPTIONS SELL","",IF(C74="OPTIONS BUY",[1]AB5!$J$153))))</f>
        <v>Wait Till Recalculation Time</v>
      </c>
      <c r="K94" s="97"/>
      <c r="L94" s="177">
        <f>IF(C69="","",IF(C74="Futures","",IF(C74="OPTIONS SELL","",IF(C74="OPTIONS BUY",C87))))</f>
        <v>0.39582638888888888</v>
      </c>
      <c r="M94" s="178" t="str">
        <f>IF(C74="","",CONCATENATE(N94," ",[1]AB5!$M$199," ",TEXT(O94,"0.00%")))</f>
        <v>09:29:59 AM LL - 10.00%</v>
      </c>
      <c r="N94" s="99" t="str">
        <f>IF(C69="","",IF(C74="Futures","",IF(C74="OPTIONS SELL","",IF(C74="OPTIONS BUY",CONCATENATE(TEXT(L91,"HH:MM:SS AM/PM"),[1]AB5!$N$199)))))</f>
        <v>09:29:59 AM LL</v>
      </c>
      <c r="O94" s="183">
        <f>IF(C69="","",IF(C74="Futures","",IF(C74="OPTIONS SELL","",IF(C74="OPTIONS BUY",[1]AB5!$O$199))))</f>
        <v>0.1</v>
      </c>
      <c r="P94" s="184" t="str">
        <f>IF(C69="","",[1]AB5!$P$84)</f>
        <v>When You Call And Put Position is Exited</v>
      </c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31"/>
    </row>
    <row r="95" spans="1:27" ht="53.25" customHeight="1" thickBot="1" x14ac:dyDescent="0.25">
      <c r="A95" s="138"/>
      <c r="B95" s="32"/>
      <c r="C95" s="51"/>
      <c r="D95" s="186"/>
      <c r="E95" s="187"/>
      <c r="F95" s="187"/>
      <c r="G95" s="104"/>
      <c r="H95" s="127"/>
      <c r="I95" s="188" t="str">
        <f>IF(C69="","",IF(C74="Futures","",IF(C74="OPTIONS SELL","",IF(C74="OPTIONS BUY",[1]AB5!$I$200))))</f>
        <v>Recalcuate : Short FSL / TRP : Bear / Bear CF</v>
      </c>
      <c r="J95" s="189" t="str">
        <f>IF(C69="","",IF(C74="Futures","",IF(C74="OPTIONS SELL","",IF(C74="OPTIONS BUY",[1]AB5!$J$154))))</f>
        <v>Wait Till Recalculation Time</v>
      </c>
      <c r="K95" s="38"/>
      <c r="L95" s="190">
        <f>IF(C69="","",IF(C74="Futures","",IF(C74="OPTIONS SELL","",IF(C74="OPTIONS BUY",C87))))</f>
        <v>0.39582638888888888</v>
      </c>
      <c r="M95" s="191" t="str">
        <f>IF(C74="","",CONCATENATE(N95," ",[1]AB5!$M$200," ",TEXT(O95,"0.00%")))</f>
        <v>09:29:59 AM LL - 10.00%</v>
      </c>
      <c r="N95" s="192" t="str">
        <f>IF(C69="","",IF(C74="Futures","",IF(C74="OPTIONS SELL","",IF(C74="OPTIONS BUY",CONCATENATE(TEXT(L95,"HH:MM:SS AM/PM"),[1]AB5!$N$154)))))</f>
        <v>09:29:59 AM LL</v>
      </c>
      <c r="O95" s="193">
        <f>IF(C69="","",IF(C74="Futures","",IF(C74="OPTIONS SELL","",IF(C74="OPTIONS BUY",[1]AB5!$O$200))))</f>
        <v>0.1</v>
      </c>
      <c r="P95" s="194" t="str">
        <f>IF(C69="","",[1]AB5!$P$85)</f>
        <v>This is Only Applicable for Same Day</v>
      </c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51"/>
    </row>
    <row r="96" spans="1:27" ht="45.75" customHeight="1" thickBot="1" x14ac:dyDescent="0.25">
      <c r="A96" s="195"/>
      <c r="B96" s="196" t="str">
        <f>IF(C69="","",[1]AB5!$B$155)</f>
        <v>For Missed SL (Position = Open)</v>
      </c>
      <c r="C96" s="107"/>
      <c r="D96" s="197" t="str">
        <f>IF(C69="","",[1]AB5!$D$120)</f>
        <v>Note: ( Optional )</v>
      </c>
      <c r="E96" s="18"/>
      <c r="F96" s="198" t="str">
        <f>IF(C69="","",[1]AB5!$I$155)</f>
        <v>For Call Buy SL</v>
      </c>
      <c r="G96" s="62"/>
      <c r="H96" s="62"/>
      <c r="I96" s="62"/>
      <c r="J96" s="62"/>
      <c r="K96" s="62"/>
      <c r="L96" s="62"/>
      <c r="M96" s="62"/>
      <c r="N96" s="62"/>
      <c r="O96" s="62"/>
      <c r="P96" s="59"/>
      <c r="Q96" s="198" t="str">
        <f>IF(C69="","",[1]AB5!$R$155)</f>
        <v>For Put Buy SL</v>
      </c>
      <c r="R96" s="62"/>
      <c r="S96" s="62"/>
      <c r="T96" s="62"/>
      <c r="U96" s="62"/>
      <c r="V96" s="62"/>
      <c r="W96" s="62"/>
      <c r="X96" s="62"/>
      <c r="Y96" s="62"/>
      <c r="Z96" s="62"/>
      <c r="AA96" s="59"/>
    </row>
    <row r="97" spans="1:27" ht="45.75" customHeight="1" x14ac:dyDescent="0.2">
      <c r="A97" s="195"/>
      <c r="B97" s="199" t="str">
        <f>IF(C69="","",[1]AB5!$B$156)</f>
        <v>Check time</v>
      </c>
      <c r="C97" s="200"/>
      <c r="D97" s="30"/>
      <c r="E97" s="31"/>
      <c r="F97" s="205" t="str">
        <f>IF(C69="","",CONCATENATE([1]AB5!$G$156,TEXT(B98,"HH:MM:SS AM/PM"),[1]AB5!$B$157,[1]AB5!$H$156))</f>
        <v>Check If Close at 03:00:00 PM  &lt; Call Buy Original SL</v>
      </c>
      <c r="G97" s="12"/>
      <c r="H97" s="202" t="str">
        <f>IF(C69="","",[1]AB5!$I$156)</f>
        <v>Yes</v>
      </c>
      <c r="I97" s="12"/>
      <c r="J97" s="203" t="str">
        <f>IF(C69="","",CONCATENATE([1]AB5!$K$156,TEXT(B98,"HH:MM:SS AM/PM")))</f>
        <v xml:space="preserve"> Then Square Off The Position At CMP at 03:00:00 PM</v>
      </c>
      <c r="K97" s="148"/>
      <c r="L97" s="148"/>
      <c r="M97" s="148"/>
      <c r="N97" s="148"/>
      <c r="O97" s="148"/>
      <c r="P97" s="204"/>
      <c r="Q97" s="205" t="str">
        <f>IF(C69="","",CONCATENATE([1]AB5!$R$156,TEXT(B98,"HH:MM:SS AM/PM"),[1]AB5!$B$157,[1]AB5!$S$156))</f>
        <v>Check If Close at 03:00:00 PM  &gt; Put Buy Original SL</v>
      </c>
      <c r="R97" s="148"/>
      <c r="S97" s="12"/>
      <c r="T97" s="206" t="str">
        <f>IF(C69="","",[1]AB5!$U$156)</f>
        <v>Yes</v>
      </c>
      <c r="U97" s="207" t="str">
        <f>IF(C69="","",CONCATENATE([1]AB5!$W$156,TEXT(B98,"HH:MM:SS AM/PM")))</f>
        <v xml:space="preserve"> Then Square Off The Position At CMP at 03:00:00 PM</v>
      </c>
      <c r="V97" s="148"/>
      <c r="W97" s="148"/>
      <c r="X97" s="148"/>
      <c r="Y97" s="148"/>
      <c r="Z97" s="148"/>
      <c r="AA97" s="204"/>
    </row>
    <row r="98" spans="1:27" ht="45.75" customHeight="1" thickBot="1" x14ac:dyDescent="0.25">
      <c r="A98" s="195"/>
      <c r="B98" s="208">
        <f t="array" ref="B98">IF(C69="","",INDEX([1]AB4!CU:CU,MATCH(A86,[1]AB4!B:B,0)))</f>
        <v>0.625</v>
      </c>
      <c r="C98" s="167"/>
      <c r="D98" s="32"/>
      <c r="E98" s="51"/>
      <c r="F98" s="209" t="str">
        <f>IF(C69="","",CONCATENATE([1]AB5!$G$157,TEXT(B98,"HH:MM:SS AM/PM"),[1]AB5!$B$157,[1]AB5!$H$157))</f>
        <v>Check If Close at 03:00:00 PM  &gt; Call Buy Original SL</v>
      </c>
      <c r="G98" s="38"/>
      <c r="H98" s="210" t="str">
        <f>IF(C69="","",[1]AB5!$I$157)</f>
        <v>Yes</v>
      </c>
      <c r="I98" s="38"/>
      <c r="J98" s="211" t="str">
        <f>IF(C69="","",CONCATENATE([1]AB5!$K$157))</f>
        <v xml:space="preserve"> Then Continue the Position for Next Day And Calculate Stop Loss Price as per the Rules</v>
      </c>
      <c r="K98" s="134"/>
      <c r="L98" s="134"/>
      <c r="M98" s="134"/>
      <c r="N98" s="134"/>
      <c r="O98" s="134"/>
      <c r="P98" s="167"/>
      <c r="Q98" s="209" t="str">
        <f>IF(C69="","",CONCATENATE([1]AB5!$R$157,TEXT(B98,"HH:MM:SS AM/PM"),[1]AB5!$B$158,[1]AB5!$S$157))</f>
        <v>Check If Close at 03:00:00 PM  &lt; Put Buy Original SL</v>
      </c>
      <c r="R98" s="134"/>
      <c r="S98" s="38"/>
      <c r="T98" s="212" t="str">
        <f>IF(C69="","",[1]AB5!$U$157)</f>
        <v>Yes</v>
      </c>
      <c r="U98" s="211" t="str">
        <f>IF(C69="","",CONCATENATE([1]AB5!$W$157))</f>
        <v xml:space="preserve"> Then Continue the Position for Next Day And Calculate Stop Loss Price as per the Rules</v>
      </c>
      <c r="V98" s="134"/>
      <c r="W98" s="134"/>
      <c r="X98" s="134"/>
      <c r="Y98" s="134"/>
      <c r="Z98" s="134"/>
      <c r="AA98" s="167"/>
    </row>
    <row r="99" spans="1:27" ht="15.75" customHeight="1" x14ac:dyDescent="0.2">
      <c r="A99" s="138"/>
      <c r="B99" s="138"/>
      <c r="C99" s="138"/>
      <c r="D99" s="138"/>
      <c r="E99" s="138"/>
      <c r="F99" s="138"/>
      <c r="G99" s="138"/>
      <c r="H99" s="138"/>
      <c r="I99" s="138"/>
      <c r="J99" s="137"/>
      <c r="K99" s="137"/>
      <c r="L99" s="137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213"/>
      <c r="Y99" s="138"/>
      <c r="Z99" s="138"/>
      <c r="AA99" s="138"/>
    </row>
  </sheetData>
  <mergeCells count="409">
    <mergeCell ref="Q97:S97"/>
    <mergeCell ref="U97:AA97"/>
    <mergeCell ref="B98:C98"/>
    <mergeCell ref="F98:G98"/>
    <mergeCell ref="H98:I98"/>
    <mergeCell ref="J98:P98"/>
    <mergeCell ref="Q98:S98"/>
    <mergeCell ref="U98:AA98"/>
    <mergeCell ref="J95:K95"/>
    <mergeCell ref="P95:AA95"/>
    <mergeCell ref="B96:C96"/>
    <mergeCell ref="D96:E98"/>
    <mergeCell ref="F96:P96"/>
    <mergeCell ref="Q96:AA96"/>
    <mergeCell ref="B97:C97"/>
    <mergeCell ref="F97:G97"/>
    <mergeCell ref="H97:I97"/>
    <mergeCell ref="J97:P97"/>
    <mergeCell ref="B93:C95"/>
    <mergeCell ref="D93:D95"/>
    <mergeCell ref="E93:F95"/>
    <mergeCell ref="J93:K93"/>
    <mergeCell ref="R93:T93"/>
    <mergeCell ref="U93:V93"/>
    <mergeCell ref="G94:G95"/>
    <mergeCell ref="H94:H95"/>
    <mergeCell ref="J94:K94"/>
    <mergeCell ref="P94:AA94"/>
    <mergeCell ref="W91:X91"/>
    <mergeCell ref="Z91:AA91"/>
    <mergeCell ref="J92:K92"/>
    <mergeCell ref="P92:P93"/>
    <mergeCell ref="R92:T92"/>
    <mergeCell ref="U92:V92"/>
    <mergeCell ref="W92:X92"/>
    <mergeCell ref="Z92:AA92"/>
    <mergeCell ref="W93:X93"/>
    <mergeCell ref="Z93:AA93"/>
    <mergeCell ref="B91:B92"/>
    <mergeCell ref="C91:C92"/>
    <mergeCell ref="G91:G92"/>
    <mergeCell ref="H91:H92"/>
    <mergeCell ref="J91:K91"/>
    <mergeCell ref="R91:T91"/>
    <mergeCell ref="Z89:AA89"/>
    <mergeCell ref="D90:D92"/>
    <mergeCell ref="E90:F92"/>
    <mergeCell ref="J90:K90"/>
    <mergeCell ref="P90:P91"/>
    <mergeCell ref="R90:T90"/>
    <mergeCell ref="U90:V90"/>
    <mergeCell ref="W90:X90"/>
    <mergeCell ref="Z90:AA90"/>
    <mergeCell ref="U91:V91"/>
    <mergeCell ref="T87:U87"/>
    <mergeCell ref="X87:Y87"/>
    <mergeCell ref="B89:C89"/>
    <mergeCell ref="E89:F89"/>
    <mergeCell ref="J89:K89"/>
    <mergeCell ref="R89:T89"/>
    <mergeCell ref="U89:V89"/>
    <mergeCell ref="W89:X89"/>
    <mergeCell ref="T85:U85"/>
    <mergeCell ref="X85:Y85"/>
    <mergeCell ref="G86:G87"/>
    <mergeCell ref="H86:H87"/>
    <mergeCell ref="J86:K86"/>
    <mergeCell ref="M86:O86"/>
    <mergeCell ref="P86:R86"/>
    <mergeCell ref="T86:U86"/>
    <mergeCell ref="X86:Y86"/>
    <mergeCell ref="J87:K87"/>
    <mergeCell ref="B85:C85"/>
    <mergeCell ref="D85:D87"/>
    <mergeCell ref="E85:F87"/>
    <mergeCell ref="J85:K85"/>
    <mergeCell ref="M85:O85"/>
    <mergeCell ref="P85:R85"/>
    <mergeCell ref="M87:O87"/>
    <mergeCell ref="P87:R87"/>
    <mergeCell ref="X83:Y83"/>
    <mergeCell ref="J84:K84"/>
    <mergeCell ref="M84:O84"/>
    <mergeCell ref="P84:R84"/>
    <mergeCell ref="T84:U84"/>
    <mergeCell ref="X84:Y84"/>
    <mergeCell ref="B83:B84"/>
    <mergeCell ref="C83:C84"/>
    <mergeCell ref="G83:G84"/>
    <mergeCell ref="H83:H84"/>
    <mergeCell ref="J83:K83"/>
    <mergeCell ref="M83:O83"/>
    <mergeCell ref="X81:Y81"/>
    <mergeCell ref="D82:D84"/>
    <mergeCell ref="E82:F84"/>
    <mergeCell ref="J82:K82"/>
    <mergeCell ref="M82:O82"/>
    <mergeCell ref="P82:R82"/>
    <mergeCell ref="T82:U82"/>
    <mergeCell ref="X82:Y82"/>
    <mergeCell ref="P83:R83"/>
    <mergeCell ref="T83:U83"/>
    <mergeCell ref="B81:C81"/>
    <mergeCell ref="E81:F81"/>
    <mergeCell ref="J81:K81"/>
    <mergeCell ref="M81:O81"/>
    <mergeCell ref="P81:R81"/>
    <mergeCell ref="T81:U81"/>
    <mergeCell ref="B77:C79"/>
    <mergeCell ref="I77:K77"/>
    <mergeCell ref="F78:F79"/>
    <mergeCell ref="G78:G79"/>
    <mergeCell ref="H78:H79"/>
    <mergeCell ref="J78:K78"/>
    <mergeCell ref="J79:K79"/>
    <mergeCell ref="D75:E79"/>
    <mergeCell ref="F75:F76"/>
    <mergeCell ref="G75:G76"/>
    <mergeCell ref="H75:H76"/>
    <mergeCell ref="J75:K75"/>
    <mergeCell ref="J76:K76"/>
    <mergeCell ref="B71:B73"/>
    <mergeCell ref="C71:C73"/>
    <mergeCell ref="I71:K71"/>
    <mergeCell ref="F72:F73"/>
    <mergeCell ref="G72:G73"/>
    <mergeCell ref="H72:H73"/>
    <mergeCell ref="J72:K72"/>
    <mergeCell ref="J73:K73"/>
    <mergeCell ref="AA66:AA67"/>
    <mergeCell ref="J67:K67"/>
    <mergeCell ref="D69:E73"/>
    <mergeCell ref="F69:F70"/>
    <mergeCell ref="G69:G70"/>
    <mergeCell ref="H69:H70"/>
    <mergeCell ref="J69:K69"/>
    <mergeCell ref="J70:K70"/>
    <mergeCell ref="N66:N67"/>
    <mergeCell ref="P66:P67"/>
    <mergeCell ref="R66:R67"/>
    <mergeCell ref="T66:T67"/>
    <mergeCell ref="V66:V67"/>
    <mergeCell ref="Y66:Y67"/>
    <mergeCell ref="B66:C67"/>
    <mergeCell ref="D66:F67"/>
    <mergeCell ref="G66:G67"/>
    <mergeCell ref="H66:I67"/>
    <mergeCell ref="J66:K66"/>
    <mergeCell ref="L66:L67"/>
    <mergeCell ref="Q63:S63"/>
    <mergeCell ref="U63:AA63"/>
    <mergeCell ref="B64:C64"/>
    <mergeCell ref="F64:G64"/>
    <mergeCell ref="H64:I64"/>
    <mergeCell ref="J64:P64"/>
    <mergeCell ref="Q64:S64"/>
    <mergeCell ref="U64:AA64"/>
    <mergeCell ref="J61:K61"/>
    <mergeCell ref="P61:AA61"/>
    <mergeCell ref="B62:C62"/>
    <mergeCell ref="D62:E64"/>
    <mergeCell ref="F62:P62"/>
    <mergeCell ref="Q62:AA62"/>
    <mergeCell ref="B63:C63"/>
    <mergeCell ref="F63:G63"/>
    <mergeCell ref="H63:I63"/>
    <mergeCell ref="J63:P63"/>
    <mergeCell ref="B59:C61"/>
    <mergeCell ref="D59:D61"/>
    <mergeCell ref="E59:F61"/>
    <mergeCell ref="J59:K59"/>
    <mergeCell ref="S59:T59"/>
    <mergeCell ref="U59:V59"/>
    <mergeCell ref="G60:G61"/>
    <mergeCell ref="H60:H61"/>
    <mergeCell ref="J60:K60"/>
    <mergeCell ref="P60:AA60"/>
    <mergeCell ref="W57:X57"/>
    <mergeCell ref="Z57:AA57"/>
    <mergeCell ref="J58:K58"/>
    <mergeCell ref="P58:P59"/>
    <mergeCell ref="S58:T58"/>
    <mergeCell ref="U58:V58"/>
    <mergeCell ref="W58:X58"/>
    <mergeCell ref="Z58:AA58"/>
    <mergeCell ref="W59:X59"/>
    <mergeCell ref="Z59:AA59"/>
    <mergeCell ref="B57:B58"/>
    <mergeCell ref="C57:C58"/>
    <mergeCell ref="G57:G58"/>
    <mergeCell ref="H57:H58"/>
    <mergeCell ref="J57:K57"/>
    <mergeCell ref="S57:T57"/>
    <mergeCell ref="Z55:AA55"/>
    <mergeCell ref="D56:D58"/>
    <mergeCell ref="E56:F58"/>
    <mergeCell ref="J56:K56"/>
    <mergeCell ref="P56:P57"/>
    <mergeCell ref="S56:T56"/>
    <mergeCell ref="U56:V56"/>
    <mergeCell ref="W56:X56"/>
    <mergeCell ref="Z56:AA56"/>
    <mergeCell ref="U57:V57"/>
    <mergeCell ref="B55:C55"/>
    <mergeCell ref="E55:F55"/>
    <mergeCell ref="J55:K55"/>
    <mergeCell ref="S55:T55"/>
    <mergeCell ref="U55:V55"/>
    <mergeCell ref="W55:X55"/>
    <mergeCell ref="H52:H53"/>
    <mergeCell ref="J52:K52"/>
    <mergeCell ref="P52:R52"/>
    <mergeCell ref="T52:U52"/>
    <mergeCell ref="X52:Y52"/>
    <mergeCell ref="J53:K53"/>
    <mergeCell ref="P53:R53"/>
    <mergeCell ref="T53:U53"/>
    <mergeCell ref="X53:Y53"/>
    <mergeCell ref="T50:U50"/>
    <mergeCell ref="X50:Y50"/>
    <mergeCell ref="B51:C51"/>
    <mergeCell ref="D51:D53"/>
    <mergeCell ref="E51:F53"/>
    <mergeCell ref="J51:K51"/>
    <mergeCell ref="P51:R51"/>
    <mergeCell ref="T51:U51"/>
    <mergeCell ref="X51:Y51"/>
    <mergeCell ref="G52:G53"/>
    <mergeCell ref="B49:B50"/>
    <mergeCell ref="C49:C50"/>
    <mergeCell ref="G49:G50"/>
    <mergeCell ref="H49:H50"/>
    <mergeCell ref="J49:K49"/>
    <mergeCell ref="P49:R49"/>
    <mergeCell ref="J50:K50"/>
    <mergeCell ref="P50:R50"/>
    <mergeCell ref="T47:U47"/>
    <mergeCell ref="X47:Y47"/>
    <mergeCell ref="D48:D50"/>
    <mergeCell ref="E48:F50"/>
    <mergeCell ref="J48:K48"/>
    <mergeCell ref="P48:R48"/>
    <mergeCell ref="T48:U48"/>
    <mergeCell ref="X48:Y48"/>
    <mergeCell ref="T49:U49"/>
    <mergeCell ref="X49:Y49"/>
    <mergeCell ref="B43:C45"/>
    <mergeCell ref="F44:F45"/>
    <mergeCell ref="K44:K45"/>
    <mergeCell ref="P44:Q44"/>
    <mergeCell ref="P45:Q45"/>
    <mergeCell ref="B47:C47"/>
    <mergeCell ref="E47:F47"/>
    <mergeCell ref="J47:K47"/>
    <mergeCell ref="P47:R47"/>
    <mergeCell ref="D41:E45"/>
    <mergeCell ref="F41:F42"/>
    <mergeCell ref="J41:J45"/>
    <mergeCell ref="K41:K42"/>
    <mergeCell ref="P41:Q41"/>
    <mergeCell ref="P42:Q42"/>
    <mergeCell ref="B37:B39"/>
    <mergeCell ref="C37:C39"/>
    <mergeCell ref="F38:F39"/>
    <mergeCell ref="K38:K39"/>
    <mergeCell ref="P38:Q38"/>
    <mergeCell ref="P39:Q39"/>
    <mergeCell ref="D35:E39"/>
    <mergeCell ref="F35:F36"/>
    <mergeCell ref="J35:J39"/>
    <mergeCell ref="K35:K36"/>
    <mergeCell ref="P35:Q35"/>
    <mergeCell ref="P36:Q36"/>
    <mergeCell ref="Q32:S32"/>
    <mergeCell ref="U32:AA32"/>
    <mergeCell ref="B33:C33"/>
    <mergeCell ref="F33:G33"/>
    <mergeCell ref="H33:I33"/>
    <mergeCell ref="J33:P33"/>
    <mergeCell ref="Q33:S33"/>
    <mergeCell ref="U33:AA33"/>
    <mergeCell ref="J30:K30"/>
    <mergeCell ref="P30:AA30"/>
    <mergeCell ref="B31:C31"/>
    <mergeCell ref="D31:E33"/>
    <mergeCell ref="F31:P31"/>
    <mergeCell ref="Q31:AA31"/>
    <mergeCell ref="B32:C32"/>
    <mergeCell ref="F32:G32"/>
    <mergeCell ref="H32:I32"/>
    <mergeCell ref="J32:P32"/>
    <mergeCell ref="B28:C30"/>
    <mergeCell ref="D28:D30"/>
    <mergeCell ref="E28:F30"/>
    <mergeCell ref="J28:K28"/>
    <mergeCell ref="S28:T28"/>
    <mergeCell ref="U28:V28"/>
    <mergeCell ref="G29:G30"/>
    <mergeCell ref="H29:H30"/>
    <mergeCell ref="J29:K29"/>
    <mergeCell ref="P29:AA29"/>
    <mergeCell ref="W26:X26"/>
    <mergeCell ref="Z26:AA26"/>
    <mergeCell ref="J27:K27"/>
    <mergeCell ref="P27:P28"/>
    <mergeCell ref="S27:T27"/>
    <mergeCell ref="U27:V27"/>
    <mergeCell ref="W27:X27"/>
    <mergeCell ref="Z27:AA27"/>
    <mergeCell ref="W28:X28"/>
    <mergeCell ref="Z28:AA28"/>
    <mergeCell ref="B26:B27"/>
    <mergeCell ref="C26:C27"/>
    <mergeCell ref="G26:G27"/>
    <mergeCell ref="H26:H27"/>
    <mergeCell ref="J26:K26"/>
    <mergeCell ref="S26:T26"/>
    <mergeCell ref="Z24:AA24"/>
    <mergeCell ref="D25:D27"/>
    <mergeCell ref="E25:F27"/>
    <mergeCell ref="J25:K25"/>
    <mergeCell ref="P25:P26"/>
    <mergeCell ref="S25:T25"/>
    <mergeCell ref="U25:V25"/>
    <mergeCell ref="W25:X25"/>
    <mergeCell ref="Z25:AA25"/>
    <mergeCell ref="U26:V26"/>
    <mergeCell ref="B24:C24"/>
    <mergeCell ref="E24:F24"/>
    <mergeCell ref="J24:K24"/>
    <mergeCell ref="S24:T24"/>
    <mergeCell ref="U24:V24"/>
    <mergeCell ref="W24:X24"/>
    <mergeCell ref="H21:H22"/>
    <mergeCell ref="J21:K21"/>
    <mergeCell ref="P21:R21"/>
    <mergeCell ref="T21:U21"/>
    <mergeCell ref="X21:Y21"/>
    <mergeCell ref="J22:K22"/>
    <mergeCell ref="P22:R22"/>
    <mergeCell ref="T22:U22"/>
    <mergeCell ref="X22:Y22"/>
    <mergeCell ref="T19:U19"/>
    <mergeCell ref="X19:Y19"/>
    <mergeCell ref="B20:C20"/>
    <mergeCell ref="D20:D22"/>
    <mergeCell ref="E20:F22"/>
    <mergeCell ref="J20:K20"/>
    <mergeCell ref="P20:R20"/>
    <mergeCell ref="T20:U20"/>
    <mergeCell ref="X20:Y20"/>
    <mergeCell ref="G21:G22"/>
    <mergeCell ref="B18:B19"/>
    <mergeCell ref="C18:C19"/>
    <mergeCell ref="G18:G19"/>
    <mergeCell ref="H18:H19"/>
    <mergeCell ref="J18:K18"/>
    <mergeCell ref="P18:R18"/>
    <mergeCell ref="J19:K19"/>
    <mergeCell ref="P19:R19"/>
    <mergeCell ref="T16:U16"/>
    <mergeCell ref="X16:Y16"/>
    <mergeCell ref="D17:D19"/>
    <mergeCell ref="E17:F19"/>
    <mergeCell ref="J17:K17"/>
    <mergeCell ref="P17:R17"/>
    <mergeCell ref="T17:U17"/>
    <mergeCell ref="X17:Y17"/>
    <mergeCell ref="T18:U18"/>
    <mergeCell ref="X18:Y18"/>
    <mergeCell ref="B12:C14"/>
    <mergeCell ref="F13:F14"/>
    <mergeCell ref="K13:K14"/>
    <mergeCell ref="P13:Q13"/>
    <mergeCell ref="P14:Q14"/>
    <mergeCell ref="B16:C16"/>
    <mergeCell ref="E16:F16"/>
    <mergeCell ref="J16:K16"/>
    <mergeCell ref="P16:R16"/>
    <mergeCell ref="D10:E14"/>
    <mergeCell ref="F10:F11"/>
    <mergeCell ref="J10:J14"/>
    <mergeCell ref="K10:K11"/>
    <mergeCell ref="P10:Q10"/>
    <mergeCell ref="P11:Q11"/>
    <mergeCell ref="B6:B8"/>
    <mergeCell ref="C6:C8"/>
    <mergeCell ref="F7:F8"/>
    <mergeCell ref="K7:K8"/>
    <mergeCell ref="P7:Q7"/>
    <mergeCell ref="P8:Q8"/>
    <mergeCell ref="D4:E8"/>
    <mergeCell ref="F4:F5"/>
    <mergeCell ref="J4:J8"/>
    <mergeCell ref="K4:K5"/>
    <mergeCell ref="P4:Q4"/>
    <mergeCell ref="P5:Q5"/>
    <mergeCell ref="P1:Q2"/>
    <mergeCell ref="S1:S2"/>
    <mergeCell ref="U1:U2"/>
    <mergeCell ref="W1:W2"/>
    <mergeCell ref="Y1:Y2"/>
    <mergeCell ref="AA1:AA2"/>
    <mergeCell ref="A1:C2"/>
    <mergeCell ref="D1:E2"/>
    <mergeCell ref="F1:F2"/>
    <mergeCell ref="J1:J2"/>
    <mergeCell ref="K1:L2"/>
    <mergeCell ref="N1:N2"/>
  </mergeCells>
  <pageMargins left="0.19685039370078738" right="0.19685039370078738" top="0.19685039370078738" bottom="0.19685039370078738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AB6 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</dc:creator>
  <cp:lastModifiedBy>Mukesh Kumar</cp:lastModifiedBy>
  <dcterms:created xsi:type="dcterms:W3CDTF">2026-07-28T15:47:40Z</dcterms:created>
  <dcterms:modified xsi:type="dcterms:W3CDTF">2026-07-28T15:48:09Z</dcterms:modified>
</cp:coreProperties>
</file>