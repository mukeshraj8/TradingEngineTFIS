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FIS\ChatGpt\"/>
    </mc:Choice>
  </mc:AlternateContent>
  <xr:revisionPtr revIDLastSave="0" documentId="8_{AB49ACCB-98D1-4543-AD61-D725F0B380F4}" xr6:coauthVersionLast="47" xr6:coauthVersionMax="47" xr10:uidLastSave="{00000000-0000-0000-0000-000000000000}"/>
  <bookViews>
    <workbookView xWindow="-120" yWindow="-120" windowWidth="29040" windowHeight="15840" xr2:uid="{BB157C13-4BE7-4E5D-A287-43ED1247B72B}"/>
  </bookViews>
  <sheets>
    <sheet name="AB6 OS" sheetId="1" r:id="rId1"/>
  </sheets>
  <externalReferences>
    <externalReference r:id="rId2"/>
  </externalReferences>
  <definedNames>
    <definedName name="STOCKS">[1]AB8!$B$8:$B$257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79" i="1" l="1"/>
  <c r="N279" i="1"/>
  <c r="M279" i="1"/>
  <c r="L279" i="1"/>
  <c r="J279" i="1"/>
  <c r="I279" i="1"/>
  <c r="P278" i="1"/>
  <c r="N278" i="1"/>
  <c r="M278" i="1"/>
  <c r="L278" i="1"/>
  <c r="J278" i="1"/>
  <c r="I278" i="1"/>
  <c r="H278" i="1"/>
  <c r="G278" i="1"/>
  <c r="Z277" i="1" a="1"/>
  <c r="Z277" i="1" s="1"/>
  <c r="W277" i="1" a="1"/>
  <c r="W277" i="1" s="1"/>
  <c r="U277" i="1"/>
  <c r="U277" i="1" a="1"/>
  <c r="S277" i="1" a="1"/>
  <c r="S277" i="1" s="1"/>
  <c r="R277" i="1"/>
  <c r="R277" i="1" a="1"/>
  <c r="O277" i="1"/>
  <c r="N277" i="1"/>
  <c r="M277" i="1"/>
  <c r="L277" i="1"/>
  <c r="J277" i="1"/>
  <c r="I277" i="1"/>
  <c r="H277" i="1"/>
  <c r="G277" i="1"/>
  <c r="E277" i="1"/>
  <c r="D277" i="1"/>
  <c r="B277" i="1"/>
  <c r="Z276" i="1" a="1"/>
  <c r="Z276" i="1" s="1"/>
  <c r="W276" i="1"/>
  <c r="W276" i="1" a="1"/>
  <c r="U276" i="1" a="1"/>
  <c r="U276" i="1" s="1"/>
  <c r="S276" i="1"/>
  <c r="S276" i="1" a="1"/>
  <c r="R276" i="1" a="1"/>
  <c r="R276" i="1" s="1"/>
  <c r="P276" i="1"/>
  <c r="N276" i="1"/>
  <c r="M276" i="1"/>
  <c r="L276" i="1"/>
  <c r="J276" i="1"/>
  <c r="I276" i="1"/>
  <c r="Z275" i="1" a="1"/>
  <c r="Z275" i="1" s="1"/>
  <c r="W275" i="1"/>
  <c r="W275" i="1" a="1"/>
  <c r="U275" i="1" a="1"/>
  <c r="U275" i="1" s="1"/>
  <c r="S275" i="1"/>
  <c r="S275" i="1" a="1"/>
  <c r="R275" i="1" a="1"/>
  <c r="R275" i="1" s="1"/>
  <c r="Q275" i="1"/>
  <c r="N275" i="1"/>
  <c r="M275" i="1"/>
  <c r="L275" i="1"/>
  <c r="J275" i="1"/>
  <c r="I275" i="1"/>
  <c r="H275" i="1"/>
  <c r="G275" i="1"/>
  <c r="C275" i="1" a="1"/>
  <c r="C275" i="1" s="1"/>
  <c r="B275" i="1"/>
  <c r="B275" i="1" a="1"/>
  <c r="A275" i="1"/>
  <c r="Z274" i="1"/>
  <c r="Z274" i="1" a="1"/>
  <c r="W274" i="1" a="1"/>
  <c r="W274" i="1" s="1"/>
  <c r="U274" i="1"/>
  <c r="U274" i="1" a="1"/>
  <c r="S274" i="1" a="1"/>
  <c r="S274" i="1" s="1"/>
  <c r="R274" i="1"/>
  <c r="R274" i="1" a="1"/>
  <c r="Q274" i="1"/>
  <c r="P274" i="1"/>
  <c r="O274" i="1"/>
  <c r="N274" i="1"/>
  <c r="M274" i="1"/>
  <c r="L274" i="1"/>
  <c r="J274" i="1"/>
  <c r="I274" i="1"/>
  <c r="H274" i="1"/>
  <c r="G274" i="1"/>
  <c r="E274" i="1"/>
  <c r="D274" i="1"/>
  <c r="C274" i="1"/>
  <c r="B274" i="1"/>
  <c r="A274" i="1"/>
  <c r="Z273" i="1"/>
  <c r="Y273" i="1"/>
  <c r="W273" i="1"/>
  <c r="U273" i="1"/>
  <c r="S273" i="1"/>
  <c r="R273" i="1"/>
  <c r="Q273" i="1"/>
  <c r="P273" i="1"/>
  <c r="O273" i="1"/>
  <c r="N273" i="1"/>
  <c r="M273" i="1"/>
  <c r="L273" i="1"/>
  <c r="J273" i="1"/>
  <c r="I273" i="1"/>
  <c r="H273" i="1"/>
  <c r="G273" i="1"/>
  <c r="E273" i="1"/>
  <c r="D273" i="1"/>
  <c r="B273" i="1"/>
  <c r="Z271" i="1"/>
  <c r="X271" i="1"/>
  <c r="X271" i="1" a="1"/>
  <c r="V271" i="1" a="1"/>
  <c r="V271" i="1" s="1"/>
  <c r="T271" i="1" a="1"/>
  <c r="T271" i="1" s="1"/>
  <c r="S271" i="1"/>
  <c r="O271" i="1" a="1"/>
  <c r="O271" i="1" s="1"/>
  <c r="M271" i="1" a="1"/>
  <c r="M271" i="1" s="1"/>
  <c r="L271" i="1"/>
  <c r="J271" i="1"/>
  <c r="I271" i="1"/>
  <c r="C271" i="1" a="1"/>
  <c r="C271" i="1" s="1"/>
  <c r="B271" i="1" a="1"/>
  <c r="B271" i="1" s="1"/>
  <c r="A271" i="1"/>
  <c r="Z270" i="1"/>
  <c r="X270" i="1" a="1"/>
  <c r="X270" i="1" s="1"/>
  <c r="V270" i="1" a="1"/>
  <c r="V270" i="1" s="1"/>
  <c r="T270" i="1"/>
  <c r="T270" i="1" a="1"/>
  <c r="S270" i="1"/>
  <c r="O270" i="1" a="1"/>
  <c r="O270" i="1" s="1"/>
  <c r="N270" i="1" a="1"/>
  <c r="N270" i="1" s="1"/>
  <c r="M270" i="1" a="1"/>
  <c r="M270" i="1" s="1"/>
  <c r="L270" i="1"/>
  <c r="J270" i="1"/>
  <c r="I270" i="1"/>
  <c r="H270" i="1"/>
  <c r="G270" i="1"/>
  <c r="C270" i="1"/>
  <c r="B270" i="1"/>
  <c r="A270" i="1"/>
  <c r="AA269" i="1"/>
  <c r="Z269" i="1"/>
  <c r="X269" i="1"/>
  <c r="W269" i="1"/>
  <c r="V269" i="1"/>
  <c r="T269" i="1"/>
  <c r="S269" i="1"/>
  <c r="P269" i="1"/>
  <c r="O269" i="1"/>
  <c r="N269" i="1"/>
  <c r="M269" i="1"/>
  <c r="L269" i="1"/>
  <c r="J269" i="1"/>
  <c r="I269" i="1"/>
  <c r="H269" i="1"/>
  <c r="G269" i="1"/>
  <c r="E269" i="1"/>
  <c r="D269" i="1"/>
  <c r="B269" i="1"/>
  <c r="Z268" i="1"/>
  <c r="X268" i="1" a="1"/>
  <c r="X268" i="1" s="1"/>
  <c r="V268" i="1"/>
  <c r="V268" i="1" a="1"/>
  <c r="T268" i="1" a="1"/>
  <c r="T268" i="1" s="1"/>
  <c r="S268" i="1"/>
  <c r="O268" i="1" a="1"/>
  <c r="O268" i="1" s="1"/>
  <c r="M268" i="1" a="1"/>
  <c r="M268" i="1" s="1"/>
  <c r="L268" i="1"/>
  <c r="J268" i="1"/>
  <c r="I268" i="1"/>
  <c r="Z267" i="1"/>
  <c r="X267" i="1" a="1"/>
  <c r="X267" i="1" s="1"/>
  <c r="V267" i="1" a="1"/>
  <c r="V267" i="1" s="1"/>
  <c r="T267" i="1"/>
  <c r="T267" i="1" a="1"/>
  <c r="S267" i="1"/>
  <c r="O267" i="1" a="1"/>
  <c r="O267" i="1" s="1"/>
  <c r="N267" i="1" a="1"/>
  <c r="N267" i="1" s="1"/>
  <c r="M267" i="1" a="1"/>
  <c r="M267" i="1" s="1"/>
  <c r="L267" i="1"/>
  <c r="J267" i="1"/>
  <c r="I267" i="1"/>
  <c r="H267" i="1"/>
  <c r="G267" i="1"/>
  <c r="C267" i="1"/>
  <c r="C267" i="1" a="1"/>
  <c r="B267" i="1" a="1"/>
  <c r="B267" i="1" s="1"/>
  <c r="A267" i="1"/>
  <c r="AA266" i="1"/>
  <c r="Z266" i="1"/>
  <c r="X266" i="1"/>
  <c r="W266" i="1"/>
  <c r="V266" i="1"/>
  <c r="T266" i="1"/>
  <c r="S266" i="1"/>
  <c r="P266" i="1"/>
  <c r="O266" i="1"/>
  <c r="N266" i="1"/>
  <c r="M266" i="1"/>
  <c r="L266" i="1"/>
  <c r="J266" i="1"/>
  <c r="I266" i="1"/>
  <c r="H266" i="1"/>
  <c r="G266" i="1"/>
  <c r="E266" i="1"/>
  <c r="D266" i="1"/>
  <c r="C266" i="1"/>
  <c r="B266" i="1"/>
  <c r="A266" i="1"/>
  <c r="AA265" i="1"/>
  <c r="Z265" i="1"/>
  <c r="X265" i="1"/>
  <c r="W265" i="1"/>
  <c r="V265" i="1"/>
  <c r="T265" i="1"/>
  <c r="S265" i="1"/>
  <c r="P265" i="1"/>
  <c r="O265" i="1"/>
  <c r="N265" i="1"/>
  <c r="M265" i="1"/>
  <c r="L265" i="1"/>
  <c r="J265" i="1"/>
  <c r="I265" i="1"/>
  <c r="H265" i="1"/>
  <c r="G265" i="1"/>
  <c r="E265" i="1"/>
  <c r="D265" i="1"/>
  <c r="B265" i="1"/>
  <c r="AA263" i="1"/>
  <c r="Z263" i="1" a="1"/>
  <c r="Z263" i="1" s="1"/>
  <c r="Y263" i="1"/>
  <c r="Y263" i="1" a="1"/>
  <c r="X263" i="1" a="1"/>
  <c r="X263" i="1" s="1"/>
  <c r="W263" i="1"/>
  <c r="W263" i="1" a="1"/>
  <c r="V263" i="1" a="1"/>
  <c r="V263" i="1" s="1"/>
  <c r="U263" i="1"/>
  <c r="U263" i="1" a="1"/>
  <c r="T263" i="1" a="1"/>
  <c r="T263" i="1" s="1"/>
  <c r="S263" i="1"/>
  <c r="S263" i="1" a="1"/>
  <c r="R263" i="1" a="1"/>
  <c r="R263" i="1" s="1"/>
  <c r="P263" i="1"/>
  <c r="P263" i="1" a="1"/>
  <c r="O263" i="1" a="1"/>
  <c r="O263" i="1" s="1"/>
  <c r="N263" i="1"/>
  <c r="N263" i="1" a="1"/>
  <c r="M263" i="1" a="1"/>
  <c r="M263" i="1" s="1"/>
  <c r="L263" i="1"/>
  <c r="I263" i="1"/>
  <c r="I263" i="1" a="1"/>
  <c r="H263" i="1" a="1"/>
  <c r="H263" i="1" s="1"/>
  <c r="G263" i="1"/>
  <c r="G263" i="1" a="1"/>
  <c r="A263" i="1"/>
  <c r="AA262" i="1"/>
  <c r="Z262" i="1" a="1"/>
  <c r="Z262" i="1" s="1"/>
  <c r="Y262" i="1"/>
  <c r="Y262" i="1" a="1"/>
  <c r="X262" i="1" a="1"/>
  <c r="X262" i="1" s="1"/>
  <c r="W262" i="1" a="1"/>
  <c r="W262" i="1" s="1"/>
  <c r="V262" i="1" a="1"/>
  <c r="V262" i="1" s="1"/>
  <c r="U262" i="1" a="1"/>
  <c r="U262" i="1" s="1"/>
  <c r="T262" i="1" a="1"/>
  <c r="T262" i="1" s="1"/>
  <c r="S262" i="1" a="1"/>
  <c r="S262" i="1" s="1"/>
  <c r="R262" i="1" a="1"/>
  <c r="R262" i="1" s="1"/>
  <c r="P262" i="1"/>
  <c r="P262" i="1" a="1"/>
  <c r="O262" i="1" a="1"/>
  <c r="O262" i="1" s="1"/>
  <c r="N262" i="1" a="1"/>
  <c r="N262" i="1" s="1"/>
  <c r="M262" i="1" a="1"/>
  <c r="M262" i="1" s="1"/>
  <c r="L262" i="1"/>
  <c r="K262" i="1"/>
  <c r="I262" i="1" a="1"/>
  <c r="I262" i="1" s="1"/>
  <c r="H262" i="1" a="1"/>
  <c r="H262" i="1" s="1"/>
  <c r="G262" i="1" a="1"/>
  <c r="G262" i="1" s="1"/>
  <c r="F262" i="1"/>
  <c r="A262" i="1"/>
  <c r="B261" i="1"/>
  <c r="A261" i="1"/>
  <c r="AA260" i="1"/>
  <c r="Z260" i="1"/>
  <c r="Z260" i="1" a="1"/>
  <c r="Y260" i="1" a="1"/>
  <c r="Y260" i="1" s="1"/>
  <c r="X260" i="1"/>
  <c r="X260" i="1" a="1"/>
  <c r="W260" i="1" a="1"/>
  <c r="W260" i="1" s="1"/>
  <c r="U260" i="1" a="1"/>
  <c r="U260" i="1" s="1"/>
  <c r="T260" i="1"/>
  <c r="T260" i="1" a="1"/>
  <c r="S260" i="1" a="1"/>
  <c r="S260" i="1" s="1"/>
  <c r="R260" i="1"/>
  <c r="R260" i="1" a="1"/>
  <c r="P260" i="1" a="1"/>
  <c r="P260" i="1" s="1"/>
  <c r="O260" i="1"/>
  <c r="O260" i="1" a="1"/>
  <c r="N260" i="1" a="1"/>
  <c r="N260" i="1" s="1"/>
  <c r="M260" i="1"/>
  <c r="M260" i="1" a="1"/>
  <c r="L260" i="1"/>
  <c r="I260" i="1" a="1"/>
  <c r="I260" i="1" s="1"/>
  <c r="H260" i="1" a="1"/>
  <c r="H260" i="1" s="1"/>
  <c r="G260" i="1"/>
  <c r="G260" i="1" a="1"/>
  <c r="C260" i="1" a="1"/>
  <c r="C260" i="1" s="1"/>
  <c r="B260" i="1"/>
  <c r="A260" i="1"/>
  <c r="AA259" i="1"/>
  <c r="Z259" i="1" a="1"/>
  <c r="Z259" i="1" s="1"/>
  <c r="Y259" i="1"/>
  <c r="Y259" i="1" a="1"/>
  <c r="X259" i="1" a="1"/>
  <c r="X259" i="1" s="1"/>
  <c r="W259" i="1"/>
  <c r="W259" i="1" a="1"/>
  <c r="U259" i="1"/>
  <c r="U259" i="1" a="1"/>
  <c r="T259" i="1" a="1"/>
  <c r="T259" i="1" s="1"/>
  <c r="S259" i="1"/>
  <c r="S259" i="1" a="1"/>
  <c r="R259" i="1" a="1"/>
  <c r="R259" i="1" s="1"/>
  <c r="P259" i="1"/>
  <c r="P259" i="1" a="1"/>
  <c r="O259" i="1" a="1"/>
  <c r="O259" i="1" s="1"/>
  <c r="N259" i="1"/>
  <c r="N259" i="1" a="1"/>
  <c r="M259" i="1" a="1"/>
  <c r="M259" i="1" s="1"/>
  <c r="L259" i="1"/>
  <c r="K259" i="1"/>
  <c r="J259" i="1"/>
  <c r="I259" i="1"/>
  <c r="I259" i="1" a="1"/>
  <c r="H259" i="1"/>
  <c r="H259" i="1" a="1"/>
  <c r="G259" i="1"/>
  <c r="G259" i="1" a="1"/>
  <c r="F259" i="1"/>
  <c r="D259" i="1"/>
  <c r="C259" i="1"/>
  <c r="V260" i="1" s="1" a="1"/>
  <c r="V260" i="1" s="1"/>
  <c r="C259" i="1" a="1"/>
  <c r="B259" i="1"/>
  <c r="A259" i="1"/>
  <c r="C258" i="1"/>
  <c r="C258" i="1" a="1"/>
  <c r="B258" i="1"/>
  <c r="A258" i="1"/>
  <c r="AA257" i="1"/>
  <c r="Z257" i="1"/>
  <c r="Z257" i="1" a="1"/>
  <c r="Y257" i="1" a="1"/>
  <c r="Y257" i="1" s="1"/>
  <c r="X257" i="1"/>
  <c r="X257" i="1" a="1"/>
  <c r="W257" i="1" a="1"/>
  <c r="W257" i="1" s="1"/>
  <c r="V257" i="1"/>
  <c r="V257" i="1" a="1"/>
  <c r="U257" i="1" a="1"/>
  <c r="U257" i="1" s="1"/>
  <c r="T257" i="1"/>
  <c r="T257" i="1" a="1"/>
  <c r="S257" i="1" a="1"/>
  <c r="S257" i="1" s="1"/>
  <c r="R257" i="1"/>
  <c r="R257" i="1" a="1"/>
  <c r="P257" i="1" a="1"/>
  <c r="P257" i="1" s="1"/>
  <c r="O257" i="1"/>
  <c r="O257" i="1" a="1"/>
  <c r="N257" i="1" a="1"/>
  <c r="N257" i="1" s="1"/>
  <c r="M257" i="1"/>
  <c r="M257" i="1" a="1"/>
  <c r="L257" i="1"/>
  <c r="I257" i="1" a="1"/>
  <c r="I257" i="1" s="1"/>
  <c r="H257" i="1"/>
  <c r="H257" i="1" a="1"/>
  <c r="G257" i="1" a="1"/>
  <c r="G257" i="1" s="1"/>
  <c r="A257" i="1"/>
  <c r="AA256" i="1"/>
  <c r="Z256" i="1" a="1"/>
  <c r="Z256" i="1" s="1"/>
  <c r="Y256" i="1"/>
  <c r="Y256" i="1" a="1"/>
  <c r="X256" i="1" a="1"/>
  <c r="X256" i="1" s="1"/>
  <c r="W256" i="1"/>
  <c r="W256" i="1" a="1"/>
  <c r="V256" i="1" a="1"/>
  <c r="V256" i="1" s="1"/>
  <c r="U256" i="1"/>
  <c r="U256" i="1" a="1"/>
  <c r="T256" i="1" a="1"/>
  <c r="T256" i="1" s="1"/>
  <c r="S256" i="1"/>
  <c r="S256" i="1" a="1"/>
  <c r="R256" i="1" a="1"/>
  <c r="R256" i="1" s="1"/>
  <c r="P256" i="1"/>
  <c r="P256" i="1" a="1"/>
  <c r="O256" i="1" a="1"/>
  <c r="O256" i="1" s="1"/>
  <c r="N256" i="1"/>
  <c r="N256" i="1" a="1"/>
  <c r="M256" i="1" a="1"/>
  <c r="M256" i="1" s="1"/>
  <c r="L256" i="1"/>
  <c r="K256" i="1"/>
  <c r="I256" i="1" a="1"/>
  <c r="I256" i="1" s="1"/>
  <c r="H256" i="1"/>
  <c r="H256" i="1" a="1"/>
  <c r="G256" i="1" a="1"/>
  <c r="G256" i="1" s="1"/>
  <c r="F256" i="1"/>
  <c r="A256" i="1"/>
  <c r="C255" i="1" a="1"/>
  <c r="C255" i="1" s="1"/>
  <c r="B255" i="1"/>
  <c r="A255" i="1"/>
  <c r="AA254" i="1"/>
  <c r="Z254" i="1"/>
  <c r="Z254" i="1" a="1"/>
  <c r="Y254" i="1" a="1"/>
  <c r="Y254" i="1" s="1"/>
  <c r="X254" i="1"/>
  <c r="X254" i="1" a="1"/>
  <c r="W254" i="1" a="1"/>
  <c r="W254" i="1" s="1"/>
  <c r="V254" i="1"/>
  <c r="V254" i="1" a="1"/>
  <c r="U254" i="1" a="1"/>
  <c r="U254" i="1" s="1"/>
  <c r="T254" i="1"/>
  <c r="T254" i="1" a="1"/>
  <c r="S254" i="1" a="1"/>
  <c r="S254" i="1" s="1"/>
  <c r="R254" i="1"/>
  <c r="R254" i="1" a="1"/>
  <c r="P254" i="1" a="1"/>
  <c r="P254" i="1" s="1"/>
  <c r="O254" i="1"/>
  <c r="O254" i="1" a="1"/>
  <c r="N254" i="1" a="1"/>
  <c r="N254" i="1" s="1"/>
  <c r="M254" i="1"/>
  <c r="M254" i="1" a="1"/>
  <c r="L254" i="1"/>
  <c r="I254" i="1"/>
  <c r="I254" i="1" a="1"/>
  <c r="H254" i="1"/>
  <c r="H254" i="1" a="1"/>
  <c r="G254" i="1"/>
  <c r="G254" i="1" a="1"/>
  <c r="C254" i="1"/>
  <c r="C254" i="1" a="1"/>
  <c r="B254" i="1"/>
  <c r="A254" i="1"/>
  <c r="AA253" i="1"/>
  <c r="Z253" i="1" a="1"/>
  <c r="Z253" i="1" s="1"/>
  <c r="Y253" i="1"/>
  <c r="Y253" i="1" a="1"/>
  <c r="X253" i="1" a="1"/>
  <c r="X253" i="1" s="1"/>
  <c r="W253" i="1"/>
  <c r="W253" i="1" a="1"/>
  <c r="V253" i="1" a="1"/>
  <c r="V253" i="1" s="1"/>
  <c r="U253" i="1"/>
  <c r="U253" i="1" a="1"/>
  <c r="T253" i="1" a="1"/>
  <c r="T253" i="1" s="1"/>
  <c r="S253" i="1"/>
  <c r="S253" i="1" a="1"/>
  <c r="R253" i="1" a="1"/>
  <c r="R253" i="1" s="1"/>
  <c r="P253" i="1"/>
  <c r="P253" i="1" a="1"/>
  <c r="O253" i="1" a="1"/>
  <c r="O253" i="1" s="1"/>
  <c r="N253" i="1"/>
  <c r="N253" i="1" a="1"/>
  <c r="M253" i="1" a="1"/>
  <c r="M253" i="1" s="1"/>
  <c r="L253" i="1"/>
  <c r="K253" i="1"/>
  <c r="J253" i="1"/>
  <c r="I253" i="1"/>
  <c r="I253" i="1" a="1"/>
  <c r="H253" i="1"/>
  <c r="H253" i="1" a="1"/>
  <c r="G253" i="1"/>
  <c r="G253" i="1" a="1"/>
  <c r="F253" i="1"/>
  <c r="D253" i="1"/>
  <c r="B253" i="1"/>
  <c r="A253" i="1"/>
  <c r="P251" i="1"/>
  <c r="O251" i="1" a="1"/>
  <c r="O251" i="1" s="1"/>
  <c r="N251" i="1"/>
  <c r="M251" i="1"/>
  <c r="L251" i="1"/>
  <c r="J251" i="1"/>
  <c r="I251" i="1"/>
  <c r="P250" i="1"/>
  <c r="O250" i="1" a="1"/>
  <c r="O250" i="1" s="1"/>
  <c r="N250" i="1"/>
  <c r="M250" i="1"/>
  <c r="L250" i="1"/>
  <c r="J250" i="1"/>
  <c r="I250" i="1"/>
  <c r="H250" i="1"/>
  <c r="G250" i="1"/>
  <c r="Z249" i="1"/>
  <c r="Z249" i="1" a="1"/>
  <c r="W249" i="1" a="1"/>
  <c r="W249" i="1" s="1"/>
  <c r="U249" i="1"/>
  <c r="U249" i="1" a="1"/>
  <c r="S249" i="1" a="1"/>
  <c r="S249" i="1" s="1"/>
  <c r="R249" i="1"/>
  <c r="R249" i="1" a="1"/>
  <c r="O249" i="1"/>
  <c r="N249" i="1"/>
  <c r="M249" i="1"/>
  <c r="L249" i="1"/>
  <c r="J249" i="1"/>
  <c r="I249" i="1"/>
  <c r="H249" i="1"/>
  <c r="G249" i="1"/>
  <c r="E249" i="1"/>
  <c r="D249" i="1"/>
  <c r="B249" i="1"/>
  <c r="Z248" i="1" a="1"/>
  <c r="Z248" i="1" s="1"/>
  <c r="Y248" i="1"/>
  <c r="W248" i="1"/>
  <c r="W248" i="1" a="1"/>
  <c r="U248" i="1" a="1"/>
  <c r="U248" i="1" s="1"/>
  <c r="S248" i="1"/>
  <c r="S248" i="1" a="1"/>
  <c r="R248" i="1" a="1"/>
  <c r="R248" i="1" s="1"/>
  <c r="P248" i="1"/>
  <c r="N248" i="1"/>
  <c r="M248" i="1"/>
  <c r="L248" i="1"/>
  <c r="J248" i="1"/>
  <c r="I248" i="1"/>
  <c r="Z247" i="1" a="1"/>
  <c r="Z247" i="1" s="1"/>
  <c r="W247" i="1" a="1"/>
  <c r="W247" i="1" s="1"/>
  <c r="U247" i="1"/>
  <c r="U247" i="1" a="1"/>
  <c r="S247" i="1" a="1"/>
  <c r="S247" i="1" s="1"/>
  <c r="R247" i="1" a="1"/>
  <c r="R247" i="1" s="1"/>
  <c r="Q247" i="1"/>
  <c r="N247" i="1"/>
  <c r="M247" i="1"/>
  <c r="L247" i="1"/>
  <c r="J247" i="1"/>
  <c r="I247" i="1"/>
  <c r="H247" i="1"/>
  <c r="G247" i="1"/>
  <c r="C247" i="1"/>
  <c r="C247" i="1" a="1"/>
  <c r="B247" i="1" a="1"/>
  <c r="B247" i="1" s="1"/>
  <c r="A247" i="1"/>
  <c r="Z246" i="1"/>
  <c r="Z246" i="1" a="1"/>
  <c r="W246" i="1"/>
  <c r="W246" i="1" a="1"/>
  <c r="U246" i="1" a="1"/>
  <c r="U246" i="1" s="1"/>
  <c r="S246" i="1" a="1"/>
  <c r="S246" i="1" s="1"/>
  <c r="R246" i="1" a="1"/>
  <c r="R246" i="1" s="1"/>
  <c r="Q246" i="1"/>
  <c r="P246" i="1"/>
  <c r="O246" i="1"/>
  <c r="N246" i="1"/>
  <c r="M246" i="1"/>
  <c r="L246" i="1"/>
  <c r="J246" i="1"/>
  <c r="I246" i="1"/>
  <c r="H246" i="1"/>
  <c r="G246" i="1"/>
  <c r="E246" i="1"/>
  <c r="D246" i="1"/>
  <c r="C246" i="1"/>
  <c r="B246" i="1"/>
  <c r="A246" i="1"/>
  <c r="Z245" i="1"/>
  <c r="Y245" i="1"/>
  <c r="W245" i="1"/>
  <c r="U245" i="1"/>
  <c r="S245" i="1"/>
  <c r="R245" i="1"/>
  <c r="Q245" i="1"/>
  <c r="P245" i="1"/>
  <c r="O245" i="1"/>
  <c r="N245" i="1"/>
  <c r="M245" i="1"/>
  <c r="L245" i="1"/>
  <c r="J245" i="1"/>
  <c r="I245" i="1"/>
  <c r="H245" i="1"/>
  <c r="G245" i="1"/>
  <c r="E245" i="1"/>
  <c r="D245" i="1"/>
  <c r="B245" i="1"/>
  <c r="Z243" i="1"/>
  <c r="X243" i="1"/>
  <c r="X243" i="1" a="1"/>
  <c r="V243" i="1" a="1"/>
  <c r="V243" i="1" s="1"/>
  <c r="T243" i="1" a="1"/>
  <c r="T243" i="1" s="1"/>
  <c r="S243" i="1"/>
  <c r="O243" i="1" a="1"/>
  <c r="O243" i="1" s="1"/>
  <c r="M243" i="1" a="1"/>
  <c r="M243" i="1" s="1"/>
  <c r="L243" i="1"/>
  <c r="J243" i="1"/>
  <c r="I243" i="1"/>
  <c r="C243" i="1"/>
  <c r="C243" i="1" a="1"/>
  <c r="B243" i="1" a="1"/>
  <c r="B243" i="1" s="1"/>
  <c r="A243" i="1"/>
  <c r="Z242" i="1"/>
  <c r="X242" i="1"/>
  <c r="X242" i="1" a="1"/>
  <c r="V242" i="1" a="1"/>
  <c r="V242" i="1" s="1"/>
  <c r="T242" i="1"/>
  <c r="T242" i="1" a="1"/>
  <c r="S242" i="1"/>
  <c r="O242" i="1" a="1"/>
  <c r="O242" i="1" s="1"/>
  <c r="M242" i="1" a="1"/>
  <c r="M242" i="1" s="1"/>
  <c r="L242" i="1"/>
  <c r="J242" i="1"/>
  <c r="I242" i="1"/>
  <c r="H242" i="1"/>
  <c r="G242" i="1"/>
  <c r="C242" i="1"/>
  <c r="B242" i="1"/>
  <c r="A242" i="1"/>
  <c r="AA241" i="1"/>
  <c r="Z241" i="1"/>
  <c r="X241" i="1"/>
  <c r="W241" i="1"/>
  <c r="V241" i="1"/>
  <c r="T241" i="1"/>
  <c r="S241" i="1"/>
  <c r="P241" i="1"/>
  <c r="O241" i="1"/>
  <c r="N241" i="1"/>
  <c r="M241" i="1"/>
  <c r="L241" i="1"/>
  <c r="J241" i="1"/>
  <c r="I241" i="1"/>
  <c r="H241" i="1"/>
  <c r="G241" i="1"/>
  <c r="E241" i="1"/>
  <c r="D241" i="1"/>
  <c r="B241" i="1"/>
  <c r="Z240" i="1"/>
  <c r="X240" i="1" a="1"/>
  <c r="X240" i="1" s="1"/>
  <c r="V240" i="1"/>
  <c r="V240" i="1" a="1"/>
  <c r="T240" i="1" a="1"/>
  <c r="T240" i="1" s="1"/>
  <c r="S240" i="1"/>
  <c r="O240" i="1" a="1"/>
  <c r="O240" i="1" s="1"/>
  <c r="M240" i="1"/>
  <c r="M240" i="1" a="1"/>
  <c r="L240" i="1"/>
  <c r="J240" i="1"/>
  <c r="I240" i="1"/>
  <c r="Z239" i="1"/>
  <c r="X239" i="1"/>
  <c r="X239" i="1" a="1"/>
  <c r="V239" i="1" a="1"/>
  <c r="V239" i="1" s="1"/>
  <c r="T239" i="1"/>
  <c r="T239" i="1" a="1"/>
  <c r="S239" i="1"/>
  <c r="O239" i="1" a="1"/>
  <c r="O239" i="1" s="1"/>
  <c r="M239" i="1" a="1"/>
  <c r="M239" i="1" s="1"/>
  <c r="L239" i="1"/>
  <c r="J239" i="1"/>
  <c r="I239" i="1"/>
  <c r="H239" i="1"/>
  <c r="G239" i="1"/>
  <c r="C239" i="1"/>
  <c r="C239" i="1" a="1"/>
  <c r="B239" i="1" a="1"/>
  <c r="B239" i="1" s="1"/>
  <c r="A239" i="1"/>
  <c r="AA238" i="1"/>
  <c r="Z238" i="1"/>
  <c r="X238" i="1"/>
  <c r="W238" i="1"/>
  <c r="V238" i="1"/>
  <c r="T238" i="1"/>
  <c r="S238" i="1"/>
  <c r="P238" i="1"/>
  <c r="O238" i="1"/>
  <c r="N238" i="1"/>
  <c r="M238" i="1"/>
  <c r="L238" i="1"/>
  <c r="J238" i="1"/>
  <c r="I238" i="1"/>
  <c r="H238" i="1"/>
  <c r="G238" i="1"/>
  <c r="E238" i="1"/>
  <c r="D238" i="1"/>
  <c r="C238" i="1"/>
  <c r="B238" i="1"/>
  <c r="A238" i="1"/>
  <c r="AA237" i="1"/>
  <c r="Z237" i="1"/>
  <c r="X237" i="1"/>
  <c r="W237" i="1"/>
  <c r="V237" i="1"/>
  <c r="T237" i="1"/>
  <c r="S237" i="1"/>
  <c r="P237" i="1"/>
  <c r="O237" i="1"/>
  <c r="N237" i="1"/>
  <c r="M237" i="1"/>
  <c r="L237" i="1"/>
  <c r="J237" i="1"/>
  <c r="I237" i="1"/>
  <c r="H237" i="1"/>
  <c r="G237" i="1"/>
  <c r="E237" i="1"/>
  <c r="D237" i="1"/>
  <c r="B237" i="1"/>
  <c r="AA235" i="1"/>
  <c r="Z235" i="1" a="1"/>
  <c r="Z235" i="1" s="1"/>
  <c r="Y235" i="1"/>
  <c r="Y235" i="1" a="1"/>
  <c r="X235" i="1" a="1"/>
  <c r="X235" i="1" s="1"/>
  <c r="W235" i="1"/>
  <c r="W235" i="1" a="1"/>
  <c r="V235" i="1" a="1"/>
  <c r="V235" i="1" s="1"/>
  <c r="U235" i="1"/>
  <c r="U235" i="1" a="1"/>
  <c r="T235" i="1" a="1"/>
  <c r="T235" i="1" s="1"/>
  <c r="S235" i="1"/>
  <c r="S235" i="1" a="1"/>
  <c r="R235" i="1" a="1"/>
  <c r="R235" i="1" s="1"/>
  <c r="P235" i="1"/>
  <c r="P235" i="1" a="1"/>
  <c r="O235" i="1" a="1"/>
  <c r="O235" i="1" s="1"/>
  <c r="N235" i="1"/>
  <c r="N235" i="1" a="1"/>
  <c r="M235" i="1"/>
  <c r="M235" i="1" a="1"/>
  <c r="L235" i="1"/>
  <c r="I235" i="1" a="1"/>
  <c r="I235" i="1" s="1"/>
  <c r="H235" i="1"/>
  <c r="H235" i="1" a="1"/>
  <c r="G235" i="1" a="1"/>
  <c r="G235" i="1" s="1"/>
  <c r="A235" i="1"/>
  <c r="AA234" i="1"/>
  <c r="Z234" i="1" a="1"/>
  <c r="Z234" i="1" s="1"/>
  <c r="Y234" i="1"/>
  <c r="Y234" i="1" a="1"/>
  <c r="X234" i="1" a="1"/>
  <c r="X234" i="1" s="1"/>
  <c r="W234" i="1"/>
  <c r="W234" i="1" a="1"/>
  <c r="V234" i="1" a="1"/>
  <c r="V234" i="1" s="1"/>
  <c r="U234" i="1"/>
  <c r="U234" i="1" a="1"/>
  <c r="T234" i="1" a="1"/>
  <c r="T234" i="1" s="1"/>
  <c r="S234" i="1"/>
  <c r="S234" i="1" a="1"/>
  <c r="R234" i="1" a="1"/>
  <c r="R234" i="1" s="1"/>
  <c r="P234" i="1"/>
  <c r="P234" i="1" a="1"/>
  <c r="O234" i="1" a="1"/>
  <c r="O234" i="1" s="1"/>
  <c r="N234" i="1"/>
  <c r="N234" i="1" a="1"/>
  <c r="M234" i="1" a="1"/>
  <c r="M234" i="1" s="1"/>
  <c r="L234" i="1"/>
  <c r="K234" i="1"/>
  <c r="I234" i="1" a="1"/>
  <c r="I234" i="1" s="1"/>
  <c r="H234" i="1"/>
  <c r="H234" i="1" a="1"/>
  <c r="G234" i="1" a="1"/>
  <c r="G234" i="1" s="1"/>
  <c r="F234" i="1"/>
  <c r="A234" i="1"/>
  <c r="B233" i="1"/>
  <c r="A233" i="1"/>
  <c r="AA232" i="1"/>
  <c r="Z232" i="1"/>
  <c r="Z232" i="1" a="1"/>
  <c r="Y232" i="1"/>
  <c r="Y232" i="1" a="1"/>
  <c r="X232" i="1"/>
  <c r="X232" i="1" a="1"/>
  <c r="W232" i="1"/>
  <c r="W232" i="1" a="1"/>
  <c r="U232" i="1"/>
  <c r="U232" i="1" a="1"/>
  <c r="T232" i="1"/>
  <c r="T232" i="1" a="1"/>
  <c r="S232" i="1"/>
  <c r="S232" i="1" a="1"/>
  <c r="R232" i="1"/>
  <c r="R232" i="1" a="1"/>
  <c r="P232" i="1"/>
  <c r="P232" i="1" a="1"/>
  <c r="O232" i="1"/>
  <c r="O232" i="1" a="1"/>
  <c r="N232" i="1"/>
  <c r="N232" i="1" a="1"/>
  <c r="M232" i="1"/>
  <c r="M232" i="1" a="1"/>
  <c r="L232" i="1"/>
  <c r="I232" i="1"/>
  <c r="I232" i="1" a="1"/>
  <c r="H232" i="1" a="1"/>
  <c r="H232" i="1" s="1"/>
  <c r="G232" i="1"/>
  <c r="G232" i="1" a="1"/>
  <c r="C232" i="1" a="1"/>
  <c r="C232" i="1" s="1"/>
  <c r="B232" i="1"/>
  <c r="A232" i="1"/>
  <c r="AA231" i="1"/>
  <c r="Z231" i="1"/>
  <c r="Z231" i="1" a="1"/>
  <c r="Y231" i="1"/>
  <c r="Y231" i="1" a="1"/>
  <c r="X231" i="1"/>
  <c r="X231" i="1" a="1"/>
  <c r="W231" i="1"/>
  <c r="W231" i="1" a="1"/>
  <c r="U231" i="1" a="1"/>
  <c r="U231" i="1" s="1"/>
  <c r="T231" i="1"/>
  <c r="T231" i="1" a="1"/>
  <c r="S231" i="1" a="1"/>
  <c r="S231" i="1" s="1"/>
  <c r="R231" i="1"/>
  <c r="R231" i="1" a="1"/>
  <c r="P231" i="1" a="1"/>
  <c r="P231" i="1" s="1"/>
  <c r="O231" i="1"/>
  <c r="O231" i="1" a="1"/>
  <c r="N231" i="1" a="1"/>
  <c r="N231" i="1" s="1"/>
  <c r="M231" i="1"/>
  <c r="M231" i="1" a="1"/>
  <c r="L231" i="1"/>
  <c r="K231" i="1"/>
  <c r="J231" i="1"/>
  <c r="I231" i="1"/>
  <c r="I231" i="1" a="1"/>
  <c r="H231" i="1" a="1"/>
  <c r="H231" i="1" s="1"/>
  <c r="G231" i="1"/>
  <c r="G231" i="1" a="1"/>
  <c r="F231" i="1"/>
  <c r="D231" i="1"/>
  <c r="C231" i="1"/>
  <c r="V232" i="1" s="1" a="1"/>
  <c r="V232" i="1" s="1"/>
  <c r="C231" i="1" a="1"/>
  <c r="B231" i="1"/>
  <c r="A231" i="1"/>
  <c r="C230" i="1"/>
  <c r="C230" i="1" a="1"/>
  <c r="B230" i="1"/>
  <c r="A230" i="1"/>
  <c r="AA229" i="1"/>
  <c r="Z229" i="1" a="1"/>
  <c r="Z229" i="1" s="1"/>
  <c r="Y229" i="1"/>
  <c r="Y229" i="1" a="1"/>
  <c r="X229" i="1" a="1"/>
  <c r="X229" i="1" s="1"/>
  <c r="W229" i="1"/>
  <c r="W229" i="1" a="1"/>
  <c r="V229" i="1" a="1"/>
  <c r="V229" i="1" s="1"/>
  <c r="U229" i="1"/>
  <c r="U229" i="1" a="1"/>
  <c r="T229" i="1" a="1"/>
  <c r="T229" i="1" s="1"/>
  <c r="S229" i="1"/>
  <c r="S229" i="1" a="1"/>
  <c r="R229" i="1" a="1"/>
  <c r="R229" i="1" s="1"/>
  <c r="P229" i="1"/>
  <c r="P229" i="1" a="1"/>
  <c r="O229" i="1" a="1"/>
  <c r="O229" i="1" s="1"/>
  <c r="N229" i="1"/>
  <c r="N229" i="1" a="1"/>
  <c r="M229" i="1" a="1"/>
  <c r="M229" i="1" s="1"/>
  <c r="L229" i="1"/>
  <c r="I229" i="1"/>
  <c r="I229" i="1" a="1"/>
  <c r="H229" i="1" a="1"/>
  <c r="H229" i="1" s="1"/>
  <c r="G229" i="1"/>
  <c r="G229" i="1" a="1"/>
  <c r="A229" i="1"/>
  <c r="AA228" i="1"/>
  <c r="Z228" i="1"/>
  <c r="Z228" i="1" a="1"/>
  <c r="Y228" i="1" a="1"/>
  <c r="Y228" i="1" s="1"/>
  <c r="X228" i="1"/>
  <c r="X228" i="1" a="1"/>
  <c r="W228" i="1" a="1"/>
  <c r="W228" i="1" s="1"/>
  <c r="V228" i="1"/>
  <c r="V228" i="1" a="1"/>
  <c r="U228" i="1" a="1"/>
  <c r="U228" i="1" s="1"/>
  <c r="T228" i="1"/>
  <c r="T228" i="1" a="1"/>
  <c r="S228" i="1" a="1"/>
  <c r="S228" i="1" s="1"/>
  <c r="R228" i="1"/>
  <c r="R228" i="1" a="1"/>
  <c r="P228" i="1" a="1"/>
  <c r="P228" i="1" s="1"/>
  <c r="O228" i="1"/>
  <c r="O228" i="1" a="1"/>
  <c r="N228" i="1" a="1"/>
  <c r="N228" i="1" s="1"/>
  <c r="M228" i="1"/>
  <c r="M228" i="1" a="1"/>
  <c r="L228" i="1"/>
  <c r="K228" i="1"/>
  <c r="I228" i="1"/>
  <c r="I228" i="1" a="1"/>
  <c r="H228" i="1" a="1"/>
  <c r="H228" i="1" s="1"/>
  <c r="G228" i="1"/>
  <c r="G228" i="1" a="1"/>
  <c r="F228" i="1"/>
  <c r="A228" i="1"/>
  <c r="C227" i="1"/>
  <c r="C227" i="1" a="1"/>
  <c r="B227" i="1"/>
  <c r="A227" i="1"/>
  <c r="AA226" i="1"/>
  <c r="Z226" i="1"/>
  <c r="Z226" i="1" a="1"/>
  <c r="Y226" i="1"/>
  <c r="Y226" i="1" a="1"/>
  <c r="X226" i="1"/>
  <c r="X226" i="1" a="1"/>
  <c r="W226" i="1"/>
  <c r="W226" i="1" a="1"/>
  <c r="V226" i="1"/>
  <c r="V226" i="1" a="1"/>
  <c r="U226" i="1"/>
  <c r="U226" i="1" a="1"/>
  <c r="T226" i="1" a="1"/>
  <c r="T226" i="1" s="1"/>
  <c r="S226" i="1"/>
  <c r="S226" i="1" a="1"/>
  <c r="R226" i="1" a="1"/>
  <c r="R226" i="1" s="1"/>
  <c r="P226" i="1"/>
  <c r="P226" i="1" a="1"/>
  <c r="O226" i="1" a="1"/>
  <c r="O226" i="1" s="1"/>
  <c r="N226" i="1"/>
  <c r="N226" i="1" a="1"/>
  <c r="M226" i="1" a="1"/>
  <c r="M226" i="1" s="1"/>
  <c r="L226" i="1"/>
  <c r="I226" i="1"/>
  <c r="I226" i="1" a="1"/>
  <c r="H226" i="1" a="1"/>
  <c r="H226" i="1" s="1"/>
  <c r="G226" i="1"/>
  <c r="G226" i="1" a="1"/>
  <c r="C226" i="1" a="1"/>
  <c r="C226" i="1" s="1"/>
  <c r="B226" i="1"/>
  <c r="A226" i="1"/>
  <c r="AA225" i="1"/>
  <c r="Z225" i="1"/>
  <c r="Z225" i="1" a="1"/>
  <c r="Y225" i="1" a="1"/>
  <c r="Y225" i="1" s="1"/>
  <c r="X225" i="1"/>
  <c r="X225" i="1" a="1"/>
  <c r="W225" i="1" a="1"/>
  <c r="W225" i="1" s="1"/>
  <c r="V225" i="1"/>
  <c r="V225" i="1" a="1"/>
  <c r="U225" i="1" a="1"/>
  <c r="U225" i="1" s="1"/>
  <c r="T225" i="1"/>
  <c r="T225" i="1" a="1"/>
  <c r="S225" i="1" a="1"/>
  <c r="S225" i="1" s="1"/>
  <c r="R225" i="1"/>
  <c r="R225" i="1" a="1"/>
  <c r="P225" i="1" a="1"/>
  <c r="P225" i="1" s="1"/>
  <c r="O225" i="1"/>
  <c r="O225" i="1" a="1"/>
  <c r="N225" i="1" a="1"/>
  <c r="N225" i="1" s="1"/>
  <c r="M225" i="1"/>
  <c r="M225" i="1" a="1"/>
  <c r="L225" i="1"/>
  <c r="K225" i="1"/>
  <c r="J225" i="1"/>
  <c r="I225" i="1"/>
  <c r="I225" i="1" a="1"/>
  <c r="H225" i="1" a="1"/>
  <c r="H225" i="1" s="1"/>
  <c r="G225" i="1"/>
  <c r="G225" i="1" a="1"/>
  <c r="F225" i="1"/>
  <c r="D225" i="1"/>
  <c r="B225" i="1"/>
  <c r="A225" i="1"/>
  <c r="O248" i="1" s="1" a="1"/>
  <c r="O248" i="1" s="1"/>
  <c r="U223" i="1"/>
  <c r="T223" i="1"/>
  <c r="J223" i="1"/>
  <c r="H223" i="1"/>
  <c r="T222" i="1"/>
  <c r="H222" i="1"/>
  <c r="B222" i="1"/>
  <c r="Q221" i="1"/>
  <c r="F221" i="1"/>
  <c r="D221" i="1"/>
  <c r="B221" i="1"/>
  <c r="P220" i="1"/>
  <c r="P219" i="1"/>
  <c r="P217" i="1"/>
  <c r="Q216" i="1"/>
  <c r="Q215" i="1"/>
  <c r="P215" i="1"/>
  <c r="S207" i="1"/>
  <c r="O207" i="1"/>
  <c r="V204" i="1"/>
  <c r="V204" i="1" a="1"/>
  <c r="V203" i="1" a="1"/>
  <c r="V203" i="1" s="1"/>
  <c r="C201" i="1" a="1"/>
  <c r="C201" i="1" s="1"/>
  <c r="B201" i="1"/>
  <c r="D200" i="1"/>
  <c r="B200" i="1"/>
  <c r="C199" i="1"/>
  <c r="C199" i="1" a="1"/>
  <c r="B199" i="1"/>
  <c r="V198" i="1" a="1"/>
  <c r="V198" i="1" s="1"/>
  <c r="V197" i="1" a="1"/>
  <c r="V197" i="1" s="1"/>
  <c r="L197" i="1"/>
  <c r="C196" i="1" a="1"/>
  <c r="C196" i="1" s="1"/>
  <c r="B196" i="1"/>
  <c r="B195" i="1"/>
  <c r="D194" i="1"/>
  <c r="B194" i="1"/>
  <c r="U191" i="1"/>
  <c r="T191" i="1"/>
  <c r="J191" i="1"/>
  <c r="H191" i="1"/>
  <c r="T190" i="1"/>
  <c r="H190" i="1"/>
  <c r="B190" i="1"/>
  <c r="Q189" i="1"/>
  <c r="F189" i="1"/>
  <c r="D189" i="1"/>
  <c r="B189" i="1"/>
  <c r="P188" i="1"/>
  <c r="P187" i="1"/>
  <c r="P185" i="1"/>
  <c r="Q184" i="1"/>
  <c r="Q183" i="1"/>
  <c r="P183" i="1"/>
  <c r="I179" i="1"/>
  <c r="X178" i="1"/>
  <c r="I177" i="1"/>
  <c r="X175" i="1"/>
  <c r="O175" i="1"/>
  <c r="B174" i="1"/>
  <c r="V172" i="1" a="1"/>
  <c r="V172" i="1" s="1"/>
  <c r="V171" i="1"/>
  <c r="V171" i="1" a="1"/>
  <c r="F171" i="1"/>
  <c r="B169" i="1"/>
  <c r="F168" i="1"/>
  <c r="B168" i="1"/>
  <c r="C167" i="1"/>
  <c r="C167" i="1" a="1"/>
  <c r="B167" i="1"/>
  <c r="V166" i="1" a="1"/>
  <c r="V166" i="1" s="1"/>
  <c r="V165" i="1" a="1"/>
  <c r="V165" i="1" s="1"/>
  <c r="C164" i="1" a="1"/>
  <c r="C164" i="1" s="1"/>
  <c r="B164" i="1"/>
  <c r="B163" i="1"/>
  <c r="B162" i="1"/>
  <c r="U160" i="1"/>
  <c r="T160" i="1"/>
  <c r="J160" i="1"/>
  <c r="H160" i="1"/>
  <c r="T159" i="1"/>
  <c r="H159" i="1"/>
  <c r="B159" i="1"/>
  <c r="Q158" i="1"/>
  <c r="F158" i="1"/>
  <c r="D158" i="1"/>
  <c r="B158" i="1"/>
  <c r="P157" i="1"/>
  <c r="P156" i="1"/>
  <c r="P154" i="1"/>
  <c r="Q153" i="1"/>
  <c r="Q152" i="1"/>
  <c r="P152" i="1"/>
  <c r="V144" i="1"/>
  <c r="V143" i="1"/>
  <c r="V141" i="1" a="1"/>
  <c r="V141" i="1" s="1"/>
  <c r="V140" i="1" a="1"/>
  <c r="V140" i="1" s="1"/>
  <c r="B138" i="1"/>
  <c r="B137" i="1"/>
  <c r="C136" i="1" a="1"/>
  <c r="C136" i="1" s="1"/>
  <c r="B136" i="1"/>
  <c r="V135" i="1" a="1"/>
  <c r="V135" i="1" s="1"/>
  <c r="V134" i="1" a="1"/>
  <c r="V134" i="1" s="1"/>
  <c r="B133" i="1"/>
  <c r="B132" i="1"/>
  <c r="D131" i="1"/>
  <c r="B131" i="1"/>
  <c r="U129" i="1"/>
  <c r="T129" i="1"/>
  <c r="J129" i="1"/>
  <c r="H129" i="1"/>
  <c r="T128" i="1"/>
  <c r="H128" i="1"/>
  <c r="B128" i="1"/>
  <c r="Q127" i="1"/>
  <c r="F127" i="1"/>
  <c r="D127" i="1"/>
  <c r="B127" i="1"/>
  <c r="P126" i="1"/>
  <c r="J126" i="1"/>
  <c r="P125" i="1"/>
  <c r="I125" i="1"/>
  <c r="M124" i="1"/>
  <c r="H124" i="1"/>
  <c r="P123" i="1"/>
  <c r="Q122" i="1"/>
  <c r="J122" i="1"/>
  <c r="Q121" i="1"/>
  <c r="P121" i="1"/>
  <c r="J121" i="1"/>
  <c r="H121" i="1"/>
  <c r="W120" i="1"/>
  <c r="U120" i="1"/>
  <c r="I120" i="1"/>
  <c r="H120" i="1"/>
  <c r="J117" i="1"/>
  <c r="I117" i="1"/>
  <c r="V116" i="1"/>
  <c r="T116" i="1"/>
  <c r="H116" i="1"/>
  <c r="O113" i="1"/>
  <c r="M113" i="1"/>
  <c r="B113" i="1"/>
  <c r="N112" i="1"/>
  <c r="M112" i="1"/>
  <c r="V110" i="1" a="1"/>
  <c r="V110" i="1" s="1"/>
  <c r="L110" i="1"/>
  <c r="V109" i="1" a="1"/>
  <c r="V109" i="1" s="1"/>
  <c r="L109" i="1"/>
  <c r="C107" i="1" a="1"/>
  <c r="C107" i="1" s="1"/>
  <c r="B107" i="1"/>
  <c r="L106" i="1"/>
  <c r="K106" i="1"/>
  <c r="C106" i="1" a="1"/>
  <c r="C106" i="1" s="1"/>
  <c r="B106" i="1"/>
  <c r="C105" i="1" a="1"/>
  <c r="C105" i="1" s="1"/>
  <c r="N124" i="1" s="1"/>
  <c r="B105" i="1"/>
  <c r="V104" i="1"/>
  <c r="V104" i="1" a="1"/>
  <c r="L104" i="1"/>
  <c r="V103" i="1"/>
  <c r="V103" i="1" a="1"/>
  <c r="L103" i="1"/>
  <c r="K103" i="1"/>
  <c r="B102" i="1"/>
  <c r="L101" i="1"/>
  <c r="B101" i="1"/>
  <c r="F100" i="1"/>
  <c r="B100" i="1"/>
  <c r="U97" i="1"/>
  <c r="T97" i="1"/>
  <c r="J97" i="1"/>
  <c r="H97" i="1"/>
  <c r="T96" i="1"/>
  <c r="H96" i="1"/>
  <c r="B96" i="1"/>
  <c r="Q95" i="1"/>
  <c r="F95" i="1"/>
  <c r="D95" i="1"/>
  <c r="B95" i="1"/>
  <c r="P94" i="1"/>
  <c r="P93" i="1"/>
  <c r="I93" i="1"/>
  <c r="M92" i="1"/>
  <c r="H92" i="1"/>
  <c r="P91" i="1"/>
  <c r="Q90" i="1"/>
  <c r="Q89" i="1"/>
  <c r="P89" i="1"/>
  <c r="O89" i="1"/>
  <c r="J89" i="1"/>
  <c r="B89" i="1"/>
  <c r="W88" i="1"/>
  <c r="O88" i="1"/>
  <c r="J88" i="1"/>
  <c r="I86" i="1"/>
  <c r="I85" i="1"/>
  <c r="X84" i="1"/>
  <c r="P84" i="1"/>
  <c r="M84" i="1"/>
  <c r="G84" i="1"/>
  <c r="B84" i="1"/>
  <c r="J83" i="1"/>
  <c r="I82" i="1"/>
  <c r="H82" i="1"/>
  <c r="AA81" i="1"/>
  <c r="Z81" i="1"/>
  <c r="V81" i="1"/>
  <c r="O81" i="1"/>
  <c r="N81" i="1"/>
  <c r="J81" i="1"/>
  <c r="D81" i="1"/>
  <c r="W80" i="1"/>
  <c r="V80" i="1"/>
  <c r="P80" i="1"/>
  <c r="L80" i="1"/>
  <c r="J80" i="1"/>
  <c r="G80" i="1"/>
  <c r="V78" i="1" a="1"/>
  <c r="V78" i="1" s="1"/>
  <c r="V77" i="1" a="1"/>
  <c r="V77" i="1" s="1"/>
  <c r="L77" i="1"/>
  <c r="F77" i="1"/>
  <c r="L75" i="1"/>
  <c r="C75" i="1" a="1"/>
  <c r="C75" i="1" s="1"/>
  <c r="B75" i="1"/>
  <c r="K74" i="1"/>
  <c r="J74" i="1"/>
  <c r="F74" i="1"/>
  <c r="C74" i="1" a="1"/>
  <c r="C74" i="1" s="1"/>
  <c r="B74" i="1"/>
  <c r="A74" i="1"/>
  <c r="U91" i="1" s="1" a="1"/>
  <c r="U91" i="1" s="1"/>
  <c r="C73" i="1" a="1"/>
  <c r="C73" i="1" s="1"/>
  <c r="N92" i="1" s="1"/>
  <c r="B73" i="1"/>
  <c r="V72" i="1" a="1"/>
  <c r="V72" i="1" s="1"/>
  <c r="V71" i="1" a="1"/>
  <c r="V71" i="1" s="1"/>
  <c r="K71" i="1"/>
  <c r="C70" i="1" a="1"/>
  <c r="C70" i="1" s="1"/>
  <c r="B70" i="1"/>
  <c r="L69" i="1"/>
  <c r="C69" i="1" a="1"/>
  <c r="C69" i="1" s="1"/>
  <c r="B69" i="1"/>
  <c r="L68" i="1"/>
  <c r="K68" i="1"/>
  <c r="J68" i="1"/>
  <c r="F68" i="1"/>
  <c r="D68" i="1"/>
  <c r="B68" i="1"/>
  <c r="U65" i="1"/>
  <c r="T65" i="1"/>
  <c r="J65" i="1"/>
  <c r="H65" i="1"/>
  <c r="T64" i="1"/>
  <c r="H64" i="1"/>
  <c r="B64" i="1"/>
  <c r="Q63" i="1"/>
  <c r="F63" i="1"/>
  <c r="D63" i="1"/>
  <c r="B63" i="1"/>
  <c r="P62" i="1"/>
  <c r="P61" i="1"/>
  <c r="P59" i="1"/>
  <c r="Q58" i="1"/>
  <c r="Q57" i="1"/>
  <c r="P57" i="1"/>
  <c r="V46" i="1" a="1"/>
  <c r="V46" i="1" s="1"/>
  <c r="V45" i="1" a="1"/>
  <c r="V45" i="1" s="1"/>
  <c r="B43" i="1"/>
  <c r="B42" i="1"/>
  <c r="C41" i="1" a="1"/>
  <c r="C41" i="1" s="1"/>
  <c r="B41" i="1"/>
  <c r="V40" i="1" a="1"/>
  <c r="V40" i="1" s="1"/>
  <c r="V39" i="1" a="1"/>
  <c r="V39" i="1" s="1"/>
  <c r="B38" i="1"/>
  <c r="B37" i="1"/>
  <c r="J36" i="1"/>
  <c r="B36" i="1"/>
  <c r="U33" i="1"/>
  <c r="T33" i="1"/>
  <c r="J33" i="1"/>
  <c r="H33" i="1"/>
  <c r="T32" i="1"/>
  <c r="H32" i="1"/>
  <c r="B32" i="1"/>
  <c r="Q31" i="1"/>
  <c r="F31" i="1"/>
  <c r="D31" i="1"/>
  <c r="B31" i="1"/>
  <c r="P30" i="1"/>
  <c r="J30" i="1"/>
  <c r="P29" i="1"/>
  <c r="J28" i="1"/>
  <c r="P27" i="1"/>
  <c r="Q26" i="1"/>
  <c r="J26" i="1"/>
  <c r="Q25" i="1"/>
  <c r="P25" i="1"/>
  <c r="M25" i="1"/>
  <c r="H25" i="1"/>
  <c r="C25" i="1"/>
  <c r="R24" i="1"/>
  <c r="N24" i="1"/>
  <c r="I24" i="1"/>
  <c r="G21" i="1"/>
  <c r="AA20" i="1"/>
  <c r="V20" i="1"/>
  <c r="J20" i="1"/>
  <c r="G18" i="1"/>
  <c r="S17" i="1"/>
  <c r="M17" i="1"/>
  <c r="H17" i="1"/>
  <c r="Z16" i="1"/>
  <c r="T16" i="1"/>
  <c r="N16" i="1"/>
  <c r="D16" i="1"/>
  <c r="V14" i="1"/>
  <c r="V14" i="1" a="1"/>
  <c r="V13" i="1"/>
  <c r="V13" i="1" a="1"/>
  <c r="B12" i="1"/>
  <c r="B11" i="1"/>
  <c r="B10" i="1"/>
  <c r="C9" i="1"/>
  <c r="C9" i="1" a="1"/>
  <c r="B9" i="1"/>
  <c r="V8" i="1" a="1"/>
  <c r="V8" i="1" s="1"/>
  <c r="L8" i="1"/>
  <c r="V7" i="1" a="1"/>
  <c r="V7" i="1" s="1"/>
  <c r="L7" i="1"/>
  <c r="F7" i="1"/>
  <c r="C6" i="1" a="1"/>
  <c r="C6" i="1" s="1"/>
  <c r="B6" i="1"/>
  <c r="B5" i="1"/>
  <c r="J4" i="1"/>
  <c r="D4" i="1"/>
  <c r="B4" i="1"/>
  <c r="Z2" i="1"/>
  <c r="X2" i="1"/>
  <c r="V2" i="1"/>
  <c r="T2" i="1"/>
  <c r="R2" i="1"/>
  <c r="O2" i="1"/>
  <c r="M2" i="1"/>
  <c r="I2" i="1"/>
  <c r="H2" i="1"/>
  <c r="G2" i="1"/>
  <c r="AA1" i="1"/>
  <c r="Z1" i="1"/>
  <c r="Y1" i="1"/>
  <c r="X1" i="1"/>
  <c r="W1" i="1"/>
  <c r="V1" i="1"/>
  <c r="U1" i="1"/>
  <c r="T1" i="1"/>
  <c r="S1" i="1"/>
  <c r="R1" i="1"/>
  <c r="P1" i="1"/>
  <c r="O1" i="1"/>
  <c r="N1" i="1"/>
  <c r="M1" i="1"/>
  <c r="K1" i="1"/>
  <c r="J1" i="1"/>
  <c r="I1" i="1"/>
  <c r="H1" i="1"/>
  <c r="G1" i="1"/>
  <c r="F1" i="1"/>
  <c r="D1" i="1"/>
  <c r="A1" i="1"/>
  <c r="J62" i="1" l="1"/>
  <c r="J61" i="1"/>
  <c r="O60" i="1"/>
  <c r="J60" i="1"/>
  <c r="J58" i="1"/>
  <c r="M57" i="1"/>
  <c r="H57" i="1"/>
  <c r="C57" i="1"/>
  <c r="Y56" i="1"/>
  <c r="R56" i="1"/>
  <c r="N56" i="1"/>
  <c r="I56" i="1"/>
  <c r="D56" i="1"/>
  <c r="G53" i="1"/>
  <c r="AA52" i="1"/>
  <c r="V52" i="1"/>
  <c r="O52" i="1"/>
  <c r="J52" i="1"/>
  <c r="I51" i="1"/>
  <c r="G50" i="1"/>
  <c r="X49" i="1"/>
  <c r="S49" i="1"/>
  <c r="M49" i="1"/>
  <c r="H49" i="1"/>
  <c r="C49" i="1"/>
  <c r="Z48" i="1"/>
  <c r="T48" i="1"/>
  <c r="N48" i="1"/>
  <c r="I48" i="1"/>
  <c r="D48" i="1"/>
  <c r="B44" i="1"/>
  <c r="L40" i="1"/>
  <c r="L39" i="1"/>
  <c r="F39" i="1"/>
  <c r="H61" i="1"/>
  <c r="M60" i="1"/>
  <c r="B60" i="1"/>
  <c r="I59" i="1"/>
  <c r="H58" i="1"/>
  <c r="J57" i="1"/>
  <c r="P56" i="1"/>
  <c r="G56" i="1"/>
  <c r="J54" i="1"/>
  <c r="I53" i="1"/>
  <c r="X52" i="1"/>
  <c r="M52" i="1"/>
  <c r="B52" i="1"/>
  <c r="I50" i="1"/>
  <c r="AA49" i="1"/>
  <c r="V49" i="1"/>
  <c r="J49" i="1"/>
  <c r="P48" i="1"/>
  <c r="G48" i="1"/>
  <c r="L46" i="1"/>
  <c r="L45" i="1"/>
  <c r="K42" i="1"/>
  <c r="F42" i="1"/>
  <c r="L37" i="1"/>
  <c r="F36" i="1"/>
  <c r="I62" i="1"/>
  <c r="I61" i="1"/>
  <c r="N60" i="1"/>
  <c r="I60" i="1"/>
  <c r="D60" i="1"/>
  <c r="J59" i="1"/>
  <c r="I58" i="1"/>
  <c r="G57" i="1"/>
  <c r="B57" i="1"/>
  <c r="W56" i="1"/>
  <c r="Q56" i="1"/>
  <c r="M56" i="1"/>
  <c r="H56" i="1"/>
  <c r="B56" i="1"/>
  <c r="J53" i="1"/>
  <c r="C53" i="1"/>
  <c r="Z52" i="1"/>
  <c r="T52" i="1"/>
  <c r="N52" i="1"/>
  <c r="I52" i="1"/>
  <c r="D52" i="1"/>
  <c r="J50" i="1"/>
  <c r="W49" i="1"/>
  <c r="P49" i="1"/>
  <c r="G49" i="1"/>
  <c r="B49" i="1"/>
  <c r="X48" i="1"/>
  <c r="S48" i="1"/>
  <c r="M48" i="1"/>
  <c r="H48" i="1"/>
  <c r="B48" i="1"/>
  <c r="L42" i="1"/>
  <c r="C42" i="1" a="1"/>
  <c r="C42" i="1" s="1"/>
  <c r="K39" i="1"/>
  <c r="L36" i="1"/>
  <c r="H60" i="1"/>
  <c r="O57" i="1"/>
  <c r="U56" i="1"/>
  <c r="L56" i="1"/>
  <c r="B53" i="1"/>
  <c r="S52" i="1"/>
  <c r="H52" i="1"/>
  <c r="O49" i="1"/>
  <c r="W48" i="1"/>
  <c r="L48" i="1"/>
  <c r="F45" i="1"/>
  <c r="L43" i="1"/>
  <c r="C43" i="1" a="1"/>
  <c r="C43" i="1" s="1"/>
  <c r="C37" i="1" a="1"/>
  <c r="C37" i="1" s="1"/>
  <c r="K36" i="1"/>
  <c r="E48" i="1"/>
  <c r="T49" i="1"/>
  <c r="H53" i="1"/>
  <c r="N57" i="1"/>
  <c r="I74" i="1" a="1"/>
  <c r="I74" i="1" s="1"/>
  <c r="Q27" i="1"/>
  <c r="Q28" i="1"/>
  <c r="K45" i="1"/>
  <c r="D49" i="1"/>
  <c r="E56" i="1"/>
  <c r="I30" i="1"/>
  <c r="I29" i="1"/>
  <c r="N28" i="1"/>
  <c r="I28" i="1"/>
  <c r="D28" i="1"/>
  <c r="J27" i="1"/>
  <c r="I26" i="1"/>
  <c r="G25" i="1"/>
  <c r="B25" i="1"/>
  <c r="W24" i="1"/>
  <c r="Q24" i="1"/>
  <c r="M24" i="1"/>
  <c r="H24" i="1"/>
  <c r="B24" i="1"/>
  <c r="J21" i="1"/>
  <c r="C21" i="1"/>
  <c r="Z20" i="1"/>
  <c r="T20" i="1"/>
  <c r="N20" i="1"/>
  <c r="I20" i="1"/>
  <c r="D20" i="1"/>
  <c r="J18" i="1"/>
  <c r="W17" i="1"/>
  <c r="P17" i="1"/>
  <c r="G17" i="1"/>
  <c r="B17" i="1"/>
  <c r="X16" i="1"/>
  <c r="S16" i="1"/>
  <c r="M16" i="1"/>
  <c r="H16" i="1"/>
  <c r="B16" i="1"/>
  <c r="L10" i="1"/>
  <c r="C10" i="1" a="1"/>
  <c r="C10" i="1" s="1"/>
  <c r="K7" i="1"/>
  <c r="L4" i="1"/>
  <c r="G29" i="1"/>
  <c r="N25" i="1"/>
  <c r="D25" i="1"/>
  <c r="S24" i="1"/>
  <c r="J24" i="1"/>
  <c r="I22" i="1"/>
  <c r="H21" i="1"/>
  <c r="W20" i="1"/>
  <c r="T17" i="1"/>
  <c r="I17" i="1"/>
  <c r="AA16" i="1"/>
  <c r="O16" i="1"/>
  <c r="E16" i="1"/>
  <c r="H29" i="1"/>
  <c r="M28" i="1"/>
  <c r="H28" i="1"/>
  <c r="B28" i="1"/>
  <c r="I27" i="1"/>
  <c r="H26" i="1"/>
  <c r="O25" i="1"/>
  <c r="J25" i="1"/>
  <c r="U24" i="1"/>
  <c r="P24" i="1"/>
  <c r="L24" i="1"/>
  <c r="G24" i="1"/>
  <c r="J22" i="1"/>
  <c r="I21" i="1"/>
  <c r="B21" i="1"/>
  <c r="X20" i="1"/>
  <c r="S20" i="1"/>
  <c r="M20" i="1"/>
  <c r="H20" i="1"/>
  <c r="B20" i="1"/>
  <c r="I18" i="1"/>
  <c r="AA17" i="1"/>
  <c r="V17" i="1"/>
  <c r="O17" i="1"/>
  <c r="J17" i="1"/>
  <c r="W16" i="1"/>
  <c r="P16" i="1"/>
  <c r="L16" i="1"/>
  <c r="G16" i="1"/>
  <c r="L14" i="1"/>
  <c r="L13" i="1"/>
  <c r="F13" i="1"/>
  <c r="L11" i="1"/>
  <c r="C11" i="1" a="1"/>
  <c r="C11" i="1" s="1"/>
  <c r="K10" i="1"/>
  <c r="F10" i="1"/>
  <c r="L5" i="1"/>
  <c r="C5" i="1" a="1"/>
  <c r="C5" i="1" s="1"/>
  <c r="K4" i="1"/>
  <c r="F4" i="1"/>
  <c r="G28" i="1"/>
  <c r="G26" i="1"/>
  <c r="I25" i="1"/>
  <c r="Z24" i="1"/>
  <c r="O24" i="1"/>
  <c r="E24" i="1"/>
  <c r="P20" i="1"/>
  <c r="G20" i="1"/>
  <c r="J19" i="1"/>
  <c r="H18" i="1"/>
  <c r="Z17" i="1"/>
  <c r="N17" i="1"/>
  <c r="D17" i="1"/>
  <c r="V16" i="1"/>
  <c r="J16" i="1"/>
  <c r="D10" i="1"/>
  <c r="J10" i="1"/>
  <c r="K13" i="1"/>
  <c r="I16" i="1"/>
  <c r="C17" i="1"/>
  <c r="X17" i="1"/>
  <c r="I19" i="1"/>
  <c r="O20" i="1"/>
  <c r="D24" i="1"/>
  <c r="Y24" i="1"/>
  <c r="O28" i="1"/>
  <c r="J29" i="1"/>
  <c r="D36" i="1"/>
  <c r="O48" i="1"/>
  <c r="I49" i="1"/>
  <c r="W52" i="1"/>
  <c r="J56" i="1"/>
  <c r="D57" i="1"/>
  <c r="Q92" i="1"/>
  <c r="Q91" i="1"/>
  <c r="AA48" i="1"/>
  <c r="S56" i="1"/>
  <c r="G61" i="1"/>
  <c r="W74" i="1" a="1"/>
  <c r="W74" i="1" s="1"/>
  <c r="U74" i="1" a="1"/>
  <c r="U74" i="1" s="1"/>
  <c r="H74" i="1" a="1"/>
  <c r="H74" i="1" s="1"/>
  <c r="N74" i="1" a="1"/>
  <c r="N74" i="1" s="1"/>
  <c r="G74" i="1" a="1"/>
  <c r="G74" i="1" s="1"/>
  <c r="P74" i="1" a="1"/>
  <c r="P74" i="1" s="1"/>
  <c r="J42" i="1"/>
  <c r="J48" i="1"/>
  <c r="Z49" i="1"/>
  <c r="J51" i="1"/>
  <c r="P52" i="1"/>
  <c r="Z56" i="1"/>
  <c r="A90" i="1"/>
  <c r="C90" i="1" s="1" a="1"/>
  <c r="C90" i="1" s="1"/>
  <c r="A89" i="1"/>
  <c r="B90" i="1" s="1" a="1"/>
  <c r="B90" i="1" s="1"/>
  <c r="A86" i="1"/>
  <c r="A75" i="1"/>
  <c r="A69" i="1"/>
  <c r="A82" i="1"/>
  <c r="C82" i="1" s="1" a="1"/>
  <c r="C82" i="1" s="1"/>
  <c r="A78" i="1"/>
  <c r="A76" i="1"/>
  <c r="A77" i="1"/>
  <c r="A73" i="1"/>
  <c r="A72" i="1"/>
  <c r="A71" i="1"/>
  <c r="A70" i="1"/>
  <c r="A85" i="1"/>
  <c r="B97" i="1" s="1" a="1"/>
  <c r="B97" i="1" s="1"/>
  <c r="A68" i="1"/>
  <c r="A81" i="1"/>
  <c r="B82" i="1" s="1" a="1"/>
  <c r="B82" i="1" s="1"/>
  <c r="E81" i="1" s="1"/>
  <c r="C38" i="1" a="1"/>
  <c r="C38" i="1" s="1"/>
  <c r="D42" i="1"/>
  <c r="V48" i="1"/>
  <c r="N49" i="1"/>
  <c r="H50" i="1"/>
  <c r="G52" i="1"/>
  <c r="I54" i="1"/>
  <c r="O56" i="1"/>
  <c r="I57" i="1"/>
  <c r="G58" i="1"/>
  <c r="G60" i="1"/>
  <c r="Y74" i="1" a="1"/>
  <c r="Y74" i="1" s="1"/>
  <c r="G156" i="1"/>
  <c r="G155" i="1"/>
  <c r="G153" i="1"/>
  <c r="N152" i="1"/>
  <c r="I152" i="1"/>
  <c r="D152" i="1"/>
  <c r="Z151" i="1"/>
  <c r="S151" i="1"/>
  <c r="O151" i="1"/>
  <c r="J151" i="1"/>
  <c r="E151" i="1"/>
  <c r="I149" i="1"/>
  <c r="I157" i="1"/>
  <c r="J155" i="1"/>
  <c r="D155" i="1"/>
  <c r="J154" i="1"/>
  <c r="H153" i="1"/>
  <c r="M152" i="1"/>
  <c r="G152" i="1"/>
  <c r="R151" i="1"/>
  <c r="M151" i="1"/>
  <c r="G151" i="1"/>
  <c r="H148" i="1"/>
  <c r="W147" i="1"/>
  <c r="P147" i="1"/>
  <c r="G147" i="1"/>
  <c r="J146" i="1"/>
  <c r="J156" i="1"/>
  <c r="O155" i="1"/>
  <c r="I155" i="1"/>
  <c r="B155" i="1"/>
  <c r="I154" i="1"/>
  <c r="Y151" i="1"/>
  <c r="Q151" i="1"/>
  <c r="L151" i="1"/>
  <c r="D151" i="1"/>
  <c r="G148" i="1"/>
  <c r="AA147" i="1"/>
  <c r="V147" i="1"/>
  <c r="O147" i="1"/>
  <c r="J147" i="1"/>
  <c r="I146" i="1"/>
  <c r="G145" i="1"/>
  <c r="X144" i="1"/>
  <c r="S144" i="1"/>
  <c r="M144" i="1"/>
  <c r="H144" i="1"/>
  <c r="C144" i="1"/>
  <c r="Z143" i="1"/>
  <c r="T143" i="1"/>
  <c r="N143" i="1"/>
  <c r="I143" i="1"/>
  <c r="D143" i="1"/>
  <c r="B139" i="1"/>
  <c r="M155" i="1"/>
  <c r="J152" i="1"/>
  <c r="W151" i="1"/>
  <c r="I151" i="1"/>
  <c r="C148" i="1"/>
  <c r="T147" i="1"/>
  <c r="I147" i="1"/>
  <c r="AA144" i="1"/>
  <c r="T144" i="1"/>
  <c r="AA143" i="1"/>
  <c r="S143" i="1"/>
  <c r="L143" i="1"/>
  <c r="E143" i="1"/>
  <c r="F140" i="1"/>
  <c r="L138" i="1"/>
  <c r="C138" i="1" a="1"/>
  <c r="C138" i="1" s="1"/>
  <c r="K137" i="1"/>
  <c r="F137" i="1"/>
  <c r="L132" i="1"/>
  <c r="C132" i="1" a="1"/>
  <c r="C132" i="1" s="1"/>
  <c r="K131" i="1"/>
  <c r="F131" i="1"/>
  <c r="J157" i="1"/>
  <c r="I156" i="1"/>
  <c r="H155" i="1"/>
  <c r="J153" i="1"/>
  <c r="H152" i="1"/>
  <c r="U151" i="1"/>
  <c r="H151" i="1"/>
  <c r="B148" i="1"/>
  <c r="S147" i="1"/>
  <c r="H147" i="1"/>
  <c r="J145" i="1"/>
  <c r="Z144" i="1"/>
  <c r="P144" i="1"/>
  <c r="J144" i="1"/>
  <c r="D144" i="1"/>
  <c r="X143" i="1"/>
  <c r="P143" i="1"/>
  <c r="J143" i="1"/>
  <c r="B143" i="1"/>
  <c r="J137" i="1"/>
  <c r="P151" i="1"/>
  <c r="J148" i="1"/>
  <c r="N147" i="1"/>
  <c r="O144" i="1"/>
  <c r="B144" i="1"/>
  <c r="O143" i="1"/>
  <c r="F134" i="1"/>
  <c r="J131" i="1"/>
  <c r="N155" i="1"/>
  <c r="O152" i="1"/>
  <c r="N151" i="1"/>
  <c r="I148" i="1"/>
  <c r="M147" i="1"/>
  <c r="N144" i="1"/>
  <c r="M143" i="1"/>
  <c r="L140" i="1"/>
  <c r="D137" i="1"/>
  <c r="I153" i="1"/>
  <c r="C152" i="1"/>
  <c r="J149" i="1"/>
  <c r="Z147" i="1"/>
  <c r="I145" i="1"/>
  <c r="I144" i="1"/>
  <c r="H143" i="1"/>
  <c r="L141" i="1"/>
  <c r="L134" i="1"/>
  <c r="C133" i="1" a="1"/>
  <c r="C133" i="1" s="1"/>
  <c r="L131" i="1"/>
  <c r="B151" i="1"/>
  <c r="D147" i="1"/>
  <c r="W143" i="1"/>
  <c r="C137" i="1" a="1"/>
  <c r="C137" i="1" s="1"/>
  <c r="H156" i="1"/>
  <c r="B152" i="1"/>
  <c r="X147" i="1"/>
  <c r="H145" i="1"/>
  <c r="G144" i="1"/>
  <c r="G143" i="1"/>
  <c r="K134" i="1"/>
  <c r="W144" i="1"/>
  <c r="L137" i="1"/>
  <c r="L135" i="1"/>
  <c r="K140" i="1"/>
  <c r="B147" i="1"/>
  <c r="Q186" i="1"/>
  <c r="Q185" i="1"/>
  <c r="V74" i="1" a="1"/>
  <c r="V74" i="1" s="1"/>
  <c r="V75" i="1" a="1"/>
  <c r="V75" i="1" s="1"/>
  <c r="L83" i="1"/>
  <c r="H84" i="1"/>
  <c r="S84" i="1"/>
  <c r="B85" i="1"/>
  <c r="J86" i="1"/>
  <c r="B88" i="1"/>
  <c r="P88" i="1"/>
  <c r="D89" i="1"/>
  <c r="W89" i="1" a="1"/>
  <c r="W89" i="1" s="1"/>
  <c r="H90" i="1"/>
  <c r="G112" i="1"/>
  <c r="T112" i="1"/>
  <c r="G113" i="1"/>
  <c r="V113" i="1"/>
  <c r="G114" i="1"/>
  <c r="M116" i="1"/>
  <c r="AA116" i="1"/>
  <c r="N120" i="1"/>
  <c r="B121" i="1"/>
  <c r="O121" i="1"/>
  <c r="J94" i="1"/>
  <c r="J93" i="1"/>
  <c r="W92" i="1" a="1"/>
  <c r="W92" i="1" s="1"/>
  <c r="S92" i="1" a="1"/>
  <c r="S92" i="1" s="1"/>
  <c r="O92" i="1"/>
  <c r="J92" i="1"/>
  <c r="E92" i="1"/>
  <c r="J90" i="1"/>
  <c r="M89" i="1"/>
  <c r="H89" i="1"/>
  <c r="C89" i="1"/>
  <c r="Y88" i="1"/>
  <c r="R88" i="1"/>
  <c r="N88" i="1"/>
  <c r="I88" i="1"/>
  <c r="D88" i="1"/>
  <c r="I94" i="1"/>
  <c r="G93" i="1"/>
  <c r="D92" i="1"/>
  <c r="S91" i="1" a="1"/>
  <c r="S91" i="1" s="1"/>
  <c r="I91" i="1"/>
  <c r="W90" i="1" a="1"/>
  <c r="W90" i="1" s="1"/>
  <c r="G90" i="1"/>
  <c r="N89" i="1"/>
  <c r="G89" i="1"/>
  <c r="S88" i="1"/>
  <c r="M88" i="1"/>
  <c r="G88" i="1"/>
  <c r="L85" i="1"/>
  <c r="G85" i="1"/>
  <c r="AA84" i="1"/>
  <c r="V84" i="1"/>
  <c r="O84" i="1"/>
  <c r="J84" i="1"/>
  <c r="E84" i="1"/>
  <c r="I83" i="1"/>
  <c r="L82" i="1"/>
  <c r="G82" i="1"/>
  <c r="X81" i="1"/>
  <c r="S81" i="1"/>
  <c r="M81" i="1"/>
  <c r="H81" i="1"/>
  <c r="C81" i="1"/>
  <c r="Z80" i="1"/>
  <c r="T80" i="1"/>
  <c r="N80" i="1"/>
  <c r="I80" i="1"/>
  <c r="D80" i="1"/>
  <c r="I78" i="1" a="1"/>
  <c r="I78" i="1" s="1"/>
  <c r="G78" i="1" a="1"/>
  <c r="G78" i="1" s="1"/>
  <c r="B76" i="1"/>
  <c r="I75" i="1" a="1"/>
  <c r="I75" i="1" s="1"/>
  <c r="G75" i="1" a="1"/>
  <c r="G75" i="1" s="1"/>
  <c r="Z74" i="1" a="1"/>
  <c r="Z74" i="1" s="1"/>
  <c r="X74" i="1" a="1"/>
  <c r="X74" i="1" s="1"/>
  <c r="T74" i="1" a="1"/>
  <c r="T74" i="1" s="1"/>
  <c r="R74" i="1" a="1"/>
  <c r="R74" i="1" s="1"/>
  <c r="O74" i="1" a="1"/>
  <c r="O74" i="1" s="1"/>
  <c r="M74" i="1" a="1"/>
  <c r="M74" i="1" s="1"/>
  <c r="L72" i="1"/>
  <c r="H72" i="1" a="1"/>
  <c r="H72" i="1" s="1"/>
  <c r="L71" i="1"/>
  <c r="F71" i="1"/>
  <c r="I69" i="1" a="1"/>
  <c r="I69" i="1" s="1"/>
  <c r="G69" i="1" a="1"/>
  <c r="G69" i="1" s="1"/>
  <c r="Z68" i="1" a="1"/>
  <c r="Z68" i="1" s="1"/>
  <c r="X68" i="1" a="1"/>
  <c r="X68" i="1" s="1"/>
  <c r="V68" i="1" a="1"/>
  <c r="V68" i="1" s="1"/>
  <c r="T68" i="1" a="1"/>
  <c r="T68" i="1" s="1"/>
  <c r="R68" i="1" a="1"/>
  <c r="R68" i="1" s="1"/>
  <c r="U92" i="1" a="1"/>
  <c r="U92" i="1" s="1"/>
  <c r="I92" i="1"/>
  <c r="B92" i="1"/>
  <c r="W91" i="1" a="1"/>
  <c r="W91" i="1" s="1"/>
  <c r="U90" i="1" a="1"/>
  <c r="U90" i="1" s="1"/>
  <c r="U89" i="1" a="1"/>
  <c r="U89" i="1" s="1"/>
  <c r="E89" i="1"/>
  <c r="Z88" i="1"/>
  <c r="Q88" i="1"/>
  <c r="L88" i="1"/>
  <c r="E88" i="1"/>
  <c r="L86" i="1"/>
  <c r="S86" i="1" s="1"/>
  <c r="C86" i="1" a="1"/>
  <c r="C86" i="1" s="1"/>
  <c r="L94" i="1" s="1"/>
  <c r="N94" i="1" s="1"/>
  <c r="J85" i="1"/>
  <c r="C85" i="1"/>
  <c r="Z84" i="1"/>
  <c r="T84" i="1"/>
  <c r="N84" i="1"/>
  <c r="I84" i="1"/>
  <c r="D84" i="1"/>
  <c r="Z83" i="1"/>
  <c r="S83" i="1"/>
  <c r="V83" i="1" s="1" a="1"/>
  <c r="V83" i="1" s="1"/>
  <c r="J82" i="1"/>
  <c r="W81" i="1"/>
  <c r="P81" i="1"/>
  <c r="L81" i="1"/>
  <c r="G81" i="1"/>
  <c r="B81" i="1"/>
  <c r="X80" i="1"/>
  <c r="S80" i="1"/>
  <c r="M80" i="1"/>
  <c r="H80" i="1"/>
  <c r="B80" i="1"/>
  <c r="Z78" i="1" a="1"/>
  <c r="Z78" i="1" s="1"/>
  <c r="X78" i="1" a="1"/>
  <c r="X78" i="1" s="1"/>
  <c r="T78" i="1" a="1"/>
  <c r="T78" i="1" s="1"/>
  <c r="R78" i="1" a="1"/>
  <c r="R78" i="1" s="1"/>
  <c r="O78" i="1" a="1"/>
  <c r="O78" i="1" s="1"/>
  <c r="M78" i="1" a="1"/>
  <c r="M78" i="1" s="1"/>
  <c r="Z77" i="1" a="1"/>
  <c r="Z77" i="1" s="1"/>
  <c r="X77" i="1" a="1"/>
  <c r="X77" i="1" s="1"/>
  <c r="T77" i="1" a="1"/>
  <c r="T77" i="1" s="1"/>
  <c r="R77" i="1" a="1"/>
  <c r="R77" i="1" s="1"/>
  <c r="O77" i="1" a="1"/>
  <c r="O77" i="1" s="1"/>
  <c r="M77" i="1" a="1"/>
  <c r="M77" i="1" s="1"/>
  <c r="I77" i="1" a="1"/>
  <c r="I77" i="1" s="1"/>
  <c r="G77" i="1" a="1"/>
  <c r="G77" i="1" s="1"/>
  <c r="Z75" i="1" a="1"/>
  <c r="Z75" i="1" s="1"/>
  <c r="X75" i="1" a="1"/>
  <c r="X75" i="1" s="1"/>
  <c r="T75" i="1" a="1"/>
  <c r="T75" i="1" s="1"/>
  <c r="R75" i="1" a="1"/>
  <c r="R75" i="1" s="1"/>
  <c r="O75" i="1" a="1"/>
  <c r="O75" i="1" s="1"/>
  <c r="M75" i="1" a="1"/>
  <c r="M75" i="1" s="1"/>
  <c r="D74" i="1"/>
  <c r="L74" i="1"/>
  <c r="S74" i="1" a="1"/>
  <c r="S74" i="1" s="1"/>
  <c r="AA74" i="1" a="1"/>
  <c r="AA74" i="1" s="1"/>
  <c r="P75" i="1" a="1"/>
  <c r="P75" i="1" s="1"/>
  <c r="U75" i="1" a="1"/>
  <c r="U75" i="1" s="1"/>
  <c r="Y75" i="1" a="1"/>
  <c r="Y75" i="1" s="1"/>
  <c r="K77" i="1"/>
  <c r="P77" i="1" a="1"/>
  <c r="P77" i="1" s="1"/>
  <c r="U77" i="1" a="1"/>
  <c r="U77" i="1" s="1"/>
  <c r="L78" i="1"/>
  <c r="Y78" i="1" a="1"/>
  <c r="Y78" i="1" s="1"/>
  <c r="E80" i="1"/>
  <c r="O80" i="1"/>
  <c r="AA80" i="1"/>
  <c r="I81" i="1"/>
  <c r="T81" i="1"/>
  <c r="S82" i="1"/>
  <c r="V82" i="1" s="1" a="1"/>
  <c r="V82" i="1" s="1"/>
  <c r="Z82" i="1"/>
  <c r="L84" i="1"/>
  <c r="W84" i="1"/>
  <c r="H85" i="1"/>
  <c r="B86" i="1" a="1"/>
  <c r="B86" i="1" s="1"/>
  <c r="L89" i="1" s="1"/>
  <c r="H88" i="1"/>
  <c r="U88" i="1"/>
  <c r="I89" i="1"/>
  <c r="I90" i="1"/>
  <c r="S90" i="1" a="1"/>
  <c r="S90" i="1" s="1"/>
  <c r="J91" i="1"/>
  <c r="G92" i="1"/>
  <c r="H93" i="1"/>
  <c r="G125" i="1"/>
  <c r="G124" i="1"/>
  <c r="G122" i="1"/>
  <c r="N121" i="1"/>
  <c r="I121" i="1"/>
  <c r="D121" i="1"/>
  <c r="Z120" i="1"/>
  <c r="S120" i="1"/>
  <c r="O120" i="1"/>
  <c r="J120" i="1"/>
  <c r="E120" i="1"/>
  <c r="I118" i="1"/>
  <c r="H117" i="1"/>
  <c r="W116" i="1"/>
  <c r="P116" i="1"/>
  <c r="G116" i="1"/>
  <c r="J115" i="1"/>
  <c r="H114" i="1"/>
  <c r="Z113" i="1"/>
  <c r="T113" i="1"/>
  <c r="N113" i="1"/>
  <c r="I113" i="1"/>
  <c r="D113" i="1"/>
  <c r="AA112" i="1"/>
  <c r="V112" i="1"/>
  <c r="O112" i="1"/>
  <c r="J112" i="1"/>
  <c r="E112" i="1"/>
  <c r="K109" i="1"/>
  <c r="J106" i="1"/>
  <c r="D106" i="1"/>
  <c r="C102" i="1" a="1"/>
  <c r="C102" i="1" s="1"/>
  <c r="J100" i="1"/>
  <c r="D100" i="1"/>
  <c r="I126" i="1"/>
  <c r="J124" i="1"/>
  <c r="D124" i="1"/>
  <c r="J123" i="1"/>
  <c r="H122" i="1"/>
  <c r="M121" i="1"/>
  <c r="G121" i="1"/>
  <c r="R120" i="1"/>
  <c r="M120" i="1"/>
  <c r="G120" i="1"/>
  <c r="G117" i="1"/>
  <c r="Z116" i="1"/>
  <c r="S116" i="1"/>
  <c r="J116" i="1"/>
  <c r="D116" i="1"/>
  <c r="AA113" i="1"/>
  <c r="S113" i="1"/>
  <c r="Z112" i="1"/>
  <c r="S112" i="1"/>
  <c r="L112" i="1"/>
  <c r="D112" i="1"/>
  <c r="F109" i="1"/>
  <c r="L107" i="1"/>
  <c r="F103" i="1"/>
  <c r="C101" i="1" a="1"/>
  <c r="C101" i="1" s="1"/>
  <c r="L100" i="1"/>
  <c r="J125" i="1"/>
  <c r="O124" i="1"/>
  <c r="I124" i="1"/>
  <c r="B124" i="1"/>
  <c r="I123" i="1"/>
  <c r="Y120" i="1"/>
  <c r="Q120" i="1"/>
  <c r="L120" i="1"/>
  <c r="D120" i="1"/>
  <c r="C117" i="1"/>
  <c r="X116" i="1"/>
  <c r="O116" i="1"/>
  <c r="I116" i="1"/>
  <c r="B116" i="1"/>
  <c r="I115" i="1"/>
  <c r="J114" i="1"/>
  <c r="X113" i="1"/>
  <c r="P113" i="1"/>
  <c r="J113" i="1"/>
  <c r="C113" i="1"/>
  <c r="X112" i="1"/>
  <c r="P112" i="1"/>
  <c r="I112" i="1"/>
  <c r="B112" i="1"/>
  <c r="B108" i="1"/>
  <c r="F106" i="1"/>
  <c r="K100" i="1"/>
  <c r="H112" i="1"/>
  <c r="W112" i="1"/>
  <c r="H113" i="1"/>
  <c r="W113" i="1"/>
  <c r="I114" i="1"/>
  <c r="N116" i="1"/>
  <c r="B117" i="1"/>
  <c r="J118" i="1"/>
  <c r="B120" i="1"/>
  <c r="P120" i="1"/>
  <c r="C121" i="1"/>
  <c r="I122" i="1"/>
  <c r="H125" i="1"/>
  <c r="Q218" i="1"/>
  <c r="Q217" i="1"/>
  <c r="G187" i="1"/>
  <c r="G186" i="1"/>
  <c r="G184" i="1"/>
  <c r="N183" i="1"/>
  <c r="I183" i="1"/>
  <c r="D183" i="1"/>
  <c r="Z182" i="1"/>
  <c r="S182" i="1"/>
  <c r="O182" i="1"/>
  <c r="J182" i="1"/>
  <c r="E182" i="1"/>
  <c r="I180" i="1"/>
  <c r="H179" i="1"/>
  <c r="W178" i="1"/>
  <c r="P178" i="1"/>
  <c r="G178" i="1"/>
  <c r="J177" i="1"/>
  <c r="H176" i="1"/>
  <c r="Z175" i="1"/>
  <c r="T175" i="1"/>
  <c r="N175" i="1"/>
  <c r="I175" i="1"/>
  <c r="D175" i="1"/>
  <c r="AA174" i="1"/>
  <c r="V174" i="1"/>
  <c r="O174" i="1"/>
  <c r="J174" i="1"/>
  <c r="E174" i="1"/>
  <c r="J188" i="1"/>
  <c r="H187" i="1"/>
  <c r="M186" i="1"/>
  <c r="I184" i="1"/>
  <c r="O183" i="1"/>
  <c r="H183" i="1"/>
  <c r="B183" i="1"/>
  <c r="U182" i="1"/>
  <c r="N182" i="1"/>
  <c r="H182" i="1"/>
  <c r="I188" i="1"/>
  <c r="J186" i="1"/>
  <c r="D186" i="1"/>
  <c r="J185" i="1"/>
  <c r="H184" i="1"/>
  <c r="M183" i="1"/>
  <c r="G183" i="1"/>
  <c r="R182" i="1"/>
  <c r="M182" i="1"/>
  <c r="G182" i="1"/>
  <c r="G179" i="1"/>
  <c r="Z178" i="1"/>
  <c r="S178" i="1"/>
  <c r="J178" i="1"/>
  <c r="D178" i="1"/>
  <c r="AA175" i="1"/>
  <c r="S175" i="1"/>
  <c r="Z174" i="1"/>
  <c r="S174" i="1"/>
  <c r="L174" i="1"/>
  <c r="D174" i="1"/>
  <c r="L168" i="1"/>
  <c r="C168" i="1" a="1"/>
  <c r="C168" i="1" s="1"/>
  <c r="O186" i="1"/>
  <c r="B186" i="1"/>
  <c r="J184" i="1"/>
  <c r="C183" i="1"/>
  <c r="P182" i="1"/>
  <c r="B182" i="1"/>
  <c r="J180" i="1"/>
  <c r="B179" i="1"/>
  <c r="T178" i="1"/>
  <c r="I178" i="1"/>
  <c r="I176" i="1"/>
  <c r="P175" i="1"/>
  <c r="H175" i="1"/>
  <c r="P174" i="1"/>
  <c r="H174" i="1"/>
  <c r="L172" i="1"/>
  <c r="L171" i="1"/>
  <c r="B170" i="1"/>
  <c r="C169" i="1" a="1"/>
  <c r="C169" i="1" s="1"/>
  <c r="K168" i="1"/>
  <c r="K165" i="1"/>
  <c r="C163" i="1" a="1"/>
  <c r="C163" i="1" s="1"/>
  <c r="K162" i="1"/>
  <c r="F162" i="1"/>
  <c r="I187" i="1"/>
  <c r="N186" i="1"/>
  <c r="L182" i="1"/>
  <c r="C179" i="1"/>
  <c r="O178" i="1"/>
  <c r="G176" i="1"/>
  <c r="W175" i="1"/>
  <c r="J175" i="1"/>
  <c r="X174" i="1"/>
  <c r="M174" i="1"/>
  <c r="L169" i="1"/>
  <c r="D168" i="1"/>
  <c r="L166" i="1"/>
  <c r="J162" i="1"/>
  <c r="I186" i="1"/>
  <c r="I185" i="1"/>
  <c r="Y182" i="1"/>
  <c r="I182" i="1"/>
  <c r="AA178" i="1"/>
  <c r="N178" i="1"/>
  <c r="B178" i="1"/>
  <c r="V175" i="1"/>
  <c r="G175" i="1"/>
  <c r="W174" i="1"/>
  <c r="I174" i="1"/>
  <c r="F165" i="1"/>
  <c r="H186" i="1"/>
  <c r="Q182" i="1"/>
  <c r="V178" i="1"/>
  <c r="J176" i="1"/>
  <c r="M175" i="1"/>
  <c r="N174" i="1"/>
  <c r="J187" i="1"/>
  <c r="D182" i="1"/>
  <c r="J179" i="1"/>
  <c r="M178" i="1"/>
  <c r="C175" i="1"/>
  <c r="G174" i="1"/>
  <c r="K171" i="1"/>
  <c r="J168" i="1"/>
  <c r="D162" i="1"/>
  <c r="T174" i="1"/>
  <c r="W182" i="1"/>
  <c r="L162" i="1"/>
  <c r="L163" i="1"/>
  <c r="L165" i="1"/>
  <c r="B175" i="1"/>
  <c r="H178" i="1"/>
  <c r="J183" i="1"/>
  <c r="I220" i="1"/>
  <c r="I219" i="1"/>
  <c r="N218" i="1"/>
  <c r="I218" i="1"/>
  <c r="D218" i="1"/>
  <c r="J217" i="1"/>
  <c r="I216" i="1"/>
  <c r="G215" i="1"/>
  <c r="B215" i="1"/>
  <c r="W214" i="1"/>
  <c r="Q214" i="1"/>
  <c r="M214" i="1"/>
  <c r="H214" i="1"/>
  <c r="B214" i="1"/>
  <c r="J211" i="1"/>
  <c r="C211" i="1"/>
  <c r="Z210" i="1"/>
  <c r="T210" i="1"/>
  <c r="N210" i="1"/>
  <c r="I210" i="1"/>
  <c r="D210" i="1"/>
  <c r="J208" i="1"/>
  <c r="W207" i="1"/>
  <c r="P207" i="1"/>
  <c r="G207" i="1"/>
  <c r="B207" i="1"/>
  <c r="X206" i="1"/>
  <c r="S206" i="1"/>
  <c r="M206" i="1"/>
  <c r="H206" i="1"/>
  <c r="B206" i="1"/>
  <c r="H219" i="1"/>
  <c r="M218" i="1"/>
  <c r="G218" i="1"/>
  <c r="H216" i="1"/>
  <c r="O215" i="1"/>
  <c r="I215" i="1"/>
  <c r="C215" i="1"/>
  <c r="U214" i="1"/>
  <c r="O214" i="1"/>
  <c r="I214" i="1"/>
  <c r="I212" i="1"/>
  <c r="I211" i="1"/>
  <c r="V210" i="1"/>
  <c r="M210" i="1"/>
  <c r="G210" i="1"/>
  <c r="H208" i="1"/>
  <c r="V207" i="1"/>
  <c r="N207" i="1"/>
  <c r="H207" i="1"/>
  <c r="V206" i="1"/>
  <c r="N206" i="1"/>
  <c r="G206" i="1"/>
  <c r="L204" i="1"/>
  <c r="L203" i="1"/>
  <c r="F203" i="1"/>
  <c r="J220" i="1"/>
  <c r="G219" i="1"/>
  <c r="I217" i="1"/>
  <c r="G216" i="1"/>
  <c r="N215" i="1"/>
  <c r="H215" i="1"/>
  <c r="S214" i="1"/>
  <c r="N214" i="1"/>
  <c r="G214" i="1"/>
  <c r="H211" i="1"/>
  <c r="AA210" i="1"/>
  <c r="S210" i="1"/>
  <c r="G208" i="1"/>
  <c r="AA207" i="1"/>
  <c r="T207" i="1"/>
  <c r="M207" i="1"/>
  <c r="AA206" i="1"/>
  <c r="T206" i="1"/>
  <c r="L206" i="1"/>
  <c r="E206" i="1"/>
  <c r="K203" i="1"/>
  <c r="J219" i="1"/>
  <c r="H218" i="1"/>
  <c r="R214" i="1"/>
  <c r="E214" i="1"/>
  <c r="G211" i="1"/>
  <c r="P210" i="1"/>
  <c r="B210" i="1"/>
  <c r="J209" i="1"/>
  <c r="Z207" i="1"/>
  <c r="J207" i="1"/>
  <c r="Z206" i="1"/>
  <c r="J206" i="1"/>
  <c r="L201" i="1"/>
  <c r="L200" i="1"/>
  <c r="C200" i="1" a="1"/>
  <c r="C200" i="1" s="1"/>
  <c r="B218" i="1"/>
  <c r="J216" i="1"/>
  <c r="D215" i="1"/>
  <c r="P214" i="1"/>
  <c r="D214" i="1"/>
  <c r="J212" i="1"/>
  <c r="B211" i="1"/>
  <c r="O210" i="1"/>
  <c r="I209" i="1"/>
  <c r="I208" i="1"/>
  <c r="X207" i="1"/>
  <c r="I207" i="1"/>
  <c r="W206" i="1"/>
  <c r="I206" i="1"/>
  <c r="K200" i="1"/>
  <c r="F200" i="1"/>
  <c r="L195" i="1"/>
  <c r="C195" i="1" a="1"/>
  <c r="C195" i="1" s="1"/>
  <c r="K194" i="1"/>
  <c r="F194" i="1"/>
  <c r="O218" i="1"/>
  <c r="M215" i="1"/>
  <c r="L214" i="1"/>
  <c r="X210" i="1"/>
  <c r="D207" i="1"/>
  <c r="D206" i="1"/>
  <c r="B202" i="1"/>
  <c r="L198" i="1"/>
  <c r="K197" i="1"/>
  <c r="L194" i="1"/>
  <c r="J218" i="1"/>
  <c r="J215" i="1"/>
  <c r="J214" i="1"/>
  <c r="W210" i="1"/>
  <c r="C207" i="1"/>
  <c r="F197" i="1"/>
  <c r="J194" i="1"/>
  <c r="O206" i="1"/>
  <c r="H210" i="1"/>
  <c r="Y214" i="1"/>
  <c r="J200" i="1"/>
  <c r="P206" i="1"/>
  <c r="J210" i="1"/>
  <c r="Z214" i="1"/>
  <c r="Q276" i="1"/>
  <c r="Q277" i="1"/>
  <c r="Q248" i="1"/>
  <c r="Q249" i="1"/>
  <c r="V231" i="1" a="1"/>
  <c r="V231" i="1" s="1"/>
  <c r="V259" i="1" a="1"/>
  <c r="V259" i="1" s="1"/>
  <c r="P239" i="1" a="1"/>
  <c r="P239" i="1" s="1"/>
  <c r="AA240" i="1" a="1"/>
  <c r="AA240" i="1" s="1"/>
  <c r="P242" i="1" a="1"/>
  <c r="P242" i="1" s="1"/>
  <c r="Y277" i="1"/>
  <c r="P271" i="1" a="1"/>
  <c r="P271" i="1" s="1"/>
  <c r="N271" i="1" a="1"/>
  <c r="N271" i="1" s="1"/>
  <c r="AA270" i="1" a="1"/>
  <c r="AA270" i="1" s="1"/>
  <c r="W270" i="1"/>
  <c r="AA267" i="1" a="1"/>
  <c r="AA267" i="1" s="1"/>
  <c r="W267" i="1"/>
  <c r="Y274" i="1"/>
  <c r="AA271" i="1" a="1"/>
  <c r="AA271" i="1" s="1"/>
  <c r="W271" i="1"/>
  <c r="P268" i="1" a="1"/>
  <c r="P268" i="1" s="1"/>
  <c r="N268" i="1" a="1"/>
  <c r="N268" i="1" s="1"/>
  <c r="O279" i="1" a="1"/>
  <c r="O279" i="1" s="1"/>
  <c r="O278" i="1" a="1"/>
  <c r="O278" i="1" s="1"/>
  <c r="O275" i="1" a="1"/>
  <c r="O275" i="1" s="1"/>
  <c r="AA268" i="1" a="1"/>
  <c r="AA268" i="1" s="1"/>
  <c r="W268" i="1"/>
  <c r="P267" i="1" a="1"/>
  <c r="P267" i="1" s="1"/>
  <c r="O276" i="1" a="1"/>
  <c r="O276" i="1" s="1"/>
  <c r="Y276" i="1"/>
  <c r="Y249" i="1"/>
  <c r="P243" i="1" a="1"/>
  <c r="P243" i="1" s="1"/>
  <c r="N243" i="1" a="1"/>
  <c r="N243" i="1" s="1"/>
  <c r="AA242" i="1" a="1"/>
  <c r="AA242" i="1" s="1"/>
  <c r="W242" i="1"/>
  <c r="AA239" i="1" a="1"/>
  <c r="AA239" i="1" s="1"/>
  <c r="W239" i="1"/>
  <c r="Y246" i="1"/>
  <c r="AA243" i="1" a="1"/>
  <c r="AA243" i="1" s="1"/>
  <c r="W243" i="1"/>
  <c r="P240" i="1" a="1"/>
  <c r="P240" i="1" s="1"/>
  <c r="N240" i="1" a="1"/>
  <c r="N240" i="1" s="1"/>
  <c r="N239" i="1" a="1"/>
  <c r="N239" i="1" s="1"/>
  <c r="W240" i="1"/>
  <c r="N242" i="1" a="1"/>
  <c r="N242" i="1" s="1"/>
  <c r="O247" i="1" a="1"/>
  <c r="O247" i="1" s="1"/>
  <c r="Y247" i="1"/>
  <c r="P270" i="1" a="1"/>
  <c r="P270" i="1" s="1"/>
  <c r="Y275" i="1"/>
  <c r="T86" i="1" l="1" a="1"/>
  <c r="T86" i="1" s="1"/>
  <c r="O86" i="1" a="1"/>
  <c r="O86" i="1" s="1"/>
  <c r="V86" i="1" a="1"/>
  <c r="V86" i="1" s="1"/>
  <c r="L92" i="1"/>
  <c r="Z86" i="1"/>
  <c r="Q59" i="1"/>
  <c r="Q60" i="1"/>
  <c r="Z71" i="1" a="1"/>
  <c r="Z71" i="1" s="1"/>
  <c r="W71" i="1" a="1"/>
  <c r="W71" i="1" s="1"/>
  <c r="R71" i="1" a="1"/>
  <c r="R71" i="1" s="1"/>
  <c r="N71" i="1" a="1"/>
  <c r="N71" i="1" s="1"/>
  <c r="G71" i="1" a="1"/>
  <c r="G71" i="1" s="1"/>
  <c r="AA71" i="1" a="1"/>
  <c r="AA71" i="1" s="1"/>
  <c r="S71" i="1" a="1"/>
  <c r="S71" i="1" s="1"/>
  <c r="M71" i="1" a="1"/>
  <c r="M71" i="1" s="1"/>
  <c r="H71" i="1" a="1"/>
  <c r="H71" i="1" s="1"/>
  <c r="Z72" i="1" a="1"/>
  <c r="Z72" i="1" s="1"/>
  <c r="Y71" i="1" a="1"/>
  <c r="Y71" i="1" s="1"/>
  <c r="T71" i="1" a="1"/>
  <c r="T71" i="1" s="1"/>
  <c r="P71" i="1" a="1"/>
  <c r="P71" i="1" s="1"/>
  <c r="I71" i="1" a="1"/>
  <c r="I71" i="1" s="1"/>
  <c r="U71" i="1" a="1"/>
  <c r="U71" i="1" s="1"/>
  <c r="O71" i="1" a="1"/>
  <c r="O71" i="1" s="1"/>
  <c r="X71" i="1" a="1"/>
  <c r="X71" i="1" s="1"/>
  <c r="W75" i="1" a="1"/>
  <c r="W75" i="1" s="1"/>
  <c r="N75" i="1" a="1"/>
  <c r="N75" i="1" s="1"/>
  <c r="H75" i="1" a="1"/>
  <c r="H75" i="1" s="1"/>
  <c r="AA75" i="1" a="1"/>
  <c r="AA75" i="1" s="1"/>
  <c r="S75" i="1" a="1"/>
  <c r="S75" i="1" s="1"/>
  <c r="Z85" i="1"/>
  <c r="S85" i="1"/>
  <c r="O83" i="1" a="1"/>
  <c r="O83" i="1" s="1"/>
  <c r="T83" i="1" a="1"/>
  <c r="T83" i="1" s="1"/>
  <c r="V137" i="1" a="1"/>
  <c r="V137" i="1" s="1"/>
  <c r="A153" i="1"/>
  <c r="C153" i="1" s="1" a="1"/>
  <c r="C153" i="1" s="1"/>
  <c r="A152" i="1"/>
  <c r="B153" i="1" s="1" a="1"/>
  <c r="B153" i="1" s="1"/>
  <c r="A148" i="1"/>
  <c r="A149" i="1"/>
  <c r="C149" i="1" s="1" a="1"/>
  <c r="C149" i="1" s="1"/>
  <c r="A141" i="1"/>
  <c r="A140" i="1"/>
  <c r="A138" i="1"/>
  <c r="A135" i="1"/>
  <c r="A133" i="1"/>
  <c r="A131" i="1"/>
  <c r="A145" i="1"/>
  <c r="C145" i="1" s="1" a="1"/>
  <c r="C145" i="1" s="1"/>
  <c r="A144" i="1"/>
  <c r="B145" i="1" s="1" a="1"/>
  <c r="B145" i="1" s="1"/>
  <c r="A139" i="1"/>
  <c r="A137" i="1"/>
  <c r="A136" i="1"/>
  <c r="A134" i="1"/>
  <c r="A132" i="1"/>
  <c r="O94" i="1" a="1"/>
  <c r="O94" i="1" s="1"/>
  <c r="M94" i="1" s="1"/>
  <c r="O93" i="1" a="1"/>
  <c r="O93" i="1" s="1"/>
  <c r="O90" i="1" a="1"/>
  <c r="O90" i="1" s="1"/>
  <c r="O91" i="1" a="1"/>
  <c r="O91" i="1" s="1"/>
  <c r="AA86" i="1" a="1"/>
  <c r="AA86" i="1" s="1"/>
  <c r="Z92" i="1" s="1" a="1"/>
  <c r="Z92" i="1" s="1"/>
  <c r="P86" i="1" a="1"/>
  <c r="P86" i="1" s="1"/>
  <c r="AA83" i="1" a="1"/>
  <c r="AA83" i="1" s="1"/>
  <c r="Z91" i="1" s="1" a="1"/>
  <c r="Z91" i="1" s="1"/>
  <c r="W83" i="1"/>
  <c r="P85" i="1" a="1"/>
  <c r="P85" i="1" s="1"/>
  <c r="N85" i="1" a="1"/>
  <c r="N85" i="1" s="1"/>
  <c r="R90" i="1" s="1" a="1"/>
  <c r="R90" i="1" s="1"/>
  <c r="P82" i="1" a="1"/>
  <c r="P82" i="1" s="1"/>
  <c r="N82" i="1" a="1"/>
  <c r="N82" i="1" s="1"/>
  <c r="Y89" i="1"/>
  <c r="W86" i="1"/>
  <c r="N86" i="1" a="1"/>
  <c r="N86" i="1" s="1"/>
  <c r="R92" i="1" s="1" a="1"/>
  <c r="R92" i="1" s="1"/>
  <c r="N83" i="1" a="1"/>
  <c r="N83" i="1" s="1"/>
  <c r="Z69" i="1" a="1"/>
  <c r="Z69" i="1" s="1"/>
  <c r="AA68" i="1" a="1"/>
  <c r="AA68" i="1" s="1"/>
  <c r="S68" i="1" a="1"/>
  <c r="S68" i="1" s="1"/>
  <c r="H68" i="1" a="1"/>
  <c r="H68" i="1" s="1"/>
  <c r="Y91" i="1"/>
  <c r="P83" i="1" a="1"/>
  <c r="P83" i="1" s="1"/>
  <c r="W68" i="1" a="1"/>
  <c r="W68" i="1" s="1"/>
  <c r="I68" i="1" a="1"/>
  <c r="I68" i="1" s="1"/>
  <c r="G68" i="1" a="1"/>
  <c r="G68" i="1" s="1"/>
  <c r="Y92" i="1"/>
  <c r="Y90" i="1"/>
  <c r="AA85" i="1" a="1"/>
  <c r="AA85" i="1" s="1"/>
  <c r="Z90" i="1" s="1" a="1"/>
  <c r="Z90" i="1" s="1"/>
  <c r="W82" i="1"/>
  <c r="U68" i="1" a="1"/>
  <c r="U68" i="1" s="1"/>
  <c r="O68" i="1" a="1"/>
  <c r="O68" i="1" s="1"/>
  <c r="M68" i="1" a="1"/>
  <c r="M68" i="1" s="1"/>
  <c r="S89" i="1" a="1"/>
  <c r="S89" i="1" s="1"/>
  <c r="O82" i="1" a="1"/>
  <c r="O82" i="1" s="1"/>
  <c r="P68" i="1" a="1"/>
  <c r="P68" i="1" s="1"/>
  <c r="T82" i="1" a="1"/>
  <c r="T82" i="1" s="1"/>
  <c r="AA82" i="1" a="1"/>
  <c r="AA82" i="1" s="1"/>
  <c r="Z89" i="1" s="1" a="1"/>
  <c r="Z89" i="1" s="1"/>
  <c r="Y68" i="1" a="1"/>
  <c r="Y68" i="1" s="1"/>
  <c r="N68" i="1" a="1"/>
  <c r="N68" i="1" s="1"/>
  <c r="W85" i="1"/>
  <c r="X72" i="1" a="1"/>
  <c r="X72" i="1" s="1"/>
  <c r="U72" i="1" a="1"/>
  <c r="U72" i="1" s="1"/>
  <c r="O72" i="1" a="1"/>
  <c r="O72" i="1" s="1"/>
  <c r="G72" i="1" a="1"/>
  <c r="G72" i="1" s="1"/>
  <c r="T72" i="1" a="1"/>
  <c r="T72" i="1" s="1"/>
  <c r="W72" i="1" a="1"/>
  <c r="W72" i="1" s="1"/>
  <c r="R72" i="1" a="1"/>
  <c r="R72" i="1" s="1"/>
  <c r="N72" i="1" a="1"/>
  <c r="N72" i="1" s="1"/>
  <c r="I72" i="1" a="1"/>
  <c r="I72" i="1" s="1"/>
  <c r="Y72" i="1" a="1"/>
  <c r="Y72" i="1" s="1"/>
  <c r="P72" i="1" a="1"/>
  <c r="P72" i="1" s="1"/>
  <c r="AA72" i="1" a="1"/>
  <c r="AA72" i="1" s="1"/>
  <c r="S72" i="1" a="1"/>
  <c r="S72" i="1" s="1"/>
  <c r="M72" i="1" a="1"/>
  <c r="M72" i="1" s="1"/>
  <c r="AA78" i="1" a="1"/>
  <c r="AA78" i="1" s="1"/>
  <c r="H78" i="1" a="1"/>
  <c r="H78" i="1" s="1"/>
  <c r="U78" i="1" a="1"/>
  <c r="U78" i="1" s="1"/>
  <c r="P78" i="1" a="1"/>
  <c r="P78" i="1" s="1"/>
  <c r="W78" i="1" a="1"/>
  <c r="W78" i="1" s="1"/>
  <c r="N78" i="1" a="1"/>
  <c r="N78" i="1" s="1"/>
  <c r="S78" i="1" a="1"/>
  <c r="S78" i="1" s="1"/>
  <c r="V11" i="1" a="1"/>
  <c r="V11" i="1" s="1"/>
  <c r="V10" i="1" a="1"/>
  <c r="V10" i="1" s="1"/>
  <c r="V200" i="1" a="1"/>
  <c r="V200" i="1" s="1"/>
  <c r="L90" i="1"/>
  <c r="N90" i="1" s="1"/>
  <c r="Q155" i="1"/>
  <c r="Q154" i="1"/>
  <c r="F97" i="1"/>
  <c r="F96" i="1"/>
  <c r="Q97" i="1"/>
  <c r="J96" i="1"/>
  <c r="U96" i="1"/>
  <c r="Q96" i="1"/>
  <c r="A58" i="1"/>
  <c r="C58" i="1" s="1" a="1"/>
  <c r="C58" i="1" s="1"/>
  <c r="A54" i="1"/>
  <c r="C54" i="1" s="1" a="1"/>
  <c r="C54" i="1" s="1"/>
  <c r="A43" i="1"/>
  <c r="A37" i="1"/>
  <c r="A57" i="1"/>
  <c r="B58" i="1" s="1" a="1"/>
  <c r="B58" i="1" s="1"/>
  <c r="A49" i="1"/>
  <c r="B50" i="1" s="1" a="1"/>
  <c r="B50" i="1" s="1"/>
  <c r="A50" i="1"/>
  <c r="C50" i="1" s="1" a="1"/>
  <c r="C50" i="1" s="1"/>
  <c r="A46" i="1"/>
  <c r="A44" i="1"/>
  <c r="A39" i="1"/>
  <c r="A38" i="1"/>
  <c r="A36" i="1"/>
  <c r="A53" i="1"/>
  <c r="A45" i="1"/>
  <c r="A40" i="1"/>
  <c r="A41" i="1"/>
  <c r="A42" i="1"/>
  <c r="V42" i="1" a="1"/>
  <c r="V42" i="1" s="1"/>
  <c r="V43" i="1" a="1"/>
  <c r="V43" i="1" s="1"/>
  <c r="A208" i="1"/>
  <c r="C208" i="1" s="1" a="1"/>
  <c r="C208" i="1" s="1"/>
  <c r="A212" i="1"/>
  <c r="C212" i="1" s="1" a="1"/>
  <c r="C212" i="1" s="1"/>
  <c r="A211" i="1"/>
  <c r="A207" i="1"/>
  <c r="B208" i="1" s="1" a="1"/>
  <c r="B208" i="1" s="1"/>
  <c r="A216" i="1"/>
  <c r="C216" i="1" s="1" a="1"/>
  <c r="C216" i="1" s="1"/>
  <c r="A215" i="1"/>
  <c r="B216" i="1" s="1" a="1"/>
  <c r="B216" i="1" s="1"/>
  <c r="A203" i="1"/>
  <c r="A204" i="1"/>
  <c r="A202" i="1"/>
  <c r="A201" i="1"/>
  <c r="AA201" i="1" s="1" a="1"/>
  <c r="AA201" i="1" s="1"/>
  <c r="A198" i="1"/>
  <c r="A196" i="1"/>
  <c r="A194" i="1"/>
  <c r="A200" i="1"/>
  <c r="A199" i="1"/>
  <c r="A197" i="1"/>
  <c r="A195" i="1"/>
  <c r="A179" i="1"/>
  <c r="A184" i="1"/>
  <c r="C184" i="1" s="1" a="1"/>
  <c r="C184" i="1" s="1"/>
  <c r="A183" i="1"/>
  <c r="B184" i="1" s="1" a="1"/>
  <c r="B184" i="1" s="1"/>
  <c r="A172" i="1"/>
  <c r="A170" i="1"/>
  <c r="A176" i="1"/>
  <c r="C176" i="1" s="1" a="1"/>
  <c r="C176" i="1" s="1"/>
  <c r="A175" i="1"/>
  <c r="B176" i="1" s="1" a="1"/>
  <c r="B176" i="1" s="1"/>
  <c r="A165" i="1"/>
  <c r="A164" i="1"/>
  <c r="A162" i="1"/>
  <c r="A166" i="1"/>
  <c r="A163" i="1"/>
  <c r="A171" i="1"/>
  <c r="A169" i="1"/>
  <c r="A180" i="1"/>
  <c r="C180" i="1" s="1" a="1"/>
  <c r="C180" i="1" s="1"/>
  <c r="A168" i="1"/>
  <c r="A167" i="1"/>
  <c r="V169" i="1" a="1"/>
  <c r="V169" i="1" s="1"/>
  <c r="V168" i="1" a="1"/>
  <c r="V168" i="1" s="1"/>
  <c r="A117" i="1"/>
  <c r="A109" i="1"/>
  <c r="A106" i="1"/>
  <c r="A105" i="1"/>
  <c r="A104" i="1"/>
  <c r="A122" i="1"/>
  <c r="C122" i="1" s="1" a="1"/>
  <c r="C122" i="1" s="1"/>
  <c r="A121" i="1"/>
  <c r="B122" i="1" s="1" a="1"/>
  <c r="B122" i="1" s="1"/>
  <c r="A110" i="1"/>
  <c r="A107" i="1"/>
  <c r="A102" i="1"/>
  <c r="A103" i="1"/>
  <c r="A100" i="1"/>
  <c r="A118" i="1"/>
  <c r="C118" i="1" s="1" a="1"/>
  <c r="C118" i="1" s="1"/>
  <c r="A108" i="1"/>
  <c r="A101" i="1"/>
  <c r="A114" i="1"/>
  <c r="C114" i="1" s="1" a="1"/>
  <c r="C114" i="1" s="1"/>
  <c r="A113" i="1"/>
  <c r="B114" i="1" s="1" a="1"/>
  <c r="B114" i="1" s="1"/>
  <c r="Q124" i="1"/>
  <c r="Q123" i="1"/>
  <c r="L93" i="1"/>
  <c r="N93" i="1" s="1"/>
  <c r="L91" i="1"/>
  <c r="N91" i="1" s="1"/>
  <c r="M91" i="1" s="1"/>
  <c r="S77" i="1" a="1"/>
  <c r="S77" i="1" s="1"/>
  <c r="H77" i="1" a="1"/>
  <c r="H77" i="1" s="1"/>
  <c r="AA77" i="1" a="1"/>
  <c r="AA77" i="1" s="1"/>
  <c r="W77" i="1" a="1"/>
  <c r="W77" i="1" s="1"/>
  <c r="N77" i="1" a="1"/>
  <c r="N77" i="1" s="1"/>
  <c r="X86" i="1" a="1"/>
  <c r="X86" i="1" s="1"/>
  <c r="Y77" i="1" a="1"/>
  <c r="Y77" i="1" s="1"/>
  <c r="U69" i="1" a="1"/>
  <c r="U69" i="1" s="1"/>
  <c r="R69" i="1" a="1"/>
  <c r="R69" i="1" s="1"/>
  <c r="V69" i="1" a="1"/>
  <c r="V69" i="1" s="1"/>
  <c r="M69" i="1" a="1"/>
  <c r="M69" i="1" s="1"/>
  <c r="W69" i="1" a="1"/>
  <c r="W69" i="1" s="1"/>
  <c r="T69" i="1" a="1"/>
  <c r="T69" i="1" s="1"/>
  <c r="N69" i="1" a="1"/>
  <c r="N69" i="1" s="1"/>
  <c r="Y69" i="1" a="1"/>
  <c r="Y69" i="1" s="1"/>
  <c r="P69" i="1" a="1"/>
  <c r="P69" i="1" s="1"/>
  <c r="H69" i="1" a="1"/>
  <c r="H69" i="1" s="1"/>
  <c r="X69" i="1" a="1"/>
  <c r="X69" i="1" s="1"/>
  <c r="O69" i="1" a="1"/>
  <c r="O69" i="1" s="1"/>
  <c r="S69" i="1" a="1"/>
  <c r="S69" i="1" s="1"/>
  <c r="AA69" i="1" a="1"/>
  <c r="AA69" i="1" s="1"/>
  <c r="A18" i="1"/>
  <c r="C18" i="1" s="1" a="1"/>
  <c r="C18" i="1" s="1"/>
  <c r="A14" i="1"/>
  <c r="A12" i="1"/>
  <c r="A7" i="1"/>
  <c r="A6" i="1"/>
  <c r="A4" i="1"/>
  <c r="A25" i="1"/>
  <c r="B26" i="1" s="1" a="1"/>
  <c r="B26" i="1" s="1"/>
  <c r="A17" i="1"/>
  <c r="B18" i="1" s="1" a="1"/>
  <c r="B18" i="1" s="1"/>
  <c r="A21" i="1"/>
  <c r="A22" i="1"/>
  <c r="C22" i="1" s="1" a="1"/>
  <c r="C22" i="1" s="1"/>
  <c r="A10" i="1"/>
  <c r="A9" i="1"/>
  <c r="A11" i="1"/>
  <c r="A5" i="1"/>
  <c r="A26" i="1"/>
  <c r="C26" i="1" s="1" a="1"/>
  <c r="C26" i="1" s="1"/>
  <c r="A13" i="1"/>
  <c r="A8" i="1"/>
  <c r="E20" i="1" l="1"/>
  <c r="L20" i="1"/>
  <c r="L17" i="1"/>
  <c r="E17" i="1"/>
  <c r="W124" i="1" a="1"/>
  <c r="W124" i="1" s="1"/>
  <c r="Z109" i="1" a="1"/>
  <c r="Z109" i="1" s="1"/>
  <c r="O109" i="1" a="1"/>
  <c r="O109" i="1" s="1"/>
  <c r="X109" i="1" a="1"/>
  <c r="X109" i="1" s="1"/>
  <c r="G109" i="1" a="1"/>
  <c r="G109" i="1" s="1"/>
  <c r="S124" i="1" a="1"/>
  <c r="S124" i="1" s="1"/>
  <c r="AA109" i="1" a="1"/>
  <c r="AA109" i="1" s="1"/>
  <c r="S109" i="1" a="1"/>
  <c r="S109" i="1" s="1"/>
  <c r="H109" i="1" a="1"/>
  <c r="H109" i="1" s="1"/>
  <c r="U109" i="1" a="1"/>
  <c r="U109" i="1" s="1"/>
  <c r="I109" i="1" a="1"/>
  <c r="I109" i="1" s="1"/>
  <c r="Y109" i="1" a="1"/>
  <c r="Y109" i="1" s="1"/>
  <c r="P109" i="1" a="1"/>
  <c r="P109" i="1" s="1"/>
  <c r="U124" i="1" a="1"/>
  <c r="U124" i="1" s="1"/>
  <c r="M109" i="1" a="1"/>
  <c r="M109" i="1" s="1"/>
  <c r="Z110" i="1" a="1"/>
  <c r="Z110" i="1" s="1"/>
  <c r="W109" i="1" a="1"/>
  <c r="W109" i="1" s="1"/>
  <c r="N109" i="1" a="1"/>
  <c r="N109" i="1" s="1"/>
  <c r="T109" i="1" a="1"/>
  <c r="T109" i="1" s="1"/>
  <c r="R109" i="1" a="1"/>
  <c r="R109" i="1" s="1"/>
  <c r="L177" i="1"/>
  <c r="L180" i="1"/>
  <c r="L179" i="1"/>
  <c r="L176" i="1"/>
  <c r="O40" i="1" a="1"/>
  <c r="O40" i="1" s="1"/>
  <c r="X40" i="1" a="1"/>
  <c r="X40" i="1" s="1"/>
  <c r="W40" i="1" a="1"/>
  <c r="W40" i="1" s="1"/>
  <c r="N40" i="1" a="1"/>
  <c r="N40" i="1" s="1"/>
  <c r="U40" i="1" a="1"/>
  <c r="U40" i="1" s="1"/>
  <c r="AA40" i="1" a="1"/>
  <c r="AA40" i="1" s="1"/>
  <c r="S40" i="1" a="1"/>
  <c r="S40" i="1" s="1"/>
  <c r="M40" i="1" a="1"/>
  <c r="M40" i="1" s="1"/>
  <c r="H40" i="1" a="1"/>
  <c r="H40" i="1" s="1"/>
  <c r="I40" i="1" a="1"/>
  <c r="I40" i="1" s="1"/>
  <c r="Y40" i="1" a="1"/>
  <c r="Y40" i="1" s="1"/>
  <c r="P40" i="1" a="1"/>
  <c r="P40" i="1" s="1"/>
  <c r="G40" i="1" a="1"/>
  <c r="G40" i="1" s="1"/>
  <c r="R40" i="1" a="1"/>
  <c r="R40" i="1" s="1"/>
  <c r="T40" i="1" a="1"/>
  <c r="T40" i="1" s="1"/>
  <c r="L147" i="1"/>
  <c r="E144" i="1"/>
  <c r="E147" i="1"/>
  <c r="L144" i="1"/>
  <c r="Z10" i="1" a="1"/>
  <c r="Z10" i="1" s="1"/>
  <c r="R10" i="1" a="1"/>
  <c r="R10" i="1" s="1"/>
  <c r="M10" i="1" a="1"/>
  <c r="M10" i="1" s="1"/>
  <c r="T10" i="1" a="1"/>
  <c r="T10" i="1" s="1"/>
  <c r="H10" i="1" a="1"/>
  <c r="H10" i="1" s="1"/>
  <c r="X10" i="1" a="1"/>
  <c r="X10" i="1" s="1"/>
  <c r="O10" i="1" a="1"/>
  <c r="O10" i="1" s="1"/>
  <c r="I10" i="1" a="1"/>
  <c r="I10" i="1" s="1"/>
  <c r="Y10" i="1" a="1"/>
  <c r="Y10" i="1" s="1"/>
  <c r="P10" i="1" a="1"/>
  <c r="P10" i="1" s="1"/>
  <c r="Z11" i="1" a="1"/>
  <c r="Z11" i="1" s="1"/>
  <c r="G10" i="1" a="1"/>
  <c r="G10" i="1" s="1"/>
  <c r="W10" i="1" a="1"/>
  <c r="W10" i="1" s="1"/>
  <c r="N10" i="1" a="1"/>
  <c r="N10" i="1" s="1"/>
  <c r="W27" i="1" a="1"/>
  <c r="W27" i="1" s="1"/>
  <c r="U10" i="1" a="1"/>
  <c r="U10" i="1" s="1"/>
  <c r="U27" i="1" a="1"/>
  <c r="U27" i="1" s="1"/>
  <c r="S27" i="1" a="1"/>
  <c r="S27" i="1" s="1"/>
  <c r="AA10" i="1" a="1"/>
  <c r="AA10" i="1" s="1"/>
  <c r="S10" i="1" a="1"/>
  <c r="S10" i="1" s="1"/>
  <c r="L126" i="1"/>
  <c r="N126" i="1" s="1"/>
  <c r="L122" i="1"/>
  <c r="N122" i="1" s="1"/>
  <c r="L125" i="1"/>
  <c r="N125" i="1" s="1"/>
  <c r="L123" i="1"/>
  <c r="N123" i="1" s="1"/>
  <c r="E218" i="1"/>
  <c r="E215" i="1"/>
  <c r="S60" i="1" a="1"/>
  <c r="S60" i="1" s="1"/>
  <c r="U60" i="1" a="1"/>
  <c r="U60" i="1" s="1"/>
  <c r="Z45" i="1" a="1"/>
  <c r="Z45" i="1" s="1"/>
  <c r="O45" i="1" a="1"/>
  <c r="O45" i="1" s="1"/>
  <c r="Y45" i="1" a="1"/>
  <c r="Y45" i="1" s="1"/>
  <c r="U45" i="1" a="1"/>
  <c r="U45" i="1" s="1"/>
  <c r="X45" i="1" a="1"/>
  <c r="X45" i="1" s="1"/>
  <c r="M45" i="1" a="1"/>
  <c r="M45" i="1" s="1"/>
  <c r="AA45" i="1" a="1"/>
  <c r="AA45" i="1" s="1"/>
  <c r="N45" i="1" a="1"/>
  <c r="N45" i="1" s="1"/>
  <c r="P45" i="1" a="1"/>
  <c r="P45" i="1" s="1"/>
  <c r="Z46" i="1" a="1"/>
  <c r="Z46" i="1" s="1"/>
  <c r="T45" i="1" a="1"/>
  <c r="T45" i="1" s="1"/>
  <c r="I45" i="1" a="1"/>
  <c r="I45" i="1" s="1"/>
  <c r="S45" i="1" a="1"/>
  <c r="S45" i="1" s="1"/>
  <c r="W45" i="1" a="1"/>
  <c r="W45" i="1" s="1"/>
  <c r="W60" i="1" a="1"/>
  <c r="W60" i="1" s="1"/>
  <c r="R45" i="1" a="1"/>
  <c r="R45" i="1" s="1"/>
  <c r="G45" i="1" a="1"/>
  <c r="G45" i="1" s="1"/>
  <c r="H45" i="1" a="1"/>
  <c r="H45" i="1" s="1"/>
  <c r="R39" i="1" a="1"/>
  <c r="R39" i="1" s="1"/>
  <c r="Z39" i="1" a="1"/>
  <c r="Z39" i="1" s="1"/>
  <c r="G39" i="1" a="1"/>
  <c r="G39" i="1" s="1"/>
  <c r="U39" i="1" a="1"/>
  <c r="U39" i="1" s="1"/>
  <c r="Z40" i="1" a="1"/>
  <c r="Z40" i="1" s="1"/>
  <c r="O39" i="1" a="1"/>
  <c r="O39" i="1" s="1"/>
  <c r="U58" i="1" a="1"/>
  <c r="U58" i="1" s="1"/>
  <c r="AA39" i="1" a="1"/>
  <c r="AA39" i="1" s="1"/>
  <c r="S39" i="1" a="1"/>
  <c r="S39" i="1" s="1"/>
  <c r="H39" i="1" a="1"/>
  <c r="H39" i="1" s="1"/>
  <c r="X39" i="1" a="1"/>
  <c r="X39" i="1" s="1"/>
  <c r="Y39" i="1" a="1"/>
  <c r="Y39" i="1" s="1"/>
  <c r="P39" i="1" a="1"/>
  <c r="P39" i="1" s="1"/>
  <c r="I39" i="1" a="1"/>
  <c r="I39" i="1" s="1"/>
  <c r="W53" i="1" s="1"/>
  <c r="M39" i="1" a="1"/>
  <c r="M39" i="1" s="1"/>
  <c r="W39" i="1" a="1"/>
  <c r="W39" i="1" s="1"/>
  <c r="N39" i="1" a="1"/>
  <c r="N39" i="1" s="1"/>
  <c r="W58" i="1" a="1"/>
  <c r="W58" i="1" s="1"/>
  <c r="T39" i="1" a="1"/>
  <c r="T39" i="1" s="1"/>
  <c r="S58" i="1" a="1"/>
  <c r="S58" i="1" s="1"/>
  <c r="L146" i="1"/>
  <c r="L149" i="1"/>
  <c r="L145" i="1"/>
  <c r="L148" i="1"/>
  <c r="M138" i="1" a="1"/>
  <c r="M138" i="1" s="1"/>
  <c r="N138" i="1" a="1"/>
  <c r="N138" i="1" s="1"/>
  <c r="Y138" i="1" a="1"/>
  <c r="Y138" i="1" s="1"/>
  <c r="I138" i="1" a="1"/>
  <c r="I138" i="1" s="1"/>
  <c r="X138" i="1" a="1"/>
  <c r="X138" i="1" s="1"/>
  <c r="U138" i="1" a="1"/>
  <c r="U138" i="1" s="1"/>
  <c r="T138" i="1" a="1"/>
  <c r="T138" i="1" s="1"/>
  <c r="W138" i="1" a="1"/>
  <c r="W138" i="1" s="1"/>
  <c r="R138" i="1" a="1"/>
  <c r="R138" i="1" s="1"/>
  <c r="S138" i="1" a="1"/>
  <c r="S138" i="1" s="1"/>
  <c r="O138" i="1" a="1"/>
  <c r="O138" i="1" s="1"/>
  <c r="G138" i="1" a="1"/>
  <c r="G138" i="1" s="1"/>
  <c r="H138" i="1" a="1"/>
  <c r="H138" i="1" s="1"/>
  <c r="P138" i="1" a="1"/>
  <c r="P138" i="1" s="1"/>
  <c r="B160" i="1" a="1"/>
  <c r="B160" i="1" s="1"/>
  <c r="B149" i="1" a="1"/>
  <c r="B149" i="1" s="1"/>
  <c r="O85" i="1" a="1"/>
  <c r="O85" i="1" s="1"/>
  <c r="V85" i="1" a="1"/>
  <c r="V85" i="1" s="1"/>
  <c r="T85" i="1" a="1"/>
  <c r="T85" i="1" s="1"/>
  <c r="M93" i="1"/>
  <c r="L118" i="1"/>
  <c r="L115" i="1"/>
  <c r="L117" i="1"/>
  <c r="L114" i="1"/>
  <c r="Y121" i="1"/>
  <c r="AA118" i="1" a="1"/>
  <c r="AA118" i="1" s="1"/>
  <c r="Z124" i="1" s="1" a="1"/>
  <c r="Z124" i="1" s="1"/>
  <c r="W118" i="1"/>
  <c r="P115" i="1" a="1"/>
  <c r="P115" i="1" s="1"/>
  <c r="N115" i="1" a="1"/>
  <c r="N115" i="1" s="1"/>
  <c r="R123" i="1" s="1" a="1"/>
  <c r="R123" i="1" s="1"/>
  <c r="O126" i="1" a="1"/>
  <c r="O126" i="1" s="1"/>
  <c r="P118" i="1" a="1"/>
  <c r="P118" i="1" s="1"/>
  <c r="AA117" i="1" a="1"/>
  <c r="AA117" i="1" s="1"/>
  <c r="P117" i="1" a="1"/>
  <c r="P117" i="1" s="1"/>
  <c r="O123" i="1" a="1"/>
  <c r="O123" i="1" s="1"/>
  <c r="AA115" i="1" a="1"/>
  <c r="AA115" i="1" s="1"/>
  <c r="V100" i="1" a="1"/>
  <c r="V100" i="1" s="1"/>
  <c r="P100" i="1" a="1"/>
  <c r="P100" i="1" s="1"/>
  <c r="I100" i="1" a="1"/>
  <c r="I100" i="1" s="1"/>
  <c r="W114" i="1" s="1"/>
  <c r="O125" i="1" a="1"/>
  <c r="O125" i="1" s="1"/>
  <c r="Y124" i="1"/>
  <c r="N117" i="1" a="1"/>
  <c r="N117" i="1" s="1"/>
  <c r="AA114" i="1" a="1"/>
  <c r="AA114" i="1" s="1"/>
  <c r="Z121" i="1" s="1" a="1"/>
  <c r="Z121" i="1" s="1"/>
  <c r="P114" i="1" a="1"/>
  <c r="P114" i="1" s="1"/>
  <c r="Z101" i="1" a="1"/>
  <c r="Z101" i="1" s="1"/>
  <c r="T100" i="1" a="1"/>
  <c r="T100" i="1" s="1"/>
  <c r="N100" i="1" a="1"/>
  <c r="N100" i="1" s="1"/>
  <c r="G100" i="1" a="1"/>
  <c r="G100" i="1" s="1"/>
  <c r="O122" i="1" a="1"/>
  <c r="O122" i="1" s="1"/>
  <c r="S121" i="1" a="1"/>
  <c r="S121" i="1" s="1"/>
  <c r="N114" i="1" a="1"/>
  <c r="N114" i="1" s="1"/>
  <c r="Y100" i="1" a="1"/>
  <c r="Y100" i="1" s="1"/>
  <c r="M100" i="1" a="1"/>
  <c r="M100" i="1" s="1"/>
  <c r="N118" i="1" a="1"/>
  <c r="N118" i="1" s="1"/>
  <c r="R124" i="1" s="1" a="1"/>
  <c r="R124" i="1" s="1"/>
  <c r="W100" i="1" a="1"/>
  <c r="W100" i="1" s="1"/>
  <c r="O100" i="1" a="1"/>
  <c r="O100" i="1" s="1"/>
  <c r="U100" i="1" a="1"/>
  <c r="U100" i="1" s="1"/>
  <c r="R121" i="1" a="1"/>
  <c r="R121" i="1" s="1"/>
  <c r="W121" i="1" a="1"/>
  <c r="W121" i="1" s="1"/>
  <c r="Z100" i="1" a="1"/>
  <c r="Z100" i="1" s="1"/>
  <c r="H100" i="1" a="1"/>
  <c r="H100" i="1" s="1"/>
  <c r="AA100" i="1" a="1"/>
  <c r="AA100" i="1" s="1"/>
  <c r="R100" i="1" a="1"/>
  <c r="R100" i="1" s="1"/>
  <c r="S100" i="1" a="1"/>
  <c r="S100" i="1" s="1"/>
  <c r="U121" i="1" a="1"/>
  <c r="U121" i="1" s="1"/>
  <c r="X100" i="1" a="1"/>
  <c r="X100" i="1" s="1"/>
  <c r="X110" i="1" a="1"/>
  <c r="X110" i="1" s="1"/>
  <c r="H110" i="1" a="1"/>
  <c r="H110" i="1" s="1"/>
  <c r="O110" i="1" a="1"/>
  <c r="O110" i="1" s="1"/>
  <c r="G110" i="1" a="1"/>
  <c r="G110" i="1" s="1"/>
  <c r="U110" i="1" a="1"/>
  <c r="U110" i="1" s="1"/>
  <c r="R110" i="1" a="1"/>
  <c r="R110" i="1" s="1"/>
  <c r="T110" i="1" a="1"/>
  <c r="T110" i="1" s="1"/>
  <c r="W110" i="1" a="1"/>
  <c r="W110" i="1" s="1"/>
  <c r="M110" i="1" a="1"/>
  <c r="M110" i="1" s="1"/>
  <c r="AA110" i="1" a="1"/>
  <c r="AA110" i="1" s="1"/>
  <c r="S110" i="1" a="1"/>
  <c r="S110" i="1" s="1"/>
  <c r="I110" i="1" a="1"/>
  <c r="I110" i="1" s="1"/>
  <c r="N110" i="1" a="1"/>
  <c r="N110" i="1" s="1"/>
  <c r="Y110" i="1" a="1"/>
  <c r="Y110" i="1" s="1"/>
  <c r="P110" i="1" a="1"/>
  <c r="P110" i="1" s="1"/>
  <c r="W168" i="1" a="1"/>
  <c r="W168" i="1" s="1"/>
  <c r="W185" i="1" a="1"/>
  <c r="W185" i="1" s="1"/>
  <c r="U168" i="1" a="1"/>
  <c r="U168" i="1" s="1"/>
  <c r="N168" i="1" a="1"/>
  <c r="N168" i="1" s="1"/>
  <c r="U185" i="1" a="1"/>
  <c r="U185" i="1" s="1"/>
  <c r="R168" i="1" a="1"/>
  <c r="R168" i="1" s="1"/>
  <c r="M168" i="1" a="1"/>
  <c r="M168" i="1" s="1"/>
  <c r="AA168" i="1" a="1"/>
  <c r="AA168" i="1" s="1"/>
  <c r="P168" i="1" a="1"/>
  <c r="P168" i="1" s="1"/>
  <c r="O168" i="1" a="1"/>
  <c r="O168" i="1" s="1"/>
  <c r="X168" i="1" a="1"/>
  <c r="X168" i="1" s="1"/>
  <c r="S185" i="1" a="1"/>
  <c r="S185" i="1" s="1"/>
  <c r="T168" i="1" a="1"/>
  <c r="T168" i="1" s="1"/>
  <c r="Z169" i="1" a="1"/>
  <c r="Z169" i="1" s="1"/>
  <c r="G168" i="1" a="1"/>
  <c r="G168" i="1" s="1"/>
  <c r="H168" i="1" a="1"/>
  <c r="H168" i="1" s="1"/>
  <c r="S168" i="1" a="1"/>
  <c r="S168" i="1" s="1"/>
  <c r="Y168" i="1" a="1"/>
  <c r="Y168" i="1" s="1"/>
  <c r="I168" i="1" a="1"/>
  <c r="I168" i="1" s="1"/>
  <c r="W177" i="1" s="1"/>
  <c r="Z168" i="1" a="1"/>
  <c r="Z168" i="1" s="1"/>
  <c r="S163" i="1" a="1"/>
  <c r="S163" i="1" s="1"/>
  <c r="R163" i="1" a="1"/>
  <c r="R163" i="1" s="1"/>
  <c r="P163" i="1" a="1"/>
  <c r="P163" i="1" s="1"/>
  <c r="G163" i="1" a="1"/>
  <c r="G163" i="1" s="1"/>
  <c r="U163" i="1" a="1"/>
  <c r="U163" i="1" s="1"/>
  <c r="X163" i="1" a="1"/>
  <c r="X163" i="1" s="1"/>
  <c r="W163" i="1" a="1"/>
  <c r="W163" i="1" s="1"/>
  <c r="T163" i="1" a="1"/>
  <c r="T163" i="1" s="1"/>
  <c r="I163" i="1" a="1"/>
  <c r="I163" i="1" s="1"/>
  <c r="Y163" i="1" a="1"/>
  <c r="Y163" i="1" s="1"/>
  <c r="AA163" i="1" a="1"/>
  <c r="AA163" i="1" s="1"/>
  <c r="O163" i="1" a="1"/>
  <c r="O163" i="1" s="1"/>
  <c r="H163" i="1"/>
  <c r="V163" i="1" a="1"/>
  <c r="V163" i="1" s="1"/>
  <c r="M163" i="1" a="1"/>
  <c r="M163" i="1" s="1"/>
  <c r="N163" i="1" a="1"/>
  <c r="N163" i="1" s="1"/>
  <c r="S184" i="1" a="1"/>
  <c r="S184" i="1" s="1"/>
  <c r="Y165" i="1" a="1"/>
  <c r="Y165" i="1" s="1"/>
  <c r="P165" i="1" a="1"/>
  <c r="P165" i="1" s="1"/>
  <c r="G165" i="1" a="1"/>
  <c r="G165" i="1" s="1"/>
  <c r="T165" i="1" a="1"/>
  <c r="T165" i="1" s="1"/>
  <c r="Z184" i="1" a="1"/>
  <c r="Z184" i="1" s="1"/>
  <c r="W165" i="1" a="1"/>
  <c r="W165" i="1" s="1"/>
  <c r="Z166" i="1" a="1"/>
  <c r="Z166" i="1" s="1"/>
  <c r="I165" i="1" a="1"/>
  <c r="I165" i="1" s="1"/>
  <c r="Y184" i="1" s="1"/>
  <c r="S165" i="1" a="1"/>
  <c r="S165" i="1" s="1"/>
  <c r="X165" i="1" a="1"/>
  <c r="X165" i="1" s="1"/>
  <c r="N165" i="1" a="1"/>
  <c r="N165" i="1" s="1"/>
  <c r="W184" i="1" a="1"/>
  <c r="W184" i="1" s="1"/>
  <c r="AA165" i="1" a="1"/>
  <c r="AA165" i="1" s="1"/>
  <c r="H165" i="1" a="1"/>
  <c r="H165" i="1" s="1"/>
  <c r="R165" i="1" a="1"/>
  <c r="R165" i="1" s="1"/>
  <c r="M165" i="1" a="1"/>
  <c r="M165" i="1" s="1"/>
  <c r="U184" i="1" a="1"/>
  <c r="U184" i="1" s="1"/>
  <c r="U165" i="1" a="1"/>
  <c r="U165" i="1" s="1"/>
  <c r="Z165" i="1" a="1"/>
  <c r="Z165" i="1" s="1"/>
  <c r="O165" i="1" a="1"/>
  <c r="O165" i="1" s="1"/>
  <c r="I172" i="1" a="1"/>
  <c r="I172" i="1" s="1"/>
  <c r="Y172" i="1" a="1"/>
  <c r="Y172" i="1" s="1"/>
  <c r="R172" i="1" a="1"/>
  <c r="R172" i="1" s="1"/>
  <c r="N172" i="1" a="1"/>
  <c r="N172" i="1" s="1"/>
  <c r="W172" i="1" a="1"/>
  <c r="W172" i="1" s="1"/>
  <c r="AA172" i="1" a="1"/>
  <c r="AA172" i="1" s="1"/>
  <c r="O172" i="1" a="1"/>
  <c r="O172" i="1" s="1"/>
  <c r="P172" i="1" a="1"/>
  <c r="P172" i="1" s="1"/>
  <c r="T172" i="1" a="1"/>
  <c r="T172" i="1" s="1"/>
  <c r="S172" i="1" a="1"/>
  <c r="S172" i="1" s="1"/>
  <c r="G172" i="1" a="1"/>
  <c r="G172" i="1" s="1"/>
  <c r="U172" i="1" a="1"/>
  <c r="U172" i="1" s="1"/>
  <c r="M172" i="1" a="1"/>
  <c r="M172" i="1" s="1"/>
  <c r="X172" i="1" a="1"/>
  <c r="X172" i="1" s="1"/>
  <c r="H172" i="1" a="1"/>
  <c r="H172" i="1" s="1"/>
  <c r="U195" i="1" a="1"/>
  <c r="U195" i="1" s="1"/>
  <c r="O195" i="1" a="1"/>
  <c r="O195" i="1" s="1"/>
  <c r="G195" i="1" a="1"/>
  <c r="G195" i="1" s="1"/>
  <c r="AA195" i="1" a="1"/>
  <c r="AA195" i="1" s="1"/>
  <c r="S195" i="1" a="1"/>
  <c r="S195" i="1" s="1"/>
  <c r="M195" i="1" a="1"/>
  <c r="M195" i="1" s="1"/>
  <c r="X195" i="1" a="1"/>
  <c r="X195" i="1" s="1"/>
  <c r="V195" i="1" a="1"/>
  <c r="V195" i="1" s="1"/>
  <c r="R195" i="1" a="1"/>
  <c r="R195" i="1" s="1"/>
  <c r="Y195" i="1" a="1"/>
  <c r="Y195" i="1" s="1"/>
  <c r="T195" i="1" a="1"/>
  <c r="T195" i="1" s="1"/>
  <c r="W195" i="1" a="1"/>
  <c r="W195" i="1" s="1"/>
  <c r="N195" i="1" a="1"/>
  <c r="N195" i="1" s="1"/>
  <c r="H195" i="1" a="1"/>
  <c r="H195" i="1" s="1"/>
  <c r="I195" i="1" a="1"/>
  <c r="I195" i="1" s="1"/>
  <c r="P195" i="1" a="1"/>
  <c r="P195" i="1" s="1"/>
  <c r="Y217" i="1"/>
  <c r="O217" i="1" a="1"/>
  <c r="O217" i="1" s="1"/>
  <c r="P211" i="1" a="1"/>
  <c r="P211" i="1" s="1"/>
  <c r="N211" i="1" a="1"/>
  <c r="N211" i="1" s="1"/>
  <c r="R216" i="1" s="1" a="1"/>
  <c r="R216" i="1" s="1"/>
  <c r="P208" i="1" a="1"/>
  <c r="P208" i="1" s="1"/>
  <c r="N208" i="1" a="1"/>
  <c r="N208" i="1" s="1"/>
  <c r="O219" i="1" a="1"/>
  <c r="O219" i="1" s="1"/>
  <c r="O216" i="1" a="1"/>
  <c r="O216" i="1" s="1"/>
  <c r="N212" i="1" a="1"/>
  <c r="N212" i="1" s="1"/>
  <c r="AA209" i="1" a="1"/>
  <c r="AA209" i="1" s="1"/>
  <c r="Z217" i="1" s="1" a="1"/>
  <c r="Z217" i="1" s="1"/>
  <c r="P209" i="1" a="1"/>
  <c r="P209" i="1" s="1"/>
  <c r="AA208" i="1" a="1"/>
  <c r="AA208" i="1" s="1"/>
  <c r="AA212" i="1" a="1"/>
  <c r="AA212" i="1" s="1"/>
  <c r="P212" i="1" a="1"/>
  <c r="P212" i="1" s="1"/>
  <c r="AA211" i="1" a="1"/>
  <c r="AA211" i="1" s="1"/>
  <c r="W208" i="1"/>
  <c r="T194" i="1" a="1"/>
  <c r="T194" i="1" s="1"/>
  <c r="G194" i="1" a="1"/>
  <c r="G194" i="1" s="1"/>
  <c r="O220" i="1" a="1"/>
  <c r="O220" i="1" s="1"/>
  <c r="I194" i="1" a="1"/>
  <c r="I194" i="1" s="1"/>
  <c r="Y215" i="1" s="1"/>
  <c r="N209" i="1" a="1"/>
  <c r="N209" i="1" s="1"/>
  <c r="V194" i="1" a="1"/>
  <c r="V194" i="1" s="1"/>
  <c r="M194" i="1" a="1"/>
  <c r="M194" i="1" s="1"/>
  <c r="S215" i="1" a="1"/>
  <c r="S215" i="1" s="1"/>
  <c r="U194" i="1" a="1"/>
  <c r="U194" i="1" s="1"/>
  <c r="O194" i="1" a="1"/>
  <c r="O194" i="1" s="1"/>
  <c r="R194" i="1" a="1"/>
  <c r="R194" i="1" s="1"/>
  <c r="AA194" i="1" a="1"/>
  <c r="AA194" i="1" s="1"/>
  <c r="S194" i="1" a="1"/>
  <c r="S194" i="1" s="1"/>
  <c r="R215" i="1" a="1"/>
  <c r="R215" i="1" s="1"/>
  <c r="W194" i="1" a="1"/>
  <c r="W194" i="1" s="1"/>
  <c r="U215" i="1" a="1"/>
  <c r="U215" i="1" s="1"/>
  <c r="Z194" i="1" a="1"/>
  <c r="Z194" i="1" s="1"/>
  <c r="W215" i="1" a="1"/>
  <c r="W215" i="1" s="1"/>
  <c r="N194" i="1" a="1"/>
  <c r="N194" i="1" s="1"/>
  <c r="X194" i="1" a="1"/>
  <c r="X194" i="1" s="1"/>
  <c r="Z215" i="1" a="1"/>
  <c r="Z215" i="1" s="1"/>
  <c r="Y194" i="1" a="1"/>
  <c r="Y194" i="1" s="1"/>
  <c r="P194" i="1" a="1"/>
  <c r="P194" i="1" s="1"/>
  <c r="Z195" i="1" a="1"/>
  <c r="Z195" i="1" s="1"/>
  <c r="H194" i="1" a="1"/>
  <c r="H194" i="1" s="1"/>
  <c r="L211" i="1"/>
  <c r="L212" i="1"/>
  <c r="L209" i="1"/>
  <c r="L208" i="1"/>
  <c r="Z42" i="1" a="1"/>
  <c r="Z42" i="1" s="1"/>
  <c r="O42" i="1" a="1"/>
  <c r="O42" i="1" s="1"/>
  <c r="P42" i="1" a="1"/>
  <c r="P42" i="1" s="1"/>
  <c r="Z43" i="1" a="1"/>
  <c r="Z43" i="1" s="1"/>
  <c r="G42" i="1" a="1"/>
  <c r="G42" i="1" s="1"/>
  <c r="W42" i="1" a="1"/>
  <c r="W42" i="1" s="1"/>
  <c r="W59" i="1" a="1"/>
  <c r="W59" i="1" s="1"/>
  <c r="H42" i="1" a="1"/>
  <c r="H42" i="1" s="1"/>
  <c r="X42" i="1" a="1"/>
  <c r="X42" i="1" s="1"/>
  <c r="M42" i="1" a="1"/>
  <c r="M42" i="1" s="1"/>
  <c r="AA42" i="1" a="1"/>
  <c r="AA42" i="1" s="1"/>
  <c r="S42" i="1" a="1"/>
  <c r="S42" i="1" s="1"/>
  <c r="S59" i="1" a="1"/>
  <c r="S59" i="1" s="1"/>
  <c r="T42" i="1" a="1"/>
  <c r="T42" i="1" s="1"/>
  <c r="Y42" i="1" a="1"/>
  <c r="Y42" i="1" s="1"/>
  <c r="U59" i="1" a="1"/>
  <c r="U59" i="1" s="1"/>
  <c r="N42" i="1" a="1"/>
  <c r="N42" i="1" s="1"/>
  <c r="R42" i="1" a="1"/>
  <c r="R42" i="1" s="1"/>
  <c r="U42" i="1" a="1"/>
  <c r="U42" i="1" s="1"/>
  <c r="I42" i="1" a="1"/>
  <c r="I42" i="1" s="1"/>
  <c r="B65" i="1" a="1"/>
  <c r="B65" i="1" s="1"/>
  <c r="B54" i="1" a="1"/>
  <c r="B54" i="1" s="1"/>
  <c r="E57" i="1"/>
  <c r="E60" i="1"/>
  <c r="H137" i="1" a="1"/>
  <c r="H137" i="1" s="1"/>
  <c r="U137" i="1" a="1"/>
  <c r="U137" i="1" s="1"/>
  <c r="U154" i="1" a="1"/>
  <c r="U154" i="1" s="1"/>
  <c r="Z138" i="1" a="1"/>
  <c r="Z138" i="1" s="1"/>
  <c r="T137" i="1" a="1"/>
  <c r="T137" i="1" s="1"/>
  <c r="AA137" i="1" a="1"/>
  <c r="AA137" i="1" s="1"/>
  <c r="S137" i="1" a="1"/>
  <c r="S137" i="1" s="1"/>
  <c r="O137" i="1" a="1"/>
  <c r="O137" i="1" s="1"/>
  <c r="R137" i="1" a="1"/>
  <c r="R137" i="1" s="1"/>
  <c r="W154" i="1" a="1"/>
  <c r="W154" i="1" s="1"/>
  <c r="R154" i="1" a="1"/>
  <c r="R154" i="1" s="1"/>
  <c r="Y137" i="1" a="1"/>
  <c r="Y137" i="1" s="1"/>
  <c r="P137" i="1" a="1"/>
  <c r="P137" i="1" s="1"/>
  <c r="G137" i="1" a="1"/>
  <c r="G137" i="1" s="1"/>
  <c r="M137" i="1" a="1"/>
  <c r="M137" i="1" s="1"/>
  <c r="S154" i="1" a="1"/>
  <c r="S154" i="1" s="1"/>
  <c r="W137" i="1" a="1"/>
  <c r="W137" i="1" s="1"/>
  <c r="N137" i="1" a="1"/>
  <c r="N137" i="1" s="1"/>
  <c r="X137" i="1" a="1"/>
  <c r="X137" i="1" s="1"/>
  <c r="I137" i="1" a="1"/>
  <c r="I137" i="1" s="1"/>
  <c r="Y154" i="1" s="1"/>
  <c r="Z137" i="1" a="1"/>
  <c r="Z137" i="1" s="1"/>
  <c r="AA149" i="1" a="1"/>
  <c r="AA149" i="1" s="1"/>
  <c r="Z155" i="1" s="1" a="1"/>
  <c r="Z155" i="1" s="1"/>
  <c r="W149" i="1"/>
  <c r="O157" i="1" a="1"/>
  <c r="O157" i="1" s="1"/>
  <c r="P149" i="1" a="1"/>
  <c r="P149" i="1" s="1"/>
  <c r="AA148" i="1" a="1"/>
  <c r="AA148" i="1" s="1"/>
  <c r="P146" i="1" a="1"/>
  <c r="P146" i="1" s="1"/>
  <c r="N146" i="1" a="1"/>
  <c r="N146" i="1" s="1"/>
  <c r="O154" i="1" a="1"/>
  <c r="O154" i="1" s="1"/>
  <c r="AA146" i="1" a="1"/>
  <c r="AA146" i="1" s="1"/>
  <c r="Z154" i="1" s="1" a="1"/>
  <c r="Z154" i="1" s="1"/>
  <c r="W146" i="1"/>
  <c r="O153" i="1" a="1"/>
  <c r="O153" i="1" s="1"/>
  <c r="N148" i="1" a="1"/>
  <c r="N148" i="1" s="1"/>
  <c r="R153" i="1" s="1" a="1"/>
  <c r="R153" i="1" s="1"/>
  <c r="P145" i="1" a="1"/>
  <c r="P145" i="1" s="1"/>
  <c r="N149" i="1" a="1"/>
  <c r="N149" i="1" s="1"/>
  <c r="W145" i="1"/>
  <c r="N145" i="1" a="1"/>
  <c r="N145" i="1" s="1"/>
  <c r="R152" i="1" s="1" a="1"/>
  <c r="R152" i="1" s="1"/>
  <c r="O156" i="1" a="1"/>
  <c r="O156" i="1" s="1"/>
  <c r="AA145" i="1" a="1"/>
  <c r="AA145" i="1" s="1"/>
  <c r="Z152" i="1" s="1" a="1"/>
  <c r="Z152" i="1" s="1"/>
  <c r="Y155" i="1"/>
  <c r="P148" i="1" a="1"/>
  <c r="P148" i="1" s="1"/>
  <c r="Z132" i="1" a="1"/>
  <c r="Z132" i="1" s="1"/>
  <c r="M131" i="1" a="1"/>
  <c r="M131" i="1" s="1"/>
  <c r="W152" i="1" a="1"/>
  <c r="W152" i="1" s="1"/>
  <c r="S152" i="1" a="1"/>
  <c r="S152" i="1" s="1"/>
  <c r="Y131" i="1" a="1"/>
  <c r="Y131" i="1" s="1"/>
  <c r="P131" i="1" a="1"/>
  <c r="P131" i="1" s="1"/>
  <c r="G131" i="1" a="1"/>
  <c r="G131" i="1" s="1"/>
  <c r="O131" i="1" a="1"/>
  <c r="O131" i="1" s="1"/>
  <c r="I131" i="1" a="1"/>
  <c r="I131" i="1" s="1"/>
  <c r="Y152" i="1" s="1"/>
  <c r="W131" i="1" a="1"/>
  <c r="W131" i="1" s="1"/>
  <c r="N131" i="1" a="1"/>
  <c r="N131" i="1" s="1"/>
  <c r="U152" i="1" a="1"/>
  <c r="U152" i="1" s="1"/>
  <c r="U131" i="1" a="1"/>
  <c r="U131" i="1" s="1"/>
  <c r="Z131" i="1" a="1"/>
  <c r="Z131" i="1" s="1"/>
  <c r="H131" i="1" a="1"/>
  <c r="H131" i="1" s="1"/>
  <c r="AA131" i="1" a="1"/>
  <c r="AA131" i="1" s="1"/>
  <c r="S131" i="1" a="1"/>
  <c r="S131" i="1" s="1"/>
  <c r="R131" i="1" a="1"/>
  <c r="R131" i="1" s="1"/>
  <c r="T131" i="1" a="1"/>
  <c r="T131" i="1" s="1"/>
  <c r="X131" i="1" a="1"/>
  <c r="X131" i="1" s="1"/>
  <c r="V131" i="1" a="1"/>
  <c r="V131" i="1" s="1"/>
  <c r="W140" i="1" a="1"/>
  <c r="W140" i="1" s="1"/>
  <c r="R140" i="1" a="1"/>
  <c r="R140" i="1" s="1"/>
  <c r="Z140" i="1" a="1"/>
  <c r="Z140" i="1" s="1"/>
  <c r="Z141" i="1" a="1"/>
  <c r="Z141" i="1" s="1"/>
  <c r="T140" i="1" a="1"/>
  <c r="T140" i="1" s="1"/>
  <c r="Y140" i="1" a="1"/>
  <c r="Y140" i="1" s="1"/>
  <c r="X140" i="1" a="1"/>
  <c r="X140" i="1" s="1"/>
  <c r="O140" i="1" a="1"/>
  <c r="O140" i="1" s="1"/>
  <c r="R155" i="1" a="1"/>
  <c r="R155" i="1" s="1"/>
  <c r="U155" i="1" a="1"/>
  <c r="U155" i="1" s="1"/>
  <c r="W155" i="1" a="1"/>
  <c r="W155" i="1" s="1"/>
  <c r="N140" i="1" a="1"/>
  <c r="N140" i="1" s="1"/>
  <c r="S155" i="1" a="1"/>
  <c r="S155" i="1" s="1"/>
  <c r="P140" i="1" a="1"/>
  <c r="P140" i="1" s="1"/>
  <c r="U140" i="1" a="1"/>
  <c r="U140" i="1" s="1"/>
  <c r="I140" i="1" a="1"/>
  <c r="I140" i="1" s="1"/>
  <c r="M140" i="1" a="1"/>
  <c r="M140" i="1" s="1"/>
  <c r="G140" i="1" a="1"/>
  <c r="G140" i="1" s="1"/>
  <c r="S140" i="1" a="1"/>
  <c r="S140" i="1" s="1"/>
  <c r="H140" i="1" a="1"/>
  <c r="H140" i="1" s="1"/>
  <c r="AA140" i="1" a="1"/>
  <c r="AA140" i="1" s="1"/>
  <c r="E155" i="1"/>
  <c r="E152" i="1"/>
  <c r="AA138" i="1" a="1"/>
  <c r="AA138" i="1" s="1"/>
  <c r="X85" i="1" a="1"/>
  <c r="X85" i="1" s="1"/>
  <c r="M86" i="1" a="1"/>
  <c r="M86" i="1" s="1"/>
  <c r="X82" i="1" a="1"/>
  <c r="X82" i="1" s="1"/>
  <c r="S28" i="1" a="1"/>
  <c r="S28" i="1" s="1"/>
  <c r="W28" i="1" a="1"/>
  <c r="W28" i="1" s="1"/>
  <c r="S13" i="1" a="1"/>
  <c r="S13" i="1" s="1"/>
  <c r="H13" i="1" a="1"/>
  <c r="H13" i="1" s="1"/>
  <c r="N13" i="1" a="1"/>
  <c r="N13" i="1" s="1"/>
  <c r="R13" i="1" a="1"/>
  <c r="R13" i="1" s="1"/>
  <c r="G13" i="1" a="1"/>
  <c r="G13" i="1" s="1"/>
  <c r="W13" i="1" a="1"/>
  <c r="W13" i="1" s="1"/>
  <c r="U28" i="1" a="1"/>
  <c r="U28" i="1" s="1"/>
  <c r="Z13" i="1" a="1"/>
  <c r="Z13" i="1" s="1"/>
  <c r="O13" i="1" a="1"/>
  <c r="O13" i="1" s="1"/>
  <c r="R28" i="1" a="1"/>
  <c r="R28" i="1" s="1"/>
  <c r="X13" i="1" a="1"/>
  <c r="X13" i="1" s="1"/>
  <c r="M13" i="1" a="1"/>
  <c r="M13" i="1" s="1"/>
  <c r="P13" i="1" a="1"/>
  <c r="P13" i="1" s="1"/>
  <c r="Z14" i="1" a="1"/>
  <c r="Z14" i="1" s="1"/>
  <c r="T13" i="1" a="1"/>
  <c r="T13" i="1" s="1"/>
  <c r="I13" i="1" a="1"/>
  <c r="I13" i="1" s="1"/>
  <c r="AA13" i="1" a="1"/>
  <c r="AA13" i="1" s="1"/>
  <c r="Y13" i="1" a="1"/>
  <c r="Y13" i="1" s="1"/>
  <c r="U13" i="1" a="1"/>
  <c r="U13" i="1" s="1"/>
  <c r="Z7" i="1" a="1"/>
  <c r="Z7" i="1" s="1"/>
  <c r="R7" i="1" a="1"/>
  <c r="R7" i="1" s="1"/>
  <c r="M7" i="1" a="1"/>
  <c r="M7" i="1" s="1"/>
  <c r="G7" i="1" a="1"/>
  <c r="G7" i="1" s="1"/>
  <c r="Z8" i="1" a="1"/>
  <c r="Z8" i="1" s="1"/>
  <c r="X7" i="1" a="1"/>
  <c r="X7" i="1" s="1"/>
  <c r="T7" i="1" a="1"/>
  <c r="T7" i="1" s="1"/>
  <c r="I7" i="1" a="1"/>
  <c r="I7" i="1" s="1"/>
  <c r="Z26" i="1" a="1"/>
  <c r="Z26" i="1" s="1"/>
  <c r="O7" i="1" a="1"/>
  <c r="O7" i="1" s="1"/>
  <c r="W7" i="1" a="1"/>
  <c r="W7" i="1" s="1"/>
  <c r="N7" i="1" a="1"/>
  <c r="N7" i="1" s="1"/>
  <c r="U7" i="1" a="1"/>
  <c r="U7" i="1" s="1"/>
  <c r="W26" i="1" a="1"/>
  <c r="W26" i="1" s="1"/>
  <c r="U26" i="1" a="1"/>
  <c r="U26" i="1" s="1"/>
  <c r="AA7" i="1" a="1"/>
  <c r="AA7" i="1" s="1"/>
  <c r="S7" i="1" a="1"/>
  <c r="S7" i="1" s="1"/>
  <c r="H7" i="1" a="1"/>
  <c r="H7" i="1" s="1"/>
  <c r="S26" i="1" a="1"/>
  <c r="S26" i="1" s="1"/>
  <c r="R26" i="1" a="1"/>
  <c r="R26" i="1" s="1"/>
  <c r="Y7" i="1" a="1"/>
  <c r="Y7" i="1" s="1"/>
  <c r="P7" i="1" a="1"/>
  <c r="P7" i="1" s="1"/>
  <c r="X169" i="1" a="1"/>
  <c r="X169" i="1" s="1"/>
  <c r="M169" i="1" a="1"/>
  <c r="M169" i="1" s="1"/>
  <c r="N169" i="1" a="1"/>
  <c r="N169" i="1" s="1"/>
  <c r="G169" i="1" a="1"/>
  <c r="G169" i="1" s="1"/>
  <c r="Y169" i="1" a="1"/>
  <c r="Y169" i="1" s="1"/>
  <c r="O169" i="1" a="1"/>
  <c r="O169" i="1" s="1"/>
  <c r="P169" i="1" a="1"/>
  <c r="P169" i="1" s="1"/>
  <c r="T169" i="1" a="1"/>
  <c r="T169" i="1" s="1"/>
  <c r="I169" i="1" a="1"/>
  <c r="I169" i="1" s="1"/>
  <c r="W169" i="1" a="1"/>
  <c r="W169" i="1" s="1"/>
  <c r="H169" i="1" a="1"/>
  <c r="H169" i="1" s="1"/>
  <c r="R169" i="1" a="1"/>
  <c r="R169" i="1" s="1"/>
  <c r="U169" i="1" a="1"/>
  <c r="U169" i="1" s="1"/>
  <c r="S169" i="1" a="1"/>
  <c r="S169" i="1" s="1"/>
  <c r="AA180" i="1" a="1"/>
  <c r="AA180" i="1" s="1"/>
  <c r="Z186" i="1" s="1" a="1"/>
  <c r="Z186" i="1" s="1"/>
  <c r="P177" i="1" a="1"/>
  <c r="P177" i="1" s="1"/>
  <c r="N177" i="1" a="1"/>
  <c r="N177" i="1" s="1"/>
  <c r="R185" i="1" s="1" a="1"/>
  <c r="R185" i="1" s="1"/>
  <c r="Y185" i="1"/>
  <c r="O184" i="1" a="1"/>
  <c r="O184" i="1" s="1"/>
  <c r="N180" i="1" a="1"/>
  <c r="N180" i="1" s="1"/>
  <c r="R186" i="1" s="1" a="1"/>
  <c r="R186" i="1" s="1"/>
  <c r="O188" i="1" a="1"/>
  <c r="O188" i="1" s="1"/>
  <c r="P180" i="1" a="1"/>
  <c r="P180" i="1" s="1"/>
  <c r="AA179" i="1" a="1"/>
  <c r="AA179" i="1" s="1"/>
  <c r="P179" i="1" a="1"/>
  <c r="P179" i="1" s="1"/>
  <c r="AA177" i="1" a="1"/>
  <c r="AA177" i="1" s="1"/>
  <c r="Z185" i="1" s="1" a="1"/>
  <c r="Z185" i="1" s="1"/>
  <c r="O185" i="1" a="1"/>
  <c r="O185" i="1" s="1"/>
  <c r="P176" i="1" a="1"/>
  <c r="P176" i="1" s="1"/>
  <c r="Y186" i="1"/>
  <c r="N179" i="1" a="1"/>
  <c r="N179" i="1" s="1"/>
  <c r="R184" i="1" s="1" a="1"/>
  <c r="R184" i="1" s="1"/>
  <c r="N176" i="1" a="1"/>
  <c r="N176" i="1" s="1"/>
  <c r="O187" i="1" a="1"/>
  <c r="O187" i="1" s="1"/>
  <c r="AA176" i="1" a="1"/>
  <c r="AA176" i="1" s="1"/>
  <c r="V162" i="1" a="1"/>
  <c r="V162" i="1" s="1"/>
  <c r="I162" i="1" a="1"/>
  <c r="I162" i="1" s="1"/>
  <c r="W176" i="1" s="1"/>
  <c r="U183" i="1" a="1"/>
  <c r="U183" i="1" s="1"/>
  <c r="S183" i="1" a="1"/>
  <c r="S183" i="1" s="1"/>
  <c r="Z183" i="1" a="1"/>
  <c r="Z183" i="1" s="1"/>
  <c r="Z163" i="1" a="1"/>
  <c r="Z163" i="1" s="1"/>
  <c r="U162" i="1" a="1"/>
  <c r="U162" i="1" s="1"/>
  <c r="Z162" i="1" a="1"/>
  <c r="Z162" i="1" s="1"/>
  <c r="X162" i="1" a="1"/>
  <c r="X162" i="1" s="1"/>
  <c r="AA162" i="1" a="1"/>
  <c r="AA162" i="1" s="1"/>
  <c r="O162" i="1" a="1"/>
  <c r="O162" i="1" s="1"/>
  <c r="M162" i="1" a="1"/>
  <c r="M162" i="1" s="1"/>
  <c r="W162" i="1" a="1"/>
  <c r="W162" i="1" s="1"/>
  <c r="N162" i="1" a="1"/>
  <c r="N162" i="1" s="1"/>
  <c r="R183" i="1" a="1"/>
  <c r="R183" i="1" s="1"/>
  <c r="S162" i="1" a="1"/>
  <c r="S162" i="1" s="1"/>
  <c r="R162" i="1" a="1"/>
  <c r="R162" i="1" s="1"/>
  <c r="T162" i="1" a="1"/>
  <c r="T162" i="1" s="1"/>
  <c r="W183" i="1" a="1"/>
  <c r="W183" i="1" s="1"/>
  <c r="Y162" i="1" a="1"/>
  <c r="Y162" i="1" s="1"/>
  <c r="P162" i="1" a="1"/>
  <c r="P162" i="1" s="1"/>
  <c r="G162" i="1" a="1"/>
  <c r="G162" i="1" s="1"/>
  <c r="H162" i="1" a="1"/>
  <c r="H162" i="1" s="1"/>
  <c r="P198" i="1" a="1"/>
  <c r="P198" i="1" s="1"/>
  <c r="H198" i="1" a="1"/>
  <c r="H198" i="1" s="1"/>
  <c r="M198" i="1" a="1"/>
  <c r="M198" i="1" s="1"/>
  <c r="T198" i="1" a="1"/>
  <c r="T198" i="1" s="1"/>
  <c r="Y198" i="1" a="1"/>
  <c r="Y198" i="1" s="1"/>
  <c r="N198" i="1" a="1"/>
  <c r="N198" i="1" s="1"/>
  <c r="I198" i="1" a="1"/>
  <c r="I198" i="1" s="1"/>
  <c r="AA198" i="1" a="1"/>
  <c r="AA198" i="1" s="1"/>
  <c r="X198" i="1" a="1"/>
  <c r="X198" i="1" s="1"/>
  <c r="U198" i="1" a="1"/>
  <c r="U198" i="1" s="1"/>
  <c r="O198" i="1" a="1"/>
  <c r="O198" i="1" s="1"/>
  <c r="W198" i="1" a="1"/>
  <c r="W198" i="1" s="1"/>
  <c r="G198" i="1" a="1"/>
  <c r="G198" i="1" s="1"/>
  <c r="S198" i="1" a="1"/>
  <c r="S198" i="1" s="1"/>
  <c r="R198" i="1" a="1"/>
  <c r="R198" i="1" s="1"/>
  <c r="R203" i="1" a="1"/>
  <c r="R203" i="1" s="1"/>
  <c r="Z218" i="1" a="1"/>
  <c r="Z218" i="1" s="1"/>
  <c r="Z204" i="1" a="1"/>
  <c r="Z204" i="1" s="1"/>
  <c r="W203" i="1" a="1"/>
  <c r="W203" i="1" s="1"/>
  <c r="N203" i="1" a="1"/>
  <c r="N203" i="1" s="1"/>
  <c r="I203" i="1" a="1"/>
  <c r="I203" i="1" s="1"/>
  <c r="W212" i="1" s="1"/>
  <c r="G203" i="1" a="1"/>
  <c r="G203" i="1" s="1"/>
  <c r="X203" i="1" a="1"/>
  <c r="X203" i="1" s="1"/>
  <c r="Z203" i="1" a="1"/>
  <c r="Z203" i="1" s="1"/>
  <c r="R218" i="1" a="1"/>
  <c r="R218" i="1" s="1"/>
  <c r="P203" i="1" a="1"/>
  <c r="P203" i="1" s="1"/>
  <c r="M203" i="1" a="1"/>
  <c r="M203" i="1" s="1"/>
  <c r="S218" i="1" a="1"/>
  <c r="S218" i="1" s="1"/>
  <c r="U203" i="1" a="1"/>
  <c r="U203" i="1" s="1"/>
  <c r="U218" i="1" a="1"/>
  <c r="U218" i="1" s="1"/>
  <c r="Y203" i="1" a="1"/>
  <c r="Y203" i="1" s="1"/>
  <c r="O203" i="1" a="1"/>
  <c r="O203" i="1" s="1"/>
  <c r="W218" i="1" a="1"/>
  <c r="W218" i="1" s="1"/>
  <c r="AA203" i="1" a="1"/>
  <c r="AA203" i="1" s="1"/>
  <c r="S203" i="1" a="1"/>
  <c r="S203" i="1" s="1"/>
  <c r="H203" i="1" a="1"/>
  <c r="H203" i="1" s="1"/>
  <c r="T203" i="1" a="1"/>
  <c r="T203" i="1" s="1"/>
  <c r="B223" i="1" a="1"/>
  <c r="B223" i="1" s="1"/>
  <c r="B212" i="1" a="1"/>
  <c r="B212" i="1" s="1"/>
  <c r="L54" i="1"/>
  <c r="L53" i="1"/>
  <c r="L50" i="1"/>
  <c r="L51" i="1"/>
  <c r="H43" i="1" a="1"/>
  <c r="H43" i="1" s="1"/>
  <c r="O43" i="1" a="1"/>
  <c r="O43" i="1" s="1"/>
  <c r="S43" i="1" a="1"/>
  <c r="S43" i="1" s="1"/>
  <c r="U43" i="1" a="1"/>
  <c r="U43" i="1" s="1"/>
  <c r="X43" i="1" a="1"/>
  <c r="X43" i="1" s="1"/>
  <c r="M43" i="1" a="1"/>
  <c r="M43" i="1" s="1"/>
  <c r="W43" i="1" a="1"/>
  <c r="W43" i="1" s="1"/>
  <c r="I43" i="1" a="1"/>
  <c r="I43" i="1" s="1"/>
  <c r="T43" i="1" a="1"/>
  <c r="T43" i="1" s="1"/>
  <c r="N43" i="1" a="1"/>
  <c r="N43" i="1" s="1"/>
  <c r="P43" i="1" a="1"/>
  <c r="P43" i="1" s="1"/>
  <c r="G43" i="1" a="1"/>
  <c r="G43" i="1" s="1"/>
  <c r="R43" i="1" a="1"/>
  <c r="R43" i="1" s="1"/>
  <c r="Y43" i="1" a="1"/>
  <c r="Y43" i="1" s="1"/>
  <c r="U134" i="1" a="1"/>
  <c r="U134" i="1" s="1"/>
  <c r="G134" i="1" a="1"/>
  <c r="G134" i="1" s="1"/>
  <c r="X134" i="1" a="1"/>
  <c r="X134" i="1" s="1"/>
  <c r="N134" i="1" a="1"/>
  <c r="N134" i="1" s="1"/>
  <c r="Y134" i="1" a="1"/>
  <c r="Y134" i="1" s="1"/>
  <c r="Z134" i="1" a="1"/>
  <c r="Z134" i="1" s="1"/>
  <c r="H134" i="1" a="1"/>
  <c r="H134" i="1" s="1"/>
  <c r="W153" i="1" a="1"/>
  <c r="W153" i="1" s="1"/>
  <c r="I134" i="1" a="1"/>
  <c r="I134" i="1" s="1"/>
  <c r="Y153" i="1" s="1"/>
  <c r="P134" i="1" a="1"/>
  <c r="P134" i="1" s="1"/>
  <c r="O134" i="1" a="1"/>
  <c r="O134" i="1" s="1"/>
  <c r="AA134" i="1" a="1"/>
  <c r="AA134" i="1" s="1"/>
  <c r="S153" i="1" a="1"/>
  <c r="S153" i="1" s="1"/>
  <c r="U153" i="1" a="1"/>
  <c r="U153" i="1" s="1"/>
  <c r="Z153" i="1" a="1"/>
  <c r="Z153" i="1" s="1"/>
  <c r="W134" i="1" a="1"/>
  <c r="W134" i="1" s="1"/>
  <c r="M134" i="1" a="1"/>
  <c r="M134" i="1" s="1"/>
  <c r="R134" i="1" a="1"/>
  <c r="R134" i="1" s="1"/>
  <c r="Z135" i="1" a="1"/>
  <c r="Z135" i="1" s="1"/>
  <c r="T134" i="1" a="1"/>
  <c r="T134" i="1" s="1"/>
  <c r="S134" i="1" a="1"/>
  <c r="S134" i="1" s="1"/>
  <c r="P135" i="1" a="1"/>
  <c r="P135" i="1" s="1"/>
  <c r="U135" i="1" a="1"/>
  <c r="U135" i="1" s="1"/>
  <c r="M135" i="1" a="1"/>
  <c r="M135" i="1" s="1"/>
  <c r="H135" i="1" a="1"/>
  <c r="H135" i="1" s="1"/>
  <c r="R135" i="1" a="1"/>
  <c r="R135" i="1" s="1"/>
  <c r="W135" i="1" a="1"/>
  <c r="W135" i="1" s="1"/>
  <c r="AA135" i="1" a="1"/>
  <c r="AA135" i="1" s="1"/>
  <c r="I135" i="1" a="1"/>
  <c r="I135" i="1" s="1"/>
  <c r="T135" i="1" a="1"/>
  <c r="T135" i="1" s="1"/>
  <c r="O135" i="1" a="1"/>
  <c r="O135" i="1" s="1"/>
  <c r="X135" i="1" a="1"/>
  <c r="X135" i="1" s="1"/>
  <c r="G135" i="1" a="1"/>
  <c r="G135" i="1" s="1"/>
  <c r="N135" i="1" a="1"/>
  <c r="N135" i="1" s="1"/>
  <c r="S135" i="1" a="1"/>
  <c r="S135" i="1" s="1"/>
  <c r="Y135" i="1" a="1"/>
  <c r="Y135" i="1" s="1"/>
  <c r="E28" i="1"/>
  <c r="E25" i="1"/>
  <c r="E116" i="1"/>
  <c r="L113" i="1"/>
  <c r="L116" i="1"/>
  <c r="E113" i="1"/>
  <c r="T107" i="1" a="1"/>
  <c r="T107" i="1" s="1"/>
  <c r="M107" i="1" a="1"/>
  <c r="M107" i="1" s="1"/>
  <c r="V107" i="1" a="1"/>
  <c r="V107" i="1" s="1"/>
  <c r="S107" i="1" a="1"/>
  <c r="S107" i="1" s="1"/>
  <c r="G107" i="1" a="1"/>
  <c r="G107" i="1" s="1"/>
  <c r="R107" i="1" a="1"/>
  <c r="R107" i="1" s="1"/>
  <c r="H107" i="1" a="1"/>
  <c r="H107" i="1" s="1"/>
  <c r="Y107" i="1" a="1"/>
  <c r="Y107" i="1" s="1"/>
  <c r="P107" i="1" a="1"/>
  <c r="P107" i="1" s="1"/>
  <c r="X107" i="1" a="1"/>
  <c r="X107" i="1" s="1"/>
  <c r="I107" i="1" a="1"/>
  <c r="I107" i="1" s="1"/>
  <c r="U107" i="1" a="1"/>
  <c r="U107" i="1" s="1"/>
  <c r="AA107" i="1" a="1"/>
  <c r="AA107" i="1" s="1"/>
  <c r="W107" i="1" a="1"/>
  <c r="W107" i="1" s="1"/>
  <c r="N107" i="1" a="1"/>
  <c r="N107" i="1" s="1"/>
  <c r="O107" i="1" a="1"/>
  <c r="O107" i="1" s="1"/>
  <c r="W104" i="1" a="1"/>
  <c r="W104" i="1" s="1"/>
  <c r="U104" i="1" a="1"/>
  <c r="U104" i="1" s="1"/>
  <c r="G104" i="1" a="1"/>
  <c r="G104" i="1" s="1"/>
  <c r="S104" i="1" a="1"/>
  <c r="S104" i="1" s="1"/>
  <c r="T104" i="1" a="1"/>
  <c r="T104" i="1" s="1"/>
  <c r="P104" i="1" a="1"/>
  <c r="P104" i="1" s="1"/>
  <c r="AA104" i="1" a="1"/>
  <c r="AA104" i="1" s="1"/>
  <c r="R104" i="1" a="1"/>
  <c r="R104" i="1" s="1"/>
  <c r="Y104" i="1" a="1"/>
  <c r="Y104" i="1" s="1"/>
  <c r="H104" i="1" a="1"/>
  <c r="H104" i="1" s="1"/>
  <c r="X104" i="1" a="1"/>
  <c r="X104" i="1" s="1"/>
  <c r="M104" i="1" a="1"/>
  <c r="M104" i="1" s="1"/>
  <c r="I104" i="1" a="1"/>
  <c r="I104" i="1" s="1"/>
  <c r="O104" i="1" a="1"/>
  <c r="O104" i="1" s="1"/>
  <c r="N104" i="1" a="1"/>
  <c r="N104" i="1" s="1"/>
  <c r="B129" i="1" a="1"/>
  <c r="B129" i="1" s="1"/>
  <c r="B118" i="1" a="1"/>
  <c r="B118" i="1" s="1"/>
  <c r="U186" i="1" a="1"/>
  <c r="U186" i="1" s="1"/>
  <c r="X171" i="1" a="1"/>
  <c r="X171" i="1" s="1"/>
  <c r="M171" i="1" a="1"/>
  <c r="M171" i="1" s="1"/>
  <c r="Y171" i="1" a="1"/>
  <c r="Y171" i="1" s="1"/>
  <c r="W171" i="1" a="1"/>
  <c r="W171" i="1" s="1"/>
  <c r="T171" i="1" a="1"/>
  <c r="T171" i="1" s="1"/>
  <c r="H171" i="1" a="1"/>
  <c r="H171" i="1" s="1"/>
  <c r="N171" i="1" a="1"/>
  <c r="N171" i="1" s="1"/>
  <c r="W186" i="1" a="1"/>
  <c r="W186" i="1" s="1"/>
  <c r="Z172" i="1" a="1"/>
  <c r="Z172" i="1" s="1"/>
  <c r="O171" i="1" a="1"/>
  <c r="O171" i="1" s="1"/>
  <c r="S171" i="1" a="1"/>
  <c r="S171" i="1" s="1"/>
  <c r="I171" i="1" a="1"/>
  <c r="I171" i="1" s="1"/>
  <c r="W180" i="1" s="1"/>
  <c r="Z171" i="1" a="1"/>
  <c r="Z171" i="1" s="1"/>
  <c r="AA171" i="1" a="1"/>
  <c r="AA171" i="1" s="1"/>
  <c r="P171" i="1" a="1"/>
  <c r="P171" i="1" s="1"/>
  <c r="S186" i="1" a="1"/>
  <c r="S186" i="1" s="1"/>
  <c r="R171" i="1" a="1"/>
  <c r="R171" i="1" s="1"/>
  <c r="G171" i="1" a="1"/>
  <c r="G171" i="1" s="1"/>
  <c r="U171" i="1" a="1"/>
  <c r="U171" i="1" s="1"/>
  <c r="B191" i="1" a="1"/>
  <c r="B191" i="1" s="1"/>
  <c r="B180" i="1" a="1"/>
  <c r="B180" i="1" s="1"/>
  <c r="M200" i="1" a="1"/>
  <c r="M200" i="1" s="1"/>
  <c r="W217" i="1" a="1"/>
  <c r="W217" i="1" s="1"/>
  <c r="U217" i="1" a="1"/>
  <c r="U217" i="1" s="1"/>
  <c r="G200" i="1" a="1"/>
  <c r="G200" i="1" s="1"/>
  <c r="Y200" i="1" a="1"/>
  <c r="Y200" i="1" s="1"/>
  <c r="P200" i="1" a="1"/>
  <c r="P200" i="1" s="1"/>
  <c r="Z201" i="1" a="1"/>
  <c r="Z201" i="1" s="1"/>
  <c r="W200" i="1" a="1"/>
  <c r="W200" i="1" s="1"/>
  <c r="N200" i="1" a="1"/>
  <c r="N200" i="1" s="1"/>
  <c r="Z200" i="1" a="1"/>
  <c r="Z200" i="1" s="1"/>
  <c r="R217" i="1" a="1"/>
  <c r="R217" i="1" s="1"/>
  <c r="X200" i="1" a="1"/>
  <c r="X200" i="1" s="1"/>
  <c r="I200" i="1" a="1"/>
  <c r="I200" i="1" s="1"/>
  <c r="W209" i="1" s="1"/>
  <c r="S200" i="1" a="1"/>
  <c r="S200" i="1" s="1"/>
  <c r="O200" i="1" a="1"/>
  <c r="O200" i="1" s="1"/>
  <c r="H200" i="1" a="1"/>
  <c r="H200" i="1" s="1"/>
  <c r="S217" i="1" a="1"/>
  <c r="S217" i="1" s="1"/>
  <c r="U200" i="1" a="1"/>
  <c r="U200" i="1" s="1"/>
  <c r="T200" i="1" a="1"/>
  <c r="T200" i="1" s="1"/>
  <c r="AA200" i="1" a="1"/>
  <c r="AA200" i="1" s="1"/>
  <c r="R200" i="1" a="1"/>
  <c r="R200" i="1" s="1"/>
  <c r="H201" i="1" a="1"/>
  <c r="H201" i="1" s="1"/>
  <c r="W201" i="1" a="1"/>
  <c r="W201" i="1" s="1"/>
  <c r="N201" i="1" a="1"/>
  <c r="N201" i="1" s="1"/>
  <c r="M201" i="1" a="1"/>
  <c r="M201" i="1" s="1"/>
  <c r="G201" i="1" a="1"/>
  <c r="G201" i="1" s="1"/>
  <c r="P201" i="1" a="1"/>
  <c r="P201" i="1" s="1"/>
  <c r="U201" i="1" a="1"/>
  <c r="U201" i="1" s="1"/>
  <c r="X201" i="1" a="1"/>
  <c r="X201" i="1" s="1"/>
  <c r="R201" i="1" a="1"/>
  <c r="R201" i="1" s="1"/>
  <c r="Y201" i="1" a="1"/>
  <c r="Y201" i="1" s="1"/>
  <c r="O201" i="1" a="1"/>
  <c r="O201" i="1" s="1"/>
  <c r="I201" i="1" a="1"/>
  <c r="I201" i="1" s="1"/>
  <c r="S201" i="1" a="1"/>
  <c r="S201" i="1" s="1"/>
  <c r="T201" i="1" a="1"/>
  <c r="T201" i="1" s="1"/>
  <c r="L217" i="1"/>
  <c r="N217" i="1" s="1"/>
  <c r="M217" i="1" s="1"/>
  <c r="L219" i="1"/>
  <c r="N219" i="1" s="1"/>
  <c r="M219" i="1" s="1"/>
  <c r="L216" i="1"/>
  <c r="N216" i="1" s="1"/>
  <c r="L220" i="1"/>
  <c r="N220" i="1" s="1"/>
  <c r="E49" i="1"/>
  <c r="L49" i="1"/>
  <c r="L52" i="1"/>
  <c r="E52" i="1"/>
  <c r="L59" i="1"/>
  <c r="N59" i="1" s="1"/>
  <c r="M59" i="1" s="1"/>
  <c r="L62" i="1"/>
  <c r="N62" i="1" s="1"/>
  <c r="L61" i="1"/>
  <c r="N61" i="1" s="1"/>
  <c r="L58" i="1"/>
  <c r="N58" i="1" s="1"/>
  <c r="V201" i="1" a="1"/>
  <c r="V201" i="1" s="1"/>
  <c r="AA5" i="1" a="1"/>
  <c r="AA5" i="1" s="1"/>
  <c r="W5" i="1" a="1"/>
  <c r="W5" i="1" s="1"/>
  <c r="S5" i="1" a="1"/>
  <c r="S5" i="1" s="1"/>
  <c r="N5" i="1" a="1"/>
  <c r="N5" i="1" s="1"/>
  <c r="Y5" i="1" a="1"/>
  <c r="Y5" i="1" s="1"/>
  <c r="U5" i="1" a="1"/>
  <c r="U5" i="1" s="1"/>
  <c r="P5" i="1" a="1"/>
  <c r="P5" i="1" s="1"/>
  <c r="G5" i="1" a="1"/>
  <c r="G5" i="1" s="1"/>
  <c r="I5" i="1" a="1"/>
  <c r="I5" i="1" s="1"/>
  <c r="X5" i="1" a="1"/>
  <c r="X5" i="1" s="1"/>
  <c r="O5" i="1" a="1"/>
  <c r="O5" i="1" s="1"/>
  <c r="V5" i="1" a="1"/>
  <c r="V5" i="1" s="1"/>
  <c r="M5" i="1" a="1"/>
  <c r="M5" i="1" s="1"/>
  <c r="T5" i="1" a="1"/>
  <c r="T5" i="1" s="1"/>
  <c r="R5" i="1" a="1"/>
  <c r="R5" i="1" s="1"/>
  <c r="H5" i="1" a="1"/>
  <c r="H5" i="1" s="1"/>
  <c r="L27" i="1"/>
  <c r="N27" i="1" s="1"/>
  <c r="M27" i="1" s="1"/>
  <c r="L26" i="1"/>
  <c r="N26" i="1" s="1"/>
  <c r="L30" i="1"/>
  <c r="N30" i="1" s="1"/>
  <c r="M30" i="1" s="1"/>
  <c r="L29" i="1"/>
  <c r="N29" i="1" s="1"/>
  <c r="Y27" i="1"/>
  <c r="O27" i="1" a="1"/>
  <c r="O27" i="1" s="1"/>
  <c r="Y26" i="1"/>
  <c r="P21" i="1" a="1"/>
  <c r="P21" i="1" s="1"/>
  <c r="N21" i="1" a="1"/>
  <c r="N21" i="1" s="1"/>
  <c r="P18" i="1" a="1"/>
  <c r="P18" i="1" s="1"/>
  <c r="N18" i="1" a="1"/>
  <c r="N18" i="1" s="1"/>
  <c r="R25" i="1" s="1" a="1"/>
  <c r="R25" i="1" s="1"/>
  <c r="AA22" i="1" a="1"/>
  <c r="AA22" i="1" s="1"/>
  <c r="Z28" i="1" s="1" a="1"/>
  <c r="Z28" i="1" s="1"/>
  <c r="W22" i="1"/>
  <c r="N19" i="1" a="1"/>
  <c r="N19" i="1" s="1"/>
  <c r="R27" i="1" s="1" a="1"/>
  <c r="R27" i="1" s="1"/>
  <c r="Y28" i="1"/>
  <c r="P22" i="1" a="1"/>
  <c r="P22" i="1" s="1"/>
  <c r="N22" i="1" a="1"/>
  <c r="N22" i="1" s="1"/>
  <c r="AA21" i="1" a="1"/>
  <c r="AA21" i="1" s="1"/>
  <c r="W21" i="1"/>
  <c r="AA18" i="1" a="1"/>
  <c r="AA18" i="1" s="1"/>
  <c r="Z25" i="1" s="1" a="1"/>
  <c r="Z25" i="1" s="1"/>
  <c r="W18" i="1"/>
  <c r="P19" i="1" a="1"/>
  <c r="P19" i="1" s="1"/>
  <c r="O29" i="1" a="1"/>
  <c r="O29" i="1" s="1"/>
  <c r="AA19" i="1" a="1"/>
  <c r="AA19" i="1" s="1"/>
  <c r="Z27" i="1" s="1" a="1"/>
  <c r="Z27" i="1" s="1"/>
  <c r="H4" i="1" a="1"/>
  <c r="H4" i="1" s="1"/>
  <c r="O26" i="1" a="1"/>
  <c r="O26" i="1" s="1"/>
  <c r="X4" i="1" a="1"/>
  <c r="X4" i="1" s="1"/>
  <c r="O4" i="1" a="1"/>
  <c r="O4" i="1" s="1"/>
  <c r="O30" i="1" a="1"/>
  <c r="O30" i="1" s="1"/>
  <c r="W19" i="1"/>
  <c r="Z4" i="1" a="1"/>
  <c r="Z4" i="1" s="1"/>
  <c r="V4" i="1" a="1"/>
  <c r="V4" i="1" s="1"/>
  <c r="R4" i="1" a="1"/>
  <c r="R4" i="1" s="1"/>
  <c r="M4" i="1" a="1"/>
  <c r="M4" i="1" s="1"/>
  <c r="T4" i="1" a="1"/>
  <c r="T4" i="1" s="1"/>
  <c r="G4" i="1" a="1"/>
  <c r="G4" i="1" s="1"/>
  <c r="U25" i="1" a="1"/>
  <c r="U25" i="1" s="1"/>
  <c r="U4" i="1" a="1"/>
  <c r="U4" i="1" s="1"/>
  <c r="AA4" i="1" a="1"/>
  <c r="AA4" i="1" s="1"/>
  <c r="S4" i="1" a="1"/>
  <c r="S4" i="1" s="1"/>
  <c r="W25" i="1" a="1"/>
  <c r="W25" i="1" s="1"/>
  <c r="Y4" i="1" a="1"/>
  <c r="Y4" i="1" s="1"/>
  <c r="P4" i="1" a="1"/>
  <c r="P4" i="1" s="1"/>
  <c r="S25" i="1" a="1"/>
  <c r="S25" i="1" s="1"/>
  <c r="Z5" i="1" a="1"/>
  <c r="Z5" i="1" s="1"/>
  <c r="I4" i="1" a="1"/>
  <c r="I4" i="1" s="1"/>
  <c r="Y25" i="1" s="1"/>
  <c r="W4" i="1" a="1"/>
  <c r="W4" i="1" s="1"/>
  <c r="N4" i="1" a="1"/>
  <c r="N4" i="1" s="1"/>
  <c r="G14" i="1" a="1"/>
  <c r="G14" i="1" s="1"/>
  <c r="I14" i="1" a="1"/>
  <c r="I14" i="1" s="1"/>
  <c r="X14" i="1" a="1"/>
  <c r="X14" i="1" s="1"/>
  <c r="M14" i="1" a="1"/>
  <c r="M14" i="1" s="1"/>
  <c r="Y14" i="1" a="1"/>
  <c r="Y14" i="1" s="1"/>
  <c r="W14" i="1" a="1"/>
  <c r="W14" i="1" s="1"/>
  <c r="T14" i="1" a="1"/>
  <c r="T14" i="1" s="1"/>
  <c r="U14" i="1" a="1"/>
  <c r="U14" i="1" s="1"/>
  <c r="H14" i="1" a="1"/>
  <c r="H14" i="1" s="1"/>
  <c r="S14" i="1" a="1"/>
  <c r="S14" i="1" s="1"/>
  <c r="R14" i="1" a="1"/>
  <c r="R14" i="1" s="1"/>
  <c r="P14" i="1" a="1"/>
  <c r="P14" i="1" s="1"/>
  <c r="N14" i="1" a="1"/>
  <c r="N14" i="1" s="1"/>
  <c r="O14" i="1" a="1"/>
  <c r="O14" i="1" s="1"/>
  <c r="AA14" i="1" a="1"/>
  <c r="AA14" i="1" s="1"/>
  <c r="X8" i="1" a="1"/>
  <c r="X8" i="1" s="1"/>
  <c r="T8" i="1" a="1"/>
  <c r="T8" i="1" s="1"/>
  <c r="O8" i="1" a="1"/>
  <c r="O8" i="1" s="1"/>
  <c r="R8" i="1" a="1"/>
  <c r="R8" i="1" s="1"/>
  <c r="M8" i="1" a="1"/>
  <c r="M8" i="1" s="1"/>
  <c r="H8" i="1" a="1"/>
  <c r="H8" i="1" s="1"/>
  <c r="Y8" i="1" a="1"/>
  <c r="Y8" i="1" s="1"/>
  <c r="P8" i="1" a="1"/>
  <c r="P8" i="1" s="1"/>
  <c r="I8" i="1" a="1"/>
  <c r="I8" i="1" s="1"/>
  <c r="W8" i="1" a="1"/>
  <c r="W8" i="1" s="1"/>
  <c r="N8" i="1" a="1"/>
  <c r="N8" i="1" s="1"/>
  <c r="G8" i="1" a="1"/>
  <c r="G8" i="1" s="1"/>
  <c r="U8" i="1" a="1"/>
  <c r="U8" i="1" s="1"/>
  <c r="AA8" i="1" a="1"/>
  <c r="AA8" i="1" s="1"/>
  <c r="S8" i="1" a="1"/>
  <c r="S8" i="1" s="1"/>
  <c r="G11" i="1" a="1"/>
  <c r="G11" i="1" s="1"/>
  <c r="I11" i="1" a="1"/>
  <c r="I11" i="1" s="1"/>
  <c r="S11" i="1" a="1"/>
  <c r="S11" i="1" s="1"/>
  <c r="W11" i="1" a="1"/>
  <c r="W11" i="1" s="1"/>
  <c r="N11" i="1" a="1"/>
  <c r="N11" i="1" s="1"/>
  <c r="R11" i="1" a="1"/>
  <c r="R11" i="1" s="1"/>
  <c r="Y11" i="1" a="1"/>
  <c r="Y11" i="1" s="1"/>
  <c r="O11" i="1" a="1"/>
  <c r="O11" i="1" s="1"/>
  <c r="H11" i="1" a="1"/>
  <c r="H11" i="1" s="1"/>
  <c r="X11" i="1" a="1"/>
  <c r="X11" i="1" s="1"/>
  <c r="M11" i="1" a="1"/>
  <c r="M11" i="1" s="1"/>
  <c r="P11" i="1" a="1"/>
  <c r="P11" i="1" s="1"/>
  <c r="T11" i="1" a="1"/>
  <c r="T11" i="1" s="1"/>
  <c r="U11" i="1" a="1"/>
  <c r="U11" i="1" s="1"/>
  <c r="B33" i="1" a="1"/>
  <c r="B33" i="1" s="1"/>
  <c r="B22" i="1" a="1"/>
  <c r="B22" i="1" s="1"/>
  <c r="L18" i="1"/>
  <c r="L19" i="1"/>
  <c r="L22" i="1"/>
  <c r="L21" i="1"/>
  <c r="O101" i="1" a="1"/>
  <c r="O101" i="1" s="1"/>
  <c r="G101" i="1" a="1"/>
  <c r="G101" i="1" s="1"/>
  <c r="X101" i="1" a="1"/>
  <c r="X101" i="1" s="1"/>
  <c r="I101" i="1" a="1"/>
  <c r="I101" i="1" s="1"/>
  <c r="R101" i="1" a="1"/>
  <c r="R101" i="1" s="1"/>
  <c r="U101" i="1" a="1"/>
  <c r="U101" i="1" s="1"/>
  <c r="V101" i="1" a="1"/>
  <c r="V101" i="1" s="1"/>
  <c r="W101" i="1" a="1"/>
  <c r="W101" i="1" s="1"/>
  <c r="T101" i="1" a="1"/>
  <c r="T101" i="1" s="1"/>
  <c r="AA101" i="1" a="1"/>
  <c r="AA101" i="1" s="1"/>
  <c r="S101" i="1" a="1"/>
  <c r="S101" i="1" s="1"/>
  <c r="M101" i="1" a="1"/>
  <c r="M101" i="1" s="1"/>
  <c r="N101" i="1" a="1"/>
  <c r="N101" i="1" s="1"/>
  <c r="Y101" i="1" a="1"/>
  <c r="Y101" i="1" s="1"/>
  <c r="P101" i="1" a="1"/>
  <c r="P101" i="1" s="1"/>
  <c r="H101" i="1" a="1"/>
  <c r="H101" i="1" s="1"/>
  <c r="H103" i="1" a="1"/>
  <c r="H103" i="1" s="1"/>
  <c r="W103" i="1" a="1"/>
  <c r="W103" i="1" s="1"/>
  <c r="U103" i="1" a="1"/>
  <c r="U103" i="1" s="1"/>
  <c r="S103" i="1" a="1"/>
  <c r="S103" i="1" s="1"/>
  <c r="U122" i="1" a="1"/>
  <c r="U122" i="1" s="1"/>
  <c r="Z103" i="1" a="1"/>
  <c r="Z103" i="1" s="1"/>
  <c r="O103" i="1" a="1"/>
  <c r="O103" i="1" s="1"/>
  <c r="Y103" i="1" a="1"/>
  <c r="Y103" i="1" s="1"/>
  <c r="R103" i="1" a="1"/>
  <c r="R103" i="1" s="1"/>
  <c r="W122" i="1" a="1"/>
  <c r="W122" i="1" s="1"/>
  <c r="X103" i="1" a="1"/>
  <c r="X103" i="1" s="1"/>
  <c r="M103" i="1" a="1"/>
  <c r="M103" i="1" s="1"/>
  <c r="N103" i="1" a="1"/>
  <c r="N103" i="1" s="1"/>
  <c r="G103" i="1" a="1"/>
  <c r="G103" i="1" s="1"/>
  <c r="R122" i="1" a="1"/>
  <c r="R122" i="1" s="1"/>
  <c r="P103" i="1" a="1"/>
  <c r="P103" i="1" s="1"/>
  <c r="Z122" i="1" a="1"/>
  <c r="Z122" i="1" s="1"/>
  <c r="S122" i="1" a="1"/>
  <c r="S122" i="1" s="1"/>
  <c r="Z104" i="1" a="1"/>
  <c r="Z104" i="1" s="1"/>
  <c r="T103" i="1" a="1"/>
  <c r="T103" i="1" s="1"/>
  <c r="I103" i="1" a="1"/>
  <c r="I103" i="1" s="1"/>
  <c r="Y122" i="1" s="1"/>
  <c r="AA103" i="1" a="1"/>
  <c r="AA103" i="1" s="1"/>
  <c r="E124" i="1"/>
  <c r="E121" i="1"/>
  <c r="R106" i="1" a="1"/>
  <c r="R106" i="1" s="1"/>
  <c r="X106" i="1" a="1"/>
  <c r="X106" i="1" s="1"/>
  <c r="S106" i="1" a="1"/>
  <c r="S106" i="1" s="1"/>
  <c r="O106" i="1" a="1"/>
  <c r="O106" i="1" s="1"/>
  <c r="U123" i="1" a="1"/>
  <c r="U123" i="1" s="1"/>
  <c r="AA106" i="1" a="1"/>
  <c r="AA106" i="1" s="1"/>
  <c r="H106" i="1" a="1"/>
  <c r="H106" i="1" s="1"/>
  <c r="G106" i="1" a="1"/>
  <c r="G106" i="1" s="1"/>
  <c r="M106" i="1" a="1"/>
  <c r="M106" i="1" s="1"/>
  <c r="Z106" i="1" a="1"/>
  <c r="Z106" i="1" s="1"/>
  <c r="S123" i="1" a="1"/>
  <c r="S123" i="1" s="1"/>
  <c r="N106" i="1" a="1"/>
  <c r="N106" i="1" s="1"/>
  <c r="Z107" i="1" a="1"/>
  <c r="Z107" i="1" s="1"/>
  <c r="W106" i="1" a="1"/>
  <c r="W106" i="1" s="1"/>
  <c r="I106" i="1" a="1"/>
  <c r="I106" i="1" s="1"/>
  <c r="W115" i="1" s="1"/>
  <c r="P106" i="1" a="1"/>
  <c r="P106" i="1" s="1"/>
  <c r="U106" i="1" a="1"/>
  <c r="U106" i="1" s="1"/>
  <c r="W123" i="1" a="1"/>
  <c r="W123" i="1" s="1"/>
  <c r="T106" i="1" a="1"/>
  <c r="T106" i="1" s="1"/>
  <c r="Y106" i="1" a="1"/>
  <c r="Y106" i="1" s="1"/>
  <c r="V106" i="1" a="1"/>
  <c r="V106" i="1" s="1"/>
  <c r="Z123" i="1" a="1"/>
  <c r="Z123" i="1" s="1"/>
  <c r="AA169" i="1" a="1"/>
  <c r="AA169" i="1" s="1"/>
  <c r="L187" i="1"/>
  <c r="N187" i="1" s="1"/>
  <c r="L184" i="1"/>
  <c r="N184" i="1" s="1"/>
  <c r="M184" i="1" s="1"/>
  <c r="L188" i="1"/>
  <c r="N188" i="1" s="1"/>
  <c r="L185" i="1"/>
  <c r="N185" i="1" s="1"/>
  <c r="M185" i="1" s="1"/>
  <c r="H166" i="1" a="1"/>
  <c r="H166" i="1" s="1"/>
  <c r="T166" i="1" a="1"/>
  <c r="T166" i="1" s="1"/>
  <c r="AA166" i="1" a="1"/>
  <c r="AA166" i="1" s="1"/>
  <c r="S166" i="1" a="1"/>
  <c r="S166" i="1" s="1"/>
  <c r="P166" i="1" a="1"/>
  <c r="P166" i="1" s="1"/>
  <c r="U166" i="1" a="1"/>
  <c r="U166" i="1" s="1"/>
  <c r="O166" i="1" a="1"/>
  <c r="O166" i="1" s="1"/>
  <c r="Y166" i="1" a="1"/>
  <c r="Y166" i="1" s="1"/>
  <c r="G166" i="1" a="1"/>
  <c r="G166" i="1" s="1"/>
  <c r="M166" i="1" a="1"/>
  <c r="M166" i="1" s="1"/>
  <c r="I166" i="1" a="1"/>
  <c r="I166" i="1" s="1"/>
  <c r="W166" i="1" a="1"/>
  <c r="W166" i="1" s="1"/>
  <c r="N166" i="1" a="1"/>
  <c r="N166" i="1" s="1"/>
  <c r="X166" i="1" a="1"/>
  <c r="X166" i="1" s="1"/>
  <c r="R166" i="1" a="1"/>
  <c r="R166" i="1" s="1"/>
  <c r="L178" i="1"/>
  <c r="E178" i="1"/>
  <c r="L175" i="1"/>
  <c r="E175" i="1"/>
  <c r="E186" i="1"/>
  <c r="E183" i="1"/>
  <c r="M197" i="1" a="1"/>
  <c r="M197" i="1" s="1"/>
  <c r="X197" i="1" a="1"/>
  <c r="X197" i="1" s="1"/>
  <c r="S197" i="1" a="1"/>
  <c r="S197" i="1" s="1"/>
  <c r="Z216" i="1" a="1"/>
  <c r="Z216" i="1" s="1"/>
  <c r="P197" i="1" a="1"/>
  <c r="P197" i="1" s="1"/>
  <c r="H197" i="1" a="1"/>
  <c r="H197" i="1" s="1"/>
  <c r="AA197" i="1" a="1"/>
  <c r="AA197" i="1" s="1"/>
  <c r="O197" i="1" a="1"/>
  <c r="O197" i="1" s="1"/>
  <c r="W216" i="1" a="1"/>
  <c r="W216" i="1" s="1"/>
  <c r="Z198" i="1" a="1"/>
  <c r="Z198" i="1" s="1"/>
  <c r="T197" i="1" a="1"/>
  <c r="T197" i="1" s="1"/>
  <c r="G197" i="1" a="1"/>
  <c r="G197" i="1" s="1"/>
  <c r="U216" i="1" a="1"/>
  <c r="U216" i="1" s="1"/>
  <c r="W197" i="1" a="1"/>
  <c r="W197" i="1" s="1"/>
  <c r="Z197" i="1" a="1"/>
  <c r="Z197" i="1" s="1"/>
  <c r="N197" i="1" a="1"/>
  <c r="N197" i="1" s="1"/>
  <c r="R197" i="1" a="1"/>
  <c r="R197" i="1" s="1"/>
  <c r="S216" i="1" a="1"/>
  <c r="S216" i="1" s="1"/>
  <c r="U197" i="1" a="1"/>
  <c r="U197" i="1" s="1"/>
  <c r="I197" i="1" a="1"/>
  <c r="I197" i="1" s="1"/>
  <c r="W211" i="1" s="1"/>
  <c r="Y197" i="1" a="1"/>
  <c r="Y197" i="1" s="1"/>
  <c r="W204" i="1" a="1"/>
  <c r="W204" i="1" s="1"/>
  <c r="G204" i="1" a="1"/>
  <c r="G204" i="1" s="1"/>
  <c r="O204" i="1" a="1"/>
  <c r="O204" i="1" s="1"/>
  <c r="H204" i="1" a="1"/>
  <c r="H204" i="1" s="1"/>
  <c r="P204" i="1" a="1"/>
  <c r="P204" i="1" s="1"/>
  <c r="M204" i="1" a="1"/>
  <c r="M204" i="1" s="1"/>
  <c r="Y204" i="1" a="1"/>
  <c r="Y204" i="1" s="1"/>
  <c r="X204" i="1" a="1"/>
  <c r="X204" i="1" s="1"/>
  <c r="N204" i="1" a="1"/>
  <c r="N204" i="1" s="1"/>
  <c r="U204" i="1" a="1"/>
  <c r="U204" i="1" s="1"/>
  <c r="S204" i="1" a="1"/>
  <c r="S204" i="1" s="1"/>
  <c r="R204" i="1" a="1"/>
  <c r="R204" i="1" s="1"/>
  <c r="T204" i="1" a="1"/>
  <c r="T204" i="1" s="1"/>
  <c r="AA204" i="1" a="1"/>
  <c r="AA204" i="1" s="1"/>
  <c r="I204" i="1" a="1"/>
  <c r="I204" i="1" s="1"/>
  <c r="L207" i="1"/>
  <c r="L210" i="1"/>
  <c r="E210" i="1"/>
  <c r="E207" i="1"/>
  <c r="AA43" i="1" a="1"/>
  <c r="AA43" i="1" s="1"/>
  <c r="O62" i="1" a="1"/>
  <c r="O62" i="1" s="1"/>
  <c r="O61" i="1" a="1"/>
  <c r="O61" i="1" s="1"/>
  <c r="O58" i="1" a="1"/>
  <c r="O58" i="1" s="1"/>
  <c r="AA51" i="1" a="1"/>
  <c r="AA51" i="1" s="1"/>
  <c r="Z59" i="1" s="1" a="1"/>
  <c r="Z59" i="1" s="1"/>
  <c r="W51" i="1"/>
  <c r="P54" i="1" a="1"/>
  <c r="P54" i="1" s="1"/>
  <c r="W50" i="1"/>
  <c r="Y59" i="1"/>
  <c r="O59" i="1" a="1"/>
  <c r="O59" i="1" s="1"/>
  <c r="P53" i="1" a="1"/>
  <c r="P53" i="1" s="1"/>
  <c r="N53" i="1" a="1"/>
  <c r="N53" i="1" s="1"/>
  <c r="R58" i="1" s="1" a="1"/>
  <c r="R58" i="1" s="1"/>
  <c r="P50" i="1" a="1"/>
  <c r="P50" i="1" s="1"/>
  <c r="N50" i="1" a="1"/>
  <c r="N50" i="1" s="1"/>
  <c r="R57" i="1" s="1" a="1"/>
  <c r="R57" i="1" s="1"/>
  <c r="Y60" i="1"/>
  <c r="N54" i="1" a="1"/>
  <c r="N54" i="1" s="1"/>
  <c r="R60" i="1" s="1" a="1"/>
  <c r="R60" i="1" s="1"/>
  <c r="AA53" i="1" a="1"/>
  <c r="AA53" i="1" s="1"/>
  <c r="Z58" i="1" s="1" a="1"/>
  <c r="Z58" i="1" s="1"/>
  <c r="AA50" i="1" a="1"/>
  <c r="AA50" i="1" s="1"/>
  <c r="Z57" i="1" s="1" a="1"/>
  <c r="Z57" i="1" s="1"/>
  <c r="W54" i="1"/>
  <c r="P51" i="1" a="1"/>
  <c r="P51" i="1" s="1"/>
  <c r="N51" i="1" a="1"/>
  <c r="N51" i="1" s="1"/>
  <c r="R59" i="1" s="1" a="1"/>
  <c r="R59" i="1" s="1"/>
  <c r="Y57" i="1"/>
  <c r="AA54" i="1" a="1"/>
  <c r="AA54" i="1" s="1"/>
  <c r="Z60" i="1" s="1" a="1"/>
  <c r="Z60" i="1" s="1"/>
  <c r="Z36" i="1" a="1"/>
  <c r="Z36" i="1" s="1"/>
  <c r="R36" i="1" a="1"/>
  <c r="R36" i="1" s="1"/>
  <c r="N36" i="1" a="1"/>
  <c r="N36" i="1" s="1"/>
  <c r="P36" i="1" a="1"/>
  <c r="P36" i="1" s="1"/>
  <c r="U57" i="1" a="1"/>
  <c r="U57" i="1" s="1"/>
  <c r="H36" i="1" a="1"/>
  <c r="H36" i="1" s="1"/>
  <c r="X36" i="1" a="1"/>
  <c r="X36" i="1" s="1"/>
  <c r="O36" i="1" a="1"/>
  <c r="O36" i="1" s="1"/>
  <c r="AA36" i="1" a="1"/>
  <c r="AA36" i="1" s="1"/>
  <c r="W57" i="1" a="1"/>
  <c r="W57" i="1" s="1"/>
  <c r="V36" i="1" a="1"/>
  <c r="V36" i="1" s="1"/>
  <c r="M36" i="1" a="1"/>
  <c r="M36" i="1" s="1"/>
  <c r="W36" i="1" a="1"/>
  <c r="W36" i="1" s="1"/>
  <c r="S57" i="1" a="1"/>
  <c r="S57" i="1" s="1"/>
  <c r="Z37" i="1" a="1"/>
  <c r="Z37" i="1" s="1"/>
  <c r="I36" i="1" a="1"/>
  <c r="I36" i="1" s="1"/>
  <c r="Y36" i="1" a="1"/>
  <c r="Y36" i="1" s="1"/>
  <c r="T36" i="1" a="1"/>
  <c r="T36" i="1" s="1"/>
  <c r="S36" i="1" a="1"/>
  <c r="S36" i="1" s="1"/>
  <c r="G36" i="1" a="1"/>
  <c r="G36" i="1" s="1"/>
  <c r="U36" i="1" a="1"/>
  <c r="U36" i="1" s="1"/>
  <c r="G46" i="1" a="1"/>
  <c r="G46" i="1" s="1"/>
  <c r="T46" i="1" a="1"/>
  <c r="T46" i="1" s="1"/>
  <c r="H46" i="1" a="1"/>
  <c r="H46" i="1" s="1"/>
  <c r="AA46" i="1" a="1"/>
  <c r="AA46" i="1" s="1"/>
  <c r="R46" i="1" a="1"/>
  <c r="R46" i="1" s="1"/>
  <c r="P46" i="1" a="1"/>
  <c r="P46" i="1" s="1"/>
  <c r="O46" i="1" a="1"/>
  <c r="O46" i="1" s="1"/>
  <c r="W46" i="1" a="1"/>
  <c r="W46" i="1" s="1"/>
  <c r="S46" i="1" a="1"/>
  <c r="S46" i="1" s="1"/>
  <c r="I46" i="1" a="1"/>
  <c r="I46" i="1" s="1"/>
  <c r="X46" i="1" a="1"/>
  <c r="X46" i="1" s="1"/>
  <c r="M46" i="1" a="1"/>
  <c r="M46" i="1" s="1"/>
  <c r="Y46" i="1" a="1"/>
  <c r="Y46" i="1" s="1"/>
  <c r="N46" i="1" a="1"/>
  <c r="N46" i="1" s="1"/>
  <c r="U46" i="1" a="1"/>
  <c r="U46" i="1" s="1"/>
  <c r="Y37" i="1" a="1"/>
  <c r="Y37" i="1" s="1"/>
  <c r="P37" i="1" a="1"/>
  <c r="P37" i="1" s="1"/>
  <c r="V37" i="1" a="1"/>
  <c r="V37" i="1" s="1"/>
  <c r="M37" i="1" a="1"/>
  <c r="M37" i="1" s="1"/>
  <c r="H37" i="1" a="1"/>
  <c r="H37" i="1" s="1"/>
  <c r="T37" i="1" a="1"/>
  <c r="T37" i="1" s="1"/>
  <c r="AA37" i="1" a="1"/>
  <c r="AA37" i="1" s="1"/>
  <c r="U37" i="1" a="1"/>
  <c r="U37" i="1" s="1"/>
  <c r="N37" i="1" a="1"/>
  <c r="N37" i="1" s="1"/>
  <c r="I37" i="1" a="1"/>
  <c r="I37" i="1" s="1"/>
  <c r="R37" i="1" a="1"/>
  <c r="R37" i="1" s="1"/>
  <c r="S37" i="1" a="1"/>
  <c r="S37" i="1" s="1"/>
  <c r="W37" i="1" a="1"/>
  <c r="W37" i="1" s="1"/>
  <c r="G37" i="1" a="1"/>
  <c r="G37" i="1" s="1"/>
  <c r="X37" i="1" a="1"/>
  <c r="X37" i="1" s="1"/>
  <c r="O37" i="1" a="1"/>
  <c r="O37" i="1" s="1"/>
  <c r="M90" i="1"/>
  <c r="AA11" i="1" a="1"/>
  <c r="AA11" i="1" s="1"/>
  <c r="M83" i="1" a="1"/>
  <c r="M83" i="1" s="1"/>
  <c r="R91" i="1" a="1"/>
  <c r="R91" i="1" s="1"/>
  <c r="R89" i="1" a="1"/>
  <c r="R89" i="1" s="1"/>
  <c r="M82" i="1" a="1"/>
  <c r="M82" i="1" s="1"/>
  <c r="N132" i="1" a="1"/>
  <c r="N132" i="1" s="1"/>
  <c r="T132" i="1" a="1"/>
  <c r="T132" i="1" s="1"/>
  <c r="V132" i="1" a="1"/>
  <c r="V132" i="1" s="1"/>
  <c r="W132" i="1" a="1"/>
  <c r="W132" i="1" s="1"/>
  <c r="H132" i="1" a="1"/>
  <c r="H132" i="1" s="1"/>
  <c r="P132" i="1" a="1"/>
  <c r="P132" i="1" s="1"/>
  <c r="S132" i="1" a="1"/>
  <c r="S132" i="1" s="1"/>
  <c r="R132" i="1" a="1"/>
  <c r="R132" i="1" s="1"/>
  <c r="O132" i="1" a="1"/>
  <c r="O132" i="1" s="1"/>
  <c r="M132" i="1" a="1"/>
  <c r="M132" i="1" s="1"/>
  <c r="X132" i="1" a="1"/>
  <c r="X132" i="1" s="1"/>
  <c r="U132" i="1" a="1"/>
  <c r="U132" i="1" s="1"/>
  <c r="I132" i="1" a="1"/>
  <c r="I132" i="1" s="1"/>
  <c r="Y132" i="1" a="1"/>
  <c r="Y132" i="1" s="1"/>
  <c r="AA132" i="1" a="1"/>
  <c r="AA132" i="1" s="1"/>
  <c r="G132" i="1" a="1"/>
  <c r="G132" i="1" s="1"/>
  <c r="M141" i="1" a="1"/>
  <c r="M141" i="1" s="1"/>
  <c r="N141" i="1" a="1"/>
  <c r="N141" i="1" s="1"/>
  <c r="H141" i="1" a="1"/>
  <c r="H141" i="1" s="1"/>
  <c r="S141" i="1" a="1"/>
  <c r="S141" i="1" s="1"/>
  <c r="I141" i="1" a="1"/>
  <c r="I141" i="1" s="1"/>
  <c r="AA141" i="1" a="1"/>
  <c r="AA141" i="1" s="1"/>
  <c r="X141" i="1" a="1"/>
  <c r="X141" i="1" s="1"/>
  <c r="G141" i="1" a="1"/>
  <c r="G141" i="1" s="1"/>
  <c r="U141" i="1" a="1"/>
  <c r="U141" i="1" s="1"/>
  <c r="W141" i="1" a="1"/>
  <c r="W141" i="1" s="1"/>
  <c r="O141" i="1" a="1"/>
  <c r="O141" i="1" s="1"/>
  <c r="R141" i="1" a="1"/>
  <c r="R141" i="1" s="1"/>
  <c r="T141" i="1" a="1"/>
  <c r="T141" i="1" s="1"/>
  <c r="P141" i="1" a="1"/>
  <c r="P141" i="1" s="1"/>
  <c r="Y141" i="1" a="1"/>
  <c r="Y141" i="1" s="1"/>
  <c r="L157" i="1"/>
  <c r="N157" i="1" s="1"/>
  <c r="M157" i="1" s="1"/>
  <c r="L154" i="1"/>
  <c r="N154" i="1" s="1"/>
  <c r="M154" i="1" s="1"/>
  <c r="L156" i="1"/>
  <c r="N156" i="1" s="1"/>
  <c r="M156" i="1" s="1"/>
  <c r="L153" i="1"/>
  <c r="N153" i="1" s="1"/>
  <c r="M153" i="1" s="1"/>
  <c r="V138" i="1" a="1"/>
  <c r="V138" i="1" s="1"/>
  <c r="M85" i="1" a="1"/>
  <c r="M85" i="1" s="1"/>
  <c r="X83" i="1" a="1"/>
  <c r="X83" i="1" s="1"/>
  <c r="S19" i="1" l="1"/>
  <c r="Z19" i="1"/>
  <c r="X19" i="1" s="1" a="1"/>
  <c r="X19" i="1" s="1"/>
  <c r="M29" i="1"/>
  <c r="L60" i="1"/>
  <c r="L57" i="1"/>
  <c r="S211" i="1"/>
  <c r="Z211" i="1"/>
  <c r="X211" i="1" s="1" a="1"/>
  <c r="X211" i="1" s="1"/>
  <c r="Y58" i="1"/>
  <c r="M188" i="1"/>
  <c r="M58" i="1"/>
  <c r="M220" i="1"/>
  <c r="Z54" i="1"/>
  <c r="X54" i="1" s="1" a="1"/>
  <c r="X54" i="1" s="1"/>
  <c r="S54" i="1"/>
  <c r="Y183" i="1"/>
  <c r="F65" i="1"/>
  <c r="F64" i="1"/>
  <c r="J64" i="1"/>
  <c r="Q65" i="1"/>
  <c r="Q64" i="1"/>
  <c r="U64" i="1"/>
  <c r="Z208" i="1"/>
  <c r="X208" i="1" s="1" a="1"/>
  <c r="X208" i="1" s="1"/>
  <c r="S208" i="1"/>
  <c r="Z21" i="1"/>
  <c r="X21" i="1" s="1" a="1"/>
  <c r="X21" i="1" s="1"/>
  <c r="S21" i="1"/>
  <c r="L25" i="1"/>
  <c r="L28" i="1"/>
  <c r="M26" i="1"/>
  <c r="M61" i="1"/>
  <c r="M216" i="1"/>
  <c r="L183" i="1"/>
  <c r="L186" i="1"/>
  <c r="Z51" i="1"/>
  <c r="X51" i="1" s="1" a="1"/>
  <c r="X51" i="1" s="1"/>
  <c r="S51" i="1"/>
  <c r="L218" i="1"/>
  <c r="L215" i="1"/>
  <c r="W179" i="1"/>
  <c r="W148" i="1"/>
  <c r="Z209" i="1"/>
  <c r="X209" i="1" s="1" a="1"/>
  <c r="X209" i="1" s="1"/>
  <c r="S209" i="1"/>
  <c r="Y216" i="1"/>
  <c r="Y123" i="1"/>
  <c r="W117" i="1"/>
  <c r="S117" i="1"/>
  <c r="Z117" i="1"/>
  <c r="X117" i="1" s="1" a="1"/>
  <c r="X117" i="1" s="1"/>
  <c r="U159" i="1"/>
  <c r="F159" i="1"/>
  <c r="F160" i="1"/>
  <c r="J159" i="1"/>
  <c r="Q160" i="1"/>
  <c r="Q159" i="1"/>
  <c r="Z145" i="1"/>
  <c r="X145" i="1" s="1" a="1"/>
  <c r="X145" i="1" s="1"/>
  <c r="S145" i="1"/>
  <c r="M125" i="1"/>
  <c r="S177" i="1"/>
  <c r="Z177" i="1"/>
  <c r="X177" i="1" s="1" a="1"/>
  <c r="X177" i="1" s="1"/>
  <c r="Z118" i="1"/>
  <c r="X118" i="1" s="1" a="1"/>
  <c r="X118" i="1" s="1"/>
  <c r="S118" i="1"/>
  <c r="Z146" i="1"/>
  <c r="X146" i="1" s="1" a="1"/>
  <c r="X146" i="1" s="1"/>
  <c r="S146" i="1"/>
  <c r="Z18" i="1"/>
  <c r="X18" i="1" s="1" a="1"/>
  <c r="X18" i="1" s="1"/>
  <c r="S18" i="1"/>
  <c r="M187" i="1"/>
  <c r="S22" i="1"/>
  <c r="Z22" i="1"/>
  <c r="X22" i="1" s="1" a="1"/>
  <c r="X22" i="1" s="1"/>
  <c r="Q33" i="1"/>
  <c r="Q32" i="1"/>
  <c r="U32" i="1"/>
  <c r="J32" i="1"/>
  <c r="F32" i="1"/>
  <c r="F33" i="1"/>
  <c r="M62" i="1"/>
  <c r="U190" i="1"/>
  <c r="Q191" i="1"/>
  <c r="J190" i="1"/>
  <c r="F191" i="1"/>
  <c r="F190" i="1"/>
  <c r="Q190" i="1"/>
  <c r="L124" i="1"/>
  <c r="L121" i="1"/>
  <c r="S50" i="1"/>
  <c r="Z50" i="1"/>
  <c r="X50" i="1" s="1" a="1"/>
  <c r="X50" i="1" s="1"/>
  <c r="F223" i="1"/>
  <c r="Q223" i="1"/>
  <c r="Q222" i="1"/>
  <c r="J222" i="1"/>
  <c r="F222" i="1"/>
  <c r="U222" i="1"/>
  <c r="Z212" i="1"/>
  <c r="X212" i="1" s="1" a="1"/>
  <c r="X212" i="1" s="1"/>
  <c r="S212" i="1"/>
  <c r="Y218" i="1"/>
  <c r="Z115" i="1"/>
  <c r="X115" i="1" s="1" a="1"/>
  <c r="X115" i="1" s="1"/>
  <c r="S115" i="1"/>
  <c r="S149" i="1"/>
  <c r="Z149" i="1"/>
  <c r="X149" i="1" s="1" a="1"/>
  <c r="X149" i="1" s="1"/>
  <c r="M122" i="1"/>
  <c r="Z176" i="1"/>
  <c r="X176" i="1" s="1" a="1"/>
  <c r="X176" i="1" s="1"/>
  <c r="S176" i="1"/>
  <c r="M126" i="1"/>
  <c r="Z179" i="1"/>
  <c r="X179" i="1" s="1" a="1"/>
  <c r="X179" i="1" s="1"/>
  <c r="S179" i="1"/>
  <c r="U128" i="1"/>
  <c r="F128" i="1"/>
  <c r="F129" i="1"/>
  <c r="Q128" i="1"/>
  <c r="J128" i="1"/>
  <c r="Q129" i="1"/>
  <c r="S53" i="1"/>
  <c r="Z53" i="1"/>
  <c r="X53" i="1" s="1" a="1"/>
  <c r="X53" i="1" s="1"/>
  <c r="S114" i="1"/>
  <c r="Z114" i="1"/>
  <c r="X114" i="1" s="1" a="1"/>
  <c r="X114" i="1" s="1"/>
  <c r="L155" i="1"/>
  <c r="L152" i="1"/>
  <c r="S148" i="1"/>
  <c r="Z148" i="1"/>
  <c r="X148" i="1" s="1" a="1"/>
  <c r="X148" i="1" s="1"/>
  <c r="M123" i="1"/>
  <c r="S180" i="1"/>
  <c r="Z180" i="1"/>
  <c r="X180" i="1" s="1" a="1"/>
  <c r="X180" i="1" s="1"/>
  <c r="T180" i="1" l="1" a="1"/>
  <c r="T180" i="1" s="1"/>
  <c r="V180" i="1" a="1"/>
  <c r="V180" i="1" s="1"/>
  <c r="M180" i="1" a="1"/>
  <c r="M180" i="1" s="1"/>
  <c r="O180" i="1" a="1"/>
  <c r="O180" i="1" s="1"/>
  <c r="V145" i="1" a="1"/>
  <c r="V145" i="1" s="1"/>
  <c r="O145" i="1" a="1"/>
  <c r="O145" i="1" s="1"/>
  <c r="T145" i="1" a="1"/>
  <c r="T145" i="1" s="1"/>
  <c r="M145" i="1" a="1"/>
  <c r="M145" i="1" s="1"/>
  <c r="T146" i="1" a="1"/>
  <c r="T146" i="1" s="1"/>
  <c r="M179" i="1" a="1"/>
  <c r="M179" i="1" s="1"/>
  <c r="V179" i="1" a="1"/>
  <c r="V179" i="1" s="1"/>
  <c r="T179" i="1" a="1"/>
  <c r="T179" i="1" s="1"/>
  <c r="O179" i="1" a="1"/>
  <c r="O179" i="1" s="1"/>
  <c r="V115" i="1" a="1"/>
  <c r="V115" i="1" s="1"/>
  <c r="M115" i="1" a="1"/>
  <c r="M115" i="1" s="1"/>
  <c r="O115" i="1" a="1"/>
  <c r="O115" i="1" s="1"/>
  <c r="M50" i="1" a="1"/>
  <c r="M50" i="1" s="1"/>
  <c r="T51" i="1" a="1"/>
  <c r="T51" i="1" s="1"/>
  <c r="O50" i="1" a="1"/>
  <c r="O50" i="1" s="1"/>
  <c r="T50" i="1" a="1"/>
  <c r="T50" i="1" s="1"/>
  <c r="V50" i="1" a="1"/>
  <c r="V50" i="1" s="1"/>
  <c r="V22" i="1" a="1"/>
  <c r="V22" i="1" s="1"/>
  <c r="T22" i="1" a="1"/>
  <c r="T22" i="1" s="1"/>
  <c r="O22" i="1" a="1"/>
  <c r="O22" i="1" s="1"/>
  <c r="M22" i="1" a="1"/>
  <c r="M22" i="1" s="1"/>
  <c r="M146" i="1" a="1"/>
  <c r="M146" i="1" s="1"/>
  <c r="V146" i="1" a="1"/>
  <c r="V146" i="1" s="1"/>
  <c r="O146" i="1" a="1"/>
  <c r="O146" i="1" s="1"/>
  <c r="M209" i="1" a="1"/>
  <c r="M209" i="1" s="1"/>
  <c r="O209" i="1" a="1"/>
  <c r="O209" i="1" s="1"/>
  <c r="V209" i="1" a="1"/>
  <c r="V209" i="1" s="1"/>
  <c r="O177" i="1" a="1"/>
  <c r="O177" i="1" s="1"/>
  <c r="V177" i="1" a="1"/>
  <c r="V177" i="1" s="1"/>
  <c r="M177" i="1" a="1"/>
  <c r="M177" i="1" s="1"/>
  <c r="O208" i="1" a="1"/>
  <c r="O208" i="1" s="1"/>
  <c r="V208" i="1" a="1"/>
  <c r="V208" i="1" s="1"/>
  <c r="T208" i="1" a="1"/>
  <c r="T208" i="1" s="1"/>
  <c r="M208" i="1" a="1"/>
  <c r="M208" i="1" s="1"/>
  <c r="T209" i="1" a="1"/>
  <c r="T209" i="1" s="1"/>
  <c r="V211" i="1" a="1"/>
  <c r="V211" i="1" s="1"/>
  <c r="M211" i="1" a="1"/>
  <c r="M211" i="1" s="1"/>
  <c r="T211" i="1" a="1"/>
  <c r="T211" i="1" s="1"/>
  <c r="O211" i="1" a="1"/>
  <c r="O211" i="1" s="1"/>
  <c r="T21" i="1" a="1"/>
  <c r="T21" i="1" s="1"/>
  <c r="V21" i="1" a="1"/>
  <c r="V21" i="1" s="1"/>
  <c r="M21" i="1" a="1"/>
  <c r="M21" i="1" s="1"/>
  <c r="O21" i="1" a="1"/>
  <c r="O21" i="1" s="1"/>
  <c r="T53" i="1" a="1"/>
  <c r="T53" i="1" s="1"/>
  <c r="V53" i="1" a="1"/>
  <c r="V53" i="1" s="1"/>
  <c r="M53" i="1" a="1"/>
  <c r="M53" i="1" s="1"/>
  <c r="O53" i="1" a="1"/>
  <c r="O53" i="1" s="1"/>
  <c r="T117" i="1" a="1"/>
  <c r="T117" i="1" s="1"/>
  <c r="M117" i="1" a="1"/>
  <c r="M117" i="1" s="1"/>
  <c r="O117" i="1" a="1"/>
  <c r="O117" i="1" s="1"/>
  <c r="V117" i="1" a="1"/>
  <c r="V117" i="1" s="1"/>
  <c r="M148" i="1" a="1"/>
  <c r="M148" i="1" s="1"/>
  <c r="O148" i="1" a="1"/>
  <c r="O148" i="1" s="1"/>
  <c r="T148" i="1" a="1"/>
  <c r="T148" i="1" s="1"/>
  <c r="V148" i="1" a="1"/>
  <c r="V148" i="1" s="1"/>
  <c r="M114" i="1" a="1"/>
  <c r="M114" i="1" s="1"/>
  <c r="T114" i="1" a="1"/>
  <c r="T114" i="1" s="1"/>
  <c r="O114" i="1" a="1"/>
  <c r="O114" i="1" s="1"/>
  <c r="T115" i="1" a="1"/>
  <c r="T115" i="1" s="1"/>
  <c r="V114" i="1" a="1"/>
  <c r="V114" i="1" s="1"/>
  <c r="V176" i="1" a="1"/>
  <c r="V176" i="1" s="1"/>
  <c r="T176" i="1" a="1"/>
  <c r="T176" i="1" s="1"/>
  <c r="M176" i="1" a="1"/>
  <c r="M176" i="1" s="1"/>
  <c r="T177" i="1" a="1"/>
  <c r="T177" i="1" s="1"/>
  <c r="O176" i="1" a="1"/>
  <c r="O176" i="1" s="1"/>
  <c r="O149" i="1" a="1"/>
  <c r="O149" i="1" s="1"/>
  <c r="T149" i="1" a="1"/>
  <c r="T149" i="1" s="1"/>
  <c r="V149" i="1" a="1"/>
  <c r="V149" i="1" s="1"/>
  <c r="M149" i="1" a="1"/>
  <c r="M149" i="1" s="1"/>
  <c r="V212" i="1" a="1"/>
  <c r="V212" i="1" s="1"/>
  <c r="T212" i="1" a="1"/>
  <c r="T212" i="1" s="1"/>
  <c r="O212" i="1" a="1"/>
  <c r="O212" i="1" s="1"/>
  <c r="M212" i="1" a="1"/>
  <c r="M212" i="1" s="1"/>
  <c r="T19" i="1" a="1"/>
  <c r="T19" i="1" s="1"/>
  <c r="V18" i="1" a="1"/>
  <c r="V18" i="1" s="1"/>
  <c r="T18" i="1" a="1"/>
  <c r="T18" i="1" s="1"/>
  <c r="O18" i="1" a="1"/>
  <c r="O18" i="1" s="1"/>
  <c r="M18" i="1" a="1"/>
  <c r="M18" i="1" s="1"/>
  <c r="V118" i="1" a="1"/>
  <c r="V118" i="1" s="1"/>
  <c r="M118" i="1" a="1"/>
  <c r="M118" i="1" s="1"/>
  <c r="O118" i="1" a="1"/>
  <c r="O118" i="1" s="1"/>
  <c r="T118" i="1" a="1"/>
  <c r="T118" i="1" s="1"/>
  <c r="O51" i="1" a="1"/>
  <c r="O51" i="1" s="1"/>
  <c r="V51" i="1" a="1"/>
  <c r="V51" i="1" s="1"/>
  <c r="M51" i="1" a="1"/>
  <c r="M51" i="1" s="1"/>
  <c r="T54" i="1" a="1"/>
  <c r="T54" i="1" s="1"/>
  <c r="M54" i="1" a="1"/>
  <c r="M54" i="1" s="1"/>
  <c r="V54" i="1" a="1"/>
  <c r="V54" i="1" s="1"/>
  <c r="O54" i="1" a="1"/>
  <c r="O54" i="1" s="1"/>
  <c r="M19" i="1" a="1"/>
  <c r="M19" i="1" s="1"/>
  <c r="V19" i="1" a="1"/>
  <c r="V19" i="1" s="1"/>
  <c r="O19" i="1" a="1"/>
  <c r="O19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&quot;:&quot;mm&quot;:&quot;ss&quot; &quot;AM/PM"/>
  </numFmts>
  <fonts count="11" x14ac:knownFonts="1">
    <font>
      <sz val="10"/>
      <color rgb="FF000000"/>
      <name val="Arial"/>
      <scheme val="minor"/>
    </font>
    <font>
      <sz val="12"/>
      <color rgb="FF0000FF"/>
      <name val="Pacifico"/>
    </font>
    <font>
      <sz val="10"/>
      <name val="Arial"/>
      <family val="2"/>
    </font>
    <font>
      <b/>
      <sz val="10"/>
      <color rgb="FF434343"/>
      <name val="Calibri"/>
      <family val="2"/>
    </font>
    <font>
      <sz val="10"/>
      <color rgb="FF434343"/>
      <name val="Calibri"/>
      <family val="2"/>
    </font>
    <font>
      <sz val="10"/>
      <color rgb="FF434343"/>
      <name val="Arial"/>
      <family val="2"/>
    </font>
    <font>
      <sz val="9"/>
      <color rgb="FF434343"/>
      <name val="Arial"/>
      <family val="2"/>
    </font>
    <font>
      <sz val="10"/>
      <color rgb="FF000000"/>
      <name val="Calibri"/>
      <family val="2"/>
    </font>
    <font>
      <b/>
      <sz val="10"/>
      <color rgb="FF434343"/>
      <name val="Arial"/>
      <family val="2"/>
    </font>
    <font>
      <b/>
      <sz val="10"/>
      <color rgb="FF000000"/>
      <name val="Calibri"/>
      <family val="2"/>
    </font>
    <font>
      <sz val="10"/>
      <color rgb="FFFFFFF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3DAF4"/>
        <bgColor rgb="FFE3DAF4"/>
      </patternFill>
    </fill>
    <fill>
      <patternFill patternType="solid">
        <fgColor rgb="FFFBE8D4"/>
        <bgColor rgb="FFFBE8D4"/>
      </patternFill>
    </fill>
    <fill>
      <patternFill patternType="solid">
        <fgColor rgb="FFBDEBEC"/>
        <bgColor rgb="FFBDEBEC"/>
      </patternFill>
    </fill>
    <fill>
      <patternFill patternType="solid">
        <fgColor rgb="FFCDF1F4"/>
        <bgColor rgb="FFCDF1F4"/>
      </patternFill>
    </fill>
    <fill>
      <patternFill patternType="solid">
        <fgColor rgb="FFFFF2CC"/>
        <bgColor rgb="FFFFF2CC"/>
      </patternFill>
    </fill>
    <fill>
      <patternFill patternType="solid">
        <fgColor rgb="FFC5F2D5"/>
        <bgColor rgb="FFC5F2D5"/>
      </patternFill>
    </fill>
    <fill>
      <patternFill patternType="solid">
        <fgColor rgb="FFE7F8ED"/>
        <bgColor rgb="FFE7F8ED"/>
      </patternFill>
    </fill>
    <fill>
      <patternFill patternType="solid">
        <fgColor rgb="FFF3F3F3"/>
        <bgColor rgb="FFF3F3F3"/>
      </patternFill>
    </fill>
    <fill>
      <patternFill patternType="solid">
        <fgColor rgb="FFFFEEFF"/>
        <bgColor rgb="FFFFEEFF"/>
      </patternFill>
    </fill>
    <fill>
      <patternFill patternType="solid">
        <fgColor rgb="FFFECCFE"/>
        <bgColor rgb="FFFECCFE"/>
      </patternFill>
    </fill>
    <fill>
      <patternFill patternType="solid">
        <fgColor rgb="FFDFF4F6"/>
        <bgColor rgb="FFDFF4F6"/>
      </patternFill>
    </fill>
  </fills>
  <borders count="74">
    <border>
      <left/>
      <right/>
      <top/>
      <bottom/>
      <diagonal/>
    </border>
    <border>
      <left style="thin">
        <color rgb="FF34A853"/>
      </left>
      <right/>
      <top style="thin">
        <color rgb="FF34A853"/>
      </top>
      <bottom/>
      <diagonal/>
    </border>
    <border>
      <left/>
      <right/>
      <top style="thin">
        <color rgb="FF34A853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34A853"/>
      </left>
      <right/>
      <top/>
      <bottom style="thin">
        <color rgb="FF9900FF"/>
      </bottom>
      <diagonal/>
    </border>
    <border>
      <left/>
      <right/>
      <top/>
      <bottom style="thin">
        <color rgb="FF9900FF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medium">
        <color rgb="FF999999"/>
      </left>
      <right style="thin">
        <color rgb="FF999999"/>
      </right>
      <top style="medium">
        <color rgb="FF999999"/>
      </top>
      <bottom style="thin">
        <color rgb="FF999999"/>
      </bottom>
      <diagonal/>
    </border>
    <border>
      <left style="thin">
        <color rgb="FF999999"/>
      </left>
      <right style="medium">
        <color rgb="FF999999"/>
      </right>
      <top style="medium">
        <color rgb="FF999999"/>
      </top>
      <bottom style="thin">
        <color rgb="FF999999"/>
      </bottom>
      <diagonal/>
    </border>
    <border>
      <left style="medium">
        <color rgb="FF999999"/>
      </left>
      <right/>
      <top style="medium">
        <color rgb="FF999999"/>
      </top>
      <bottom/>
      <diagonal/>
    </border>
    <border>
      <left/>
      <right style="medium">
        <color rgb="FF999999"/>
      </right>
      <top style="medium">
        <color rgb="FF999999"/>
      </top>
      <bottom/>
      <diagonal/>
    </border>
    <border>
      <left style="thin">
        <color rgb="FF999999"/>
      </left>
      <right style="thin">
        <color rgb="FF999999"/>
      </right>
      <top style="medium">
        <color rgb="FF999999"/>
      </top>
      <bottom style="thin">
        <color rgb="FF999999"/>
      </bottom>
      <diagonal/>
    </border>
    <border>
      <left style="thin">
        <color rgb="FF999999"/>
      </left>
      <right/>
      <top style="medium">
        <color rgb="FF999999"/>
      </top>
      <bottom style="thin">
        <color rgb="FF999999"/>
      </bottom>
      <diagonal/>
    </border>
    <border>
      <left/>
      <right style="thin">
        <color rgb="FF999999"/>
      </right>
      <top style="medium">
        <color rgb="FF999999"/>
      </top>
      <bottom style="thin">
        <color rgb="FF999999"/>
      </bottom>
      <diagonal/>
    </border>
    <border>
      <left style="medium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medium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999999"/>
      </left>
      <right/>
      <top/>
      <bottom/>
      <diagonal/>
    </border>
    <border>
      <left/>
      <right style="medium">
        <color rgb="FF999999"/>
      </right>
      <top/>
      <bottom/>
      <diagonal/>
    </border>
    <border>
      <left style="medium">
        <color rgb="FF999999"/>
      </left>
      <right/>
      <top/>
      <bottom style="medium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999999"/>
      </bottom>
      <diagonal/>
    </border>
    <border>
      <left style="thin">
        <color rgb="FF999999"/>
      </left>
      <right style="medium">
        <color rgb="FF999999"/>
      </right>
      <top style="thin">
        <color rgb="FF999999"/>
      </top>
      <bottom style="medium">
        <color rgb="FF999999"/>
      </bottom>
      <diagonal/>
    </border>
    <border>
      <left style="thin">
        <color rgb="FF999999"/>
      </left>
      <right/>
      <top style="thin">
        <color rgb="FF999999"/>
      </top>
      <bottom style="medium">
        <color rgb="FF999999"/>
      </bottom>
      <diagonal/>
    </border>
    <border>
      <left/>
      <right style="thin">
        <color rgb="FF999999"/>
      </right>
      <top style="thin">
        <color rgb="FF999999"/>
      </top>
      <bottom style="medium">
        <color rgb="FF999999"/>
      </bottom>
      <diagonal/>
    </border>
    <border>
      <left style="medium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medium">
        <color rgb="FF999999"/>
      </right>
      <top style="thin">
        <color rgb="FF999999"/>
      </top>
      <bottom/>
      <diagonal/>
    </border>
    <border>
      <left style="medium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medium">
        <color rgb="FF999999"/>
      </right>
      <top/>
      <bottom/>
      <diagonal/>
    </border>
    <border>
      <left style="medium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medium">
        <color rgb="FF999999"/>
      </right>
      <top/>
      <bottom style="thin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/>
      <top style="thin">
        <color rgb="FF999999"/>
      </top>
      <bottom/>
      <diagonal/>
    </border>
    <border>
      <left/>
      <right style="medium">
        <color rgb="FF999999"/>
      </right>
      <top style="thin">
        <color rgb="FF999999"/>
      </top>
      <bottom/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999999"/>
      </left>
      <right/>
      <top style="medium">
        <color rgb="FF999999"/>
      </top>
      <bottom style="medium">
        <color rgb="FF999999"/>
      </bottom>
      <diagonal/>
    </border>
    <border>
      <left style="thin">
        <color rgb="FF999999"/>
      </left>
      <right style="thin">
        <color rgb="FF999999"/>
      </right>
      <top style="medium">
        <color rgb="FF999999"/>
      </top>
      <bottom style="medium">
        <color rgb="FF999999"/>
      </bottom>
      <diagonal/>
    </border>
    <border>
      <left style="thin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thin">
        <color rgb="FF999999"/>
      </left>
      <right/>
      <top style="medium">
        <color rgb="FF999999"/>
      </top>
      <bottom/>
      <diagonal/>
    </border>
    <border>
      <left/>
      <right style="thin">
        <color rgb="FF999999"/>
      </right>
      <top style="medium">
        <color rgb="FF999999"/>
      </top>
      <bottom/>
      <diagonal/>
    </border>
    <border>
      <left/>
      <right/>
      <top style="medium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medium">
        <color rgb="FF999999"/>
      </left>
      <right style="thin">
        <color rgb="FF999999"/>
      </right>
      <top/>
      <bottom style="medium">
        <color rgb="FF999999"/>
      </bottom>
      <diagonal/>
    </border>
    <border>
      <left style="thin">
        <color rgb="FF999999"/>
      </left>
      <right/>
      <top/>
      <bottom style="medium">
        <color rgb="FF999999"/>
      </bottom>
      <diagonal/>
    </border>
    <border>
      <left style="medium">
        <color rgb="FF999999"/>
      </left>
      <right/>
      <top/>
      <bottom style="thin">
        <color rgb="FF999999"/>
      </bottom>
      <diagonal/>
    </border>
    <border>
      <left style="medium">
        <color rgb="FF999999"/>
      </left>
      <right/>
      <top style="medium">
        <color rgb="FF999999"/>
      </top>
      <bottom style="thin">
        <color rgb="FF999999"/>
      </bottom>
      <diagonal/>
    </border>
    <border>
      <left/>
      <right style="medium">
        <color rgb="FF999999"/>
      </right>
      <top style="medium">
        <color rgb="FF999999"/>
      </top>
      <bottom style="thin">
        <color rgb="FF999999"/>
      </bottom>
      <diagonal/>
    </border>
    <border>
      <left style="medium">
        <color rgb="FF999999"/>
      </left>
      <right style="thin">
        <color rgb="FF999999"/>
      </right>
      <top style="thin">
        <color rgb="FF999999"/>
      </top>
      <bottom style="medium">
        <color rgb="FF999999"/>
      </bottom>
      <diagonal/>
    </border>
    <border>
      <left/>
      <right style="thin">
        <color rgb="FF999999"/>
      </right>
      <top/>
      <bottom style="medium">
        <color rgb="FF999999"/>
      </bottom>
      <diagonal/>
    </border>
    <border>
      <left style="thin">
        <color rgb="FF999999"/>
      </left>
      <right style="thin">
        <color rgb="FF999999"/>
      </right>
      <top/>
      <bottom style="medium">
        <color rgb="FF999999"/>
      </bottom>
      <diagonal/>
    </border>
    <border>
      <left/>
      <right/>
      <top style="thin">
        <color rgb="FF999999"/>
      </top>
      <bottom style="medium">
        <color rgb="FF999999"/>
      </bottom>
      <diagonal/>
    </border>
    <border>
      <left/>
      <right style="thin">
        <color rgb="FF999999"/>
      </right>
      <top style="medium">
        <color rgb="FF999999"/>
      </top>
      <bottom style="medium">
        <color rgb="FF999999"/>
      </bottom>
      <diagonal/>
    </border>
    <border>
      <left/>
      <right/>
      <top/>
      <bottom style="thin">
        <color rgb="FF999999"/>
      </bottom>
      <diagonal/>
    </border>
    <border>
      <left style="medium">
        <color rgb="FF999999"/>
      </left>
      <right style="thin">
        <color rgb="FF999999"/>
      </right>
      <top style="medium">
        <color rgb="FF999999"/>
      </top>
      <bottom/>
      <diagonal/>
    </border>
    <border>
      <left/>
      <right style="medium">
        <color rgb="FF999999"/>
      </right>
      <top style="thin">
        <color rgb="FF999999"/>
      </top>
      <bottom style="medium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/>
      <bottom style="medium">
        <color rgb="FF999999"/>
      </bottom>
      <diagonal/>
    </border>
    <border>
      <left style="medium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medium">
        <color rgb="FF999999"/>
      </right>
      <top style="thin">
        <color rgb="FF999999"/>
      </top>
      <bottom style="thin">
        <color rgb="FF999999"/>
      </bottom>
      <diagonal/>
    </border>
    <border>
      <left/>
      <right style="medium">
        <color rgb="FF999999"/>
      </right>
      <top/>
      <bottom style="thin">
        <color rgb="FF999999"/>
      </bottom>
      <diagonal/>
    </border>
    <border>
      <left style="medium">
        <color rgb="FF999999"/>
      </left>
      <right/>
      <top style="thin">
        <color rgb="FF999999"/>
      </top>
      <bottom style="medium">
        <color rgb="FF999999"/>
      </bottom>
      <diagonal/>
    </border>
    <border>
      <left style="medium">
        <color rgb="FF999999"/>
      </left>
      <right style="thin">
        <color rgb="FF000000"/>
      </right>
      <top style="medium">
        <color rgb="FF999999"/>
      </top>
      <bottom/>
      <diagonal/>
    </border>
    <border>
      <left style="thin">
        <color rgb="FF000000"/>
      </left>
      <right style="thin">
        <color rgb="FF000000"/>
      </right>
      <top style="medium">
        <color rgb="FF999999"/>
      </top>
      <bottom/>
      <diagonal/>
    </border>
    <border>
      <left style="thin">
        <color rgb="FF000000"/>
      </left>
      <right/>
      <top style="medium">
        <color rgb="FF999999"/>
      </top>
      <bottom/>
      <diagonal/>
    </border>
    <border>
      <left/>
      <right style="thin">
        <color rgb="FF000000"/>
      </right>
      <top style="medium">
        <color rgb="FF999999"/>
      </top>
      <bottom/>
      <diagonal/>
    </border>
  </borders>
  <cellStyleXfs count="1">
    <xf numFmtId="0" fontId="0" fillId="0" borderId="0"/>
  </cellStyleXfs>
  <cellXfs count="22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/>
    <xf numFmtId="0" fontId="3" fillId="3" borderId="3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4" fillId="0" borderId="0" xfId="0" applyFont="1" applyAlignment="1">
      <alignment horizontal="left" vertical="center" wrapText="1"/>
    </xf>
    <xf numFmtId="0" fontId="3" fillId="6" borderId="12" xfId="0" applyFont="1" applyFill="1" applyBorder="1" applyAlignment="1">
      <alignment horizontal="left" vertical="center" wrapText="1"/>
    </xf>
    <xf numFmtId="0" fontId="3" fillId="7" borderId="13" xfId="0" applyFont="1" applyFill="1" applyBorder="1" applyAlignment="1">
      <alignment horizontal="left" vertical="center" wrapText="1"/>
    </xf>
    <xf numFmtId="0" fontId="3" fillId="8" borderId="14" xfId="0" applyFont="1" applyFill="1" applyBorder="1" applyAlignment="1">
      <alignment horizontal="left" vertical="center" wrapText="1"/>
    </xf>
    <xf numFmtId="0" fontId="2" fillId="0" borderId="15" xfId="0" applyFont="1" applyBorder="1"/>
    <xf numFmtId="0" fontId="4" fillId="9" borderId="16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 wrapText="1"/>
    </xf>
    <xf numFmtId="0" fontId="3" fillId="8" borderId="15" xfId="0" applyFont="1" applyFill="1" applyBorder="1" applyAlignment="1">
      <alignment horizontal="left" vertical="center" wrapText="1"/>
    </xf>
    <xf numFmtId="0" fontId="4" fillId="10" borderId="16" xfId="0" applyFont="1" applyFill="1" applyBorder="1" applyAlignment="1">
      <alignment horizontal="center" vertical="center" wrapText="1"/>
    </xf>
    <xf numFmtId="3" fontId="4" fillId="10" borderId="16" xfId="0" applyNumberFormat="1" applyFont="1" applyFill="1" applyBorder="1" applyAlignment="1">
      <alignment horizontal="center" vertical="center" wrapText="1"/>
    </xf>
    <xf numFmtId="0" fontId="4" fillId="11" borderId="16" xfId="0" applyFont="1" applyFill="1" applyBorder="1" applyAlignment="1">
      <alignment horizontal="center" vertical="center" wrapText="1"/>
    </xf>
    <xf numFmtId="3" fontId="4" fillId="10" borderId="17" xfId="0" applyNumberFormat="1" applyFont="1" applyFill="1" applyBorder="1" applyAlignment="1">
      <alignment horizontal="center" vertical="center" wrapText="1"/>
    </xf>
    <xf numFmtId="0" fontId="2" fillId="0" borderId="18" xfId="0" applyFont="1" applyBorder="1"/>
    <xf numFmtId="3" fontId="4" fillId="10" borderId="13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6" borderId="19" xfId="0" applyFont="1" applyFill="1" applyBorder="1" applyAlignment="1">
      <alignment horizontal="left" vertical="center" wrapText="1"/>
    </xf>
    <xf numFmtId="0" fontId="3" fillId="10" borderId="20" xfId="0" applyFont="1" applyFill="1" applyBorder="1" applyAlignment="1">
      <alignment horizontal="left" vertical="center" wrapText="1"/>
    </xf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4" fillId="11" borderId="24" xfId="0" applyFont="1" applyFill="1" applyBorder="1" applyAlignment="1">
      <alignment horizontal="center" vertical="center" wrapText="1"/>
    </xf>
    <xf numFmtId="0" fontId="4" fillId="11" borderId="25" xfId="0" applyFont="1" applyFill="1" applyBorder="1" applyAlignment="1">
      <alignment horizontal="center" vertical="center" wrapText="1"/>
    </xf>
    <xf numFmtId="0" fontId="4" fillId="10" borderId="24" xfId="0" applyFont="1" applyFill="1" applyBorder="1" applyAlignment="1">
      <alignment horizontal="center" vertical="center" wrapText="1"/>
    </xf>
    <xf numFmtId="3" fontId="4" fillId="10" borderId="24" xfId="0" applyNumberFormat="1" applyFont="1" applyFill="1" applyBorder="1" applyAlignment="1">
      <alignment horizontal="center" vertical="center" wrapText="1"/>
    </xf>
    <xf numFmtId="3" fontId="4" fillId="10" borderId="26" xfId="0" applyNumberFormat="1" applyFont="1" applyFill="1" applyBorder="1" applyAlignment="1">
      <alignment horizontal="center" vertical="center" wrapText="1"/>
    </xf>
    <xf numFmtId="0" fontId="2" fillId="0" borderId="27" xfId="0" applyFont="1" applyBorder="1"/>
    <xf numFmtId="10" fontId="4" fillId="11" borderId="24" xfId="0" applyNumberFormat="1" applyFont="1" applyFill="1" applyBorder="1" applyAlignment="1">
      <alignment horizontal="center" vertical="center" wrapText="1"/>
    </xf>
    <xf numFmtId="3" fontId="4" fillId="10" borderId="25" xfId="0" applyNumberFormat="1" applyFont="1" applyFill="1" applyBorder="1" applyAlignment="1">
      <alignment horizontal="center" vertical="center" wrapText="1"/>
    </xf>
    <xf numFmtId="0" fontId="3" fillId="6" borderId="28" xfId="0" applyFont="1" applyFill="1" applyBorder="1" applyAlignment="1">
      <alignment horizontal="left" vertical="center" wrapText="1"/>
    </xf>
    <xf numFmtId="0" fontId="3" fillId="10" borderId="29" xfId="0" applyFont="1" applyFill="1" applyBorder="1" applyAlignment="1">
      <alignment horizontal="left" vertical="center" wrapText="1"/>
    </xf>
    <xf numFmtId="0" fontId="4" fillId="2" borderId="2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22" xfId="0" applyFont="1" applyFill="1" applyBorder="1" applyAlignment="1">
      <alignment horizontal="left" vertical="center" wrapText="1"/>
    </xf>
    <xf numFmtId="0" fontId="2" fillId="0" borderId="30" xfId="0" applyFont="1" applyBorder="1"/>
    <xf numFmtId="0" fontId="2" fillId="0" borderId="31" xfId="0" applyFont="1" applyBorder="1"/>
    <xf numFmtId="0" fontId="3" fillId="12" borderId="14" xfId="0" applyFont="1" applyFill="1" applyBorder="1" applyAlignment="1">
      <alignment horizontal="left" vertical="center" wrapText="1"/>
    </xf>
    <xf numFmtId="0" fontId="2" fillId="0" borderId="32" xfId="0" applyFont="1" applyBorder="1"/>
    <xf numFmtId="0" fontId="2" fillId="0" borderId="33" xfId="0" applyFont="1" applyBorder="1"/>
    <xf numFmtId="0" fontId="2" fillId="0" borderId="34" xfId="0" applyFont="1" applyBorder="1"/>
    <xf numFmtId="0" fontId="3" fillId="0" borderId="0" xfId="0" applyFont="1" applyAlignment="1">
      <alignment horizontal="left" vertical="center" wrapText="1"/>
    </xf>
    <xf numFmtId="0" fontId="3" fillId="12" borderId="15" xfId="0" applyFont="1" applyFill="1" applyBorder="1" applyAlignment="1">
      <alignment horizontal="left" vertical="center" wrapText="1"/>
    </xf>
    <xf numFmtId="0" fontId="3" fillId="6" borderId="35" xfId="0" applyFont="1" applyFill="1" applyBorder="1" applyAlignment="1">
      <alignment horizontal="left" vertical="center" wrapText="1"/>
    </xf>
    <xf numFmtId="0" fontId="2" fillId="0" borderId="36" xfId="0" applyFont="1" applyBorder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6" borderId="37" xfId="0" applyFont="1" applyFill="1" applyBorder="1" applyAlignment="1">
      <alignment horizontal="left" vertical="center" wrapText="1"/>
    </xf>
    <xf numFmtId="0" fontId="2" fillId="0" borderId="38" xfId="0" applyFont="1" applyBorder="1"/>
    <xf numFmtId="0" fontId="3" fillId="5" borderId="37" xfId="0" applyFont="1" applyFill="1" applyBorder="1" applyAlignment="1">
      <alignment horizontal="left" vertical="center" wrapText="1"/>
    </xf>
    <xf numFmtId="0" fontId="3" fillId="5" borderId="37" xfId="0" applyFont="1" applyFill="1" applyBorder="1" applyAlignment="1">
      <alignment horizontal="left" vertical="center" wrapText="1"/>
    </xf>
    <xf numFmtId="0" fontId="2" fillId="0" borderId="39" xfId="0" applyFont="1" applyBorder="1"/>
    <xf numFmtId="0" fontId="3" fillId="5" borderId="40" xfId="0" applyFont="1" applyFill="1" applyBorder="1" applyAlignment="1">
      <alignment horizontal="left" vertical="center" wrapText="1"/>
    </xf>
    <xf numFmtId="0" fontId="3" fillId="5" borderId="41" xfId="0" applyFont="1" applyFill="1" applyBorder="1" applyAlignment="1">
      <alignment vertical="center" wrapText="1"/>
    </xf>
    <xf numFmtId="0" fontId="3" fillId="5" borderId="40" xfId="0" applyFont="1" applyFill="1" applyBorder="1" applyAlignment="1">
      <alignment vertical="center" wrapText="1"/>
    </xf>
    <xf numFmtId="0" fontId="3" fillId="5" borderId="40" xfId="0" applyFont="1" applyFill="1" applyBorder="1" applyAlignment="1">
      <alignment horizontal="left" vertical="center" wrapText="1"/>
    </xf>
    <xf numFmtId="0" fontId="3" fillId="5" borderId="41" xfId="0" applyFont="1" applyFill="1" applyBorder="1" applyAlignment="1">
      <alignment horizontal="left" vertical="center" wrapText="1"/>
    </xf>
    <xf numFmtId="0" fontId="3" fillId="5" borderId="41" xfId="0" applyFont="1" applyFill="1" applyBorder="1" applyAlignment="1">
      <alignment vertical="center"/>
    </xf>
    <xf numFmtId="0" fontId="3" fillId="5" borderId="40" xfId="0" applyFont="1" applyFill="1" applyBorder="1" applyAlignment="1">
      <alignment vertical="center" wrapText="1"/>
    </xf>
    <xf numFmtId="0" fontId="3" fillId="5" borderId="39" xfId="0" applyFont="1" applyFill="1" applyBorder="1" applyAlignment="1">
      <alignment vertical="center" wrapText="1"/>
    </xf>
    <xf numFmtId="0" fontId="3" fillId="5" borderId="42" xfId="0" applyFont="1" applyFill="1" applyBorder="1" applyAlignment="1">
      <alignment horizontal="left" vertical="center" wrapText="1"/>
    </xf>
    <xf numFmtId="0" fontId="5" fillId="0" borderId="0" xfId="0" applyFont="1"/>
    <xf numFmtId="0" fontId="3" fillId="13" borderId="32" xfId="0" applyFont="1" applyFill="1" applyBorder="1" applyAlignment="1">
      <alignment vertical="center"/>
    </xf>
    <xf numFmtId="0" fontId="3" fillId="13" borderId="9" xfId="0" applyFont="1" applyFill="1" applyBorder="1" applyAlignment="1">
      <alignment vertical="center"/>
    </xf>
    <xf numFmtId="0" fontId="4" fillId="9" borderId="43" xfId="0" applyFont="1" applyFill="1" applyBorder="1" applyAlignment="1">
      <alignment horizontal="left" vertical="center" wrapText="1"/>
    </xf>
    <xf numFmtId="0" fontId="2" fillId="0" borderId="44" xfId="0" applyFont="1" applyBorder="1"/>
    <xf numFmtId="0" fontId="3" fillId="8" borderId="16" xfId="0" applyFont="1" applyFill="1" applyBorder="1" applyAlignment="1">
      <alignment vertical="center" wrapText="1"/>
    </xf>
    <xf numFmtId="0" fontId="4" fillId="9" borderId="16" xfId="0" applyFont="1" applyFill="1" applyBorder="1" applyAlignment="1">
      <alignment vertical="center" wrapText="1"/>
    </xf>
    <xf numFmtId="0" fontId="4" fillId="9" borderId="17" xfId="0" applyFont="1" applyFill="1" applyBorder="1" applyAlignment="1">
      <alignment vertical="center" wrapText="1"/>
    </xf>
    <xf numFmtId="0" fontId="4" fillId="9" borderId="17" xfId="0" applyFont="1" applyFill="1" applyBorder="1" applyAlignment="1">
      <alignment vertical="center" wrapText="1"/>
    </xf>
    <xf numFmtId="164" fontId="4" fillId="9" borderId="16" xfId="0" applyNumberFormat="1" applyFont="1" applyFill="1" applyBorder="1" applyAlignment="1">
      <alignment vertical="center" wrapText="1"/>
    </xf>
    <xf numFmtId="0" fontId="6" fillId="9" borderId="16" xfId="0" applyFont="1" applyFill="1" applyBorder="1"/>
    <xf numFmtId="10" fontId="4" fillId="9" borderId="16" xfId="0" applyNumberFormat="1" applyFont="1" applyFill="1" applyBorder="1" applyAlignment="1">
      <alignment horizontal="left" vertical="center" wrapText="1"/>
    </xf>
    <xf numFmtId="10" fontId="4" fillId="9" borderId="17" xfId="0" applyNumberFormat="1" applyFont="1" applyFill="1" applyBorder="1" applyAlignment="1">
      <alignment horizontal="left" vertical="center" wrapText="1"/>
    </xf>
    <xf numFmtId="0" fontId="2" fillId="0" borderId="45" xfId="0" applyFont="1" applyBorder="1"/>
    <xf numFmtId="0" fontId="4" fillId="9" borderId="16" xfId="0" applyFont="1" applyFill="1" applyBorder="1" applyAlignment="1">
      <alignment vertical="center"/>
    </xf>
    <xf numFmtId="10" fontId="6" fillId="9" borderId="17" xfId="0" applyNumberFormat="1" applyFont="1" applyFill="1" applyBorder="1"/>
    <xf numFmtId="10" fontId="6" fillId="9" borderId="16" xfId="0" applyNumberFormat="1" applyFont="1" applyFill="1" applyBorder="1"/>
    <xf numFmtId="10" fontId="4" fillId="9" borderId="13" xfId="0" applyNumberFormat="1" applyFont="1" applyFill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164" fontId="4" fillId="0" borderId="28" xfId="0" applyNumberFormat="1" applyFont="1" applyBorder="1" applyAlignment="1">
      <alignment vertical="center"/>
    </xf>
    <xf numFmtId="164" fontId="4" fillId="0" borderId="3" xfId="0" applyNumberFormat="1" applyFont="1" applyBorder="1" applyAlignment="1">
      <alignment vertical="center"/>
    </xf>
    <xf numFmtId="0" fontId="2" fillId="0" borderId="46" xfId="0" applyFont="1" applyBorder="1"/>
    <xf numFmtId="0" fontId="2" fillId="0" borderId="47" xfId="0" applyFont="1" applyBorder="1"/>
    <xf numFmtId="0" fontId="3" fillId="8" borderId="5" xfId="0" applyFont="1" applyFill="1" applyBorder="1" applyAlignment="1">
      <alignment vertical="center" wrapText="1"/>
    </xf>
    <xf numFmtId="0" fontId="4" fillId="9" borderId="5" xfId="0" applyFont="1" applyFill="1" applyBorder="1" applyAlignment="1">
      <alignment vertical="center" wrapText="1"/>
    </xf>
    <xf numFmtId="0" fontId="4" fillId="9" borderId="48" xfId="0" applyFont="1" applyFill="1" applyBorder="1" applyAlignment="1">
      <alignment vertical="center" wrapText="1"/>
    </xf>
    <xf numFmtId="0" fontId="4" fillId="9" borderId="48" xfId="0" applyFont="1" applyFill="1" applyBorder="1" applyAlignment="1">
      <alignment vertical="center" wrapText="1"/>
    </xf>
    <xf numFmtId="0" fontId="2" fillId="0" borderId="49" xfId="0" applyFont="1" applyBorder="1"/>
    <xf numFmtId="164" fontId="4" fillId="9" borderId="6" xfId="0" applyNumberFormat="1" applyFont="1" applyFill="1" applyBorder="1" applyAlignment="1">
      <alignment vertical="center" wrapText="1"/>
    </xf>
    <xf numFmtId="0" fontId="4" fillId="9" borderId="6" xfId="0" applyFont="1" applyFill="1" applyBorder="1" applyAlignment="1">
      <alignment vertical="center" wrapText="1"/>
    </xf>
    <xf numFmtId="0" fontId="4" fillId="9" borderId="6" xfId="0" applyFont="1" applyFill="1" applyBorder="1" applyAlignment="1">
      <alignment horizontal="left" vertical="center" wrapText="1"/>
    </xf>
    <xf numFmtId="0" fontId="4" fillId="9" borderId="48" xfId="0" applyFont="1" applyFill="1" applyBorder="1" applyAlignment="1">
      <alignment horizontal="left" vertical="center" wrapText="1"/>
    </xf>
    <xf numFmtId="0" fontId="2" fillId="0" borderId="50" xfId="0" applyFont="1" applyBorder="1"/>
    <xf numFmtId="0" fontId="4" fillId="9" borderId="6" xfId="0" applyFont="1" applyFill="1" applyBorder="1" applyAlignment="1">
      <alignment horizontal="left" vertical="center"/>
    </xf>
    <xf numFmtId="0" fontId="4" fillId="9" borderId="20" xfId="0" applyFont="1" applyFill="1" applyBorder="1" applyAlignment="1">
      <alignment horizontal="left" vertical="center"/>
    </xf>
    <xf numFmtId="0" fontId="2" fillId="0" borderId="51" xfId="0" applyFont="1" applyBorder="1"/>
    <xf numFmtId="0" fontId="2" fillId="0" borderId="52" xfId="0" applyFont="1" applyBorder="1"/>
    <xf numFmtId="0" fontId="2" fillId="0" borderId="53" xfId="0" applyFont="1" applyBorder="1"/>
    <xf numFmtId="0" fontId="3" fillId="6" borderId="54" xfId="0" applyFont="1" applyFill="1" applyBorder="1" applyAlignment="1">
      <alignment horizontal="left" vertical="center" wrapText="1"/>
    </xf>
    <xf numFmtId="0" fontId="2" fillId="0" borderId="55" xfId="0" applyFont="1" applyBorder="1"/>
    <xf numFmtId="0" fontId="3" fillId="12" borderId="35" xfId="0" applyFont="1" applyFill="1" applyBorder="1" applyAlignment="1">
      <alignment horizontal="left" vertical="center" wrapText="1"/>
    </xf>
    <xf numFmtId="0" fontId="4" fillId="9" borderId="3" xfId="0" applyFont="1" applyFill="1" applyBorder="1" applyAlignment="1">
      <alignment horizontal="left" vertical="center" wrapText="1"/>
    </xf>
    <xf numFmtId="0" fontId="3" fillId="12" borderId="6" xfId="0" applyFont="1" applyFill="1" applyBorder="1" applyAlignment="1">
      <alignment vertical="center" wrapText="1"/>
    </xf>
    <xf numFmtId="0" fontId="4" fillId="11" borderId="6" xfId="0" applyFont="1" applyFill="1" applyBorder="1" applyAlignment="1">
      <alignment vertical="center" wrapText="1"/>
    </xf>
    <xf numFmtId="0" fontId="4" fillId="11" borderId="48" xfId="0" applyFont="1" applyFill="1" applyBorder="1" applyAlignment="1">
      <alignment vertical="center" wrapText="1"/>
    </xf>
    <xf numFmtId="0" fontId="4" fillId="11" borderId="48" xfId="0" applyFont="1" applyFill="1" applyBorder="1" applyAlignment="1">
      <alignment vertical="center" wrapText="1"/>
    </xf>
    <xf numFmtId="164" fontId="4" fillId="11" borderId="6" xfId="0" applyNumberFormat="1" applyFont="1" applyFill="1" applyBorder="1" applyAlignment="1">
      <alignment vertical="center" wrapText="1"/>
    </xf>
    <xf numFmtId="10" fontId="4" fillId="11" borderId="6" xfId="0" applyNumberFormat="1" applyFont="1" applyFill="1" applyBorder="1" applyAlignment="1">
      <alignment horizontal="left" vertical="center" wrapText="1"/>
    </xf>
    <xf numFmtId="10" fontId="4" fillId="11" borderId="48" xfId="0" applyNumberFormat="1" applyFont="1" applyFill="1" applyBorder="1" applyAlignment="1">
      <alignment horizontal="left" vertical="center" wrapText="1"/>
    </xf>
    <xf numFmtId="10" fontId="4" fillId="11" borderId="48" xfId="0" applyNumberFormat="1" applyFont="1" applyFill="1" applyBorder="1" applyAlignment="1">
      <alignment vertical="center" wrapText="1"/>
    </xf>
    <xf numFmtId="10" fontId="4" fillId="11" borderId="6" xfId="0" applyNumberFormat="1" applyFont="1" applyFill="1" applyBorder="1" applyAlignment="1">
      <alignment vertical="center" wrapText="1"/>
    </xf>
    <xf numFmtId="0" fontId="4" fillId="11" borderId="6" xfId="0" applyFont="1" applyFill="1" applyBorder="1" applyAlignment="1">
      <alignment vertical="center"/>
    </xf>
    <xf numFmtId="10" fontId="4" fillId="11" borderId="20" xfId="0" applyNumberFormat="1" applyFont="1" applyFill="1" applyBorder="1" applyAlignment="1">
      <alignment vertical="center"/>
    </xf>
    <xf numFmtId="0" fontId="3" fillId="13" borderId="19" xfId="0" applyFont="1" applyFill="1" applyBorder="1" applyAlignment="1">
      <alignment vertical="center"/>
    </xf>
    <xf numFmtId="0" fontId="3" fillId="13" borderId="48" xfId="0" applyFont="1" applyFill="1" applyBorder="1" applyAlignment="1">
      <alignment vertical="center"/>
    </xf>
    <xf numFmtId="0" fontId="3" fillId="12" borderId="5" xfId="0" applyFont="1" applyFill="1" applyBorder="1" applyAlignment="1">
      <alignment vertical="center" wrapText="1"/>
    </xf>
    <xf numFmtId="0" fontId="4" fillId="11" borderId="5" xfId="0" applyFont="1" applyFill="1" applyBorder="1" applyAlignment="1">
      <alignment vertical="center" wrapText="1"/>
    </xf>
    <xf numFmtId="0" fontId="4" fillId="11" borderId="6" xfId="0" applyFont="1" applyFill="1" applyBorder="1" applyAlignment="1">
      <alignment horizontal="left" vertical="center" wrapText="1"/>
    </xf>
    <xf numFmtId="0" fontId="4" fillId="11" borderId="6" xfId="0" applyFont="1" applyFill="1" applyBorder="1" applyAlignment="1">
      <alignment horizontal="left" vertical="center"/>
    </xf>
    <xf numFmtId="0" fontId="4" fillId="11" borderId="20" xfId="0" applyFont="1" applyFill="1" applyBorder="1" applyAlignment="1">
      <alignment horizontal="left" vertical="center"/>
    </xf>
    <xf numFmtId="164" fontId="4" fillId="0" borderId="56" xfId="0" applyNumberFormat="1" applyFont="1" applyBorder="1" applyAlignment="1">
      <alignment vertical="center"/>
    </xf>
    <xf numFmtId="164" fontId="4" fillId="0" borderId="26" xfId="0" applyNumberFormat="1" applyFont="1" applyBorder="1" applyAlignment="1">
      <alignment vertical="center"/>
    </xf>
    <xf numFmtId="0" fontId="2" fillId="0" borderId="57" xfId="0" applyFont="1" applyBorder="1"/>
    <xf numFmtId="0" fontId="2" fillId="0" borderId="58" xfId="0" applyFont="1" applyBorder="1"/>
    <xf numFmtId="0" fontId="4" fillId="11" borderId="26" xfId="0" applyFont="1" applyFill="1" applyBorder="1" applyAlignment="1">
      <alignment vertical="center" wrapText="1"/>
    </xf>
    <xf numFmtId="0" fontId="4" fillId="11" borderId="26" xfId="0" applyFont="1" applyFill="1" applyBorder="1" applyAlignment="1">
      <alignment vertical="center" wrapText="1"/>
    </xf>
    <xf numFmtId="164" fontId="4" fillId="11" borderId="24" xfId="0" applyNumberFormat="1" applyFont="1" applyFill="1" applyBorder="1" applyAlignment="1">
      <alignment vertical="center" wrapText="1"/>
    </xf>
    <xf numFmtId="0" fontId="4" fillId="11" borderId="24" xfId="0" applyFont="1" applyFill="1" applyBorder="1" applyAlignment="1">
      <alignment vertical="center" wrapText="1"/>
    </xf>
    <xf numFmtId="10" fontId="4" fillId="11" borderId="24" xfId="0" applyNumberFormat="1" applyFont="1" applyFill="1" applyBorder="1" applyAlignment="1">
      <alignment horizontal="left" vertical="center" wrapText="1"/>
    </xf>
    <xf numFmtId="10" fontId="4" fillId="11" borderId="26" xfId="0" applyNumberFormat="1" applyFont="1" applyFill="1" applyBorder="1" applyAlignment="1">
      <alignment horizontal="left" vertical="center" wrapText="1"/>
    </xf>
    <xf numFmtId="0" fontId="2" fillId="0" borderId="59" xfId="0" applyFont="1" applyBorder="1"/>
    <xf numFmtId="0" fontId="4" fillId="11" borderId="24" xfId="0" applyFont="1" applyFill="1" applyBorder="1" applyAlignment="1">
      <alignment horizontal="left" vertical="center" wrapText="1"/>
    </xf>
    <xf numFmtId="0" fontId="4" fillId="11" borderId="24" xfId="0" applyFont="1" applyFill="1" applyBorder="1" applyAlignment="1">
      <alignment horizontal="left" vertical="center"/>
    </xf>
    <xf numFmtId="0" fontId="4" fillId="11" borderId="25" xfId="0" applyFont="1" applyFill="1" applyBorder="1" applyAlignment="1">
      <alignment horizontal="left" vertical="center"/>
    </xf>
    <xf numFmtId="0" fontId="5" fillId="0" borderId="0" xfId="0" applyFont="1" applyAlignment="1">
      <alignment wrapText="1"/>
    </xf>
    <xf numFmtId="0" fontId="3" fillId="5" borderId="41" xfId="0" applyFont="1" applyFill="1" applyBorder="1" applyAlignment="1">
      <alignment horizontal="center" vertical="center" wrapText="1"/>
    </xf>
    <xf numFmtId="0" fontId="3" fillId="5" borderId="40" xfId="0" applyFont="1" applyFill="1" applyBorder="1" applyAlignment="1">
      <alignment horizontal="center" vertical="center" wrapText="1"/>
    </xf>
    <xf numFmtId="0" fontId="2" fillId="0" borderId="60" xfId="0" applyFont="1" applyBorder="1"/>
    <xf numFmtId="0" fontId="8" fillId="0" borderId="0" xfId="0" applyFont="1" applyAlignment="1">
      <alignment wrapText="1"/>
    </xf>
    <xf numFmtId="0" fontId="3" fillId="12" borderId="21" xfId="0" applyFont="1" applyFill="1" applyBorder="1" applyAlignment="1">
      <alignment horizontal="left" vertical="center" wrapText="1"/>
    </xf>
    <xf numFmtId="0" fontId="4" fillId="11" borderId="21" xfId="0" applyFont="1" applyFill="1" applyBorder="1" applyAlignment="1">
      <alignment horizontal="left" vertical="center" wrapText="1"/>
    </xf>
    <xf numFmtId="0" fontId="0" fillId="0" borderId="0" xfId="0"/>
    <xf numFmtId="0" fontId="3" fillId="12" borderId="9" xfId="0" applyFont="1" applyFill="1" applyBorder="1" applyAlignment="1">
      <alignment vertical="center"/>
    </xf>
    <xf numFmtId="0" fontId="4" fillId="11" borderId="11" xfId="0" applyFont="1" applyFill="1" applyBorder="1" applyAlignment="1">
      <alignment vertical="center" wrapText="1"/>
    </xf>
    <xf numFmtId="0" fontId="4" fillId="11" borderId="9" xfId="0" applyFont="1" applyFill="1" applyBorder="1" applyAlignment="1">
      <alignment vertical="center" wrapText="1"/>
    </xf>
    <xf numFmtId="0" fontId="4" fillId="11" borderId="9" xfId="0" applyFont="1" applyFill="1" applyBorder="1" applyAlignment="1">
      <alignment vertical="center" wrapText="1"/>
    </xf>
    <xf numFmtId="0" fontId="2" fillId="0" borderId="61" xfId="0" applyFont="1" applyBorder="1"/>
    <xf numFmtId="164" fontId="4" fillId="11" borderId="11" xfId="0" applyNumberFormat="1" applyFont="1" applyFill="1" applyBorder="1" applyAlignment="1">
      <alignment vertical="center" wrapText="1"/>
    </xf>
    <xf numFmtId="0" fontId="4" fillId="11" borderId="61" xfId="0" applyFont="1" applyFill="1" applyBorder="1" applyAlignment="1">
      <alignment vertical="center" wrapText="1"/>
    </xf>
    <xf numFmtId="10" fontId="4" fillId="11" borderId="9" xfId="0" applyNumberFormat="1" applyFont="1" applyFill="1" applyBorder="1" applyAlignment="1">
      <alignment horizontal="left" vertical="center" wrapText="1"/>
    </xf>
    <xf numFmtId="0" fontId="3" fillId="8" borderId="62" xfId="0" applyFont="1" applyFill="1" applyBorder="1" applyAlignment="1">
      <alignment horizontal="left" vertical="center" wrapText="1"/>
    </xf>
    <xf numFmtId="0" fontId="3" fillId="8" borderId="16" xfId="0" applyFont="1" applyFill="1" applyBorder="1" applyAlignment="1">
      <alignment horizontal="left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3" fillId="12" borderId="3" xfId="0" applyFont="1" applyFill="1" applyBorder="1" applyAlignment="1">
      <alignment vertical="center"/>
    </xf>
    <xf numFmtId="0" fontId="4" fillId="11" borderId="50" xfId="0" applyFont="1" applyFill="1" applyBorder="1" applyAlignment="1">
      <alignment vertical="center" wrapText="1"/>
    </xf>
    <xf numFmtId="10" fontId="4" fillId="11" borderId="48" xfId="0" applyNumberFormat="1" applyFont="1" applyFill="1" applyBorder="1" applyAlignment="1">
      <alignment horizontal="left" vertical="center" wrapText="1"/>
    </xf>
    <xf numFmtId="0" fontId="3" fillId="12" borderId="24" xfId="0" applyFont="1" applyFill="1" applyBorder="1" applyAlignment="1">
      <alignment horizontal="left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0" fontId="2" fillId="0" borderId="63" xfId="0" applyFont="1" applyBorder="1"/>
    <xf numFmtId="0" fontId="3" fillId="12" borderId="62" xfId="0" applyFont="1" applyFill="1" applyBorder="1" applyAlignment="1">
      <alignment horizontal="left" vertical="center" wrapText="1"/>
    </xf>
    <xf numFmtId="0" fontId="3" fillId="5" borderId="14" xfId="0" applyFont="1" applyFill="1" applyBorder="1" applyAlignment="1">
      <alignment horizontal="left" vertical="center" wrapText="1"/>
    </xf>
    <xf numFmtId="0" fontId="3" fillId="8" borderId="35" xfId="0" applyFont="1" applyFill="1" applyBorder="1" applyAlignment="1">
      <alignment horizontal="left" vertical="center" wrapText="1"/>
    </xf>
    <xf numFmtId="0" fontId="4" fillId="11" borderId="35" xfId="0" applyFont="1" applyFill="1" applyBorder="1" applyAlignment="1">
      <alignment horizontal="left" vertical="center" wrapText="1"/>
    </xf>
    <xf numFmtId="0" fontId="2" fillId="0" borderId="64" xfId="0" applyFont="1" applyBorder="1"/>
    <xf numFmtId="0" fontId="3" fillId="8" borderId="48" xfId="0" applyFont="1" applyFill="1" applyBorder="1" applyAlignment="1">
      <alignment vertical="center"/>
    </xf>
    <xf numFmtId="0" fontId="4" fillId="9" borderId="50" xfId="0" applyFont="1" applyFill="1" applyBorder="1" applyAlignment="1">
      <alignment vertical="center" wrapText="1"/>
    </xf>
    <xf numFmtId="10" fontId="4" fillId="9" borderId="48" xfId="0" applyNumberFormat="1" applyFont="1" applyFill="1" applyBorder="1" applyAlignment="1">
      <alignment horizontal="left" vertical="center" wrapText="1"/>
    </xf>
    <xf numFmtId="0" fontId="3" fillId="8" borderId="3" xfId="0" applyFont="1" applyFill="1" applyBorder="1" applyAlignment="1">
      <alignment vertical="center"/>
    </xf>
    <xf numFmtId="10" fontId="4" fillId="9" borderId="20" xfId="0" applyNumberFormat="1" applyFont="1" applyFill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2" fillId="0" borderId="0" xfId="0" applyFont="1"/>
    <xf numFmtId="0" fontId="2" fillId="0" borderId="65" xfId="0" applyFont="1" applyBorder="1"/>
    <xf numFmtId="0" fontId="4" fillId="9" borderId="26" xfId="0" applyFont="1" applyFill="1" applyBorder="1" applyAlignment="1">
      <alignment vertical="center" wrapText="1"/>
    </xf>
    <xf numFmtId="0" fontId="4" fillId="9" borderId="26" xfId="0" applyFont="1" applyFill="1" applyBorder="1" applyAlignment="1">
      <alignment vertical="center" wrapText="1"/>
    </xf>
    <xf numFmtId="164" fontId="4" fillId="9" borderId="24" xfId="0" applyNumberFormat="1" applyFont="1" applyFill="1" applyBorder="1" applyAlignment="1">
      <alignment vertical="center" wrapText="1"/>
    </xf>
    <xf numFmtId="0" fontId="4" fillId="9" borderId="59" xfId="0" applyFont="1" applyFill="1" applyBorder="1" applyAlignment="1">
      <alignment vertical="center" wrapText="1"/>
    </xf>
    <xf numFmtId="0" fontId="4" fillId="9" borderId="24" xfId="0" applyFont="1" applyFill="1" applyBorder="1" applyAlignment="1">
      <alignment horizontal="left" vertical="center" wrapText="1"/>
    </xf>
    <xf numFmtId="10" fontId="4" fillId="9" borderId="25" xfId="0" applyNumberFormat="1" applyFont="1" applyFill="1" applyBorder="1" applyAlignment="1">
      <alignment horizontal="left" vertical="center" wrapText="1"/>
    </xf>
    <xf numFmtId="0" fontId="9" fillId="6" borderId="65" xfId="0" applyFont="1" applyFill="1" applyBorder="1" applyAlignment="1">
      <alignment horizontal="left" vertical="center" wrapText="1"/>
    </xf>
    <xf numFmtId="0" fontId="10" fillId="2" borderId="0" xfId="0" applyFont="1" applyFill="1"/>
    <xf numFmtId="0" fontId="9" fillId="6" borderId="54" xfId="0" applyFont="1" applyFill="1" applyBorder="1" applyAlignment="1">
      <alignment horizontal="left" vertical="center" wrapText="1"/>
    </xf>
    <xf numFmtId="0" fontId="9" fillId="5" borderId="14" xfId="0" applyFont="1" applyFill="1" applyBorder="1" applyAlignment="1">
      <alignment horizontal="left" vertical="center" wrapText="1"/>
    </xf>
    <xf numFmtId="0" fontId="9" fillId="6" borderId="37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9" fillId="13" borderId="66" xfId="0" applyFont="1" applyFill="1" applyBorder="1" applyAlignment="1">
      <alignment horizontal="left" vertical="center"/>
    </xf>
    <xf numFmtId="0" fontId="2" fillId="0" borderId="67" xfId="0" applyFont="1" applyBorder="1"/>
    <xf numFmtId="0" fontId="7" fillId="11" borderId="66" xfId="0" applyFont="1" applyFill="1" applyBorder="1" applyAlignment="1">
      <alignment horizontal="left" vertical="center" wrapText="1"/>
    </xf>
    <xf numFmtId="0" fontId="9" fillId="8" borderId="9" xfId="0" applyFont="1" applyFill="1" applyBorder="1" applyAlignment="1">
      <alignment horizontal="left" vertical="center"/>
    </xf>
    <xf numFmtId="0" fontId="7" fillId="9" borderId="9" xfId="0" applyFont="1" applyFill="1" applyBorder="1" applyAlignment="1">
      <alignment horizontal="left" vertical="center"/>
    </xf>
    <xf numFmtId="0" fontId="2" fillId="0" borderId="68" xfId="0" applyFont="1" applyBorder="1"/>
    <xf numFmtId="0" fontId="7" fillId="11" borderId="53" xfId="0" applyFont="1" applyFill="1" applyBorder="1" applyAlignment="1">
      <alignment horizontal="left" vertical="center" wrapText="1"/>
    </xf>
    <xf numFmtId="0" fontId="9" fillId="8" borderId="11" xfId="0" applyFont="1" applyFill="1" applyBorder="1" applyAlignment="1">
      <alignment horizontal="left" vertical="center"/>
    </xf>
    <xf numFmtId="0" fontId="7" fillId="9" borderId="9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164" fontId="7" fillId="0" borderId="69" xfId="0" applyNumberFormat="1" applyFont="1" applyBorder="1" applyAlignment="1">
      <alignment horizontal="left" vertical="center"/>
    </xf>
    <xf numFmtId="0" fontId="7" fillId="11" borderId="69" xfId="0" applyFont="1" applyFill="1" applyBorder="1" applyAlignment="1">
      <alignment horizontal="left" vertical="center" wrapText="1"/>
    </xf>
    <xf numFmtId="0" fontId="9" fillId="8" borderId="26" xfId="0" applyFont="1" applyFill="1" applyBorder="1" applyAlignment="1">
      <alignment horizontal="left" vertical="center"/>
    </xf>
    <xf numFmtId="0" fontId="7" fillId="9" borderId="26" xfId="0" applyFont="1" applyFill="1" applyBorder="1" applyAlignment="1">
      <alignment horizontal="left" vertical="center" wrapText="1"/>
    </xf>
    <xf numFmtId="0" fontId="9" fillId="8" borderId="24" xfId="0" applyFont="1" applyFill="1" applyBorder="1" applyAlignment="1">
      <alignment horizontal="left" vertical="center"/>
    </xf>
    <xf numFmtId="0" fontId="5" fillId="2" borderId="0" xfId="0" applyFont="1" applyFill="1"/>
    <xf numFmtId="0" fontId="3" fillId="6" borderId="70" xfId="0" applyFont="1" applyFill="1" applyBorder="1" applyAlignment="1">
      <alignment horizontal="center" vertical="center" wrapText="1"/>
    </xf>
    <xf numFmtId="0" fontId="3" fillId="6" borderId="71" xfId="0" applyFont="1" applyFill="1" applyBorder="1" applyAlignment="1">
      <alignment horizontal="center" vertical="center" wrapText="1"/>
    </xf>
    <xf numFmtId="0" fontId="3" fillId="6" borderId="72" xfId="0" applyFont="1" applyFill="1" applyBorder="1" applyAlignment="1">
      <alignment horizontal="center" vertical="center" wrapText="1"/>
    </xf>
    <xf numFmtId="0" fontId="2" fillId="0" borderId="73" xfId="0" applyFont="1" applyBorder="1"/>
    <xf numFmtId="0" fontId="3" fillId="6" borderId="7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FIS\Selected\All_in_One_TFIS_26-12-2023_Unprotected_Copy.xlsx" TargetMode="External"/><Relationship Id="rId1" Type="http://schemas.openxmlformats.org/officeDocument/2006/relationships/externalLinkPath" Target="/TFIS/Selected/All_in_One_TFIS_26-12-2023_Unprotected_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eps"/>
      <sheetName val="Index"/>
      <sheetName val="AB1"/>
      <sheetName val="AB2"/>
      <sheetName val="AB3"/>
      <sheetName val="AB4"/>
      <sheetName val="AB5"/>
      <sheetName val="AB6 FUT"/>
      <sheetName val="AB6 OS"/>
      <sheetName val="AB6 OB"/>
      <sheetName val="AB6 EQ"/>
      <sheetName val="AB8"/>
      <sheetName val="AB9"/>
      <sheetName val="AB10"/>
      <sheetName val="AB11"/>
      <sheetName val="AB12"/>
      <sheetName val="AB13"/>
      <sheetName val="AB14"/>
      <sheetName val="AB15"/>
      <sheetName val="AB16"/>
      <sheetName val="AB17"/>
      <sheetName val="AB18"/>
      <sheetName val="AB19 PA"/>
      <sheetName val="1. 0900 TGT"/>
      <sheetName val="2. 0905 E &amp; SL"/>
      <sheetName val="3. 0910 E &amp; SL"/>
      <sheetName val="4. 0915 E &amp; SL 4"/>
      <sheetName val="5. 0915 TGT"/>
      <sheetName val="6. 0920 E &amp; SL 2"/>
      <sheetName val="7. 0925 E &amp; SL 1"/>
      <sheetName val="8. 0930 E &amp; SL"/>
    </sheetNames>
    <sheetDataSet>
      <sheetData sheetId="0"/>
      <sheetData sheetId="1"/>
      <sheetData sheetId="2"/>
      <sheetData sheetId="3">
        <row r="1">
          <cell r="A1" t="str">
            <v>SR. NO.</v>
          </cell>
          <cell r="B1" t="str">
            <v>STRATEGY CODE</v>
          </cell>
          <cell r="C1" t="str">
            <v>SEGMENT</v>
          </cell>
          <cell r="E1" t="str">
            <v>SYMBOL</v>
          </cell>
          <cell r="K1" t="str">
            <v>No. of Targets</v>
          </cell>
          <cell r="N1" t="str">
            <v>Unique Code</v>
          </cell>
        </row>
        <row r="6">
          <cell r="A6">
            <v>1</v>
          </cell>
          <cell r="B6" t="str">
            <v>S1</v>
          </cell>
          <cell r="C6" t="str">
            <v>FUTURES</v>
          </cell>
          <cell r="E6" t="str">
            <v>USDINR</v>
          </cell>
          <cell r="K6" t="str">
            <v>4 &amp; APS</v>
          </cell>
          <cell r="N6" t="str">
            <v>USDINR_FUT_MT_SAME_2D_2D</v>
          </cell>
        </row>
        <row r="7">
          <cell r="A7">
            <v>2</v>
          </cell>
          <cell r="B7" t="str">
            <v>S2</v>
          </cell>
          <cell r="C7" t="str">
            <v>FUTURES</v>
          </cell>
          <cell r="E7" t="str">
            <v>USDINR</v>
          </cell>
          <cell r="K7" t="str">
            <v>4 &amp; APS</v>
          </cell>
          <cell r="N7" t="str">
            <v>USDINR_FUT_MT_DIFF_2D_4D</v>
          </cell>
        </row>
        <row r="8">
          <cell r="A8">
            <v>3</v>
          </cell>
          <cell r="B8" t="str">
            <v>S3</v>
          </cell>
          <cell r="C8" t="str">
            <v>FUTURES</v>
          </cell>
          <cell r="E8" t="str">
            <v>BANKNIFTY</v>
          </cell>
          <cell r="K8" t="str">
            <v>4 &amp; APS</v>
          </cell>
          <cell r="N8" t="str">
            <v>BANKNIFTY_FUT_MT_DIFF_1D_2D</v>
          </cell>
        </row>
        <row r="9">
          <cell r="A9">
            <v>4</v>
          </cell>
          <cell r="B9" t="str">
            <v>S4</v>
          </cell>
          <cell r="C9" t="str">
            <v>FUTURES</v>
          </cell>
          <cell r="E9" t="str">
            <v>BANKNIFTY</v>
          </cell>
          <cell r="K9" t="str">
            <v>4 &amp; APS</v>
          </cell>
          <cell r="N9" t="str">
            <v>BANKNIFTY_FUT_MT_SAME_2D_2D</v>
          </cell>
        </row>
        <row r="10">
          <cell r="A10">
            <v>5</v>
          </cell>
          <cell r="B10" t="str">
            <v>S5</v>
          </cell>
          <cell r="C10" t="str">
            <v>FUTURES</v>
          </cell>
          <cell r="E10" t="str">
            <v>STOCKS</v>
          </cell>
          <cell r="K10" t="str">
            <v>4 &amp; APS</v>
          </cell>
          <cell r="N10" t="str">
            <v>STOCKS_FUT_MT_DIFF_2D_3D</v>
          </cell>
        </row>
        <row r="11">
          <cell r="A11">
            <v>6</v>
          </cell>
          <cell r="B11" t="str">
            <v>S6</v>
          </cell>
          <cell r="C11" t="str">
            <v>FUTURES</v>
          </cell>
          <cell r="E11" t="str">
            <v>STOCKS</v>
          </cell>
          <cell r="K11" t="str">
            <v>4 &amp; APS</v>
          </cell>
          <cell r="N11" t="str">
            <v>STOCKS_FUT_MT_SAME_3D_3D</v>
          </cell>
        </row>
        <row r="12">
          <cell r="A12">
            <v>7</v>
          </cell>
          <cell r="B12" t="str">
            <v>S7</v>
          </cell>
          <cell r="C12" t="str">
            <v>FUTURES</v>
          </cell>
          <cell r="E12" t="str">
            <v>STOCKS</v>
          </cell>
          <cell r="K12" t="str">
            <v>4 &amp; APS</v>
          </cell>
          <cell r="N12" t="str">
            <v>STOCKS_FUT_MT_DIFF_2D_PW&amp;CW</v>
          </cell>
        </row>
        <row r="13">
          <cell r="A13">
            <v>8</v>
          </cell>
          <cell r="B13" t="str">
            <v>S8</v>
          </cell>
          <cell r="C13" t="str">
            <v>FUTURES</v>
          </cell>
          <cell r="E13" t="str">
            <v>NIFTY</v>
          </cell>
          <cell r="K13" t="str">
            <v>4 &amp; APS</v>
          </cell>
          <cell r="N13" t="str">
            <v>NIFTY_FUT_MT_DIFF_1D_2D</v>
          </cell>
        </row>
        <row r="14">
          <cell r="A14">
            <v>9</v>
          </cell>
          <cell r="B14" t="str">
            <v>S9</v>
          </cell>
          <cell r="C14" t="str">
            <v>FUTURES</v>
          </cell>
          <cell r="E14" t="str">
            <v>NIFTY</v>
          </cell>
          <cell r="K14" t="str">
            <v>4 &amp; APS</v>
          </cell>
          <cell r="N14" t="str">
            <v>NIFTY_FUT_MT_SAME_2D_2D</v>
          </cell>
        </row>
        <row r="15">
          <cell r="A15">
            <v>10</v>
          </cell>
          <cell r="B15" t="str">
            <v>S10</v>
          </cell>
          <cell r="C15" t="str">
            <v>FUTURES</v>
          </cell>
          <cell r="E15" t="str">
            <v>GOLDM</v>
          </cell>
          <cell r="K15" t="str">
            <v>4 &amp; APS</v>
          </cell>
          <cell r="N15" t="str">
            <v>GOLDM_FUT_MT_DIFF_2D_3D</v>
          </cell>
        </row>
        <row r="16">
          <cell r="A16">
            <v>11</v>
          </cell>
          <cell r="B16" t="str">
            <v>S11</v>
          </cell>
          <cell r="C16" t="str">
            <v>FUTURES</v>
          </cell>
          <cell r="E16" t="str">
            <v>GOLDM</v>
          </cell>
          <cell r="K16" t="str">
            <v>4 &amp; APS</v>
          </cell>
          <cell r="N16" t="str">
            <v>GOLDM_FUT_MT_SAME_3D_3D</v>
          </cell>
        </row>
        <row r="17">
          <cell r="A17">
            <v>12</v>
          </cell>
          <cell r="B17" t="str">
            <v>S12</v>
          </cell>
          <cell r="C17" t="str">
            <v>FUTURES</v>
          </cell>
          <cell r="E17" t="str">
            <v>SILVERM</v>
          </cell>
          <cell r="K17" t="str">
            <v>4 &amp; APS</v>
          </cell>
          <cell r="N17" t="str">
            <v>SILVERM_FUT_MT_DIFF_2D_3D</v>
          </cell>
        </row>
        <row r="18">
          <cell r="A18">
            <v>13</v>
          </cell>
          <cell r="B18" t="str">
            <v>S13</v>
          </cell>
          <cell r="C18" t="str">
            <v>FUTURES</v>
          </cell>
          <cell r="E18" t="str">
            <v>SILVERM</v>
          </cell>
          <cell r="K18" t="str">
            <v>4 &amp; APS</v>
          </cell>
          <cell r="N18" t="str">
            <v>SILVERM_FUT_MT_SAME_3D_3D</v>
          </cell>
        </row>
        <row r="19">
          <cell r="A19">
            <v>14</v>
          </cell>
          <cell r="B19" t="str">
            <v>S14</v>
          </cell>
          <cell r="C19" t="str">
            <v>FUTURES</v>
          </cell>
          <cell r="E19" t="str">
            <v>CRUDEOIL</v>
          </cell>
          <cell r="K19" t="str">
            <v>4 &amp; APS</v>
          </cell>
          <cell r="N19" t="str">
            <v>CRUDEOIL_FUT_MT_SAME_2D_2D</v>
          </cell>
        </row>
        <row r="20">
          <cell r="A20">
            <v>15</v>
          </cell>
          <cell r="B20" t="str">
            <v>S15</v>
          </cell>
          <cell r="C20" t="str">
            <v>FUTURES</v>
          </cell>
          <cell r="E20" t="str">
            <v>CRUDEOIL</v>
          </cell>
          <cell r="K20" t="str">
            <v>4 &amp; APS</v>
          </cell>
          <cell r="N20" t="str">
            <v>CRUDEOIL_FUT_MT_DIFF_1D_2D</v>
          </cell>
        </row>
        <row r="21">
          <cell r="A21">
            <v>16</v>
          </cell>
          <cell r="B21" t="str">
            <v>S16</v>
          </cell>
          <cell r="C21" t="str">
            <v>FUTURES</v>
          </cell>
          <cell r="E21" t="str">
            <v>NATURALGAS</v>
          </cell>
          <cell r="K21" t="str">
            <v>4 &amp; APS</v>
          </cell>
          <cell r="N21" t="str">
            <v>NATURALGAS_FUT_MT_DIFF_2D_3D</v>
          </cell>
        </row>
        <row r="22">
          <cell r="A22">
            <v>17</v>
          </cell>
          <cell r="B22" t="str">
            <v>S17</v>
          </cell>
          <cell r="C22" t="str">
            <v>FUTURES</v>
          </cell>
          <cell r="E22" t="str">
            <v>NATURALGAS</v>
          </cell>
          <cell r="K22" t="str">
            <v>4 &amp; APS</v>
          </cell>
          <cell r="N22" t="str">
            <v>NATURALGAS_FUT_MT_DIFF_2D_PW&amp;CW</v>
          </cell>
        </row>
        <row r="23">
          <cell r="A23">
            <v>18</v>
          </cell>
          <cell r="B23" t="str">
            <v>S18</v>
          </cell>
          <cell r="C23" t="str">
            <v>OPTIONS SELL</v>
          </cell>
          <cell r="E23" t="str">
            <v>USDINR</v>
          </cell>
          <cell r="K23" t="str">
            <v>APS</v>
          </cell>
          <cell r="N23" t="str">
            <v>USDINR_OP_SELL_WK_DIFF_2D_3D</v>
          </cell>
        </row>
        <row r="24">
          <cell r="A24">
            <v>19</v>
          </cell>
          <cell r="B24" t="str">
            <v>S19</v>
          </cell>
          <cell r="C24" t="str">
            <v>OPTIONS SELL</v>
          </cell>
          <cell r="E24" t="str">
            <v>USDINR</v>
          </cell>
          <cell r="K24" t="str">
            <v>APS</v>
          </cell>
          <cell r="N24" t="str">
            <v>USDINR_OP_SELL_MT_DIFF_2D_3D</v>
          </cell>
        </row>
        <row r="25">
          <cell r="A25">
            <v>20</v>
          </cell>
          <cell r="B25" t="str">
            <v>S20</v>
          </cell>
          <cell r="C25" t="str">
            <v>OPTIONS SELL</v>
          </cell>
          <cell r="E25" t="str">
            <v>BANKNIFTY</v>
          </cell>
          <cell r="K25" t="str">
            <v>APS</v>
          </cell>
          <cell r="N25" t="str">
            <v>BANKNIFTY_OP_SELL_WK_DIFF_2D_3D</v>
          </cell>
        </row>
        <row r="26">
          <cell r="A26">
            <v>21</v>
          </cell>
          <cell r="B26" t="str">
            <v>S21</v>
          </cell>
          <cell r="C26" t="str">
            <v>OPTIONS SELL</v>
          </cell>
          <cell r="E26" t="str">
            <v>BANKNIFTY</v>
          </cell>
          <cell r="K26" t="str">
            <v>APS</v>
          </cell>
          <cell r="N26" t="str">
            <v>BANKNIFTY_OP_SELL_MT_DIFF_2D_3D</v>
          </cell>
        </row>
        <row r="27">
          <cell r="A27">
            <v>22</v>
          </cell>
          <cell r="B27" t="str">
            <v>S22</v>
          </cell>
          <cell r="C27" t="str">
            <v>OPTIONS SELL</v>
          </cell>
          <cell r="E27" t="str">
            <v>STOCKS</v>
          </cell>
          <cell r="K27" t="str">
            <v>APS</v>
          </cell>
          <cell r="N27" t="str">
            <v>STOCKS_OP_SELL_MT_DIFF_2D_4D</v>
          </cell>
        </row>
        <row r="28">
          <cell r="A28">
            <v>23</v>
          </cell>
          <cell r="B28" t="str">
            <v>S23</v>
          </cell>
          <cell r="C28" t="str">
            <v>OPTIONS SELL</v>
          </cell>
          <cell r="E28" t="str">
            <v>NIFTY</v>
          </cell>
          <cell r="K28" t="str">
            <v>APS</v>
          </cell>
          <cell r="N28" t="str">
            <v>NIFTY_OP_SELL_WK_DIFF_2D_3D</v>
          </cell>
        </row>
        <row r="29">
          <cell r="A29">
            <v>24</v>
          </cell>
          <cell r="B29" t="str">
            <v>S24</v>
          </cell>
          <cell r="C29" t="str">
            <v>OPTIONS SELL</v>
          </cell>
          <cell r="E29" t="str">
            <v>NIFTY</v>
          </cell>
          <cell r="K29" t="str">
            <v>APS</v>
          </cell>
          <cell r="N29" t="str">
            <v>NIFTY_OP_SELL_MT_DIFF_2D_3D</v>
          </cell>
        </row>
        <row r="30">
          <cell r="A30">
            <v>25</v>
          </cell>
          <cell r="B30" t="str">
            <v>S25</v>
          </cell>
          <cell r="C30" t="str">
            <v>OPTIONS BUY</v>
          </cell>
          <cell r="E30" t="str">
            <v>BANKNIFTY</v>
          </cell>
          <cell r="K30" t="str">
            <v>1 &amp; APS</v>
          </cell>
          <cell r="N30" t="str">
            <v>BANKNIFTY_OP_BUY_WK_SAME_1D 75 Mins_1D 75 Mins</v>
          </cell>
        </row>
        <row r="31">
          <cell r="A31">
            <v>26</v>
          </cell>
          <cell r="B31" t="str">
            <v>S26</v>
          </cell>
          <cell r="C31" t="str">
            <v>OPTIONS BUY</v>
          </cell>
          <cell r="E31" t="str">
            <v>STOCKS</v>
          </cell>
          <cell r="K31" t="str">
            <v>4 &amp; APS</v>
          </cell>
          <cell r="N31" t="str">
            <v>STOCKS_OP_BUY_MT_DIFF_2D_4D</v>
          </cell>
        </row>
        <row r="32">
          <cell r="A32">
            <v>27</v>
          </cell>
          <cell r="B32" t="str">
            <v>S27</v>
          </cell>
          <cell r="C32" t="str">
            <v>OPTIONS BUY</v>
          </cell>
          <cell r="E32" t="str">
            <v>STOCKS</v>
          </cell>
          <cell r="K32" t="str">
            <v>4 &amp; APS</v>
          </cell>
          <cell r="N32" t="str">
            <v>STOCKS_OP_BUY_MT_DIFF_2D_2D</v>
          </cell>
        </row>
        <row r="33">
          <cell r="A33">
            <v>28</v>
          </cell>
          <cell r="B33" t="str">
            <v>S28</v>
          </cell>
          <cell r="C33" t="str">
            <v>EQUITY</v>
          </cell>
          <cell r="E33" t="str">
            <v>STOCKS</v>
          </cell>
          <cell r="K33" t="str">
            <v>5 &amp; APS</v>
          </cell>
          <cell r="N33" t="str">
            <v>STOCKS_EQ_DCC</v>
          </cell>
        </row>
        <row r="34">
          <cell r="A34">
            <v>29</v>
          </cell>
          <cell r="B34" t="str">
            <v>S29</v>
          </cell>
          <cell r="C34" t="str">
            <v>EQUITY</v>
          </cell>
          <cell r="E34" t="str">
            <v>STOCKS</v>
          </cell>
          <cell r="K34" t="str">
            <v>5 &amp; APS</v>
          </cell>
          <cell r="N34" t="str">
            <v>STOCKS_EQ_WCC</v>
          </cell>
        </row>
        <row r="35">
          <cell r="A35">
            <v>30</v>
          </cell>
          <cell r="B35" t="str">
            <v>S30</v>
          </cell>
          <cell r="C35" t="str">
            <v>EQUITY</v>
          </cell>
          <cell r="E35" t="str">
            <v>STOCKS</v>
          </cell>
          <cell r="K35" t="str">
            <v>5 &amp; APS</v>
          </cell>
          <cell r="N35" t="str">
            <v>STOCKS_EQ_MCC</v>
          </cell>
        </row>
        <row r="36">
          <cell r="A36">
            <v>31</v>
          </cell>
          <cell r="B36" t="str">
            <v>S31</v>
          </cell>
        </row>
        <row r="37">
          <cell r="A37">
            <v>32</v>
          </cell>
          <cell r="B37" t="str">
            <v>S32</v>
          </cell>
        </row>
        <row r="38">
          <cell r="A38">
            <v>33</v>
          </cell>
          <cell r="B38" t="str">
            <v>S33</v>
          </cell>
        </row>
        <row r="39">
          <cell r="A39">
            <v>34</v>
          </cell>
          <cell r="B39" t="str">
            <v>S34</v>
          </cell>
        </row>
        <row r="40">
          <cell r="A40">
            <v>35</v>
          </cell>
          <cell r="B40" t="str">
            <v>S35</v>
          </cell>
        </row>
        <row r="41">
          <cell r="A41">
            <v>36</v>
          </cell>
          <cell r="B41" t="str">
            <v>S36</v>
          </cell>
        </row>
        <row r="42">
          <cell r="A42">
            <v>37</v>
          </cell>
          <cell r="B42" t="str">
            <v>S37</v>
          </cell>
        </row>
        <row r="43">
          <cell r="A43">
            <v>38</v>
          </cell>
          <cell r="B43" t="str">
            <v>S38</v>
          </cell>
        </row>
        <row r="44">
          <cell r="A44">
            <v>39</v>
          </cell>
          <cell r="B44" t="str">
            <v>S39</v>
          </cell>
        </row>
        <row r="45">
          <cell r="A45">
            <v>40</v>
          </cell>
          <cell r="B45" t="str">
            <v>S40</v>
          </cell>
        </row>
        <row r="46">
          <cell r="A46">
            <v>41</v>
          </cell>
          <cell r="B46" t="str">
            <v>S41</v>
          </cell>
        </row>
        <row r="47">
          <cell r="A47">
            <v>42</v>
          </cell>
          <cell r="B47" t="str">
            <v>S42</v>
          </cell>
        </row>
        <row r="48">
          <cell r="A48">
            <v>43</v>
          </cell>
          <cell r="B48" t="str">
            <v>S43</v>
          </cell>
        </row>
        <row r="49">
          <cell r="A49">
            <v>44</v>
          </cell>
          <cell r="B49" t="str">
            <v>S44</v>
          </cell>
        </row>
        <row r="50">
          <cell r="A50">
            <v>45</v>
          </cell>
          <cell r="B50" t="str">
            <v>S45</v>
          </cell>
        </row>
        <row r="51">
          <cell r="A51">
            <v>46</v>
          </cell>
          <cell r="B51" t="str">
            <v>S46</v>
          </cell>
        </row>
        <row r="52">
          <cell r="A52">
            <v>47</v>
          </cell>
          <cell r="B52" t="str">
            <v>S47</v>
          </cell>
        </row>
        <row r="53">
          <cell r="A53">
            <v>48</v>
          </cell>
          <cell r="B53" t="str">
            <v>S48</v>
          </cell>
        </row>
        <row r="54">
          <cell r="A54">
            <v>49</v>
          </cell>
          <cell r="B54" t="str">
            <v>S49</v>
          </cell>
        </row>
        <row r="55">
          <cell r="A55">
            <v>50</v>
          </cell>
          <cell r="B55" t="str">
            <v>S50</v>
          </cell>
        </row>
      </sheetData>
      <sheetData sheetId="4"/>
      <sheetData sheetId="5">
        <row r="1">
          <cell r="B1">
            <v>1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  <cell r="H1">
            <v>7</v>
          </cell>
          <cell r="I1">
            <v>8</v>
          </cell>
          <cell r="J1">
            <v>9</v>
          </cell>
          <cell r="K1">
            <v>10</v>
          </cell>
          <cell r="L1">
            <v>11</v>
          </cell>
          <cell r="M1">
            <v>12</v>
          </cell>
          <cell r="N1">
            <v>13</v>
          </cell>
          <cell r="O1">
            <v>14</v>
          </cell>
          <cell r="P1">
            <v>15</v>
          </cell>
          <cell r="Q1">
            <v>16</v>
          </cell>
          <cell r="R1">
            <v>17</v>
          </cell>
          <cell r="S1">
            <v>18</v>
          </cell>
          <cell r="T1">
            <v>19</v>
          </cell>
          <cell r="U1">
            <v>20</v>
          </cell>
          <cell r="V1">
            <v>21</v>
          </cell>
          <cell r="W1">
            <v>22</v>
          </cell>
          <cell r="X1">
            <v>23</v>
          </cell>
          <cell r="Y1">
            <v>24</v>
          </cell>
          <cell r="Z1">
            <v>25</v>
          </cell>
          <cell r="AA1">
            <v>26</v>
          </cell>
          <cell r="AB1">
            <v>27</v>
          </cell>
          <cell r="AC1">
            <v>28</v>
          </cell>
          <cell r="AD1">
            <v>29</v>
          </cell>
          <cell r="AE1">
            <v>30</v>
          </cell>
          <cell r="AF1">
            <v>31</v>
          </cell>
          <cell r="AG1">
            <v>32</v>
          </cell>
          <cell r="AH1">
            <v>32</v>
          </cell>
          <cell r="AI1">
            <v>34</v>
          </cell>
          <cell r="AJ1">
            <v>35</v>
          </cell>
          <cell r="AK1">
            <v>36</v>
          </cell>
          <cell r="AL1">
            <v>37</v>
          </cell>
          <cell r="AM1">
            <v>38</v>
          </cell>
          <cell r="AN1">
            <v>39</v>
          </cell>
          <cell r="AO1">
            <v>40</v>
          </cell>
          <cell r="AP1">
            <v>41</v>
          </cell>
          <cell r="AQ1">
            <v>42</v>
          </cell>
          <cell r="AR1">
            <v>43</v>
          </cell>
          <cell r="AS1">
            <v>44</v>
          </cell>
          <cell r="AT1">
            <v>45</v>
          </cell>
          <cell r="AU1">
            <v>46</v>
          </cell>
          <cell r="AV1">
            <v>47</v>
          </cell>
          <cell r="AW1">
            <v>48</v>
          </cell>
          <cell r="AX1">
            <v>49</v>
          </cell>
          <cell r="AY1">
            <v>50</v>
          </cell>
          <cell r="AZ1">
            <v>51</v>
          </cell>
          <cell r="BA1">
            <v>52</v>
          </cell>
          <cell r="BB1">
            <v>53</v>
          </cell>
          <cell r="BC1">
            <v>54</v>
          </cell>
          <cell r="BD1">
            <v>55</v>
          </cell>
          <cell r="BE1">
            <v>56</v>
          </cell>
          <cell r="BF1">
            <v>57</v>
          </cell>
          <cell r="BG1">
            <v>58</v>
          </cell>
          <cell r="BI1">
            <v>60</v>
          </cell>
          <cell r="BJ1">
            <v>61</v>
          </cell>
          <cell r="BK1">
            <v>62</v>
          </cell>
          <cell r="BL1">
            <v>63</v>
          </cell>
          <cell r="BM1">
            <v>64</v>
          </cell>
          <cell r="BN1">
            <v>65</v>
          </cell>
          <cell r="BO1">
            <v>66</v>
          </cell>
          <cell r="BP1">
            <v>67</v>
          </cell>
          <cell r="BQ1">
            <v>68</v>
          </cell>
          <cell r="BR1">
            <v>69</v>
          </cell>
          <cell r="BS1">
            <v>70</v>
          </cell>
          <cell r="BT1">
            <v>71</v>
          </cell>
          <cell r="BU1">
            <v>72</v>
          </cell>
          <cell r="BV1">
            <v>73</v>
          </cell>
          <cell r="BW1">
            <v>74</v>
          </cell>
          <cell r="BX1">
            <v>75</v>
          </cell>
          <cell r="BY1">
            <v>76</v>
          </cell>
          <cell r="BZ1">
            <v>77</v>
          </cell>
          <cell r="CB1">
            <v>78</v>
          </cell>
          <cell r="CC1">
            <v>79</v>
          </cell>
          <cell r="CD1">
            <v>80</v>
          </cell>
          <cell r="CE1">
            <v>81</v>
          </cell>
          <cell r="CF1">
            <v>82</v>
          </cell>
          <cell r="CG1">
            <v>83</v>
          </cell>
          <cell r="CH1">
            <v>84</v>
          </cell>
          <cell r="CI1">
            <v>85</v>
          </cell>
          <cell r="CJ1">
            <v>86</v>
          </cell>
          <cell r="CL1">
            <v>11</v>
          </cell>
          <cell r="CR1">
            <v>11</v>
          </cell>
          <cell r="CS1">
            <v>11</v>
          </cell>
          <cell r="CU1">
            <v>30</v>
          </cell>
        </row>
        <row r="2">
          <cell r="B2" t="str">
            <v>Code For AP</v>
          </cell>
          <cell r="C2" t="str">
            <v>Wishing You A Peace, Joy &amp; Prosperity !!</v>
          </cell>
          <cell r="G2" t="str">
            <v>Entry</v>
          </cell>
          <cell r="L2" t="str">
            <v>Target</v>
          </cell>
          <cell r="AA2" t="str">
            <v>Final Exit</v>
          </cell>
          <cell r="AE2" t="str">
            <v>Stop Loss : MSL</v>
          </cell>
          <cell r="AJ2" t="str">
            <v>Data +/- Buffer</v>
          </cell>
          <cell r="AK2" t="str">
            <v>Stop Loss : TSL</v>
          </cell>
          <cell r="BD2" t="str">
            <v>Gap Timings</v>
          </cell>
          <cell r="BI2" t="str">
            <v>Gap Buffer</v>
          </cell>
          <cell r="CL2" t="str">
            <v>Target</v>
          </cell>
          <cell r="CR2" t="str">
            <v>Gap Buffer</v>
          </cell>
          <cell r="CU2" t="str">
            <v>Stop Loss : MSL</v>
          </cell>
        </row>
        <row r="3">
          <cell r="L3" t="str">
            <v>Target</v>
          </cell>
          <cell r="M3" t="str">
            <v>+ | -</v>
          </cell>
          <cell r="N3" t="str">
            <v>Target 1</v>
          </cell>
          <cell r="P3" t="str">
            <v>TGT 2</v>
          </cell>
          <cell r="R3" t="str">
            <v>TGT 3</v>
          </cell>
          <cell r="T3" t="str">
            <v>TGT 4</v>
          </cell>
          <cell r="V3" t="str">
            <v>TGT 5</v>
          </cell>
          <cell r="X3" t="str">
            <v>TGT 6</v>
          </cell>
          <cell r="AA3" t="str">
            <v>Max / Min</v>
          </cell>
          <cell r="AB3" t="str">
            <v>After Entry</v>
          </cell>
          <cell r="AC3" t="str">
            <v>After Target</v>
          </cell>
          <cell r="AE3" t="str">
            <v>MSL</v>
          </cell>
          <cell r="AG3" t="str">
            <v>MSL 1</v>
          </cell>
          <cell r="AH3" t="str">
            <v>MSL 2</v>
          </cell>
          <cell r="AK3" t="str">
            <v>TSL After Entry</v>
          </cell>
          <cell r="AN3" t="str">
            <v>TSL After TGT 1</v>
          </cell>
          <cell r="AQ3" t="str">
            <v>TSL After TGT 2</v>
          </cell>
          <cell r="AT3" t="str">
            <v>TSL After TGT 3</v>
          </cell>
          <cell r="AW3" t="str">
            <v>TSL After TGT 4</v>
          </cell>
          <cell r="AZ3" t="str">
            <v>TSL After TGT 5</v>
          </cell>
          <cell r="BE3" t="str">
            <v>For Entry</v>
          </cell>
          <cell r="BF3" t="str">
            <v>For SL (P. = Open)</v>
          </cell>
          <cell r="BG3" t="str">
            <v>For TGT (P. = Open)</v>
          </cell>
          <cell r="BK3" t="str">
            <v>For Entry</v>
          </cell>
          <cell r="BL3" t="str">
            <v>For SL 
(P. = Open)</v>
          </cell>
          <cell r="BN3" t="str">
            <v>Finding the Final Strike</v>
          </cell>
          <cell r="BP3" t="str">
            <v>Start Stike</v>
          </cell>
          <cell r="BT3" t="str">
            <v>End Stike</v>
          </cell>
          <cell r="BZ3" t="str">
            <v>Last Choice Stike</v>
          </cell>
          <cell r="CE3" t="str">
            <v>Ideal Premium</v>
          </cell>
          <cell r="CG3" t="str">
            <v>Minimum Premium</v>
          </cell>
          <cell r="CI3" t="str">
            <v>Minimum OI ( in Lots )</v>
          </cell>
          <cell r="CJ3" t="str">
            <v>No of Expiry to Check</v>
          </cell>
          <cell r="CL3" t="str">
            <v>Target</v>
          </cell>
          <cell r="CR3" t="str">
            <v>Start Strike</v>
          </cell>
          <cell r="CS3" t="str">
            <v>End Strike</v>
          </cell>
          <cell r="CU3" t="str">
            <v>For SL (P. = Open)</v>
          </cell>
        </row>
        <row r="4">
          <cell r="G4" t="str">
            <v>Data</v>
          </cell>
          <cell r="H4" t="str">
            <v>+ | -</v>
          </cell>
          <cell r="I4" t="str">
            <v>Buffer</v>
          </cell>
          <cell r="J4" t="str">
            <v>Lots</v>
          </cell>
          <cell r="L4" t="str">
            <v>Data 1</v>
          </cell>
          <cell r="N4" t="str">
            <v>Buffer</v>
          </cell>
          <cell r="O4" t="str">
            <v>Lots</v>
          </cell>
          <cell r="P4" t="str">
            <v>Buffer</v>
          </cell>
          <cell r="Q4" t="str">
            <v>Lots</v>
          </cell>
          <cell r="R4" t="str">
            <v>Buffer</v>
          </cell>
          <cell r="S4" t="str">
            <v>Lots</v>
          </cell>
          <cell r="T4" t="str">
            <v>Buffer</v>
          </cell>
          <cell r="U4" t="str">
            <v>Lots</v>
          </cell>
          <cell r="V4" t="str">
            <v>Buffer</v>
          </cell>
          <cell r="W4" t="str">
            <v>Lots</v>
          </cell>
          <cell r="X4" t="str">
            <v>Buffer</v>
          </cell>
          <cell r="Y4" t="str">
            <v>Lots</v>
          </cell>
          <cell r="AE4" t="str">
            <v>Data</v>
          </cell>
          <cell r="AF4" t="str">
            <v>+ | -</v>
          </cell>
          <cell r="AG4" t="str">
            <v>Buffer</v>
          </cell>
          <cell r="AH4" t="str">
            <v>Buffer</v>
          </cell>
          <cell r="AJ4" t="str">
            <v>+ | -</v>
          </cell>
          <cell r="AK4" t="str">
            <v>Data</v>
          </cell>
          <cell r="AL4" t="str">
            <v>Buffer</v>
          </cell>
          <cell r="AM4" t="str">
            <v>Lots</v>
          </cell>
          <cell r="AN4" t="str">
            <v>Data</v>
          </cell>
          <cell r="AO4" t="str">
            <v>Buffer</v>
          </cell>
          <cell r="AP4" t="str">
            <v>Lots</v>
          </cell>
          <cell r="AQ4" t="str">
            <v>Data</v>
          </cell>
          <cell r="AR4" t="str">
            <v>Buffer</v>
          </cell>
          <cell r="AS4" t="str">
            <v>Lots</v>
          </cell>
          <cell r="AT4" t="str">
            <v>Data</v>
          </cell>
          <cell r="AU4" t="str">
            <v>Buffer</v>
          </cell>
          <cell r="AV4" t="str">
            <v>Lots</v>
          </cell>
          <cell r="AW4" t="str">
            <v>Data</v>
          </cell>
          <cell r="AX4" t="str">
            <v>Buffer</v>
          </cell>
          <cell r="AY4" t="str">
            <v>Lots</v>
          </cell>
          <cell r="AZ4" t="str">
            <v>Data</v>
          </cell>
          <cell r="BA4" t="str">
            <v>Buffer</v>
          </cell>
          <cell r="BB4" t="str">
            <v>Lots</v>
          </cell>
          <cell r="BP4" t="str">
            <v>Data</v>
          </cell>
          <cell r="BQ4" t="str">
            <v>+ | -</v>
          </cell>
          <cell r="BR4" t="str">
            <v>Buffer</v>
          </cell>
          <cell r="BS4" t="str">
            <v>Round</v>
          </cell>
          <cell r="BT4" t="str">
            <v>Data</v>
          </cell>
          <cell r="BU4" t="str">
            <v>+ | -</v>
          </cell>
          <cell r="BV4" t="str">
            <v>Buffer</v>
          </cell>
          <cell r="BW4" t="str">
            <v>Round</v>
          </cell>
          <cell r="BX4" t="str">
            <v>+ | -</v>
          </cell>
          <cell r="BY4" t="str">
            <v>Strike</v>
          </cell>
          <cell r="BZ4" t="str">
            <v>Data</v>
          </cell>
          <cell r="CA4" t="str">
            <v>Round</v>
          </cell>
          <cell r="CB4" t="str">
            <v>+ | -</v>
          </cell>
          <cell r="CC4" t="str">
            <v>Strike</v>
          </cell>
          <cell r="CE4" t="str">
            <v>Data</v>
          </cell>
          <cell r="CF4" t="str">
            <v>Buffer</v>
          </cell>
          <cell r="CG4" t="str">
            <v>Data</v>
          </cell>
          <cell r="CH4" t="str">
            <v>Buffer</v>
          </cell>
          <cell r="CI4" t="str">
            <v>Data</v>
          </cell>
          <cell r="CJ4" t="str">
            <v>Data</v>
          </cell>
          <cell r="CL4" t="str">
            <v>Data 2</v>
          </cell>
          <cell r="CR4" t="str">
            <v>Buffer</v>
          </cell>
          <cell r="CS4" t="str">
            <v>Buffer</v>
          </cell>
        </row>
        <row r="6">
          <cell r="B6" t="str">
            <v>S1A</v>
          </cell>
          <cell r="C6" t="str">
            <v>Strategy Code</v>
          </cell>
          <cell r="D6" t="str">
            <v>S1</v>
          </cell>
          <cell r="E6" t="str">
            <v>Bull / 
Bull CF</v>
          </cell>
          <cell r="F6" t="str">
            <v>Long</v>
          </cell>
          <cell r="G6" t="str">
            <v>FUT : PRV : 2DHH</v>
          </cell>
          <cell r="H6" t="str">
            <v xml:space="preserve"> + </v>
          </cell>
          <cell r="I6">
            <v>5.0000000000000001E-4</v>
          </cell>
          <cell r="J6">
            <v>5</v>
          </cell>
          <cell r="L6" t="str">
            <v xml:space="preserve">L : Entry </v>
          </cell>
          <cell r="M6" t="str">
            <v xml:space="preserve"> + </v>
          </cell>
          <cell r="N6">
            <v>4.0000000000000001E-3</v>
          </cell>
          <cell r="O6">
            <v>1</v>
          </cell>
          <cell r="P6">
            <v>6.0000000000000001E-3</v>
          </cell>
          <cell r="Q6">
            <v>1</v>
          </cell>
          <cell r="R6">
            <v>8.0000000000000002E-3</v>
          </cell>
          <cell r="S6">
            <v>1</v>
          </cell>
          <cell r="T6">
            <v>0.01</v>
          </cell>
          <cell r="U6">
            <v>1</v>
          </cell>
          <cell r="V6" t="str">
            <v>TR PROFIT AFTER TGT 4</v>
          </cell>
          <cell r="W6">
            <v>1</v>
          </cell>
          <cell r="X6" t="str">
            <v>N.A.</v>
          </cell>
          <cell r="Y6" t="str">
            <v>N.A.</v>
          </cell>
          <cell r="AA6" t="str">
            <v>Max</v>
          </cell>
          <cell r="AB6" t="str">
            <v>MSL &amp; TSL</v>
          </cell>
          <cell r="AC6" t="str">
            <v>Entry &amp; TRP</v>
          </cell>
          <cell r="AE6" t="str">
            <v>L : Entry</v>
          </cell>
          <cell r="AF6" t="str">
            <v xml:space="preserve"> - </v>
          </cell>
          <cell r="AG6">
            <v>4.0000000000000001E-3</v>
          </cell>
          <cell r="AH6">
            <v>0</v>
          </cell>
          <cell r="AJ6" t="str">
            <v xml:space="preserve"> - </v>
          </cell>
          <cell r="AK6" t="str">
            <v>FUT : PRV : 2DLL</v>
          </cell>
          <cell r="AL6">
            <v>5.0000000000000001E-4</v>
          </cell>
          <cell r="AM6">
            <v>5</v>
          </cell>
          <cell r="AN6" t="str">
            <v>FUT : PRV : 2DLL</v>
          </cell>
          <cell r="AO6">
            <v>5.0000000000000001E-4</v>
          </cell>
          <cell r="AP6">
            <v>4</v>
          </cell>
          <cell r="AQ6" t="str">
            <v>FUT : PRV : 2DLL</v>
          </cell>
          <cell r="AR6">
            <v>5.0000000000000001E-4</v>
          </cell>
          <cell r="AS6">
            <v>3</v>
          </cell>
          <cell r="AT6" t="str">
            <v>FUT : PRV : 2DLL</v>
          </cell>
          <cell r="AU6">
            <v>5.0000000000000001E-4</v>
          </cell>
          <cell r="AV6">
            <v>2</v>
          </cell>
          <cell r="AW6" t="str">
            <v>FUT : PRV : 2DLL</v>
          </cell>
          <cell r="AX6">
            <v>5.0000000000000001E-4</v>
          </cell>
          <cell r="AY6">
            <v>1</v>
          </cell>
          <cell r="AZ6">
            <v>0</v>
          </cell>
          <cell r="BA6">
            <v>0</v>
          </cell>
          <cell r="BB6">
            <v>0</v>
          </cell>
          <cell r="BD6" t="str">
            <v xml:space="preserve">ORPT </v>
          </cell>
          <cell r="BE6">
            <v>0.37846527777777778</v>
          </cell>
          <cell r="BF6">
            <v>0.37846527777777778</v>
          </cell>
          <cell r="BG6">
            <v>0.375</v>
          </cell>
          <cell r="BI6" t="str">
            <v>Bull / 
Bull CF</v>
          </cell>
          <cell r="BJ6" t="str">
            <v>Long</v>
          </cell>
          <cell r="BK6">
            <v>5.0000000000000001E-4</v>
          </cell>
          <cell r="BL6">
            <v>5.0000000000000001E-4</v>
          </cell>
          <cell r="BN6" t="str">
            <v>Bull | 
Bull CF</v>
          </cell>
          <cell r="BO6" t="str">
            <v>Call</v>
          </cell>
          <cell r="BP6" t="str">
            <v/>
          </cell>
          <cell r="CL6">
            <v>0</v>
          </cell>
          <cell r="CR6" t="b">
            <v>0</v>
          </cell>
          <cell r="CS6" t="b">
            <v>0</v>
          </cell>
          <cell r="CU6">
            <v>0.6875</v>
          </cell>
        </row>
        <row r="7">
          <cell r="B7" t="str">
            <v>S1B</v>
          </cell>
          <cell r="C7" t="str">
            <v>Unique Code</v>
          </cell>
          <cell r="D7" t="str">
            <v>USDINR_FUT_MT_SAME_2D_2D</v>
          </cell>
          <cell r="F7" t="str">
            <v>Short</v>
          </cell>
          <cell r="G7" t="str">
            <v>FUT : PRV : 2DLL</v>
          </cell>
          <cell r="H7" t="str">
            <v xml:space="preserve"> - </v>
          </cell>
          <cell r="I7">
            <v>5.0000000000000001E-4</v>
          </cell>
          <cell r="J7">
            <v>5</v>
          </cell>
          <cell r="L7" t="str">
            <v xml:space="preserve">S : Entry </v>
          </cell>
          <cell r="M7" t="str">
            <v xml:space="preserve"> - </v>
          </cell>
          <cell r="N7">
            <v>4.0000000000000001E-3</v>
          </cell>
          <cell r="O7">
            <v>1</v>
          </cell>
          <cell r="P7">
            <v>6.0000000000000001E-3</v>
          </cell>
          <cell r="Q7">
            <v>1</v>
          </cell>
          <cell r="R7">
            <v>8.0000000000000002E-3</v>
          </cell>
          <cell r="S7">
            <v>1</v>
          </cell>
          <cell r="T7">
            <v>0.01</v>
          </cell>
          <cell r="U7">
            <v>1</v>
          </cell>
          <cell r="V7" t="str">
            <v>TR PROFIT AFTER TGT 4</v>
          </cell>
          <cell r="W7">
            <v>1</v>
          </cell>
          <cell r="X7" t="str">
            <v>N.A.</v>
          </cell>
          <cell r="Y7" t="str">
            <v>N.A.</v>
          </cell>
          <cell r="AA7" t="str">
            <v>Min</v>
          </cell>
          <cell r="AB7" t="str">
            <v>MSL &amp; TSL</v>
          </cell>
          <cell r="AC7" t="str">
            <v>Entry &amp; TRP</v>
          </cell>
          <cell r="AE7" t="str">
            <v>S : Entry</v>
          </cell>
          <cell r="AF7" t="str">
            <v xml:space="preserve"> + </v>
          </cell>
          <cell r="AG7">
            <v>4.0000000000000001E-3</v>
          </cell>
          <cell r="AH7">
            <v>0</v>
          </cell>
          <cell r="AJ7" t="str">
            <v xml:space="preserve"> + </v>
          </cell>
          <cell r="AK7" t="str">
            <v>FUT : PRV : 2DHH</v>
          </cell>
          <cell r="AL7">
            <v>5.0000000000000001E-4</v>
          </cell>
          <cell r="AM7">
            <v>5</v>
          </cell>
          <cell r="AN7" t="str">
            <v>FUT : PRV : 2DHH</v>
          </cell>
          <cell r="AO7">
            <v>5.0000000000000001E-4</v>
          </cell>
          <cell r="AP7">
            <v>4</v>
          </cell>
          <cell r="AQ7" t="str">
            <v>FUT : PRV : 2DHH</v>
          </cell>
          <cell r="AR7">
            <v>5.0000000000000001E-4</v>
          </cell>
          <cell r="AS7">
            <v>3</v>
          </cell>
          <cell r="AT7" t="str">
            <v>FUT : PRV : 2DHH</v>
          </cell>
          <cell r="AU7">
            <v>5.0000000000000001E-4</v>
          </cell>
          <cell r="AV7">
            <v>2</v>
          </cell>
          <cell r="AW7" t="str">
            <v>FUT : PRV : 2DHH</v>
          </cell>
          <cell r="AX7">
            <v>5.0000000000000001E-4</v>
          </cell>
          <cell r="AY7">
            <v>1</v>
          </cell>
          <cell r="AZ7">
            <v>0</v>
          </cell>
          <cell r="BA7">
            <v>0</v>
          </cell>
          <cell r="BB7">
            <v>0</v>
          </cell>
          <cell r="BD7" t="str">
            <v xml:space="preserve"> RC. Time</v>
          </cell>
          <cell r="BE7">
            <v>0.38540972222222225</v>
          </cell>
          <cell r="BF7">
            <v>0.38540972222222225</v>
          </cell>
          <cell r="BG7" t="str">
            <v>N.A.</v>
          </cell>
          <cell r="BJ7" t="str">
            <v>Short</v>
          </cell>
          <cell r="BK7">
            <v>5.0000000000000001E-4</v>
          </cell>
          <cell r="BL7">
            <v>5.0000000000000001E-4</v>
          </cell>
          <cell r="BO7" t="str">
            <v>Put</v>
          </cell>
          <cell r="BP7" t="str">
            <v/>
          </cell>
          <cell r="CL7">
            <v>0</v>
          </cell>
          <cell r="CR7" t="b">
            <v>0</v>
          </cell>
          <cell r="CS7" t="b">
            <v>0</v>
          </cell>
        </row>
        <row r="8">
          <cell r="B8" t="str">
            <v>S1C</v>
          </cell>
          <cell r="C8" t="str">
            <v>Segment</v>
          </cell>
          <cell r="D8" t="str">
            <v>FUTURES</v>
          </cell>
          <cell r="E8" t="str">
            <v>Contract</v>
          </cell>
          <cell r="F8" t="str">
            <v>MONTHLY</v>
          </cell>
        </row>
        <row r="9">
          <cell r="B9" t="str">
            <v>S1D</v>
          </cell>
          <cell r="C9" t="str">
            <v>Symbol</v>
          </cell>
          <cell r="D9" t="str">
            <v>USDINR</v>
          </cell>
          <cell r="E9" t="str">
            <v>Bear / 
Bear CF</v>
          </cell>
          <cell r="F9" t="str">
            <v>Long</v>
          </cell>
          <cell r="G9" t="str">
            <v>FUT : PRV : 2DHH</v>
          </cell>
          <cell r="H9" t="str">
            <v xml:space="preserve"> + </v>
          </cell>
          <cell r="I9">
            <v>5.0000000000000001E-4</v>
          </cell>
          <cell r="J9">
            <v>5</v>
          </cell>
          <cell r="L9" t="str">
            <v xml:space="preserve">L : Entry </v>
          </cell>
          <cell r="M9" t="str">
            <v xml:space="preserve"> + </v>
          </cell>
          <cell r="N9">
            <v>4.0000000000000001E-3</v>
          </cell>
          <cell r="O9">
            <v>1</v>
          </cell>
          <cell r="P9">
            <v>6.0000000000000001E-3</v>
          </cell>
          <cell r="Q9">
            <v>1</v>
          </cell>
          <cell r="R9">
            <v>8.0000000000000002E-3</v>
          </cell>
          <cell r="S9">
            <v>1</v>
          </cell>
          <cell r="T9">
            <v>0.01</v>
          </cell>
          <cell r="U9">
            <v>1</v>
          </cell>
          <cell r="V9" t="str">
            <v>TR PROFIT AFTER TGT 4</v>
          </cell>
          <cell r="W9">
            <v>1</v>
          </cell>
          <cell r="X9" t="str">
            <v>N.A.</v>
          </cell>
          <cell r="Y9" t="str">
            <v>N.A.</v>
          </cell>
          <cell r="AA9" t="str">
            <v>Max</v>
          </cell>
          <cell r="AB9" t="str">
            <v>MSL &amp; TSL</v>
          </cell>
          <cell r="AC9" t="str">
            <v>Entry &amp; TRP</v>
          </cell>
          <cell r="AE9" t="str">
            <v>L : Entry</v>
          </cell>
          <cell r="AF9" t="str">
            <v xml:space="preserve"> - </v>
          </cell>
          <cell r="AG9">
            <v>4.0000000000000001E-3</v>
          </cell>
          <cell r="AH9">
            <v>0</v>
          </cell>
          <cell r="AJ9" t="str">
            <v xml:space="preserve"> - </v>
          </cell>
          <cell r="AK9" t="str">
            <v>FUT : PRV : 2DLL</v>
          </cell>
          <cell r="AL9">
            <v>5.0000000000000001E-4</v>
          </cell>
          <cell r="AM9">
            <v>5</v>
          </cell>
          <cell r="AN9" t="str">
            <v>FUT : PRV : 2DLL</v>
          </cell>
          <cell r="AO9">
            <v>5.0000000000000001E-4</v>
          </cell>
          <cell r="AP9">
            <v>4</v>
          </cell>
          <cell r="AQ9" t="str">
            <v>FUT : PRV : 2DLL</v>
          </cell>
          <cell r="AR9">
            <v>5.0000000000000001E-4</v>
          </cell>
          <cell r="AS9">
            <v>3</v>
          </cell>
          <cell r="AT9" t="str">
            <v>FUT : PRV : 2DLL</v>
          </cell>
          <cell r="AU9">
            <v>5.0000000000000001E-4</v>
          </cell>
          <cell r="AV9">
            <v>2</v>
          </cell>
          <cell r="AW9" t="str">
            <v>FUT : PRV : 2DLL</v>
          </cell>
          <cell r="AX9">
            <v>5.0000000000000001E-4</v>
          </cell>
          <cell r="AY9">
            <v>1</v>
          </cell>
          <cell r="AZ9">
            <v>0</v>
          </cell>
          <cell r="BA9">
            <v>0</v>
          </cell>
          <cell r="BB9">
            <v>0</v>
          </cell>
          <cell r="BD9" t="str">
            <v>Market Start Time</v>
          </cell>
          <cell r="BE9">
            <v>0.375</v>
          </cell>
          <cell r="BI9" t="str">
            <v>Bear / 
Bear CF</v>
          </cell>
          <cell r="BJ9" t="str">
            <v>Long</v>
          </cell>
          <cell r="BK9">
            <v>5.0000000000000001E-4</v>
          </cell>
          <cell r="BL9">
            <v>5.0000000000000001E-4</v>
          </cell>
          <cell r="BN9" t="str">
            <v>Bear | 
Bear CF</v>
          </cell>
          <cell r="BO9" t="str">
            <v>Call</v>
          </cell>
          <cell r="BP9" t="str">
            <v/>
          </cell>
          <cell r="CL9">
            <v>0</v>
          </cell>
          <cell r="CR9" t="b">
            <v>0</v>
          </cell>
          <cell r="CS9" t="b">
            <v>0</v>
          </cell>
        </row>
        <row r="10">
          <cell r="B10" t="str">
            <v>S1E</v>
          </cell>
          <cell r="C10" t="str">
            <v>No. of Targets</v>
          </cell>
          <cell r="D10" t="str">
            <v>4 &amp; APS</v>
          </cell>
          <cell r="F10" t="str">
            <v>Short</v>
          </cell>
          <cell r="G10" t="str">
            <v>FUT : PRV : 2DLL</v>
          </cell>
          <cell r="H10" t="str">
            <v xml:space="preserve"> - </v>
          </cell>
          <cell r="I10">
            <v>5.0000000000000001E-4</v>
          </cell>
          <cell r="J10">
            <v>5</v>
          </cell>
          <cell r="L10" t="str">
            <v xml:space="preserve">S : Entry </v>
          </cell>
          <cell r="M10" t="str">
            <v xml:space="preserve"> - </v>
          </cell>
          <cell r="N10">
            <v>4.0000000000000001E-3</v>
          </cell>
          <cell r="O10">
            <v>1</v>
          </cell>
          <cell r="P10">
            <v>6.0000000000000001E-3</v>
          </cell>
          <cell r="Q10">
            <v>1</v>
          </cell>
          <cell r="R10">
            <v>8.0000000000000002E-3</v>
          </cell>
          <cell r="S10">
            <v>1</v>
          </cell>
          <cell r="T10">
            <v>0.01</v>
          </cell>
          <cell r="U10">
            <v>1</v>
          </cell>
          <cell r="V10" t="str">
            <v>TR PROFIT AFTER TGT 4</v>
          </cell>
          <cell r="W10">
            <v>1</v>
          </cell>
          <cell r="X10" t="str">
            <v>N.A.</v>
          </cell>
          <cell r="Y10" t="str">
            <v>N.A.</v>
          </cell>
          <cell r="AA10" t="str">
            <v>Min</v>
          </cell>
          <cell r="AB10" t="str">
            <v>MSL &amp; TSL</v>
          </cell>
          <cell r="AC10" t="str">
            <v>Entry &amp; TRP</v>
          </cell>
          <cell r="AE10" t="str">
            <v>S : Entry</v>
          </cell>
          <cell r="AF10" t="str">
            <v xml:space="preserve"> + </v>
          </cell>
          <cell r="AG10">
            <v>4.0000000000000001E-3</v>
          </cell>
          <cell r="AH10">
            <v>0</v>
          </cell>
          <cell r="AJ10" t="str">
            <v xml:space="preserve"> + </v>
          </cell>
          <cell r="AK10" t="str">
            <v>FUT : PRV : 2DHH</v>
          </cell>
          <cell r="AL10">
            <v>5.0000000000000001E-4</v>
          </cell>
          <cell r="AM10">
            <v>5</v>
          </cell>
          <cell r="AN10" t="str">
            <v>FUT : PRV : 2DHH</v>
          </cell>
          <cell r="AO10">
            <v>5.0000000000000001E-4</v>
          </cell>
          <cell r="AP10">
            <v>4</v>
          </cell>
          <cell r="AQ10" t="str">
            <v>FUT : PRV : 2DHH</v>
          </cell>
          <cell r="AR10">
            <v>5.0000000000000001E-4</v>
          </cell>
          <cell r="AS10">
            <v>3</v>
          </cell>
          <cell r="AT10" t="str">
            <v>FUT : PRV : 2DHH</v>
          </cell>
          <cell r="AU10">
            <v>5.0000000000000001E-4</v>
          </cell>
          <cell r="AV10">
            <v>2</v>
          </cell>
          <cell r="AW10" t="str">
            <v>FUT : PRV : 2DHH</v>
          </cell>
          <cell r="AX10">
            <v>5.0000000000000001E-4</v>
          </cell>
          <cell r="AY10">
            <v>1</v>
          </cell>
          <cell r="AZ10">
            <v>0</v>
          </cell>
          <cell r="BA10">
            <v>0</v>
          </cell>
          <cell r="BB10">
            <v>0</v>
          </cell>
          <cell r="BD10" t="str">
            <v>Market End Time</v>
          </cell>
          <cell r="BE10">
            <v>0.70833333333333337</v>
          </cell>
          <cell r="BJ10" t="str">
            <v>Short</v>
          </cell>
          <cell r="BK10">
            <v>5.0000000000000001E-4</v>
          </cell>
          <cell r="BL10">
            <v>5.0000000000000001E-4</v>
          </cell>
          <cell r="BO10" t="str">
            <v>Put</v>
          </cell>
          <cell r="BP10" t="str">
            <v/>
          </cell>
          <cell r="CL10">
            <v>0</v>
          </cell>
          <cell r="CR10" t="b">
            <v>0</v>
          </cell>
          <cell r="CS10" t="b">
            <v>0</v>
          </cell>
        </row>
        <row r="12">
          <cell r="B12" t="str">
            <v>S2A</v>
          </cell>
          <cell r="C12" t="str">
            <v>Strategy Code</v>
          </cell>
          <cell r="D12" t="str">
            <v>S2</v>
          </cell>
          <cell r="E12" t="str">
            <v>Bull / 
Bull CF</v>
          </cell>
          <cell r="F12" t="str">
            <v>Long</v>
          </cell>
          <cell r="G12" t="str">
            <v>FUT : PRV : 2DHH</v>
          </cell>
          <cell r="H12" t="str">
            <v xml:space="preserve"> + </v>
          </cell>
          <cell r="I12">
            <v>2.0000000000000001E-4</v>
          </cell>
          <cell r="J12">
            <v>5</v>
          </cell>
          <cell r="L12" t="str">
            <v xml:space="preserve">L : Entry </v>
          </cell>
          <cell r="M12" t="str">
            <v xml:space="preserve"> + </v>
          </cell>
          <cell r="N12">
            <v>4.0000000000000001E-3</v>
          </cell>
          <cell r="O12">
            <v>1</v>
          </cell>
          <cell r="P12">
            <v>6.0000000000000001E-3</v>
          </cell>
          <cell r="Q12">
            <v>1</v>
          </cell>
          <cell r="R12">
            <v>8.0000000000000002E-3</v>
          </cell>
          <cell r="S12">
            <v>1</v>
          </cell>
          <cell r="T12">
            <v>0.01</v>
          </cell>
          <cell r="U12">
            <v>1</v>
          </cell>
          <cell r="V12" t="str">
            <v>TR PROFIT AFTER TGT 4</v>
          </cell>
          <cell r="W12">
            <v>1</v>
          </cell>
          <cell r="X12" t="str">
            <v>N.A.</v>
          </cell>
          <cell r="Y12" t="str">
            <v>N.A.</v>
          </cell>
          <cell r="AA12" t="str">
            <v>Max</v>
          </cell>
          <cell r="AB12" t="str">
            <v>MSL &amp; TSL</v>
          </cell>
          <cell r="AC12" t="str">
            <v>Entry &amp; TRP</v>
          </cell>
          <cell r="AE12" t="str">
            <v>L : Entry</v>
          </cell>
          <cell r="AF12" t="str">
            <v xml:space="preserve"> - </v>
          </cell>
          <cell r="AG12">
            <v>4.0000000000000001E-3</v>
          </cell>
          <cell r="AH12">
            <v>0</v>
          </cell>
          <cell r="AJ12" t="str">
            <v xml:space="preserve"> - </v>
          </cell>
          <cell r="AK12" t="str">
            <v>FUT : PRV : 4DLL</v>
          </cell>
          <cell r="AL12">
            <v>5.0000000000000001E-4</v>
          </cell>
          <cell r="AM12">
            <v>5</v>
          </cell>
          <cell r="AN12" t="str">
            <v>FUT : PRV : 4DLL</v>
          </cell>
          <cell r="AO12">
            <v>5.0000000000000001E-4</v>
          </cell>
          <cell r="AP12">
            <v>4</v>
          </cell>
          <cell r="AQ12" t="str">
            <v>FUT : PRV : 4DLL</v>
          </cell>
          <cell r="AR12">
            <v>5.0000000000000001E-4</v>
          </cell>
          <cell r="AS12">
            <v>3</v>
          </cell>
          <cell r="AT12" t="str">
            <v>FUT : PRV : 4DLL</v>
          </cell>
          <cell r="AU12">
            <v>5.0000000000000001E-4</v>
          </cell>
          <cell r="AV12">
            <v>2</v>
          </cell>
          <cell r="AW12" t="str">
            <v>FUT : PRV : 4DLL</v>
          </cell>
          <cell r="AX12">
            <v>5.0000000000000001E-4</v>
          </cell>
          <cell r="AY12">
            <v>1</v>
          </cell>
          <cell r="AZ12">
            <v>0</v>
          </cell>
          <cell r="BA12">
            <v>0</v>
          </cell>
          <cell r="BB12">
            <v>0</v>
          </cell>
          <cell r="BD12" t="str">
            <v xml:space="preserve">ORPT </v>
          </cell>
          <cell r="BE12">
            <v>0.37846527777777778</v>
          </cell>
          <cell r="BF12">
            <v>0.37846527777777778</v>
          </cell>
          <cell r="BG12">
            <v>0.375</v>
          </cell>
          <cell r="BI12" t="str">
            <v>Bull / 
Bull CF</v>
          </cell>
          <cell r="BJ12" t="str">
            <v>Long</v>
          </cell>
          <cell r="BK12">
            <v>2.0000000000000001E-4</v>
          </cell>
          <cell r="BL12">
            <v>5.0000000000000001E-4</v>
          </cell>
          <cell r="BN12" t="str">
            <v>Bull | 
Bull CF</v>
          </cell>
          <cell r="BO12" t="str">
            <v>Call</v>
          </cell>
          <cell r="BP12" t="str">
            <v/>
          </cell>
          <cell r="CU12">
            <v>0.6875</v>
          </cell>
        </row>
        <row r="13">
          <cell r="B13" t="str">
            <v>S2B</v>
          </cell>
          <cell r="C13" t="str">
            <v>Unique Code</v>
          </cell>
          <cell r="D13" t="str">
            <v>USDINR_FUT_MT_DIFF_2D_4D</v>
          </cell>
          <cell r="F13" t="str">
            <v>Short</v>
          </cell>
          <cell r="G13" t="str">
            <v>FUT : PRV : 4DLL</v>
          </cell>
          <cell r="H13" t="str">
            <v xml:space="preserve"> - </v>
          </cell>
          <cell r="I13">
            <v>5.0000000000000001E-4</v>
          </cell>
          <cell r="J13">
            <v>5</v>
          </cell>
          <cell r="L13" t="str">
            <v xml:space="preserve">S : Entry </v>
          </cell>
          <cell r="M13" t="str">
            <v xml:space="preserve"> - </v>
          </cell>
          <cell r="N13">
            <v>4.0000000000000001E-3</v>
          </cell>
          <cell r="O13">
            <v>1</v>
          </cell>
          <cell r="P13">
            <v>6.0000000000000001E-3</v>
          </cell>
          <cell r="Q13">
            <v>1</v>
          </cell>
          <cell r="R13">
            <v>8.0000000000000002E-3</v>
          </cell>
          <cell r="S13">
            <v>1</v>
          </cell>
          <cell r="T13">
            <v>0.01</v>
          </cell>
          <cell r="U13">
            <v>1</v>
          </cell>
          <cell r="V13" t="str">
            <v>TR PROFIT AFTER TGT 4</v>
          </cell>
          <cell r="W13">
            <v>1</v>
          </cell>
          <cell r="X13" t="str">
            <v>N.A.</v>
          </cell>
          <cell r="Y13" t="str">
            <v>N.A.</v>
          </cell>
          <cell r="AA13" t="str">
            <v>Min</v>
          </cell>
          <cell r="AB13" t="str">
            <v>MSL &amp; TSL</v>
          </cell>
          <cell r="AC13" t="str">
            <v>Entry &amp; TRP</v>
          </cell>
          <cell r="AE13" t="str">
            <v>S : Entry</v>
          </cell>
          <cell r="AF13" t="str">
            <v xml:space="preserve"> + </v>
          </cell>
          <cell r="AG13">
            <v>4.0000000000000001E-3</v>
          </cell>
          <cell r="AH13">
            <v>0</v>
          </cell>
          <cell r="AJ13" t="str">
            <v xml:space="preserve"> + </v>
          </cell>
          <cell r="AK13" t="str">
            <v>FUT : PRV : 2DHH</v>
          </cell>
          <cell r="AL13">
            <v>2.0000000000000001E-4</v>
          </cell>
          <cell r="AM13">
            <v>5</v>
          </cell>
          <cell r="AN13" t="str">
            <v>FUT : PRV : 2DHH</v>
          </cell>
          <cell r="AO13">
            <v>2.0000000000000001E-4</v>
          </cell>
          <cell r="AP13">
            <v>4</v>
          </cell>
          <cell r="AQ13" t="str">
            <v>FUT : PRV : 2DHH</v>
          </cell>
          <cell r="AR13">
            <v>2.0000000000000001E-4</v>
          </cell>
          <cell r="AS13">
            <v>3</v>
          </cell>
          <cell r="AT13" t="str">
            <v>FUT : PRV : 2DHH</v>
          </cell>
          <cell r="AU13">
            <v>2.0000000000000001E-4</v>
          </cell>
          <cell r="AV13">
            <v>2</v>
          </cell>
          <cell r="AW13" t="str">
            <v>FUT : PRV : 2DHH</v>
          </cell>
          <cell r="AX13">
            <v>2.0000000000000001E-4</v>
          </cell>
          <cell r="AY13">
            <v>1</v>
          </cell>
          <cell r="AZ13">
            <v>0</v>
          </cell>
          <cell r="BA13">
            <v>0</v>
          </cell>
          <cell r="BB13">
            <v>0</v>
          </cell>
          <cell r="BD13" t="str">
            <v xml:space="preserve"> RC. Time</v>
          </cell>
          <cell r="BE13">
            <v>0.38540972222222225</v>
          </cell>
          <cell r="BF13">
            <v>0.38540972222222225</v>
          </cell>
          <cell r="BG13" t="str">
            <v>N.A.</v>
          </cell>
          <cell r="BJ13" t="str">
            <v>Short</v>
          </cell>
          <cell r="BK13">
            <v>5.0000000000000001E-4</v>
          </cell>
          <cell r="BL13">
            <v>2.0000000000000001E-4</v>
          </cell>
          <cell r="BO13" t="str">
            <v>Put</v>
          </cell>
          <cell r="BP13" t="str">
            <v/>
          </cell>
        </row>
        <row r="14">
          <cell r="B14" t="str">
            <v>S2C</v>
          </cell>
          <cell r="C14" t="str">
            <v>Segment</v>
          </cell>
          <cell r="D14" t="str">
            <v>FUTURES</v>
          </cell>
          <cell r="E14" t="str">
            <v>Contract</v>
          </cell>
          <cell r="F14" t="str">
            <v>MONTHLY</v>
          </cell>
        </row>
        <row r="15">
          <cell r="B15" t="str">
            <v>S2D</v>
          </cell>
          <cell r="C15" t="str">
            <v>Symbol</v>
          </cell>
          <cell r="D15" t="str">
            <v>USDINR</v>
          </cell>
          <cell r="E15" t="str">
            <v>Bear / 
Bear CF</v>
          </cell>
          <cell r="F15" t="str">
            <v>Long</v>
          </cell>
          <cell r="G15" t="str">
            <v>FUT : PRV : 4DHH</v>
          </cell>
          <cell r="H15" t="str">
            <v xml:space="preserve"> + </v>
          </cell>
          <cell r="I15">
            <v>5.0000000000000001E-4</v>
          </cell>
          <cell r="J15">
            <v>5</v>
          </cell>
          <cell r="L15" t="str">
            <v xml:space="preserve">L : Entry </v>
          </cell>
          <cell r="M15" t="str">
            <v xml:space="preserve"> + </v>
          </cell>
          <cell r="N15">
            <v>4.0000000000000001E-3</v>
          </cell>
          <cell r="O15">
            <v>1</v>
          </cell>
          <cell r="P15">
            <v>6.0000000000000001E-3</v>
          </cell>
          <cell r="Q15">
            <v>1</v>
          </cell>
          <cell r="R15">
            <v>8.0000000000000002E-3</v>
          </cell>
          <cell r="S15">
            <v>1</v>
          </cell>
          <cell r="T15">
            <v>0.01</v>
          </cell>
          <cell r="U15">
            <v>1</v>
          </cell>
          <cell r="V15" t="str">
            <v>TR PROFIT AFTER TGT 4</v>
          </cell>
          <cell r="W15">
            <v>1</v>
          </cell>
          <cell r="X15" t="str">
            <v>N.A.</v>
          </cell>
          <cell r="Y15" t="str">
            <v>N.A.</v>
          </cell>
          <cell r="AA15" t="str">
            <v>Max</v>
          </cell>
          <cell r="AB15" t="str">
            <v>MSL &amp; TSL</v>
          </cell>
          <cell r="AC15" t="str">
            <v>Entry &amp; TRP</v>
          </cell>
          <cell r="AE15" t="str">
            <v>L : Entry</v>
          </cell>
          <cell r="AF15" t="str">
            <v xml:space="preserve"> - </v>
          </cell>
          <cell r="AG15">
            <v>4.0000000000000001E-3</v>
          </cell>
          <cell r="AH15">
            <v>0</v>
          </cell>
          <cell r="AJ15" t="str">
            <v xml:space="preserve"> - </v>
          </cell>
          <cell r="AK15" t="str">
            <v>FUT : PRV : 2DLL</v>
          </cell>
          <cell r="AL15">
            <v>2.0000000000000001E-4</v>
          </cell>
          <cell r="AM15">
            <v>5</v>
          </cell>
          <cell r="AN15" t="str">
            <v>FUT : PRV : 2DLL</v>
          </cell>
          <cell r="AO15">
            <v>2.0000000000000001E-4</v>
          </cell>
          <cell r="AP15">
            <v>4</v>
          </cell>
          <cell r="AQ15" t="str">
            <v>FUT : PRV : 2DLL</v>
          </cell>
          <cell r="AR15">
            <v>2.0000000000000001E-4</v>
          </cell>
          <cell r="AS15">
            <v>3</v>
          </cell>
          <cell r="AT15" t="str">
            <v>FUT : PRV : 2DLL</v>
          </cell>
          <cell r="AU15">
            <v>2.0000000000000001E-4</v>
          </cell>
          <cell r="AV15">
            <v>2</v>
          </cell>
          <cell r="AW15" t="str">
            <v>FUT : PRV : 2DLL</v>
          </cell>
          <cell r="AX15">
            <v>2.0000000000000001E-4</v>
          </cell>
          <cell r="AY15">
            <v>1</v>
          </cell>
          <cell r="AZ15">
            <v>0</v>
          </cell>
          <cell r="BA15">
            <v>0</v>
          </cell>
          <cell r="BB15">
            <v>0</v>
          </cell>
          <cell r="BD15" t="str">
            <v>Market Start Time</v>
          </cell>
          <cell r="BE15">
            <v>0.375</v>
          </cell>
          <cell r="BI15" t="str">
            <v>Bear / 
Bear CF</v>
          </cell>
          <cell r="BJ15" t="str">
            <v>Long</v>
          </cell>
          <cell r="BK15">
            <v>5.0000000000000001E-4</v>
          </cell>
          <cell r="BL15">
            <v>2.0000000000000001E-4</v>
          </cell>
          <cell r="BN15" t="str">
            <v>Bear | 
Bear CF</v>
          </cell>
          <cell r="BO15" t="str">
            <v>Call</v>
          </cell>
          <cell r="BP15" t="str">
            <v/>
          </cell>
        </row>
        <row r="16">
          <cell r="B16" t="str">
            <v>S2E</v>
          </cell>
          <cell r="C16" t="str">
            <v>No. of Targets</v>
          </cell>
          <cell r="D16" t="str">
            <v>4 &amp; APS</v>
          </cell>
          <cell r="F16" t="str">
            <v>Short</v>
          </cell>
          <cell r="G16" t="str">
            <v>FUT : PRV : 2DLL</v>
          </cell>
          <cell r="H16" t="str">
            <v xml:space="preserve"> - </v>
          </cell>
          <cell r="I16">
            <v>2.0000000000000001E-4</v>
          </cell>
          <cell r="J16">
            <v>5</v>
          </cell>
          <cell r="L16" t="str">
            <v xml:space="preserve">S : Entry </v>
          </cell>
          <cell r="M16" t="str">
            <v xml:space="preserve"> - </v>
          </cell>
          <cell r="N16">
            <v>4.0000000000000001E-3</v>
          </cell>
          <cell r="O16">
            <v>1</v>
          </cell>
          <cell r="P16">
            <v>6.0000000000000001E-3</v>
          </cell>
          <cell r="Q16">
            <v>1</v>
          </cell>
          <cell r="R16">
            <v>8.0000000000000002E-3</v>
          </cell>
          <cell r="S16">
            <v>1</v>
          </cell>
          <cell r="T16">
            <v>0.01</v>
          </cell>
          <cell r="U16">
            <v>1</v>
          </cell>
          <cell r="V16" t="str">
            <v>TR PROFIT AFTER TGT 4</v>
          </cell>
          <cell r="W16">
            <v>1</v>
          </cell>
          <cell r="X16" t="str">
            <v>N.A.</v>
          </cell>
          <cell r="Y16" t="str">
            <v>N.A.</v>
          </cell>
          <cell r="AA16" t="str">
            <v>Min</v>
          </cell>
          <cell r="AB16" t="str">
            <v>MSL &amp; TSL</v>
          </cell>
          <cell r="AC16" t="str">
            <v>Entry &amp; TRP</v>
          </cell>
          <cell r="AE16" t="str">
            <v>S : Entry</v>
          </cell>
          <cell r="AF16" t="str">
            <v xml:space="preserve"> + </v>
          </cell>
          <cell r="AG16">
            <v>4.0000000000000001E-3</v>
          </cell>
          <cell r="AH16">
            <v>0</v>
          </cell>
          <cell r="AJ16" t="str">
            <v xml:space="preserve"> + </v>
          </cell>
          <cell r="AK16" t="str">
            <v>FUT : PRV : 4DHH</v>
          </cell>
          <cell r="AL16">
            <v>5.0000000000000001E-4</v>
          </cell>
          <cell r="AM16">
            <v>5</v>
          </cell>
          <cell r="AN16" t="str">
            <v>FUT : PRV : 4DHH</v>
          </cell>
          <cell r="AO16">
            <v>5.0000000000000001E-4</v>
          </cell>
          <cell r="AP16">
            <v>4</v>
          </cell>
          <cell r="AQ16" t="str">
            <v>FUT : PRV : 4DHH</v>
          </cell>
          <cell r="AR16">
            <v>5.0000000000000001E-4</v>
          </cell>
          <cell r="AS16">
            <v>3</v>
          </cell>
          <cell r="AT16" t="str">
            <v>FUT : PRV : 4DHH</v>
          </cell>
          <cell r="AU16">
            <v>5.0000000000000001E-4</v>
          </cell>
          <cell r="AV16">
            <v>2</v>
          </cell>
          <cell r="AW16" t="str">
            <v>FUT : PRV : 4DHH</v>
          </cell>
          <cell r="AX16">
            <v>5.0000000000000001E-4</v>
          </cell>
          <cell r="AY16">
            <v>1</v>
          </cell>
          <cell r="AZ16">
            <v>0</v>
          </cell>
          <cell r="BA16">
            <v>0</v>
          </cell>
          <cell r="BB16">
            <v>0</v>
          </cell>
          <cell r="BD16" t="str">
            <v>Market End Time</v>
          </cell>
          <cell r="BE16">
            <v>0.70833333333333337</v>
          </cell>
          <cell r="BJ16" t="str">
            <v>Short</v>
          </cell>
          <cell r="BK16">
            <v>2.0000000000000001E-4</v>
          </cell>
          <cell r="BL16">
            <v>5.0000000000000001E-4</v>
          </cell>
          <cell r="BO16" t="str">
            <v>Put</v>
          </cell>
          <cell r="BP16" t="str">
            <v/>
          </cell>
        </row>
        <row r="18">
          <cell r="B18" t="str">
            <v>S3A</v>
          </cell>
          <cell r="C18" t="str">
            <v>Strategy Code</v>
          </cell>
          <cell r="D18" t="str">
            <v>S3</v>
          </cell>
          <cell r="E18" t="str">
            <v>Bull / 
Bull CF</v>
          </cell>
          <cell r="F18" t="str">
            <v>Long</v>
          </cell>
          <cell r="G18" t="str">
            <v>FUT : PRV : 1DHH</v>
          </cell>
          <cell r="H18" t="str">
            <v xml:space="preserve"> + </v>
          </cell>
          <cell r="I18">
            <v>0</v>
          </cell>
          <cell r="J18">
            <v>5</v>
          </cell>
          <cell r="L18" t="str">
            <v xml:space="preserve">L : Entry </v>
          </cell>
          <cell r="M18" t="str">
            <v xml:space="preserve"> + </v>
          </cell>
          <cell r="N18">
            <v>1.4999999999999999E-2</v>
          </cell>
          <cell r="O18">
            <v>1</v>
          </cell>
          <cell r="P18">
            <v>0.02</v>
          </cell>
          <cell r="Q18">
            <v>1</v>
          </cell>
          <cell r="R18">
            <v>2.5000000000000001E-2</v>
          </cell>
          <cell r="S18">
            <v>1</v>
          </cell>
          <cell r="T18">
            <v>0.03</v>
          </cell>
          <cell r="U18">
            <v>1</v>
          </cell>
          <cell r="V18" t="str">
            <v>TR PROFIT AFTER TGT 4</v>
          </cell>
          <cell r="W18">
            <v>1</v>
          </cell>
          <cell r="X18" t="str">
            <v>N.A.</v>
          </cell>
          <cell r="Y18" t="str">
            <v>N.A.</v>
          </cell>
          <cell r="AA18" t="str">
            <v>Max</v>
          </cell>
          <cell r="AB18" t="str">
            <v>MSL &amp; TSL</v>
          </cell>
          <cell r="AC18" t="str">
            <v>Entry &amp; TRP</v>
          </cell>
          <cell r="AE18" t="str">
            <v>L : Entry</v>
          </cell>
          <cell r="AF18" t="str">
            <v xml:space="preserve"> - </v>
          </cell>
          <cell r="AG18">
            <v>1.4999999999999999E-2</v>
          </cell>
          <cell r="AH18">
            <v>0</v>
          </cell>
          <cell r="AJ18" t="str">
            <v xml:space="preserve"> - </v>
          </cell>
          <cell r="AK18" t="str">
            <v>FUT : PRV : 2DLL</v>
          </cell>
          <cell r="AL18">
            <v>1.5E-3</v>
          </cell>
          <cell r="AM18">
            <v>5</v>
          </cell>
          <cell r="AN18" t="str">
            <v>FUT : PRV : 2DLL</v>
          </cell>
          <cell r="AO18">
            <v>1.5E-3</v>
          </cell>
          <cell r="AP18">
            <v>4</v>
          </cell>
          <cell r="AQ18" t="str">
            <v>FUT : PRV : 2DLL</v>
          </cell>
          <cell r="AR18">
            <v>1.5E-3</v>
          </cell>
          <cell r="AS18">
            <v>3</v>
          </cell>
          <cell r="AT18" t="str">
            <v>FUT : PRV : 2DLL</v>
          </cell>
          <cell r="AU18">
            <v>1.5E-3</v>
          </cell>
          <cell r="AV18">
            <v>2</v>
          </cell>
          <cell r="AW18" t="str">
            <v>FUT : PRV : 2DLL</v>
          </cell>
          <cell r="AX18">
            <v>1.5E-3</v>
          </cell>
          <cell r="AY18">
            <v>1</v>
          </cell>
          <cell r="AZ18">
            <v>0</v>
          </cell>
          <cell r="BA18">
            <v>0</v>
          </cell>
          <cell r="BB18">
            <v>0</v>
          </cell>
          <cell r="BD18" t="str">
            <v xml:space="preserve">ORPT </v>
          </cell>
          <cell r="BE18">
            <v>0.38888194444444446</v>
          </cell>
          <cell r="BF18">
            <v>0.38888194444444446</v>
          </cell>
          <cell r="BG18">
            <v>0.38541666666666669</v>
          </cell>
          <cell r="BI18" t="str">
            <v>Bull / 
Bull CF</v>
          </cell>
          <cell r="BJ18" t="str">
            <v>Long</v>
          </cell>
          <cell r="BK18">
            <v>1.5E-3</v>
          </cell>
          <cell r="BL18">
            <v>1.5E-3</v>
          </cell>
          <cell r="BN18" t="str">
            <v>Bull | 
Bull CF</v>
          </cell>
          <cell r="BO18" t="str">
            <v>Call</v>
          </cell>
          <cell r="BP18" t="str">
            <v/>
          </cell>
          <cell r="CU18">
            <v>0.625</v>
          </cell>
        </row>
        <row r="19">
          <cell r="B19" t="str">
            <v>S3B</v>
          </cell>
          <cell r="C19" t="str">
            <v>Unique Code</v>
          </cell>
          <cell r="D19" t="str">
            <v>BANKNIFTY_FUT_MT_DIFF_1D_2D</v>
          </cell>
          <cell r="F19" t="str">
            <v>Short</v>
          </cell>
          <cell r="G19" t="str">
            <v>FUT : PRV : 2DLL</v>
          </cell>
          <cell r="H19" t="str">
            <v xml:space="preserve"> - </v>
          </cell>
          <cell r="I19">
            <v>1.5E-3</v>
          </cell>
          <cell r="J19">
            <v>5</v>
          </cell>
          <cell r="L19" t="str">
            <v xml:space="preserve">S : Entry </v>
          </cell>
          <cell r="M19" t="str">
            <v xml:space="preserve"> - </v>
          </cell>
          <cell r="N19">
            <v>1.4999999999999999E-2</v>
          </cell>
          <cell r="O19">
            <v>1</v>
          </cell>
          <cell r="P19">
            <v>0.02</v>
          </cell>
          <cell r="Q19">
            <v>1</v>
          </cell>
          <cell r="R19">
            <v>2.5000000000000001E-2</v>
          </cell>
          <cell r="S19">
            <v>1</v>
          </cell>
          <cell r="T19">
            <v>0.03</v>
          </cell>
          <cell r="U19">
            <v>1</v>
          </cell>
          <cell r="V19" t="str">
            <v>TR PROFIT AFTER TGT 4</v>
          </cell>
          <cell r="W19">
            <v>1</v>
          </cell>
          <cell r="X19" t="str">
            <v>N.A.</v>
          </cell>
          <cell r="Y19" t="str">
            <v>N.A.</v>
          </cell>
          <cell r="AA19" t="str">
            <v>Min</v>
          </cell>
          <cell r="AB19" t="str">
            <v>MSL &amp; TSL</v>
          </cell>
          <cell r="AC19" t="str">
            <v>Entry &amp; TRP</v>
          </cell>
          <cell r="AE19" t="str">
            <v>S : Entry</v>
          </cell>
          <cell r="AF19" t="str">
            <v xml:space="preserve"> + </v>
          </cell>
          <cell r="AG19">
            <v>1.4999999999999999E-2</v>
          </cell>
          <cell r="AH19">
            <v>0</v>
          </cell>
          <cell r="AJ19" t="str">
            <v xml:space="preserve"> + </v>
          </cell>
          <cell r="AK19" t="str">
            <v>FUT : PRV : 1DHH</v>
          </cell>
          <cell r="AL19">
            <v>0</v>
          </cell>
          <cell r="AM19">
            <v>5</v>
          </cell>
          <cell r="AN19" t="str">
            <v>FUT : PRV : 1DHH</v>
          </cell>
          <cell r="AO19">
            <v>0</v>
          </cell>
          <cell r="AP19">
            <v>4</v>
          </cell>
          <cell r="AQ19" t="str">
            <v>FUT : PRV : 1DHH</v>
          </cell>
          <cell r="AR19">
            <v>0</v>
          </cell>
          <cell r="AS19">
            <v>3</v>
          </cell>
          <cell r="AT19" t="str">
            <v>FUT : PRV : 1DHH</v>
          </cell>
          <cell r="AU19">
            <v>0</v>
          </cell>
          <cell r="AV19">
            <v>2</v>
          </cell>
          <cell r="AW19" t="str">
            <v>FUT : PRV : 1DHH</v>
          </cell>
          <cell r="AX19">
            <v>0</v>
          </cell>
          <cell r="AY19">
            <v>1</v>
          </cell>
          <cell r="AZ19">
            <v>0</v>
          </cell>
          <cell r="BA19">
            <v>0</v>
          </cell>
          <cell r="BB19">
            <v>0</v>
          </cell>
          <cell r="BD19" t="str">
            <v xml:space="preserve"> RC. Time</v>
          </cell>
          <cell r="BE19">
            <v>0.39582638888888888</v>
          </cell>
          <cell r="BF19">
            <v>0.39582638888888888</v>
          </cell>
          <cell r="BG19" t="str">
            <v>N.A.</v>
          </cell>
          <cell r="BJ19" t="str">
            <v>Short</v>
          </cell>
          <cell r="BK19">
            <v>1.5E-3</v>
          </cell>
          <cell r="BL19">
            <v>1.5E-3</v>
          </cell>
          <cell r="BO19" t="str">
            <v>Put</v>
          </cell>
          <cell r="BP19" t="str">
            <v/>
          </cell>
        </row>
        <row r="20">
          <cell r="B20" t="str">
            <v>S3C</v>
          </cell>
          <cell r="C20" t="str">
            <v>Segment</v>
          </cell>
          <cell r="D20" t="str">
            <v>FUTURES</v>
          </cell>
          <cell r="E20" t="str">
            <v>Contract</v>
          </cell>
          <cell r="F20" t="str">
            <v>MONTHLY</v>
          </cell>
        </row>
        <row r="21">
          <cell r="B21" t="str">
            <v>S3D</v>
          </cell>
          <cell r="C21" t="str">
            <v>Symbol</v>
          </cell>
          <cell r="D21" t="str">
            <v>BANKNIFTY</v>
          </cell>
          <cell r="E21" t="str">
            <v>Bear / 
Bear CF</v>
          </cell>
          <cell r="F21" t="str">
            <v>Long</v>
          </cell>
          <cell r="G21" t="str">
            <v>FUT : PRV : 2DHH</v>
          </cell>
          <cell r="H21" t="str">
            <v xml:space="preserve"> + </v>
          </cell>
          <cell r="I21">
            <v>1.5E-3</v>
          </cell>
          <cell r="J21">
            <v>5</v>
          </cell>
          <cell r="L21" t="str">
            <v xml:space="preserve">L : Entry </v>
          </cell>
          <cell r="M21" t="str">
            <v xml:space="preserve"> + </v>
          </cell>
          <cell r="N21">
            <v>1.4999999999999999E-2</v>
          </cell>
          <cell r="O21">
            <v>1</v>
          </cell>
          <cell r="P21">
            <v>0.02</v>
          </cell>
          <cell r="Q21">
            <v>1</v>
          </cell>
          <cell r="R21">
            <v>2.5000000000000001E-2</v>
          </cell>
          <cell r="S21">
            <v>1</v>
          </cell>
          <cell r="T21">
            <v>0.03</v>
          </cell>
          <cell r="U21">
            <v>1</v>
          </cell>
          <cell r="V21" t="str">
            <v>TR PROFIT AFTER TGT 4</v>
          </cell>
          <cell r="W21">
            <v>1</v>
          </cell>
          <cell r="X21" t="str">
            <v>N.A.</v>
          </cell>
          <cell r="Y21" t="str">
            <v>N.A.</v>
          </cell>
          <cell r="AA21" t="str">
            <v>Max</v>
          </cell>
          <cell r="AB21" t="str">
            <v>MSL &amp; TSL</v>
          </cell>
          <cell r="AC21" t="str">
            <v>Entry &amp; TRP</v>
          </cell>
          <cell r="AE21" t="str">
            <v>L : Entry</v>
          </cell>
          <cell r="AF21" t="str">
            <v xml:space="preserve"> - </v>
          </cell>
          <cell r="AG21">
            <v>1.4999999999999999E-2</v>
          </cell>
          <cell r="AH21">
            <v>0</v>
          </cell>
          <cell r="AJ21" t="str">
            <v xml:space="preserve"> - </v>
          </cell>
          <cell r="AK21" t="str">
            <v>FUT : PRV : 1DLL</v>
          </cell>
          <cell r="AL21">
            <v>0</v>
          </cell>
          <cell r="AM21">
            <v>5</v>
          </cell>
          <cell r="AN21" t="str">
            <v>FUT : PRV : 1DLL</v>
          </cell>
          <cell r="AO21">
            <v>0</v>
          </cell>
          <cell r="AP21">
            <v>4</v>
          </cell>
          <cell r="AQ21" t="str">
            <v>FUT : PRV : 1DLL</v>
          </cell>
          <cell r="AR21">
            <v>0</v>
          </cell>
          <cell r="AS21">
            <v>3</v>
          </cell>
          <cell r="AT21" t="str">
            <v>FUT : PRV : 1DLL</v>
          </cell>
          <cell r="AU21">
            <v>0</v>
          </cell>
          <cell r="AV21">
            <v>2</v>
          </cell>
          <cell r="AW21" t="str">
            <v>FUT : PRV : 1DLL</v>
          </cell>
          <cell r="AX21">
            <v>0</v>
          </cell>
          <cell r="AY21">
            <v>1</v>
          </cell>
          <cell r="AZ21">
            <v>0</v>
          </cell>
          <cell r="BA21">
            <v>0</v>
          </cell>
          <cell r="BB21">
            <v>0</v>
          </cell>
          <cell r="BD21" t="str">
            <v>Market Start Time</v>
          </cell>
          <cell r="BE21">
            <v>0.38541666666666669</v>
          </cell>
          <cell r="BI21" t="str">
            <v>Bear / 
Bear CF</v>
          </cell>
          <cell r="BJ21" t="str">
            <v>Long</v>
          </cell>
          <cell r="BK21">
            <v>1.5E-3</v>
          </cell>
          <cell r="BL21">
            <v>1.5E-3</v>
          </cell>
          <cell r="BN21" t="str">
            <v>Bear | 
Bear CF</v>
          </cell>
          <cell r="BO21" t="str">
            <v>Call</v>
          </cell>
          <cell r="BP21" t="str">
            <v/>
          </cell>
        </row>
        <row r="22">
          <cell r="B22" t="str">
            <v>S3E</v>
          </cell>
          <cell r="C22" t="str">
            <v>No. of Targets</v>
          </cell>
          <cell r="D22" t="str">
            <v>4 &amp; APS</v>
          </cell>
          <cell r="F22" t="str">
            <v>Short</v>
          </cell>
          <cell r="G22" t="str">
            <v>FUT : PRV : 1DLL</v>
          </cell>
          <cell r="H22" t="str">
            <v xml:space="preserve"> - </v>
          </cell>
          <cell r="I22">
            <v>0</v>
          </cell>
          <cell r="J22">
            <v>5</v>
          </cell>
          <cell r="L22" t="str">
            <v xml:space="preserve">S : Entry </v>
          </cell>
          <cell r="M22" t="str">
            <v xml:space="preserve"> - </v>
          </cell>
          <cell r="N22">
            <v>1.4999999999999999E-2</v>
          </cell>
          <cell r="O22">
            <v>1</v>
          </cell>
          <cell r="P22">
            <v>0.02</v>
          </cell>
          <cell r="Q22">
            <v>1</v>
          </cell>
          <cell r="R22">
            <v>2.5000000000000001E-2</v>
          </cell>
          <cell r="S22">
            <v>1</v>
          </cell>
          <cell r="T22">
            <v>0.03</v>
          </cell>
          <cell r="U22">
            <v>1</v>
          </cell>
          <cell r="V22" t="str">
            <v>TR PROFIT AFTER TGT 4</v>
          </cell>
          <cell r="W22">
            <v>1</v>
          </cell>
          <cell r="X22" t="str">
            <v>N.A.</v>
          </cell>
          <cell r="Y22" t="str">
            <v>N.A.</v>
          </cell>
          <cell r="AA22" t="str">
            <v>Min</v>
          </cell>
          <cell r="AB22" t="str">
            <v>MSL &amp; TSL</v>
          </cell>
          <cell r="AC22" t="str">
            <v>Entry &amp; TRP</v>
          </cell>
          <cell r="AE22" t="str">
            <v>S : Entry</v>
          </cell>
          <cell r="AF22" t="str">
            <v xml:space="preserve"> + </v>
          </cell>
          <cell r="AG22">
            <v>1.4999999999999999E-2</v>
          </cell>
          <cell r="AH22">
            <v>0</v>
          </cell>
          <cell r="AJ22" t="str">
            <v xml:space="preserve"> + </v>
          </cell>
          <cell r="AK22" t="str">
            <v>FUT : PRV : 2DHH</v>
          </cell>
          <cell r="AL22">
            <v>1.5E-3</v>
          </cell>
          <cell r="AM22">
            <v>5</v>
          </cell>
          <cell r="AN22" t="str">
            <v>FUT : PRV : 2DHH</v>
          </cell>
          <cell r="AO22">
            <v>1.5E-3</v>
          </cell>
          <cell r="AP22">
            <v>4</v>
          </cell>
          <cell r="AQ22" t="str">
            <v>FUT : PRV : 2DHH</v>
          </cell>
          <cell r="AR22">
            <v>1.5E-3</v>
          </cell>
          <cell r="AS22">
            <v>3</v>
          </cell>
          <cell r="AT22" t="str">
            <v>FUT : PRV : 2DHH</v>
          </cell>
          <cell r="AU22">
            <v>1.5E-3</v>
          </cell>
          <cell r="AV22">
            <v>2</v>
          </cell>
          <cell r="AW22" t="str">
            <v>FUT : PRV : 2DHH</v>
          </cell>
          <cell r="AX22">
            <v>1.5E-3</v>
          </cell>
          <cell r="AY22">
            <v>1</v>
          </cell>
          <cell r="AZ22">
            <v>0</v>
          </cell>
          <cell r="BA22">
            <v>0</v>
          </cell>
          <cell r="BB22">
            <v>0</v>
          </cell>
          <cell r="BD22" t="str">
            <v>Market End Time</v>
          </cell>
          <cell r="BE22">
            <v>0.64583333333333337</v>
          </cell>
          <cell r="BJ22" t="str">
            <v>Short</v>
          </cell>
          <cell r="BK22">
            <v>1.5E-3</v>
          </cell>
          <cell r="BL22">
            <v>1.5E-3</v>
          </cell>
          <cell r="BO22" t="str">
            <v>Put</v>
          </cell>
          <cell r="BP22" t="str">
            <v/>
          </cell>
        </row>
        <row r="24">
          <cell r="B24" t="str">
            <v>S4A</v>
          </cell>
          <cell r="C24" t="str">
            <v>Strategy Code</v>
          </cell>
          <cell r="D24" t="str">
            <v>S4</v>
          </cell>
          <cell r="E24" t="str">
            <v>Bull / 
Bull CF</v>
          </cell>
          <cell r="F24" t="str">
            <v>Long</v>
          </cell>
          <cell r="G24" t="str">
            <v>FUT : PRV : 2DHH</v>
          </cell>
          <cell r="H24" t="str">
            <v xml:space="preserve"> + </v>
          </cell>
          <cell r="I24">
            <v>1.5E-3</v>
          </cell>
          <cell r="J24">
            <v>5</v>
          </cell>
          <cell r="L24" t="str">
            <v xml:space="preserve">L : Entry </v>
          </cell>
          <cell r="M24" t="str">
            <v xml:space="preserve"> + </v>
          </cell>
          <cell r="N24">
            <v>1.4999999999999999E-2</v>
          </cell>
          <cell r="O24">
            <v>1</v>
          </cell>
          <cell r="P24">
            <v>0.02</v>
          </cell>
          <cell r="Q24">
            <v>1</v>
          </cell>
          <cell r="R24">
            <v>2.5000000000000001E-2</v>
          </cell>
          <cell r="S24">
            <v>1</v>
          </cell>
          <cell r="T24">
            <v>0.03</v>
          </cell>
          <cell r="U24">
            <v>1</v>
          </cell>
          <cell r="V24" t="str">
            <v>TR PROFIT AFTER TGT 4</v>
          </cell>
          <cell r="W24">
            <v>1</v>
          </cell>
          <cell r="X24" t="str">
            <v>N.A.</v>
          </cell>
          <cell r="Y24" t="str">
            <v>N.A.</v>
          </cell>
          <cell r="AA24" t="str">
            <v>Max</v>
          </cell>
          <cell r="AB24" t="str">
            <v>MSL &amp; TSL</v>
          </cell>
          <cell r="AC24" t="str">
            <v>Entry &amp; TRP</v>
          </cell>
          <cell r="AE24" t="str">
            <v>L : Entry</v>
          </cell>
          <cell r="AF24" t="str">
            <v xml:space="preserve"> - </v>
          </cell>
          <cell r="AG24">
            <v>1.4999999999999999E-2</v>
          </cell>
          <cell r="AH24">
            <v>0</v>
          </cell>
          <cell r="AJ24" t="str">
            <v xml:space="preserve"> - </v>
          </cell>
          <cell r="AK24" t="str">
            <v>FUT : PRV : 2DLL</v>
          </cell>
          <cell r="AL24">
            <v>1.5E-3</v>
          </cell>
          <cell r="AM24">
            <v>5</v>
          </cell>
          <cell r="AN24" t="str">
            <v>FUT : PRV : 2DLL</v>
          </cell>
          <cell r="AO24">
            <v>1.5E-3</v>
          </cell>
          <cell r="AP24">
            <v>4</v>
          </cell>
          <cell r="AQ24" t="str">
            <v>FUT : PRV : 2DLL</v>
          </cell>
          <cell r="AR24">
            <v>1.5E-3</v>
          </cell>
          <cell r="AS24">
            <v>3</v>
          </cell>
          <cell r="AT24" t="str">
            <v>FUT : PRV : 2DLL</v>
          </cell>
          <cell r="AU24">
            <v>1.5E-3</v>
          </cell>
          <cell r="AV24">
            <v>2</v>
          </cell>
          <cell r="AW24" t="str">
            <v>FUT : PRV : 2DLL</v>
          </cell>
          <cell r="AX24">
            <v>1.5E-3</v>
          </cell>
          <cell r="AY24">
            <v>1</v>
          </cell>
          <cell r="AZ24">
            <v>0</v>
          </cell>
          <cell r="BA24">
            <v>0</v>
          </cell>
          <cell r="BB24">
            <v>0</v>
          </cell>
          <cell r="BD24" t="str">
            <v xml:space="preserve">ORPT </v>
          </cell>
          <cell r="BE24">
            <v>0.38888194444444446</v>
          </cell>
          <cell r="BF24">
            <v>0.38888194444444446</v>
          </cell>
          <cell r="BG24">
            <v>0.38541666666666669</v>
          </cell>
          <cell r="BI24" t="str">
            <v>Bull / 
Bull CF</v>
          </cell>
          <cell r="BJ24" t="str">
            <v>Long</v>
          </cell>
          <cell r="BK24">
            <v>1.5E-3</v>
          </cell>
          <cell r="BL24">
            <v>1.5E-3</v>
          </cell>
          <cell r="BN24" t="str">
            <v>Bull | 
Bull CF</v>
          </cell>
          <cell r="BO24" t="str">
            <v>Call</v>
          </cell>
          <cell r="BP24" t="str">
            <v/>
          </cell>
          <cell r="CU24">
            <v>0.625</v>
          </cell>
        </row>
        <row r="25">
          <cell r="B25" t="str">
            <v>S4B</v>
          </cell>
          <cell r="C25" t="str">
            <v>Unique Code</v>
          </cell>
          <cell r="D25" t="str">
            <v>BANKNIFTY_FUT_MT_SAME_2D_2D</v>
          </cell>
          <cell r="F25" t="str">
            <v>Short</v>
          </cell>
          <cell r="G25" t="str">
            <v>FUT : PRV : 2DLL</v>
          </cell>
          <cell r="H25" t="str">
            <v xml:space="preserve"> - </v>
          </cell>
          <cell r="I25">
            <v>1.5E-3</v>
          </cell>
          <cell r="J25">
            <v>5</v>
          </cell>
          <cell r="L25" t="str">
            <v xml:space="preserve">S : Entry </v>
          </cell>
          <cell r="M25" t="str">
            <v xml:space="preserve"> - </v>
          </cell>
          <cell r="N25">
            <v>1.4999999999999999E-2</v>
          </cell>
          <cell r="O25">
            <v>1</v>
          </cell>
          <cell r="P25">
            <v>0.02</v>
          </cell>
          <cell r="Q25">
            <v>1</v>
          </cell>
          <cell r="R25">
            <v>2.5000000000000001E-2</v>
          </cell>
          <cell r="S25">
            <v>1</v>
          </cell>
          <cell r="T25">
            <v>0.03</v>
          </cell>
          <cell r="U25">
            <v>1</v>
          </cell>
          <cell r="V25" t="str">
            <v>TR PROFIT AFTER TGT 4</v>
          </cell>
          <cell r="W25">
            <v>1</v>
          </cell>
          <cell r="X25" t="str">
            <v>N.A.</v>
          </cell>
          <cell r="Y25" t="str">
            <v>N.A.</v>
          </cell>
          <cell r="AA25" t="str">
            <v>Min</v>
          </cell>
          <cell r="AB25" t="str">
            <v>MSL &amp; TSL</v>
          </cell>
          <cell r="AC25" t="str">
            <v>Entry &amp; TRP</v>
          </cell>
          <cell r="AE25" t="str">
            <v>S : Entry</v>
          </cell>
          <cell r="AF25" t="str">
            <v xml:space="preserve"> + </v>
          </cell>
          <cell r="AG25">
            <v>1.4999999999999999E-2</v>
          </cell>
          <cell r="AH25">
            <v>0</v>
          </cell>
          <cell r="AJ25" t="str">
            <v xml:space="preserve"> + </v>
          </cell>
          <cell r="AK25" t="str">
            <v>FUT : PRV : 2DHH</v>
          </cell>
          <cell r="AL25">
            <v>1.5E-3</v>
          </cell>
          <cell r="AM25">
            <v>5</v>
          </cell>
          <cell r="AN25" t="str">
            <v>FUT : PRV : 2DHH</v>
          </cell>
          <cell r="AO25">
            <v>1.5E-3</v>
          </cell>
          <cell r="AP25">
            <v>4</v>
          </cell>
          <cell r="AQ25" t="str">
            <v>FUT : PRV : 2DHH</v>
          </cell>
          <cell r="AR25">
            <v>1.5E-3</v>
          </cell>
          <cell r="AS25">
            <v>3</v>
          </cell>
          <cell r="AT25" t="str">
            <v>FUT : PRV : 2DHH</v>
          </cell>
          <cell r="AU25">
            <v>1.5E-3</v>
          </cell>
          <cell r="AV25">
            <v>2</v>
          </cell>
          <cell r="AW25" t="str">
            <v>FUT : PRV : 2DHH</v>
          </cell>
          <cell r="AX25">
            <v>1.5E-3</v>
          </cell>
          <cell r="AY25">
            <v>1</v>
          </cell>
          <cell r="AZ25">
            <v>0</v>
          </cell>
          <cell r="BA25">
            <v>0</v>
          </cell>
          <cell r="BB25">
            <v>0</v>
          </cell>
          <cell r="BD25" t="str">
            <v xml:space="preserve"> RC. Time</v>
          </cell>
          <cell r="BE25">
            <v>0.39582638888888888</v>
          </cell>
          <cell r="BF25">
            <v>0.39582638888888888</v>
          </cell>
          <cell r="BG25" t="str">
            <v>N.A.</v>
          </cell>
          <cell r="BJ25" t="str">
            <v>Short</v>
          </cell>
          <cell r="BK25">
            <v>1.5E-3</v>
          </cell>
          <cell r="BL25">
            <v>1.5E-3</v>
          </cell>
          <cell r="BO25" t="str">
            <v>Put</v>
          </cell>
          <cell r="BP25" t="str">
            <v/>
          </cell>
        </row>
        <row r="26">
          <cell r="B26" t="str">
            <v>S4C</v>
          </cell>
          <cell r="C26" t="str">
            <v>Segment</v>
          </cell>
          <cell r="D26" t="str">
            <v>FUTURES</v>
          </cell>
          <cell r="E26" t="str">
            <v>Contract</v>
          </cell>
          <cell r="F26" t="str">
            <v>MONTHLY</v>
          </cell>
        </row>
        <row r="27">
          <cell r="B27" t="str">
            <v>S4D</v>
          </cell>
          <cell r="C27" t="str">
            <v>Symbol</v>
          </cell>
          <cell r="D27" t="str">
            <v>BANKNIFTY</v>
          </cell>
          <cell r="E27" t="str">
            <v>Bear / 
Bear CF</v>
          </cell>
          <cell r="F27" t="str">
            <v>Long</v>
          </cell>
          <cell r="G27" t="str">
            <v>FUT : PRV : 2DHH</v>
          </cell>
          <cell r="H27" t="str">
            <v xml:space="preserve"> + </v>
          </cell>
          <cell r="I27">
            <v>1.5E-3</v>
          </cell>
          <cell r="J27">
            <v>5</v>
          </cell>
          <cell r="L27" t="str">
            <v xml:space="preserve">L : Entry </v>
          </cell>
          <cell r="M27" t="str">
            <v xml:space="preserve"> + </v>
          </cell>
          <cell r="N27">
            <v>1.4999999999999999E-2</v>
          </cell>
          <cell r="O27">
            <v>1</v>
          </cell>
          <cell r="P27">
            <v>0.02</v>
          </cell>
          <cell r="Q27">
            <v>1</v>
          </cell>
          <cell r="R27">
            <v>2.5000000000000001E-2</v>
          </cell>
          <cell r="S27">
            <v>1</v>
          </cell>
          <cell r="T27">
            <v>0.03</v>
          </cell>
          <cell r="U27">
            <v>1</v>
          </cell>
          <cell r="V27" t="str">
            <v>TR PROFIT AFTER TGT 4</v>
          </cell>
          <cell r="W27">
            <v>1</v>
          </cell>
          <cell r="X27" t="str">
            <v>N.A.</v>
          </cell>
          <cell r="Y27" t="str">
            <v>N.A.</v>
          </cell>
          <cell r="AA27" t="str">
            <v>Max</v>
          </cell>
          <cell r="AB27" t="str">
            <v>MSL &amp; TSL</v>
          </cell>
          <cell r="AC27" t="str">
            <v>Entry &amp; TRP</v>
          </cell>
          <cell r="AE27" t="str">
            <v>L : Entry</v>
          </cell>
          <cell r="AF27" t="str">
            <v xml:space="preserve"> - </v>
          </cell>
          <cell r="AG27">
            <v>1.4999999999999999E-2</v>
          </cell>
          <cell r="AH27">
            <v>0</v>
          </cell>
          <cell r="AJ27" t="str">
            <v xml:space="preserve"> - </v>
          </cell>
          <cell r="AK27" t="str">
            <v>FUT : PRV : 2DLL</v>
          </cell>
          <cell r="AL27">
            <v>1.5E-3</v>
          </cell>
          <cell r="AM27">
            <v>5</v>
          </cell>
          <cell r="AN27" t="str">
            <v>FUT : PRV : 2DLL</v>
          </cell>
          <cell r="AO27">
            <v>1.5E-3</v>
          </cell>
          <cell r="AP27">
            <v>4</v>
          </cell>
          <cell r="AQ27" t="str">
            <v>FUT : PRV : 2DLL</v>
          </cell>
          <cell r="AR27">
            <v>1.5E-3</v>
          </cell>
          <cell r="AS27">
            <v>3</v>
          </cell>
          <cell r="AT27" t="str">
            <v>FUT : PRV : 2DLL</v>
          </cell>
          <cell r="AU27">
            <v>1.5E-3</v>
          </cell>
          <cell r="AV27">
            <v>2</v>
          </cell>
          <cell r="AW27" t="str">
            <v>FUT : PRV : 2DLL</v>
          </cell>
          <cell r="AX27">
            <v>1.5E-3</v>
          </cell>
          <cell r="AY27">
            <v>1</v>
          </cell>
          <cell r="AZ27">
            <v>0</v>
          </cell>
          <cell r="BA27">
            <v>0</v>
          </cell>
          <cell r="BB27">
            <v>0</v>
          </cell>
          <cell r="BD27" t="str">
            <v>Market Start Time</v>
          </cell>
          <cell r="BE27">
            <v>0.38541666666666669</v>
          </cell>
          <cell r="BI27" t="str">
            <v>Bear / 
Bear CF</v>
          </cell>
          <cell r="BJ27" t="str">
            <v>Long</v>
          </cell>
          <cell r="BK27">
            <v>1.5E-3</v>
          </cell>
          <cell r="BL27">
            <v>1.5E-3</v>
          </cell>
          <cell r="BN27" t="str">
            <v>Bear | 
Bear CF</v>
          </cell>
          <cell r="BO27" t="str">
            <v>Call</v>
          </cell>
          <cell r="BP27" t="str">
            <v/>
          </cell>
        </row>
        <row r="28">
          <cell r="B28" t="str">
            <v>S4E</v>
          </cell>
          <cell r="C28" t="str">
            <v>Contract</v>
          </cell>
          <cell r="D28" t="str">
            <v>4 &amp; APS</v>
          </cell>
          <cell r="F28" t="str">
            <v>Short</v>
          </cell>
          <cell r="G28" t="str">
            <v>FUT : PRV : 2DLL</v>
          </cell>
          <cell r="H28" t="str">
            <v xml:space="preserve"> - </v>
          </cell>
          <cell r="I28">
            <v>1.5E-3</v>
          </cell>
          <cell r="J28">
            <v>5</v>
          </cell>
          <cell r="L28" t="str">
            <v xml:space="preserve">S : Entry </v>
          </cell>
          <cell r="M28" t="str">
            <v xml:space="preserve"> - </v>
          </cell>
          <cell r="N28">
            <v>1.4999999999999999E-2</v>
          </cell>
          <cell r="O28">
            <v>1</v>
          </cell>
          <cell r="P28">
            <v>0.02</v>
          </cell>
          <cell r="Q28">
            <v>1</v>
          </cell>
          <cell r="R28">
            <v>2.5000000000000001E-2</v>
          </cell>
          <cell r="S28">
            <v>1</v>
          </cell>
          <cell r="T28">
            <v>0.03</v>
          </cell>
          <cell r="U28">
            <v>1</v>
          </cell>
          <cell r="V28" t="str">
            <v>TR PROFIT AFTER TGT 4</v>
          </cell>
          <cell r="W28">
            <v>1</v>
          </cell>
          <cell r="X28" t="str">
            <v>N.A.</v>
          </cell>
          <cell r="Y28" t="str">
            <v>N.A.</v>
          </cell>
          <cell r="AA28" t="str">
            <v>Min</v>
          </cell>
          <cell r="AB28" t="str">
            <v>MSL &amp; TSL</v>
          </cell>
          <cell r="AC28" t="str">
            <v>Entry &amp; TRP</v>
          </cell>
          <cell r="AE28" t="str">
            <v>S : Entry</v>
          </cell>
          <cell r="AF28" t="str">
            <v xml:space="preserve"> + </v>
          </cell>
          <cell r="AG28">
            <v>1.4999999999999999E-2</v>
          </cell>
          <cell r="AH28">
            <v>0</v>
          </cell>
          <cell r="AJ28" t="str">
            <v xml:space="preserve"> + </v>
          </cell>
          <cell r="AK28" t="str">
            <v>FUT : PRV : 2DHH</v>
          </cell>
          <cell r="AL28">
            <v>1.5E-3</v>
          </cell>
          <cell r="AM28">
            <v>5</v>
          </cell>
          <cell r="AN28" t="str">
            <v>FUT : PRV : 2DHH</v>
          </cell>
          <cell r="AO28">
            <v>1.5E-3</v>
          </cell>
          <cell r="AP28">
            <v>4</v>
          </cell>
          <cell r="AQ28" t="str">
            <v>FUT : PRV : 2DHH</v>
          </cell>
          <cell r="AR28">
            <v>1.5E-3</v>
          </cell>
          <cell r="AS28">
            <v>3</v>
          </cell>
          <cell r="AT28" t="str">
            <v>FUT : PRV : 2DHH</v>
          </cell>
          <cell r="AU28">
            <v>1.5E-3</v>
          </cell>
          <cell r="AV28">
            <v>2</v>
          </cell>
          <cell r="AW28" t="str">
            <v>FUT : PRV : 2DHH</v>
          </cell>
          <cell r="AX28">
            <v>1.5E-3</v>
          </cell>
          <cell r="AY28">
            <v>1</v>
          </cell>
          <cell r="AZ28">
            <v>0</v>
          </cell>
          <cell r="BA28">
            <v>0</v>
          </cell>
          <cell r="BB28">
            <v>0</v>
          </cell>
          <cell r="BD28" t="str">
            <v>Market End Time</v>
          </cell>
          <cell r="BE28">
            <v>0.64583333333333337</v>
          </cell>
          <cell r="BJ28" t="str">
            <v>Short</v>
          </cell>
          <cell r="BK28">
            <v>1.5E-3</v>
          </cell>
          <cell r="BL28">
            <v>1.5E-3</v>
          </cell>
          <cell r="BO28" t="str">
            <v>Put</v>
          </cell>
          <cell r="BP28" t="str">
            <v/>
          </cell>
        </row>
        <row r="30">
          <cell r="B30" t="str">
            <v>S5A</v>
          </cell>
          <cell r="C30" t="str">
            <v>Strategy Code</v>
          </cell>
          <cell r="D30" t="str">
            <v>S5</v>
          </cell>
          <cell r="E30" t="str">
            <v>Bull / 
Bull CF</v>
          </cell>
          <cell r="F30" t="str">
            <v>Long</v>
          </cell>
          <cell r="G30" t="str">
            <v>FUT : PRV : 2DHH</v>
          </cell>
          <cell r="H30" t="str">
            <v xml:space="preserve"> + </v>
          </cell>
          <cell r="I30">
            <v>0</v>
          </cell>
          <cell r="J30">
            <v>5</v>
          </cell>
          <cell r="L30" t="str">
            <v xml:space="preserve">L : Entry </v>
          </cell>
          <cell r="M30" t="str">
            <v xml:space="preserve"> + </v>
          </cell>
          <cell r="N30">
            <v>0.03</v>
          </cell>
          <cell r="O30">
            <v>1</v>
          </cell>
          <cell r="P30">
            <v>4.4999999999999998E-2</v>
          </cell>
          <cell r="Q30">
            <v>1</v>
          </cell>
          <cell r="R30">
            <v>0.06</v>
          </cell>
          <cell r="S30">
            <v>1</v>
          </cell>
          <cell r="T30">
            <v>0.08</v>
          </cell>
          <cell r="U30">
            <v>1</v>
          </cell>
          <cell r="V30" t="str">
            <v>TR PROFIT AFTER TGT 4</v>
          </cell>
          <cell r="W30">
            <v>1</v>
          </cell>
          <cell r="X30" t="str">
            <v>N.A.</v>
          </cell>
          <cell r="Y30" t="str">
            <v>N.A.</v>
          </cell>
          <cell r="AA30" t="str">
            <v>Max</v>
          </cell>
          <cell r="AB30" t="str">
            <v>MSL &amp; TSL</v>
          </cell>
          <cell r="AC30" t="str">
            <v>Entry &amp; TRP</v>
          </cell>
          <cell r="AE30" t="str">
            <v>L : Entry</v>
          </cell>
          <cell r="AF30" t="str">
            <v xml:space="preserve"> - </v>
          </cell>
          <cell r="AG30">
            <v>0.03</v>
          </cell>
          <cell r="AH30">
            <v>0</v>
          </cell>
          <cell r="AJ30" t="str">
            <v xml:space="preserve"> - </v>
          </cell>
          <cell r="AK30" t="str">
            <v>FUT : PRV : 3DLL</v>
          </cell>
          <cell r="AL30">
            <v>0.01</v>
          </cell>
          <cell r="AM30">
            <v>5</v>
          </cell>
          <cell r="AN30" t="str">
            <v>FUT : PRV : 3DLL</v>
          </cell>
          <cell r="AO30">
            <v>0.01</v>
          </cell>
          <cell r="AP30">
            <v>4</v>
          </cell>
          <cell r="AQ30" t="str">
            <v>FUT : PRV : 3DLL</v>
          </cell>
          <cell r="AR30">
            <v>0.01</v>
          </cell>
          <cell r="AS30">
            <v>3</v>
          </cell>
          <cell r="AT30" t="str">
            <v>FUT : PRV : 3DLL</v>
          </cell>
          <cell r="AU30">
            <v>0.01</v>
          </cell>
          <cell r="AV30">
            <v>2</v>
          </cell>
          <cell r="AW30" t="str">
            <v>FUT : PRV : 3DLL</v>
          </cell>
          <cell r="AX30">
            <v>0.01</v>
          </cell>
          <cell r="AY30">
            <v>1</v>
          </cell>
          <cell r="AZ30">
            <v>0</v>
          </cell>
          <cell r="BA30">
            <v>0</v>
          </cell>
          <cell r="BB30">
            <v>0</v>
          </cell>
          <cell r="BD30" t="str">
            <v xml:space="preserve">ORPT </v>
          </cell>
          <cell r="BE30">
            <v>0.38888194444444446</v>
          </cell>
          <cell r="BF30">
            <v>0.38888194444444446</v>
          </cell>
          <cell r="BG30">
            <v>0.38541666666666669</v>
          </cell>
          <cell r="BI30" t="str">
            <v>Bull / 
Bull CF</v>
          </cell>
          <cell r="BJ30" t="str">
            <v>Long</v>
          </cell>
          <cell r="BK30">
            <v>0.01</v>
          </cell>
          <cell r="BL30">
            <v>0.01</v>
          </cell>
          <cell r="BN30" t="str">
            <v>Bull | 
Bull CF</v>
          </cell>
          <cell r="BO30" t="str">
            <v>Call</v>
          </cell>
          <cell r="BP30" t="str">
            <v/>
          </cell>
          <cell r="CU30">
            <v>0.625</v>
          </cell>
        </row>
        <row r="31">
          <cell r="B31" t="str">
            <v>S5B</v>
          </cell>
          <cell r="C31" t="str">
            <v>Unique Code</v>
          </cell>
          <cell r="D31" t="str">
            <v>STOCKS_FUT_MT_DIFF_2D_3D</v>
          </cell>
          <cell r="F31" t="str">
            <v>Short</v>
          </cell>
          <cell r="G31" t="str">
            <v>FUT : PRV : 3DLL</v>
          </cell>
          <cell r="H31" t="str">
            <v xml:space="preserve"> - </v>
          </cell>
          <cell r="I31">
            <v>0.01</v>
          </cell>
          <cell r="J31">
            <v>5</v>
          </cell>
          <cell r="L31" t="str">
            <v xml:space="preserve">S : Entry </v>
          </cell>
          <cell r="M31" t="str">
            <v xml:space="preserve"> - </v>
          </cell>
          <cell r="N31">
            <v>0.03</v>
          </cell>
          <cell r="O31">
            <v>1</v>
          </cell>
          <cell r="P31">
            <v>4.4999999999999998E-2</v>
          </cell>
          <cell r="Q31">
            <v>1</v>
          </cell>
          <cell r="R31">
            <v>0.06</v>
          </cell>
          <cell r="S31">
            <v>1</v>
          </cell>
          <cell r="T31">
            <v>0.08</v>
          </cell>
          <cell r="U31">
            <v>1</v>
          </cell>
          <cell r="V31" t="str">
            <v>TR PROFIT AFTER TGT 4</v>
          </cell>
          <cell r="W31">
            <v>1</v>
          </cell>
          <cell r="X31" t="str">
            <v>N.A.</v>
          </cell>
          <cell r="Y31" t="str">
            <v>N.A.</v>
          </cell>
          <cell r="AA31" t="str">
            <v>Min</v>
          </cell>
          <cell r="AB31" t="str">
            <v>MSL &amp; TSL</v>
          </cell>
          <cell r="AC31" t="str">
            <v>Entry &amp; TRP</v>
          </cell>
          <cell r="AE31" t="str">
            <v>S : Entry</v>
          </cell>
          <cell r="AF31" t="str">
            <v xml:space="preserve"> + </v>
          </cell>
          <cell r="AG31">
            <v>0.03</v>
          </cell>
          <cell r="AH31">
            <v>0</v>
          </cell>
          <cell r="AJ31" t="str">
            <v xml:space="preserve"> + </v>
          </cell>
          <cell r="AK31" t="str">
            <v>FUT : PRV : 2DHH</v>
          </cell>
          <cell r="AL31">
            <v>0</v>
          </cell>
          <cell r="AM31">
            <v>5</v>
          </cell>
          <cell r="AN31" t="str">
            <v>FUT : PRV : 2DHH</v>
          </cell>
          <cell r="AO31">
            <v>0</v>
          </cell>
          <cell r="AP31">
            <v>4</v>
          </cell>
          <cell r="AQ31" t="str">
            <v>FUT : PRV : 2DHH</v>
          </cell>
          <cell r="AR31">
            <v>0</v>
          </cell>
          <cell r="AS31">
            <v>3</v>
          </cell>
          <cell r="AT31" t="str">
            <v>FUT : PRV : 2DHH</v>
          </cell>
          <cell r="AU31">
            <v>0</v>
          </cell>
          <cell r="AV31">
            <v>2</v>
          </cell>
          <cell r="AW31" t="str">
            <v>FUT : PRV : 2DHH</v>
          </cell>
          <cell r="AX31">
            <v>0</v>
          </cell>
          <cell r="AY31">
            <v>1</v>
          </cell>
          <cell r="AZ31">
            <v>0</v>
          </cell>
          <cell r="BA31">
            <v>0</v>
          </cell>
          <cell r="BB31">
            <v>0</v>
          </cell>
          <cell r="BD31" t="str">
            <v xml:space="preserve"> RC. Time</v>
          </cell>
          <cell r="BE31">
            <v>0.39582638888888888</v>
          </cell>
          <cell r="BF31">
            <v>0.39582638888888888</v>
          </cell>
          <cell r="BG31" t="str">
            <v>N.A.</v>
          </cell>
          <cell r="BJ31" t="str">
            <v>Short</v>
          </cell>
          <cell r="BK31">
            <v>0.01</v>
          </cell>
          <cell r="BL31">
            <v>0.01</v>
          </cell>
          <cell r="BO31" t="str">
            <v>Put</v>
          </cell>
          <cell r="BP31" t="str">
            <v/>
          </cell>
        </row>
        <row r="32">
          <cell r="B32" t="str">
            <v>S5C</v>
          </cell>
          <cell r="C32" t="str">
            <v>Segment</v>
          </cell>
          <cell r="D32" t="str">
            <v>FUTURES</v>
          </cell>
          <cell r="E32" t="str">
            <v>Contract</v>
          </cell>
          <cell r="F32" t="str">
            <v>MONTHLY</v>
          </cell>
        </row>
        <row r="33">
          <cell r="B33" t="str">
            <v>S5D</v>
          </cell>
          <cell r="C33" t="str">
            <v>Symbol</v>
          </cell>
          <cell r="D33" t="str">
            <v>STOCKS</v>
          </cell>
          <cell r="E33" t="str">
            <v>Bear / 
Bear CF</v>
          </cell>
          <cell r="F33" t="str">
            <v>Long</v>
          </cell>
          <cell r="G33" t="str">
            <v>FUT : PRV : 3DHH</v>
          </cell>
          <cell r="H33" t="str">
            <v xml:space="preserve"> + </v>
          </cell>
          <cell r="I33">
            <v>0.01</v>
          </cell>
          <cell r="J33">
            <v>5</v>
          </cell>
          <cell r="L33" t="str">
            <v xml:space="preserve">L : Entry </v>
          </cell>
          <cell r="M33" t="str">
            <v xml:space="preserve"> + </v>
          </cell>
          <cell r="N33">
            <v>0.03</v>
          </cell>
          <cell r="O33">
            <v>1</v>
          </cell>
          <cell r="P33">
            <v>4.4999999999999998E-2</v>
          </cell>
          <cell r="Q33">
            <v>1</v>
          </cell>
          <cell r="R33">
            <v>0.06</v>
          </cell>
          <cell r="S33">
            <v>1</v>
          </cell>
          <cell r="T33">
            <v>0.08</v>
          </cell>
          <cell r="U33">
            <v>1</v>
          </cell>
          <cell r="V33" t="str">
            <v>TR PROFIT AFTER TGT 4</v>
          </cell>
          <cell r="W33">
            <v>1</v>
          </cell>
          <cell r="X33" t="str">
            <v>N.A.</v>
          </cell>
          <cell r="Y33" t="str">
            <v>N.A.</v>
          </cell>
          <cell r="AA33" t="str">
            <v>Max</v>
          </cell>
          <cell r="AB33" t="str">
            <v>MSL &amp; TSL</v>
          </cell>
          <cell r="AC33" t="str">
            <v>Entry &amp; TRP</v>
          </cell>
          <cell r="AE33" t="str">
            <v>L : Entry</v>
          </cell>
          <cell r="AF33" t="str">
            <v xml:space="preserve"> - </v>
          </cell>
          <cell r="AG33">
            <v>0.03</v>
          </cell>
          <cell r="AH33">
            <v>0</v>
          </cell>
          <cell r="AJ33" t="str">
            <v xml:space="preserve"> - </v>
          </cell>
          <cell r="AK33" t="str">
            <v>FUT : PRV : 2DLL</v>
          </cell>
          <cell r="AL33">
            <v>0</v>
          </cell>
          <cell r="AM33">
            <v>5</v>
          </cell>
          <cell r="AN33" t="str">
            <v>FUT : PRV : 2DLL</v>
          </cell>
          <cell r="AO33">
            <v>0</v>
          </cell>
          <cell r="AP33">
            <v>4</v>
          </cell>
          <cell r="AQ33" t="str">
            <v>FUT : PRV : 2DLL</v>
          </cell>
          <cell r="AR33">
            <v>0</v>
          </cell>
          <cell r="AS33">
            <v>3</v>
          </cell>
          <cell r="AT33" t="str">
            <v>FUT : PRV : 2DLL</v>
          </cell>
          <cell r="AU33">
            <v>0</v>
          </cell>
          <cell r="AV33">
            <v>2</v>
          </cell>
          <cell r="AW33" t="str">
            <v>FUT : PRV : 2DLL</v>
          </cell>
          <cell r="AX33">
            <v>0</v>
          </cell>
          <cell r="AY33">
            <v>1</v>
          </cell>
          <cell r="AZ33">
            <v>0</v>
          </cell>
          <cell r="BA33">
            <v>0</v>
          </cell>
          <cell r="BB33">
            <v>0</v>
          </cell>
          <cell r="BD33" t="str">
            <v>Market Start Time</v>
          </cell>
          <cell r="BE33">
            <v>0.38541666666666669</v>
          </cell>
          <cell r="BI33" t="str">
            <v>Bear / 
Bear CF</v>
          </cell>
          <cell r="BJ33" t="str">
            <v>Long</v>
          </cell>
          <cell r="BK33">
            <v>0.01</v>
          </cell>
          <cell r="BL33">
            <v>0.01</v>
          </cell>
          <cell r="BN33" t="str">
            <v>Bear | 
Bear CF</v>
          </cell>
          <cell r="BO33" t="str">
            <v>Call</v>
          </cell>
          <cell r="BP33" t="str">
            <v/>
          </cell>
        </row>
        <row r="34">
          <cell r="B34" t="str">
            <v>S5E</v>
          </cell>
          <cell r="C34" t="str">
            <v>No. of Targets</v>
          </cell>
          <cell r="D34" t="str">
            <v>4 &amp; APS</v>
          </cell>
          <cell r="F34" t="str">
            <v>Short</v>
          </cell>
          <cell r="G34" t="str">
            <v>FUT : PRV : 2DLL</v>
          </cell>
          <cell r="H34" t="str">
            <v xml:space="preserve"> - </v>
          </cell>
          <cell r="I34">
            <v>0</v>
          </cell>
          <cell r="J34">
            <v>5</v>
          </cell>
          <cell r="L34" t="str">
            <v xml:space="preserve">S : Entry </v>
          </cell>
          <cell r="M34" t="str">
            <v xml:space="preserve"> - </v>
          </cell>
          <cell r="N34">
            <v>0.03</v>
          </cell>
          <cell r="O34">
            <v>1</v>
          </cell>
          <cell r="P34">
            <v>4.4999999999999998E-2</v>
          </cell>
          <cell r="Q34">
            <v>1</v>
          </cell>
          <cell r="R34">
            <v>0.06</v>
          </cell>
          <cell r="S34">
            <v>1</v>
          </cell>
          <cell r="T34">
            <v>0.08</v>
          </cell>
          <cell r="U34">
            <v>1</v>
          </cell>
          <cell r="V34" t="str">
            <v>TR PROFIT AFTER TGT 4</v>
          </cell>
          <cell r="W34">
            <v>1</v>
          </cell>
          <cell r="X34" t="str">
            <v>N.A.</v>
          </cell>
          <cell r="Y34" t="str">
            <v>N.A.</v>
          </cell>
          <cell r="AA34" t="str">
            <v>Min</v>
          </cell>
          <cell r="AB34" t="str">
            <v>MSL &amp; TSL</v>
          </cell>
          <cell r="AC34" t="str">
            <v>Entry &amp; TRP</v>
          </cell>
          <cell r="AE34" t="str">
            <v>S : Entry</v>
          </cell>
          <cell r="AF34" t="str">
            <v xml:space="preserve"> + </v>
          </cell>
          <cell r="AG34">
            <v>0.03</v>
          </cell>
          <cell r="AH34">
            <v>0</v>
          </cell>
          <cell r="AJ34" t="str">
            <v xml:space="preserve"> + </v>
          </cell>
          <cell r="AK34" t="str">
            <v>FUT : PRV : 3DHH</v>
          </cell>
          <cell r="AL34">
            <v>0.01</v>
          </cell>
          <cell r="AM34">
            <v>5</v>
          </cell>
          <cell r="AN34" t="str">
            <v>FUT : PRV : 3DHH</v>
          </cell>
          <cell r="AO34">
            <v>0.01</v>
          </cell>
          <cell r="AP34">
            <v>4</v>
          </cell>
          <cell r="AQ34" t="str">
            <v>FUT : PRV : 3DHH</v>
          </cell>
          <cell r="AR34">
            <v>0.01</v>
          </cell>
          <cell r="AS34">
            <v>3</v>
          </cell>
          <cell r="AT34" t="str">
            <v>FUT : PRV : 3DHH</v>
          </cell>
          <cell r="AU34">
            <v>0.01</v>
          </cell>
          <cell r="AV34">
            <v>2</v>
          </cell>
          <cell r="AW34" t="str">
            <v>FUT : PRV : 3DHH</v>
          </cell>
          <cell r="AX34">
            <v>0.01</v>
          </cell>
          <cell r="AY34">
            <v>1</v>
          </cell>
          <cell r="AZ34">
            <v>0</v>
          </cell>
          <cell r="BA34">
            <v>0</v>
          </cell>
          <cell r="BB34">
            <v>0</v>
          </cell>
          <cell r="BD34" t="str">
            <v>Market End Time</v>
          </cell>
          <cell r="BE34">
            <v>0.64583333333333337</v>
          </cell>
          <cell r="BJ34" t="str">
            <v>Short</v>
          </cell>
          <cell r="BK34">
            <v>0.01</v>
          </cell>
          <cell r="BL34">
            <v>0.01</v>
          </cell>
          <cell r="BO34" t="str">
            <v>Put</v>
          </cell>
          <cell r="BP34" t="str">
            <v/>
          </cell>
        </row>
        <row r="36">
          <cell r="B36" t="str">
            <v>S6A</v>
          </cell>
          <cell r="C36" t="str">
            <v>Strategy Code</v>
          </cell>
          <cell r="D36" t="str">
            <v>S6</v>
          </cell>
          <cell r="E36" t="str">
            <v>Bull / 
Bull CF</v>
          </cell>
          <cell r="F36" t="str">
            <v>Long</v>
          </cell>
          <cell r="G36" t="str">
            <v>FUT : PRV : 3DHH</v>
          </cell>
          <cell r="H36" t="str">
            <v xml:space="preserve"> + </v>
          </cell>
          <cell r="I36">
            <v>0.01</v>
          </cell>
          <cell r="J36">
            <v>5</v>
          </cell>
          <cell r="L36" t="str">
            <v xml:space="preserve">L : Entry </v>
          </cell>
          <cell r="M36" t="str">
            <v xml:space="preserve"> + </v>
          </cell>
          <cell r="N36">
            <v>0.03</v>
          </cell>
          <cell r="O36">
            <v>1</v>
          </cell>
          <cell r="P36">
            <v>4.4999999999999998E-2</v>
          </cell>
          <cell r="Q36">
            <v>1</v>
          </cell>
          <cell r="R36">
            <v>0.06</v>
          </cell>
          <cell r="S36">
            <v>1</v>
          </cell>
          <cell r="T36">
            <v>0.08</v>
          </cell>
          <cell r="U36">
            <v>1</v>
          </cell>
          <cell r="V36" t="str">
            <v>TR PROFIT AFTER TGT 4</v>
          </cell>
          <cell r="W36">
            <v>1</v>
          </cell>
          <cell r="X36" t="str">
            <v>N.A.</v>
          </cell>
          <cell r="Y36" t="str">
            <v>N.A.</v>
          </cell>
          <cell r="AA36" t="str">
            <v>Max</v>
          </cell>
          <cell r="AB36" t="str">
            <v>MSL &amp; TSL</v>
          </cell>
          <cell r="AC36" t="str">
            <v>Entry &amp; TRP</v>
          </cell>
          <cell r="AE36" t="str">
            <v>L : Entry</v>
          </cell>
          <cell r="AF36" t="str">
            <v xml:space="preserve"> - </v>
          </cell>
          <cell r="AG36">
            <v>0.03</v>
          </cell>
          <cell r="AH36">
            <v>0</v>
          </cell>
          <cell r="AJ36" t="str">
            <v xml:space="preserve"> - </v>
          </cell>
          <cell r="AK36" t="str">
            <v>FUT : PRV : 3DLL</v>
          </cell>
          <cell r="AL36">
            <v>0.01</v>
          </cell>
          <cell r="AM36">
            <v>5</v>
          </cell>
          <cell r="AN36" t="str">
            <v>FUT : PRV : 3DLL</v>
          </cell>
          <cell r="AO36">
            <v>0.01</v>
          </cell>
          <cell r="AP36">
            <v>4</v>
          </cell>
          <cell r="AQ36" t="str">
            <v>FUT : PRV : 3DLL</v>
          </cell>
          <cell r="AR36">
            <v>0.01</v>
          </cell>
          <cell r="AS36">
            <v>3</v>
          </cell>
          <cell r="AT36" t="str">
            <v>FUT : PRV : 3DLL</v>
          </cell>
          <cell r="AU36">
            <v>0.01</v>
          </cell>
          <cell r="AV36">
            <v>2</v>
          </cell>
          <cell r="AW36" t="str">
            <v>FUT : PRV : 3DLL</v>
          </cell>
          <cell r="AX36">
            <v>0.01</v>
          </cell>
          <cell r="AY36">
            <v>1</v>
          </cell>
          <cell r="AZ36">
            <v>0</v>
          </cell>
          <cell r="BA36">
            <v>0</v>
          </cell>
          <cell r="BB36">
            <v>0</v>
          </cell>
          <cell r="BD36" t="str">
            <v xml:space="preserve">ORPT </v>
          </cell>
          <cell r="BE36">
            <v>0.38888194444444446</v>
          </cell>
          <cell r="BF36">
            <v>0.38888194444444446</v>
          </cell>
          <cell r="BG36">
            <v>0.38541666666666669</v>
          </cell>
          <cell r="BI36" t="str">
            <v>Bull / 
Bull CF</v>
          </cell>
          <cell r="BJ36" t="str">
            <v>Long</v>
          </cell>
          <cell r="BK36">
            <v>0.01</v>
          </cell>
          <cell r="BL36">
            <v>0.01</v>
          </cell>
          <cell r="BN36" t="str">
            <v>Bull | 
Bull CF</v>
          </cell>
          <cell r="BO36" t="str">
            <v>Call</v>
          </cell>
          <cell r="BP36" t="str">
            <v/>
          </cell>
          <cell r="CU36">
            <v>0.625</v>
          </cell>
        </row>
        <row r="37">
          <cell r="B37" t="str">
            <v>S6B</v>
          </cell>
          <cell r="C37" t="str">
            <v>Unique Code</v>
          </cell>
          <cell r="D37" t="str">
            <v>STOCKS_FUT_MT_SAME_3D_3D</v>
          </cell>
          <cell r="F37" t="str">
            <v>Short</v>
          </cell>
          <cell r="G37" t="str">
            <v>FUT : PRV : 3DLL</v>
          </cell>
          <cell r="H37" t="str">
            <v xml:space="preserve"> - </v>
          </cell>
          <cell r="I37">
            <v>0.01</v>
          </cell>
          <cell r="J37">
            <v>5</v>
          </cell>
          <cell r="L37" t="str">
            <v xml:space="preserve">S : Entry </v>
          </cell>
          <cell r="M37" t="str">
            <v xml:space="preserve"> - </v>
          </cell>
          <cell r="N37">
            <v>0.03</v>
          </cell>
          <cell r="O37">
            <v>1</v>
          </cell>
          <cell r="P37">
            <v>4.4999999999999998E-2</v>
          </cell>
          <cell r="Q37">
            <v>1</v>
          </cell>
          <cell r="R37">
            <v>0.06</v>
          </cell>
          <cell r="S37">
            <v>1</v>
          </cell>
          <cell r="T37">
            <v>0.08</v>
          </cell>
          <cell r="U37">
            <v>1</v>
          </cell>
          <cell r="V37" t="str">
            <v>TR PROFIT AFTER TGT 4</v>
          </cell>
          <cell r="W37">
            <v>1</v>
          </cell>
          <cell r="X37" t="str">
            <v>N.A.</v>
          </cell>
          <cell r="Y37" t="str">
            <v>N.A.</v>
          </cell>
          <cell r="AA37" t="str">
            <v>Min</v>
          </cell>
          <cell r="AB37" t="str">
            <v>MSL &amp; TSL</v>
          </cell>
          <cell r="AC37" t="str">
            <v>Entry &amp; TRP</v>
          </cell>
          <cell r="AE37" t="str">
            <v>S : Entry</v>
          </cell>
          <cell r="AF37" t="str">
            <v xml:space="preserve"> + </v>
          </cell>
          <cell r="AG37">
            <v>0.03</v>
          </cell>
          <cell r="AH37">
            <v>0</v>
          </cell>
          <cell r="AJ37" t="str">
            <v xml:space="preserve"> + </v>
          </cell>
          <cell r="AK37" t="str">
            <v>FUT : PRV : 3DHH</v>
          </cell>
          <cell r="AL37">
            <v>0.01</v>
          </cell>
          <cell r="AM37">
            <v>5</v>
          </cell>
          <cell r="AN37" t="str">
            <v>FUT : PRV : 3DHH</v>
          </cell>
          <cell r="AO37">
            <v>0.01</v>
          </cell>
          <cell r="AP37">
            <v>4</v>
          </cell>
          <cell r="AQ37" t="str">
            <v>FUT : PRV : 3DHH</v>
          </cell>
          <cell r="AR37">
            <v>0.01</v>
          </cell>
          <cell r="AS37">
            <v>3</v>
          </cell>
          <cell r="AT37" t="str">
            <v>FUT : PRV : 3DHH</v>
          </cell>
          <cell r="AU37">
            <v>0.01</v>
          </cell>
          <cell r="AV37">
            <v>2</v>
          </cell>
          <cell r="AW37" t="str">
            <v>FUT : PRV : 3DHH</v>
          </cell>
          <cell r="AX37">
            <v>0.01</v>
          </cell>
          <cell r="AY37">
            <v>1</v>
          </cell>
          <cell r="AZ37">
            <v>0</v>
          </cell>
          <cell r="BA37">
            <v>0</v>
          </cell>
          <cell r="BB37">
            <v>0</v>
          </cell>
          <cell r="BD37" t="str">
            <v xml:space="preserve"> RC. Time</v>
          </cell>
          <cell r="BE37">
            <v>0.39582638888888888</v>
          </cell>
          <cell r="BF37">
            <v>0.39582638888888888</v>
          </cell>
          <cell r="BG37" t="str">
            <v>N.A.</v>
          </cell>
          <cell r="BJ37" t="str">
            <v>Short</v>
          </cell>
          <cell r="BK37">
            <v>0.01</v>
          </cell>
          <cell r="BL37">
            <v>0.01</v>
          </cell>
          <cell r="BO37" t="str">
            <v>Put</v>
          </cell>
          <cell r="BP37" t="str">
            <v/>
          </cell>
        </row>
        <row r="38">
          <cell r="B38" t="str">
            <v>S6C</v>
          </cell>
          <cell r="C38" t="str">
            <v>Segment</v>
          </cell>
          <cell r="D38" t="str">
            <v>FUTURES</v>
          </cell>
          <cell r="E38" t="str">
            <v>Contract</v>
          </cell>
          <cell r="F38" t="str">
            <v>MONTHLY</v>
          </cell>
        </row>
        <row r="39">
          <cell r="B39" t="str">
            <v>S6D</v>
          </cell>
          <cell r="C39" t="str">
            <v>Symbol</v>
          </cell>
          <cell r="D39" t="str">
            <v>STOCKS</v>
          </cell>
          <cell r="E39" t="str">
            <v>Bear / 
Bear CF</v>
          </cell>
          <cell r="F39" t="str">
            <v>Long</v>
          </cell>
          <cell r="G39" t="str">
            <v>FUT : PRV : 3DHH</v>
          </cell>
          <cell r="H39" t="str">
            <v xml:space="preserve"> + </v>
          </cell>
          <cell r="I39">
            <v>0.01</v>
          </cell>
          <cell r="J39">
            <v>5</v>
          </cell>
          <cell r="L39" t="str">
            <v xml:space="preserve">L : Entry </v>
          </cell>
          <cell r="M39" t="str">
            <v xml:space="preserve"> + </v>
          </cell>
          <cell r="N39">
            <v>0.03</v>
          </cell>
          <cell r="O39">
            <v>1</v>
          </cell>
          <cell r="P39">
            <v>4.4999999999999998E-2</v>
          </cell>
          <cell r="Q39">
            <v>1</v>
          </cell>
          <cell r="R39">
            <v>0.06</v>
          </cell>
          <cell r="S39">
            <v>1</v>
          </cell>
          <cell r="T39">
            <v>0.08</v>
          </cell>
          <cell r="U39">
            <v>1</v>
          </cell>
          <cell r="V39" t="str">
            <v>TR PROFIT AFTER TGT 4</v>
          </cell>
          <cell r="W39">
            <v>1</v>
          </cell>
          <cell r="X39" t="str">
            <v>N.A.</v>
          </cell>
          <cell r="Y39" t="str">
            <v>N.A.</v>
          </cell>
          <cell r="AA39" t="str">
            <v>Max</v>
          </cell>
          <cell r="AB39" t="str">
            <v>MSL &amp; TSL</v>
          </cell>
          <cell r="AC39" t="str">
            <v>Entry &amp; TRP</v>
          </cell>
          <cell r="AE39" t="str">
            <v>L : Entry</v>
          </cell>
          <cell r="AF39" t="str">
            <v xml:space="preserve"> - </v>
          </cell>
          <cell r="AG39">
            <v>0.03</v>
          </cell>
          <cell r="AH39">
            <v>0</v>
          </cell>
          <cell r="AJ39" t="str">
            <v xml:space="preserve"> - </v>
          </cell>
          <cell r="AK39" t="str">
            <v>FUT : PRV : 3DLL</v>
          </cell>
          <cell r="AL39">
            <v>0.01</v>
          </cell>
          <cell r="AM39">
            <v>5</v>
          </cell>
          <cell r="AN39" t="str">
            <v>FUT : PRV : 3DLL</v>
          </cell>
          <cell r="AO39">
            <v>0.01</v>
          </cell>
          <cell r="AP39">
            <v>4</v>
          </cell>
          <cell r="AQ39" t="str">
            <v>FUT : PRV : 3DLL</v>
          </cell>
          <cell r="AR39">
            <v>0.01</v>
          </cell>
          <cell r="AS39">
            <v>3</v>
          </cell>
          <cell r="AT39" t="str">
            <v>FUT : PRV : 3DLL</v>
          </cell>
          <cell r="AU39">
            <v>0.01</v>
          </cell>
          <cell r="AV39">
            <v>2</v>
          </cell>
          <cell r="AW39" t="str">
            <v>FUT : PRV : 3DLL</v>
          </cell>
          <cell r="AX39">
            <v>0.01</v>
          </cell>
          <cell r="AY39">
            <v>1</v>
          </cell>
          <cell r="AZ39">
            <v>0</v>
          </cell>
          <cell r="BA39">
            <v>0</v>
          </cell>
          <cell r="BB39">
            <v>0</v>
          </cell>
          <cell r="BD39" t="str">
            <v>Market Start Time</v>
          </cell>
          <cell r="BE39">
            <v>0.38541666666666669</v>
          </cell>
          <cell r="BI39" t="str">
            <v>Bear / 
Bear CF</v>
          </cell>
          <cell r="BJ39" t="str">
            <v>Long</v>
          </cell>
          <cell r="BK39">
            <v>0.01</v>
          </cell>
          <cell r="BL39">
            <v>0.01</v>
          </cell>
          <cell r="BN39" t="str">
            <v>Bear | 
Bear CF</v>
          </cell>
          <cell r="BO39" t="str">
            <v>Call</v>
          </cell>
          <cell r="BP39" t="str">
            <v/>
          </cell>
        </row>
        <row r="40">
          <cell r="B40" t="str">
            <v>S6E</v>
          </cell>
          <cell r="C40" t="str">
            <v>No. of Targets</v>
          </cell>
          <cell r="D40" t="str">
            <v>4 &amp; APS</v>
          </cell>
          <cell r="F40" t="str">
            <v>Short</v>
          </cell>
          <cell r="G40" t="str">
            <v>FUT : PRV : 3DLL</v>
          </cell>
          <cell r="H40" t="str">
            <v xml:space="preserve"> - </v>
          </cell>
          <cell r="I40">
            <v>0.01</v>
          </cell>
          <cell r="J40">
            <v>5</v>
          </cell>
          <cell r="L40" t="str">
            <v xml:space="preserve">S : Entry </v>
          </cell>
          <cell r="M40" t="str">
            <v xml:space="preserve"> - </v>
          </cell>
          <cell r="N40">
            <v>0.03</v>
          </cell>
          <cell r="O40">
            <v>1</v>
          </cell>
          <cell r="P40">
            <v>4.4999999999999998E-2</v>
          </cell>
          <cell r="Q40">
            <v>1</v>
          </cell>
          <cell r="R40">
            <v>0.06</v>
          </cell>
          <cell r="S40">
            <v>1</v>
          </cell>
          <cell r="T40">
            <v>0.08</v>
          </cell>
          <cell r="U40">
            <v>1</v>
          </cell>
          <cell r="V40" t="str">
            <v>TR PROFIT AFTER TGT 4</v>
          </cell>
          <cell r="W40">
            <v>1</v>
          </cell>
          <cell r="X40" t="str">
            <v>N.A.</v>
          </cell>
          <cell r="Y40" t="str">
            <v>N.A.</v>
          </cell>
          <cell r="AA40" t="str">
            <v>Min</v>
          </cell>
          <cell r="AB40" t="str">
            <v>MSL &amp; TSL</v>
          </cell>
          <cell r="AC40" t="str">
            <v>Entry &amp; TRP</v>
          </cell>
          <cell r="AE40" t="str">
            <v>S : Entry</v>
          </cell>
          <cell r="AF40" t="str">
            <v xml:space="preserve"> + </v>
          </cell>
          <cell r="AG40">
            <v>0.03</v>
          </cell>
          <cell r="AH40">
            <v>0</v>
          </cell>
          <cell r="AJ40" t="str">
            <v xml:space="preserve"> + </v>
          </cell>
          <cell r="AK40" t="str">
            <v>FUT : PRV : 3DHH</v>
          </cell>
          <cell r="AL40">
            <v>0.01</v>
          </cell>
          <cell r="AM40">
            <v>5</v>
          </cell>
          <cell r="AN40" t="str">
            <v>FUT : PRV : 3DHH</v>
          </cell>
          <cell r="AO40">
            <v>0.01</v>
          </cell>
          <cell r="AP40">
            <v>4</v>
          </cell>
          <cell r="AQ40" t="str">
            <v>FUT : PRV : 3DHH</v>
          </cell>
          <cell r="AR40">
            <v>0.01</v>
          </cell>
          <cell r="AS40">
            <v>3</v>
          </cell>
          <cell r="AT40" t="str">
            <v>FUT : PRV : 3DHH</v>
          </cell>
          <cell r="AU40">
            <v>0.01</v>
          </cell>
          <cell r="AV40">
            <v>2</v>
          </cell>
          <cell r="AW40" t="str">
            <v>FUT : PRV : 3DHH</v>
          </cell>
          <cell r="AX40">
            <v>0.01</v>
          </cell>
          <cell r="AY40">
            <v>1</v>
          </cell>
          <cell r="AZ40">
            <v>0</v>
          </cell>
          <cell r="BA40">
            <v>0</v>
          </cell>
          <cell r="BB40">
            <v>0</v>
          </cell>
          <cell r="BD40" t="str">
            <v>Market End Time</v>
          </cell>
          <cell r="BE40">
            <v>0.64583333333333337</v>
          </cell>
          <cell r="BJ40" t="str">
            <v>Short</v>
          </cell>
          <cell r="BK40">
            <v>0.01</v>
          </cell>
          <cell r="BL40">
            <v>0.01</v>
          </cell>
          <cell r="BO40" t="str">
            <v>Put</v>
          </cell>
          <cell r="BP40" t="str">
            <v/>
          </cell>
        </row>
        <row r="42">
          <cell r="B42" t="str">
            <v>S7A</v>
          </cell>
          <cell r="C42" t="str">
            <v>Strategy Code</v>
          </cell>
          <cell r="D42" t="str">
            <v>S7</v>
          </cell>
          <cell r="E42" t="str">
            <v>Bull / 
Bull CF</v>
          </cell>
          <cell r="F42" t="str">
            <v>Long</v>
          </cell>
          <cell r="G42" t="str">
            <v>FUT : PRV : 2DHH</v>
          </cell>
          <cell r="H42" t="str">
            <v xml:space="preserve"> + </v>
          </cell>
          <cell r="I42">
            <v>0</v>
          </cell>
          <cell r="J42">
            <v>5</v>
          </cell>
          <cell r="L42" t="str">
            <v xml:space="preserve">L : Entry </v>
          </cell>
          <cell r="M42" t="str">
            <v xml:space="preserve"> + </v>
          </cell>
          <cell r="N42">
            <v>0.03</v>
          </cell>
          <cell r="O42">
            <v>1</v>
          </cell>
          <cell r="P42">
            <v>4.4999999999999998E-2</v>
          </cell>
          <cell r="Q42">
            <v>1</v>
          </cell>
          <cell r="R42">
            <v>0.06</v>
          </cell>
          <cell r="S42">
            <v>1</v>
          </cell>
          <cell r="T42">
            <v>0.08</v>
          </cell>
          <cell r="U42">
            <v>1</v>
          </cell>
          <cell r="V42" t="str">
            <v>TR PROFIT AFTER TGT 4</v>
          </cell>
          <cell r="W42">
            <v>1</v>
          </cell>
          <cell r="X42" t="str">
            <v>N.A.</v>
          </cell>
          <cell r="Y42" t="str">
            <v>N.A.</v>
          </cell>
          <cell r="AA42" t="str">
            <v>Max</v>
          </cell>
          <cell r="AB42" t="str">
            <v>MSL &amp; TSL</v>
          </cell>
          <cell r="AC42" t="str">
            <v>Entry &amp; TRP</v>
          </cell>
          <cell r="AE42" t="str">
            <v>L : Entry</v>
          </cell>
          <cell r="AF42" t="str">
            <v xml:space="preserve"> - </v>
          </cell>
          <cell r="AG42">
            <v>0.03</v>
          </cell>
          <cell r="AH42">
            <v>0</v>
          </cell>
          <cell r="AJ42" t="str">
            <v xml:space="preserve"> - </v>
          </cell>
          <cell r="AK42" t="str">
            <v>FUT : PRV : PW&amp;CWLL</v>
          </cell>
          <cell r="AL42">
            <v>0.01</v>
          </cell>
          <cell r="AM42">
            <v>5</v>
          </cell>
          <cell r="AN42" t="str">
            <v>FUT : PRV : PW&amp;CWLL</v>
          </cell>
          <cell r="AO42">
            <v>0.01</v>
          </cell>
          <cell r="AP42">
            <v>4</v>
          </cell>
          <cell r="AQ42" t="str">
            <v>FUT : PRV : PW&amp;CWLL</v>
          </cell>
          <cell r="AR42">
            <v>0.01</v>
          </cell>
          <cell r="AS42">
            <v>3</v>
          </cell>
          <cell r="AT42" t="str">
            <v>FUT : PRV : PW&amp;CWLL</v>
          </cell>
          <cell r="AU42">
            <v>0.01</v>
          </cell>
          <cell r="AV42">
            <v>2</v>
          </cell>
          <cell r="AW42" t="str">
            <v>FUT : PRV : PW&amp;CWLL</v>
          </cell>
          <cell r="AX42">
            <v>0.01</v>
          </cell>
          <cell r="AY42">
            <v>1</v>
          </cell>
          <cell r="AZ42">
            <v>0</v>
          </cell>
          <cell r="BA42">
            <v>0</v>
          </cell>
          <cell r="BB42">
            <v>0</v>
          </cell>
          <cell r="BD42" t="str">
            <v xml:space="preserve">ORPT </v>
          </cell>
          <cell r="BE42">
            <v>0.38888194444444446</v>
          </cell>
          <cell r="BF42">
            <v>0.38888194444444446</v>
          </cell>
          <cell r="BG42">
            <v>0.38541666666666669</v>
          </cell>
          <cell r="BI42" t="str">
            <v>Bull / 
Bull CF</v>
          </cell>
          <cell r="BJ42" t="str">
            <v>Long</v>
          </cell>
          <cell r="BK42">
            <v>0.01</v>
          </cell>
          <cell r="BL42">
            <v>0.01</v>
          </cell>
          <cell r="BN42" t="str">
            <v>Bull | 
Bull CF</v>
          </cell>
          <cell r="BO42" t="str">
            <v>Call</v>
          </cell>
          <cell r="BP42" t="str">
            <v/>
          </cell>
          <cell r="CU42">
            <v>0.625</v>
          </cell>
        </row>
        <row r="43">
          <cell r="B43" t="str">
            <v>S7B</v>
          </cell>
          <cell r="C43" t="str">
            <v>Unique Code</v>
          </cell>
          <cell r="D43" t="str">
            <v>STOCKS_FUT_MT_DIFF_2D_PW&amp;CW</v>
          </cell>
          <cell r="F43" t="str">
            <v>Short</v>
          </cell>
          <cell r="G43" t="str">
            <v>FUT : PRV : PW&amp;CWLL</v>
          </cell>
          <cell r="H43" t="str">
            <v xml:space="preserve"> - </v>
          </cell>
          <cell r="I43">
            <v>0.01</v>
          </cell>
          <cell r="J43">
            <v>5</v>
          </cell>
          <cell r="L43" t="str">
            <v xml:space="preserve">S : Entry </v>
          </cell>
          <cell r="M43" t="str">
            <v xml:space="preserve"> - </v>
          </cell>
          <cell r="N43">
            <v>0.03</v>
          </cell>
          <cell r="O43">
            <v>1</v>
          </cell>
          <cell r="P43">
            <v>4.4999999999999998E-2</v>
          </cell>
          <cell r="Q43">
            <v>1</v>
          </cell>
          <cell r="R43">
            <v>0.06</v>
          </cell>
          <cell r="S43">
            <v>1</v>
          </cell>
          <cell r="T43">
            <v>0.08</v>
          </cell>
          <cell r="U43">
            <v>1</v>
          </cell>
          <cell r="V43" t="str">
            <v>TR PROFIT AFTER TGT 4</v>
          </cell>
          <cell r="W43">
            <v>1</v>
          </cell>
          <cell r="X43" t="str">
            <v>N.A.</v>
          </cell>
          <cell r="Y43" t="str">
            <v>N.A.</v>
          </cell>
          <cell r="AA43" t="str">
            <v>Min</v>
          </cell>
          <cell r="AB43" t="str">
            <v>MSL &amp; TSL</v>
          </cell>
          <cell r="AC43" t="str">
            <v>Entry &amp; TRP</v>
          </cell>
          <cell r="AE43" t="str">
            <v>S : Entry</v>
          </cell>
          <cell r="AF43" t="str">
            <v xml:space="preserve"> + </v>
          </cell>
          <cell r="AG43">
            <v>0.03</v>
          </cell>
          <cell r="AH43">
            <v>0</v>
          </cell>
          <cell r="AJ43" t="str">
            <v xml:space="preserve"> + </v>
          </cell>
          <cell r="AK43" t="str">
            <v>FUT : PRV : 2DHH</v>
          </cell>
          <cell r="AL43">
            <v>0</v>
          </cell>
          <cell r="AM43">
            <v>5</v>
          </cell>
          <cell r="AN43" t="str">
            <v>FUT : PRV : 2DHH</v>
          </cell>
          <cell r="AO43">
            <v>0</v>
          </cell>
          <cell r="AP43">
            <v>4</v>
          </cell>
          <cell r="AQ43" t="str">
            <v>FUT : PRV : 2DHH</v>
          </cell>
          <cell r="AR43">
            <v>0</v>
          </cell>
          <cell r="AS43">
            <v>3</v>
          </cell>
          <cell r="AT43" t="str">
            <v>FUT : PRV : 2DHH</v>
          </cell>
          <cell r="AU43">
            <v>0</v>
          </cell>
          <cell r="AV43">
            <v>2</v>
          </cell>
          <cell r="AW43" t="str">
            <v>FUT : PRV : 2DHH</v>
          </cell>
          <cell r="AX43">
            <v>0</v>
          </cell>
          <cell r="AY43">
            <v>1</v>
          </cell>
          <cell r="AZ43">
            <v>0</v>
          </cell>
          <cell r="BA43">
            <v>0</v>
          </cell>
          <cell r="BB43">
            <v>0</v>
          </cell>
          <cell r="BD43" t="str">
            <v xml:space="preserve"> RC. Time</v>
          </cell>
          <cell r="BE43">
            <v>0.39582638888888888</v>
          </cell>
          <cell r="BF43">
            <v>0.39582638888888888</v>
          </cell>
          <cell r="BG43" t="str">
            <v>N.A.</v>
          </cell>
          <cell r="BJ43" t="str">
            <v>Short</v>
          </cell>
          <cell r="BK43">
            <v>0.01</v>
          </cell>
          <cell r="BL43">
            <v>0.01</v>
          </cell>
          <cell r="BO43" t="str">
            <v>Put</v>
          </cell>
          <cell r="BP43" t="str">
            <v/>
          </cell>
        </row>
        <row r="44">
          <cell r="B44" t="str">
            <v>S7C</v>
          </cell>
          <cell r="C44" t="str">
            <v>Segment</v>
          </cell>
          <cell r="D44" t="str">
            <v>FUTURES</v>
          </cell>
          <cell r="E44" t="str">
            <v>Contract</v>
          </cell>
          <cell r="F44" t="str">
            <v>MONTHLY</v>
          </cell>
        </row>
        <row r="45">
          <cell r="B45" t="str">
            <v>S7D</v>
          </cell>
          <cell r="C45" t="str">
            <v>Symbol</v>
          </cell>
          <cell r="D45" t="str">
            <v>STOCKS</v>
          </cell>
          <cell r="E45" t="str">
            <v>Bear / 
Bear CF</v>
          </cell>
          <cell r="F45" t="str">
            <v>Long</v>
          </cell>
          <cell r="G45" t="str">
            <v>FUT : PRV : PW&amp;CWHH</v>
          </cell>
          <cell r="H45" t="str">
            <v xml:space="preserve"> + </v>
          </cell>
          <cell r="I45">
            <v>0.01</v>
          </cell>
          <cell r="J45">
            <v>5</v>
          </cell>
          <cell r="L45" t="str">
            <v xml:space="preserve">L : Entry </v>
          </cell>
          <cell r="M45" t="str">
            <v xml:space="preserve"> + </v>
          </cell>
          <cell r="N45">
            <v>0.03</v>
          </cell>
          <cell r="O45">
            <v>1</v>
          </cell>
          <cell r="P45">
            <v>4.4999999999999998E-2</v>
          </cell>
          <cell r="Q45">
            <v>1</v>
          </cell>
          <cell r="R45">
            <v>0.06</v>
          </cell>
          <cell r="S45">
            <v>1</v>
          </cell>
          <cell r="T45">
            <v>0.08</v>
          </cell>
          <cell r="U45">
            <v>1</v>
          </cell>
          <cell r="V45" t="str">
            <v>TR PROFIT AFTER TGT 4</v>
          </cell>
          <cell r="W45">
            <v>1</v>
          </cell>
          <cell r="X45" t="str">
            <v>N.A.</v>
          </cell>
          <cell r="Y45" t="str">
            <v>N.A.</v>
          </cell>
          <cell r="AA45" t="str">
            <v>Max</v>
          </cell>
          <cell r="AB45" t="str">
            <v>MSL &amp; TSL</v>
          </cell>
          <cell r="AC45" t="str">
            <v>Entry &amp; TRP</v>
          </cell>
          <cell r="AE45" t="str">
            <v>L : Entry</v>
          </cell>
          <cell r="AF45" t="str">
            <v xml:space="preserve"> - </v>
          </cell>
          <cell r="AG45">
            <v>0.03</v>
          </cell>
          <cell r="AH45">
            <v>0</v>
          </cell>
          <cell r="AJ45" t="str">
            <v xml:space="preserve"> - </v>
          </cell>
          <cell r="AK45" t="str">
            <v>FUT : PRV : 2DLL</v>
          </cell>
          <cell r="AL45">
            <v>0</v>
          </cell>
          <cell r="AM45">
            <v>5</v>
          </cell>
          <cell r="AN45" t="str">
            <v>FUT : PRV : 2DLL</v>
          </cell>
          <cell r="AO45">
            <v>0</v>
          </cell>
          <cell r="AP45">
            <v>4</v>
          </cell>
          <cell r="AQ45" t="str">
            <v>FUT : PRV : 2DLL</v>
          </cell>
          <cell r="AR45">
            <v>0</v>
          </cell>
          <cell r="AS45">
            <v>3</v>
          </cell>
          <cell r="AT45" t="str">
            <v>FUT : PRV : 2DLL</v>
          </cell>
          <cell r="AU45">
            <v>0</v>
          </cell>
          <cell r="AV45">
            <v>2</v>
          </cell>
          <cell r="AW45" t="str">
            <v>FUT : PRV : 2DLL</v>
          </cell>
          <cell r="AX45">
            <v>0</v>
          </cell>
          <cell r="AY45">
            <v>1</v>
          </cell>
          <cell r="AZ45">
            <v>0</v>
          </cell>
          <cell r="BA45">
            <v>0</v>
          </cell>
          <cell r="BB45">
            <v>0</v>
          </cell>
          <cell r="BD45" t="str">
            <v>Market Start Time</v>
          </cell>
          <cell r="BE45">
            <v>0.38541666666666669</v>
          </cell>
          <cell r="BI45" t="str">
            <v>Bear / 
Bear CF</v>
          </cell>
          <cell r="BJ45" t="str">
            <v>Long</v>
          </cell>
          <cell r="BK45">
            <v>0.01</v>
          </cell>
          <cell r="BL45">
            <v>0.01</v>
          </cell>
          <cell r="BN45" t="str">
            <v>Bear | 
Bear CF</v>
          </cell>
          <cell r="BO45" t="str">
            <v>Call</v>
          </cell>
          <cell r="BP45" t="str">
            <v/>
          </cell>
        </row>
        <row r="46">
          <cell r="B46" t="str">
            <v>S7E</v>
          </cell>
          <cell r="C46" t="str">
            <v>No. of Targets</v>
          </cell>
          <cell r="D46" t="str">
            <v>4 &amp; APS</v>
          </cell>
          <cell r="F46" t="str">
            <v>Short</v>
          </cell>
          <cell r="G46" t="str">
            <v>FUT : PRV : 2DLL</v>
          </cell>
          <cell r="H46" t="str">
            <v xml:space="preserve"> - </v>
          </cell>
          <cell r="I46">
            <v>0</v>
          </cell>
          <cell r="J46">
            <v>5</v>
          </cell>
          <cell r="L46" t="str">
            <v xml:space="preserve">S : Entry </v>
          </cell>
          <cell r="M46" t="str">
            <v xml:space="preserve"> - </v>
          </cell>
          <cell r="N46">
            <v>0.03</v>
          </cell>
          <cell r="O46">
            <v>1</v>
          </cell>
          <cell r="P46">
            <v>4.4999999999999998E-2</v>
          </cell>
          <cell r="Q46">
            <v>1</v>
          </cell>
          <cell r="R46">
            <v>0.06</v>
          </cell>
          <cell r="S46">
            <v>1</v>
          </cell>
          <cell r="T46">
            <v>0.08</v>
          </cell>
          <cell r="U46">
            <v>1</v>
          </cell>
          <cell r="V46" t="str">
            <v>TR PROFIT AFTER TGT 4</v>
          </cell>
          <cell r="W46">
            <v>1</v>
          </cell>
          <cell r="X46" t="str">
            <v>N.A.</v>
          </cell>
          <cell r="Y46" t="str">
            <v>N.A.</v>
          </cell>
          <cell r="AA46" t="str">
            <v>Min</v>
          </cell>
          <cell r="AB46" t="str">
            <v>MSL &amp; TSL</v>
          </cell>
          <cell r="AC46" t="str">
            <v>Entry &amp; TRP</v>
          </cell>
          <cell r="AE46" t="str">
            <v>S : Entry</v>
          </cell>
          <cell r="AF46" t="str">
            <v xml:space="preserve"> + </v>
          </cell>
          <cell r="AG46">
            <v>0.03</v>
          </cell>
          <cell r="AH46">
            <v>0</v>
          </cell>
          <cell r="AJ46" t="str">
            <v xml:space="preserve"> + </v>
          </cell>
          <cell r="AK46" t="str">
            <v>FUT : PRV : PW&amp;CWHH</v>
          </cell>
          <cell r="AL46">
            <v>0.01</v>
          </cell>
          <cell r="AM46">
            <v>5</v>
          </cell>
          <cell r="AN46" t="str">
            <v>FUT : PRV : PW&amp;CWHH</v>
          </cell>
          <cell r="AO46">
            <v>0.01</v>
          </cell>
          <cell r="AP46">
            <v>4</v>
          </cell>
          <cell r="AQ46" t="str">
            <v>FUT : PRV : PW&amp;CWHH</v>
          </cell>
          <cell r="AR46">
            <v>0.01</v>
          </cell>
          <cell r="AS46">
            <v>3</v>
          </cell>
          <cell r="AT46" t="str">
            <v>FUT : PRV : PW&amp;CWHH</v>
          </cell>
          <cell r="AU46">
            <v>0.01</v>
          </cell>
          <cell r="AV46">
            <v>2</v>
          </cell>
          <cell r="AW46" t="str">
            <v>FUT : PRV : PW&amp;CWHH</v>
          </cell>
          <cell r="AX46">
            <v>0.01</v>
          </cell>
          <cell r="AY46">
            <v>1</v>
          </cell>
          <cell r="AZ46">
            <v>0</v>
          </cell>
          <cell r="BA46">
            <v>0</v>
          </cell>
          <cell r="BB46">
            <v>0</v>
          </cell>
          <cell r="BD46" t="str">
            <v>Market End Time</v>
          </cell>
          <cell r="BE46">
            <v>0.64583333333333337</v>
          </cell>
          <cell r="BJ46" t="str">
            <v>Short</v>
          </cell>
          <cell r="BK46">
            <v>0.01</v>
          </cell>
          <cell r="BL46">
            <v>0.01</v>
          </cell>
          <cell r="BO46" t="str">
            <v>Put</v>
          </cell>
          <cell r="BP46" t="str">
            <v/>
          </cell>
        </row>
        <row r="48">
          <cell r="B48" t="str">
            <v>S8A</v>
          </cell>
          <cell r="C48" t="str">
            <v>Strategy Code</v>
          </cell>
          <cell r="D48" t="str">
            <v>S8</v>
          </cell>
          <cell r="E48" t="str">
            <v>Bull / 
Bull CF</v>
          </cell>
          <cell r="F48" t="str">
            <v>Long</v>
          </cell>
          <cell r="G48" t="str">
            <v>FUT : PRV : 1DHH</v>
          </cell>
          <cell r="H48" t="str">
            <v xml:space="preserve"> + </v>
          </cell>
          <cell r="I48">
            <v>0</v>
          </cell>
          <cell r="J48">
            <v>5</v>
          </cell>
          <cell r="L48" t="str">
            <v xml:space="preserve">L : Entry </v>
          </cell>
          <cell r="M48" t="str">
            <v xml:space="preserve"> + </v>
          </cell>
          <cell r="N48">
            <v>1.4999999999999999E-2</v>
          </cell>
          <cell r="O48">
            <v>1</v>
          </cell>
          <cell r="P48">
            <v>0.02</v>
          </cell>
          <cell r="Q48">
            <v>1</v>
          </cell>
          <cell r="R48">
            <v>2.5000000000000001E-2</v>
          </cell>
          <cell r="S48">
            <v>1</v>
          </cell>
          <cell r="T48">
            <v>0.03</v>
          </cell>
          <cell r="U48">
            <v>1</v>
          </cell>
          <cell r="V48" t="str">
            <v>TR PROFIT AFTER TGT 4</v>
          </cell>
          <cell r="W48">
            <v>1</v>
          </cell>
          <cell r="X48" t="str">
            <v>N.A.</v>
          </cell>
          <cell r="Y48" t="str">
            <v>N.A.</v>
          </cell>
          <cell r="AA48" t="str">
            <v>Max</v>
          </cell>
          <cell r="AB48" t="str">
            <v>MSL &amp; TSL</v>
          </cell>
          <cell r="AC48" t="str">
            <v>Entry &amp; TRP</v>
          </cell>
          <cell r="AE48" t="str">
            <v>L : Entry</v>
          </cell>
          <cell r="AF48" t="str">
            <v xml:space="preserve"> - </v>
          </cell>
          <cell r="AG48">
            <v>1.4999999999999999E-2</v>
          </cell>
          <cell r="AH48">
            <v>0</v>
          </cell>
          <cell r="AJ48" t="str">
            <v xml:space="preserve"> - </v>
          </cell>
          <cell r="AK48" t="str">
            <v>FUT : PRV : 2DLL</v>
          </cell>
          <cell r="AL48">
            <v>1.8E-3</v>
          </cell>
          <cell r="AM48">
            <v>5</v>
          </cell>
          <cell r="AN48" t="str">
            <v>FUT : PRV : 2DLL</v>
          </cell>
          <cell r="AO48">
            <v>1.8E-3</v>
          </cell>
          <cell r="AP48">
            <v>4</v>
          </cell>
          <cell r="AQ48" t="str">
            <v>FUT : PRV : 2DLL</v>
          </cell>
          <cell r="AR48">
            <v>1.8E-3</v>
          </cell>
          <cell r="AS48">
            <v>3</v>
          </cell>
          <cell r="AT48" t="str">
            <v>FUT : PRV : 2DLL</v>
          </cell>
          <cell r="AU48">
            <v>1.8E-3</v>
          </cell>
          <cell r="AV48">
            <v>2</v>
          </cell>
          <cell r="AW48" t="str">
            <v>FUT : PRV : 2DLL</v>
          </cell>
          <cell r="AX48">
            <v>1.8E-3</v>
          </cell>
          <cell r="AY48">
            <v>1</v>
          </cell>
          <cell r="AZ48">
            <v>0</v>
          </cell>
          <cell r="BA48">
            <v>0</v>
          </cell>
          <cell r="BB48">
            <v>0</v>
          </cell>
          <cell r="BD48" t="str">
            <v xml:space="preserve">ORPT </v>
          </cell>
          <cell r="BE48">
            <v>0.38888194444444446</v>
          </cell>
          <cell r="BF48">
            <v>0.38888194444444446</v>
          </cell>
          <cell r="BG48">
            <v>0.38541666666666669</v>
          </cell>
          <cell r="BI48" t="str">
            <v>Bull / 
Bull CF</v>
          </cell>
          <cell r="BJ48" t="str">
            <v>Long</v>
          </cell>
          <cell r="BK48">
            <v>1.8E-3</v>
          </cell>
          <cell r="BL48">
            <v>1.8E-3</v>
          </cell>
          <cell r="BN48" t="str">
            <v>Bull | 
Bull CF</v>
          </cell>
          <cell r="BO48" t="str">
            <v>Call</v>
          </cell>
          <cell r="BP48" t="str">
            <v/>
          </cell>
          <cell r="CU48">
            <v>0.625</v>
          </cell>
        </row>
        <row r="49">
          <cell r="B49" t="str">
            <v>S8B</v>
          </cell>
          <cell r="C49" t="str">
            <v>Unique Code</v>
          </cell>
          <cell r="D49" t="str">
            <v>NIFTY_FUT_MT_DIFF_1D_2D</v>
          </cell>
          <cell r="F49" t="str">
            <v>Short</v>
          </cell>
          <cell r="G49" t="str">
            <v>FUT : PRV : 2DLL</v>
          </cell>
          <cell r="H49" t="str">
            <v xml:space="preserve"> - </v>
          </cell>
          <cell r="I49">
            <v>1.8E-3</v>
          </cell>
          <cell r="J49">
            <v>5</v>
          </cell>
          <cell r="L49" t="str">
            <v xml:space="preserve">S : Entry </v>
          </cell>
          <cell r="M49" t="str">
            <v xml:space="preserve"> - </v>
          </cell>
          <cell r="N49">
            <v>1.4999999999999999E-2</v>
          </cell>
          <cell r="O49">
            <v>1</v>
          </cell>
          <cell r="P49">
            <v>0.02</v>
          </cell>
          <cell r="Q49">
            <v>1</v>
          </cell>
          <cell r="R49">
            <v>2.5000000000000001E-2</v>
          </cell>
          <cell r="S49">
            <v>1</v>
          </cell>
          <cell r="T49">
            <v>0.03</v>
          </cell>
          <cell r="U49">
            <v>1</v>
          </cell>
          <cell r="V49" t="str">
            <v>TR PROFIT AFTER TGT 4</v>
          </cell>
          <cell r="W49">
            <v>1</v>
          </cell>
          <cell r="X49" t="str">
            <v>N.A.</v>
          </cell>
          <cell r="Y49" t="str">
            <v>N.A.</v>
          </cell>
          <cell r="AA49" t="str">
            <v>Min</v>
          </cell>
          <cell r="AB49" t="str">
            <v>MSL &amp; TSL</v>
          </cell>
          <cell r="AC49" t="str">
            <v>Entry &amp; TRP</v>
          </cell>
          <cell r="AE49" t="str">
            <v>S : Entry</v>
          </cell>
          <cell r="AF49" t="str">
            <v xml:space="preserve"> + </v>
          </cell>
          <cell r="AG49">
            <v>1.4999999999999999E-2</v>
          </cell>
          <cell r="AH49">
            <v>0</v>
          </cell>
          <cell r="AJ49" t="str">
            <v xml:space="preserve"> + </v>
          </cell>
          <cell r="AK49" t="str">
            <v>FUT : PRV : 1DHH</v>
          </cell>
          <cell r="AL49">
            <v>0</v>
          </cell>
          <cell r="AM49">
            <v>5</v>
          </cell>
          <cell r="AN49" t="str">
            <v>FUT : PRV : 1DHH</v>
          </cell>
          <cell r="AO49">
            <v>0</v>
          </cell>
          <cell r="AP49">
            <v>4</v>
          </cell>
          <cell r="AQ49" t="str">
            <v>FUT : PRV : 1DHH</v>
          </cell>
          <cell r="AR49">
            <v>0</v>
          </cell>
          <cell r="AS49">
            <v>3</v>
          </cell>
          <cell r="AT49" t="str">
            <v>FUT : PRV : 1DHH</v>
          </cell>
          <cell r="AU49">
            <v>0</v>
          </cell>
          <cell r="AV49">
            <v>2</v>
          </cell>
          <cell r="AW49" t="str">
            <v>FUT : PRV : 1DHH</v>
          </cell>
          <cell r="AX49">
            <v>0</v>
          </cell>
          <cell r="AY49">
            <v>1</v>
          </cell>
          <cell r="AZ49">
            <v>0</v>
          </cell>
          <cell r="BA49">
            <v>0</v>
          </cell>
          <cell r="BB49">
            <v>0</v>
          </cell>
          <cell r="BD49" t="str">
            <v xml:space="preserve"> RC. Time</v>
          </cell>
          <cell r="BE49">
            <v>0.39582638888888888</v>
          </cell>
          <cell r="BF49">
            <v>0.39582638888888888</v>
          </cell>
          <cell r="BG49" t="str">
            <v>N.A.</v>
          </cell>
          <cell r="BJ49" t="str">
            <v>Short</v>
          </cell>
          <cell r="BK49">
            <v>1.8E-3</v>
          </cell>
          <cell r="BL49">
            <v>1.8E-3</v>
          </cell>
          <cell r="BO49" t="str">
            <v>Put</v>
          </cell>
          <cell r="BP49" t="str">
            <v/>
          </cell>
        </row>
        <row r="50">
          <cell r="B50" t="str">
            <v>S8C</v>
          </cell>
          <cell r="C50" t="str">
            <v>Segment</v>
          </cell>
          <cell r="D50" t="str">
            <v>FUTURES</v>
          </cell>
          <cell r="E50" t="str">
            <v>Contract</v>
          </cell>
          <cell r="F50" t="str">
            <v>MONTHLY</v>
          </cell>
        </row>
        <row r="51">
          <cell r="B51" t="str">
            <v>S8D</v>
          </cell>
          <cell r="C51" t="str">
            <v>Symbol</v>
          </cell>
          <cell r="D51" t="str">
            <v>NIFTY</v>
          </cell>
          <cell r="E51" t="str">
            <v>Bear / 
Bear CF</v>
          </cell>
          <cell r="F51" t="str">
            <v>Long</v>
          </cell>
          <cell r="G51" t="str">
            <v>FUT : PRV : 2DHH</v>
          </cell>
          <cell r="H51" t="str">
            <v xml:space="preserve"> + </v>
          </cell>
          <cell r="I51">
            <v>1.8E-3</v>
          </cell>
          <cell r="J51">
            <v>5</v>
          </cell>
          <cell r="L51" t="str">
            <v xml:space="preserve">L : Entry </v>
          </cell>
          <cell r="M51" t="str">
            <v xml:space="preserve"> + </v>
          </cell>
          <cell r="N51">
            <v>1.4999999999999999E-2</v>
          </cell>
          <cell r="O51">
            <v>1</v>
          </cell>
          <cell r="P51">
            <v>0.02</v>
          </cell>
          <cell r="Q51">
            <v>1</v>
          </cell>
          <cell r="R51">
            <v>2.5000000000000001E-2</v>
          </cell>
          <cell r="S51">
            <v>1</v>
          </cell>
          <cell r="T51">
            <v>0.03</v>
          </cell>
          <cell r="U51">
            <v>1</v>
          </cell>
          <cell r="V51" t="str">
            <v>TR PROFIT AFTER TGT 4</v>
          </cell>
          <cell r="W51">
            <v>1</v>
          </cell>
          <cell r="X51" t="str">
            <v>N.A.</v>
          </cell>
          <cell r="Y51" t="str">
            <v>N.A.</v>
          </cell>
          <cell r="AA51" t="str">
            <v>Max</v>
          </cell>
          <cell r="AB51" t="str">
            <v>MSL &amp; TSL</v>
          </cell>
          <cell r="AC51" t="str">
            <v>Entry &amp; TRP</v>
          </cell>
          <cell r="AE51" t="str">
            <v>L : Entry</v>
          </cell>
          <cell r="AF51" t="str">
            <v xml:space="preserve"> - </v>
          </cell>
          <cell r="AG51">
            <v>1.4999999999999999E-2</v>
          </cell>
          <cell r="AH51">
            <v>0</v>
          </cell>
          <cell r="AJ51" t="str">
            <v xml:space="preserve"> - </v>
          </cell>
          <cell r="AK51" t="str">
            <v>FUT : PRV : 1DLL</v>
          </cell>
          <cell r="AL51">
            <v>0</v>
          </cell>
          <cell r="AM51">
            <v>5</v>
          </cell>
          <cell r="AN51" t="str">
            <v>FUT : PRV : 1DLL</v>
          </cell>
          <cell r="AO51">
            <v>0</v>
          </cell>
          <cell r="AP51">
            <v>4</v>
          </cell>
          <cell r="AQ51" t="str">
            <v>FUT : PRV : 1DLL</v>
          </cell>
          <cell r="AR51">
            <v>0</v>
          </cell>
          <cell r="AS51">
            <v>3</v>
          </cell>
          <cell r="AT51" t="str">
            <v>FUT : PRV : 1DLL</v>
          </cell>
          <cell r="AU51">
            <v>0</v>
          </cell>
          <cell r="AV51">
            <v>2</v>
          </cell>
          <cell r="AW51" t="str">
            <v>FUT : PRV : 1DLL</v>
          </cell>
          <cell r="AX51">
            <v>0</v>
          </cell>
          <cell r="AY51">
            <v>1</v>
          </cell>
          <cell r="AZ51">
            <v>0</v>
          </cell>
          <cell r="BA51">
            <v>0</v>
          </cell>
          <cell r="BB51">
            <v>0</v>
          </cell>
          <cell r="BD51" t="str">
            <v>Market Start Time</v>
          </cell>
          <cell r="BE51">
            <v>0.38541666666666669</v>
          </cell>
          <cell r="BI51" t="str">
            <v>Bear / 
Bear CF</v>
          </cell>
          <cell r="BJ51" t="str">
            <v>Long</v>
          </cell>
          <cell r="BK51">
            <v>1.8E-3</v>
          </cell>
          <cell r="BL51">
            <v>1.8E-3</v>
          </cell>
          <cell r="BN51" t="str">
            <v>Bear | 
Bear CF</v>
          </cell>
          <cell r="BO51" t="str">
            <v>Call</v>
          </cell>
          <cell r="BP51" t="str">
            <v/>
          </cell>
        </row>
        <row r="52">
          <cell r="B52" t="str">
            <v>S8E</v>
          </cell>
          <cell r="C52" t="str">
            <v>Contract</v>
          </cell>
          <cell r="D52" t="str">
            <v>4 &amp; APS</v>
          </cell>
          <cell r="F52" t="str">
            <v>Short</v>
          </cell>
          <cell r="G52" t="str">
            <v>FUT : PRV : 1DLL</v>
          </cell>
          <cell r="H52" t="str">
            <v xml:space="preserve"> - </v>
          </cell>
          <cell r="I52">
            <v>0</v>
          </cell>
          <cell r="J52">
            <v>5</v>
          </cell>
          <cell r="L52" t="str">
            <v xml:space="preserve">S : Entry </v>
          </cell>
          <cell r="M52" t="str">
            <v xml:space="preserve"> - </v>
          </cell>
          <cell r="N52">
            <v>1.4999999999999999E-2</v>
          </cell>
          <cell r="O52">
            <v>1</v>
          </cell>
          <cell r="P52">
            <v>0.02</v>
          </cell>
          <cell r="Q52">
            <v>1</v>
          </cell>
          <cell r="R52">
            <v>2.5000000000000001E-2</v>
          </cell>
          <cell r="S52">
            <v>1</v>
          </cell>
          <cell r="T52">
            <v>0.03</v>
          </cell>
          <cell r="U52">
            <v>1</v>
          </cell>
          <cell r="V52" t="str">
            <v>TR PROFIT AFTER TGT 4</v>
          </cell>
          <cell r="W52">
            <v>1</v>
          </cell>
          <cell r="X52" t="str">
            <v>N.A.</v>
          </cell>
          <cell r="Y52" t="str">
            <v>N.A.</v>
          </cell>
          <cell r="AA52" t="str">
            <v>Min</v>
          </cell>
          <cell r="AB52" t="str">
            <v>MSL &amp; TSL</v>
          </cell>
          <cell r="AC52" t="str">
            <v>Entry &amp; TRP</v>
          </cell>
          <cell r="AE52" t="str">
            <v>S : Entry</v>
          </cell>
          <cell r="AF52" t="str">
            <v xml:space="preserve"> + </v>
          </cell>
          <cell r="AG52">
            <v>1.4999999999999999E-2</v>
          </cell>
          <cell r="AH52">
            <v>0</v>
          </cell>
          <cell r="AJ52" t="str">
            <v xml:space="preserve"> + </v>
          </cell>
          <cell r="AK52" t="str">
            <v>FUT : PRV : 2DHH</v>
          </cell>
          <cell r="AL52">
            <v>1.8E-3</v>
          </cell>
          <cell r="AM52">
            <v>5</v>
          </cell>
          <cell r="AN52" t="str">
            <v>FUT : PRV : 2DHH</v>
          </cell>
          <cell r="AO52">
            <v>1.8E-3</v>
          </cell>
          <cell r="AP52">
            <v>4</v>
          </cell>
          <cell r="AQ52" t="str">
            <v>FUT : PRV : 2DHH</v>
          </cell>
          <cell r="AR52">
            <v>1.8E-3</v>
          </cell>
          <cell r="AS52">
            <v>3</v>
          </cell>
          <cell r="AT52" t="str">
            <v>FUT : PRV : 2DHH</v>
          </cell>
          <cell r="AU52">
            <v>1.8E-3</v>
          </cell>
          <cell r="AV52">
            <v>2</v>
          </cell>
          <cell r="AW52" t="str">
            <v>FUT : PRV : 2DHH</v>
          </cell>
          <cell r="AX52">
            <v>1.8E-3</v>
          </cell>
          <cell r="AY52">
            <v>1</v>
          </cell>
          <cell r="AZ52">
            <v>0</v>
          </cell>
          <cell r="BA52">
            <v>0</v>
          </cell>
          <cell r="BB52">
            <v>0</v>
          </cell>
          <cell r="BD52" t="str">
            <v>Market End Time</v>
          </cell>
          <cell r="BE52">
            <v>0.64583333333333337</v>
          </cell>
          <cell r="BJ52" t="str">
            <v>Short</v>
          </cell>
          <cell r="BK52">
            <v>1.8E-3</v>
          </cell>
          <cell r="BL52">
            <v>1.8E-3</v>
          </cell>
          <cell r="BO52" t="str">
            <v>Put</v>
          </cell>
          <cell r="BP52" t="str">
            <v/>
          </cell>
        </row>
        <row r="54">
          <cell r="B54" t="str">
            <v>S9A</v>
          </cell>
          <cell r="C54" t="str">
            <v>Strategy Code</v>
          </cell>
          <cell r="D54" t="str">
            <v>S9</v>
          </cell>
          <cell r="E54" t="str">
            <v>Bull / 
Bull CF</v>
          </cell>
          <cell r="F54" t="str">
            <v>Long</v>
          </cell>
          <cell r="G54" t="str">
            <v>FUT : PRV : 2DHH</v>
          </cell>
          <cell r="H54" t="str">
            <v xml:space="preserve"> + </v>
          </cell>
          <cell r="I54">
            <v>1.8E-3</v>
          </cell>
          <cell r="J54">
            <v>5</v>
          </cell>
          <cell r="L54" t="str">
            <v xml:space="preserve">L : Entry </v>
          </cell>
          <cell r="M54" t="str">
            <v xml:space="preserve"> + </v>
          </cell>
          <cell r="N54">
            <v>1.4999999999999999E-2</v>
          </cell>
          <cell r="O54">
            <v>1</v>
          </cell>
          <cell r="P54">
            <v>0.02</v>
          </cell>
          <cell r="Q54">
            <v>1</v>
          </cell>
          <cell r="R54">
            <v>2.5000000000000001E-2</v>
          </cell>
          <cell r="S54">
            <v>1</v>
          </cell>
          <cell r="T54">
            <v>0.03</v>
          </cell>
          <cell r="U54">
            <v>1</v>
          </cell>
          <cell r="V54" t="str">
            <v>TR PROFIT AFTER TGT 4</v>
          </cell>
          <cell r="W54">
            <v>1</v>
          </cell>
          <cell r="X54" t="str">
            <v>N.A.</v>
          </cell>
          <cell r="Y54" t="str">
            <v>N.A.</v>
          </cell>
          <cell r="AA54" t="str">
            <v>Max</v>
          </cell>
          <cell r="AB54" t="str">
            <v>MSL &amp; TSL</v>
          </cell>
          <cell r="AC54" t="str">
            <v>Entry &amp; TRP</v>
          </cell>
          <cell r="AE54" t="str">
            <v>L : Entry</v>
          </cell>
          <cell r="AF54" t="str">
            <v xml:space="preserve"> - </v>
          </cell>
          <cell r="AG54">
            <v>1.4999999999999999E-2</v>
          </cell>
          <cell r="AH54">
            <v>0</v>
          </cell>
          <cell r="AJ54" t="str">
            <v xml:space="preserve"> - </v>
          </cell>
          <cell r="AK54" t="str">
            <v>FUT : PRV : 2DLL</v>
          </cell>
          <cell r="AL54">
            <v>1.8E-3</v>
          </cell>
          <cell r="AM54">
            <v>5</v>
          </cell>
          <cell r="AN54" t="str">
            <v>FUT : PRV : 2DLL</v>
          </cell>
          <cell r="AO54">
            <v>1.8E-3</v>
          </cell>
          <cell r="AP54">
            <v>4</v>
          </cell>
          <cell r="AQ54" t="str">
            <v>FUT : PRV : 2DLL</v>
          </cell>
          <cell r="AR54">
            <v>1.8E-3</v>
          </cell>
          <cell r="AS54">
            <v>3</v>
          </cell>
          <cell r="AT54" t="str">
            <v>FUT : PRV : 2DLL</v>
          </cell>
          <cell r="AU54">
            <v>1.8E-3</v>
          </cell>
          <cell r="AV54">
            <v>2</v>
          </cell>
          <cell r="AW54" t="str">
            <v>FUT : PRV : 2DLL</v>
          </cell>
          <cell r="AX54">
            <v>1.8E-3</v>
          </cell>
          <cell r="AY54">
            <v>1</v>
          </cell>
          <cell r="AZ54">
            <v>0</v>
          </cell>
          <cell r="BA54">
            <v>0</v>
          </cell>
          <cell r="BB54">
            <v>0</v>
          </cell>
          <cell r="BD54" t="str">
            <v xml:space="preserve">ORPT </v>
          </cell>
          <cell r="BE54">
            <v>0.38888194444444446</v>
          </cell>
          <cell r="BF54">
            <v>0.38888194444444446</v>
          </cell>
          <cell r="BG54">
            <v>0.38541666666666669</v>
          </cell>
          <cell r="BI54" t="str">
            <v>Bull / 
Bull CF</v>
          </cell>
          <cell r="BJ54" t="str">
            <v>Long</v>
          </cell>
          <cell r="BK54">
            <v>1.8E-3</v>
          </cell>
          <cell r="BL54">
            <v>1.8E-3</v>
          </cell>
          <cell r="BN54" t="str">
            <v>Bull | 
Bull CF</v>
          </cell>
          <cell r="BO54" t="str">
            <v>Call</v>
          </cell>
          <cell r="BP54" t="str">
            <v/>
          </cell>
          <cell r="CU54">
            <v>0.625</v>
          </cell>
        </row>
        <row r="55">
          <cell r="B55" t="str">
            <v>S9B</v>
          </cell>
          <cell r="C55" t="str">
            <v>Unique Code</v>
          </cell>
          <cell r="D55" t="str">
            <v>NIFTY_FUT_MT_SAME_2D_2D</v>
          </cell>
          <cell r="F55" t="str">
            <v>Short</v>
          </cell>
          <cell r="G55" t="str">
            <v>FUT : PRV : 2DLL</v>
          </cell>
          <cell r="H55" t="str">
            <v xml:space="preserve"> - </v>
          </cell>
          <cell r="I55">
            <v>1.8E-3</v>
          </cell>
          <cell r="J55">
            <v>5</v>
          </cell>
          <cell r="L55" t="str">
            <v xml:space="preserve">S : Entry </v>
          </cell>
          <cell r="M55" t="str">
            <v xml:space="preserve"> - </v>
          </cell>
          <cell r="N55">
            <v>1.4999999999999999E-2</v>
          </cell>
          <cell r="O55">
            <v>1</v>
          </cell>
          <cell r="P55">
            <v>0.02</v>
          </cell>
          <cell r="Q55">
            <v>1</v>
          </cell>
          <cell r="R55">
            <v>2.5000000000000001E-2</v>
          </cell>
          <cell r="S55">
            <v>1</v>
          </cell>
          <cell r="T55">
            <v>0.03</v>
          </cell>
          <cell r="U55">
            <v>1</v>
          </cell>
          <cell r="V55" t="str">
            <v>TR PROFIT AFTER TGT 4</v>
          </cell>
          <cell r="W55">
            <v>1</v>
          </cell>
          <cell r="X55" t="str">
            <v>N.A.</v>
          </cell>
          <cell r="Y55" t="str">
            <v>N.A.</v>
          </cell>
          <cell r="AA55" t="str">
            <v>Min</v>
          </cell>
          <cell r="AB55" t="str">
            <v>MSL &amp; TSL</v>
          </cell>
          <cell r="AC55" t="str">
            <v>Entry &amp; TRP</v>
          </cell>
          <cell r="AE55" t="str">
            <v>S : Entry</v>
          </cell>
          <cell r="AF55" t="str">
            <v xml:space="preserve"> + </v>
          </cell>
          <cell r="AG55">
            <v>1.4999999999999999E-2</v>
          </cell>
          <cell r="AH55">
            <v>0</v>
          </cell>
          <cell r="AJ55" t="str">
            <v xml:space="preserve"> + </v>
          </cell>
          <cell r="AK55" t="str">
            <v>FUT : PRV : 2DHH</v>
          </cell>
          <cell r="AL55">
            <v>1.8E-3</v>
          </cell>
          <cell r="AM55">
            <v>5</v>
          </cell>
          <cell r="AN55" t="str">
            <v>FUT : PRV : 2DHH</v>
          </cell>
          <cell r="AO55">
            <v>1.8E-3</v>
          </cell>
          <cell r="AP55">
            <v>4</v>
          </cell>
          <cell r="AQ55" t="str">
            <v>FUT : PRV : 2DHH</v>
          </cell>
          <cell r="AR55">
            <v>1.8E-3</v>
          </cell>
          <cell r="AS55">
            <v>3</v>
          </cell>
          <cell r="AT55" t="str">
            <v>FUT : PRV : 2DHH</v>
          </cell>
          <cell r="AU55">
            <v>1.8E-3</v>
          </cell>
          <cell r="AV55">
            <v>2</v>
          </cell>
          <cell r="AW55" t="str">
            <v>FUT : PRV : 2DHH</v>
          </cell>
          <cell r="AX55">
            <v>1.8E-3</v>
          </cell>
          <cell r="AY55">
            <v>1</v>
          </cell>
          <cell r="AZ55">
            <v>0</v>
          </cell>
          <cell r="BA55">
            <v>0</v>
          </cell>
          <cell r="BB55">
            <v>0</v>
          </cell>
          <cell r="BD55" t="str">
            <v xml:space="preserve"> RC. Time</v>
          </cell>
          <cell r="BE55">
            <v>0.39582638888888888</v>
          </cell>
          <cell r="BF55">
            <v>0.39582638888888888</v>
          </cell>
          <cell r="BG55" t="str">
            <v>N.A.</v>
          </cell>
          <cell r="BJ55" t="str">
            <v>Short</v>
          </cell>
          <cell r="BK55">
            <v>1.8E-3</v>
          </cell>
          <cell r="BL55">
            <v>1.8E-3</v>
          </cell>
          <cell r="BO55" t="str">
            <v>Put</v>
          </cell>
          <cell r="BP55" t="str">
            <v/>
          </cell>
        </row>
        <row r="56">
          <cell r="B56" t="str">
            <v>S9C</v>
          </cell>
          <cell r="C56" t="str">
            <v>Segment</v>
          </cell>
          <cell r="D56" t="str">
            <v>FUTURES</v>
          </cell>
          <cell r="E56" t="str">
            <v>Contract</v>
          </cell>
          <cell r="F56" t="str">
            <v>MONTHLY</v>
          </cell>
        </row>
        <row r="57">
          <cell r="B57" t="str">
            <v>S9D</v>
          </cell>
          <cell r="C57" t="str">
            <v>Symbol</v>
          </cell>
          <cell r="D57" t="str">
            <v>NIFTY</v>
          </cell>
          <cell r="E57" t="str">
            <v>Bear / 
Bear CF</v>
          </cell>
          <cell r="F57" t="str">
            <v>Long</v>
          </cell>
          <cell r="G57" t="str">
            <v>FUT : PRV : 2DHH</v>
          </cell>
          <cell r="H57" t="str">
            <v xml:space="preserve"> + </v>
          </cell>
          <cell r="I57">
            <v>1.8E-3</v>
          </cell>
          <cell r="J57">
            <v>5</v>
          </cell>
          <cell r="L57" t="str">
            <v xml:space="preserve">L : Entry </v>
          </cell>
          <cell r="M57" t="str">
            <v xml:space="preserve"> + </v>
          </cell>
          <cell r="N57">
            <v>1.4999999999999999E-2</v>
          </cell>
          <cell r="O57">
            <v>1</v>
          </cell>
          <cell r="P57">
            <v>0.02</v>
          </cell>
          <cell r="Q57">
            <v>1</v>
          </cell>
          <cell r="R57">
            <v>2.5000000000000001E-2</v>
          </cell>
          <cell r="S57">
            <v>1</v>
          </cell>
          <cell r="T57">
            <v>0.03</v>
          </cell>
          <cell r="U57">
            <v>1</v>
          </cell>
          <cell r="V57" t="str">
            <v>TR PROFIT AFTER TGT 4</v>
          </cell>
          <cell r="W57">
            <v>1</v>
          </cell>
          <cell r="X57" t="str">
            <v>N.A.</v>
          </cell>
          <cell r="Y57" t="str">
            <v>N.A.</v>
          </cell>
          <cell r="AA57" t="str">
            <v>Max</v>
          </cell>
          <cell r="AB57" t="str">
            <v>MSL &amp; TSL</v>
          </cell>
          <cell r="AC57" t="str">
            <v>Entry &amp; TRP</v>
          </cell>
          <cell r="AE57" t="str">
            <v>L : Entry</v>
          </cell>
          <cell r="AF57" t="str">
            <v xml:space="preserve"> - </v>
          </cell>
          <cell r="AG57">
            <v>1.4999999999999999E-2</v>
          </cell>
          <cell r="AH57">
            <v>0</v>
          </cell>
          <cell r="AJ57" t="str">
            <v xml:space="preserve"> - </v>
          </cell>
          <cell r="AK57" t="str">
            <v>FUT : PRV : 2DLL</v>
          </cell>
          <cell r="AL57">
            <v>1.8E-3</v>
          </cell>
          <cell r="AM57">
            <v>5</v>
          </cell>
          <cell r="AN57" t="str">
            <v>FUT : PRV : 2DLL</v>
          </cell>
          <cell r="AO57">
            <v>1.8E-3</v>
          </cell>
          <cell r="AP57">
            <v>4</v>
          </cell>
          <cell r="AQ57" t="str">
            <v>FUT : PRV : 2DLL</v>
          </cell>
          <cell r="AR57">
            <v>1.8E-3</v>
          </cell>
          <cell r="AS57">
            <v>3</v>
          </cell>
          <cell r="AT57" t="str">
            <v>FUT : PRV : 2DLL</v>
          </cell>
          <cell r="AU57">
            <v>1.8E-3</v>
          </cell>
          <cell r="AV57">
            <v>2</v>
          </cell>
          <cell r="AW57" t="str">
            <v>FUT : PRV : 2DLL</v>
          </cell>
          <cell r="AX57">
            <v>1.8E-3</v>
          </cell>
          <cell r="AY57">
            <v>1</v>
          </cell>
          <cell r="AZ57">
            <v>0</v>
          </cell>
          <cell r="BA57">
            <v>0</v>
          </cell>
          <cell r="BB57">
            <v>0</v>
          </cell>
          <cell r="BD57" t="str">
            <v>Market Start Time</v>
          </cell>
          <cell r="BE57">
            <v>0.38541666666666669</v>
          </cell>
          <cell r="BI57" t="str">
            <v>Bear / 
Bear CF</v>
          </cell>
          <cell r="BJ57" t="str">
            <v>Long</v>
          </cell>
          <cell r="BK57">
            <v>1.8E-3</v>
          </cell>
          <cell r="BL57">
            <v>1.8E-3</v>
          </cell>
          <cell r="BN57" t="str">
            <v>Bear | 
Bear CF</v>
          </cell>
          <cell r="BO57" t="str">
            <v>Call</v>
          </cell>
          <cell r="BP57" t="str">
            <v/>
          </cell>
        </row>
        <row r="58">
          <cell r="B58" t="str">
            <v>S9E</v>
          </cell>
          <cell r="C58" t="str">
            <v>No. of Targets</v>
          </cell>
          <cell r="D58" t="str">
            <v>4 &amp; APS</v>
          </cell>
          <cell r="F58" t="str">
            <v>Short</v>
          </cell>
          <cell r="G58" t="str">
            <v>FUT : PRV : 2DLL</v>
          </cell>
          <cell r="H58" t="str">
            <v xml:space="preserve"> - </v>
          </cell>
          <cell r="I58">
            <v>1.8E-3</v>
          </cell>
          <cell r="J58">
            <v>5</v>
          </cell>
          <cell r="L58" t="str">
            <v xml:space="preserve">S : Entry </v>
          </cell>
          <cell r="M58" t="str">
            <v xml:space="preserve"> - </v>
          </cell>
          <cell r="N58">
            <v>1.4999999999999999E-2</v>
          </cell>
          <cell r="O58">
            <v>1</v>
          </cell>
          <cell r="P58">
            <v>0.02</v>
          </cell>
          <cell r="Q58">
            <v>1</v>
          </cell>
          <cell r="R58">
            <v>2.5000000000000001E-2</v>
          </cell>
          <cell r="S58">
            <v>1</v>
          </cell>
          <cell r="T58">
            <v>0.03</v>
          </cell>
          <cell r="U58">
            <v>1</v>
          </cell>
          <cell r="V58" t="str">
            <v>TR PROFIT AFTER TGT 4</v>
          </cell>
          <cell r="W58">
            <v>1</v>
          </cell>
          <cell r="X58" t="str">
            <v>N.A.</v>
          </cell>
          <cell r="Y58" t="str">
            <v>N.A.</v>
          </cell>
          <cell r="AA58" t="str">
            <v>Min</v>
          </cell>
          <cell r="AB58" t="str">
            <v>MSL &amp; TSL</v>
          </cell>
          <cell r="AC58" t="str">
            <v>Entry &amp; TRP</v>
          </cell>
          <cell r="AE58" t="str">
            <v>S : Entry</v>
          </cell>
          <cell r="AF58" t="str">
            <v xml:space="preserve"> + </v>
          </cell>
          <cell r="AG58">
            <v>1.4999999999999999E-2</v>
          </cell>
          <cell r="AH58">
            <v>0</v>
          </cell>
          <cell r="AJ58" t="str">
            <v xml:space="preserve"> + </v>
          </cell>
          <cell r="AK58" t="str">
            <v>FUT : PRV : 2DHH</v>
          </cell>
          <cell r="AL58">
            <v>1.8E-3</v>
          </cell>
          <cell r="AM58">
            <v>5</v>
          </cell>
          <cell r="AN58" t="str">
            <v>FUT : PRV : 2DHH</v>
          </cell>
          <cell r="AO58">
            <v>1.8E-3</v>
          </cell>
          <cell r="AP58">
            <v>4</v>
          </cell>
          <cell r="AQ58" t="str">
            <v>FUT : PRV : 2DHH</v>
          </cell>
          <cell r="AR58">
            <v>1.8E-3</v>
          </cell>
          <cell r="AS58">
            <v>3</v>
          </cell>
          <cell r="AT58" t="str">
            <v>FUT : PRV : 2DHH</v>
          </cell>
          <cell r="AU58">
            <v>1.8E-3</v>
          </cell>
          <cell r="AV58">
            <v>2</v>
          </cell>
          <cell r="AW58" t="str">
            <v>FUT : PRV : 2DHH</v>
          </cell>
          <cell r="AX58">
            <v>1.8E-3</v>
          </cell>
          <cell r="AY58">
            <v>1</v>
          </cell>
          <cell r="AZ58">
            <v>0</v>
          </cell>
          <cell r="BA58">
            <v>0</v>
          </cell>
          <cell r="BB58">
            <v>0</v>
          </cell>
          <cell r="BD58" t="str">
            <v>Market End Time</v>
          </cell>
          <cell r="BE58">
            <v>0.64583333333333337</v>
          </cell>
          <cell r="BJ58" t="str">
            <v>Short</v>
          </cell>
          <cell r="BK58">
            <v>1.8E-3</v>
          </cell>
          <cell r="BL58">
            <v>1.8E-3</v>
          </cell>
          <cell r="BO58" t="str">
            <v>Put</v>
          </cell>
          <cell r="BP58" t="str">
            <v/>
          </cell>
        </row>
        <row r="60">
          <cell r="B60" t="str">
            <v>S10A</v>
          </cell>
          <cell r="C60" t="str">
            <v>Strategy Code</v>
          </cell>
          <cell r="D60" t="str">
            <v>S10</v>
          </cell>
          <cell r="E60" t="str">
            <v>Bull / 
Bull CF</v>
          </cell>
          <cell r="F60" t="str">
            <v>Long</v>
          </cell>
          <cell r="G60" t="str">
            <v>FUT : PRV : 2DHH</v>
          </cell>
          <cell r="H60" t="str">
            <v xml:space="preserve"> + </v>
          </cell>
          <cell r="I60">
            <v>0</v>
          </cell>
          <cell r="J60">
            <v>5</v>
          </cell>
          <cell r="L60" t="str">
            <v xml:space="preserve">L : Entry </v>
          </cell>
          <cell r="M60" t="str">
            <v xml:space="preserve"> + </v>
          </cell>
          <cell r="N60">
            <v>0.01</v>
          </cell>
          <cell r="O60">
            <v>1</v>
          </cell>
          <cell r="P60">
            <v>1.4999999999999999E-2</v>
          </cell>
          <cell r="Q60">
            <v>1</v>
          </cell>
          <cell r="R60">
            <v>0.02</v>
          </cell>
          <cell r="S60">
            <v>1</v>
          </cell>
          <cell r="T60">
            <v>2.5000000000000001E-2</v>
          </cell>
          <cell r="U60">
            <v>1</v>
          </cell>
          <cell r="V60" t="str">
            <v>TR PROFIT AFTER TGT 4</v>
          </cell>
          <cell r="W60">
            <v>1</v>
          </cell>
          <cell r="X60" t="str">
            <v>N.A.</v>
          </cell>
          <cell r="Y60" t="str">
            <v>N.A.</v>
          </cell>
          <cell r="AA60" t="str">
            <v>Max</v>
          </cell>
          <cell r="AB60" t="str">
            <v>MSL &amp; TSL</v>
          </cell>
          <cell r="AC60" t="str">
            <v>Entry &amp; TRP</v>
          </cell>
          <cell r="AE60" t="str">
            <v>L : Entry</v>
          </cell>
          <cell r="AF60" t="str">
            <v xml:space="preserve"> - </v>
          </cell>
          <cell r="AG60">
            <v>0.01</v>
          </cell>
          <cell r="AH60">
            <v>0</v>
          </cell>
          <cell r="AJ60" t="str">
            <v xml:space="preserve"> - </v>
          </cell>
          <cell r="AK60" t="str">
            <v>FUT : PRV : 3DLL</v>
          </cell>
          <cell r="AL60">
            <v>1E-3</v>
          </cell>
          <cell r="AM60">
            <v>5</v>
          </cell>
          <cell r="AN60" t="str">
            <v>FUT : PRV : 3DLL</v>
          </cell>
          <cell r="AO60">
            <v>1E-3</v>
          </cell>
          <cell r="AP60">
            <v>4</v>
          </cell>
          <cell r="AQ60" t="str">
            <v>FUT : PRV : 3DLL</v>
          </cell>
          <cell r="AR60">
            <v>1E-3</v>
          </cell>
          <cell r="AS60">
            <v>3</v>
          </cell>
          <cell r="AT60" t="str">
            <v>FUT : PRV : 3DLL</v>
          </cell>
          <cell r="AU60">
            <v>1E-3</v>
          </cell>
          <cell r="AV60">
            <v>2</v>
          </cell>
          <cell r="AW60" t="str">
            <v>FUT : PRV : 3DLL</v>
          </cell>
          <cell r="AX60">
            <v>1E-3</v>
          </cell>
          <cell r="AY60">
            <v>1</v>
          </cell>
          <cell r="AZ60">
            <v>0</v>
          </cell>
          <cell r="BA60">
            <v>0</v>
          </cell>
          <cell r="BB60">
            <v>0</v>
          </cell>
          <cell r="BD60" t="str">
            <v xml:space="preserve">ORPT </v>
          </cell>
          <cell r="BE60">
            <v>0.37846527777777778</v>
          </cell>
          <cell r="BF60">
            <v>0.37846527777777778</v>
          </cell>
          <cell r="BG60">
            <v>0.375</v>
          </cell>
          <cell r="BI60" t="str">
            <v>Bull / 
Bull CF</v>
          </cell>
          <cell r="BJ60" t="str">
            <v>Long</v>
          </cell>
          <cell r="BK60">
            <v>1E-3</v>
          </cell>
          <cell r="BL60">
            <v>1E-3</v>
          </cell>
          <cell r="BN60" t="str">
            <v>Bull | 
Bull CF</v>
          </cell>
          <cell r="BO60" t="str">
            <v>Call</v>
          </cell>
          <cell r="BP60" t="str">
            <v/>
          </cell>
          <cell r="CU60">
            <v>0.95833333333333326</v>
          </cell>
        </row>
        <row r="61">
          <cell r="B61" t="str">
            <v>S10B</v>
          </cell>
          <cell r="C61" t="str">
            <v>Unique Code</v>
          </cell>
          <cell r="D61" t="str">
            <v>GOLDM_FUT_MT_DIFF_2D_3D</v>
          </cell>
          <cell r="F61" t="str">
            <v>Short</v>
          </cell>
          <cell r="G61" t="str">
            <v>FUT : PRV : 3DLL</v>
          </cell>
          <cell r="H61" t="str">
            <v xml:space="preserve"> - </v>
          </cell>
          <cell r="I61">
            <v>1E-3</v>
          </cell>
          <cell r="J61">
            <v>5</v>
          </cell>
          <cell r="L61" t="str">
            <v xml:space="preserve">S : Entry </v>
          </cell>
          <cell r="M61" t="str">
            <v xml:space="preserve"> - </v>
          </cell>
          <cell r="N61">
            <v>0.01</v>
          </cell>
          <cell r="O61">
            <v>1</v>
          </cell>
          <cell r="P61">
            <v>1.4999999999999999E-2</v>
          </cell>
          <cell r="Q61">
            <v>1</v>
          </cell>
          <cell r="R61">
            <v>0.02</v>
          </cell>
          <cell r="S61">
            <v>1</v>
          </cell>
          <cell r="T61">
            <v>2.5000000000000001E-2</v>
          </cell>
          <cell r="U61">
            <v>1</v>
          </cell>
          <cell r="V61" t="str">
            <v>TR PROFIT AFTER TGT 4</v>
          </cell>
          <cell r="W61">
            <v>1</v>
          </cell>
          <cell r="X61" t="str">
            <v>N.A.</v>
          </cell>
          <cell r="Y61" t="str">
            <v>N.A.</v>
          </cell>
          <cell r="AA61" t="str">
            <v>Min</v>
          </cell>
          <cell r="AB61" t="str">
            <v>MSL &amp; TSL</v>
          </cell>
          <cell r="AC61" t="str">
            <v>Entry &amp; TRP</v>
          </cell>
          <cell r="AE61" t="str">
            <v>S : Entry</v>
          </cell>
          <cell r="AF61" t="str">
            <v xml:space="preserve"> + </v>
          </cell>
          <cell r="AG61">
            <v>0.01</v>
          </cell>
          <cell r="AH61">
            <v>0</v>
          </cell>
          <cell r="AJ61" t="str">
            <v xml:space="preserve"> + </v>
          </cell>
          <cell r="AK61" t="str">
            <v>FUT : PRV : 2DHH</v>
          </cell>
          <cell r="AL61">
            <v>0</v>
          </cell>
          <cell r="AM61">
            <v>5</v>
          </cell>
          <cell r="AN61" t="str">
            <v>FUT : PRV : 2DHH</v>
          </cell>
          <cell r="AO61">
            <v>0</v>
          </cell>
          <cell r="AP61">
            <v>4</v>
          </cell>
          <cell r="AQ61" t="str">
            <v>FUT : PRV : 2DHH</v>
          </cell>
          <cell r="AR61">
            <v>0</v>
          </cell>
          <cell r="AS61">
            <v>3</v>
          </cell>
          <cell r="AT61" t="str">
            <v>FUT : PRV : 2DHH</v>
          </cell>
          <cell r="AU61">
            <v>0</v>
          </cell>
          <cell r="AV61">
            <v>2</v>
          </cell>
          <cell r="AW61" t="str">
            <v>FUT : PRV : 2DHH</v>
          </cell>
          <cell r="AX61">
            <v>0</v>
          </cell>
          <cell r="AY61">
            <v>1</v>
          </cell>
          <cell r="AZ61">
            <v>0</v>
          </cell>
          <cell r="BA61">
            <v>0</v>
          </cell>
          <cell r="BB61">
            <v>0</v>
          </cell>
          <cell r="BD61" t="str">
            <v xml:space="preserve"> RC. Time</v>
          </cell>
          <cell r="BE61">
            <v>0.38540972222222225</v>
          </cell>
          <cell r="BF61">
            <v>0.38540972222222225</v>
          </cell>
          <cell r="BG61" t="str">
            <v>N.A.</v>
          </cell>
          <cell r="BJ61" t="str">
            <v>Short</v>
          </cell>
          <cell r="BK61">
            <v>1E-3</v>
          </cell>
          <cell r="BL61">
            <v>1E-3</v>
          </cell>
          <cell r="BO61" t="str">
            <v>Put</v>
          </cell>
          <cell r="BP61" t="str">
            <v/>
          </cell>
        </row>
        <row r="62">
          <cell r="B62" t="str">
            <v>S10C</v>
          </cell>
          <cell r="C62" t="str">
            <v>Segment</v>
          </cell>
          <cell r="D62" t="str">
            <v>FUTURES</v>
          </cell>
          <cell r="E62" t="str">
            <v>Contract</v>
          </cell>
          <cell r="F62" t="str">
            <v>MONTHLY</v>
          </cell>
        </row>
        <row r="63">
          <cell r="B63" t="str">
            <v>S10D</v>
          </cell>
          <cell r="C63" t="str">
            <v>Symbol</v>
          </cell>
          <cell r="D63" t="str">
            <v>GOLDM</v>
          </cell>
          <cell r="E63" t="str">
            <v>Bear / 
Bear CF</v>
          </cell>
          <cell r="F63" t="str">
            <v>Long</v>
          </cell>
          <cell r="G63" t="str">
            <v>FUT : PRV : 3DHH</v>
          </cell>
          <cell r="H63" t="str">
            <v xml:space="preserve"> + </v>
          </cell>
          <cell r="I63">
            <v>1E-3</v>
          </cell>
          <cell r="J63">
            <v>5</v>
          </cell>
          <cell r="L63" t="str">
            <v xml:space="preserve">L : Entry </v>
          </cell>
          <cell r="M63" t="str">
            <v xml:space="preserve"> + </v>
          </cell>
          <cell r="N63">
            <v>0.01</v>
          </cell>
          <cell r="O63">
            <v>1</v>
          </cell>
          <cell r="P63">
            <v>1.4999999999999999E-2</v>
          </cell>
          <cell r="Q63">
            <v>1</v>
          </cell>
          <cell r="R63">
            <v>0.02</v>
          </cell>
          <cell r="S63">
            <v>1</v>
          </cell>
          <cell r="T63">
            <v>2.5000000000000001E-2</v>
          </cell>
          <cell r="U63">
            <v>1</v>
          </cell>
          <cell r="V63" t="str">
            <v>TR PROFIT AFTER TGT 4</v>
          </cell>
          <cell r="W63">
            <v>1</v>
          </cell>
          <cell r="X63" t="str">
            <v>N.A.</v>
          </cell>
          <cell r="Y63" t="str">
            <v>N.A.</v>
          </cell>
          <cell r="AA63" t="str">
            <v>Max</v>
          </cell>
          <cell r="AB63" t="str">
            <v>MSL &amp; TSL</v>
          </cell>
          <cell r="AC63" t="str">
            <v>Entry &amp; TRP</v>
          </cell>
          <cell r="AE63" t="str">
            <v>L : Entry</v>
          </cell>
          <cell r="AF63" t="str">
            <v xml:space="preserve"> - </v>
          </cell>
          <cell r="AG63">
            <v>0.01</v>
          </cell>
          <cell r="AH63">
            <v>0</v>
          </cell>
          <cell r="AJ63" t="str">
            <v xml:space="preserve"> - </v>
          </cell>
          <cell r="AK63" t="str">
            <v>FUT : PRV : 2DLL</v>
          </cell>
          <cell r="AL63">
            <v>0</v>
          </cell>
          <cell r="AM63">
            <v>5</v>
          </cell>
          <cell r="AN63" t="str">
            <v>FUT : PRV : 2DLL</v>
          </cell>
          <cell r="AO63">
            <v>0</v>
          </cell>
          <cell r="AP63">
            <v>4</v>
          </cell>
          <cell r="AQ63" t="str">
            <v>FUT : PRV : 2DLL</v>
          </cell>
          <cell r="AR63">
            <v>0</v>
          </cell>
          <cell r="AS63">
            <v>3</v>
          </cell>
          <cell r="AT63" t="str">
            <v>FUT : PRV : 2DLL</v>
          </cell>
          <cell r="AU63">
            <v>0</v>
          </cell>
          <cell r="AV63">
            <v>2</v>
          </cell>
          <cell r="AW63" t="str">
            <v>FUT : PRV : 2DLL</v>
          </cell>
          <cell r="AX63">
            <v>0</v>
          </cell>
          <cell r="AY63">
            <v>1</v>
          </cell>
          <cell r="AZ63">
            <v>0</v>
          </cell>
          <cell r="BA63">
            <v>0</v>
          </cell>
          <cell r="BB63">
            <v>0</v>
          </cell>
          <cell r="BD63" t="str">
            <v>Market Start Time</v>
          </cell>
          <cell r="BE63">
            <v>0.375</v>
          </cell>
          <cell r="BI63" t="str">
            <v>Bear / 
Bear CF</v>
          </cell>
          <cell r="BJ63" t="str">
            <v>Long</v>
          </cell>
          <cell r="BK63">
            <v>1E-3</v>
          </cell>
          <cell r="BL63">
            <v>1E-3</v>
          </cell>
          <cell r="BN63" t="str">
            <v>Bear | 
Bear CF</v>
          </cell>
          <cell r="BO63" t="str">
            <v>Call</v>
          </cell>
          <cell r="BP63" t="str">
            <v/>
          </cell>
        </row>
        <row r="64">
          <cell r="B64" t="str">
            <v>S10E</v>
          </cell>
          <cell r="C64" t="str">
            <v>No. of Targets</v>
          </cell>
          <cell r="D64" t="str">
            <v>4 &amp; APS</v>
          </cell>
          <cell r="F64" t="str">
            <v>Short</v>
          </cell>
          <cell r="G64" t="str">
            <v>FUT : PRV : 2DLL</v>
          </cell>
          <cell r="H64" t="str">
            <v xml:space="preserve"> - </v>
          </cell>
          <cell r="I64">
            <v>0</v>
          </cell>
          <cell r="J64">
            <v>5</v>
          </cell>
          <cell r="L64" t="str">
            <v xml:space="preserve">S : Entry </v>
          </cell>
          <cell r="M64" t="str">
            <v xml:space="preserve"> - </v>
          </cell>
          <cell r="N64">
            <v>0.01</v>
          </cell>
          <cell r="O64">
            <v>1</v>
          </cell>
          <cell r="P64">
            <v>1.4999999999999999E-2</v>
          </cell>
          <cell r="Q64">
            <v>1</v>
          </cell>
          <cell r="R64">
            <v>0.02</v>
          </cell>
          <cell r="S64">
            <v>1</v>
          </cell>
          <cell r="T64">
            <v>2.5000000000000001E-2</v>
          </cell>
          <cell r="U64">
            <v>1</v>
          </cell>
          <cell r="V64" t="str">
            <v>TR PROFIT AFTER TGT 4</v>
          </cell>
          <cell r="W64">
            <v>1</v>
          </cell>
          <cell r="X64" t="str">
            <v>N.A.</v>
          </cell>
          <cell r="Y64" t="str">
            <v>N.A.</v>
          </cell>
          <cell r="AA64" t="str">
            <v>Min</v>
          </cell>
          <cell r="AB64" t="str">
            <v>MSL &amp; TSL</v>
          </cell>
          <cell r="AC64" t="str">
            <v>Entry &amp; TRP</v>
          </cell>
          <cell r="AE64" t="str">
            <v>S : Entry</v>
          </cell>
          <cell r="AF64" t="str">
            <v xml:space="preserve"> + </v>
          </cell>
          <cell r="AG64">
            <v>0.01</v>
          </cell>
          <cell r="AH64">
            <v>0</v>
          </cell>
          <cell r="AJ64" t="str">
            <v xml:space="preserve"> + </v>
          </cell>
          <cell r="AK64" t="str">
            <v>FUT : PRV : 3DHH</v>
          </cell>
          <cell r="AL64">
            <v>1E-3</v>
          </cell>
          <cell r="AM64">
            <v>5</v>
          </cell>
          <cell r="AN64" t="str">
            <v>FUT : PRV : 3DHH</v>
          </cell>
          <cell r="AO64">
            <v>1E-3</v>
          </cell>
          <cell r="AP64">
            <v>4</v>
          </cell>
          <cell r="AQ64" t="str">
            <v>FUT : PRV : 3DHH</v>
          </cell>
          <cell r="AR64">
            <v>1E-3</v>
          </cell>
          <cell r="AS64">
            <v>3</v>
          </cell>
          <cell r="AT64" t="str">
            <v>FUT : PRV : 3DHH</v>
          </cell>
          <cell r="AU64">
            <v>1E-3</v>
          </cell>
          <cell r="AV64">
            <v>2</v>
          </cell>
          <cell r="AW64" t="str">
            <v>FUT : PRV : 3DHH</v>
          </cell>
          <cell r="AX64">
            <v>1E-3</v>
          </cell>
          <cell r="AY64">
            <v>1</v>
          </cell>
          <cell r="AZ64">
            <v>0</v>
          </cell>
          <cell r="BA64">
            <v>0</v>
          </cell>
          <cell r="BB64">
            <v>0</v>
          </cell>
          <cell r="BD64" t="str">
            <v>Market End Time</v>
          </cell>
          <cell r="BE64">
            <v>0.97916666666666663</v>
          </cell>
          <cell r="BJ64" t="str">
            <v>Short</v>
          </cell>
          <cell r="BK64">
            <v>1E-3</v>
          </cell>
          <cell r="BL64">
            <v>1E-3</v>
          </cell>
          <cell r="BO64" t="str">
            <v>Put</v>
          </cell>
          <cell r="BP64" t="str">
            <v/>
          </cell>
        </row>
        <row r="66">
          <cell r="B66" t="str">
            <v>S11A</v>
          </cell>
          <cell r="C66" t="str">
            <v>Strategy Code</v>
          </cell>
          <cell r="D66" t="str">
            <v>S11</v>
          </cell>
          <cell r="E66" t="str">
            <v>Bull / 
Bull CF</v>
          </cell>
          <cell r="F66" t="str">
            <v>Long</v>
          </cell>
          <cell r="G66" t="str">
            <v>FUT : PRV : 3DHH</v>
          </cell>
          <cell r="H66" t="str">
            <v xml:space="preserve"> + </v>
          </cell>
          <cell r="I66">
            <v>1E-3</v>
          </cell>
          <cell r="J66">
            <v>5</v>
          </cell>
          <cell r="L66" t="str">
            <v xml:space="preserve">L : Entry </v>
          </cell>
          <cell r="M66" t="str">
            <v xml:space="preserve"> + </v>
          </cell>
          <cell r="N66">
            <v>0.01</v>
          </cell>
          <cell r="O66">
            <v>1</v>
          </cell>
          <cell r="P66">
            <v>1.4999999999999999E-2</v>
          </cell>
          <cell r="Q66">
            <v>1</v>
          </cell>
          <cell r="R66">
            <v>0.02</v>
          </cell>
          <cell r="S66">
            <v>1</v>
          </cell>
          <cell r="T66">
            <v>2.5000000000000001E-2</v>
          </cell>
          <cell r="U66">
            <v>1</v>
          </cell>
          <cell r="V66" t="str">
            <v>TR PROFIT AFTER TGT 4</v>
          </cell>
          <cell r="W66">
            <v>1</v>
          </cell>
          <cell r="X66" t="str">
            <v>N.A.</v>
          </cell>
          <cell r="Y66" t="str">
            <v>N.A.</v>
          </cell>
          <cell r="AA66" t="str">
            <v>Max</v>
          </cell>
          <cell r="AB66" t="str">
            <v>MSL &amp; TSL</v>
          </cell>
          <cell r="AC66" t="str">
            <v>Entry &amp; TRP</v>
          </cell>
          <cell r="AE66" t="str">
            <v>L : Entry</v>
          </cell>
          <cell r="AF66" t="str">
            <v xml:space="preserve"> - </v>
          </cell>
          <cell r="AG66">
            <v>0.01</v>
          </cell>
          <cell r="AH66">
            <v>0</v>
          </cell>
          <cell r="AJ66" t="str">
            <v xml:space="preserve"> - </v>
          </cell>
          <cell r="AK66" t="str">
            <v>FUT : PRV : 3DLL</v>
          </cell>
          <cell r="AL66">
            <v>1E-3</v>
          </cell>
          <cell r="AM66">
            <v>5</v>
          </cell>
          <cell r="AN66" t="str">
            <v>FUT : PRV : 3DLL</v>
          </cell>
          <cell r="AO66">
            <v>1E-3</v>
          </cell>
          <cell r="AP66">
            <v>4</v>
          </cell>
          <cell r="AQ66" t="str">
            <v>FUT : PRV : 3DLL</v>
          </cell>
          <cell r="AR66">
            <v>1E-3</v>
          </cell>
          <cell r="AS66">
            <v>3</v>
          </cell>
          <cell r="AT66" t="str">
            <v>FUT : PRV : 3DLL</v>
          </cell>
          <cell r="AU66">
            <v>1E-3</v>
          </cell>
          <cell r="AV66">
            <v>2</v>
          </cell>
          <cell r="AW66" t="str">
            <v>FUT : PRV : 3DLL</v>
          </cell>
          <cell r="AX66">
            <v>1E-3</v>
          </cell>
          <cell r="AY66">
            <v>1</v>
          </cell>
          <cell r="AZ66">
            <v>0</v>
          </cell>
          <cell r="BA66">
            <v>0</v>
          </cell>
          <cell r="BB66">
            <v>0</v>
          </cell>
          <cell r="BD66" t="str">
            <v xml:space="preserve">ORPT </v>
          </cell>
          <cell r="BE66">
            <v>0.37846527777777778</v>
          </cell>
          <cell r="BF66">
            <v>0.37846527777777778</v>
          </cell>
          <cell r="BG66">
            <v>0.375</v>
          </cell>
          <cell r="BI66" t="str">
            <v>Bull / 
Bull CF</v>
          </cell>
          <cell r="BJ66" t="str">
            <v>Long</v>
          </cell>
          <cell r="BK66">
            <v>1E-3</v>
          </cell>
          <cell r="BL66">
            <v>1E-3</v>
          </cell>
          <cell r="BN66" t="str">
            <v>Bull | 
Bull CF</v>
          </cell>
          <cell r="BO66" t="str">
            <v>Call</v>
          </cell>
          <cell r="BP66" t="str">
            <v/>
          </cell>
          <cell r="CU66">
            <v>0.95833333333333326</v>
          </cell>
        </row>
        <row r="67">
          <cell r="B67" t="str">
            <v>S11B</v>
          </cell>
          <cell r="C67" t="str">
            <v>Unique Code</v>
          </cell>
          <cell r="D67" t="str">
            <v>GOLDM_FUT_MT_SAME_3D_3D</v>
          </cell>
          <cell r="F67" t="str">
            <v>Short</v>
          </cell>
          <cell r="G67" t="str">
            <v>FUT : PRV : 3DLL</v>
          </cell>
          <cell r="H67" t="str">
            <v xml:space="preserve"> - </v>
          </cell>
          <cell r="I67">
            <v>1E-3</v>
          </cell>
          <cell r="J67">
            <v>5</v>
          </cell>
          <cell r="L67" t="str">
            <v xml:space="preserve">S : Entry </v>
          </cell>
          <cell r="M67" t="str">
            <v xml:space="preserve"> - </v>
          </cell>
          <cell r="N67">
            <v>0.01</v>
          </cell>
          <cell r="O67">
            <v>1</v>
          </cell>
          <cell r="P67">
            <v>1.4999999999999999E-2</v>
          </cell>
          <cell r="Q67">
            <v>1</v>
          </cell>
          <cell r="R67">
            <v>0.02</v>
          </cell>
          <cell r="S67">
            <v>1</v>
          </cell>
          <cell r="T67">
            <v>2.5000000000000001E-2</v>
          </cell>
          <cell r="U67">
            <v>1</v>
          </cell>
          <cell r="V67" t="str">
            <v>TR PROFIT AFTER TGT 4</v>
          </cell>
          <cell r="W67">
            <v>1</v>
          </cell>
          <cell r="X67" t="str">
            <v>N.A.</v>
          </cell>
          <cell r="Y67" t="str">
            <v>N.A.</v>
          </cell>
          <cell r="AA67" t="str">
            <v>Min</v>
          </cell>
          <cell r="AB67" t="str">
            <v>MSL &amp; TSL</v>
          </cell>
          <cell r="AC67" t="str">
            <v>Entry &amp; TRP</v>
          </cell>
          <cell r="AE67" t="str">
            <v>S : Entry</v>
          </cell>
          <cell r="AF67" t="str">
            <v xml:space="preserve"> + </v>
          </cell>
          <cell r="AG67">
            <v>0.01</v>
          </cell>
          <cell r="AH67">
            <v>0</v>
          </cell>
          <cell r="AJ67" t="str">
            <v xml:space="preserve"> + </v>
          </cell>
          <cell r="AK67" t="str">
            <v>FUT : PRV : 3DHH</v>
          </cell>
          <cell r="AL67">
            <v>1E-3</v>
          </cell>
          <cell r="AM67">
            <v>5</v>
          </cell>
          <cell r="AN67" t="str">
            <v>FUT : PRV : 3DHH</v>
          </cell>
          <cell r="AO67">
            <v>1E-3</v>
          </cell>
          <cell r="AP67">
            <v>4</v>
          </cell>
          <cell r="AQ67" t="str">
            <v>FUT : PRV : 3DHH</v>
          </cell>
          <cell r="AR67">
            <v>1E-3</v>
          </cell>
          <cell r="AS67">
            <v>3</v>
          </cell>
          <cell r="AT67" t="str">
            <v>FUT : PRV : 3DHH</v>
          </cell>
          <cell r="AU67">
            <v>1E-3</v>
          </cell>
          <cell r="AV67">
            <v>2</v>
          </cell>
          <cell r="AW67" t="str">
            <v>FUT : PRV : 3DHH</v>
          </cell>
          <cell r="AX67">
            <v>1E-3</v>
          </cell>
          <cell r="AY67">
            <v>1</v>
          </cell>
          <cell r="AZ67">
            <v>0</v>
          </cell>
          <cell r="BA67">
            <v>0</v>
          </cell>
          <cell r="BB67">
            <v>0</v>
          </cell>
          <cell r="BD67" t="str">
            <v xml:space="preserve"> RC. Time</v>
          </cell>
          <cell r="BE67">
            <v>0.38540972222222225</v>
          </cell>
          <cell r="BF67">
            <v>0.38540972222222225</v>
          </cell>
          <cell r="BG67" t="str">
            <v>N.A.</v>
          </cell>
          <cell r="BJ67" t="str">
            <v>Short</v>
          </cell>
          <cell r="BK67">
            <v>1E-3</v>
          </cell>
          <cell r="BL67">
            <v>1E-3</v>
          </cell>
          <cell r="BO67" t="str">
            <v>Put</v>
          </cell>
          <cell r="BP67" t="str">
            <v/>
          </cell>
        </row>
        <row r="68">
          <cell r="B68" t="str">
            <v>S11C</v>
          </cell>
          <cell r="C68" t="str">
            <v>Segment</v>
          </cell>
          <cell r="D68" t="str">
            <v>FUTURES</v>
          </cell>
          <cell r="E68" t="str">
            <v>Contract</v>
          </cell>
          <cell r="F68" t="str">
            <v>MONTHLY</v>
          </cell>
        </row>
        <row r="69">
          <cell r="B69" t="str">
            <v>S11D</v>
          </cell>
          <cell r="C69" t="str">
            <v>Symbol</v>
          </cell>
          <cell r="D69" t="str">
            <v>GOLDM</v>
          </cell>
          <cell r="E69" t="str">
            <v>Bear / 
Bear CF</v>
          </cell>
          <cell r="F69" t="str">
            <v>Long</v>
          </cell>
          <cell r="G69" t="str">
            <v>FUT : PRV : 3DHH</v>
          </cell>
          <cell r="H69" t="str">
            <v xml:space="preserve"> + </v>
          </cell>
          <cell r="I69">
            <v>1E-3</v>
          </cell>
          <cell r="J69">
            <v>5</v>
          </cell>
          <cell r="L69" t="str">
            <v xml:space="preserve">L : Entry </v>
          </cell>
          <cell r="M69" t="str">
            <v xml:space="preserve"> + </v>
          </cell>
          <cell r="N69">
            <v>0.01</v>
          </cell>
          <cell r="O69">
            <v>1</v>
          </cell>
          <cell r="P69">
            <v>1.4999999999999999E-2</v>
          </cell>
          <cell r="Q69">
            <v>1</v>
          </cell>
          <cell r="R69">
            <v>0.02</v>
          </cell>
          <cell r="S69">
            <v>1</v>
          </cell>
          <cell r="T69">
            <v>2.5000000000000001E-2</v>
          </cell>
          <cell r="U69">
            <v>1</v>
          </cell>
          <cell r="V69" t="str">
            <v>TR PROFIT AFTER TGT 4</v>
          </cell>
          <cell r="W69">
            <v>1</v>
          </cell>
          <cell r="X69" t="str">
            <v>N.A.</v>
          </cell>
          <cell r="Y69" t="str">
            <v>N.A.</v>
          </cell>
          <cell r="AA69" t="str">
            <v>Max</v>
          </cell>
          <cell r="AB69" t="str">
            <v>MSL &amp; TSL</v>
          </cell>
          <cell r="AC69" t="str">
            <v>Entry &amp; TRP</v>
          </cell>
          <cell r="AE69" t="str">
            <v>L : Entry</v>
          </cell>
          <cell r="AF69" t="str">
            <v xml:space="preserve"> - </v>
          </cell>
          <cell r="AG69">
            <v>0.01</v>
          </cell>
          <cell r="AH69">
            <v>0</v>
          </cell>
          <cell r="AJ69" t="str">
            <v xml:space="preserve"> - </v>
          </cell>
          <cell r="AK69" t="str">
            <v>FUT : PRV : 3DLL</v>
          </cell>
          <cell r="AL69">
            <v>1E-3</v>
          </cell>
          <cell r="AM69">
            <v>5</v>
          </cell>
          <cell r="AN69" t="str">
            <v>FUT : PRV : 3DLL</v>
          </cell>
          <cell r="AO69">
            <v>1E-3</v>
          </cell>
          <cell r="AP69">
            <v>4</v>
          </cell>
          <cell r="AQ69" t="str">
            <v>FUT : PRV : 3DLL</v>
          </cell>
          <cell r="AR69">
            <v>1E-3</v>
          </cell>
          <cell r="AS69">
            <v>3</v>
          </cell>
          <cell r="AT69" t="str">
            <v>FUT : PRV : 3DLL</v>
          </cell>
          <cell r="AU69">
            <v>1E-3</v>
          </cell>
          <cell r="AV69">
            <v>2</v>
          </cell>
          <cell r="AW69" t="str">
            <v>FUT : PRV : 3DLL</v>
          </cell>
          <cell r="AX69">
            <v>1E-3</v>
          </cell>
          <cell r="AY69">
            <v>1</v>
          </cell>
          <cell r="AZ69">
            <v>0</v>
          </cell>
          <cell r="BA69">
            <v>0</v>
          </cell>
          <cell r="BB69">
            <v>0</v>
          </cell>
          <cell r="BD69" t="str">
            <v>Market Start Time</v>
          </cell>
          <cell r="BE69">
            <v>0.375</v>
          </cell>
          <cell r="BI69" t="str">
            <v>Bear / 
Bear CF</v>
          </cell>
          <cell r="BJ69" t="str">
            <v>Long</v>
          </cell>
          <cell r="BK69">
            <v>1E-3</v>
          </cell>
          <cell r="BL69">
            <v>1E-3</v>
          </cell>
          <cell r="BN69" t="str">
            <v>Bear | 
Bear CF</v>
          </cell>
          <cell r="BO69" t="str">
            <v>Call</v>
          </cell>
          <cell r="BP69" t="str">
            <v/>
          </cell>
        </row>
        <row r="70">
          <cell r="B70" t="str">
            <v>S11E</v>
          </cell>
          <cell r="C70" t="str">
            <v>No. of Targets</v>
          </cell>
          <cell r="D70" t="str">
            <v>4 &amp; APS</v>
          </cell>
          <cell r="F70" t="str">
            <v>Short</v>
          </cell>
          <cell r="G70" t="str">
            <v>FUT : PRV : 3DLL</v>
          </cell>
          <cell r="H70" t="str">
            <v xml:space="preserve"> - </v>
          </cell>
          <cell r="I70">
            <v>1E-3</v>
          </cell>
          <cell r="J70">
            <v>5</v>
          </cell>
          <cell r="L70" t="str">
            <v xml:space="preserve">S : Entry </v>
          </cell>
          <cell r="M70" t="str">
            <v xml:space="preserve"> - </v>
          </cell>
          <cell r="N70">
            <v>0.01</v>
          </cell>
          <cell r="O70">
            <v>1</v>
          </cell>
          <cell r="P70">
            <v>1.4999999999999999E-2</v>
          </cell>
          <cell r="Q70">
            <v>1</v>
          </cell>
          <cell r="R70">
            <v>0.02</v>
          </cell>
          <cell r="S70">
            <v>1</v>
          </cell>
          <cell r="T70">
            <v>2.5000000000000001E-2</v>
          </cell>
          <cell r="U70">
            <v>1</v>
          </cell>
          <cell r="V70" t="str">
            <v>TR PROFIT AFTER TGT 4</v>
          </cell>
          <cell r="W70">
            <v>1</v>
          </cell>
          <cell r="X70" t="str">
            <v>N.A.</v>
          </cell>
          <cell r="Y70" t="str">
            <v>N.A.</v>
          </cell>
          <cell r="AA70" t="str">
            <v>Min</v>
          </cell>
          <cell r="AB70" t="str">
            <v>MSL &amp; TSL</v>
          </cell>
          <cell r="AC70" t="str">
            <v>Entry &amp; TRP</v>
          </cell>
          <cell r="AE70" t="str">
            <v>S : Entry</v>
          </cell>
          <cell r="AF70" t="str">
            <v xml:space="preserve"> + </v>
          </cell>
          <cell r="AG70">
            <v>0.01</v>
          </cell>
          <cell r="AH70">
            <v>0</v>
          </cell>
          <cell r="AJ70" t="str">
            <v xml:space="preserve"> + </v>
          </cell>
          <cell r="AK70" t="str">
            <v>FUT : PRV : 3DHH</v>
          </cell>
          <cell r="AL70">
            <v>1E-3</v>
          </cell>
          <cell r="AM70">
            <v>5</v>
          </cell>
          <cell r="AN70" t="str">
            <v>FUT : PRV : 3DHH</v>
          </cell>
          <cell r="AO70">
            <v>1E-3</v>
          </cell>
          <cell r="AP70">
            <v>4</v>
          </cell>
          <cell r="AQ70" t="str">
            <v>FUT : PRV : 3DHH</v>
          </cell>
          <cell r="AR70">
            <v>1E-3</v>
          </cell>
          <cell r="AS70">
            <v>3</v>
          </cell>
          <cell r="AT70" t="str">
            <v>FUT : PRV : 3DHH</v>
          </cell>
          <cell r="AU70">
            <v>1E-3</v>
          </cell>
          <cell r="AV70">
            <v>2</v>
          </cell>
          <cell r="AW70" t="str">
            <v>FUT : PRV : 3DHH</v>
          </cell>
          <cell r="AX70">
            <v>1E-3</v>
          </cell>
          <cell r="AY70">
            <v>1</v>
          </cell>
          <cell r="AZ70">
            <v>0</v>
          </cell>
          <cell r="BA70">
            <v>0</v>
          </cell>
          <cell r="BB70">
            <v>0</v>
          </cell>
          <cell r="BD70" t="str">
            <v>Market End Time</v>
          </cell>
          <cell r="BE70">
            <v>0.97916666666666663</v>
          </cell>
          <cell r="BJ70" t="str">
            <v>Short</v>
          </cell>
          <cell r="BK70">
            <v>1E-3</v>
          </cell>
          <cell r="BL70">
            <v>1E-3</v>
          </cell>
          <cell r="BO70" t="str">
            <v>Put</v>
          </cell>
          <cell r="BP70" t="str">
            <v/>
          </cell>
        </row>
        <row r="72">
          <cell r="B72" t="str">
            <v>S12A</v>
          </cell>
          <cell r="C72" t="str">
            <v>Strategy Code</v>
          </cell>
          <cell r="D72" t="str">
            <v>S12</v>
          </cell>
          <cell r="E72" t="str">
            <v>Bull / 
Bull CF</v>
          </cell>
          <cell r="F72" t="str">
            <v>Long</v>
          </cell>
          <cell r="G72" t="str">
            <v>FUT : PRV : 2DHH</v>
          </cell>
          <cell r="H72" t="str">
            <v xml:space="preserve"> + </v>
          </cell>
          <cell r="I72">
            <v>0</v>
          </cell>
          <cell r="J72">
            <v>5</v>
          </cell>
          <cell r="L72" t="str">
            <v xml:space="preserve">L : Entry </v>
          </cell>
          <cell r="M72" t="str">
            <v xml:space="preserve"> + </v>
          </cell>
          <cell r="N72">
            <v>1.4E-2</v>
          </cell>
          <cell r="O72">
            <v>1</v>
          </cell>
          <cell r="P72">
            <v>2.1000000000000001E-2</v>
          </cell>
          <cell r="Q72">
            <v>1</v>
          </cell>
          <cell r="R72">
            <v>2.8000000000000001E-2</v>
          </cell>
          <cell r="S72">
            <v>1</v>
          </cell>
          <cell r="T72">
            <v>3.5000000000000003E-2</v>
          </cell>
          <cell r="U72">
            <v>1</v>
          </cell>
          <cell r="V72" t="str">
            <v>TR PROFIT AFTER TGT 4</v>
          </cell>
          <cell r="W72">
            <v>1</v>
          </cell>
          <cell r="X72" t="str">
            <v>N.A.</v>
          </cell>
          <cell r="Y72" t="str">
            <v>N.A.</v>
          </cell>
          <cell r="AA72" t="str">
            <v>Max</v>
          </cell>
          <cell r="AB72" t="str">
            <v>MSL &amp; TSL</v>
          </cell>
          <cell r="AC72" t="str">
            <v>Entry &amp; TRP</v>
          </cell>
          <cell r="AE72" t="str">
            <v>L : Entry</v>
          </cell>
          <cell r="AF72" t="str">
            <v xml:space="preserve"> - </v>
          </cell>
          <cell r="AG72">
            <v>1.4E-2</v>
          </cell>
          <cell r="AH72">
            <v>0</v>
          </cell>
          <cell r="AJ72" t="str">
            <v xml:space="preserve"> - </v>
          </cell>
          <cell r="AK72" t="str">
            <v>FUT : PRV : 3DLL</v>
          </cell>
          <cell r="AL72">
            <v>1E-3</v>
          </cell>
          <cell r="AM72">
            <v>5</v>
          </cell>
          <cell r="AN72" t="str">
            <v>FUT : PRV : 3DLL</v>
          </cell>
          <cell r="AO72">
            <v>1E-3</v>
          </cell>
          <cell r="AP72">
            <v>4</v>
          </cell>
          <cell r="AQ72" t="str">
            <v>FUT : PRV : 3DLL</v>
          </cell>
          <cell r="AR72">
            <v>1E-3</v>
          </cell>
          <cell r="AS72">
            <v>3</v>
          </cell>
          <cell r="AT72" t="str">
            <v>FUT : PRV : 3DLL</v>
          </cell>
          <cell r="AU72">
            <v>1E-3</v>
          </cell>
          <cell r="AV72">
            <v>2</v>
          </cell>
          <cell r="AW72" t="str">
            <v>FUT : PRV : 3DLL</v>
          </cell>
          <cell r="AX72">
            <v>1E-3</v>
          </cell>
          <cell r="AY72">
            <v>1</v>
          </cell>
          <cell r="AZ72">
            <v>0</v>
          </cell>
          <cell r="BA72">
            <v>0</v>
          </cell>
          <cell r="BB72">
            <v>0</v>
          </cell>
          <cell r="BD72" t="str">
            <v xml:space="preserve">ORPT </v>
          </cell>
          <cell r="BE72">
            <v>0.37846527777777778</v>
          </cell>
          <cell r="BF72">
            <v>0.37846527777777778</v>
          </cell>
          <cell r="BG72">
            <v>0.375</v>
          </cell>
          <cell r="BI72" t="str">
            <v>Bull / 
Bull CF</v>
          </cell>
          <cell r="BJ72" t="str">
            <v>Long</v>
          </cell>
          <cell r="BK72">
            <v>1E-3</v>
          </cell>
          <cell r="BL72">
            <v>1E-3</v>
          </cell>
          <cell r="BN72" t="str">
            <v>Bull | 
Bull CF</v>
          </cell>
          <cell r="BO72" t="str">
            <v>Call</v>
          </cell>
          <cell r="BP72" t="str">
            <v/>
          </cell>
          <cell r="CU72">
            <v>0.95833333333333326</v>
          </cell>
        </row>
        <row r="73">
          <cell r="B73" t="str">
            <v>S12B</v>
          </cell>
          <cell r="C73" t="str">
            <v>Unique Code</v>
          </cell>
          <cell r="D73" t="str">
            <v>SILVERM_FUT_MT_DIFF_2D_3D</v>
          </cell>
          <cell r="F73" t="str">
            <v>Short</v>
          </cell>
          <cell r="G73" t="str">
            <v>FUT : PRV : 3DLL</v>
          </cell>
          <cell r="H73" t="str">
            <v xml:space="preserve"> - </v>
          </cell>
          <cell r="I73">
            <v>1E-3</v>
          </cell>
          <cell r="J73">
            <v>5</v>
          </cell>
          <cell r="L73" t="str">
            <v xml:space="preserve">S : Entry </v>
          </cell>
          <cell r="M73" t="str">
            <v xml:space="preserve"> - </v>
          </cell>
          <cell r="N73">
            <v>1.4E-2</v>
          </cell>
          <cell r="O73">
            <v>1</v>
          </cell>
          <cell r="P73">
            <v>2.1000000000000001E-2</v>
          </cell>
          <cell r="Q73">
            <v>1</v>
          </cell>
          <cell r="R73">
            <v>2.8000000000000001E-2</v>
          </cell>
          <cell r="S73">
            <v>1</v>
          </cell>
          <cell r="T73">
            <v>3.5000000000000003E-2</v>
          </cell>
          <cell r="U73">
            <v>1</v>
          </cell>
          <cell r="V73" t="str">
            <v>TR PROFIT AFTER TGT 4</v>
          </cell>
          <cell r="W73">
            <v>1</v>
          </cell>
          <cell r="X73" t="str">
            <v>N.A.</v>
          </cell>
          <cell r="Y73" t="str">
            <v>N.A.</v>
          </cell>
          <cell r="AA73" t="str">
            <v>Min</v>
          </cell>
          <cell r="AB73" t="str">
            <v>MSL &amp; TSL</v>
          </cell>
          <cell r="AC73" t="str">
            <v>Entry &amp; TRP</v>
          </cell>
          <cell r="AE73" t="str">
            <v>S : Entry</v>
          </cell>
          <cell r="AF73" t="str">
            <v xml:space="preserve"> + </v>
          </cell>
          <cell r="AG73">
            <v>1.4E-2</v>
          </cell>
          <cell r="AH73">
            <v>0</v>
          </cell>
          <cell r="AJ73" t="str">
            <v xml:space="preserve"> + </v>
          </cell>
          <cell r="AK73" t="str">
            <v>FUT : PRV : 2DHH</v>
          </cell>
          <cell r="AL73">
            <v>0</v>
          </cell>
          <cell r="AM73">
            <v>5</v>
          </cell>
          <cell r="AN73" t="str">
            <v>FUT : PRV : 2DHH</v>
          </cell>
          <cell r="AO73">
            <v>0</v>
          </cell>
          <cell r="AP73">
            <v>4</v>
          </cell>
          <cell r="AQ73" t="str">
            <v>FUT : PRV : 2DHH</v>
          </cell>
          <cell r="AR73">
            <v>0</v>
          </cell>
          <cell r="AS73">
            <v>3</v>
          </cell>
          <cell r="AT73" t="str">
            <v>FUT : PRV : 2DHH</v>
          </cell>
          <cell r="AU73">
            <v>0</v>
          </cell>
          <cell r="AV73">
            <v>2</v>
          </cell>
          <cell r="AW73" t="str">
            <v>FUT : PRV : 2DHH</v>
          </cell>
          <cell r="AX73">
            <v>0</v>
          </cell>
          <cell r="AY73">
            <v>1</v>
          </cell>
          <cell r="AZ73">
            <v>0</v>
          </cell>
          <cell r="BA73">
            <v>0</v>
          </cell>
          <cell r="BB73">
            <v>0</v>
          </cell>
          <cell r="BD73" t="str">
            <v xml:space="preserve"> RC. Time</v>
          </cell>
          <cell r="BE73">
            <v>0.38540972222222225</v>
          </cell>
          <cell r="BF73">
            <v>0.38540972222222225</v>
          </cell>
          <cell r="BG73" t="str">
            <v>N.A.</v>
          </cell>
          <cell r="BJ73" t="str">
            <v>Short</v>
          </cell>
          <cell r="BK73">
            <v>1E-3</v>
          </cell>
          <cell r="BL73">
            <v>1E-3</v>
          </cell>
          <cell r="BO73" t="str">
            <v>Put</v>
          </cell>
          <cell r="BP73" t="str">
            <v/>
          </cell>
        </row>
        <row r="74">
          <cell r="B74" t="str">
            <v>S12C</v>
          </cell>
          <cell r="C74" t="str">
            <v>Segment</v>
          </cell>
          <cell r="D74" t="str">
            <v>FUTURES</v>
          </cell>
          <cell r="E74" t="str">
            <v>Contract</v>
          </cell>
          <cell r="F74" t="str">
            <v>MONTHLY</v>
          </cell>
        </row>
        <row r="75">
          <cell r="B75" t="str">
            <v>S12D</v>
          </cell>
          <cell r="C75" t="str">
            <v>Symbol</v>
          </cell>
          <cell r="D75" t="str">
            <v>SILVERM</v>
          </cell>
          <cell r="E75" t="str">
            <v>Bear / 
Bear CF</v>
          </cell>
          <cell r="F75" t="str">
            <v>Long</v>
          </cell>
          <cell r="G75" t="str">
            <v>FUT : PRV : 3DHH</v>
          </cell>
          <cell r="H75" t="str">
            <v xml:space="preserve"> + </v>
          </cell>
          <cell r="I75">
            <v>1E-3</v>
          </cell>
          <cell r="J75">
            <v>5</v>
          </cell>
          <cell r="L75" t="str">
            <v xml:space="preserve">L : Entry </v>
          </cell>
          <cell r="M75" t="str">
            <v xml:space="preserve"> + </v>
          </cell>
          <cell r="N75">
            <v>1.4E-2</v>
          </cell>
          <cell r="O75">
            <v>1</v>
          </cell>
          <cell r="P75">
            <v>2.1000000000000001E-2</v>
          </cell>
          <cell r="Q75">
            <v>1</v>
          </cell>
          <cell r="R75">
            <v>2.8000000000000001E-2</v>
          </cell>
          <cell r="S75">
            <v>1</v>
          </cell>
          <cell r="T75">
            <v>3.5000000000000003E-2</v>
          </cell>
          <cell r="U75">
            <v>1</v>
          </cell>
          <cell r="V75" t="str">
            <v>TR PROFIT AFTER TGT 4</v>
          </cell>
          <cell r="W75">
            <v>1</v>
          </cell>
          <cell r="X75" t="str">
            <v>N.A.</v>
          </cell>
          <cell r="Y75" t="str">
            <v>N.A.</v>
          </cell>
          <cell r="AA75" t="str">
            <v>Max</v>
          </cell>
          <cell r="AB75" t="str">
            <v>MSL &amp; TSL</v>
          </cell>
          <cell r="AC75" t="str">
            <v>Entry &amp; TRP</v>
          </cell>
          <cell r="AE75" t="str">
            <v>L : Entry</v>
          </cell>
          <cell r="AF75" t="str">
            <v xml:space="preserve"> - </v>
          </cell>
          <cell r="AG75">
            <v>1.4E-2</v>
          </cell>
          <cell r="AH75">
            <v>0</v>
          </cell>
          <cell r="AJ75" t="str">
            <v xml:space="preserve"> - </v>
          </cell>
          <cell r="AK75" t="str">
            <v>FUT : PRV : 2DLL</v>
          </cell>
          <cell r="AL75">
            <v>0</v>
          </cell>
          <cell r="AM75">
            <v>5</v>
          </cell>
          <cell r="AN75" t="str">
            <v>FUT : PRV : 2DLL</v>
          </cell>
          <cell r="AO75">
            <v>0</v>
          </cell>
          <cell r="AP75">
            <v>4</v>
          </cell>
          <cell r="AQ75" t="str">
            <v>FUT : PRV : 2DLL</v>
          </cell>
          <cell r="AR75">
            <v>0</v>
          </cell>
          <cell r="AS75">
            <v>3</v>
          </cell>
          <cell r="AT75" t="str">
            <v>FUT : PRV : 2DLL</v>
          </cell>
          <cell r="AU75">
            <v>0</v>
          </cell>
          <cell r="AV75">
            <v>2</v>
          </cell>
          <cell r="AW75" t="str">
            <v>FUT : PRV : 2DLL</v>
          </cell>
          <cell r="AX75">
            <v>0</v>
          </cell>
          <cell r="AY75">
            <v>1</v>
          </cell>
          <cell r="AZ75">
            <v>0</v>
          </cell>
          <cell r="BA75">
            <v>0</v>
          </cell>
          <cell r="BB75">
            <v>0</v>
          </cell>
          <cell r="BD75" t="str">
            <v>Market Start Time</v>
          </cell>
          <cell r="BE75">
            <v>0.375</v>
          </cell>
          <cell r="BI75" t="str">
            <v>Bear / 
Bear CF</v>
          </cell>
          <cell r="BJ75" t="str">
            <v>Long</v>
          </cell>
          <cell r="BK75">
            <v>1E-3</v>
          </cell>
          <cell r="BL75">
            <v>1E-3</v>
          </cell>
          <cell r="BN75" t="str">
            <v>Bear | 
Bear CF</v>
          </cell>
          <cell r="BO75" t="str">
            <v>Call</v>
          </cell>
          <cell r="BP75" t="str">
            <v/>
          </cell>
        </row>
        <row r="76">
          <cell r="B76" t="str">
            <v>S12E</v>
          </cell>
          <cell r="C76" t="str">
            <v>Contract</v>
          </cell>
          <cell r="D76" t="str">
            <v>4 &amp; APS</v>
          </cell>
          <cell r="F76" t="str">
            <v>Short</v>
          </cell>
          <cell r="G76" t="str">
            <v>FUT : PRV : 2DLL</v>
          </cell>
          <cell r="H76" t="str">
            <v xml:space="preserve"> - </v>
          </cell>
          <cell r="I76">
            <v>0</v>
          </cell>
          <cell r="J76">
            <v>5</v>
          </cell>
          <cell r="L76" t="str">
            <v xml:space="preserve">S : Entry </v>
          </cell>
          <cell r="M76" t="str">
            <v xml:space="preserve"> - </v>
          </cell>
          <cell r="N76">
            <v>1.4E-2</v>
          </cell>
          <cell r="O76">
            <v>1</v>
          </cell>
          <cell r="P76">
            <v>2.1000000000000001E-2</v>
          </cell>
          <cell r="Q76">
            <v>1</v>
          </cell>
          <cell r="R76">
            <v>2.8000000000000001E-2</v>
          </cell>
          <cell r="S76">
            <v>1</v>
          </cell>
          <cell r="T76">
            <v>3.5000000000000003E-2</v>
          </cell>
          <cell r="U76">
            <v>1</v>
          </cell>
          <cell r="V76" t="str">
            <v>TR PROFIT AFTER TGT 4</v>
          </cell>
          <cell r="W76">
            <v>1</v>
          </cell>
          <cell r="X76" t="str">
            <v>N.A.</v>
          </cell>
          <cell r="Y76" t="str">
            <v>N.A.</v>
          </cell>
          <cell r="AA76" t="str">
            <v>Min</v>
          </cell>
          <cell r="AB76" t="str">
            <v>MSL &amp; TSL</v>
          </cell>
          <cell r="AC76" t="str">
            <v>Entry &amp; TRP</v>
          </cell>
          <cell r="AE76" t="str">
            <v>S : Entry</v>
          </cell>
          <cell r="AF76" t="str">
            <v xml:space="preserve"> + </v>
          </cell>
          <cell r="AG76">
            <v>1.4E-2</v>
          </cell>
          <cell r="AH76">
            <v>0</v>
          </cell>
          <cell r="AJ76" t="str">
            <v xml:space="preserve"> + </v>
          </cell>
          <cell r="AK76" t="str">
            <v>FUT : PRV : 3DHH</v>
          </cell>
          <cell r="AL76">
            <v>1E-3</v>
          </cell>
          <cell r="AM76">
            <v>5</v>
          </cell>
          <cell r="AN76" t="str">
            <v>FUT : PRV : 3DHH</v>
          </cell>
          <cell r="AO76">
            <v>1E-3</v>
          </cell>
          <cell r="AP76">
            <v>4</v>
          </cell>
          <cell r="AQ76" t="str">
            <v>FUT : PRV : 3DHH</v>
          </cell>
          <cell r="AR76">
            <v>1E-3</v>
          </cell>
          <cell r="AS76">
            <v>3</v>
          </cell>
          <cell r="AT76" t="str">
            <v>FUT : PRV : 3DHH</v>
          </cell>
          <cell r="AU76">
            <v>1E-3</v>
          </cell>
          <cell r="AV76">
            <v>2</v>
          </cell>
          <cell r="AW76" t="str">
            <v>FUT : PRV : 3DHH</v>
          </cell>
          <cell r="AX76">
            <v>1E-3</v>
          </cell>
          <cell r="AY76">
            <v>1</v>
          </cell>
          <cell r="AZ76">
            <v>0</v>
          </cell>
          <cell r="BA76">
            <v>0</v>
          </cell>
          <cell r="BB76">
            <v>0</v>
          </cell>
          <cell r="BD76" t="str">
            <v>Market End Time</v>
          </cell>
          <cell r="BE76">
            <v>0.97916666666666663</v>
          </cell>
          <cell r="BJ76" t="str">
            <v>Short</v>
          </cell>
          <cell r="BK76">
            <v>1E-3</v>
          </cell>
          <cell r="BL76">
            <v>1E-3</v>
          </cell>
          <cell r="BO76" t="str">
            <v>Put</v>
          </cell>
          <cell r="BP76" t="str">
            <v/>
          </cell>
        </row>
        <row r="78">
          <cell r="B78" t="str">
            <v>S13A</v>
          </cell>
          <cell r="C78" t="str">
            <v>Strategy Code</v>
          </cell>
          <cell r="D78" t="str">
            <v>S13</v>
          </cell>
          <cell r="E78" t="str">
            <v>Bull / 
Bull CF</v>
          </cell>
          <cell r="F78" t="str">
            <v>Long</v>
          </cell>
          <cell r="G78" t="str">
            <v>FUT : PRV : 3DHH</v>
          </cell>
          <cell r="H78" t="str">
            <v xml:space="preserve"> + </v>
          </cell>
          <cell r="I78">
            <v>1E-3</v>
          </cell>
          <cell r="J78">
            <v>5</v>
          </cell>
          <cell r="L78" t="str">
            <v xml:space="preserve">L : Entry </v>
          </cell>
          <cell r="M78" t="str">
            <v xml:space="preserve"> + </v>
          </cell>
          <cell r="N78">
            <v>1.4E-2</v>
          </cell>
          <cell r="O78">
            <v>1</v>
          </cell>
          <cell r="P78">
            <v>2.1000000000000001E-2</v>
          </cell>
          <cell r="Q78">
            <v>1</v>
          </cell>
          <cell r="R78">
            <v>2.8000000000000001E-2</v>
          </cell>
          <cell r="S78">
            <v>1</v>
          </cell>
          <cell r="T78">
            <v>3.5000000000000003E-2</v>
          </cell>
          <cell r="U78">
            <v>1</v>
          </cell>
          <cell r="V78" t="str">
            <v>TR PROFIT AFTER TGT 4</v>
          </cell>
          <cell r="W78">
            <v>1</v>
          </cell>
          <cell r="X78" t="str">
            <v>N.A.</v>
          </cell>
          <cell r="Y78" t="str">
            <v>N.A.</v>
          </cell>
          <cell r="AA78" t="str">
            <v>Max</v>
          </cell>
          <cell r="AB78" t="str">
            <v>MSL &amp; TSL</v>
          </cell>
          <cell r="AC78" t="str">
            <v>Entry &amp; TRP</v>
          </cell>
          <cell r="AE78" t="str">
            <v>L : Entry</v>
          </cell>
          <cell r="AF78" t="str">
            <v xml:space="preserve"> - </v>
          </cell>
          <cell r="AG78">
            <v>1.4E-2</v>
          </cell>
          <cell r="AH78">
            <v>0</v>
          </cell>
          <cell r="AJ78" t="str">
            <v xml:space="preserve"> - </v>
          </cell>
          <cell r="AK78" t="str">
            <v>FUT : PRV : 3DLL</v>
          </cell>
          <cell r="AL78">
            <v>1E-3</v>
          </cell>
          <cell r="AM78">
            <v>5</v>
          </cell>
          <cell r="AN78" t="str">
            <v>FUT : PRV : 3DLL</v>
          </cell>
          <cell r="AO78">
            <v>1E-3</v>
          </cell>
          <cell r="AP78">
            <v>4</v>
          </cell>
          <cell r="AQ78" t="str">
            <v>FUT : PRV : 3DLL</v>
          </cell>
          <cell r="AR78">
            <v>1E-3</v>
          </cell>
          <cell r="AS78">
            <v>3</v>
          </cell>
          <cell r="AT78" t="str">
            <v>FUT : PRV : 3DLL</v>
          </cell>
          <cell r="AU78">
            <v>1E-3</v>
          </cell>
          <cell r="AV78">
            <v>2</v>
          </cell>
          <cell r="AW78" t="str">
            <v>FUT : PRV : 3DLL</v>
          </cell>
          <cell r="AX78">
            <v>1E-3</v>
          </cell>
          <cell r="AY78">
            <v>1</v>
          </cell>
          <cell r="AZ78">
            <v>0</v>
          </cell>
          <cell r="BA78">
            <v>0</v>
          </cell>
          <cell r="BB78">
            <v>0</v>
          </cell>
          <cell r="BD78" t="str">
            <v xml:space="preserve">ORPT </v>
          </cell>
          <cell r="BE78">
            <v>0.37846527777777778</v>
          </cell>
          <cell r="BF78">
            <v>0.37846527777777778</v>
          </cell>
          <cell r="BG78">
            <v>0.375</v>
          </cell>
          <cell r="BI78" t="str">
            <v>Bull / 
Bull CF</v>
          </cell>
          <cell r="BJ78" t="str">
            <v>Long</v>
          </cell>
          <cell r="BK78">
            <v>1E-3</v>
          </cell>
          <cell r="BL78">
            <v>1E-3</v>
          </cell>
          <cell r="BN78" t="str">
            <v>Bull | 
Bull CF</v>
          </cell>
          <cell r="BO78" t="str">
            <v>Call</v>
          </cell>
          <cell r="BP78" t="str">
            <v/>
          </cell>
          <cell r="CU78">
            <v>0.95833333333333326</v>
          </cell>
        </row>
        <row r="79">
          <cell r="B79" t="str">
            <v>S13B</v>
          </cell>
          <cell r="C79" t="str">
            <v>Unique Code</v>
          </cell>
          <cell r="D79" t="str">
            <v>SILVERM_FUT_MT_SAME_3D_3D</v>
          </cell>
          <cell r="F79" t="str">
            <v>Short</v>
          </cell>
          <cell r="G79" t="str">
            <v>FUT : PRV : 3DLL</v>
          </cell>
          <cell r="H79" t="str">
            <v xml:space="preserve"> - </v>
          </cell>
          <cell r="I79">
            <v>1E-3</v>
          </cell>
          <cell r="J79">
            <v>5</v>
          </cell>
          <cell r="L79" t="str">
            <v xml:space="preserve">S : Entry </v>
          </cell>
          <cell r="M79" t="str">
            <v xml:space="preserve"> - </v>
          </cell>
          <cell r="N79">
            <v>1.4E-2</v>
          </cell>
          <cell r="O79">
            <v>1</v>
          </cell>
          <cell r="P79">
            <v>2.1000000000000001E-2</v>
          </cell>
          <cell r="Q79">
            <v>1</v>
          </cell>
          <cell r="R79">
            <v>2.8000000000000001E-2</v>
          </cell>
          <cell r="S79">
            <v>1</v>
          </cell>
          <cell r="T79">
            <v>3.5000000000000003E-2</v>
          </cell>
          <cell r="U79">
            <v>1</v>
          </cell>
          <cell r="V79" t="str">
            <v>TR PROFIT AFTER TGT 4</v>
          </cell>
          <cell r="W79">
            <v>1</v>
          </cell>
          <cell r="X79" t="str">
            <v>N.A.</v>
          </cell>
          <cell r="Y79" t="str">
            <v>N.A.</v>
          </cell>
          <cell r="AA79" t="str">
            <v>Min</v>
          </cell>
          <cell r="AB79" t="str">
            <v>MSL &amp; TSL</v>
          </cell>
          <cell r="AC79" t="str">
            <v>Entry &amp; TRP</v>
          </cell>
          <cell r="AE79" t="str">
            <v>S : Entry</v>
          </cell>
          <cell r="AF79" t="str">
            <v xml:space="preserve"> + </v>
          </cell>
          <cell r="AG79">
            <v>1.4E-2</v>
          </cell>
          <cell r="AH79">
            <v>0</v>
          </cell>
          <cell r="AJ79" t="str">
            <v xml:space="preserve"> + </v>
          </cell>
          <cell r="AK79" t="str">
            <v>FUT : PRV : 3DHH</v>
          </cell>
          <cell r="AL79">
            <v>1E-3</v>
          </cell>
          <cell r="AM79">
            <v>5</v>
          </cell>
          <cell r="AN79" t="str">
            <v>FUT : PRV : 3DHH</v>
          </cell>
          <cell r="AO79">
            <v>1E-3</v>
          </cell>
          <cell r="AP79">
            <v>4</v>
          </cell>
          <cell r="AQ79" t="str">
            <v>FUT : PRV : 3DHH</v>
          </cell>
          <cell r="AR79">
            <v>1E-3</v>
          </cell>
          <cell r="AS79">
            <v>3</v>
          </cell>
          <cell r="AT79" t="str">
            <v>FUT : PRV : 3DHH</v>
          </cell>
          <cell r="AU79">
            <v>1E-3</v>
          </cell>
          <cell r="AV79">
            <v>2</v>
          </cell>
          <cell r="AW79" t="str">
            <v>FUT : PRV : 3DHH</v>
          </cell>
          <cell r="AX79">
            <v>1E-3</v>
          </cell>
          <cell r="AY79">
            <v>1</v>
          </cell>
          <cell r="AZ79">
            <v>0</v>
          </cell>
          <cell r="BA79">
            <v>0</v>
          </cell>
          <cell r="BB79">
            <v>0</v>
          </cell>
          <cell r="BD79" t="str">
            <v xml:space="preserve"> RC. Time</v>
          </cell>
          <cell r="BE79">
            <v>0.38540972222222225</v>
          </cell>
          <cell r="BF79">
            <v>0.38540972222222225</v>
          </cell>
          <cell r="BG79" t="str">
            <v>N.A.</v>
          </cell>
          <cell r="BJ79" t="str">
            <v>Short</v>
          </cell>
          <cell r="BK79">
            <v>1E-3</v>
          </cell>
          <cell r="BL79">
            <v>1E-3</v>
          </cell>
          <cell r="BO79" t="str">
            <v>Put</v>
          </cell>
          <cell r="BP79" t="str">
            <v/>
          </cell>
        </row>
        <row r="80">
          <cell r="B80" t="str">
            <v>S13C</v>
          </cell>
          <cell r="C80" t="str">
            <v>Segment</v>
          </cell>
          <cell r="D80" t="str">
            <v>FUTURES</v>
          </cell>
          <cell r="E80" t="str">
            <v>Contract</v>
          </cell>
          <cell r="F80" t="str">
            <v>MONTHLY</v>
          </cell>
        </row>
        <row r="81">
          <cell r="B81" t="str">
            <v>S13D</v>
          </cell>
          <cell r="C81" t="str">
            <v>Symbol</v>
          </cell>
          <cell r="D81" t="str">
            <v>SILVERM</v>
          </cell>
          <cell r="E81" t="str">
            <v>Bear / 
Bear CF</v>
          </cell>
          <cell r="F81" t="str">
            <v>Long</v>
          </cell>
          <cell r="G81" t="str">
            <v>FUT : PRV : 3DHH</v>
          </cell>
          <cell r="H81" t="str">
            <v xml:space="preserve"> + </v>
          </cell>
          <cell r="I81">
            <v>1E-3</v>
          </cell>
          <cell r="J81">
            <v>5</v>
          </cell>
          <cell r="L81" t="str">
            <v xml:space="preserve">L : Entry </v>
          </cell>
          <cell r="M81" t="str">
            <v xml:space="preserve"> + </v>
          </cell>
          <cell r="N81">
            <v>1.4E-2</v>
          </cell>
          <cell r="O81">
            <v>1</v>
          </cell>
          <cell r="P81">
            <v>2.1000000000000001E-2</v>
          </cell>
          <cell r="Q81">
            <v>1</v>
          </cell>
          <cell r="R81">
            <v>2.8000000000000001E-2</v>
          </cell>
          <cell r="S81">
            <v>1</v>
          </cell>
          <cell r="T81">
            <v>3.5000000000000003E-2</v>
          </cell>
          <cell r="U81">
            <v>1</v>
          </cell>
          <cell r="V81" t="str">
            <v>TR PROFIT AFTER TGT 4</v>
          </cell>
          <cell r="W81">
            <v>1</v>
          </cell>
          <cell r="X81" t="str">
            <v>N.A.</v>
          </cell>
          <cell r="Y81" t="str">
            <v>N.A.</v>
          </cell>
          <cell r="AA81" t="str">
            <v>Max</v>
          </cell>
          <cell r="AB81" t="str">
            <v>MSL &amp; TSL</v>
          </cell>
          <cell r="AC81" t="str">
            <v>Entry &amp; TRP</v>
          </cell>
          <cell r="AE81" t="str">
            <v>L : Entry</v>
          </cell>
          <cell r="AF81" t="str">
            <v xml:space="preserve"> - </v>
          </cell>
          <cell r="AG81">
            <v>1.4E-2</v>
          </cell>
          <cell r="AH81">
            <v>0</v>
          </cell>
          <cell r="AJ81" t="str">
            <v xml:space="preserve"> - </v>
          </cell>
          <cell r="AK81" t="str">
            <v>FUT : PRV : 3DLL</v>
          </cell>
          <cell r="AL81">
            <v>1E-3</v>
          </cell>
          <cell r="AM81">
            <v>5</v>
          </cell>
          <cell r="AN81" t="str">
            <v>FUT : PRV : 3DLL</v>
          </cell>
          <cell r="AO81">
            <v>1E-3</v>
          </cell>
          <cell r="AP81">
            <v>4</v>
          </cell>
          <cell r="AQ81" t="str">
            <v>FUT : PRV : 3DLL</v>
          </cell>
          <cell r="AR81">
            <v>1E-3</v>
          </cell>
          <cell r="AS81">
            <v>3</v>
          </cell>
          <cell r="AT81" t="str">
            <v>FUT : PRV : 3DLL</v>
          </cell>
          <cell r="AU81">
            <v>1E-3</v>
          </cell>
          <cell r="AV81">
            <v>2</v>
          </cell>
          <cell r="AW81" t="str">
            <v>FUT : PRV : 3DLL</v>
          </cell>
          <cell r="AX81">
            <v>1E-3</v>
          </cell>
          <cell r="AY81">
            <v>1</v>
          </cell>
          <cell r="AZ81">
            <v>0</v>
          </cell>
          <cell r="BA81">
            <v>0</v>
          </cell>
          <cell r="BB81">
            <v>0</v>
          </cell>
          <cell r="BD81" t="str">
            <v>Market Start Time</v>
          </cell>
          <cell r="BE81">
            <v>0.375</v>
          </cell>
          <cell r="BI81" t="str">
            <v>Bear / 
Bear CF</v>
          </cell>
          <cell r="BJ81" t="str">
            <v>Long</v>
          </cell>
          <cell r="BK81">
            <v>1E-3</v>
          </cell>
          <cell r="BL81">
            <v>1E-3</v>
          </cell>
          <cell r="BN81" t="str">
            <v>Bear | 
Bear CF</v>
          </cell>
          <cell r="BO81" t="str">
            <v>Call</v>
          </cell>
          <cell r="BP81" t="str">
            <v/>
          </cell>
        </row>
        <row r="82">
          <cell r="B82" t="str">
            <v>S13E</v>
          </cell>
          <cell r="C82" t="str">
            <v>No. of Targets</v>
          </cell>
          <cell r="D82" t="str">
            <v>4 &amp; APS</v>
          </cell>
          <cell r="F82" t="str">
            <v>Short</v>
          </cell>
          <cell r="G82" t="str">
            <v>FUT : PRV : 3DLL</v>
          </cell>
          <cell r="H82" t="str">
            <v xml:space="preserve"> - </v>
          </cell>
          <cell r="I82">
            <v>1E-3</v>
          </cell>
          <cell r="J82">
            <v>5</v>
          </cell>
          <cell r="L82" t="str">
            <v xml:space="preserve">S : Entry </v>
          </cell>
          <cell r="M82" t="str">
            <v xml:space="preserve"> - </v>
          </cell>
          <cell r="N82">
            <v>1.4E-2</v>
          </cell>
          <cell r="O82">
            <v>1</v>
          </cell>
          <cell r="P82">
            <v>2.1000000000000001E-2</v>
          </cell>
          <cell r="Q82">
            <v>1</v>
          </cell>
          <cell r="R82">
            <v>2.8000000000000001E-2</v>
          </cell>
          <cell r="S82">
            <v>1</v>
          </cell>
          <cell r="T82">
            <v>3.5000000000000003E-2</v>
          </cell>
          <cell r="U82">
            <v>1</v>
          </cell>
          <cell r="V82" t="str">
            <v>TR PROFIT AFTER TGT 4</v>
          </cell>
          <cell r="W82">
            <v>1</v>
          </cell>
          <cell r="X82" t="str">
            <v>N.A.</v>
          </cell>
          <cell r="Y82" t="str">
            <v>N.A.</v>
          </cell>
          <cell r="AA82" t="str">
            <v>Min</v>
          </cell>
          <cell r="AB82" t="str">
            <v>MSL &amp; TSL</v>
          </cell>
          <cell r="AC82" t="str">
            <v>Entry &amp; TRP</v>
          </cell>
          <cell r="AE82" t="str">
            <v>S : Entry</v>
          </cell>
          <cell r="AF82" t="str">
            <v xml:space="preserve"> + </v>
          </cell>
          <cell r="AG82">
            <v>1.4E-2</v>
          </cell>
          <cell r="AH82">
            <v>0</v>
          </cell>
          <cell r="AJ82" t="str">
            <v xml:space="preserve"> + </v>
          </cell>
          <cell r="AK82" t="str">
            <v>FUT : PRV : 3DHH</v>
          </cell>
          <cell r="AL82">
            <v>1E-3</v>
          </cell>
          <cell r="AM82">
            <v>5</v>
          </cell>
          <cell r="AN82" t="str">
            <v>FUT : PRV : 3DHH</v>
          </cell>
          <cell r="AO82">
            <v>1E-3</v>
          </cell>
          <cell r="AP82">
            <v>4</v>
          </cell>
          <cell r="AQ82" t="str">
            <v>FUT : PRV : 3DHH</v>
          </cell>
          <cell r="AR82">
            <v>1E-3</v>
          </cell>
          <cell r="AS82">
            <v>3</v>
          </cell>
          <cell r="AT82" t="str">
            <v>FUT : PRV : 3DHH</v>
          </cell>
          <cell r="AU82">
            <v>1E-3</v>
          </cell>
          <cell r="AV82">
            <v>2</v>
          </cell>
          <cell r="AW82" t="str">
            <v>FUT : PRV : 3DHH</v>
          </cell>
          <cell r="AX82">
            <v>1E-3</v>
          </cell>
          <cell r="AY82">
            <v>1</v>
          </cell>
          <cell r="AZ82">
            <v>0</v>
          </cell>
          <cell r="BA82">
            <v>0</v>
          </cell>
          <cell r="BB82">
            <v>0</v>
          </cell>
          <cell r="BD82" t="str">
            <v>Market End Time</v>
          </cell>
          <cell r="BE82">
            <v>0.97916666666666663</v>
          </cell>
          <cell r="BJ82" t="str">
            <v>Short</v>
          </cell>
          <cell r="BK82">
            <v>1E-3</v>
          </cell>
          <cell r="BL82">
            <v>1E-3</v>
          </cell>
          <cell r="BO82" t="str">
            <v>Put</v>
          </cell>
          <cell r="BP82" t="str">
            <v/>
          </cell>
        </row>
        <row r="84">
          <cell r="B84" t="str">
            <v>S14A</v>
          </cell>
          <cell r="C84" t="str">
            <v>Strategy Code</v>
          </cell>
          <cell r="D84" t="str">
            <v>S14</v>
          </cell>
          <cell r="E84" t="str">
            <v>Bull / 
Bull CF</v>
          </cell>
          <cell r="F84" t="str">
            <v>Long</v>
          </cell>
          <cell r="G84" t="str">
            <v>FUT : PRV : 2DHH</v>
          </cell>
          <cell r="H84" t="str">
            <v xml:space="preserve"> + </v>
          </cell>
          <cell r="I84">
            <v>4.0000000000000001E-3</v>
          </cell>
          <cell r="J84">
            <v>5</v>
          </cell>
          <cell r="L84" t="str">
            <v xml:space="preserve">L : Entry </v>
          </cell>
          <cell r="M84" t="str">
            <v xml:space="preserve"> + </v>
          </cell>
          <cell r="N84">
            <v>2.5000000000000001E-2</v>
          </cell>
          <cell r="O84">
            <v>1</v>
          </cell>
          <cell r="P84">
            <v>3.5000000000000003E-2</v>
          </cell>
          <cell r="Q84">
            <v>1</v>
          </cell>
          <cell r="R84">
            <v>4.4999999999999998E-2</v>
          </cell>
          <cell r="S84">
            <v>1</v>
          </cell>
          <cell r="T84">
            <v>5.5E-2</v>
          </cell>
          <cell r="U84">
            <v>1</v>
          </cell>
          <cell r="V84" t="str">
            <v>TR PROFIT AFTER TGT 4</v>
          </cell>
          <cell r="W84">
            <v>1</v>
          </cell>
          <cell r="X84" t="str">
            <v>N.A.</v>
          </cell>
          <cell r="Y84" t="str">
            <v>N.A.</v>
          </cell>
          <cell r="AA84" t="str">
            <v>Max</v>
          </cell>
          <cell r="AB84" t="str">
            <v>MSL &amp; TSL</v>
          </cell>
          <cell r="AC84" t="str">
            <v>Entry &amp; TRP</v>
          </cell>
          <cell r="AE84" t="str">
            <v>L : Entry</v>
          </cell>
          <cell r="AF84" t="str">
            <v xml:space="preserve"> - </v>
          </cell>
          <cell r="AG84">
            <v>2.5000000000000001E-2</v>
          </cell>
          <cell r="AH84">
            <v>0</v>
          </cell>
          <cell r="AJ84" t="str">
            <v xml:space="preserve"> - </v>
          </cell>
          <cell r="AK84" t="str">
            <v>FUT : PRV : 2DLL</v>
          </cell>
          <cell r="AL84">
            <v>4.0000000000000001E-3</v>
          </cell>
          <cell r="AM84">
            <v>5</v>
          </cell>
          <cell r="AN84" t="str">
            <v>FUT : PRV : 2DLL</v>
          </cell>
          <cell r="AO84">
            <v>4.0000000000000001E-3</v>
          </cell>
          <cell r="AP84">
            <v>4</v>
          </cell>
          <cell r="AQ84" t="str">
            <v>FUT : PRV : 2DLL</v>
          </cell>
          <cell r="AR84">
            <v>4.0000000000000001E-3</v>
          </cell>
          <cell r="AS84">
            <v>3</v>
          </cell>
          <cell r="AT84" t="str">
            <v>FUT : PRV : 2DLL</v>
          </cell>
          <cell r="AU84">
            <v>4.0000000000000001E-3</v>
          </cell>
          <cell r="AV84">
            <v>2</v>
          </cell>
          <cell r="AW84" t="str">
            <v>FUT : PRV : 2DLL</v>
          </cell>
          <cell r="AX84">
            <v>4.0000000000000001E-3</v>
          </cell>
          <cell r="AY84">
            <v>1</v>
          </cell>
          <cell r="AZ84">
            <v>0</v>
          </cell>
          <cell r="BA84">
            <v>0</v>
          </cell>
          <cell r="BB84">
            <v>0</v>
          </cell>
          <cell r="BD84" t="str">
            <v xml:space="preserve">ORPT </v>
          </cell>
          <cell r="BE84">
            <v>0.37846527777777778</v>
          </cell>
          <cell r="BF84">
            <v>0.37846527777777778</v>
          </cell>
          <cell r="BG84">
            <v>0.375</v>
          </cell>
          <cell r="BI84" t="str">
            <v>Bull / 
Bull CF</v>
          </cell>
          <cell r="BJ84" t="str">
            <v>Long</v>
          </cell>
          <cell r="BK84">
            <v>4.0000000000000001E-3</v>
          </cell>
          <cell r="BL84">
            <v>4.0000000000000001E-3</v>
          </cell>
          <cell r="BN84" t="str">
            <v>Bull | 
Bull CF</v>
          </cell>
          <cell r="BO84" t="str">
            <v>Call</v>
          </cell>
          <cell r="BP84" t="str">
            <v/>
          </cell>
          <cell r="CU84">
            <v>0.95833333333333326</v>
          </cell>
        </row>
        <row r="85">
          <cell r="B85" t="str">
            <v>S14B</v>
          </cell>
          <cell r="C85" t="str">
            <v>Unique Code</v>
          </cell>
          <cell r="D85" t="str">
            <v>CRUDEOIL_FUT_MT_SAME_2D_2D</v>
          </cell>
          <cell r="F85" t="str">
            <v>Short</v>
          </cell>
          <cell r="G85" t="str">
            <v>FUT : PRV : 2DLL</v>
          </cell>
          <cell r="H85" t="str">
            <v xml:space="preserve"> - </v>
          </cell>
          <cell r="I85">
            <v>4.0000000000000001E-3</v>
          </cell>
          <cell r="J85">
            <v>5</v>
          </cell>
          <cell r="L85" t="str">
            <v xml:space="preserve">S : Entry </v>
          </cell>
          <cell r="M85" t="str">
            <v xml:space="preserve"> - </v>
          </cell>
          <cell r="N85">
            <v>2.5000000000000001E-2</v>
          </cell>
          <cell r="O85">
            <v>1</v>
          </cell>
          <cell r="P85">
            <v>3.5000000000000003E-2</v>
          </cell>
          <cell r="Q85">
            <v>1</v>
          </cell>
          <cell r="R85">
            <v>4.4999999999999998E-2</v>
          </cell>
          <cell r="S85">
            <v>1</v>
          </cell>
          <cell r="T85">
            <v>5.5E-2</v>
          </cell>
          <cell r="U85">
            <v>1</v>
          </cell>
          <cell r="V85" t="str">
            <v>TR PROFIT AFTER TGT 4</v>
          </cell>
          <cell r="W85">
            <v>1</v>
          </cell>
          <cell r="X85" t="str">
            <v>N.A.</v>
          </cell>
          <cell r="Y85" t="str">
            <v>N.A.</v>
          </cell>
          <cell r="AA85" t="str">
            <v>Min</v>
          </cell>
          <cell r="AB85" t="str">
            <v>MSL &amp; TSL</v>
          </cell>
          <cell r="AC85" t="str">
            <v>Entry &amp; TRP</v>
          </cell>
          <cell r="AE85" t="str">
            <v>S : Entry</v>
          </cell>
          <cell r="AF85" t="str">
            <v xml:space="preserve"> + </v>
          </cell>
          <cell r="AG85">
            <v>2.5000000000000001E-2</v>
          </cell>
          <cell r="AH85">
            <v>0</v>
          </cell>
          <cell r="AJ85" t="str">
            <v xml:space="preserve"> + </v>
          </cell>
          <cell r="AK85" t="str">
            <v>FUT : PRV : 2DHH</v>
          </cell>
          <cell r="AL85">
            <v>4.0000000000000001E-3</v>
          </cell>
          <cell r="AM85">
            <v>5</v>
          </cell>
          <cell r="AN85" t="str">
            <v>FUT : PRV : 2DHH</v>
          </cell>
          <cell r="AO85">
            <v>4.0000000000000001E-3</v>
          </cell>
          <cell r="AP85">
            <v>4</v>
          </cell>
          <cell r="AQ85" t="str">
            <v>FUT : PRV : 2DHH</v>
          </cell>
          <cell r="AR85">
            <v>4.0000000000000001E-3</v>
          </cell>
          <cell r="AS85">
            <v>3</v>
          </cell>
          <cell r="AT85" t="str">
            <v>FUT : PRV : 2DHH</v>
          </cell>
          <cell r="AU85">
            <v>4.0000000000000001E-3</v>
          </cell>
          <cell r="AV85">
            <v>2</v>
          </cell>
          <cell r="AW85" t="str">
            <v>FUT : PRV : 2DHH</v>
          </cell>
          <cell r="AX85">
            <v>4.0000000000000001E-3</v>
          </cell>
          <cell r="AY85">
            <v>1</v>
          </cell>
          <cell r="AZ85">
            <v>0</v>
          </cell>
          <cell r="BA85">
            <v>0</v>
          </cell>
          <cell r="BB85">
            <v>0</v>
          </cell>
          <cell r="BD85" t="str">
            <v xml:space="preserve"> RC. Time</v>
          </cell>
          <cell r="BE85">
            <v>0.38540972222222225</v>
          </cell>
          <cell r="BF85">
            <v>0.38540972222222225</v>
          </cell>
          <cell r="BG85" t="str">
            <v>N.A.</v>
          </cell>
          <cell r="BJ85" t="str">
            <v>Short</v>
          </cell>
          <cell r="BK85">
            <v>4.0000000000000001E-3</v>
          </cell>
          <cell r="BL85">
            <v>4.0000000000000001E-3</v>
          </cell>
          <cell r="BO85" t="str">
            <v>Put</v>
          </cell>
          <cell r="BP85" t="str">
            <v/>
          </cell>
        </row>
        <row r="86">
          <cell r="B86" t="str">
            <v>S14C</v>
          </cell>
          <cell r="C86" t="str">
            <v>Segment</v>
          </cell>
          <cell r="D86" t="str">
            <v>FUTURES</v>
          </cell>
          <cell r="E86" t="str">
            <v>Contract</v>
          </cell>
          <cell r="F86" t="str">
            <v>MONTHLY</v>
          </cell>
        </row>
        <row r="87">
          <cell r="B87" t="str">
            <v>S14D</v>
          </cell>
          <cell r="C87" t="str">
            <v>Symbol</v>
          </cell>
          <cell r="D87" t="str">
            <v>CRUDEOIL</v>
          </cell>
          <cell r="E87" t="str">
            <v>Bear / 
Bear CF</v>
          </cell>
          <cell r="F87" t="str">
            <v>Long</v>
          </cell>
          <cell r="G87" t="str">
            <v>FUT : PRV : 2DHH</v>
          </cell>
          <cell r="H87" t="str">
            <v xml:space="preserve"> + </v>
          </cell>
          <cell r="I87">
            <v>4.0000000000000001E-3</v>
          </cell>
          <cell r="J87">
            <v>5</v>
          </cell>
          <cell r="L87" t="str">
            <v xml:space="preserve">L : Entry </v>
          </cell>
          <cell r="M87" t="str">
            <v xml:space="preserve"> + </v>
          </cell>
          <cell r="N87">
            <v>2.5000000000000001E-2</v>
          </cell>
          <cell r="O87">
            <v>1</v>
          </cell>
          <cell r="P87">
            <v>3.5000000000000003E-2</v>
          </cell>
          <cell r="Q87">
            <v>1</v>
          </cell>
          <cell r="R87">
            <v>4.4999999999999998E-2</v>
          </cell>
          <cell r="S87">
            <v>1</v>
          </cell>
          <cell r="T87">
            <v>5.5E-2</v>
          </cell>
          <cell r="U87">
            <v>1</v>
          </cell>
          <cell r="V87" t="str">
            <v>TR PROFIT AFTER TGT 4</v>
          </cell>
          <cell r="W87">
            <v>1</v>
          </cell>
          <cell r="X87" t="str">
            <v>N.A.</v>
          </cell>
          <cell r="Y87" t="str">
            <v>N.A.</v>
          </cell>
          <cell r="AA87" t="str">
            <v>Max</v>
          </cell>
          <cell r="AB87" t="str">
            <v>MSL &amp; TSL</v>
          </cell>
          <cell r="AC87" t="str">
            <v>Entry &amp; TRP</v>
          </cell>
          <cell r="AE87" t="str">
            <v>L : Entry</v>
          </cell>
          <cell r="AF87" t="str">
            <v xml:space="preserve"> - </v>
          </cell>
          <cell r="AG87">
            <v>2.5000000000000001E-2</v>
          </cell>
          <cell r="AH87">
            <v>0</v>
          </cell>
          <cell r="AJ87" t="str">
            <v xml:space="preserve"> - </v>
          </cell>
          <cell r="AK87" t="str">
            <v>FUT : PRV : 2DLL</v>
          </cell>
          <cell r="AL87">
            <v>4.0000000000000001E-3</v>
          </cell>
          <cell r="AM87">
            <v>5</v>
          </cell>
          <cell r="AN87" t="str">
            <v>FUT : PRV : 2DLL</v>
          </cell>
          <cell r="AO87">
            <v>4.0000000000000001E-3</v>
          </cell>
          <cell r="AP87">
            <v>4</v>
          </cell>
          <cell r="AQ87" t="str">
            <v>FUT : PRV : 2DLL</v>
          </cell>
          <cell r="AR87">
            <v>4.0000000000000001E-3</v>
          </cell>
          <cell r="AS87">
            <v>3</v>
          </cell>
          <cell r="AT87" t="str">
            <v>FUT : PRV : 2DLL</v>
          </cell>
          <cell r="AU87">
            <v>4.0000000000000001E-3</v>
          </cell>
          <cell r="AV87">
            <v>2</v>
          </cell>
          <cell r="AW87" t="str">
            <v>FUT : PRV : 2DLL</v>
          </cell>
          <cell r="AX87">
            <v>4.0000000000000001E-3</v>
          </cell>
          <cell r="AY87">
            <v>1</v>
          </cell>
          <cell r="AZ87">
            <v>0</v>
          </cell>
          <cell r="BA87">
            <v>0</v>
          </cell>
          <cell r="BB87">
            <v>0</v>
          </cell>
          <cell r="BD87" t="str">
            <v>Market Start Time</v>
          </cell>
          <cell r="BE87">
            <v>0.375</v>
          </cell>
          <cell r="BI87" t="str">
            <v>Bear / 
Bear CF</v>
          </cell>
          <cell r="BJ87" t="str">
            <v>Long</v>
          </cell>
          <cell r="BK87">
            <v>4.0000000000000001E-3</v>
          </cell>
          <cell r="BL87">
            <v>4.0000000000000001E-3</v>
          </cell>
          <cell r="BN87" t="str">
            <v>Bear | 
Bear CF</v>
          </cell>
          <cell r="BO87" t="str">
            <v>Call</v>
          </cell>
          <cell r="BP87" t="str">
            <v/>
          </cell>
        </row>
        <row r="88">
          <cell r="B88" t="str">
            <v>S14E</v>
          </cell>
          <cell r="C88" t="str">
            <v>No. of Targets</v>
          </cell>
          <cell r="D88" t="str">
            <v>4 &amp; APS</v>
          </cell>
          <cell r="F88" t="str">
            <v>Short</v>
          </cell>
          <cell r="G88" t="str">
            <v>FUT : PRV : 2DLL</v>
          </cell>
          <cell r="H88" t="str">
            <v xml:space="preserve"> - </v>
          </cell>
          <cell r="I88">
            <v>4.0000000000000001E-3</v>
          </cell>
          <cell r="J88">
            <v>5</v>
          </cell>
          <cell r="L88" t="str">
            <v xml:space="preserve">S : Entry </v>
          </cell>
          <cell r="M88" t="str">
            <v xml:space="preserve"> - </v>
          </cell>
          <cell r="N88">
            <v>2.5000000000000001E-2</v>
          </cell>
          <cell r="O88">
            <v>1</v>
          </cell>
          <cell r="P88">
            <v>3.5000000000000003E-2</v>
          </cell>
          <cell r="Q88">
            <v>1</v>
          </cell>
          <cell r="R88">
            <v>4.4999999999999998E-2</v>
          </cell>
          <cell r="S88">
            <v>1</v>
          </cell>
          <cell r="T88">
            <v>5.5E-2</v>
          </cell>
          <cell r="U88">
            <v>1</v>
          </cell>
          <cell r="V88" t="str">
            <v>TR PROFIT AFTER TGT 4</v>
          </cell>
          <cell r="W88">
            <v>1</v>
          </cell>
          <cell r="X88" t="str">
            <v>N.A.</v>
          </cell>
          <cell r="Y88" t="str">
            <v>N.A.</v>
          </cell>
          <cell r="AA88" t="str">
            <v>Min</v>
          </cell>
          <cell r="AB88" t="str">
            <v>MSL &amp; TSL</v>
          </cell>
          <cell r="AC88" t="str">
            <v>Entry &amp; TRP</v>
          </cell>
          <cell r="AE88" t="str">
            <v>S : Entry</v>
          </cell>
          <cell r="AF88" t="str">
            <v xml:space="preserve"> + </v>
          </cell>
          <cell r="AG88">
            <v>2.5000000000000001E-2</v>
          </cell>
          <cell r="AH88">
            <v>0</v>
          </cell>
          <cell r="AJ88" t="str">
            <v xml:space="preserve"> + </v>
          </cell>
          <cell r="AK88" t="str">
            <v>FUT : PRV : 2DHH</v>
          </cell>
          <cell r="AL88">
            <v>4.0000000000000001E-3</v>
          </cell>
          <cell r="AM88">
            <v>5</v>
          </cell>
          <cell r="AN88" t="str">
            <v>FUT : PRV : 2DHH</v>
          </cell>
          <cell r="AO88">
            <v>4.0000000000000001E-3</v>
          </cell>
          <cell r="AP88">
            <v>4</v>
          </cell>
          <cell r="AQ88" t="str">
            <v>FUT : PRV : 2DHH</v>
          </cell>
          <cell r="AR88">
            <v>4.0000000000000001E-3</v>
          </cell>
          <cell r="AS88">
            <v>3</v>
          </cell>
          <cell r="AT88" t="str">
            <v>FUT : PRV : 2DHH</v>
          </cell>
          <cell r="AU88">
            <v>4.0000000000000001E-3</v>
          </cell>
          <cell r="AV88">
            <v>2</v>
          </cell>
          <cell r="AW88" t="str">
            <v>FUT : PRV : 2DHH</v>
          </cell>
          <cell r="AX88">
            <v>4.0000000000000001E-3</v>
          </cell>
          <cell r="AY88">
            <v>1</v>
          </cell>
          <cell r="AZ88">
            <v>0</v>
          </cell>
          <cell r="BA88">
            <v>0</v>
          </cell>
          <cell r="BB88">
            <v>0</v>
          </cell>
          <cell r="BD88" t="str">
            <v>Market End Time</v>
          </cell>
          <cell r="BE88">
            <v>0.97916666666666663</v>
          </cell>
          <cell r="BJ88" t="str">
            <v>Short</v>
          </cell>
          <cell r="BK88">
            <v>4.0000000000000001E-3</v>
          </cell>
          <cell r="BL88">
            <v>4.0000000000000001E-3</v>
          </cell>
          <cell r="BO88" t="str">
            <v>Put</v>
          </cell>
          <cell r="BP88" t="str">
            <v/>
          </cell>
        </row>
        <row r="90">
          <cell r="B90" t="str">
            <v>S15A</v>
          </cell>
          <cell r="C90" t="str">
            <v>Strategy Code</v>
          </cell>
          <cell r="D90" t="str">
            <v>S15</v>
          </cell>
          <cell r="E90" t="str">
            <v>Bull / 
Bull CF</v>
          </cell>
          <cell r="F90" t="str">
            <v>Long</v>
          </cell>
          <cell r="G90" t="str">
            <v>FUT : PRV : 1DHH</v>
          </cell>
          <cell r="H90" t="str">
            <v xml:space="preserve"> + </v>
          </cell>
          <cell r="I90">
            <v>0</v>
          </cell>
          <cell r="J90">
            <v>5</v>
          </cell>
          <cell r="L90" t="str">
            <v xml:space="preserve">L : Entry </v>
          </cell>
          <cell r="M90" t="str">
            <v xml:space="preserve"> + </v>
          </cell>
          <cell r="N90">
            <v>2.5000000000000001E-2</v>
          </cell>
          <cell r="O90">
            <v>1</v>
          </cell>
          <cell r="P90">
            <v>3.5000000000000003E-2</v>
          </cell>
          <cell r="Q90">
            <v>1</v>
          </cell>
          <cell r="R90">
            <v>4.4999999999999998E-2</v>
          </cell>
          <cell r="S90">
            <v>1</v>
          </cell>
          <cell r="T90">
            <v>5.5E-2</v>
          </cell>
          <cell r="U90">
            <v>1</v>
          </cell>
          <cell r="V90" t="str">
            <v>TR PROFIT AFTER TGT 4</v>
          </cell>
          <cell r="W90">
            <v>1</v>
          </cell>
          <cell r="X90" t="str">
            <v>N.A.</v>
          </cell>
          <cell r="Y90" t="str">
            <v>N.A.</v>
          </cell>
          <cell r="AA90" t="str">
            <v>Max</v>
          </cell>
          <cell r="AB90" t="str">
            <v>MSL &amp; TSL</v>
          </cell>
          <cell r="AC90" t="str">
            <v>Entry &amp; TRP</v>
          </cell>
          <cell r="AE90" t="str">
            <v>L : Entry</v>
          </cell>
          <cell r="AF90" t="str">
            <v xml:space="preserve"> - </v>
          </cell>
          <cell r="AG90">
            <v>2.5000000000000001E-2</v>
          </cell>
          <cell r="AH90">
            <v>0</v>
          </cell>
          <cell r="AJ90" t="str">
            <v xml:space="preserve"> - </v>
          </cell>
          <cell r="AK90" t="str">
            <v>FUT : PRV : 2DLL</v>
          </cell>
          <cell r="AL90">
            <v>4.0000000000000001E-3</v>
          </cell>
          <cell r="AM90">
            <v>5</v>
          </cell>
          <cell r="AN90" t="str">
            <v>FUT : PRV : 2DLL</v>
          </cell>
          <cell r="AO90">
            <v>4.0000000000000001E-3</v>
          </cell>
          <cell r="AP90">
            <v>4</v>
          </cell>
          <cell r="AQ90" t="str">
            <v>FUT : PRV : 2DLL</v>
          </cell>
          <cell r="AR90">
            <v>4.0000000000000001E-3</v>
          </cell>
          <cell r="AS90">
            <v>3</v>
          </cell>
          <cell r="AT90" t="str">
            <v>FUT : PRV : 2DLL</v>
          </cell>
          <cell r="AU90">
            <v>4.0000000000000001E-3</v>
          </cell>
          <cell r="AV90">
            <v>2</v>
          </cell>
          <cell r="AW90" t="str">
            <v>FUT : PRV : 2DLL</v>
          </cell>
          <cell r="AX90">
            <v>4.0000000000000001E-3</v>
          </cell>
          <cell r="AY90">
            <v>1</v>
          </cell>
          <cell r="AZ90">
            <v>0</v>
          </cell>
          <cell r="BA90">
            <v>0</v>
          </cell>
          <cell r="BB90">
            <v>0</v>
          </cell>
          <cell r="BD90" t="str">
            <v xml:space="preserve">ORPT </v>
          </cell>
          <cell r="BE90">
            <v>0.37846527777777778</v>
          </cell>
          <cell r="BF90">
            <v>0.37846527777777778</v>
          </cell>
          <cell r="BG90">
            <v>0.375</v>
          </cell>
          <cell r="BI90" t="str">
            <v>Bull / 
Bull CF</v>
          </cell>
          <cell r="BJ90" t="str">
            <v>Long</v>
          </cell>
          <cell r="BK90">
            <v>4.0000000000000001E-3</v>
          </cell>
          <cell r="BL90">
            <v>4.0000000000000001E-3</v>
          </cell>
          <cell r="BN90" t="str">
            <v>Bull | 
Bull CF</v>
          </cell>
          <cell r="BO90" t="str">
            <v>Call</v>
          </cell>
          <cell r="BP90" t="str">
            <v/>
          </cell>
          <cell r="CU90">
            <v>0.95833333333333326</v>
          </cell>
        </row>
        <row r="91">
          <cell r="B91" t="str">
            <v>S15B</v>
          </cell>
          <cell r="C91" t="str">
            <v>Unique Code</v>
          </cell>
          <cell r="D91" t="str">
            <v>CRUDEOIL_FUT_MT_DIFF_1D_2D</v>
          </cell>
          <cell r="F91" t="str">
            <v>Short</v>
          </cell>
          <cell r="G91" t="str">
            <v>FUT : PRV : 2DLL</v>
          </cell>
          <cell r="H91" t="str">
            <v xml:space="preserve"> - </v>
          </cell>
          <cell r="I91">
            <v>4.0000000000000001E-3</v>
          </cell>
          <cell r="J91">
            <v>5</v>
          </cell>
          <cell r="L91" t="str">
            <v xml:space="preserve">S : Entry </v>
          </cell>
          <cell r="M91" t="str">
            <v xml:space="preserve"> - </v>
          </cell>
          <cell r="N91">
            <v>2.5000000000000001E-2</v>
          </cell>
          <cell r="O91">
            <v>1</v>
          </cell>
          <cell r="P91">
            <v>3.5000000000000003E-2</v>
          </cell>
          <cell r="Q91">
            <v>1</v>
          </cell>
          <cell r="R91">
            <v>4.4999999999999998E-2</v>
          </cell>
          <cell r="S91">
            <v>1</v>
          </cell>
          <cell r="T91">
            <v>5.5E-2</v>
          </cell>
          <cell r="U91">
            <v>1</v>
          </cell>
          <cell r="V91" t="str">
            <v>TR PROFIT AFTER TGT 4</v>
          </cell>
          <cell r="W91">
            <v>1</v>
          </cell>
          <cell r="X91" t="str">
            <v>N.A.</v>
          </cell>
          <cell r="Y91" t="str">
            <v>N.A.</v>
          </cell>
          <cell r="AA91" t="str">
            <v>Min</v>
          </cell>
          <cell r="AB91" t="str">
            <v>MSL &amp; TSL</v>
          </cell>
          <cell r="AC91" t="str">
            <v>Entry &amp; TRP</v>
          </cell>
          <cell r="AE91" t="str">
            <v>S : Entry</v>
          </cell>
          <cell r="AF91" t="str">
            <v xml:space="preserve"> + </v>
          </cell>
          <cell r="AG91">
            <v>2.5000000000000001E-2</v>
          </cell>
          <cell r="AH91">
            <v>0</v>
          </cell>
          <cell r="AJ91" t="str">
            <v xml:space="preserve"> + </v>
          </cell>
          <cell r="AK91" t="str">
            <v>FUT : PRV : 1DHH</v>
          </cell>
          <cell r="AL91">
            <v>0</v>
          </cell>
          <cell r="AM91">
            <v>5</v>
          </cell>
          <cell r="AN91" t="str">
            <v>FUT : PRV : 1DHH</v>
          </cell>
          <cell r="AO91">
            <v>0</v>
          </cell>
          <cell r="AP91">
            <v>4</v>
          </cell>
          <cell r="AQ91" t="str">
            <v>FUT : PRV : 1DHH</v>
          </cell>
          <cell r="AR91">
            <v>0</v>
          </cell>
          <cell r="AS91">
            <v>3</v>
          </cell>
          <cell r="AT91" t="str">
            <v>FUT : PRV : 1DHH</v>
          </cell>
          <cell r="AU91">
            <v>0</v>
          </cell>
          <cell r="AV91">
            <v>2</v>
          </cell>
          <cell r="AW91" t="str">
            <v>FUT : PRV : 1DHH</v>
          </cell>
          <cell r="AX91">
            <v>0</v>
          </cell>
          <cell r="AY91">
            <v>1</v>
          </cell>
          <cell r="AZ91">
            <v>0</v>
          </cell>
          <cell r="BA91">
            <v>0</v>
          </cell>
          <cell r="BB91">
            <v>0</v>
          </cell>
          <cell r="BD91" t="str">
            <v xml:space="preserve"> RC. Time</v>
          </cell>
          <cell r="BE91">
            <v>0.38540972222222225</v>
          </cell>
          <cell r="BF91">
            <v>0.38540972222222225</v>
          </cell>
          <cell r="BG91" t="str">
            <v>N.A.</v>
          </cell>
          <cell r="BJ91" t="str">
            <v>Short</v>
          </cell>
          <cell r="BK91">
            <v>4.0000000000000001E-3</v>
          </cell>
          <cell r="BL91">
            <v>4.0000000000000001E-3</v>
          </cell>
          <cell r="BO91" t="str">
            <v>Put</v>
          </cell>
          <cell r="BP91" t="str">
            <v/>
          </cell>
        </row>
        <row r="92">
          <cell r="B92" t="str">
            <v>S15C</v>
          </cell>
          <cell r="C92" t="str">
            <v>Segment</v>
          </cell>
          <cell r="D92" t="str">
            <v>FUTURES</v>
          </cell>
          <cell r="E92" t="str">
            <v>Contract</v>
          </cell>
          <cell r="F92" t="str">
            <v>MONTHLY</v>
          </cell>
        </row>
        <row r="93">
          <cell r="B93" t="str">
            <v>S15D</v>
          </cell>
          <cell r="C93" t="str">
            <v>Symbol</v>
          </cell>
          <cell r="D93" t="str">
            <v>CRUDEOIL</v>
          </cell>
          <cell r="E93" t="str">
            <v>Bear / 
Bear CF</v>
          </cell>
          <cell r="F93" t="str">
            <v>Long</v>
          </cell>
          <cell r="G93" t="str">
            <v>FUT : PRV : 2DHH</v>
          </cell>
          <cell r="H93" t="str">
            <v xml:space="preserve"> + </v>
          </cell>
          <cell r="I93">
            <v>4.0000000000000001E-3</v>
          </cell>
          <cell r="J93">
            <v>5</v>
          </cell>
          <cell r="L93" t="str">
            <v xml:space="preserve">L : Entry </v>
          </cell>
          <cell r="M93" t="str">
            <v xml:space="preserve"> + </v>
          </cell>
          <cell r="N93">
            <v>2.5000000000000001E-2</v>
          </cell>
          <cell r="O93">
            <v>1</v>
          </cell>
          <cell r="P93">
            <v>3.5000000000000003E-2</v>
          </cell>
          <cell r="Q93">
            <v>1</v>
          </cell>
          <cell r="R93">
            <v>4.4999999999999998E-2</v>
          </cell>
          <cell r="S93">
            <v>1</v>
          </cell>
          <cell r="T93">
            <v>5.5E-2</v>
          </cell>
          <cell r="U93">
            <v>1</v>
          </cell>
          <cell r="V93" t="str">
            <v>TR PROFIT AFTER TGT 4</v>
          </cell>
          <cell r="W93">
            <v>1</v>
          </cell>
          <cell r="X93" t="str">
            <v>N.A.</v>
          </cell>
          <cell r="Y93" t="str">
            <v>N.A.</v>
          </cell>
          <cell r="AA93" t="str">
            <v>Max</v>
          </cell>
          <cell r="AB93" t="str">
            <v>MSL &amp; TSL</v>
          </cell>
          <cell r="AC93" t="str">
            <v>Entry &amp; TRP</v>
          </cell>
          <cell r="AE93" t="str">
            <v>L : Entry</v>
          </cell>
          <cell r="AF93" t="str">
            <v xml:space="preserve"> - </v>
          </cell>
          <cell r="AG93">
            <v>2.5000000000000001E-2</v>
          </cell>
          <cell r="AH93">
            <v>0</v>
          </cell>
          <cell r="AJ93" t="str">
            <v xml:space="preserve"> - </v>
          </cell>
          <cell r="AK93" t="str">
            <v>FUT : PRV : 1DLL</v>
          </cell>
          <cell r="AL93">
            <v>0</v>
          </cell>
          <cell r="AM93">
            <v>5</v>
          </cell>
          <cell r="AN93" t="str">
            <v>FUT : PRV : 1DLL</v>
          </cell>
          <cell r="AO93">
            <v>0</v>
          </cell>
          <cell r="AP93">
            <v>4</v>
          </cell>
          <cell r="AQ93" t="str">
            <v>FUT : PRV : 1DLL</v>
          </cell>
          <cell r="AR93">
            <v>0</v>
          </cell>
          <cell r="AS93">
            <v>3</v>
          </cell>
          <cell r="AT93" t="str">
            <v>FUT : PRV : 1DLL</v>
          </cell>
          <cell r="AU93">
            <v>0</v>
          </cell>
          <cell r="AV93">
            <v>2</v>
          </cell>
          <cell r="AW93" t="str">
            <v>FUT : PRV : 1DLL</v>
          </cell>
          <cell r="AX93">
            <v>0</v>
          </cell>
          <cell r="AY93">
            <v>1</v>
          </cell>
          <cell r="AZ93">
            <v>0</v>
          </cell>
          <cell r="BA93">
            <v>0</v>
          </cell>
          <cell r="BB93">
            <v>0</v>
          </cell>
          <cell r="BD93" t="str">
            <v>Market Start Time</v>
          </cell>
          <cell r="BE93">
            <v>0.375</v>
          </cell>
          <cell r="BI93" t="str">
            <v>Bear / 
Bear CF</v>
          </cell>
          <cell r="BJ93" t="str">
            <v>Long</v>
          </cell>
          <cell r="BK93">
            <v>4.0000000000000001E-3</v>
          </cell>
          <cell r="BL93">
            <v>4.0000000000000001E-3</v>
          </cell>
          <cell r="BN93" t="str">
            <v>Bear | 
Bear CF</v>
          </cell>
          <cell r="BO93" t="str">
            <v>Call</v>
          </cell>
          <cell r="BP93" t="str">
            <v/>
          </cell>
        </row>
        <row r="94">
          <cell r="B94" t="str">
            <v>S15E</v>
          </cell>
          <cell r="C94" t="str">
            <v>No. of Targets</v>
          </cell>
          <cell r="D94" t="str">
            <v>4 &amp; APS</v>
          </cell>
          <cell r="F94" t="str">
            <v>Short</v>
          </cell>
          <cell r="G94" t="str">
            <v>FUT : PRV : 1DLL</v>
          </cell>
          <cell r="H94" t="str">
            <v xml:space="preserve"> - </v>
          </cell>
          <cell r="I94">
            <v>0</v>
          </cell>
          <cell r="J94">
            <v>5</v>
          </cell>
          <cell r="L94" t="str">
            <v xml:space="preserve">S : Entry </v>
          </cell>
          <cell r="M94" t="str">
            <v xml:space="preserve"> - </v>
          </cell>
          <cell r="N94">
            <v>2.5000000000000001E-2</v>
          </cell>
          <cell r="O94">
            <v>1</v>
          </cell>
          <cell r="P94">
            <v>3.5000000000000003E-2</v>
          </cell>
          <cell r="Q94">
            <v>1</v>
          </cell>
          <cell r="R94">
            <v>4.4999999999999998E-2</v>
          </cell>
          <cell r="S94">
            <v>1</v>
          </cell>
          <cell r="T94">
            <v>5.5E-2</v>
          </cell>
          <cell r="U94">
            <v>1</v>
          </cell>
          <cell r="V94" t="str">
            <v>TR PROFIT AFTER TGT 4</v>
          </cell>
          <cell r="W94">
            <v>1</v>
          </cell>
          <cell r="X94" t="str">
            <v>N.A.</v>
          </cell>
          <cell r="Y94" t="str">
            <v>N.A.</v>
          </cell>
          <cell r="AA94" t="str">
            <v>Min</v>
          </cell>
          <cell r="AB94" t="str">
            <v>MSL &amp; TSL</v>
          </cell>
          <cell r="AC94" t="str">
            <v>Entry &amp; TRP</v>
          </cell>
          <cell r="AE94" t="str">
            <v>S : Entry</v>
          </cell>
          <cell r="AF94" t="str">
            <v xml:space="preserve"> + </v>
          </cell>
          <cell r="AG94">
            <v>2.5000000000000001E-2</v>
          </cell>
          <cell r="AH94">
            <v>0</v>
          </cell>
          <cell r="AJ94" t="str">
            <v xml:space="preserve"> + </v>
          </cell>
          <cell r="AK94" t="str">
            <v>FUT : PRV : 2DHH</v>
          </cell>
          <cell r="AL94">
            <v>4.0000000000000001E-3</v>
          </cell>
          <cell r="AM94">
            <v>5</v>
          </cell>
          <cell r="AN94" t="str">
            <v>FUT : PRV : 2DHH</v>
          </cell>
          <cell r="AO94">
            <v>4.0000000000000001E-3</v>
          </cell>
          <cell r="AP94">
            <v>4</v>
          </cell>
          <cell r="AQ94" t="str">
            <v>FUT : PRV : 2DHH</v>
          </cell>
          <cell r="AR94">
            <v>4.0000000000000001E-3</v>
          </cell>
          <cell r="AS94">
            <v>3</v>
          </cell>
          <cell r="AT94" t="str">
            <v>FUT : PRV : 2DHH</v>
          </cell>
          <cell r="AU94">
            <v>4.0000000000000001E-3</v>
          </cell>
          <cell r="AV94">
            <v>2</v>
          </cell>
          <cell r="AW94" t="str">
            <v>FUT : PRV : 2DHH</v>
          </cell>
          <cell r="AX94">
            <v>4.0000000000000001E-3</v>
          </cell>
          <cell r="AY94">
            <v>1</v>
          </cell>
          <cell r="AZ94">
            <v>0</v>
          </cell>
          <cell r="BA94">
            <v>0</v>
          </cell>
          <cell r="BB94">
            <v>0</v>
          </cell>
          <cell r="BD94" t="str">
            <v>Market End Time</v>
          </cell>
          <cell r="BE94">
            <v>0.97916666666666663</v>
          </cell>
          <cell r="BJ94" t="str">
            <v>Short</v>
          </cell>
          <cell r="BK94">
            <v>4.0000000000000001E-3</v>
          </cell>
          <cell r="BL94">
            <v>4.0000000000000001E-3</v>
          </cell>
          <cell r="BO94" t="str">
            <v>Put</v>
          </cell>
          <cell r="BP94" t="str">
            <v/>
          </cell>
        </row>
        <row r="96">
          <cell r="B96" t="str">
            <v>S16A</v>
          </cell>
          <cell r="C96" t="str">
            <v>Strategy Code</v>
          </cell>
          <cell r="D96" t="str">
            <v>S16</v>
          </cell>
          <cell r="E96" t="str">
            <v>Bull / 
Bull CF</v>
          </cell>
          <cell r="F96" t="str">
            <v>Long</v>
          </cell>
          <cell r="G96" t="str">
            <v>FUT : PRV : 2DHH</v>
          </cell>
          <cell r="H96" t="str">
            <v xml:space="preserve"> + </v>
          </cell>
          <cell r="I96">
            <v>0</v>
          </cell>
          <cell r="J96">
            <v>5</v>
          </cell>
          <cell r="L96" t="str">
            <v xml:space="preserve">L : Entry </v>
          </cell>
          <cell r="M96" t="str">
            <v xml:space="preserve"> + </v>
          </cell>
          <cell r="N96">
            <v>0.03</v>
          </cell>
          <cell r="O96">
            <v>1</v>
          </cell>
          <cell r="P96">
            <v>0.04</v>
          </cell>
          <cell r="Q96">
            <v>1</v>
          </cell>
          <cell r="R96">
            <v>0.05</v>
          </cell>
          <cell r="S96">
            <v>1</v>
          </cell>
          <cell r="T96">
            <v>0.06</v>
          </cell>
          <cell r="U96">
            <v>1</v>
          </cell>
          <cell r="V96" t="str">
            <v>TR PROFIT AFTER TGT 4</v>
          </cell>
          <cell r="W96">
            <v>1</v>
          </cell>
          <cell r="X96" t="str">
            <v>N.A.</v>
          </cell>
          <cell r="Y96" t="str">
            <v>N.A.</v>
          </cell>
          <cell r="AA96" t="str">
            <v>Max</v>
          </cell>
          <cell r="AB96" t="str">
            <v>MSL &amp; TSL</v>
          </cell>
          <cell r="AC96" t="str">
            <v>Entry &amp; TRP</v>
          </cell>
          <cell r="AE96" t="str">
            <v>L : Entry</v>
          </cell>
          <cell r="AF96" t="str">
            <v xml:space="preserve"> - </v>
          </cell>
          <cell r="AG96">
            <v>0.03</v>
          </cell>
          <cell r="AH96">
            <v>0</v>
          </cell>
          <cell r="AJ96" t="str">
            <v xml:space="preserve"> - </v>
          </cell>
          <cell r="AK96" t="str">
            <v>FUT : PRV : 3DLL</v>
          </cell>
          <cell r="AL96">
            <v>0.01</v>
          </cell>
          <cell r="AM96">
            <v>5</v>
          </cell>
          <cell r="AN96" t="str">
            <v>FUT : PRV : 3DLL</v>
          </cell>
          <cell r="AO96">
            <v>0.01</v>
          </cell>
          <cell r="AP96">
            <v>4</v>
          </cell>
          <cell r="AQ96" t="str">
            <v>FUT : PRV : 3DLL</v>
          </cell>
          <cell r="AR96">
            <v>0.01</v>
          </cell>
          <cell r="AS96">
            <v>3</v>
          </cell>
          <cell r="AT96" t="str">
            <v>FUT : PRV : 3DLL</v>
          </cell>
          <cell r="AU96">
            <v>0.01</v>
          </cell>
          <cell r="AV96">
            <v>2</v>
          </cell>
          <cell r="AW96" t="str">
            <v>FUT : PRV : 3DLL</v>
          </cell>
          <cell r="AX96">
            <v>0.01</v>
          </cell>
          <cell r="AY96">
            <v>1</v>
          </cell>
          <cell r="AZ96">
            <v>0</v>
          </cell>
          <cell r="BA96">
            <v>0</v>
          </cell>
          <cell r="BB96">
            <v>0</v>
          </cell>
          <cell r="BD96" t="str">
            <v xml:space="preserve">ORPT </v>
          </cell>
          <cell r="BE96">
            <v>0.37846527777777778</v>
          </cell>
          <cell r="BF96">
            <v>0.37846527777777778</v>
          </cell>
          <cell r="BG96">
            <v>0.375</v>
          </cell>
          <cell r="BI96" t="str">
            <v>Bull / 
Bull CF</v>
          </cell>
          <cell r="BJ96" t="str">
            <v>Long</v>
          </cell>
          <cell r="BK96">
            <v>0.01</v>
          </cell>
          <cell r="BL96">
            <v>0.01</v>
          </cell>
          <cell r="BN96" t="str">
            <v>Bull | 
Bull CF</v>
          </cell>
          <cell r="BO96" t="str">
            <v>Call</v>
          </cell>
          <cell r="BP96" t="str">
            <v/>
          </cell>
          <cell r="CU96">
            <v>0.95833333333333326</v>
          </cell>
        </row>
        <row r="97">
          <cell r="B97" t="str">
            <v>S16B</v>
          </cell>
          <cell r="C97" t="str">
            <v>Unique Code</v>
          </cell>
          <cell r="D97" t="str">
            <v>NATURALGAS_FUT_MT_DIFF_2D_3D</v>
          </cell>
          <cell r="F97" t="str">
            <v>Short</v>
          </cell>
          <cell r="G97" t="str">
            <v>FUT : PRV : 3DLL</v>
          </cell>
          <cell r="H97" t="str">
            <v xml:space="preserve"> - </v>
          </cell>
          <cell r="I97">
            <v>0.01</v>
          </cell>
          <cell r="J97">
            <v>5</v>
          </cell>
          <cell r="L97" t="str">
            <v xml:space="preserve">S : Entry </v>
          </cell>
          <cell r="M97" t="str">
            <v xml:space="preserve"> - </v>
          </cell>
          <cell r="N97">
            <v>0.03</v>
          </cell>
          <cell r="O97">
            <v>1</v>
          </cell>
          <cell r="P97">
            <v>0.04</v>
          </cell>
          <cell r="Q97">
            <v>1</v>
          </cell>
          <cell r="R97">
            <v>0.05</v>
          </cell>
          <cell r="S97">
            <v>1</v>
          </cell>
          <cell r="T97">
            <v>0.06</v>
          </cell>
          <cell r="U97">
            <v>1</v>
          </cell>
          <cell r="V97" t="str">
            <v>TR PROFIT AFTER TGT 4</v>
          </cell>
          <cell r="W97">
            <v>1</v>
          </cell>
          <cell r="X97" t="str">
            <v>N.A.</v>
          </cell>
          <cell r="Y97" t="str">
            <v>N.A.</v>
          </cell>
          <cell r="AA97" t="str">
            <v>Min</v>
          </cell>
          <cell r="AB97" t="str">
            <v>MSL &amp; TSL</v>
          </cell>
          <cell r="AC97" t="str">
            <v>Entry &amp; TRP</v>
          </cell>
          <cell r="AE97" t="str">
            <v>S : Entry</v>
          </cell>
          <cell r="AF97" t="str">
            <v xml:space="preserve"> + </v>
          </cell>
          <cell r="AG97">
            <v>0.03</v>
          </cell>
          <cell r="AH97">
            <v>0</v>
          </cell>
          <cell r="AJ97" t="str">
            <v xml:space="preserve"> + </v>
          </cell>
          <cell r="AK97" t="str">
            <v>FUT : PRV : 2DHH</v>
          </cell>
          <cell r="AL97">
            <v>0</v>
          </cell>
          <cell r="AM97">
            <v>5</v>
          </cell>
          <cell r="AN97" t="str">
            <v>FUT : PRV : 2DHH</v>
          </cell>
          <cell r="AO97">
            <v>0</v>
          </cell>
          <cell r="AP97">
            <v>4</v>
          </cell>
          <cell r="AQ97" t="str">
            <v>FUT : PRV : 2DHH</v>
          </cell>
          <cell r="AR97">
            <v>0</v>
          </cell>
          <cell r="AS97">
            <v>3</v>
          </cell>
          <cell r="AT97" t="str">
            <v>FUT : PRV : 2DHH</v>
          </cell>
          <cell r="AU97">
            <v>0</v>
          </cell>
          <cell r="AV97">
            <v>2</v>
          </cell>
          <cell r="AW97" t="str">
            <v>FUT : PRV : 2DHH</v>
          </cell>
          <cell r="AX97">
            <v>0</v>
          </cell>
          <cell r="AY97">
            <v>1</v>
          </cell>
          <cell r="AZ97">
            <v>0</v>
          </cell>
          <cell r="BA97">
            <v>0</v>
          </cell>
          <cell r="BB97">
            <v>0</v>
          </cell>
          <cell r="BD97" t="str">
            <v xml:space="preserve"> RC. Time</v>
          </cell>
          <cell r="BE97">
            <v>0.38540972222222225</v>
          </cell>
          <cell r="BF97">
            <v>0.38540972222222225</v>
          </cell>
          <cell r="BG97" t="str">
            <v>N.A.</v>
          </cell>
          <cell r="BJ97" t="str">
            <v>Short</v>
          </cell>
          <cell r="BK97">
            <v>0.01</v>
          </cell>
          <cell r="BL97">
            <v>0.01</v>
          </cell>
          <cell r="BO97" t="str">
            <v>Put</v>
          </cell>
          <cell r="BP97" t="str">
            <v/>
          </cell>
        </row>
        <row r="98">
          <cell r="B98" t="str">
            <v>S16C</v>
          </cell>
          <cell r="C98" t="str">
            <v>Segment</v>
          </cell>
          <cell r="D98" t="str">
            <v>FUTURES</v>
          </cell>
          <cell r="E98" t="str">
            <v>Contract</v>
          </cell>
          <cell r="F98" t="str">
            <v>MONTHLY</v>
          </cell>
        </row>
        <row r="99">
          <cell r="B99" t="str">
            <v>S16D</v>
          </cell>
          <cell r="C99" t="str">
            <v>Symbol</v>
          </cell>
          <cell r="D99" t="str">
            <v>NATURALGAS</v>
          </cell>
          <cell r="E99" t="str">
            <v>Bear / 
Bear CF</v>
          </cell>
          <cell r="F99" t="str">
            <v>Long</v>
          </cell>
          <cell r="G99" t="str">
            <v>FUT : PRV : 3DHH</v>
          </cell>
          <cell r="H99" t="str">
            <v xml:space="preserve"> + </v>
          </cell>
          <cell r="I99">
            <v>0.01</v>
          </cell>
          <cell r="J99">
            <v>5</v>
          </cell>
          <cell r="L99" t="str">
            <v xml:space="preserve">L : Entry </v>
          </cell>
          <cell r="M99" t="str">
            <v xml:space="preserve"> + </v>
          </cell>
          <cell r="N99">
            <v>0.03</v>
          </cell>
          <cell r="O99">
            <v>1</v>
          </cell>
          <cell r="P99">
            <v>0.04</v>
          </cell>
          <cell r="Q99">
            <v>1</v>
          </cell>
          <cell r="R99">
            <v>0.05</v>
          </cell>
          <cell r="S99">
            <v>1</v>
          </cell>
          <cell r="T99">
            <v>0.06</v>
          </cell>
          <cell r="U99">
            <v>1</v>
          </cell>
          <cell r="V99" t="str">
            <v>TR PROFIT AFTER TGT 4</v>
          </cell>
          <cell r="W99">
            <v>1</v>
          </cell>
          <cell r="X99" t="str">
            <v>N.A.</v>
          </cell>
          <cell r="Y99" t="str">
            <v>N.A.</v>
          </cell>
          <cell r="AA99" t="str">
            <v>Max</v>
          </cell>
          <cell r="AB99" t="str">
            <v>MSL &amp; TSL</v>
          </cell>
          <cell r="AC99" t="str">
            <v>Entry &amp; TRP</v>
          </cell>
          <cell r="AE99" t="str">
            <v>L : Entry</v>
          </cell>
          <cell r="AF99" t="str">
            <v xml:space="preserve"> - </v>
          </cell>
          <cell r="AG99">
            <v>0.03</v>
          </cell>
          <cell r="AH99">
            <v>0</v>
          </cell>
          <cell r="AJ99" t="str">
            <v xml:space="preserve"> - </v>
          </cell>
          <cell r="AK99" t="str">
            <v>FUT : PRV : 2DLL</v>
          </cell>
          <cell r="AL99">
            <v>0</v>
          </cell>
          <cell r="AM99">
            <v>5</v>
          </cell>
          <cell r="AN99" t="str">
            <v>FUT : PRV : 2DLL</v>
          </cell>
          <cell r="AO99">
            <v>0</v>
          </cell>
          <cell r="AP99">
            <v>4</v>
          </cell>
          <cell r="AQ99" t="str">
            <v>FUT : PRV : 2DLL</v>
          </cell>
          <cell r="AR99">
            <v>0</v>
          </cell>
          <cell r="AS99">
            <v>3</v>
          </cell>
          <cell r="AT99" t="str">
            <v>FUT : PRV : 2DLL</v>
          </cell>
          <cell r="AU99">
            <v>0</v>
          </cell>
          <cell r="AV99">
            <v>2</v>
          </cell>
          <cell r="AW99" t="str">
            <v>FUT : PRV : 2DLL</v>
          </cell>
          <cell r="AX99">
            <v>0</v>
          </cell>
          <cell r="AY99">
            <v>1</v>
          </cell>
          <cell r="AZ99">
            <v>0</v>
          </cell>
          <cell r="BA99">
            <v>0</v>
          </cell>
          <cell r="BB99">
            <v>0</v>
          </cell>
          <cell r="BD99" t="str">
            <v>Market Start Time</v>
          </cell>
          <cell r="BE99">
            <v>0.375</v>
          </cell>
          <cell r="BI99" t="str">
            <v>Bear / 
Bear CF</v>
          </cell>
          <cell r="BJ99" t="str">
            <v>Long</v>
          </cell>
          <cell r="BK99">
            <v>0.01</v>
          </cell>
          <cell r="BL99">
            <v>0.01</v>
          </cell>
          <cell r="BN99" t="str">
            <v>Bear | 
Bear CF</v>
          </cell>
          <cell r="BO99" t="str">
            <v>Call</v>
          </cell>
          <cell r="BP99" t="str">
            <v/>
          </cell>
        </row>
        <row r="100">
          <cell r="B100" t="str">
            <v>S16E</v>
          </cell>
          <cell r="C100" t="str">
            <v>Contract</v>
          </cell>
          <cell r="D100" t="str">
            <v>4 &amp; APS</v>
          </cell>
          <cell r="F100" t="str">
            <v>Short</v>
          </cell>
          <cell r="G100" t="str">
            <v>FUT : PRV : 2DLL</v>
          </cell>
          <cell r="H100" t="str">
            <v xml:space="preserve"> - </v>
          </cell>
          <cell r="I100">
            <v>0</v>
          </cell>
          <cell r="J100">
            <v>5</v>
          </cell>
          <cell r="L100" t="str">
            <v xml:space="preserve">S : Entry </v>
          </cell>
          <cell r="M100" t="str">
            <v xml:space="preserve"> - </v>
          </cell>
          <cell r="N100">
            <v>0.03</v>
          </cell>
          <cell r="O100">
            <v>1</v>
          </cell>
          <cell r="P100">
            <v>0.04</v>
          </cell>
          <cell r="Q100">
            <v>1</v>
          </cell>
          <cell r="R100">
            <v>0.05</v>
          </cell>
          <cell r="S100">
            <v>1</v>
          </cell>
          <cell r="T100">
            <v>0.06</v>
          </cell>
          <cell r="U100">
            <v>1</v>
          </cell>
          <cell r="V100" t="str">
            <v>TR PROFIT AFTER TGT 4</v>
          </cell>
          <cell r="W100">
            <v>1</v>
          </cell>
          <cell r="X100" t="str">
            <v>N.A.</v>
          </cell>
          <cell r="Y100" t="str">
            <v>N.A.</v>
          </cell>
          <cell r="AA100" t="str">
            <v>Min</v>
          </cell>
          <cell r="AB100" t="str">
            <v>MSL &amp; TSL</v>
          </cell>
          <cell r="AC100" t="str">
            <v>Entry &amp; TRP</v>
          </cell>
          <cell r="AE100" t="str">
            <v>S : Entry</v>
          </cell>
          <cell r="AF100" t="str">
            <v xml:space="preserve"> + </v>
          </cell>
          <cell r="AG100">
            <v>0.03</v>
          </cell>
          <cell r="AH100">
            <v>0</v>
          </cell>
          <cell r="AJ100" t="str">
            <v xml:space="preserve"> + </v>
          </cell>
          <cell r="AK100" t="str">
            <v>FUT : PRV : 3DHH</v>
          </cell>
          <cell r="AL100">
            <v>0.01</v>
          </cell>
          <cell r="AM100">
            <v>5</v>
          </cell>
          <cell r="AN100" t="str">
            <v>FUT : PRV : 3DHH</v>
          </cell>
          <cell r="AO100">
            <v>0.01</v>
          </cell>
          <cell r="AP100">
            <v>4</v>
          </cell>
          <cell r="AQ100" t="str">
            <v>FUT : PRV : 3DHH</v>
          </cell>
          <cell r="AR100">
            <v>0.01</v>
          </cell>
          <cell r="AS100">
            <v>3</v>
          </cell>
          <cell r="AT100" t="str">
            <v>FUT : PRV : 3DHH</v>
          </cell>
          <cell r="AU100">
            <v>0.01</v>
          </cell>
          <cell r="AV100">
            <v>2</v>
          </cell>
          <cell r="AW100" t="str">
            <v>FUT : PRV : 3DHH</v>
          </cell>
          <cell r="AX100">
            <v>0.01</v>
          </cell>
          <cell r="AY100">
            <v>1</v>
          </cell>
          <cell r="AZ100">
            <v>0</v>
          </cell>
          <cell r="BA100">
            <v>0</v>
          </cell>
          <cell r="BB100">
            <v>0</v>
          </cell>
          <cell r="BD100" t="str">
            <v>Market End Time</v>
          </cell>
          <cell r="BE100">
            <v>0.97916666666666663</v>
          </cell>
          <cell r="BJ100" t="str">
            <v>Short</v>
          </cell>
          <cell r="BK100">
            <v>0.01</v>
          </cell>
          <cell r="BL100">
            <v>0.01</v>
          </cell>
          <cell r="BO100" t="str">
            <v>Put</v>
          </cell>
          <cell r="BP100" t="str">
            <v/>
          </cell>
        </row>
        <row r="102">
          <cell r="B102" t="str">
            <v>S17A</v>
          </cell>
          <cell r="C102" t="str">
            <v>Strategy Code</v>
          </cell>
          <cell r="D102" t="str">
            <v>S17</v>
          </cell>
          <cell r="E102" t="str">
            <v>Bull / 
Bull CF</v>
          </cell>
          <cell r="F102" t="str">
            <v>Long</v>
          </cell>
          <cell r="G102" t="str">
            <v>FUT : PRV : 2DHH</v>
          </cell>
          <cell r="H102" t="str">
            <v xml:space="preserve"> + </v>
          </cell>
          <cell r="I102">
            <v>0</v>
          </cell>
          <cell r="J102">
            <v>5</v>
          </cell>
          <cell r="L102" t="str">
            <v xml:space="preserve">L : Entry </v>
          </cell>
          <cell r="M102" t="str">
            <v xml:space="preserve"> + </v>
          </cell>
          <cell r="N102">
            <v>0.03</v>
          </cell>
          <cell r="O102">
            <v>1</v>
          </cell>
          <cell r="P102">
            <v>0.04</v>
          </cell>
          <cell r="Q102">
            <v>1</v>
          </cell>
          <cell r="R102">
            <v>0.05</v>
          </cell>
          <cell r="S102">
            <v>1</v>
          </cell>
          <cell r="T102">
            <v>0.06</v>
          </cell>
          <cell r="U102">
            <v>1</v>
          </cell>
          <cell r="V102" t="str">
            <v>TR PROFIT AFTER TGT 4</v>
          </cell>
          <cell r="W102">
            <v>1</v>
          </cell>
          <cell r="X102" t="str">
            <v>N.A.</v>
          </cell>
          <cell r="Y102" t="str">
            <v>N.A.</v>
          </cell>
          <cell r="AA102" t="str">
            <v>Max</v>
          </cell>
          <cell r="AB102" t="str">
            <v>MSL &amp; TSL</v>
          </cell>
          <cell r="AC102" t="str">
            <v>Entry &amp; TRP</v>
          </cell>
          <cell r="AE102" t="str">
            <v>L : Entry</v>
          </cell>
          <cell r="AF102" t="str">
            <v xml:space="preserve"> - </v>
          </cell>
          <cell r="AG102">
            <v>0.03</v>
          </cell>
          <cell r="AH102">
            <v>0</v>
          </cell>
          <cell r="AJ102" t="str">
            <v xml:space="preserve"> - </v>
          </cell>
          <cell r="AK102" t="str">
            <v>FUT : PRV : PW&amp;CWLL</v>
          </cell>
          <cell r="AL102">
            <v>0.01</v>
          </cell>
          <cell r="AM102">
            <v>5</v>
          </cell>
          <cell r="AN102" t="str">
            <v>FUT : PRV : PW&amp;CWLL</v>
          </cell>
          <cell r="AO102">
            <v>0.01</v>
          </cell>
          <cell r="AP102">
            <v>4</v>
          </cell>
          <cell r="AQ102" t="str">
            <v>FUT : PRV : PW&amp;CWLL</v>
          </cell>
          <cell r="AR102">
            <v>0.01</v>
          </cell>
          <cell r="AS102">
            <v>3</v>
          </cell>
          <cell r="AT102" t="str">
            <v>FUT : PRV : PW&amp;CWLL</v>
          </cell>
          <cell r="AU102">
            <v>0.01</v>
          </cell>
          <cell r="AV102">
            <v>2</v>
          </cell>
          <cell r="AW102" t="str">
            <v>FUT : PRV : PW&amp;CWLL</v>
          </cell>
          <cell r="AX102">
            <v>0.01</v>
          </cell>
          <cell r="AY102">
            <v>1</v>
          </cell>
          <cell r="AZ102">
            <v>0</v>
          </cell>
          <cell r="BA102">
            <v>0</v>
          </cell>
          <cell r="BB102">
            <v>0</v>
          </cell>
          <cell r="BD102" t="str">
            <v xml:space="preserve">ORPT </v>
          </cell>
          <cell r="BE102">
            <v>0.37846527777777778</v>
          </cell>
          <cell r="BF102">
            <v>0.37846527777777778</v>
          </cell>
          <cell r="BG102">
            <v>0.375</v>
          </cell>
          <cell r="BI102" t="str">
            <v>Bull / 
Bull CF</v>
          </cell>
          <cell r="BJ102" t="str">
            <v>Long</v>
          </cell>
          <cell r="BK102">
            <v>0.01</v>
          </cell>
          <cell r="BL102">
            <v>0.01</v>
          </cell>
          <cell r="BN102" t="str">
            <v>Bull | 
Bull CF</v>
          </cell>
          <cell r="BO102" t="str">
            <v>Call</v>
          </cell>
          <cell r="BP102" t="str">
            <v/>
          </cell>
          <cell r="CU102">
            <v>0.95833333333333326</v>
          </cell>
        </row>
        <row r="103">
          <cell r="B103" t="str">
            <v>S17B</v>
          </cell>
          <cell r="C103" t="str">
            <v>Unique Code</v>
          </cell>
          <cell r="D103" t="str">
            <v>NATURALGAS_FUT_MT_DIFF_2D_PW&amp;CW</v>
          </cell>
          <cell r="F103" t="str">
            <v>Short</v>
          </cell>
          <cell r="G103" t="str">
            <v>FUT : PRV : PW&amp;CWLL</v>
          </cell>
          <cell r="H103" t="str">
            <v xml:space="preserve"> - </v>
          </cell>
          <cell r="I103">
            <v>0.01</v>
          </cell>
          <cell r="J103">
            <v>5</v>
          </cell>
          <cell r="L103" t="str">
            <v xml:space="preserve">S : Entry </v>
          </cell>
          <cell r="M103" t="str">
            <v xml:space="preserve"> - </v>
          </cell>
          <cell r="N103">
            <v>0.03</v>
          </cell>
          <cell r="O103">
            <v>1</v>
          </cell>
          <cell r="P103">
            <v>0.04</v>
          </cell>
          <cell r="Q103">
            <v>1</v>
          </cell>
          <cell r="R103">
            <v>0.05</v>
          </cell>
          <cell r="S103">
            <v>1</v>
          </cell>
          <cell r="T103">
            <v>0.06</v>
          </cell>
          <cell r="U103">
            <v>1</v>
          </cell>
          <cell r="V103" t="str">
            <v>TR PROFIT AFTER TGT 4</v>
          </cell>
          <cell r="W103">
            <v>1</v>
          </cell>
          <cell r="X103" t="str">
            <v>N.A.</v>
          </cell>
          <cell r="Y103" t="str">
            <v>N.A.</v>
          </cell>
          <cell r="AA103" t="str">
            <v>Min</v>
          </cell>
          <cell r="AB103" t="str">
            <v>MSL &amp; TSL</v>
          </cell>
          <cell r="AC103" t="str">
            <v>Entry &amp; TRP</v>
          </cell>
          <cell r="AE103" t="str">
            <v>S : Entry</v>
          </cell>
          <cell r="AF103" t="str">
            <v xml:space="preserve"> + </v>
          </cell>
          <cell r="AG103">
            <v>0.03</v>
          </cell>
          <cell r="AH103">
            <v>0</v>
          </cell>
          <cell r="AJ103" t="str">
            <v xml:space="preserve"> + </v>
          </cell>
          <cell r="AK103" t="str">
            <v>FUT : PRV : 2DHH</v>
          </cell>
          <cell r="AL103">
            <v>0</v>
          </cell>
          <cell r="AM103">
            <v>5</v>
          </cell>
          <cell r="AN103" t="str">
            <v>FUT : PRV : 2DHH</v>
          </cell>
          <cell r="AO103">
            <v>0</v>
          </cell>
          <cell r="AP103">
            <v>4</v>
          </cell>
          <cell r="AQ103" t="str">
            <v>FUT : PRV : 2DHH</v>
          </cell>
          <cell r="AR103">
            <v>0</v>
          </cell>
          <cell r="AS103">
            <v>3</v>
          </cell>
          <cell r="AT103" t="str">
            <v>FUT : PRV : 2DHH</v>
          </cell>
          <cell r="AU103">
            <v>0</v>
          </cell>
          <cell r="AV103">
            <v>2</v>
          </cell>
          <cell r="AW103" t="str">
            <v>FUT : PRV : 2DHH</v>
          </cell>
          <cell r="AX103">
            <v>0</v>
          </cell>
          <cell r="AY103">
            <v>1</v>
          </cell>
          <cell r="AZ103">
            <v>0</v>
          </cell>
          <cell r="BA103">
            <v>0</v>
          </cell>
          <cell r="BB103">
            <v>0</v>
          </cell>
          <cell r="BD103" t="str">
            <v xml:space="preserve"> RC. Time</v>
          </cell>
          <cell r="BE103">
            <v>0.38540972222222225</v>
          </cell>
          <cell r="BF103">
            <v>0.38540972222222225</v>
          </cell>
          <cell r="BG103" t="str">
            <v>N.A.</v>
          </cell>
          <cell r="BJ103" t="str">
            <v>Short</v>
          </cell>
          <cell r="BK103">
            <v>0.01</v>
          </cell>
          <cell r="BL103">
            <v>0.01</v>
          </cell>
          <cell r="BO103" t="str">
            <v>Put</v>
          </cell>
          <cell r="BP103" t="str">
            <v/>
          </cell>
        </row>
        <row r="104">
          <cell r="B104" t="str">
            <v>S17C</v>
          </cell>
          <cell r="C104" t="str">
            <v>Segment</v>
          </cell>
          <cell r="D104" t="str">
            <v>FUTURES</v>
          </cell>
          <cell r="E104" t="str">
            <v>Contract</v>
          </cell>
          <cell r="F104" t="str">
            <v>MONTHLY</v>
          </cell>
        </row>
        <row r="105">
          <cell r="B105" t="str">
            <v>S17D</v>
          </cell>
          <cell r="C105" t="str">
            <v>Symbol</v>
          </cell>
          <cell r="D105" t="str">
            <v>NATURALGAS</v>
          </cell>
          <cell r="E105" t="str">
            <v>Bear / 
Bear CF</v>
          </cell>
          <cell r="F105" t="str">
            <v>Long</v>
          </cell>
          <cell r="G105" t="str">
            <v>FUT : PRV : PW&amp;CWHH</v>
          </cell>
          <cell r="H105" t="str">
            <v xml:space="preserve"> + </v>
          </cell>
          <cell r="I105">
            <v>0.01</v>
          </cell>
          <cell r="J105">
            <v>5</v>
          </cell>
          <cell r="L105" t="str">
            <v xml:space="preserve">L : Entry </v>
          </cell>
          <cell r="M105" t="str">
            <v xml:space="preserve"> + </v>
          </cell>
          <cell r="N105">
            <v>0.03</v>
          </cell>
          <cell r="O105">
            <v>1</v>
          </cell>
          <cell r="P105">
            <v>0.04</v>
          </cell>
          <cell r="Q105">
            <v>1</v>
          </cell>
          <cell r="R105">
            <v>0.05</v>
          </cell>
          <cell r="S105">
            <v>1</v>
          </cell>
          <cell r="T105">
            <v>0.06</v>
          </cell>
          <cell r="U105">
            <v>1</v>
          </cell>
          <cell r="V105" t="str">
            <v>TR PROFIT AFTER TGT 4</v>
          </cell>
          <cell r="W105">
            <v>1</v>
          </cell>
          <cell r="X105" t="str">
            <v>N.A.</v>
          </cell>
          <cell r="Y105" t="str">
            <v>N.A.</v>
          </cell>
          <cell r="AA105" t="str">
            <v>Max</v>
          </cell>
          <cell r="AB105" t="str">
            <v>MSL &amp; TSL</v>
          </cell>
          <cell r="AC105" t="str">
            <v>Entry &amp; TRP</v>
          </cell>
          <cell r="AE105" t="str">
            <v>L : Entry</v>
          </cell>
          <cell r="AF105" t="str">
            <v xml:space="preserve"> - </v>
          </cell>
          <cell r="AG105">
            <v>0.03</v>
          </cell>
          <cell r="AH105">
            <v>0</v>
          </cell>
          <cell r="AJ105" t="str">
            <v xml:space="preserve"> - </v>
          </cell>
          <cell r="AK105" t="str">
            <v>FUT : PRV : 2DLL</v>
          </cell>
          <cell r="AL105">
            <v>0</v>
          </cell>
          <cell r="AM105">
            <v>5</v>
          </cell>
          <cell r="AN105" t="str">
            <v>FUT : PRV : 2DLL</v>
          </cell>
          <cell r="AO105">
            <v>0</v>
          </cell>
          <cell r="AP105">
            <v>4</v>
          </cell>
          <cell r="AQ105" t="str">
            <v>FUT : PRV : 2DLL</v>
          </cell>
          <cell r="AR105">
            <v>0</v>
          </cell>
          <cell r="AS105">
            <v>3</v>
          </cell>
          <cell r="AT105" t="str">
            <v>FUT : PRV : 2DLL</v>
          </cell>
          <cell r="AU105">
            <v>0</v>
          </cell>
          <cell r="AV105">
            <v>2</v>
          </cell>
          <cell r="AW105" t="str">
            <v>FUT : PRV : 2DLL</v>
          </cell>
          <cell r="AX105">
            <v>0</v>
          </cell>
          <cell r="AY105">
            <v>1</v>
          </cell>
          <cell r="AZ105">
            <v>0</v>
          </cell>
          <cell r="BA105">
            <v>0</v>
          </cell>
          <cell r="BB105">
            <v>0</v>
          </cell>
          <cell r="BD105" t="str">
            <v>Market Start Time</v>
          </cell>
          <cell r="BE105">
            <v>0.375</v>
          </cell>
          <cell r="BI105" t="str">
            <v>Bear / 
Bear CF</v>
          </cell>
          <cell r="BJ105" t="str">
            <v>Long</v>
          </cell>
          <cell r="BK105">
            <v>0.01</v>
          </cell>
          <cell r="BL105">
            <v>0.01</v>
          </cell>
          <cell r="BN105" t="str">
            <v>Bear | 
Bear CF</v>
          </cell>
          <cell r="BO105" t="str">
            <v>Call</v>
          </cell>
          <cell r="BP105" t="str">
            <v/>
          </cell>
        </row>
        <row r="106">
          <cell r="B106" t="str">
            <v>S17E</v>
          </cell>
          <cell r="C106" t="str">
            <v>No. of Targets</v>
          </cell>
          <cell r="D106" t="str">
            <v>4 &amp; APS</v>
          </cell>
          <cell r="F106" t="str">
            <v>Short</v>
          </cell>
          <cell r="G106" t="str">
            <v>FUT : PRV : 2DLL</v>
          </cell>
          <cell r="H106" t="str">
            <v xml:space="preserve"> - </v>
          </cell>
          <cell r="I106">
            <v>0</v>
          </cell>
          <cell r="J106">
            <v>5</v>
          </cell>
          <cell r="L106" t="str">
            <v xml:space="preserve">S : Entry </v>
          </cell>
          <cell r="M106" t="str">
            <v xml:space="preserve"> - </v>
          </cell>
          <cell r="N106">
            <v>0.03</v>
          </cell>
          <cell r="O106">
            <v>1</v>
          </cell>
          <cell r="P106">
            <v>0.04</v>
          </cell>
          <cell r="Q106">
            <v>1</v>
          </cell>
          <cell r="R106">
            <v>0.05</v>
          </cell>
          <cell r="S106">
            <v>1</v>
          </cell>
          <cell r="T106">
            <v>0.06</v>
          </cell>
          <cell r="U106">
            <v>1</v>
          </cell>
          <cell r="V106" t="str">
            <v>TR PROFIT AFTER TGT 4</v>
          </cell>
          <cell r="W106">
            <v>1</v>
          </cell>
          <cell r="X106" t="str">
            <v>N.A.</v>
          </cell>
          <cell r="Y106" t="str">
            <v>N.A.</v>
          </cell>
          <cell r="AA106" t="str">
            <v>Min</v>
          </cell>
          <cell r="AB106" t="str">
            <v>MSL &amp; TSL</v>
          </cell>
          <cell r="AC106" t="str">
            <v>Entry &amp; TRP</v>
          </cell>
          <cell r="AE106" t="str">
            <v>S : Entry</v>
          </cell>
          <cell r="AF106" t="str">
            <v xml:space="preserve"> + </v>
          </cell>
          <cell r="AG106">
            <v>0.03</v>
          </cell>
          <cell r="AH106">
            <v>0</v>
          </cell>
          <cell r="AJ106" t="str">
            <v xml:space="preserve"> + </v>
          </cell>
          <cell r="AK106" t="str">
            <v>FUT : PRV : PW&amp;CWHH</v>
          </cell>
          <cell r="AL106">
            <v>0.01</v>
          </cell>
          <cell r="AM106">
            <v>5</v>
          </cell>
          <cell r="AN106" t="str">
            <v>FUT : PRV : PW&amp;CWHH</v>
          </cell>
          <cell r="AO106">
            <v>0.01</v>
          </cell>
          <cell r="AP106">
            <v>4</v>
          </cell>
          <cell r="AQ106" t="str">
            <v>FUT : PRV : PW&amp;CWHH</v>
          </cell>
          <cell r="AR106">
            <v>0.01</v>
          </cell>
          <cell r="AS106">
            <v>3</v>
          </cell>
          <cell r="AT106" t="str">
            <v>FUT : PRV : PW&amp;CWHH</v>
          </cell>
          <cell r="AU106">
            <v>0.01</v>
          </cell>
          <cell r="AV106">
            <v>2</v>
          </cell>
          <cell r="AW106" t="str">
            <v>FUT : PRV : PW&amp;CWHH</v>
          </cell>
          <cell r="AX106">
            <v>0.01</v>
          </cell>
          <cell r="AY106">
            <v>1</v>
          </cell>
          <cell r="AZ106">
            <v>0</v>
          </cell>
          <cell r="BA106">
            <v>0</v>
          </cell>
          <cell r="BB106">
            <v>0</v>
          </cell>
          <cell r="BD106" t="str">
            <v>Market End Time</v>
          </cell>
          <cell r="BE106">
            <v>0.97916666666666663</v>
          </cell>
          <cell r="BJ106" t="str">
            <v>Short</v>
          </cell>
          <cell r="BK106">
            <v>0.01</v>
          </cell>
          <cell r="BL106">
            <v>0.01</v>
          </cell>
          <cell r="BO106" t="str">
            <v>Put</v>
          </cell>
          <cell r="BP106" t="str">
            <v/>
          </cell>
        </row>
        <row r="108">
          <cell r="B108" t="str">
            <v>S18A</v>
          </cell>
          <cell r="C108" t="str">
            <v>Strategy Code</v>
          </cell>
          <cell r="D108" t="str">
            <v>S18</v>
          </cell>
          <cell r="E108" t="str">
            <v>Bull / 
Bull CF</v>
          </cell>
          <cell r="F108" t="str">
            <v>Call</v>
          </cell>
          <cell r="G108" t="str">
            <v>OPT : PRV : 3DLL</v>
          </cell>
          <cell r="H108" t="str">
            <v xml:space="preserve"> - </v>
          </cell>
          <cell r="I108">
            <v>7.4999999999999997E-2</v>
          </cell>
          <cell r="J108">
            <v>1</v>
          </cell>
          <cell r="L108" t="str">
            <v xml:space="preserve">CE : Entry </v>
          </cell>
          <cell r="M108" t="str">
            <v xml:space="preserve"> - </v>
          </cell>
          <cell r="N108">
            <v>0.6</v>
          </cell>
          <cell r="O108">
            <v>1</v>
          </cell>
          <cell r="AA108" t="str">
            <v>Min</v>
          </cell>
          <cell r="AB108" t="str">
            <v>MSL &amp; TSL</v>
          </cell>
          <cell r="AC108" t="str">
            <v>Entry &amp; TRP</v>
          </cell>
          <cell r="AE108" t="str">
            <v xml:space="preserve">CE : Entry </v>
          </cell>
          <cell r="AF108" t="str">
            <v xml:space="preserve"> + </v>
          </cell>
          <cell r="AG108">
            <v>0.6</v>
          </cell>
          <cell r="AJ108" t="str">
            <v xml:space="preserve"> + </v>
          </cell>
          <cell r="AK108" t="str">
            <v>OPT : PRV : 2DHH</v>
          </cell>
          <cell r="AL108">
            <v>7.0000000000000007E-2</v>
          </cell>
          <cell r="AM108">
            <v>1</v>
          </cell>
          <cell r="AN108">
            <v>0</v>
          </cell>
          <cell r="AP108">
            <v>0</v>
          </cell>
          <cell r="AQ108">
            <v>0</v>
          </cell>
          <cell r="AS108">
            <v>0</v>
          </cell>
          <cell r="AT108">
            <v>0</v>
          </cell>
          <cell r="AV108">
            <v>0</v>
          </cell>
          <cell r="AW108">
            <v>0</v>
          </cell>
          <cell r="AY108">
            <v>0</v>
          </cell>
          <cell r="AZ108">
            <v>0</v>
          </cell>
          <cell r="BB108">
            <v>0</v>
          </cell>
          <cell r="BD108" t="str">
            <v xml:space="preserve">ORPT </v>
          </cell>
          <cell r="BE108">
            <v>0.38193749999999999</v>
          </cell>
          <cell r="BF108">
            <v>0.38193749999999999</v>
          </cell>
          <cell r="BG108">
            <v>0.375</v>
          </cell>
          <cell r="BI108" t="str">
            <v>Bull / 
Bull CF</v>
          </cell>
          <cell r="BJ108" t="str">
            <v>Call</v>
          </cell>
          <cell r="BK108">
            <v>7.4999999999999997E-2</v>
          </cell>
          <cell r="BL108">
            <v>7.0000000000000007E-2</v>
          </cell>
          <cell r="BN108" t="str">
            <v>Bull | 
Bull CF</v>
          </cell>
          <cell r="BO108" t="str">
            <v>Call</v>
          </cell>
          <cell r="BP108" t="str">
            <v>SPT : PRV : 3DLL</v>
          </cell>
          <cell r="BQ108" t="str">
            <v>+</v>
          </cell>
          <cell r="BR108">
            <v>0.02</v>
          </cell>
          <cell r="BS108" t="str">
            <v>Round Down</v>
          </cell>
          <cell r="BT108" t="str">
            <v>SPT : PRV : 3DLL</v>
          </cell>
          <cell r="BW108" t="str">
            <v>Round Down</v>
          </cell>
          <cell r="BX108" t="str">
            <v>-</v>
          </cell>
          <cell r="BY108">
            <v>1</v>
          </cell>
          <cell r="CE108" t="str">
            <v>SPT : PRV : 3DLL</v>
          </cell>
          <cell r="CF108">
            <v>3.0000000000000001E-3</v>
          </cell>
          <cell r="CG108" t="str">
            <v>SPT : PRV : 3DLL</v>
          </cell>
          <cell r="CH108">
            <v>1.5E-3</v>
          </cell>
          <cell r="CI108">
            <v>100</v>
          </cell>
          <cell r="CJ108">
            <v>1</v>
          </cell>
          <cell r="CR108">
            <v>0.02</v>
          </cell>
          <cell r="CU108">
            <v>0.6875</v>
          </cell>
        </row>
        <row r="109">
          <cell r="B109" t="str">
            <v>S18B</v>
          </cell>
          <cell r="C109" t="str">
            <v>Unique Code</v>
          </cell>
          <cell r="D109" t="str">
            <v>USDINR_OP_SELL_WK_DIFF_2D_3D</v>
          </cell>
          <cell r="F109" t="str">
            <v>Put</v>
          </cell>
          <cell r="G109" t="str">
            <v>OPT : PRV : 2DLL</v>
          </cell>
          <cell r="H109" t="str">
            <v xml:space="preserve"> - </v>
          </cell>
          <cell r="I109">
            <v>7.4999999999999997E-2</v>
          </cell>
          <cell r="J109">
            <v>1</v>
          </cell>
          <cell r="L109" t="str">
            <v xml:space="preserve">PE : Entry </v>
          </cell>
          <cell r="M109" t="str">
            <v xml:space="preserve"> - </v>
          </cell>
          <cell r="N109">
            <v>0.6</v>
          </cell>
          <cell r="O109">
            <v>1</v>
          </cell>
          <cell r="AA109" t="str">
            <v>Min</v>
          </cell>
          <cell r="AB109" t="str">
            <v>MSL &amp; TSL</v>
          </cell>
          <cell r="AC109" t="str">
            <v>Entry &amp; TRP</v>
          </cell>
          <cell r="AE109" t="str">
            <v xml:space="preserve">PE : Entry </v>
          </cell>
          <cell r="AF109" t="str">
            <v xml:space="preserve"> + </v>
          </cell>
          <cell r="AG109">
            <v>0.6</v>
          </cell>
          <cell r="AJ109" t="str">
            <v xml:space="preserve"> + </v>
          </cell>
          <cell r="AK109" t="str">
            <v>OPT : PRV : 3DHH</v>
          </cell>
          <cell r="AL109">
            <v>0.1</v>
          </cell>
          <cell r="AM109">
            <v>1</v>
          </cell>
          <cell r="AN109">
            <v>0</v>
          </cell>
          <cell r="AP109">
            <v>0</v>
          </cell>
          <cell r="AQ109">
            <v>0</v>
          </cell>
          <cell r="AS109">
            <v>0</v>
          </cell>
          <cell r="AT109">
            <v>0</v>
          </cell>
          <cell r="AV109">
            <v>0</v>
          </cell>
          <cell r="AW109">
            <v>0</v>
          </cell>
          <cell r="AY109">
            <v>0</v>
          </cell>
          <cell r="AZ109">
            <v>0</v>
          </cell>
          <cell r="BB109">
            <v>0</v>
          </cell>
          <cell r="BD109" t="str">
            <v xml:space="preserve"> RC. Time</v>
          </cell>
          <cell r="BE109">
            <v>0.38540972222222225</v>
          </cell>
          <cell r="BF109">
            <v>0.38540972222222225</v>
          </cell>
          <cell r="BG109" t="str">
            <v>N.A.</v>
          </cell>
          <cell r="BJ109" t="str">
            <v>Put</v>
          </cell>
          <cell r="BK109">
            <v>7.4999999999999997E-2</v>
          </cell>
          <cell r="BL109">
            <v>0.1</v>
          </cell>
          <cell r="BO109" t="str">
            <v>Put</v>
          </cell>
          <cell r="BP109" t="str">
            <v>SPT : PRV : 2DHH</v>
          </cell>
          <cell r="BQ109" t="str">
            <v>-</v>
          </cell>
          <cell r="BR109">
            <v>0.02</v>
          </cell>
          <cell r="BS109" t="str">
            <v>Round Up</v>
          </cell>
          <cell r="BT109" t="str">
            <v>SPT : PRV : 2DHH</v>
          </cell>
          <cell r="BW109" t="str">
            <v>Round Up</v>
          </cell>
          <cell r="BX109" t="str">
            <v>+</v>
          </cell>
          <cell r="BY109">
            <v>1</v>
          </cell>
          <cell r="CE109" t="str">
            <v>SPT : PRV : 2DHH</v>
          </cell>
          <cell r="CF109">
            <v>3.0000000000000001E-3</v>
          </cell>
          <cell r="CG109" t="str">
            <v>SPT : PRV : 2DHH</v>
          </cell>
          <cell r="CH109">
            <v>1.5E-3</v>
          </cell>
          <cell r="CI109">
            <v>100</v>
          </cell>
          <cell r="CJ109">
            <v>1</v>
          </cell>
          <cell r="CR109">
            <v>0.02</v>
          </cell>
        </row>
        <row r="110">
          <cell r="B110" t="str">
            <v>S18C</v>
          </cell>
          <cell r="C110" t="str">
            <v>Segment</v>
          </cell>
          <cell r="D110" t="str">
            <v>OPTIONS SELL</v>
          </cell>
          <cell r="E110" t="str">
            <v>Contract</v>
          </cell>
          <cell r="F110" t="str">
            <v>WEEKLY</v>
          </cell>
        </row>
        <row r="111">
          <cell r="B111" t="str">
            <v>S18D</v>
          </cell>
          <cell r="C111" t="str">
            <v>Symbol</v>
          </cell>
          <cell r="D111" t="str">
            <v>USDINR</v>
          </cell>
          <cell r="E111" t="str">
            <v>Bear / 
Bear CF</v>
          </cell>
          <cell r="F111" t="str">
            <v>Call</v>
          </cell>
          <cell r="G111" t="str">
            <v>OPT : PRV : 2DLL</v>
          </cell>
          <cell r="H111" t="str">
            <v xml:space="preserve"> - </v>
          </cell>
          <cell r="I111">
            <v>7.4999999999999997E-2</v>
          </cell>
          <cell r="J111">
            <v>1</v>
          </cell>
          <cell r="L111" t="str">
            <v xml:space="preserve">CE : Entry </v>
          </cell>
          <cell r="M111" t="str">
            <v xml:space="preserve"> - </v>
          </cell>
          <cell r="N111">
            <v>0.6</v>
          </cell>
          <cell r="O111">
            <v>1</v>
          </cell>
          <cell r="AA111" t="str">
            <v>Min</v>
          </cell>
          <cell r="AB111" t="str">
            <v>MSL &amp; TSL</v>
          </cell>
          <cell r="AC111" t="str">
            <v>Entry &amp; TRP</v>
          </cell>
          <cell r="AE111" t="str">
            <v xml:space="preserve">CE : Entry </v>
          </cell>
          <cell r="AF111" t="str">
            <v xml:space="preserve"> + </v>
          </cell>
          <cell r="AG111">
            <v>0.6</v>
          </cell>
          <cell r="AJ111" t="str">
            <v xml:space="preserve"> + </v>
          </cell>
          <cell r="AK111" t="str">
            <v>OPT : PRV : 3DHH</v>
          </cell>
          <cell r="AL111">
            <v>0.1</v>
          </cell>
          <cell r="AM111">
            <v>1</v>
          </cell>
          <cell r="AN111">
            <v>0</v>
          </cell>
          <cell r="AP111">
            <v>0</v>
          </cell>
          <cell r="AQ111">
            <v>0</v>
          </cell>
          <cell r="AS111">
            <v>0</v>
          </cell>
          <cell r="AT111">
            <v>0</v>
          </cell>
          <cell r="AV111">
            <v>0</v>
          </cell>
          <cell r="AW111">
            <v>0</v>
          </cell>
          <cell r="AY111">
            <v>0</v>
          </cell>
          <cell r="AZ111">
            <v>0</v>
          </cell>
          <cell r="BB111">
            <v>0</v>
          </cell>
          <cell r="BD111" t="str">
            <v>Market Start Time</v>
          </cell>
          <cell r="BE111">
            <v>0.375</v>
          </cell>
          <cell r="BI111" t="str">
            <v>Bear / 
Bear CF</v>
          </cell>
          <cell r="BJ111" t="str">
            <v>Call</v>
          </cell>
          <cell r="BK111">
            <v>7.4999999999999997E-2</v>
          </cell>
          <cell r="BL111">
            <v>0.1</v>
          </cell>
          <cell r="BN111" t="str">
            <v>Bear | 
Bear CF</v>
          </cell>
          <cell r="BO111" t="str">
            <v>Call</v>
          </cell>
          <cell r="BP111" t="str">
            <v>SPT : PRV : 2DLL</v>
          </cell>
          <cell r="BQ111" t="str">
            <v>+</v>
          </cell>
          <cell r="BR111">
            <v>0.02</v>
          </cell>
          <cell r="BS111" t="str">
            <v>Round Down</v>
          </cell>
          <cell r="BT111" t="str">
            <v>SPT : PRV : 2DLL</v>
          </cell>
          <cell r="BW111" t="str">
            <v>Round Down</v>
          </cell>
          <cell r="BX111" t="str">
            <v>-</v>
          </cell>
          <cell r="BY111">
            <v>1</v>
          </cell>
          <cell r="CE111" t="str">
            <v>SPT : PRV : 2DLL</v>
          </cell>
          <cell r="CF111">
            <v>3.0000000000000001E-3</v>
          </cell>
          <cell r="CG111" t="str">
            <v>SPT : PRV : 2DLL</v>
          </cell>
          <cell r="CH111">
            <v>1.5E-3</v>
          </cell>
          <cell r="CI111">
            <v>100</v>
          </cell>
          <cell r="CJ111">
            <v>1</v>
          </cell>
          <cell r="CR111">
            <v>0.02</v>
          </cell>
        </row>
        <row r="112">
          <cell r="B112" t="str">
            <v>S18E</v>
          </cell>
          <cell r="C112" t="str">
            <v>No. of Targets</v>
          </cell>
          <cell r="D112" t="str">
            <v>APS</v>
          </cell>
          <cell r="F112" t="str">
            <v>Put</v>
          </cell>
          <cell r="G112" t="str">
            <v>OPT : PRV : 3DLL</v>
          </cell>
          <cell r="H112" t="str">
            <v xml:space="preserve"> - </v>
          </cell>
          <cell r="I112">
            <v>7.4999999999999997E-2</v>
          </cell>
          <cell r="J112">
            <v>1</v>
          </cell>
          <cell r="L112" t="str">
            <v xml:space="preserve">PE : Entry </v>
          </cell>
          <cell r="M112" t="str">
            <v xml:space="preserve"> - </v>
          </cell>
          <cell r="N112">
            <v>0.6</v>
          </cell>
          <cell r="O112">
            <v>1</v>
          </cell>
          <cell r="AA112" t="str">
            <v>Min</v>
          </cell>
          <cell r="AB112" t="str">
            <v>MSL &amp; TSL</v>
          </cell>
          <cell r="AC112" t="str">
            <v>Entry &amp; TRP</v>
          </cell>
          <cell r="AE112" t="str">
            <v xml:space="preserve">PE : Entry </v>
          </cell>
          <cell r="AF112" t="str">
            <v xml:space="preserve"> + </v>
          </cell>
          <cell r="AG112">
            <v>0.6</v>
          </cell>
          <cell r="AJ112" t="str">
            <v xml:space="preserve"> + </v>
          </cell>
          <cell r="AK112" t="str">
            <v>OPT : PRV : 2DHH</v>
          </cell>
          <cell r="AL112">
            <v>7.0000000000000007E-2</v>
          </cell>
          <cell r="AM112">
            <v>1</v>
          </cell>
          <cell r="AN112">
            <v>0</v>
          </cell>
          <cell r="AP112">
            <v>0</v>
          </cell>
          <cell r="AQ112">
            <v>0</v>
          </cell>
          <cell r="AS112">
            <v>0</v>
          </cell>
          <cell r="AT112">
            <v>0</v>
          </cell>
          <cell r="AV112">
            <v>0</v>
          </cell>
          <cell r="AW112">
            <v>0</v>
          </cell>
          <cell r="AY112">
            <v>0</v>
          </cell>
          <cell r="AZ112">
            <v>0</v>
          </cell>
          <cell r="BB112">
            <v>0</v>
          </cell>
          <cell r="BD112" t="str">
            <v>Market End Time</v>
          </cell>
          <cell r="BE112">
            <v>0.70833333333333337</v>
          </cell>
          <cell r="BJ112" t="str">
            <v>Put</v>
          </cell>
          <cell r="BK112">
            <v>7.4999999999999997E-2</v>
          </cell>
          <cell r="BL112">
            <v>7.0000000000000007E-2</v>
          </cell>
          <cell r="BO112" t="str">
            <v>Put</v>
          </cell>
          <cell r="BP112" t="str">
            <v>SPT : PRV : 3DHH</v>
          </cell>
          <cell r="BQ112" t="str">
            <v>-</v>
          </cell>
          <cell r="BR112">
            <v>0.02</v>
          </cell>
          <cell r="BS112" t="str">
            <v>Round Up</v>
          </cell>
          <cell r="BT112" t="str">
            <v>SPT : PRV : 3DHH</v>
          </cell>
          <cell r="BW112" t="str">
            <v>Round Up</v>
          </cell>
          <cell r="BX112" t="str">
            <v>+</v>
          </cell>
          <cell r="BY112">
            <v>1</v>
          </cell>
          <cell r="CE112" t="str">
            <v>SPT : PRV : 3DHH</v>
          </cell>
          <cell r="CF112">
            <v>3.0000000000000001E-3</v>
          </cell>
          <cell r="CG112" t="str">
            <v>SPT : PRV : 3DHH</v>
          </cell>
          <cell r="CH112">
            <v>1.5E-3</v>
          </cell>
          <cell r="CI112">
            <v>100</v>
          </cell>
          <cell r="CJ112">
            <v>1</v>
          </cell>
          <cell r="CR112">
            <v>0.02</v>
          </cell>
        </row>
        <row r="114">
          <cell r="B114" t="str">
            <v>S19A</v>
          </cell>
          <cell r="C114" t="str">
            <v>Strategy Code</v>
          </cell>
          <cell r="D114" t="str">
            <v>S19</v>
          </cell>
          <cell r="E114" t="str">
            <v>Bull / 
Bull CF</v>
          </cell>
          <cell r="F114" t="str">
            <v>Call</v>
          </cell>
          <cell r="G114" t="str">
            <v>OPT : PRV : 3DLL</v>
          </cell>
          <cell r="H114" t="str">
            <v xml:space="preserve"> - </v>
          </cell>
          <cell r="I114">
            <v>7.4999999999999997E-2</v>
          </cell>
          <cell r="J114">
            <v>1</v>
          </cell>
          <cell r="L114" t="str">
            <v xml:space="preserve">CE : Entry </v>
          </cell>
          <cell r="M114" t="str">
            <v xml:space="preserve"> - </v>
          </cell>
          <cell r="N114">
            <v>0.6</v>
          </cell>
          <cell r="O114">
            <v>1</v>
          </cell>
          <cell r="AA114" t="str">
            <v>Min</v>
          </cell>
          <cell r="AB114" t="str">
            <v>MSL &amp; TSL</v>
          </cell>
          <cell r="AC114" t="str">
            <v>Entry &amp; TRP</v>
          </cell>
          <cell r="AE114" t="str">
            <v xml:space="preserve">CE : Entry </v>
          </cell>
          <cell r="AF114" t="str">
            <v xml:space="preserve"> + </v>
          </cell>
          <cell r="AG114">
            <v>0.6</v>
          </cell>
          <cell r="AJ114" t="str">
            <v xml:space="preserve"> + </v>
          </cell>
          <cell r="AK114" t="str">
            <v>OPT : PRV : 2DHH</v>
          </cell>
          <cell r="AL114">
            <v>7.0000000000000007E-2</v>
          </cell>
          <cell r="AM114">
            <v>1</v>
          </cell>
          <cell r="AN114">
            <v>0</v>
          </cell>
          <cell r="AP114">
            <v>0</v>
          </cell>
          <cell r="AQ114">
            <v>0</v>
          </cell>
          <cell r="AS114">
            <v>0</v>
          </cell>
          <cell r="AT114">
            <v>0</v>
          </cell>
          <cell r="AV114">
            <v>0</v>
          </cell>
          <cell r="AW114">
            <v>0</v>
          </cell>
          <cell r="AY114">
            <v>0</v>
          </cell>
          <cell r="AZ114">
            <v>0</v>
          </cell>
          <cell r="BB114">
            <v>0</v>
          </cell>
          <cell r="BD114" t="str">
            <v xml:space="preserve">ORPT </v>
          </cell>
          <cell r="BE114">
            <v>0.38193749999999999</v>
          </cell>
          <cell r="BF114">
            <v>0.38193749999999999</v>
          </cell>
          <cell r="BG114">
            <v>0.375</v>
          </cell>
          <cell r="BI114" t="str">
            <v>Bull / 
Bull CF</v>
          </cell>
          <cell r="BJ114" t="str">
            <v>Call</v>
          </cell>
          <cell r="BK114">
            <v>7.4999999999999997E-2</v>
          </cell>
          <cell r="BL114">
            <v>7.0000000000000007E-2</v>
          </cell>
          <cell r="BN114" t="str">
            <v>Bull | 
Bull CF</v>
          </cell>
          <cell r="BO114" t="str">
            <v>Call</v>
          </cell>
          <cell r="BP114" t="str">
            <v>SPT : PRV : 3DLL</v>
          </cell>
          <cell r="BQ114" t="str">
            <v>+</v>
          </cell>
          <cell r="BR114">
            <v>0.02</v>
          </cell>
          <cell r="BS114" t="str">
            <v>Round Down</v>
          </cell>
          <cell r="BT114" t="str">
            <v>SPT : PRV : 3DLL</v>
          </cell>
          <cell r="BW114" t="str">
            <v>Round Down</v>
          </cell>
          <cell r="BX114" t="str">
            <v>-</v>
          </cell>
          <cell r="BY114">
            <v>1</v>
          </cell>
          <cell r="CE114" t="str">
            <v>SPT : PRV : 3DLL</v>
          </cell>
          <cell r="CF114">
            <v>4.0000000000000001E-3</v>
          </cell>
          <cell r="CG114" t="str">
            <v>SPT : PRV : 3DLL</v>
          </cell>
          <cell r="CH114">
            <v>2E-3</v>
          </cell>
          <cell r="CI114">
            <v>100</v>
          </cell>
          <cell r="CJ114">
            <v>1</v>
          </cell>
          <cell r="CR114">
            <v>0.02</v>
          </cell>
          <cell r="CU114">
            <v>0.6875</v>
          </cell>
        </row>
        <row r="115">
          <cell r="B115" t="str">
            <v>S19B</v>
          </cell>
          <cell r="C115" t="str">
            <v>Unique Code</v>
          </cell>
          <cell r="D115" t="str">
            <v>USDINR_OP_SELL_MT_DIFF_2D_3D</v>
          </cell>
          <cell r="F115" t="str">
            <v>Put</v>
          </cell>
          <cell r="G115" t="str">
            <v>OPT : PRV : 2DLL</v>
          </cell>
          <cell r="H115" t="str">
            <v xml:space="preserve"> - </v>
          </cell>
          <cell r="I115">
            <v>7.4999999999999997E-2</v>
          </cell>
          <cell r="J115">
            <v>1</v>
          </cell>
          <cell r="L115" t="str">
            <v xml:space="preserve">PE : Entry </v>
          </cell>
          <cell r="M115" t="str">
            <v xml:space="preserve"> - </v>
          </cell>
          <cell r="N115">
            <v>0.6</v>
          </cell>
          <cell r="O115">
            <v>1</v>
          </cell>
          <cell r="AA115" t="str">
            <v>Min</v>
          </cell>
          <cell r="AB115" t="str">
            <v>MSL &amp; TSL</v>
          </cell>
          <cell r="AC115" t="str">
            <v>Entry &amp; TRP</v>
          </cell>
          <cell r="AE115" t="str">
            <v xml:space="preserve">PE : Entry </v>
          </cell>
          <cell r="AF115" t="str">
            <v xml:space="preserve"> + </v>
          </cell>
          <cell r="AG115">
            <v>0.6</v>
          </cell>
          <cell r="AJ115" t="str">
            <v xml:space="preserve"> + </v>
          </cell>
          <cell r="AK115" t="str">
            <v>OPT : PRV : 3DHH</v>
          </cell>
          <cell r="AL115">
            <v>0.1</v>
          </cell>
          <cell r="AM115">
            <v>1</v>
          </cell>
          <cell r="AN115">
            <v>0</v>
          </cell>
          <cell r="AP115">
            <v>0</v>
          </cell>
          <cell r="AQ115">
            <v>0</v>
          </cell>
          <cell r="AS115">
            <v>0</v>
          </cell>
          <cell r="AT115">
            <v>0</v>
          </cell>
          <cell r="AV115">
            <v>0</v>
          </cell>
          <cell r="AW115">
            <v>0</v>
          </cell>
          <cell r="AY115">
            <v>0</v>
          </cell>
          <cell r="AZ115">
            <v>0</v>
          </cell>
          <cell r="BB115">
            <v>0</v>
          </cell>
          <cell r="BD115" t="str">
            <v xml:space="preserve"> RC. Time</v>
          </cell>
          <cell r="BE115">
            <v>0.38540972222222225</v>
          </cell>
          <cell r="BF115">
            <v>0.38540972222222225</v>
          </cell>
          <cell r="BG115" t="str">
            <v>N.A.</v>
          </cell>
          <cell r="BJ115" t="str">
            <v>Put</v>
          </cell>
          <cell r="BK115">
            <v>7.4999999999999997E-2</v>
          </cell>
          <cell r="BL115">
            <v>0.1</v>
          </cell>
          <cell r="BO115" t="str">
            <v>Put</v>
          </cell>
          <cell r="BP115" t="str">
            <v>SPT : PRV : 2DHH</v>
          </cell>
          <cell r="BQ115" t="str">
            <v>-</v>
          </cell>
          <cell r="BR115">
            <v>0.02</v>
          </cell>
          <cell r="BS115" t="str">
            <v>Round Up</v>
          </cell>
          <cell r="BT115" t="str">
            <v>SPT : PRV : 2DHH</v>
          </cell>
          <cell r="BW115" t="str">
            <v>Round Up</v>
          </cell>
          <cell r="BX115" t="str">
            <v>+</v>
          </cell>
          <cell r="BY115">
            <v>1</v>
          </cell>
          <cell r="CE115" t="str">
            <v>SPT : PRV : 2DHH</v>
          </cell>
          <cell r="CF115">
            <v>4.0000000000000001E-3</v>
          </cell>
          <cell r="CG115" t="str">
            <v>SPT : PRV : 2DHH</v>
          </cell>
          <cell r="CH115">
            <v>2E-3</v>
          </cell>
          <cell r="CI115">
            <v>100</v>
          </cell>
          <cell r="CJ115">
            <v>1</v>
          </cell>
          <cell r="CR115">
            <v>0.02</v>
          </cell>
        </row>
        <row r="116">
          <cell r="B116" t="str">
            <v>S19C</v>
          </cell>
          <cell r="C116" t="str">
            <v>Segment</v>
          </cell>
          <cell r="D116" t="str">
            <v>OPTIONS SELL</v>
          </cell>
          <cell r="E116" t="str">
            <v>Contract</v>
          </cell>
          <cell r="F116" t="str">
            <v>MONTHLY</v>
          </cell>
        </row>
        <row r="117">
          <cell r="B117" t="str">
            <v>S19D</v>
          </cell>
          <cell r="C117" t="str">
            <v>Symbol</v>
          </cell>
          <cell r="D117" t="str">
            <v>USDINR</v>
          </cell>
          <cell r="E117" t="str">
            <v>Bear / 
Bear CF</v>
          </cell>
          <cell r="F117" t="str">
            <v>Call</v>
          </cell>
          <cell r="G117" t="str">
            <v>OPT : PRV : 2DLL</v>
          </cell>
          <cell r="H117" t="str">
            <v xml:space="preserve"> - </v>
          </cell>
          <cell r="I117">
            <v>7.4999999999999997E-2</v>
          </cell>
          <cell r="J117">
            <v>1</v>
          </cell>
          <cell r="L117" t="str">
            <v xml:space="preserve">CE : Entry </v>
          </cell>
          <cell r="M117" t="str">
            <v xml:space="preserve"> - </v>
          </cell>
          <cell r="N117">
            <v>0.6</v>
          </cell>
          <cell r="O117">
            <v>1</v>
          </cell>
          <cell r="AA117" t="str">
            <v>Min</v>
          </cell>
          <cell r="AB117" t="str">
            <v>MSL &amp; TSL</v>
          </cell>
          <cell r="AC117" t="str">
            <v>Entry &amp; TRP</v>
          </cell>
          <cell r="AE117" t="str">
            <v xml:space="preserve">CE : Entry </v>
          </cell>
          <cell r="AF117" t="str">
            <v xml:space="preserve"> + </v>
          </cell>
          <cell r="AG117">
            <v>0.6</v>
          </cell>
          <cell r="AJ117" t="str">
            <v xml:space="preserve"> + </v>
          </cell>
          <cell r="AK117" t="str">
            <v>OPT : PRV : 3DHH</v>
          </cell>
          <cell r="AL117">
            <v>0.1</v>
          </cell>
          <cell r="AM117">
            <v>1</v>
          </cell>
          <cell r="AN117">
            <v>0</v>
          </cell>
          <cell r="AP117">
            <v>0</v>
          </cell>
          <cell r="AQ117">
            <v>0</v>
          </cell>
          <cell r="AS117">
            <v>0</v>
          </cell>
          <cell r="AT117">
            <v>0</v>
          </cell>
          <cell r="AV117">
            <v>0</v>
          </cell>
          <cell r="AW117">
            <v>0</v>
          </cell>
          <cell r="AY117">
            <v>0</v>
          </cell>
          <cell r="AZ117">
            <v>0</v>
          </cell>
          <cell r="BB117">
            <v>0</v>
          </cell>
          <cell r="BD117" t="str">
            <v>Market Start Time</v>
          </cell>
          <cell r="BE117">
            <v>0.375</v>
          </cell>
          <cell r="BI117" t="str">
            <v>Bear / 
Bear CF</v>
          </cell>
          <cell r="BJ117" t="str">
            <v>Call</v>
          </cell>
          <cell r="BK117">
            <v>7.4999999999999997E-2</v>
          </cell>
          <cell r="BL117">
            <v>0.1</v>
          </cell>
          <cell r="BN117" t="str">
            <v>Bear | 
Bear CF</v>
          </cell>
          <cell r="BO117" t="str">
            <v>Call</v>
          </cell>
          <cell r="BP117" t="str">
            <v>SPT : PRV : 2DLL</v>
          </cell>
          <cell r="BQ117" t="str">
            <v>+</v>
          </cell>
          <cell r="BR117">
            <v>0.02</v>
          </cell>
          <cell r="BS117" t="str">
            <v>Round Down</v>
          </cell>
          <cell r="BT117" t="str">
            <v>SPT : PRV : 2DLL</v>
          </cell>
          <cell r="BW117" t="str">
            <v>Round Down</v>
          </cell>
          <cell r="BX117" t="str">
            <v>-</v>
          </cell>
          <cell r="BY117">
            <v>1</v>
          </cell>
          <cell r="CE117" t="str">
            <v>SPT : PRV : 2DLL</v>
          </cell>
          <cell r="CF117">
            <v>4.0000000000000001E-3</v>
          </cell>
          <cell r="CG117" t="str">
            <v>SPT : PRV : 2DLL</v>
          </cell>
          <cell r="CH117">
            <v>2E-3</v>
          </cell>
          <cell r="CI117">
            <v>100</v>
          </cell>
          <cell r="CJ117">
            <v>1</v>
          </cell>
          <cell r="CR117">
            <v>0.02</v>
          </cell>
        </row>
        <row r="118">
          <cell r="B118" t="str">
            <v>S19E</v>
          </cell>
          <cell r="C118" t="str">
            <v>No. of Targets</v>
          </cell>
          <cell r="D118" t="str">
            <v>APS</v>
          </cell>
          <cell r="F118" t="str">
            <v>Put</v>
          </cell>
          <cell r="G118" t="str">
            <v>OPT : PRV : 3DLL</v>
          </cell>
          <cell r="H118" t="str">
            <v xml:space="preserve"> - </v>
          </cell>
          <cell r="I118">
            <v>7.4999999999999997E-2</v>
          </cell>
          <cell r="J118">
            <v>1</v>
          </cell>
          <cell r="L118" t="str">
            <v xml:space="preserve">PE : Entry </v>
          </cell>
          <cell r="M118" t="str">
            <v xml:space="preserve"> - </v>
          </cell>
          <cell r="N118">
            <v>0.6</v>
          </cell>
          <cell r="O118">
            <v>1</v>
          </cell>
          <cell r="AA118" t="str">
            <v>Min</v>
          </cell>
          <cell r="AB118" t="str">
            <v>MSL &amp; TSL</v>
          </cell>
          <cell r="AC118" t="str">
            <v>Entry &amp; TRP</v>
          </cell>
          <cell r="AE118" t="str">
            <v xml:space="preserve">PE : Entry </v>
          </cell>
          <cell r="AF118" t="str">
            <v xml:space="preserve"> + </v>
          </cell>
          <cell r="AG118">
            <v>0.6</v>
          </cell>
          <cell r="AJ118" t="str">
            <v xml:space="preserve"> + </v>
          </cell>
          <cell r="AK118" t="str">
            <v>OPT : PRV : 2DHH</v>
          </cell>
          <cell r="AL118">
            <v>7.0000000000000007E-2</v>
          </cell>
          <cell r="AM118">
            <v>1</v>
          </cell>
          <cell r="AN118">
            <v>0</v>
          </cell>
          <cell r="AP118">
            <v>0</v>
          </cell>
          <cell r="AQ118">
            <v>0</v>
          </cell>
          <cell r="AS118">
            <v>0</v>
          </cell>
          <cell r="AT118">
            <v>0</v>
          </cell>
          <cell r="AV118">
            <v>0</v>
          </cell>
          <cell r="AW118">
            <v>0</v>
          </cell>
          <cell r="AY118">
            <v>0</v>
          </cell>
          <cell r="AZ118">
            <v>0</v>
          </cell>
          <cell r="BB118">
            <v>0</v>
          </cell>
          <cell r="BD118" t="str">
            <v>Market End Time</v>
          </cell>
          <cell r="BE118">
            <v>0.70833333333333337</v>
          </cell>
          <cell r="BJ118" t="str">
            <v>Put</v>
          </cell>
          <cell r="BK118">
            <v>7.4999999999999997E-2</v>
          </cell>
          <cell r="BL118">
            <v>7.0000000000000007E-2</v>
          </cell>
          <cell r="BO118" t="str">
            <v>Put</v>
          </cell>
          <cell r="BP118" t="str">
            <v>SPT : PRV : 3DHH</v>
          </cell>
          <cell r="BQ118" t="str">
            <v>-</v>
          </cell>
          <cell r="BR118">
            <v>0.02</v>
          </cell>
          <cell r="BS118" t="str">
            <v>Round Up</v>
          </cell>
          <cell r="BT118" t="str">
            <v>SPT : PRV : 3DHH</v>
          </cell>
          <cell r="BW118" t="str">
            <v>Round Up</v>
          </cell>
          <cell r="BX118" t="str">
            <v>+</v>
          </cell>
          <cell r="BY118">
            <v>1</v>
          </cell>
          <cell r="CE118" t="str">
            <v>SPT : PRV : 3DHH</v>
          </cell>
          <cell r="CF118">
            <v>4.0000000000000001E-3</v>
          </cell>
          <cell r="CG118" t="str">
            <v>SPT : PRV : 3DHH</v>
          </cell>
          <cell r="CH118">
            <v>2E-3</v>
          </cell>
          <cell r="CI118">
            <v>100</v>
          </cell>
          <cell r="CJ118">
            <v>1</v>
          </cell>
          <cell r="CR118">
            <v>0.02</v>
          </cell>
        </row>
        <row r="120">
          <cell r="B120" t="str">
            <v>S20A</v>
          </cell>
          <cell r="C120" t="str">
            <v>Strategy Code</v>
          </cell>
          <cell r="D120" t="str">
            <v>S20</v>
          </cell>
          <cell r="E120" t="str">
            <v>Bull / 
Bull CF</v>
          </cell>
          <cell r="F120" t="str">
            <v>Call</v>
          </cell>
          <cell r="G120" t="str">
            <v>OPT : PRV : 3DLL</v>
          </cell>
          <cell r="H120" t="str">
            <v xml:space="preserve"> - </v>
          </cell>
          <cell r="I120">
            <v>7.4999999999999997E-2</v>
          </cell>
          <cell r="J120">
            <v>1</v>
          </cell>
          <cell r="L120" t="str">
            <v xml:space="preserve">CE : Entry </v>
          </cell>
          <cell r="M120" t="str">
            <v xml:space="preserve"> - </v>
          </cell>
          <cell r="N120">
            <v>0.6</v>
          </cell>
          <cell r="O120">
            <v>1</v>
          </cell>
          <cell r="AA120" t="str">
            <v>Min</v>
          </cell>
          <cell r="AB120" t="str">
            <v>MSL &amp; TSL</v>
          </cell>
          <cell r="AC120" t="str">
            <v>Entry &amp; TRP</v>
          </cell>
          <cell r="AE120" t="str">
            <v xml:space="preserve">CE : Entry </v>
          </cell>
          <cell r="AF120" t="str">
            <v xml:space="preserve"> + </v>
          </cell>
          <cell r="AG120">
            <v>0.6</v>
          </cell>
          <cell r="AH120">
            <v>0</v>
          </cell>
          <cell r="AJ120" t="str">
            <v xml:space="preserve"> + </v>
          </cell>
          <cell r="AK120" t="str">
            <v>OPT : PRV : 2DHH</v>
          </cell>
          <cell r="AL120">
            <v>7.0000000000000007E-2</v>
          </cell>
          <cell r="AM120">
            <v>1</v>
          </cell>
          <cell r="AN120">
            <v>0</v>
          </cell>
          <cell r="AP120">
            <v>0</v>
          </cell>
          <cell r="AQ120">
            <v>0</v>
          </cell>
          <cell r="AS120">
            <v>0</v>
          </cell>
          <cell r="AT120">
            <v>0</v>
          </cell>
          <cell r="AV120">
            <v>0</v>
          </cell>
          <cell r="AW120">
            <v>0</v>
          </cell>
          <cell r="AY120">
            <v>0</v>
          </cell>
          <cell r="AZ120">
            <v>0</v>
          </cell>
          <cell r="BB120">
            <v>0</v>
          </cell>
          <cell r="BD120" t="str">
            <v xml:space="preserve">ORPT </v>
          </cell>
          <cell r="BE120">
            <v>0.39235416666666667</v>
          </cell>
          <cell r="BF120">
            <v>0.39235416666666667</v>
          </cell>
          <cell r="BG120">
            <v>0.38541666666666669</v>
          </cell>
          <cell r="BI120" t="str">
            <v>Bull / 
Bull CF</v>
          </cell>
          <cell r="BJ120" t="str">
            <v>Call</v>
          </cell>
          <cell r="BK120">
            <v>7.4999999999999997E-2</v>
          </cell>
          <cell r="BL120">
            <v>7.0000000000000007E-2</v>
          </cell>
          <cell r="BN120" t="str">
            <v>Bull | 
Bull CF</v>
          </cell>
          <cell r="BO120" t="str">
            <v>Call</v>
          </cell>
          <cell r="BP120" t="str">
            <v>SPT : PRV : 3DLL</v>
          </cell>
          <cell r="BQ120" t="str">
            <v>+</v>
          </cell>
          <cell r="BR120">
            <v>0.05</v>
          </cell>
          <cell r="BS120" t="str">
            <v>Round Down</v>
          </cell>
          <cell r="BT120" t="str">
            <v>SPT : PRV : 3DLL</v>
          </cell>
          <cell r="BW120" t="str">
            <v>Round Down</v>
          </cell>
          <cell r="BX120" t="str">
            <v>-</v>
          </cell>
          <cell r="BY120">
            <v>1</v>
          </cell>
          <cell r="CE120" t="str">
            <v>SPT : PRV : 3DLL</v>
          </cell>
          <cell r="CF120">
            <v>1.4999999999999999E-2</v>
          </cell>
          <cell r="CG120" t="str">
            <v>SPT : PRV : 3DLL</v>
          </cell>
          <cell r="CH120">
            <v>1.0999999999999999E-2</v>
          </cell>
          <cell r="CI120">
            <v>500</v>
          </cell>
          <cell r="CJ120">
            <v>1</v>
          </cell>
          <cell r="CR120">
            <v>0.05</v>
          </cell>
          <cell r="CU120">
            <v>0.625</v>
          </cell>
        </row>
        <row r="121">
          <cell r="B121" t="str">
            <v>S20B</v>
          </cell>
          <cell r="C121" t="str">
            <v>Unique Code</v>
          </cell>
          <cell r="D121" t="str">
            <v>BANKNIFTY_OP_SELL_WK_DIFF_2D_3D</v>
          </cell>
          <cell r="F121" t="str">
            <v>Put</v>
          </cell>
          <cell r="G121" t="str">
            <v>OPT : PRV : 2DLL</v>
          </cell>
          <cell r="H121" t="str">
            <v xml:space="preserve"> - </v>
          </cell>
          <cell r="I121">
            <v>7.4999999999999997E-2</v>
          </cell>
          <cell r="J121">
            <v>1</v>
          </cell>
          <cell r="L121" t="str">
            <v xml:space="preserve">PE : Entry </v>
          </cell>
          <cell r="M121" t="str">
            <v xml:space="preserve"> - </v>
          </cell>
          <cell r="N121">
            <v>0.6</v>
          </cell>
          <cell r="O121">
            <v>1</v>
          </cell>
          <cell r="AA121" t="str">
            <v>Min</v>
          </cell>
          <cell r="AB121" t="str">
            <v>MSL &amp; TSL</v>
          </cell>
          <cell r="AC121" t="str">
            <v>Entry &amp; TRP</v>
          </cell>
          <cell r="AE121" t="str">
            <v xml:space="preserve">PE : Entry </v>
          </cell>
          <cell r="AF121" t="str">
            <v xml:space="preserve"> + </v>
          </cell>
          <cell r="AG121">
            <v>0.6</v>
          </cell>
          <cell r="AH121">
            <v>0</v>
          </cell>
          <cell r="AJ121" t="str">
            <v xml:space="preserve"> + </v>
          </cell>
          <cell r="AK121" t="str">
            <v>OPT : PRV : 3DHH</v>
          </cell>
          <cell r="AL121">
            <v>0.1</v>
          </cell>
          <cell r="AM121">
            <v>1</v>
          </cell>
          <cell r="AN121">
            <v>0</v>
          </cell>
          <cell r="AP121">
            <v>0</v>
          </cell>
          <cell r="AQ121">
            <v>0</v>
          </cell>
          <cell r="AS121">
            <v>0</v>
          </cell>
          <cell r="AT121">
            <v>0</v>
          </cell>
          <cell r="AV121">
            <v>0</v>
          </cell>
          <cell r="AW121">
            <v>0</v>
          </cell>
          <cell r="AY121">
            <v>0</v>
          </cell>
          <cell r="AZ121">
            <v>0</v>
          </cell>
          <cell r="BB121">
            <v>0</v>
          </cell>
          <cell r="BD121" t="str">
            <v xml:space="preserve"> RC. Time</v>
          </cell>
          <cell r="BE121">
            <v>0.39582638888888888</v>
          </cell>
          <cell r="BF121">
            <v>0.39582638888888888</v>
          </cell>
          <cell r="BG121" t="str">
            <v>N.A.</v>
          </cell>
          <cell r="BJ121" t="str">
            <v>Put</v>
          </cell>
          <cell r="BK121">
            <v>7.4999999999999997E-2</v>
          </cell>
          <cell r="BL121">
            <v>0.1</v>
          </cell>
          <cell r="BO121" t="str">
            <v>Put</v>
          </cell>
          <cell r="BP121" t="str">
            <v>SPT : PRV : 2DHH</v>
          </cell>
          <cell r="BQ121" t="str">
            <v>-</v>
          </cell>
          <cell r="BR121">
            <v>0.05</v>
          </cell>
          <cell r="BS121" t="str">
            <v>Round Up</v>
          </cell>
          <cell r="BT121" t="str">
            <v>SPT : PRV : 2DHH</v>
          </cell>
          <cell r="BW121" t="str">
            <v>Round Up</v>
          </cell>
          <cell r="BX121" t="str">
            <v>+</v>
          </cell>
          <cell r="BY121">
            <v>1</v>
          </cell>
          <cell r="CE121" t="str">
            <v>SPT : PRV : 2DHH</v>
          </cell>
          <cell r="CF121">
            <v>1.4999999999999999E-2</v>
          </cell>
          <cell r="CG121" t="str">
            <v>SPT : PRV : 2DHH</v>
          </cell>
          <cell r="CH121">
            <v>1.0999999999999999E-2</v>
          </cell>
          <cell r="CI121">
            <v>500</v>
          </cell>
          <cell r="CJ121">
            <v>1</v>
          </cell>
          <cell r="CR121">
            <v>0.05</v>
          </cell>
        </row>
        <row r="122">
          <cell r="B122" t="str">
            <v>S20C</v>
          </cell>
          <cell r="C122" t="str">
            <v>Segment</v>
          </cell>
          <cell r="D122" t="str">
            <v>OPTIONS SELL</v>
          </cell>
          <cell r="E122" t="str">
            <v>Contract</v>
          </cell>
          <cell r="F122" t="str">
            <v>WEEKLY</v>
          </cell>
        </row>
        <row r="123">
          <cell r="B123" t="str">
            <v>S20D</v>
          </cell>
          <cell r="C123" t="str">
            <v>Symbol</v>
          </cell>
          <cell r="D123" t="str">
            <v>BANKNIFTY</v>
          </cell>
          <cell r="E123" t="str">
            <v>Bear / 
Bear CF</v>
          </cell>
          <cell r="F123" t="str">
            <v>Call</v>
          </cell>
          <cell r="G123" t="str">
            <v>OPT : PRV : 2DLL</v>
          </cell>
          <cell r="H123" t="str">
            <v xml:space="preserve"> - </v>
          </cell>
          <cell r="I123">
            <v>7.4999999999999997E-2</v>
          </cell>
          <cell r="J123">
            <v>1</v>
          </cell>
          <cell r="L123" t="str">
            <v xml:space="preserve">CE : Entry </v>
          </cell>
          <cell r="M123" t="str">
            <v xml:space="preserve"> - </v>
          </cell>
          <cell r="N123">
            <v>0.6</v>
          </cell>
          <cell r="O123">
            <v>1</v>
          </cell>
          <cell r="AA123" t="str">
            <v>Min</v>
          </cell>
          <cell r="AB123" t="str">
            <v>MSL &amp; TSL</v>
          </cell>
          <cell r="AC123" t="str">
            <v>Entry &amp; TRP</v>
          </cell>
          <cell r="AE123" t="str">
            <v xml:space="preserve">CE : Entry </v>
          </cell>
          <cell r="AF123" t="str">
            <v xml:space="preserve"> + </v>
          </cell>
          <cell r="AG123">
            <v>0.6</v>
          </cell>
          <cell r="AH123">
            <v>0</v>
          </cell>
          <cell r="AJ123" t="str">
            <v xml:space="preserve"> + </v>
          </cell>
          <cell r="AK123" t="str">
            <v>OPT : PRV : 3DHH</v>
          </cell>
          <cell r="AL123">
            <v>0.1</v>
          </cell>
          <cell r="AM123">
            <v>1</v>
          </cell>
          <cell r="AN123">
            <v>0</v>
          </cell>
          <cell r="AP123">
            <v>0</v>
          </cell>
          <cell r="AQ123">
            <v>0</v>
          </cell>
          <cell r="AS123">
            <v>0</v>
          </cell>
          <cell r="AT123">
            <v>0</v>
          </cell>
          <cell r="AV123">
            <v>0</v>
          </cell>
          <cell r="AW123">
            <v>0</v>
          </cell>
          <cell r="AY123">
            <v>0</v>
          </cell>
          <cell r="AZ123">
            <v>0</v>
          </cell>
          <cell r="BB123">
            <v>0</v>
          </cell>
          <cell r="BD123" t="str">
            <v>Market Start Time</v>
          </cell>
          <cell r="BE123">
            <v>0.38541666666666669</v>
          </cell>
          <cell r="BI123" t="str">
            <v>Bear / 
Bear CF</v>
          </cell>
          <cell r="BJ123" t="str">
            <v>Call</v>
          </cell>
          <cell r="BK123">
            <v>7.4999999999999997E-2</v>
          </cell>
          <cell r="BL123">
            <v>0.1</v>
          </cell>
          <cell r="BN123" t="str">
            <v>Bear | 
Bear CF</v>
          </cell>
          <cell r="BO123" t="str">
            <v>Call</v>
          </cell>
          <cell r="BP123" t="str">
            <v>SPT : PRV : 2DLL</v>
          </cell>
          <cell r="BQ123" t="str">
            <v>+</v>
          </cell>
          <cell r="BR123">
            <v>0.05</v>
          </cell>
          <cell r="BS123" t="str">
            <v>Round Down</v>
          </cell>
          <cell r="BT123" t="str">
            <v>SPT : PRV : 2DLL</v>
          </cell>
          <cell r="BW123" t="str">
            <v>Round Down</v>
          </cell>
          <cell r="BX123" t="str">
            <v>-</v>
          </cell>
          <cell r="BY123">
            <v>1</v>
          </cell>
          <cell r="CE123" t="str">
            <v>SPT : PRV : 2DLL</v>
          </cell>
          <cell r="CF123">
            <v>1.4999999999999999E-2</v>
          </cell>
          <cell r="CG123" t="str">
            <v>SPT : PRV : 2DLL</v>
          </cell>
          <cell r="CH123">
            <v>1.0999999999999999E-2</v>
          </cell>
          <cell r="CI123">
            <v>500</v>
          </cell>
          <cell r="CJ123">
            <v>1</v>
          </cell>
          <cell r="CR123">
            <v>0.05</v>
          </cell>
        </row>
        <row r="124">
          <cell r="B124" t="str">
            <v>S20E</v>
          </cell>
          <cell r="C124" t="str">
            <v>Contract</v>
          </cell>
          <cell r="D124" t="str">
            <v>APS</v>
          </cell>
          <cell r="F124" t="str">
            <v>Put</v>
          </cell>
          <cell r="G124" t="str">
            <v>OPT : PRV : 3DLL</v>
          </cell>
          <cell r="H124" t="str">
            <v xml:space="preserve"> - </v>
          </cell>
          <cell r="I124">
            <v>7.4999999999999997E-2</v>
          </cell>
          <cell r="J124">
            <v>1</v>
          </cell>
          <cell r="L124" t="str">
            <v xml:space="preserve">PE : Entry </v>
          </cell>
          <cell r="M124" t="str">
            <v xml:space="preserve"> - </v>
          </cell>
          <cell r="N124">
            <v>0.6</v>
          </cell>
          <cell r="O124">
            <v>1</v>
          </cell>
          <cell r="AA124" t="str">
            <v>Min</v>
          </cell>
          <cell r="AB124" t="str">
            <v>MSL &amp; TSL</v>
          </cell>
          <cell r="AC124" t="str">
            <v>Entry &amp; TRP</v>
          </cell>
          <cell r="AE124" t="str">
            <v xml:space="preserve">PE : Entry </v>
          </cell>
          <cell r="AF124" t="str">
            <v xml:space="preserve"> + </v>
          </cell>
          <cell r="AG124">
            <v>0.6</v>
          </cell>
          <cell r="AH124">
            <v>0</v>
          </cell>
          <cell r="AJ124" t="str">
            <v xml:space="preserve"> + </v>
          </cell>
          <cell r="AK124" t="str">
            <v>OPT : PRV : 2DHH</v>
          </cell>
          <cell r="AL124">
            <v>7.0000000000000007E-2</v>
          </cell>
          <cell r="AM124">
            <v>1</v>
          </cell>
          <cell r="AN124">
            <v>0</v>
          </cell>
          <cell r="AP124">
            <v>0</v>
          </cell>
          <cell r="AQ124">
            <v>0</v>
          </cell>
          <cell r="AS124">
            <v>0</v>
          </cell>
          <cell r="AT124">
            <v>0</v>
          </cell>
          <cell r="AV124">
            <v>0</v>
          </cell>
          <cell r="AW124">
            <v>0</v>
          </cell>
          <cell r="AY124">
            <v>0</v>
          </cell>
          <cell r="AZ124">
            <v>0</v>
          </cell>
          <cell r="BB124">
            <v>0</v>
          </cell>
          <cell r="BD124" t="str">
            <v>Market End Time</v>
          </cell>
          <cell r="BE124">
            <v>0.64583333333333337</v>
          </cell>
          <cell r="BJ124" t="str">
            <v>Put</v>
          </cell>
          <cell r="BK124">
            <v>7.4999999999999997E-2</v>
          </cell>
          <cell r="BL124">
            <v>7.0000000000000007E-2</v>
          </cell>
          <cell r="BO124" t="str">
            <v>Put</v>
          </cell>
          <cell r="BP124" t="str">
            <v>SPT : PRV : 3DHH</v>
          </cell>
          <cell r="BQ124" t="str">
            <v>-</v>
          </cell>
          <cell r="BR124">
            <v>0.05</v>
          </cell>
          <cell r="BS124" t="str">
            <v>Round Up</v>
          </cell>
          <cell r="BT124" t="str">
            <v>SPT : PRV : 3DHH</v>
          </cell>
          <cell r="BW124" t="str">
            <v>Round Up</v>
          </cell>
          <cell r="BX124" t="str">
            <v>+</v>
          </cell>
          <cell r="BY124">
            <v>1</v>
          </cell>
          <cell r="CE124" t="str">
            <v>SPT : PRV : 3DHH</v>
          </cell>
          <cell r="CF124">
            <v>1.4999999999999999E-2</v>
          </cell>
          <cell r="CG124" t="str">
            <v>SPT : PRV : 3DHH</v>
          </cell>
          <cell r="CH124">
            <v>1.0999999999999999E-2</v>
          </cell>
          <cell r="CI124">
            <v>500</v>
          </cell>
          <cell r="CJ124">
            <v>1</v>
          </cell>
          <cell r="CR124">
            <v>0.05</v>
          </cell>
        </row>
        <row r="126">
          <cell r="B126" t="str">
            <v>S21A</v>
          </cell>
          <cell r="C126" t="str">
            <v>Strategy Code</v>
          </cell>
          <cell r="D126" t="str">
            <v>S21</v>
          </cell>
          <cell r="E126" t="str">
            <v>Bull / 
Bull CF</v>
          </cell>
          <cell r="F126" t="str">
            <v>Call</v>
          </cell>
          <cell r="G126" t="str">
            <v>OPT : PRV : 3DLL</v>
          </cell>
          <cell r="H126" t="str">
            <v xml:space="preserve"> - </v>
          </cell>
          <cell r="I126">
            <v>7.4999999999999997E-2</v>
          </cell>
          <cell r="J126">
            <v>1</v>
          </cell>
          <cell r="L126" t="str">
            <v xml:space="preserve">CE : Entry </v>
          </cell>
          <cell r="M126" t="str">
            <v xml:space="preserve"> - </v>
          </cell>
          <cell r="N126">
            <v>0.6</v>
          </cell>
          <cell r="O126">
            <v>1</v>
          </cell>
          <cell r="AA126" t="str">
            <v>Min</v>
          </cell>
          <cell r="AB126" t="str">
            <v>MSL &amp; TSL</v>
          </cell>
          <cell r="AC126" t="str">
            <v>Entry &amp; TRP</v>
          </cell>
          <cell r="AE126" t="str">
            <v xml:space="preserve">CE : Entry </v>
          </cell>
          <cell r="AF126" t="str">
            <v xml:space="preserve"> + </v>
          </cell>
          <cell r="AG126">
            <v>0.6</v>
          </cell>
          <cell r="AH126">
            <v>0</v>
          </cell>
          <cell r="AJ126" t="str">
            <v xml:space="preserve"> + </v>
          </cell>
          <cell r="AK126" t="str">
            <v>OPT : PRV : 2DHH</v>
          </cell>
          <cell r="AL126">
            <v>7.0000000000000007E-2</v>
          </cell>
          <cell r="AM126">
            <v>1</v>
          </cell>
          <cell r="AN126">
            <v>0</v>
          </cell>
          <cell r="AP126">
            <v>0</v>
          </cell>
          <cell r="AQ126">
            <v>0</v>
          </cell>
          <cell r="AS126">
            <v>0</v>
          </cell>
          <cell r="AT126">
            <v>0</v>
          </cell>
          <cell r="AV126">
            <v>0</v>
          </cell>
          <cell r="AW126">
            <v>0</v>
          </cell>
          <cell r="AY126">
            <v>0</v>
          </cell>
          <cell r="AZ126">
            <v>0</v>
          </cell>
          <cell r="BB126">
            <v>0</v>
          </cell>
          <cell r="BD126" t="str">
            <v xml:space="preserve">ORPT </v>
          </cell>
          <cell r="BE126">
            <v>0.39235416666666667</v>
          </cell>
          <cell r="BF126">
            <v>0.39235416666666667</v>
          </cell>
          <cell r="BG126">
            <v>0.38541666666666669</v>
          </cell>
          <cell r="BI126" t="str">
            <v>Bull / 
Bull CF</v>
          </cell>
          <cell r="BJ126" t="str">
            <v>Call</v>
          </cell>
          <cell r="BK126">
            <v>7.4999999999999997E-2</v>
          </cell>
          <cell r="BL126">
            <v>7.0000000000000007E-2</v>
          </cell>
          <cell r="BN126" t="str">
            <v>Bull | 
Bull CF</v>
          </cell>
          <cell r="BO126" t="str">
            <v>Call</v>
          </cell>
          <cell r="BP126" t="str">
            <v>SPT : PRV : 3DLL</v>
          </cell>
          <cell r="BQ126" t="str">
            <v>+</v>
          </cell>
          <cell r="BR126">
            <v>0.05</v>
          </cell>
          <cell r="BS126" t="str">
            <v>Round Down</v>
          </cell>
          <cell r="BT126" t="str">
            <v>SPT : PRV : 3DLL</v>
          </cell>
          <cell r="BW126" t="str">
            <v>Round Down</v>
          </cell>
          <cell r="BX126" t="str">
            <v>-</v>
          </cell>
          <cell r="BY126">
            <v>1</v>
          </cell>
          <cell r="CE126" t="str">
            <v>SPT : PRV : 3DLL</v>
          </cell>
          <cell r="CF126">
            <v>0.02</v>
          </cell>
          <cell r="CG126" t="str">
            <v>SPT : PRV : 3DLL</v>
          </cell>
          <cell r="CH126">
            <v>1.4999999999999999E-2</v>
          </cell>
          <cell r="CI126">
            <v>500</v>
          </cell>
          <cell r="CJ126">
            <v>1</v>
          </cell>
          <cell r="CR126">
            <v>0.05</v>
          </cell>
          <cell r="CU126">
            <v>0.625</v>
          </cell>
        </row>
        <row r="127">
          <cell r="B127" t="str">
            <v>S21B</v>
          </cell>
          <cell r="C127" t="str">
            <v>Unique Code</v>
          </cell>
          <cell r="D127" t="str">
            <v>BANKNIFTY_OP_SELL_MT_DIFF_2D_3D</v>
          </cell>
          <cell r="F127" t="str">
            <v>Put</v>
          </cell>
          <cell r="G127" t="str">
            <v>OPT : PRV : 2DLL</v>
          </cell>
          <cell r="H127" t="str">
            <v xml:space="preserve"> - </v>
          </cell>
          <cell r="I127">
            <v>7.4999999999999997E-2</v>
          </cell>
          <cell r="J127">
            <v>1</v>
          </cell>
          <cell r="L127" t="str">
            <v xml:space="preserve">PE : Entry </v>
          </cell>
          <cell r="M127" t="str">
            <v xml:space="preserve"> - </v>
          </cell>
          <cell r="N127">
            <v>0.6</v>
          </cell>
          <cell r="O127">
            <v>1</v>
          </cell>
          <cell r="AA127" t="str">
            <v>Min</v>
          </cell>
          <cell r="AB127" t="str">
            <v>MSL &amp; TSL</v>
          </cell>
          <cell r="AC127" t="str">
            <v>Entry &amp; TRP</v>
          </cell>
          <cell r="AE127" t="str">
            <v xml:space="preserve">PE : Entry </v>
          </cell>
          <cell r="AF127" t="str">
            <v xml:space="preserve"> + </v>
          </cell>
          <cell r="AG127">
            <v>0.6</v>
          </cell>
          <cell r="AH127">
            <v>0</v>
          </cell>
          <cell r="AJ127" t="str">
            <v xml:space="preserve"> + </v>
          </cell>
          <cell r="AK127" t="str">
            <v>OPT : PRV : 3DHH</v>
          </cell>
          <cell r="AL127">
            <v>0.1</v>
          </cell>
          <cell r="AM127">
            <v>1</v>
          </cell>
          <cell r="AN127">
            <v>0</v>
          </cell>
          <cell r="AP127">
            <v>0</v>
          </cell>
          <cell r="AQ127">
            <v>0</v>
          </cell>
          <cell r="AS127">
            <v>0</v>
          </cell>
          <cell r="AT127">
            <v>0</v>
          </cell>
          <cell r="AV127">
            <v>0</v>
          </cell>
          <cell r="AW127">
            <v>0</v>
          </cell>
          <cell r="AY127">
            <v>0</v>
          </cell>
          <cell r="AZ127">
            <v>0</v>
          </cell>
          <cell r="BB127">
            <v>0</v>
          </cell>
          <cell r="BD127" t="str">
            <v xml:space="preserve"> RC. Time</v>
          </cell>
          <cell r="BE127">
            <v>0.39582638888888888</v>
          </cell>
          <cell r="BF127">
            <v>0.39582638888888888</v>
          </cell>
          <cell r="BG127" t="str">
            <v>N.A.</v>
          </cell>
          <cell r="BJ127" t="str">
            <v>Put</v>
          </cell>
          <cell r="BK127">
            <v>7.4999999999999997E-2</v>
          </cell>
          <cell r="BL127">
            <v>0.1</v>
          </cell>
          <cell r="BO127" t="str">
            <v>Put</v>
          </cell>
          <cell r="BP127" t="str">
            <v>SPT : PRV : 2DHH</v>
          </cell>
          <cell r="BQ127" t="str">
            <v>-</v>
          </cell>
          <cell r="BR127">
            <v>0.05</v>
          </cell>
          <cell r="BS127" t="str">
            <v>Round Up</v>
          </cell>
          <cell r="BT127" t="str">
            <v>SPT : PRV : 2DHH</v>
          </cell>
          <cell r="BW127" t="str">
            <v>Round Up</v>
          </cell>
          <cell r="BX127" t="str">
            <v>+</v>
          </cell>
          <cell r="BY127">
            <v>1</v>
          </cell>
          <cell r="CE127" t="str">
            <v>SPT : PRV : 2DHH</v>
          </cell>
          <cell r="CF127">
            <v>0.02</v>
          </cell>
          <cell r="CG127" t="str">
            <v>SPT : PRV : 2DHH</v>
          </cell>
          <cell r="CH127">
            <v>1.4999999999999999E-2</v>
          </cell>
          <cell r="CI127">
            <v>500</v>
          </cell>
          <cell r="CJ127">
            <v>1</v>
          </cell>
          <cell r="CR127">
            <v>0.05</v>
          </cell>
        </row>
        <row r="128">
          <cell r="B128" t="str">
            <v>S21C</v>
          </cell>
          <cell r="C128" t="str">
            <v>Segment</v>
          </cell>
          <cell r="D128" t="str">
            <v>OPTIONS SELL</v>
          </cell>
          <cell r="E128" t="str">
            <v>Contract</v>
          </cell>
          <cell r="F128" t="str">
            <v>MONTHLY</v>
          </cell>
        </row>
        <row r="129">
          <cell r="B129" t="str">
            <v>S21D</v>
          </cell>
          <cell r="C129" t="str">
            <v>Symbol</v>
          </cell>
          <cell r="D129" t="str">
            <v>BANKNIFTY</v>
          </cell>
          <cell r="E129" t="str">
            <v>Bear / 
Bear CF</v>
          </cell>
          <cell r="F129" t="str">
            <v>Call</v>
          </cell>
          <cell r="G129" t="str">
            <v>OPT : PRV : 2DLL</v>
          </cell>
          <cell r="H129" t="str">
            <v xml:space="preserve"> - </v>
          </cell>
          <cell r="I129">
            <v>7.4999999999999997E-2</v>
          </cell>
          <cell r="J129">
            <v>1</v>
          </cell>
          <cell r="L129" t="str">
            <v xml:space="preserve">CE : Entry </v>
          </cell>
          <cell r="M129" t="str">
            <v xml:space="preserve"> - </v>
          </cell>
          <cell r="N129">
            <v>0.6</v>
          </cell>
          <cell r="O129">
            <v>1</v>
          </cell>
          <cell r="AA129" t="str">
            <v>Min</v>
          </cell>
          <cell r="AB129" t="str">
            <v>MSL &amp; TSL</v>
          </cell>
          <cell r="AC129" t="str">
            <v>Entry &amp; TRP</v>
          </cell>
          <cell r="AE129" t="str">
            <v xml:space="preserve">CE : Entry </v>
          </cell>
          <cell r="AF129" t="str">
            <v xml:space="preserve"> + </v>
          </cell>
          <cell r="AG129">
            <v>0.6</v>
          </cell>
          <cell r="AH129">
            <v>0</v>
          </cell>
          <cell r="AJ129" t="str">
            <v xml:space="preserve"> + </v>
          </cell>
          <cell r="AK129" t="str">
            <v>OPT : PRV : 3DHH</v>
          </cell>
          <cell r="AL129">
            <v>0.1</v>
          </cell>
          <cell r="AM129">
            <v>1</v>
          </cell>
          <cell r="AN129">
            <v>0</v>
          </cell>
          <cell r="AP129">
            <v>0</v>
          </cell>
          <cell r="AQ129">
            <v>0</v>
          </cell>
          <cell r="AS129">
            <v>0</v>
          </cell>
          <cell r="AT129">
            <v>0</v>
          </cell>
          <cell r="AV129">
            <v>0</v>
          </cell>
          <cell r="AW129">
            <v>0</v>
          </cell>
          <cell r="AY129">
            <v>0</v>
          </cell>
          <cell r="AZ129">
            <v>0</v>
          </cell>
          <cell r="BB129">
            <v>0</v>
          </cell>
          <cell r="BD129" t="str">
            <v>Market Start Time</v>
          </cell>
          <cell r="BE129">
            <v>0.38541666666666669</v>
          </cell>
          <cell r="BI129" t="str">
            <v>Bear / 
Bear CF</v>
          </cell>
          <cell r="BJ129" t="str">
            <v>Call</v>
          </cell>
          <cell r="BK129">
            <v>7.4999999999999997E-2</v>
          </cell>
          <cell r="BL129">
            <v>0.1</v>
          </cell>
          <cell r="BN129" t="str">
            <v>Bear | 
Bear CF</v>
          </cell>
          <cell r="BO129" t="str">
            <v>Call</v>
          </cell>
          <cell r="BP129" t="str">
            <v>SPT : PRV : 2DLL</v>
          </cell>
          <cell r="BQ129" t="str">
            <v>+</v>
          </cell>
          <cell r="BR129">
            <v>0.05</v>
          </cell>
          <cell r="BS129" t="str">
            <v>Round Down</v>
          </cell>
          <cell r="BT129" t="str">
            <v>SPT : PRV : 2DLL</v>
          </cell>
          <cell r="BW129" t="str">
            <v>Round Down</v>
          </cell>
          <cell r="BX129" t="str">
            <v>-</v>
          </cell>
          <cell r="BY129">
            <v>1</v>
          </cell>
          <cell r="CE129" t="str">
            <v>SPT : PRV : 2DLL</v>
          </cell>
          <cell r="CF129">
            <v>0.02</v>
          </cell>
          <cell r="CG129" t="str">
            <v>SPT : PRV : 2DLL</v>
          </cell>
          <cell r="CH129">
            <v>1.4999999999999999E-2</v>
          </cell>
          <cell r="CI129">
            <v>500</v>
          </cell>
          <cell r="CJ129">
            <v>1</v>
          </cell>
          <cell r="CR129">
            <v>0.05</v>
          </cell>
        </row>
        <row r="130">
          <cell r="B130" t="str">
            <v>S21E</v>
          </cell>
          <cell r="C130" t="str">
            <v>No. of Targets</v>
          </cell>
          <cell r="D130" t="str">
            <v>APS</v>
          </cell>
          <cell r="F130" t="str">
            <v>Put</v>
          </cell>
          <cell r="G130" t="str">
            <v>OPT : PRV : 3DLL</v>
          </cell>
          <cell r="H130" t="str">
            <v xml:space="preserve"> - </v>
          </cell>
          <cell r="I130">
            <v>7.4999999999999997E-2</v>
          </cell>
          <cell r="J130">
            <v>1</v>
          </cell>
          <cell r="L130" t="str">
            <v xml:space="preserve">PE : Entry </v>
          </cell>
          <cell r="M130" t="str">
            <v xml:space="preserve"> - </v>
          </cell>
          <cell r="N130">
            <v>0.6</v>
          </cell>
          <cell r="O130">
            <v>1</v>
          </cell>
          <cell r="AA130" t="str">
            <v>Min</v>
          </cell>
          <cell r="AB130" t="str">
            <v>MSL &amp; TSL</v>
          </cell>
          <cell r="AC130" t="str">
            <v>Entry &amp; TRP</v>
          </cell>
          <cell r="AE130" t="str">
            <v xml:space="preserve">PE : Entry </v>
          </cell>
          <cell r="AF130" t="str">
            <v xml:space="preserve"> + </v>
          </cell>
          <cell r="AG130">
            <v>0.6</v>
          </cell>
          <cell r="AH130">
            <v>0</v>
          </cell>
          <cell r="AJ130" t="str">
            <v xml:space="preserve"> + </v>
          </cell>
          <cell r="AK130" t="str">
            <v>OPT : PRV : 2DHH</v>
          </cell>
          <cell r="AL130">
            <v>7.0000000000000007E-2</v>
          </cell>
          <cell r="AM130">
            <v>1</v>
          </cell>
          <cell r="AN130">
            <v>0</v>
          </cell>
          <cell r="AP130">
            <v>0</v>
          </cell>
          <cell r="AQ130">
            <v>0</v>
          </cell>
          <cell r="AS130">
            <v>0</v>
          </cell>
          <cell r="AT130">
            <v>0</v>
          </cell>
          <cell r="AV130">
            <v>0</v>
          </cell>
          <cell r="AW130">
            <v>0</v>
          </cell>
          <cell r="AY130">
            <v>0</v>
          </cell>
          <cell r="AZ130">
            <v>0</v>
          </cell>
          <cell r="BB130">
            <v>0</v>
          </cell>
          <cell r="BD130" t="str">
            <v>Market End Time</v>
          </cell>
          <cell r="BE130">
            <v>0.64583333333333337</v>
          </cell>
          <cell r="BJ130" t="str">
            <v>Put</v>
          </cell>
          <cell r="BK130">
            <v>7.4999999999999997E-2</v>
          </cell>
          <cell r="BL130">
            <v>7.0000000000000007E-2</v>
          </cell>
          <cell r="BO130" t="str">
            <v>Put</v>
          </cell>
          <cell r="BP130" t="str">
            <v>SPT : PRV : 3DHH</v>
          </cell>
          <cell r="BQ130" t="str">
            <v>-</v>
          </cell>
          <cell r="BR130">
            <v>0.05</v>
          </cell>
          <cell r="BS130" t="str">
            <v>Round Up</v>
          </cell>
          <cell r="BT130" t="str">
            <v>SPT : PRV : 3DHH</v>
          </cell>
          <cell r="BW130" t="str">
            <v>Round Up</v>
          </cell>
          <cell r="BX130" t="str">
            <v>+</v>
          </cell>
          <cell r="BY130">
            <v>1</v>
          </cell>
          <cell r="CE130" t="str">
            <v>SPT : PRV : 3DHH</v>
          </cell>
          <cell r="CF130">
            <v>0.02</v>
          </cell>
          <cell r="CG130" t="str">
            <v>SPT : PRV : 3DHH</v>
          </cell>
          <cell r="CH130">
            <v>1.4999999999999999E-2</v>
          </cell>
          <cell r="CI130">
            <v>500</v>
          </cell>
          <cell r="CJ130">
            <v>1</v>
          </cell>
          <cell r="CR130">
            <v>0.05</v>
          </cell>
        </row>
        <row r="132">
          <cell r="B132" t="str">
            <v>S22A</v>
          </cell>
          <cell r="C132" t="str">
            <v>Strategy Code</v>
          </cell>
          <cell r="D132" t="str">
            <v>S22</v>
          </cell>
          <cell r="E132" t="str">
            <v>Bull / 
Bull CF</v>
          </cell>
          <cell r="F132" t="str">
            <v>Call</v>
          </cell>
          <cell r="G132" t="str">
            <v>OPT : PRV : 4DLL</v>
          </cell>
          <cell r="H132" t="str">
            <v xml:space="preserve"> - </v>
          </cell>
          <cell r="I132">
            <v>0.1</v>
          </cell>
          <cell r="J132">
            <v>1</v>
          </cell>
          <cell r="L132" t="str">
            <v xml:space="preserve">CE : Entry </v>
          </cell>
          <cell r="M132" t="str">
            <v xml:space="preserve"> - </v>
          </cell>
          <cell r="N132">
            <v>0.6</v>
          </cell>
          <cell r="O132">
            <v>1</v>
          </cell>
          <cell r="AA132" t="str">
            <v>Min</v>
          </cell>
          <cell r="AB132" t="str">
            <v>MSL &amp; TSL</v>
          </cell>
          <cell r="AC132" t="str">
            <v>Entry &amp; TRP</v>
          </cell>
          <cell r="AE132" t="str">
            <v xml:space="preserve">CE : Entry </v>
          </cell>
          <cell r="AF132" t="str">
            <v xml:space="preserve"> + </v>
          </cell>
          <cell r="AG132">
            <v>0.6</v>
          </cell>
          <cell r="AH132">
            <v>0</v>
          </cell>
          <cell r="AJ132" t="str">
            <v xml:space="preserve"> + </v>
          </cell>
          <cell r="AK132" t="str">
            <v>OPT : PRV : 2DHH</v>
          </cell>
          <cell r="AL132">
            <v>7.0000000000000007E-2</v>
          </cell>
          <cell r="AM132">
            <v>1</v>
          </cell>
          <cell r="AN132">
            <v>0</v>
          </cell>
          <cell r="AP132">
            <v>0</v>
          </cell>
          <cell r="AQ132">
            <v>0</v>
          </cell>
          <cell r="AS132">
            <v>0</v>
          </cell>
          <cell r="AT132">
            <v>0</v>
          </cell>
          <cell r="AV132">
            <v>0</v>
          </cell>
          <cell r="AW132">
            <v>0</v>
          </cell>
          <cell r="AY132">
            <v>0</v>
          </cell>
          <cell r="AZ132">
            <v>0</v>
          </cell>
          <cell r="BB132">
            <v>0</v>
          </cell>
          <cell r="BD132" t="str">
            <v xml:space="preserve">ORPT </v>
          </cell>
          <cell r="BE132">
            <v>0.39235416666666667</v>
          </cell>
          <cell r="BF132">
            <v>0.39235416666666667</v>
          </cell>
          <cell r="BG132">
            <v>0.38541666666666669</v>
          </cell>
          <cell r="BI132" t="str">
            <v>Bull / 
Bull CF</v>
          </cell>
          <cell r="BJ132" t="str">
            <v>Call</v>
          </cell>
          <cell r="BK132">
            <v>0.1</v>
          </cell>
          <cell r="BL132">
            <v>7.0000000000000007E-2</v>
          </cell>
          <cell r="BN132" t="str">
            <v>Bull | 
Bull CF</v>
          </cell>
          <cell r="BO132" t="str">
            <v>Call</v>
          </cell>
          <cell r="BP132" t="str">
            <v>SPT : PRV : 4DLL</v>
          </cell>
          <cell r="BQ132" t="str">
            <v>+</v>
          </cell>
          <cell r="BR132">
            <v>0.1</v>
          </cell>
          <cell r="BS132" t="str">
            <v>Round Down</v>
          </cell>
          <cell r="BT132" t="str">
            <v>SPT : PRV : 4DLL</v>
          </cell>
          <cell r="BW132" t="str">
            <v>Round Down</v>
          </cell>
          <cell r="BX132" t="str">
            <v>-</v>
          </cell>
          <cell r="BY132">
            <v>1</v>
          </cell>
          <cell r="CE132" t="str">
            <v>SPT : PRV : 4DLL</v>
          </cell>
          <cell r="CF132">
            <v>0.04</v>
          </cell>
          <cell r="CG132" t="str">
            <v>SPT : PRV : 4DLL</v>
          </cell>
          <cell r="CH132">
            <v>0.03</v>
          </cell>
          <cell r="CI132">
            <v>100</v>
          </cell>
          <cell r="CJ132">
            <v>1</v>
          </cell>
          <cell r="CR132">
            <v>0.1</v>
          </cell>
          <cell r="CU132">
            <v>0.625</v>
          </cell>
        </row>
        <row r="133">
          <cell r="B133" t="str">
            <v>S22B</v>
          </cell>
          <cell r="C133" t="str">
            <v>Unique Code</v>
          </cell>
          <cell r="D133" t="str">
            <v>STOCKS_OP_SELL_MT_DIFF_2D_4D</v>
          </cell>
          <cell r="F133" t="str">
            <v>Put</v>
          </cell>
          <cell r="G133" t="str">
            <v>OPT : PRV : 2DLL</v>
          </cell>
          <cell r="H133" t="str">
            <v xml:space="preserve"> - </v>
          </cell>
          <cell r="I133">
            <v>0.1</v>
          </cell>
          <cell r="J133">
            <v>1</v>
          </cell>
          <cell r="L133" t="str">
            <v xml:space="preserve">PE : Entry </v>
          </cell>
          <cell r="M133" t="str">
            <v xml:space="preserve"> - </v>
          </cell>
          <cell r="N133">
            <v>0.6</v>
          </cell>
          <cell r="O133">
            <v>1</v>
          </cell>
          <cell r="AA133" t="str">
            <v>Min</v>
          </cell>
          <cell r="AB133" t="str">
            <v>MSL &amp; TSL</v>
          </cell>
          <cell r="AC133" t="str">
            <v>Entry &amp; TRP</v>
          </cell>
          <cell r="AE133" t="str">
            <v xml:space="preserve">PE : Entry </v>
          </cell>
          <cell r="AF133" t="str">
            <v xml:space="preserve"> + </v>
          </cell>
          <cell r="AG133">
            <v>0.6</v>
          </cell>
          <cell r="AH133">
            <v>0</v>
          </cell>
          <cell r="AJ133" t="str">
            <v xml:space="preserve"> + </v>
          </cell>
          <cell r="AK133" t="str">
            <v>OPT : PRV : 3DHH</v>
          </cell>
          <cell r="AL133">
            <v>0.1</v>
          </cell>
          <cell r="AM133">
            <v>1</v>
          </cell>
          <cell r="AN133">
            <v>0</v>
          </cell>
          <cell r="AP133">
            <v>0</v>
          </cell>
          <cell r="AQ133">
            <v>0</v>
          </cell>
          <cell r="AS133">
            <v>0</v>
          </cell>
          <cell r="AT133">
            <v>0</v>
          </cell>
          <cell r="AV133">
            <v>0</v>
          </cell>
          <cell r="AW133">
            <v>0</v>
          </cell>
          <cell r="AY133">
            <v>0</v>
          </cell>
          <cell r="AZ133">
            <v>0</v>
          </cell>
          <cell r="BB133">
            <v>0</v>
          </cell>
          <cell r="BD133" t="str">
            <v xml:space="preserve"> RC. Time</v>
          </cell>
          <cell r="BE133">
            <v>0.39582638888888888</v>
          </cell>
          <cell r="BF133">
            <v>0.39582638888888888</v>
          </cell>
          <cell r="BG133" t="str">
            <v>N.A.</v>
          </cell>
          <cell r="BJ133" t="str">
            <v>Put</v>
          </cell>
          <cell r="BK133">
            <v>0.1</v>
          </cell>
          <cell r="BL133">
            <v>0.1</v>
          </cell>
          <cell r="BO133" t="str">
            <v>Put</v>
          </cell>
          <cell r="BP133" t="str">
            <v>SPT : PRV : 2DHH</v>
          </cell>
          <cell r="BQ133" t="str">
            <v>-</v>
          </cell>
          <cell r="BR133">
            <v>0.1</v>
          </cell>
          <cell r="BS133" t="str">
            <v>Round Up</v>
          </cell>
          <cell r="BT133" t="str">
            <v>SPT : PRV : 2DHH</v>
          </cell>
          <cell r="BW133" t="str">
            <v>Round Up</v>
          </cell>
          <cell r="BX133" t="str">
            <v>+</v>
          </cell>
          <cell r="BY133">
            <v>1</v>
          </cell>
          <cell r="CE133" t="str">
            <v>SPT : PRV : 2DHH</v>
          </cell>
          <cell r="CF133">
            <v>0.04</v>
          </cell>
          <cell r="CG133" t="str">
            <v>SPT : PRV : 2DHH</v>
          </cell>
          <cell r="CH133">
            <v>0.03</v>
          </cell>
          <cell r="CI133">
            <v>100</v>
          </cell>
          <cell r="CJ133">
            <v>1</v>
          </cell>
          <cell r="CR133">
            <v>0.1</v>
          </cell>
        </row>
        <row r="134">
          <cell r="B134" t="str">
            <v>S22C</v>
          </cell>
          <cell r="C134" t="str">
            <v>Segment</v>
          </cell>
          <cell r="D134" t="str">
            <v>OPTIONS SELL</v>
          </cell>
          <cell r="E134" t="str">
            <v>Contract</v>
          </cell>
          <cell r="F134" t="str">
            <v>MONTHLY</v>
          </cell>
        </row>
        <row r="135">
          <cell r="B135" t="str">
            <v>S22D</v>
          </cell>
          <cell r="C135" t="str">
            <v>Symbol</v>
          </cell>
          <cell r="D135" t="str">
            <v>STOCKS</v>
          </cell>
          <cell r="E135" t="str">
            <v>Bear / 
Bear CF</v>
          </cell>
          <cell r="F135" t="str">
            <v>Call</v>
          </cell>
          <cell r="G135" t="str">
            <v>OPT : PRV : 2DLL</v>
          </cell>
          <cell r="H135" t="str">
            <v xml:space="preserve"> - </v>
          </cell>
          <cell r="I135">
            <v>0.1</v>
          </cell>
          <cell r="J135">
            <v>1</v>
          </cell>
          <cell r="L135" t="str">
            <v xml:space="preserve">CE : Entry </v>
          </cell>
          <cell r="M135" t="str">
            <v xml:space="preserve"> - </v>
          </cell>
          <cell r="N135">
            <v>0.6</v>
          </cell>
          <cell r="O135">
            <v>1</v>
          </cell>
          <cell r="AA135" t="str">
            <v>Min</v>
          </cell>
          <cell r="AB135" t="str">
            <v>MSL &amp; TSL</v>
          </cell>
          <cell r="AC135" t="str">
            <v>Entry &amp; TRP</v>
          </cell>
          <cell r="AE135" t="str">
            <v xml:space="preserve">CE : Entry </v>
          </cell>
          <cell r="AF135" t="str">
            <v xml:space="preserve"> + </v>
          </cell>
          <cell r="AG135">
            <v>0.6</v>
          </cell>
          <cell r="AH135">
            <v>0</v>
          </cell>
          <cell r="AJ135" t="str">
            <v xml:space="preserve"> + </v>
          </cell>
          <cell r="AK135" t="str">
            <v>OPT : PRV : 3DHH</v>
          </cell>
          <cell r="AL135">
            <v>0.1</v>
          </cell>
          <cell r="AM135">
            <v>1</v>
          </cell>
          <cell r="AN135">
            <v>0</v>
          </cell>
          <cell r="AP135">
            <v>0</v>
          </cell>
          <cell r="AQ135">
            <v>0</v>
          </cell>
          <cell r="AS135">
            <v>0</v>
          </cell>
          <cell r="AT135">
            <v>0</v>
          </cell>
          <cell r="AV135">
            <v>0</v>
          </cell>
          <cell r="AW135">
            <v>0</v>
          </cell>
          <cell r="AY135">
            <v>0</v>
          </cell>
          <cell r="AZ135">
            <v>0</v>
          </cell>
          <cell r="BB135">
            <v>0</v>
          </cell>
          <cell r="BD135" t="str">
            <v>Market Start Time</v>
          </cell>
          <cell r="BE135">
            <v>0.38541666666666669</v>
          </cell>
          <cell r="BI135" t="str">
            <v>Bear / 
Bear CF</v>
          </cell>
          <cell r="BJ135" t="str">
            <v>Call</v>
          </cell>
          <cell r="BK135">
            <v>0.1</v>
          </cell>
          <cell r="BL135">
            <v>0.1</v>
          </cell>
          <cell r="BN135" t="str">
            <v>Bear | 
Bear CF</v>
          </cell>
          <cell r="BO135" t="str">
            <v>Call</v>
          </cell>
          <cell r="BP135" t="str">
            <v>SPT : PRV : 2DLL</v>
          </cell>
          <cell r="BQ135" t="str">
            <v>+</v>
          </cell>
          <cell r="BR135">
            <v>0.1</v>
          </cell>
          <cell r="BS135" t="str">
            <v>Round Down</v>
          </cell>
          <cell r="BT135" t="str">
            <v>SPT : PRV : 2DLL</v>
          </cell>
          <cell r="BW135" t="str">
            <v>Round Down</v>
          </cell>
          <cell r="BX135" t="str">
            <v>-</v>
          </cell>
          <cell r="BY135">
            <v>1</v>
          </cell>
          <cell r="CE135" t="str">
            <v>SPT : PRV : 2DLL</v>
          </cell>
          <cell r="CF135">
            <v>0.04</v>
          </cell>
          <cell r="CG135" t="str">
            <v>SPT : PRV : 2DLL</v>
          </cell>
          <cell r="CH135">
            <v>0.03</v>
          </cell>
          <cell r="CI135">
            <v>100</v>
          </cell>
          <cell r="CJ135">
            <v>1</v>
          </cell>
          <cell r="CR135">
            <v>0.1</v>
          </cell>
        </row>
        <row r="136">
          <cell r="B136" t="str">
            <v>S22E</v>
          </cell>
          <cell r="C136" t="str">
            <v>No. of Targets</v>
          </cell>
          <cell r="D136" t="str">
            <v>APS</v>
          </cell>
          <cell r="F136" t="str">
            <v>Put</v>
          </cell>
          <cell r="G136" t="str">
            <v>OPT : PRV : 4DLL</v>
          </cell>
          <cell r="H136" t="str">
            <v xml:space="preserve"> - </v>
          </cell>
          <cell r="I136">
            <v>0.1</v>
          </cell>
          <cell r="J136">
            <v>1</v>
          </cell>
          <cell r="L136" t="str">
            <v xml:space="preserve">PE : Entry </v>
          </cell>
          <cell r="M136" t="str">
            <v xml:space="preserve"> - </v>
          </cell>
          <cell r="N136">
            <v>0.6</v>
          </cell>
          <cell r="O136">
            <v>1</v>
          </cell>
          <cell r="AA136" t="str">
            <v>Min</v>
          </cell>
          <cell r="AB136" t="str">
            <v>MSL &amp; TSL</v>
          </cell>
          <cell r="AC136" t="str">
            <v>Entry &amp; TRP</v>
          </cell>
          <cell r="AE136" t="str">
            <v xml:space="preserve">PE : Entry </v>
          </cell>
          <cell r="AF136" t="str">
            <v xml:space="preserve"> + </v>
          </cell>
          <cell r="AG136">
            <v>0.6</v>
          </cell>
          <cell r="AH136">
            <v>0</v>
          </cell>
          <cell r="AJ136" t="str">
            <v xml:space="preserve"> + </v>
          </cell>
          <cell r="AK136" t="str">
            <v>OPT : PRV : 2DHH</v>
          </cell>
          <cell r="AL136">
            <v>7.0000000000000007E-2</v>
          </cell>
          <cell r="AM136">
            <v>1</v>
          </cell>
          <cell r="AN136">
            <v>0</v>
          </cell>
          <cell r="AP136">
            <v>0</v>
          </cell>
          <cell r="AQ136">
            <v>0</v>
          </cell>
          <cell r="AS136">
            <v>0</v>
          </cell>
          <cell r="AT136">
            <v>0</v>
          </cell>
          <cell r="AV136">
            <v>0</v>
          </cell>
          <cell r="AW136">
            <v>0</v>
          </cell>
          <cell r="AY136">
            <v>0</v>
          </cell>
          <cell r="AZ136">
            <v>0</v>
          </cell>
          <cell r="BB136">
            <v>0</v>
          </cell>
          <cell r="BD136" t="str">
            <v>Market End Time</v>
          </cell>
          <cell r="BE136">
            <v>0.64583333333333337</v>
          </cell>
          <cell r="BJ136" t="str">
            <v>Put</v>
          </cell>
          <cell r="BK136">
            <v>0.1</v>
          </cell>
          <cell r="BL136">
            <v>7.0000000000000007E-2</v>
          </cell>
          <cell r="BO136" t="str">
            <v>Put</v>
          </cell>
          <cell r="BP136" t="str">
            <v>SPT : PRV : 4DHH</v>
          </cell>
          <cell r="BQ136" t="str">
            <v>-</v>
          </cell>
          <cell r="BR136">
            <v>0.1</v>
          </cell>
          <cell r="BS136" t="str">
            <v>Round Up</v>
          </cell>
          <cell r="BT136" t="str">
            <v>SPT : PRV : 4DHH</v>
          </cell>
          <cell r="BW136" t="str">
            <v>Round Up</v>
          </cell>
          <cell r="BX136" t="str">
            <v>+</v>
          </cell>
          <cell r="BY136">
            <v>1</v>
          </cell>
          <cell r="CE136" t="str">
            <v>SPT : PRV : 4DHH</v>
          </cell>
          <cell r="CF136">
            <v>0.04</v>
          </cell>
          <cell r="CG136" t="str">
            <v>SPT : PRV : 4DHH</v>
          </cell>
          <cell r="CH136">
            <v>0.03</v>
          </cell>
          <cell r="CI136">
            <v>100</v>
          </cell>
          <cell r="CJ136">
            <v>1</v>
          </cell>
          <cell r="CR136">
            <v>0.1</v>
          </cell>
        </row>
        <row r="138">
          <cell r="B138" t="str">
            <v>S23A</v>
          </cell>
          <cell r="C138" t="str">
            <v>Strategy Code</v>
          </cell>
          <cell r="D138" t="str">
            <v>S23</v>
          </cell>
          <cell r="E138" t="str">
            <v>Bull / 
Bull CF</v>
          </cell>
          <cell r="F138" t="str">
            <v>Call</v>
          </cell>
          <cell r="G138" t="str">
            <v>OPT : PRV : 3DLL</v>
          </cell>
          <cell r="H138" t="str">
            <v xml:space="preserve"> - </v>
          </cell>
          <cell r="I138">
            <v>7.4999999999999997E-2</v>
          </cell>
          <cell r="J138">
            <v>1</v>
          </cell>
          <cell r="L138" t="str">
            <v xml:space="preserve">CE : Entry </v>
          </cell>
          <cell r="M138" t="str">
            <v xml:space="preserve"> - </v>
          </cell>
          <cell r="N138">
            <v>0.6</v>
          </cell>
          <cell r="O138">
            <v>1</v>
          </cell>
          <cell r="AA138" t="str">
            <v>Min</v>
          </cell>
          <cell r="AB138" t="str">
            <v>MSL &amp; TSL</v>
          </cell>
          <cell r="AC138" t="str">
            <v>Entry &amp; TRP</v>
          </cell>
          <cell r="AE138" t="str">
            <v xml:space="preserve">CE : Entry </v>
          </cell>
          <cell r="AF138" t="str">
            <v xml:space="preserve"> + </v>
          </cell>
          <cell r="AG138">
            <v>0.6</v>
          </cell>
          <cell r="AH138">
            <v>0</v>
          </cell>
          <cell r="AJ138" t="str">
            <v xml:space="preserve"> + </v>
          </cell>
          <cell r="AK138" t="str">
            <v>OPT : PRV : 2DHH</v>
          </cell>
          <cell r="AL138">
            <v>7.0000000000000007E-2</v>
          </cell>
          <cell r="AM138">
            <v>1</v>
          </cell>
          <cell r="AN138">
            <v>0</v>
          </cell>
          <cell r="AP138">
            <v>0</v>
          </cell>
          <cell r="AQ138">
            <v>0</v>
          </cell>
          <cell r="AS138">
            <v>0</v>
          </cell>
          <cell r="AT138">
            <v>0</v>
          </cell>
          <cell r="AV138">
            <v>0</v>
          </cell>
          <cell r="AW138">
            <v>0</v>
          </cell>
          <cell r="AY138">
            <v>0</v>
          </cell>
          <cell r="AZ138">
            <v>0</v>
          </cell>
          <cell r="BB138">
            <v>0</v>
          </cell>
          <cell r="BD138" t="str">
            <v xml:space="preserve">ORPT </v>
          </cell>
          <cell r="BE138">
            <v>0.39235416666666667</v>
          </cell>
          <cell r="BF138">
            <v>0.39235416666666667</v>
          </cell>
          <cell r="BG138">
            <v>0.38541666666666669</v>
          </cell>
          <cell r="BI138" t="str">
            <v>Bull / 
Bull CF</v>
          </cell>
          <cell r="BJ138" t="str">
            <v>Call</v>
          </cell>
          <cell r="BK138">
            <v>7.4999999999999997E-2</v>
          </cell>
          <cell r="BL138">
            <v>7.0000000000000007E-2</v>
          </cell>
          <cell r="BN138" t="str">
            <v>Bull | 
Bull CF</v>
          </cell>
          <cell r="BO138" t="str">
            <v>Call</v>
          </cell>
          <cell r="BP138" t="str">
            <v>SPT : PRV : 3DLL</v>
          </cell>
          <cell r="BQ138" t="str">
            <v>+</v>
          </cell>
          <cell r="BR138">
            <v>0.05</v>
          </cell>
          <cell r="BS138" t="str">
            <v>Round Down</v>
          </cell>
          <cell r="BT138" t="str">
            <v>SPT : PRV : 3DLL</v>
          </cell>
          <cell r="BW138" t="str">
            <v>Round Down</v>
          </cell>
          <cell r="BX138" t="str">
            <v>-</v>
          </cell>
          <cell r="BY138">
            <v>1</v>
          </cell>
          <cell r="CE138" t="str">
            <v>SPT : PRV : 3DLL</v>
          </cell>
          <cell r="CF138">
            <v>1.2E-2</v>
          </cell>
          <cell r="CG138" t="str">
            <v>SPT : PRV : 3DLL</v>
          </cell>
          <cell r="CH138">
            <v>8.9999999999999993E-3</v>
          </cell>
          <cell r="CI138">
            <v>500</v>
          </cell>
          <cell r="CJ138">
            <v>1</v>
          </cell>
          <cell r="CR138">
            <v>0.05</v>
          </cell>
          <cell r="CU138">
            <v>0.625</v>
          </cell>
        </row>
        <row r="139">
          <cell r="B139" t="str">
            <v>S23B</v>
          </cell>
          <cell r="C139" t="str">
            <v>Unique Code</v>
          </cell>
          <cell r="D139" t="str">
            <v>NIFTY_OP_SELL_WK_DIFF_2D_3D</v>
          </cell>
          <cell r="F139" t="str">
            <v>Put</v>
          </cell>
          <cell r="G139" t="str">
            <v>OPT : PRV : 2DLL</v>
          </cell>
          <cell r="H139" t="str">
            <v xml:space="preserve"> - </v>
          </cell>
          <cell r="I139">
            <v>7.4999999999999997E-2</v>
          </cell>
          <cell r="J139">
            <v>1</v>
          </cell>
          <cell r="L139" t="str">
            <v xml:space="preserve">PE : Entry </v>
          </cell>
          <cell r="M139" t="str">
            <v xml:space="preserve"> - </v>
          </cell>
          <cell r="N139">
            <v>0.6</v>
          </cell>
          <cell r="O139">
            <v>1</v>
          </cell>
          <cell r="AA139" t="str">
            <v>Min</v>
          </cell>
          <cell r="AB139" t="str">
            <v>MSL &amp; TSL</v>
          </cell>
          <cell r="AC139" t="str">
            <v>Entry &amp; TRP</v>
          </cell>
          <cell r="AE139" t="str">
            <v xml:space="preserve">PE : Entry </v>
          </cell>
          <cell r="AF139" t="str">
            <v xml:space="preserve"> + </v>
          </cell>
          <cell r="AG139">
            <v>0.6</v>
          </cell>
          <cell r="AH139">
            <v>0</v>
          </cell>
          <cell r="AJ139" t="str">
            <v xml:space="preserve"> + </v>
          </cell>
          <cell r="AK139" t="str">
            <v>OPT : PRV : 3DHH</v>
          </cell>
          <cell r="AL139">
            <v>0.1</v>
          </cell>
          <cell r="AM139">
            <v>1</v>
          </cell>
          <cell r="AN139">
            <v>0</v>
          </cell>
          <cell r="AP139">
            <v>0</v>
          </cell>
          <cell r="AQ139">
            <v>0</v>
          </cell>
          <cell r="AS139">
            <v>0</v>
          </cell>
          <cell r="AT139">
            <v>0</v>
          </cell>
          <cell r="AV139">
            <v>0</v>
          </cell>
          <cell r="AW139">
            <v>0</v>
          </cell>
          <cell r="AY139">
            <v>0</v>
          </cell>
          <cell r="AZ139">
            <v>0</v>
          </cell>
          <cell r="BB139">
            <v>0</v>
          </cell>
          <cell r="BD139" t="str">
            <v xml:space="preserve"> RC. Time</v>
          </cell>
          <cell r="BE139">
            <v>0.39582638888888888</v>
          </cell>
          <cell r="BF139">
            <v>0.39582638888888888</v>
          </cell>
          <cell r="BG139" t="str">
            <v>N.A.</v>
          </cell>
          <cell r="BJ139" t="str">
            <v>Put</v>
          </cell>
          <cell r="BK139">
            <v>7.4999999999999997E-2</v>
          </cell>
          <cell r="BL139">
            <v>0.1</v>
          </cell>
          <cell r="BO139" t="str">
            <v>Put</v>
          </cell>
          <cell r="BP139" t="str">
            <v>SPT : PRV : 2DHH</v>
          </cell>
          <cell r="BQ139" t="str">
            <v>-</v>
          </cell>
          <cell r="BR139">
            <v>0.05</v>
          </cell>
          <cell r="BS139" t="str">
            <v>Round Up</v>
          </cell>
          <cell r="BT139" t="str">
            <v>SPT : PRV : 2DHH</v>
          </cell>
          <cell r="BW139" t="str">
            <v>Round Up</v>
          </cell>
          <cell r="BX139" t="str">
            <v>+</v>
          </cell>
          <cell r="BY139">
            <v>1</v>
          </cell>
          <cell r="CE139" t="str">
            <v>SPT : PRV : 2DHH</v>
          </cell>
          <cell r="CF139">
            <v>1.2E-2</v>
          </cell>
          <cell r="CG139" t="str">
            <v>SPT : PRV : 2DHH</v>
          </cell>
          <cell r="CH139">
            <v>8.9999999999999993E-3</v>
          </cell>
          <cell r="CI139">
            <v>500</v>
          </cell>
          <cell r="CJ139">
            <v>1</v>
          </cell>
          <cell r="CR139">
            <v>0.05</v>
          </cell>
        </row>
        <row r="140">
          <cell r="B140" t="str">
            <v>S23C</v>
          </cell>
          <cell r="C140" t="str">
            <v>Segment</v>
          </cell>
          <cell r="D140" t="str">
            <v>OPTIONS SELL</v>
          </cell>
          <cell r="E140" t="str">
            <v>Contract</v>
          </cell>
          <cell r="F140" t="str">
            <v>WEEKLY</v>
          </cell>
        </row>
        <row r="141">
          <cell r="B141" t="str">
            <v>S23D</v>
          </cell>
          <cell r="C141" t="str">
            <v>Symbol</v>
          </cell>
          <cell r="D141" t="str">
            <v>NIFTY</v>
          </cell>
          <cell r="E141" t="str">
            <v>Bear / 
Bear CF</v>
          </cell>
          <cell r="F141" t="str">
            <v>Call</v>
          </cell>
          <cell r="G141" t="str">
            <v>OPT : PRV : 2DLL</v>
          </cell>
          <cell r="H141" t="str">
            <v xml:space="preserve"> - </v>
          </cell>
          <cell r="I141">
            <v>7.4999999999999997E-2</v>
          </cell>
          <cell r="J141">
            <v>1</v>
          </cell>
          <cell r="L141" t="str">
            <v xml:space="preserve">CE : Entry </v>
          </cell>
          <cell r="M141" t="str">
            <v xml:space="preserve"> - </v>
          </cell>
          <cell r="N141">
            <v>0.6</v>
          </cell>
          <cell r="O141">
            <v>1</v>
          </cell>
          <cell r="AA141" t="str">
            <v>Min</v>
          </cell>
          <cell r="AB141" t="str">
            <v>MSL &amp; TSL</v>
          </cell>
          <cell r="AC141" t="str">
            <v>Entry &amp; TRP</v>
          </cell>
          <cell r="AE141" t="str">
            <v xml:space="preserve">CE : Entry </v>
          </cell>
          <cell r="AF141" t="str">
            <v xml:space="preserve"> + </v>
          </cell>
          <cell r="AG141">
            <v>0.6</v>
          </cell>
          <cell r="AH141">
            <v>0</v>
          </cell>
          <cell r="AJ141" t="str">
            <v xml:space="preserve"> + </v>
          </cell>
          <cell r="AK141" t="str">
            <v>OPT : PRV : 3DHH</v>
          </cell>
          <cell r="AL141">
            <v>0.1</v>
          </cell>
          <cell r="AM141">
            <v>1</v>
          </cell>
          <cell r="AN141">
            <v>0</v>
          </cell>
          <cell r="AP141">
            <v>0</v>
          </cell>
          <cell r="AQ141">
            <v>0</v>
          </cell>
          <cell r="AS141">
            <v>0</v>
          </cell>
          <cell r="AT141">
            <v>0</v>
          </cell>
          <cell r="AV141">
            <v>0</v>
          </cell>
          <cell r="AW141">
            <v>0</v>
          </cell>
          <cell r="AY141">
            <v>0</v>
          </cell>
          <cell r="AZ141">
            <v>0</v>
          </cell>
          <cell r="BB141">
            <v>0</v>
          </cell>
          <cell r="BD141" t="str">
            <v>Market Start Time</v>
          </cell>
          <cell r="BE141">
            <v>0.38541666666666669</v>
          </cell>
          <cell r="BI141" t="str">
            <v>Bear / 
Bear CF</v>
          </cell>
          <cell r="BJ141" t="str">
            <v>Call</v>
          </cell>
          <cell r="BK141">
            <v>7.4999999999999997E-2</v>
          </cell>
          <cell r="BL141">
            <v>0.1</v>
          </cell>
          <cell r="BN141" t="str">
            <v>Bear | 
Bear CF</v>
          </cell>
          <cell r="BO141" t="str">
            <v>Call</v>
          </cell>
          <cell r="BP141" t="str">
            <v>SPT : PRV : 2DLL</v>
          </cell>
          <cell r="BQ141" t="str">
            <v>+</v>
          </cell>
          <cell r="BR141">
            <v>0.05</v>
          </cell>
          <cell r="BS141" t="str">
            <v>Round Down</v>
          </cell>
          <cell r="BT141" t="str">
            <v>SPT : PRV : 2DLL</v>
          </cell>
          <cell r="BW141" t="str">
            <v>Round Down</v>
          </cell>
          <cell r="BX141" t="str">
            <v>-</v>
          </cell>
          <cell r="BY141">
            <v>1</v>
          </cell>
          <cell r="CE141" t="str">
            <v>SPT : PRV : 2DLL</v>
          </cell>
          <cell r="CF141">
            <v>1.2E-2</v>
          </cell>
          <cell r="CG141" t="str">
            <v>SPT : PRV : 2DLL</v>
          </cell>
          <cell r="CH141">
            <v>8.9999999999999993E-3</v>
          </cell>
          <cell r="CI141">
            <v>500</v>
          </cell>
          <cell r="CJ141">
            <v>1</v>
          </cell>
          <cell r="CR141">
            <v>0.05</v>
          </cell>
        </row>
        <row r="142">
          <cell r="B142" t="str">
            <v>S23E</v>
          </cell>
          <cell r="C142" t="str">
            <v>No. of Targets</v>
          </cell>
          <cell r="D142" t="str">
            <v>APS</v>
          </cell>
          <cell r="F142" t="str">
            <v>Put</v>
          </cell>
          <cell r="G142" t="str">
            <v>OPT : PRV : 3DLL</v>
          </cell>
          <cell r="H142" t="str">
            <v xml:space="preserve"> - </v>
          </cell>
          <cell r="I142">
            <v>7.4999999999999997E-2</v>
          </cell>
          <cell r="J142">
            <v>1</v>
          </cell>
          <cell r="L142" t="str">
            <v xml:space="preserve">PE : Entry </v>
          </cell>
          <cell r="M142" t="str">
            <v xml:space="preserve"> - </v>
          </cell>
          <cell r="N142">
            <v>0.6</v>
          </cell>
          <cell r="O142">
            <v>1</v>
          </cell>
          <cell r="AA142" t="str">
            <v>Min</v>
          </cell>
          <cell r="AB142" t="str">
            <v>MSL &amp; TSL</v>
          </cell>
          <cell r="AC142" t="str">
            <v>Entry &amp; TRP</v>
          </cell>
          <cell r="AE142" t="str">
            <v xml:space="preserve">PE : Entry </v>
          </cell>
          <cell r="AF142" t="str">
            <v xml:space="preserve"> + </v>
          </cell>
          <cell r="AG142">
            <v>0.6</v>
          </cell>
          <cell r="AH142">
            <v>0</v>
          </cell>
          <cell r="AJ142" t="str">
            <v xml:space="preserve"> + </v>
          </cell>
          <cell r="AK142" t="str">
            <v>OPT : PRV : 2DHH</v>
          </cell>
          <cell r="AL142">
            <v>7.0000000000000007E-2</v>
          </cell>
          <cell r="AM142">
            <v>1</v>
          </cell>
          <cell r="AN142">
            <v>0</v>
          </cell>
          <cell r="AP142">
            <v>0</v>
          </cell>
          <cell r="AQ142">
            <v>0</v>
          </cell>
          <cell r="AS142">
            <v>0</v>
          </cell>
          <cell r="AT142">
            <v>0</v>
          </cell>
          <cell r="AV142">
            <v>0</v>
          </cell>
          <cell r="AW142">
            <v>0</v>
          </cell>
          <cell r="AY142">
            <v>0</v>
          </cell>
          <cell r="AZ142">
            <v>0</v>
          </cell>
          <cell r="BB142">
            <v>0</v>
          </cell>
          <cell r="BD142" t="str">
            <v>Market End Time</v>
          </cell>
          <cell r="BE142">
            <v>0.64583333333333337</v>
          </cell>
          <cell r="BJ142" t="str">
            <v>Put</v>
          </cell>
          <cell r="BK142">
            <v>7.4999999999999997E-2</v>
          </cell>
          <cell r="BL142">
            <v>7.0000000000000007E-2</v>
          </cell>
          <cell r="BO142" t="str">
            <v>Put</v>
          </cell>
          <cell r="BP142" t="str">
            <v>SPT : PRV : 3DHH</v>
          </cell>
          <cell r="BQ142" t="str">
            <v>-</v>
          </cell>
          <cell r="BR142">
            <v>0.05</v>
          </cell>
          <cell r="BS142" t="str">
            <v>Round Up</v>
          </cell>
          <cell r="BT142" t="str">
            <v>SPT : PRV : 3DHH</v>
          </cell>
          <cell r="BW142" t="str">
            <v>Round Up</v>
          </cell>
          <cell r="BX142" t="str">
            <v>+</v>
          </cell>
          <cell r="BY142">
            <v>1</v>
          </cell>
          <cell r="CE142" t="str">
            <v>SPT : PRV : 3DHH</v>
          </cell>
          <cell r="CF142">
            <v>1.2E-2</v>
          </cell>
          <cell r="CG142" t="str">
            <v>SPT : PRV : 3DHH</v>
          </cell>
          <cell r="CH142">
            <v>8.9999999999999993E-3</v>
          </cell>
          <cell r="CI142">
            <v>500</v>
          </cell>
          <cell r="CJ142">
            <v>1</v>
          </cell>
          <cell r="CR142">
            <v>0.05</v>
          </cell>
        </row>
        <row r="144">
          <cell r="B144" t="str">
            <v>S24A</v>
          </cell>
          <cell r="C144" t="str">
            <v>Strategy Code</v>
          </cell>
          <cell r="D144" t="str">
            <v>S24</v>
          </cell>
          <cell r="E144" t="str">
            <v>Bull / 
Bull CF</v>
          </cell>
          <cell r="F144" t="str">
            <v>Call</v>
          </cell>
          <cell r="G144" t="str">
            <v>OPT : PRV : 3DLL</v>
          </cell>
          <cell r="H144" t="str">
            <v xml:space="preserve"> - </v>
          </cell>
          <cell r="I144">
            <v>7.4999999999999997E-2</v>
          </cell>
          <cell r="J144">
            <v>1</v>
          </cell>
          <cell r="L144" t="str">
            <v xml:space="preserve">CE : Entry </v>
          </cell>
          <cell r="M144" t="str">
            <v xml:space="preserve"> - </v>
          </cell>
          <cell r="N144">
            <v>0.6</v>
          </cell>
          <cell r="O144">
            <v>1</v>
          </cell>
          <cell r="AA144" t="str">
            <v>Min</v>
          </cell>
          <cell r="AB144" t="str">
            <v>MSL &amp; TSL</v>
          </cell>
          <cell r="AC144" t="str">
            <v>Entry &amp; TRP</v>
          </cell>
          <cell r="AE144" t="str">
            <v xml:space="preserve">CE : Entry </v>
          </cell>
          <cell r="AF144" t="str">
            <v xml:space="preserve"> + </v>
          </cell>
          <cell r="AG144">
            <v>0.6</v>
          </cell>
          <cell r="AH144">
            <v>0</v>
          </cell>
          <cell r="AJ144" t="str">
            <v xml:space="preserve"> + </v>
          </cell>
          <cell r="AK144" t="str">
            <v>OPT : PRV : 2DHH</v>
          </cell>
          <cell r="AL144">
            <v>7.0000000000000007E-2</v>
          </cell>
          <cell r="AM144">
            <v>1</v>
          </cell>
          <cell r="AN144">
            <v>0</v>
          </cell>
          <cell r="AP144">
            <v>0</v>
          </cell>
          <cell r="AQ144">
            <v>0</v>
          </cell>
          <cell r="AS144">
            <v>0</v>
          </cell>
          <cell r="AT144">
            <v>0</v>
          </cell>
          <cell r="AV144">
            <v>0</v>
          </cell>
          <cell r="AW144">
            <v>0</v>
          </cell>
          <cell r="AY144">
            <v>0</v>
          </cell>
          <cell r="AZ144">
            <v>0</v>
          </cell>
          <cell r="BB144">
            <v>0</v>
          </cell>
          <cell r="BD144" t="str">
            <v xml:space="preserve">ORPT </v>
          </cell>
          <cell r="BE144">
            <v>0.39235416666666667</v>
          </cell>
          <cell r="BF144">
            <v>0.39235416666666667</v>
          </cell>
          <cell r="BG144">
            <v>0.38541666666666669</v>
          </cell>
          <cell r="BI144" t="str">
            <v>Bull / 
Bull CF</v>
          </cell>
          <cell r="BJ144" t="str">
            <v>Call</v>
          </cell>
          <cell r="BK144">
            <v>7.4999999999999997E-2</v>
          </cell>
          <cell r="BL144">
            <v>7.0000000000000007E-2</v>
          </cell>
          <cell r="BN144" t="str">
            <v>Bull | 
Bull CF</v>
          </cell>
          <cell r="BO144" t="str">
            <v>Call</v>
          </cell>
          <cell r="BP144" t="str">
            <v>SPT : PRV : 3DLL</v>
          </cell>
          <cell r="BQ144" t="str">
            <v>+</v>
          </cell>
          <cell r="BR144">
            <v>0.05</v>
          </cell>
          <cell r="BS144" t="str">
            <v>Round Down</v>
          </cell>
          <cell r="BT144" t="str">
            <v>SPT : PRV : 3DLL</v>
          </cell>
          <cell r="BW144" t="str">
            <v>Round Down</v>
          </cell>
          <cell r="BX144" t="str">
            <v>-</v>
          </cell>
          <cell r="BY144">
            <v>1</v>
          </cell>
          <cell r="CE144" t="str">
            <v>SPT : PRV : 3DLL</v>
          </cell>
          <cell r="CF144">
            <v>1.6E-2</v>
          </cell>
          <cell r="CG144" t="str">
            <v>SPT : PRV : 3DLL</v>
          </cell>
          <cell r="CH144">
            <v>1.2E-2</v>
          </cell>
          <cell r="CI144">
            <v>500</v>
          </cell>
          <cell r="CJ144">
            <v>1</v>
          </cell>
          <cell r="CR144">
            <v>0.05</v>
          </cell>
          <cell r="CU144">
            <v>0.625</v>
          </cell>
        </row>
        <row r="145">
          <cell r="B145" t="str">
            <v>S24B</v>
          </cell>
          <cell r="C145" t="str">
            <v>Unique Code</v>
          </cell>
          <cell r="D145" t="str">
            <v>NIFTY_OP_SELL_MT_DIFF_2D_3D</v>
          </cell>
          <cell r="F145" t="str">
            <v>Put</v>
          </cell>
          <cell r="G145" t="str">
            <v>OPT : PRV : 2DLL</v>
          </cell>
          <cell r="H145" t="str">
            <v xml:space="preserve"> - </v>
          </cell>
          <cell r="I145">
            <v>7.4999999999999997E-2</v>
          </cell>
          <cell r="J145">
            <v>1</v>
          </cell>
          <cell r="L145" t="str">
            <v xml:space="preserve">PE : Entry </v>
          </cell>
          <cell r="M145" t="str">
            <v xml:space="preserve"> - </v>
          </cell>
          <cell r="N145">
            <v>0.6</v>
          </cell>
          <cell r="O145">
            <v>1</v>
          </cell>
          <cell r="AA145" t="str">
            <v>Min</v>
          </cell>
          <cell r="AB145" t="str">
            <v>MSL &amp; TSL</v>
          </cell>
          <cell r="AC145" t="str">
            <v>Entry &amp; TRP</v>
          </cell>
          <cell r="AE145" t="str">
            <v xml:space="preserve">PE : Entry </v>
          </cell>
          <cell r="AF145" t="str">
            <v xml:space="preserve"> + </v>
          </cell>
          <cell r="AG145">
            <v>0.6</v>
          </cell>
          <cell r="AH145">
            <v>0</v>
          </cell>
          <cell r="AJ145" t="str">
            <v xml:space="preserve"> + </v>
          </cell>
          <cell r="AK145" t="str">
            <v>OPT : PRV : 3DHH</v>
          </cell>
          <cell r="AL145">
            <v>0.1</v>
          </cell>
          <cell r="AM145">
            <v>1</v>
          </cell>
          <cell r="AN145">
            <v>0</v>
          </cell>
          <cell r="AP145">
            <v>0</v>
          </cell>
          <cell r="AQ145">
            <v>0</v>
          </cell>
          <cell r="AS145">
            <v>0</v>
          </cell>
          <cell r="AT145">
            <v>0</v>
          </cell>
          <cell r="AV145">
            <v>0</v>
          </cell>
          <cell r="AW145">
            <v>0</v>
          </cell>
          <cell r="AY145">
            <v>0</v>
          </cell>
          <cell r="AZ145">
            <v>0</v>
          </cell>
          <cell r="BB145">
            <v>0</v>
          </cell>
          <cell r="BD145" t="str">
            <v xml:space="preserve"> RC. Time</v>
          </cell>
          <cell r="BE145">
            <v>0.39582638888888888</v>
          </cell>
          <cell r="BF145">
            <v>0.39582638888888888</v>
          </cell>
          <cell r="BG145" t="str">
            <v>N.A.</v>
          </cell>
          <cell r="BJ145" t="str">
            <v>Put</v>
          </cell>
          <cell r="BK145">
            <v>7.4999999999999997E-2</v>
          </cell>
          <cell r="BL145">
            <v>0.1</v>
          </cell>
          <cell r="BO145" t="str">
            <v>Put</v>
          </cell>
          <cell r="BP145" t="str">
            <v>SPT : PRV : 2DHH</v>
          </cell>
          <cell r="BQ145" t="str">
            <v>-</v>
          </cell>
          <cell r="BR145">
            <v>0.05</v>
          </cell>
          <cell r="BS145" t="str">
            <v>Round Up</v>
          </cell>
          <cell r="BT145" t="str">
            <v>SPT : PRV : 2DHH</v>
          </cell>
          <cell r="BW145" t="str">
            <v>Round Up</v>
          </cell>
          <cell r="BX145" t="str">
            <v>+</v>
          </cell>
          <cell r="BY145">
            <v>1</v>
          </cell>
          <cell r="CE145" t="str">
            <v>SPT : PRV : 2DHH</v>
          </cell>
          <cell r="CF145">
            <v>1.6E-2</v>
          </cell>
          <cell r="CG145" t="str">
            <v>SPT : PRV : 2DHH</v>
          </cell>
          <cell r="CH145">
            <v>1.2E-2</v>
          </cell>
          <cell r="CI145">
            <v>500</v>
          </cell>
          <cell r="CJ145">
            <v>1</v>
          </cell>
          <cell r="CR145">
            <v>0.05</v>
          </cell>
        </row>
        <row r="146">
          <cell r="B146" t="str">
            <v>S24C</v>
          </cell>
          <cell r="C146" t="str">
            <v>Segment</v>
          </cell>
          <cell r="D146" t="str">
            <v>OPTIONS SELL</v>
          </cell>
          <cell r="E146" t="str">
            <v>Contract</v>
          </cell>
          <cell r="F146" t="str">
            <v>MONTHLY</v>
          </cell>
        </row>
        <row r="147">
          <cell r="B147" t="str">
            <v>S24D</v>
          </cell>
          <cell r="C147" t="str">
            <v>Symbol</v>
          </cell>
          <cell r="D147" t="str">
            <v>NIFTY</v>
          </cell>
          <cell r="E147" t="str">
            <v>Bear / 
Bear CF</v>
          </cell>
          <cell r="F147" t="str">
            <v>Call</v>
          </cell>
          <cell r="G147" t="str">
            <v>OPT : PRV : 2DLL</v>
          </cell>
          <cell r="H147" t="str">
            <v xml:space="preserve"> - </v>
          </cell>
          <cell r="I147">
            <v>7.4999999999999997E-2</v>
          </cell>
          <cell r="J147">
            <v>1</v>
          </cell>
          <cell r="L147" t="str">
            <v xml:space="preserve">CE : Entry </v>
          </cell>
          <cell r="M147" t="str">
            <v xml:space="preserve"> - </v>
          </cell>
          <cell r="N147">
            <v>0.6</v>
          </cell>
          <cell r="O147">
            <v>1</v>
          </cell>
          <cell r="AA147" t="str">
            <v>Min</v>
          </cell>
          <cell r="AB147" t="str">
            <v>MSL &amp; TSL</v>
          </cell>
          <cell r="AC147" t="str">
            <v>Entry &amp; TRP</v>
          </cell>
          <cell r="AE147" t="str">
            <v xml:space="preserve">CE : Entry </v>
          </cell>
          <cell r="AF147" t="str">
            <v xml:space="preserve"> + </v>
          </cell>
          <cell r="AG147">
            <v>0.6</v>
          </cell>
          <cell r="AH147">
            <v>0</v>
          </cell>
          <cell r="AJ147" t="str">
            <v xml:space="preserve"> + </v>
          </cell>
          <cell r="AK147" t="str">
            <v>OPT : PRV : 3DHH</v>
          </cell>
          <cell r="AL147">
            <v>0.1</v>
          </cell>
          <cell r="AM147">
            <v>1</v>
          </cell>
          <cell r="AN147">
            <v>0</v>
          </cell>
          <cell r="AP147">
            <v>0</v>
          </cell>
          <cell r="AQ147">
            <v>0</v>
          </cell>
          <cell r="AS147">
            <v>0</v>
          </cell>
          <cell r="AT147">
            <v>0</v>
          </cell>
          <cell r="AV147">
            <v>0</v>
          </cell>
          <cell r="AW147">
            <v>0</v>
          </cell>
          <cell r="AY147">
            <v>0</v>
          </cell>
          <cell r="AZ147">
            <v>0</v>
          </cell>
          <cell r="BB147">
            <v>0</v>
          </cell>
          <cell r="BD147" t="str">
            <v>Market Start Time</v>
          </cell>
          <cell r="BE147">
            <v>0.38541666666666669</v>
          </cell>
          <cell r="BI147" t="str">
            <v>Bear / 
Bear CF</v>
          </cell>
          <cell r="BJ147" t="str">
            <v>Call</v>
          </cell>
          <cell r="BK147">
            <v>7.4999999999999997E-2</v>
          </cell>
          <cell r="BL147">
            <v>0.1</v>
          </cell>
          <cell r="BN147" t="str">
            <v>Bear | 
Bear CF</v>
          </cell>
          <cell r="BO147" t="str">
            <v>Call</v>
          </cell>
          <cell r="BP147" t="str">
            <v>SPT : PRV : 2DLL</v>
          </cell>
          <cell r="BQ147" t="str">
            <v>+</v>
          </cell>
          <cell r="BR147">
            <v>0.05</v>
          </cell>
          <cell r="BS147" t="str">
            <v>Round Down</v>
          </cell>
          <cell r="BT147" t="str">
            <v>SPT : PRV : 2DLL</v>
          </cell>
          <cell r="BW147" t="str">
            <v>Round Down</v>
          </cell>
          <cell r="BX147" t="str">
            <v>-</v>
          </cell>
          <cell r="BY147">
            <v>1</v>
          </cell>
          <cell r="CE147" t="str">
            <v>SPT : PRV : 2DLL</v>
          </cell>
          <cell r="CF147">
            <v>1.6E-2</v>
          </cell>
          <cell r="CG147" t="str">
            <v>SPT : PRV : 2DLL</v>
          </cell>
          <cell r="CH147">
            <v>1.2E-2</v>
          </cell>
          <cell r="CI147">
            <v>500</v>
          </cell>
          <cell r="CJ147">
            <v>1</v>
          </cell>
          <cell r="CR147">
            <v>0.05</v>
          </cell>
        </row>
        <row r="148">
          <cell r="B148" t="str">
            <v>S24E</v>
          </cell>
          <cell r="C148" t="str">
            <v>Contract</v>
          </cell>
          <cell r="D148" t="str">
            <v>APS</v>
          </cell>
          <cell r="F148" t="str">
            <v>Put</v>
          </cell>
          <cell r="G148" t="str">
            <v>OPT : PRV : 3DLL</v>
          </cell>
          <cell r="H148" t="str">
            <v xml:space="preserve"> - </v>
          </cell>
          <cell r="I148">
            <v>7.4999999999999997E-2</v>
          </cell>
          <cell r="J148">
            <v>1</v>
          </cell>
          <cell r="L148" t="str">
            <v xml:space="preserve">PE : Entry </v>
          </cell>
          <cell r="M148" t="str">
            <v xml:space="preserve"> - </v>
          </cell>
          <cell r="N148">
            <v>0.6</v>
          </cell>
          <cell r="O148">
            <v>1</v>
          </cell>
          <cell r="AA148" t="str">
            <v>Min</v>
          </cell>
          <cell r="AB148" t="str">
            <v>MSL &amp; TSL</v>
          </cell>
          <cell r="AC148" t="str">
            <v>Entry &amp; TRP</v>
          </cell>
          <cell r="AE148" t="str">
            <v xml:space="preserve">PE : Entry </v>
          </cell>
          <cell r="AF148" t="str">
            <v xml:space="preserve"> + </v>
          </cell>
          <cell r="AG148">
            <v>0.6</v>
          </cell>
          <cell r="AH148">
            <v>0</v>
          </cell>
          <cell r="AJ148" t="str">
            <v xml:space="preserve"> + </v>
          </cell>
          <cell r="AK148" t="str">
            <v>OPT : PRV : 2DHH</v>
          </cell>
          <cell r="AL148">
            <v>7.0000000000000007E-2</v>
          </cell>
          <cell r="AM148">
            <v>1</v>
          </cell>
          <cell r="AN148">
            <v>0</v>
          </cell>
          <cell r="AP148">
            <v>0</v>
          </cell>
          <cell r="AQ148">
            <v>0</v>
          </cell>
          <cell r="AS148">
            <v>0</v>
          </cell>
          <cell r="AT148">
            <v>0</v>
          </cell>
          <cell r="AV148">
            <v>0</v>
          </cell>
          <cell r="AW148">
            <v>0</v>
          </cell>
          <cell r="AY148">
            <v>0</v>
          </cell>
          <cell r="AZ148">
            <v>0</v>
          </cell>
          <cell r="BB148">
            <v>0</v>
          </cell>
          <cell r="BD148" t="str">
            <v>Market End Time</v>
          </cell>
          <cell r="BE148">
            <v>0.64583333333333337</v>
          </cell>
          <cell r="BJ148" t="str">
            <v>Put</v>
          </cell>
          <cell r="BK148">
            <v>7.4999999999999997E-2</v>
          </cell>
          <cell r="BL148">
            <v>7.0000000000000007E-2</v>
          </cell>
          <cell r="BO148" t="str">
            <v>Put</v>
          </cell>
          <cell r="BP148" t="str">
            <v>SPT : PRV : 3DHH</v>
          </cell>
          <cell r="BQ148" t="str">
            <v>-</v>
          </cell>
          <cell r="BR148">
            <v>0.05</v>
          </cell>
          <cell r="BS148" t="str">
            <v>Round Up</v>
          </cell>
          <cell r="BT148" t="str">
            <v>SPT : PRV : 3DHH</v>
          </cell>
          <cell r="BW148" t="str">
            <v>Round Up</v>
          </cell>
          <cell r="BX148" t="str">
            <v>+</v>
          </cell>
          <cell r="BY148">
            <v>1</v>
          </cell>
          <cell r="CE148" t="str">
            <v>SPT : PRV : 3DHH</v>
          </cell>
          <cell r="CF148">
            <v>1.6E-2</v>
          </cell>
          <cell r="CG148" t="str">
            <v>SPT : PRV : 3DHH</v>
          </cell>
          <cell r="CH148">
            <v>1.2E-2</v>
          </cell>
          <cell r="CI148">
            <v>500</v>
          </cell>
          <cell r="CJ148">
            <v>1</v>
          </cell>
          <cell r="CR148">
            <v>0.05</v>
          </cell>
        </row>
        <row r="150">
          <cell r="B150" t="str">
            <v>S25A</v>
          </cell>
          <cell r="C150" t="str">
            <v>Strategy Code</v>
          </cell>
          <cell r="D150" t="str">
            <v>S25</v>
          </cell>
          <cell r="E150" t="str">
            <v>Bull / 
Bull CF</v>
          </cell>
          <cell r="F150" t="str">
            <v>Call</v>
          </cell>
          <cell r="G150" t="str">
            <v>OPT : PRV : 1D 75 Mins HH</v>
          </cell>
          <cell r="H150" t="str">
            <v xml:space="preserve"> + </v>
          </cell>
          <cell r="I150">
            <v>0.1</v>
          </cell>
          <cell r="J150">
            <v>2</v>
          </cell>
          <cell r="L150" t="str">
            <v xml:space="preserve">CE : Entry </v>
          </cell>
          <cell r="M150" t="str">
            <v xml:space="preserve"> + </v>
          </cell>
          <cell r="N150">
            <v>0.7</v>
          </cell>
          <cell r="O150">
            <v>1</v>
          </cell>
          <cell r="AA150" t="str">
            <v>Max</v>
          </cell>
          <cell r="AB150" t="str">
            <v>MSL &amp; TSL</v>
          </cell>
          <cell r="AC150" t="str">
            <v>Entry &amp; TRP</v>
          </cell>
          <cell r="AE150" t="str">
            <v xml:space="preserve">CE : Entry </v>
          </cell>
          <cell r="AF150" t="str">
            <v xml:space="preserve"> - </v>
          </cell>
          <cell r="AG150">
            <v>0.7</v>
          </cell>
          <cell r="AJ150" t="str">
            <v xml:space="preserve"> - </v>
          </cell>
          <cell r="AK150" t="str">
            <v>OPT : PRV : 1D 75 MinsLL</v>
          </cell>
          <cell r="AL150">
            <v>0.1</v>
          </cell>
          <cell r="AM150">
            <v>2</v>
          </cell>
          <cell r="AN150" t="str">
            <v>OPT : PRV : 1D 75 MinsLL</v>
          </cell>
          <cell r="AP150">
            <v>1</v>
          </cell>
          <cell r="AQ150">
            <v>0</v>
          </cell>
          <cell r="AS150">
            <v>1</v>
          </cell>
          <cell r="AT150">
            <v>0</v>
          </cell>
          <cell r="AV150">
            <v>1</v>
          </cell>
          <cell r="AW150">
            <v>0</v>
          </cell>
          <cell r="AY150">
            <v>1</v>
          </cell>
          <cell r="AZ150">
            <v>0</v>
          </cell>
          <cell r="BB150">
            <v>1</v>
          </cell>
          <cell r="BD150" t="str">
            <v xml:space="preserve">ORPT </v>
          </cell>
          <cell r="BE150">
            <v>0.39235416666666667</v>
          </cell>
          <cell r="BF150">
            <v>0.39235416666666667</v>
          </cell>
          <cell r="BG150">
            <v>0.38541666666666669</v>
          </cell>
          <cell r="BI150" t="str">
            <v>Bull / 
Bull CF</v>
          </cell>
          <cell r="BJ150" t="str">
            <v>Call</v>
          </cell>
          <cell r="BK150">
            <v>0.1</v>
          </cell>
          <cell r="BL150">
            <v>0.1</v>
          </cell>
          <cell r="BN150" t="str">
            <v>Bull | 
Bull CF</v>
          </cell>
          <cell r="BO150" t="str">
            <v>Call</v>
          </cell>
          <cell r="BP150" t="str">
            <v>SPT : PRV : 1D 75 Mins HH</v>
          </cell>
          <cell r="BQ150" t="str">
            <v>+</v>
          </cell>
          <cell r="BR150">
            <v>0.05</v>
          </cell>
          <cell r="BS150" t="str">
            <v>Round Down</v>
          </cell>
          <cell r="BT150" t="str">
            <v>SPT : PRV : 1D 75 Mins HH</v>
          </cell>
          <cell r="BW150" t="str">
            <v>Round Down</v>
          </cell>
          <cell r="BX150" t="str">
            <v>-</v>
          </cell>
          <cell r="BY150">
            <v>1</v>
          </cell>
          <cell r="CE150" t="str">
            <v>SPT : PRV : 1D 75 Mins HH</v>
          </cell>
          <cell r="CG150" t="str">
            <v>SPT : PRV : 1D 75 Mins HH</v>
          </cell>
          <cell r="CI150">
            <v>1000</v>
          </cell>
          <cell r="CU150">
            <v>0.625</v>
          </cell>
        </row>
        <row r="151">
          <cell r="B151" t="str">
            <v>S25B</v>
          </cell>
          <cell r="C151" t="str">
            <v>Unique Code</v>
          </cell>
          <cell r="D151" t="str">
            <v>BANKNIFTY_OP_BUY_WK_SAME_1D 75 Mins_1D 75 Mins</v>
          </cell>
          <cell r="F151" t="str">
            <v>Put</v>
          </cell>
          <cell r="G151" t="str">
            <v>OPT : PRV : 1D 75 Mins HH</v>
          </cell>
          <cell r="H151" t="str">
            <v xml:space="preserve"> + </v>
          </cell>
          <cell r="I151">
            <v>0.1</v>
          </cell>
          <cell r="J151">
            <v>2</v>
          </cell>
          <cell r="L151" t="str">
            <v xml:space="preserve">PE : Entry </v>
          </cell>
          <cell r="M151" t="str">
            <v xml:space="preserve"> + </v>
          </cell>
          <cell r="N151">
            <v>0.7</v>
          </cell>
          <cell r="O151">
            <v>1</v>
          </cell>
          <cell r="AA151" t="str">
            <v>Max</v>
          </cell>
          <cell r="AB151" t="str">
            <v>MSL &amp; TSL</v>
          </cell>
          <cell r="AC151" t="str">
            <v>Entry &amp; TRP</v>
          </cell>
          <cell r="AE151" t="str">
            <v xml:space="preserve">PE : Entry </v>
          </cell>
          <cell r="AF151" t="str">
            <v xml:space="preserve"> - </v>
          </cell>
          <cell r="AG151">
            <v>0.7</v>
          </cell>
          <cell r="AJ151" t="str">
            <v xml:space="preserve"> - </v>
          </cell>
          <cell r="AK151" t="str">
            <v>OPT : PRV : 1D 75 MinsLL</v>
          </cell>
          <cell r="AL151">
            <v>0.1</v>
          </cell>
          <cell r="AM151">
            <v>2</v>
          </cell>
          <cell r="AN151" t="str">
            <v>OPT : PRV : 1D 75 MinsLL</v>
          </cell>
          <cell r="AP151">
            <v>1</v>
          </cell>
          <cell r="AQ151">
            <v>0</v>
          </cell>
          <cell r="AS151">
            <v>1</v>
          </cell>
          <cell r="AT151">
            <v>0</v>
          </cell>
          <cell r="AV151">
            <v>1</v>
          </cell>
          <cell r="AW151">
            <v>0</v>
          </cell>
          <cell r="AY151">
            <v>1</v>
          </cell>
          <cell r="AZ151">
            <v>0</v>
          </cell>
          <cell r="BB151">
            <v>1</v>
          </cell>
          <cell r="BD151" t="str">
            <v xml:space="preserve"> RC. Time</v>
          </cell>
          <cell r="BE151">
            <v>0.39582638888888888</v>
          </cell>
          <cell r="BF151">
            <v>0.39582638888888888</v>
          </cell>
          <cell r="BG151" t="str">
            <v>N.A.</v>
          </cell>
          <cell r="BJ151" t="str">
            <v>Put</v>
          </cell>
          <cell r="BK151">
            <v>0.1</v>
          </cell>
          <cell r="BL151">
            <v>0.1</v>
          </cell>
          <cell r="BO151" t="str">
            <v>Put</v>
          </cell>
          <cell r="BP151" t="str">
            <v>SPT : PRV : 1D 75 Mins LL</v>
          </cell>
          <cell r="BQ151" t="str">
            <v>-</v>
          </cell>
          <cell r="BR151">
            <v>0.05</v>
          </cell>
          <cell r="BS151" t="str">
            <v>Round Up</v>
          </cell>
          <cell r="BT151" t="str">
            <v>SPT : PRV : 1D 75 Mins LL</v>
          </cell>
          <cell r="BW151" t="str">
            <v>Round Up</v>
          </cell>
          <cell r="BX151" t="str">
            <v>+</v>
          </cell>
          <cell r="BY151">
            <v>1</v>
          </cell>
          <cell r="CE151" t="str">
            <v>SPT : PRV : 1D 75 Mins LL</v>
          </cell>
          <cell r="CG151" t="str">
            <v>SPT : PRV : 1D 75 Mins LL</v>
          </cell>
          <cell r="CI151">
            <v>1000</v>
          </cell>
        </row>
        <row r="152">
          <cell r="B152" t="str">
            <v>S25C</v>
          </cell>
          <cell r="C152" t="str">
            <v>Segment</v>
          </cell>
          <cell r="D152" t="str">
            <v>OPTIONS BUY</v>
          </cell>
          <cell r="E152" t="str">
            <v>Contract</v>
          </cell>
          <cell r="F152" t="str">
            <v>WEEKLY</v>
          </cell>
        </row>
        <row r="153">
          <cell r="B153" t="str">
            <v>S25D</v>
          </cell>
          <cell r="C153" t="str">
            <v>Symbol</v>
          </cell>
          <cell r="D153" t="str">
            <v>BANKNIFTY</v>
          </cell>
          <cell r="E153" t="str">
            <v>Bear / 
Bear CF</v>
          </cell>
          <cell r="F153" t="str">
            <v>Call</v>
          </cell>
          <cell r="G153" t="str">
            <v>OPT : PRV : 1D 75 Mins HH</v>
          </cell>
          <cell r="H153" t="str">
            <v xml:space="preserve"> + </v>
          </cell>
          <cell r="I153">
            <v>0.1</v>
          </cell>
          <cell r="J153">
            <v>2</v>
          </cell>
          <cell r="L153" t="str">
            <v xml:space="preserve">CE : Entry </v>
          </cell>
          <cell r="M153" t="str">
            <v xml:space="preserve"> + </v>
          </cell>
          <cell r="N153">
            <v>0.7</v>
          </cell>
          <cell r="O153">
            <v>1</v>
          </cell>
          <cell r="AA153" t="str">
            <v>Max</v>
          </cell>
          <cell r="AB153" t="str">
            <v>MSL &amp; TSL</v>
          </cell>
          <cell r="AC153" t="str">
            <v>Entry &amp; TRP</v>
          </cell>
          <cell r="AE153" t="str">
            <v xml:space="preserve">CE : Entry </v>
          </cell>
          <cell r="AF153" t="str">
            <v xml:space="preserve"> - </v>
          </cell>
          <cell r="AG153">
            <v>0.7</v>
          </cell>
          <cell r="AJ153" t="str">
            <v xml:space="preserve"> - </v>
          </cell>
          <cell r="AK153" t="str">
            <v>OPT : PRV : 1D 75 MinsLL</v>
          </cell>
          <cell r="AL153">
            <v>0.1</v>
          </cell>
          <cell r="AM153">
            <v>2</v>
          </cell>
          <cell r="AN153" t="str">
            <v>OPT : PRV : 1D 75 MinsLL</v>
          </cell>
          <cell r="AP153">
            <v>1</v>
          </cell>
          <cell r="AQ153">
            <v>0</v>
          </cell>
          <cell r="AS153">
            <v>1</v>
          </cell>
          <cell r="AT153">
            <v>0</v>
          </cell>
          <cell r="AV153">
            <v>1</v>
          </cell>
          <cell r="AW153">
            <v>0</v>
          </cell>
          <cell r="AY153">
            <v>1</v>
          </cell>
          <cell r="AZ153">
            <v>0</v>
          </cell>
          <cell r="BB153">
            <v>1</v>
          </cell>
          <cell r="BD153" t="str">
            <v>Market Start Time</v>
          </cell>
          <cell r="BE153">
            <v>0.38541666666666669</v>
          </cell>
          <cell r="BI153" t="str">
            <v>Bear / 
Bear CF</v>
          </cell>
          <cell r="BJ153" t="str">
            <v>Call</v>
          </cell>
          <cell r="BK153">
            <v>0.1</v>
          </cell>
          <cell r="BL153">
            <v>0.1</v>
          </cell>
          <cell r="BN153" t="str">
            <v>Bear | 
Bear CF</v>
          </cell>
          <cell r="BO153" t="str">
            <v>Call</v>
          </cell>
          <cell r="BP153" t="str">
            <v>SPT : PRV : 1D 75 Mins HH</v>
          </cell>
          <cell r="BQ153" t="str">
            <v>+</v>
          </cell>
          <cell r="BR153">
            <v>0.05</v>
          </cell>
          <cell r="BS153" t="str">
            <v>Round Down</v>
          </cell>
          <cell r="BT153" t="str">
            <v>SPT : PRV : 1D 75 Mins HH</v>
          </cell>
          <cell r="BW153" t="str">
            <v>Round Down</v>
          </cell>
          <cell r="BX153" t="str">
            <v>-</v>
          </cell>
          <cell r="BY153">
            <v>1</v>
          </cell>
          <cell r="CE153" t="str">
            <v>SPT : PRV : 1D 75 Mins HH</v>
          </cell>
          <cell r="CG153" t="str">
            <v>SPT : PRV : 1D 75 Mins HH</v>
          </cell>
          <cell r="CI153">
            <v>1000</v>
          </cell>
        </row>
        <row r="154">
          <cell r="B154" t="str">
            <v>S25E</v>
          </cell>
          <cell r="C154" t="str">
            <v>No. of Targets</v>
          </cell>
          <cell r="D154" t="str">
            <v>1 &amp; APS</v>
          </cell>
          <cell r="F154" t="str">
            <v>Put</v>
          </cell>
          <cell r="G154" t="str">
            <v>OPT : PRV : 1D 75 Mins HH</v>
          </cell>
          <cell r="H154" t="str">
            <v xml:space="preserve"> + </v>
          </cell>
          <cell r="I154">
            <v>0.1</v>
          </cell>
          <cell r="J154">
            <v>2</v>
          </cell>
          <cell r="L154" t="str">
            <v xml:space="preserve">PE : Entry </v>
          </cell>
          <cell r="M154" t="str">
            <v xml:space="preserve"> + </v>
          </cell>
          <cell r="N154">
            <v>0.7</v>
          </cell>
          <cell r="O154">
            <v>1</v>
          </cell>
          <cell r="AA154" t="str">
            <v>Max</v>
          </cell>
          <cell r="AB154" t="str">
            <v>MSL &amp; TSL</v>
          </cell>
          <cell r="AC154" t="str">
            <v>Entry &amp; TRP</v>
          </cell>
          <cell r="AE154" t="str">
            <v xml:space="preserve">PE : Entry </v>
          </cell>
          <cell r="AF154" t="str">
            <v xml:space="preserve"> - </v>
          </cell>
          <cell r="AG154">
            <v>0.7</v>
          </cell>
          <cell r="AJ154" t="str">
            <v xml:space="preserve"> - </v>
          </cell>
          <cell r="AK154" t="str">
            <v>OPT : PRV : 1D 75 MinsLL</v>
          </cell>
          <cell r="AL154">
            <v>0.1</v>
          </cell>
          <cell r="AM154">
            <v>2</v>
          </cell>
          <cell r="AN154" t="str">
            <v>OPT : PRV : 1D 75 MinsLL</v>
          </cell>
          <cell r="AP154">
            <v>1</v>
          </cell>
          <cell r="AQ154">
            <v>0</v>
          </cell>
          <cell r="AS154">
            <v>1</v>
          </cell>
          <cell r="AT154">
            <v>0</v>
          </cell>
          <cell r="AV154">
            <v>1</v>
          </cell>
          <cell r="AW154">
            <v>0</v>
          </cell>
          <cell r="AY154">
            <v>1</v>
          </cell>
          <cell r="AZ154">
            <v>0</v>
          </cell>
          <cell r="BB154">
            <v>1</v>
          </cell>
          <cell r="BD154" t="str">
            <v>Market End Time</v>
          </cell>
          <cell r="BE154">
            <v>0.64583333333333337</v>
          </cell>
          <cell r="BJ154" t="str">
            <v>Put</v>
          </cell>
          <cell r="BK154">
            <v>0.1</v>
          </cell>
          <cell r="BL154">
            <v>0.1</v>
          </cell>
          <cell r="BO154" t="str">
            <v>Put</v>
          </cell>
          <cell r="BP154" t="str">
            <v>SPT : PRV : 1D 75 Mins LL</v>
          </cell>
          <cell r="BQ154" t="str">
            <v>-</v>
          </cell>
          <cell r="BR154">
            <v>0.05</v>
          </cell>
          <cell r="BS154" t="str">
            <v>Round Up</v>
          </cell>
          <cell r="BT154" t="str">
            <v>SPT : PRV : 1D 75 Mins LL</v>
          </cell>
          <cell r="BW154" t="str">
            <v>Round Up</v>
          </cell>
          <cell r="BX154" t="str">
            <v>+</v>
          </cell>
          <cell r="BY154">
            <v>1</v>
          </cell>
          <cell r="CE154" t="str">
            <v>SPT : PRV : 1D 75 Mins LL</v>
          </cell>
          <cell r="CG154" t="str">
            <v>SPT : PRV : 1D 75 Mins LL</v>
          </cell>
          <cell r="CI154">
            <v>1000</v>
          </cell>
        </row>
        <row r="156">
          <cell r="B156" t="str">
            <v>S26A</v>
          </cell>
          <cell r="C156" t="str">
            <v>Strategy Code</v>
          </cell>
          <cell r="D156" t="str">
            <v>S26</v>
          </cell>
          <cell r="E156" t="str">
            <v>Bull / 
Bull CF</v>
          </cell>
          <cell r="F156" t="str">
            <v>Call</v>
          </cell>
          <cell r="G156" t="str">
            <v>OPT : PRV : 2D HH</v>
          </cell>
          <cell r="H156" t="str">
            <v xml:space="preserve"> + </v>
          </cell>
          <cell r="I156">
            <v>0.05</v>
          </cell>
          <cell r="J156">
            <v>5</v>
          </cell>
          <cell r="L156" t="str">
            <v xml:space="preserve">CE : Entry </v>
          </cell>
          <cell r="M156" t="str">
            <v xml:space="preserve"> + </v>
          </cell>
          <cell r="N156">
            <v>0.03</v>
          </cell>
          <cell r="O156">
            <v>1</v>
          </cell>
          <cell r="P156">
            <v>4.4999999999999998E-2</v>
          </cell>
          <cell r="Q156">
            <v>1</v>
          </cell>
          <cell r="R156">
            <v>0.06</v>
          </cell>
          <cell r="S156">
            <v>1</v>
          </cell>
          <cell r="T156">
            <v>0.08</v>
          </cell>
          <cell r="U156">
            <v>1</v>
          </cell>
          <cell r="V156" t="str">
            <v>TR PROFIT AFTER TGT 4</v>
          </cell>
          <cell r="W156">
            <v>1</v>
          </cell>
          <cell r="AA156" t="str">
            <v>Max</v>
          </cell>
          <cell r="AB156" t="str">
            <v>MSL &amp; TSL</v>
          </cell>
          <cell r="AC156" t="str">
            <v>Entry &amp; TRP</v>
          </cell>
          <cell r="AE156" t="str">
            <v xml:space="preserve">CE : Entry </v>
          </cell>
          <cell r="AF156" t="str">
            <v xml:space="preserve"> - </v>
          </cell>
          <cell r="AG156">
            <v>0.03</v>
          </cell>
          <cell r="AJ156" t="str">
            <v xml:space="preserve"> - </v>
          </cell>
          <cell r="AK156" t="str">
            <v>OPT : PRV : 3DLL</v>
          </cell>
          <cell r="AL156">
            <v>0.12</v>
          </cell>
          <cell r="AM156">
            <v>5</v>
          </cell>
          <cell r="AN156" t="str">
            <v>OPT : PRV : 3DLL</v>
          </cell>
          <cell r="AO156">
            <v>0.12</v>
          </cell>
          <cell r="AP156">
            <v>4</v>
          </cell>
          <cell r="AQ156" t="str">
            <v>OPT : PRV : 3DLL</v>
          </cell>
          <cell r="AR156">
            <v>0.12</v>
          </cell>
          <cell r="AS156">
            <v>3</v>
          </cell>
          <cell r="AT156" t="str">
            <v>OPT : PRV : 3DLL</v>
          </cell>
          <cell r="AU156">
            <v>0.12</v>
          </cell>
          <cell r="AV156">
            <v>2</v>
          </cell>
          <cell r="AW156" t="str">
            <v>OPT : PRV : 3DLL</v>
          </cell>
          <cell r="AX156">
            <v>0.12</v>
          </cell>
          <cell r="AY156">
            <v>1</v>
          </cell>
          <cell r="AZ156">
            <v>0</v>
          </cell>
          <cell r="BA156" t="str">
            <v>N.A.</v>
          </cell>
          <cell r="BB156">
            <v>0</v>
          </cell>
          <cell r="BD156" t="str">
            <v xml:space="preserve">ORPT </v>
          </cell>
          <cell r="BE156">
            <v>0.39235416666666667</v>
          </cell>
          <cell r="BF156">
            <v>0.39235416666666667</v>
          </cell>
          <cell r="BG156">
            <v>0.38541666666666669</v>
          </cell>
          <cell r="BI156" t="str">
            <v>Bull / 
Bull CF</v>
          </cell>
          <cell r="BJ156" t="str">
            <v>Call</v>
          </cell>
          <cell r="BK156">
            <v>0.05</v>
          </cell>
          <cell r="BL156">
            <v>0.12</v>
          </cell>
          <cell r="BN156" t="str">
            <v>Bull | 
Bull CF</v>
          </cell>
          <cell r="BO156" t="str">
            <v>Call</v>
          </cell>
          <cell r="BP156" t="str">
            <v>SPT : PRV : 2DHH</v>
          </cell>
          <cell r="BQ156" t="str">
            <v>-</v>
          </cell>
          <cell r="BR156">
            <v>0.03</v>
          </cell>
          <cell r="BS156" t="str">
            <v>Round Down</v>
          </cell>
          <cell r="BT156" t="str">
            <v>SPT : PRV : 2DHH</v>
          </cell>
          <cell r="BU156" t="str">
            <v>+</v>
          </cell>
          <cell r="BV156">
            <v>0.03</v>
          </cell>
          <cell r="BW156" t="str">
            <v>Round Down</v>
          </cell>
          <cell r="CE156" t="str">
            <v>SPT : PRV : 2DHH</v>
          </cell>
          <cell r="CF156">
            <v>0.08</v>
          </cell>
          <cell r="CI156">
            <v>100</v>
          </cell>
          <cell r="CL156" t="str">
            <v>Final Strike</v>
          </cell>
          <cell r="CR156">
            <v>0.03</v>
          </cell>
          <cell r="CS156">
            <v>0.03</v>
          </cell>
          <cell r="CU156">
            <v>0.625</v>
          </cell>
        </row>
        <row r="157">
          <cell r="B157" t="str">
            <v>S26B</v>
          </cell>
          <cell r="C157" t="str">
            <v>Unique Code</v>
          </cell>
          <cell r="D157" t="str">
            <v>STOCKS_OP_BUY_MT_DIFF_2D_4D</v>
          </cell>
          <cell r="F157" t="str">
            <v>Put</v>
          </cell>
          <cell r="G157" t="str">
            <v>OPT : PRV : 4D HH</v>
          </cell>
          <cell r="H157" t="str">
            <v xml:space="preserve"> + </v>
          </cell>
          <cell r="I157">
            <v>7.0000000000000007E-2</v>
          </cell>
          <cell r="J157">
            <v>5</v>
          </cell>
          <cell r="L157" t="str">
            <v xml:space="preserve">PE : Entry </v>
          </cell>
          <cell r="M157" t="str">
            <v xml:space="preserve"> + </v>
          </cell>
          <cell r="N157">
            <v>0.03</v>
          </cell>
          <cell r="O157">
            <v>1</v>
          </cell>
          <cell r="P157">
            <v>4.4999999999999998E-2</v>
          </cell>
          <cell r="Q157">
            <v>1</v>
          </cell>
          <cell r="R157">
            <v>0.06</v>
          </cell>
          <cell r="S157">
            <v>1</v>
          </cell>
          <cell r="T157">
            <v>0.08</v>
          </cell>
          <cell r="U157">
            <v>1</v>
          </cell>
          <cell r="V157" t="str">
            <v>TR PROFIT AFTER TGT 4</v>
          </cell>
          <cell r="W157">
            <v>1</v>
          </cell>
          <cell r="AA157" t="str">
            <v>Max</v>
          </cell>
          <cell r="AB157" t="str">
            <v>MSL &amp; TSL</v>
          </cell>
          <cell r="AC157" t="str">
            <v>Entry &amp; TRP</v>
          </cell>
          <cell r="AE157" t="str">
            <v xml:space="preserve">PE : Entry </v>
          </cell>
          <cell r="AF157" t="str">
            <v xml:space="preserve"> - </v>
          </cell>
          <cell r="AG157">
            <v>0.03</v>
          </cell>
          <cell r="AJ157" t="str">
            <v xml:space="preserve"> - </v>
          </cell>
          <cell r="AK157" t="str">
            <v>OPT : PRV : 2DLL</v>
          </cell>
          <cell r="AL157">
            <v>0.1</v>
          </cell>
          <cell r="AM157">
            <v>5</v>
          </cell>
          <cell r="AN157" t="str">
            <v>OPT : PRV : 2DLL</v>
          </cell>
          <cell r="AO157">
            <v>0.1</v>
          </cell>
          <cell r="AP157">
            <v>4</v>
          </cell>
          <cell r="AQ157" t="str">
            <v>OPT : PRV : 2DLL</v>
          </cell>
          <cell r="AR157">
            <v>0.1</v>
          </cell>
          <cell r="AS157">
            <v>3</v>
          </cell>
          <cell r="AT157" t="str">
            <v>OPT : PRV : 2DLL</v>
          </cell>
          <cell r="AU157">
            <v>0.1</v>
          </cell>
          <cell r="AV157">
            <v>2</v>
          </cell>
          <cell r="AW157" t="str">
            <v>OPT : PRV : 2DLL</v>
          </cell>
          <cell r="AX157">
            <v>0.1</v>
          </cell>
          <cell r="AY157">
            <v>1</v>
          </cell>
          <cell r="AZ157">
            <v>0</v>
          </cell>
          <cell r="BA157" t="str">
            <v>N.A.</v>
          </cell>
          <cell r="BB157">
            <v>0</v>
          </cell>
          <cell r="BD157" t="str">
            <v xml:space="preserve"> RC. Time</v>
          </cell>
          <cell r="BE157">
            <v>0.39582638888888888</v>
          </cell>
          <cell r="BF157">
            <v>0.39582638888888888</v>
          </cell>
          <cell r="BG157" t="str">
            <v>N.A.</v>
          </cell>
          <cell r="BJ157" t="str">
            <v>Put</v>
          </cell>
          <cell r="BK157">
            <v>7.0000000000000007E-2</v>
          </cell>
          <cell r="BL157">
            <v>0.1</v>
          </cell>
          <cell r="BO157" t="str">
            <v>Put</v>
          </cell>
          <cell r="BP157" t="str">
            <v>SPT : PRV : 4DLL</v>
          </cell>
          <cell r="BQ157" t="str">
            <v>+</v>
          </cell>
          <cell r="BR157">
            <v>0.03</v>
          </cell>
          <cell r="BS157" t="str">
            <v>Round Up</v>
          </cell>
          <cell r="BT157" t="str">
            <v>SPT : PRV : 4DLL</v>
          </cell>
          <cell r="BU157" t="str">
            <v>-</v>
          </cell>
          <cell r="BV157">
            <v>0.03</v>
          </cell>
          <cell r="BW157" t="str">
            <v>Round Up</v>
          </cell>
          <cell r="CE157" t="str">
            <v>SPT : PRV : 4DLL</v>
          </cell>
          <cell r="CF157">
            <v>0.08</v>
          </cell>
          <cell r="CI157">
            <v>100</v>
          </cell>
          <cell r="CL157" t="str">
            <v>Final Strike</v>
          </cell>
          <cell r="CR157">
            <v>0.03</v>
          </cell>
          <cell r="CS157">
            <v>0.03</v>
          </cell>
        </row>
        <row r="158">
          <cell r="B158" t="str">
            <v>S26C</v>
          </cell>
          <cell r="C158" t="str">
            <v>Segment</v>
          </cell>
          <cell r="D158" t="str">
            <v>OPTIONS BUY</v>
          </cell>
          <cell r="E158" t="str">
            <v>Contract</v>
          </cell>
          <cell r="F158" t="str">
            <v>MONTHLY</v>
          </cell>
        </row>
        <row r="159">
          <cell r="B159" t="str">
            <v>S26D</v>
          </cell>
          <cell r="C159" t="str">
            <v>Symbol</v>
          </cell>
          <cell r="D159" t="str">
            <v>STOCKS</v>
          </cell>
          <cell r="E159" t="str">
            <v>Bear / 
Bear CF</v>
          </cell>
          <cell r="F159" t="str">
            <v>Call</v>
          </cell>
          <cell r="G159" t="str">
            <v>OPT : PRV : 4D HH</v>
          </cell>
          <cell r="H159" t="str">
            <v xml:space="preserve"> + </v>
          </cell>
          <cell r="I159">
            <v>7.0000000000000007E-2</v>
          </cell>
          <cell r="J159">
            <v>5</v>
          </cell>
          <cell r="L159" t="str">
            <v xml:space="preserve">CE : Entry </v>
          </cell>
          <cell r="M159" t="str">
            <v xml:space="preserve"> + </v>
          </cell>
          <cell r="N159">
            <v>0.03</v>
          </cell>
          <cell r="O159">
            <v>1</v>
          </cell>
          <cell r="P159">
            <v>4.4999999999999998E-2</v>
          </cell>
          <cell r="Q159">
            <v>1</v>
          </cell>
          <cell r="R159">
            <v>0.06</v>
          </cell>
          <cell r="S159">
            <v>1</v>
          </cell>
          <cell r="T159">
            <v>0.08</v>
          </cell>
          <cell r="U159">
            <v>1</v>
          </cell>
          <cell r="V159" t="str">
            <v>TR PROFIT AFTER TGT 4</v>
          </cell>
          <cell r="W159">
            <v>1</v>
          </cell>
          <cell r="AA159" t="str">
            <v>Max</v>
          </cell>
          <cell r="AB159" t="str">
            <v>MSL &amp; TSL</v>
          </cell>
          <cell r="AC159" t="str">
            <v>Entry &amp; TRP</v>
          </cell>
          <cell r="AE159" t="str">
            <v xml:space="preserve">CE : Entry </v>
          </cell>
          <cell r="AF159" t="str">
            <v xml:space="preserve"> - </v>
          </cell>
          <cell r="AG159">
            <v>0.03</v>
          </cell>
          <cell r="AJ159" t="str">
            <v xml:space="preserve"> - </v>
          </cell>
          <cell r="AK159" t="str">
            <v>OPT : PRV : 2DLL</v>
          </cell>
          <cell r="AL159">
            <v>0.1</v>
          </cell>
          <cell r="AM159">
            <v>5</v>
          </cell>
          <cell r="AN159" t="str">
            <v>OPT : PRV : 2DLL</v>
          </cell>
          <cell r="AO159">
            <v>0.1</v>
          </cell>
          <cell r="AP159">
            <v>4</v>
          </cell>
          <cell r="AQ159" t="str">
            <v>OPT : PRV : 2DLL</v>
          </cell>
          <cell r="AR159">
            <v>0.1</v>
          </cell>
          <cell r="AS159">
            <v>3</v>
          </cell>
          <cell r="AT159" t="str">
            <v>OPT : PRV : 2DLL</v>
          </cell>
          <cell r="AU159">
            <v>0.1</v>
          </cell>
          <cell r="AV159">
            <v>2</v>
          </cell>
          <cell r="AW159" t="str">
            <v>OPT : PRV : 2DLL</v>
          </cell>
          <cell r="AX159">
            <v>0.1</v>
          </cell>
          <cell r="AY159">
            <v>1</v>
          </cell>
          <cell r="AZ159">
            <v>0</v>
          </cell>
          <cell r="BA159" t="str">
            <v>N.A.</v>
          </cell>
          <cell r="BB159">
            <v>0</v>
          </cell>
          <cell r="BD159" t="str">
            <v>Market Start Time</v>
          </cell>
          <cell r="BE159">
            <v>0.38541666666666669</v>
          </cell>
          <cell r="BI159" t="str">
            <v>Bear / 
Bear CF</v>
          </cell>
          <cell r="BJ159" t="str">
            <v>Call</v>
          </cell>
          <cell r="BK159">
            <v>7.0000000000000007E-2</v>
          </cell>
          <cell r="BL159">
            <v>0.1</v>
          </cell>
          <cell r="BN159" t="str">
            <v>Bear | 
Bear CF</v>
          </cell>
          <cell r="BO159" t="str">
            <v>Call</v>
          </cell>
          <cell r="BP159" t="str">
            <v>SPT : PRV : 4DHH</v>
          </cell>
          <cell r="BQ159" t="str">
            <v>-</v>
          </cell>
          <cell r="BR159">
            <v>0.03</v>
          </cell>
          <cell r="BS159" t="str">
            <v>Round Down</v>
          </cell>
          <cell r="BT159" t="str">
            <v>SPT : PRV : 4DHH</v>
          </cell>
          <cell r="BU159" t="str">
            <v>+</v>
          </cell>
          <cell r="BV159">
            <v>0.03</v>
          </cell>
          <cell r="BW159" t="str">
            <v>Round Down</v>
          </cell>
          <cell r="CE159" t="str">
            <v>SPT : PRV : 4DHH</v>
          </cell>
          <cell r="CF159">
            <v>0.08</v>
          </cell>
          <cell r="CI159">
            <v>100</v>
          </cell>
          <cell r="CL159" t="str">
            <v>Final Strike</v>
          </cell>
          <cell r="CR159">
            <v>0.03</v>
          </cell>
          <cell r="CS159">
            <v>0.03</v>
          </cell>
        </row>
        <row r="160">
          <cell r="B160" t="str">
            <v>S26E</v>
          </cell>
          <cell r="C160" t="str">
            <v>No. of Targets</v>
          </cell>
          <cell r="D160" t="str">
            <v>4 &amp; APS</v>
          </cell>
          <cell r="F160" t="str">
            <v>Put</v>
          </cell>
          <cell r="G160" t="str">
            <v>OPT : PRV : 2D HH</v>
          </cell>
          <cell r="H160" t="str">
            <v xml:space="preserve"> + </v>
          </cell>
          <cell r="I160">
            <v>0.05</v>
          </cell>
          <cell r="J160">
            <v>5</v>
          </cell>
          <cell r="L160" t="str">
            <v xml:space="preserve">PE : Entry </v>
          </cell>
          <cell r="M160" t="str">
            <v xml:space="preserve"> + </v>
          </cell>
          <cell r="N160">
            <v>0.03</v>
          </cell>
          <cell r="O160">
            <v>1</v>
          </cell>
          <cell r="P160">
            <v>4.4999999999999998E-2</v>
          </cell>
          <cell r="Q160">
            <v>1</v>
          </cell>
          <cell r="R160">
            <v>0.06</v>
          </cell>
          <cell r="S160">
            <v>1</v>
          </cell>
          <cell r="T160">
            <v>0.08</v>
          </cell>
          <cell r="U160">
            <v>1</v>
          </cell>
          <cell r="V160" t="str">
            <v>TR PROFIT AFTER TGT 4</v>
          </cell>
          <cell r="W160">
            <v>1</v>
          </cell>
          <cell r="AA160" t="str">
            <v>Max</v>
          </cell>
          <cell r="AB160" t="str">
            <v>MSL &amp; TSL</v>
          </cell>
          <cell r="AC160" t="str">
            <v>Entry &amp; TRP</v>
          </cell>
          <cell r="AE160" t="str">
            <v xml:space="preserve">PE : Entry </v>
          </cell>
          <cell r="AF160" t="str">
            <v xml:space="preserve"> - </v>
          </cell>
          <cell r="AG160">
            <v>0.03</v>
          </cell>
          <cell r="AJ160" t="str">
            <v xml:space="preserve"> - </v>
          </cell>
          <cell r="AK160" t="str">
            <v>OPT : PRV : 3DLL</v>
          </cell>
          <cell r="AL160">
            <v>0.12</v>
          </cell>
          <cell r="AM160">
            <v>5</v>
          </cell>
          <cell r="AN160" t="str">
            <v>OPT : PRV : 3DLL</v>
          </cell>
          <cell r="AO160">
            <v>0.12</v>
          </cell>
          <cell r="AP160">
            <v>4</v>
          </cell>
          <cell r="AQ160" t="str">
            <v>OPT : PRV : 3DLL</v>
          </cell>
          <cell r="AR160">
            <v>0.12</v>
          </cell>
          <cell r="AS160">
            <v>3</v>
          </cell>
          <cell r="AT160" t="str">
            <v>OPT : PRV : 3DLL</v>
          </cell>
          <cell r="AU160">
            <v>0.12</v>
          </cell>
          <cell r="AV160">
            <v>2</v>
          </cell>
          <cell r="AW160" t="str">
            <v>OPT : PRV : 3DLL</v>
          </cell>
          <cell r="AX160">
            <v>0.12</v>
          </cell>
          <cell r="AY160">
            <v>1</v>
          </cell>
          <cell r="AZ160">
            <v>0</v>
          </cell>
          <cell r="BA160" t="str">
            <v>N.A.</v>
          </cell>
          <cell r="BB160">
            <v>0</v>
          </cell>
          <cell r="BD160" t="str">
            <v>Market End Time</v>
          </cell>
          <cell r="BE160">
            <v>0.64583333333333337</v>
          </cell>
          <cell r="BJ160" t="str">
            <v>Put</v>
          </cell>
          <cell r="BK160">
            <v>0.05</v>
          </cell>
          <cell r="BL160">
            <v>0.12</v>
          </cell>
          <cell r="BO160" t="str">
            <v>Put</v>
          </cell>
          <cell r="BP160" t="str">
            <v>SPT : PRV : 2DLL</v>
          </cell>
          <cell r="BQ160" t="str">
            <v>+</v>
          </cell>
          <cell r="BR160">
            <v>0.03</v>
          </cell>
          <cell r="BS160" t="str">
            <v>Round Up</v>
          </cell>
          <cell r="BT160" t="str">
            <v>SPT : PRV : 2DLL</v>
          </cell>
          <cell r="BU160" t="str">
            <v>-</v>
          </cell>
          <cell r="BV160">
            <v>0.03</v>
          </cell>
          <cell r="BW160" t="str">
            <v>Round Up</v>
          </cell>
          <cell r="CE160" t="str">
            <v>SPT : PRV : 2DLL</v>
          </cell>
          <cell r="CF160">
            <v>0.08</v>
          </cell>
          <cell r="CI160">
            <v>100</v>
          </cell>
          <cell r="CL160" t="str">
            <v>Final Strike</v>
          </cell>
          <cell r="CR160">
            <v>0.03</v>
          </cell>
          <cell r="CS160">
            <v>0.03</v>
          </cell>
        </row>
        <row r="162">
          <cell r="B162" t="str">
            <v>S27A</v>
          </cell>
          <cell r="C162" t="str">
            <v>Strategy Code</v>
          </cell>
          <cell r="D162" t="str">
            <v>S27</v>
          </cell>
          <cell r="E162" t="str">
            <v>Bull / 
Bull CF</v>
          </cell>
          <cell r="F162" t="str">
            <v>Call</v>
          </cell>
          <cell r="G162" t="str">
            <v>OPT : PRV : 2D HH</v>
          </cell>
          <cell r="H162" t="str">
            <v xml:space="preserve"> + </v>
          </cell>
          <cell r="I162">
            <v>0.05</v>
          </cell>
          <cell r="J162">
            <v>5</v>
          </cell>
          <cell r="L162" t="str">
            <v xml:space="preserve">CE : Entry </v>
          </cell>
          <cell r="M162" t="str">
            <v xml:space="preserve"> + </v>
          </cell>
          <cell r="N162">
            <v>0.03</v>
          </cell>
          <cell r="O162">
            <v>1</v>
          </cell>
          <cell r="P162">
            <v>4.4999999999999998E-2</v>
          </cell>
          <cell r="Q162">
            <v>1</v>
          </cell>
          <cell r="R162">
            <v>0.06</v>
          </cell>
          <cell r="S162">
            <v>1</v>
          </cell>
          <cell r="T162">
            <v>0.08</v>
          </cell>
          <cell r="U162">
            <v>1</v>
          </cell>
          <cell r="V162" t="str">
            <v>TR PROFIT AFTER TGT 4</v>
          </cell>
          <cell r="W162">
            <v>1</v>
          </cell>
          <cell r="AA162" t="str">
            <v>Max</v>
          </cell>
          <cell r="AB162" t="str">
            <v>MSL &amp; TSL</v>
          </cell>
          <cell r="AC162" t="str">
            <v>Entry &amp; TRP</v>
          </cell>
          <cell r="AE162" t="str">
            <v xml:space="preserve">CE : Entry </v>
          </cell>
          <cell r="AF162" t="str">
            <v xml:space="preserve"> - </v>
          </cell>
          <cell r="AG162">
            <v>0.03</v>
          </cell>
          <cell r="AJ162" t="str">
            <v xml:space="preserve"> - </v>
          </cell>
          <cell r="AM162">
            <v>5</v>
          </cell>
          <cell r="AP162">
            <v>4</v>
          </cell>
          <cell r="AS162">
            <v>3</v>
          </cell>
          <cell r="AV162">
            <v>2</v>
          </cell>
          <cell r="AY162">
            <v>1</v>
          </cell>
          <cell r="BD162" t="str">
            <v xml:space="preserve">ORPT </v>
          </cell>
          <cell r="BE162">
            <v>0.39235416666666667</v>
          </cell>
          <cell r="BF162">
            <v>0.39235416666666667</v>
          </cell>
          <cell r="BG162">
            <v>0.38541666666666669</v>
          </cell>
          <cell r="BI162" t="str">
            <v>Bull / 
Bull CF</v>
          </cell>
          <cell r="BJ162" t="str">
            <v>Call</v>
          </cell>
          <cell r="BK162">
            <v>0.05</v>
          </cell>
          <cell r="BN162" t="str">
            <v>Bull | 
Bull CF</v>
          </cell>
          <cell r="BO162" t="str">
            <v>Call</v>
          </cell>
          <cell r="BP162" t="str">
            <v>SPT : PRV : 2DHH</v>
          </cell>
          <cell r="BS162" t="str">
            <v>Round off to the Nearest Strike</v>
          </cell>
          <cell r="BT162" t="str">
            <v>SPT : PRV : 2DHH</v>
          </cell>
          <cell r="BW162" t="str">
            <v>Nearest Strike</v>
          </cell>
          <cell r="BX162" t="str">
            <v>-</v>
          </cell>
          <cell r="BY162">
            <v>1</v>
          </cell>
          <cell r="BZ162" t="str">
            <v>SPT : PRV : 2DHH</v>
          </cell>
          <cell r="CA162" t="str">
            <v>Nearest Strike</v>
          </cell>
          <cell r="CB162" t="str">
            <v>+</v>
          </cell>
          <cell r="CC162">
            <v>1</v>
          </cell>
          <cell r="CI162">
            <v>100</v>
          </cell>
          <cell r="CL162" t="str">
            <v>Final Strike</v>
          </cell>
          <cell r="CU162">
            <v>0.625</v>
          </cell>
        </row>
        <row r="163">
          <cell r="B163" t="str">
            <v>S27B</v>
          </cell>
          <cell r="C163" t="str">
            <v>Unique Code</v>
          </cell>
          <cell r="D163" t="str">
            <v>STOCKS_OP_BUY_MT_DIFF_2D_2D</v>
          </cell>
          <cell r="F163" t="str">
            <v>Put</v>
          </cell>
          <cell r="AM163">
            <v>0</v>
          </cell>
          <cell r="BD163" t="str">
            <v xml:space="preserve"> RC. Time</v>
          </cell>
          <cell r="BE163">
            <v>0.39582638888888888</v>
          </cell>
          <cell r="BF163">
            <v>0.39582638888888888</v>
          </cell>
          <cell r="BG163" t="str">
            <v>N.A.</v>
          </cell>
          <cell r="BJ163" t="str">
            <v>Put</v>
          </cell>
          <cell r="BO163" t="str">
            <v>Put</v>
          </cell>
          <cell r="BT163">
            <v>0</v>
          </cell>
          <cell r="BZ163">
            <v>0</v>
          </cell>
          <cell r="CE163">
            <v>0</v>
          </cell>
          <cell r="CG163">
            <v>0</v>
          </cell>
          <cell r="CL163" t="str">
            <v>Final Strike</v>
          </cell>
        </row>
        <row r="164">
          <cell r="B164" t="str">
            <v>S27C</v>
          </cell>
          <cell r="C164" t="str">
            <v>Segment</v>
          </cell>
          <cell r="D164" t="str">
            <v>OPTIONS BUY</v>
          </cell>
          <cell r="E164" t="str">
            <v>Contract</v>
          </cell>
          <cell r="F164" t="str">
            <v>MONTHLY</v>
          </cell>
        </row>
        <row r="165">
          <cell r="B165" t="str">
            <v>S27D</v>
          </cell>
          <cell r="C165" t="str">
            <v>Symbol</v>
          </cell>
          <cell r="D165" t="str">
            <v>STOCKS</v>
          </cell>
          <cell r="E165" t="str">
            <v>Bear / 
Bear CF</v>
          </cell>
          <cell r="F165" t="str">
            <v>Call</v>
          </cell>
          <cell r="AM165">
            <v>0</v>
          </cell>
          <cell r="BD165" t="str">
            <v>Market Start Time</v>
          </cell>
          <cell r="BE165">
            <v>0.38541666666666669</v>
          </cell>
          <cell r="BI165" t="str">
            <v>Bear / 
Bear CF</v>
          </cell>
          <cell r="BJ165" t="str">
            <v>Call</v>
          </cell>
          <cell r="BN165" t="str">
            <v>Bear | 
Bear CF</v>
          </cell>
          <cell r="BO165" t="str">
            <v>Call</v>
          </cell>
          <cell r="CL165" t="str">
            <v>Final Strike</v>
          </cell>
        </row>
        <row r="166">
          <cell r="B166" t="str">
            <v>S27E</v>
          </cell>
          <cell r="C166" t="str">
            <v>No. of Targets</v>
          </cell>
          <cell r="D166" t="str">
            <v>4 &amp; APS</v>
          </cell>
          <cell r="F166" t="str">
            <v>Put</v>
          </cell>
          <cell r="G166" t="str">
            <v>OPT : PRV : 2D HH</v>
          </cell>
          <cell r="H166" t="str">
            <v xml:space="preserve"> + </v>
          </cell>
          <cell r="I166">
            <v>0.05</v>
          </cell>
          <cell r="J166">
            <v>5</v>
          </cell>
          <cell r="L166" t="str">
            <v xml:space="preserve">PE : Entry </v>
          </cell>
          <cell r="M166" t="str">
            <v xml:space="preserve"> + </v>
          </cell>
          <cell r="N166">
            <v>0.03</v>
          </cell>
          <cell r="O166">
            <v>1</v>
          </cell>
          <cell r="P166">
            <v>4.4999999999999998E-2</v>
          </cell>
          <cell r="Q166">
            <v>1</v>
          </cell>
          <cell r="R166">
            <v>0.06</v>
          </cell>
          <cell r="S166">
            <v>1</v>
          </cell>
          <cell r="T166">
            <v>0.08</v>
          </cell>
          <cell r="U166">
            <v>1</v>
          </cell>
          <cell r="V166" t="str">
            <v>TR PROFIT AFTER TGT 4</v>
          </cell>
          <cell r="W166">
            <v>1</v>
          </cell>
          <cell r="AA166" t="str">
            <v>Max</v>
          </cell>
          <cell r="AB166" t="str">
            <v>MSL &amp; TSL</v>
          </cell>
          <cell r="AC166" t="str">
            <v>Entry &amp; TRP</v>
          </cell>
          <cell r="AE166" t="str">
            <v xml:space="preserve">PE : Entry </v>
          </cell>
          <cell r="AF166" t="str">
            <v xml:space="preserve"> - </v>
          </cell>
          <cell r="AG166">
            <v>0.03</v>
          </cell>
          <cell r="AJ166" t="str">
            <v xml:space="preserve"> - </v>
          </cell>
          <cell r="AM166">
            <v>5</v>
          </cell>
          <cell r="AP166">
            <v>4</v>
          </cell>
          <cell r="AS166">
            <v>3</v>
          </cell>
          <cell r="AV166">
            <v>2</v>
          </cell>
          <cell r="AY166">
            <v>1</v>
          </cell>
          <cell r="BD166" t="str">
            <v>Market End Time</v>
          </cell>
          <cell r="BE166">
            <v>0.64583333333333337</v>
          </cell>
          <cell r="BJ166" t="str">
            <v>Put</v>
          </cell>
          <cell r="BK166">
            <v>0.05</v>
          </cell>
          <cell r="BO166" t="str">
            <v>Put</v>
          </cell>
          <cell r="BP166" t="str">
            <v>SPT : PRV : 2DLL</v>
          </cell>
          <cell r="BS166" t="str">
            <v>Round off to the Nearest Strike</v>
          </cell>
          <cell r="BT166" t="str">
            <v>SPT : PRV : 2DLL</v>
          </cell>
          <cell r="BW166" t="str">
            <v>Nearest Strike</v>
          </cell>
          <cell r="BX166" t="str">
            <v>+</v>
          </cell>
          <cell r="BY166">
            <v>1</v>
          </cell>
          <cell r="BZ166" t="str">
            <v>SPT : PRV : 2DLL</v>
          </cell>
          <cell r="CA166" t="str">
            <v>Nearest Strike</v>
          </cell>
          <cell r="CB166" t="str">
            <v>-</v>
          </cell>
          <cell r="CC166">
            <v>1</v>
          </cell>
          <cell r="CI166">
            <v>100</v>
          </cell>
          <cell r="CL166" t="str">
            <v>Final Strike</v>
          </cell>
        </row>
        <row r="168">
          <cell r="B168" t="str">
            <v>S28A</v>
          </cell>
          <cell r="C168" t="str">
            <v>Strategy Code</v>
          </cell>
          <cell r="D168" t="str">
            <v>S28</v>
          </cell>
          <cell r="E168">
            <v>0</v>
          </cell>
          <cell r="F168" t="str">
            <v>Long</v>
          </cell>
          <cell r="G168" t="str">
            <v>SPT : DCC HH</v>
          </cell>
          <cell r="H168" t="str">
            <v xml:space="preserve"> + </v>
          </cell>
          <cell r="I168">
            <v>0.01</v>
          </cell>
          <cell r="J168">
            <v>1</v>
          </cell>
          <cell r="L168" t="str">
            <v xml:space="preserve">L : Entry </v>
          </cell>
          <cell r="M168" t="str">
            <v xml:space="preserve"> + </v>
          </cell>
          <cell r="N168">
            <v>0.125</v>
          </cell>
          <cell r="O168">
            <v>0.2</v>
          </cell>
          <cell r="P168">
            <v>0.25</v>
          </cell>
          <cell r="Q168">
            <v>0.2</v>
          </cell>
          <cell r="R168">
            <v>0.5</v>
          </cell>
          <cell r="S168">
            <v>0.1</v>
          </cell>
          <cell r="T168">
            <v>0.75</v>
          </cell>
          <cell r="U168">
            <v>0.1</v>
          </cell>
          <cell r="V168">
            <v>1</v>
          </cell>
          <cell r="W168">
            <v>0.1</v>
          </cell>
          <cell r="X168" t="str">
            <v>TR PROFIT AFTER TGT 5</v>
          </cell>
          <cell r="Y168">
            <v>0.3</v>
          </cell>
          <cell r="AA168" t="str">
            <v>Max</v>
          </cell>
          <cell r="AB168" t="str">
            <v>MSL &amp; TSL</v>
          </cell>
          <cell r="AC168" t="str">
            <v>Entry &amp; TRP</v>
          </cell>
          <cell r="AE168" t="str">
            <v>L : Entry</v>
          </cell>
          <cell r="AF168" t="str">
            <v xml:space="preserve"> - </v>
          </cell>
          <cell r="AG168">
            <v>0.25</v>
          </cell>
          <cell r="AJ168" t="str">
            <v xml:space="preserve"> - </v>
          </cell>
          <cell r="AK168" t="str">
            <v>SPT : PRV M : 20 SMA</v>
          </cell>
          <cell r="AM168">
            <v>1</v>
          </cell>
          <cell r="AN168" t="str">
            <v>SPT : PRV M : 20 SMA</v>
          </cell>
          <cell r="AO168" t="str">
            <v/>
          </cell>
          <cell r="AP168">
            <v>0.8</v>
          </cell>
          <cell r="AQ168" t="str">
            <v>SPT : PRV M : 20 SMA</v>
          </cell>
          <cell r="AR168" t="str">
            <v/>
          </cell>
          <cell r="AS168">
            <v>0.60000000000000009</v>
          </cell>
          <cell r="AT168" t="str">
            <v>SPT : PRV M : 20 SMA</v>
          </cell>
          <cell r="AU168" t="str">
            <v/>
          </cell>
          <cell r="AV168">
            <v>0.50000000000000011</v>
          </cell>
          <cell r="AW168" t="str">
            <v>SPT : PRV M : 20 SMA</v>
          </cell>
          <cell r="AX168" t="str">
            <v/>
          </cell>
          <cell r="AY168">
            <v>0.40000000000000013</v>
          </cell>
          <cell r="AZ168" t="str">
            <v>SPT : PRV M : 10 SMA</v>
          </cell>
          <cell r="BA168" t="str">
            <v/>
          </cell>
          <cell r="BB168">
            <v>0.30000000000000016</v>
          </cell>
          <cell r="BD168" t="str">
            <v xml:space="preserve">ORPT </v>
          </cell>
          <cell r="BE168">
            <v>0.38888194444444446</v>
          </cell>
          <cell r="BF168">
            <v>0.38888194444444446</v>
          </cell>
          <cell r="BG168">
            <v>0.38541666666666669</v>
          </cell>
          <cell r="BI168">
            <v>0</v>
          </cell>
          <cell r="BJ168" t="str">
            <v>Long</v>
          </cell>
          <cell r="BK168">
            <v>0.01</v>
          </cell>
          <cell r="BL168">
            <v>0.01</v>
          </cell>
          <cell r="BN168">
            <v>0</v>
          </cell>
          <cell r="BO168" t="str">
            <v>Long</v>
          </cell>
          <cell r="BP168" t="str">
            <v/>
          </cell>
          <cell r="CU168" t="str">
            <v/>
          </cell>
        </row>
        <row r="169">
          <cell r="B169" t="str">
            <v>S28B</v>
          </cell>
          <cell r="C169" t="str">
            <v>Unique Code</v>
          </cell>
          <cell r="D169" t="str">
            <v>STOCKS_EQ_DCC</v>
          </cell>
          <cell r="F169">
            <v>0</v>
          </cell>
          <cell r="G169" t="str">
            <v/>
          </cell>
          <cell r="H169" t="str">
            <v/>
          </cell>
          <cell r="L169" t="str">
            <v/>
          </cell>
          <cell r="M169" t="str">
            <v/>
          </cell>
          <cell r="AA169" t="str">
            <v/>
          </cell>
          <cell r="AB169" t="str">
            <v/>
          </cell>
          <cell r="AC169" t="str">
            <v/>
          </cell>
          <cell r="AE169" t="str">
            <v/>
          </cell>
          <cell r="AF169" t="str">
            <v/>
          </cell>
          <cell r="AJ169" t="str">
            <v/>
          </cell>
          <cell r="AK169" t="str">
            <v/>
          </cell>
          <cell r="AM169" t="str">
            <v/>
          </cell>
          <cell r="AN169" t="str">
            <v/>
          </cell>
          <cell r="AO169" t="str">
            <v/>
          </cell>
          <cell r="AP169" t="str">
            <v/>
          </cell>
          <cell r="AQ169" t="str">
            <v/>
          </cell>
          <cell r="AR169" t="str">
            <v/>
          </cell>
          <cell r="AS169" t="str">
            <v/>
          </cell>
          <cell r="AT169" t="str">
            <v/>
          </cell>
          <cell r="AU169" t="str">
            <v/>
          </cell>
          <cell r="AV169" t="str">
            <v/>
          </cell>
          <cell r="AW169" t="str">
            <v/>
          </cell>
          <cell r="AX169" t="str">
            <v/>
          </cell>
          <cell r="AY169" t="str">
            <v/>
          </cell>
          <cell r="AZ169" t="str">
            <v/>
          </cell>
          <cell r="BA169" t="str">
            <v/>
          </cell>
          <cell r="BB169" t="str">
            <v/>
          </cell>
          <cell r="BD169" t="str">
            <v xml:space="preserve"> RC. Time</v>
          </cell>
          <cell r="BE169">
            <v>0.39582638888888888</v>
          </cell>
          <cell r="BF169">
            <v>0.39582638888888888</v>
          </cell>
          <cell r="BG169" t="str">
            <v>N.A.</v>
          </cell>
          <cell r="BJ169">
            <v>0</v>
          </cell>
          <cell r="BO169">
            <v>0</v>
          </cell>
          <cell r="BP169" t="str">
            <v/>
          </cell>
        </row>
        <row r="170">
          <cell r="B170" t="str">
            <v>S28C</v>
          </cell>
          <cell r="C170" t="str">
            <v>Segment</v>
          </cell>
          <cell r="D170" t="str">
            <v>EQUITY</v>
          </cell>
          <cell r="E170" t="str">
            <v>Contract</v>
          </cell>
          <cell r="F170" t="str">
            <v>DCC</v>
          </cell>
        </row>
        <row r="171">
          <cell r="B171" t="str">
            <v>S28D</v>
          </cell>
          <cell r="C171" t="str">
            <v>Symbol</v>
          </cell>
          <cell r="D171" t="str">
            <v>STOCKS</v>
          </cell>
          <cell r="E171">
            <v>0</v>
          </cell>
          <cell r="F171">
            <v>0</v>
          </cell>
          <cell r="G171" t="str">
            <v/>
          </cell>
          <cell r="H171" t="str">
            <v/>
          </cell>
          <cell r="L171" t="str">
            <v/>
          </cell>
          <cell r="M171" t="str">
            <v/>
          </cell>
          <cell r="AA171" t="str">
            <v/>
          </cell>
          <cell r="AB171" t="str">
            <v/>
          </cell>
          <cell r="AC171" t="str">
            <v/>
          </cell>
          <cell r="AE171" t="str">
            <v/>
          </cell>
          <cell r="AF171" t="str">
            <v/>
          </cell>
          <cell r="AJ171" t="str">
            <v/>
          </cell>
          <cell r="AK171" t="str">
            <v/>
          </cell>
          <cell r="AM171">
            <v>0</v>
          </cell>
          <cell r="AN171" t="str">
            <v/>
          </cell>
          <cell r="AO171" t="str">
            <v/>
          </cell>
          <cell r="AP171" t="str">
            <v/>
          </cell>
          <cell r="AQ171" t="str">
            <v/>
          </cell>
          <cell r="AR171" t="str">
            <v/>
          </cell>
          <cell r="AS171" t="str">
            <v/>
          </cell>
          <cell r="AT171" t="str">
            <v/>
          </cell>
          <cell r="AU171" t="str">
            <v/>
          </cell>
          <cell r="AV171" t="str">
            <v/>
          </cell>
          <cell r="AW171" t="str">
            <v/>
          </cell>
          <cell r="AX171" t="str">
            <v/>
          </cell>
          <cell r="AY171" t="str">
            <v/>
          </cell>
          <cell r="AZ171" t="str">
            <v/>
          </cell>
          <cell r="BA171" t="str">
            <v/>
          </cell>
          <cell r="BB171" t="str">
            <v/>
          </cell>
          <cell r="BD171" t="str">
            <v>Market Start Time</v>
          </cell>
          <cell r="BE171">
            <v>0.38541666666666669</v>
          </cell>
          <cell r="BI171">
            <v>0</v>
          </cell>
          <cell r="BJ171">
            <v>0</v>
          </cell>
          <cell r="BN171">
            <v>0</v>
          </cell>
          <cell r="BO171">
            <v>0</v>
          </cell>
          <cell r="BP171" t="str">
            <v/>
          </cell>
        </row>
        <row r="172">
          <cell r="B172" t="str">
            <v>S28E</v>
          </cell>
          <cell r="C172" t="str">
            <v>No. of Targets</v>
          </cell>
          <cell r="D172" t="str">
            <v>5 &amp; APS</v>
          </cell>
          <cell r="F172">
            <v>0</v>
          </cell>
          <cell r="G172" t="str">
            <v/>
          </cell>
          <cell r="H172" t="str">
            <v/>
          </cell>
          <cell r="L172" t="str">
            <v/>
          </cell>
          <cell r="M172" t="str">
            <v/>
          </cell>
          <cell r="AA172" t="str">
            <v/>
          </cell>
          <cell r="AB172" t="str">
            <v/>
          </cell>
          <cell r="AC172" t="str">
            <v/>
          </cell>
          <cell r="AE172" t="str">
            <v/>
          </cell>
          <cell r="AF172" t="str">
            <v/>
          </cell>
          <cell r="AJ172" t="str">
            <v/>
          </cell>
          <cell r="AK172" t="str">
            <v/>
          </cell>
          <cell r="AM172">
            <v>0</v>
          </cell>
          <cell r="AN172" t="str">
            <v/>
          </cell>
          <cell r="AO172" t="str">
            <v/>
          </cell>
          <cell r="AP172" t="str">
            <v/>
          </cell>
          <cell r="AQ172" t="str">
            <v/>
          </cell>
          <cell r="AR172" t="str">
            <v/>
          </cell>
          <cell r="AS172" t="str">
            <v/>
          </cell>
          <cell r="AT172" t="str">
            <v/>
          </cell>
          <cell r="AU172" t="str">
            <v/>
          </cell>
          <cell r="AV172" t="str">
            <v/>
          </cell>
          <cell r="AW172" t="str">
            <v/>
          </cell>
          <cell r="AX172" t="str">
            <v/>
          </cell>
          <cell r="AY172" t="str">
            <v/>
          </cell>
          <cell r="AZ172" t="str">
            <v/>
          </cell>
          <cell r="BA172" t="str">
            <v/>
          </cell>
          <cell r="BB172" t="str">
            <v/>
          </cell>
          <cell r="BD172" t="str">
            <v>Market End Time</v>
          </cell>
          <cell r="BE172">
            <v>0.64583333333333337</v>
          </cell>
          <cell r="BJ172">
            <v>0</v>
          </cell>
          <cell r="BO172">
            <v>0</v>
          </cell>
          <cell r="BP172" t="str">
            <v/>
          </cell>
        </row>
        <row r="174">
          <cell r="B174" t="str">
            <v>S29A</v>
          </cell>
          <cell r="C174" t="str">
            <v>Strategy Code</v>
          </cell>
          <cell r="D174" t="str">
            <v>S29</v>
          </cell>
          <cell r="E174">
            <v>0</v>
          </cell>
          <cell r="F174" t="str">
            <v>Long</v>
          </cell>
          <cell r="G174" t="str">
            <v>SPT : WCC HH</v>
          </cell>
          <cell r="H174" t="str">
            <v xml:space="preserve"> + </v>
          </cell>
          <cell r="I174">
            <v>0.01</v>
          </cell>
          <cell r="J174">
            <v>1</v>
          </cell>
          <cell r="L174" t="str">
            <v xml:space="preserve">L : Entry </v>
          </cell>
          <cell r="M174" t="str">
            <v xml:space="preserve"> + </v>
          </cell>
          <cell r="N174">
            <v>0.125</v>
          </cell>
          <cell r="O174">
            <v>0.2</v>
          </cell>
          <cell r="P174">
            <v>0.25</v>
          </cell>
          <cell r="Q174">
            <v>0.2</v>
          </cell>
          <cell r="R174">
            <v>0.5</v>
          </cell>
          <cell r="S174">
            <v>0.1</v>
          </cell>
          <cell r="T174">
            <v>0.75</v>
          </cell>
          <cell r="U174">
            <v>0.1</v>
          </cell>
          <cell r="V174">
            <v>1</v>
          </cell>
          <cell r="W174">
            <v>0.1</v>
          </cell>
          <cell r="X174" t="str">
            <v>TR PROFIT AFTER TGT 5</v>
          </cell>
          <cell r="Y174">
            <v>0.3</v>
          </cell>
          <cell r="AA174" t="str">
            <v>Max</v>
          </cell>
          <cell r="AB174" t="str">
            <v>MSL &amp; TSL</v>
          </cell>
          <cell r="AC174" t="str">
            <v>Entry &amp; TRP</v>
          </cell>
          <cell r="AE174" t="str">
            <v>L : Entry</v>
          </cell>
          <cell r="AF174" t="str">
            <v xml:space="preserve"> - </v>
          </cell>
          <cell r="AG174">
            <v>0.25</v>
          </cell>
          <cell r="AJ174" t="str">
            <v xml:space="preserve"> - </v>
          </cell>
          <cell r="AK174" t="str">
            <v>SPT : PRV M : 20 SMA</v>
          </cell>
          <cell r="AL174" t="str">
            <v/>
          </cell>
          <cell r="AM174">
            <v>1</v>
          </cell>
          <cell r="AN174" t="str">
            <v>SPT : PRV M : 20 SMA</v>
          </cell>
          <cell r="AO174" t="str">
            <v/>
          </cell>
          <cell r="AP174">
            <v>0.8</v>
          </cell>
          <cell r="AQ174" t="str">
            <v>SPT : PRV M : 20 SMA</v>
          </cell>
          <cell r="AR174" t="str">
            <v/>
          </cell>
          <cell r="AS174">
            <v>0.60000000000000009</v>
          </cell>
          <cell r="AT174" t="str">
            <v>SPT : PRV M : 20 SMA</v>
          </cell>
          <cell r="AU174" t="str">
            <v/>
          </cell>
          <cell r="AV174">
            <v>0.50000000000000011</v>
          </cell>
          <cell r="AW174" t="str">
            <v>SPT : PRV M : 20 SMA</v>
          </cell>
          <cell r="AX174" t="str">
            <v/>
          </cell>
          <cell r="AY174">
            <v>0.40000000000000013</v>
          </cell>
          <cell r="AZ174" t="str">
            <v>SPT : PRV M : 10 SMA</v>
          </cell>
          <cell r="BA174" t="str">
            <v/>
          </cell>
          <cell r="BB174">
            <v>0.30000000000000016</v>
          </cell>
          <cell r="BD174" t="str">
            <v xml:space="preserve">ORPT </v>
          </cell>
          <cell r="BE174">
            <v>0.38888194444444446</v>
          </cell>
          <cell r="BF174">
            <v>0.38888194444444446</v>
          </cell>
          <cell r="BG174">
            <v>0.38541666666666669</v>
          </cell>
          <cell r="BI174">
            <v>0</v>
          </cell>
          <cell r="BJ174" t="str">
            <v>Long</v>
          </cell>
          <cell r="BK174">
            <v>0.01</v>
          </cell>
          <cell r="BL174">
            <v>0.01</v>
          </cell>
          <cell r="BN174">
            <v>0</v>
          </cell>
          <cell r="BO174" t="str">
            <v>Long</v>
          </cell>
          <cell r="BP174" t="str">
            <v/>
          </cell>
          <cell r="CU174" t="str">
            <v/>
          </cell>
        </row>
        <row r="175">
          <cell r="B175" t="str">
            <v>S29B</v>
          </cell>
          <cell r="C175" t="str">
            <v>Unique Code</v>
          </cell>
          <cell r="D175" t="str">
            <v>STOCKS_EQ_WCC</v>
          </cell>
          <cell r="F175">
            <v>0</v>
          </cell>
          <cell r="G175" t="str">
            <v/>
          </cell>
          <cell r="H175" t="str">
            <v/>
          </cell>
          <cell r="L175" t="str">
            <v/>
          </cell>
          <cell r="M175" t="str">
            <v/>
          </cell>
          <cell r="AA175" t="str">
            <v/>
          </cell>
          <cell r="AB175" t="str">
            <v/>
          </cell>
          <cell r="AC175" t="str">
            <v/>
          </cell>
          <cell r="AE175" t="str">
            <v/>
          </cell>
          <cell r="AF175" t="str">
            <v/>
          </cell>
          <cell r="AJ175" t="str">
            <v/>
          </cell>
          <cell r="AK175" t="str">
            <v/>
          </cell>
          <cell r="AL175" t="str">
            <v/>
          </cell>
          <cell r="AM175" t="str">
            <v/>
          </cell>
          <cell r="AN175" t="str">
            <v/>
          </cell>
          <cell r="AO175" t="str">
            <v/>
          </cell>
          <cell r="AP175" t="str">
            <v/>
          </cell>
          <cell r="AQ175" t="str">
            <v/>
          </cell>
          <cell r="AR175" t="str">
            <v/>
          </cell>
          <cell r="AS175" t="str">
            <v/>
          </cell>
          <cell r="AT175" t="str">
            <v/>
          </cell>
          <cell r="AU175" t="str">
            <v/>
          </cell>
          <cell r="AV175" t="str">
            <v/>
          </cell>
          <cell r="AW175" t="str">
            <v/>
          </cell>
          <cell r="AX175" t="str">
            <v/>
          </cell>
          <cell r="AY175" t="str">
            <v/>
          </cell>
          <cell r="AZ175" t="str">
            <v/>
          </cell>
          <cell r="BA175" t="str">
            <v/>
          </cell>
          <cell r="BB175" t="str">
            <v/>
          </cell>
          <cell r="BD175" t="str">
            <v xml:space="preserve"> RC. Time</v>
          </cell>
          <cell r="BE175">
            <v>0.39582638888888888</v>
          </cell>
          <cell r="BF175">
            <v>0.39582638888888888</v>
          </cell>
          <cell r="BG175" t="str">
            <v>N.A.</v>
          </cell>
          <cell r="BJ175">
            <v>0</v>
          </cell>
          <cell r="BO175">
            <v>0</v>
          </cell>
          <cell r="BP175" t="str">
            <v/>
          </cell>
        </row>
        <row r="176">
          <cell r="B176" t="str">
            <v>S29C</v>
          </cell>
          <cell r="C176" t="str">
            <v>Segment</v>
          </cell>
          <cell r="D176" t="str">
            <v>EQUITY</v>
          </cell>
          <cell r="E176" t="str">
            <v>Contract</v>
          </cell>
          <cell r="F176" t="str">
            <v>WCC</v>
          </cell>
        </row>
        <row r="177">
          <cell r="B177" t="str">
            <v>S29D</v>
          </cell>
          <cell r="C177" t="str">
            <v>Symbol</v>
          </cell>
          <cell r="D177" t="str">
            <v>STOCKS</v>
          </cell>
          <cell r="E177">
            <v>0</v>
          </cell>
          <cell r="F177">
            <v>0</v>
          </cell>
          <cell r="G177" t="str">
            <v/>
          </cell>
          <cell r="H177" t="str">
            <v/>
          </cell>
          <cell r="L177" t="str">
            <v/>
          </cell>
          <cell r="M177" t="str">
            <v/>
          </cell>
          <cell r="AA177" t="str">
            <v/>
          </cell>
          <cell r="AB177" t="str">
            <v/>
          </cell>
          <cell r="AC177" t="str">
            <v/>
          </cell>
          <cell r="AE177" t="str">
            <v/>
          </cell>
          <cell r="AF177" t="str">
            <v/>
          </cell>
          <cell r="AJ177" t="str">
            <v/>
          </cell>
          <cell r="AK177" t="str">
            <v/>
          </cell>
          <cell r="AL177" t="str">
            <v/>
          </cell>
          <cell r="AM177">
            <v>0</v>
          </cell>
          <cell r="AN177" t="str">
            <v/>
          </cell>
          <cell r="AO177" t="str">
            <v/>
          </cell>
          <cell r="AP177" t="str">
            <v/>
          </cell>
          <cell r="AQ177" t="str">
            <v/>
          </cell>
          <cell r="AR177" t="str">
            <v/>
          </cell>
          <cell r="AS177" t="str">
            <v/>
          </cell>
          <cell r="AT177" t="str">
            <v/>
          </cell>
          <cell r="AU177" t="str">
            <v/>
          </cell>
          <cell r="AV177" t="str">
            <v/>
          </cell>
          <cell r="AW177" t="str">
            <v/>
          </cell>
          <cell r="AX177" t="str">
            <v/>
          </cell>
          <cell r="AY177" t="str">
            <v/>
          </cell>
          <cell r="AZ177" t="str">
            <v/>
          </cell>
          <cell r="BA177" t="str">
            <v/>
          </cell>
          <cell r="BB177" t="str">
            <v/>
          </cell>
          <cell r="BD177" t="str">
            <v>Market Start Time</v>
          </cell>
          <cell r="BE177">
            <v>0.38541666666666669</v>
          </cell>
          <cell r="BI177">
            <v>0</v>
          </cell>
          <cell r="BJ177">
            <v>0</v>
          </cell>
          <cell r="BN177">
            <v>0</v>
          </cell>
          <cell r="BO177">
            <v>0</v>
          </cell>
          <cell r="BP177" t="str">
            <v/>
          </cell>
        </row>
        <row r="178">
          <cell r="B178" t="str">
            <v>S29E</v>
          </cell>
          <cell r="C178" t="str">
            <v>No. of Targets</v>
          </cell>
          <cell r="D178" t="str">
            <v>5 &amp; APS</v>
          </cell>
          <cell r="F178">
            <v>0</v>
          </cell>
          <cell r="G178" t="str">
            <v/>
          </cell>
          <cell r="H178" t="str">
            <v/>
          </cell>
          <cell r="L178" t="str">
            <v/>
          </cell>
          <cell r="M178" t="str">
            <v/>
          </cell>
          <cell r="AA178" t="str">
            <v/>
          </cell>
          <cell r="AB178" t="str">
            <v/>
          </cell>
          <cell r="AC178" t="str">
            <v/>
          </cell>
          <cell r="AE178" t="str">
            <v/>
          </cell>
          <cell r="AF178" t="str">
            <v/>
          </cell>
          <cell r="AJ178" t="str">
            <v/>
          </cell>
          <cell r="AK178" t="str">
            <v/>
          </cell>
          <cell r="AL178" t="str">
            <v/>
          </cell>
          <cell r="AM178">
            <v>0</v>
          </cell>
          <cell r="AN178" t="str">
            <v/>
          </cell>
          <cell r="AO178" t="str">
            <v/>
          </cell>
          <cell r="AP178" t="str">
            <v/>
          </cell>
          <cell r="AQ178" t="str">
            <v/>
          </cell>
          <cell r="AR178" t="str">
            <v/>
          </cell>
          <cell r="AS178" t="str">
            <v/>
          </cell>
          <cell r="AT178" t="str">
            <v/>
          </cell>
          <cell r="AU178" t="str">
            <v/>
          </cell>
          <cell r="AV178" t="str">
            <v/>
          </cell>
          <cell r="AW178" t="str">
            <v/>
          </cell>
          <cell r="AX178" t="str">
            <v/>
          </cell>
          <cell r="AY178" t="str">
            <v/>
          </cell>
          <cell r="AZ178" t="str">
            <v/>
          </cell>
          <cell r="BA178" t="str">
            <v/>
          </cell>
          <cell r="BB178" t="str">
            <v/>
          </cell>
          <cell r="BD178" t="str">
            <v>Market End Time</v>
          </cell>
          <cell r="BE178">
            <v>0.64583333333333337</v>
          </cell>
          <cell r="BJ178">
            <v>0</v>
          </cell>
          <cell r="BO178">
            <v>0</v>
          </cell>
          <cell r="BP178" t="str">
            <v/>
          </cell>
        </row>
        <row r="180">
          <cell r="B180" t="str">
            <v>S30A</v>
          </cell>
          <cell r="C180" t="str">
            <v>Strategy Code</v>
          </cell>
          <cell r="D180" t="str">
            <v>S30</v>
          </cell>
          <cell r="E180">
            <v>0</v>
          </cell>
          <cell r="F180" t="str">
            <v>Long</v>
          </cell>
          <cell r="G180" t="str">
            <v>SPT : MCC HH</v>
          </cell>
          <cell r="H180" t="str">
            <v xml:space="preserve"> + </v>
          </cell>
          <cell r="I180">
            <v>0.01</v>
          </cell>
          <cell r="J180">
            <v>1</v>
          </cell>
          <cell r="L180" t="str">
            <v xml:space="preserve">L : Entry </v>
          </cell>
          <cell r="M180" t="str">
            <v xml:space="preserve"> + </v>
          </cell>
          <cell r="N180">
            <v>0.125</v>
          </cell>
          <cell r="O180">
            <v>0.2</v>
          </cell>
          <cell r="P180">
            <v>0.25</v>
          </cell>
          <cell r="Q180">
            <v>0.2</v>
          </cell>
          <cell r="R180">
            <v>0.5</v>
          </cell>
          <cell r="S180">
            <v>0.1</v>
          </cell>
          <cell r="T180">
            <v>0.75</v>
          </cell>
          <cell r="U180">
            <v>0.1</v>
          </cell>
          <cell r="V180">
            <v>1</v>
          </cell>
          <cell r="W180">
            <v>0.1</v>
          </cell>
          <cell r="X180" t="str">
            <v>TR PROFIT AFTER TGT 5</v>
          </cell>
          <cell r="Y180">
            <v>0.3</v>
          </cell>
          <cell r="AA180" t="str">
            <v>Max</v>
          </cell>
          <cell r="AB180" t="str">
            <v>MSL &amp; TSL</v>
          </cell>
          <cell r="AC180" t="str">
            <v>Entry &amp; TRP</v>
          </cell>
          <cell r="AE180" t="str">
            <v>L : Entry</v>
          </cell>
          <cell r="AF180" t="str">
            <v xml:space="preserve"> - </v>
          </cell>
          <cell r="AG180">
            <v>0.25</v>
          </cell>
          <cell r="AJ180" t="str">
            <v xml:space="preserve"> - </v>
          </cell>
          <cell r="AK180" t="str">
            <v>SPT : PRV M : 20 SMA</v>
          </cell>
          <cell r="AL180" t="str">
            <v/>
          </cell>
          <cell r="AM180">
            <v>1</v>
          </cell>
          <cell r="AN180" t="str">
            <v>SPT : PRV M : 20 SMA</v>
          </cell>
          <cell r="AO180" t="str">
            <v/>
          </cell>
          <cell r="AP180">
            <v>0.8</v>
          </cell>
          <cell r="AQ180" t="str">
            <v>SPT : PRV M : 20 SMA</v>
          </cell>
          <cell r="AR180" t="str">
            <v/>
          </cell>
          <cell r="AS180">
            <v>0.60000000000000009</v>
          </cell>
          <cell r="AT180" t="str">
            <v>SPT : PRV M : 20 SMA</v>
          </cell>
          <cell r="AU180" t="str">
            <v/>
          </cell>
          <cell r="AV180">
            <v>0.50000000000000011</v>
          </cell>
          <cell r="AW180" t="str">
            <v>SPT : PRV M : 20 SMA</v>
          </cell>
          <cell r="AX180" t="str">
            <v/>
          </cell>
          <cell r="AY180">
            <v>0.40000000000000013</v>
          </cell>
          <cell r="AZ180" t="str">
            <v>SPT : PRV M : 10 SMA</v>
          </cell>
          <cell r="BA180" t="str">
            <v/>
          </cell>
          <cell r="BB180">
            <v>0.30000000000000016</v>
          </cell>
          <cell r="BD180" t="str">
            <v xml:space="preserve">ORPT </v>
          </cell>
          <cell r="BE180">
            <v>0.38888194444444446</v>
          </cell>
          <cell r="BF180">
            <v>0.38888194444444446</v>
          </cell>
          <cell r="BG180">
            <v>0.38541666666666669</v>
          </cell>
          <cell r="BI180">
            <v>0</v>
          </cell>
          <cell r="BJ180" t="str">
            <v>Long</v>
          </cell>
          <cell r="BK180">
            <v>0.01</v>
          </cell>
          <cell r="BL180">
            <v>0.01</v>
          </cell>
          <cell r="BN180">
            <v>0</v>
          </cell>
          <cell r="BO180" t="str">
            <v>Long</v>
          </cell>
          <cell r="BP180" t="str">
            <v/>
          </cell>
          <cell r="CU180" t="str">
            <v/>
          </cell>
        </row>
        <row r="181">
          <cell r="B181" t="str">
            <v>S30B</v>
          </cell>
          <cell r="C181" t="str">
            <v>Unique Code</v>
          </cell>
          <cell r="D181" t="str">
            <v>STOCKS_EQ_MCC</v>
          </cell>
          <cell r="F181">
            <v>0</v>
          </cell>
          <cell r="G181" t="str">
            <v/>
          </cell>
          <cell r="H181" t="str">
            <v/>
          </cell>
          <cell r="L181" t="str">
            <v/>
          </cell>
          <cell r="M181" t="str">
            <v/>
          </cell>
          <cell r="AA181" t="str">
            <v/>
          </cell>
          <cell r="AB181" t="str">
            <v/>
          </cell>
          <cell r="AC181" t="str">
            <v/>
          </cell>
          <cell r="AE181" t="str">
            <v/>
          </cell>
          <cell r="AF181" t="str">
            <v/>
          </cell>
          <cell r="AJ181" t="str">
            <v/>
          </cell>
          <cell r="AK181" t="str">
            <v/>
          </cell>
          <cell r="AL181" t="str">
            <v/>
          </cell>
          <cell r="AM181" t="str">
            <v/>
          </cell>
          <cell r="AN181" t="str">
            <v/>
          </cell>
          <cell r="AO181" t="str">
            <v/>
          </cell>
          <cell r="AP181" t="str">
            <v/>
          </cell>
          <cell r="AQ181" t="str">
            <v/>
          </cell>
          <cell r="AR181" t="str">
            <v/>
          </cell>
          <cell r="AS181" t="str">
            <v/>
          </cell>
          <cell r="AT181" t="str">
            <v/>
          </cell>
          <cell r="AU181" t="str">
            <v/>
          </cell>
          <cell r="AV181" t="str">
            <v/>
          </cell>
          <cell r="AW181" t="str">
            <v/>
          </cell>
          <cell r="AX181" t="str">
            <v/>
          </cell>
          <cell r="AY181" t="str">
            <v/>
          </cell>
          <cell r="AZ181" t="str">
            <v/>
          </cell>
          <cell r="BA181" t="str">
            <v/>
          </cell>
          <cell r="BB181" t="str">
            <v/>
          </cell>
          <cell r="BD181" t="str">
            <v xml:space="preserve"> RC. Time</v>
          </cell>
          <cell r="BE181">
            <v>0.39582638888888888</v>
          </cell>
          <cell r="BF181">
            <v>0.39582638888888888</v>
          </cell>
          <cell r="BG181" t="str">
            <v>N.A.</v>
          </cell>
          <cell r="BJ181">
            <v>0</v>
          </cell>
          <cell r="BO181">
            <v>0</v>
          </cell>
          <cell r="BP181" t="str">
            <v/>
          </cell>
        </row>
        <row r="182">
          <cell r="B182" t="str">
            <v>S30C</v>
          </cell>
          <cell r="C182" t="str">
            <v>Segment</v>
          </cell>
          <cell r="D182" t="str">
            <v>EQUITY</v>
          </cell>
          <cell r="E182" t="str">
            <v>Contract</v>
          </cell>
          <cell r="F182" t="str">
            <v>MCC</v>
          </cell>
        </row>
        <row r="183">
          <cell r="B183" t="str">
            <v>S30D</v>
          </cell>
          <cell r="C183" t="str">
            <v>Symbol</v>
          </cell>
          <cell r="D183" t="str">
            <v>STOCKS</v>
          </cell>
          <cell r="E183">
            <v>0</v>
          </cell>
          <cell r="F183">
            <v>0</v>
          </cell>
          <cell r="G183" t="str">
            <v/>
          </cell>
          <cell r="H183" t="str">
            <v/>
          </cell>
          <cell r="L183" t="str">
            <v/>
          </cell>
          <cell r="M183" t="str">
            <v/>
          </cell>
          <cell r="AA183" t="str">
            <v/>
          </cell>
          <cell r="AB183" t="str">
            <v/>
          </cell>
          <cell r="AC183" t="str">
            <v/>
          </cell>
          <cell r="AE183" t="str">
            <v/>
          </cell>
          <cell r="AF183" t="str">
            <v/>
          </cell>
          <cell r="AJ183" t="str">
            <v/>
          </cell>
          <cell r="AK183" t="str">
            <v/>
          </cell>
          <cell r="AL183" t="str">
            <v/>
          </cell>
          <cell r="AM183">
            <v>0</v>
          </cell>
          <cell r="AN183" t="str">
            <v/>
          </cell>
          <cell r="AO183" t="str">
            <v/>
          </cell>
          <cell r="AP183" t="str">
            <v/>
          </cell>
          <cell r="AQ183" t="str">
            <v/>
          </cell>
          <cell r="AR183" t="str">
            <v/>
          </cell>
          <cell r="AS183" t="str">
            <v/>
          </cell>
          <cell r="AT183" t="str">
            <v/>
          </cell>
          <cell r="AU183" t="str">
            <v/>
          </cell>
          <cell r="AV183" t="str">
            <v/>
          </cell>
          <cell r="AW183" t="str">
            <v/>
          </cell>
          <cell r="AX183" t="str">
            <v/>
          </cell>
          <cell r="AY183" t="str">
            <v/>
          </cell>
          <cell r="AZ183" t="str">
            <v/>
          </cell>
          <cell r="BA183" t="str">
            <v/>
          </cell>
          <cell r="BB183" t="str">
            <v/>
          </cell>
          <cell r="BD183" t="str">
            <v>Market Start Time</v>
          </cell>
          <cell r="BE183">
            <v>0.38541666666666669</v>
          </cell>
          <cell r="BI183">
            <v>0</v>
          </cell>
          <cell r="BJ183">
            <v>0</v>
          </cell>
          <cell r="BN183">
            <v>0</v>
          </cell>
          <cell r="BO183">
            <v>0</v>
          </cell>
          <cell r="BP183" t="str">
            <v/>
          </cell>
        </row>
        <row r="184">
          <cell r="B184" t="str">
            <v>S30E</v>
          </cell>
          <cell r="C184" t="str">
            <v>No. of Targets</v>
          </cell>
          <cell r="D184" t="str">
            <v>5 &amp; APS</v>
          </cell>
          <cell r="F184">
            <v>0</v>
          </cell>
          <cell r="G184" t="str">
            <v/>
          </cell>
          <cell r="H184" t="str">
            <v/>
          </cell>
          <cell r="L184" t="str">
            <v/>
          </cell>
          <cell r="M184" t="str">
            <v/>
          </cell>
          <cell r="AA184" t="str">
            <v/>
          </cell>
          <cell r="AB184" t="str">
            <v/>
          </cell>
          <cell r="AC184" t="str">
            <v/>
          </cell>
          <cell r="AE184" t="str">
            <v/>
          </cell>
          <cell r="AF184" t="str">
            <v/>
          </cell>
          <cell r="AJ184" t="str">
            <v/>
          </cell>
          <cell r="AK184" t="str">
            <v/>
          </cell>
          <cell r="AL184" t="str">
            <v/>
          </cell>
          <cell r="AM184">
            <v>0</v>
          </cell>
          <cell r="AN184" t="str">
            <v/>
          </cell>
          <cell r="AO184" t="str">
            <v/>
          </cell>
          <cell r="AP184" t="str">
            <v/>
          </cell>
          <cell r="AQ184" t="str">
            <v/>
          </cell>
          <cell r="AR184" t="str">
            <v/>
          </cell>
          <cell r="AS184" t="str">
            <v/>
          </cell>
          <cell r="AT184" t="str">
            <v/>
          </cell>
          <cell r="AU184" t="str">
            <v/>
          </cell>
          <cell r="AV184" t="str">
            <v/>
          </cell>
          <cell r="AW184" t="str">
            <v/>
          </cell>
          <cell r="AX184" t="str">
            <v/>
          </cell>
          <cell r="AY184" t="str">
            <v/>
          </cell>
          <cell r="AZ184" t="str">
            <v/>
          </cell>
          <cell r="BA184" t="str">
            <v/>
          </cell>
          <cell r="BB184" t="str">
            <v/>
          </cell>
          <cell r="BD184" t="str">
            <v>Market End Time</v>
          </cell>
          <cell r="BE184">
            <v>0.64583333333333337</v>
          </cell>
          <cell r="BJ184">
            <v>0</v>
          </cell>
          <cell r="BO184">
            <v>0</v>
          </cell>
          <cell r="BP184" t="str">
            <v/>
          </cell>
        </row>
      </sheetData>
      <sheetData sheetId="6">
        <row r="4">
          <cell r="A4" t="str">
            <v>A</v>
          </cell>
          <cell r="G4" t="str">
            <v>E &amp; T</v>
          </cell>
        </row>
        <row r="5">
          <cell r="A5" t="str">
            <v>A</v>
          </cell>
          <cell r="G5" t="str">
            <v>SL / TRP</v>
          </cell>
        </row>
        <row r="7">
          <cell r="A7" t="str">
            <v>B</v>
          </cell>
          <cell r="G7" t="str">
            <v>E &amp; T</v>
          </cell>
        </row>
        <row r="8">
          <cell r="A8" t="str">
            <v>B</v>
          </cell>
          <cell r="G8" t="str">
            <v>SL / TRP</v>
          </cell>
        </row>
        <row r="9">
          <cell r="A9" t="str">
            <v>C</v>
          </cell>
        </row>
        <row r="10">
          <cell r="A10" t="str">
            <v>D</v>
          </cell>
          <cell r="G10" t="str">
            <v>E &amp; T</v>
          </cell>
        </row>
        <row r="11">
          <cell r="A11" t="str">
            <v>D</v>
          </cell>
          <cell r="G11" t="str">
            <v>SL / TRP</v>
          </cell>
        </row>
        <row r="13">
          <cell r="A13" t="str">
            <v>E</v>
          </cell>
          <cell r="G13" t="str">
            <v>E &amp; T</v>
          </cell>
        </row>
        <row r="14">
          <cell r="A14" t="str">
            <v>E</v>
          </cell>
          <cell r="G14" t="str">
            <v>SL / TRP</v>
          </cell>
        </row>
        <row r="37">
          <cell r="G37" t="str">
            <v xml:space="preserve">Check If Close at </v>
          </cell>
        </row>
        <row r="56">
          <cell r="A56" t="str">
            <v>Wishing You A Peace, Joy &amp; Prosperity !!</v>
          </cell>
          <cell r="D56" t="str">
            <v>MONTHLY STATUS</v>
          </cell>
          <cell r="F56" t="str">
            <v>OPTION TYPE</v>
          </cell>
          <cell r="G56" t="str">
            <v>START STRIKE</v>
          </cell>
          <cell r="H56" t="str">
            <v>IDEAL PREMIUM</v>
          </cell>
          <cell r="I56" t="str">
            <v>MINIMUM OI</v>
          </cell>
          <cell r="J56" t="str">
            <v>MONTHLY STATUS</v>
          </cell>
          <cell r="K56" t="str">
            <v>OPTION TYPE</v>
          </cell>
          <cell r="M56" t="str">
            <v>ENTRY</v>
          </cell>
          <cell r="N56" t="str">
            <v>LOTS</v>
          </cell>
          <cell r="O56" t="str">
            <v>TGT 1</v>
          </cell>
          <cell r="P56" t="str">
            <v>LOTS</v>
          </cell>
          <cell r="R56" t="str">
            <v>TGT 2</v>
          </cell>
          <cell r="S56" t="str">
            <v>LOTS</v>
          </cell>
          <cell r="T56" t="str">
            <v>TGT 3</v>
          </cell>
          <cell r="U56" t="str">
            <v>LOTS</v>
          </cell>
          <cell r="V56" t="str">
            <v>TGT 4</v>
          </cell>
          <cell r="W56" t="str">
            <v>LOTS</v>
          </cell>
          <cell r="X56" t="str">
            <v>TGT 5</v>
          </cell>
          <cell r="Y56" t="str">
            <v>LOTS</v>
          </cell>
          <cell r="Z56" t="str">
            <v>TGT 6</v>
          </cell>
          <cell r="AA56" t="str">
            <v>LOTS</v>
          </cell>
        </row>
        <row r="57">
          <cell r="G57" t="str">
            <v>END STRIKE</v>
          </cell>
          <cell r="H57" t="str">
            <v>MINIMUM  PREMIUM</v>
          </cell>
          <cell r="I57" t="str">
            <v>NO OF EXP</v>
          </cell>
          <cell r="M57" t="str">
            <v>SL AFTER ENTRY</v>
          </cell>
          <cell r="O57" t="str">
            <v>TR PROFIT AFTER TGT 1</v>
          </cell>
          <cell r="R57" t="str">
            <v>TR PROFIT AFTER TGT 2</v>
          </cell>
          <cell r="T57" t="str">
            <v>TR PROFIT AFTER TGT 3</v>
          </cell>
          <cell r="V57" t="str">
            <v>TR PROFIT AFTER TGT 4</v>
          </cell>
          <cell r="X57" t="str">
            <v>TR PROFIT AFTER TGT 5</v>
          </cell>
          <cell r="Z57" t="str">
            <v>TR PROFIT AFTER TGT 6</v>
          </cell>
        </row>
        <row r="59">
          <cell r="B59" t="str">
            <v>Sr. No.</v>
          </cell>
          <cell r="D59" t="str">
            <v>BULL / BULL CF</v>
          </cell>
          <cell r="F59" t="str">
            <v>Call</v>
          </cell>
          <cell r="H59" t="str">
            <v xml:space="preserve"> * </v>
          </cell>
          <cell r="I59" t="str">
            <v xml:space="preserve"> Lots</v>
          </cell>
          <cell r="J59" t="str">
            <v>BULL / BULL CF</v>
          </cell>
          <cell r="K59" t="str">
            <v>Call</v>
          </cell>
        </row>
        <row r="60">
          <cell r="B60" t="str">
            <v>Strategy Code</v>
          </cell>
          <cell r="H60" t="str">
            <v xml:space="preserve"> * </v>
          </cell>
          <cell r="I60" t="str">
            <v xml:space="preserve"> Exp</v>
          </cell>
        </row>
        <row r="61">
          <cell r="B61" t="str">
            <v>Unique Code</v>
          </cell>
        </row>
        <row r="62">
          <cell r="A62" t="str">
            <v/>
          </cell>
          <cell r="F62" t="str">
            <v>Put</v>
          </cell>
          <cell r="K62" t="str">
            <v>Put</v>
          </cell>
        </row>
        <row r="64">
          <cell r="B64" t="str">
            <v>Segment</v>
          </cell>
        </row>
        <row r="65">
          <cell r="B65" t="str">
            <v>Symbol</v>
          </cell>
          <cell r="D65" t="str">
            <v>BEAR / BEAR CF</v>
          </cell>
          <cell r="F65" t="str">
            <v>Call</v>
          </cell>
          <cell r="J65" t="str">
            <v>BEAR / BEAR CF</v>
          </cell>
          <cell r="K65" t="str">
            <v>Call</v>
          </cell>
        </row>
        <row r="66">
          <cell r="B66" t="str">
            <v>No. of TGT</v>
          </cell>
        </row>
        <row r="67">
          <cell r="B67" t="str">
            <v>I Commit To Follow The Rules &amp; Process</v>
          </cell>
        </row>
        <row r="68">
          <cell r="A68" t="str">
            <v/>
          </cell>
          <cell r="F68" t="str">
            <v>Put</v>
          </cell>
          <cell r="K68" t="str">
            <v>Put</v>
          </cell>
        </row>
        <row r="71">
          <cell r="B71" t="str">
            <v>For Entry</v>
          </cell>
          <cell r="D71" t="str">
            <v>Gap Check</v>
          </cell>
          <cell r="E71" t="str">
            <v>Process</v>
          </cell>
          <cell r="G71" t="str">
            <v>Yes / No</v>
          </cell>
          <cell r="H71" t="str">
            <v>Order Status</v>
          </cell>
          <cell r="I71" t="str">
            <v>Step 1</v>
          </cell>
          <cell r="J71" t="str">
            <v>Order Placement Timings</v>
          </cell>
          <cell r="L71" t="str">
            <v>Time</v>
          </cell>
          <cell r="M71" t="str">
            <v>Rules For Gap = Step 1 Start Strike</v>
          </cell>
          <cell r="N71" t="str">
            <v>Start Strike Buffer</v>
          </cell>
          <cell r="O71" t="str">
            <v>Rules For Gap = Step 2 End Strike</v>
          </cell>
          <cell r="P71" t="str">
            <v>End Strike Buffer</v>
          </cell>
          <cell r="S71" t="str">
            <v>Data</v>
          </cell>
          <cell r="T71" t="str">
            <v xml:space="preserve"> Ideal Premium</v>
          </cell>
          <cell r="V71" t="str">
            <v>Minimum Premium</v>
          </cell>
          <cell r="W71" t="str">
            <v>Minimum OI</v>
          </cell>
          <cell r="X71" t="str">
            <v>Rules For Gap = Step 3 Revised Option Entry</v>
          </cell>
          <cell r="Z71" t="str">
            <v>Data</v>
          </cell>
          <cell r="AA71" t="str">
            <v>Buffer</v>
          </cell>
        </row>
        <row r="72">
          <cell r="B72" t="str">
            <v xml:space="preserve">ORPT </v>
          </cell>
          <cell r="C72" t="str">
            <v xml:space="preserve"> RC. Time</v>
          </cell>
          <cell r="D72" t="str">
            <v>For Call Sell Entry</v>
          </cell>
          <cell r="E72" t="str">
            <v xml:space="preserve">Check If </v>
          </cell>
          <cell r="F72" t="str">
            <v xml:space="preserve"> LL &lt; Call Sell Entry</v>
          </cell>
          <cell r="G72" t="str">
            <v>No</v>
          </cell>
          <cell r="H72" t="str">
            <v>Entry Not Missed</v>
          </cell>
          <cell r="I72" t="str">
            <v>Place the Order at ORPT</v>
          </cell>
          <cell r="J72" t="str">
            <v>ORPT Time</v>
          </cell>
          <cell r="M72" t="str">
            <v>N.A.</v>
          </cell>
          <cell r="N72" t="str">
            <v>N.A.</v>
          </cell>
          <cell r="O72" t="str">
            <v>N.A.</v>
          </cell>
          <cell r="P72" t="str">
            <v>N.A.</v>
          </cell>
          <cell r="S72" t="str">
            <v>N.A.</v>
          </cell>
          <cell r="T72" t="str">
            <v>N.A.</v>
          </cell>
          <cell r="V72" t="str">
            <v>N.A.</v>
          </cell>
          <cell r="W72" t="str">
            <v>N.A.</v>
          </cell>
          <cell r="X72" t="str">
            <v>N.A.</v>
          </cell>
          <cell r="Z72" t="str">
            <v>N.A.</v>
          </cell>
          <cell r="AA72" t="str">
            <v>N.A.</v>
          </cell>
        </row>
        <row r="73">
          <cell r="G73" t="str">
            <v>Yes</v>
          </cell>
          <cell r="H73" t="str">
            <v>Entry Missed</v>
          </cell>
          <cell r="I73" t="str">
            <v>Recalcuate : Call Sell Entry : Bull / Bull CF</v>
          </cell>
          <cell r="J73" t="str">
            <v>Wait Till Recalculation Time</v>
          </cell>
          <cell r="M73" t="str">
            <v xml:space="preserve">Min of </v>
          </cell>
          <cell r="O73" t="str">
            <v xml:space="preserve">Min of </v>
          </cell>
          <cell r="S73" t="str">
            <v xml:space="preserve"> LL</v>
          </cell>
          <cell r="T73" t="str">
            <v xml:space="preserve">Min of </v>
          </cell>
          <cell r="V73" t="str">
            <v xml:space="preserve">Min of </v>
          </cell>
          <cell r="X73" t="str">
            <v xml:space="preserve">Min of </v>
          </cell>
        </row>
        <row r="74">
          <cell r="I74" t="str">
            <v>Recalcuate : Call Sell Entry : Bear / Bear CF</v>
          </cell>
          <cell r="J74" t="str">
            <v>Wait Till Recalculation Time</v>
          </cell>
          <cell r="M74" t="str">
            <v xml:space="preserve">Min of </v>
          </cell>
          <cell r="O74" t="str">
            <v xml:space="preserve">Min of </v>
          </cell>
          <cell r="S74" t="str">
            <v xml:space="preserve"> LL</v>
          </cell>
          <cell r="T74" t="str">
            <v xml:space="preserve">Min of </v>
          </cell>
          <cell r="V74" t="str">
            <v xml:space="preserve">Min of </v>
          </cell>
          <cell r="X74" t="str">
            <v xml:space="preserve">Min of </v>
          </cell>
        </row>
        <row r="75">
          <cell r="B75" t="str">
            <v>For SL (Position = Open)</v>
          </cell>
          <cell r="D75" t="str">
            <v>For Put Sell Entry</v>
          </cell>
          <cell r="E75" t="str">
            <v xml:space="preserve">Check If </v>
          </cell>
          <cell r="F75" t="str">
            <v xml:space="preserve"> LL &lt; Put Sell Entry</v>
          </cell>
          <cell r="G75" t="str">
            <v>No</v>
          </cell>
          <cell r="H75" t="str">
            <v>Entry Not Missed</v>
          </cell>
          <cell r="I75" t="str">
            <v>Place the Order at ORPT</v>
          </cell>
          <cell r="J75" t="str">
            <v>ORPT Time</v>
          </cell>
          <cell r="M75" t="str">
            <v>N.A.</v>
          </cell>
          <cell r="N75" t="str">
            <v>N.A.</v>
          </cell>
          <cell r="O75" t="str">
            <v>N.A.</v>
          </cell>
          <cell r="P75" t="str">
            <v>N.A.</v>
          </cell>
          <cell r="S75" t="str">
            <v>N.A.</v>
          </cell>
          <cell r="T75" t="str">
            <v>N.A.</v>
          </cell>
          <cell r="V75" t="str">
            <v>N.A.</v>
          </cell>
          <cell r="W75" t="str">
            <v>N.A.</v>
          </cell>
          <cell r="X75" t="str">
            <v>N.A.</v>
          </cell>
          <cell r="Z75" t="str">
            <v>N.A.</v>
          </cell>
          <cell r="AA75" t="str">
            <v>N.A.</v>
          </cell>
        </row>
        <row r="76">
          <cell r="B76" t="str">
            <v xml:space="preserve">ORPT </v>
          </cell>
          <cell r="C76" t="str">
            <v xml:space="preserve"> RC. Time</v>
          </cell>
          <cell r="G76" t="str">
            <v>Yes</v>
          </cell>
          <cell r="H76" t="str">
            <v>Entry Missed</v>
          </cell>
          <cell r="I76" t="str">
            <v>Recalcuate : Put Sell Entry : Bull / Bull CF</v>
          </cell>
          <cell r="J76" t="str">
            <v>Wait Till Recalculation Time</v>
          </cell>
          <cell r="M76" t="str">
            <v xml:space="preserve">Max of </v>
          </cell>
          <cell r="O76" t="str">
            <v xml:space="preserve">Max of </v>
          </cell>
          <cell r="S76" t="str">
            <v xml:space="preserve"> LL</v>
          </cell>
          <cell r="T76" t="str">
            <v xml:space="preserve">Min of </v>
          </cell>
          <cell r="V76" t="str">
            <v xml:space="preserve">Min of </v>
          </cell>
          <cell r="X76" t="str">
            <v xml:space="preserve">Min of </v>
          </cell>
        </row>
        <row r="77">
          <cell r="I77" t="str">
            <v>Recalcuate : Put Sell Entry : Bear / Bear CF</v>
          </cell>
          <cell r="J77" t="str">
            <v>Wait Till Recalculation Time</v>
          </cell>
          <cell r="M77" t="str">
            <v xml:space="preserve">Max of </v>
          </cell>
          <cell r="O77" t="str">
            <v xml:space="preserve">Max of </v>
          </cell>
          <cell r="S77" t="str">
            <v xml:space="preserve"> LL</v>
          </cell>
          <cell r="T77" t="str">
            <v xml:space="preserve">Min of </v>
          </cell>
          <cell r="V77" t="str">
            <v xml:space="preserve">Min of </v>
          </cell>
          <cell r="X77" t="str">
            <v xml:space="preserve">Min of </v>
          </cell>
        </row>
        <row r="79">
          <cell r="B79" t="str">
            <v>For TGT (Position = Open)</v>
          </cell>
          <cell r="D79" t="str">
            <v>Gap Check</v>
          </cell>
          <cell r="E79" t="str">
            <v>Process</v>
          </cell>
          <cell r="G79" t="str">
            <v>Y / N</v>
          </cell>
          <cell r="H79" t="str">
            <v>Status</v>
          </cell>
          <cell r="I79" t="str">
            <v>Step 1</v>
          </cell>
          <cell r="J79" t="str">
            <v>Order Placement Timings</v>
          </cell>
          <cell r="L79" t="str">
            <v>Time</v>
          </cell>
          <cell r="M79" t="str">
            <v>Rules For Gaps</v>
          </cell>
          <cell r="N79" t="str">
            <v>Data</v>
          </cell>
          <cell r="O79" t="str">
            <v>Buffer</v>
          </cell>
          <cell r="P79" t="str">
            <v>Monthly Status</v>
          </cell>
          <cell r="Q79" t="str">
            <v>Options Type</v>
          </cell>
          <cell r="R79" t="str">
            <v>Start Strike</v>
          </cell>
          <cell r="S79" t="str">
            <v>End Strike</v>
          </cell>
          <cell r="U79" t="str">
            <v>Ideal Premium</v>
          </cell>
          <cell r="W79" t="str">
            <v>Minimum Premium</v>
          </cell>
          <cell r="Y79" t="str">
            <v>Minimum OI</v>
          </cell>
          <cell r="Z79" t="str">
            <v>Option Entry</v>
          </cell>
        </row>
        <row r="80">
          <cell r="B80" t="str">
            <v xml:space="preserve">ORPT </v>
          </cell>
          <cell r="C80" t="str">
            <v xml:space="preserve"> RC. Time</v>
          </cell>
          <cell r="D80" t="str">
            <v>For Call Sell SL</v>
          </cell>
          <cell r="E80" t="str">
            <v xml:space="preserve">Check If  </v>
          </cell>
          <cell r="F80" t="str">
            <v xml:space="preserve"> HH &gt; Call Sell SL</v>
          </cell>
          <cell r="G80" t="str">
            <v>No</v>
          </cell>
          <cell r="H80" t="str">
            <v>FSL / TRP Not Missed</v>
          </cell>
          <cell r="I80" t="str">
            <v>Place the Order at ORPT</v>
          </cell>
          <cell r="J80" t="str">
            <v>ORPT Time</v>
          </cell>
          <cell r="M80" t="str">
            <v>N.A.</v>
          </cell>
          <cell r="N80" t="str">
            <v>N.A.</v>
          </cell>
          <cell r="O80" t="str">
            <v>N.A.</v>
          </cell>
          <cell r="P80" t="str">
            <v>BULL / BULL CF</v>
          </cell>
          <cell r="Q80" t="str">
            <v>Call</v>
          </cell>
          <cell r="R80" t="str">
            <v>SPT : CDLL</v>
          </cell>
          <cell r="S80" t="str">
            <v>SPT : CDLL</v>
          </cell>
          <cell r="U80" t="str">
            <v>SPT : CDLL</v>
          </cell>
          <cell r="W80" t="str">
            <v>SPT : CDLL</v>
          </cell>
          <cell r="Z80" t="str">
            <v>OPT : CDLL</v>
          </cell>
        </row>
        <row r="81">
          <cell r="G81" t="str">
            <v>Yes</v>
          </cell>
          <cell r="H81" t="str">
            <v>FSL / TRP Missed</v>
          </cell>
          <cell r="I81" t="str">
            <v>Recalcuate : Call Sell FSL / TRP : Bull / Bull CF</v>
          </cell>
          <cell r="J81" t="str">
            <v>Wait Till Recalculation Time</v>
          </cell>
          <cell r="M81" t="str">
            <v>+</v>
          </cell>
          <cell r="N81" t="str">
            <v xml:space="preserve"> HH</v>
          </cell>
          <cell r="Q81" t="str">
            <v>Put</v>
          </cell>
          <cell r="R81" t="str">
            <v>SPT : CDHH</v>
          </cell>
          <cell r="S81" t="str">
            <v>SPT : CDHH</v>
          </cell>
          <cell r="U81" t="str">
            <v>SPT : CDLL</v>
          </cell>
          <cell r="W81" t="str">
            <v>SPT : CDLL</v>
          </cell>
          <cell r="Z81" t="str">
            <v>OPT : CDLL</v>
          </cell>
        </row>
        <row r="82">
          <cell r="I82" t="str">
            <v>Recalcuate : Call Sell FSL / TRP : Bear / Bear CF</v>
          </cell>
          <cell r="J82" t="str">
            <v>Wait Till Recalculation Time</v>
          </cell>
          <cell r="M82" t="str">
            <v>+</v>
          </cell>
          <cell r="N82" t="str">
            <v xml:space="preserve"> HH</v>
          </cell>
          <cell r="P82" t="str">
            <v>BEAR / BEAR CF</v>
          </cell>
          <cell r="Q82" t="str">
            <v>Call</v>
          </cell>
          <cell r="R82" t="str">
            <v>SPT : CDLL</v>
          </cell>
          <cell r="S82" t="str">
            <v>SPT : CDLL</v>
          </cell>
          <cell r="U82" t="str">
            <v>SPT : CDLL</v>
          </cell>
          <cell r="W82" t="str">
            <v>SPT : CDLL</v>
          </cell>
          <cell r="Z82" t="str">
            <v>OPT : CDLL</v>
          </cell>
        </row>
        <row r="83">
          <cell r="B83" t="str">
            <v>Stay Blessed !!!</v>
          </cell>
          <cell r="D83" t="str">
            <v>For Put Sell SL</v>
          </cell>
          <cell r="E83" t="str">
            <v xml:space="preserve">Check If  </v>
          </cell>
          <cell r="F83" t="str">
            <v xml:space="preserve"> HH &gt; Short SL</v>
          </cell>
          <cell r="G83" t="str">
            <v>No</v>
          </cell>
          <cell r="H83" t="str">
            <v>FSL / TRP Not Missed</v>
          </cell>
          <cell r="I83" t="str">
            <v>Place the Order at ORPT</v>
          </cell>
          <cell r="J83" t="str">
            <v>ORPT Time</v>
          </cell>
          <cell r="M83" t="str">
            <v>N.A.</v>
          </cell>
          <cell r="N83" t="str">
            <v>N.A.</v>
          </cell>
          <cell r="O83" t="str">
            <v>N.A.</v>
          </cell>
          <cell r="Q83" t="str">
            <v>Put</v>
          </cell>
          <cell r="R83" t="str">
            <v>SPT : CDHH</v>
          </cell>
          <cell r="S83" t="str">
            <v>SPT : CDHH</v>
          </cell>
          <cell r="U83" t="str">
            <v>SPT : CDLL</v>
          </cell>
          <cell r="W83" t="str">
            <v>SPT : CDLL</v>
          </cell>
          <cell r="Z83" t="str">
            <v>OPT : CDLL</v>
          </cell>
        </row>
        <row r="84">
          <cell r="G84" t="str">
            <v>Yes</v>
          </cell>
          <cell r="H84" t="str">
            <v>FSL / TRP Missed</v>
          </cell>
          <cell r="I84" t="str">
            <v>Recalcuate : Short FSL / TRP : Bull / Bull CF</v>
          </cell>
          <cell r="J84" t="str">
            <v>Wait Till Recalculation Time</v>
          </cell>
          <cell r="M84" t="str">
            <v>+</v>
          </cell>
          <cell r="N84" t="str">
            <v xml:space="preserve"> HH</v>
          </cell>
          <cell r="P84" t="str">
            <v>When You Call And Put Position is Exited</v>
          </cell>
        </row>
        <row r="85">
          <cell r="I85" t="str">
            <v>Recalcuate : Short FSL / TRP : Bear / Bear CF</v>
          </cell>
          <cell r="J85" t="str">
            <v>Wait Till Recalculation Time</v>
          </cell>
          <cell r="M85" t="str">
            <v>+</v>
          </cell>
          <cell r="N85" t="str">
            <v xml:space="preserve"> HH</v>
          </cell>
          <cell r="P85" t="str">
            <v>This is Only Applicable for Same Day</v>
          </cell>
        </row>
        <row r="92">
          <cell r="D92" t="str">
            <v>BULL / BULL CF</v>
          </cell>
          <cell r="F92" t="str">
            <v>Call</v>
          </cell>
          <cell r="J92" t="str">
            <v>BULL / BULL CF</v>
          </cell>
          <cell r="K92" t="str">
            <v>Call</v>
          </cell>
          <cell r="L92" t="str">
            <v>E &amp; T</v>
          </cell>
        </row>
        <row r="93">
          <cell r="A93" t="str">
            <v>A</v>
          </cell>
          <cell r="L93" t="str">
            <v>SL / TRP</v>
          </cell>
        </row>
        <row r="95">
          <cell r="F95" t="str">
            <v>Put</v>
          </cell>
          <cell r="K95" t="str">
            <v>Put</v>
          </cell>
          <cell r="L95" t="str">
            <v>E &amp; T</v>
          </cell>
        </row>
        <row r="96">
          <cell r="L96" t="str">
            <v>SL / TRP</v>
          </cell>
        </row>
        <row r="98">
          <cell r="D98" t="str">
            <v>BEAR / BEAR CF</v>
          </cell>
          <cell r="J98" t="str">
            <v>BEAR / BEAR CF</v>
          </cell>
          <cell r="K98" t="str">
            <v>Call</v>
          </cell>
          <cell r="L98" t="str">
            <v>E &amp; T</v>
          </cell>
        </row>
        <row r="99">
          <cell r="A99" t="str">
            <v>D</v>
          </cell>
          <cell r="L99" t="str">
            <v>SL / TRP</v>
          </cell>
        </row>
        <row r="101">
          <cell r="K101" t="str">
            <v>Put</v>
          </cell>
          <cell r="L101" t="str">
            <v>E &amp; T</v>
          </cell>
        </row>
        <row r="102">
          <cell r="L102" t="str">
            <v>SL / TRP</v>
          </cell>
        </row>
        <row r="104">
          <cell r="B104" t="str">
            <v>For Entry</v>
          </cell>
          <cell r="D104" t="str">
            <v>Gap Check</v>
          </cell>
          <cell r="E104" t="str">
            <v>Process</v>
          </cell>
          <cell r="G104" t="str">
            <v>Yes / No</v>
          </cell>
          <cell r="H104" t="str">
            <v>Order Status</v>
          </cell>
          <cell r="J104" t="str">
            <v>Order Placement Timings</v>
          </cell>
          <cell r="L104" t="str">
            <v>Time</v>
          </cell>
          <cell r="M104" t="str">
            <v>Rules For Gap = Step 1 Start Strike</v>
          </cell>
          <cell r="N104" t="str">
            <v>Start Strike Buffer</v>
          </cell>
          <cell r="O104" t="str">
            <v>Rules For Gap = Step 2 End Strike</v>
          </cell>
          <cell r="P104" t="str">
            <v>End Strike Buffer</v>
          </cell>
          <cell r="S104" t="str">
            <v>Data</v>
          </cell>
          <cell r="T104" t="str">
            <v>Maximum Premium</v>
          </cell>
          <cell r="V104" t="str">
            <v>Minimum Premium</v>
          </cell>
          <cell r="W104" t="str">
            <v>Minimum OI</v>
          </cell>
          <cell r="X104" t="str">
            <v>Rules For Gap = Step 3 Revised Option Entry</v>
          </cell>
          <cell r="Z104" t="str">
            <v>Data</v>
          </cell>
          <cell r="AA104" t="str">
            <v>Buffer</v>
          </cell>
        </row>
        <row r="105">
          <cell r="B105" t="str">
            <v xml:space="preserve">ORPT </v>
          </cell>
          <cell r="C105" t="str">
            <v xml:space="preserve"> RC. Time</v>
          </cell>
          <cell r="D105" t="str">
            <v>For Call Sell Entry</v>
          </cell>
          <cell r="G105" t="str">
            <v>No</v>
          </cell>
        </row>
        <row r="106">
          <cell r="G106" t="str">
            <v>Yes</v>
          </cell>
        </row>
        <row r="108">
          <cell r="B108" t="str">
            <v>For SL (Position = Open)</v>
          </cell>
          <cell r="D108" t="str">
            <v>For Put Sell Entry</v>
          </cell>
          <cell r="G108" t="str">
            <v>No</v>
          </cell>
        </row>
        <row r="109">
          <cell r="B109" t="str">
            <v xml:space="preserve">ORPT </v>
          </cell>
          <cell r="C109" t="str">
            <v xml:space="preserve"> RC. Time</v>
          </cell>
          <cell r="G109" t="str">
            <v>Yes</v>
          </cell>
        </row>
        <row r="112">
          <cell r="B112" t="str">
            <v>For TGT (Position = Open)</v>
          </cell>
          <cell r="D112" t="str">
            <v>Gap Check</v>
          </cell>
          <cell r="E112" t="str">
            <v>Process</v>
          </cell>
          <cell r="G112" t="str">
            <v>Y / N</v>
          </cell>
          <cell r="H112" t="str">
            <v>Status</v>
          </cell>
          <cell r="I112" t="str">
            <v>Step 1</v>
          </cell>
          <cell r="J112" t="str">
            <v>Order Placement Timings</v>
          </cell>
          <cell r="L112" t="str">
            <v>Time</v>
          </cell>
          <cell r="M112" t="str">
            <v>Rules For Gaps</v>
          </cell>
          <cell r="N112" t="str">
            <v>Data</v>
          </cell>
          <cell r="O112" t="str">
            <v>Buffer</v>
          </cell>
          <cell r="P112" t="str">
            <v>Steps</v>
          </cell>
          <cell r="R112" t="str">
            <v>Start strike</v>
          </cell>
          <cell r="S112" t="str">
            <v>End strike</v>
          </cell>
          <cell r="U112" t="str">
            <v>Min Premium</v>
          </cell>
          <cell r="W112" t="str">
            <v>Max premium</v>
          </cell>
          <cell r="Y112" t="str">
            <v>Min OI</v>
          </cell>
          <cell r="Z112" t="str">
            <v>Re- entry</v>
          </cell>
        </row>
        <row r="113">
          <cell r="B113" t="str">
            <v xml:space="preserve">ORPT </v>
          </cell>
          <cell r="C113" t="str">
            <v xml:space="preserve"> RC. Time</v>
          </cell>
          <cell r="D113" t="str">
            <v>For Call Sell SL</v>
          </cell>
          <cell r="G113" t="str">
            <v>No</v>
          </cell>
        </row>
        <row r="114">
          <cell r="G114" t="str">
            <v>Yes</v>
          </cell>
        </row>
        <row r="116">
          <cell r="B116" t="str">
            <v>Stay Blessed !!!</v>
          </cell>
          <cell r="D116" t="str">
            <v>For Put Sell SL</v>
          </cell>
          <cell r="G116" t="str">
            <v>No</v>
          </cell>
        </row>
        <row r="117">
          <cell r="G117" t="str">
            <v>Yes</v>
          </cell>
        </row>
        <row r="119">
          <cell r="B119" t="str">
            <v>For Missed SL (Position = Open)</v>
          </cell>
          <cell r="I119" t="str">
            <v>For Call SL</v>
          </cell>
          <cell r="R119" t="str">
            <v>For Put SL</v>
          </cell>
        </row>
        <row r="120">
          <cell r="B120" t="str">
            <v>Check time</v>
          </cell>
          <cell r="D120" t="str">
            <v>Note: ( Optional )</v>
          </cell>
          <cell r="G120" t="str">
            <v xml:space="preserve">Check If Close at </v>
          </cell>
          <cell r="H120" t="str">
            <v xml:space="preserve">  &gt; Call Original SL</v>
          </cell>
          <cell r="I120" t="str">
            <v>Yes</v>
          </cell>
          <cell r="K120" t="str">
            <v xml:space="preserve"> Then Square Off The Position At CMP at </v>
          </cell>
          <cell r="R120" t="str">
            <v xml:space="preserve">Check If Close at </v>
          </cell>
          <cell r="S120" t="str">
            <v xml:space="preserve">  &gt; Put Original SL</v>
          </cell>
          <cell r="U120" t="str">
            <v>Yes</v>
          </cell>
          <cell r="W120" t="str">
            <v xml:space="preserve"> Then Square Off The Position At CMP at </v>
          </cell>
        </row>
        <row r="121">
          <cell r="H121" t="str">
            <v xml:space="preserve">  &lt; Call Original SL</v>
          </cell>
          <cell r="I121" t="str">
            <v>Yes</v>
          </cell>
          <cell r="K121" t="str">
            <v xml:space="preserve"> Then Continue the Position for Next Day And Calculate Stop Loss Price as per the Rules</v>
          </cell>
          <cell r="R121" t="str">
            <v xml:space="preserve">Check If Close at </v>
          </cell>
          <cell r="S121" t="str">
            <v xml:space="preserve">  &lt; Put Original SL</v>
          </cell>
          <cell r="U121" t="str">
            <v>Yes</v>
          </cell>
          <cell r="W121" t="str">
            <v xml:space="preserve"> Then Continue the Position for Next Day And Calculate Stop Loss Price as per the Rules</v>
          </cell>
        </row>
        <row r="130">
          <cell r="A130" t="str">
            <v>S1</v>
          </cell>
        </row>
        <row r="162">
          <cell r="A162" t="str">
            <v>A</v>
          </cell>
        </row>
        <row r="184">
          <cell r="A184" t="str">
            <v>S1E</v>
          </cell>
        </row>
        <row r="238">
          <cell r="A238" t="str">
            <v>A</v>
          </cell>
        </row>
      </sheetData>
      <sheetData sheetId="7"/>
      <sheetData sheetId="8"/>
      <sheetData sheetId="9"/>
      <sheetData sheetId="10"/>
      <sheetData sheetId="11">
        <row r="8">
          <cell r="B8" t="str">
            <v>AARTIIND</v>
          </cell>
        </row>
        <row r="9">
          <cell r="B9" t="str">
            <v>ABB</v>
          </cell>
        </row>
        <row r="10">
          <cell r="B10" t="str">
            <v>ABBOTINDIA</v>
          </cell>
        </row>
        <row r="11">
          <cell r="B11" t="str">
            <v>ABCAPITAL</v>
          </cell>
        </row>
        <row r="12">
          <cell r="B12" t="str">
            <v>ABFRL</v>
          </cell>
        </row>
        <row r="13">
          <cell r="B13" t="str">
            <v>ACC</v>
          </cell>
        </row>
        <row r="14">
          <cell r="B14" t="str">
            <v>ADANIENT</v>
          </cell>
        </row>
        <row r="15">
          <cell r="B15" t="str">
            <v>ADANIPORTS</v>
          </cell>
        </row>
        <row r="16">
          <cell r="B16" t="str">
            <v>ALKEM</v>
          </cell>
        </row>
        <row r="17">
          <cell r="B17" t="str">
            <v>AMBUJACEM</v>
          </cell>
        </row>
        <row r="18">
          <cell r="B18" t="str">
            <v>APOLLOHOSP</v>
          </cell>
        </row>
        <row r="19">
          <cell r="B19" t="str">
            <v>APOLLOTYRE</v>
          </cell>
        </row>
        <row r="20">
          <cell r="B20" t="str">
            <v>ASHOKLEY</v>
          </cell>
        </row>
        <row r="21">
          <cell r="B21" t="str">
            <v>ASIANPAINT</v>
          </cell>
        </row>
        <row r="22">
          <cell r="B22" t="str">
            <v>ASTRAL</v>
          </cell>
        </row>
        <row r="23">
          <cell r="B23" t="str">
            <v>ATUL</v>
          </cell>
        </row>
        <row r="24">
          <cell r="B24" t="str">
            <v>AUBANK</v>
          </cell>
        </row>
        <row r="25">
          <cell r="B25" t="str">
            <v>AUROPHARMA</v>
          </cell>
        </row>
        <row r="26">
          <cell r="B26" t="str">
            <v>AXISBANK</v>
          </cell>
        </row>
        <row r="27">
          <cell r="B27" t="str">
            <v>BAJAJ-AUTO</v>
          </cell>
        </row>
        <row r="28">
          <cell r="B28" t="str">
            <v>BAJAJFINSV</v>
          </cell>
        </row>
        <row r="29">
          <cell r="B29" t="str">
            <v>BAJFINANCE</v>
          </cell>
        </row>
        <row r="30">
          <cell r="B30" t="str">
            <v>BALKRISIND</v>
          </cell>
        </row>
        <row r="31">
          <cell r="B31" t="str">
            <v>BALRAMCHIN</v>
          </cell>
        </row>
        <row r="32">
          <cell r="B32" t="str">
            <v>BANDHANBNK</v>
          </cell>
        </row>
        <row r="33">
          <cell r="B33" t="str">
            <v>BANKBARODA</v>
          </cell>
        </row>
        <row r="34">
          <cell r="B34" t="str">
            <v>BANKNIFTY</v>
          </cell>
        </row>
        <row r="35">
          <cell r="B35" t="str">
            <v>BATAINDIA</v>
          </cell>
        </row>
        <row r="36">
          <cell r="B36" t="str">
            <v>BEL</v>
          </cell>
        </row>
        <row r="37">
          <cell r="B37" t="str">
            <v>BERGEPAINT</v>
          </cell>
        </row>
        <row r="38">
          <cell r="B38" t="str">
            <v>BHARATFORG</v>
          </cell>
        </row>
        <row r="39">
          <cell r="B39" t="str">
            <v>BHARTIARTL</v>
          </cell>
        </row>
        <row r="40">
          <cell r="B40" t="str">
            <v>BHEL</v>
          </cell>
        </row>
        <row r="41">
          <cell r="B41" t="str">
            <v>BIOCON</v>
          </cell>
        </row>
        <row r="42">
          <cell r="B42" t="str">
            <v>BOSCHLTD</v>
          </cell>
        </row>
        <row r="43">
          <cell r="B43" t="str">
            <v>BPCL</v>
          </cell>
        </row>
        <row r="44">
          <cell r="B44" t="str">
            <v>BRITANNIA</v>
          </cell>
        </row>
        <row r="45">
          <cell r="B45" t="str">
            <v>BSOFT</v>
          </cell>
        </row>
        <row r="46">
          <cell r="B46" t="str">
            <v>CANBK</v>
          </cell>
        </row>
        <row r="47">
          <cell r="B47" t="str">
            <v>CANFINHOME</v>
          </cell>
        </row>
        <row r="48">
          <cell r="B48" t="str">
            <v>CHAMBLFERT</v>
          </cell>
        </row>
        <row r="49">
          <cell r="B49" t="str">
            <v>CHOLAFIN</v>
          </cell>
        </row>
        <row r="50">
          <cell r="B50" t="str">
            <v>CIPLA</v>
          </cell>
        </row>
        <row r="51">
          <cell r="B51" t="str">
            <v>COALINDIA</v>
          </cell>
        </row>
        <row r="52">
          <cell r="B52" t="str">
            <v>COFORGE</v>
          </cell>
        </row>
        <row r="53">
          <cell r="B53" t="str">
            <v>COLPAL</v>
          </cell>
        </row>
        <row r="54">
          <cell r="B54" t="str">
            <v>CONCOR</v>
          </cell>
        </row>
        <row r="55">
          <cell r="B55" t="str">
            <v>COROMANDEL</v>
          </cell>
        </row>
        <row r="56">
          <cell r="B56" t="str">
            <v>CROMPTON</v>
          </cell>
        </row>
        <row r="57">
          <cell r="B57" t="str">
            <v>CUB</v>
          </cell>
        </row>
        <row r="58">
          <cell r="B58" t="str">
            <v>CUMMINSIND</v>
          </cell>
        </row>
        <row r="59">
          <cell r="B59" t="str">
            <v>DABUR</v>
          </cell>
        </row>
        <row r="60">
          <cell r="B60" t="str">
            <v>DALBHARAT</v>
          </cell>
        </row>
        <row r="61">
          <cell r="B61" t="str">
            <v>DEEPAKNTR</v>
          </cell>
        </row>
        <row r="62">
          <cell r="B62" t="str">
            <v>DELTACORP</v>
          </cell>
        </row>
        <row r="63">
          <cell r="B63" t="str">
            <v>DIVISLAB</v>
          </cell>
        </row>
        <row r="64">
          <cell r="B64" t="str">
            <v>DIXON</v>
          </cell>
        </row>
        <row r="65">
          <cell r="B65" t="str">
            <v>DLF</v>
          </cell>
        </row>
        <row r="66">
          <cell r="B66" t="str">
            <v>DRREDDY</v>
          </cell>
        </row>
        <row r="67">
          <cell r="B67" t="str">
            <v>EICHERMOT</v>
          </cell>
        </row>
        <row r="68">
          <cell r="B68" t="str">
            <v>ESCORTS</v>
          </cell>
        </row>
        <row r="69">
          <cell r="B69" t="str">
            <v>EXIDEIND</v>
          </cell>
        </row>
        <row r="70">
          <cell r="B70" t="str">
            <v>FEDERALBNK</v>
          </cell>
        </row>
        <row r="71">
          <cell r="B71" t="str">
            <v>FINNIFTY</v>
          </cell>
        </row>
        <row r="72">
          <cell r="B72" t="str">
            <v>GAIL</v>
          </cell>
        </row>
        <row r="73">
          <cell r="B73" t="str">
            <v>GLENMARK</v>
          </cell>
        </row>
        <row r="74">
          <cell r="B74" t="str">
            <v>GMRINFRA</v>
          </cell>
        </row>
        <row r="75">
          <cell r="B75" t="str">
            <v>GNFC</v>
          </cell>
        </row>
        <row r="76">
          <cell r="B76" t="str">
            <v>GODREJCP</v>
          </cell>
        </row>
        <row r="77">
          <cell r="B77" t="str">
            <v>GODREJPROP</v>
          </cell>
        </row>
        <row r="78">
          <cell r="B78" t="str">
            <v>GRANULES</v>
          </cell>
        </row>
        <row r="79">
          <cell r="B79" t="str">
            <v>GRASIM</v>
          </cell>
        </row>
        <row r="80">
          <cell r="B80" t="str">
            <v>GUJGASLTD</v>
          </cell>
        </row>
        <row r="81">
          <cell r="B81" t="str">
            <v>HAL</v>
          </cell>
        </row>
        <row r="82">
          <cell r="B82" t="str">
            <v>HAVELLS</v>
          </cell>
        </row>
        <row r="83">
          <cell r="B83" t="str">
            <v>HCLTECH</v>
          </cell>
        </row>
        <row r="84">
          <cell r="B84" t="str">
            <v>HDFCAMC</v>
          </cell>
        </row>
        <row r="85">
          <cell r="B85" t="str">
            <v>HDFCBANK</v>
          </cell>
        </row>
        <row r="86">
          <cell r="B86" t="str">
            <v>HDFCLIFE</v>
          </cell>
        </row>
        <row r="87">
          <cell r="B87" t="str">
            <v>HEROMOTOCO</v>
          </cell>
        </row>
        <row r="88">
          <cell r="B88" t="str">
            <v>HINDALCO</v>
          </cell>
        </row>
        <row r="89">
          <cell r="B89" t="str">
            <v>HINDCOPPER</v>
          </cell>
        </row>
        <row r="90">
          <cell r="B90" t="str">
            <v>HINDPETRO</v>
          </cell>
        </row>
        <row r="91">
          <cell r="B91" t="str">
            <v>HINDUNILVR</v>
          </cell>
        </row>
        <row r="92">
          <cell r="B92" t="str">
            <v>IBULHSGFIN</v>
          </cell>
        </row>
        <row r="93">
          <cell r="B93" t="str">
            <v>ICICIBANK</v>
          </cell>
        </row>
        <row r="94">
          <cell r="B94" t="str">
            <v>ICICIGI</v>
          </cell>
        </row>
        <row r="95">
          <cell r="B95" t="str">
            <v>ICICIPRULI</v>
          </cell>
        </row>
        <row r="96">
          <cell r="B96" t="str">
            <v>IDEA</v>
          </cell>
        </row>
        <row r="97">
          <cell r="B97" t="str">
            <v>IDFC</v>
          </cell>
        </row>
        <row r="98">
          <cell r="B98" t="str">
            <v>IDFCFIRSTB</v>
          </cell>
        </row>
        <row r="99">
          <cell r="B99" t="str">
            <v>IEX</v>
          </cell>
        </row>
        <row r="100">
          <cell r="B100" t="str">
            <v>IGL</v>
          </cell>
        </row>
        <row r="101">
          <cell r="B101" t="str">
            <v>INDHOTEL</v>
          </cell>
        </row>
        <row r="102">
          <cell r="B102" t="str">
            <v>INDIACEM</v>
          </cell>
        </row>
        <row r="103">
          <cell r="B103" t="str">
            <v>INDIAMART</v>
          </cell>
        </row>
        <row r="104">
          <cell r="B104" t="str">
            <v>INDIGO</v>
          </cell>
        </row>
        <row r="105">
          <cell r="B105" t="str">
            <v>INDUSINDBK</v>
          </cell>
        </row>
        <row r="106">
          <cell r="B106" t="str">
            <v>INDUSTOWER</v>
          </cell>
        </row>
        <row r="107">
          <cell r="B107" t="str">
            <v>INFY</v>
          </cell>
        </row>
        <row r="108">
          <cell r="B108" t="str">
            <v>IOC</v>
          </cell>
        </row>
        <row r="109">
          <cell r="B109" t="str">
            <v>IPCALAB</v>
          </cell>
        </row>
        <row r="110">
          <cell r="B110" t="str">
            <v>IRCTC</v>
          </cell>
        </row>
        <row r="111">
          <cell r="B111" t="str">
            <v>ITC</v>
          </cell>
        </row>
        <row r="112">
          <cell r="B112" t="str">
            <v>JINDALSTEL</v>
          </cell>
        </row>
        <row r="113">
          <cell r="B113" t="str">
            <v>JKCEMENT</v>
          </cell>
        </row>
        <row r="114">
          <cell r="B114" t="str">
            <v>JSWSTEEL</v>
          </cell>
        </row>
        <row r="115">
          <cell r="B115" t="str">
            <v>JUBLFOOD</v>
          </cell>
        </row>
        <row r="116">
          <cell r="B116" t="str">
            <v>KOTAKBANK</v>
          </cell>
        </row>
        <row r="117">
          <cell r="B117" t="str">
            <v>L&amp;TFH</v>
          </cell>
        </row>
        <row r="118">
          <cell r="B118" t="str">
            <v>LALPATHLAB</v>
          </cell>
        </row>
        <row r="119">
          <cell r="B119" t="str">
            <v>LAURUSLABS</v>
          </cell>
        </row>
        <row r="120">
          <cell r="B120" t="str">
            <v>LICHSGFIN</v>
          </cell>
        </row>
        <row r="121">
          <cell r="B121" t="str">
            <v>LT</v>
          </cell>
        </row>
        <row r="122">
          <cell r="B122" t="str">
            <v>LTIM</v>
          </cell>
        </row>
        <row r="123">
          <cell r="B123" t="str">
            <v>LTTS</v>
          </cell>
        </row>
        <row r="124">
          <cell r="B124" t="str">
            <v>LUPIN</v>
          </cell>
        </row>
        <row r="125">
          <cell r="B125" t="str">
            <v>M&amp;M</v>
          </cell>
        </row>
        <row r="126">
          <cell r="B126" t="str">
            <v>M&amp;MFIN</v>
          </cell>
        </row>
        <row r="127">
          <cell r="B127" t="str">
            <v>MANAPPURAM</v>
          </cell>
        </row>
        <row r="128">
          <cell r="B128" t="str">
            <v>MARICO</v>
          </cell>
        </row>
        <row r="129">
          <cell r="B129" t="str">
            <v>MARUTI</v>
          </cell>
        </row>
        <row r="130">
          <cell r="B130" t="str">
            <v>MCDOWELL-N</v>
          </cell>
        </row>
        <row r="131">
          <cell r="B131" t="str">
            <v>MCX</v>
          </cell>
        </row>
        <row r="132">
          <cell r="B132" t="str">
            <v>METROPOLIS</v>
          </cell>
        </row>
        <row r="133">
          <cell r="B133" t="str">
            <v>MFSL</v>
          </cell>
        </row>
        <row r="134">
          <cell r="B134" t="str">
            <v>MGL</v>
          </cell>
        </row>
        <row r="135">
          <cell r="B135" t="str">
            <v>MIDCPNIFTY</v>
          </cell>
        </row>
        <row r="136">
          <cell r="B136" t="str">
            <v>MOTHERSON</v>
          </cell>
        </row>
        <row r="137">
          <cell r="B137" t="str">
            <v>MPHASIS</v>
          </cell>
        </row>
        <row r="138">
          <cell r="B138" t="str">
            <v>MRF</v>
          </cell>
        </row>
        <row r="139">
          <cell r="B139" t="str">
            <v>MUTHOOTFIN</v>
          </cell>
        </row>
        <row r="140">
          <cell r="B140" t="str">
            <v>NATIONALUM</v>
          </cell>
        </row>
        <row r="141">
          <cell r="B141" t="str">
            <v>NAUKRI</v>
          </cell>
        </row>
        <row r="142">
          <cell r="B142" t="str">
            <v>NAVINFLUOR</v>
          </cell>
        </row>
        <row r="143">
          <cell r="B143" t="str">
            <v>NESTLEIND</v>
          </cell>
        </row>
        <row r="144">
          <cell r="B144" t="str">
            <v>NIFTY</v>
          </cell>
        </row>
        <row r="145">
          <cell r="B145" t="str">
            <v>NMDC</v>
          </cell>
        </row>
        <row r="146">
          <cell r="B146" t="str">
            <v>NTPC</v>
          </cell>
        </row>
        <row r="147">
          <cell r="B147" t="str">
            <v>OBEROIRLTY</v>
          </cell>
        </row>
        <row r="148">
          <cell r="B148" t="str">
            <v>OFSS</v>
          </cell>
        </row>
        <row r="149">
          <cell r="B149" t="str">
            <v>ONGC</v>
          </cell>
        </row>
        <row r="150">
          <cell r="B150" t="str">
            <v>PAGEIND</v>
          </cell>
        </row>
        <row r="151">
          <cell r="B151" t="str">
            <v>PEL</v>
          </cell>
        </row>
        <row r="152">
          <cell r="B152" t="str">
            <v>PERSISTENT</v>
          </cell>
        </row>
        <row r="153">
          <cell r="B153" t="str">
            <v>PETRONET</v>
          </cell>
        </row>
        <row r="154">
          <cell r="B154" t="str">
            <v>PFC</v>
          </cell>
        </row>
        <row r="155">
          <cell r="B155" t="str">
            <v>PIDILITIND</v>
          </cell>
        </row>
        <row r="156">
          <cell r="B156" t="str">
            <v>PIIND</v>
          </cell>
        </row>
        <row r="157">
          <cell r="B157" t="str">
            <v>PNB</v>
          </cell>
        </row>
        <row r="158">
          <cell r="B158" t="str">
            <v>POLYCAB</v>
          </cell>
        </row>
        <row r="159">
          <cell r="B159" t="str">
            <v>POWERGRID</v>
          </cell>
        </row>
        <row r="160">
          <cell r="B160" t="str">
            <v>PVRINOX</v>
          </cell>
        </row>
        <row r="161">
          <cell r="B161" t="str">
            <v>RAMCOCEM</v>
          </cell>
        </row>
        <row r="162">
          <cell r="B162" t="str">
            <v>RBLBANK</v>
          </cell>
        </row>
        <row r="163">
          <cell r="B163" t="str">
            <v>RECLTD</v>
          </cell>
        </row>
        <row r="164">
          <cell r="B164" t="str">
            <v>RELIANCE</v>
          </cell>
        </row>
        <row r="165">
          <cell r="B165" t="str">
            <v>SAIL</v>
          </cell>
        </row>
        <row r="166">
          <cell r="B166" t="str">
            <v>SBICARD</v>
          </cell>
        </row>
        <row r="167">
          <cell r="B167" t="str">
            <v>SBILIFE</v>
          </cell>
        </row>
        <row r="168">
          <cell r="B168" t="str">
            <v>SBIN</v>
          </cell>
        </row>
        <row r="169">
          <cell r="B169" t="str">
            <v>SHREECEM</v>
          </cell>
        </row>
        <row r="170">
          <cell r="B170" t="str">
            <v>SHRIRAMFIN</v>
          </cell>
        </row>
        <row r="171">
          <cell r="B171" t="str">
            <v>SIEMENS</v>
          </cell>
        </row>
        <row r="172">
          <cell r="B172" t="str">
            <v>SRF</v>
          </cell>
        </row>
        <row r="173">
          <cell r="B173" t="str">
            <v>SUNPHARMA</v>
          </cell>
        </row>
        <row r="174">
          <cell r="B174" t="str">
            <v>SUNTV</v>
          </cell>
        </row>
        <row r="175">
          <cell r="B175" t="str">
            <v>SYNGENE</v>
          </cell>
        </row>
        <row r="176">
          <cell r="B176" t="str">
            <v>TATACHEM</v>
          </cell>
        </row>
        <row r="177">
          <cell r="B177" t="str">
            <v>TATACOMM</v>
          </cell>
        </row>
        <row r="178">
          <cell r="B178" t="str">
            <v>TATACONSUM</v>
          </cell>
        </row>
        <row r="179">
          <cell r="B179" t="str">
            <v>TATAMOTORS</v>
          </cell>
        </row>
        <row r="180">
          <cell r="B180" t="str">
            <v>TATAPOWER</v>
          </cell>
        </row>
        <row r="181">
          <cell r="B181" t="str">
            <v>TATASTEEL</v>
          </cell>
        </row>
        <row r="182">
          <cell r="B182" t="str">
            <v>TCS</v>
          </cell>
        </row>
        <row r="183">
          <cell r="B183" t="str">
            <v>TECHM</v>
          </cell>
        </row>
        <row r="184">
          <cell r="B184" t="str">
            <v>TITAN</v>
          </cell>
        </row>
        <row r="185">
          <cell r="B185" t="str">
            <v>TORNTPHARM</v>
          </cell>
        </row>
        <row r="186">
          <cell r="B186" t="str">
            <v>TRENT</v>
          </cell>
        </row>
        <row r="187">
          <cell r="B187" t="str">
            <v>TVSMOTOR</v>
          </cell>
        </row>
        <row r="188">
          <cell r="B188" t="str">
            <v>UBL</v>
          </cell>
        </row>
        <row r="189">
          <cell r="B189" t="str">
            <v>ULTRACEMCO</v>
          </cell>
        </row>
        <row r="190">
          <cell r="B190" t="str">
            <v>UPL</v>
          </cell>
        </row>
        <row r="191">
          <cell r="B191" t="str">
            <v>VEDL</v>
          </cell>
        </row>
        <row r="192">
          <cell r="B192" t="str">
            <v>VOLTAS</v>
          </cell>
        </row>
        <row r="193">
          <cell r="B193" t="str">
            <v>WIPRO</v>
          </cell>
        </row>
        <row r="194">
          <cell r="B194" t="str">
            <v>ZEEL</v>
          </cell>
        </row>
        <row r="195">
          <cell r="B195" t="str">
            <v>ZYDUSLIFE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82FC9-C319-4605-AB40-84FE151CEDAF}">
  <sheetPr>
    <outlinePr summaryBelow="0" summaryRight="0"/>
  </sheetPr>
  <dimension ref="A1:AC994"/>
  <sheetViews>
    <sheetView showGridLines="0" tabSelected="1" topLeftCell="B1" workbookViewId="0">
      <pane ySplit="2" topLeftCell="A150" activePane="bottomLeft" state="frozen"/>
      <selection pane="bottomLeft" sqref="A1:XFD1048576"/>
    </sheetView>
  </sheetViews>
  <sheetFormatPr defaultColWidth="12.7109375" defaultRowHeight="15" customHeight="1" x14ac:dyDescent="0.2"/>
  <cols>
    <col min="1" max="1" width="5.28515625" hidden="1" customWidth="1"/>
    <col min="2" max="2" width="11" customWidth="1"/>
    <col min="3" max="3" width="16.42578125" customWidth="1"/>
    <col min="4" max="4" width="12.85546875" customWidth="1"/>
    <col min="5" max="5" width="0.28515625" customWidth="1"/>
    <col min="6" max="6" width="9.28515625" customWidth="1"/>
    <col min="7" max="7" width="24" customWidth="1"/>
    <col min="8" max="8" width="17.42578125" customWidth="1"/>
    <col min="9" max="9" width="22.28515625" customWidth="1"/>
    <col min="10" max="12" width="10.7109375" customWidth="1"/>
    <col min="13" max="13" width="24.28515625" customWidth="1"/>
    <col min="14" max="14" width="10.7109375" customWidth="1"/>
    <col min="15" max="15" width="22" customWidth="1"/>
    <col min="16" max="16" width="9" customWidth="1"/>
    <col min="17" max="17" width="6.28515625" customWidth="1"/>
    <col min="18" max="18" width="23.7109375" customWidth="1"/>
    <col min="19" max="19" width="9.140625" customWidth="1"/>
    <col min="20" max="20" width="17.28515625" customWidth="1"/>
    <col min="21" max="21" width="8" customWidth="1"/>
    <col min="22" max="22" width="21.42578125" customWidth="1"/>
    <col min="23" max="23" width="9.42578125" customWidth="1"/>
    <col min="24" max="24" width="15.42578125" customWidth="1"/>
    <col min="25" max="25" width="12.28515625" customWidth="1"/>
    <col min="26" max="26" width="22.85546875" customWidth="1"/>
    <col min="27" max="27" width="6.42578125" customWidth="1"/>
    <col min="28" max="29" width="17.42578125" customWidth="1"/>
  </cols>
  <sheetData>
    <row r="1" spans="1:29" ht="23.25" customHeight="1" x14ac:dyDescent="0.2">
      <c r="A1" s="1" t="str">
        <f>IF([1]AB5!A56="","",[1]AB5!A56)</f>
        <v>Wishing You A Peace, Joy &amp; Prosperity !!</v>
      </c>
      <c r="B1" s="2"/>
      <c r="C1" s="2"/>
      <c r="D1" s="3" t="str">
        <f>IF([1]AB5!D56="","",[1]AB5!D56)</f>
        <v>MONTHLY STATUS</v>
      </c>
      <c r="E1" s="4"/>
      <c r="F1" s="5" t="str">
        <f>IF([1]AB5!F56="","",[1]AB5!F56)</f>
        <v>OPTION TYPE</v>
      </c>
      <c r="G1" s="6" t="str">
        <f>IF([1]AB5!G56="","",[1]AB5!G56)</f>
        <v>START STRIKE</v>
      </c>
      <c r="H1" s="6" t="str">
        <f>IF([1]AB5!H56="","",[1]AB5!H56)</f>
        <v>IDEAL PREMIUM</v>
      </c>
      <c r="I1" s="6" t="str">
        <f>IF([1]AB5!I56="","",[1]AB5!I56)</f>
        <v>MINIMUM OI</v>
      </c>
      <c r="J1" s="5" t="str">
        <f>IF([1]AB5!J56="","",[1]AB5!J56)</f>
        <v>MONTHLY STATUS</v>
      </c>
      <c r="K1" s="3" t="str">
        <f>IF([1]AB5!K56="","",[1]AB5!K56)</f>
        <v>OPTION TYPE</v>
      </c>
      <c r="L1" s="4"/>
      <c r="M1" s="6" t="str">
        <f>IF([1]AB5!M56="","",[1]AB5!M56)</f>
        <v>ENTRY</v>
      </c>
      <c r="N1" s="5" t="str">
        <f>IF([1]AB5!N56="","",[1]AB5!N56)</f>
        <v>LOTS</v>
      </c>
      <c r="O1" s="7" t="str">
        <f>IF([1]AB5!O56="","",[1]AB5!O56)</f>
        <v>TGT 1</v>
      </c>
      <c r="P1" s="3" t="str">
        <f>IF([1]AB5!P56="","",[1]AB5!P56)</f>
        <v>LOTS</v>
      </c>
      <c r="Q1" s="4"/>
      <c r="R1" s="8" t="str">
        <f>IF([1]AB5!R56="","",[1]AB5!R56)</f>
        <v>TGT 2</v>
      </c>
      <c r="S1" s="5" t="str">
        <f>IF([1]AB5!S56="","",[1]AB5!S56)</f>
        <v>LOTS</v>
      </c>
      <c r="T1" s="6" t="str">
        <f>IF([1]AB5!T56="","",[1]AB5!T56)</f>
        <v>TGT 3</v>
      </c>
      <c r="U1" s="5" t="str">
        <f>IF([1]AB5!U56="","",[1]AB5!U56)</f>
        <v>LOTS</v>
      </c>
      <c r="V1" s="7" t="str">
        <f>IF([1]AB5!V56="","",[1]AB5!V56)</f>
        <v>TGT 4</v>
      </c>
      <c r="W1" s="5" t="str">
        <f>IF([1]AB5!W56="","",[1]AB5!W56)</f>
        <v>LOTS</v>
      </c>
      <c r="X1" s="8" t="str">
        <f>IF([1]AB5!X56="","",[1]AB5!X56)</f>
        <v>TGT 5</v>
      </c>
      <c r="Y1" s="5" t="str">
        <f>IF([1]AB5!Y56="","",[1]AB5!Y56)</f>
        <v>LOTS</v>
      </c>
      <c r="Z1" s="6" t="str">
        <f>IF([1]AB5!Z56="","",[1]AB5!Z56)</f>
        <v>TGT 6</v>
      </c>
      <c r="AA1" s="5" t="str">
        <f>IF([1]AB5!AA56="","",[1]AB5!AA56)</f>
        <v>LOTS</v>
      </c>
      <c r="AB1" s="9"/>
      <c r="AC1" s="9"/>
    </row>
    <row r="2" spans="1:29" ht="15.75" customHeight="1" x14ac:dyDescent="0.2">
      <c r="A2" s="10"/>
      <c r="B2" s="11"/>
      <c r="C2" s="11"/>
      <c r="D2" s="12"/>
      <c r="E2" s="13"/>
      <c r="F2" s="14"/>
      <c r="G2" s="6" t="str">
        <f>IF([1]AB5!G57="","",[1]AB5!G57)</f>
        <v>END STRIKE</v>
      </c>
      <c r="H2" s="6" t="str">
        <f>IF([1]AB5!I57="","",[1]AB5!H57)</f>
        <v>MINIMUM  PREMIUM</v>
      </c>
      <c r="I2" s="6" t="str">
        <f>IF([1]AB5!I57="","",[1]AB5!I57)</f>
        <v>NO OF EXP</v>
      </c>
      <c r="J2" s="14"/>
      <c r="K2" s="12"/>
      <c r="L2" s="13"/>
      <c r="M2" s="6" t="str">
        <f>IF([1]AB5!M57="","",[1]AB5!M57)</f>
        <v>SL AFTER ENTRY</v>
      </c>
      <c r="N2" s="14"/>
      <c r="O2" s="7" t="str">
        <f>IF([1]AB5!O57="","",[1]AB5!O57)</f>
        <v>TR PROFIT AFTER TGT 1</v>
      </c>
      <c r="P2" s="12"/>
      <c r="Q2" s="13"/>
      <c r="R2" s="8" t="str">
        <f>IF([1]AB5!R57="","",[1]AB5!R57)</f>
        <v>TR PROFIT AFTER TGT 2</v>
      </c>
      <c r="S2" s="14"/>
      <c r="T2" s="6" t="str">
        <f>IF([1]AB5!T57="","",[1]AB5!T57)</f>
        <v>TR PROFIT AFTER TGT 3</v>
      </c>
      <c r="U2" s="14"/>
      <c r="V2" s="7" t="str">
        <f>IF([1]AB5!V57="","",[1]AB5!V57)</f>
        <v>TR PROFIT AFTER TGT 4</v>
      </c>
      <c r="W2" s="14"/>
      <c r="X2" s="8" t="str">
        <f>IF([1]AB5!X57="","",[1]AB5!X57)</f>
        <v>TR PROFIT AFTER TGT 5</v>
      </c>
      <c r="Y2" s="14"/>
      <c r="Z2" s="6" t="str">
        <f>IF([1]AB5!Z57="","",[1]AB5!Z57)</f>
        <v>TR PROFIT AFTER TGT 6</v>
      </c>
      <c r="AA2" s="14"/>
      <c r="AB2" s="9"/>
      <c r="AC2" s="9"/>
    </row>
    <row r="3" spans="1:29" ht="12.75" customHeight="1" thickBot="1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</row>
    <row r="4" spans="1:29" ht="42.75" customHeight="1" x14ac:dyDescent="0.2">
      <c r="A4" s="15" t="str">
        <f>IF(C4="","",CONCATENATE(C5,[1]AB5!$A$4))</f>
        <v>S18A</v>
      </c>
      <c r="B4" s="16" t="str">
        <f>IF(C4="","",[1]AB5!$B$59)</f>
        <v>Sr. No.</v>
      </c>
      <c r="C4" s="17">
        <v>18</v>
      </c>
      <c r="D4" s="18" t="str">
        <f>IF(C4="","",IF(C9="Futures","",IF(C9="Options Sell",[1]AB5!$D$59,IF(C9="Options Buy",[1]AB5!$D$92))))</f>
        <v>BULL / BULL CF</v>
      </c>
      <c r="E4" s="19"/>
      <c r="F4" s="18" t="str">
        <f>IF(C4="","",IF(C9="Futures","",IF(C9="Options Sell",[1]AB5!$F$59,IF(C9="Options Buy",[1]AB5!$F$92))))</f>
        <v>Call</v>
      </c>
      <c r="G4" s="20" t="str">
        <f t="array" ref="G4">IF(C4="","",IF(C9="Futures","",IF(C9="Options Sell",CONCATENATE("( ",INDEX([1]AB4!BP:BP,MATCH(A4,[1]AB4!B:B))," ",INDEX([1]AB4!BQ:BQ,MATCH(A4,[1]AB4!B:B))," ",TEXT(INDEX([1]AB4!BR:BR,MATCH(A4,[1]AB4!B:B)),"0.00%")," ) &amp; ",INDEX([1]AB4!BS:BS,MATCH(A4,[1]AB4!B:B))),IF(C9="Options Buy",CONCATENATE("( ",INDEX([1]AB4!BP:BP,MATCH(A4,[1]AB4!B:B,0))," ",INDEX([1]AB4!BQ:BQ,MATCH(A4,[1]AB4!B:B,0))," ",TEXT(INDEX([1]AB4!BR:BR,MATCH(A4,[1]AB4!B:B,0)),"0.00%")," ) &amp; ",INDEX([1]AB4!BS:BS,MATCH(A4,[1]AB4!B:B,0)))))))</f>
        <v>( SPT : PRV : 3DLL + 2.00% ) &amp; Round Down</v>
      </c>
      <c r="H4" s="20" t="str">
        <f t="array" ref="H4">IF(C4="","",IF(C9="Futures","",IF(C9="Options Sell",CONCATENATE(INDEX([1]AB4!CE:CE,MATCH(A4,[1]AB4!B:B)),[1]AB5!$H$59,TEXT(INDEX([1]AB4!CF:CF,MATCH(A4,[1]AB4!B:B)),"0.00%")))))</f>
        <v>SPT : PRV : 3DLL * 0.30%</v>
      </c>
      <c r="I4" s="21" t="str">
        <f t="array" ref="I4">IF(C4="","",IF(C9="Futures","",IF(C9="Options Sell",CONCATENATE(INDEX([1]AB4!CI:CI,MATCH(A4,[1]AB4!B:B)),[1]AB5!$I$59))))</f>
        <v>100 Lots</v>
      </c>
      <c r="J4" s="22" t="str">
        <f>IF(C4="","",IF(C9="Futures","",IF(C9="Options Sell",[1]AB5!$J$59,IF(C9="Options Buy",[1]AB5!$J$92))))</f>
        <v>BULL / BULL CF</v>
      </c>
      <c r="K4" s="18" t="str">
        <f>IF(C4="","",IF(C9="Futures","",IF(C9="Options Sell",[1]AB5!$K$59,IF(C9="Options Buy",[1]AB5!$K$92))))</f>
        <v>Call</v>
      </c>
      <c r="L4" s="23" t="str">
        <f>IF(C4="","",IF(C9="Futures","",IF(C9="Options Sell",[1]AB5!$G$4,IF(C9="Options Buy",[1]AB5!$L$92))))</f>
        <v>E &amp; T</v>
      </c>
      <c r="M4" s="20" t="str">
        <f t="array" ref="M4">IF(C4="","",IF(C9="Futures","",IF(C9="Options Sell",CONCATENATE(INDEX([1]AB4!G:G,MATCH(A4,[1]AB4!B:B,0)),INDEX([1]AB4!H:H,MATCH(A4,[1]AB4!B:B,0)),TEXT(INDEX([1]AB4!I:I,MATCH(A4,[1]AB4!B:B,0)),"0.00%")))))</f>
        <v>OPT : PRV : 3DLL - 7.50%</v>
      </c>
      <c r="N4" s="24">
        <f t="array" ref="N4">IF(C4="","",IF(C9="Futures","",IF(C9="Options Sell",INDEX([1]AB4!J:J,MATCH(A4,[1]AB4!B:B,0)))))</f>
        <v>1</v>
      </c>
      <c r="O4" s="25" t="str">
        <f t="array" ref="O4">IF(C4="","",IF(C9="Futures","",IF(C9="Options Sell",IF(INDEX([1]AB4!N:N,MATCH(A4,[1]AB4!B:B,0))="","",CONCATENATE(INDEX([1]AB4!L:L,MATCH(A4,[1]AB4!B:B,0)),INDEX([1]AB4!M:M,MATCH(A4,[1]AB4!B:B,0)),TEXT(INDEX([1]AB4!N:N,MATCH(A4,[1]AB4!B:B,0)),"0.00%"))))))</f>
        <v>CE : Entry  - 60.00%</v>
      </c>
      <c r="P4" s="26">
        <f t="array" ref="P4">IF(C4="","",IF(C9="Futures","",IF(C9="Options Sell",IF(INDEX([1]AB4!N:N,MATCH(A4,[1]AB4!B:B,0))="","",INDEX([1]AB4!O:O,MATCH(A4,[1]AB4!B:B,0))))))</f>
        <v>1</v>
      </c>
      <c r="Q4" s="27"/>
      <c r="R4" s="25" t="str">
        <f t="array" ref="R4">IF(C4="","",IF(C9="Futures","",IF(C9="Options Sell",IF(INDEX([1]AB4!P:P,MATCH(A4,[1]AB4!B:B,0))="","",CONCATENATE(INDEX([1]AB4!L:L,MATCH(A4,[1]AB4!B:B,0)),INDEX([1]AB4!M:M,MATCH(A4,[1]AB4!B:B,0)),TEXT(INDEX([1]AB4!P:P,MATCH(A4,[1]AB4!B:B,0)),"0.00%"))))))</f>
        <v/>
      </c>
      <c r="S4" s="24" t="str">
        <f t="array" ref="S4">IF(C4="","",IF(C9="Futures","",IF(C9="Options Sell",IF(INDEX([1]AB4!P:P,MATCH(A4,[1]AB4!B:B,0))="","",INDEX([1]AB4!Q:Q,MATCH(A4,[1]AB4!B:B,0))))))</f>
        <v/>
      </c>
      <c r="T4" s="25" t="str">
        <f t="array" ref="T4">IF(C4="","",IF(C9="Futures","",IF(C9="Options Sell",IF(INDEX([1]AB4!R:R,MATCH(A4,[1]AB4!B:B,0))="","",CONCATENATE(INDEX([1]AB4!L:L,MATCH(A4,[1]AB4!B:B,0)),INDEX([1]AB4!M:M,MATCH(A4,[1]AB4!B:B,0)),TEXT(INDEX([1]AB4!R:R,MATCH(A4,[1]AB4!B:B,0)),"0.00%"))))))</f>
        <v/>
      </c>
      <c r="U4" s="24" t="str">
        <f t="array" ref="U4">IF(C4="","",IF(C9="Futures","",IF(C9="Options Sell",IF(INDEX([1]AB4!R:R,MATCH(A4,[1]AB4!B:B,0))="","",INDEX([1]AB4!S:S,MATCH(A4,[1]AB4!B:B,0))))))</f>
        <v/>
      </c>
      <c r="V4" s="25" t="str">
        <f t="array" ref="V4">IF(C4="","",IF(C9="Futures","",IF(C9="Options Sell",IF(INDEX([1]AB4!T:T,MATCH(A4,[1]AB4!B:B,0))="","",CONCATENATE(INDEX([1]AB4!L:L,MATCH(A4,[1]AB4!B:B,0)),INDEX([1]AB4!M:M,MATCH(A4,[1]AB4!B:B,0)),TEXT(INDEX([1]AB4!T:T,MATCH(A4,[1]AB4!B:B,0)),"0.00%"))))))</f>
        <v/>
      </c>
      <c r="W4" s="24" t="str">
        <f t="array" ref="W4">IF(C4="","",IF(C9="Futures","",IF(C9="Options Sell",IF(INDEX([1]AB4!T:T,MATCH(A4,[1]AB4!B:B,0))="","",INDEX([1]AB4!U:U,MATCH(A4,[1]AB4!B:B,0))))))</f>
        <v/>
      </c>
      <c r="X4" s="25" t="str">
        <f t="array" ref="X4">IF(C4="","",IF(C9="Futures","",IF(C9="Options Sell",IF(INDEX([1]AB4!V:V,MATCH(A4,[1]AB4!B:B,0))="","",INDEX([1]AB4!V:V,MATCH(A4,[1]AB4!B:B,0))))))</f>
        <v/>
      </c>
      <c r="Y4" s="24" t="str">
        <f t="array" ref="Y4">IF(C4="","",IF(C9="Futures","",IF(C9="Options Sell",IF(INDEX([1]AB4!V:V,MATCH(A4,[1]AB4!B:B,0))="","",INDEX([1]AB4!W:W,MATCH(A4,[1]AB4!B:B,0))))))</f>
        <v/>
      </c>
      <c r="Z4" s="25" t="str">
        <f t="array" ref="Z4">IF(C4="","",IF(C9="Futures","",IF(C9="Options Sell",IF(INDEX([1]AB4!X:X,MATCH(A4,[1]AB4!B:B,0))="","",INDEX([1]AB4!X:X,MATCH(A4,[1]AB4!B:B,0))))))</f>
        <v/>
      </c>
      <c r="AA4" s="28" t="str">
        <f t="array" ref="AA4">IF(C4="","",IF(C9="Futures","",IF(C9="Options Sell",IF(INDEX([1]AB4!X:X,MATCH(A4,[1]AB4!B:B,0))="","",INDEX([1]AB4!X:X,MATCH(A4,[1]AB4!Y:Y,0))))))</f>
        <v/>
      </c>
      <c r="AB4" s="29"/>
      <c r="AC4" s="29"/>
    </row>
    <row r="5" spans="1:29" ht="42.75" customHeight="1" thickBot="1" x14ac:dyDescent="0.25">
      <c r="A5" s="15" t="str">
        <f>IF(C4="","",CONCATENATE(C5,[1]AB5!$A$5))</f>
        <v>S18A</v>
      </c>
      <c r="B5" s="30" t="str">
        <f>IF(C4="","",[1]AB5!$B$60)</f>
        <v>Strategy Code</v>
      </c>
      <c r="C5" s="31" t="str">
        <f t="array" ref="C5">IF(C4="","",IF(C9="Futures","",IF(C9="Options Sell",INDEX([1]AB2!B:B,MATCH(C4,[1]AB2!A:A,0)))))</f>
        <v>S18</v>
      </c>
      <c r="D5" s="32"/>
      <c r="E5" s="33"/>
      <c r="F5" s="34"/>
      <c r="G5" s="35" t="str">
        <f t="array" ref="G5">IF(C4="","",IF(C9="Futures","",IF(C9="Options Sell",CONCATENATE("( ",INDEX([1]AB4!BT:BT,MATCH(A5,[1]AB4!B:B))," ) &amp; ",INDEX([1]AB4!BW:BW,MATCH(A5,[1]AB4!B:B))," ",INDEX([1]AB4!BX:BX,MATCH(A5,[1]AB4!B:B))," ",INDEX([1]AB4!BY:BY,MATCH(A5,[1]AB4!B:B))),IF(C9="Options Buy",CONCATENATE("( ",INDEX([1]AB4!BP:BP,MATCH(A7,[1]AB4!B:B,0))," ",INDEX([1]AB4!BQ:BQ,MATCH(A7,[1]AB4!B:B,0))," ",TEXT(INDEX([1]AB4!BR:BR,MATCH(A7,[1]AB4!B:B,0)),"0.00%")," ) &amp; ",INDEX([1]AB4!BS:BS,MATCH(A7,[1]AB4!B:B,0)))))))</f>
        <v>( SPT : PRV : 3DLL ) &amp; Round Down - 1</v>
      </c>
      <c r="H5" s="35" t="str">
        <f t="array" ref="H5">IF(C4="","",IF(C9="Futures","",IF(C9="Options Sell",CONCATENATE(INDEX([1]AB4!CG:CG,MATCH(A5,[1]AB4!B:B)),[1]AB5!$H$60,TEXT(INDEX([1]AB4!CH:CH,MATCH(A5,[1]AB4!B:B)),"0.00%")))))</f>
        <v>SPT : PRV : 3DLL * 0.15%</v>
      </c>
      <c r="I5" s="36" t="str">
        <f t="array" ref="I5">IF(C4="","",IF(C9="Futures","",IF(C9="Options Sell",CONCATENATE(INDEX([1]AB4!CJ:CJ,MATCH(A5,[1]AB4!B:B)),[1]AB5!$I$60))))</f>
        <v>1 Exp</v>
      </c>
      <c r="J5" s="33"/>
      <c r="K5" s="34"/>
      <c r="L5" s="37" t="str">
        <f>IF(C4="","",IF(C9="Futures","",IF(C9="Options Sell",[1]AB5!$G$5,IF(C9="Options Buy",[1]AB5!$L$93))))</f>
        <v>SL / TRP</v>
      </c>
      <c r="M5" s="35" t="str">
        <f t="array" ref="M5">IF(C4="","",IF(C9="Futures","",IF(C9="Options Sell",IF(INDEX([1]AB4!AL:AL,MATCH(A5,[1]AB4!B:B,0))="","",CONCATENATE(INDEX([1]AB4!AA:AA,MATCH(A5,[1]AB4!B:B,0))," ( ",INDEX([1]AB4!AE:AE,MATCH(A5,[1]AB4!B:B,0)),INDEX([1]AB4!AF:AF,MATCH(A5,[1]AB4!B:B,0)),TEXT(INDEX([1]AB4!AG:AG,MATCH(A5,[1]AB4!B:B,0)),"0.00%")," &amp; ",INDEX([1]AB4!AK:AK,MATCH(A5,[1]AB4!B:B,0)),INDEX([1]AB4!AJ:AJ,MATCH(A5,[1]AB4!B:B,0)),TEXT(INDEX([1]AB4!AL:AL,MATCH(A5,[1]AB4!B:B,0)),"0.00%")," )")))))</f>
        <v>Min ( CE : Entry  + 60.00% &amp; OPT : PRV : 2DHH + 7.00% )</v>
      </c>
      <c r="N5" s="38">
        <f t="array" ref="N5">IF(C4="","",IF(C9="Futures","",IF(C9="Options Sell",INDEX([1]AB4!AM:AM,MATCH(A5,[1]AB4!B:B,0)))))</f>
        <v>1</v>
      </c>
      <c r="O5" s="35" t="str">
        <f t="array" ref="O5">IF(C4="","",IF(C9="Futures","",IF(C9="Options Sell",IF(INDEX([1]AB4!AO:AO,MATCH(A5,[1]AB4!B:B,0))="","",CONCATENATE(INDEX([1]AB4!AA:AA,MATCH(A5,[1]AB4!B:B,0))," ( ",INDEX([1]AB4!AE:AE,MATCH(A5,[1]AB4!B:B,0))," &amp; ",INDEX([1]AB4!AN:AN,MATCH(A5,[1]AB4!B:B,0)),INDEX([1]AB4!AJ:AJ,MATCH(A5,[1]AB4!B:B,0)),TEXT(INDEX([1]AB4!AO:AO,MATCH(A5,[1]AB4!B:B,0)),"0.00%")," )")))))</f>
        <v/>
      </c>
      <c r="P5" s="39" t="str">
        <f t="array" ref="P5">IF(C4="","",IF(C9="Futures","",IF(C9="Options Sell",IF(INDEX([1]AB4!AO:AO,MATCH(A5,[1]AB4!B:B,0))="","",INDEX([1]AB4!AP:AP,MATCH(A5,[1]AB4!B:B,0))))))</f>
        <v/>
      </c>
      <c r="Q5" s="40"/>
      <c r="R5" s="35" t="str">
        <f t="array" ref="R5">IF(C4="","",IF(C9="Futures","",IF(C9="Options Sell",IF(INDEX([1]AB4!AR:AR,MATCH(A5,[1]AB4!B:B,0))="","",CONCATENATE(INDEX([1]AB4!AA:AA,MATCH(A5,[1]AB4!B:B,0))," ( ",INDEX([1]AB4!AE:AE,MATCH(A5,[1]AB4!B:B,0))," &amp; ",INDEX([1]AB4!AQ:AQ,MATCH(A5,[1]AB4!B:B,0)),INDEX([1]AB4!AJ:AJ,MATCH(A5,[1]AB4!B:B,0)),TEXT(INDEX([1]AB4!AR:AR,MATCH(A5,[1]AB4!B:B,0)),"0.00%")," )")))))</f>
        <v/>
      </c>
      <c r="S5" s="38" t="str">
        <f t="array" ref="S5">IF(C4="","",IF(C9="Futures","",IF(C9="Options Sell",IF(INDEX([1]AB4!AR:AR,MATCH(A5,[1]AB4!B:B,0))="","",INDEX([1]AB4!AS:AS,MATCH(A5,[1]AB4!B:B,0))))))</f>
        <v/>
      </c>
      <c r="T5" s="35" t="str">
        <f t="array" ref="T5">IF(C4="","",IF(C9="Futures","",IF(C9="Options Sell",IF(INDEX([1]AB4!AU:AU,MATCH(A5,[1]AB4!B:B))="","",CONCATENATE(INDEX([1]AB4!AA:AA,MATCH(A5,[1]AB4!B:B))," ( ",INDEX([1]AB4!AE:AE,MATCH(A5,[1]AB4!B:B))," &amp; ",INDEX([1]AB4!AT:AT,MATCH(A5,[1]AB4!B:B)),INDEX([1]AB4!AJ:AJ,MATCH(A5,[1]AB4!B:B)),TEXT(INDEX([1]AB4!AU:AU,MATCH(A5,[1]AB4!B:B)),"0.00%")," )")))))</f>
        <v/>
      </c>
      <c r="U5" s="38" t="str">
        <f t="array" ref="U5">IF(C4="","",IF(C9="Futures","",IF(C9="Options Sell",IF(INDEX([1]AB4!AU:AU,MATCH(A5,[1]AB4!B:B,0))="","",INDEX([1]AB4!AV:AV,MATCH(A5,[1]AB4!B:B,0))))))</f>
        <v/>
      </c>
      <c r="V5" s="35" t="str">
        <f t="array" ref="V5">IF(C4="","",IF(C9="Futures","",IF(C9="Options Sell",IF(INDEX([1]AB4!AX:AX,MATCH(A5,[1]AB4!B:B,0))="","",CONCATENATE(INDEX([1]AB4!AA:AA,MATCH(A5,[1]AB4!B:B,0))," ( ",INDEX([1]AB4!AE:AE,MATCH(A5,[1]AB4!B:B,0))," &amp; ",INDEX([1]AB4!AW:AW,MATCH(A5,[1]AB4!B:B,0)),INDEX([1]AB4!AJ:AJ,MATCH(A5,[1]AB4!B:B,0)),TEXT(INDEX([1]AB4!AX:AX,MATCH(A5,[1]AB4!B:B,0)),"0.00%")," )")))))</f>
        <v/>
      </c>
      <c r="W5" s="38" t="str">
        <f t="array" ref="W5">IF(C4="","",IF(C9="Futures","",IF(C9="Options Sell",IF(INDEX([1]AB4!AX:AX,MATCH(A5,[1]AB4!B:B,0))="","",INDEX([1]AB4!AY:AY,MATCH(A5,[1]AB4!B:B,0))))))</f>
        <v/>
      </c>
      <c r="X5" s="35" t="str">
        <f t="array" ref="X5">IF(C4="","",IF(C9="Futures","",IF(C9="Options Sell",IF(INDEX([1]AB4!BA:BA,MATCH(A5,[1]AB4!B:B,0))="","",CONCATENATE(INDEX([1]AB4!AA:AA,MATCH(A5,[1]AB4!B:B,0))," ( ",INDEX([1]AB4!AE:AE,MATCH(A5,[1]AB4!B:B,0))," &amp; ",INDEX([1]AB4!AW:AW,MATCH(A5,[1]AB4!B:B,0)),INDEX([1]AB4!AJ:AJ,MATCH(A5,[1]AB4!B:B,0)),TEXT(INDEX([1]AB4!AX:AX,MATCH(A5,[1]AB4!B:B,0)),"0.00%")," )")))))</f>
        <v/>
      </c>
      <c r="Y5" s="38" t="str">
        <f t="array" ref="Y5">IF(C4="","",IF(C9="Futures","",IF(C9="Options Sell",IF(INDEX([1]AB4!BA:BA,MATCH(A5,[1]AB4!B:B,0))="","",INDEX([1]AB4!AY:AY,MATCH(A5,[1]AB4!B:B,0))))))</f>
        <v/>
      </c>
      <c r="Z5" s="41">
        <f t="array" ref="Z5">IF(C4="","",IF(C9="Futures","",IF(C9="Options Sell",IF(INDEX([1]AB4!BD:BD,MATCH(A4,[1]AB4!B:B,0))="","",INDEX([1]AB4!AZ:AZ,MATCH(A4,[1]AB4!B:B,0))))))</f>
        <v>0</v>
      </c>
      <c r="AA5" s="42">
        <f t="array" ref="AA5">IF(C4="","",IF(C9="Futures","",IF(C9="Options Sell",IF(INDEX([1]AB4!BD:BD,MATCH(A5,[1]AB4!B:B,0))="","",INDEX([1]AB4!BB:BB,MATCH(A5,[1]AB4!B:B,0))))))</f>
        <v>0</v>
      </c>
      <c r="AB5" s="29"/>
      <c r="AC5" s="29"/>
    </row>
    <row r="6" spans="1:29" ht="6.75" customHeight="1" thickBot="1" x14ac:dyDescent="0.25">
      <c r="A6" s="15" t="str">
        <f>IF(C4="","",CONCATENATE(C5,[1]AB5!A6))</f>
        <v>S18</v>
      </c>
      <c r="B6" s="43" t="str">
        <f>IF(C4="","",[1]AB5!$B$61)</f>
        <v>Unique Code</v>
      </c>
      <c r="C6" s="44" t="str">
        <f t="array" ref="C6">IF(C4="","",IF(C9="Futures","",IF(C9="Options Sell",INDEX([1]AB2!N:N,MATCH(C4,[1]AB2!A:A,0)))))</f>
        <v>USDINR_OP_SELL_WK_DIFF_2D_3D</v>
      </c>
      <c r="D6" s="32"/>
      <c r="E6" s="33"/>
      <c r="F6" s="45"/>
      <c r="G6" s="46"/>
      <c r="H6" s="46"/>
      <c r="I6" s="47"/>
      <c r="J6" s="33"/>
      <c r="K6" s="45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29"/>
      <c r="AC6" s="29"/>
    </row>
    <row r="7" spans="1:29" ht="42.75" customHeight="1" x14ac:dyDescent="0.2">
      <c r="A7" s="15" t="str">
        <f>IF(C4="","",CONCATENATE(C5,[1]AB5!$A$7))</f>
        <v>S18B</v>
      </c>
      <c r="B7" s="48"/>
      <c r="C7" s="49"/>
      <c r="D7" s="32"/>
      <c r="E7" s="33"/>
      <c r="F7" s="50" t="str">
        <f>IF(C4="","",IF(C9="Futures","",IF(C9="Options Sell",[1]AB5!$F$62,IF(C9="Options Buy",[1]AB5!$F$95))))</f>
        <v>Put</v>
      </c>
      <c r="G7" s="20" t="str">
        <f t="array" ref="G7">IF(C4="","",IF(C9="Futures","",IF(C9="Options Sell",CONCATENATE("( ",INDEX([1]AB4!BP:BP,MATCH(A7,[1]AB4!B:B))," ",INDEX([1]AB4!BQ:BQ,MATCH(A7,[1]AB4!B:B))," ",TEXT(INDEX([1]AB4!BR:BR,MATCH(A7,[1]AB4!B:B)),"0.00%")," ) &amp; ",INDEX([1]AB4!BS:BS,MATCH(A7,[1]AB4!B:B))),IF(C9="Options Buy",CONCATENATE("( ",INDEX([1]AB4!BP:BP,MATCH(A7,[1]AB4!B:B,0))," ",INDEX([1]AB4!BQ:BQ,MATCH(A7,[1]AB4!B:B,0))," ",TEXT(INDEX([1]AB4!BR:BR,MATCH(A7,[1]AB4!B:B,0)),"0.00%")," ) &amp; ",INDEX([1]AB4!BS:BS,MATCH(A7,[1]AB4!B:B,0)))))))</f>
        <v>( SPT : PRV : 2DHH - 2.00% ) &amp; Round Up</v>
      </c>
      <c r="H7" s="20" t="str">
        <f t="array" ref="H7">IF(C4="","",IF(C9="Futures","",IF(C9="Options Sell",CONCATENATE(INDEX([1]AB4!CE:CE,MATCH(A7,[1]AB4!B:B)),[1]AB5!$H$59,TEXT(INDEX([1]AB4!CF:CF,MATCH(A7,[1]AB4!B:B)),"0.00%")))))</f>
        <v>SPT : PRV : 2DHH * 0.30%</v>
      </c>
      <c r="I7" s="21" t="str">
        <f t="array" ref="I7">IF(C4="","",IF(C9="Futures","",IF(C9="Options Sell",CONCATENATE(INDEX([1]AB4!CI:CI,MATCH(A7,[1]AB4!B:B)),[1]AB5!$I$59))))</f>
        <v>100 Lots</v>
      </c>
      <c r="J7" s="33"/>
      <c r="K7" s="50" t="str">
        <f>IF(C4="","",IF(C9="Futures","",IF(C9="Options Sell",[1]AB5!$K$62,IF(C9="Options Buy",[1]AB5!$K$95))))</f>
        <v>Put</v>
      </c>
      <c r="L7" s="23" t="str">
        <f>IF(C4="","",IF(C9="Futures","",IF(C9="Options Sell",[1]AB5!$G$7,IF(C9="Options Buy",[1]AB5!$L$95))))</f>
        <v>E &amp; T</v>
      </c>
      <c r="M7" s="20" t="str">
        <f t="array" ref="M7">IF(C4="","",IF(C9="Futures","",IF(C9="Options Sell",CONCATENATE(INDEX([1]AB4!G:G,MATCH(A7,[1]AB4!B:B,0)),INDEX([1]AB4!H:H,MATCH(A7,[1]AB4!B:B,0)),TEXT(INDEX([1]AB4!I:I,MATCH(A7,[1]AB4!B:B,0)),"0.00%")))))</f>
        <v>OPT : PRV : 2DLL - 7.50%</v>
      </c>
      <c r="N7" s="24">
        <f t="array" ref="N7">IF(C4="","",IF(C9="Futures","",IF(C9="Options Sell",INDEX([1]AB4!J:J,MATCH(A7,[1]AB4!B:B,0)))))</f>
        <v>1</v>
      </c>
      <c r="O7" s="25" t="str">
        <f t="array" ref="O7">IF(C4="","",IF(C9="Futures","",IF(C9="Options Sell",IF(INDEX([1]AB4!N:N,MATCH(A7,[1]AB4!B:B,0))="","",CONCATENATE(INDEX([1]AB4!L:L,MATCH(A7,[1]AB4!B:B,0)),INDEX([1]AB4!M:M,MATCH(A7,[1]AB4!B:B,0)),TEXT(INDEX([1]AB4!N:N,MATCH(A7,[1]AB4!B:B,0)),"0.00%"))))))</f>
        <v>PE : Entry  - 60.00%</v>
      </c>
      <c r="P7" s="26">
        <f t="array" ref="P7">IF(C4="","",IF(C9="Futures","",IF(C9="Options Sell",IF(INDEX([1]AB4!N:N,MATCH(A7,[1]AB4!B:B,0))="","",INDEX([1]AB4!O:O,MATCH(A7,[1]AB4!B:B,0))))))</f>
        <v>1</v>
      </c>
      <c r="Q7" s="27"/>
      <c r="R7" s="25" t="str">
        <f t="array" ref="R7">IF(C4="","",IF(C9="Futures","",IF(C9="Options Sell",IF(INDEX([1]AB4!P:P,MATCH(A7,[1]AB4!B:B,0))="","",CONCATENATE(INDEX([1]AB4!L:L,MATCH(A7,[1]AB4!B:B,0)),INDEX([1]AB4!M:M,MATCH(A7,[1]AB4!B:B,0)),TEXT(INDEX([1]AB4!P:P,MATCH(A7,[1]AB4!B:B,0)),"0.00%"))))))</f>
        <v/>
      </c>
      <c r="S7" s="24" t="str">
        <f t="array" ref="S7">IF(C4="","",IF(C9="Futures","",IF(C9="Options Sell",IF(INDEX([1]AB4!P:P,MATCH(A7,[1]AB4!B:B,0))="","",INDEX([1]AB4!Q:Q,MATCH(A7,[1]AB4!B:B,0))))))</f>
        <v/>
      </c>
      <c r="T7" s="25" t="str">
        <f t="array" ref="T7">IF(C4="","",IF(C9="Futures","",IF(C9="Options Sell",IF(INDEX([1]AB4!R:R,MATCH(A7,[1]AB4!B:B,0))="","",CONCATENATE(INDEX([1]AB4!L:L,MATCH(A7,[1]AB4!B:B,0)),INDEX([1]AB4!M:M,MATCH(A7,[1]AB4!B:B,0)),TEXT(INDEX([1]AB4!R:R,MATCH(A7,[1]AB4!B:B,0)),"0.00%"))))))</f>
        <v/>
      </c>
      <c r="U7" s="24" t="str">
        <f t="array" ref="U7">IF(C4="","",IF(C9="Futures","",IF(C9="Options Sell",IF(INDEX([1]AB4!R:R,MATCH(A7,[1]AB4!B:B,0))="","",INDEX([1]AB4!S:S,MATCH(A7,[1]AB4!B:B,0))))))</f>
        <v/>
      </c>
      <c r="V7" s="25" t="str">
        <f t="array" ref="V7">IF(C7="","",IF(C9="Futures","",IF(C9="Options Sell",IF(INDEX([1]AB4!T:T,MATCH(A7,[1]AB4!B:B,0))="","",CONCATENATE(INDEX([1]AB4!L:L,MATCH(A7,[1]AB4!B:B,0)),INDEX([1]AB4!M:M,MATCH(A7,[1]AB4!B:B,0)),TEXT(INDEX([1]AB4!T:T,MATCH(A7,[1]AB4!B:B,0)),"0.00%"))))))</f>
        <v/>
      </c>
      <c r="W7" s="24" t="str">
        <f t="array" ref="W7">IF(C4="","",IF(C9="Futures","",IF(C9="Options Sell",IF(INDEX([1]AB4!T:T,MATCH(A7,[1]AB4!B:B,0))="","",INDEX([1]AB4!U:U,MATCH(A7,[1]AB4!B:B,0))))))</f>
        <v/>
      </c>
      <c r="X7" s="25" t="str">
        <f t="array" ref="X7">IF(C4="","",IF(C9="Futures","",IF(C9="Options Sell",IF(INDEX([1]AB4!V:V,MATCH(A7,[1]AB4!B:B,0))="","",INDEX([1]AB4!V:V,MATCH(A7,[1]AB4!B:B,0))))))</f>
        <v/>
      </c>
      <c r="Y7" s="24" t="str">
        <f t="array" ref="Y7">IF(C4="","",IF(C9="Futures","",IF(C9="Options Sell",IF(INDEX([1]AB4!V:V,MATCH(A7,[1]AB4!B:B,0))="","",INDEX([1]AB4!W:W,MATCH(A7,[1]AB4!B:B,0))))))</f>
        <v/>
      </c>
      <c r="Z7" s="25" t="str">
        <f t="array" ref="Z7">IF(C4="","",IF(C9="Futures","",IF(C9="Options Sell",IF(INDEX([1]AB4!X:X,MATCH(A7,[1]AB4!B:B,0))="","",INDEX([1]AB4!X:X,MATCH(A7,[1]AB4!B:B,0))))))</f>
        <v/>
      </c>
      <c r="AA7" s="28" t="str">
        <f t="array" ref="AA7">IF(C4="","",IF(C9="Futures","",IF(C9="Options Sell",IF(INDEX([1]AB4!X:X,MATCH(A7,[1]AB4!B:B,0))="","",INDEX([1]AB4!X:X,MATCH(A7,[1]AB4!Y:Y,0))))))</f>
        <v/>
      </c>
      <c r="AB7" s="29"/>
      <c r="AC7" s="29"/>
    </row>
    <row r="8" spans="1:29" ht="42.75" customHeight="1" thickBot="1" x14ac:dyDescent="0.25">
      <c r="A8" s="15" t="str">
        <f>IF(C4="","",CONCATENATE(C5,[1]AB5!$A$8))</f>
        <v>S18B</v>
      </c>
      <c r="B8" s="51"/>
      <c r="C8" s="52"/>
      <c r="D8" s="34"/>
      <c r="E8" s="53"/>
      <c r="F8" s="34"/>
      <c r="G8" s="35" t="str">
        <f t="array" ref="G8">IF(C4="","",IF(C9="Futures","",IF(C9="Options Sell",CONCATENATE("( ",INDEX([1]AB4!BT:BT,MATCH(A8,[1]AB4!B:B))," ) &amp; ",INDEX([1]AB4!BW:BW,MATCH(A8,[1]AB4!B:B))," ",INDEX([1]AB4!BX:BX,MATCH(A8,[1]AB4!B:B))," ",INDEX([1]AB4!BY:BY,MATCH(A8,[1]AB4!B:B))),IF(C9="Options Buy",CONCATENATE("( ",INDEX([1]AB4!BP:BP,MATCH(A8,[1]AB4!B:B,0))," ",INDEX([1]AB4!BQ:BQ,MATCH(A8,[1]AB4!B:B,0))," ",TEXT(INDEX([1]AB4!BR:BR,MATCH(A8,[1]AB4!B:B,0)),"0.00%")," ) &amp; ",INDEX([1]AB4!BS:BS,MATCH(A8,[1]AB4!B:B,0)))))))</f>
        <v>( SPT : PRV : 2DHH ) &amp; Round Up + 1</v>
      </c>
      <c r="H8" s="35" t="str">
        <f t="array" ref="H8">IF(C4="","",IF(C9="Futures","",IF(C9="Options Sell",CONCATENATE(INDEX([1]AB4!CG:CG,MATCH(A8,[1]AB4!B:B)),[1]AB5!$H$60,TEXT(INDEX([1]AB4!CH:CH,MATCH(A8,[1]AB4!B:B)),"0.00%")))))</f>
        <v>SPT : PRV : 2DHH * 0.15%</v>
      </c>
      <c r="I8" s="36" t="str">
        <f t="array" ref="I8">IF(C4="","",IF(C9="Futures","",IF(C9="Options Sell",CONCATENATE(INDEX([1]AB4!CJ:CJ,MATCH(A8,[1]AB4!B:B)),[1]AB5!$I$60))))</f>
        <v>1 Exp</v>
      </c>
      <c r="J8" s="53"/>
      <c r="K8" s="34"/>
      <c r="L8" s="37" t="str">
        <f>IF(C4="","",IF(C9="Futures","",IF(C9="Options Sell",[1]AB5!$G$8,IF(C9="Options Buy",[1]AB5!$L$96))))</f>
        <v>SL / TRP</v>
      </c>
      <c r="M8" s="35" t="str">
        <f t="array" ref="M8">IF(C4="","",IF(C9="Futures","",IF(C9="Options Sell",IF(INDEX([1]AB4!AL:AL,MATCH(A8,[1]AB4!B:B,0))="","",CONCATENATE(INDEX([1]AB4!AA:AA,MATCH(A8,[1]AB4!B:B,0))," ( ",INDEX([1]AB4!AE:AE,MATCH(A8,[1]AB4!B:B,0)),INDEX([1]AB4!AF:AF,MATCH(A8,[1]AB4!B:B,0)),TEXT(INDEX([1]AB4!AG:AG,MATCH(A8,[1]AB4!B:B,0)),"0.00%")," &amp; ",INDEX([1]AB4!AK:AK,MATCH(A8,[1]AB4!B:B,0)),INDEX([1]AB4!AJ:AJ,MATCH(A8,[1]AB4!B:B,0)),TEXT(INDEX([1]AB4!AL:AL,MATCH(A8,[1]AB4!B:B,0)),"0.00%")," )")))))</f>
        <v>Min ( PE : Entry  + 60.00% &amp; OPT : PRV : 3DHH + 10.00% )</v>
      </c>
      <c r="N8" s="38">
        <f t="array" ref="N8">IF(C4="","",IF(C9="Futures","",IF(C9="Options Sell",INDEX([1]AB4!AM:AM,MATCH(A8,[1]AB4!B:B,0)))))</f>
        <v>1</v>
      </c>
      <c r="O8" s="35" t="str">
        <f t="array" ref="O8">IF(C4="","",IF(C9="Futures","",IF(C9="Options Sell",IF(INDEX([1]AB4!AO:AO,MATCH(A8,[1]AB4!B:B,0))="","",CONCATENATE(INDEX([1]AB4!AA:AA,MATCH(A8,[1]AB4!B:B,0))," ( ",INDEX([1]AB4!AE:AE,MATCH(A8,[1]AB4!B:B,0))," &amp; ",INDEX([1]AB4!AN:AN,MATCH(A8,[1]AB4!B:B,0)),INDEX([1]AB4!AJ:AJ,MATCH(A8,[1]AB4!B:B,0)),TEXT(INDEX([1]AB4!AO:AO,MATCH(A8,[1]AB4!B:B,0)),"0.00%")," )")))))</f>
        <v/>
      </c>
      <c r="P8" s="39" t="str">
        <f t="array" ref="P8">IF(C4="","",IF(C9="Futures","",IF(C9="Options Sell",IF(INDEX([1]AB4!AO:AO,MATCH(A8,[1]AB4!B:B,0))="","",INDEX([1]AB4!AP:AP,MATCH(A8,[1]AB4!B:B,0))))))</f>
        <v/>
      </c>
      <c r="Q8" s="40"/>
      <c r="R8" s="35" t="str">
        <f t="array" ref="R8">IF(C4="","",IF(C9="Futures","",IF(C9="Options Sell",IF(INDEX([1]AB4!AR:AR,MATCH(A8,[1]AB4!B:B,0))="","",CONCATENATE(INDEX([1]AB4!AA:AA,MATCH(A8,[1]AB4!B:B,0))," ( ",INDEX([1]AB4!AE:AE,MATCH(A8,[1]AB4!B:B,0))," &amp; ",INDEX([1]AB4!AQ:AQ,MATCH(A8,[1]AB4!B:B,0)),INDEX([1]AB4!AJ:AJ,MATCH(A8,[1]AB4!B:B,0)),TEXT(INDEX([1]AB4!AR:AR,MATCH(A8,[1]AB4!B:B,0)),"0.00%")," )")))))</f>
        <v/>
      </c>
      <c r="S8" s="38" t="str">
        <f t="array" ref="S8">IF(C4="","",IF(C9="Futures","",IF(C9="Options Sell",IF(INDEX([1]AB4!AR:AR,MATCH(A8,[1]AB4!B:B,0))="","",INDEX([1]AB4!AS:AS,MATCH(A8,[1]AB4!B:B,0))))))</f>
        <v/>
      </c>
      <c r="T8" s="35" t="str">
        <f t="array" ref="T8">IF(C4="","",IF(C9="Futures","",IF(C9="Options Sell",IF(INDEX([1]AB4!AU:AU,MATCH(A8,[1]AB4!B:B))="","",CONCATENATE(INDEX([1]AB4!AA:AA,MATCH(A8,[1]AB4!B:B))," ( ",INDEX([1]AB4!AE:AE,MATCH(A8,[1]AB4!B:B))," &amp; ",INDEX([1]AB4!AT:AT,MATCH(A8,[1]AB4!B:B)),INDEX([1]AB4!AJ:AJ,MATCH(A8,[1]AB4!B:B)),TEXT(INDEX([1]AB4!AU:AU,MATCH(A8,[1]AB4!B:B)),"0.00%")," )")))))</f>
        <v/>
      </c>
      <c r="U8" s="38" t="str">
        <f t="array" ref="U8">IF(C4="","",IF(C9="Futures","",IF(C9="Options Sell",IF(INDEX([1]AB4!AU:AU,MATCH(A8,[1]AB4!B:B,0))="","",INDEX([1]AB4!AV:AV,MATCH(A8,[1]AB4!B:B,0))))))</f>
        <v/>
      </c>
      <c r="V8" s="35" t="str">
        <f t="array" ref="V8">IF(C7="","",IF(C9="Futures","",IF(C9="Options Sell",IF(INDEX([1]AB4!AX:AX,MATCH(A8,[1]AB4!B:B,0))="","",CONCATENATE(INDEX([1]AB4!AA:AA,MATCH(A8,[1]AB4!B:B,0))," ( ",INDEX([1]AB4!AE:AE,MATCH(A8,[1]AB4!B:B,0))," &amp; ",INDEX([1]AB4!AW:AW,MATCH(A8,[1]AB4!B:B,0)),INDEX([1]AB4!AJ:AJ,MATCH(A8,[1]AB4!B:B,0)),TEXT(INDEX([1]AB4!AX:AX,MATCH(A8,[1]AB4!B:B,0)),"0.00%")," )")))))</f>
        <v/>
      </c>
      <c r="W8" s="38" t="str">
        <f t="array" ref="W8">IF(C4="","",IF(C9="Futures","",IF(C9="Options Sell",IF(INDEX([1]AB4!AX:AX,MATCH(A8,[1]AB4!B:B,0))="","",INDEX([1]AB4!AY:AY,MATCH(A8,[1]AB4!B:B,0))))))</f>
        <v/>
      </c>
      <c r="X8" s="35" t="str">
        <f t="array" ref="X8">IF(C4="","",IF(C9="Futures","",IF(C9="Options Sell",IF(INDEX([1]AB4!BA:BA,MATCH(A8,[1]AB4!B:B,0))="","",CONCATENATE(INDEX([1]AB4!AA:AA,MATCH(A8,[1]AB4!B:B,0))," ( ",INDEX([1]AB4!AE:AE,MATCH(A8,[1]AB4!B:B,0))," &amp; ",INDEX([1]AB4!AW:AW,MATCH(A8,[1]AB4!B:B,0)),INDEX([1]AB4!AJ:AJ,MATCH(A8,[1]AB4!B:B,0)),TEXT(INDEX([1]AB4!AX:AX,MATCH(A8,[1]AB4!B:B,0)),"0.00%")," )")))))</f>
        <v/>
      </c>
      <c r="Y8" s="38" t="str">
        <f t="array" ref="Y8">IF(C4="","",IF(C9="Futures","",IF(C9="Options Sell",IF(INDEX([1]AB4!BA:BA,MATCH(A8,[1]AB4!B:B,0))="","",INDEX([1]AB4!AY:AY,MATCH(A8,[1]AB4!B:B,0))))))</f>
        <v/>
      </c>
      <c r="Z8" s="41">
        <f t="array" ref="Z8">IF(C4="","",IF(C9="Futures","",IF(C9="Options Sell",IF(INDEX([1]AB4!BD:BD,MATCH(A7,[1]AB4!B:B,0))="","",INDEX([1]AB4!AZ:AZ,MATCH(A7,[1]AB4!B:B,0))))))</f>
        <v>0</v>
      </c>
      <c r="AA8" s="42">
        <f t="array" ref="AA8">IF(C4="","",IF(C9="Futures","",IF(C9="Options Sell",IF(INDEX([1]AB4!BD:BD,MATCH(A8,[1]AB4!B:B,0))="","",INDEX([1]AB4!BB:BB,MATCH(A8,[1]AB4!B:B,0))))))</f>
        <v>0</v>
      </c>
      <c r="AB8" s="29"/>
      <c r="AC8" s="29"/>
    </row>
    <row r="9" spans="1:29" ht="18.75" customHeight="1" thickBot="1" x14ac:dyDescent="0.25">
      <c r="A9" s="15" t="str">
        <f>IF(C4="","",CONCATENATE(C5,[1]AB5!$A$9))</f>
        <v>S18C</v>
      </c>
      <c r="B9" s="30" t="str">
        <f>IF(C4="","",[1]AB5!$B$64)</f>
        <v>Segment</v>
      </c>
      <c r="C9" s="31" t="str">
        <f t="array" ref="C9">IF(C4="","",INDEX([1]AB2!C:C,MATCH(C4,[1]AB2!A:A,0)))</f>
        <v>OPTIONS SELL</v>
      </c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29"/>
      <c r="AC9" s="29"/>
    </row>
    <row r="10" spans="1:29" ht="42.75" customHeight="1" x14ac:dyDescent="0.2">
      <c r="A10" s="15" t="str">
        <f>IF(C4="","",CONCATENATE(C5,[1]AB5!$A$10))</f>
        <v>S18D</v>
      </c>
      <c r="B10" s="30" t="str">
        <f>IF(C4="","",[1]AB5!$B$65)</f>
        <v>Symbol</v>
      </c>
      <c r="C10" s="31" t="str">
        <f t="array" ref="C10">IF(C4="","",IF(C9="Futures","",IF(C9="Options Sell",INDEX([1]AB2!E:E,MATCH(C4,[1]AB2!A:A,0)))))</f>
        <v>USDINR</v>
      </c>
      <c r="D10" s="50" t="str">
        <f>IF(C4="","",IF(C9="Futures","",IF(C9="Options Sell",[1]AB5!$D$65,IF(C9="Options Buy",[1]AB5!$D$98))))</f>
        <v>BEAR / BEAR CF</v>
      </c>
      <c r="E10" s="19"/>
      <c r="F10" s="18" t="str">
        <f>IF(C4="","",IF(C9="Futures","",IF(C9="Options Sell",[1]AB5!$F$65)))</f>
        <v>Call</v>
      </c>
      <c r="G10" s="20" t="str">
        <f t="array" ref="G10">IF(C4="","",IF(C9="Futures","",IF(C9="Options Sell",CONCATENATE("( ",INDEX([1]AB4!BP:BP,MATCH(A10,[1]AB4!B:B))," ",INDEX([1]AB4!BQ:BQ,MATCH(A10,[1]AB4!B:B))," ",TEXT(INDEX([1]AB4!BR:BR,MATCH(A10,[1]AB4!B:B)),"0.00%")," ) &amp; ",INDEX([1]AB4!BS:BS,MATCH(A10,[1]AB4!B:B))),IF(C9="Options Buy",CONCATENATE("( ",INDEX([1]AB4!BP:BP,MATCH(A10,[1]AB4!B:B,0))," ",INDEX([1]AB4!BQ:BQ,MATCH(A10,[1]AB4!B:B,0))," ",TEXT(INDEX([1]AB4!BR:BR,MATCH(A10,[1]AB4!B:B,0)),"0.00%")," ) &amp; ",INDEX([1]AB4!BS:BS,MATCH(A10,[1]AB4!B:B,0)))))))</f>
        <v>( SPT : PRV : 2DLL + 2.00% ) &amp; Round Down</v>
      </c>
      <c r="H10" s="20" t="str">
        <f t="array" ref="H10">IF(C4="","",IF(C9="Futures","",IF(C9="Options Sell",CONCATENATE(INDEX([1]AB4!CE:CE,MATCH(A10,[1]AB4!B:B)),[1]AB5!$H$59,TEXT(INDEX([1]AB4!CF:CF,MATCH(A10,[1]AB4!B:B)),"0.00%")))))</f>
        <v>SPT : PRV : 2DLL * 0.30%</v>
      </c>
      <c r="I10" s="21" t="str">
        <f t="array" ref="I10">IF(C4="","",IF(C9="Futures","",IF(C9="Options Sell",CONCATENATE(INDEX([1]AB4!CI:CI,MATCH(A10,[1]AB4!B:B)),[1]AB5!$I$59))))</f>
        <v>100 Lots</v>
      </c>
      <c r="J10" s="55" t="str">
        <f>IF(C4="","",IF(C9="Futures","",IF(C9="Options Sell",[1]AB5!$J$65,IF(C9="Options Buy",[1]AB5!$J$98))))</f>
        <v>BEAR / BEAR CF</v>
      </c>
      <c r="K10" s="18" t="str">
        <f>IF(C4="","",IF(C9="Futures","",IF(C9="Options Sell",[1]AB5!$K$65,IF(C9="Options Buy",[1]AB5!$K$98))))</f>
        <v>Call</v>
      </c>
      <c r="L10" s="23" t="str">
        <f>IF(C4="","",IF(C9="Futures","",IF(C9="Options Sell",[1]AB5!$G$10,IF(C9="Options Buy",[1]AB5!$L$98))))</f>
        <v>E &amp; T</v>
      </c>
      <c r="M10" s="20" t="str">
        <f t="array" ref="M10">IF(C4="","",IF(C9="Futures","",IF(C9="Options Sell",CONCATENATE(INDEX([1]AB4!G:G,MATCH(A10,[1]AB4!B:B,0)),INDEX([1]AB4!H:H,MATCH(A10,[1]AB4!B:B,0)),TEXT(INDEX([1]AB4!I:I,MATCH(A10,[1]AB4!B:B,0)),"0.00%")))))</f>
        <v>OPT : PRV : 2DLL - 7.50%</v>
      </c>
      <c r="N10" s="24">
        <f t="array" ref="N10">IF(C4="","",IF(C9="Futures","",IF(C9="Options Sell",INDEX([1]AB4!J:J,MATCH(A10,[1]AB4!B:B,0)))))</f>
        <v>1</v>
      </c>
      <c r="O10" s="25" t="str">
        <f t="array" ref="O10">IF(C4="","",IF(C9="Futures","",IF(C9="Options Sell",IF(INDEX([1]AB4!N:N,MATCH(A10,[1]AB4!B:B,0))="","",CONCATENATE(INDEX([1]AB4!L:L,MATCH(A10,[1]AB4!B:B,0)),INDEX([1]AB4!M:M,MATCH(A10,[1]AB4!B:B,0)),TEXT(INDEX([1]AB4!N:N,MATCH(A10,[1]AB4!B:B,0)),"0.00%"))))))</f>
        <v>CE : Entry  - 60.00%</v>
      </c>
      <c r="P10" s="26">
        <f t="array" ref="P10">IF(C4="","",IF(C9="Futures","",IF(C9="Options Sell",IF(INDEX([1]AB4!N:N,MATCH(A10,[1]AB4!B:B,0))="","",INDEX([1]AB4!O:O,MATCH(A10,[1]AB4!B:B,0))))))</f>
        <v>1</v>
      </c>
      <c r="Q10" s="27"/>
      <c r="R10" s="25" t="str">
        <f t="array" ref="R10">IF(C4="","",IF(C9="Futures","",IF(C9="Options Sell",IF(INDEX([1]AB4!P:P,MATCH(A10,[1]AB4!B:B,0))="","",CONCATENATE(INDEX([1]AB4!L:L,MATCH(A10,[1]AB4!B:B,0)),INDEX([1]AB4!M:M,MATCH(A10,[1]AB4!B:B,0)),TEXT(INDEX([1]AB4!P:P,MATCH(A10,[1]AB4!B:B,0)),"0.00%"))))))</f>
        <v/>
      </c>
      <c r="S10" s="24" t="str">
        <f t="array" ref="S10">IF(C4="","",IF(C9="Futures","",IF(C9="Options Sell",IF(INDEX([1]AB4!P:P,MATCH(A10,[1]AB4!B:B,0))="","",INDEX([1]AB4!Q:Q,MATCH(A10,[1]AB4!B:B,0))))))</f>
        <v/>
      </c>
      <c r="T10" s="25" t="str">
        <f t="array" ref="T10">IF(C4="","",IF(C9="Futures","",IF(C9="Options Sell",IF(INDEX([1]AB4!R:R,MATCH(A10,[1]AB4!B:B,0))="","",CONCATENATE(INDEX([1]AB4!L:L,MATCH(A10,[1]AB4!B:B,0)),INDEX([1]AB4!M:M,MATCH(A10,[1]AB4!B:B,0)),TEXT(INDEX([1]AB4!R:R,MATCH(A10,[1]AB4!B:B,0)),"0.00%"))))))</f>
        <v/>
      </c>
      <c r="U10" s="24" t="str">
        <f t="array" ref="U10">IF(C4="","",IF(C9="Futures","",IF(C9="Options Sell",IF(INDEX([1]AB4!R:R,MATCH(A10,[1]AB4!B:B,0))="","",INDEX([1]AB4!S:S,MATCH(A10,[1]AB4!B:B,0))))))</f>
        <v/>
      </c>
      <c r="V10" s="25" t="str">
        <f t="array" ref="V10">IF(C10="","",IF(C9="Futures","",IF(C9="Options Sell",IF(INDEX([1]AB4!T:T,MATCH(A10,[1]AB4!B:B,0))="","",CONCATENATE(INDEX([1]AB4!L:L,MATCH(A10,[1]AB4!B:B,0)),INDEX([1]AB4!M:M,MATCH(A10,[1]AB4!B:B,0)),TEXT(INDEX([1]AB4!T:T,MATCH(A10,[1]AB4!B:B,0)),"0.00%"))))))</f>
        <v/>
      </c>
      <c r="W10" s="24" t="str">
        <f t="array" ref="W10">IF(C4="","",IF(C9="Futures","",IF(C9="Options Sell",IF(INDEX([1]AB4!T:T,MATCH(A10,[1]AB4!B:B,0))="","",INDEX([1]AB4!U:U,MATCH(A10,[1]AB4!B:B,0))))))</f>
        <v/>
      </c>
      <c r="X10" s="25" t="str">
        <f t="array" ref="X10">IF(C4="","",IF(C9="Futures","",IF(C9="Options Sell",IF(INDEX([1]AB4!V:V,MATCH(A10,[1]AB4!B:B,0))="","",INDEX([1]AB4!V:V,MATCH(A10,[1]AB4!B:B,0))))))</f>
        <v/>
      </c>
      <c r="Y10" s="24" t="str">
        <f t="array" ref="Y10">IF(C4="","",IF(C9="Futures","",IF(C9="Options Sell",IF(INDEX([1]AB4!V:V,MATCH(A10,[1]AB4!B:B,0))="","",INDEX([1]AB4!W:W,MATCH(A10,[1]AB4!B:B,0))))))</f>
        <v/>
      </c>
      <c r="Z10" s="25" t="str">
        <f t="array" ref="Z10">IF(C4="","",IF(C9="Futures","",IF(C9="Options Sell",IF(INDEX([1]AB4!X:X,MATCH(A10,[1]AB4!B:B,0))="","",INDEX([1]AB4!X:X,MATCH(A10,[1]AB4!B:B,0))))))</f>
        <v/>
      </c>
      <c r="AA10" s="28" t="str">
        <f t="array" ref="AA10">IF(C4="","",IF(C9="Futures","",IF(C9="Options Sell",IF(INDEX([1]AB4!X:X,MATCH(A10,[1]AB4!B:B,0))="","",INDEX([1]AB4!X:X,MATCH(A10,[1]AB4!Y:Y,0))))))</f>
        <v/>
      </c>
      <c r="AB10" s="29"/>
      <c r="AC10" s="29"/>
    </row>
    <row r="11" spans="1:29" ht="42.75" customHeight="1" thickBot="1" x14ac:dyDescent="0.25">
      <c r="A11" s="15" t="str">
        <f>IF(C4="","",CONCATENATE(C5,[1]AB5!$A$11))</f>
        <v>S18D</v>
      </c>
      <c r="B11" s="30" t="str">
        <f>IF(C4="","",[1]AB5!$B$66)</f>
        <v>No. of TGT</v>
      </c>
      <c r="C11" s="31" t="str">
        <f t="array" ref="C11">IF(C4="","",IF(C9="Futures","",IF(C9="Options Sell",INDEX([1]AB2!K:K,MATCH(C4,[1]AB2!A:A,0)))))</f>
        <v>APS</v>
      </c>
      <c r="D11" s="32"/>
      <c r="E11" s="33"/>
      <c r="F11" s="34"/>
      <c r="G11" s="35" t="str">
        <f t="array" ref="G11">IF(C4="","",IF(C9="Futures","",IF(C9="Options Sell",CONCATENATE("( ",INDEX([1]AB4!BT:BT,MATCH(A11,[1]AB4!B:B))," ) &amp; ",INDEX([1]AB4!BW:BW,MATCH(A11,[1]AB4!B:B))," ",INDEX([1]AB4!BX:BX,MATCH(A11,[1]AB4!B:B))," ",INDEX([1]AB4!BY:BY,MATCH(A11,[1]AB4!B:B))),IF(C9="Options Buy",CONCATENATE("( ",INDEX([1]AB4!BP:BP,MATCH(A11,[1]AB4!B:B,0))," ",INDEX([1]AB4!BQ:BQ,MATCH(A11,[1]AB4!B:B,0))," ",TEXT(INDEX([1]AB4!BR:BR,MATCH(A11,[1]AB4!B:B,0)),"0.00%")," ) &amp; ",INDEX([1]AB4!BS:BS,MATCH(A11,[1]AB4!B:B,0)))))))</f>
        <v>( SPT : PRV : 2DLL ) &amp; Round Down - 1</v>
      </c>
      <c r="H11" s="35" t="str">
        <f t="array" ref="H11">IF(C4="","",IF(C9="Futures","",IF(C9="Options Sell",CONCATENATE(INDEX([1]AB4!CG:CG,MATCH(A11,[1]AB4!B:B)),[1]AB5!$H$60,TEXT(INDEX([1]AB4!CH:CH,MATCH(A11,[1]AB4!B:B)),"0.00%")))))</f>
        <v>SPT : PRV : 2DLL * 0.15%</v>
      </c>
      <c r="I11" s="36" t="str">
        <f t="array" ref="I11">IF(C4="","",IF(C9="Futures","",IF(C9="Options Sell",CONCATENATE(INDEX([1]AB4!CJ:CJ,MATCH(A11,[1]AB4!B:B)),[1]AB5!$I$60))))</f>
        <v>1 Exp</v>
      </c>
      <c r="J11" s="33"/>
      <c r="K11" s="34"/>
      <c r="L11" s="37" t="str">
        <f>IF(C4="","",IF(C9="Futures","",IF(C9="Options Sell",[1]AB5!$G$11,IF(C9="Options Buy",[1]AB5!$L$99))))</f>
        <v>SL / TRP</v>
      </c>
      <c r="M11" s="35" t="str">
        <f t="array" ref="M11">IF(C4="","",IF(C9="Futures","",IF(C9="Options Sell",IF(INDEX([1]AB4!AL:AL,MATCH(A11,[1]AB4!B:B,0))="","",CONCATENATE(INDEX([1]AB4!AA:AA,MATCH(A11,[1]AB4!B:B,0))," ( ",INDEX([1]AB4!AE:AE,MATCH(A11,[1]AB4!B:B,0)),INDEX([1]AB4!AF:AF,MATCH(A11,[1]AB4!B:B,0)),TEXT(INDEX([1]AB4!AG:AG,MATCH(A11,[1]AB4!B:B,0)),"0.00%")," &amp; ",INDEX([1]AB4!AK:AK,MATCH(A11,[1]AB4!B:B,0)),INDEX([1]AB4!AJ:AJ,MATCH(A11,[1]AB4!B:B,0)),TEXT(INDEX([1]AB4!AL:AL,MATCH(A11,[1]AB4!B:B,0)),"0.00%")," )")))))</f>
        <v>Min ( CE : Entry  + 60.00% &amp; OPT : PRV : 3DHH + 10.00% )</v>
      </c>
      <c r="N11" s="38">
        <f t="array" ref="N11">IF(C4="","",IF(C9="Futures","",IF(C9="Options Sell",INDEX([1]AB4!AM:AM,MATCH(A11,[1]AB4!B:B,0)))))</f>
        <v>1</v>
      </c>
      <c r="O11" s="35" t="str">
        <f t="array" ref="O11">IF(C4="","",IF(C9="Futures","",IF(C9="Options Sell",IF(INDEX([1]AB4!AO:AO,MATCH(A11,[1]AB4!B:B,0))="","",CONCATENATE(INDEX([1]AB4!AA:AA,MATCH(A11,[1]AB4!B:B,0))," ( ",INDEX([1]AB4!AE:AE,MATCH(A11,[1]AB4!B:B,0))," &amp; ",INDEX([1]AB4!AN:AN,MATCH(A11,[1]AB4!B:B,0)),INDEX([1]AB4!AJ:AJ,MATCH(A11,[1]AB4!B:B,0)),TEXT(INDEX([1]AB4!AO:AO,MATCH(A11,[1]AB4!B:B,0)),"0.00%")," )")))))</f>
        <v/>
      </c>
      <c r="P11" s="39" t="str">
        <f t="array" ref="P11">IF(C4="","",IF(C9="Futures","",IF(C9="Options Sell",IF(INDEX([1]AB4!AO:AO,MATCH(A11,[1]AB4!B:B,0))="","",INDEX([1]AB4!AP:AP,MATCH(A11,[1]AB4!B:B,0))))))</f>
        <v/>
      </c>
      <c r="Q11" s="40"/>
      <c r="R11" s="35" t="str">
        <f t="array" ref="R11">IF(C4="","",IF(C9="Futures","",IF(C9="Options Sell",IF(INDEX([1]AB4!AR:AR,MATCH(A11,[1]AB4!B:B,0))="","",CONCATENATE(INDEX([1]AB4!AA:AA,MATCH(A11,[1]AB4!B:B,0))," ( ",INDEX([1]AB4!AE:AE,MATCH(A11,[1]AB4!B:B,0))," &amp; ",INDEX([1]AB4!AQ:AQ,MATCH(A11,[1]AB4!B:B,0)),INDEX([1]AB4!AJ:AJ,MATCH(A11,[1]AB4!B:B,0)),TEXT(INDEX([1]AB4!AR:AR,MATCH(A11,[1]AB4!B:B,0)),"0.00%")," )")))))</f>
        <v/>
      </c>
      <c r="S11" s="38" t="str">
        <f t="array" ref="S11">IF(C4="","",IF(C9="Futures","",IF(C9="Options Sell",IF(INDEX([1]AB4!AR:AR,MATCH(A11,[1]AB4!B:B,0))="","",INDEX([1]AB4!AS:AS,MATCH(A11,[1]AB4!B:B,0))))))</f>
        <v/>
      </c>
      <c r="T11" s="35" t="str">
        <f t="array" ref="T11">IF(C4="","",IF(C9="Futures","",IF(C9="Options Sell",IF(INDEX([1]AB4!AU:AU,MATCH(A11,[1]AB4!B:B))="","",CONCATENATE(INDEX([1]AB4!AA:AA,MATCH(A11,[1]AB4!B:B))," ( ",INDEX([1]AB4!AE:AE,MATCH(A11,[1]AB4!B:B))," &amp; ",INDEX([1]AB4!AT:AT,MATCH(A11,[1]AB4!B:B)),INDEX([1]AB4!AJ:AJ,MATCH(A11,[1]AB4!B:B)),TEXT(INDEX([1]AB4!AU:AU,MATCH(A11,[1]AB4!B:B)),"0.00%")," )")))))</f>
        <v/>
      </c>
      <c r="U11" s="38" t="str">
        <f t="array" ref="U11">IF(C4="","",IF(C9="Futures","",IF(C9="Options Sell",IF(INDEX([1]AB4!AU:AU,MATCH(A11,[1]AB4!B:B,0))="","",INDEX([1]AB4!AV:AV,MATCH(A11,[1]AB4!B:B,0))))))</f>
        <v/>
      </c>
      <c r="V11" s="35" t="str">
        <f t="array" ref="V11">IF(C10="","",IF(C9="Futures","",IF(C9="Options Sell",IF(INDEX([1]AB4!AX:AX,MATCH(A11,[1]AB4!B:B,0))="","",CONCATENATE(INDEX([1]AB4!AA:AA,MATCH(A11,[1]AB4!B:B,0))," ( ",INDEX([1]AB4!AE:AE,MATCH(A11,[1]AB4!B:B,0))," &amp; ",INDEX([1]AB4!AW:AW,MATCH(A11,[1]AB4!B:B,0)),INDEX([1]AB4!AJ:AJ,MATCH(A11,[1]AB4!B:B,0)),TEXT(INDEX([1]AB4!AX:AX,MATCH(A11,[1]AB4!B:B,0)),"0.00%")," )")))))</f>
        <v/>
      </c>
      <c r="W11" s="38" t="str">
        <f t="array" ref="W11">IF(C4="","",IF(C9="Futures","",IF(C9="Options Sell",IF(INDEX([1]AB4!AX:AX,MATCH(A11,[1]AB4!B:B,0))="","",INDEX([1]AB4!AY:AY,MATCH(A11,[1]AB4!B:B,0))))))</f>
        <v/>
      </c>
      <c r="X11" s="35" t="str">
        <f t="array" ref="X11">IF(C4="","",IF(C9="Futures","",IF(C9="Options Sell",IF(INDEX([1]AB4!BA:BA,MATCH(A11,[1]AB4!B:B,0))="","",CONCATENATE(INDEX([1]AB4!AA:AA,MATCH(A11,[1]AB4!B:B,0))," ( ",INDEX([1]AB4!AE:AE,MATCH(A11,[1]AB4!B:B,0))," &amp; ",INDEX([1]AB4!AW:AW,MATCH(A11,[1]AB4!B:B,0)),INDEX([1]AB4!AJ:AJ,MATCH(A11,[1]AB4!B:B,0)),TEXT(INDEX([1]AB4!AX:AX,MATCH(A11,[1]AB4!B:B,0)),"0.00%")," )")))))</f>
        <v/>
      </c>
      <c r="Y11" s="38" t="str">
        <f t="array" ref="Y11">IF(C4="","",IF(C9="Futures","",IF(C9="Options Sell",IF(INDEX([1]AB4!BA:BA,MATCH(A11,[1]AB4!B:B,0))="","",INDEX([1]AB4!AY:AY,MATCH(A11,[1]AB4!B:B,0))))))</f>
        <v/>
      </c>
      <c r="Z11" s="41">
        <f t="array" ref="Z11">IF(C4="","",IF(C9="Futures","",IF(C9="Options Sell",IF(INDEX([1]AB4!BD:BD,MATCH(A10,[1]AB4!B:B,0))="","",INDEX([1]AB4!AZ:AZ,MATCH(A10,[1]AB4!B:B,0))))))</f>
        <v>0</v>
      </c>
      <c r="AA11" s="42">
        <f t="array" ref="AA11">IF(C10="","",IF(C9="Futures","",IF(C9="Options Sell",IF(INDEX([1]AB4!BD:BD,MATCH(A11,[1]AB4!B:B,0))="","",INDEX([1]AB4!BB:BB,MATCH(A11,[1]AB4!B:B,0))))))</f>
        <v>0</v>
      </c>
      <c r="AB11" s="29"/>
      <c r="AC11" s="29"/>
    </row>
    <row r="12" spans="1:29" ht="6.75" customHeight="1" thickBot="1" x14ac:dyDescent="0.25">
      <c r="A12" s="15" t="str">
        <f>IF(C4="","",CONCATENATE(C5,[1]AB5!A12))</f>
        <v>S18</v>
      </c>
      <c r="B12" s="56" t="str">
        <f>IF(C4="","",IF(C9="Futures","",IF(C9="Options Sell",[1]AB5!$B$67)))</f>
        <v>I Commit To Follow The Rules &amp; Process</v>
      </c>
      <c r="C12" s="57"/>
      <c r="D12" s="32"/>
      <c r="E12" s="33"/>
      <c r="F12" s="45"/>
      <c r="G12" s="46"/>
      <c r="H12" s="46"/>
      <c r="I12" s="47"/>
      <c r="J12" s="33"/>
      <c r="K12" s="45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29"/>
      <c r="AC12" s="29"/>
    </row>
    <row r="13" spans="1:29" ht="42.75" customHeight="1" x14ac:dyDescent="0.2">
      <c r="A13" s="15" t="str">
        <f>IF(C4="","",CONCATENATE(C5,[1]AB5!$A$13))</f>
        <v>S18E</v>
      </c>
      <c r="B13" s="32"/>
      <c r="C13" s="33"/>
      <c r="D13" s="32"/>
      <c r="E13" s="33"/>
      <c r="F13" s="50" t="str">
        <f>IF(C4="","",IF(C9="Futures","",IF(C9="Options Sell",[1]AB5!$F$68)))</f>
        <v>Put</v>
      </c>
      <c r="G13" s="20" t="str">
        <f t="array" ref="G13">IF(C4="","",IF(C9="Futures","",IF(C9="Options Sell",CONCATENATE("( ",INDEX([1]AB4!BP:BP,MATCH(A13,[1]AB4!B:B))," ",INDEX([1]AB4!BQ:BQ,MATCH(A13,[1]AB4!B:B))," ",TEXT(INDEX([1]AB4!BR:BR,MATCH(A13,[1]AB4!B:B)),"0.00%")," ) &amp; ",INDEX([1]AB4!BS:BS,MATCH(A13,[1]AB4!B:B))),IF(C9="Options Buy",CONCATENATE("( ",INDEX([1]AB4!BP:BP,MATCH(A13,[1]AB4!B:B,0))," ",INDEX([1]AB4!BQ:BQ,MATCH(A13,[1]AB4!B:B,0))," ",TEXT(INDEX([1]AB4!BR:BR,MATCH(A13,[1]AB4!B:B,0)),"0.00%")," ) &amp; ",INDEX([1]AB4!BS:BS,MATCH(A13,[1]AB4!B:B,0)))))))</f>
        <v>( SPT : PRV : 3DHH - 2.00% ) &amp; Round Up</v>
      </c>
      <c r="H13" s="20" t="str">
        <f t="array" ref="H13">IF(C4="","",IF(C9="Futures","",IF(C9="Options Sell",CONCATENATE(INDEX([1]AB4!CE:CE,MATCH(A13,[1]AB4!B:B)),[1]AB5!$H$59,TEXT(INDEX([1]AB4!CF:CF,MATCH(A13,[1]AB4!B:B)),"0.00%")))))</f>
        <v>SPT : PRV : 3DHH * 0.30%</v>
      </c>
      <c r="I13" s="21" t="str">
        <f t="array" ref="I13">IF(C4="","",IF(C9="Futures","",IF(C9="Options Sell",CONCATENATE(INDEX([1]AB4!CI:CI,MATCH(A13,[1]AB4!B:B)),[1]AB5!$I$59))))</f>
        <v>100 Lots</v>
      </c>
      <c r="J13" s="33"/>
      <c r="K13" s="50" t="str">
        <f>IF(C4="","",IF(C9="Futures","",IF(C9="Options Sell",[1]AB5!$K$68,IF(C9="Options Buy",[1]AB5!$K$101))))</f>
        <v>Put</v>
      </c>
      <c r="L13" s="23" t="str">
        <f>IF(C4="","",IF(C9="Futures","",IF(C9="Options Sell",[1]AB5!$G$13,IF(C9="Options Buy",[1]AB5!$L$101))))</f>
        <v>E &amp; T</v>
      </c>
      <c r="M13" s="20" t="str">
        <f t="array" ref="M13">IF(C4="","",IF(C9="Futures","",IF(C9="Options Sell",CONCATENATE(INDEX([1]AB4!G:G,MATCH(A13,[1]AB4!B:B,0)),INDEX([1]AB4!H:H,MATCH(A13,[1]AB4!B:B,0)),TEXT(INDEX([1]AB4!I:I,MATCH(A13,[1]AB4!B:B,0)),"0.00%")))))</f>
        <v>OPT : PRV : 3DLL - 7.50%</v>
      </c>
      <c r="N13" s="24">
        <f t="array" ref="N13">IF(C4="","",IF(C9="Futures","",IF(C9="Options Sell",INDEX([1]AB4!J:J,MATCH(A13,[1]AB4!B:B,0)))))</f>
        <v>1</v>
      </c>
      <c r="O13" s="25" t="str">
        <f t="array" ref="O13">IF(C4="","",IF(C9="Futures","",IF(C9="Options Sell",IF(INDEX([1]AB4!N:N,MATCH(A13,[1]AB4!B:B,0))="","",CONCATENATE(INDEX([1]AB4!L:L,MATCH(A13,[1]AB4!B:B,0)),INDEX([1]AB4!M:M,MATCH(A13,[1]AB4!B:B,0)),TEXT(INDEX([1]AB4!N:N,MATCH(A13,[1]AB4!B:B,0)),"0.00%"))))))</f>
        <v>PE : Entry  - 60.00%</v>
      </c>
      <c r="P13" s="26">
        <f t="array" ref="P13">IF(C4="","",IF(C9="Futures","",IF(C9="Options Sell",IF(INDEX([1]AB4!N:N,MATCH(A13,[1]AB4!B:B,0))="","",INDEX([1]AB4!O:O,MATCH(A13,[1]AB4!B:B,0))))))</f>
        <v>1</v>
      </c>
      <c r="Q13" s="27"/>
      <c r="R13" s="25" t="str">
        <f t="array" ref="R13">IF(C4="","",IF(C9="Futures","",IF(C9="Options Sell",IF(INDEX([1]AB4!P:P,MATCH(A13,[1]AB4!B:B,0))="","",CONCATENATE(INDEX([1]AB4!L:L,MATCH(A13,[1]AB4!B:B,0)),INDEX([1]AB4!M:M,MATCH(A13,[1]AB4!B:B,0)),TEXT(INDEX([1]AB4!P:P,MATCH(A13,[1]AB4!B:B,0)),"0.00%"))))))</f>
        <v/>
      </c>
      <c r="S13" s="24" t="str">
        <f t="array" ref="S13">IF(C4="","",IF(C9="Futures","",IF(C9="Options Sell",IF(INDEX([1]AB4!P:P,MATCH(A13,[1]AB4!B:B,0))="","",INDEX([1]AB4!Q:Q,MATCH(A13,[1]AB4!B:B,0))))))</f>
        <v/>
      </c>
      <c r="T13" s="25" t="str">
        <f t="array" ref="T13">IF(C4="","",IF(C9="Futures","",IF(C9="Options Sell",IF(INDEX([1]AB4!R:R,MATCH(A13,[1]AB4!B:B,0))="","",CONCATENATE(INDEX([1]AB4!L:L,MATCH(A13,[1]AB4!B:B,0)),INDEX([1]AB4!M:M,MATCH(A13,[1]AB4!B:B,0)),TEXT(INDEX([1]AB4!R:R,MATCH(A13,[1]AB4!B:B,0)),"0.00%"))))))</f>
        <v/>
      </c>
      <c r="U13" s="24" t="str">
        <f t="array" ref="U13">IF(C4="","",IF(C9="Futures","",IF(C9="Options Sell",IF(INDEX([1]AB4!R:R,MATCH(A13,[1]AB4!B:B,0))="","",INDEX([1]AB4!S:S,MATCH(A13,[1]AB4!B:B,0))))))</f>
        <v/>
      </c>
      <c r="V13" s="25" t="str">
        <f t="array" ref="V13">IF(C13="","",IF(C9="Futures","",IF(C9="Options Sell",IF(INDEX([1]AB4!T:T,MATCH(A13,[1]AB4!B:B,0))="","",CONCATENATE(INDEX([1]AB4!L:L,MATCH(A13,[1]AB4!B:B,0)),INDEX([1]AB4!M:M,MATCH(A13,[1]AB4!B:B,0)),TEXT(INDEX([1]AB4!T:T,MATCH(A13,[1]AB4!B:B,0)),"0.00%"))))))</f>
        <v/>
      </c>
      <c r="W13" s="24" t="str">
        <f t="array" ref="W13">IF(C4="","",IF(C9="Futures","",IF(C9="Options Sell",IF(INDEX([1]AB4!T:T,MATCH(A13,[1]AB4!B:B,0))="","",INDEX([1]AB4!U:U,MATCH(A13,[1]AB4!B:B,0))))))</f>
        <v/>
      </c>
      <c r="X13" s="25" t="str">
        <f t="array" ref="X13">IF(C4="","",IF(C9="Futures","",IF(C9="Options Sell",IF(INDEX([1]AB4!V:V,MATCH(A13,[1]AB4!B:B,0))="","",INDEX([1]AB4!V:V,MATCH(A13,[1]AB4!B:B,0))))))</f>
        <v/>
      </c>
      <c r="Y13" s="24" t="str">
        <f t="array" ref="Y13">IF(C4="","",IF(C9="Futures","",IF(C9="Options Sell",IF(INDEX([1]AB4!V:V,MATCH(A13,[1]AB4!B:B,0))="","",INDEX([1]AB4!W:W,MATCH(A13,[1]AB4!B:B,0))))))</f>
        <v/>
      </c>
      <c r="Z13" s="25" t="str">
        <f t="array" ref="Z13">IF(C4="","",IF(C9="Futures","",IF(C9="Options Sell",IF(INDEX([1]AB4!X:X,MATCH(A13,[1]AB4!B:B,0))="","",INDEX([1]AB4!X:X,MATCH(A13,[1]AB4!B:B,0))))))</f>
        <v/>
      </c>
      <c r="AA13" s="28" t="str">
        <f t="array" ref="AA13">IF(C4="","",IF(C9="Futures","",IF(C9="Options Sell",IF(INDEX([1]AB4!X:X,MATCH(A13,[1]AB4!B:B,0))="","",INDEX([1]AB4!X:X,MATCH(A13,[1]AB4!Y:Y,0))))))</f>
        <v/>
      </c>
      <c r="AB13" s="29"/>
      <c r="AC13" s="29"/>
    </row>
    <row r="14" spans="1:29" ht="42.75" customHeight="1" thickBot="1" x14ac:dyDescent="0.25">
      <c r="A14" s="15" t="str">
        <f>IF(C4="","",CONCATENATE(C5,[1]AB5!$A$14))</f>
        <v>S18E</v>
      </c>
      <c r="B14" s="34"/>
      <c r="C14" s="53"/>
      <c r="D14" s="34"/>
      <c r="E14" s="53"/>
      <c r="F14" s="34"/>
      <c r="G14" s="35" t="str">
        <f t="array" ref="G14">IF(C4="","",IF(C9="Futures","",IF(C9="Options Sell",CONCATENATE("( ",INDEX([1]AB4!BT:BT,MATCH(A14,[1]AB4!B:B))," ) &amp; ",INDEX([1]AB4!BW:BW,MATCH(A14,[1]AB4!B:B))," ",INDEX([1]AB4!BX:BX,MATCH(A14,[1]AB4!B:B))," ",INDEX([1]AB4!BY:BY,MATCH(A14,[1]AB4!B:B))),IF(C9="Options Buy",CONCATENATE("( ",INDEX([1]AB4!BP:BP,MATCH(A14,[1]AB4!B:B,0))," ",INDEX([1]AB4!BQ:BQ,MATCH(A14,[1]AB4!B:B,0))," ",TEXT(INDEX([1]AB4!BR:BR,MATCH(A14,[1]AB4!B:B,0)),"0.00%")," ) &amp; ",INDEX([1]AB4!BS:BS,MATCH(A14,[1]AB4!B:B,0)))))))</f>
        <v>( SPT : PRV : 3DHH ) &amp; Round Up + 1</v>
      </c>
      <c r="H14" s="35" t="str">
        <f t="array" ref="H14">IF(C4="","",IF(C9="Futures","",IF(C9="Options Sell",CONCATENATE(INDEX([1]AB4!CG:CG,MATCH(A14,[1]AB4!B:B)),[1]AB5!$H$60,TEXT(INDEX([1]AB4!CH:CH,MATCH(A14,[1]AB4!B:B)),"0.00%")))))</f>
        <v>SPT : PRV : 3DHH * 0.15%</v>
      </c>
      <c r="I14" s="36" t="str">
        <f t="array" ref="I14">IF(C4="","",IF(C9="Futures","",IF(C9="Options Sell",CONCATENATE(INDEX([1]AB4!CJ:CJ,MATCH(A14,[1]AB4!B:B)),[1]AB5!$I$60))))</f>
        <v>1 Exp</v>
      </c>
      <c r="J14" s="53"/>
      <c r="K14" s="34"/>
      <c r="L14" s="37" t="str">
        <f>IF(C4="","",IF(C9="Futures","",IF(C9="Options Sell",[1]AB5!$G$14,IF(C9="Options Buy",[1]AB5!$L$102))))</f>
        <v>SL / TRP</v>
      </c>
      <c r="M14" s="35" t="str">
        <f t="array" ref="M14">IF(C4="","",IF(C9="Futures","",IF(C9="Options Sell",IF(INDEX([1]AB4!AL:AL,MATCH(A14,[1]AB4!B:B,0))="","",CONCATENATE(INDEX([1]AB4!AA:AA,MATCH(A14,[1]AB4!B:B,0))," ( ",INDEX([1]AB4!AE:AE,MATCH(A14,[1]AB4!B:B,0)),INDEX([1]AB4!AF:AF,MATCH(A14,[1]AB4!B:B,0)),TEXT(INDEX([1]AB4!AG:AG,MATCH(A14,[1]AB4!B:B,0)),"0.00%")," &amp; ",INDEX([1]AB4!AK:AK,MATCH(A14,[1]AB4!B:B,0)),INDEX([1]AB4!AJ:AJ,MATCH(A14,[1]AB4!B:B,0)),TEXT(INDEX([1]AB4!AL:AL,MATCH(A14,[1]AB4!B:B,0)),"0.00%")," )")))))</f>
        <v>Min ( PE : Entry  + 60.00% &amp; OPT : PRV : 2DHH + 7.00% )</v>
      </c>
      <c r="N14" s="38">
        <f t="array" ref="N14">IF(C4="","",IF(C9="Futures","",IF(C9="Options Sell",INDEX([1]AB4!AM:AM,MATCH(A14,[1]AB4!B:B,0)))))</f>
        <v>1</v>
      </c>
      <c r="O14" s="35" t="str">
        <f t="array" ref="O14">IF(C4="","",IF(C9="Futures","",IF(C9="Options Sell",IF(INDEX([1]AB4!AO:AO,MATCH(A14,[1]AB4!B:B,0))="","",CONCATENATE(INDEX([1]AB4!AA:AA,MATCH(A14,[1]AB4!B:B,0))," ( ",INDEX([1]AB4!AE:AE,MATCH(A14,[1]AB4!B:B,0))," &amp; ",INDEX([1]AB4!AN:AN,MATCH(A14,[1]AB4!B:B,0)),INDEX([1]AB4!AJ:AJ,MATCH(A14,[1]AB4!B:B,0)),TEXT(INDEX([1]AB4!AO:AO,MATCH(A14,[1]AB4!B:B,0)),"0.00%")," )")))))</f>
        <v/>
      </c>
      <c r="P14" s="39" t="str">
        <f t="array" ref="P14">IF(C4="","",IF(C9="Futures","",IF(C9="Options Sell",IF(INDEX([1]AB4!AO:AO,MATCH(A14,[1]AB4!B:B,0))="","",INDEX([1]AB4!AP:AP,MATCH(A14,[1]AB4!B:B,0))))))</f>
        <v/>
      </c>
      <c r="Q14" s="40"/>
      <c r="R14" s="35" t="str">
        <f t="array" ref="R14">IF(C4="","",IF(C9="Futures","",IF(C9="Options Sell",IF(INDEX([1]AB4!AR:AR,MATCH(A14,[1]AB4!B:B,0))="","",CONCATENATE(INDEX([1]AB4!AA:AA,MATCH(A14,[1]AB4!B:B,0))," ( ",INDEX([1]AB4!AE:AE,MATCH(A14,[1]AB4!B:B,0))," &amp; ",INDEX([1]AB4!AQ:AQ,MATCH(A14,[1]AB4!B:B,0)),INDEX([1]AB4!AJ:AJ,MATCH(A14,[1]AB4!B:B,0)),TEXT(INDEX([1]AB4!AR:AR,MATCH(A14,[1]AB4!B:B,0)),"0.00%")," )")))))</f>
        <v/>
      </c>
      <c r="S14" s="38" t="str">
        <f t="array" ref="S14">IF(C4="","",IF(C9="Futures","",IF(C9="Options Sell",IF(INDEX([1]AB4!AR:AR,MATCH(A14,[1]AB4!B:B,0))="","",INDEX([1]AB4!AS:AS,MATCH(A14,[1]AB4!B:B,0))))))</f>
        <v/>
      </c>
      <c r="T14" s="35" t="str">
        <f t="array" ref="T14">IF(C4="","",IF(C9="Futures","",IF(C9="Options Sell",IF(INDEX([1]AB4!AU:AU,MATCH(A14,[1]AB4!B:B))="","",CONCATENATE(INDEX([1]AB4!AA:AA,MATCH(A14,[1]AB4!B:B))," ( ",INDEX([1]AB4!AE:AE,MATCH(A14,[1]AB4!B:B))," &amp; ",INDEX([1]AB4!AT:AT,MATCH(A14,[1]AB4!B:B)),INDEX([1]AB4!AJ:AJ,MATCH(A14,[1]AB4!B:B)),TEXT(INDEX([1]AB4!AU:AU,MATCH(A14,[1]AB4!B:B)),"0.00%")," )")))))</f>
        <v/>
      </c>
      <c r="U14" s="38" t="str">
        <f t="array" ref="U14">IF(C4="","",IF(C9="Futures","",IF(C9="Options Sell",IF(INDEX([1]AB4!AU:AU,MATCH(A14,[1]AB4!B:B,0))="","",INDEX([1]AB4!AV:AV,MATCH(A14,[1]AB4!B:B,0))))))</f>
        <v/>
      </c>
      <c r="V14" s="35" t="str">
        <f t="array" ref="V14">IF(C13="","",IF(C9="Futures","",IF(C9="Options Sell",IF(INDEX([1]AB4!AX:AX,MATCH(A14,[1]AB4!B:B,0))="","",CONCATENATE(INDEX([1]AB4!AA:AA,MATCH(A14,[1]AB4!B:B,0))," ( ",INDEX([1]AB4!AE:AE,MATCH(A14,[1]AB4!B:B,0))," &amp; ",INDEX([1]AB4!AW:AW,MATCH(A14,[1]AB4!B:B,0)),INDEX([1]AB4!AJ:AJ,MATCH(A14,[1]AB4!B:B,0)),TEXT(INDEX([1]AB4!AX:AX,MATCH(A14,[1]AB4!B:B,0)),"0.00%")," )")))))</f>
        <v/>
      </c>
      <c r="W14" s="38" t="str">
        <f t="array" ref="W14">IF(C4="","",IF(C9="Futures","",IF(C9="Options Sell",IF(INDEX([1]AB4!AX:AX,MATCH(A14,[1]AB4!B:B,0))="","",INDEX([1]AB4!AY:AY,MATCH(A14,[1]AB4!B:B,0))))))</f>
        <v/>
      </c>
      <c r="X14" s="35" t="str">
        <f t="array" ref="X14">IF(C4="","",IF(C9="Futures","",IF(C9="Options Sell",IF(INDEX([1]AB4!BA:BA,MATCH(A14,[1]AB4!B:B,0))="","",CONCATENATE(INDEX([1]AB4!AA:AA,MATCH(A14,[1]AB4!B:B,0))," ( ",INDEX([1]AB4!AE:AE,MATCH(A14,[1]AB4!B:B,0))," &amp; ",INDEX([1]AB4!AW:AW,MATCH(A14,[1]AB4!B:B,0)),INDEX([1]AB4!AJ:AJ,MATCH(A14,[1]AB4!B:B,0)),TEXT(INDEX([1]AB4!AX:AX,MATCH(A14,[1]AB4!B:B,0)),"0.00%")," )")))))</f>
        <v/>
      </c>
      <c r="Y14" s="38" t="str">
        <f t="array" ref="Y14">IF(C4="","",IF(C9="Futures","",IF(C9="Options Sell",IF(INDEX([1]AB4!BA:BA,MATCH(A14,[1]AB4!B:B,0))="","",INDEX([1]AB4!AY:AY,MATCH(A14,[1]AB4!B:B,0))))))</f>
        <v/>
      </c>
      <c r="Z14" s="41">
        <f t="array" ref="Z14">IF(C4="","",IF(C9="Futures","",IF(C9="Options Sell",IF(INDEX([1]AB4!BD:BD,MATCH(A13,[1]AB4!B:B,0))="","",INDEX([1]AB4!AZ:AZ,MATCH(A13,[1]AB4!B:B,0))))))</f>
        <v>0</v>
      </c>
      <c r="AA14" s="42">
        <f t="array" ref="AA14">IF(C4="","",IF(C9="Futures","",IF(C9="Options Sell",IF(INDEX([1]AB4!BD:BD,MATCH(A14,[1]AB4!B:B,0))="","",INDEX([1]AB4!BB:BB,MATCH(A14,[1]AB4!B:B,0))))))</f>
        <v>0</v>
      </c>
      <c r="AB14" s="29"/>
      <c r="AC14" s="29"/>
    </row>
    <row r="15" spans="1:29" ht="15.75" customHeight="1" thickBot="1" x14ac:dyDescent="0.25">
      <c r="A15" s="15"/>
      <c r="B15" s="54"/>
      <c r="C15" s="54"/>
      <c r="D15" s="54"/>
      <c r="E15" s="54"/>
      <c r="F15" s="54"/>
      <c r="G15" s="54"/>
      <c r="H15" s="54"/>
      <c r="I15" s="54"/>
      <c r="J15" s="54"/>
      <c r="K15" s="15"/>
      <c r="L15" s="58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15"/>
      <c r="AB15" s="60"/>
      <c r="AC15" s="60"/>
    </row>
    <row r="16" spans="1:29" ht="44.25" customHeight="1" thickBot="1" x14ac:dyDescent="0.25">
      <c r="A16" s="15"/>
      <c r="B16" s="61" t="str">
        <f>IF(C4="","",IF(C9="Futures","",IF(C9="Options Sell",[1]AB5!$B$71,IF(C9="Options Buy",[1]AB5!$B$104))))</f>
        <v>For Entry</v>
      </c>
      <c r="C16" s="62"/>
      <c r="D16" s="63" t="str">
        <f>IF(C4="","",IF(C9="Futures","",IF(C9="Options Sell",[1]AB5!$D$71,IF(C9="Options Buy",[1]AB5!$D$104))))</f>
        <v>Gap Check</v>
      </c>
      <c r="E16" s="64" t="str">
        <f>IF(C4="","",IF(C9="Futures","",IF(C9="Options Sell",[1]AB5!$E$71,IF(C9="Options Buy",[1]AB5!$E$104))))</f>
        <v>Process</v>
      </c>
      <c r="F16" s="65"/>
      <c r="G16" s="66" t="str">
        <f>IF(C4="","",IF(C9="Futures","",IF(C9="Options Sell",[1]AB5!$G$71,IF(C9="Options Buy",[1]AB5!$G$104))))</f>
        <v>Yes / No</v>
      </c>
      <c r="H16" s="67" t="str">
        <f>IF(C4="","",IF(C9="Futures","",IF(C9="Options Sell",[1]AB5!$H$71,IF(C9="Options Buy",[1]AB5!$H$104))))</f>
        <v>Order Status</v>
      </c>
      <c r="I16" s="68" t="str">
        <f>IF(C4="","",IF(C9="Futures","",IF(C9="Options Sell",[1]AB5!$I$71,IF(C9="Options Buy",[1]AB5!$D$92))))</f>
        <v>Step 1</v>
      </c>
      <c r="J16" s="69" t="str">
        <f>IF(C4="","",IF(C9="Futures","",IF(C9="Options Sell",[1]AB5!$J$71,IF(C9="Options Buy",[1]AB5!$J$104))))</f>
        <v>Order Placement Timings</v>
      </c>
      <c r="K16" s="65"/>
      <c r="L16" s="70" t="str">
        <f>IF(C4="","",IF(C9="Futures","",IF(C9="Options Sell",[1]AB5!$L$71,IF(C9="Options Buy",[1]AB5!$L$104))))</f>
        <v>Time</v>
      </c>
      <c r="M16" s="68" t="str">
        <f>IF(C4="","",IF(C9="Futures","",IF(C9="Options Sell",[1]AB5!$M$71,IF(C9="Options Buy",[1]AB5!$M$104))))</f>
        <v>Rules For Gap = Step 1 Start Strike</v>
      </c>
      <c r="N16" s="66" t="str">
        <f>IF(C4="","",IF(C9="Futures","",IF(C9="Options Sell",[1]AB5!$N$71,IF(C9="Options Buy",[1]AB5!$N$104))))</f>
        <v>Start Strike Buffer</v>
      </c>
      <c r="O16" s="68" t="str">
        <f>IF(C4="","",IF(C9="Futures","",IF(C9="Options Sell",[1]AB5!$O$71,IF(C9="Options Buy",[1]AB5!$O$104))))</f>
        <v>Rules For Gap = Step 2 End Strike</v>
      </c>
      <c r="P16" s="69" t="str">
        <f>IF(C4="","",IF(C9="Futures","",IF(C9="Options Sell",[1]AB5!$P$71,IF(C9="Options Buy",[1]AB5!$P$104))))</f>
        <v>End Strike Buffer</v>
      </c>
      <c r="Q16" s="65"/>
      <c r="R16" s="65"/>
      <c r="S16" s="71" t="str">
        <f>IF(C4="","",IF(C9="Futures","",IF(C9="Options Sell",[1]AB5!$S$71,IF(C9="Options Buy",[1]AB5!$S$104))))</f>
        <v>Data</v>
      </c>
      <c r="T16" s="72" t="str">
        <f>IF(C4="","",IF(C9="Futures","",IF(C9="Options Sell",[1]AB5!$T$71,IF(C9="Options Buy",[1]AB5!$T$104))))</f>
        <v xml:space="preserve"> Ideal Premium</v>
      </c>
      <c r="U16" s="65"/>
      <c r="V16" s="68" t="str">
        <f>IF(C4="","",IF(C9="Futures","",IF(C9="Options Sell",[1]AB5!$V$71,IF(C9="Options Buy",[1]AB5!$V$104))))</f>
        <v>Minimum Premium</v>
      </c>
      <c r="W16" s="68" t="str">
        <f>IF(C4="","",IF(C9="Futures","",IF(C9="Options Sell",[1]AB5!$W$71,IF(C9="Options Buy",[1]AB5!$W$104))))</f>
        <v>Minimum OI</v>
      </c>
      <c r="X16" s="73" t="str">
        <f>IF(C4="","",IF(C9="Futures","",IF(C9="Options Sell",[1]AB5!$X$71,IF(C9="Options Buy",[1]AB5!$X$104))))</f>
        <v>Rules For Gap = Step 3 Revised Option Entry</v>
      </c>
      <c r="Y16" s="65"/>
      <c r="Z16" s="68" t="str">
        <f>IF(C4="","",IF(C9="Futures","",IF(C9="Options Sell",[1]AB5!$Z$71,[1]AB5!$Z$104)))</f>
        <v>Data</v>
      </c>
      <c r="AA16" s="74" t="str">
        <f>IF(C4="","",IF(C9="Futures","",IF(C9="Options Sell",[1]AB5!$AA$71,IF(C9="Options Buy",[1]AB5!$AA$104))))</f>
        <v>Buffer</v>
      </c>
      <c r="AB16" s="75"/>
      <c r="AC16" s="75"/>
    </row>
    <row r="17" spans="1:29" ht="44.25" customHeight="1" x14ac:dyDescent="0.2">
      <c r="A17" s="15" t="str">
        <f>IF(C4="","",CONCATENATE(C5,[1]AB5!$A$4))</f>
        <v>S18A</v>
      </c>
      <c r="B17" s="76" t="str">
        <f>IF(C4="","",IF(C9="Futures","",IF(C9="Options Sell",[1]AB5!$B$72,IF(C9="Options Buy",[1]AB5!$B$105))))</f>
        <v xml:space="preserve">ORPT </v>
      </c>
      <c r="C17" s="77" t="str">
        <f>IF(C4="","",IF(C9="Futures","",IF(C9="Options Sell",[1]AB5!$C$72,IF(C9="Options Buy",[1]AB5!$C$105))))</f>
        <v xml:space="preserve"> RC. Time</v>
      </c>
      <c r="D17" s="18" t="str">
        <f>IF(C4="","",IF(C9="Futures","",IF(C9="Options Sell",[1]AB5!$D$72,IF(C9="Options Buy",[1]AB5!$D$105))))</f>
        <v>For Call Sell Entry</v>
      </c>
      <c r="E17" s="78" t="str">
        <f>IF(C4="","",IF(C9="Futures","",IF(C9="Options Sell",CONCATENATE([1]AB5!$E$72,TEXT(B18,"HH:MM:SS AM/PM"),[1]AB5!$F$72))))</f>
        <v>Check If 09:09:59 AM LL &lt; Call Sell Entry</v>
      </c>
      <c r="F17" s="79"/>
      <c r="G17" s="80" t="str">
        <f>IF(C4="","",IF(C9="Futures","",IF(C9="Options Sell",[1]AB5!$G$72,IF(C9="Options Buy",[1]AB5!$G$105))))</f>
        <v>No</v>
      </c>
      <c r="H17" s="81" t="str">
        <f>IF(C4="","",IF(C9="Futures","",IF(C9="Options Sell",[1]AB5!$H$72)))</f>
        <v>Entry Not Missed</v>
      </c>
      <c r="I17" s="82" t="str">
        <f>IF(C4="","",IF(C9="Futures","",IF(C9="Options Sell",[1]AB5!$I$72)))</f>
        <v>Place the Order at ORPT</v>
      </c>
      <c r="J17" s="83" t="str">
        <f>IF(C4="","",IF(C9="Futures","",IF(C9="Options Sell",[1]AB5!$J$72)))</f>
        <v>ORPT Time</v>
      </c>
      <c r="K17" s="27"/>
      <c r="L17" s="84">
        <f>IF(C4="","",IF(C9="Futures","",IF(C9="Options Sell",B18)))</f>
        <v>0.38193749999999999</v>
      </c>
      <c r="M17" s="85" t="str">
        <f>IF(C4="","",IF(C9="Futures","",IF(C9="Options Sell",[1]AB5!$M$72)))</f>
        <v>N.A.</v>
      </c>
      <c r="N17" s="86" t="str">
        <f>IF(C4="","",IF(C9="Futures","",IF(C9="Options Sell",[1]AB5!$N$72)))</f>
        <v>N.A.</v>
      </c>
      <c r="O17" s="85" t="str">
        <f>IF(C4="","",IF(C9="Futures","",IF(C9="Options Sell",[1]AB5!$O$72)))</f>
        <v>N.A.</v>
      </c>
      <c r="P17" s="87" t="str">
        <f>IF(C4="","",IF(C9="Futures","",IF(C9="Options Sell",[1]AB5!$P$72)))</f>
        <v>N.A.</v>
      </c>
      <c r="Q17" s="88"/>
      <c r="R17" s="27"/>
      <c r="S17" s="89" t="str">
        <f>IF(C4="","",IF(C9="Futures","",IF(C9="Options Sell",[1]AB5!$S$72)))</f>
        <v>N.A.</v>
      </c>
      <c r="T17" s="90" t="str">
        <f>IF(C4="","",IF(C9="Futures","",IF(C9="Options Sell",[1]AB5!$T$72)))</f>
        <v>N.A.</v>
      </c>
      <c r="U17" s="27"/>
      <c r="V17" s="91" t="str">
        <f>IF(C4="","",IF(C9="Futures","",IF(C9="Options Sell",[1]AB5!$V$72)))</f>
        <v>N.A.</v>
      </c>
      <c r="W17" s="91" t="str">
        <f>IF(C4="","",IF(C9="Futures","",IF(C9="Options Sell",[1]AB5!$W$72)))</f>
        <v>N.A.</v>
      </c>
      <c r="X17" s="83" t="str">
        <f>IF(C4="","",IF(C9="Futures","",IF(C9="Options Sell",[1]AB5!$X$72)))</f>
        <v>N.A.</v>
      </c>
      <c r="Y17" s="27"/>
      <c r="Z17" s="89" t="str">
        <f>IF(C4="","",IF(C9="Futures","",IF(C9="Options Sell",[1]AB5!$Z$72)))</f>
        <v>N.A.</v>
      </c>
      <c r="AA17" s="92" t="str">
        <f>IF(C4="","",IF(C9="Futures","",IF(C9="Options Sell",[1]AB5!$AA$72)))</f>
        <v>N.A.</v>
      </c>
      <c r="AB17" s="75"/>
      <c r="AC17" s="75"/>
    </row>
    <row r="18" spans="1:29" ht="57" customHeight="1" x14ac:dyDescent="0.2">
      <c r="A18" s="93" t="str">
        <f>IF(C4="","",CONCATENATE(C5,[1]AB5!$A$7))</f>
        <v>S18B</v>
      </c>
      <c r="B18" s="94">
        <f t="array" ref="B18">IF(C4="","",INDEX([1]AB4!BE:BE,MATCH(A17,[1]AB4!B:B,0)))</f>
        <v>0.38193749999999999</v>
      </c>
      <c r="C18" s="95">
        <f t="array" ref="C18">IF(C4="","", INDEX([1]AB4!BE:BE,MATCH(A18,[1]AB4!B:B,0)))</f>
        <v>0.38540972222222225</v>
      </c>
      <c r="D18" s="32"/>
      <c r="E18" s="96"/>
      <c r="F18" s="97"/>
      <c r="G18" s="98" t="str">
        <f>IF(C4="","",IF(C9="Futures","",IF(C9="Options Sell",[1]AB5!$G$73,IF(C9="Options Buy",[1]AB5!$G$106))))</f>
        <v>Yes</v>
      </c>
      <c r="H18" s="99" t="str">
        <f>IF(C4="","",IF(C9="Futures","",IF(C9="Options Sell",[1]AB5!$H$73)))</f>
        <v>Entry Missed</v>
      </c>
      <c r="I18" s="100" t="str">
        <f>IF(C4="","",IF(C9="Futures","",IF(C9="Options Sell",[1]AB5!$I$73)))</f>
        <v>Recalcuate : Call Sell Entry : Bull / Bull CF</v>
      </c>
      <c r="J18" s="101" t="str">
        <f>IF(C4="","",IF(C9="Futures","",IF(C9="Options Sell",[1]AB5!$J$73)))</f>
        <v>Wait Till Recalculation Time</v>
      </c>
      <c r="K18" s="102"/>
      <c r="L18" s="103">
        <f>IF(C4="","",IF(C9="Futures","",IF(C9="Options Sell",C18)))</f>
        <v>0.38540972222222225</v>
      </c>
      <c r="M18" s="104" t="str">
        <f t="array" ref="M18">IF(C4="","",IF(C9="Futures","",IF(C9="Options Sell",CONCATENATE([1]AB5!$M$73, "( ",INDEX([1]AB4!BP:BP,MATCH(A4,[1]AB4!B:B,0))," &amp; ",S18," ) ",INDEX([1]AB4!BQ:BQ,MATCH(A4,[1]AB4!B:B))," ",N18," ) &amp; ",INDEX([1]AB4!BS:BS,MATCH(A4,[1]AB4!B:B,0))))))</f>
        <v>Min of ( SPT : PRV : 3DLL &amp; 09:14:59 AM LL ) + 2.00% ) &amp; Round Down</v>
      </c>
      <c r="N18" s="105" t="str">
        <f t="array" ref="N18">IF(A4="","",IF(C9="Futures","",IF(C9="Options Sell",TEXT(INDEX([1]AB4!CR:CR,MATCH(A4,[1]AB4!B:B,0)),"0.00%"))))</f>
        <v>2.00%</v>
      </c>
      <c r="O18" s="104" t="str">
        <f t="array" ref="O18">IF(C4="","",IF(C9="Futures","",IF(C9="Options Sell",CONCATENATE([1]AB5!$O$73,"( ",INDEX([1]AB4!BT:BT,MATCH(A4,[1]AB4!B:B,0))," &amp; ",S18," ) &amp; ",INDEX([1]AB4!BW:BW,MATCH(A4,[1]AB4!B:B,0))," ",INDEX([1]AB4!BX:BX,MATCH(A4,[1]AB4!B:B,0))," ",INDEX([1]AB4!BY:BY,MATCH(A4,[1]AB4!B:B,0))))))</f>
        <v>Min of ( SPT : PRV : 3DLL &amp; 09:14:59 AM LL ) &amp; Round Down - 1</v>
      </c>
      <c r="P18" s="106" t="str">
        <f t="array" ref="P18">IF(A4="","",IF(C9="Futures","",IF(C9="Options Sell",IF(INDEX([1]AB4!CS:CS,MATCH(A4,[1]AB4!B:B,0))="","",TEXT(INDEX([1]AB4!CS:CS,MATCH(A4,[1]AB4!B:B,0)),"0.00%")))))</f>
        <v/>
      </c>
      <c r="Q18" s="107"/>
      <c r="R18" s="102"/>
      <c r="S18" s="105" t="str">
        <f>IF(C4="","",IF(C9="Futures","",IF(C9="Options Sell",CONCATENATE(TEXT(L18,"HH:MM:SS AM/PM"),[1]AB5!$S$73))))</f>
        <v>09:14:59 AM LL</v>
      </c>
      <c r="T18" s="101" t="str">
        <f t="array" ref="T18">IF(C4="","",IF(C9="Futures","",IF(C9="Options Sell",CONCATENATE([1]AB5!$T$73,"( ",INDEX([1]AB4!CE:CE,MATCH(A4,[1]AB4!B:B,0))," &amp; ",S18," ) ",[1]AB5!$H$59,TEXT(INDEX([1]AB4!CF:CF,MATCH(A4,[1]AB4!B:B,0)),"0.00%")))))</f>
        <v>Min of ( SPT : PRV : 3DLL &amp; 09:14:59 AM LL )  * 0.30%</v>
      </c>
      <c r="U18" s="102"/>
      <c r="V18" s="104" t="str">
        <f t="array" ref="V18">IF(C4="","",IF(C9="Futures","",IF(C9="Options Sell",CONCATENATE([1]AB5!$V$73,"( ",INDEX([1]AB4!CG:CG,MATCH(A4,[1]AB4!B:B,0))," &amp; ",S18," ) ",[1]AB5!$H$59,TEXT(INDEX([1]AB4!CH:CH,MATCH(A4,[1]AB4!B:B,0)),"0.00%")))))</f>
        <v>Min of ( SPT : PRV : 3DLL &amp; 09:14:59 AM LL )  * 0.15%</v>
      </c>
      <c r="W18" s="104" t="str">
        <f>IF(A4="","",IF(C9="Futures","",IF(C9="Options Sell",I4)))</f>
        <v>100 Lots</v>
      </c>
      <c r="X18" s="101" t="str">
        <f t="array" ref="X18">IF(C4="","",IF(C9="Futures","",IF(C9="Options Sell",CONCATENATE([1]AB5!$X$73,"( ",INDEX([1]AB4!G:G,MATCH(A4,[1]AB4!B:B,0))," &amp; ",Z18," ) ",INDEX([1]AB4!H:H,MATCH(A4,[1]AB4!B:B,0))," ",AA18))))</f>
        <v>Min of ( OPT : PRV : 3DLL &amp; 09:14:59 AM LL )  -  7.50%</v>
      </c>
      <c r="Y18" s="102"/>
      <c r="Z18" s="108" t="str">
        <f>IF(C4="","",IF(C9="Futures","",IF(C9="Options Sell",CONCATENATE(TEXT(L18,"HH:MM:SS AM/PM"),[1]AB5!$S$73))))</f>
        <v>09:14:59 AM LL</v>
      </c>
      <c r="AA18" s="109" t="str">
        <f t="array" ref="AA18">IF(A4="","",IF(C9="Futures","",IF(C9="Options Sell",TEXT(INDEX([1]AB4!BK:BK,MATCH(A4,[1]AB4!B:B,0)),"0.00%"))))</f>
        <v>7.50%</v>
      </c>
      <c r="AB18" s="75"/>
      <c r="AC18" s="75"/>
    </row>
    <row r="19" spans="1:29" ht="57" customHeight="1" thickBot="1" x14ac:dyDescent="0.25">
      <c r="A19" s="15"/>
      <c r="B19" s="110"/>
      <c r="C19" s="111"/>
      <c r="D19" s="112"/>
      <c r="E19" s="12"/>
      <c r="F19" s="13"/>
      <c r="G19" s="14"/>
      <c r="H19" s="14"/>
      <c r="I19" s="100" t="str">
        <f>IF(C4="","",IF(C9="Futures","",IF(C9="Options Sell",[1]AB5!$I$74)))</f>
        <v>Recalcuate : Call Sell Entry : Bear / Bear CF</v>
      </c>
      <c r="J19" s="101" t="str">
        <f>IF(C4="","",IF(C9="Futures","",IF(C9="Options Sell",[1]AB5!$J$74)))</f>
        <v>Wait Till Recalculation Time</v>
      </c>
      <c r="K19" s="102"/>
      <c r="L19" s="103">
        <f>IF(C4="","",IF(C9="Futures","",IF(C9="Options Sell",C18)))</f>
        <v>0.38540972222222225</v>
      </c>
      <c r="M19" s="104" t="str">
        <f t="array" ref="M19">IF(C4="","",IF(C9="Futures","",IF(C9="Options Sell",CONCATENATE([1]AB5!$M$74,"( ",INDEX([1]AB4!BP:BP,MATCH(A10,[1]AB4!B:B,0))," &amp; ",S19," ) ",INDEX([1]AB4!BQ:BQ,MATCH(A10,[1]AB4!B:B,0))," ",N19," ) &amp; ",INDEX([1]AB4!BS:BS,MATCH(A10,[1]AB4!B:B,0))))))</f>
        <v>Min of ( SPT : PRV : 2DLL &amp; 09:14:59 AM LL ) + 2.00% ) &amp; Round Down</v>
      </c>
      <c r="N19" s="105" t="str">
        <f t="array" ref="N19">IF(A4="","",IF(C9="Futures","",IF(C9="Options Sell",TEXT(INDEX([1]AB4!CR:CR,MATCH(A10,[1]AB4!B:B,0)),"0.00%"))))</f>
        <v>2.00%</v>
      </c>
      <c r="O19" s="104" t="str">
        <f t="array" ref="O19">IF(C4="","",IF(C9="Futures","",IF(C9="Options Sell",CONCATENATE([1]AB5!$O$74,"( ",INDEX([1]AB4!BT:BT,MATCH(A10,[1]AB4!B:B,0))," &amp; ",S19," ) &amp; ",INDEX([1]AB4!BW:BW,MATCH(A10,[1]AB4!B:B,0))," ",INDEX([1]AB4!BX:BX,MATCH(A10,[1]AB4!B:B,0))," ",INDEX([1]AB4!BY:BY,MATCH(A10,[1]AB4!B:B,0))))))</f>
        <v>Min of ( SPT : PRV : 2DLL &amp; 09:14:59 AM LL ) &amp; Round Down - 1</v>
      </c>
      <c r="P19" s="106" t="str">
        <f t="array" ref="P19">IF(A4="","",IF(C9="Futures","",IF(C9="Options Sell",IF(INDEX([1]AB4!CS:CS,MATCH(A10,[1]AB4!B:B,0))="","",TEXT(INDEX([1]AB4!CS:CS,MATCH(A10,[1]AB4!B:B,0)),"0.00%")))))</f>
        <v/>
      </c>
      <c r="Q19" s="107"/>
      <c r="R19" s="102"/>
      <c r="S19" s="105" t="str">
        <f>IF(C4="","",IF(C9="Futures","",IF(C9="Options Sell",CONCATENATE(TEXT(L19,"HH:MM:SS AM/PM"),[1]AB5!$S$74))))</f>
        <v>09:14:59 AM LL</v>
      </c>
      <c r="T19" s="101" t="str">
        <f t="array" ref="T19">IF(C4="","",IF(C9="Futures","",IF(C9="Options Sell",CONCATENATE([1]AB5!$T$74," of ( ",INDEX([1]AB4!CE:CE,MATCH(A10,[1]AB4!B:B,0))," &amp; ",S18," ) ",[1]AB5!$H$59,TEXT(INDEX([1]AB4!CF:CF,MATCH(A10,[1]AB4!B:B,0)),"0.00%")))))</f>
        <v>Min of  of ( SPT : PRV : 2DLL &amp; 09:14:59 AM LL )  * 0.30%</v>
      </c>
      <c r="U19" s="102"/>
      <c r="V19" s="104" t="str">
        <f t="array" ref="V19">IF(C4="","",IF(C9="Futures","",IF(C9="Options Sell",CONCATENATE([1]AB5!$V$74,"( ",INDEX([1]AB4!CG:CG,MATCH(A10,[1]AB4!B:B,0))," &amp; ",S19," ) ",[1]AB5!$H$59,TEXT(INDEX([1]AB4!CH:CH,MATCH(A10,[1]AB4!B:B,0)),"0.00%")))))</f>
        <v>Min of ( SPT : PRV : 2DLL &amp; 09:14:59 AM LL )  * 0.15%</v>
      </c>
      <c r="W19" s="104" t="str">
        <f>IF(A4="","",IF(C9="Futures","",IF(C9="Options Sell",I10)))</f>
        <v>100 Lots</v>
      </c>
      <c r="X19" s="101" t="str">
        <f t="array" ref="X19">IF(C4="","",IF(C9="Futures","",IF(C9="Options Sell",CONCATENATE([1]AB5!$X$74,"( ",INDEX([1]AB4!G:G,MATCH(A10,[1]AB4!B:B,0))," &amp; ",Z19," ) ", INDEX([1]AB4!H:H,MATCH(A10,[1]AB4!B:B,0))," ",AA19))))</f>
        <v>Min of ( OPT : PRV : 2DLL &amp; 09:14:59 AM LL )  -  7.50%</v>
      </c>
      <c r="Y19" s="102"/>
      <c r="Z19" s="108" t="str">
        <f>IF(C4="","",IF(C9="Futures","",IF(C9="Options Sell",CONCATENATE(TEXT(L19,"HH:MM:SS AM/PM"), [1]AB5!$S$74))))</f>
        <v>09:14:59 AM LL</v>
      </c>
      <c r="AA19" s="109" t="str">
        <f t="array" ref="AA19">IF(A4="","",IF(C9="Futures","",IF(C9="Options Sell",TEXT(INDEX([1]AB4!BK:BK,MATCH(A10,[1]AB4!B:B,0)),"0.00%"))))</f>
        <v>7.50%</v>
      </c>
      <c r="AB19" s="75"/>
      <c r="AC19" s="75"/>
    </row>
    <row r="20" spans="1:29" ht="44.25" customHeight="1" x14ac:dyDescent="0.2">
      <c r="A20" s="15"/>
      <c r="B20" s="113" t="str">
        <f>IF(C4="","",IF(C9="Futures","",IF(C9="Options Sell",[1]AB5!$B$75,IF(C9="Options Buy",[1]AB5!$B$108))))</f>
        <v>For SL (Position = Open)</v>
      </c>
      <c r="C20" s="114"/>
      <c r="D20" s="115" t="str">
        <f>IF(C4="","",IF(C9="Futures","",IF(C9="Options Sell",[1]AB5!$D$75,IF(C9="Options Buy",[1]AB5!$D$108))))</f>
        <v>For Put Sell Entry</v>
      </c>
      <c r="E20" s="116" t="str">
        <f>IF(C4="","",IF(C9="Futures","",IF(C9="Options Sell",CONCATENATE([1]AB5!$E$75,TEXT(B18,"HH:MM:SS AM/PM"),[1]AB5!$F$75))))</f>
        <v>Check If 09:09:59 AM LL &lt; Put Sell Entry</v>
      </c>
      <c r="F20" s="4"/>
      <c r="G20" s="117" t="str">
        <f>IF(C4="","",IF(C9="Futures","",IF(C9="Options Sell",[1]AB5!$G$75,IF(C9="Options Buy",[1]AB5!$G$108))))</f>
        <v>No</v>
      </c>
      <c r="H20" s="118" t="str">
        <f>IF(C4="","",IF(C9="Futures","",IF(C9="Options Sell",[1]AB5!$H$75)))</f>
        <v>Entry Not Missed</v>
      </c>
      <c r="I20" s="119" t="str">
        <f>IF(C4="","",IF(C9="Futures","",IF(C9="Options Sell",[1]AB5!$I$75)))</f>
        <v>Place the Order at ORPT</v>
      </c>
      <c r="J20" s="120" t="str">
        <f>IF(C4="","",IF(C9="Futures","",IF(C9="Options Sell",[1]AB5!$J$75)))</f>
        <v>ORPT Time</v>
      </c>
      <c r="K20" s="102"/>
      <c r="L20" s="121">
        <f>IF(C4="","",IF(C9="Futures","",IF(C9="Options Sell",B18)))</f>
        <v>0.38193749999999999</v>
      </c>
      <c r="M20" s="118" t="str">
        <f>IF(C4="","",IF(C9="Futures","",IF(C9="Options Sell",[1]AB5!$M$75)))</f>
        <v>N.A.</v>
      </c>
      <c r="N20" s="122" t="str">
        <f>IF(C4="","",IF(C9="Futures","",IF(C9="Options Sell",[1]AB5!$N$75)))</f>
        <v>N.A.</v>
      </c>
      <c r="O20" s="118" t="str">
        <f>IF(C4="","",IF(C9="Futures","",IF(C9="Options Sell",[1]AB5!$O$75)))</f>
        <v>N.A.</v>
      </c>
      <c r="P20" s="123" t="str">
        <f>IF(C4="","",IF(C9="Futures","",IF(C9="Options Sell",[1]AB5!$P$75)))</f>
        <v>N.A.</v>
      </c>
      <c r="Q20" s="107"/>
      <c r="R20" s="102"/>
      <c r="S20" s="118" t="str">
        <f>IF(C4="","",IF(C9="Futures","",IF(C9="Options Sell",[1]AB5!$S$75)))</f>
        <v>N.A.</v>
      </c>
      <c r="T20" s="124" t="str">
        <f>IF(C4="","",IF(C9="Futures","",IF(C9="Options Sell",[1]AB5!$T$75)))</f>
        <v>N.A.</v>
      </c>
      <c r="U20" s="102"/>
      <c r="V20" s="125" t="str">
        <f>IF(C4="","",IF(C9="Futures","",IF(C9="Options Sell",[1]AB5!$V$75)))</f>
        <v>N.A.</v>
      </c>
      <c r="W20" s="125" t="str">
        <f>IF(C4="","",IF(C9="Futures","",IF(C9="Options Sell",[1]AB5!$W$75)))</f>
        <v>N.A.</v>
      </c>
      <c r="X20" s="120" t="str">
        <f>IF(C4="","",IF(C9="Futures","",IF(C9="Options Sell",[1]AB5!$X$75)))</f>
        <v>N.A.</v>
      </c>
      <c r="Y20" s="102"/>
      <c r="Z20" s="126" t="str">
        <f>IF(C4="","",IF(C9="Futures","",IF(C9="Options Sell",[1]AB5!$Z$75)))</f>
        <v>N.A.</v>
      </c>
      <c r="AA20" s="127" t="str">
        <f>IF(C4="","",IF(C9="Futures","",IF(C9="Options Sell",[1]AB5!$AA$75)))</f>
        <v>N.A.</v>
      </c>
      <c r="AB20" s="75"/>
      <c r="AC20" s="75"/>
    </row>
    <row r="21" spans="1:29" ht="57" customHeight="1" x14ac:dyDescent="0.2">
      <c r="A21" s="15" t="str">
        <f>IF(C4="","",CONCATENATE(C5,[1]AB5!$A$4))</f>
        <v>S18A</v>
      </c>
      <c r="B21" s="128" t="str">
        <f>IF(C4="","",IF(C9="Futures","",IF(C9="Options Sell",[1]AB5!$B$76,IF(C9="Options Buy",[1]AB5!$B$109))))</f>
        <v xml:space="preserve">ORPT </v>
      </c>
      <c r="C21" s="129" t="str">
        <f>IF(C4="","",IF(C9="Futures","",IF(C9="Options Sell",[1]AB5!$C$76,IF(C9="Options Buy",[1]AB5!$C$109))))</f>
        <v xml:space="preserve"> RC. Time</v>
      </c>
      <c r="D21" s="32"/>
      <c r="E21" s="96"/>
      <c r="F21" s="97"/>
      <c r="G21" s="130" t="str">
        <f>IF(C4="","",IF(C9="Futures","",IF(C9="Options Sell",[1]AB5!$G$76,IF(C9="Options Buy",[1]AB5!$G$109))))</f>
        <v>Yes</v>
      </c>
      <c r="H21" s="131" t="str">
        <f>IF(C4="","",IF(C9="Futures","",IF(C9="Options Sell",[1]AB5!$H$76)))</f>
        <v>Entry Missed</v>
      </c>
      <c r="I21" s="119" t="str">
        <f>IF(C4="","",IF(C9="Futures","",IF(C9="Options Sell",[1]AB5!$I$76)))</f>
        <v>Recalcuate : Put Sell Entry : Bull / Bull CF</v>
      </c>
      <c r="J21" s="120" t="str">
        <f>IF(C4="","",IF(C9="Futures","",IF(C9="Options Sell",[1]AB5!$J$76)))</f>
        <v>Wait Till Recalculation Time</v>
      </c>
      <c r="K21" s="102"/>
      <c r="L21" s="121">
        <f>IF(C4="","",IF(C9="Futures","",IF(C9="Options Sell",C18)))</f>
        <v>0.38540972222222225</v>
      </c>
      <c r="M21" s="118" t="str">
        <f t="array" ref="M21">IF(C4="","",IF(C9="Futures","",IF(C9="Options Sell",CONCATENATE([1]AB5!$M$76, "( ",INDEX([1]AB4!BP:BP,MATCH(A7,[1]AB4!B:B,0))," &amp; ",S21," ) ",INDEX([1]AB4!BQ:BQ,MATCH(A7,[1]AB4!B:B,0))," ",N21," ) &amp; ",INDEX([1]AB4!BS:BS,MATCH(A7,[1]AB4!B:B,0))))))</f>
        <v>Max of ( SPT : PRV : 2DHH &amp; 09:14:59 AM LL ) - 2.00% ) &amp; Round Up</v>
      </c>
      <c r="N21" s="122" t="str">
        <f t="array" ref="N21">IF(A4="","",IF(C9="Futures","",IF(C9="Options Sell",TEXT(INDEX([1]AB4!CR:CR,MATCH(A7,[1]AB4!B:B,0)),"0.00%"))))</f>
        <v>2.00%</v>
      </c>
      <c r="O21" s="118" t="str">
        <f t="array" ref="O21">IF(C4="","",IF(C9="Futures","",IF(C9="Options Sell",CONCATENATE([1]AB5!$O$76,"( ",INDEX([1]AB4!BT:BT,MATCH(A7,[1]AB4!B:B,0))," &amp; ",S21," ) &amp; ",INDEX([1]AB4!BW:BW,MATCH(A7,[1]AB4!B:B,0))," ",INDEX([1]AB4!BX:BX,MATCH(A7,[1]AB4!B:B,0))," ",INDEX([1]AB4!BY:BY,MATCH(A7,[1]AB4!B:B,0))))))</f>
        <v>Max of ( SPT : PRV : 2DHH &amp; 09:14:59 AM LL ) &amp; Round Up + 1</v>
      </c>
      <c r="P21" s="123" t="str">
        <f t="array" ref="P21">IF(A4="","",IF(C9="Futures","",IF(C9="Options Sell",IF(INDEX([1]AB4!CS:CS,MATCH(A7,[1]AB4!B:B,0))="","",TEXT(INDEX([1]AB4!CS:CS,MATCH(A7,[1]AB4!B:B,0)),"0.00%")))))</f>
        <v/>
      </c>
      <c r="Q21" s="107"/>
      <c r="R21" s="102"/>
      <c r="S21" s="132" t="str">
        <f>IF(C4="","",IF(C9="Futures","",IF(C9="Options Sell",CONCATENATE(TEXT(L21,"HH:MM:SS AM/PM"),[1]AB5!$S$76))))</f>
        <v>09:14:59 AM LL</v>
      </c>
      <c r="T21" s="120" t="str">
        <f t="array" ref="T21">IF(C4="","",IF(C9="Futures","",IF(C9="Options Sell",CONCATENATE([1]AB5!$T$76,"( ",INDEX([1]AB4!CE:CE,MATCH(A7,[1]AB4!B:B,0))," &amp; ",S21," ) ",[1]AB5!$H$59,TEXT(INDEX([1]AB4!CF:CF,MATCH(A7,[1]AB4!B:B,0)),"0.00%")))))</f>
        <v>Min of ( SPT : PRV : 2DHH &amp; 09:14:59 AM LL )  * 0.30%</v>
      </c>
      <c r="U21" s="102"/>
      <c r="V21" s="118" t="str">
        <f t="array" ref="V21">IF(C4="","",IF(C9="Futures","",IF(C9="Options Sell",CONCATENATE([1]AB5!$V$76,"( ",INDEX([1]AB4!CG:CG,MATCH(A7,[1]AB4!B:B,0))," &amp; ",S21," ) ",[1]AB5!$H$59,TEXT(INDEX([1]AB4!CH:CH,MATCH(A7,[1]AB4!B:B,0)),"0.00%")))))</f>
        <v>Min of ( SPT : PRV : 2DHH &amp; 09:14:59 AM LL )  * 0.15%</v>
      </c>
      <c r="W21" s="118" t="str">
        <f>IF(A4="","",IF(C9="Futures","",IF(C9="Options Sell",I7)))</f>
        <v>100 Lots</v>
      </c>
      <c r="X21" s="120" t="str">
        <f t="array" ref="X21">IF(C4="","",IF(C9="Futures","",IF(C9="Options Sell",CONCATENATE([1]AB5!$X$76,"( ",INDEX([1]AB4!G:G,MATCH(A7,[1]AB4!B:B,0))," &amp; ",Z21," ) ", INDEX([1]AB4!H:H,MATCH(A7,[1]AB4!B:B,0))," ",AA21))))</f>
        <v>Min of ( OPT : PRV : 2DLL &amp; 09:14:59 AM LL )  -  7.50%</v>
      </c>
      <c r="Y21" s="102"/>
      <c r="Z21" s="133" t="str">
        <f>IF(C4="","",IF(C9="Futures","",IF(C9="Options Sell",CONCATENATE(TEXT(L21,"HH:MM:SS AM/PM"), [1]AB5!$S$76))))</f>
        <v>09:14:59 AM LL</v>
      </c>
      <c r="AA21" s="134" t="str">
        <f t="array" ref="AA21">IF(A4="","",IF(C9="Futures","",IF(C9="Options Sell",TEXT(INDEX([1]AB4!BK:BK,MATCH(A7,[1]AB4!B:B,0)),"0.00%"))))</f>
        <v>7.50%</v>
      </c>
      <c r="AB21" s="75"/>
      <c r="AC21" s="75"/>
    </row>
    <row r="22" spans="1:29" ht="57" customHeight="1" thickBot="1" x14ac:dyDescent="0.25">
      <c r="A22" s="15" t="str">
        <f>IF(C4="","",CONCATENATE(C5,[1]AB5!$A$7))</f>
        <v>S18B</v>
      </c>
      <c r="B22" s="135">
        <f t="array" ref="B22">IF(C4="","", IF(C9="Futures","",IF(C9="Options Sell",INDEX([1]AB4!BF:BF,MATCH(A21,[1]AB4!B:B,0)))))</f>
        <v>0.38193749999999999</v>
      </c>
      <c r="C22" s="136">
        <f t="array" ref="C22">IF(C4="","", IF(C9="Futures","",IF(C9="Options Sell",INDEX([1]AB4!BF:BF,MATCH(A22,[1]AB4!B:B,0)))))</f>
        <v>0.38540972222222225</v>
      </c>
      <c r="D22" s="34"/>
      <c r="E22" s="111"/>
      <c r="F22" s="137"/>
      <c r="G22" s="138"/>
      <c r="H22" s="138"/>
      <c r="I22" s="139" t="str">
        <f>IF(C4="","",IF(C9="Futures","",IF(C9="Options Sell",[1]AB5!$I$77)))</f>
        <v>Recalcuate : Put Sell Entry : Bear / Bear CF</v>
      </c>
      <c r="J22" s="140" t="str">
        <f>IF(C4="","",IF(C9="Futures","",IF(C9="Options Sell",[1]AB5!$J$77)))</f>
        <v>Wait Till Recalculation Time</v>
      </c>
      <c r="K22" s="40"/>
      <c r="L22" s="141">
        <f>IF(C4="","",IF(C9="Futures","",IF(C9="Options Sell",C18)))</f>
        <v>0.38540972222222225</v>
      </c>
      <c r="M22" s="142" t="str">
        <f t="array" ref="M22">IF(C4="","",IF(C9="Futures","",IF(C9="Options Sell",CONCATENATE([1]AB5!$M$77, "( ",INDEX([1]AB4!BP:BP,MATCH(A13,[1]AB4!B:B,0))," &amp; ",S22," ) ", INDEX([1]AB4!BQ:BQ,MATCH(A13,[1]AB4!B:B,0))," ",N22," ) &amp; ",INDEX([1]AB4!BS:BS,MATCH(A13,[1]AB4!B:B,0))))))</f>
        <v>Max of ( SPT : PRV : 3DHH &amp; 09:14:59 AM LL ) - 2.00% ) &amp; Round Up</v>
      </c>
      <c r="N22" s="143" t="str">
        <f t="array" ref="N22">IF(A4="","",IF(C9="Futures","",IF(C9="Options Sell",TEXT(INDEX([1]AB4!CR:CR,MATCH(A13,[1]AB4!B:B,0)),"0.00%"))))</f>
        <v>2.00%</v>
      </c>
      <c r="O22" s="142" t="str">
        <f t="array" ref="O22">IF(C4="","",IF(C9="Futures","",IF(C9="Options Sell",CONCATENATE([1]AB5!$O$77,"( ",INDEX([1]AB4!BT:BT,MATCH(A13,[1]AB4!B:B,0))," &amp; ",S22," ) &amp; ",INDEX([1]AB4!BW:BW,MATCH(A13,[1]AB4!B:B,0))," ",INDEX([1]AB4!BX:BX,MATCH(A13,[1]AB4!B:B,0))," ",INDEX([1]AB4!BY:BY,MATCH(A13,[1]AB4!B:B,0))))))</f>
        <v>Max of ( SPT : PRV : 3DHH &amp; 09:14:59 AM LL ) &amp; Round Up + 1</v>
      </c>
      <c r="P22" s="144" t="str">
        <f t="array" ref="P22">IF(A4="","",IF(C9="Futures","",IF(C9="Options Sell",IF(INDEX([1]AB4!CS:CS,MATCH(A13,[1]AB4!B:B,0))="","",TEXT(INDEX([1]AB4!CS:CS,MATCH(A13,[1]AB4!B:B,0)),"0.00%")))))</f>
        <v/>
      </c>
      <c r="Q22" s="145"/>
      <c r="R22" s="40"/>
      <c r="S22" s="146" t="str">
        <f>IF(C4="","",IF(C9="Futures","",IF(C9="Options Sell",CONCATENATE(TEXT(L22,"HH:MM:SS AM/PM"),[1]AB5!$S$77))))</f>
        <v>09:14:59 AM LL</v>
      </c>
      <c r="T22" s="140" t="str">
        <f t="array" ref="T22">IF(C4="","",IF(C9="Futures","",IF(C9="Options Sell",CONCATENATE([1]AB5!$T$77,"( ",INDEX([1]AB4!CE:CE,MATCH(A13,[1]AB4!B:B,0))," &amp; ",S22," ) ",[1]AB5!$H$59,TEXT(INDEX([1]AB4!CF:CF,MATCH(A13,[1]AB4!B:B,0)),"0.00%")))))</f>
        <v>Min of ( SPT : PRV : 3DHH &amp; 09:14:59 AM LL )  * 0.30%</v>
      </c>
      <c r="U22" s="40"/>
      <c r="V22" s="142" t="str">
        <f t="array" ref="V22">IF(C4="","",IF(C9="Futures","",IF(C9="Options Sell",CONCATENATE([1]AB5!$V$77,"( ",INDEX([1]AB4!CG:CG,MATCH(A13,[1]AB4!B:B,0))," &amp; ",S22," ) ",[1]AB5!$H$59,TEXT(INDEX([1]AB4!CH:CH,MATCH(A13,[1]AB4!B:B,0)),"0.00%")))))</f>
        <v>Min of ( SPT : PRV : 3DHH &amp; 09:14:59 AM LL )  * 0.15%</v>
      </c>
      <c r="W22" s="142" t="str">
        <f>IF(A4="","",IF(C9="Futures","",IF(C9="Options Sell",I13)))</f>
        <v>100 Lots</v>
      </c>
      <c r="X22" s="140" t="str">
        <f t="array" ref="X22">IF(C4="","",IF(C9="Futures","",IF(C9="Options Sell",CONCATENATE([1]AB5!$X$77,"( ",INDEX([1]AB4!G:G,MATCH(A13,[1]AB4!B:B,0))," &amp; ",Z22," ) ", INDEX([1]AB4!H:H,MATCH(A13,[1]AB4!B:B,0))," ",AA22))))</f>
        <v>Min of ( OPT : PRV : 3DLL &amp; 09:14:59 AM LL )  -  7.50%</v>
      </c>
      <c r="Y22" s="40"/>
      <c r="Z22" s="147" t="str">
        <f>IF(C4="","",IF(C9="Futures","",IF(C9="Options Sell",CONCATENATE(TEXT(L22,"HH:MM:SS AM/PM"), [1]AB5!$S$77))))</f>
        <v>09:14:59 AM LL</v>
      </c>
      <c r="AA22" s="148" t="str">
        <f t="array" ref="AA22">IF(A4="","",IF(C9="Futures","",IF(C9="Options Sell",TEXT(INDEX([1]AB4!BK:BK,MATCH(A13,[1]AB4!B:B,0)),"0.00%"))))</f>
        <v>7.50%</v>
      </c>
      <c r="AB22" s="75"/>
      <c r="AC22" s="75"/>
    </row>
    <row r="23" spans="1:29" ht="8.25" customHeight="1" thickBot="1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49"/>
      <c r="L23" s="15"/>
      <c r="M23" s="15"/>
      <c r="N23" s="15"/>
      <c r="O23" s="75"/>
      <c r="P23" s="15"/>
      <c r="Q23" s="15"/>
      <c r="R23" s="15"/>
      <c r="S23" s="15"/>
      <c r="T23" s="15"/>
      <c r="U23" s="15"/>
      <c r="V23" s="15"/>
      <c r="W23" s="15"/>
      <c r="X23" s="15"/>
      <c r="Y23" s="75"/>
      <c r="Z23" s="75"/>
      <c r="AA23" s="75"/>
      <c r="AB23" s="75"/>
      <c r="AC23" s="75"/>
    </row>
    <row r="24" spans="1:29" ht="44.25" customHeight="1" thickBot="1" x14ac:dyDescent="0.25">
      <c r="A24" s="54"/>
      <c r="B24" s="113" t="str">
        <f>IF(C4="","",IF(C9="Futures","",IF(C9="Options Sell",[1]AB5!$B$79,IF(C9="Options Buy",[1]AB5!$B$112))))</f>
        <v>For TGT (Position = Open)</v>
      </c>
      <c r="C24" s="114"/>
      <c r="D24" s="63" t="str">
        <f>IF(C4="","",IF(C9="Futures","",IF(C9="Options Sell",[1]AB5!$D$79,IF(C9="Options Buy",[1]AB5!$D$112))))</f>
        <v>Gap Check</v>
      </c>
      <c r="E24" s="64" t="str">
        <f>IF(C4="","",IF(C9="Futures","",IF(C9="Options Sell",[1]AB5!$E$79,IF(C9="Options Buy",[1]AB5!$E$112))))</f>
        <v>Process</v>
      </c>
      <c r="F24" s="65"/>
      <c r="G24" s="66" t="str">
        <f>IF(C4="","",IF(C9="Futures","",IF(C9="Options Sell",[1]AB5!$G$79,IF(C9="Options Buy",[1]AB5!$G$112))))</f>
        <v>Y / N</v>
      </c>
      <c r="H24" s="67" t="str">
        <f>IF(C4="","",IF(C9="Futures","",IF(C9="Options Sell",[1]AB5!$H$79,IF(C9="Options Buy",[1]AB5!$H$112))))</f>
        <v>Status</v>
      </c>
      <c r="I24" s="68" t="str">
        <f>IF(C4="","",IF(C9="Futures","",IF(C9="Options Sell",[1]AB5!$I$79,IF(C9="Options Buy",[1]AB5!$I$112))))</f>
        <v>Step 1</v>
      </c>
      <c r="J24" s="69" t="str">
        <f>IF(C4="","",IF(C9="Futures","",IF(C9="Options Sell",[1]AB5!$J$79,IF(C9="Options Buy",[1]AB5!$J$112))))</f>
        <v>Order Placement Timings</v>
      </c>
      <c r="K24" s="65"/>
      <c r="L24" s="70" t="str">
        <f>IF(C4="","",IF(C9="Futures","",IF(C9="Options Sell",[1]AB5!$L$79,IF(C9="Options Buy",[1]AB5!$L$112))))</f>
        <v>Time</v>
      </c>
      <c r="M24" s="68" t="str">
        <f>IF(C4="","",IF(C9="Futures","",IF(C9="Options Sell",[1]AB5!$M$79,IF(C9="Options Buy",[1]AB5!$M$112))))</f>
        <v>Rules For Gaps</v>
      </c>
      <c r="N24" s="67" t="str">
        <f>IF(C4="","",IF(C9="Futures","",IF(C9="Options Sell",[1]AB5!$N$79,IF(C9="Options Buy",[1]AB5!$N$112))))</f>
        <v>Data</v>
      </c>
      <c r="O24" s="74" t="str">
        <f>IF(C4="","",IF(C9="Futures","",IF(C9="Options Sell",[1]AB5!$O$79,IF(C9="Options Buy",[1]AB5!$O$112))))</f>
        <v>Buffer</v>
      </c>
      <c r="P24" s="70" t="str">
        <f>IF(C4="","",IF(C9="Futures","",IF(C9="Options Sell",[1]AB5!$P$79,IF(C9="Options Buy",[1]AB5!$P$112))))</f>
        <v>Monthly Status</v>
      </c>
      <c r="Q24" s="70" t="str">
        <f>IF(C4="","",IF(C9="Futures","",IF(C9="Options Sell",[1]AB5!$Q$79,IF(C9="Options Buy",[1]AB5!$Q$112))))</f>
        <v>Options Type</v>
      </c>
      <c r="R24" s="150" t="str">
        <f>IF(C4="","",IF(C9="Futures","",IF(C9="Options Sell",[1]AB5!$R$79,IF(C9="Options Buy",[1]AB5!$R$112))))</f>
        <v>Start Strike</v>
      </c>
      <c r="S24" s="151" t="str">
        <f>IF(C4="","",IF(C9="Futures","",IF(C9="Options Sell",[1]AB5!$S$79,IF(C9="Options Buy",[1]AB5!$S$112))))</f>
        <v>End Strike</v>
      </c>
      <c r="T24" s="152"/>
      <c r="U24" s="151" t="str">
        <f>IF(C4="","",IF(C9="Futures","",IF(C9="Options Sell",[1]AB5!$U$79,IF(C9="Options Buy",[1]AB5!$U$112))))</f>
        <v>Ideal Premium</v>
      </c>
      <c r="V24" s="152"/>
      <c r="W24" s="151" t="str">
        <f>IF(C4="","",IF(C9="Futures","",IF(C9="Options Sell",[1]AB5!$W$79,IF(C9="Options Buy",[1]AB5!$W$112))))</f>
        <v>Minimum Premium</v>
      </c>
      <c r="X24" s="152"/>
      <c r="Y24" s="150" t="str">
        <f>IF(C4="","",IF(C9="Futures","",IF(C9="Options Sell",[1]AB5!$Y$79,IF(C9="Options Buy",[1]AB5!$Y$112))))</f>
        <v>Minimum OI</v>
      </c>
      <c r="Z24" s="151" t="str">
        <f>IF(C4="","",IF(C9="Futures","",IF(C9="Options Sell",[1]AB5!$Z$79,IF(C9="Options Buy",[1]AB5!$Z$112))))</f>
        <v>Option Entry</v>
      </c>
      <c r="AA24" s="152"/>
      <c r="AB24" s="153"/>
      <c r="AC24" s="153"/>
    </row>
    <row r="25" spans="1:29" ht="44.25" customHeight="1" x14ac:dyDescent="0.2">
      <c r="A25" s="15" t="str">
        <f>IF(C4="","",CONCATENATE(C5,[1]AB5!$A$4))</f>
        <v>S18A</v>
      </c>
      <c r="B25" s="128" t="str">
        <f>IF(C4="","",IF(C9="Futures","",IF(C9="Options Sell",[1]AB5!$B$80,IF(C9="Options Buy",[1]AB5!$B$113))))</f>
        <v xml:space="preserve">ORPT </v>
      </c>
      <c r="C25" s="129" t="str">
        <f>IF(C4="","",IF(C9="Futures","",IF(C9="Options Sell",[1]AB5!$C$80,IF(C9="Options Buy",[1]AB5!$C$113))))</f>
        <v xml:space="preserve"> RC. Time</v>
      </c>
      <c r="D25" s="154" t="str">
        <f>IF(C4="","",IF(C9="Futures","",IF(C9="Options Sell",[1]AB5!$D$80,IF(C9="Options Buy",[1]AB5!$D$113))))</f>
        <v>For Call Sell SL</v>
      </c>
      <c r="E25" s="155" t="str">
        <f>IF(C4="","",IF(C9="Futures","",IF(C9="Options Sell",CONCATENATE([1]AB5!$E$80,TEXT(B26,"HH:MM:SS AM/PM"),[1]AB5!$B$81,[1]AB5!$F$80))))</f>
        <v>Check If  09:00:00 AM HH &gt; Call Sell SL</v>
      </c>
      <c r="F25" s="156"/>
      <c r="G25" s="157" t="str">
        <f>IF(C4="","",IF(C9="Futures","",IF(C9="Options Sell",[1]AB5!$G$80,IF(C9="Options Buy",[1]AB5!$G$113))))</f>
        <v>No</v>
      </c>
      <c r="H25" s="158" t="str">
        <f>IF(C4="","",IF(C9="Futures","",IF(C9="Options Sell",[1]AB5!$H$80)))</f>
        <v>FSL / TRP Not Missed</v>
      </c>
      <c r="I25" s="159" t="str">
        <f>IF(C4="","",IF(C9="Futures","",IF(C9="Options Sell",[1]AB5!$I$80)))</f>
        <v>Place the Order at ORPT</v>
      </c>
      <c r="J25" s="160" t="str">
        <f>IF(C4="","",IF(C9="Futures","",IF(C9="Options Sell",[1]AB5!$J$80)))</f>
        <v>ORPT Time</v>
      </c>
      <c r="K25" s="161"/>
      <c r="L25" s="162">
        <f>IF(C4="","",IF(C9="Futures","",IF(C9="Options Sell",B22)))</f>
        <v>0.38193749999999999</v>
      </c>
      <c r="M25" s="163" t="str">
        <f>IF(C4="","",IF(C9="Futures","",IF(C9="Options Sell",[1]AB5!$M$80)))</f>
        <v>N.A.</v>
      </c>
      <c r="N25" s="158" t="str">
        <f>IF(C4="","",IF(C9="Futures","",IF(C9="Options Sell",[1]AB5!$N$80)))</f>
        <v>N.A.</v>
      </c>
      <c r="O25" s="164" t="str">
        <f>IF(C4="","",IF(C9="Futures","",IF(C9="Options Sell",[1]AB5!$O$80)))</f>
        <v>N.A.</v>
      </c>
      <c r="P25" s="165" t="str">
        <f>IF(C4="","",[1]AB5!$P$80)</f>
        <v>BULL / BULL CF</v>
      </c>
      <c r="Q25" s="166" t="str">
        <f>IF(C4="","",[1]AB5!$Q$80)</f>
        <v>Call</v>
      </c>
      <c r="R25" s="167" t="str">
        <f t="array" ref="R25">IF(C4="","",IF(C9="Futures","",IF(C9="Options Sell",CONCATENATE([1]AB5!$M$73, "( ",INDEX([1]AB4!BP:BP,MATCH(A4,[1]AB4!B:B,0))," &amp; ",[1]AB5!$R$80," ) ",INDEX([1]AB4!BQ:BQ,MATCH(A4,[1]AB4!B:B))," ",N18," ) &amp; ",INDEX([1]AB4!BS:BS,MATCH(A4,[1]AB4!B:B,0))))))</f>
        <v>Min of ( SPT : PRV : 3DLL &amp; SPT : CDLL ) + 2.00% ) &amp; Round Down</v>
      </c>
      <c r="S25" s="168" t="str">
        <f t="array" ref="S25">IF(C4="","",IF(C9="Futures","",IF(C9="Options Sell",CONCATENATE([1]AB5!$O$73,"( ",INDEX([1]AB4!BT:BT,MATCH(A4,[1]AB4!B:B,0))," &amp; ",[1]AB5!$S$80," ) &amp; ",INDEX([1]AB4!BW:BW,MATCH(A4,[1]AB4!B:B,0))," ",INDEX([1]AB4!BX:BX,MATCH(A4,[1]AB4!B:B,0))," ",INDEX([1]AB4!BY:BY,MATCH(A4,[1]AB4!B:B,0))))))</f>
        <v>Min of ( SPT : PRV : 3DLL &amp; SPT : CDLL ) &amp; Round Down - 1</v>
      </c>
      <c r="T25" s="27"/>
      <c r="U25" s="168" t="str">
        <f t="array" ref="U25">IF(C4="","",IF(C9="Futures","",IF(C9="Options Sell",CONCATENATE([1]AB5!$T$73,"( ",INDEX([1]AB4!CE:CE,MATCH(A4,[1]AB4!B:B,0))," &amp; ",[1]AB5!$U$80," ) ",[1]AB5!$H$59,TEXT(INDEX([1]AB4!CF:CF,MATCH(A4,[1]AB4!B:B,0)),"0.00%")))))</f>
        <v>Min of ( SPT : PRV : 3DLL &amp; SPT : CDLL )  * 0.30%</v>
      </c>
      <c r="V25" s="27"/>
      <c r="W25" s="168" t="str">
        <f t="array" ref="W25">IF(C4="","",IF(C9="Futures","",IF(C9="Options Sell",CONCATENATE([1]AB5!$V$73,"( ",INDEX([1]AB4!CG:CG,MATCH(A4,[1]AB4!B:B,0))," &amp; ",[1]AB5!$W$80," ) ",[1]AB5!$H$59,TEXT(INDEX([1]AB4!CH:CH,MATCH(A4,[1]AB4!B:B,0)),"0.00%")))))</f>
        <v>Min of ( SPT : PRV : 3DLL &amp; SPT : CDLL )  * 0.15%</v>
      </c>
      <c r="X25" s="27"/>
      <c r="Y25" s="169" t="str">
        <f>IF(A4="","",IF(C9="Futures","",IF(C9="Options Sell",I4)))</f>
        <v>100 Lots</v>
      </c>
      <c r="Z25" s="168" t="str">
        <f t="array" ref="Z25">IF(C4="","",IF(C9="Futures","",IF(C9="Options Sell",CONCATENATE([1]AB5!$X$73,"( ",INDEX([1]AB4!G:G,MATCH(A4,[1]AB4!B:B,0))," &amp; ",[1]AB5!$Z$80," ) ",INDEX([1]AB4!H:H,MATCH(A4,[1]AB4!B:B,0))," ",AA18))))</f>
        <v>Min of ( OPT : PRV : 3DLL &amp; OPT : CDLL )  -  7.50%</v>
      </c>
      <c r="AA25" s="114"/>
      <c r="AB25" s="75"/>
      <c r="AC25" s="75"/>
    </row>
    <row r="26" spans="1:29" ht="44.25" customHeight="1" thickBot="1" x14ac:dyDescent="0.25">
      <c r="A26" s="15" t="str">
        <f>IF(C4="","",CONCATENATE(C5,[1]AB5!$A$7))</f>
        <v>S18B</v>
      </c>
      <c r="B26" s="94">
        <f t="array" ref="B26">IF(C4="","", IF(C9="Futures","",IF(C9="Options Sell",INDEX([1]AB4!BG:BG,MATCH(A25,[1]AB4!B:B,0)))))</f>
        <v>0.375</v>
      </c>
      <c r="C26" s="95" t="str">
        <f t="array" ref="C26">IF(C4="","", INDEX([1]AB4!BG:BG,MATCH(A26,[1]AB4!B:B,0)))</f>
        <v>N.A.</v>
      </c>
      <c r="D26" s="32"/>
      <c r="E26" s="32"/>
      <c r="F26" s="156"/>
      <c r="G26" s="170" t="str">
        <f>IF(C4="","",IF(C9="Futures","",IF(C9="Options Sell",[1]AB5!$G$81,IF(C9="Options Buy",[1]AB5!$G$114))))</f>
        <v>Yes</v>
      </c>
      <c r="H26" s="131" t="str">
        <f>IF(C4="","",IF(C9="Futures","",IF(C9="Options Sell",[1]AB5!$H$81)))</f>
        <v>FSL / TRP Missed</v>
      </c>
      <c r="I26" s="119" t="str">
        <f>IF(C4="","",IF(C9="Futures","",IF(C9="Options Sell",[1]AB5!$I$81)))</f>
        <v>Recalcuate : Call Sell FSL / TRP : Bull / Bull CF</v>
      </c>
      <c r="J26" s="120" t="str">
        <f>IF(C4="","",IF(C9="Futures","",IF(C9="Options Sell",[1]AB5!$J$81)))</f>
        <v>Wait Till Recalculation Time</v>
      </c>
      <c r="K26" s="107"/>
      <c r="L26" s="121">
        <f>IF(C4="","",IF(C9="Futures","",IF(C9="Options Sell",C22)))</f>
        <v>0.38540972222222225</v>
      </c>
      <c r="M26" s="171" t="str">
        <f>IF(C4="","",IF(C9="Futures","",IF(C9="Options Sell",CONCATENATE(N26," ",[1]AB5!$M$81," ",TEXT(O26,"0.00%")))))</f>
        <v>09:14:59 AM HH + 7.00%</v>
      </c>
      <c r="N26" s="132" t="str">
        <f>IF(C4="","",IF(C9="Futures","",IF(C9="Options Sell",CONCATENATE(TEXT(L26,"HH:MM:SS AM/PM"),[1]AB5!$N$81))))</f>
        <v>09:14:59 AM HH</v>
      </c>
      <c r="O26" s="172" t="str">
        <f t="array" ref="O26">IF(A4="","",IF(C9="Futures","",IF(C9="Options Sell",TEXT(INDEX([1]AB4!BL:BL,MATCH(A4,[1]AB4!B:B,0)),"0.00%"))))</f>
        <v>7.00%</v>
      </c>
      <c r="P26" s="110"/>
      <c r="Q26" s="173" t="str">
        <f>IF(C4="","",[1]AB5!$Q$81)</f>
        <v>Put</v>
      </c>
      <c r="R26" s="174" t="str">
        <f t="array" ref="R26">IF(C4="","",IF(C9="Futures","",IF(C9="Options Sell",CONCATENATE([1]AB5!$M$76, "( ",INDEX([1]AB4!BP:BP,MATCH(A7,[1]AB4!B:B,0))," &amp; ",[1]AB5!$R$81," ) ",INDEX([1]AB4!BQ:BQ,MATCH(A7,[1]AB4!B:B,0))," ",N21," ) &amp; ",INDEX([1]AB4!BS:BS,MATCH(A7,[1]AB4!B:B,0))))))</f>
        <v>Max of ( SPT : PRV : 2DHH &amp; SPT : CDHH ) - 2.00% ) &amp; Round Up</v>
      </c>
      <c r="S26" s="175" t="str">
        <f t="array" ref="S26">IF(C4="","",IF(C9="Futures","",IF(C9="Options Sell",CONCATENATE([1]AB5!$O$76,"( ",INDEX([1]AB4!BT:BT,MATCH(A7,[1]AB4!B:B,0))," &amp; ",[1]AB5!$S$81," ) &amp; ",INDEX([1]AB4!BW:BW,MATCH(A7,[1]AB4!B:B,0))," ",INDEX([1]AB4!BX:BX,MATCH(A7,[1]AB4!B:B,0))," ",INDEX([1]AB4!BY:BY,MATCH(A7,[1]AB4!B:B,0))))))</f>
        <v>Max of ( SPT : PRV : 2DHH &amp; SPT : CDHH ) &amp; Round Up + 1</v>
      </c>
      <c r="T26" s="40"/>
      <c r="U26" s="175" t="str">
        <f t="array" ref="U26">IF(C4="","",IF(C9="Futures","",IF(C9="Options Sell",CONCATENATE([1]AB5!$T$76,"( ",INDEX([1]AB4!CE:CE,MATCH(A7,[1]AB4!B:B,0))," &amp; ",[1]AB5!$U$81," ) ",[1]AB5!$H$59,TEXT(INDEX([1]AB4!CF:CF,MATCH(A7,[1]AB4!B:B,0)),"0.00%")))))</f>
        <v>Min of ( SPT : PRV : 2DHH &amp; SPT : CDLL )  * 0.30%</v>
      </c>
      <c r="V26" s="40"/>
      <c r="W26" s="175" t="str">
        <f t="array" ref="W26">IF(C4="","",IF(C9="Futures","",IF(C9="Options Sell",CONCATENATE([1]AB5!$V$76,"( ",INDEX([1]AB4!CG:CG,MATCH(A7,[1]AB4!B:B,0))," &amp; ",[1]AB5!$W$81," ) ",[1]AB5!$H$59,TEXT(INDEX([1]AB4!CH:CH,MATCH(A7,[1]AB4!B:B,0)),"0.00%")))))</f>
        <v>Min of ( SPT : PRV : 2DHH &amp; SPT : CDLL )  * 0.15%</v>
      </c>
      <c r="X26" s="40"/>
      <c r="Y26" s="176" t="str">
        <f>IF(A4="","",IF(C9="Futures","",IF(C9="Options Sell",I7)))</f>
        <v>100 Lots</v>
      </c>
      <c r="Z26" s="175" t="str">
        <f t="array" ref="Z26">IF(C4="","",IF(C9="Futures","",IF(C9="Options Sell",CONCATENATE([1]AB5!$X$76,"( ",INDEX([1]AB4!G:G,MATCH(A7,[1]AB4!B:B,0))," &amp; ",[1]AB5!$Z$81," ) ", INDEX([1]AB4!H:H,MATCH(A7,[1]AB4!B:B,0))," ",AA21))))</f>
        <v>Min of ( OPT : PRV : 2DLL &amp; OPT : CDLL )  -  7.50%</v>
      </c>
      <c r="AA26" s="177"/>
      <c r="AB26" s="75"/>
      <c r="AC26" s="75"/>
    </row>
    <row r="27" spans="1:29" ht="44.25" customHeight="1" thickBot="1" x14ac:dyDescent="0.25">
      <c r="A27" s="15"/>
      <c r="B27" s="110"/>
      <c r="C27" s="111"/>
      <c r="D27" s="112"/>
      <c r="E27" s="112"/>
      <c r="F27" s="161"/>
      <c r="G27" s="96"/>
      <c r="H27" s="14"/>
      <c r="I27" s="119" t="str">
        <f>IF(C4="","",IF(C9="Futures","",IF(C9="Options Sell",[1]AB5!$I$82)))</f>
        <v>Recalcuate : Call Sell FSL / TRP : Bear / Bear CF</v>
      </c>
      <c r="J27" s="120" t="str">
        <f>IF(C4="","",IF(C9="Futures","",IF(C9="Options Sell",[1]AB5!$J$82)))</f>
        <v>Wait Till Recalculation Time</v>
      </c>
      <c r="K27" s="107"/>
      <c r="L27" s="121">
        <f>IF(C4="","",IF(C9="Futures","",IF(C9="Options Sell",C22)))</f>
        <v>0.38540972222222225</v>
      </c>
      <c r="M27" s="171" t="str">
        <f>IF(C4="","",IF(C9="Futures","",IF(C9="Options Sell",CONCATENATE(N27," ",[1]AB5!$M$82," ",TEXT(O27,"0.00%")))))</f>
        <v>09:14:59 AM HH + 10.00%</v>
      </c>
      <c r="N27" s="132" t="str">
        <f>IF(C4="","",IF(C9="Futures","",IF(C9="Options Sell",CONCATENATE(TEXT(L27,"HH:MM:SS AM/PM"),[1]AB5!$N$82))))</f>
        <v>09:14:59 AM HH</v>
      </c>
      <c r="O27" s="172" t="str">
        <f t="array" ref="O27">IF(A4="","",IF(C9="Futures","",IF(C9="Options Sell",TEXT(INDEX([1]AB4!BL:BL,MATCH(A10,[1]AB4!B:B,0)),"0.00%"))))</f>
        <v>10.00%</v>
      </c>
      <c r="P27" s="178" t="str">
        <f>IF(C4="","",[1]AB5!$P$82)</f>
        <v>BEAR / BEAR CF</v>
      </c>
      <c r="Q27" s="166" t="str">
        <f>IF(C6="","",[1]AB5!$Q$82)</f>
        <v>Call</v>
      </c>
      <c r="R27" s="167" t="str">
        <f t="array" ref="R27">IF(C4="","",IF(C9="Futures","",IF(C9="Options Sell",CONCATENATE([1]AB5!$M$74,"( ",INDEX([1]AB4!BP:BP,MATCH(A10,[1]AB4!B:B,0))," &amp; ",[1]AB5!$R$82," ) ",INDEX([1]AB4!BQ:BQ,MATCH(A10,[1]AB4!B:B,0))," ",N19," ) &amp; ",INDEX([1]AB4!BS:BS,MATCH(A10,[1]AB4!B:B,0))))))</f>
        <v>Min of ( SPT : PRV : 2DLL &amp; SPT : CDLL ) + 2.00% ) &amp; Round Down</v>
      </c>
      <c r="S27" s="168" t="str">
        <f t="array" ref="S27">IF(C4="","",IF(C9="Futures","",IF(C9="Options Sell",CONCATENATE([1]AB5!$O$74,"( ",INDEX([1]AB4!BT:BT,MATCH(A10,[1]AB4!B:B,0))," &amp; ",[1]AB5!$S$82," ) &amp; ",INDEX([1]AB4!BW:BW,MATCH(A10,[1]AB4!B:B,0))," ",INDEX([1]AB4!BX:BX,MATCH(A10,[1]AB4!B:B,0))," ",INDEX([1]AB4!BY:BY,MATCH(A10,[1]AB4!B:B,0))))))</f>
        <v>Min of ( SPT : PRV : 2DLL &amp; SPT : CDLL ) &amp; Round Down - 1</v>
      </c>
      <c r="T27" s="27"/>
      <c r="U27" s="168" t="str">
        <f t="array" ref="U27">IF(C4="","",IF(C9="Futures","",IF(C9="Options Sell",CONCATENATE([1]AB5!$T$74," of ( ",INDEX([1]AB4!CE:CE,MATCH(A10,[1]AB4!B:B,0))," &amp; ",[1]AB5!$U$82," ) ",[1]AB5!$H$59,TEXT(INDEX([1]AB4!CF:CF,MATCH(A10,[1]AB4!B:B,0)),"0.00%")))))</f>
        <v>Min of  of ( SPT : PRV : 2DLL &amp; SPT : CDLL )  * 0.30%</v>
      </c>
      <c r="V27" s="27"/>
      <c r="W27" s="168" t="str">
        <f t="array" ref="W27">IF(C4="","",IF(C9="Futures","",IF(C9="Options Sell",CONCATENATE([1]AB5!$V$74,"( ",INDEX([1]AB4!CG:CG,MATCH(A10,[1]AB4!B:B,0))," &amp; ",[1]AB5!$W$82," ) ",[1]AB5!$H$59,TEXT(INDEX([1]AB4!CH:CH,MATCH(A10,[1]AB4!B:B,0)),"0.00%")))))</f>
        <v>Min of ( SPT : PRV : 2DLL &amp; SPT : CDLL )  * 0.15%</v>
      </c>
      <c r="X27" s="27"/>
      <c r="Y27" s="169" t="str">
        <f>IF(A4="","",IF(C9="Futures","",IF(C9="Options Sell",I10)))</f>
        <v>100 Lots</v>
      </c>
      <c r="Z27" s="168" t="str">
        <f t="array" ref="Z27">IF(C4="","",IF(C9="Futures","",IF(C9="Options Sell",CONCATENATE([1]AB5!$X$74,"( ",INDEX([1]AB4!G:G,MATCH(A10,[1]AB4!B:B,0))," &amp; ",[1]AB5!$Z$82," ) ", INDEX([1]AB4!H:H,MATCH(A10,[1]AB4!B:B,0))," ",AA19))))</f>
        <v>Min of ( OPT : PRV : 2DLL &amp; OPT : CDLL )  -  7.50%</v>
      </c>
      <c r="AA27" s="114"/>
      <c r="AB27" s="75"/>
      <c r="AC27" s="75"/>
    </row>
    <row r="28" spans="1:29" ht="44.25" customHeight="1" thickBot="1" x14ac:dyDescent="0.25">
      <c r="A28" s="15"/>
      <c r="B28" s="179" t="str">
        <f>IF(C4="","",IF(C9="Futures","",IF(C9="Options Sell",[1]AB5!$B$83,IF(C9="Options Buy",[1]AB5!$B$116))))</f>
        <v>Stay Blessed !!!</v>
      </c>
      <c r="C28" s="19"/>
      <c r="D28" s="180" t="str">
        <f>IF(C4="","",IF(C9="Futures","",IF(C9="Options Sell",[1]AB5!$D$83,IF(C9="Options Buy",[1]AB5!$D$116))))</f>
        <v>For Put Sell SL</v>
      </c>
      <c r="E28" s="181" t="str">
        <f>IF(C4="","",IF(C9="Futures","",IF(C9="Options Sell",CONCATENATE([1]AB5!$E$83,TEXT(B26,"HH:MM:SS AM/PM"),[1]AB5!$B$81,[1]AB5!$F$83))))</f>
        <v>Check If  09:00:00 AM HH &gt; Short SL</v>
      </c>
      <c r="F28" s="182"/>
      <c r="G28" s="183" t="str">
        <f>IF(C4="","",IF(C9="Futures","",IF(C9="Options Sell",[1]AB5!$G$83,IF(C9="Options Buy",[1]AB5!$G$116))))</f>
        <v>No</v>
      </c>
      <c r="H28" s="104" t="str">
        <f>IF(C4="","",IF(C9="Futures","",IF(C9="Options Sell",[1]AB5!$H$83)))</f>
        <v>FSL / TRP Not Missed</v>
      </c>
      <c r="I28" s="100" t="str">
        <f>IF(C4="","",IF(C9="Futures","",IF(C9="Options Sell",[1]AB5!$I$83)))</f>
        <v>Place the Order at ORPT</v>
      </c>
      <c r="J28" s="101" t="str">
        <f>IF(C4="","",IF(C9="Futures","",IF(C9="Options Sell",[1]AB5!$J$83)))</f>
        <v>ORPT Time</v>
      </c>
      <c r="K28" s="102"/>
      <c r="L28" s="103">
        <f>IF(C4="","",IF(C9="Futures","",IF(C9="Options Sell",B22)))</f>
        <v>0.38193749999999999</v>
      </c>
      <c r="M28" s="184" t="str">
        <f>IF(C4="","",IF(C9="Futures","",IF(C9="Options Sell",[1]AB5!$M$83)))</f>
        <v>N.A.</v>
      </c>
      <c r="N28" s="104" t="str">
        <f>IF(C4="","",IF(C9="Futures","",IF(C9="Options Sell",[1]AB5!$N$83)))</f>
        <v>N.A.</v>
      </c>
      <c r="O28" s="185" t="str">
        <f>IF(C4="","",IF(C9="Futures","",IF(C9="Options Sell",[1]AB5!$O$83)))</f>
        <v>N.A.</v>
      </c>
      <c r="P28" s="110"/>
      <c r="Q28" s="173" t="str">
        <f>IF(C6="","",[1]AB5!$Q$83)</f>
        <v>Put</v>
      </c>
      <c r="R28" s="174" t="str">
        <f t="array" ref="R28">IF(C4="","",IF(C9="Futures","",IF(C9="Options Sell",CONCATENATE([1]AB5!$M$77, "( ",INDEX([1]AB4!BP:BP,MATCH(A13,[1]AB4!B:B,0))," &amp; ",[1]AB5!$R$83," ) ", INDEX([1]AB4!BQ:BQ,MATCH(A13,[1]AB4!B:B,0))," ",N22," ) &amp; ",INDEX([1]AB4!BS:BS,MATCH(A13,[1]AB4!B:B,0))))))</f>
        <v>Max of ( SPT : PRV : 3DHH &amp; SPT : CDHH ) - 2.00% ) &amp; Round Up</v>
      </c>
      <c r="S28" s="175" t="str">
        <f t="array" ref="S28">IF(C4="","",IF(C9="Futures","",IF(C9="Options Sell",CONCATENATE([1]AB5!$O$77,"( ",INDEX([1]AB4!BT:BT,MATCH(A13,[1]AB4!B:B,0))," &amp; ",[1]AB5!$S$83," ) &amp; ",INDEX([1]AB4!BW:BW,MATCH(A13,[1]AB4!B:B,0))," ",INDEX([1]AB4!BX:BX,MATCH(A13,[1]AB4!B:B,0))," ",INDEX([1]AB4!BY:BY,MATCH(A13,[1]AB4!B:B,0))))))</f>
        <v>Max of ( SPT : PRV : 3DHH &amp; SPT : CDHH ) &amp; Round Up + 1</v>
      </c>
      <c r="T28" s="40"/>
      <c r="U28" s="175" t="str">
        <f t="array" ref="U28">IF(C4="","",IF(C9="Futures","",IF(C9="Options Sell",CONCATENATE([1]AB5!$T$77,"( ",INDEX([1]AB4!CE:CE,MATCH(A13,[1]AB4!B:B,0))," &amp; ",[1]AB5!$U$83," ) ",[1]AB5!$H$59,TEXT(INDEX([1]AB4!CF:CF,MATCH(A13,[1]AB4!B:B,0)),"0.00%")))))</f>
        <v>Min of ( SPT : PRV : 3DHH &amp; SPT : CDLL )  * 0.30%</v>
      </c>
      <c r="V28" s="40"/>
      <c r="W28" s="175" t="str">
        <f t="array" ref="W28">IF(C4="","",IF(C9="Futures","",IF(C9="Options Sell",CONCATENATE([1]AB5!$V$77,"( ",INDEX([1]AB4!CG:CG,MATCH(A13,[1]AB4!B:B,0))," &amp; ",[1]AB5!$W$83," ) ",[1]AB5!$H$59,TEXT(INDEX([1]AB4!CH:CH,MATCH(A13,[1]AB4!B:B,0)),"0.00%")))))</f>
        <v>Min of ( SPT : PRV : 3DHH &amp; SPT : CDLL )  * 0.15%</v>
      </c>
      <c r="X28" s="40"/>
      <c r="Y28" s="176" t="str">
        <f>IF(A4="","",IF(C9="Futures","",IF(C9="Options Sell",I13)))</f>
        <v>100 Lots</v>
      </c>
      <c r="Z28" s="175" t="str">
        <f t="array" ref="Z28">IF(C4="","",IF(C9="Futures","",IF(C9="Options Sell",CONCATENATE([1]AB5!$X$77,"( ",INDEX([1]AB4!G:G,MATCH(A13,[1]AB4!B:B,0))," &amp; ",[1]AB5!$Z$83," ) ", INDEX([1]AB4!H:H,MATCH(A13,[1]AB4!B:B,0))," ",AA22))))</f>
        <v>Min of ( OPT : PRV : 3DLL &amp; OPT : CDLL )  -  7.50%</v>
      </c>
      <c r="AA28" s="177"/>
      <c r="AB28" s="75"/>
      <c r="AC28" s="75"/>
    </row>
    <row r="29" spans="1:29" ht="44.25" customHeight="1" x14ac:dyDescent="0.2">
      <c r="A29" s="75"/>
      <c r="B29" s="32"/>
      <c r="C29" s="33"/>
      <c r="D29" s="32"/>
      <c r="E29" s="32"/>
      <c r="F29" s="156"/>
      <c r="G29" s="186" t="str">
        <f>IF(C4="","",IF(C9="Futures","",IF(C9="Options Sell",[1]AB5!$G$84,IF(C9="Options Buy",[1]AB5!$G$117))))</f>
        <v>Yes</v>
      </c>
      <c r="H29" s="99" t="str">
        <f>IF(C4="","",IF(C9="Futures","",IF(C9="Options Sell",[1]AB5!$H$84)))</f>
        <v>FSL / TRP Missed</v>
      </c>
      <c r="I29" s="100" t="str">
        <f>IF(C4="","",IF(C9="Futures","",IF(C9="Options Sell",[1]AB5!$I$84)))</f>
        <v>Recalcuate : Short FSL / TRP : Bull / Bull CF</v>
      </c>
      <c r="J29" s="101" t="str">
        <f>IF(C4="","",IF(C9="Futures","",IF(C9="Options Sell",[1]AB5!$J$84)))</f>
        <v>Wait Till Recalculation Time</v>
      </c>
      <c r="K29" s="102"/>
      <c r="L29" s="103">
        <f>IF(C4="","",IF(C9="Futures","",IF(C9="Options Sell",C22)))</f>
        <v>0.38540972222222225</v>
      </c>
      <c r="M29" s="184" t="str">
        <f>IF(C4="","",IF(C9="Futures","",IF(C9="Options Sell",CONCATENATE(N29," ",[1]AB5!$M$84," ",TEXT(O29,"0.00%")))))</f>
        <v>09:14:59 AM HH + 10.00%</v>
      </c>
      <c r="N29" s="105" t="str">
        <f>IF(C4="","",IF(C9="Futures","",IF(C9="Options Sell",CONCATENATE(TEXT(L29,"HH:MM:SS AM/PM"),[1]AB5!$N$84))))</f>
        <v>09:14:59 AM HH</v>
      </c>
      <c r="O29" s="187" t="str">
        <f t="array" ref="O29">IF(A4="","",IF(C9="Futures","",IF(C9="Options Sell",TEXT(INDEX([1]AB4!BL:BL,MATCH(A7,[1]AB4!B:B,0)),"0.00%"))))</f>
        <v>10.00%</v>
      </c>
      <c r="P29" s="188" t="str">
        <f>IF(C4="","",[1]AB5!$P$84)</f>
        <v>When You Call And Put Position is Exited</v>
      </c>
      <c r="Q29" s="189"/>
      <c r="R29" s="189"/>
      <c r="S29" s="189"/>
      <c r="T29" s="189"/>
      <c r="U29" s="189"/>
      <c r="V29" s="189"/>
      <c r="W29" s="189"/>
      <c r="X29" s="189"/>
      <c r="Y29" s="189"/>
      <c r="Z29" s="189"/>
      <c r="AA29" s="33"/>
      <c r="AB29" s="75"/>
      <c r="AC29" s="75"/>
    </row>
    <row r="30" spans="1:29" ht="44.25" customHeight="1" thickBot="1" x14ac:dyDescent="0.25">
      <c r="A30" s="75"/>
      <c r="B30" s="34"/>
      <c r="C30" s="53"/>
      <c r="D30" s="34"/>
      <c r="E30" s="34"/>
      <c r="F30" s="190"/>
      <c r="G30" s="111"/>
      <c r="H30" s="138"/>
      <c r="I30" s="191" t="str">
        <f>IF(C4="","",IF(C9="Futures","",IF(C9="Options Sell",[1]AB5!$I$85)))</f>
        <v>Recalcuate : Short FSL / TRP : Bear / Bear CF</v>
      </c>
      <c r="J30" s="192" t="str">
        <f>IF(C4="","",IF(C9="Futures","",IF(C9="Options Sell",[1]AB5!$J$85)))</f>
        <v>Wait Till Recalculation Time</v>
      </c>
      <c r="K30" s="40"/>
      <c r="L30" s="193">
        <f>IF(C4="","",IF(C9="Futures","",IF(C9="Options Sell",C22)))</f>
        <v>0.38540972222222225</v>
      </c>
      <c r="M30" s="194" t="str">
        <f>IF(C4="","",IF(C9="Futures","",IF(C9="Options Sell",CONCATENATE(N30," ",[1]AB5!$M$85," ",TEXT(O30,"0.00%")))))</f>
        <v>09:14:59 AM HH + 7.00%</v>
      </c>
      <c r="N30" s="195" t="str">
        <f>IF(C4="","",IF(C9="Futures","",IF(C9="Options Sell",CONCATENATE(TEXT(L30,"HH:MM:SS AM/PM"),[1]AB5!$N$85))))</f>
        <v>09:14:59 AM HH</v>
      </c>
      <c r="O30" s="196" t="str">
        <f t="array" ref="O30">IF(A4="","",IF(C9="Futures","",IF(C9="Options Sell",TEXT(INDEX([1]AB4!BL:BL,MATCH(A13,[1]AB4!B:B,0)),"0.00%"))))</f>
        <v>7.00%</v>
      </c>
      <c r="P30" s="197" t="str">
        <f>IF(C4="","",[1]AB5!$P$85)</f>
        <v>This is Only Applicable for Same Day</v>
      </c>
      <c r="Q30" s="190"/>
      <c r="R30" s="190"/>
      <c r="S30" s="190"/>
      <c r="T30" s="190"/>
      <c r="U30" s="190"/>
      <c r="V30" s="190"/>
      <c r="W30" s="190"/>
      <c r="X30" s="190"/>
      <c r="Y30" s="190"/>
      <c r="Z30" s="190"/>
      <c r="AA30" s="53"/>
      <c r="AB30" s="75"/>
      <c r="AC30" s="75"/>
    </row>
    <row r="31" spans="1:29" ht="33" customHeight="1" thickBot="1" x14ac:dyDescent="0.25">
      <c r="A31" s="198"/>
      <c r="B31" s="199" t="str">
        <f>IF(C4="","",[1]AB5!$B$119)</f>
        <v>For Missed SL (Position = Open)</v>
      </c>
      <c r="C31" s="114"/>
      <c r="D31" s="200" t="str">
        <f>IF(C4="","",[1]AB5!$D$120)</f>
        <v>Note: ( Optional )</v>
      </c>
      <c r="E31" s="19"/>
      <c r="F31" s="201" t="str">
        <f>IF(C4="","",[1]AB5!$I$119)</f>
        <v>For Call SL</v>
      </c>
      <c r="G31" s="65"/>
      <c r="H31" s="65"/>
      <c r="I31" s="65"/>
      <c r="J31" s="65"/>
      <c r="K31" s="65"/>
      <c r="L31" s="65"/>
      <c r="M31" s="65"/>
      <c r="N31" s="65"/>
      <c r="O31" s="65"/>
      <c r="P31" s="62"/>
      <c r="Q31" s="201" t="str">
        <f>IF(C4="","",[1]AB5!$R$119)</f>
        <v>For Put SL</v>
      </c>
      <c r="R31" s="65"/>
      <c r="S31" s="65"/>
      <c r="T31" s="65"/>
      <c r="U31" s="65"/>
      <c r="V31" s="65"/>
      <c r="W31" s="65"/>
      <c r="X31" s="65"/>
      <c r="Y31" s="65"/>
      <c r="Z31" s="65"/>
      <c r="AA31" s="62"/>
      <c r="AB31" s="202"/>
      <c r="AC31" s="202"/>
    </row>
    <row r="32" spans="1:29" ht="43.5" customHeight="1" x14ac:dyDescent="0.2">
      <c r="A32" s="198"/>
      <c r="B32" s="203" t="str">
        <f>IF(C4="","",[1]AB5!$B$120)</f>
        <v>Check time</v>
      </c>
      <c r="C32" s="204"/>
      <c r="D32" s="32"/>
      <c r="E32" s="33"/>
      <c r="F32" s="205" t="str">
        <f>IF(C4="","",CONCATENATE([1]AB5!$G$120,TEXT(B33,"HH:MM:SS AM/PM"),[1]AB5!$B$121,[1]AB5!$H$120))</f>
        <v>Check If Close at 04:30:00 PM  &gt; Call Original SL</v>
      </c>
      <c r="G32" s="102"/>
      <c r="H32" s="206" t="str">
        <f>IF(C4="","",[1]AB5!$I$120)</f>
        <v>Yes</v>
      </c>
      <c r="I32" s="13"/>
      <c r="J32" s="207" t="str">
        <f>IF(C4="","",CONCATENATE([1]AB5!$K$120,TEXT(B33,"HH:MM:SS AM/PM")))</f>
        <v xml:space="preserve"> Then Square Off The Position At CMP at 04:30:00 PM</v>
      </c>
      <c r="K32" s="161"/>
      <c r="L32" s="161"/>
      <c r="M32" s="161"/>
      <c r="N32" s="161"/>
      <c r="O32" s="161"/>
      <c r="P32" s="208"/>
      <c r="Q32" s="209" t="str">
        <f>IF(C4="","",CONCATENATE([1]AB5!$R$120,TEXT(B33,"HH:MM:SS AM/PM"),[1]AB5!$B$121,[1]AB5!$S$120))</f>
        <v>Check If Close at 04:30:00 PM  &gt; Put Original SL</v>
      </c>
      <c r="R32" s="161"/>
      <c r="S32" s="13"/>
      <c r="T32" s="210" t="str">
        <f>IF(C4="","",[1]AB5!$U$120)</f>
        <v>Yes</v>
      </c>
      <c r="U32" s="211" t="str">
        <f>IF(C4="","",CONCATENATE([1]AB5!$W$120,TEXT(B33,"HH:MM:SS AM/PM")))</f>
        <v xml:space="preserve"> Then Square Off The Position At CMP at 04:30:00 PM</v>
      </c>
      <c r="V32" s="161"/>
      <c r="W32" s="161"/>
      <c r="X32" s="161"/>
      <c r="Y32" s="161"/>
      <c r="Z32" s="161"/>
      <c r="AA32" s="208"/>
      <c r="AB32" s="202"/>
      <c r="AC32" s="212"/>
    </row>
    <row r="33" spans="1:29" ht="36" customHeight="1" thickBot="1" x14ac:dyDescent="0.25">
      <c r="A33" s="198"/>
      <c r="B33" s="213">
        <f t="array" ref="B33">IF(C4="","",INDEX([1]AB4!CU:CU,MATCH(A21,[1]AB4!B:B,0)))</f>
        <v>0.6875</v>
      </c>
      <c r="C33" s="177"/>
      <c r="D33" s="34"/>
      <c r="E33" s="53"/>
      <c r="F33" s="214" t="str">
        <f>IF(C4="","",CONCATENATE([1]AB5!$G$37,TEXT(B33,"HH:MM:SS AM/PM"),[1]AB5!$B$37,[1]AB5!$H$121))</f>
        <v>Check If Close at 04:30:00 PM  &lt; Call Original SL</v>
      </c>
      <c r="G33" s="40"/>
      <c r="H33" s="215" t="str">
        <f>IF(C4="","",[1]AB5!$I$121)</f>
        <v>Yes</v>
      </c>
      <c r="I33" s="40"/>
      <c r="J33" s="216" t="str">
        <f>IF(C4="","",CONCATENATE([1]AB5!$K$121))</f>
        <v xml:space="preserve"> Then Continue the Position for Next Day And Calculate Stop Loss Price as per the Rules</v>
      </c>
      <c r="K33" s="145"/>
      <c r="L33" s="145"/>
      <c r="M33" s="145"/>
      <c r="N33" s="145"/>
      <c r="O33" s="145"/>
      <c r="P33" s="177"/>
      <c r="Q33" s="214" t="str">
        <f>IF(C4="","",CONCATENATE([1]AB5!$R$121,TEXT(B33,"HH:MM:SS AM/PM"),[1]AB5!$B$122,[1]AB5!$S$121))</f>
        <v>Check If Close at 04:30:00 PM  &lt; Put Original SL</v>
      </c>
      <c r="R33" s="145"/>
      <c r="S33" s="40"/>
      <c r="T33" s="217" t="str">
        <f>IF(C4="","",[1]AB5!$U$121)</f>
        <v>Yes</v>
      </c>
      <c r="U33" s="216" t="str">
        <f>IF(C4="","",CONCATENATE([1]AB5!$W$121))</f>
        <v xml:space="preserve"> Then Continue the Position for Next Day And Calculate Stop Loss Price as per the Rules</v>
      </c>
      <c r="V33" s="145"/>
      <c r="W33" s="145"/>
      <c r="X33" s="145"/>
      <c r="Y33" s="145"/>
      <c r="Z33" s="145"/>
      <c r="AA33" s="177"/>
      <c r="AB33" s="202"/>
      <c r="AC33" s="212"/>
    </row>
    <row r="34" spans="1:29" ht="15.75" customHeight="1" x14ac:dyDescent="0.2">
      <c r="A34" s="75"/>
      <c r="B34" s="75"/>
      <c r="C34" s="75"/>
      <c r="D34" s="75"/>
      <c r="E34" s="75"/>
      <c r="F34" s="75"/>
      <c r="G34" s="75"/>
      <c r="H34" s="75"/>
      <c r="I34" s="75"/>
      <c r="J34" s="149"/>
      <c r="K34" s="149"/>
      <c r="L34" s="149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218"/>
      <c r="Y34" s="75"/>
      <c r="Z34" s="75"/>
      <c r="AA34" s="75"/>
      <c r="AB34" s="75"/>
      <c r="AC34" s="75"/>
    </row>
    <row r="35" spans="1:29" ht="15.75" customHeight="1" thickBot="1" x14ac:dyDescent="0.25">
      <c r="A35" s="75"/>
      <c r="B35" s="75"/>
      <c r="C35" s="75"/>
      <c r="D35" s="75"/>
      <c r="E35" s="75"/>
      <c r="F35" s="75"/>
      <c r="G35" s="75"/>
      <c r="H35" s="75"/>
      <c r="I35" s="75"/>
      <c r="J35" s="149"/>
      <c r="K35" s="149"/>
      <c r="L35" s="149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218"/>
      <c r="Y35" s="75"/>
      <c r="Z35" s="75"/>
      <c r="AA35" s="75"/>
      <c r="AB35" s="75"/>
      <c r="AC35" s="75"/>
    </row>
    <row r="36" spans="1:29" ht="42.75" customHeight="1" x14ac:dyDescent="0.2">
      <c r="A36" s="15" t="str">
        <f>IF(C36="","",CONCATENATE(C37,[1]AB5!$A$4))</f>
        <v>S19A</v>
      </c>
      <c r="B36" s="16" t="str">
        <f>IF(C36="","",[1]AB5!$B$59)</f>
        <v>Sr. No.</v>
      </c>
      <c r="C36" s="17">
        <v>19</v>
      </c>
      <c r="D36" s="18" t="str">
        <f>IF(C36="","",IF(C41="Futures","",IF(C41="Options Sell",[1]AB5!$D$59,IF(C41="Options Buy",[1]AB5!$D$92))))</f>
        <v>BULL / BULL CF</v>
      </c>
      <c r="E36" s="19"/>
      <c r="F36" s="18" t="str">
        <f>IF(C36="","",IF(C41="Futures","",IF(C41="Options Sell",[1]AB5!$F$59,IF(C41="Options Buy",[1]AB5!$F$92))))</f>
        <v>Call</v>
      </c>
      <c r="G36" s="20" t="str">
        <f t="array" ref="G36">IF(C36="","",IF(C41="Futures","",IF(C41="Options Sell",CONCATENATE("( ",INDEX([1]AB4!BP:BP,MATCH(A36,[1]AB4!B:B))," ",INDEX([1]AB4!BQ:BQ,MATCH(A36,[1]AB4!B:B))," ",TEXT(INDEX([1]AB4!BR:BR,MATCH(A36,[1]AB4!B:B)),"0.00%")," ) &amp; ",INDEX([1]AB4!BS:BS,MATCH(A36,[1]AB4!B:B))),IF(C41="Options Buy",CONCATENATE("( ",INDEX([1]AB4!BP:BP,MATCH(A36,[1]AB4!B:B,0))," ",INDEX([1]AB4!BQ:BQ,MATCH(A36,[1]AB4!B:B,0))," ",TEXT(INDEX([1]AB4!BR:BR,MATCH(A36,[1]AB4!B:B,0)),"0.00%")," ) &amp; ",INDEX([1]AB4!BS:BS,MATCH(A36,[1]AB4!B:B,0)))))))</f>
        <v>( SPT : PRV : 3DLL + 2.00% ) &amp; Round Down</v>
      </c>
      <c r="H36" s="20" t="str">
        <f t="array" ref="H36">IF(C36="","",IF(C41="Futures","",IF(C41="Options Sell",CONCATENATE(INDEX([1]AB4!CE:CE,MATCH(A36,[1]AB4!B:B)),[1]AB5!$H$59,TEXT(INDEX([1]AB4!CF:CF,MATCH(A36,[1]AB4!B:B)),"0.00%")))))</f>
        <v>SPT : PRV : 3DLL * 0.40%</v>
      </c>
      <c r="I36" s="21" t="str">
        <f t="array" ref="I36">IF(C36="","",IF(C41="Futures","",IF(C41="Options Sell",CONCATENATE(INDEX([1]AB4!CI:CI,MATCH(A36,[1]AB4!B:B)),[1]AB5!$I$59))))</f>
        <v>100 Lots</v>
      </c>
      <c r="J36" s="22" t="str">
        <f>IF(C36="","",IF(C41="Futures","",IF(C41="Options Sell",[1]AB5!$J$59,IF(C41="Options Buy",[1]AB5!$J$92))))</f>
        <v>BULL / BULL CF</v>
      </c>
      <c r="K36" s="18" t="str">
        <f>IF(C36="","",IF(C41="Futures","",IF(C41="Options Sell",[1]AB5!$K$59,IF(C41="Options Buy",[1]AB5!$K$92))))</f>
        <v>Call</v>
      </c>
      <c r="L36" s="23" t="str">
        <f>IF(C36="","",IF(C41="Futures","",IF(C41="Options Sell",[1]AB5!$G$4,IF(C41="Options Buy",[1]AB5!$L$92))))</f>
        <v>E &amp; T</v>
      </c>
      <c r="M36" s="20" t="str">
        <f t="array" ref="M36">IF(C36="","",IF(C41="Futures","",IF(C41="Options Sell",CONCATENATE(INDEX([1]AB4!G:G,MATCH(A36,[1]AB4!B:B,0)),INDEX([1]AB4!H:H,MATCH(A36,[1]AB4!B:B,0)),TEXT(INDEX([1]AB4!I:I,MATCH(A36,[1]AB4!B:B,0)),"0.00%")))))</f>
        <v>OPT : PRV : 3DLL - 7.50%</v>
      </c>
      <c r="N36" s="24">
        <f t="array" ref="N36">IF(C36="","",IF(C41="Futures","",IF(C41="Options Sell",INDEX([1]AB4!J:J,MATCH(A36,[1]AB4!B:B,0)))))</f>
        <v>1</v>
      </c>
      <c r="O36" s="25" t="str">
        <f t="array" ref="O36">IF(C36="","",IF(C41="Futures","",IF(C41="Options Sell",IF(INDEX([1]AB4!N:N,MATCH(A36,[1]AB4!B:B,0))="","",CONCATENATE(INDEX([1]AB4!L:L,MATCH(A36,[1]AB4!B:B,0)),INDEX([1]AB4!M:M,MATCH(A36,[1]AB4!B:B,0)),TEXT(INDEX([1]AB4!N:N,MATCH(A36,[1]AB4!B:B,0)),"0.00%"))))))</f>
        <v>CE : Entry  - 60.00%</v>
      </c>
      <c r="P36" s="26">
        <f t="array" ref="P36">IF(C36="","",IF(C41="Futures","",IF(C41="Options Sell",IF(INDEX([1]AB4!N:N,MATCH(A36,[1]AB4!B:B,0))="","",INDEX([1]AB4!O:O,MATCH(A36,[1]AB4!B:B,0))))))</f>
        <v>1</v>
      </c>
      <c r="Q36" s="27"/>
      <c r="R36" s="25" t="str">
        <f t="array" ref="R36">IF(C36="","",IF(C41="Futures","",IF(C41="Options Sell",IF(INDEX([1]AB4!P:P,MATCH(A36,[1]AB4!B:B,0))="","",CONCATENATE(INDEX([1]AB4!L:L,MATCH(A36,[1]AB4!B:B,0)),INDEX([1]AB4!M:M,MATCH(A36,[1]AB4!B:B,0)),TEXT(INDEX([1]AB4!P:P,MATCH(A36,[1]AB4!B:B,0)),"0.00%"))))))</f>
        <v/>
      </c>
      <c r="S36" s="24" t="str">
        <f t="array" ref="S36">IF(C36="","",IF(C41="Futures","",IF(C41="Options Sell",IF(INDEX([1]AB4!P:P,MATCH(A36,[1]AB4!B:B,0))="","",INDEX([1]AB4!Q:Q,MATCH(A36,[1]AB4!B:B,0))))))</f>
        <v/>
      </c>
      <c r="T36" s="25" t="str">
        <f t="array" ref="T36">IF(C36="","",IF(C41="Futures","",IF(C41="Options Sell",IF(INDEX([1]AB4!R:R,MATCH(A36,[1]AB4!B:B,0))="","",CONCATENATE(INDEX([1]AB4!L:L,MATCH(A36,[1]AB4!B:B,0)),INDEX([1]AB4!M:M,MATCH(A36,[1]AB4!B:B,0)),TEXT(INDEX([1]AB4!R:R,MATCH(A36,[1]AB4!B:B,0)),"0.00%"))))))</f>
        <v/>
      </c>
      <c r="U36" s="24" t="str">
        <f t="array" ref="U36">IF(C36="","",IF(C41="Futures","",IF(C41="Options Sell",IF(INDEX([1]AB4!R:R,MATCH(A36,[1]AB4!B:B,0))="","",INDEX([1]AB4!S:S,MATCH(A36,[1]AB4!B:B,0))))))</f>
        <v/>
      </c>
      <c r="V36" s="25" t="str">
        <f t="array" ref="V36">IF(C36="","",IF(C41="Futures","",IF(C41="Options Sell",IF(INDEX([1]AB4!T:T,MATCH(A36,[1]AB4!B:B,0))="","",CONCATENATE(INDEX([1]AB4!L:L,MATCH(A36,[1]AB4!B:B,0)),INDEX([1]AB4!M:M,MATCH(A36,[1]AB4!B:B,0)),TEXT(INDEX([1]AB4!T:T,MATCH(A36,[1]AB4!B:B,0)),"0.00%"))))))</f>
        <v/>
      </c>
      <c r="W36" s="24" t="str">
        <f t="array" ref="W36">IF(C36="","",IF(C41="Futures","",IF(C41="Options Sell",IF(INDEX([1]AB4!T:T,MATCH(A36,[1]AB4!B:B,0))="","",INDEX([1]AB4!U:U,MATCH(A36,[1]AB4!B:B,0))))))</f>
        <v/>
      </c>
      <c r="X36" s="25" t="str">
        <f t="array" ref="X36">IF(C36="","",IF(C41="Futures","",IF(C41="Options Sell",IF(INDEX([1]AB4!V:V,MATCH(A36,[1]AB4!B:B,0))="","",INDEX([1]AB4!V:V,MATCH(A36,[1]AB4!B:B,0))))))</f>
        <v/>
      </c>
      <c r="Y36" s="24" t="str">
        <f t="array" ref="Y36">IF(C36="","",IF(C41="Futures","",IF(C41="Options Sell",IF(INDEX([1]AB4!V:V,MATCH(A36,[1]AB4!B:B,0))="","",INDEX([1]AB4!W:W,MATCH(A36,[1]AB4!B:B,0))))))</f>
        <v/>
      </c>
      <c r="Z36" s="25" t="str">
        <f t="array" ref="Z36">IF(C36="","",IF(C41="Futures","",IF(C41="Options Sell",IF(INDEX([1]AB4!X:X,MATCH(A36,[1]AB4!B:B,0))="","",INDEX([1]AB4!X:X,MATCH(A36,[1]AB4!B:B,0))))))</f>
        <v/>
      </c>
      <c r="AA36" s="28" t="str">
        <f t="array" ref="AA36">IF(C36="","",IF(C41="Futures","",IF(C41="Options Sell",IF(INDEX([1]AB4!X:X,MATCH(A36,[1]AB4!B:B,0))="","",INDEX([1]AB4!X:X,MATCH(A36,[1]AB4!Y:Y,0))))))</f>
        <v/>
      </c>
      <c r="AB36" s="29"/>
      <c r="AC36" s="29"/>
    </row>
    <row r="37" spans="1:29" ht="42.75" customHeight="1" thickBot="1" x14ac:dyDescent="0.25">
      <c r="A37" s="15" t="str">
        <f>IF(C36="","",CONCATENATE(C37,[1]AB5!$A$5))</f>
        <v>S19A</v>
      </c>
      <c r="B37" s="30" t="str">
        <f>IF(C36="","",[1]AB5!$B$60)</f>
        <v>Strategy Code</v>
      </c>
      <c r="C37" s="31" t="str">
        <f t="array" ref="C37">IF(C36="","",IF(C41="Futures","",IF(C41="Options Sell",INDEX([1]AB2!B:B,MATCH(C36,[1]AB2!A:A,0)))))</f>
        <v>S19</v>
      </c>
      <c r="D37" s="32"/>
      <c r="E37" s="33"/>
      <c r="F37" s="34"/>
      <c r="G37" s="35" t="str">
        <f t="array" ref="G37">IF(C36="","",IF(C41="Futures","",IF(C41="Options Sell",CONCATENATE("( ",INDEX([1]AB4!BT:BT,MATCH(A37,[1]AB4!B:B))," ) &amp; ",INDEX([1]AB4!BW:BW,MATCH(A37,[1]AB4!B:B))," ",INDEX([1]AB4!BX:BX,MATCH(A37,[1]AB4!B:B))," ",INDEX([1]AB4!BY:BY,MATCH(A37,[1]AB4!B:B))),IF(C41="Options Buy",CONCATENATE("( ",INDEX([1]AB4!BP:BP,MATCH(A39,[1]AB4!B:B,0))," ",INDEX([1]AB4!BQ:BQ,MATCH(A39,[1]AB4!B:B,0))," ",TEXT(INDEX([1]AB4!BR:BR,MATCH(A39,[1]AB4!B:B,0)),"0.00%")," ) &amp; ",INDEX([1]AB4!BS:BS,MATCH(A39,[1]AB4!B:B,0)))))))</f>
        <v>( SPT : PRV : 3DLL ) &amp; Round Down - 1</v>
      </c>
      <c r="H37" s="35" t="str">
        <f t="array" ref="H37">IF(C36="","",IF(C41="Futures","",IF(C41="Options Sell",CONCATENATE(INDEX([1]AB4!CG:CG,MATCH(A37,[1]AB4!B:B)),[1]AB5!$H$60,TEXT(INDEX([1]AB4!CH:CH,MATCH(A37,[1]AB4!B:B)),"0.00%")))))</f>
        <v>SPT : PRV : 3DLL * 0.20%</v>
      </c>
      <c r="I37" s="36" t="str">
        <f t="array" ref="I37">IF(C36="","",IF(C41="Futures","",IF(C41="Options Sell",CONCATENATE(INDEX([1]AB4!CJ:CJ,MATCH(A37,[1]AB4!B:B)),[1]AB5!$I$60))))</f>
        <v>1 Exp</v>
      </c>
      <c r="J37" s="33"/>
      <c r="K37" s="34"/>
      <c r="L37" s="37" t="str">
        <f>IF(C36="","",IF(C41="Futures","",IF(C41="Options Sell",[1]AB5!$G$5,IF(C41="Options Buy",[1]AB5!$L$93))))</f>
        <v>SL / TRP</v>
      </c>
      <c r="M37" s="35" t="str">
        <f t="array" ref="M37">IF(C36="","",IF(C41="Futures","",IF(C41="Options Sell",IF(INDEX([1]AB4!AL:AL,MATCH(A37,[1]AB4!B:B,0))="","",CONCATENATE(INDEX([1]AB4!AA:AA,MATCH(A37,[1]AB4!B:B,0))," ( ",INDEX([1]AB4!AE:AE,MATCH(A37,[1]AB4!B:B,0)),INDEX([1]AB4!AF:AF,MATCH(A37,[1]AB4!B:B,0)),TEXT(INDEX([1]AB4!AG:AG,MATCH(A37,[1]AB4!B:B,0)),"0.00%")," &amp; ",INDEX([1]AB4!AK:AK,MATCH(A37,[1]AB4!B:B,0)),INDEX([1]AB4!AJ:AJ,MATCH(A37,[1]AB4!B:B,0)),TEXT(INDEX([1]AB4!AL:AL,MATCH(A37,[1]AB4!B:B,0)),"0.00%")," )")))))</f>
        <v>Min ( CE : Entry  + 60.00% &amp; OPT : PRV : 2DHH + 7.00% )</v>
      </c>
      <c r="N37" s="38">
        <f t="array" ref="N37">IF(C36="","",IF(C41="Futures","",IF(C41="Options Sell",INDEX([1]AB4!AM:AM,MATCH(A37,[1]AB4!B:B,0)))))</f>
        <v>1</v>
      </c>
      <c r="O37" s="35" t="str">
        <f t="array" ref="O37">IF(C36="","",IF(C41="Futures","",IF(C41="Options Sell",IF(INDEX([1]AB4!AO:AO,MATCH(A37,[1]AB4!B:B,0))="","",CONCATENATE(INDEX([1]AB4!AA:AA,MATCH(A37,[1]AB4!B:B,0))," ( ",INDEX([1]AB4!AE:AE,MATCH(A37,[1]AB4!B:B,0))," &amp; ",INDEX([1]AB4!AN:AN,MATCH(A37,[1]AB4!B:B,0)),INDEX([1]AB4!AJ:AJ,MATCH(A37,[1]AB4!B:B,0)),TEXT(INDEX([1]AB4!AO:AO,MATCH(A37,[1]AB4!B:B,0)),"0.00%")," )")))))</f>
        <v/>
      </c>
      <c r="P37" s="39" t="str">
        <f t="array" ref="P37">IF(C36="","",IF(C41="Futures","",IF(C41="Options Sell",IF(INDEX([1]AB4!AO:AO,MATCH(A37,[1]AB4!B:B,0))="","",INDEX([1]AB4!AP:AP,MATCH(A37,[1]AB4!B:B,0))))))</f>
        <v/>
      </c>
      <c r="Q37" s="40"/>
      <c r="R37" s="35" t="str">
        <f t="array" ref="R37">IF(C36="","",IF(C41="Futures","",IF(C41="Options Sell",IF(INDEX([1]AB4!AR:AR,MATCH(A37,[1]AB4!B:B,0))="","",CONCATENATE(INDEX([1]AB4!AA:AA,MATCH(A37,[1]AB4!B:B,0))," ( ",INDEX([1]AB4!AE:AE,MATCH(A37,[1]AB4!B:B,0))," &amp; ",INDEX([1]AB4!AQ:AQ,MATCH(A37,[1]AB4!B:B,0)),INDEX([1]AB4!AJ:AJ,MATCH(A37,[1]AB4!B:B,0)),TEXT(INDEX([1]AB4!AR:AR,MATCH(A37,[1]AB4!B:B,0)),"0.00%")," )")))))</f>
        <v/>
      </c>
      <c r="S37" s="38" t="str">
        <f t="array" ref="S37">IF(C36="","",IF(C41="Futures","",IF(C41="Options Sell",IF(INDEX([1]AB4!AR:AR,MATCH(A37,[1]AB4!B:B,0))="","",INDEX([1]AB4!AS:AS,MATCH(A37,[1]AB4!B:B,0))))))</f>
        <v/>
      </c>
      <c r="T37" s="35" t="str">
        <f t="array" ref="T37">IF(C36="","",IF(C41="Futures","",IF(C41="Options Sell",IF(INDEX([1]AB4!AU:AU,MATCH(A37,[1]AB4!B:B))="","",CONCATENATE(INDEX([1]AB4!AA:AA,MATCH(A37,[1]AB4!B:B))," ( ",INDEX([1]AB4!AE:AE,MATCH(A37,[1]AB4!B:B))," &amp; ",INDEX([1]AB4!AT:AT,MATCH(A37,[1]AB4!B:B)),INDEX([1]AB4!AJ:AJ,MATCH(A37,[1]AB4!B:B)),TEXT(INDEX([1]AB4!AU:AU,MATCH(A37,[1]AB4!B:B)),"0.00%")," )")))))</f>
        <v/>
      </c>
      <c r="U37" s="38" t="str">
        <f t="array" ref="U37">IF(C36="","",IF(C41="Futures","",IF(C41="Options Sell",IF(INDEX([1]AB4!AU:AU,MATCH(A37,[1]AB4!B:B,0))="","",INDEX([1]AB4!AV:AV,MATCH(A37,[1]AB4!B:B,0))))))</f>
        <v/>
      </c>
      <c r="V37" s="35" t="str">
        <f t="array" ref="V37">IF(C36="","",IF(C41="Futures","",IF(C41="Options Sell",IF(INDEX([1]AB4!AX:AX,MATCH(A37,[1]AB4!B:B,0))="","",CONCATENATE(INDEX([1]AB4!AA:AA,MATCH(A37,[1]AB4!B:B,0))," ( ",INDEX([1]AB4!AE:AE,MATCH(A37,[1]AB4!B:B,0))," &amp; ",INDEX([1]AB4!AW:AW,MATCH(A37,[1]AB4!B:B,0)),INDEX([1]AB4!AJ:AJ,MATCH(A37,[1]AB4!B:B,0)),TEXT(INDEX([1]AB4!AX:AX,MATCH(A37,[1]AB4!B:B,0)),"0.00%")," )")))))</f>
        <v/>
      </c>
      <c r="W37" s="38" t="str">
        <f t="array" ref="W37">IF(C36="","",IF(C41="Futures","",IF(C41="Options Sell",IF(INDEX([1]AB4!AX:AX,MATCH(A37,[1]AB4!B:B,0))="","",INDEX([1]AB4!AY:AY,MATCH(A37,[1]AB4!B:B,0))))))</f>
        <v/>
      </c>
      <c r="X37" s="35" t="str">
        <f t="array" ref="X37">IF(C36="","",IF(C41="Futures","",IF(C41="Options Sell",IF(INDEX([1]AB4!BA:BA,MATCH(A37,[1]AB4!B:B,0))="","",CONCATENATE(INDEX([1]AB4!AA:AA,MATCH(A37,[1]AB4!B:B,0))," ( ",INDEX([1]AB4!AE:AE,MATCH(A37,[1]AB4!B:B,0))," &amp; ",INDEX([1]AB4!AW:AW,MATCH(A37,[1]AB4!B:B,0)),INDEX([1]AB4!AJ:AJ,MATCH(A37,[1]AB4!B:B,0)),TEXT(INDEX([1]AB4!AX:AX,MATCH(A37,[1]AB4!B:B,0)),"0.00%")," )")))))</f>
        <v/>
      </c>
      <c r="Y37" s="38" t="str">
        <f t="array" ref="Y37">IF(C36="","",IF(C41="Futures","",IF(C41="Options Sell",IF(INDEX([1]AB4!BA:BA,MATCH(A37,[1]AB4!B:B,0))="","",INDEX([1]AB4!AY:AY,MATCH(A37,[1]AB4!B:B,0))))))</f>
        <v/>
      </c>
      <c r="Z37" s="41">
        <f t="array" ref="Z37">IF(C36="","",IF(C41="Futures","",IF(C41="Options Sell",IF(INDEX([1]AB4!BD:BD,MATCH(A36,[1]AB4!B:B,0))="","",INDEX([1]AB4!AZ:AZ,MATCH(A36,[1]AB4!B:B,0))))))</f>
        <v>0</v>
      </c>
      <c r="AA37" s="42">
        <f t="array" ref="AA37">IF(C36="","",IF(C41="Futures","",IF(C41="Options Sell",IF(INDEX([1]AB4!BD:BD,MATCH(A37,[1]AB4!B:B,0))="","",INDEX([1]AB4!BB:BB,MATCH(A37,[1]AB4!B:B,0))))))</f>
        <v>0</v>
      </c>
      <c r="AB37" s="29"/>
      <c r="AC37" s="29"/>
    </row>
    <row r="38" spans="1:29" ht="6.75" customHeight="1" thickBot="1" x14ac:dyDescent="0.25">
      <c r="A38" s="15" t="str">
        <f>IF(C36="","",CONCATENATE(C37,[1]AB5!A34))</f>
        <v>S19</v>
      </c>
      <c r="B38" s="43" t="str">
        <f>IF(C36="","",[1]AB5!$B$61)</f>
        <v>Unique Code</v>
      </c>
      <c r="C38" s="44" t="str">
        <f t="array" ref="C38">IF(C36="","",IF(C41="Futures","",IF(C41="Options Sell",INDEX([1]AB2!N:N,MATCH(C36,[1]AB2!A:A,0)))))</f>
        <v>USDINR_OP_SELL_MT_DIFF_2D_3D</v>
      </c>
      <c r="D38" s="32"/>
      <c r="E38" s="33"/>
      <c r="F38" s="45"/>
      <c r="G38" s="46"/>
      <c r="H38" s="46"/>
      <c r="I38" s="47"/>
      <c r="J38" s="33"/>
      <c r="K38" s="45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29"/>
      <c r="AC38" s="29"/>
    </row>
    <row r="39" spans="1:29" ht="42.75" customHeight="1" x14ac:dyDescent="0.2">
      <c r="A39" s="15" t="str">
        <f>IF(C36="","",CONCATENATE(C37,[1]AB5!$A$7))</f>
        <v>S19B</v>
      </c>
      <c r="B39" s="48"/>
      <c r="C39" s="49"/>
      <c r="D39" s="32"/>
      <c r="E39" s="33"/>
      <c r="F39" s="50" t="str">
        <f>IF(C36="","",IF(C41="Futures","",IF(C41="Options Sell",[1]AB5!$F$62,IF(C41="Options Buy",[1]AB5!$F$95))))</f>
        <v>Put</v>
      </c>
      <c r="G39" s="20" t="str">
        <f t="array" ref="G39">IF(C36="","",IF(C41="Futures","",IF(C41="Options Sell",CONCATENATE("( ",INDEX([1]AB4!BP:BP,MATCH(A39,[1]AB4!B:B))," ",INDEX([1]AB4!BQ:BQ,MATCH(A39,[1]AB4!B:B))," ",TEXT(INDEX([1]AB4!BR:BR,MATCH(A39,[1]AB4!B:B)),"0.00%")," ) &amp; ",INDEX([1]AB4!BS:BS,MATCH(A39,[1]AB4!B:B))),IF(C41="Options Buy",CONCATENATE("( ",INDEX([1]AB4!BP:BP,MATCH(A39,[1]AB4!B:B,0))," ",INDEX([1]AB4!BQ:BQ,MATCH(A39,[1]AB4!B:B,0))," ",TEXT(INDEX([1]AB4!BR:BR,MATCH(A39,[1]AB4!B:B,0)),"0.00%")," ) &amp; ",INDEX([1]AB4!BS:BS,MATCH(A39,[1]AB4!B:B,0)))))))</f>
        <v>( SPT : PRV : 2DHH - 2.00% ) &amp; Round Up</v>
      </c>
      <c r="H39" s="20" t="str">
        <f t="array" ref="H39">IF(C36="","",IF(C41="Futures","",IF(C41="Options Sell",CONCATENATE(INDEX([1]AB4!CE:CE,MATCH(A39,[1]AB4!B:B)),[1]AB5!$H$59,TEXT(INDEX([1]AB4!CF:CF,MATCH(A39,[1]AB4!B:B)),"0.00%")))))</f>
        <v>SPT : PRV : 2DHH * 0.40%</v>
      </c>
      <c r="I39" s="21" t="str">
        <f t="array" ref="I39">IF(C36="","",IF(C41="Futures","",IF(C41="Options Sell",CONCATENATE(INDEX([1]AB4!CI:CI,MATCH(A39,[1]AB4!B:B)),[1]AB5!$I$59))))</f>
        <v>100 Lots</v>
      </c>
      <c r="J39" s="33"/>
      <c r="K39" s="50" t="str">
        <f>IF(C36="","",IF(C41="Futures","",IF(C41="Options Sell",[1]AB5!$K$62,IF(C41="Options Buy",[1]AB5!$K$95))))</f>
        <v>Put</v>
      </c>
      <c r="L39" s="23" t="str">
        <f>IF(C36="","",IF(C41="Futures","",IF(C41="Options Sell",[1]AB5!$G$7,IF(C41="Options Buy",[1]AB5!$L$95))))</f>
        <v>E &amp; T</v>
      </c>
      <c r="M39" s="20" t="str">
        <f t="array" ref="M39">IF(C36="","",IF(C41="Futures","",IF(C41="Options Sell",CONCATENATE(INDEX([1]AB4!G:G,MATCH(A39,[1]AB4!B:B,0)),INDEX([1]AB4!H:H,MATCH(A39,[1]AB4!B:B,0)),TEXT(INDEX([1]AB4!I:I,MATCH(A39,[1]AB4!B:B,0)),"0.00%")))))</f>
        <v>OPT : PRV : 2DLL - 7.50%</v>
      </c>
      <c r="N39" s="24">
        <f t="array" ref="N39">IF(C36="","",IF(C41="Futures","",IF(C41="Options Sell",INDEX([1]AB4!J:J,MATCH(A39,[1]AB4!B:B,0)))))</f>
        <v>1</v>
      </c>
      <c r="O39" s="25" t="str">
        <f t="array" ref="O39">IF(C36="","",IF(C41="Futures","",IF(C41="Options Sell",IF(INDEX([1]AB4!N:N,MATCH(A39,[1]AB4!B:B,0))="","",CONCATENATE(INDEX([1]AB4!L:L,MATCH(A39,[1]AB4!B:B,0)),INDEX([1]AB4!M:M,MATCH(A39,[1]AB4!B:B,0)),TEXT(INDEX([1]AB4!N:N,MATCH(A39,[1]AB4!B:B,0)),"0.00%"))))))</f>
        <v>PE : Entry  - 60.00%</v>
      </c>
      <c r="P39" s="26">
        <f t="array" ref="P39">IF(C36="","",IF(C41="Futures","",IF(C41="Options Sell",IF(INDEX([1]AB4!N:N,MATCH(A39,[1]AB4!B:B,0))="","",INDEX([1]AB4!O:O,MATCH(A39,[1]AB4!B:B,0))))))</f>
        <v>1</v>
      </c>
      <c r="Q39" s="27"/>
      <c r="R39" s="25" t="str">
        <f t="array" ref="R39">IF(C36="","",IF(C41="Futures","",IF(C41="Options Sell",IF(INDEX([1]AB4!P:P,MATCH(A39,[1]AB4!B:B,0))="","",CONCATENATE(INDEX([1]AB4!L:L,MATCH(A39,[1]AB4!B:B,0)),INDEX([1]AB4!M:M,MATCH(A39,[1]AB4!B:B,0)),TEXT(INDEX([1]AB4!P:P,MATCH(A39,[1]AB4!B:B,0)),"0.00%"))))))</f>
        <v/>
      </c>
      <c r="S39" s="24" t="str">
        <f t="array" ref="S39">IF(C36="","",IF(C41="Futures","",IF(C41="Options Sell",IF(INDEX([1]AB4!P:P,MATCH(A39,[1]AB4!B:B,0))="","",INDEX([1]AB4!Q:Q,MATCH(A39,[1]AB4!B:B,0))))))</f>
        <v/>
      </c>
      <c r="T39" s="25" t="str">
        <f t="array" ref="T39">IF(C36="","",IF(C41="Futures","",IF(C41="Options Sell",IF(INDEX([1]AB4!R:R,MATCH(A39,[1]AB4!B:B,0))="","",CONCATENATE(INDEX([1]AB4!L:L,MATCH(A39,[1]AB4!B:B,0)),INDEX([1]AB4!M:M,MATCH(A39,[1]AB4!B:B,0)),TEXT(INDEX([1]AB4!R:R,MATCH(A39,[1]AB4!B:B,0)),"0.00%"))))))</f>
        <v/>
      </c>
      <c r="U39" s="24" t="str">
        <f t="array" ref="U39">IF(C36="","",IF(C41="Futures","",IF(C41="Options Sell",IF(INDEX([1]AB4!R:R,MATCH(A39,[1]AB4!B:B,0))="","",INDEX([1]AB4!S:S,MATCH(A39,[1]AB4!B:B,0))))))</f>
        <v/>
      </c>
      <c r="V39" s="25" t="str">
        <f t="array" ref="V39">IF(C39="","",IF(C41="Futures","",IF(C41="Options Sell",IF(INDEX([1]AB4!T:T,MATCH(A39,[1]AB4!B:B,0))="","",CONCATENATE(INDEX([1]AB4!L:L,MATCH(A39,[1]AB4!B:B,0)),INDEX([1]AB4!M:M,MATCH(A39,[1]AB4!B:B,0)),TEXT(INDEX([1]AB4!T:T,MATCH(A39,[1]AB4!B:B,0)),"0.00%"))))))</f>
        <v/>
      </c>
      <c r="W39" s="24" t="str">
        <f t="array" ref="W39">IF(C36="","",IF(C41="Futures","",IF(C41="Options Sell",IF(INDEX([1]AB4!T:T,MATCH(A39,[1]AB4!B:B,0))="","",INDEX([1]AB4!U:U,MATCH(A39,[1]AB4!B:B,0))))))</f>
        <v/>
      </c>
      <c r="X39" s="25" t="str">
        <f t="array" ref="X39">IF(C36="","",IF(C41="Futures","",IF(C41="Options Sell",IF(INDEX([1]AB4!V:V,MATCH(A39,[1]AB4!B:B,0))="","",INDEX([1]AB4!V:V,MATCH(A39,[1]AB4!B:B,0))))))</f>
        <v/>
      </c>
      <c r="Y39" s="24" t="str">
        <f t="array" ref="Y39">IF(C36="","",IF(C41="Futures","",IF(C41="Options Sell",IF(INDEX([1]AB4!V:V,MATCH(A39,[1]AB4!B:B,0))="","",INDEX([1]AB4!W:W,MATCH(A39,[1]AB4!B:B,0))))))</f>
        <v/>
      </c>
      <c r="Z39" s="25" t="str">
        <f t="array" ref="Z39">IF(C36="","",IF(C41="Futures","",IF(C41="Options Sell",IF(INDEX([1]AB4!X:X,MATCH(A39,[1]AB4!B:B,0))="","",INDEX([1]AB4!X:X,MATCH(A39,[1]AB4!B:B,0))))))</f>
        <v/>
      </c>
      <c r="AA39" s="28" t="str">
        <f t="array" ref="AA39">IF(C36="","",IF(C41="Futures","",IF(C41="Options Sell",IF(INDEX([1]AB4!X:X,MATCH(A39,[1]AB4!B:B,0))="","",INDEX([1]AB4!X:X,MATCH(A39,[1]AB4!Y:Y,0))))))</f>
        <v/>
      </c>
      <c r="AB39" s="29"/>
      <c r="AC39" s="29"/>
    </row>
    <row r="40" spans="1:29" ht="42.75" customHeight="1" thickBot="1" x14ac:dyDescent="0.25">
      <c r="A40" s="15" t="str">
        <f>IF(C36="","",CONCATENATE(C37,[1]AB5!$A$8))</f>
        <v>S19B</v>
      </c>
      <c r="B40" s="51"/>
      <c r="C40" s="52"/>
      <c r="D40" s="34"/>
      <c r="E40" s="53"/>
      <c r="F40" s="34"/>
      <c r="G40" s="35" t="str">
        <f t="array" ref="G40">IF(C36="","",IF(C41="Futures","",IF(C41="Options Sell",CONCATENATE("( ",INDEX([1]AB4!BT:BT,MATCH(A40,[1]AB4!B:B))," ) &amp; ",INDEX([1]AB4!BW:BW,MATCH(A40,[1]AB4!B:B))," ",INDEX([1]AB4!BX:BX,MATCH(A40,[1]AB4!B:B))," ",INDEX([1]AB4!BY:BY,MATCH(A40,[1]AB4!B:B))),IF(C41="Options Buy",CONCATENATE("( ",INDEX([1]AB4!BP:BP,MATCH(A40,[1]AB4!B:B,0))," ",INDEX([1]AB4!BQ:BQ,MATCH(A40,[1]AB4!B:B,0))," ",TEXT(INDEX([1]AB4!BR:BR,MATCH(A40,[1]AB4!B:B,0)),"0.00%")," ) &amp; ",INDEX([1]AB4!BS:BS,MATCH(A40,[1]AB4!B:B,0)))))))</f>
        <v>( SPT : PRV : 2DHH ) &amp; Round Up + 1</v>
      </c>
      <c r="H40" s="35" t="str">
        <f t="array" ref="H40">IF(C36="","",IF(C41="Futures","",IF(C41="Options Sell",CONCATENATE(INDEX([1]AB4!CG:CG,MATCH(A40,[1]AB4!B:B)),[1]AB5!$H$60,TEXT(INDEX([1]AB4!CH:CH,MATCH(A40,[1]AB4!B:B)),"0.00%")))))</f>
        <v>SPT : PRV : 2DHH * 0.20%</v>
      </c>
      <c r="I40" s="36" t="str">
        <f t="array" ref="I40">IF(C36="","",IF(C41="Futures","",IF(C41="Options Sell",CONCATENATE(INDEX([1]AB4!CJ:CJ,MATCH(A40,[1]AB4!B:B)),[1]AB5!$I$60))))</f>
        <v>1 Exp</v>
      </c>
      <c r="J40" s="53"/>
      <c r="K40" s="34"/>
      <c r="L40" s="37" t="str">
        <f>IF(C36="","",IF(C41="Futures","",IF(C41="Options Sell",[1]AB5!$G$8,IF(C41="Options Buy",[1]AB5!$L$96))))</f>
        <v>SL / TRP</v>
      </c>
      <c r="M40" s="35" t="str">
        <f t="array" ref="M40">IF(C36="","",IF(C41="Futures","",IF(C41="Options Sell",IF(INDEX([1]AB4!AL:AL,MATCH(A40,[1]AB4!B:B,0))="","",CONCATENATE(INDEX([1]AB4!AA:AA,MATCH(A40,[1]AB4!B:B,0))," ( ",INDEX([1]AB4!AE:AE,MATCH(A40,[1]AB4!B:B,0)),INDEX([1]AB4!AF:AF,MATCH(A40,[1]AB4!B:B,0)),TEXT(INDEX([1]AB4!AG:AG,MATCH(A40,[1]AB4!B:B,0)),"0.00%")," &amp; ",INDEX([1]AB4!AK:AK,MATCH(A40,[1]AB4!B:B,0)),INDEX([1]AB4!AJ:AJ,MATCH(A40,[1]AB4!B:B,0)),TEXT(INDEX([1]AB4!AL:AL,MATCH(A40,[1]AB4!B:B,0)),"0.00%")," )")))))</f>
        <v>Min ( PE : Entry  + 60.00% &amp; OPT : PRV : 3DHH + 10.00% )</v>
      </c>
      <c r="N40" s="38">
        <f t="array" ref="N40">IF(C36="","",IF(C41="Futures","",IF(C41="Options Sell",INDEX([1]AB4!AM:AM,MATCH(A40,[1]AB4!B:B,0)))))</f>
        <v>1</v>
      </c>
      <c r="O40" s="35" t="str">
        <f t="array" ref="O40">IF(C36="","",IF(C41="Futures","",IF(C41="Options Sell",IF(INDEX([1]AB4!AO:AO,MATCH(A40,[1]AB4!B:B,0))="","",CONCATENATE(INDEX([1]AB4!AA:AA,MATCH(A40,[1]AB4!B:B,0))," ( ",INDEX([1]AB4!AE:AE,MATCH(A40,[1]AB4!B:B,0))," &amp; ",INDEX([1]AB4!AN:AN,MATCH(A40,[1]AB4!B:B,0)),INDEX([1]AB4!AJ:AJ,MATCH(A40,[1]AB4!B:B,0)),TEXT(INDEX([1]AB4!AO:AO,MATCH(A40,[1]AB4!B:B,0)),"0.00%")," )")))))</f>
        <v/>
      </c>
      <c r="P40" s="39" t="str">
        <f t="array" ref="P40">IF(C36="","",IF(C41="Futures","",IF(C41="Options Sell",IF(INDEX([1]AB4!AO:AO,MATCH(A40,[1]AB4!B:B,0))="","",INDEX([1]AB4!AP:AP,MATCH(A40,[1]AB4!B:B,0))))))</f>
        <v/>
      </c>
      <c r="Q40" s="40"/>
      <c r="R40" s="35" t="str">
        <f t="array" ref="R40">IF(C36="","",IF(C41="Futures","",IF(C41="Options Sell",IF(INDEX([1]AB4!AR:AR,MATCH(A40,[1]AB4!B:B,0))="","",CONCATENATE(INDEX([1]AB4!AA:AA,MATCH(A40,[1]AB4!B:B,0))," ( ",INDEX([1]AB4!AE:AE,MATCH(A40,[1]AB4!B:B,0))," &amp; ",INDEX([1]AB4!AQ:AQ,MATCH(A40,[1]AB4!B:B,0)),INDEX([1]AB4!AJ:AJ,MATCH(A40,[1]AB4!B:B,0)),TEXT(INDEX([1]AB4!AR:AR,MATCH(A40,[1]AB4!B:B,0)),"0.00%")," )")))))</f>
        <v/>
      </c>
      <c r="S40" s="38" t="str">
        <f t="array" ref="S40">IF(C36="","",IF(C41="Futures","",IF(C41="Options Sell",IF(INDEX([1]AB4!AR:AR,MATCH(A40,[1]AB4!B:B,0))="","",INDEX([1]AB4!AS:AS,MATCH(A40,[1]AB4!B:B,0))))))</f>
        <v/>
      </c>
      <c r="T40" s="35" t="str">
        <f t="array" ref="T40">IF(C36="","",IF(C41="Futures","",IF(C41="Options Sell",IF(INDEX([1]AB4!AU:AU,MATCH(A40,[1]AB4!B:B))="","",CONCATENATE(INDEX([1]AB4!AA:AA,MATCH(A40,[1]AB4!B:B))," ( ",INDEX([1]AB4!AE:AE,MATCH(A40,[1]AB4!B:B))," &amp; ",INDEX([1]AB4!AT:AT,MATCH(A40,[1]AB4!B:B)),INDEX([1]AB4!AJ:AJ,MATCH(A40,[1]AB4!B:B)),TEXT(INDEX([1]AB4!AU:AU,MATCH(A40,[1]AB4!B:B)),"0.00%")," )")))))</f>
        <v/>
      </c>
      <c r="U40" s="38" t="str">
        <f t="array" ref="U40">IF(C36="","",IF(C41="Futures","",IF(C41="Options Sell",IF(INDEX([1]AB4!AU:AU,MATCH(A40,[1]AB4!B:B,0))="","",INDEX([1]AB4!AV:AV,MATCH(A40,[1]AB4!B:B,0))))))</f>
        <v/>
      </c>
      <c r="V40" s="35" t="str">
        <f t="array" ref="V40">IF(C39="","",IF(C41="Futures","",IF(C41="Options Sell",IF(INDEX([1]AB4!AX:AX,MATCH(A40,[1]AB4!B:B,0))="","",CONCATENATE(INDEX([1]AB4!AA:AA,MATCH(A40,[1]AB4!B:B,0))," ( ",INDEX([1]AB4!AE:AE,MATCH(A40,[1]AB4!B:B,0))," &amp; ",INDEX([1]AB4!AW:AW,MATCH(A40,[1]AB4!B:B,0)),INDEX([1]AB4!AJ:AJ,MATCH(A40,[1]AB4!B:B,0)),TEXT(INDEX([1]AB4!AX:AX,MATCH(A40,[1]AB4!B:B,0)),"0.00%")," )")))))</f>
        <v/>
      </c>
      <c r="W40" s="38" t="str">
        <f t="array" ref="W40">IF(C36="","",IF(C41="Futures","",IF(C41="Options Sell",IF(INDEX([1]AB4!AX:AX,MATCH(A40,[1]AB4!B:B,0))="","",INDEX([1]AB4!AY:AY,MATCH(A40,[1]AB4!B:B,0))))))</f>
        <v/>
      </c>
      <c r="X40" s="35" t="str">
        <f t="array" ref="X40">IF(C36="","",IF(C41="Futures","",IF(C41="Options Sell",IF(INDEX([1]AB4!BA:BA,MATCH(A40,[1]AB4!B:B,0))="","",CONCATENATE(INDEX([1]AB4!AA:AA,MATCH(A40,[1]AB4!B:B,0))," ( ",INDEX([1]AB4!AE:AE,MATCH(A40,[1]AB4!B:B,0))," &amp; ",INDEX([1]AB4!AW:AW,MATCH(A40,[1]AB4!B:B,0)),INDEX([1]AB4!AJ:AJ,MATCH(A40,[1]AB4!B:B,0)),TEXT(INDEX([1]AB4!AX:AX,MATCH(A40,[1]AB4!B:B,0)),"0.00%")," )")))))</f>
        <v/>
      </c>
      <c r="Y40" s="38" t="str">
        <f t="array" ref="Y40">IF(C36="","",IF(C41="Futures","",IF(C41="Options Sell",IF(INDEX([1]AB4!BA:BA,MATCH(A40,[1]AB4!B:B,0))="","",INDEX([1]AB4!AY:AY,MATCH(A40,[1]AB4!B:B,0))))))</f>
        <v/>
      </c>
      <c r="Z40" s="41">
        <f t="array" ref="Z40">IF(C36="","",IF(C41="Futures","",IF(C41="Options Sell",IF(INDEX([1]AB4!BD:BD,MATCH(A39,[1]AB4!B:B,0))="","",INDEX([1]AB4!AZ:AZ,MATCH(A39,[1]AB4!B:B,0))))))</f>
        <v>0</v>
      </c>
      <c r="AA40" s="42">
        <f t="array" ref="AA40">IF(C36="","",IF(C41="Futures","",IF(C41="Options Sell",IF(INDEX([1]AB4!BD:BD,MATCH(A40,[1]AB4!B:B,0))="","",INDEX([1]AB4!BB:BB,MATCH(A40,[1]AB4!B:B,0))))))</f>
        <v>0</v>
      </c>
      <c r="AB40" s="29"/>
      <c r="AC40" s="29"/>
    </row>
    <row r="41" spans="1:29" ht="18.75" customHeight="1" thickBot="1" x14ac:dyDescent="0.25">
      <c r="A41" s="15" t="str">
        <f>IF(C36="","",CONCATENATE(C37,[1]AB5!$A$9))</f>
        <v>S19C</v>
      </c>
      <c r="B41" s="30" t="str">
        <f>IF(C36="","",[1]AB5!$B$64)</f>
        <v>Segment</v>
      </c>
      <c r="C41" s="31" t="str">
        <f t="array" ref="C41">IF(C36="","",INDEX([1]AB2!C:C,MATCH(C36,[1]AB2!A:A,0)))</f>
        <v>OPTIONS SELL</v>
      </c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29"/>
      <c r="AC41" s="29"/>
    </row>
    <row r="42" spans="1:29" ht="42.75" customHeight="1" x14ac:dyDescent="0.2">
      <c r="A42" s="15" t="str">
        <f>IF(C36="","",CONCATENATE(C37,[1]AB5!$A$10))</f>
        <v>S19D</v>
      </c>
      <c r="B42" s="30" t="str">
        <f>IF(C36="","",[1]AB5!$B$65)</f>
        <v>Symbol</v>
      </c>
      <c r="C42" s="31" t="str">
        <f t="array" ref="C42">IF(C36="","",IF(C41="Futures","",IF(C41="Options Sell",INDEX([1]AB2!E:E,MATCH(C36,[1]AB2!A:A,0)))))</f>
        <v>USDINR</v>
      </c>
      <c r="D42" s="50" t="str">
        <f>IF(C36="","",IF(C41="Futures","",IF(C41="Options Sell",[1]AB5!$D$65,IF(C41="Options Buy",[1]AB5!$D$98))))</f>
        <v>BEAR / BEAR CF</v>
      </c>
      <c r="E42" s="19"/>
      <c r="F42" s="18" t="str">
        <f>IF(C36="","",IF(C41="Futures","",IF(C41="Options Sell",[1]AB5!$F$65)))</f>
        <v>Call</v>
      </c>
      <c r="G42" s="20" t="str">
        <f t="array" ref="G42">IF(C36="","",IF(C41="Futures","",IF(C41="Options Sell",CONCATENATE("( ",INDEX([1]AB4!BP:BP,MATCH(A42,[1]AB4!B:B))," ",INDEX([1]AB4!BQ:BQ,MATCH(A42,[1]AB4!B:B))," ",TEXT(INDEX([1]AB4!BR:BR,MATCH(A42,[1]AB4!B:B)),"0.00%")," ) &amp; ",INDEX([1]AB4!BS:BS,MATCH(A42,[1]AB4!B:B))),IF(C41="Options Buy",CONCATENATE("( ",INDEX([1]AB4!BP:BP,MATCH(A42,[1]AB4!B:B,0))," ",INDEX([1]AB4!BQ:BQ,MATCH(A42,[1]AB4!B:B,0))," ",TEXT(INDEX([1]AB4!BR:BR,MATCH(A42,[1]AB4!B:B,0)),"0.00%")," ) &amp; ",INDEX([1]AB4!BS:BS,MATCH(A42,[1]AB4!B:B,0)))))))</f>
        <v>( SPT : PRV : 2DLL + 2.00% ) &amp; Round Down</v>
      </c>
      <c r="H42" s="20" t="str">
        <f t="array" ref="H42">IF(C36="","",IF(C41="Futures","",IF(C41="Options Sell",CONCATENATE(INDEX([1]AB4!CE:CE,MATCH(A42,[1]AB4!B:B)),[1]AB5!$H$59,TEXT(INDEX([1]AB4!CF:CF,MATCH(A42,[1]AB4!B:B)),"0.00%")))))</f>
        <v>SPT : PRV : 2DLL * 0.40%</v>
      </c>
      <c r="I42" s="21" t="str">
        <f t="array" ref="I42">IF(C36="","",IF(C41="Futures","",IF(C41="Options Sell",CONCATENATE(INDEX([1]AB4!CI:CI,MATCH(A42,[1]AB4!B:B)),[1]AB5!$I$59))))</f>
        <v>100 Lots</v>
      </c>
      <c r="J42" s="55" t="str">
        <f>IF(C36="","",IF(C41="Futures","",IF(C41="Options Sell",[1]AB5!$J$65,IF(C41="Options Buy",[1]AB5!$J$98))))</f>
        <v>BEAR / BEAR CF</v>
      </c>
      <c r="K42" s="18" t="str">
        <f>IF(C36="","",IF(C41="Futures","",IF(C41="Options Sell",[1]AB5!$K$65,IF(C41="Options Buy",[1]AB5!$K$98))))</f>
        <v>Call</v>
      </c>
      <c r="L42" s="23" t="str">
        <f>IF(C36="","",IF(C41="Futures","",IF(C41="Options Sell",[1]AB5!$G$10,IF(C41="Options Buy",[1]AB5!$L$98))))</f>
        <v>E &amp; T</v>
      </c>
      <c r="M42" s="20" t="str">
        <f t="array" ref="M42">IF(C36="","",IF(C41="Futures","",IF(C41="Options Sell",CONCATENATE(INDEX([1]AB4!G:G,MATCH(A42,[1]AB4!B:B,0)),INDEX([1]AB4!H:H,MATCH(A42,[1]AB4!B:B,0)),TEXT(INDEX([1]AB4!I:I,MATCH(A42,[1]AB4!B:B,0)),"0.00%")))))</f>
        <v>OPT : PRV : 2DLL - 7.50%</v>
      </c>
      <c r="N42" s="24">
        <f t="array" ref="N42">IF(C36="","",IF(C41="Futures","",IF(C41="Options Sell",INDEX([1]AB4!J:J,MATCH(A42,[1]AB4!B:B,0)))))</f>
        <v>1</v>
      </c>
      <c r="O42" s="25" t="str">
        <f t="array" ref="O42">IF(C36="","",IF(C41="Futures","",IF(C41="Options Sell",IF(INDEX([1]AB4!N:N,MATCH(A42,[1]AB4!B:B,0))="","",CONCATENATE(INDEX([1]AB4!L:L,MATCH(A42,[1]AB4!B:B,0)),INDEX([1]AB4!M:M,MATCH(A42,[1]AB4!B:B,0)),TEXT(INDEX([1]AB4!N:N,MATCH(A42,[1]AB4!B:B,0)),"0.00%"))))))</f>
        <v>CE : Entry  - 60.00%</v>
      </c>
      <c r="P42" s="26">
        <f t="array" ref="P42">IF(C36="","",IF(C41="Futures","",IF(C41="Options Sell",IF(INDEX([1]AB4!N:N,MATCH(A42,[1]AB4!B:B,0))="","",INDEX([1]AB4!O:O,MATCH(A42,[1]AB4!B:B,0))))))</f>
        <v>1</v>
      </c>
      <c r="Q42" s="27"/>
      <c r="R42" s="25" t="str">
        <f t="array" ref="R42">IF(C36="","",IF(C41="Futures","",IF(C41="Options Sell",IF(INDEX([1]AB4!P:P,MATCH(A42,[1]AB4!B:B,0))="","",CONCATENATE(INDEX([1]AB4!L:L,MATCH(A42,[1]AB4!B:B,0)),INDEX([1]AB4!M:M,MATCH(A42,[1]AB4!B:B,0)),TEXT(INDEX([1]AB4!P:P,MATCH(A42,[1]AB4!B:B,0)),"0.00%"))))))</f>
        <v/>
      </c>
      <c r="S42" s="24" t="str">
        <f t="array" ref="S42">IF(C36="","",IF(C41="Futures","",IF(C41="Options Sell",IF(INDEX([1]AB4!P:P,MATCH(A42,[1]AB4!B:B,0))="","",INDEX([1]AB4!Q:Q,MATCH(A42,[1]AB4!B:B,0))))))</f>
        <v/>
      </c>
      <c r="T42" s="25" t="str">
        <f t="array" ref="T42">IF(C36="","",IF(C41="Futures","",IF(C41="Options Sell",IF(INDEX([1]AB4!R:R,MATCH(A42,[1]AB4!B:B,0))="","",CONCATENATE(INDEX([1]AB4!L:L,MATCH(A42,[1]AB4!B:B,0)),INDEX([1]AB4!M:M,MATCH(A42,[1]AB4!B:B,0)),TEXT(INDEX([1]AB4!R:R,MATCH(A42,[1]AB4!B:B,0)),"0.00%"))))))</f>
        <v/>
      </c>
      <c r="U42" s="24" t="str">
        <f t="array" ref="U42">IF(C36="","",IF(C41="Futures","",IF(C41="Options Sell",IF(INDEX([1]AB4!R:R,MATCH(A42,[1]AB4!B:B,0))="","",INDEX([1]AB4!S:S,MATCH(A42,[1]AB4!B:B,0))))))</f>
        <v/>
      </c>
      <c r="V42" s="25" t="str">
        <f t="array" ref="V42">IF(C42="","",IF(C41="Futures","",IF(C41="Options Sell",IF(INDEX([1]AB4!T:T,MATCH(A42,[1]AB4!B:B,0))="","",CONCATENATE(INDEX([1]AB4!L:L,MATCH(A42,[1]AB4!B:B,0)),INDEX([1]AB4!M:M,MATCH(A42,[1]AB4!B:B,0)),TEXT(INDEX([1]AB4!T:T,MATCH(A42,[1]AB4!B:B,0)),"0.00%"))))))</f>
        <v/>
      </c>
      <c r="W42" s="24" t="str">
        <f t="array" ref="W42">IF(C36="","",IF(C41="Futures","",IF(C41="Options Sell",IF(INDEX([1]AB4!T:T,MATCH(A42,[1]AB4!B:B,0))="","",INDEX([1]AB4!U:U,MATCH(A42,[1]AB4!B:B,0))))))</f>
        <v/>
      </c>
      <c r="X42" s="25" t="str">
        <f t="array" ref="X42">IF(C36="","",IF(C41="Futures","",IF(C41="Options Sell",IF(INDEX([1]AB4!V:V,MATCH(A42,[1]AB4!B:B,0))="","",INDEX([1]AB4!V:V,MATCH(A42,[1]AB4!B:B,0))))))</f>
        <v/>
      </c>
      <c r="Y42" s="24" t="str">
        <f t="array" ref="Y42">IF(C36="","",IF(C41="Futures","",IF(C41="Options Sell",IF(INDEX([1]AB4!V:V,MATCH(A42,[1]AB4!B:B,0))="","",INDEX([1]AB4!W:W,MATCH(A42,[1]AB4!B:B,0))))))</f>
        <v/>
      </c>
      <c r="Z42" s="25" t="str">
        <f t="array" ref="Z42">IF(C36="","",IF(C41="Futures","",IF(C41="Options Sell",IF(INDEX([1]AB4!X:X,MATCH(A42,[1]AB4!B:B,0))="","",INDEX([1]AB4!X:X,MATCH(A42,[1]AB4!B:B,0))))))</f>
        <v/>
      </c>
      <c r="AA42" s="28" t="str">
        <f t="array" ref="AA42">IF(C36="","",IF(C41="Futures","",IF(C41="Options Sell",IF(INDEX([1]AB4!X:X,MATCH(A42,[1]AB4!B:B,0))="","",INDEX([1]AB4!X:X,MATCH(A42,[1]AB4!Y:Y,0))))))</f>
        <v/>
      </c>
      <c r="AB42" s="29"/>
      <c r="AC42" s="29"/>
    </row>
    <row r="43" spans="1:29" ht="42.75" customHeight="1" thickBot="1" x14ac:dyDescent="0.25">
      <c r="A43" s="15" t="str">
        <f>IF(C36="","",CONCATENATE(C37,[1]AB5!$A$11))</f>
        <v>S19D</v>
      </c>
      <c r="B43" s="30" t="str">
        <f>IF(C36="","",[1]AB5!$B$66)</f>
        <v>No. of TGT</v>
      </c>
      <c r="C43" s="31" t="str">
        <f t="array" ref="C43">IF(C36="","",IF(C41="Futures","",IF(C41="Options Sell",INDEX([1]AB2!K:K,MATCH(C36,[1]AB2!A:A,0)))))</f>
        <v>APS</v>
      </c>
      <c r="D43" s="32"/>
      <c r="E43" s="33"/>
      <c r="F43" s="34"/>
      <c r="G43" s="35" t="str">
        <f t="array" ref="G43">IF(C36="","",IF(C41="Futures","",IF(C41="Options Sell",CONCATENATE("( ",INDEX([1]AB4!BT:BT,MATCH(A43,[1]AB4!B:B))," ) &amp; ",INDEX([1]AB4!BW:BW,MATCH(A43,[1]AB4!B:B))," ",INDEX([1]AB4!BX:BX,MATCH(A43,[1]AB4!B:B))," ",INDEX([1]AB4!BY:BY,MATCH(A43,[1]AB4!B:B))),IF(C41="Options Buy",CONCATENATE("( ",INDEX([1]AB4!BP:BP,MATCH(A43,[1]AB4!B:B,0))," ",INDEX([1]AB4!BQ:BQ,MATCH(A43,[1]AB4!B:B,0))," ",TEXT(INDEX([1]AB4!BR:BR,MATCH(A43,[1]AB4!B:B,0)),"0.00%")," ) &amp; ",INDEX([1]AB4!BS:BS,MATCH(A43,[1]AB4!B:B,0)))))))</f>
        <v>( SPT : PRV : 2DLL ) &amp; Round Down - 1</v>
      </c>
      <c r="H43" s="35" t="str">
        <f t="array" ref="H43">IF(C36="","",IF(C41="Futures","",IF(C41="Options Sell",CONCATENATE(INDEX([1]AB4!CG:CG,MATCH(A43,[1]AB4!B:B)),[1]AB5!$H$60,TEXT(INDEX([1]AB4!CH:CH,MATCH(A43,[1]AB4!B:B)),"0.00%")))))</f>
        <v>SPT : PRV : 2DLL * 0.20%</v>
      </c>
      <c r="I43" s="36" t="str">
        <f t="array" ref="I43">IF(C36="","",IF(C41="Futures","",IF(C41="Options Sell",CONCATENATE(INDEX([1]AB4!CJ:CJ,MATCH(A43,[1]AB4!B:B)),[1]AB5!$I$60))))</f>
        <v>1 Exp</v>
      </c>
      <c r="J43" s="33"/>
      <c r="K43" s="34"/>
      <c r="L43" s="37" t="str">
        <f>IF(C36="","",IF(C41="Futures","",IF(C41="Options Sell",[1]AB5!$G$11,IF(C41="Options Buy",[1]AB5!$L$99))))</f>
        <v>SL / TRP</v>
      </c>
      <c r="M43" s="35" t="str">
        <f t="array" ref="M43">IF(C36="","",IF(C41="Futures","",IF(C41="Options Sell",IF(INDEX([1]AB4!AL:AL,MATCH(A43,[1]AB4!B:B,0))="","",CONCATENATE(INDEX([1]AB4!AA:AA,MATCH(A43,[1]AB4!B:B,0))," ( ",INDEX([1]AB4!AE:AE,MATCH(A43,[1]AB4!B:B,0)),INDEX([1]AB4!AF:AF,MATCH(A43,[1]AB4!B:B,0)),TEXT(INDEX([1]AB4!AG:AG,MATCH(A43,[1]AB4!B:B,0)),"0.00%")," &amp; ",INDEX([1]AB4!AK:AK,MATCH(A43,[1]AB4!B:B,0)),INDEX([1]AB4!AJ:AJ,MATCH(A43,[1]AB4!B:B,0)),TEXT(INDEX([1]AB4!AL:AL,MATCH(A43,[1]AB4!B:B,0)),"0.00%")," )")))))</f>
        <v>Min ( CE : Entry  + 60.00% &amp; OPT : PRV : 3DHH + 10.00% )</v>
      </c>
      <c r="N43" s="38">
        <f t="array" ref="N43">IF(C36="","",IF(C41="Futures","",IF(C41="Options Sell",INDEX([1]AB4!AM:AM,MATCH(A43,[1]AB4!B:B,0)))))</f>
        <v>1</v>
      </c>
      <c r="O43" s="35" t="str">
        <f t="array" ref="O43">IF(C36="","",IF(C41="Futures","",IF(C41="Options Sell",IF(INDEX([1]AB4!AO:AO,MATCH(A43,[1]AB4!B:B,0))="","",CONCATENATE(INDEX([1]AB4!AA:AA,MATCH(A43,[1]AB4!B:B,0))," ( ",INDEX([1]AB4!AE:AE,MATCH(A43,[1]AB4!B:B,0))," &amp; ",INDEX([1]AB4!AN:AN,MATCH(A43,[1]AB4!B:B,0)),INDEX([1]AB4!AJ:AJ,MATCH(A43,[1]AB4!B:B,0)),TEXT(INDEX([1]AB4!AO:AO,MATCH(A43,[1]AB4!B:B,0)),"0.00%")," )")))))</f>
        <v/>
      </c>
      <c r="P43" s="39" t="str">
        <f t="array" ref="P43">IF(C36="","",IF(C41="Futures","",IF(C41="Options Sell",IF(INDEX([1]AB4!AO:AO,MATCH(A43,[1]AB4!B:B,0))="","",INDEX([1]AB4!AP:AP,MATCH(A43,[1]AB4!B:B,0))))))</f>
        <v/>
      </c>
      <c r="Q43" s="40"/>
      <c r="R43" s="35" t="str">
        <f t="array" ref="R43">IF(C36="","",IF(C41="Futures","",IF(C41="Options Sell",IF(INDEX([1]AB4!AR:AR,MATCH(A43,[1]AB4!B:B,0))="","",CONCATENATE(INDEX([1]AB4!AA:AA,MATCH(A43,[1]AB4!B:B,0))," ( ",INDEX([1]AB4!AE:AE,MATCH(A43,[1]AB4!B:B,0))," &amp; ",INDEX([1]AB4!AQ:AQ,MATCH(A43,[1]AB4!B:B,0)),INDEX([1]AB4!AJ:AJ,MATCH(A43,[1]AB4!B:B,0)),TEXT(INDEX([1]AB4!AR:AR,MATCH(A43,[1]AB4!B:B,0)),"0.00%")," )")))))</f>
        <v/>
      </c>
      <c r="S43" s="38" t="str">
        <f t="array" ref="S43">IF(C36="","",IF(C41="Futures","",IF(C41="Options Sell",IF(INDEX([1]AB4!AR:AR,MATCH(A43,[1]AB4!B:B,0))="","",INDEX([1]AB4!AS:AS,MATCH(A43,[1]AB4!B:B,0))))))</f>
        <v/>
      </c>
      <c r="T43" s="35" t="str">
        <f t="array" ref="T43">IF(C36="","",IF(C41="Futures","",IF(C41="Options Sell",IF(INDEX([1]AB4!AU:AU,MATCH(A43,[1]AB4!B:B))="","",CONCATENATE(INDEX([1]AB4!AA:AA,MATCH(A43,[1]AB4!B:B))," ( ",INDEX([1]AB4!AE:AE,MATCH(A43,[1]AB4!B:B))," &amp; ",INDEX([1]AB4!AT:AT,MATCH(A43,[1]AB4!B:B)),INDEX([1]AB4!AJ:AJ,MATCH(A43,[1]AB4!B:B)),TEXT(INDEX([1]AB4!AU:AU,MATCH(A43,[1]AB4!B:B)),"0.00%")," )")))))</f>
        <v/>
      </c>
      <c r="U43" s="38" t="str">
        <f t="array" ref="U43">IF(C36="","",IF(C41="Futures","",IF(C41="Options Sell",IF(INDEX([1]AB4!AU:AU,MATCH(A43,[1]AB4!B:B,0))="","",INDEX([1]AB4!AV:AV,MATCH(A43,[1]AB4!B:B,0))))))</f>
        <v/>
      </c>
      <c r="V43" s="35" t="str">
        <f t="array" ref="V43">IF(C42="","",IF(C41="Futures","",IF(C41="Options Sell",IF(INDEX([1]AB4!AX:AX,MATCH(A43,[1]AB4!B:B,0))="","",CONCATENATE(INDEX([1]AB4!AA:AA,MATCH(A43,[1]AB4!B:B,0))," ( ",INDEX([1]AB4!AE:AE,MATCH(A43,[1]AB4!B:B,0))," &amp; ",INDEX([1]AB4!AW:AW,MATCH(A43,[1]AB4!B:B,0)),INDEX([1]AB4!AJ:AJ,MATCH(A43,[1]AB4!B:B,0)),TEXT(INDEX([1]AB4!AX:AX,MATCH(A43,[1]AB4!B:B,0)),"0.00%")," )")))))</f>
        <v/>
      </c>
      <c r="W43" s="38" t="str">
        <f t="array" ref="W43">IF(C36="","",IF(C41="Futures","",IF(C41="Options Sell",IF(INDEX([1]AB4!AX:AX,MATCH(A43,[1]AB4!B:B,0))="","",INDEX([1]AB4!AY:AY,MATCH(A43,[1]AB4!B:B,0))))))</f>
        <v/>
      </c>
      <c r="X43" s="35" t="str">
        <f t="array" ref="X43">IF(C36="","",IF(C41="Futures","",IF(C41="Options Sell",IF(INDEX([1]AB4!BA:BA,MATCH(A43,[1]AB4!B:B,0))="","",CONCATENATE(INDEX([1]AB4!AA:AA,MATCH(A43,[1]AB4!B:B,0))," ( ",INDEX([1]AB4!AE:AE,MATCH(A43,[1]AB4!B:B,0))," &amp; ",INDEX([1]AB4!AW:AW,MATCH(A43,[1]AB4!B:B,0)),INDEX([1]AB4!AJ:AJ,MATCH(A43,[1]AB4!B:B,0)),TEXT(INDEX([1]AB4!AX:AX,MATCH(A43,[1]AB4!B:B,0)),"0.00%")," )")))))</f>
        <v/>
      </c>
      <c r="Y43" s="38" t="str">
        <f t="array" ref="Y43">IF(C36="","",IF(C41="Futures","",IF(C41="Options Sell",IF(INDEX([1]AB4!BA:BA,MATCH(A43,[1]AB4!B:B,0))="","",INDEX([1]AB4!AY:AY,MATCH(A43,[1]AB4!B:B,0))))))</f>
        <v/>
      </c>
      <c r="Z43" s="41">
        <f t="array" ref="Z43">IF(C36="","",IF(C41="Futures","",IF(C41="Options Sell",IF(INDEX([1]AB4!BD:BD,MATCH(A42,[1]AB4!B:B,0))="","",INDEX([1]AB4!AZ:AZ,MATCH(A42,[1]AB4!B:B,0))))))</f>
        <v>0</v>
      </c>
      <c r="AA43" s="42">
        <f t="array" ref="AA43">IF(C42="","",IF(C41="Futures","",IF(C41="Options Sell",IF(INDEX([1]AB4!BD:BD,MATCH(A43,[1]AB4!B:B,0))="","",INDEX([1]AB4!BB:BB,MATCH(A43,[1]AB4!B:B,0))))))</f>
        <v>0</v>
      </c>
      <c r="AB43" s="29"/>
      <c r="AC43" s="29"/>
    </row>
    <row r="44" spans="1:29" ht="6.75" customHeight="1" thickBot="1" x14ac:dyDescent="0.25">
      <c r="A44" s="15" t="str">
        <f>IF(C36="","",CONCATENATE(C37,[1]AB5!A40))</f>
        <v>S19</v>
      </c>
      <c r="B44" s="56" t="str">
        <f>IF(C36="","",IF(C41="Futures","",IF(C41="Options Sell",[1]AB5!$B$67)))</f>
        <v>I Commit To Follow The Rules &amp; Process</v>
      </c>
      <c r="C44" s="57"/>
      <c r="D44" s="32"/>
      <c r="E44" s="33"/>
      <c r="F44" s="45"/>
      <c r="G44" s="46"/>
      <c r="H44" s="46"/>
      <c r="I44" s="47"/>
      <c r="J44" s="33"/>
      <c r="K44" s="45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29"/>
      <c r="AC44" s="29"/>
    </row>
    <row r="45" spans="1:29" ht="42.75" customHeight="1" x14ac:dyDescent="0.2">
      <c r="A45" s="15" t="str">
        <f>IF(C36="","",CONCATENATE(C37,[1]AB5!$A$13))</f>
        <v>S19E</v>
      </c>
      <c r="B45" s="32"/>
      <c r="C45" s="33"/>
      <c r="D45" s="32"/>
      <c r="E45" s="33"/>
      <c r="F45" s="50" t="str">
        <f>IF(C36="","",IF(C41="Futures","",IF(C41="Options Sell",[1]AB5!$F$68)))</f>
        <v>Put</v>
      </c>
      <c r="G45" s="20" t="str">
        <f t="array" ref="G45">IF(C36="","",IF(C41="Futures","",IF(C41="Options Sell",CONCATENATE("( ",INDEX([1]AB4!BP:BP,MATCH(A45,[1]AB4!B:B))," ",INDEX([1]AB4!BQ:BQ,MATCH(A45,[1]AB4!B:B))," ",TEXT(INDEX([1]AB4!BR:BR,MATCH(A45,[1]AB4!B:B)),"0.00%")," ) &amp; ",INDEX([1]AB4!BS:BS,MATCH(A45,[1]AB4!B:B))),IF(C41="Options Buy",CONCATENATE("( ",INDEX([1]AB4!BP:BP,MATCH(A45,[1]AB4!B:B,0))," ",INDEX([1]AB4!BQ:BQ,MATCH(A45,[1]AB4!B:B,0))," ",TEXT(INDEX([1]AB4!BR:BR,MATCH(A45,[1]AB4!B:B,0)),"0.00%")," ) &amp; ",INDEX([1]AB4!BS:BS,MATCH(A45,[1]AB4!B:B,0)))))))</f>
        <v>( SPT : PRV : 3DHH - 2.00% ) &amp; Round Up</v>
      </c>
      <c r="H45" s="20" t="str">
        <f t="array" ref="H45">IF(C36="","",IF(C41="Futures","",IF(C41="Options Sell",CONCATENATE(INDEX([1]AB4!CE:CE,MATCH(A45,[1]AB4!B:B)),[1]AB5!$H$59,TEXT(INDEX([1]AB4!CF:CF,MATCH(A45,[1]AB4!B:B)),"0.00%")))))</f>
        <v>SPT : PRV : 3DHH * 0.40%</v>
      </c>
      <c r="I45" s="21" t="str">
        <f t="array" ref="I45">IF(C36="","",IF(C41="Futures","",IF(C41="Options Sell",CONCATENATE(INDEX([1]AB4!CI:CI,MATCH(A45,[1]AB4!B:B)),[1]AB5!$I$59))))</f>
        <v>100 Lots</v>
      </c>
      <c r="J45" s="33"/>
      <c r="K45" s="50" t="str">
        <f>IF(C36="","",IF(C41="Futures","",IF(C41="Options Sell",[1]AB5!$K$68,IF(C41="Options Buy",[1]AB5!$K$101))))</f>
        <v>Put</v>
      </c>
      <c r="L45" s="23" t="str">
        <f>IF(C36="","",IF(C41="Futures","",IF(C41="Options Sell",[1]AB5!$G$13,IF(C41="Options Buy",[1]AB5!$L$101))))</f>
        <v>E &amp; T</v>
      </c>
      <c r="M45" s="20" t="str">
        <f t="array" ref="M45">IF(C36="","",IF(C41="Futures","",IF(C41="Options Sell",CONCATENATE(INDEX([1]AB4!G:G,MATCH(A45,[1]AB4!B:B,0)),INDEX([1]AB4!H:H,MATCH(A45,[1]AB4!B:B,0)),TEXT(INDEX([1]AB4!I:I,MATCH(A45,[1]AB4!B:B,0)),"0.00%")))))</f>
        <v>OPT : PRV : 3DLL - 7.50%</v>
      </c>
      <c r="N45" s="24">
        <f t="array" ref="N45">IF(C36="","",IF(C41="Futures","",IF(C41="Options Sell",INDEX([1]AB4!J:J,MATCH(A45,[1]AB4!B:B,0)))))</f>
        <v>1</v>
      </c>
      <c r="O45" s="25" t="str">
        <f t="array" ref="O45">IF(C36="","",IF(C41="Futures","",IF(C41="Options Sell",IF(INDEX([1]AB4!N:N,MATCH(A45,[1]AB4!B:B,0))="","",CONCATENATE(INDEX([1]AB4!L:L,MATCH(A45,[1]AB4!B:B,0)),INDEX([1]AB4!M:M,MATCH(A45,[1]AB4!B:B,0)),TEXT(INDEX([1]AB4!N:N,MATCH(A45,[1]AB4!B:B,0)),"0.00%"))))))</f>
        <v>PE : Entry  - 60.00%</v>
      </c>
      <c r="P45" s="26">
        <f t="array" ref="P45">IF(C36="","",IF(C41="Futures","",IF(C41="Options Sell",IF(INDEX([1]AB4!N:N,MATCH(A45,[1]AB4!B:B,0))="","",INDEX([1]AB4!O:O,MATCH(A45,[1]AB4!B:B,0))))))</f>
        <v>1</v>
      </c>
      <c r="Q45" s="27"/>
      <c r="R45" s="25" t="str">
        <f t="array" ref="R45">IF(C36="","",IF(C41="Futures","",IF(C41="Options Sell",IF(INDEX([1]AB4!P:P,MATCH(A45,[1]AB4!B:B,0))="","",CONCATENATE(INDEX([1]AB4!L:L,MATCH(A45,[1]AB4!B:B,0)),INDEX([1]AB4!M:M,MATCH(A45,[1]AB4!B:B,0)),TEXT(INDEX([1]AB4!P:P,MATCH(A45,[1]AB4!B:B,0)),"0.00%"))))))</f>
        <v/>
      </c>
      <c r="S45" s="24" t="str">
        <f t="array" ref="S45">IF(C36="","",IF(C41="Futures","",IF(C41="Options Sell",IF(INDEX([1]AB4!P:P,MATCH(A45,[1]AB4!B:B,0))="","",INDEX([1]AB4!Q:Q,MATCH(A45,[1]AB4!B:B,0))))))</f>
        <v/>
      </c>
      <c r="T45" s="25" t="str">
        <f t="array" ref="T45">IF(C36="","",IF(C41="Futures","",IF(C41="Options Sell",IF(INDEX([1]AB4!R:R,MATCH(A45,[1]AB4!B:B,0))="","",CONCATENATE(INDEX([1]AB4!L:L,MATCH(A45,[1]AB4!B:B,0)),INDEX([1]AB4!M:M,MATCH(A45,[1]AB4!B:B,0)),TEXT(INDEX([1]AB4!R:R,MATCH(A45,[1]AB4!B:B,0)),"0.00%"))))))</f>
        <v/>
      </c>
      <c r="U45" s="24" t="str">
        <f t="array" ref="U45">IF(C36="","",IF(C41="Futures","",IF(C41="Options Sell",IF(INDEX([1]AB4!R:R,MATCH(A45,[1]AB4!B:B,0))="","",INDEX([1]AB4!S:S,MATCH(A45,[1]AB4!B:B,0))))))</f>
        <v/>
      </c>
      <c r="V45" s="25" t="str">
        <f t="array" ref="V45">IF(C45="","",IF(C41="Futures","",IF(C41="Options Sell",IF(INDEX([1]AB4!T:T,MATCH(A45,[1]AB4!B:B,0))="","",CONCATENATE(INDEX([1]AB4!L:L,MATCH(A45,[1]AB4!B:B,0)),INDEX([1]AB4!M:M,MATCH(A45,[1]AB4!B:B,0)),TEXT(INDEX([1]AB4!T:T,MATCH(A45,[1]AB4!B:B,0)),"0.00%"))))))</f>
        <v/>
      </c>
      <c r="W45" s="24" t="str">
        <f t="array" ref="W45">IF(C36="","",IF(C41="Futures","",IF(C41="Options Sell",IF(INDEX([1]AB4!T:T,MATCH(A45,[1]AB4!B:B,0))="","",INDEX([1]AB4!U:U,MATCH(A45,[1]AB4!B:B,0))))))</f>
        <v/>
      </c>
      <c r="X45" s="25" t="str">
        <f t="array" ref="X45">IF(C36="","",IF(C41="Futures","",IF(C41="Options Sell",IF(INDEX([1]AB4!V:V,MATCH(A45,[1]AB4!B:B,0))="","",INDEX([1]AB4!V:V,MATCH(A45,[1]AB4!B:B,0))))))</f>
        <v/>
      </c>
      <c r="Y45" s="24" t="str">
        <f t="array" ref="Y45">IF(C36="","",IF(C41="Futures","",IF(C41="Options Sell",IF(INDEX([1]AB4!V:V,MATCH(A45,[1]AB4!B:B,0))="","",INDEX([1]AB4!W:W,MATCH(A45,[1]AB4!B:B,0))))))</f>
        <v/>
      </c>
      <c r="Z45" s="25" t="str">
        <f t="array" ref="Z45">IF(C36="","",IF(C41="Futures","",IF(C41="Options Sell",IF(INDEX([1]AB4!X:X,MATCH(A45,[1]AB4!B:B,0))="","",INDEX([1]AB4!X:X,MATCH(A45,[1]AB4!B:B,0))))))</f>
        <v/>
      </c>
      <c r="AA45" s="28" t="str">
        <f t="array" ref="AA45">IF(C36="","",IF(C41="Futures","",IF(C41="Options Sell",IF(INDEX([1]AB4!X:X,MATCH(A45,[1]AB4!B:B,0))="","",INDEX([1]AB4!X:X,MATCH(A45,[1]AB4!Y:Y,0))))))</f>
        <v/>
      </c>
      <c r="AB45" s="29"/>
      <c r="AC45" s="29"/>
    </row>
    <row r="46" spans="1:29" ht="42.75" customHeight="1" thickBot="1" x14ac:dyDescent="0.25">
      <c r="A46" s="15" t="str">
        <f>IF(C36="","",CONCATENATE(C37,[1]AB5!$A$14))</f>
        <v>S19E</v>
      </c>
      <c r="B46" s="34"/>
      <c r="C46" s="53"/>
      <c r="D46" s="34"/>
      <c r="E46" s="53"/>
      <c r="F46" s="34"/>
      <c r="G46" s="35" t="str">
        <f t="array" ref="G46">IF(C36="","",IF(C41="Futures","",IF(C41="Options Sell",CONCATENATE("( ",INDEX([1]AB4!BT:BT,MATCH(A46,[1]AB4!B:B))," ) &amp; ",INDEX([1]AB4!BW:BW,MATCH(A46,[1]AB4!B:B))," ",INDEX([1]AB4!BX:BX,MATCH(A46,[1]AB4!B:B))," ",INDEX([1]AB4!BY:BY,MATCH(A46,[1]AB4!B:B))),IF(C41="Options Buy",CONCATENATE("( ",INDEX([1]AB4!BP:BP,MATCH(A46,[1]AB4!B:B,0))," ",INDEX([1]AB4!BQ:BQ,MATCH(A46,[1]AB4!B:B,0))," ",TEXT(INDEX([1]AB4!BR:BR,MATCH(A46,[1]AB4!B:B,0)),"0.00%")," ) &amp; ",INDEX([1]AB4!BS:BS,MATCH(A46,[1]AB4!B:B,0)))))))</f>
        <v>( SPT : PRV : 3DHH ) &amp; Round Up + 1</v>
      </c>
      <c r="H46" s="35" t="str">
        <f t="array" ref="H46">IF(C36="","",IF(C41="Futures","",IF(C41="Options Sell",CONCATENATE(INDEX([1]AB4!CG:CG,MATCH(A46,[1]AB4!B:B)),[1]AB5!$H$60,TEXT(INDEX([1]AB4!CH:CH,MATCH(A46,[1]AB4!B:B)),"0.00%")))))</f>
        <v>SPT : PRV : 3DHH * 0.20%</v>
      </c>
      <c r="I46" s="36" t="str">
        <f t="array" ref="I46">IF(C36="","",IF(C41="Futures","",IF(C41="Options Sell",CONCATENATE(INDEX([1]AB4!CJ:CJ,MATCH(A46,[1]AB4!B:B)),[1]AB5!$I$60))))</f>
        <v>1 Exp</v>
      </c>
      <c r="J46" s="53"/>
      <c r="K46" s="34"/>
      <c r="L46" s="37" t="str">
        <f>IF(C36="","",IF(C41="Futures","",IF(C41="Options Sell",[1]AB5!$G$14,IF(C41="Options Buy",[1]AB5!$L$102))))</f>
        <v>SL / TRP</v>
      </c>
      <c r="M46" s="35" t="str">
        <f t="array" ref="M46">IF(C36="","",IF(C41="Futures","",IF(C41="Options Sell",IF(INDEX([1]AB4!AL:AL,MATCH(A46,[1]AB4!B:B,0))="","",CONCATENATE(INDEX([1]AB4!AA:AA,MATCH(A46,[1]AB4!B:B,0))," ( ",INDEX([1]AB4!AE:AE,MATCH(A46,[1]AB4!B:B,0)),INDEX([1]AB4!AF:AF,MATCH(A46,[1]AB4!B:B,0)),TEXT(INDEX([1]AB4!AG:AG,MATCH(A46,[1]AB4!B:B,0)),"0.00%")," &amp; ",INDEX([1]AB4!AK:AK,MATCH(A46,[1]AB4!B:B,0)),INDEX([1]AB4!AJ:AJ,MATCH(A46,[1]AB4!B:B,0)),TEXT(INDEX([1]AB4!AL:AL,MATCH(A46,[1]AB4!B:B,0)),"0.00%")," )")))))</f>
        <v>Min ( PE : Entry  + 60.00% &amp; OPT : PRV : 2DHH + 7.00% )</v>
      </c>
      <c r="N46" s="38">
        <f t="array" ref="N46">IF(C36="","",IF(C41="Futures","",IF(C41="Options Sell",INDEX([1]AB4!AM:AM,MATCH(A46,[1]AB4!B:B,0)))))</f>
        <v>1</v>
      </c>
      <c r="O46" s="35" t="str">
        <f t="array" ref="O46">IF(C36="","",IF(C41="Futures","",IF(C41="Options Sell",IF(INDEX([1]AB4!AO:AO,MATCH(A46,[1]AB4!B:B,0))="","",CONCATENATE(INDEX([1]AB4!AA:AA,MATCH(A46,[1]AB4!B:B,0))," ( ",INDEX([1]AB4!AE:AE,MATCH(A46,[1]AB4!B:B,0))," &amp; ",INDEX([1]AB4!AN:AN,MATCH(A46,[1]AB4!B:B,0)),INDEX([1]AB4!AJ:AJ,MATCH(A46,[1]AB4!B:B,0)),TEXT(INDEX([1]AB4!AO:AO,MATCH(A46,[1]AB4!B:B,0)),"0.00%")," )")))))</f>
        <v/>
      </c>
      <c r="P46" s="39" t="str">
        <f t="array" ref="P46">IF(C36="","",IF(C41="Futures","",IF(C41="Options Sell",IF(INDEX([1]AB4!AO:AO,MATCH(A46,[1]AB4!B:B,0))="","",INDEX([1]AB4!AP:AP,MATCH(A46,[1]AB4!B:B,0))))))</f>
        <v/>
      </c>
      <c r="Q46" s="40"/>
      <c r="R46" s="35" t="str">
        <f t="array" ref="R46">IF(C36="","",IF(C41="Futures","",IF(C41="Options Sell",IF(INDEX([1]AB4!AR:AR,MATCH(A46,[1]AB4!B:B,0))="","",CONCATENATE(INDEX([1]AB4!AA:AA,MATCH(A46,[1]AB4!B:B,0))," ( ",INDEX([1]AB4!AE:AE,MATCH(A46,[1]AB4!B:B,0))," &amp; ",INDEX([1]AB4!AQ:AQ,MATCH(A46,[1]AB4!B:B,0)),INDEX([1]AB4!AJ:AJ,MATCH(A46,[1]AB4!B:B,0)),TEXT(INDEX([1]AB4!AR:AR,MATCH(A46,[1]AB4!B:B,0)),"0.00%")," )")))))</f>
        <v/>
      </c>
      <c r="S46" s="38" t="str">
        <f t="array" ref="S46">IF(C36="","",IF(C41="Futures","",IF(C41="Options Sell",IF(INDEX([1]AB4!AR:AR,MATCH(A46,[1]AB4!B:B,0))="","",INDEX([1]AB4!AS:AS,MATCH(A46,[1]AB4!B:B,0))))))</f>
        <v/>
      </c>
      <c r="T46" s="35" t="str">
        <f t="array" ref="T46">IF(C36="","",IF(C41="Futures","",IF(C41="Options Sell",IF(INDEX([1]AB4!AU:AU,MATCH(A46,[1]AB4!B:B))="","",CONCATENATE(INDEX([1]AB4!AA:AA,MATCH(A46,[1]AB4!B:B))," ( ",INDEX([1]AB4!AE:AE,MATCH(A46,[1]AB4!B:B))," &amp; ",INDEX([1]AB4!AT:AT,MATCH(A46,[1]AB4!B:B)),INDEX([1]AB4!AJ:AJ,MATCH(A46,[1]AB4!B:B)),TEXT(INDEX([1]AB4!AU:AU,MATCH(A46,[1]AB4!B:B)),"0.00%")," )")))))</f>
        <v/>
      </c>
      <c r="U46" s="38" t="str">
        <f t="array" ref="U46">IF(C36="","",IF(C41="Futures","",IF(C41="Options Sell",IF(INDEX([1]AB4!AU:AU,MATCH(A46,[1]AB4!B:B,0))="","",INDEX([1]AB4!AV:AV,MATCH(A46,[1]AB4!B:B,0))))))</f>
        <v/>
      </c>
      <c r="V46" s="35" t="str">
        <f t="array" ref="V46">IF(C45="","",IF(C41="Futures","",IF(C41="Options Sell",IF(INDEX([1]AB4!AX:AX,MATCH(A46,[1]AB4!B:B,0))="","",CONCATENATE(INDEX([1]AB4!AA:AA,MATCH(A46,[1]AB4!B:B,0))," ( ",INDEX([1]AB4!AE:AE,MATCH(A46,[1]AB4!B:B,0))," &amp; ",INDEX([1]AB4!AW:AW,MATCH(A46,[1]AB4!B:B,0)),INDEX([1]AB4!AJ:AJ,MATCH(A46,[1]AB4!B:B,0)),TEXT(INDEX([1]AB4!AX:AX,MATCH(A46,[1]AB4!B:B,0)),"0.00%")," )")))))</f>
        <v/>
      </c>
      <c r="W46" s="38" t="str">
        <f t="array" ref="W46">IF(C36="","",IF(C41="Futures","",IF(C41="Options Sell",IF(INDEX([1]AB4!AX:AX,MATCH(A46,[1]AB4!B:B,0))="","",INDEX([1]AB4!AY:AY,MATCH(A46,[1]AB4!B:B,0))))))</f>
        <v/>
      </c>
      <c r="X46" s="35" t="str">
        <f t="array" ref="X46">IF(C36="","",IF(C41="Futures","",IF(C41="Options Sell",IF(INDEX([1]AB4!BA:BA,MATCH(A46,[1]AB4!B:B,0))="","",CONCATENATE(INDEX([1]AB4!AA:AA,MATCH(A46,[1]AB4!B:B,0))," ( ",INDEX([1]AB4!AE:AE,MATCH(A46,[1]AB4!B:B,0))," &amp; ",INDEX([1]AB4!AW:AW,MATCH(A46,[1]AB4!B:B,0)),INDEX([1]AB4!AJ:AJ,MATCH(A46,[1]AB4!B:B,0)),TEXT(INDEX([1]AB4!AX:AX,MATCH(A46,[1]AB4!B:B,0)),"0.00%")," )")))))</f>
        <v/>
      </c>
      <c r="Y46" s="38" t="str">
        <f t="array" ref="Y46">IF(C36="","",IF(C41="Futures","",IF(C41="Options Sell",IF(INDEX([1]AB4!BA:BA,MATCH(A46,[1]AB4!B:B,0))="","",INDEX([1]AB4!AY:AY,MATCH(A46,[1]AB4!B:B,0))))))</f>
        <v/>
      </c>
      <c r="Z46" s="41">
        <f t="array" ref="Z46">IF(C36="","",IF(C41="Futures","",IF(C41="Options Sell",IF(INDEX([1]AB4!BD:BD,MATCH(A45,[1]AB4!B:B,0))="","",INDEX([1]AB4!AZ:AZ,MATCH(A45,[1]AB4!B:B,0))))))</f>
        <v>0</v>
      </c>
      <c r="AA46" s="42">
        <f t="array" ref="AA46">IF(C36="","",IF(C41="Futures","",IF(C41="Options Sell",IF(INDEX([1]AB4!BD:BD,MATCH(A46,[1]AB4!B:B,0))="","",INDEX([1]AB4!BB:BB,MATCH(A46,[1]AB4!B:B,0))))))</f>
        <v>0</v>
      </c>
      <c r="AB46" s="29"/>
      <c r="AC46" s="29"/>
    </row>
    <row r="47" spans="1:29" ht="15.75" customHeight="1" thickBot="1" x14ac:dyDescent="0.25">
      <c r="A47" s="15"/>
      <c r="B47" s="54"/>
      <c r="C47" s="54"/>
      <c r="D47" s="54"/>
      <c r="E47" s="54"/>
      <c r="F47" s="54"/>
      <c r="G47" s="54"/>
      <c r="H47" s="54"/>
      <c r="I47" s="54"/>
      <c r="J47" s="54"/>
      <c r="K47" s="15"/>
      <c r="L47" s="58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15"/>
      <c r="AB47" s="60"/>
      <c r="AC47" s="60"/>
    </row>
    <row r="48" spans="1:29" ht="44.25" customHeight="1" thickBot="1" x14ac:dyDescent="0.25">
      <c r="A48" s="15"/>
      <c r="B48" s="61" t="str">
        <f>IF(C36="","",IF(C41="Futures","",IF(C41="Options Sell",[1]AB5!$B$71,IF(C41="Options Buy",[1]AB5!$B$104))))</f>
        <v>For Entry</v>
      </c>
      <c r="C48" s="62"/>
      <c r="D48" s="63" t="str">
        <f>IF(C36="","",IF(C41="Futures","",IF(C41="Options Sell",[1]AB5!$D$71,IF(C41="Options Buy",[1]AB5!$D$104))))</f>
        <v>Gap Check</v>
      </c>
      <c r="E48" s="64" t="str">
        <f>IF(C36="","",IF(C41="Futures","",IF(C41="Options Sell",[1]AB5!$E$71,IF(C41="Options Buy",[1]AB5!$E$104))))</f>
        <v>Process</v>
      </c>
      <c r="F48" s="65"/>
      <c r="G48" s="66" t="str">
        <f>IF(C36="","",IF(C41="Futures","",IF(C41="Options Sell",[1]AB5!$G$71,IF(C41="Options Buy",[1]AB5!$G$104))))</f>
        <v>Yes / No</v>
      </c>
      <c r="H48" s="67" t="str">
        <f>IF(C36="","",IF(C41="Futures","",IF(C41="Options Sell",[1]AB5!$H$71,IF(C41="Options Buy",[1]AB5!$H$104))))</f>
        <v>Order Status</v>
      </c>
      <c r="I48" s="68" t="str">
        <f>IF(C36="","",IF(C41="Futures","",IF(C41="Options Sell",[1]AB5!$I$71,IF(C41="Options Buy",[1]AB5!$D$92))))</f>
        <v>Step 1</v>
      </c>
      <c r="J48" s="69" t="str">
        <f>IF(C36="","",IF(C41="Futures","",IF(C41="Options Sell",[1]AB5!$J$71,IF(C41="Options Buy",[1]AB5!$J$104))))</f>
        <v>Order Placement Timings</v>
      </c>
      <c r="K48" s="65"/>
      <c r="L48" s="70" t="str">
        <f>IF(C36="","",IF(C41="Futures","",IF(C41="Options Sell",[1]AB5!$L$71,IF(C41="Options Buy",[1]AB5!$L$104))))</f>
        <v>Time</v>
      </c>
      <c r="M48" s="68" t="str">
        <f>IF(C36="","",IF(C41="Futures","",IF(C41="Options Sell",[1]AB5!$M$71,IF(C41="Options Buy",[1]AB5!$M$104))))</f>
        <v>Rules For Gap = Step 1 Start Strike</v>
      </c>
      <c r="N48" s="66" t="str">
        <f>IF(C36="","",IF(C41="Futures","",IF(C41="Options Sell",[1]AB5!$N$71,IF(C41="Options Buy",[1]AB5!$N$104))))</f>
        <v>Start Strike Buffer</v>
      </c>
      <c r="O48" s="68" t="str">
        <f>IF(C36="","",IF(C41="Futures","",IF(C41="Options Sell",[1]AB5!$O$71,IF(C41="Options Buy",[1]AB5!$O$104))))</f>
        <v>Rules For Gap = Step 2 End Strike</v>
      </c>
      <c r="P48" s="69" t="str">
        <f>IF(C36="","",IF(C41="Futures","",IF(C41="Options Sell",[1]AB5!$P$71,IF(C41="Options Buy",[1]AB5!$P$104))))</f>
        <v>End Strike Buffer</v>
      </c>
      <c r="Q48" s="65"/>
      <c r="R48" s="65"/>
      <c r="S48" s="71" t="str">
        <f>IF(C36="","",IF(C41="Futures","",IF(C41="Options Sell",[1]AB5!$S$71,IF(C41="Options Buy",[1]AB5!$S$104))))</f>
        <v>Data</v>
      </c>
      <c r="T48" s="72" t="str">
        <f>IF(C36="","",IF(C41="Futures","",IF(C41="Options Sell",[1]AB5!$T$71,IF(C41="Options Buy",[1]AB5!$T$104))))</f>
        <v xml:space="preserve"> Ideal Premium</v>
      </c>
      <c r="U48" s="65"/>
      <c r="V48" s="68" t="str">
        <f>IF(C36="","",IF(C41="Futures","",IF(C41="Options Sell",[1]AB5!$V$71,IF(C41="Options Buy",[1]AB5!$V$104))))</f>
        <v>Minimum Premium</v>
      </c>
      <c r="W48" s="68" t="str">
        <f>IF(C36="","",IF(C41="Futures","",IF(C41="Options Sell",[1]AB5!$W$71,IF(C41="Options Buy",[1]AB5!$W$104))))</f>
        <v>Minimum OI</v>
      </c>
      <c r="X48" s="73" t="str">
        <f>IF(C36="","",IF(C41="Futures","",IF(C41="Options Sell",[1]AB5!$X$71,IF(C41="Options Buy",[1]AB5!$X$104))))</f>
        <v>Rules For Gap = Step 3 Revised Option Entry</v>
      </c>
      <c r="Y48" s="65"/>
      <c r="Z48" s="68" t="str">
        <f>IF(C36="","",IF(C41="Futures","",IF(C41="Options Sell",[1]AB5!$Z$71,[1]AB5!$Z$104)))</f>
        <v>Data</v>
      </c>
      <c r="AA48" s="74" t="str">
        <f>IF(C36="","",IF(C41="Futures","",IF(C41="Options Sell",[1]AB5!$AA$71,IF(C41="Options Buy",[1]AB5!$AA$104))))</f>
        <v>Buffer</v>
      </c>
      <c r="AB48" s="75"/>
      <c r="AC48" s="75"/>
    </row>
    <row r="49" spans="1:29" ht="44.25" customHeight="1" x14ac:dyDescent="0.2">
      <c r="A49" s="15" t="str">
        <f>IF(C36="","",CONCATENATE(C37,[1]AB5!$A$4))</f>
        <v>S19A</v>
      </c>
      <c r="B49" s="76" t="str">
        <f>IF(C36="","",IF(C41="Futures","",IF(C41="Options Sell",[1]AB5!$B$72,IF(C41="Options Buy",[1]AB5!$B$105))))</f>
        <v xml:space="preserve">ORPT </v>
      </c>
      <c r="C49" s="77" t="str">
        <f>IF(C36="","",IF(C41="Futures","",IF(C41="Options Sell",[1]AB5!$C$72,IF(C41="Options Buy",[1]AB5!$C$105))))</f>
        <v xml:space="preserve"> RC. Time</v>
      </c>
      <c r="D49" s="18" t="str">
        <f>IF(C36="","",IF(C41="Futures","",IF(C41="Options Sell",[1]AB5!$D$72,IF(C41="Options Buy",[1]AB5!$D$105))))</f>
        <v>For Call Sell Entry</v>
      </c>
      <c r="E49" s="78" t="str">
        <f>IF(C36="","",IF(C41="Futures","",IF(C41="Options Sell",CONCATENATE([1]AB5!$E$72,TEXT(B50,"HH:MM:SS AM/PM"),[1]AB5!$F$72))))</f>
        <v>Check If 09:09:59 AM LL &lt; Call Sell Entry</v>
      </c>
      <c r="F49" s="79"/>
      <c r="G49" s="80" t="str">
        <f>IF(C36="","",IF(C41="Futures","",IF(C41="Options Sell",[1]AB5!$G$72,IF(C41="Options Buy",[1]AB5!$G$105))))</f>
        <v>No</v>
      </c>
      <c r="H49" s="81" t="str">
        <f>IF(C36="","",IF(C41="Futures","",IF(C41="Options Sell",[1]AB5!$H$72)))</f>
        <v>Entry Not Missed</v>
      </c>
      <c r="I49" s="82" t="str">
        <f>IF(C36="","",IF(C41="Futures","",IF(C41="Options Sell",[1]AB5!$I$72)))</f>
        <v>Place the Order at ORPT</v>
      </c>
      <c r="J49" s="83" t="str">
        <f>IF(C36="","",IF(C41="Futures","",IF(C41="Options Sell",[1]AB5!$J$72)))</f>
        <v>ORPT Time</v>
      </c>
      <c r="K49" s="27"/>
      <c r="L49" s="84">
        <f>IF(C36="","",IF(C41="Futures","",IF(C41="Options Sell",B50)))</f>
        <v>0.38193749999999999</v>
      </c>
      <c r="M49" s="85" t="str">
        <f>IF(C36="","",IF(C41="Futures","",IF(C41="Options Sell",[1]AB5!$M$72)))</f>
        <v>N.A.</v>
      </c>
      <c r="N49" s="86" t="str">
        <f>IF(C36="","",IF(C41="Futures","",IF(C41="Options Sell",[1]AB5!$N$72)))</f>
        <v>N.A.</v>
      </c>
      <c r="O49" s="85" t="str">
        <f>IF(C36="","",IF(C41="Futures","",IF(C41="Options Sell",[1]AB5!$O$72)))</f>
        <v>N.A.</v>
      </c>
      <c r="P49" s="87" t="str">
        <f>IF(C36="","",IF(C41="Futures","",IF(C41="Options Sell",[1]AB5!$P$72)))</f>
        <v>N.A.</v>
      </c>
      <c r="Q49" s="88"/>
      <c r="R49" s="27"/>
      <c r="S49" s="89" t="str">
        <f>IF(C36="","",IF(C41="Futures","",IF(C41="Options Sell",[1]AB5!$S$72)))</f>
        <v>N.A.</v>
      </c>
      <c r="T49" s="90" t="str">
        <f>IF(C36="","",IF(C41="Futures","",IF(C41="Options Sell",[1]AB5!$T$72)))</f>
        <v>N.A.</v>
      </c>
      <c r="U49" s="27"/>
      <c r="V49" s="91" t="str">
        <f>IF(C36="","",IF(C41="Futures","",IF(C41="Options Sell",[1]AB5!$V$72)))</f>
        <v>N.A.</v>
      </c>
      <c r="W49" s="91" t="str">
        <f>IF(C36="","",IF(C41="Futures","",IF(C41="Options Sell",[1]AB5!$W$72)))</f>
        <v>N.A.</v>
      </c>
      <c r="X49" s="83" t="str">
        <f>IF(C36="","",IF(C41="Futures","",IF(C41="Options Sell",[1]AB5!$X$72)))</f>
        <v>N.A.</v>
      </c>
      <c r="Y49" s="27"/>
      <c r="Z49" s="89" t="str">
        <f>IF(C36="","",IF(C41="Futures","",IF(C41="Options Sell",[1]AB5!$Z$72)))</f>
        <v>N.A.</v>
      </c>
      <c r="AA49" s="92" t="str">
        <f>IF(C36="","",IF(C41="Futures","",IF(C41="Options Sell",[1]AB5!$AA$72)))</f>
        <v>N.A.</v>
      </c>
      <c r="AB49" s="75"/>
      <c r="AC49" s="75"/>
    </row>
    <row r="50" spans="1:29" ht="57" customHeight="1" x14ac:dyDescent="0.2">
      <c r="A50" s="93" t="str">
        <f>IF(C36="","",CONCATENATE(C37,[1]AB5!$A$7))</f>
        <v>S19B</v>
      </c>
      <c r="B50" s="94">
        <f t="array" ref="B50">IF(C36="","",INDEX([1]AB4!BE:BE,MATCH(A49,[1]AB4!B:B,0)))</f>
        <v>0.38193749999999999</v>
      </c>
      <c r="C50" s="95">
        <f t="array" ref="C50">IF(C36="","", INDEX([1]AB4!BE:BE,MATCH(A50,[1]AB4!B:B,0)))</f>
        <v>0.38540972222222225</v>
      </c>
      <c r="D50" s="32"/>
      <c r="E50" s="96"/>
      <c r="F50" s="97"/>
      <c r="G50" s="98" t="str">
        <f>IF(C36="","",IF(C41="Futures","",IF(C41="Options Sell",[1]AB5!$G$73,IF(C41="Options Buy",[1]AB5!$G$106))))</f>
        <v>Yes</v>
      </c>
      <c r="H50" s="99" t="str">
        <f>IF(C36="","",IF(C41="Futures","",IF(C41="Options Sell",[1]AB5!$H$73)))</f>
        <v>Entry Missed</v>
      </c>
      <c r="I50" s="100" t="str">
        <f>IF(C36="","",IF(C41="Futures","",IF(C41="Options Sell",[1]AB5!$I$73)))</f>
        <v>Recalcuate : Call Sell Entry : Bull / Bull CF</v>
      </c>
      <c r="J50" s="101" t="str">
        <f>IF(C36="","",IF(C41="Futures","",IF(C41="Options Sell",[1]AB5!$J$73)))</f>
        <v>Wait Till Recalculation Time</v>
      </c>
      <c r="K50" s="102"/>
      <c r="L50" s="103">
        <f>IF(C36="","",IF(C41="Futures","",IF(C41="Options Sell",C50)))</f>
        <v>0.38540972222222225</v>
      </c>
      <c r="M50" s="104" t="str">
        <f t="array" ref="M50">IF(C36="","",IF(C41="Futures","",IF(C41="Options Sell",CONCATENATE([1]AB5!$M$73, "( ",INDEX([1]AB4!BP:BP,MATCH(A36,[1]AB4!B:B,0))," &amp; ",S50," ) ",INDEX([1]AB4!BQ:BQ,MATCH(A36,[1]AB4!B:B))," ",N50," ) &amp; ",INDEX([1]AB4!BS:BS,MATCH(A36,[1]AB4!B:B,0))))))</f>
        <v>Min of ( SPT : PRV : 3DLL &amp; 09:14:59 AM LL ) + 2.00% ) &amp; Round Down</v>
      </c>
      <c r="N50" s="105" t="str">
        <f t="array" ref="N50">IF(A36="","",IF(C41="Futures","",IF(C41="Options Sell",TEXT(INDEX([1]AB4!CR:CR,MATCH(A36,[1]AB4!B:B,0)),"0.00%"))))</f>
        <v>2.00%</v>
      </c>
      <c r="O50" s="104" t="str">
        <f t="array" ref="O50">IF(C36="","",IF(C41="Futures","",IF(C41="Options Sell",CONCATENATE([1]AB5!$O$73,"( ",INDEX([1]AB4!BT:BT,MATCH(A36,[1]AB4!B:B,0))," &amp; ",S50," ) &amp; ",INDEX([1]AB4!BW:BW,MATCH(A36,[1]AB4!B:B,0))," ",INDEX([1]AB4!BX:BX,MATCH(A36,[1]AB4!B:B,0))," ",INDEX([1]AB4!BY:BY,MATCH(A36,[1]AB4!B:B,0))))))</f>
        <v>Min of ( SPT : PRV : 3DLL &amp; 09:14:59 AM LL ) &amp; Round Down - 1</v>
      </c>
      <c r="P50" s="106" t="str">
        <f t="array" ref="P50">IF(A36="","",IF(C41="Futures","",IF(C41="Options Sell",IF(INDEX([1]AB4!CS:CS,MATCH(A36,[1]AB4!B:B,0))="","",TEXT(INDEX([1]AB4!CS:CS,MATCH(A36,[1]AB4!B:B,0)),"0.00%")))))</f>
        <v/>
      </c>
      <c r="Q50" s="107"/>
      <c r="R50" s="102"/>
      <c r="S50" s="105" t="str">
        <f>IF(C36="","",IF(C41="Futures","",IF(C41="Options Sell",CONCATENATE(TEXT(L50,"HH:MM:SS AM/PM"),[1]AB5!$S$73))))</f>
        <v>09:14:59 AM LL</v>
      </c>
      <c r="T50" s="101" t="str">
        <f t="array" ref="T50">IF(C36="","",IF(C41="Futures","",IF(C41="Options Sell",CONCATENATE([1]AB5!$T$73,"( ",INDEX([1]AB4!CE:CE,MATCH(A36,[1]AB4!B:B,0))," &amp; ",S50," ) ",[1]AB5!$H$59,TEXT(INDEX([1]AB4!CF:CF,MATCH(A36,[1]AB4!B:B,0)),"0.00%")))))</f>
        <v>Min of ( SPT : PRV : 3DLL &amp; 09:14:59 AM LL )  * 0.40%</v>
      </c>
      <c r="U50" s="102"/>
      <c r="V50" s="104" t="str">
        <f t="array" ref="V50">IF(C36="","",IF(C41="Futures","",IF(C41="Options Sell",CONCATENATE([1]AB5!$V$73,"( ",INDEX([1]AB4!CG:CG,MATCH(A36,[1]AB4!B:B,0))," &amp; ",S50," ) ",[1]AB5!$H$59,TEXT(INDEX([1]AB4!CH:CH,MATCH(A36,[1]AB4!B:B,0)),"0.00%")))))</f>
        <v>Min of ( SPT : PRV : 3DLL &amp; 09:14:59 AM LL )  * 0.20%</v>
      </c>
      <c r="W50" s="104" t="str">
        <f>IF(A36="","",IF(C41="Futures","",IF(C41="Options Sell",I36)))</f>
        <v>100 Lots</v>
      </c>
      <c r="X50" s="101" t="str">
        <f t="array" ref="X50">IF(C36="","",IF(C41="Futures","",IF(C41="Options Sell",CONCATENATE([1]AB5!$X$73,"( ",INDEX([1]AB4!G:G,MATCH(A36,[1]AB4!B:B,0))," &amp; ",Z50," ) ",INDEX([1]AB4!H:H,MATCH(A36,[1]AB4!B:B,0))," ",AA50))))</f>
        <v>Min of ( OPT : PRV : 3DLL &amp; 09:14:59 AM LL )  -  7.50%</v>
      </c>
      <c r="Y50" s="102"/>
      <c r="Z50" s="108" t="str">
        <f>IF(C36="","",IF(C41="Futures","",IF(C41="Options Sell",CONCATENATE(TEXT(L50,"HH:MM:SS AM/PM"),[1]AB5!$S$73))))</f>
        <v>09:14:59 AM LL</v>
      </c>
      <c r="AA50" s="109" t="str">
        <f t="array" ref="AA50">IF(A36="","",IF(C41="Futures","",IF(C41="Options Sell",TEXT(INDEX([1]AB4!BK:BK,MATCH(A36,[1]AB4!B:B,0)),"0.00%"))))</f>
        <v>7.50%</v>
      </c>
      <c r="AB50" s="75"/>
      <c r="AC50" s="75"/>
    </row>
    <row r="51" spans="1:29" ht="57" customHeight="1" thickBot="1" x14ac:dyDescent="0.25">
      <c r="A51" s="15"/>
      <c r="B51" s="110"/>
      <c r="C51" s="111"/>
      <c r="D51" s="112"/>
      <c r="E51" s="12"/>
      <c r="F51" s="13"/>
      <c r="G51" s="14"/>
      <c r="H51" s="14"/>
      <c r="I51" s="100" t="str">
        <f>IF(C36="","",IF(C41="Futures","",IF(C41="Options Sell",[1]AB5!$I$74)))</f>
        <v>Recalcuate : Call Sell Entry : Bear / Bear CF</v>
      </c>
      <c r="J51" s="101" t="str">
        <f>IF(C36="","",IF(C41="Futures","",IF(C41="Options Sell",[1]AB5!$J$74)))</f>
        <v>Wait Till Recalculation Time</v>
      </c>
      <c r="K51" s="102"/>
      <c r="L51" s="103">
        <f>IF(C36="","",IF(C41="Futures","",IF(C41="Options Sell",C50)))</f>
        <v>0.38540972222222225</v>
      </c>
      <c r="M51" s="104" t="str">
        <f t="array" ref="M51">IF(C36="","",IF(C41="Futures","",IF(C41="Options Sell",CONCATENATE([1]AB5!$M$74,"( ",INDEX([1]AB4!BP:BP,MATCH(A42,[1]AB4!B:B,0))," &amp; ",S51," ) ",INDEX([1]AB4!BQ:BQ,MATCH(A42,[1]AB4!B:B,0))," ",N51," ) &amp; ",INDEX([1]AB4!BS:BS,MATCH(A42,[1]AB4!B:B,0))))))</f>
        <v>Min of ( SPT : PRV : 2DLL &amp; 09:14:59 AM LL ) + 2.00% ) &amp; Round Down</v>
      </c>
      <c r="N51" s="105" t="str">
        <f t="array" ref="N51">IF(A36="","",IF(C41="Futures","",IF(C41="Options Sell",TEXT(INDEX([1]AB4!CR:CR,MATCH(A42,[1]AB4!B:B,0)),"0.00%"))))</f>
        <v>2.00%</v>
      </c>
      <c r="O51" s="104" t="str">
        <f t="array" ref="O51">IF(C36="","",IF(C41="Futures","",IF(C41="Options Sell",CONCATENATE([1]AB5!$O$74,"( ",INDEX([1]AB4!BT:BT,MATCH(A42,[1]AB4!B:B,0))," &amp; ",S51," ) &amp; ",INDEX([1]AB4!BW:BW,MATCH(A42,[1]AB4!B:B,0))," ",INDEX([1]AB4!BX:BX,MATCH(A42,[1]AB4!B:B,0))," ",INDEX([1]AB4!BY:BY,MATCH(A42,[1]AB4!B:B,0))))))</f>
        <v>Min of ( SPT : PRV : 2DLL &amp; 09:14:59 AM LL ) &amp; Round Down - 1</v>
      </c>
      <c r="P51" s="106" t="str">
        <f t="array" ref="P51">IF(A36="","",IF(C41="Futures","",IF(C41="Options Sell",IF(INDEX([1]AB4!CS:CS,MATCH(A42,[1]AB4!B:B,0))="","",TEXT(INDEX([1]AB4!CS:CS,MATCH(A42,[1]AB4!B:B,0)),"0.00%")))))</f>
        <v/>
      </c>
      <c r="Q51" s="107"/>
      <c r="R51" s="102"/>
      <c r="S51" s="105" t="str">
        <f>IF(C36="","",IF(C41="Futures","",IF(C41="Options Sell",CONCATENATE(TEXT(L51,"HH:MM:SS AM/PM"),[1]AB5!$S$74))))</f>
        <v>09:14:59 AM LL</v>
      </c>
      <c r="T51" s="101" t="str">
        <f t="array" ref="T51">IF(C36="","",IF(C41="Futures","",IF(C41="Options Sell",CONCATENATE([1]AB5!$T$74," of ( ",INDEX([1]AB4!CE:CE,MATCH(A42,[1]AB4!B:B,0))," &amp; ",S50," ) ",[1]AB5!$H$59,TEXT(INDEX([1]AB4!CF:CF,MATCH(A42,[1]AB4!B:B,0)),"0.00%")))))</f>
        <v>Min of  of ( SPT : PRV : 2DLL &amp; 09:14:59 AM LL )  * 0.40%</v>
      </c>
      <c r="U51" s="102"/>
      <c r="V51" s="104" t="str">
        <f t="array" ref="V51">IF(C36="","",IF(C41="Futures","",IF(C41="Options Sell",CONCATENATE([1]AB5!$V$74,"( ",INDEX([1]AB4!CG:CG,MATCH(A42,[1]AB4!B:B,0))," &amp; ",S51," ) ",[1]AB5!$H$59,TEXT(INDEX([1]AB4!CH:CH,MATCH(A42,[1]AB4!B:B,0)),"0.00%")))))</f>
        <v>Min of ( SPT : PRV : 2DLL &amp; 09:14:59 AM LL )  * 0.20%</v>
      </c>
      <c r="W51" s="104" t="str">
        <f>IF(A36="","",IF(C41="Futures","",IF(C41="Options Sell",I42)))</f>
        <v>100 Lots</v>
      </c>
      <c r="X51" s="101" t="str">
        <f t="array" ref="X51">IF(C36="","",IF(C41="Futures","",IF(C41="Options Sell",CONCATENATE([1]AB5!$X$74,"( ",INDEX([1]AB4!G:G,MATCH(A42,[1]AB4!B:B,0))," &amp; ",Z51," ) ", INDEX([1]AB4!H:H,MATCH(A42,[1]AB4!B:B,0))," ",AA51))))</f>
        <v>Min of ( OPT : PRV : 2DLL &amp; 09:14:59 AM LL )  -  7.50%</v>
      </c>
      <c r="Y51" s="102"/>
      <c r="Z51" s="108" t="str">
        <f>IF(C36="","",IF(C41="Futures","",IF(C41="Options Sell",CONCATENATE(TEXT(L51,"HH:MM:SS AM/PM"), [1]AB5!$S$74))))</f>
        <v>09:14:59 AM LL</v>
      </c>
      <c r="AA51" s="109" t="str">
        <f t="array" ref="AA51">IF(A36="","",IF(C41="Futures","",IF(C41="Options Sell",TEXT(INDEX([1]AB4!BK:BK,MATCH(A42,[1]AB4!B:B,0)),"0.00%"))))</f>
        <v>7.50%</v>
      </c>
      <c r="AB51" s="75"/>
      <c r="AC51" s="75"/>
    </row>
    <row r="52" spans="1:29" ht="44.25" customHeight="1" x14ac:dyDescent="0.2">
      <c r="A52" s="15"/>
      <c r="B52" s="113" t="str">
        <f>IF(C36="","",IF(C41="Futures","",IF(C41="Options Sell",[1]AB5!$B$75,IF(C41="Options Buy",[1]AB5!$B$108))))</f>
        <v>For SL (Position = Open)</v>
      </c>
      <c r="C52" s="114"/>
      <c r="D52" s="115" t="str">
        <f>IF(C36="","",IF(C41="Futures","",IF(C41="Options Sell",[1]AB5!$D$75,IF(C41="Options Buy",[1]AB5!$D$108))))</f>
        <v>For Put Sell Entry</v>
      </c>
      <c r="E52" s="116" t="str">
        <f>IF(C36="","",IF(C41="Futures","",IF(C41="Options Sell",CONCATENATE([1]AB5!$E$75,TEXT(B50,"HH:MM:SS AM/PM"),[1]AB5!$F$75))))</f>
        <v>Check If 09:09:59 AM LL &lt; Put Sell Entry</v>
      </c>
      <c r="F52" s="4"/>
      <c r="G52" s="117" t="str">
        <f>IF(C36="","",IF(C41="Futures","",IF(C41="Options Sell",[1]AB5!$G$75,IF(C41="Options Buy",[1]AB5!$G$108))))</f>
        <v>No</v>
      </c>
      <c r="H52" s="118" t="str">
        <f>IF(C36="","",IF(C41="Futures","",IF(C41="Options Sell",[1]AB5!$H$75)))</f>
        <v>Entry Not Missed</v>
      </c>
      <c r="I52" s="119" t="str">
        <f>IF(C36="","",IF(C41="Futures","",IF(C41="Options Sell",[1]AB5!$I$75)))</f>
        <v>Place the Order at ORPT</v>
      </c>
      <c r="J52" s="120" t="str">
        <f>IF(C36="","",IF(C41="Futures","",IF(C41="Options Sell",[1]AB5!$J$75)))</f>
        <v>ORPT Time</v>
      </c>
      <c r="K52" s="102"/>
      <c r="L52" s="121">
        <f>IF(C36="","",IF(C41="Futures","",IF(C41="Options Sell",B50)))</f>
        <v>0.38193749999999999</v>
      </c>
      <c r="M52" s="118" t="str">
        <f>IF(C36="","",IF(C41="Futures","",IF(C41="Options Sell",[1]AB5!$M$75)))</f>
        <v>N.A.</v>
      </c>
      <c r="N52" s="122" t="str">
        <f>IF(C36="","",IF(C41="Futures","",IF(C41="Options Sell",[1]AB5!$N$75)))</f>
        <v>N.A.</v>
      </c>
      <c r="O52" s="118" t="str">
        <f>IF(C36="","",IF(C41="Futures","",IF(C41="Options Sell",[1]AB5!$O$75)))</f>
        <v>N.A.</v>
      </c>
      <c r="P52" s="123" t="str">
        <f>IF(C36="","",IF(C41="Futures","",IF(C41="Options Sell",[1]AB5!$P$75)))</f>
        <v>N.A.</v>
      </c>
      <c r="Q52" s="107"/>
      <c r="R52" s="102"/>
      <c r="S52" s="118" t="str">
        <f>IF(C36="","",IF(C41="Futures","",IF(C41="Options Sell",[1]AB5!$S$75)))</f>
        <v>N.A.</v>
      </c>
      <c r="T52" s="124" t="str">
        <f>IF(C36="","",IF(C41="Futures","",IF(C41="Options Sell",[1]AB5!$T$75)))</f>
        <v>N.A.</v>
      </c>
      <c r="U52" s="102"/>
      <c r="V52" s="125" t="str">
        <f>IF(C36="","",IF(C41="Futures","",IF(C41="Options Sell",[1]AB5!$V$75)))</f>
        <v>N.A.</v>
      </c>
      <c r="W52" s="125" t="str">
        <f>IF(C36="","",IF(C41="Futures","",IF(C41="Options Sell",[1]AB5!$W$75)))</f>
        <v>N.A.</v>
      </c>
      <c r="X52" s="120" t="str">
        <f>IF(C36="","",IF(C41="Futures","",IF(C41="Options Sell",[1]AB5!$X$75)))</f>
        <v>N.A.</v>
      </c>
      <c r="Y52" s="102"/>
      <c r="Z52" s="126" t="str">
        <f>IF(C36="","",IF(C41="Futures","",IF(C41="Options Sell",[1]AB5!$Z$75)))</f>
        <v>N.A.</v>
      </c>
      <c r="AA52" s="127" t="str">
        <f>IF(C36="","",IF(C41="Futures","",IF(C41="Options Sell",[1]AB5!$AA$75)))</f>
        <v>N.A.</v>
      </c>
      <c r="AB52" s="75"/>
      <c r="AC52" s="75"/>
    </row>
    <row r="53" spans="1:29" ht="57" customHeight="1" x14ac:dyDescent="0.2">
      <c r="A53" s="15" t="str">
        <f>IF(C36="","",CONCATENATE(C37,[1]AB5!$A$4))</f>
        <v>S19A</v>
      </c>
      <c r="B53" s="128" t="str">
        <f>IF(C36="","",IF(C41="Futures","",IF(C41="Options Sell",[1]AB5!$B$76,IF(C41="Options Buy",[1]AB5!$B$109))))</f>
        <v xml:space="preserve">ORPT </v>
      </c>
      <c r="C53" s="129" t="str">
        <f>IF(C36="","",IF(C41="Futures","",IF(C41="Options Sell",[1]AB5!$C$76,IF(C41="Options Buy",[1]AB5!$C$109))))</f>
        <v xml:space="preserve"> RC. Time</v>
      </c>
      <c r="D53" s="32"/>
      <c r="E53" s="96"/>
      <c r="F53" s="97"/>
      <c r="G53" s="130" t="str">
        <f>IF(C36="","",IF(C41="Futures","",IF(C41="Options Sell",[1]AB5!$G$76,IF(C41="Options Buy",[1]AB5!$G$109))))</f>
        <v>Yes</v>
      </c>
      <c r="H53" s="131" t="str">
        <f>IF(C36="","",IF(C41="Futures","",IF(C41="Options Sell",[1]AB5!$H$76)))</f>
        <v>Entry Missed</v>
      </c>
      <c r="I53" s="119" t="str">
        <f>IF(C36="","",IF(C41="Futures","",IF(C41="Options Sell",[1]AB5!$I$76)))</f>
        <v>Recalcuate : Put Sell Entry : Bull / Bull CF</v>
      </c>
      <c r="J53" s="120" t="str">
        <f>IF(C36="","",IF(C41="Futures","",IF(C41="Options Sell",[1]AB5!$J$76)))</f>
        <v>Wait Till Recalculation Time</v>
      </c>
      <c r="K53" s="102"/>
      <c r="L53" s="121">
        <f>IF(C36="","",IF(C41="Futures","",IF(C41="Options Sell",C50)))</f>
        <v>0.38540972222222225</v>
      </c>
      <c r="M53" s="118" t="str">
        <f t="array" ref="M53">IF(C36="","",IF(C41="Futures","",IF(C41="Options Sell",CONCATENATE([1]AB5!$M$76, "( ",INDEX([1]AB4!BP:BP,MATCH(A39,[1]AB4!B:B,0))," &amp; ",S53," ) ",INDEX([1]AB4!BQ:BQ,MATCH(A39,[1]AB4!B:B,0))," ",N53," ) &amp; ",INDEX([1]AB4!BS:BS,MATCH(A39,[1]AB4!B:B,0))))))</f>
        <v>Max of ( SPT : PRV : 2DHH &amp; 09:14:59 AM LL ) - 2.00% ) &amp; Round Up</v>
      </c>
      <c r="N53" s="122" t="str">
        <f t="array" ref="N53">IF(A36="","",IF(C41="Futures","",IF(C41="Options Sell",TEXT(INDEX([1]AB4!CR:CR,MATCH(A39,[1]AB4!B:B,0)),"0.00%"))))</f>
        <v>2.00%</v>
      </c>
      <c r="O53" s="118" t="str">
        <f t="array" ref="O53">IF(C36="","",IF(C41="Futures","",IF(C41="Options Sell",CONCATENATE([1]AB5!$O$76,"( ",INDEX([1]AB4!BT:BT,MATCH(A39,[1]AB4!B:B,0))," &amp; ",S53," ) &amp; ",INDEX([1]AB4!BW:BW,MATCH(A39,[1]AB4!B:B,0))," ",INDEX([1]AB4!BX:BX,MATCH(A39,[1]AB4!B:B,0))," ",INDEX([1]AB4!BY:BY,MATCH(A39,[1]AB4!B:B,0))))))</f>
        <v>Max of ( SPT : PRV : 2DHH &amp; 09:14:59 AM LL ) &amp; Round Up + 1</v>
      </c>
      <c r="P53" s="123" t="str">
        <f t="array" ref="P53">IF(A36="","",IF(C41="Futures","",IF(C41="Options Sell",IF(INDEX([1]AB4!CS:CS,MATCH(A39,[1]AB4!B:B,0))="","",TEXT(INDEX([1]AB4!CS:CS,MATCH(A39,[1]AB4!B:B,0)),"0.00%")))))</f>
        <v/>
      </c>
      <c r="Q53" s="107"/>
      <c r="R53" s="102"/>
      <c r="S53" s="132" t="str">
        <f>IF(C36="","",IF(C41="Futures","",IF(C41="Options Sell",CONCATENATE(TEXT(L53,"HH:MM:SS AM/PM"),[1]AB5!$S$76))))</f>
        <v>09:14:59 AM LL</v>
      </c>
      <c r="T53" s="120" t="str">
        <f t="array" ref="T53">IF(C36="","",IF(C41="Futures","",IF(C41="Options Sell",CONCATENATE([1]AB5!$T$76,"( ",INDEX([1]AB4!CE:CE,MATCH(A39,[1]AB4!B:B,0))," &amp; ",S53," ) ",[1]AB5!$H$59,TEXT(INDEX([1]AB4!CF:CF,MATCH(A39,[1]AB4!B:B,0)),"0.00%")))))</f>
        <v>Min of ( SPT : PRV : 2DHH &amp; 09:14:59 AM LL )  * 0.40%</v>
      </c>
      <c r="U53" s="102"/>
      <c r="V53" s="118" t="str">
        <f t="array" ref="V53">IF(C36="","",IF(C41="Futures","",IF(C41="Options Sell",CONCATENATE([1]AB5!$V$76,"( ",INDEX([1]AB4!CG:CG,MATCH(A39,[1]AB4!B:B,0))," &amp; ",S53," ) ",[1]AB5!$H$59,TEXT(INDEX([1]AB4!CH:CH,MATCH(A39,[1]AB4!B:B,0)),"0.00%")))))</f>
        <v>Min of ( SPT : PRV : 2DHH &amp; 09:14:59 AM LL )  * 0.20%</v>
      </c>
      <c r="W53" s="118" t="str">
        <f>IF(A36="","",IF(C41="Futures","",IF(C41="Options Sell",I39)))</f>
        <v>100 Lots</v>
      </c>
      <c r="X53" s="120" t="str">
        <f t="array" ref="X53">IF(C36="","",IF(C41="Futures","",IF(C41="Options Sell",CONCATENATE([1]AB5!$X$76,"( ",INDEX([1]AB4!G:G,MATCH(A39,[1]AB4!B:B,0))," &amp; ",Z53," ) ", INDEX([1]AB4!H:H,MATCH(A39,[1]AB4!B:B,0))," ",AA53))))</f>
        <v>Min of ( OPT : PRV : 2DLL &amp; 09:14:59 AM LL )  -  7.50%</v>
      </c>
      <c r="Y53" s="102"/>
      <c r="Z53" s="133" t="str">
        <f>IF(C36="","",IF(C41="Futures","",IF(C41="Options Sell",CONCATENATE(TEXT(L53,"HH:MM:SS AM/PM"), [1]AB5!$S$76))))</f>
        <v>09:14:59 AM LL</v>
      </c>
      <c r="AA53" s="134" t="str">
        <f t="array" ref="AA53">IF(A36="","",IF(C41="Futures","",IF(C41="Options Sell",TEXT(INDEX([1]AB4!BK:BK,MATCH(A39,[1]AB4!B:B,0)),"0.00%"))))</f>
        <v>7.50%</v>
      </c>
      <c r="AB53" s="75"/>
      <c r="AC53" s="75"/>
    </row>
    <row r="54" spans="1:29" ht="57" customHeight="1" thickBot="1" x14ac:dyDescent="0.25">
      <c r="A54" s="15" t="str">
        <f>IF(C36="","",CONCATENATE(C37,[1]AB5!$A$7))</f>
        <v>S19B</v>
      </c>
      <c r="B54" s="135">
        <f t="array" ref="B54">IF(C36="","", IF(C41="Futures","",IF(C41="Options Sell",INDEX([1]AB4!BF:BF,MATCH(A53,[1]AB4!B:B,0)))))</f>
        <v>0.38193749999999999</v>
      </c>
      <c r="C54" s="136">
        <f t="array" ref="C54">IF(C36="","", IF(C41="Futures","",IF(C41="Options Sell",INDEX([1]AB4!BF:BF,MATCH(A54,[1]AB4!B:B,0)))))</f>
        <v>0.38540972222222225</v>
      </c>
      <c r="D54" s="34"/>
      <c r="E54" s="111"/>
      <c r="F54" s="137"/>
      <c r="G54" s="138"/>
      <c r="H54" s="138"/>
      <c r="I54" s="139" t="str">
        <f>IF(C36="","",IF(C41="Futures","",IF(C41="Options Sell",[1]AB5!$I$77)))</f>
        <v>Recalcuate : Put Sell Entry : Bear / Bear CF</v>
      </c>
      <c r="J54" s="140" t="str">
        <f>IF(C36="","",IF(C41="Futures","",IF(C41="Options Sell",[1]AB5!$J$77)))</f>
        <v>Wait Till Recalculation Time</v>
      </c>
      <c r="K54" s="40"/>
      <c r="L54" s="141">
        <f>IF(C36="","",IF(C41="Futures","",IF(C41="Options Sell",C50)))</f>
        <v>0.38540972222222225</v>
      </c>
      <c r="M54" s="142" t="str">
        <f t="array" ref="M54">IF(C36="","",IF(C41="Futures","",IF(C41="Options Sell",CONCATENATE([1]AB5!$M$77, "( ",INDEX([1]AB4!BP:BP,MATCH(A45,[1]AB4!B:B,0))," &amp; ",S54," ) ", INDEX([1]AB4!BQ:BQ,MATCH(A45,[1]AB4!B:B,0))," ",N54," ) &amp; ",INDEX([1]AB4!BS:BS,MATCH(A45,[1]AB4!B:B,0))))))</f>
        <v>Max of ( SPT : PRV : 3DHH &amp; 09:14:59 AM LL ) - 2.00% ) &amp; Round Up</v>
      </c>
      <c r="N54" s="143" t="str">
        <f t="array" ref="N54">IF(A36="","",IF(C41="Futures","",IF(C41="Options Sell",TEXT(INDEX([1]AB4!CR:CR,MATCH(A45,[1]AB4!B:B,0)),"0.00%"))))</f>
        <v>2.00%</v>
      </c>
      <c r="O54" s="142" t="str">
        <f t="array" ref="O54">IF(C36="","",IF(C41="Futures","",IF(C41="Options Sell",CONCATENATE([1]AB5!$O$77,"( ",INDEX([1]AB4!BT:BT,MATCH(A45,[1]AB4!B:B,0))," &amp; ",S54," ) &amp; ",INDEX([1]AB4!BW:BW,MATCH(A45,[1]AB4!B:B,0))," ",INDEX([1]AB4!BX:BX,MATCH(A45,[1]AB4!B:B,0))," ",INDEX([1]AB4!BY:BY,MATCH(A45,[1]AB4!B:B,0))))))</f>
        <v>Max of ( SPT : PRV : 3DHH &amp; 09:14:59 AM LL ) &amp; Round Up + 1</v>
      </c>
      <c r="P54" s="144" t="str">
        <f t="array" ref="P54">IF(A36="","",IF(C41="Futures","",IF(C41="Options Sell",IF(INDEX([1]AB4!CS:CS,MATCH(A45,[1]AB4!B:B,0))="","",TEXT(INDEX([1]AB4!CS:CS,MATCH(A45,[1]AB4!B:B,0)),"0.00%")))))</f>
        <v/>
      </c>
      <c r="Q54" s="145"/>
      <c r="R54" s="40"/>
      <c r="S54" s="146" t="str">
        <f>IF(C36="","",IF(C41="Futures","",IF(C41="Options Sell",CONCATENATE(TEXT(L54,"HH:MM:SS AM/PM"),[1]AB5!$S$77))))</f>
        <v>09:14:59 AM LL</v>
      </c>
      <c r="T54" s="140" t="str">
        <f t="array" ref="T54">IF(C36="","",IF(C41="Futures","",IF(C41="Options Sell",CONCATENATE([1]AB5!$T$77,"( ",INDEX([1]AB4!CE:CE,MATCH(A45,[1]AB4!B:B,0))," &amp; ",S54," ) ",[1]AB5!$H$59,TEXT(INDEX([1]AB4!CF:CF,MATCH(A45,[1]AB4!B:B,0)),"0.00%")))))</f>
        <v>Min of ( SPT : PRV : 3DHH &amp; 09:14:59 AM LL )  * 0.40%</v>
      </c>
      <c r="U54" s="40"/>
      <c r="V54" s="142" t="str">
        <f t="array" ref="V54">IF(C36="","",IF(C41="Futures","",IF(C41="Options Sell",CONCATENATE([1]AB5!$V$77,"( ",INDEX([1]AB4!CG:CG,MATCH(A45,[1]AB4!B:B,0))," &amp; ",S54," ) ",[1]AB5!$H$59,TEXT(INDEX([1]AB4!CH:CH,MATCH(A45,[1]AB4!B:B,0)),"0.00%")))))</f>
        <v>Min of ( SPT : PRV : 3DHH &amp; 09:14:59 AM LL )  * 0.20%</v>
      </c>
      <c r="W54" s="142" t="str">
        <f>IF(A36="","",IF(C41="Futures","",IF(C41="Options Sell",I45)))</f>
        <v>100 Lots</v>
      </c>
      <c r="X54" s="140" t="str">
        <f t="array" ref="X54">IF(C36="","",IF(C41="Futures","",IF(C41="Options Sell",CONCATENATE([1]AB5!$X$77,"( ",INDEX([1]AB4!G:G,MATCH(A45,[1]AB4!B:B,0))," &amp; ",Z54," ) ", INDEX([1]AB4!H:H,MATCH(A45,[1]AB4!B:B,0))," ",AA54))))</f>
        <v>Min of ( OPT : PRV : 3DLL &amp; 09:14:59 AM LL )  -  7.50%</v>
      </c>
      <c r="Y54" s="40"/>
      <c r="Z54" s="147" t="str">
        <f>IF(C36="","",IF(C41="Futures","",IF(C41="Options Sell",CONCATENATE(TEXT(L54,"HH:MM:SS AM/PM"), [1]AB5!$S$77))))</f>
        <v>09:14:59 AM LL</v>
      </c>
      <c r="AA54" s="148" t="str">
        <f t="array" ref="AA54">IF(A36="","",IF(C41="Futures","",IF(C41="Options Sell",TEXT(INDEX([1]AB4!BK:BK,MATCH(A45,[1]AB4!B:B,0)),"0.00%"))))</f>
        <v>7.50%</v>
      </c>
      <c r="AB54" s="75"/>
      <c r="AC54" s="75"/>
    </row>
    <row r="55" spans="1:29" ht="8.25" customHeight="1" thickBot="1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49"/>
      <c r="L55" s="15"/>
      <c r="M55" s="15"/>
      <c r="N55" s="15"/>
      <c r="O55" s="75"/>
      <c r="P55" s="15"/>
      <c r="Q55" s="15"/>
      <c r="R55" s="15"/>
      <c r="S55" s="15"/>
      <c r="T55" s="15"/>
      <c r="U55" s="15"/>
      <c r="V55" s="15"/>
      <c r="W55" s="15"/>
      <c r="X55" s="15"/>
      <c r="Y55" s="75"/>
      <c r="Z55" s="75"/>
      <c r="AA55" s="75"/>
      <c r="AB55" s="75"/>
      <c r="AC55" s="75"/>
    </row>
    <row r="56" spans="1:29" ht="44.25" customHeight="1" thickBot="1" x14ac:dyDescent="0.25">
      <c r="A56" s="54"/>
      <c r="B56" s="113" t="str">
        <f>IF(C36="","",IF(C41="Futures","",IF(C41="Options Sell",[1]AB5!$B$79,IF(C41="Options Buy",[1]AB5!$B$112))))</f>
        <v>For TGT (Position = Open)</v>
      </c>
      <c r="C56" s="114"/>
      <c r="D56" s="63" t="str">
        <f>IF(C36="","",IF(C41="Futures","",IF(C41="Options Sell",[1]AB5!$D$79,IF(C41="Options Buy",[1]AB5!$D$112))))</f>
        <v>Gap Check</v>
      </c>
      <c r="E56" s="64" t="str">
        <f>IF(C36="","",IF(C41="Futures","",IF(C41="Options Sell",[1]AB5!$E$79,IF(C41="Options Buy",[1]AB5!$E$112))))</f>
        <v>Process</v>
      </c>
      <c r="F56" s="65"/>
      <c r="G56" s="66" t="str">
        <f>IF(C36="","",IF(C41="Futures","",IF(C41="Options Sell",[1]AB5!$G$79,IF(C41="Options Buy",[1]AB5!$G$112))))</f>
        <v>Y / N</v>
      </c>
      <c r="H56" s="67" t="str">
        <f>IF(C36="","",IF(C41="Futures","",IF(C41="Options Sell",[1]AB5!$H$79,IF(C41="Options Buy",[1]AB5!$H$112))))</f>
        <v>Status</v>
      </c>
      <c r="I56" s="68" t="str">
        <f>IF(C36="","",IF(C41="Futures","",IF(C41="Options Sell",[1]AB5!$I$79,IF(C41="Options Buy",[1]AB5!$I$112))))</f>
        <v>Step 1</v>
      </c>
      <c r="J56" s="69" t="str">
        <f>IF(C36="","",IF(C41="Futures","",IF(C41="Options Sell",[1]AB5!$J$79,IF(C41="Options Buy",[1]AB5!$J$112))))</f>
        <v>Order Placement Timings</v>
      </c>
      <c r="K56" s="65"/>
      <c r="L56" s="70" t="str">
        <f>IF(C36="","",IF(C41="Futures","",IF(C41="Options Sell",[1]AB5!$L$79,IF(C41="Options Buy",[1]AB5!$L$112))))</f>
        <v>Time</v>
      </c>
      <c r="M56" s="68" t="str">
        <f>IF(C36="","",IF(C41="Futures","",IF(C41="Options Sell",[1]AB5!$M$79,IF(C41="Options Buy",[1]AB5!$M$112))))</f>
        <v>Rules For Gaps</v>
      </c>
      <c r="N56" s="67" t="str">
        <f>IF(C36="","",IF(C41="Futures","",IF(C41="Options Sell",[1]AB5!$N$79,IF(C41="Options Buy",[1]AB5!$N$112))))</f>
        <v>Data</v>
      </c>
      <c r="O56" s="74" t="str">
        <f>IF(C36="","",IF(C41="Futures","",IF(C41="Options Sell",[1]AB5!$O$79,IF(C41="Options Buy",[1]AB5!$O$112))))</f>
        <v>Buffer</v>
      </c>
      <c r="P56" s="70" t="str">
        <f>IF(C36="","",IF(C41="Futures","",IF(C41="Options Sell",[1]AB5!$P$79,IF(C41="Options Buy",[1]AB5!$P$112))))</f>
        <v>Monthly Status</v>
      </c>
      <c r="Q56" s="70" t="str">
        <f>IF(C36="","",IF(C41="Futures","",IF(C41="Options Sell",[1]AB5!$Q$79,IF(C41="Options Buy",[1]AB5!$Q$112))))</f>
        <v>Options Type</v>
      </c>
      <c r="R56" s="150" t="str">
        <f>IF(C36="","",IF(C41="Futures","",IF(C41="Options Sell",[1]AB5!$R$79,IF(C41="Options Buy",[1]AB5!$R$112))))</f>
        <v>Start Strike</v>
      </c>
      <c r="S56" s="151" t="str">
        <f>IF(C36="","",IF(C41="Futures","",IF(C41="Options Sell",[1]AB5!$S$79,IF(C41="Options Buy",[1]AB5!$S$112))))</f>
        <v>End Strike</v>
      </c>
      <c r="T56" s="152"/>
      <c r="U56" s="151" t="str">
        <f>IF(C36="","",IF(C41="Futures","",IF(C41="Options Sell",[1]AB5!$U$79,IF(C41="Options Buy",[1]AB5!$U$112))))</f>
        <v>Ideal Premium</v>
      </c>
      <c r="V56" s="152"/>
      <c r="W56" s="151" t="str">
        <f>IF(C36="","",IF(C41="Futures","",IF(C41="Options Sell",[1]AB5!$W$79,IF(C41="Options Buy",[1]AB5!$W$112))))</f>
        <v>Minimum Premium</v>
      </c>
      <c r="X56" s="152"/>
      <c r="Y56" s="150" t="str">
        <f>IF(C36="","",IF(C41="Futures","",IF(C41="Options Sell",[1]AB5!$Y$79,IF(C41="Options Buy",[1]AB5!$Y$112))))</f>
        <v>Minimum OI</v>
      </c>
      <c r="Z56" s="151" t="str">
        <f>IF(C36="","",IF(C41="Futures","",IF(C41="Options Sell",[1]AB5!$Z$79,IF(C41="Options Buy",[1]AB5!$Z$112))))</f>
        <v>Option Entry</v>
      </c>
      <c r="AA56" s="152"/>
      <c r="AB56" s="153"/>
      <c r="AC56" s="153"/>
    </row>
    <row r="57" spans="1:29" ht="44.25" customHeight="1" x14ac:dyDescent="0.2">
      <c r="A57" s="15" t="str">
        <f>IF(C36="","",CONCATENATE(C37,[1]AB5!$A$4))</f>
        <v>S19A</v>
      </c>
      <c r="B57" s="128" t="str">
        <f>IF(C36="","",IF(C41="Futures","",IF(C41="Options Sell",[1]AB5!$B$80,IF(C41="Options Buy",[1]AB5!$B$113))))</f>
        <v xml:space="preserve">ORPT </v>
      </c>
      <c r="C57" s="129" t="str">
        <f>IF(C36="","",IF(C41="Futures","",IF(C41="Options Sell",[1]AB5!$C$80,IF(C41="Options Buy",[1]AB5!$C$113))))</f>
        <v xml:space="preserve"> RC. Time</v>
      </c>
      <c r="D57" s="154" t="str">
        <f>IF(C36="","",IF(C41="Futures","",IF(C41="Options Sell",[1]AB5!$D$80,IF(C41="Options Buy",[1]AB5!$D$113))))</f>
        <v>For Call Sell SL</v>
      </c>
      <c r="E57" s="155" t="str">
        <f>IF(C36="","",IF(C41="Futures","",IF(C41="Options Sell",CONCATENATE([1]AB5!$E$80,TEXT(B58,"HH:MM:SS AM/PM"),[1]AB5!$B$81,[1]AB5!$F$80))))</f>
        <v>Check If  09:00:00 AM HH &gt; Call Sell SL</v>
      </c>
      <c r="F57" s="156"/>
      <c r="G57" s="157" t="str">
        <f>IF(C36="","",IF(C41="Futures","",IF(C41="Options Sell",[1]AB5!$G$80,IF(C41="Options Buy",[1]AB5!$G$113))))</f>
        <v>No</v>
      </c>
      <c r="H57" s="158" t="str">
        <f>IF(C36="","",IF(C41="Futures","",IF(C41="Options Sell",[1]AB5!$H$80)))</f>
        <v>FSL / TRP Not Missed</v>
      </c>
      <c r="I57" s="159" t="str">
        <f>IF(C36="","",IF(C41="Futures","",IF(C41="Options Sell",[1]AB5!$I$80)))</f>
        <v>Place the Order at ORPT</v>
      </c>
      <c r="J57" s="160" t="str">
        <f>IF(C36="","",IF(C41="Futures","",IF(C41="Options Sell",[1]AB5!$J$80)))</f>
        <v>ORPT Time</v>
      </c>
      <c r="K57" s="161"/>
      <c r="L57" s="162">
        <f>IF(C36="","",IF(C41="Futures","",IF(C41="Options Sell",B54)))</f>
        <v>0.38193749999999999</v>
      </c>
      <c r="M57" s="163" t="str">
        <f>IF(C36="","",IF(C41="Futures","",IF(C41="Options Sell",[1]AB5!$M$80)))</f>
        <v>N.A.</v>
      </c>
      <c r="N57" s="158" t="str">
        <f>IF(C36="","",IF(C41="Futures","",IF(C41="Options Sell",[1]AB5!$N$80)))</f>
        <v>N.A.</v>
      </c>
      <c r="O57" s="164" t="str">
        <f>IF(C36="","",IF(C41="Futures","",IF(C41="Options Sell",[1]AB5!$O$80)))</f>
        <v>N.A.</v>
      </c>
      <c r="P57" s="165" t="str">
        <f>IF(C36="","",[1]AB5!$P$80)</f>
        <v>BULL / BULL CF</v>
      </c>
      <c r="Q57" s="166" t="str">
        <f>IF(C36="","",[1]AB5!$Q$80)</f>
        <v>Call</v>
      </c>
      <c r="R57" s="167" t="str">
        <f t="array" ref="R57">IF(C36="","",IF(C41="Futures","",IF(C41="Options Sell",CONCATENATE([1]AB5!$M$73, "( ",INDEX([1]AB4!BP:BP,MATCH(A36,[1]AB4!B:B,0))," &amp; ",[1]AB5!$R$80," ) ",INDEX([1]AB4!BQ:BQ,MATCH(A36,[1]AB4!B:B))," ",N50," ) &amp; ",INDEX([1]AB4!BS:BS,MATCH(A36,[1]AB4!B:B,0))))))</f>
        <v>Min of ( SPT : PRV : 3DLL &amp; SPT : CDLL ) + 2.00% ) &amp; Round Down</v>
      </c>
      <c r="S57" s="168" t="str">
        <f t="array" ref="S57">IF(C36="","",IF(C41="Futures","",IF(C41="Options Sell",CONCATENATE([1]AB5!$O$73,"( ",INDEX([1]AB4!BT:BT,MATCH(A36,[1]AB4!B:B,0))," &amp; ",[1]AB5!$S$80," ) &amp; ",INDEX([1]AB4!BW:BW,MATCH(A36,[1]AB4!B:B,0))," ",INDEX([1]AB4!BX:BX,MATCH(A36,[1]AB4!B:B,0))," ",INDEX([1]AB4!BY:BY,MATCH(A36,[1]AB4!B:B,0))))))</f>
        <v>Min of ( SPT : PRV : 3DLL &amp; SPT : CDLL ) &amp; Round Down - 1</v>
      </c>
      <c r="T57" s="27"/>
      <c r="U57" s="168" t="str">
        <f t="array" ref="U57">IF(C36="","",IF(C41="Futures","",IF(C41="Options Sell",CONCATENATE([1]AB5!$T$73,"( ",INDEX([1]AB4!CE:CE,MATCH(A36,[1]AB4!B:B,0))," &amp; ",[1]AB5!$U$80," ) ",[1]AB5!$H$59,TEXT(INDEX([1]AB4!CF:CF,MATCH(A36,[1]AB4!B:B,0)),"0.00%")))))</f>
        <v>Min of ( SPT : PRV : 3DLL &amp; SPT : CDLL )  * 0.40%</v>
      </c>
      <c r="V57" s="27"/>
      <c r="W57" s="168" t="str">
        <f t="array" ref="W57">IF(C36="","",IF(C41="Futures","",IF(C41="Options Sell",CONCATENATE([1]AB5!$V$73,"( ",INDEX([1]AB4!CG:CG,MATCH(A36,[1]AB4!B:B,0))," &amp; ",[1]AB5!$W$80," ) ",[1]AB5!$H$59,TEXT(INDEX([1]AB4!CH:CH,MATCH(A36,[1]AB4!B:B,0)),"0.00%")))))</f>
        <v>Min of ( SPT : PRV : 3DLL &amp; SPT : CDLL )  * 0.20%</v>
      </c>
      <c r="X57" s="27"/>
      <c r="Y57" s="169" t="str">
        <f>IF(A36="","",IF(C41="Futures","",IF(C41="Options Sell",I36)))</f>
        <v>100 Lots</v>
      </c>
      <c r="Z57" s="168" t="str">
        <f t="array" ref="Z57">IF(C36="","",IF(C41="Futures","",IF(C41="Options Sell",CONCATENATE([1]AB5!$X$73,"( ",INDEX([1]AB4!G:G,MATCH(A36,[1]AB4!B:B,0))," &amp; ",[1]AB5!$Z$80," ) ",INDEX([1]AB4!H:H,MATCH(A36,[1]AB4!B:B,0))," ",AA50))))</f>
        <v>Min of ( OPT : PRV : 3DLL &amp; OPT : CDLL )  -  7.50%</v>
      </c>
      <c r="AA57" s="114"/>
      <c r="AB57" s="75"/>
      <c r="AC57" s="75"/>
    </row>
    <row r="58" spans="1:29" ht="44.25" customHeight="1" thickBot="1" x14ac:dyDescent="0.25">
      <c r="A58" s="15" t="str">
        <f>IF(C36="","",CONCATENATE(C37,[1]AB5!$A$7))</f>
        <v>S19B</v>
      </c>
      <c r="B58" s="94">
        <f t="array" ref="B58">IF(C36="","", IF(C41="Futures","",IF(C41="Options Sell",INDEX([1]AB4!BG:BG,MATCH(A57,[1]AB4!B:B,0)))))</f>
        <v>0.375</v>
      </c>
      <c r="C58" s="95" t="str">
        <f t="array" ref="C58">IF(C36="","", INDEX([1]AB4!BG:BG,MATCH(A58,[1]AB4!B:B,0)))</f>
        <v>N.A.</v>
      </c>
      <c r="D58" s="32"/>
      <c r="E58" s="32"/>
      <c r="F58" s="156"/>
      <c r="G58" s="170" t="str">
        <f>IF(C36="","",IF(C41="Futures","",IF(C41="Options Sell",[1]AB5!$G$81,IF(C41="Options Buy",[1]AB5!$G$114))))</f>
        <v>Yes</v>
      </c>
      <c r="H58" s="131" t="str">
        <f>IF(C36="","",IF(C41="Futures","",IF(C41="Options Sell",[1]AB5!$H$81)))</f>
        <v>FSL / TRP Missed</v>
      </c>
      <c r="I58" s="119" t="str">
        <f>IF(C36="","",IF(C41="Futures","",IF(C41="Options Sell",[1]AB5!$I$81)))</f>
        <v>Recalcuate : Call Sell FSL / TRP : Bull / Bull CF</v>
      </c>
      <c r="J58" s="120" t="str">
        <f>IF(C36="","",IF(C41="Futures","",IF(C41="Options Sell",[1]AB5!$J$81)))</f>
        <v>Wait Till Recalculation Time</v>
      </c>
      <c r="K58" s="107"/>
      <c r="L58" s="121">
        <f>IF(C36="","",IF(C41="Futures","",IF(C41="Options Sell",C54)))</f>
        <v>0.38540972222222225</v>
      </c>
      <c r="M58" s="171" t="str">
        <f>IF(C36="","",IF(C41="Futures","",IF(C41="Options Sell",CONCATENATE(N58," ",[1]AB5!$M$81," ",TEXT(O58,"0.00%")))))</f>
        <v>09:14:59 AM HH + 7.00%</v>
      </c>
      <c r="N58" s="132" t="str">
        <f>IF(C36="","",IF(C41="Futures","",IF(C41="Options Sell",CONCATENATE(TEXT(L58,"HH:MM:SS AM/PM"),[1]AB5!$N$81))))</f>
        <v>09:14:59 AM HH</v>
      </c>
      <c r="O58" s="172" t="str">
        <f t="array" ref="O58">IF(A36="","",IF(C41="Futures","",IF(C41="Options Sell",TEXT(INDEX([1]AB4!BL:BL,MATCH(A36,[1]AB4!B:B,0)),"0.00%"))))</f>
        <v>7.00%</v>
      </c>
      <c r="P58" s="110"/>
      <c r="Q58" s="173" t="str">
        <f>IF(C36="","",[1]AB5!$Q$81)</f>
        <v>Put</v>
      </c>
      <c r="R58" s="174" t="str">
        <f t="array" ref="R58">IF(C36="","",IF(C41="Futures","",IF(C41="Options Sell",CONCATENATE([1]AB5!$M$76, "( ",INDEX([1]AB4!BP:BP,MATCH(A39,[1]AB4!B:B,0))," &amp; ",[1]AB5!$R$81," ) ",INDEX([1]AB4!BQ:BQ,MATCH(A39,[1]AB4!B:B,0))," ",N53," ) &amp; ",INDEX([1]AB4!BS:BS,MATCH(A39,[1]AB4!B:B,0))))))</f>
        <v>Max of ( SPT : PRV : 2DHH &amp; SPT : CDHH ) - 2.00% ) &amp; Round Up</v>
      </c>
      <c r="S58" s="175" t="str">
        <f t="array" ref="S58">IF(C36="","",IF(C41="Futures","",IF(C41="Options Sell",CONCATENATE([1]AB5!$O$76,"( ",INDEX([1]AB4!BT:BT,MATCH(A39,[1]AB4!B:B,0))," &amp; ",[1]AB5!$S$81," ) &amp; ",INDEX([1]AB4!BW:BW,MATCH(A39,[1]AB4!B:B,0))," ",INDEX([1]AB4!BX:BX,MATCH(A39,[1]AB4!B:B,0))," ",INDEX([1]AB4!BY:BY,MATCH(A39,[1]AB4!B:B,0))))))</f>
        <v>Max of ( SPT : PRV : 2DHH &amp; SPT : CDHH ) &amp; Round Up + 1</v>
      </c>
      <c r="T58" s="40"/>
      <c r="U58" s="175" t="str">
        <f t="array" ref="U58">IF(C36="","",IF(C41="Futures","",IF(C41="Options Sell",CONCATENATE([1]AB5!$T$76,"( ",INDEX([1]AB4!CE:CE,MATCH(A39,[1]AB4!B:B,0))," &amp; ",[1]AB5!$U$81," ) ",[1]AB5!$H$59,TEXT(INDEX([1]AB4!CF:CF,MATCH(A39,[1]AB4!B:B,0)),"0.00%")))))</f>
        <v>Min of ( SPT : PRV : 2DHH &amp; SPT : CDLL )  * 0.40%</v>
      </c>
      <c r="V58" s="40"/>
      <c r="W58" s="175" t="str">
        <f t="array" ref="W58">IF(C36="","",IF(C41="Futures","",IF(C41="Options Sell",CONCATENATE([1]AB5!$V$76,"( ",INDEX([1]AB4!CG:CG,MATCH(A39,[1]AB4!B:B,0))," &amp; ",[1]AB5!$W$81," ) ",[1]AB5!$H$59,TEXT(INDEX([1]AB4!CH:CH,MATCH(A39,[1]AB4!B:B,0)),"0.00%")))))</f>
        <v>Min of ( SPT : PRV : 2DHH &amp; SPT : CDLL )  * 0.20%</v>
      </c>
      <c r="X58" s="40"/>
      <c r="Y58" s="176" t="str">
        <f>IF(A36="","",IF(C41="Futures","",IF(C41="Options Sell",I39)))</f>
        <v>100 Lots</v>
      </c>
      <c r="Z58" s="175" t="str">
        <f t="array" ref="Z58">IF(C36="","",IF(C41="Futures","",IF(C41="Options Sell",CONCATENATE([1]AB5!$X$76,"( ",INDEX([1]AB4!G:G,MATCH(A39,[1]AB4!B:B,0))," &amp; ",[1]AB5!$Z$81," ) ", INDEX([1]AB4!H:H,MATCH(A39,[1]AB4!B:B,0))," ",AA53))))</f>
        <v>Min of ( OPT : PRV : 2DLL &amp; OPT : CDLL )  -  7.50%</v>
      </c>
      <c r="AA58" s="177"/>
      <c r="AB58" s="75"/>
      <c r="AC58" s="75"/>
    </row>
    <row r="59" spans="1:29" ht="44.25" customHeight="1" thickBot="1" x14ac:dyDescent="0.25">
      <c r="A59" s="15"/>
      <c r="B59" s="110"/>
      <c r="C59" s="111"/>
      <c r="D59" s="112"/>
      <c r="E59" s="112"/>
      <c r="F59" s="161"/>
      <c r="G59" s="96"/>
      <c r="H59" s="14"/>
      <c r="I59" s="119" t="str">
        <f>IF(C36="","",IF(C41="Futures","",IF(C41="Options Sell",[1]AB5!$I$82)))</f>
        <v>Recalcuate : Call Sell FSL / TRP : Bear / Bear CF</v>
      </c>
      <c r="J59" s="120" t="str">
        <f>IF(C36="","",IF(C41="Futures","",IF(C41="Options Sell",[1]AB5!$J$82)))</f>
        <v>Wait Till Recalculation Time</v>
      </c>
      <c r="K59" s="107"/>
      <c r="L59" s="121">
        <f>IF(C36="","",IF(C41="Futures","",IF(C41="Options Sell",C54)))</f>
        <v>0.38540972222222225</v>
      </c>
      <c r="M59" s="171" t="str">
        <f>IF(C36="","",IF(C41="Futures","",IF(C41="Options Sell",CONCATENATE(N59," ",[1]AB5!$M$82," ",TEXT(O59,"0.00%")))))</f>
        <v>09:14:59 AM HH + 10.00%</v>
      </c>
      <c r="N59" s="132" t="str">
        <f>IF(C36="","",IF(C41="Futures","",IF(C41="Options Sell",CONCATENATE(TEXT(L59,"HH:MM:SS AM/PM"),[1]AB5!$N$82))))</f>
        <v>09:14:59 AM HH</v>
      </c>
      <c r="O59" s="172" t="str">
        <f t="array" ref="O59">IF(A36="","",IF(C41="Futures","",IF(C41="Options Sell",TEXT(INDEX([1]AB4!BL:BL,MATCH(A42,[1]AB4!B:B,0)),"0.00%"))))</f>
        <v>10.00%</v>
      </c>
      <c r="P59" s="178" t="str">
        <f>IF(C36="","",[1]AB5!$P$82)</f>
        <v>BEAR / BEAR CF</v>
      </c>
      <c r="Q59" s="166" t="str">
        <f>IF(C38="","",[1]AB5!$Q$82)</f>
        <v>Call</v>
      </c>
      <c r="R59" s="167" t="str">
        <f t="array" ref="R59">IF(C36="","",IF(C41="Futures","",IF(C41="Options Sell",CONCATENATE([1]AB5!$M$74,"( ",INDEX([1]AB4!BP:BP,MATCH(A42,[1]AB4!B:B,0))," &amp; ",[1]AB5!$R$82," ) ",INDEX([1]AB4!BQ:BQ,MATCH(A42,[1]AB4!B:B,0))," ",N51," ) &amp; ",INDEX([1]AB4!BS:BS,MATCH(A42,[1]AB4!B:B,0))))))</f>
        <v>Min of ( SPT : PRV : 2DLL &amp; SPT : CDLL ) + 2.00% ) &amp; Round Down</v>
      </c>
      <c r="S59" s="168" t="str">
        <f t="array" ref="S59">IF(C36="","",IF(C41="Futures","",IF(C41="Options Sell",CONCATENATE([1]AB5!$O$74,"( ",INDEX([1]AB4!BT:BT,MATCH(A42,[1]AB4!B:B,0))," &amp; ",[1]AB5!$S$82," ) &amp; ",INDEX([1]AB4!BW:BW,MATCH(A42,[1]AB4!B:B,0))," ",INDEX([1]AB4!BX:BX,MATCH(A42,[1]AB4!B:B,0))," ",INDEX([1]AB4!BY:BY,MATCH(A42,[1]AB4!B:B,0))))))</f>
        <v>Min of ( SPT : PRV : 2DLL &amp; SPT : CDLL ) &amp; Round Down - 1</v>
      </c>
      <c r="T59" s="27"/>
      <c r="U59" s="168" t="str">
        <f t="array" ref="U59">IF(C36="","",IF(C41="Futures","",IF(C41="Options Sell",CONCATENATE([1]AB5!$T$74," of ( ",INDEX([1]AB4!CE:CE,MATCH(A42,[1]AB4!B:B,0))," &amp; ",[1]AB5!$U$82," ) ",[1]AB5!$H$59,TEXT(INDEX([1]AB4!CF:CF,MATCH(A42,[1]AB4!B:B,0)),"0.00%")))))</f>
        <v>Min of  of ( SPT : PRV : 2DLL &amp; SPT : CDLL )  * 0.40%</v>
      </c>
      <c r="V59" s="27"/>
      <c r="W59" s="168" t="str">
        <f t="array" ref="W59">IF(C36="","",IF(C41="Futures","",IF(C41="Options Sell",CONCATENATE([1]AB5!$V$74,"( ",INDEX([1]AB4!CG:CG,MATCH(A42,[1]AB4!B:B,0))," &amp; ",[1]AB5!$W$82," ) ",[1]AB5!$H$59,TEXT(INDEX([1]AB4!CH:CH,MATCH(A42,[1]AB4!B:B,0)),"0.00%")))))</f>
        <v>Min of ( SPT : PRV : 2DLL &amp; SPT : CDLL )  * 0.20%</v>
      </c>
      <c r="X59" s="27"/>
      <c r="Y59" s="169" t="str">
        <f>IF(A36="","",IF(C41="Futures","",IF(C41="Options Sell",I42)))</f>
        <v>100 Lots</v>
      </c>
      <c r="Z59" s="168" t="str">
        <f t="array" ref="Z59">IF(C36="","",IF(C41="Futures","",IF(C41="Options Sell",CONCATENATE([1]AB5!$X$74,"( ",INDEX([1]AB4!G:G,MATCH(A42,[1]AB4!B:B,0))," &amp; ",[1]AB5!$Z$82," ) ", INDEX([1]AB4!H:H,MATCH(A42,[1]AB4!B:B,0))," ",AA51))))</f>
        <v>Min of ( OPT : PRV : 2DLL &amp; OPT : CDLL )  -  7.50%</v>
      </c>
      <c r="AA59" s="114"/>
      <c r="AB59" s="75"/>
      <c r="AC59" s="75"/>
    </row>
    <row r="60" spans="1:29" ht="44.25" customHeight="1" thickBot="1" x14ac:dyDescent="0.25">
      <c r="A60" s="15"/>
      <c r="B60" s="179" t="str">
        <f>IF(C36="","",IF(C41="Futures","",IF(C41="Options Sell",[1]AB5!$B$83,IF(C41="Options Buy",[1]AB5!$B$116))))</f>
        <v>Stay Blessed !!!</v>
      </c>
      <c r="C60" s="19"/>
      <c r="D60" s="180" t="str">
        <f>IF(C36="","",IF(C41="Futures","",IF(C41="Options Sell",[1]AB5!$D$83,IF(C41="Options Buy",[1]AB5!$D$116))))</f>
        <v>For Put Sell SL</v>
      </c>
      <c r="E60" s="181" t="str">
        <f>IF(C36="","",IF(C41="Futures","",IF(C41="Options Sell",CONCATENATE([1]AB5!$E$83,TEXT(B58,"HH:MM:SS AM/PM"),[1]AB5!$B$81,[1]AB5!$F$83))))</f>
        <v>Check If  09:00:00 AM HH &gt; Short SL</v>
      </c>
      <c r="F60" s="182"/>
      <c r="G60" s="183" t="str">
        <f>IF(C36="","",IF(C41="Futures","",IF(C41="Options Sell",[1]AB5!$G$83,IF(C41="Options Buy",[1]AB5!$G$116))))</f>
        <v>No</v>
      </c>
      <c r="H60" s="104" t="str">
        <f>IF(C36="","",IF(C41="Futures","",IF(C41="Options Sell",[1]AB5!$H$83)))</f>
        <v>FSL / TRP Not Missed</v>
      </c>
      <c r="I60" s="100" t="str">
        <f>IF(C36="","",IF(C41="Futures","",IF(C41="Options Sell",[1]AB5!$I$83)))</f>
        <v>Place the Order at ORPT</v>
      </c>
      <c r="J60" s="101" t="str">
        <f>IF(C36="","",IF(C41="Futures","",IF(C41="Options Sell",[1]AB5!$J$83)))</f>
        <v>ORPT Time</v>
      </c>
      <c r="K60" s="102"/>
      <c r="L60" s="103">
        <f>IF(C36="","",IF(C41="Futures","",IF(C41="Options Sell",B54)))</f>
        <v>0.38193749999999999</v>
      </c>
      <c r="M60" s="184" t="str">
        <f>IF(C36="","",IF(C41="Futures","",IF(C41="Options Sell",[1]AB5!$M$83)))</f>
        <v>N.A.</v>
      </c>
      <c r="N60" s="104" t="str">
        <f>IF(C36="","",IF(C41="Futures","",IF(C41="Options Sell",[1]AB5!$N$83)))</f>
        <v>N.A.</v>
      </c>
      <c r="O60" s="185" t="str">
        <f>IF(C36="","",IF(C41="Futures","",IF(C41="Options Sell",[1]AB5!$O$83)))</f>
        <v>N.A.</v>
      </c>
      <c r="P60" s="110"/>
      <c r="Q60" s="173" t="str">
        <f>IF(C38="","",[1]AB5!$Q$83)</f>
        <v>Put</v>
      </c>
      <c r="R60" s="174" t="str">
        <f t="array" ref="R60">IF(C36="","",IF(C41="Futures","",IF(C41="Options Sell",CONCATENATE([1]AB5!$M$77, "( ",INDEX([1]AB4!BP:BP,MATCH(A45,[1]AB4!B:B,0))," &amp; ",[1]AB5!$R$83," ) ", INDEX([1]AB4!BQ:BQ,MATCH(A45,[1]AB4!B:B,0))," ",N54," ) &amp; ",INDEX([1]AB4!BS:BS,MATCH(A45,[1]AB4!B:B,0))))))</f>
        <v>Max of ( SPT : PRV : 3DHH &amp; SPT : CDHH ) - 2.00% ) &amp; Round Up</v>
      </c>
      <c r="S60" s="175" t="str">
        <f t="array" ref="S60">IF(C36="","",IF(C41="Futures","",IF(C41="Options Sell",CONCATENATE([1]AB5!$O$77,"( ",INDEX([1]AB4!BT:BT,MATCH(A45,[1]AB4!B:B,0))," &amp; ",[1]AB5!$S$83," ) &amp; ",INDEX([1]AB4!BW:BW,MATCH(A45,[1]AB4!B:B,0))," ",INDEX([1]AB4!BX:BX,MATCH(A45,[1]AB4!B:B,0))," ",INDEX([1]AB4!BY:BY,MATCH(A45,[1]AB4!B:B,0))))))</f>
        <v>Max of ( SPT : PRV : 3DHH &amp; SPT : CDHH ) &amp; Round Up + 1</v>
      </c>
      <c r="T60" s="40"/>
      <c r="U60" s="175" t="str">
        <f t="array" ref="U60">IF(C36="","",IF(C41="Futures","",IF(C41="Options Sell",CONCATENATE([1]AB5!$T$77,"( ",INDEX([1]AB4!CE:CE,MATCH(A45,[1]AB4!B:B,0))," &amp; ",[1]AB5!$U$83," ) ",[1]AB5!$H$59,TEXT(INDEX([1]AB4!CF:CF,MATCH(A45,[1]AB4!B:B,0)),"0.00%")))))</f>
        <v>Min of ( SPT : PRV : 3DHH &amp; SPT : CDLL )  * 0.40%</v>
      </c>
      <c r="V60" s="40"/>
      <c r="W60" s="175" t="str">
        <f t="array" ref="W60">IF(C36="","",IF(C41="Futures","",IF(C41="Options Sell",CONCATENATE([1]AB5!$V$77,"( ",INDEX([1]AB4!CG:CG,MATCH(A45,[1]AB4!B:B,0))," &amp; ",[1]AB5!$W$83," ) ",[1]AB5!$H$59,TEXT(INDEX([1]AB4!CH:CH,MATCH(A45,[1]AB4!B:B,0)),"0.00%")))))</f>
        <v>Min of ( SPT : PRV : 3DHH &amp; SPT : CDLL )  * 0.20%</v>
      </c>
      <c r="X60" s="40"/>
      <c r="Y60" s="176" t="str">
        <f>IF(A36="","",IF(C41="Futures","",IF(C41="Options Sell",I45)))</f>
        <v>100 Lots</v>
      </c>
      <c r="Z60" s="175" t="str">
        <f t="array" ref="Z60">IF(C36="","",IF(C41="Futures","",IF(C41="Options Sell",CONCATENATE([1]AB5!$X$77,"( ",INDEX([1]AB4!G:G,MATCH(A45,[1]AB4!B:B,0))," &amp; ",[1]AB5!$Z$83," ) ", INDEX([1]AB4!H:H,MATCH(A45,[1]AB4!B:B,0))," ",AA54))))</f>
        <v>Min of ( OPT : PRV : 3DLL &amp; OPT : CDLL )  -  7.50%</v>
      </c>
      <c r="AA60" s="177"/>
      <c r="AB60" s="75"/>
      <c r="AC60" s="75"/>
    </row>
    <row r="61" spans="1:29" ht="44.25" customHeight="1" x14ac:dyDescent="0.2">
      <c r="A61" s="75"/>
      <c r="B61" s="32"/>
      <c r="C61" s="33"/>
      <c r="D61" s="32"/>
      <c r="E61" s="32"/>
      <c r="F61" s="156"/>
      <c r="G61" s="186" t="str">
        <f>IF(C36="","",IF(C41="Futures","",IF(C41="Options Sell",[1]AB5!$G$84,IF(C41="Options Buy",[1]AB5!$G$117))))</f>
        <v>Yes</v>
      </c>
      <c r="H61" s="99" t="str">
        <f>IF(C36="","",IF(C41="Futures","",IF(C41="Options Sell",[1]AB5!$H$84)))</f>
        <v>FSL / TRP Missed</v>
      </c>
      <c r="I61" s="100" t="str">
        <f>IF(C36="","",IF(C41="Futures","",IF(C41="Options Sell",[1]AB5!$I$84)))</f>
        <v>Recalcuate : Short FSL / TRP : Bull / Bull CF</v>
      </c>
      <c r="J61" s="101" t="str">
        <f>IF(C36="","",IF(C41="Futures","",IF(C41="Options Sell",[1]AB5!$J$84)))</f>
        <v>Wait Till Recalculation Time</v>
      </c>
      <c r="K61" s="102"/>
      <c r="L61" s="103">
        <f>IF(C36="","",IF(C41="Futures","",IF(C41="Options Sell",C54)))</f>
        <v>0.38540972222222225</v>
      </c>
      <c r="M61" s="184" t="str">
        <f>IF(C36="","",IF(C41="Futures","",IF(C41="Options Sell",CONCATENATE(N61," ",[1]AB5!$M$84," ",TEXT(O61,"0.00%")))))</f>
        <v>09:14:59 AM HH + 10.00%</v>
      </c>
      <c r="N61" s="105" t="str">
        <f>IF(C36="","",IF(C41="Futures","",IF(C41="Options Sell",CONCATENATE(TEXT(L61,"HH:MM:SS AM/PM"),[1]AB5!$N$84))))</f>
        <v>09:14:59 AM HH</v>
      </c>
      <c r="O61" s="187" t="str">
        <f t="array" ref="O61">IF(A36="","",IF(C41="Futures","",IF(C41="Options Sell",TEXT(INDEX([1]AB4!BL:BL,MATCH(A39,[1]AB4!B:B,0)),"0.00%"))))</f>
        <v>10.00%</v>
      </c>
      <c r="P61" s="188" t="str">
        <f>IF(C36="","",[1]AB5!$P$84)</f>
        <v>When You Call And Put Position is Exited</v>
      </c>
      <c r="Q61" s="189"/>
      <c r="R61" s="189"/>
      <c r="S61" s="189"/>
      <c r="T61" s="189"/>
      <c r="U61" s="189"/>
      <c r="V61" s="189"/>
      <c r="W61" s="189"/>
      <c r="X61" s="189"/>
      <c r="Y61" s="189"/>
      <c r="Z61" s="189"/>
      <c r="AA61" s="33"/>
      <c r="AB61" s="75"/>
      <c r="AC61" s="75"/>
    </row>
    <row r="62" spans="1:29" ht="44.25" customHeight="1" thickBot="1" x14ac:dyDescent="0.25">
      <c r="A62" s="75"/>
      <c r="B62" s="34"/>
      <c r="C62" s="53"/>
      <c r="D62" s="34"/>
      <c r="E62" s="34"/>
      <c r="F62" s="190"/>
      <c r="G62" s="111"/>
      <c r="H62" s="138"/>
      <c r="I62" s="191" t="str">
        <f>IF(C36="","",IF(C41="Futures","",IF(C41="Options Sell",[1]AB5!$I$85)))</f>
        <v>Recalcuate : Short FSL / TRP : Bear / Bear CF</v>
      </c>
      <c r="J62" s="192" t="str">
        <f>IF(C36="","",IF(C41="Futures","",IF(C41="Options Sell",[1]AB5!$J$85)))</f>
        <v>Wait Till Recalculation Time</v>
      </c>
      <c r="K62" s="40"/>
      <c r="L62" s="193">
        <f>IF(C36="","",IF(C41="Futures","",IF(C41="Options Sell",C54)))</f>
        <v>0.38540972222222225</v>
      </c>
      <c r="M62" s="194" t="str">
        <f>IF(C36="","",IF(C41="Futures","",IF(C41="Options Sell",CONCATENATE(N62," ",[1]AB5!$M$85," ",TEXT(O62,"0.00%")))))</f>
        <v>09:14:59 AM HH + 7.00%</v>
      </c>
      <c r="N62" s="195" t="str">
        <f>IF(C36="","",IF(C41="Futures","",IF(C41="Options Sell",CONCATENATE(TEXT(L62,"HH:MM:SS AM/PM"),[1]AB5!$N$85))))</f>
        <v>09:14:59 AM HH</v>
      </c>
      <c r="O62" s="196" t="str">
        <f t="array" ref="O62">IF(A36="","",IF(C41="Futures","",IF(C41="Options Sell",TEXT(INDEX([1]AB4!BL:BL,MATCH(A45,[1]AB4!B:B,0)),"0.00%"))))</f>
        <v>7.00%</v>
      </c>
      <c r="P62" s="197" t="str">
        <f>IF(C36="","",[1]AB5!$P$85)</f>
        <v>This is Only Applicable for Same Day</v>
      </c>
      <c r="Q62" s="190"/>
      <c r="R62" s="190"/>
      <c r="S62" s="190"/>
      <c r="T62" s="190"/>
      <c r="U62" s="190"/>
      <c r="V62" s="190"/>
      <c r="W62" s="190"/>
      <c r="X62" s="190"/>
      <c r="Y62" s="190"/>
      <c r="Z62" s="190"/>
      <c r="AA62" s="53"/>
      <c r="AB62" s="75"/>
      <c r="AC62" s="75"/>
    </row>
    <row r="63" spans="1:29" ht="33" customHeight="1" thickBot="1" x14ac:dyDescent="0.25">
      <c r="A63" s="198"/>
      <c r="B63" s="199" t="str">
        <f>IF(C36="","",[1]AB5!$B$119)</f>
        <v>For Missed SL (Position = Open)</v>
      </c>
      <c r="C63" s="114"/>
      <c r="D63" s="200" t="str">
        <f>IF(C36="","",[1]AB5!$D$120)</f>
        <v>Note: ( Optional )</v>
      </c>
      <c r="E63" s="19"/>
      <c r="F63" s="201" t="str">
        <f>IF(C36="","",[1]AB5!$I$119)</f>
        <v>For Call SL</v>
      </c>
      <c r="G63" s="65"/>
      <c r="H63" s="65"/>
      <c r="I63" s="65"/>
      <c r="J63" s="65"/>
      <c r="K63" s="65"/>
      <c r="L63" s="65"/>
      <c r="M63" s="65"/>
      <c r="N63" s="65"/>
      <c r="O63" s="65"/>
      <c r="P63" s="62"/>
      <c r="Q63" s="201" t="str">
        <f>IF(C36="","",[1]AB5!$R$119)</f>
        <v>For Put SL</v>
      </c>
      <c r="R63" s="65"/>
      <c r="S63" s="65"/>
      <c r="T63" s="65"/>
      <c r="U63" s="65"/>
      <c r="V63" s="65"/>
      <c r="W63" s="65"/>
      <c r="X63" s="65"/>
      <c r="Y63" s="65"/>
      <c r="Z63" s="65"/>
      <c r="AA63" s="62"/>
      <c r="AB63" s="202"/>
      <c r="AC63" s="202"/>
    </row>
    <row r="64" spans="1:29" ht="43.5" customHeight="1" x14ac:dyDescent="0.2">
      <c r="A64" s="198"/>
      <c r="B64" s="203" t="str">
        <f>IF(C36="","",[1]AB5!$B$120)</f>
        <v>Check time</v>
      </c>
      <c r="C64" s="204"/>
      <c r="D64" s="32"/>
      <c r="E64" s="33"/>
      <c r="F64" s="205" t="str">
        <f>IF(C36="","",CONCATENATE([1]AB5!$G$120,TEXT(B65,"HH:MM:SS AM/PM"),[1]AB5!$B$121,[1]AB5!$H$120))</f>
        <v>Check If Close at 04:30:00 PM  &gt; Call Original SL</v>
      </c>
      <c r="G64" s="102"/>
      <c r="H64" s="206" t="str">
        <f>IF(C36="","",[1]AB5!$I$120)</f>
        <v>Yes</v>
      </c>
      <c r="I64" s="13"/>
      <c r="J64" s="207" t="str">
        <f>IF(C36="","",CONCATENATE([1]AB5!$K$120,TEXT(B65,"HH:MM:SS AM/PM")))</f>
        <v xml:space="preserve"> Then Square Off The Position At CMP at 04:30:00 PM</v>
      </c>
      <c r="K64" s="161"/>
      <c r="L64" s="161"/>
      <c r="M64" s="161"/>
      <c r="N64" s="161"/>
      <c r="O64" s="161"/>
      <c r="P64" s="208"/>
      <c r="Q64" s="209" t="str">
        <f>IF(C36="","",CONCATENATE([1]AB5!$R$120,TEXT(B65,"HH:MM:SS AM/PM"),[1]AB5!$B$121,[1]AB5!$S$120))</f>
        <v>Check If Close at 04:30:00 PM  &gt; Put Original SL</v>
      </c>
      <c r="R64" s="161"/>
      <c r="S64" s="13"/>
      <c r="T64" s="210" t="str">
        <f>IF(C36="","",[1]AB5!$U$120)</f>
        <v>Yes</v>
      </c>
      <c r="U64" s="211" t="str">
        <f>IF(C36="","",CONCATENATE([1]AB5!$W$120,TEXT(B65,"HH:MM:SS AM/PM")))</f>
        <v xml:space="preserve"> Then Square Off The Position At CMP at 04:30:00 PM</v>
      </c>
      <c r="V64" s="161"/>
      <c r="W64" s="161"/>
      <c r="X64" s="161"/>
      <c r="Y64" s="161"/>
      <c r="Z64" s="161"/>
      <c r="AA64" s="208"/>
      <c r="AB64" s="202"/>
      <c r="AC64" s="212"/>
    </row>
    <row r="65" spans="1:29" ht="36" customHeight="1" thickBot="1" x14ac:dyDescent="0.25">
      <c r="A65" s="198"/>
      <c r="B65" s="213">
        <f t="array" ref="B65">IF(C36="","",INDEX([1]AB4!CU:CU,MATCH(A53,[1]AB4!B:B,0)))</f>
        <v>0.6875</v>
      </c>
      <c r="C65" s="177"/>
      <c r="D65" s="34"/>
      <c r="E65" s="53"/>
      <c r="F65" s="214" t="str">
        <f>IF(C36="","",CONCATENATE([1]AB5!$G$37,TEXT(B65,"HH:MM:SS AM/PM"),[1]AB5!$B$37,[1]AB5!$H$121))</f>
        <v>Check If Close at 04:30:00 PM  &lt; Call Original SL</v>
      </c>
      <c r="G65" s="40"/>
      <c r="H65" s="215" t="str">
        <f>IF(C36="","",[1]AB5!$I$121)</f>
        <v>Yes</v>
      </c>
      <c r="I65" s="40"/>
      <c r="J65" s="216" t="str">
        <f>IF(C36="","",CONCATENATE([1]AB5!$K$121))</f>
        <v xml:space="preserve"> Then Continue the Position for Next Day And Calculate Stop Loss Price as per the Rules</v>
      </c>
      <c r="K65" s="145"/>
      <c r="L65" s="145"/>
      <c r="M65" s="145"/>
      <c r="N65" s="145"/>
      <c r="O65" s="145"/>
      <c r="P65" s="177"/>
      <c r="Q65" s="214" t="str">
        <f>IF(C36="","",CONCATENATE([1]AB5!$R$121,TEXT(B65,"HH:MM:SS AM/PM"),[1]AB5!$B$122,[1]AB5!$S$121))</f>
        <v>Check If Close at 04:30:00 PM  &lt; Put Original SL</v>
      </c>
      <c r="R65" s="145"/>
      <c r="S65" s="40"/>
      <c r="T65" s="217" t="str">
        <f>IF(C36="","",[1]AB5!$U$121)</f>
        <v>Yes</v>
      </c>
      <c r="U65" s="216" t="str">
        <f>IF(C36="","",CONCATENATE([1]AB5!$W$121))</f>
        <v xml:space="preserve"> Then Continue the Position for Next Day And Calculate Stop Loss Price as per the Rules</v>
      </c>
      <c r="V65" s="145"/>
      <c r="W65" s="145"/>
      <c r="X65" s="145"/>
      <c r="Y65" s="145"/>
      <c r="Z65" s="145"/>
      <c r="AA65" s="177"/>
      <c r="AB65" s="202"/>
      <c r="AC65" s="212"/>
    </row>
    <row r="66" spans="1:29" ht="15.75" customHeight="1" x14ac:dyDescent="0.2">
      <c r="A66" s="75"/>
      <c r="B66" s="75"/>
      <c r="C66" s="75"/>
      <c r="D66" s="75"/>
      <c r="E66" s="75"/>
      <c r="F66" s="75"/>
      <c r="G66" s="75"/>
      <c r="H66" s="75"/>
      <c r="I66" s="75"/>
      <c r="J66" s="149"/>
      <c r="K66" s="149"/>
      <c r="L66" s="149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</row>
    <row r="67" spans="1:29" ht="15.75" customHeight="1" thickBot="1" x14ac:dyDescent="0.25">
      <c r="A67" s="75"/>
      <c r="B67" s="75"/>
      <c r="C67" s="75"/>
      <c r="D67" s="75"/>
      <c r="E67" s="75"/>
      <c r="F67" s="75"/>
      <c r="G67" s="75"/>
      <c r="H67" s="75"/>
      <c r="I67" s="75"/>
      <c r="J67" s="149"/>
      <c r="K67" s="149"/>
      <c r="L67" s="149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</row>
    <row r="68" spans="1:29" ht="42.75" customHeight="1" x14ac:dyDescent="0.2">
      <c r="A68" s="15" t="str">
        <f>IF(C68="","",CONCATENATE(C69,[1]AB5!$A$4))</f>
        <v>S20A</v>
      </c>
      <c r="B68" s="16" t="str">
        <f>IF(C68="","",[1]AB5!$B$59)</f>
        <v>Sr. No.</v>
      </c>
      <c r="C68" s="17">
        <v>20</v>
      </c>
      <c r="D68" s="18" t="str">
        <f>IF(C68="","",IF(C73="Futures","",IF(C73="Options Sell",[1]AB5!$D$59,IF(C73="Options Buy",[1]AB5!$D$92))))</f>
        <v>BULL / BULL CF</v>
      </c>
      <c r="E68" s="19"/>
      <c r="F68" s="18" t="str">
        <f>IF(C68="","",IF(C73="Futures","",IF(C73="Options Sell",[1]AB5!$F$59,IF(C73="Options Buy",[1]AB5!$F$92))))</f>
        <v>Call</v>
      </c>
      <c r="G68" s="20" t="str">
        <f t="array" ref="G68">IF(C68="","",IF(C73="Futures","",IF(C73="Options Sell",CONCATENATE("( ",INDEX([1]AB4!BP:BP,MATCH(A68,[1]AB4!B:B))," ",INDEX([1]AB4!BQ:BQ,MATCH(A68,[1]AB4!B:B))," ",TEXT(INDEX([1]AB4!BR:BR,MATCH(A68,[1]AB4!B:B)),"0.00%")," ) &amp; ",INDEX([1]AB4!BS:BS,MATCH(A68,[1]AB4!B:B))),IF(C73="Options Buy",CONCATENATE("( ",INDEX([1]AB4!BP:BP,MATCH(A68,[1]AB4!B:B,0))," ",INDEX([1]AB4!BQ:BQ,MATCH(A68,[1]AB4!B:B,0))," ",TEXT(INDEX([1]AB4!BR:BR,MATCH(A68,[1]AB4!B:B,0)),"0.00%")," ) &amp; ",INDEX([1]AB4!BS:BS,MATCH(A68,[1]AB4!B:B,0)))))))</f>
        <v>( SPT : PRV : 3DLL + 5.00% ) &amp; Round Down</v>
      </c>
      <c r="H68" s="20" t="str">
        <f t="array" ref="H68">IF(C68="","",IF(C73="Futures","",IF(C73="Options Sell",CONCATENATE(INDEX([1]AB4!CE:CE,MATCH(A68,[1]AB4!B:B)),[1]AB5!$H$59,TEXT(INDEX([1]AB4!CF:CF,MATCH(A68,[1]AB4!B:B)),"0.00%")))))</f>
        <v>SPT : PRV : 3DLL * 1.50%</v>
      </c>
      <c r="I68" s="21" t="str">
        <f t="array" ref="I68">IF(C68="","",IF(C73="Futures","",IF(C73="Options Sell",CONCATENATE(INDEX([1]AB4!CI:CI,MATCH(A68,[1]AB4!B:B)),[1]AB5!$I$59))))</f>
        <v>500 Lots</v>
      </c>
      <c r="J68" s="22" t="str">
        <f>IF(C68="","",IF(C73="Futures","",IF(C73="Options Sell",[1]AB5!$J$59,IF(C73="Options Buy",[1]AB5!$J$92))))</f>
        <v>BULL / BULL CF</v>
      </c>
      <c r="K68" s="18" t="str">
        <f>IF(C68="","",IF(C73="Futures","",IF(C73="Options Sell",[1]AB5!$K$59,IF(C73="Options Buy",[1]AB5!$K$92))))</f>
        <v>Call</v>
      </c>
      <c r="L68" s="23" t="str">
        <f>IF(C68="","",IF(C73="Futures","",IF(C73="Options Sell",[1]AB5!$G$4,IF(C73="Options Buy",[1]AB5!$L$92))))</f>
        <v>E &amp; T</v>
      </c>
      <c r="M68" s="20" t="str">
        <f t="array" ref="M68">IF(C68="","",IF(C73="Futures","",IF(C73="Options Sell",CONCATENATE(INDEX([1]AB4!G:G,MATCH(A68,[1]AB4!B:B,0)),INDEX([1]AB4!H:H,MATCH(A68,[1]AB4!B:B,0)),TEXT(INDEX([1]AB4!I:I,MATCH(A68,[1]AB4!B:B,0)),"0.00%")))))</f>
        <v>OPT : PRV : 3DLL - 7.50%</v>
      </c>
      <c r="N68" s="24">
        <f t="array" ref="N68">IF(C68="","",IF(C73="Futures","",IF(C73="Options Sell",INDEX([1]AB4!J:J,MATCH(A68,[1]AB4!B:B,0)))))</f>
        <v>1</v>
      </c>
      <c r="O68" s="25" t="str">
        <f t="array" ref="O68">IF(C68="","",IF(C73="Futures","",IF(C73="Options Sell",IF(INDEX([1]AB4!N:N,MATCH(A68,[1]AB4!B:B,0))="","",CONCATENATE(INDEX([1]AB4!L:L,MATCH(A68,[1]AB4!B:B,0)),INDEX([1]AB4!M:M,MATCH(A68,[1]AB4!B:B,0)),TEXT(INDEX([1]AB4!N:N,MATCH(A68,[1]AB4!B:B,0)),"0.00%"))))))</f>
        <v>CE : Entry  - 60.00%</v>
      </c>
      <c r="P68" s="26">
        <f t="array" ref="P68">IF(C68="","",IF(C73="Futures","",IF(C73="Options Sell",IF(INDEX([1]AB4!N:N,MATCH(A68,[1]AB4!B:B,0))="","",INDEX([1]AB4!O:O,MATCH(A68,[1]AB4!B:B,0))))))</f>
        <v>1</v>
      </c>
      <c r="Q68" s="27"/>
      <c r="R68" s="25" t="str">
        <f t="array" ref="R68">IF(C68="","",IF(C73="Futures","",IF(C73="Options Sell",IF(INDEX([1]AB4!P:P,MATCH(A68,[1]AB4!B:B,0))="","",CONCATENATE(INDEX([1]AB4!L:L,MATCH(A68,[1]AB4!B:B,0)),INDEX([1]AB4!M:M,MATCH(A68,[1]AB4!B:B,0)),TEXT(INDEX([1]AB4!P:P,MATCH(A68,[1]AB4!B:B,0)),"0.00%"))))))</f>
        <v/>
      </c>
      <c r="S68" s="24" t="str">
        <f t="array" ref="S68">IF(C68="","",IF(C73="Futures","",IF(C73="Options Sell",IF(INDEX([1]AB4!P:P,MATCH(A68,[1]AB4!B:B,0))="","",INDEX([1]AB4!Q:Q,MATCH(A68,[1]AB4!B:B,0))))))</f>
        <v/>
      </c>
      <c r="T68" s="25" t="str">
        <f t="array" ref="T68">IF(C68="","",IF(C73="Futures","",IF(C73="Options Sell",IF(INDEX([1]AB4!R:R,MATCH(A68,[1]AB4!B:B,0))="","",CONCATENATE(INDEX([1]AB4!L:L,MATCH(A68,[1]AB4!B:B,0)),INDEX([1]AB4!M:M,MATCH(A68,[1]AB4!B:B,0)),TEXT(INDEX([1]AB4!R:R,MATCH(A68,[1]AB4!B:B,0)),"0.00%"))))))</f>
        <v/>
      </c>
      <c r="U68" s="24" t="str">
        <f t="array" ref="U68">IF(C68="","",IF(C73="Futures","",IF(C73="Options Sell",IF(INDEX([1]AB4!R:R,MATCH(A68,[1]AB4!B:B,0))="","",INDEX([1]AB4!S:S,MATCH(A68,[1]AB4!B:B,0))))))</f>
        <v/>
      </c>
      <c r="V68" s="25" t="str">
        <f t="array" ref="V68">IF(C68="","",IF(C73="Futures","",IF(C73="Options Sell",IF(INDEX([1]AB4!T:T,MATCH(A68,[1]AB4!B:B,0))="","",CONCATENATE(INDEX([1]AB4!L:L,MATCH(A68,[1]AB4!B:B,0)),INDEX([1]AB4!M:M,MATCH(A68,[1]AB4!B:B,0)),TEXT(INDEX([1]AB4!T:T,MATCH(A68,[1]AB4!B:B,0)),"0.00%"))))))</f>
        <v/>
      </c>
      <c r="W68" s="24" t="str">
        <f t="array" ref="W68">IF(C68="","",IF(C73="Futures","",IF(C73="Options Sell",IF(INDEX([1]AB4!T:T,MATCH(A68,[1]AB4!B:B,0))="","",INDEX([1]AB4!U:U,MATCH(A68,[1]AB4!B:B,0))))))</f>
        <v/>
      </c>
      <c r="X68" s="25" t="str">
        <f t="array" ref="X68">IF(C68="","",IF(C73="Futures","",IF(C73="Options Sell",IF(INDEX([1]AB4!V:V,MATCH(A68,[1]AB4!B:B,0))="","",INDEX([1]AB4!V:V,MATCH(A68,[1]AB4!B:B,0))))))</f>
        <v/>
      </c>
      <c r="Y68" s="24" t="str">
        <f t="array" ref="Y68">IF(C68="","",IF(C73="Futures","",IF(C73="Options Sell",IF(INDEX([1]AB4!V:V,MATCH(A68,[1]AB4!B:B,0))="","",INDEX([1]AB4!W:W,MATCH(A68,[1]AB4!B:B,0))))))</f>
        <v/>
      </c>
      <c r="Z68" s="25" t="str">
        <f t="array" ref="Z68">IF(C68="","",IF(C73="Futures","",IF(C73="Options Sell",IF(INDEX([1]AB4!X:X,MATCH(A68,[1]AB4!B:B,0))="","",INDEX([1]AB4!X:X,MATCH(A68,[1]AB4!B:B,0))))))</f>
        <v/>
      </c>
      <c r="AA68" s="28" t="str">
        <f t="array" ref="AA68">IF(C68="","",IF(C73="Futures","",IF(C73="Options Sell",IF(INDEX([1]AB4!X:X,MATCH(A68,[1]AB4!B:B,0))="","",INDEX([1]AB4!X:X,MATCH(A68,[1]AB4!Y:Y,0))))))</f>
        <v/>
      </c>
      <c r="AB68" s="29"/>
      <c r="AC68" s="29"/>
    </row>
    <row r="69" spans="1:29" ht="42.75" customHeight="1" thickBot="1" x14ac:dyDescent="0.25">
      <c r="A69" s="15" t="str">
        <f>IF(C68="","",CONCATENATE(C69,[1]AB5!$A$5))</f>
        <v>S20A</v>
      </c>
      <c r="B69" s="30" t="str">
        <f>IF(C68="","",[1]AB5!$B$60)</f>
        <v>Strategy Code</v>
      </c>
      <c r="C69" s="31" t="str">
        <f t="array" ref="C69">IF(C68="","",IF(C73="Futures","",IF(C73="Options Sell",INDEX([1]AB2!B:B,MATCH(C68,[1]AB2!A:A,0)))))</f>
        <v>S20</v>
      </c>
      <c r="D69" s="32"/>
      <c r="E69" s="33"/>
      <c r="F69" s="34"/>
      <c r="G69" s="35" t="str">
        <f t="array" ref="G69">IF(C68="","",IF(C73="Futures","",IF(C73="Options Sell",CONCATENATE("( ",INDEX([1]AB4!BT:BT,MATCH(A69,[1]AB4!B:B))," ) &amp; ",INDEX([1]AB4!BW:BW,MATCH(A69,[1]AB4!B:B))," ",INDEX([1]AB4!BX:BX,MATCH(A69,[1]AB4!B:B))," ",INDEX([1]AB4!BY:BY,MATCH(A69,[1]AB4!B:B))),IF(C73="Options Buy",CONCATENATE("( ",INDEX([1]AB4!BP:BP,MATCH(A71,[1]AB4!B:B,0))," ",INDEX([1]AB4!BQ:BQ,MATCH(A71,[1]AB4!B:B,0))," ",TEXT(INDEX([1]AB4!BR:BR,MATCH(A71,[1]AB4!B:B,0)),"0.00%")," ) &amp; ",INDEX([1]AB4!BS:BS,MATCH(A71,[1]AB4!B:B,0)))))))</f>
        <v>( SPT : PRV : 3DLL ) &amp; Round Down - 1</v>
      </c>
      <c r="H69" s="35" t="str">
        <f t="array" ref="H69">IF(C68="","",IF(C73="Futures","",IF(C73="Options Sell",CONCATENATE(INDEX([1]AB4!CG:CG,MATCH(A69,[1]AB4!B:B)),[1]AB5!$H$60,TEXT(INDEX([1]AB4!CH:CH,MATCH(A69,[1]AB4!B:B)),"0.00%")))))</f>
        <v>SPT : PRV : 3DLL * 1.10%</v>
      </c>
      <c r="I69" s="36" t="str">
        <f t="array" ref="I69">IF(C68="","",IF(C73="Futures","",IF(C73="Options Sell",CONCATENATE(INDEX([1]AB4!CJ:CJ,MATCH(A69,[1]AB4!B:B)),[1]AB5!$I$60))))</f>
        <v>1 Exp</v>
      </c>
      <c r="J69" s="33"/>
      <c r="K69" s="34"/>
      <c r="L69" s="37" t="str">
        <f>IF(C68="","",IF(C73="Futures","",IF(C73="Options Sell",[1]AB5!$G$5,IF(C73="Options Buy",[1]AB5!$L$93))))</f>
        <v>SL / TRP</v>
      </c>
      <c r="M69" s="35" t="str">
        <f t="array" ref="M69">IF(C68="","",IF(C73="Futures","",IF(C73="Options Sell",IF(INDEX([1]AB4!AL:AL,MATCH(A69,[1]AB4!B:B,0))="","",CONCATENATE(INDEX([1]AB4!AA:AA,MATCH(A69,[1]AB4!B:B,0))," ( ",INDEX([1]AB4!AE:AE,MATCH(A69,[1]AB4!B:B,0)),INDEX([1]AB4!AF:AF,MATCH(A69,[1]AB4!B:B,0)),TEXT(INDEX([1]AB4!AG:AG,MATCH(A69,[1]AB4!B:B,0)),"0.00%")," &amp; ",INDEX([1]AB4!AK:AK,MATCH(A69,[1]AB4!B:B,0)),INDEX([1]AB4!AJ:AJ,MATCH(A69,[1]AB4!B:B,0)),TEXT(INDEX([1]AB4!AL:AL,MATCH(A69,[1]AB4!B:B,0)),"0.00%")," )")))))</f>
        <v>Min ( CE : Entry  + 60.00% &amp; OPT : PRV : 2DHH + 7.00% )</v>
      </c>
      <c r="N69" s="38">
        <f t="array" ref="N69">IF(C68="","",IF(C73="Futures","",IF(C73="Options Sell",INDEX([1]AB4!AM:AM,MATCH(A69,[1]AB4!B:B,0)))))</f>
        <v>1</v>
      </c>
      <c r="O69" s="35" t="str">
        <f t="array" ref="O69">IF(C68="","",IF(C73="Futures","",IF(C73="Options Sell",IF(INDEX([1]AB4!AO:AO,MATCH(A69,[1]AB4!B:B,0))="","",CONCATENATE(INDEX([1]AB4!AA:AA,MATCH(A69,[1]AB4!B:B,0))," ( ",INDEX([1]AB4!AE:AE,MATCH(A69,[1]AB4!B:B,0))," &amp; ",INDEX([1]AB4!AN:AN,MATCH(A69,[1]AB4!B:B,0)),INDEX([1]AB4!AJ:AJ,MATCH(A69,[1]AB4!B:B,0)),TEXT(INDEX([1]AB4!AO:AO,MATCH(A69,[1]AB4!B:B,0)),"0.00%")," )")))))</f>
        <v/>
      </c>
      <c r="P69" s="39" t="str">
        <f t="array" ref="P69">IF(C68="","",IF(C73="Futures","",IF(C73="Options Sell",IF(INDEX([1]AB4!AO:AO,MATCH(A69,[1]AB4!B:B,0))="","",INDEX([1]AB4!AP:AP,MATCH(A69,[1]AB4!B:B,0))))))</f>
        <v/>
      </c>
      <c r="Q69" s="40"/>
      <c r="R69" s="35" t="str">
        <f t="array" ref="R69">IF(C68="","",IF(C73="Futures","",IF(C73="Options Sell",IF(INDEX([1]AB4!AR:AR,MATCH(A69,[1]AB4!B:B,0))="","",CONCATENATE(INDEX([1]AB4!AA:AA,MATCH(A69,[1]AB4!B:B,0))," ( ",INDEX([1]AB4!AE:AE,MATCH(A69,[1]AB4!B:B,0))," &amp; ",INDEX([1]AB4!AQ:AQ,MATCH(A69,[1]AB4!B:B,0)),INDEX([1]AB4!AJ:AJ,MATCH(A69,[1]AB4!B:B,0)),TEXT(INDEX([1]AB4!AR:AR,MATCH(A69,[1]AB4!B:B,0)),"0.00%")," )")))))</f>
        <v/>
      </c>
      <c r="S69" s="38" t="str">
        <f t="array" ref="S69">IF(C68="","",IF(C73="Futures","",IF(C73="Options Sell",IF(INDEX([1]AB4!AR:AR,MATCH(A69,[1]AB4!B:B,0))="","",INDEX([1]AB4!AS:AS,MATCH(A69,[1]AB4!B:B,0))))))</f>
        <v/>
      </c>
      <c r="T69" s="35" t="str">
        <f t="array" ref="T69">IF(C68="","",IF(C73="Futures","",IF(C73="Options Sell",IF(INDEX([1]AB4!AU:AU,MATCH(A69,[1]AB4!B:B))="","",CONCATENATE(INDEX([1]AB4!AA:AA,MATCH(A69,[1]AB4!B:B))," ( ",INDEX([1]AB4!AE:AE,MATCH(A69,[1]AB4!B:B))," &amp; ",INDEX([1]AB4!AT:AT,MATCH(A69,[1]AB4!B:B)),INDEX([1]AB4!AJ:AJ,MATCH(A69,[1]AB4!B:B)),TEXT(INDEX([1]AB4!AU:AU,MATCH(A69,[1]AB4!B:B)),"0.00%")," )")))))</f>
        <v/>
      </c>
      <c r="U69" s="38" t="str">
        <f t="array" ref="U69">IF(C68="","",IF(C73="Futures","",IF(C73="Options Sell",IF(INDEX([1]AB4!AU:AU,MATCH(A69,[1]AB4!B:B,0))="","",INDEX([1]AB4!AV:AV,MATCH(A69,[1]AB4!B:B,0))))))</f>
        <v/>
      </c>
      <c r="V69" s="35" t="str">
        <f t="array" ref="V69">IF(C68="","",IF(C73="Futures","",IF(C73="Options Sell",IF(INDEX([1]AB4!AX:AX,MATCH(A69,[1]AB4!B:B,0))="","",CONCATENATE(INDEX([1]AB4!AA:AA,MATCH(A69,[1]AB4!B:B,0))," ( ",INDEX([1]AB4!AE:AE,MATCH(A69,[1]AB4!B:B,0))," &amp; ",INDEX([1]AB4!AW:AW,MATCH(A69,[1]AB4!B:B,0)),INDEX([1]AB4!AJ:AJ,MATCH(A69,[1]AB4!B:B,0)),TEXT(INDEX([1]AB4!AX:AX,MATCH(A69,[1]AB4!B:B,0)),"0.00%")," )")))))</f>
        <v/>
      </c>
      <c r="W69" s="38" t="str">
        <f t="array" ref="W69">IF(C68="","",IF(C73="Futures","",IF(C73="Options Sell",IF(INDEX([1]AB4!AX:AX,MATCH(A69,[1]AB4!B:B,0))="","",INDEX([1]AB4!AY:AY,MATCH(A69,[1]AB4!B:B,0))))))</f>
        <v/>
      </c>
      <c r="X69" s="35" t="str">
        <f t="array" ref="X69">IF(C68="","",IF(C73="Futures","",IF(C73="Options Sell",IF(INDEX([1]AB4!BA:BA,MATCH(A69,[1]AB4!B:B,0))="","",CONCATENATE(INDEX([1]AB4!AA:AA,MATCH(A69,[1]AB4!B:B,0))," ( ",INDEX([1]AB4!AE:AE,MATCH(A69,[1]AB4!B:B,0))," &amp; ",INDEX([1]AB4!AW:AW,MATCH(A69,[1]AB4!B:B,0)),INDEX([1]AB4!AJ:AJ,MATCH(A69,[1]AB4!B:B,0)),TEXT(INDEX([1]AB4!AX:AX,MATCH(A69,[1]AB4!B:B,0)),"0.00%")," )")))))</f>
        <v/>
      </c>
      <c r="Y69" s="38" t="str">
        <f t="array" ref="Y69">IF(C68="","",IF(C73="Futures","",IF(C73="Options Sell",IF(INDEX([1]AB4!BA:BA,MATCH(A69,[1]AB4!B:B,0))="","",INDEX([1]AB4!AY:AY,MATCH(A69,[1]AB4!B:B,0))))))</f>
        <v/>
      </c>
      <c r="Z69" s="41">
        <f t="array" ref="Z69">IF(C68="","",IF(C73="Futures","",IF(C73="Options Sell",IF(INDEX([1]AB4!BD:BD,MATCH(A68,[1]AB4!B:B,0))="","",INDEX([1]AB4!AZ:AZ,MATCH(A68,[1]AB4!B:B,0))))))</f>
        <v>0</v>
      </c>
      <c r="AA69" s="42">
        <f t="array" ref="AA69">IF(C68="","",IF(C73="Futures","",IF(C73="Options Sell",IF(INDEX([1]AB4!BD:BD,MATCH(A69,[1]AB4!B:B,0))="","",INDEX([1]AB4!BB:BB,MATCH(A69,[1]AB4!B:B,0))))))</f>
        <v>0</v>
      </c>
      <c r="AB69" s="29"/>
      <c r="AC69" s="29"/>
    </row>
    <row r="70" spans="1:29" ht="6.75" customHeight="1" thickBot="1" x14ac:dyDescent="0.25">
      <c r="A70" s="15" t="str">
        <f>IF(C68="","",CONCATENATE(C69,[1]AB5!A62))</f>
        <v>S20</v>
      </c>
      <c r="B70" s="43" t="str">
        <f>IF(C68="","",[1]AB5!$B$61)</f>
        <v>Unique Code</v>
      </c>
      <c r="C70" s="44" t="str">
        <f t="array" ref="C70">IF(C68="","",IF(C73="Futures","",IF(C73="Options Sell",INDEX([1]AB2!N:N,MATCH(C68,[1]AB2!A:A,0)))))</f>
        <v>BANKNIFTY_OP_SELL_WK_DIFF_2D_3D</v>
      </c>
      <c r="D70" s="32"/>
      <c r="E70" s="33"/>
      <c r="F70" s="45"/>
      <c r="G70" s="46"/>
      <c r="H70" s="46"/>
      <c r="I70" s="47"/>
      <c r="J70" s="33"/>
      <c r="K70" s="45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29"/>
      <c r="AC70" s="29"/>
    </row>
    <row r="71" spans="1:29" ht="42.75" customHeight="1" x14ac:dyDescent="0.2">
      <c r="A71" s="15" t="str">
        <f>IF(C68="","",CONCATENATE(C69,[1]AB5!$A$7))</f>
        <v>S20B</v>
      </c>
      <c r="B71" s="48"/>
      <c r="C71" s="49"/>
      <c r="D71" s="32"/>
      <c r="E71" s="33"/>
      <c r="F71" s="50" t="str">
        <f>IF(C68="","",IF(C73="Futures","",IF(C73="Options Sell",[1]AB5!$F$62,IF(C73="Options Buy",[1]AB5!$F$95))))</f>
        <v>Put</v>
      </c>
      <c r="G71" s="20" t="str">
        <f t="array" ref="G71">IF(C68="","",IF(C73="Futures","",IF(C73="Options Sell",CONCATENATE("( ",INDEX([1]AB4!BP:BP,MATCH(A71,[1]AB4!B:B))," ",INDEX([1]AB4!BQ:BQ,MATCH(A71,[1]AB4!B:B))," ",TEXT(INDEX([1]AB4!BR:BR,MATCH(A71,[1]AB4!B:B)),"0.00%")," ) &amp; ",INDEX([1]AB4!BS:BS,MATCH(A71,[1]AB4!B:B))),IF(C73="Options Buy",CONCATENATE("( ",INDEX([1]AB4!BP:BP,MATCH(A71,[1]AB4!B:B,0))," ",INDEX([1]AB4!BQ:BQ,MATCH(A71,[1]AB4!B:B,0))," ",TEXT(INDEX([1]AB4!BR:BR,MATCH(A71,[1]AB4!B:B,0)),"0.00%")," ) &amp; ",INDEX([1]AB4!BS:BS,MATCH(A71,[1]AB4!B:B,0)))))))</f>
        <v>( SPT : PRV : 2DHH - 5.00% ) &amp; Round Up</v>
      </c>
      <c r="H71" s="20" t="str">
        <f t="array" ref="H71">IF(C68="","",IF(C73="Futures","",IF(C73="Options Sell",CONCATENATE(INDEX([1]AB4!CE:CE,MATCH(A71,[1]AB4!B:B)),[1]AB5!$H$59,TEXT(INDEX([1]AB4!CF:CF,MATCH(A71,[1]AB4!B:B)),"0.00%")))))</f>
        <v>SPT : PRV : 2DHH * 1.50%</v>
      </c>
      <c r="I71" s="21" t="str">
        <f t="array" ref="I71">IF(C68="","",IF(C73="Futures","",IF(C73="Options Sell",CONCATENATE(INDEX([1]AB4!CI:CI,MATCH(A71,[1]AB4!B:B)),[1]AB5!$I$59))))</f>
        <v>500 Lots</v>
      </c>
      <c r="J71" s="33"/>
      <c r="K71" s="50" t="str">
        <f>IF(C68="","",IF(C73="Futures","",IF(C73="Options Sell",[1]AB5!$K$62,IF(C73="Options Buy",[1]AB5!$K$95))))</f>
        <v>Put</v>
      </c>
      <c r="L71" s="23" t="str">
        <f>IF(C68="","",IF(C73="Futures","",IF(C73="Options Sell",[1]AB5!$G$7,IF(C73="Options Buy",[1]AB5!$L$95))))</f>
        <v>E &amp; T</v>
      </c>
      <c r="M71" s="20" t="str">
        <f t="array" ref="M71">IF(C68="","",IF(C73="Futures","",IF(C73="Options Sell",CONCATENATE(INDEX([1]AB4!G:G,MATCH(A71,[1]AB4!B:B,0)),INDEX([1]AB4!H:H,MATCH(A71,[1]AB4!B:B,0)),TEXT(INDEX([1]AB4!I:I,MATCH(A71,[1]AB4!B:B,0)),"0.00%")))))</f>
        <v>OPT : PRV : 2DLL - 7.50%</v>
      </c>
      <c r="N71" s="24">
        <f t="array" ref="N71">IF(C68="","",IF(C73="Futures","",IF(C73="Options Sell",INDEX([1]AB4!J:J,MATCH(A71,[1]AB4!B:B,0)))))</f>
        <v>1</v>
      </c>
      <c r="O71" s="25" t="str">
        <f t="array" ref="O71">IF(C68="","",IF(C73="Futures","",IF(C73="Options Sell",IF(INDEX([1]AB4!N:N,MATCH(A71,[1]AB4!B:B,0))="","",CONCATENATE(INDEX([1]AB4!L:L,MATCH(A71,[1]AB4!B:B,0)),INDEX([1]AB4!M:M,MATCH(A71,[1]AB4!B:B,0)),TEXT(INDEX([1]AB4!N:N,MATCH(A71,[1]AB4!B:B,0)),"0.00%"))))))</f>
        <v>PE : Entry  - 60.00%</v>
      </c>
      <c r="P71" s="26">
        <f t="array" ref="P71">IF(C68="","",IF(C73="Futures","",IF(C73="Options Sell",IF(INDEX([1]AB4!N:N,MATCH(A71,[1]AB4!B:B,0))="","",INDEX([1]AB4!O:O,MATCH(A71,[1]AB4!B:B,0))))))</f>
        <v>1</v>
      </c>
      <c r="Q71" s="27"/>
      <c r="R71" s="25" t="str">
        <f t="array" ref="R71">IF(C68="","",IF(C73="Futures","",IF(C73="Options Sell",IF(INDEX([1]AB4!P:P,MATCH(A71,[1]AB4!B:B,0))="","",CONCATENATE(INDEX([1]AB4!L:L,MATCH(A71,[1]AB4!B:B,0)),INDEX([1]AB4!M:M,MATCH(A71,[1]AB4!B:B,0)),TEXT(INDEX([1]AB4!P:P,MATCH(A71,[1]AB4!B:B,0)),"0.00%"))))))</f>
        <v/>
      </c>
      <c r="S71" s="24" t="str">
        <f t="array" ref="S71">IF(C68="","",IF(C73="Futures","",IF(C73="Options Sell",IF(INDEX([1]AB4!P:P,MATCH(A71,[1]AB4!B:B,0))="","",INDEX([1]AB4!Q:Q,MATCH(A71,[1]AB4!B:B,0))))))</f>
        <v/>
      </c>
      <c r="T71" s="25" t="str">
        <f t="array" ref="T71">IF(C68="","",IF(C73="Futures","",IF(C73="Options Sell",IF(INDEX([1]AB4!R:R,MATCH(A71,[1]AB4!B:B,0))="","",CONCATENATE(INDEX([1]AB4!L:L,MATCH(A71,[1]AB4!B:B,0)),INDEX([1]AB4!M:M,MATCH(A71,[1]AB4!B:B,0)),TEXT(INDEX([1]AB4!R:R,MATCH(A71,[1]AB4!B:B,0)),"0.00%"))))))</f>
        <v/>
      </c>
      <c r="U71" s="24" t="str">
        <f t="array" ref="U71">IF(C68="","",IF(C73="Futures","",IF(C73="Options Sell",IF(INDEX([1]AB4!R:R,MATCH(A71,[1]AB4!B:B,0))="","",INDEX([1]AB4!S:S,MATCH(A71,[1]AB4!B:B,0))))))</f>
        <v/>
      </c>
      <c r="V71" s="25" t="str">
        <f t="array" ref="V71">IF(C71="","",IF(C73="Futures","",IF(C73="Options Sell",IF(INDEX([1]AB4!T:T,MATCH(A71,[1]AB4!B:B,0))="","",CONCATENATE(INDEX([1]AB4!L:L,MATCH(A71,[1]AB4!B:B,0)),INDEX([1]AB4!M:M,MATCH(A71,[1]AB4!B:B,0)),TEXT(INDEX([1]AB4!T:T,MATCH(A71,[1]AB4!B:B,0)),"0.00%"))))))</f>
        <v/>
      </c>
      <c r="W71" s="24" t="str">
        <f t="array" ref="W71">IF(C68="","",IF(C73="Futures","",IF(C73="Options Sell",IF(INDEX([1]AB4!T:T,MATCH(A71,[1]AB4!B:B,0))="","",INDEX([1]AB4!U:U,MATCH(A71,[1]AB4!B:B,0))))))</f>
        <v/>
      </c>
      <c r="X71" s="25" t="str">
        <f t="array" ref="X71">IF(C68="","",IF(C73="Futures","",IF(C73="Options Sell",IF(INDEX([1]AB4!V:V,MATCH(A71,[1]AB4!B:B,0))="","",INDEX([1]AB4!V:V,MATCH(A71,[1]AB4!B:B,0))))))</f>
        <v/>
      </c>
      <c r="Y71" s="24" t="str">
        <f t="array" ref="Y71">IF(C68="","",IF(C73="Futures","",IF(C73="Options Sell",IF(INDEX([1]AB4!V:V,MATCH(A71,[1]AB4!B:B,0))="","",INDEX([1]AB4!W:W,MATCH(A71,[1]AB4!B:B,0))))))</f>
        <v/>
      </c>
      <c r="Z71" s="25" t="str">
        <f t="array" ref="Z71">IF(C68="","",IF(C73="Futures","",IF(C73="Options Sell",IF(INDEX([1]AB4!X:X,MATCH(A71,[1]AB4!B:B,0))="","",INDEX([1]AB4!X:X,MATCH(A71,[1]AB4!B:B,0))))))</f>
        <v/>
      </c>
      <c r="AA71" s="28" t="str">
        <f t="array" ref="AA71">IF(C68="","",IF(C73="Futures","",IF(C73="Options Sell",IF(INDEX([1]AB4!X:X,MATCH(A71,[1]AB4!B:B,0))="","",INDEX([1]AB4!X:X,MATCH(A71,[1]AB4!Y:Y,0))))))</f>
        <v/>
      </c>
      <c r="AB71" s="29"/>
      <c r="AC71" s="29"/>
    </row>
    <row r="72" spans="1:29" ht="42.75" customHeight="1" thickBot="1" x14ac:dyDescent="0.25">
      <c r="A72" s="15" t="str">
        <f>IF(C68="","",CONCATENATE(C69,[1]AB5!$A$8))</f>
        <v>S20B</v>
      </c>
      <c r="B72" s="51"/>
      <c r="C72" s="52"/>
      <c r="D72" s="34"/>
      <c r="E72" s="53"/>
      <c r="F72" s="34"/>
      <c r="G72" s="35" t="str">
        <f t="array" ref="G72">IF(C68="","",IF(C73="Futures","",IF(C73="Options Sell",CONCATENATE("( ",INDEX([1]AB4!BT:BT,MATCH(A72,[1]AB4!B:B))," ) &amp; ",INDEX([1]AB4!BW:BW,MATCH(A72,[1]AB4!B:B))," ",INDEX([1]AB4!BX:BX,MATCH(A72,[1]AB4!B:B))," ",INDEX([1]AB4!BY:BY,MATCH(A72,[1]AB4!B:B))),IF(C73="Options Buy",CONCATENATE("( ",INDEX([1]AB4!BP:BP,MATCH(A72,[1]AB4!B:B,0))," ",INDEX([1]AB4!BQ:BQ,MATCH(A72,[1]AB4!B:B,0))," ",TEXT(INDEX([1]AB4!BR:BR,MATCH(A72,[1]AB4!B:B,0)),"0.00%")," ) &amp; ",INDEX([1]AB4!BS:BS,MATCH(A72,[1]AB4!B:B,0)))))))</f>
        <v>( SPT : PRV : 2DHH ) &amp; Round Up + 1</v>
      </c>
      <c r="H72" s="35" t="str">
        <f t="array" ref="H72">IF(C68="","",IF(C73="Futures","",IF(C73="Options Sell",CONCATENATE(INDEX([1]AB4!CG:CG,MATCH(A72,[1]AB4!B:B)),[1]AB5!$H$60,TEXT(INDEX([1]AB4!CH:CH,MATCH(A72,[1]AB4!B:B)),"0.00%")))))</f>
        <v>SPT : PRV : 2DHH * 1.10%</v>
      </c>
      <c r="I72" s="36" t="str">
        <f t="array" ref="I72">IF(C68="","",IF(C73="Futures","",IF(C73="Options Sell",CONCATENATE(INDEX([1]AB4!CJ:CJ,MATCH(A72,[1]AB4!B:B)),[1]AB5!$I$60))))</f>
        <v>1 Exp</v>
      </c>
      <c r="J72" s="53"/>
      <c r="K72" s="34"/>
      <c r="L72" s="37" t="str">
        <f>IF(C68="","",IF(C73="Futures","",IF(C73="Options Sell",[1]AB5!$G$8,IF(C73="Options Buy",[1]AB5!$L$96))))</f>
        <v>SL / TRP</v>
      </c>
      <c r="M72" s="35" t="str">
        <f t="array" ref="M72">IF(C68="","",IF(C73="Futures","",IF(C73="Options Sell",IF(INDEX([1]AB4!AL:AL,MATCH(A72,[1]AB4!B:B,0))="","",CONCATENATE(INDEX([1]AB4!AA:AA,MATCH(A72,[1]AB4!B:B,0))," ( ",INDEX([1]AB4!AE:AE,MATCH(A72,[1]AB4!B:B,0)),INDEX([1]AB4!AF:AF,MATCH(A72,[1]AB4!B:B,0)),TEXT(INDEX([1]AB4!AG:AG,MATCH(A72,[1]AB4!B:B,0)),"0.00%")," &amp; ",INDEX([1]AB4!AK:AK,MATCH(A72,[1]AB4!B:B,0)),INDEX([1]AB4!AJ:AJ,MATCH(A72,[1]AB4!B:B,0)),TEXT(INDEX([1]AB4!AL:AL,MATCH(A72,[1]AB4!B:B,0)),"0.00%")," )")))))</f>
        <v>Min ( PE : Entry  + 60.00% &amp; OPT : PRV : 3DHH + 10.00% )</v>
      </c>
      <c r="N72" s="38">
        <f t="array" ref="N72">IF(C68="","",IF(C73="Futures","",IF(C73="Options Sell",INDEX([1]AB4!AM:AM,MATCH(A72,[1]AB4!B:B,0)))))</f>
        <v>1</v>
      </c>
      <c r="O72" s="35" t="str">
        <f t="array" ref="O72">IF(C68="","",IF(C73="Futures","",IF(C73="Options Sell",IF(INDEX([1]AB4!AO:AO,MATCH(A72,[1]AB4!B:B,0))="","",CONCATENATE(INDEX([1]AB4!AA:AA,MATCH(A72,[1]AB4!B:B,0))," ( ",INDEX([1]AB4!AE:AE,MATCH(A72,[1]AB4!B:B,0))," &amp; ",INDEX([1]AB4!AN:AN,MATCH(A72,[1]AB4!B:B,0)),INDEX([1]AB4!AJ:AJ,MATCH(A72,[1]AB4!B:B,0)),TEXT(INDEX([1]AB4!AO:AO,MATCH(A72,[1]AB4!B:B,0)),"0.00%")," )")))))</f>
        <v/>
      </c>
      <c r="P72" s="39" t="str">
        <f t="array" ref="P72">IF(C68="","",IF(C73="Futures","",IF(C73="Options Sell",IF(INDEX([1]AB4!AO:AO,MATCH(A72,[1]AB4!B:B,0))="","",INDEX([1]AB4!AP:AP,MATCH(A72,[1]AB4!B:B,0))))))</f>
        <v/>
      </c>
      <c r="Q72" s="40"/>
      <c r="R72" s="35" t="str">
        <f t="array" ref="R72">IF(C68="","",IF(C73="Futures","",IF(C73="Options Sell",IF(INDEX([1]AB4!AR:AR,MATCH(A72,[1]AB4!B:B,0))="","",CONCATENATE(INDEX([1]AB4!AA:AA,MATCH(A72,[1]AB4!B:B,0))," ( ",INDEX([1]AB4!AE:AE,MATCH(A72,[1]AB4!B:B,0))," &amp; ",INDEX([1]AB4!AQ:AQ,MATCH(A72,[1]AB4!B:B,0)),INDEX([1]AB4!AJ:AJ,MATCH(A72,[1]AB4!B:B,0)),TEXT(INDEX([1]AB4!AR:AR,MATCH(A72,[1]AB4!B:B,0)),"0.00%")," )")))))</f>
        <v/>
      </c>
      <c r="S72" s="38" t="str">
        <f t="array" ref="S72">IF(C68="","",IF(C73="Futures","",IF(C73="Options Sell",IF(INDEX([1]AB4!AR:AR,MATCH(A72,[1]AB4!B:B,0))="","",INDEX([1]AB4!AS:AS,MATCH(A72,[1]AB4!B:B,0))))))</f>
        <v/>
      </c>
      <c r="T72" s="35" t="str">
        <f t="array" ref="T72">IF(C68="","",IF(C73="Futures","",IF(C73="Options Sell",IF(INDEX([1]AB4!AU:AU,MATCH(A72,[1]AB4!B:B))="","",CONCATENATE(INDEX([1]AB4!AA:AA,MATCH(A72,[1]AB4!B:B))," ( ",INDEX([1]AB4!AE:AE,MATCH(A72,[1]AB4!B:B))," &amp; ",INDEX([1]AB4!AT:AT,MATCH(A72,[1]AB4!B:B)),INDEX([1]AB4!AJ:AJ,MATCH(A72,[1]AB4!B:B)),TEXT(INDEX([1]AB4!AU:AU,MATCH(A72,[1]AB4!B:B)),"0.00%")," )")))))</f>
        <v/>
      </c>
      <c r="U72" s="38" t="str">
        <f t="array" ref="U72">IF(C68="","",IF(C73="Futures","",IF(C73="Options Sell",IF(INDEX([1]AB4!AU:AU,MATCH(A72,[1]AB4!B:B,0))="","",INDEX([1]AB4!AV:AV,MATCH(A72,[1]AB4!B:B,0))))))</f>
        <v/>
      </c>
      <c r="V72" s="35" t="str">
        <f t="array" ref="V72">IF(C71="","",IF(C73="Futures","",IF(C73="Options Sell",IF(INDEX([1]AB4!AX:AX,MATCH(A72,[1]AB4!B:B,0))="","",CONCATENATE(INDEX([1]AB4!AA:AA,MATCH(A72,[1]AB4!B:B,0))," ( ",INDEX([1]AB4!AE:AE,MATCH(A72,[1]AB4!B:B,0))," &amp; ",INDEX([1]AB4!AW:AW,MATCH(A72,[1]AB4!B:B,0)),INDEX([1]AB4!AJ:AJ,MATCH(A72,[1]AB4!B:B,0)),TEXT(INDEX([1]AB4!AX:AX,MATCH(A72,[1]AB4!B:B,0)),"0.00%")," )")))))</f>
        <v/>
      </c>
      <c r="W72" s="38" t="str">
        <f t="array" ref="W72">IF(C68="","",IF(C73="Futures","",IF(C73="Options Sell",IF(INDEX([1]AB4!AX:AX,MATCH(A72,[1]AB4!B:B,0))="","",INDEX([1]AB4!AY:AY,MATCH(A72,[1]AB4!B:B,0))))))</f>
        <v/>
      </c>
      <c r="X72" s="35" t="str">
        <f t="array" ref="X72">IF(C68="","",IF(C73="Futures","",IF(C73="Options Sell",IF(INDEX([1]AB4!BA:BA,MATCH(A72,[1]AB4!B:B,0))="","",CONCATENATE(INDEX([1]AB4!AA:AA,MATCH(A72,[1]AB4!B:B,0))," ( ",INDEX([1]AB4!AE:AE,MATCH(A72,[1]AB4!B:B,0))," &amp; ",INDEX([1]AB4!AW:AW,MATCH(A72,[1]AB4!B:B,0)),INDEX([1]AB4!AJ:AJ,MATCH(A72,[1]AB4!B:B,0)),TEXT(INDEX([1]AB4!AX:AX,MATCH(A72,[1]AB4!B:B,0)),"0.00%")," )")))))</f>
        <v/>
      </c>
      <c r="Y72" s="38" t="str">
        <f t="array" ref="Y72">IF(C68="","",IF(C73="Futures","",IF(C73="Options Sell",IF(INDEX([1]AB4!BA:BA,MATCH(A72,[1]AB4!B:B,0))="","",INDEX([1]AB4!AY:AY,MATCH(A72,[1]AB4!B:B,0))))))</f>
        <v/>
      </c>
      <c r="Z72" s="41">
        <f t="array" ref="Z72">IF(C68="","",IF(C73="Futures","",IF(C73="Options Sell",IF(INDEX([1]AB4!BD:BD,MATCH(A71,[1]AB4!B:B,0))="","",INDEX([1]AB4!AZ:AZ,MATCH(A71,[1]AB4!B:B,0))))))</f>
        <v>0</v>
      </c>
      <c r="AA72" s="42">
        <f t="array" ref="AA72">IF(C68="","",IF(C73="Futures","",IF(C73="Options Sell",IF(INDEX([1]AB4!BD:BD,MATCH(A72,[1]AB4!B:B,0))="","",INDEX([1]AB4!BB:BB,MATCH(A72,[1]AB4!B:B,0))))))</f>
        <v>0</v>
      </c>
      <c r="AB72" s="29"/>
      <c r="AC72" s="29"/>
    </row>
    <row r="73" spans="1:29" ht="18.75" customHeight="1" thickBot="1" x14ac:dyDescent="0.25">
      <c r="A73" s="15" t="str">
        <f>IF(C68="","",CONCATENATE(C69,[1]AB5!$A$9))</f>
        <v>S20C</v>
      </c>
      <c r="B73" s="30" t="str">
        <f>IF(C68="","",[1]AB5!$B$64)</f>
        <v>Segment</v>
      </c>
      <c r="C73" s="31" t="str">
        <f t="array" ref="C73">IF(C68="","",INDEX([1]AB2!C:C,MATCH(C68,[1]AB2!A:A,0)))</f>
        <v>OPTIONS SELL</v>
      </c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29"/>
      <c r="AC73" s="29"/>
    </row>
    <row r="74" spans="1:29" ht="42.75" customHeight="1" x14ac:dyDescent="0.2">
      <c r="A74" s="15" t="str">
        <f>IF(C68="","",CONCATENATE(C69,[1]AB5!$A$10))</f>
        <v>S20D</v>
      </c>
      <c r="B74" s="30" t="str">
        <f>IF(C68="","",[1]AB5!$B$65)</f>
        <v>Symbol</v>
      </c>
      <c r="C74" s="31" t="str">
        <f t="array" ref="C74">IF(C68="","",IF(C73="Futures","",IF(C73="Options Sell",INDEX([1]AB2!E:E,MATCH(C68,[1]AB2!A:A,0)))))</f>
        <v>BANKNIFTY</v>
      </c>
      <c r="D74" s="50" t="str">
        <f>IF(C68="","",IF(C73="Futures","",IF(C73="Options Sell",[1]AB5!$D$65,IF(C73="Options Buy",[1]AB5!$D$98))))</f>
        <v>BEAR / BEAR CF</v>
      </c>
      <c r="E74" s="19"/>
      <c r="F74" s="18" t="str">
        <f>IF(C68="","",IF(C73="Futures","",IF(C73="Options Sell",[1]AB5!$F$65)))</f>
        <v>Call</v>
      </c>
      <c r="G74" s="20" t="str">
        <f t="array" ref="G74">IF(C68="","",IF(C73="Futures","",IF(C73="Options Sell",CONCATENATE("( ",INDEX([1]AB4!BP:BP,MATCH(A74,[1]AB4!B:B))," ",INDEX([1]AB4!BQ:BQ,MATCH(A74,[1]AB4!B:B))," ",TEXT(INDEX([1]AB4!BR:BR,MATCH(A74,[1]AB4!B:B)),"0.00%")," ) &amp; ",INDEX([1]AB4!BS:BS,MATCH(A74,[1]AB4!B:B))),IF(C73="Options Buy",CONCATENATE("( ",INDEX([1]AB4!BP:BP,MATCH(A74,[1]AB4!B:B,0))," ",INDEX([1]AB4!BQ:BQ,MATCH(A74,[1]AB4!B:B,0))," ",TEXT(INDEX([1]AB4!BR:BR,MATCH(A74,[1]AB4!B:B,0)),"0.00%")," ) &amp; ",INDEX([1]AB4!BS:BS,MATCH(A74,[1]AB4!B:B,0)))))))</f>
        <v>( SPT : PRV : 2DLL + 5.00% ) &amp; Round Down</v>
      </c>
      <c r="H74" s="20" t="str">
        <f t="array" ref="H74">IF(C68="","",IF(C73="Futures","",IF(C73="Options Sell",CONCATENATE(INDEX([1]AB4!CE:CE,MATCH(A74,[1]AB4!B:B)),[1]AB5!$H$59,TEXT(INDEX([1]AB4!CF:CF,MATCH(A74,[1]AB4!B:B)),"0.00%")))))</f>
        <v>SPT : PRV : 2DLL * 1.50%</v>
      </c>
      <c r="I74" s="21" t="str">
        <f t="array" ref="I74">IF(C68="","",IF(C73="Futures","",IF(C73="Options Sell",CONCATENATE(INDEX([1]AB4!CI:CI,MATCH(A74,[1]AB4!B:B)),[1]AB5!$I$59))))</f>
        <v>500 Lots</v>
      </c>
      <c r="J74" s="55" t="str">
        <f>IF(C68="","",IF(C73="Futures","",IF(C73="Options Sell",[1]AB5!$J$65,IF(C73="Options Buy",[1]AB5!$J$98))))</f>
        <v>BEAR / BEAR CF</v>
      </c>
      <c r="K74" s="18" t="str">
        <f>IF(C68="","",IF(C73="Futures","",IF(C73="Options Sell",[1]AB5!$K$65,IF(C73="Options Buy",[1]AB5!$K$98))))</f>
        <v>Call</v>
      </c>
      <c r="L74" s="23" t="str">
        <f>IF(C68="","",IF(C73="Futures","",IF(C73="Options Sell",[1]AB5!$G$10,IF(C73="Options Buy",[1]AB5!$L$98))))</f>
        <v>E &amp; T</v>
      </c>
      <c r="M74" s="20" t="str">
        <f t="array" ref="M74">IF(C68="","",IF(C73="Futures","",IF(C73="Options Sell",CONCATENATE(INDEX([1]AB4!G:G,MATCH(A74,[1]AB4!B:B,0)),INDEX([1]AB4!H:H,MATCH(A74,[1]AB4!B:B,0)),TEXT(INDEX([1]AB4!I:I,MATCH(A74,[1]AB4!B:B,0)),"0.00%")))))</f>
        <v>OPT : PRV : 2DLL - 7.50%</v>
      </c>
      <c r="N74" s="24">
        <f t="array" ref="N74">IF(C68="","",IF(C73="Futures","",IF(C73="Options Sell",INDEX([1]AB4!J:J,MATCH(A74,[1]AB4!B:B,0)))))</f>
        <v>1</v>
      </c>
      <c r="O74" s="25" t="str">
        <f t="array" ref="O74">IF(C68="","",IF(C73="Futures","",IF(C73="Options Sell",IF(INDEX([1]AB4!N:N,MATCH(A74,[1]AB4!B:B,0))="","",CONCATENATE(INDEX([1]AB4!L:L,MATCH(A74,[1]AB4!B:B,0)),INDEX([1]AB4!M:M,MATCH(A74,[1]AB4!B:B,0)),TEXT(INDEX([1]AB4!N:N,MATCH(A74,[1]AB4!B:B,0)),"0.00%"))))))</f>
        <v>CE : Entry  - 60.00%</v>
      </c>
      <c r="P74" s="26">
        <f t="array" ref="P74">IF(C68="","",IF(C73="Futures","",IF(C73="Options Sell",IF(INDEX([1]AB4!N:N,MATCH(A74,[1]AB4!B:B,0))="","",INDEX([1]AB4!O:O,MATCH(A74,[1]AB4!B:B,0))))))</f>
        <v>1</v>
      </c>
      <c r="Q74" s="27"/>
      <c r="R74" s="25" t="str">
        <f t="array" ref="R74">IF(C68="","",IF(C73="Futures","",IF(C73="Options Sell",IF(INDEX([1]AB4!P:P,MATCH(A74,[1]AB4!B:B,0))="","",CONCATENATE(INDEX([1]AB4!L:L,MATCH(A74,[1]AB4!B:B,0)),INDEX([1]AB4!M:M,MATCH(A74,[1]AB4!B:B,0)),TEXT(INDEX([1]AB4!P:P,MATCH(A74,[1]AB4!B:B,0)),"0.00%"))))))</f>
        <v/>
      </c>
      <c r="S74" s="24" t="str">
        <f t="array" ref="S74">IF(C68="","",IF(C73="Futures","",IF(C73="Options Sell",IF(INDEX([1]AB4!P:P,MATCH(A74,[1]AB4!B:B,0))="","",INDEX([1]AB4!Q:Q,MATCH(A74,[1]AB4!B:B,0))))))</f>
        <v/>
      </c>
      <c r="T74" s="25" t="str">
        <f t="array" ref="T74">IF(C68="","",IF(C73="Futures","",IF(C73="Options Sell",IF(INDEX([1]AB4!R:R,MATCH(A74,[1]AB4!B:B,0))="","",CONCATENATE(INDEX([1]AB4!L:L,MATCH(A74,[1]AB4!B:B,0)),INDEX([1]AB4!M:M,MATCH(A74,[1]AB4!B:B,0)),TEXT(INDEX([1]AB4!R:R,MATCH(A74,[1]AB4!B:B,0)),"0.00%"))))))</f>
        <v/>
      </c>
      <c r="U74" s="24" t="str">
        <f t="array" ref="U74">IF(C68="","",IF(C73="Futures","",IF(C73="Options Sell",IF(INDEX([1]AB4!R:R,MATCH(A74,[1]AB4!B:B,0))="","",INDEX([1]AB4!S:S,MATCH(A74,[1]AB4!B:B,0))))))</f>
        <v/>
      </c>
      <c r="V74" s="25" t="str">
        <f t="array" ref="V74">IF(C74="","",IF(C73="Futures","",IF(C73="Options Sell",IF(INDEX([1]AB4!T:T,MATCH(A74,[1]AB4!B:B,0))="","",CONCATENATE(INDEX([1]AB4!L:L,MATCH(A74,[1]AB4!B:B,0)),INDEX([1]AB4!M:M,MATCH(A74,[1]AB4!B:B,0)),TEXT(INDEX([1]AB4!T:T,MATCH(A74,[1]AB4!B:B,0)),"0.00%"))))))</f>
        <v/>
      </c>
      <c r="W74" s="24" t="str">
        <f t="array" ref="W74">IF(C68="","",IF(C73="Futures","",IF(C73="Options Sell",IF(INDEX([1]AB4!T:T,MATCH(A74,[1]AB4!B:B,0))="","",INDEX([1]AB4!U:U,MATCH(A74,[1]AB4!B:B,0))))))</f>
        <v/>
      </c>
      <c r="X74" s="25" t="str">
        <f t="array" ref="X74">IF(C68="","",IF(C73="Futures","",IF(C73="Options Sell",IF(INDEX([1]AB4!V:V,MATCH(A74,[1]AB4!B:B,0))="","",INDEX([1]AB4!V:V,MATCH(A74,[1]AB4!B:B,0))))))</f>
        <v/>
      </c>
      <c r="Y74" s="24" t="str">
        <f t="array" ref="Y74">IF(C68="","",IF(C73="Futures","",IF(C73="Options Sell",IF(INDEX([1]AB4!V:V,MATCH(A74,[1]AB4!B:B,0))="","",INDEX([1]AB4!W:W,MATCH(A74,[1]AB4!B:B,0))))))</f>
        <v/>
      </c>
      <c r="Z74" s="25" t="str">
        <f t="array" ref="Z74">IF(C68="","",IF(C73="Futures","",IF(C73="Options Sell",IF(INDEX([1]AB4!X:X,MATCH(A74,[1]AB4!B:B,0))="","",INDEX([1]AB4!X:X,MATCH(A74,[1]AB4!B:B,0))))))</f>
        <v/>
      </c>
      <c r="AA74" s="28" t="str">
        <f t="array" ref="AA74">IF(C68="","",IF(C73="Futures","",IF(C73="Options Sell",IF(INDEX([1]AB4!X:X,MATCH(A74,[1]AB4!B:B,0))="","",INDEX([1]AB4!X:X,MATCH(A74,[1]AB4!Y:Y,0))))))</f>
        <v/>
      </c>
      <c r="AB74" s="29"/>
      <c r="AC74" s="29"/>
    </row>
    <row r="75" spans="1:29" ht="42.75" customHeight="1" thickBot="1" x14ac:dyDescent="0.25">
      <c r="A75" s="15" t="str">
        <f>IF(C68="","",CONCATENATE(C69,[1]AB5!$A$11))</f>
        <v>S20D</v>
      </c>
      <c r="B75" s="30" t="str">
        <f>IF(C68="","",[1]AB5!$B$66)</f>
        <v>No. of TGT</v>
      </c>
      <c r="C75" s="31" t="str">
        <f t="array" ref="C75">IF(C68="","",IF(C73="Futures","",IF(C73="Options Sell",INDEX([1]AB2!K:K,MATCH(C68,[1]AB2!A:A,0)))))</f>
        <v>APS</v>
      </c>
      <c r="D75" s="32"/>
      <c r="E75" s="33"/>
      <c r="F75" s="34"/>
      <c r="G75" s="35" t="str">
        <f t="array" ref="G75">IF(C68="","",IF(C73="Futures","",IF(C73="Options Sell",CONCATENATE("( ",INDEX([1]AB4!BT:BT,MATCH(A75,[1]AB4!B:B))," ) &amp; ",INDEX([1]AB4!BW:BW,MATCH(A75,[1]AB4!B:B))," ",INDEX([1]AB4!BX:BX,MATCH(A75,[1]AB4!B:B))," ",INDEX([1]AB4!BY:BY,MATCH(A75,[1]AB4!B:B))),IF(C73="Options Buy",CONCATENATE("( ",INDEX([1]AB4!BP:BP,MATCH(A75,[1]AB4!B:B,0))," ",INDEX([1]AB4!BQ:BQ,MATCH(A75,[1]AB4!B:B,0))," ",TEXT(INDEX([1]AB4!BR:BR,MATCH(A75,[1]AB4!B:B,0)),"0.00%")," ) &amp; ",INDEX([1]AB4!BS:BS,MATCH(A75,[1]AB4!B:B,0)))))))</f>
        <v>( SPT : PRV : 2DLL ) &amp; Round Down - 1</v>
      </c>
      <c r="H75" s="35" t="str">
        <f t="array" ref="H75">IF(C68="","",IF(C73="Futures","",IF(C73="Options Sell",CONCATENATE(INDEX([1]AB4!CG:CG,MATCH(A75,[1]AB4!B:B)),[1]AB5!$H$60,TEXT(INDEX([1]AB4!CH:CH,MATCH(A75,[1]AB4!B:B)),"0.00%")))))</f>
        <v>SPT : PRV : 2DLL * 1.10%</v>
      </c>
      <c r="I75" s="36" t="str">
        <f t="array" ref="I75">IF(C68="","",IF(C73="Futures","",IF(C73="Options Sell",CONCATENATE(INDEX([1]AB4!CJ:CJ,MATCH(A75,[1]AB4!B:B)),[1]AB5!$I$60))))</f>
        <v>1 Exp</v>
      </c>
      <c r="J75" s="33"/>
      <c r="K75" s="34"/>
      <c r="L75" s="37" t="str">
        <f>IF(C68="","",IF(C73="Futures","",IF(C73="Options Sell",[1]AB5!$G$11,IF(C73="Options Buy",[1]AB5!$L$99))))</f>
        <v>SL / TRP</v>
      </c>
      <c r="M75" s="35" t="str">
        <f t="array" ref="M75">IF(C68="","",IF(C73="Futures","",IF(C73="Options Sell",IF(INDEX([1]AB4!AL:AL,MATCH(A75,[1]AB4!B:B,0))="","",CONCATENATE(INDEX([1]AB4!AA:AA,MATCH(A75,[1]AB4!B:B,0))," ( ",INDEX([1]AB4!AE:AE,MATCH(A75,[1]AB4!B:B,0)),INDEX([1]AB4!AF:AF,MATCH(A75,[1]AB4!B:B,0)),TEXT(INDEX([1]AB4!AG:AG,MATCH(A75,[1]AB4!B:B,0)),"0.00%")," &amp; ",INDEX([1]AB4!AK:AK,MATCH(A75,[1]AB4!B:B,0)),INDEX([1]AB4!AJ:AJ,MATCH(A75,[1]AB4!B:B,0)),TEXT(INDEX([1]AB4!AL:AL,MATCH(A75,[1]AB4!B:B,0)),"0.00%")," )")))))</f>
        <v>Min ( CE : Entry  + 60.00% &amp; OPT : PRV : 3DHH + 10.00% )</v>
      </c>
      <c r="N75" s="38">
        <f t="array" ref="N75">IF(C68="","",IF(C73="Futures","",IF(C73="Options Sell",INDEX([1]AB4!AM:AM,MATCH(A75,[1]AB4!B:B,0)))))</f>
        <v>1</v>
      </c>
      <c r="O75" s="35" t="str">
        <f t="array" ref="O75">IF(C68="","",IF(C73="Futures","",IF(C73="Options Sell",IF(INDEX([1]AB4!AO:AO,MATCH(A75,[1]AB4!B:B,0))="","",CONCATENATE(INDEX([1]AB4!AA:AA,MATCH(A75,[1]AB4!B:B,0))," ( ",INDEX([1]AB4!AE:AE,MATCH(A75,[1]AB4!B:B,0))," &amp; ",INDEX([1]AB4!AN:AN,MATCH(A75,[1]AB4!B:B,0)),INDEX([1]AB4!AJ:AJ,MATCH(A75,[1]AB4!B:B,0)),TEXT(INDEX([1]AB4!AO:AO,MATCH(A75,[1]AB4!B:B,0)),"0.00%")," )")))))</f>
        <v/>
      </c>
      <c r="P75" s="39" t="str">
        <f t="array" ref="P75">IF(C68="","",IF(C73="Futures","",IF(C73="Options Sell",IF(INDEX([1]AB4!AO:AO,MATCH(A75,[1]AB4!B:B,0))="","",INDEX([1]AB4!AP:AP,MATCH(A75,[1]AB4!B:B,0))))))</f>
        <v/>
      </c>
      <c r="Q75" s="40"/>
      <c r="R75" s="35" t="str">
        <f t="array" ref="R75">IF(C68="","",IF(C73="Futures","",IF(C73="Options Sell",IF(INDEX([1]AB4!AR:AR,MATCH(A75,[1]AB4!B:B,0))="","",CONCATENATE(INDEX([1]AB4!AA:AA,MATCH(A75,[1]AB4!B:B,0))," ( ",INDEX([1]AB4!AE:AE,MATCH(A75,[1]AB4!B:B,0))," &amp; ",INDEX([1]AB4!AQ:AQ,MATCH(A75,[1]AB4!B:B,0)),INDEX([1]AB4!AJ:AJ,MATCH(A75,[1]AB4!B:B,0)),TEXT(INDEX([1]AB4!AR:AR,MATCH(A75,[1]AB4!B:B,0)),"0.00%")," )")))))</f>
        <v/>
      </c>
      <c r="S75" s="38" t="str">
        <f t="array" ref="S75">IF(C68="","",IF(C73="Futures","",IF(C73="Options Sell",IF(INDEX([1]AB4!AR:AR,MATCH(A75,[1]AB4!B:B,0))="","",INDEX([1]AB4!AS:AS,MATCH(A75,[1]AB4!B:B,0))))))</f>
        <v/>
      </c>
      <c r="T75" s="35" t="str">
        <f t="array" ref="T75">IF(C68="","",IF(C73="Futures","",IF(C73="Options Sell",IF(INDEX([1]AB4!AU:AU,MATCH(A75,[1]AB4!B:B))="","",CONCATENATE(INDEX([1]AB4!AA:AA,MATCH(A75,[1]AB4!B:B))," ( ",INDEX([1]AB4!AE:AE,MATCH(A75,[1]AB4!B:B))," &amp; ",INDEX([1]AB4!AT:AT,MATCH(A75,[1]AB4!B:B)),INDEX([1]AB4!AJ:AJ,MATCH(A75,[1]AB4!B:B)),TEXT(INDEX([1]AB4!AU:AU,MATCH(A75,[1]AB4!B:B)),"0.00%")," )")))))</f>
        <v/>
      </c>
      <c r="U75" s="38" t="str">
        <f t="array" ref="U75">IF(C68="","",IF(C73="Futures","",IF(C73="Options Sell",IF(INDEX([1]AB4!AU:AU,MATCH(A75,[1]AB4!B:B,0))="","",INDEX([1]AB4!AV:AV,MATCH(A75,[1]AB4!B:B,0))))))</f>
        <v/>
      </c>
      <c r="V75" s="35" t="str">
        <f t="array" ref="V75">IF(C74="","",IF(C73="Futures","",IF(C73="Options Sell",IF(INDEX([1]AB4!AX:AX,MATCH(A75,[1]AB4!B:B,0))="","",CONCATENATE(INDEX([1]AB4!AA:AA,MATCH(A75,[1]AB4!B:B,0))," ( ",INDEX([1]AB4!AE:AE,MATCH(A75,[1]AB4!B:B,0))," &amp; ",INDEX([1]AB4!AW:AW,MATCH(A75,[1]AB4!B:B,0)),INDEX([1]AB4!AJ:AJ,MATCH(A75,[1]AB4!B:B,0)),TEXT(INDEX([1]AB4!AX:AX,MATCH(A75,[1]AB4!B:B,0)),"0.00%")," )")))))</f>
        <v/>
      </c>
      <c r="W75" s="38" t="str">
        <f t="array" ref="W75">IF(C68="","",IF(C73="Futures","",IF(C73="Options Sell",IF(INDEX([1]AB4!AX:AX,MATCH(A75,[1]AB4!B:B,0))="","",INDEX([1]AB4!AY:AY,MATCH(A75,[1]AB4!B:B,0))))))</f>
        <v/>
      </c>
      <c r="X75" s="35" t="str">
        <f t="array" ref="X75">IF(C68="","",IF(C73="Futures","",IF(C73="Options Sell",IF(INDEX([1]AB4!BA:BA,MATCH(A75,[1]AB4!B:B,0))="","",CONCATENATE(INDEX([1]AB4!AA:AA,MATCH(A75,[1]AB4!B:B,0))," ( ",INDEX([1]AB4!AE:AE,MATCH(A75,[1]AB4!B:B,0))," &amp; ",INDEX([1]AB4!AW:AW,MATCH(A75,[1]AB4!B:B,0)),INDEX([1]AB4!AJ:AJ,MATCH(A75,[1]AB4!B:B,0)),TEXT(INDEX([1]AB4!AX:AX,MATCH(A75,[1]AB4!B:B,0)),"0.00%")," )")))))</f>
        <v/>
      </c>
      <c r="Y75" s="38" t="str">
        <f t="array" ref="Y75">IF(C68="","",IF(C73="Futures","",IF(C73="Options Sell",IF(INDEX([1]AB4!BA:BA,MATCH(A75,[1]AB4!B:B,0))="","",INDEX([1]AB4!AY:AY,MATCH(A75,[1]AB4!B:B,0))))))</f>
        <v/>
      </c>
      <c r="Z75" s="41">
        <f t="array" ref="Z75">IF(C68="","",IF(C73="Futures","",IF(C73="Options Sell",IF(INDEX([1]AB4!BD:BD,MATCH(A74,[1]AB4!B:B,0))="","",INDEX([1]AB4!AZ:AZ,MATCH(A74,[1]AB4!B:B,0))))))</f>
        <v>0</v>
      </c>
      <c r="AA75" s="42">
        <f t="array" ref="AA75">IF(C74="","",IF(C73="Futures","",IF(C73="Options Sell",IF(INDEX([1]AB4!BD:BD,MATCH(A75,[1]AB4!B:B,0))="","",INDEX([1]AB4!BB:BB,MATCH(A75,[1]AB4!B:B,0))))))</f>
        <v>0</v>
      </c>
      <c r="AB75" s="29"/>
      <c r="AC75" s="29"/>
    </row>
    <row r="76" spans="1:29" ht="6.75" customHeight="1" thickBot="1" x14ac:dyDescent="0.25">
      <c r="A76" s="15" t="str">
        <f>IF(C68="","",CONCATENATE(C69,[1]AB5!A68))</f>
        <v>S20</v>
      </c>
      <c r="B76" s="56" t="str">
        <f>IF(C68="","",IF(C73="Futures","",IF(C73="Options Sell",[1]AB5!$B$67)))</f>
        <v>I Commit To Follow The Rules &amp; Process</v>
      </c>
      <c r="C76" s="57"/>
      <c r="D76" s="32"/>
      <c r="E76" s="33"/>
      <c r="F76" s="45"/>
      <c r="G76" s="46"/>
      <c r="H76" s="46"/>
      <c r="I76" s="47"/>
      <c r="J76" s="33"/>
      <c r="K76" s="45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29"/>
      <c r="AC76" s="29"/>
    </row>
    <row r="77" spans="1:29" ht="42.75" customHeight="1" x14ac:dyDescent="0.2">
      <c r="A77" s="15" t="str">
        <f>IF(C68="","",CONCATENATE(C69,[1]AB5!$A$13))</f>
        <v>S20E</v>
      </c>
      <c r="B77" s="32"/>
      <c r="C77" s="33"/>
      <c r="D77" s="32"/>
      <c r="E77" s="33"/>
      <c r="F77" s="50" t="str">
        <f>IF(C68="","",IF(C73="Futures","",IF(C73="Options Sell",[1]AB5!$F$68)))</f>
        <v>Put</v>
      </c>
      <c r="G77" s="20" t="str">
        <f t="array" ref="G77">IF(C68="","",IF(C73="Futures","",IF(C73="Options Sell",CONCATENATE("( ",INDEX([1]AB4!BP:BP,MATCH(A77,[1]AB4!B:B))," ",INDEX([1]AB4!BQ:BQ,MATCH(A77,[1]AB4!B:B))," ",TEXT(INDEX([1]AB4!BR:BR,MATCH(A77,[1]AB4!B:B)),"0.00%")," ) &amp; ",INDEX([1]AB4!BS:BS,MATCH(A77,[1]AB4!B:B))),IF(C73="Options Buy",CONCATENATE("( ",INDEX([1]AB4!BP:BP,MATCH(A77,[1]AB4!B:B,0))," ",INDEX([1]AB4!BQ:BQ,MATCH(A77,[1]AB4!B:B,0))," ",TEXT(INDEX([1]AB4!BR:BR,MATCH(A77,[1]AB4!B:B,0)),"0.00%")," ) &amp; ",INDEX([1]AB4!BS:BS,MATCH(A77,[1]AB4!B:B,0)))))))</f>
        <v>( SPT : PRV : 3DHH - 5.00% ) &amp; Round Up</v>
      </c>
      <c r="H77" s="20" t="str">
        <f t="array" ref="H77">IF(C68="","",IF(C73="Futures","",IF(C73="Options Sell",CONCATENATE(INDEX([1]AB4!CE:CE,MATCH(A77,[1]AB4!B:B)),[1]AB5!$H$59,TEXT(INDEX([1]AB4!CF:CF,MATCH(A77,[1]AB4!B:B)),"0.00%")))))</f>
        <v>SPT : PRV : 3DHH * 1.50%</v>
      </c>
      <c r="I77" s="21" t="str">
        <f t="array" ref="I77">IF(C68="","",IF(C73="Futures","",IF(C73="Options Sell",CONCATENATE(INDEX([1]AB4!CI:CI,MATCH(A77,[1]AB4!B:B)),[1]AB5!$I$59))))</f>
        <v>500 Lots</v>
      </c>
      <c r="J77" s="33"/>
      <c r="K77" s="50" t="str">
        <f>IF(C68="","",IF(C73="Futures","",IF(C73="Options Sell",[1]AB5!$K$68,IF(C73="Options Buy",[1]AB5!$K$101))))</f>
        <v>Put</v>
      </c>
      <c r="L77" s="23" t="str">
        <f>IF(C68="","",IF(C73="Futures","",IF(C73="Options Sell",[1]AB5!$G$13,IF(C73="Options Buy",[1]AB5!$L$101))))</f>
        <v>E &amp; T</v>
      </c>
      <c r="M77" s="20" t="str">
        <f t="array" ref="M77">IF(C68="","",IF(C73="Futures","",IF(C73="Options Sell",CONCATENATE(INDEX([1]AB4!G:G,MATCH(A77,[1]AB4!B:B,0)),INDEX([1]AB4!H:H,MATCH(A77,[1]AB4!B:B,0)),TEXT(INDEX([1]AB4!I:I,MATCH(A77,[1]AB4!B:B,0)),"0.00%")))))</f>
        <v>OPT : PRV : 3DLL - 7.50%</v>
      </c>
      <c r="N77" s="24">
        <f t="array" ref="N77">IF(C68="","",IF(C73="Futures","",IF(C73="Options Sell",INDEX([1]AB4!J:J,MATCH(A77,[1]AB4!B:B,0)))))</f>
        <v>1</v>
      </c>
      <c r="O77" s="25" t="str">
        <f t="array" ref="O77">IF(C68="","",IF(C73="Futures","",IF(C73="Options Sell",IF(INDEX([1]AB4!N:N,MATCH(A77,[1]AB4!B:B,0))="","",CONCATENATE(INDEX([1]AB4!L:L,MATCH(A77,[1]AB4!B:B,0)),INDEX([1]AB4!M:M,MATCH(A77,[1]AB4!B:B,0)),TEXT(INDEX([1]AB4!N:N,MATCH(A77,[1]AB4!B:B,0)),"0.00%"))))))</f>
        <v>PE : Entry  - 60.00%</v>
      </c>
      <c r="P77" s="26">
        <f t="array" ref="P77">IF(C68="","",IF(C73="Futures","",IF(C73="Options Sell",IF(INDEX([1]AB4!N:N,MATCH(A77,[1]AB4!B:B,0))="","",INDEX([1]AB4!O:O,MATCH(A77,[1]AB4!B:B,0))))))</f>
        <v>1</v>
      </c>
      <c r="Q77" s="27"/>
      <c r="R77" s="25" t="str">
        <f t="array" ref="R77">IF(C68="","",IF(C73="Futures","",IF(C73="Options Sell",IF(INDEX([1]AB4!P:P,MATCH(A77,[1]AB4!B:B,0))="","",CONCATENATE(INDEX([1]AB4!L:L,MATCH(A77,[1]AB4!B:B,0)),INDEX([1]AB4!M:M,MATCH(A77,[1]AB4!B:B,0)),TEXT(INDEX([1]AB4!P:P,MATCH(A77,[1]AB4!B:B,0)),"0.00%"))))))</f>
        <v/>
      </c>
      <c r="S77" s="24" t="str">
        <f t="array" ref="S77">IF(C68="","",IF(C73="Futures","",IF(C73="Options Sell",IF(INDEX([1]AB4!P:P,MATCH(A77,[1]AB4!B:B,0))="","",INDEX([1]AB4!Q:Q,MATCH(A77,[1]AB4!B:B,0))))))</f>
        <v/>
      </c>
      <c r="T77" s="25" t="str">
        <f t="array" ref="T77">IF(C68="","",IF(C73="Futures","",IF(C73="Options Sell",IF(INDEX([1]AB4!R:R,MATCH(A77,[1]AB4!B:B,0))="","",CONCATENATE(INDEX([1]AB4!L:L,MATCH(A77,[1]AB4!B:B,0)),INDEX([1]AB4!M:M,MATCH(A77,[1]AB4!B:B,0)),TEXT(INDEX([1]AB4!R:R,MATCH(A77,[1]AB4!B:B,0)),"0.00%"))))))</f>
        <v/>
      </c>
      <c r="U77" s="24" t="str">
        <f t="array" ref="U77">IF(C68="","",IF(C73="Futures","",IF(C73="Options Sell",IF(INDEX([1]AB4!R:R,MATCH(A77,[1]AB4!B:B,0))="","",INDEX([1]AB4!S:S,MATCH(A77,[1]AB4!B:B,0))))))</f>
        <v/>
      </c>
      <c r="V77" s="25" t="str">
        <f t="array" ref="V77">IF(C77="","",IF(C73="Futures","",IF(C73="Options Sell",IF(INDEX([1]AB4!T:T,MATCH(A77,[1]AB4!B:B,0))="","",CONCATENATE(INDEX([1]AB4!L:L,MATCH(A77,[1]AB4!B:B,0)),INDEX([1]AB4!M:M,MATCH(A77,[1]AB4!B:B,0)),TEXT(INDEX([1]AB4!T:T,MATCH(A77,[1]AB4!B:B,0)),"0.00%"))))))</f>
        <v/>
      </c>
      <c r="W77" s="24" t="str">
        <f t="array" ref="W77">IF(C68="","",IF(C73="Futures","",IF(C73="Options Sell",IF(INDEX([1]AB4!T:T,MATCH(A77,[1]AB4!B:B,0))="","",INDEX([1]AB4!U:U,MATCH(A77,[1]AB4!B:B,0))))))</f>
        <v/>
      </c>
      <c r="X77" s="25" t="str">
        <f t="array" ref="X77">IF(C68="","",IF(C73="Futures","",IF(C73="Options Sell",IF(INDEX([1]AB4!V:V,MATCH(A77,[1]AB4!B:B,0))="","",INDEX([1]AB4!V:V,MATCH(A77,[1]AB4!B:B,0))))))</f>
        <v/>
      </c>
      <c r="Y77" s="24" t="str">
        <f t="array" ref="Y77">IF(C68="","",IF(C73="Futures","",IF(C73="Options Sell",IF(INDEX([1]AB4!V:V,MATCH(A77,[1]AB4!B:B,0))="","",INDEX([1]AB4!W:W,MATCH(A77,[1]AB4!B:B,0))))))</f>
        <v/>
      </c>
      <c r="Z77" s="25" t="str">
        <f t="array" ref="Z77">IF(C68="","",IF(C73="Futures","",IF(C73="Options Sell",IF(INDEX([1]AB4!X:X,MATCH(A77,[1]AB4!B:B,0))="","",INDEX([1]AB4!X:X,MATCH(A77,[1]AB4!B:B,0))))))</f>
        <v/>
      </c>
      <c r="AA77" s="28" t="str">
        <f t="array" ref="AA77">IF(C68="","",IF(C73="Futures","",IF(C73="Options Sell",IF(INDEX([1]AB4!X:X,MATCH(A77,[1]AB4!B:B,0))="","",INDEX([1]AB4!X:X,MATCH(A77,[1]AB4!Y:Y,0))))))</f>
        <v/>
      </c>
      <c r="AB77" s="29"/>
      <c r="AC77" s="29"/>
    </row>
    <row r="78" spans="1:29" ht="42.75" customHeight="1" thickBot="1" x14ac:dyDescent="0.25">
      <c r="A78" s="15" t="str">
        <f>IF(C68="","",CONCATENATE(C69,[1]AB5!$A$14))</f>
        <v>S20E</v>
      </c>
      <c r="B78" s="34"/>
      <c r="C78" s="53"/>
      <c r="D78" s="34"/>
      <c r="E78" s="53"/>
      <c r="F78" s="34"/>
      <c r="G78" s="35" t="str">
        <f t="array" ref="G78">IF(C68="","",IF(C73="Futures","",IF(C73="Options Sell",CONCATENATE("( ",INDEX([1]AB4!BT:BT,MATCH(A78,[1]AB4!B:B))," ) &amp; ",INDEX([1]AB4!BW:BW,MATCH(A78,[1]AB4!B:B))," ",INDEX([1]AB4!BX:BX,MATCH(A78,[1]AB4!B:B))," ",INDEX([1]AB4!BY:BY,MATCH(A78,[1]AB4!B:B))),IF(C73="Options Buy",CONCATENATE("( ",INDEX([1]AB4!BP:BP,MATCH(A78,[1]AB4!B:B,0))," ",INDEX([1]AB4!BQ:BQ,MATCH(A78,[1]AB4!B:B,0))," ",TEXT(INDEX([1]AB4!BR:BR,MATCH(A78,[1]AB4!B:B,0)),"0.00%")," ) &amp; ",INDEX([1]AB4!BS:BS,MATCH(A78,[1]AB4!B:B,0)))))))</f>
        <v>( SPT : PRV : 3DHH ) &amp; Round Up + 1</v>
      </c>
      <c r="H78" s="35" t="str">
        <f t="array" ref="H78">IF(C68="","",IF(C73="Futures","",IF(C73="Options Sell",CONCATENATE(INDEX([1]AB4!CG:CG,MATCH(A78,[1]AB4!B:B)),[1]AB5!$H$60,TEXT(INDEX([1]AB4!CH:CH,MATCH(A78,[1]AB4!B:B)),"0.00%")))))</f>
        <v>SPT : PRV : 3DHH * 1.10%</v>
      </c>
      <c r="I78" s="36" t="str">
        <f t="array" ref="I78">IF(C68="","",IF(C73="Futures","",IF(C73="Options Sell",CONCATENATE(INDEX([1]AB4!CJ:CJ,MATCH(A78,[1]AB4!B:B)),[1]AB5!$I$60))))</f>
        <v>1 Exp</v>
      </c>
      <c r="J78" s="53"/>
      <c r="K78" s="34"/>
      <c r="L78" s="37" t="str">
        <f>IF(C68="","",IF(C73="Futures","",IF(C73="Options Sell",[1]AB5!$G$14,IF(C73="Options Buy",[1]AB5!$L$102))))</f>
        <v>SL / TRP</v>
      </c>
      <c r="M78" s="35" t="str">
        <f t="array" ref="M78">IF(C68="","",IF(C73="Futures","",IF(C73="Options Sell",IF(INDEX([1]AB4!AL:AL,MATCH(A78,[1]AB4!B:B,0))="","",CONCATENATE(INDEX([1]AB4!AA:AA,MATCH(A78,[1]AB4!B:B,0))," ( ",INDEX([1]AB4!AE:AE,MATCH(A78,[1]AB4!B:B,0)),INDEX([1]AB4!AF:AF,MATCH(A78,[1]AB4!B:B,0)),TEXT(INDEX([1]AB4!AG:AG,MATCH(A78,[1]AB4!B:B,0)),"0.00%")," &amp; ",INDEX([1]AB4!AK:AK,MATCH(A78,[1]AB4!B:B,0)),INDEX([1]AB4!AJ:AJ,MATCH(A78,[1]AB4!B:B,0)),TEXT(INDEX([1]AB4!AL:AL,MATCH(A78,[1]AB4!B:B,0)),"0.00%")," )")))))</f>
        <v>Min ( PE : Entry  + 60.00% &amp; OPT : PRV : 2DHH + 7.00% )</v>
      </c>
      <c r="N78" s="38">
        <f t="array" ref="N78">IF(C68="","",IF(C73="Futures","",IF(C73="Options Sell",INDEX([1]AB4!AM:AM,MATCH(A78,[1]AB4!B:B,0)))))</f>
        <v>1</v>
      </c>
      <c r="O78" s="35" t="str">
        <f t="array" ref="O78">IF(C68="","",IF(C73="Futures","",IF(C73="Options Sell",IF(INDEX([1]AB4!AO:AO,MATCH(A78,[1]AB4!B:B,0))="","",CONCATENATE(INDEX([1]AB4!AA:AA,MATCH(A78,[1]AB4!B:B,0))," ( ",INDEX([1]AB4!AE:AE,MATCH(A78,[1]AB4!B:B,0))," &amp; ",INDEX([1]AB4!AN:AN,MATCH(A78,[1]AB4!B:B,0)),INDEX([1]AB4!AJ:AJ,MATCH(A78,[1]AB4!B:B,0)),TEXT(INDEX([1]AB4!AO:AO,MATCH(A78,[1]AB4!B:B,0)),"0.00%")," )")))))</f>
        <v/>
      </c>
      <c r="P78" s="39" t="str">
        <f t="array" ref="P78">IF(C68="","",IF(C73="Futures","",IF(C73="Options Sell",IF(INDEX([1]AB4!AO:AO,MATCH(A78,[1]AB4!B:B,0))="","",INDEX([1]AB4!AP:AP,MATCH(A78,[1]AB4!B:B,0))))))</f>
        <v/>
      </c>
      <c r="Q78" s="40"/>
      <c r="R78" s="35" t="str">
        <f t="array" ref="R78">IF(C68="","",IF(C73="Futures","",IF(C73="Options Sell",IF(INDEX([1]AB4!AR:AR,MATCH(A78,[1]AB4!B:B,0))="","",CONCATENATE(INDEX([1]AB4!AA:AA,MATCH(A78,[1]AB4!B:B,0))," ( ",INDEX([1]AB4!AE:AE,MATCH(A78,[1]AB4!B:B,0))," &amp; ",INDEX([1]AB4!AQ:AQ,MATCH(A78,[1]AB4!B:B,0)),INDEX([1]AB4!AJ:AJ,MATCH(A78,[1]AB4!B:B,0)),TEXT(INDEX([1]AB4!AR:AR,MATCH(A78,[1]AB4!B:B,0)),"0.00%")," )")))))</f>
        <v/>
      </c>
      <c r="S78" s="38" t="str">
        <f t="array" ref="S78">IF(C68="","",IF(C73="Futures","",IF(C73="Options Sell",IF(INDEX([1]AB4!AR:AR,MATCH(A78,[1]AB4!B:B,0))="","",INDEX([1]AB4!AS:AS,MATCH(A78,[1]AB4!B:B,0))))))</f>
        <v/>
      </c>
      <c r="T78" s="35" t="str">
        <f t="array" ref="T78">IF(C68="","",IF(C73="Futures","",IF(C73="Options Sell",IF(INDEX([1]AB4!AU:AU,MATCH(A78,[1]AB4!B:B))="","",CONCATENATE(INDEX([1]AB4!AA:AA,MATCH(A78,[1]AB4!B:B))," ( ",INDEX([1]AB4!AE:AE,MATCH(A78,[1]AB4!B:B))," &amp; ",INDEX([1]AB4!AT:AT,MATCH(A78,[1]AB4!B:B)),INDEX([1]AB4!AJ:AJ,MATCH(A78,[1]AB4!B:B)),TEXT(INDEX([1]AB4!AU:AU,MATCH(A78,[1]AB4!B:B)),"0.00%")," )")))))</f>
        <v/>
      </c>
      <c r="U78" s="38" t="str">
        <f t="array" ref="U78">IF(C68="","",IF(C73="Futures","",IF(C73="Options Sell",IF(INDEX([1]AB4!AU:AU,MATCH(A78,[1]AB4!B:B,0))="","",INDEX([1]AB4!AV:AV,MATCH(A78,[1]AB4!B:B,0))))))</f>
        <v/>
      </c>
      <c r="V78" s="35" t="str">
        <f t="array" ref="V78">IF(C77="","",IF(C73="Futures","",IF(C73="Options Sell",IF(INDEX([1]AB4!AX:AX,MATCH(A78,[1]AB4!B:B,0))="","",CONCATENATE(INDEX([1]AB4!AA:AA,MATCH(A78,[1]AB4!B:B,0))," ( ",INDEX([1]AB4!AE:AE,MATCH(A78,[1]AB4!B:B,0))," &amp; ",INDEX([1]AB4!AW:AW,MATCH(A78,[1]AB4!B:B,0)),INDEX([1]AB4!AJ:AJ,MATCH(A78,[1]AB4!B:B,0)),TEXT(INDEX([1]AB4!AX:AX,MATCH(A78,[1]AB4!B:B,0)),"0.00%")," )")))))</f>
        <v/>
      </c>
      <c r="W78" s="38" t="str">
        <f t="array" ref="W78">IF(C68="","",IF(C73="Futures","",IF(C73="Options Sell",IF(INDEX([1]AB4!AX:AX,MATCH(A78,[1]AB4!B:B,0))="","",INDEX([1]AB4!AY:AY,MATCH(A78,[1]AB4!B:B,0))))))</f>
        <v/>
      </c>
      <c r="X78" s="35" t="str">
        <f t="array" ref="X78">IF(C68="","",IF(C73="Futures","",IF(C73="Options Sell",IF(INDEX([1]AB4!BA:BA,MATCH(A78,[1]AB4!B:B,0))="","",CONCATENATE(INDEX([1]AB4!AA:AA,MATCH(A78,[1]AB4!B:B,0))," ( ",INDEX([1]AB4!AE:AE,MATCH(A78,[1]AB4!B:B,0))," &amp; ",INDEX([1]AB4!AW:AW,MATCH(A78,[1]AB4!B:B,0)),INDEX([1]AB4!AJ:AJ,MATCH(A78,[1]AB4!B:B,0)),TEXT(INDEX([1]AB4!AX:AX,MATCH(A78,[1]AB4!B:B,0)),"0.00%")," )")))))</f>
        <v/>
      </c>
      <c r="Y78" s="38" t="str">
        <f t="array" ref="Y78">IF(C68="","",IF(C73="Futures","",IF(C73="Options Sell",IF(INDEX([1]AB4!BA:BA,MATCH(A78,[1]AB4!B:B,0))="","",INDEX([1]AB4!AY:AY,MATCH(A78,[1]AB4!B:B,0))))))</f>
        <v/>
      </c>
      <c r="Z78" s="41">
        <f t="array" ref="Z78">IF(C68="","",IF(C73="Futures","",IF(C73="Options Sell",IF(INDEX([1]AB4!BD:BD,MATCH(A77,[1]AB4!B:B,0))="","",INDEX([1]AB4!AZ:AZ,MATCH(A77,[1]AB4!B:B,0))))))</f>
        <v>0</v>
      </c>
      <c r="AA78" s="42">
        <f t="array" ref="AA78">IF(C68="","",IF(C73="Futures","",IF(C73="Options Sell",IF(INDEX([1]AB4!BD:BD,MATCH(A78,[1]AB4!B:B,0))="","",INDEX([1]AB4!BB:BB,MATCH(A78,[1]AB4!B:B,0))))))</f>
        <v>0</v>
      </c>
      <c r="AB78" s="29"/>
      <c r="AC78" s="29"/>
    </row>
    <row r="79" spans="1:29" ht="15.75" customHeight="1" thickBot="1" x14ac:dyDescent="0.25">
      <c r="A79" s="15"/>
      <c r="B79" s="54"/>
      <c r="C79" s="54"/>
      <c r="D79" s="54"/>
      <c r="E79" s="54"/>
      <c r="F79" s="54"/>
      <c r="G79" s="54"/>
      <c r="H79" s="54"/>
      <c r="I79" s="54"/>
      <c r="J79" s="54"/>
      <c r="K79" s="15"/>
      <c r="L79" s="58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15"/>
      <c r="AB79" s="60"/>
      <c r="AC79" s="60"/>
    </row>
    <row r="80" spans="1:29" ht="44.25" customHeight="1" thickBot="1" x14ac:dyDescent="0.25">
      <c r="A80" s="15"/>
      <c r="B80" s="61" t="str">
        <f>IF(C68="","",IF(C73="Futures","",IF(C73="Options Sell",[1]AB5!$B$71,IF(C73="Options Buy",[1]AB5!$B$104))))</f>
        <v>For Entry</v>
      </c>
      <c r="C80" s="62"/>
      <c r="D80" s="63" t="str">
        <f>IF(C68="","",IF(C73="Futures","",IF(C73="Options Sell",[1]AB5!$D$71,IF(C73="Options Buy",[1]AB5!$D$104))))</f>
        <v>Gap Check</v>
      </c>
      <c r="E80" s="64" t="str">
        <f>IF(C68="","",IF(C73="Futures","",IF(C73="Options Sell",[1]AB5!$E$71,IF(C73="Options Buy",[1]AB5!$E$104))))</f>
        <v>Process</v>
      </c>
      <c r="F80" s="65"/>
      <c r="G80" s="66" t="str">
        <f>IF(C68="","",IF(C73="Futures","",IF(C73="Options Sell",[1]AB5!$G$71,IF(C73="Options Buy",[1]AB5!$G$104))))</f>
        <v>Yes / No</v>
      </c>
      <c r="H80" s="67" t="str">
        <f>IF(C68="","",IF(C73="Futures","",IF(C73="Options Sell",[1]AB5!$H$71,IF(C73="Options Buy",[1]AB5!$H$104))))</f>
        <v>Order Status</v>
      </c>
      <c r="I80" s="68" t="str">
        <f>IF(C68="","",IF(C73="Futures","",IF(C73="Options Sell",[1]AB5!$I$71,IF(C73="Options Buy",[1]AB5!$D$92))))</f>
        <v>Step 1</v>
      </c>
      <c r="J80" s="69" t="str">
        <f>IF(C68="","",IF(C73="Futures","",IF(C73="Options Sell",[1]AB5!$J$71,IF(C73="Options Buy",[1]AB5!$J$104))))</f>
        <v>Order Placement Timings</v>
      </c>
      <c r="K80" s="65"/>
      <c r="L80" s="70" t="str">
        <f>IF(C68="","",IF(C73="Futures","",IF(C73="Options Sell",[1]AB5!$L$71,IF(C73="Options Buy",[1]AB5!$L$104))))</f>
        <v>Time</v>
      </c>
      <c r="M80" s="68" t="str">
        <f>IF(C68="","",IF(C73="Futures","",IF(C73="Options Sell",[1]AB5!$M$71,IF(C73="Options Buy",[1]AB5!$M$104))))</f>
        <v>Rules For Gap = Step 1 Start Strike</v>
      </c>
      <c r="N80" s="66" t="str">
        <f>IF(C68="","",IF(C73="Futures","",IF(C73="Options Sell",[1]AB5!$N$71,IF(C73="Options Buy",[1]AB5!$N$104))))</f>
        <v>Start Strike Buffer</v>
      </c>
      <c r="O80" s="68" t="str">
        <f>IF(C68="","",IF(C73="Futures","",IF(C73="Options Sell",[1]AB5!$O$71,IF(C73="Options Buy",[1]AB5!$O$104))))</f>
        <v>Rules For Gap = Step 2 End Strike</v>
      </c>
      <c r="P80" s="69" t="str">
        <f>IF(C68="","",IF(C73="Futures","",IF(C73="Options Sell",[1]AB5!$P$71,IF(C73="Options Buy",[1]AB5!$P$104))))</f>
        <v>End Strike Buffer</v>
      </c>
      <c r="Q80" s="65"/>
      <c r="R80" s="65"/>
      <c r="S80" s="71" t="str">
        <f>IF(C68="","",IF(C73="Futures","",IF(C73="Options Sell",[1]AB5!$S$71,IF(C73="Options Buy",[1]AB5!$S$104))))</f>
        <v>Data</v>
      </c>
      <c r="T80" s="72" t="str">
        <f>IF(C68="","",IF(C73="Futures","",IF(C73="Options Sell",[1]AB5!$T$71,IF(C73="Options Buy",[1]AB5!$T$104))))</f>
        <v xml:space="preserve"> Ideal Premium</v>
      </c>
      <c r="U80" s="65"/>
      <c r="V80" s="68" t="str">
        <f>IF(C68="","",IF(C73="Futures","",IF(C73="Options Sell",[1]AB5!$V$71,IF(C73="Options Buy",[1]AB5!$V$104))))</f>
        <v>Minimum Premium</v>
      </c>
      <c r="W80" s="68" t="str">
        <f>IF(C68="","",IF(C73="Futures","",IF(C73="Options Sell",[1]AB5!$W$71,IF(C73="Options Buy",[1]AB5!$W$104))))</f>
        <v>Minimum OI</v>
      </c>
      <c r="X80" s="73" t="str">
        <f>IF(C68="","",IF(C73="Futures","",IF(C73="Options Sell",[1]AB5!$X$71,IF(C73="Options Buy",[1]AB5!$X$104))))</f>
        <v>Rules For Gap = Step 3 Revised Option Entry</v>
      </c>
      <c r="Y80" s="65"/>
      <c r="Z80" s="68" t="str">
        <f>IF(C68="","",IF(C73="Futures","",IF(C73="Options Sell",[1]AB5!$Z$71,[1]AB5!$Z$104)))</f>
        <v>Data</v>
      </c>
      <c r="AA80" s="74" t="str">
        <f>IF(C68="","",IF(C73="Futures","",IF(C73="Options Sell",[1]AB5!$AA$71,IF(C73="Options Buy",[1]AB5!$AA$104))))</f>
        <v>Buffer</v>
      </c>
      <c r="AB80" s="75"/>
      <c r="AC80" s="75"/>
    </row>
    <row r="81" spans="1:29" ht="44.25" customHeight="1" x14ac:dyDescent="0.2">
      <c r="A81" s="15" t="str">
        <f>IF(C68="","",CONCATENATE(C69,[1]AB5!$A$4))</f>
        <v>S20A</v>
      </c>
      <c r="B81" s="76" t="str">
        <f>IF(C68="","",IF(C73="Futures","",IF(C73="Options Sell",[1]AB5!$B$72,IF(C73="Options Buy",[1]AB5!$B$105))))</f>
        <v xml:space="preserve">ORPT </v>
      </c>
      <c r="C81" s="77" t="str">
        <f>IF(C68="","",IF(C73="Futures","",IF(C73="Options Sell",[1]AB5!$C$72,IF(C73="Options Buy",[1]AB5!$C$105))))</f>
        <v xml:space="preserve"> RC. Time</v>
      </c>
      <c r="D81" s="18" t="str">
        <f>IF(C68="","",IF(C73="Futures","",IF(C73="Options Sell",[1]AB5!$D$72,IF(C73="Options Buy",[1]AB5!$D$105))))</f>
        <v>For Call Sell Entry</v>
      </c>
      <c r="E81" s="78" t="str">
        <f>IF(C68="","",IF(C73="Futures","",IF(C73="Options Sell",CONCATENATE([1]AB5!$E$72,TEXT(B82,"HH:MM:SS AM/PM"),[1]AB5!$F$72))))</f>
        <v>Check If 09:24:59 AM LL &lt; Call Sell Entry</v>
      </c>
      <c r="F81" s="79"/>
      <c r="G81" s="80" t="str">
        <f>IF(C68="","",IF(C73="Futures","",IF(C73="Options Sell",[1]AB5!$G$72,IF(C73="Options Buy",[1]AB5!$G$105))))</f>
        <v>No</v>
      </c>
      <c r="H81" s="81" t="str">
        <f>IF(C68="","",IF(C73="Futures","",IF(C73="Options Sell",[1]AB5!$H$72)))</f>
        <v>Entry Not Missed</v>
      </c>
      <c r="I81" s="82" t="str">
        <f>IF(C68="","",IF(C73="Futures","",IF(C73="Options Sell",[1]AB5!$I$72)))</f>
        <v>Place the Order at ORPT</v>
      </c>
      <c r="J81" s="83" t="str">
        <f>IF(C68="","",IF(C73="Futures","",IF(C73="Options Sell",[1]AB5!$J$72)))</f>
        <v>ORPT Time</v>
      </c>
      <c r="K81" s="27"/>
      <c r="L81" s="84">
        <f>IF(C68="","",IF(C73="Futures","",IF(C73="Options Sell",B82)))</f>
        <v>0.39235416666666667</v>
      </c>
      <c r="M81" s="85" t="str">
        <f>IF(C68="","",IF(C73="Futures","",IF(C73="Options Sell",[1]AB5!$M$72)))</f>
        <v>N.A.</v>
      </c>
      <c r="N81" s="86" t="str">
        <f>IF(C68="","",IF(C73="Futures","",IF(C73="Options Sell",[1]AB5!$N$72)))</f>
        <v>N.A.</v>
      </c>
      <c r="O81" s="85" t="str">
        <f>IF(C68="","",IF(C73="Futures","",IF(C73="Options Sell",[1]AB5!$O$72)))</f>
        <v>N.A.</v>
      </c>
      <c r="P81" s="87" t="str">
        <f>IF(C68="","",IF(C73="Futures","",IF(C73="Options Sell",[1]AB5!$P$72)))</f>
        <v>N.A.</v>
      </c>
      <c r="Q81" s="88"/>
      <c r="R81" s="27"/>
      <c r="S81" s="89" t="str">
        <f>IF(C68="","",IF(C73="Futures","",IF(C73="Options Sell",[1]AB5!$S$72)))</f>
        <v>N.A.</v>
      </c>
      <c r="T81" s="90" t="str">
        <f>IF(C68="","",IF(C73="Futures","",IF(C73="Options Sell",[1]AB5!$T$72)))</f>
        <v>N.A.</v>
      </c>
      <c r="U81" s="27"/>
      <c r="V81" s="91" t="str">
        <f>IF(C68="","",IF(C73="Futures","",IF(C73="Options Sell",[1]AB5!$V$72)))</f>
        <v>N.A.</v>
      </c>
      <c r="W81" s="91" t="str">
        <f>IF(C68="","",IF(C73="Futures","",IF(C73="Options Sell",[1]AB5!$W$72)))</f>
        <v>N.A.</v>
      </c>
      <c r="X81" s="83" t="str">
        <f>IF(C68="","",IF(C73="Futures","",IF(C73="Options Sell",[1]AB5!$X$72)))</f>
        <v>N.A.</v>
      </c>
      <c r="Y81" s="27"/>
      <c r="Z81" s="89" t="str">
        <f>IF(C68="","",IF(C73="Futures","",IF(C73="Options Sell",[1]AB5!$Z$72)))</f>
        <v>N.A.</v>
      </c>
      <c r="AA81" s="92" t="str">
        <f>IF(C68="","",IF(C73="Futures","",IF(C73="Options Sell",[1]AB5!$AA$72)))</f>
        <v>N.A.</v>
      </c>
      <c r="AB81" s="75"/>
      <c r="AC81" s="75"/>
    </row>
    <row r="82" spans="1:29" ht="57" customHeight="1" x14ac:dyDescent="0.2">
      <c r="A82" s="93" t="str">
        <f>IF(C68="","",CONCATENATE(C69,[1]AB5!$A$7))</f>
        <v>S20B</v>
      </c>
      <c r="B82" s="94">
        <f t="array" ref="B82">IF(C68="","",INDEX([1]AB4!BE:BE,MATCH(A81,[1]AB4!B:B,0)))</f>
        <v>0.39235416666666667</v>
      </c>
      <c r="C82" s="95">
        <f t="array" ref="C82">IF(C68="","", INDEX([1]AB4!BE:BE,MATCH(A82,[1]AB4!B:B,0)))</f>
        <v>0.39582638888888888</v>
      </c>
      <c r="D82" s="32"/>
      <c r="E82" s="96"/>
      <c r="F82" s="97"/>
      <c r="G82" s="98" t="str">
        <f>IF(C68="","",IF(C73="Futures","",IF(C73="Options Sell",[1]AB5!$G$73,IF(C73="Options Buy",[1]AB5!$G$106))))</f>
        <v>Yes</v>
      </c>
      <c r="H82" s="99" t="str">
        <f>IF(C68="","",IF(C73="Futures","",IF(C73="Options Sell",[1]AB5!$H$73)))</f>
        <v>Entry Missed</v>
      </c>
      <c r="I82" s="100" t="str">
        <f>IF(C68="","",IF(C73="Futures","",IF(C73="Options Sell",[1]AB5!$I$73)))</f>
        <v>Recalcuate : Call Sell Entry : Bull / Bull CF</v>
      </c>
      <c r="J82" s="101" t="str">
        <f>IF(C68="","",IF(C73="Futures","",IF(C73="Options Sell",[1]AB5!$J$73)))</f>
        <v>Wait Till Recalculation Time</v>
      </c>
      <c r="K82" s="102"/>
      <c r="L82" s="103">
        <f>IF(C68="","",IF(C73="Futures","",IF(C73="Options Sell",C82)))</f>
        <v>0.39582638888888888</v>
      </c>
      <c r="M82" s="104" t="str">
        <f t="array" ref="M82">IF(C68="","",IF(C73="Futures","",IF(C73="Options Sell",CONCATENATE([1]AB5!$M$73, "( ",INDEX([1]AB4!BP:BP,MATCH(A68,[1]AB4!B:B,0))," &amp; ",S82," ) ",INDEX([1]AB4!BQ:BQ,MATCH(A68,[1]AB4!B:B))," ",N82," ) &amp; ",INDEX([1]AB4!BS:BS,MATCH(A68,[1]AB4!B:B,0))))))</f>
        <v>Min of ( SPT : PRV : 3DLL &amp; 09:29:59 AM LL ) + 5.00% ) &amp; Round Down</v>
      </c>
      <c r="N82" s="105" t="str">
        <f t="array" ref="N82">IF(A68="","",IF(C73="Futures","",IF(C73="Options Sell",TEXT(INDEX([1]AB4!CR:CR,MATCH(A68,[1]AB4!B:B,0)),"0.00%"))))</f>
        <v>5.00%</v>
      </c>
      <c r="O82" s="104" t="str">
        <f t="array" ref="O82">IF(C68="","",IF(C73="Futures","",IF(C73="Options Sell",CONCATENATE([1]AB5!$O$73,"( ",INDEX([1]AB4!BT:BT,MATCH(A68,[1]AB4!B:B,0))," &amp; ",S82," ) &amp; ",INDEX([1]AB4!BW:BW,MATCH(A68,[1]AB4!B:B,0))," ",INDEX([1]AB4!BX:BX,MATCH(A68,[1]AB4!B:B,0))," ",INDEX([1]AB4!BY:BY,MATCH(A68,[1]AB4!B:B,0))))))</f>
        <v>Min of ( SPT : PRV : 3DLL &amp; 09:29:59 AM LL ) &amp; Round Down - 1</v>
      </c>
      <c r="P82" s="106" t="str">
        <f t="array" ref="P82">IF(A68="","",IF(C73="Futures","",IF(C73="Options Sell",IF(INDEX([1]AB4!CS:CS,MATCH(A68,[1]AB4!B:B,0))="","",TEXT(INDEX([1]AB4!CS:CS,MATCH(A68,[1]AB4!B:B,0)),"0.00%")))))</f>
        <v/>
      </c>
      <c r="Q82" s="107"/>
      <c r="R82" s="102"/>
      <c r="S82" s="105" t="str">
        <f>IF(C68="","",IF(C73="Futures","",IF(C73="Options Sell",CONCATENATE(TEXT(L82,"HH:MM:SS AM/PM"),[1]AB5!$S$73))))</f>
        <v>09:29:59 AM LL</v>
      </c>
      <c r="T82" s="101" t="str">
        <f t="array" ref="T82">IF(C68="","",IF(C73="Futures","",IF(C73="Options Sell",CONCATENATE([1]AB5!$T$73,"( ",INDEX([1]AB4!CE:CE,MATCH(A68,[1]AB4!B:B,0))," &amp; ",S82," ) ",[1]AB5!$H$59,TEXT(INDEX([1]AB4!CF:CF,MATCH(A68,[1]AB4!B:B,0)),"0.00%")))))</f>
        <v>Min of ( SPT : PRV : 3DLL &amp; 09:29:59 AM LL )  * 1.50%</v>
      </c>
      <c r="U82" s="102"/>
      <c r="V82" s="104" t="str">
        <f t="array" ref="V82">IF(C68="","",IF(C73="Futures","",IF(C73="Options Sell",CONCATENATE([1]AB5!$V$73,"( ",INDEX([1]AB4!CG:CG,MATCH(A68,[1]AB4!B:B,0))," &amp; ",S82," ) ",[1]AB5!$H$59,TEXT(INDEX([1]AB4!CH:CH,MATCH(A68,[1]AB4!B:B,0)),"0.00%")))))</f>
        <v>Min of ( SPT : PRV : 3DLL &amp; 09:29:59 AM LL )  * 1.10%</v>
      </c>
      <c r="W82" s="104" t="str">
        <f>IF(A68="","",IF(C73="Futures","",IF(C73="Options Sell",I68)))</f>
        <v>500 Lots</v>
      </c>
      <c r="X82" s="101" t="str">
        <f t="array" ref="X82">IF(C68="","",IF(C73="Futures","",IF(C73="Options Sell",CONCATENATE([1]AB5!$X$73,"( ",INDEX([1]AB4!G:G,MATCH(A68,[1]AB4!B:B,0))," &amp; ",Z82," ) ",INDEX([1]AB4!H:H,MATCH(A68,[1]AB4!B:B,0))," ",AA82))))</f>
        <v>Min of ( OPT : PRV : 3DLL &amp; 09:29:59 AM LL )  -  7.50%</v>
      </c>
      <c r="Y82" s="102"/>
      <c r="Z82" s="108" t="str">
        <f>IF(C68="","",IF(C73="Futures","",IF(C73="Options Sell",CONCATENATE(TEXT(L82,"HH:MM:SS AM/PM"),[1]AB5!$S$73))))</f>
        <v>09:29:59 AM LL</v>
      </c>
      <c r="AA82" s="109" t="str">
        <f t="array" ref="AA82">IF(A68="","",IF(C73="Futures","",IF(C73="Options Sell",TEXT(INDEX([1]AB4!BK:BK,MATCH(A68,[1]AB4!B:B,0)),"0.00%"))))</f>
        <v>7.50%</v>
      </c>
      <c r="AB82" s="75"/>
      <c r="AC82" s="75"/>
    </row>
    <row r="83" spans="1:29" ht="57" customHeight="1" thickBot="1" x14ac:dyDescent="0.25">
      <c r="A83" s="15"/>
      <c r="B83" s="110"/>
      <c r="C83" s="111"/>
      <c r="D83" s="112"/>
      <c r="E83" s="12"/>
      <c r="F83" s="13"/>
      <c r="G83" s="14"/>
      <c r="H83" s="14"/>
      <c r="I83" s="100" t="str">
        <f>IF(C68="","",IF(C73="Futures","",IF(C73="Options Sell",[1]AB5!$I$74)))</f>
        <v>Recalcuate : Call Sell Entry : Bear / Bear CF</v>
      </c>
      <c r="J83" s="101" t="str">
        <f>IF(C68="","",IF(C73="Futures","",IF(C73="Options Sell",[1]AB5!$J$74)))</f>
        <v>Wait Till Recalculation Time</v>
      </c>
      <c r="K83" s="102"/>
      <c r="L83" s="103">
        <f>IF(C68="","",IF(C73="Futures","",IF(C73="Options Sell",C82)))</f>
        <v>0.39582638888888888</v>
      </c>
      <c r="M83" s="104" t="str">
        <f t="array" ref="M83">IF(C68="","",IF(C73="Futures","",IF(C73="Options Sell",CONCATENATE([1]AB5!$M$74,"( ",INDEX([1]AB4!BP:BP,MATCH(A74,[1]AB4!B:B,0))," &amp; ",S83," ) ",INDEX([1]AB4!BQ:BQ,MATCH(A74,[1]AB4!B:B,0))," ",N83," ) &amp; ",INDEX([1]AB4!BS:BS,MATCH(A74,[1]AB4!B:B,0))))))</f>
        <v>Min of ( SPT : PRV : 2DLL &amp; 09:29:59 AM LL ) + 5.00% ) &amp; Round Down</v>
      </c>
      <c r="N83" s="105" t="str">
        <f t="array" ref="N83">IF(A68="","",IF(C73="Futures","",IF(C73="Options Sell",TEXT(INDEX([1]AB4!CR:CR,MATCH(A74,[1]AB4!B:B,0)),"0.00%"))))</f>
        <v>5.00%</v>
      </c>
      <c r="O83" s="104" t="str">
        <f t="array" ref="O83">IF(C68="","",IF(C73="Futures","",IF(C73="Options Sell",CONCATENATE([1]AB5!$O$74,"( ",INDEX([1]AB4!BT:BT,MATCH(A74,[1]AB4!B:B,0))," &amp; ",S83," ) &amp; ",INDEX([1]AB4!BW:BW,MATCH(A74,[1]AB4!B:B,0))," ",INDEX([1]AB4!BX:BX,MATCH(A74,[1]AB4!B:B,0))," ",INDEX([1]AB4!BY:BY,MATCH(A74,[1]AB4!B:B,0))))))</f>
        <v>Min of ( SPT : PRV : 2DLL &amp; 09:29:59 AM LL ) &amp; Round Down - 1</v>
      </c>
      <c r="P83" s="106" t="str">
        <f t="array" ref="P83">IF(A68="","",IF(C73="Futures","",IF(C73="Options Sell",IF(INDEX([1]AB4!CS:CS,MATCH(A74,[1]AB4!B:B,0))="","",TEXT(INDEX([1]AB4!CS:CS,MATCH(A74,[1]AB4!B:B,0)),"0.00%")))))</f>
        <v/>
      </c>
      <c r="Q83" s="107"/>
      <c r="R83" s="102"/>
      <c r="S83" s="105" t="str">
        <f>IF(C68="","",IF(C73="Futures","",IF(C73="Options Sell",CONCATENATE(TEXT(L83,"HH:MM:SS AM/PM"),[1]AB5!$S$74))))</f>
        <v>09:29:59 AM LL</v>
      </c>
      <c r="T83" s="101" t="str">
        <f t="array" ref="T83">IF(C68="","",IF(C73="Futures","",IF(C73="Options Sell",CONCATENATE([1]AB5!$T$74," of ( ",INDEX([1]AB4!CE:CE,MATCH(A74,[1]AB4!B:B,0))," &amp; ",S82," ) ",[1]AB5!$H$59,TEXT(INDEX([1]AB4!CF:CF,MATCH(A74,[1]AB4!B:B,0)),"0.00%")))))</f>
        <v>Min of  of ( SPT : PRV : 2DLL &amp; 09:29:59 AM LL )  * 1.50%</v>
      </c>
      <c r="U83" s="102"/>
      <c r="V83" s="104" t="str">
        <f t="array" ref="V83">IF(C68="","",IF(C73="Futures","",IF(C73="Options Sell",CONCATENATE([1]AB5!$V$74,"( ",INDEX([1]AB4!CG:CG,MATCH(A74,[1]AB4!B:B,0))," &amp; ",S83," ) ",[1]AB5!$H$59,TEXT(INDEX([1]AB4!CH:CH,MATCH(A74,[1]AB4!B:B,0)),"0.00%")))))</f>
        <v>Min of ( SPT : PRV : 2DLL &amp; 09:29:59 AM LL )  * 1.10%</v>
      </c>
      <c r="W83" s="104" t="str">
        <f>IF(A68="","",IF(C73="Futures","",IF(C73="Options Sell",I74)))</f>
        <v>500 Lots</v>
      </c>
      <c r="X83" s="101" t="str">
        <f t="array" ref="X83">IF(C68="","",IF(C73="Futures","",IF(C73="Options Sell",CONCATENATE([1]AB5!$X$74,"( ",INDEX([1]AB4!G:G,MATCH(A74,[1]AB4!B:B,0))," &amp; ",Z83," ) ", INDEX([1]AB4!H:H,MATCH(A74,[1]AB4!B:B,0))," ",AA83))))</f>
        <v>Min of ( OPT : PRV : 2DLL &amp; 09:29:59 AM LL )  -  7.50%</v>
      </c>
      <c r="Y83" s="102"/>
      <c r="Z83" s="108" t="str">
        <f>IF(C68="","",IF(C73="Futures","",IF(C73="Options Sell",CONCATENATE(TEXT(L83,"HH:MM:SS AM/PM"), [1]AB5!$S$74))))</f>
        <v>09:29:59 AM LL</v>
      </c>
      <c r="AA83" s="109" t="str">
        <f t="array" ref="AA83">IF(A68="","",IF(C73="Futures","",IF(C73="Options Sell",TEXT(INDEX([1]AB4!BK:BK,MATCH(A74,[1]AB4!B:B,0)),"0.00%"))))</f>
        <v>7.50%</v>
      </c>
      <c r="AB83" s="75"/>
      <c r="AC83" s="75"/>
    </row>
    <row r="84" spans="1:29" ht="44.25" customHeight="1" x14ac:dyDescent="0.2">
      <c r="A84" s="15"/>
      <c r="B84" s="113" t="str">
        <f>IF(C68="","",IF(C73="Futures","",IF(C73="Options Sell",[1]AB5!$B$75,IF(C73="Options Buy",[1]AB5!$B$108))))</f>
        <v>For SL (Position = Open)</v>
      </c>
      <c r="C84" s="114"/>
      <c r="D84" s="115" t="str">
        <f>IF(C68="","",IF(C73="Futures","",IF(C73="Options Sell",[1]AB5!$D$75,IF(C73="Options Buy",[1]AB5!$D$108))))</f>
        <v>For Put Sell Entry</v>
      </c>
      <c r="E84" s="116" t="str">
        <f>IF(C68="","",IF(C73="Futures","",IF(C73="Options Sell",CONCATENATE([1]AB5!$E$75,TEXT(B82,"HH:MM:SS AM/PM"),[1]AB5!$F$75))))</f>
        <v>Check If 09:24:59 AM LL &lt; Put Sell Entry</v>
      </c>
      <c r="F84" s="4"/>
      <c r="G84" s="117" t="str">
        <f>IF(C68="","",IF(C73="Futures","",IF(C73="Options Sell",[1]AB5!$G$75,IF(C73="Options Buy",[1]AB5!$G$108))))</f>
        <v>No</v>
      </c>
      <c r="H84" s="118" t="str">
        <f>IF(C68="","",IF(C73="Futures","",IF(C73="Options Sell",[1]AB5!$H$75)))</f>
        <v>Entry Not Missed</v>
      </c>
      <c r="I84" s="119" t="str">
        <f>IF(C68="","",IF(C73="Futures","",IF(C73="Options Sell",[1]AB5!$I$75)))</f>
        <v>Place the Order at ORPT</v>
      </c>
      <c r="J84" s="120" t="str">
        <f>IF(C68="","",IF(C73="Futures","",IF(C73="Options Sell",[1]AB5!$J$75)))</f>
        <v>ORPT Time</v>
      </c>
      <c r="K84" s="102"/>
      <c r="L84" s="121">
        <f>IF(C68="","",IF(C73="Futures","",IF(C73="Options Sell",B82)))</f>
        <v>0.39235416666666667</v>
      </c>
      <c r="M84" s="118" t="str">
        <f>IF(C68="","",IF(C73="Futures","",IF(C73="Options Sell",[1]AB5!$M$75)))</f>
        <v>N.A.</v>
      </c>
      <c r="N84" s="122" t="str">
        <f>IF(C68="","",IF(C73="Futures","",IF(C73="Options Sell",[1]AB5!$N$75)))</f>
        <v>N.A.</v>
      </c>
      <c r="O84" s="118" t="str">
        <f>IF(C68="","",IF(C73="Futures","",IF(C73="Options Sell",[1]AB5!$O$75)))</f>
        <v>N.A.</v>
      </c>
      <c r="P84" s="123" t="str">
        <f>IF(C68="","",IF(C73="Futures","",IF(C73="Options Sell",[1]AB5!$P$75)))</f>
        <v>N.A.</v>
      </c>
      <c r="Q84" s="107"/>
      <c r="R84" s="102"/>
      <c r="S84" s="118" t="str">
        <f>IF(C68="","",IF(C73="Futures","",IF(C73="Options Sell",[1]AB5!$S$75)))</f>
        <v>N.A.</v>
      </c>
      <c r="T84" s="124" t="str">
        <f>IF(C68="","",IF(C73="Futures","",IF(C73="Options Sell",[1]AB5!$T$75)))</f>
        <v>N.A.</v>
      </c>
      <c r="U84" s="102"/>
      <c r="V84" s="125" t="str">
        <f>IF(C68="","",IF(C73="Futures","",IF(C73="Options Sell",[1]AB5!$V$75)))</f>
        <v>N.A.</v>
      </c>
      <c r="W84" s="125" t="str">
        <f>IF(C68="","",IF(C73="Futures","",IF(C73="Options Sell",[1]AB5!$W$75)))</f>
        <v>N.A.</v>
      </c>
      <c r="X84" s="120" t="str">
        <f>IF(C68="","",IF(C73="Futures","",IF(C73="Options Sell",[1]AB5!$X$75)))</f>
        <v>N.A.</v>
      </c>
      <c r="Y84" s="102"/>
      <c r="Z84" s="126" t="str">
        <f>IF(C68="","",IF(C73="Futures","",IF(C73="Options Sell",[1]AB5!$Z$75)))</f>
        <v>N.A.</v>
      </c>
      <c r="AA84" s="127" t="str">
        <f>IF(C68="","",IF(C73="Futures","",IF(C73="Options Sell",[1]AB5!$AA$75)))</f>
        <v>N.A.</v>
      </c>
      <c r="AB84" s="75"/>
      <c r="AC84" s="75"/>
    </row>
    <row r="85" spans="1:29" ht="57" customHeight="1" x14ac:dyDescent="0.2">
      <c r="A85" s="15" t="str">
        <f>IF(C68="","",CONCATENATE(C69,[1]AB5!$A$4))</f>
        <v>S20A</v>
      </c>
      <c r="B85" s="128" t="str">
        <f>IF(C68="","",IF(C73="Futures","",IF(C73="Options Sell",[1]AB5!$B$76,IF(C73="Options Buy",[1]AB5!$B$109))))</f>
        <v xml:space="preserve">ORPT </v>
      </c>
      <c r="C85" s="129" t="str">
        <f>IF(C68="","",IF(C73="Futures","",IF(C73="Options Sell",[1]AB5!$C$76,IF(C73="Options Buy",[1]AB5!$C$109))))</f>
        <v xml:space="preserve"> RC. Time</v>
      </c>
      <c r="D85" s="32"/>
      <c r="E85" s="96"/>
      <c r="F85" s="97"/>
      <c r="G85" s="130" t="str">
        <f>IF(C68="","",IF(C73="Futures","",IF(C73="Options Sell",[1]AB5!$G$76,IF(C73="Options Buy",[1]AB5!$G$109))))</f>
        <v>Yes</v>
      </c>
      <c r="H85" s="131" t="str">
        <f>IF(C68="","",IF(C73="Futures","",IF(C73="Options Sell",[1]AB5!$H$76)))</f>
        <v>Entry Missed</v>
      </c>
      <c r="I85" s="119" t="str">
        <f>IF(C68="","",IF(C73="Futures","",IF(C73="Options Sell",[1]AB5!$I$76)))</f>
        <v>Recalcuate : Put Sell Entry : Bull / Bull CF</v>
      </c>
      <c r="J85" s="120" t="str">
        <f>IF(C68="","",IF(C73="Futures","",IF(C73="Options Sell",[1]AB5!$J$76)))</f>
        <v>Wait Till Recalculation Time</v>
      </c>
      <c r="K85" s="102"/>
      <c r="L85" s="121">
        <f>IF(C68="","",IF(C73="Futures","",IF(C73="Options Sell",C82)))</f>
        <v>0.39582638888888888</v>
      </c>
      <c r="M85" s="118" t="str">
        <f t="array" ref="M85">IF(C68="","",IF(C73="Futures","",IF(C73="Options Sell",CONCATENATE([1]AB5!$M$76, "( ",INDEX([1]AB4!BP:BP,MATCH(A71,[1]AB4!B:B,0))," &amp; ",S85," ) ",INDEX([1]AB4!BQ:BQ,MATCH(A71,[1]AB4!B:B,0))," ",N85," ) &amp; ",INDEX([1]AB4!BS:BS,MATCH(A71,[1]AB4!B:B,0))))))</f>
        <v>Max of ( SPT : PRV : 2DHH &amp; 09:29:59 AM LL ) - 5.00% ) &amp; Round Up</v>
      </c>
      <c r="N85" s="122" t="str">
        <f t="array" ref="N85">IF(A68="","",IF(C73="Futures","",IF(C73="Options Sell",TEXT(INDEX([1]AB4!CR:CR,MATCH(A71,[1]AB4!B:B,0)),"0.00%"))))</f>
        <v>5.00%</v>
      </c>
      <c r="O85" s="118" t="str">
        <f t="array" ref="O85">IF(C68="","",IF(C73="Futures","",IF(C73="Options Sell",CONCATENATE([1]AB5!$O$76,"( ",INDEX([1]AB4!BT:BT,MATCH(A71,[1]AB4!B:B,0))," &amp; ",S85," ) &amp; ",INDEX([1]AB4!BW:BW,MATCH(A71,[1]AB4!B:B,0))," ",INDEX([1]AB4!BX:BX,MATCH(A71,[1]AB4!B:B,0))," ",INDEX([1]AB4!BY:BY,MATCH(A71,[1]AB4!B:B,0))))))</f>
        <v>Max of ( SPT : PRV : 2DHH &amp; 09:29:59 AM LL ) &amp; Round Up + 1</v>
      </c>
      <c r="P85" s="123" t="str">
        <f t="array" ref="P85">IF(A68="","",IF(C73="Futures","",IF(C73="Options Sell",IF(INDEX([1]AB4!CS:CS,MATCH(A71,[1]AB4!B:B,0))="","",TEXT(INDEX([1]AB4!CS:CS,MATCH(A71,[1]AB4!B:B,0)),"0.00%")))))</f>
        <v/>
      </c>
      <c r="Q85" s="107"/>
      <c r="R85" s="102"/>
      <c r="S85" s="132" t="str">
        <f>IF(C68="","",IF(C73="Futures","",IF(C73="Options Sell",CONCATENATE(TEXT(L85,"HH:MM:SS AM/PM"),[1]AB5!$S$76))))</f>
        <v>09:29:59 AM LL</v>
      </c>
      <c r="T85" s="120" t="str">
        <f t="array" ref="T85">IF(C68="","",IF(C73="Futures","",IF(C73="Options Sell",CONCATENATE([1]AB5!$T$76,"( ",INDEX([1]AB4!CE:CE,MATCH(A71,[1]AB4!B:B,0))," &amp; ",S85," ) ",[1]AB5!$H$59,TEXT(INDEX([1]AB4!CF:CF,MATCH(A71,[1]AB4!B:B,0)),"0.00%")))))</f>
        <v>Min of ( SPT : PRV : 2DHH &amp; 09:29:59 AM LL )  * 1.50%</v>
      </c>
      <c r="U85" s="102"/>
      <c r="V85" s="118" t="str">
        <f t="array" ref="V85">IF(C68="","",IF(C73="Futures","",IF(C73="Options Sell",CONCATENATE([1]AB5!$V$76,"( ",INDEX([1]AB4!CG:CG,MATCH(A71,[1]AB4!B:B,0))," &amp; ",S85," ) ",[1]AB5!$H$59,TEXT(INDEX([1]AB4!CH:CH,MATCH(A71,[1]AB4!B:B,0)),"0.00%")))))</f>
        <v>Min of ( SPT : PRV : 2DHH &amp; 09:29:59 AM LL )  * 1.10%</v>
      </c>
      <c r="W85" s="118" t="str">
        <f>IF(A68="","",IF(C73="Futures","",IF(C73="Options Sell",I71)))</f>
        <v>500 Lots</v>
      </c>
      <c r="X85" s="120" t="str">
        <f t="array" ref="X85">IF(C68="","",IF(C73="Futures","",IF(C73="Options Sell",CONCATENATE([1]AB5!$X$76,"( ",INDEX([1]AB4!G:G,MATCH(A71,[1]AB4!B:B,0))," &amp; ",Z85," ) ", INDEX([1]AB4!H:H,MATCH(A71,[1]AB4!B:B,0))," ",AA85))))</f>
        <v>Min of ( OPT : PRV : 2DLL &amp; 09:29:59 AM LL )  -  7.50%</v>
      </c>
      <c r="Y85" s="102"/>
      <c r="Z85" s="133" t="str">
        <f>IF(C68="","",IF(C73="Futures","",IF(C73="Options Sell",CONCATENATE(TEXT(L85,"HH:MM:SS AM/PM"), [1]AB5!$S$76))))</f>
        <v>09:29:59 AM LL</v>
      </c>
      <c r="AA85" s="134" t="str">
        <f t="array" ref="AA85">IF(A68="","",IF(C73="Futures","",IF(C73="Options Sell",TEXT(INDEX([1]AB4!BK:BK,MATCH(A71,[1]AB4!B:B,0)),"0.00%"))))</f>
        <v>7.50%</v>
      </c>
      <c r="AB85" s="75"/>
      <c r="AC85" s="75"/>
    </row>
    <row r="86" spans="1:29" ht="57" customHeight="1" thickBot="1" x14ac:dyDescent="0.25">
      <c r="A86" s="15" t="str">
        <f>IF(C68="","",CONCATENATE(C69,[1]AB5!$A$7))</f>
        <v>S20B</v>
      </c>
      <c r="B86" s="135">
        <f t="array" ref="B86">IF(C68="","", IF(C73="Futures","",IF(C73="Options Sell",INDEX([1]AB4!BF:BF,MATCH(A85,[1]AB4!B:B,0)))))</f>
        <v>0.39235416666666667</v>
      </c>
      <c r="C86" s="136">
        <f t="array" ref="C86">IF(C68="","", IF(C73="Futures","",IF(C73="Options Sell",INDEX([1]AB4!BF:BF,MATCH(A86,[1]AB4!B:B,0)))))</f>
        <v>0.39582638888888888</v>
      </c>
      <c r="D86" s="34"/>
      <c r="E86" s="111"/>
      <c r="F86" s="137"/>
      <c r="G86" s="138"/>
      <c r="H86" s="138"/>
      <c r="I86" s="139" t="str">
        <f>IF(C68="","",IF(C73="Futures","",IF(C73="Options Sell",[1]AB5!$I$77)))</f>
        <v>Recalcuate : Put Sell Entry : Bear / Bear CF</v>
      </c>
      <c r="J86" s="140" t="str">
        <f>IF(C68="","",IF(C73="Futures","",IF(C73="Options Sell",[1]AB5!$J$77)))</f>
        <v>Wait Till Recalculation Time</v>
      </c>
      <c r="K86" s="40"/>
      <c r="L86" s="141">
        <f>IF(C68="","",IF(C73="Futures","",IF(C73="Options Sell",C82)))</f>
        <v>0.39582638888888888</v>
      </c>
      <c r="M86" s="142" t="str">
        <f t="array" ref="M86">IF(C68="","",IF(C73="Futures","",IF(C73="Options Sell",CONCATENATE([1]AB5!$M$77, "( ",INDEX([1]AB4!BP:BP,MATCH(A77,[1]AB4!B:B,0))," &amp; ",S86," ) ", INDEX([1]AB4!BQ:BQ,MATCH(A77,[1]AB4!B:B,0))," ",N86," ) &amp; ",INDEX([1]AB4!BS:BS,MATCH(A77,[1]AB4!B:B,0))))))</f>
        <v>Max of ( SPT : PRV : 3DHH &amp; 09:29:59 AM LL ) - 5.00% ) &amp; Round Up</v>
      </c>
      <c r="N86" s="143" t="str">
        <f t="array" ref="N86">IF(A68="","",IF(C73="Futures","",IF(C73="Options Sell",TEXT(INDEX([1]AB4!CR:CR,MATCH(A77,[1]AB4!B:B,0)),"0.00%"))))</f>
        <v>5.00%</v>
      </c>
      <c r="O86" s="142" t="str">
        <f t="array" ref="O86">IF(C68="","",IF(C73="Futures","",IF(C73="Options Sell",CONCATENATE([1]AB5!$O$77,"( ",INDEX([1]AB4!BT:BT,MATCH(A77,[1]AB4!B:B,0))," &amp; ",S86," ) &amp; ",INDEX([1]AB4!BW:BW,MATCH(A77,[1]AB4!B:B,0))," ",INDEX([1]AB4!BX:BX,MATCH(A77,[1]AB4!B:B,0))," ",INDEX([1]AB4!BY:BY,MATCH(A77,[1]AB4!B:B,0))))))</f>
        <v>Max of ( SPT : PRV : 3DHH &amp; 09:29:59 AM LL ) &amp; Round Up + 1</v>
      </c>
      <c r="P86" s="144" t="str">
        <f t="array" ref="P86">IF(A68="","",IF(C73="Futures","",IF(C73="Options Sell",IF(INDEX([1]AB4!CS:CS,MATCH(A77,[1]AB4!B:B,0))="","",TEXT(INDEX([1]AB4!CS:CS,MATCH(A77,[1]AB4!B:B,0)),"0.00%")))))</f>
        <v/>
      </c>
      <c r="Q86" s="145"/>
      <c r="R86" s="40"/>
      <c r="S86" s="146" t="str">
        <f>IF(C68="","",IF(C73="Futures","",IF(C73="Options Sell",CONCATENATE(TEXT(L86,"HH:MM:SS AM/PM"),[1]AB5!$S$77))))</f>
        <v>09:29:59 AM LL</v>
      </c>
      <c r="T86" s="140" t="str">
        <f t="array" ref="T86">IF(C68="","",IF(C73="Futures","",IF(C73="Options Sell",CONCATENATE([1]AB5!$T$77,"( ",INDEX([1]AB4!CE:CE,MATCH(A77,[1]AB4!B:B,0))," &amp; ",S86," ) ",[1]AB5!$H$59,TEXT(INDEX([1]AB4!CF:CF,MATCH(A77,[1]AB4!B:B,0)),"0.00%")))))</f>
        <v>Min of ( SPT : PRV : 3DHH &amp; 09:29:59 AM LL )  * 1.50%</v>
      </c>
      <c r="U86" s="40"/>
      <c r="V86" s="142" t="str">
        <f t="array" ref="V86">IF(C68="","",IF(C73="Futures","",IF(C73="Options Sell",CONCATENATE([1]AB5!$V$77,"( ",INDEX([1]AB4!CG:CG,MATCH(A77,[1]AB4!B:B,0))," &amp; ",S86," ) ",[1]AB5!$H$59,TEXT(INDEX([1]AB4!CH:CH,MATCH(A77,[1]AB4!B:B,0)),"0.00%")))))</f>
        <v>Min of ( SPT : PRV : 3DHH &amp; 09:29:59 AM LL )  * 1.10%</v>
      </c>
      <c r="W86" s="142" t="str">
        <f>IF(A68="","",IF(C73="Futures","",IF(C73="Options Sell",I77)))</f>
        <v>500 Lots</v>
      </c>
      <c r="X86" s="140" t="str">
        <f t="array" ref="X86">IF(C68="","",IF(C73="Futures","",IF(C73="Options Sell",CONCATENATE([1]AB5!$X$77,"( ",INDEX([1]AB4!G:G,MATCH(A77,[1]AB4!B:B,0))," &amp; ",Z86," ) ", INDEX([1]AB4!H:H,MATCH(A77,[1]AB4!B:B,0))," ",AA86))))</f>
        <v>Min of ( OPT : PRV : 3DLL &amp; 09:29:59 AM LL )  -  7.50%</v>
      </c>
      <c r="Y86" s="40"/>
      <c r="Z86" s="147" t="str">
        <f>IF(C68="","",IF(C73="Futures","",IF(C73="Options Sell",CONCATENATE(TEXT(L86,"HH:MM:SS AM/PM"), [1]AB5!$S$77))))</f>
        <v>09:29:59 AM LL</v>
      </c>
      <c r="AA86" s="148" t="str">
        <f t="array" ref="AA86">IF(A68="","",IF(C73="Futures","",IF(C73="Options Sell",TEXT(INDEX([1]AB4!BK:BK,MATCH(A77,[1]AB4!B:B,0)),"0.00%"))))</f>
        <v>7.50%</v>
      </c>
      <c r="AB86" s="75"/>
      <c r="AC86" s="75"/>
    </row>
    <row r="87" spans="1:29" ht="8.25" customHeight="1" thickBot="1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49"/>
      <c r="L87" s="15"/>
      <c r="M87" s="15"/>
      <c r="N87" s="15"/>
      <c r="O87" s="75"/>
      <c r="P87" s="15"/>
      <c r="Q87" s="15"/>
      <c r="R87" s="15"/>
      <c r="S87" s="15"/>
      <c r="T87" s="15"/>
      <c r="U87" s="15"/>
      <c r="V87" s="15"/>
      <c r="W87" s="15"/>
      <c r="X87" s="15"/>
      <c r="Y87" s="75"/>
      <c r="Z87" s="75"/>
      <c r="AA87" s="75"/>
      <c r="AB87" s="75"/>
      <c r="AC87" s="75"/>
    </row>
    <row r="88" spans="1:29" ht="44.25" customHeight="1" thickBot="1" x14ac:dyDescent="0.25">
      <c r="A88" s="54"/>
      <c r="B88" s="113" t="str">
        <f>IF(C68="","",IF(C73="Futures","",IF(C73="Options Sell",[1]AB5!$B$79,IF(C73="Options Buy",[1]AB5!$B$112))))</f>
        <v>For TGT (Position = Open)</v>
      </c>
      <c r="C88" s="114"/>
      <c r="D88" s="63" t="str">
        <f>IF(C68="","",IF(C73="Futures","",IF(C73="Options Sell",[1]AB5!$D$79,IF(C73="Options Buy",[1]AB5!$D$112))))</f>
        <v>Gap Check</v>
      </c>
      <c r="E88" s="64" t="str">
        <f>IF(C68="","",IF(C73="Futures","",IF(C73="Options Sell",[1]AB5!$E$79,IF(C73="Options Buy",[1]AB5!$E$112))))</f>
        <v>Process</v>
      </c>
      <c r="F88" s="65"/>
      <c r="G88" s="66" t="str">
        <f>IF(C68="","",IF(C73="Futures","",IF(C73="Options Sell",[1]AB5!$G$79,IF(C73="Options Buy",[1]AB5!$G$112))))</f>
        <v>Y / N</v>
      </c>
      <c r="H88" s="67" t="str">
        <f>IF(C68="","",IF(C73="Futures","",IF(C73="Options Sell",[1]AB5!$H$79,IF(C73="Options Buy",[1]AB5!$H$112))))</f>
        <v>Status</v>
      </c>
      <c r="I88" s="68" t="str">
        <f>IF(C68="","",IF(C73="Futures","",IF(C73="Options Sell",[1]AB5!$I$79,IF(C73="Options Buy",[1]AB5!$I$112))))</f>
        <v>Step 1</v>
      </c>
      <c r="J88" s="69" t="str">
        <f>IF(C68="","",IF(C73="Futures","",IF(C73="Options Sell",[1]AB5!$J$79,IF(C73="Options Buy",[1]AB5!$J$112))))</f>
        <v>Order Placement Timings</v>
      </c>
      <c r="K88" s="65"/>
      <c r="L88" s="70" t="str">
        <f>IF(C68="","",IF(C73="Futures","",IF(C73="Options Sell",[1]AB5!$L$79,IF(C73="Options Buy",[1]AB5!$L$112))))</f>
        <v>Time</v>
      </c>
      <c r="M88" s="68" t="str">
        <f>IF(C68="","",IF(C73="Futures","",IF(C73="Options Sell",[1]AB5!$M$79,IF(C73="Options Buy",[1]AB5!$M$112))))</f>
        <v>Rules For Gaps</v>
      </c>
      <c r="N88" s="67" t="str">
        <f>IF(C68="","",IF(C73="Futures","",IF(C73="Options Sell",[1]AB5!$N$79,IF(C73="Options Buy",[1]AB5!$N$112))))</f>
        <v>Data</v>
      </c>
      <c r="O88" s="74" t="str">
        <f>IF(C68="","",IF(C73="Futures","",IF(C73="Options Sell",[1]AB5!$O$79,IF(C73="Options Buy",[1]AB5!$O$112))))</f>
        <v>Buffer</v>
      </c>
      <c r="P88" s="70" t="str">
        <f>IF(C68="","",IF(C73="Futures","",IF(C73="Options Sell",[1]AB5!$P$79,IF(C73="Options Buy",[1]AB5!$P$112))))</f>
        <v>Monthly Status</v>
      </c>
      <c r="Q88" s="70" t="str">
        <f>IF(C68="","",IF(C73="Futures","",IF(C73="Options Sell",[1]AB5!$Q$79,IF(C73="Options Buy",[1]AB5!$Q$112))))</f>
        <v>Options Type</v>
      </c>
      <c r="R88" s="150" t="str">
        <f>IF(C68="","",IF(C73="Futures","",IF(C73="Options Sell",[1]AB5!$R$79,IF(C73="Options Buy",[1]AB5!$R$112))))</f>
        <v>Start Strike</v>
      </c>
      <c r="S88" s="151" t="str">
        <f>IF(C68="","",IF(C73="Futures","",IF(C73="Options Sell",[1]AB5!$S$79,IF(C73="Options Buy",[1]AB5!$S$112))))</f>
        <v>End Strike</v>
      </c>
      <c r="T88" s="152"/>
      <c r="U88" s="151" t="str">
        <f>IF(C68="","",IF(C73="Futures","",IF(C73="Options Sell",[1]AB5!$U$79,IF(C73="Options Buy",[1]AB5!$U$112))))</f>
        <v>Ideal Premium</v>
      </c>
      <c r="V88" s="152"/>
      <c r="W88" s="151" t="str">
        <f>IF(C68="","",IF(C73="Futures","",IF(C73="Options Sell",[1]AB5!$W$79,IF(C73="Options Buy",[1]AB5!$W$112))))</f>
        <v>Minimum Premium</v>
      </c>
      <c r="X88" s="152"/>
      <c r="Y88" s="150" t="str">
        <f>IF(C68="","",IF(C73="Futures","",IF(C73="Options Sell",[1]AB5!$Y$79,IF(C73="Options Buy",[1]AB5!$Y$112))))</f>
        <v>Minimum OI</v>
      </c>
      <c r="Z88" s="151" t="str">
        <f>IF(C68="","",IF(C73="Futures","",IF(C73="Options Sell",[1]AB5!$Z$79,IF(C73="Options Buy",[1]AB5!$Z$112))))</f>
        <v>Option Entry</v>
      </c>
      <c r="AA88" s="152"/>
      <c r="AB88" s="153"/>
      <c r="AC88" s="153"/>
    </row>
    <row r="89" spans="1:29" ht="44.25" customHeight="1" x14ac:dyDescent="0.2">
      <c r="A89" s="15" t="str">
        <f>IF(C68="","",CONCATENATE(C69,[1]AB5!$A$4))</f>
        <v>S20A</v>
      </c>
      <c r="B89" s="128" t="str">
        <f>IF(C68="","",IF(C73="Futures","",IF(C73="Options Sell",[1]AB5!$B$80,IF(C73="Options Buy",[1]AB5!$B$113))))</f>
        <v xml:space="preserve">ORPT </v>
      </c>
      <c r="C89" s="129" t="str">
        <f>IF(C68="","",IF(C73="Futures","",IF(C73="Options Sell",[1]AB5!$C$80,IF(C73="Options Buy",[1]AB5!$C$113))))</f>
        <v xml:space="preserve"> RC. Time</v>
      </c>
      <c r="D89" s="154" t="str">
        <f>IF(C68="","",IF(C73="Futures","",IF(C73="Options Sell",[1]AB5!$D$80,IF(C73="Options Buy",[1]AB5!$D$113))))</f>
        <v>For Call Sell SL</v>
      </c>
      <c r="E89" s="155" t="str">
        <f>IF(C68="","",IF(C73="Futures","",IF(C73="Options Sell",CONCATENATE([1]AB5!$E$80,TEXT(B90,"HH:MM:SS AM/PM"),[1]AB5!$B$81,[1]AB5!$F$80))))</f>
        <v>Check If  09:15:00 AM HH &gt; Call Sell SL</v>
      </c>
      <c r="F89" s="156"/>
      <c r="G89" s="157" t="str">
        <f>IF(C68="","",IF(C73="Futures","",IF(C73="Options Sell",[1]AB5!$G$80,IF(C73="Options Buy",[1]AB5!$G$113))))</f>
        <v>No</v>
      </c>
      <c r="H89" s="158" t="str">
        <f>IF(C68="","",IF(C73="Futures","",IF(C73="Options Sell",[1]AB5!$H$80)))</f>
        <v>FSL / TRP Not Missed</v>
      </c>
      <c r="I89" s="159" t="str">
        <f>IF(C68="","",IF(C73="Futures","",IF(C73="Options Sell",[1]AB5!$I$80)))</f>
        <v>Place the Order at ORPT</v>
      </c>
      <c r="J89" s="160" t="str">
        <f>IF(C68="","",IF(C73="Futures","",IF(C73="Options Sell",[1]AB5!$J$80)))</f>
        <v>ORPT Time</v>
      </c>
      <c r="K89" s="161"/>
      <c r="L89" s="162">
        <f>IF(C68="","",IF(C73="Futures","",IF(C73="Options Sell",B86)))</f>
        <v>0.39235416666666667</v>
      </c>
      <c r="M89" s="163" t="str">
        <f>IF(C68="","",IF(C73="Futures","",IF(C73="Options Sell",[1]AB5!$M$80)))</f>
        <v>N.A.</v>
      </c>
      <c r="N89" s="158" t="str">
        <f>IF(C68="","",IF(C73="Futures","",IF(C73="Options Sell",[1]AB5!$N$80)))</f>
        <v>N.A.</v>
      </c>
      <c r="O89" s="164" t="str">
        <f>IF(C68="","",IF(C73="Futures","",IF(C73="Options Sell",[1]AB5!$O$80)))</f>
        <v>N.A.</v>
      </c>
      <c r="P89" s="165" t="str">
        <f>IF(C68="","",[1]AB5!$P$80)</f>
        <v>BULL / BULL CF</v>
      </c>
      <c r="Q89" s="166" t="str">
        <f>IF(C68="","",[1]AB5!$Q$80)</f>
        <v>Call</v>
      </c>
      <c r="R89" s="167" t="str">
        <f t="array" ref="R89">IF(C68="","",IF(C73="Futures","",IF(C73="Options Sell",CONCATENATE([1]AB5!$M$73, "( ",INDEX([1]AB4!BP:BP,MATCH(A68,[1]AB4!B:B,0))," &amp; ",[1]AB5!$R$80," ) ",INDEX([1]AB4!BQ:BQ,MATCH(A68,[1]AB4!B:B))," ",N82," ) &amp; ",INDEX([1]AB4!BS:BS,MATCH(A68,[1]AB4!B:B,0))))))</f>
        <v>Min of ( SPT : PRV : 3DLL &amp; SPT : CDLL ) + 5.00% ) &amp; Round Down</v>
      </c>
      <c r="S89" s="168" t="str">
        <f t="array" ref="S89">IF(C68="","",IF(C73="Futures","",IF(C73="Options Sell",CONCATENATE([1]AB5!$O$73,"( ",INDEX([1]AB4!BT:BT,MATCH(A68,[1]AB4!B:B,0))," &amp; ",[1]AB5!$S$80," ) &amp; ",INDEX([1]AB4!BW:BW,MATCH(A68,[1]AB4!B:B,0))," ",INDEX([1]AB4!BX:BX,MATCH(A68,[1]AB4!B:B,0))," ",INDEX([1]AB4!BY:BY,MATCH(A68,[1]AB4!B:B,0))))))</f>
        <v>Min of ( SPT : PRV : 3DLL &amp; SPT : CDLL ) &amp; Round Down - 1</v>
      </c>
      <c r="T89" s="27"/>
      <c r="U89" s="168" t="str">
        <f t="array" ref="U89">IF(C68="","",IF(C73="Futures","",IF(C73="Options Sell",CONCATENATE([1]AB5!$T$73,"( ",INDEX([1]AB4!CE:CE,MATCH(A68,[1]AB4!B:B,0))," &amp; ",[1]AB5!$U$80," ) ",[1]AB5!$H$59,TEXT(INDEX([1]AB4!CF:CF,MATCH(A68,[1]AB4!B:B,0)),"0.00%")))))</f>
        <v>Min of ( SPT : PRV : 3DLL &amp; SPT : CDLL )  * 1.50%</v>
      </c>
      <c r="V89" s="27"/>
      <c r="W89" s="168" t="str">
        <f t="array" ref="W89">IF(C68="","",IF(C73="Futures","",IF(C73="Options Sell",CONCATENATE([1]AB5!$V$73,"( ",INDEX([1]AB4!CG:CG,MATCH(A68,[1]AB4!B:B,0))," &amp; ",[1]AB5!$W$80," ) ",[1]AB5!$H$59,TEXT(INDEX([1]AB4!CH:CH,MATCH(A68,[1]AB4!B:B,0)),"0.00%")))))</f>
        <v>Min of ( SPT : PRV : 3DLL &amp; SPT : CDLL )  * 1.10%</v>
      </c>
      <c r="X89" s="27"/>
      <c r="Y89" s="169" t="str">
        <f>IF(A68="","",IF(C73="Futures","",IF(C73="Options Sell",I68)))</f>
        <v>500 Lots</v>
      </c>
      <c r="Z89" s="168" t="str">
        <f t="array" ref="Z89">IF(C68="","",IF(C73="Futures","",IF(C73="Options Sell",CONCATENATE([1]AB5!$X$73,"( ",INDEX([1]AB4!G:G,MATCH(A68,[1]AB4!B:B,0))," &amp; ",[1]AB5!$Z$80," ) ",INDEX([1]AB4!H:H,MATCH(A68,[1]AB4!B:B,0))," ",AA82))))</f>
        <v>Min of ( OPT : PRV : 3DLL &amp; OPT : CDLL )  -  7.50%</v>
      </c>
      <c r="AA89" s="114"/>
      <c r="AB89" s="75"/>
      <c r="AC89" s="75"/>
    </row>
    <row r="90" spans="1:29" ht="44.25" customHeight="1" thickBot="1" x14ac:dyDescent="0.25">
      <c r="A90" s="15" t="str">
        <f>IF(C68="","",CONCATENATE(C69,[1]AB5!$A$7))</f>
        <v>S20B</v>
      </c>
      <c r="B90" s="94">
        <f t="array" ref="B90">IF(C68="","", IF(C73="Futures","",IF(C73="Options Sell",INDEX([1]AB4!BG:BG,MATCH(A89,[1]AB4!B:B,0)))))</f>
        <v>0.38541666666666669</v>
      </c>
      <c r="C90" s="95" t="str">
        <f t="array" ref="C90">IF(C68="","", INDEX([1]AB4!BG:BG,MATCH(A90,[1]AB4!B:B,0)))</f>
        <v>N.A.</v>
      </c>
      <c r="D90" s="32"/>
      <c r="E90" s="32"/>
      <c r="F90" s="156"/>
      <c r="G90" s="170" t="str">
        <f>IF(C68="","",IF(C73="Futures","",IF(C73="Options Sell",[1]AB5!$G$81,IF(C73="Options Buy",[1]AB5!$G$114))))</f>
        <v>Yes</v>
      </c>
      <c r="H90" s="131" t="str">
        <f>IF(C68="","",IF(C73="Futures","",IF(C73="Options Sell",[1]AB5!$H$81)))</f>
        <v>FSL / TRP Missed</v>
      </c>
      <c r="I90" s="119" t="str">
        <f>IF(C68="","",IF(C73="Futures","",IF(C73="Options Sell",[1]AB5!$I$81)))</f>
        <v>Recalcuate : Call Sell FSL / TRP : Bull / Bull CF</v>
      </c>
      <c r="J90" s="120" t="str">
        <f>IF(C68="","",IF(C73="Futures","",IF(C73="Options Sell",[1]AB5!$J$81)))</f>
        <v>Wait Till Recalculation Time</v>
      </c>
      <c r="K90" s="107"/>
      <c r="L90" s="121">
        <f>IF(C68="","",IF(C73="Futures","",IF(C73="Options Sell",C86)))</f>
        <v>0.39582638888888888</v>
      </c>
      <c r="M90" s="171" t="str">
        <f>IF(C68="","",IF(C73="Futures","",IF(C73="Options Sell",CONCATENATE(N90," ",[1]AB5!$M$81," ",TEXT(O90,"0.00%")))))</f>
        <v>09:29:59 AM HH + 7.00%</v>
      </c>
      <c r="N90" s="132" t="str">
        <f>IF(C68="","",IF(C73="Futures","",IF(C73="Options Sell",CONCATENATE(TEXT(L90,"HH:MM:SS AM/PM"),[1]AB5!$N$81))))</f>
        <v>09:29:59 AM HH</v>
      </c>
      <c r="O90" s="172" t="str">
        <f t="array" ref="O90">IF(A68="","",IF(C73="Futures","",IF(C73="Options Sell",TEXT(INDEX([1]AB4!BL:BL,MATCH(A68,[1]AB4!B:B,0)),"0.00%"))))</f>
        <v>7.00%</v>
      </c>
      <c r="P90" s="110"/>
      <c r="Q90" s="173" t="str">
        <f>IF(C68="","",[1]AB5!$Q$81)</f>
        <v>Put</v>
      </c>
      <c r="R90" s="174" t="str">
        <f t="array" ref="R90">IF(C68="","",IF(C73="Futures","",IF(C73="Options Sell",CONCATENATE([1]AB5!$M$76, "( ",INDEX([1]AB4!BP:BP,MATCH(A71,[1]AB4!B:B,0))," &amp; ",[1]AB5!$R$81," ) ",INDEX([1]AB4!BQ:BQ,MATCH(A71,[1]AB4!B:B,0))," ",N85," ) &amp; ",INDEX([1]AB4!BS:BS,MATCH(A71,[1]AB4!B:B,0))))))</f>
        <v>Max of ( SPT : PRV : 2DHH &amp; SPT : CDHH ) - 5.00% ) &amp; Round Up</v>
      </c>
      <c r="S90" s="175" t="str">
        <f t="array" ref="S90">IF(C68="","",IF(C73="Futures","",IF(C73="Options Sell",CONCATENATE([1]AB5!$O$76,"( ",INDEX([1]AB4!BT:BT,MATCH(A71,[1]AB4!B:B,0))," &amp; ",[1]AB5!$S$81," ) &amp; ",INDEX([1]AB4!BW:BW,MATCH(A71,[1]AB4!B:B,0))," ",INDEX([1]AB4!BX:BX,MATCH(A71,[1]AB4!B:B,0))," ",INDEX([1]AB4!BY:BY,MATCH(A71,[1]AB4!B:B,0))))))</f>
        <v>Max of ( SPT : PRV : 2DHH &amp; SPT : CDHH ) &amp; Round Up + 1</v>
      </c>
      <c r="T90" s="40"/>
      <c r="U90" s="175" t="str">
        <f t="array" ref="U90">IF(C68="","",IF(C73="Futures","",IF(C73="Options Sell",CONCATENATE([1]AB5!$T$76,"( ",INDEX([1]AB4!CE:CE,MATCH(A71,[1]AB4!B:B,0))," &amp; ",[1]AB5!$U$81," ) ",[1]AB5!$H$59,TEXT(INDEX([1]AB4!CF:CF,MATCH(A71,[1]AB4!B:B,0)),"0.00%")))))</f>
        <v>Min of ( SPT : PRV : 2DHH &amp; SPT : CDLL )  * 1.50%</v>
      </c>
      <c r="V90" s="40"/>
      <c r="W90" s="175" t="str">
        <f t="array" ref="W90">IF(C68="","",IF(C73="Futures","",IF(C73="Options Sell",CONCATENATE([1]AB5!$V$76,"( ",INDEX([1]AB4!CG:CG,MATCH(A71,[1]AB4!B:B,0))," &amp; ",[1]AB5!$W$81," ) ",[1]AB5!$H$59,TEXT(INDEX([1]AB4!CH:CH,MATCH(A71,[1]AB4!B:B,0)),"0.00%")))))</f>
        <v>Min of ( SPT : PRV : 2DHH &amp; SPT : CDLL )  * 1.10%</v>
      </c>
      <c r="X90" s="40"/>
      <c r="Y90" s="176" t="str">
        <f>IF(A68="","",IF(C73="Futures","",IF(C73="Options Sell",I71)))</f>
        <v>500 Lots</v>
      </c>
      <c r="Z90" s="175" t="str">
        <f t="array" ref="Z90">IF(C68="","",IF(C73="Futures","",IF(C73="Options Sell",CONCATENATE([1]AB5!$X$76,"( ",INDEX([1]AB4!G:G,MATCH(A71,[1]AB4!B:B,0))," &amp; ",[1]AB5!$Z$81," ) ", INDEX([1]AB4!H:H,MATCH(A71,[1]AB4!B:B,0))," ",AA85))))</f>
        <v>Min of ( OPT : PRV : 2DLL &amp; OPT : CDLL )  -  7.50%</v>
      </c>
      <c r="AA90" s="177"/>
      <c r="AB90" s="75"/>
      <c r="AC90" s="75"/>
    </row>
    <row r="91" spans="1:29" ht="44.25" customHeight="1" thickBot="1" x14ac:dyDescent="0.25">
      <c r="A91" s="15"/>
      <c r="B91" s="110"/>
      <c r="C91" s="111"/>
      <c r="D91" s="112"/>
      <c r="E91" s="112"/>
      <c r="F91" s="161"/>
      <c r="G91" s="96"/>
      <c r="H91" s="14"/>
      <c r="I91" s="119" t="str">
        <f>IF(C68="","",IF(C73="Futures","",IF(C73="Options Sell",[1]AB5!$I$82)))</f>
        <v>Recalcuate : Call Sell FSL / TRP : Bear / Bear CF</v>
      </c>
      <c r="J91" s="120" t="str">
        <f>IF(C68="","",IF(C73="Futures","",IF(C73="Options Sell",[1]AB5!$J$82)))</f>
        <v>Wait Till Recalculation Time</v>
      </c>
      <c r="K91" s="107"/>
      <c r="L91" s="121">
        <f>IF(C68="","",IF(C73="Futures","",IF(C73="Options Sell",C86)))</f>
        <v>0.39582638888888888</v>
      </c>
      <c r="M91" s="171" t="str">
        <f>IF(C68="","",IF(C73="Futures","",IF(C73="Options Sell",CONCATENATE(N91," ",[1]AB5!$M$82," ",TEXT(O91,"0.00%")))))</f>
        <v>09:29:59 AM HH + 10.00%</v>
      </c>
      <c r="N91" s="132" t="str">
        <f>IF(C68="","",IF(C73="Futures","",IF(C73="Options Sell",CONCATENATE(TEXT(L91,"HH:MM:SS AM/PM"),[1]AB5!$N$82))))</f>
        <v>09:29:59 AM HH</v>
      </c>
      <c r="O91" s="172" t="str">
        <f t="array" ref="O91">IF(A68="","",IF(C73="Futures","",IF(C73="Options Sell",TEXT(INDEX([1]AB4!BL:BL,MATCH(A74,[1]AB4!B:B,0)),"0.00%"))))</f>
        <v>10.00%</v>
      </c>
      <c r="P91" s="178" t="str">
        <f>IF(C68="","",[1]AB5!$P$82)</f>
        <v>BEAR / BEAR CF</v>
      </c>
      <c r="Q91" s="166" t="str">
        <f>IF(C70="","",[1]AB5!$Q$82)</f>
        <v>Call</v>
      </c>
      <c r="R91" s="167" t="str">
        <f t="array" ref="R91">IF(C68="","",IF(C73="Futures","",IF(C73="Options Sell",CONCATENATE([1]AB5!$M$74,"( ",INDEX([1]AB4!BP:BP,MATCH(A74,[1]AB4!B:B,0))," &amp; ",[1]AB5!$R$82," ) ",INDEX([1]AB4!BQ:BQ,MATCH(A74,[1]AB4!B:B,0))," ",N83," ) &amp; ",INDEX([1]AB4!BS:BS,MATCH(A74,[1]AB4!B:B,0))))))</f>
        <v>Min of ( SPT : PRV : 2DLL &amp; SPT : CDLL ) + 5.00% ) &amp; Round Down</v>
      </c>
      <c r="S91" s="168" t="str">
        <f t="array" ref="S91">IF(C68="","",IF(C73="Futures","",IF(C73="Options Sell",CONCATENATE([1]AB5!$O$74,"( ",INDEX([1]AB4!BT:BT,MATCH(A74,[1]AB4!B:B,0))," &amp; ",[1]AB5!$S$82," ) &amp; ",INDEX([1]AB4!BW:BW,MATCH(A74,[1]AB4!B:B,0))," ",INDEX([1]AB4!BX:BX,MATCH(A74,[1]AB4!B:B,0))," ",INDEX([1]AB4!BY:BY,MATCH(A74,[1]AB4!B:B,0))))))</f>
        <v>Min of ( SPT : PRV : 2DLL &amp; SPT : CDLL ) &amp; Round Down - 1</v>
      </c>
      <c r="T91" s="27"/>
      <c r="U91" s="168" t="str">
        <f t="array" ref="U91">IF(C68="","",IF(C73="Futures","",IF(C73="Options Sell",CONCATENATE([1]AB5!$T$74," of ( ",INDEX([1]AB4!CE:CE,MATCH(A74,[1]AB4!B:B,0))," &amp; ",[1]AB5!$U$82," ) ",[1]AB5!$H$59,TEXT(INDEX([1]AB4!CF:CF,MATCH(A74,[1]AB4!B:B,0)),"0.00%")))))</f>
        <v>Min of  of ( SPT : PRV : 2DLL &amp; SPT : CDLL )  * 1.50%</v>
      </c>
      <c r="V91" s="27"/>
      <c r="W91" s="168" t="str">
        <f t="array" ref="W91">IF(C68="","",IF(C73="Futures","",IF(C73="Options Sell",CONCATENATE([1]AB5!$V$74,"( ",INDEX([1]AB4!CG:CG,MATCH(A74,[1]AB4!B:B,0))," &amp; ",[1]AB5!$W$82," ) ",[1]AB5!$H$59,TEXT(INDEX([1]AB4!CH:CH,MATCH(A74,[1]AB4!B:B,0)),"0.00%")))))</f>
        <v>Min of ( SPT : PRV : 2DLL &amp; SPT : CDLL )  * 1.10%</v>
      </c>
      <c r="X91" s="27"/>
      <c r="Y91" s="169" t="str">
        <f>IF(A68="","",IF(C73="Futures","",IF(C73="Options Sell",I74)))</f>
        <v>500 Lots</v>
      </c>
      <c r="Z91" s="168" t="str">
        <f t="array" ref="Z91">IF(C68="","",IF(C73="Futures","",IF(C73="Options Sell",CONCATENATE([1]AB5!$X$74,"( ",INDEX([1]AB4!G:G,MATCH(A74,[1]AB4!B:B,0))," &amp; ",[1]AB5!$Z$82," ) ", INDEX([1]AB4!H:H,MATCH(A74,[1]AB4!B:B,0))," ",AA83))))</f>
        <v>Min of ( OPT : PRV : 2DLL &amp; OPT : CDLL )  -  7.50%</v>
      </c>
      <c r="AA91" s="114"/>
      <c r="AB91" s="75"/>
      <c r="AC91" s="75"/>
    </row>
    <row r="92" spans="1:29" ht="44.25" customHeight="1" thickBot="1" x14ac:dyDescent="0.25">
      <c r="A92" s="15"/>
      <c r="B92" s="179" t="str">
        <f>IF(C68="","",IF(C73="Futures","",IF(C73="Options Sell",[1]AB5!$B$83,IF(C73="Options Buy",[1]AB5!$B$116))))</f>
        <v>Stay Blessed !!!</v>
      </c>
      <c r="C92" s="19"/>
      <c r="D92" s="180" t="str">
        <f>IF(C68="","",IF(C73="Futures","",IF(C73="Options Sell",[1]AB5!$D$83,IF(C73="Options Buy",[1]AB5!$D$116))))</f>
        <v>For Put Sell SL</v>
      </c>
      <c r="E92" s="181" t="str">
        <f>IF(C68="","",IF(C73="Futures","",IF(C73="Options Sell",CONCATENATE([1]AB5!$E$83,TEXT(B90,"HH:MM:SS AM/PM"),[1]AB5!$B$81,[1]AB5!$F$83))))</f>
        <v>Check If  09:15:00 AM HH &gt; Short SL</v>
      </c>
      <c r="F92" s="182"/>
      <c r="G92" s="183" t="str">
        <f>IF(C68="","",IF(C73="Futures","",IF(C73="Options Sell",[1]AB5!$G$83,IF(C73="Options Buy",[1]AB5!$G$116))))</f>
        <v>No</v>
      </c>
      <c r="H92" s="104" t="str">
        <f>IF(C68="","",IF(C73="Futures","",IF(C73="Options Sell",[1]AB5!$H$83)))</f>
        <v>FSL / TRP Not Missed</v>
      </c>
      <c r="I92" s="100" t="str">
        <f>IF(C68="","",IF(C73="Futures","",IF(C73="Options Sell",[1]AB5!$I$83)))</f>
        <v>Place the Order at ORPT</v>
      </c>
      <c r="J92" s="101" t="str">
        <f>IF(C68="","",IF(C73="Futures","",IF(C73="Options Sell",[1]AB5!$J$83)))</f>
        <v>ORPT Time</v>
      </c>
      <c r="K92" s="102"/>
      <c r="L92" s="103">
        <f>IF(C68="","",IF(C73="Futures","",IF(C73="Options Sell",B86)))</f>
        <v>0.39235416666666667</v>
      </c>
      <c r="M92" s="184" t="str">
        <f>IF(C68="","",IF(C73="Futures","",IF(C73="Options Sell",[1]AB5!$M$83)))</f>
        <v>N.A.</v>
      </c>
      <c r="N92" s="104" t="str">
        <f>IF(C68="","",IF(C73="Futures","",IF(C73="Options Sell",[1]AB5!$N$83)))</f>
        <v>N.A.</v>
      </c>
      <c r="O92" s="185" t="str">
        <f>IF(C68="","",IF(C73="Futures","",IF(C73="Options Sell",[1]AB5!$O$83)))</f>
        <v>N.A.</v>
      </c>
      <c r="P92" s="110"/>
      <c r="Q92" s="173" t="str">
        <f>IF(C70="","",[1]AB5!$Q$83)</f>
        <v>Put</v>
      </c>
      <c r="R92" s="174" t="str">
        <f t="array" ref="R92">IF(C68="","",IF(C73="Futures","",IF(C73="Options Sell",CONCATENATE([1]AB5!$M$77, "( ",INDEX([1]AB4!BP:BP,MATCH(A77,[1]AB4!B:B,0))," &amp; ",[1]AB5!$R$83," ) ", INDEX([1]AB4!BQ:BQ,MATCH(A77,[1]AB4!B:B,0))," ",N86," ) &amp; ",INDEX([1]AB4!BS:BS,MATCH(A77,[1]AB4!B:B,0))))))</f>
        <v>Max of ( SPT : PRV : 3DHH &amp; SPT : CDHH ) - 5.00% ) &amp; Round Up</v>
      </c>
      <c r="S92" s="175" t="str">
        <f t="array" ref="S92">IF(C68="","",IF(C73="Futures","",IF(C73="Options Sell",CONCATENATE([1]AB5!$O$77,"( ",INDEX([1]AB4!BT:BT,MATCH(A77,[1]AB4!B:B,0))," &amp; ",[1]AB5!$S$83," ) &amp; ",INDEX([1]AB4!BW:BW,MATCH(A77,[1]AB4!B:B,0))," ",INDEX([1]AB4!BX:BX,MATCH(A77,[1]AB4!B:B,0))," ",INDEX([1]AB4!BY:BY,MATCH(A77,[1]AB4!B:B,0))))))</f>
        <v>Max of ( SPT : PRV : 3DHH &amp; SPT : CDHH ) &amp; Round Up + 1</v>
      </c>
      <c r="T92" s="40"/>
      <c r="U92" s="175" t="str">
        <f t="array" ref="U92">IF(C68="","",IF(C73="Futures","",IF(C73="Options Sell",CONCATENATE([1]AB5!$T$77,"( ",INDEX([1]AB4!CE:CE,MATCH(A77,[1]AB4!B:B,0))," &amp; ",[1]AB5!$U$83," ) ",[1]AB5!$H$59,TEXT(INDEX([1]AB4!CF:CF,MATCH(A77,[1]AB4!B:B,0)),"0.00%")))))</f>
        <v>Min of ( SPT : PRV : 3DHH &amp; SPT : CDLL )  * 1.50%</v>
      </c>
      <c r="V92" s="40"/>
      <c r="W92" s="175" t="str">
        <f t="array" ref="W92">IF(C68="","",IF(C73="Futures","",IF(C73="Options Sell",CONCATENATE([1]AB5!$V$77,"( ",INDEX([1]AB4!CG:CG,MATCH(A77,[1]AB4!B:B,0))," &amp; ",[1]AB5!$W$83," ) ",[1]AB5!$H$59,TEXT(INDEX([1]AB4!CH:CH,MATCH(A77,[1]AB4!B:B,0)),"0.00%")))))</f>
        <v>Min of ( SPT : PRV : 3DHH &amp; SPT : CDLL )  * 1.10%</v>
      </c>
      <c r="X92" s="40"/>
      <c r="Y92" s="176" t="str">
        <f>IF(A68="","",IF(C73="Futures","",IF(C73="Options Sell",I77)))</f>
        <v>500 Lots</v>
      </c>
      <c r="Z92" s="175" t="str">
        <f t="array" ref="Z92">IF(C68="","",IF(C73="Futures","",IF(C73="Options Sell",CONCATENATE([1]AB5!$X$77,"( ",INDEX([1]AB4!G:G,MATCH(A77,[1]AB4!B:B,0))," &amp; ",[1]AB5!$Z$83," ) ", INDEX([1]AB4!H:H,MATCH(A77,[1]AB4!B:B,0))," ",AA86))))</f>
        <v>Min of ( OPT : PRV : 3DLL &amp; OPT : CDLL )  -  7.50%</v>
      </c>
      <c r="AA92" s="177"/>
      <c r="AB92" s="75"/>
      <c r="AC92" s="75"/>
    </row>
    <row r="93" spans="1:29" ht="44.25" customHeight="1" x14ac:dyDescent="0.2">
      <c r="A93" s="75"/>
      <c r="B93" s="32"/>
      <c r="C93" s="33"/>
      <c r="D93" s="32"/>
      <c r="E93" s="32"/>
      <c r="F93" s="156"/>
      <c r="G93" s="186" t="str">
        <f>IF(C68="","",IF(C73="Futures","",IF(C73="Options Sell",[1]AB5!$G$84,IF(C73="Options Buy",[1]AB5!$G$117))))</f>
        <v>Yes</v>
      </c>
      <c r="H93" s="99" t="str">
        <f>IF(C68="","",IF(C73="Futures","",IF(C73="Options Sell",[1]AB5!$H$84)))</f>
        <v>FSL / TRP Missed</v>
      </c>
      <c r="I93" s="100" t="str">
        <f>IF(C68="","",IF(C73="Futures","",IF(C73="Options Sell",[1]AB5!$I$84)))</f>
        <v>Recalcuate : Short FSL / TRP : Bull / Bull CF</v>
      </c>
      <c r="J93" s="101" t="str">
        <f>IF(C68="","",IF(C73="Futures","",IF(C73="Options Sell",[1]AB5!$J$84)))</f>
        <v>Wait Till Recalculation Time</v>
      </c>
      <c r="K93" s="102"/>
      <c r="L93" s="103">
        <f>IF(C68="","",IF(C73="Futures","",IF(C73="Options Sell",C86)))</f>
        <v>0.39582638888888888</v>
      </c>
      <c r="M93" s="184" t="str">
        <f>IF(C68="","",IF(C73="Futures","",IF(C73="Options Sell",CONCATENATE(N93," ",[1]AB5!$M$84," ",TEXT(O93,"0.00%")))))</f>
        <v>09:29:59 AM HH + 10.00%</v>
      </c>
      <c r="N93" s="105" t="str">
        <f>IF(C68="","",IF(C73="Futures","",IF(C73="Options Sell",CONCATENATE(TEXT(L93,"HH:MM:SS AM/PM"),[1]AB5!$N$84))))</f>
        <v>09:29:59 AM HH</v>
      </c>
      <c r="O93" s="187" t="str">
        <f t="array" ref="O93">IF(A68="","",IF(C73="Futures","",IF(C73="Options Sell",TEXT(INDEX([1]AB4!BL:BL,MATCH(A71,[1]AB4!B:B,0)),"0.00%"))))</f>
        <v>10.00%</v>
      </c>
      <c r="P93" s="188" t="str">
        <f>IF(C68="","",[1]AB5!$P$84)</f>
        <v>When You Call And Put Position is Exited</v>
      </c>
      <c r="Q93" s="189"/>
      <c r="R93" s="189"/>
      <c r="S93" s="189"/>
      <c r="T93" s="189"/>
      <c r="U93" s="189"/>
      <c r="V93" s="189"/>
      <c r="W93" s="189"/>
      <c r="X93" s="189"/>
      <c r="Y93" s="189"/>
      <c r="Z93" s="189"/>
      <c r="AA93" s="33"/>
      <c r="AB93" s="75"/>
      <c r="AC93" s="75"/>
    </row>
    <row r="94" spans="1:29" ht="44.25" customHeight="1" thickBot="1" x14ac:dyDescent="0.25">
      <c r="A94" s="75"/>
      <c r="B94" s="34"/>
      <c r="C94" s="53"/>
      <c r="D94" s="34"/>
      <c r="E94" s="34"/>
      <c r="F94" s="190"/>
      <c r="G94" s="111"/>
      <c r="H94" s="138"/>
      <c r="I94" s="191" t="str">
        <f>IF(C68="","",IF(C73="Futures","",IF(C73="Options Sell",[1]AB5!$I$85)))</f>
        <v>Recalcuate : Short FSL / TRP : Bear / Bear CF</v>
      </c>
      <c r="J94" s="192" t="str">
        <f>IF(C68="","",IF(C73="Futures","",IF(C73="Options Sell",[1]AB5!$J$85)))</f>
        <v>Wait Till Recalculation Time</v>
      </c>
      <c r="K94" s="40"/>
      <c r="L94" s="193">
        <f>IF(C68="","",IF(C73="Futures","",IF(C73="Options Sell",C86)))</f>
        <v>0.39582638888888888</v>
      </c>
      <c r="M94" s="194" t="str">
        <f>IF(C68="","",IF(C73="Futures","",IF(C73="Options Sell",CONCATENATE(N94," ",[1]AB5!$M$85," ",TEXT(O94,"0.00%")))))</f>
        <v>09:29:59 AM HH + 7.00%</v>
      </c>
      <c r="N94" s="195" t="str">
        <f>IF(C68="","",IF(C73="Futures","",IF(C73="Options Sell",CONCATENATE(TEXT(L94,"HH:MM:SS AM/PM"),[1]AB5!$N$85))))</f>
        <v>09:29:59 AM HH</v>
      </c>
      <c r="O94" s="196" t="str">
        <f t="array" ref="O94">IF(A68="","",IF(C73="Futures","",IF(C73="Options Sell",TEXT(INDEX([1]AB4!BL:BL,MATCH(A77,[1]AB4!B:B,0)),"0.00%"))))</f>
        <v>7.00%</v>
      </c>
      <c r="P94" s="197" t="str">
        <f>IF(C68="","",[1]AB5!$P$85)</f>
        <v>This is Only Applicable for Same Day</v>
      </c>
      <c r="Q94" s="190"/>
      <c r="R94" s="190"/>
      <c r="S94" s="190"/>
      <c r="T94" s="190"/>
      <c r="U94" s="190"/>
      <c r="V94" s="190"/>
      <c r="W94" s="190"/>
      <c r="X94" s="190"/>
      <c r="Y94" s="190"/>
      <c r="Z94" s="190"/>
      <c r="AA94" s="53"/>
      <c r="AB94" s="75"/>
      <c r="AC94" s="75"/>
    </row>
    <row r="95" spans="1:29" ht="33" customHeight="1" thickBot="1" x14ac:dyDescent="0.25">
      <c r="A95" s="198"/>
      <c r="B95" s="199" t="str">
        <f>IF(C68="","",[1]AB5!$B$119)</f>
        <v>For Missed SL (Position = Open)</v>
      </c>
      <c r="C95" s="114"/>
      <c r="D95" s="200" t="str">
        <f>IF(C68="","",[1]AB5!$D$120)</f>
        <v>Note: ( Optional )</v>
      </c>
      <c r="E95" s="19"/>
      <c r="F95" s="201" t="str">
        <f>IF(C68="","",[1]AB5!$I$119)</f>
        <v>For Call SL</v>
      </c>
      <c r="G95" s="65"/>
      <c r="H95" s="65"/>
      <c r="I95" s="65"/>
      <c r="J95" s="65"/>
      <c r="K95" s="65"/>
      <c r="L95" s="65"/>
      <c r="M95" s="65"/>
      <c r="N95" s="65"/>
      <c r="O95" s="65"/>
      <c r="P95" s="62"/>
      <c r="Q95" s="201" t="str">
        <f>IF(C68="","",[1]AB5!$R$119)</f>
        <v>For Put SL</v>
      </c>
      <c r="R95" s="65"/>
      <c r="S95" s="65"/>
      <c r="T95" s="65"/>
      <c r="U95" s="65"/>
      <c r="V95" s="65"/>
      <c r="W95" s="65"/>
      <c r="X95" s="65"/>
      <c r="Y95" s="65"/>
      <c r="Z95" s="65"/>
      <c r="AA95" s="62"/>
      <c r="AB95" s="202"/>
      <c r="AC95" s="202"/>
    </row>
    <row r="96" spans="1:29" ht="43.5" customHeight="1" x14ac:dyDescent="0.2">
      <c r="A96" s="198"/>
      <c r="B96" s="203" t="str">
        <f>IF(C68="","",[1]AB5!$B$120)</f>
        <v>Check time</v>
      </c>
      <c r="C96" s="204"/>
      <c r="D96" s="32"/>
      <c r="E96" s="33"/>
      <c r="F96" s="205" t="str">
        <f>IF(C68="","",CONCATENATE([1]AB5!$G$120,TEXT(B97,"HH:MM:SS AM/PM"),[1]AB5!$B$121,[1]AB5!$H$120))</f>
        <v>Check If Close at 03:00:00 PM  &gt; Call Original SL</v>
      </c>
      <c r="G96" s="102"/>
      <c r="H96" s="206" t="str">
        <f>IF(C68="","",[1]AB5!$I$120)</f>
        <v>Yes</v>
      </c>
      <c r="I96" s="13"/>
      <c r="J96" s="207" t="str">
        <f>IF(C68="","",CONCATENATE([1]AB5!$K$120,TEXT(B97,"HH:MM:SS AM/PM")))</f>
        <v xml:space="preserve"> Then Square Off The Position At CMP at 03:00:00 PM</v>
      </c>
      <c r="K96" s="161"/>
      <c r="L96" s="161"/>
      <c r="M96" s="161"/>
      <c r="N96" s="161"/>
      <c r="O96" s="161"/>
      <c r="P96" s="208"/>
      <c r="Q96" s="209" t="str">
        <f>IF(C68="","",CONCATENATE([1]AB5!$R$120,TEXT(B97,"HH:MM:SS AM/PM"),[1]AB5!$B$121,[1]AB5!$S$120))</f>
        <v>Check If Close at 03:00:00 PM  &gt; Put Original SL</v>
      </c>
      <c r="R96" s="161"/>
      <c r="S96" s="13"/>
      <c r="T96" s="210" t="str">
        <f>IF(C68="","",[1]AB5!$U$120)</f>
        <v>Yes</v>
      </c>
      <c r="U96" s="211" t="str">
        <f>IF(C68="","",CONCATENATE([1]AB5!$W$120,TEXT(B97,"HH:MM:SS AM/PM")))</f>
        <v xml:space="preserve"> Then Square Off The Position At CMP at 03:00:00 PM</v>
      </c>
      <c r="V96" s="161"/>
      <c r="W96" s="161"/>
      <c r="X96" s="161"/>
      <c r="Y96" s="161"/>
      <c r="Z96" s="161"/>
      <c r="AA96" s="208"/>
      <c r="AB96" s="202"/>
      <c r="AC96" s="212"/>
    </row>
    <row r="97" spans="1:29" ht="36" customHeight="1" thickBot="1" x14ac:dyDescent="0.25">
      <c r="A97" s="198"/>
      <c r="B97" s="213">
        <f t="array" ref="B97">IF(C68="","",INDEX([1]AB4!CU:CU,MATCH(A85,[1]AB4!B:B,0)))</f>
        <v>0.625</v>
      </c>
      <c r="C97" s="177"/>
      <c r="D97" s="34"/>
      <c r="E97" s="53"/>
      <c r="F97" s="214" t="str">
        <f>IF(C68="","",CONCATENATE([1]AB5!$G$37,TEXT(B97,"HH:MM:SS AM/PM"),[1]AB5!$B$37,[1]AB5!$H$121))</f>
        <v>Check If Close at 03:00:00 PM  &lt; Call Original SL</v>
      </c>
      <c r="G97" s="40"/>
      <c r="H97" s="215" t="str">
        <f>IF(C68="","",[1]AB5!$I$121)</f>
        <v>Yes</v>
      </c>
      <c r="I97" s="40"/>
      <c r="J97" s="216" t="str">
        <f>IF(C68="","",CONCATENATE([1]AB5!$K$121))</f>
        <v xml:space="preserve"> Then Continue the Position for Next Day And Calculate Stop Loss Price as per the Rules</v>
      </c>
      <c r="K97" s="145"/>
      <c r="L97" s="145"/>
      <c r="M97" s="145"/>
      <c r="N97" s="145"/>
      <c r="O97" s="145"/>
      <c r="P97" s="177"/>
      <c r="Q97" s="214" t="str">
        <f>IF(C68="","",CONCATENATE([1]AB5!$R$121,TEXT(B97,"HH:MM:SS AM/PM"),[1]AB5!$B$122,[1]AB5!$S$121))</f>
        <v>Check If Close at 03:00:00 PM  &lt; Put Original SL</v>
      </c>
      <c r="R97" s="145"/>
      <c r="S97" s="40"/>
      <c r="T97" s="217" t="str">
        <f>IF(C68="","",[1]AB5!$U$121)</f>
        <v>Yes</v>
      </c>
      <c r="U97" s="216" t="str">
        <f>IF(C68="","",CONCATENATE([1]AB5!$W$121))</f>
        <v xml:space="preserve"> Then Continue the Position for Next Day And Calculate Stop Loss Price as per the Rules</v>
      </c>
      <c r="V97" s="145"/>
      <c r="W97" s="145"/>
      <c r="X97" s="145"/>
      <c r="Y97" s="145"/>
      <c r="Z97" s="145"/>
      <c r="AA97" s="177"/>
      <c r="AB97" s="202"/>
      <c r="AC97" s="212"/>
    </row>
    <row r="98" spans="1:29" ht="15.75" customHeight="1" x14ac:dyDescent="0.2">
      <c r="A98" s="75"/>
      <c r="B98" s="75"/>
      <c r="C98" s="75"/>
      <c r="D98" s="75"/>
      <c r="E98" s="75"/>
      <c r="F98" s="75"/>
      <c r="G98" s="75"/>
      <c r="H98" s="75"/>
      <c r="I98" s="75"/>
      <c r="J98" s="149"/>
      <c r="K98" s="149"/>
      <c r="L98" s="149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</row>
    <row r="99" spans="1:29" ht="15.75" customHeight="1" thickBot="1" x14ac:dyDescent="0.25">
      <c r="A99" s="75"/>
      <c r="B99" s="75"/>
      <c r="C99" s="75"/>
      <c r="D99" s="75"/>
      <c r="E99" s="75"/>
      <c r="F99" s="75"/>
      <c r="G99" s="75"/>
      <c r="H99" s="75"/>
      <c r="I99" s="75"/>
      <c r="J99" s="149"/>
      <c r="K99" s="149"/>
      <c r="L99" s="149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</row>
    <row r="100" spans="1:29" ht="42.75" customHeight="1" x14ac:dyDescent="0.2">
      <c r="A100" s="15" t="str">
        <f>IF(C100="","",CONCATENATE(C101,[1]AB5!$A$4))</f>
        <v>S21A</v>
      </c>
      <c r="B100" s="16" t="str">
        <f>IF(C100="","",[1]AB5!$B$59)</f>
        <v>Sr. No.</v>
      </c>
      <c r="C100" s="17">
        <v>21</v>
      </c>
      <c r="D100" s="18" t="str">
        <f>IF(C100="","",IF(C105="Futures","",IF(C105="Options Sell",[1]AB5!$D$59,IF(C105="Options Buy",[1]AB5!$D$92))))</f>
        <v>BULL / BULL CF</v>
      </c>
      <c r="E100" s="19"/>
      <c r="F100" s="18" t="str">
        <f>IF(C100="","",IF(C105="Futures","",IF(C105="Options Sell",[1]AB5!$F$59,IF(C105="Options Buy",[1]AB5!$F$92))))</f>
        <v>Call</v>
      </c>
      <c r="G100" s="20" t="str">
        <f t="array" ref="G100">IF(C100="","",IF(C105="Futures","",IF(C105="Options Sell",CONCATENATE("( ",INDEX([1]AB4!BP:BP,MATCH(A100,[1]AB4!B:B))," ",INDEX([1]AB4!BQ:BQ,MATCH(A100,[1]AB4!B:B))," ",TEXT(INDEX([1]AB4!BR:BR,MATCH(A100,[1]AB4!B:B)),"0.00%")," ) &amp; ",INDEX([1]AB4!BS:BS,MATCH(A100,[1]AB4!B:B))),IF(C105="Options Buy",CONCATENATE("( ",INDEX([1]AB4!BP:BP,MATCH(A100,[1]AB4!B:B,0))," ",INDEX([1]AB4!BQ:BQ,MATCH(A100,[1]AB4!B:B,0))," ",TEXT(INDEX([1]AB4!BR:BR,MATCH(A100,[1]AB4!B:B,0)),"0.00%")," ) &amp; ",INDEX([1]AB4!BS:BS,MATCH(A100,[1]AB4!B:B,0)))))))</f>
        <v>( SPT : PRV : 3DLL + 5.00% ) &amp; Round Down</v>
      </c>
      <c r="H100" s="20" t="str">
        <f t="array" ref="H100">IF(C100="","",IF(C105="Futures","",IF(C105="Options Sell",CONCATENATE(INDEX([1]AB4!CE:CE,MATCH(A100,[1]AB4!B:B)),[1]AB5!$H$59,TEXT(INDEX([1]AB4!CF:CF,MATCH(A100,[1]AB4!B:B)),"0.00%")))))</f>
        <v>SPT : PRV : 3DLL * 2.00%</v>
      </c>
      <c r="I100" s="21" t="str">
        <f t="array" ref="I100">IF(C100="","",IF(C105="Futures","",IF(C105="Options Sell",CONCATENATE(INDEX([1]AB4!CI:CI,MATCH(A100,[1]AB4!B:B)),[1]AB5!$I$59))))</f>
        <v>500 Lots</v>
      </c>
      <c r="J100" s="22" t="str">
        <f>IF(C100="","",IF(C105="Futures","",IF(C105="Options Sell",[1]AB5!$J$59,IF(C105="Options Buy",[1]AB5!$J$92))))</f>
        <v>BULL / BULL CF</v>
      </c>
      <c r="K100" s="18" t="str">
        <f>IF(C100="","",IF(C105="Futures","",IF(C105="Options Sell",[1]AB5!$K$59,IF(C105="Options Buy",[1]AB5!$K$92))))</f>
        <v>Call</v>
      </c>
      <c r="L100" s="23" t="str">
        <f>IF(C100="","",IF(C105="Futures","",IF(C105="Options Sell",[1]AB5!$G$4,IF(C105="Options Buy",[1]AB5!$L$92))))</f>
        <v>E &amp; T</v>
      </c>
      <c r="M100" s="20" t="str">
        <f t="array" ref="M100">IF(C100="","",IF(C105="Futures","",IF(C105="Options Sell",CONCATENATE(INDEX([1]AB4!G:G,MATCH(A100,[1]AB4!B:B,0)),INDEX([1]AB4!H:H,MATCH(A100,[1]AB4!B:B,0)),TEXT(INDEX([1]AB4!I:I,MATCH(A100,[1]AB4!B:B,0)),"0.00%")))))</f>
        <v>OPT : PRV : 3DLL - 7.50%</v>
      </c>
      <c r="N100" s="24">
        <f t="array" ref="N100">IF(C100="","",IF(C105="Futures","",IF(C105="Options Sell",INDEX([1]AB4!J:J,MATCH(A100,[1]AB4!B:B,0)))))</f>
        <v>1</v>
      </c>
      <c r="O100" s="25" t="str">
        <f t="array" ref="O100">IF(C100="","",IF(C105="Futures","",IF(C105="Options Sell",IF(INDEX([1]AB4!N:N,MATCH(A100,[1]AB4!B:B,0))="","",CONCATENATE(INDEX([1]AB4!L:L,MATCH(A100,[1]AB4!B:B,0)),INDEX([1]AB4!M:M,MATCH(A100,[1]AB4!B:B,0)),TEXT(INDEX([1]AB4!N:N,MATCH(A100,[1]AB4!B:B,0)),"0.00%"))))))</f>
        <v>CE : Entry  - 60.00%</v>
      </c>
      <c r="P100" s="26">
        <f t="array" ref="P100">IF(C100="","",IF(C105="Futures","",IF(C105="Options Sell",IF(INDEX([1]AB4!N:N,MATCH(A100,[1]AB4!B:B,0))="","",INDEX([1]AB4!O:O,MATCH(A100,[1]AB4!B:B,0))))))</f>
        <v>1</v>
      </c>
      <c r="Q100" s="27"/>
      <c r="R100" s="25" t="str">
        <f t="array" ref="R100">IF(C100="","",IF(C105="Futures","",IF(C105="Options Sell",IF(INDEX([1]AB4!P:P,MATCH(A100,[1]AB4!B:B,0))="","",CONCATENATE(INDEX([1]AB4!L:L,MATCH(A100,[1]AB4!B:B,0)),INDEX([1]AB4!M:M,MATCH(A100,[1]AB4!B:B,0)),TEXT(INDEX([1]AB4!P:P,MATCH(A100,[1]AB4!B:B,0)),"0.00%"))))))</f>
        <v/>
      </c>
      <c r="S100" s="24" t="str">
        <f t="array" ref="S100">IF(C100="","",IF(C105="Futures","",IF(C105="Options Sell",IF(INDEX([1]AB4!P:P,MATCH(A100,[1]AB4!B:B,0))="","",INDEX([1]AB4!Q:Q,MATCH(A100,[1]AB4!B:B,0))))))</f>
        <v/>
      </c>
      <c r="T100" s="25" t="str">
        <f t="array" ref="T100">IF(C100="","",IF(C105="Futures","",IF(C105="Options Sell",IF(INDEX([1]AB4!R:R,MATCH(A100,[1]AB4!B:B,0))="","",CONCATENATE(INDEX([1]AB4!L:L,MATCH(A100,[1]AB4!B:B,0)),INDEX([1]AB4!M:M,MATCH(A100,[1]AB4!B:B,0)),TEXT(INDEX([1]AB4!R:R,MATCH(A100,[1]AB4!B:B,0)),"0.00%"))))))</f>
        <v/>
      </c>
      <c r="U100" s="24" t="str">
        <f t="array" ref="U100">IF(C100="","",IF(C105="Futures","",IF(C105="Options Sell",IF(INDEX([1]AB4!R:R,MATCH(A100,[1]AB4!B:B,0))="","",INDEX([1]AB4!S:S,MATCH(A100,[1]AB4!B:B,0))))))</f>
        <v/>
      </c>
      <c r="V100" s="25" t="str">
        <f t="array" ref="V100">IF(C100="","",IF(C105="Futures","",IF(C105="Options Sell",IF(INDEX([1]AB4!T:T,MATCH(A100,[1]AB4!B:B,0))="","",CONCATENATE(INDEX([1]AB4!L:L,MATCH(A100,[1]AB4!B:B,0)),INDEX([1]AB4!M:M,MATCH(A100,[1]AB4!B:B,0)),TEXT(INDEX([1]AB4!T:T,MATCH(A100,[1]AB4!B:B,0)),"0.00%"))))))</f>
        <v/>
      </c>
      <c r="W100" s="24" t="str">
        <f t="array" ref="W100">IF(C100="","",IF(C105="Futures","",IF(C105="Options Sell",IF(INDEX([1]AB4!T:T,MATCH(A100,[1]AB4!B:B,0))="","",INDEX([1]AB4!U:U,MATCH(A100,[1]AB4!B:B,0))))))</f>
        <v/>
      </c>
      <c r="X100" s="25" t="str">
        <f t="array" ref="X100">IF(C100="","",IF(C105="Futures","",IF(C105="Options Sell",IF(INDEX([1]AB4!V:V,MATCH(A100,[1]AB4!B:B,0))="","",INDEX([1]AB4!V:V,MATCH(A100,[1]AB4!B:B,0))))))</f>
        <v/>
      </c>
      <c r="Y100" s="24" t="str">
        <f t="array" ref="Y100">IF(C100="","",IF(C105="Futures","",IF(C105="Options Sell",IF(INDEX([1]AB4!V:V,MATCH(A100,[1]AB4!B:B,0))="","",INDEX([1]AB4!W:W,MATCH(A100,[1]AB4!B:B,0))))))</f>
        <v/>
      </c>
      <c r="Z100" s="25" t="str">
        <f t="array" ref="Z100">IF(C100="","",IF(C105="Futures","",IF(C105="Options Sell",IF(INDEX([1]AB4!X:X,MATCH(A100,[1]AB4!B:B,0))="","",INDEX([1]AB4!X:X,MATCH(A100,[1]AB4!B:B,0))))))</f>
        <v/>
      </c>
      <c r="AA100" s="28" t="str">
        <f t="array" ref="AA100">IF(C100="","",IF(C105="Futures","",IF(C105="Options Sell",IF(INDEX([1]AB4!X:X,MATCH(A100,[1]AB4!B:B,0))="","",INDEX([1]AB4!X:X,MATCH(A100,[1]AB4!Y:Y,0))))))</f>
        <v/>
      </c>
      <c r="AB100" s="29"/>
      <c r="AC100" s="29"/>
    </row>
    <row r="101" spans="1:29" ht="42.75" customHeight="1" thickBot="1" x14ac:dyDescent="0.25">
      <c r="A101" s="15" t="str">
        <f>IF(C100="","",CONCATENATE(C101,[1]AB5!$A$5))</f>
        <v>S21A</v>
      </c>
      <c r="B101" s="30" t="str">
        <f>IF(C100="","",[1]AB5!$B$60)</f>
        <v>Strategy Code</v>
      </c>
      <c r="C101" s="31" t="str">
        <f t="array" ref="C101">IF(C100="","",IF(C105="Futures","",IF(C105="Options Sell",INDEX([1]AB2!B:B,MATCH(C100,[1]AB2!A:A,0)))))</f>
        <v>S21</v>
      </c>
      <c r="D101" s="32"/>
      <c r="E101" s="33"/>
      <c r="F101" s="34"/>
      <c r="G101" s="35" t="str">
        <f t="array" ref="G101">IF(C100="","",IF(C105="Futures","",IF(C105="Options Sell",CONCATENATE("( ",INDEX([1]AB4!BT:BT,MATCH(A101,[1]AB4!B:B))," ) &amp; ",INDEX([1]AB4!BW:BW,MATCH(A101,[1]AB4!B:B))," ",INDEX([1]AB4!BX:BX,MATCH(A101,[1]AB4!B:B))," ",INDEX([1]AB4!BY:BY,MATCH(A101,[1]AB4!B:B))),IF(C105="Options Buy",CONCATENATE("( ",INDEX([1]AB4!BP:BP,MATCH(A103,[1]AB4!B:B,0))," ",INDEX([1]AB4!BQ:BQ,MATCH(A103,[1]AB4!B:B,0))," ",TEXT(INDEX([1]AB4!BR:BR,MATCH(A103,[1]AB4!B:B,0)),"0.00%")," ) &amp; ",INDEX([1]AB4!BS:BS,MATCH(A103,[1]AB4!B:B,0)))))))</f>
        <v>( SPT : PRV : 3DLL ) &amp; Round Down - 1</v>
      </c>
      <c r="H101" s="35" t="str">
        <f t="array" ref="H101">IF(C100="","",IF(C105="Futures","",IF(C105="Options Sell",CONCATENATE(INDEX([1]AB4!CG:CG,MATCH(A101,[1]AB4!B:B)),[1]AB5!$H$60,TEXT(INDEX([1]AB4!CH:CH,MATCH(A101,[1]AB4!B:B)),"0.00%")))))</f>
        <v>SPT : PRV : 3DLL * 1.50%</v>
      </c>
      <c r="I101" s="36" t="str">
        <f t="array" ref="I101">IF(C100="","",IF(C105="Futures","",IF(C105="Options Sell",CONCATENATE(INDEX([1]AB4!CJ:CJ,MATCH(A101,[1]AB4!B:B)),[1]AB5!$I$60))))</f>
        <v>1 Exp</v>
      </c>
      <c r="J101" s="33"/>
      <c r="K101" s="34"/>
      <c r="L101" s="37" t="str">
        <f>IF(C100="","",IF(C105="Futures","",IF(C105="Options Sell",[1]AB5!$G$5,IF(C105="Options Buy",[1]AB5!$L$93))))</f>
        <v>SL / TRP</v>
      </c>
      <c r="M101" s="35" t="str">
        <f t="array" ref="M101">IF(C100="","",IF(C105="Futures","",IF(C105="Options Sell",IF(INDEX([1]AB4!AL:AL,MATCH(A101,[1]AB4!B:B,0))="","",CONCATENATE(INDEX([1]AB4!AA:AA,MATCH(A101,[1]AB4!B:B,0))," ( ",INDEX([1]AB4!AE:AE,MATCH(A101,[1]AB4!B:B,0)),INDEX([1]AB4!AF:AF,MATCH(A101,[1]AB4!B:B,0)),TEXT(INDEX([1]AB4!AG:AG,MATCH(A101,[1]AB4!B:B,0)),"0.00%")," &amp; ",INDEX([1]AB4!AK:AK,MATCH(A101,[1]AB4!B:B,0)),INDEX([1]AB4!AJ:AJ,MATCH(A101,[1]AB4!B:B,0)),TEXT(INDEX([1]AB4!AL:AL,MATCH(A101,[1]AB4!B:B,0)),"0.00%")," )")))))</f>
        <v>Min ( CE : Entry  + 60.00% &amp; OPT : PRV : 2DHH + 7.00% )</v>
      </c>
      <c r="N101" s="38">
        <f t="array" ref="N101">IF(C100="","",IF(C105="Futures","",IF(C105="Options Sell",INDEX([1]AB4!AM:AM,MATCH(A101,[1]AB4!B:B,0)))))</f>
        <v>1</v>
      </c>
      <c r="O101" s="35" t="str">
        <f t="array" ref="O101">IF(C100="","",IF(C105="Futures","",IF(C105="Options Sell",IF(INDEX([1]AB4!AO:AO,MATCH(A101,[1]AB4!B:B,0))="","",CONCATENATE(INDEX([1]AB4!AA:AA,MATCH(A101,[1]AB4!B:B,0))," ( ",INDEX([1]AB4!AE:AE,MATCH(A101,[1]AB4!B:B,0))," &amp; ",INDEX([1]AB4!AN:AN,MATCH(A101,[1]AB4!B:B,0)),INDEX([1]AB4!AJ:AJ,MATCH(A101,[1]AB4!B:B,0)),TEXT(INDEX([1]AB4!AO:AO,MATCH(A101,[1]AB4!B:B,0)),"0.00%")," )")))))</f>
        <v/>
      </c>
      <c r="P101" s="39" t="str">
        <f t="array" ref="P101">IF(C100="","",IF(C105="Futures","",IF(C105="Options Sell",IF(INDEX([1]AB4!AO:AO,MATCH(A101,[1]AB4!B:B,0))="","",INDEX([1]AB4!AP:AP,MATCH(A101,[1]AB4!B:B,0))))))</f>
        <v/>
      </c>
      <c r="Q101" s="40"/>
      <c r="R101" s="35" t="str">
        <f t="array" ref="R101">IF(C100="","",IF(C105="Futures","",IF(C105="Options Sell",IF(INDEX([1]AB4!AR:AR,MATCH(A101,[1]AB4!B:B,0))="","",CONCATENATE(INDEX([1]AB4!AA:AA,MATCH(A101,[1]AB4!B:B,0))," ( ",INDEX([1]AB4!AE:AE,MATCH(A101,[1]AB4!B:B,0))," &amp; ",INDEX([1]AB4!AQ:AQ,MATCH(A101,[1]AB4!B:B,0)),INDEX([1]AB4!AJ:AJ,MATCH(A101,[1]AB4!B:B,0)),TEXT(INDEX([1]AB4!AR:AR,MATCH(A101,[1]AB4!B:B,0)),"0.00%")," )")))))</f>
        <v/>
      </c>
      <c r="S101" s="38" t="str">
        <f t="array" ref="S101">IF(C100="","",IF(C105="Futures","",IF(C105="Options Sell",IF(INDEX([1]AB4!AR:AR,MATCH(A101,[1]AB4!B:B,0))="","",INDEX([1]AB4!AS:AS,MATCH(A101,[1]AB4!B:B,0))))))</f>
        <v/>
      </c>
      <c r="T101" s="35" t="str">
        <f t="array" ref="T101">IF(C100="","",IF(C105="Futures","",IF(C105="Options Sell",IF(INDEX([1]AB4!AU:AU,MATCH(A101,[1]AB4!B:B))="","",CONCATENATE(INDEX([1]AB4!AA:AA,MATCH(A101,[1]AB4!B:B))," ( ",INDEX([1]AB4!AE:AE,MATCH(A101,[1]AB4!B:B))," &amp; ",INDEX([1]AB4!AT:AT,MATCH(A101,[1]AB4!B:B)),INDEX([1]AB4!AJ:AJ,MATCH(A101,[1]AB4!B:B)),TEXT(INDEX([1]AB4!AU:AU,MATCH(A101,[1]AB4!B:B)),"0.00%")," )")))))</f>
        <v/>
      </c>
      <c r="U101" s="38" t="str">
        <f t="array" ref="U101">IF(C100="","",IF(C105="Futures","",IF(C105="Options Sell",IF(INDEX([1]AB4!AU:AU,MATCH(A101,[1]AB4!B:B,0))="","",INDEX([1]AB4!AV:AV,MATCH(A101,[1]AB4!B:B,0))))))</f>
        <v/>
      </c>
      <c r="V101" s="35" t="str">
        <f t="array" ref="V101">IF(C100="","",IF(C105="Futures","",IF(C105="Options Sell",IF(INDEX([1]AB4!AX:AX,MATCH(A101,[1]AB4!B:B,0))="","",CONCATENATE(INDEX([1]AB4!AA:AA,MATCH(A101,[1]AB4!B:B,0))," ( ",INDEX([1]AB4!AE:AE,MATCH(A101,[1]AB4!B:B,0))," &amp; ",INDEX([1]AB4!AW:AW,MATCH(A101,[1]AB4!B:B,0)),INDEX([1]AB4!AJ:AJ,MATCH(A101,[1]AB4!B:B,0)),TEXT(INDEX([1]AB4!AX:AX,MATCH(A101,[1]AB4!B:B,0)),"0.00%")," )")))))</f>
        <v/>
      </c>
      <c r="W101" s="38" t="str">
        <f t="array" ref="W101">IF(C100="","",IF(C105="Futures","",IF(C105="Options Sell",IF(INDEX([1]AB4!AX:AX,MATCH(A101,[1]AB4!B:B,0))="","",INDEX([1]AB4!AY:AY,MATCH(A101,[1]AB4!B:B,0))))))</f>
        <v/>
      </c>
      <c r="X101" s="35" t="str">
        <f t="array" ref="X101">IF(C100="","",IF(C105="Futures","",IF(C105="Options Sell",IF(INDEX([1]AB4!BA:BA,MATCH(A101,[1]AB4!B:B,0))="","",CONCATENATE(INDEX([1]AB4!AA:AA,MATCH(A101,[1]AB4!B:B,0))," ( ",INDEX([1]AB4!AE:AE,MATCH(A101,[1]AB4!B:B,0))," &amp; ",INDEX([1]AB4!AW:AW,MATCH(A101,[1]AB4!B:B,0)),INDEX([1]AB4!AJ:AJ,MATCH(A101,[1]AB4!B:B,0)),TEXT(INDEX([1]AB4!AX:AX,MATCH(A101,[1]AB4!B:B,0)),"0.00%")," )")))))</f>
        <v/>
      </c>
      <c r="Y101" s="38" t="str">
        <f t="array" ref="Y101">IF(C100="","",IF(C105="Futures","",IF(C105="Options Sell",IF(INDEX([1]AB4!BA:BA,MATCH(A101,[1]AB4!B:B,0))="","",INDEX([1]AB4!AY:AY,MATCH(A101,[1]AB4!B:B,0))))))</f>
        <v/>
      </c>
      <c r="Z101" s="41">
        <f t="array" ref="Z101">IF(C100="","",IF(C105="Futures","",IF(C105="Options Sell",IF(INDEX([1]AB4!BD:BD,MATCH(A100,[1]AB4!B:B,0))="","",INDEX([1]AB4!AZ:AZ,MATCH(A100,[1]AB4!B:B,0))))))</f>
        <v>0</v>
      </c>
      <c r="AA101" s="42">
        <f t="array" ref="AA101">IF(C100="","",IF(C105="Futures","",IF(C105="Options Sell",IF(INDEX([1]AB4!BD:BD,MATCH(A101,[1]AB4!B:B,0))="","",INDEX([1]AB4!BB:BB,MATCH(A101,[1]AB4!B:B,0))))))</f>
        <v>0</v>
      </c>
      <c r="AB101" s="29"/>
      <c r="AC101" s="29"/>
    </row>
    <row r="102" spans="1:29" ht="6.75" customHeight="1" thickBot="1" x14ac:dyDescent="0.25">
      <c r="A102" s="15" t="str">
        <f>IF(C100="","",CONCATENATE(C101,[1]AB5!A93))</f>
        <v>S21A</v>
      </c>
      <c r="B102" s="43" t="str">
        <f>IF(C100="","",[1]AB5!$B$61)</f>
        <v>Unique Code</v>
      </c>
      <c r="C102" s="44" t="str">
        <f t="array" ref="C102">IF(C100="","",IF(C105="Futures","",IF(C105="Options Sell",INDEX([1]AB2!N:N,MATCH(C100,[1]AB2!A:A,0)))))</f>
        <v>BANKNIFTY_OP_SELL_MT_DIFF_2D_3D</v>
      </c>
      <c r="D102" s="32"/>
      <c r="E102" s="33"/>
      <c r="F102" s="45"/>
      <c r="G102" s="46"/>
      <c r="H102" s="46"/>
      <c r="I102" s="47"/>
      <c r="J102" s="33"/>
      <c r="K102" s="45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29"/>
      <c r="AC102" s="29"/>
    </row>
    <row r="103" spans="1:29" ht="42.75" customHeight="1" x14ac:dyDescent="0.2">
      <c r="A103" s="15" t="str">
        <f>IF(C100="","",CONCATENATE(C101,[1]AB5!$A$7))</f>
        <v>S21B</v>
      </c>
      <c r="B103" s="48"/>
      <c r="C103" s="49"/>
      <c r="D103" s="32"/>
      <c r="E103" s="33"/>
      <c r="F103" s="50" t="str">
        <f>IF(C100="","",IF(C105="Futures","",IF(C105="Options Sell",[1]AB5!$F$62,IF(C105="Options Buy",[1]AB5!$F$95))))</f>
        <v>Put</v>
      </c>
      <c r="G103" s="20" t="str">
        <f t="array" ref="G103">IF(C100="","",IF(C105="Futures","",IF(C105="Options Sell",CONCATENATE("( ",INDEX([1]AB4!BP:BP,MATCH(A103,[1]AB4!B:B))," ",INDEX([1]AB4!BQ:BQ,MATCH(A103,[1]AB4!B:B))," ",TEXT(INDEX([1]AB4!BR:BR,MATCH(A103,[1]AB4!B:B)),"0.00%")," ) &amp; ",INDEX([1]AB4!BS:BS,MATCH(A103,[1]AB4!B:B))),IF(C105="Options Buy",CONCATENATE("( ",INDEX([1]AB4!BP:BP,MATCH(A103,[1]AB4!B:B,0))," ",INDEX([1]AB4!BQ:BQ,MATCH(A103,[1]AB4!B:B,0))," ",TEXT(INDEX([1]AB4!BR:BR,MATCH(A103,[1]AB4!B:B,0)),"0.00%")," ) &amp; ",INDEX([1]AB4!BS:BS,MATCH(A103,[1]AB4!B:B,0)))))))</f>
        <v>( SPT : PRV : 2DHH - 5.00% ) &amp; Round Up</v>
      </c>
      <c r="H103" s="20" t="str">
        <f t="array" ref="H103">IF(C100="","",IF(C105="Futures","",IF(C105="Options Sell",CONCATENATE(INDEX([1]AB4!CE:CE,MATCH(A103,[1]AB4!B:B)),[1]AB5!$H$59,TEXT(INDEX([1]AB4!CF:CF,MATCH(A103,[1]AB4!B:B)),"0.00%")))))</f>
        <v>SPT : PRV : 2DHH * 2.00%</v>
      </c>
      <c r="I103" s="21" t="str">
        <f t="array" ref="I103">IF(C100="","",IF(C105="Futures","",IF(C105="Options Sell",CONCATENATE(INDEX([1]AB4!CI:CI,MATCH(A103,[1]AB4!B:B)),[1]AB5!$I$59))))</f>
        <v>500 Lots</v>
      </c>
      <c r="J103" s="33"/>
      <c r="K103" s="50" t="str">
        <f>IF(C100="","",IF(C105="Futures","",IF(C105="Options Sell",[1]AB5!$K$62,IF(C105="Options Buy",[1]AB5!$K$95))))</f>
        <v>Put</v>
      </c>
      <c r="L103" s="23" t="str">
        <f>IF(C100="","",IF(C105="Futures","",IF(C105="Options Sell",[1]AB5!$G$7,IF(C105="Options Buy",[1]AB5!$L$95))))</f>
        <v>E &amp; T</v>
      </c>
      <c r="M103" s="20" t="str">
        <f t="array" ref="M103">IF(C100="","",IF(C105="Futures","",IF(C105="Options Sell",CONCATENATE(INDEX([1]AB4!G:G,MATCH(A103,[1]AB4!B:B,0)),INDEX([1]AB4!H:H,MATCH(A103,[1]AB4!B:B,0)),TEXT(INDEX([1]AB4!I:I,MATCH(A103,[1]AB4!B:B,0)),"0.00%")))))</f>
        <v>OPT : PRV : 2DLL - 7.50%</v>
      </c>
      <c r="N103" s="24">
        <f t="array" ref="N103">IF(C100="","",IF(C105="Futures","",IF(C105="Options Sell",INDEX([1]AB4!J:J,MATCH(A103,[1]AB4!B:B,0)))))</f>
        <v>1</v>
      </c>
      <c r="O103" s="25" t="str">
        <f t="array" ref="O103">IF(C100="","",IF(C105="Futures","",IF(C105="Options Sell",IF(INDEX([1]AB4!N:N,MATCH(A103,[1]AB4!B:B,0))="","",CONCATENATE(INDEX([1]AB4!L:L,MATCH(A103,[1]AB4!B:B,0)),INDEX([1]AB4!M:M,MATCH(A103,[1]AB4!B:B,0)),TEXT(INDEX([1]AB4!N:N,MATCH(A103,[1]AB4!B:B,0)),"0.00%"))))))</f>
        <v>PE : Entry  - 60.00%</v>
      </c>
      <c r="P103" s="26">
        <f t="array" ref="P103">IF(C100="","",IF(C105="Futures","",IF(C105="Options Sell",IF(INDEX([1]AB4!N:N,MATCH(A103,[1]AB4!B:B,0))="","",INDEX([1]AB4!O:O,MATCH(A103,[1]AB4!B:B,0))))))</f>
        <v>1</v>
      </c>
      <c r="Q103" s="27"/>
      <c r="R103" s="25" t="str">
        <f t="array" ref="R103">IF(C100="","",IF(C105="Futures","",IF(C105="Options Sell",IF(INDEX([1]AB4!P:P,MATCH(A103,[1]AB4!B:B,0))="","",CONCATENATE(INDEX([1]AB4!L:L,MATCH(A103,[1]AB4!B:B,0)),INDEX([1]AB4!M:M,MATCH(A103,[1]AB4!B:B,0)),TEXT(INDEX([1]AB4!P:P,MATCH(A103,[1]AB4!B:B,0)),"0.00%"))))))</f>
        <v/>
      </c>
      <c r="S103" s="24" t="str">
        <f t="array" ref="S103">IF(C100="","",IF(C105="Futures","",IF(C105="Options Sell",IF(INDEX([1]AB4!P:P,MATCH(A103,[1]AB4!B:B,0))="","",INDEX([1]AB4!Q:Q,MATCH(A103,[1]AB4!B:B,0))))))</f>
        <v/>
      </c>
      <c r="T103" s="25" t="str">
        <f t="array" ref="T103">IF(C100="","",IF(C105="Futures","",IF(C105="Options Sell",IF(INDEX([1]AB4!R:R,MATCH(A103,[1]AB4!B:B,0))="","",CONCATENATE(INDEX([1]AB4!L:L,MATCH(A103,[1]AB4!B:B,0)),INDEX([1]AB4!M:M,MATCH(A103,[1]AB4!B:B,0)),TEXT(INDEX([1]AB4!R:R,MATCH(A103,[1]AB4!B:B,0)),"0.00%"))))))</f>
        <v/>
      </c>
      <c r="U103" s="24" t="str">
        <f t="array" ref="U103">IF(C100="","",IF(C105="Futures","",IF(C105="Options Sell",IF(INDEX([1]AB4!R:R,MATCH(A103,[1]AB4!B:B,0))="","",INDEX([1]AB4!S:S,MATCH(A103,[1]AB4!B:B,0))))))</f>
        <v/>
      </c>
      <c r="V103" s="25" t="str">
        <f t="array" ref="V103">IF(C103="","",IF(C105="Futures","",IF(C105="Options Sell",IF(INDEX([1]AB4!T:T,MATCH(A103,[1]AB4!B:B,0))="","",CONCATENATE(INDEX([1]AB4!L:L,MATCH(A103,[1]AB4!B:B,0)),INDEX([1]AB4!M:M,MATCH(A103,[1]AB4!B:B,0)),TEXT(INDEX([1]AB4!T:T,MATCH(A103,[1]AB4!B:B,0)),"0.00%"))))))</f>
        <v/>
      </c>
      <c r="W103" s="24" t="str">
        <f t="array" ref="W103">IF(C100="","",IF(C105="Futures","",IF(C105="Options Sell",IF(INDEX([1]AB4!T:T,MATCH(A103,[1]AB4!B:B,0))="","",INDEX([1]AB4!U:U,MATCH(A103,[1]AB4!B:B,0))))))</f>
        <v/>
      </c>
      <c r="X103" s="25" t="str">
        <f t="array" ref="X103">IF(C100="","",IF(C105="Futures","",IF(C105="Options Sell",IF(INDEX([1]AB4!V:V,MATCH(A103,[1]AB4!B:B,0))="","",INDEX([1]AB4!V:V,MATCH(A103,[1]AB4!B:B,0))))))</f>
        <v/>
      </c>
      <c r="Y103" s="24" t="str">
        <f t="array" ref="Y103">IF(C100="","",IF(C105="Futures","",IF(C105="Options Sell",IF(INDEX([1]AB4!V:V,MATCH(A103,[1]AB4!B:B,0))="","",INDEX([1]AB4!W:W,MATCH(A103,[1]AB4!B:B,0))))))</f>
        <v/>
      </c>
      <c r="Z103" s="25" t="str">
        <f t="array" ref="Z103">IF(C100="","",IF(C105="Futures","",IF(C105="Options Sell",IF(INDEX([1]AB4!X:X,MATCH(A103,[1]AB4!B:B,0))="","",INDEX([1]AB4!X:X,MATCH(A103,[1]AB4!B:B,0))))))</f>
        <v/>
      </c>
      <c r="AA103" s="28" t="str">
        <f t="array" ref="AA103">IF(C100="","",IF(C105="Futures","",IF(C105="Options Sell",IF(INDEX([1]AB4!X:X,MATCH(A103,[1]AB4!B:B,0))="","",INDEX([1]AB4!X:X,MATCH(A103,[1]AB4!Y:Y,0))))))</f>
        <v/>
      </c>
      <c r="AB103" s="29"/>
      <c r="AC103" s="29"/>
    </row>
    <row r="104" spans="1:29" ht="42.75" customHeight="1" thickBot="1" x14ac:dyDescent="0.25">
      <c r="A104" s="15" t="str">
        <f>IF(C100="","",CONCATENATE(C101,[1]AB5!$A$8))</f>
        <v>S21B</v>
      </c>
      <c r="B104" s="51"/>
      <c r="C104" s="52"/>
      <c r="D104" s="34"/>
      <c r="E104" s="53"/>
      <c r="F104" s="34"/>
      <c r="G104" s="35" t="str">
        <f t="array" ref="G104">IF(C100="","",IF(C105="Futures","",IF(C105="Options Sell",CONCATENATE("( ",INDEX([1]AB4!BT:BT,MATCH(A104,[1]AB4!B:B))," ) &amp; ",INDEX([1]AB4!BW:BW,MATCH(A104,[1]AB4!B:B))," ",INDEX([1]AB4!BX:BX,MATCH(A104,[1]AB4!B:B))," ",INDEX([1]AB4!BY:BY,MATCH(A104,[1]AB4!B:B))),IF(C105="Options Buy",CONCATENATE("( ",INDEX([1]AB4!BP:BP,MATCH(A104,[1]AB4!B:B,0))," ",INDEX([1]AB4!BQ:BQ,MATCH(A104,[1]AB4!B:B,0))," ",TEXT(INDEX([1]AB4!BR:BR,MATCH(A104,[1]AB4!B:B,0)),"0.00%")," ) &amp; ",INDEX([1]AB4!BS:BS,MATCH(A104,[1]AB4!B:B,0)))))))</f>
        <v>( SPT : PRV : 2DHH ) &amp; Round Up + 1</v>
      </c>
      <c r="H104" s="35" t="str">
        <f t="array" ref="H104">IF(C100="","",IF(C105="Futures","",IF(C105="Options Sell",CONCATENATE(INDEX([1]AB4!CG:CG,MATCH(A104,[1]AB4!B:B)),[1]AB5!$H$60,TEXT(INDEX([1]AB4!CH:CH,MATCH(A104,[1]AB4!B:B)),"0.00%")))))</f>
        <v>SPT : PRV : 2DHH * 1.50%</v>
      </c>
      <c r="I104" s="36" t="str">
        <f t="array" ref="I104">IF(C100="","",IF(C105="Futures","",IF(C105="Options Sell",CONCATENATE(INDEX([1]AB4!CJ:CJ,MATCH(A104,[1]AB4!B:B)),[1]AB5!$I$60))))</f>
        <v>1 Exp</v>
      </c>
      <c r="J104" s="53"/>
      <c r="K104" s="34"/>
      <c r="L104" s="37" t="str">
        <f>IF(C100="","",IF(C105="Futures","",IF(C105="Options Sell",[1]AB5!$G$8,IF(C105="Options Buy",[1]AB5!$L$96))))</f>
        <v>SL / TRP</v>
      </c>
      <c r="M104" s="35" t="str">
        <f t="array" ref="M104">IF(C100="","",IF(C105="Futures","",IF(C105="Options Sell",IF(INDEX([1]AB4!AL:AL,MATCH(A104,[1]AB4!B:B,0))="","",CONCATENATE(INDEX([1]AB4!AA:AA,MATCH(A104,[1]AB4!B:B,0))," ( ",INDEX([1]AB4!AE:AE,MATCH(A104,[1]AB4!B:B,0)),INDEX([1]AB4!AF:AF,MATCH(A104,[1]AB4!B:B,0)),TEXT(INDEX([1]AB4!AG:AG,MATCH(A104,[1]AB4!B:B,0)),"0.00%")," &amp; ",INDEX([1]AB4!AK:AK,MATCH(A104,[1]AB4!B:B,0)),INDEX([1]AB4!AJ:AJ,MATCH(A104,[1]AB4!B:B,0)),TEXT(INDEX([1]AB4!AL:AL,MATCH(A104,[1]AB4!B:B,0)),"0.00%")," )")))))</f>
        <v>Min ( PE : Entry  + 60.00% &amp; OPT : PRV : 3DHH + 10.00% )</v>
      </c>
      <c r="N104" s="38">
        <f t="array" ref="N104">IF(C100="","",IF(C105="Futures","",IF(C105="Options Sell",INDEX([1]AB4!AM:AM,MATCH(A104,[1]AB4!B:B,0)))))</f>
        <v>1</v>
      </c>
      <c r="O104" s="35" t="str">
        <f t="array" ref="O104">IF(C100="","",IF(C105="Futures","",IF(C105="Options Sell",IF(INDEX([1]AB4!AO:AO,MATCH(A104,[1]AB4!B:B,0))="","",CONCATENATE(INDEX([1]AB4!AA:AA,MATCH(A104,[1]AB4!B:B,0))," ( ",INDEX([1]AB4!AE:AE,MATCH(A104,[1]AB4!B:B,0))," &amp; ",INDEX([1]AB4!AN:AN,MATCH(A104,[1]AB4!B:B,0)),INDEX([1]AB4!AJ:AJ,MATCH(A104,[1]AB4!B:B,0)),TEXT(INDEX([1]AB4!AO:AO,MATCH(A104,[1]AB4!B:B,0)),"0.00%")," )")))))</f>
        <v/>
      </c>
      <c r="P104" s="39" t="str">
        <f t="array" ref="P104">IF(C100="","",IF(C105="Futures","",IF(C105="Options Sell",IF(INDEX([1]AB4!AO:AO,MATCH(A104,[1]AB4!B:B,0))="","",INDEX([1]AB4!AP:AP,MATCH(A104,[1]AB4!B:B,0))))))</f>
        <v/>
      </c>
      <c r="Q104" s="40"/>
      <c r="R104" s="35" t="str">
        <f t="array" ref="R104">IF(C100="","",IF(C105="Futures","",IF(C105="Options Sell",IF(INDEX([1]AB4!AR:AR,MATCH(A104,[1]AB4!B:B,0))="","",CONCATENATE(INDEX([1]AB4!AA:AA,MATCH(A104,[1]AB4!B:B,0))," ( ",INDEX([1]AB4!AE:AE,MATCH(A104,[1]AB4!B:B,0))," &amp; ",INDEX([1]AB4!AQ:AQ,MATCH(A104,[1]AB4!B:B,0)),INDEX([1]AB4!AJ:AJ,MATCH(A104,[1]AB4!B:B,0)),TEXT(INDEX([1]AB4!AR:AR,MATCH(A104,[1]AB4!B:B,0)),"0.00%")," )")))))</f>
        <v/>
      </c>
      <c r="S104" s="38" t="str">
        <f t="array" ref="S104">IF(C100="","",IF(C105="Futures","",IF(C105="Options Sell",IF(INDEX([1]AB4!AR:AR,MATCH(A104,[1]AB4!B:B,0))="","",INDEX([1]AB4!AS:AS,MATCH(A104,[1]AB4!B:B,0))))))</f>
        <v/>
      </c>
      <c r="T104" s="35" t="str">
        <f t="array" ref="T104">IF(C100="","",IF(C105="Futures","",IF(C105="Options Sell",IF(INDEX([1]AB4!AU:AU,MATCH(A104,[1]AB4!B:B))="","",CONCATENATE(INDEX([1]AB4!AA:AA,MATCH(A104,[1]AB4!B:B))," ( ",INDEX([1]AB4!AE:AE,MATCH(A104,[1]AB4!B:B))," &amp; ",INDEX([1]AB4!AT:AT,MATCH(A104,[1]AB4!B:B)),INDEX([1]AB4!AJ:AJ,MATCH(A104,[1]AB4!B:B)),TEXT(INDEX([1]AB4!AU:AU,MATCH(A104,[1]AB4!B:B)),"0.00%")," )")))))</f>
        <v/>
      </c>
      <c r="U104" s="38" t="str">
        <f t="array" ref="U104">IF(C100="","",IF(C105="Futures","",IF(C105="Options Sell",IF(INDEX([1]AB4!AU:AU,MATCH(A104,[1]AB4!B:B,0))="","",INDEX([1]AB4!AV:AV,MATCH(A104,[1]AB4!B:B,0))))))</f>
        <v/>
      </c>
      <c r="V104" s="35" t="str">
        <f t="array" ref="V104">IF(C103="","",IF(C105="Futures","",IF(C105="Options Sell",IF(INDEX([1]AB4!AX:AX,MATCH(A104,[1]AB4!B:B,0))="","",CONCATENATE(INDEX([1]AB4!AA:AA,MATCH(A104,[1]AB4!B:B,0))," ( ",INDEX([1]AB4!AE:AE,MATCH(A104,[1]AB4!B:B,0))," &amp; ",INDEX([1]AB4!AW:AW,MATCH(A104,[1]AB4!B:B,0)),INDEX([1]AB4!AJ:AJ,MATCH(A104,[1]AB4!B:B,0)),TEXT(INDEX([1]AB4!AX:AX,MATCH(A104,[1]AB4!B:B,0)),"0.00%")," )")))))</f>
        <v/>
      </c>
      <c r="W104" s="38" t="str">
        <f t="array" ref="W104">IF(C100="","",IF(C105="Futures","",IF(C105="Options Sell",IF(INDEX([1]AB4!AX:AX,MATCH(A104,[1]AB4!B:B,0))="","",INDEX([1]AB4!AY:AY,MATCH(A104,[1]AB4!B:B,0))))))</f>
        <v/>
      </c>
      <c r="X104" s="35" t="str">
        <f t="array" ref="X104">IF(C100="","",IF(C105="Futures","",IF(C105="Options Sell",IF(INDEX([1]AB4!BA:BA,MATCH(A104,[1]AB4!B:B,0))="","",CONCATENATE(INDEX([1]AB4!AA:AA,MATCH(A104,[1]AB4!B:B,0))," ( ",INDEX([1]AB4!AE:AE,MATCH(A104,[1]AB4!B:B,0))," &amp; ",INDEX([1]AB4!AW:AW,MATCH(A104,[1]AB4!B:B,0)),INDEX([1]AB4!AJ:AJ,MATCH(A104,[1]AB4!B:B,0)),TEXT(INDEX([1]AB4!AX:AX,MATCH(A104,[1]AB4!B:B,0)),"0.00%")," )")))))</f>
        <v/>
      </c>
      <c r="Y104" s="38" t="str">
        <f t="array" ref="Y104">IF(C100="","",IF(C105="Futures","",IF(C105="Options Sell",IF(INDEX([1]AB4!BA:BA,MATCH(A104,[1]AB4!B:B,0))="","",INDEX([1]AB4!AY:AY,MATCH(A104,[1]AB4!B:B,0))))))</f>
        <v/>
      </c>
      <c r="Z104" s="41">
        <f t="array" ref="Z104">IF(C100="","",IF(C105="Futures","",IF(C105="Options Sell",IF(INDEX([1]AB4!BD:BD,MATCH(A103,[1]AB4!B:B,0))="","",INDEX([1]AB4!AZ:AZ,MATCH(A103,[1]AB4!B:B,0))))))</f>
        <v>0</v>
      </c>
      <c r="AA104" s="42">
        <f t="array" ref="AA104">IF(C100="","",IF(C105="Futures","",IF(C105="Options Sell",IF(INDEX([1]AB4!BD:BD,MATCH(A104,[1]AB4!B:B,0))="","",INDEX([1]AB4!BB:BB,MATCH(A104,[1]AB4!B:B,0))))))</f>
        <v>0</v>
      </c>
      <c r="AB104" s="29"/>
      <c r="AC104" s="29"/>
    </row>
    <row r="105" spans="1:29" ht="18.75" customHeight="1" thickBot="1" x14ac:dyDescent="0.25">
      <c r="A105" s="15" t="str">
        <f>IF(C100="","",CONCATENATE(C101,[1]AB5!$A$9))</f>
        <v>S21C</v>
      </c>
      <c r="B105" s="30" t="str">
        <f>IF(C100="","",[1]AB5!$B$64)</f>
        <v>Segment</v>
      </c>
      <c r="C105" s="31" t="str">
        <f t="array" ref="C105">IF(C100="","",INDEX([1]AB2!C:C,MATCH(C100,[1]AB2!A:A,0)))</f>
        <v>OPTIONS SELL</v>
      </c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29"/>
      <c r="AC105" s="29"/>
    </row>
    <row r="106" spans="1:29" ht="42.75" customHeight="1" x14ac:dyDescent="0.2">
      <c r="A106" s="15" t="str">
        <f>IF(C100="","",CONCATENATE(C101,[1]AB5!$A$10))</f>
        <v>S21D</v>
      </c>
      <c r="B106" s="30" t="str">
        <f>IF(C100="","",[1]AB5!$B$65)</f>
        <v>Symbol</v>
      </c>
      <c r="C106" s="31" t="str">
        <f t="array" ref="C106">IF(C100="","",IF(C105="Futures","",IF(C105="Options Sell",INDEX([1]AB2!E:E,MATCH(C100,[1]AB2!A:A,0)))))</f>
        <v>BANKNIFTY</v>
      </c>
      <c r="D106" s="50" t="str">
        <f>IF(C100="","",IF(C105="Futures","",IF(C105="Options Sell",[1]AB5!$D$65,IF(C105="Options Buy",[1]AB5!$D$98))))</f>
        <v>BEAR / BEAR CF</v>
      </c>
      <c r="E106" s="19"/>
      <c r="F106" s="18" t="str">
        <f>IF(C100="","",IF(C105="Futures","",IF(C105="Options Sell",[1]AB5!$F$65)))</f>
        <v>Call</v>
      </c>
      <c r="G106" s="20" t="str">
        <f t="array" ref="G106">IF(C100="","",IF(C105="Futures","",IF(C105="Options Sell",CONCATENATE("( ",INDEX([1]AB4!BP:BP,MATCH(A106,[1]AB4!B:B))," ",INDEX([1]AB4!BQ:BQ,MATCH(A106,[1]AB4!B:B))," ",TEXT(INDEX([1]AB4!BR:BR,MATCH(A106,[1]AB4!B:B)),"0.00%")," ) &amp; ",INDEX([1]AB4!BS:BS,MATCH(A106,[1]AB4!B:B))),IF(C105="Options Buy",CONCATENATE("( ",INDEX([1]AB4!BP:BP,MATCH(A106,[1]AB4!B:B,0))," ",INDEX([1]AB4!BQ:BQ,MATCH(A106,[1]AB4!B:B,0))," ",TEXT(INDEX([1]AB4!BR:BR,MATCH(A106,[1]AB4!B:B,0)),"0.00%")," ) &amp; ",INDEX([1]AB4!BS:BS,MATCH(A106,[1]AB4!B:B,0)))))))</f>
        <v>( SPT : PRV : 2DLL + 5.00% ) &amp; Round Down</v>
      </c>
      <c r="H106" s="20" t="str">
        <f t="array" ref="H106">IF(C100="","",IF(C105="Futures","",IF(C105="Options Sell",CONCATENATE(INDEX([1]AB4!CE:CE,MATCH(A106,[1]AB4!B:B)),[1]AB5!$H$59,TEXT(INDEX([1]AB4!CF:CF,MATCH(A106,[1]AB4!B:B)),"0.00%")))))</f>
        <v>SPT : PRV : 2DLL * 2.00%</v>
      </c>
      <c r="I106" s="21" t="str">
        <f t="array" ref="I106">IF(C100="","",IF(C105="Futures","",IF(C105="Options Sell",CONCATENATE(INDEX([1]AB4!CI:CI,MATCH(A106,[1]AB4!B:B)),[1]AB5!$I$59))))</f>
        <v>500 Lots</v>
      </c>
      <c r="J106" s="55" t="str">
        <f>IF(C100="","",IF(C105="Futures","",IF(C105="Options Sell",[1]AB5!$J$65,IF(C105="Options Buy",[1]AB5!$J$98))))</f>
        <v>BEAR / BEAR CF</v>
      </c>
      <c r="K106" s="18" t="str">
        <f>IF(C100="","",IF(C105="Futures","",IF(C105="Options Sell",[1]AB5!$K$65,IF(C105="Options Buy",[1]AB5!$K$98))))</f>
        <v>Call</v>
      </c>
      <c r="L106" s="23" t="str">
        <f>IF(C100="","",IF(C105="Futures","",IF(C105="Options Sell",[1]AB5!$G$10,IF(C105="Options Buy",[1]AB5!$L$98))))</f>
        <v>E &amp; T</v>
      </c>
      <c r="M106" s="20" t="str">
        <f t="array" ref="M106">IF(C100="","",IF(C105="Futures","",IF(C105="Options Sell",CONCATENATE(INDEX([1]AB4!G:G,MATCH(A106,[1]AB4!B:B,0)),INDEX([1]AB4!H:H,MATCH(A106,[1]AB4!B:B,0)),TEXT(INDEX([1]AB4!I:I,MATCH(A106,[1]AB4!B:B,0)),"0.00%")))))</f>
        <v>OPT : PRV : 2DLL - 7.50%</v>
      </c>
      <c r="N106" s="24">
        <f t="array" ref="N106">IF(C100="","",IF(C105="Futures","",IF(C105="Options Sell",INDEX([1]AB4!J:J,MATCH(A106,[1]AB4!B:B,0)))))</f>
        <v>1</v>
      </c>
      <c r="O106" s="25" t="str">
        <f t="array" ref="O106">IF(C100="","",IF(C105="Futures","",IF(C105="Options Sell",IF(INDEX([1]AB4!N:N,MATCH(A106,[1]AB4!B:B,0))="","",CONCATENATE(INDEX([1]AB4!L:L,MATCH(A106,[1]AB4!B:B,0)),INDEX([1]AB4!M:M,MATCH(A106,[1]AB4!B:B,0)),TEXT(INDEX([1]AB4!N:N,MATCH(A106,[1]AB4!B:B,0)),"0.00%"))))))</f>
        <v>CE : Entry  - 60.00%</v>
      </c>
      <c r="P106" s="26">
        <f t="array" ref="P106">IF(C100="","",IF(C105="Futures","",IF(C105="Options Sell",IF(INDEX([1]AB4!N:N,MATCH(A106,[1]AB4!B:B,0))="","",INDEX([1]AB4!O:O,MATCH(A106,[1]AB4!B:B,0))))))</f>
        <v>1</v>
      </c>
      <c r="Q106" s="27"/>
      <c r="R106" s="25" t="str">
        <f t="array" ref="R106">IF(C100="","",IF(C105="Futures","",IF(C105="Options Sell",IF(INDEX([1]AB4!P:P,MATCH(A106,[1]AB4!B:B,0))="","",CONCATENATE(INDEX([1]AB4!L:L,MATCH(A106,[1]AB4!B:B,0)),INDEX([1]AB4!M:M,MATCH(A106,[1]AB4!B:B,0)),TEXT(INDEX([1]AB4!P:P,MATCH(A106,[1]AB4!B:B,0)),"0.00%"))))))</f>
        <v/>
      </c>
      <c r="S106" s="24" t="str">
        <f t="array" ref="S106">IF(C100="","",IF(C105="Futures","",IF(C105="Options Sell",IF(INDEX([1]AB4!P:P,MATCH(A106,[1]AB4!B:B,0))="","",INDEX([1]AB4!Q:Q,MATCH(A106,[1]AB4!B:B,0))))))</f>
        <v/>
      </c>
      <c r="T106" s="25" t="str">
        <f t="array" ref="T106">IF(C100="","",IF(C105="Futures","",IF(C105="Options Sell",IF(INDEX([1]AB4!R:R,MATCH(A106,[1]AB4!B:B,0))="","",CONCATENATE(INDEX([1]AB4!L:L,MATCH(A106,[1]AB4!B:B,0)),INDEX([1]AB4!M:M,MATCH(A106,[1]AB4!B:B,0)),TEXT(INDEX([1]AB4!R:R,MATCH(A106,[1]AB4!B:B,0)),"0.00%"))))))</f>
        <v/>
      </c>
      <c r="U106" s="24" t="str">
        <f t="array" ref="U106">IF(C100="","",IF(C105="Futures","",IF(C105="Options Sell",IF(INDEX([1]AB4!R:R,MATCH(A106,[1]AB4!B:B,0))="","",INDEX([1]AB4!S:S,MATCH(A106,[1]AB4!B:B,0))))))</f>
        <v/>
      </c>
      <c r="V106" s="25" t="str">
        <f t="array" ref="V106">IF(C106="","",IF(C105="Futures","",IF(C105="Options Sell",IF(INDEX([1]AB4!T:T,MATCH(A106,[1]AB4!B:B,0))="","",CONCATENATE(INDEX([1]AB4!L:L,MATCH(A106,[1]AB4!B:B,0)),INDEX([1]AB4!M:M,MATCH(A106,[1]AB4!B:B,0)),TEXT(INDEX([1]AB4!T:T,MATCH(A106,[1]AB4!B:B,0)),"0.00%"))))))</f>
        <v/>
      </c>
      <c r="W106" s="24" t="str">
        <f t="array" ref="W106">IF(C100="","",IF(C105="Futures","",IF(C105="Options Sell",IF(INDEX([1]AB4!T:T,MATCH(A106,[1]AB4!B:B,0))="","",INDEX([1]AB4!U:U,MATCH(A106,[1]AB4!B:B,0))))))</f>
        <v/>
      </c>
      <c r="X106" s="25" t="str">
        <f t="array" ref="X106">IF(C100="","",IF(C105="Futures","",IF(C105="Options Sell",IF(INDEX([1]AB4!V:V,MATCH(A106,[1]AB4!B:B,0))="","",INDEX([1]AB4!V:V,MATCH(A106,[1]AB4!B:B,0))))))</f>
        <v/>
      </c>
      <c r="Y106" s="24" t="str">
        <f t="array" ref="Y106">IF(C100="","",IF(C105="Futures","",IF(C105="Options Sell",IF(INDEX([1]AB4!V:V,MATCH(A106,[1]AB4!B:B,0))="","",INDEX([1]AB4!W:W,MATCH(A106,[1]AB4!B:B,0))))))</f>
        <v/>
      </c>
      <c r="Z106" s="25" t="str">
        <f t="array" ref="Z106">IF(C100="","",IF(C105="Futures","",IF(C105="Options Sell",IF(INDEX([1]AB4!X:X,MATCH(A106,[1]AB4!B:B,0))="","",INDEX([1]AB4!X:X,MATCH(A106,[1]AB4!B:B,0))))))</f>
        <v/>
      </c>
      <c r="AA106" s="28" t="str">
        <f t="array" ref="AA106">IF(C100="","",IF(C105="Futures","",IF(C105="Options Sell",IF(INDEX([1]AB4!X:X,MATCH(A106,[1]AB4!B:B,0))="","",INDEX([1]AB4!X:X,MATCH(A106,[1]AB4!Y:Y,0))))))</f>
        <v/>
      </c>
      <c r="AB106" s="29"/>
      <c r="AC106" s="29"/>
    </row>
    <row r="107" spans="1:29" ht="42.75" customHeight="1" thickBot="1" x14ac:dyDescent="0.25">
      <c r="A107" s="15" t="str">
        <f>IF(C100="","",CONCATENATE(C101,[1]AB5!$A$11))</f>
        <v>S21D</v>
      </c>
      <c r="B107" s="30" t="str">
        <f>IF(C100="","",[1]AB5!$B$66)</f>
        <v>No. of TGT</v>
      </c>
      <c r="C107" s="31" t="str">
        <f t="array" ref="C107">IF(C100="","",IF(C105="Futures","",IF(C105="Options Sell",INDEX([1]AB2!K:K,MATCH(C100,[1]AB2!A:A,0)))))</f>
        <v>APS</v>
      </c>
      <c r="D107" s="32"/>
      <c r="E107" s="33"/>
      <c r="F107" s="34"/>
      <c r="G107" s="35" t="str">
        <f t="array" ref="G107">IF(C100="","",IF(C105="Futures","",IF(C105="Options Sell",CONCATENATE("( ",INDEX([1]AB4!BT:BT,MATCH(A107,[1]AB4!B:B))," ) &amp; ",INDEX([1]AB4!BW:BW,MATCH(A107,[1]AB4!B:B))," ",INDEX([1]AB4!BX:BX,MATCH(A107,[1]AB4!B:B))," ",INDEX([1]AB4!BY:BY,MATCH(A107,[1]AB4!B:B))),IF(C105="Options Buy",CONCATENATE("( ",INDEX([1]AB4!BP:BP,MATCH(A107,[1]AB4!B:B,0))," ",INDEX([1]AB4!BQ:BQ,MATCH(A107,[1]AB4!B:B,0))," ",TEXT(INDEX([1]AB4!BR:BR,MATCH(A107,[1]AB4!B:B,0)),"0.00%")," ) &amp; ",INDEX([1]AB4!BS:BS,MATCH(A107,[1]AB4!B:B,0)))))))</f>
        <v>( SPT : PRV : 2DLL ) &amp; Round Down - 1</v>
      </c>
      <c r="H107" s="35" t="str">
        <f t="array" ref="H107">IF(C100="","",IF(C105="Futures","",IF(C105="Options Sell",CONCATENATE(INDEX([1]AB4!CG:CG,MATCH(A107,[1]AB4!B:B)),[1]AB5!$H$60,TEXT(INDEX([1]AB4!CH:CH,MATCH(A107,[1]AB4!B:B)),"0.00%")))))</f>
        <v>SPT : PRV : 2DLL * 1.50%</v>
      </c>
      <c r="I107" s="36" t="str">
        <f t="array" ref="I107">IF(C100="","",IF(C105="Futures","",IF(C105="Options Sell",CONCATENATE(INDEX([1]AB4!CJ:CJ,MATCH(A107,[1]AB4!B:B)),[1]AB5!$I$60))))</f>
        <v>1 Exp</v>
      </c>
      <c r="J107" s="33"/>
      <c r="K107" s="34"/>
      <c r="L107" s="37" t="str">
        <f>IF(C100="","",IF(C105="Futures","",IF(C105="Options Sell",[1]AB5!$G$11,IF(C105="Options Buy",[1]AB5!$L$99))))</f>
        <v>SL / TRP</v>
      </c>
      <c r="M107" s="35" t="str">
        <f t="array" ref="M107">IF(C100="","",IF(C105="Futures","",IF(C105="Options Sell",IF(INDEX([1]AB4!AL:AL,MATCH(A107,[1]AB4!B:B,0))="","",CONCATENATE(INDEX([1]AB4!AA:AA,MATCH(A107,[1]AB4!B:B,0))," ( ",INDEX([1]AB4!AE:AE,MATCH(A107,[1]AB4!B:B,0)),INDEX([1]AB4!AF:AF,MATCH(A107,[1]AB4!B:B,0)),TEXT(INDEX([1]AB4!AG:AG,MATCH(A107,[1]AB4!B:B,0)),"0.00%")," &amp; ",INDEX([1]AB4!AK:AK,MATCH(A107,[1]AB4!B:B,0)),INDEX([1]AB4!AJ:AJ,MATCH(A107,[1]AB4!B:B,0)),TEXT(INDEX([1]AB4!AL:AL,MATCH(A107,[1]AB4!B:B,0)),"0.00%")," )")))))</f>
        <v>Min ( CE : Entry  + 60.00% &amp; OPT : PRV : 3DHH + 10.00% )</v>
      </c>
      <c r="N107" s="38">
        <f t="array" ref="N107">IF(C100="","",IF(C105="Futures","",IF(C105="Options Sell",INDEX([1]AB4!AM:AM,MATCH(A107,[1]AB4!B:B,0)))))</f>
        <v>1</v>
      </c>
      <c r="O107" s="35" t="str">
        <f t="array" ref="O107">IF(C100="","",IF(C105="Futures","",IF(C105="Options Sell",IF(INDEX([1]AB4!AO:AO,MATCH(A107,[1]AB4!B:B,0))="","",CONCATENATE(INDEX([1]AB4!AA:AA,MATCH(A107,[1]AB4!B:B,0))," ( ",INDEX([1]AB4!AE:AE,MATCH(A107,[1]AB4!B:B,0))," &amp; ",INDEX([1]AB4!AN:AN,MATCH(A107,[1]AB4!B:B,0)),INDEX([1]AB4!AJ:AJ,MATCH(A107,[1]AB4!B:B,0)),TEXT(INDEX([1]AB4!AO:AO,MATCH(A107,[1]AB4!B:B,0)),"0.00%")," )")))))</f>
        <v/>
      </c>
      <c r="P107" s="39" t="str">
        <f t="array" ref="P107">IF(C100="","",IF(C105="Futures","",IF(C105="Options Sell",IF(INDEX([1]AB4!AO:AO,MATCH(A107,[1]AB4!B:B,0))="","",INDEX([1]AB4!AP:AP,MATCH(A107,[1]AB4!B:B,0))))))</f>
        <v/>
      </c>
      <c r="Q107" s="40"/>
      <c r="R107" s="35" t="str">
        <f t="array" ref="R107">IF(C100="","",IF(C105="Futures","",IF(C105="Options Sell",IF(INDEX([1]AB4!AR:AR,MATCH(A107,[1]AB4!B:B,0))="","",CONCATENATE(INDEX([1]AB4!AA:AA,MATCH(A107,[1]AB4!B:B,0))," ( ",INDEX([1]AB4!AE:AE,MATCH(A107,[1]AB4!B:B,0))," &amp; ",INDEX([1]AB4!AQ:AQ,MATCH(A107,[1]AB4!B:B,0)),INDEX([1]AB4!AJ:AJ,MATCH(A107,[1]AB4!B:B,0)),TEXT(INDEX([1]AB4!AR:AR,MATCH(A107,[1]AB4!B:B,0)),"0.00%")," )")))))</f>
        <v/>
      </c>
      <c r="S107" s="38" t="str">
        <f t="array" ref="S107">IF(C100="","",IF(C105="Futures","",IF(C105="Options Sell",IF(INDEX([1]AB4!AR:AR,MATCH(A107,[1]AB4!B:B,0))="","",INDEX([1]AB4!AS:AS,MATCH(A107,[1]AB4!B:B,0))))))</f>
        <v/>
      </c>
      <c r="T107" s="35" t="str">
        <f t="array" ref="T107">IF(C100="","",IF(C105="Futures","",IF(C105="Options Sell",IF(INDEX([1]AB4!AU:AU,MATCH(A107,[1]AB4!B:B))="","",CONCATENATE(INDEX([1]AB4!AA:AA,MATCH(A107,[1]AB4!B:B))," ( ",INDEX([1]AB4!AE:AE,MATCH(A107,[1]AB4!B:B))," &amp; ",INDEX([1]AB4!AT:AT,MATCH(A107,[1]AB4!B:B)),INDEX([1]AB4!AJ:AJ,MATCH(A107,[1]AB4!B:B)),TEXT(INDEX([1]AB4!AU:AU,MATCH(A107,[1]AB4!B:B)),"0.00%")," )")))))</f>
        <v/>
      </c>
      <c r="U107" s="38" t="str">
        <f t="array" ref="U107">IF(C100="","",IF(C105="Futures","",IF(C105="Options Sell",IF(INDEX([1]AB4!AU:AU,MATCH(A107,[1]AB4!B:B,0))="","",INDEX([1]AB4!AV:AV,MATCH(A107,[1]AB4!B:B,0))))))</f>
        <v/>
      </c>
      <c r="V107" s="35" t="str">
        <f t="array" ref="V107">IF(C106="","",IF(C105="Futures","",IF(C105="Options Sell",IF(INDEX([1]AB4!AX:AX,MATCH(A107,[1]AB4!B:B,0))="","",CONCATENATE(INDEX([1]AB4!AA:AA,MATCH(A107,[1]AB4!B:B,0))," ( ",INDEX([1]AB4!AE:AE,MATCH(A107,[1]AB4!B:B,0))," &amp; ",INDEX([1]AB4!AW:AW,MATCH(A107,[1]AB4!B:B,0)),INDEX([1]AB4!AJ:AJ,MATCH(A107,[1]AB4!B:B,0)),TEXT(INDEX([1]AB4!AX:AX,MATCH(A107,[1]AB4!B:B,0)),"0.00%")," )")))))</f>
        <v/>
      </c>
      <c r="W107" s="38" t="str">
        <f t="array" ref="W107">IF(C100="","",IF(C105="Futures","",IF(C105="Options Sell",IF(INDEX([1]AB4!AX:AX,MATCH(A107,[1]AB4!B:B,0))="","",INDEX([1]AB4!AY:AY,MATCH(A107,[1]AB4!B:B,0))))))</f>
        <v/>
      </c>
      <c r="X107" s="35" t="str">
        <f t="array" ref="X107">IF(C100="","",IF(C105="Futures","",IF(C105="Options Sell",IF(INDEX([1]AB4!BA:BA,MATCH(A107,[1]AB4!B:B,0))="","",CONCATENATE(INDEX([1]AB4!AA:AA,MATCH(A107,[1]AB4!B:B,0))," ( ",INDEX([1]AB4!AE:AE,MATCH(A107,[1]AB4!B:B,0))," &amp; ",INDEX([1]AB4!AW:AW,MATCH(A107,[1]AB4!B:B,0)),INDEX([1]AB4!AJ:AJ,MATCH(A107,[1]AB4!B:B,0)),TEXT(INDEX([1]AB4!AX:AX,MATCH(A107,[1]AB4!B:B,0)),"0.00%")," )")))))</f>
        <v/>
      </c>
      <c r="Y107" s="38" t="str">
        <f t="array" ref="Y107">IF(C100="","",IF(C105="Futures","",IF(C105="Options Sell",IF(INDEX([1]AB4!BA:BA,MATCH(A107,[1]AB4!B:B,0))="","",INDEX([1]AB4!AY:AY,MATCH(A107,[1]AB4!B:B,0))))))</f>
        <v/>
      </c>
      <c r="Z107" s="41">
        <f t="array" ref="Z107">IF(C100="","",IF(C105="Futures","",IF(C105="Options Sell",IF(INDEX([1]AB4!BD:BD,MATCH(A106,[1]AB4!B:B,0))="","",INDEX([1]AB4!AZ:AZ,MATCH(A106,[1]AB4!B:B,0))))))</f>
        <v>0</v>
      </c>
      <c r="AA107" s="42">
        <f t="array" ref="AA107">IF(C106="","",IF(C105="Futures","",IF(C105="Options Sell",IF(INDEX([1]AB4!BD:BD,MATCH(A107,[1]AB4!B:B,0))="","",INDEX([1]AB4!BB:BB,MATCH(A107,[1]AB4!B:B,0))))))</f>
        <v>0</v>
      </c>
      <c r="AB107" s="29"/>
      <c r="AC107" s="29"/>
    </row>
    <row r="108" spans="1:29" ht="6.75" customHeight="1" thickBot="1" x14ac:dyDescent="0.25">
      <c r="A108" s="15" t="str">
        <f>IF(C100="","",CONCATENATE(C101,[1]AB5!A99))</f>
        <v>S21D</v>
      </c>
      <c r="B108" s="56" t="str">
        <f>IF(C100="","",IF(C105="Futures","",IF(C105="Options Sell",[1]AB5!$B$67)))</f>
        <v>I Commit To Follow The Rules &amp; Process</v>
      </c>
      <c r="C108" s="57"/>
      <c r="D108" s="32"/>
      <c r="E108" s="33"/>
      <c r="F108" s="45"/>
      <c r="G108" s="46"/>
      <c r="H108" s="46"/>
      <c r="I108" s="47"/>
      <c r="J108" s="33"/>
      <c r="K108" s="45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29"/>
      <c r="AC108" s="29"/>
    </row>
    <row r="109" spans="1:29" ht="42.75" customHeight="1" x14ac:dyDescent="0.2">
      <c r="A109" s="15" t="str">
        <f>IF(C100="","",CONCATENATE(C101,[1]AB5!$A$13))</f>
        <v>S21E</v>
      </c>
      <c r="B109" s="32"/>
      <c r="C109" s="33"/>
      <c r="D109" s="32"/>
      <c r="E109" s="33"/>
      <c r="F109" s="50" t="str">
        <f>IF(C100="","",IF(C105="Futures","",IF(C105="Options Sell",[1]AB5!$F$68)))</f>
        <v>Put</v>
      </c>
      <c r="G109" s="20" t="str">
        <f t="array" ref="G109">IF(C100="","",IF(C105="Futures","",IF(C105="Options Sell",CONCATENATE("( ",INDEX([1]AB4!BP:BP,MATCH(A109,[1]AB4!B:B))," ",INDEX([1]AB4!BQ:BQ,MATCH(A109,[1]AB4!B:B))," ",TEXT(INDEX([1]AB4!BR:BR,MATCH(A109,[1]AB4!B:B)),"0.00%")," ) &amp; ",INDEX([1]AB4!BS:BS,MATCH(A109,[1]AB4!B:B))),IF(C105="Options Buy",CONCATENATE("( ",INDEX([1]AB4!BP:BP,MATCH(A109,[1]AB4!B:B,0))," ",INDEX([1]AB4!BQ:BQ,MATCH(A109,[1]AB4!B:B,0))," ",TEXT(INDEX([1]AB4!BR:BR,MATCH(A109,[1]AB4!B:B,0)),"0.00%")," ) &amp; ",INDEX([1]AB4!BS:BS,MATCH(A109,[1]AB4!B:B,0)))))))</f>
        <v>( SPT : PRV : 3DHH - 5.00% ) &amp; Round Up</v>
      </c>
      <c r="H109" s="20" t="str">
        <f t="array" ref="H109">IF(C100="","",IF(C105="Futures","",IF(C105="Options Sell",CONCATENATE(INDEX([1]AB4!CE:CE,MATCH(A109,[1]AB4!B:B)),[1]AB5!$H$59,TEXT(INDEX([1]AB4!CF:CF,MATCH(A109,[1]AB4!B:B)),"0.00%")))))</f>
        <v>SPT : PRV : 3DHH * 2.00%</v>
      </c>
      <c r="I109" s="21" t="str">
        <f t="array" ref="I109">IF(C100="","",IF(C105="Futures","",IF(C105="Options Sell",CONCATENATE(INDEX([1]AB4!CI:CI,MATCH(A109,[1]AB4!B:B)),[1]AB5!$I$59))))</f>
        <v>500 Lots</v>
      </c>
      <c r="J109" s="33"/>
      <c r="K109" s="50" t="str">
        <f>IF(C100="","",IF(C105="Futures","",IF(C105="Options Sell",[1]AB5!$K$68,IF(C105="Options Buy",[1]AB5!$K$101))))</f>
        <v>Put</v>
      </c>
      <c r="L109" s="23" t="str">
        <f>IF(C100="","",IF(C105="Futures","",IF(C105="Options Sell",[1]AB5!$G$13,IF(C105="Options Buy",[1]AB5!$L$101))))</f>
        <v>E &amp; T</v>
      </c>
      <c r="M109" s="20" t="str">
        <f t="array" ref="M109">IF(C100="","",IF(C105="Futures","",IF(C105="Options Sell",CONCATENATE(INDEX([1]AB4!G:G,MATCH(A109,[1]AB4!B:B,0)),INDEX([1]AB4!H:H,MATCH(A109,[1]AB4!B:B,0)),TEXT(INDEX([1]AB4!I:I,MATCH(A109,[1]AB4!B:B,0)),"0.00%")))))</f>
        <v>OPT : PRV : 3DLL - 7.50%</v>
      </c>
      <c r="N109" s="24">
        <f t="array" ref="N109">IF(C100="","",IF(C105="Futures","",IF(C105="Options Sell",INDEX([1]AB4!J:J,MATCH(A109,[1]AB4!B:B,0)))))</f>
        <v>1</v>
      </c>
      <c r="O109" s="25" t="str">
        <f t="array" ref="O109">IF(C100="","",IF(C105="Futures","",IF(C105="Options Sell",IF(INDEX([1]AB4!N:N,MATCH(A109,[1]AB4!B:B,0))="","",CONCATENATE(INDEX([1]AB4!L:L,MATCH(A109,[1]AB4!B:B,0)),INDEX([1]AB4!M:M,MATCH(A109,[1]AB4!B:B,0)),TEXT(INDEX([1]AB4!N:N,MATCH(A109,[1]AB4!B:B,0)),"0.00%"))))))</f>
        <v>PE : Entry  - 60.00%</v>
      </c>
      <c r="P109" s="26">
        <f t="array" ref="P109">IF(C100="","",IF(C105="Futures","",IF(C105="Options Sell",IF(INDEX([1]AB4!N:N,MATCH(A109,[1]AB4!B:B,0))="","",INDEX([1]AB4!O:O,MATCH(A109,[1]AB4!B:B,0))))))</f>
        <v>1</v>
      </c>
      <c r="Q109" s="27"/>
      <c r="R109" s="25" t="str">
        <f t="array" ref="R109">IF(C100="","",IF(C105="Futures","",IF(C105="Options Sell",IF(INDEX([1]AB4!P:P,MATCH(A109,[1]AB4!B:B,0))="","",CONCATENATE(INDEX([1]AB4!L:L,MATCH(A109,[1]AB4!B:B,0)),INDEX([1]AB4!M:M,MATCH(A109,[1]AB4!B:B,0)),TEXT(INDEX([1]AB4!P:P,MATCH(A109,[1]AB4!B:B,0)),"0.00%"))))))</f>
        <v/>
      </c>
      <c r="S109" s="24" t="str">
        <f t="array" ref="S109">IF(C100="","",IF(C105="Futures","",IF(C105="Options Sell",IF(INDEX([1]AB4!P:P,MATCH(A109,[1]AB4!B:B,0))="","",INDEX([1]AB4!Q:Q,MATCH(A109,[1]AB4!B:B,0))))))</f>
        <v/>
      </c>
      <c r="T109" s="25" t="str">
        <f t="array" ref="T109">IF(C100="","",IF(C105="Futures","",IF(C105="Options Sell",IF(INDEX([1]AB4!R:R,MATCH(A109,[1]AB4!B:B,0))="","",CONCATENATE(INDEX([1]AB4!L:L,MATCH(A109,[1]AB4!B:B,0)),INDEX([1]AB4!M:M,MATCH(A109,[1]AB4!B:B,0)),TEXT(INDEX([1]AB4!R:R,MATCH(A109,[1]AB4!B:B,0)),"0.00%"))))))</f>
        <v/>
      </c>
      <c r="U109" s="24" t="str">
        <f t="array" ref="U109">IF(C100="","",IF(C105="Futures","",IF(C105="Options Sell",IF(INDEX([1]AB4!R:R,MATCH(A109,[1]AB4!B:B,0))="","",INDEX([1]AB4!S:S,MATCH(A109,[1]AB4!B:B,0))))))</f>
        <v/>
      </c>
      <c r="V109" s="25" t="str">
        <f t="array" ref="V109">IF(C109="","",IF(C105="Futures","",IF(C105="Options Sell",IF(INDEX([1]AB4!T:T,MATCH(A109,[1]AB4!B:B,0))="","",CONCATENATE(INDEX([1]AB4!L:L,MATCH(A109,[1]AB4!B:B,0)),INDEX([1]AB4!M:M,MATCH(A109,[1]AB4!B:B,0)),TEXT(INDEX([1]AB4!T:T,MATCH(A109,[1]AB4!B:B,0)),"0.00%"))))))</f>
        <v/>
      </c>
      <c r="W109" s="24" t="str">
        <f t="array" ref="W109">IF(C100="","",IF(C105="Futures","",IF(C105="Options Sell",IF(INDEX([1]AB4!T:T,MATCH(A109,[1]AB4!B:B,0))="","",INDEX([1]AB4!U:U,MATCH(A109,[1]AB4!B:B,0))))))</f>
        <v/>
      </c>
      <c r="X109" s="25" t="str">
        <f t="array" ref="X109">IF(C100="","",IF(C105="Futures","",IF(C105="Options Sell",IF(INDEX([1]AB4!V:V,MATCH(A109,[1]AB4!B:B,0))="","",INDEX([1]AB4!V:V,MATCH(A109,[1]AB4!B:B,0))))))</f>
        <v/>
      </c>
      <c r="Y109" s="24" t="str">
        <f t="array" ref="Y109">IF(C100="","",IF(C105="Futures","",IF(C105="Options Sell",IF(INDEX([1]AB4!V:V,MATCH(A109,[1]AB4!B:B,0))="","",INDEX([1]AB4!W:W,MATCH(A109,[1]AB4!B:B,0))))))</f>
        <v/>
      </c>
      <c r="Z109" s="25" t="str">
        <f t="array" ref="Z109">IF(C100="","",IF(C105="Futures","",IF(C105="Options Sell",IF(INDEX([1]AB4!X:X,MATCH(A109,[1]AB4!B:B,0))="","",INDEX([1]AB4!X:X,MATCH(A109,[1]AB4!B:B,0))))))</f>
        <v/>
      </c>
      <c r="AA109" s="28" t="str">
        <f t="array" ref="AA109">IF(C100="","",IF(C105="Futures","",IF(C105="Options Sell",IF(INDEX([1]AB4!X:X,MATCH(A109,[1]AB4!B:B,0))="","",INDEX([1]AB4!X:X,MATCH(A109,[1]AB4!Y:Y,0))))))</f>
        <v/>
      </c>
      <c r="AB109" s="29"/>
      <c r="AC109" s="29"/>
    </row>
    <row r="110" spans="1:29" ht="42.75" customHeight="1" thickBot="1" x14ac:dyDescent="0.25">
      <c r="A110" s="15" t="str">
        <f>IF(C100="","",CONCATENATE(C101,[1]AB5!$A$14))</f>
        <v>S21E</v>
      </c>
      <c r="B110" s="34"/>
      <c r="C110" s="53"/>
      <c r="D110" s="34"/>
      <c r="E110" s="53"/>
      <c r="F110" s="34"/>
      <c r="G110" s="35" t="str">
        <f t="array" ref="G110">IF(C100="","",IF(C105="Futures","",IF(C105="Options Sell",CONCATENATE("( ",INDEX([1]AB4!BT:BT,MATCH(A110,[1]AB4!B:B))," ) &amp; ",INDEX([1]AB4!BW:BW,MATCH(A110,[1]AB4!B:B))," ",INDEX([1]AB4!BX:BX,MATCH(A110,[1]AB4!B:B))," ",INDEX([1]AB4!BY:BY,MATCH(A110,[1]AB4!B:B))),IF(C105="Options Buy",CONCATENATE("( ",INDEX([1]AB4!BP:BP,MATCH(A110,[1]AB4!B:B,0))," ",INDEX([1]AB4!BQ:BQ,MATCH(A110,[1]AB4!B:B,0))," ",TEXT(INDEX([1]AB4!BR:BR,MATCH(A110,[1]AB4!B:B,0)),"0.00%")," ) &amp; ",INDEX([1]AB4!BS:BS,MATCH(A110,[1]AB4!B:B,0)))))))</f>
        <v>( SPT : PRV : 3DHH ) &amp; Round Up + 1</v>
      </c>
      <c r="H110" s="35" t="str">
        <f t="array" ref="H110">IF(C100="","",IF(C105="Futures","",IF(C105="Options Sell",CONCATENATE(INDEX([1]AB4!CG:CG,MATCH(A110,[1]AB4!B:B)),[1]AB5!$H$60,TEXT(INDEX([1]AB4!CH:CH,MATCH(A110,[1]AB4!B:B)),"0.00%")))))</f>
        <v>SPT : PRV : 3DHH * 1.50%</v>
      </c>
      <c r="I110" s="36" t="str">
        <f t="array" ref="I110">IF(C100="","",IF(C105="Futures","",IF(C105="Options Sell",CONCATENATE(INDEX([1]AB4!CJ:CJ,MATCH(A110,[1]AB4!B:B)),[1]AB5!$I$60))))</f>
        <v>1 Exp</v>
      </c>
      <c r="J110" s="53"/>
      <c r="K110" s="34"/>
      <c r="L110" s="37" t="str">
        <f>IF(C100="","",IF(C105="Futures","",IF(C105="Options Sell",[1]AB5!$G$14,IF(C105="Options Buy",[1]AB5!$L$102))))</f>
        <v>SL / TRP</v>
      </c>
      <c r="M110" s="35" t="str">
        <f t="array" ref="M110">IF(C100="","",IF(C105="Futures","",IF(C105="Options Sell",IF(INDEX([1]AB4!AL:AL,MATCH(A110,[1]AB4!B:B,0))="","",CONCATENATE(INDEX([1]AB4!AA:AA,MATCH(A110,[1]AB4!B:B,0))," ( ",INDEX([1]AB4!AE:AE,MATCH(A110,[1]AB4!B:B,0)),INDEX([1]AB4!AF:AF,MATCH(A110,[1]AB4!B:B,0)),TEXT(INDEX([1]AB4!AG:AG,MATCH(A110,[1]AB4!B:B,0)),"0.00%")," &amp; ",INDEX([1]AB4!AK:AK,MATCH(A110,[1]AB4!B:B,0)),INDEX([1]AB4!AJ:AJ,MATCH(A110,[1]AB4!B:B,0)),TEXT(INDEX([1]AB4!AL:AL,MATCH(A110,[1]AB4!B:B,0)),"0.00%")," )")))))</f>
        <v>Min ( PE : Entry  + 60.00% &amp; OPT : PRV : 2DHH + 7.00% )</v>
      </c>
      <c r="N110" s="38">
        <f t="array" ref="N110">IF(C100="","",IF(C105="Futures","",IF(C105="Options Sell",INDEX([1]AB4!AM:AM,MATCH(A110,[1]AB4!B:B,0)))))</f>
        <v>1</v>
      </c>
      <c r="O110" s="35" t="str">
        <f t="array" ref="O110">IF(C100="","",IF(C105="Futures","",IF(C105="Options Sell",IF(INDEX([1]AB4!AO:AO,MATCH(A110,[1]AB4!B:B,0))="","",CONCATENATE(INDEX([1]AB4!AA:AA,MATCH(A110,[1]AB4!B:B,0))," ( ",INDEX([1]AB4!AE:AE,MATCH(A110,[1]AB4!B:B,0))," &amp; ",INDEX([1]AB4!AN:AN,MATCH(A110,[1]AB4!B:B,0)),INDEX([1]AB4!AJ:AJ,MATCH(A110,[1]AB4!B:B,0)),TEXT(INDEX([1]AB4!AO:AO,MATCH(A110,[1]AB4!B:B,0)),"0.00%")," )")))))</f>
        <v/>
      </c>
      <c r="P110" s="39" t="str">
        <f t="array" ref="P110">IF(C100="","",IF(C105="Futures","",IF(C105="Options Sell",IF(INDEX([1]AB4!AO:AO,MATCH(A110,[1]AB4!B:B,0))="","",INDEX([1]AB4!AP:AP,MATCH(A110,[1]AB4!B:B,0))))))</f>
        <v/>
      </c>
      <c r="Q110" s="40"/>
      <c r="R110" s="35" t="str">
        <f t="array" ref="R110">IF(C100="","",IF(C105="Futures","",IF(C105="Options Sell",IF(INDEX([1]AB4!AR:AR,MATCH(A110,[1]AB4!B:B,0))="","",CONCATENATE(INDEX([1]AB4!AA:AA,MATCH(A110,[1]AB4!B:B,0))," ( ",INDEX([1]AB4!AE:AE,MATCH(A110,[1]AB4!B:B,0))," &amp; ",INDEX([1]AB4!AQ:AQ,MATCH(A110,[1]AB4!B:B,0)),INDEX([1]AB4!AJ:AJ,MATCH(A110,[1]AB4!B:B,0)),TEXT(INDEX([1]AB4!AR:AR,MATCH(A110,[1]AB4!B:B,0)),"0.00%")," )")))))</f>
        <v/>
      </c>
      <c r="S110" s="38" t="str">
        <f t="array" ref="S110">IF(C100="","",IF(C105="Futures","",IF(C105="Options Sell",IF(INDEX([1]AB4!AR:AR,MATCH(A110,[1]AB4!B:B,0))="","",INDEX([1]AB4!AS:AS,MATCH(A110,[1]AB4!B:B,0))))))</f>
        <v/>
      </c>
      <c r="T110" s="35" t="str">
        <f t="array" ref="T110">IF(C100="","",IF(C105="Futures","",IF(C105="Options Sell",IF(INDEX([1]AB4!AU:AU,MATCH(A110,[1]AB4!B:B))="","",CONCATENATE(INDEX([1]AB4!AA:AA,MATCH(A110,[1]AB4!B:B))," ( ",INDEX([1]AB4!AE:AE,MATCH(A110,[1]AB4!B:B))," &amp; ",INDEX([1]AB4!AT:AT,MATCH(A110,[1]AB4!B:B)),INDEX([1]AB4!AJ:AJ,MATCH(A110,[1]AB4!B:B)),TEXT(INDEX([1]AB4!AU:AU,MATCH(A110,[1]AB4!B:B)),"0.00%")," )")))))</f>
        <v/>
      </c>
      <c r="U110" s="38" t="str">
        <f t="array" ref="U110">IF(C100="","",IF(C105="Futures","",IF(C105="Options Sell",IF(INDEX([1]AB4!AU:AU,MATCH(A110,[1]AB4!B:B,0))="","",INDEX([1]AB4!AV:AV,MATCH(A110,[1]AB4!B:B,0))))))</f>
        <v/>
      </c>
      <c r="V110" s="35" t="str">
        <f t="array" ref="V110">IF(C109="","",IF(C105="Futures","",IF(C105="Options Sell",IF(INDEX([1]AB4!AX:AX,MATCH(A110,[1]AB4!B:B,0))="","",CONCATENATE(INDEX([1]AB4!AA:AA,MATCH(A110,[1]AB4!B:B,0))," ( ",INDEX([1]AB4!AE:AE,MATCH(A110,[1]AB4!B:B,0))," &amp; ",INDEX([1]AB4!AW:AW,MATCH(A110,[1]AB4!B:B,0)),INDEX([1]AB4!AJ:AJ,MATCH(A110,[1]AB4!B:B,0)),TEXT(INDEX([1]AB4!AX:AX,MATCH(A110,[1]AB4!B:B,0)),"0.00%")," )")))))</f>
        <v/>
      </c>
      <c r="W110" s="38" t="str">
        <f t="array" ref="W110">IF(C100="","",IF(C105="Futures","",IF(C105="Options Sell",IF(INDEX([1]AB4!AX:AX,MATCH(A110,[1]AB4!B:B,0))="","",INDEX([1]AB4!AY:AY,MATCH(A110,[1]AB4!B:B,0))))))</f>
        <v/>
      </c>
      <c r="X110" s="35" t="str">
        <f t="array" ref="X110">IF(C100="","",IF(C105="Futures","",IF(C105="Options Sell",IF(INDEX([1]AB4!BA:BA,MATCH(A110,[1]AB4!B:B,0))="","",CONCATENATE(INDEX([1]AB4!AA:AA,MATCH(A110,[1]AB4!B:B,0))," ( ",INDEX([1]AB4!AE:AE,MATCH(A110,[1]AB4!B:B,0))," &amp; ",INDEX([1]AB4!AW:AW,MATCH(A110,[1]AB4!B:B,0)),INDEX([1]AB4!AJ:AJ,MATCH(A110,[1]AB4!B:B,0)),TEXT(INDEX([1]AB4!AX:AX,MATCH(A110,[1]AB4!B:B,0)),"0.00%")," )")))))</f>
        <v/>
      </c>
      <c r="Y110" s="38" t="str">
        <f t="array" ref="Y110">IF(C100="","",IF(C105="Futures","",IF(C105="Options Sell",IF(INDEX([1]AB4!BA:BA,MATCH(A110,[1]AB4!B:B,0))="","",INDEX([1]AB4!AY:AY,MATCH(A110,[1]AB4!B:B,0))))))</f>
        <v/>
      </c>
      <c r="Z110" s="41">
        <f t="array" ref="Z110">IF(C100="","",IF(C105="Futures","",IF(C105="Options Sell",IF(INDEX([1]AB4!BD:BD,MATCH(A109,[1]AB4!B:B,0))="","",INDEX([1]AB4!AZ:AZ,MATCH(A109,[1]AB4!B:B,0))))))</f>
        <v>0</v>
      </c>
      <c r="AA110" s="42">
        <f t="array" ref="AA110">IF(C100="","",IF(C105="Futures","",IF(C105="Options Sell",IF(INDEX([1]AB4!BD:BD,MATCH(A110,[1]AB4!B:B,0))="","",INDEX([1]AB4!BB:BB,MATCH(A110,[1]AB4!B:B,0))))))</f>
        <v>0</v>
      </c>
      <c r="AB110" s="29"/>
      <c r="AC110" s="29"/>
    </row>
    <row r="111" spans="1:29" ht="15.75" customHeight="1" thickBot="1" x14ac:dyDescent="0.25">
      <c r="A111" s="15"/>
      <c r="B111" s="54"/>
      <c r="C111" s="54"/>
      <c r="D111" s="54"/>
      <c r="E111" s="54"/>
      <c r="F111" s="54"/>
      <c r="G111" s="54"/>
      <c r="H111" s="54"/>
      <c r="I111" s="54"/>
      <c r="J111" s="54"/>
      <c r="K111" s="15"/>
      <c r="L111" s="58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15"/>
      <c r="AB111" s="60"/>
      <c r="AC111" s="60"/>
    </row>
    <row r="112" spans="1:29" ht="44.25" customHeight="1" thickBot="1" x14ac:dyDescent="0.25">
      <c r="A112" s="15"/>
      <c r="B112" s="61" t="str">
        <f>IF(C100="","",IF(C105="Futures","",IF(C105="Options Sell",[1]AB5!$B$71,IF(C105="Options Buy",[1]AB5!$B$104))))</f>
        <v>For Entry</v>
      </c>
      <c r="C112" s="62"/>
      <c r="D112" s="63" t="str">
        <f>IF(C100="","",IF(C105="Futures","",IF(C105="Options Sell",[1]AB5!$D$71,IF(C105="Options Buy",[1]AB5!$D$104))))</f>
        <v>Gap Check</v>
      </c>
      <c r="E112" s="64" t="str">
        <f>IF(C100="","",IF(C105="Futures","",IF(C105="Options Sell",[1]AB5!$E$71,IF(C105="Options Buy",[1]AB5!$E$104))))</f>
        <v>Process</v>
      </c>
      <c r="F112" s="65"/>
      <c r="G112" s="66" t="str">
        <f>IF(C100="","",IF(C105="Futures","",IF(C105="Options Sell",[1]AB5!$G$71,IF(C105="Options Buy",[1]AB5!$G$104))))</f>
        <v>Yes / No</v>
      </c>
      <c r="H112" s="67" t="str">
        <f>IF(C100="","",IF(C105="Futures","",IF(C105="Options Sell",[1]AB5!$H$71,IF(C105="Options Buy",[1]AB5!$H$104))))</f>
        <v>Order Status</v>
      </c>
      <c r="I112" s="68" t="str">
        <f>IF(C100="","",IF(C105="Futures","",IF(C105="Options Sell",[1]AB5!$I$71,IF(C105="Options Buy",[1]AB5!$D$92))))</f>
        <v>Step 1</v>
      </c>
      <c r="J112" s="69" t="str">
        <f>IF(C100="","",IF(C105="Futures","",IF(C105="Options Sell",[1]AB5!$J$71,IF(C105="Options Buy",[1]AB5!$J$104))))</f>
        <v>Order Placement Timings</v>
      </c>
      <c r="K112" s="65"/>
      <c r="L112" s="70" t="str">
        <f>IF(C100="","",IF(C105="Futures","",IF(C105="Options Sell",[1]AB5!$L$71,IF(C105="Options Buy",[1]AB5!$L$104))))</f>
        <v>Time</v>
      </c>
      <c r="M112" s="68" t="str">
        <f>IF(C100="","",IF(C105="Futures","",IF(C105="Options Sell",[1]AB5!$M$71,IF(C105="Options Buy",[1]AB5!$M$104))))</f>
        <v>Rules For Gap = Step 1 Start Strike</v>
      </c>
      <c r="N112" s="66" t="str">
        <f>IF(C100="","",IF(C105="Futures","",IF(C105="Options Sell",[1]AB5!$N$71,IF(C105="Options Buy",[1]AB5!$N$104))))</f>
        <v>Start Strike Buffer</v>
      </c>
      <c r="O112" s="68" t="str">
        <f>IF(C100="","",IF(C105="Futures","",IF(C105="Options Sell",[1]AB5!$O$71,IF(C105="Options Buy",[1]AB5!$O$104))))</f>
        <v>Rules For Gap = Step 2 End Strike</v>
      </c>
      <c r="P112" s="69" t="str">
        <f>IF(C100="","",IF(C105="Futures","",IF(C105="Options Sell",[1]AB5!$P$71,IF(C105="Options Buy",[1]AB5!$P$104))))</f>
        <v>End Strike Buffer</v>
      </c>
      <c r="Q112" s="65"/>
      <c r="R112" s="65"/>
      <c r="S112" s="71" t="str">
        <f>IF(C100="","",IF(C105="Futures","",IF(C105="Options Sell",[1]AB5!$S$71,IF(C105="Options Buy",[1]AB5!$S$104))))</f>
        <v>Data</v>
      </c>
      <c r="T112" s="72" t="str">
        <f>IF(C100="","",IF(C105="Futures","",IF(C105="Options Sell",[1]AB5!$T$71,IF(C105="Options Buy",[1]AB5!$T$104))))</f>
        <v xml:space="preserve"> Ideal Premium</v>
      </c>
      <c r="U112" s="65"/>
      <c r="V112" s="68" t="str">
        <f>IF(C100="","",IF(C105="Futures","",IF(C105="Options Sell",[1]AB5!$V$71,IF(C105="Options Buy",[1]AB5!$V$104))))</f>
        <v>Minimum Premium</v>
      </c>
      <c r="W112" s="68" t="str">
        <f>IF(C100="","",IF(C105="Futures","",IF(C105="Options Sell",[1]AB5!$W$71,IF(C105="Options Buy",[1]AB5!$W$104))))</f>
        <v>Minimum OI</v>
      </c>
      <c r="X112" s="73" t="str">
        <f>IF(C100="","",IF(C105="Futures","",IF(C105="Options Sell",[1]AB5!$X$71,IF(C105="Options Buy",[1]AB5!$X$104))))</f>
        <v>Rules For Gap = Step 3 Revised Option Entry</v>
      </c>
      <c r="Y112" s="65"/>
      <c r="Z112" s="68" t="str">
        <f>IF(C100="","",IF(C105="Futures","",IF(C105="Options Sell",[1]AB5!$Z$71,[1]AB5!$Z$104)))</f>
        <v>Data</v>
      </c>
      <c r="AA112" s="74" t="str">
        <f>IF(C100="","",IF(C105="Futures","",IF(C105="Options Sell",[1]AB5!$AA$71,IF(C105="Options Buy",[1]AB5!$AA$104))))</f>
        <v>Buffer</v>
      </c>
      <c r="AB112" s="75"/>
      <c r="AC112" s="75"/>
    </row>
    <row r="113" spans="1:29" ht="44.25" customHeight="1" x14ac:dyDescent="0.2">
      <c r="A113" s="15" t="str">
        <f>IF(C100="","",CONCATENATE(C101,[1]AB5!$A$4))</f>
        <v>S21A</v>
      </c>
      <c r="B113" s="76" t="str">
        <f>IF(C100="","",IF(C105="Futures","",IF(C105="Options Sell",[1]AB5!$B$72,IF(C105="Options Buy",[1]AB5!$B$105))))</f>
        <v xml:space="preserve">ORPT </v>
      </c>
      <c r="C113" s="77" t="str">
        <f>IF(C100="","",IF(C105="Futures","",IF(C105="Options Sell",[1]AB5!$C$72,IF(C105="Options Buy",[1]AB5!$C$105))))</f>
        <v xml:space="preserve"> RC. Time</v>
      </c>
      <c r="D113" s="18" t="str">
        <f>IF(C100="","",IF(C105="Futures","",IF(C105="Options Sell",[1]AB5!$D$72,IF(C105="Options Buy",[1]AB5!$D$105))))</f>
        <v>For Call Sell Entry</v>
      </c>
      <c r="E113" s="78" t="str">
        <f>IF(C100="","",IF(C105="Futures","",IF(C105="Options Sell",CONCATENATE([1]AB5!$E$72,TEXT(B114,"HH:MM:SS AM/PM"),[1]AB5!$F$72))))</f>
        <v>Check If 09:24:59 AM LL &lt; Call Sell Entry</v>
      </c>
      <c r="F113" s="79"/>
      <c r="G113" s="80" t="str">
        <f>IF(C100="","",IF(C105="Futures","",IF(C105="Options Sell",[1]AB5!$G$72,IF(C105="Options Buy",[1]AB5!$G$105))))</f>
        <v>No</v>
      </c>
      <c r="H113" s="81" t="str">
        <f>IF(C100="","",IF(C105="Futures","",IF(C105="Options Sell",[1]AB5!$H$72)))</f>
        <v>Entry Not Missed</v>
      </c>
      <c r="I113" s="82" t="str">
        <f>IF(C100="","",IF(C105="Futures","",IF(C105="Options Sell",[1]AB5!$I$72)))</f>
        <v>Place the Order at ORPT</v>
      </c>
      <c r="J113" s="83" t="str">
        <f>IF(C100="","",IF(C105="Futures","",IF(C105="Options Sell",[1]AB5!$J$72)))</f>
        <v>ORPT Time</v>
      </c>
      <c r="K113" s="27"/>
      <c r="L113" s="84">
        <f>IF(C100="","",IF(C105="Futures","",IF(C105="Options Sell",B114)))</f>
        <v>0.39235416666666667</v>
      </c>
      <c r="M113" s="85" t="str">
        <f>IF(C100="","",IF(C105="Futures","",IF(C105="Options Sell",[1]AB5!$M$72)))</f>
        <v>N.A.</v>
      </c>
      <c r="N113" s="86" t="str">
        <f>IF(C100="","",IF(C105="Futures","",IF(C105="Options Sell",[1]AB5!$N$72)))</f>
        <v>N.A.</v>
      </c>
      <c r="O113" s="85" t="str">
        <f>IF(C100="","",IF(C105="Futures","",IF(C105="Options Sell",[1]AB5!$O$72)))</f>
        <v>N.A.</v>
      </c>
      <c r="P113" s="87" t="str">
        <f>IF(C100="","",IF(C105="Futures","",IF(C105="Options Sell",[1]AB5!$P$72)))</f>
        <v>N.A.</v>
      </c>
      <c r="Q113" s="88"/>
      <c r="R113" s="27"/>
      <c r="S113" s="89" t="str">
        <f>IF(C100="","",IF(C105="Futures","",IF(C105="Options Sell",[1]AB5!$S$72)))</f>
        <v>N.A.</v>
      </c>
      <c r="T113" s="90" t="str">
        <f>IF(C100="","",IF(C105="Futures","",IF(C105="Options Sell",[1]AB5!$T$72)))</f>
        <v>N.A.</v>
      </c>
      <c r="U113" s="27"/>
      <c r="V113" s="91" t="str">
        <f>IF(C100="","",IF(C105="Futures","",IF(C105="Options Sell",[1]AB5!$V$72)))</f>
        <v>N.A.</v>
      </c>
      <c r="W113" s="91" t="str">
        <f>IF(C100="","",IF(C105="Futures","",IF(C105="Options Sell",[1]AB5!$W$72)))</f>
        <v>N.A.</v>
      </c>
      <c r="X113" s="83" t="str">
        <f>IF(C100="","",IF(C105="Futures","",IF(C105="Options Sell",[1]AB5!$X$72)))</f>
        <v>N.A.</v>
      </c>
      <c r="Y113" s="27"/>
      <c r="Z113" s="89" t="str">
        <f>IF(C100="","",IF(C105="Futures","",IF(C105="Options Sell",[1]AB5!$Z$72)))</f>
        <v>N.A.</v>
      </c>
      <c r="AA113" s="92" t="str">
        <f>IF(C100="","",IF(C105="Futures","",IF(C105="Options Sell",[1]AB5!$AA$72)))</f>
        <v>N.A.</v>
      </c>
      <c r="AB113" s="75"/>
      <c r="AC113" s="75"/>
    </row>
    <row r="114" spans="1:29" ht="57" customHeight="1" x14ac:dyDescent="0.2">
      <c r="A114" s="93" t="str">
        <f>IF(C100="","",CONCATENATE(C101,[1]AB5!$A$7))</f>
        <v>S21B</v>
      </c>
      <c r="B114" s="94">
        <f t="array" ref="B114">IF(C100="","",INDEX([1]AB4!BE:BE,MATCH(A113,[1]AB4!B:B,0)))</f>
        <v>0.39235416666666667</v>
      </c>
      <c r="C114" s="95">
        <f t="array" ref="C114">IF(C100="","", INDEX([1]AB4!BE:BE,MATCH(A114,[1]AB4!B:B,0)))</f>
        <v>0.39582638888888888</v>
      </c>
      <c r="D114" s="32"/>
      <c r="E114" s="96"/>
      <c r="F114" s="97"/>
      <c r="G114" s="98" t="str">
        <f>IF(C100="","",IF(C105="Futures","",IF(C105="Options Sell",[1]AB5!$G$73,IF(C105="Options Buy",[1]AB5!$G$106))))</f>
        <v>Yes</v>
      </c>
      <c r="H114" s="99" t="str">
        <f>IF(C100="","",IF(C105="Futures","",IF(C105="Options Sell",[1]AB5!$H$73)))</f>
        <v>Entry Missed</v>
      </c>
      <c r="I114" s="100" t="str">
        <f>IF(C100="","",IF(C105="Futures","",IF(C105="Options Sell",[1]AB5!$I$73)))</f>
        <v>Recalcuate : Call Sell Entry : Bull / Bull CF</v>
      </c>
      <c r="J114" s="101" t="str">
        <f>IF(C100="","",IF(C105="Futures","",IF(C105="Options Sell",[1]AB5!$J$73)))</f>
        <v>Wait Till Recalculation Time</v>
      </c>
      <c r="K114" s="102"/>
      <c r="L114" s="103">
        <f>IF(C100="","",IF(C105="Futures","",IF(C105="Options Sell",C114)))</f>
        <v>0.39582638888888888</v>
      </c>
      <c r="M114" s="104" t="str">
        <f t="array" ref="M114">IF(C100="","",IF(C105="Futures","",IF(C105="Options Sell",CONCATENATE([1]AB5!$M$73, "( ",INDEX([1]AB4!BP:BP,MATCH(A100,[1]AB4!B:B,0))," &amp; ",S114," ) ",INDEX([1]AB4!BQ:BQ,MATCH(A100,[1]AB4!B:B))," ",N114," ) &amp; ",INDEX([1]AB4!BS:BS,MATCH(A100,[1]AB4!B:B,0))))))</f>
        <v>Min of ( SPT : PRV : 3DLL &amp; 09:29:59 AM LL ) + 5.00% ) &amp; Round Down</v>
      </c>
      <c r="N114" s="105" t="str">
        <f t="array" ref="N114">IF(A100="","",IF(C105="Futures","",IF(C105="Options Sell",TEXT(INDEX([1]AB4!CR:CR,MATCH(A100,[1]AB4!B:B,0)),"0.00%"))))</f>
        <v>5.00%</v>
      </c>
      <c r="O114" s="104" t="str">
        <f t="array" ref="O114">IF(C100="","",IF(C105="Futures","",IF(C105="Options Sell",CONCATENATE([1]AB5!$O$73,"( ",INDEX([1]AB4!BT:BT,MATCH(A100,[1]AB4!B:B,0))," &amp; ",S114," ) &amp; ",INDEX([1]AB4!BW:BW,MATCH(A100,[1]AB4!B:B,0))," ",INDEX([1]AB4!BX:BX,MATCH(A100,[1]AB4!B:B,0))," ",INDEX([1]AB4!BY:BY,MATCH(A100,[1]AB4!B:B,0))))))</f>
        <v>Min of ( SPT : PRV : 3DLL &amp; 09:29:59 AM LL ) &amp; Round Down - 1</v>
      </c>
      <c r="P114" s="106" t="str">
        <f t="array" ref="P114">IF(A100="","",IF(C105="Futures","",IF(C105="Options Sell",IF(INDEX([1]AB4!CS:CS,MATCH(A100,[1]AB4!B:B,0))="","",TEXT(INDEX([1]AB4!CS:CS,MATCH(A100,[1]AB4!B:B,0)),"0.00%")))))</f>
        <v/>
      </c>
      <c r="Q114" s="107"/>
      <c r="R114" s="102"/>
      <c r="S114" s="105" t="str">
        <f>IF(C100="","",IF(C105="Futures","",IF(C105="Options Sell",CONCATENATE(TEXT(L114,"HH:MM:SS AM/PM"),[1]AB5!$S$73))))</f>
        <v>09:29:59 AM LL</v>
      </c>
      <c r="T114" s="101" t="str">
        <f t="array" ref="T114">IF(C100="","",IF(C105="Futures","",IF(C105="Options Sell",CONCATENATE([1]AB5!$T$73,"( ",INDEX([1]AB4!CE:CE,MATCH(A100,[1]AB4!B:B,0))," &amp; ",S114," ) ",[1]AB5!$H$59,TEXT(INDEX([1]AB4!CF:CF,MATCH(A100,[1]AB4!B:B,0)),"0.00%")))))</f>
        <v>Min of ( SPT : PRV : 3DLL &amp; 09:29:59 AM LL )  * 2.00%</v>
      </c>
      <c r="U114" s="102"/>
      <c r="V114" s="104" t="str">
        <f t="array" ref="V114">IF(C100="","",IF(C105="Futures","",IF(C105="Options Sell",CONCATENATE([1]AB5!$V$73,"( ",INDEX([1]AB4!CG:CG,MATCH(A100,[1]AB4!B:B,0))," &amp; ",S114," ) ",[1]AB5!$H$59,TEXT(INDEX([1]AB4!CH:CH,MATCH(A100,[1]AB4!B:B,0)),"0.00%")))))</f>
        <v>Min of ( SPT : PRV : 3DLL &amp; 09:29:59 AM LL )  * 1.50%</v>
      </c>
      <c r="W114" s="104" t="str">
        <f>IF(A100="","",IF(C105="Futures","",IF(C105="Options Sell",I100)))</f>
        <v>500 Lots</v>
      </c>
      <c r="X114" s="101" t="str">
        <f t="array" ref="X114">IF(C100="","",IF(C105="Futures","",IF(C105="Options Sell",CONCATENATE([1]AB5!$X$73,"( ",INDEX([1]AB4!G:G,MATCH(A100,[1]AB4!B:B,0))," &amp; ",Z114," ) ",INDEX([1]AB4!H:H,MATCH(A100,[1]AB4!B:B,0))," ",AA114))))</f>
        <v>Min of ( OPT : PRV : 3DLL &amp; 09:29:59 AM LL )  -  7.50%</v>
      </c>
      <c r="Y114" s="102"/>
      <c r="Z114" s="108" t="str">
        <f>IF(C100="","",IF(C105="Futures","",IF(C105="Options Sell",CONCATENATE(TEXT(L114,"HH:MM:SS AM/PM"),[1]AB5!$S$73))))</f>
        <v>09:29:59 AM LL</v>
      </c>
      <c r="AA114" s="109" t="str">
        <f t="array" ref="AA114">IF(A100="","",IF(C105="Futures","",IF(C105="Options Sell",TEXT(INDEX([1]AB4!BK:BK,MATCH(A100,[1]AB4!B:B,0)),"0.00%"))))</f>
        <v>7.50%</v>
      </c>
      <c r="AB114" s="75"/>
      <c r="AC114" s="75"/>
    </row>
    <row r="115" spans="1:29" ht="57" customHeight="1" thickBot="1" x14ac:dyDescent="0.25">
      <c r="A115" s="15"/>
      <c r="B115" s="110"/>
      <c r="C115" s="111"/>
      <c r="D115" s="112"/>
      <c r="E115" s="12"/>
      <c r="F115" s="13"/>
      <c r="G115" s="14"/>
      <c r="H115" s="14"/>
      <c r="I115" s="100" t="str">
        <f>IF(C100="","",IF(C105="Futures","",IF(C105="Options Sell",[1]AB5!$I$74)))</f>
        <v>Recalcuate : Call Sell Entry : Bear / Bear CF</v>
      </c>
      <c r="J115" s="101" t="str">
        <f>IF(C100="","",IF(C105="Futures","",IF(C105="Options Sell",[1]AB5!$J$74)))</f>
        <v>Wait Till Recalculation Time</v>
      </c>
      <c r="K115" s="102"/>
      <c r="L115" s="103">
        <f>IF(C100="","",IF(C105="Futures","",IF(C105="Options Sell",C114)))</f>
        <v>0.39582638888888888</v>
      </c>
      <c r="M115" s="104" t="str">
        <f t="array" ref="M115">IF(C100="","",IF(C105="Futures","",IF(C105="Options Sell",CONCATENATE([1]AB5!$M$74,"( ",INDEX([1]AB4!BP:BP,MATCH(A106,[1]AB4!B:B,0))," &amp; ",S115," ) ",INDEX([1]AB4!BQ:BQ,MATCH(A106,[1]AB4!B:B,0))," ",N115," ) &amp; ",INDEX([1]AB4!BS:BS,MATCH(A106,[1]AB4!B:B,0))))))</f>
        <v>Min of ( SPT : PRV : 2DLL &amp; 09:29:59 AM LL ) + 5.00% ) &amp; Round Down</v>
      </c>
      <c r="N115" s="105" t="str">
        <f t="array" ref="N115">IF(A100="","",IF(C105="Futures","",IF(C105="Options Sell",TEXT(INDEX([1]AB4!CR:CR,MATCH(A106,[1]AB4!B:B,0)),"0.00%"))))</f>
        <v>5.00%</v>
      </c>
      <c r="O115" s="104" t="str">
        <f t="array" ref="O115">IF(C100="","",IF(C105="Futures","",IF(C105="Options Sell",CONCATENATE([1]AB5!$O$74,"( ",INDEX([1]AB4!BT:BT,MATCH(A106,[1]AB4!B:B,0))," &amp; ",S115," ) &amp; ",INDEX([1]AB4!BW:BW,MATCH(A106,[1]AB4!B:B,0))," ",INDEX([1]AB4!BX:BX,MATCH(A106,[1]AB4!B:B,0))," ",INDEX([1]AB4!BY:BY,MATCH(A106,[1]AB4!B:B,0))))))</f>
        <v>Min of ( SPT : PRV : 2DLL &amp; 09:29:59 AM LL ) &amp; Round Down - 1</v>
      </c>
      <c r="P115" s="106" t="str">
        <f t="array" ref="P115">IF(A100="","",IF(C105="Futures","",IF(C105="Options Sell",IF(INDEX([1]AB4!CS:CS,MATCH(A106,[1]AB4!B:B,0))="","",TEXT(INDEX([1]AB4!CS:CS,MATCH(A106,[1]AB4!B:B,0)),"0.00%")))))</f>
        <v/>
      </c>
      <c r="Q115" s="107"/>
      <c r="R115" s="102"/>
      <c r="S115" s="105" t="str">
        <f>IF(C100="","",IF(C105="Futures","",IF(C105="Options Sell",CONCATENATE(TEXT(L115,"HH:MM:SS AM/PM"),[1]AB5!$S$74))))</f>
        <v>09:29:59 AM LL</v>
      </c>
      <c r="T115" s="101" t="str">
        <f t="array" ref="T115">IF(C100="","",IF(C105="Futures","",IF(C105="Options Sell",CONCATENATE([1]AB5!$T$74," of ( ",INDEX([1]AB4!CE:CE,MATCH(A106,[1]AB4!B:B,0))," &amp; ",S114," ) ",[1]AB5!$H$59,TEXT(INDEX([1]AB4!CF:CF,MATCH(A106,[1]AB4!B:B,0)),"0.00%")))))</f>
        <v>Min of  of ( SPT : PRV : 2DLL &amp; 09:29:59 AM LL )  * 2.00%</v>
      </c>
      <c r="U115" s="102"/>
      <c r="V115" s="104" t="str">
        <f t="array" ref="V115">IF(C100="","",IF(C105="Futures","",IF(C105="Options Sell",CONCATENATE([1]AB5!$V$74,"( ",INDEX([1]AB4!CG:CG,MATCH(A106,[1]AB4!B:B,0))," &amp; ",S115," ) ",[1]AB5!$H$59,TEXT(INDEX([1]AB4!CH:CH,MATCH(A106,[1]AB4!B:B,0)),"0.00%")))))</f>
        <v>Min of ( SPT : PRV : 2DLL &amp; 09:29:59 AM LL )  * 1.50%</v>
      </c>
      <c r="W115" s="104" t="str">
        <f>IF(A100="","",IF(C105="Futures","",IF(C105="Options Sell",I106)))</f>
        <v>500 Lots</v>
      </c>
      <c r="X115" s="101" t="str">
        <f t="array" ref="X115">IF(C100="","",IF(C105="Futures","",IF(C105="Options Sell",CONCATENATE([1]AB5!$X$74,"( ",INDEX([1]AB4!G:G,MATCH(A106,[1]AB4!B:B,0))," &amp; ",Z115," ) ", INDEX([1]AB4!H:H,MATCH(A106,[1]AB4!B:B,0))," ",AA115))))</f>
        <v>Min of ( OPT : PRV : 2DLL &amp; 09:29:59 AM LL )  -  7.50%</v>
      </c>
      <c r="Y115" s="102"/>
      <c r="Z115" s="108" t="str">
        <f>IF(C100="","",IF(C105="Futures","",IF(C105="Options Sell",CONCATENATE(TEXT(L115,"HH:MM:SS AM/PM"), [1]AB5!$S$74))))</f>
        <v>09:29:59 AM LL</v>
      </c>
      <c r="AA115" s="109" t="str">
        <f t="array" ref="AA115">IF(A100="","",IF(C105="Futures","",IF(C105="Options Sell",TEXT(INDEX([1]AB4!BK:BK,MATCH(A106,[1]AB4!B:B,0)),"0.00%"))))</f>
        <v>7.50%</v>
      </c>
      <c r="AB115" s="75"/>
      <c r="AC115" s="75"/>
    </row>
    <row r="116" spans="1:29" ht="44.25" customHeight="1" x14ac:dyDescent="0.2">
      <c r="A116" s="15"/>
      <c r="B116" s="113" t="str">
        <f>IF(C100="","",IF(C105="Futures","",IF(C105="Options Sell",[1]AB5!$B$75,IF(C105="Options Buy",[1]AB5!$B$108))))</f>
        <v>For SL (Position = Open)</v>
      </c>
      <c r="C116" s="114"/>
      <c r="D116" s="115" t="str">
        <f>IF(C100="","",IF(C105="Futures","",IF(C105="Options Sell",[1]AB5!$D$75,IF(C105="Options Buy",[1]AB5!$D$108))))</f>
        <v>For Put Sell Entry</v>
      </c>
      <c r="E116" s="116" t="str">
        <f>IF(C100="","",IF(C105="Futures","",IF(C105="Options Sell",CONCATENATE([1]AB5!$E$75,TEXT(B114,"HH:MM:SS AM/PM"),[1]AB5!$F$75))))</f>
        <v>Check If 09:24:59 AM LL &lt; Put Sell Entry</v>
      </c>
      <c r="F116" s="4"/>
      <c r="G116" s="117" t="str">
        <f>IF(C100="","",IF(C105="Futures","",IF(C105="Options Sell",[1]AB5!$G$75,IF(C105="Options Buy",[1]AB5!$G$108))))</f>
        <v>No</v>
      </c>
      <c r="H116" s="118" t="str">
        <f>IF(C100="","",IF(C105="Futures","",IF(C105="Options Sell",[1]AB5!$H$75)))</f>
        <v>Entry Not Missed</v>
      </c>
      <c r="I116" s="119" t="str">
        <f>IF(C100="","",IF(C105="Futures","",IF(C105="Options Sell",[1]AB5!$I$75)))</f>
        <v>Place the Order at ORPT</v>
      </c>
      <c r="J116" s="120" t="str">
        <f>IF(C100="","",IF(C105="Futures","",IF(C105="Options Sell",[1]AB5!$J$75)))</f>
        <v>ORPT Time</v>
      </c>
      <c r="K116" s="102"/>
      <c r="L116" s="121">
        <f>IF(C100="","",IF(C105="Futures","",IF(C105="Options Sell",B114)))</f>
        <v>0.39235416666666667</v>
      </c>
      <c r="M116" s="118" t="str">
        <f>IF(C100="","",IF(C105="Futures","",IF(C105="Options Sell",[1]AB5!$M$75)))</f>
        <v>N.A.</v>
      </c>
      <c r="N116" s="122" t="str">
        <f>IF(C100="","",IF(C105="Futures","",IF(C105="Options Sell",[1]AB5!$N$75)))</f>
        <v>N.A.</v>
      </c>
      <c r="O116" s="118" t="str">
        <f>IF(C100="","",IF(C105="Futures","",IF(C105="Options Sell",[1]AB5!$O$75)))</f>
        <v>N.A.</v>
      </c>
      <c r="P116" s="123" t="str">
        <f>IF(C100="","",IF(C105="Futures","",IF(C105="Options Sell",[1]AB5!$P$75)))</f>
        <v>N.A.</v>
      </c>
      <c r="Q116" s="107"/>
      <c r="R116" s="102"/>
      <c r="S116" s="118" t="str">
        <f>IF(C100="","",IF(C105="Futures","",IF(C105="Options Sell",[1]AB5!$S$75)))</f>
        <v>N.A.</v>
      </c>
      <c r="T116" s="124" t="str">
        <f>IF(C100="","",IF(C105="Futures","",IF(C105="Options Sell",[1]AB5!$T$75)))</f>
        <v>N.A.</v>
      </c>
      <c r="U116" s="102"/>
      <c r="V116" s="125" t="str">
        <f>IF(C100="","",IF(C105="Futures","",IF(C105="Options Sell",[1]AB5!$V$75)))</f>
        <v>N.A.</v>
      </c>
      <c r="W116" s="125" t="str">
        <f>IF(C100="","",IF(C105="Futures","",IF(C105="Options Sell",[1]AB5!$W$75)))</f>
        <v>N.A.</v>
      </c>
      <c r="X116" s="120" t="str">
        <f>IF(C100="","",IF(C105="Futures","",IF(C105="Options Sell",[1]AB5!$X$75)))</f>
        <v>N.A.</v>
      </c>
      <c r="Y116" s="102"/>
      <c r="Z116" s="126" t="str">
        <f>IF(C100="","",IF(C105="Futures","",IF(C105="Options Sell",[1]AB5!$Z$75)))</f>
        <v>N.A.</v>
      </c>
      <c r="AA116" s="127" t="str">
        <f>IF(C100="","",IF(C105="Futures","",IF(C105="Options Sell",[1]AB5!$AA$75)))</f>
        <v>N.A.</v>
      </c>
      <c r="AB116" s="75"/>
      <c r="AC116" s="75"/>
    </row>
    <row r="117" spans="1:29" ht="57" customHeight="1" x14ac:dyDescent="0.2">
      <c r="A117" s="15" t="str">
        <f>IF(C100="","",CONCATENATE(C101,[1]AB5!$A$4))</f>
        <v>S21A</v>
      </c>
      <c r="B117" s="128" t="str">
        <f>IF(C100="","",IF(C105="Futures","",IF(C105="Options Sell",[1]AB5!$B$76,IF(C105="Options Buy",[1]AB5!$B$109))))</f>
        <v xml:space="preserve">ORPT </v>
      </c>
      <c r="C117" s="129" t="str">
        <f>IF(C100="","",IF(C105="Futures","",IF(C105="Options Sell",[1]AB5!$C$76,IF(C105="Options Buy",[1]AB5!$C$109))))</f>
        <v xml:space="preserve"> RC. Time</v>
      </c>
      <c r="D117" s="32"/>
      <c r="E117" s="96"/>
      <c r="F117" s="97"/>
      <c r="G117" s="130" t="str">
        <f>IF(C100="","",IF(C105="Futures","",IF(C105="Options Sell",[1]AB5!$G$76,IF(C105="Options Buy",[1]AB5!$G$109))))</f>
        <v>Yes</v>
      </c>
      <c r="H117" s="131" t="str">
        <f>IF(C100="","",IF(C105="Futures","",IF(C105="Options Sell",[1]AB5!$H$76)))</f>
        <v>Entry Missed</v>
      </c>
      <c r="I117" s="119" t="str">
        <f>IF(C100="","",IF(C105="Futures","",IF(C105="Options Sell",[1]AB5!$I$76)))</f>
        <v>Recalcuate : Put Sell Entry : Bull / Bull CF</v>
      </c>
      <c r="J117" s="120" t="str">
        <f>IF(C100="","",IF(C105="Futures","",IF(C105="Options Sell",[1]AB5!$J$76)))</f>
        <v>Wait Till Recalculation Time</v>
      </c>
      <c r="K117" s="102"/>
      <c r="L117" s="121">
        <f>IF(C100="","",IF(C105="Futures","",IF(C105="Options Sell",C114)))</f>
        <v>0.39582638888888888</v>
      </c>
      <c r="M117" s="118" t="str">
        <f t="array" ref="M117">IF(C100="","",IF(C105="Futures","",IF(C105="Options Sell",CONCATENATE([1]AB5!$M$76, "( ",INDEX([1]AB4!BP:BP,MATCH(A103,[1]AB4!B:B,0))," &amp; ",S117," ) ",INDEX([1]AB4!BQ:BQ,MATCH(A103,[1]AB4!B:B,0))," ",N117," ) &amp; ",INDEX([1]AB4!BS:BS,MATCH(A103,[1]AB4!B:B,0))))))</f>
        <v>Max of ( SPT : PRV : 2DHH &amp; 09:29:59 AM LL ) - 5.00% ) &amp; Round Up</v>
      </c>
      <c r="N117" s="122" t="str">
        <f t="array" ref="N117">IF(A100="","",IF(C105="Futures","",IF(C105="Options Sell",TEXT(INDEX([1]AB4!CR:CR,MATCH(A103,[1]AB4!B:B,0)),"0.00%"))))</f>
        <v>5.00%</v>
      </c>
      <c r="O117" s="118" t="str">
        <f t="array" ref="O117">IF(C100="","",IF(C105="Futures","",IF(C105="Options Sell",CONCATENATE([1]AB5!$O$76,"( ",INDEX([1]AB4!BT:BT,MATCH(A103,[1]AB4!B:B,0))," &amp; ",S117," ) &amp; ",INDEX([1]AB4!BW:BW,MATCH(A103,[1]AB4!B:B,0))," ",INDEX([1]AB4!BX:BX,MATCH(A103,[1]AB4!B:B,0))," ",INDEX([1]AB4!BY:BY,MATCH(A103,[1]AB4!B:B,0))))))</f>
        <v>Max of ( SPT : PRV : 2DHH &amp; 09:29:59 AM LL ) &amp; Round Up + 1</v>
      </c>
      <c r="P117" s="123" t="str">
        <f t="array" ref="P117">IF(A100="","",IF(C105="Futures","",IF(C105="Options Sell",IF(INDEX([1]AB4!CS:CS,MATCH(A103,[1]AB4!B:B,0))="","",TEXT(INDEX([1]AB4!CS:CS,MATCH(A103,[1]AB4!B:B,0)),"0.00%")))))</f>
        <v/>
      </c>
      <c r="Q117" s="107"/>
      <c r="R117" s="102"/>
      <c r="S117" s="132" t="str">
        <f>IF(C100="","",IF(C105="Futures","",IF(C105="Options Sell",CONCATENATE(TEXT(L117,"HH:MM:SS AM/PM"),[1]AB5!$S$76))))</f>
        <v>09:29:59 AM LL</v>
      </c>
      <c r="T117" s="120" t="str">
        <f t="array" ref="T117">IF(C100="","",IF(C105="Futures","",IF(C105="Options Sell",CONCATENATE([1]AB5!$T$76,"( ",INDEX([1]AB4!CE:CE,MATCH(A103,[1]AB4!B:B,0))," &amp; ",S117," ) ",[1]AB5!$H$59,TEXT(INDEX([1]AB4!CF:CF,MATCH(A103,[1]AB4!B:B,0)),"0.00%")))))</f>
        <v>Min of ( SPT : PRV : 2DHH &amp; 09:29:59 AM LL )  * 2.00%</v>
      </c>
      <c r="U117" s="102"/>
      <c r="V117" s="118" t="str">
        <f t="array" ref="V117">IF(C100="","",IF(C105="Futures","",IF(C105="Options Sell",CONCATENATE([1]AB5!$V$76,"( ",INDEX([1]AB4!CG:CG,MATCH(A103,[1]AB4!B:B,0))," &amp; ",S117," ) ",[1]AB5!$H$59,TEXT(INDEX([1]AB4!CH:CH,MATCH(A103,[1]AB4!B:B,0)),"0.00%")))))</f>
        <v>Min of ( SPT : PRV : 2DHH &amp; 09:29:59 AM LL )  * 1.50%</v>
      </c>
      <c r="W117" s="118" t="str">
        <f>IF(A100="","",IF(C105="Futures","",IF(C105="Options Sell",I103)))</f>
        <v>500 Lots</v>
      </c>
      <c r="X117" s="120" t="str">
        <f t="array" ref="X117">IF(C100="","",IF(C105="Futures","",IF(C105="Options Sell",CONCATENATE([1]AB5!$X$76,"( ",INDEX([1]AB4!G:G,MATCH(A103,[1]AB4!B:B,0))," &amp; ",Z117," ) ", INDEX([1]AB4!H:H,MATCH(A103,[1]AB4!B:B,0))," ",AA117))))</f>
        <v>Min of ( OPT : PRV : 2DLL &amp; 09:29:59 AM LL )  -  7.50%</v>
      </c>
      <c r="Y117" s="102"/>
      <c r="Z117" s="133" t="str">
        <f>IF(C100="","",IF(C105="Futures","",IF(C105="Options Sell",CONCATENATE(TEXT(L117,"HH:MM:SS AM/PM"), [1]AB5!$S$76))))</f>
        <v>09:29:59 AM LL</v>
      </c>
      <c r="AA117" s="134" t="str">
        <f t="array" ref="AA117">IF(A100="","",IF(C105="Futures","",IF(C105="Options Sell",TEXT(INDEX([1]AB4!BK:BK,MATCH(A103,[1]AB4!B:B,0)),"0.00%"))))</f>
        <v>7.50%</v>
      </c>
      <c r="AB117" s="75"/>
      <c r="AC117" s="75"/>
    </row>
    <row r="118" spans="1:29" ht="57" customHeight="1" thickBot="1" x14ac:dyDescent="0.25">
      <c r="A118" s="15" t="str">
        <f>IF(C100="","",CONCATENATE(C101,[1]AB5!$A$7))</f>
        <v>S21B</v>
      </c>
      <c r="B118" s="135">
        <f t="array" ref="B118">IF(C100="","", IF(C105="Futures","",IF(C105="Options Sell",INDEX([1]AB4!BF:BF,MATCH(A117,[1]AB4!B:B,0)))))</f>
        <v>0.39235416666666667</v>
      </c>
      <c r="C118" s="136">
        <f t="array" ref="C118">IF(C100="","", IF(C105="Futures","",IF(C105="Options Sell",INDEX([1]AB4!BF:BF,MATCH(A118,[1]AB4!B:B,0)))))</f>
        <v>0.39582638888888888</v>
      </c>
      <c r="D118" s="34"/>
      <c r="E118" s="111"/>
      <c r="F118" s="137"/>
      <c r="G118" s="138"/>
      <c r="H118" s="138"/>
      <c r="I118" s="139" t="str">
        <f>IF(C100="","",IF(C105="Futures","",IF(C105="Options Sell",[1]AB5!$I$77)))</f>
        <v>Recalcuate : Put Sell Entry : Bear / Bear CF</v>
      </c>
      <c r="J118" s="140" t="str">
        <f>IF(C100="","",IF(C105="Futures","",IF(C105="Options Sell",[1]AB5!$J$77)))</f>
        <v>Wait Till Recalculation Time</v>
      </c>
      <c r="K118" s="40"/>
      <c r="L118" s="141">
        <f>IF(C100="","",IF(C105="Futures","",IF(C105="Options Sell",C114)))</f>
        <v>0.39582638888888888</v>
      </c>
      <c r="M118" s="142" t="str">
        <f t="array" ref="M118">IF(C100="","",IF(C105="Futures","",IF(C105="Options Sell",CONCATENATE([1]AB5!$M$77, "( ",INDEX([1]AB4!BP:BP,MATCH(A109,[1]AB4!B:B,0))," &amp; ",S118," ) ", INDEX([1]AB4!BQ:BQ,MATCH(A109,[1]AB4!B:B,0))," ",N118," ) &amp; ",INDEX([1]AB4!BS:BS,MATCH(A109,[1]AB4!B:B,0))))))</f>
        <v>Max of ( SPT : PRV : 3DHH &amp; 09:29:59 AM LL ) - 5.00% ) &amp; Round Up</v>
      </c>
      <c r="N118" s="143" t="str">
        <f t="array" ref="N118">IF(A100="","",IF(C105="Futures","",IF(C105="Options Sell",TEXT(INDEX([1]AB4!CR:CR,MATCH(A109,[1]AB4!B:B,0)),"0.00%"))))</f>
        <v>5.00%</v>
      </c>
      <c r="O118" s="142" t="str">
        <f t="array" ref="O118">IF(C100="","",IF(C105="Futures","",IF(C105="Options Sell",CONCATENATE([1]AB5!$O$77,"( ",INDEX([1]AB4!BT:BT,MATCH(A109,[1]AB4!B:B,0))," &amp; ",S118," ) &amp; ",INDEX([1]AB4!BW:BW,MATCH(A109,[1]AB4!B:B,0))," ",INDEX([1]AB4!BX:BX,MATCH(A109,[1]AB4!B:B,0))," ",INDEX([1]AB4!BY:BY,MATCH(A109,[1]AB4!B:B,0))))))</f>
        <v>Max of ( SPT : PRV : 3DHH &amp; 09:29:59 AM LL ) &amp; Round Up + 1</v>
      </c>
      <c r="P118" s="144" t="str">
        <f t="array" ref="P118">IF(A100="","",IF(C105="Futures","",IF(C105="Options Sell",IF(INDEX([1]AB4!CS:CS,MATCH(A109,[1]AB4!B:B,0))="","",TEXT(INDEX([1]AB4!CS:CS,MATCH(A109,[1]AB4!B:B,0)),"0.00%")))))</f>
        <v/>
      </c>
      <c r="Q118" s="145"/>
      <c r="R118" s="40"/>
      <c r="S118" s="146" t="str">
        <f>IF(C100="","",IF(C105="Futures","",IF(C105="Options Sell",CONCATENATE(TEXT(L118,"HH:MM:SS AM/PM"),[1]AB5!$S$77))))</f>
        <v>09:29:59 AM LL</v>
      </c>
      <c r="T118" s="140" t="str">
        <f t="array" ref="T118">IF(C100="","",IF(C105="Futures","",IF(C105="Options Sell",CONCATENATE([1]AB5!$T$77,"( ",INDEX([1]AB4!CE:CE,MATCH(A109,[1]AB4!B:B,0))," &amp; ",S118," ) ",[1]AB5!$H$59,TEXT(INDEX([1]AB4!CF:CF,MATCH(A109,[1]AB4!B:B,0)),"0.00%")))))</f>
        <v>Min of ( SPT : PRV : 3DHH &amp; 09:29:59 AM LL )  * 2.00%</v>
      </c>
      <c r="U118" s="40"/>
      <c r="V118" s="142" t="str">
        <f t="array" ref="V118">IF(C100="","",IF(C105="Futures","",IF(C105="Options Sell",CONCATENATE([1]AB5!$V$77,"( ",INDEX([1]AB4!CG:CG,MATCH(A109,[1]AB4!B:B,0))," &amp; ",S118," ) ",[1]AB5!$H$59,TEXT(INDEX([1]AB4!CH:CH,MATCH(A109,[1]AB4!B:B,0)),"0.00%")))))</f>
        <v>Min of ( SPT : PRV : 3DHH &amp; 09:29:59 AM LL )  * 1.50%</v>
      </c>
      <c r="W118" s="142" t="str">
        <f>IF(A100="","",IF(C105="Futures","",IF(C105="Options Sell",I109)))</f>
        <v>500 Lots</v>
      </c>
      <c r="X118" s="140" t="str">
        <f t="array" ref="X118">IF(C100="","",IF(C105="Futures","",IF(C105="Options Sell",CONCATENATE([1]AB5!$X$77,"( ",INDEX([1]AB4!G:G,MATCH(A109,[1]AB4!B:B,0))," &amp; ",Z118," ) ", INDEX([1]AB4!H:H,MATCH(A109,[1]AB4!B:B,0))," ",AA118))))</f>
        <v>Min of ( OPT : PRV : 3DLL &amp; 09:29:59 AM LL )  -  7.50%</v>
      </c>
      <c r="Y118" s="40"/>
      <c r="Z118" s="147" t="str">
        <f>IF(C100="","",IF(C105="Futures","",IF(C105="Options Sell",CONCATENATE(TEXT(L118,"HH:MM:SS AM/PM"), [1]AB5!$S$77))))</f>
        <v>09:29:59 AM LL</v>
      </c>
      <c r="AA118" s="148" t="str">
        <f t="array" ref="AA118">IF(A100="","",IF(C105="Futures","",IF(C105="Options Sell",TEXT(INDEX([1]AB4!BK:BK,MATCH(A109,[1]AB4!B:B,0)),"0.00%"))))</f>
        <v>7.50%</v>
      </c>
      <c r="AB118" s="75"/>
      <c r="AC118" s="75"/>
    </row>
    <row r="119" spans="1:29" ht="8.25" customHeight="1" thickBot="1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49"/>
      <c r="L119" s="15"/>
      <c r="M119" s="15"/>
      <c r="N119" s="15"/>
      <c r="O119" s="75"/>
      <c r="P119" s="15"/>
      <c r="Q119" s="15"/>
      <c r="R119" s="15"/>
      <c r="S119" s="15"/>
      <c r="T119" s="15"/>
      <c r="U119" s="15"/>
      <c r="V119" s="15"/>
      <c r="W119" s="15"/>
      <c r="X119" s="15"/>
      <c r="Y119" s="75"/>
      <c r="Z119" s="75"/>
      <c r="AA119" s="75"/>
      <c r="AB119" s="75"/>
      <c r="AC119" s="75"/>
    </row>
    <row r="120" spans="1:29" ht="44.25" customHeight="1" thickBot="1" x14ac:dyDescent="0.25">
      <c r="A120" s="54"/>
      <c r="B120" s="113" t="str">
        <f>IF(C100="","",IF(C105="Futures","",IF(C105="Options Sell",[1]AB5!$B$79,IF(C105="Options Buy",[1]AB5!$B$112))))</f>
        <v>For TGT (Position = Open)</v>
      </c>
      <c r="C120" s="114"/>
      <c r="D120" s="63" t="str">
        <f>IF(C100="","",IF(C105="Futures","",IF(C105="Options Sell",[1]AB5!$D$79,IF(C105="Options Buy",[1]AB5!$D$112))))</f>
        <v>Gap Check</v>
      </c>
      <c r="E120" s="64" t="str">
        <f>IF(C100="","",IF(C105="Futures","",IF(C105="Options Sell",[1]AB5!$E$79,IF(C105="Options Buy",[1]AB5!$E$112))))</f>
        <v>Process</v>
      </c>
      <c r="F120" s="65"/>
      <c r="G120" s="66" t="str">
        <f>IF(C100="","",IF(C105="Futures","",IF(C105="Options Sell",[1]AB5!$G$79,IF(C105="Options Buy",[1]AB5!$G$112))))</f>
        <v>Y / N</v>
      </c>
      <c r="H120" s="67" t="str">
        <f>IF(C100="","",IF(C105="Futures","",IF(C105="Options Sell",[1]AB5!$H$79,IF(C105="Options Buy",[1]AB5!$H$112))))</f>
        <v>Status</v>
      </c>
      <c r="I120" s="68" t="str">
        <f>IF(C100="","",IF(C105="Futures","",IF(C105="Options Sell",[1]AB5!$I$79,IF(C105="Options Buy",[1]AB5!$I$112))))</f>
        <v>Step 1</v>
      </c>
      <c r="J120" s="69" t="str">
        <f>IF(C100="","",IF(C105="Futures","",IF(C105="Options Sell",[1]AB5!$J$79,IF(C105="Options Buy",[1]AB5!$J$112))))</f>
        <v>Order Placement Timings</v>
      </c>
      <c r="K120" s="65"/>
      <c r="L120" s="70" t="str">
        <f>IF(C100="","",IF(C105="Futures","",IF(C105="Options Sell",[1]AB5!$L$79,IF(C105="Options Buy",[1]AB5!$L$112))))</f>
        <v>Time</v>
      </c>
      <c r="M120" s="68" t="str">
        <f>IF(C100="","",IF(C105="Futures","",IF(C105="Options Sell",[1]AB5!$M$79,IF(C105="Options Buy",[1]AB5!$M$112))))</f>
        <v>Rules For Gaps</v>
      </c>
      <c r="N120" s="67" t="str">
        <f>IF(C100="","",IF(C105="Futures","",IF(C105="Options Sell",[1]AB5!$N$79,IF(C105="Options Buy",[1]AB5!$N$112))))</f>
        <v>Data</v>
      </c>
      <c r="O120" s="74" t="str">
        <f>IF(C100="","",IF(C105="Futures","",IF(C105="Options Sell",[1]AB5!$O$79,IF(C105="Options Buy",[1]AB5!$O$112))))</f>
        <v>Buffer</v>
      </c>
      <c r="P120" s="70" t="str">
        <f>IF(C100="","",IF(C105="Futures","",IF(C105="Options Sell",[1]AB5!$P$79,IF(C105="Options Buy",[1]AB5!$P$112))))</f>
        <v>Monthly Status</v>
      </c>
      <c r="Q120" s="70" t="str">
        <f>IF(C100="","",IF(C105="Futures","",IF(C105="Options Sell",[1]AB5!$Q$79,IF(C105="Options Buy",[1]AB5!$Q$112))))</f>
        <v>Options Type</v>
      </c>
      <c r="R120" s="150" t="str">
        <f>IF(C100="","",IF(C105="Futures","",IF(C105="Options Sell",[1]AB5!$R$79,IF(C105="Options Buy",[1]AB5!$R$112))))</f>
        <v>Start Strike</v>
      </c>
      <c r="S120" s="151" t="str">
        <f>IF(C100="","",IF(C105="Futures","",IF(C105="Options Sell",[1]AB5!$S$79,IF(C105="Options Buy",[1]AB5!$S$112))))</f>
        <v>End Strike</v>
      </c>
      <c r="T120" s="152"/>
      <c r="U120" s="151" t="str">
        <f>IF(C100="","",IF(C105="Futures","",IF(C105="Options Sell",[1]AB5!$U$79,IF(C105="Options Buy",[1]AB5!$U$112))))</f>
        <v>Ideal Premium</v>
      </c>
      <c r="V120" s="152"/>
      <c r="W120" s="151" t="str">
        <f>IF(C100="","",IF(C105="Futures","",IF(C105="Options Sell",[1]AB5!$W$79,IF(C105="Options Buy",[1]AB5!$W$112))))</f>
        <v>Minimum Premium</v>
      </c>
      <c r="X120" s="152"/>
      <c r="Y120" s="150" t="str">
        <f>IF(C100="","",IF(C105="Futures","",IF(C105="Options Sell",[1]AB5!$Y$79,IF(C105="Options Buy",[1]AB5!$Y$112))))</f>
        <v>Minimum OI</v>
      </c>
      <c r="Z120" s="151" t="str">
        <f>IF(C100="","",IF(C105="Futures","",IF(C105="Options Sell",[1]AB5!$Z$79,IF(C105="Options Buy",[1]AB5!$Z$112))))</f>
        <v>Option Entry</v>
      </c>
      <c r="AA120" s="152"/>
      <c r="AB120" s="153"/>
      <c r="AC120" s="153"/>
    </row>
    <row r="121" spans="1:29" ht="44.25" customHeight="1" x14ac:dyDescent="0.2">
      <c r="A121" s="15" t="str">
        <f>IF(C100="","",CONCATENATE(C101,[1]AB5!$A$4))</f>
        <v>S21A</v>
      </c>
      <c r="B121" s="128" t="str">
        <f>IF(C100="","",IF(C105="Futures","",IF(C105="Options Sell",[1]AB5!$B$80,IF(C105="Options Buy",[1]AB5!$B$113))))</f>
        <v xml:space="preserve">ORPT </v>
      </c>
      <c r="C121" s="129" t="str">
        <f>IF(C100="","",IF(C105="Futures","",IF(C105="Options Sell",[1]AB5!$C$80,IF(C105="Options Buy",[1]AB5!$C$113))))</f>
        <v xml:space="preserve"> RC. Time</v>
      </c>
      <c r="D121" s="154" t="str">
        <f>IF(C100="","",IF(C105="Futures","",IF(C105="Options Sell",[1]AB5!$D$80,IF(C105="Options Buy",[1]AB5!$D$113))))</f>
        <v>For Call Sell SL</v>
      </c>
      <c r="E121" s="155" t="str">
        <f>IF(C100="","",IF(C105="Futures","",IF(C105="Options Sell",CONCATENATE([1]AB5!$E$80,TEXT(B122,"HH:MM:SS AM/PM"),[1]AB5!$B$81,[1]AB5!$F$80))))</f>
        <v>Check If  09:15:00 AM HH &gt; Call Sell SL</v>
      </c>
      <c r="F121" s="156"/>
      <c r="G121" s="157" t="str">
        <f>IF(C100="","",IF(C105="Futures","",IF(C105="Options Sell",[1]AB5!$G$80,IF(C105="Options Buy",[1]AB5!$G$113))))</f>
        <v>No</v>
      </c>
      <c r="H121" s="158" t="str">
        <f>IF(C100="","",IF(C105="Futures","",IF(C105="Options Sell",[1]AB5!$H$80)))</f>
        <v>FSL / TRP Not Missed</v>
      </c>
      <c r="I121" s="159" t="str">
        <f>IF(C100="","",IF(C105="Futures","",IF(C105="Options Sell",[1]AB5!$I$80)))</f>
        <v>Place the Order at ORPT</v>
      </c>
      <c r="J121" s="160" t="str">
        <f>IF(C100="","",IF(C105="Futures","",IF(C105="Options Sell",[1]AB5!$J$80)))</f>
        <v>ORPT Time</v>
      </c>
      <c r="K121" s="161"/>
      <c r="L121" s="162">
        <f>IF(C100="","",IF(C105="Futures","",IF(C105="Options Sell",B118)))</f>
        <v>0.39235416666666667</v>
      </c>
      <c r="M121" s="163" t="str">
        <f>IF(C100="","",IF(C105="Futures","",IF(C105="Options Sell",[1]AB5!$M$80)))</f>
        <v>N.A.</v>
      </c>
      <c r="N121" s="158" t="str">
        <f>IF(C100="","",IF(C105="Futures","",IF(C105="Options Sell",[1]AB5!$N$80)))</f>
        <v>N.A.</v>
      </c>
      <c r="O121" s="164" t="str">
        <f>IF(C100="","",IF(C105="Futures","",IF(C105="Options Sell",[1]AB5!$O$80)))</f>
        <v>N.A.</v>
      </c>
      <c r="P121" s="165" t="str">
        <f>IF(C100="","",[1]AB5!$P$80)</f>
        <v>BULL / BULL CF</v>
      </c>
      <c r="Q121" s="166" t="str">
        <f>IF(C100="","",[1]AB5!$Q$80)</f>
        <v>Call</v>
      </c>
      <c r="R121" s="167" t="str">
        <f t="array" ref="R121">IF(C100="","",IF(C105="Futures","",IF(C105="Options Sell",CONCATENATE([1]AB5!$M$73, "( ",INDEX([1]AB4!BP:BP,MATCH(A100,[1]AB4!B:B,0))," &amp; ",[1]AB5!$R$80," ) ",INDEX([1]AB4!BQ:BQ,MATCH(A100,[1]AB4!B:B))," ",N114," ) &amp; ",INDEX([1]AB4!BS:BS,MATCH(A100,[1]AB4!B:B,0))))))</f>
        <v>Min of ( SPT : PRV : 3DLL &amp; SPT : CDLL ) + 5.00% ) &amp; Round Down</v>
      </c>
      <c r="S121" s="168" t="str">
        <f t="array" ref="S121">IF(C100="","",IF(C105="Futures","",IF(C105="Options Sell",CONCATENATE([1]AB5!$O$73,"( ",INDEX([1]AB4!BT:BT,MATCH(A100,[1]AB4!B:B,0))," &amp; ",[1]AB5!$S$80," ) &amp; ",INDEX([1]AB4!BW:BW,MATCH(A100,[1]AB4!B:B,0))," ",INDEX([1]AB4!BX:BX,MATCH(A100,[1]AB4!B:B,0))," ",INDEX([1]AB4!BY:BY,MATCH(A100,[1]AB4!B:B,0))))))</f>
        <v>Min of ( SPT : PRV : 3DLL &amp; SPT : CDLL ) &amp; Round Down - 1</v>
      </c>
      <c r="T121" s="27"/>
      <c r="U121" s="168" t="str">
        <f t="array" ref="U121">IF(C100="","",IF(C105="Futures","",IF(C105="Options Sell",CONCATENATE([1]AB5!$T$73,"( ",INDEX([1]AB4!CE:CE,MATCH(A100,[1]AB4!B:B,0))," &amp; ",[1]AB5!$U$80," ) ",[1]AB5!$H$59,TEXT(INDEX([1]AB4!CF:CF,MATCH(A100,[1]AB4!B:B,0)),"0.00%")))))</f>
        <v>Min of ( SPT : PRV : 3DLL &amp; SPT : CDLL )  * 2.00%</v>
      </c>
      <c r="V121" s="27"/>
      <c r="W121" s="168" t="str">
        <f t="array" ref="W121">IF(C100="","",IF(C105="Futures","",IF(C105="Options Sell",CONCATENATE([1]AB5!$V$73,"( ",INDEX([1]AB4!CG:CG,MATCH(A100,[1]AB4!B:B,0))," &amp; ",[1]AB5!$W$80," ) ",[1]AB5!$H$59,TEXT(INDEX([1]AB4!CH:CH,MATCH(A100,[1]AB4!B:B,0)),"0.00%")))))</f>
        <v>Min of ( SPT : PRV : 3DLL &amp; SPT : CDLL )  * 1.50%</v>
      </c>
      <c r="X121" s="27"/>
      <c r="Y121" s="169" t="str">
        <f>IF(A100="","",IF(C105="Futures","",IF(C105="Options Sell",I100)))</f>
        <v>500 Lots</v>
      </c>
      <c r="Z121" s="168" t="str">
        <f t="array" ref="Z121">IF(C100="","",IF(C105="Futures","",IF(C105="Options Sell",CONCATENATE([1]AB5!$X$73,"( ",INDEX([1]AB4!G:G,MATCH(A100,[1]AB4!B:B,0))," &amp; ",[1]AB5!$Z$80," ) ",INDEX([1]AB4!H:H,MATCH(A100,[1]AB4!B:B,0))," ",AA114))))</f>
        <v>Min of ( OPT : PRV : 3DLL &amp; OPT : CDLL )  -  7.50%</v>
      </c>
      <c r="AA121" s="114"/>
      <c r="AB121" s="75"/>
      <c r="AC121" s="75"/>
    </row>
    <row r="122" spans="1:29" ht="44.25" customHeight="1" thickBot="1" x14ac:dyDescent="0.25">
      <c r="A122" s="15" t="str">
        <f>IF(C100="","",CONCATENATE(C101,[1]AB5!$A$7))</f>
        <v>S21B</v>
      </c>
      <c r="B122" s="94">
        <f t="array" ref="B122">IF(C100="","", IF(C105="Futures","",IF(C105="Options Sell",INDEX([1]AB4!BG:BG,MATCH(A121,[1]AB4!B:B,0)))))</f>
        <v>0.38541666666666669</v>
      </c>
      <c r="C122" s="95" t="str">
        <f t="array" ref="C122">IF(C100="","", INDEX([1]AB4!BG:BG,MATCH(A122,[1]AB4!B:B,0)))</f>
        <v>N.A.</v>
      </c>
      <c r="D122" s="32"/>
      <c r="E122" s="32"/>
      <c r="F122" s="156"/>
      <c r="G122" s="170" t="str">
        <f>IF(C100="","",IF(C105="Futures","",IF(C105="Options Sell",[1]AB5!$G$81,IF(C105="Options Buy",[1]AB5!$G$114))))</f>
        <v>Yes</v>
      </c>
      <c r="H122" s="131" t="str">
        <f>IF(C100="","",IF(C105="Futures","",IF(C105="Options Sell",[1]AB5!$H$81)))</f>
        <v>FSL / TRP Missed</v>
      </c>
      <c r="I122" s="119" t="str">
        <f>IF(C100="","",IF(C105="Futures","",IF(C105="Options Sell",[1]AB5!$I$81)))</f>
        <v>Recalcuate : Call Sell FSL / TRP : Bull / Bull CF</v>
      </c>
      <c r="J122" s="120" t="str">
        <f>IF(C100="","",IF(C105="Futures","",IF(C105="Options Sell",[1]AB5!$J$81)))</f>
        <v>Wait Till Recalculation Time</v>
      </c>
      <c r="K122" s="107"/>
      <c r="L122" s="121">
        <f>IF(C100="","",IF(C105="Futures","",IF(C105="Options Sell",C118)))</f>
        <v>0.39582638888888888</v>
      </c>
      <c r="M122" s="171" t="str">
        <f>IF(C100="","",IF(C105="Futures","",IF(C105="Options Sell",CONCATENATE(N122," ",[1]AB5!$M$81," ",TEXT(O122,"0.00%")))))</f>
        <v>09:29:59 AM HH + 7.00%</v>
      </c>
      <c r="N122" s="132" t="str">
        <f>IF(C100="","",IF(C105="Futures","",IF(C105="Options Sell",CONCATENATE(TEXT(L122,"HH:MM:SS AM/PM"),[1]AB5!$N$81))))</f>
        <v>09:29:59 AM HH</v>
      </c>
      <c r="O122" s="172" t="str">
        <f t="array" ref="O122">IF(A100="","",IF(C105="Futures","",IF(C105="Options Sell",TEXT(INDEX([1]AB4!BL:BL,MATCH(A100,[1]AB4!B:B,0)),"0.00%"))))</f>
        <v>7.00%</v>
      </c>
      <c r="P122" s="110"/>
      <c r="Q122" s="173" t="str">
        <f>IF(C100="","",[1]AB5!$Q$81)</f>
        <v>Put</v>
      </c>
      <c r="R122" s="174" t="str">
        <f t="array" ref="R122">IF(C100="","",IF(C105="Futures","",IF(C105="Options Sell",CONCATENATE([1]AB5!$M$76, "( ",INDEX([1]AB4!BP:BP,MATCH(A103,[1]AB4!B:B,0))," &amp; ",[1]AB5!$R$81," ) ",INDEX([1]AB4!BQ:BQ,MATCH(A103,[1]AB4!B:B,0))," ",N117," ) &amp; ",INDEX([1]AB4!BS:BS,MATCH(A103,[1]AB4!B:B,0))))))</f>
        <v>Max of ( SPT : PRV : 2DHH &amp; SPT : CDHH ) - 5.00% ) &amp; Round Up</v>
      </c>
      <c r="S122" s="175" t="str">
        <f t="array" ref="S122">IF(C100="","",IF(C105="Futures","",IF(C105="Options Sell",CONCATENATE([1]AB5!$O$76,"( ",INDEX([1]AB4!BT:BT,MATCH(A103,[1]AB4!B:B,0))," &amp; ",[1]AB5!$S$81," ) &amp; ",INDEX([1]AB4!BW:BW,MATCH(A103,[1]AB4!B:B,0))," ",INDEX([1]AB4!BX:BX,MATCH(A103,[1]AB4!B:B,0))," ",INDEX([1]AB4!BY:BY,MATCH(A103,[1]AB4!B:B,0))))))</f>
        <v>Max of ( SPT : PRV : 2DHH &amp; SPT : CDHH ) &amp; Round Up + 1</v>
      </c>
      <c r="T122" s="40"/>
      <c r="U122" s="175" t="str">
        <f t="array" ref="U122">IF(C100="","",IF(C105="Futures","",IF(C105="Options Sell",CONCATENATE([1]AB5!$T$76,"( ",INDEX([1]AB4!CE:CE,MATCH(A103,[1]AB4!B:B,0))," &amp; ",[1]AB5!$U$81," ) ",[1]AB5!$H$59,TEXT(INDEX([1]AB4!CF:CF,MATCH(A103,[1]AB4!B:B,0)),"0.00%")))))</f>
        <v>Min of ( SPT : PRV : 2DHH &amp; SPT : CDLL )  * 2.00%</v>
      </c>
      <c r="V122" s="40"/>
      <c r="W122" s="175" t="str">
        <f t="array" ref="W122">IF(C100="","",IF(C105="Futures","",IF(C105="Options Sell",CONCATENATE([1]AB5!$V$76,"( ",INDEX([1]AB4!CG:CG,MATCH(A103,[1]AB4!B:B,0))," &amp; ",[1]AB5!$W$81," ) ",[1]AB5!$H$59,TEXT(INDEX([1]AB4!CH:CH,MATCH(A103,[1]AB4!B:B,0)),"0.00%")))))</f>
        <v>Min of ( SPT : PRV : 2DHH &amp; SPT : CDLL )  * 1.50%</v>
      </c>
      <c r="X122" s="40"/>
      <c r="Y122" s="176" t="str">
        <f>IF(A100="","",IF(C105="Futures","",IF(C105="Options Sell",I103)))</f>
        <v>500 Lots</v>
      </c>
      <c r="Z122" s="175" t="str">
        <f t="array" ref="Z122">IF(C100="","",IF(C105="Futures","",IF(C105="Options Sell",CONCATENATE([1]AB5!$X$76,"( ",INDEX([1]AB4!G:G,MATCH(A103,[1]AB4!B:B,0))," &amp; ",[1]AB5!$Z$81," ) ", INDEX([1]AB4!H:H,MATCH(A103,[1]AB4!B:B,0))," ",AA117))))</f>
        <v>Min of ( OPT : PRV : 2DLL &amp; OPT : CDLL )  -  7.50%</v>
      </c>
      <c r="AA122" s="177"/>
      <c r="AB122" s="75"/>
      <c r="AC122" s="75"/>
    </row>
    <row r="123" spans="1:29" ht="44.25" customHeight="1" thickBot="1" x14ac:dyDescent="0.25">
      <c r="A123" s="15"/>
      <c r="B123" s="110"/>
      <c r="C123" s="111"/>
      <c r="D123" s="112"/>
      <c r="E123" s="112"/>
      <c r="F123" s="161"/>
      <c r="G123" s="96"/>
      <c r="H123" s="14"/>
      <c r="I123" s="119" t="str">
        <f>IF(C100="","",IF(C105="Futures","",IF(C105="Options Sell",[1]AB5!$I$82)))</f>
        <v>Recalcuate : Call Sell FSL / TRP : Bear / Bear CF</v>
      </c>
      <c r="J123" s="120" t="str">
        <f>IF(C100="","",IF(C105="Futures","",IF(C105="Options Sell",[1]AB5!$J$82)))</f>
        <v>Wait Till Recalculation Time</v>
      </c>
      <c r="K123" s="107"/>
      <c r="L123" s="121">
        <f>IF(C100="","",IF(C105="Futures","",IF(C105="Options Sell",C118)))</f>
        <v>0.39582638888888888</v>
      </c>
      <c r="M123" s="171" t="str">
        <f>IF(C100="","",IF(C105="Futures","",IF(C105="Options Sell",CONCATENATE(N123," ",[1]AB5!$M$82," ",TEXT(O123,"0.00%")))))</f>
        <v>09:29:59 AM HH + 10.00%</v>
      </c>
      <c r="N123" s="132" t="str">
        <f>IF(C100="","",IF(C105="Futures","",IF(C105="Options Sell",CONCATENATE(TEXT(L123,"HH:MM:SS AM/PM"),[1]AB5!$N$82))))</f>
        <v>09:29:59 AM HH</v>
      </c>
      <c r="O123" s="172" t="str">
        <f t="array" ref="O123">IF(A100="","",IF(C105="Futures","",IF(C105="Options Sell",TEXT(INDEX([1]AB4!BL:BL,MATCH(A106,[1]AB4!B:B,0)),"0.00%"))))</f>
        <v>10.00%</v>
      </c>
      <c r="P123" s="178" t="str">
        <f>IF(C100="","",[1]AB5!$P$82)</f>
        <v>BEAR / BEAR CF</v>
      </c>
      <c r="Q123" s="166" t="str">
        <f>IF(C102="","",[1]AB5!$Q$82)</f>
        <v>Call</v>
      </c>
      <c r="R123" s="167" t="str">
        <f t="array" ref="R123">IF(C100="","",IF(C105="Futures","",IF(C105="Options Sell",CONCATENATE([1]AB5!$M$74,"( ",INDEX([1]AB4!BP:BP,MATCH(A106,[1]AB4!B:B,0))," &amp; ",[1]AB5!$R$82," ) ",INDEX([1]AB4!BQ:BQ,MATCH(A106,[1]AB4!B:B,0))," ",N115," ) &amp; ",INDEX([1]AB4!BS:BS,MATCH(A106,[1]AB4!B:B,0))))))</f>
        <v>Min of ( SPT : PRV : 2DLL &amp; SPT : CDLL ) + 5.00% ) &amp; Round Down</v>
      </c>
      <c r="S123" s="168" t="str">
        <f t="array" ref="S123">IF(C100="","",IF(C105="Futures","",IF(C105="Options Sell",CONCATENATE([1]AB5!$O$74,"( ",INDEX([1]AB4!BT:BT,MATCH(A106,[1]AB4!B:B,0))," &amp; ",[1]AB5!$S$82," ) &amp; ",INDEX([1]AB4!BW:BW,MATCH(A106,[1]AB4!B:B,0))," ",INDEX([1]AB4!BX:BX,MATCH(A106,[1]AB4!B:B,0))," ",INDEX([1]AB4!BY:BY,MATCH(A106,[1]AB4!B:B,0))))))</f>
        <v>Min of ( SPT : PRV : 2DLL &amp; SPT : CDLL ) &amp; Round Down - 1</v>
      </c>
      <c r="T123" s="27"/>
      <c r="U123" s="168" t="str">
        <f t="array" ref="U123">IF(C100="","",IF(C105="Futures","",IF(C105="Options Sell",CONCATENATE([1]AB5!$T$74," of ( ",INDEX([1]AB4!CE:CE,MATCH(A106,[1]AB4!B:B,0))," &amp; ",[1]AB5!$U$82," ) ",[1]AB5!$H$59,TEXT(INDEX([1]AB4!CF:CF,MATCH(A106,[1]AB4!B:B,0)),"0.00%")))))</f>
        <v>Min of  of ( SPT : PRV : 2DLL &amp; SPT : CDLL )  * 2.00%</v>
      </c>
      <c r="V123" s="27"/>
      <c r="W123" s="168" t="str">
        <f t="array" ref="W123">IF(C100="","",IF(C105="Futures","",IF(C105="Options Sell",CONCATENATE([1]AB5!$V$74,"( ",INDEX([1]AB4!CG:CG,MATCH(A106,[1]AB4!B:B,0))," &amp; ",[1]AB5!$W$82," ) ",[1]AB5!$H$59,TEXT(INDEX([1]AB4!CH:CH,MATCH(A106,[1]AB4!B:B,0)),"0.00%")))))</f>
        <v>Min of ( SPT : PRV : 2DLL &amp; SPT : CDLL )  * 1.50%</v>
      </c>
      <c r="X123" s="27"/>
      <c r="Y123" s="169" t="str">
        <f>IF(A100="","",IF(C105="Futures","",IF(C105="Options Sell",I106)))</f>
        <v>500 Lots</v>
      </c>
      <c r="Z123" s="168" t="str">
        <f t="array" ref="Z123">IF(C100="","",IF(C105="Futures","",IF(C105="Options Sell",CONCATENATE([1]AB5!$X$74,"( ",INDEX([1]AB4!G:G,MATCH(A106,[1]AB4!B:B,0))," &amp; ",[1]AB5!$Z$82," ) ", INDEX([1]AB4!H:H,MATCH(A106,[1]AB4!B:B,0))," ",AA115))))</f>
        <v>Min of ( OPT : PRV : 2DLL &amp; OPT : CDLL )  -  7.50%</v>
      </c>
      <c r="AA123" s="114"/>
      <c r="AB123" s="75"/>
      <c r="AC123" s="75"/>
    </row>
    <row r="124" spans="1:29" ht="44.25" customHeight="1" thickBot="1" x14ac:dyDescent="0.25">
      <c r="A124" s="15"/>
      <c r="B124" s="179" t="str">
        <f>IF(C100="","",IF(C105="Futures","",IF(C105="Options Sell",[1]AB5!$B$83,IF(C105="Options Buy",[1]AB5!$B$116))))</f>
        <v>Stay Blessed !!!</v>
      </c>
      <c r="C124" s="19"/>
      <c r="D124" s="180" t="str">
        <f>IF(C100="","",IF(C105="Futures","",IF(C105="Options Sell",[1]AB5!$D$83,IF(C105="Options Buy",[1]AB5!$D$116))))</f>
        <v>For Put Sell SL</v>
      </c>
      <c r="E124" s="181" t="str">
        <f>IF(C100="","",IF(C105="Futures","",IF(C105="Options Sell",CONCATENATE([1]AB5!$E$83,TEXT(B122,"HH:MM:SS AM/PM"),[1]AB5!$B$81,[1]AB5!$F$83))))</f>
        <v>Check If  09:15:00 AM HH &gt; Short SL</v>
      </c>
      <c r="F124" s="182"/>
      <c r="G124" s="183" t="str">
        <f>IF(C100="","",IF(C105="Futures","",IF(C105="Options Sell",[1]AB5!$G$83,IF(C105="Options Buy",[1]AB5!$G$116))))</f>
        <v>No</v>
      </c>
      <c r="H124" s="104" t="str">
        <f>IF(C100="","",IF(C105="Futures","",IF(C105="Options Sell",[1]AB5!$H$83)))</f>
        <v>FSL / TRP Not Missed</v>
      </c>
      <c r="I124" s="100" t="str">
        <f>IF(C100="","",IF(C105="Futures","",IF(C105="Options Sell",[1]AB5!$I$83)))</f>
        <v>Place the Order at ORPT</v>
      </c>
      <c r="J124" s="101" t="str">
        <f>IF(C100="","",IF(C105="Futures","",IF(C105="Options Sell",[1]AB5!$J$83)))</f>
        <v>ORPT Time</v>
      </c>
      <c r="K124" s="102"/>
      <c r="L124" s="103">
        <f>IF(C100="","",IF(C105="Futures","",IF(C105="Options Sell",B118)))</f>
        <v>0.39235416666666667</v>
      </c>
      <c r="M124" s="184" t="str">
        <f>IF(C100="","",IF(C105="Futures","",IF(C105="Options Sell",[1]AB5!$M$83)))</f>
        <v>N.A.</v>
      </c>
      <c r="N124" s="104" t="str">
        <f>IF(C100="","",IF(C105="Futures","",IF(C105="Options Sell",[1]AB5!$N$83)))</f>
        <v>N.A.</v>
      </c>
      <c r="O124" s="185" t="str">
        <f>IF(C100="","",IF(C105="Futures","",IF(C105="Options Sell",[1]AB5!$O$83)))</f>
        <v>N.A.</v>
      </c>
      <c r="P124" s="110"/>
      <c r="Q124" s="173" t="str">
        <f>IF(C102="","",[1]AB5!$Q$83)</f>
        <v>Put</v>
      </c>
      <c r="R124" s="174" t="str">
        <f t="array" ref="R124">IF(C100="","",IF(C105="Futures","",IF(C105="Options Sell",CONCATENATE([1]AB5!$M$77, "( ",INDEX([1]AB4!BP:BP,MATCH(A109,[1]AB4!B:B,0))," &amp; ",[1]AB5!$R$83," ) ", INDEX([1]AB4!BQ:BQ,MATCH(A109,[1]AB4!B:B,0))," ",N118," ) &amp; ",INDEX([1]AB4!BS:BS,MATCH(A109,[1]AB4!B:B,0))))))</f>
        <v>Max of ( SPT : PRV : 3DHH &amp; SPT : CDHH ) - 5.00% ) &amp; Round Up</v>
      </c>
      <c r="S124" s="175" t="str">
        <f t="array" ref="S124">IF(C100="","",IF(C105="Futures","",IF(C105="Options Sell",CONCATENATE([1]AB5!$O$77,"( ",INDEX([1]AB4!BT:BT,MATCH(A109,[1]AB4!B:B,0))," &amp; ",[1]AB5!$S$83," ) &amp; ",INDEX([1]AB4!BW:BW,MATCH(A109,[1]AB4!B:B,0))," ",INDEX([1]AB4!BX:BX,MATCH(A109,[1]AB4!B:B,0))," ",INDEX([1]AB4!BY:BY,MATCH(A109,[1]AB4!B:B,0))))))</f>
        <v>Max of ( SPT : PRV : 3DHH &amp; SPT : CDHH ) &amp; Round Up + 1</v>
      </c>
      <c r="T124" s="40"/>
      <c r="U124" s="175" t="str">
        <f t="array" ref="U124">IF(C100="","",IF(C105="Futures","",IF(C105="Options Sell",CONCATENATE([1]AB5!$T$77,"( ",INDEX([1]AB4!CE:CE,MATCH(A109,[1]AB4!B:B,0))," &amp; ",[1]AB5!$U$83," ) ",[1]AB5!$H$59,TEXT(INDEX([1]AB4!CF:CF,MATCH(A109,[1]AB4!B:B,0)),"0.00%")))))</f>
        <v>Min of ( SPT : PRV : 3DHH &amp; SPT : CDLL )  * 2.00%</v>
      </c>
      <c r="V124" s="40"/>
      <c r="W124" s="175" t="str">
        <f t="array" ref="W124">IF(C100="","",IF(C105="Futures","",IF(C105="Options Sell",CONCATENATE([1]AB5!$V$77,"( ",INDEX([1]AB4!CG:CG,MATCH(A109,[1]AB4!B:B,0))," &amp; ",[1]AB5!$W$83," ) ",[1]AB5!$H$59,TEXT(INDEX([1]AB4!CH:CH,MATCH(A109,[1]AB4!B:B,0)),"0.00%")))))</f>
        <v>Min of ( SPT : PRV : 3DHH &amp; SPT : CDLL )  * 1.50%</v>
      </c>
      <c r="X124" s="40"/>
      <c r="Y124" s="176" t="str">
        <f>IF(A100="","",IF(C105="Futures","",IF(C105="Options Sell",I109)))</f>
        <v>500 Lots</v>
      </c>
      <c r="Z124" s="175" t="str">
        <f t="array" ref="Z124">IF(C100="","",IF(C105="Futures","",IF(C105="Options Sell",CONCATENATE([1]AB5!$X$77,"( ",INDEX([1]AB4!G:G,MATCH(A109,[1]AB4!B:B,0))," &amp; ",[1]AB5!$Z$83," ) ", INDEX([1]AB4!H:H,MATCH(A109,[1]AB4!B:B,0))," ",AA118))))</f>
        <v>Min of ( OPT : PRV : 3DLL &amp; OPT : CDLL )  -  7.50%</v>
      </c>
      <c r="AA124" s="177"/>
      <c r="AB124" s="75"/>
      <c r="AC124" s="75"/>
    </row>
    <row r="125" spans="1:29" ht="44.25" customHeight="1" x14ac:dyDescent="0.2">
      <c r="A125" s="75"/>
      <c r="B125" s="32"/>
      <c r="C125" s="33"/>
      <c r="D125" s="32"/>
      <c r="E125" s="32"/>
      <c r="F125" s="156"/>
      <c r="G125" s="186" t="str">
        <f>IF(C100="","",IF(C105="Futures","",IF(C105="Options Sell",[1]AB5!$G$84,IF(C105="Options Buy",[1]AB5!$G$117))))</f>
        <v>Yes</v>
      </c>
      <c r="H125" s="99" t="str">
        <f>IF(C100="","",IF(C105="Futures","",IF(C105="Options Sell",[1]AB5!$H$84)))</f>
        <v>FSL / TRP Missed</v>
      </c>
      <c r="I125" s="100" t="str">
        <f>IF(C100="","",IF(C105="Futures","",IF(C105="Options Sell",[1]AB5!$I$84)))</f>
        <v>Recalcuate : Short FSL / TRP : Bull / Bull CF</v>
      </c>
      <c r="J125" s="101" t="str">
        <f>IF(C100="","",IF(C105="Futures","",IF(C105="Options Sell",[1]AB5!$J$84)))</f>
        <v>Wait Till Recalculation Time</v>
      </c>
      <c r="K125" s="102"/>
      <c r="L125" s="103">
        <f>IF(C100="","",IF(C105="Futures","",IF(C105="Options Sell",C118)))</f>
        <v>0.39582638888888888</v>
      </c>
      <c r="M125" s="184" t="str">
        <f>IF(C100="","",IF(C105="Futures","",IF(C105="Options Sell",CONCATENATE(N125," ",[1]AB5!$M$84," ",TEXT(O125,"0.00%")))))</f>
        <v>09:29:59 AM HH + 10.00%</v>
      </c>
      <c r="N125" s="105" t="str">
        <f>IF(C100="","",IF(C105="Futures","",IF(C105="Options Sell",CONCATENATE(TEXT(L125,"HH:MM:SS AM/PM"),[1]AB5!$N$84))))</f>
        <v>09:29:59 AM HH</v>
      </c>
      <c r="O125" s="187" t="str">
        <f t="array" ref="O125">IF(A100="","",IF(C105="Futures","",IF(C105="Options Sell",TEXT(INDEX([1]AB4!BL:BL,MATCH(A103,[1]AB4!B:B,0)),"0.00%"))))</f>
        <v>10.00%</v>
      </c>
      <c r="P125" s="188" t="str">
        <f>IF(C100="","",[1]AB5!$P$84)</f>
        <v>When You Call And Put Position is Exited</v>
      </c>
      <c r="Q125" s="189"/>
      <c r="R125" s="189"/>
      <c r="S125" s="189"/>
      <c r="T125" s="189"/>
      <c r="U125" s="189"/>
      <c r="V125" s="189"/>
      <c r="W125" s="189"/>
      <c r="X125" s="189"/>
      <c r="Y125" s="189"/>
      <c r="Z125" s="189"/>
      <c r="AA125" s="33"/>
      <c r="AB125" s="75"/>
      <c r="AC125" s="75"/>
    </row>
    <row r="126" spans="1:29" ht="44.25" customHeight="1" thickBot="1" x14ac:dyDescent="0.25">
      <c r="A126" s="75"/>
      <c r="B126" s="34"/>
      <c r="C126" s="53"/>
      <c r="D126" s="34"/>
      <c r="E126" s="34"/>
      <c r="F126" s="190"/>
      <c r="G126" s="111"/>
      <c r="H126" s="138"/>
      <c r="I126" s="191" t="str">
        <f>IF(C100="","",IF(C105="Futures","",IF(C105="Options Sell",[1]AB5!$I$85)))</f>
        <v>Recalcuate : Short FSL / TRP : Bear / Bear CF</v>
      </c>
      <c r="J126" s="192" t="str">
        <f>IF(C100="","",IF(C105="Futures","",IF(C105="Options Sell",[1]AB5!$J$85)))</f>
        <v>Wait Till Recalculation Time</v>
      </c>
      <c r="K126" s="40"/>
      <c r="L126" s="193">
        <f>IF(C100="","",IF(C105="Futures","",IF(C105="Options Sell",C118)))</f>
        <v>0.39582638888888888</v>
      </c>
      <c r="M126" s="194" t="str">
        <f>IF(C100="","",IF(C105="Futures","",IF(C105="Options Sell",CONCATENATE(N126," ",[1]AB5!$M$85," ",TEXT(O126,"0.00%")))))</f>
        <v>09:29:59 AM HH + 7.00%</v>
      </c>
      <c r="N126" s="195" t="str">
        <f>IF(C100="","",IF(C105="Futures","",IF(C105="Options Sell",CONCATENATE(TEXT(L126,"HH:MM:SS AM/PM"),[1]AB5!$N$85))))</f>
        <v>09:29:59 AM HH</v>
      </c>
      <c r="O126" s="196" t="str">
        <f t="array" ref="O126">IF(A100="","",IF(C105="Futures","",IF(C105="Options Sell",TEXT(INDEX([1]AB4!BL:BL,MATCH(A109,[1]AB4!B:B,0)),"0.00%"))))</f>
        <v>7.00%</v>
      </c>
      <c r="P126" s="197" t="str">
        <f>IF(C100="","",[1]AB5!$P$85)</f>
        <v>This is Only Applicable for Same Day</v>
      </c>
      <c r="Q126" s="190"/>
      <c r="R126" s="190"/>
      <c r="S126" s="190"/>
      <c r="T126" s="190"/>
      <c r="U126" s="190"/>
      <c r="V126" s="190"/>
      <c r="W126" s="190"/>
      <c r="X126" s="190"/>
      <c r="Y126" s="190"/>
      <c r="Z126" s="190"/>
      <c r="AA126" s="53"/>
      <c r="AB126" s="75"/>
      <c r="AC126" s="75"/>
    </row>
    <row r="127" spans="1:29" ht="33" customHeight="1" thickBot="1" x14ac:dyDescent="0.25">
      <c r="A127" s="198"/>
      <c r="B127" s="199" t="str">
        <f>IF(C100="","",[1]AB5!$B$119)</f>
        <v>For Missed SL (Position = Open)</v>
      </c>
      <c r="C127" s="114"/>
      <c r="D127" s="200" t="str">
        <f>IF(C100="","",[1]AB5!$D$120)</f>
        <v>Note: ( Optional )</v>
      </c>
      <c r="E127" s="19"/>
      <c r="F127" s="201" t="str">
        <f>IF(C100="","",[1]AB5!$I$119)</f>
        <v>For Call SL</v>
      </c>
      <c r="G127" s="65"/>
      <c r="H127" s="65"/>
      <c r="I127" s="65"/>
      <c r="J127" s="65"/>
      <c r="K127" s="65"/>
      <c r="L127" s="65"/>
      <c r="M127" s="65"/>
      <c r="N127" s="65"/>
      <c r="O127" s="65"/>
      <c r="P127" s="62"/>
      <c r="Q127" s="201" t="str">
        <f>IF(C100="","",[1]AB5!$R$119)</f>
        <v>For Put SL</v>
      </c>
      <c r="R127" s="65"/>
      <c r="S127" s="65"/>
      <c r="T127" s="65"/>
      <c r="U127" s="65"/>
      <c r="V127" s="65"/>
      <c r="W127" s="65"/>
      <c r="X127" s="65"/>
      <c r="Y127" s="65"/>
      <c r="Z127" s="65"/>
      <c r="AA127" s="62"/>
      <c r="AB127" s="202"/>
      <c r="AC127" s="202"/>
    </row>
    <row r="128" spans="1:29" ht="43.5" customHeight="1" x14ac:dyDescent="0.2">
      <c r="A128" s="198"/>
      <c r="B128" s="203" t="str">
        <f>IF(C100="","",[1]AB5!$B$120)</f>
        <v>Check time</v>
      </c>
      <c r="C128" s="204"/>
      <c r="D128" s="32"/>
      <c r="E128" s="33"/>
      <c r="F128" s="205" t="str">
        <f>IF(C100="","",CONCATENATE([1]AB5!$G$120,TEXT(B129,"HH:MM:SS AM/PM"),[1]AB5!$B$121,[1]AB5!$H$120))</f>
        <v>Check If Close at 03:00:00 PM  &gt; Call Original SL</v>
      </c>
      <c r="G128" s="102"/>
      <c r="H128" s="206" t="str">
        <f>IF(C100="","",[1]AB5!$I$120)</f>
        <v>Yes</v>
      </c>
      <c r="I128" s="13"/>
      <c r="J128" s="207" t="str">
        <f>IF(C100="","",CONCATENATE([1]AB5!$K$120,TEXT(B129,"HH:MM:SS AM/PM")))</f>
        <v xml:space="preserve"> Then Square Off The Position At CMP at 03:00:00 PM</v>
      </c>
      <c r="K128" s="161"/>
      <c r="L128" s="161"/>
      <c r="M128" s="161"/>
      <c r="N128" s="161"/>
      <c r="O128" s="161"/>
      <c r="P128" s="208"/>
      <c r="Q128" s="209" t="str">
        <f>IF(C100="","",CONCATENATE([1]AB5!$R$120,TEXT(B129,"HH:MM:SS AM/PM"),[1]AB5!$B$121,[1]AB5!$S$120))</f>
        <v>Check If Close at 03:00:00 PM  &gt; Put Original SL</v>
      </c>
      <c r="R128" s="161"/>
      <c r="S128" s="13"/>
      <c r="T128" s="210" t="str">
        <f>IF(C100="","",[1]AB5!$U$120)</f>
        <v>Yes</v>
      </c>
      <c r="U128" s="211" t="str">
        <f>IF(C100="","",CONCATENATE([1]AB5!$W$120,TEXT(B129,"HH:MM:SS AM/PM")))</f>
        <v xml:space="preserve"> Then Square Off The Position At CMP at 03:00:00 PM</v>
      </c>
      <c r="V128" s="161"/>
      <c r="W128" s="161"/>
      <c r="X128" s="161"/>
      <c r="Y128" s="161"/>
      <c r="Z128" s="161"/>
      <c r="AA128" s="208"/>
      <c r="AB128" s="202"/>
      <c r="AC128" s="212"/>
    </row>
    <row r="129" spans="1:29" ht="36" customHeight="1" thickBot="1" x14ac:dyDescent="0.25">
      <c r="A129" s="198"/>
      <c r="B129" s="213">
        <f t="array" ref="B129">IF(C100="","",INDEX([1]AB4!CU:CU,MATCH(A117,[1]AB4!B:B,0)))</f>
        <v>0.625</v>
      </c>
      <c r="C129" s="177"/>
      <c r="D129" s="34"/>
      <c r="E129" s="53"/>
      <c r="F129" s="214" t="str">
        <f>IF(C100="","",CONCATENATE([1]AB5!$G$37,TEXT(B129,"HH:MM:SS AM/PM"),[1]AB5!$B$37,[1]AB5!$H$121))</f>
        <v>Check If Close at 03:00:00 PM  &lt; Call Original SL</v>
      </c>
      <c r="G129" s="40"/>
      <c r="H129" s="215" t="str">
        <f>IF(C100="","",[1]AB5!$I$121)</f>
        <v>Yes</v>
      </c>
      <c r="I129" s="40"/>
      <c r="J129" s="216" t="str">
        <f>IF(C100="","",CONCATENATE([1]AB5!$K$121))</f>
        <v xml:space="preserve"> Then Continue the Position for Next Day And Calculate Stop Loss Price as per the Rules</v>
      </c>
      <c r="K129" s="145"/>
      <c r="L129" s="145"/>
      <c r="M129" s="145"/>
      <c r="N129" s="145"/>
      <c r="O129" s="145"/>
      <c r="P129" s="177"/>
      <c r="Q129" s="214" t="str">
        <f>IF(C100="","",CONCATENATE([1]AB5!$R$121,TEXT(B129,"HH:MM:SS AM/PM"),[1]AB5!$B$122,[1]AB5!$S$121))</f>
        <v>Check If Close at 03:00:00 PM  &lt; Put Original SL</v>
      </c>
      <c r="R129" s="145"/>
      <c r="S129" s="40"/>
      <c r="T129" s="217" t="str">
        <f>IF(C100="","",[1]AB5!$U$121)</f>
        <v>Yes</v>
      </c>
      <c r="U129" s="216" t="str">
        <f>IF(C100="","",CONCATENATE([1]AB5!$W$121))</f>
        <v xml:space="preserve"> Then Continue the Position for Next Day And Calculate Stop Loss Price as per the Rules</v>
      </c>
      <c r="V129" s="145"/>
      <c r="W129" s="145"/>
      <c r="X129" s="145"/>
      <c r="Y129" s="145"/>
      <c r="Z129" s="145"/>
      <c r="AA129" s="177"/>
      <c r="AB129" s="202"/>
      <c r="AC129" s="212"/>
    </row>
    <row r="130" spans="1:29" ht="15.75" customHeight="1" thickBot="1" x14ac:dyDescent="0.25">
      <c r="A130" s="75"/>
      <c r="B130" s="75"/>
      <c r="C130" s="75"/>
      <c r="D130" s="75"/>
      <c r="E130" s="75"/>
      <c r="F130" s="75"/>
      <c r="G130" s="75"/>
      <c r="H130" s="75"/>
      <c r="I130" s="75"/>
      <c r="J130" s="149"/>
      <c r="K130" s="149"/>
      <c r="L130" s="149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  <c r="AC130" s="75"/>
    </row>
    <row r="131" spans="1:29" ht="42.75" customHeight="1" x14ac:dyDescent="0.2">
      <c r="A131" s="15" t="str">
        <f>IF(C131="","",CONCATENATE(C132,[1]AB5!$A$4))</f>
        <v>S22A</v>
      </c>
      <c r="B131" s="16" t="str">
        <f>IF(C131="","",[1]AB5!$B$59)</f>
        <v>Sr. No.</v>
      </c>
      <c r="C131" s="17">
        <v>22</v>
      </c>
      <c r="D131" s="18" t="str">
        <f>IF(C131="","",IF(C136="Futures","",IF(C136="Options Sell",[1]AB5!$D$59,IF(C136="Options Buy",[1]AB5!$D$92))))</f>
        <v>BULL / BULL CF</v>
      </c>
      <c r="E131" s="19"/>
      <c r="F131" s="18" t="str">
        <f>IF(C131="","",IF(C136="Futures","",IF(C136="Options Sell",[1]AB5!$F$59,IF(C136="Options Buy",[1]AB5!$F$92))))</f>
        <v>Call</v>
      </c>
      <c r="G131" s="20" t="str">
        <f t="array" ref="G131">IF(C131="","",IF(C136="Futures","",IF(C136="Options Sell",CONCATENATE("( ",INDEX([1]AB4!BP:BP,MATCH(A131,[1]AB4!B:B))," ",INDEX([1]AB4!BQ:BQ,MATCH(A131,[1]AB4!B:B))," ",TEXT(INDEX([1]AB4!BR:BR,MATCH(A131,[1]AB4!B:B)),"0.00%")," ) &amp; ",INDEX([1]AB4!BS:BS,MATCH(A131,[1]AB4!B:B))),IF(C136="Options Buy",CONCATENATE("( ",INDEX([1]AB4!BP:BP,MATCH(A131,[1]AB4!B:B,0))," ",INDEX([1]AB4!BQ:BQ,MATCH(A131,[1]AB4!B:B,0))," ",TEXT(INDEX([1]AB4!BR:BR,MATCH(A131,[1]AB4!B:B,0)),"0.00%")," ) &amp; ",INDEX([1]AB4!BS:BS,MATCH(A131,[1]AB4!B:B,0)))))))</f>
        <v>( SPT : PRV : 4DLL + 10.00% ) &amp; Round Down</v>
      </c>
      <c r="H131" s="20" t="str">
        <f t="array" ref="H131">IF(C131="","",IF(C136="Futures","",IF(C136="Options Sell",CONCATENATE(INDEX([1]AB4!CE:CE,MATCH(A131,[1]AB4!B:B)),[1]AB5!$H$59,TEXT(INDEX([1]AB4!CF:CF,MATCH(A131,[1]AB4!B:B)),"0.00%")))))</f>
        <v>SPT : PRV : 4DLL * 4.00%</v>
      </c>
      <c r="I131" s="21" t="str">
        <f t="array" ref="I131">IF(C131="","",IF(C136="Futures","",IF(C136="Options Sell",CONCATENATE(INDEX([1]AB4!CI:CI,MATCH(A131,[1]AB4!B:B)),[1]AB5!$I$59))))</f>
        <v>100 Lots</v>
      </c>
      <c r="J131" s="22" t="str">
        <f>IF(C131="","",IF(C136="Futures","",IF(C136="Options Sell",[1]AB5!$J$59,IF(C136="Options Buy",[1]AB5!$J$92))))</f>
        <v>BULL / BULL CF</v>
      </c>
      <c r="K131" s="18" t="str">
        <f>IF(C131="","",IF(C136="Futures","",IF(C136="Options Sell",[1]AB5!$K$59,IF(C136="Options Buy",[1]AB5!$K$92))))</f>
        <v>Call</v>
      </c>
      <c r="L131" s="23" t="str">
        <f>IF(C131="","",IF(C136="Futures","",IF(C136="Options Sell",[1]AB5!$G$4,IF(C136="Options Buy",[1]AB5!$L$92))))</f>
        <v>E &amp; T</v>
      </c>
      <c r="M131" s="20" t="str">
        <f t="array" ref="M131">IF(C131="","",IF(C136="Futures","",IF(C136="Options Sell",CONCATENATE(INDEX([1]AB4!G:G,MATCH(A131,[1]AB4!B:B,0)),INDEX([1]AB4!H:H,MATCH(A131,[1]AB4!B:B,0)),TEXT(INDEX([1]AB4!I:I,MATCH(A131,[1]AB4!B:B,0)),"0.00%")))))</f>
        <v>OPT : PRV : 4DLL - 10.00%</v>
      </c>
      <c r="N131" s="24">
        <f t="array" ref="N131">IF(C131="","",IF(C136="Futures","",IF(C136="Options Sell",INDEX([1]AB4!J:J,MATCH(A131,[1]AB4!B:B,0)))))</f>
        <v>1</v>
      </c>
      <c r="O131" s="25" t="str">
        <f t="array" ref="O131">IF(C131="","",IF(C136="Futures","",IF(C136="Options Sell",IF(INDEX([1]AB4!N:N,MATCH(A131,[1]AB4!B:B,0))="","",CONCATENATE(INDEX([1]AB4!L:L,MATCH(A131,[1]AB4!B:B,0)),INDEX([1]AB4!M:M,MATCH(A131,[1]AB4!B:B,0)),TEXT(INDEX([1]AB4!N:N,MATCH(A131,[1]AB4!B:B,0)),"0.00%"))))))</f>
        <v>CE : Entry  - 60.00%</v>
      </c>
      <c r="P131" s="26">
        <f t="array" ref="P131">IF(C131="","",IF(C136="Futures","",IF(C136="Options Sell",IF(INDEX([1]AB4!N:N,MATCH(A131,[1]AB4!B:B,0))="","",INDEX([1]AB4!O:O,MATCH(A131,[1]AB4!B:B,0))))))</f>
        <v>1</v>
      </c>
      <c r="Q131" s="27"/>
      <c r="R131" s="25" t="str">
        <f t="array" ref="R131">IF(C131="","",IF(C136="Futures","",IF(C136="Options Sell",IF(INDEX([1]AB4!P:P,MATCH(A131,[1]AB4!B:B,0))="","",CONCATENATE(INDEX([1]AB4!L:L,MATCH(A131,[1]AB4!B:B,0)),INDEX([1]AB4!M:M,MATCH(A131,[1]AB4!B:B,0)),TEXT(INDEX([1]AB4!P:P,MATCH(A131,[1]AB4!B:B,0)),"0.00%"))))))</f>
        <v/>
      </c>
      <c r="S131" s="24" t="str">
        <f t="array" ref="S131">IF(C131="","",IF(C136="Futures","",IF(C136="Options Sell",IF(INDEX([1]AB4!P:P,MATCH(A131,[1]AB4!B:B,0))="","",INDEX([1]AB4!Q:Q,MATCH(A131,[1]AB4!B:B,0))))))</f>
        <v/>
      </c>
      <c r="T131" s="25" t="str">
        <f t="array" ref="T131">IF(C131="","",IF(C136="Futures","",IF(C136="Options Sell",IF(INDEX([1]AB4!R:R,MATCH(A131,[1]AB4!B:B,0))="","",CONCATENATE(INDEX([1]AB4!L:L,MATCH(A131,[1]AB4!B:B,0)),INDEX([1]AB4!M:M,MATCH(A131,[1]AB4!B:B,0)),TEXT(INDEX([1]AB4!R:R,MATCH(A131,[1]AB4!B:B,0)),"0.00%"))))))</f>
        <v/>
      </c>
      <c r="U131" s="24" t="str">
        <f t="array" ref="U131">IF(C131="","",IF(C136="Futures","",IF(C136="Options Sell",IF(INDEX([1]AB4!R:R,MATCH(A131,[1]AB4!B:B,0))="","",INDEX([1]AB4!S:S,MATCH(A131,[1]AB4!B:B,0))))))</f>
        <v/>
      </c>
      <c r="V131" s="25" t="str">
        <f t="array" ref="V131">IF(C131="","",IF(C136="Futures","",IF(C136="Options Sell",IF(INDEX([1]AB4!T:T,MATCH(A131,[1]AB4!B:B,0))="","",CONCATENATE(INDEX([1]AB4!L:L,MATCH(A131,[1]AB4!B:B,0)),INDEX([1]AB4!M:M,MATCH(A131,[1]AB4!B:B,0)),TEXT(INDEX([1]AB4!T:T,MATCH(A131,[1]AB4!B:B,0)),"0.00%"))))))</f>
        <v/>
      </c>
      <c r="W131" s="24" t="str">
        <f t="array" ref="W131">IF(C131="","",IF(C136="Futures","",IF(C136="Options Sell",IF(INDEX([1]AB4!T:T,MATCH(A131,[1]AB4!B:B,0))="","",INDEX([1]AB4!U:U,MATCH(A131,[1]AB4!B:B,0))))))</f>
        <v/>
      </c>
      <c r="X131" s="25" t="str">
        <f t="array" ref="X131">IF(C131="","",IF(C136="Futures","",IF(C136="Options Sell",IF(INDEX([1]AB4!V:V,MATCH(A131,[1]AB4!B:B,0))="","",INDEX([1]AB4!V:V,MATCH(A131,[1]AB4!B:B,0))))))</f>
        <v/>
      </c>
      <c r="Y131" s="24" t="str">
        <f t="array" ref="Y131">IF(C131="","",IF(C136="Futures","",IF(C136="Options Sell",IF(INDEX([1]AB4!V:V,MATCH(A131,[1]AB4!B:B,0))="","",INDEX([1]AB4!W:W,MATCH(A131,[1]AB4!B:B,0))))))</f>
        <v/>
      </c>
      <c r="Z131" s="25" t="str">
        <f t="array" ref="Z131">IF(C131="","",IF(C136="Futures","",IF(C136="Options Sell",IF(INDEX([1]AB4!X:X,MATCH(A131,[1]AB4!B:B,0))="","",INDEX([1]AB4!X:X,MATCH(A131,[1]AB4!B:B,0))))))</f>
        <v/>
      </c>
      <c r="AA131" s="28" t="str">
        <f t="array" ref="AA131">IF(C131="","",IF(C136="Futures","",IF(C136="Options Sell",IF(INDEX([1]AB4!X:X,MATCH(A131,[1]AB4!B:B,0))="","",INDEX([1]AB4!X:X,MATCH(A131,[1]AB4!Y:Y,0))))))</f>
        <v/>
      </c>
      <c r="AB131" s="29"/>
      <c r="AC131" s="29"/>
    </row>
    <row r="132" spans="1:29" ht="42.75" customHeight="1" thickBot="1" x14ac:dyDescent="0.25">
      <c r="A132" s="15" t="str">
        <f>IF(C131="","",CONCATENATE(C132,[1]AB5!$A$5))</f>
        <v>S22A</v>
      </c>
      <c r="B132" s="30" t="str">
        <f>IF(C131="","",[1]AB5!$B$60)</f>
        <v>Strategy Code</v>
      </c>
      <c r="C132" s="31" t="str">
        <f t="array" ref="C132">IF(C131="","",IF(C136="Futures","",IF(C136="Options Sell",INDEX([1]AB2!B:B,MATCH(C131,[1]AB2!A:A,0)))))</f>
        <v>S22</v>
      </c>
      <c r="D132" s="32"/>
      <c r="E132" s="33"/>
      <c r="F132" s="34"/>
      <c r="G132" s="35" t="str">
        <f t="array" ref="G132">IF(C131="","",IF(C136="Futures","",IF(C136="Options Sell",CONCATENATE("( ",INDEX([1]AB4!BT:BT,MATCH(A132,[1]AB4!B:B))," ) &amp; ",INDEX([1]AB4!BW:BW,MATCH(A132,[1]AB4!B:B))," ",INDEX([1]AB4!BX:BX,MATCH(A132,[1]AB4!B:B))," ",INDEX([1]AB4!BY:BY,MATCH(A132,[1]AB4!B:B))),IF(C136="Options Buy",CONCATENATE("( ",INDEX([1]AB4!BP:BP,MATCH(A134,[1]AB4!B:B,0))," ",INDEX([1]AB4!BQ:BQ,MATCH(A134,[1]AB4!B:B,0))," ",TEXT(INDEX([1]AB4!BR:BR,MATCH(A134,[1]AB4!B:B,0)),"0.00%")," ) &amp; ",INDEX([1]AB4!BS:BS,MATCH(A134,[1]AB4!B:B,0)))))))</f>
        <v>( SPT : PRV : 4DLL ) &amp; Round Down - 1</v>
      </c>
      <c r="H132" s="35" t="str">
        <f t="array" ref="H132">IF(C131="","",IF(C136="Futures","",IF(C136="Options Sell",CONCATENATE(INDEX([1]AB4!CG:CG,MATCH(A132,[1]AB4!B:B)),[1]AB5!$H$60,TEXT(INDEX([1]AB4!CH:CH,MATCH(A132,[1]AB4!B:B)),"0.00%")))))</f>
        <v>SPT : PRV : 4DLL * 3.00%</v>
      </c>
      <c r="I132" s="36" t="str">
        <f t="array" ref="I132">IF(C131="","",IF(C136="Futures","",IF(C136="Options Sell",CONCATENATE(INDEX([1]AB4!CJ:CJ,MATCH(A132,[1]AB4!B:B)),[1]AB5!$I$60))))</f>
        <v>1 Exp</v>
      </c>
      <c r="J132" s="33"/>
      <c r="K132" s="34"/>
      <c r="L132" s="37" t="str">
        <f>IF(C131="","",IF(C136="Futures","",IF(C136="Options Sell",[1]AB5!$G$5,IF(C136="Options Buy",[1]AB5!$L$93))))</f>
        <v>SL / TRP</v>
      </c>
      <c r="M132" s="35" t="str">
        <f t="array" ref="M132">IF(C131="","",IF(C136="Futures","",IF(C136="Options Sell",IF(INDEX([1]AB4!AL:AL,MATCH(A132,[1]AB4!B:B,0))="","",CONCATENATE(INDEX([1]AB4!AA:AA,MATCH(A132,[1]AB4!B:B,0))," ( ",INDEX([1]AB4!AE:AE,MATCH(A132,[1]AB4!B:B,0)),INDEX([1]AB4!AF:AF,MATCH(A132,[1]AB4!B:B,0)),TEXT(INDEX([1]AB4!AG:AG,MATCH(A132,[1]AB4!B:B,0)),"0.00%")," &amp; ",INDEX([1]AB4!AK:AK,MATCH(A132,[1]AB4!B:B,0)),INDEX([1]AB4!AJ:AJ,MATCH(A132,[1]AB4!B:B,0)),TEXT(INDEX([1]AB4!AL:AL,MATCH(A132,[1]AB4!B:B,0)),"0.00%")," )")))))</f>
        <v>Min ( CE : Entry  + 60.00% &amp; OPT : PRV : 2DHH + 7.00% )</v>
      </c>
      <c r="N132" s="38">
        <f t="array" ref="N132">IF(C131="","",IF(C136="Futures","",IF(C136="Options Sell",INDEX([1]AB4!AM:AM,MATCH(A132,[1]AB4!B:B,0)))))</f>
        <v>1</v>
      </c>
      <c r="O132" s="35" t="str">
        <f t="array" ref="O132">IF(C131="","",IF(C136="Futures","",IF(C136="Options Sell",IF(INDEX([1]AB4!AO:AO,MATCH(A132,[1]AB4!B:B,0))="","",CONCATENATE(INDEX([1]AB4!AA:AA,MATCH(A132,[1]AB4!B:B,0))," ( ",INDEX([1]AB4!AE:AE,MATCH(A132,[1]AB4!B:B,0))," &amp; ",INDEX([1]AB4!AN:AN,MATCH(A132,[1]AB4!B:B,0)),INDEX([1]AB4!AJ:AJ,MATCH(A132,[1]AB4!B:B,0)),TEXT(INDEX([1]AB4!AO:AO,MATCH(A132,[1]AB4!B:B,0)),"0.00%")," )")))))</f>
        <v/>
      </c>
      <c r="P132" s="39" t="str">
        <f t="array" ref="P132">IF(C131="","",IF(C136="Futures","",IF(C136="Options Sell",IF(INDEX([1]AB4!AO:AO,MATCH(A132,[1]AB4!B:B,0))="","",INDEX([1]AB4!AP:AP,MATCH(A132,[1]AB4!B:B,0))))))</f>
        <v/>
      </c>
      <c r="Q132" s="40"/>
      <c r="R132" s="35" t="str">
        <f t="array" ref="R132">IF(C131="","",IF(C136="Futures","",IF(C136="Options Sell",IF(INDEX([1]AB4!AR:AR,MATCH(A132,[1]AB4!B:B,0))="","",CONCATENATE(INDEX([1]AB4!AA:AA,MATCH(A132,[1]AB4!B:B,0))," ( ",INDEX([1]AB4!AE:AE,MATCH(A132,[1]AB4!B:B,0))," &amp; ",INDEX([1]AB4!AQ:AQ,MATCH(A132,[1]AB4!B:B,0)),INDEX([1]AB4!AJ:AJ,MATCH(A132,[1]AB4!B:B,0)),TEXT(INDEX([1]AB4!AR:AR,MATCH(A132,[1]AB4!B:B,0)),"0.00%")," )")))))</f>
        <v/>
      </c>
      <c r="S132" s="38" t="str">
        <f t="array" ref="S132">IF(C131="","",IF(C136="Futures","",IF(C136="Options Sell",IF(INDEX([1]AB4!AR:AR,MATCH(A132,[1]AB4!B:B,0))="","",INDEX([1]AB4!AS:AS,MATCH(A132,[1]AB4!B:B,0))))))</f>
        <v/>
      </c>
      <c r="T132" s="35" t="str">
        <f t="array" ref="T132">IF(C131="","",IF(C136="Futures","",IF(C136="Options Sell",IF(INDEX([1]AB4!AU:AU,MATCH(A132,[1]AB4!B:B))="","",CONCATENATE(INDEX([1]AB4!AA:AA,MATCH(A132,[1]AB4!B:B))," ( ",INDEX([1]AB4!AE:AE,MATCH(A132,[1]AB4!B:B))," &amp; ",INDEX([1]AB4!AT:AT,MATCH(A132,[1]AB4!B:B)),INDEX([1]AB4!AJ:AJ,MATCH(A132,[1]AB4!B:B)),TEXT(INDEX([1]AB4!AU:AU,MATCH(A132,[1]AB4!B:B)),"0.00%")," )")))))</f>
        <v/>
      </c>
      <c r="U132" s="38" t="str">
        <f t="array" ref="U132">IF(C131="","",IF(C136="Futures","",IF(C136="Options Sell",IF(INDEX([1]AB4!AU:AU,MATCH(A132,[1]AB4!B:B,0))="","",INDEX([1]AB4!AV:AV,MATCH(A132,[1]AB4!B:B,0))))))</f>
        <v/>
      </c>
      <c r="V132" s="35" t="str">
        <f t="array" ref="V132">IF(C131="","",IF(C136="Futures","",IF(C136="Options Sell",IF(INDEX([1]AB4!AX:AX,MATCH(A132,[1]AB4!B:B,0))="","",CONCATENATE(INDEX([1]AB4!AA:AA,MATCH(A132,[1]AB4!B:B,0))," ( ",INDEX([1]AB4!AE:AE,MATCH(A132,[1]AB4!B:B,0))," &amp; ",INDEX([1]AB4!AW:AW,MATCH(A132,[1]AB4!B:B,0)),INDEX([1]AB4!AJ:AJ,MATCH(A132,[1]AB4!B:B,0)),TEXT(INDEX([1]AB4!AX:AX,MATCH(A132,[1]AB4!B:B,0)),"0.00%")," )")))))</f>
        <v/>
      </c>
      <c r="W132" s="38" t="str">
        <f t="array" ref="W132">IF(C131="","",IF(C136="Futures","",IF(C136="Options Sell",IF(INDEX([1]AB4!AX:AX,MATCH(A132,[1]AB4!B:B,0))="","",INDEX([1]AB4!AY:AY,MATCH(A132,[1]AB4!B:B,0))))))</f>
        <v/>
      </c>
      <c r="X132" s="35" t="str">
        <f t="array" ref="X132">IF(C131="","",IF(C136="Futures","",IF(C136="Options Sell",IF(INDEX([1]AB4!BA:BA,MATCH(A132,[1]AB4!B:B,0))="","",CONCATENATE(INDEX([1]AB4!AA:AA,MATCH(A132,[1]AB4!B:B,0))," ( ",INDEX([1]AB4!AE:AE,MATCH(A132,[1]AB4!B:B,0))," &amp; ",INDEX([1]AB4!AW:AW,MATCH(A132,[1]AB4!B:B,0)),INDEX([1]AB4!AJ:AJ,MATCH(A132,[1]AB4!B:B,0)),TEXT(INDEX([1]AB4!AX:AX,MATCH(A132,[1]AB4!B:B,0)),"0.00%")," )")))))</f>
        <v/>
      </c>
      <c r="Y132" s="38" t="str">
        <f t="array" ref="Y132">IF(C131="","",IF(C136="Futures","",IF(C136="Options Sell",IF(INDEX([1]AB4!BA:BA,MATCH(A132,[1]AB4!B:B,0))="","",INDEX([1]AB4!AY:AY,MATCH(A132,[1]AB4!B:B,0))))))</f>
        <v/>
      </c>
      <c r="Z132" s="41">
        <f t="array" ref="Z132">IF(C131="","",IF(C136="Futures","",IF(C136="Options Sell",IF(INDEX([1]AB4!BD:BD,MATCH(A131,[1]AB4!B:B,0))="","",INDEX([1]AB4!AZ:AZ,MATCH(A131,[1]AB4!B:B,0))))))</f>
        <v>0</v>
      </c>
      <c r="AA132" s="42">
        <f t="array" ref="AA132">IF(C131="","",IF(C136="Futures","",IF(C136="Options Sell",IF(INDEX([1]AB4!BD:BD,MATCH(A132,[1]AB4!B:B,0))="","",INDEX([1]AB4!BB:BB,MATCH(A132,[1]AB4!B:B,0))))))</f>
        <v>0</v>
      </c>
      <c r="AB132" s="29"/>
      <c r="AC132" s="29"/>
    </row>
    <row r="133" spans="1:29" ht="6.75" customHeight="1" thickBot="1" x14ac:dyDescent="0.25">
      <c r="A133" s="15" t="str">
        <f>IF(C131="","",CONCATENATE(C132,[1]AB5!A124))</f>
        <v>S22</v>
      </c>
      <c r="B133" s="43" t="str">
        <f>IF(C131="","",[1]AB5!$B$61)</f>
        <v>Unique Code</v>
      </c>
      <c r="C133" s="44" t="str">
        <f t="array" ref="C133">IF(C131="","",IF(C136="Futures","",IF(C136="Options Sell",INDEX([1]AB2!N:N,MATCH(C131,[1]AB2!A:A,0)))))</f>
        <v>STOCKS_OP_SELL_MT_DIFF_2D_4D</v>
      </c>
      <c r="D133" s="32"/>
      <c r="E133" s="33"/>
      <c r="F133" s="45"/>
      <c r="G133" s="46"/>
      <c r="H133" s="46"/>
      <c r="I133" s="47"/>
      <c r="J133" s="33"/>
      <c r="K133" s="45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29"/>
      <c r="AC133" s="29"/>
    </row>
    <row r="134" spans="1:29" ht="42.75" customHeight="1" x14ac:dyDescent="0.2">
      <c r="A134" s="15" t="str">
        <f>IF(C131="","",CONCATENATE(C132,[1]AB5!$A$7))</f>
        <v>S22B</v>
      </c>
      <c r="B134" s="48"/>
      <c r="C134" s="49"/>
      <c r="D134" s="32"/>
      <c r="E134" s="33"/>
      <c r="F134" s="50" t="str">
        <f>IF(C131="","",IF(C136="Futures","",IF(C136="Options Sell",[1]AB5!$F$62,IF(C136="Options Buy",[1]AB5!$F$95))))</f>
        <v>Put</v>
      </c>
      <c r="G134" s="20" t="str">
        <f t="array" ref="G134">IF(C131="","",IF(C136="Futures","",IF(C136="Options Sell",CONCATENATE("( ",INDEX([1]AB4!BP:BP,MATCH(A134,[1]AB4!B:B))," ",INDEX([1]AB4!BQ:BQ,MATCH(A134,[1]AB4!B:B))," ",TEXT(INDEX([1]AB4!BR:BR,MATCH(A134,[1]AB4!B:B)),"0.00%")," ) &amp; ",INDEX([1]AB4!BS:BS,MATCH(A134,[1]AB4!B:B))),IF(C136="Options Buy",CONCATENATE("( ",INDEX([1]AB4!BP:BP,MATCH(A134,[1]AB4!B:B,0))," ",INDEX([1]AB4!BQ:BQ,MATCH(A134,[1]AB4!B:B,0))," ",TEXT(INDEX([1]AB4!BR:BR,MATCH(A134,[1]AB4!B:B,0)),"0.00%")," ) &amp; ",INDEX([1]AB4!BS:BS,MATCH(A134,[1]AB4!B:B,0)))))))</f>
        <v>( SPT : PRV : 2DHH - 10.00% ) &amp; Round Up</v>
      </c>
      <c r="H134" s="20" t="str">
        <f t="array" ref="H134">IF(C131="","",IF(C136="Futures","",IF(C136="Options Sell",CONCATENATE(INDEX([1]AB4!CE:CE,MATCH(A134,[1]AB4!B:B)),[1]AB5!$H$59,TEXT(INDEX([1]AB4!CF:CF,MATCH(A134,[1]AB4!B:B)),"0.00%")))))</f>
        <v>SPT : PRV : 2DHH * 4.00%</v>
      </c>
      <c r="I134" s="21" t="str">
        <f t="array" ref="I134">IF(C131="","",IF(C136="Futures","",IF(C136="Options Sell",CONCATENATE(INDEX([1]AB4!CI:CI,MATCH(A134,[1]AB4!B:B)),[1]AB5!$I$59))))</f>
        <v>100 Lots</v>
      </c>
      <c r="J134" s="33"/>
      <c r="K134" s="50" t="str">
        <f>IF(C131="","",IF(C136="Futures","",IF(C136="Options Sell",[1]AB5!$K$62,IF(C136="Options Buy",[1]AB5!$K$95))))</f>
        <v>Put</v>
      </c>
      <c r="L134" s="23" t="str">
        <f>IF(C131="","",IF(C136="Futures","",IF(C136="Options Sell",[1]AB5!$G$7,IF(C136="Options Buy",[1]AB5!$L$95))))</f>
        <v>E &amp; T</v>
      </c>
      <c r="M134" s="20" t="str">
        <f t="array" ref="M134">IF(C131="","",IF(C136="Futures","",IF(C136="Options Sell",CONCATENATE(INDEX([1]AB4!G:G,MATCH(A134,[1]AB4!B:B,0)),INDEX([1]AB4!H:H,MATCH(A134,[1]AB4!B:B,0)),TEXT(INDEX([1]AB4!I:I,MATCH(A134,[1]AB4!B:B,0)),"0.00%")))))</f>
        <v>OPT : PRV : 2DLL - 10.00%</v>
      </c>
      <c r="N134" s="24">
        <f t="array" ref="N134">IF(C131="","",IF(C136="Futures","",IF(C136="Options Sell",INDEX([1]AB4!J:J,MATCH(A134,[1]AB4!B:B,0)))))</f>
        <v>1</v>
      </c>
      <c r="O134" s="25" t="str">
        <f t="array" ref="O134">IF(C131="","",IF(C136="Futures","",IF(C136="Options Sell",IF(INDEX([1]AB4!N:N,MATCH(A134,[1]AB4!B:B,0))="","",CONCATENATE(INDEX([1]AB4!L:L,MATCH(A134,[1]AB4!B:B,0)),INDEX([1]AB4!M:M,MATCH(A134,[1]AB4!B:B,0)),TEXT(INDEX([1]AB4!N:N,MATCH(A134,[1]AB4!B:B,0)),"0.00%"))))))</f>
        <v>PE : Entry  - 60.00%</v>
      </c>
      <c r="P134" s="26">
        <f t="array" ref="P134">IF(C131="","",IF(C136="Futures","",IF(C136="Options Sell",IF(INDEX([1]AB4!N:N,MATCH(A134,[1]AB4!B:B,0))="","",INDEX([1]AB4!O:O,MATCH(A134,[1]AB4!B:B,0))))))</f>
        <v>1</v>
      </c>
      <c r="Q134" s="27"/>
      <c r="R134" s="25" t="str">
        <f t="array" ref="R134">IF(C131="","",IF(C136="Futures","",IF(C136="Options Sell",IF(INDEX([1]AB4!P:P,MATCH(A134,[1]AB4!B:B,0))="","",CONCATENATE(INDEX([1]AB4!L:L,MATCH(A134,[1]AB4!B:B,0)),INDEX([1]AB4!M:M,MATCH(A134,[1]AB4!B:B,0)),TEXT(INDEX([1]AB4!P:P,MATCH(A134,[1]AB4!B:B,0)),"0.00%"))))))</f>
        <v/>
      </c>
      <c r="S134" s="24" t="str">
        <f t="array" ref="S134">IF(C131="","",IF(C136="Futures","",IF(C136="Options Sell",IF(INDEX([1]AB4!P:P,MATCH(A134,[1]AB4!B:B,0))="","",INDEX([1]AB4!Q:Q,MATCH(A134,[1]AB4!B:B,0))))))</f>
        <v/>
      </c>
      <c r="T134" s="25" t="str">
        <f t="array" ref="T134">IF(C131="","",IF(C136="Futures","",IF(C136="Options Sell",IF(INDEX([1]AB4!R:R,MATCH(A134,[1]AB4!B:B,0))="","",CONCATENATE(INDEX([1]AB4!L:L,MATCH(A134,[1]AB4!B:B,0)),INDEX([1]AB4!M:M,MATCH(A134,[1]AB4!B:B,0)),TEXT(INDEX([1]AB4!R:R,MATCH(A134,[1]AB4!B:B,0)),"0.00%"))))))</f>
        <v/>
      </c>
      <c r="U134" s="24" t="str">
        <f t="array" ref="U134">IF(C131="","",IF(C136="Futures","",IF(C136="Options Sell",IF(INDEX([1]AB4!R:R,MATCH(A134,[1]AB4!B:B,0))="","",INDEX([1]AB4!S:S,MATCH(A134,[1]AB4!B:B,0))))))</f>
        <v/>
      </c>
      <c r="V134" s="25" t="str">
        <f t="array" ref="V134">IF(C134="","",IF(C136="Futures","",IF(C136="Options Sell",IF(INDEX([1]AB4!T:T,MATCH(A134,[1]AB4!B:B,0))="","",CONCATENATE(INDEX([1]AB4!L:L,MATCH(A134,[1]AB4!B:B,0)),INDEX([1]AB4!M:M,MATCH(A134,[1]AB4!B:B,0)),TEXT(INDEX([1]AB4!T:T,MATCH(A134,[1]AB4!B:B,0)),"0.00%"))))))</f>
        <v/>
      </c>
      <c r="W134" s="24" t="str">
        <f t="array" ref="W134">IF(C131="","",IF(C136="Futures","",IF(C136="Options Sell",IF(INDEX([1]AB4!T:T,MATCH(A134,[1]AB4!B:B,0))="","",INDEX([1]AB4!U:U,MATCH(A134,[1]AB4!B:B,0))))))</f>
        <v/>
      </c>
      <c r="X134" s="25" t="str">
        <f t="array" ref="X134">IF(C131="","",IF(C136="Futures","",IF(C136="Options Sell",IF(INDEX([1]AB4!V:V,MATCH(A134,[1]AB4!B:B,0))="","",INDEX([1]AB4!V:V,MATCH(A134,[1]AB4!B:B,0))))))</f>
        <v/>
      </c>
      <c r="Y134" s="24" t="str">
        <f t="array" ref="Y134">IF(C131="","",IF(C136="Futures","",IF(C136="Options Sell",IF(INDEX([1]AB4!V:V,MATCH(A134,[1]AB4!B:B,0))="","",INDEX([1]AB4!W:W,MATCH(A134,[1]AB4!B:B,0))))))</f>
        <v/>
      </c>
      <c r="Z134" s="25" t="str">
        <f t="array" ref="Z134">IF(C131="","",IF(C136="Futures","",IF(C136="Options Sell",IF(INDEX([1]AB4!X:X,MATCH(A134,[1]AB4!B:B,0))="","",INDEX([1]AB4!X:X,MATCH(A134,[1]AB4!B:B,0))))))</f>
        <v/>
      </c>
      <c r="AA134" s="28" t="str">
        <f t="array" ref="AA134">IF(C131="","",IF(C136="Futures","",IF(C136="Options Sell",IF(INDEX([1]AB4!X:X,MATCH(A134,[1]AB4!B:B,0))="","",INDEX([1]AB4!X:X,MATCH(A134,[1]AB4!Y:Y,0))))))</f>
        <v/>
      </c>
      <c r="AB134" s="29"/>
      <c r="AC134" s="29"/>
    </row>
    <row r="135" spans="1:29" ht="42.75" customHeight="1" thickBot="1" x14ac:dyDescent="0.25">
      <c r="A135" s="15" t="str">
        <f>IF(C131="","",CONCATENATE(C132,[1]AB5!$A$8))</f>
        <v>S22B</v>
      </c>
      <c r="B135" s="51"/>
      <c r="C135" s="52"/>
      <c r="D135" s="34"/>
      <c r="E135" s="53"/>
      <c r="F135" s="34"/>
      <c r="G135" s="35" t="str">
        <f t="array" ref="G135">IF(C131="","",IF(C136="Futures","",IF(C136="Options Sell",CONCATENATE("( ",INDEX([1]AB4!BT:BT,MATCH(A135,[1]AB4!B:B))," ) &amp; ",INDEX([1]AB4!BW:BW,MATCH(A135,[1]AB4!B:B))," ",INDEX([1]AB4!BX:BX,MATCH(A135,[1]AB4!B:B))," ",INDEX([1]AB4!BY:BY,MATCH(A135,[1]AB4!B:B))),IF(C136="Options Buy",CONCATENATE("( ",INDEX([1]AB4!BP:BP,MATCH(A135,[1]AB4!B:B,0))," ",INDEX([1]AB4!BQ:BQ,MATCH(A135,[1]AB4!B:B,0))," ",TEXT(INDEX([1]AB4!BR:BR,MATCH(A135,[1]AB4!B:B,0)),"0.00%")," ) &amp; ",INDEX([1]AB4!BS:BS,MATCH(A135,[1]AB4!B:B,0)))))))</f>
        <v>( SPT : PRV : 2DHH ) &amp; Round Up + 1</v>
      </c>
      <c r="H135" s="35" t="str">
        <f t="array" ref="H135">IF(C131="","",IF(C136="Futures","",IF(C136="Options Sell",CONCATENATE(INDEX([1]AB4!CG:CG,MATCH(A135,[1]AB4!B:B)),[1]AB5!$H$60,TEXT(INDEX([1]AB4!CH:CH,MATCH(A135,[1]AB4!B:B)),"0.00%")))))</f>
        <v>SPT : PRV : 2DHH * 3.00%</v>
      </c>
      <c r="I135" s="36" t="str">
        <f t="array" ref="I135">IF(C131="","",IF(C136="Futures","",IF(C136="Options Sell",CONCATENATE(INDEX([1]AB4!CJ:CJ,MATCH(A135,[1]AB4!B:B)),[1]AB5!$I$60))))</f>
        <v>1 Exp</v>
      </c>
      <c r="J135" s="53"/>
      <c r="K135" s="34"/>
      <c r="L135" s="37" t="str">
        <f>IF(C131="","",IF(C136="Futures","",IF(C136="Options Sell",[1]AB5!$G$8,IF(C136="Options Buy",[1]AB5!$L$96))))</f>
        <v>SL / TRP</v>
      </c>
      <c r="M135" s="35" t="str">
        <f t="array" ref="M135">IF(C131="","",IF(C136="Futures","",IF(C136="Options Sell",IF(INDEX([1]AB4!AL:AL,MATCH(A135,[1]AB4!B:B,0))="","",CONCATENATE(INDEX([1]AB4!AA:AA,MATCH(A135,[1]AB4!B:B,0))," ( ",INDEX([1]AB4!AE:AE,MATCH(A135,[1]AB4!B:B,0)),INDEX([1]AB4!AF:AF,MATCH(A135,[1]AB4!B:B,0)),TEXT(INDEX([1]AB4!AG:AG,MATCH(A135,[1]AB4!B:B,0)),"0.00%")," &amp; ",INDEX([1]AB4!AK:AK,MATCH(A135,[1]AB4!B:B,0)),INDEX([1]AB4!AJ:AJ,MATCH(A135,[1]AB4!B:B,0)),TEXT(INDEX([1]AB4!AL:AL,MATCH(A135,[1]AB4!B:B,0)),"0.00%")," )")))))</f>
        <v>Min ( PE : Entry  + 60.00% &amp; OPT : PRV : 3DHH + 10.00% )</v>
      </c>
      <c r="N135" s="38">
        <f t="array" ref="N135">IF(C131="","",IF(C136="Futures","",IF(C136="Options Sell",INDEX([1]AB4!AM:AM,MATCH(A135,[1]AB4!B:B,0)))))</f>
        <v>1</v>
      </c>
      <c r="O135" s="35" t="str">
        <f t="array" ref="O135">IF(C131="","",IF(C136="Futures","",IF(C136="Options Sell",IF(INDEX([1]AB4!AO:AO,MATCH(A135,[1]AB4!B:B,0))="","",CONCATENATE(INDEX([1]AB4!AA:AA,MATCH(A135,[1]AB4!B:B,0))," ( ",INDEX([1]AB4!AE:AE,MATCH(A135,[1]AB4!B:B,0))," &amp; ",INDEX([1]AB4!AN:AN,MATCH(A135,[1]AB4!B:B,0)),INDEX([1]AB4!AJ:AJ,MATCH(A135,[1]AB4!B:B,0)),TEXT(INDEX([1]AB4!AO:AO,MATCH(A135,[1]AB4!B:B,0)),"0.00%")," )")))))</f>
        <v/>
      </c>
      <c r="P135" s="39" t="str">
        <f t="array" ref="P135">IF(C131="","",IF(C136="Futures","",IF(C136="Options Sell",IF(INDEX([1]AB4!AO:AO,MATCH(A135,[1]AB4!B:B,0))="","",INDEX([1]AB4!AP:AP,MATCH(A135,[1]AB4!B:B,0))))))</f>
        <v/>
      </c>
      <c r="Q135" s="40"/>
      <c r="R135" s="35" t="str">
        <f t="array" ref="R135">IF(C131="","",IF(C136="Futures","",IF(C136="Options Sell",IF(INDEX([1]AB4!AR:AR,MATCH(A135,[1]AB4!B:B,0))="","",CONCATENATE(INDEX([1]AB4!AA:AA,MATCH(A135,[1]AB4!B:B,0))," ( ",INDEX([1]AB4!AE:AE,MATCH(A135,[1]AB4!B:B,0))," &amp; ",INDEX([1]AB4!AQ:AQ,MATCH(A135,[1]AB4!B:B,0)),INDEX([1]AB4!AJ:AJ,MATCH(A135,[1]AB4!B:B,0)),TEXT(INDEX([1]AB4!AR:AR,MATCH(A135,[1]AB4!B:B,0)),"0.00%")," )")))))</f>
        <v/>
      </c>
      <c r="S135" s="38" t="str">
        <f t="array" ref="S135">IF(C131="","",IF(C136="Futures","",IF(C136="Options Sell",IF(INDEX([1]AB4!AR:AR,MATCH(A135,[1]AB4!B:B,0))="","",INDEX([1]AB4!AS:AS,MATCH(A135,[1]AB4!B:B,0))))))</f>
        <v/>
      </c>
      <c r="T135" s="35" t="str">
        <f t="array" ref="T135">IF(C131="","",IF(C136="Futures","",IF(C136="Options Sell",IF(INDEX([1]AB4!AU:AU,MATCH(A135,[1]AB4!B:B))="","",CONCATENATE(INDEX([1]AB4!AA:AA,MATCH(A135,[1]AB4!B:B))," ( ",INDEX([1]AB4!AE:AE,MATCH(A135,[1]AB4!B:B))," &amp; ",INDEX([1]AB4!AT:AT,MATCH(A135,[1]AB4!B:B)),INDEX([1]AB4!AJ:AJ,MATCH(A135,[1]AB4!B:B)),TEXT(INDEX([1]AB4!AU:AU,MATCH(A135,[1]AB4!B:B)),"0.00%")," )")))))</f>
        <v/>
      </c>
      <c r="U135" s="38" t="str">
        <f t="array" ref="U135">IF(C131="","",IF(C136="Futures","",IF(C136="Options Sell",IF(INDEX([1]AB4!AU:AU,MATCH(A135,[1]AB4!B:B,0))="","",INDEX([1]AB4!AV:AV,MATCH(A135,[1]AB4!B:B,0))))))</f>
        <v/>
      </c>
      <c r="V135" s="35" t="str">
        <f t="array" ref="V135">IF(C134="","",IF(C136="Futures","",IF(C136="Options Sell",IF(INDEX([1]AB4!AX:AX,MATCH(A135,[1]AB4!B:B,0))="","",CONCATENATE(INDEX([1]AB4!AA:AA,MATCH(A135,[1]AB4!B:B,0))," ( ",INDEX([1]AB4!AE:AE,MATCH(A135,[1]AB4!B:B,0))," &amp; ",INDEX([1]AB4!AW:AW,MATCH(A135,[1]AB4!B:B,0)),INDEX([1]AB4!AJ:AJ,MATCH(A135,[1]AB4!B:B,0)),TEXT(INDEX([1]AB4!AX:AX,MATCH(A135,[1]AB4!B:B,0)),"0.00%")," )")))))</f>
        <v/>
      </c>
      <c r="W135" s="38" t="str">
        <f t="array" ref="W135">IF(C131="","",IF(C136="Futures","",IF(C136="Options Sell",IF(INDEX([1]AB4!AX:AX,MATCH(A135,[1]AB4!B:B,0))="","",INDEX([1]AB4!AY:AY,MATCH(A135,[1]AB4!B:B,0))))))</f>
        <v/>
      </c>
      <c r="X135" s="35" t="str">
        <f t="array" ref="X135">IF(C131="","",IF(C136="Futures","",IF(C136="Options Sell",IF(INDEX([1]AB4!BA:BA,MATCH(A135,[1]AB4!B:B,0))="","",CONCATENATE(INDEX([1]AB4!AA:AA,MATCH(A135,[1]AB4!B:B,0))," ( ",INDEX([1]AB4!AE:AE,MATCH(A135,[1]AB4!B:B,0))," &amp; ",INDEX([1]AB4!AW:AW,MATCH(A135,[1]AB4!B:B,0)),INDEX([1]AB4!AJ:AJ,MATCH(A135,[1]AB4!B:B,0)),TEXT(INDEX([1]AB4!AX:AX,MATCH(A135,[1]AB4!B:B,0)),"0.00%")," )")))))</f>
        <v/>
      </c>
      <c r="Y135" s="38" t="str">
        <f t="array" ref="Y135">IF(C131="","",IF(C136="Futures","",IF(C136="Options Sell",IF(INDEX([1]AB4!BA:BA,MATCH(A135,[1]AB4!B:B,0))="","",INDEX([1]AB4!AY:AY,MATCH(A135,[1]AB4!B:B,0))))))</f>
        <v/>
      </c>
      <c r="Z135" s="41">
        <f t="array" ref="Z135">IF(C131="","",IF(C136="Futures","",IF(C136="Options Sell",IF(INDEX([1]AB4!BD:BD,MATCH(A134,[1]AB4!B:B,0))="","",INDEX([1]AB4!AZ:AZ,MATCH(A134,[1]AB4!B:B,0))))))</f>
        <v>0</v>
      </c>
      <c r="AA135" s="42">
        <f t="array" ref="AA135">IF(C131="","",IF(C136="Futures","",IF(C136="Options Sell",IF(INDEX([1]AB4!BD:BD,MATCH(A135,[1]AB4!B:B,0))="","",INDEX([1]AB4!BB:BB,MATCH(A135,[1]AB4!B:B,0))))))</f>
        <v>0</v>
      </c>
      <c r="AB135" s="29"/>
      <c r="AC135" s="29"/>
    </row>
    <row r="136" spans="1:29" ht="18.75" customHeight="1" thickBot="1" x14ac:dyDescent="0.25">
      <c r="A136" s="15" t="str">
        <f>IF(C131="","",CONCATENATE(C132,[1]AB5!$A$9))</f>
        <v>S22C</v>
      </c>
      <c r="B136" s="30" t="str">
        <f>IF(C131="","",[1]AB5!$B$64)</f>
        <v>Segment</v>
      </c>
      <c r="C136" s="31" t="str">
        <f t="array" ref="C136">IF(C131="","",INDEX([1]AB2!C:C,MATCH(C131,[1]AB2!A:A,0)))</f>
        <v>OPTIONS SELL</v>
      </c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29"/>
      <c r="AC136" s="29"/>
    </row>
    <row r="137" spans="1:29" ht="42.75" customHeight="1" x14ac:dyDescent="0.2">
      <c r="A137" s="15" t="str">
        <f>IF(C131="","",CONCATENATE(C132,[1]AB5!$A$10))</f>
        <v>S22D</v>
      </c>
      <c r="B137" s="30" t="str">
        <f>IF(C131="","",[1]AB5!$B$65)</f>
        <v>Symbol</v>
      </c>
      <c r="C137" s="31" t="str">
        <f t="array" ref="C137">IF(C131="","",IF(C136="Futures","",IF(C136="Options Sell",INDEX([1]AB2!E:E,MATCH(C131,[1]AB2!A:A,0)))))</f>
        <v>STOCKS</v>
      </c>
      <c r="D137" s="50" t="str">
        <f>IF(C131="","",IF(C136="Futures","",IF(C136="Options Sell",[1]AB5!$D$65,IF(C136="Options Buy",[1]AB5!$D$98))))</f>
        <v>BEAR / BEAR CF</v>
      </c>
      <c r="E137" s="19"/>
      <c r="F137" s="18" t="str">
        <f>IF(C131="","",IF(C136="Futures","",IF(C136="Options Sell",[1]AB5!$F$65)))</f>
        <v>Call</v>
      </c>
      <c r="G137" s="20" t="str">
        <f t="array" ref="G137">IF(C131="","",IF(C136="Futures","",IF(C136="Options Sell",CONCATENATE("( ",INDEX([1]AB4!BP:BP,MATCH(A137,[1]AB4!B:B))," ",INDEX([1]AB4!BQ:BQ,MATCH(A137,[1]AB4!B:B))," ",TEXT(INDEX([1]AB4!BR:BR,MATCH(A137,[1]AB4!B:B)),"0.00%")," ) &amp; ",INDEX([1]AB4!BS:BS,MATCH(A137,[1]AB4!B:B))),IF(C136="Options Buy",CONCATENATE("( ",INDEX([1]AB4!BP:BP,MATCH(A137,[1]AB4!B:B,0))," ",INDEX([1]AB4!BQ:BQ,MATCH(A137,[1]AB4!B:B,0))," ",TEXT(INDEX([1]AB4!BR:BR,MATCH(A137,[1]AB4!B:B,0)),"0.00%")," ) &amp; ",INDEX([1]AB4!BS:BS,MATCH(A137,[1]AB4!B:B,0)))))))</f>
        <v>( SPT : PRV : 2DLL + 10.00% ) &amp; Round Down</v>
      </c>
      <c r="H137" s="20" t="str">
        <f t="array" ref="H137">IF(C131="","",IF(C136="Futures","",IF(C136="Options Sell",CONCATENATE(INDEX([1]AB4!CE:CE,MATCH(A137,[1]AB4!B:B)),[1]AB5!$H$59,TEXT(INDEX([1]AB4!CF:CF,MATCH(A137,[1]AB4!B:B)),"0.00%")))))</f>
        <v>SPT : PRV : 2DLL * 4.00%</v>
      </c>
      <c r="I137" s="21" t="str">
        <f t="array" ref="I137">IF(C131="","",IF(C136="Futures","",IF(C136="Options Sell",CONCATENATE(INDEX([1]AB4!CI:CI,MATCH(A137,[1]AB4!B:B)),[1]AB5!$I$59))))</f>
        <v>100 Lots</v>
      </c>
      <c r="J137" s="55" t="str">
        <f>IF(C131="","",IF(C136="Futures","",IF(C136="Options Sell",[1]AB5!$J$65,IF(C136="Options Buy",[1]AB5!$J$98))))</f>
        <v>BEAR / BEAR CF</v>
      </c>
      <c r="K137" s="18" t="str">
        <f>IF(C131="","",IF(C136="Futures","",IF(C136="Options Sell",[1]AB5!$K$65,IF(C136="Options Buy",[1]AB5!$K$98))))</f>
        <v>Call</v>
      </c>
      <c r="L137" s="23" t="str">
        <f>IF(C131="","",IF(C136="Futures","",IF(C136="Options Sell",[1]AB5!$G$10,IF(C136="Options Buy",[1]AB5!$L$98))))</f>
        <v>E &amp; T</v>
      </c>
      <c r="M137" s="20" t="str">
        <f t="array" ref="M137">IF(C131="","",IF(C136="Futures","",IF(C136="Options Sell",CONCATENATE(INDEX([1]AB4!G:G,MATCH(A137,[1]AB4!B:B,0)),INDEX([1]AB4!H:H,MATCH(A137,[1]AB4!B:B,0)),TEXT(INDEX([1]AB4!I:I,MATCH(A137,[1]AB4!B:B,0)),"0.00%")))))</f>
        <v>OPT : PRV : 2DLL - 10.00%</v>
      </c>
      <c r="N137" s="24">
        <f t="array" ref="N137">IF(C131="","",IF(C136="Futures","",IF(C136="Options Sell",INDEX([1]AB4!J:J,MATCH(A137,[1]AB4!B:B,0)))))</f>
        <v>1</v>
      </c>
      <c r="O137" s="25" t="str">
        <f t="array" ref="O137">IF(C131="","",IF(C136="Futures","",IF(C136="Options Sell",IF(INDEX([1]AB4!N:N,MATCH(A137,[1]AB4!B:B,0))="","",CONCATENATE(INDEX([1]AB4!L:L,MATCH(A137,[1]AB4!B:B,0)),INDEX([1]AB4!M:M,MATCH(A137,[1]AB4!B:B,0)),TEXT(INDEX([1]AB4!N:N,MATCH(A137,[1]AB4!B:B,0)),"0.00%"))))))</f>
        <v>CE : Entry  - 60.00%</v>
      </c>
      <c r="P137" s="26">
        <f t="array" ref="P137">IF(C131="","",IF(C136="Futures","",IF(C136="Options Sell",IF(INDEX([1]AB4!N:N,MATCH(A137,[1]AB4!B:B,0))="","",INDEX([1]AB4!O:O,MATCH(A137,[1]AB4!B:B,0))))))</f>
        <v>1</v>
      </c>
      <c r="Q137" s="27"/>
      <c r="R137" s="25" t="str">
        <f t="array" ref="R137">IF(C131="","",IF(C136="Futures","",IF(C136="Options Sell",IF(INDEX([1]AB4!P:P,MATCH(A137,[1]AB4!B:B,0))="","",CONCATENATE(INDEX([1]AB4!L:L,MATCH(A137,[1]AB4!B:B,0)),INDEX([1]AB4!M:M,MATCH(A137,[1]AB4!B:B,0)),TEXT(INDEX([1]AB4!P:P,MATCH(A137,[1]AB4!B:B,0)),"0.00%"))))))</f>
        <v/>
      </c>
      <c r="S137" s="24" t="str">
        <f t="array" ref="S137">IF(C131="","",IF(C136="Futures","",IF(C136="Options Sell",IF(INDEX([1]AB4!P:P,MATCH(A137,[1]AB4!B:B,0))="","",INDEX([1]AB4!Q:Q,MATCH(A137,[1]AB4!B:B,0))))))</f>
        <v/>
      </c>
      <c r="T137" s="25" t="str">
        <f t="array" ref="T137">IF(C131="","",IF(C136="Futures","",IF(C136="Options Sell",IF(INDEX([1]AB4!R:R,MATCH(A137,[1]AB4!B:B,0))="","",CONCATENATE(INDEX([1]AB4!L:L,MATCH(A137,[1]AB4!B:B,0)),INDEX([1]AB4!M:M,MATCH(A137,[1]AB4!B:B,0)),TEXT(INDEX([1]AB4!R:R,MATCH(A137,[1]AB4!B:B,0)),"0.00%"))))))</f>
        <v/>
      </c>
      <c r="U137" s="24" t="str">
        <f t="array" ref="U137">IF(C131="","",IF(C136="Futures","",IF(C136="Options Sell",IF(INDEX([1]AB4!R:R,MATCH(A137,[1]AB4!B:B,0))="","",INDEX([1]AB4!S:S,MATCH(A137,[1]AB4!B:B,0))))))</f>
        <v/>
      </c>
      <c r="V137" s="25" t="str">
        <f t="array" ref="V137">IF(C137="","",IF(C136="Futures","",IF(C136="Options Sell",IF(INDEX([1]AB4!T:T,MATCH(A137,[1]AB4!B:B,0))="","",CONCATENATE(INDEX([1]AB4!L:L,MATCH(A137,[1]AB4!B:B,0)),INDEX([1]AB4!M:M,MATCH(A137,[1]AB4!B:B,0)),TEXT(INDEX([1]AB4!T:T,MATCH(A137,[1]AB4!B:B,0)),"0.00%"))))))</f>
        <v/>
      </c>
      <c r="W137" s="24" t="str">
        <f t="array" ref="W137">IF(C131="","",IF(C136="Futures","",IF(C136="Options Sell",IF(INDEX([1]AB4!T:T,MATCH(A137,[1]AB4!B:B,0))="","",INDEX([1]AB4!U:U,MATCH(A137,[1]AB4!B:B,0))))))</f>
        <v/>
      </c>
      <c r="X137" s="25" t="str">
        <f t="array" ref="X137">IF(C131="","",IF(C136="Futures","",IF(C136="Options Sell",IF(INDEX([1]AB4!V:V,MATCH(A137,[1]AB4!B:B,0))="","",INDEX([1]AB4!V:V,MATCH(A137,[1]AB4!B:B,0))))))</f>
        <v/>
      </c>
      <c r="Y137" s="24" t="str">
        <f t="array" ref="Y137">IF(C131="","",IF(C136="Futures","",IF(C136="Options Sell",IF(INDEX([1]AB4!V:V,MATCH(A137,[1]AB4!B:B,0))="","",INDEX([1]AB4!W:W,MATCH(A137,[1]AB4!B:B,0))))))</f>
        <v/>
      </c>
      <c r="Z137" s="25" t="str">
        <f t="array" ref="Z137">IF(C131="","",IF(C136="Futures","",IF(C136="Options Sell",IF(INDEX([1]AB4!X:X,MATCH(A137,[1]AB4!B:B,0))="","",INDEX([1]AB4!X:X,MATCH(A137,[1]AB4!B:B,0))))))</f>
        <v/>
      </c>
      <c r="AA137" s="28" t="str">
        <f t="array" ref="AA137">IF(C131="","",IF(C136="Futures","",IF(C136="Options Sell",IF(INDEX([1]AB4!X:X,MATCH(A137,[1]AB4!B:B,0))="","",INDEX([1]AB4!X:X,MATCH(A137,[1]AB4!Y:Y,0))))))</f>
        <v/>
      </c>
      <c r="AB137" s="29"/>
      <c r="AC137" s="29"/>
    </row>
    <row r="138" spans="1:29" ht="42.75" customHeight="1" thickBot="1" x14ac:dyDescent="0.25">
      <c r="A138" s="15" t="str">
        <f>IF(C131="","",CONCATENATE(C132,[1]AB5!$A$11))</f>
        <v>S22D</v>
      </c>
      <c r="B138" s="30" t="str">
        <f>IF(C131="","",[1]AB5!$B$66)</f>
        <v>No. of TGT</v>
      </c>
      <c r="C138" s="31" t="str">
        <f t="array" ref="C138">IF(C131="","",IF(C136="Futures","",IF(C136="Options Sell",INDEX([1]AB2!K:K,MATCH(C131,[1]AB2!A:A,0)))))</f>
        <v>APS</v>
      </c>
      <c r="D138" s="32"/>
      <c r="E138" s="33"/>
      <c r="F138" s="34"/>
      <c r="G138" s="35" t="str">
        <f t="array" ref="G138">IF(C131="","",IF(C136="Futures","",IF(C136="Options Sell",CONCATENATE("( ",INDEX([1]AB4!BT:BT,MATCH(A138,[1]AB4!B:B))," ) &amp; ",INDEX([1]AB4!BW:BW,MATCH(A138,[1]AB4!B:B))," ",INDEX([1]AB4!BX:BX,MATCH(A138,[1]AB4!B:B))," ",INDEX([1]AB4!BY:BY,MATCH(A138,[1]AB4!B:B))),IF(C136="Options Buy",CONCATENATE("( ",INDEX([1]AB4!BP:BP,MATCH(A138,[1]AB4!B:B,0))," ",INDEX([1]AB4!BQ:BQ,MATCH(A138,[1]AB4!B:B,0))," ",TEXT(INDEX([1]AB4!BR:BR,MATCH(A138,[1]AB4!B:B,0)),"0.00%")," ) &amp; ",INDEX([1]AB4!BS:BS,MATCH(A138,[1]AB4!B:B,0)))))))</f>
        <v>( SPT : PRV : 2DLL ) &amp; Round Down - 1</v>
      </c>
      <c r="H138" s="35" t="str">
        <f t="array" ref="H138">IF(C131="","",IF(C136="Futures","",IF(C136="Options Sell",CONCATENATE(INDEX([1]AB4!CG:CG,MATCH(A138,[1]AB4!B:B)),[1]AB5!$H$60,TEXT(INDEX([1]AB4!CH:CH,MATCH(A138,[1]AB4!B:B)),"0.00%")))))</f>
        <v>SPT : PRV : 2DLL * 3.00%</v>
      </c>
      <c r="I138" s="36" t="str">
        <f t="array" ref="I138">IF(C131="","",IF(C136="Futures","",IF(C136="Options Sell",CONCATENATE(INDEX([1]AB4!CJ:CJ,MATCH(A138,[1]AB4!B:B)),[1]AB5!$I$60))))</f>
        <v>1 Exp</v>
      </c>
      <c r="J138" s="33"/>
      <c r="K138" s="34"/>
      <c r="L138" s="37" t="str">
        <f>IF(C131="","",IF(C136="Futures","",IF(C136="Options Sell",[1]AB5!$G$11,IF(C136="Options Buy",[1]AB5!$L$99))))</f>
        <v>SL / TRP</v>
      </c>
      <c r="M138" s="35" t="str">
        <f t="array" ref="M138">IF(C131="","",IF(C136="Futures","",IF(C136="Options Sell",IF(INDEX([1]AB4!AL:AL,MATCH(A138,[1]AB4!B:B,0))="","",CONCATENATE(INDEX([1]AB4!AA:AA,MATCH(A138,[1]AB4!B:B,0))," ( ",INDEX([1]AB4!AE:AE,MATCH(A138,[1]AB4!B:B,0)),INDEX([1]AB4!AF:AF,MATCH(A138,[1]AB4!B:B,0)),TEXT(INDEX([1]AB4!AG:AG,MATCH(A138,[1]AB4!B:B,0)),"0.00%")," &amp; ",INDEX([1]AB4!AK:AK,MATCH(A138,[1]AB4!B:B,0)),INDEX([1]AB4!AJ:AJ,MATCH(A138,[1]AB4!B:B,0)),TEXT(INDEX([1]AB4!AL:AL,MATCH(A138,[1]AB4!B:B,0)),"0.00%")," )")))))</f>
        <v>Min ( CE : Entry  + 60.00% &amp; OPT : PRV : 3DHH + 10.00% )</v>
      </c>
      <c r="N138" s="38">
        <f t="array" ref="N138">IF(C131="","",IF(C136="Futures","",IF(C136="Options Sell",INDEX([1]AB4!AM:AM,MATCH(A138,[1]AB4!B:B,0)))))</f>
        <v>1</v>
      </c>
      <c r="O138" s="35" t="str">
        <f t="array" ref="O138">IF(C131="","",IF(C136="Futures","",IF(C136="Options Sell",IF(INDEX([1]AB4!AO:AO,MATCH(A138,[1]AB4!B:B,0))="","",CONCATENATE(INDEX([1]AB4!AA:AA,MATCH(A138,[1]AB4!B:B,0))," ( ",INDEX([1]AB4!AE:AE,MATCH(A138,[1]AB4!B:B,0))," &amp; ",INDEX([1]AB4!AN:AN,MATCH(A138,[1]AB4!B:B,0)),INDEX([1]AB4!AJ:AJ,MATCH(A138,[1]AB4!B:B,0)),TEXT(INDEX([1]AB4!AO:AO,MATCH(A138,[1]AB4!B:B,0)),"0.00%")," )")))))</f>
        <v/>
      </c>
      <c r="P138" s="39" t="str">
        <f t="array" ref="P138">IF(C131="","",IF(C136="Futures","",IF(C136="Options Sell",IF(INDEX([1]AB4!AO:AO,MATCH(A138,[1]AB4!B:B,0))="","",INDEX([1]AB4!AP:AP,MATCH(A138,[1]AB4!B:B,0))))))</f>
        <v/>
      </c>
      <c r="Q138" s="40"/>
      <c r="R138" s="35" t="str">
        <f t="array" ref="R138">IF(C131="","",IF(C136="Futures","",IF(C136="Options Sell",IF(INDEX([1]AB4!AR:AR,MATCH(A138,[1]AB4!B:B,0))="","",CONCATENATE(INDEX([1]AB4!AA:AA,MATCH(A138,[1]AB4!B:B,0))," ( ",INDEX([1]AB4!AE:AE,MATCH(A138,[1]AB4!B:B,0))," &amp; ",INDEX([1]AB4!AQ:AQ,MATCH(A138,[1]AB4!B:B,0)),INDEX([1]AB4!AJ:AJ,MATCH(A138,[1]AB4!B:B,0)),TEXT(INDEX([1]AB4!AR:AR,MATCH(A138,[1]AB4!B:B,0)),"0.00%")," )")))))</f>
        <v/>
      </c>
      <c r="S138" s="38" t="str">
        <f t="array" ref="S138">IF(C131="","",IF(C136="Futures","",IF(C136="Options Sell",IF(INDEX([1]AB4!AR:AR,MATCH(A138,[1]AB4!B:B,0))="","",INDEX([1]AB4!AS:AS,MATCH(A138,[1]AB4!B:B,0))))))</f>
        <v/>
      </c>
      <c r="T138" s="35" t="str">
        <f t="array" ref="T138">IF(C131="","",IF(C136="Futures","",IF(C136="Options Sell",IF(INDEX([1]AB4!AU:AU,MATCH(A138,[1]AB4!B:B))="","",CONCATENATE(INDEX([1]AB4!AA:AA,MATCH(A138,[1]AB4!B:B))," ( ",INDEX([1]AB4!AE:AE,MATCH(A138,[1]AB4!B:B))," &amp; ",INDEX([1]AB4!AT:AT,MATCH(A138,[1]AB4!B:B)),INDEX([1]AB4!AJ:AJ,MATCH(A138,[1]AB4!B:B)),TEXT(INDEX([1]AB4!AU:AU,MATCH(A138,[1]AB4!B:B)),"0.00%")," )")))))</f>
        <v/>
      </c>
      <c r="U138" s="38" t="str">
        <f t="array" ref="U138">IF(C131="","",IF(C136="Futures","",IF(C136="Options Sell",IF(INDEX([1]AB4!AU:AU,MATCH(A138,[1]AB4!B:B,0))="","",INDEX([1]AB4!AV:AV,MATCH(A138,[1]AB4!B:B,0))))))</f>
        <v/>
      </c>
      <c r="V138" s="35" t="str">
        <f t="array" ref="V138">IF(C137="","",IF(C136="Futures","",IF(C136="Options Sell",IF(INDEX([1]AB4!AX:AX,MATCH(A138,[1]AB4!B:B,0))="","",CONCATENATE(INDEX([1]AB4!AA:AA,MATCH(A138,[1]AB4!B:B,0))," ( ",INDEX([1]AB4!AE:AE,MATCH(A138,[1]AB4!B:B,0))," &amp; ",INDEX([1]AB4!AW:AW,MATCH(A138,[1]AB4!B:B,0)),INDEX([1]AB4!AJ:AJ,MATCH(A138,[1]AB4!B:B,0)),TEXT(INDEX([1]AB4!AX:AX,MATCH(A138,[1]AB4!B:B,0)),"0.00%")," )")))))</f>
        <v/>
      </c>
      <c r="W138" s="38" t="str">
        <f t="array" ref="W138">IF(C131="","",IF(C136="Futures","",IF(C136="Options Sell",IF(INDEX([1]AB4!AX:AX,MATCH(A138,[1]AB4!B:B,0))="","",INDEX([1]AB4!AY:AY,MATCH(A138,[1]AB4!B:B,0))))))</f>
        <v/>
      </c>
      <c r="X138" s="35" t="str">
        <f t="array" ref="X138">IF(C131="","",IF(C136="Futures","",IF(C136="Options Sell",IF(INDEX([1]AB4!BA:BA,MATCH(A138,[1]AB4!B:B,0))="","",CONCATENATE(INDEX([1]AB4!AA:AA,MATCH(A138,[1]AB4!B:B,0))," ( ",INDEX([1]AB4!AE:AE,MATCH(A138,[1]AB4!B:B,0))," &amp; ",INDEX([1]AB4!AW:AW,MATCH(A138,[1]AB4!B:B,0)),INDEX([1]AB4!AJ:AJ,MATCH(A138,[1]AB4!B:B,0)),TEXT(INDEX([1]AB4!AX:AX,MATCH(A138,[1]AB4!B:B,0)),"0.00%")," )")))))</f>
        <v/>
      </c>
      <c r="Y138" s="38" t="str">
        <f t="array" ref="Y138">IF(C131="","",IF(C136="Futures","",IF(C136="Options Sell",IF(INDEX([1]AB4!BA:BA,MATCH(A138,[1]AB4!B:B,0))="","",INDEX([1]AB4!AY:AY,MATCH(A138,[1]AB4!B:B,0))))))</f>
        <v/>
      </c>
      <c r="Z138" s="41">
        <f t="array" ref="Z138">IF(C131="","",IF(C136="Futures","",IF(C136="Options Sell",IF(INDEX([1]AB4!BD:BD,MATCH(A137,[1]AB4!B:B,0))="","",INDEX([1]AB4!AZ:AZ,MATCH(A137,[1]AB4!B:B,0))))))</f>
        <v>0</v>
      </c>
      <c r="AA138" s="42">
        <f t="array" ref="AA138">IF(C137="","",IF(C136="Futures","",IF(C136="Options Sell",IF(INDEX([1]AB4!BD:BD,MATCH(A138,[1]AB4!B:B,0))="","",INDEX([1]AB4!BB:BB,MATCH(A138,[1]AB4!B:B,0))))))</f>
        <v>0</v>
      </c>
      <c r="AB138" s="29"/>
      <c r="AC138" s="29"/>
    </row>
    <row r="139" spans="1:29" ht="6.75" customHeight="1" thickBot="1" x14ac:dyDescent="0.25">
      <c r="A139" s="15" t="str">
        <f>IF(C131="","",CONCATENATE(C132,[1]AB5!A130))</f>
        <v>S22S1</v>
      </c>
      <c r="B139" s="56" t="str">
        <f>IF(C131="","",IF(C136="Futures","",IF(C136="Options Sell",[1]AB5!$B$67)))</f>
        <v>I Commit To Follow The Rules &amp; Process</v>
      </c>
      <c r="C139" s="57"/>
      <c r="D139" s="32"/>
      <c r="E139" s="33"/>
      <c r="F139" s="45"/>
      <c r="G139" s="46"/>
      <c r="H139" s="46"/>
      <c r="I139" s="47"/>
      <c r="J139" s="33"/>
      <c r="K139" s="45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29"/>
      <c r="AC139" s="29"/>
    </row>
    <row r="140" spans="1:29" ht="42.75" customHeight="1" x14ac:dyDescent="0.2">
      <c r="A140" s="15" t="str">
        <f>IF(C131="","",CONCATENATE(C132,[1]AB5!$A$13))</f>
        <v>S22E</v>
      </c>
      <c r="B140" s="32"/>
      <c r="C140" s="33"/>
      <c r="D140" s="32"/>
      <c r="E140" s="33"/>
      <c r="F140" s="50" t="str">
        <f>IF(C131="","",IF(C136="Futures","",IF(C136="Options Sell",[1]AB5!$F$68)))</f>
        <v>Put</v>
      </c>
      <c r="G140" s="20" t="str">
        <f t="array" ref="G140">IF(C131="","",IF(C136="Futures","",IF(C136="Options Sell",CONCATENATE("( ",INDEX([1]AB4!BP:BP,MATCH(A140,[1]AB4!B:B))," ",INDEX([1]AB4!BQ:BQ,MATCH(A140,[1]AB4!B:B))," ",TEXT(INDEX([1]AB4!BR:BR,MATCH(A140,[1]AB4!B:B)),"0.00%")," ) &amp; ",INDEX([1]AB4!BS:BS,MATCH(A140,[1]AB4!B:B))),IF(C136="Options Buy",CONCATENATE("( ",INDEX([1]AB4!BP:BP,MATCH(A140,[1]AB4!B:B,0))," ",INDEX([1]AB4!BQ:BQ,MATCH(A140,[1]AB4!B:B,0))," ",TEXT(INDEX([1]AB4!BR:BR,MATCH(A140,[1]AB4!B:B,0)),"0.00%")," ) &amp; ",INDEX([1]AB4!BS:BS,MATCH(A140,[1]AB4!B:B,0)))))))</f>
        <v>( SPT : PRV : 4DHH - 10.00% ) &amp; Round Up</v>
      </c>
      <c r="H140" s="20" t="str">
        <f t="array" ref="H140">IF(C131="","",IF(C136="Futures","",IF(C136="Options Sell",CONCATENATE(INDEX([1]AB4!CE:CE,MATCH(A140,[1]AB4!B:B)),[1]AB5!$H$59,TEXT(INDEX([1]AB4!CF:CF,MATCH(A140,[1]AB4!B:B)),"0.00%")))))</f>
        <v>SPT : PRV : 4DHH * 4.00%</v>
      </c>
      <c r="I140" s="21" t="str">
        <f t="array" ref="I140">IF(C131="","",IF(C136="Futures","",IF(C136="Options Sell",CONCATENATE(INDEX([1]AB4!CI:CI,MATCH(A140,[1]AB4!B:B)),[1]AB5!$I$59))))</f>
        <v>100 Lots</v>
      </c>
      <c r="J140" s="33"/>
      <c r="K140" s="50" t="str">
        <f>IF(C131="","",IF(C136="Futures","",IF(C136="Options Sell",[1]AB5!$K$68,IF(C136="Options Buy",[1]AB5!$K$101))))</f>
        <v>Put</v>
      </c>
      <c r="L140" s="23" t="str">
        <f>IF(C131="","",IF(C136="Futures","",IF(C136="Options Sell",[1]AB5!$G$13,IF(C136="Options Buy",[1]AB5!$L$101))))</f>
        <v>E &amp; T</v>
      </c>
      <c r="M140" s="20" t="str">
        <f t="array" ref="M140">IF(C131="","",IF(C136="Futures","",IF(C136="Options Sell",CONCATENATE(INDEX([1]AB4!G:G,MATCH(A140,[1]AB4!B:B,0)),INDEX([1]AB4!H:H,MATCH(A140,[1]AB4!B:B,0)),TEXT(INDEX([1]AB4!I:I,MATCH(A140,[1]AB4!B:B,0)),"0.00%")))))</f>
        <v>OPT : PRV : 4DLL - 10.00%</v>
      </c>
      <c r="N140" s="24">
        <f t="array" ref="N140">IF(C131="","",IF(C136="Futures","",IF(C136="Options Sell",INDEX([1]AB4!J:J,MATCH(A140,[1]AB4!B:B,0)))))</f>
        <v>1</v>
      </c>
      <c r="O140" s="25" t="str">
        <f t="array" ref="O140">IF(C131="","",IF(C136="Futures","",IF(C136="Options Sell",IF(INDEX([1]AB4!N:N,MATCH(A140,[1]AB4!B:B,0))="","",CONCATENATE(INDEX([1]AB4!L:L,MATCH(A140,[1]AB4!B:B,0)),INDEX([1]AB4!M:M,MATCH(A140,[1]AB4!B:B,0)),TEXT(INDEX([1]AB4!N:N,MATCH(A140,[1]AB4!B:B,0)),"0.00%"))))))</f>
        <v>PE : Entry  - 60.00%</v>
      </c>
      <c r="P140" s="26">
        <f t="array" ref="P140">IF(C131="","",IF(C136="Futures","",IF(C136="Options Sell",IF(INDEX([1]AB4!N:N,MATCH(A140,[1]AB4!B:B,0))="","",INDEX([1]AB4!O:O,MATCH(A140,[1]AB4!B:B,0))))))</f>
        <v>1</v>
      </c>
      <c r="Q140" s="27"/>
      <c r="R140" s="25" t="str">
        <f t="array" ref="R140">IF(C131="","",IF(C136="Futures","",IF(C136="Options Sell",IF(INDEX([1]AB4!P:P,MATCH(A140,[1]AB4!B:B,0))="","",CONCATENATE(INDEX([1]AB4!L:L,MATCH(A140,[1]AB4!B:B,0)),INDEX([1]AB4!M:M,MATCH(A140,[1]AB4!B:B,0)),TEXT(INDEX([1]AB4!P:P,MATCH(A140,[1]AB4!B:B,0)),"0.00%"))))))</f>
        <v/>
      </c>
      <c r="S140" s="24" t="str">
        <f t="array" ref="S140">IF(C131="","",IF(C136="Futures","",IF(C136="Options Sell",IF(INDEX([1]AB4!P:P,MATCH(A140,[1]AB4!B:B,0))="","",INDEX([1]AB4!Q:Q,MATCH(A140,[1]AB4!B:B,0))))))</f>
        <v/>
      </c>
      <c r="T140" s="25" t="str">
        <f t="array" ref="T140">IF(C131="","",IF(C136="Futures","",IF(C136="Options Sell",IF(INDEX([1]AB4!R:R,MATCH(A140,[1]AB4!B:B,0))="","",CONCATENATE(INDEX([1]AB4!L:L,MATCH(A140,[1]AB4!B:B,0)),INDEX([1]AB4!M:M,MATCH(A140,[1]AB4!B:B,0)),TEXT(INDEX([1]AB4!R:R,MATCH(A140,[1]AB4!B:B,0)),"0.00%"))))))</f>
        <v/>
      </c>
      <c r="U140" s="24" t="str">
        <f t="array" ref="U140">IF(C131="","",IF(C136="Futures","",IF(C136="Options Sell",IF(INDEX([1]AB4!R:R,MATCH(A140,[1]AB4!B:B,0))="","",INDEX([1]AB4!S:S,MATCH(A140,[1]AB4!B:B,0))))))</f>
        <v/>
      </c>
      <c r="V140" s="25" t="str">
        <f t="array" ref="V140">IF(C140="","",IF(C136="Futures","",IF(C136="Options Sell",IF(INDEX([1]AB4!T:T,MATCH(A140,[1]AB4!B:B,0))="","",CONCATENATE(INDEX([1]AB4!L:L,MATCH(A140,[1]AB4!B:B,0)),INDEX([1]AB4!M:M,MATCH(A140,[1]AB4!B:B,0)),TEXT(INDEX([1]AB4!T:T,MATCH(A140,[1]AB4!B:B,0)),"0.00%"))))))</f>
        <v/>
      </c>
      <c r="W140" s="24" t="str">
        <f t="array" ref="W140">IF(C131="","",IF(C136="Futures","",IF(C136="Options Sell",IF(INDEX([1]AB4!T:T,MATCH(A140,[1]AB4!B:B,0))="","",INDEX([1]AB4!U:U,MATCH(A140,[1]AB4!B:B,0))))))</f>
        <v/>
      </c>
      <c r="X140" s="25" t="str">
        <f t="array" ref="X140">IF(C131="","",IF(C136="Futures","",IF(C136="Options Sell",IF(INDEX([1]AB4!V:V,MATCH(A140,[1]AB4!B:B,0))="","",INDEX([1]AB4!V:V,MATCH(A140,[1]AB4!B:B,0))))))</f>
        <v/>
      </c>
      <c r="Y140" s="24" t="str">
        <f t="array" ref="Y140">IF(C131="","",IF(C136="Futures","",IF(C136="Options Sell",IF(INDEX([1]AB4!V:V,MATCH(A140,[1]AB4!B:B,0))="","",INDEX([1]AB4!W:W,MATCH(A140,[1]AB4!B:B,0))))))</f>
        <v/>
      </c>
      <c r="Z140" s="25" t="str">
        <f t="array" ref="Z140">IF(C131="","",IF(C136="Futures","",IF(C136="Options Sell",IF(INDEX([1]AB4!X:X,MATCH(A140,[1]AB4!B:B,0))="","",INDEX([1]AB4!X:X,MATCH(A140,[1]AB4!B:B,0))))))</f>
        <v/>
      </c>
      <c r="AA140" s="28" t="str">
        <f t="array" ref="AA140">IF(C131="","",IF(C136="Futures","",IF(C136="Options Sell",IF(INDEX([1]AB4!X:X,MATCH(A140,[1]AB4!B:B,0))="","",INDEX([1]AB4!X:X,MATCH(A140,[1]AB4!Y:Y,0))))))</f>
        <v/>
      </c>
      <c r="AB140" s="29"/>
      <c r="AC140" s="29"/>
    </row>
    <row r="141" spans="1:29" ht="42.75" customHeight="1" thickBot="1" x14ac:dyDescent="0.25">
      <c r="A141" s="15" t="str">
        <f>IF(C131="","",CONCATENATE(C132,[1]AB5!$A$14))</f>
        <v>S22E</v>
      </c>
      <c r="B141" s="34"/>
      <c r="C141" s="53"/>
      <c r="D141" s="34"/>
      <c r="E141" s="53"/>
      <c r="F141" s="34"/>
      <c r="G141" s="35" t="str">
        <f t="array" ref="G141">IF(C131="","",IF(C136="Futures","",IF(C136="Options Sell",CONCATENATE("( ",INDEX([1]AB4!BT:BT,MATCH(A141,[1]AB4!B:B))," ) &amp; ",INDEX([1]AB4!BW:BW,MATCH(A141,[1]AB4!B:B))," ",INDEX([1]AB4!BX:BX,MATCH(A141,[1]AB4!B:B))," ",INDEX([1]AB4!BY:BY,MATCH(A141,[1]AB4!B:B))),IF(C136="Options Buy",CONCATENATE("( ",INDEX([1]AB4!BP:BP,MATCH(A141,[1]AB4!B:B,0))," ",INDEX([1]AB4!BQ:BQ,MATCH(A141,[1]AB4!B:B,0))," ",TEXT(INDEX([1]AB4!BR:BR,MATCH(A141,[1]AB4!B:B,0)),"0.00%")," ) &amp; ",INDEX([1]AB4!BS:BS,MATCH(A141,[1]AB4!B:B,0)))))))</f>
        <v>( SPT : PRV : 4DHH ) &amp; Round Up + 1</v>
      </c>
      <c r="H141" s="35" t="str">
        <f t="array" ref="H141">IF(C131="","",IF(C136="Futures","",IF(C136="Options Sell",CONCATENATE(INDEX([1]AB4!CG:CG,MATCH(A141,[1]AB4!B:B)),[1]AB5!$H$60,TEXT(INDEX([1]AB4!CH:CH,MATCH(A141,[1]AB4!B:B)),"0.00%")))))</f>
        <v>SPT : PRV : 4DHH * 3.00%</v>
      </c>
      <c r="I141" s="36" t="str">
        <f t="array" ref="I141">IF(C131="","",IF(C136="Futures","",IF(C136="Options Sell",CONCATENATE(INDEX([1]AB4!CJ:CJ,MATCH(A141,[1]AB4!B:B)),[1]AB5!$I$60))))</f>
        <v>1 Exp</v>
      </c>
      <c r="J141" s="53"/>
      <c r="K141" s="34"/>
      <c r="L141" s="37" t="str">
        <f>IF(C131="","",IF(C136="Futures","",IF(C136="Options Sell",[1]AB5!$G$14,IF(C136="Options Buy",[1]AB5!$L$102))))</f>
        <v>SL / TRP</v>
      </c>
      <c r="M141" s="35" t="str">
        <f t="array" ref="M141">IF(C131="","",IF(C136="Futures","",IF(C136="Options Sell",IF(INDEX([1]AB4!AL:AL,MATCH(A141,[1]AB4!B:B,0))="","",CONCATENATE(INDEX([1]AB4!AA:AA,MATCH(A141,[1]AB4!B:B,0))," ( ",INDEX([1]AB4!AE:AE,MATCH(A141,[1]AB4!B:B,0)),INDEX([1]AB4!AF:AF,MATCH(A141,[1]AB4!B:B,0)),TEXT(INDEX([1]AB4!AG:AG,MATCH(A141,[1]AB4!B:B,0)),"0.00%")," &amp; ",INDEX([1]AB4!AK:AK,MATCH(A141,[1]AB4!B:B,0)),INDEX([1]AB4!AJ:AJ,MATCH(A141,[1]AB4!B:B,0)),TEXT(INDEX([1]AB4!AL:AL,MATCH(A141,[1]AB4!B:B,0)),"0.00%")," )")))))</f>
        <v>Min ( PE : Entry  + 60.00% &amp; OPT : PRV : 2DHH + 7.00% )</v>
      </c>
      <c r="N141" s="38">
        <f t="array" ref="N141">IF(C131="","",IF(C136="Futures","",IF(C136="Options Sell",INDEX([1]AB4!AM:AM,MATCH(A141,[1]AB4!B:B,0)))))</f>
        <v>1</v>
      </c>
      <c r="O141" s="35" t="str">
        <f t="array" ref="O141">IF(C131="","",IF(C136="Futures","",IF(C136="Options Sell",IF(INDEX([1]AB4!AO:AO,MATCH(A141,[1]AB4!B:B,0))="","",CONCATENATE(INDEX([1]AB4!AA:AA,MATCH(A141,[1]AB4!B:B,0))," ( ",INDEX([1]AB4!AE:AE,MATCH(A141,[1]AB4!B:B,0))," &amp; ",INDEX([1]AB4!AN:AN,MATCH(A141,[1]AB4!B:B,0)),INDEX([1]AB4!AJ:AJ,MATCH(A141,[1]AB4!B:B,0)),TEXT(INDEX([1]AB4!AO:AO,MATCH(A141,[1]AB4!B:B,0)),"0.00%")," )")))))</f>
        <v/>
      </c>
      <c r="P141" s="39" t="str">
        <f t="array" ref="P141">IF(C131="","",IF(C136="Futures","",IF(C136="Options Sell",IF(INDEX([1]AB4!AO:AO,MATCH(A141,[1]AB4!B:B,0))="","",INDEX([1]AB4!AP:AP,MATCH(A141,[1]AB4!B:B,0))))))</f>
        <v/>
      </c>
      <c r="Q141" s="40"/>
      <c r="R141" s="35" t="str">
        <f t="array" ref="R141">IF(C131="","",IF(C136="Futures","",IF(C136="Options Sell",IF(INDEX([1]AB4!AR:AR,MATCH(A141,[1]AB4!B:B,0))="","",CONCATENATE(INDEX([1]AB4!AA:AA,MATCH(A141,[1]AB4!B:B,0))," ( ",INDEX([1]AB4!AE:AE,MATCH(A141,[1]AB4!B:B,0))," &amp; ",INDEX([1]AB4!AQ:AQ,MATCH(A141,[1]AB4!B:B,0)),INDEX([1]AB4!AJ:AJ,MATCH(A141,[1]AB4!B:B,0)),TEXT(INDEX([1]AB4!AR:AR,MATCH(A141,[1]AB4!B:B,0)),"0.00%")," )")))))</f>
        <v/>
      </c>
      <c r="S141" s="38" t="str">
        <f t="array" ref="S141">IF(C131="","",IF(C136="Futures","",IF(C136="Options Sell",IF(INDEX([1]AB4!AR:AR,MATCH(A141,[1]AB4!B:B,0))="","",INDEX([1]AB4!AS:AS,MATCH(A141,[1]AB4!B:B,0))))))</f>
        <v/>
      </c>
      <c r="T141" s="35" t="str">
        <f t="array" ref="T141">IF(C131="","",IF(C136="Futures","",IF(C136="Options Sell",IF(INDEX([1]AB4!AU:AU,MATCH(A141,[1]AB4!B:B))="","",CONCATENATE(INDEX([1]AB4!AA:AA,MATCH(A141,[1]AB4!B:B))," ( ",INDEX([1]AB4!AE:AE,MATCH(A141,[1]AB4!B:B))," &amp; ",INDEX([1]AB4!AT:AT,MATCH(A141,[1]AB4!B:B)),INDEX([1]AB4!AJ:AJ,MATCH(A141,[1]AB4!B:B)),TEXT(INDEX([1]AB4!AU:AU,MATCH(A141,[1]AB4!B:B)),"0.00%")," )")))))</f>
        <v/>
      </c>
      <c r="U141" s="38" t="str">
        <f t="array" ref="U141">IF(C131="","",IF(C136="Futures","",IF(C136="Options Sell",IF(INDEX([1]AB4!AU:AU,MATCH(A141,[1]AB4!B:B,0))="","",INDEX([1]AB4!AV:AV,MATCH(A141,[1]AB4!B:B,0))))))</f>
        <v/>
      </c>
      <c r="V141" s="35" t="str">
        <f t="array" ref="V141">IF(C140="","",IF(C136="Futures","",IF(C136="Options Sell",IF(INDEX([1]AB4!AX:AX,MATCH(A141,[1]AB4!B:B,0))="","",CONCATENATE(INDEX([1]AB4!AA:AA,MATCH(A141,[1]AB4!B:B,0))," ( ",INDEX([1]AB4!AE:AE,MATCH(A141,[1]AB4!B:B,0))," &amp; ",INDEX([1]AB4!AW:AW,MATCH(A141,[1]AB4!B:B,0)),INDEX([1]AB4!AJ:AJ,MATCH(A141,[1]AB4!B:B,0)),TEXT(INDEX([1]AB4!AX:AX,MATCH(A141,[1]AB4!B:B,0)),"0.00%")," )")))))</f>
        <v/>
      </c>
      <c r="W141" s="38" t="str">
        <f t="array" ref="W141">IF(C131="","",IF(C136="Futures","",IF(C136="Options Sell",IF(INDEX([1]AB4!AX:AX,MATCH(A141,[1]AB4!B:B,0))="","",INDEX([1]AB4!AY:AY,MATCH(A141,[1]AB4!B:B,0))))))</f>
        <v/>
      </c>
      <c r="X141" s="35" t="str">
        <f t="array" ref="X141">IF(C131="","",IF(C136="Futures","",IF(C136="Options Sell",IF(INDEX([1]AB4!BA:BA,MATCH(A141,[1]AB4!B:B,0))="","",CONCATENATE(INDEX([1]AB4!AA:AA,MATCH(A141,[1]AB4!B:B,0))," ( ",INDEX([1]AB4!AE:AE,MATCH(A141,[1]AB4!B:B,0))," &amp; ",INDEX([1]AB4!AW:AW,MATCH(A141,[1]AB4!B:B,0)),INDEX([1]AB4!AJ:AJ,MATCH(A141,[1]AB4!B:B,0)),TEXT(INDEX([1]AB4!AX:AX,MATCH(A141,[1]AB4!B:B,0)),"0.00%")," )")))))</f>
        <v/>
      </c>
      <c r="Y141" s="38" t="str">
        <f t="array" ref="Y141">IF(C131="","",IF(C136="Futures","",IF(C136="Options Sell",IF(INDEX([1]AB4!BA:BA,MATCH(A141,[1]AB4!B:B,0))="","",INDEX([1]AB4!AY:AY,MATCH(A141,[1]AB4!B:B,0))))))</f>
        <v/>
      </c>
      <c r="Z141" s="41">
        <f t="array" ref="Z141">IF(C131="","",IF(C136="Futures","",IF(C136="Options Sell",IF(INDEX([1]AB4!BD:BD,MATCH(A140,[1]AB4!B:B,0))="","",INDEX([1]AB4!AZ:AZ,MATCH(A140,[1]AB4!B:B,0))))))</f>
        <v>0</v>
      </c>
      <c r="AA141" s="42">
        <f t="array" ref="AA141">IF(C131="","",IF(C136="Futures","",IF(C136="Options Sell",IF(INDEX([1]AB4!BD:BD,MATCH(A141,[1]AB4!B:B,0))="","",INDEX([1]AB4!BB:BB,MATCH(A141,[1]AB4!B:B,0))))))</f>
        <v>0</v>
      </c>
      <c r="AB141" s="29"/>
      <c r="AC141" s="29"/>
    </row>
    <row r="142" spans="1:29" ht="15.75" customHeight="1" thickBot="1" x14ac:dyDescent="0.25">
      <c r="A142" s="15"/>
      <c r="B142" s="54"/>
      <c r="C142" s="54"/>
      <c r="D142" s="54"/>
      <c r="E142" s="54"/>
      <c r="F142" s="54"/>
      <c r="G142" s="54"/>
      <c r="H142" s="54"/>
      <c r="I142" s="54"/>
      <c r="J142" s="54"/>
      <c r="K142" s="15"/>
      <c r="L142" s="58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15"/>
      <c r="AB142" s="60"/>
      <c r="AC142" s="60"/>
    </row>
    <row r="143" spans="1:29" ht="44.25" customHeight="1" thickBot="1" x14ac:dyDescent="0.25">
      <c r="A143" s="15"/>
      <c r="B143" s="61" t="str">
        <f>IF(C131="","",IF(C136="Futures","",IF(C136="Options Sell",[1]AB5!$B$71,IF(C136="Options Buy",[1]AB5!$B$104))))</f>
        <v>For Entry</v>
      </c>
      <c r="C143" s="62"/>
      <c r="D143" s="63" t="str">
        <f>IF(C131="","",IF(C136="Futures","",IF(C136="Options Sell",[1]AB5!$D$71,IF(C136="Options Buy",[1]AB5!$D$104))))</f>
        <v>Gap Check</v>
      </c>
      <c r="E143" s="64" t="str">
        <f>IF(C131="","",IF(C136="Futures","",IF(C136="Options Sell",[1]AB5!$E$71,IF(C136="Options Buy",[1]AB5!$E$104))))</f>
        <v>Process</v>
      </c>
      <c r="F143" s="65"/>
      <c r="G143" s="66" t="str">
        <f>IF(C131="","",IF(C136="Futures","",IF(C136="Options Sell",[1]AB5!$G$71,IF(C136="Options Buy",[1]AB5!$G$104))))</f>
        <v>Yes / No</v>
      </c>
      <c r="H143" s="67" t="str">
        <f>IF(C131="","",IF(C136="Futures","",IF(C136="Options Sell",[1]AB5!$H$71,IF(C136="Options Buy",[1]AB5!$H$104))))</f>
        <v>Order Status</v>
      </c>
      <c r="I143" s="68" t="str">
        <f>IF(C131="","",IF(C136="Futures","",IF(C136="Options Sell",[1]AB5!$I$71,IF(C136="Options Buy",[1]AB5!$D$92))))</f>
        <v>Step 1</v>
      </c>
      <c r="J143" s="69" t="str">
        <f>IF(C131="","",IF(C136="Futures","",IF(C136="Options Sell",[1]AB5!$J$71,IF(C136="Options Buy",[1]AB5!$J$104))))</f>
        <v>Order Placement Timings</v>
      </c>
      <c r="K143" s="65"/>
      <c r="L143" s="70" t="str">
        <f>IF(C131="","",IF(C136="Futures","",IF(C136="Options Sell",[1]AB5!$L$71,IF(C136="Options Buy",[1]AB5!$L$104))))</f>
        <v>Time</v>
      </c>
      <c r="M143" s="68" t="str">
        <f>IF(C131="","",IF(C136="Futures","",IF(C136="Options Sell",[1]AB5!$M$71,IF(C136="Options Buy",[1]AB5!$M$104))))</f>
        <v>Rules For Gap = Step 1 Start Strike</v>
      </c>
      <c r="N143" s="66" t="str">
        <f>IF(C131="","",IF(C136="Futures","",IF(C136="Options Sell",[1]AB5!$N$71,IF(C136="Options Buy",[1]AB5!$N$104))))</f>
        <v>Start Strike Buffer</v>
      </c>
      <c r="O143" s="68" t="str">
        <f>IF(C131="","",IF(C136="Futures","",IF(C136="Options Sell",[1]AB5!$O$71,IF(C136="Options Buy",[1]AB5!$O$104))))</f>
        <v>Rules For Gap = Step 2 End Strike</v>
      </c>
      <c r="P143" s="69" t="str">
        <f>IF(C131="","",IF(C136="Futures","",IF(C136="Options Sell",[1]AB5!$P$71,IF(C136="Options Buy",[1]AB5!$P$104))))</f>
        <v>End Strike Buffer</v>
      </c>
      <c r="Q143" s="65"/>
      <c r="R143" s="65"/>
      <c r="S143" s="71" t="str">
        <f>IF(C131="","",IF(C136="Futures","",IF(C136="Options Sell",[1]AB5!$S$71,IF(C136="Options Buy",[1]AB5!$S$104))))</f>
        <v>Data</v>
      </c>
      <c r="T143" s="72" t="str">
        <f>IF(C131="","",IF(C136="Futures","",IF(C136="Options Sell",[1]AB5!$T$71,IF(C136="Options Buy",[1]AB5!$T$104))))</f>
        <v xml:space="preserve"> Ideal Premium</v>
      </c>
      <c r="U143" s="65"/>
      <c r="V143" s="68" t="str">
        <f>IF(C131="","",IF(C136="Futures","",IF(C136="Options Sell",[1]AB5!$V$71,IF(C136="Options Buy",[1]AB5!$V$104))))</f>
        <v>Minimum Premium</v>
      </c>
      <c r="W143" s="68" t="str">
        <f>IF(C131="","",IF(C136="Futures","",IF(C136="Options Sell",[1]AB5!$W$71,IF(C136="Options Buy",[1]AB5!$W$104))))</f>
        <v>Minimum OI</v>
      </c>
      <c r="X143" s="73" t="str">
        <f>IF(C131="","",IF(C136="Futures","",IF(C136="Options Sell",[1]AB5!$X$71,IF(C136="Options Buy",[1]AB5!$X$104))))</f>
        <v>Rules For Gap = Step 3 Revised Option Entry</v>
      </c>
      <c r="Y143" s="65"/>
      <c r="Z143" s="68" t="str">
        <f>IF(C131="","",IF(C136="Futures","",IF(C136="Options Sell",[1]AB5!$Z$71,[1]AB5!$Z$104)))</f>
        <v>Data</v>
      </c>
      <c r="AA143" s="74" t="str">
        <f>IF(C131="","",IF(C136="Futures","",IF(C136="Options Sell",[1]AB5!$AA$71,IF(C136="Options Buy",[1]AB5!$AA$104))))</f>
        <v>Buffer</v>
      </c>
      <c r="AB143" s="75"/>
      <c r="AC143" s="75"/>
    </row>
    <row r="144" spans="1:29" ht="44.25" customHeight="1" x14ac:dyDescent="0.2">
      <c r="A144" s="15" t="str">
        <f>IF(C131="","",CONCATENATE(C132,[1]AB5!$A$4))</f>
        <v>S22A</v>
      </c>
      <c r="B144" s="76" t="str">
        <f>IF(C131="","",IF(C136="Futures","",IF(C136="Options Sell",[1]AB5!$B$72,IF(C136="Options Buy",[1]AB5!$B$105))))</f>
        <v xml:space="preserve">ORPT </v>
      </c>
      <c r="C144" s="77" t="str">
        <f>IF(C131="","",IF(C136="Futures","",IF(C136="Options Sell",[1]AB5!$C$72,IF(C136="Options Buy",[1]AB5!$C$105))))</f>
        <v xml:space="preserve"> RC. Time</v>
      </c>
      <c r="D144" s="18" t="str">
        <f>IF(C131="","",IF(C136="Futures","",IF(C136="Options Sell",[1]AB5!$D$72,IF(C136="Options Buy",[1]AB5!$D$105))))</f>
        <v>For Call Sell Entry</v>
      </c>
      <c r="E144" s="78" t="str">
        <f>IF(C131="","",IF(C136="Futures","",IF(C136="Options Sell",CONCATENATE([1]AB5!$E$72,TEXT(B145,"HH:MM:SS AM/PM"),[1]AB5!$F$72))))</f>
        <v>Check If 09:24:59 AM LL &lt; Call Sell Entry</v>
      </c>
      <c r="F144" s="79"/>
      <c r="G144" s="80" t="str">
        <f>IF(C131="","",IF(C136="Futures","",IF(C136="Options Sell",[1]AB5!$G$72,IF(C136="Options Buy",[1]AB5!$G$105))))</f>
        <v>No</v>
      </c>
      <c r="H144" s="81" t="str">
        <f>IF(C131="","",IF(C136="Futures","",IF(C136="Options Sell",[1]AB5!$H$72)))</f>
        <v>Entry Not Missed</v>
      </c>
      <c r="I144" s="82" t="str">
        <f>IF(C131="","",IF(C136="Futures","",IF(C136="Options Sell",[1]AB5!$I$72)))</f>
        <v>Place the Order at ORPT</v>
      </c>
      <c r="J144" s="83" t="str">
        <f>IF(C131="","",IF(C136="Futures","",IF(C136="Options Sell",[1]AB5!$J$72)))</f>
        <v>ORPT Time</v>
      </c>
      <c r="K144" s="27"/>
      <c r="L144" s="84">
        <f>IF(C131="","",IF(C136="Futures","",IF(C136="Options Sell",B145)))</f>
        <v>0.39235416666666667</v>
      </c>
      <c r="M144" s="85" t="str">
        <f>IF(C131="","",IF(C136="Futures","",IF(C136="Options Sell",[1]AB5!$M$72)))</f>
        <v>N.A.</v>
      </c>
      <c r="N144" s="86" t="str">
        <f>IF(C131="","",IF(C136="Futures","",IF(C136="Options Sell",[1]AB5!$N$72)))</f>
        <v>N.A.</v>
      </c>
      <c r="O144" s="85" t="str">
        <f>IF(C131="","",IF(C136="Futures","",IF(C136="Options Sell",[1]AB5!$O$72)))</f>
        <v>N.A.</v>
      </c>
      <c r="P144" s="87" t="str">
        <f>IF(C131="","",IF(C136="Futures","",IF(C136="Options Sell",[1]AB5!$P$72)))</f>
        <v>N.A.</v>
      </c>
      <c r="Q144" s="88"/>
      <c r="R144" s="27"/>
      <c r="S144" s="89" t="str">
        <f>IF(C131="","",IF(C136="Futures","",IF(C136="Options Sell",[1]AB5!$S$72)))</f>
        <v>N.A.</v>
      </c>
      <c r="T144" s="90" t="str">
        <f>IF(C131="","",IF(C136="Futures","",IF(C136="Options Sell",[1]AB5!$T$72)))</f>
        <v>N.A.</v>
      </c>
      <c r="U144" s="27"/>
      <c r="V144" s="91" t="str">
        <f>IF(C131="","",IF(C136="Futures","",IF(C136="Options Sell",[1]AB5!$V$72)))</f>
        <v>N.A.</v>
      </c>
      <c r="W144" s="91" t="str">
        <f>IF(C131="","",IF(C136="Futures","",IF(C136="Options Sell",[1]AB5!$W$72)))</f>
        <v>N.A.</v>
      </c>
      <c r="X144" s="83" t="str">
        <f>IF(C131="","",IF(C136="Futures","",IF(C136="Options Sell",[1]AB5!$X$72)))</f>
        <v>N.A.</v>
      </c>
      <c r="Y144" s="27"/>
      <c r="Z144" s="89" t="str">
        <f>IF(C131="","",IF(C136="Futures","",IF(C136="Options Sell",[1]AB5!$Z$72)))</f>
        <v>N.A.</v>
      </c>
      <c r="AA144" s="92" t="str">
        <f>IF(C131="","",IF(C136="Futures","",IF(C136="Options Sell",[1]AB5!$AA$72)))</f>
        <v>N.A.</v>
      </c>
      <c r="AB144" s="75"/>
      <c r="AC144" s="75"/>
    </row>
    <row r="145" spans="1:29" ht="57" customHeight="1" x14ac:dyDescent="0.2">
      <c r="A145" s="93" t="str">
        <f>IF(C131="","",CONCATENATE(C132,[1]AB5!$A$7))</f>
        <v>S22B</v>
      </c>
      <c r="B145" s="94">
        <f t="array" ref="B145">IF(C131="","",INDEX([1]AB4!BE:BE,MATCH(A144,[1]AB4!B:B,0)))</f>
        <v>0.39235416666666667</v>
      </c>
      <c r="C145" s="95">
        <f t="array" ref="C145">IF(C131="","", INDEX([1]AB4!BE:BE,MATCH(A145,[1]AB4!B:B,0)))</f>
        <v>0.39582638888888888</v>
      </c>
      <c r="D145" s="32"/>
      <c r="E145" s="96"/>
      <c r="F145" s="97"/>
      <c r="G145" s="98" t="str">
        <f>IF(C131="","",IF(C136="Futures","",IF(C136="Options Sell",[1]AB5!$G$73,IF(C136="Options Buy",[1]AB5!$G$106))))</f>
        <v>Yes</v>
      </c>
      <c r="H145" s="99" t="str">
        <f>IF(C131="","",IF(C136="Futures","",IF(C136="Options Sell",[1]AB5!$H$73)))</f>
        <v>Entry Missed</v>
      </c>
      <c r="I145" s="100" t="str">
        <f>IF(C131="","",IF(C136="Futures","",IF(C136="Options Sell",[1]AB5!$I$73)))</f>
        <v>Recalcuate : Call Sell Entry : Bull / Bull CF</v>
      </c>
      <c r="J145" s="101" t="str">
        <f>IF(C131="","",IF(C136="Futures","",IF(C136="Options Sell",[1]AB5!$J$73)))</f>
        <v>Wait Till Recalculation Time</v>
      </c>
      <c r="K145" s="102"/>
      <c r="L145" s="103">
        <f>IF(C131="","",IF(C136="Futures","",IF(C136="Options Sell",C145)))</f>
        <v>0.39582638888888888</v>
      </c>
      <c r="M145" s="104" t="str">
        <f t="array" ref="M145">IF(C131="","",IF(C136="Futures","",IF(C136="Options Sell",CONCATENATE([1]AB5!$M$73, "( ",INDEX([1]AB4!BP:BP,MATCH(A131,[1]AB4!B:B,0))," &amp; ",S145," ) ",INDEX([1]AB4!BQ:BQ,MATCH(A131,[1]AB4!B:B))," ",N145," ) &amp; ",INDEX([1]AB4!BS:BS,MATCH(A131,[1]AB4!B:B,0))))))</f>
        <v>Min of ( SPT : PRV : 4DLL &amp; 09:29:59 AM LL ) + 10.00% ) &amp; Round Down</v>
      </c>
      <c r="N145" s="105" t="str">
        <f t="array" ref="N145">IF(A131="","",IF(C136="Futures","",IF(C136="Options Sell",TEXT(INDEX([1]AB4!CR:CR,MATCH(A131,[1]AB4!B:B,0)),"0.00%"))))</f>
        <v>10.00%</v>
      </c>
      <c r="O145" s="104" t="str">
        <f t="array" ref="O145">IF(C131="","",IF(C136="Futures","",IF(C136="Options Sell",CONCATENATE([1]AB5!$O$73,"( ",INDEX([1]AB4!BT:BT,MATCH(A131,[1]AB4!B:B,0))," &amp; ",S145," ) &amp; ",INDEX([1]AB4!BW:BW,MATCH(A131,[1]AB4!B:B,0))," ",INDEX([1]AB4!BX:BX,MATCH(A131,[1]AB4!B:B,0))," ",INDEX([1]AB4!BY:BY,MATCH(A131,[1]AB4!B:B,0))))))</f>
        <v>Min of ( SPT : PRV : 4DLL &amp; 09:29:59 AM LL ) &amp; Round Down - 1</v>
      </c>
      <c r="P145" s="106" t="str">
        <f t="array" ref="P145">IF(A131="","",IF(C136="Futures","",IF(C136="Options Sell",IF(INDEX([1]AB4!CS:CS,MATCH(A131,[1]AB4!B:B,0))="","",TEXT(INDEX([1]AB4!CS:CS,MATCH(A131,[1]AB4!B:B,0)),"0.00%")))))</f>
        <v/>
      </c>
      <c r="Q145" s="107"/>
      <c r="R145" s="102"/>
      <c r="S145" s="105" t="str">
        <f>IF(C131="","",IF(C136="Futures","",IF(C136="Options Sell",CONCATENATE(TEXT(L145,"HH:MM:SS AM/PM"),[1]AB5!$S$73))))</f>
        <v>09:29:59 AM LL</v>
      </c>
      <c r="T145" s="101" t="str">
        <f t="array" ref="T145">IF(C131="","",IF(C136="Futures","",IF(C136="Options Sell",CONCATENATE([1]AB5!$T$73,"( ",INDEX([1]AB4!CE:CE,MATCH(A131,[1]AB4!B:B,0))," &amp; ",S145," ) ",[1]AB5!$H$59,TEXT(INDEX([1]AB4!CF:CF,MATCH(A131,[1]AB4!B:B,0)),"0.00%")))))</f>
        <v>Min of ( SPT : PRV : 4DLL &amp; 09:29:59 AM LL )  * 4.00%</v>
      </c>
      <c r="U145" s="102"/>
      <c r="V145" s="104" t="str">
        <f t="array" ref="V145">IF(C131="","",IF(C136="Futures","",IF(C136="Options Sell",CONCATENATE([1]AB5!$V$73,"( ",INDEX([1]AB4!CG:CG,MATCH(A131,[1]AB4!B:B,0))," &amp; ",S145," ) ",[1]AB5!$H$59,TEXT(INDEX([1]AB4!CH:CH,MATCH(A131,[1]AB4!B:B,0)),"0.00%")))))</f>
        <v>Min of ( SPT : PRV : 4DLL &amp; 09:29:59 AM LL )  * 3.00%</v>
      </c>
      <c r="W145" s="104" t="str">
        <f>IF(A131="","",IF(C136="Futures","",IF(C136="Options Sell",I131)))</f>
        <v>100 Lots</v>
      </c>
      <c r="X145" s="101" t="str">
        <f t="array" ref="X145">IF(C131="","",IF(C136="Futures","",IF(C136="Options Sell",CONCATENATE([1]AB5!$X$73,"( ",INDEX([1]AB4!G:G,MATCH(A131,[1]AB4!B:B,0))," &amp; ",Z145," ) ",INDEX([1]AB4!H:H,MATCH(A131,[1]AB4!B:B,0))," ",AA145))))</f>
        <v>Min of ( OPT : PRV : 4DLL &amp; 09:29:59 AM LL )  -  10.00%</v>
      </c>
      <c r="Y145" s="102"/>
      <c r="Z145" s="108" t="str">
        <f>IF(C131="","",IF(C136="Futures","",IF(C136="Options Sell",CONCATENATE(TEXT(L145,"HH:MM:SS AM/PM"),[1]AB5!$S$73))))</f>
        <v>09:29:59 AM LL</v>
      </c>
      <c r="AA145" s="109" t="str">
        <f t="array" ref="AA145">IF(A131="","",IF(C136="Futures","",IF(C136="Options Sell",TEXT(INDEX([1]AB4!BK:BK,MATCH(A131,[1]AB4!B:B,0)),"0.00%"))))</f>
        <v>10.00%</v>
      </c>
      <c r="AB145" s="75"/>
      <c r="AC145" s="75"/>
    </row>
    <row r="146" spans="1:29" ht="57" customHeight="1" thickBot="1" x14ac:dyDescent="0.25">
      <c r="A146" s="15"/>
      <c r="B146" s="110"/>
      <c r="C146" s="111"/>
      <c r="D146" s="112"/>
      <c r="E146" s="12"/>
      <c r="F146" s="13"/>
      <c r="G146" s="14"/>
      <c r="H146" s="14"/>
      <c r="I146" s="100" t="str">
        <f>IF(C131="","",IF(C136="Futures","",IF(C136="Options Sell",[1]AB5!$I$74)))</f>
        <v>Recalcuate : Call Sell Entry : Bear / Bear CF</v>
      </c>
      <c r="J146" s="101" t="str">
        <f>IF(C131="","",IF(C136="Futures","",IF(C136="Options Sell",[1]AB5!$J$74)))</f>
        <v>Wait Till Recalculation Time</v>
      </c>
      <c r="K146" s="102"/>
      <c r="L146" s="103">
        <f>IF(C131="","",IF(C136="Futures","",IF(C136="Options Sell",C145)))</f>
        <v>0.39582638888888888</v>
      </c>
      <c r="M146" s="104" t="str">
        <f t="array" ref="M146">IF(C131="","",IF(C136="Futures","",IF(C136="Options Sell",CONCATENATE([1]AB5!$M$74,"( ",INDEX([1]AB4!BP:BP,MATCH(A137,[1]AB4!B:B,0))," &amp; ",S146," ) ",INDEX([1]AB4!BQ:BQ,MATCH(A137,[1]AB4!B:B,0))," ",N146," ) &amp; ",INDEX([1]AB4!BS:BS,MATCH(A137,[1]AB4!B:B,0))))))</f>
        <v>Min of ( SPT : PRV : 2DLL &amp; 09:29:59 AM LL ) + 10.00% ) &amp; Round Down</v>
      </c>
      <c r="N146" s="105" t="str">
        <f t="array" ref="N146">IF(A131="","",IF(C136="Futures","",IF(C136="Options Sell",TEXT(INDEX([1]AB4!CR:CR,MATCH(A137,[1]AB4!B:B,0)),"0.00%"))))</f>
        <v>10.00%</v>
      </c>
      <c r="O146" s="104" t="str">
        <f t="array" ref="O146">IF(C131="","",IF(C136="Futures","",IF(C136="Options Sell",CONCATENATE([1]AB5!$O$74,"( ",INDEX([1]AB4!BT:BT,MATCH(A137,[1]AB4!B:B,0))," &amp; ",S146," ) &amp; ",INDEX([1]AB4!BW:BW,MATCH(A137,[1]AB4!B:B,0))," ",INDEX([1]AB4!BX:BX,MATCH(A137,[1]AB4!B:B,0))," ",INDEX([1]AB4!BY:BY,MATCH(A137,[1]AB4!B:B,0))))))</f>
        <v>Min of ( SPT : PRV : 2DLL &amp; 09:29:59 AM LL ) &amp; Round Down - 1</v>
      </c>
      <c r="P146" s="106" t="str">
        <f t="array" ref="P146">IF(A131="","",IF(C136="Futures","",IF(C136="Options Sell",IF(INDEX([1]AB4!CS:CS,MATCH(A137,[1]AB4!B:B,0))="","",TEXT(INDEX([1]AB4!CS:CS,MATCH(A137,[1]AB4!B:B,0)),"0.00%")))))</f>
        <v/>
      </c>
      <c r="Q146" s="107"/>
      <c r="R146" s="102"/>
      <c r="S146" s="105" t="str">
        <f>IF(C131="","",IF(C136="Futures","",IF(C136="Options Sell",CONCATENATE(TEXT(L146,"HH:MM:SS AM/PM"),[1]AB5!$S$74))))</f>
        <v>09:29:59 AM LL</v>
      </c>
      <c r="T146" s="101" t="str">
        <f t="array" ref="T146">IF(C131="","",IF(C136="Futures","",IF(C136="Options Sell",CONCATENATE([1]AB5!$T$74," of ( ",INDEX([1]AB4!CE:CE,MATCH(A137,[1]AB4!B:B,0))," &amp; ",S145," ) ",[1]AB5!$H$59,TEXT(INDEX([1]AB4!CF:CF,MATCH(A137,[1]AB4!B:B,0)),"0.00%")))))</f>
        <v>Min of  of ( SPT : PRV : 2DLL &amp; 09:29:59 AM LL )  * 4.00%</v>
      </c>
      <c r="U146" s="102"/>
      <c r="V146" s="104" t="str">
        <f t="array" ref="V146">IF(C131="","",IF(C136="Futures","",IF(C136="Options Sell",CONCATENATE([1]AB5!$V$74,"( ",INDEX([1]AB4!CG:CG,MATCH(A137,[1]AB4!B:B,0))," &amp; ",S146," ) ",[1]AB5!$H$59,TEXT(INDEX([1]AB4!CH:CH,MATCH(A137,[1]AB4!B:B,0)),"0.00%")))))</f>
        <v>Min of ( SPT : PRV : 2DLL &amp; 09:29:59 AM LL )  * 3.00%</v>
      </c>
      <c r="W146" s="104" t="str">
        <f>IF(A131="","",IF(C136="Futures","",IF(C136="Options Sell",I137)))</f>
        <v>100 Lots</v>
      </c>
      <c r="X146" s="101" t="str">
        <f t="array" ref="X146">IF(C131="","",IF(C136="Futures","",IF(C136="Options Sell",CONCATENATE([1]AB5!$X$74,"( ",INDEX([1]AB4!G:G,MATCH(A137,[1]AB4!B:B,0))," &amp; ",Z146," ) ", INDEX([1]AB4!H:H,MATCH(A137,[1]AB4!B:B,0))," ",AA146))))</f>
        <v>Min of ( OPT : PRV : 2DLL &amp; 09:29:59 AM LL )  -  10.00%</v>
      </c>
      <c r="Y146" s="102"/>
      <c r="Z146" s="108" t="str">
        <f>IF(C131="","",IF(C136="Futures","",IF(C136="Options Sell",CONCATENATE(TEXT(L146,"HH:MM:SS AM/PM"), [1]AB5!$S$74))))</f>
        <v>09:29:59 AM LL</v>
      </c>
      <c r="AA146" s="109" t="str">
        <f t="array" ref="AA146">IF(A131="","",IF(C136="Futures","",IF(C136="Options Sell",TEXT(INDEX([1]AB4!BK:BK,MATCH(A137,[1]AB4!B:B,0)),"0.00%"))))</f>
        <v>10.00%</v>
      </c>
      <c r="AB146" s="75"/>
      <c r="AC146" s="75"/>
    </row>
    <row r="147" spans="1:29" ht="44.25" customHeight="1" x14ac:dyDescent="0.2">
      <c r="A147" s="15"/>
      <c r="B147" s="113" t="str">
        <f>IF(C131="","",IF(C136="Futures","",IF(C136="Options Sell",[1]AB5!$B$75,IF(C136="Options Buy",[1]AB5!$B$108))))</f>
        <v>For SL (Position = Open)</v>
      </c>
      <c r="C147" s="114"/>
      <c r="D147" s="115" t="str">
        <f>IF(C131="","",IF(C136="Futures","",IF(C136="Options Sell",[1]AB5!$D$75,IF(C136="Options Buy",[1]AB5!$D$108))))</f>
        <v>For Put Sell Entry</v>
      </c>
      <c r="E147" s="116" t="str">
        <f>IF(C131="","",IF(C136="Futures","",IF(C136="Options Sell",CONCATENATE([1]AB5!$E$75,TEXT(B145,"HH:MM:SS AM/PM"),[1]AB5!$F$75))))</f>
        <v>Check If 09:24:59 AM LL &lt; Put Sell Entry</v>
      </c>
      <c r="F147" s="4"/>
      <c r="G147" s="117" t="str">
        <f>IF(C131="","",IF(C136="Futures","",IF(C136="Options Sell",[1]AB5!$G$75,IF(C136="Options Buy",[1]AB5!$G$108))))</f>
        <v>No</v>
      </c>
      <c r="H147" s="118" t="str">
        <f>IF(C131="","",IF(C136="Futures","",IF(C136="Options Sell",[1]AB5!$H$75)))</f>
        <v>Entry Not Missed</v>
      </c>
      <c r="I147" s="119" t="str">
        <f>IF(C131="","",IF(C136="Futures","",IF(C136="Options Sell",[1]AB5!$I$75)))</f>
        <v>Place the Order at ORPT</v>
      </c>
      <c r="J147" s="120" t="str">
        <f>IF(C131="","",IF(C136="Futures","",IF(C136="Options Sell",[1]AB5!$J$75)))</f>
        <v>ORPT Time</v>
      </c>
      <c r="K147" s="102"/>
      <c r="L147" s="121">
        <f>IF(C131="","",IF(C136="Futures","",IF(C136="Options Sell",B145)))</f>
        <v>0.39235416666666667</v>
      </c>
      <c r="M147" s="118" t="str">
        <f>IF(C131="","",IF(C136="Futures","",IF(C136="Options Sell",[1]AB5!$M$75)))</f>
        <v>N.A.</v>
      </c>
      <c r="N147" s="122" t="str">
        <f>IF(C131="","",IF(C136="Futures","",IF(C136="Options Sell",[1]AB5!$N$75)))</f>
        <v>N.A.</v>
      </c>
      <c r="O147" s="118" t="str">
        <f>IF(C131="","",IF(C136="Futures","",IF(C136="Options Sell",[1]AB5!$O$75)))</f>
        <v>N.A.</v>
      </c>
      <c r="P147" s="123" t="str">
        <f>IF(C131="","",IF(C136="Futures","",IF(C136="Options Sell",[1]AB5!$P$75)))</f>
        <v>N.A.</v>
      </c>
      <c r="Q147" s="107"/>
      <c r="R147" s="102"/>
      <c r="S147" s="118" t="str">
        <f>IF(C131="","",IF(C136="Futures","",IF(C136="Options Sell",[1]AB5!$S$75)))</f>
        <v>N.A.</v>
      </c>
      <c r="T147" s="124" t="str">
        <f>IF(C131="","",IF(C136="Futures","",IF(C136="Options Sell",[1]AB5!$T$75)))</f>
        <v>N.A.</v>
      </c>
      <c r="U147" s="102"/>
      <c r="V147" s="125" t="str">
        <f>IF(C131="","",IF(C136="Futures","",IF(C136="Options Sell",[1]AB5!$V$75)))</f>
        <v>N.A.</v>
      </c>
      <c r="W147" s="125" t="str">
        <f>IF(C131="","",IF(C136="Futures","",IF(C136="Options Sell",[1]AB5!$W$75)))</f>
        <v>N.A.</v>
      </c>
      <c r="X147" s="120" t="str">
        <f>IF(C131="","",IF(C136="Futures","",IF(C136="Options Sell",[1]AB5!$X$75)))</f>
        <v>N.A.</v>
      </c>
      <c r="Y147" s="102"/>
      <c r="Z147" s="126" t="str">
        <f>IF(C131="","",IF(C136="Futures","",IF(C136="Options Sell",[1]AB5!$Z$75)))</f>
        <v>N.A.</v>
      </c>
      <c r="AA147" s="127" t="str">
        <f>IF(C131="","",IF(C136="Futures","",IF(C136="Options Sell",[1]AB5!$AA$75)))</f>
        <v>N.A.</v>
      </c>
      <c r="AB147" s="75"/>
      <c r="AC147" s="75"/>
    </row>
    <row r="148" spans="1:29" ht="57" customHeight="1" x14ac:dyDescent="0.2">
      <c r="A148" s="15" t="str">
        <f>IF(C131="","",CONCATENATE(C132,[1]AB5!$A$4))</f>
        <v>S22A</v>
      </c>
      <c r="B148" s="128" t="str">
        <f>IF(C131="","",IF(C136="Futures","",IF(C136="Options Sell",[1]AB5!$B$76,IF(C136="Options Buy",[1]AB5!$B$109))))</f>
        <v xml:space="preserve">ORPT </v>
      </c>
      <c r="C148" s="129" t="str">
        <f>IF(C131="","",IF(C136="Futures","",IF(C136="Options Sell",[1]AB5!$C$76,IF(C136="Options Buy",[1]AB5!$C$109))))</f>
        <v xml:space="preserve"> RC. Time</v>
      </c>
      <c r="D148" s="32"/>
      <c r="E148" s="96"/>
      <c r="F148" s="97"/>
      <c r="G148" s="130" t="str">
        <f>IF(C131="","",IF(C136="Futures","",IF(C136="Options Sell",[1]AB5!$G$76,IF(C136="Options Buy",[1]AB5!$G$109))))</f>
        <v>Yes</v>
      </c>
      <c r="H148" s="131" t="str">
        <f>IF(C131="","",IF(C136="Futures","",IF(C136="Options Sell",[1]AB5!$H$76)))</f>
        <v>Entry Missed</v>
      </c>
      <c r="I148" s="119" t="str">
        <f>IF(C131="","",IF(C136="Futures","",IF(C136="Options Sell",[1]AB5!$I$76)))</f>
        <v>Recalcuate : Put Sell Entry : Bull / Bull CF</v>
      </c>
      <c r="J148" s="120" t="str">
        <f>IF(C131="","",IF(C136="Futures","",IF(C136="Options Sell",[1]AB5!$J$76)))</f>
        <v>Wait Till Recalculation Time</v>
      </c>
      <c r="K148" s="102"/>
      <c r="L148" s="121">
        <f>IF(C131="","",IF(C136="Futures","",IF(C136="Options Sell",C145)))</f>
        <v>0.39582638888888888</v>
      </c>
      <c r="M148" s="118" t="str">
        <f t="array" ref="M148">IF(C131="","",IF(C136="Futures","",IF(C136="Options Sell",CONCATENATE([1]AB5!$M$76, "( ",INDEX([1]AB4!BP:BP,MATCH(A134,[1]AB4!B:B,0))," &amp; ",S148," ) ",INDEX([1]AB4!BQ:BQ,MATCH(A134,[1]AB4!B:B,0))," ",N148," ) &amp; ",INDEX([1]AB4!BS:BS,MATCH(A134,[1]AB4!B:B,0))))))</f>
        <v>Max of ( SPT : PRV : 2DHH &amp; 09:29:59 AM LL ) - 10.00% ) &amp; Round Up</v>
      </c>
      <c r="N148" s="122" t="str">
        <f t="array" ref="N148">IF(A131="","",IF(C136="Futures","",IF(C136="Options Sell",TEXT(INDEX([1]AB4!CR:CR,MATCH(A134,[1]AB4!B:B,0)),"0.00%"))))</f>
        <v>10.00%</v>
      </c>
      <c r="O148" s="118" t="str">
        <f t="array" ref="O148">IF(C131="","",IF(C136="Futures","",IF(C136="Options Sell",CONCATENATE([1]AB5!$O$76,"( ",INDEX([1]AB4!BT:BT,MATCH(A134,[1]AB4!B:B,0))," &amp; ",S148," ) &amp; ",INDEX([1]AB4!BW:BW,MATCH(A134,[1]AB4!B:B,0))," ",INDEX([1]AB4!BX:BX,MATCH(A134,[1]AB4!B:B,0))," ",INDEX([1]AB4!BY:BY,MATCH(A134,[1]AB4!B:B,0))))))</f>
        <v>Max of ( SPT : PRV : 2DHH &amp; 09:29:59 AM LL ) &amp; Round Up + 1</v>
      </c>
      <c r="P148" s="123" t="str">
        <f t="array" ref="P148">IF(A131="","",IF(C136="Futures","",IF(C136="Options Sell",IF(INDEX([1]AB4!CS:CS,MATCH(A134,[1]AB4!B:B,0))="","",TEXT(INDEX([1]AB4!CS:CS,MATCH(A134,[1]AB4!B:B,0)),"0.00%")))))</f>
        <v/>
      </c>
      <c r="Q148" s="107"/>
      <c r="R148" s="102"/>
      <c r="S148" s="132" t="str">
        <f>IF(C131="","",IF(C136="Futures","",IF(C136="Options Sell",CONCATENATE(TEXT(L148,"HH:MM:SS AM/PM"),[1]AB5!$S$76))))</f>
        <v>09:29:59 AM LL</v>
      </c>
      <c r="T148" s="120" t="str">
        <f t="array" ref="T148">IF(C131="","",IF(C136="Futures","",IF(C136="Options Sell",CONCATENATE([1]AB5!$T$76,"( ",INDEX([1]AB4!CE:CE,MATCH(A134,[1]AB4!B:B,0))," &amp; ",S148," ) ",[1]AB5!$H$59,TEXT(INDEX([1]AB4!CF:CF,MATCH(A134,[1]AB4!B:B,0)),"0.00%")))))</f>
        <v>Min of ( SPT : PRV : 2DHH &amp; 09:29:59 AM LL )  * 4.00%</v>
      </c>
      <c r="U148" s="102"/>
      <c r="V148" s="118" t="str">
        <f t="array" ref="V148">IF(C131="","",IF(C136="Futures","",IF(C136="Options Sell",CONCATENATE([1]AB5!$V$76,"( ",INDEX([1]AB4!CG:CG,MATCH(A134,[1]AB4!B:B,0))," &amp; ",S148," ) ",[1]AB5!$H$59,TEXT(INDEX([1]AB4!CH:CH,MATCH(A134,[1]AB4!B:B,0)),"0.00%")))))</f>
        <v>Min of ( SPT : PRV : 2DHH &amp; 09:29:59 AM LL )  * 3.00%</v>
      </c>
      <c r="W148" s="118" t="str">
        <f>IF(A131="","",IF(C136="Futures","",IF(C136="Options Sell",I134)))</f>
        <v>100 Lots</v>
      </c>
      <c r="X148" s="120" t="str">
        <f t="array" ref="X148">IF(C131="","",IF(C136="Futures","",IF(C136="Options Sell",CONCATENATE([1]AB5!$X$76,"( ",INDEX([1]AB4!G:G,MATCH(A134,[1]AB4!B:B,0))," &amp; ",Z148," ) ", INDEX([1]AB4!H:H,MATCH(A134,[1]AB4!B:B,0))," ",AA148))))</f>
        <v>Min of ( OPT : PRV : 2DLL &amp; 09:29:59 AM LL )  -  10.00%</v>
      </c>
      <c r="Y148" s="102"/>
      <c r="Z148" s="133" t="str">
        <f>IF(C131="","",IF(C136="Futures","",IF(C136="Options Sell",CONCATENATE(TEXT(L148,"HH:MM:SS AM/PM"), [1]AB5!$S$76))))</f>
        <v>09:29:59 AM LL</v>
      </c>
      <c r="AA148" s="134" t="str">
        <f t="array" ref="AA148">IF(A131="","",IF(C136="Futures","",IF(C136="Options Sell",TEXT(INDEX([1]AB4!BK:BK,MATCH(A134,[1]AB4!B:B,0)),"0.00%"))))</f>
        <v>10.00%</v>
      </c>
      <c r="AB148" s="75"/>
      <c r="AC148" s="75"/>
    </row>
    <row r="149" spans="1:29" ht="57" customHeight="1" thickBot="1" x14ac:dyDescent="0.25">
      <c r="A149" s="15" t="str">
        <f>IF(C131="","",CONCATENATE(C132,[1]AB5!$A$7))</f>
        <v>S22B</v>
      </c>
      <c r="B149" s="135">
        <f t="array" ref="B149">IF(C131="","", IF(C136="Futures","",IF(C136="Options Sell",INDEX([1]AB4!BF:BF,MATCH(A148,[1]AB4!B:B,0)))))</f>
        <v>0.39235416666666667</v>
      </c>
      <c r="C149" s="136">
        <f t="array" ref="C149">IF(C131="","", IF(C136="Futures","",IF(C136="Options Sell",INDEX([1]AB4!BF:BF,MATCH(A149,[1]AB4!B:B,0)))))</f>
        <v>0.39582638888888888</v>
      </c>
      <c r="D149" s="34"/>
      <c r="E149" s="111"/>
      <c r="F149" s="137"/>
      <c r="G149" s="138"/>
      <c r="H149" s="138"/>
      <c r="I149" s="139" t="str">
        <f>IF(C131="","",IF(C136="Futures","",IF(C136="Options Sell",[1]AB5!$I$77)))</f>
        <v>Recalcuate : Put Sell Entry : Bear / Bear CF</v>
      </c>
      <c r="J149" s="140" t="str">
        <f>IF(C131="","",IF(C136="Futures","",IF(C136="Options Sell",[1]AB5!$J$77)))</f>
        <v>Wait Till Recalculation Time</v>
      </c>
      <c r="K149" s="40"/>
      <c r="L149" s="141">
        <f>IF(C131="","",IF(C136="Futures","",IF(C136="Options Sell",C145)))</f>
        <v>0.39582638888888888</v>
      </c>
      <c r="M149" s="142" t="str">
        <f t="array" ref="M149">IF(C131="","",IF(C136="Futures","",IF(C136="Options Sell",CONCATENATE([1]AB5!$M$77, "( ",INDEX([1]AB4!BP:BP,MATCH(A140,[1]AB4!B:B,0))," &amp; ",S149," ) ", INDEX([1]AB4!BQ:BQ,MATCH(A140,[1]AB4!B:B,0))," ",N149," ) &amp; ",INDEX([1]AB4!BS:BS,MATCH(A140,[1]AB4!B:B,0))))))</f>
        <v>Max of ( SPT : PRV : 4DHH &amp; 09:29:59 AM LL ) - 10.00% ) &amp; Round Up</v>
      </c>
      <c r="N149" s="143" t="str">
        <f t="array" ref="N149">IF(A131="","",IF(C136="Futures","",IF(C136="Options Sell",TEXT(INDEX([1]AB4!CR:CR,MATCH(A140,[1]AB4!B:B,0)),"0.00%"))))</f>
        <v>10.00%</v>
      </c>
      <c r="O149" s="142" t="str">
        <f t="array" ref="O149">IF(C131="","",IF(C136="Futures","",IF(C136="Options Sell",CONCATENATE([1]AB5!$O$77,"( ",INDEX([1]AB4!BT:BT,MATCH(A140,[1]AB4!B:B,0))," &amp; ",S149," ) &amp; ",INDEX([1]AB4!BW:BW,MATCH(A140,[1]AB4!B:B,0))," ",INDEX([1]AB4!BX:BX,MATCH(A140,[1]AB4!B:B,0))," ",INDEX([1]AB4!BY:BY,MATCH(A140,[1]AB4!B:B,0))))))</f>
        <v>Max of ( SPT : PRV : 4DHH &amp; 09:29:59 AM LL ) &amp; Round Up + 1</v>
      </c>
      <c r="P149" s="144" t="str">
        <f t="array" ref="P149">IF(A131="","",IF(C136="Futures","",IF(C136="Options Sell",IF(INDEX([1]AB4!CS:CS,MATCH(A140,[1]AB4!B:B,0))="","",TEXT(INDEX([1]AB4!CS:CS,MATCH(A140,[1]AB4!B:B,0)),"0.00%")))))</f>
        <v/>
      </c>
      <c r="Q149" s="145"/>
      <c r="R149" s="40"/>
      <c r="S149" s="146" t="str">
        <f>IF(C131="","",IF(C136="Futures","",IF(C136="Options Sell",CONCATENATE(TEXT(L149,"HH:MM:SS AM/PM"),[1]AB5!$S$77))))</f>
        <v>09:29:59 AM LL</v>
      </c>
      <c r="T149" s="140" t="str">
        <f t="array" ref="T149">IF(C131="","",IF(C136="Futures","",IF(C136="Options Sell",CONCATENATE([1]AB5!$T$77,"( ",INDEX([1]AB4!CE:CE,MATCH(A140,[1]AB4!B:B,0))," &amp; ",S149," ) ",[1]AB5!$H$59,TEXT(INDEX([1]AB4!CF:CF,MATCH(A140,[1]AB4!B:B,0)),"0.00%")))))</f>
        <v>Min of ( SPT : PRV : 4DHH &amp; 09:29:59 AM LL )  * 4.00%</v>
      </c>
      <c r="U149" s="40"/>
      <c r="V149" s="142" t="str">
        <f t="array" ref="V149">IF(C131="","",IF(C136="Futures","",IF(C136="Options Sell",CONCATENATE([1]AB5!$V$77,"( ",INDEX([1]AB4!CG:CG,MATCH(A140,[1]AB4!B:B,0))," &amp; ",S149," ) ",[1]AB5!$H$59,TEXT(INDEX([1]AB4!CH:CH,MATCH(A140,[1]AB4!B:B,0)),"0.00%")))))</f>
        <v>Min of ( SPT : PRV : 4DHH &amp; 09:29:59 AM LL )  * 3.00%</v>
      </c>
      <c r="W149" s="142" t="str">
        <f>IF(A131="","",IF(C136="Futures","",IF(C136="Options Sell",I140)))</f>
        <v>100 Lots</v>
      </c>
      <c r="X149" s="140" t="str">
        <f t="array" ref="X149">IF(C131="","",IF(C136="Futures","",IF(C136="Options Sell",CONCATENATE([1]AB5!$X$77,"( ",INDEX([1]AB4!G:G,MATCH(A140,[1]AB4!B:B,0))," &amp; ",Z149," ) ", INDEX([1]AB4!H:H,MATCH(A140,[1]AB4!B:B,0))," ",AA149))))</f>
        <v>Min of ( OPT : PRV : 4DLL &amp; 09:29:59 AM LL )  -  10.00%</v>
      </c>
      <c r="Y149" s="40"/>
      <c r="Z149" s="147" t="str">
        <f>IF(C131="","",IF(C136="Futures","",IF(C136="Options Sell",CONCATENATE(TEXT(L149,"HH:MM:SS AM/PM"), [1]AB5!$S$77))))</f>
        <v>09:29:59 AM LL</v>
      </c>
      <c r="AA149" s="148" t="str">
        <f t="array" ref="AA149">IF(A131="","",IF(C136="Futures","",IF(C136="Options Sell",TEXT(INDEX([1]AB4!BK:BK,MATCH(A140,[1]AB4!B:B,0)),"0.00%"))))</f>
        <v>10.00%</v>
      </c>
      <c r="AB149" s="75"/>
      <c r="AC149" s="75"/>
    </row>
    <row r="150" spans="1:29" ht="8.25" customHeight="1" thickBot="1" x14ac:dyDescent="0.2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49"/>
      <c r="L150" s="15"/>
      <c r="M150" s="15"/>
      <c r="N150" s="15"/>
      <c r="O150" s="75"/>
      <c r="P150" s="15"/>
      <c r="Q150" s="15"/>
      <c r="R150" s="15"/>
      <c r="S150" s="15"/>
      <c r="T150" s="15"/>
      <c r="U150" s="15"/>
      <c r="V150" s="15"/>
      <c r="W150" s="15"/>
      <c r="X150" s="15"/>
      <c r="Y150" s="75"/>
      <c r="Z150" s="75"/>
      <c r="AA150" s="75"/>
      <c r="AB150" s="75"/>
      <c r="AC150" s="75"/>
    </row>
    <row r="151" spans="1:29" ht="44.25" customHeight="1" thickBot="1" x14ac:dyDescent="0.25">
      <c r="A151" s="54"/>
      <c r="B151" s="113" t="str">
        <f>IF(C131="","",IF(C136="Futures","",IF(C136="Options Sell",[1]AB5!$B$79,IF(C136="Options Buy",[1]AB5!$B$112))))</f>
        <v>For TGT (Position = Open)</v>
      </c>
      <c r="C151" s="114"/>
      <c r="D151" s="63" t="str">
        <f>IF(C131="","",IF(C136="Futures","",IF(C136="Options Sell",[1]AB5!$D$79,IF(C136="Options Buy",[1]AB5!$D$112))))</f>
        <v>Gap Check</v>
      </c>
      <c r="E151" s="64" t="str">
        <f>IF(C131="","",IF(C136="Futures","",IF(C136="Options Sell",[1]AB5!$E$79,IF(C136="Options Buy",[1]AB5!$E$112))))</f>
        <v>Process</v>
      </c>
      <c r="F151" s="65"/>
      <c r="G151" s="66" t="str">
        <f>IF(C131="","",IF(C136="Futures","",IF(C136="Options Sell",[1]AB5!$G$79,IF(C136="Options Buy",[1]AB5!$G$112))))</f>
        <v>Y / N</v>
      </c>
      <c r="H151" s="67" t="str">
        <f>IF(C131="","",IF(C136="Futures","",IF(C136="Options Sell",[1]AB5!$H$79,IF(C136="Options Buy",[1]AB5!$H$112))))</f>
        <v>Status</v>
      </c>
      <c r="I151" s="68" t="str">
        <f>IF(C131="","",IF(C136="Futures","",IF(C136="Options Sell",[1]AB5!$I$79,IF(C136="Options Buy",[1]AB5!$I$112))))</f>
        <v>Step 1</v>
      </c>
      <c r="J151" s="69" t="str">
        <f>IF(C131="","",IF(C136="Futures","",IF(C136="Options Sell",[1]AB5!$J$79,IF(C136="Options Buy",[1]AB5!$J$112))))</f>
        <v>Order Placement Timings</v>
      </c>
      <c r="K151" s="65"/>
      <c r="L151" s="70" t="str">
        <f>IF(C131="","",IF(C136="Futures","",IF(C136="Options Sell",[1]AB5!$L$79,IF(C136="Options Buy",[1]AB5!$L$112))))</f>
        <v>Time</v>
      </c>
      <c r="M151" s="68" t="str">
        <f>IF(C131="","",IF(C136="Futures","",IF(C136="Options Sell",[1]AB5!$M$79,IF(C136="Options Buy",[1]AB5!$M$112))))</f>
        <v>Rules For Gaps</v>
      </c>
      <c r="N151" s="67" t="str">
        <f>IF(C131="","",IF(C136="Futures","",IF(C136="Options Sell",[1]AB5!$N$79,IF(C136="Options Buy",[1]AB5!$N$112))))</f>
        <v>Data</v>
      </c>
      <c r="O151" s="74" t="str">
        <f>IF(C131="","",IF(C136="Futures","",IF(C136="Options Sell",[1]AB5!$O$79,IF(C136="Options Buy",[1]AB5!$O$112))))</f>
        <v>Buffer</v>
      </c>
      <c r="P151" s="70" t="str">
        <f>IF(C131="","",IF(C136="Futures","",IF(C136="Options Sell",[1]AB5!$P$79,IF(C136="Options Buy",[1]AB5!$P$112))))</f>
        <v>Monthly Status</v>
      </c>
      <c r="Q151" s="70" t="str">
        <f>IF(C131="","",IF(C136="Futures","",IF(C136="Options Sell",[1]AB5!$Q$79,IF(C136="Options Buy",[1]AB5!$Q$112))))</f>
        <v>Options Type</v>
      </c>
      <c r="R151" s="150" t="str">
        <f>IF(C131="","",IF(C136="Futures","",IF(C136="Options Sell",[1]AB5!$R$79,IF(C136="Options Buy",[1]AB5!$R$112))))</f>
        <v>Start Strike</v>
      </c>
      <c r="S151" s="151" t="str">
        <f>IF(C131="","",IF(C136="Futures","",IF(C136="Options Sell",[1]AB5!$S$79,IF(C136="Options Buy",[1]AB5!$S$112))))</f>
        <v>End Strike</v>
      </c>
      <c r="T151" s="152"/>
      <c r="U151" s="151" t="str">
        <f>IF(C131="","",IF(C136="Futures","",IF(C136="Options Sell",[1]AB5!$U$79,IF(C136="Options Buy",[1]AB5!$U$112))))</f>
        <v>Ideal Premium</v>
      </c>
      <c r="V151" s="152"/>
      <c r="W151" s="151" t="str">
        <f>IF(C131="","",IF(C136="Futures","",IF(C136="Options Sell",[1]AB5!$W$79,IF(C136="Options Buy",[1]AB5!$W$112))))</f>
        <v>Minimum Premium</v>
      </c>
      <c r="X151" s="152"/>
      <c r="Y151" s="150" t="str">
        <f>IF(C131="","",IF(C136="Futures","",IF(C136="Options Sell",[1]AB5!$Y$79,IF(C136="Options Buy",[1]AB5!$Y$112))))</f>
        <v>Minimum OI</v>
      </c>
      <c r="Z151" s="151" t="str">
        <f>IF(C131="","",IF(C136="Futures","",IF(C136="Options Sell",[1]AB5!$Z$79,IF(C136="Options Buy",[1]AB5!$Z$112))))</f>
        <v>Option Entry</v>
      </c>
      <c r="AA151" s="152"/>
      <c r="AB151" s="153"/>
      <c r="AC151" s="153"/>
    </row>
    <row r="152" spans="1:29" ht="44.25" customHeight="1" x14ac:dyDescent="0.2">
      <c r="A152" s="15" t="str">
        <f>IF(C131="","",CONCATENATE(C132,[1]AB5!$A$4))</f>
        <v>S22A</v>
      </c>
      <c r="B152" s="128" t="str">
        <f>IF(C131="","",IF(C136="Futures","",IF(C136="Options Sell",[1]AB5!$B$80,IF(C136="Options Buy",[1]AB5!$B$113))))</f>
        <v xml:space="preserve">ORPT </v>
      </c>
      <c r="C152" s="129" t="str">
        <f>IF(C131="","",IF(C136="Futures","",IF(C136="Options Sell",[1]AB5!$C$80,IF(C136="Options Buy",[1]AB5!$C$113))))</f>
        <v xml:space="preserve"> RC. Time</v>
      </c>
      <c r="D152" s="154" t="str">
        <f>IF(C131="","",IF(C136="Futures","",IF(C136="Options Sell",[1]AB5!$D$80,IF(C136="Options Buy",[1]AB5!$D$113))))</f>
        <v>For Call Sell SL</v>
      </c>
      <c r="E152" s="155" t="str">
        <f>IF(C131="","",IF(C136="Futures","",IF(C136="Options Sell",CONCATENATE([1]AB5!$E$80,TEXT(B153,"HH:MM:SS AM/PM"),[1]AB5!$B$81,[1]AB5!$F$80))))</f>
        <v>Check If  09:15:00 AM HH &gt; Call Sell SL</v>
      </c>
      <c r="F152" s="156"/>
      <c r="G152" s="157" t="str">
        <f>IF(C131="","",IF(C136="Futures","",IF(C136="Options Sell",[1]AB5!$G$80,IF(C136="Options Buy",[1]AB5!$G$113))))</f>
        <v>No</v>
      </c>
      <c r="H152" s="158" t="str">
        <f>IF(C131="","",IF(C136="Futures","",IF(C136="Options Sell",[1]AB5!$H$80)))</f>
        <v>FSL / TRP Not Missed</v>
      </c>
      <c r="I152" s="159" t="str">
        <f>IF(C131="","",IF(C136="Futures","",IF(C136="Options Sell",[1]AB5!$I$80)))</f>
        <v>Place the Order at ORPT</v>
      </c>
      <c r="J152" s="160" t="str">
        <f>IF(C131="","",IF(C136="Futures","",IF(C136="Options Sell",[1]AB5!$J$80)))</f>
        <v>ORPT Time</v>
      </c>
      <c r="K152" s="161"/>
      <c r="L152" s="162">
        <f>IF(C131="","",IF(C136="Futures","",IF(C136="Options Sell",B149)))</f>
        <v>0.39235416666666667</v>
      </c>
      <c r="M152" s="163" t="str">
        <f>IF(C131="","",IF(C136="Futures","",IF(C136="Options Sell",[1]AB5!$M$80)))</f>
        <v>N.A.</v>
      </c>
      <c r="N152" s="158" t="str">
        <f>IF(C131="","",IF(C136="Futures","",IF(C136="Options Sell",[1]AB5!$N$80)))</f>
        <v>N.A.</v>
      </c>
      <c r="O152" s="164" t="str">
        <f>IF(C131="","",IF(C136="Futures","",IF(C136="Options Sell",[1]AB5!$O$80)))</f>
        <v>N.A.</v>
      </c>
      <c r="P152" s="165" t="str">
        <f>IF(C131="","",[1]AB5!$P$80)</f>
        <v>BULL / BULL CF</v>
      </c>
      <c r="Q152" s="166" t="str">
        <f>IF(C131="","",[1]AB5!$Q$80)</f>
        <v>Call</v>
      </c>
      <c r="R152" s="167" t="str">
        <f t="array" ref="R152">IF(C131="","",IF(C136="Futures","",IF(C136="Options Sell",CONCATENATE([1]AB5!$M$73, "( ",INDEX([1]AB4!BP:BP,MATCH(A131,[1]AB4!B:B,0))," &amp; ",[1]AB5!$R$80," ) ",INDEX([1]AB4!BQ:BQ,MATCH(A131,[1]AB4!B:B))," ",N145," ) &amp; ",INDEX([1]AB4!BS:BS,MATCH(A131,[1]AB4!B:B,0))))))</f>
        <v>Min of ( SPT : PRV : 4DLL &amp; SPT : CDLL ) + 10.00% ) &amp; Round Down</v>
      </c>
      <c r="S152" s="168" t="str">
        <f t="array" ref="S152">IF(C131="","",IF(C136="Futures","",IF(C136="Options Sell",CONCATENATE([1]AB5!$O$73,"( ",INDEX([1]AB4!BT:BT,MATCH(A131,[1]AB4!B:B,0))," &amp; ",[1]AB5!$S$80," ) &amp; ",INDEX([1]AB4!BW:BW,MATCH(A131,[1]AB4!B:B,0))," ",INDEX([1]AB4!BX:BX,MATCH(A131,[1]AB4!B:B,0))," ",INDEX([1]AB4!BY:BY,MATCH(A131,[1]AB4!B:B,0))))))</f>
        <v>Min of ( SPT : PRV : 4DLL &amp; SPT : CDLL ) &amp; Round Down - 1</v>
      </c>
      <c r="T152" s="27"/>
      <c r="U152" s="168" t="str">
        <f t="array" ref="U152">IF(C131="","",IF(C136="Futures","",IF(C136="Options Sell",CONCATENATE([1]AB5!$T$73,"( ",INDEX([1]AB4!CE:CE,MATCH(A131,[1]AB4!B:B,0))," &amp; ",[1]AB5!$U$80," ) ",[1]AB5!$H$59,TEXT(INDEX([1]AB4!CF:CF,MATCH(A131,[1]AB4!B:B,0)),"0.00%")))))</f>
        <v>Min of ( SPT : PRV : 4DLL &amp; SPT : CDLL )  * 4.00%</v>
      </c>
      <c r="V152" s="27"/>
      <c r="W152" s="168" t="str">
        <f t="array" ref="W152">IF(C131="","",IF(C136="Futures","",IF(C136="Options Sell",CONCATENATE([1]AB5!$V$73,"( ",INDEX([1]AB4!CG:CG,MATCH(A131,[1]AB4!B:B,0))," &amp; ",[1]AB5!$W$80," ) ",[1]AB5!$H$59,TEXT(INDEX([1]AB4!CH:CH,MATCH(A131,[1]AB4!B:B,0)),"0.00%")))))</f>
        <v>Min of ( SPT : PRV : 4DLL &amp; SPT : CDLL )  * 3.00%</v>
      </c>
      <c r="X152" s="27"/>
      <c r="Y152" s="169" t="str">
        <f>IF(A131="","",IF(C136="Futures","",IF(C136="Options Sell",I131)))</f>
        <v>100 Lots</v>
      </c>
      <c r="Z152" s="168" t="str">
        <f t="array" ref="Z152">IF(C131="","",IF(C136="Futures","",IF(C136="Options Sell",CONCATENATE([1]AB5!$X$73,"( ",INDEX([1]AB4!G:G,MATCH(A131,[1]AB4!B:B,0))," &amp; ",[1]AB5!$Z$80," ) ",INDEX([1]AB4!H:H,MATCH(A131,[1]AB4!B:B,0))," ",AA145))))</f>
        <v>Min of ( OPT : PRV : 4DLL &amp; OPT : CDLL )  -  10.00%</v>
      </c>
      <c r="AA152" s="114"/>
      <c r="AB152" s="75"/>
      <c r="AC152" s="75"/>
    </row>
    <row r="153" spans="1:29" ht="44.25" customHeight="1" thickBot="1" x14ac:dyDescent="0.25">
      <c r="A153" s="15" t="str">
        <f>IF(C131="","",CONCATENATE(C132,[1]AB5!$A$7))</f>
        <v>S22B</v>
      </c>
      <c r="B153" s="94">
        <f t="array" ref="B153">IF(C131="","", IF(C136="Futures","",IF(C136="Options Sell",INDEX([1]AB4!BG:BG,MATCH(A152,[1]AB4!B:B,0)))))</f>
        <v>0.38541666666666669</v>
      </c>
      <c r="C153" s="95" t="str">
        <f t="array" ref="C153">IF(C131="","", INDEX([1]AB4!BG:BG,MATCH(A153,[1]AB4!B:B,0)))</f>
        <v>N.A.</v>
      </c>
      <c r="D153" s="32"/>
      <c r="E153" s="32"/>
      <c r="F153" s="156"/>
      <c r="G153" s="170" t="str">
        <f>IF(C131="","",IF(C136="Futures","",IF(C136="Options Sell",[1]AB5!$G$81,IF(C136="Options Buy",[1]AB5!$G$114))))</f>
        <v>Yes</v>
      </c>
      <c r="H153" s="131" t="str">
        <f>IF(C131="","",IF(C136="Futures","",IF(C136="Options Sell",[1]AB5!$H$81)))</f>
        <v>FSL / TRP Missed</v>
      </c>
      <c r="I153" s="119" t="str">
        <f>IF(C131="","",IF(C136="Futures","",IF(C136="Options Sell",[1]AB5!$I$81)))</f>
        <v>Recalcuate : Call Sell FSL / TRP : Bull / Bull CF</v>
      </c>
      <c r="J153" s="120" t="str">
        <f>IF(C131="","",IF(C136="Futures","",IF(C136="Options Sell",[1]AB5!$J$81)))</f>
        <v>Wait Till Recalculation Time</v>
      </c>
      <c r="K153" s="107"/>
      <c r="L153" s="121">
        <f>IF(C131="","",IF(C136="Futures","",IF(C136="Options Sell",C149)))</f>
        <v>0.39582638888888888</v>
      </c>
      <c r="M153" s="171" t="str">
        <f>IF(C131="","",IF(C136="Futures","",IF(C136="Options Sell",CONCATENATE(N153," ",[1]AB5!$M$81," ",TEXT(O153,"0.00%")))))</f>
        <v>09:29:59 AM HH + 7.00%</v>
      </c>
      <c r="N153" s="132" t="str">
        <f>IF(C131="","",IF(C136="Futures","",IF(C136="Options Sell",CONCATENATE(TEXT(L153,"HH:MM:SS AM/PM"),[1]AB5!$N$81))))</f>
        <v>09:29:59 AM HH</v>
      </c>
      <c r="O153" s="172" t="str">
        <f t="array" ref="O153">IF(A131="","",IF(C136="Futures","",IF(C136="Options Sell",TEXT(INDEX([1]AB4!BL:BL,MATCH(A131,[1]AB4!B:B,0)),"0.00%"))))</f>
        <v>7.00%</v>
      </c>
      <c r="P153" s="110"/>
      <c r="Q153" s="173" t="str">
        <f>IF(C131="","",[1]AB5!$Q$81)</f>
        <v>Put</v>
      </c>
      <c r="R153" s="174" t="str">
        <f t="array" ref="R153">IF(C131="","",IF(C136="Futures","",IF(C136="Options Sell",CONCATENATE([1]AB5!$M$76, "( ",INDEX([1]AB4!BP:BP,MATCH(A134,[1]AB4!B:B,0))," &amp; ",[1]AB5!$R$81," ) ",INDEX([1]AB4!BQ:BQ,MATCH(A134,[1]AB4!B:B,0))," ",N148," ) &amp; ",INDEX([1]AB4!BS:BS,MATCH(A134,[1]AB4!B:B,0))))))</f>
        <v>Max of ( SPT : PRV : 2DHH &amp; SPT : CDHH ) - 10.00% ) &amp; Round Up</v>
      </c>
      <c r="S153" s="175" t="str">
        <f t="array" ref="S153">IF(C131="","",IF(C136="Futures","",IF(C136="Options Sell",CONCATENATE([1]AB5!$O$76,"( ",INDEX([1]AB4!BT:BT,MATCH(A134,[1]AB4!B:B,0))," &amp; ",[1]AB5!$S$81," ) &amp; ",INDEX([1]AB4!BW:BW,MATCH(A134,[1]AB4!B:B,0))," ",INDEX([1]AB4!BX:BX,MATCH(A134,[1]AB4!B:B,0))," ",INDEX([1]AB4!BY:BY,MATCH(A134,[1]AB4!B:B,0))))))</f>
        <v>Max of ( SPT : PRV : 2DHH &amp; SPT : CDHH ) &amp; Round Up + 1</v>
      </c>
      <c r="T153" s="40"/>
      <c r="U153" s="175" t="str">
        <f t="array" ref="U153">IF(C131="","",IF(C136="Futures","",IF(C136="Options Sell",CONCATENATE([1]AB5!$T$76,"( ",INDEX([1]AB4!CE:CE,MATCH(A134,[1]AB4!B:B,0))," &amp; ",[1]AB5!$U$81," ) ",[1]AB5!$H$59,TEXT(INDEX([1]AB4!CF:CF,MATCH(A134,[1]AB4!B:B,0)),"0.00%")))))</f>
        <v>Min of ( SPT : PRV : 2DHH &amp; SPT : CDLL )  * 4.00%</v>
      </c>
      <c r="V153" s="40"/>
      <c r="W153" s="175" t="str">
        <f t="array" ref="W153">IF(C131="","",IF(C136="Futures","",IF(C136="Options Sell",CONCATENATE([1]AB5!$V$76,"( ",INDEX([1]AB4!CG:CG,MATCH(A134,[1]AB4!B:B,0))," &amp; ",[1]AB5!$W$81," ) ",[1]AB5!$H$59,TEXT(INDEX([1]AB4!CH:CH,MATCH(A134,[1]AB4!B:B,0)),"0.00%")))))</f>
        <v>Min of ( SPT : PRV : 2DHH &amp; SPT : CDLL )  * 3.00%</v>
      </c>
      <c r="X153" s="40"/>
      <c r="Y153" s="176" t="str">
        <f>IF(A131="","",IF(C136="Futures","",IF(C136="Options Sell",I134)))</f>
        <v>100 Lots</v>
      </c>
      <c r="Z153" s="175" t="str">
        <f t="array" ref="Z153">IF(C131="","",IF(C136="Futures","",IF(C136="Options Sell",CONCATENATE([1]AB5!$X$76,"( ",INDEX([1]AB4!G:G,MATCH(A134,[1]AB4!B:B,0))," &amp; ",[1]AB5!$Z$81," ) ", INDEX([1]AB4!H:H,MATCH(A134,[1]AB4!B:B,0))," ",AA148))))</f>
        <v>Min of ( OPT : PRV : 2DLL &amp; OPT : CDLL )  -  10.00%</v>
      </c>
      <c r="AA153" s="177"/>
      <c r="AB153" s="75"/>
      <c r="AC153" s="75"/>
    </row>
    <row r="154" spans="1:29" ht="44.25" customHeight="1" thickBot="1" x14ac:dyDescent="0.25">
      <c r="A154" s="15"/>
      <c r="B154" s="110"/>
      <c r="C154" s="111"/>
      <c r="D154" s="112"/>
      <c r="E154" s="112"/>
      <c r="F154" s="161"/>
      <c r="G154" s="96"/>
      <c r="H154" s="14"/>
      <c r="I154" s="119" t="str">
        <f>IF(C131="","",IF(C136="Futures","",IF(C136="Options Sell",[1]AB5!$I$82)))</f>
        <v>Recalcuate : Call Sell FSL / TRP : Bear / Bear CF</v>
      </c>
      <c r="J154" s="120" t="str">
        <f>IF(C131="","",IF(C136="Futures","",IF(C136="Options Sell",[1]AB5!$J$82)))</f>
        <v>Wait Till Recalculation Time</v>
      </c>
      <c r="K154" s="107"/>
      <c r="L154" s="121">
        <f>IF(C131="","",IF(C136="Futures","",IF(C136="Options Sell",C149)))</f>
        <v>0.39582638888888888</v>
      </c>
      <c r="M154" s="171" t="str">
        <f>IF(C131="","",IF(C136="Futures","",IF(C136="Options Sell",CONCATENATE(N154," ",[1]AB5!$M$82," ",TEXT(O154,"0.00%")))))</f>
        <v>09:29:59 AM HH + 10.00%</v>
      </c>
      <c r="N154" s="132" t="str">
        <f>IF(C131="","",IF(C136="Futures","",IF(C136="Options Sell",CONCATENATE(TEXT(L154,"HH:MM:SS AM/PM"),[1]AB5!$N$82))))</f>
        <v>09:29:59 AM HH</v>
      </c>
      <c r="O154" s="172" t="str">
        <f t="array" ref="O154">IF(A131="","",IF(C136="Futures","",IF(C136="Options Sell",TEXT(INDEX([1]AB4!BL:BL,MATCH(A137,[1]AB4!B:B,0)),"0.00%"))))</f>
        <v>10.00%</v>
      </c>
      <c r="P154" s="178" t="str">
        <f>IF(C131="","",[1]AB5!$P$82)</f>
        <v>BEAR / BEAR CF</v>
      </c>
      <c r="Q154" s="166" t="str">
        <f>IF(C133="","",[1]AB5!$Q$82)</f>
        <v>Call</v>
      </c>
      <c r="R154" s="167" t="str">
        <f t="array" ref="R154">IF(C131="","",IF(C136="Futures","",IF(C136="Options Sell",CONCATENATE([1]AB5!$M$74,"( ",INDEX([1]AB4!BP:BP,MATCH(A137,[1]AB4!B:B,0))," &amp; ",[1]AB5!$R$82," ) ",INDEX([1]AB4!BQ:BQ,MATCH(A137,[1]AB4!B:B,0))," ",N146," ) &amp; ",INDEX([1]AB4!BS:BS,MATCH(A137,[1]AB4!B:B,0))))))</f>
        <v>Min of ( SPT : PRV : 2DLL &amp; SPT : CDLL ) + 10.00% ) &amp; Round Down</v>
      </c>
      <c r="S154" s="168" t="str">
        <f t="array" ref="S154">IF(C131="","",IF(C136="Futures","",IF(C136="Options Sell",CONCATENATE([1]AB5!$O$74,"( ",INDEX([1]AB4!BT:BT,MATCH(A137,[1]AB4!B:B,0))," &amp; ",[1]AB5!$S$82," ) &amp; ",INDEX([1]AB4!BW:BW,MATCH(A137,[1]AB4!B:B,0))," ",INDEX([1]AB4!BX:BX,MATCH(A137,[1]AB4!B:B,0))," ",INDEX([1]AB4!BY:BY,MATCH(A137,[1]AB4!B:B,0))))))</f>
        <v>Min of ( SPT : PRV : 2DLL &amp; SPT : CDLL ) &amp; Round Down - 1</v>
      </c>
      <c r="T154" s="27"/>
      <c r="U154" s="168" t="str">
        <f t="array" ref="U154">IF(C131="","",IF(C136="Futures","",IF(C136="Options Sell",CONCATENATE([1]AB5!$T$74," of ( ",INDEX([1]AB4!CE:CE,MATCH(A137,[1]AB4!B:B,0))," &amp; ",[1]AB5!$U$82," ) ",[1]AB5!$H$59,TEXT(INDEX([1]AB4!CF:CF,MATCH(A137,[1]AB4!B:B,0)),"0.00%")))))</f>
        <v>Min of  of ( SPT : PRV : 2DLL &amp; SPT : CDLL )  * 4.00%</v>
      </c>
      <c r="V154" s="27"/>
      <c r="W154" s="168" t="str">
        <f t="array" ref="W154">IF(C131="","",IF(C136="Futures","",IF(C136="Options Sell",CONCATENATE([1]AB5!$V$74,"( ",INDEX([1]AB4!CG:CG,MATCH(A137,[1]AB4!B:B,0))," &amp; ",[1]AB5!$W$82," ) ",[1]AB5!$H$59,TEXT(INDEX([1]AB4!CH:CH,MATCH(A137,[1]AB4!B:B,0)),"0.00%")))))</f>
        <v>Min of ( SPT : PRV : 2DLL &amp; SPT : CDLL )  * 3.00%</v>
      </c>
      <c r="X154" s="27"/>
      <c r="Y154" s="169" t="str">
        <f>IF(A131="","",IF(C136="Futures","",IF(C136="Options Sell",I137)))</f>
        <v>100 Lots</v>
      </c>
      <c r="Z154" s="168" t="str">
        <f t="array" ref="Z154">IF(C131="","",IF(C136="Futures","",IF(C136="Options Sell",CONCATENATE([1]AB5!$X$74,"( ",INDEX([1]AB4!G:G,MATCH(A137,[1]AB4!B:B,0))," &amp; ",[1]AB5!$Z$82," ) ", INDEX([1]AB4!H:H,MATCH(A137,[1]AB4!B:B,0))," ",AA146))))</f>
        <v>Min of ( OPT : PRV : 2DLL &amp; OPT : CDLL )  -  10.00%</v>
      </c>
      <c r="AA154" s="114"/>
      <c r="AB154" s="75"/>
      <c r="AC154" s="75"/>
    </row>
    <row r="155" spans="1:29" ht="44.25" customHeight="1" thickBot="1" x14ac:dyDescent="0.25">
      <c r="A155" s="15"/>
      <c r="B155" s="179" t="str">
        <f>IF(C131="","",IF(C136="Futures","",IF(C136="Options Sell",[1]AB5!$B$83,IF(C136="Options Buy",[1]AB5!$B$116))))</f>
        <v>Stay Blessed !!!</v>
      </c>
      <c r="C155" s="19"/>
      <c r="D155" s="180" t="str">
        <f>IF(C131="","",IF(C136="Futures","",IF(C136="Options Sell",[1]AB5!$D$83,IF(C136="Options Buy",[1]AB5!$D$116))))</f>
        <v>For Put Sell SL</v>
      </c>
      <c r="E155" s="181" t="str">
        <f>IF(C131="","",IF(C136="Futures","",IF(C136="Options Sell",CONCATENATE([1]AB5!$E$83,TEXT(B153,"HH:MM:SS AM/PM"),[1]AB5!$B$81,[1]AB5!$F$83))))</f>
        <v>Check If  09:15:00 AM HH &gt; Short SL</v>
      </c>
      <c r="F155" s="182"/>
      <c r="G155" s="183" t="str">
        <f>IF(C131="","",IF(C136="Futures","",IF(C136="Options Sell",[1]AB5!$G$83,IF(C136="Options Buy",[1]AB5!$G$116))))</f>
        <v>No</v>
      </c>
      <c r="H155" s="104" t="str">
        <f>IF(C131="","",IF(C136="Futures","",IF(C136="Options Sell",[1]AB5!$H$83)))</f>
        <v>FSL / TRP Not Missed</v>
      </c>
      <c r="I155" s="100" t="str">
        <f>IF(C131="","",IF(C136="Futures","",IF(C136="Options Sell",[1]AB5!$I$83)))</f>
        <v>Place the Order at ORPT</v>
      </c>
      <c r="J155" s="101" t="str">
        <f>IF(C131="","",IF(C136="Futures","",IF(C136="Options Sell",[1]AB5!$J$83)))</f>
        <v>ORPT Time</v>
      </c>
      <c r="K155" s="102"/>
      <c r="L155" s="103">
        <f>IF(C131="","",IF(C136="Futures","",IF(C136="Options Sell",B149)))</f>
        <v>0.39235416666666667</v>
      </c>
      <c r="M155" s="184" t="str">
        <f>IF(C131="","",IF(C136="Futures","",IF(C136="Options Sell",[1]AB5!$M$83)))</f>
        <v>N.A.</v>
      </c>
      <c r="N155" s="104" t="str">
        <f>IF(C131="","",IF(C136="Futures","",IF(C136="Options Sell",[1]AB5!$N$83)))</f>
        <v>N.A.</v>
      </c>
      <c r="O155" s="185" t="str">
        <f>IF(C131="","",IF(C136="Futures","",IF(C136="Options Sell",[1]AB5!$O$83)))</f>
        <v>N.A.</v>
      </c>
      <c r="P155" s="110"/>
      <c r="Q155" s="173" t="str">
        <f>IF(C133="","",[1]AB5!$Q$83)</f>
        <v>Put</v>
      </c>
      <c r="R155" s="174" t="str">
        <f t="array" ref="R155">IF(C131="","",IF(C136="Futures","",IF(C136="Options Sell",CONCATENATE([1]AB5!$M$77, "( ",INDEX([1]AB4!BP:BP,MATCH(A140,[1]AB4!B:B,0))," &amp; ",[1]AB5!$R$83," ) ", INDEX([1]AB4!BQ:BQ,MATCH(A140,[1]AB4!B:B,0))," ",N149," ) &amp; ",INDEX([1]AB4!BS:BS,MATCH(A140,[1]AB4!B:B,0))))))</f>
        <v>Max of ( SPT : PRV : 4DHH &amp; SPT : CDHH ) - 10.00% ) &amp; Round Up</v>
      </c>
      <c r="S155" s="175" t="str">
        <f t="array" ref="S155">IF(C131="","",IF(C136="Futures","",IF(C136="Options Sell",CONCATENATE([1]AB5!$O$77,"( ",INDEX([1]AB4!BT:BT,MATCH(A140,[1]AB4!B:B,0))," &amp; ",[1]AB5!$S$83," ) &amp; ",INDEX([1]AB4!BW:BW,MATCH(A140,[1]AB4!B:B,0))," ",INDEX([1]AB4!BX:BX,MATCH(A140,[1]AB4!B:B,0))," ",INDEX([1]AB4!BY:BY,MATCH(A140,[1]AB4!B:B,0))))))</f>
        <v>Max of ( SPT : PRV : 4DHH &amp; SPT : CDHH ) &amp; Round Up + 1</v>
      </c>
      <c r="T155" s="40"/>
      <c r="U155" s="175" t="str">
        <f t="array" ref="U155">IF(C131="","",IF(C136="Futures","",IF(C136="Options Sell",CONCATENATE([1]AB5!$T$77,"( ",INDEX([1]AB4!CE:CE,MATCH(A140,[1]AB4!B:B,0))," &amp; ",[1]AB5!$U$83," ) ",[1]AB5!$H$59,TEXT(INDEX([1]AB4!CF:CF,MATCH(A140,[1]AB4!B:B,0)),"0.00%")))))</f>
        <v>Min of ( SPT : PRV : 4DHH &amp; SPT : CDLL )  * 4.00%</v>
      </c>
      <c r="V155" s="40"/>
      <c r="W155" s="175" t="str">
        <f t="array" ref="W155">IF(C131="","",IF(C136="Futures","",IF(C136="Options Sell",CONCATENATE([1]AB5!$V$77,"( ",INDEX([1]AB4!CG:CG,MATCH(A140,[1]AB4!B:B,0))," &amp; ",[1]AB5!$W$83," ) ",[1]AB5!$H$59,TEXT(INDEX([1]AB4!CH:CH,MATCH(A140,[1]AB4!B:B,0)),"0.00%")))))</f>
        <v>Min of ( SPT : PRV : 4DHH &amp; SPT : CDLL )  * 3.00%</v>
      </c>
      <c r="X155" s="40"/>
      <c r="Y155" s="176" t="str">
        <f>IF(A131="","",IF(C136="Futures","",IF(C136="Options Sell",I140)))</f>
        <v>100 Lots</v>
      </c>
      <c r="Z155" s="175" t="str">
        <f t="array" ref="Z155">IF(C131="","",IF(C136="Futures","",IF(C136="Options Sell",CONCATENATE([1]AB5!$X$77,"( ",INDEX([1]AB4!G:G,MATCH(A140,[1]AB4!B:B,0))," &amp; ",[1]AB5!$Z$83," ) ", INDEX([1]AB4!H:H,MATCH(A140,[1]AB4!B:B,0))," ",AA149))))</f>
        <v>Min of ( OPT : PRV : 4DLL &amp; OPT : CDLL )  -  10.00%</v>
      </c>
      <c r="AA155" s="177"/>
      <c r="AB155" s="75"/>
      <c r="AC155" s="75"/>
    </row>
    <row r="156" spans="1:29" ht="44.25" customHeight="1" x14ac:dyDescent="0.2">
      <c r="A156" s="75"/>
      <c r="B156" s="32"/>
      <c r="C156" s="33"/>
      <c r="D156" s="32"/>
      <c r="E156" s="32"/>
      <c r="F156" s="156"/>
      <c r="G156" s="186" t="str">
        <f>IF(C131="","",IF(C136="Futures","",IF(C136="Options Sell",[1]AB5!$G$84,IF(C136="Options Buy",[1]AB5!$G$117))))</f>
        <v>Yes</v>
      </c>
      <c r="H156" s="99" t="str">
        <f>IF(C131="","",IF(C136="Futures","",IF(C136="Options Sell",[1]AB5!$H$84)))</f>
        <v>FSL / TRP Missed</v>
      </c>
      <c r="I156" s="100" t="str">
        <f>IF(C131="","",IF(C136="Futures","",IF(C136="Options Sell",[1]AB5!$I$84)))</f>
        <v>Recalcuate : Short FSL / TRP : Bull / Bull CF</v>
      </c>
      <c r="J156" s="101" t="str">
        <f>IF(C131="","",IF(C136="Futures","",IF(C136="Options Sell",[1]AB5!$J$84)))</f>
        <v>Wait Till Recalculation Time</v>
      </c>
      <c r="K156" s="102"/>
      <c r="L156" s="103">
        <f>IF(C131="","",IF(C136="Futures","",IF(C136="Options Sell",C149)))</f>
        <v>0.39582638888888888</v>
      </c>
      <c r="M156" s="184" t="str">
        <f>IF(C131="","",IF(C136="Futures","",IF(C136="Options Sell",CONCATENATE(N156," ",[1]AB5!$M$84," ",TEXT(O156,"0.00%")))))</f>
        <v>09:29:59 AM HH + 10.00%</v>
      </c>
      <c r="N156" s="105" t="str">
        <f>IF(C131="","",IF(C136="Futures","",IF(C136="Options Sell",CONCATENATE(TEXT(L156,"HH:MM:SS AM/PM"),[1]AB5!$N$84))))</f>
        <v>09:29:59 AM HH</v>
      </c>
      <c r="O156" s="187" t="str">
        <f t="array" ref="O156">IF(A131="","",IF(C136="Futures","",IF(C136="Options Sell",TEXT(INDEX([1]AB4!BL:BL,MATCH(A134,[1]AB4!B:B,0)),"0.00%"))))</f>
        <v>10.00%</v>
      </c>
      <c r="P156" s="188" t="str">
        <f>IF(C131="","",[1]AB5!$P$84)</f>
        <v>When You Call And Put Position is Exited</v>
      </c>
      <c r="Q156" s="189"/>
      <c r="R156" s="189"/>
      <c r="S156" s="189"/>
      <c r="T156" s="189"/>
      <c r="U156" s="189"/>
      <c r="V156" s="189"/>
      <c r="W156" s="189"/>
      <c r="X156" s="189"/>
      <c r="Y156" s="189"/>
      <c r="Z156" s="189"/>
      <c r="AA156" s="33"/>
      <c r="AB156" s="75"/>
      <c r="AC156" s="75"/>
    </row>
    <row r="157" spans="1:29" ht="44.25" customHeight="1" thickBot="1" x14ac:dyDescent="0.25">
      <c r="A157" s="75"/>
      <c r="B157" s="34"/>
      <c r="C157" s="53"/>
      <c r="D157" s="34"/>
      <c r="E157" s="34"/>
      <c r="F157" s="190"/>
      <c r="G157" s="111"/>
      <c r="H157" s="138"/>
      <c r="I157" s="191" t="str">
        <f>IF(C131="","",IF(C136="Futures","",IF(C136="Options Sell",[1]AB5!$I$85)))</f>
        <v>Recalcuate : Short FSL / TRP : Bear / Bear CF</v>
      </c>
      <c r="J157" s="192" t="str">
        <f>IF(C131="","",IF(C136="Futures","",IF(C136="Options Sell",[1]AB5!$J$85)))</f>
        <v>Wait Till Recalculation Time</v>
      </c>
      <c r="K157" s="40"/>
      <c r="L157" s="193">
        <f>IF(C131="","",IF(C136="Futures","",IF(C136="Options Sell",C149)))</f>
        <v>0.39582638888888888</v>
      </c>
      <c r="M157" s="194" t="str">
        <f>IF(C131="","",IF(C136="Futures","",IF(C136="Options Sell",CONCATENATE(N157," ",[1]AB5!$M$85," ",TEXT(O157,"0.00%")))))</f>
        <v>09:29:59 AM HH + 7.00%</v>
      </c>
      <c r="N157" s="195" t="str">
        <f>IF(C131="","",IF(C136="Futures","",IF(C136="Options Sell",CONCATENATE(TEXT(L157,"HH:MM:SS AM/PM"),[1]AB5!$N$85))))</f>
        <v>09:29:59 AM HH</v>
      </c>
      <c r="O157" s="196" t="str">
        <f t="array" ref="O157">IF(A131="","",IF(C136="Futures","",IF(C136="Options Sell",TEXT(INDEX([1]AB4!BL:BL,MATCH(A140,[1]AB4!B:B,0)),"0.00%"))))</f>
        <v>7.00%</v>
      </c>
      <c r="P157" s="197" t="str">
        <f>IF(C131="","",[1]AB5!$P$85)</f>
        <v>This is Only Applicable for Same Day</v>
      </c>
      <c r="Q157" s="190"/>
      <c r="R157" s="190"/>
      <c r="S157" s="190"/>
      <c r="T157" s="190"/>
      <c r="U157" s="190"/>
      <c r="V157" s="190"/>
      <c r="W157" s="190"/>
      <c r="X157" s="190"/>
      <c r="Y157" s="190"/>
      <c r="Z157" s="190"/>
      <c r="AA157" s="53"/>
      <c r="AB157" s="75"/>
      <c r="AC157" s="75"/>
    </row>
    <row r="158" spans="1:29" ht="33" customHeight="1" thickBot="1" x14ac:dyDescent="0.25">
      <c r="A158" s="198"/>
      <c r="B158" s="199" t="str">
        <f>IF(C131="","",[1]AB5!$B$119)</f>
        <v>For Missed SL (Position = Open)</v>
      </c>
      <c r="C158" s="114"/>
      <c r="D158" s="200" t="str">
        <f>IF(C131="","",[1]AB5!$D$120)</f>
        <v>Note: ( Optional )</v>
      </c>
      <c r="E158" s="19"/>
      <c r="F158" s="201" t="str">
        <f>IF(C131="","",[1]AB5!$I$119)</f>
        <v>For Call SL</v>
      </c>
      <c r="G158" s="65"/>
      <c r="H158" s="65"/>
      <c r="I158" s="65"/>
      <c r="J158" s="65"/>
      <c r="K158" s="65"/>
      <c r="L158" s="65"/>
      <c r="M158" s="65"/>
      <c r="N158" s="65"/>
      <c r="O158" s="65"/>
      <c r="P158" s="62"/>
      <c r="Q158" s="201" t="str">
        <f>IF(C131="","",[1]AB5!$R$119)</f>
        <v>For Put SL</v>
      </c>
      <c r="R158" s="65"/>
      <c r="S158" s="65"/>
      <c r="T158" s="65"/>
      <c r="U158" s="65"/>
      <c r="V158" s="65"/>
      <c r="W158" s="65"/>
      <c r="X158" s="65"/>
      <c r="Y158" s="65"/>
      <c r="Z158" s="65"/>
      <c r="AA158" s="62"/>
      <c r="AB158" s="202"/>
      <c r="AC158" s="202"/>
    </row>
    <row r="159" spans="1:29" ht="43.5" customHeight="1" x14ac:dyDescent="0.2">
      <c r="A159" s="198"/>
      <c r="B159" s="203" t="str">
        <f>IF(C131="","",[1]AB5!$B$120)</f>
        <v>Check time</v>
      </c>
      <c r="C159" s="204"/>
      <c r="D159" s="32"/>
      <c r="E159" s="33"/>
      <c r="F159" s="205" t="str">
        <f>IF(C131="","",CONCATENATE([1]AB5!$G$120,TEXT(B160,"HH:MM:SS AM/PM"),[1]AB5!$B$121,[1]AB5!$H$120))</f>
        <v>Check If Close at 03:00:00 PM  &gt; Call Original SL</v>
      </c>
      <c r="G159" s="102"/>
      <c r="H159" s="206" t="str">
        <f>IF(C131="","",[1]AB5!$I$120)</f>
        <v>Yes</v>
      </c>
      <c r="I159" s="13"/>
      <c r="J159" s="207" t="str">
        <f>IF(C131="","",CONCATENATE([1]AB5!$K$120,TEXT(B160,"HH:MM:SS AM/PM")))</f>
        <v xml:space="preserve"> Then Square Off The Position At CMP at 03:00:00 PM</v>
      </c>
      <c r="K159" s="161"/>
      <c r="L159" s="161"/>
      <c r="M159" s="161"/>
      <c r="N159" s="161"/>
      <c r="O159" s="161"/>
      <c r="P159" s="208"/>
      <c r="Q159" s="209" t="str">
        <f>IF(C131="","",CONCATENATE([1]AB5!$R$120,TEXT(B160,"HH:MM:SS AM/PM"),[1]AB5!$B$121,[1]AB5!$S$120))</f>
        <v>Check If Close at 03:00:00 PM  &gt; Put Original SL</v>
      </c>
      <c r="R159" s="161"/>
      <c r="S159" s="13"/>
      <c r="T159" s="210" t="str">
        <f>IF(C131="","",[1]AB5!$U$120)</f>
        <v>Yes</v>
      </c>
      <c r="U159" s="211" t="str">
        <f>IF(C131="","",CONCATENATE([1]AB5!$W$120,TEXT(B160,"HH:MM:SS AM/PM")))</f>
        <v xml:space="preserve"> Then Square Off The Position At CMP at 03:00:00 PM</v>
      </c>
      <c r="V159" s="161"/>
      <c r="W159" s="161"/>
      <c r="X159" s="161"/>
      <c r="Y159" s="161"/>
      <c r="Z159" s="161"/>
      <c r="AA159" s="208"/>
      <c r="AB159" s="202"/>
      <c r="AC159" s="212"/>
    </row>
    <row r="160" spans="1:29" ht="36" customHeight="1" thickBot="1" x14ac:dyDescent="0.25">
      <c r="A160" s="198"/>
      <c r="B160" s="213">
        <f t="array" ref="B160">IF(C131="","",INDEX([1]AB4!CU:CU,MATCH(A148,[1]AB4!B:B,0)))</f>
        <v>0.625</v>
      </c>
      <c r="C160" s="177"/>
      <c r="D160" s="34"/>
      <c r="E160" s="53"/>
      <c r="F160" s="214" t="str">
        <f>IF(C131="","",CONCATENATE([1]AB5!$G$37,TEXT(B160,"HH:MM:SS AM/PM"),[1]AB5!$B$37,[1]AB5!$H$121))</f>
        <v>Check If Close at 03:00:00 PM  &lt; Call Original SL</v>
      </c>
      <c r="G160" s="40"/>
      <c r="H160" s="215" t="str">
        <f>IF(C131="","",[1]AB5!$I$121)</f>
        <v>Yes</v>
      </c>
      <c r="I160" s="40"/>
      <c r="J160" s="216" t="str">
        <f>IF(C131="","",CONCATENATE([1]AB5!$K$121))</f>
        <v xml:space="preserve"> Then Continue the Position for Next Day And Calculate Stop Loss Price as per the Rules</v>
      </c>
      <c r="K160" s="145"/>
      <c r="L160" s="145"/>
      <c r="M160" s="145"/>
      <c r="N160" s="145"/>
      <c r="O160" s="145"/>
      <c r="P160" s="177"/>
      <c r="Q160" s="214" t="str">
        <f>IF(C131="","",CONCATENATE([1]AB5!$R$121,TEXT(B160,"HH:MM:SS AM/PM"),[1]AB5!$B$122,[1]AB5!$S$121))</f>
        <v>Check If Close at 03:00:00 PM  &lt; Put Original SL</v>
      </c>
      <c r="R160" s="145"/>
      <c r="S160" s="40"/>
      <c r="T160" s="217" t="str">
        <f>IF(C131="","",[1]AB5!$U$121)</f>
        <v>Yes</v>
      </c>
      <c r="U160" s="216" t="str">
        <f>IF(C131="","",CONCATENATE([1]AB5!$W$121))</f>
        <v xml:space="preserve"> Then Continue the Position for Next Day And Calculate Stop Loss Price as per the Rules</v>
      </c>
      <c r="V160" s="145"/>
      <c r="W160" s="145"/>
      <c r="X160" s="145"/>
      <c r="Y160" s="145"/>
      <c r="Z160" s="145"/>
      <c r="AA160" s="177"/>
      <c r="AB160" s="202"/>
      <c r="AC160" s="212"/>
    </row>
    <row r="161" spans="1:29" ht="15.75" customHeight="1" thickBot="1" x14ac:dyDescent="0.25">
      <c r="A161" s="75"/>
      <c r="B161" s="75"/>
      <c r="C161" s="75"/>
      <c r="D161" s="75"/>
      <c r="E161" s="75"/>
      <c r="F161" s="75"/>
      <c r="G161" s="75"/>
      <c r="H161" s="75"/>
      <c r="I161" s="75"/>
      <c r="J161" s="149"/>
      <c r="K161" s="149"/>
      <c r="L161" s="149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  <c r="AA161" s="75"/>
      <c r="AB161" s="75"/>
      <c r="AC161" s="75"/>
    </row>
    <row r="162" spans="1:29" ht="42.75" customHeight="1" x14ac:dyDescent="0.2">
      <c r="A162" s="15" t="str">
        <f>IF(C162="","",CONCATENATE(C163,[1]AB5!$A$4))</f>
        <v>S23A</v>
      </c>
      <c r="B162" s="16" t="str">
        <f>IF(C162="","",[1]AB5!$B$59)</f>
        <v>Sr. No.</v>
      </c>
      <c r="C162" s="17">
        <v>23</v>
      </c>
      <c r="D162" s="18" t="str">
        <f>IF(C162="","",IF(C167="Futures","",IF(C167="Options Sell",[1]AB5!$D$59,IF(C167="Options Buy",[1]AB5!$D$92))))</f>
        <v>BULL / BULL CF</v>
      </c>
      <c r="E162" s="19"/>
      <c r="F162" s="18" t="str">
        <f>IF(C162="","",IF(C167="Futures","",IF(C167="Options Sell",[1]AB5!$F$59,IF(C167="Options Buy",[1]AB5!$F$92))))</f>
        <v>Call</v>
      </c>
      <c r="G162" s="20" t="str">
        <f t="array" ref="G162">IF(C162="","",IF(C167="Futures","",IF(C167="Options Sell",CONCATENATE("( ",INDEX([1]AB4!BP:BP,MATCH(A162,[1]AB4!B:B))," ",INDEX([1]AB4!BQ:BQ,MATCH(A162,[1]AB4!B:B))," ",TEXT(INDEX([1]AB4!BR:BR,MATCH(A162,[1]AB4!B:B)),"0.00%")," ) &amp; ",INDEX([1]AB4!BS:BS,MATCH(A162,[1]AB4!B:B))),IF(C167="Options Buy",CONCATENATE("( ",INDEX([1]AB4!BP:BP,MATCH(A162,[1]AB4!B:B,0))," ",INDEX([1]AB4!BQ:BQ,MATCH(A162,[1]AB4!B:B,0))," ",TEXT(INDEX([1]AB4!BR:BR,MATCH(A162,[1]AB4!B:B,0)),"0.00%")," ) &amp; ",INDEX([1]AB4!BS:BS,MATCH(A162,[1]AB4!B:B,0)))))))</f>
        <v>( SPT : PRV : 3DLL + 5.00% ) &amp; Round Down</v>
      </c>
      <c r="H162" s="20" t="str">
        <f t="array" ref="H162">IF(C162="","",IF(C167="Futures","",IF(C167="Options Sell",CONCATENATE(INDEX([1]AB4!CE:CE,MATCH(A162,[1]AB4!B:B)),[1]AB5!$H$59,TEXT(INDEX([1]AB4!CF:CF,MATCH(A162,[1]AB4!B:B)),"0.00%")))))</f>
        <v>SPT : PRV : 3DLL * 1.20%</v>
      </c>
      <c r="I162" s="21" t="str">
        <f t="array" ref="I162">IF(C162="","",IF(C167="Futures","",IF(C167="Options Sell",CONCATENATE(INDEX([1]AB4!CI:CI,MATCH(A162,[1]AB4!B:B)),[1]AB5!$I$59))))</f>
        <v>500 Lots</v>
      </c>
      <c r="J162" s="22" t="str">
        <f>IF(C162="","",IF(C167="Futures","",IF(C167="Options Sell",[1]AB5!$J$59,IF(C167="Options Buy",[1]AB5!$J$92))))</f>
        <v>BULL / BULL CF</v>
      </c>
      <c r="K162" s="18" t="str">
        <f>IF(C162="","",IF(C167="Futures","",IF(C167="Options Sell",[1]AB5!$K$59,IF(C167="Options Buy",[1]AB5!$K$92))))</f>
        <v>Call</v>
      </c>
      <c r="L162" s="23" t="str">
        <f>IF(C162="","",IF(C167="Futures","",IF(C167="Options Sell",[1]AB5!$G$4,IF(C167="Options Buy",[1]AB5!$L$92))))</f>
        <v>E &amp; T</v>
      </c>
      <c r="M162" s="20" t="str">
        <f t="array" ref="M162">IF(C162="","",IF(C167="Futures","",IF(C167="Options Sell",CONCATENATE(INDEX([1]AB4!G:G,MATCH(A162,[1]AB4!B:B,0)),INDEX([1]AB4!H:H,MATCH(A162,[1]AB4!B:B,0)),TEXT(INDEX([1]AB4!I:I,MATCH(A162,[1]AB4!B:B,0)),"0.00%")))))</f>
        <v>OPT : PRV : 3DLL - 7.50%</v>
      </c>
      <c r="N162" s="24">
        <f t="array" ref="N162">IF(C162="","",IF(C167="Futures","",IF(C167="Options Sell",INDEX([1]AB4!J:J,MATCH(A162,[1]AB4!B:B,0)))))</f>
        <v>1</v>
      </c>
      <c r="O162" s="25" t="str">
        <f t="array" ref="O162">IF(C162="","",IF(C167="Futures","",IF(C167="Options Sell",IF(INDEX([1]AB4!N:N,MATCH(A162,[1]AB4!B:B,0))="","",CONCATENATE(INDEX([1]AB4!L:L,MATCH(A162,[1]AB4!B:B,0)),INDEX([1]AB4!M:M,MATCH(A162,[1]AB4!B:B,0)),TEXT(INDEX([1]AB4!N:N,MATCH(A162,[1]AB4!B:B,0)),"0.00%"))))))</f>
        <v>CE : Entry  - 60.00%</v>
      </c>
      <c r="P162" s="26">
        <f t="array" ref="P162">IF(C162="","",IF(C167="Futures","",IF(C167="Options Sell",IF(INDEX([1]AB4!N:N,MATCH(A162,[1]AB4!B:B,0))="","",INDEX([1]AB4!O:O,MATCH(A162,[1]AB4!B:B,0))))))</f>
        <v>1</v>
      </c>
      <c r="Q162" s="27"/>
      <c r="R162" s="25" t="str">
        <f t="array" ref="R162">IF(C162="","",IF(C167="Futures","",IF(C167="Options Sell",IF(INDEX([1]AB4!P:P,MATCH(A162,[1]AB4!B:B,0))="","",CONCATENATE(INDEX([1]AB4!L:L,MATCH(A162,[1]AB4!B:B,0)),INDEX([1]AB4!M:M,MATCH(A162,[1]AB4!B:B,0)),TEXT(INDEX([1]AB4!P:P,MATCH(A162,[1]AB4!B:B,0)),"0.00%"))))))</f>
        <v/>
      </c>
      <c r="S162" s="24" t="str">
        <f t="array" ref="S162">IF(C162="","",IF(C167="Futures","",IF(C167="Options Sell",IF(INDEX([1]AB4!P:P,MATCH(A162,[1]AB4!B:B,0))="","",INDEX([1]AB4!Q:Q,MATCH(A162,[1]AB4!B:B,0))))))</f>
        <v/>
      </c>
      <c r="T162" s="25" t="str">
        <f t="array" ref="T162">IF(C162="","",IF(C167="Futures","",IF(C167="Options Sell",IF(INDEX([1]AB4!R:R,MATCH(A162,[1]AB4!B:B,0))="","",CONCATENATE(INDEX([1]AB4!L:L,MATCH(A162,[1]AB4!B:B,0)),INDEX([1]AB4!M:M,MATCH(A162,[1]AB4!B:B,0)),TEXT(INDEX([1]AB4!R:R,MATCH(A162,[1]AB4!B:B,0)),"0.00%"))))))</f>
        <v/>
      </c>
      <c r="U162" s="24" t="str">
        <f t="array" ref="U162">IF(C162="","",IF(C167="Futures","",IF(C167="Options Sell",IF(INDEX([1]AB4!R:R,MATCH(A162,[1]AB4!B:B,0))="","",INDEX([1]AB4!S:S,MATCH(A162,[1]AB4!B:B,0))))))</f>
        <v/>
      </c>
      <c r="V162" s="25" t="str">
        <f t="array" ref="V162">IF(C162="","",IF(C167="Futures","",IF(C167="Options Sell",IF(INDEX([1]AB4!T:T,MATCH(A162,[1]AB4!B:B,0))="","",CONCATENATE(INDEX([1]AB4!L:L,MATCH(A162,[1]AB4!B:B,0)),INDEX([1]AB4!M:M,MATCH(A162,[1]AB4!B:B,0)),TEXT(INDEX([1]AB4!T:T,MATCH(A162,[1]AB4!B:B,0)),"0.00%"))))))</f>
        <v/>
      </c>
      <c r="W162" s="24" t="str">
        <f t="array" ref="W162">IF(C162="","",IF(C167="Futures","",IF(C167="Options Sell",IF(INDEX([1]AB4!T:T,MATCH(A162,[1]AB4!B:B,0))="","",INDEX([1]AB4!U:U,MATCH(A162,[1]AB4!B:B,0))))))</f>
        <v/>
      </c>
      <c r="X162" s="25" t="str">
        <f t="array" ref="X162">IF(C162="","",IF(C167="Futures","",IF(C167="Options Sell",IF(INDEX([1]AB4!V:V,MATCH(A162,[1]AB4!B:B,0))="","",INDEX([1]AB4!V:V,MATCH(A162,[1]AB4!B:B,0))))))</f>
        <v/>
      </c>
      <c r="Y162" s="24" t="str">
        <f t="array" ref="Y162">IF(C162="","",IF(C167="Futures","",IF(C167="Options Sell",IF(INDEX([1]AB4!V:V,MATCH(A162,[1]AB4!B:B,0))="","",INDEX([1]AB4!W:W,MATCH(A162,[1]AB4!B:B,0))))))</f>
        <v/>
      </c>
      <c r="Z162" s="25" t="str">
        <f t="array" ref="Z162">IF(C162="","",IF(C167="Futures","",IF(C167="Options Sell",IF(INDEX([1]AB4!X:X,MATCH(A162,[1]AB4!B:B,0))="","",INDEX([1]AB4!X:X,MATCH(A162,[1]AB4!B:B,0))))))</f>
        <v/>
      </c>
      <c r="AA162" s="28" t="str">
        <f t="array" ref="AA162">IF(C162="","",IF(C167="Futures","",IF(C167="Options Sell",IF(INDEX([1]AB4!X:X,MATCH(A162,[1]AB4!B:B,0))="","",INDEX([1]AB4!X:X,MATCH(A162,[1]AB4!Y:Y,0))))))</f>
        <v/>
      </c>
      <c r="AB162" s="29"/>
      <c r="AC162" s="29"/>
    </row>
    <row r="163" spans="1:29" ht="42.75" customHeight="1" thickBot="1" x14ac:dyDescent="0.25">
      <c r="A163" s="15" t="str">
        <f>IF(C162="","",CONCATENATE(C163,[1]AB5!$A$5))</f>
        <v>S23A</v>
      </c>
      <c r="B163" s="30" t="str">
        <f>IF(C162="","",[1]AB5!$B$60)</f>
        <v>Strategy Code</v>
      </c>
      <c r="C163" s="31" t="str">
        <f t="array" ref="C163">IF(C162="","",IF(C167="Futures","",IF(C167="Options Sell",INDEX([1]AB2!B:B,MATCH(C162,[1]AB2!A:A,0)))))</f>
        <v>S23</v>
      </c>
      <c r="D163" s="32"/>
      <c r="E163" s="33"/>
      <c r="F163" s="34"/>
      <c r="G163" s="35" t="str">
        <f t="array" ref="G163">IF(C162="","",IF(C167="Futures","",IF(C167="Options Sell",CONCATENATE("( ",INDEX([1]AB4!BT:BT,MATCH(A163,[1]AB4!B:B))," ) &amp; ",INDEX([1]AB4!BW:BW,MATCH(A163,[1]AB4!B:B))," ",INDEX([1]AB4!BX:BX,MATCH(A163,[1]AB4!B:B))," ",INDEX([1]AB4!BY:BY,MATCH(A163,[1]AB4!B:B))),IF(C167="Options Buy",CONCATENATE("( ",INDEX([1]AB4!BP:BP,MATCH(A165,[1]AB4!B:B,0))," ",INDEX([1]AB4!BQ:BQ,MATCH(A165,[1]AB4!B:B,0))," ",TEXT(INDEX([1]AB4!BR:BR,MATCH(A165,[1]AB4!B:B,0)),"0.00%")," ) &amp; ",INDEX([1]AB4!BS:BS,MATCH(A165,[1]AB4!B:B,0)))))))</f>
        <v>( SPT : PRV : 3DLL ) &amp; Round Down - 1</v>
      </c>
      <c r="H163" s="35" t="str">
        <f>IF(C162="","",IF(C167="Futures","",IF(C167="Options Sell",CONCATENATE(INDEX([1]AB4!CG:CG,MATCH(A163,[1]AB4!B:B)),[1]AB5!$H$60,TEXT(INDEX([1]AB4!CH:CH,MATCH(A163,[1]AB4!B:B)),"0.00%")))))</f>
        <v>SPT : PRV : 3DLL * 0.90%</v>
      </c>
      <c r="I163" s="36" t="str">
        <f t="array" ref="I163">IF(C162="","",IF(C167="Futures","",IF(C167="Options Sell",CONCATENATE(INDEX([1]AB4!CJ:CJ,MATCH(A163,[1]AB4!B:B)),[1]AB5!$I$60))))</f>
        <v>1 Exp</v>
      </c>
      <c r="J163" s="33"/>
      <c r="K163" s="34"/>
      <c r="L163" s="37" t="str">
        <f>IF(C162="","",IF(C167="Futures","",IF(C167="Options Sell",[1]AB5!$G$5,IF(C167="Options Buy",[1]AB5!$L$93))))</f>
        <v>SL / TRP</v>
      </c>
      <c r="M163" s="35" t="str">
        <f t="array" ref="M163">IF(C162="","",IF(C167="Futures","",IF(C167="Options Sell",IF(INDEX([1]AB4!AL:AL,MATCH(A163,[1]AB4!B:B,0))="","",CONCATENATE(INDEX([1]AB4!AA:AA,MATCH(A163,[1]AB4!B:B,0))," ( ",INDEX([1]AB4!AE:AE,MATCH(A163,[1]AB4!B:B,0)),INDEX([1]AB4!AF:AF,MATCH(A163,[1]AB4!B:B,0)),TEXT(INDEX([1]AB4!AG:AG,MATCH(A163,[1]AB4!B:B,0)),"0.00%")," &amp; ",INDEX([1]AB4!AK:AK,MATCH(A163,[1]AB4!B:B,0)),INDEX([1]AB4!AJ:AJ,MATCH(A163,[1]AB4!B:B,0)),TEXT(INDEX([1]AB4!AL:AL,MATCH(A163,[1]AB4!B:B,0)),"0.00%")," )")))))</f>
        <v>Min ( CE : Entry  + 60.00% &amp; OPT : PRV : 2DHH + 7.00% )</v>
      </c>
      <c r="N163" s="38">
        <f t="array" ref="N163">IF(C162="","",IF(C167="Futures","",IF(C167="Options Sell",INDEX([1]AB4!AM:AM,MATCH(A163,[1]AB4!B:B,0)))))</f>
        <v>1</v>
      </c>
      <c r="O163" s="35" t="str">
        <f t="array" ref="O163">IF(C162="","",IF(C167="Futures","",IF(C167="Options Sell",IF(INDEX([1]AB4!AO:AO,MATCH(A163,[1]AB4!B:B,0))="","",CONCATENATE(INDEX([1]AB4!AA:AA,MATCH(A163,[1]AB4!B:B,0))," ( ",INDEX([1]AB4!AE:AE,MATCH(A163,[1]AB4!B:B,0))," &amp; ",INDEX([1]AB4!AN:AN,MATCH(A163,[1]AB4!B:B,0)),INDEX([1]AB4!AJ:AJ,MATCH(A163,[1]AB4!B:B,0)),TEXT(INDEX([1]AB4!AO:AO,MATCH(A163,[1]AB4!B:B,0)),"0.00%")," )")))))</f>
        <v/>
      </c>
      <c r="P163" s="39" t="str">
        <f t="array" ref="P163">IF(C162="","",IF(C167="Futures","",IF(C167="Options Sell",IF(INDEX([1]AB4!AO:AO,MATCH(A163,[1]AB4!B:B,0))="","",INDEX([1]AB4!AP:AP,MATCH(A163,[1]AB4!B:B,0))))))</f>
        <v/>
      </c>
      <c r="Q163" s="40"/>
      <c r="R163" s="35" t="str">
        <f t="array" ref="R163">IF(C162="","",IF(C167="Futures","",IF(C167="Options Sell",IF(INDEX([1]AB4!AR:AR,MATCH(A163,[1]AB4!B:B,0))="","",CONCATENATE(INDEX([1]AB4!AA:AA,MATCH(A163,[1]AB4!B:B,0))," ( ",INDEX([1]AB4!AE:AE,MATCH(A163,[1]AB4!B:B,0))," &amp; ",INDEX([1]AB4!AQ:AQ,MATCH(A163,[1]AB4!B:B,0)),INDEX([1]AB4!AJ:AJ,MATCH(A163,[1]AB4!B:B,0)),TEXT(INDEX([1]AB4!AR:AR,MATCH(A163,[1]AB4!B:B,0)),"0.00%")," )")))))</f>
        <v/>
      </c>
      <c r="S163" s="38" t="str">
        <f t="array" ref="S163">IF(C162="","",IF(C167="Futures","",IF(C167="Options Sell",IF(INDEX([1]AB4!AR:AR,MATCH(A163,[1]AB4!B:B,0))="","",INDEX([1]AB4!AS:AS,MATCH(A163,[1]AB4!B:B,0))))))</f>
        <v/>
      </c>
      <c r="T163" s="35" t="str">
        <f t="array" ref="T163">IF(C162="","",IF(C167="Futures","",IF(C167="Options Sell",IF(INDEX([1]AB4!AU:AU,MATCH(A163,[1]AB4!B:B))="","",CONCATENATE(INDEX([1]AB4!AA:AA,MATCH(A163,[1]AB4!B:B))," ( ",INDEX([1]AB4!AE:AE,MATCH(A163,[1]AB4!B:B))," &amp; ",INDEX([1]AB4!AT:AT,MATCH(A163,[1]AB4!B:B)),INDEX([1]AB4!AJ:AJ,MATCH(A163,[1]AB4!B:B)),TEXT(INDEX([1]AB4!AU:AU,MATCH(A163,[1]AB4!B:B)),"0.00%")," )")))))</f>
        <v/>
      </c>
      <c r="U163" s="38" t="str">
        <f t="array" ref="U163">IF(C162="","",IF(C167="Futures","",IF(C167="Options Sell",IF(INDEX([1]AB4!AU:AU,MATCH(A163,[1]AB4!B:B,0))="","",INDEX([1]AB4!AV:AV,MATCH(A163,[1]AB4!B:B,0))))))</f>
        <v/>
      </c>
      <c r="V163" s="35" t="str">
        <f t="array" ref="V163">IF(C162="","",IF(C167="Futures","",IF(C167="Options Sell",IF(INDEX([1]AB4!AX:AX,MATCH(A163,[1]AB4!B:B,0))="","",CONCATENATE(INDEX([1]AB4!AA:AA,MATCH(A163,[1]AB4!B:B,0))," ( ",INDEX([1]AB4!AE:AE,MATCH(A163,[1]AB4!B:B,0))," &amp; ",INDEX([1]AB4!AW:AW,MATCH(A163,[1]AB4!B:B,0)),INDEX([1]AB4!AJ:AJ,MATCH(A163,[1]AB4!B:B,0)),TEXT(INDEX([1]AB4!AX:AX,MATCH(A163,[1]AB4!B:B,0)),"0.00%")," )")))))</f>
        <v/>
      </c>
      <c r="W163" s="38" t="str">
        <f t="array" ref="W163">IF(C162="","",IF(C167="Futures","",IF(C167="Options Sell",IF(INDEX([1]AB4!AX:AX,MATCH(A163,[1]AB4!B:B,0))="","",INDEX([1]AB4!AY:AY,MATCH(A163,[1]AB4!B:B,0))))))</f>
        <v/>
      </c>
      <c r="X163" s="35" t="str">
        <f t="array" ref="X163">IF(C162="","",IF(C167="Futures","",IF(C167="Options Sell",IF(INDEX([1]AB4!BA:BA,MATCH(A163,[1]AB4!B:B,0))="","",CONCATENATE(INDEX([1]AB4!AA:AA,MATCH(A163,[1]AB4!B:B,0))," ( ",INDEX([1]AB4!AE:AE,MATCH(A163,[1]AB4!B:B,0))," &amp; ",INDEX([1]AB4!AW:AW,MATCH(A163,[1]AB4!B:B,0)),INDEX([1]AB4!AJ:AJ,MATCH(A163,[1]AB4!B:B,0)),TEXT(INDEX([1]AB4!AX:AX,MATCH(A163,[1]AB4!B:B,0)),"0.00%")," )")))))</f>
        <v/>
      </c>
      <c r="Y163" s="38" t="str">
        <f t="array" ref="Y163">IF(C162="","",IF(C167="Futures","",IF(C167="Options Sell",IF(INDEX([1]AB4!BA:BA,MATCH(A163,[1]AB4!B:B,0))="","",INDEX([1]AB4!AY:AY,MATCH(A163,[1]AB4!B:B,0))))))</f>
        <v/>
      </c>
      <c r="Z163" s="41">
        <f t="array" ref="Z163">IF(C162="","",IF(C167="Futures","",IF(C167="Options Sell",IF(INDEX([1]AB4!BD:BD,MATCH(A162,[1]AB4!B:B,0))="","",INDEX([1]AB4!AZ:AZ,MATCH(A162,[1]AB4!B:B,0))))))</f>
        <v>0</v>
      </c>
      <c r="AA163" s="42">
        <f t="array" ref="AA163">IF(C162="","",IF(C167="Futures","",IF(C167="Options Sell",IF(INDEX([1]AB4!BD:BD,MATCH(A163,[1]AB4!B:B,0))="","",INDEX([1]AB4!BB:BB,MATCH(A163,[1]AB4!B:B,0))))))</f>
        <v>0</v>
      </c>
      <c r="AB163" s="29"/>
      <c r="AC163" s="29"/>
    </row>
    <row r="164" spans="1:29" ht="6.75" customHeight="1" thickBot="1" x14ac:dyDescent="0.25">
      <c r="A164" s="15" t="str">
        <f>IF(C162="","",CONCATENATE(C163,[1]AB5!A152))</f>
        <v>S23</v>
      </c>
      <c r="B164" s="43" t="str">
        <f>IF(C162="","",[1]AB5!$B$61)</f>
        <v>Unique Code</v>
      </c>
      <c r="C164" s="44" t="str">
        <f t="array" ref="C164">IF(C162="","",IF(C167="Futures","",IF(C167="Options Sell",INDEX([1]AB2!N:N,MATCH(C162,[1]AB2!A:A,0)))))</f>
        <v>NIFTY_OP_SELL_WK_DIFF_2D_3D</v>
      </c>
      <c r="D164" s="32"/>
      <c r="E164" s="33"/>
      <c r="F164" s="45"/>
      <c r="G164" s="46"/>
      <c r="H164" s="46"/>
      <c r="I164" s="47"/>
      <c r="J164" s="33"/>
      <c r="K164" s="45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29"/>
      <c r="AC164" s="29"/>
    </row>
    <row r="165" spans="1:29" ht="42.75" customHeight="1" x14ac:dyDescent="0.2">
      <c r="A165" s="15" t="str">
        <f>IF(C162="","",CONCATENATE(C163,[1]AB5!$A$7))</f>
        <v>S23B</v>
      </c>
      <c r="B165" s="48"/>
      <c r="C165" s="49"/>
      <c r="D165" s="32"/>
      <c r="E165" s="33"/>
      <c r="F165" s="50" t="str">
        <f>IF(C162="","",IF(C167="Futures","",IF(C167="Options Sell",[1]AB5!$F$62,IF(C167="Options Buy",[1]AB5!$F$95))))</f>
        <v>Put</v>
      </c>
      <c r="G165" s="20" t="str">
        <f t="array" ref="G165">IF(C162="","",IF(C167="Futures","",IF(C167="Options Sell",CONCATENATE("( ",INDEX([1]AB4!BP:BP,MATCH(A165,[1]AB4!B:B))," ",INDEX([1]AB4!BQ:BQ,MATCH(A165,[1]AB4!B:B))," ",TEXT(INDEX([1]AB4!BR:BR,MATCH(A165,[1]AB4!B:B)),"0.00%")," ) &amp; ",INDEX([1]AB4!BS:BS,MATCH(A165,[1]AB4!B:B))),IF(C167="Options Buy",CONCATENATE("( ",INDEX([1]AB4!BP:BP,MATCH(A165,[1]AB4!B:B,0))," ",INDEX([1]AB4!BQ:BQ,MATCH(A165,[1]AB4!B:B,0))," ",TEXT(INDEX([1]AB4!BR:BR,MATCH(A165,[1]AB4!B:B,0)),"0.00%")," ) &amp; ",INDEX([1]AB4!BS:BS,MATCH(A165,[1]AB4!B:B,0)))))))</f>
        <v>( SPT : PRV : 2DHH - 5.00% ) &amp; Round Up</v>
      </c>
      <c r="H165" s="20" t="str">
        <f t="array" ref="H165">IF(C162="","",IF(C167="Futures","",IF(C167="Options Sell",CONCATENATE(INDEX([1]AB4!CE:CE,MATCH(A165,[1]AB4!B:B)),[1]AB5!$H$59,TEXT(INDEX([1]AB4!CF:CF,MATCH(A165,[1]AB4!B:B)),"0.00%")))))</f>
        <v>SPT : PRV : 2DHH * 1.20%</v>
      </c>
      <c r="I165" s="21" t="str">
        <f t="array" ref="I165">IF(C162="","",IF(C167="Futures","",IF(C167="Options Sell",CONCATENATE(INDEX([1]AB4!CI:CI,MATCH(A165,[1]AB4!B:B)),[1]AB5!$I$59))))</f>
        <v>500 Lots</v>
      </c>
      <c r="J165" s="33"/>
      <c r="K165" s="50" t="str">
        <f>IF(C162="","",IF(C167="Futures","",IF(C167="Options Sell",[1]AB5!$K$62,IF(C167="Options Buy",[1]AB5!$K$95))))</f>
        <v>Put</v>
      </c>
      <c r="L165" s="23" t="str">
        <f>IF(C162="","",IF(C167="Futures","",IF(C167="Options Sell",[1]AB5!$G$7,IF(C167="Options Buy",[1]AB5!$L$95))))</f>
        <v>E &amp; T</v>
      </c>
      <c r="M165" s="20" t="str">
        <f t="array" ref="M165">IF(C162="","",IF(C167="Futures","",IF(C167="Options Sell",CONCATENATE(INDEX([1]AB4!G:G,MATCH(A165,[1]AB4!B:B,0)),INDEX([1]AB4!H:H,MATCH(A165,[1]AB4!B:B,0)),TEXT(INDEX([1]AB4!I:I,MATCH(A165,[1]AB4!B:B,0)),"0.00%")))))</f>
        <v>OPT : PRV : 2DLL - 7.50%</v>
      </c>
      <c r="N165" s="24">
        <f t="array" ref="N165">IF(C162="","",IF(C167="Futures","",IF(C167="Options Sell",INDEX([1]AB4!J:J,MATCH(A165,[1]AB4!B:B,0)))))</f>
        <v>1</v>
      </c>
      <c r="O165" s="25" t="str">
        <f t="array" ref="O165">IF(C162="","",IF(C167="Futures","",IF(C167="Options Sell",IF(INDEX([1]AB4!N:N,MATCH(A165,[1]AB4!B:B,0))="","",CONCATENATE(INDEX([1]AB4!L:L,MATCH(A165,[1]AB4!B:B,0)),INDEX([1]AB4!M:M,MATCH(A165,[1]AB4!B:B,0)),TEXT(INDEX([1]AB4!N:N,MATCH(A165,[1]AB4!B:B,0)),"0.00%"))))))</f>
        <v>PE : Entry  - 60.00%</v>
      </c>
      <c r="P165" s="26">
        <f t="array" ref="P165">IF(C162="","",IF(C167="Futures","",IF(C167="Options Sell",IF(INDEX([1]AB4!N:N,MATCH(A165,[1]AB4!B:B,0))="","",INDEX([1]AB4!O:O,MATCH(A165,[1]AB4!B:B,0))))))</f>
        <v>1</v>
      </c>
      <c r="Q165" s="27"/>
      <c r="R165" s="25" t="str">
        <f t="array" ref="R165">IF(C162="","",IF(C167="Futures","",IF(C167="Options Sell",IF(INDEX([1]AB4!P:P,MATCH(A165,[1]AB4!B:B,0))="","",CONCATENATE(INDEX([1]AB4!L:L,MATCH(A165,[1]AB4!B:B,0)),INDEX([1]AB4!M:M,MATCH(A165,[1]AB4!B:B,0)),TEXT(INDEX([1]AB4!P:P,MATCH(A165,[1]AB4!B:B,0)),"0.00%"))))))</f>
        <v/>
      </c>
      <c r="S165" s="24" t="str">
        <f t="array" ref="S165">IF(C162="","",IF(C167="Futures","",IF(C167="Options Sell",IF(INDEX([1]AB4!P:P,MATCH(A165,[1]AB4!B:B,0))="","",INDEX([1]AB4!Q:Q,MATCH(A165,[1]AB4!B:B,0))))))</f>
        <v/>
      </c>
      <c r="T165" s="25" t="str">
        <f t="array" ref="T165">IF(C162="","",IF(C167="Futures","",IF(C167="Options Sell",IF(INDEX([1]AB4!R:R,MATCH(A165,[1]AB4!B:B,0))="","",CONCATENATE(INDEX([1]AB4!L:L,MATCH(A165,[1]AB4!B:B,0)),INDEX([1]AB4!M:M,MATCH(A165,[1]AB4!B:B,0)),TEXT(INDEX([1]AB4!R:R,MATCH(A165,[1]AB4!B:B,0)),"0.00%"))))))</f>
        <v/>
      </c>
      <c r="U165" s="24" t="str">
        <f t="array" ref="U165">IF(C162="","",IF(C167="Futures","",IF(C167="Options Sell",IF(INDEX([1]AB4!R:R,MATCH(A165,[1]AB4!B:B,0))="","",INDEX([1]AB4!S:S,MATCH(A165,[1]AB4!B:B,0))))))</f>
        <v/>
      </c>
      <c r="V165" s="25" t="str">
        <f t="array" ref="V165">IF(C165="","",IF(C167="Futures","",IF(C167="Options Sell",IF(INDEX([1]AB4!T:T,MATCH(A165,[1]AB4!B:B,0))="","",CONCATENATE(INDEX([1]AB4!L:L,MATCH(A165,[1]AB4!B:B,0)),INDEX([1]AB4!M:M,MATCH(A165,[1]AB4!B:B,0)),TEXT(INDEX([1]AB4!T:T,MATCH(A165,[1]AB4!B:B,0)),"0.00%"))))))</f>
        <v/>
      </c>
      <c r="W165" s="24" t="str">
        <f t="array" ref="W165">IF(C162="","",IF(C167="Futures","",IF(C167="Options Sell",IF(INDEX([1]AB4!T:T,MATCH(A165,[1]AB4!B:B,0))="","",INDEX([1]AB4!U:U,MATCH(A165,[1]AB4!B:B,0))))))</f>
        <v/>
      </c>
      <c r="X165" s="25" t="str">
        <f t="array" ref="X165">IF(C162="","",IF(C167="Futures","",IF(C167="Options Sell",IF(INDEX([1]AB4!V:V,MATCH(A165,[1]AB4!B:B,0))="","",INDEX([1]AB4!V:V,MATCH(A165,[1]AB4!B:B,0))))))</f>
        <v/>
      </c>
      <c r="Y165" s="24" t="str">
        <f t="array" ref="Y165">IF(C162="","",IF(C167="Futures","",IF(C167="Options Sell",IF(INDEX([1]AB4!V:V,MATCH(A165,[1]AB4!B:B,0))="","",INDEX([1]AB4!W:W,MATCH(A165,[1]AB4!B:B,0))))))</f>
        <v/>
      </c>
      <c r="Z165" s="25" t="str">
        <f t="array" ref="Z165">IF(C162="","",IF(C167="Futures","",IF(C167="Options Sell",IF(INDEX([1]AB4!X:X,MATCH(A165,[1]AB4!B:B,0))="","",INDEX([1]AB4!X:X,MATCH(A165,[1]AB4!B:B,0))))))</f>
        <v/>
      </c>
      <c r="AA165" s="28" t="str">
        <f t="array" ref="AA165">IF(C162="","",IF(C167="Futures","",IF(C167="Options Sell",IF(INDEX([1]AB4!X:X,MATCH(A165,[1]AB4!B:B,0))="","",INDEX([1]AB4!X:X,MATCH(A165,[1]AB4!Y:Y,0))))))</f>
        <v/>
      </c>
      <c r="AB165" s="29"/>
      <c r="AC165" s="29"/>
    </row>
    <row r="166" spans="1:29" ht="42.75" customHeight="1" thickBot="1" x14ac:dyDescent="0.25">
      <c r="A166" s="15" t="str">
        <f>IF(C162="","",CONCATENATE(C163,[1]AB5!$A$8))</f>
        <v>S23B</v>
      </c>
      <c r="B166" s="51"/>
      <c r="C166" s="52"/>
      <c r="D166" s="34"/>
      <c r="E166" s="53"/>
      <c r="F166" s="34"/>
      <c r="G166" s="35" t="str">
        <f t="array" ref="G166">IF(C162="","",IF(C167="Futures","",IF(C167="Options Sell",CONCATENATE("( ",INDEX([1]AB4!BT:BT,MATCH(A166,[1]AB4!B:B))," ) &amp; ",INDEX([1]AB4!BW:BW,MATCH(A166,[1]AB4!B:B))," ",INDEX([1]AB4!BX:BX,MATCH(A166,[1]AB4!B:B))," ",INDEX([1]AB4!BY:BY,MATCH(A166,[1]AB4!B:B))),IF(C167="Options Buy",CONCATENATE("( ",INDEX([1]AB4!BP:BP,MATCH(A166,[1]AB4!B:B,0))," ",INDEX([1]AB4!BQ:BQ,MATCH(A166,[1]AB4!B:B,0))," ",TEXT(INDEX([1]AB4!BR:BR,MATCH(A166,[1]AB4!B:B,0)),"0.00%")," ) &amp; ",INDEX([1]AB4!BS:BS,MATCH(A166,[1]AB4!B:B,0)))))))</f>
        <v>( SPT : PRV : 2DHH ) &amp; Round Up + 1</v>
      </c>
      <c r="H166" s="35" t="str">
        <f t="array" ref="H166">IF(C162="","",IF(C167="Futures","",IF(C167="Options Sell",CONCATENATE(INDEX([1]AB4!CG:CG,MATCH(A166,[1]AB4!B:B)),[1]AB5!$H$60,TEXT(INDEX([1]AB4!CH:CH,MATCH(A166,[1]AB4!B:B)),"0.00%")))))</f>
        <v>SPT : PRV : 2DHH * 0.90%</v>
      </c>
      <c r="I166" s="36" t="str">
        <f t="array" ref="I166">IF(C162="","",IF(C167="Futures","",IF(C167="Options Sell",CONCATENATE(INDEX([1]AB4!CJ:CJ,MATCH(A166,[1]AB4!B:B)),[1]AB5!$I$60))))</f>
        <v>1 Exp</v>
      </c>
      <c r="J166" s="53"/>
      <c r="K166" s="34"/>
      <c r="L166" s="37" t="str">
        <f>IF(C162="","",IF(C167="Futures","",IF(C167="Options Sell",[1]AB5!$G$8,IF(C167="Options Buy",[1]AB5!$L$96))))</f>
        <v>SL / TRP</v>
      </c>
      <c r="M166" s="35" t="str">
        <f t="array" ref="M166">IF(C162="","",IF(C167="Futures","",IF(C167="Options Sell",IF(INDEX([1]AB4!AL:AL,MATCH(A166,[1]AB4!B:B,0))="","",CONCATENATE(INDEX([1]AB4!AA:AA,MATCH(A166,[1]AB4!B:B,0))," ( ",INDEX([1]AB4!AE:AE,MATCH(A166,[1]AB4!B:B,0)),INDEX([1]AB4!AF:AF,MATCH(A166,[1]AB4!B:B,0)),TEXT(INDEX([1]AB4!AG:AG,MATCH(A166,[1]AB4!B:B,0)),"0.00%")," &amp; ",INDEX([1]AB4!AK:AK,MATCH(A166,[1]AB4!B:B,0)),INDEX([1]AB4!AJ:AJ,MATCH(A166,[1]AB4!B:B,0)),TEXT(INDEX([1]AB4!AL:AL,MATCH(A166,[1]AB4!B:B,0)),"0.00%")," )")))))</f>
        <v>Min ( PE : Entry  + 60.00% &amp; OPT : PRV : 3DHH + 10.00% )</v>
      </c>
      <c r="N166" s="38">
        <f t="array" ref="N166">IF(C162="","",IF(C167="Futures","",IF(C167="Options Sell",INDEX([1]AB4!AM:AM,MATCH(A166,[1]AB4!B:B,0)))))</f>
        <v>1</v>
      </c>
      <c r="O166" s="35" t="str">
        <f t="array" ref="O166">IF(C162="","",IF(C167="Futures","",IF(C167="Options Sell",IF(INDEX([1]AB4!AO:AO,MATCH(A166,[1]AB4!B:B,0))="","",CONCATENATE(INDEX([1]AB4!AA:AA,MATCH(A166,[1]AB4!B:B,0))," ( ",INDEX([1]AB4!AE:AE,MATCH(A166,[1]AB4!B:B,0))," &amp; ",INDEX([1]AB4!AN:AN,MATCH(A166,[1]AB4!B:B,0)),INDEX([1]AB4!AJ:AJ,MATCH(A166,[1]AB4!B:B,0)),TEXT(INDEX([1]AB4!AO:AO,MATCH(A166,[1]AB4!B:B,0)),"0.00%")," )")))))</f>
        <v/>
      </c>
      <c r="P166" s="39" t="str">
        <f t="array" ref="P166">IF(C162="","",IF(C167="Futures","",IF(C167="Options Sell",IF(INDEX([1]AB4!AO:AO,MATCH(A166,[1]AB4!B:B,0))="","",INDEX([1]AB4!AP:AP,MATCH(A166,[1]AB4!B:B,0))))))</f>
        <v/>
      </c>
      <c r="Q166" s="40"/>
      <c r="R166" s="35" t="str">
        <f t="array" ref="R166">IF(C162="","",IF(C167="Futures","",IF(C167="Options Sell",IF(INDEX([1]AB4!AR:AR,MATCH(A166,[1]AB4!B:B,0))="","",CONCATENATE(INDEX([1]AB4!AA:AA,MATCH(A166,[1]AB4!B:B,0))," ( ",INDEX([1]AB4!AE:AE,MATCH(A166,[1]AB4!B:B,0))," &amp; ",INDEX([1]AB4!AQ:AQ,MATCH(A166,[1]AB4!B:B,0)),INDEX([1]AB4!AJ:AJ,MATCH(A166,[1]AB4!B:B,0)),TEXT(INDEX([1]AB4!AR:AR,MATCH(A166,[1]AB4!B:B,0)),"0.00%")," )")))))</f>
        <v/>
      </c>
      <c r="S166" s="38" t="str">
        <f t="array" ref="S166">IF(C162="","",IF(C167="Futures","",IF(C167="Options Sell",IF(INDEX([1]AB4!AR:AR,MATCH(A166,[1]AB4!B:B,0))="","",INDEX([1]AB4!AS:AS,MATCH(A166,[1]AB4!B:B,0))))))</f>
        <v/>
      </c>
      <c r="T166" s="35" t="str">
        <f t="array" ref="T166">IF(C162="","",IF(C167="Futures","",IF(C167="Options Sell",IF(INDEX([1]AB4!AU:AU,MATCH(A166,[1]AB4!B:B))="","",CONCATENATE(INDEX([1]AB4!AA:AA,MATCH(A166,[1]AB4!B:B))," ( ",INDEX([1]AB4!AE:AE,MATCH(A166,[1]AB4!B:B))," &amp; ",INDEX([1]AB4!AT:AT,MATCH(A166,[1]AB4!B:B)),INDEX([1]AB4!AJ:AJ,MATCH(A166,[1]AB4!B:B)),TEXT(INDEX([1]AB4!AU:AU,MATCH(A166,[1]AB4!B:B)),"0.00%")," )")))))</f>
        <v/>
      </c>
      <c r="U166" s="38" t="str">
        <f t="array" ref="U166">IF(C162="","",IF(C167="Futures","",IF(C167="Options Sell",IF(INDEX([1]AB4!AU:AU,MATCH(A166,[1]AB4!B:B,0))="","",INDEX([1]AB4!AV:AV,MATCH(A166,[1]AB4!B:B,0))))))</f>
        <v/>
      </c>
      <c r="V166" s="35" t="str">
        <f t="array" ref="V166">IF(C165="","",IF(C167="Futures","",IF(C167="Options Sell",IF(INDEX([1]AB4!AX:AX,MATCH(A166,[1]AB4!B:B,0))="","",CONCATENATE(INDEX([1]AB4!AA:AA,MATCH(A166,[1]AB4!B:B,0))," ( ",INDEX([1]AB4!AE:AE,MATCH(A166,[1]AB4!B:B,0))," &amp; ",INDEX([1]AB4!AW:AW,MATCH(A166,[1]AB4!B:B,0)),INDEX([1]AB4!AJ:AJ,MATCH(A166,[1]AB4!B:B,0)),TEXT(INDEX([1]AB4!AX:AX,MATCH(A166,[1]AB4!B:B,0)),"0.00%")," )")))))</f>
        <v/>
      </c>
      <c r="W166" s="38" t="str">
        <f t="array" ref="W166">IF(C162="","",IF(C167="Futures","",IF(C167="Options Sell",IF(INDEX([1]AB4!AX:AX,MATCH(A166,[1]AB4!B:B,0))="","",INDEX([1]AB4!AY:AY,MATCH(A166,[1]AB4!B:B,0))))))</f>
        <v/>
      </c>
      <c r="X166" s="35" t="str">
        <f t="array" ref="X166">IF(C162="","",IF(C167="Futures","",IF(C167="Options Sell",IF(INDEX([1]AB4!BA:BA,MATCH(A166,[1]AB4!B:B,0))="","",CONCATENATE(INDEX([1]AB4!AA:AA,MATCH(A166,[1]AB4!B:B,0))," ( ",INDEX([1]AB4!AE:AE,MATCH(A166,[1]AB4!B:B,0))," &amp; ",INDEX([1]AB4!AW:AW,MATCH(A166,[1]AB4!B:B,0)),INDEX([1]AB4!AJ:AJ,MATCH(A166,[1]AB4!B:B,0)),TEXT(INDEX([1]AB4!AX:AX,MATCH(A166,[1]AB4!B:B,0)),"0.00%")," )")))))</f>
        <v/>
      </c>
      <c r="Y166" s="38" t="str">
        <f t="array" ref="Y166">IF(C162="","",IF(C167="Futures","",IF(C167="Options Sell",IF(INDEX([1]AB4!BA:BA,MATCH(A166,[1]AB4!B:B,0))="","",INDEX([1]AB4!AY:AY,MATCH(A166,[1]AB4!B:B,0))))))</f>
        <v/>
      </c>
      <c r="Z166" s="41">
        <f t="array" ref="Z166">IF(C162="","",IF(C167="Futures","",IF(C167="Options Sell",IF(INDEX([1]AB4!BD:BD,MATCH(A165,[1]AB4!B:B,0))="","",INDEX([1]AB4!AZ:AZ,MATCH(A165,[1]AB4!B:B,0))))))</f>
        <v>0</v>
      </c>
      <c r="AA166" s="42">
        <f t="array" ref="AA166">IF(C162="","",IF(C167="Futures","",IF(C167="Options Sell",IF(INDEX([1]AB4!BD:BD,MATCH(A166,[1]AB4!B:B,0))="","",INDEX([1]AB4!BB:BB,MATCH(A166,[1]AB4!B:B,0))))))</f>
        <v>0</v>
      </c>
      <c r="AB166" s="29"/>
      <c r="AC166" s="29"/>
    </row>
    <row r="167" spans="1:29" ht="18.75" customHeight="1" thickBot="1" x14ac:dyDescent="0.25">
      <c r="A167" s="15" t="str">
        <f>IF(C162="","",CONCATENATE(C163,[1]AB5!$A$9))</f>
        <v>S23C</v>
      </c>
      <c r="B167" s="30" t="str">
        <f>IF(C162="","",[1]AB5!$B$64)</f>
        <v>Segment</v>
      </c>
      <c r="C167" s="31" t="str">
        <f t="array" ref="C167">IF(C162="","",INDEX([1]AB2!C:C,MATCH(C162,[1]AB2!A:A,0)))</f>
        <v>OPTIONS SELL</v>
      </c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29"/>
      <c r="AC167" s="29"/>
    </row>
    <row r="168" spans="1:29" ht="42.75" customHeight="1" x14ac:dyDescent="0.2">
      <c r="A168" s="15" t="str">
        <f>IF(C162="","",CONCATENATE(C163,[1]AB5!$A$10))</f>
        <v>S23D</v>
      </c>
      <c r="B168" s="30" t="str">
        <f>IF(C162="","",[1]AB5!$B$65)</f>
        <v>Symbol</v>
      </c>
      <c r="C168" s="31" t="str">
        <f t="array" ref="C168">IF(C162="","",IF(C167="Futures","",IF(C167="Options Sell",INDEX([1]AB2!E:E,MATCH(C162,[1]AB2!A:A,0)))))</f>
        <v>NIFTY</v>
      </c>
      <c r="D168" s="50" t="str">
        <f>IF(C162="","",IF(C167="Futures","",IF(C167="Options Sell",[1]AB5!$D$65,IF(C167="Options Buy",[1]AB5!$D$98))))</f>
        <v>BEAR / BEAR CF</v>
      </c>
      <c r="E168" s="19"/>
      <c r="F168" s="18" t="str">
        <f>IF(C162="","",IF(C167="Futures","",IF(C167="Options Sell",[1]AB5!$F$65)))</f>
        <v>Call</v>
      </c>
      <c r="G168" s="20" t="str">
        <f t="array" ref="G168">IF(C162="","",IF(C167="Futures","",IF(C167="Options Sell",CONCATENATE("( ",INDEX([1]AB4!BP:BP,MATCH(A168,[1]AB4!B:B))," ",INDEX([1]AB4!BQ:BQ,MATCH(A168,[1]AB4!B:B))," ",TEXT(INDEX([1]AB4!BR:BR,MATCH(A168,[1]AB4!B:B)),"0.00%")," ) &amp; ",INDEX([1]AB4!BS:BS,MATCH(A168,[1]AB4!B:B))),IF(C167="Options Buy",CONCATENATE("( ",INDEX([1]AB4!BP:BP,MATCH(A168,[1]AB4!B:B,0))," ",INDEX([1]AB4!BQ:BQ,MATCH(A168,[1]AB4!B:B,0))," ",TEXT(INDEX([1]AB4!BR:BR,MATCH(A168,[1]AB4!B:B,0)),"0.00%")," ) &amp; ",INDEX([1]AB4!BS:BS,MATCH(A168,[1]AB4!B:B,0)))))))</f>
        <v>( SPT : PRV : 2DLL + 5.00% ) &amp; Round Down</v>
      </c>
      <c r="H168" s="20" t="str">
        <f t="array" ref="H168">IF(C162="","",IF(C167="Futures","",IF(C167="Options Sell",CONCATENATE(INDEX([1]AB4!CE:CE,MATCH(A168,[1]AB4!B:B)),[1]AB5!$H$59,TEXT(INDEX([1]AB4!CF:CF,MATCH(A168,[1]AB4!B:B)),"0.00%")))))</f>
        <v>SPT : PRV : 2DLL * 1.20%</v>
      </c>
      <c r="I168" s="21" t="str">
        <f t="array" ref="I168">IF(C162="","",IF(C167="Futures","",IF(C167="Options Sell",CONCATENATE(INDEX([1]AB4!CI:CI,MATCH(A168,[1]AB4!B:B)),[1]AB5!$I$59))))</f>
        <v>500 Lots</v>
      </c>
      <c r="J168" s="55" t="str">
        <f>IF(C162="","",IF(C167="Futures","",IF(C167="Options Sell",[1]AB5!$J$65,IF(C167="Options Buy",[1]AB5!$J$98))))</f>
        <v>BEAR / BEAR CF</v>
      </c>
      <c r="K168" s="18" t="str">
        <f>IF(C162="","",IF(C167="Futures","",IF(C167="Options Sell",[1]AB5!$K$65,IF(C167="Options Buy",[1]AB5!$K$98))))</f>
        <v>Call</v>
      </c>
      <c r="L168" s="23" t="str">
        <f>IF(C162="","",IF(C167="Futures","",IF(C167="Options Sell",[1]AB5!$G$10,IF(C167="Options Buy",[1]AB5!$L$98))))</f>
        <v>E &amp; T</v>
      </c>
      <c r="M168" s="20" t="str">
        <f t="array" ref="M168">IF(C162="","",IF(C167="Futures","",IF(C167="Options Sell",CONCATENATE(INDEX([1]AB4!G:G,MATCH(A168,[1]AB4!B:B,0)),INDEX([1]AB4!H:H,MATCH(A168,[1]AB4!B:B,0)),TEXT(INDEX([1]AB4!I:I,MATCH(A168,[1]AB4!B:B,0)),"0.00%")))))</f>
        <v>OPT : PRV : 2DLL - 7.50%</v>
      </c>
      <c r="N168" s="24">
        <f t="array" ref="N168">IF(C162="","",IF(C167="Futures","",IF(C167="Options Sell",INDEX([1]AB4!J:J,MATCH(A168,[1]AB4!B:B,0)))))</f>
        <v>1</v>
      </c>
      <c r="O168" s="25" t="str">
        <f t="array" ref="O168">IF(C162="","",IF(C167="Futures","",IF(C167="Options Sell",IF(INDEX([1]AB4!N:N,MATCH(A168,[1]AB4!B:B,0))="","",CONCATENATE(INDEX([1]AB4!L:L,MATCH(A168,[1]AB4!B:B,0)),INDEX([1]AB4!M:M,MATCH(A168,[1]AB4!B:B,0)),TEXT(INDEX([1]AB4!N:N,MATCH(A168,[1]AB4!B:B,0)),"0.00%"))))))</f>
        <v>CE : Entry  - 60.00%</v>
      </c>
      <c r="P168" s="26">
        <f t="array" ref="P168">IF(C162="","",IF(C167="Futures","",IF(C167="Options Sell",IF(INDEX([1]AB4!N:N,MATCH(A168,[1]AB4!B:B,0))="","",INDEX([1]AB4!O:O,MATCH(A168,[1]AB4!B:B,0))))))</f>
        <v>1</v>
      </c>
      <c r="Q168" s="27"/>
      <c r="R168" s="25" t="str">
        <f t="array" ref="R168">IF(C162="","",IF(C167="Futures","",IF(C167="Options Sell",IF(INDEX([1]AB4!P:P,MATCH(A168,[1]AB4!B:B,0))="","",CONCATENATE(INDEX([1]AB4!L:L,MATCH(A168,[1]AB4!B:B,0)),INDEX([1]AB4!M:M,MATCH(A168,[1]AB4!B:B,0)),TEXT(INDEX([1]AB4!P:P,MATCH(A168,[1]AB4!B:B,0)),"0.00%"))))))</f>
        <v/>
      </c>
      <c r="S168" s="24" t="str">
        <f t="array" ref="S168">IF(C162="","",IF(C167="Futures","",IF(C167="Options Sell",IF(INDEX([1]AB4!P:P,MATCH(A168,[1]AB4!B:B,0))="","",INDEX([1]AB4!Q:Q,MATCH(A168,[1]AB4!B:B,0))))))</f>
        <v/>
      </c>
      <c r="T168" s="25" t="str">
        <f t="array" ref="T168">IF(C162="","",IF(C167="Futures","",IF(C167="Options Sell",IF(INDEX([1]AB4!R:R,MATCH(A168,[1]AB4!B:B,0))="","",CONCATENATE(INDEX([1]AB4!L:L,MATCH(A168,[1]AB4!B:B,0)),INDEX([1]AB4!M:M,MATCH(A168,[1]AB4!B:B,0)),TEXT(INDEX([1]AB4!R:R,MATCH(A168,[1]AB4!B:B,0)),"0.00%"))))))</f>
        <v/>
      </c>
      <c r="U168" s="24" t="str">
        <f t="array" ref="U168">IF(C162="","",IF(C167="Futures","",IF(C167="Options Sell",IF(INDEX([1]AB4!R:R,MATCH(A168,[1]AB4!B:B,0))="","",INDEX([1]AB4!S:S,MATCH(A168,[1]AB4!B:B,0))))))</f>
        <v/>
      </c>
      <c r="V168" s="25" t="str">
        <f t="array" ref="V168">IF(C168="","",IF(C167="Futures","",IF(C167="Options Sell",IF(INDEX([1]AB4!T:T,MATCH(A168,[1]AB4!B:B,0))="","",CONCATENATE(INDEX([1]AB4!L:L,MATCH(A168,[1]AB4!B:B,0)),INDEX([1]AB4!M:M,MATCH(A168,[1]AB4!B:B,0)),TEXT(INDEX([1]AB4!T:T,MATCH(A168,[1]AB4!B:B,0)),"0.00%"))))))</f>
        <v/>
      </c>
      <c r="W168" s="24" t="str">
        <f t="array" ref="W168">IF(C162="","",IF(C167="Futures","",IF(C167="Options Sell",IF(INDEX([1]AB4!T:T,MATCH(A168,[1]AB4!B:B,0))="","",INDEX([1]AB4!U:U,MATCH(A168,[1]AB4!B:B,0))))))</f>
        <v/>
      </c>
      <c r="X168" s="25" t="str">
        <f t="array" ref="X168">IF(C162="","",IF(C167="Futures","",IF(C167="Options Sell",IF(INDEX([1]AB4!V:V,MATCH(A168,[1]AB4!B:B,0))="","",INDEX([1]AB4!V:V,MATCH(A168,[1]AB4!B:B,0))))))</f>
        <v/>
      </c>
      <c r="Y168" s="24" t="str">
        <f t="array" ref="Y168">IF(C162="","",IF(C167="Futures","",IF(C167="Options Sell",IF(INDEX([1]AB4!V:V,MATCH(A168,[1]AB4!B:B,0))="","",INDEX([1]AB4!W:W,MATCH(A168,[1]AB4!B:B,0))))))</f>
        <v/>
      </c>
      <c r="Z168" s="25" t="str">
        <f t="array" ref="Z168">IF(C162="","",IF(C167="Futures","",IF(C167="Options Sell",IF(INDEX([1]AB4!X:X,MATCH(A168,[1]AB4!B:B,0))="","",INDEX([1]AB4!X:X,MATCH(A168,[1]AB4!B:B,0))))))</f>
        <v/>
      </c>
      <c r="AA168" s="28" t="str">
        <f t="array" ref="AA168">IF(C162="","",IF(C167="Futures","",IF(C167="Options Sell",IF(INDEX([1]AB4!X:X,MATCH(A168,[1]AB4!B:B,0))="","",INDEX([1]AB4!X:X,MATCH(A168,[1]AB4!Y:Y,0))))))</f>
        <v/>
      </c>
      <c r="AB168" s="29"/>
      <c r="AC168" s="29"/>
    </row>
    <row r="169" spans="1:29" ht="42.75" customHeight="1" thickBot="1" x14ac:dyDescent="0.25">
      <c r="A169" s="15" t="str">
        <f>IF(C162="","",CONCATENATE(C163,[1]AB5!$A$11))</f>
        <v>S23D</v>
      </c>
      <c r="B169" s="30" t="str">
        <f>IF(C162="","",[1]AB5!$B$66)</f>
        <v>No. of TGT</v>
      </c>
      <c r="C169" s="31" t="str">
        <f t="array" ref="C169">IF(C162="","",IF(C167="Futures","",IF(C167="Options Sell",INDEX([1]AB2!K:K,MATCH(C162,[1]AB2!A:A,0)))))</f>
        <v>APS</v>
      </c>
      <c r="D169" s="32"/>
      <c r="E169" s="33"/>
      <c r="F169" s="34"/>
      <c r="G169" s="35" t="str">
        <f t="array" ref="G169">IF(C162="","",IF(C167="Futures","",IF(C167="Options Sell",CONCATENATE("( ",INDEX([1]AB4!BT:BT,MATCH(A169,[1]AB4!B:B))," ) &amp; ",INDEX([1]AB4!BW:BW,MATCH(A169,[1]AB4!B:B))," ",INDEX([1]AB4!BX:BX,MATCH(A169,[1]AB4!B:B))," ",INDEX([1]AB4!BY:BY,MATCH(A169,[1]AB4!B:B))),IF(C167="Options Buy",CONCATENATE("( ",INDEX([1]AB4!BP:BP,MATCH(A169,[1]AB4!B:B,0))," ",INDEX([1]AB4!BQ:BQ,MATCH(A169,[1]AB4!B:B,0))," ",TEXT(INDEX([1]AB4!BR:BR,MATCH(A169,[1]AB4!B:B,0)),"0.00%")," ) &amp; ",INDEX([1]AB4!BS:BS,MATCH(A169,[1]AB4!B:B,0)))))))</f>
        <v>( SPT : PRV : 2DLL ) &amp; Round Down - 1</v>
      </c>
      <c r="H169" s="35" t="str">
        <f t="array" ref="H169">IF(C162="","",IF(C167="Futures","",IF(C167="Options Sell",CONCATENATE(INDEX([1]AB4!CG:CG,MATCH(A169,[1]AB4!B:B)),[1]AB5!$H$60,TEXT(INDEX([1]AB4!CH:CH,MATCH(A169,[1]AB4!B:B)),"0.00%")))))</f>
        <v>SPT : PRV : 2DLL * 0.90%</v>
      </c>
      <c r="I169" s="36" t="str">
        <f t="array" ref="I169">IF(C162="","",IF(C167="Futures","",IF(C167="Options Sell",CONCATENATE(INDEX([1]AB4!CJ:CJ,MATCH(A169,[1]AB4!B:B)),[1]AB5!$I$60))))</f>
        <v>1 Exp</v>
      </c>
      <c r="J169" s="33"/>
      <c r="K169" s="34"/>
      <c r="L169" s="37" t="str">
        <f>IF(C162="","",IF(C167="Futures","",IF(C167="Options Sell",[1]AB5!$G$11,IF(C167="Options Buy",[1]AB5!$L$99))))</f>
        <v>SL / TRP</v>
      </c>
      <c r="M169" s="35" t="str">
        <f t="array" ref="M169">IF(C162="","",IF(C167="Futures","",IF(C167="Options Sell",IF(INDEX([1]AB4!AL:AL,MATCH(A169,[1]AB4!B:B,0))="","",CONCATENATE(INDEX([1]AB4!AA:AA,MATCH(A169,[1]AB4!B:B,0))," ( ",INDEX([1]AB4!AE:AE,MATCH(A169,[1]AB4!B:B,0)),INDEX([1]AB4!AF:AF,MATCH(A169,[1]AB4!B:B,0)),TEXT(INDEX([1]AB4!AG:AG,MATCH(A169,[1]AB4!B:B,0)),"0.00%")," &amp; ",INDEX([1]AB4!AK:AK,MATCH(A169,[1]AB4!B:B,0)),INDEX([1]AB4!AJ:AJ,MATCH(A169,[1]AB4!B:B,0)),TEXT(INDEX([1]AB4!AL:AL,MATCH(A169,[1]AB4!B:B,0)),"0.00%")," )")))))</f>
        <v>Min ( CE : Entry  + 60.00% &amp; OPT : PRV : 3DHH + 10.00% )</v>
      </c>
      <c r="N169" s="38">
        <f t="array" ref="N169">IF(C162="","",IF(C167="Futures","",IF(C167="Options Sell",INDEX([1]AB4!AM:AM,MATCH(A169,[1]AB4!B:B,0)))))</f>
        <v>1</v>
      </c>
      <c r="O169" s="35" t="str">
        <f t="array" ref="O169">IF(C162="","",IF(C167="Futures","",IF(C167="Options Sell",IF(INDEX([1]AB4!AO:AO,MATCH(A169,[1]AB4!B:B,0))="","",CONCATENATE(INDEX([1]AB4!AA:AA,MATCH(A169,[1]AB4!B:B,0))," ( ",INDEX([1]AB4!AE:AE,MATCH(A169,[1]AB4!B:B,0))," &amp; ",INDEX([1]AB4!AN:AN,MATCH(A169,[1]AB4!B:B,0)),INDEX([1]AB4!AJ:AJ,MATCH(A169,[1]AB4!B:B,0)),TEXT(INDEX([1]AB4!AO:AO,MATCH(A169,[1]AB4!B:B,0)),"0.00%")," )")))))</f>
        <v/>
      </c>
      <c r="P169" s="39" t="str">
        <f t="array" ref="P169">IF(C162="","",IF(C167="Futures","",IF(C167="Options Sell",IF(INDEX([1]AB4!AO:AO,MATCH(A169,[1]AB4!B:B,0))="","",INDEX([1]AB4!AP:AP,MATCH(A169,[1]AB4!B:B,0))))))</f>
        <v/>
      </c>
      <c r="Q169" s="40"/>
      <c r="R169" s="35" t="str">
        <f t="array" ref="R169">IF(C162="","",IF(C167="Futures","",IF(C167="Options Sell",IF(INDEX([1]AB4!AR:AR,MATCH(A169,[1]AB4!B:B,0))="","",CONCATENATE(INDEX([1]AB4!AA:AA,MATCH(A169,[1]AB4!B:B,0))," ( ",INDEX([1]AB4!AE:AE,MATCH(A169,[1]AB4!B:B,0))," &amp; ",INDEX([1]AB4!AQ:AQ,MATCH(A169,[1]AB4!B:B,0)),INDEX([1]AB4!AJ:AJ,MATCH(A169,[1]AB4!B:B,0)),TEXT(INDEX([1]AB4!AR:AR,MATCH(A169,[1]AB4!B:B,0)),"0.00%")," )")))))</f>
        <v/>
      </c>
      <c r="S169" s="38" t="str">
        <f t="array" ref="S169">IF(C162="","",IF(C167="Futures","",IF(C167="Options Sell",IF(INDEX([1]AB4!AR:AR,MATCH(A169,[1]AB4!B:B,0))="","",INDEX([1]AB4!AS:AS,MATCH(A169,[1]AB4!B:B,0))))))</f>
        <v/>
      </c>
      <c r="T169" s="35" t="str">
        <f t="array" ref="T169">IF(C162="","",IF(C167="Futures","",IF(C167="Options Sell",IF(INDEX([1]AB4!AU:AU,MATCH(A169,[1]AB4!B:B))="","",CONCATENATE(INDEX([1]AB4!AA:AA,MATCH(A169,[1]AB4!B:B))," ( ",INDEX([1]AB4!AE:AE,MATCH(A169,[1]AB4!B:B))," &amp; ",INDEX([1]AB4!AT:AT,MATCH(A169,[1]AB4!B:B)),INDEX([1]AB4!AJ:AJ,MATCH(A169,[1]AB4!B:B)),TEXT(INDEX([1]AB4!AU:AU,MATCH(A169,[1]AB4!B:B)),"0.00%")," )")))))</f>
        <v/>
      </c>
      <c r="U169" s="38" t="str">
        <f t="array" ref="U169">IF(C162="","",IF(C167="Futures","",IF(C167="Options Sell",IF(INDEX([1]AB4!AU:AU,MATCH(A169,[1]AB4!B:B,0))="","",INDEX([1]AB4!AV:AV,MATCH(A169,[1]AB4!B:B,0))))))</f>
        <v/>
      </c>
      <c r="V169" s="35" t="str">
        <f t="array" ref="V169">IF(C168="","",IF(C167="Futures","",IF(C167="Options Sell",IF(INDEX([1]AB4!AX:AX,MATCH(A169,[1]AB4!B:B,0))="","",CONCATENATE(INDEX([1]AB4!AA:AA,MATCH(A169,[1]AB4!B:B,0))," ( ",INDEX([1]AB4!AE:AE,MATCH(A169,[1]AB4!B:B,0))," &amp; ",INDEX([1]AB4!AW:AW,MATCH(A169,[1]AB4!B:B,0)),INDEX([1]AB4!AJ:AJ,MATCH(A169,[1]AB4!B:B,0)),TEXT(INDEX([1]AB4!AX:AX,MATCH(A169,[1]AB4!B:B,0)),"0.00%")," )")))))</f>
        <v/>
      </c>
      <c r="W169" s="38" t="str">
        <f t="array" ref="W169">IF(C162="","",IF(C167="Futures","",IF(C167="Options Sell",IF(INDEX([1]AB4!AX:AX,MATCH(A169,[1]AB4!B:B,0))="","",INDEX([1]AB4!AY:AY,MATCH(A169,[1]AB4!B:B,0))))))</f>
        <v/>
      </c>
      <c r="X169" s="35" t="str">
        <f t="array" ref="X169">IF(C162="","",IF(C167="Futures","",IF(C167="Options Sell",IF(INDEX([1]AB4!BA:BA,MATCH(A169,[1]AB4!B:B,0))="","",CONCATENATE(INDEX([1]AB4!AA:AA,MATCH(A169,[1]AB4!B:B,0))," ( ",INDEX([1]AB4!AE:AE,MATCH(A169,[1]AB4!B:B,0))," &amp; ",INDEX([1]AB4!AW:AW,MATCH(A169,[1]AB4!B:B,0)),INDEX([1]AB4!AJ:AJ,MATCH(A169,[1]AB4!B:B,0)),TEXT(INDEX([1]AB4!AX:AX,MATCH(A169,[1]AB4!B:B,0)),"0.00%")," )")))))</f>
        <v/>
      </c>
      <c r="Y169" s="38" t="str">
        <f t="array" ref="Y169">IF(C162="","",IF(C167="Futures","",IF(C167="Options Sell",IF(INDEX([1]AB4!BA:BA,MATCH(A169,[1]AB4!B:B,0))="","",INDEX([1]AB4!AY:AY,MATCH(A169,[1]AB4!B:B,0))))))</f>
        <v/>
      </c>
      <c r="Z169" s="41">
        <f t="array" ref="Z169">IF(C162="","",IF(C167="Futures","",IF(C167="Options Sell",IF(INDEX([1]AB4!BD:BD,MATCH(A168,[1]AB4!B:B,0))="","",INDEX([1]AB4!AZ:AZ,MATCH(A168,[1]AB4!B:B,0))))))</f>
        <v>0</v>
      </c>
      <c r="AA169" s="42">
        <f t="array" ref="AA169">IF(C168="","",IF(C167="Futures","",IF(C167="Options Sell",IF(INDEX([1]AB4!BD:BD,MATCH(A169,[1]AB4!B:B,0))="","",INDEX([1]AB4!BB:BB,MATCH(A169,[1]AB4!B:B,0))))))</f>
        <v>0</v>
      </c>
      <c r="AB169" s="29"/>
      <c r="AC169" s="29"/>
    </row>
    <row r="170" spans="1:29" ht="6.75" customHeight="1" thickBot="1" x14ac:dyDescent="0.25">
      <c r="A170" s="15" t="str">
        <f>IF(C162="","",CONCATENATE(C163,[1]AB5!A162))</f>
        <v>S23A</v>
      </c>
      <c r="B170" s="56" t="str">
        <f>IF(C162="","",IF(C167="Futures","",IF(C167="Options Sell",[1]AB5!$B$67)))</f>
        <v>I Commit To Follow The Rules &amp; Process</v>
      </c>
      <c r="C170" s="57"/>
      <c r="D170" s="32"/>
      <c r="E170" s="33"/>
      <c r="F170" s="45"/>
      <c r="G170" s="46"/>
      <c r="H170" s="46"/>
      <c r="I170" s="47"/>
      <c r="J170" s="33"/>
      <c r="K170" s="45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29"/>
      <c r="AC170" s="29"/>
    </row>
    <row r="171" spans="1:29" ht="42.75" customHeight="1" x14ac:dyDescent="0.2">
      <c r="A171" s="15" t="str">
        <f>IF(C162="","",CONCATENATE(C163,[1]AB5!$A$13))</f>
        <v>S23E</v>
      </c>
      <c r="B171" s="32"/>
      <c r="C171" s="33"/>
      <c r="D171" s="32"/>
      <c r="E171" s="33"/>
      <c r="F171" s="50" t="str">
        <f>IF(C162="","",IF(C167="Futures","",IF(C167="Options Sell",[1]AB5!$F$68)))</f>
        <v>Put</v>
      </c>
      <c r="G171" s="20" t="str">
        <f t="array" ref="G171">IF(C162="","",IF(C167="Futures","",IF(C167="Options Sell",CONCATENATE("( ",INDEX([1]AB4!BP:BP,MATCH(A171,[1]AB4!B:B))," ",INDEX([1]AB4!BQ:BQ,MATCH(A171,[1]AB4!B:B))," ",TEXT(INDEX([1]AB4!BR:BR,MATCH(A171,[1]AB4!B:B)),"0.00%")," ) &amp; ",INDEX([1]AB4!BS:BS,MATCH(A171,[1]AB4!B:B))),IF(C167="Options Buy",CONCATENATE("( ",INDEX([1]AB4!BP:BP,MATCH(A171,[1]AB4!B:B,0))," ",INDEX([1]AB4!BQ:BQ,MATCH(A171,[1]AB4!B:B,0))," ",TEXT(INDEX([1]AB4!BR:BR,MATCH(A171,[1]AB4!B:B,0)),"0.00%")," ) &amp; ",INDEX([1]AB4!BS:BS,MATCH(A171,[1]AB4!B:B,0)))))))</f>
        <v>( SPT : PRV : 3DHH - 5.00% ) &amp; Round Up</v>
      </c>
      <c r="H171" s="20" t="str">
        <f t="array" ref="H171">IF(C162="","",IF(C167="Futures","",IF(C167="Options Sell",CONCATENATE(INDEX([1]AB4!CE:CE,MATCH(A171,[1]AB4!B:B)),[1]AB5!$H$59,TEXT(INDEX([1]AB4!CF:CF,MATCH(A171,[1]AB4!B:B)),"0.00%")))))</f>
        <v>SPT : PRV : 3DHH * 1.20%</v>
      </c>
      <c r="I171" s="21" t="str">
        <f t="array" ref="I171">IF(C162="","",IF(C167="Futures","",IF(C167="Options Sell",CONCATENATE(INDEX([1]AB4!CI:CI,MATCH(A171,[1]AB4!B:B)),[1]AB5!$I$59))))</f>
        <v>500 Lots</v>
      </c>
      <c r="J171" s="33"/>
      <c r="K171" s="50" t="str">
        <f>IF(C162="","",IF(C167="Futures","",IF(C167="Options Sell",[1]AB5!$K$68,IF(C167="Options Buy",[1]AB5!$K$101))))</f>
        <v>Put</v>
      </c>
      <c r="L171" s="23" t="str">
        <f>IF(C162="","",IF(C167="Futures","",IF(C167="Options Sell",[1]AB5!$G$13,IF(C167="Options Buy",[1]AB5!$L$101))))</f>
        <v>E &amp; T</v>
      </c>
      <c r="M171" s="20" t="str">
        <f t="array" ref="M171">IF(C162="","",IF(C167="Futures","",IF(C167="Options Sell",CONCATENATE(INDEX([1]AB4!G:G,MATCH(A171,[1]AB4!B:B,0)),INDEX([1]AB4!H:H,MATCH(A171,[1]AB4!B:B,0)),TEXT(INDEX([1]AB4!I:I,MATCH(A171,[1]AB4!B:B,0)),"0.00%")))))</f>
        <v>OPT : PRV : 3DLL - 7.50%</v>
      </c>
      <c r="N171" s="24">
        <f t="array" ref="N171">IF(C162="","",IF(C167="Futures","",IF(C167="Options Sell",INDEX([1]AB4!J:J,MATCH(A171,[1]AB4!B:B,0)))))</f>
        <v>1</v>
      </c>
      <c r="O171" s="25" t="str">
        <f t="array" ref="O171">IF(C162="","",IF(C167="Futures","",IF(C167="Options Sell",IF(INDEX([1]AB4!N:N,MATCH(A171,[1]AB4!B:B,0))="","",CONCATENATE(INDEX([1]AB4!L:L,MATCH(A171,[1]AB4!B:B,0)),INDEX([1]AB4!M:M,MATCH(A171,[1]AB4!B:B,0)),TEXT(INDEX([1]AB4!N:N,MATCH(A171,[1]AB4!B:B,0)),"0.00%"))))))</f>
        <v>PE : Entry  - 60.00%</v>
      </c>
      <c r="P171" s="26">
        <f t="array" ref="P171">IF(C162="","",IF(C167="Futures","",IF(C167="Options Sell",IF(INDEX([1]AB4!N:N,MATCH(A171,[1]AB4!B:B,0))="","",INDEX([1]AB4!O:O,MATCH(A171,[1]AB4!B:B,0))))))</f>
        <v>1</v>
      </c>
      <c r="Q171" s="27"/>
      <c r="R171" s="25" t="str">
        <f t="array" ref="R171">IF(C162="","",IF(C167="Futures","",IF(C167="Options Sell",IF(INDEX([1]AB4!P:P,MATCH(A171,[1]AB4!B:B,0))="","",CONCATENATE(INDEX([1]AB4!L:L,MATCH(A171,[1]AB4!B:B,0)),INDEX([1]AB4!M:M,MATCH(A171,[1]AB4!B:B,0)),TEXT(INDEX([1]AB4!P:P,MATCH(A171,[1]AB4!B:B,0)),"0.00%"))))))</f>
        <v/>
      </c>
      <c r="S171" s="24" t="str">
        <f t="array" ref="S171">IF(C162="","",IF(C167="Futures","",IF(C167="Options Sell",IF(INDEX([1]AB4!P:P,MATCH(A171,[1]AB4!B:B,0))="","",INDEX([1]AB4!Q:Q,MATCH(A171,[1]AB4!B:B,0))))))</f>
        <v/>
      </c>
      <c r="T171" s="25" t="str">
        <f t="array" ref="T171">IF(C162="","",IF(C167="Futures","",IF(C167="Options Sell",IF(INDEX([1]AB4!R:R,MATCH(A171,[1]AB4!B:B,0))="","",CONCATENATE(INDEX([1]AB4!L:L,MATCH(A171,[1]AB4!B:B,0)),INDEX([1]AB4!M:M,MATCH(A171,[1]AB4!B:B,0)),TEXT(INDEX([1]AB4!R:R,MATCH(A171,[1]AB4!B:B,0)),"0.00%"))))))</f>
        <v/>
      </c>
      <c r="U171" s="24" t="str">
        <f t="array" ref="U171">IF(C162="","",IF(C167="Futures","",IF(C167="Options Sell",IF(INDEX([1]AB4!R:R,MATCH(A171,[1]AB4!B:B,0))="","",INDEX([1]AB4!S:S,MATCH(A171,[1]AB4!B:B,0))))))</f>
        <v/>
      </c>
      <c r="V171" s="25" t="str">
        <f t="array" ref="V171">IF(C171="","",IF(C167="Futures","",IF(C167="Options Sell",IF(INDEX([1]AB4!T:T,MATCH(A171,[1]AB4!B:B,0))="","",CONCATENATE(INDEX([1]AB4!L:L,MATCH(A171,[1]AB4!B:B,0)),INDEX([1]AB4!M:M,MATCH(A171,[1]AB4!B:B,0)),TEXT(INDEX([1]AB4!T:T,MATCH(A171,[1]AB4!B:B,0)),"0.00%"))))))</f>
        <v/>
      </c>
      <c r="W171" s="24" t="str">
        <f t="array" ref="W171">IF(C162="","",IF(C167="Futures","",IF(C167="Options Sell",IF(INDEX([1]AB4!T:T,MATCH(A171,[1]AB4!B:B,0))="","",INDEX([1]AB4!U:U,MATCH(A171,[1]AB4!B:B,0))))))</f>
        <v/>
      </c>
      <c r="X171" s="25" t="str">
        <f t="array" ref="X171">IF(C162="","",IF(C167="Futures","",IF(C167="Options Sell",IF(INDEX([1]AB4!V:V,MATCH(A171,[1]AB4!B:B,0))="","",INDEX([1]AB4!V:V,MATCH(A171,[1]AB4!B:B,0))))))</f>
        <v/>
      </c>
      <c r="Y171" s="24" t="str">
        <f t="array" ref="Y171">IF(C162="","",IF(C167="Futures","",IF(C167="Options Sell",IF(INDEX([1]AB4!V:V,MATCH(A171,[1]AB4!B:B,0))="","",INDEX([1]AB4!W:W,MATCH(A171,[1]AB4!B:B,0))))))</f>
        <v/>
      </c>
      <c r="Z171" s="25" t="str">
        <f t="array" ref="Z171">IF(C162="","",IF(C167="Futures","",IF(C167="Options Sell",IF(INDEX([1]AB4!X:X,MATCH(A171,[1]AB4!B:B,0))="","",INDEX([1]AB4!X:X,MATCH(A171,[1]AB4!B:B,0))))))</f>
        <v/>
      </c>
      <c r="AA171" s="28" t="str">
        <f t="array" ref="AA171">IF(C162="","",IF(C167="Futures","",IF(C167="Options Sell",IF(INDEX([1]AB4!X:X,MATCH(A171,[1]AB4!B:B,0))="","",INDEX([1]AB4!X:X,MATCH(A171,[1]AB4!Y:Y,0))))))</f>
        <v/>
      </c>
      <c r="AB171" s="29"/>
      <c r="AC171" s="29"/>
    </row>
    <row r="172" spans="1:29" ht="42.75" customHeight="1" thickBot="1" x14ac:dyDescent="0.25">
      <c r="A172" s="15" t="str">
        <f>IF(C162="","",CONCATENATE(C163,[1]AB5!$A$14))</f>
        <v>S23E</v>
      </c>
      <c r="B172" s="34"/>
      <c r="C172" s="53"/>
      <c r="D172" s="34"/>
      <c r="E172" s="53"/>
      <c r="F172" s="34"/>
      <c r="G172" s="35" t="str">
        <f t="array" ref="G172">IF(C162="","",IF(C167="Futures","",IF(C167="Options Sell",CONCATENATE("( ",INDEX([1]AB4!BT:BT,MATCH(A172,[1]AB4!B:B))," ) &amp; ",INDEX([1]AB4!BW:BW,MATCH(A172,[1]AB4!B:B))," ",INDEX([1]AB4!BX:BX,MATCH(A172,[1]AB4!B:B))," ",INDEX([1]AB4!BY:BY,MATCH(A172,[1]AB4!B:B))),IF(C167="Options Buy",CONCATENATE("( ",INDEX([1]AB4!BP:BP,MATCH(A172,[1]AB4!B:B,0))," ",INDEX([1]AB4!BQ:BQ,MATCH(A172,[1]AB4!B:B,0))," ",TEXT(INDEX([1]AB4!BR:BR,MATCH(A172,[1]AB4!B:B,0)),"0.00%")," ) &amp; ",INDEX([1]AB4!BS:BS,MATCH(A172,[1]AB4!B:B,0)))))))</f>
        <v>( SPT : PRV : 3DHH ) &amp; Round Up + 1</v>
      </c>
      <c r="H172" s="35" t="str">
        <f t="array" ref="H172">IF(C162="","",IF(C167="Futures","",IF(C167="Options Sell",CONCATENATE(INDEX([1]AB4!CG:CG,MATCH(A172,[1]AB4!B:B)),[1]AB5!$H$60,TEXT(INDEX([1]AB4!CH:CH,MATCH(A172,[1]AB4!B:B)),"0.00%")))))</f>
        <v>SPT : PRV : 3DHH * 0.90%</v>
      </c>
      <c r="I172" s="36" t="str">
        <f t="array" ref="I172">IF(C162="","",IF(C167="Futures","",IF(C167="Options Sell",CONCATENATE(INDEX([1]AB4!CJ:CJ,MATCH(A172,[1]AB4!B:B)),[1]AB5!$I$60))))</f>
        <v>1 Exp</v>
      </c>
      <c r="J172" s="53"/>
      <c r="K172" s="34"/>
      <c r="L172" s="37" t="str">
        <f>IF(C162="","",IF(C167="Futures","",IF(C167="Options Sell",[1]AB5!$G$14,IF(C167="Options Buy",[1]AB5!$L$102))))</f>
        <v>SL / TRP</v>
      </c>
      <c r="M172" s="35" t="str">
        <f t="array" ref="M172">IF(C162="","",IF(C167="Futures","",IF(C167="Options Sell",IF(INDEX([1]AB4!AL:AL,MATCH(A172,[1]AB4!B:B,0))="","",CONCATENATE(INDEX([1]AB4!AA:AA,MATCH(A172,[1]AB4!B:B,0))," ( ",INDEX([1]AB4!AE:AE,MATCH(A172,[1]AB4!B:B,0)),INDEX([1]AB4!AF:AF,MATCH(A172,[1]AB4!B:B,0)),TEXT(INDEX([1]AB4!AG:AG,MATCH(A172,[1]AB4!B:B,0)),"0.00%")," &amp; ",INDEX([1]AB4!AK:AK,MATCH(A172,[1]AB4!B:B,0)),INDEX([1]AB4!AJ:AJ,MATCH(A172,[1]AB4!B:B,0)),TEXT(INDEX([1]AB4!AL:AL,MATCH(A172,[1]AB4!B:B,0)),"0.00%")," )")))))</f>
        <v>Min ( PE : Entry  + 60.00% &amp; OPT : PRV : 2DHH + 7.00% )</v>
      </c>
      <c r="N172" s="38">
        <f t="array" ref="N172">IF(C162="","",IF(C167="Futures","",IF(C167="Options Sell",INDEX([1]AB4!AM:AM,MATCH(A172,[1]AB4!B:B,0)))))</f>
        <v>1</v>
      </c>
      <c r="O172" s="35" t="str">
        <f t="array" ref="O172">IF(C162="","",IF(C167="Futures","",IF(C167="Options Sell",IF(INDEX([1]AB4!AO:AO,MATCH(A172,[1]AB4!B:B,0))="","",CONCATENATE(INDEX([1]AB4!AA:AA,MATCH(A172,[1]AB4!B:B,0))," ( ",INDEX([1]AB4!AE:AE,MATCH(A172,[1]AB4!B:B,0))," &amp; ",INDEX([1]AB4!AN:AN,MATCH(A172,[1]AB4!B:B,0)),INDEX([1]AB4!AJ:AJ,MATCH(A172,[1]AB4!B:B,0)),TEXT(INDEX([1]AB4!AO:AO,MATCH(A172,[1]AB4!B:B,0)),"0.00%")," )")))))</f>
        <v/>
      </c>
      <c r="P172" s="39" t="str">
        <f t="array" ref="P172">IF(C162="","",IF(C167="Futures","",IF(C167="Options Sell",IF(INDEX([1]AB4!AO:AO,MATCH(A172,[1]AB4!B:B,0))="","",INDEX([1]AB4!AP:AP,MATCH(A172,[1]AB4!B:B,0))))))</f>
        <v/>
      </c>
      <c r="Q172" s="40"/>
      <c r="R172" s="35" t="str">
        <f t="array" ref="R172">IF(C162="","",IF(C167="Futures","",IF(C167="Options Sell",IF(INDEX([1]AB4!AR:AR,MATCH(A172,[1]AB4!B:B,0))="","",CONCATENATE(INDEX([1]AB4!AA:AA,MATCH(A172,[1]AB4!B:B,0))," ( ",INDEX([1]AB4!AE:AE,MATCH(A172,[1]AB4!B:B,0))," &amp; ",INDEX([1]AB4!AQ:AQ,MATCH(A172,[1]AB4!B:B,0)),INDEX([1]AB4!AJ:AJ,MATCH(A172,[1]AB4!B:B,0)),TEXT(INDEX([1]AB4!AR:AR,MATCH(A172,[1]AB4!B:B,0)),"0.00%")," )")))))</f>
        <v/>
      </c>
      <c r="S172" s="38" t="str">
        <f t="array" ref="S172">IF(C162="","",IF(C167="Futures","",IF(C167="Options Sell",IF(INDEX([1]AB4!AR:AR,MATCH(A172,[1]AB4!B:B,0))="","",INDEX([1]AB4!AS:AS,MATCH(A172,[1]AB4!B:B,0))))))</f>
        <v/>
      </c>
      <c r="T172" s="35" t="str">
        <f t="array" ref="T172">IF(C162="","",IF(C167="Futures","",IF(C167="Options Sell",IF(INDEX([1]AB4!AU:AU,MATCH(A172,[1]AB4!B:B))="","",CONCATENATE(INDEX([1]AB4!AA:AA,MATCH(A172,[1]AB4!B:B))," ( ",INDEX([1]AB4!AE:AE,MATCH(A172,[1]AB4!B:B))," &amp; ",INDEX([1]AB4!AT:AT,MATCH(A172,[1]AB4!B:B)),INDEX([1]AB4!AJ:AJ,MATCH(A172,[1]AB4!B:B)),TEXT(INDEX([1]AB4!AU:AU,MATCH(A172,[1]AB4!B:B)),"0.00%")," )")))))</f>
        <v/>
      </c>
      <c r="U172" s="38" t="str">
        <f t="array" ref="U172">IF(C162="","",IF(C167="Futures","",IF(C167="Options Sell",IF(INDEX([1]AB4!AU:AU,MATCH(A172,[1]AB4!B:B,0))="","",INDEX([1]AB4!AV:AV,MATCH(A172,[1]AB4!B:B,0))))))</f>
        <v/>
      </c>
      <c r="V172" s="35" t="str">
        <f t="array" ref="V172">IF(C171="","",IF(C167="Futures","",IF(C167="Options Sell",IF(INDEX([1]AB4!AX:AX,MATCH(A172,[1]AB4!B:B,0))="","",CONCATENATE(INDEX([1]AB4!AA:AA,MATCH(A172,[1]AB4!B:B,0))," ( ",INDEX([1]AB4!AE:AE,MATCH(A172,[1]AB4!B:B,0))," &amp; ",INDEX([1]AB4!AW:AW,MATCH(A172,[1]AB4!B:B,0)),INDEX([1]AB4!AJ:AJ,MATCH(A172,[1]AB4!B:B,0)),TEXT(INDEX([1]AB4!AX:AX,MATCH(A172,[1]AB4!B:B,0)),"0.00%")," )")))))</f>
        <v/>
      </c>
      <c r="W172" s="38" t="str">
        <f t="array" ref="W172">IF(C162="","",IF(C167="Futures","",IF(C167="Options Sell",IF(INDEX([1]AB4!AX:AX,MATCH(A172,[1]AB4!B:B,0))="","",INDEX([1]AB4!AY:AY,MATCH(A172,[1]AB4!B:B,0))))))</f>
        <v/>
      </c>
      <c r="X172" s="35" t="str">
        <f t="array" ref="X172">IF(C162="","",IF(C167="Futures","",IF(C167="Options Sell",IF(INDEX([1]AB4!BA:BA,MATCH(A172,[1]AB4!B:B,0))="","",CONCATENATE(INDEX([1]AB4!AA:AA,MATCH(A172,[1]AB4!B:B,0))," ( ",INDEX([1]AB4!AE:AE,MATCH(A172,[1]AB4!B:B,0))," &amp; ",INDEX([1]AB4!AW:AW,MATCH(A172,[1]AB4!B:B,0)),INDEX([1]AB4!AJ:AJ,MATCH(A172,[1]AB4!B:B,0)),TEXT(INDEX([1]AB4!AX:AX,MATCH(A172,[1]AB4!B:B,0)),"0.00%")," )")))))</f>
        <v/>
      </c>
      <c r="Y172" s="38" t="str">
        <f t="array" ref="Y172">IF(C162="","",IF(C167="Futures","",IF(C167="Options Sell",IF(INDEX([1]AB4!BA:BA,MATCH(A172,[1]AB4!B:B,0))="","",INDEX([1]AB4!AY:AY,MATCH(A172,[1]AB4!B:B,0))))))</f>
        <v/>
      </c>
      <c r="Z172" s="41">
        <f t="array" ref="Z172">IF(C162="","",IF(C167="Futures","",IF(C167="Options Sell",IF(INDEX([1]AB4!BD:BD,MATCH(A171,[1]AB4!B:B,0))="","",INDEX([1]AB4!AZ:AZ,MATCH(A171,[1]AB4!B:B,0))))))</f>
        <v>0</v>
      </c>
      <c r="AA172" s="42">
        <f t="array" ref="AA172">IF(C162="","",IF(C167="Futures","",IF(C167="Options Sell",IF(INDEX([1]AB4!BD:BD,MATCH(A172,[1]AB4!B:B,0))="","",INDEX([1]AB4!BB:BB,MATCH(A172,[1]AB4!B:B,0))))))</f>
        <v>0</v>
      </c>
      <c r="AB172" s="29"/>
      <c r="AC172" s="29"/>
    </row>
    <row r="173" spans="1:29" ht="15.75" customHeight="1" thickBot="1" x14ac:dyDescent="0.25">
      <c r="A173" s="15"/>
      <c r="B173" s="54"/>
      <c r="C173" s="54"/>
      <c r="D173" s="54"/>
      <c r="E173" s="54"/>
      <c r="F173" s="54"/>
      <c r="G173" s="54"/>
      <c r="H173" s="54"/>
      <c r="I173" s="54"/>
      <c r="J173" s="54"/>
      <c r="K173" s="15"/>
      <c r="L173" s="58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15"/>
      <c r="AB173" s="60"/>
      <c r="AC173" s="60"/>
    </row>
    <row r="174" spans="1:29" ht="44.25" customHeight="1" thickBot="1" x14ac:dyDescent="0.25">
      <c r="A174" s="15"/>
      <c r="B174" s="61" t="str">
        <f>IF(C162="","",IF(C167="Futures","",IF(C167="Options Sell",[1]AB5!$B$71,IF(C167="Options Buy",[1]AB5!$B$104))))</f>
        <v>For Entry</v>
      </c>
      <c r="C174" s="62"/>
      <c r="D174" s="63" t="str">
        <f>IF(C162="","",IF(C167="Futures","",IF(C167="Options Sell",[1]AB5!$D$71,IF(C167="Options Buy",[1]AB5!$D$104))))</f>
        <v>Gap Check</v>
      </c>
      <c r="E174" s="64" t="str">
        <f>IF(C162="","",IF(C167="Futures","",IF(C167="Options Sell",[1]AB5!$E$71,IF(C167="Options Buy",[1]AB5!$E$104))))</f>
        <v>Process</v>
      </c>
      <c r="F174" s="65"/>
      <c r="G174" s="66" t="str">
        <f>IF(C162="","",IF(C167="Futures","",IF(C167="Options Sell",[1]AB5!$G$71,IF(C167="Options Buy",[1]AB5!$G$104))))</f>
        <v>Yes / No</v>
      </c>
      <c r="H174" s="67" t="str">
        <f>IF(C162="","",IF(C167="Futures","",IF(C167="Options Sell",[1]AB5!$H$71,IF(C167="Options Buy",[1]AB5!$H$104))))</f>
        <v>Order Status</v>
      </c>
      <c r="I174" s="68" t="str">
        <f>IF(C162="","",IF(C167="Futures","",IF(C167="Options Sell",[1]AB5!$I$71,IF(C167="Options Buy",[1]AB5!$D$92))))</f>
        <v>Step 1</v>
      </c>
      <c r="J174" s="69" t="str">
        <f>IF(C162="","",IF(C167="Futures","",IF(C167="Options Sell",[1]AB5!$J$71,IF(C167="Options Buy",[1]AB5!$J$104))))</f>
        <v>Order Placement Timings</v>
      </c>
      <c r="K174" s="65"/>
      <c r="L174" s="70" t="str">
        <f>IF(C162="","",IF(C167="Futures","",IF(C167="Options Sell",[1]AB5!$L$71,IF(C167="Options Buy",[1]AB5!$L$104))))</f>
        <v>Time</v>
      </c>
      <c r="M174" s="68" t="str">
        <f>IF(C162="","",IF(C167="Futures","",IF(C167="Options Sell",[1]AB5!$M$71,IF(C167="Options Buy",[1]AB5!$M$104))))</f>
        <v>Rules For Gap = Step 1 Start Strike</v>
      </c>
      <c r="N174" s="66" t="str">
        <f>IF(C162="","",IF(C167="Futures","",IF(C167="Options Sell",[1]AB5!$N$71,IF(C167="Options Buy",[1]AB5!$N$104))))</f>
        <v>Start Strike Buffer</v>
      </c>
      <c r="O174" s="68" t="str">
        <f>IF(C162="","",IF(C167="Futures","",IF(C167="Options Sell",[1]AB5!$O$71,IF(C167="Options Buy",[1]AB5!$O$104))))</f>
        <v>Rules For Gap = Step 2 End Strike</v>
      </c>
      <c r="P174" s="69" t="str">
        <f>IF(C162="","",IF(C167="Futures","",IF(C167="Options Sell",[1]AB5!$P$71,IF(C167="Options Buy",[1]AB5!$P$104))))</f>
        <v>End Strike Buffer</v>
      </c>
      <c r="Q174" s="65"/>
      <c r="R174" s="65"/>
      <c r="S174" s="71" t="str">
        <f>IF(C162="","",IF(C167="Futures","",IF(C167="Options Sell",[1]AB5!$S$71,IF(C167="Options Buy",[1]AB5!$S$104))))</f>
        <v>Data</v>
      </c>
      <c r="T174" s="72" t="str">
        <f>IF(C162="","",IF(C167="Futures","",IF(C167="Options Sell",[1]AB5!$T$71,IF(C167="Options Buy",[1]AB5!$T$104))))</f>
        <v xml:space="preserve"> Ideal Premium</v>
      </c>
      <c r="U174" s="65"/>
      <c r="V174" s="68" t="str">
        <f>IF(C162="","",IF(C167="Futures","",IF(C167="Options Sell",[1]AB5!$V$71,IF(C167="Options Buy",[1]AB5!$V$104))))</f>
        <v>Minimum Premium</v>
      </c>
      <c r="W174" s="68" t="str">
        <f>IF(C162="","",IF(C167="Futures","",IF(C167="Options Sell",[1]AB5!$W$71,IF(C167="Options Buy",[1]AB5!$W$104))))</f>
        <v>Minimum OI</v>
      </c>
      <c r="X174" s="73" t="str">
        <f>IF(C162="","",IF(C167="Futures","",IF(C167="Options Sell",[1]AB5!$X$71,IF(C167="Options Buy",[1]AB5!$X$104))))</f>
        <v>Rules For Gap = Step 3 Revised Option Entry</v>
      </c>
      <c r="Y174" s="65"/>
      <c r="Z174" s="68" t="str">
        <f>IF(C162="","",IF(C167="Futures","",IF(C167="Options Sell",[1]AB5!$Z$71,[1]AB5!$Z$104)))</f>
        <v>Data</v>
      </c>
      <c r="AA174" s="74" t="str">
        <f>IF(C162="","",IF(C167="Futures","",IF(C167="Options Sell",[1]AB5!$AA$71,IF(C167="Options Buy",[1]AB5!$AA$104))))</f>
        <v>Buffer</v>
      </c>
      <c r="AB174" s="75"/>
      <c r="AC174" s="75"/>
    </row>
    <row r="175" spans="1:29" ht="44.25" customHeight="1" x14ac:dyDescent="0.2">
      <c r="A175" s="15" t="str">
        <f>IF(C162="","",CONCATENATE(C163,[1]AB5!$A$4))</f>
        <v>S23A</v>
      </c>
      <c r="B175" s="76" t="str">
        <f>IF(C162="","",IF(C167="Futures","",IF(C167="Options Sell",[1]AB5!$B$72,IF(C167="Options Buy",[1]AB5!$B$105))))</f>
        <v xml:space="preserve">ORPT </v>
      </c>
      <c r="C175" s="77" t="str">
        <f>IF(C162="","",IF(C167="Futures","",IF(C167="Options Sell",[1]AB5!$C$72,IF(C167="Options Buy",[1]AB5!$C$105))))</f>
        <v xml:space="preserve"> RC. Time</v>
      </c>
      <c r="D175" s="18" t="str">
        <f>IF(C162="","",IF(C167="Futures","",IF(C167="Options Sell",[1]AB5!$D$72,IF(C167="Options Buy",[1]AB5!$D$105))))</f>
        <v>For Call Sell Entry</v>
      </c>
      <c r="E175" s="78" t="str">
        <f>IF(C162="","",IF(C167="Futures","",IF(C167="Options Sell",CONCATENATE([1]AB5!$E$72,TEXT(B176,"HH:MM:SS AM/PM"),[1]AB5!$F$72))))</f>
        <v>Check If 09:24:59 AM LL &lt; Call Sell Entry</v>
      </c>
      <c r="F175" s="79"/>
      <c r="G175" s="80" t="str">
        <f>IF(C162="","",IF(C167="Futures","",IF(C167="Options Sell",[1]AB5!$G$72,IF(C167="Options Buy",[1]AB5!$G$105))))</f>
        <v>No</v>
      </c>
      <c r="H175" s="81" t="str">
        <f>IF(C162="","",IF(C167="Futures","",IF(C167="Options Sell",[1]AB5!$H$72)))</f>
        <v>Entry Not Missed</v>
      </c>
      <c r="I175" s="82" t="str">
        <f>IF(C162="","",IF(C167="Futures","",IF(C167="Options Sell",[1]AB5!$I$72)))</f>
        <v>Place the Order at ORPT</v>
      </c>
      <c r="J175" s="83" t="str">
        <f>IF(C162="","",IF(C167="Futures","",IF(C167="Options Sell",[1]AB5!$J$72)))</f>
        <v>ORPT Time</v>
      </c>
      <c r="K175" s="27"/>
      <c r="L175" s="84">
        <f>IF(C162="","",IF(C167="Futures","",IF(C167="Options Sell",B176)))</f>
        <v>0.39235416666666667</v>
      </c>
      <c r="M175" s="85" t="str">
        <f>IF(C162="","",IF(C167="Futures","",IF(C167="Options Sell",[1]AB5!$M$72)))</f>
        <v>N.A.</v>
      </c>
      <c r="N175" s="86" t="str">
        <f>IF(C162="","",IF(C167="Futures","",IF(C167="Options Sell",[1]AB5!$N$72)))</f>
        <v>N.A.</v>
      </c>
      <c r="O175" s="85" t="str">
        <f>IF(C162="","",IF(C167="Futures","",IF(C167="Options Sell",[1]AB5!$O$72)))</f>
        <v>N.A.</v>
      </c>
      <c r="P175" s="87" t="str">
        <f>IF(C162="","",IF(C167="Futures","",IF(C167="Options Sell",[1]AB5!$P$72)))</f>
        <v>N.A.</v>
      </c>
      <c r="Q175" s="88"/>
      <c r="R175" s="27"/>
      <c r="S175" s="89" t="str">
        <f>IF(C162="","",IF(C167="Futures","",IF(C167="Options Sell",[1]AB5!$S$72)))</f>
        <v>N.A.</v>
      </c>
      <c r="T175" s="90" t="str">
        <f>IF(C162="","",IF(C167="Futures","",IF(C167="Options Sell",[1]AB5!$T$72)))</f>
        <v>N.A.</v>
      </c>
      <c r="U175" s="27"/>
      <c r="V175" s="91" t="str">
        <f>IF(C162="","",IF(C167="Futures","",IF(C167="Options Sell",[1]AB5!$V$72)))</f>
        <v>N.A.</v>
      </c>
      <c r="W175" s="91" t="str">
        <f>IF(C162="","",IF(C167="Futures","",IF(C167="Options Sell",[1]AB5!$W$72)))</f>
        <v>N.A.</v>
      </c>
      <c r="X175" s="83" t="str">
        <f>IF(C162="","",IF(C167="Futures","",IF(C167="Options Sell",[1]AB5!$X$72)))</f>
        <v>N.A.</v>
      </c>
      <c r="Y175" s="27"/>
      <c r="Z175" s="89" t="str">
        <f>IF(C162="","",IF(C167="Futures","",IF(C167="Options Sell",[1]AB5!$Z$72)))</f>
        <v>N.A.</v>
      </c>
      <c r="AA175" s="92" t="str">
        <f>IF(C162="","",IF(C167="Futures","",IF(C167="Options Sell",[1]AB5!$AA$72)))</f>
        <v>N.A.</v>
      </c>
      <c r="AB175" s="75"/>
      <c r="AC175" s="75"/>
    </row>
    <row r="176" spans="1:29" ht="57" customHeight="1" x14ac:dyDescent="0.2">
      <c r="A176" s="93" t="str">
        <f>IF(C162="","",CONCATENATE(C163,[1]AB5!$A$7))</f>
        <v>S23B</v>
      </c>
      <c r="B176" s="94">
        <f t="array" ref="B176">IF(C162="","",INDEX([1]AB4!BE:BE,MATCH(A175,[1]AB4!B:B,0)))</f>
        <v>0.39235416666666667</v>
      </c>
      <c r="C176" s="95">
        <f t="array" ref="C176">IF(C162="","", INDEX([1]AB4!BE:BE,MATCH(A176,[1]AB4!B:B,0)))</f>
        <v>0.39582638888888888</v>
      </c>
      <c r="D176" s="32"/>
      <c r="E176" s="96"/>
      <c r="F176" s="97"/>
      <c r="G176" s="98" t="str">
        <f>IF(C162="","",IF(C167="Futures","",IF(C167="Options Sell",[1]AB5!$G$73,IF(C167="Options Buy",[1]AB5!$G$106))))</f>
        <v>Yes</v>
      </c>
      <c r="H176" s="99" t="str">
        <f>IF(C162="","",IF(C167="Futures","",IF(C167="Options Sell",[1]AB5!$H$73)))</f>
        <v>Entry Missed</v>
      </c>
      <c r="I176" s="100" t="str">
        <f>IF(C162="","",IF(C167="Futures","",IF(C167="Options Sell",[1]AB5!$I$73)))</f>
        <v>Recalcuate : Call Sell Entry : Bull / Bull CF</v>
      </c>
      <c r="J176" s="101" t="str">
        <f>IF(C162="","",IF(C167="Futures","",IF(C167="Options Sell",[1]AB5!$J$73)))</f>
        <v>Wait Till Recalculation Time</v>
      </c>
      <c r="K176" s="102"/>
      <c r="L176" s="103">
        <f>IF(C162="","",IF(C167="Futures","",IF(C167="Options Sell",C176)))</f>
        <v>0.39582638888888888</v>
      </c>
      <c r="M176" s="104" t="str">
        <f t="array" ref="M176">IF(C162="","",IF(C167="Futures","",IF(C167="Options Sell",CONCATENATE([1]AB5!$M$73, "( ",INDEX([1]AB4!BP:BP,MATCH(A162,[1]AB4!B:B,0))," &amp; ",S176," ) ",INDEX([1]AB4!BQ:BQ,MATCH(A162,[1]AB4!B:B))," ",N176," ) &amp; ",INDEX([1]AB4!BS:BS,MATCH(A162,[1]AB4!B:B,0))))))</f>
        <v>Min of ( SPT : PRV : 3DLL &amp; 09:29:59 AM LL ) + 5.00% ) &amp; Round Down</v>
      </c>
      <c r="N176" s="105" t="str">
        <f t="array" ref="N176">IF(A162="","",IF(C167="Futures","",IF(C167="Options Sell",TEXT(INDEX([1]AB4!CR:CR,MATCH(A162,[1]AB4!B:B,0)),"0.00%"))))</f>
        <v>5.00%</v>
      </c>
      <c r="O176" s="104" t="str">
        <f t="array" ref="O176">IF(C162="","",IF(C167="Futures","",IF(C167="Options Sell",CONCATENATE([1]AB5!$O$73,"( ",INDEX([1]AB4!BT:BT,MATCH(A162,[1]AB4!B:B,0))," &amp; ",S176," ) &amp; ",INDEX([1]AB4!BW:BW,MATCH(A162,[1]AB4!B:B,0))," ",INDEX([1]AB4!BX:BX,MATCH(A162,[1]AB4!B:B,0))," ",INDEX([1]AB4!BY:BY,MATCH(A162,[1]AB4!B:B,0))))))</f>
        <v>Min of ( SPT : PRV : 3DLL &amp; 09:29:59 AM LL ) &amp; Round Down - 1</v>
      </c>
      <c r="P176" s="106" t="str">
        <f t="array" ref="P176">IF(A162="","",IF(C167="Futures","",IF(C167="Options Sell",IF(INDEX([1]AB4!CS:CS,MATCH(A162,[1]AB4!B:B,0))="","",TEXT(INDEX([1]AB4!CS:CS,MATCH(A162,[1]AB4!B:B,0)),"0.00%")))))</f>
        <v/>
      </c>
      <c r="Q176" s="107"/>
      <c r="R176" s="102"/>
      <c r="S176" s="105" t="str">
        <f>IF(C162="","",IF(C167="Futures","",IF(C167="Options Sell",CONCATENATE(TEXT(L176,"HH:MM:SS AM/PM"),[1]AB5!$S$73))))</f>
        <v>09:29:59 AM LL</v>
      </c>
      <c r="T176" s="101" t="str">
        <f t="array" ref="T176">IF(C162="","",IF(C167="Futures","",IF(C167="Options Sell",CONCATENATE([1]AB5!$T$73,"( ",INDEX([1]AB4!CE:CE,MATCH(A162,[1]AB4!B:B,0))," &amp; ",S176," ) ",[1]AB5!$H$59,TEXT(INDEX([1]AB4!CF:CF,MATCH(A162,[1]AB4!B:B,0)),"0.00%")))))</f>
        <v>Min of ( SPT : PRV : 3DLL &amp; 09:29:59 AM LL )  * 1.20%</v>
      </c>
      <c r="U176" s="102"/>
      <c r="V176" s="104" t="str">
        <f t="array" ref="V176">IF(C162="","",IF(C167="Futures","",IF(C167="Options Sell",CONCATENATE([1]AB5!$V$73,"( ",INDEX([1]AB4!CG:CG,MATCH(A162,[1]AB4!B:B,0))," &amp; ",S176," ) ",[1]AB5!$H$59,TEXT(INDEX([1]AB4!CH:CH,MATCH(A162,[1]AB4!B:B,0)),"0.00%")))))</f>
        <v>Min of ( SPT : PRV : 3DLL &amp; 09:29:59 AM LL )  * 0.90%</v>
      </c>
      <c r="W176" s="104" t="str">
        <f>IF(A162="","",IF(C167="Futures","",IF(C167="Options Sell",I162)))</f>
        <v>500 Lots</v>
      </c>
      <c r="X176" s="101" t="str">
        <f t="array" ref="X176">IF(C162="","",IF(C167="Futures","",IF(C167="Options Sell",CONCATENATE([1]AB5!$X$73,"( ",INDEX([1]AB4!G:G,MATCH(A162,[1]AB4!B:B,0))," &amp; ",Z176," ) ",INDEX([1]AB4!H:H,MATCH(A162,[1]AB4!B:B,0))," ",AA176))))</f>
        <v>Min of ( OPT : PRV : 3DLL &amp; 09:29:59 AM LL )  -  7.50%</v>
      </c>
      <c r="Y176" s="102"/>
      <c r="Z176" s="108" t="str">
        <f>IF(C162="","",IF(C167="Futures","",IF(C167="Options Sell",CONCATENATE(TEXT(L176,"HH:MM:SS AM/PM"),[1]AB5!$S$73))))</f>
        <v>09:29:59 AM LL</v>
      </c>
      <c r="AA176" s="109" t="str">
        <f t="array" ref="AA176">IF(A162="","",IF(C167="Futures","",IF(C167="Options Sell",TEXT(INDEX([1]AB4!BK:BK,MATCH(A162,[1]AB4!B:B,0)),"0.00%"))))</f>
        <v>7.50%</v>
      </c>
      <c r="AB176" s="75"/>
      <c r="AC176" s="75"/>
    </row>
    <row r="177" spans="1:29" ht="57" customHeight="1" thickBot="1" x14ac:dyDescent="0.25">
      <c r="A177" s="15"/>
      <c r="B177" s="110"/>
      <c r="C177" s="111"/>
      <c r="D177" s="112"/>
      <c r="E177" s="12"/>
      <c r="F177" s="13"/>
      <c r="G177" s="14"/>
      <c r="H177" s="14"/>
      <c r="I177" s="100" t="str">
        <f>IF(C162="","",IF(C167="Futures","",IF(C167="Options Sell",[1]AB5!$I$74)))</f>
        <v>Recalcuate : Call Sell Entry : Bear / Bear CF</v>
      </c>
      <c r="J177" s="101" t="str">
        <f>IF(C162="","",IF(C167="Futures","",IF(C167="Options Sell",[1]AB5!$J$74)))</f>
        <v>Wait Till Recalculation Time</v>
      </c>
      <c r="K177" s="102"/>
      <c r="L177" s="103">
        <f>IF(C162="","",IF(C167="Futures","",IF(C167="Options Sell",C176)))</f>
        <v>0.39582638888888888</v>
      </c>
      <c r="M177" s="104" t="str">
        <f t="array" ref="M177">IF(C162="","",IF(C167="Futures","",IF(C167="Options Sell",CONCATENATE([1]AB5!$M$74,"( ",INDEX([1]AB4!BP:BP,MATCH(A168,[1]AB4!B:B,0))," &amp; ",S177," ) ",INDEX([1]AB4!BQ:BQ,MATCH(A168,[1]AB4!B:B,0))," ",N177," ) &amp; ",INDEX([1]AB4!BS:BS,MATCH(A168,[1]AB4!B:B,0))))))</f>
        <v>Min of ( SPT : PRV : 2DLL &amp; 09:29:59 AM LL ) + 5.00% ) &amp; Round Down</v>
      </c>
      <c r="N177" s="105" t="str">
        <f t="array" ref="N177">IF(A162="","",IF(C167="Futures","",IF(C167="Options Sell",TEXT(INDEX([1]AB4!CR:CR,MATCH(A168,[1]AB4!B:B,0)),"0.00%"))))</f>
        <v>5.00%</v>
      </c>
      <c r="O177" s="104" t="str">
        <f t="array" ref="O177">IF(C162="","",IF(C167="Futures","",IF(C167="Options Sell",CONCATENATE([1]AB5!$O$74,"( ",INDEX([1]AB4!BT:BT,MATCH(A168,[1]AB4!B:B,0))," &amp; ",S177," ) &amp; ",INDEX([1]AB4!BW:BW,MATCH(A168,[1]AB4!B:B,0))," ",INDEX([1]AB4!BX:BX,MATCH(A168,[1]AB4!B:B,0))," ",INDEX([1]AB4!BY:BY,MATCH(A168,[1]AB4!B:B,0))))))</f>
        <v>Min of ( SPT : PRV : 2DLL &amp; 09:29:59 AM LL ) &amp; Round Down - 1</v>
      </c>
      <c r="P177" s="106" t="str">
        <f t="array" ref="P177">IF(A162="","",IF(C167="Futures","",IF(C167="Options Sell",IF(INDEX([1]AB4!CS:CS,MATCH(A168,[1]AB4!B:B,0))="","",TEXT(INDEX([1]AB4!CS:CS,MATCH(A168,[1]AB4!B:B,0)),"0.00%")))))</f>
        <v/>
      </c>
      <c r="Q177" s="107"/>
      <c r="R177" s="102"/>
      <c r="S177" s="105" t="str">
        <f>IF(C162="","",IF(C167="Futures","",IF(C167="Options Sell",CONCATENATE(TEXT(L177,"HH:MM:SS AM/PM"),[1]AB5!$S$74))))</f>
        <v>09:29:59 AM LL</v>
      </c>
      <c r="T177" s="101" t="str">
        <f t="array" ref="T177">IF(C162="","",IF(C167="Futures","",IF(C167="Options Sell",CONCATENATE([1]AB5!$T$74," of ( ",INDEX([1]AB4!CE:CE,MATCH(A168,[1]AB4!B:B,0))," &amp; ",S176," ) ",[1]AB5!$H$59,TEXT(INDEX([1]AB4!CF:CF,MATCH(A168,[1]AB4!B:B,0)),"0.00%")))))</f>
        <v>Min of  of ( SPT : PRV : 2DLL &amp; 09:29:59 AM LL )  * 1.20%</v>
      </c>
      <c r="U177" s="102"/>
      <c r="V177" s="104" t="str">
        <f t="array" ref="V177">IF(C162="","",IF(C167="Futures","",IF(C167="Options Sell",CONCATENATE([1]AB5!$V$74,"( ",INDEX([1]AB4!CG:CG,MATCH(A168,[1]AB4!B:B,0))," &amp; ",S177," ) ",[1]AB5!$H$59,TEXT(INDEX([1]AB4!CH:CH,MATCH(A168,[1]AB4!B:B,0)),"0.00%")))))</f>
        <v>Min of ( SPT : PRV : 2DLL &amp; 09:29:59 AM LL )  * 0.90%</v>
      </c>
      <c r="W177" s="104" t="str">
        <f>IF(A162="","",IF(C167="Futures","",IF(C167="Options Sell",I168)))</f>
        <v>500 Lots</v>
      </c>
      <c r="X177" s="101" t="str">
        <f t="array" ref="X177">IF(C162="","",IF(C167="Futures","",IF(C167="Options Sell",CONCATENATE([1]AB5!$X$74,"( ",INDEX([1]AB4!G:G,MATCH(A168,[1]AB4!B:B,0))," &amp; ",Z177," ) ", INDEX([1]AB4!H:H,MATCH(A168,[1]AB4!B:B,0))," ",AA177))))</f>
        <v>Min of ( OPT : PRV : 2DLL &amp; 09:29:59 AM LL )  -  7.50%</v>
      </c>
      <c r="Y177" s="102"/>
      <c r="Z177" s="108" t="str">
        <f>IF(C162="","",IF(C167="Futures","",IF(C167="Options Sell",CONCATENATE(TEXT(L177,"HH:MM:SS AM/PM"), [1]AB5!$S$74))))</f>
        <v>09:29:59 AM LL</v>
      </c>
      <c r="AA177" s="109" t="str">
        <f t="array" ref="AA177">IF(A162="","",IF(C167="Futures","",IF(C167="Options Sell",TEXT(INDEX([1]AB4!BK:BK,MATCH(A168,[1]AB4!B:B,0)),"0.00%"))))</f>
        <v>7.50%</v>
      </c>
      <c r="AB177" s="75"/>
      <c r="AC177" s="75"/>
    </row>
    <row r="178" spans="1:29" ht="44.25" customHeight="1" x14ac:dyDescent="0.2">
      <c r="A178" s="15"/>
      <c r="B178" s="113" t="str">
        <f>IF(C162="","",IF(C167="Futures","",IF(C167="Options Sell",[1]AB5!$B$75,IF(C167="Options Buy",[1]AB5!$B$108))))</f>
        <v>For SL (Position = Open)</v>
      </c>
      <c r="C178" s="114"/>
      <c r="D178" s="115" t="str">
        <f>IF(C162="","",IF(C167="Futures","",IF(C167="Options Sell",[1]AB5!$D$75,IF(C167="Options Buy",[1]AB5!$D$108))))</f>
        <v>For Put Sell Entry</v>
      </c>
      <c r="E178" s="116" t="str">
        <f>IF(C162="","",IF(C167="Futures","",IF(C167="Options Sell",CONCATENATE([1]AB5!$E$75,TEXT(B176,"HH:MM:SS AM/PM"),[1]AB5!$F$75))))</f>
        <v>Check If 09:24:59 AM LL &lt; Put Sell Entry</v>
      </c>
      <c r="F178" s="4"/>
      <c r="G178" s="117" t="str">
        <f>IF(C162="","",IF(C167="Futures","",IF(C167="Options Sell",[1]AB5!$G$75,IF(C167="Options Buy",[1]AB5!$G$108))))</f>
        <v>No</v>
      </c>
      <c r="H178" s="118" t="str">
        <f>IF(C162="","",IF(C167="Futures","",IF(C167="Options Sell",[1]AB5!$H$75)))</f>
        <v>Entry Not Missed</v>
      </c>
      <c r="I178" s="119" t="str">
        <f>IF(C162="","",IF(C167="Futures","",IF(C167="Options Sell",[1]AB5!$I$75)))</f>
        <v>Place the Order at ORPT</v>
      </c>
      <c r="J178" s="120" t="str">
        <f>IF(C162="","",IF(C167="Futures","",IF(C167="Options Sell",[1]AB5!$J$75)))</f>
        <v>ORPT Time</v>
      </c>
      <c r="K178" s="102"/>
      <c r="L178" s="121">
        <f>IF(C162="","",IF(C167="Futures","",IF(C167="Options Sell",B176)))</f>
        <v>0.39235416666666667</v>
      </c>
      <c r="M178" s="118" t="str">
        <f>IF(C162="","",IF(C167="Futures","",IF(C167="Options Sell",[1]AB5!$M$75)))</f>
        <v>N.A.</v>
      </c>
      <c r="N178" s="122" t="str">
        <f>IF(C162="","",IF(C167="Futures","",IF(C167="Options Sell",[1]AB5!$N$75)))</f>
        <v>N.A.</v>
      </c>
      <c r="O178" s="118" t="str">
        <f>IF(C162="","",IF(C167="Futures","",IF(C167="Options Sell",[1]AB5!$O$75)))</f>
        <v>N.A.</v>
      </c>
      <c r="P178" s="123" t="str">
        <f>IF(C162="","",IF(C167="Futures","",IF(C167="Options Sell",[1]AB5!$P$75)))</f>
        <v>N.A.</v>
      </c>
      <c r="Q178" s="107"/>
      <c r="R178" s="102"/>
      <c r="S178" s="118" t="str">
        <f>IF(C162="","",IF(C167="Futures","",IF(C167="Options Sell",[1]AB5!$S$75)))</f>
        <v>N.A.</v>
      </c>
      <c r="T178" s="124" t="str">
        <f>IF(C162="","",IF(C167="Futures","",IF(C167="Options Sell",[1]AB5!$T$75)))</f>
        <v>N.A.</v>
      </c>
      <c r="U178" s="102"/>
      <c r="V178" s="125" t="str">
        <f>IF(C162="","",IF(C167="Futures","",IF(C167="Options Sell",[1]AB5!$V$75)))</f>
        <v>N.A.</v>
      </c>
      <c r="W178" s="125" t="str">
        <f>IF(C162="","",IF(C167="Futures","",IF(C167="Options Sell",[1]AB5!$W$75)))</f>
        <v>N.A.</v>
      </c>
      <c r="X178" s="120" t="str">
        <f>IF(C162="","",IF(C167="Futures","",IF(C167="Options Sell",[1]AB5!$X$75)))</f>
        <v>N.A.</v>
      </c>
      <c r="Y178" s="102"/>
      <c r="Z178" s="126" t="str">
        <f>IF(C162="","",IF(C167="Futures","",IF(C167="Options Sell",[1]AB5!$Z$75)))</f>
        <v>N.A.</v>
      </c>
      <c r="AA178" s="127" t="str">
        <f>IF(C162="","",IF(C167="Futures","",IF(C167="Options Sell",[1]AB5!$AA$75)))</f>
        <v>N.A.</v>
      </c>
      <c r="AB178" s="75"/>
      <c r="AC178" s="75"/>
    </row>
    <row r="179" spans="1:29" ht="57" customHeight="1" x14ac:dyDescent="0.2">
      <c r="A179" s="15" t="str">
        <f>IF(C162="","",CONCATENATE(C163,[1]AB5!$A$4))</f>
        <v>S23A</v>
      </c>
      <c r="B179" s="128" t="str">
        <f>IF(C162="","",IF(C167="Futures","",IF(C167="Options Sell",[1]AB5!$B$76,IF(C167="Options Buy",[1]AB5!$B$109))))</f>
        <v xml:space="preserve">ORPT </v>
      </c>
      <c r="C179" s="129" t="str">
        <f>IF(C162="","",IF(C167="Futures","",IF(C167="Options Sell",[1]AB5!$C$76,IF(C167="Options Buy",[1]AB5!$C$109))))</f>
        <v xml:space="preserve"> RC. Time</v>
      </c>
      <c r="D179" s="32"/>
      <c r="E179" s="96"/>
      <c r="F179" s="97"/>
      <c r="G179" s="130" t="str">
        <f>IF(C162="","",IF(C167="Futures","",IF(C167="Options Sell",[1]AB5!$G$76,IF(C167="Options Buy",[1]AB5!$G$109))))</f>
        <v>Yes</v>
      </c>
      <c r="H179" s="131" t="str">
        <f>IF(C162="","",IF(C167="Futures","",IF(C167="Options Sell",[1]AB5!$H$76)))</f>
        <v>Entry Missed</v>
      </c>
      <c r="I179" s="119" t="str">
        <f>IF(C162="","",IF(C167="Futures","",IF(C167="Options Sell",[1]AB5!$I$76)))</f>
        <v>Recalcuate : Put Sell Entry : Bull / Bull CF</v>
      </c>
      <c r="J179" s="120" t="str">
        <f>IF(C162="","",IF(C167="Futures","",IF(C167="Options Sell",[1]AB5!$J$76)))</f>
        <v>Wait Till Recalculation Time</v>
      </c>
      <c r="K179" s="102"/>
      <c r="L179" s="121">
        <f>IF(C162="","",IF(C167="Futures","",IF(C167="Options Sell",C176)))</f>
        <v>0.39582638888888888</v>
      </c>
      <c r="M179" s="118" t="str">
        <f t="array" ref="M179">IF(C162="","",IF(C167="Futures","",IF(C167="Options Sell",CONCATENATE([1]AB5!$M$76, "( ",INDEX([1]AB4!BP:BP,MATCH(A165,[1]AB4!B:B,0))," &amp; ",S179," ) ",INDEX([1]AB4!BQ:BQ,MATCH(A165,[1]AB4!B:B,0))," ",N179," ) &amp; ",INDEX([1]AB4!BS:BS,MATCH(A165,[1]AB4!B:B,0))))))</f>
        <v>Max of ( SPT : PRV : 2DHH &amp; 09:29:59 AM LL ) - 5.00% ) &amp; Round Up</v>
      </c>
      <c r="N179" s="122" t="str">
        <f t="array" ref="N179">IF(A162="","",IF(C167="Futures","",IF(C167="Options Sell",TEXT(INDEX([1]AB4!CR:CR,MATCH(A165,[1]AB4!B:B,0)),"0.00%"))))</f>
        <v>5.00%</v>
      </c>
      <c r="O179" s="118" t="str">
        <f t="array" ref="O179">IF(C162="","",IF(C167="Futures","",IF(C167="Options Sell",CONCATENATE([1]AB5!$O$76,"( ",INDEX([1]AB4!BT:BT,MATCH(A165,[1]AB4!B:B,0))," &amp; ",S179," ) &amp; ",INDEX([1]AB4!BW:BW,MATCH(A165,[1]AB4!B:B,0))," ",INDEX([1]AB4!BX:BX,MATCH(A165,[1]AB4!B:B,0))," ",INDEX([1]AB4!BY:BY,MATCH(A165,[1]AB4!B:B,0))))))</f>
        <v>Max of ( SPT : PRV : 2DHH &amp; 09:29:59 AM LL ) &amp; Round Up + 1</v>
      </c>
      <c r="P179" s="123" t="str">
        <f t="array" ref="P179">IF(A162="","",IF(C167="Futures","",IF(C167="Options Sell",IF(INDEX([1]AB4!CS:CS,MATCH(A165,[1]AB4!B:B,0))="","",TEXT(INDEX([1]AB4!CS:CS,MATCH(A165,[1]AB4!B:B,0)),"0.00%")))))</f>
        <v/>
      </c>
      <c r="Q179" s="107"/>
      <c r="R179" s="102"/>
      <c r="S179" s="132" t="str">
        <f>IF(C162="","",IF(C167="Futures","",IF(C167="Options Sell",CONCATENATE(TEXT(L179,"HH:MM:SS AM/PM"),[1]AB5!$S$76))))</f>
        <v>09:29:59 AM LL</v>
      </c>
      <c r="T179" s="120" t="str">
        <f t="array" ref="T179">IF(C162="","",IF(C167="Futures","",IF(C167="Options Sell",CONCATENATE([1]AB5!$T$76,"( ",INDEX([1]AB4!CE:CE,MATCH(A165,[1]AB4!B:B,0))," &amp; ",S179," ) ",[1]AB5!$H$59,TEXT(INDEX([1]AB4!CF:CF,MATCH(A165,[1]AB4!B:B,0)),"0.00%")))))</f>
        <v>Min of ( SPT : PRV : 2DHH &amp; 09:29:59 AM LL )  * 1.20%</v>
      </c>
      <c r="U179" s="102"/>
      <c r="V179" s="118" t="str">
        <f t="array" ref="V179">IF(C162="","",IF(C167="Futures","",IF(C167="Options Sell",CONCATENATE([1]AB5!$V$76,"( ",INDEX([1]AB4!CG:CG,MATCH(A165,[1]AB4!B:B,0))," &amp; ",S179," ) ",[1]AB5!$H$59,TEXT(INDEX([1]AB4!CH:CH,MATCH(A165,[1]AB4!B:B,0)),"0.00%")))))</f>
        <v>Min of ( SPT : PRV : 2DHH &amp; 09:29:59 AM LL )  * 0.90%</v>
      </c>
      <c r="W179" s="118" t="str">
        <f>IF(A162="","",IF(C167="Futures","",IF(C167="Options Sell",I165)))</f>
        <v>500 Lots</v>
      </c>
      <c r="X179" s="120" t="str">
        <f t="array" ref="X179">IF(C162="","",IF(C167="Futures","",IF(C167="Options Sell",CONCATENATE([1]AB5!$X$76,"( ",INDEX([1]AB4!G:G,MATCH(A165,[1]AB4!B:B,0))," &amp; ",Z179," ) ", INDEX([1]AB4!H:H,MATCH(A165,[1]AB4!B:B,0))," ",AA179))))</f>
        <v>Min of ( OPT : PRV : 2DLL &amp; 09:29:59 AM LL )  -  7.50%</v>
      </c>
      <c r="Y179" s="102"/>
      <c r="Z179" s="133" t="str">
        <f>IF(C162="","",IF(C167="Futures","",IF(C167="Options Sell",CONCATENATE(TEXT(L179,"HH:MM:SS AM/PM"), [1]AB5!$S$76))))</f>
        <v>09:29:59 AM LL</v>
      </c>
      <c r="AA179" s="134" t="str">
        <f t="array" ref="AA179">IF(A162="","",IF(C167="Futures","",IF(C167="Options Sell",TEXT(INDEX([1]AB4!BK:BK,MATCH(A165,[1]AB4!B:B,0)),"0.00%"))))</f>
        <v>7.50%</v>
      </c>
      <c r="AB179" s="75"/>
      <c r="AC179" s="75"/>
    </row>
    <row r="180" spans="1:29" ht="57" customHeight="1" thickBot="1" x14ac:dyDescent="0.25">
      <c r="A180" s="15" t="str">
        <f>IF(C162="","",CONCATENATE(C163,[1]AB5!$A$7))</f>
        <v>S23B</v>
      </c>
      <c r="B180" s="135">
        <f t="array" ref="B180">IF(C162="","", IF(C167="Futures","",IF(C167="Options Sell",INDEX([1]AB4!BF:BF,MATCH(A179,[1]AB4!B:B,0)))))</f>
        <v>0.39235416666666667</v>
      </c>
      <c r="C180" s="136">
        <f t="array" ref="C180">IF(C162="","", IF(C167="Futures","",IF(C167="Options Sell",INDEX([1]AB4!BF:BF,MATCH(A180,[1]AB4!B:B,0)))))</f>
        <v>0.39582638888888888</v>
      </c>
      <c r="D180" s="34"/>
      <c r="E180" s="111"/>
      <c r="F180" s="137"/>
      <c r="G180" s="138"/>
      <c r="H180" s="138"/>
      <c r="I180" s="139" t="str">
        <f>IF(C162="","",IF(C167="Futures","",IF(C167="Options Sell",[1]AB5!$I$77)))</f>
        <v>Recalcuate : Put Sell Entry : Bear / Bear CF</v>
      </c>
      <c r="J180" s="140" t="str">
        <f>IF(C162="","",IF(C167="Futures","",IF(C167="Options Sell",[1]AB5!$J$77)))</f>
        <v>Wait Till Recalculation Time</v>
      </c>
      <c r="K180" s="40"/>
      <c r="L180" s="141">
        <f>IF(C162="","",IF(C167="Futures","",IF(C167="Options Sell",C176)))</f>
        <v>0.39582638888888888</v>
      </c>
      <c r="M180" s="142" t="str">
        <f t="array" ref="M180">IF(C162="","",IF(C167="Futures","",IF(C167="Options Sell",CONCATENATE([1]AB5!$M$77, "( ",INDEX([1]AB4!BP:BP,MATCH(A171,[1]AB4!B:B,0))," &amp; ",S180," ) ", INDEX([1]AB4!BQ:BQ,MATCH(A171,[1]AB4!B:B,0))," ",N180," ) &amp; ",INDEX([1]AB4!BS:BS,MATCH(A171,[1]AB4!B:B,0))))))</f>
        <v>Max of ( SPT : PRV : 3DHH &amp; 09:29:59 AM LL ) - 5.00% ) &amp; Round Up</v>
      </c>
      <c r="N180" s="143" t="str">
        <f t="array" ref="N180">IF(A162="","",IF(C167="Futures","",IF(C167="Options Sell",TEXT(INDEX([1]AB4!CR:CR,MATCH(A171,[1]AB4!B:B,0)),"0.00%"))))</f>
        <v>5.00%</v>
      </c>
      <c r="O180" s="142" t="str">
        <f t="array" ref="O180">IF(C162="","",IF(C167="Futures","",IF(C167="Options Sell",CONCATENATE([1]AB5!$O$77,"( ",INDEX([1]AB4!BT:BT,MATCH(A171,[1]AB4!B:B,0))," &amp; ",S180," ) &amp; ",INDEX([1]AB4!BW:BW,MATCH(A171,[1]AB4!B:B,0))," ",INDEX([1]AB4!BX:BX,MATCH(A171,[1]AB4!B:B,0))," ",INDEX([1]AB4!BY:BY,MATCH(A171,[1]AB4!B:B,0))))))</f>
        <v>Max of ( SPT : PRV : 3DHH &amp; 09:29:59 AM LL ) &amp; Round Up + 1</v>
      </c>
      <c r="P180" s="144" t="str">
        <f t="array" ref="P180">IF(A162="","",IF(C167="Futures","",IF(C167="Options Sell",IF(INDEX([1]AB4!CS:CS,MATCH(A171,[1]AB4!B:B,0))="","",TEXT(INDEX([1]AB4!CS:CS,MATCH(A171,[1]AB4!B:B,0)),"0.00%")))))</f>
        <v/>
      </c>
      <c r="Q180" s="145"/>
      <c r="R180" s="40"/>
      <c r="S180" s="146" t="str">
        <f>IF(C162="","",IF(C167="Futures","",IF(C167="Options Sell",CONCATENATE(TEXT(L180,"HH:MM:SS AM/PM"),[1]AB5!$S$77))))</f>
        <v>09:29:59 AM LL</v>
      </c>
      <c r="T180" s="140" t="str">
        <f t="array" ref="T180">IF(C162="","",IF(C167="Futures","",IF(C167="Options Sell",CONCATENATE([1]AB5!$T$77,"( ",INDEX([1]AB4!CE:CE,MATCH(A171,[1]AB4!B:B,0))," &amp; ",S180," ) ",[1]AB5!$H$59,TEXT(INDEX([1]AB4!CF:CF,MATCH(A171,[1]AB4!B:B,0)),"0.00%")))))</f>
        <v>Min of ( SPT : PRV : 3DHH &amp; 09:29:59 AM LL )  * 1.20%</v>
      </c>
      <c r="U180" s="40"/>
      <c r="V180" s="142" t="str">
        <f t="array" ref="V180">IF(C162="","",IF(C167="Futures","",IF(C167="Options Sell",CONCATENATE([1]AB5!$V$77,"( ",INDEX([1]AB4!CG:CG,MATCH(A171,[1]AB4!B:B,0))," &amp; ",S180," ) ",[1]AB5!$H$59,TEXT(INDEX([1]AB4!CH:CH,MATCH(A171,[1]AB4!B:B,0)),"0.00%")))))</f>
        <v>Min of ( SPT : PRV : 3DHH &amp; 09:29:59 AM LL )  * 0.90%</v>
      </c>
      <c r="W180" s="142" t="str">
        <f>IF(A162="","",IF(C167="Futures","",IF(C167="Options Sell",I171)))</f>
        <v>500 Lots</v>
      </c>
      <c r="X180" s="140" t="str">
        <f t="array" ref="X180">IF(C162="","",IF(C167="Futures","",IF(C167="Options Sell",CONCATENATE([1]AB5!$X$77,"( ",INDEX([1]AB4!G:G,MATCH(A171,[1]AB4!B:B,0))," &amp; ",Z180," ) ", INDEX([1]AB4!H:H,MATCH(A171,[1]AB4!B:B,0))," ",AA180))))</f>
        <v>Min of ( OPT : PRV : 3DLL &amp; 09:29:59 AM LL )  -  7.50%</v>
      </c>
      <c r="Y180" s="40"/>
      <c r="Z180" s="147" t="str">
        <f>IF(C162="","",IF(C167="Futures","",IF(C167="Options Sell",CONCATENATE(TEXT(L180,"HH:MM:SS AM/PM"), [1]AB5!$S$77))))</f>
        <v>09:29:59 AM LL</v>
      </c>
      <c r="AA180" s="148" t="str">
        <f t="array" ref="AA180">IF(A162="","",IF(C167="Futures","",IF(C167="Options Sell",TEXT(INDEX([1]AB4!BK:BK,MATCH(A171,[1]AB4!B:B,0)),"0.00%"))))</f>
        <v>7.50%</v>
      </c>
      <c r="AB180" s="75"/>
      <c r="AC180" s="75"/>
    </row>
    <row r="181" spans="1:29" ht="8.25" customHeight="1" thickBot="1" x14ac:dyDescent="0.2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49"/>
      <c r="L181" s="15"/>
      <c r="M181" s="15"/>
      <c r="N181" s="15"/>
      <c r="O181" s="75"/>
      <c r="P181" s="15"/>
      <c r="Q181" s="15"/>
      <c r="R181" s="15"/>
      <c r="S181" s="15"/>
      <c r="T181" s="15"/>
      <c r="U181" s="15"/>
      <c r="V181" s="15"/>
      <c r="W181" s="15"/>
      <c r="X181" s="15"/>
      <c r="Y181" s="75"/>
      <c r="Z181" s="75"/>
      <c r="AA181" s="75"/>
      <c r="AB181" s="75"/>
      <c r="AC181" s="75"/>
    </row>
    <row r="182" spans="1:29" ht="44.25" customHeight="1" thickBot="1" x14ac:dyDescent="0.25">
      <c r="A182" s="54"/>
      <c r="B182" s="113" t="str">
        <f>IF(C162="","",IF(C167="Futures","",IF(C167="Options Sell",[1]AB5!$B$79,IF(C167="Options Buy",[1]AB5!$B$112))))</f>
        <v>For TGT (Position = Open)</v>
      </c>
      <c r="C182" s="114"/>
      <c r="D182" s="63" t="str">
        <f>IF(C162="","",IF(C167="Futures","",IF(C167="Options Sell",[1]AB5!$D$79,IF(C167="Options Buy",[1]AB5!$D$112))))</f>
        <v>Gap Check</v>
      </c>
      <c r="E182" s="64" t="str">
        <f>IF(C162="","",IF(C167="Futures","",IF(C167="Options Sell",[1]AB5!$E$79,IF(C167="Options Buy",[1]AB5!$E$112))))</f>
        <v>Process</v>
      </c>
      <c r="F182" s="65"/>
      <c r="G182" s="66" t="str">
        <f>IF(C162="","",IF(C167="Futures","",IF(C167="Options Sell",[1]AB5!$G$79,IF(C167="Options Buy",[1]AB5!$G$112))))</f>
        <v>Y / N</v>
      </c>
      <c r="H182" s="67" t="str">
        <f>IF(C162="","",IF(C167="Futures","",IF(C167="Options Sell",[1]AB5!$H$79,IF(C167="Options Buy",[1]AB5!$H$112))))</f>
        <v>Status</v>
      </c>
      <c r="I182" s="68" t="str">
        <f>IF(C162="","",IF(C167="Futures","",IF(C167="Options Sell",[1]AB5!$I$79,IF(C167="Options Buy",[1]AB5!$I$112))))</f>
        <v>Step 1</v>
      </c>
      <c r="J182" s="69" t="str">
        <f>IF(C162="","",IF(C167="Futures","",IF(C167="Options Sell",[1]AB5!$J$79,IF(C167="Options Buy",[1]AB5!$J$112))))</f>
        <v>Order Placement Timings</v>
      </c>
      <c r="K182" s="65"/>
      <c r="L182" s="70" t="str">
        <f>IF(C162="","",IF(C167="Futures","",IF(C167="Options Sell",[1]AB5!$L$79,IF(C167="Options Buy",[1]AB5!$L$112))))</f>
        <v>Time</v>
      </c>
      <c r="M182" s="68" t="str">
        <f>IF(C162="","",IF(C167="Futures","",IF(C167="Options Sell",[1]AB5!$M$79,IF(C167="Options Buy",[1]AB5!$M$112))))</f>
        <v>Rules For Gaps</v>
      </c>
      <c r="N182" s="67" t="str">
        <f>IF(C162="","",IF(C167="Futures","",IF(C167="Options Sell",[1]AB5!$N$79,IF(C167="Options Buy",[1]AB5!$N$112))))</f>
        <v>Data</v>
      </c>
      <c r="O182" s="74" t="str">
        <f>IF(C162="","",IF(C167="Futures","",IF(C167="Options Sell",[1]AB5!$O$79,IF(C167="Options Buy",[1]AB5!$O$112))))</f>
        <v>Buffer</v>
      </c>
      <c r="P182" s="70" t="str">
        <f>IF(C162="","",IF(C167="Futures","",IF(C167="Options Sell",[1]AB5!$P$79,IF(C167="Options Buy",[1]AB5!$P$112))))</f>
        <v>Monthly Status</v>
      </c>
      <c r="Q182" s="70" t="str">
        <f>IF(C162="","",IF(C167="Futures","",IF(C167="Options Sell",[1]AB5!$Q$79,IF(C167="Options Buy",[1]AB5!$Q$112))))</f>
        <v>Options Type</v>
      </c>
      <c r="R182" s="150" t="str">
        <f>IF(C162="","",IF(C167="Futures","",IF(C167="Options Sell",[1]AB5!$R$79,IF(C167="Options Buy",[1]AB5!$R$112))))</f>
        <v>Start Strike</v>
      </c>
      <c r="S182" s="151" t="str">
        <f>IF(C162="","",IF(C167="Futures","",IF(C167="Options Sell",[1]AB5!$S$79,IF(C167="Options Buy",[1]AB5!$S$112))))</f>
        <v>End Strike</v>
      </c>
      <c r="T182" s="152"/>
      <c r="U182" s="151" t="str">
        <f>IF(C162="","",IF(C167="Futures","",IF(C167="Options Sell",[1]AB5!$U$79,IF(C167="Options Buy",[1]AB5!$U$112))))</f>
        <v>Ideal Premium</v>
      </c>
      <c r="V182" s="152"/>
      <c r="W182" s="151" t="str">
        <f>IF(C162="","",IF(C167="Futures","",IF(C167="Options Sell",[1]AB5!$W$79,IF(C167="Options Buy",[1]AB5!$W$112))))</f>
        <v>Minimum Premium</v>
      </c>
      <c r="X182" s="152"/>
      <c r="Y182" s="150" t="str">
        <f>IF(C162="","",IF(C167="Futures","",IF(C167="Options Sell",[1]AB5!$Y$79,IF(C167="Options Buy",[1]AB5!$Y$112))))</f>
        <v>Minimum OI</v>
      </c>
      <c r="Z182" s="151" t="str">
        <f>IF(C162="","",IF(C167="Futures","",IF(C167="Options Sell",[1]AB5!$Z$79,IF(C167="Options Buy",[1]AB5!$Z$112))))</f>
        <v>Option Entry</v>
      </c>
      <c r="AA182" s="152"/>
      <c r="AB182" s="153"/>
      <c r="AC182" s="153"/>
    </row>
    <row r="183" spans="1:29" ht="44.25" customHeight="1" x14ac:dyDescent="0.2">
      <c r="A183" s="15" t="str">
        <f>IF(C162="","",CONCATENATE(C163,[1]AB5!$A$4))</f>
        <v>S23A</v>
      </c>
      <c r="B183" s="128" t="str">
        <f>IF(C162="","",IF(C167="Futures","",IF(C167="Options Sell",[1]AB5!$B$80,IF(C167="Options Buy",[1]AB5!$B$113))))</f>
        <v xml:space="preserve">ORPT </v>
      </c>
      <c r="C183" s="129" t="str">
        <f>IF(C162="","",IF(C167="Futures","",IF(C167="Options Sell",[1]AB5!$C$80,IF(C167="Options Buy",[1]AB5!$C$113))))</f>
        <v xml:space="preserve"> RC. Time</v>
      </c>
      <c r="D183" s="154" t="str">
        <f>IF(C162="","",IF(C167="Futures","",IF(C167="Options Sell",[1]AB5!$D$80,IF(C167="Options Buy",[1]AB5!$D$113))))</f>
        <v>For Call Sell SL</v>
      </c>
      <c r="E183" s="155" t="str">
        <f>IF(C162="","",IF(C167="Futures","",IF(C167="Options Sell",CONCATENATE([1]AB5!$E$80,TEXT(B184,"HH:MM:SS AM/PM"),[1]AB5!$B$81,[1]AB5!$F$80))))</f>
        <v>Check If  09:15:00 AM HH &gt; Call Sell SL</v>
      </c>
      <c r="F183" s="156"/>
      <c r="G183" s="157" t="str">
        <f>IF(C162="","",IF(C167="Futures","",IF(C167="Options Sell",[1]AB5!$G$80,IF(C167="Options Buy",[1]AB5!$G$113))))</f>
        <v>No</v>
      </c>
      <c r="H183" s="158" t="str">
        <f>IF(C162="","",IF(C167="Futures","",IF(C167="Options Sell",[1]AB5!$H$80)))</f>
        <v>FSL / TRP Not Missed</v>
      </c>
      <c r="I183" s="159" t="str">
        <f>IF(C162="","",IF(C167="Futures","",IF(C167="Options Sell",[1]AB5!$I$80)))</f>
        <v>Place the Order at ORPT</v>
      </c>
      <c r="J183" s="160" t="str">
        <f>IF(C162="","",IF(C167="Futures","",IF(C167="Options Sell",[1]AB5!$J$80)))</f>
        <v>ORPT Time</v>
      </c>
      <c r="K183" s="161"/>
      <c r="L183" s="162">
        <f>IF(C162="","",IF(C167="Futures","",IF(C167="Options Sell",B180)))</f>
        <v>0.39235416666666667</v>
      </c>
      <c r="M183" s="163" t="str">
        <f>IF(C162="","",IF(C167="Futures","",IF(C167="Options Sell",[1]AB5!$M$80)))</f>
        <v>N.A.</v>
      </c>
      <c r="N183" s="158" t="str">
        <f>IF(C162="","",IF(C167="Futures","",IF(C167="Options Sell",[1]AB5!$N$80)))</f>
        <v>N.A.</v>
      </c>
      <c r="O183" s="164" t="str">
        <f>IF(C162="","",IF(C167="Futures","",IF(C167="Options Sell",[1]AB5!$O$80)))</f>
        <v>N.A.</v>
      </c>
      <c r="P183" s="165" t="str">
        <f>IF(C162="","",[1]AB5!$P$80)</f>
        <v>BULL / BULL CF</v>
      </c>
      <c r="Q183" s="166" t="str">
        <f>IF(C162="","",[1]AB5!$Q$80)</f>
        <v>Call</v>
      </c>
      <c r="R183" s="167" t="str">
        <f t="array" ref="R183">IF(C162="","",IF(C167="Futures","",IF(C167="Options Sell",CONCATENATE([1]AB5!$M$73, "( ",INDEX([1]AB4!BP:BP,MATCH(A162,[1]AB4!B:B,0))," &amp; ",[1]AB5!$R$80," ) ",INDEX([1]AB4!BQ:BQ,MATCH(A162,[1]AB4!B:B))," ",N176," ) &amp; ",INDEX([1]AB4!BS:BS,MATCH(A162,[1]AB4!B:B,0))))))</f>
        <v>Min of ( SPT : PRV : 3DLL &amp; SPT : CDLL ) + 5.00% ) &amp; Round Down</v>
      </c>
      <c r="S183" s="168" t="str">
        <f t="array" ref="S183">IF(C162="","",IF(C167="Futures","",IF(C167="Options Sell",CONCATENATE([1]AB5!$O$73,"( ",INDEX([1]AB4!BT:BT,MATCH(A162,[1]AB4!B:B,0))," &amp; ",[1]AB5!$S$80," ) &amp; ",INDEX([1]AB4!BW:BW,MATCH(A162,[1]AB4!B:B,0))," ",INDEX([1]AB4!BX:BX,MATCH(A162,[1]AB4!B:B,0))," ",INDEX([1]AB4!BY:BY,MATCH(A162,[1]AB4!B:B,0))))))</f>
        <v>Min of ( SPT : PRV : 3DLL &amp; SPT : CDLL ) &amp; Round Down - 1</v>
      </c>
      <c r="T183" s="27"/>
      <c r="U183" s="168" t="str">
        <f t="array" ref="U183">IF(C162="","",IF(C167="Futures","",IF(C167="Options Sell",CONCATENATE([1]AB5!$T$73,"( ",INDEX([1]AB4!CE:CE,MATCH(A162,[1]AB4!B:B,0))," &amp; ",[1]AB5!$U$80," ) ",[1]AB5!$H$59,TEXT(INDEX([1]AB4!CF:CF,MATCH(A162,[1]AB4!B:B,0)),"0.00%")))))</f>
        <v>Min of ( SPT : PRV : 3DLL &amp; SPT : CDLL )  * 1.20%</v>
      </c>
      <c r="V183" s="27"/>
      <c r="W183" s="168" t="str">
        <f t="array" ref="W183">IF(C162="","",IF(C167="Futures","",IF(C167="Options Sell",CONCATENATE([1]AB5!$V$73,"( ",INDEX([1]AB4!CG:CG,MATCH(A162,[1]AB4!B:B,0))," &amp; ",[1]AB5!$W$80," ) ",[1]AB5!$H$59,TEXT(INDEX([1]AB4!CH:CH,MATCH(A162,[1]AB4!B:B,0)),"0.00%")))))</f>
        <v>Min of ( SPT : PRV : 3DLL &amp; SPT : CDLL )  * 0.90%</v>
      </c>
      <c r="X183" s="27"/>
      <c r="Y183" s="169" t="str">
        <f>IF(A162="","",IF(C167="Futures","",IF(C167="Options Sell",I162)))</f>
        <v>500 Lots</v>
      </c>
      <c r="Z183" s="168" t="str">
        <f t="array" ref="Z183">IF(C162="","",IF(C167="Futures","",IF(C167="Options Sell",CONCATENATE([1]AB5!$X$73,"( ",INDEX([1]AB4!G:G,MATCH(A162,[1]AB4!B:B,0))," &amp; ",[1]AB5!$Z$80," ) ",INDEX([1]AB4!H:H,MATCH(A162,[1]AB4!B:B,0))," ",AA176))))</f>
        <v>Min of ( OPT : PRV : 3DLL &amp; OPT : CDLL )  -  7.50%</v>
      </c>
      <c r="AA183" s="114"/>
      <c r="AB183" s="75"/>
      <c r="AC183" s="75"/>
    </row>
    <row r="184" spans="1:29" ht="44.25" customHeight="1" thickBot="1" x14ac:dyDescent="0.25">
      <c r="A184" s="15" t="str">
        <f>IF(C162="","",CONCATENATE(C163,[1]AB5!$A$7))</f>
        <v>S23B</v>
      </c>
      <c r="B184" s="94">
        <f t="array" ref="B184">IF(C162="","", IF(C167="Futures","",IF(C167="Options Sell",INDEX([1]AB4!BG:BG,MATCH(A183,[1]AB4!B:B,0)))))</f>
        <v>0.38541666666666669</v>
      </c>
      <c r="C184" s="95" t="str">
        <f t="array" ref="C184">IF(C162="","", INDEX([1]AB4!BG:BG,MATCH(A184,[1]AB4!B:B,0)))</f>
        <v>N.A.</v>
      </c>
      <c r="D184" s="32"/>
      <c r="E184" s="32"/>
      <c r="F184" s="156"/>
      <c r="G184" s="170" t="str">
        <f>IF(C162="","",IF(C167="Futures","",IF(C167="Options Sell",[1]AB5!$G$81,IF(C167="Options Buy",[1]AB5!$G$114))))</f>
        <v>Yes</v>
      </c>
      <c r="H184" s="131" t="str">
        <f>IF(C162="","",IF(C167="Futures","",IF(C167="Options Sell",[1]AB5!$H$81)))</f>
        <v>FSL / TRP Missed</v>
      </c>
      <c r="I184" s="119" t="str">
        <f>IF(C162="","",IF(C167="Futures","",IF(C167="Options Sell",[1]AB5!$I$81)))</f>
        <v>Recalcuate : Call Sell FSL / TRP : Bull / Bull CF</v>
      </c>
      <c r="J184" s="120" t="str">
        <f>IF(C162="","",IF(C167="Futures","",IF(C167="Options Sell",[1]AB5!$J$81)))</f>
        <v>Wait Till Recalculation Time</v>
      </c>
      <c r="K184" s="107"/>
      <c r="L184" s="121">
        <f>IF(C162="","",IF(C167="Futures","",IF(C167="Options Sell",C180)))</f>
        <v>0.39582638888888888</v>
      </c>
      <c r="M184" s="171" t="str">
        <f>IF(C162="","",IF(C167="Futures","",IF(C167="Options Sell",CONCATENATE(N184," ",[1]AB5!$M$81," ",TEXT(O184,"0.00%")))))</f>
        <v>09:29:59 AM HH + 7.00%</v>
      </c>
      <c r="N184" s="132" t="str">
        <f>IF(C162="","",IF(C167="Futures","",IF(C167="Options Sell",CONCATENATE(TEXT(L184,"HH:MM:SS AM/PM"),[1]AB5!$N$81))))</f>
        <v>09:29:59 AM HH</v>
      </c>
      <c r="O184" s="172" t="str">
        <f t="array" ref="O184">IF(A162="","",IF(C167="Futures","",IF(C167="Options Sell",TEXT(INDEX([1]AB4!BL:BL,MATCH(A162,[1]AB4!B:B,0)),"0.00%"))))</f>
        <v>7.00%</v>
      </c>
      <c r="P184" s="110"/>
      <c r="Q184" s="173" t="str">
        <f>IF(C162="","",[1]AB5!$Q$81)</f>
        <v>Put</v>
      </c>
      <c r="R184" s="174" t="str">
        <f t="array" ref="R184">IF(C162="","",IF(C167="Futures","",IF(C167="Options Sell",CONCATENATE([1]AB5!$M$76, "( ",INDEX([1]AB4!BP:BP,MATCH(A165,[1]AB4!B:B,0))," &amp; ",[1]AB5!$R$81," ) ",INDEX([1]AB4!BQ:BQ,MATCH(A165,[1]AB4!B:B,0))," ",N179," ) &amp; ",INDEX([1]AB4!BS:BS,MATCH(A165,[1]AB4!B:B,0))))))</f>
        <v>Max of ( SPT : PRV : 2DHH &amp; SPT : CDHH ) - 5.00% ) &amp; Round Up</v>
      </c>
      <c r="S184" s="175" t="str">
        <f t="array" ref="S184">IF(C162="","",IF(C167="Futures","",IF(C167="Options Sell",CONCATENATE([1]AB5!$O$76,"( ",INDEX([1]AB4!BT:BT,MATCH(A165,[1]AB4!B:B,0))," &amp; ",[1]AB5!$S$81," ) &amp; ",INDEX([1]AB4!BW:BW,MATCH(A165,[1]AB4!B:B,0))," ",INDEX([1]AB4!BX:BX,MATCH(A165,[1]AB4!B:B,0))," ",INDEX([1]AB4!BY:BY,MATCH(A165,[1]AB4!B:B,0))))))</f>
        <v>Max of ( SPT : PRV : 2DHH &amp; SPT : CDHH ) &amp; Round Up + 1</v>
      </c>
      <c r="T184" s="40"/>
      <c r="U184" s="175" t="str">
        <f t="array" ref="U184">IF(C162="","",IF(C167="Futures","",IF(C167="Options Sell",CONCATENATE([1]AB5!$T$76,"( ",INDEX([1]AB4!CE:CE,MATCH(A165,[1]AB4!B:B,0))," &amp; ",[1]AB5!$U$81," ) ",[1]AB5!$H$59,TEXT(INDEX([1]AB4!CF:CF,MATCH(A165,[1]AB4!B:B,0)),"0.00%")))))</f>
        <v>Min of ( SPT : PRV : 2DHH &amp; SPT : CDLL )  * 1.20%</v>
      </c>
      <c r="V184" s="40"/>
      <c r="W184" s="175" t="str">
        <f t="array" ref="W184">IF(C162="","",IF(C167="Futures","",IF(C167="Options Sell",CONCATENATE([1]AB5!$V$76,"( ",INDEX([1]AB4!CG:CG,MATCH(A165,[1]AB4!B:B,0))," &amp; ",[1]AB5!$W$81," ) ",[1]AB5!$H$59,TEXT(INDEX([1]AB4!CH:CH,MATCH(A165,[1]AB4!B:B,0)),"0.00%")))))</f>
        <v>Min of ( SPT : PRV : 2DHH &amp; SPT : CDLL )  * 0.90%</v>
      </c>
      <c r="X184" s="40"/>
      <c r="Y184" s="176" t="str">
        <f>IF(A162="","",IF(C167="Futures","",IF(C167="Options Sell",I165)))</f>
        <v>500 Lots</v>
      </c>
      <c r="Z184" s="175" t="str">
        <f t="array" ref="Z184">IF(C162="","",IF(C167="Futures","",IF(C167="Options Sell",CONCATENATE([1]AB5!$X$76,"( ",INDEX([1]AB4!G:G,MATCH(A165,[1]AB4!B:B,0))," &amp; ",[1]AB5!$Z$81," ) ", INDEX([1]AB4!H:H,MATCH(A165,[1]AB4!B:B,0))," ",AA179))))</f>
        <v>Min of ( OPT : PRV : 2DLL &amp; OPT : CDLL )  -  7.50%</v>
      </c>
      <c r="AA184" s="177"/>
      <c r="AB184" s="75"/>
      <c r="AC184" s="75"/>
    </row>
    <row r="185" spans="1:29" ht="44.25" customHeight="1" thickBot="1" x14ac:dyDescent="0.25">
      <c r="A185" s="15"/>
      <c r="B185" s="110"/>
      <c r="C185" s="111"/>
      <c r="D185" s="112"/>
      <c r="E185" s="112"/>
      <c r="F185" s="161"/>
      <c r="G185" s="96"/>
      <c r="H185" s="14"/>
      <c r="I185" s="119" t="str">
        <f>IF(C162="","",IF(C167="Futures","",IF(C167="Options Sell",[1]AB5!$I$82)))</f>
        <v>Recalcuate : Call Sell FSL / TRP : Bear / Bear CF</v>
      </c>
      <c r="J185" s="120" t="str">
        <f>IF(C162="","",IF(C167="Futures","",IF(C167="Options Sell",[1]AB5!$J$82)))</f>
        <v>Wait Till Recalculation Time</v>
      </c>
      <c r="K185" s="107"/>
      <c r="L185" s="121">
        <f>IF(C162="","",IF(C167="Futures","",IF(C167="Options Sell",C180)))</f>
        <v>0.39582638888888888</v>
      </c>
      <c r="M185" s="171" t="str">
        <f>IF(C162="","",IF(C167="Futures","",IF(C167="Options Sell",CONCATENATE(N185," ",[1]AB5!$M$82," ",TEXT(O185,"0.00%")))))</f>
        <v>09:29:59 AM HH + 10.00%</v>
      </c>
      <c r="N185" s="132" t="str">
        <f>IF(C162="","",IF(C167="Futures","",IF(C167="Options Sell",CONCATENATE(TEXT(L185,"HH:MM:SS AM/PM"),[1]AB5!$N$82))))</f>
        <v>09:29:59 AM HH</v>
      </c>
      <c r="O185" s="172" t="str">
        <f t="array" ref="O185">IF(A162="","",IF(C167="Futures","",IF(C167="Options Sell",TEXT(INDEX([1]AB4!BL:BL,MATCH(A168,[1]AB4!B:B,0)),"0.00%"))))</f>
        <v>10.00%</v>
      </c>
      <c r="P185" s="178" t="str">
        <f>IF(C162="","",[1]AB5!$P$82)</f>
        <v>BEAR / BEAR CF</v>
      </c>
      <c r="Q185" s="166" t="str">
        <f>IF(C164="","",[1]AB5!$Q$82)</f>
        <v>Call</v>
      </c>
      <c r="R185" s="167" t="str">
        <f t="array" ref="R185">IF(C162="","",IF(C167="Futures","",IF(C167="Options Sell",CONCATENATE([1]AB5!$M$74,"( ",INDEX([1]AB4!BP:BP,MATCH(A168,[1]AB4!B:B,0))," &amp; ",[1]AB5!$R$82," ) ",INDEX([1]AB4!BQ:BQ,MATCH(A168,[1]AB4!B:B,0))," ",N177," ) &amp; ",INDEX([1]AB4!BS:BS,MATCH(A168,[1]AB4!B:B,0))))))</f>
        <v>Min of ( SPT : PRV : 2DLL &amp; SPT : CDLL ) + 5.00% ) &amp; Round Down</v>
      </c>
      <c r="S185" s="168" t="str">
        <f t="array" ref="S185">IF(C162="","",IF(C167="Futures","",IF(C167="Options Sell",CONCATENATE([1]AB5!$O$74,"( ",INDEX([1]AB4!BT:BT,MATCH(A168,[1]AB4!B:B,0))," &amp; ",[1]AB5!$S$82," ) &amp; ",INDEX([1]AB4!BW:BW,MATCH(A168,[1]AB4!B:B,0))," ",INDEX([1]AB4!BX:BX,MATCH(A168,[1]AB4!B:B,0))," ",INDEX([1]AB4!BY:BY,MATCH(A168,[1]AB4!B:B,0))))))</f>
        <v>Min of ( SPT : PRV : 2DLL &amp; SPT : CDLL ) &amp; Round Down - 1</v>
      </c>
      <c r="T185" s="27"/>
      <c r="U185" s="168" t="str">
        <f t="array" ref="U185">IF(C162="","",IF(C167="Futures","",IF(C167="Options Sell",CONCATENATE([1]AB5!$T$74," of ( ",INDEX([1]AB4!CE:CE,MATCH(A168,[1]AB4!B:B,0))," &amp; ",[1]AB5!$U$82," ) ",[1]AB5!$H$59,TEXT(INDEX([1]AB4!CF:CF,MATCH(A168,[1]AB4!B:B,0)),"0.00%")))))</f>
        <v>Min of  of ( SPT : PRV : 2DLL &amp; SPT : CDLL )  * 1.20%</v>
      </c>
      <c r="V185" s="27"/>
      <c r="W185" s="168" t="str">
        <f t="array" ref="W185">IF(C162="","",IF(C167="Futures","",IF(C167="Options Sell",CONCATENATE([1]AB5!$V$74,"( ",INDEX([1]AB4!CG:CG,MATCH(A168,[1]AB4!B:B,0))," &amp; ",[1]AB5!$W$82," ) ",[1]AB5!$H$59,TEXT(INDEX([1]AB4!CH:CH,MATCH(A168,[1]AB4!B:B,0)),"0.00%")))))</f>
        <v>Min of ( SPT : PRV : 2DLL &amp; SPT : CDLL )  * 0.90%</v>
      </c>
      <c r="X185" s="27"/>
      <c r="Y185" s="169" t="str">
        <f>IF(A162="","",IF(C167="Futures","",IF(C167="Options Sell",I168)))</f>
        <v>500 Lots</v>
      </c>
      <c r="Z185" s="168" t="str">
        <f t="array" ref="Z185">IF(C162="","",IF(C167="Futures","",IF(C167="Options Sell",CONCATENATE([1]AB5!$X$74,"( ",INDEX([1]AB4!G:G,MATCH(A168,[1]AB4!B:B,0))," &amp; ",[1]AB5!$Z$82," ) ", INDEX([1]AB4!H:H,MATCH(A168,[1]AB4!B:B,0))," ",AA177))))</f>
        <v>Min of ( OPT : PRV : 2DLL &amp; OPT : CDLL )  -  7.50%</v>
      </c>
      <c r="AA185" s="114"/>
      <c r="AB185" s="75"/>
      <c r="AC185" s="75"/>
    </row>
    <row r="186" spans="1:29" ht="44.25" customHeight="1" thickBot="1" x14ac:dyDescent="0.25">
      <c r="A186" s="15"/>
      <c r="B186" s="179" t="str">
        <f>IF(C162="","",IF(C167="Futures","",IF(C167="Options Sell",[1]AB5!$B$83,IF(C167="Options Buy",[1]AB5!$B$116))))</f>
        <v>Stay Blessed !!!</v>
      </c>
      <c r="C186" s="19"/>
      <c r="D186" s="180" t="str">
        <f>IF(C162="","",IF(C167="Futures","",IF(C167="Options Sell",[1]AB5!$D$83,IF(C167="Options Buy",[1]AB5!$D$116))))</f>
        <v>For Put Sell SL</v>
      </c>
      <c r="E186" s="181" t="str">
        <f>IF(C162="","",IF(C167="Futures","",IF(C167="Options Sell",CONCATENATE([1]AB5!$E$83,TEXT(B184,"HH:MM:SS AM/PM"),[1]AB5!$B$81,[1]AB5!$F$83))))</f>
        <v>Check If  09:15:00 AM HH &gt; Short SL</v>
      </c>
      <c r="F186" s="182"/>
      <c r="G186" s="183" t="str">
        <f>IF(C162="","",IF(C167="Futures","",IF(C167="Options Sell",[1]AB5!$G$83,IF(C167="Options Buy",[1]AB5!$G$116))))</f>
        <v>No</v>
      </c>
      <c r="H186" s="104" t="str">
        <f>IF(C162="","",IF(C167="Futures","",IF(C167="Options Sell",[1]AB5!$H$83)))</f>
        <v>FSL / TRP Not Missed</v>
      </c>
      <c r="I186" s="100" t="str">
        <f>IF(C162="","",IF(C167="Futures","",IF(C167="Options Sell",[1]AB5!$I$83)))</f>
        <v>Place the Order at ORPT</v>
      </c>
      <c r="J186" s="101" t="str">
        <f>IF(C162="","",IF(C167="Futures","",IF(C167="Options Sell",[1]AB5!$J$83)))</f>
        <v>ORPT Time</v>
      </c>
      <c r="K186" s="102"/>
      <c r="L186" s="103">
        <f>IF(C162="","",IF(C167="Futures","",IF(C167="Options Sell",B180)))</f>
        <v>0.39235416666666667</v>
      </c>
      <c r="M186" s="184" t="str">
        <f>IF(C162="","",IF(C167="Futures","",IF(C167="Options Sell",[1]AB5!$M$83)))</f>
        <v>N.A.</v>
      </c>
      <c r="N186" s="104" t="str">
        <f>IF(C162="","",IF(C167="Futures","",IF(C167="Options Sell",[1]AB5!$N$83)))</f>
        <v>N.A.</v>
      </c>
      <c r="O186" s="185" t="str">
        <f>IF(C162="","",IF(C167="Futures","",IF(C167="Options Sell",[1]AB5!$O$83)))</f>
        <v>N.A.</v>
      </c>
      <c r="P186" s="110"/>
      <c r="Q186" s="173" t="str">
        <f>IF(C164="","",[1]AB5!$Q$83)</f>
        <v>Put</v>
      </c>
      <c r="R186" s="174" t="str">
        <f t="array" ref="R186">IF(C162="","",IF(C167="Futures","",IF(C167="Options Sell",CONCATENATE([1]AB5!$M$77, "( ",INDEX([1]AB4!BP:BP,MATCH(A171,[1]AB4!B:B,0))," &amp; ",[1]AB5!$R$83," ) ", INDEX([1]AB4!BQ:BQ,MATCH(A171,[1]AB4!B:B,0))," ",N180," ) &amp; ",INDEX([1]AB4!BS:BS,MATCH(A171,[1]AB4!B:B,0))))))</f>
        <v>Max of ( SPT : PRV : 3DHH &amp; SPT : CDHH ) - 5.00% ) &amp; Round Up</v>
      </c>
      <c r="S186" s="175" t="str">
        <f t="array" ref="S186">IF(C162="","",IF(C167="Futures","",IF(C167="Options Sell",CONCATENATE([1]AB5!$O$77,"( ",INDEX([1]AB4!BT:BT,MATCH(A171,[1]AB4!B:B,0))," &amp; ",[1]AB5!$S$83," ) &amp; ",INDEX([1]AB4!BW:BW,MATCH(A171,[1]AB4!B:B,0))," ",INDEX([1]AB4!BX:BX,MATCH(A171,[1]AB4!B:B,0))," ",INDEX([1]AB4!BY:BY,MATCH(A171,[1]AB4!B:B,0))))))</f>
        <v>Max of ( SPT : PRV : 3DHH &amp; SPT : CDHH ) &amp; Round Up + 1</v>
      </c>
      <c r="T186" s="40"/>
      <c r="U186" s="175" t="str">
        <f t="array" ref="U186">IF(C162="","",IF(C167="Futures","",IF(C167="Options Sell",CONCATENATE([1]AB5!$T$77,"( ",INDEX([1]AB4!CE:CE,MATCH(A171,[1]AB4!B:B,0))," &amp; ",[1]AB5!$U$83," ) ",[1]AB5!$H$59,TEXT(INDEX([1]AB4!CF:CF,MATCH(A171,[1]AB4!B:B,0)),"0.00%")))))</f>
        <v>Min of ( SPT : PRV : 3DHH &amp; SPT : CDLL )  * 1.20%</v>
      </c>
      <c r="V186" s="40"/>
      <c r="W186" s="175" t="str">
        <f t="array" ref="W186">IF(C162="","",IF(C167="Futures","",IF(C167="Options Sell",CONCATENATE([1]AB5!$V$77,"( ",INDEX([1]AB4!CG:CG,MATCH(A171,[1]AB4!B:B,0))," &amp; ",[1]AB5!$W$83," ) ",[1]AB5!$H$59,TEXT(INDEX([1]AB4!CH:CH,MATCH(A171,[1]AB4!B:B,0)),"0.00%")))))</f>
        <v>Min of ( SPT : PRV : 3DHH &amp; SPT : CDLL )  * 0.90%</v>
      </c>
      <c r="X186" s="40"/>
      <c r="Y186" s="176" t="str">
        <f>IF(A162="","",IF(C167="Futures","",IF(C167="Options Sell",I171)))</f>
        <v>500 Lots</v>
      </c>
      <c r="Z186" s="175" t="str">
        <f t="array" ref="Z186">IF(C162="","",IF(C167="Futures","",IF(C167="Options Sell",CONCATENATE([1]AB5!$X$77,"( ",INDEX([1]AB4!G:G,MATCH(A171,[1]AB4!B:B,0))," &amp; ",[1]AB5!$Z$83," ) ", INDEX([1]AB4!H:H,MATCH(A171,[1]AB4!B:B,0))," ",AA180))))</f>
        <v>Min of ( OPT : PRV : 3DLL &amp; OPT : CDLL )  -  7.50%</v>
      </c>
      <c r="AA186" s="177"/>
      <c r="AB186" s="75"/>
      <c r="AC186" s="75"/>
    </row>
    <row r="187" spans="1:29" ht="44.25" customHeight="1" x14ac:dyDescent="0.2">
      <c r="A187" s="75"/>
      <c r="B187" s="32"/>
      <c r="C187" s="33"/>
      <c r="D187" s="32"/>
      <c r="E187" s="32"/>
      <c r="F187" s="156"/>
      <c r="G187" s="186" t="str">
        <f>IF(C162="","",IF(C167="Futures","",IF(C167="Options Sell",[1]AB5!$G$84,IF(C167="Options Buy",[1]AB5!$G$117))))</f>
        <v>Yes</v>
      </c>
      <c r="H187" s="99" t="str">
        <f>IF(C162="","",IF(C167="Futures","",IF(C167="Options Sell",[1]AB5!$H$84)))</f>
        <v>FSL / TRP Missed</v>
      </c>
      <c r="I187" s="100" t="str">
        <f>IF(C162="","",IF(C167="Futures","",IF(C167="Options Sell",[1]AB5!$I$84)))</f>
        <v>Recalcuate : Short FSL / TRP : Bull / Bull CF</v>
      </c>
      <c r="J187" s="101" t="str">
        <f>IF(C162="","",IF(C167="Futures","",IF(C167="Options Sell",[1]AB5!$J$84)))</f>
        <v>Wait Till Recalculation Time</v>
      </c>
      <c r="K187" s="102"/>
      <c r="L187" s="103">
        <f>IF(C162="","",IF(C167="Futures","",IF(C167="Options Sell",C180)))</f>
        <v>0.39582638888888888</v>
      </c>
      <c r="M187" s="184" t="str">
        <f>IF(C162="","",IF(C167="Futures","",IF(C167="Options Sell",CONCATENATE(N187," ",[1]AB5!$M$84," ",TEXT(O187,"0.00%")))))</f>
        <v>09:29:59 AM HH + 10.00%</v>
      </c>
      <c r="N187" s="105" t="str">
        <f>IF(C162="","",IF(C167="Futures","",IF(C167="Options Sell",CONCATENATE(TEXT(L187,"HH:MM:SS AM/PM"),[1]AB5!$N$84))))</f>
        <v>09:29:59 AM HH</v>
      </c>
      <c r="O187" s="187" t="str">
        <f t="array" ref="O187">IF(A162="","",IF(C167="Futures","",IF(C167="Options Sell",TEXT(INDEX([1]AB4!BL:BL,MATCH(A165,[1]AB4!B:B,0)),"0.00%"))))</f>
        <v>10.00%</v>
      </c>
      <c r="P187" s="188" t="str">
        <f>IF(C162="","",[1]AB5!$P$84)</f>
        <v>When You Call And Put Position is Exited</v>
      </c>
      <c r="Q187" s="189"/>
      <c r="R187" s="189"/>
      <c r="S187" s="189"/>
      <c r="T187" s="189"/>
      <c r="U187" s="189"/>
      <c r="V187" s="189"/>
      <c r="W187" s="189"/>
      <c r="X187" s="189"/>
      <c r="Y187" s="189"/>
      <c r="Z187" s="189"/>
      <c r="AA187" s="33"/>
      <c r="AB187" s="75"/>
      <c r="AC187" s="75"/>
    </row>
    <row r="188" spans="1:29" ht="44.25" customHeight="1" thickBot="1" x14ac:dyDescent="0.25">
      <c r="A188" s="75"/>
      <c r="B188" s="34"/>
      <c r="C188" s="53"/>
      <c r="D188" s="34"/>
      <c r="E188" s="34"/>
      <c r="F188" s="190"/>
      <c r="G188" s="111"/>
      <c r="H188" s="138"/>
      <c r="I188" s="191" t="str">
        <f>IF(C162="","",IF(C167="Futures","",IF(C167="Options Sell",[1]AB5!$I$85)))</f>
        <v>Recalcuate : Short FSL / TRP : Bear / Bear CF</v>
      </c>
      <c r="J188" s="192" t="str">
        <f>IF(C162="","",IF(C167="Futures","",IF(C167="Options Sell",[1]AB5!$J$85)))</f>
        <v>Wait Till Recalculation Time</v>
      </c>
      <c r="K188" s="40"/>
      <c r="L188" s="193">
        <f>IF(C162="","",IF(C167="Futures","",IF(C167="Options Sell",C180)))</f>
        <v>0.39582638888888888</v>
      </c>
      <c r="M188" s="194" t="str">
        <f>IF(C162="","",IF(C167="Futures","",IF(C167="Options Sell",CONCATENATE(N188," ",[1]AB5!$M$85," ",TEXT(O188,"0.00%")))))</f>
        <v>09:29:59 AM HH + 7.00%</v>
      </c>
      <c r="N188" s="195" t="str">
        <f>IF(C162="","",IF(C167="Futures","",IF(C167="Options Sell",CONCATENATE(TEXT(L188,"HH:MM:SS AM/PM"),[1]AB5!$N$85))))</f>
        <v>09:29:59 AM HH</v>
      </c>
      <c r="O188" s="196" t="str">
        <f t="array" ref="O188">IF(A162="","",IF(C167="Futures","",IF(C167="Options Sell",TEXT(INDEX([1]AB4!BL:BL,MATCH(A171,[1]AB4!B:B,0)),"0.00%"))))</f>
        <v>7.00%</v>
      </c>
      <c r="P188" s="197" t="str">
        <f>IF(C162="","",[1]AB5!$P$85)</f>
        <v>This is Only Applicable for Same Day</v>
      </c>
      <c r="Q188" s="190"/>
      <c r="R188" s="190"/>
      <c r="S188" s="190"/>
      <c r="T188" s="190"/>
      <c r="U188" s="190"/>
      <c r="V188" s="190"/>
      <c r="W188" s="190"/>
      <c r="X188" s="190"/>
      <c r="Y188" s="190"/>
      <c r="Z188" s="190"/>
      <c r="AA188" s="53"/>
      <c r="AB188" s="75"/>
      <c r="AC188" s="75"/>
    </row>
    <row r="189" spans="1:29" ht="33" customHeight="1" thickBot="1" x14ac:dyDescent="0.25">
      <c r="A189" s="198"/>
      <c r="B189" s="199" t="str">
        <f>IF(C162="","",[1]AB5!$B$119)</f>
        <v>For Missed SL (Position = Open)</v>
      </c>
      <c r="C189" s="114"/>
      <c r="D189" s="200" t="str">
        <f>IF(C162="","",[1]AB5!$D$120)</f>
        <v>Note: ( Optional )</v>
      </c>
      <c r="E189" s="19"/>
      <c r="F189" s="201" t="str">
        <f>IF(C162="","",[1]AB5!$I$119)</f>
        <v>For Call SL</v>
      </c>
      <c r="G189" s="65"/>
      <c r="H189" s="65"/>
      <c r="I189" s="65"/>
      <c r="J189" s="65"/>
      <c r="K189" s="65"/>
      <c r="L189" s="65"/>
      <c r="M189" s="65"/>
      <c r="N189" s="65"/>
      <c r="O189" s="65"/>
      <c r="P189" s="62"/>
      <c r="Q189" s="201" t="str">
        <f>IF(C162="","",[1]AB5!$R$119)</f>
        <v>For Put SL</v>
      </c>
      <c r="R189" s="65"/>
      <c r="S189" s="65"/>
      <c r="T189" s="65"/>
      <c r="U189" s="65"/>
      <c r="V189" s="65"/>
      <c r="W189" s="65"/>
      <c r="X189" s="65"/>
      <c r="Y189" s="65"/>
      <c r="Z189" s="65"/>
      <c r="AA189" s="62"/>
      <c r="AB189" s="202"/>
      <c r="AC189" s="202"/>
    </row>
    <row r="190" spans="1:29" ht="43.5" customHeight="1" x14ac:dyDescent="0.2">
      <c r="A190" s="198"/>
      <c r="B190" s="203" t="str">
        <f>IF(C162="","",[1]AB5!$B$120)</f>
        <v>Check time</v>
      </c>
      <c r="C190" s="204"/>
      <c r="D190" s="32"/>
      <c r="E190" s="33"/>
      <c r="F190" s="205" t="str">
        <f>IF(C162="","",CONCATENATE([1]AB5!$G$120,TEXT(B191,"HH:MM:SS AM/PM"),[1]AB5!$B$121,[1]AB5!$H$120))</f>
        <v>Check If Close at 03:00:00 PM  &gt; Call Original SL</v>
      </c>
      <c r="G190" s="102"/>
      <c r="H190" s="206" t="str">
        <f>IF(C162="","",[1]AB5!$I$120)</f>
        <v>Yes</v>
      </c>
      <c r="I190" s="13"/>
      <c r="J190" s="207" t="str">
        <f>IF(C162="","",CONCATENATE([1]AB5!$K$120,TEXT(B191,"HH:MM:SS AM/PM")))</f>
        <v xml:space="preserve"> Then Square Off The Position At CMP at 03:00:00 PM</v>
      </c>
      <c r="K190" s="161"/>
      <c r="L190" s="161"/>
      <c r="M190" s="161"/>
      <c r="N190" s="161"/>
      <c r="O190" s="161"/>
      <c r="P190" s="208"/>
      <c r="Q190" s="209" t="str">
        <f>IF(C162="","",CONCATENATE([1]AB5!$R$120,TEXT(B191,"HH:MM:SS AM/PM"),[1]AB5!$B$121,[1]AB5!$S$120))</f>
        <v>Check If Close at 03:00:00 PM  &gt; Put Original SL</v>
      </c>
      <c r="R190" s="161"/>
      <c r="S190" s="13"/>
      <c r="T190" s="210" t="str">
        <f>IF(C162="","",[1]AB5!$U$120)</f>
        <v>Yes</v>
      </c>
      <c r="U190" s="211" t="str">
        <f>IF(C162="","",CONCATENATE([1]AB5!$W$120,TEXT(B191,"HH:MM:SS AM/PM")))</f>
        <v xml:space="preserve"> Then Square Off The Position At CMP at 03:00:00 PM</v>
      </c>
      <c r="V190" s="161"/>
      <c r="W190" s="161"/>
      <c r="X190" s="161"/>
      <c r="Y190" s="161"/>
      <c r="Z190" s="161"/>
      <c r="AA190" s="208"/>
      <c r="AB190" s="202"/>
      <c r="AC190" s="212"/>
    </row>
    <row r="191" spans="1:29" ht="36" customHeight="1" thickBot="1" x14ac:dyDescent="0.25">
      <c r="A191" s="198"/>
      <c r="B191" s="213">
        <f t="array" ref="B191">IF(C162="","",INDEX([1]AB4!CU:CU,MATCH(A179,[1]AB4!B:B,0)))</f>
        <v>0.625</v>
      </c>
      <c r="C191" s="177"/>
      <c r="D191" s="34"/>
      <c r="E191" s="53"/>
      <c r="F191" s="214" t="str">
        <f>IF(C162="","",CONCATENATE([1]AB5!$G$37,TEXT(B191,"HH:MM:SS AM/PM"),[1]AB5!$B$37,[1]AB5!$H$121))</f>
        <v>Check If Close at 03:00:00 PM  &lt; Call Original SL</v>
      </c>
      <c r="G191" s="40"/>
      <c r="H191" s="215" t="str">
        <f>IF(C162="","",[1]AB5!$I$121)</f>
        <v>Yes</v>
      </c>
      <c r="I191" s="40"/>
      <c r="J191" s="216" t="str">
        <f>IF(C162="","",CONCATENATE([1]AB5!$K$121))</f>
        <v xml:space="preserve"> Then Continue the Position for Next Day And Calculate Stop Loss Price as per the Rules</v>
      </c>
      <c r="K191" s="145"/>
      <c r="L191" s="145"/>
      <c r="M191" s="145"/>
      <c r="N191" s="145"/>
      <c r="O191" s="145"/>
      <c r="P191" s="177"/>
      <c r="Q191" s="214" t="str">
        <f>IF(C162="","",CONCATENATE([1]AB5!$R$121,TEXT(B191,"HH:MM:SS AM/PM"),[1]AB5!$B$122,[1]AB5!$S$121))</f>
        <v>Check If Close at 03:00:00 PM  &lt; Put Original SL</v>
      </c>
      <c r="R191" s="145"/>
      <c r="S191" s="40"/>
      <c r="T191" s="217" t="str">
        <f>IF(C162="","",[1]AB5!$U$121)</f>
        <v>Yes</v>
      </c>
      <c r="U191" s="216" t="str">
        <f>IF(C162="","",CONCATENATE([1]AB5!$W$121))</f>
        <v xml:space="preserve"> Then Continue the Position for Next Day And Calculate Stop Loss Price as per the Rules</v>
      </c>
      <c r="V191" s="145"/>
      <c r="W191" s="145"/>
      <c r="X191" s="145"/>
      <c r="Y191" s="145"/>
      <c r="Z191" s="145"/>
      <c r="AA191" s="177"/>
      <c r="AB191" s="202"/>
      <c r="AC191" s="212"/>
    </row>
    <row r="192" spans="1:29" ht="15.75" customHeight="1" x14ac:dyDescent="0.2">
      <c r="A192" s="75"/>
      <c r="B192" s="75"/>
      <c r="C192" s="75"/>
      <c r="D192" s="75"/>
      <c r="E192" s="75"/>
      <c r="F192" s="75"/>
      <c r="G192" s="75"/>
      <c r="H192" s="75"/>
      <c r="I192" s="75"/>
      <c r="J192" s="149"/>
      <c r="K192" s="149"/>
      <c r="L192" s="149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  <c r="AA192" s="75"/>
      <c r="AB192" s="75"/>
      <c r="AC192" s="75"/>
    </row>
    <row r="193" spans="1:29" ht="15.75" customHeight="1" thickBot="1" x14ac:dyDescent="0.25">
      <c r="A193" s="75"/>
      <c r="B193" s="75"/>
      <c r="C193" s="75"/>
      <c r="D193" s="75"/>
      <c r="E193" s="75"/>
      <c r="F193" s="75"/>
      <c r="G193" s="75"/>
      <c r="H193" s="75"/>
      <c r="I193" s="75"/>
      <c r="J193" s="149"/>
      <c r="K193" s="149"/>
      <c r="L193" s="149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  <c r="AA193" s="75"/>
      <c r="AB193" s="75"/>
      <c r="AC193" s="75"/>
    </row>
    <row r="194" spans="1:29" ht="42.75" customHeight="1" x14ac:dyDescent="0.2">
      <c r="A194" s="15" t="str">
        <f>IF(C194="","",CONCATENATE(C195,[1]AB5!$A$4))</f>
        <v>S24A</v>
      </c>
      <c r="B194" s="16" t="str">
        <f>IF(C194="","",[1]AB5!$B$59)</f>
        <v>Sr. No.</v>
      </c>
      <c r="C194" s="17">
        <v>24</v>
      </c>
      <c r="D194" s="18" t="str">
        <f>IF(C194="","",IF(C199="Futures","",IF(C199="Options Sell",[1]AB5!$D$59,IF(C199="Options Buy",[1]AB5!$D$92))))</f>
        <v>BULL / BULL CF</v>
      </c>
      <c r="E194" s="19"/>
      <c r="F194" s="18" t="str">
        <f>IF(C194="","",IF(C199="Futures","",IF(C199="Options Sell",[1]AB5!$F$59,IF(C199="Options Buy",[1]AB5!$F$92))))</f>
        <v>Call</v>
      </c>
      <c r="G194" s="20" t="str">
        <f t="array" ref="G194">IF(C194="","",IF(C199="Futures","",IF(C199="Options Sell",CONCATENATE("( ",INDEX([1]AB4!BP:BP,MATCH(A194,[1]AB4!B:B))," ",INDEX([1]AB4!BQ:BQ,MATCH(A194,[1]AB4!B:B))," ",TEXT(INDEX([1]AB4!BR:BR,MATCH(A194,[1]AB4!B:B)),"0.00%")," ) &amp; ",INDEX([1]AB4!BS:BS,MATCH(A194,[1]AB4!B:B))),IF(C199="Options Buy",CONCATENATE("( ",INDEX([1]AB4!BP:BP,MATCH(A194,[1]AB4!B:B,0))," ",INDEX([1]AB4!BQ:BQ,MATCH(A194,[1]AB4!B:B,0))," ",TEXT(INDEX([1]AB4!BR:BR,MATCH(A194,[1]AB4!B:B,0)),"0.00%")," ) &amp; ",INDEX([1]AB4!BS:BS,MATCH(A194,[1]AB4!B:B,0)))))))</f>
        <v>( SPT : PRV : 3DLL + 5.00% ) &amp; Round Down</v>
      </c>
      <c r="H194" s="20" t="str">
        <f t="array" ref="H194">IF(C194="","",IF(C199="Futures","",IF(C199="Options Sell",CONCATENATE(INDEX([1]AB4!CE:CE,MATCH(A194,[1]AB4!B:B)),[1]AB5!$H$59,TEXT(INDEX([1]AB4!CF:CF,MATCH(A194,[1]AB4!B:B)),"0.00%")))))</f>
        <v>SPT : PRV : 3DLL * 1.60%</v>
      </c>
      <c r="I194" s="21" t="str">
        <f t="array" ref="I194">IF(C194="","",IF(C199="Futures","",IF(C199="Options Sell",CONCATENATE(INDEX([1]AB4!CI:CI,MATCH(A194,[1]AB4!B:B)),[1]AB5!$I$59))))</f>
        <v>500 Lots</v>
      </c>
      <c r="J194" s="22" t="str">
        <f>IF(C194="","",IF(C199="Futures","",IF(C199="Options Sell",[1]AB5!$J$59,IF(C199="Options Buy",[1]AB5!$J$92))))</f>
        <v>BULL / BULL CF</v>
      </c>
      <c r="K194" s="18" t="str">
        <f>IF(C194="","",IF(C199="Futures","",IF(C199="Options Sell",[1]AB5!$K$59,IF(C199="Options Buy",[1]AB5!$K$92))))</f>
        <v>Call</v>
      </c>
      <c r="L194" s="23" t="str">
        <f>IF(C194="","",IF(C199="Futures","",IF(C199="Options Sell",[1]AB5!$G$4,IF(C199="Options Buy",[1]AB5!$L$92))))</f>
        <v>E &amp; T</v>
      </c>
      <c r="M194" s="20" t="str">
        <f t="array" ref="M194">IF(C194="","",IF(C199="Futures","",IF(C199="Options Sell",CONCATENATE(INDEX([1]AB4!G:G,MATCH(A194,[1]AB4!B:B,0)),INDEX([1]AB4!H:H,MATCH(A194,[1]AB4!B:B,0)),TEXT(INDEX([1]AB4!I:I,MATCH(A194,[1]AB4!B:B,0)),"0.00%")))))</f>
        <v>OPT : PRV : 3DLL - 7.50%</v>
      </c>
      <c r="N194" s="24">
        <f t="array" ref="N194">IF(C194="","",IF(C199="Futures","",IF(C199="Options Sell",INDEX([1]AB4!J:J,MATCH(A194,[1]AB4!B:B,0)))))</f>
        <v>1</v>
      </c>
      <c r="O194" s="25" t="str">
        <f t="array" ref="O194">IF(C194="","",IF(C199="Futures","",IF(C199="Options Sell",IF(INDEX([1]AB4!N:N,MATCH(A194,[1]AB4!B:B,0))="","",CONCATENATE(INDEX([1]AB4!L:L,MATCH(A194,[1]AB4!B:B,0)),INDEX([1]AB4!M:M,MATCH(A194,[1]AB4!B:B,0)),TEXT(INDEX([1]AB4!N:N,MATCH(A194,[1]AB4!B:B,0)),"0.00%"))))))</f>
        <v>CE : Entry  - 60.00%</v>
      </c>
      <c r="P194" s="26">
        <f t="array" ref="P194">IF(C194="","",IF(C199="Futures","",IF(C199="Options Sell",IF(INDEX([1]AB4!N:N,MATCH(A194,[1]AB4!B:B,0))="","",INDEX([1]AB4!O:O,MATCH(A194,[1]AB4!B:B,0))))))</f>
        <v>1</v>
      </c>
      <c r="Q194" s="27"/>
      <c r="R194" s="25" t="str">
        <f t="array" ref="R194">IF(C194="","",IF(C199="Futures","",IF(C199="Options Sell",IF(INDEX([1]AB4!P:P,MATCH(A194,[1]AB4!B:B,0))="","",CONCATENATE(INDEX([1]AB4!L:L,MATCH(A194,[1]AB4!B:B,0)),INDEX([1]AB4!M:M,MATCH(A194,[1]AB4!B:B,0)),TEXT(INDEX([1]AB4!P:P,MATCH(A194,[1]AB4!B:B,0)),"0.00%"))))))</f>
        <v/>
      </c>
      <c r="S194" s="24" t="str">
        <f t="array" ref="S194">IF(C194="","",IF(C199="Futures","",IF(C199="Options Sell",IF(INDEX([1]AB4!P:P,MATCH(A194,[1]AB4!B:B,0))="","",INDEX([1]AB4!Q:Q,MATCH(A194,[1]AB4!B:B,0))))))</f>
        <v/>
      </c>
      <c r="T194" s="25" t="str">
        <f t="array" ref="T194">IF(C194="","",IF(C199="Futures","",IF(C199="Options Sell",IF(INDEX([1]AB4!R:R,MATCH(A194,[1]AB4!B:B,0))="","",CONCATENATE(INDEX([1]AB4!L:L,MATCH(A194,[1]AB4!B:B,0)),INDEX([1]AB4!M:M,MATCH(A194,[1]AB4!B:B,0)),TEXT(INDEX([1]AB4!R:R,MATCH(A194,[1]AB4!B:B,0)),"0.00%"))))))</f>
        <v/>
      </c>
      <c r="U194" s="24" t="str">
        <f t="array" ref="U194">IF(C194="","",IF(C199="Futures","",IF(C199="Options Sell",IF(INDEX([1]AB4!R:R,MATCH(A194,[1]AB4!B:B,0))="","",INDEX([1]AB4!S:S,MATCH(A194,[1]AB4!B:B,0))))))</f>
        <v/>
      </c>
      <c r="V194" s="25" t="str">
        <f t="array" ref="V194">IF(C194="","",IF(C199="Futures","",IF(C199="Options Sell",IF(INDEX([1]AB4!T:T,MATCH(A194,[1]AB4!B:B,0))="","",CONCATENATE(INDEX([1]AB4!L:L,MATCH(A194,[1]AB4!B:B,0)),INDEX([1]AB4!M:M,MATCH(A194,[1]AB4!B:B,0)),TEXT(INDEX([1]AB4!T:T,MATCH(A194,[1]AB4!B:B,0)),"0.00%"))))))</f>
        <v/>
      </c>
      <c r="W194" s="24" t="str">
        <f t="array" ref="W194">IF(C194="","",IF(C199="Futures","",IF(C199="Options Sell",IF(INDEX([1]AB4!T:T,MATCH(A194,[1]AB4!B:B,0))="","",INDEX([1]AB4!U:U,MATCH(A194,[1]AB4!B:B,0))))))</f>
        <v/>
      </c>
      <c r="X194" s="25" t="str">
        <f t="array" ref="X194">IF(C194="","",IF(C199="Futures","",IF(C199="Options Sell",IF(INDEX([1]AB4!V:V,MATCH(A194,[1]AB4!B:B,0))="","",INDEX([1]AB4!V:V,MATCH(A194,[1]AB4!B:B,0))))))</f>
        <v/>
      </c>
      <c r="Y194" s="24" t="str">
        <f t="array" ref="Y194">IF(C194="","",IF(C199="Futures","",IF(C199="Options Sell",IF(INDEX([1]AB4!V:V,MATCH(A194,[1]AB4!B:B,0))="","",INDEX([1]AB4!W:W,MATCH(A194,[1]AB4!B:B,0))))))</f>
        <v/>
      </c>
      <c r="Z194" s="25" t="str">
        <f t="array" ref="Z194">IF(C194="","",IF(C199="Futures","",IF(C199="Options Sell",IF(INDEX([1]AB4!X:X,MATCH(A194,[1]AB4!B:B,0))="","",INDEX([1]AB4!X:X,MATCH(A194,[1]AB4!B:B,0))))))</f>
        <v/>
      </c>
      <c r="AA194" s="28" t="str">
        <f t="array" ref="AA194">IF(C194="","",IF(C199="Futures","",IF(C199="Options Sell",IF(INDEX([1]AB4!X:X,MATCH(A194,[1]AB4!B:B,0))="","",INDEX([1]AB4!X:X,MATCH(A194,[1]AB4!Y:Y,0))))))</f>
        <v/>
      </c>
      <c r="AB194" s="29"/>
      <c r="AC194" s="29"/>
    </row>
    <row r="195" spans="1:29" ht="42.75" customHeight="1" thickBot="1" x14ac:dyDescent="0.25">
      <c r="A195" s="15" t="str">
        <f>IF(C194="","",CONCATENATE(C195,[1]AB5!$A$5))</f>
        <v>S24A</v>
      </c>
      <c r="B195" s="30" t="str">
        <f>IF(C194="","",[1]AB5!$B$60)</f>
        <v>Strategy Code</v>
      </c>
      <c r="C195" s="31" t="str">
        <f t="array" ref="C195">IF(C194="","",IF(C199="Futures","",IF(C199="Options Sell",INDEX([1]AB2!B:B,MATCH(C194,[1]AB2!A:A,0)))))</f>
        <v>S24</v>
      </c>
      <c r="D195" s="32"/>
      <c r="E195" s="33"/>
      <c r="F195" s="34"/>
      <c r="G195" s="35" t="str">
        <f t="array" ref="G195">IF(C194="","",IF(C199="Futures","",IF(C199="Options Sell",CONCATENATE("( ",INDEX([1]AB4!BT:BT,MATCH(A195,[1]AB4!B:B))," ) &amp; ",INDEX([1]AB4!BW:BW,MATCH(A195,[1]AB4!B:B))," ",INDEX([1]AB4!BX:BX,MATCH(A195,[1]AB4!B:B))," ",INDEX([1]AB4!BY:BY,MATCH(A195,[1]AB4!B:B))),IF(C199="Options Buy",CONCATENATE("( ",INDEX([1]AB4!BP:BP,MATCH(A197,[1]AB4!B:B,0))," ",INDEX([1]AB4!BQ:BQ,MATCH(A197,[1]AB4!B:B,0))," ",TEXT(INDEX([1]AB4!BR:BR,MATCH(A197,[1]AB4!B:B,0)),"0.00%")," ) &amp; ",INDEX([1]AB4!BS:BS,MATCH(A197,[1]AB4!B:B,0)))))))</f>
        <v>( SPT : PRV : 3DLL ) &amp; Round Down - 1</v>
      </c>
      <c r="H195" s="35" t="str">
        <f t="array" ref="H195">IF(C194="","",IF(C199="Futures","",IF(C199="Options Sell",CONCATENATE(INDEX([1]AB4!CG:CG,MATCH(A195,[1]AB4!B:B)),[1]AB5!$H$60,TEXT(INDEX([1]AB4!CH:CH,MATCH(A195,[1]AB4!B:B)),"0.00%")))))</f>
        <v>SPT : PRV : 3DLL * 1.20%</v>
      </c>
      <c r="I195" s="36" t="str">
        <f t="array" ref="I195">IF(C194="","",IF(C199="Futures","",IF(C199="Options Sell",CONCATENATE(INDEX([1]AB4!CJ:CJ,MATCH(A195,[1]AB4!B:B)),[1]AB5!$I$60))))</f>
        <v>1 Exp</v>
      </c>
      <c r="J195" s="33"/>
      <c r="K195" s="34"/>
      <c r="L195" s="37" t="str">
        <f>IF(C194="","",IF(C199="Futures","",IF(C199="Options Sell",[1]AB5!$G$5,IF(C199="Options Buy",[1]AB5!$L$93))))</f>
        <v>SL / TRP</v>
      </c>
      <c r="M195" s="35" t="str">
        <f t="array" ref="M195">IF(C194="","",IF(C199="Futures","",IF(C199="Options Sell",IF(INDEX([1]AB4!AL:AL,MATCH(A195,[1]AB4!B:B,0))="","",CONCATENATE(INDEX([1]AB4!AA:AA,MATCH(A195,[1]AB4!B:B,0))," ( ",INDEX([1]AB4!AE:AE,MATCH(A195,[1]AB4!B:B,0)),INDEX([1]AB4!AF:AF,MATCH(A195,[1]AB4!B:B,0)),TEXT(INDEX([1]AB4!AG:AG,MATCH(A195,[1]AB4!B:B,0)),"0.00%")," &amp; ",INDEX([1]AB4!AK:AK,MATCH(A195,[1]AB4!B:B,0)),INDEX([1]AB4!AJ:AJ,MATCH(A195,[1]AB4!B:B,0)),TEXT(INDEX([1]AB4!AL:AL,MATCH(A195,[1]AB4!B:B,0)),"0.00%")," )")))))</f>
        <v>Min ( CE : Entry  + 60.00% &amp; OPT : PRV : 2DHH + 7.00% )</v>
      </c>
      <c r="N195" s="38">
        <f t="array" ref="N195">IF(C194="","",IF(C199="Futures","",IF(C199="Options Sell",INDEX([1]AB4!AM:AM,MATCH(A195,[1]AB4!B:B,0)))))</f>
        <v>1</v>
      </c>
      <c r="O195" s="35" t="str">
        <f t="array" ref="O195">IF(C194="","",IF(C199="Futures","",IF(C199="Options Sell",IF(INDEX([1]AB4!AO:AO,MATCH(A195,[1]AB4!B:B,0))="","",CONCATENATE(INDEX([1]AB4!AA:AA,MATCH(A195,[1]AB4!B:B,0))," ( ",INDEX([1]AB4!AE:AE,MATCH(A195,[1]AB4!B:B,0))," &amp; ",INDEX([1]AB4!AN:AN,MATCH(A195,[1]AB4!B:B,0)),INDEX([1]AB4!AJ:AJ,MATCH(A195,[1]AB4!B:B,0)),TEXT(INDEX([1]AB4!AO:AO,MATCH(A195,[1]AB4!B:B,0)),"0.00%")," )")))))</f>
        <v/>
      </c>
      <c r="P195" s="39" t="str">
        <f t="array" ref="P195">IF(C194="","",IF(C199="Futures","",IF(C199="Options Sell",IF(INDEX([1]AB4!AO:AO,MATCH(A195,[1]AB4!B:B,0))="","",INDEX([1]AB4!AP:AP,MATCH(A195,[1]AB4!B:B,0))))))</f>
        <v/>
      </c>
      <c r="Q195" s="40"/>
      <c r="R195" s="35" t="str">
        <f t="array" ref="R195">IF(C194="","",IF(C199="Futures","",IF(C199="Options Sell",IF(INDEX([1]AB4!AR:AR,MATCH(A195,[1]AB4!B:B,0))="","",CONCATENATE(INDEX([1]AB4!AA:AA,MATCH(A195,[1]AB4!B:B,0))," ( ",INDEX([1]AB4!AE:AE,MATCH(A195,[1]AB4!B:B,0))," &amp; ",INDEX([1]AB4!AQ:AQ,MATCH(A195,[1]AB4!B:B,0)),INDEX([1]AB4!AJ:AJ,MATCH(A195,[1]AB4!B:B,0)),TEXT(INDEX([1]AB4!AR:AR,MATCH(A195,[1]AB4!B:B,0)),"0.00%")," )")))))</f>
        <v/>
      </c>
      <c r="S195" s="38" t="str">
        <f t="array" ref="S195">IF(C194="","",IF(C199="Futures","",IF(C199="Options Sell",IF(INDEX([1]AB4!AR:AR,MATCH(A195,[1]AB4!B:B,0))="","",INDEX([1]AB4!AS:AS,MATCH(A195,[1]AB4!B:B,0))))))</f>
        <v/>
      </c>
      <c r="T195" s="35" t="str">
        <f t="array" ref="T195">IF(C194="","",IF(C199="Futures","",IF(C199="Options Sell",IF(INDEX([1]AB4!AU:AU,MATCH(A195,[1]AB4!B:B))="","",CONCATENATE(INDEX([1]AB4!AA:AA,MATCH(A195,[1]AB4!B:B))," ( ",INDEX([1]AB4!AE:AE,MATCH(A195,[1]AB4!B:B))," &amp; ",INDEX([1]AB4!AT:AT,MATCH(A195,[1]AB4!B:B)),INDEX([1]AB4!AJ:AJ,MATCH(A195,[1]AB4!B:B)),TEXT(INDEX([1]AB4!AU:AU,MATCH(A195,[1]AB4!B:B)),"0.00%")," )")))))</f>
        <v/>
      </c>
      <c r="U195" s="38" t="str">
        <f t="array" ref="U195">IF(C194="","",IF(C199="Futures","",IF(C199="Options Sell",IF(INDEX([1]AB4!AU:AU,MATCH(A195,[1]AB4!B:B,0))="","",INDEX([1]AB4!AV:AV,MATCH(A195,[1]AB4!B:B,0))))))</f>
        <v/>
      </c>
      <c r="V195" s="35" t="str">
        <f t="array" ref="V195">IF(C194="","",IF(C199="Futures","",IF(C199="Options Sell",IF(INDEX([1]AB4!AX:AX,MATCH(A195,[1]AB4!B:B,0))="","",CONCATENATE(INDEX([1]AB4!AA:AA,MATCH(A195,[1]AB4!B:B,0))," ( ",INDEX([1]AB4!AE:AE,MATCH(A195,[1]AB4!B:B,0))," &amp; ",INDEX([1]AB4!AW:AW,MATCH(A195,[1]AB4!B:B,0)),INDEX([1]AB4!AJ:AJ,MATCH(A195,[1]AB4!B:B,0)),TEXT(INDEX([1]AB4!AX:AX,MATCH(A195,[1]AB4!B:B,0)),"0.00%")," )")))))</f>
        <v/>
      </c>
      <c r="W195" s="38" t="str">
        <f t="array" ref="W195">IF(C194="","",IF(C199="Futures","",IF(C199="Options Sell",IF(INDEX([1]AB4!AX:AX,MATCH(A195,[1]AB4!B:B,0))="","",INDEX([1]AB4!AY:AY,MATCH(A195,[1]AB4!B:B,0))))))</f>
        <v/>
      </c>
      <c r="X195" s="35" t="str">
        <f t="array" ref="X195">IF(C194="","",IF(C199="Futures","",IF(C199="Options Sell",IF(INDEX([1]AB4!BA:BA,MATCH(A195,[1]AB4!B:B,0))="","",CONCATENATE(INDEX([1]AB4!AA:AA,MATCH(A195,[1]AB4!B:B,0))," ( ",INDEX([1]AB4!AE:AE,MATCH(A195,[1]AB4!B:B,0))," &amp; ",INDEX([1]AB4!AW:AW,MATCH(A195,[1]AB4!B:B,0)),INDEX([1]AB4!AJ:AJ,MATCH(A195,[1]AB4!B:B,0)),TEXT(INDEX([1]AB4!AX:AX,MATCH(A195,[1]AB4!B:B,0)),"0.00%")," )")))))</f>
        <v/>
      </c>
      <c r="Y195" s="38" t="str">
        <f t="array" ref="Y195">IF(C194="","",IF(C199="Futures","",IF(C199="Options Sell",IF(INDEX([1]AB4!BA:BA,MATCH(A195,[1]AB4!B:B,0))="","",INDEX([1]AB4!AY:AY,MATCH(A195,[1]AB4!B:B,0))))))</f>
        <v/>
      </c>
      <c r="Z195" s="41">
        <f t="array" ref="Z195">IF(C194="","",IF(C199="Futures","",IF(C199="Options Sell",IF(INDEX([1]AB4!BD:BD,MATCH(A194,[1]AB4!B:B,0))="","",INDEX([1]AB4!AZ:AZ,MATCH(A194,[1]AB4!B:B,0))))))</f>
        <v>0</v>
      </c>
      <c r="AA195" s="42">
        <f t="array" ref="AA195">IF(C194="","",IF(C199="Futures","",IF(C199="Options Sell",IF(INDEX([1]AB4!BD:BD,MATCH(A195,[1]AB4!B:B,0))="","",INDEX([1]AB4!BB:BB,MATCH(A195,[1]AB4!B:B,0))))))</f>
        <v>0</v>
      </c>
      <c r="AB195" s="29"/>
      <c r="AC195" s="29"/>
    </row>
    <row r="196" spans="1:29" ht="6.75" customHeight="1" thickBot="1" x14ac:dyDescent="0.25">
      <c r="A196" s="15" t="str">
        <f>IF(C194="","",CONCATENATE(C195,[1]AB5!A184))</f>
        <v>S24S1E</v>
      </c>
      <c r="B196" s="43" t="str">
        <f>IF(C194="","",[1]AB5!$B$61)</f>
        <v>Unique Code</v>
      </c>
      <c r="C196" s="44" t="str">
        <f t="array" ref="C196">IF(C194="","",IF(C199="Futures","",IF(C199="Options Sell",INDEX([1]AB2!N:N,MATCH(C194,[1]AB2!A:A,0)))))</f>
        <v>NIFTY_OP_SELL_MT_DIFF_2D_3D</v>
      </c>
      <c r="D196" s="32"/>
      <c r="E196" s="33"/>
      <c r="F196" s="45"/>
      <c r="G196" s="46"/>
      <c r="H196" s="46"/>
      <c r="I196" s="47"/>
      <c r="J196" s="33"/>
      <c r="K196" s="45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29"/>
      <c r="AC196" s="29"/>
    </row>
    <row r="197" spans="1:29" ht="42.75" customHeight="1" x14ac:dyDescent="0.2">
      <c r="A197" s="15" t="str">
        <f>IF(C194="","",CONCATENATE(C195,[1]AB5!$A$7))</f>
        <v>S24B</v>
      </c>
      <c r="B197" s="48"/>
      <c r="C197" s="49"/>
      <c r="D197" s="32"/>
      <c r="E197" s="33"/>
      <c r="F197" s="50" t="str">
        <f>IF(C194="","",IF(C199="Futures","",IF(C199="Options Sell",[1]AB5!$F$62,IF(C199="Options Buy",[1]AB5!$F$95))))</f>
        <v>Put</v>
      </c>
      <c r="G197" s="20" t="str">
        <f t="array" ref="G197">IF(C194="","",IF(C199="Futures","",IF(C199="Options Sell",CONCATENATE("( ",INDEX([1]AB4!BP:BP,MATCH(A197,[1]AB4!B:B))," ",INDEX([1]AB4!BQ:BQ,MATCH(A197,[1]AB4!B:B))," ",TEXT(INDEX([1]AB4!BR:BR,MATCH(A197,[1]AB4!B:B)),"0.00%")," ) &amp; ",INDEX([1]AB4!BS:BS,MATCH(A197,[1]AB4!B:B))),IF(C199="Options Buy",CONCATENATE("( ",INDEX([1]AB4!BP:BP,MATCH(A197,[1]AB4!B:B,0))," ",INDEX([1]AB4!BQ:BQ,MATCH(A197,[1]AB4!B:B,0))," ",TEXT(INDEX([1]AB4!BR:BR,MATCH(A197,[1]AB4!B:B,0)),"0.00%")," ) &amp; ",INDEX([1]AB4!BS:BS,MATCH(A197,[1]AB4!B:B,0)))))))</f>
        <v>( SPT : PRV : 2DHH - 5.00% ) &amp; Round Up</v>
      </c>
      <c r="H197" s="20" t="str">
        <f t="array" ref="H197">IF(C194="","",IF(C199="Futures","",IF(C199="Options Sell",CONCATENATE(INDEX([1]AB4!CE:CE,MATCH(A197,[1]AB4!B:B)),[1]AB5!$H$59,TEXT(INDEX([1]AB4!CF:CF,MATCH(A197,[1]AB4!B:B)),"0.00%")))))</f>
        <v>SPT : PRV : 2DHH * 1.60%</v>
      </c>
      <c r="I197" s="21" t="str">
        <f t="array" ref="I197">IF(C194="","",IF(C199="Futures","",IF(C199="Options Sell",CONCATENATE(INDEX([1]AB4!CI:CI,MATCH(A197,[1]AB4!B:B)),[1]AB5!$I$59))))</f>
        <v>500 Lots</v>
      </c>
      <c r="J197" s="33"/>
      <c r="K197" s="50" t="str">
        <f>IF(C194="","",IF(C199="Futures","",IF(C199="Options Sell",[1]AB5!$K$62,IF(C199="Options Buy",[1]AB5!$K$95))))</f>
        <v>Put</v>
      </c>
      <c r="L197" s="23" t="str">
        <f>IF(C194="","",IF(C199="Futures","",IF(C199="Options Sell",[1]AB5!$G$7,IF(C199="Options Buy",[1]AB5!$L$95))))</f>
        <v>E &amp; T</v>
      </c>
      <c r="M197" s="20" t="str">
        <f t="array" ref="M197">IF(C194="","",IF(C199="Futures","",IF(C199="Options Sell",CONCATENATE(INDEX([1]AB4!G:G,MATCH(A197,[1]AB4!B:B,0)),INDEX([1]AB4!H:H,MATCH(A197,[1]AB4!B:B,0)),TEXT(INDEX([1]AB4!I:I,MATCH(A197,[1]AB4!B:B,0)),"0.00%")))))</f>
        <v>OPT : PRV : 2DLL - 7.50%</v>
      </c>
      <c r="N197" s="24">
        <f t="array" ref="N197">IF(C194="","",IF(C199="Futures","",IF(C199="Options Sell",INDEX([1]AB4!J:J,MATCH(A197,[1]AB4!B:B,0)))))</f>
        <v>1</v>
      </c>
      <c r="O197" s="25" t="str">
        <f t="array" ref="O197">IF(C194="","",IF(C199="Futures","",IF(C199="Options Sell",IF(INDEX([1]AB4!N:N,MATCH(A197,[1]AB4!B:B,0))="","",CONCATENATE(INDEX([1]AB4!L:L,MATCH(A197,[1]AB4!B:B,0)),INDEX([1]AB4!M:M,MATCH(A197,[1]AB4!B:B,0)),TEXT(INDEX([1]AB4!N:N,MATCH(A197,[1]AB4!B:B,0)),"0.00%"))))))</f>
        <v>PE : Entry  - 60.00%</v>
      </c>
      <c r="P197" s="26">
        <f t="array" ref="P197">IF(C194="","",IF(C199="Futures","",IF(C199="Options Sell",IF(INDEX([1]AB4!N:N,MATCH(A197,[1]AB4!B:B,0))="","",INDEX([1]AB4!O:O,MATCH(A197,[1]AB4!B:B,0))))))</f>
        <v>1</v>
      </c>
      <c r="Q197" s="27"/>
      <c r="R197" s="25" t="str">
        <f t="array" ref="R197">IF(C194="","",IF(C199="Futures","",IF(C199="Options Sell",IF(INDEX([1]AB4!P:P,MATCH(A197,[1]AB4!B:B,0))="","",CONCATENATE(INDEX([1]AB4!L:L,MATCH(A197,[1]AB4!B:B,0)),INDEX([1]AB4!M:M,MATCH(A197,[1]AB4!B:B,0)),TEXT(INDEX([1]AB4!P:P,MATCH(A197,[1]AB4!B:B,0)),"0.00%"))))))</f>
        <v/>
      </c>
      <c r="S197" s="24" t="str">
        <f t="array" ref="S197">IF(C194="","",IF(C199="Futures","",IF(C199="Options Sell",IF(INDEX([1]AB4!P:P,MATCH(A197,[1]AB4!B:B,0))="","",INDEX([1]AB4!Q:Q,MATCH(A197,[1]AB4!B:B,0))))))</f>
        <v/>
      </c>
      <c r="T197" s="25" t="str">
        <f t="array" ref="T197">IF(C194="","",IF(C199="Futures","",IF(C199="Options Sell",IF(INDEX([1]AB4!R:R,MATCH(A197,[1]AB4!B:B,0))="","",CONCATENATE(INDEX([1]AB4!L:L,MATCH(A197,[1]AB4!B:B,0)),INDEX([1]AB4!M:M,MATCH(A197,[1]AB4!B:B,0)),TEXT(INDEX([1]AB4!R:R,MATCH(A197,[1]AB4!B:B,0)),"0.00%"))))))</f>
        <v/>
      </c>
      <c r="U197" s="24" t="str">
        <f t="array" ref="U197">IF(C194="","",IF(C199="Futures","",IF(C199="Options Sell",IF(INDEX([1]AB4!R:R,MATCH(A197,[1]AB4!B:B,0))="","",INDEX([1]AB4!S:S,MATCH(A197,[1]AB4!B:B,0))))))</f>
        <v/>
      </c>
      <c r="V197" s="25" t="str">
        <f t="array" ref="V197">IF(C197="","",IF(C199="Futures","",IF(C199="Options Sell",IF(INDEX([1]AB4!T:T,MATCH(A197,[1]AB4!B:B,0))="","",CONCATENATE(INDEX([1]AB4!L:L,MATCH(A197,[1]AB4!B:B,0)),INDEX([1]AB4!M:M,MATCH(A197,[1]AB4!B:B,0)),TEXT(INDEX([1]AB4!T:T,MATCH(A197,[1]AB4!B:B,0)),"0.00%"))))))</f>
        <v/>
      </c>
      <c r="W197" s="24" t="str">
        <f t="array" ref="W197">IF(C194="","",IF(C199="Futures","",IF(C199="Options Sell",IF(INDEX([1]AB4!T:T,MATCH(A197,[1]AB4!B:B,0))="","",INDEX([1]AB4!U:U,MATCH(A197,[1]AB4!B:B,0))))))</f>
        <v/>
      </c>
      <c r="X197" s="25" t="str">
        <f t="array" ref="X197">IF(C194="","",IF(C199="Futures","",IF(C199="Options Sell",IF(INDEX([1]AB4!V:V,MATCH(A197,[1]AB4!B:B,0))="","",INDEX([1]AB4!V:V,MATCH(A197,[1]AB4!B:B,0))))))</f>
        <v/>
      </c>
      <c r="Y197" s="24" t="str">
        <f t="array" ref="Y197">IF(C194="","",IF(C199="Futures","",IF(C199="Options Sell",IF(INDEX([1]AB4!V:V,MATCH(A197,[1]AB4!B:B,0))="","",INDEX([1]AB4!W:W,MATCH(A197,[1]AB4!B:B,0))))))</f>
        <v/>
      </c>
      <c r="Z197" s="25" t="str">
        <f t="array" ref="Z197">IF(C194="","",IF(C199="Futures","",IF(C199="Options Sell",IF(INDEX([1]AB4!X:X,MATCH(A197,[1]AB4!B:B,0))="","",INDEX([1]AB4!X:X,MATCH(A197,[1]AB4!B:B,0))))))</f>
        <v/>
      </c>
      <c r="AA197" s="28" t="str">
        <f t="array" ref="AA197">IF(C194="","",IF(C199="Futures","",IF(C199="Options Sell",IF(INDEX([1]AB4!X:X,MATCH(A197,[1]AB4!B:B,0))="","",INDEX([1]AB4!X:X,MATCH(A197,[1]AB4!Y:Y,0))))))</f>
        <v/>
      </c>
      <c r="AB197" s="29"/>
      <c r="AC197" s="29"/>
    </row>
    <row r="198" spans="1:29" ht="42.75" customHeight="1" thickBot="1" x14ac:dyDescent="0.25">
      <c r="A198" s="15" t="str">
        <f>IF(C194="","",CONCATENATE(C195,[1]AB5!$A$8))</f>
        <v>S24B</v>
      </c>
      <c r="B198" s="51"/>
      <c r="C198" s="52"/>
      <c r="D198" s="34"/>
      <c r="E198" s="53"/>
      <c r="F198" s="34"/>
      <c r="G198" s="35" t="str">
        <f t="array" ref="G198">IF(C194="","",IF(C199="Futures","",IF(C199="Options Sell",CONCATENATE("( ",INDEX([1]AB4!BT:BT,MATCH(A198,[1]AB4!B:B))," ) &amp; ",INDEX([1]AB4!BW:BW,MATCH(A198,[1]AB4!B:B))," ",INDEX([1]AB4!BX:BX,MATCH(A198,[1]AB4!B:B))," ",INDEX([1]AB4!BY:BY,MATCH(A198,[1]AB4!B:B))),IF(C199="Options Buy",CONCATENATE("( ",INDEX([1]AB4!BP:BP,MATCH(A198,[1]AB4!B:B,0))," ",INDEX([1]AB4!BQ:BQ,MATCH(A198,[1]AB4!B:B,0))," ",TEXT(INDEX([1]AB4!BR:BR,MATCH(A198,[1]AB4!B:B,0)),"0.00%")," ) &amp; ",INDEX([1]AB4!BS:BS,MATCH(A198,[1]AB4!B:B,0)))))))</f>
        <v>( SPT : PRV : 2DHH ) &amp; Round Up + 1</v>
      </c>
      <c r="H198" s="35" t="str">
        <f t="array" ref="H198">IF(C194="","",IF(C199="Futures","",IF(C199="Options Sell",CONCATENATE(INDEX([1]AB4!CG:CG,MATCH(A198,[1]AB4!B:B)),[1]AB5!$H$60,TEXT(INDEX([1]AB4!CH:CH,MATCH(A198,[1]AB4!B:B)),"0.00%")))))</f>
        <v>SPT : PRV : 2DHH * 1.20%</v>
      </c>
      <c r="I198" s="36" t="str">
        <f t="array" ref="I198">IF(C194="","",IF(C199="Futures","",IF(C199="Options Sell",CONCATENATE(INDEX([1]AB4!CJ:CJ,MATCH(A198,[1]AB4!B:B)),[1]AB5!$I$60))))</f>
        <v>1 Exp</v>
      </c>
      <c r="J198" s="53"/>
      <c r="K198" s="34"/>
      <c r="L198" s="37" t="str">
        <f>IF(C194="","",IF(C199="Futures","",IF(C199="Options Sell",[1]AB5!$G$8,IF(C199="Options Buy",[1]AB5!$L$96))))</f>
        <v>SL / TRP</v>
      </c>
      <c r="M198" s="35" t="str">
        <f t="array" ref="M198">IF(C194="","",IF(C199="Futures","",IF(C199="Options Sell",IF(INDEX([1]AB4!AL:AL,MATCH(A198,[1]AB4!B:B,0))="","",CONCATENATE(INDEX([1]AB4!AA:AA,MATCH(A198,[1]AB4!B:B,0))," ( ",INDEX([1]AB4!AE:AE,MATCH(A198,[1]AB4!B:B,0)),INDEX([1]AB4!AF:AF,MATCH(A198,[1]AB4!B:B,0)),TEXT(INDEX([1]AB4!AG:AG,MATCH(A198,[1]AB4!B:B,0)),"0.00%")," &amp; ",INDEX([1]AB4!AK:AK,MATCH(A198,[1]AB4!B:B,0)),INDEX([1]AB4!AJ:AJ,MATCH(A198,[1]AB4!B:B,0)),TEXT(INDEX([1]AB4!AL:AL,MATCH(A198,[1]AB4!B:B,0)),"0.00%")," )")))))</f>
        <v>Min ( PE : Entry  + 60.00% &amp; OPT : PRV : 3DHH + 10.00% )</v>
      </c>
      <c r="N198" s="38">
        <f t="array" ref="N198">IF(C194="","",IF(C199="Futures","",IF(C199="Options Sell",INDEX([1]AB4!AM:AM,MATCH(A198,[1]AB4!B:B,0)))))</f>
        <v>1</v>
      </c>
      <c r="O198" s="35" t="str">
        <f t="array" ref="O198">IF(C194="","",IF(C199="Futures","",IF(C199="Options Sell",IF(INDEX([1]AB4!AO:AO,MATCH(A198,[1]AB4!B:B,0))="","",CONCATENATE(INDEX([1]AB4!AA:AA,MATCH(A198,[1]AB4!B:B,0))," ( ",INDEX([1]AB4!AE:AE,MATCH(A198,[1]AB4!B:B,0))," &amp; ",INDEX([1]AB4!AN:AN,MATCH(A198,[1]AB4!B:B,0)),INDEX([1]AB4!AJ:AJ,MATCH(A198,[1]AB4!B:B,0)),TEXT(INDEX([1]AB4!AO:AO,MATCH(A198,[1]AB4!B:B,0)),"0.00%")," )")))))</f>
        <v/>
      </c>
      <c r="P198" s="39" t="str">
        <f t="array" ref="P198">IF(C194="","",IF(C199="Futures","",IF(C199="Options Sell",IF(INDEX([1]AB4!AO:AO,MATCH(A198,[1]AB4!B:B,0))="","",INDEX([1]AB4!AP:AP,MATCH(A198,[1]AB4!B:B,0))))))</f>
        <v/>
      </c>
      <c r="Q198" s="40"/>
      <c r="R198" s="35" t="str">
        <f t="array" ref="R198">IF(C194="","",IF(C199="Futures","",IF(C199="Options Sell",IF(INDEX([1]AB4!AR:AR,MATCH(A198,[1]AB4!B:B,0))="","",CONCATENATE(INDEX([1]AB4!AA:AA,MATCH(A198,[1]AB4!B:B,0))," ( ",INDEX([1]AB4!AE:AE,MATCH(A198,[1]AB4!B:B,0))," &amp; ",INDEX([1]AB4!AQ:AQ,MATCH(A198,[1]AB4!B:B,0)),INDEX([1]AB4!AJ:AJ,MATCH(A198,[1]AB4!B:B,0)),TEXT(INDEX([1]AB4!AR:AR,MATCH(A198,[1]AB4!B:B,0)),"0.00%")," )")))))</f>
        <v/>
      </c>
      <c r="S198" s="38" t="str">
        <f t="array" ref="S198">IF(C194="","",IF(C199="Futures","",IF(C199="Options Sell",IF(INDEX([1]AB4!AR:AR,MATCH(A198,[1]AB4!B:B,0))="","",INDEX([1]AB4!AS:AS,MATCH(A198,[1]AB4!B:B,0))))))</f>
        <v/>
      </c>
      <c r="T198" s="35" t="str">
        <f t="array" ref="T198">IF(C194="","",IF(C199="Futures","",IF(C199="Options Sell",IF(INDEX([1]AB4!AU:AU,MATCH(A198,[1]AB4!B:B))="","",CONCATENATE(INDEX([1]AB4!AA:AA,MATCH(A198,[1]AB4!B:B))," ( ",INDEX([1]AB4!AE:AE,MATCH(A198,[1]AB4!B:B))," &amp; ",INDEX([1]AB4!AT:AT,MATCH(A198,[1]AB4!B:B)),INDEX([1]AB4!AJ:AJ,MATCH(A198,[1]AB4!B:B)),TEXT(INDEX([1]AB4!AU:AU,MATCH(A198,[1]AB4!B:B)),"0.00%")," )")))))</f>
        <v/>
      </c>
      <c r="U198" s="38" t="str">
        <f t="array" ref="U198">IF(C194="","",IF(C199="Futures","",IF(C199="Options Sell",IF(INDEX([1]AB4!AU:AU,MATCH(A198,[1]AB4!B:B,0))="","",INDEX([1]AB4!AV:AV,MATCH(A198,[1]AB4!B:B,0))))))</f>
        <v/>
      </c>
      <c r="V198" s="35" t="str">
        <f t="array" ref="V198">IF(C197="","",IF(C199="Futures","",IF(C199="Options Sell",IF(INDEX([1]AB4!AX:AX,MATCH(A198,[1]AB4!B:B,0))="","",CONCATENATE(INDEX([1]AB4!AA:AA,MATCH(A198,[1]AB4!B:B,0))," ( ",INDEX([1]AB4!AE:AE,MATCH(A198,[1]AB4!B:B,0))," &amp; ",INDEX([1]AB4!AW:AW,MATCH(A198,[1]AB4!B:B,0)),INDEX([1]AB4!AJ:AJ,MATCH(A198,[1]AB4!B:B,0)),TEXT(INDEX([1]AB4!AX:AX,MATCH(A198,[1]AB4!B:B,0)),"0.00%")," )")))))</f>
        <v/>
      </c>
      <c r="W198" s="38" t="str">
        <f t="array" ref="W198">IF(C194="","",IF(C199="Futures","",IF(C199="Options Sell",IF(INDEX([1]AB4!AX:AX,MATCH(A198,[1]AB4!B:B,0))="","",INDEX([1]AB4!AY:AY,MATCH(A198,[1]AB4!B:B,0))))))</f>
        <v/>
      </c>
      <c r="X198" s="35" t="str">
        <f t="array" ref="X198">IF(C194="","",IF(C199="Futures","",IF(C199="Options Sell",IF(INDEX([1]AB4!BA:BA,MATCH(A198,[1]AB4!B:B,0))="","",CONCATENATE(INDEX([1]AB4!AA:AA,MATCH(A198,[1]AB4!B:B,0))," ( ",INDEX([1]AB4!AE:AE,MATCH(A198,[1]AB4!B:B,0))," &amp; ",INDEX([1]AB4!AW:AW,MATCH(A198,[1]AB4!B:B,0)),INDEX([1]AB4!AJ:AJ,MATCH(A198,[1]AB4!B:B,0)),TEXT(INDEX([1]AB4!AX:AX,MATCH(A198,[1]AB4!B:B,0)),"0.00%")," )")))))</f>
        <v/>
      </c>
      <c r="Y198" s="38" t="str">
        <f t="array" ref="Y198">IF(C194="","",IF(C199="Futures","",IF(C199="Options Sell",IF(INDEX([1]AB4!BA:BA,MATCH(A198,[1]AB4!B:B,0))="","",INDEX([1]AB4!AY:AY,MATCH(A198,[1]AB4!B:B,0))))))</f>
        <v/>
      </c>
      <c r="Z198" s="41">
        <f t="array" ref="Z198">IF(C194="","",IF(C199="Futures","",IF(C199="Options Sell",IF(INDEX([1]AB4!BD:BD,MATCH(A197,[1]AB4!B:B,0))="","",INDEX([1]AB4!AZ:AZ,MATCH(A197,[1]AB4!B:B,0))))))</f>
        <v>0</v>
      </c>
      <c r="AA198" s="42">
        <f t="array" ref="AA198">IF(C194="","",IF(C199="Futures","",IF(C199="Options Sell",IF(INDEX([1]AB4!BD:BD,MATCH(A198,[1]AB4!B:B,0))="","",INDEX([1]AB4!BB:BB,MATCH(A198,[1]AB4!B:B,0))))))</f>
        <v>0</v>
      </c>
      <c r="AB198" s="29"/>
      <c r="AC198" s="29"/>
    </row>
    <row r="199" spans="1:29" ht="18.75" customHeight="1" thickBot="1" x14ac:dyDescent="0.25">
      <c r="A199" s="15" t="str">
        <f>IF(C194="","",CONCATENATE(C195,[1]AB5!$A$9))</f>
        <v>S24C</v>
      </c>
      <c r="B199" s="30" t="str">
        <f>IF(C194="","",[1]AB5!$B$64)</f>
        <v>Segment</v>
      </c>
      <c r="C199" s="31" t="str">
        <f t="array" ref="C199">IF(C194="","",INDEX([1]AB2!C:C,MATCH(C194,[1]AB2!A:A,0)))</f>
        <v>OPTIONS SELL</v>
      </c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29"/>
      <c r="AC199" s="29"/>
    </row>
    <row r="200" spans="1:29" ht="42.75" customHeight="1" x14ac:dyDescent="0.2">
      <c r="A200" s="15" t="str">
        <f>IF(C194="","",CONCATENATE(C195,[1]AB5!$A$10))</f>
        <v>S24D</v>
      </c>
      <c r="B200" s="30" t="str">
        <f>IF(C194="","",[1]AB5!$B$65)</f>
        <v>Symbol</v>
      </c>
      <c r="C200" s="31" t="str">
        <f t="array" ref="C200">IF(C194="","",IF(C199="Futures","",IF(C199="Options Sell",INDEX([1]AB2!E:E,MATCH(C194,[1]AB2!A:A,0)))))</f>
        <v>NIFTY</v>
      </c>
      <c r="D200" s="50" t="str">
        <f>IF(C194="","",IF(C199="Futures","",IF(C199="Options Sell",[1]AB5!$D$65,IF(C199="Options Buy",[1]AB5!$D$98))))</f>
        <v>BEAR / BEAR CF</v>
      </c>
      <c r="E200" s="19"/>
      <c r="F200" s="18" t="str">
        <f>IF(C194="","",IF(C199="Futures","",IF(C199="Options Sell",[1]AB5!$F$65)))</f>
        <v>Call</v>
      </c>
      <c r="G200" s="20" t="str">
        <f t="array" ref="G200">IF(C194="","",IF(C199="Futures","",IF(C199="Options Sell",CONCATENATE("( ",INDEX([1]AB4!BP:BP,MATCH(A200,[1]AB4!B:B))," ",INDEX([1]AB4!BQ:BQ,MATCH(A200,[1]AB4!B:B))," ",TEXT(INDEX([1]AB4!BR:BR,MATCH(A200,[1]AB4!B:B)),"0.00%")," ) &amp; ",INDEX([1]AB4!BS:BS,MATCH(A200,[1]AB4!B:B))),IF(C199="Options Buy",CONCATENATE("( ",INDEX([1]AB4!BP:BP,MATCH(A200,[1]AB4!B:B,0))," ",INDEX([1]AB4!BQ:BQ,MATCH(A200,[1]AB4!B:B,0))," ",TEXT(INDEX([1]AB4!BR:BR,MATCH(A200,[1]AB4!B:B,0)),"0.00%")," ) &amp; ",INDEX([1]AB4!BS:BS,MATCH(A200,[1]AB4!B:B,0)))))))</f>
        <v>( SPT : PRV : 2DLL + 5.00% ) &amp; Round Down</v>
      </c>
      <c r="H200" s="20" t="str">
        <f t="array" ref="H200">IF(C194="","",IF(C199="Futures","",IF(C199="Options Sell",CONCATENATE(INDEX([1]AB4!CE:CE,MATCH(A200,[1]AB4!B:B)),[1]AB5!$H$59,TEXT(INDEX([1]AB4!CF:CF,MATCH(A200,[1]AB4!B:B)),"0.00%")))))</f>
        <v>SPT : PRV : 2DLL * 1.60%</v>
      </c>
      <c r="I200" s="21" t="str">
        <f t="array" ref="I200">IF(C194="","",IF(C199="Futures","",IF(C199="Options Sell",CONCATENATE(INDEX([1]AB4!CI:CI,MATCH(A200,[1]AB4!B:B)),[1]AB5!$I$59))))</f>
        <v>500 Lots</v>
      </c>
      <c r="J200" s="55" t="str">
        <f>IF(C194="","",IF(C199="Futures","",IF(C199="Options Sell",[1]AB5!$J$65,IF(C199="Options Buy",[1]AB5!$J$98))))</f>
        <v>BEAR / BEAR CF</v>
      </c>
      <c r="K200" s="18" t="str">
        <f>IF(C194="","",IF(C199="Futures","",IF(C199="Options Sell",[1]AB5!$K$65,IF(C199="Options Buy",[1]AB5!$K$98))))</f>
        <v>Call</v>
      </c>
      <c r="L200" s="23" t="str">
        <f>IF(C194="","",IF(C199="Futures","",IF(C199="Options Sell",[1]AB5!$G$10,IF(C199="Options Buy",[1]AB5!$L$98))))</f>
        <v>E &amp; T</v>
      </c>
      <c r="M200" s="20" t="str">
        <f t="array" ref="M200">IF(C194="","",IF(C199="Futures","",IF(C199="Options Sell",CONCATENATE(INDEX([1]AB4!G:G,MATCH(A200,[1]AB4!B:B,0)),INDEX([1]AB4!H:H,MATCH(A200,[1]AB4!B:B,0)),TEXT(INDEX([1]AB4!I:I,MATCH(A200,[1]AB4!B:B,0)),"0.00%")))))</f>
        <v>OPT : PRV : 2DLL - 7.50%</v>
      </c>
      <c r="N200" s="24">
        <f t="array" ref="N200">IF(C194="","",IF(C199="Futures","",IF(C199="Options Sell",INDEX([1]AB4!J:J,MATCH(A200,[1]AB4!B:B,0)))))</f>
        <v>1</v>
      </c>
      <c r="O200" s="25" t="str">
        <f t="array" ref="O200">IF(C194="","",IF(C199="Futures","",IF(C199="Options Sell",IF(INDEX([1]AB4!N:N,MATCH(A200,[1]AB4!B:B,0))="","",CONCATENATE(INDEX([1]AB4!L:L,MATCH(A200,[1]AB4!B:B,0)),INDEX([1]AB4!M:M,MATCH(A200,[1]AB4!B:B,0)),TEXT(INDEX([1]AB4!N:N,MATCH(A200,[1]AB4!B:B,0)),"0.00%"))))))</f>
        <v>CE : Entry  - 60.00%</v>
      </c>
      <c r="P200" s="26">
        <f t="array" ref="P200">IF(C194="","",IF(C199="Futures","",IF(C199="Options Sell",IF(INDEX([1]AB4!N:N,MATCH(A200,[1]AB4!B:B,0))="","",INDEX([1]AB4!O:O,MATCH(A200,[1]AB4!B:B,0))))))</f>
        <v>1</v>
      </c>
      <c r="Q200" s="27"/>
      <c r="R200" s="25" t="str">
        <f t="array" ref="R200">IF(C194="","",IF(C199="Futures","",IF(C199="Options Sell",IF(INDEX([1]AB4!P:P,MATCH(A200,[1]AB4!B:B,0))="","",CONCATENATE(INDEX([1]AB4!L:L,MATCH(A200,[1]AB4!B:B,0)),INDEX([1]AB4!M:M,MATCH(A200,[1]AB4!B:B,0)),TEXT(INDEX([1]AB4!P:P,MATCH(A200,[1]AB4!B:B,0)),"0.00%"))))))</f>
        <v/>
      </c>
      <c r="S200" s="24" t="str">
        <f t="array" ref="S200">IF(C194="","",IF(C199="Futures","",IF(C199="Options Sell",IF(INDEX([1]AB4!P:P,MATCH(A200,[1]AB4!B:B,0))="","",INDEX([1]AB4!Q:Q,MATCH(A200,[1]AB4!B:B,0))))))</f>
        <v/>
      </c>
      <c r="T200" s="25" t="str">
        <f t="array" ref="T200">IF(C194="","",IF(C199="Futures","",IF(C199="Options Sell",IF(INDEX([1]AB4!R:R,MATCH(A200,[1]AB4!B:B,0))="","",CONCATENATE(INDEX([1]AB4!L:L,MATCH(A200,[1]AB4!B:B,0)),INDEX([1]AB4!M:M,MATCH(A200,[1]AB4!B:B,0)),TEXT(INDEX([1]AB4!R:R,MATCH(A200,[1]AB4!B:B,0)),"0.00%"))))))</f>
        <v/>
      </c>
      <c r="U200" s="24" t="str">
        <f t="array" ref="U200">IF(C194="","",IF(C199="Futures","",IF(C199="Options Sell",IF(INDEX([1]AB4!R:R,MATCH(A200,[1]AB4!B:B,0))="","",INDEX([1]AB4!S:S,MATCH(A200,[1]AB4!B:B,0))))))</f>
        <v/>
      </c>
      <c r="V200" s="25" t="str">
        <f t="array" ref="V200">IF(C200="","",IF(C199="Futures","",IF(C199="Options Sell",IF(INDEX([1]AB4!T:T,MATCH(A200,[1]AB4!B:B,0))="","",CONCATENATE(INDEX([1]AB4!L:L,MATCH(A200,[1]AB4!B:B,0)),INDEX([1]AB4!M:M,MATCH(A200,[1]AB4!B:B,0)),TEXT(INDEX([1]AB4!T:T,MATCH(A200,[1]AB4!B:B,0)),"0.00%"))))))</f>
        <v/>
      </c>
      <c r="W200" s="24" t="str">
        <f t="array" ref="W200">IF(C194="","",IF(C199="Futures","",IF(C199="Options Sell",IF(INDEX([1]AB4!T:T,MATCH(A200,[1]AB4!B:B,0))="","",INDEX([1]AB4!U:U,MATCH(A200,[1]AB4!B:B,0))))))</f>
        <v/>
      </c>
      <c r="X200" s="25" t="str">
        <f t="array" ref="X200">IF(C194="","",IF(C199="Futures","",IF(C199="Options Sell",IF(INDEX([1]AB4!V:V,MATCH(A200,[1]AB4!B:B,0))="","",INDEX([1]AB4!V:V,MATCH(A200,[1]AB4!B:B,0))))))</f>
        <v/>
      </c>
      <c r="Y200" s="24" t="str">
        <f t="array" ref="Y200">IF(C194="","",IF(C199="Futures","",IF(C199="Options Sell",IF(INDEX([1]AB4!V:V,MATCH(A200,[1]AB4!B:B,0))="","",INDEX([1]AB4!W:W,MATCH(A200,[1]AB4!B:B,0))))))</f>
        <v/>
      </c>
      <c r="Z200" s="25" t="str">
        <f t="array" ref="Z200">IF(C194="","",IF(C199="Futures","",IF(C199="Options Sell",IF(INDEX([1]AB4!X:X,MATCH(A200,[1]AB4!B:B,0))="","",INDEX([1]AB4!X:X,MATCH(A200,[1]AB4!B:B,0))))))</f>
        <v/>
      </c>
      <c r="AA200" s="28" t="str">
        <f t="array" ref="AA200">IF(C194="","",IF(C199="Futures","",IF(C199="Options Sell",IF(INDEX([1]AB4!X:X,MATCH(A200,[1]AB4!B:B,0))="","",INDEX([1]AB4!X:X,MATCH(A200,[1]AB4!Y:Y,0))))))</f>
        <v/>
      </c>
      <c r="AB200" s="29"/>
      <c r="AC200" s="29"/>
    </row>
    <row r="201" spans="1:29" ht="42.75" customHeight="1" thickBot="1" x14ac:dyDescent="0.25">
      <c r="A201" s="15" t="str">
        <f>IF(C194="","",CONCATENATE(C195,[1]AB5!$A$11))</f>
        <v>S24D</v>
      </c>
      <c r="B201" s="30" t="str">
        <f>IF(C194="","",[1]AB5!$B$66)</f>
        <v>No. of TGT</v>
      </c>
      <c r="C201" s="31" t="str">
        <f t="array" ref="C201">IF(C194="","",IF(C199="Futures","",IF(C199="Options Sell",INDEX([1]AB2!K:K,MATCH(C194,[1]AB2!A:A,0)))))</f>
        <v>APS</v>
      </c>
      <c r="D201" s="32"/>
      <c r="E201" s="33"/>
      <c r="F201" s="34"/>
      <c r="G201" s="35" t="str">
        <f t="array" ref="G201">IF(C194="","",IF(C199="Futures","",IF(C199="Options Sell",CONCATENATE("( ",INDEX([1]AB4!BT:BT,MATCH(A201,[1]AB4!B:B))," ) &amp; ",INDEX([1]AB4!BW:BW,MATCH(A201,[1]AB4!B:B))," ",INDEX([1]AB4!BX:BX,MATCH(A201,[1]AB4!B:B))," ",INDEX([1]AB4!BY:BY,MATCH(A201,[1]AB4!B:B))),IF(C199="Options Buy",CONCATENATE("( ",INDEX([1]AB4!BP:BP,MATCH(A201,[1]AB4!B:B,0))," ",INDEX([1]AB4!BQ:BQ,MATCH(A201,[1]AB4!B:B,0))," ",TEXT(INDEX([1]AB4!BR:BR,MATCH(A201,[1]AB4!B:B,0)),"0.00%")," ) &amp; ",INDEX([1]AB4!BS:BS,MATCH(A201,[1]AB4!B:B,0)))))))</f>
        <v>( SPT : PRV : 2DLL ) &amp; Round Down - 1</v>
      </c>
      <c r="H201" s="35" t="str">
        <f t="array" ref="H201">IF(C194="","",IF(C199="Futures","",IF(C199="Options Sell",CONCATENATE(INDEX([1]AB4!CG:CG,MATCH(A201,[1]AB4!B:B)),[1]AB5!$H$60,TEXT(INDEX([1]AB4!CH:CH,MATCH(A201,[1]AB4!B:B)),"0.00%")))))</f>
        <v>SPT : PRV : 2DLL * 1.20%</v>
      </c>
      <c r="I201" s="36" t="str">
        <f t="array" ref="I201">IF(C194="","",IF(C199="Futures","",IF(C199="Options Sell",CONCATENATE(INDEX([1]AB4!CJ:CJ,MATCH(A201,[1]AB4!B:B)),[1]AB5!$I$60))))</f>
        <v>1 Exp</v>
      </c>
      <c r="J201" s="33"/>
      <c r="K201" s="34"/>
      <c r="L201" s="37" t="str">
        <f>IF(C194="","",IF(C199="Futures","",IF(C199="Options Sell",[1]AB5!$G$11,IF(C199="Options Buy",[1]AB5!$L$99))))</f>
        <v>SL / TRP</v>
      </c>
      <c r="M201" s="35" t="str">
        <f t="array" ref="M201">IF(C194="","",IF(C199="Futures","",IF(C199="Options Sell",IF(INDEX([1]AB4!AL:AL,MATCH(A201,[1]AB4!B:B,0))="","",CONCATENATE(INDEX([1]AB4!AA:AA,MATCH(A201,[1]AB4!B:B,0))," ( ",INDEX([1]AB4!AE:AE,MATCH(A201,[1]AB4!B:B,0)),INDEX([1]AB4!AF:AF,MATCH(A201,[1]AB4!B:B,0)),TEXT(INDEX([1]AB4!AG:AG,MATCH(A201,[1]AB4!B:B,0)),"0.00%")," &amp; ",INDEX([1]AB4!AK:AK,MATCH(A201,[1]AB4!B:B,0)),INDEX([1]AB4!AJ:AJ,MATCH(A201,[1]AB4!B:B,0)),TEXT(INDEX([1]AB4!AL:AL,MATCH(A201,[1]AB4!B:B,0)),"0.00%")," )")))))</f>
        <v>Min ( CE : Entry  + 60.00% &amp; OPT : PRV : 3DHH + 10.00% )</v>
      </c>
      <c r="N201" s="38">
        <f t="array" ref="N201">IF(C194="","",IF(C199="Futures","",IF(C199="Options Sell",INDEX([1]AB4!AM:AM,MATCH(A201,[1]AB4!B:B,0)))))</f>
        <v>1</v>
      </c>
      <c r="O201" s="35" t="str">
        <f t="array" ref="O201">IF(C194="","",IF(C199="Futures","",IF(C199="Options Sell",IF(INDEX([1]AB4!AO:AO,MATCH(A201,[1]AB4!B:B,0))="","",CONCATENATE(INDEX([1]AB4!AA:AA,MATCH(A201,[1]AB4!B:B,0))," ( ",INDEX([1]AB4!AE:AE,MATCH(A201,[1]AB4!B:B,0))," &amp; ",INDEX([1]AB4!AN:AN,MATCH(A201,[1]AB4!B:B,0)),INDEX([1]AB4!AJ:AJ,MATCH(A201,[1]AB4!B:B,0)),TEXT(INDEX([1]AB4!AO:AO,MATCH(A201,[1]AB4!B:B,0)),"0.00%")," )")))))</f>
        <v/>
      </c>
      <c r="P201" s="39" t="str">
        <f t="array" ref="P201">IF(C194="","",IF(C199="Futures","",IF(C199="Options Sell",IF(INDEX([1]AB4!AO:AO,MATCH(A201,[1]AB4!B:B,0))="","",INDEX([1]AB4!AP:AP,MATCH(A201,[1]AB4!B:B,0))))))</f>
        <v/>
      </c>
      <c r="Q201" s="40"/>
      <c r="R201" s="35" t="str">
        <f t="array" ref="R201">IF(C194="","",IF(C199="Futures","",IF(C199="Options Sell",IF(INDEX([1]AB4!AR:AR,MATCH(A201,[1]AB4!B:B,0))="","",CONCATENATE(INDEX([1]AB4!AA:AA,MATCH(A201,[1]AB4!B:B,0))," ( ",INDEX([1]AB4!AE:AE,MATCH(A201,[1]AB4!B:B,0))," &amp; ",INDEX([1]AB4!AQ:AQ,MATCH(A201,[1]AB4!B:B,0)),INDEX([1]AB4!AJ:AJ,MATCH(A201,[1]AB4!B:B,0)),TEXT(INDEX([1]AB4!AR:AR,MATCH(A201,[1]AB4!B:B,0)),"0.00%")," )")))))</f>
        <v/>
      </c>
      <c r="S201" s="38" t="str">
        <f t="array" ref="S201">IF(C194="","",IF(C199="Futures","",IF(C199="Options Sell",IF(INDEX([1]AB4!AR:AR,MATCH(A201,[1]AB4!B:B,0))="","",INDEX([1]AB4!AS:AS,MATCH(A201,[1]AB4!B:B,0))))))</f>
        <v/>
      </c>
      <c r="T201" s="35" t="str">
        <f t="array" ref="T201">IF(C194="","",IF(C199="Futures","",IF(C199="Options Sell",IF(INDEX([1]AB4!AU:AU,MATCH(A201,[1]AB4!B:B))="","",CONCATENATE(INDEX([1]AB4!AA:AA,MATCH(A201,[1]AB4!B:B))," ( ",INDEX([1]AB4!AE:AE,MATCH(A201,[1]AB4!B:B))," &amp; ",INDEX([1]AB4!AT:AT,MATCH(A201,[1]AB4!B:B)),INDEX([1]AB4!AJ:AJ,MATCH(A201,[1]AB4!B:B)),TEXT(INDEX([1]AB4!AU:AU,MATCH(A201,[1]AB4!B:B)),"0.00%")," )")))))</f>
        <v/>
      </c>
      <c r="U201" s="38" t="str">
        <f t="array" ref="U201">IF(C194="","",IF(C199="Futures","",IF(C199="Options Sell",IF(INDEX([1]AB4!AU:AU,MATCH(A201,[1]AB4!B:B,0))="","",INDEX([1]AB4!AV:AV,MATCH(A201,[1]AB4!B:B,0))))))</f>
        <v/>
      </c>
      <c r="V201" s="35" t="str">
        <f t="array" ref="V201">IF(C200="","",IF(C199="Futures","",IF(C199="Options Sell",IF(INDEX([1]AB4!AX:AX,MATCH(A201,[1]AB4!B:B,0))="","",CONCATENATE(INDEX([1]AB4!AA:AA,MATCH(A201,[1]AB4!B:B,0))," ( ",INDEX([1]AB4!AE:AE,MATCH(A201,[1]AB4!B:B,0))," &amp; ",INDEX([1]AB4!AW:AW,MATCH(A201,[1]AB4!B:B,0)),INDEX([1]AB4!AJ:AJ,MATCH(A201,[1]AB4!B:B,0)),TEXT(INDEX([1]AB4!AX:AX,MATCH(A201,[1]AB4!B:B,0)),"0.00%")," )")))))</f>
        <v/>
      </c>
      <c r="W201" s="38" t="str">
        <f t="array" ref="W201">IF(C194="","",IF(C199="Futures","",IF(C199="Options Sell",IF(INDEX([1]AB4!AX:AX,MATCH(A201,[1]AB4!B:B,0))="","",INDEX([1]AB4!AY:AY,MATCH(A201,[1]AB4!B:B,0))))))</f>
        <v/>
      </c>
      <c r="X201" s="35" t="str">
        <f t="array" ref="X201">IF(C194="","",IF(C199="Futures","",IF(C199="Options Sell",IF(INDEX([1]AB4!BA:BA,MATCH(A201,[1]AB4!B:B,0))="","",CONCATENATE(INDEX([1]AB4!AA:AA,MATCH(A201,[1]AB4!B:B,0))," ( ",INDEX([1]AB4!AE:AE,MATCH(A201,[1]AB4!B:B,0))," &amp; ",INDEX([1]AB4!AW:AW,MATCH(A201,[1]AB4!B:B,0)),INDEX([1]AB4!AJ:AJ,MATCH(A201,[1]AB4!B:B,0)),TEXT(INDEX([1]AB4!AX:AX,MATCH(A201,[1]AB4!B:B,0)),"0.00%")," )")))))</f>
        <v/>
      </c>
      <c r="Y201" s="38" t="str">
        <f t="array" ref="Y201">IF(C194="","",IF(C199="Futures","",IF(C199="Options Sell",IF(INDEX([1]AB4!BA:BA,MATCH(A201,[1]AB4!B:B,0))="","",INDEX([1]AB4!AY:AY,MATCH(A201,[1]AB4!B:B,0))))))</f>
        <v/>
      </c>
      <c r="Z201" s="41">
        <f t="array" ref="Z201">IF(C194="","",IF(C199="Futures","",IF(C199="Options Sell",IF(INDEX([1]AB4!BD:BD,MATCH(A200,[1]AB4!B:B,0))="","",INDEX([1]AB4!AZ:AZ,MATCH(A200,[1]AB4!B:B,0))))))</f>
        <v>0</v>
      </c>
      <c r="AA201" s="42">
        <f t="array" ref="AA201">IF(C200="","",IF(C199="Futures","",IF(C199="Options Sell",IF(INDEX([1]AB4!BD:BD,MATCH(A201,[1]AB4!B:B,0))="","",INDEX([1]AB4!BB:BB,MATCH(A201,[1]AB4!B:B,0))))))</f>
        <v>0</v>
      </c>
      <c r="AB201" s="29"/>
      <c r="AC201" s="29"/>
    </row>
    <row r="202" spans="1:29" ht="6.75" customHeight="1" thickBot="1" x14ac:dyDescent="0.25">
      <c r="A202" s="15" t="str">
        <f>IF(C194="","",CONCATENATE(C195,[1]AB5!A190))</f>
        <v>S24</v>
      </c>
      <c r="B202" s="56" t="str">
        <f>IF(C194="","",IF(C199="Futures","",IF(C199="Options Sell",[1]AB5!$B$67)))</f>
        <v>I Commit To Follow The Rules &amp; Process</v>
      </c>
      <c r="C202" s="57"/>
      <c r="D202" s="32"/>
      <c r="E202" s="33"/>
      <c r="F202" s="45"/>
      <c r="G202" s="46"/>
      <c r="H202" s="46"/>
      <c r="I202" s="47"/>
      <c r="J202" s="33"/>
      <c r="K202" s="45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29"/>
      <c r="AC202" s="29"/>
    </row>
    <row r="203" spans="1:29" ht="42.75" customHeight="1" x14ac:dyDescent="0.2">
      <c r="A203" s="15" t="str">
        <f>IF(C194="","",CONCATENATE(C195,[1]AB5!$A$13))</f>
        <v>S24E</v>
      </c>
      <c r="B203" s="32"/>
      <c r="C203" s="33"/>
      <c r="D203" s="32"/>
      <c r="E203" s="33"/>
      <c r="F203" s="50" t="str">
        <f>IF(C194="","",IF(C199="Futures","",IF(C199="Options Sell",[1]AB5!$F$68)))</f>
        <v>Put</v>
      </c>
      <c r="G203" s="20" t="str">
        <f t="array" ref="G203">IF(C194="","",IF(C199="Futures","",IF(C199="Options Sell",CONCATENATE("( ",INDEX([1]AB4!BP:BP,MATCH(A203,[1]AB4!B:B))," ",INDEX([1]AB4!BQ:BQ,MATCH(A203,[1]AB4!B:B))," ",TEXT(INDEX([1]AB4!BR:BR,MATCH(A203,[1]AB4!B:B)),"0.00%")," ) &amp; ",INDEX([1]AB4!BS:BS,MATCH(A203,[1]AB4!B:B))),IF(C199="Options Buy",CONCATENATE("( ",INDEX([1]AB4!BP:BP,MATCH(A203,[1]AB4!B:B,0))," ",INDEX([1]AB4!BQ:BQ,MATCH(A203,[1]AB4!B:B,0))," ",TEXT(INDEX([1]AB4!BR:BR,MATCH(A203,[1]AB4!B:B,0)),"0.00%")," ) &amp; ",INDEX([1]AB4!BS:BS,MATCH(A203,[1]AB4!B:B,0)))))))</f>
        <v>( SPT : PRV : 3DHH - 5.00% ) &amp; Round Up</v>
      </c>
      <c r="H203" s="20" t="str">
        <f t="array" ref="H203">IF(C194="","",IF(C199="Futures","",IF(C199="Options Sell",CONCATENATE(INDEX([1]AB4!CE:CE,MATCH(A203,[1]AB4!B:B)),[1]AB5!$H$59,TEXT(INDEX([1]AB4!CF:CF,MATCH(A203,[1]AB4!B:B)),"0.00%")))))</f>
        <v>SPT : PRV : 3DHH * 1.60%</v>
      </c>
      <c r="I203" s="21" t="str">
        <f t="array" ref="I203">IF(C194="","",IF(C199="Futures","",IF(C199="Options Sell",CONCATENATE(INDEX([1]AB4!CI:CI,MATCH(A203,[1]AB4!B:B)),[1]AB5!$I$59))))</f>
        <v>500 Lots</v>
      </c>
      <c r="J203" s="33"/>
      <c r="K203" s="50" t="str">
        <f>IF(C194="","",IF(C199="Futures","",IF(C199="Options Sell",[1]AB5!$K$68,IF(C199="Options Buy",[1]AB5!$K$101))))</f>
        <v>Put</v>
      </c>
      <c r="L203" s="23" t="str">
        <f>IF(C194="","",IF(C199="Futures","",IF(C199="Options Sell",[1]AB5!$G$13,IF(C199="Options Buy",[1]AB5!$L$101))))</f>
        <v>E &amp; T</v>
      </c>
      <c r="M203" s="20" t="str">
        <f t="array" ref="M203">IF(C194="","",IF(C199="Futures","",IF(C199="Options Sell",CONCATENATE(INDEX([1]AB4!G:G,MATCH(A203,[1]AB4!B:B,0)),INDEX([1]AB4!H:H,MATCH(A203,[1]AB4!B:B,0)),TEXT(INDEX([1]AB4!I:I,MATCH(A203,[1]AB4!B:B,0)),"0.00%")))))</f>
        <v>OPT : PRV : 3DLL - 7.50%</v>
      </c>
      <c r="N203" s="24">
        <f t="array" ref="N203">IF(C194="","",IF(C199="Futures","",IF(C199="Options Sell",INDEX([1]AB4!J:J,MATCH(A203,[1]AB4!B:B,0)))))</f>
        <v>1</v>
      </c>
      <c r="O203" s="25" t="str">
        <f t="array" ref="O203">IF(C194="","",IF(C199="Futures","",IF(C199="Options Sell",IF(INDEX([1]AB4!N:N,MATCH(A203,[1]AB4!B:B,0))="","",CONCATENATE(INDEX([1]AB4!L:L,MATCH(A203,[1]AB4!B:B,0)),INDEX([1]AB4!M:M,MATCH(A203,[1]AB4!B:B,0)),TEXT(INDEX([1]AB4!N:N,MATCH(A203,[1]AB4!B:B,0)),"0.00%"))))))</f>
        <v>PE : Entry  - 60.00%</v>
      </c>
      <c r="P203" s="26">
        <f t="array" ref="P203">IF(C194="","",IF(C199="Futures","",IF(C199="Options Sell",IF(INDEX([1]AB4!N:N,MATCH(A203,[1]AB4!B:B,0))="","",INDEX([1]AB4!O:O,MATCH(A203,[1]AB4!B:B,0))))))</f>
        <v>1</v>
      </c>
      <c r="Q203" s="27"/>
      <c r="R203" s="25" t="str">
        <f t="array" ref="R203">IF(C194="","",IF(C199="Futures","",IF(C199="Options Sell",IF(INDEX([1]AB4!P:P,MATCH(A203,[1]AB4!B:B,0))="","",CONCATENATE(INDEX([1]AB4!L:L,MATCH(A203,[1]AB4!B:B,0)),INDEX([1]AB4!M:M,MATCH(A203,[1]AB4!B:B,0)),TEXT(INDEX([1]AB4!P:P,MATCH(A203,[1]AB4!B:B,0)),"0.00%"))))))</f>
        <v/>
      </c>
      <c r="S203" s="24" t="str">
        <f t="array" ref="S203">IF(C194="","",IF(C199="Futures","",IF(C199="Options Sell",IF(INDEX([1]AB4!P:P,MATCH(A203,[1]AB4!B:B,0))="","",INDEX([1]AB4!Q:Q,MATCH(A203,[1]AB4!B:B,0))))))</f>
        <v/>
      </c>
      <c r="T203" s="25" t="str">
        <f t="array" ref="T203">IF(C194="","",IF(C199="Futures","",IF(C199="Options Sell",IF(INDEX([1]AB4!R:R,MATCH(A203,[1]AB4!B:B,0))="","",CONCATENATE(INDEX([1]AB4!L:L,MATCH(A203,[1]AB4!B:B,0)),INDEX([1]AB4!M:M,MATCH(A203,[1]AB4!B:B,0)),TEXT(INDEX([1]AB4!R:R,MATCH(A203,[1]AB4!B:B,0)),"0.00%"))))))</f>
        <v/>
      </c>
      <c r="U203" s="24" t="str">
        <f t="array" ref="U203">IF(C194="","",IF(C199="Futures","",IF(C199="Options Sell",IF(INDEX([1]AB4!R:R,MATCH(A203,[1]AB4!B:B,0))="","",INDEX([1]AB4!S:S,MATCH(A203,[1]AB4!B:B,0))))))</f>
        <v/>
      </c>
      <c r="V203" s="25" t="str">
        <f t="array" ref="V203">IF(C203="","",IF(C199="Futures","",IF(C199="Options Sell",IF(INDEX([1]AB4!T:T,MATCH(A203,[1]AB4!B:B,0))="","",CONCATENATE(INDEX([1]AB4!L:L,MATCH(A203,[1]AB4!B:B,0)),INDEX([1]AB4!M:M,MATCH(A203,[1]AB4!B:B,0)),TEXT(INDEX([1]AB4!T:T,MATCH(A203,[1]AB4!B:B,0)),"0.00%"))))))</f>
        <v/>
      </c>
      <c r="W203" s="24" t="str">
        <f t="array" ref="W203">IF(C194="","",IF(C199="Futures","",IF(C199="Options Sell",IF(INDEX([1]AB4!T:T,MATCH(A203,[1]AB4!B:B,0))="","",INDEX([1]AB4!U:U,MATCH(A203,[1]AB4!B:B,0))))))</f>
        <v/>
      </c>
      <c r="X203" s="25" t="str">
        <f t="array" ref="X203">IF(C194="","",IF(C199="Futures","",IF(C199="Options Sell",IF(INDEX([1]AB4!V:V,MATCH(A203,[1]AB4!B:B,0))="","",INDEX([1]AB4!V:V,MATCH(A203,[1]AB4!B:B,0))))))</f>
        <v/>
      </c>
      <c r="Y203" s="24" t="str">
        <f t="array" ref="Y203">IF(C194="","",IF(C199="Futures","",IF(C199="Options Sell",IF(INDEX([1]AB4!V:V,MATCH(A203,[1]AB4!B:B,0))="","",INDEX([1]AB4!W:W,MATCH(A203,[1]AB4!B:B,0))))))</f>
        <v/>
      </c>
      <c r="Z203" s="25" t="str">
        <f t="array" ref="Z203">IF(C194="","",IF(C199="Futures","",IF(C199="Options Sell",IF(INDEX([1]AB4!X:X,MATCH(A203,[1]AB4!B:B,0))="","",INDEX([1]AB4!X:X,MATCH(A203,[1]AB4!B:B,0))))))</f>
        <v/>
      </c>
      <c r="AA203" s="28" t="str">
        <f t="array" ref="AA203">IF(C194="","",IF(C199="Futures","",IF(C199="Options Sell",IF(INDEX([1]AB4!X:X,MATCH(A203,[1]AB4!B:B,0))="","",INDEX([1]AB4!X:X,MATCH(A203,[1]AB4!Y:Y,0))))))</f>
        <v/>
      </c>
      <c r="AB203" s="29"/>
      <c r="AC203" s="29"/>
    </row>
    <row r="204" spans="1:29" ht="42.75" customHeight="1" thickBot="1" x14ac:dyDescent="0.25">
      <c r="A204" s="15" t="str">
        <f>IF(C194="","",CONCATENATE(C195,[1]AB5!$A$14))</f>
        <v>S24E</v>
      </c>
      <c r="B204" s="34"/>
      <c r="C204" s="53"/>
      <c r="D204" s="34"/>
      <c r="E204" s="53"/>
      <c r="F204" s="34"/>
      <c r="G204" s="35" t="str">
        <f t="array" ref="G204">IF(C194="","",IF(C199="Futures","",IF(C199="Options Sell",CONCATENATE("( ",INDEX([1]AB4!BT:BT,MATCH(A204,[1]AB4!B:B))," ) &amp; ",INDEX([1]AB4!BW:BW,MATCH(A204,[1]AB4!B:B))," ",INDEX([1]AB4!BX:BX,MATCH(A204,[1]AB4!B:B))," ",INDEX([1]AB4!BY:BY,MATCH(A204,[1]AB4!B:B))),IF(C199="Options Buy",CONCATENATE("( ",INDEX([1]AB4!BP:BP,MATCH(A204,[1]AB4!B:B,0))," ",INDEX([1]AB4!BQ:BQ,MATCH(A204,[1]AB4!B:B,0))," ",TEXT(INDEX([1]AB4!BR:BR,MATCH(A204,[1]AB4!B:B,0)),"0.00%")," ) &amp; ",INDEX([1]AB4!BS:BS,MATCH(A204,[1]AB4!B:B,0)))))))</f>
        <v>( SPT : PRV : 3DHH ) &amp; Round Up + 1</v>
      </c>
      <c r="H204" s="35" t="str">
        <f t="array" ref="H204">IF(C194="","",IF(C199="Futures","",IF(C199="Options Sell",CONCATENATE(INDEX([1]AB4!CG:CG,MATCH(A204,[1]AB4!B:B)),[1]AB5!$H$60,TEXT(INDEX([1]AB4!CH:CH,MATCH(A204,[1]AB4!B:B)),"0.00%")))))</f>
        <v>SPT : PRV : 3DHH * 1.20%</v>
      </c>
      <c r="I204" s="36" t="str">
        <f t="array" ref="I204">IF(C194="","",IF(C199="Futures","",IF(C199="Options Sell",CONCATENATE(INDEX([1]AB4!CJ:CJ,MATCH(A204,[1]AB4!B:B)),[1]AB5!$I$60))))</f>
        <v>1 Exp</v>
      </c>
      <c r="J204" s="53"/>
      <c r="K204" s="34"/>
      <c r="L204" s="37" t="str">
        <f>IF(C194="","",IF(C199="Futures","",IF(C199="Options Sell",[1]AB5!$G$14,IF(C199="Options Buy",[1]AB5!$L$102))))</f>
        <v>SL / TRP</v>
      </c>
      <c r="M204" s="35" t="str">
        <f t="array" ref="M204">IF(C194="","",IF(C199="Futures","",IF(C199="Options Sell",IF(INDEX([1]AB4!AL:AL,MATCH(A204,[1]AB4!B:B,0))="","",CONCATENATE(INDEX([1]AB4!AA:AA,MATCH(A204,[1]AB4!B:B,0))," ( ",INDEX([1]AB4!AE:AE,MATCH(A204,[1]AB4!B:B,0)),INDEX([1]AB4!AF:AF,MATCH(A204,[1]AB4!B:B,0)),TEXT(INDEX([1]AB4!AG:AG,MATCH(A204,[1]AB4!B:B,0)),"0.00%")," &amp; ",INDEX([1]AB4!AK:AK,MATCH(A204,[1]AB4!B:B,0)),INDEX([1]AB4!AJ:AJ,MATCH(A204,[1]AB4!B:B,0)),TEXT(INDEX([1]AB4!AL:AL,MATCH(A204,[1]AB4!B:B,0)),"0.00%")," )")))))</f>
        <v>Min ( PE : Entry  + 60.00% &amp; OPT : PRV : 2DHH + 7.00% )</v>
      </c>
      <c r="N204" s="38">
        <f t="array" ref="N204">IF(C194="","",IF(C199="Futures","",IF(C199="Options Sell",INDEX([1]AB4!AM:AM,MATCH(A204,[1]AB4!B:B,0)))))</f>
        <v>1</v>
      </c>
      <c r="O204" s="35" t="str">
        <f t="array" ref="O204">IF(C194="","",IF(C199="Futures","",IF(C199="Options Sell",IF(INDEX([1]AB4!AO:AO,MATCH(A204,[1]AB4!B:B,0))="","",CONCATENATE(INDEX([1]AB4!AA:AA,MATCH(A204,[1]AB4!B:B,0))," ( ",INDEX([1]AB4!AE:AE,MATCH(A204,[1]AB4!B:B,0))," &amp; ",INDEX([1]AB4!AN:AN,MATCH(A204,[1]AB4!B:B,0)),INDEX([1]AB4!AJ:AJ,MATCH(A204,[1]AB4!B:B,0)),TEXT(INDEX([1]AB4!AO:AO,MATCH(A204,[1]AB4!B:B,0)),"0.00%")," )")))))</f>
        <v/>
      </c>
      <c r="P204" s="39" t="str">
        <f t="array" ref="P204">IF(C194="","",IF(C199="Futures","",IF(C199="Options Sell",IF(INDEX([1]AB4!AO:AO,MATCH(A204,[1]AB4!B:B,0))="","",INDEX([1]AB4!AP:AP,MATCH(A204,[1]AB4!B:B,0))))))</f>
        <v/>
      </c>
      <c r="Q204" s="40"/>
      <c r="R204" s="35" t="str">
        <f t="array" ref="R204">IF(C194="","",IF(C199="Futures","",IF(C199="Options Sell",IF(INDEX([1]AB4!AR:AR,MATCH(A204,[1]AB4!B:B,0))="","",CONCATENATE(INDEX([1]AB4!AA:AA,MATCH(A204,[1]AB4!B:B,0))," ( ",INDEX([1]AB4!AE:AE,MATCH(A204,[1]AB4!B:B,0))," &amp; ",INDEX([1]AB4!AQ:AQ,MATCH(A204,[1]AB4!B:B,0)),INDEX([1]AB4!AJ:AJ,MATCH(A204,[1]AB4!B:B,0)),TEXT(INDEX([1]AB4!AR:AR,MATCH(A204,[1]AB4!B:B,0)),"0.00%")," )")))))</f>
        <v/>
      </c>
      <c r="S204" s="38" t="str">
        <f t="array" ref="S204">IF(C194="","",IF(C199="Futures","",IF(C199="Options Sell",IF(INDEX([1]AB4!AR:AR,MATCH(A204,[1]AB4!B:B,0))="","",INDEX([1]AB4!AS:AS,MATCH(A204,[1]AB4!B:B,0))))))</f>
        <v/>
      </c>
      <c r="T204" s="35" t="str">
        <f t="array" ref="T204">IF(C194="","",IF(C199="Futures","",IF(C199="Options Sell",IF(INDEX([1]AB4!AU:AU,MATCH(A204,[1]AB4!B:B))="","",CONCATENATE(INDEX([1]AB4!AA:AA,MATCH(A204,[1]AB4!B:B))," ( ",INDEX([1]AB4!AE:AE,MATCH(A204,[1]AB4!B:B))," &amp; ",INDEX([1]AB4!AT:AT,MATCH(A204,[1]AB4!B:B)),INDEX([1]AB4!AJ:AJ,MATCH(A204,[1]AB4!B:B)),TEXT(INDEX([1]AB4!AU:AU,MATCH(A204,[1]AB4!B:B)),"0.00%")," )")))))</f>
        <v/>
      </c>
      <c r="U204" s="38" t="str">
        <f t="array" ref="U204">IF(C194="","",IF(C199="Futures","",IF(C199="Options Sell",IF(INDEX([1]AB4!AU:AU,MATCH(A204,[1]AB4!B:B,0))="","",INDEX([1]AB4!AV:AV,MATCH(A204,[1]AB4!B:B,0))))))</f>
        <v/>
      </c>
      <c r="V204" s="35" t="str">
        <f t="array" ref="V204">IF(C203="","",IF(C199="Futures","",IF(C199="Options Sell",IF(INDEX([1]AB4!AX:AX,MATCH(A204,[1]AB4!B:B,0))="","",CONCATENATE(INDEX([1]AB4!AA:AA,MATCH(A204,[1]AB4!B:B,0))," ( ",INDEX([1]AB4!AE:AE,MATCH(A204,[1]AB4!B:B,0))," &amp; ",INDEX([1]AB4!AW:AW,MATCH(A204,[1]AB4!B:B,0)),INDEX([1]AB4!AJ:AJ,MATCH(A204,[1]AB4!B:B,0)),TEXT(INDEX([1]AB4!AX:AX,MATCH(A204,[1]AB4!B:B,0)),"0.00%")," )")))))</f>
        <v/>
      </c>
      <c r="W204" s="38" t="str">
        <f t="array" ref="W204">IF(C194="","",IF(C199="Futures","",IF(C199="Options Sell",IF(INDEX([1]AB4!AX:AX,MATCH(A204,[1]AB4!B:B,0))="","",INDEX([1]AB4!AY:AY,MATCH(A204,[1]AB4!B:B,0))))))</f>
        <v/>
      </c>
      <c r="X204" s="35" t="str">
        <f t="array" ref="X204">IF(C194="","",IF(C199="Futures","",IF(C199="Options Sell",IF(INDEX([1]AB4!BA:BA,MATCH(A204,[1]AB4!B:B,0))="","",CONCATENATE(INDEX([1]AB4!AA:AA,MATCH(A204,[1]AB4!B:B,0))," ( ",INDEX([1]AB4!AE:AE,MATCH(A204,[1]AB4!B:B,0))," &amp; ",INDEX([1]AB4!AW:AW,MATCH(A204,[1]AB4!B:B,0)),INDEX([1]AB4!AJ:AJ,MATCH(A204,[1]AB4!B:B,0)),TEXT(INDEX([1]AB4!AX:AX,MATCH(A204,[1]AB4!B:B,0)),"0.00%")," )")))))</f>
        <v/>
      </c>
      <c r="Y204" s="38" t="str">
        <f t="array" ref="Y204">IF(C194="","",IF(C199="Futures","",IF(C199="Options Sell",IF(INDEX([1]AB4!BA:BA,MATCH(A204,[1]AB4!B:B,0))="","",INDEX([1]AB4!AY:AY,MATCH(A204,[1]AB4!B:B,0))))))</f>
        <v/>
      </c>
      <c r="Z204" s="41">
        <f t="array" ref="Z204">IF(C194="","",IF(C199="Futures","",IF(C199="Options Sell",IF(INDEX([1]AB4!BD:BD,MATCH(A203,[1]AB4!B:B,0))="","",INDEX([1]AB4!AZ:AZ,MATCH(A203,[1]AB4!B:B,0))))))</f>
        <v>0</v>
      </c>
      <c r="AA204" s="42">
        <f t="array" ref="AA204">IF(C194="","",IF(C199="Futures","",IF(C199="Options Sell",IF(INDEX([1]AB4!BD:BD,MATCH(A204,[1]AB4!B:B,0))="","",INDEX([1]AB4!BB:BB,MATCH(A204,[1]AB4!B:B,0))))))</f>
        <v>0</v>
      </c>
      <c r="AB204" s="29"/>
      <c r="AC204" s="29"/>
    </row>
    <row r="205" spans="1:29" ht="15.75" customHeight="1" thickBot="1" x14ac:dyDescent="0.25">
      <c r="A205" s="15"/>
      <c r="B205" s="54"/>
      <c r="C205" s="54"/>
      <c r="D205" s="54"/>
      <c r="E205" s="54"/>
      <c r="F205" s="54"/>
      <c r="G205" s="54"/>
      <c r="H205" s="54"/>
      <c r="I205" s="54"/>
      <c r="J205" s="54"/>
      <c r="K205" s="15"/>
      <c r="L205" s="58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15"/>
      <c r="AB205" s="60"/>
      <c r="AC205" s="60"/>
    </row>
    <row r="206" spans="1:29" ht="44.25" customHeight="1" thickBot="1" x14ac:dyDescent="0.25">
      <c r="A206" s="15"/>
      <c r="B206" s="61" t="str">
        <f>IF(C194="","",IF(C199="Futures","",IF(C199="Options Sell",[1]AB5!$B$71,IF(C199="Options Buy",[1]AB5!$B$104))))</f>
        <v>For Entry</v>
      </c>
      <c r="C206" s="62"/>
      <c r="D206" s="63" t="str">
        <f>IF(C194="","",IF(C199="Futures","",IF(C199="Options Sell",[1]AB5!$D$71,IF(C199="Options Buy",[1]AB5!$D$104))))</f>
        <v>Gap Check</v>
      </c>
      <c r="E206" s="64" t="str">
        <f>IF(C194="","",IF(C199="Futures","",IF(C199="Options Sell",[1]AB5!$E$71,IF(C199="Options Buy",[1]AB5!$E$104))))</f>
        <v>Process</v>
      </c>
      <c r="F206" s="65"/>
      <c r="G206" s="66" t="str">
        <f>IF(C194="","",IF(C199="Futures","",IF(C199="Options Sell",[1]AB5!$G$71,IF(C199="Options Buy",[1]AB5!$G$104))))</f>
        <v>Yes / No</v>
      </c>
      <c r="H206" s="67" t="str">
        <f>IF(C194="","",IF(C199="Futures","",IF(C199="Options Sell",[1]AB5!$H$71,IF(C199="Options Buy",[1]AB5!$H$104))))</f>
        <v>Order Status</v>
      </c>
      <c r="I206" s="68" t="str">
        <f>IF(C194="","",IF(C199="Futures","",IF(C199="Options Sell",[1]AB5!$I$71,IF(C199="Options Buy",[1]AB5!$D$92))))</f>
        <v>Step 1</v>
      </c>
      <c r="J206" s="69" t="str">
        <f>IF(C194="","",IF(C199="Futures","",IF(C199="Options Sell",[1]AB5!$J$71,IF(C199="Options Buy",[1]AB5!$J$104))))</f>
        <v>Order Placement Timings</v>
      </c>
      <c r="K206" s="65"/>
      <c r="L206" s="70" t="str">
        <f>IF(C194="","",IF(C199="Futures","",IF(C199="Options Sell",[1]AB5!$L$71,IF(C199="Options Buy",[1]AB5!$L$104))))</f>
        <v>Time</v>
      </c>
      <c r="M206" s="68" t="str">
        <f>IF(C194="","",IF(C199="Futures","",IF(C199="Options Sell",[1]AB5!$M$71,IF(C199="Options Buy",[1]AB5!$M$104))))</f>
        <v>Rules For Gap = Step 1 Start Strike</v>
      </c>
      <c r="N206" s="66" t="str">
        <f>IF(C194="","",IF(C199="Futures","",IF(C199="Options Sell",[1]AB5!$N$71,IF(C199="Options Buy",[1]AB5!$N$104))))</f>
        <v>Start Strike Buffer</v>
      </c>
      <c r="O206" s="68" t="str">
        <f>IF(C194="","",IF(C199="Futures","",IF(C199="Options Sell",[1]AB5!$O$71,IF(C199="Options Buy",[1]AB5!$O$104))))</f>
        <v>Rules For Gap = Step 2 End Strike</v>
      </c>
      <c r="P206" s="69" t="str">
        <f>IF(C194="","",IF(C199="Futures","",IF(C199="Options Sell",[1]AB5!$P$71,IF(C199="Options Buy",[1]AB5!$P$104))))</f>
        <v>End Strike Buffer</v>
      </c>
      <c r="Q206" s="65"/>
      <c r="R206" s="65"/>
      <c r="S206" s="71" t="str">
        <f>IF(C194="","",IF(C199="Futures","",IF(C199="Options Sell",[1]AB5!$S$71,IF(C199="Options Buy",[1]AB5!$S$104))))</f>
        <v>Data</v>
      </c>
      <c r="T206" s="72" t="str">
        <f>IF(C194="","",IF(C199="Futures","",IF(C199="Options Sell",[1]AB5!$T$71,IF(C199="Options Buy",[1]AB5!$T$104))))</f>
        <v xml:space="preserve"> Ideal Premium</v>
      </c>
      <c r="U206" s="65"/>
      <c r="V206" s="68" t="str">
        <f>IF(C194="","",IF(C199="Futures","",IF(C199="Options Sell",[1]AB5!$V$71,IF(C199="Options Buy",[1]AB5!$V$104))))</f>
        <v>Minimum Premium</v>
      </c>
      <c r="W206" s="68" t="str">
        <f>IF(C194="","",IF(C199="Futures","",IF(C199="Options Sell",[1]AB5!$W$71,IF(C199="Options Buy",[1]AB5!$W$104))))</f>
        <v>Minimum OI</v>
      </c>
      <c r="X206" s="73" t="str">
        <f>IF(C194="","",IF(C199="Futures","",IF(C199="Options Sell",[1]AB5!$X$71,IF(C199="Options Buy",[1]AB5!$X$104))))</f>
        <v>Rules For Gap = Step 3 Revised Option Entry</v>
      </c>
      <c r="Y206" s="65"/>
      <c r="Z206" s="68" t="str">
        <f>IF(C194="","",IF(C199="Futures","",IF(C199="Options Sell",[1]AB5!$Z$71,[1]AB5!$Z$104)))</f>
        <v>Data</v>
      </c>
      <c r="AA206" s="74" t="str">
        <f>IF(C194="","",IF(C199="Futures","",IF(C199="Options Sell",[1]AB5!$AA$71,IF(C199="Options Buy",[1]AB5!$AA$104))))</f>
        <v>Buffer</v>
      </c>
      <c r="AB206" s="75"/>
      <c r="AC206" s="75"/>
    </row>
    <row r="207" spans="1:29" ht="44.25" customHeight="1" x14ac:dyDescent="0.2">
      <c r="A207" s="15" t="str">
        <f>IF(C194="","",CONCATENATE(C195,[1]AB5!$A$4))</f>
        <v>S24A</v>
      </c>
      <c r="B207" s="76" t="str">
        <f>IF(C194="","",IF(C199="Futures","",IF(C199="Options Sell",[1]AB5!$B$72,IF(C199="Options Buy",[1]AB5!$B$105))))</f>
        <v xml:space="preserve">ORPT </v>
      </c>
      <c r="C207" s="77" t="str">
        <f>IF(C194="","",IF(C199="Futures","",IF(C199="Options Sell",[1]AB5!$C$72,IF(C199="Options Buy",[1]AB5!$C$105))))</f>
        <v xml:space="preserve"> RC. Time</v>
      </c>
      <c r="D207" s="18" t="str">
        <f>IF(C194="","",IF(C199="Futures","",IF(C199="Options Sell",[1]AB5!$D$72,IF(C199="Options Buy",[1]AB5!$D$105))))</f>
        <v>For Call Sell Entry</v>
      </c>
      <c r="E207" s="78" t="str">
        <f>IF(C194="","",IF(C199="Futures","",IF(C199="Options Sell",CONCATENATE([1]AB5!$E$72,TEXT(B208,"HH:MM:SS AM/PM"),[1]AB5!$F$72))))</f>
        <v>Check If 09:24:59 AM LL &lt; Call Sell Entry</v>
      </c>
      <c r="F207" s="79"/>
      <c r="G207" s="80" t="str">
        <f>IF(C194="","",IF(C199="Futures","",IF(C199="Options Sell",[1]AB5!$G$72,IF(C199="Options Buy",[1]AB5!$G$105))))</f>
        <v>No</v>
      </c>
      <c r="H207" s="81" t="str">
        <f>IF(C194="","",IF(C199="Futures","",IF(C199="Options Sell",[1]AB5!$H$72)))</f>
        <v>Entry Not Missed</v>
      </c>
      <c r="I207" s="82" t="str">
        <f>IF(C194="","",IF(C199="Futures","",IF(C199="Options Sell",[1]AB5!$I$72)))</f>
        <v>Place the Order at ORPT</v>
      </c>
      <c r="J207" s="83" t="str">
        <f>IF(C194="","",IF(C199="Futures","",IF(C199="Options Sell",[1]AB5!$J$72)))</f>
        <v>ORPT Time</v>
      </c>
      <c r="K207" s="27"/>
      <c r="L207" s="84">
        <f>IF(C194="","",IF(C199="Futures","",IF(C199="Options Sell",B208)))</f>
        <v>0.39235416666666667</v>
      </c>
      <c r="M207" s="85" t="str">
        <f>IF(C194="","",IF(C199="Futures","",IF(C199="Options Sell",[1]AB5!$M$72)))</f>
        <v>N.A.</v>
      </c>
      <c r="N207" s="86" t="str">
        <f>IF(C194="","",IF(C199="Futures","",IF(C199="Options Sell",[1]AB5!$N$72)))</f>
        <v>N.A.</v>
      </c>
      <c r="O207" s="85" t="str">
        <f>IF(C194="","",IF(C199="Futures","",IF(C199="Options Sell",[1]AB5!$O$72)))</f>
        <v>N.A.</v>
      </c>
      <c r="P207" s="87" t="str">
        <f>IF(C194="","",IF(C199="Futures","",IF(C199="Options Sell",[1]AB5!$P$72)))</f>
        <v>N.A.</v>
      </c>
      <c r="Q207" s="88"/>
      <c r="R207" s="27"/>
      <c r="S207" s="89" t="str">
        <f>IF(C194="","",IF(C199="Futures","",IF(C199="Options Sell",[1]AB5!$S$72)))</f>
        <v>N.A.</v>
      </c>
      <c r="T207" s="90" t="str">
        <f>IF(C194="","",IF(C199="Futures","",IF(C199="Options Sell",[1]AB5!$T$72)))</f>
        <v>N.A.</v>
      </c>
      <c r="U207" s="27"/>
      <c r="V207" s="91" t="str">
        <f>IF(C194="","",IF(C199="Futures","",IF(C199="Options Sell",[1]AB5!$V$72)))</f>
        <v>N.A.</v>
      </c>
      <c r="W207" s="91" t="str">
        <f>IF(C194="","",IF(C199="Futures","",IF(C199="Options Sell",[1]AB5!$W$72)))</f>
        <v>N.A.</v>
      </c>
      <c r="X207" s="83" t="str">
        <f>IF(C194="","",IF(C199="Futures","",IF(C199="Options Sell",[1]AB5!$X$72)))</f>
        <v>N.A.</v>
      </c>
      <c r="Y207" s="27"/>
      <c r="Z207" s="89" t="str">
        <f>IF(C194="","",IF(C199="Futures","",IF(C199="Options Sell",[1]AB5!$Z$72)))</f>
        <v>N.A.</v>
      </c>
      <c r="AA207" s="92" t="str">
        <f>IF(C194="","",IF(C199="Futures","",IF(C199="Options Sell",[1]AB5!$AA$72)))</f>
        <v>N.A.</v>
      </c>
      <c r="AB207" s="75"/>
      <c r="AC207" s="75"/>
    </row>
    <row r="208" spans="1:29" ht="57" customHeight="1" x14ac:dyDescent="0.2">
      <c r="A208" s="93" t="str">
        <f>IF(C194="","",CONCATENATE(C195,[1]AB5!$A$7))</f>
        <v>S24B</v>
      </c>
      <c r="B208" s="94">
        <f t="array" ref="B208">IF(C194="","",INDEX([1]AB4!BE:BE,MATCH(A207,[1]AB4!B:B,0)))</f>
        <v>0.39235416666666667</v>
      </c>
      <c r="C208" s="95">
        <f t="array" ref="C208">IF(C194="","", INDEX([1]AB4!BE:BE,MATCH(A208,[1]AB4!B:B,0)))</f>
        <v>0.39582638888888888</v>
      </c>
      <c r="D208" s="32"/>
      <c r="E208" s="96"/>
      <c r="F208" s="97"/>
      <c r="G208" s="98" t="str">
        <f>IF(C194="","",IF(C199="Futures","",IF(C199="Options Sell",[1]AB5!$G$73,IF(C199="Options Buy",[1]AB5!$G$106))))</f>
        <v>Yes</v>
      </c>
      <c r="H208" s="99" t="str">
        <f>IF(C194="","",IF(C199="Futures","",IF(C199="Options Sell",[1]AB5!$H$73)))</f>
        <v>Entry Missed</v>
      </c>
      <c r="I208" s="100" t="str">
        <f>IF(C194="","",IF(C199="Futures","",IF(C199="Options Sell",[1]AB5!$I$73)))</f>
        <v>Recalcuate : Call Sell Entry : Bull / Bull CF</v>
      </c>
      <c r="J208" s="101" t="str">
        <f>IF(C194="","",IF(C199="Futures","",IF(C199="Options Sell",[1]AB5!$J$73)))</f>
        <v>Wait Till Recalculation Time</v>
      </c>
      <c r="K208" s="102"/>
      <c r="L208" s="103">
        <f>IF(C194="","",IF(C199="Futures","",IF(C199="Options Sell",C208)))</f>
        <v>0.39582638888888888</v>
      </c>
      <c r="M208" s="104" t="str">
        <f t="array" ref="M208">IF(C194="","",IF(C199="Futures","",IF(C199="Options Sell",CONCATENATE([1]AB5!$M$73, "( ",INDEX([1]AB4!BP:BP,MATCH(A194,[1]AB4!B:B,0))," &amp; ",S208," ) ",INDEX([1]AB4!BQ:BQ,MATCH(A194,[1]AB4!B:B))," ",N208," ) &amp; ",INDEX([1]AB4!BS:BS,MATCH(A194,[1]AB4!B:B,0))))))</f>
        <v>Min of ( SPT : PRV : 3DLL &amp; 09:29:59 AM LL ) + 5.00% ) &amp; Round Down</v>
      </c>
      <c r="N208" s="105" t="str">
        <f t="array" ref="N208">IF(A194="","",IF(C199="Futures","",IF(C199="Options Sell",TEXT(INDEX([1]AB4!CR:CR,MATCH(A194,[1]AB4!B:B,0)),"0.00%"))))</f>
        <v>5.00%</v>
      </c>
      <c r="O208" s="104" t="str">
        <f t="array" ref="O208">IF(C194="","",IF(C199="Futures","",IF(C199="Options Sell",CONCATENATE([1]AB5!$O$73,"( ",INDEX([1]AB4!BT:BT,MATCH(A194,[1]AB4!B:B,0))," &amp; ",S208," ) &amp; ",INDEX([1]AB4!BW:BW,MATCH(A194,[1]AB4!B:B,0))," ",INDEX([1]AB4!BX:BX,MATCH(A194,[1]AB4!B:B,0))," ",INDEX([1]AB4!BY:BY,MATCH(A194,[1]AB4!B:B,0))))))</f>
        <v>Min of ( SPT : PRV : 3DLL &amp; 09:29:59 AM LL ) &amp; Round Down - 1</v>
      </c>
      <c r="P208" s="106" t="str">
        <f t="array" ref="P208">IF(A194="","",IF(C199="Futures","",IF(C199="Options Sell",IF(INDEX([1]AB4!CS:CS,MATCH(A194,[1]AB4!B:B,0))="","",TEXT(INDEX([1]AB4!CS:CS,MATCH(A194,[1]AB4!B:B,0)),"0.00%")))))</f>
        <v/>
      </c>
      <c r="Q208" s="107"/>
      <c r="R208" s="102"/>
      <c r="S208" s="105" t="str">
        <f>IF(C194="","",IF(C199="Futures","",IF(C199="Options Sell",CONCATENATE(TEXT(L208,"HH:MM:SS AM/PM"),[1]AB5!$S$73))))</f>
        <v>09:29:59 AM LL</v>
      </c>
      <c r="T208" s="101" t="str">
        <f t="array" ref="T208">IF(C194="","",IF(C199="Futures","",IF(C199="Options Sell",CONCATENATE([1]AB5!$T$73,"( ",INDEX([1]AB4!CE:CE,MATCH(A194,[1]AB4!B:B,0))," &amp; ",S208," ) ",[1]AB5!$H$59,TEXT(INDEX([1]AB4!CF:CF,MATCH(A194,[1]AB4!B:B,0)),"0.00%")))))</f>
        <v>Min of ( SPT : PRV : 3DLL &amp; 09:29:59 AM LL )  * 1.60%</v>
      </c>
      <c r="U208" s="102"/>
      <c r="V208" s="104" t="str">
        <f t="array" ref="V208">IF(C194="","",IF(C199="Futures","",IF(C199="Options Sell",CONCATENATE([1]AB5!$V$73,"( ",INDEX([1]AB4!CG:CG,MATCH(A194,[1]AB4!B:B,0))," &amp; ",S208," ) ",[1]AB5!$H$59,TEXT(INDEX([1]AB4!CH:CH,MATCH(A194,[1]AB4!B:B,0)),"0.00%")))))</f>
        <v>Min of ( SPT : PRV : 3DLL &amp; 09:29:59 AM LL )  * 1.20%</v>
      </c>
      <c r="W208" s="104" t="str">
        <f>IF(A194="","",IF(C199="Futures","",IF(C199="Options Sell",I194)))</f>
        <v>500 Lots</v>
      </c>
      <c r="X208" s="101" t="str">
        <f t="array" ref="X208">IF(C194="","",IF(C199="Futures","",IF(C199="Options Sell",CONCATENATE([1]AB5!$X$73,"( ",INDEX([1]AB4!G:G,MATCH(A194,[1]AB4!B:B,0))," &amp; ",Z208," ) ",INDEX([1]AB4!H:H,MATCH(A194,[1]AB4!B:B,0))," ",AA208))))</f>
        <v>Min of ( OPT : PRV : 3DLL &amp; 09:29:59 AM LL )  -  7.50%</v>
      </c>
      <c r="Y208" s="102"/>
      <c r="Z208" s="108" t="str">
        <f>IF(C194="","",IF(C199="Futures","",IF(C199="Options Sell",CONCATENATE(TEXT(L208,"HH:MM:SS AM/PM"),[1]AB5!$S$73))))</f>
        <v>09:29:59 AM LL</v>
      </c>
      <c r="AA208" s="109" t="str">
        <f t="array" ref="AA208">IF(A194="","",IF(C199="Futures","",IF(C199="Options Sell",TEXT(INDEX([1]AB4!BK:BK,MATCH(A194,[1]AB4!B:B,0)),"0.00%"))))</f>
        <v>7.50%</v>
      </c>
      <c r="AB208" s="75"/>
      <c r="AC208" s="75"/>
    </row>
    <row r="209" spans="1:29" ht="57" customHeight="1" thickBot="1" x14ac:dyDescent="0.25">
      <c r="A209" s="15"/>
      <c r="B209" s="110"/>
      <c r="C209" s="111"/>
      <c r="D209" s="112"/>
      <c r="E209" s="12"/>
      <c r="F209" s="13"/>
      <c r="G209" s="14"/>
      <c r="H209" s="14"/>
      <c r="I209" s="100" t="str">
        <f>IF(C194="","",IF(C199="Futures","",IF(C199="Options Sell",[1]AB5!$I$74)))</f>
        <v>Recalcuate : Call Sell Entry : Bear / Bear CF</v>
      </c>
      <c r="J209" s="101" t="str">
        <f>IF(C194="","",IF(C199="Futures","",IF(C199="Options Sell",[1]AB5!$J$74)))</f>
        <v>Wait Till Recalculation Time</v>
      </c>
      <c r="K209" s="102"/>
      <c r="L209" s="103">
        <f>IF(C194="","",IF(C199="Futures","",IF(C199="Options Sell",C208)))</f>
        <v>0.39582638888888888</v>
      </c>
      <c r="M209" s="104" t="str">
        <f t="array" ref="M209">IF(C194="","",IF(C199="Futures","",IF(C199="Options Sell",CONCATENATE([1]AB5!$M$74,"( ",INDEX([1]AB4!BP:BP,MATCH(A200,[1]AB4!B:B,0))," &amp; ",S209," ) ",INDEX([1]AB4!BQ:BQ,MATCH(A200,[1]AB4!B:B,0))," ",N209," ) &amp; ",INDEX([1]AB4!BS:BS,MATCH(A200,[1]AB4!B:B,0))))))</f>
        <v>Min of ( SPT : PRV : 2DLL &amp; 09:29:59 AM LL ) + 5.00% ) &amp; Round Down</v>
      </c>
      <c r="N209" s="105" t="str">
        <f t="array" ref="N209">IF(A194="","",IF(C199="Futures","",IF(C199="Options Sell",TEXT(INDEX([1]AB4!CR:CR,MATCH(A200,[1]AB4!B:B,0)),"0.00%"))))</f>
        <v>5.00%</v>
      </c>
      <c r="O209" s="104" t="str">
        <f t="array" ref="O209">IF(C194="","",IF(C199="Futures","",IF(C199="Options Sell",CONCATENATE([1]AB5!$O$74,"( ",INDEX([1]AB4!BT:BT,MATCH(A200,[1]AB4!B:B,0))," &amp; ",S209," ) &amp; ",INDEX([1]AB4!BW:BW,MATCH(A200,[1]AB4!B:B,0))," ",INDEX([1]AB4!BX:BX,MATCH(A200,[1]AB4!B:B,0))," ",INDEX([1]AB4!BY:BY,MATCH(A200,[1]AB4!B:B,0))))))</f>
        <v>Min of ( SPT : PRV : 2DLL &amp; 09:29:59 AM LL ) &amp; Round Down - 1</v>
      </c>
      <c r="P209" s="106" t="str">
        <f t="array" ref="P209">IF(A194="","",IF(C199="Futures","",IF(C199="Options Sell",IF(INDEX([1]AB4!CS:CS,MATCH(A200,[1]AB4!B:B,0))="","",TEXT(INDEX([1]AB4!CS:CS,MATCH(A200,[1]AB4!B:B,0)),"0.00%")))))</f>
        <v/>
      </c>
      <c r="Q209" s="107"/>
      <c r="R209" s="102"/>
      <c r="S209" s="105" t="str">
        <f>IF(C194="","",IF(C199="Futures","",IF(C199="Options Sell",CONCATENATE(TEXT(L209,"HH:MM:SS AM/PM"),[1]AB5!$S$74))))</f>
        <v>09:29:59 AM LL</v>
      </c>
      <c r="T209" s="101" t="str">
        <f t="array" ref="T209">IF(C194="","",IF(C199="Futures","",IF(C199="Options Sell",CONCATENATE([1]AB5!$T$74," of ( ",INDEX([1]AB4!CE:CE,MATCH(A200,[1]AB4!B:B,0))," &amp; ",S208," ) ",[1]AB5!$H$59,TEXT(INDEX([1]AB4!CF:CF,MATCH(A200,[1]AB4!B:B,0)),"0.00%")))))</f>
        <v>Min of  of ( SPT : PRV : 2DLL &amp; 09:29:59 AM LL )  * 1.60%</v>
      </c>
      <c r="U209" s="102"/>
      <c r="V209" s="104" t="str">
        <f t="array" ref="V209">IF(C194="","",IF(C199="Futures","",IF(C199="Options Sell",CONCATENATE([1]AB5!$V$74,"( ",INDEX([1]AB4!CG:CG,MATCH(A200,[1]AB4!B:B,0))," &amp; ",S209," ) ",[1]AB5!$H$59,TEXT(INDEX([1]AB4!CH:CH,MATCH(A200,[1]AB4!B:B,0)),"0.00%")))))</f>
        <v>Min of ( SPT : PRV : 2DLL &amp; 09:29:59 AM LL )  * 1.20%</v>
      </c>
      <c r="W209" s="104" t="str">
        <f>IF(A194="","",IF(C199="Futures","",IF(C199="Options Sell",I200)))</f>
        <v>500 Lots</v>
      </c>
      <c r="X209" s="101" t="str">
        <f t="array" ref="X209">IF(C194="","",IF(C199="Futures","",IF(C199="Options Sell",CONCATENATE([1]AB5!$X$74,"( ",INDEX([1]AB4!G:G,MATCH(A200,[1]AB4!B:B,0))," &amp; ",Z209," ) ", INDEX([1]AB4!H:H,MATCH(A200,[1]AB4!B:B,0))," ",AA209))))</f>
        <v>Min of ( OPT : PRV : 2DLL &amp; 09:29:59 AM LL )  -  7.50%</v>
      </c>
      <c r="Y209" s="102"/>
      <c r="Z209" s="108" t="str">
        <f>IF(C194="","",IF(C199="Futures","",IF(C199="Options Sell",CONCATENATE(TEXT(L209,"HH:MM:SS AM/PM"), [1]AB5!$S$74))))</f>
        <v>09:29:59 AM LL</v>
      </c>
      <c r="AA209" s="109" t="str">
        <f t="array" ref="AA209">IF(A194="","",IF(C199="Futures","",IF(C199="Options Sell",TEXT(INDEX([1]AB4!BK:BK,MATCH(A200,[1]AB4!B:B,0)),"0.00%"))))</f>
        <v>7.50%</v>
      </c>
      <c r="AB209" s="75"/>
      <c r="AC209" s="75"/>
    </row>
    <row r="210" spans="1:29" ht="44.25" customHeight="1" x14ac:dyDescent="0.2">
      <c r="A210" s="15"/>
      <c r="B210" s="113" t="str">
        <f>IF(C194="","",IF(C199="Futures","",IF(C199="Options Sell",[1]AB5!$B$75,IF(C199="Options Buy",[1]AB5!$B$108))))</f>
        <v>For SL (Position = Open)</v>
      </c>
      <c r="C210" s="114"/>
      <c r="D210" s="115" t="str">
        <f>IF(C194="","",IF(C199="Futures","",IF(C199="Options Sell",[1]AB5!$D$75,IF(C199="Options Buy",[1]AB5!$D$108))))</f>
        <v>For Put Sell Entry</v>
      </c>
      <c r="E210" s="116" t="str">
        <f>IF(C194="","",IF(C199="Futures","",IF(C199="Options Sell",CONCATENATE([1]AB5!$E$75,TEXT(B208,"HH:MM:SS AM/PM"),[1]AB5!$F$75))))</f>
        <v>Check If 09:24:59 AM LL &lt; Put Sell Entry</v>
      </c>
      <c r="F210" s="4"/>
      <c r="G210" s="117" t="str">
        <f>IF(C194="","",IF(C199="Futures","",IF(C199="Options Sell",[1]AB5!$G$75,IF(C199="Options Buy",[1]AB5!$G$108))))</f>
        <v>No</v>
      </c>
      <c r="H210" s="118" t="str">
        <f>IF(C194="","",IF(C199="Futures","",IF(C199="Options Sell",[1]AB5!$H$75)))</f>
        <v>Entry Not Missed</v>
      </c>
      <c r="I210" s="119" t="str">
        <f>IF(C194="","",IF(C199="Futures","",IF(C199="Options Sell",[1]AB5!$I$75)))</f>
        <v>Place the Order at ORPT</v>
      </c>
      <c r="J210" s="120" t="str">
        <f>IF(C194="","",IF(C199="Futures","",IF(C199="Options Sell",[1]AB5!$J$75)))</f>
        <v>ORPT Time</v>
      </c>
      <c r="K210" s="102"/>
      <c r="L210" s="121">
        <f>IF(C194="","",IF(C199="Futures","",IF(C199="Options Sell",B208)))</f>
        <v>0.39235416666666667</v>
      </c>
      <c r="M210" s="118" t="str">
        <f>IF(C194="","",IF(C199="Futures","",IF(C199="Options Sell",[1]AB5!$M$75)))</f>
        <v>N.A.</v>
      </c>
      <c r="N210" s="122" t="str">
        <f>IF(C194="","",IF(C199="Futures","",IF(C199="Options Sell",[1]AB5!$N$75)))</f>
        <v>N.A.</v>
      </c>
      <c r="O210" s="118" t="str">
        <f>IF(C194="","",IF(C199="Futures","",IF(C199="Options Sell",[1]AB5!$O$75)))</f>
        <v>N.A.</v>
      </c>
      <c r="P210" s="123" t="str">
        <f>IF(C194="","",IF(C199="Futures","",IF(C199="Options Sell",[1]AB5!$P$75)))</f>
        <v>N.A.</v>
      </c>
      <c r="Q210" s="107"/>
      <c r="R210" s="102"/>
      <c r="S210" s="118" t="str">
        <f>IF(C194="","",IF(C199="Futures","",IF(C199="Options Sell",[1]AB5!$S$75)))</f>
        <v>N.A.</v>
      </c>
      <c r="T210" s="124" t="str">
        <f>IF(C194="","",IF(C199="Futures","",IF(C199="Options Sell",[1]AB5!$T$75)))</f>
        <v>N.A.</v>
      </c>
      <c r="U210" s="102"/>
      <c r="V210" s="125" t="str">
        <f>IF(C194="","",IF(C199="Futures","",IF(C199="Options Sell",[1]AB5!$V$75)))</f>
        <v>N.A.</v>
      </c>
      <c r="W210" s="125" t="str">
        <f>IF(C194="","",IF(C199="Futures","",IF(C199="Options Sell",[1]AB5!$W$75)))</f>
        <v>N.A.</v>
      </c>
      <c r="X210" s="120" t="str">
        <f>IF(C194="","",IF(C199="Futures","",IF(C199="Options Sell",[1]AB5!$X$75)))</f>
        <v>N.A.</v>
      </c>
      <c r="Y210" s="102"/>
      <c r="Z210" s="126" t="str">
        <f>IF(C194="","",IF(C199="Futures","",IF(C199="Options Sell",[1]AB5!$Z$75)))</f>
        <v>N.A.</v>
      </c>
      <c r="AA210" s="127" t="str">
        <f>IF(C194="","",IF(C199="Futures","",IF(C199="Options Sell",[1]AB5!$AA$75)))</f>
        <v>N.A.</v>
      </c>
      <c r="AB210" s="75"/>
      <c r="AC210" s="75"/>
    </row>
    <row r="211" spans="1:29" ht="57" customHeight="1" x14ac:dyDescent="0.2">
      <c r="A211" s="15" t="str">
        <f>IF(C194="","",CONCATENATE(C195,[1]AB5!$A$4))</f>
        <v>S24A</v>
      </c>
      <c r="B211" s="128" t="str">
        <f>IF(C194="","",IF(C199="Futures","",IF(C199="Options Sell",[1]AB5!$B$76,IF(C199="Options Buy",[1]AB5!$B$109))))</f>
        <v xml:space="preserve">ORPT </v>
      </c>
      <c r="C211" s="129" t="str">
        <f>IF(C194="","",IF(C199="Futures","",IF(C199="Options Sell",[1]AB5!$C$76,IF(C199="Options Buy",[1]AB5!$C$109))))</f>
        <v xml:space="preserve"> RC. Time</v>
      </c>
      <c r="D211" s="32"/>
      <c r="E211" s="96"/>
      <c r="F211" s="97"/>
      <c r="G211" s="130" t="str">
        <f>IF(C194="","",IF(C199="Futures","",IF(C199="Options Sell",[1]AB5!$G$76,IF(C199="Options Buy",[1]AB5!$G$109))))</f>
        <v>Yes</v>
      </c>
      <c r="H211" s="131" t="str">
        <f>IF(C194="","",IF(C199="Futures","",IF(C199="Options Sell",[1]AB5!$H$76)))</f>
        <v>Entry Missed</v>
      </c>
      <c r="I211" s="119" t="str">
        <f>IF(C194="","",IF(C199="Futures","",IF(C199="Options Sell",[1]AB5!$I$76)))</f>
        <v>Recalcuate : Put Sell Entry : Bull / Bull CF</v>
      </c>
      <c r="J211" s="120" t="str">
        <f>IF(C194="","",IF(C199="Futures","",IF(C199="Options Sell",[1]AB5!$J$76)))</f>
        <v>Wait Till Recalculation Time</v>
      </c>
      <c r="K211" s="102"/>
      <c r="L211" s="121">
        <f>IF(C194="","",IF(C199="Futures","",IF(C199="Options Sell",C208)))</f>
        <v>0.39582638888888888</v>
      </c>
      <c r="M211" s="118" t="str">
        <f t="array" ref="M211">IF(C194="","",IF(C199="Futures","",IF(C199="Options Sell",CONCATENATE([1]AB5!$M$76, "( ",INDEX([1]AB4!BP:BP,MATCH(A197,[1]AB4!B:B,0))," &amp; ",S211," ) ",INDEX([1]AB4!BQ:BQ,MATCH(A197,[1]AB4!B:B,0))," ",N211," ) &amp; ",INDEX([1]AB4!BS:BS,MATCH(A197,[1]AB4!B:B,0))))))</f>
        <v>Max of ( SPT : PRV : 2DHH &amp; 09:29:59 AM LL ) - 5.00% ) &amp; Round Up</v>
      </c>
      <c r="N211" s="122" t="str">
        <f t="array" ref="N211">IF(A194="","",IF(C199="Futures","",IF(C199="Options Sell",TEXT(INDEX([1]AB4!CR:CR,MATCH(A197,[1]AB4!B:B,0)),"0.00%"))))</f>
        <v>5.00%</v>
      </c>
      <c r="O211" s="118" t="str">
        <f t="array" ref="O211">IF(C194="","",IF(C199="Futures","",IF(C199="Options Sell",CONCATENATE([1]AB5!$O$76,"( ",INDEX([1]AB4!BT:BT,MATCH(A197,[1]AB4!B:B,0))," &amp; ",S211," ) &amp; ",INDEX([1]AB4!BW:BW,MATCH(A197,[1]AB4!B:B,0))," ",INDEX([1]AB4!BX:BX,MATCH(A197,[1]AB4!B:B,0))," ",INDEX([1]AB4!BY:BY,MATCH(A197,[1]AB4!B:B,0))))))</f>
        <v>Max of ( SPT : PRV : 2DHH &amp; 09:29:59 AM LL ) &amp; Round Up + 1</v>
      </c>
      <c r="P211" s="123" t="str">
        <f t="array" ref="P211">IF(A194="","",IF(C199="Futures","",IF(C199="Options Sell",IF(INDEX([1]AB4!CS:CS,MATCH(A197,[1]AB4!B:B,0))="","",TEXT(INDEX([1]AB4!CS:CS,MATCH(A197,[1]AB4!B:B,0)),"0.00%")))))</f>
        <v/>
      </c>
      <c r="Q211" s="107"/>
      <c r="R211" s="102"/>
      <c r="S211" s="132" t="str">
        <f>IF(C194="","",IF(C199="Futures","",IF(C199="Options Sell",CONCATENATE(TEXT(L211,"HH:MM:SS AM/PM"),[1]AB5!$S$76))))</f>
        <v>09:29:59 AM LL</v>
      </c>
      <c r="T211" s="120" t="str">
        <f t="array" ref="T211">IF(C194="","",IF(C199="Futures","",IF(C199="Options Sell",CONCATENATE([1]AB5!$T$76,"( ",INDEX([1]AB4!CE:CE,MATCH(A197,[1]AB4!B:B,0))," &amp; ",S211," ) ",[1]AB5!$H$59,TEXT(INDEX([1]AB4!CF:CF,MATCH(A197,[1]AB4!B:B,0)),"0.00%")))))</f>
        <v>Min of ( SPT : PRV : 2DHH &amp; 09:29:59 AM LL )  * 1.60%</v>
      </c>
      <c r="U211" s="102"/>
      <c r="V211" s="118" t="str">
        <f t="array" ref="V211">IF(C194="","",IF(C199="Futures","",IF(C199="Options Sell",CONCATENATE([1]AB5!$V$76,"( ",INDEX([1]AB4!CG:CG,MATCH(A197,[1]AB4!B:B,0))," &amp; ",S211," ) ",[1]AB5!$H$59,TEXT(INDEX([1]AB4!CH:CH,MATCH(A197,[1]AB4!B:B,0)),"0.00%")))))</f>
        <v>Min of ( SPT : PRV : 2DHH &amp; 09:29:59 AM LL )  * 1.20%</v>
      </c>
      <c r="W211" s="118" t="str">
        <f>IF(A194="","",IF(C199="Futures","",IF(C199="Options Sell",I197)))</f>
        <v>500 Lots</v>
      </c>
      <c r="X211" s="120" t="str">
        <f t="array" ref="X211">IF(C194="","",IF(C199="Futures","",IF(C199="Options Sell",CONCATENATE([1]AB5!$X$76,"( ",INDEX([1]AB4!G:G,MATCH(A197,[1]AB4!B:B,0))," &amp; ",Z211," ) ", INDEX([1]AB4!H:H,MATCH(A197,[1]AB4!B:B,0))," ",AA211))))</f>
        <v>Min of ( OPT : PRV : 2DLL &amp; 09:29:59 AM LL )  -  7.50%</v>
      </c>
      <c r="Y211" s="102"/>
      <c r="Z211" s="133" t="str">
        <f>IF(C194="","",IF(C199="Futures","",IF(C199="Options Sell",CONCATENATE(TEXT(L211,"HH:MM:SS AM/PM"), [1]AB5!$S$76))))</f>
        <v>09:29:59 AM LL</v>
      </c>
      <c r="AA211" s="134" t="str">
        <f t="array" ref="AA211">IF(A194="","",IF(C199="Futures","",IF(C199="Options Sell",TEXT(INDEX([1]AB4!BK:BK,MATCH(A197,[1]AB4!B:B,0)),"0.00%"))))</f>
        <v>7.50%</v>
      </c>
      <c r="AB211" s="75"/>
      <c r="AC211" s="75"/>
    </row>
    <row r="212" spans="1:29" ht="57" customHeight="1" thickBot="1" x14ac:dyDescent="0.25">
      <c r="A212" s="15" t="str">
        <f>IF(C194="","",CONCATENATE(C195,[1]AB5!$A$7))</f>
        <v>S24B</v>
      </c>
      <c r="B212" s="135">
        <f t="array" ref="B212">IF(C194="","", IF(C199="Futures","",IF(C199="Options Sell",INDEX([1]AB4!BF:BF,MATCH(A211,[1]AB4!B:B,0)))))</f>
        <v>0.39235416666666667</v>
      </c>
      <c r="C212" s="136">
        <f t="array" ref="C212">IF(C194="","", IF(C199="Futures","",IF(C199="Options Sell",INDEX([1]AB4!BF:BF,MATCH(A212,[1]AB4!B:B,0)))))</f>
        <v>0.39582638888888888</v>
      </c>
      <c r="D212" s="34"/>
      <c r="E212" s="111"/>
      <c r="F212" s="137"/>
      <c r="G212" s="138"/>
      <c r="H212" s="138"/>
      <c r="I212" s="139" t="str">
        <f>IF(C194="","",IF(C199="Futures","",IF(C199="Options Sell",[1]AB5!$I$77)))</f>
        <v>Recalcuate : Put Sell Entry : Bear / Bear CF</v>
      </c>
      <c r="J212" s="140" t="str">
        <f>IF(C194="","",IF(C199="Futures","",IF(C199="Options Sell",[1]AB5!$J$77)))</f>
        <v>Wait Till Recalculation Time</v>
      </c>
      <c r="K212" s="40"/>
      <c r="L212" s="141">
        <f>IF(C194="","",IF(C199="Futures","",IF(C199="Options Sell",C208)))</f>
        <v>0.39582638888888888</v>
      </c>
      <c r="M212" s="142" t="str">
        <f t="array" ref="M212">IF(C194="","",IF(C199="Futures","",IF(C199="Options Sell",CONCATENATE([1]AB5!$M$77, "( ",INDEX([1]AB4!BP:BP,MATCH(A203,[1]AB4!B:B,0))," &amp; ",S212," ) ", INDEX([1]AB4!BQ:BQ,MATCH(A203,[1]AB4!B:B,0))," ",N212," ) &amp; ",INDEX([1]AB4!BS:BS,MATCH(A203,[1]AB4!B:B,0))))))</f>
        <v>Max of ( SPT : PRV : 3DHH &amp; 09:29:59 AM LL ) - 5.00% ) &amp; Round Up</v>
      </c>
      <c r="N212" s="143" t="str">
        <f t="array" ref="N212">IF(A194="","",IF(C199="Futures","",IF(C199="Options Sell",TEXT(INDEX([1]AB4!CR:CR,MATCH(A203,[1]AB4!B:B,0)),"0.00%"))))</f>
        <v>5.00%</v>
      </c>
      <c r="O212" s="142" t="str">
        <f t="array" ref="O212">IF(C194="","",IF(C199="Futures","",IF(C199="Options Sell",CONCATENATE([1]AB5!$O$77,"( ",INDEX([1]AB4!BT:BT,MATCH(A203,[1]AB4!B:B,0))," &amp; ",S212," ) &amp; ",INDEX([1]AB4!BW:BW,MATCH(A203,[1]AB4!B:B,0))," ",INDEX([1]AB4!BX:BX,MATCH(A203,[1]AB4!B:B,0))," ",INDEX([1]AB4!BY:BY,MATCH(A203,[1]AB4!B:B,0))))))</f>
        <v>Max of ( SPT : PRV : 3DHH &amp; 09:29:59 AM LL ) &amp; Round Up + 1</v>
      </c>
      <c r="P212" s="144" t="str">
        <f t="array" ref="P212">IF(A194="","",IF(C199="Futures","",IF(C199="Options Sell",IF(INDEX([1]AB4!CS:CS,MATCH(A203,[1]AB4!B:B,0))="","",TEXT(INDEX([1]AB4!CS:CS,MATCH(A203,[1]AB4!B:B,0)),"0.00%")))))</f>
        <v/>
      </c>
      <c r="Q212" s="145"/>
      <c r="R212" s="40"/>
      <c r="S212" s="146" t="str">
        <f>IF(C194="","",IF(C199="Futures","",IF(C199="Options Sell",CONCATENATE(TEXT(L212,"HH:MM:SS AM/PM"),[1]AB5!$S$77))))</f>
        <v>09:29:59 AM LL</v>
      </c>
      <c r="T212" s="140" t="str">
        <f t="array" ref="T212">IF(C194="","",IF(C199="Futures","",IF(C199="Options Sell",CONCATENATE([1]AB5!$T$77,"( ",INDEX([1]AB4!CE:CE,MATCH(A203,[1]AB4!B:B,0))," &amp; ",S212," ) ",[1]AB5!$H$59,TEXT(INDEX([1]AB4!CF:CF,MATCH(A203,[1]AB4!B:B,0)),"0.00%")))))</f>
        <v>Min of ( SPT : PRV : 3DHH &amp; 09:29:59 AM LL )  * 1.60%</v>
      </c>
      <c r="U212" s="40"/>
      <c r="V212" s="142" t="str">
        <f t="array" ref="V212">IF(C194="","",IF(C199="Futures","",IF(C199="Options Sell",CONCATENATE([1]AB5!$V$77,"( ",INDEX([1]AB4!CG:CG,MATCH(A203,[1]AB4!B:B,0))," &amp; ",S212," ) ",[1]AB5!$H$59,TEXT(INDEX([1]AB4!CH:CH,MATCH(A203,[1]AB4!B:B,0)),"0.00%")))))</f>
        <v>Min of ( SPT : PRV : 3DHH &amp; 09:29:59 AM LL )  * 1.20%</v>
      </c>
      <c r="W212" s="142" t="str">
        <f>IF(A194="","",IF(C199="Futures","",IF(C199="Options Sell",I203)))</f>
        <v>500 Lots</v>
      </c>
      <c r="X212" s="140" t="str">
        <f t="array" ref="X212">IF(C194="","",IF(C199="Futures","",IF(C199="Options Sell",CONCATENATE([1]AB5!$X$77,"( ",INDEX([1]AB4!G:G,MATCH(A203,[1]AB4!B:B,0))," &amp; ",Z212," ) ", INDEX([1]AB4!H:H,MATCH(A203,[1]AB4!B:B,0))," ",AA212))))</f>
        <v>Min of ( OPT : PRV : 3DLL &amp; 09:29:59 AM LL )  -  7.50%</v>
      </c>
      <c r="Y212" s="40"/>
      <c r="Z212" s="147" t="str">
        <f>IF(C194="","",IF(C199="Futures","",IF(C199="Options Sell",CONCATENATE(TEXT(L212,"HH:MM:SS AM/PM"), [1]AB5!$S$77))))</f>
        <v>09:29:59 AM LL</v>
      </c>
      <c r="AA212" s="148" t="str">
        <f t="array" ref="AA212">IF(A194="","",IF(C199="Futures","",IF(C199="Options Sell",TEXT(INDEX([1]AB4!BK:BK,MATCH(A203,[1]AB4!B:B,0)),"0.00%"))))</f>
        <v>7.50%</v>
      </c>
      <c r="AB212" s="75"/>
      <c r="AC212" s="75"/>
    </row>
    <row r="213" spans="1:29" ht="8.25" customHeight="1" thickBot="1" x14ac:dyDescent="0.2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49"/>
      <c r="L213" s="15"/>
      <c r="M213" s="15"/>
      <c r="N213" s="15"/>
      <c r="O213" s="75"/>
      <c r="P213" s="15"/>
      <c r="Q213" s="15"/>
      <c r="R213" s="15"/>
      <c r="S213" s="15"/>
      <c r="T213" s="15"/>
      <c r="U213" s="15"/>
      <c r="V213" s="15"/>
      <c r="W213" s="15"/>
      <c r="X213" s="15"/>
      <c r="Y213" s="75"/>
      <c r="Z213" s="75"/>
      <c r="AA213" s="75"/>
      <c r="AB213" s="75"/>
      <c r="AC213" s="75"/>
    </row>
    <row r="214" spans="1:29" ht="44.25" customHeight="1" thickBot="1" x14ac:dyDescent="0.25">
      <c r="A214" s="54"/>
      <c r="B214" s="113" t="str">
        <f>IF(C194="","",IF(C199="Futures","",IF(C199="Options Sell",[1]AB5!$B$79,IF(C199="Options Buy",[1]AB5!$B$112))))</f>
        <v>For TGT (Position = Open)</v>
      </c>
      <c r="C214" s="114"/>
      <c r="D214" s="63" t="str">
        <f>IF(C194="","",IF(C199="Futures","",IF(C199="Options Sell",[1]AB5!$D$79,IF(C199="Options Buy",[1]AB5!$D$112))))</f>
        <v>Gap Check</v>
      </c>
      <c r="E214" s="64" t="str">
        <f>IF(C194="","",IF(C199="Futures","",IF(C199="Options Sell",[1]AB5!$E$79,IF(C199="Options Buy",[1]AB5!$E$112))))</f>
        <v>Process</v>
      </c>
      <c r="F214" s="65"/>
      <c r="G214" s="66" t="str">
        <f>IF(C194="","",IF(C199="Futures","",IF(C199="Options Sell",[1]AB5!$G$79,IF(C199="Options Buy",[1]AB5!$G$112))))</f>
        <v>Y / N</v>
      </c>
      <c r="H214" s="67" t="str">
        <f>IF(C194="","",IF(C199="Futures","",IF(C199="Options Sell",[1]AB5!$H$79,IF(C199="Options Buy",[1]AB5!$H$112))))</f>
        <v>Status</v>
      </c>
      <c r="I214" s="68" t="str">
        <f>IF(C194="","",IF(C199="Futures","",IF(C199="Options Sell",[1]AB5!$I$79,IF(C199="Options Buy",[1]AB5!$I$112))))</f>
        <v>Step 1</v>
      </c>
      <c r="J214" s="69" t="str">
        <f>IF(C194="","",IF(C199="Futures","",IF(C199="Options Sell",[1]AB5!$J$79,IF(C199="Options Buy",[1]AB5!$J$112))))</f>
        <v>Order Placement Timings</v>
      </c>
      <c r="K214" s="65"/>
      <c r="L214" s="70" t="str">
        <f>IF(C194="","",IF(C199="Futures","",IF(C199="Options Sell",[1]AB5!$L$79,IF(C199="Options Buy",[1]AB5!$L$112))))</f>
        <v>Time</v>
      </c>
      <c r="M214" s="68" t="str">
        <f>IF(C194="","",IF(C199="Futures","",IF(C199="Options Sell",[1]AB5!$M$79,IF(C199="Options Buy",[1]AB5!$M$112))))</f>
        <v>Rules For Gaps</v>
      </c>
      <c r="N214" s="67" t="str">
        <f>IF(C194="","",IF(C199="Futures","",IF(C199="Options Sell",[1]AB5!$N$79,IF(C199="Options Buy",[1]AB5!$N$112))))</f>
        <v>Data</v>
      </c>
      <c r="O214" s="74" t="str">
        <f>IF(C194="","",IF(C199="Futures","",IF(C199="Options Sell",[1]AB5!$O$79,IF(C199="Options Buy",[1]AB5!$O$112))))</f>
        <v>Buffer</v>
      </c>
      <c r="P214" s="70" t="str">
        <f>IF(C194="","",IF(C199="Futures","",IF(C199="Options Sell",[1]AB5!$P$79,IF(C199="Options Buy",[1]AB5!$P$112))))</f>
        <v>Monthly Status</v>
      </c>
      <c r="Q214" s="70" t="str">
        <f>IF(C194="","",IF(C199="Futures","",IF(C199="Options Sell",[1]AB5!$Q$79,IF(C199="Options Buy",[1]AB5!$Q$112))))</f>
        <v>Options Type</v>
      </c>
      <c r="R214" s="150" t="str">
        <f>IF(C194="","",IF(C199="Futures","",IF(C199="Options Sell",[1]AB5!$R$79,IF(C199="Options Buy",[1]AB5!$R$112))))</f>
        <v>Start Strike</v>
      </c>
      <c r="S214" s="151" t="str">
        <f>IF(C194="","",IF(C199="Futures","",IF(C199="Options Sell",[1]AB5!$S$79,IF(C199="Options Buy",[1]AB5!$S$112))))</f>
        <v>End Strike</v>
      </c>
      <c r="T214" s="152"/>
      <c r="U214" s="151" t="str">
        <f>IF(C194="","",IF(C199="Futures","",IF(C199="Options Sell",[1]AB5!$U$79,IF(C199="Options Buy",[1]AB5!$U$112))))</f>
        <v>Ideal Premium</v>
      </c>
      <c r="V214" s="152"/>
      <c r="W214" s="151" t="str">
        <f>IF(C194="","",IF(C199="Futures","",IF(C199="Options Sell",[1]AB5!$W$79,IF(C199="Options Buy",[1]AB5!$W$112))))</f>
        <v>Minimum Premium</v>
      </c>
      <c r="X214" s="152"/>
      <c r="Y214" s="150" t="str">
        <f>IF(C194="","",IF(C199="Futures","",IF(C199="Options Sell",[1]AB5!$Y$79,IF(C199="Options Buy",[1]AB5!$Y$112))))</f>
        <v>Minimum OI</v>
      </c>
      <c r="Z214" s="151" t="str">
        <f>IF(C194="","",IF(C199="Futures","",IF(C199="Options Sell",[1]AB5!$Z$79,IF(C199="Options Buy",[1]AB5!$Z$112))))</f>
        <v>Option Entry</v>
      </c>
      <c r="AA214" s="152"/>
      <c r="AB214" s="153"/>
      <c r="AC214" s="153"/>
    </row>
    <row r="215" spans="1:29" ht="44.25" customHeight="1" x14ac:dyDescent="0.2">
      <c r="A215" s="15" t="str">
        <f>IF(C194="","",CONCATENATE(C195,[1]AB5!$A$4))</f>
        <v>S24A</v>
      </c>
      <c r="B215" s="128" t="str">
        <f>IF(C194="","",IF(C199="Futures","",IF(C199="Options Sell",[1]AB5!$B$80,IF(C199="Options Buy",[1]AB5!$B$113))))</f>
        <v xml:space="preserve">ORPT </v>
      </c>
      <c r="C215" s="129" t="str">
        <f>IF(C194="","",IF(C199="Futures","",IF(C199="Options Sell",[1]AB5!$C$80,IF(C199="Options Buy",[1]AB5!$C$113))))</f>
        <v xml:space="preserve"> RC. Time</v>
      </c>
      <c r="D215" s="154" t="str">
        <f>IF(C194="","",IF(C199="Futures","",IF(C199="Options Sell",[1]AB5!$D$80,IF(C199="Options Buy",[1]AB5!$D$113))))</f>
        <v>For Call Sell SL</v>
      </c>
      <c r="E215" s="155" t="str">
        <f>IF(C194="","",IF(C199="Futures","",IF(C199="Options Sell",CONCATENATE([1]AB5!$E$80,TEXT(B216,"HH:MM:SS AM/PM"),[1]AB5!$B$81,[1]AB5!$F$80))))</f>
        <v>Check If  09:15:00 AM HH &gt; Call Sell SL</v>
      </c>
      <c r="F215" s="156"/>
      <c r="G215" s="157" t="str">
        <f>IF(C194="","",IF(C199="Futures","",IF(C199="Options Sell",[1]AB5!$G$80,IF(C199="Options Buy",[1]AB5!$G$113))))</f>
        <v>No</v>
      </c>
      <c r="H215" s="158" t="str">
        <f>IF(C194="","",IF(C199="Futures","",IF(C199="Options Sell",[1]AB5!$H$80)))</f>
        <v>FSL / TRP Not Missed</v>
      </c>
      <c r="I215" s="159" t="str">
        <f>IF(C194="","",IF(C199="Futures","",IF(C199="Options Sell",[1]AB5!$I$80)))</f>
        <v>Place the Order at ORPT</v>
      </c>
      <c r="J215" s="160" t="str">
        <f>IF(C194="","",IF(C199="Futures","",IF(C199="Options Sell",[1]AB5!$J$80)))</f>
        <v>ORPT Time</v>
      </c>
      <c r="K215" s="161"/>
      <c r="L215" s="162">
        <f>IF(C194="","",IF(C199="Futures","",IF(C199="Options Sell",B212)))</f>
        <v>0.39235416666666667</v>
      </c>
      <c r="M215" s="163" t="str">
        <f>IF(C194="","",IF(C199="Futures","",IF(C199="Options Sell",[1]AB5!$M$80)))</f>
        <v>N.A.</v>
      </c>
      <c r="N215" s="158" t="str">
        <f>IF(C194="","",IF(C199="Futures","",IF(C199="Options Sell",[1]AB5!$N$80)))</f>
        <v>N.A.</v>
      </c>
      <c r="O215" s="164" t="str">
        <f>IF(C194="","",IF(C199="Futures","",IF(C199="Options Sell",[1]AB5!$O$80)))</f>
        <v>N.A.</v>
      </c>
      <c r="P215" s="165" t="str">
        <f>IF(C194="","",[1]AB5!$P$80)</f>
        <v>BULL / BULL CF</v>
      </c>
      <c r="Q215" s="166" t="str">
        <f>IF(C194="","",[1]AB5!$Q$80)</f>
        <v>Call</v>
      </c>
      <c r="R215" s="167" t="str">
        <f t="array" ref="R215">IF(C194="","",IF(C199="Futures","",IF(C199="Options Sell",CONCATENATE([1]AB5!$M$73, "( ",INDEX([1]AB4!BP:BP,MATCH(A194,[1]AB4!B:B,0))," &amp; ",[1]AB5!$R$80," ) ",INDEX([1]AB4!BQ:BQ,MATCH(A194,[1]AB4!B:B))," ",N208," ) &amp; ",INDEX([1]AB4!BS:BS,MATCH(A194,[1]AB4!B:B,0))))))</f>
        <v>Min of ( SPT : PRV : 3DLL &amp; SPT : CDLL ) + 5.00% ) &amp; Round Down</v>
      </c>
      <c r="S215" s="168" t="str">
        <f t="array" ref="S215">IF(C194="","",IF(C199="Futures","",IF(C199="Options Sell",CONCATENATE([1]AB5!$O$73,"( ",INDEX([1]AB4!BT:BT,MATCH(A194,[1]AB4!B:B,0))," &amp; ",[1]AB5!$S$80," ) &amp; ",INDEX([1]AB4!BW:BW,MATCH(A194,[1]AB4!B:B,0))," ",INDEX([1]AB4!BX:BX,MATCH(A194,[1]AB4!B:B,0))," ",INDEX([1]AB4!BY:BY,MATCH(A194,[1]AB4!B:B,0))))))</f>
        <v>Min of ( SPT : PRV : 3DLL &amp; SPT : CDLL ) &amp; Round Down - 1</v>
      </c>
      <c r="T215" s="27"/>
      <c r="U215" s="168" t="str">
        <f t="array" ref="U215">IF(C194="","",IF(C199="Futures","",IF(C199="Options Sell",CONCATENATE([1]AB5!$T$73,"( ",INDEX([1]AB4!CE:CE,MATCH(A194,[1]AB4!B:B,0))," &amp; ",[1]AB5!$U$80," ) ",[1]AB5!$H$59,TEXT(INDEX([1]AB4!CF:CF,MATCH(A194,[1]AB4!B:B,0)),"0.00%")))))</f>
        <v>Min of ( SPT : PRV : 3DLL &amp; SPT : CDLL )  * 1.60%</v>
      </c>
      <c r="V215" s="27"/>
      <c r="W215" s="168" t="str">
        <f t="array" ref="W215">IF(C194="","",IF(C199="Futures","",IF(C199="Options Sell",CONCATENATE([1]AB5!$V$73,"( ",INDEX([1]AB4!CG:CG,MATCH(A194,[1]AB4!B:B,0))," &amp; ",[1]AB5!$W$80," ) ",[1]AB5!$H$59,TEXT(INDEX([1]AB4!CH:CH,MATCH(A194,[1]AB4!B:B,0)),"0.00%")))))</f>
        <v>Min of ( SPT : PRV : 3DLL &amp; SPT : CDLL )  * 1.20%</v>
      </c>
      <c r="X215" s="27"/>
      <c r="Y215" s="169" t="str">
        <f>IF(A194="","",IF(C199="Futures","",IF(C199="Options Sell",I194)))</f>
        <v>500 Lots</v>
      </c>
      <c r="Z215" s="168" t="str">
        <f t="array" ref="Z215">IF(C194="","",IF(C199="Futures","",IF(C199="Options Sell",CONCATENATE([1]AB5!$X$73,"( ",INDEX([1]AB4!G:G,MATCH(A194,[1]AB4!B:B,0))," &amp; ",[1]AB5!$Z$80," ) ",INDEX([1]AB4!H:H,MATCH(A194,[1]AB4!B:B,0))," ",AA208))))</f>
        <v>Min of ( OPT : PRV : 3DLL &amp; OPT : CDLL )  -  7.50%</v>
      </c>
      <c r="AA215" s="114"/>
      <c r="AB215" s="75"/>
      <c r="AC215" s="75"/>
    </row>
    <row r="216" spans="1:29" ht="44.25" customHeight="1" thickBot="1" x14ac:dyDescent="0.25">
      <c r="A216" s="15" t="str">
        <f>IF(C194="","",CONCATENATE(C195,[1]AB5!$A$7))</f>
        <v>S24B</v>
      </c>
      <c r="B216" s="94">
        <f t="array" ref="B216">IF(C194="","", IF(C199="Futures","",IF(C199="Options Sell",INDEX([1]AB4!BG:BG,MATCH(A215,[1]AB4!B:B,0)))))</f>
        <v>0.38541666666666669</v>
      </c>
      <c r="C216" s="95" t="str">
        <f t="array" ref="C216">IF(C194="","", INDEX([1]AB4!BG:BG,MATCH(A216,[1]AB4!B:B,0)))</f>
        <v>N.A.</v>
      </c>
      <c r="D216" s="32"/>
      <c r="E216" s="32"/>
      <c r="F216" s="156"/>
      <c r="G216" s="170" t="str">
        <f>IF(C194="","",IF(C199="Futures","",IF(C199="Options Sell",[1]AB5!$G$81,IF(C199="Options Buy",[1]AB5!$G$114))))</f>
        <v>Yes</v>
      </c>
      <c r="H216" s="131" t="str">
        <f>IF(C194="","",IF(C199="Futures","",IF(C199="Options Sell",[1]AB5!$H$81)))</f>
        <v>FSL / TRP Missed</v>
      </c>
      <c r="I216" s="119" t="str">
        <f>IF(C194="","",IF(C199="Futures","",IF(C199="Options Sell",[1]AB5!$I$81)))</f>
        <v>Recalcuate : Call Sell FSL / TRP : Bull / Bull CF</v>
      </c>
      <c r="J216" s="120" t="str">
        <f>IF(C194="","",IF(C199="Futures","",IF(C199="Options Sell",[1]AB5!$J$81)))</f>
        <v>Wait Till Recalculation Time</v>
      </c>
      <c r="K216" s="107"/>
      <c r="L216" s="121">
        <f>IF(C194="","",IF(C199="Futures","",IF(C199="Options Sell",C212)))</f>
        <v>0.39582638888888888</v>
      </c>
      <c r="M216" s="171" t="str">
        <f>IF(C194="","",IF(C199="Futures","",IF(C199="Options Sell",CONCATENATE(N216," ",[1]AB5!$M$81," ",TEXT(O216,"0.00%")))))</f>
        <v>09:29:59 AM HH + 7.00%</v>
      </c>
      <c r="N216" s="132" t="str">
        <f>IF(C194="","",IF(C199="Futures","",IF(C199="Options Sell",CONCATENATE(TEXT(L216,"HH:MM:SS AM/PM"),[1]AB5!$N$81))))</f>
        <v>09:29:59 AM HH</v>
      </c>
      <c r="O216" s="172" t="str">
        <f t="array" ref="O216">IF(A194="","",IF(C199="Futures","",IF(C199="Options Sell",TEXT(INDEX([1]AB4!BL:BL,MATCH(A194,[1]AB4!B:B,0)),"0.00%"))))</f>
        <v>7.00%</v>
      </c>
      <c r="P216" s="110"/>
      <c r="Q216" s="173" t="str">
        <f>IF(C194="","",[1]AB5!$Q$81)</f>
        <v>Put</v>
      </c>
      <c r="R216" s="174" t="str">
        <f t="array" ref="R216">IF(C194="","",IF(C199="Futures","",IF(C199="Options Sell",CONCATENATE([1]AB5!$M$76, "( ",INDEX([1]AB4!BP:BP,MATCH(A197,[1]AB4!B:B,0))," &amp; ",[1]AB5!$R$81," ) ",INDEX([1]AB4!BQ:BQ,MATCH(A197,[1]AB4!B:B,0))," ",N211," ) &amp; ",INDEX([1]AB4!BS:BS,MATCH(A197,[1]AB4!B:B,0))))))</f>
        <v>Max of ( SPT : PRV : 2DHH &amp; SPT : CDHH ) - 5.00% ) &amp; Round Up</v>
      </c>
      <c r="S216" s="175" t="str">
        <f t="array" ref="S216">IF(C194="","",IF(C199="Futures","",IF(C199="Options Sell",CONCATENATE([1]AB5!$O$76,"( ",INDEX([1]AB4!BT:BT,MATCH(A197,[1]AB4!B:B,0))," &amp; ",[1]AB5!$S$81," ) &amp; ",INDEX([1]AB4!BW:BW,MATCH(A197,[1]AB4!B:B,0))," ",INDEX([1]AB4!BX:BX,MATCH(A197,[1]AB4!B:B,0))," ",INDEX([1]AB4!BY:BY,MATCH(A197,[1]AB4!B:B,0))))))</f>
        <v>Max of ( SPT : PRV : 2DHH &amp; SPT : CDHH ) &amp; Round Up + 1</v>
      </c>
      <c r="T216" s="40"/>
      <c r="U216" s="175" t="str">
        <f t="array" ref="U216">IF(C194="","",IF(C199="Futures","",IF(C199="Options Sell",CONCATENATE([1]AB5!$T$76,"( ",INDEX([1]AB4!CE:CE,MATCH(A197,[1]AB4!B:B,0))," &amp; ",[1]AB5!$U$81," ) ",[1]AB5!$H$59,TEXT(INDEX([1]AB4!CF:CF,MATCH(A197,[1]AB4!B:B,0)),"0.00%")))))</f>
        <v>Min of ( SPT : PRV : 2DHH &amp; SPT : CDLL )  * 1.60%</v>
      </c>
      <c r="V216" s="40"/>
      <c r="W216" s="175" t="str">
        <f t="array" ref="W216">IF(C194="","",IF(C199="Futures","",IF(C199="Options Sell",CONCATENATE([1]AB5!$V$76,"( ",INDEX([1]AB4!CG:CG,MATCH(A197,[1]AB4!B:B,0))," &amp; ",[1]AB5!$W$81," ) ",[1]AB5!$H$59,TEXT(INDEX([1]AB4!CH:CH,MATCH(A197,[1]AB4!B:B,0)),"0.00%")))))</f>
        <v>Min of ( SPT : PRV : 2DHH &amp; SPT : CDLL )  * 1.20%</v>
      </c>
      <c r="X216" s="40"/>
      <c r="Y216" s="176" t="str">
        <f>IF(A194="","",IF(C199="Futures","",IF(C199="Options Sell",I197)))</f>
        <v>500 Lots</v>
      </c>
      <c r="Z216" s="175" t="str">
        <f t="array" ref="Z216">IF(C194="","",IF(C199="Futures","",IF(C199="Options Sell",CONCATENATE([1]AB5!$X$76,"( ",INDEX([1]AB4!G:G,MATCH(A197,[1]AB4!B:B,0))," &amp; ",[1]AB5!$Z$81," ) ", INDEX([1]AB4!H:H,MATCH(A197,[1]AB4!B:B,0))," ",AA211))))</f>
        <v>Min of ( OPT : PRV : 2DLL &amp; OPT : CDLL )  -  7.50%</v>
      </c>
      <c r="AA216" s="177"/>
      <c r="AB216" s="75"/>
      <c r="AC216" s="75"/>
    </row>
    <row r="217" spans="1:29" ht="44.25" customHeight="1" thickBot="1" x14ac:dyDescent="0.25">
      <c r="A217" s="15"/>
      <c r="B217" s="110"/>
      <c r="C217" s="111"/>
      <c r="D217" s="112"/>
      <c r="E217" s="112"/>
      <c r="F217" s="161"/>
      <c r="G217" s="96"/>
      <c r="H217" s="14"/>
      <c r="I217" s="119" t="str">
        <f>IF(C194="","",IF(C199="Futures","",IF(C199="Options Sell",[1]AB5!$I$82)))</f>
        <v>Recalcuate : Call Sell FSL / TRP : Bear / Bear CF</v>
      </c>
      <c r="J217" s="120" t="str">
        <f>IF(C194="","",IF(C199="Futures","",IF(C199="Options Sell",[1]AB5!$J$82)))</f>
        <v>Wait Till Recalculation Time</v>
      </c>
      <c r="K217" s="107"/>
      <c r="L217" s="121">
        <f>IF(C194="","",IF(C199="Futures","",IF(C199="Options Sell",C212)))</f>
        <v>0.39582638888888888</v>
      </c>
      <c r="M217" s="171" t="str">
        <f>IF(C194="","",IF(C199="Futures","",IF(C199="Options Sell",CONCATENATE(N217," ",[1]AB5!$M$82," ",TEXT(O217,"0.00%")))))</f>
        <v>09:29:59 AM HH + 10.00%</v>
      </c>
      <c r="N217" s="132" t="str">
        <f>IF(C194="","",IF(C199="Futures","",IF(C199="Options Sell",CONCATENATE(TEXT(L217,"HH:MM:SS AM/PM"),[1]AB5!$N$82))))</f>
        <v>09:29:59 AM HH</v>
      </c>
      <c r="O217" s="172" t="str">
        <f t="array" ref="O217">IF(A194="","",IF(C199="Futures","",IF(C199="Options Sell",TEXT(INDEX([1]AB4!BL:BL,MATCH(A200,[1]AB4!B:B,0)),"0.00%"))))</f>
        <v>10.00%</v>
      </c>
      <c r="P217" s="178" t="str">
        <f>IF(C194="","",[1]AB5!$P$82)</f>
        <v>BEAR / BEAR CF</v>
      </c>
      <c r="Q217" s="166" t="str">
        <f>IF(C196="","",[1]AB5!$Q$82)</f>
        <v>Call</v>
      </c>
      <c r="R217" s="167" t="str">
        <f t="array" ref="R217">IF(C194="","",IF(C199="Futures","",IF(C199="Options Sell",CONCATENATE([1]AB5!$M$74,"( ",INDEX([1]AB4!BP:BP,MATCH(A200,[1]AB4!B:B,0))," &amp; ",[1]AB5!$R$82," ) ",INDEX([1]AB4!BQ:BQ,MATCH(A200,[1]AB4!B:B,0))," ",N209," ) &amp; ",INDEX([1]AB4!BS:BS,MATCH(A200,[1]AB4!B:B,0))))))</f>
        <v>Min of ( SPT : PRV : 2DLL &amp; SPT : CDLL ) + 5.00% ) &amp; Round Down</v>
      </c>
      <c r="S217" s="168" t="str">
        <f t="array" ref="S217">IF(C194="","",IF(C199="Futures","",IF(C199="Options Sell",CONCATENATE([1]AB5!$O$74,"( ",INDEX([1]AB4!BT:BT,MATCH(A200,[1]AB4!B:B,0))," &amp; ",[1]AB5!$S$82," ) &amp; ",INDEX([1]AB4!BW:BW,MATCH(A200,[1]AB4!B:B,0))," ",INDEX([1]AB4!BX:BX,MATCH(A200,[1]AB4!B:B,0))," ",INDEX([1]AB4!BY:BY,MATCH(A200,[1]AB4!B:B,0))))))</f>
        <v>Min of ( SPT : PRV : 2DLL &amp; SPT : CDLL ) &amp; Round Down - 1</v>
      </c>
      <c r="T217" s="27"/>
      <c r="U217" s="168" t="str">
        <f t="array" ref="U217">IF(C194="","",IF(C199="Futures","",IF(C199="Options Sell",CONCATENATE([1]AB5!$T$74," of ( ",INDEX([1]AB4!CE:CE,MATCH(A200,[1]AB4!B:B,0))," &amp; ",[1]AB5!$U$82," ) ",[1]AB5!$H$59,TEXT(INDEX([1]AB4!CF:CF,MATCH(A200,[1]AB4!B:B,0)),"0.00%")))))</f>
        <v>Min of  of ( SPT : PRV : 2DLL &amp; SPT : CDLL )  * 1.60%</v>
      </c>
      <c r="V217" s="27"/>
      <c r="W217" s="168" t="str">
        <f t="array" ref="W217">IF(C194="","",IF(C199="Futures","",IF(C199="Options Sell",CONCATENATE([1]AB5!$V$74,"( ",INDEX([1]AB4!CG:CG,MATCH(A200,[1]AB4!B:B,0))," &amp; ",[1]AB5!$W$82," ) ",[1]AB5!$H$59,TEXT(INDEX([1]AB4!CH:CH,MATCH(A200,[1]AB4!B:B,0)),"0.00%")))))</f>
        <v>Min of ( SPT : PRV : 2DLL &amp; SPT : CDLL )  * 1.20%</v>
      </c>
      <c r="X217" s="27"/>
      <c r="Y217" s="169" t="str">
        <f>IF(A194="","",IF(C199="Futures","",IF(C199="Options Sell",I200)))</f>
        <v>500 Lots</v>
      </c>
      <c r="Z217" s="168" t="str">
        <f t="array" ref="Z217">IF(C194="","",IF(C199="Futures","",IF(C199="Options Sell",CONCATENATE([1]AB5!$X$74,"( ",INDEX([1]AB4!G:G,MATCH(A200,[1]AB4!B:B,0))," &amp; ",[1]AB5!$Z$82," ) ", INDEX([1]AB4!H:H,MATCH(A200,[1]AB4!B:B,0))," ",AA209))))</f>
        <v>Min of ( OPT : PRV : 2DLL &amp; OPT : CDLL )  -  7.50%</v>
      </c>
      <c r="AA217" s="114"/>
      <c r="AB217" s="75"/>
      <c r="AC217" s="75"/>
    </row>
    <row r="218" spans="1:29" ht="44.25" customHeight="1" thickBot="1" x14ac:dyDescent="0.25">
      <c r="A218" s="15"/>
      <c r="B218" s="179" t="str">
        <f>IF(C194="","",IF(C199="Futures","",IF(C199="Options Sell",[1]AB5!$B$83,IF(C199="Options Buy",[1]AB5!$B$116))))</f>
        <v>Stay Blessed !!!</v>
      </c>
      <c r="C218" s="19"/>
      <c r="D218" s="180" t="str">
        <f>IF(C194="","",IF(C199="Futures","",IF(C199="Options Sell",[1]AB5!$D$83,IF(C199="Options Buy",[1]AB5!$D$116))))</f>
        <v>For Put Sell SL</v>
      </c>
      <c r="E218" s="181" t="str">
        <f>IF(C194="","",IF(C199="Futures","",IF(C199="Options Sell",CONCATENATE([1]AB5!$E$83,TEXT(B216,"HH:MM:SS AM/PM"),[1]AB5!$B$81,[1]AB5!$F$83))))</f>
        <v>Check If  09:15:00 AM HH &gt; Short SL</v>
      </c>
      <c r="F218" s="182"/>
      <c r="G218" s="183" t="str">
        <f>IF(C194="","",IF(C199="Futures","",IF(C199="Options Sell",[1]AB5!$G$83,IF(C199="Options Buy",[1]AB5!$G$116))))</f>
        <v>No</v>
      </c>
      <c r="H218" s="104" t="str">
        <f>IF(C194="","",IF(C199="Futures","",IF(C199="Options Sell",[1]AB5!$H$83)))</f>
        <v>FSL / TRP Not Missed</v>
      </c>
      <c r="I218" s="100" t="str">
        <f>IF(C194="","",IF(C199="Futures","",IF(C199="Options Sell",[1]AB5!$I$83)))</f>
        <v>Place the Order at ORPT</v>
      </c>
      <c r="J218" s="101" t="str">
        <f>IF(C194="","",IF(C199="Futures","",IF(C199="Options Sell",[1]AB5!$J$83)))</f>
        <v>ORPT Time</v>
      </c>
      <c r="K218" s="102"/>
      <c r="L218" s="103">
        <f>IF(C194="","",IF(C199="Futures","",IF(C199="Options Sell",B212)))</f>
        <v>0.39235416666666667</v>
      </c>
      <c r="M218" s="184" t="str">
        <f>IF(C194="","",IF(C199="Futures","",IF(C199="Options Sell",[1]AB5!$M$83)))</f>
        <v>N.A.</v>
      </c>
      <c r="N218" s="104" t="str">
        <f>IF(C194="","",IF(C199="Futures","",IF(C199="Options Sell",[1]AB5!$N$83)))</f>
        <v>N.A.</v>
      </c>
      <c r="O218" s="185" t="str">
        <f>IF(C194="","",IF(C199="Futures","",IF(C199="Options Sell",[1]AB5!$O$83)))</f>
        <v>N.A.</v>
      </c>
      <c r="P218" s="110"/>
      <c r="Q218" s="173" t="str">
        <f>IF(C196="","",[1]AB5!$Q$83)</f>
        <v>Put</v>
      </c>
      <c r="R218" s="174" t="str">
        <f t="array" ref="R218">IF(C194="","",IF(C199="Futures","",IF(C199="Options Sell",CONCATENATE([1]AB5!$M$77, "( ",INDEX([1]AB4!BP:BP,MATCH(A203,[1]AB4!B:B,0))," &amp; ",[1]AB5!$R$83," ) ", INDEX([1]AB4!BQ:BQ,MATCH(A203,[1]AB4!B:B,0))," ",N212," ) &amp; ",INDEX([1]AB4!BS:BS,MATCH(A203,[1]AB4!B:B,0))))))</f>
        <v>Max of ( SPT : PRV : 3DHH &amp; SPT : CDHH ) - 5.00% ) &amp; Round Up</v>
      </c>
      <c r="S218" s="175" t="str">
        <f t="array" ref="S218">IF(C194="","",IF(C199="Futures","",IF(C199="Options Sell",CONCATENATE([1]AB5!$O$77,"( ",INDEX([1]AB4!BT:BT,MATCH(A203,[1]AB4!B:B,0))," &amp; ",[1]AB5!$S$83," ) &amp; ",INDEX([1]AB4!BW:BW,MATCH(A203,[1]AB4!B:B,0))," ",INDEX([1]AB4!BX:BX,MATCH(A203,[1]AB4!B:B,0))," ",INDEX([1]AB4!BY:BY,MATCH(A203,[1]AB4!B:B,0))))))</f>
        <v>Max of ( SPT : PRV : 3DHH &amp; SPT : CDHH ) &amp; Round Up + 1</v>
      </c>
      <c r="T218" s="40"/>
      <c r="U218" s="175" t="str">
        <f t="array" ref="U218">IF(C194="","",IF(C199="Futures","",IF(C199="Options Sell",CONCATENATE([1]AB5!$T$77,"( ",INDEX([1]AB4!CE:CE,MATCH(A203,[1]AB4!B:B,0))," &amp; ",[1]AB5!$U$83," ) ",[1]AB5!$H$59,TEXT(INDEX([1]AB4!CF:CF,MATCH(A203,[1]AB4!B:B,0)),"0.00%")))))</f>
        <v>Min of ( SPT : PRV : 3DHH &amp; SPT : CDLL )  * 1.60%</v>
      </c>
      <c r="V218" s="40"/>
      <c r="W218" s="175" t="str">
        <f t="array" ref="W218">IF(C194="","",IF(C199="Futures","",IF(C199="Options Sell",CONCATENATE([1]AB5!$V$77,"( ",INDEX([1]AB4!CG:CG,MATCH(A203,[1]AB4!B:B,0))," &amp; ",[1]AB5!$W$83," ) ",[1]AB5!$H$59,TEXT(INDEX([1]AB4!CH:CH,MATCH(A203,[1]AB4!B:B,0)),"0.00%")))))</f>
        <v>Min of ( SPT : PRV : 3DHH &amp; SPT : CDLL )  * 1.20%</v>
      </c>
      <c r="X218" s="40"/>
      <c r="Y218" s="176" t="str">
        <f>IF(A194="","",IF(C199="Futures","",IF(C199="Options Sell",I203)))</f>
        <v>500 Lots</v>
      </c>
      <c r="Z218" s="175" t="str">
        <f t="array" ref="Z218">IF(C194="","",IF(C199="Futures","",IF(C199="Options Sell",CONCATENATE([1]AB5!$X$77,"( ",INDEX([1]AB4!G:G,MATCH(A203,[1]AB4!B:B,0))," &amp; ",[1]AB5!$Z$83," ) ", INDEX([1]AB4!H:H,MATCH(A203,[1]AB4!B:B,0))," ",AA212))))</f>
        <v>Min of ( OPT : PRV : 3DLL &amp; OPT : CDLL )  -  7.50%</v>
      </c>
      <c r="AA218" s="177"/>
      <c r="AB218" s="75"/>
      <c r="AC218" s="75"/>
    </row>
    <row r="219" spans="1:29" ht="44.25" customHeight="1" x14ac:dyDescent="0.2">
      <c r="A219" s="75"/>
      <c r="B219" s="32"/>
      <c r="C219" s="33"/>
      <c r="D219" s="32"/>
      <c r="E219" s="32"/>
      <c r="F219" s="156"/>
      <c r="G219" s="186" t="str">
        <f>IF(C194="","",IF(C199="Futures","",IF(C199="Options Sell",[1]AB5!$G$84,IF(C199="Options Buy",[1]AB5!$G$117))))</f>
        <v>Yes</v>
      </c>
      <c r="H219" s="99" t="str">
        <f>IF(C194="","",IF(C199="Futures","",IF(C199="Options Sell",[1]AB5!$H$84)))</f>
        <v>FSL / TRP Missed</v>
      </c>
      <c r="I219" s="100" t="str">
        <f>IF(C194="","",IF(C199="Futures","",IF(C199="Options Sell",[1]AB5!$I$84)))</f>
        <v>Recalcuate : Short FSL / TRP : Bull / Bull CF</v>
      </c>
      <c r="J219" s="101" t="str">
        <f>IF(C194="","",IF(C199="Futures","",IF(C199="Options Sell",[1]AB5!$J$84)))</f>
        <v>Wait Till Recalculation Time</v>
      </c>
      <c r="K219" s="102"/>
      <c r="L219" s="103">
        <f>IF(C194="","",IF(C199="Futures","",IF(C199="Options Sell",C212)))</f>
        <v>0.39582638888888888</v>
      </c>
      <c r="M219" s="184" t="str">
        <f>IF(C194="","",IF(C199="Futures","",IF(C199="Options Sell",CONCATENATE(N219," ",[1]AB5!$M$84," ",TEXT(O219,"0.00%")))))</f>
        <v>09:29:59 AM HH + 10.00%</v>
      </c>
      <c r="N219" s="105" t="str">
        <f>IF(C194="","",IF(C199="Futures","",IF(C199="Options Sell",CONCATENATE(TEXT(L219,"HH:MM:SS AM/PM"),[1]AB5!$N$84))))</f>
        <v>09:29:59 AM HH</v>
      </c>
      <c r="O219" s="187" t="str">
        <f t="array" ref="O219">IF(A194="","",IF(C199="Futures","",IF(C199="Options Sell",TEXT(INDEX([1]AB4!BL:BL,MATCH(A197,[1]AB4!B:B,0)),"0.00%"))))</f>
        <v>10.00%</v>
      </c>
      <c r="P219" s="188" t="str">
        <f>IF(C194="","",[1]AB5!$P$84)</f>
        <v>When You Call And Put Position is Exited</v>
      </c>
      <c r="Q219" s="189"/>
      <c r="R219" s="189"/>
      <c r="S219" s="189"/>
      <c r="T219" s="189"/>
      <c r="U219" s="189"/>
      <c r="V219" s="189"/>
      <c r="W219" s="189"/>
      <c r="X219" s="189"/>
      <c r="Y219" s="189"/>
      <c r="Z219" s="189"/>
      <c r="AA219" s="33"/>
      <c r="AB219" s="75"/>
      <c r="AC219" s="75"/>
    </row>
    <row r="220" spans="1:29" ht="44.25" customHeight="1" thickBot="1" x14ac:dyDescent="0.25">
      <c r="A220" s="75"/>
      <c r="B220" s="34"/>
      <c r="C220" s="53"/>
      <c r="D220" s="34"/>
      <c r="E220" s="34"/>
      <c r="F220" s="190"/>
      <c r="G220" s="111"/>
      <c r="H220" s="138"/>
      <c r="I220" s="191" t="str">
        <f>IF(C194="","",IF(C199="Futures","",IF(C199="Options Sell",[1]AB5!$I$85)))</f>
        <v>Recalcuate : Short FSL / TRP : Bear / Bear CF</v>
      </c>
      <c r="J220" s="192" t="str">
        <f>IF(C194="","",IF(C199="Futures","",IF(C199="Options Sell",[1]AB5!$J$85)))</f>
        <v>Wait Till Recalculation Time</v>
      </c>
      <c r="K220" s="40"/>
      <c r="L220" s="193">
        <f>IF(C194="","",IF(C199="Futures","",IF(C199="Options Sell",C212)))</f>
        <v>0.39582638888888888</v>
      </c>
      <c r="M220" s="194" t="str">
        <f>IF(C194="","",IF(C199="Futures","",IF(C199="Options Sell",CONCATENATE(N220," ",[1]AB5!$M$85," ",TEXT(O220,"0.00%")))))</f>
        <v>09:29:59 AM HH + 7.00%</v>
      </c>
      <c r="N220" s="195" t="str">
        <f>IF(C194="","",IF(C199="Futures","",IF(C199="Options Sell",CONCATENATE(TEXT(L220,"HH:MM:SS AM/PM"),[1]AB5!$N$85))))</f>
        <v>09:29:59 AM HH</v>
      </c>
      <c r="O220" s="196" t="str">
        <f t="array" ref="O220">IF(A194="","",IF(C199="Futures","",IF(C199="Options Sell",TEXT(INDEX([1]AB4!BL:BL,MATCH(A203,[1]AB4!B:B,0)),"0.00%"))))</f>
        <v>7.00%</v>
      </c>
      <c r="P220" s="197" t="str">
        <f>IF(C194="","",[1]AB5!$P$85)</f>
        <v>This is Only Applicable for Same Day</v>
      </c>
      <c r="Q220" s="190"/>
      <c r="R220" s="190"/>
      <c r="S220" s="190"/>
      <c r="T220" s="190"/>
      <c r="U220" s="190"/>
      <c r="V220" s="190"/>
      <c r="W220" s="190"/>
      <c r="X220" s="190"/>
      <c r="Y220" s="190"/>
      <c r="Z220" s="190"/>
      <c r="AA220" s="53"/>
      <c r="AB220" s="75"/>
      <c r="AC220" s="75"/>
    </row>
    <row r="221" spans="1:29" ht="33" customHeight="1" thickBot="1" x14ac:dyDescent="0.25">
      <c r="A221" s="198"/>
      <c r="B221" s="199" t="str">
        <f>IF(C194="","",[1]AB5!$B$119)</f>
        <v>For Missed SL (Position = Open)</v>
      </c>
      <c r="C221" s="114"/>
      <c r="D221" s="200" t="str">
        <f>IF(C194="","",[1]AB5!$D$120)</f>
        <v>Note: ( Optional )</v>
      </c>
      <c r="E221" s="19"/>
      <c r="F221" s="201" t="str">
        <f>IF(C194="","",[1]AB5!$I$119)</f>
        <v>For Call SL</v>
      </c>
      <c r="G221" s="65"/>
      <c r="H221" s="65"/>
      <c r="I221" s="65"/>
      <c r="J221" s="65"/>
      <c r="K221" s="65"/>
      <c r="L221" s="65"/>
      <c r="M221" s="65"/>
      <c r="N221" s="65"/>
      <c r="O221" s="65"/>
      <c r="P221" s="62"/>
      <c r="Q221" s="201" t="str">
        <f>IF(C194="","",[1]AB5!$R$119)</f>
        <v>For Put SL</v>
      </c>
      <c r="R221" s="65"/>
      <c r="S221" s="65"/>
      <c r="T221" s="65"/>
      <c r="U221" s="65"/>
      <c r="V221" s="65"/>
      <c r="W221" s="65"/>
      <c r="X221" s="65"/>
      <c r="Y221" s="65"/>
      <c r="Z221" s="65"/>
      <c r="AA221" s="62"/>
      <c r="AB221" s="202"/>
      <c r="AC221" s="202"/>
    </row>
    <row r="222" spans="1:29" ht="43.5" customHeight="1" x14ac:dyDescent="0.2">
      <c r="A222" s="198"/>
      <c r="B222" s="203" t="str">
        <f>IF(C194="","",[1]AB5!$B$120)</f>
        <v>Check time</v>
      </c>
      <c r="C222" s="204"/>
      <c r="D222" s="32"/>
      <c r="E222" s="33"/>
      <c r="F222" s="205" t="str">
        <f>IF(C194="","",CONCATENATE([1]AB5!$G$120,TEXT(B223,"HH:MM:SS AM/PM"),[1]AB5!$B$121,[1]AB5!$H$120))</f>
        <v>Check If Close at 03:00:00 PM  &gt; Call Original SL</v>
      </c>
      <c r="G222" s="102"/>
      <c r="H222" s="206" t="str">
        <f>IF(C194="","",[1]AB5!$I$120)</f>
        <v>Yes</v>
      </c>
      <c r="I222" s="13"/>
      <c r="J222" s="207" t="str">
        <f>IF(C194="","",CONCATENATE([1]AB5!$K$120,TEXT(B223,"HH:MM:SS AM/PM")))</f>
        <v xml:space="preserve"> Then Square Off The Position At CMP at 03:00:00 PM</v>
      </c>
      <c r="K222" s="161"/>
      <c r="L222" s="161"/>
      <c r="M222" s="161"/>
      <c r="N222" s="161"/>
      <c r="O222" s="161"/>
      <c r="P222" s="208"/>
      <c r="Q222" s="209" t="str">
        <f>IF(C194="","",CONCATENATE([1]AB5!$R$120,TEXT(B223,"HH:MM:SS AM/PM"),[1]AB5!$B$121,[1]AB5!$S$120))</f>
        <v>Check If Close at 03:00:00 PM  &gt; Put Original SL</v>
      </c>
      <c r="R222" s="161"/>
      <c r="S222" s="13"/>
      <c r="T222" s="210" t="str">
        <f>IF(C194="","",[1]AB5!$U$120)</f>
        <v>Yes</v>
      </c>
      <c r="U222" s="211" t="str">
        <f>IF(C194="","",CONCATENATE([1]AB5!$W$120,TEXT(B223,"HH:MM:SS AM/PM")))</f>
        <v xml:space="preserve"> Then Square Off The Position At CMP at 03:00:00 PM</v>
      </c>
      <c r="V222" s="161"/>
      <c r="W222" s="161"/>
      <c r="X222" s="161"/>
      <c r="Y222" s="161"/>
      <c r="Z222" s="161"/>
      <c r="AA222" s="208"/>
      <c r="AB222" s="202"/>
      <c r="AC222" s="212"/>
    </row>
    <row r="223" spans="1:29" ht="36" customHeight="1" thickBot="1" x14ac:dyDescent="0.25">
      <c r="A223" s="198"/>
      <c r="B223" s="213">
        <f t="array" ref="B223">IF(C194="","",INDEX([1]AB4!CU:CU,MATCH(A211,[1]AB4!B:B,0)))</f>
        <v>0.625</v>
      </c>
      <c r="C223" s="177"/>
      <c r="D223" s="34"/>
      <c r="E223" s="53"/>
      <c r="F223" s="214" t="str">
        <f>IF(C194="","",CONCATENATE([1]AB5!$G$37,TEXT(B223,"HH:MM:SS AM/PM"),[1]AB5!$B$37,[1]AB5!$H$121))</f>
        <v>Check If Close at 03:00:00 PM  &lt; Call Original SL</v>
      </c>
      <c r="G223" s="40"/>
      <c r="H223" s="215" t="str">
        <f>IF(C194="","",[1]AB5!$I$121)</f>
        <v>Yes</v>
      </c>
      <c r="I223" s="40"/>
      <c r="J223" s="216" t="str">
        <f>IF(C194="","",CONCATENATE([1]AB5!$K$121))</f>
        <v xml:space="preserve"> Then Continue the Position for Next Day And Calculate Stop Loss Price as per the Rules</v>
      </c>
      <c r="K223" s="145"/>
      <c r="L223" s="145"/>
      <c r="M223" s="145"/>
      <c r="N223" s="145"/>
      <c r="O223" s="145"/>
      <c r="P223" s="177"/>
      <c r="Q223" s="214" t="str">
        <f>IF(C194="","",CONCATENATE([1]AB5!$R$121,TEXT(B223,"HH:MM:SS AM/PM"),[1]AB5!$B$122,[1]AB5!$S$121))</f>
        <v>Check If Close at 03:00:00 PM  &lt; Put Original SL</v>
      </c>
      <c r="R223" s="145"/>
      <c r="S223" s="40"/>
      <c r="T223" s="217" t="str">
        <f>IF(C194="","",[1]AB5!$U$121)</f>
        <v>Yes</v>
      </c>
      <c r="U223" s="216" t="str">
        <f>IF(C194="","",CONCATENATE([1]AB5!$W$121))</f>
        <v xml:space="preserve"> Then Continue the Position for Next Day And Calculate Stop Loss Price as per the Rules</v>
      </c>
      <c r="V223" s="145"/>
      <c r="W223" s="145"/>
      <c r="X223" s="145"/>
      <c r="Y223" s="145"/>
      <c r="Z223" s="145"/>
      <c r="AA223" s="177"/>
      <c r="AB223" s="202"/>
      <c r="AC223" s="212"/>
    </row>
    <row r="224" spans="1:29" ht="15.75" customHeight="1" x14ac:dyDescent="0.2">
      <c r="A224" s="75"/>
      <c r="B224" s="75"/>
      <c r="C224" s="75"/>
      <c r="D224" s="75"/>
      <c r="E224" s="75"/>
      <c r="F224" s="75"/>
      <c r="G224" s="75"/>
      <c r="H224" s="75"/>
      <c r="I224" s="75"/>
      <c r="J224" s="149"/>
      <c r="K224" s="149"/>
      <c r="L224" s="149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75"/>
    </row>
    <row r="225" spans="1:29" ht="15.75" hidden="1" customHeight="1" x14ac:dyDescent="0.2">
      <c r="A225" s="15" t="str">
        <f>IF(C225="","",CONCATENATE(C226,[1]AB5!$A$4))</f>
        <v/>
      </c>
      <c r="B225" s="16" t="str">
        <f>IF(C225="","",[1]AB5!$B$59)</f>
        <v/>
      </c>
      <c r="C225" s="17"/>
      <c r="D225" s="18" t="str">
        <f>IF(C225="","",IF(C230="Futures","",IF(C230="Options Sell",[1]AB5!$D$59,IF(C230="Options Buy",[1]AB5!$D$92))))</f>
        <v/>
      </c>
      <c r="E225" s="19"/>
      <c r="F225" s="18" t="str">
        <f>IF(C225="","",IF(C230="Futures","",IF(C230="Options Sell",[1]AB5!$F$59,IF(C230="Options Buy",[1]AB5!$F$92))))</f>
        <v/>
      </c>
      <c r="G225" s="20" t="str">
        <f t="array" ref="G225">IF(C225="","",IF(C230="Futures","",IF(C230="Options Sell",CONCATENATE("( ",INDEX([1]AB4!BP:BP,MATCH(A225,[1]AB4!B:B))," ",INDEX([1]AB4!BQ:BQ,MATCH(A225,[1]AB4!B:B))," ",TEXT(INDEX([1]AB4!BR:BR,MATCH(A225,[1]AB4!B:B)),"0.00%")," ) &amp; ",INDEX([1]AB4!BS:BS,MATCH(A225,[1]AB4!B:B))),IF(C230="Options Buy",CONCATENATE("( ",INDEX([1]AB4!BP:BP,MATCH(A225,[1]AB4!B:B,0))," ",INDEX([1]AB4!BQ:BQ,MATCH(A225,[1]AB4!B:B,0))," ",TEXT(INDEX([1]AB4!BR:BR,MATCH(A225,[1]AB4!B:B,0)),"0.00%")," ) &amp; ",INDEX([1]AB4!BS:BS,MATCH(A225,[1]AB4!B:B,0)))))))</f>
        <v/>
      </c>
      <c r="H225" s="20" t="str">
        <f t="array" ref="H225">IF(C225="","",IF(C230="Futures","",IF(C230="Options Sell",CONCATENATE(INDEX([1]AB4!CE:CE,MATCH(A225,[1]AB4!B:B)),[1]AB5!$H$59,TEXT(INDEX([1]AB4!CF:CF,MATCH(A225,[1]AB4!B:B)),"0.00%")))))</f>
        <v/>
      </c>
      <c r="I225" s="21" t="str">
        <f t="array" ref="I225">IF(C225="","",IF(C230="Futures","",IF(C230="Options Sell",CONCATENATE(INDEX([1]AB4!CI:CI,MATCH(A225,[1]AB4!B:B)),[1]AB5!$I$59))))</f>
        <v/>
      </c>
      <c r="J225" s="22" t="str">
        <f>IF(C225="","",IF(C230="Futures","",IF(C230="Options Sell",[1]AB5!$J$59,IF(C230="Options Buy",[1]AB5!$J$92))))</f>
        <v/>
      </c>
      <c r="K225" s="18" t="str">
        <f>IF(C225="","",IF(C230="Futures","",IF(C230="Options Sell",[1]AB5!$K$59,IF(C230="Options Buy",[1]AB5!$K$92))))</f>
        <v/>
      </c>
      <c r="L225" s="23" t="str">
        <f>IF(C225="","",IF(C230="Futures","",IF(C230="Options Sell",[1]AB5!$G$4,IF(C230="Options Buy",[1]AB5!$L$92))))</f>
        <v/>
      </c>
      <c r="M225" s="20" t="str">
        <f t="array" ref="M225">IF(C225="","",IF(C230="Futures","",IF(C230="Options Sell",CONCATENATE(INDEX([1]AB4!G:G,MATCH(A225,[1]AB4!B:B,0)),INDEX([1]AB4!H:H,MATCH(A225,[1]AB4!B:B,0)),TEXT(INDEX([1]AB4!I:I,MATCH(A225,[1]AB4!B:B,0)),"0.00%")))))</f>
        <v/>
      </c>
      <c r="N225" s="24" t="str">
        <f t="array" ref="N225">IF(C225="","",IF(C230="Futures","",IF(C230="Options Sell",INDEX([1]AB4!J:J,MATCH(A225,[1]AB4!B:B,0)))))</f>
        <v/>
      </c>
      <c r="O225" s="25" t="str">
        <f t="array" ref="O225">IF(C225="","",IF(C230="Futures","",IF(C230="Options Sell",IF(INDEX([1]AB4!N:N,MATCH(A225,[1]AB4!B:B,0))="","",CONCATENATE(INDEX([1]AB4!L:L,MATCH(A225,[1]AB4!B:B,0)),INDEX([1]AB4!M:M,MATCH(A225,[1]AB4!B:B,0)),TEXT(INDEX([1]AB4!N:N,MATCH(A225,[1]AB4!B:B,0)),"0.00%"))))))</f>
        <v/>
      </c>
      <c r="P225" s="26" t="str">
        <f t="array" ref="P225">IF(C225="","",IF(C230="Futures","",IF(C230="Options Sell",IF(INDEX([1]AB4!N:N,MATCH(A225,[1]AB4!B:B,0))="","",INDEX([1]AB4!O:O,MATCH(A225,[1]AB4!B:B,0))))))</f>
        <v/>
      </c>
      <c r="Q225" s="27"/>
      <c r="R225" s="25" t="str">
        <f t="array" ref="R225">IF(C225="","",IF(C230="Futures","",IF(C230="Options Sell",IF(INDEX([1]AB4!P:P,MATCH(A225,[1]AB4!B:B,0))="","",CONCATENATE(INDEX([1]AB4!L:L,MATCH(A225,[1]AB4!B:B,0)),INDEX([1]AB4!M:M,MATCH(A225,[1]AB4!B:B,0)),TEXT(INDEX([1]AB4!P:P,MATCH(A225,[1]AB4!B:B,0)),"0.00%"))))))</f>
        <v/>
      </c>
      <c r="S225" s="24" t="str">
        <f t="array" ref="S225">IF(C225="","",IF(C230="Futures","",IF(C230="Options Sell",IF(INDEX([1]AB4!P:P,MATCH(A225,[1]AB4!B:B,0))="","",INDEX([1]AB4!Q:Q,MATCH(A225,[1]AB4!B:B,0))))))</f>
        <v/>
      </c>
      <c r="T225" s="25" t="str">
        <f t="array" ref="T225">IF(C225="","",IF(C230="Futures","",IF(C230="Options Sell",IF(INDEX([1]AB4!R:R,MATCH(A225,[1]AB4!B:B,0))="","",CONCATENATE(INDEX([1]AB4!L:L,MATCH(A225,[1]AB4!B:B,0)),INDEX([1]AB4!M:M,MATCH(A225,[1]AB4!B:B,0)),TEXT(INDEX([1]AB4!R:R,MATCH(A225,[1]AB4!B:B,0)),"0.00%"))))))</f>
        <v/>
      </c>
      <c r="U225" s="24" t="str">
        <f t="array" ref="U225">IF(C225="","",IF(C230="Futures","",IF(C230="Options Sell",IF(INDEX([1]AB4!R:R,MATCH(A225,[1]AB4!B:B,0))="","",INDEX([1]AB4!S:S,MATCH(A225,[1]AB4!B:B,0))))))</f>
        <v/>
      </c>
      <c r="V225" s="25" t="str">
        <f t="array" ref="V225">IF(C225="","",IF(C230="Futures","",IF(C230="Options Sell",IF(INDEX([1]AB4!T:T,MATCH(A225,[1]AB4!B:B,0))="","",CONCATENATE(INDEX([1]AB4!L:L,MATCH(A225,[1]AB4!B:B,0)),INDEX([1]AB4!M:M,MATCH(A225,[1]AB4!B:B,0)),TEXT(INDEX([1]AB4!T:T,MATCH(A225,[1]AB4!B:B,0)),"0.00%"))))))</f>
        <v/>
      </c>
      <c r="W225" s="24" t="str">
        <f t="array" ref="W225">IF(C225="","",IF(C230="Futures","",IF(C230="Options Sell",IF(INDEX([1]AB4!T:T,MATCH(A225,[1]AB4!B:B,0))="","",INDEX([1]AB4!U:U,MATCH(A225,[1]AB4!B:B,0))))))</f>
        <v/>
      </c>
      <c r="X225" s="25" t="str">
        <f t="array" ref="X225">IF(C225="","",IF(C230="Futures","",IF(C230="Options Sell",IF(INDEX([1]AB4!V:V,MATCH(A225,[1]AB4!B:B,0))="","",INDEX([1]AB4!V:V,MATCH(A225,[1]AB4!B:B,0))))))</f>
        <v/>
      </c>
      <c r="Y225" s="24" t="str">
        <f t="array" ref="Y225">IF(C225="","",IF(C230="Futures","",IF(C230="Options Sell",IF(INDEX([1]AB4!V:V,MATCH(A225,[1]AB4!B:B,0))="","",INDEX([1]AB4!W:W,MATCH(A225,[1]AB4!B:B,0))))))</f>
        <v/>
      </c>
      <c r="Z225" s="25" t="str">
        <f t="array" ref="Z225">IF(C225="","",IF(C230="Futures","",IF(C230="Options Sell",IF(INDEX([1]AB4!X:X,MATCH(A225,[1]AB4!B:B,0))="","",INDEX([1]AB4!X:X,MATCH(A225,[1]AB4!B:B,0))))))</f>
        <v/>
      </c>
      <c r="AA225" s="28" t="str">
        <f>IF(C225="","",IF(C230="Futures","",IF(C230="Options Sell",IF(VLOOKUP(A225,[1]AB4!B:CL,23,FALSE)="","",VLOOKUP(A225,[1]AB4!B:CL,24,FALSE)))))</f>
        <v/>
      </c>
      <c r="AB225" s="29"/>
      <c r="AC225" s="29"/>
    </row>
    <row r="226" spans="1:29" ht="34.5" hidden="1" customHeight="1" x14ac:dyDescent="0.2">
      <c r="A226" s="15" t="str">
        <f>IF(C225="","",CONCATENATE(C226,[1]AB5!$A$5))</f>
        <v/>
      </c>
      <c r="B226" s="30" t="str">
        <f>IF(C225="","",[1]AB5!$B$60)</f>
        <v/>
      </c>
      <c r="C226" s="31" t="str">
        <f t="array" ref="C226">IF(C225="","",IF(C230="Futures","",IF(C230="Options Sell",INDEX([1]AB2!B:B,MATCH(C225,[1]AB2!A:A,0)))))</f>
        <v/>
      </c>
      <c r="D226" s="32"/>
      <c r="E226" s="33"/>
      <c r="F226" s="34"/>
      <c r="G226" s="35" t="str">
        <f t="array" ref="G226">IF(C225="","",IF(C230="Futures","",IF(C230="Options Sell",CONCATENATE("( ",INDEX([1]AB4!BT:BT,MATCH(A226,[1]AB4!B:B))," ) &amp; ",INDEX([1]AB4!BW:BW,MATCH(A226,[1]AB4!B:B))," ",INDEX([1]AB4!BX:BX,MATCH(A226,[1]AB4!B:B))," ",INDEX([1]AB4!BY:BY,MATCH(A226,[1]AB4!B:B))),IF(C230="Options Buy",CONCATENATE("( ",INDEX([1]AB4!BP:BP,MATCH(A228,[1]AB4!B:B,0))," ",INDEX([1]AB4!BQ:BQ,MATCH(A228,[1]AB4!B:B,0))," ",TEXT(INDEX([1]AB4!BR:BR,MATCH(A228,[1]AB4!B:B,0)),"0.00%")," ) &amp; ",INDEX([1]AB4!BS:BS,MATCH(A228,[1]AB4!B:B,0)))))))</f>
        <v/>
      </c>
      <c r="H226" s="35" t="str">
        <f t="array" ref="H226">IF(C225="","",IF(C230="Futures","",IF(C230="Options Sell",CONCATENATE(INDEX([1]AB4!CG:CG,MATCH(A226,[1]AB4!B:B)),[1]AB5!$H$60,TEXT(INDEX([1]AB4!CH:CH,MATCH(A226,[1]AB4!B:B)),"0.00%")))))</f>
        <v/>
      </c>
      <c r="I226" s="36" t="str">
        <f t="array" ref="I226">IF(C225="","",IF(C230="Futures","",IF(C230="Options Sell",CONCATENATE(INDEX([1]AB4!CJ:CJ,MATCH(A226,[1]AB4!B:B)),[1]AB5!$I$60))))</f>
        <v/>
      </c>
      <c r="J226" s="33"/>
      <c r="K226" s="34"/>
      <c r="L226" s="37" t="str">
        <f>IF(C225="","",IF(C230="Futures","",IF(C230="Options Sell",[1]AB5!$G$5,IF(C230="Options Buy",[1]AB5!$L$93))))</f>
        <v/>
      </c>
      <c r="M226" s="35" t="str">
        <f t="array" ref="M226">IF(C225="","",IF(C230="Futures","",IF(C230="Options Sell",IF(INDEX([1]AB4!AL:AL,MATCH(A226,[1]AB4!B:B,0))="","",CONCATENATE(INDEX([1]AB4!AA:AA,MATCH(A226,[1]AB4!B:B,0))," ( ",INDEX([1]AB4!AE:AE,MATCH(A226,[1]AB4!B:B,0)),INDEX([1]AB4!AF:AF,MATCH(A226,[1]AB4!B:B,0)),TEXT(INDEX([1]AB4!AG:AG,MATCH(A226,[1]AB4!B:B,0)),"0.00%")," &amp; ",INDEX([1]AB4!AK:AK,MATCH(A226,[1]AB4!B:B,0)),INDEX([1]AB4!AJ:AJ,MATCH(A226,[1]AB4!B:B,0)),TEXT(INDEX([1]AB4!AL:AL,MATCH(A226,[1]AB4!B:B,0)),"0.00%")," )")))))</f>
        <v/>
      </c>
      <c r="N226" s="38" t="str">
        <f t="array" ref="N226">IF(C225="","",IF(C230="Futures","",IF(C230="Options Sell",INDEX([1]AB4!AM:AM,MATCH(A226,[1]AB4!B:B,0)))))</f>
        <v/>
      </c>
      <c r="O226" s="35" t="str">
        <f t="array" ref="O226">IF(C225="","",IF(C230="Futures","",IF(C230="Options Sell",IF(INDEX([1]AB4!AO:AO,MATCH(A226,[1]AB4!B:B,0))="","",CONCATENATE(INDEX([1]AB4!AA:AA,MATCH(A226,[1]AB4!B:B,0))," ( ",INDEX([1]AB4!AE:AE,MATCH(A226,[1]AB4!B:B,0))," &amp; ",INDEX([1]AB4!AN:AN,MATCH(A226,[1]AB4!B:B,0)),INDEX([1]AB4!AJ:AJ,MATCH(A226,[1]AB4!B:B,0)),TEXT(INDEX([1]AB4!AO:AO,MATCH(A226,[1]AB4!B:B,0)),"0.00%")," )")))))</f>
        <v/>
      </c>
      <c r="P226" s="39" t="str">
        <f t="array" ref="P226">IF(C225="","",IF(C230="Futures","",IF(C230="Options Sell",IF(INDEX([1]AB4!AO:AO,MATCH(A226,[1]AB4!B:B,0))="","",INDEX([1]AB4!AP:AP,MATCH(A226,[1]AB4!B:B,0))))))</f>
        <v/>
      </c>
      <c r="Q226" s="40"/>
      <c r="R226" s="35" t="str">
        <f t="array" ref="R226">IF(C225="","",IF(C230="Futures","",IF(C230="Options Sell",IF(INDEX([1]AB4!AR:AR,MATCH(A226,[1]AB4!B:B,0))="","",CONCATENATE(INDEX([1]AB4!AA:AA,MATCH(A226,[1]AB4!B:B,0))," ( ",INDEX([1]AB4!AE:AE,MATCH(A226,[1]AB4!B:B,0))," &amp; ",INDEX([1]AB4!AQ:AQ,MATCH(A226,[1]AB4!B:B,0)),INDEX([1]AB4!AJ:AJ,MATCH(A226,[1]AB4!B:B,0)),TEXT(INDEX([1]AB4!AR:AR,MATCH(A226,[1]AB4!B:B,0)),"0.00%")," )")))))</f>
        <v/>
      </c>
      <c r="S226" s="38" t="str">
        <f t="array" ref="S226">IF(C225="","",IF(C230="Futures","",IF(C230="Options Sell",IF(INDEX([1]AB4!AR:AR,MATCH(A226,[1]AB4!B:B,0))="","",INDEX([1]AB4!AS:AS,MATCH(A226,[1]AB4!B:B,0))))))</f>
        <v/>
      </c>
      <c r="T226" s="35" t="str">
        <f t="array" ref="T226">IF(C225="","",IF(C230="Futures","",IF(C230="Options Sell",IF(INDEX([1]AB4!AU:AU,MATCH(A226,[1]AB4!B:B))="","",CONCATENATE(INDEX([1]AB4!AA:AA,MATCH(A226,[1]AB4!B:B))," ( ",INDEX([1]AB4!AE:AE,MATCH(A226,[1]AB4!B:B))," &amp; ",INDEX([1]AB4!AT:AT,MATCH(A226,[1]AB4!B:B)),INDEX([1]AB4!AJ:AJ,MATCH(A226,[1]AB4!B:B)),TEXT(INDEX([1]AB4!AU:AU,MATCH(A226,[1]AB4!B:B)),"0.00%")," )")))))</f>
        <v/>
      </c>
      <c r="U226" s="38" t="str">
        <f t="array" ref="U226">IF(C225="","",IF(C230="Futures","",IF(C230="Options Sell",IF(INDEX([1]AB4!AU:AU,MATCH(A226,[1]AB4!B:B,0))="","",INDEX([1]AB4!AV:AV,MATCH(A226,[1]AB4!B:B,0))))))</f>
        <v/>
      </c>
      <c r="V226" s="35" t="str">
        <f t="array" ref="V226">IF(C225="","",IF(C230="Futures","",IF(C230="Options Sell",IF(INDEX([1]AB4!AX:AX,MATCH(A226,[1]AB4!B:B,0))="","",CONCATENATE(INDEX([1]AB4!AA:AA,MATCH(A226,[1]AB4!B:B,0))," ( ",INDEX([1]AB4!AE:AE,MATCH(A226,[1]AB4!B:B,0))," &amp; ",INDEX([1]AB4!AW:AW,MATCH(A226,[1]AB4!B:B,0)),INDEX([1]AB4!AJ:AJ,MATCH(A226,[1]AB4!B:B,0)),TEXT(INDEX([1]AB4!AX:AX,MATCH(A226,[1]AB4!B:B,0)),"0.00%")," )")))))</f>
        <v/>
      </c>
      <c r="W226" s="38" t="str">
        <f t="array" ref="W226">IF(C225="","",IF(C230="Futures","",IF(C230="Options Sell",IF(INDEX([1]AB4!AX:AX,MATCH(A226,[1]AB4!B:B,0))="","",INDEX([1]AB4!AY:AY,MATCH(A226,[1]AB4!B:B,0))))))</f>
        <v/>
      </c>
      <c r="X226" s="35" t="str">
        <f t="array" ref="X226">IF(C225="","",IF(C230="Futures","",IF(C230="Options Sell",IF(INDEX([1]AB4!BA:BA,MATCH(A226,[1]AB4!B:B,0))="","",CONCATENATE(INDEX([1]AB4!AA:AA,MATCH(A226,[1]AB4!B:B,0))," ( ",INDEX([1]AB4!AE:AE,MATCH(A226,[1]AB4!B:B,0))," &amp; ",INDEX([1]AB4!AW:AW,MATCH(A226,[1]AB4!B:B,0)),INDEX([1]AB4!AJ:AJ,MATCH(A226,[1]AB4!B:B,0)),TEXT(INDEX([1]AB4!AX:AX,MATCH(A226,[1]AB4!B:B,0)),"0.00%")," )")))))</f>
        <v/>
      </c>
      <c r="Y226" s="38" t="str">
        <f t="array" ref="Y226">IF(C225="","",IF(C230="Futures","",IF(C230="Options Sell",IF(INDEX([1]AB4!BA:BA,MATCH(A226,[1]AB4!B:B,0))="","",INDEX([1]AB4!AY:AY,MATCH(A226,[1]AB4!B:B,0))))))</f>
        <v/>
      </c>
      <c r="Z226" s="41" t="str">
        <f t="array" ref="Z226">IF(C225="","",IF(C230="Futures","",IF(C230="Options Sell",IF(INDEX([1]AB4!BD:BD,MATCH(A225,[1]AB4!B:B,0))="","",INDEX([1]AB4!AZ:AZ,MATCH(A225,[1]AB4!B:B,0))))))</f>
        <v/>
      </c>
      <c r="AA226" s="42" t="str">
        <f>IF(C225="","",IF(C230="Futures","",IF(C230="Options Sell",IF(VLOOKUP(A226,[1]AB4!B:CL,55,FALSE)="","",VLOOKUP(A226,[1]AB4!B:CL,53,FALSE)))))</f>
        <v/>
      </c>
      <c r="AB226" s="29"/>
      <c r="AC226" s="29"/>
    </row>
    <row r="227" spans="1:29" ht="6" hidden="1" customHeight="1" x14ac:dyDescent="0.2">
      <c r="A227" s="15" t="str">
        <f>IF(C225="","",CONCATENATE(C226,[1]AB5!A238))</f>
        <v/>
      </c>
      <c r="B227" s="43" t="str">
        <f>IF(C225="","",[1]AB5!$B$61)</f>
        <v/>
      </c>
      <c r="C227" s="44" t="str">
        <f t="array" ref="C227">IF(C225="","",IF(C230="Futures","",IF(C230="Options Sell",INDEX([1]AB2!N:N,MATCH(C225,[1]AB2!A:A,0)))))</f>
        <v/>
      </c>
      <c r="D227" s="32"/>
      <c r="E227" s="33"/>
      <c r="F227" s="45"/>
      <c r="G227" s="46"/>
      <c r="H227" s="46"/>
      <c r="I227" s="47"/>
      <c r="J227" s="33"/>
      <c r="K227" s="45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29"/>
      <c r="AC227" s="29"/>
    </row>
    <row r="228" spans="1:29" ht="39" hidden="1" customHeight="1" x14ac:dyDescent="0.2">
      <c r="A228" s="15" t="str">
        <f>IF(C225="","",CONCATENATE(C226,[1]AB5!$A$7))</f>
        <v/>
      </c>
      <c r="B228" s="48"/>
      <c r="C228" s="49"/>
      <c r="D228" s="32"/>
      <c r="E228" s="33"/>
      <c r="F228" s="50" t="str">
        <f>IF(C225="","",IF(C230="Futures","",IF(C230="Options Sell",[1]AB5!$F$62,IF(C230="Options Buy",[1]AB5!$F$95))))</f>
        <v/>
      </c>
      <c r="G228" s="20" t="str">
        <f t="array" ref="G228">IF(C225="","",IF(C230="Futures","",IF(C230="Options Sell",CONCATENATE("( ",INDEX([1]AB4!BP:BP,MATCH(A228,[1]AB4!B:B))," ",INDEX([1]AB4!BQ:BQ,MATCH(A228,[1]AB4!B:B))," ",TEXT(INDEX([1]AB4!BR:BR,MATCH(A228,[1]AB4!B:B)),"0.00%")," ) &amp; ",INDEX([1]AB4!BS:BS,MATCH(A228,[1]AB4!B:B))),IF(C230="Options Buy",CONCATENATE("( ",INDEX([1]AB4!BP:BP,MATCH(A228,[1]AB4!B:B,0))," ",INDEX([1]AB4!BQ:BQ,MATCH(A228,[1]AB4!B:B,0))," ",TEXT(INDEX([1]AB4!BR:BR,MATCH(A228,[1]AB4!B:B,0)),"0.00%")," ) &amp; ",INDEX([1]AB4!BS:BS,MATCH(A228,[1]AB4!B:B,0)))))))</f>
        <v/>
      </c>
      <c r="H228" s="20" t="str">
        <f t="array" ref="H228">IF(C225="","",IF(C230="Futures","",IF(C230="Options Sell",CONCATENATE(INDEX([1]AB4!CE:CE,MATCH(A228,[1]AB4!B:B)),[1]AB5!$H$59,TEXT(INDEX([1]AB4!CF:CF,MATCH(A228,[1]AB4!B:B)),"0.00%")))))</f>
        <v/>
      </c>
      <c r="I228" s="21" t="str">
        <f t="array" ref="I228">IF(C225="","",IF(C230="Futures","",IF(C230="Options Sell",CONCATENATE(INDEX([1]AB4!CI:CI,MATCH(A228,[1]AB4!B:B)),[1]AB5!$I$59))))</f>
        <v/>
      </c>
      <c r="J228" s="33"/>
      <c r="K228" s="50" t="str">
        <f>IF(C225="","",IF(C230="Futures","",IF(C230="Options Sell",[1]AB5!$K$62,IF(C230="Options Buy",[1]AB5!$K$95))))</f>
        <v/>
      </c>
      <c r="L228" s="23" t="str">
        <f>IF(C225="","",IF(C230="Futures","",IF(C230="Options Sell",[1]AB5!$G$7,IF(C230="Options Buy",[1]AB5!$L$95))))</f>
        <v/>
      </c>
      <c r="M228" s="20" t="str">
        <f t="array" ref="M228">IF(C225="","",IF(C230="Futures","",IF(C230="Options Sell",CONCATENATE(INDEX([1]AB4!G:G,MATCH(A228,[1]AB4!B:B,0)),INDEX([1]AB4!H:H,MATCH(A228,[1]AB4!B:B,0)),TEXT(INDEX([1]AB4!I:I,MATCH(A228,[1]AB4!B:B,0)),"0.00%")))))</f>
        <v/>
      </c>
      <c r="N228" s="24" t="str">
        <f t="array" ref="N228">IF(C225="","",IF(C230="Futures","",IF(C230="Options Sell",INDEX([1]AB4!J:J,MATCH(A228,[1]AB4!B:B,0)))))</f>
        <v/>
      </c>
      <c r="O228" s="25" t="str">
        <f t="array" ref="O228">IF(C225="","",IF(C230="Futures","",IF(C230="Options Sell",IF(INDEX([1]AB4!N:N,MATCH(A228,[1]AB4!B:B,0))="","",CONCATENATE(INDEX([1]AB4!L:L,MATCH(A228,[1]AB4!B:B,0)),INDEX([1]AB4!M:M,MATCH(A228,[1]AB4!B:B,0)),TEXT(INDEX([1]AB4!N:N,MATCH(A228,[1]AB4!B:B,0)),"0.00%"))))))</f>
        <v/>
      </c>
      <c r="P228" s="26" t="str">
        <f t="array" ref="P228">IF(C225="","",IF(C230="Futures","",IF(C230="Options Sell",IF(INDEX([1]AB4!N:N,MATCH(A228,[1]AB4!B:B,0))="","",INDEX([1]AB4!O:O,MATCH(A228,[1]AB4!B:B,0))))))</f>
        <v/>
      </c>
      <c r="Q228" s="27"/>
      <c r="R228" s="25" t="str">
        <f t="array" ref="R228">IF(C225="","",IF(C230="Futures","",IF(C230="Options Sell",IF(INDEX([1]AB4!P:P,MATCH(A228,[1]AB4!B:B,0))="","",CONCATENATE(INDEX([1]AB4!L:L,MATCH(A228,[1]AB4!B:B,0)),INDEX([1]AB4!M:M,MATCH(A228,[1]AB4!B:B,0)),TEXT(INDEX([1]AB4!P:P,MATCH(A228,[1]AB4!B:B,0)),"0.00%"))))))</f>
        <v/>
      </c>
      <c r="S228" s="24" t="str">
        <f t="array" ref="S228">IF(C225="","",IF(C230="Futures","",IF(C230="Options Sell",IF(INDEX([1]AB4!P:P,MATCH(A228,[1]AB4!B:B,0))="","",INDEX([1]AB4!Q:Q,MATCH(A228,[1]AB4!B:B,0))))))</f>
        <v/>
      </c>
      <c r="T228" s="25" t="str">
        <f t="array" ref="T228">IF(C225="","",IF(C230="Futures","",IF(C230="Options Sell",IF(INDEX([1]AB4!R:R,MATCH(A228,[1]AB4!B:B,0))="","",CONCATENATE(INDEX([1]AB4!L:L,MATCH(A228,[1]AB4!B:B,0)),INDEX([1]AB4!M:M,MATCH(A228,[1]AB4!B:B,0)),TEXT(INDEX([1]AB4!R:R,MATCH(A228,[1]AB4!B:B,0)),"0.00%"))))))</f>
        <v/>
      </c>
      <c r="U228" s="24" t="str">
        <f t="array" ref="U228">IF(C225="","",IF(C230="Futures","",IF(C230="Options Sell",IF(INDEX([1]AB4!R:R,MATCH(A228,[1]AB4!B:B,0))="","",INDEX([1]AB4!S:S,MATCH(A228,[1]AB4!B:B,0))))))</f>
        <v/>
      </c>
      <c r="V228" s="25" t="str">
        <f t="array" ref="V228">IF(C228="","",IF(C230="Futures","",IF(C230="Options Sell",IF(INDEX([1]AB4!T:T,MATCH(A228,[1]AB4!B:B,0))="","",CONCATENATE(INDEX([1]AB4!L:L,MATCH(A228,[1]AB4!B:B,0)),INDEX([1]AB4!M:M,MATCH(A228,[1]AB4!B:B,0)),TEXT(INDEX([1]AB4!T:T,MATCH(A228,[1]AB4!B:B,0)),"0.00%"))))))</f>
        <v/>
      </c>
      <c r="W228" s="24" t="str">
        <f t="array" ref="W228">IF(C225="","",IF(C230="Futures","",IF(C230="Options Sell",IF(INDEX([1]AB4!T:T,MATCH(A228,[1]AB4!B:B,0))="","",INDEX([1]AB4!U:U,MATCH(A228,[1]AB4!B:B,0))))))</f>
        <v/>
      </c>
      <c r="X228" s="25" t="str">
        <f t="array" ref="X228">IF(C225="","",IF(C230="Futures","",IF(C230="Options Sell",IF(INDEX([1]AB4!V:V,MATCH(A228,[1]AB4!B:B,0))="","",INDEX([1]AB4!V:V,MATCH(A228,[1]AB4!B:B,0))))))</f>
        <v/>
      </c>
      <c r="Y228" s="24" t="str">
        <f t="array" ref="Y228">IF(C225="","",IF(C230="Futures","",IF(C230="Options Sell",IF(INDEX([1]AB4!V:V,MATCH(A228,[1]AB4!B:B,0))="","",INDEX([1]AB4!W:W,MATCH(A228,[1]AB4!B:B,0))))))</f>
        <v/>
      </c>
      <c r="Z228" s="25" t="str">
        <f t="array" ref="Z228">IF(C225="","",IF(C230="Futures","",IF(C230="Options Sell",IF(INDEX([1]AB4!X:X,MATCH(A228,[1]AB4!B:B,0))="","",INDEX([1]AB4!X:X,MATCH(A228,[1]AB4!B:B,0))))))</f>
        <v/>
      </c>
      <c r="AA228" s="28" t="str">
        <f>IF(C225="","",IF(C230="Futures","",IF(C230="Options Sell",IF(VLOOKUP(A228,[1]AB4!B:CL,23,FALSE)="","",VLOOKUP(A228,[1]AB4!B:CL,24,FALSE)))))</f>
        <v/>
      </c>
      <c r="AB228" s="29"/>
      <c r="AC228" s="29"/>
    </row>
    <row r="229" spans="1:29" ht="34.5" hidden="1" customHeight="1" x14ac:dyDescent="0.2">
      <c r="A229" s="15" t="str">
        <f>IF(C225="","",CONCATENATE(C226,[1]AB5!$A$8))</f>
        <v/>
      </c>
      <c r="B229" s="51"/>
      <c r="C229" s="52"/>
      <c r="D229" s="34"/>
      <c r="E229" s="53"/>
      <c r="F229" s="34"/>
      <c r="G229" s="35" t="str">
        <f t="array" ref="G229">IF(C225="","",IF(C230="Futures","",IF(C230="Options Sell",CONCATENATE("( ",INDEX([1]AB4!BT:BT,MATCH(A229,[1]AB4!B:B))," ) &amp; ",INDEX([1]AB4!BW:BW,MATCH(A229,[1]AB4!B:B))," ",INDEX([1]AB4!BX:BX,MATCH(A229,[1]AB4!B:B))," ",INDEX([1]AB4!BY:BY,MATCH(A229,[1]AB4!B:B))),IF(C230="Options Buy",CONCATENATE("( ",INDEX([1]AB4!BP:BP,MATCH(A229,[1]AB4!B:B,0))," ",INDEX([1]AB4!BQ:BQ,MATCH(A229,[1]AB4!B:B,0))," ",TEXT(INDEX([1]AB4!BR:BR,MATCH(A229,[1]AB4!B:B,0)),"0.00%")," ) &amp; ",INDEX([1]AB4!BS:BS,MATCH(A229,[1]AB4!B:B,0)))))))</f>
        <v/>
      </c>
      <c r="H229" s="35" t="str">
        <f t="array" ref="H229">IF(C225="","",IF(C230="Futures","",IF(C230="Options Sell",CONCATENATE(INDEX([1]AB4!CG:CG,MATCH(A229,[1]AB4!B:B)),[1]AB5!$H$60,TEXT(INDEX([1]AB4!CH:CH,MATCH(A229,[1]AB4!B:B)),"0.00%")))))</f>
        <v/>
      </c>
      <c r="I229" s="36" t="str">
        <f t="array" ref="I229">IF(C225="","",IF(C230="Futures","",IF(C230="Options Sell",CONCATENATE(INDEX([1]AB4!CJ:CJ,MATCH(A229,[1]AB4!B:B)),[1]AB5!$I$60))))</f>
        <v/>
      </c>
      <c r="J229" s="53"/>
      <c r="K229" s="34"/>
      <c r="L229" s="37" t="str">
        <f>IF(C225="","",IF(C230="Futures","",IF(C230="Options Sell",[1]AB5!$G$8,IF(C230="Options Buy",[1]AB5!$L$96))))</f>
        <v/>
      </c>
      <c r="M229" s="35" t="str">
        <f t="array" ref="M229">IF(C225="","",IF(C230="Futures","",IF(C230="Options Sell",IF(INDEX([1]AB4!AL:AL,MATCH(A229,[1]AB4!B:B,0))="","",CONCATENATE(INDEX([1]AB4!AA:AA,MATCH(A229,[1]AB4!B:B,0))," ( ",INDEX([1]AB4!AE:AE,MATCH(A229,[1]AB4!B:B,0)),INDEX([1]AB4!AF:AF,MATCH(A229,[1]AB4!B:B,0)),TEXT(INDEX([1]AB4!AG:AG,MATCH(A229,[1]AB4!B:B,0)),"0.00%")," &amp; ",INDEX([1]AB4!AK:AK,MATCH(A229,[1]AB4!B:B,0)),INDEX([1]AB4!AJ:AJ,MATCH(A229,[1]AB4!B:B,0)),TEXT(INDEX([1]AB4!AL:AL,MATCH(A229,[1]AB4!B:B,0)),"0.00%")," )")))))</f>
        <v/>
      </c>
      <c r="N229" s="38" t="str">
        <f t="array" ref="N229">IF(C225="","",IF(C230="Futures","",IF(C230="Options Sell",INDEX([1]AB4!AM:AM,MATCH(A229,[1]AB4!B:B,0)))))</f>
        <v/>
      </c>
      <c r="O229" s="35" t="str">
        <f t="array" ref="O229">IF(C225="","",IF(C230="Futures","",IF(C230="Options Sell",IF(INDEX([1]AB4!AO:AO,MATCH(A229,[1]AB4!B:B,0))="","",CONCATENATE(INDEX([1]AB4!AA:AA,MATCH(A229,[1]AB4!B:B,0))," ( ",INDEX([1]AB4!AE:AE,MATCH(A229,[1]AB4!B:B,0))," &amp; ",INDEX([1]AB4!AN:AN,MATCH(A229,[1]AB4!B:B,0)),INDEX([1]AB4!AJ:AJ,MATCH(A229,[1]AB4!B:B,0)),TEXT(INDEX([1]AB4!AO:AO,MATCH(A229,[1]AB4!B:B,0)),"0.00%")," )")))))</f>
        <v/>
      </c>
      <c r="P229" s="39" t="str">
        <f t="array" ref="P229">IF(C225="","",IF(C230="Futures","",IF(C230="Options Sell",IF(INDEX([1]AB4!AO:AO,MATCH(A229,[1]AB4!B:B,0))="","",INDEX([1]AB4!AP:AP,MATCH(A229,[1]AB4!B:B,0))))))</f>
        <v/>
      </c>
      <c r="Q229" s="40"/>
      <c r="R229" s="35" t="str">
        <f t="array" ref="R229">IF(C225="","",IF(C230="Futures","",IF(C230="Options Sell",IF(INDEX([1]AB4!AR:AR,MATCH(A229,[1]AB4!B:B,0))="","",CONCATENATE(INDEX([1]AB4!AA:AA,MATCH(A229,[1]AB4!B:B,0))," ( ",INDEX([1]AB4!AE:AE,MATCH(A229,[1]AB4!B:B,0))," &amp; ",INDEX([1]AB4!AQ:AQ,MATCH(A229,[1]AB4!B:B,0)),INDEX([1]AB4!AJ:AJ,MATCH(A229,[1]AB4!B:B,0)),TEXT(INDEX([1]AB4!AR:AR,MATCH(A229,[1]AB4!B:B,0)),"0.00%")," )")))))</f>
        <v/>
      </c>
      <c r="S229" s="38" t="str">
        <f t="array" ref="S229">IF(C225="","",IF(C230="Futures","",IF(C230="Options Sell",IF(INDEX([1]AB4!AR:AR,MATCH(A229,[1]AB4!B:B,0))="","",INDEX([1]AB4!AS:AS,MATCH(A229,[1]AB4!B:B,0))))))</f>
        <v/>
      </c>
      <c r="T229" s="35" t="str">
        <f t="array" ref="T229">IF(C225="","",IF(C230="Futures","",IF(C230="Options Sell",IF(INDEX([1]AB4!AU:AU,MATCH(A229,[1]AB4!B:B))="","",CONCATENATE(INDEX([1]AB4!AA:AA,MATCH(A229,[1]AB4!B:B))," ( ",INDEX([1]AB4!AE:AE,MATCH(A229,[1]AB4!B:B))," &amp; ",INDEX([1]AB4!AT:AT,MATCH(A229,[1]AB4!B:B)),INDEX([1]AB4!AJ:AJ,MATCH(A229,[1]AB4!B:B)),TEXT(INDEX([1]AB4!AU:AU,MATCH(A229,[1]AB4!B:B)),"0.00%")," )")))))</f>
        <v/>
      </c>
      <c r="U229" s="38" t="str">
        <f t="array" ref="U229">IF(C225="","",IF(C230="Futures","",IF(C230="Options Sell",IF(INDEX([1]AB4!AU:AU,MATCH(A229,[1]AB4!B:B,0))="","",INDEX([1]AB4!AV:AV,MATCH(A229,[1]AB4!B:B,0))))))</f>
        <v/>
      </c>
      <c r="V229" s="35" t="str">
        <f t="array" ref="V229">IF(C228="","",IF(C230="Futures","",IF(C230="Options Sell",IF(INDEX([1]AB4!AX:AX,MATCH(A229,[1]AB4!B:B,0))="","",CONCATENATE(INDEX([1]AB4!AA:AA,MATCH(A229,[1]AB4!B:B,0))," ( ",INDEX([1]AB4!AE:AE,MATCH(A229,[1]AB4!B:B,0))," &amp; ",INDEX([1]AB4!AW:AW,MATCH(A229,[1]AB4!B:B,0)),INDEX([1]AB4!AJ:AJ,MATCH(A229,[1]AB4!B:B,0)),TEXT(INDEX([1]AB4!AX:AX,MATCH(A229,[1]AB4!B:B,0)),"0.00%")," )")))))</f>
        <v/>
      </c>
      <c r="W229" s="38" t="str">
        <f t="array" ref="W229">IF(C225="","",IF(C230="Futures","",IF(C230="Options Sell",IF(INDEX([1]AB4!AX:AX,MATCH(A229,[1]AB4!B:B,0))="","",INDEX([1]AB4!AY:AY,MATCH(A229,[1]AB4!B:B,0))))))</f>
        <v/>
      </c>
      <c r="X229" s="35" t="str">
        <f t="array" ref="X229">IF(C225="","",IF(C230="Futures","",IF(C230="Options Sell",IF(INDEX([1]AB4!BA:BA,MATCH(A229,[1]AB4!B:B,0))="","",CONCATENATE(INDEX([1]AB4!AA:AA,MATCH(A229,[1]AB4!B:B,0))," ( ",INDEX([1]AB4!AE:AE,MATCH(A229,[1]AB4!B:B,0))," &amp; ",INDEX([1]AB4!AW:AW,MATCH(A229,[1]AB4!B:B,0)),INDEX([1]AB4!AJ:AJ,MATCH(A229,[1]AB4!B:B,0)),TEXT(INDEX([1]AB4!AX:AX,MATCH(A229,[1]AB4!B:B,0)),"0.00%")," )")))))</f>
        <v/>
      </c>
      <c r="Y229" s="38" t="str">
        <f t="array" ref="Y229">IF(C225="","",IF(C230="Futures","",IF(C230="Options Sell",IF(INDEX([1]AB4!BA:BA,MATCH(A229,[1]AB4!B:B,0))="","",INDEX([1]AB4!AY:AY,MATCH(A229,[1]AB4!B:B,0))))))</f>
        <v/>
      </c>
      <c r="Z229" s="41" t="str">
        <f t="array" ref="Z229">IF(C225="","",IF(C230="Futures","",IF(C230="Options Sell",IF(INDEX([1]AB4!BD:BD,MATCH(A228,[1]AB4!B:B,0))="","",INDEX([1]AB4!AZ:AZ,MATCH(A228,[1]AB4!B:B,0))))))</f>
        <v/>
      </c>
      <c r="AA229" s="42" t="str">
        <f>IF(C225="","",IF(C230="Futures","",IF(C230="Options Sell",IF(VLOOKUP(A229,[1]AB4!B:CL,55,FALSE)="","",VLOOKUP(A229,[1]AB4!B:CL,53,FALSE)))))</f>
        <v/>
      </c>
      <c r="AB229" s="29"/>
      <c r="AC229" s="29"/>
    </row>
    <row r="230" spans="1:29" ht="15.75" hidden="1" customHeight="1" x14ac:dyDescent="0.2">
      <c r="A230" s="15" t="str">
        <f>IF(C225="","",CONCATENATE(C226,[1]AB5!$A$9))</f>
        <v/>
      </c>
      <c r="B230" s="30" t="str">
        <f>IF(C225="","",[1]AB5!$B$64)</f>
        <v/>
      </c>
      <c r="C230" s="31" t="str">
        <f t="array" ref="C230">IF(C225="","",INDEX([1]AB2!C:C,MATCH(C225,[1]AB2!A:A,0)))</f>
        <v/>
      </c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29"/>
      <c r="AC230" s="29"/>
    </row>
    <row r="231" spans="1:29" ht="15.75" hidden="1" customHeight="1" x14ac:dyDescent="0.2">
      <c r="A231" s="15" t="str">
        <f>IF(C225="","",CONCATENATE(C226,[1]AB5!$A$10))</f>
        <v/>
      </c>
      <c r="B231" s="30" t="str">
        <f>IF(C225="","",[1]AB5!$B$65)</f>
        <v/>
      </c>
      <c r="C231" s="31" t="str">
        <f t="array" ref="C231">IF(C225="","",IF(C230="Futures","",IF(C230="Options Sell",INDEX([1]AB2!E:E,MATCH(C225,[1]AB2!A:A,0)))))</f>
        <v/>
      </c>
      <c r="D231" s="50" t="str">
        <f>IF(C225="","",IF(C230="Futures","",IF(C230="Options Sell",[1]AB5!$D$65,IF(C230="Options Buy",[1]AB5!$D$98))))</f>
        <v/>
      </c>
      <c r="E231" s="19"/>
      <c r="F231" s="18" t="str">
        <f>IF(C225="","",IF(C230="Futures","",IF(C230="Options Sell",[1]AB5!$F$65)))</f>
        <v/>
      </c>
      <c r="G231" s="20" t="str">
        <f t="array" ref="G231">IF(C225="","",IF(C230="Futures","",IF(C230="Options Sell",CONCATENATE("( ",INDEX([1]AB4!BP:BP,MATCH(A231,[1]AB4!B:B))," ",INDEX([1]AB4!BQ:BQ,MATCH(A231,[1]AB4!B:B))," ",TEXT(INDEX([1]AB4!BR:BR,MATCH(A231,[1]AB4!B:B)),"0.00%")," ) &amp; ",INDEX([1]AB4!BS:BS,MATCH(A231,[1]AB4!B:B))),IF(C230="Options Buy",CONCATENATE("( ",INDEX([1]AB4!BP:BP,MATCH(A231,[1]AB4!B:B,0))," ",INDEX([1]AB4!BQ:BQ,MATCH(A231,[1]AB4!B:B,0))," ",TEXT(INDEX([1]AB4!BR:BR,MATCH(A231,[1]AB4!B:B,0)),"0.00%")," ) &amp; ",INDEX([1]AB4!BS:BS,MATCH(A231,[1]AB4!B:B,0)))))))</f>
        <v/>
      </c>
      <c r="H231" s="20" t="str">
        <f t="array" ref="H231">IF(C225="","",IF(C230="Futures","",IF(C230="Options Sell",CONCATENATE(INDEX([1]AB4!CE:CE,MATCH(A231,[1]AB4!B:B)),[1]AB5!$H$59,TEXT(INDEX([1]AB4!CF:CF,MATCH(A231,[1]AB4!B:B)),"0.00%")))))</f>
        <v/>
      </c>
      <c r="I231" s="21" t="str">
        <f t="array" ref="I231">IF(C225="","",IF(C230="Futures","",IF(C230="Options Sell",CONCATENATE(INDEX([1]AB4!CI:CI,MATCH(A231,[1]AB4!B:B)),[1]AB5!$I$59))))</f>
        <v/>
      </c>
      <c r="J231" s="55" t="str">
        <f>IF(C225="","",IF(C230="Futures","",IF(C230="Options Sell",[1]AB5!$J$65,IF(C230="Options Buy",[1]AB5!$J$98))))</f>
        <v/>
      </c>
      <c r="K231" s="18" t="str">
        <f>IF(C225="","",IF(C230="Futures","",IF(C230="Options Sell",[1]AB5!$K$65,IF(C230="Options Buy",[1]AB5!$K$98))))</f>
        <v/>
      </c>
      <c r="L231" s="23" t="str">
        <f>IF(C225="","",IF(C230="Futures","",IF(C230="Options Sell",[1]AB5!$G$10,IF(C230="Options Buy",[1]AB5!$L$98))))</f>
        <v/>
      </c>
      <c r="M231" s="20" t="str">
        <f t="array" ref="M231">IF(C225="","",IF(C230="Futures","",IF(C230="Options Sell",CONCATENATE(INDEX([1]AB4!G:G,MATCH(A231,[1]AB4!B:B,0)),INDEX([1]AB4!H:H,MATCH(A231,[1]AB4!B:B,0)),TEXT(INDEX([1]AB4!I:I,MATCH(A231,[1]AB4!B:B,0)),"0.00%")))))</f>
        <v/>
      </c>
      <c r="N231" s="24" t="str">
        <f t="array" ref="N231">IF(C225="","",IF(C230="Futures","",IF(C230="Options Sell",INDEX([1]AB4!J:J,MATCH(A231,[1]AB4!B:B,0)))))</f>
        <v/>
      </c>
      <c r="O231" s="25" t="str">
        <f t="array" ref="O231">IF(C225="","",IF(C230="Futures","",IF(C230="Options Sell",IF(INDEX([1]AB4!N:N,MATCH(A231,[1]AB4!B:B,0))="","",CONCATENATE(INDEX([1]AB4!L:L,MATCH(A231,[1]AB4!B:B,0)),INDEX([1]AB4!M:M,MATCH(A231,[1]AB4!B:B,0)),TEXT(INDEX([1]AB4!N:N,MATCH(A231,[1]AB4!B:B,0)),"0.00%"))))))</f>
        <v/>
      </c>
      <c r="P231" s="26" t="str">
        <f t="array" ref="P231">IF(C225="","",IF(C230="Futures","",IF(C230="Options Sell",IF(INDEX([1]AB4!N:N,MATCH(A231,[1]AB4!B:B,0))="","",INDEX([1]AB4!O:O,MATCH(A231,[1]AB4!B:B,0))))))</f>
        <v/>
      </c>
      <c r="Q231" s="27"/>
      <c r="R231" s="25" t="str">
        <f t="array" ref="R231">IF(C225="","",IF(C230="Futures","",IF(C230="Options Sell",IF(INDEX([1]AB4!P:P,MATCH(A231,[1]AB4!B:B,0))="","",CONCATENATE(INDEX([1]AB4!L:L,MATCH(A231,[1]AB4!B:B,0)),INDEX([1]AB4!M:M,MATCH(A231,[1]AB4!B:B,0)),TEXT(INDEX([1]AB4!P:P,MATCH(A231,[1]AB4!B:B,0)),"0.00%"))))))</f>
        <v/>
      </c>
      <c r="S231" s="24" t="str">
        <f t="array" ref="S231">IF(C225="","",IF(C230="Futures","",IF(C230="Options Sell",IF(INDEX([1]AB4!P:P,MATCH(A231,[1]AB4!B:B,0))="","",INDEX([1]AB4!Q:Q,MATCH(A231,[1]AB4!B:B,0))))))</f>
        <v/>
      </c>
      <c r="T231" s="25" t="str">
        <f t="array" ref="T231">IF(C225="","",IF(C230="Futures","",IF(C230="Options Sell",IF(INDEX([1]AB4!R:R,MATCH(A231,[1]AB4!B:B,0))="","",CONCATENATE(INDEX([1]AB4!L:L,MATCH(A231,[1]AB4!B:B,0)),INDEX([1]AB4!M:M,MATCH(A231,[1]AB4!B:B,0)),TEXT(INDEX([1]AB4!R:R,MATCH(A231,[1]AB4!B:B,0)),"0.00%"))))))</f>
        <v/>
      </c>
      <c r="U231" s="24" t="str">
        <f t="array" ref="U231">IF(C225="","",IF(C230="Futures","",IF(C230="Options Sell",IF(INDEX([1]AB4!R:R,MATCH(A231,[1]AB4!B:B,0))="","",INDEX([1]AB4!S:S,MATCH(A231,[1]AB4!B:B,0))))))</f>
        <v/>
      </c>
      <c r="V231" s="25" t="str">
        <f t="array" ref="V231">IF(C231="","",IF(C230="Futures","",IF(C230="Options Sell",IF(INDEX([1]AB4!T:T,MATCH(A231,[1]AB4!B:B,0))="","",CONCATENATE(INDEX([1]AB4!L:L,MATCH(A231,[1]AB4!B:B,0)),INDEX([1]AB4!M:M,MATCH(A231,[1]AB4!B:B,0)),TEXT(INDEX([1]AB4!T:T,MATCH(A231,[1]AB4!B:B,0)),"0.00%"))))))</f>
        <v/>
      </c>
      <c r="W231" s="24" t="str">
        <f t="array" ref="W231">IF(C225="","",IF(C230="Futures","",IF(C230="Options Sell",IF(INDEX([1]AB4!T:T,MATCH(A231,[1]AB4!B:B,0))="","",INDEX([1]AB4!U:U,MATCH(A231,[1]AB4!B:B,0))))))</f>
        <v/>
      </c>
      <c r="X231" s="25" t="str">
        <f t="array" ref="X231">IF(C225="","",IF(C230="Futures","",IF(C230="Options Sell",IF(INDEX([1]AB4!V:V,MATCH(A231,[1]AB4!B:B,0))="","",INDEX([1]AB4!V:V,MATCH(A231,[1]AB4!B:B,0))))))</f>
        <v/>
      </c>
      <c r="Y231" s="24" t="str">
        <f t="array" ref="Y231">IF(C225="","",IF(C230="Futures","",IF(C230="Options Sell",IF(INDEX([1]AB4!V:V,MATCH(A231,[1]AB4!B:B,0))="","",INDEX([1]AB4!W:W,MATCH(A231,[1]AB4!B:B,0))))))</f>
        <v/>
      </c>
      <c r="Z231" s="25" t="str">
        <f t="array" ref="Z231">IF(C225="","",IF(C230="Futures","",IF(C230="Options Sell",IF(INDEX([1]AB4!X:X,MATCH(A231,[1]AB4!B:B,0))="","",INDEX([1]AB4!X:X,MATCH(A231,[1]AB4!B:B,0))))))</f>
        <v/>
      </c>
      <c r="AA231" s="28" t="str">
        <f>IF(C225="","",IF(C230="Futures","",IF(C230="Options Sell",IF(VLOOKUP(A231,[1]AB4!B:CL,23,FALSE)="","",VLOOKUP(A231,[1]AB4!B:CL,24,FALSE)))))</f>
        <v/>
      </c>
      <c r="AB231" s="29"/>
      <c r="AC231" s="29"/>
    </row>
    <row r="232" spans="1:29" ht="34.5" hidden="1" customHeight="1" x14ac:dyDescent="0.2">
      <c r="A232" s="15" t="str">
        <f>IF(C225="","",CONCATENATE(C226,[1]AB5!$A$11))</f>
        <v/>
      </c>
      <c r="B232" s="30" t="str">
        <f>IF(C225="","",[1]AB5!$B$66)</f>
        <v/>
      </c>
      <c r="C232" s="31" t="str">
        <f t="array" ref="C232">IF(C225="","",IF(C230="Futures","",IF(C230="Options Sell",INDEX([1]AB2!K:K,MATCH(C225,[1]AB2!A:A,0)))))</f>
        <v/>
      </c>
      <c r="D232" s="32"/>
      <c r="E232" s="33"/>
      <c r="F232" s="34"/>
      <c r="G232" s="35" t="str">
        <f t="array" ref="G232">IF(C225="","",IF(C230="Futures","",IF(C230="Options Sell",CONCATENATE("( ",INDEX([1]AB4!BT:BT,MATCH(A232,[1]AB4!B:B))," ) &amp; ",INDEX([1]AB4!BW:BW,MATCH(A232,[1]AB4!B:B))," ",INDEX([1]AB4!BX:BX,MATCH(A232,[1]AB4!B:B))," ",INDEX([1]AB4!BY:BY,MATCH(A232,[1]AB4!B:B))),IF(C230="Options Buy",CONCATENATE("( ",INDEX([1]AB4!BP:BP,MATCH(A232,[1]AB4!B:B,0))," ",INDEX([1]AB4!BQ:BQ,MATCH(A232,[1]AB4!B:B,0))," ",TEXT(INDEX([1]AB4!BR:BR,MATCH(A232,[1]AB4!B:B,0)),"0.00%")," ) &amp; ",INDEX([1]AB4!BS:BS,MATCH(A232,[1]AB4!B:B,0)))))))</f>
        <v/>
      </c>
      <c r="H232" s="35" t="str">
        <f t="array" ref="H232">IF(C225="","",IF(C230="Futures","",IF(C230="Options Sell",CONCATENATE(INDEX([1]AB4!CG:CG,MATCH(A232,[1]AB4!B:B)),[1]AB5!$H$60,TEXT(INDEX([1]AB4!CH:CH,MATCH(A232,[1]AB4!B:B)),"0.00%")))))</f>
        <v/>
      </c>
      <c r="I232" s="36" t="str">
        <f t="array" ref="I232">IF(C225="","",IF(C230="Futures","",IF(C230="Options Sell",CONCATENATE(INDEX([1]AB4!CJ:CJ,MATCH(A232,[1]AB4!B:B)),[1]AB5!$I$60))))</f>
        <v/>
      </c>
      <c r="J232" s="33"/>
      <c r="K232" s="34"/>
      <c r="L232" s="37" t="str">
        <f>IF(C225="","",IF(C230="Futures","",IF(C230="Options Sell",[1]AB5!$G$11,IF(C230="Options Buy",[1]AB5!$L$99))))</f>
        <v/>
      </c>
      <c r="M232" s="35" t="str">
        <f t="array" ref="M232">IF(C225="","",IF(C230="Futures","",IF(C230="Options Sell",IF(INDEX([1]AB4!AL:AL,MATCH(A232,[1]AB4!B:B,0))="","",CONCATENATE(INDEX([1]AB4!AA:AA,MATCH(A232,[1]AB4!B:B,0))," ( ",INDEX([1]AB4!AE:AE,MATCH(A232,[1]AB4!B:B,0)),INDEX([1]AB4!AF:AF,MATCH(A232,[1]AB4!B:B,0)),TEXT(INDEX([1]AB4!AG:AG,MATCH(A232,[1]AB4!B:B,0)),"0.00%")," &amp; ",INDEX([1]AB4!AK:AK,MATCH(A232,[1]AB4!B:B,0)),INDEX([1]AB4!AJ:AJ,MATCH(A232,[1]AB4!B:B,0)),TEXT(INDEX([1]AB4!AL:AL,MATCH(A232,[1]AB4!B:B,0)),"0.00%")," )")))))</f>
        <v/>
      </c>
      <c r="N232" s="38" t="str">
        <f t="array" ref="N232">IF(C225="","",IF(C230="Futures","",IF(C230="Options Sell",INDEX([1]AB4!AM:AM,MATCH(A232,[1]AB4!B:B,0)))))</f>
        <v/>
      </c>
      <c r="O232" s="35" t="str">
        <f t="array" ref="O232">IF(C225="","",IF(C230="Futures","",IF(C230="Options Sell",IF(INDEX([1]AB4!AO:AO,MATCH(A232,[1]AB4!B:B,0))="","",CONCATENATE(INDEX([1]AB4!AA:AA,MATCH(A232,[1]AB4!B:B,0))," ( ",INDEX([1]AB4!AE:AE,MATCH(A232,[1]AB4!B:B,0))," &amp; ",INDEX([1]AB4!AN:AN,MATCH(A232,[1]AB4!B:B,0)),INDEX([1]AB4!AJ:AJ,MATCH(A232,[1]AB4!B:B,0)),TEXT(INDEX([1]AB4!AO:AO,MATCH(A232,[1]AB4!B:B,0)),"0.00%")," )")))))</f>
        <v/>
      </c>
      <c r="P232" s="39" t="str">
        <f t="array" ref="P232">IF(C225="","",IF(C230="Futures","",IF(C230="Options Sell",IF(INDEX([1]AB4!AO:AO,MATCH(A232,[1]AB4!B:B,0))="","",INDEX([1]AB4!AP:AP,MATCH(A232,[1]AB4!B:B,0))))))</f>
        <v/>
      </c>
      <c r="Q232" s="40"/>
      <c r="R232" s="35" t="str">
        <f t="array" ref="R232">IF(C225="","",IF(C230="Futures","",IF(C230="Options Sell",IF(INDEX([1]AB4!AR:AR,MATCH(A232,[1]AB4!B:B,0))="","",CONCATENATE(INDEX([1]AB4!AA:AA,MATCH(A232,[1]AB4!B:B,0))," ( ",INDEX([1]AB4!AE:AE,MATCH(A232,[1]AB4!B:B,0))," &amp; ",INDEX([1]AB4!AQ:AQ,MATCH(A232,[1]AB4!B:B,0)),INDEX([1]AB4!AJ:AJ,MATCH(A232,[1]AB4!B:B,0)),TEXT(INDEX([1]AB4!AR:AR,MATCH(A232,[1]AB4!B:B,0)),"0.00%")," )")))))</f>
        <v/>
      </c>
      <c r="S232" s="38" t="str">
        <f t="array" ref="S232">IF(C225="","",IF(C230="Futures","",IF(C230="Options Sell",IF(INDEX([1]AB4!AR:AR,MATCH(A232,[1]AB4!B:B,0))="","",INDEX([1]AB4!AS:AS,MATCH(A232,[1]AB4!B:B,0))))))</f>
        <v/>
      </c>
      <c r="T232" s="35" t="str">
        <f t="array" ref="T232">IF(C225="","",IF(C230="Futures","",IF(C230="Options Sell",IF(INDEX([1]AB4!AU:AU,MATCH(A232,[1]AB4!B:B))="","",CONCATENATE(INDEX([1]AB4!AA:AA,MATCH(A232,[1]AB4!B:B))," ( ",INDEX([1]AB4!AE:AE,MATCH(A232,[1]AB4!B:B))," &amp; ",INDEX([1]AB4!AT:AT,MATCH(A232,[1]AB4!B:B)),INDEX([1]AB4!AJ:AJ,MATCH(A232,[1]AB4!B:B)),TEXT(INDEX([1]AB4!AU:AU,MATCH(A232,[1]AB4!B:B)),"0.00%")," )")))))</f>
        <v/>
      </c>
      <c r="U232" s="38" t="str">
        <f t="array" ref="U232">IF(C225="","",IF(C230="Futures","",IF(C230="Options Sell",IF(INDEX([1]AB4!AU:AU,MATCH(A232,[1]AB4!B:B,0))="","",INDEX([1]AB4!AV:AV,MATCH(A232,[1]AB4!B:B,0))))))</f>
        <v/>
      </c>
      <c r="V232" s="35" t="str">
        <f t="array" ref="V232">IF(C231="","",IF(C230="Futures","",IF(C230="Options Sell",IF(INDEX([1]AB4!AX:AX,MATCH(A232,[1]AB4!B:B,0))="","",CONCATENATE(INDEX([1]AB4!AA:AA,MATCH(A232,[1]AB4!B:B,0))," ( ",INDEX([1]AB4!AE:AE,MATCH(A232,[1]AB4!B:B,0))," &amp; ",INDEX([1]AB4!AW:AW,MATCH(A232,[1]AB4!B:B,0)),INDEX([1]AB4!AJ:AJ,MATCH(A232,[1]AB4!B:B,0)),TEXT(INDEX([1]AB4!AX:AX,MATCH(A232,[1]AB4!B:B,0)),"0.00%")," )")))))</f>
        <v/>
      </c>
      <c r="W232" s="38" t="str">
        <f t="array" ref="W232">IF(C225="","",IF(C230="Futures","",IF(C230="Options Sell",IF(INDEX([1]AB4!AX:AX,MATCH(A232,[1]AB4!B:B,0))="","",INDEX([1]AB4!AY:AY,MATCH(A232,[1]AB4!B:B,0))))))</f>
        <v/>
      </c>
      <c r="X232" s="35" t="str">
        <f t="array" ref="X232">IF(C225="","",IF(C230="Futures","",IF(C230="Options Sell",IF(INDEX([1]AB4!BA:BA,MATCH(A232,[1]AB4!B:B,0))="","",CONCATENATE(INDEX([1]AB4!AA:AA,MATCH(A232,[1]AB4!B:B,0))," ( ",INDEX([1]AB4!AE:AE,MATCH(A232,[1]AB4!B:B,0))," &amp; ",INDEX([1]AB4!AW:AW,MATCH(A232,[1]AB4!B:B,0)),INDEX([1]AB4!AJ:AJ,MATCH(A232,[1]AB4!B:B,0)),TEXT(INDEX([1]AB4!AX:AX,MATCH(A232,[1]AB4!B:B,0)),"0.00%")," )")))))</f>
        <v/>
      </c>
      <c r="Y232" s="38" t="str">
        <f t="array" ref="Y232">IF(C225="","",IF(C230="Futures","",IF(C230="Options Sell",IF(INDEX([1]AB4!BA:BA,MATCH(A232,[1]AB4!B:B,0))="","",INDEX([1]AB4!AY:AY,MATCH(A232,[1]AB4!B:B,0))))))</f>
        <v/>
      </c>
      <c r="Z232" s="41" t="str">
        <f t="array" ref="Z232">IF(C225="","",IF(C230="Futures","",IF(C230="Options Sell",IF(INDEX([1]AB4!BD:BD,MATCH(A231,[1]AB4!B:B,0))="","",INDEX([1]AB4!AZ:AZ,MATCH(A231,[1]AB4!B:B,0))))))</f>
        <v/>
      </c>
      <c r="AA232" s="42" t="str">
        <f>IF(C225="","",IF(C230="Futures","",IF(C230="Options Sell",IF(VLOOKUP(A232,[1]AB4!B:CL,55,FALSE)="","",VLOOKUP(A232,[1]AB4!B:CL,53,FALSE)))))</f>
        <v/>
      </c>
      <c r="AB232" s="29"/>
      <c r="AC232" s="29"/>
    </row>
    <row r="233" spans="1:29" ht="6" hidden="1" customHeight="1" x14ac:dyDescent="0.2">
      <c r="A233" s="15" t="str">
        <f>IF(C225="","",CONCATENATE(C226,[1]AB5!A244))</f>
        <v/>
      </c>
      <c r="B233" s="56" t="str">
        <f>IF(C225="","",IF(C230="Futures","",IF(C230="Options Sell",[1]AB5!$B$67)))</f>
        <v/>
      </c>
      <c r="C233" s="57"/>
      <c r="D233" s="32"/>
      <c r="E233" s="33"/>
      <c r="F233" s="45"/>
      <c r="G233" s="46"/>
      <c r="H233" s="46"/>
      <c r="I233" s="47"/>
      <c r="J233" s="33"/>
      <c r="K233" s="45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29"/>
      <c r="AC233" s="29"/>
    </row>
    <row r="234" spans="1:29" ht="15.75" hidden="1" customHeight="1" x14ac:dyDescent="0.2">
      <c r="A234" s="15" t="str">
        <f>IF(C225="","",CONCATENATE(C226,[1]AB5!$A$13))</f>
        <v/>
      </c>
      <c r="B234" s="32"/>
      <c r="C234" s="33"/>
      <c r="D234" s="32"/>
      <c r="E234" s="33"/>
      <c r="F234" s="50" t="str">
        <f>IF(C225="","",IF(C230="Futures","",IF(C230="Options Sell",[1]AB5!$F$68)))</f>
        <v/>
      </c>
      <c r="G234" s="20" t="str">
        <f t="array" ref="G234">IF(C225="","",IF(C230="Futures","",IF(C230="Options Sell",CONCATENATE("( ",INDEX([1]AB4!BP:BP,MATCH(A234,[1]AB4!B:B))," ",INDEX([1]AB4!BQ:BQ,MATCH(A234,[1]AB4!B:B))," ",TEXT(INDEX([1]AB4!BR:BR,MATCH(A234,[1]AB4!B:B)),"0.00%")," ) &amp; ",INDEX([1]AB4!BS:BS,MATCH(A234,[1]AB4!B:B))),IF(C230="Options Buy",CONCATENATE("( ",INDEX([1]AB4!BP:BP,MATCH(A234,[1]AB4!B:B,0))," ",INDEX([1]AB4!BQ:BQ,MATCH(A234,[1]AB4!B:B,0))," ",TEXT(INDEX([1]AB4!BR:BR,MATCH(A234,[1]AB4!B:B,0)),"0.00%")," ) &amp; ",INDEX([1]AB4!BS:BS,MATCH(A234,[1]AB4!B:B,0)))))))</f>
        <v/>
      </c>
      <c r="H234" s="20" t="str">
        <f t="array" ref="H234">IF(C225="","",IF(C230="Futures","",IF(C230="Options Sell",CONCATENATE(INDEX([1]AB4!CE:CE,MATCH(A234,[1]AB4!B:B)),[1]AB5!$H$59,TEXT(INDEX([1]AB4!CF:CF,MATCH(A234,[1]AB4!B:B)),"0.00%")))))</f>
        <v/>
      </c>
      <c r="I234" s="21" t="str">
        <f t="array" ref="I234">IF(C225="","",IF(C230="Futures","",IF(C230="Options Sell",CONCATENATE(INDEX([1]AB4!CI:CI,MATCH(A234,[1]AB4!B:B)),[1]AB5!$I$59))))</f>
        <v/>
      </c>
      <c r="J234" s="33"/>
      <c r="K234" s="50" t="str">
        <f>IF(C225="","",IF(C230="Futures","",IF(C230="Options Sell",[1]AB5!$K$68,IF(C230="Options Buy",[1]AB5!$K$101))))</f>
        <v/>
      </c>
      <c r="L234" s="23" t="str">
        <f>IF(C225="","",IF(C230="Futures","",IF(C230="Options Sell",[1]AB5!$G$13,IF(C230="Options Buy",[1]AB5!$L$101))))</f>
        <v/>
      </c>
      <c r="M234" s="20" t="str">
        <f t="array" ref="M234">IF(C225="","",IF(C230="Futures","",IF(C230="Options Sell",CONCATENATE(INDEX([1]AB4!G:G,MATCH(A234,[1]AB4!B:B,0)),INDEX([1]AB4!H:H,MATCH(A234,[1]AB4!B:B,0)),TEXT(INDEX([1]AB4!I:I,MATCH(A234,[1]AB4!B:B,0)),"0.00%")))))</f>
        <v/>
      </c>
      <c r="N234" s="24" t="str">
        <f t="array" ref="N234">IF(C225="","",IF(C230="Futures","",IF(C230="Options Sell",INDEX([1]AB4!J:J,MATCH(A234,[1]AB4!B:B,0)))))</f>
        <v/>
      </c>
      <c r="O234" s="25" t="str">
        <f t="array" ref="O234">IF(C225="","",IF(C230="Futures","",IF(C230="Options Sell",IF(INDEX([1]AB4!N:N,MATCH(A234,[1]AB4!B:B,0))="","",CONCATENATE(INDEX([1]AB4!L:L,MATCH(A234,[1]AB4!B:B,0)),INDEX([1]AB4!M:M,MATCH(A234,[1]AB4!B:B,0)),TEXT(INDEX([1]AB4!N:N,MATCH(A234,[1]AB4!B:B,0)),"0.00%"))))))</f>
        <v/>
      </c>
      <c r="P234" s="26" t="str">
        <f t="array" ref="P234">IF(C225="","",IF(C230="Futures","",IF(C230="Options Sell",IF(INDEX([1]AB4!N:N,MATCH(A234,[1]AB4!B:B,0))="","",INDEX([1]AB4!O:O,MATCH(A234,[1]AB4!B:B,0))))))</f>
        <v/>
      </c>
      <c r="Q234" s="27"/>
      <c r="R234" s="25" t="str">
        <f t="array" ref="R234">IF(C225="","",IF(C230="Futures","",IF(C230="Options Sell",IF(INDEX([1]AB4!P:P,MATCH(A234,[1]AB4!B:B,0))="","",CONCATENATE(INDEX([1]AB4!L:L,MATCH(A234,[1]AB4!B:B,0)),INDEX([1]AB4!M:M,MATCH(A234,[1]AB4!B:B,0)),TEXT(INDEX([1]AB4!P:P,MATCH(A234,[1]AB4!B:B,0)),"0.00%"))))))</f>
        <v/>
      </c>
      <c r="S234" s="24" t="str">
        <f t="array" ref="S234">IF(C225="","",IF(C230="Futures","",IF(C230="Options Sell",IF(INDEX([1]AB4!P:P,MATCH(A234,[1]AB4!B:B,0))="","",INDEX([1]AB4!Q:Q,MATCH(A234,[1]AB4!B:B,0))))))</f>
        <v/>
      </c>
      <c r="T234" s="25" t="str">
        <f t="array" ref="T234">IF(C225="","",IF(C230="Futures","",IF(C230="Options Sell",IF(INDEX([1]AB4!R:R,MATCH(A234,[1]AB4!B:B,0))="","",CONCATENATE(INDEX([1]AB4!L:L,MATCH(A234,[1]AB4!B:B,0)),INDEX([1]AB4!M:M,MATCH(A234,[1]AB4!B:B,0)),TEXT(INDEX([1]AB4!R:R,MATCH(A234,[1]AB4!B:B,0)),"0.00%"))))))</f>
        <v/>
      </c>
      <c r="U234" s="24" t="str">
        <f t="array" ref="U234">IF(C225="","",IF(C230="Futures","",IF(C230="Options Sell",IF(INDEX([1]AB4!R:R,MATCH(A234,[1]AB4!B:B,0))="","",INDEX([1]AB4!S:S,MATCH(A234,[1]AB4!B:B,0))))))</f>
        <v/>
      </c>
      <c r="V234" s="25" t="str">
        <f t="array" ref="V234">IF(C234="","",IF(C230="Futures","",IF(C230="Options Sell",IF(INDEX([1]AB4!T:T,MATCH(A234,[1]AB4!B:B,0))="","",CONCATENATE(INDEX([1]AB4!L:L,MATCH(A234,[1]AB4!B:B,0)),INDEX([1]AB4!M:M,MATCH(A234,[1]AB4!B:B,0)),TEXT(INDEX([1]AB4!T:T,MATCH(A234,[1]AB4!B:B,0)),"0.00%"))))))</f>
        <v/>
      </c>
      <c r="W234" s="24" t="str">
        <f t="array" ref="W234">IF(C225="","",IF(C230="Futures","",IF(C230="Options Sell",IF(INDEX([1]AB4!T:T,MATCH(A234,[1]AB4!B:B,0))="","",INDEX([1]AB4!U:U,MATCH(A234,[1]AB4!B:B,0))))))</f>
        <v/>
      </c>
      <c r="X234" s="25" t="str">
        <f t="array" ref="X234">IF(C225="","",IF(C230="Futures","",IF(C230="Options Sell",IF(INDEX([1]AB4!V:V,MATCH(A234,[1]AB4!B:B,0))="","",INDEX([1]AB4!V:V,MATCH(A234,[1]AB4!B:B,0))))))</f>
        <v/>
      </c>
      <c r="Y234" s="24" t="str">
        <f t="array" ref="Y234">IF(C225="","",IF(C230="Futures","",IF(C230="Options Sell",IF(INDEX([1]AB4!V:V,MATCH(A234,[1]AB4!B:B,0))="","",INDEX([1]AB4!W:W,MATCH(A234,[1]AB4!B:B,0))))))</f>
        <v/>
      </c>
      <c r="Z234" s="25" t="str">
        <f t="array" ref="Z234">IF(C225="","",IF(C230="Futures","",IF(C230="Options Sell",IF(INDEX([1]AB4!X:X,MATCH(A234,[1]AB4!B:B,0))="","",INDEX([1]AB4!X:X,MATCH(A234,[1]AB4!B:B,0))))))</f>
        <v/>
      </c>
      <c r="AA234" s="28" t="str">
        <f>IF(C225="","",IF(C230="Futures","",IF(C230="Options Sell",IF(VLOOKUP(A234,[1]AB4!B:CL,23,FALSE)="","",VLOOKUP(A234,[1]AB4!B:CL,24,FALSE)))))</f>
        <v/>
      </c>
      <c r="AB234" s="29"/>
      <c r="AC234" s="29"/>
    </row>
    <row r="235" spans="1:29" ht="34.5" hidden="1" customHeight="1" x14ac:dyDescent="0.2">
      <c r="A235" s="15" t="str">
        <f>IF(C225="","",CONCATENATE(C226,[1]AB5!$A$14))</f>
        <v/>
      </c>
      <c r="B235" s="34"/>
      <c r="C235" s="53"/>
      <c r="D235" s="34"/>
      <c r="E235" s="53"/>
      <c r="F235" s="34"/>
      <c r="G235" s="35" t="str">
        <f t="array" ref="G235">IF(C225="","",IF(C230="Futures","",IF(C230="Options Sell",CONCATENATE("( ",INDEX([1]AB4!BT:BT,MATCH(A235,[1]AB4!B:B))," ) &amp; ",INDEX([1]AB4!BW:BW,MATCH(A235,[1]AB4!B:B))," ",INDEX([1]AB4!BX:BX,MATCH(A235,[1]AB4!B:B))," ",INDEX([1]AB4!BY:BY,MATCH(A235,[1]AB4!B:B))),IF(C230="Options Buy",CONCATENATE("( ",INDEX([1]AB4!BP:BP,MATCH(A235,[1]AB4!B:B,0))," ",INDEX([1]AB4!BQ:BQ,MATCH(A235,[1]AB4!B:B,0))," ",TEXT(INDEX([1]AB4!BR:BR,MATCH(A235,[1]AB4!B:B,0)),"0.00%")," ) &amp; ",INDEX([1]AB4!BS:BS,MATCH(A235,[1]AB4!B:B,0)))))))</f>
        <v/>
      </c>
      <c r="H235" s="35" t="str">
        <f t="array" ref="H235">IF(C225="","",IF(C230="Futures","",IF(C230="Options Sell",CONCATENATE(INDEX([1]AB4!CG:CG,MATCH(A235,[1]AB4!B:B)),[1]AB5!$H$60,TEXT(INDEX([1]AB4!CH:CH,MATCH(A235,[1]AB4!B:B)),"0.00%")))))</f>
        <v/>
      </c>
      <c r="I235" s="36" t="str">
        <f t="array" ref="I235">IF(C225="","",IF(C230="Futures","",IF(C230="Options Sell",CONCATENATE(INDEX([1]AB4!CJ:CJ,MATCH(A235,[1]AB4!B:B)),[1]AB5!$I$60))))</f>
        <v/>
      </c>
      <c r="J235" s="53"/>
      <c r="K235" s="34"/>
      <c r="L235" s="37" t="str">
        <f>IF(C225="","",IF(C230="Futures","",IF(C230="Options Sell",[1]AB5!$G$14,IF(C230="Options Buy",[1]AB5!$L$102))))</f>
        <v/>
      </c>
      <c r="M235" s="35" t="str">
        <f t="array" ref="M235">IF(C225="","",IF(C230="Futures","",IF(C230="Options Sell",IF(INDEX([1]AB4!AL:AL,MATCH(A235,[1]AB4!B:B,0))="","",CONCATENATE(INDEX([1]AB4!AA:AA,MATCH(A235,[1]AB4!B:B,0))," ( ",INDEX([1]AB4!AE:AE,MATCH(A235,[1]AB4!B:B,0)),INDEX([1]AB4!AF:AF,MATCH(A235,[1]AB4!B:B,0)),TEXT(INDEX([1]AB4!AG:AG,MATCH(A235,[1]AB4!B:B,0)),"0.00%")," &amp; ",INDEX([1]AB4!AK:AK,MATCH(A235,[1]AB4!B:B,0)),INDEX([1]AB4!AJ:AJ,MATCH(A235,[1]AB4!B:B,0)),TEXT(INDEX([1]AB4!AL:AL,MATCH(A235,[1]AB4!B:B,0)),"0.00%")," )")))))</f>
        <v/>
      </c>
      <c r="N235" s="38" t="str">
        <f t="array" ref="N235">IF(C225="","",IF(C230="Futures","",IF(C230="Options Sell",INDEX([1]AB4!AM:AM,MATCH(A235,[1]AB4!B:B,0)))))</f>
        <v/>
      </c>
      <c r="O235" s="35" t="str">
        <f t="array" ref="O235">IF(C225="","",IF(C230="Futures","",IF(C230="Options Sell",IF(INDEX([1]AB4!AO:AO,MATCH(A235,[1]AB4!B:B,0))="","",CONCATENATE(INDEX([1]AB4!AA:AA,MATCH(A235,[1]AB4!B:B,0))," ( ",INDEX([1]AB4!AE:AE,MATCH(A235,[1]AB4!B:B,0))," &amp; ",INDEX([1]AB4!AN:AN,MATCH(A235,[1]AB4!B:B,0)),INDEX([1]AB4!AJ:AJ,MATCH(A235,[1]AB4!B:B,0)),TEXT(INDEX([1]AB4!AO:AO,MATCH(A235,[1]AB4!B:B,0)),"0.00%")," )")))))</f>
        <v/>
      </c>
      <c r="P235" s="39" t="str">
        <f t="array" ref="P235">IF(C225="","",IF(C230="Futures","",IF(C230="Options Sell",IF(INDEX([1]AB4!AO:AO,MATCH(A235,[1]AB4!B:B,0))="","",INDEX([1]AB4!AP:AP,MATCH(A235,[1]AB4!B:B,0))))))</f>
        <v/>
      </c>
      <c r="Q235" s="40"/>
      <c r="R235" s="35" t="str">
        <f t="array" ref="R235">IF(C225="","",IF(C230="Futures","",IF(C230="Options Sell",IF(INDEX([1]AB4!AR:AR,MATCH(A235,[1]AB4!B:B,0))="","",CONCATENATE(INDEX([1]AB4!AA:AA,MATCH(A235,[1]AB4!B:B,0))," ( ",INDEX([1]AB4!AE:AE,MATCH(A235,[1]AB4!B:B,0))," &amp; ",INDEX([1]AB4!AQ:AQ,MATCH(A235,[1]AB4!B:B,0)),INDEX([1]AB4!AJ:AJ,MATCH(A235,[1]AB4!B:B,0)),TEXT(INDEX([1]AB4!AR:AR,MATCH(A235,[1]AB4!B:B,0)),"0.00%")," )")))))</f>
        <v/>
      </c>
      <c r="S235" s="38" t="str">
        <f t="array" ref="S235">IF(C225="","",IF(C230="Futures","",IF(C230="Options Sell",IF(INDEX([1]AB4!AR:AR,MATCH(A235,[1]AB4!B:B,0))="","",INDEX([1]AB4!AS:AS,MATCH(A235,[1]AB4!B:B,0))))))</f>
        <v/>
      </c>
      <c r="T235" s="35" t="str">
        <f t="array" ref="T235">IF(C225="","",IF(C230="Futures","",IF(C230="Options Sell",IF(INDEX([1]AB4!AU:AU,MATCH(A235,[1]AB4!B:B))="","",CONCATENATE(INDEX([1]AB4!AA:AA,MATCH(A235,[1]AB4!B:B))," ( ",INDEX([1]AB4!AE:AE,MATCH(A235,[1]AB4!B:B))," &amp; ",INDEX([1]AB4!AT:AT,MATCH(A235,[1]AB4!B:B)),INDEX([1]AB4!AJ:AJ,MATCH(A235,[1]AB4!B:B)),TEXT(INDEX([1]AB4!AU:AU,MATCH(A235,[1]AB4!B:B)),"0.00%")," )")))))</f>
        <v/>
      </c>
      <c r="U235" s="38" t="str">
        <f t="array" ref="U235">IF(C225="","",IF(C230="Futures","",IF(C230="Options Sell",IF(INDEX([1]AB4!AU:AU,MATCH(A235,[1]AB4!B:B,0))="","",INDEX([1]AB4!AV:AV,MATCH(A235,[1]AB4!B:B,0))))))</f>
        <v/>
      </c>
      <c r="V235" s="35" t="str">
        <f t="array" ref="V235">IF(C234="","",IF(C230="Futures","",IF(C230="Options Sell",IF(INDEX([1]AB4!AX:AX,MATCH(A235,[1]AB4!B:B,0))="","",CONCATENATE(INDEX([1]AB4!AA:AA,MATCH(A235,[1]AB4!B:B,0))," ( ",INDEX([1]AB4!AE:AE,MATCH(A235,[1]AB4!B:B,0))," &amp; ",INDEX([1]AB4!AW:AW,MATCH(A235,[1]AB4!B:B,0)),INDEX([1]AB4!AJ:AJ,MATCH(A235,[1]AB4!B:B,0)),TEXT(INDEX([1]AB4!AX:AX,MATCH(A235,[1]AB4!B:B,0)),"0.00%")," )")))))</f>
        <v/>
      </c>
      <c r="W235" s="38" t="str">
        <f t="array" ref="W235">IF(C225="","",IF(C230="Futures","",IF(C230="Options Sell",IF(INDEX([1]AB4!AX:AX,MATCH(A235,[1]AB4!B:B,0))="","",INDEX([1]AB4!AY:AY,MATCH(A235,[1]AB4!B:B,0))))))</f>
        <v/>
      </c>
      <c r="X235" s="35" t="str">
        <f t="array" ref="X235">IF(C225="","",IF(C230="Futures","",IF(C230="Options Sell",IF(INDEX([1]AB4!BA:BA,MATCH(A235,[1]AB4!B:B,0))="","",CONCATENATE(INDEX([1]AB4!AA:AA,MATCH(A235,[1]AB4!B:B,0))," ( ",INDEX([1]AB4!AE:AE,MATCH(A235,[1]AB4!B:B,0))," &amp; ",INDEX([1]AB4!AW:AW,MATCH(A235,[1]AB4!B:B,0)),INDEX([1]AB4!AJ:AJ,MATCH(A235,[1]AB4!B:B,0)),TEXT(INDEX([1]AB4!AX:AX,MATCH(A235,[1]AB4!B:B,0)),"0.00%")," )")))))</f>
        <v/>
      </c>
      <c r="Y235" s="38" t="str">
        <f t="array" ref="Y235">IF(C225="","",IF(C230="Futures","",IF(C230="Options Sell",IF(INDEX([1]AB4!BA:BA,MATCH(A235,[1]AB4!B:B,0))="","",INDEX([1]AB4!AY:AY,MATCH(A235,[1]AB4!B:B,0))))))</f>
        <v/>
      </c>
      <c r="Z235" s="41" t="str">
        <f t="array" ref="Z235">IF(C225="","",IF(C230="Futures","",IF(C230="Options Sell",IF(INDEX([1]AB4!BD:BD,MATCH(A234,[1]AB4!B:B,0))="","",INDEX([1]AB4!AZ:AZ,MATCH(A234,[1]AB4!B:B,0))))))</f>
        <v/>
      </c>
      <c r="AA235" s="42" t="str">
        <f>IF(C225="","",IF(C230="Futures","",IF(C230="Options Sell",IF(VLOOKUP(A235,[1]AB4!B:CL,55,FALSE)="","",VLOOKUP(A235,[1]AB4!B:CL,53,FALSE)))))</f>
        <v/>
      </c>
      <c r="AB235" s="29"/>
      <c r="AC235" s="29"/>
    </row>
    <row r="236" spans="1:29" ht="15.75" hidden="1" customHeight="1" x14ac:dyDescent="0.2">
      <c r="A236" s="15"/>
      <c r="B236" s="54"/>
      <c r="C236" s="54"/>
      <c r="D236" s="54"/>
      <c r="E236" s="54"/>
      <c r="F236" s="54"/>
      <c r="G236" s="54"/>
      <c r="H236" s="54"/>
      <c r="I236" s="54"/>
      <c r="J236" s="54"/>
      <c r="K236" s="15"/>
      <c r="L236" s="58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15"/>
      <c r="AB236" s="60"/>
      <c r="AC236" s="60"/>
    </row>
    <row r="237" spans="1:29" ht="15.75" hidden="1" customHeight="1" x14ac:dyDescent="0.2">
      <c r="A237" s="15"/>
      <c r="B237" s="61" t="str">
        <f>IF(C225="","",IF(C230="Futures","",IF(C230="Options Sell",[1]AB5!$B$71,IF(C230="Options Buy",[1]AB5!$B$104))))</f>
        <v/>
      </c>
      <c r="C237" s="62"/>
      <c r="D237" s="63" t="str">
        <f>IF(C225="","",IF(C230="Futures","",IF(C230="Options Sell",[1]AB5!$D$71,IF(C230="Options Buy",[1]AB5!$D$104))))</f>
        <v/>
      </c>
      <c r="E237" s="64" t="str">
        <f>IF(C225="","",IF(C230="Futures","",IF(C230="Options Sell",[1]AB5!$E$71,IF(C230="Options Buy",[1]AB5!$E$104))))</f>
        <v/>
      </c>
      <c r="F237" s="65"/>
      <c r="G237" s="66" t="str">
        <f>IF(C225="","",IF(C230="Futures","",IF(C230="Options Sell",[1]AB5!$G$71,IF(C230="Options Buy",[1]AB5!$G$104))))</f>
        <v/>
      </c>
      <c r="H237" s="67" t="str">
        <f>IF(C225="","",IF(C230="Futures","",IF(C230="Options Sell",[1]AB5!$H$71,IF(C230="Options Buy",[1]AB5!$H$104))))</f>
        <v/>
      </c>
      <c r="I237" s="68" t="str">
        <f>IF(C225="","",IF(C230="Futures","",IF(C230="Options Sell",[1]AB5!$I$71,IF(C230="Options Buy",[1]AB5!$D$92))))</f>
        <v/>
      </c>
      <c r="J237" s="69" t="str">
        <f>IF(C225="","",IF(C230="Futures","",IF(C230="Options Sell",[1]AB5!$J$71,IF(C230="Options Buy",[1]AB5!$J$104))))</f>
        <v/>
      </c>
      <c r="K237" s="65"/>
      <c r="L237" s="70" t="str">
        <f>IF(C225="","",IF(C230="Futures","",IF(C230="Options Sell",[1]AB5!$L$71,IF(C230="Options Buy",[1]AB5!$L$104))))</f>
        <v/>
      </c>
      <c r="M237" s="68" t="str">
        <f>IF(C225="","",IF(C230="Futures","",IF(C230="Options Sell",[1]AB5!$M$71,IF(C230="Options Buy",[1]AB5!$M$104))))</f>
        <v/>
      </c>
      <c r="N237" s="66" t="str">
        <f>IF(C225="","",IF(C230="Futures","",IF(C230="Options Sell",[1]AB5!$N$71,IF(C230="Options Buy",[1]AB5!$N$104))))</f>
        <v/>
      </c>
      <c r="O237" s="68" t="str">
        <f>IF(C225="","",IF(C230="Futures","",IF(C230="Options Sell",[1]AB5!$O$71,IF(C230="Options Buy",[1]AB5!$O$104))))</f>
        <v/>
      </c>
      <c r="P237" s="69" t="str">
        <f>IF(C225="","",IF(C230="Futures","",IF(C230="Options Sell",[1]AB5!$P$71,IF(C230="Options Buy",[1]AB5!$P$104))))</f>
        <v/>
      </c>
      <c r="Q237" s="65"/>
      <c r="R237" s="65"/>
      <c r="S237" s="71" t="str">
        <f>IF(C225="","",IF(C230="Futures","",IF(C230="Options Sell",[1]AB5!$S$71,IF(C230="Options Buy",[1]AB5!$S$104))))</f>
        <v/>
      </c>
      <c r="T237" s="72" t="str">
        <f>IF(C225="","",IF(C230="Futures","",IF(C230="Options Sell",[1]AB5!$T$71,IF(C230="Options Buy",[1]AB5!$T$104))))</f>
        <v/>
      </c>
      <c r="U237" s="65"/>
      <c r="V237" s="68" t="str">
        <f>IF(C225="","",IF(C230="Futures","",IF(C230="Options Sell",[1]AB5!$V$71,IF(C230="Options Buy",[1]AB5!$V$104))))</f>
        <v/>
      </c>
      <c r="W237" s="68" t="str">
        <f>IF(C225="","",IF(C230="Futures","",IF(C230="Options Sell",[1]AB5!$W$71,IF(C230="Options Buy",[1]AB5!$W$104))))</f>
        <v/>
      </c>
      <c r="X237" s="73" t="str">
        <f>IF(C225="","",IF(C230="Futures","",IF(C230="Options Sell",[1]AB5!$X$71,IF(C230="Options Buy",[1]AB5!$X$104))))</f>
        <v/>
      </c>
      <c r="Y237" s="65"/>
      <c r="Z237" s="68" t="str">
        <f>IF(C225="","",IF(C230="Futures","",IF(C230="Options Sell",[1]AB5!$Z$71,[1]AB5!$Z$104)))</f>
        <v/>
      </c>
      <c r="AA237" s="74" t="str">
        <f>IF(C225="","",IF(C230="Futures","",IF(C230="Options Sell",[1]AB5!$AA$71,IF(C230="Options Buy",[1]AB5!$AA$104))))</f>
        <v/>
      </c>
      <c r="AB237" s="75"/>
      <c r="AC237" s="75"/>
    </row>
    <row r="238" spans="1:29" ht="15.75" hidden="1" customHeight="1" x14ac:dyDescent="0.2">
      <c r="A238" s="15" t="str">
        <f>IF(C225="","",CONCATENATE(C226,[1]AB5!$A$4))</f>
        <v/>
      </c>
      <c r="B238" s="76" t="str">
        <f>IF(C225="","",IF(C230="Futures","",IF(C230="Options Sell",[1]AB5!$B$72,IF(C230="Options Buy",[1]AB5!$B$105))))</f>
        <v/>
      </c>
      <c r="C238" s="77" t="str">
        <f>IF(C225="","",IF(C230="Futures","",IF(C230="Options Sell",[1]AB5!$C$72,IF(C230="Options Buy",[1]AB5!$C$105))))</f>
        <v/>
      </c>
      <c r="D238" s="18" t="str">
        <f>IF(C225="","",IF(C230="Futures","",IF(C230="Options Sell",[1]AB5!$D$72,IF(C230="Options Buy",[1]AB5!$D$105))))</f>
        <v/>
      </c>
      <c r="E238" s="78" t="str">
        <f>IF(C225="","",IF(C230="Futures","",IF(C230="Options Sell",CONCATENATE([1]AB5!$E$72,TEXT(B239,"HH:MM:SS AM/PM"),[1]AB5!$F$72))))</f>
        <v/>
      </c>
      <c r="F238" s="79"/>
      <c r="G238" s="80" t="str">
        <f>IF(C225="","",IF(C230="Futures","",IF(C230="Options Sell",[1]AB5!$G$72,IF(C230="Options Buy",[1]AB5!$G$105))))</f>
        <v/>
      </c>
      <c r="H238" s="81" t="str">
        <f>IF(C225="","",IF(C230="Futures","",IF(C230="Options Sell",[1]AB5!$H$72)))</f>
        <v/>
      </c>
      <c r="I238" s="82" t="str">
        <f>IF(C225="","",IF(C230="Futures","",IF(C230="Options Sell",[1]AB5!$I$72)))</f>
        <v/>
      </c>
      <c r="J238" s="83" t="str">
        <f>IF(C225="","",IF(C230="Futures","",IF(C230="Options Sell",[1]AB5!$J$72)))</f>
        <v/>
      </c>
      <c r="K238" s="27"/>
      <c r="L238" s="84" t="str">
        <f>IF(C225="","",IF(C230="Futures","",IF(C230="Options Sell",B239)))</f>
        <v/>
      </c>
      <c r="M238" s="85" t="str">
        <f>IF(C225="","",IF(C230="Futures","",IF(C230="Options Sell",[1]AB5!$M$72)))</f>
        <v/>
      </c>
      <c r="N238" s="86" t="str">
        <f>IF(C225="","",IF(C230="Futures","",IF(C230="Options Sell",[1]AB5!$N$72)))</f>
        <v/>
      </c>
      <c r="O238" s="85" t="str">
        <f>IF(C225="","",IF(C230="Futures","",IF(C230="Options Sell",[1]AB5!$O$72)))</f>
        <v/>
      </c>
      <c r="P238" s="87" t="str">
        <f>IF(C225="","",IF(C230="Futures","",IF(C230="Options Sell",[1]AB5!$P$72)))</f>
        <v/>
      </c>
      <c r="Q238" s="88"/>
      <c r="R238" s="27"/>
      <c r="S238" s="89" t="str">
        <f>IF(C225="","",IF(C230="Futures","",IF(C230="Options Sell",[1]AB5!$S$72)))</f>
        <v/>
      </c>
      <c r="T238" s="90" t="str">
        <f>IF(C225="","",IF(C230="Futures","",IF(C230="Options Sell",[1]AB5!$T$72)))</f>
        <v/>
      </c>
      <c r="U238" s="27"/>
      <c r="V238" s="91" t="str">
        <f>IF(C225="","",IF(C230="Futures","",IF(C230="Options Sell",[1]AB5!$V$72)))</f>
        <v/>
      </c>
      <c r="W238" s="91" t="str">
        <f>IF(C225="","",IF(C230="Futures","",IF(C230="Options Sell",[1]AB5!$W$72)))</f>
        <v/>
      </c>
      <c r="X238" s="83" t="str">
        <f>IF(C225="","",IF(C230="Futures","",IF(C230="Options Sell",[1]AB5!$X$72)))</f>
        <v/>
      </c>
      <c r="Y238" s="27"/>
      <c r="Z238" s="89" t="str">
        <f>IF(C225="","",IF(C230="Futures","",IF(C230="Options Sell",[1]AB5!$Z$72)))</f>
        <v/>
      </c>
      <c r="AA238" s="92" t="str">
        <f>IF(C225="","",IF(C230="Futures","",IF(C230="Options Sell",[1]AB5!$AA$72)))</f>
        <v/>
      </c>
      <c r="AB238" s="75"/>
      <c r="AC238" s="75"/>
    </row>
    <row r="239" spans="1:29" ht="63.75" hidden="1" customHeight="1" x14ac:dyDescent="0.2">
      <c r="A239" s="93" t="str">
        <f>IF(C225="","",CONCATENATE(C226,[1]AB5!$A$7))</f>
        <v/>
      </c>
      <c r="B239" s="135" t="str">
        <f t="array" ref="B239">IF(C225="","",INDEX([1]AB4!BE:BE,MATCH(A238,[1]AB4!B:B,0)))</f>
        <v/>
      </c>
      <c r="C239" s="136" t="str">
        <f t="array" ref="C239">IF(C225="","", INDEX([1]AB4!BE:BE,MATCH(A239,[1]AB4!B:B,0)))</f>
        <v/>
      </c>
      <c r="D239" s="32"/>
      <c r="E239" s="96"/>
      <c r="F239" s="97"/>
      <c r="G239" s="98" t="str">
        <f>IF(C225="","",IF(C230="Futures","",IF(C230="Options Sell",[1]AB5!$G$73,IF(C230="Options Buy",[1]AB5!$G$106))))</f>
        <v/>
      </c>
      <c r="H239" s="99" t="str">
        <f>IF(C225="","",IF(C230="Futures","",IF(C230="Options Sell",[1]AB5!$H$73)))</f>
        <v/>
      </c>
      <c r="I239" s="100" t="str">
        <f>IF(C225="","",IF(C230="Futures","",IF(C230="Options Sell",[1]AB5!$I$73)))</f>
        <v/>
      </c>
      <c r="J239" s="101" t="str">
        <f>IF(C225="","",IF(C230="Futures","",IF(C230="Options Sell",[1]AB5!$J$73)))</f>
        <v/>
      </c>
      <c r="K239" s="102"/>
      <c r="L239" s="103" t="str">
        <f>IF(C225="","",IF(C230="Futures","",IF(C230="Options Sell",C239)))</f>
        <v/>
      </c>
      <c r="M239" s="104" t="str">
        <f t="array" ref="M239">IF(C225="","",IF(C230="Futures","",IF(C230="Options Sell",CONCATENATE([1]AB5!$M$73, "( ",INDEX([1]AB4!BP:BP,MATCH(A225,[1]AB4!B:B,0))," &amp; ",S239," ) ",INDEX([1]AB4!BQ:BQ,MATCH(A225,[1]AB4!B:B))," ",N239," ) &amp; ",INDEX([1]AB4!BS:BS,MATCH(A225,[1]AB4!B:B,0))))))</f>
        <v/>
      </c>
      <c r="N239" s="105" t="str">
        <f t="array" ref="N239">IF(A225="","",IF(C230="Futures","",IF(C230="Options Sell",TEXT(INDEX([1]AB4!CR:CR,MATCH(A225,[1]AB4!B:B,0)),"0.00%"))))</f>
        <v/>
      </c>
      <c r="O239" s="104" t="str">
        <f t="array" ref="O239">IF(C225="","",IF(C230="Futures","",IF(C230="Options Sell",CONCATENATE([1]AB5!$O$73,"( ",INDEX([1]AB4!BT:BT,MATCH(A225,[1]AB4!B:B,0))," &amp; ",S239," ) &amp; ",INDEX([1]AB4!BW:BW,MATCH(A225,[1]AB4!B:B,0))," ",INDEX([1]AB4!BX:BX,MATCH(A225,[1]AB4!B:B,0))," ",INDEX([1]AB4!BY:BY,MATCH(A225,[1]AB4!B:B,0))))))</f>
        <v/>
      </c>
      <c r="P239" s="106" t="str">
        <f t="array" ref="P239">IF(A225="","",IF(C230="Futures","",IF(C230="Options Sell",IF(INDEX([1]AB4!CS:CS,MATCH(A225,[1]AB4!B:B,0))="","",TEXT(INDEX([1]AB4!CS:CS,MATCH(A225,[1]AB4!B:B,0)),"0.00%")))))</f>
        <v/>
      </c>
      <c r="Q239" s="107"/>
      <c r="R239" s="102"/>
      <c r="S239" s="105" t="str">
        <f>IF(C225="","",IF(C230="Futures","",IF(C230="Options Sell",CONCATENATE(TEXT(L239,"HH:MM:SS AM/PM"),[1]AB5!$S$73))))</f>
        <v/>
      </c>
      <c r="T239" s="101" t="str">
        <f t="array" ref="T239">IF(C225="","",IF(C230="Futures","",IF(C230="Options Sell",CONCATENATE([1]AB5!$T$73,"( ",INDEX([1]AB4!CE:CE,MATCH(A225,[1]AB4!B:B,0))," &amp; ",S239," ) ",[1]AB5!$H$59,TEXT(INDEX([1]AB4!CF:CF,MATCH(A225,[1]AB4!B:B,0)),"0.00%")))))</f>
        <v/>
      </c>
      <c r="U239" s="102"/>
      <c r="V239" s="104" t="str">
        <f t="array" ref="V239">IF(C225="","",IF(C230="Futures","",IF(C230="Options Sell",CONCATENATE([1]AB5!$V$73,"( ",INDEX([1]AB4!CG:CG,MATCH(A225,[1]AB4!B:B,0))," &amp; ",S239," ) ",[1]AB5!$H$59,TEXT(INDEX([1]AB4!CH:CH,MATCH(A225,[1]AB4!B:B,0)),"0.00%")))))</f>
        <v/>
      </c>
      <c r="W239" s="104" t="str">
        <f>IF(A225="","",IF(C230="Futures","",IF(C230="Options Sell",I225)))</f>
        <v/>
      </c>
      <c r="X239" s="101" t="str">
        <f t="array" ref="X239">IF(C225="","",IF(C230="Futures","",IF(C230="Options Sell",CONCATENATE([1]AB5!$X$73,"( ",INDEX([1]AB4!G:G,MATCH(A225,[1]AB4!B:B,0))," &amp; ",Z239," ) ",INDEX([1]AB4!H:H,MATCH(A225,[1]AB4!B:B,0))," ",AA239))))</f>
        <v/>
      </c>
      <c r="Y239" s="102"/>
      <c r="Z239" s="108" t="str">
        <f>IF(C225="","",IF(C230="Futures","",IF(C230="Options Sell",CONCATENATE(TEXT(L239,"HH:MM:SS AM/PM"),[1]AB5!$S$73))))</f>
        <v/>
      </c>
      <c r="AA239" s="109" t="str">
        <f t="array" ref="AA239">IF(A225="","",IF(C230="Futures","",IF(C230="Options Sell",TEXT(INDEX([1]AB4!BK:BK,MATCH(A225,[1]AB4!B:B,0)),"0.00%"))))</f>
        <v/>
      </c>
      <c r="AB239" s="75"/>
      <c r="AC239" s="75"/>
    </row>
    <row r="240" spans="1:29" ht="15.75" hidden="1" customHeight="1" x14ac:dyDescent="0.2">
      <c r="A240" s="15"/>
      <c r="B240" s="54"/>
      <c r="C240" s="54"/>
      <c r="D240" s="112"/>
      <c r="E240" s="12"/>
      <c r="F240" s="13"/>
      <c r="G240" s="14"/>
      <c r="H240" s="14"/>
      <c r="I240" s="100" t="str">
        <f>IF(C225="","",IF(C230="Futures","",IF(C230="Options Sell",[1]AB5!$I$74)))</f>
        <v/>
      </c>
      <c r="J240" s="101" t="str">
        <f>IF(C225="","",IF(C230="Futures","",IF(C230="Options Sell",[1]AB5!$J$74)))</f>
        <v/>
      </c>
      <c r="K240" s="102"/>
      <c r="L240" s="103" t="str">
        <f>IF(C225="","",IF(C230="Futures","",IF(C230="Options Sell",C239)))</f>
        <v/>
      </c>
      <c r="M240" s="104" t="str">
        <f t="array" ref="M240">IF(C225="","",IF(C230="Futures","",IF(C230="Options Sell",CONCATENATE([1]AB5!$M$74,"( ",INDEX([1]AB4!BP:BP,MATCH(A231,[1]AB4!B:B,0))," &amp; ",S240," ) ",INDEX([1]AB4!BQ:BQ,MATCH(A231,[1]AB4!B:B,0))," ",N240," ) &amp; ",INDEX([1]AB4!BS:BS,MATCH(A231,[1]AB4!B:B,0))))))</f>
        <v/>
      </c>
      <c r="N240" s="105" t="str">
        <f t="array" ref="N240">IF(A225="","",IF(C230="Futures","",IF(C230="Options Sell",TEXT(INDEX([1]AB4!CR:CR,MATCH(A231,[1]AB4!B:B,0)),"0.00%"))))</f>
        <v/>
      </c>
      <c r="O240" s="104" t="str">
        <f t="array" ref="O240">IF(C225="","",IF(C230="Futures","",IF(C230="Options Sell",CONCATENATE([1]AB5!$O$74,"( ",INDEX([1]AB4!BT:BT,MATCH(A231,[1]AB4!B:B,0))," &amp; ",S240," ) &amp; ",INDEX([1]AB4!BW:BW,MATCH(A231,[1]AB4!B:B,0))," ",INDEX([1]AB4!BX:BX,MATCH(A231,[1]AB4!B:B,0))," ",INDEX([1]AB4!BY:BY,MATCH(A231,[1]AB4!B:B,0))))))</f>
        <v/>
      </c>
      <c r="P240" s="106" t="str">
        <f t="array" ref="P240">IF(A225="","",IF(C230="Futures","",IF(C230="Options Sell",IF(INDEX([1]AB4!CS:CS,MATCH(A231,[1]AB4!B:B,0))="","",TEXT(INDEX([1]AB4!CS:CS,MATCH(A231,[1]AB4!B:B,0)),"0.00%")))))</f>
        <v/>
      </c>
      <c r="Q240" s="107"/>
      <c r="R240" s="102"/>
      <c r="S240" s="105" t="str">
        <f>IF(C225="","",IF(C230="Futures","",IF(C230="Options Sell",CONCATENATE(TEXT(L240,"HH:MM:SS AM/PM"),[1]AB5!$S$74))))</f>
        <v/>
      </c>
      <c r="T240" s="101" t="str">
        <f t="array" ref="T240">IF(C225="","",IF(C230="Futures","",IF(C230="Options Sell",CONCATENATE([1]AB5!$T$74," of ( ",INDEX([1]AB4!CE:CE,MATCH(A231,[1]AB4!B:B,0))," &amp; ",S239," ) ",[1]AB5!$H$59,TEXT(INDEX([1]AB4!CF:CF,MATCH(A231,[1]AB4!B:B,0)),"0.00%")))))</f>
        <v/>
      </c>
      <c r="U240" s="102"/>
      <c r="V240" s="104" t="str">
        <f t="array" ref="V240">IF(C225="","",IF(C230="Futures","",IF(C230="Options Sell",CONCATENATE([1]AB5!$V$74,"( ",INDEX([1]AB4!CG:CG,MATCH(A231,[1]AB4!B:B,0))," &amp; ",S240," ) ",[1]AB5!$H$59,TEXT(INDEX([1]AB4!CH:CH,MATCH(A231,[1]AB4!B:B,0)),"0.00%")))))</f>
        <v/>
      </c>
      <c r="W240" s="104" t="str">
        <f>IF(A225="","",IF(C230="Futures","",IF(C230="Options Sell",I231)))</f>
        <v/>
      </c>
      <c r="X240" s="101" t="str">
        <f t="array" ref="X240">IF(C225="","",IF(C230="Futures","",IF(C230="Options Sell",CONCATENATE([1]AB5!$X$74,"( ",INDEX([1]AB4!G:G,MATCH(A231,[1]AB4!B:B,0))," &amp; ",Z240," ) ", INDEX([1]AB4!H:H,MATCH(A231,[1]AB4!B:B,0))," ",AA240))))</f>
        <v/>
      </c>
      <c r="Y240" s="102"/>
      <c r="Z240" s="108" t="str">
        <f>IF(C225="","",IF(C230="Futures","",IF(C230="Options Sell",CONCATENATE(TEXT(L240,"HH:MM:SS AM/PM"), [1]AB5!$S$74))))</f>
        <v/>
      </c>
      <c r="AA240" s="109" t="str">
        <f t="array" ref="AA240">IF(A225="","",IF(C230="Futures","",IF(C230="Options Sell",TEXT(INDEX([1]AB4!BK:BK,MATCH(A231,[1]AB4!B:B,0)),"0.00%"))))</f>
        <v/>
      </c>
      <c r="AB240" s="75"/>
      <c r="AC240" s="75"/>
    </row>
    <row r="241" spans="1:29" ht="15.75" hidden="1" customHeight="1" x14ac:dyDescent="0.2">
      <c r="A241" s="15"/>
      <c r="B241" s="113" t="str">
        <f>IF(C225="","",IF(C230="Futures","",IF(C230="Options Sell",[1]AB5!$B$75,IF(C230="Options Buy",[1]AB5!$B$108))))</f>
        <v/>
      </c>
      <c r="C241" s="114"/>
      <c r="D241" s="115" t="str">
        <f>IF(C225="","",IF(C230="Futures","",IF(C230="Options Sell",[1]AB5!$D$75,IF(C230="Options Buy",[1]AB5!$D$108))))</f>
        <v/>
      </c>
      <c r="E241" s="116" t="str">
        <f>IF(C225="","",IF(C230="Futures","",IF(C230="Options Sell",CONCATENATE([1]AB5!$E$75,TEXT(B239,"HH:MM:SS AM/PM"),[1]AB5!$F$75))))</f>
        <v/>
      </c>
      <c r="F241" s="4"/>
      <c r="G241" s="117" t="str">
        <f>IF(C225="","",IF(C230="Futures","",IF(C230="Options Sell",[1]AB5!$G$75,IF(C230="Options Buy",[1]AB5!$G$108))))</f>
        <v/>
      </c>
      <c r="H241" s="118" t="str">
        <f>IF(C225="","",IF(C230="Futures","",IF(C230="Options Sell",[1]AB5!$H$75)))</f>
        <v/>
      </c>
      <c r="I241" s="119" t="str">
        <f>IF(C225="","",IF(C230="Futures","",IF(C230="Options Sell",[1]AB5!$I$75)))</f>
        <v/>
      </c>
      <c r="J241" s="120" t="str">
        <f>IF(C225="","",IF(C230="Futures","",IF(C230="Options Sell",[1]AB5!$J$75)))</f>
        <v/>
      </c>
      <c r="K241" s="102"/>
      <c r="L241" s="121" t="str">
        <f>IF(C225="","",IF(C230="Futures","",IF(C230="Options Sell",B239)))</f>
        <v/>
      </c>
      <c r="M241" s="118" t="str">
        <f>IF(C225="","",IF(C230="Futures","",IF(C230="Options Sell",[1]AB5!$M$75)))</f>
        <v/>
      </c>
      <c r="N241" s="122" t="str">
        <f>IF(C225="","",IF(C230="Futures","",IF(C230="Options Sell",[1]AB5!$N$75)))</f>
        <v/>
      </c>
      <c r="O241" s="118" t="str">
        <f>IF(C225="","",IF(C230="Futures","",IF(C230="Options Sell",[1]AB5!$O$75)))</f>
        <v/>
      </c>
      <c r="P241" s="123" t="str">
        <f>IF(C225="","",IF(C230="Futures","",IF(C230="Options Sell",[1]AB5!$P$75)))</f>
        <v/>
      </c>
      <c r="Q241" s="107"/>
      <c r="R241" s="102"/>
      <c r="S241" s="118" t="str">
        <f>IF(C225="","",IF(C230="Futures","",IF(C230="Options Sell",[1]AB5!$S$75)))</f>
        <v/>
      </c>
      <c r="T241" s="124" t="str">
        <f>IF(C225="","",IF(C230="Futures","",IF(C230="Options Sell",[1]AB5!$T$75)))</f>
        <v/>
      </c>
      <c r="U241" s="102"/>
      <c r="V241" s="125" t="str">
        <f>IF(C225="","",IF(C230="Futures","",IF(C230="Options Sell",[1]AB5!$V$75)))</f>
        <v/>
      </c>
      <c r="W241" s="125" t="str">
        <f>IF(C225="","",IF(C230="Futures","",IF(C230="Options Sell",[1]AB5!$W$75)))</f>
        <v/>
      </c>
      <c r="X241" s="120" t="str">
        <f>IF(C225="","",IF(C230="Futures","",IF(C230="Options Sell",[1]AB5!$X$75)))</f>
        <v/>
      </c>
      <c r="Y241" s="102"/>
      <c r="Z241" s="126" t="str">
        <f>IF(C225="","",IF(C230="Futures","",IF(C230="Options Sell",[1]AB5!$Z$75)))</f>
        <v/>
      </c>
      <c r="AA241" s="127" t="str">
        <f>IF(C225="","",IF(C230="Futures","",IF(C230="Options Sell",[1]AB5!$AA$75)))</f>
        <v/>
      </c>
      <c r="AB241" s="75"/>
      <c r="AC241" s="75"/>
    </row>
    <row r="242" spans="1:29" ht="15.75" hidden="1" customHeight="1" x14ac:dyDescent="0.2">
      <c r="A242" s="15" t="str">
        <f>IF(C225="","",CONCATENATE(C226,[1]AB5!$A$4))</f>
        <v/>
      </c>
      <c r="B242" s="128" t="str">
        <f>IF(C225="","",IF(C230="Futures","",IF(C230="Options Sell",[1]AB5!$B$76,IF(C230="Options Buy",[1]AB5!$B$109))))</f>
        <v/>
      </c>
      <c r="C242" s="129" t="str">
        <f>IF(C225="","",IF(C230="Futures","",IF(C230="Options Sell",[1]AB5!$C$76,IF(C230="Options Buy",[1]AB5!$C$109))))</f>
        <v/>
      </c>
      <c r="D242" s="32"/>
      <c r="E242" s="96"/>
      <c r="F242" s="97"/>
      <c r="G242" s="130" t="str">
        <f>IF(C225="","",IF(C230="Futures","",IF(C230="Options Sell",[1]AB5!$G$76,IF(C230="Options Buy",[1]AB5!$G$109))))</f>
        <v/>
      </c>
      <c r="H242" s="131" t="str">
        <f>IF(C225="","",IF(C230="Futures","",IF(C230="Options Sell",[1]AB5!$H$76)))</f>
        <v/>
      </c>
      <c r="I242" s="119" t="str">
        <f>IF(C225="","",IF(C230="Futures","",IF(C230="Options Sell",[1]AB5!$I$76)))</f>
        <v/>
      </c>
      <c r="J242" s="120" t="str">
        <f>IF(C225="","",IF(C230="Futures","",IF(C230="Options Sell",[1]AB5!$J$76)))</f>
        <v/>
      </c>
      <c r="K242" s="102"/>
      <c r="L242" s="121" t="str">
        <f>IF(C225="","",IF(C230="Futures","",IF(C230="Options Sell",C239)))</f>
        <v/>
      </c>
      <c r="M242" s="118" t="str">
        <f t="array" ref="M242">IF(C225="","",IF(C230="Futures","",IF(C230="Options Sell",CONCATENATE([1]AB5!$M$76, "( ",INDEX([1]AB4!BP:BP,MATCH(A228,[1]AB4!B:B,0))," &amp; ",S242," ) ",INDEX([1]AB4!BQ:BQ,MATCH(A228,[1]AB4!B:B,0))," ",N242," ) &amp; ",INDEX([1]AB4!BS:BS,MATCH(A228,[1]AB4!B:B,0))))))</f>
        <v/>
      </c>
      <c r="N242" s="122" t="str">
        <f t="array" ref="N242">IF(A225="","",IF(C230="Futures","",IF(C230="Options Sell",TEXT(INDEX([1]AB4!CR:CR,MATCH(A228,[1]AB4!B:B,0)),"0.00%"))))</f>
        <v/>
      </c>
      <c r="O242" s="118" t="str">
        <f t="array" ref="O242">IF(C225="","",IF(C230="Futures","",IF(C230="Options Sell",CONCATENATE([1]AB5!$O$76,"( ",INDEX([1]AB4!BT:BT,MATCH(A228,[1]AB4!B:B,0))," &amp; ",S242," ) &amp; ",INDEX([1]AB4!BW:BW,MATCH(A228,[1]AB4!B:B,0))," ",INDEX([1]AB4!BX:BX,MATCH(A228,[1]AB4!B:B,0))," ",INDEX([1]AB4!BY:BY,MATCH(A228,[1]AB4!B:B,0))))))</f>
        <v/>
      </c>
      <c r="P242" s="123" t="str">
        <f t="array" ref="P242">IF(A225="","",IF(C230="Futures","",IF(C230="Options Sell",IF(INDEX([1]AB4!CS:CS,MATCH(A228,[1]AB4!B:B,0))="","",TEXT(INDEX([1]AB4!CS:CS,MATCH(A228,[1]AB4!B:B,0)),"0.00%")))))</f>
        <v/>
      </c>
      <c r="Q242" s="107"/>
      <c r="R242" s="102"/>
      <c r="S242" s="132" t="str">
        <f>IF(C225="","",IF(C230="Futures","",IF(C230="Options Sell",CONCATENATE(TEXT(L242,"HH:MM:SS AM/PM"),[1]AB5!$S$76))))</f>
        <v/>
      </c>
      <c r="T242" s="120" t="str">
        <f t="array" ref="T242">IF(C225="","",IF(C230="Futures","",IF(C230="Options Sell",CONCATENATE([1]AB5!$T$76,"( ",INDEX([1]AB4!CE:CE,MATCH(A228,[1]AB4!B:B,0))," &amp; ",S242," ) ",[1]AB5!$H$59,TEXT(INDEX([1]AB4!CF:CF,MATCH(A228,[1]AB4!B:B,0)),"0.00%")))))</f>
        <v/>
      </c>
      <c r="U242" s="102"/>
      <c r="V242" s="118" t="str">
        <f t="array" ref="V242">IF(C225="","",IF(C230="Futures","",IF(C230="Options Sell",CONCATENATE([1]AB5!$V$76,"( ",INDEX([1]AB4!CG:CG,MATCH(A228,[1]AB4!B:B,0))," &amp; ",S242," ) ",[1]AB5!$H$59,TEXT(INDEX([1]AB4!CH:CH,MATCH(A228,[1]AB4!B:B,0)),"0.00%")))))</f>
        <v/>
      </c>
      <c r="W242" s="118" t="str">
        <f>IF(A225="","",IF(C230="Futures","",IF(C230="Options Sell",I228)))</f>
        <v/>
      </c>
      <c r="X242" s="120" t="str">
        <f t="array" ref="X242">IF(C225="","",IF(C230="Futures","",IF(C230="Options Sell",CONCATENATE([1]AB5!$X$76,"( ",INDEX([1]AB4!G:G,MATCH(A228,[1]AB4!B:B,0))," &amp; ",Z242," ) ", INDEX([1]AB4!H:H,MATCH(A228,[1]AB4!B:B,0))," ",AA242))))</f>
        <v/>
      </c>
      <c r="Y242" s="102"/>
      <c r="Z242" s="133" t="str">
        <f>IF(C225="","",IF(C230="Futures","",IF(C230="Options Sell",CONCATENATE(TEXT(L242,"HH:MM:SS AM/PM"), [1]AB5!$S$76))))</f>
        <v/>
      </c>
      <c r="AA242" s="134" t="str">
        <f t="array" ref="AA242">IF(A225="","",IF(C230="Futures","",IF(C230="Options Sell",TEXT(INDEX([1]AB4!BK:BK,MATCH(A228,[1]AB4!B:B,0)),"0.00%"))))</f>
        <v/>
      </c>
      <c r="AB242" s="75"/>
      <c r="AC242" s="75"/>
    </row>
    <row r="243" spans="1:29" ht="15.75" hidden="1" customHeight="1" x14ac:dyDescent="0.2">
      <c r="A243" s="15" t="str">
        <f>IF(C225="","",CONCATENATE(C226,[1]AB5!$A$7))</f>
        <v/>
      </c>
      <c r="B243" s="135" t="str">
        <f t="array" ref="B243">IF(C225="","", IF(C230="Futures","",IF(C230="Options Sell",INDEX([1]AB4!BF:BF,MATCH(A242,[1]AB4!B:B,0)))))</f>
        <v/>
      </c>
      <c r="C243" s="136" t="str">
        <f t="array" ref="C243">IF(C225="","", IF(C230="Futures","",IF(C230="Options Sell",INDEX([1]AB4!BF:BF,MATCH(A243,[1]AB4!B:B,0)))))</f>
        <v/>
      </c>
      <c r="D243" s="34"/>
      <c r="E243" s="111"/>
      <c r="F243" s="137"/>
      <c r="G243" s="138"/>
      <c r="H243" s="138"/>
      <c r="I243" s="139" t="str">
        <f>IF(C225="","",IF(C230="Futures","",IF(C230="Options Sell",[1]AB5!$I$77)))</f>
        <v/>
      </c>
      <c r="J243" s="140" t="str">
        <f>IF(C225="","",IF(C230="Futures","",IF(C230="Options Sell",[1]AB5!$J$77)))</f>
        <v/>
      </c>
      <c r="K243" s="40"/>
      <c r="L243" s="141" t="str">
        <f>IF(C225="","",IF(C230="Futures","",IF(C230="Options Sell",C239)))</f>
        <v/>
      </c>
      <c r="M243" s="142" t="str">
        <f t="array" ref="M243">IF(C225="","",IF(C230="Futures","",IF(C230="Options Sell",CONCATENATE([1]AB5!$M$77, "( ",INDEX([1]AB4!BP:BP,MATCH(A234,[1]AB4!B:B,0))," &amp; ",S243," ) ", INDEX([1]AB4!BQ:BQ,MATCH(A234,[1]AB4!B:B,0))," ",N243," ) &amp; ",INDEX([1]AB4!BS:BS,MATCH(A234,[1]AB4!B:B,0))))))</f>
        <v/>
      </c>
      <c r="N243" s="143" t="str">
        <f t="array" ref="N243">IF(A225="","",IF(C230="Futures","",IF(C230="Options Sell",TEXT(INDEX([1]AB4!CR:CR,MATCH(A234,[1]AB4!B:B,0)),"0.00%"))))</f>
        <v/>
      </c>
      <c r="O243" s="142" t="str">
        <f t="array" ref="O243">IF(C225="","",IF(C230="Futures","",IF(C230="Options Sell",CONCATENATE([1]AB5!$O$77,"( ",INDEX([1]AB4!BT:BT,MATCH(A234,[1]AB4!B:B,0))," &amp; ",S243," ) &amp; ",INDEX([1]AB4!BW:BW,MATCH(A234,[1]AB4!B:B,0))," ",INDEX([1]AB4!BX:BX,MATCH(A234,[1]AB4!B:B,0))," ",INDEX([1]AB4!BY:BY,MATCH(A234,[1]AB4!B:B,0))))))</f>
        <v/>
      </c>
      <c r="P243" s="144" t="str">
        <f t="array" ref="P243">IF(A225="","",IF(C230="Futures","",IF(C230="Options Sell",IF(INDEX([1]AB4!CS:CS,MATCH(A234,[1]AB4!B:B,0))="","",TEXT(INDEX([1]AB4!CS:CS,MATCH(A234,[1]AB4!B:B,0)),"0.00%")))))</f>
        <v/>
      </c>
      <c r="Q243" s="145"/>
      <c r="R243" s="40"/>
      <c r="S243" s="146" t="str">
        <f>IF(C225="","",IF(C230="Futures","",IF(C230="Options Sell",CONCATENATE(TEXT(L243,"HH:MM:SS AM/PM"),[1]AB5!$S$77))))</f>
        <v/>
      </c>
      <c r="T243" s="140" t="str">
        <f t="array" ref="T243">IF(C225="","",IF(C230="Futures","",IF(C230="Options Sell",CONCATENATE([1]AB5!$T$77,"( ",INDEX([1]AB4!CE:CE,MATCH(A234,[1]AB4!B:B,0))," &amp; ",S243," ) ",[1]AB5!$H$59,TEXT(INDEX([1]AB4!CF:CF,MATCH(A234,[1]AB4!B:B,0)),"0.00%")))))</f>
        <v/>
      </c>
      <c r="U243" s="40"/>
      <c r="V243" s="142" t="str">
        <f t="array" ref="V243">IF(C225="","",IF(C230="Futures","",IF(C230="Options Sell",CONCATENATE([1]AB5!$V$77,"( ",INDEX([1]AB4!CG:CG,MATCH(A234,[1]AB4!B:B,0))," &amp; ",S243," ) ",[1]AB5!$H$59,TEXT(INDEX([1]AB4!CH:CH,MATCH(A234,[1]AB4!B:B,0)),"0.00%")))))</f>
        <v/>
      </c>
      <c r="W243" s="142" t="str">
        <f>IF(A225="","",IF(C230="Futures","",IF(C230="Options Sell",I234)))</f>
        <v/>
      </c>
      <c r="X243" s="140" t="str">
        <f t="array" ref="X243">IF(C225="","",IF(C230="Futures","",IF(C230="Options Sell",CONCATENATE([1]AB5!$X$77,"( ",INDEX([1]AB4!G:G,MATCH(A234,[1]AB4!B:B,0))," &amp; ",Z243," ) ", INDEX([1]AB4!H:H,MATCH(A234,[1]AB4!B:B,0))," ",AA243))))</f>
        <v/>
      </c>
      <c r="Y243" s="40"/>
      <c r="Z243" s="147" t="str">
        <f>IF(C225="","",IF(C230="Futures","",IF(C230="Options Sell",CONCATENATE(TEXT(L243,"HH:MM:SS AM/PM"), [1]AB5!$S$77))))</f>
        <v/>
      </c>
      <c r="AA243" s="148" t="str">
        <f t="array" ref="AA243">IF(A225="","",IF(C230="Futures","",IF(C230="Options Sell",TEXT(INDEX([1]AB4!BK:BK,MATCH(A234,[1]AB4!B:B,0)),"0.00%"))))</f>
        <v/>
      </c>
      <c r="AB243" s="75"/>
      <c r="AC243" s="75"/>
    </row>
    <row r="244" spans="1:29" ht="15.75" hidden="1" customHeight="1" x14ac:dyDescent="0.2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49"/>
      <c r="L244" s="15"/>
      <c r="M244" s="15"/>
      <c r="N244" s="15"/>
      <c r="O244" s="75"/>
      <c r="P244" s="15"/>
      <c r="Q244" s="15"/>
      <c r="R244" s="15"/>
      <c r="S244" s="15"/>
      <c r="T244" s="15"/>
      <c r="U244" s="15"/>
      <c r="V244" s="15"/>
      <c r="W244" s="15"/>
      <c r="X244" s="15"/>
      <c r="Y244" s="75"/>
      <c r="Z244" s="75"/>
      <c r="AA244" s="75"/>
      <c r="AB244" s="75"/>
      <c r="AC244" s="75"/>
    </row>
    <row r="245" spans="1:29" ht="27.75" hidden="1" customHeight="1" x14ac:dyDescent="0.2">
      <c r="A245" s="54"/>
      <c r="B245" s="113" t="str">
        <f>IF(C225="","",IF(C230="Futures","",IF(C230="Options Sell",[1]AB5!$B$79,IF(C230="Options Buy",[1]AB5!$B$112))))</f>
        <v/>
      </c>
      <c r="C245" s="114"/>
      <c r="D245" s="63" t="str">
        <f>IF(C225="","",IF(C230="Futures","",IF(C230="Options Sell",[1]AB5!$D$79,IF(C230="Options Buy",[1]AB5!$D$112))))</f>
        <v/>
      </c>
      <c r="E245" s="64" t="str">
        <f>IF(C225="","",IF(C230="Futures","",IF(C230="Options Sell",[1]AB5!$E$79,IF(C230="Options Buy",[1]AB5!$E$112))))</f>
        <v/>
      </c>
      <c r="F245" s="65"/>
      <c r="G245" s="66" t="str">
        <f>IF(C225="","",IF(C230="Futures","",IF(C230="Options Sell",[1]AB5!$G$79,IF(C230="Options Buy",[1]AB5!$G$112))))</f>
        <v/>
      </c>
      <c r="H245" s="67" t="str">
        <f>IF(C225="","",IF(C230="Futures","",IF(C230="Options Sell",[1]AB5!$H$79,IF(C230="Options Buy",[1]AB5!$H$112))))</f>
        <v/>
      </c>
      <c r="I245" s="68" t="str">
        <f>IF(C225="","",IF(C230="Futures","",IF(C230="Options Sell",[1]AB5!$I$79,IF(C230="Options Buy",[1]AB5!$I$112))))</f>
        <v/>
      </c>
      <c r="J245" s="69" t="str">
        <f>IF(C225="","",IF(C230="Futures","",IF(C230="Options Sell",[1]AB5!$J$79,IF(C230="Options Buy",[1]AB5!$J$112))))</f>
        <v/>
      </c>
      <c r="K245" s="65"/>
      <c r="L245" s="70" t="str">
        <f>IF(C225="","",IF(C230="Futures","",IF(C230="Options Sell",[1]AB5!$L$79,IF(C230="Options Buy",[1]AB5!$L$112))))</f>
        <v/>
      </c>
      <c r="M245" s="68" t="str">
        <f>IF(C225="","",IF(C230="Futures","",IF(C230="Options Sell",[1]AB5!$M$79,IF(C230="Options Buy",[1]AB5!$M$112))))</f>
        <v/>
      </c>
      <c r="N245" s="67" t="str">
        <f>IF(C225="","",IF(C230="Futures","",IF(C230="Options Sell",[1]AB5!$N$79,IF(C230="Options Buy",[1]AB5!$N$112))))</f>
        <v/>
      </c>
      <c r="O245" s="74" t="str">
        <f>IF(C225="","",IF(C230="Futures","",IF(C230="Options Sell",[1]AB5!$O$79,IF(C230="Options Buy",[1]AB5!$O$112))))</f>
        <v/>
      </c>
      <c r="P245" s="219" t="str">
        <f>IF(C225="","",IF(C230="Futures","",IF(C230="Options Sell",[1]AB5!$P$79,IF(C230="Options Buy",[1]AB5!$P$112))))</f>
        <v/>
      </c>
      <c r="Q245" s="220" t="str">
        <f>IF(C225="","",IF(C230="Futures","",IF(C230="Options Sell",[1]AB5!$Q$79,IF(C230="Options Buy",[1]AB5!$Q$112))))</f>
        <v/>
      </c>
      <c r="R245" s="220" t="str">
        <f>IF(C225="","",IF(C230="Futures","",IF(C230="Options Sell",[1]AB5!$R$79,IF(C230="Options Buy",[1]AB5!$R$112))))</f>
        <v/>
      </c>
      <c r="S245" s="221" t="str">
        <f>IF(C225="","",IF(C230="Futures","",IF(C230="Options Sell",[1]AB5!$S$79,IF(C230="Options Buy",[1]AB5!$S$112))))</f>
        <v/>
      </c>
      <c r="T245" s="222"/>
      <c r="U245" s="221" t="str">
        <f>IF(C225="","",IF(C230="Futures","",IF(C230="Options Sell",[1]AB5!$U$79,IF(C230="Options Buy",[1]AB5!$U$112))))</f>
        <v/>
      </c>
      <c r="V245" s="222"/>
      <c r="W245" s="221" t="str">
        <f>IF(C225="","",IF(C230="Futures","",IF(C230="Options Sell",[1]AB5!$W$79,IF(C230="Options Buy",[1]AB5!$W$112))))</f>
        <v/>
      </c>
      <c r="X245" s="222"/>
      <c r="Y245" s="223" t="str">
        <f>IF(C225="","",IF(C230="Futures","",IF(C230="Options Sell",[1]AB5!$Y$79,IF(C230="Options Buy",[1]AB5!$Y$112))))</f>
        <v/>
      </c>
      <c r="Z245" s="221" t="str">
        <f>IF(C225="","",IF(C230="Futures","",IF(C230="Options Sell",[1]AB5!$Z$79,IF(C230="Options Buy",[1]AB5!$Z$112))))</f>
        <v/>
      </c>
      <c r="AA245" s="19"/>
      <c r="AB245" s="153"/>
      <c r="AC245" s="153"/>
    </row>
    <row r="246" spans="1:29" ht="15.75" hidden="1" customHeight="1" x14ac:dyDescent="0.2">
      <c r="A246" s="15" t="str">
        <f>IF(C225="","",CONCATENATE(C226,[1]AB5!$A$4))</f>
        <v/>
      </c>
      <c r="B246" s="128" t="str">
        <f>IF(C225="","",IF(C230="Futures","",IF(C230="Options Sell",[1]AB5!$B$80,IF(C230="Options Buy",[1]AB5!$B$113))))</f>
        <v/>
      </c>
      <c r="C246" s="129" t="str">
        <f>IF(C225="","",IF(C230="Futures","",IF(C230="Options Sell",[1]AB5!$C$80,IF(C230="Options Buy",[1]AB5!$C$113))))</f>
        <v/>
      </c>
      <c r="D246" s="154" t="str">
        <f>IF(C225="","",IF(C230="Futures","",IF(C230="Options Sell",[1]AB5!$D$80,IF(C230="Options Buy",[1]AB5!$D$113))))</f>
        <v/>
      </c>
      <c r="E246" s="155" t="str">
        <f>IF(C225="","",IF(C230="Futures","",IF(C230="Options Sell",CONCATENATE([1]AB5!$E$80,TEXT(B247,"HH:MM:SS AM/PM"),[1]AB5!$B$81,[1]AB5!$F$80))))</f>
        <v/>
      </c>
      <c r="F246" s="156"/>
      <c r="G246" s="157" t="str">
        <f>IF(C225="","",IF(C230="Futures","",IF(C230="Options Sell",[1]AB5!$G$80,IF(C230="Options Buy",[1]AB5!$G$113))))</f>
        <v/>
      </c>
      <c r="H246" s="158" t="str">
        <f>IF(C225="","",IF(C230="Futures","",IF(C230="Options Sell",[1]AB5!$H$80)))</f>
        <v/>
      </c>
      <c r="I246" s="159" t="str">
        <f>IF(C225="","",IF(C230="Futures","",IF(C230="Options Sell",[1]AB5!$I$80)))</f>
        <v/>
      </c>
      <c r="J246" s="160" t="str">
        <f>IF(C225="","",IF(C230="Futures","",IF(C230="Options Sell",[1]AB5!$J$80)))</f>
        <v/>
      </c>
      <c r="K246" s="161"/>
      <c r="L246" s="162" t="str">
        <f>IF(C225="","",IF(C230="Futures","",IF(C230="Options Sell",B243)))</f>
        <v/>
      </c>
      <c r="M246" s="163" t="str">
        <f>IF(C225="","",IF(C230="Futures","",IF(C230="Options Sell",[1]AB5!$M$80)))</f>
        <v/>
      </c>
      <c r="N246" s="158" t="str">
        <f>IF(C225="","",IF(C230="Futures","",IF(C230="Options Sell",[1]AB5!$N$80)))</f>
        <v/>
      </c>
      <c r="O246" s="164" t="str">
        <f>IF(C225="","",IF(C230="Futures","",IF(C230="Options Sell",[1]AB5!$O$80)))</f>
        <v/>
      </c>
      <c r="P246" s="165" t="str">
        <f>IF(C225="","",[1]AB5!$P$80)</f>
        <v/>
      </c>
      <c r="Q246" s="166" t="str">
        <f>IF(C225="","",[1]AB5!$Q$80)</f>
        <v/>
      </c>
      <c r="R246" s="167" t="str">
        <f t="array" ref="R246">IF(C225="","",IF(C230="Futures","",IF(C230="Options Sell",CONCATENATE([1]AB5!$M$73, "( ",INDEX([1]AB4!BP:BP,MATCH(A225,[1]AB4!B:B,0))," &amp; ",[1]AB5!$R$80," ) ",INDEX([1]AB4!BQ:BQ,MATCH(A225,[1]AB4!B:B))," ",N239," ) &amp; ",INDEX([1]AB4!BS:BS,MATCH(A225,[1]AB4!B:B,0))))))</f>
        <v/>
      </c>
      <c r="S246" s="168" t="str">
        <f t="array" ref="S246">IF(C225="","",IF(C230="Futures","",IF(C230="Options Sell",CONCATENATE([1]AB5!$O$73,"( ",INDEX([1]AB4!BT:BT,MATCH(A225,[1]AB4!B:B,0))," &amp; ",[1]AB5!$S$80," ) &amp; ",INDEX([1]AB4!BW:BW,MATCH(A225,[1]AB4!B:B,0))," ",INDEX([1]AB4!BX:BX,MATCH(A225,[1]AB4!B:B,0))," ",INDEX([1]AB4!BY:BY,MATCH(A225,[1]AB4!B:B,0))))))</f>
        <v/>
      </c>
      <c r="T246" s="27"/>
      <c r="U246" s="168" t="str">
        <f t="array" ref="U246">IF(C225="","",IF(C230="Futures","",IF(C230="Options Sell",CONCATENATE([1]AB5!$T$73,"( ",INDEX([1]AB4!CE:CE,MATCH(A225,[1]AB4!B:B,0))," &amp; ",[1]AB5!$U$80," ) ",[1]AB5!$H$59,TEXT(INDEX([1]AB4!CF:CF,MATCH(A225,[1]AB4!B:B,0)),"0.00%")))))</f>
        <v/>
      </c>
      <c r="V246" s="27"/>
      <c r="W246" s="168" t="str">
        <f t="array" ref="W246">IF(C225="","",IF(C230="Futures","",IF(C230="Options Sell",CONCATENATE([1]AB5!$V$73,"( ",INDEX([1]AB4!CG:CG,MATCH(A225,[1]AB4!B:B,0))," &amp; ",[1]AB5!$W$80," ) ",[1]AB5!$H$59,TEXT(INDEX([1]AB4!CH:CH,MATCH(A225,[1]AB4!B:B,0)),"0.00%")))))</f>
        <v/>
      </c>
      <c r="X246" s="27"/>
      <c r="Y246" s="169" t="str">
        <f>IF(A225="","",IF(C230="Futures","",IF(C230="Options Sell",I225)))</f>
        <v/>
      </c>
      <c r="Z246" s="168" t="str">
        <f t="array" ref="Z246">IF(C225="","",IF(C230="Futures","",IF(C230="Options Sell",CONCATENATE([1]AB5!$X$73,"( ",INDEX([1]AB4!G:G,MATCH(A225,[1]AB4!B:B,0))," &amp; ",[1]AB5!$Z$80," ) ",INDEX([1]AB4!H:H,MATCH(A225,[1]AB4!B:B,0))," ",AA239))))</f>
        <v/>
      </c>
      <c r="AA246" s="114"/>
      <c r="AB246" s="75"/>
      <c r="AC246" s="75"/>
    </row>
    <row r="247" spans="1:29" ht="15.75" hidden="1" customHeight="1" x14ac:dyDescent="0.2">
      <c r="A247" s="15" t="str">
        <f>IF(C225="","",CONCATENATE(C226,[1]AB5!$A$7))</f>
        <v/>
      </c>
      <c r="B247" s="135" t="str">
        <f t="array" ref="B247">IF(C225="","", IF(C230="Futures","",IF(C230="Options Sell",INDEX([1]AB4!BG:BG,MATCH(A246,[1]AB4!B:B,0)))))</f>
        <v/>
      </c>
      <c r="C247" s="136" t="str">
        <f t="array" ref="C247">IF(C225="","", INDEX([1]AB4!BG:BG,MATCH(A247,[1]AB4!B:B,0)))</f>
        <v/>
      </c>
      <c r="D247" s="32"/>
      <c r="E247" s="32"/>
      <c r="F247" s="156"/>
      <c r="G247" s="170" t="str">
        <f>IF(C225="","",IF(C230="Futures","",IF(C230="Options Sell",[1]AB5!$G$81,IF(C230="Options Buy",[1]AB5!$G$114))))</f>
        <v/>
      </c>
      <c r="H247" s="131" t="str">
        <f>IF(C225="","",IF(C230="Futures","",IF(C230="Options Sell",[1]AB5!$H$81)))</f>
        <v/>
      </c>
      <c r="I247" s="119" t="str">
        <f>IF(C225="","",IF(C230="Futures","",IF(C230="Options Sell",[1]AB5!$I$81)))</f>
        <v/>
      </c>
      <c r="J247" s="120" t="str">
        <f>IF(C225="","",IF(C230="Futures","",IF(C230="Options Sell",[1]AB5!$J$81)))</f>
        <v/>
      </c>
      <c r="K247" s="107"/>
      <c r="L247" s="121" t="str">
        <f>IF(C225="","",IF(C230="Futures","",IF(C230="Options Sell",C243)))</f>
        <v/>
      </c>
      <c r="M247" s="171" t="str">
        <f>IF(C225="","",IF(C230="Futures","",IF(C230="Options Sell",CONCATENATE(N247," ",[1]AB5!$M$81," ",TEXT(O247,"0.00%")))))</f>
        <v/>
      </c>
      <c r="N247" s="132" t="str">
        <f>IF(C225="","",IF(C230="Futures","",IF(C230="Options Sell",CONCATENATE(TEXT(L247,"HH:MM:SS AM/PM"),[1]AB5!$N$81))))</f>
        <v/>
      </c>
      <c r="O247" s="172" t="str">
        <f t="array" ref="O247">IF(A225="","",IF(C230="Futures","",IF(C230="Options Sell",TEXT(INDEX([1]AB4!BL:BL,MATCH(A225,[1]AB4!B:B,0)),"0.00%"))))</f>
        <v/>
      </c>
      <c r="P247" s="110"/>
      <c r="Q247" s="173" t="str">
        <f>IF(C225="","",[1]AB5!$Q$81)</f>
        <v/>
      </c>
      <c r="R247" s="174" t="str">
        <f t="array" ref="R247">IF(C225="","",IF(C230="Futures","",IF(C230="Options Sell",CONCATENATE([1]AB5!$M$76, "( ",INDEX([1]AB4!BP:BP,MATCH(A228,[1]AB4!B:B,0))," &amp; ",[1]AB5!$R$81," ) ",INDEX([1]AB4!BQ:BQ,MATCH(A228,[1]AB4!B:B,0))," ",N242," ) &amp; ",INDEX([1]AB4!BS:BS,MATCH(A228,[1]AB4!B:B,0))))))</f>
        <v/>
      </c>
      <c r="S247" s="175" t="str">
        <f t="array" ref="S247">IF(C225="","",IF(C230="Futures","",IF(C230="Options Sell",CONCATENATE([1]AB5!$O$76,"( ",INDEX([1]AB4!BT:BT,MATCH(A228,[1]AB4!B:B,0))," &amp; ",[1]AB5!$S$81," ) &amp; ",INDEX([1]AB4!BW:BW,MATCH(A228,[1]AB4!B:B,0))," ",INDEX([1]AB4!BX:BX,MATCH(A228,[1]AB4!B:B,0))," ",INDEX([1]AB4!BY:BY,MATCH(A228,[1]AB4!B:B,0))))))</f>
        <v/>
      </c>
      <c r="T247" s="40"/>
      <c r="U247" s="175" t="str">
        <f t="array" ref="U247">IF(C225="","",IF(C230="Futures","",IF(C230="Options Sell",CONCATENATE([1]AB5!$T$76,"( ",INDEX([1]AB4!CE:CE,MATCH(A228,[1]AB4!B:B,0))," &amp; ",[1]AB5!$U$81," ) ",[1]AB5!$H$59,TEXT(INDEX([1]AB4!CF:CF,MATCH(A228,[1]AB4!B:B,0)),"0.00%")))))</f>
        <v/>
      </c>
      <c r="V247" s="40"/>
      <c r="W247" s="175" t="str">
        <f t="array" ref="W247">IF(C225="","",IF(C230="Futures","",IF(C230="Options Sell",CONCATENATE([1]AB5!$V$76,"( ",INDEX([1]AB4!CG:CG,MATCH(A228,[1]AB4!B:B,0))," &amp; ",[1]AB5!$W$81," ) ",[1]AB5!$H$59,TEXT(INDEX([1]AB4!CH:CH,MATCH(A228,[1]AB4!B:B,0)),"0.00%")))))</f>
        <v/>
      </c>
      <c r="X247" s="40"/>
      <c r="Y247" s="176" t="str">
        <f>IF(A225="","",IF(C230="Futures","",IF(C230="Options Sell",I228)))</f>
        <v/>
      </c>
      <c r="Z247" s="175" t="str">
        <f t="array" ref="Z247">IF(C225="","",IF(C230="Futures","",IF(C230="Options Sell",CONCATENATE([1]AB5!$X$76,"( ",INDEX([1]AB4!G:G,MATCH(A228,[1]AB4!B:B,0))," &amp; ",[1]AB5!$Z$81," ) ", INDEX([1]AB4!H:H,MATCH(A228,[1]AB4!B:B,0))," ",AA242))))</f>
        <v/>
      </c>
      <c r="AA247" s="177"/>
      <c r="AB247" s="75"/>
      <c r="AC247" s="75"/>
    </row>
    <row r="248" spans="1:29" ht="15.75" hidden="1" customHeight="1" x14ac:dyDescent="0.2">
      <c r="A248" s="15"/>
      <c r="B248" s="75"/>
      <c r="C248" s="75"/>
      <c r="D248" s="112"/>
      <c r="E248" s="112"/>
      <c r="F248" s="161"/>
      <c r="G248" s="96"/>
      <c r="H248" s="14"/>
      <c r="I248" s="119" t="str">
        <f>IF(C225="","",IF(C230="Futures","",IF(C230="Options Sell",[1]AB5!$I$82)))</f>
        <v/>
      </c>
      <c r="J248" s="120" t="str">
        <f>IF(C225="","",IF(C230="Futures","",IF(C230="Options Sell",[1]AB5!$J$82)))</f>
        <v/>
      </c>
      <c r="K248" s="107"/>
      <c r="L248" s="121" t="str">
        <f>IF(C225="","",IF(C230="Futures","",IF(C230="Options Sell",C243)))</f>
        <v/>
      </c>
      <c r="M248" s="171" t="str">
        <f>IF(C225="","",IF(C230="Futures","",IF(C230="Options Sell",CONCATENATE(N248," ",[1]AB5!$M$82," ",TEXT(O248,"0.00%")))))</f>
        <v/>
      </c>
      <c r="N248" s="132" t="str">
        <f>IF(C225="","",IF(C230="Futures","",IF(C230="Options Sell",CONCATENATE(TEXT(L248,"HH:MM:SS AM/PM"),[1]AB5!$N$82))))</f>
        <v/>
      </c>
      <c r="O248" s="172" t="str">
        <f t="array" ref="O248">IF(A225="","",IF(C230="Futures","",IF(C230="Options Sell",TEXT(INDEX([1]AB4!BL:BL,MATCH(A231,[1]AB4!B:B,0)),"0.00%"))))</f>
        <v/>
      </c>
      <c r="P248" s="178" t="str">
        <f>IF(C225="","",[1]AB5!$P$82)</f>
        <v/>
      </c>
      <c r="Q248" s="166" t="str">
        <f>IF(C227="","",[1]AB5!$Q$82)</f>
        <v/>
      </c>
      <c r="R248" s="167" t="str">
        <f t="array" ref="R248">IF(C225="","",IF(C230="Futures","",IF(C230="Options Sell",CONCATENATE([1]AB5!$M$74,"( ",INDEX([1]AB4!BP:BP,MATCH(A231,[1]AB4!B:B,0))," &amp; ",[1]AB5!$R$82," ) ",INDEX([1]AB4!BQ:BQ,MATCH(A231,[1]AB4!B:B,0))," ",N240," ) &amp; ",INDEX([1]AB4!BS:BS,MATCH(A231,[1]AB4!B:B,0))))))</f>
        <v/>
      </c>
      <c r="S248" s="168" t="str">
        <f t="array" ref="S248">IF(C225="","",IF(C230="Futures","",IF(C230="Options Sell",CONCATENATE([1]AB5!$O$74,"( ",INDEX([1]AB4!BT:BT,MATCH(A231,[1]AB4!B:B,0))," &amp; ",[1]AB5!$S$82," ) &amp; ",INDEX([1]AB4!BW:BW,MATCH(A231,[1]AB4!B:B,0))," ",INDEX([1]AB4!BX:BX,MATCH(A231,[1]AB4!B:B,0))," ",INDEX([1]AB4!BY:BY,MATCH(A231,[1]AB4!B:B,0))))))</f>
        <v/>
      </c>
      <c r="T248" s="27"/>
      <c r="U248" s="168" t="str">
        <f t="array" ref="U248">IF(C225="","",IF(C230="Futures","",IF(C230="Options Sell",CONCATENATE([1]AB5!$T$74," of ( ",INDEX([1]AB4!CE:CE,MATCH(A231,[1]AB4!B:B,0))," &amp; ",[1]AB5!$U$82," ) ",[1]AB5!$H$59,TEXT(INDEX([1]AB4!CF:CF,MATCH(A231,[1]AB4!B:B,0)),"0.00%")))))</f>
        <v/>
      </c>
      <c r="V248" s="27"/>
      <c r="W248" s="168" t="str">
        <f t="array" ref="W248">IF(C225="","",IF(C230="Futures","",IF(C230="Options Sell",CONCATENATE([1]AB5!$V$74,"( ",INDEX([1]AB4!CG:CG,MATCH(A231,[1]AB4!B:B,0))," &amp; ",[1]AB5!$W$82," ) ",[1]AB5!$H$59,TEXT(INDEX([1]AB4!CH:CH,MATCH(A231,[1]AB4!B:B,0)),"0.00%")))))</f>
        <v/>
      </c>
      <c r="X248" s="27"/>
      <c r="Y248" s="169" t="str">
        <f>IF(A225="","",IF(C230="Futures","",IF(C230="Options Sell",I231)))</f>
        <v/>
      </c>
      <c r="Z248" s="168" t="str">
        <f t="array" ref="Z248">IF(C225="","",IF(C230="Futures","",IF(C230="Options Sell",CONCATENATE([1]AB5!$X$74,"( ",INDEX([1]AB4!G:G,MATCH(A231,[1]AB4!B:B,0))," &amp; ",[1]AB5!$Z$82," ) ", INDEX([1]AB4!H:H,MATCH(A231,[1]AB4!B:B,0))," ",AA240))))</f>
        <v/>
      </c>
      <c r="AA248" s="114"/>
      <c r="AB248" s="75"/>
      <c r="AC248" s="75"/>
    </row>
    <row r="249" spans="1:29" ht="33.75" hidden="1" customHeight="1" x14ac:dyDescent="0.2">
      <c r="A249" s="15"/>
      <c r="B249" s="179" t="str">
        <f>IF(C225="","",IF(C230="Futures","",IF(C230="Options Sell",[1]AB5!$B$83,IF(C230="Options Buy",[1]AB5!$B$116))))</f>
        <v/>
      </c>
      <c r="C249" s="19"/>
      <c r="D249" s="180" t="str">
        <f>IF(C225="","",IF(C230="Futures","",IF(C230="Options Sell",[1]AB5!$D$83,IF(C230="Options Buy",[1]AB5!$D$116))))</f>
        <v/>
      </c>
      <c r="E249" s="181" t="str">
        <f>IF(C225="","",IF(C230="Futures","",IF(C230="Options Sell",CONCATENATE([1]AB5!$E$83,TEXT(B247,"HH:MM:SS AM/PM"),[1]AB5!$B$81,[1]AB5!$F$83))))</f>
        <v/>
      </c>
      <c r="F249" s="182"/>
      <c r="G249" s="183" t="str">
        <f>IF(C225="","",IF(C230="Futures","",IF(C230="Options Sell",[1]AB5!$G$83,IF(C230="Options Buy",[1]AB5!$G$116))))</f>
        <v/>
      </c>
      <c r="H249" s="104" t="str">
        <f>IF(C225="","",IF(C230="Futures","",IF(C230="Options Sell",[1]AB5!$H$83)))</f>
        <v/>
      </c>
      <c r="I249" s="100" t="str">
        <f>IF(C225="","",IF(C230="Futures","",IF(C230="Options Sell",[1]AB5!$I$83)))</f>
        <v/>
      </c>
      <c r="J249" s="101" t="str">
        <f>IF(C225="","",IF(C230="Futures","",IF(C230="Options Sell",[1]AB5!$J$83)))</f>
        <v/>
      </c>
      <c r="K249" s="102"/>
      <c r="L249" s="103" t="str">
        <f>IF(C225="","",IF(C230="Futures","",IF(C230="Options Sell",B243)))</f>
        <v/>
      </c>
      <c r="M249" s="184" t="str">
        <f>IF(C225="","",IF(C230="Futures","",IF(C230="Options Sell",[1]AB5!$M$83)))</f>
        <v/>
      </c>
      <c r="N249" s="104" t="str">
        <f>IF(C225="","",IF(C230="Futures","",IF(C230="Options Sell",[1]AB5!$N$83)))</f>
        <v/>
      </c>
      <c r="O249" s="185" t="str">
        <f>IF(C225="","",IF(C230="Futures","",IF(C230="Options Sell",[1]AB5!$O$83)))</f>
        <v/>
      </c>
      <c r="P249" s="110"/>
      <c r="Q249" s="173" t="str">
        <f>IF(C227="","",[1]AB5!$Q$83)</f>
        <v/>
      </c>
      <c r="R249" s="174" t="str">
        <f t="array" ref="R249">IF(C225="","",IF(C230="Futures","",IF(C230="Options Sell",CONCATENATE([1]AB5!$M$77, "( ",INDEX([1]AB4!BP:BP,MATCH(A234,[1]AB4!B:B,0))," &amp; ",[1]AB5!$R$83," ) ", INDEX([1]AB4!BQ:BQ,MATCH(A234,[1]AB4!B:B,0))," ",N243," ) &amp; ",INDEX([1]AB4!BS:BS,MATCH(A234,[1]AB4!B:B,0))))))</f>
        <v/>
      </c>
      <c r="S249" s="175" t="str">
        <f t="array" ref="S249">IF(C225="","",IF(C230="Futures","",IF(C230="Options Sell",CONCATENATE([1]AB5!$O$77,"( ",INDEX([1]AB4!BT:BT,MATCH(A234,[1]AB4!B:B,0))," &amp; ",[1]AB5!$S$83," ) &amp; ",INDEX([1]AB4!BW:BW,MATCH(A234,[1]AB4!B:B,0))," ",INDEX([1]AB4!BX:BX,MATCH(A234,[1]AB4!B:B,0))," ",INDEX([1]AB4!BY:BY,MATCH(A234,[1]AB4!B:B,0))))))</f>
        <v/>
      </c>
      <c r="T249" s="40"/>
      <c r="U249" s="175" t="str">
        <f t="array" ref="U249">IF(C225="","",IF(C230="Futures","",IF(C230="Options Sell",CONCATENATE([1]AB5!$T$77,"( ",INDEX([1]AB4!CE:CE,MATCH(A234,[1]AB4!B:B,0))," &amp; ",[1]AB5!$U$83," ) ",[1]AB5!$H$59,TEXT(INDEX([1]AB4!CF:CF,MATCH(A234,[1]AB4!B:B,0)),"0.00%")))))</f>
        <v/>
      </c>
      <c r="V249" s="40"/>
      <c r="W249" s="175" t="str">
        <f t="array" ref="W249">IF(C225="","",IF(C230="Futures","",IF(C230="Options Sell",CONCATENATE([1]AB5!$V$77,"( ",INDEX([1]AB4!CG:CG,MATCH(A234,[1]AB4!B:B,0))," &amp; ",[1]AB5!$W$83," ) ",[1]AB5!$H$59,TEXT(INDEX([1]AB4!CH:CH,MATCH(A234,[1]AB4!B:B,0)),"0.00%")))))</f>
        <v/>
      </c>
      <c r="X249" s="40"/>
      <c r="Y249" s="176" t="str">
        <f>IF(A225="","",IF(C230="Futures","",IF(C230="Options Sell",I234)))</f>
        <v/>
      </c>
      <c r="Z249" s="175" t="str">
        <f t="array" ref="Z249">IF(C225="","",IF(C230="Futures","",IF(C230="Options Sell",CONCATENATE([1]AB5!$X$77,"( ",INDEX([1]AB4!G:G,MATCH(A234,[1]AB4!B:B,0))," &amp; ",[1]AB5!$Z$83," ) ", INDEX([1]AB4!H:H,MATCH(A234,[1]AB4!B:B,0))," ",AA243))))</f>
        <v/>
      </c>
      <c r="AA249" s="177"/>
      <c r="AB249" s="75"/>
      <c r="AC249" s="75"/>
    </row>
    <row r="250" spans="1:29" ht="15.75" hidden="1" customHeight="1" x14ac:dyDescent="0.2">
      <c r="A250" s="75"/>
      <c r="B250" s="32"/>
      <c r="C250" s="33"/>
      <c r="D250" s="32"/>
      <c r="E250" s="32"/>
      <c r="F250" s="156"/>
      <c r="G250" s="186" t="str">
        <f>IF(C225="","",IF(C230="Futures","",IF(C230="Options Sell",[1]AB5!$G$84,IF(C230="Options Buy",[1]AB5!$G$117))))</f>
        <v/>
      </c>
      <c r="H250" s="99" t="str">
        <f>IF(C225="","",IF(C230="Futures","",IF(C230="Options Sell",[1]AB5!$H$84)))</f>
        <v/>
      </c>
      <c r="I250" s="100" t="str">
        <f>IF(C225="","",IF(C230="Futures","",IF(C230="Options Sell",[1]AB5!$I$84)))</f>
        <v/>
      </c>
      <c r="J250" s="101" t="str">
        <f>IF(C225="","",IF(C230="Futures","",IF(C230="Options Sell",[1]AB5!$J$84)))</f>
        <v/>
      </c>
      <c r="K250" s="102"/>
      <c r="L250" s="103" t="str">
        <f>IF(C225="","",IF(C230="Futures","",IF(C230="Options Sell",C243)))</f>
        <v/>
      </c>
      <c r="M250" s="184" t="str">
        <f>IF(C225="","",IF(C230="Futures","",IF(C230="Options Sell",CONCATENATE(N250," ",[1]AB5!$M$84," ",TEXT(O250,"0.00%")))))</f>
        <v/>
      </c>
      <c r="N250" s="105" t="str">
        <f>IF(C225="","",IF(C230="Futures","",IF(C230="Options Sell",CONCATENATE(TEXT(L250,"HH:MM:SS AM/PM"),[1]AB5!$N$84))))</f>
        <v/>
      </c>
      <c r="O250" s="187" t="str">
        <f t="array" ref="O250">IF(A225="","",IF(C230="Futures","",IF(C230="Options Sell",TEXT(INDEX([1]AB4!BL:BL,MATCH(A228,[1]AB4!B:B,0)),"0.00%"))))</f>
        <v/>
      </c>
      <c r="P250" s="188" t="str">
        <f>IF(C225="","",[1]AB5!$P$84)</f>
        <v/>
      </c>
      <c r="Q250" s="189"/>
      <c r="R250" s="189"/>
      <c r="S250" s="189"/>
      <c r="T250" s="189"/>
      <c r="U250" s="189"/>
      <c r="V250" s="189"/>
      <c r="W250" s="189"/>
      <c r="X250" s="189"/>
      <c r="Y250" s="189"/>
      <c r="Z250" s="189"/>
      <c r="AA250" s="33"/>
      <c r="AB250" s="75"/>
      <c r="AC250" s="75"/>
    </row>
    <row r="251" spans="1:29" ht="15.75" hidden="1" customHeight="1" x14ac:dyDescent="0.2">
      <c r="A251" s="75"/>
      <c r="B251" s="34"/>
      <c r="C251" s="53"/>
      <c r="D251" s="34"/>
      <c r="E251" s="34"/>
      <c r="F251" s="190"/>
      <c r="G251" s="111"/>
      <c r="H251" s="138"/>
      <c r="I251" s="191" t="str">
        <f>IF(C225="","",IF(C230="Futures","",IF(C230="Options Sell",[1]AB5!$I$85)))</f>
        <v/>
      </c>
      <c r="J251" s="192" t="str">
        <f>IF(C225="","",IF(C230="Futures","",IF(C230="Options Sell",[1]AB5!$J$85)))</f>
        <v/>
      </c>
      <c r="K251" s="40"/>
      <c r="L251" s="193" t="str">
        <f>IF(C225="","",IF(C230="Futures","",IF(C230="Options Sell",C243)))</f>
        <v/>
      </c>
      <c r="M251" s="194" t="str">
        <f>IF(C225="","",IF(C230="Futures","",IF(C230="Options Sell",CONCATENATE(N251," ",[1]AB5!$M$85," ",TEXT(O251,"0.00%")))))</f>
        <v/>
      </c>
      <c r="N251" s="195" t="str">
        <f>IF(C225="","",IF(C230="Futures","",IF(C230="Options Sell",CONCATENATE(TEXT(L251,"HH:MM:SS AM/PM"),[1]AB5!$N$85))))</f>
        <v/>
      </c>
      <c r="O251" s="196" t="str">
        <f t="array" ref="O251">IF(A225="","",IF(C230="Futures","",IF(C230="Options Sell",TEXT(INDEX([1]AB4!BL:BL,MATCH(A234,[1]AB4!B:B,0)),"0.00%"))))</f>
        <v/>
      </c>
      <c r="P251" s="197" t="str">
        <f>IF(C225="","",[1]AB5!$P$85)</f>
        <v/>
      </c>
      <c r="Q251" s="190"/>
      <c r="R251" s="190"/>
      <c r="S251" s="190"/>
      <c r="T251" s="190"/>
      <c r="U251" s="190"/>
      <c r="V251" s="190"/>
      <c r="W251" s="190"/>
      <c r="X251" s="190"/>
      <c r="Y251" s="190"/>
      <c r="Z251" s="190"/>
      <c r="AA251" s="53"/>
      <c r="AB251" s="75"/>
      <c r="AC251" s="75"/>
    </row>
    <row r="252" spans="1:29" ht="15.75" hidden="1" customHeight="1" x14ac:dyDescent="0.2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  <c r="AA252" s="75"/>
      <c r="AB252" s="75"/>
      <c r="AC252" s="75"/>
    </row>
    <row r="253" spans="1:29" ht="15.75" hidden="1" customHeight="1" x14ac:dyDescent="0.2">
      <c r="A253" s="15" t="str">
        <f>IF(C253="","",CONCATENATE(C254,[1]AB5!$A$4))</f>
        <v/>
      </c>
      <c r="B253" s="16" t="str">
        <f>IF(C253="","",[1]AB5!$B$59)</f>
        <v/>
      </c>
      <c r="C253" s="17"/>
      <c r="D253" s="18" t="str">
        <f>IF(C253="","",IF(C258="Futures","",IF(C258="Options Sell",[1]AB5!$D$59,IF(C258="Options Buy",[1]AB5!$D$92))))</f>
        <v/>
      </c>
      <c r="E253" s="19"/>
      <c r="F253" s="18" t="str">
        <f>IF(C253="","",IF(C258="Futures","",IF(C258="Options Sell",[1]AB5!$F$59,IF(C258="Options Buy",[1]AB5!$F$92))))</f>
        <v/>
      </c>
      <c r="G253" s="20" t="str">
        <f t="array" ref="G253">IF(C253="","",IF(C258="Futures","",IF(C258="Options Sell",CONCATENATE("( ",INDEX([1]AB4!BP:BP,MATCH(A253,[1]AB4!B:B))," ",INDEX([1]AB4!BQ:BQ,MATCH(A253,[1]AB4!B:B))," ",TEXT(INDEX([1]AB4!BR:BR,MATCH(A253,[1]AB4!B:B)),"0.00%")," ) &amp; ",INDEX([1]AB4!BS:BS,MATCH(A253,[1]AB4!B:B))),IF(C258="Options Buy",CONCATENATE("( ",INDEX([1]AB4!BP:BP,MATCH(A253,[1]AB4!B:B,0))," ",INDEX([1]AB4!BQ:BQ,MATCH(A253,[1]AB4!B:B,0))," ",TEXT(INDEX([1]AB4!BR:BR,MATCH(A253,[1]AB4!B:B,0)),"0.00%")," ) &amp; ",INDEX([1]AB4!BS:BS,MATCH(A253,[1]AB4!B:B,0)))))))</f>
        <v/>
      </c>
      <c r="H253" s="20" t="str">
        <f t="array" ref="H253">IF(C253="","",IF(C258="Futures","",IF(C258="Options Sell",CONCATENATE(INDEX([1]AB4!CE:CE,MATCH(A253,[1]AB4!B:B)),[1]AB5!$H$59,TEXT(INDEX([1]AB4!CF:CF,MATCH(A253,[1]AB4!B:B)),"0.00%")))))</f>
        <v/>
      </c>
      <c r="I253" s="21" t="str">
        <f t="array" ref="I253">IF(C253="","",IF(C258="Futures","",IF(C258="Options Sell",CONCATENATE(INDEX([1]AB4!CI:CI,MATCH(A253,[1]AB4!B:B)),[1]AB5!$I$59))))</f>
        <v/>
      </c>
      <c r="J253" s="22" t="str">
        <f>IF(C253="","",IF(C258="Futures","",IF(C258="Options Sell",[1]AB5!$J$59,IF(C258="Options Buy",[1]AB5!$J$92))))</f>
        <v/>
      </c>
      <c r="K253" s="18" t="str">
        <f>IF(C253="","",IF(C258="Futures","",IF(C258="Options Sell",[1]AB5!$K$59,IF(C258="Options Buy",[1]AB5!$K$92))))</f>
        <v/>
      </c>
      <c r="L253" s="23" t="str">
        <f>IF(C253="","",IF(C258="Futures","",IF(C258="Options Sell",[1]AB5!$G$4,IF(C258="Options Buy",[1]AB5!$L$92))))</f>
        <v/>
      </c>
      <c r="M253" s="20" t="str">
        <f t="array" ref="M253">IF(C253="","",IF(C258="Futures","",IF(C258="Options Sell",CONCATENATE(INDEX([1]AB4!G:G,MATCH(A253,[1]AB4!B:B,0)),INDEX([1]AB4!H:H,MATCH(A253,[1]AB4!B:B,0)),TEXT(INDEX([1]AB4!I:I,MATCH(A253,[1]AB4!B:B,0)),"0.00%")))))</f>
        <v/>
      </c>
      <c r="N253" s="24" t="str">
        <f t="array" ref="N253">IF(C253="","",IF(C258="Futures","",IF(C258="Options Sell",INDEX([1]AB4!J:J,MATCH(A253,[1]AB4!B:B,0)))))</f>
        <v/>
      </c>
      <c r="O253" s="25" t="str">
        <f t="array" ref="O253">IF(C253="","",IF(C258="Futures","",IF(C258="Options Sell",IF(INDEX([1]AB4!N:N,MATCH(A253,[1]AB4!B:B,0))="","",CONCATENATE(INDEX([1]AB4!L:L,MATCH(A253,[1]AB4!B:B,0)),INDEX([1]AB4!M:M,MATCH(A253,[1]AB4!B:B,0)),TEXT(INDEX([1]AB4!N:N,MATCH(A253,[1]AB4!B:B,0)),"0.00%"))))))</f>
        <v/>
      </c>
      <c r="P253" s="26" t="str">
        <f t="array" ref="P253">IF(C253="","",IF(C258="Futures","",IF(C258="Options Sell",IF(INDEX([1]AB4!N:N,MATCH(A253,[1]AB4!B:B,0))="","",INDEX([1]AB4!O:O,MATCH(A253,[1]AB4!B:B,0))))))</f>
        <v/>
      </c>
      <c r="Q253" s="27"/>
      <c r="R253" s="25" t="str">
        <f t="array" ref="R253">IF(C253="","",IF(C258="Futures","",IF(C258="Options Sell",IF(INDEX([1]AB4!P:P,MATCH(A253,[1]AB4!B:B,0))="","",CONCATENATE(INDEX([1]AB4!L:L,MATCH(A253,[1]AB4!B:B,0)),INDEX([1]AB4!M:M,MATCH(A253,[1]AB4!B:B,0)),TEXT(INDEX([1]AB4!P:P,MATCH(A253,[1]AB4!B:B,0)),"0.00%"))))))</f>
        <v/>
      </c>
      <c r="S253" s="24" t="str">
        <f t="array" ref="S253">IF(C253="","",IF(C258="Futures","",IF(C258="Options Sell",IF(INDEX([1]AB4!P:P,MATCH(A253,[1]AB4!B:B,0))="","",INDEX([1]AB4!Q:Q,MATCH(A253,[1]AB4!B:B,0))))))</f>
        <v/>
      </c>
      <c r="T253" s="25" t="str">
        <f t="array" ref="T253">IF(C253="","",IF(C258="Futures","",IF(C258="Options Sell",IF(INDEX([1]AB4!R:R,MATCH(A253,[1]AB4!B:B,0))="","",CONCATENATE(INDEX([1]AB4!L:L,MATCH(A253,[1]AB4!B:B,0)),INDEX([1]AB4!M:M,MATCH(A253,[1]AB4!B:B,0)),TEXT(INDEX([1]AB4!R:R,MATCH(A253,[1]AB4!B:B,0)),"0.00%"))))))</f>
        <v/>
      </c>
      <c r="U253" s="24" t="str">
        <f t="array" ref="U253">IF(C253="","",IF(C258="Futures","",IF(C258="Options Sell",IF(INDEX([1]AB4!R:R,MATCH(A253,[1]AB4!B:B,0))="","",INDEX([1]AB4!S:S,MATCH(A253,[1]AB4!B:B,0))))))</f>
        <v/>
      </c>
      <c r="V253" s="25" t="str">
        <f t="array" ref="V253">IF(C253="","",IF(C258="Futures","",IF(C258="Options Sell",IF(INDEX([1]AB4!T:T,MATCH(A253,[1]AB4!B:B,0))="","",CONCATENATE(INDEX([1]AB4!L:L,MATCH(A253,[1]AB4!B:B,0)),INDEX([1]AB4!M:M,MATCH(A253,[1]AB4!B:B,0)),TEXT(INDEX([1]AB4!T:T,MATCH(A253,[1]AB4!B:B,0)),"0.00%"))))))</f>
        <v/>
      </c>
      <c r="W253" s="24" t="str">
        <f t="array" ref="W253">IF(C253="","",IF(C258="Futures","",IF(C258="Options Sell",IF(INDEX([1]AB4!T:T,MATCH(A253,[1]AB4!B:B,0))="","",INDEX([1]AB4!U:U,MATCH(A253,[1]AB4!B:B,0))))))</f>
        <v/>
      </c>
      <c r="X253" s="25" t="str">
        <f t="array" ref="X253">IF(C253="","",IF(C258="Futures","",IF(C258="Options Sell",IF(INDEX([1]AB4!V:V,MATCH(A253,[1]AB4!B:B,0))="","",INDEX([1]AB4!V:V,MATCH(A253,[1]AB4!B:B,0))))))</f>
        <v/>
      </c>
      <c r="Y253" s="24" t="str">
        <f t="array" ref="Y253">IF(C253="","",IF(C258="Futures","",IF(C258="Options Sell",IF(INDEX([1]AB4!V:V,MATCH(A253,[1]AB4!B:B,0))="","",INDEX([1]AB4!W:W,MATCH(A253,[1]AB4!B:B,0))))))</f>
        <v/>
      </c>
      <c r="Z253" s="25" t="str">
        <f t="array" ref="Z253">IF(C253="","",IF(C258="Futures","",IF(C258="Options Sell",IF(INDEX([1]AB4!X:X,MATCH(A253,[1]AB4!B:B,0))="","",INDEX([1]AB4!X:X,MATCH(A253,[1]AB4!B:B,0))))))</f>
        <v/>
      </c>
      <c r="AA253" s="28" t="str">
        <f>IF(C253="","",IF(C258="Futures","",IF(C258="Options Sell",IF(VLOOKUP(A253,[1]AB4!B:CL,23,FALSE)="","",VLOOKUP(A253,[1]AB4!B:CL,24,FALSE)))))</f>
        <v/>
      </c>
      <c r="AB253" s="29"/>
      <c r="AC253" s="29"/>
    </row>
    <row r="254" spans="1:29" ht="34.5" hidden="1" customHeight="1" x14ac:dyDescent="0.2">
      <c r="A254" s="15" t="str">
        <f>IF(C253="","",CONCATENATE(C254,[1]AB5!$A$5))</f>
        <v/>
      </c>
      <c r="B254" s="30" t="str">
        <f>IF(C253="","",[1]AB5!$B$60)</f>
        <v/>
      </c>
      <c r="C254" s="31" t="str">
        <f t="array" ref="C254">IF(C253="","",IF(C258="Futures","",IF(C258="Options Sell",INDEX([1]AB2!B:B,MATCH(C253,[1]AB2!A:A,0)))))</f>
        <v/>
      </c>
      <c r="D254" s="32"/>
      <c r="E254" s="33"/>
      <c r="F254" s="34"/>
      <c r="G254" s="35" t="str">
        <f t="array" ref="G254">IF(C253="","",IF(C258="Futures","",IF(C258="Options Sell",CONCATENATE("( ",INDEX([1]AB4!BT:BT,MATCH(A254,[1]AB4!B:B))," ) &amp; ",INDEX([1]AB4!BW:BW,MATCH(A254,[1]AB4!B:B))," ",INDEX([1]AB4!BX:BX,MATCH(A254,[1]AB4!B:B))," ",INDEX([1]AB4!BY:BY,MATCH(A254,[1]AB4!B:B))),IF(C258="Options Buy",CONCATENATE("( ",INDEX([1]AB4!BP:BP,MATCH(A256,[1]AB4!B:B,0))," ",INDEX([1]AB4!BQ:BQ,MATCH(A256,[1]AB4!B:B,0))," ",TEXT(INDEX([1]AB4!BR:BR,MATCH(A256,[1]AB4!B:B,0)),"0.00%")," ) &amp; ",INDEX([1]AB4!BS:BS,MATCH(A256,[1]AB4!B:B,0)))))))</f>
        <v/>
      </c>
      <c r="H254" s="35" t="str">
        <f t="array" ref="H254">IF(C253="","",IF(C258="Futures","",IF(C258="Options Sell",CONCATENATE(INDEX([1]AB4!CG:CG,MATCH(A254,[1]AB4!B:B)),[1]AB5!$H$60,TEXT(INDEX([1]AB4!CH:CH,MATCH(A254,[1]AB4!B:B)),"0.00%")))))</f>
        <v/>
      </c>
      <c r="I254" s="36" t="str">
        <f t="array" ref="I254">IF(C253="","",IF(C258="Futures","",IF(C258="Options Sell",CONCATENATE(INDEX([1]AB4!CJ:CJ,MATCH(A254,[1]AB4!B:B)),[1]AB5!$I$60))))</f>
        <v/>
      </c>
      <c r="J254" s="33"/>
      <c r="K254" s="34"/>
      <c r="L254" s="37" t="str">
        <f>IF(C253="","",IF(C258="Futures","",IF(C258="Options Sell",[1]AB5!$G$5,IF(C258="Options Buy",[1]AB5!$L$93))))</f>
        <v/>
      </c>
      <c r="M254" s="35" t="str">
        <f t="array" ref="M254">IF(C253="","",IF(C258="Futures","",IF(C258="Options Sell",IF(INDEX([1]AB4!AL:AL,MATCH(A254,[1]AB4!B:B,0))="","",CONCATENATE(INDEX([1]AB4!AA:AA,MATCH(A254,[1]AB4!B:B,0))," ( ",INDEX([1]AB4!AE:AE,MATCH(A254,[1]AB4!B:B,0)),INDEX([1]AB4!AF:AF,MATCH(A254,[1]AB4!B:B,0)),TEXT(INDEX([1]AB4!AG:AG,MATCH(A254,[1]AB4!B:B,0)),"0.00%")," &amp; ",INDEX([1]AB4!AK:AK,MATCH(A254,[1]AB4!B:B,0)),INDEX([1]AB4!AJ:AJ,MATCH(A254,[1]AB4!B:B,0)),TEXT(INDEX([1]AB4!AL:AL,MATCH(A254,[1]AB4!B:B,0)),"0.00%")," )")))))</f>
        <v/>
      </c>
      <c r="N254" s="38" t="str">
        <f t="array" ref="N254">IF(C253="","",IF(C258="Futures","",IF(C258="Options Sell",INDEX([1]AB4!AM:AM,MATCH(A254,[1]AB4!B:B,0)))))</f>
        <v/>
      </c>
      <c r="O254" s="35" t="str">
        <f t="array" ref="O254">IF(C253="","",IF(C258="Futures","",IF(C258="Options Sell",IF(INDEX([1]AB4!AO:AO,MATCH(A254,[1]AB4!B:B,0))="","",CONCATENATE(INDEX([1]AB4!AA:AA,MATCH(A254,[1]AB4!B:B,0))," ( ",INDEX([1]AB4!AE:AE,MATCH(A254,[1]AB4!B:B,0))," &amp; ",INDEX([1]AB4!AN:AN,MATCH(A254,[1]AB4!B:B,0)),INDEX([1]AB4!AJ:AJ,MATCH(A254,[1]AB4!B:B,0)),TEXT(INDEX([1]AB4!AO:AO,MATCH(A254,[1]AB4!B:B,0)),"0.00%")," )")))))</f>
        <v/>
      </c>
      <c r="P254" s="39" t="str">
        <f t="array" ref="P254">IF(C253="","",IF(C258="Futures","",IF(C258="Options Sell",IF(INDEX([1]AB4!AO:AO,MATCH(A254,[1]AB4!B:B,0))="","",INDEX([1]AB4!AP:AP,MATCH(A254,[1]AB4!B:B,0))))))</f>
        <v/>
      </c>
      <c r="Q254" s="40"/>
      <c r="R254" s="35" t="str">
        <f t="array" ref="R254">IF(C253="","",IF(C258="Futures","",IF(C258="Options Sell",IF(INDEX([1]AB4!AR:AR,MATCH(A254,[1]AB4!B:B,0))="","",CONCATENATE(INDEX([1]AB4!AA:AA,MATCH(A254,[1]AB4!B:B,0))," ( ",INDEX([1]AB4!AE:AE,MATCH(A254,[1]AB4!B:B,0))," &amp; ",INDEX([1]AB4!AQ:AQ,MATCH(A254,[1]AB4!B:B,0)),INDEX([1]AB4!AJ:AJ,MATCH(A254,[1]AB4!B:B,0)),TEXT(INDEX([1]AB4!AR:AR,MATCH(A254,[1]AB4!B:B,0)),"0.00%")," )")))))</f>
        <v/>
      </c>
      <c r="S254" s="38" t="str">
        <f t="array" ref="S254">IF(C253="","",IF(C258="Futures","",IF(C258="Options Sell",IF(INDEX([1]AB4!AR:AR,MATCH(A254,[1]AB4!B:B,0))="","",INDEX([1]AB4!AS:AS,MATCH(A254,[1]AB4!B:B,0))))))</f>
        <v/>
      </c>
      <c r="T254" s="35" t="str">
        <f t="array" ref="T254">IF(C253="","",IF(C258="Futures","",IF(C258="Options Sell",IF(INDEX([1]AB4!AU:AU,MATCH(A254,[1]AB4!B:B))="","",CONCATENATE(INDEX([1]AB4!AA:AA,MATCH(A254,[1]AB4!B:B))," ( ",INDEX([1]AB4!AE:AE,MATCH(A254,[1]AB4!B:B))," &amp; ",INDEX([1]AB4!AT:AT,MATCH(A254,[1]AB4!B:B)),INDEX([1]AB4!AJ:AJ,MATCH(A254,[1]AB4!B:B)),TEXT(INDEX([1]AB4!AU:AU,MATCH(A254,[1]AB4!B:B)),"0.00%")," )")))))</f>
        <v/>
      </c>
      <c r="U254" s="38" t="str">
        <f t="array" ref="U254">IF(C253="","",IF(C258="Futures","",IF(C258="Options Sell",IF(INDEX([1]AB4!AU:AU,MATCH(A254,[1]AB4!B:B,0))="","",INDEX([1]AB4!AV:AV,MATCH(A254,[1]AB4!B:B,0))))))</f>
        <v/>
      </c>
      <c r="V254" s="35" t="str">
        <f t="array" ref="V254">IF(C253="","",IF(C258="Futures","",IF(C258="Options Sell",IF(INDEX([1]AB4!AX:AX,MATCH(A254,[1]AB4!B:B,0))="","",CONCATENATE(INDEX([1]AB4!AA:AA,MATCH(A254,[1]AB4!B:B,0))," ( ",INDEX([1]AB4!AE:AE,MATCH(A254,[1]AB4!B:B,0))," &amp; ",INDEX([1]AB4!AW:AW,MATCH(A254,[1]AB4!B:B,0)),INDEX([1]AB4!AJ:AJ,MATCH(A254,[1]AB4!B:B,0)),TEXT(INDEX([1]AB4!AX:AX,MATCH(A254,[1]AB4!B:B,0)),"0.00%")," )")))))</f>
        <v/>
      </c>
      <c r="W254" s="38" t="str">
        <f t="array" ref="W254">IF(C253="","",IF(C258="Futures","",IF(C258="Options Sell",IF(INDEX([1]AB4!AX:AX,MATCH(A254,[1]AB4!B:B,0))="","",INDEX([1]AB4!AY:AY,MATCH(A254,[1]AB4!B:B,0))))))</f>
        <v/>
      </c>
      <c r="X254" s="35" t="str">
        <f t="array" ref="X254">IF(C253="","",IF(C258="Futures","",IF(C258="Options Sell",IF(INDEX([1]AB4!BA:BA,MATCH(A254,[1]AB4!B:B,0))="","",CONCATENATE(INDEX([1]AB4!AA:AA,MATCH(A254,[1]AB4!B:B,0))," ( ",INDEX([1]AB4!AE:AE,MATCH(A254,[1]AB4!B:B,0))," &amp; ",INDEX([1]AB4!AW:AW,MATCH(A254,[1]AB4!B:B,0)),INDEX([1]AB4!AJ:AJ,MATCH(A254,[1]AB4!B:B,0)),TEXT(INDEX([1]AB4!AX:AX,MATCH(A254,[1]AB4!B:B,0)),"0.00%")," )")))))</f>
        <v/>
      </c>
      <c r="Y254" s="38" t="str">
        <f t="array" ref="Y254">IF(C253="","",IF(C258="Futures","",IF(C258="Options Sell",IF(INDEX([1]AB4!BA:BA,MATCH(A254,[1]AB4!B:B,0))="","",INDEX([1]AB4!AY:AY,MATCH(A254,[1]AB4!B:B,0))))))</f>
        <v/>
      </c>
      <c r="Z254" s="41" t="str">
        <f t="array" ref="Z254">IF(C253="","",IF(C258="Futures","",IF(C258="Options Sell",IF(INDEX([1]AB4!BD:BD,MATCH(A253,[1]AB4!B:B,0))="","",INDEX([1]AB4!AZ:AZ,MATCH(A253,[1]AB4!B:B,0))))))</f>
        <v/>
      </c>
      <c r="AA254" s="42" t="str">
        <f>IF(C253="","",IF(C258="Futures","",IF(C258="Options Sell",IF(VLOOKUP(A254,[1]AB4!B:CL,55,FALSE)="","",VLOOKUP(A254,[1]AB4!B:CL,53,FALSE)))))</f>
        <v/>
      </c>
      <c r="AB254" s="29"/>
      <c r="AC254" s="29"/>
    </row>
    <row r="255" spans="1:29" ht="6" hidden="1" customHeight="1" x14ac:dyDescent="0.2">
      <c r="A255" s="15" t="str">
        <f>IF(C253="","",CONCATENATE(C254,[1]AB5!A266))</f>
        <v/>
      </c>
      <c r="B255" s="43" t="str">
        <f>IF(C253="","",[1]AB5!$B$61)</f>
        <v/>
      </c>
      <c r="C255" s="44" t="str">
        <f t="array" ref="C255">IF(C253="","",IF(C258="Futures","",IF(C258="Options Sell",INDEX([1]AB2!N:N,MATCH(C253,[1]AB2!A:A,0)))))</f>
        <v/>
      </c>
      <c r="D255" s="32"/>
      <c r="E255" s="33"/>
      <c r="F255" s="45"/>
      <c r="G255" s="46"/>
      <c r="H255" s="46"/>
      <c r="I255" s="47"/>
      <c r="J255" s="33"/>
      <c r="K255" s="45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29"/>
      <c r="AC255" s="29"/>
    </row>
    <row r="256" spans="1:29" ht="39" hidden="1" customHeight="1" x14ac:dyDescent="0.2">
      <c r="A256" s="15" t="str">
        <f>IF(C253="","",CONCATENATE(C254,[1]AB5!$A$7))</f>
        <v/>
      </c>
      <c r="B256" s="48"/>
      <c r="C256" s="49"/>
      <c r="D256" s="32"/>
      <c r="E256" s="33"/>
      <c r="F256" s="50" t="str">
        <f>IF(C253="","",IF(C258="Futures","",IF(C258="Options Sell",[1]AB5!$F$62,IF(C258="Options Buy",[1]AB5!$F$95))))</f>
        <v/>
      </c>
      <c r="G256" s="20" t="str">
        <f t="array" ref="G256">IF(C253="","",IF(C258="Futures","",IF(C258="Options Sell",CONCATENATE("( ",INDEX([1]AB4!BP:BP,MATCH(A256,[1]AB4!B:B))," ",INDEX([1]AB4!BQ:BQ,MATCH(A256,[1]AB4!B:B))," ",TEXT(INDEX([1]AB4!BR:BR,MATCH(A256,[1]AB4!B:B)),"0.00%")," ) &amp; ",INDEX([1]AB4!BS:BS,MATCH(A256,[1]AB4!B:B))),IF(C258="Options Buy",CONCATENATE("( ",INDEX([1]AB4!BP:BP,MATCH(A256,[1]AB4!B:B,0))," ",INDEX([1]AB4!BQ:BQ,MATCH(A256,[1]AB4!B:B,0))," ",TEXT(INDEX([1]AB4!BR:BR,MATCH(A256,[1]AB4!B:B,0)),"0.00%")," ) &amp; ",INDEX([1]AB4!BS:BS,MATCH(A256,[1]AB4!B:B,0)))))))</f>
        <v/>
      </c>
      <c r="H256" s="20" t="str">
        <f t="array" ref="H256">IF(C253="","",IF(C258="Futures","",IF(C258="Options Sell",CONCATENATE(INDEX([1]AB4!CE:CE,MATCH(A256,[1]AB4!B:B)),[1]AB5!$H$59,TEXT(INDEX([1]AB4!CF:CF,MATCH(A256,[1]AB4!B:B)),"0.00%")))))</f>
        <v/>
      </c>
      <c r="I256" s="21" t="str">
        <f t="array" ref="I256">IF(C253="","",IF(C258="Futures","",IF(C258="Options Sell",CONCATENATE(INDEX([1]AB4!CI:CI,MATCH(A256,[1]AB4!B:B)),[1]AB5!$I$59))))</f>
        <v/>
      </c>
      <c r="J256" s="33"/>
      <c r="K256" s="50" t="str">
        <f>IF(C253="","",IF(C258="Futures","",IF(C258="Options Sell",[1]AB5!$K$62,IF(C258="Options Buy",[1]AB5!$K$95))))</f>
        <v/>
      </c>
      <c r="L256" s="23" t="str">
        <f>IF(C253="","",IF(C258="Futures","",IF(C258="Options Sell",[1]AB5!$G$7,IF(C258="Options Buy",[1]AB5!$L$95))))</f>
        <v/>
      </c>
      <c r="M256" s="20" t="str">
        <f t="array" ref="M256">IF(C253="","",IF(C258="Futures","",IF(C258="Options Sell",CONCATENATE(INDEX([1]AB4!G:G,MATCH(A256,[1]AB4!B:B,0)),INDEX([1]AB4!H:H,MATCH(A256,[1]AB4!B:B,0)),TEXT(INDEX([1]AB4!I:I,MATCH(A256,[1]AB4!B:B,0)),"0.00%")))))</f>
        <v/>
      </c>
      <c r="N256" s="24" t="str">
        <f t="array" ref="N256">IF(C253="","",IF(C258="Futures","",IF(C258="Options Sell",INDEX([1]AB4!J:J,MATCH(A256,[1]AB4!B:B,0)))))</f>
        <v/>
      </c>
      <c r="O256" s="25" t="str">
        <f t="array" ref="O256">IF(C253="","",IF(C258="Futures","",IF(C258="Options Sell",IF(INDEX([1]AB4!N:N,MATCH(A256,[1]AB4!B:B,0))="","",CONCATENATE(INDEX([1]AB4!L:L,MATCH(A256,[1]AB4!B:B,0)),INDEX([1]AB4!M:M,MATCH(A256,[1]AB4!B:B,0)),TEXT(INDEX([1]AB4!N:N,MATCH(A256,[1]AB4!B:B,0)),"0.00%"))))))</f>
        <v/>
      </c>
      <c r="P256" s="26" t="str">
        <f t="array" ref="P256">IF(C253="","",IF(C258="Futures","",IF(C258="Options Sell",IF(INDEX([1]AB4!N:N,MATCH(A256,[1]AB4!B:B,0))="","",INDEX([1]AB4!O:O,MATCH(A256,[1]AB4!B:B,0))))))</f>
        <v/>
      </c>
      <c r="Q256" s="27"/>
      <c r="R256" s="25" t="str">
        <f t="array" ref="R256">IF(C253="","",IF(C258="Futures","",IF(C258="Options Sell",IF(INDEX([1]AB4!P:P,MATCH(A256,[1]AB4!B:B,0))="","",CONCATENATE(INDEX([1]AB4!L:L,MATCH(A256,[1]AB4!B:B,0)),INDEX([1]AB4!M:M,MATCH(A256,[1]AB4!B:B,0)),TEXT(INDEX([1]AB4!P:P,MATCH(A256,[1]AB4!B:B,0)),"0.00%"))))))</f>
        <v/>
      </c>
      <c r="S256" s="24" t="str">
        <f t="array" ref="S256">IF(C253="","",IF(C258="Futures","",IF(C258="Options Sell",IF(INDEX([1]AB4!P:P,MATCH(A256,[1]AB4!B:B,0))="","",INDEX([1]AB4!Q:Q,MATCH(A256,[1]AB4!B:B,0))))))</f>
        <v/>
      </c>
      <c r="T256" s="25" t="str">
        <f t="array" ref="T256">IF(C253="","",IF(C258="Futures","",IF(C258="Options Sell",IF(INDEX([1]AB4!R:R,MATCH(A256,[1]AB4!B:B,0))="","",CONCATENATE(INDEX([1]AB4!L:L,MATCH(A256,[1]AB4!B:B,0)),INDEX([1]AB4!M:M,MATCH(A256,[1]AB4!B:B,0)),TEXT(INDEX([1]AB4!R:R,MATCH(A256,[1]AB4!B:B,0)),"0.00%"))))))</f>
        <v/>
      </c>
      <c r="U256" s="24" t="str">
        <f t="array" ref="U256">IF(C253="","",IF(C258="Futures","",IF(C258="Options Sell",IF(INDEX([1]AB4!R:R,MATCH(A256,[1]AB4!B:B,0))="","",INDEX([1]AB4!S:S,MATCH(A256,[1]AB4!B:B,0))))))</f>
        <v/>
      </c>
      <c r="V256" s="25" t="str">
        <f t="array" ref="V256">IF(C256="","",IF(C258="Futures","",IF(C258="Options Sell",IF(INDEX([1]AB4!T:T,MATCH(A256,[1]AB4!B:B,0))="","",CONCATENATE(INDEX([1]AB4!L:L,MATCH(A256,[1]AB4!B:B,0)),INDEX([1]AB4!M:M,MATCH(A256,[1]AB4!B:B,0)),TEXT(INDEX([1]AB4!T:T,MATCH(A256,[1]AB4!B:B,0)),"0.00%"))))))</f>
        <v/>
      </c>
      <c r="W256" s="24" t="str">
        <f t="array" ref="W256">IF(C253="","",IF(C258="Futures","",IF(C258="Options Sell",IF(INDEX([1]AB4!T:T,MATCH(A256,[1]AB4!B:B,0))="","",INDEX([1]AB4!U:U,MATCH(A256,[1]AB4!B:B,0))))))</f>
        <v/>
      </c>
      <c r="X256" s="25" t="str">
        <f t="array" ref="X256">IF(C253="","",IF(C258="Futures","",IF(C258="Options Sell",IF(INDEX([1]AB4!V:V,MATCH(A256,[1]AB4!B:B,0))="","",INDEX([1]AB4!V:V,MATCH(A256,[1]AB4!B:B,0))))))</f>
        <v/>
      </c>
      <c r="Y256" s="24" t="str">
        <f t="array" ref="Y256">IF(C253="","",IF(C258="Futures","",IF(C258="Options Sell",IF(INDEX([1]AB4!V:V,MATCH(A256,[1]AB4!B:B,0))="","",INDEX([1]AB4!W:W,MATCH(A256,[1]AB4!B:B,0))))))</f>
        <v/>
      </c>
      <c r="Z256" s="25" t="str">
        <f t="array" ref="Z256">IF(C253="","",IF(C258="Futures","",IF(C258="Options Sell",IF(INDEX([1]AB4!X:X,MATCH(A256,[1]AB4!B:B,0))="","",INDEX([1]AB4!X:X,MATCH(A256,[1]AB4!B:B,0))))))</f>
        <v/>
      </c>
      <c r="AA256" s="28" t="str">
        <f>IF(C253="","",IF(C258="Futures","",IF(C258="Options Sell",IF(VLOOKUP(A256,[1]AB4!B:CL,23,FALSE)="","",VLOOKUP(A256,[1]AB4!B:CL,24,FALSE)))))</f>
        <v/>
      </c>
      <c r="AB256" s="29"/>
      <c r="AC256" s="29"/>
    </row>
    <row r="257" spans="1:29" ht="34.5" hidden="1" customHeight="1" x14ac:dyDescent="0.2">
      <c r="A257" s="15" t="str">
        <f>IF(C253="","",CONCATENATE(C254,[1]AB5!$A$8))</f>
        <v/>
      </c>
      <c r="B257" s="51"/>
      <c r="C257" s="52"/>
      <c r="D257" s="34"/>
      <c r="E257" s="53"/>
      <c r="F257" s="34"/>
      <c r="G257" s="35" t="str">
        <f t="array" ref="G257">IF(C253="","",IF(C258="Futures","",IF(C258="Options Sell",CONCATENATE("( ",INDEX([1]AB4!BT:BT,MATCH(A257,[1]AB4!B:B))," ) &amp; ",INDEX([1]AB4!BW:BW,MATCH(A257,[1]AB4!B:B))," ",INDEX([1]AB4!BX:BX,MATCH(A257,[1]AB4!B:B))," ",INDEX([1]AB4!BY:BY,MATCH(A257,[1]AB4!B:B))),IF(C258="Options Buy",CONCATENATE("( ",INDEX([1]AB4!BP:BP,MATCH(A257,[1]AB4!B:B,0))," ",INDEX([1]AB4!BQ:BQ,MATCH(A257,[1]AB4!B:B,0))," ",TEXT(INDEX([1]AB4!BR:BR,MATCH(A257,[1]AB4!B:B,0)),"0.00%")," ) &amp; ",INDEX([1]AB4!BS:BS,MATCH(A257,[1]AB4!B:B,0)))))))</f>
        <v/>
      </c>
      <c r="H257" s="35" t="str">
        <f t="array" ref="H257">IF(C253="","",IF(C258="Futures","",IF(C258="Options Sell",CONCATENATE(INDEX([1]AB4!CG:CG,MATCH(A257,[1]AB4!B:B)),[1]AB5!$H$60,TEXT(INDEX([1]AB4!CH:CH,MATCH(A257,[1]AB4!B:B)),"0.00%")))))</f>
        <v/>
      </c>
      <c r="I257" s="36" t="str">
        <f t="array" ref="I257">IF(C253="","",IF(C258="Futures","",IF(C258="Options Sell",CONCATENATE(INDEX([1]AB4!CJ:CJ,MATCH(A257,[1]AB4!B:B)),[1]AB5!$I$60))))</f>
        <v/>
      </c>
      <c r="J257" s="53"/>
      <c r="K257" s="34"/>
      <c r="L257" s="37" t="str">
        <f>IF(C253="","",IF(C258="Futures","",IF(C258="Options Sell",[1]AB5!$G$8,IF(C258="Options Buy",[1]AB5!$L$96))))</f>
        <v/>
      </c>
      <c r="M257" s="35" t="str">
        <f t="array" ref="M257">IF(C253="","",IF(C258="Futures","",IF(C258="Options Sell",IF(INDEX([1]AB4!AL:AL,MATCH(A257,[1]AB4!B:B,0))="","",CONCATENATE(INDEX([1]AB4!AA:AA,MATCH(A257,[1]AB4!B:B,0))," ( ",INDEX([1]AB4!AE:AE,MATCH(A257,[1]AB4!B:B,0)),INDEX([1]AB4!AF:AF,MATCH(A257,[1]AB4!B:B,0)),TEXT(INDEX([1]AB4!AG:AG,MATCH(A257,[1]AB4!B:B,0)),"0.00%")," &amp; ",INDEX([1]AB4!AK:AK,MATCH(A257,[1]AB4!B:B,0)),INDEX([1]AB4!AJ:AJ,MATCH(A257,[1]AB4!B:B,0)),TEXT(INDEX([1]AB4!AL:AL,MATCH(A257,[1]AB4!B:B,0)),"0.00%")," )")))))</f>
        <v/>
      </c>
      <c r="N257" s="38" t="str">
        <f t="array" ref="N257">IF(C253="","",IF(C258="Futures","",IF(C258="Options Sell",INDEX([1]AB4!AM:AM,MATCH(A257,[1]AB4!B:B,0)))))</f>
        <v/>
      </c>
      <c r="O257" s="35" t="str">
        <f t="array" ref="O257">IF(C253="","",IF(C258="Futures","",IF(C258="Options Sell",IF(INDEX([1]AB4!AO:AO,MATCH(A257,[1]AB4!B:B,0))="","",CONCATENATE(INDEX([1]AB4!AA:AA,MATCH(A257,[1]AB4!B:B,0))," ( ",INDEX([1]AB4!AE:AE,MATCH(A257,[1]AB4!B:B,0))," &amp; ",INDEX([1]AB4!AN:AN,MATCH(A257,[1]AB4!B:B,0)),INDEX([1]AB4!AJ:AJ,MATCH(A257,[1]AB4!B:B,0)),TEXT(INDEX([1]AB4!AO:AO,MATCH(A257,[1]AB4!B:B,0)),"0.00%")," )")))))</f>
        <v/>
      </c>
      <c r="P257" s="39" t="str">
        <f t="array" ref="P257">IF(C253="","",IF(C258="Futures","",IF(C258="Options Sell",IF(INDEX([1]AB4!AO:AO,MATCH(A257,[1]AB4!B:B,0))="","",INDEX([1]AB4!AP:AP,MATCH(A257,[1]AB4!B:B,0))))))</f>
        <v/>
      </c>
      <c r="Q257" s="40"/>
      <c r="R257" s="35" t="str">
        <f t="array" ref="R257">IF(C253="","",IF(C258="Futures","",IF(C258="Options Sell",IF(INDEX([1]AB4!AR:AR,MATCH(A257,[1]AB4!B:B,0))="","",CONCATENATE(INDEX([1]AB4!AA:AA,MATCH(A257,[1]AB4!B:B,0))," ( ",INDEX([1]AB4!AE:AE,MATCH(A257,[1]AB4!B:B,0))," &amp; ",INDEX([1]AB4!AQ:AQ,MATCH(A257,[1]AB4!B:B,0)),INDEX([1]AB4!AJ:AJ,MATCH(A257,[1]AB4!B:B,0)),TEXT(INDEX([1]AB4!AR:AR,MATCH(A257,[1]AB4!B:B,0)),"0.00%")," )")))))</f>
        <v/>
      </c>
      <c r="S257" s="38" t="str">
        <f t="array" ref="S257">IF(C253="","",IF(C258="Futures","",IF(C258="Options Sell",IF(INDEX([1]AB4!AR:AR,MATCH(A257,[1]AB4!B:B,0))="","",INDEX([1]AB4!AS:AS,MATCH(A257,[1]AB4!B:B,0))))))</f>
        <v/>
      </c>
      <c r="T257" s="35" t="str">
        <f t="array" ref="T257">IF(C253="","",IF(C258="Futures","",IF(C258="Options Sell",IF(INDEX([1]AB4!AU:AU,MATCH(A257,[1]AB4!B:B))="","",CONCATENATE(INDEX([1]AB4!AA:AA,MATCH(A257,[1]AB4!B:B))," ( ",INDEX([1]AB4!AE:AE,MATCH(A257,[1]AB4!B:B))," &amp; ",INDEX([1]AB4!AT:AT,MATCH(A257,[1]AB4!B:B)),INDEX([1]AB4!AJ:AJ,MATCH(A257,[1]AB4!B:B)),TEXT(INDEX([1]AB4!AU:AU,MATCH(A257,[1]AB4!B:B)),"0.00%")," )")))))</f>
        <v/>
      </c>
      <c r="U257" s="38" t="str">
        <f t="array" ref="U257">IF(C253="","",IF(C258="Futures","",IF(C258="Options Sell",IF(INDEX([1]AB4!AU:AU,MATCH(A257,[1]AB4!B:B,0))="","",INDEX([1]AB4!AV:AV,MATCH(A257,[1]AB4!B:B,0))))))</f>
        <v/>
      </c>
      <c r="V257" s="35" t="str">
        <f t="array" ref="V257">IF(C256="","",IF(C258="Futures","",IF(C258="Options Sell",IF(INDEX([1]AB4!AX:AX,MATCH(A257,[1]AB4!B:B,0))="","",CONCATENATE(INDEX([1]AB4!AA:AA,MATCH(A257,[1]AB4!B:B,0))," ( ",INDEX([1]AB4!AE:AE,MATCH(A257,[1]AB4!B:B,0))," &amp; ",INDEX([1]AB4!AW:AW,MATCH(A257,[1]AB4!B:B,0)),INDEX([1]AB4!AJ:AJ,MATCH(A257,[1]AB4!B:B,0)),TEXT(INDEX([1]AB4!AX:AX,MATCH(A257,[1]AB4!B:B,0)),"0.00%")," )")))))</f>
        <v/>
      </c>
      <c r="W257" s="38" t="str">
        <f t="array" ref="W257">IF(C253="","",IF(C258="Futures","",IF(C258="Options Sell",IF(INDEX([1]AB4!AX:AX,MATCH(A257,[1]AB4!B:B,0))="","",INDEX([1]AB4!AY:AY,MATCH(A257,[1]AB4!B:B,0))))))</f>
        <v/>
      </c>
      <c r="X257" s="35" t="str">
        <f t="array" ref="X257">IF(C253="","",IF(C258="Futures","",IF(C258="Options Sell",IF(INDEX([1]AB4!BA:BA,MATCH(A257,[1]AB4!B:B,0))="","",CONCATENATE(INDEX([1]AB4!AA:AA,MATCH(A257,[1]AB4!B:B,0))," ( ",INDEX([1]AB4!AE:AE,MATCH(A257,[1]AB4!B:B,0))," &amp; ",INDEX([1]AB4!AW:AW,MATCH(A257,[1]AB4!B:B,0)),INDEX([1]AB4!AJ:AJ,MATCH(A257,[1]AB4!B:B,0)),TEXT(INDEX([1]AB4!AX:AX,MATCH(A257,[1]AB4!B:B,0)),"0.00%")," )")))))</f>
        <v/>
      </c>
      <c r="Y257" s="38" t="str">
        <f t="array" ref="Y257">IF(C253="","",IF(C258="Futures","",IF(C258="Options Sell",IF(INDEX([1]AB4!BA:BA,MATCH(A257,[1]AB4!B:B,0))="","",INDEX([1]AB4!AY:AY,MATCH(A257,[1]AB4!B:B,0))))))</f>
        <v/>
      </c>
      <c r="Z257" s="41" t="str">
        <f t="array" ref="Z257">IF(C253="","",IF(C258="Futures","",IF(C258="Options Sell",IF(INDEX([1]AB4!BD:BD,MATCH(A256,[1]AB4!B:B,0))="","",INDEX([1]AB4!AZ:AZ,MATCH(A256,[1]AB4!B:B,0))))))</f>
        <v/>
      </c>
      <c r="AA257" s="42" t="str">
        <f>IF(C253="","",IF(C258="Futures","",IF(C258="Options Sell",IF(VLOOKUP(A257,[1]AB4!B:CL,55,FALSE)="","",VLOOKUP(A257,[1]AB4!B:CL,53,FALSE)))))</f>
        <v/>
      </c>
      <c r="AB257" s="29"/>
      <c r="AC257" s="29"/>
    </row>
    <row r="258" spans="1:29" ht="15.75" hidden="1" customHeight="1" x14ac:dyDescent="0.2">
      <c r="A258" s="15" t="str">
        <f>IF(C253="","",CONCATENATE(C254,[1]AB5!$A$9))</f>
        <v/>
      </c>
      <c r="B258" s="30" t="str">
        <f>IF(C253="","",[1]AB5!$B$64)</f>
        <v/>
      </c>
      <c r="C258" s="31" t="str">
        <f t="array" ref="C258">IF(C253="","",INDEX([1]AB2!C:C,MATCH(C253,[1]AB2!A:A,0)))</f>
        <v/>
      </c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29"/>
      <c r="AC258" s="29"/>
    </row>
    <row r="259" spans="1:29" ht="15.75" hidden="1" customHeight="1" x14ac:dyDescent="0.2">
      <c r="A259" s="15" t="str">
        <f>IF(C253="","",CONCATENATE(C254,[1]AB5!$A$10))</f>
        <v/>
      </c>
      <c r="B259" s="30" t="str">
        <f>IF(C253="","",[1]AB5!$B$65)</f>
        <v/>
      </c>
      <c r="C259" s="31" t="str">
        <f t="array" ref="C259">IF(C253="","",IF(C258="Futures","",IF(C258="Options Sell",INDEX([1]AB2!E:E,MATCH(C253,[1]AB2!A:A,0)))))</f>
        <v/>
      </c>
      <c r="D259" s="50" t="str">
        <f>IF(C253="","",IF(C258="Futures","",IF(C258="Options Sell",[1]AB5!$D$65,IF(C258="Options Buy",[1]AB5!$D$98))))</f>
        <v/>
      </c>
      <c r="E259" s="19"/>
      <c r="F259" s="18" t="str">
        <f>IF(C253="","",IF(C258="Futures","",IF(C258="Options Sell",[1]AB5!$F$65)))</f>
        <v/>
      </c>
      <c r="G259" s="20" t="str">
        <f t="array" ref="G259">IF(C253="","",IF(C258="Futures","",IF(C258="Options Sell",CONCATENATE("( ",INDEX([1]AB4!BP:BP,MATCH(A259,[1]AB4!B:B))," ",INDEX([1]AB4!BQ:BQ,MATCH(A259,[1]AB4!B:B))," ",TEXT(INDEX([1]AB4!BR:BR,MATCH(A259,[1]AB4!B:B)),"0.00%")," ) &amp; ",INDEX([1]AB4!BS:BS,MATCH(A259,[1]AB4!B:B))),IF(C258="Options Buy",CONCATENATE("( ",INDEX([1]AB4!BP:BP,MATCH(A259,[1]AB4!B:B,0))," ",INDEX([1]AB4!BQ:BQ,MATCH(A259,[1]AB4!B:B,0))," ",TEXT(INDEX([1]AB4!BR:BR,MATCH(A259,[1]AB4!B:B,0)),"0.00%")," ) &amp; ",INDEX([1]AB4!BS:BS,MATCH(A259,[1]AB4!B:B,0)))))))</f>
        <v/>
      </c>
      <c r="H259" s="20" t="str">
        <f t="array" ref="H259">IF(C253="","",IF(C258="Futures","",IF(C258="Options Sell",CONCATENATE(INDEX([1]AB4!CE:CE,MATCH(A259,[1]AB4!B:B)),[1]AB5!$H$59,TEXT(INDEX([1]AB4!CF:CF,MATCH(A259,[1]AB4!B:B)),"0.00%")))))</f>
        <v/>
      </c>
      <c r="I259" s="21" t="str">
        <f t="array" ref="I259">IF(C253="","",IF(C258="Futures","",IF(C258="Options Sell",CONCATENATE(INDEX([1]AB4!CI:CI,MATCH(A259,[1]AB4!B:B)),[1]AB5!$I$59))))</f>
        <v/>
      </c>
      <c r="J259" s="55" t="str">
        <f>IF(C253="","",IF(C258="Futures","",IF(C258="Options Sell",[1]AB5!$J$65,IF(C258="Options Buy",[1]AB5!$J$98))))</f>
        <v/>
      </c>
      <c r="K259" s="18" t="str">
        <f>IF(C253="","",IF(C258="Futures","",IF(C258="Options Sell",[1]AB5!$K$65,IF(C258="Options Buy",[1]AB5!$K$98))))</f>
        <v/>
      </c>
      <c r="L259" s="23" t="str">
        <f>IF(C253="","",IF(C258="Futures","",IF(C258="Options Sell",[1]AB5!$G$10,IF(C258="Options Buy",[1]AB5!$L$98))))</f>
        <v/>
      </c>
      <c r="M259" s="20" t="str">
        <f t="array" ref="M259">IF(C253="","",IF(C258="Futures","",IF(C258="Options Sell",CONCATENATE(INDEX([1]AB4!G:G,MATCH(A259,[1]AB4!B:B,0)),INDEX([1]AB4!H:H,MATCH(A259,[1]AB4!B:B,0)),TEXT(INDEX([1]AB4!I:I,MATCH(A259,[1]AB4!B:B,0)),"0.00%")))))</f>
        <v/>
      </c>
      <c r="N259" s="24" t="str">
        <f t="array" ref="N259">IF(C253="","",IF(C258="Futures","",IF(C258="Options Sell",INDEX([1]AB4!J:J,MATCH(A259,[1]AB4!B:B,0)))))</f>
        <v/>
      </c>
      <c r="O259" s="25" t="str">
        <f t="array" ref="O259">IF(C253="","",IF(C258="Futures","",IF(C258="Options Sell",IF(INDEX([1]AB4!N:N,MATCH(A259,[1]AB4!B:B,0))="","",CONCATENATE(INDEX([1]AB4!L:L,MATCH(A259,[1]AB4!B:B,0)),INDEX([1]AB4!M:M,MATCH(A259,[1]AB4!B:B,0)),TEXT(INDEX([1]AB4!N:N,MATCH(A259,[1]AB4!B:B,0)),"0.00%"))))))</f>
        <v/>
      </c>
      <c r="P259" s="26" t="str">
        <f t="array" ref="P259">IF(C253="","",IF(C258="Futures","",IF(C258="Options Sell",IF(INDEX([1]AB4!N:N,MATCH(A259,[1]AB4!B:B,0))="","",INDEX([1]AB4!O:O,MATCH(A259,[1]AB4!B:B,0))))))</f>
        <v/>
      </c>
      <c r="Q259" s="27"/>
      <c r="R259" s="25" t="str">
        <f t="array" ref="R259">IF(C253="","",IF(C258="Futures","",IF(C258="Options Sell",IF(INDEX([1]AB4!P:P,MATCH(A259,[1]AB4!B:B,0))="","",CONCATENATE(INDEX([1]AB4!L:L,MATCH(A259,[1]AB4!B:B,0)),INDEX([1]AB4!M:M,MATCH(A259,[1]AB4!B:B,0)),TEXT(INDEX([1]AB4!P:P,MATCH(A259,[1]AB4!B:B,0)),"0.00%"))))))</f>
        <v/>
      </c>
      <c r="S259" s="24" t="str">
        <f t="array" ref="S259">IF(C253="","",IF(C258="Futures","",IF(C258="Options Sell",IF(INDEX([1]AB4!P:P,MATCH(A259,[1]AB4!B:B,0))="","",INDEX([1]AB4!Q:Q,MATCH(A259,[1]AB4!B:B,0))))))</f>
        <v/>
      </c>
      <c r="T259" s="25" t="str">
        <f t="array" ref="T259">IF(C253="","",IF(C258="Futures","",IF(C258="Options Sell",IF(INDEX([1]AB4!R:R,MATCH(A259,[1]AB4!B:B,0))="","",CONCATENATE(INDEX([1]AB4!L:L,MATCH(A259,[1]AB4!B:B,0)),INDEX([1]AB4!M:M,MATCH(A259,[1]AB4!B:B,0)),TEXT(INDEX([1]AB4!R:R,MATCH(A259,[1]AB4!B:B,0)),"0.00%"))))))</f>
        <v/>
      </c>
      <c r="U259" s="24" t="str">
        <f t="array" ref="U259">IF(C253="","",IF(C258="Futures","",IF(C258="Options Sell",IF(INDEX([1]AB4!R:R,MATCH(A259,[1]AB4!B:B,0))="","",INDEX([1]AB4!S:S,MATCH(A259,[1]AB4!B:B,0))))))</f>
        <v/>
      </c>
      <c r="V259" s="25" t="str">
        <f t="array" ref="V259">IF(C259="","",IF(C258="Futures","",IF(C258="Options Sell",IF(INDEX([1]AB4!T:T,MATCH(A259,[1]AB4!B:B,0))="","",CONCATENATE(INDEX([1]AB4!L:L,MATCH(A259,[1]AB4!B:B,0)),INDEX([1]AB4!M:M,MATCH(A259,[1]AB4!B:B,0)),TEXT(INDEX([1]AB4!T:T,MATCH(A259,[1]AB4!B:B,0)),"0.00%"))))))</f>
        <v/>
      </c>
      <c r="W259" s="24" t="str">
        <f t="array" ref="W259">IF(C253="","",IF(C258="Futures","",IF(C258="Options Sell",IF(INDEX([1]AB4!T:T,MATCH(A259,[1]AB4!B:B,0))="","",INDEX([1]AB4!U:U,MATCH(A259,[1]AB4!B:B,0))))))</f>
        <v/>
      </c>
      <c r="X259" s="25" t="str">
        <f t="array" ref="X259">IF(C253="","",IF(C258="Futures","",IF(C258="Options Sell",IF(INDEX([1]AB4!V:V,MATCH(A259,[1]AB4!B:B,0))="","",INDEX([1]AB4!V:V,MATCH(A259,[1]AB4!B:B,0))))))</f>
        <v/>
      </c>
      <c r="Y259" s="24" t="str">
        <f t="array" ref="Y259">IF(C253="","",IF(C258="Futures","",IF(C258="Options Sell",IF(INDEX([1]AB4!V:V,MATCH(A259,[1]AB4!B:B,0))="","",INDEX([1]AB4!W:W,MATCH(A259,[1]AB4!B:B,0))))))</f>
        <v/>
      </c>
      <c r="Z259" s="25" t="str">
        <f t="array" ref="Z259">IF(C253="","",IF(C258="Futures","",IF(C258="Options Sell",IF(INDEX([1]AB4!X:X,MATCH(A259,[1]AB4!B:B,0))="","",INDEX([1]AB4!X:X,MATCH(A259,[1]AB4!B:B,0))))))</f>
        <v/>
      </c>
      <c r="AA259" s="28" t="str">
        <f>IF(C253="","",IF(C258="Futures","",IF(C258="Options Sell",IF(VLOOKUP(A259,[1]AB4!B:CL,23,FALSE)="","",VLOOKUP(A259,[1]AB4!B:CL,24,FALSE)))))</f>
        <v/>
      </c>
      <c r="AB259" s="29"/>
      <c r="AC259" s="29"/>
    </row>
    <row r="260" spans="1:29" ht="34.5" hidden="1" customHeight="1" x14ac:dyDescent="0.2">
      <c r="A260" s="15" t="str">
        <f>IF(C253="","",CONCATENATE(C254,[1]AB5!$A$11))</f>
        <v/>
      </c>
      <c r="B260" s="30" t="str">
        <f>IF(C253="","",[1]AB5!$B$66)</f>
        <v/>
      </c>
      <c r="C260" s="31" t="str">
        <f t="array" ref="C260">IF(C253="","",IF(C258="Futures","",IF(C258="Options Sell",INDEX([1]AB2!K:K,MATCH(C253,[1]AB2!A:A,0)))))</f>
        <v/>
      </c>
      <c r="D260" s="32"/>
      <c r="E260" s="33"/>
      <c r="F260" s="34"/>
      <c r="G260" s="35" t="str">
        <f t="array" ref="G260">IF(C253="","",IF(C258="Futures","",IF(C258="Options Sell",CONCATENATE("( ",INDEX([1]AB4!BT:BT,MATCH(A260,[1]AB4!B:B))," ) &amp; ",INDEX([1]AB4!BW:BW,MATCH(A260,[1]AB4!B:B))," ",INDEX([1]AB4!BX:BX,MATCH(A260,[1]AB4!B:B))," ",INDEX([1]AB4!BY:BY,MATCH(A260,[1]AB4!B:B))),IF(C258="Options Buy",CONCATENATE("( ",INDEX([1]AB4!BP:BP,MATCH(A260,[1]AB4!B:B,0))," ",INDEX([1]AB4!BQ:BQ,MATCH(A260,[1]AB4!B:B,0))," ",TEXT(INDEX([1]AB4!BR:BR,MATCH(A260,[1]AB4!B:B,0)),"0.00%")," ) &amp; ",INDEX([1]AB4!BS:BS,MATCH(A260,[1]AB4!B:B,0)))))))</f>
        <v/>
      </c>
      <c r="H260" s="35" t="str">
        <f t="array" ref="H260">IF(C253="","",IF(C258="Futures","",IF(C258="Options Sell",CONCATENATE(INDEX([1]AB4!CG:CG,MATCH(A260,[1]AB4!B:B)),[1]AB5!$H$60,TEXT(INDEX([1]AB4!CH:CH,MATCH(A260,[1]AB4!B:B)),"0.00%")))))</f>
        <v/>
      </c>
      <c r="I260" s="36" t="str">
        <f t="array" ref="I260">IF(C253="","",IF(C258="Futures","",IF(C258="Options Sell",CONCATENATE(INDEX([1]AB4!CJ:CJ,MATCH(A260,[1]AB4!B:B)),[1]AB5!$I$60))))</f>
        <v/>
      </c>
      <c r="J260" s="33"/>
      <c r="K260" s="34"/>
      <c r="L260" s="37" t="str">
        <f>IF(C253="","",IF(C258="Futures","",IF(C258="Options Sell",[1]AB5!$G$11,IF(C258="Options Buy",[1]AB5!$L$99))))</f>
        <v/>
      </c>
      <c r="M260" s="35" t="str">
        <f t="array" ref="M260">IF(C253="","",IF(C258="Futures","",IF(C258="Options Sell",IF(INDEX([1]AB4!AL:AL,MATCH(A260,[1]AB4!B:B,0))="","",CONCATENATE(INDEX([1]AB4!AA:AA,MATCH(A260,[1]AB4!B:B,0))," ( ",INDEX([1]AB4!AE:AE,MATCH(A260,[1]AB4!B:B,0)),INDEX([1]AB4!AF:AF,MATCH(A260,[1]AB4!B:B,0)),TEXT(INDEX([1]AB4!AG:AG,MATCH(A260,[1]AB4!B:B,0)),"0.00%")," &amp; ",INDEX([1]AB4!AK:AK,MATCH(A260,[1]AB4!B:B,0)),INDEX([1]AB4!AJ:AJ,MATCH(A260,[1]AB4!B:B,0)),TEXT(INDEX([1]AB4!AL:AL,MATCH(A260,[1]AB4!B:B,0)),"0.00%")," )")))))</f>
        <v/>
      </c>
      <c r="N260" s="38" t="str">
        <f t="array" ref="N260">IF(C253="","",IF(C258="Futures","",IF(C258="Options Sell",INDEX([1]AB4!AM:AM,MATCH(A260,[1]AB4!B:B,0)))))</f>
        <v/>
      </c>
      <c r="O260" s="35" t="str">
        <f t="array" ref="O260">IF(C253="","",IF(C258="Futures","",IF(C258="Options Sell",IF(INDEX([1]AB4!AO:AO,MATCH(A260,[1]AB4!B:B,0))="","",CONCATENATE(INDEX([1]AB4!AA:AA,MATCH(A260,[1]AB4!B:B,0))," ( ",INDEX([1]AB4!AE:AE,MATCH(A260,[1]AB4!B:B,0))," &amp; ",INDEX([1]AB4!AN:AN,MATCH(A260,[1]AB4!B:B,0)),INDEX([1]AB4!AJ:AJ,MATCH(A260,[1]AB4!B:B,0)),TEXT(INDEX([1]AB4!AO:AO,MATCH(A260,[1]AB4!B:B,0)),"0.00%")," )")))))</f>
        <v/>
      </c>
      <c r="P260" s="39" t="str">
        <f t="array" ref="P260">IF(C253="","",IF(C258="Futures","",IF(C258="Options Sell",IF(INDEX([1]AB4!AO:AO,MATCH(A260,[1]AB4!B:B,0))="","",INDEX([1]AB4!AP:AP,MATCH(A260,[1]AB4!B:B,0))))))</f>
        <v/>
      </c>
      <c r="Q260" s="40"/>
      <c r="R260" s="35" t="str">
        <f t="array" ref="R260">IF(C253="","",IF(C258="Futures","",IF(C258="Options Sell",IF(INDEX([1]AB4!AR:AR,MATCH(A260,[1]AB4!B:B,0))="","",CONCATENATE(INDEX([1]AB4!AA:AA,MATCH(A260,[1]AB4!B:B,0))," ( ",INDEX([1]AB4!AE:AE,MATCH(A260,[1]AB4!B:B,0))," &amp; ",INDEX([1]AB4!AQ:AQ,MATCH(A260,[1]AB4!B:B,0)),INDEX([1]AB4!AJ:AJ,MATCH(A260,[1]AB4!B:B,0)),TEXT(INDEX([1]AB4!AR:AR,MATCH(A260,[1]AB4!B:B,0)),"0.00%")," )")))))</f>
        <v/>
      </c>
      <c r="S260" s="38" t="str">
        <f t="array" ref="S260">IF(C253="","",IF(C258="Futures","",IF(C258="Options Sell",IF(INDEX([1]AB4!AR:AR,MATCH(A260,[1]AB4!B:B,0))="","",INDEX([1]AB4!AS:AS,MATCH(A260,[1]AB4!B:B,0))))))</f>
        <v/>
      </c>
      <c r="T260" s="35" t="str">
        <f t="array" ref="T260">IF(C253="","",IF(C258="Futures","",IF(C258="Options Sell",IF(INDEX([1]AB4!AU:AU,MATCH(A260,[1]AB4!B:B))="","",CONCATENATE(INDEX([1]AB4!AA:AA,MATCH(A260,[1]AB4!B:B))," ( ",INDEX([1]AB4!AE:AE,MATCH(A260,[1]AB4!B:B))," &amp; ",INDEX([1]AB4!AT:AT,MATCH(A260,[1]AB4!B:B)),INDEX([1]AB4!AJ:AJ,MATCH(A260,[1]AB4!B:B)),TEXT(INDEX([1]AB4!AU:AU,MATCH(A260,[1]AB4!B:B)),"0.00%")," )")))))</f>
        <v/>
      </c>
      <c r="U260" s="38" t="str">
        <f t="array" ref="U260">IF(C253="","",IF(C258="Futures","",IF(C258="Options Sell",IF(INDEX([1]AB4!AU:AU,MATCH(A260,[1]AB4!B:B,0))="","",INDEX([1]AB4!AV:AV,MATCH(A260,[1]AB4!B:B,0))))))</f>
        <v/>
      </c>
      <c r="V260" s="35" t="str">
        <f t="array" ref="V260">IF(C259="","",IF(C258="Futures","",IF(C258="Options Sell",IF(INDEX([1]AB4!AX:AX,MATCH(A260,[1]AB4!B:B,0))="","",CONCATENATE(INDEX([1]AB4!AA:AA,MATCH(A260,[1]AB4!B:B,0))," ( ",INDEX([1]AB4!AE:AE,MATCH(A260,[1]AB4!B:B,0))," &amp; ",INDEX([1]AB4!AW:AW,MATCH(A260,[1]AB4!B:B,0)),INDEX([1]AB4!AJ:AJ,MATCH(A260,[1]AB4!B:B,0)),TEXT(INDEX([1]AB4!AX:AX,MATCH(A260,[1]AB4!B:B,0)),"0.00%")," )")))))</f>
        <v/>
      </c>
      <c r="W260" s="38" t="str">
        <f t="array" ref="W260">IF(C253="","",IF(C258="Futures","",IF(C258="Options Sell",IF(INDEX([1]AB4!AX:AX,MATCH(A260,[1]AB4!B:B,0))="","",INDEX([1]AB4!AY:AY,MATCH(A260,[1]AB4!B:B,0))))))</f>
        <v/>
      </c>
      <c r="X260" s="35" t="str">
        <f t="array" ref="X260">IF(C253="","",IF(C258="Futures","",IF(C258="Options Sell",IF(INDEX([1]AB4!BA:BA,MATCH(A260,[1]AB4!B:B,0))="","",CONCATENATE(INDEX([1]AB4!AA:AA,MATCH(A260,[1]AB4!B:B,0))," ( ",INDEX([1]AB4!AE:AE,MATCH(A260,[1]AB4!B:B,0))," &amp; ",INDEX([1]AB4!AW:AW,MATCH(A260,[1]AB4!B:B,0)),INDEX([1]AB4!AJ:AJ,MATCH(A260,[1]AB4!B:B,0)),TEXT(INDEX([1]AB4!AX:AX,MATCH(A260,[1]AB4!B:B,0)),"0.00%")," )")))))</f>
        <v/>
      </c>
      <c r="Y260" s="38" t="str">
        <f t="array" ref="Y260">IF(C253="","",IF(C258="Futures","",IF(C258="Options Sell",IF(INDEX([1]AB4!BA:BA,MATCH(A260,[1]AB4!B:B,0))="","",INDEX([1]AB4!AY:AY,MATCH(A260,[1]AB4!B:B,0))))))</f>
        <v/>
      </c>
      <c r="Z260" s="41" t="str">
        <f t="array" ref="Z260">IF(C253="","",IF(C258="Futures","",IF(C258="Options Sell",IF(INDEX([1]AB4!BD:BD,MATCH(A259,[1]AB4!B:B,0))="","",INDEX([1]AB4!AZ:AZ,MATCH(A259,[1]AB4!B:B,0))))))</f>
        <v/>
      </c>
      <c r="AA260" s="42" t="str">
        <f>IF(C253="","",IF(C258="Futures","",IF(C258="Options Sell",IF(VLOOKUP(A260,[1]AB4!B:CL,55,FALSE)="","",VLOOKUP(A260,[1]AB4!B:CL,53,FALSE)))))</f>
        <v/>
      </c>
      <c r="AB260" s="29"/>
      <c r="AC260" s="29"/>
    </row>
    <row r="261" spans="1:29" ht="6" hidden="1" customHeight="1" x14ac:dyDescent="0.2">
      <c r="A261" s="15" t="str">
        <f>IF(C253="","",CONCATENATE(C254,[1]AB5!A272))</f>
        <v/>
      </c>
      <c r="B261" s="56" t="str">
        <f>IF(C253="","",IF(C258="Futures","",IF(C258="Options Sell",[1]AB5!$B$67)))</f>
        <v/>
      </c>
      <c r="C261" s="57"/>
      <c r="D261" s="32"/>
      <c r="E261" s="33"/>
      <c r="F261" s="45"/>
      <c r="G261" s="46"/>
      <c r="H261" s="46"/>
      <c r="I261" s="47"/>
      <c r="J261" s="33"/>
      <c r="K261" s="45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29"/>
      <c r="AC261" s="29"/>
    </row>
    <row r="262" spans="1:29" ht="15.75" hidden="1" customHeight="1" x14ac:dyDescent="0.2">
      <c r="A262" s="15" t="str">
        <f>IF(C253="","",CONCATENATE(C254,[1]AB5!$A$13))</f>
        <v/>
      </c>
      <c r="B262" s="32"/>
      <c r="C262" s="33"/>
      <c r="D262" s="32"/>
      <c r="E262" s="33"/>
      <c r="F262" s="50" t="str">
        <f>IF(C253="","",IF(C258="Futures","",IF(C258="Options Sell",[1]AB5!$F$68)))</f>
        <v/>
      </c>
      <c r="G262" s="20" t="str">
        <f t="array" ref="G262">IF(C253="","",IF(C258="Futures","",IF(C258="Options Sell",CONCATENATE("( ",INDEX([1]AB4!BP:BP,MATCH(A262,[1]AB4!B:B))," ",INDEX([1]AB4!BQ:BQ,MATCH(A262,[1]AB4!B:B))," ",TEXT(INDEX([1]AB4!BR:BR,MATCH(A262,[1]AB4!B:B)),"0.00%")," ) &amp; ",INDEX([1]AB4!BS:BS,MATCH(A262,[1]AB4!B:B))),IF(C258="Options Buy",CONCATENATE("( ",INDEX([1]AB4!BP:BP,MATCH(A262,[1]AB4!B:B,0))," ",INDEX([1]AB4!BQ:BQ,MATCH(A262,[1]AB4!B:B,0))," ",TEXT(INDEX([1]AB4!BR:BR,MATCH(A262,[1]AB4!B:B,0)),"0.00%")," ) &amp; ",INDEX([1]AB4!BS:BS,MATCH(A262,[1]AB4!B:B,0)))))))</f>
        <v/>
      </c>
      <c r="H262" s="20" t="str">
        <f t="array" ref="H262">IF(C253="","",IF(C258="Futures","",IF(C258="Options Sell",CONCATENATE(INDEX([1]AB4!CE:CE,MATCH(A262,[1]AB4!B:B)),[1]AB5!$H$59,TEXT(INDEX([1]AB4!CF:CF,MATCH(A262,[1]AB4!B:B)),"0.00%")))))</f>
        <v/>
      </c>
      <c r="I262" s="21" t="str">
        <f t="array" ref="I262">IF(C253="","",IF(C258="Futures","",IF(C258="Options Sell",CONCATENATE(INDEX([1]AB4!CI:CI,MATCH(A262,[1]AB4!B:B)),[1]AB5!$I$59))))</f>
        <v/>
      </c>
      <c r="J262" s="33"/>
      <c r="K262" s="50" t="str">
        <f>IF(C253="","",IF(C258="Futures","",IF(C258="Options Sell",[1]AB5!$K$68,IF(C258="Options Buy",[1]AB5!$K$101))))</f>
        <v/>
      </c>
      <c r="L262" s="23" t="str">
        <f>IF(C253="","",IF(C258="Futures","",IF(C258="Options Sell",[1]AB5!$G$13,IF(C258="Options Buy",[1]AB5!$L$101))))</f>
        <v/>
      </c>
      <c r="M262" s="20" t="str">
        <f t="array" ref="M262">IF(C253="","",IF(C258="Futures","",IF(C258="Options Sell",CONCATENATE(INDEX([1]AB4!G:G,MATCH(A262,[1]AB4!B:B,0)),INDEX([1]AB4!H:H,MATCH(A262,[1]AB4!B:B,0)),TEXT(INDEX([1]AB4!I:I,MATCH(A262,[1]AB4!B:B,0)),"0.00%")))))</f>
        <v/>
      </c>
      <c r="N262" s="24" t="str">
        <f t="array" ref="N262">IF(C253="","",IF(C258="Futures","",IF(C258="Options Sell",INDEX([1]AB4!J:J,MATCH(A262,[1]AB4!B:B,0)))))</f>
        <v/>
      </c>
      <c r="O262" s="25" t="str">
        <f t="array" ref="O262">IF(C253="","",IF(C258="Futures","",IF(C258="Options Sell",IF(INDEX([1]AB4!N:N,MATCH(A262,[1]AB4!B:B,0))="","",CONCATENATE(INDEX([1]AB4!L:L,MATCH(A262,[1]AB4!B:B,0)),INDEX([1]AB4!M:M,MATCH(A262,[1]AB4!B:B,0)),TEXT(INDEX([1]AB4!N:N,MATCH(A262,[1]AB4!B:B,0)),"0.00%"))))))</f>
        <v/>
      </c>
      <c r="P262" s="26" t="str">
        <f t="array" ref="P262">IF(C253="","",IF(C258="Futures","",IF(C258="Options Sell",IF(INDEX([1]AB4!N:N,MATCH(A262,[1]AB4!B:B,0))="","",INDEX([1]AB4!O:O,MATCH(A262,[1]AB4!B:B,0))))))</f>
        <v/>
      </c>
      <c r="Q262" s="27"/>
      <c r="R262" s="25" t="str">
        <f t="array" ref="R262">IF(C253="","",IF(C258="Futures","",IF(C258="Options Sell",IF(INDEX([1]AB4!P:P,MATCH(A262,[1]AB4!B:B,0))="","",CONCATENATE(INDEX([1]AB4!L:L,MATCH(A262,[1]AB4!B:B,0)),INDEX([1]AB4!M:M,MATCH(A262,[1]AB4!B:B,0)),TEXT(INDEX([1]AB4!P:P,MATCH(A262,[1]AB4!B:B,0)),"0.00%"))))))</f>
        <v/>
      </c>
      <c r="S262" s="24" t="str">
        <f t="array" ref="S262">IF(C253="","",IF(C258="Futures","",IF(C258="Options Sell",IF(INDEX([1]AB4!P:P,MATCH(A262,[1]AB4!B:B,0))="","",INDEX([1]AB4!Q:Q,MATCH(A262,[1]AB4!B:B,0))))))</f>
        <v/>
      </c>
      <c r="T262" s="25" t="str">
        <f t="array" ref="T262">IF(C253="","",IF(C258="Futures","",IF(C258="Options Sell",IF(INDEX([1]AB4!R:R,MATCH(A262,[1]AB4!B:B,0))="","",CONCATENATE(INDEX([1]AB4!L:L,MATCH(A262,[1]AB4!B:B,0)),INDEX([1]AB4!M:M,MATCH(A262,[1]AB4!B:B,0)),TEXT(INDEX([1]AB4!R:R,MATCH(A262,[1]AB4!B:B,0)),"0.00%"))))))</f>
        <v/>
      </c>
      <c r="U262" s="24" t="str">
        <f t="array" ref="U262">IF(C253="","",IF(C258="Futures","",IF(C258="Options Sell",IF(INDEX([1]AB4!R:R,MATCH(A262,[1]AB4!B:B,0))="","",INDEX([1]AB4!S:S,MATCH(A262,[1]AB4!B:B,0))))))</f>
        <v/>
      </c>
      <c r="V262" s="25" t="str">
        <f t="array" ref="V262">IF(C262="","",IF(C258="Futures","",IF(C258="Options Sell",IF(INDEX([1]AB4!T:T,MATCH(A262,[1]AB4!B:B,0))="","",CONCATENATE(INDEX([1]AB4!L:L,MATCH(A262,[1]AB4!B:B,0)),INDEX([1]AB4!M:M,MATCH(A262,[1]AB4!B:B,0)),TEXT(INDEX([1]AB4!T:T,MATCH(A262,[1]AB4!B:B,0)),"0.00%"))))))</f>
        <v/>
      </c>
      <c r="W262" s="24" t="str">
        <f t="array" ref="W262">IF(C253="","",IF(C258="Futures","",IF(C258="Options Sell",IF(INDEX([1]AB4!T:T,MATCH(A262,[1]AB4!B:B,0))="","",INDEX([1]AB4!U:U,MATCH(A262,[1]AB4!B:B,0))))))</f>
        <v/>
      </c>
      <c r="X262" s="25" t="str">
        <f t="array" ref="X262">IF(C253="","",IF(C258="Futures","",IF(C258="Options Sell",IF(INDEX([1]AB4!V:V,MATCH(A262,[1]AB4!B:B,0))="","",INDEX([1]AB4!V:V,MATCH(A262,[1]AB4!B:B,0))))))</f>
        <v/>
      </c>
      <c r="Y262" s="24" t="str">
        <f t="array" ref="Y262">IF(C253="","",IF(C258="Futures","",IF(C258="Options Sell",IF(INDEX([1]AB4!V:V,MATCH(A262,[1]AB4!B:B,0))="","",INDEX([1]AB4!W:W,MATCH(A262,[1]AB4!B:B,0))))))</f>
        <v/>
      </c>
      <c r="Z262" s="25" t="str">
        <f t="array" ref="Z262">IF(C253="","",IF(C258="Futures","",IF(C258="Options Sell",IF(INDEX([1]AB4!X:X,MATCH(A262,[1]AB4!B:B,0))="","",INDEX([1]AB4!X:X,MATCH(A262,[1]AB4!B:B,0))))))</f>
        <v/>
      </c>
      <c r="AA262" s="28" t="str">
        <f>IF(C253="","",IF(C258="Futures","",IF(C258="Options Sell",IF(VLOOKUP(A262,[1]AB4!B:CL,23,FALSE)="","",VLOOKUP(A262,[1]AB4!B:CL,24,FALSE)))))</f>
        <v/>
      </c>
      <c r="AB262" s="29"/>
      <c r="AC262" s="29"/>
    </row>
    <row r="263" spans="1:29" ht="34.5" hidden="1" customHeight="1" x14ac:dyDescent="0.2">
      <c r="A263" s="15" t="str">
        <f>IF(C253="","",CONCATENATE(C254,[1]AB5!$A$14))</f>
        <v/>
      </c>
      <c r="B263" s="34"/>
      <c r="C263" s="53"/>
      <c r="D263" s="34"/>
      <c r="E263" s="53"/>
      <c r="F263" s="34"/>
      <c r="G263" s="35" t="str">
        <f t="array" ref="G263">IF(C253="","",IF(C258="Futures","",IF(C258="Options Sell",CONCATENATE("( ",INDEX([1]AB4!BT:BT,MATCH(A263,[1]AB4!B:B))," ) &amp; ",INDEX([1]AB4!BW:BW,MATCH(A263,[1]AB4!B:B))," ",INDEX([1]AB4!BX:BX,MATCH(A263,[1]AB4!B:B))," ",INDEX([1]AB4!BY:BY,MATCH(A263,[1]AB4!B:B))),IF(C258="Options Buy",CONCATENATE("( ",INDEX([1]AB4!BP:BP,MATCH(A263,[1]AB4!B:B,0))," ",INDEX([1]AB4!BQ:BQ,MATCH(A263,[1]AB4!B:B,0))," ",TEXT(INDEX([1]AB4!BR:BR,MATCH(A263,[1]AB4!B:B,0)),"0.00%")," ) &amp; ",INDEX([1]AB4!BS:BS,MATCH(A263,[1]AB4!B:B,0)))))))</f>
        <v/>
      </c>
      <c r="H263" s="35" t="str">
        <f t="array" ref="H263">IF(C253="","",IF(C258="Futures","",IF(C258="Options Sell",CONCATENATE(INDEX([1]AB4!CG:CG,MATCH(A263,[1]AB4!B:B)),[1]AB5!$H$60,TEXT(INDEX([1]AB4!CH:CH,MATCH(A263,[1]AB4!B:B)),"0.00%")))))</f>
        <v/>
      </c>
      <c r="I263" s="36" t="str">
        <f t="array" ref="I263">IF(C253="","",IF(C258="Futures","",IF(C258="Options Sell",CONCATENATE(INDEX([1]AB4!CJ:CJ,MATCH(A263,[1]AB4!B:B)),[1]AB5!$I$60))))</f>
        <v/>
      </c>
      <c r="J263" s="53"/>
      <c r="K263" s="34"/>
      <c r="L263" s="37" t="str">
        <f>IF(C253="","",IF(C258="Futures","",IF(C258="Options Sell",[1]AB5!$G$14,IF(C258="Options Buy",[1]AB5!$L$102))))</f>
        <v/>
      </c>
      <c r="M263" s="35" t="str">
        <f t="array" ref="M263">IF(C253="","",IF(C258="Futures","",IF(C258="Options Sell",IF(INDEX([1]AB4!AL:AL,MATCH(A263,[1]AB4!B:B,0))="","",CONCATENATE(INDEX([1]AB4!AA:AA,MATCH(A263,[1]AB4!B:B,0))," ( ",INDEX([1]AB4!AE:AE,MATCH(A263,[1]AB4!B:B,0)),INDEX([1]AB4!AF:AF,MATCH(A263,[1]AB4!B:B,0)),TEXT(INDEX([1]AB4!AG:AG,MATCH(A263,[1]AB4!B:B,0)),"0.00%")," &amp; ",INDEX([1]AB4!AK:AK,MATCH(A263,[1]AB4!B:B,0)),INDEX([1]AB4!AJ:AJ,MATCH(A263,[1]AB4!B:B,0)),TEXT(INDEX([1]AB4!AL:AL,MATCH(A263,[1]AB4!B:B,0)),"0.00%")," )")))))</f>
        <v/>
      </c>
      <c r="N263" s="38" t="str">
        <f t="array" ref="N263">IF(C253="","",IF(C258="Futures","",IF(C258="Options Sell",INDEX([1]AB4!AM:AM,MATCH(A263,[1]AB4!B:B,0)))))</f>
        <v/>
      </c>
      <c r="O263" s="35" t="str">
        <f t="array" ref="O263">IF(C253="","",IF(C258="Futures","",IF(C258="Options Sell",IF(INDEX([1]AB4!AO:AO,MATCH(A263,[1]AB4!B:B,0))="","",CONCATENATE(INDEX([1]AB4!AA:AA,MATCH(A263,[1]AB4!B:B,0))," ( ",INDEX([1]AB4!AE:AE,MATCH(A263,[1]AB4!B:B,0))," &amp; ",INDEX([1]AB4!AN:AN,MATCH(A263,[1]AB4!B:B,0)),INDEX([1]AB4!AJ:AJ,MATCH(A263,[1]AB4!B:B,0)),TEXT(INDEX([1]AB4!AO:AO,MATCH(A263,[1]AB4!B:B,0)),"0.00%")," )")))))</f>
        <v/>
      </c>
      <c r="P263" s="39" t="str">
        <f t="array" ref="P263">IF(C253="","",IF(C258="Futures","",IF(C258="Options Sell",IF(INDEX([1]AB4!AO:AO,MATCH(A263,[1]AB4!B:B,0))="","",INDEX([1]AB4!AP:AP,MATCH(A263,[1]AB4!B:B,0))))))</f>
        <v/>
      </c>
      <c r="Q263" s="40"/>
      <c r="R263" s="35" t="str">
        <f t="array" ref="R263">IF(C253="","",IF(C258="Futures","",IF(C258="Options Sell",IF(INDEX([1]AB4!AR:AR,MATCH(A263,[1]AB4!B:B,0))="","",CONCATENATE(INDEX([1]AB4!AA:AA,MATCH(A263,[1]AB4!B:B,0))," ( ",INDEX([1]AB4!AE:AE,MATCH(A263,[1]AB4!B:B,0))," &amp; ",INDEX([1]AB4!AQ:AQ,MATCH(A263,[1]AB4!B:B,0)),INDEX([1]AB4!AJ:AJ,MATCH(A263,[1]AB4!B:B,0)),TEXT(INDEX([1]AB4!AR:AR,MATCH(A263,[1]AB4!B:B,0)),"0.00%")," )")))))</f>
        <v/>
      </c>
      <c r="S263" s="38" t="str">
        <f t="array" ref="S263">IF(C253="","",IF(C258="Futures","",IF(C258="Options Sell",IF(INDEX([1]AB4!AR:AR,MATCH(A263,[1]AB4!B:B,0))="","",INDEX([1]AB4!AS:AS,MATCH(A263,[1]AB4!B:B,0))))))</f>
        <v/>
      </c>
      <c r="T263" s="35" t="str">
        <f t="array" ref="T263">IF(C253="","",IF(C258="Futures","",IF(C258="Options Sell",IF(INDEX([1]AB4!AU:AU,MATCH(A263,[1]AB4!B:B))="","",CONCATENATE(INDEX([1]AB4!AA:AA,MATCH(A263,[1]AB4!B:B))," ( ",INDEX([1]AB4!AE:AE,MATCH(A263,[1]AB4!B:B))," &amp; ",INDEX([1]AB4!AT:AT,MATCH(A263,[1]AB4!B:B)),INDEX([1]AB4!AJ:AJ,MATCH(A263,[1]AB4!B:B)),TEXT(INDEX([1]AB4!AU:AU,MATCH(A263,[1]AB4!B:B)),"0.00%")," )")))))</f>
        <v/>
      </c>
      <c r="U263" s="38" t="str">
        <f t="array" ref="U263">IF(C253="","",IF(C258="Futures","",IF(C258="Options Sell",IF(INDEX([1]AB4!AU:AU,MATCH(A263,[1]AB4!B:B,0))="","",INDEX([1]AB4!AV:AV,MATCH(A263,[1]AB4!B:B,0))))))</f>
        <v/>
      </c>
      <c r="V263" s="35" t="str">
        <f t="array" ref="V263">IF(C262="","",IF(C258="Futures","",IF(C258="Options Sell",IF(INDEX([1]AB4!AX:AX,MATCH(A263,[1]AB4!B:B,0))="","",CONCATENATE(INDEX([1]AB4!AA:AA,MATCH(A263,[1]AB4!B:B,0))," ( ",INDEX([1]AB4!AE:AE,MATCH(A263,[1]AB4!B:B,0))," &amp; ",INDEX([1]AB4!AW:AW,MATCH(A263,[1]AB4!B:B,0)),INDEX([1]AB4!AJ:AJ,MATCH(A263,[1]AB4!B:B,0)),TEXT(INDEX([1]AB4!AX:AX,MATCH(A263,[1]AB4!B:B,0)),"0.00%")," )")))))</f>
        <v/>
      </c>
      <c r="W263" s="38" t="str">
        <f t="array" ref="W263">IF(C253="","",IF(C258="Futures","",IF(C258="Options Sell",IF(INDEX([1]AB4!AX:AX,MATCH(A263,[1]AB4!B:B,0))="","",INDEX([1]AB4!AY:AY,MATCH(A263,[1]AB4!B:B,0))))))</f>
        <v/>
      </c>
      <c r="X263" s="35" t="str">
        <f t="array" ref="X263">IF(C253="","",IF(C258="Futures","",IF(C258="Options Sell",IF(INDEX([1]AB4!BA:BA,MATCH(A263,[1]AB4!B:B,0))="","",CONCATENATE(INDEX([1]AB4!AA:AA,MATCH(A263,[1]AB4!B:B,0))," ( ",INDEX([1]AB4!AE:AE,MATCH(A263,[1]AB4!B:B,0))," &amp; ",INDEX([1]AB4!AW:AW,MATCH(A263,[1]AB4!B:B,0)),INDEX([1]AB4!AJ:AJ,MATCH(A263,[1]AB4!B:B,0)),TEXT(INDEX([1]AB4!AX:AX,MATCH(A263,[1]AB4!B:B,0)),"0.00%")," )")))))</f>
        <v/>
      </c>
      <c r="Y263" s="38" t="str">
        <f t="array" ref="Y263">IF(C253="","",IF(C258="Futures","",IF(C258="Options Sell",IF(INDEX([1]AB4!BA:BA,MATCH(A263,[1]AB4!B:B,0))="","",INDEX([1]AB4!AY:AY,MATCH(A263,[1]AB4!B:B,0))))))</f>
        <v/>
      </c>
      <c r="Z263" s="41" t="str">
        <f t="array" ref="Z263">IF(C253="","",IF(C258="Futures","",IF(C258="Options Sell",IF(INDEX([1]AB4!BD:BD,MATCH(A262,[1]AB4!B:B,0))="","",INDEX([1]AB4!AZ:AZ,MATCH(A262,[1]AB4!B:B,0))))))</f>
        <v/>
      </c>
      <c r="AA263" s="42" t="str">
        <f>IF(C253="","",IF(C258="Futures","",IF(C258="Options Sell",IF(VLOOKUP(A263,[1]AB4!B:CL,55,FALSE)="","",VLOOKUP(A263,[1]AB4!B:CL,53,FALSE)))))</f>
        <v/>
      </c>
      <c r="AB263" s="29"/>
      <c r="AC263" s="29"/>
    </row>
    <row r="264" spans="1:29" ht="15.75" hidden="1" customHeight="1" x14ac:dyDescent="0.2">
      <c r="A264" s="15"/>
      <c r="B264" s="54"/>
      <c r="C264" s="54"/>
      <c r="D264" s="54"/>
      <c r="E264" s="54"/>
      <c r="F264" s="54"/>
      <c r="G264" s="54"/>
      <c r="H264" s="54"/>
      <c r="I264" s="54"/>
      <c r="J264" s="54"/>
      <c r="K264" s="15"/>
      <c r="L264" s="58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15"/>
      <c r="AB264" s="60"/>
      <c r="AC264" s="60"/>
    </row>
    <row r="265" spans="1:29" ht="15.75" hidden="1" customHeight="1" x14ac:dyDescent="0.2">
      <c r="A265" s="15"/>
      <c r="B265" s="61" t="str">
        <f>IF(C253="","",IF(C258="Futures","",IF(C258="Options Sell",[1]AB5!$B$71,IF(C258="Options Buy",[1]AB5!$B$104))))</f>
        <v/>
      </c>
      <c r="C265" s="62"/>
      <c r="D265" s="63" t="str">
        <f>IF(C253="","",IF(C258="Futures","",IF(C258="Options Sell",[1]AB5!$D$71,IF(C258="Options Buy",[1]AB5!$D$104))))</f>
        <v/>
      </c>
      <c r="E265" s="64" t="str">
        <f>IF(C253="","",IF(C258="Futures","",IF(C258="Options Sell",[1]AB5!$E$71,IF(C258="Options Buy",[1]AB5!$E$104))))</f>
        <v/>
      </c>
      <c r="F265" s="65"/>
      <c r="G265" s="66" t="str">
        <f>IF(C253="","",IF(C258="Futures","",IF(C258="Options Sell",[1]AB5!$G$71,IF(C258="Options Buy",[1]AB5!$G$104))))</f>
        <v/>
      </c>
      <c r="H265" s="67" t="str">
        <f>IF(C253="","",IF(C258="Futures","",IF(C258="Options Sell",[1]AB5!$H$71,IF(C258="Options Buy",[1]AB5!$H$104))))</f>
        <v/>
      </c>
      <c r="I265" s="68" t="str">
        <f>IF(C253="","",IF(C258="Futures","",IF(C258="Options Sell",[1]AB5!$I$71,IF(C258="Options Buy",[1]AB5!$D$92))))</f>
        <v/>
      </c>
      <c r="J265" s="69" t="str">
        <f>IF(C253="","",IF(C258="Futures","",IF(C258="Options Sell",[1]AB5!$J$71,IF(C258="Options Buy",[1]AB5!$J$104))))</f>
        <v/>
      </c>
      <c r="K265" s="65"/>
      <c r="L265" s="70" t="str">
        <f>IF(C253="","",IF(C258="Futures","",IF(C258="Options Sell",[1]AB5!$L$71,IF(C258="Options Buy",[1]AB5!$L$104))))</f>
        <v/>
      </c>
      <c r="M265" s="68" t="str">
        <f>IF(C253="","",IF(C258="Futures","",IF(C258="Options Sell",[1]AB5!$M$71,IF(C258="Options Buy",[1]AB5!$M$104))))</f>
        <v/>
      </c>
      <c r="N265" s="66" t="str">
        <f>IF(C253="","",IF(C258="Futures","",IF(C258="Options Sell",[1]AB5!$N$71,IF(C258="Options Buy",[1]AB5!$N$104))))</f>
        <v/>
      </c>
      <c r="O265" s="68" t="str">
        <f>IF(C253="","",IF(C258="Futures","",IF(C258="Options Sell",[1]AB5!$O$71,IF(C258="Options Buy",[1]AB5!$O$104))))</f>
        <v/>
      </c>
      <c r="P265" s="69" t="str">
        <f>IF(C253="","",IF(C258="Futures","",IF(C258="Options Sell",[1]AB5!$P$71,IF(C258="Options Buy",[1]AB5!$P$104))))</f>
        <v/>
      </c>
      <c r="Q265" s="65"/>
      <c r="R265" s="65"/>
      <c r="S265" s="71" t="str">
        <f>IF(C253="","",IF(C258="Futures","",IF(C258="Options Sell",[1]AB5!$S$71,IF(C258="Options Buy",[1]AB5!$S$104))))</f>
        <v/>
      </c>
      <c r="T265" s="72" t="str">
        <f>IF(C253="","",IF(C258="Futures","",IF(C258="Options Sell",[1]AB5!$T$71,IF(C258="Options Buy",[1]AB5!$T$104))))</f>
        <v/>
      </c>
      <c r="U265" s="65"/>
      <c r="V265" s="68" t="str">
        <f>IF(C253="","",IF(C258="Futures","",IF(C258="Options Sell",[1]AB5!$V$71,IF(C258="Options Buy",[1]AB5!$V$104))))</f>
        <v/>
      </c>
      <c r="W265" s="68" t="str">
        <f>IF(C253="","",IF(C258="Futures","",IF(C258="Options Sell",[1]AB5!$W$71,IF(C258="Options Buy",[1]AB5!$W$104))))</f>
        <v/>
      </c>
      <c r="X265" s="73" t="str">
        <f>IF(C253="","",IF(C258="Futures","",IF(C258="Options Sell",[1]AB5!$X$71,IF(C258="Options Buy",[1]AB5!$X$104))))</f>
        <v/>
      </c>
      <c r="Y265" s="65"/>
      <c r="Z265" s="68" t="str">
        <f>IF(C253="","",IF(C258="Futures","",IF(C258="Options Sell",[1]AB5!$Z$71,[1]AB5!$Z$104)))</f>
        <v/>
      </c>
      <c r="AA265" s="74" t="str">
        <f>IF(C253="","",IF(C258="Futures","",IF(C258="Options Sell",[1]AB5!$AA$71,IF(C258="Options Buy",[1]AB5!$AA$104))))</f>
        <v/>
      </c>
      <c r="AB265" s="75"/>
      <c r="AC265" s="75"/>
    </row>
    <row r="266" spans="1:29" ht="15.75" hidden="1" customHeight="1" x14ac:dyDescent="0.2">
      <c r="A266" s="15" t="str">
        <f>IF(C253="","",CONCATENATE(C254,[1]AB5!$A$4))</f>
        <v/>
      </c>
      <c r="B266" s="76" t="str">
        <f>IF(C253="","",IF(C258="Futures","",IF(C258="Options Sell",[1]AB5!$B$72,IF(C258="Options Buy",[1]AB5!$B$105))))</f>
        <v/>
      </c>
      <c r="C266" s="77" t="str">
        <f>IF(C253="","",IF(C258="Futures","",IF(C258="Options Sell",[1]AB5!$C$72,IF(C258="Options Buy",[1]AB5!$C$105))))</f>
        <v/>
      </c>
      <c r="D266" s="18" t="str">
        <f>IF(C253="","",IF(C258="Futures","",IF(C258="Options Sell",[1]AB5!$D$72,IF(C258="Options Buy",[1]AB5!$D$105))))</f>
        <v/>
      </c>
      <c r="E266" s="78" t="str">
        <f>IF(C253="","",IF(C258="Futures","",IF(C258="Options Sell",CONCATENATE([1]AB5!$E$72,TEXT(B267,"HH:MM:SS AM/PM"),[1]AB5!$F$72))))</f>
        <v/>
      </c>
      <c r="F266" s="79"/>
      <c r="G266" s="80" t="str">
        <f>IF(C253="","",IF(C258="Futures","",IF(C258="Options Sell",[1]AB5!$G$72,IF(C258="Options Buy",[1]AB5!$G$105))))</f>
        <v/>
      </c>
      <c r="H266" s="81" t="str">
        <f>IF(C253="","",IF(C258="Futures","",IF(C258="Options Sell",[1]AB5!$H$72)))</f>
        <v/>
      </c>
      <c r="I266" s="82" t="str">
        <f>IF(C253="","",IF(C258="Futures","",IF(C258="Options Sell",[1]AB5!$I$72)))</f>
        <v/>
      </c>
      <c r="J266" s="83" t="str">
        <f>IF(C253="","",IF(C258="Futures","",IF(C258="Options Sell",[1]AB5!$J$72)))</f>
        <v/>
      </c>
      <c r="K266" s="27"/>
      <c r="L266" s="84" t="str">
        <f>IF(C253="","",IF(C258="Futures","",IF(C258="Options Sell",B267)))</f>
        <v/>
      </c>
      <c r="M266" s="85" t="str">
        <f>IF(C253="","",IF(C258="Futures","",IF(C258="Options Sell",[1]AB5!$M$72)))</f>
        <v/>
      </c>
      <c r="N266" s="86" t="str">
        <f>IF(C253="","",IF(C258="Futures","",IF(C258="Options Sell",[1]AB5!$N$72)))</f>
        <v/>
      </c>
      <c r="O266" s="85" t="str">
        <f>IF(C253="","",IF(C258="Futures","",IF(C258="Options Sell",[1]AB5!$O$72)))</f>
        <v/>
      </c>
      <c r="P266" s="87" t="str">
        <f>IF(C253="","",IF(C258="Futures","",IF(C258="Options Sell",[1]AB5!$P$72)))</f>
        <v/>
      </c>
      <c r="Q266" s="88"/>
      <c r="R266" s="27"/>
      <c r="S266" s="89" t="str">
        <f>IF(C253="","",IF(C258="Futures","",IF(C258="Options Sell",[1]AB5!$S$72)))</f>
        <v/>
      </c>
      <c r="T266" s="90" t="str">
        <f>IF(C253="","",IF(C258="Futures","",IF(C258="Options Sell",[1]AB5!$T$72)))</f>
        <v/>
      </c>
      <c r="U266" s="27"/>
      <c r="V266" s="91" t="str">
        <f>IF(C253="","",IF(C258="Futures","",IF(C258="Options Sell",[1]AB5!$V$72)))</f>
        <v/>
      </c>
      <c r="W266" s="91" t="str">
        <f>IF(C253="","",IF(C258="Futures","",IF(C258="Options Sell",[1]AB5!$W$72)))</f>
        <v/>
      </c>
      <c r="X266" s="83" t="str">
        <f>IF(C253="","",IF(C258="Futures","",IF(C258="Options Sell",[1]AB5!$X$72)))</f>
        <v/>
      </c>
      <c r="Y266" s="27"/>
      <c r="Z266" s="89" t="str">
        <f>IF(C253="","",IF(C258="Futures","",IF(C258="Options Sell",[1]AB5!$Z$72)))</f>
        <v/>
      </c>
      <c r="AA266" s="92" t="str">
        <f>IF(C253="","",IF(C258="Futures","",IF(C258="Options Sell",[1]AB5!$AA$72)))</f>
        <v/>
      </c>
      <c r="AB266" s="75"/>
      <c r="AC266" s="75"/>
    </row>
    <row r="267" spans="1:29" ht="63.75" hidden="1" customHeight="1" x14ac:dyDescent="0.2">
      <c r="A267" s="93" t="str">
        <f>IF(C253="","",CONCATENATE(C254,[1]AB5!$A$7))</f>
        <v/>
      </c>
      <c r="B267" s="135" t="str">
        <f t="array" ref="B267">IF(C253="","",INDEX([1]AB4!BE:BE,MATCH(A266,[1]AB4!B:B,0)))</f>
        <v/>
      </c>
      <c r="C267" s="136" t="str">
        <f t="array" ref="C267">IF(C253="","", INDEX([1]AB4!BE:BE,MATCH(A267,[1]AB4!B:B,0)))</f>
        <v/>
      </c>
      <c r="D267" s="32"/>
      <c r="E267" s="96"/>
      <c r="F267" s="97"/>
      <c r="G267" s="98" t="str">
        <f>IF(C253="","",IF(C258="Futures","",IF(C258="Options Sell",[1]AB5!$G$73,IF(C258="Options Buy",[1]AB5!$G$106))))</f>
        <v/>
      </c>
      <c r="H267" s="99" t="str">
        <f>IF(C253="","",IF(C258="Futures","",IF(C258="Options Sell",[1]AB5!$H$73)))</f>
        <v/>
      </c>
      <c r="I267" s="100" t="str">
        <f>IF(C253="","",IF(C258="Futures","",IF(C258="Options Sell",[1]AB5!$I$73)))</f>
        <v/>
      </c>
      <c r="J267" s="101" t="str">
        <f>IF(C253="","",IF(C258="Futures","",IF(C258="Options Sell",[1]AB5!$J$73)))</f>
        <v/>
      </c>
      <c r="K267" s="102"/>
      <c r="L267" s="103" t="str">
        <f>IF(C253="","",IF(C258="Futures","",IF(C258="Options Sell",C267)))</f>
        <v/>
      </c>
      <c r="M267" s="104" t="str">
        <f t="array" ref="M267">IF(C253="","",IF(C258="Futures","",IF(C258="Options Sell",CONCATENATE([1]AB5!$M$73, "( ",INDEX([1]AB4!BP:BP,MATCH(A253,[1]AB4!B:B,0))," &amp; ",S267," ) ",INDEX([1]AB4!BQ:BQ,MATCH(A253,[1]AB4!B:B))," ",N267," ) &amp; ",INDEX([1]AB4!BS:BS,MATCH(A253,[1]AB4!B:B,0))))))</f>
        <v/>
      </c>
      <c r="N267" s="105" t="str">
        <f t="array" ref="N267">IF(A253="","",IF(C258="Futures","",IF(C258="Options Sell",TEXT(INDEX([1]AB4!CR:CR,MATCH(A253,[1]AB4!B:B,0)),"0.00%"))))</f>
        <v/>
      </c>
      <c r="O267" s="104" t="str">
        <f t="array" ref="O267">IF(C253="","",IF(C258="Futures","",IF(C258="Options Sell",CONCATENATE([1]AB5!$O$73,"( ",INDEX([1]AB4!BT:BT,MATCH(A253,[1]AB4!B:B,0))," &amp; ",S267," ) &amp; ",INDEX([1]AB4!BW:BW,MATCH(A253,[1]AB4!B:B,0))," ",INDEX([1]AB4!BX:BX,MATCH(A253,[1]AB4!B:B,0))," ",INDEX([1]AB4!BY:BY,MATCH(A253,[1]AB4!B:B,0))))))</f>
        <v/>
      </c>
      <c r="P267" s="106" t="str">
        <f t="array" ref="P267">IF(A253="","",IF(C258="Futures","",IF(C258="Options Sell",IF(INDEX([1]AB4!CS:CS,MATCH(A253,[1]AB4!B:B,0))="","",TEXT(INDEX([1]AB4!CS:CS,MATCH(A253,[1]AB4!B:B,0)),"0.00%")))))</f>
        <v/>
      </c>
      <c r="Q267" s="107"/>
      <c r="R267" s="102"/>
      <c r="S267" s="105" t="str">
        <f>IF(C253="","",IF(C258="Futures","",IF(C258="Options Sell",CONCATENATE(TEXT(L267,"HH:MM:SS AM/PM"),[1]AB5!$S$73))))</f>
        <v/>
      </c>
      <c r="T267" s="101" t="str">
        <f t="array" ref="T267">IF(C253="","",IF(C258="Futures","",IF(C258="Options Sell",CONCATENATE([1]AB5!$T$73,"( ",INDEX([1]AB4!CE:CE,MATCH(A253,[1]AB4!B:B,0))," &amp; ",S267," ) ",[1]AB5!$H$59,TEXT(INDEX([1]AB4!CF:CF,MATCH(A253,[1]AB4!B:B,0)),"0.00%")))))</f>
        <v/>
      </c>
      <c r="U267" s="102"/>
      <c r="V267" s="104" t="str">
        <f t="array" ref="V267">IF(C253="","",IF(C258="Futures","",IF(C258="Options Sell",CONCATENATE([1]AB5!$V$73,"( ",INDEX([1]AB4!CG:CG,MATCH(A253,[1]AB4!B:B,0))," &amp; ",S267," ) ",[1]AB5!$H$59,TEXT(INDEX([1]AB4!CH:CH,MATCH(A253,[1]AB4!B:B,0)),"0.00%")))))</f>
        <v/>
      </c>
      <c r="W267" s="104" t="str">
        <f>IF(A253="","",IF(C258="Futures","",IF(C258="Options Sell",I253)))</f>
        <v/>
      </c>
      <c r="X267" s="101" t="str">
        <f t="array" ref="X267">IF(C253="","",IF(C258="Futures","",IF(C258="Options Sell",CONCATENATE([1]AB5!$X$73,"( ",INDEX([1]AB4!G:G,MATCH(A253,[1]AB4!B:B,0))," &amp; ",Z267," ) ",INDEX([1]AB4!H:H,MATCH(A253,[1]AB4!B:B,0))," ",AA267))))</f>
        <v/>
      </c>
      <c r="Y267" s="102"/>
      <c r="Z267" s="108" t="str">
        <f>IF(C253="","",IF(C258="Futures","",IF(C258="Options Sell",CONCATENATE(TEXT(L267,"HH:MM:SS AM/PM"),[1]AB5!$S$73))))</f>
        <v/>
      </c>
      <c r="AA267" s="109" t="str">
        <f t="array" ref="AA267">IF(A253="","",IF(C258="Futures","",IF(C258="Options Sell",TEXT(INDEX([1]AB4!BK:BK,MATCH(A253,[1]AB4!B:B,0)),"0.00%"))))</f>
        <v/>
      </c>
      <c r="AB267" s="75"/>
      <c r="AC267" s="75"/>
    </row>
    <row r="268" spans="1:29" ht="15.75" hidden="1" customHeight="1" x14ac:dyDescent="0.2">
      <c r="A268" s="15"/>
      <c r="B268" s="54"/>
      <c r="C268" s="54"/>
      <c r="D268" s="112"/>
      <c r="E268" s="12"/>
      <c r="F268" s="13"/>
      <c r="G268" s="14"/>
      <c r="H268" s="14"/>
      <c r="I268" s="100" t="str">
        <f>IF(C253="","",IF(C258="Futures","",IF(C258="Options Sell",[1]AB5!$I$74)))</f>
        <v/>
      </c>
      <c r="J268" s="101" t="str">
        <f>IF(C253="","",IF(C258="Futures","",IF(C258="Options Sell",[1]AB5!$J$74)))</f>
        <v/>
      </c>
      <c r="K268" s="102"/>
      <c r="L268" s="103" t="str">
        <f>IF(C253="","",IF(C258="Futures","",IF(C258="Options Sell",C267)))</f>
        <v/>
      </c>
      <c r="M268" s="104" t="str">
        <f t="array" ref="M268">IF(C253="","",IF(C258="Futures","",IF(C258="Options Sell",CONCATENATE([1]AB5!$M$74,"( ",INDEX([1]AB4!BP:BP,MATCH(A259,[1]AB4!B:B,0))," &amp; ",S268," ) ",INDEX([1]AB4!BQ:BQ,MATCH(A259,[1]AB4!B:B,0))," ",N268," ) &amp; ",INDEX([1]AB4!BS:BS,MATCH(A259,[1]AB4!B:B,0))))))</f>
        <v/>
      </c>
      <c r="N268" s="105" t="str">
        <f t="array" ref="N268">IF(A253="","",IF(C258="Futures","",IF(C258="Options Sell",TEXT(INDEX([1]AB4!CR:CR,MATCH(A259,[1]AB4!B:B,0)),"0.00%"))))</f>
        <v/>
      </c>
      <c r="O268" s="104" t="str">
        <f t="array" ref="O268">IF(C253="","",IF(C258="Futures","",IF(C258="Options Sell",CONCATENATE([1]AB5!$O$74,"( ",INDEX([1]AB4!BT:BT,MATCH(A259,[1]AB4!B:B,0))," &amp; ",S268," ) &amp; ",INDEX([1]AB4!BW:BW,MATCH(A259,[1]AB4!B:B,0))," ",INDEX([1]AB4!BX:BX,MATCH(A259,[1]AB4!B:B,0))," ",INDEX([1]AB4!BY:BY,MATCH(A259,[1]AB4!B:B,0))))))</f>
        <v/>
      </c>
      <c r="P268" s="106" t="str">
        <f t="array" ref="P268">IF(A253="","",IF(C258="Futures","",IF(C258="Options Sell",IF(INDEX([1]AB4!CS:CS,MATCH(A259,[1]AB4!B:B,0))="","",TEXT(INDEX([1]AB4!CS:CS,MATCH(A259,[1]AB4!B:B,0)),"0.00%")))))</f>
        <v/>
      </c>
      <c r="Q268" s="107"/>
      <c r="R268" s="102"/>
      <c r="S268" s="105" t="str">
        <f>IF(C253="","",IF(C258="Futures","",IF(C258="Options Sell",CONCATENATE(TEXT(L268,"HH:MM:SS AM/PM"),[1]AB5!$S$74))))</f>
        <v/>
      </c>
      <c r="T268" s="101" t="str">
        <f t="array" ref="T268">IF(C253="","",IF(C258="Futures","",IF(C258="Options Sell",CONCATENATE([1]AB5!$T$74," of ( ",INDEX([1]AB4!CE:CE,MATCH(A259,[1]AB4!B:B,0))," &amp; ",S267," ) ",[1]AB5!$H$59,TEXT(INDEX([1]AB4!CF:CF,MATCH(A259,[1]AB4!B:B,0)),"0.00%")))))</f>
        <v/>
      </c>
      <c r="U268" s="102"/>
      <c r="V268" s="104" t="str">
        <f t="array" ref="V268">IF(C253="","",IF(C258="Futures","",IF(C258="Options Sell",CONCATENATE([1]AB5!$V$74,"( ",INDEX([1]AB4!CG:CG,MATCH(A259,[1]AB4!B:B,0))," &amp; ",S268," ) ",[1]AB5!$H$59,TEXT(INDEX([1]AB4!CH:CH,MATCH(A259,[1]AB4!B:B,0)),"0.00%")))))</f>
        <v/>
      </c>
      <c r="W268" s="104" t="str">
        <f>IF(A253="","",IF(C258="Futures","",IF(C258="Options Sell",I259)))</f>
        <v/>
      </c>
      <c r="X268" s="101" t="str">
        <f t="array" ref="X268">IF(C253="","",IF(C258="Futures","",IF(C258="Options Sell",CONCATENATE([1]AB5!$X$74,"( ",INDEX([1]AB4!G:G,MATCH(A259,[1]AB4!B:B,0))," &amp; ",Z268," ) ", INDEX([1]AB4!H:H,MATCH(A259,[1]AB4!B:B,0))," ",AA268))))</f>
        <v/>
      </c>
      <c r="Y268" s="102"/>
      <c r="Z268" s="108" t="str">
        <f>IF(C253="","",IF(C258="Futures","",IF(C258="Options Sell",CONCATENATE(TEXT(L268,"HH:MM:SS AM/PM"), [1]AB5!$S$74))))</f>
        <v/>
      </c>
      <c r="AA268" s="109" t="str">
        <f t="array" ref="AA268">IF(A253="","",IF(C258="Futures","",IF(C258="Options Sell",TEXT(INDEX([1]AB4!BK:BK,MATCH(A259,[1]AB4!B:B,0)),"0.00%"))))</f>
        <v/>
      </c>
      <c r="AB268" s="75"/>
      <c r="AC268" s="75"/>
    </row>
    <row r="269" spans="1:29" ht="15.75" hidden="1" customHeight="1" x14ac:dyDescent="0.2">
      <c r="A269" s="15"/>
      <c r="B269" s="113" t="str">
        <f>IF(C253="","",IF(C258="Futures","",IF(C258="Options Sell",[1]AB5!$B$75,IF(C258="Options Buy",[1]AB5!$B$108))))</f>
        <v/>
      </c>
      <c r="C269" s="114"/>
      <c r="D269" s="115" t="str">
        <f>IF(C253="","",IF(C258="Futures","",IF(C258="Options Sell",[1]AB5!$D$75,IF(C258="Options Buy",[1]AB5!$D$108))))</f>
        <v/>
      </c>
      <c r="E269" s="116" t="str">
        <f>IF(C253="","",IF(C258="Futures","",IF(C258="Options Sell",CONCATENATE([1]AB5!$E$75,TEXT(B267,"HH:MM:SS AM/PM"),[1]AB5!$F$75))))</f>
        <v/>
      </c>
      <c r="F269" s="4"/>
      <c r="G269" s="117" t="str">
        <f>IF(C253="","",IF(C258="Futures","",IF(C258="Options Sell",[1]AB5!$G$75,IF(C258="Options Buy",[1]AB5!$G$108))))</f>
        <v/>
      </c>
      <c r="H269" s="118" t="str">
        <f>IF(C253="","",IF(C258="Futures","",IF(C258="Options Sell",[1]AB5!$H$75)))</f>
        <v/>
      </c>
      <c r="I269" s="119" t="str">
        <f>IF(C253="","",IF(C258="Futures","",IF(C258="Options Sell",[1]AB5!$I$75)))</f>
        <v/>
      </c>
      <c r="J269" s="120" t="str">
        <f>IF(C253="","",IF(C258="Futures","",IF(C258="Options Sell",[1]AB5!$J$75)))</f>
        <v/>
      </c>
      <c r="K269" s="102"/>
      <c r="L269" s="121" t="str">
        <f>IF(C253="","",IF(C258="Futures","",IF(C258="Options Sell",B267)))</f>
        <v/>
      </c>
      <c r="M269" s="118" t="str">
        <f>IF(C253="","",IF(C258="Futures","",IF(C258="Options Sell",[1]AB5!$M$75)))</f>
        <v/>
      </c>
      <c r="N269" s="122" t="str">
        <f>IF(C253="","",IF(C258="Futures","",IF(C258="Options Sell",[1]AB5!$N$75)))</f>
        <v/>
      </c>
      <c r="O269" s="118" t="str">
        <f>IF(C253="","",IF(C258="Futures","",IF(C258="Options Sell",[1]AB5!$O$75)))</f>
        <v/>
      </c>
      <c r="P269" s="123" t="str">
        <f>IF(C253="","",IF(C258="Futures","",IF(C258="Options Sell",[1]AB5!$P$75)))</f>
        <v/>
      </c>
      <c r="Q269" s="107"/>
      <c r="R269" s="102"/>
      <c r="S269" s="118" t="str">
        <f>IF(C253="","",IF(C258="Futures","",IF(C258="Options Sell",[1]AB5!$S$75)))</f>
        <v/>
      </c>
      <c r="T269" s="124" t="str">
        <f>IF(C253="","",IF(C258="Futures","",IF(C258="Options Sell",[1]AB5!$T$75)))</f>
        <v/>
      </c>
      <c r="U269" s="102"/>
      <c r="V269" s="125" t="str">
        <f>IF(C253="","",IF(C258="Futures","",IF(C258="Options Sell",[1]AB5!$V$75)))</f>
        <v/>
      </c>
      <c r="W269" s="125" t="str">
        <f>IF(C253="","",IF(C258="Futures","",IF(C258="Options Sell",[1]AB5!$W$75)))</f>
        <v/>
      </c>
      <c r="X269" s="120" t="str">
        <f>IF(C253="","",IF(C258="Futures","",IF(C258="Options Sell",[1]AB5!$X$75)))</f>
        <v/>
      </c>
      <c r="Y269" s="102"/>
      <c r="Z269" s="126" t="str">
        <f>IF(C253="","",IF(C258="Futures","",IF(C258="Options Sell",[1]AB5!$Z$75)))</f>
        <v/>
      </c>
      <c r="AA269" s="127" t="str">
        <f>IF(C253="","",IF(C258="Futures","",IF(C258="Options Sell",[1]AB5!$AA$75)))</f>
        <v/>
      </c>
      <c r="AB269" s="75"/>
      <c r="AC269" s="75"/>
    </row>
    <row r="270" spans="1:29" ht="15.75" hidden="1" customHeight="1" x14ac:dyDescent="0.2">
      <c r="A270" s="15" t="str">
        <f>IF(C253="","",CONCATENATE(C254,[1]AB5!$A$4))</f>
        <v/>
      </c>
      <c r="B270" s="128" t="str">
        <f>IF(C253="","",IF(C258="Futures","",IF(C258="Options Sell",[1]AB5!$B$76,IF(C258="Options Buy",[1]AB5!$B$109))))</f>
        <v/>
      </c>
      <c r="C270" s="129" t="str">
        <f>IF(C253="","",IF(C258="Futures","",IF(C258="Options Sell",[1]AB5!$C$76,IF(C258="Options Buy",[1]AB5!$C$109))))</f>
        <v/>
      </c>
      <c r="D270" s="32"/>
      <c r="E270" s="96"/>
      <c r="F270" s="97"/>
      <c r="G270" s="130" t="str">
        <f>IF(C253="","",IF(C258="Futures","",IF(C258="Options Sell",[1]AB5!$G$76,IF(C258="Options Buy",[1]AB5!$G$109))))</f>
        <v/>
      </c>
      <c r="H270" s="131" t="str">
        <f>IF(C253="","",IF(C258="Futures","",IF(C258="Options Sell",[1]AB5!$H$76)))</f>
        <v/>
      </c>
      <c r="I270" s="119" t="str">
        <f>IF(C253="","",IF(C258="Futures","",IF(C258="Options Sell",[1]AB5!$I$76)))</f>
        <v/>
      </c>
      <c r="J270" s="120" t="str">
        <f>IF(C253="","",IF(C258="Futures","",IF(C258="Options Sell",[1]AB5!$J$76)))</f>
        <v/>
      </c>
      <c r="K270" s="102"/>
      <c r="L270" s="121" t="str">
        <f>IF(C253="","",IF(C258="Futures","",IF(C258="Options Sell",C267)))</f>
        <v/>
      </c>
      <c r="M270" s="118" t="str">
        <f t="array" ref="M270">IF(C253="","",IF(C258="Futures","",IF(C258="Options Sell",CONCATENATE([1]AB5!$M$76, "( ",INDEX([1]AB4!BP:BP,MATCH(A256,[1]AB4!B:B,0))," &amp; ",S270," ) ",INDEX([1]AB4!BQ:BQ,MATCH(A256,[1]AB4!B:B,0))," ",N270," ) &amp; ",INDEX([1]AB4!BS:BS,MATCH(A256,[1]AB4!B:B,0))))))</f>
        <v/>
      </c>
      <c r="N270" s="122" t="str">
        <f t="array" ref="N270">IF(A253="","",IF(C258="Futures","",IF(C258="Options Sell",TEXT(INDEX([1]AB4!CR:CR,MATCH(A256,[1]AB4!B:B,0)),"0.00%"))))</f>
        <v/>
      </c>
      <c r="O270" s="118" t="str">
        <f t="array" ref="O270">IF(C253="","",IF(C258="Futures","",IF(C258="Options Sell",CONCATENATE([1]AB5!$O$76,"( ",INDEX([1]AB4!BT:BT,MATCH(A256,[1]AB4!B:B,0))," &amp; ",S270," ) &amp; ",INDEX([1]AB4!BW:BW,MATCH(A256,[1]AB4!B:B,0))," ",INDEX([1]AB4!BX:BX,MATCH(A256,[1]AB4!B:B,0))," ",INDEX([1]AB4!BY:BY,MATCH(A256,[1]AB4!B:B,0))))))</f>
        <v/>
      </c>
      <c r="P270" s="123" t="str">
        <f t="array" ref="P270">IF(A253="","",IF(C258="Futures","",IF(C258="Options Sell",IF(INDEX([1]AB4!CS:CS,MATCH(A256,[1]AB4!B:B,0))="","",TEXT(INDEX([1]AB4!CS:CS,MATCH(A256,[1]AB4!B:B,0)),"0.00%")))))</f>
        <v/>
      </c>
      <c r="Q270" s="107"/>
      <c r="R270" s="102"/>
      <c r="S270" s="132" t="str">
        <f>IF(C253="","",IF(C258="Futures","",IF(C258="Options Sell",CONCATENATE(TEXT(L270,"HH:MM:SS AM/PM"),[1]AB5!$S$76))))</f>
        <v/>
      </c>
      <c r="T270" s="120" t="str">
        <f t="array" ref="T270">IF(C253="","",IF(C258="Futures","",IF(C258="Options Sell",CONCATENATE([1]AB5!$T$76,"( ",INDEX([1]AB4!CE:CE,MATCH(A256,[1]AB4!B:B,0))," &amp; ",S270," ) ",[1]AB5!$H$59,TEXT(INDEX([1]AB4!CF:CF,MATCH(A256,[1]AB4!B:B,0)),"0.00%")))))</f>
        <v/>
      </c>
      <c r="U270" s="102"/>
      <c r="V270" s="118" t="str">
        <f t="array" ref="V270">IF(C253="","",IF(C258="Futures","",IF(C258="Options Sell",CONCATENATE([1]AB5!$V$76,"( ",INDEX([1]AB4!CG:CG,MATCH(A256,[1]AB4!B:B,0))," &amp; ",S270," ) ",[1]AB5!$H$59,TEXT(INDEX([1]AB4!CH:CH,MATCH(A256,[1]AB4!B:B,0)),"0.00%")))))</f>
        <v/>
      </c>
      <c r="W270" s="118" t="str">
        <f>IF(A253="","",IF(C258="Futures","",IF(C258="Options Sell",I256)))</f>
        <v/>
      </c>
      <c r="X270" s="120" t="str">
        <f t="array" ref="X270">IF(C253="","",IF(C258="Futures","",IF(C258="Options Sell",CONCATENATE([1]AB5!$X$76,"( ",INDEX([1]AB4!G:G,MATCH(A256,[1]AB4!B:B,0))," &amp; ",Z270," ) ", INDEX([1]AB4!H:H,MATCH(A256,[1]AB4!B:B,0))," ",AA270))))</f>
        <v/>
      </c>
      <c r="Y270" s="102"/>
      <c r="Z270" s="133" t="str">
        <f>IF(C253="","",IF(C258="Futures","",IF(C258="Options Sell",CONCATENATE(TEXT(L270,"HH:MM:SS AM/PM"), [1]AB5!$S$76))))</f>
        <v/>
      </c>
      <c r="AA270" s="134" t="str">
        <f t="array" ref="AA270">IF(A253="","",IF(C258="Futures","",IF(C258="Options Sell",TEXT(INDEX([1]AB4!BK:BK,MATCH(A256,[1]AB4!B:B,0)),"0.00%"))))</f>
        <v/>
      </c>
      <c r="AB270" s="75"/>
      <c r="AC270" s="75"/>
    </row>
    <row r="271" spans="1:29" ht="15.75" hidden="1" customHeight="1" x14ac:dyDescent="0.2">
      <c r="A271" s="15" t="str">
        <f>IF(C253="","",CONCATENATE(C254,[1]AB5!$A$7))</f>
        <v/>
      </c>
      <c r="B271" s="135" t="str">
        <f t="array" ref="B271">IF(C253="","", IF(C258="Futures","",IF(C258="Options Sell",INDEX([1]AB4!BF:BF,MATCH(A270,[1]AB4!B:B,0)))))</f>
        <v/>
      </c>
      <c r="C271" s="136" t="str">
        <f t="array" ref="C271">IF(C253="","", IF(C258="Futures","",IF(C258="Options Sell",INDEX([1]AB4!BF:BF,MATCH(A271,[1]AB4!B:B,0)))))</f>
        <v/>
      </c>
      <c r="D271" s="34"/>
      <c r="E271" s="111"/>
      <c r="F271" s="137"/>
      <c r="G271" s="138"/>
      <c r="H271" s="138"/>
      <c r="I271" s="139" t="str">
        <f>IF(C253="","",IF(C258="Futures","",IF(C258="Options Sell",[1]AB5!$I$77)))</f>
        <v/>
      </c>
      <c r="J271" s="140" t="str">
        <f>IF(C253="","",IF(C258="Futures","",IF(C258="Options Sell",[1]AB5!$J$77)))</f>
        <v/>
      </c>
      <c r="K271" s="40"/>
      <c r="L271" s="141" t="str">
        <f>IF(C253="","",IF(C258="Futures","",IF(C258="Options Sell",C267)))</f>
        <v/>
      </c>
      <c r="M271" s="142" t="str">
        <f t="array" ref="M271">IF(C253="","",IF(C258="Futures","",IF(C258="Options Sell",CONCATENATE([1]AB5!$M$77, "( ",INDEX([1]AB4!BP:BP,MATCH(A262,[1]AB4!B:B,0))," &amp; ",S271," ) ", INDEX([1]AB4!BQ:BQ,MATCH(A262,[1]AB4!B:B,0))," ",N271," ) &amp; ",INDEX([1]AB4!BS:BS,MATCH(A262,[1]AB4!B:B,0))))))</f>
        <v/>
      </c>
      <c r="N271" s="143" t="str">
        <f t="array" ref="N271">IF(A253="","",IF(C258="Futures","",IF(C258="Options Sell",TEXT(INDEX([1]AB4!CR:CR,MATCH(A262,[1]AB4!B:B,0)),"0.00%"))))</f>
        <v/>
      </c>
      <c r="O271" s="142" t="str">
        <f t="array" ref="O271">IF(C253="","",IF(C258="Futures","",IF(C258="Options Sell",CONCATENATE([1]AB5!$O$77,"( ",INDEX([1]AB4!BT:BT,MATCH(A262,[1]AB4!B:B,0))," &amp; ",S271," ) &amp; ",INDEX([1]AB4!BW:BW,MATCH(A262,[1]AB4!B:B,0))," ",INDEX([1]AB4!BX:BX,MATCH(A262,[1]AB4!B:B,0))," ",INDEX([1]AB4!BY:BY,MATCH(A262,[1]AB4!B:B,0))))))</f>
        <v/>
      </c>
      <c r="P271" s="144" t="str">
        <f t="array" ref="P271">IF(A253="","",IF(C258="Futures","",IF(C258="Options Sell",IF(INDEX([1]AB4!CS:CS,MATCH(A262,[1]AB4!B:B,0))="","",TEXT(INDEX([1]AB4!CS:CS,MATCH(A262,[1]AB4!B:B,0)),"0.00%")))))</f>
        <v/>
      </c>
      <c r="Q271" s="145"/>
      <c r="R271" s="40"/>
      <c r="S271" s="146" t="str">
        <f>IF(C253="","",IF(C258="Futures","",IF(C258="Options Sell",CONCATENATE(TEXT(L271,"HH:MM:SS AM/PM"),[1]AB5!$S$77))))</f>
        <v/>
      </c>
      <c r="T271" s="140" t="str">
        <f t="array" ref="T271">IF(C253="","",IF(C258="Futures","",IF(C258="Options Sell",CONCATENATE([1]AB5!$T$77,"( ",INDEX([1]AB4!CE:CE,MATCH(A262,[1]AB4!B:B,0))," &amp; ",S271," ) ",[1]AB5!$H$59,TEXT(INDEX([1]AB4!CF:CF,MATCH(A262,[1]AB4!B:B,0)),"0.00%")))))</f>
        <v/>
      </c>
      <c r="U271" s="40"/>
      <c r="V271" s="142" t="str">
        <f t="array" ref="V271">IF(C253="","",IF(C258="Futures","",IF(C258="Options Sell",CONCATENATE([1]AB5!$V$77,"( ",INDEX([1]AB4!CG:CG,MATCH(A262,[1]AB4!B:B,0))," &amp; ",S271," ) ",[1]AB5!$H$59,TEXT(INDEX([1]AB4!CH:CH,MATCH(A262,[1]AB4!B:B,0)),"0.00%")))))</f>
        <v/>
      </c>
      <c r="W271" s="142" t="str">
        <f>IF(A253="","",IF(C258="Futures","",IF(C258="Options Sell",I262)))</f>
        <v/>
      </c>
      <c r="X271" s="140" t="str">
        <f t="array" ref="X271">IF(C253="","",IF(C258="Futures","",IF(C258="Options Sell",CONCATENATE([1]AB5!$X$77,"( ",INDEX([1]AB4!G:G,MATCH(A262,[1]AB4!B:B,0))," &amp; ",Z271," ) ", INDEX([1]AB4!H:H,MATCH(A262,[1]AB4!B:B,0))," ",AA271))))</f>
        <v/>
      </c>
      <c r="Y271" s="40"/>
      <c r="Z271" s="147" t="str">
        <f>IF(C253="","",IF(C258="Futures","",IF(C258="Options Sell",CONCATENATE(TEXT(L271,"HH:MM:SS AM/PM"), [1]AB5!$S$77))))</f>
        <v/>
      </c>
      <c r="AA271" s="148" t="str">
        <f t="array" ref="AA271">IF(A253="","",IF(C258="Futures","",IF(C258="Options Sell",TEXT(INDEX([1]AB4!BK:BK,MATCH(A262,[1]AB4!B:B,0)),"0.00%"))))</f>
        <v/>
      </c>
      <c r="AB271" s="75"/>
      <c r="AC271" s="75"/>
    </row>
    <row r="272" spans="1:29" ht="15.75" hidden="1" customHeight="1" x14ac:dyDescent="0.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49"/>
      <c r="L272" s="15"/>
      <c r="M272" s="15"/>
      <c r="N272" s="15"/>
      <c r="O272" s="75"/>
      <c r="P272" s="15"/>
      <c r="Q272" s="15"/>
      <c r="R272" s="15"/>
      <c r="S272" s="15"/>
      <c r="T272" s="15"/>
      <c r="U272" s="15"/>
      <c r="V272" s="15"/>
      <c r="W272" s="15"/>
      <c r="X272" s="15"/>
      <c r="Y272" s="75"/>
      <c r="Z272" s="75"/>
      <c r="AA272" s="75"/>
      <c r="AB272" s="75"/>
      <c r="AC272" s="75"/>
    </row>
    <row r="273" spans="1:29" ht="27.75" hidden="1" customHeight="1" x14ac:dyDescent="0.2">
      <c r="A273" s="54"/>
      <c r="B273" s="113" t="str">
        <f>IF(C253="","",IF(C258="Futures","",IF(C258="Options Sell",[1]AB5!$B$79,IF(C258="Options Buy",[1]AB5!$B$112))))</f>
        <v/>
      </c>
      <c r="C273" s="114"/>
      <c r="D273" s="63" t="str">
        <f>IF(C253="","",IF(C258="Futures","",IF(C258="Options Sell",[1]AB5!$D$79,IF(C258="Options Buy",[1]AB5!$D$112))))</f>
        <v/>
      </c>
      <c r="E273" s="64" t="str">
        <f>IF(C253="","",IF(C258="Futures","",IF(C258="Options Sell",[1]AB5!$E$79,IF(C258="Options Buy",[1]AB5!$E$112))))</f>
        <v/>
      </c>
      <c r="F273" s="65"/>
      <c r="G273" s="66" t="str">
        <f>IF(C253="","",IF(C258="Futures","",IF(C258="Options Sell",[1]AB5!$G$79,IF(C258="Options Buy",[1]AB5!$G$112))))</f>
        <v/>
      </c>
      <c r="H273" s="67" t="str">
        <f>IF(C253="","",IF(C258="Futures","",IF(C258="Options Sell",[1]AB5!$H$79,IF(C258="Options Buy",[1]AB5!$H$112))))</f>
        <v/>
      </c>
      <c r="I273" s="68" t="str">
        <f>IF(C253="","",IF(C258="Futures","",IF(C258="Options Sell",[1]AB5!$I$79,IF(C258="Options Buy",[1]AB5!$I$112))))</f>
        <v/>
      </c>
      <c r="J273" s="69" t="str">
        <f>IF(C253="","",IF(C258="Futures","",IF(C258="Options Sell",[1]AB5!$J$79,IF(C258="Options Buy",[1]AB5!$J$112))))</f>
        <v/>
      </c>
      <c r="K273" s="65"/>
      <c r="L273" s="70" t="str">
        <f>IF(C253="","",IF(C258="Futures","",IF(C258="Options Sell",[1]AB5!$L$79,IF(C258="Options Buy",[1]AB5!$L$112))))</f>
        <v/>
      </c>
      <c r="M273" s="68" t="str">
        <f>IF(C253="","",IF(C258="Futures","",IF(C258="Options Sell",[1]AB5!$M$79,IF(C258="Options Buy",[1]AB5!$M$112))))</f>
        <v/>
      </c>
      <c r="N273" s="67" t="str">
        <f>IF(C253="","",IF(C258="Futures","",IF(C258="Options Sell",[1]AB5!$N$79,IF(C258="Options Buy",[1]AB5!$N$112))))</f>
        <v/>
      </c>
      <c r="O273" s="74" t="str">
        <f>IF(C253="","",IF(C258="Futures","",IF(C258="Options Sell",[1]AB5!$O$79,IF(C258="Options Buy",[1]AB5!$O$112))))</f>
        <v/>
      </c>
      <c r="P273" s="219" t="str">
        <f>IF(C253="","",IF(C258="Futures","",IF(C258="Options Sell",[1]AB5!$P$79,IF(C258="Options Buy",[1]AB5!$P$112))))</f>
        <v/>
      </c>
      <c r="Q273" s="220" t="str">
        <f>IF(C253="","",IF(C258="Futures","",IF(C258="Options Sell",[1]AB5!$Q$79,IF(C258="Options Buy",[1]AB5!$Q$112))))</f>
        <v/>
      </c>
      <c r="R273" s="220" t="str">
        <f>IF(C253="","",IF(C258="Futures","",IF(C258="Options Sell",[1]AB5!$R$79,IF(C258="Options Buy",[1]AB5!$R$112))))</f>
        <v/>
      </c>
      <c r="S273" s="221" t="str">
        <f>IF(C253="","",IF(C258="Futures","",IF(C258="Options Sell",[1]AB5!$S$79,IF(C258="Options Buy",[1]AB5!$S$112))))</f>
        <v/>
      </c>
      <c r="T273" s="222"/>
      <c r="U273" s="221" t="str">
        <f>IF(C253="","",IF(C258="Futures","",IF(C258="Options Sell",[1]AB5!$U$79,IF(C258="Options Buy",[1]AB5!$U$112))))</f>
        <v/>
      </c>
      <c r="V273" s="222"/>
      <c r="W273" s="221" t="str">
        <f>IF(C253="","",IF(C258="Futures","",IF(C258="Options Sell",[1]AB5!$W$79,IF(C258="Options Buy",[1]AB5!$W$112))))</f>
        <v/>
      </c>
      <c r="X273" s="222"/>
      <c r="Y273" s="223" t="str">
        <f>IF(C253="","",IF(C258="Futures","",IF(C258="Options Sell",[1]AB5!$Y$79,IF(C258="Options Buy",[1]AB5!$Y$112))))</f>
        <v/>
      </c>
      <c r="Z273" s="221" t="str">
        <f>IF(C253="","",IF(C258="Futures","",IF(C258="Options Sell",[1]AB5!$Z$79,IF(C258="Options Buy",[1]AB5!$Z$112))))</f>
        <v/>
      </c>
      <c r="AA273" s="19"/>
      <c r="AB273" s="153"/>
      <c r="AC273" s="153"/>
    </row>
    <row r="274" spans="1:29" ht="15.75" hidden="1" customHeight="1" x14ac:dyDescent="0.2">
      <c r="A274" s="15" t="str">
        <f>IF(C253="","",CONCATENATE(C254,[1]AB5!$A$4))</f>
        <v/>
      </c>
      <c r="B274" s="128" t="str">
        <f>IF(C253="","",IF(C258="Futures","",IF(C258="Options Sell",[1]AB5!$B$80,IF(C258="Options Buy",[1]AB5!$B$113))))</f>
        <v/>
      </c>
      <c r="C274" s="129" t="str">
        <f>IF(C253="","",IF(C258="Futures","",IF(C258="Options Sell",[1]AB5!$C$80,IF(C258="Options Buy",[1]AB5!$C$113))))</f>
        <v/>
      </c>
      <c r="D274" s="154" t="str">
        <f>IF(C253="","",IF(C258="Futures","",IF(C258="Options Sell",[1]AB5!$D$80,IF(C258="Options Buy",[1]AB5!$D$113))))</f>
        <v/>
      </c>
      <c r="E274" s="155" t="str">
        <f>IF(C253="","",IF(C258="Futures","",IF(C258="Options Sell",CONCATENATE([1]AB5!$E$80,TEXT(B275,"HH:MM:SS AM/PM"),[1]AB5!$B$81,[1]AB5!$F$80))))</f>
        <v/>
      </c>
      <c r="F274" s="156"/>
      <c r="G274" s="157" t="str">
        <f>IF(C253="","",IF(C258="Futures","",IF(C258="Options Sell",[1]AB5!$G$80,IF(C258="Options Buy",[1]AB5!$G$113))))</f>
        <v/>
      </c>
      <c r="H274" s="158" t="str">
        <f>IF(C253="","",IF(C258="Futures","",IF(C258="Options Sell",[1]AB5!$H$80)))</f>
        <v/>
      </c>
      <c r="I274" s="159" t="str">
        <f>IF(C253="","",IF(C258="Futures","",IF(C258="Options Sell",[1]AB5!$I$80)))</f>
        <v/>
      </c>
      <c r="J274" s="160" t="str">
        <f>IF(C253="","",IF(C258="Futures","",IF(C258="Options Sell",[1]AB5!$J$80)))</f>
        <v/>
      </c>
      <c r="K274" s="161"/>
      <c r="L274" s="162" t="str">
        <f>IF(C253="","",IF(C258="Futures","",IF(C258="Options Sell",B271)))</f>
        <v/>
      </c>
      <c r="M274" s="163" t="str">
        <f>IF(C253="","",IF(C258="Futures","",IF(C258="Options Sell",[1]AB5!$M$80)))</f>
        <v/>
      </c>
      <c r="N274" s="158" t="str">
        <f>IF(C253="","",IF(C258="Futures","",IF(C258="Options Sell",[1]AB5!$N$80)))</f>
        <v/>
      </c>
      <c r="O274" s="164" t="str">
        <f>IF(C253="","",IF(C258="Futures","",IF(C258="Options Sell",[1]AB5!$O$80)))</f>
        <v/>
      </c>
      <c r="P274" s="165" t="str">
        <f>IF(C253="","",[1]AB5!$P$80)</f>
        <v/>
      </c>
      <c r="Q274" s="166" t="str">
        <f>IF(C253="","",[1]AB5!$Q$80)</f>
        <v/>
      </c>
      <c r="R274" s="167" t="str">
        <f t="array" ref="R274">IF(C253="","",IF(C258="Futures","",IF(C258="Options Sell",CONCATENATE([1]AB5!$M$73, "( ",INDEX([1]AB4!BP:BP,MATCH(A253,[1]AB4!B:B,0))," &amp; ",[1]AB5!$R$80," ) ",INDEX([1]AB4!BQ:BQ,MATCH(A253,[1]AB4!B:B))," ",N267," ) &amp; ",INDEX([1]AB4!BS:BS,MATCH(A253,[1]AB4!B:B,0))))))</f>
        <v/>
      </c>
      <c r="S274" s="168" t="str">
        <f t="array" ref="S274">IF(C253="","",IF(C258="Futures","",IF(C258="Options Sell",CONCATENATE([1]AB5!$O$73,"( ",INDEX([1]AB4!BT:BT,MATCH(A253,[1]AB4!B:B,0))," &amp; ",[1]AB5!$S$80," ) &amp; ",INDEX([1]AB4!BW:BW,MATCH(A253,[1]AB4!B:B,0))," ",INDEX([1]AB4!BX:BX,MATCH(A253,[1]AB4!B:B,0))," ",INDEX([1]AB4!BY:BY,MATCH(A253,[1]AB4!B:B,0))))))</f>
        <v/>
      </c>
      <c r="T274" s="27"/>
      <c r="U274" s="168" t="str">
        <f t="array" ref="U274">IF(C253="","",IF(C258="Futures","",IF(C258="Options Sell",CONCATENATE([1]AB5!$T$73,"( ",INDEX([1]AB4!CE:CE,MATCH(A253,[1]AB4!B:B,0))," &amp; ",[1]AB5!$U$80," ) ",[1]AB5!$H$59,TEXT(INDEX([1]AB4!CF:CF,MATCH(A253,[1]AB4!B:B,0)),"0.00%")))))</f>
        <v/>
      </c>
      <c r="V274" s="27"/>
      <c r="W274" s="168" t="str">
        <f t="array" ref="W274">IF(C253="","",IF(C258="Futures","",IF(C258="Options Sell",CONCATENATE([1]AB5!$V$73,"( ",INDEX([1]AB4!CG:CG,MATCH(A253,[1]AB4!B:B,0))," &amp; ",[1]AB5!$W$80," ) ",[1]AB5!$H$59,TEXT(INDEX([1]AB4!CH:CH,MATCH(A253,[1]AB4!B:B,0)),"0.00%")))))</f>
        <v/>
      </c>
      <c r="X274" s="27"/>
      <c r="Y274" s="169" t="str">
        <f>IF(A253="","",IF(C258="Futures","",IF(C258="Options Sell",I253)))</f>
        <v/>
      </c>
      <c r="Z274" s="168" t="str">
        <f t="array" ref="Z274">IF(C253="","",IF(C258="Futures","",IF(C258="Options Sell",CONCATENATE([1]AB5!$X$73,"( ",INDEX([1]AB4!G:G,MATCH(A253,[1]AB4!B:B,0))," &amp; ",[1]AB5!$Z$80," ) ",INDEX([1]AB4!H:H,MATCH(A253,[1]AB4!B:B,0))," ",AA267))))</f>
        <v/>
      </c>
      <c r="AA274" s="114"/>
      <c r="AB274" s="75"/>
      <c r="AC274" s="75"/>
    </row>
    <row r="275" spans="1:29" ht="15.75" hidden="1" customHeight="1" x14ac:dyDescent="0.2">
      <c r="A275" s="15" t="str">
        <f>IF(C253="","",CONCATENATE(C254,[1]AB5!$A$7))</f>
        <v/>
      </c>
      <c r="B275" s="135" t="str">
        <f t="array" ref="B275">IF(C253="","", IF(C258="Futures","",IF(C258="Options Sell",INDEX([1]AB4!BG:BG,MATCH(A274,[1]AB4!B:B,0)))))</f>
        <v/>
      </c>
      <c r="C275" s="136" t="str">
        <f t="array" ref="C275">IF(C253="","", INDEX([1]AB4!BG:BG,MATCH(A275,[1]AB4!B:B,0)))</f>
        <v/>
      </c>
      <c r="D275" s="32"/>
      <c r="E275" s="32"/>
      <c r="F275" s="156"/>
      <c r="G275" s="170" t="str">
        <f>IF(C253="","",IF(C258="Futures","",IF(C258="Options Sell",[1]AB5!$G$81,IF(C258="Options Buy",[1]AB5!$G$114))))</f>
        <v/>
      </c>
      <c r="H275" s="131" t="str">
        <f>IF(C253="","",IF(C258="Futures","",IF(C258="Options Sell",[1]AB5!$H$81)))</f>
        <v/>
      </c>
      <c r="I275" s="119" t="str">
        <f>IF(C253="","",IF(C258="Futures","",IF(C258="Options Sell",[1]AB5!$I$81)))</f>
        <v/>
      </c>
      <c r="J275" s="120" t="str">
        <f>IF(C253="","",IF(C258="Futures","",IF(C258="Options Sell",[1]AB5!$J$81)))</f>
        <v/>
      </c>
      <c r="K275" s="107"/>
      <c r="L275" s="121" t="str">
        <f>IF(C253="","",IF(C258="Futures","",IF(C258="Options Sell",C271)))</f>
        <v/>
      </c>
      <c r="M275" s="171" t="str">
        <f>IF(C253="","",IF(C258="Futures","",IF(C258="Options Sell",CONCATENATE(N275," ",[1]AB5!$M$81," ",TEXT(O275,"0.00%")))))</f>
        <v/>
      </c>
      <c r="N275" s="132" t="str">
        <f>IF(C253="","",IF(C258="Futures","",IF(C258="Options Sell",CONCATENATE(TEXT(L275,"HH:MM:SS AM/PM"),[1]AB5!$N$81))))</f>
        <v/>
      </c>
      <c r="O275" s="172" t="str">
        <f t="array" ref="O275">IF(A253="","",IF(C258="Futures","",IF(C258="Options Sell",TEXT(INDEX([1]AB4!BL:BL,MATCH(A253,[1]AB4!B:B,0)),"0.00%"))))</f>
        <v/>
      </c>
      <c r="P275" s="110"/>
      <c r="Q275" s="173" t="str">
        <f>IF(C253="","",[1]AB5!$Q$81)</f>
        <v/>
      </c>
      <c r="R275" s="174" t="str">
        <f t="array" ref="R275">IF(C253="","",IF(C258="Futures","",IF(C258="Options Sell",CONCATENATE([1]AB5!$M$76, "( ",INDEX([1]AB4!BP:BP,MATCH(A256,[1]AB4!B:B,0))," &amp; ",[1]AB5!$R$81," ) ",INDEX([1]AB4!BQ:BQ,MATCH(A256,[1]AB4!B:B,0))," ",N270," ) &amp; ",INDEX([1]AB4!BS:BS,MATCH(A256,[1]AB4!B:B,0))))))</f>
        <v/>
      </c>
      <c r="S275" s="175" t="str">
        <f t="array" ref="S275">IF(C253="","",IF(C258="Futures","",IF(C258="Options Sell",CONCATENATE([1]AB5!$O$76,"( ",INDEX([1]AB4!BT:BT,MATCH(A256,[1]AB4!B:B,0))," &amp; ",[1]AB5!$S$81," ) &amp; ",INDEX([1]AB4!BW:BW,MATCH(A256,[1]AB4!B:B,0))," ",INDEX([1]AB4!BX:BX,MATCH(A256,[1]AB4!B:B,0))," ",INDEX([1]AB4!BY:BY,MATCH(A256,[1]AB4!B:B,0))))))</f>
        <v/>
      </c>
      <c r="T275" s="40"/>
      <c r="U275" s="175" t="str">
        <f t="array" ref="U275">IF(C253="","",IF(C258="Futures","",IF(C258="Options Sell",CONCATENATE([1]AB5!$T$76,"( ",INDEX([1]AB4!CE:CE,MATCH(A256,[1]AB4!B:B,0))," &amp; ",[1]AB5!$U$81," ) ",[1]AB5!$H$59,TEXT(INDEX([1]AB4!CF:CF,MATCH(A256,[1]AB4!B:B,0)),"0.00%")))))</f>
        <v/>
      </c>
      <c r="V275" s="40"/>
      <c r="W275" s="175" t="str">
        <f t="array" ref="W275">IF(C253="","",IF(C258="Futures","",IF(C258="Options Sell",CONCATENATE([1]AB5!$V$76,"( ",INDEX([1]AB4!CG:CG,MATCH(A256,[1]AB4!B:B,0))," &amp; ",[1]AB5!$W$81," ) ",[1]AB5!$H$59,TEXT(INDEX([1]AB4!CH:CH,MATCH(A256,[1]AB4!B:B,0)),"0.00%")))))</f>
        <v/>
      </c>
      <c r="X275" s="40"/>
      <c r="Y275" s="176" t="str">
        <f>IF(A253="","",IF(C258="Futures","",IF(C258="Options Sell",I256)))</f>
        <v/>
      </c>
      <c r="Z275" s="175" t="str">
        <f t="array" ref="Z275">IF(C253="","",IF(C258="Futures","",IF(C258="Options Sell",CONCATENATE([1]AB5!$X$76,"( ",INDEX([1]AB4!G:G,MATCH(A256,[1]AB4!B:B,0))," &amp; ",[1]AB5!$Z$81," ) ", INDEX([1]AB4!H:H,MATCH(A256,[1]AB4!B:B,0))," ",AA270))))</f>
        <v/>
      </c>
      <c r="AA275" s="177"/>
      <c r="AB275" s="75"/>
      <c r="AC275" s="75"/>
    </row>
    <row r="276" spans="1:29" ht="15.75" hidden="1" customHeight="1" x14ac:dyDescent="0.2">
      <c r="A276" s="15"/>
      <c r="B276" s="75"/>
      <c r="C276" s="75"/>
      <c r="D276" s="112"/>
      <c r="E276" s="112"/>
      <c r="F276" s="161"/>
      <c r="G276" s="96"/>
      <c r="H276" s="14"/>
      <c r="I276" s="119" t="str">
        <f>IF(C253="","",IF(C258="Futures","",IF(C258="Options Sell",[1]AB5!$I$82)))</f>
        <v/>
      </c>
      <c r="J276" s="120" t="str">
        <f>IF(C253="","",IF(C258="Futures","",IF(C258="Options Sell",[1]AB5!$J$82)))</f>
        <v/>
      </c>
      <c r="K276" s="107"/>
      <c r="L276" s="121" t="str">
        <f>IF(C253="","",IF(C258="Futures","",IF(C258="Options Sell",C271)))</f>
        <v/>
      </c>
      <c r="M276" s="171" t="str">
        <f>IF(C253="","",IF(C258="Futures","",IF(C258="Options Sell",CONCATENATE(N276," ",[1]AB5!$M$82," ",TEXT(O276,"0.00%")))))</f>
        <v/>
      </c>
      <c r="N276" s="132" t="str">
        <f>IF(C253="","",IF(C258="Futures","",IF(C258="Options Sell",CONCATENATE(TEXT(L276,"HH:MM:SS AM/PM"),[1]AB5!$N$82))))</f>
        <v/>
      </c>
      <c r="O276" s="172" t="str">
        <f t="array" ref="O276">IF(A253="","",IF(C258="Futures","",IF(C258="Options Sell",TEXT(INDEX([1]AB4!BL:BL,MATCH(A259,[1]AB4!B:B,0)),"0.00%"))))</f>
        <v/>
      </c>
      <c r="P276" s="178" t="str">
        <f>IF(C253="","",[1]AB5!$P$82)</f>
        <v/>
      </c>
      <c r="Q276" s="166" t="str">
        <f>IF(C255="","",[1]AB5!$Q$82)</f>
        <v/>
      </c>
      <c r="R276" s="167" t="str">
        <f t="array" ref="R276">IF(C253="","",IF(C258="Futures","",IF(C258="Options Sell",CONCATENATE([1]AB5!$M$74,"( ",INDEX([1]AB4!BP:BP,MATCH(A259,[1]AB4!B:B,0))," &amp; ",[1]AB5!$R$82," ) ",INDEX([1]AB4!BQ:BQ,MATCH(A259,[1]AB4!B:B,0))," ",N268," ) &amp; ",INDEX([1]AB4!BS:BS,MATCH(A259,[1]AB4!B:B,0))))))</f>
        <v/>
      </c>
      <c r="S276" s="168" t="str">
        <f t="array" ref="S276">IF(C253="","",IF(C258="Futures","",IF(C258="Options Sell",CONCATENATE([1]AB5!$O$74,"( ",INDEX([1]AB4!BT:BT,MATCH(A259,[1]AB4!B:B,0))," &amp; ",[1]AB5!$S$82," ) &amp; ",INDEX([1]AB4!BW:BW,MATCH(A259,[1]AB4!B:B,0))," ",INDEX([1]AB4!BX:BX,MATCH(A259,[1]AB4!B:B,0))," ",INDEX([1]AB4!BY:BY,MATCH(A259,[1]AB4!B:B,0))))))</f>
        <v/>
      </c>
      <c r="T276" s="27"/>
      <c r="U276" s="168" t="str">
        <f t="array" ref="U276">IF(C253="","",IF(C258="Futures","",IF(C258="Options Sell",CONCATENATE([1]AB5!$T$74," of ( ",INDEX([1]AB4!CE:CE,MATCH(A259,[1]AB4!B:B,0))," &amp; ",[1]AB5!$U$82," ) ",[1]AB5!$H$59,TEXT(INDEX([1]AB4!CF:CF,MATCH(A259,[1]AB4!B:B,0)),"0.00%")))))</f>
        <v/>
      </c>
      <c r="V276" s="27"/>
      <c r="W276" s="168" t="str">
        <f t="array" ref="W276">IF(C253="","",IF(C258="Futures","",IF(C258="Options Sell",CONCATENATE([1]AB5!$V$74,"( ",INDEX([1]AB4!CG:CG,MATCH(A259,[1]AB4!B:B,0))," &amp; ",[1]AB5!$W$82," ) ",[1]AB5!$H$59,TEXT(INDEX([1]AB4!CH:CH,MATCH(A259,[1]AB4!B:B,0)),"0.00%")))))</f>
        <v/>
      </c>
      <c r="X276" s="27"/>
      <c r="Y276" s="169" t="str">
        <f>IF(A253="","",IF(C258="Futures","",IF(C258="Options Sell",I259)))</f>
        <v/>
      </c>
      <c r="Z276" s="168" t="str">
        <f t="array" ref="Z276">IF(C253="","",IF(C258="Futures","",IF(C258="Options Sell",CONCATENATE([1]AB5!$X$74,"( ",INDEX([1]AB4!G:G,MATCH(A259,[1]AB4!B:B,0))," &amp; ",[1]AB5!$Z$82," ) ", INDEX([1]AB4!H:H,MATCH(A259,[1]AB4!B:B,0))," ",AA268))))</f>
        <v/>
      </c>
      <c r="AA276" s="114"/>
      <c r="AB276" s="75"/>
      <c r="AC276" s="75"/>
    </row>
    <row r="277" spans="1:29" ht="33.75" hidden="1" customHeight="1" x14ac:dyDescent="0.2">
      <c r="A277" s="15"/>
      <c r="B277" s="179" t="str">
        <f>IF(C253="","",IF(C258="Futures","",IF(C258="Options Sell",[1]AB5!$B$83,IF(C258="Options Buy",[1]AB5!$B$116))))</f>
        <v/>
      </c>
      <c r="C277" s="19"/>
      <c r="D277" s="180" t="str">
        <f>IF(C253="","",IF(C258="Futures","",IF(C258="Options Sell",[1]AB5!$D$83,IF(C258="Options Buy",[1]AB5!$D$116))))</f>
        <v/>
      </c>
      <c r="E277" s="181" t="str">
        <f>IF(C253="","",IF(C258="Futures","",IF(C258="Options Sell",CONCATENATE([1]AB5!$E$83,TEXT(B275,"HH:MM:SS AM/PM"),[1]AB5!$B$81,[1]AB5!$F$83))))</f>
        <v/>
      </c>
      <c r="F277" s="182"/>
      <c r="G277" s="183" t="str">
        <f>IF(C253="","",IF(C258="Futures","",IF(C258="Options Sell",[1]AB5!$G$83,IF(C258="Options Buy",[1]AB5!$G$116))))</f>
        <v/>
      </c>
      <c r="H277" s="104" t="str">
        <f>IF(C253="","",IF(C258="Futures","",IF(C258="Options Sell",[1]AB5!$H$83)))</f>
        <v/>
      </c>
      <c r="I277" s="100" t="str">
        <f>IF(C253="","",IF(C258="Futures","",IF(C258="Options Sell",[1]AB5!$I$83)))</f>
        <v/>
      </c>
      <c r="J277" s="101" t="str">
        <f>IF(C253="","",IF(C258="Futures","",IF(C258="Options Sell",[1]AB5!$J$83)))</f>
        <v/>
      </c>
      <c r="K277" s="102"/>
      <c r="L277" s="103" t="str">
        <f>IF(C253="","",IF(C258="Futures","",IF(C258="Options Sell",B271)))</f>
        <v/>
      </c>
      <c r="M277" s="184" t="str">
        <f>IF(C253="","",IF(C258="Futures","",IF(C258="Options Sell",[1]AB5!$M$83)))</f>
        <v/>
      </c>
      <c r="N277" s="104" t="str">
        <f>IF(C253="","",IF(C258="Futures","",IF(C258="Options Sell",[1]AB5!$N$83)))</f>
        <v/>
      </c>
      <c r="O277" s="185" t="str">
        <f>IF(C253="","",IF(C258="Futures","",IF(C258="Options Sell",[1]AB5!$O$83)))</f>
        <v/>
      </c>
      <c r="P277" s="110"/>
      <c r="Q277" s="173" t="str">
        <f>IF(C255="","",[1]AB5!$Q$83)</f>
        <v/>
      </c>
      <c r="R277" s="174" t="str">
        <f t="array" ref="R277">IF(C253="","",IF(C258="Futures","",IF(C258="Options Sell",CONCATENATE([1]AB5!$M$77, "( ",INDEX([1]AB4!BP:BP,MATCH(A262,[1]AB4!B:B,0))," &amp; ",[1]AB5!$R$83," ) ", INDEX([1]AB4!BQ:BQ,MATCH(A262,[1]AB4!B:B,0))," ",N271," ) &amp; ",INDEX([1]AB4!BS:BS,MATCH(A262,[1]AB4!B:B,0))))))</f>
        <v/>
      </c>
      <c r="S277" s="175" t="str">
        <f t="array" ref="S277">IF(C253="","",IF(C258="Futures","",IF(C258="Options Sell",CONCATENATE([1]AB5!$O$77,"( ",INDEX([1]AB4!BT:BT,MATCH(A262,[1]AB4!B:B,0))," &amp; ",[1]AB5!$S$83," ) &amp; ",INDEX([1]AB4!BW:BW,MATCH(A262,[1]AB4!B:B,0))," ",INDEX([1]AB4!BX:BX,MATCH(A262,[1]AB4!B:B,0))," ",INDEX([1]AB4!BY:BY,MATCH(A262,[1]AB4!B:B,0))))))</f>
        <v/>
      </c>
      <c r="T277" s="40"/>
      <c r="U277" s="175" t="str">
        <f t="array" ref="U277">IF(C253="","",IF(C258="Futures","",IF(C258="Options Sell",CONCATENATE([1]AB5!$T$77,"( ",INDEX([1]AB4!CE:CE,MATCH(A262,[1]AB4!B:B,0))," &amp; ",[1]AB5!$U$83," ) ",[1]AB5!$H$59,TEXT(INDEX([1]AB4!CF:CF,MATCH(A262,[1]AB4!B:B,0)),"0.00%")))))</f>
        <v/>
      </c>
      <c r="V277" s="40"/>
      <c r="W277" s="175" t="str">
        <f t="array" ref="W277">IF(C253="","",IF(C258="Futures","",IF(C258="Options Sell",CONCATENATE([1]AB5!$V$77,"( ",INDEX([1]AB4!CG:CG,MATCH(A262,[1]AB4!B:B,0))," &amp; ",[1]AB5!$W$83," ) ",[1]AB5!$H$59,TEXT(INDEX([1]AB4!CH:CH,MATCH(A262,[1]AB4!B:B,0)),"0.00%")))))</f>
        <v/>
      </c>
      <c r="X277" s="40"/>
      <c r="Y277" s="176" t="str">
        <f>IF(A253="","",IF(C258="Futures","",IF(C258="Options Sell",I262)))</f>
        <v/>
      </c>
      <c r="Z277" s="175" t="str">
        <f t="array" ref="Z277">IF(C253="","",IF(C258="Futures","",IF(C258="Options Sell",CONCATENATE([1]AB5!$X$77,"( ",INDEX([1]AB4!G:G,MATCH(A262,[1]AB4!B:B,0))," &amp; ",[1]AB5!$Z$83," ) ", INDEX([1]AB4!H:H,MATCH(A262,[1]AB4!B:B,0))," ",AA271))))</f>
        <v/>
      </c>
      <c r="AA277" s="177"/>
      <c r="AB277" s="75"/>
      <c r="AC277" s="75"/>
    </row>
    <row r="278" spans="1:29" ht="15.75" hidden="1" customHeight="1" x14ac:dyDescent="0.2">
      <c r="A278" s="75"/>
      <c r="B278" s="32"/>
      <c r="C278" s="33"/>
      <c r="D278" s="32"/>
      <c r="E278" s="32"/>
      <c r="F278" s="156"/>
      <c r="G278" s="186" t="str">
        <f>IF(C253="","",IF(C258="Futures","",IF(C258="Options Sell",[1]AB5!$G$84,IF(C258="Options Buy",[1]AB5!$G$117))))</f>
        <v/>
      </c>
      <c r="H278" s="99" t="str">
        <f>IF(C253="","",IF(C258="Futures","",IF(C258="Options Sell",[1]AB5!$H$84)))</f>
        <v/>
      </c>
      <c r="I278" s="100" t="str">
        <f>IF(C253="","",IF(C258="Futures","",IF(C258="Options Sell",[1]AB5!$I$84)))</f>
        <v/>
      </c>
      <c r="J278" s="101" t="str">
        <f>IF(C253="","",IF(C258="Futures","",IF(C258="Options Sell",[1]AB5!$J$84)))</f>
        <v/>
      </c>
      <c r="K278" s="102"/>
      <c r="L278" s="103" t="str">
        <f>IF(C253="","",IF(C258="Futures","",IF(C258="Options Sell",C271)))</f>
        <v/>
      </c>
      <c r="M278" s="184" t="str">
        <f>IF(C253="","",IF(C258="Futures","",IF(C258="Options Sell",CONCATENATE(N278," ",[1]AB5!$M$84," ",TEXT(O278,"0.00%")))))</f>
        <v/>
      </c>
      <c r="N278" s="105" t="str">
        <f>IF(C253="","",IF(C258="Futures","",IF(C258="Options Sell",CONCATENATE(TEXT(L278,"HH:MM:SS AM/PM"),[1]AB5!$N$84))))</f>
        <v/>
      </c>
      <c r="O278" s="187" t="str">
        <f t="array" ref="O278">IF(A253="","",IF(C258="Futures","",IF(C258="Options Sell",TEXT(INDEX([1]AB4!BL:BL,MATCH(A256,[1]AB4!B:B,0)),"0.00%"))))</f>
        <v/>
      </c>
      <c r="P278" s="188" t="str">
        <f>IF(C253="","",[1]AB5!$P$84)</f>
        <v/>
      </c>
      <c r="Q278" s="189"/>
      <c r="R278" s="189"/>
      <c r="S278" s="189"/>
      <c r="T278" s="189"/>
      <c r="U278" s="189"/>
      <c r="V278" s="189"/>
      <c r="W278" s="189"/>
      <c r="X278" s="189"/>
      <c r="Y278" s="189"/>
      <c r="Z278" s="189"/>
      <c r="AA278" s="33"/>
      <c r="AB278" s="75"/>
      <c r="AC278" s="75"/>
    </row>
    <row r="279" spans="1:29" ht="15.75" hidden="1" customHeight="1" x14ac:dyDescent="0.2">
      <c r="A279" s="75"/>
      <c r="B279" s="34"/>
      <c r="C279" s="53"/>
      <c r="D279" s="34"/>
      <c r="E279" s="34"/>
      <c r="F279" s="190"/>
      <c r="G279" s="111"/>
      <c r="H279" s="138"/>
      <c r="I279" s="191" t="str">
        <f>IF(C253="","",IF(C258="Futures","",IF(C258="Options Sell",[1]AB5!$I$85)))</f>
        <v/>
      </c>
      <c r="J279" s="192" t="str">
        <f>IF(C253="","",IF(C258="Futures","",IF(C258="Options Sell",[1]AB5!$J$85)))</f>
        <v/>
      </c>
      <c r="K279" s="40"/>
      <c r="L279" s="193" t="str">
        <f>IF(C253="","",IF(C258="Futures","",IF(C258="Options Sell",C271)))</f>
        <v/>
      </c>
      <c r="M279" s="194" t="str">
        <f>IF(C253="","",IF(C258="Futures","",IF(C258="Options Sell",CONCATENATE(N279," ",[1]AB5!$M$85," ",TEXT(O279,"0.00%")))))</f>
        <v/>
      </c>
      <c r="N279" s="195" t="str">
        <f>IF(C253="","",IF(C258="Futures","",IF(C258="Options Sell",CONCATENATE(TEXT(L279,"HH:MM:SS AM/PM"),[1]AB5!$N$85))))</f>
        <v/>
      </c>
      <c r="O279" s="196" t="str">
        <f t="array" ref="O279">IF(A253="","",IF(C258="Futures","",IF(C258="Options Sell",TEXT(INDEX([1]AB4!BL:BL,MATCH(A262,[1]AB4!B:B,0)),"0.00%"))))</f>
        <v/>
      </c>
      <c r="P279" s="197" t="str">
        <f>IF(C253="","",[1]AB5!$P$85)</f>
        <v/>
      </c>
      <c r="Q279" s="190"/>
      <c r="R279" s="190"/>
      <c r="S279" s="190"/>
      <c r="T279" s="190"/>
      <c r="U279" s="190"/>
      <c r="V279" s="190"/>
      <c r="W279" s="190"/>
      <c r="X279" s="190"/>
      <c r="Y279" s="190"/>
      <c r="Z279" s="190"/>
      <c r="AA279" s="53"/>
      <c r="AB279" s="75"/>
      <c r="AC279" s="75"/>
    </row>
    <row r="280" spans="1:29" ht="15.75" hidden="1" customHeight="1" x14ac:dyDescent="0.2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  <c r="AC280" s="75"/>
    </row>
    <row r="281" spans="1:29" ht="15.75" hidden="1" customHeight="1" x14ac:dyDescent="0.2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  <c r="AC281" s="75"/>
    </row>
    <row r="282" spans="1:29" ht="15.75" hidden="1" customHeight="1" x14ac:dyDescent="0.2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  <c r="AC282" s="75"/>
    </row>
    <row r="283" spans="1:29" ht="15.75" hidden="1" customHeight="1" x14ac:dyDescent="0.2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  <c r="AC283" s="75"/>
    </row>
    <row r="284" spans="1:29" ht="15.75" hidden="1" customHeight="1" x14ac:dyDescent="0.2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  <c r="AC284" s="75"/>
    </row>
    <row r="285" spans="1:29" ht="15.75" hidden="1" customHeight="1" x14ac:dyDescent="0.2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  <c r="AC285" s="75"/>
    </row>
    <row r="286" spans="1:29" ht="15.75" hidden="1" customHeight="1" x14ac:dyDescent="0.2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  <c r="AC286" s="75"/>
    </row>
    <row r="287" spans="1:29" ht="15.75" hidden="1" customHeight="1" x14ac:dyDescent="0.2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  <c r="AC287" s="75"/>
    </row>
    <row r="288" spans="1:29" ht="15.75" hidden="1" customHeight="1" x14ac:dyDescent="0.2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  <c r="AC288" s="75"/>
    </row>
    <row r="289" spans="1:29" ht="15.75" hidden="1" customHeight="1" x14ac:dyDescent="0.2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  <c r="AC289" s="75"/>
    </row>
    <row r="290" spans="1:29" ht="15.75" hidden="1" customHeight="1" x14ac:dyDescent="0.2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  <c r="AC290" s="75"/>
    </row>
    <row r="291" spans="1:29" ht="15.75" hidden="1" customHeight="1" x14ac:dyDescent="0.2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  <c r="AC291" s="75"/>
    </row>
    <row r="292" spans="1:29" ht="15.75" hidden="1" customHeight="1" x14ac:dyDescent="0.2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  <c r="AC292" s="75"/>
    </row>
    <row r="293" spans="1:29" ht="15.75" hidden="1" customHeight="1" x14ac:dyDescent="0.2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  <c r="AC293" s="75"/>
    </row>
    <row r="294" spans="1:29" ht="15.75" hidden="1" customHeight="1" x14ac:dyDescent="0.2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  <c r="AC294" s="75"/>
    </row>
    <row r="295" spans="1:29" ht="15.75" hidden="1" customHeight="1" x14ac:dyDescent="0.2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  <c r="AC295" s="75"/>
    </row>
    <row r="296" spans="1:29" ht="15.75" hidden="1" customHeight="1" x14ac:dyDescent="0.2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  <c r="AC296" s="75"/>
    </row>
    <row r="297" spans="1:29" ht="15.75" hidden="1" customHeight="1" x14ac:dyDescent="0.2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  <c r="AC297" s="75"/>
    </row>
    <row r="298" spans="1:29" ht="15.75" hidden="1" customHeight="1" x14ac:dyDescent="0.2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  <c r="AC298" s="75"/>
    </row>
    <row r="299" spans="1:29" ht="15.75" hidden="1" customHeight="1" x14ac:dyDescent="0.2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  <c r="AB299" s="75"/>
      <c r="AC299" s="75"/>
    </row>
    <row r="300" spans="1:29" ht="15.75" hidden="1" customHeight="1" x14ac:dyDescent="0.2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  <c r="AC300" s="75"/>
    </row>
    <row r="301" spans="1:29" ht="15.75" hidden="1" customHeight="1" x14ac:dyDescent="0.2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  <c r="AC301" s="75"/>
    </row>
    <row r="302" spans="1:29" ht="15.75" hidden="1" customHeight="1" x14ac:dyDescent="0.2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  <c r="AC302" s="75"/>
    </row>
    <row r="303" spans="1:29" ht="15.75" hidden="1" customHeight="1" x14ac:dyDescent="0.2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  <c r="AB303" s="75"/>
      <c r="AC303" s="75"/>
    </row>
    <row r="304" spans="1:29" ht="15.75" hidden="1" customHeight="1" x14ac:dyDescent="0.2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</row>
    <row r="305" spans="1:29" ht="15.75" hidden="1" customHeight="1" x14ac:dyDescent="0.2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  <c r="AC305" s="75"/>
    </row>
    <row r="306" spans="1:29" ht="15.75" hidden="1" customHeight="1" x14ac:dyDescent="0.2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  <c r="AC306" s="75"/>
    </row>
    <row r="307" spans="1:29" ht="15.75" hidden="1" customHeight="1" x14ac:dyDescent="0.2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  <c r="AB307" s="75"/>
      <c r="AC307" s="75"/>
    </row>
    <row r="308" spans="1:29" ht="15.75" hidden="1" customHeight="1" x14ac:dyDescent="0.2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  <c r="AC308" s="75"/>
    </row>
    <row r="309" spans="1:29" ht="15.75" hidden="1" customHeight="1" x14ac:dyDescent="0.2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  <c r="AB309" s="75"/>
      <c r="AC309" s="75"/>
    </row>
    <row r="310" spans="1:29" ht="15.75" hidden="1" customHeight="1" x14ac:dyDescent="0.2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  <c r="AA310" s="75"/>
      <c r="AB310" s="75"/>
      <c r="AC310" s="75"/>
    </row>
    <row r="311" spans="1:29" ht="15.75" hidden="1" customHeight="1" x14ac:dyDescent="0.2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A311" s="75"/>
      <c r="AB311" s="75"/>
      <c r="AC311" s="75"/>
    </row>
    <row r="312" spans="1:29" ht="15.75" hidden="1" customHeight="1" x14ac:dyDescent="0.2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  <c r="AA312" s="75"/>
      <c r="AB312" s="75"/>
      <c r="AC312" s="75"/>
    </row>
    <row r="313" spans="1:29" ht="15.75" hidden="1" customHeight="1" x14ac:dyDescent="0.2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  <c r="AA313" s="75"/>
      <c r="AB313" s="75"/>
      <c r="AC313" s="75"/>
    </row>
    <row r="314" spans="1:29" ht="15.75" hidden="1" customHeight="1" x14ac:dyDescent="0.2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  <c r="AA314" s="75"/>
      <c r="AB314" s="75"/>
      <c r="AC314" s="75"/>
    </row>
    <row r="315" spans="1:29" ht="15.75" hidden="1" customHeight="1" x14ac:dyDescent="0.2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  <c r="AB315" s="75"/>
      <c r="AC315" s="75"/>
    </row>
    <row r="316" spans="1:29" ht="15.75" hidden="1" customHeight="1" x14ac:dyDescent="0.2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  <c r="AA316" s="75"/>
      <c r="AB316" s="75"/>
      <c r="AC316" s="75"/>
    </row>
    <row r="317" spans="1:29" ht="15.75" hidden="1" customHeight="1" x14ac:dyDescent="0.2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  <c r="AA317" s="75"/>
      <c r="AB317" s="75"/>
      <c r="AC317" s="75"/>
    </row>
    <row r="318" spans="1:29" ht="15.75" hidden="1" customHeight="1" x14ac:dyDescent="0.2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  <c r="AA318" s="75"/>
      <c r="AB318" s="75"/>
      <c r="AC318" s="75"/>
    </row>
    <row r="319" spans="1:29" ht="15.75" hidden="1" customHeight="1" x14ac:dyDescent="0.2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A319" s="75"/>
      <c r="AB319" s="75"/>
      <c r="AC319" s="75"/>
    </row>
    <row r="320" spans="1:29" ht="15.75" hidden="1" customHeight="1" x14ac:dyDescent="0.2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  <c r="AA320" s="75"/>
      <c r="AB320" s="75"/>
      <c r="AC320" s="75"/>
    </row>
    <row r="321" spans="1:29" ht="15.75" hidden="1" customHeight="1" x14ac:dyDescent="0.2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  <c r="AA321" s="75"/>
      <c r="AB321" s="75"/>
      <c r="AC321" s="75"/>
    </row>
    <row r="322" spans="1:29" ht="15.75" hidden="1" customHeight="1" x14ac:dyDescent="0.2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A322" s="75"/>
      <c r="AB322" s="75"/>
      <c r="AC322" s="75"/>
    </row>
    <row r="323" spans="1:29" ht="15.75" hidden="1" customHeight="1" x14ac:dyDescent="0.2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  <c r="AA323" s="75"/>
      <c r="AB323" s="75"/>
      <c r="AC323" s="75"/>
    </row>
    <row r="324" spans="1:29" ht="15.75" hidden="1" customHeight="1" x14ac:dyDescent="0.2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  <c r="AA324" s="75"/>
      <c r="AB324" s="75"/>
      <c r="AC324" s="75"/>
    </row>
    <row r="325" spans="1:29" ht="15.75" hidden="1" customHeight="1" x14ac:dyDescent="0.2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  <c r="AA325" s="75"/>
      <c r="AB325" s="75"/>
      <c r="AC325" s="75"/>
    </row>
    <row r="326" spans="1:29" ht="15.75" hidden="1" customHeight="1" x14ac:dyDescent="0.2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  <c r="AA326" s="75"/>
      <c r="AB326" s="75"/>
      <c r="AC326" s="75"/>
    </row>
    <row r="327" spans="1:29" ht="15.75" hidden="1" customHeight="1" x14ac:dyDescent="0.2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A327" s="75"/>
      <c r="AB327" s="75"/>
      <c r="AC327" s="75"/>
    </row>
    <row r="328" spans="1:29" ht="15.75" hidden="1" customHeight="1" x14ac:dyDescent="0.2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A328" s="75"/>
      <c r="AB328" s="75"/>
      <c r="AC328" s="75"/>
    </row>
    <row r="329" spans="1:29" ht="15.75" hidden="1" customHeight="1" x14ac:dyDescent="0.2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  <c r="AA329" s="75"/>
      <c r="AB329" s="75"/>
      <c r="AC329" s="75"/>
    </row>
    <row r="330" spans="1:29" ht="15.75" hidden="1" customHeight="1" x14ac:dyDescent="0.2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  <c r="AA330" s="75"/>
      <c r="AB330" s="75"/>
      <c r="AC330" s="75"/>
    </row>
    <row r="331" spans="1:29" ht="15.75" hidden="1" customHeight="1" x14ac:dyDescent="0.2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  <c r="AB331" s="75"/>
      <c r="AC331" s="75"/>
    </row>
    <row r="332" spans="1:29" ht="15.75" hidden="1" customHeight="1" x14ac:dyDescent="0.2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A332" s="75"/>
      <c r="AB332" s="75"/>
      <c r="AC332" s="75"/>
    </row>
    <row r="333" spans="1:29" ht="15.75" hidden="1" customHeight="1" x14ac:dyDescent="0.2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/>
      <c r="AB333" s="75"/>
      <c r="AC333" s="75"/>
    </row>
    <row r="334" spans="1:29" ht="15.75" hidden="1" customHeight="1" x14ac:dyDescent="0.2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/>
      <c r="AB334" s="75"/>
      <c r="AC334" s="75"/>
    </row>
    <row r="335" spans="1:29" ht="15.75" hidden="1" customHeight="1" x14ac:dyDescent="0.2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  <c r="AA335" s="75"/>
      <c r="AB335" s="75"/>
      <c r="AC335" s="75"/>
    </row>
    <row r="336" spans="1:29" ht="15.75" hidden="1" customHeight="1" x14ac:dyDescent="0.2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/>
      <c r="AB336" s="75"/>
      <c r="AC336" s="75"/>
    </row>
    <row r="337" spans="1:29" ht="15.75" hidden="1" customHeight="1" x14ac:dyDescent="0.2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  <c r="AA337" s="75"/>
      <c r="AB337" s="75"/>
      <c r="AC337" s="75"/>
    </row>
    <row r="338" spans="1:29" ht="15.75" hidden="1" customHeight="1" x14ac:dyDescent="0.2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  <c r="AA338" s="75"/>
      <c r="AB338" s="75"/>
      <c r="AC338" s="75"/>
    </row>
    <row r="339" spans="1:29" ht="15.75" hidden="1" customHeight="1" x14ac:dyDescent="0.2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  <c r="AA339" s="75"/>
      <c r="AB339" s="75"/>
      <c r="AC339" s="75"/>
    </row>
    <row r="340" spans="1:29" ht="15.75" hidden="1" customHeight="1" x14ac:dyDescent="0.2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  <c r="AC340" s="75"/>
    </row>
    <row r="341" spans="1:29" ht="15.75" hidden="1" customHeight="1" x14ac:dyDescent="0.2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  <c r="AB341" s="75"/>
      <c r="AC341" s="75"/>
    </row>
    <row r="342" spans="1:29" ht="15.75" hidden="1" customHeight="1" x14ac:dyDescent="0.2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  <c r="AA342" s="75"/>
      <c r="AB342" s="75"/>
      <c r="AC342" s="75"/>
    </row>
    <row r="343" spans="1:29" ht="15.75" hidden="1" customHeight="1" x14ac:dyDescent="0.2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  <c r="AA343" s="75"/>
      <c r="AB343" s="75"/>
      <c r="AC343" s="75"/>
    </row>
    <row r="344" spans="1:29" ht="15.75" hidden="1" customHeight="1" x14ac:dyDescent="0.2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  <c r="AA344" s="75"/>
      <c r="AB344" s="75"/>
      <c r="AC344" s="75"/>
    </row>
    <row r="345" spans="1:29" ht="15.75" hidden="1" customHeight="1" x14ac:dyDescent="0.2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  <c r="AA345" s="75"/>
      <c r="AB345" s="75"/>
      <c r="AC345" s="75"/>
    </row>
    <row r="346" spans="1:29" ht="15.75" hidden="1" customHeight="1" x14ac:dyDescent="0.2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  <c r="AA346" s="75"/>
      <c r="AB346" s="75"/>
      <c r="AC346" s="75"/>
    </row>
    <row r="347" spans="1:29" ht="15.75" hidden="1" customHeight="1" x14ac:dyDescent="0.2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  <c r="AA347" s="75"/>
      <c r="AB347" s="75"/>
      <c r="AC347" s="75"/>
    </row>
    <row r="348" spans="1:29" ht="15.75" hidden="1" customHeight="1" x14ac:dyDescent="0.2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  <c r="AA348" s="75"/>
      <c r="AB348" s="75"/>
      <c r="AC348" s="75"/>
    </row>
    <row r="349" spans="1:29" ht="15.75" hidden="1" customHeight="1" x14ac:dyDescent="0.2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  <c r="AA349" s="75"/>
      <c r="AB349" s="75"/>
      <c r="AC349" s="75"/>
    </row>
    <row r="350" spans="1:29" ht="15.75" hidden="1" customHeight="1" x14ac:dyDescent="0.2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A350" s="75"/>
      <c r="AB350" s="75"/>
      <c r="AC350" s="75"/>
    </row>
    <row r="351" spans="1:29" ht="15.75" hidden="1" customHeight="1" x14ac:dyDescent="0.2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  <c r="AA351" s="75"/>
      <c r="AB351" s="75"/>
      <c r="AC351" s="75"/>
    </row>
    <row r="352" spans="1:29" ht="15.75" hidden="1" customHeight="1" x14ac:dyDescent="0.2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  <c r="AA352" s="75"/>
      <c r="AB352" s="75"/>
      <c r="AC352" s="75"/>
    </row>
    <row r="353" spans="1:29" ht="15.75" hidden="1" customHeight="1" x14ac:dyDescent="0.2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  <c r="AA353" s="75"/>
      <c r="AB353" s="75"/>
      <c r="AC353" s="75"/>
    </row>
    <row r="354" spans="1:29" ht="15.75" hidden="1" customHeight="1" x14ac:dyDescent="0.2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  <c r="AA354" s="75"/>
      <c r="AB354" s="75"/>
      <c r="AC354" s="75"/>
    </row>
    <row r="355" spans="1:29" ht="15.75" hidden="1" customHeight="1" x14ac:dyDescent="0.2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  <c r="AA355" s="75"/>
      <c r="AB355" s="75"/>
      <c r="AC355" s="75"/>
    </row>
    <row r="356" spans="1:29" ht="15.75" hidden="1" customHeight="1" x14ac:dyDescent="0.2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A356" s="75"/>
      <c r="AB356" s="75"/>
      <c r="AC356" s="75"/>
    </row>
    <row r="357" spans="1:29" ht="15.75" hidden="1" customHeight="1" x14ac:dyDescent="0.2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  <c r="AA357" s="75"/>
      <c r="AB357" s="75"/>
      <c r="AC357" s="75"/>
    </row>
    <row r="358" spans="1:29" ht="15.75" hidden="1" customHeight="1" x14ac:dyDescent="0.2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/>
      <c r="AB358" s="75"/>
      <c r="AC358" s="75"/>
    </row>
    <row r="359" spans="1:29" ht="15.75" hidden="1" customHeight="1" x14ac:dyDescent="0.2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  <c r="AA359" s="75"/>
      <c r="AB359" s="75"/>
      <c r="AC359" s="75"/>
    </row>
    <row r="360" spans="1:29" ht="15.75" hidden="1" customHeight="1" x14ac:dyDescent="0.2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  <c r="AA360" s="75"/>
      <c r="AB360" s="75"/>
      <c r="AC360" s="75"/>
    </row>
    <row r="361" spans="1:29" ht="15.75" hidden="1" customHeight="1" x14ac:dyDescent="0.2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  <c r="AA361" s="75"/>
      <c r="AB361" s="75"/>
      <c r="AC361" s="75"/>
    </row>
    <row r="362" spans="1:29" ht="15.75" hidden="1" customHeight="1" x14ac:dyDescent="0.2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  <c r="AA362" s="75"/>
      <c r="AB362" s="75"/>
      <c r="AC362" s="75"/>
    </row>
    <row r="363" spans="1:29" ht="15.75" hidden="1" customHeight="1" x14ac:dyDescent="0.2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  <c r="AC363" s="75"/>
    </row>
    <row r="364" spans="1:29" ht="15.75" hidden="1" customHeight="1" x14ac:dyDescent="0.2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  <c r="AA364" s="75"/>
      <c r="AB364" s="75"/>
      <c r="AC364" s="75"/>
    </row>
    <row r="365" spans="1:29" ht="15.75" hidden="1" customHeight="1" x14ac:dyDescent="0.2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  <c r="AA365" s="75"/>
      <c r="AB365" s="75"/>
      <c r="AC365" s="75"/>
    </row>
    <row r="366" spans="1:29" ht="15.75" hidden="1" customHeight="1" x14ac:dyDescent="0.2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  <c r="AA366" s="75"/>
      <c r="AB366" s="75"/>
      <c r="AC366" s="75"/>
    </row>
    <row r="367" spans="1:29" ht="15.75" hidden="1" customHeight="1" x14ac:dyDescent="0.2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  <c r="AA367" s="75"/>
      <c r="AB367" s="75"/>
      <c r="AC367" s="75"/>
    </row>
    <row r="368" spans="1:29" ht="15.75" hidden="1" customHeight="1" x14ac:dyDescent="0.2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  <c r="AA368" s="75"/>
      <c r="AB368" s="75"/>
      <c r="AC368" s="75"/>
    </row>
    <row r="369" spans="1:29" ht="15.75" hidden="1" customHeight="1" x14ac:dyDescent="0.2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  <c r="AA369" s="75"/>
      <c r="AB369" s="75"/>
      <c r="AC369" s="75"/>
    </row>
    <row r="370" spans="1:29" ht="15.75" hidden="1" customHeight="1" x14ac:dyDescent="0.2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  <c r="AA370" s="75"/>
      <c r="AB370" s="75"/>
      <c r="AC370" s="75"/>
    </row>
    <row r="371" spans="1:29" ht="15.75" hidden="1" customHeight="1" x14ac:dyDescent="0.2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  <c r="AA371" s="75"/>
      <c r="AB371" s="75"/>
      <c r="AC371" s="75"/>
    </row>
    <row r="372" spans="1:29" ht="15.75" hidden="1" customHeight="1" x14ac:dyDescent="0.2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  <c r="AA372" s="75"/>
      <c r="AB372" s="75"/>
      <c r="AC372" s="75"/>
    </row>
    <row r="373" spans="1:29" ht="15.75" hidden="1" customHeight="1" x14ac:dyDescent="0.2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</row>
    <row r="374" spans="1:29" ht="15.75" hidden="1" customHeight="1" x14ac:dyDescent="0.2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</row>
    <row r="375" spans="1:29" ht="15.75" hidden="1" customHeight="1" x14ac:dyDescent="0.2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</row>
    <row r="376" spans="1:29" ht="15.75" hidden="1" customHeight="1" x14ac:dyDescent="0.2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</row>
    <row r="377" spans="1:29" ht="15.75" hidden="1" customHeight="1" x14ac:dyDescent="0.2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</row>
    <row r="378" spans="1:29" ht="15.75" hidden="1" customHeight="1" x14ac:dyDescent="0.2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  <c r="AA378" s="75"/>
      <c r="AB378" s="75"/>
      <c r="AC378" s="75"/>
    </row>
    <row r="379" spans="1:29" ht="15.75" hidden="1" customHeight="1" x14ac:dyDescent="0.2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  <c r="AA379" s="75"/>
      <c r="AB379" s="75"/>
      <c r="AC379" s="75"/>
    </row>
    <row r="380" spans="1:29" ht="15.75" hidden="1" customHeight="1" x14ac:dyDescent="0.2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  <c r="AA380" s="75"/>
      <c r="AB380" s="75"/>
      <c r="AC380" s="75"/>
    </row>
    <row r="381" spans="1:29" ht="15.75" hidden="1" customHeight="1" x14ac:dyDescent="0.2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  <c r="AA381" s="75"/>
      <c r="AB381" s="75"/>
      <c r="AC381" s="75"/>
    </row>
    <row r="382" spans="1:29" ht="15.75" hidden="1" customHeight="1" x14ac:dyDescent="0.2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  <c r="AA382" s="75"/>
      <c r="AB382" s="75"/>
      <c r="AC382" s="75"/>
    </row>
    <row r="383" spans="1:29" ht="15.75" hidden="1" customHeight="1" x14ac:dyDescent="0.2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/>
      <c r="AB383" s="75"/>
      <c r="AC383" s="75"/>
    </row>
    <row r="384" spans="1:29" ht="15.75" hidden="1" customHeight="1" x14ac:dyDescent="0.2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  <c r="AA384" s="75"/>
      <c r="AB384" s="75"/>
      <c r="AC384" s="75"/>
    </row>
    <row r="385" spans="1:29" ht="15.75" hidden="1" customHeight="1" x14ac:dyDescent="0.2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  <c r="AA385" s="75"/>
      <c r="AB385" s="75"/>
      <c r="AC385" s="75"/>
    </row>
    <row r="386" spans="1:29" ht="15.75" hidden="1" customHeight="1" x14ac:dyDescent="0.2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  <c r="AC386" s="75"/>
    </row>
    <row r="387" spans="1:29" ht="15.75" hidden="1" customHeight="1" x14ac:dyDescent="0.2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  <c r="AA387" s="75"/>
      <c r="AB387" s="75"/>
      <c r="AC387" s="75"/>
    </row>
    <row r="388" spans="1:29" ht="15.75" hidden="1" customHeight="1" x14ac:dyDescent="0.2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  <c r="AA388" s="75"/>
      <c r="AB388" s="75"/>
      <c r="AC388" s="75"/>
    </row>
    <row r="389" spans="1:29" ht="15.75" hidden="1" customHeight="1" x14ac:dyDescent="0.2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  <c r="AA389" s="75"/>
      <c r="AB389" s="75"/>
      <c r="AC389" s="75"/>
    </row>
    <row r="390" spans="1:29" ht="15.75" hidden="1" customHeight="1" x14ac:dyDescent="0.2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  <c r="AA390" s="75"/>
      <c r="AB390" s="75"/>
      <c r="AC390" s="75"/>
    </row>
    <row r="391" spans="1:29" ht="15.75" hidden="1" customHeight="1" x14ac:dyDescent="0.2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  <c r="AA391" s="75"/>
      <c r="AB391" s="75"/>
      <c r="AC391" s="75"/>
    </row>
    <row r="392" spans="1:29" ht="15.75" hidden="1" customHeight="1" x14ac:dyDescent="0.2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  <c r="AA392" s="75"/>
      <c r="AB392" s="75"/>
      <c r="AC392" s="75"/>
    </row>
    <row r="393" spans="1:29" ht="15.75" hidden="1" customHeight="1" x14ac:dyDescent="0.2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  <c r="AA393" s="75"/>
      <c r="AB393" s="75"/>
      <c r="AC393" s="75"/>
    </row>
    <row r="394" spans="1:29" ht="15.75" hidden="1" customHeight="1" x14ac:dyDescent="0.2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  <c r="AA394" s="75"/>
      <c r="AB394" s="75"/>
      <c r="AC394" s="75"/>
    </row>
    <row r="395" spans="1:29" ht="15.75" hidden="1" customHeight="1" x14ac:dyDescent="0.2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  <c r="AA395" s="75"/>
      <c r="AB395" s="75"/>
      <c r="AC395" s="75"/>
    </row>
    <row r="396" spans="1:29" ht="15.75" hidden="1" customHeight="1" x14ac:dyDescent="0.2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  <c r="AA396" s="75"/>
      <c r="AB396" s="75"/>
      <c r="AC396" s="75"/>
    </row>
    <row r="397" spans="1:29" ht="15.75" hidden="1" customHeight="1" x14ac:dyDescent="0.2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  <c r="AA397" s="75"/>
      <c r="AB397" s="75"/>
      <c r="AC397" s="75"/>
    </row>
    <row r="398" spans="1:29" ht="15.75" hidden="1" customHeight="1" x14ac:dyDescent="0.2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  <c r="AA398" s="75"/>
      <c r="AB398" s="75"/>
      <c r="AC398" s="75"/>
    </row>
    <row r="399" spans="1:29" ht="15.75" hidden="1" customHeight="1" x14ac:dyDescent="0.2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  <c r="AA399" s="75"/>
      <c r="AB399" s="75"/>
      <c r="AC399" s="75"/>
    </row>
    <row r="400" spans="1:29" ht="15.75" hidden="1" customHeight="1" x14ac:dyDescent="0.2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  <c r="AA400" s="75"/>
      <c r="AB400" s="75"/>
      <c r="AC400" s="75"/>
    </row>
    <row r="401" spans="1:29" ht="15.75" hidden="1" customHeight="1" x14ac:dyDescent="0.2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  <c r="AC401" s="75"/>
    </row>
    <row r="402" spans="1:29" ht="15.75" hidden="1" customHeight="1" x14ac:dyDescent="0.2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  <c r="AA402" s="75"/>
      <c r="AB402" s="75"/>
      <c r="AC402" s="75"/>
    </row>
    <row r="403" spans="1:29" ht="15.75" hidden="1" customHeight="1" x14ac:dyDescent="0.2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  <c r="AA403" s="75"/>
      <c r="AB403" s="75"/>
      <c r="AC403" s="75"/>
    </row>
    <row r="404" spans="1:29" ht="15.75" hidden="1" customHeight="1" x14ac:dyDescent="0.2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  <c r="AA404" s="75"/>
      <c r="AB404" s="75"/>
      <c r="AC404" s="75"/>
    </row>
    <row r="405" spans="1:29" ht="15.75" hidden="1" customHeight="1" x14ac:dyDescent="0.2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  <c r="AA405" s="75"/>
      <c r="AB405" s="75"/>
      <c r="AC405" s="75"/>
    </row>
    <row r="406" spans="1:29" ht="15.75" hidden="1" customHeight="1" x14ac:dyDescent="0.2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  <c r="AA406" s="75"/>
      <c r="AB406" s="75"/>
      <c r="AC406" s="75"/>
    </row>
    <row r="407" spans="1:29" ht="15.75" hidden="1" customHeight="1" x14ac:dyDescent="0.2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  <c r="AA407" s="75"/>
      <c r="AB407" s="75"/>
      <c r="AC407" s="75"/>
    </row>
    <row r="408" spans="1:29" ht="15.75" hidden="1" customHeight="1" x14ac:dyDescent="0.2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  <c r="AA408" s="75"/>
      <c r="AB408" s="75"/>
      <c r="AC408" s="75"/>
    </row>
    <row r="409" spans="1:29" ht="15.75" hidden="1" customHeight="1" x14ac:dyDescent="0.2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  <c r="AC409" s="75"/>
    </row>
    <row r="410" spans="1:29" ht="15.75" hidden="1" customHeight="1" x14ac:dyDescent="0.2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  <c r="AA410" s="75"/>
      <c r="AB410" s="75"/>
      <c r="AC410" s="75"/>
    </row>
    <row r="411" spans="1:29" ht="15.75" hidden="1" customHeight="1" x14ac:dyDescent="0.2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  <c r="AA411" s="75"/>
      <c r="AB411" s="75"/>
      <c r="AC411" s="75"/>
    </row>
    <row r="412" spans="1:29" ht="15.75" hidden="1" customHeight="1" x14ac:dyDescent="0.2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  <c r="AA412" s="75"/>
      <c r="AB412" s="75"/>
      <c r="AC412" s="75"/>
    </row>
    <row r="413" spans="1:29" ht="15.75" hidden="1" customHeight="1" x14ac:dyDescent="0.2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  <c r="AA413" s="75"/>
      <c r="AB413" s="75"/>
      <c r="AC413" s="75"/>
    </row>
    <row r="414" spans="1:29" ht="15.75" hidden="1" customHeight="1" x14ac:dyDescent="0.2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  <c r="AA414" s="75"/>
      <c r="AB414" s="75"/>
      <c r="AC414" s="75"/>
    </row>
    <row r="415" spans="1:29" ht="15.75" hidden="1" customHeight="1" x14ac:dyDescent="0.2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  <c r="AA415" s="75"/>
      <c r="AB415" s="75"/>
      <c r="AC415" s="75"/>
    </row>
    <row r="416" spans="1:29" ht="15.75" hidden="1" customHeight="1" x14ac:dyDescent="0.2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  <c r="AA416" s="75"/>
      <c r="AB416" s="75"/>
      <c r="AC416" s="75"/>
    </row>
    <row r="417" spans="1:29" ht="15.75" hidden="1" customHeight="1" x14ac:dyDescent="0.2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  <c r="AA417" s="75"/>
      <c r="AB417" s="75"/>
      <c r="AC417" s="75"/>
    </row>
    <row r="418" spans="1:29" ht="15.75" hidden="1" customHeight="1" x14ac:dyDescent="0.2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  <c r="AA418" s="75"/>
      <c r="AB418" s="75"/>
      <c r="AC418" s="75"/>
    </row>
    <row r="419" spans="1:29" ht="15.75" hidden="1" customHeight="1" x14ac:dyDescent="0.2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  <c r="AA419" s="75"/>
      <c r="AB419" s="75"/>
      <c r="AC419" s="75"/>
    </row>
    <row r="420" spans="1:29" ht="15.75" hidden="1" customHeight="1" x14ac:dyDescent="0.2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  <c r="AA420" s="75"/>
      <c r="AB420" s="75"/>
      <c r="AC420" s="75"/>
    </row>
    <row r="421" spans="1:29" ht="15.75" hidden="1" customHeight="1" x14ac:dyDescent="0.2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  <c r="AA421" s="75"/>
      <c r="AB421" s="75"/>
      <c r="AC421" s="75"/>
    </row>
    <row r="422" spans="1:29" ht="15.75" hidden="1" customHeight="1" x14ac:dyDescent="0.2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  <c r="AA422" s="75"/>
      <c r="AB422" s="75"/>
      <c r="AC422" s="75"/>
    </row>
    <row r="423" spans="1:29" ht="15.75" hidden="1" customHeight="1" x14ac:dyDescent="0.2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  <c r="AA423" s="75"/>
      <c r="AB423" s="75"/>
      <c r="AC423" s="75"/>
    </row>
    <row r="424" spans="1:29" ht="15.75" hidden="1" customHeight="1" x14ac:dyDescent="0.2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  <c r="AA424" s="75"/>
      <c r="AB424" s="75"/>
      <c r="AC424" s="75"/>
    </row>
    <row r="425" spans="1:29" ht="15.75" hidden="1" customHeight="1" x14ac:dyDescent="0.2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  <c r="AA425" s="75"/>
      <c r="AB425" s="75"/>
      <c r="AC425" s="75"/>
    </row>
    <row r="426" spans="1:29" ht="15.75" hidden="1" customHeight="1" x14ac:dyDescent="0.2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  <c r="AA426" s="75"/>
      <c r="AB426" s="75"/>
      <c r="AC426" s="75"/>
    </row>
    <row r="427" spans="1:29" ht="15.75" hidden="1" customHeight="1" x14ac:dyDescent="0.2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  <c r="AA427" s="75"/>
      <c r="AB427" s="75"/>
      <c r="AC427" s="75"/>
    </row>
    <row r="428" spans="1:29" ht="15.75" hidden="1" customHeight="1" x14ac:dyDescent="0.2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  <c r="AA428" s="75"/>
      <c r="AB428" s="75"/>
      <c r="AC428" s="75"/>
    </row>
    <row r="429" spans="1:29" ht="15.75" hidden="1" customHeight="1" x14ac:dyDescent="0.2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  <c r="AA429" s="75"/>
      <c r="AB429" s="75"/>
      <c r="AC429" s="75"/>
    </row>
    <row r="430" spans="1:29" ht="15.75" hidden="1" customHeight="1" x14ac:dyDescent="0.2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  <c r="AA430" s="75"/>
      <c r="AB430" s="75"/>
      <c r="AC430" s="75"/>
    </row>
    <row r="431" spans="1:29" ht="15.75" hidden="1" customHeight="1" x14ac:dyDescent="0.2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  <c r="AA431" s="75"/>
      <c r="AB431" s="75"/>
      <c r="AC431" s="75"/>
    </row>
    <row r="432" spans="1:29" ht="15.75" hidden="1" customHeight="1" x14ac:dyDescent="0.2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  <c r="AA432" s="75"/>
      <c r="AB432" s="75"/>
      <c r="AC432" s="75"/>
    </row>
    <row r="433" spans="1:29" ht="15.75" hidden="1" customHeight="1" x14ac:dyDescent="0.2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  <c r="AA433" s="75"/>
      <c r="AB433" s="75"/>
      <c r="AC433" s="75"/>
    </row>
    <row r="434" spans="1:29" ht="15.75" hidden="1" customHeight="1" x14ac:dyDescent="0.2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  <c r="AA434" s="75"/>
      <c r="AB434" s="75"/>
      <c r="AC434" s="75"/>
    </row>
    <row r="435" spans="1:29" ht="15.75" hidden="1" customHeight="1" x14ac:dyDescent="0.2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  <c r="AA435" s="75"/>
      <c r="AB435" s="75"/>
      <c r="AC435" s="75"/>
    </row>
    <row r="436" spans="1:29" ht="15.75" hidden="1" customHeight="1" x14ac:dyDescent="0.2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  <c r="AA436" s="75"/>
      <c r="AB436" s="75"/>
      <c r="AC436" s="75"/>
    </row>
    <row r="437" spans="1:29" ht="15.75" hidden="1" customHeight="1" x14ac:dyDescent="0.2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  <c r="AA437" s="75"/>
      <c r="AB437" s="75"/>
      <c r="AC437" s="75"/>
    </row>
    <row r="438" spans="1:29" ht="15.75" hidden="1" customHeight="1" x14ac:dyDescent="0.2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  <c r="AA438" s="75"/>
      <c r="AB438" s="75"/>
      <c r="AC438" s="75"/>
    </row>
    <row r="439" spans="1:29" ht="15.75" hidden="1" customHeight="1" x14ac:dyDescent="0.2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  <c r="AA439" s="75"/>
      <c r="AB439" s="75"/>
      <c r="AC439" s="75"/>
    </row>
    <row r="440" spans="1:29" ht="15.75" hidden="1" customHeight="1" x14ac:dyDescent="0.2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  <c r="AA440" s="75"/>
      <c r="AB440" s="75"/>
      <c r="AC440" s="75"/>
    </row>
    <row r="441" spans="1:29" ht="15.75" hidden="1" customHeight="1" x14ac:dyDescent="0.2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  <c r="AA441" s="75"/>
      <c r="AB441" s="75"/>
      <c r="AC441" s="75"/>
    </row>
    <row r="442" spans="1:29" ht="15.75" hidden="1" customHeight="1" x14ac:dyDescent="0.2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  <c r="AA442" s="75"/>
      <c r="AB442" s="75"/>
      <c r="AC442" s="75"/>
    </row>
    <row r="443" spans="1:29" ht="15.75" hidden="1" customHeight="1" x14ac:dyDescent="0.2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  <c r="AA443" s="75"/>
      <c r="AB443" s="75"/>
      <c r="AC443" s="75"/>
    </row>
    <row r="444" spans="1:29" ht="15.75" hidden="1" customHeight="1" x14ac:dyDescent="0.2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  <c r="AA444" s="75"/>
      <c r="AB444" s="75"/>
      <c r="AC444" s="75"/>
    </row>
    <row r="445" spans="1:29" ht="15.75" hidden="1" customHeight="1" x14ac:dyDescent="0.2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  <c r="AA445" s="75"/>
      <c r="AB445" s="75"/>
      <c r="AC445" s="75"/>
    </row>
    <row r="446" spans="1:29" ht="15.75" hidden="1" customHeight="1" x14ac:dyDescent="0.2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  <c r="AA446" s="75"/>
      <c r="AB446" s="75"/>
      <c r="AC446" s="75"/>
    </row>
    <row r="447" spans="1:29" ht="15.75" hidden="1" customHeight="1" x14ac:dyDescent="0.2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  <c r="AA447" s="75"/>
      <c r="AB447" s="75"/>
      <c r="AC447" s="75"/>
    </row>
    <row r="448" spans="1:29" ht="15.75" hidden="1" customHeight="1" x14ac:dyDescent="0.2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  <c r="AA448" s="75"/>
      <c r="AB448" s="75"/>
      <c r="AC448" s="75"/>
    </row>
    <row r="449" spans="1:29" ht="15.75" hidden="1" customHeight="1" x14ac:dyDescent="0.2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  <c r="AA449" s="75"/>
      <c r="AB449" s="75"/>
      <c r="AC449" s="75"/>
    </row>
    <row r="450" spans="1:29" ht="15.75" hidden="1" customHeight="1" x14ac:dyDescent="0.2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  <c r="AA450" s="75"/>
      <c r="AB450" s="75"/>
      <c r="AC450" s="75"/>
    </row>
    <row r="451" spans="1:29" ht="15.75" hidden="1" customHeight="1" x14ac:dyDescent="0.2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  <c r="AA451" s="75"/>
      <c r="AB451" s="75"/>
      <c r="AC451" s="75"/>
    </row>
    <row r="452" spans="1:29" ht="15.75" hidden="1" customHeight="1" x14ac:dyDescent="0.2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  <c r="AA452" s="75"/>
      <c r="AB452" s="75"/>
      <c r="AC452" s="75"/>
    </row>
    <row r="453" spans="1:29" ht="15.75" hidden="1" customHeight="1" x14ac:dyDescent="0.2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  <c r="AA453" s="75"/>
      <c r="AB453" s="75"/>
      <c r="AC453" s="75"/>
    </row>
    <row r="454" spans="1:29" ht="15.75" hidden="1" customHeight="1" x14ac:dyDescent="0.2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  <c r="AA454" s="75"/>
      <c r="AB454" s="75"/>
      <c r="AC454" s="75"/>
    </row>
    <row r="455" spans="1:29" ht="15.75" hidden="1" customHeight="1" x14ac:dyDescent="0.2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  <c r="AA455" s="75"/>
      <c r="AB455" s="75"/>
      <c r="AC455" s="75"/>
    </row>
    <row r="456" spans="1:29" ht="15.75" hidden="1" customHeight="1" x14ac:dyDescent="0.2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  <c r="AA456" s="75"/>
      <c r="AB456" s="75"/>
      <c r="AC456" s="75"/>
    </row>
    <row r="457" spans="1:29" ht="15.75" hidden="1" customHeight="1" x14ac:dyDescent="0.2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  <c r="AA457" s="75"/>
      <c r="AB457" s="75"/>
      <c r="AC457" s="75"/>
    </row>
    <row r="458" spans="1:29" ht="15.75" hidden="1" customHeight="1" x14ac:dyDescent="0.2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  <c r="AA458" s="75"/>
      <c r="AB458" s="75"/>
      <c r="AC458" s="75"/>
    </row>
    <row r="459" spans="1:29" ht="15.75" hidden="1" customHeight="1" x14ac:dyDescent="0.2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  <c r="AA459" s="75"/>
      <c r="AB459" s="75"/>
      <c r="AC459" s="75"/>
    </row>
    <row r="460" spans="1:29" ht="15.75" hidden="1" customHeight="1" x14ac:dyDescent="0.2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  <c r="AA460" s="75"/>
      <c r="AB460" s="75"/>
      <c r="AC460" s="75"/>
    </row>
    <row r="461" spans="1:29" ht="15.75" hidden="1" customHeight="1" x14ac:dyDescent="0.2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  <c r="AA461" s="75"/>
      <c r="AB461" s="75"/>
      <c r="AC461" s="75"/>
    </row>
    <row r="462" spans="1:29" ht="15.75" hidden="1" customHeight="1" x14ac:dyDescent="0.2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  <c r="AA462" s="75"/>
      <c r="AB462" s="75"/>
      <c r="AC462" s="75"/>
    </row>
    <row r="463" spans="1:29" ht="15.75" hidden="1" customHeight="1" x14ac:dyDescent="0.2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  <c r="AA463" s="75"/>
      <c r="AB463" s="75"/>
      <c r="AC463" s="75"/>
    </row>
    <row r="464" spans="1:29" ht="15.75" hidden="1" customHeight="1" x14ac:dyDescent="0.2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  <c r="AA464" s="75"/>
      <c r="AB464" s="75"/>
      <c r="AC464" s="75"/>
    </row>
    <row r="465" spans="1:29" ht="15.75" hidden="1" customHeight="1" x14ac:dyDescent="0.2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  <c r="AA465" s="75"/>
      <c r="AB465" s="75"/>
      <c r="AC465" s="75"/>
    </row>
    <row r="466" spans="1:29" ht="15.75" hidden="1" customHeight="1" x14ac:dyDescent="0.2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  <c r="AA466" s="75"/>
      <c r="AB466" s="75"/>
      <c r="AC466" s="75"/>
    </row>
    <row r="467" spans="1:29" ht="15.75" hidden="1" customHeight="1" x14ac:dyDescent="0.2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  <c r="AA467" s="75"/>
      <c r="AB467" s="75"/>
      <c r="AC467" s="75"/>
    </row>
    <row r="468" spans="1:29" ht="15.75" hidden="1" customHeight="1" x14ac:dyDescent="0.2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  <c r="AA468" s="75"/>
      <c r="AB468" s="75"/>
      <c r="AC468" s="75"/>
    </row>
    <row r="469" spans="1:29" ht="15.75" hidden="1" customHeight="1" x14ac:dyDescent="0.2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  <c r="AA469" s="75"/>
      <c r="AB469" s="75"/>
      <c r="AC469" s="75"/>
    </row>
    <row r="470" spans="1:29" ht="15.75" hidden="1" customHeight="1" x14ac:dyDescent="0.2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  <c r="AA470" s="75"/>
      <c r="AB470" s="75"/>
      <c r="AC470" s="75"/>
    </row>
    <row r="471" spans="1:29" ht="15.75" hidden="1" customHeight="1" x14ac:dyDescent="0.2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  <c r="AA471" s="75"/>
      <c r="AB471" s="75"/>
      <c r="AC471" s="75"/>
    </row>
    <row r="472" spans="1:29" ht="15.75" hidden="1" customHeight="1" x14ac:dyDescent="0.2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  <c r="AA472" s="75"/>
      <c r="AB472" s="75"/>
      <c r="AC472" s="75"/>
    </row>
    <row r="473" spans="1:29" ht="15.75" hidden="1" customHeight="1" x14ac:dyDescent="0.2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  <c r="AA473" s="75"/>
      <c r="AB473" s="75"/>
      <c r="AC473" s="75"/>
    </row>
    <row r="474" spans="1:29" ht="15.75" hidden="1" customHeight="1" x14ac:dyDescent="0.2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  <c r="AA474" s="75"/>
      <c r="AB474" s="75"/>
      <c r="AC474" s="75"/>
    </row>
    <row r="475" spans="1:29" ht="15.75" hidden="1" customHeight="1" x14ac:dyDescent="0.2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  <c r="AA475" s="75"/>
      <c r="AB475" s="75"/>
      <c r="AC475" s="75"/>
    </row>
    <row r="476" spans="1:29" ht="15.75" hidden="1" customHeight="1" x14ac:dyDescent="0.2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  <c r="AA476" s="75"/>
      <c r="AB476" s="75"/>
      <c r="AC476" s="75"/>
    </row>
    <row r="477" spans="1:29" ht="15.75" hidden="1" customHeight="1" x14ac:dyDescent="0.2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  <c r="AA477" s="75"/>
      <c r="AB477" s="75"/>
      <c r="AC477" s="75"/>
    </row>
    <row r="478" spans="1:29" ht="15.75" hidden="1" customHeight="1" x14ac:dyDescent="0.2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  <c r="AA478" s="75"/>
      <c r="AB478" s="75"/>
      <c r="AC478" s="75"/>
    </row>
    <row r="479" spans="1:29" ht="15.75" hidden="1" customHeight="1" x14ac:dyDescent="0.2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  <c r="AA479" s="75"/>
      <c r="AB479" s="75"/>
      <c r="AC479" s="75"/>
    </row>
    <row r="480" spans="1:29" ht="15.75" hidden="1" customHeight="1" x14ac:dyDescent="0.2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  <c r="AA480" s="75"/>
      <c r="AB480" s="75"/>
      <c r="AC480" s="75"/>
    </row>
    <row r="481" spans="1:29" ht="15.75" hidden="1" customHeight="1" x14ac:dyDescent="0.2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  <c r="AA481" s="75"/>
      <c r="AB481" s="75"/>
      <c r="AC481" s="75"/>
    </row>
    <row r="482" spans="1:29" ht="15.75" hidden="1" customHeight="1" x14ac:dyDescent="0.2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  <c r="AA482" s="75"/>
      <c r="AB482" s="75"/>
      <c r="AC482" s="75"/>
    </row>
    <row r="483" spans="1:29" ht="15.75" hidden="1" customHeight="1" x14ac:dyDescent="0.2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  <c r="AA483" s="75"/>
      <c r="AB483" s="75"/>
      <c r="AC483" s="75"/>
    </row>
    <row r="484" spans="1:29" ht="15.75" hidden="1" customHeight="1" x14ac:dyDescent="0.2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  <c r="AA484" s="75"/>
      <c r="AB484" s="75"/>
      <c r="AC484" s="75"/>
    </row>
    <row r="485" spans="1:29" ht="15.75" hidden="1" customHeight="1" x14ac:dyDescent="0.2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  <c r="AA485" s="75"/>
      <c r="AB485" s="75"/>
      <c r="AC485" s="75"/>
    </row>
    <row r="486" spans="1:29" ht="15.75" hidden="1" customHeight="1" x14ac:dyDescent="0.2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  <c r="AA486" s="75"/>
      <c r="AB486" s="75"/>
      <c r="AC486" s="75"/>
    </row>
    <row r="487" spans="1:29" ht="15.75" hidden="1" customHeight="1" x14ac:dyDescent="0.2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  <c r="AA487" s="75"/>
      <c r="AB487" s="75"/>
      <c r="AC487" s="75"/>
    </row>
    <row r="488" spans="1:29" ht="15.75" hidden="1" customHeight="1" x14ac:dyDescent="0.2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  <c r="AA488" s="75"/>
      <c r="AB488" s="75"/>
      <c r="AC488" s="75"/>
    </row>
    <row r="489" spans="1:29" ht="15.75" hidden="1" customHeight="1" x14ac:dyDescent="0.2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  <c r="AA489" s="75"/>
      <c r="AB489" s="75"/>
      <c r="AC489" s="75"/>
    </row>
    <row r="490" spans="1:29" ht="15.75" hidden="1" customHeight="1" x14ac:dyDescent="0.2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  <c r="AA490" s="75"/>
      <c r="AB490" s="75"/>
      <c r="AC490" s="75"/>
    </row>
    <row r="491" spans="1:29" ht="15.75" hidden="1" customHeight="1" x14ac:dyDescent="0.2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  <c r="AA491" s="75"/>
      <c r="AB491" s="75"/>
      <c r="AC491" s="75"/>
    </row>
    <row r="492" spans="1:29" ht="15.75" hidden="1" customHeight="1" x14ac:dyDescent="0.2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  <c r="AA492" s="75"/>
      <c r="AB492" s="75"/>
      <c r="AC492" s="75"/>
    </row>
    <row r="493" spans="1:29" ht="15.75" hidden="1" customHeight="1" x14ac:dyDescent="0.2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  <c r="AA493" s="75"/>
      <c r="AB493" s="75"/>
      <c r="AC493" s="75"/>
    </row>
    <row r="494" spans="1:29" ht="15.75" hidden="1" customHeight="1" x14ac:dyDescent="0.2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  <c r="AA494" s="75"/>
      <c r="AB494" s="75"/>
      <c r="AC494" s="75"/>
    </row>
    <row r="495" spans="1:29" ht="15.75" hidden="1" customHeight="1" x14ac:dyDescent="0.2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  <c r="AA495" s="75"/>
      <c r="AB495" s="75"/>
      <c r="AC495" s="75"/>
    </row>
    <row r="496" spans="1:29" ht="15.75" hidden="1" customHeight="1" x14ac:dyDescent="0.2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  <c r="AA496" s="75"/>
      <c r="AB496" s="75"/>
      <c r="AC496" s="75"/>
    </row>
    <row r="497" spans="1:29" ht="15.75" hidden="1" customHeight="1" x14ac:dyDescent="0.2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  <c r="AA497" s="75"/>
      <c r="AB497" s="75"/>
      <c r="AC497" s="75"/>
    </row>
    <row r="498" spans="1:29" ht="15.75" hidden="1" customHeight="1" x14ac:dyDescent="0.2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  <c r="AA498" s="75"/>
      <c r="AB498" s="75"/>
      <c r="AC498" s="75"/>
    </row>
    <row r="499" spans="1:29" ht="15.75" hidden="1" customHeight="1" x14ac:dyDescent="0.2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  <c r="AA499" s="75"/>
      <c r="AB499" s="75"/>
      <c r="AC499" s="75"/>
    </row>
    <row r="500" spans="1:29" ht="15.75" hidden="1" customHeight="1" x14ac:dyDescent="0.2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  <c r="AA500" s="75"/>
      <c r="AB500" s="75"/>
      <c r="AC500" s="75"/>
    </row>
    <row r="501" spans="1:29" ht="15.75" hidden="1" customHeight="1" x14ac:dyDescent="0.2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  <c r="AA501" s="75"/>
      <c r="AB501" s="75"/>
      <c r="AC501" s="75"/>
    </row>
    <row r="502" spans="1:29" ht="15.75" hidden="1" customHeight="1" x14ac:dyDescent="0.2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  <c r="AA502" s="75"/>
      <c r="AB502" s="75"/>
      <c r="AC502" s="75"/>
    </row>
    <row r="503" spans="1:29" ht="15.75" hidden="1" customHeight="1" x14ac:dyDescent="0.2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  <c r="AA503" s="75"/>
      <c r="AB503" s="75"/>
      <c r="AC503" s="75"/>
    </row>
    <row r="504" spans="1:29" ht="15.75" hidden="1" customHeight="1" x14ac:dyDescent="0.2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  <c r="AA504" s="75"/>
      <c r="AB504" s="75"/>
      <c r="AC504" s="75"/>
    </row>
    <row r="505" spans="1:29" ht="15.75" hidden="1" customHeight="1" x14ac:dyDescent="0.2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  <c r="AA505" s="75"/>
      <c r="AB505" s="75"/>
      <c r="AC505" s="75"/>
    </row>
    <row r="506" spans="1:29" ht="15.75" hidden="1" customHeight="1" x14ac:dyDescent="0.2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  <c r="AA506" s="75"/>
      <c r="AB506" s="75"/>
      <c r="AC506" s="75"/>
    </row>
    <row r="507" spans="1:29" ht="15.75" hidden="1" customHeight="1" x14ac:dyDescent="0.2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  <c r="AA507" s="75"/>
      <c r="AB507" s="75"/>
      <c r="AC507" s="75"/>
    </row>
    <row r="508" spans="1:29" ht="15.75" hidden="1" customHeight="1" x14ac:dyDescent="0.2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  <c r="AA508" s="75"/>
      <c r="AB508" s="75"/>
      <c r="AC508" s="75"/>
    </row>
    <row r="509" spans="1:29" ht="15.75" hidden="1" customHeight="1" x14ac:dyDescent="0.2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  <c r="AA509" s="75"/>
      <c r="AB509" s="75"/>
      <c r="AC509" s="75"/>
    </row>
    <row r="510" spans="1:29" ht="15.75" hidden="1" customHeight="1" x14ac:dyDescent="0.2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  <c r="AA510" s="75"/>
      <c r="AB510" s="75"/>
      <c r="AC510" s="75"/>
    </row>
    <row r="511" spans="1:29" ht="15.75" hidden="1" customHeight="1" x14ac:dyDescent="0.2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  <c r="AA511" s="75"/>
      <c r="AB511" s="75"/>
      <c r="AC511" s="75"/>
    </row>
    <row r="512" spans="1:29" ht="15.75" hidden="1" customHeight="1" x14ac:dyDescent="0.2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  <c r="AA512" s="75"/>
      <c r="AB512" s="75"/>
      <c r="AC512" s="75"/>
    </row>
    <row r="513" spans="1:29" ht="15.75" hidden="1" customHeight="1" x14ac:dyDescent="0.2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  <c r="AA513" s="75"/>
      <c r="AB513" s="75"/>
      <c r="AC513" s="75"/>
    </row>
    <row r="514" spans="1:29" ht="15.75" hidden="1" customHeight="1" x14ac:dyDescent="0.2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  <c r="AA514" s="75"/>
      <c r="AB514" s="75"/>
      <c r="AC514" s="75"/>
    </row>
    <row r="515" spans="1:29" ht="15.75" hidden="1" customHeight="1" x14ac:dyDescent="0.2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  <c r="AA515" s="75"/>
      <c r="AB515" s="75"/>
      <c r="AC515" s="75"/>
    </row>
    <row r="516" spans="1:29" ht="15.75" hidden="1" customHeight="1" x14ac:dyDescent="0.2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  <c r="AA516" s="75"/>
      <c r="AB516" s="75"/>
      <c r="AC516" s="75"/>
    </row>
    <row r="517" spans="1:29" ht="15.75" hidden="1" customHeight="1" x14ac:dyDescent="0.2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  <c r="AA517" s="75"/>
      <c r="AB517" s="75"/>
      <c r="AC517" s="75"/>
    </row>
    <row r="518" spans="1:29" ht="15.75" hidden="1" customHeight="1" x14ac:dyDescent="0.2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  <c r="AA518" s="75"/>
      <c r="AB518" s="75"/>
      <c r="AC518" s="75"/>
    </row>
    <row r="519" spans="1:29" ht="15.75" hidden="1" customHeight="1" x14ac:dyDescent="0.2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  <c r="AA519" s="75"/>
      <c r="AB519" s="75"/>
      <c r="AC519" s="75"/>
    </row>
    <row r="520" spans="1:29" ht="15.75" hidden="1" customHeight="1" x14ac:dyDescent="0.2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  <c r="AA520" s="75"/>
      <c r="AB520" s="75"/>
      <c r="AC520" s="75"/>
    </row>
    <row r="521" spans="1:29" ht="15.75" hidden="1" customHeight="1" x14ac:dyDescent="0.2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  <c r="AA521" s="75"/>
      <c r="AB521" s="75"/>
      <c r="AC521" s="75"/>
    </row>
    <row r="522" spans="1:29" ht="15.75" hidden="1" customHeight="1" x14ac:dyDescent="0.2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  <c r="AA522" s="75"/>
      <c r="AB522" s="75"/>
      <c r="AC522" s="75"/>
    </row>
    <row r="523" spans="1:29" ht="15.75" hidden="1" customHeight="1" x14ac:dyDescent="0.2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  <c r="AA523" s="75"/>
      <c r="AB523" s="75"/>
      <c r="AC523" s="75"/>
    </row>
    <row r="524" spans="1:29" ht="15.75" hidden="1" customHeight="1" x14ac:dyDescent="0.2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  <c r="AA524" s="75"/>
      <c r="AB524" s="75"/>
      <c r="AC524" s="75"/>
    </row>
    <row r="525" spans="1:29" ht="15.75" hidden="1" customHeight="1" x14ac:dyDescent="0.2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  <c r="AA525" s="75"/>
      <c r="AB525" s="75"/>
      <c r="AC525" s="75"/>
    </row>
    <row r="526" spans="1:29" ht="15.75" hidden="1" customHeight="1" x14ac:dyDescent="0.2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  <c r="AA526" s="75"/>
      <c r="AB526" s="75"/>
      <c r="AC526" s="75"/>
    </row>
    <row r="527" spans="1:29" ht="15.75" hidden="1" customHeight="1" x14ac:dyDescent="0.2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  <c r="AA527" s="75"/>
      <c r="AB527" s="75"/>
      <c r="AC527" s="75"/>
    </row>
    <row r="528" spans="1:29" ht="15.75" hidden="1" customHeight="1" x14ac:dyDescent="0.2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  <c r="AA528" s="75"/>
      <c r="AB528" s="75"/>
      <c r="AC528" s="75"/>
    </row>
    <row r="529" spans="1:29" ht="15.75" hidden="1" customHeight="1" x14ac:dyDescent="0.2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  <c r="AA529" s="75"/>
      <c r="AB529" s="75"/>
      <c r="AC529" s="75"/>
    </row>
    <row r="530" spans="1:29" ht="15.75" hidden="1" customHeight="1" x14ac:dyDescent="0.2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  <c r="AA530" s="75"/>
      <c r="AB530" s="75"/>
      <c r="AC530" s="75"/>
    </row>
    <row r="531" spans="1:29" ht="15.75" hidden="1" customHeight="1" x14ac:dyDescent="0.2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  <c r="AA531" s="75"/>
      <c r="AB531" s="75"/>
      <c r="AC531" s="75"/>
    </row>
    <row r="532" spans="1:29" ht="15.75" hidden="1" customHeight="1" x14ac:dyDescent="0.2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  <c r="AA532" s="75"/>
      <c r="AB532" s="75"/>
      <c r="AC532" s="75"/>
    </row>
    <row r="533" spans="1:29" ht="15.75" hidden="1" customHeight="1" x14ac:dyDescent="0.2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  <c r="AA533" s="75"/>
      <c r="AB533" s="75"/>
      <c r="AC533" s="75"/>
    </row>
    <row r="534" spans="1:29" ht="15.75" hidden="1" customHeight="1" x14ac:dyDescent="0.2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  <c r="AA534" s="75"/>
      <c r="AB534" s="75"/>
      <c r="AC534" s="75"/>
    </row>
    <row r="535" spans="1:29" ht="15.75" hidden="1" customHeight="1" x14ac:dyDescent="0.2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  <c r="AA535" s="75"/>
      <c r="AB535" s="75"/>
      <c r="AC535" s="75"/>
    </row>
    <row r="536" spans="1:29" ht="15.75" hidden="1" customHeight="1" x14ac:dyDescent="0.2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  <c r="AA536" s="75"/>
      <c r="AB536" s="75"/>
      <c r="AC536" s="75"/>
    </row>
    <row r="537" spans="1:29" ht="15.75" hidden="1" customHeight="1" x14ac:dyDescent="0.2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  <c r="AA537" s="75"/>
      <c r="AB537" s="75"/>
      <c r="AC537" s="75"/>
    </row>
    <row r="538" spans="1:29" ht="15.75" hidden="1" customHeight="1" x14ac:dyDescent="0.2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  <c r="AA538" s="75"/>
      <c r="AB538" s="75"/>
      <c r="AC538" s="75"/>
    </row>
    <row r="539" spans="1:29" ht="15.75" hidden="1" customHeight="1" x14ac:dyDescent="0.2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  <c r="AA539" s="75"/>
      <c r="AB539" s="75"/>
      <c r="AC539" s="75"/>
    </row>
    <row r="540" spans="1:29" ht="15.75" hidden="1" customHeight="1" x14ac:dyDescent="0.2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  <c r="AA540" s="75"/>
      <c r="AB540" s="75"/>
      <c r="AC540" s="75"/>
    </row>
    <row r="541" spans="1:29" ht="15.75" hidden="1" customHeight="1" x14ac:dyDescent="0.2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  <c r="AA541" s="75"/>
      <c r="AB541" s="75"/>
      <c r="AC541" s="75"/>
    </row>
    <row r="542" spans="1:29" ht="15.75" hidden="1" customHeight="1" x14ac:dyDescent="0.2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  <c r="AA542" s="75"/>
      <c r="AB542" s="75"/>
      <c r="AC542" s="75"/>
    </row>
    <row r="543" spans="1:29" ht="15.75" hidden="1" customHeight="1" x14ac:dyDescent="0.2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  <c r="AA543" s="75"/>
      <c r="AB543" s="75"/>
      <c r="AC543" s="75"/>
    </row>
    <row r="544" spans="1:29" ht="15.75" hidden="1" customHeight="1" x14ac:dyDescent="0.2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  <c r="AA544" s="75"/>
      <c r="AB544" s="75"/>
      <c r="AC544" s="75"/>
    </row>
    <row r="545" spans="1:29" ht="15.75" hidden="1" customHeight="1" x14ac:dyDescent="0.2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  <c r="AA545" s="75"/>
      <c r="AB545" s="75"/>
      <c r="AC545" s="75"/>
    </row>
    <row r="546" spans="1:29" ht="15.75" hidden="1" customHeight="1" x14ac:dyDescent="0.2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  <c r="AA546" s="75"/>
      <c r="AB546" s="75"/>
      <c r="AC546" s="75"/>
    </row>
    <row r="547" spans="1:29" ht="15.75" hidden="1" customHeight="1" x14ac:dyDescent="0.2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  <c r="AA547" s="75"/>
      <c r="AB547" s="75"/>
      <c r="AC547" s="75"/>
    </row>
    <row r="548" spans="1:29" ht="15.75" hidden="1" customHeight="1" x14ac:dyDescent="0.2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  <c r="AA548" s="75"/>
      <c r="AB548" s="75"/>
      <c r="AC548" s="75"/>
    </row>
    <row r="549" spans="1:29" ht="15.75" hidden="1" customHeight="1" x14ac:dyDescent="0.2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  <c r="AA549" s="75"/>
      <c r="AB549" s="75"/>
      <c r="AC549" s="75"/>
    </row>
    <row r="550" spans="1:29" ht="15.75" hidden="1" customHeight="1" x14ac:dyDescent="0.2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  <c r="AA550" s="75"/>
      <c r="AB550" s="75"/>
      <c r="AC550" s="75"/>
    </row>
    <row r="551" spans="1:29" ht="15.75" hidden="1" customHeight="1" x14ac:dyDescent="0.2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  <c r="AA551" s="75"/>
      <c r="AB551" s="75"/>
      <c r="AC551" s="75"/>
    </row>
    <row r="552" spans="1:29" ht="15.75" hidden="1" customHeight="1" x14ac:dyDescent="0.2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  <c r="AA552" s="75"/>
      <c r="AB552" s="75"/>
      <c r="AC552" s="75"/>
    </row>
    <row r="553" spans="1:29" ht="15.75" hidden="1" customHeight="1" x14ac:dyDescent="0.2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  <c r="AA553" s="75"/>
      <c r="AB553" s="75"/>
      <c r="AC553" s="75"/>
    </row>
    <row r="554" spans="1:29" ht="15.75" hidden="1" customHeight="1" x14ac:dyDescent="0.2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  <c r="AA554" s="75"/>
      <c r="AB554" s="75"/>
      <c r="AC554" s="75"/>
    </row>
    <row r="555" spans="1:29" ht="15.75" hidden="1" customHeight="1" x14ac:dyDescent="0.2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  <c r="AA555" s="75"/>
      <c r="AB555" s="75"/>
      <c r="AC555" s="75"/>
    </row>
    <row r="556" spans="1:29" ht="15.75" hidden="1" customHeight="1" x14ac:dyDescent="0.2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  <c r="AA556" s="75"/>
      <c r="AB556" s="75"/>
      <c r="AC556" s="75"/>
    </row>
    <row r="557" spans="1:29" ht="15.75" hidden="1" customHeight="1" x14ac:dyDescent="0.2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  <c r="AA557" s="75"/>
      <c r="AB557" s="75"/>
      <c r="AC557" s="75"/>
    </row>
    <row r="558" spans="1:29" ht="15.75" hidden="1" customHeight="1" x14ac:dyDescent="0.2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  <c r="AA558" s="75"/>
      <c r="AB558" s="75"/>
      <c r="AC558" s="75"/>
    </row>
    <row r="559" spans="1:29" ht="15.75" hidden="1" customHeight="1" x14ac:dyDescent="0.2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  <c r="AA559" s="75"/>
      <c r="AB559" s="75"/>
      <c r="AC559" s="75"/>
    </row>
    <row r="560" spans="1:29" ht="15.75" hidden="1" customHeight="1" x14ac:dyDescent="0.2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  <c r="AA560" s="75"/>
      <c r="AB560" s="75"/>
      <c r="AC560" s="75"/>
    </row>
    <row r="561" spans="1:29" ht="15.75" hidden="1" customHeight="1" x14ac:dyDescent="0.2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  <c r="AA561" s="75"/>
      <c r="AB561" s="75"/>
      <c r="AC561" s="75"/>
    </row>
    <row r="562" spans="1:29" ht="15.75" hidden="1" customHeight="1" x14ac:dyDescent="0.2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  <c r="AA562" s="75"/>
      <c r="AB562" s="75"/>
      <c r="AC562" s="75"/>
    </row>
    <row r="563" spans="1:29" ht="15.75" hidden="1" customHeight="1" x14ac:dyDescent="0.2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  <c r="AA563" s="75"/>
      <c r="AB563" s="75"/>
      <c r="AC563" s="75"/>
    </row>
    <row r="564" spans="1:29" ht="15.75" hidden="1" customHeight="1" x14ac:dyDescent="0.2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  <c r="AA564" s="75"/>
      <c r="AB564" s="75"/>
      <c r="AC564" s="75"/>
    </row>
    <row r="565" spans="1:29" ht="15.75" hidden="1" customHeight="1" x14ac:dyDescent="0.2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  <c r="AA565" s="75"/>
      <c r="AB565" s="75"/>
      <c r="AC565" s="75"/>
    </row>
    <row r="566" spans="1:29" ht="15.75" hidden="1" customHeight="1" x14ac:dyDescent="0.2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  <c r="AA566" s="75"/>
      <c r="AB566" s="75"/>
      <c r="AC566" s="75"/>
    </row>
    <row r="567" spans="1:29" ht="15.75" hidden="1" customHeight="1" x14ac:dyDescent="0.2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  <c r="AA567" s="75"/>
      <c r="AB567" s="75"/>
      <c r="AC567" s="75"/>
    </row>
    <row r="568" spans="1:29" ht="15.75" hidden="1" customHeight="1" x14ac:dyDescent="0.2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  <c r="AA568" s="75"/>
      <c r="AB568" s="75"/>
      <c r="AC568" s="75"/>
    </row>
    <row r="569" spans="1:29" ht="15.75" hidden="1" customHeight="1" x14ac:dyDescent="0.2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  <c r="AA569" s="75"/>
      <c r="AB569" s="75"/>
      <c r="AC569" s="75"/>
    </row>
    <row r="570" spans="1:29" ht="15.75" hidden="1" customHeight="1" x14ac:dyDescent="0.2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  <c r="AA570" s="75"/>
      <c r="AB570" s="75"/>
      <c r="AC570" s="75"/>
    </row>
    <row r="571" spans="1:29" ht="15.75" hidden="1" customHeight="1" x14ac:dyDescent="0.2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  <c r="AA571" s="75"/>
      <c r="AB571" s="75"/>
      <c r="AC571" s="75"/>
    </row>
    <row r="572" spans="1:29" ht="15.75" hidden="1" customHeight="1" x14ac:dyDescent="0.2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  <c r="AA572" s="75"/>
      <c r="AB572" s="75"/>
      <c r="AC572" s="75"/>
    </row>
    <row r="573" spans="1:29" ht="15.75" hidden="1" customHeight="1" x14ac:dyDescent="0.2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  <c r="AA573" s="75"/>
      <c r="AB573" s="75"/>
      <c r="AC573" s="75"/>
    </row>
    <row r="574" spans="1:29" ht="15.75" hidden="1" customHeight="1" x14ac:dyDescent="0.2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  <c r="AA574" s="75"/>
      <c r="AB574" s="75"/>
      <c r="AC574" s="75"/>
    </row>
    <row r="575" spans="1:29" ht="15.75" hidden="1" customHeight="1" x14ac:dyDescent="0.2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  <c r="AA575" s="75"/>
      <c r="AB575" s="75"/>
      <c r="AC575" s="75"/>
    </row>
    <row r="576" spans="1:29" ht="15.75" hidden="1" customHeight="1" x14ac:dyDescent="0.2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  <c r="AA576" s="75"/>
      <c r="AB576" s="75"/>
      <c r="AC576" s="75"/>
    </row>
    <row r="577" spans="1:29" ht="15.75" hidden="1" customHeight="1" x14ac:dyDescent="0.2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  <c r="AA577" s="75"/>
      <c r="AB577" s="75"/>
      <c r="AC577" s="75"/>
    </row>
    <row r="578" spans="1:29" ht="15.75" hidden="1" customHeight="1" x14ac:dyDescent="0.2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  <c r="AA578" s="75"/>
      <c r="AB578" s="75"/>
      <c r="AC578" s="75"/>
    </row>
    <row r="579" spans="1:29" ht="15.75" hidden="1" customHeight="1" x14ac:dyDescent="0.2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  <c r="AA579" s="75"/>
      <c r="AB579" s="75"/>
      <c r="AC579" s="75"/>
    </row>
    <row r="580" spans="1:29" ht="15.75" hidden="1" customHeight="1" x14ac:dyDescent="0.2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  <c r="AA580" s="75"/>
      <c r="AB580" s="75"/>
      <c r="AC580" s="75"/>
    </row>
    <row r="581" spans="1:29" ht="15.75" hidden="1" customHeight="1" x14ac:dyDescent="0.2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  <c r="AA581" s="75"/>
      <c r="AB581" s="75"/>
      <c r="AC581" s="75"/>
    </row>
    <row r="582" spans="1:29" ht="15.75" hidden="1" customHeight="1" x14ac:dyDescent="0.2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  <c r="AA582" s="75"/>
      <c r="AB582" s="75"/>
      <c r="AC582" s="75"/>
    </row>
    <row r="583" spans="1:29" ht="15.75" hidden="1" customHeight="1" x14ac:dyDescent="0.2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  <c r="AA583" s="75"/>
      <c r="AB583" s="75"/>
      <c r="AC583" s="75"/>
    </row>
    <row r="584" spans="1:29" ht="15.75" hidden="1" customHeight="1" x14ac:dyDescent="0.2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  <c r="AA584" s="75"/>
      <c r="AB584" s="75"/>
      <c r="AC584" s="75"/>
    </row>
    <row r="585" spans="1:29" ht="15.75" hidden="1" customHeight="1" x14ac:dyDescent="0.2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  <c r="AA585" s="75"/>
      <c r="AB585" s="75"/>
      <c r="AC585" s="75"/>
    </row>
    <row r="586" spans="1:29" ht="15.75" hidden="1" customHeight="1" x14ac:dyDescent="0.2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  <c r="AA586" s="75"/>
      <c r="AB586" s="75"/>
      <c r="AC586" s="75"/>
    </row>
    <row r="587" spans="1:29" ht="15.75" hidden="1" customHeight="1" x14ac:dyDescent="0.2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  <c r="AA587" s="75"/>
      <c r="AB587" s="75"/>
      <c r="AC587" s="75"/>
    </row>
    <row r="588" spans="1:29" ht="15.75" hidden="1" customHeight="1" x14ac:dyDescent="0.2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  <c r="AA588" s="75"/>
      <c r="AB588" s="75"/>
      <c r="AC588" s="75"/>
    </row>
    <row r="589" spans="1:29" ht="15.75" hidden="1" customHeight="1" x14ac:dyDescent="0.2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  <c r="AA589" s="75"/>
      <c r="AB589" s="75"/>
      <c r="AC589" s="75"/>
    </row>
    <row r="590" spans="1:29" ht="15.75" hidden="1" customHeight="1" x14ac:dyDescent="0.2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  <c r="AA590" s="75"/>
      <c r="AB590" s="75"/>
      <c r="AC590" s="75"/>
    </row>
    <row r="591" spans="1:29" ht="15.75" hidden="1" customHeight="1" x14ac:dyDescent="0.2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  <c r="AA591" s="75"/>
      <c r="AB591" s="75"/>
      <c r="AC591" s="75"/>
    </row>
    <row r="592" spans="1:29" ht="15.75" hidden="1" customHeight="1" x14ac:dyDescent="0.2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  <c r="AA592" s="75"/>
      <c r="AB592" s="75"/>
      <c r="AC592" s="75"/>
    </row>
    <row r="593" spans="1:29" ht="15.75" hidden="1" customHeight="1" x14ac:dyDescent="0.2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  <c r="AA593" s="75"/>
      <c r="AB593" s="75"/>
      <c r="AC593" s="75"/>
    </row>
    <row r="594" spans="1:29" ht="15.75" hidden="1" customHeight="1" x14ac:dyDescent="0.2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  <c r="AA594" s="75"/>
      <c r="AB594" s="75"/>
      <c r="AC594" s="75"/>
    </row>
    <row r="595" spans="1:29" ht="15.75" hidden="1" customHeight="1" x14ac:dyDescent="0.2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  <c r="AA595" s="75"/>
      <c r="AB595" s="75"/>
      <c r="AC595" s="75"/>
    </row>
    <row r="596" spans="1:29" ht="15.75" hidden="1" customHeight="1" x14ac:dyDescent="0.2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  <c r="AA596" s="75"/>
      <c r="AB596" s="75"/>
      <c r="AC596" s="75"/>
    </row>
    <row r="597" spans="1:29" ht="15.75" hidden="1" customHeight="1" x14ac:dyDescent="0.2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  <c r="AA597" s="75"/>
      <c r="AB597" s="75"/>
      <c r="AC597" s="75"/>
    </row>
    <row r="598" spans="1:29" ht="15.75" hidden="1" customHeight="1" x14ac:dyDescent="0.2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  <c r="AA598" s="75"/>
      <c r="AB598" s="75"/>
      <c r="AC598" s="75"/>
    </row>
    <row r="599" spans="1:29" ht="15.75" hidden="1" customHeight="1" x14ac:dyDescent="0.2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  <c r="AA599" s="75"/>
      <c r="AB599" s="75"/>
      <c r="AC599" s="75"/>
    </row>
    <row r="600" spans="1:29" ht="15.75" hidden="1" customHeight="1" x14ac:dyDescent="0.2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  <c r="AA600" s="75"/>
      <c r="AB600" s="75"/>
      <c r="AC600" s="75"/>
    </row>
    <row r="601" spans="1:29" ht="15.75" hidden="1" customHeight="1" x14ac:dyDescent="0.2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  <c r="AA601" s="75"/>
      <c r="AB601" s="75"/>
      <c r="AC601" s="75"/>
    </row>
    <row r="602" spans="1:29" ht="15.75" hidden="1" customHeight="1" x14ac:dyDescent="0.2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  <c r="AA602" s="75"/>
      <c r="AB602" s="75"/>
      <c r="AC602" s="75"/>
    </row>
    <row r="603" spans="1:29" ht="15.75" hidden="1" customHeight="1" x14ac:dyDescent="0.2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  <c r="AA603" s="75"/>
      <c r="AB603" s="75"/>
      <c r="AC603" s="75"/>
    </row>
    <row r="604" spans="1:29" ht="15.75" hidden="1" customHeight="1" x14ac:dyDescent="0.2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  <c r="AA604" s="75"/>
      <c r="AB604" s="75"/>
      <c r="AC604" s="75"/>
    </row>
    <row r="605" spans="1:29" ht="15.75" hidden="1" customHeight="1" x14ac:dyDescent="0.2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  <c r="AA605" s="75"/>
      <c r="AB605" s="75"/>
      <c r="AC605" s="75"/>
    </row>
    <row r="606" spans="1:29" ht="15.75" hidden="1" customHeight="1" x14ac:dyDescent="0.2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  <c r="AA606" s="75"/>
      <c r="AB606" s="75"/>
      <c r="AC606" s="75"/>
    </row>
    <row r="607" spans="1:29" ht="15.75" hidden="1" customHeight="1" x14ac:dyDescent="0.2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  <c r="AA607" s="75"/>
      <c r="AB607" s="75"/>
      <c r="AC607" s="75"/>
    </row>
    <row r="608" spans="1:29" ht="15.75" hidden="1" customHeight="1" x14ac:dyDescent="0.2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  <c r="AA608" s="75"/>
      <c r="AB608" s="75"/>
      <c r="AC608" s="75"/>
    </row>
    <row r="609" spans="1:29" ht="15.75" hidden="1" customHeight="1" x14ac:dyDescent="0.2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  <c r="AA609" s="75"/>
      <c r="AB609" s="75"/>
      <c r="AC609" s="75"/>
    </row>
    <row r="610" spans="1:29" ht="15.75" hidden="1" customHeight="1" x14ac:dyDescent="0.2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  <c r="AA610" s="75"/>
      <c r="AB610" s="75"/>
      <c r="AC610" s="75"/>
    </row>
    <row r="611" spans="1:29" ht="15.75" hidden="1" customHeight="1" x14ac:dyDescent="0.2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  <c r="AA611" s="75"/>
      <c r="AB611" s="75"/>
      <c r="AC611" s="75"/>
    </row>
    <row r="612" spans="1:29" ht="15.75" hidden="1" customHeight="1" x14ac:dyDescent="0.2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  <c r="AA612" s="75"/>
      <c r="AB612" s="75"/>
      <c r="AC612" s="75"/>
    </row>
    <row r="613" spans="1:29" ht="15.75" hidden="1" customHeight="1" x14ac:dyDescent="0.2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  <c r="AA613" s="75"/>
      <c r="AB613" s="75"/>
      <c r="AC613" s="75"/>
    </row>
    <row r="614" spans="1:29" ht="15.75" hidden="1" customHeight="1" x14ac:dyDescent="0.2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  <c r="AA614" s="75"/>
      <c r="AB614" s="75"/>
      <c r="AC614" s="75"/>
    </row>
    <row r="615" spans="1:29" ht="15.75" hidden="1" customHeight="1" x14ac:dyDescent="0.2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  <c r="AA615" s="75"/>
      <c r="AB615" s="75"/>
      <c r="AC615" s="75"/>
    </row>
    <row r="616" spans="1:29" ht="15.75" hidden="1" customHeight="1" x14ac:dyDescent="0.2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  <c r="AA616" s="75"/>
      <c r="AB616" s="75"/>
      <c r="AC616" s="75"/>
    </row>
    <row r="617" spans="1:29" ht="15.75" hidden="1" customHeight="1" x14ac:dyDescent="0.2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  <c r="AA617" s="75"/>
      <c r="AB617" s="75"/>
      <c r="AC617" s="75"/>
    </row>
    <row r="618" spans="1:29" ht="15.75" hidden="1" customHeight="1" x14ac:dyDescent="0.2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  <c r="AA618" s="75"/>
      <c r="AB618" s="75"/>
      <c r="AC618" s="75"/>
    </row>
    <row r="619" spans="1:29" ht="15.75" hidden="1" customHeight="1" x14ac:dyDescent="0.2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  <c r="AA619" s="75"/>
      <c r="AB619" s="75"/>
      <c r="AC619" s="75"/>
    </row>
    <row r="620" spans="1:29" ht="15.75" hidden="1" customHeight="1" x14ac:dyDescent="0.2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  <c r="AA620" s="75"/>
      <c r="AB620" s="75"/>
      <c r="AC620" s="75"/>
    </row>
    <row r="621" spans="1:29" ht="15.75" hidden="1" customHeight="1" x14ac:dyDescent="0.2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  <c r="AA621" s="75"/>
      <c r="AB621" s="75"/>
      <c r="AC621" s="75"/>
    </row>
    <row r="622" spans="1:29" ht="15.75" hidden="1" customHeight="1" x14ac:dyDescent="0.2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  <c r="AA622" s="75"/>
      <c r="AB622" s="75"/>
      <c r="AC622" s="75"/>
    </row>
    <row r="623" spans="1:29" ht="15.75" hidden="1" customHeight="1" x14ac:dyDescent="0.2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  <c r="AA623" s="75"/>
      <c r="AB623" s="75"/>
      <c r="AC623" s="75"/>
    </row>
    <row r="624" spans="1:29" ht="15.75" hidden="1" customHeight="1" x14ac:dyDescent="0.2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  <c r="AA624" s="75"/>
      <c r="AB624" s="75"/>
      <c r="AC624" s="75"/>
    </row>
    <row r="625" spans="1:29" ht="15.75" hidden="1" customHeight="1" x14ac:dyDescent="0.2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  <c r="AA625" s="75"/>
      <c r="AB625" s="75"/>
      <c r="AC625" s="75"/>
    </row>
    <row r="626" spans="1:29" ht="15.75" hidden="1" customHeight="1" x14ac:dyDescent="0.2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  <c r="AA626" s="75"/>
      <c r="AB626" s="75"/>
      <c r="AC626" s="75"/>
    </row>
    <row r="627" spans="1:29" ht="15.75" hidden="1" customHeight="1" x14ac:dyDescent="0.2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  <c r="AA627" s="75"/>
      <c r="AB627" s="75"/>
      <c r="AC627" s="75"/>
    </row>
    <row r="628" spans="1:29" ht="15.75" hidden="1" customHeight="1" x14ac:dyDescent="0.2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  <c r="AA628" s="75"/>
      <c r="AB628" s="75"/>
      <c r="AC628" s="75"/>
    </row>
    <row r="629" spans="1:29" ht="15.75" hidden="1" customHeight="1" x14ac:dyDescent="0.2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  <c r="AA629" s="75"/>
      <c r="AB629" s="75"/>
      <c r="AC629" s="75"/>
    </row>
    <row r="630" spans="1:29" ht="15.75" hidden="1" customHeight="1" x14ac:dyDescent="0.2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  <c r="AA630" s="75"/>
      <c r="AB630" s="75"/>
      <c r="AC630" s="75"/>
    </row>
    <row r="631" spans="1:29" ht="15.75" hidden="1" customHeight="1" x14ac:dyDescent="0.2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  <c r="AA631" s="75"/>
      <c r="AB631" s="75"/>
      <c r="AC631" s="75"/>
    </row>
    <row r="632" spans="1:29" ht="15.75" hidden="1" customHeight="1" x14ac:dyDescent="0.2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  <c r="AA632" s="75"/>
      <c r="AB632" s="75"/>
      <c r="AC632" s="75"/>
    </row>
    <row r="633" spans="1:29" ht="15.75" hidden="1" customHeight="1" x14ac:dyDescent="0.2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  <c r="AA633" s="75"/>
      <c r="AB633" s="75"/>
      <c r="AC633" s="75"/>
    </row>
    <row r="634" spans="1:29" ht="15.75" hidden="1" customHeight="1" x14ac:dyDescent="0.2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  <c r="AA634" s="75"/>
      <c r="AB634" s="75"/>
      <c r="AC634" s="75"/>
    </row>
    <row r="635" spans="1:29" ht="15.75" hidden="1" customHeight="1" x14ac:dyDescent="0.2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  <c r="AA635" s="75"/>
      <c r="AB635" s="75"/>
      <c r="AC635" s="75"/>
    </row>
    <row r="636" spans="1:29" ht="15.75" hidden="1" customHeight="1" x14ac:dyDescent="0.2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  <c r="AA636" s="75"/>
      <c r="AB636" s="75"/>
      <c r="AC636" s="75"/>
    </row>
    <row r="637" spans="1:29" ht="15.75" hidden="1" customHeight="1" x14ac:dyDescent="0.2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  <c r="AA637" s="75"/>
      <c r="AB637" s="75"/>
      <c r="AC637" s="75"/>
    </row>
    <row r="638" spans="1:29" ht="15.75" hidden="1" customHeight="1" x14ac:dyDescent="0.2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  <c r="AA638" s="75"/>
      <c r="AB638" s="75"/>
      <c r="AC638" s="75"/>
    </row>
    <row r="639" spans="1:29" ht="15.75" hidden="1" customHeight="1" x14ac:dyDescent="0.2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  <c r="AA639" s="75"/>
      <c r="AB639" s="75"/>
      <c r="AC639" s="75"/>
    </row>
    <row r="640" spans="1:29" ht="15.75" hidden="1" customHeight="1" x14ac:dyDescent="0.2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  <c r="AA640" s="75"/>
      <c r="AB640" s="75"/>
      <c r="AC640" s="75"/>
    </row>
    <row r="641" spans="1:29" ht="15.75" hidden="1" customHeight="1" x14ac:dyDescent="0.2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  <c r="AA641" s="75"/>
      <c r="AB641" s="75"/>
      <c r="AC641" s="75"/>
    </row>
    <row r="642" spans="1:29" ht="15.75" hidden="1" customHeight="1" x14ac:dyDescent="0.2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  <c r="AA642" s="75"/>
      <c r="AB642" s="75"/>
      <c r="AC642" s="75"/>
    </row>
    <row r="643" spans="1:29" ht="15.75" hidden="1" customHeight="1" x14ac:dyDescent="0.2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  <c r="AA643" s="75"/>
      <c r="AB643" s="75"/>
      <c r="AC643" s="75"/>
    </row>
    <row r="644" spans="1:29" ht="15.75" hidden="1" customHeight="1" x14ac:dyDescent="0.2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  <c r="AA644" s="75"/>
      <c r="AB644" s="75"/>
      <c r="AC644" s="75"/>
    </row>
    <row r="645" spans="1:29" ht="15.75" hidden="1" customHeight="1" x14ac:dyDescent="0.2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  <c r="AA645" s="75"/>
      <c r="AB645" s="75"/>
      <c r="AC645" s="75"/>
    </row>
    <row r="646" spans="1:29" ht="15.75" hidden="1" customHeight="1" x14ac:dyDescent="0.2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  <c r="AA646" s="75"/>
      <c r="AB646" s="75"/>
      <c r="AC646" s="75"/>
    </row>
    <row r="647" spans="1:29" ht="15.75" hidden="1" customHeight="1" x14ac:dyDescent="0.2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  <c r="AA647" s="75"/>
      <c r="AB647" s="75"/>
      <c r="AC647" s="75"/>
    </row>
    <row r="648" spans="1:29" ht="15.75" hidden="1" customHeight="1" x14ac:dyDescent="0.2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  <c r="AA648" s="75"/>
      <c r="AB648" s="75"/>
      <c r="AC648" s="75"/>
    </row>
    <row r="649" spans="1:29" ht="15.75" hidden="1" customHeight="1" x14ac:dyDescent="0.2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  <c r="AA649" s="75"/>
      <c r="AB649" s="75"/>
      <c r="AC649" s="75"/>
    </row>
    <row r="650" spans="1:29" ht="15.75" hidden="1" customHeight="1" x14ac:dyDescent="0.2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  <c r="AA650" s="75"/>
      <c r="AB650" s="75"/>
      <c r="AC650" s="75"/>
    </row>
    <row r="651" spans="1:29" ht="15.75" hidden="1" customHeight="1" x14ac:dyDescent="0.2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  <c r="AA651" s="75"/>
      <c r="AB651" s="75"/>
      <c r="AC651" s="75"/>
    </row>
    <row r="652" spans="1:29" ht="15.75" hidden="1" customHeight="1" x14ac:dyDescent="0.2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  <c r="AA652" s="75"/>
      <c r="AB652" s="75"/>
      <c r="AC652" s="75"/>
    </row>
    <row r="653" spans="1:29" ht="15.75" hidden="1" customHeight="1" x14ac:dyDescent="0.2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  <c r="AA653" s="75"/>
      <c r="AB653" s="75"/>
      <c r="AC653" s="75"/>
    </row>
    <row r="654" spans="1:29" ht="15.75" hidden="1" customHeight="1" x14ac:dyDescent="0.2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  <c r="AA654" s="75"/>
      <c r="AB654" s="75"/>
      <c r="AC654" s="75"/>
    </row>
    <row r="655" spans="1:29" ht="15.75" hidden="1" customHeight="1" x14ac:dyDescent="0.2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  <c r="AA655" s="75"/>
      <c r="AB655" s="75"/>
      <c r="AC655" s="75"/>
    </row>
    <row r="656" spans="1:29" ht="15.75" hidden="1" customHeight="1" x14ac:dyDescent="0.2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  <c r="AA656" s="75"/>
      <c r="AB656" s="75"/>
      <c r="AC656" s="75"/>
    </row>
    <row r="657" spans="1:29" ht="15.75" hidden="1" customHeight="1" x14ac:dyDescent="0.2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  <c r="AA657" s="75"/>
      <c r="AB657" s="75"/>
      <c r="AC657" s="75"/>
    </row>
    <row r="658" spans="1:29" ht="15.75" hidden="1" customHeight="1" x14ac:dyDescent="0.2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  <c r="AA658" s="75"/>
      <c r="AB658" s="75"/>
      <c r="AC658" s="75"/>
    </row>
    <row r="659" spans="1:29" ht="15.75" hidden="1" customHeight="1" x14ac:dyDescent="0.2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  <c r="AA659" s="75"/>
      <c r="AB659" s="75"/>
      <c r="AC659" s="75"/>
    </row>
    <row r="660" spans="1:29" ht="15.75" hidden="1" customHeight="1" x14ac:dyDescent="0.2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  <c r="AA660" s="75"/>
      <c r="AB660" s="75"/>
      <c r="AC660" s="75"/>
    </row>
    <row r="661" spans="1:29" ht="15.75" hidden="1" customHeight="1" x14ac:dyDescent="0.2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  <c r="AA661" s="75"/>
      <c r="AB661" s="75"/>
      <c r="AC661" s="75"/>
    </row>
    <row r="662" spans="1:29" ht="15.75" hidden="1" customHeight="1" x14ac:dyDescent="0.2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  <c r="AA662" s="75"/>
      <c r="AB662" s="75"/>
      <c r="AC662" s="75"/>
    </row>
    <row r="663" spans="1:29" ht="15.75" hidden="1" customHeight="1" x14ac:dyDescent="0.2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  <c r="AA663" s="75"/>
      <c r="AB663" s="75"/>
      <c r="AC663" s="75"/>
    </row>
    <row r="664" spans="1:29" ht="15.75" hidden="1" customHeight="1" x14ac:dyDescent="0.2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  <c r="AA664" s="75"/>
      <c r="AB664" s="75"/>
      <c r="AC664" s="75"/>
    </row>
    <row r="665" spans="1:29" ht="15.75" hidden="1" customHeight="1" x14ac:dyDescent="0.2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  <c r="AA665" s="75"/>
      <c r="AB665" s="75"/>
      <c r="AC665" s="75"/>
    </row>
    <row r="666" spans="1:29" ht="15.75" hidden="1" customHeight="1" x14ac:dyDescent="0.2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  <c r="AA666" s="75"/>
      <c r="AB666" s="75"/>
      <c r="AC666" s="75"/>
    </row>
    <row r="667" spans="1:29" ht="15.75" hidden="1" customHeight="1" x14ac:dyDescent="0.2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  <c r="AA667" s="75"/>
      <c r="AB667" s="75"/>
      <c r="AC667" s="75"/>
    </row>
    <row r="668" spans="1:29" ht="15.75" hidden="1" customHeight="1" x14ac:dyDescent="0.2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  <c r="AA668" s="75"/>
      <c r="AB668" s="75"/>
      <c r="AC668" s="75"/>
    </row>
    <row r="669" spans="1:29" ht="15.75" hidden="1" customHeight="1" x14ac:dyDescent="0.2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  <c r="AA669" s="75"/>
      <c r="AB669" s="75"/>
      <c r="AC669" s="75"/>
    </row>
    <row r="670" spans="1:29" ht="15.75" hidden="1" customHeight="1" x14ac:dyDescent="0.2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  <c r="AA670" s="75"/>
      <c r="AB670" s="75"/>
      <c r="AC670" s="75"/>
    </row>
    <row r="671" spans="1:29" ht="15.75" hidden="1" customHeight="1" x14ac:dyDescent="0.2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  <c r="AA671" s="75"/>
      <c r="AB671" s="75"/>
      <c r="AC671" s="75"/>
    </row>
    <row r="672" spans="1:29" ht="15.75" hidden="1" customHeight="1" x14ac:dyDescent="0.2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  <c r="AA672" s="75"/>
      <c r="AB672" s="75"/>
      <c r="AC672" s="75"/>
    </row>
    <row r="673" spans="1:29" ht="15.75" hidden="1" customHeight="1" x14ac:dyDescent="0.2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  <c r="AA673" s="75"/>
      <c r="AB673" s="75"/>
      <c r="AC673" s="75"/>
    </row>
    <row r="674" spans="1:29" ht="15.75" hidden="1" customHeight="1" x14ac:dyDescent="0.2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  <c r="AA674" s="75"/>
      <c r="AB674" s="75"/>
      <c r="AC674" s="75"/>
    </row>
    <row r="675" spans="1:29" ht="15.75" hidden="1" customHeight="1" x14ac:dyDescent="0.2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  <c r="AA675" s="75"/>
      <c r="AB675" s="75"/>
      <c r="AC675" s="75"/>
    </row>
    <row r="676" spans="1:29" ht="15.75" hidden="1" customHeight="1" x14ac:dyDescent="0.2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  <c r="AA676" s="75"/>
      <c r="AB676" s="75"/>
      <c r="AC676" s="75"/>
    </row>
    <row r="677" spans="1:29" ht="15.75" hidden="1" customHeight="1" x14ac:dyDescent="0.2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  <c r="AA677" s="75"/>
      <c r="AB677" s="75"/>
      <c r="AC677" s="75"/>
    </row>
    <row r="678" spans="1:29" ht="15.75" hidden="1" customHeight="1" x14ac:dyDescent="0.2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  <c r="AA678" s="75"/>
      <c r="AB678" s="75"/>
      <c r="AC678" s="75"/>
    </row>
    <row r="679" spans="1:29" ht="15.75" hidden="1" customHeight="1" x14ac:dyDescent="0.2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  <c r="AA679" s="75"/>
      <c r="AB679" s="75"/>
      <c r="AC679" s="75"/>
    </row>
    <row r="680" spans="1:29" ht="15.75" hidden="1" customHeight="1" x14ac:dyDescent="0.2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  <c r="AA680" s="75"/>
      <c r="AB680" s="75"/>
      <c r="AC680" s="75"/>
    </row>
    <row r="681" spans="1:29" ht="15.75" hidden="1" customHeight="1" x14ac:dyDescent="0.2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  <c r="AA681" s="75"/>
      <c r="AB681" s="75"/>
      <c r="AC681" s="75"/>
    </row>
    <row r="682" spans="1:29" ht="15.75" hidden="1" customHeight="1" x14ac:dyDescent="0.2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  <c r="AA682" s="75"/>
      <c r="AB682" s="75"/>
      <c r="AC682" s="75"/>
    </row>
    <row r="683" spans="1:29" ht="15.75" hidden="1" customHeight="1" x14ac:dyDescent="0.2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  <c r="AA683" s="75"/>
      <c r="AB683" s="75"/>
      <c r="AC683" s="75"/>
    </row>
    <row r="684" spans="1:29" ht="15.75" hidden="1" customHeight="1" x14ac:dyDescent="0.2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  <c r="AA684" s="75"/>
      <c r="AB684" s="75"/>
      <c r="AC684" s="75"/>
    </row>
    <row r="685" spans="1:29" ht="15.75" hidden="1" customHeight="1" x14ac:dyDescent="0.2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  <c r="AA685" s="75"/>
      <c r="AB685" s="75"/>
      <c r="AC685" s="75"/>
    </row>
    <row r="686" spans="1:29" ht="15.75" hidden="1" customHeight="1" x14ac:dyDescent="0.2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  <c r="AA686" s="75"/>
      <c r="AB686" s="75"/>
      <c r="AC686" s="75"/>
    </row>
    <row r="687" spans="1:29" ht="15.75" hidden="1" customHeight="1" x14ac:dyDescent="0.2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  <c r="AA687" s="75"/>
      <c r="AB687" s="75"/>
      <c r="AC687" s="75"/>
    </row>
    <row r="688" spans="1:29" ht="15.75" hidden="1" customHeight="1" x14ac:dyDescent="0.2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  <c r="AA688" s="75"/>
      <c r="AB688" s="75"/>
      <c r="AC688" s="75"/>
    </row>
    <row r="689" spans="1:29" ht="15.75" hidden="1" customHeight="1" x14ac:dyDescent="0.2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  <c r="AA689" s="75"/>
      <c r="AB689" s="75"/>
      <c r="AC689" s="75"/>
    </row>
    <row r="690" spans="1:29" ht="15.75" hidden="1" customHeight="1" x14ac:dyDescent="0.2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  <c r="AA690" s="75"/>
      <c r="AB690" s="75"/>
      <c r="AC690" s="75"/>
    </row>
    <row r="691" spans="1:29" ht="15.75" hidden="1" customHeight="1" x14ac:dyDescent="0.2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  <c r="AA691" s="75"/>
      <c r="AB691" s="75"/>
      <c r="AC691" s="75"/>
    </row>
    <row r="692" spans="1:29" ht="15.75" hidden="1" customHeight="1" x14ac:dyDescent="0.2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  <c r="AA692" s="75"/>
      <c r="AB692" s="75"/>
      <c r="AC692" s="75"/>
    </row>
    <row r="693" spans="1:29" ht="15.75" hidden="1" customHeight="1" x14ac:dyDescent="0.2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  <c r="AA693" s="75"/>
      <c r="AB693" s="75"/>
      <c r="AC693" s="75"/>
    </row>
    <row r="694" spans="1:29" ht="15.75" hidden="1" customHeight="1" x14ac:dyDescent="0.2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  <c r="AA694" s="75"/>
      <c r="AB694" s="75"/>
      <c r="AC694" s="75"/>
    </row>
    <row r="695" spans="1:29" ht="15.75" hidden="1" customHeight="1" x14ac:dyDescent="0.2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  <c r="AA695" s="75"/>
      <c r="AB695" s="75"/>
      <c r="AC695" s="75"/>
    </row>
    <row r="696" spans="1:29" ht="15.75" hidden="1" customHeight="1" x14ac:dyDescent="0.2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  <c r="AA696" s="75"/>
      <c r="AB696" s="75"/>
      <c r="AC696" s="75"/>
    </row>
    <row r="697" spans="1:29" ht="15.75" hidden="1" customHeight="1" x14ac:dyDescent="0.2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  <c r="AA697" s="75"/>
      <c r="AB697" s="75"/>
      <c r="AC697" s="75"/>
    </row>
    <row r="698" spans="1:29" ht="15.75" hidden="1" customHeight="1" x14ac:dyDescent="0.2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  <c r="AA698" s="75"/>
      <c r="AB698" s="75"/>
      <c r="AC698" s="75"/>
    </row>
    <row r="699" spans="1:29" ht="15.75" hidden="1" customHeight="1" x14ac:dyDescent="0.2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  <c r="AA699" s="75"/>
      <c r="AB699" s="75"/>
      <c r="AC699" s="75"/>
    </row>
    <row r="700" spans="1:29" ht="15.75" hidden="1" customHeight="1" x14ac:dyDescent="0.2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  <c r="AA700" s="75"/>
      <c r="AB700" s="75"/>
      <c r="AC700" s="75"/>
    </row>
    <row r="701" spans="1:29" ht="15.75" hidden="1" customHeight="1" x14ac:dyDescent="0.2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  <c r="AA701" s="75"/>
      <c r="AB701" s="75"/>
      <c r="AC701" s="75"/>
    </row>
    <row r="702" spans="1:29" ht="15.75" hidden="1" customHeight="1" x14ac:dyDescent="0.2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  <c r="AA702" s="75"/>
      <c r="AB702" s="75"/>
      <c r="AC702" s="75"/>
    </row>
    <row r="703" spans="1:29" ht="15.75" hidden="1" customHeight="1" x14ac:dyDescent="0.2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  <c r="AA703" s="75"/>
      <c r="AB703" s="75"/>
      <c r="AC703" s="75"/>
    </row>
    <row r="704" spans="1:29" ht="15.75" hidden="1" customHeight="1" x14ac:dyDescent="0.2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  <c r="AA704" s="75"/>
      <c r="AB704" s="75"/>
      <c r="AC704" s="75"/>
    </row>
    <row r="705" spans="1:29" ht="15.75" hidden="1" customHeight="1" x14ac:dyDescent="0.2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  <c r="AA705" s="75"/>
      <c r="AB705" s="75"/>
      <c r="AC705" s="75"/>
    </row>
    <row r="706" spans="1:29" ht="15.75" hidden="1" customHeight="1" x14ac:dyDescent="0.2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  <c r="AA706" s="75"/>
      <c r="AB706" s="75"/>
      <c r="AC706" s="75"/>
    </row>
    <row r="707" spans="1:29" ht="15.75" hidden="1" customHeight="1" x14ac:dyDescent="0.2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  <c r="AA707" s="75"/>
      <c r="AB707" s="75"/>
      <c r="AC707" s="75"/>
    </row>
    <row r="708" spans="1:29" ht="15.75" hidden="1" customHeight="1" x14ac:dyDescent="0.2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  <c r="AA708" s="75"/>
      <c r="AB708" s="75"/>
      <c r="AC708" s="75"/>
    </row>
    <row r="709" spans="1:29" ht="15.75" hidden="1" customHeight="1" x14ac:dyDescent="0.2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  <c r="AA709" s="75"/>
      <c r="AB709" s="75"/>
      <c r="AC709" s="75"/>
    </row>
    <row r="710" spans="1:29" ht="15.75" hidden="1" customHeight="1" x14ac:dyDescent="0.2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  <c r="AA710" s="75"/>
      <c r="AB710" s="75"/>
      <c r="AC710" s="75"/>
    </row>
    <row r="711" spans="1:29" ht="15.75" hidden="1" customHeight="1" x14ac:dyDescent="0.2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  <c r="AA711" s="75"/>
      <c r="AB711" s="75"/>
      <c r="AC711" s="75"/>
    </row>
    <row r="712" spans="1:29" ht="15.75" hidden="1" customHeight="1" x14ac:dyDescent="0.2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  <c r="AA712" s="75"/>
      <c r="AB712" s="75"/>
      <c r="AC712" s="75"/>
    </row>
    <row r="713" spans="1:29" ht="15.75" hidden="1" customHeight="1" x14ac:dyDescent="0.2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  <c r="AA713" s="75"/>
      <c r="AB713" s="75"/>
      <c r="AC713" s="75"/>
    </row>
    <row r="714" spans="1:29" ht="15.75" hidden="1" customHeight="1" x14ac:dyDescent="0.2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  <c r="AA714" s="75"/>
      <c r="AB714" s="75"/>
      <c r="AC714" s="75"/>
    </row>
    <row r="715" spans="1:29" ht="15.75" hidden="1" customHeight="1" x14ac:dyDescent="0.2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  <c r="AA715" s="75"/>
      <c r="AB715" s="75"/>
      <c r="AC715" s="75"/>
    </row>
    <row r="716" spans="1:29" ht="15.75" hidden="1" customHeight="1" x14ac:dyDescent="0.2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  <c r="AA716" s="75"/>
      <c r="AB716" s="75"/>
      <c r="AC716" s="75"/>
    </row>
    <row r="717" spans="1:29" ht="15.75" hidden="1" customHeight="1" x14ac:dyDescent="0.2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  <c r="AA717" s="75"/>
      <c r="AB717" s="75"/>
      <c r="AC717" s="75"/>
    </row>
    <row r="718" spans="1:29" ht="15.75" hidden="1" customHeight="1" x14ac:dyDescent="0.2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  <c r="AA718" s="75"/>
      <c r="AB718" s="75"/>
      <c r="AC718" s="75"/>
    </row>
    <row r="719" spans="1:29" ht="15.75" hidden="1" customHeight="1" x14ac:dyDescent="0.2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  <c r="AA719" s="75"/>
      <c r="AB719" s="75"/>
      <c r="AC719" s="75"/>
    </row>
    <row r="720" spans="1:29" ht="15.75" hidden="1" customHeight="1" x14ac:dyDescent="0.2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  <c r="AA720" s="75"/>
      <c r="AB720" s="75"/>
      <c r="AC720" s="75"/>
    </row>
    <row r="721" spans="1:29" ht="15.75" hidden="1" customHeight="1" x14ac:dyDescent="0.2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  <c r="AA721" s="75"/>
      <c r="AB721" s="75"/>
      <c r="AC721" s="75"/>
    </row>
    <row r="722" spans="1:29" ht="15.75" hidden="1" customHeight="1" x14ac:dyDescent="0.2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  <c r="AA722" s="75"/>
      <c r="AB722" s="75"/>
      <c r="AC722" s="75"/>
    </row>
    <row r="723" spans="1:29" ht="15.75" hidden="1" customHeight="1" x14ac:dyDescent="0.2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  <c r="AA723" s="75"/>
      <c r="AB723" s="75"/>
      <c r="AC723" s="75"/>
    </row>
    <row r="724" spans="1:29" ht="15.75" hidden="1" customHeight="1" x14ac:dyDescent="0.2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  <c r="AA724" s="75"/>
      <c r="AB724" s="75"/>
      <c r="AC724" s="75"/>
    </row>
    <row r="725" spans="1:29" ht="15.75" hidden="1" customHeight="1" x14ac:dyDescent="0.2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  <c r="AA725" s="75"/>
      <c r="AB725" s="75"/>
      <c r="AC725" s="75"/>
    </row>
    <row r="726" spans="1:29" ht="15.75" hidden="1" customHeight="1" x14ac:dyDescent="0.2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  <c r="AA726" s="75"/>
      <c r="AB726" s="75"/>
      <c r="AC726" s="75"/>
    </row>
    <row r="727" spans="1:29" ht="15.75" hidden="1" customHeight="1" x14ac:dyDescent="0.2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  <c r="AA727" s="75"/>
      <c r="AB727" s="75"/>
      <c r="AC727" s="75"/>
    </row>
    <row r="728" spans="1:29" ht="15.75" hidden="1" customHeight="1" x14ac:dyDescent="0.2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  <c r="AA728" s="75"/>
      <c r="AB728" s="75"/>
      <c r="AC728" s="75"/>
    </row>
    <row r="729" spans="1:29" ht="15.75" hidden="1" customHeight="1" x14ac:dyDescent="0.2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  <c r="AA729" s="75"/>
      <c r="AB729" s="75"/>
      <c r="AC729" s="75"/>
    </row>
    <row r="730" spans="1:29" ht="15.75" hidden="1" customHeight="1" x14ac:dyDescent="0.2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  <c r="AA730" s="75"/>
      <c r="AB730" s="75"/>
      <c r="AC730" s="75"/>
    </row>
    <row r="731" spans="1:29" ht="15.75" hidden="1" customHeight="1" x14ac:dyDescent="0.2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  <c r="AA731" s="75"/>
      <c r="AB731" s="75"/>
      <c r="AC731" s="75"/>
    </row>
    <row r="732" spans="1:29" ht="15.75" hidden="1" customHeight="1" x14ac:dyDescent="0.2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  <c r="AA732" s="75"/>
      <c r="AB732" s="75"/>
      <c r="AC732" s="75"/>
    </row>
    <row r="733" spans="1:29" ht="15.75" hidden="1" customHeight="1" x14ac:dyDescent="0.2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  <c r="AA733" s="75"/>
      <c r="AB733" s="75"/>
      <c r="AC733" s="75"/>
    </row>
    <row r="734" spans="1:29" ht="15.75" hidden="1" customHeight="1" x14ac:dyDescent="0.2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  <c r="AA734" s="75"/>
      <c r="AB734" s="75"/>
      <c r="AC734" s="75"/>
    </row>
    <row r="735" spans="1:29" ht="15.75" hidden="1" customHeight="1" x14ac:dyDescent="0.2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  <c r="AA735" s="75"/>
      <c r="AB735" s="75"/>
      <c r="AC735" s="75"/>
    </row>
    <row r="736" spans="1:29" ht="15.75" hidden="1" customHeight="1" x14ac:dyDescent="0.2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  <c r="AA736" s="75"/>
      <c r="AB736" s="75"/>
      <c r="AC736" s="75"/>
    </row>
    <row r="737" spans="1:29" ht="15.75" hidden="1" customHeight="1" x14ac:dyDescent="0.2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  <c r="AA737" s="75"/>
      <c r="AB737" s="75"/>
      <c r="AC737" s="75"/>
    </row>
    <row r="738" spans="1:29" ht="15.75" hidden="1" customHeight="1" x14ac:dyDescent="0.2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  <c r="AA738" s="75"/>
      <c r="AB738" s="75"/>
      <c r="AC738" s="75"/>
    </row>
    <row r="739" spans="1:29" ht="15.75" hidden="1" customHeight="1" x14ac:dyDescent="0.2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  <c r="AA739" s="75"/>
      <c r="AB739" s="75"/>
      <c r="AC739" s="75"/>
    </row>
    <row r="740" spans="1:29" ht="15.75" hidden="1" customHeight="1" x14ac:dyDescent="0.2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  <c r="AA740" s="75"/>
      <c r="AB740" s="75"/>
      <c r="AC740" s="75"/>
    </row>
    <row r="741" spans="1:29" ht="15.75" hidden="1" customHeight="1" x14ac:dyDescent="0.2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  <c r="AA741" s="75"/>
      <c r="AB741" s="75"/>
      <c r="AC741" s="75"/>
    </row>
    <row r="742" spans="1:29" ht="15.75" hidden="1" customHeight="1" x14ac:dyDescent="0.2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  <c r="AA742" s="75"/>
      <c r="AB742" s="75"/>
      <c r="AC742" s="75"/>
    </row>
    <row r="743" spans="1:29" ht="15.75" hidden="1" customHeight="1" x14ac:dyDescent="0.2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  <c r="AA743" s="75"/>
      <c r="AB743" s="75"/>
      <c r="AC743" s="75"/>
    </row>
    <row r="744" spans="1:29" ht="15.75" hidden="1" customHeight="1" x14ac:dyDescent="0.2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  <c r="AA744" s="75"/>
      <c r="AB744" s="75"/>
      <c r="AC744" s="75"/>
    </row>
    <row r="745" spans="1:29" ht="15.75" hidden="1" customHeight="1" x14ac:dyDescent="0.2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  <c r="AA745" s="75"/>
      <c r="AB745" s="75"/>
      <c r="AC745" s="75"/>
    </row>
    <row r="746" spans="1:29" ht="15.75" hidden="1" customHeight="1" x14ac:dyDescent="0.2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  <c r="AA746" s="75"/>
      <c r="AB746" s="75"/>
      <c r="AC746" s="75"/>
    </row>
    <row r="747" spans="1:29" ht="15.75" hidden="1" customHeight="1" x14ac:dyDescent="0.2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  <c r="AA747" s="75"/>
      <c r="AB747" s="75"/>
      <c r="AC747" s="75"/>
    </row>
    <row r="748" spans="1:29" ht="15.75" hidden="1" customHeight="1" x14ac:dyDescent="0.2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  <c r="AA748" s="75"/>
      <c r="AB748" s="75"/>
      <c r="AC748" s="75"/>
    </row>
    <row r="749" spans="1:29" ht="15.75" hidden="1" customHeight="1" x14ac:dyDescent="0.2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  <c r="AA749" s="75"/>
      <c r="AB749" s="75"/>
      <c r="AC749" s="75"/>
    </row>
    <row r="750" spans="1:29" ht="15.75" hidden="1" customHeight="1" x14ac:dyDescent="0.2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  <c r="AA750" s="75"/>
      <c r="AB750" s="75"/>
      <c r="AC750" s="75"/>
    </row>
    <row r="751" spans="1:29" ht="15.75" hidden="1" customHeight="1" x14ac:dyDescent="0.2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  <c r="AA751" s="75"/>
      <c r="AB751" s="75"/>
      <c r="AC751" s="75"/>
    </row>
    <row r="752" spans="1:29" ht="15.75" hidden="1" customHeight="1" x14ac:dyDescent="0.2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  <c r="AA752" s="75"/>
      <c r="AB752" s="75"/>
      <c r="AC752" s="75"/>
    </row>
    <row r="753" spans="1:29" ht="15.75" hidden="1" customHeight="1" x14ac:dyDescent="0.2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  <c r="AA753" s="75"/>
      <c r="AB753" s="75"/>
      <c r="AC753" s="75"/>
    </row>
    <row r="754" spans="1:29" ht="15.75" hidden="1" customHeight="1" x14ac:dyDescent="0.2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  <c r="AA754" s="75"/>
      <c r="AB754" s="75"/>
      <c r="AC754" s="75"/>
    </row>
    <row r="755" spans="1:29" ht="15.75" hidden="1" customHeight="1" x14ac:dyDescent="0.2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  <c r="AA755" s="75"/>
      <c r="AB755" s="75"/>
      <c r="AC755" s="75"/>
    </row>
    <row r="756" spans="1:29" ht="15.75" hidden="1" customHeight="1" x14ac:dyDescent="0.2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  <c r="AA756" s="75"/>
      <c r="AB756" s="75"/>
      <c r="AC756" s="75"/>
    </row>
    <row r="757" spans="1:29" ht="15.75" hidden="1" customHeight="1" x14ac:dyDescent="0.2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  <c r="AA757" s="75"/>
      <c r="AB757" s="75"/>
      <c r="AC757" s="75"/>
    </row>
    <row r="758" spans="1:29" ht="15.75" hidden="1" customHeight="1" x14ac:dyDescent="0.2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  <c r="AA758" s="75"/>
      <c r="AB758" s="75"/>
      <c r="AC758" s="75"/>
    </row>
    <row r="759" spans="1:29" ht="15.75" hidden="1" customHeight="1" x14ac:dyDescent="0.2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  <c r="AA759" s="75"/>
      <c r="AB759" s="75"/>
      <c r="AC759" s="75"/>
    </row>
    <row r="760" spans="1:29" ht="15.75" hidden="1" customHeight="1" x14ac:dyDescent="0.2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  <c r="AA760" s="75"/>
      <c r="AB760" s="75"/>
      <c r="AC760" s="75"/>
    </row>
    <row r="761" spans="1:29" ht="15.75" hidden="1" customHeight="1" x14ac:dyDescent="0.2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  <c r="AA761" s="75"/>
      <c r="AB761" s="75"/>
      <c r="AC761" s="75"/>
    </row>
    <row r="762" spans="1:29" ht="15.75" hidden="1" customHeight="1" x14ac:dyDescent="0.2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  <c r="AA762" s="75"/>
      <c r="AB762" s="75"/>
      <c r="AC762" s="75"/>
    </row>
    <row r="763" spans="1:29" ht="15.75" hidden="1" customHeight="1" x14ac:dyDescent="0.2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  <c r="AA763" s="75"/>
      <c r="AB763" s="75"/>
      <c r="AC763" s="75"/>
    </row>
    <row r="764" spans="1:29" ht="15.75" hidden="1" customHeight="1" x14ac:dyDescent="0.2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  <c r="AA764" s="75"/>
      <c r="AB764" s="75"/>
      <c r="AC764" s="75"/>
    </row>
    <row r="765" spans="1:29" ht="15.75" hidden="1" customHeight="1" x14ac:dyDescent="0.2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  <c r="AA765" s="75"/>
      <c r="AB765" s="75"/>
      <c r="AC765" s="75"/>
    </row>
    <row r="766" spans="1:29" ht="15.75" hidden="1" customHeight="1" x14ac:dyDescent="0.2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  <c r="AA766" s="75"/>
      <c r="AB766" s="75"/>
      <c r="AC766" s="75"/>
    </row>
    <row r="767" spans="1:29" ht="15.75" hidden="1" customHeight="1" x14ac:dyDescent="0.2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  <c r="AA767" s="75"/>
      <c r="AB767" s="75"/>
      <c r="AC767" s="75"/>
    </row>
    <row r="768" spans="1:29" ht="15.75" hidden="1" customHeight="1" x14ac:dyDescent="0.2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  <c r="AA768" s="75"/>
      <c r="AB768" s="75"/>
      <c r="AC768" s="75"/>
    </row>
    <row r="769" spans="1:29" ht="15.75" hidden="1" customHeight="1" x14ac:dyDescent="0.2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  <c r="AA769" s="75"/>
      <c r="AB769" s="75"/>
      <c r="AC769" s="75"/>
    </row>
    <row r="770" spans="1:29" ht="15.75" hidden="1" customHeight="1" x14ac:dyDescent="0.2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  <c r="AA770" s="75"/>
      <c r="AB770" s="75"/>
      <c r="AC770" s="75"/>
    </row>
    <row r="771" spans="1:29" ht="15.75" hidden="1" customHeight="1" x14ac:dyDescent="0.2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  <c r="AA771" s="75"/>
      <c r="AB771" s="75"/>
      <c r="AC771" s="75"/>
    </row>
    <row r="772" spans="1:29" ht="15.75" hidden="1" customHeight="1" x14ac:dyDescent="0.2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  <c r="AA772" s="75"/>
      <c r="AB772" s="75"/>
      <c r="AC772" s="75"/>
    </row>
    <row r="773" spans="1:29" ht="15.75" hidden="1" customHeight="1" x14ac:dyDescent="0.2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  <c r="AA773" s="75"/>
      <c r="AB773" s="75"/>
      <c r="AC773" s="75"/>
    </row>
    <row r="774" spans="1:29" ht="15.75" hidden="1" customHeight="1" x14ac:dyDescent="0.2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  <c r="AA774" s="75"/>
      <c r="AB774" s="75"/>
      <c r="AC774" s="75"/>
    </row>
    <row r="775" spans="1:29" ht="15.75" hidden="1" customHeight="1" x14ac:dyDescent="0.2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  <c r="AA775" s="75"/>
      <c r="AB775" s="75"/>
      <c r="AC775" s="75"/>
    </row>
    <row r="776" spans="1:29" ht="15.75" hidden="1" customHeight="1" x14ac:dyDescent="0.2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  <c r="AA776" s="75"/>
      <c r="AB776" s="75"/>
      <c r="AC776" s="75"/>
    </row>
    <row r="777" spans="1:29" ht="15.75" hidden="1" customHeight="1" x14ac:dyDescent="0.2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  <c r="AA777" s="75"/>
      <c r="AB777" s="75"/>
      <c r="AC777" s="75"/>
    </row>
    <row r="778" spans="1:29" ht="15.75" hidden="1" customHeight="1" x14ac:dyDescent="0.2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  <c r="AA778" s="75"/>
      <c r="AB778" s="75"/>
      <c r="AC778" s="75"/>
    </row>
    <row r="779" spans="1:29" ht="15.75" hidden="1" customHeight="1" x14ac:dyDescent="0.2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  <c r="AA779" s="75"/>
      <c r="AB779" s="75"/>
      <c r="AC779" s="75"/>
    </row>
    <row r="780" spans="1:29" ht="15.75" hidden="1" customHeight="1" x14ac:dyDescent="0.2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  <c r="AA780" s="75"/>
      <c r="AB780" s="75"/>
      <c r="AC780" s="75"/>
    </row>
    <row r="781" spans="1:29" ht="15.75" hidden="1" customHeight="1" x14ac:dyDescent="0.2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  <c r="AA781" s="75"/>
      <c r="AB781" s="75"/>
      <c r="AC781" s="75"/>
    </row>
    <row r="782" spans="1:29" ht="15.75" hidden="1" customHeight="1" x14ac:dyDescent="0.2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  <c r="AA782" s="75"/>
      <c r="AB782" s="75"/>
      <c r="AC782" s="75"/>
    </row>
    <row r="783" spans="1:29" ht="15.75" hidden="1" customHeight="1" x14ac:dyDescent="0.2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  <c r="AA783" s="75"/>
      <c r="AB783" s="75"/>
      <c r="AC783" s="75"/>
    </row>
    <row r="784" spans="1:29" ht="15.75" hidden="1" customHeight="1" x14ac:dyDescent="0.2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  <c r="AA784" s="75"/>
      <c r="AB784" s="75"/>
      <c r="AC784" s="75"/>
    </row>
    <row r="785" spans="1:29" ht="15.75" hidden="1" customHeight="1" x14ac:dyDescent="0.2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  <c r="AA785" s="75"/>
      <c r="AB785" s="75"/>
      <c r="AC785" s="75"/>
    </row>
    <row r="786" spans="1:29" ht="15.75" hidden="1" customHeight="1" x14ac:dyDescent="0.2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  <c r="AA786" s="75"/>
      <c r="AB786" s="75"/>
      <c r="AC786" s="75"/>
    </row>
    <row r="787" spans="1:29" ht="15.75" hidden="1" customHeight="1" x14ac:dyDescent="0.2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  <c r="AA787" s="75"/>
      <c r="AB787" s="75"/>
      <c r="AC787" s="75"/>
    </row>
    <row r="788" spans="1:29" ht="15.75" hidden="1" customHeight="1" x14ac:dyDescent="0.2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  <c r="AA788" s="75"/>
      <c r="AB788" s="75"/>
      <c r="AC788" s="75"/>
    </row>
    <row r="789" spans="1:29" ht="15.75" hidden="1" customHeight="1" x14ac:dyDescent="0.2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  <c r="AA789" s="75"/>
      <c r="AB789" s="75"/>
      <c r="AC789" s="75"/>
    </row>
    <row r="790" spans="1:29" ht="15.75" hidden="1" customHeight="1" x14ac:dyDescent="0.2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  <c r="AA790" s="75"/>
      <c r="AB790" s="75"/>
      <c r="AC790" s="75"/>
    </row>
    <row r="791" spans="1:29" ht="15.75" hidden="1" customHeight="1" x14ac:dyDescent="0.2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  <c r="AA791" s="75"/>
      <c r="AB791" s="75"/>
      <c r="AC791" s="75"/>
    </row>
    <row r="792" spans="1:29" ht="15.75" hidden="1" customHeight="1" x14ac:dyDescent="0.2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  <c r="AA792" s="75"/>
      <c r="AB792" s="75"/>
      <c r="AC792" s="75"/>
    </row>
    <row r="793" spans="1:29" ht="15.75" hidden="1" customHeight="1" x14ac:dyDescent="0.2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  <c r="AA793" s="75"/>
      <c r="AB793" s="75"/>
      <c r="AC793" s="75"/>
    </row>
    <row r="794" spans="1:29" ht="15.75" hidden="1" customHeight="1" x14ac:dyDescent="0.2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  <c r="AA794" s="75"/>
      <c r="AB794" s="75"/>
      <c r="AC794" s="75"/>
    </row>
    <row r="795" spans="1:29" ht="15.75" hidden="1" customHeight="1" x14ac:dyDescent="0.2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  <c r="AA795" s="75"/>
      <c r="AB795" s="75"/>
      <c r="AC795" s="75"/>
    </row>
    <row r="796" spans="1:29" ht="15.75" hidden="1" customHeight="1" x14ac:dyDescent="0.2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  <c r="AA796" s="75"/>
      <c r="AB796" s="75"/>
      <c r="AC796" s="75"/>
    </row>
    <row r="797" spans="1:29" ht="15.75" hidden="1" customHeight="1" x14ac:dyDescent="0.2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  <c r="AA797" s="75"/>
      <c r="AB797" s="75"/>
      <c r="AC797" s="75"/>
    </row>
    <row r="798" spans="1:29" ht="15.75" hidden="1" customHeight="1" x14ac:dyDescent="0.2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  <c r="AA798" s="75"/>
      <c r="AB798" s="75"/>
      <c r="AC798" s="75"/>
    </row>
    <row r="799" spans="1:29" ht="15.75" hidden="1" customHeight="1" x14ac:dyDescent="0.2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  <c r="AA799" s="75"/>
      <c r="AB799" s="75"/>
      <c r="AC799" s="75"/>
    </row>
    <row r="800" spans="1:29" ht="15.75" hidden="1" customHeight="1" x14ac:dyDescent="0.2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  <c r="AA800" s="75"/>
      <c r="AB800" s="75"/>
      <c r="AC800" s="75"/>
    </row>
    <row r="801" spans="1:29" ht="15.75" hidden="1" customHeight="1" x14ac:dyDescent="0.2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  <c r="AA801" s="75"/>
      <c r="AB801" s="75"/>
      <c r="AC801" s="75"/>
    </row>
    <row r="802" spans="1:29" ht="15.75" hidden="1" customHeight="1" x14ac:dyDescent="0.2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  <c r="AA802" s="75"/>
      <c r="AB802" s="75"/>
      <c r="AC802" s="75"/>
    </row>
    <row r="803" spans="1:29" ht="15.75" hidden="1" customHeight="1" x14ac:dyDescent="0.2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  <c r="AA803" s="75"/>
      <c r="AB803" s="75"/>
      <c r="AC803" s="75"/>
    </row>
    <row r="804" spans="1:29" ht="15.75" hidden="1" customHeight="1" x14ac:dyDescent="0.2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  <c r="AA804" s="75"/>
      <c r="AB804" s="75"/>
      <c r="AC804" s="75"/>
    </row>
    <row r="805" spans="1:29" ht="15.75" hidden="1" customHeight="1" x14ac:dyDescent="0.2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  <c r="AA805" s="75"/>
      <c r="AB805" s="75"/>
      <c r="AC805" s="75"/>
    </row>
    <row r="806" spans="1:29" ht="15.75" hidden="1" customHeight="1" x14ac:dyDescent="0.2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  <c r="AA806" s="75"/>
      <c r="AB806" s="75"/>
      <c r="AC806" s="75"/>
    </row>
    <row r="807" spans="1:29" ht="15.75" hidden="1" customHeight="1" x14ac:dyDescent="0.2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  <c r="AA807" s="75"/>
      <c r="AB807" s="75"/>
      <c r="AC807" s="75"/>
    </row>
    <row r="808" spans="1:29" ht="15.75" hidden="1" customHeight="1" x14ac:dyDescent="0.2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  <c r="AA808" s="75"/>
      <c r="AB808" s="75"/>
      <c r="AC808" s="75"/>
    </row>
    <row r="809" spans="1:29" ht="15.75" hidden="1" customHeight="1" x14ac:dyDescent="0.2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  <c r="AA809" s="75"/>
      <c r="AB809" s="75"/>
      <c r="AC809" s="75"/>
    </row>
    <row r="810" spans="1:29" ht="15.75" hidden="1" customHeight="1" x14ac:dyDescent="0.2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  <c r="AA810" s="75"/>
      <c r="AB810" s="75"/>
      <c r="AC810" s="75"/>
    </row>
    <row r="811" spans="1:29" ht="15.75" hidden="1" customHeight="1" x14ac:dyDescent="0.2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  <c r="AA811" s="75"/>
      <c r="AB811" s="75"/>
      <c r="AC811" s="75"/>
    </row>
    <row r="812" spans="1:29" ht="15.75" hidden="1" customHeight="1" x14ac:dyDescent="0.2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  <c r="AA812" s="75"/>
      <c r="AB812" s="75"/>
      <c r="AC812" s="75"/>
    </row>
    <row r="813" spans="1:29" ht="15.75" hidden="1" customHeight="1" x14ac:dyDescent="0.2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  <c r="AA813" s="75"/>
      <c r="AB813" s="75"/>
      <c r="AC813" s="75"/>
    </row>
    <row r="814" spans="1:29" ht="15.75" hidden="1" customHeight="1" x14ac:dyDescent="0.2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  <c r="AA814" s="75"/>
      <c r="AB814" s="75"/>
      <c r="AC814" s="75"/>
    </row>
    <row r="815" spans="1:29" ht="15.75" hidden="1" customHeight="1" x14ac:dyDescent="0.2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  <c r="AA815" s="75"/>
      <c r="AB815" s="75"/>
      <c r="AC815" s="75"/>
    </row>
    <row r="816" spans="1:29" ht="15.75" hidden="1" customHeight="1" x14ac:dyDescent="0.2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  <c r="AA816" s="75"/>
      <c r="AB816" s="75"/>
      <c r="AC816" s="75"/>
    </row>
    <row r="817" spans="1:29" ht="15.75" hidden="1" customHeight="1" x14ac:dyDescent="0.2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  <c r="AA817" s="75"/>
      <c r="AB817" s="75"/>
      <c r="AC817" s="75"/>
    </row>
    <row r="818" spans="1:29" ht="15.75" hidden="1" customHeight="1" x14ac:dyDescent="0.2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  <c r="AA818" s="75"/>
      <c r="AB818" s="75"/>
      <c r="AC818" s="75"/>
    </row>
    <row r="819" spans="1:29" ht="15.75" hidden="1" customHeight="1" x14ac:dyDescent="0.2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  <c r="AA819" s="75"/>
      <c r="AB819" s="75"/>
      <c r="AC819" s="75"/>
    </row>
    <row r="820" spans="1:29" ht="15.75" hidden="1" customHeight="1" x14ac:dyDescent="0.2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  <c r="AA820" s="75"/>
      <c r="AB820" s="75"/>
      <c r="AC820" s="75"/>
    </row>
    <row r="821" spans="1:29" ht="15.75" hidden="1" customHeight="1" x14ac:dyDescent="0.2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  <c r="AA821" s="75"/>
      <c r="AB821" s="75"/>
      <c r="AC821" s="75"/>
    </row>
    <row r="822" spans="1:29" ht="15.75" hidden="1" customHeight="1" x14ac:dyDescent="0.2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  <c r="AA822" s="75"/>
      <c r="AB822" s="75"/>
      <c r="AC822" s="75"/>
    </row>
    <row r="823" spans="1:29" ht="15.75" hidden="1" customHeight="1" x14ac:dyDescent="0.2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  <c r="AA823" s="75"/>
      <c r="AB823" s="75"/>
      <c r="AC823" s="75"/>
    </row>
    <row r="824" spans="1:29" ht="15.75" hidden="1" customHeight="1" x14ac:dyDescent="0.2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  <c r="AA824" s="75"/>
      <c r="AB824" s="75"/>
      <c r="AC824" s="75"/>
    </row>
    <row r="825" spans="1:29" ht="15.75" hidden="1" customHeight="1" x14ac:dyDescent="0.2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  <c r="AA825" s="75"/>
      <c r="AB825" s="75"/>
      <c r="AC825" s="75"/>
    </row>
    <row r="826" spans="1:29" ht="15.75" hidden="1" customHeight="1" x14ac:dyDescent="0.2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  <c r="AA826" s="75"/>
      <c r="AB826" s="75"/>
      <c r="AC826" s="75"/>
    </row>
    <row r="827" spans="1:29" ht="15.75" hidden="1" customHeight="1" x14ac:dyDescent="0.2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  <c r="AA827" s="75"/>
      <c r="AB827" s="75"/>
      <c r="AC827" s="75"/>
    </row>
    <row r="828" spans="1:29" ht="15.75" hidden="1" customHeight="1" x14ac:dyDescent="0.2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  <c r="AA828" s="75"/>
      <c r="AB828" s="75"/>
      <c r="AC828" s="75"/>
    </row>
    <row r="829" spans="1:29" ht="15.75" hidden="1" customHeight="1" x14ac:dyDescent="0.2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  <c r="AA829" s="75"/>
      <c r="AB829" s="75"/>
      <c r="AC829" s="75"/>
    </row>
    <row r="830" spans="1:29" ht="15.75" hidden="1" customHeight="1" x14ac:dyDescent="0.2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  <c r="AA830" s="75"/>
      <c r="AB830" s="75"/>
      <c r="AC830" s="75"/>
    </row>
    <row r="831" spans="1:29" ht="15.75" hidden="1" customHeight="1" x14ac:dyDescent="0.2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  <c r="AA831" s="75"/>
      <c r="AB831" s="75"/>
      <c r="AC831" s="75"/>
    </row>
    <row r="832" spans="1:29" ht="15.75" hidden="1" customHeight="1" x14ac:dyDescent="0.2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  <c r="AA832" s="75"/>
      <c r="AB832" s="75"/>
      <c r="AC832" s="75"/>
    </row>
    <row r="833" spans="1:29" ht="15.75" hidden="1" customHeight="1" x14ac:dyDescent="0.2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  <c r="AA833" s="75"/>
      <c r="AB833" s="75"/>
      <c r="AC833" s="75"/>
    </row>
    <row r="834" spans="1:29" ht="15.75" hidden="1" customHeight="1" x14ac:dyDescent="0.2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  <c r="AA834" s="75"/>
      <c r="AB834" s="75"/>
      <c r="AC834" s="75"/>
    </row>
    <row r="835" spans="1:29" ht="15.75" hidden="1" customHeight="1" x14ac:dyDescent="0.2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  <c r="AA835" s="75"/>
      <c r="AB835" s="75"/>
      <c r="AC835" s="75"/>
    </row>
    <row r="836" spans="1:29" ht="15.75" hidden="1" customHeight="1" x14ac:dyDescent="0.2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  <c r="AA836" s="75"/>
      <c r="AB836" s="75"/>
      <c r="AC836" s="75"/>
    </row>
    <row r="837" spans="1:29" ht="15.75" hidden="1" customHeight="1" x14ac:dyDescent="0.2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  <c r="AA837" s="75"/>
      <c r="AB837" s="75"/>
      <c r="AC837" s="75"/>
    </row>
    <row r="838" spans="1:29" ht="15.75" hidden="1" customHeight="1" x14ac:dyDescent="0.2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  <c r="AA838" s="75"/>
      <c r="AB838" s="75"/>
      <c r="AC838" s="75"/>
    </row>
    <row r="839" spans="1:29" ht="15.75" hidden="1" customHeight="1" x14ac:dyDescent="0.2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  <c r="AA839" s="75"/>
      <c r="AB839" s="75"/>
      <c r="AC839" s="75"/>
    </row>
    <row r="840" spans="1:29" ht="15.75" hidden="1" customHeight="1" x14ac:dyDescent="0.2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  <c r="AA840" s="75"/>
      <c r="AB840" s="75"/>
      <c r="AC840" s="75"/>
    </row>
    <row r="841" spans="1:29" ht="15.75" hidden="1" customHeight="1" x14ac:dyDescent="0.2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  <c r="AA841" s="75"/>
      <c r="AB841" s="75"/>
      <c r="AC841" s="75"/>
    </row>
    <row r="842" spans="1:29" ht="15.75" hidden="1" customHeight="1" x14ac:dyDescent="0.2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  <c r="AA842" s="75"/>
      <c r="AB842" s="75"/>
      <c r="AC842" s="75"/>
    </row>
    <row r="843" spans="1:29" ht="15.75" hidden="1" customHeight="1" x14ac:dyDescent="0.2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  <c r="AA843" s="75"/>
      <c r="AB843" s="75"/>
      <c r="AC843" s="75"/>
    </row>
    <row r="844" spans="1:29" ht="15.75" hidden="1" customHeight="1" x14ac:dyDescent="0.2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  <c r="AA844" s="75"/>
      <c r="AB844" s="75"/>
      <c r="AC844" s="75"/>
    </row>
    <row r="845" spans="1:29" ht="15.75" hidden="1" customHeight="1" x14ac:dyDescent="0.2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  <c r="AA845" s="75"/>
      <c r="AB845" s="75"/>
      <c r="AC845" s="75"/>
    </row>
    <row r="846" spans="1:29" ht="15.75" hidden="1" customHeight="1" x14ac:dyDescent="0.2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  <c r="AA846" s="75"/>
      <c r="AB846" s="75"/>
      <c r="AC846" s="75"/>
    </row>
    <row r="847" spans="1:29" ht="15.75" hidden="1" customHeight="1" x14ac:dyDescent="0.2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  <c r="AA847" s="75"/>
      <c r="AB847" s="75"/>
      <c r="AC847" s="75"/>
    </row>
    <row r="848" spans="1:29" ht="15.75" hidden="1" customHeight="1" x14ac:dyDescent="0.2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  <c r="AA848" s="75"/>
      <c r="AB848" s="75"/>
      <c r="AC848" s="75"/>
    </row>
    <row r="849" spans="1:29" ht="15.75" hidden="1" customHeight="1" x14ac:dyDescent="0.2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  <c r="AA849" s="75"/>
      <c r="AB849" s="75"/>
      <c r="AC849" s="75"/>
    </row>
    <row r="850" spans="1:29" ht="15.75" hidden="1" customHeight="1" x14ac:dyDescent="0.2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  <c r="AA850" s="75"/>
      <c r="AB850" s="75"/>
      <c r="AC850" s="75"/>
    </row>
    <row r="851" spans="1:29" ht="15.75" hidden="1" customHeight="1" x14ac:dyDescent="0.2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  <c r="AA851" s="75"/>
      <c r="AB851" s="75"/>
      <c r="AC851" s="75"/>
    </row>
    <row r="852" spans="1:29" ht="15.75" hidden="1" customHeight="1" x14ac:dyDescent="0.2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  <c r="AA852" s="75"/>
      <c r="AB852" s="75"/>
      <c r="AC852" s="75"/>
    </row>
    <row r="853" spans="1:29" ht="15.75" hidden="1" customHeight="1" x14ac:dyDescent="0.2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  <c r="AA853" s="75"/>
      <c r="AB853" s="75"/>
      <c r="AC853" s="75"/>
    </row>
    <row r="854" spans="1:29" ht="15.75" hidden="1" customHeight="1" x14ac:dyDescent="0.2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  <c r="AA854" s="75"/>
      <c r="AB854" s="75"/>
      <c r="AC854" s="75"/>
    </row>
    <row r="855" spans="1:29" ht="15.75" hidden="1" customHeight="1" x14ac:dyDescent="0.2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  <c r="AA855" s="75"/>
      <c r="AB855" s="75"/>
      <c r="AC855" s="75"/>
    </row>
    <row r="856" spans="1:29" ht="15.75" hidden="1" customHeight="1" x14ac:dyDescent="0.2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  <c r="AA856" s="75"/>
      <c r="AB856" s="75"/>
      <c r="AC856" s="75"/>
    </row>
    <row r="857" spans="1:29" ht="15.75" hidden="1" customHeight="1" x14ac:dyDescent="0.2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  <c r="AA857" s="75"/>
      <c r="AB857" s="75"/>
      <c r="AC857" s="75"/>
    </row>
    <row r="858" spans="1:29" ht="15.75" hidden="1" customHeight="1" x14ac:dyDescent="0.2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  <c r="AA858" s="75"/>
      <c r="AB858" s="75"/>
      <c r="AC858" s="75"/>
    </row>
    <row r="859" spans="1:29" ht="15.75" hidden="1" customHeight="1" x14ac:dyDescent="0.2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  <c r="AA859" s="75"/>
      <c r="AB859" s="75"/>
      <c r="AC859" s="75"/>
    </row>
    <row r="860" spans="1:29" ht="15.75" hidden="1" customHeight="1" x14ac:dyDescent="0.2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  <c r="AA860" s="75"/>
      <c r="AB860" s="75"/>
      <c r="AC860" s="75"/>
    </row>
    <row r="861" spans="1:29" ht="15.75" hidden="1" customHeight="1" x14ac:dyDescent="0.2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  <c r="AA861" s="75"/>
      <c r="AB861" s="75"/>
      <c r="AC861" s="75"/>
    </row>
    <row r="862" spans="1:29" ht="15.75" hidden="1" customHeight="1" x14ac:dyDescent="0.2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  <c r="AA862" s="75"/>
      <c r="AB862" s="75"/>
      <c r="AC862" s="75"/>
    </row>
    <row r="863" spans="1:29" ht="15.75" hidden="1" customHeight="1" x14ac:dyDescent="0.2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  <c r="AA863" s="75"/>
      <c r="AB863" s="75"/>
      <c r="AC863" s="75"/>
    </row>
    <row r="864" spans="1:29" ht="15.75" hidden="1" customHeight="1" x14ac:dyDescent="0.2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  <c r="AA864" s="75"/>
      <c r="AB864" s="75"/>
      <c r="AC864" s="75"/>
    </row>
    <row r="865" spans="1:29" ht="15.75" hidden="1" customHeight="1" x14ac:dyDescent="0.2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  <c r="AA865" s="75"/>
      <c r="AB865" s="75"/>
      <c r="AC865" s="75"/>
    </row>
    <row r="866" spans="1:29" ht="15.75" hidden="1" customHeight="1" x14ac:dyDescent="0.2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  <c r="AA866" s="75"/>
      <c r="AB866" s="75"/>
      <c r="AC866" s="75"/>
    </row>
    <row r="867" spans="1:29" ht="15.75" hidden="1" customHeight="1" x14ac:dyDescent="0.2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  <c r="AA867" s="75"/>
      <c r="AB867" s="75"/>
      <c r="AC867" s="75"/>
    </row>
    <row r="868" spans="1:29" ht="15.75" hidden="1" customHeight="1" x14ac:dyDescent="0.2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  <c r="AA868" s="75"/>
      <c r="AB868" s="75"/>
      <c r="AC868" s="75"/>
    </row>
    <row r="869" spans="1:29" ht="15.75" hidden="1" customHeight="1" x14ac:dyDescent="0.2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  <c r="AA869" s="75"/>
      <c r="AB869" s="75"/>
      <c r="AC869" s="75"/>
    </row>
    <row r="870" spans="1:29" ht="15.75" hidden="1" customHeight="1" x14ac:dyDescent="0.2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  <c r="AA870" s="75"/>
      <c r="AB870" s="75"/>
      <c r="AC870" s="75"/>
    </row>
    <row r="871" spans="1:29" ht="15.75" hidden="1" customHeight="1" x14ac:dyDescent="0.2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  <c r="AA871" s="75"/>
      <c r="AB871" s="75"/>
      <c r="AC871" s="75"/>
    </row>
    <row r="872" spans="1:29" ht="15.75" hidden="1" customHeight="1" x14ac:dyDescent="0.2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  <c r="AA872" s="75"/>
      <c r="AB872" s="75"/>
      <c r="AC872" s="75"/>
    </row>
    <row r="873" spans="1:29" ht="15.75" hidden="1" customHeight="1" x14ac:dyDescent="0.2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  <c r="AA873" s="75"/>
      <c r="AB873" s="75"/>
      <c r="AC873" s="75"/>
    </row>
    <row r="874" spans="1:29" ht="15.75" hidden="1" customHeight="1" x14ac:dyDescent="0.2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  <c r="AA874" s="75"/>
      <c r="AB874" s="75"/>
      <c r="AC874" s="75"/>
    </row>
    <row r="875" spans="1:29" ht="15.75" hidden="1" customHeight="1" x14ac:dyDescent="0.2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  <c r="AA875" s="75"/>
      <c r="AB875" s="75"/>
      <c r="AC875" s="75"/>
    </row>
    <row r="876" spans="1:29" ht="15.75" hidden="1" customHeight="1" x14ac:dyDescent="0.2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  <c r="AA876" s="75"/>
      <c r="AB876" s="75"/>
      <c r="AC876" s="75"/>
    </row>
    <row r="877" spans="1:29" ht="15.75" hidden="1" customHeight="1" x14ac:dyDescent="0.2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  <c r="AA877" s="75"/>
      <c r="AB877" s="75"/>
      <c r="AC877" s="75"/>
    </row>
    <row r="878" spans="1:29" ht="15.75" hidden="1" customHeight="1" x14ac:dyDescent="0.2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  <c r="AA878" s="75"/>
      <c r="AB878" s="75"/>
      <c r="AC878" s="75"/>
    </row>
    <row r="879" spans="1:29" ht="15.75" hidden="1" customHeight="1" x14ac:dyDescent="0.2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  <c r="AA879" s="75"/>
      <c r="AB879" s="75"/>
      <c r="AC879" s="75"/>
    </row>
    <row r="880" spans="1:29" ht="15.75" hidden="1" customHeight="1" x14ac:dyDescent="0.2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  <c r="AA880" s="75"/>
      <c r="AB880" s="75"/>
      <c r="AC880" s="75"/>
    </row>
    <row r="881" spans="1:29" ht="15.75" hidden="1" customHeight="1" x14ac:dyDescent="0.2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  <c r="AA881" s="75"/>
      <c r="AB881" s="75"/>
      <c r="AC881" s="75"/>
    </row>
    <row r="882" spans="1:29" ht="15.75" hidden="1" customHeight="1" x14ac:dyDescent="0.2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  <c r="AA882" s="75"/>
      <c r="AB882" s="75"/>
      <c r="AC882" s="75"/>
    </row>
    <row r="883" spans="1:29" ht="15.75" hidden="1" customHeight="1" x14ac:dyDescent="0.2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  <c r="AA883" s="75"/>
      <c r="AB883" s="75"/>
      <c r="AC883" s="75"/>
    </row>
    <row r="884" spans="1:29" ht="15.75" hidden="1" customHeight="1" x14ac:dyDescent="0.2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  <c r="AA884" s="75"/>
      <c r="AB884" s="75"/>
      <c r="AC884" s="75"/>
    </row>
    <row r="885" spans="1:29" ht="15.75" hidden="1" customHeight="1" x14ac:dyDescent="0.2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  <c r="AA885" s="75"/>
      <c r="AB885" s="75"/>
      <c r="AC885" s="75"/>
    </row>
    <row r="886" spans="1:29" ht="15.75" hidden="1" customHeight="1" x14ac:dyDescent="0.2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  <c r="AA886" s="75"/>
      <c r="AB886" s="75"/>
      <c r="AC886" s="75"/>
    </row>
    <row r="887" spans="1:29" ht="15.75" hidden="1" customHeight="1" x14ac:dyDescent="0.2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  <c r="AA887" s="75"/>
      <c r="AB887" s="75"/>
      <c r="AC887" s="75"/>
    </row>
    <row r="888" spans="1:29" ht="15.75" hidden="1" customHeight="1" x14ac:dyDescent="0.2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  <c r="AA888" s="75"/>
      <c r="AB888" s="75"/>
      <c r="AC888" s="75"/>
    </row>
    <row r="889" spans="1:29" ht="15.75" hidden="1" customHeight="1" x14ac:dyDescent="0.2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  <c r="AA889" s="75"/>
      <c r="AB889" s="75"/>
      <c r="AC889" s="75"/>
    </row>
    <row r="890" spans="1:29" ht="15.75" hidden="1" customHeight="1" x14ac:dyDescent="0.2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  <c r="AA890" s="75"/>
      <c r="AB890" s="75"/>
      <c r="AC890" s="75"/>
    </row>
    <row r="891" spans="1:29" ht="15.75" hidden="1" customHeight="1" x14ac:dyDescent="0.2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  <c r="AA891" s="75"/>
      <c r="AB891" s="75"/>
      <c r="AC891" s="75"/>
    </row>
    <row r="892" spans="1:29" ht="15.75" hidden="1" customHeight="1" x14ac:dyDescent="0.2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  <c r="AA892" s="75"/>
      <c r="AB892" s="75"/>
      <c r="AC892" s="75"/>
    </row>
    <row r="893" spans="1:29" ht="15.75" hidden="1" customHeight="1" x14ac:dyDescent="0.2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  <c r="AA893" s="75"/>
      <c r="AB893" s="75"/>
      <c r="AC893" s="75"/>
    </row>
    <row r="894" spans="1:29" ht="15.75" hidden="1" customHeight="1" x14ac:dyDescent="0.2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  <c r="AA894" s="75"/>
      <c r="AB894" s="75"/>
      <c r="AC894" s="75"/>
    </row>
    <row r="895" spans="1:29" ht="15.75" hidden="1" customHeight="1" x14ac:dyDescent="0.2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  <c r="AA895" s="75"/>
      <c r="AB895" s="75"/>
      <c r="AC895" s="75"/>
    </row>
    <row r="896" spans="1:29" ht="15.75" hidden="1" customHeight="1" x14ac:dyDescent="0.2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  <c r="AA896" s="75"/>
      <c r="AB896" s="75"/>
      <c r="AC896" s="75"/>
    </row>
    <row r="897" spans="1:29" ht="15.75" hidden="1" customHeight="1" x14ac:dyDescent="0.2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  <c r="AA897" s="75"/>
      <c r="AB897" s="75"/>
      <c r="AC897" s="75"/>
    </row>
    <row r="898" spans="1:29" ht="15.75" hidden="1" customHeight="1" x14ac:dyDescent="0.2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  <c r="AA898" s="75"/>
      <c r="AB898" s="75"/>
      <c r="AC898" s="75"/>
    </row>
    <row r="899" spans="1:29" ht="15.75" hidden="1" customHeight="1" x14ac:dyDescent="0.2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  <c r="AA899" s="75"/>
      <c r="AB899" s="75"/>
      <c r="AC899" s="75"/>
    </row>
    <row r="900" spans="1:29" ht="15.75" hidden="1" customHeight="1" x14ac:dyDescent="0.2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  <c r="AA900" s="75"/>
      <c r="AB900" s="75"/>
      <c r="AC900" s="75"/>
    </row>
    <row r="901" spans="1:29" ht="15.75" hidden="1" customHeight="1" x14ac:dyDescent="0.2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  <c r="AA901" s="75"/>
      <c r="AB901" s="75"/>
      <c r="AC901" s="75"/>
    </row>
    <row r="902" spans="1:29" ht="15.75" hidden="1" customHeight="1" x14ac:dyDescent="0.2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  <c r="AA902" s="75"/>
      <c r="AB902" s="75"/>
      <c r="AC902" s="75"/>
    </row>
    <row r="903" spans="1:29" ht="15.75" hidden="1" customHeight="1" x14ac:dyDescent="0.2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  <c r="AA903" s="75"/>
      <c r="AB903" s="75"/>
      <c r="AC903" s="75"/>
    </row>
    <row r="904" spans="1:29" ht="15.75" hidden="1" customHeight="1" x14ac:dyDescent="0.2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  <c r="AA904" s="75"/>
      <c r="AB904" s="75"/>
      <c r="AC904" s="75"/>
    </row>
    <row r="905" spans="1:29" ht="15.75" hidden="1" customHeight="1" x14ac:dyDescent="0.2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  <c r="AA905" s="75"/>
      <c r="AB905" s="75"/>
      <c r="AC905" s="75"/>
    </row>
    <row r="906" spans="1:29" ht="15.75" hidden="1" customHeight="1" x14ac:dyDescent="0.2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  <c r="AA906" s="75"/>
      <c r="AB906" s="75"/>
      <c r="AC906" s="75"/>
    </row>
    <row r="907" spans="1:29" ht="15.75" hidden="1" customHeight="1" x14ac:dyDescent="0.2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  <c r="AA907" s="75"/>
      <c r="AB907" s="75"/>
      <c r="AC907" s="75"/>
    </row>
    <row r="908" spans="1:29" ht="15.75" hidden="1" customHeight="1" x14ac:dyDescent="0.2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  <c r="AA908" s="75"/>
      <c r="AB908" s="75"/>
      <c r="AC908" s="75"/>
    </row>
    <row r="909" spans="1:29" ht="15.75" hidden="1" customHeight="1" x14ac:dyDescent="0.2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  <c r="AA909" s="75"/>
      <c r="AB909" s="75"/>
      <c r="AC909" s="75"/>
    </row>
    <row r="910" spans="1:29" ht="15.75" hidden="1" customHeight="1" x14ac:dyDescent="0.2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  <c r="AA910" s="75"/>
      <c r="AB910" s="75"/>
      <c r="AC910" s="75"/>
    </row>
    <row r="911" spans="1:29" ht="15.75" hidden="1" customHeight="1" x14ac:dyDescent="0.2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  <c r="AA911" s="75"/>
      <c r="AB911" s="75"/>
      <c r="AC911" s="75"/>
    </row>
    <row r="912" spans="1:29" ht="15.75" hidden="1" customHeight="1" x14ac:dyDescent="0.2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  <c r="AA912" s="75"/>
      <c r="AB912" s="75"/>
      <c r="AC912" s="75"/>
    </row>
    <row r="913" spans="1:29" ht="15.75" hidden="1" customHeight="1" x14ac:dyDescent="0.2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  <c r="AA913" s="75"/>
      <c r="AB913" s="75"/>
      <c r="AC913" s="75"/>
    </row>
    <row r="914" spans="1:29" ht="15.75" hidden="1" customHeight="1" x14ac:dyDescent="0.2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  <c r="AA914" s="75"/>
      <c r="AB914" s="75"/>
      <c r="AC914" s="75"/>
    </row>
    <row r="915" spans="1:29" ht="15.75" hidden="1" customHeight="1" x14ac:dyDescent="0.2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  <c r="AA915" s="75"/>
      <c r="AB915" s="75"/>
      <c r="AC915" s="75"/>
    </row>
    <row r="916" spans="1:29" ht="15.75" hidden="1" customHeight="1" x14ac:dyDescent="0.2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  <c r="AA916" s="75"/>
      <c r="AB916" s="75"/>
      <c r="AC916" s="75"/>
    </row>
    <row r="917" spans="1:29" ht="15.75" hidden="1" customHeight="1" x14ac:dyDescent="0.2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  <c r="AA917" s="75"/>
      <c r="AB917" s="75"/>
      <c r="AC917" s="75"/>
    </row>
    <row r="918" spans="1:29" ht="15.75" hidden="1" customHeight="1" x14ac:dyDescent="0.2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  <c r="AA918" s="75"/>
      <c r="AB918" s="75"/>
      <c r="AC918" s="75"/>
    </row>
    <row r="919" spans="1:29" ht="15.75" hidden="1" customHeight="1" x14ac:dyDescent="0.2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  <c r="AA919" s="75"/>
      <c r="AB919" s="75"/>
      <c r="AC919" s="75"/>
    </row>
    <row r="920" spans="1:29" ht="15.75" hidden="1" customHeight="1" x14ac:dyDescent="0.2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  <c r="AA920" s="75"/>
      <c r="AB920" s="75"/>
      <c r="AC920" s="75"/>
    </row>
    <row r="921" spans="1:29" ht="15.75" hidden="1" customHeight="1" x14ac:dyDescent="0.2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  <c r="AA921" s="75"/>
      <c r="AB921" s="75"/>
      <c r="AC921" s="75"/>
    </row>
    <row r="922" spans="1:29" ht="15.75" hidden="1" customHeight="1" x14ac:dyDescent="0.2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  <c r="AA922" s="75"/>
      <c r="AB922" s="75"/>
      <c r="AC922" s="75"/>
    </row>
    <row r="923" spans="1:29" ht="15.75" hidden="1" customHeight="1" x14ac:dyDescent="0.2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  <c r="AA923" s="75"/>
      <c r="AB923" s="75"/>
      <c r="AC923" s="75"/>
    </row>
    <row r="924" spans="1:29" ht="15.75" hidden="1" customHeight="1" x14ac:dyDescent="0.2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  <c r="AA924" s="75"/>
      <c r="AB924" s="75"/>
      <c r="AC924" s="75"/>
    </row>
    <row r="925" spans="1:29" ht="15.75" hidden="1" customHeight="1" x14ac:dyDescent="0.2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  <c r="AA925" s="75"/>
      <c r="AB925" s="75"/>
      <c r="AC925" s="75"/>
    </row>
    <row r="926" spans="1:29" ht="15.75" hidden="1" customHeight="1" x14ac:dyDescent="0.2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  <c r="AA926" s="75"/>
      <c r="AB926" s="75"/>
      <c r="AC926" s="75"/>
    </row>
    <row r="927" spans="1:29" ht="15.75" hidden="1" customHeight="1" x14ac:dyDescent="0.2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  <c r="AA927" s="75"/>
      <c r="AB927" s="75"/>
      <c r="AC927" s="75"/>
    </row>
    <row r="928" spans="1:29" ht="15.75" hidden="1" customHeight="1" x14ac:dyDescent="0.2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  <c r="AA928" s="75"/>
      <c r="AB928" s="75"/>
      <c r="AC928" s="75"/>
    </row>
    <row r="929" spans="1:29" ht="15.75" hidden="1" customHeight="1" x14ac:dyDescent="0.2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  <c r="AA929" s="75"/>
      <c r="AB929" s="75"/>
      <c r="AC929" s="75"/>
    </row>
    <row r="930" spans="1:29" ht="15.75" hidden="1" customHeight="1" x14ac:dyDescent="0.2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  <c r="AA930" s="75"/>
      <c r="AB930" s="75"/>
      <c r="AC930" s="75"/>
    </row>
    <row r="931" spans="1:29" ht="15.75" hidden="1" customHeight="1" x14ac:dyDescent="0.2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  <c r="AA931" s="75"/>
      <c r="AB931" s="75"/>
      <c r="AC931" s="75"/>
    </row>
    <row r="932" spans="1:29" ht="15.75" hidden="1" customHeight="1" x14ac:dyDescent="0.2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  <c r="AA932" s="75"/>
      <c r="AB932" s="75"/>
      <c r="AC932" s="75"/>
    </row>
    <row r="933" spans="1:29" ht="15.75" hidden="1" customHeight="1" x14ac:dyDescent="0.2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  <c r="AA933" s="75"/>
      <c r="AB933" s="75"/>
      <c r="AC933" s="75"/>
    </row>
    <row r="934" spans="1:29" ht="15.75" hidden="1" customHeight="1" x14ac:dyDescent="0.2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  <c r="AA934" s="75"/>
      <c r="AB934" s="75"/>
      <c r="AC934" s="75"/>
    </row>
    <row r="935" spans="1:29" ht="15.75" hidden="1" customHeight="1" x14ac:dyDescent="0.2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  <c r="AA935" s="75"/>
      <c r="AB935" s="75"/>
      <c r="AC935" s="75"/>
    </row>
    <row r="936" spans="1:29" ht="15.75" hidden="1" customHeight="1" x14ac:dyDescent="0.2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  <c r="AA936" s="75"/>
      <c r="AB936" s="75"/>
      <c r="AC936" s="75"/>
    </row>
    <row r="937" spans="1:29" ht="15.75" hidden="1" customHeight="1" x14ac:dyDescent="0.2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  <c r="AA937" s="75"/>
      <c r="AB937" s="75"/>
      <c r="AC937" s="75"/>
    </row>
    <row r="938" spans="1:29" ht="15.75" hidden="1" customHeight="1" x14ac:dyDescent="0.2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  <c r="AA938" s="75"/>
      <c r="AB938" s="75"/>
      <c r="AC938" s="75"/>
    </row>
    <row r="939" spans="1:29" ht="15.75" hidden="1" customHeight="1" x14ac:dyDescent="0.2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  <c r="AA939" s="75"/>
      <c r="AB939" s="75"/>
      <c r="AC939" s="75"/>
    </row>
    <row r="940" spans="1:29" ht="15.75" hidden="1" customHeight="1" x14ac:dyDescent="0.2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  <c r="AA940" s="75"/>
      <c r="AB940" s="75"/>
      <c r="AC940" s="75"/>
    </row>
    <row r="941" spans="1:29" ht="15.75" hidden="1" customHeight="1" x14ac:dyDescent="0.2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  <c r="AA941" s="75"/>
      <c r="AB941" s="75"/>
      <c r="AC941" s="75"/>
    </row>
    <row r="942" spans="1:29" ht="15.75" hidden="1" customHeight="1" x14ac:dyDescent="0.2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  <c r="AA942" s="75"/>
      <c r="AB942" s="75"/>
      <c r="AC942" s="75"/>
    </row>
    <row r="943" spans="1:29" ht="15.75" hidden="1" customHeight="1" x14ac:dyDescent="0.2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  <c r="AA943" s="75"/>
      <c r="AB943" s="75"/>
      <c r="AC943" s="75"/>
    </row>
    <row r="944" spans="1:29" ht="15.75" hidden="1" customHeight="1" x14ac:dyDescent="0.2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  <c r="AA944" s="75"/>
      <c r="AB944" s="75"/>
      <c r="AC944" s="75"/>
    </row>
    <row r="945" spans="1:29" ht="15.75" hidden="1" customHeight="1" x14ac:dyDescent="0.2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  <c r="AA945" s="75"/>
      <c r="AB945" s="75"/>
      <c r="AC945" s="75"/>
    </row>
    <row r="946" spans="1:29" ht="15.75" hidden="1" customHeight="1" x14ac:dyDescent="0.2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  <c r="AA946" s="75"/>
      <c r="AB946" s="75"/>
      <c r="AC946" s="75"/>
    </row>
    <row r="947" spans="1:29" ht="15.75" hidden="1" customHeight="1" x14ac:dyDescent="0.2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  <c r="AA947" s="75"/>
      <c r="AB947" s="75"/>
      <c r="AC947" s="75"/>
    </row>
    <row r="948" spans="1:29" ht="15.75" hidden="1" customHeight="1" x14ac:dyDescent="0.2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  <c r="AA948" s="75"/>
      <c r="AB948" s="75"/>
      <c r="AC948" s="75"/>
    </row>
    <row r="949" spans="1:29" ht="15.75" hidden="1" customHeight="1" x14ac:dyDescent="0.2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  <c r="AA949" s="75"/>
      <c r="AB949" s="75"/>
      <c r="AC949" s="75"/>
    </row>
    <row r="950" spans="1:29" ht="15.75" hidden="1" customHeight="1" x14ac:dyDescent="0.2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  <c r="AA950" s="75"/>
      <c r="AB950" s="75"/>
      <c r="AC950" s="75"/>
    </row>
    <row r="951" spans="1:29" ht="15.75" hidden="1" customHeight="1" x14ac:dyDescent="0.2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  <c r="AA951" s="75"/>
      <c r="AB951" s="75"/>
      <c r="AC951" s="75"/>
    </row>
    <row r="952" spans="1:29" ht="15.75" hidden="1" customHeight="1" x14ac:dyDescent="0.2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  <c r="AA952" s="75"/>
      <c r="AB952" s="75"/>
      <c r="AC952" s="75"/>
    </row>
    <row r="953" spans="1:29" ht="15.75" hidden="1" customHeight="1" x14ac:dyDescent="0.2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  <c r="AA953" s="75"/>
      <c r="AB953" s="75"/>
      <c r="AC953" s="75"/>
    </row>
    <row r="954" spans="1:29" ht="15.75" hidden="1" customHeight="1" x14ac:dyDescent="0.2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  <c r="AA954" s="75"/>
      <c r="AB954" s="75"/>
      <c r="AC954" s="75"/>
    </row>
    <row r="955" spans="1:29" ht="15.75" hidden="1" customHeight="1" x14ac:dyDescent="0.2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  <c r="AA955" s="75"/>
      <c r="AB955" s="75"/>
      <c r="AC955" s="75"/>
    </row>
    <row r="956" spans="1:29" ht="15.75" hidden="1" customHeight="1" x14ac:dyDescent="0.2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  <c r="AA956" s="75"/>
      <c r="AB956" s="75"/>
      <c r="AC956" s="75"/>
    </row>
    <row r="957" spans="1:29" ht="15.75" hidden="1" customHeight="1" x14ac:dyDescent="0.2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  <c r="AA957" s="75"/>
      <c r="AB957" s="75"/>
      <c r="AC957" s="75"/>
    </row>
    <row r="958" spans="1:29" ht="15.75" hidden="1" customHeight="1" x14ac:dyDescent="0.2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  <c r="AA958" s="75"/>
      <c r="AB958" s="75"/>
      <c r="AC958" s="75"/>
    </row>
    <row r="959" spans="1:29" ht="15.75" hidden="1" customHeight="1" x14ac:dyDescent="0.2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  <c r="AA959" s="75"/>
      <c r="AB959" s="75"/>
      <c r="AC959" s="75"/>
    </row>
    <row r="960" spans="1:29" ht="15.75" hidden="1" customHeight="1" x14ac:dyDescent="0.2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  <c r="AA960" s="75"/>
      <c r="AB960" s="75"/>
      <c r="AC960" s="75"/>
    </row>
    <row r="961" spans="1:29" ht="15.75" hidden="1" customHeight="1" x14ac:dyDescent="0.2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  <c r="AA961" s="75"/>
      <c r="AB961" s="75"/>
      <c r="AC961" s="75"/>
    </row>
    <row r="962" spans="1:29" ht="15.75" hidden="1" customHeight="1" x14ac:dyDescent="0.2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  <c r="AA962" s="75"/>
      <c r="AB962" s="75"/>
      <c r="AC962" s="75"/>
    </row>
    <row r="963" spans="1:29" ht="15.75" hidden="1" customHeight="1" x14ac:dyDescent="0.2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  <c r="AA963" s="75"/>
      <c r="AB963" s="75"/>
      <c r="AC963" s="75"/>
    </row>
    <row r="964" spans="1:29" ht="15.75" hidden="1" customHeight="1" x14ac:dyDescent="0.2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  <c r="AA964" s="75"/>
      <c r="AB964" s="75"/>
      <c r="AC964" s="75"/>
    </row>
    <row r="965" spans="1:29" ht="15.75" hidden="1" customHeight="1" x14ac:dyDescent="0.2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  <c r="AA965" s="75"/>
      <c r="AB965" s="75"/>
      <c r="AC965" s="75"/>
    </row>
    <row r="966" spans="1:29" ht="15.75" hidden="1" customHeight="1" x14ac:dyDescent="0.2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  <c r="AA966" s="75"/>
      <c r="AB966" s="75"/>
      <c r="AC966" s="75"/>
    </row>
    <row r="967" spans="1:29" ht="15.75" hidden="1" customHeight="1" x14ac:dyDescent="0.2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  <c r="AA967" s="75"/>
      <c r="AB967" s="75"/>
      <c r="AC967" s="75"/>
    </row>
    <row r="968" spans="1:29" ht="15.75" hidden="1" customHeight="1" x14ac:dyDescent="0.2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  <c r="AA968" s="75"/>
      <c r="AB968" s="75"/>
      <c r="AC968" s="75"/>
    </row>
    <row r="969" spans="1:29" ht="15.75" hidden="1" customHeight="1" x14ac:dyDescent="0.2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  <c r="AA969" s="75"/>
      <c r="AB969" s="75"/>
      <c r="AC969" s="75"/>
    </row>
    <row r="970" spans="1:29" ht="15.75" hidden="1" customHeight="1" x14ac:dyDescent="0.2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  <c r="AA970" s="75"/>
      <c r="AB970" s="75"/>
      <c r="AC970" s="75"/>
    </row>
    <row r="971" spans="1:29" ht="15.75" hidden="1" customHeight="1" x14ac:dyDescent="0.2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  <c r="AA971" s="75"/>
      <c r="AB971" s="75"/>
      <c r="AC971" s="75"/>
    </row>
    <row r="972" spans="1:29" ht="15.75" hidden="1" customHeight="1" x14ac:dyDescent="0.2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  <c r="AA972" s="75"/>
      <c r="AB972" s="75"/>
      <c r="AC972" s="75"/>
    </row>
    <row r="973" spans="1:29" ht="15.75" hidden="1" customHeight="1" x14ac:dyDescent="0.2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  <c r="AA973" s="75"/>
      <c r="AB973" s="75"/>
      <c r="AC973" s="75"/>
    </row>
    <row r="974" spans="1:29" ht="15.75" hidden="1" customHeight="1" x14ac:dyDescent="0.2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  <c r="AA974" s="75"/>
      <c r="AB974" s="75"/>
      <c r="AC974" s="75"/>
    </row>
    <row r="975" spans="1:29" ht="15.75" hidden="1" customHeight="1" x14ac:dyDescent="0.2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  <c r="AA975" s="75"/>
      <c r="AB975" s="75"/>
      <c r="AC975" s="75"/>
    </row>
    <row r="976" spans="1:29" ht="15.75" hidden="1" customHeight="1" x14ac:dyDescent="0.2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  <c r="AA976" s="75"/>
      <c r="AB976" s="75"/>
      <c r="AC976" s="75"/>
    </row>
    <row r="977" spans="1:29" ht="15.75" hidden="1" customHeight="1" x14ac:dyDescent="0.2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  <c r="AA977" s="75"/>
      <c r="AB977" s="75"/>
      <c r="AC977" s="75"/>
    </row>
    <row r="978" spans="1:29" ht="15.75" hidden="1" customHeight="1" x14ac:dyDescent="0.2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  <c r="AA978" s="75"/>
      <c r="AB978" s="75"/>
      <c r="AC978" s="75"/>
    </row>
    <row r="979" spans="1:29" ht="15.75" hidden="1" customHeight="1" x14ac:dyDescent="0.2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  <c r="AA979" s="75"/>
      <c r="AB979" s="75"/>
      <c r="AC979" s="75"/>
    </row>
    <row r="980" spans="1:29" ht="15.75" hidden="1" customHeight="1" x14ac:dyDescent="0.2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  <c r="AA980" s="75"/>
      <c r="AB980" s="75"/>
      <c r="AC980" s="75"/>
    </row>
    <row r="981" spans="1:29" ht="15.75" hidden="1" customHeight="1" x14ac:dyDescent="0.2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  <c r="AA981" s="75"/>
      <c r="AB981" s="75"/>
      <c r="AC981" s="75"/>
    </row>
    <row r="982" spans="1:29" ht="15.75" hidden="1" customHeight="1" x14ac:dyDescent="0.2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  <c r="AA982" s="75"/>
      <c r="AB982" s="75"/>
      <c r="AC982" s="75"/>
    </row>
    <row r="983" spans="1:29" ht="15.75" hidden="1" customHeight="1" x14ac:dyDescent="0.2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  <c r="AA983" s="75"/>
      <c r="AB983" s="75"/>
      <c r="AC983" s="75"/>
    </row>
    <row r="984" spans="1:29" ht="15.75" hidden="1" customHeight="1" x14ac:dyDescent="0.2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  <c r="AA984" s="75"/>
      <c r="AB984" s="75"/>
      <c r="AC984" s="75"/>
    </row>
    <row r="985" spans="1:29" ht="15.75" hidden="1" customHeight="1" x14ac:dyDescent="0.2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  <c r="AA985" s="75"/>
      <c r="AB985" s="75"/>
      <c r="AC985" s="75"/>
    </row>
    <row r="986" spans="1:29" ht="15.75" hidden="1" customHeight="1" x14ac:dyDescent="0.2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  <c r="AA986" s="75"/>
      <c r="AB986" s="75"/>
      <c r="AC986" s="75"/>
    </row>
    <row r="987" spans="1:29" ht="15.75" hidden="1" customHeight="1" x14ac:dyDescent="0.2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  <c r="AA987" s="75"/>
      <c r="AB987" s="75"/>
      <c r="AC987" s="75"/>
    </row>
    <row r="988" spans="1:29" ht="15.75" hidden="1" customHeight="1" x14ac:dyDescent="0.2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  <c r="AA988" s="75"/>
      <c r="AB988" s="75"/>
      <c r="AC988" s="75"/>
    </row>
    <row r="989" spans="1:29" ht="15.75" hidden="1" customHeight="1" x14ac:dyDescent="0.2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  <c r="AA989" s="75"/>
      <c r="AB989" s="75"/>
      <c r="AC989" s="75"/>
    </row>
    <row r="990" spans="1:29" ht="15.75" hidden="1" customHeight="1" x14ac:dyDescent="0.2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  <c r="AA990" s="75"/>
      <c r="AB990" s="75"/>
      <c r="AC990" s="75"/>
    </row>
    <row r="991" spans="1:29" ht="15.75" hidden="1" customHeight="1" x14ac:dyDescent="0.2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  <c r="AA991" s="75"/>
      <c r="AB991" s="75"/>
      <c r="AC991" s="75"/>
    </row>
    <row r="992" spans="1:29" ht="15.75" hidden="1" customHeight="1" x14ac:dyDescent="0.2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  <c r="AA992" s="75"/>
      <c r="AB992" s="75"/>
      <c r="AC992" s="75"/>
    </row>
    <row r="993" spans="1:29" ht="15.75" hidden="1" customHeight="1" x14ac:dyDescent="0.2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  <c r="AA993" s="75"/>
      <c r="AB993" s="75"/>
      <c r="AC993" s="75"/>
    </row>
    <row r="994" spans="1:29" ht="15.75" hidden="1" customHeight="1" x14ac:dyDescent="0.2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  <c r="AA994" s="75"/>
      <c r="AB994" s="75"/>
      <c r="AC994" s="75"/>
    </row>
  </sheetData>
  <mergeCells count="1088">
    <mergeCell ref="G278:G279"/>
    <mergeCell ref="H278:H279"/>
    <mergeCell ref="J278:K278"/>
    <mergeCell ref="P278:AA278"/>
    <mergeCell ref="J279:K279"/>
    <mergeCell ref="P279:AA279"/>
    <mergeCell ref="W276:X276"/>
    <mergeCell ref="Z276:AA276"/>
    <mergeCell ref="B277:C279"/>
    <mergeCell ref="D277:D279"/>
    <mergeCell ref="E277:F279"/>
    <mergeCell ref="J277:K277"/>
    <mergeCell ref="S277:T277"/>
    <mergeCell ref="U277:V277"/>
    <mergeCell ref="W277:X277"/>
    <mergeCell ref="Z277:AA277"/>
    <mergeCell ref="H275:H276"/>
    <mergeCell ref="J275:K275"/>
    <mergeCell ref="S275:T275"/>
    <mergeCell ref="U275:V275"/>
    <mergeCell ref="W275:X275"/>
    <mergeCell ref="Z275:AA275"/>
    <mergeCell ref="J276:K276"/>
    <mergeCell ref="P276:P277"/>
    <mergeCell ref="S276:T276"/>
    <mergeCell ref="U276:V276"/>
    <mergeCell ref="Z273:AA273"/>
    <mergeCell ref="D274:D276"/>
    <mergeCell ref="E274:F276"/>
    <mergeCell ref="J274:K274"/>
    <mergeCell ref="P274:P275"/>
    <mergeCell ref="S274:T274"/>
    <mergeCell ref="U274:V274"/>
    <mergeCell ref="W274:X274"/>
    <mergeCell ref="Z274:AA274"/>
    <mergeCell ref="G275:G276"/>
    <mergeCell ref="X271:Y271"/>
    <mergeCell ref="B273:C273"/>
    <mergeCell ref="E273:F273"/>
    <mergeCell ref="J273:K273"/>
    <mergeCell ref="S273:T273"/>
    <mergeCell ref="U273:V273"/>
    <mergeCell ref="W273:X273"/>
    <mergeCell ref="X269:Y269"/>
    <mergeCell ref="G270:G271"/>
    <mergeCell ref="H270:H271"/>
    <mergeCell ref="J270:K270"/>
    <mergeCell ref="P270:R270"/>
    <mergeCell ref="T270:U270"/>
    <mergeCell ref="X270:Y270"/>
    <mergeCell ref="J271:K271"/>
    <mergeCell ref="P271:R271"/>
    <mergeCell ref="T271:U271"/>
    <mergeCell ref="B269:C269"/>
    <mergeCell ref="D269:D271"/>
    <mergeCell ref="E269:F271"/>
    <mergeCell ref="J269:K269"/>
    <mergeCell ref="P269:R269"/>
    <mergeCell ref="T269:U269"/>
    <mergeCell ref="J267:K267"/>
    <mergeCell ref="P267:R267"/>
    <mergeCell ref="T267:U267"/>
    <mergeCell ref="X267:Y267"/>
    <mergeCell ref="J268:K268"/>
    <mergeCell ref="P268:R268"/>
    <mergeCell ref="T268:U268"/>
    <mergeCell ref="X268:Y268"/>
    <mergeCell ref="T265:U265"/>
    <mergeCell ref="X265:Y265"/>
    <mergeCell ref="D266:D268"/>
    <mergeCell ref="E266:F268"/>
    <mergeCell ref="J266:K266"/>
    <mergeCell ref="P266:R266"/>
    <mergeCell ref="T266:U266"/>
    <mergeCell ref="X266:Y266"/>
    <mergeCell ref="G267:G268"/>
    <mergeCell ref="H267:H268"/>
    <mergeCell ref="B261:C263"/>
    <mergeCell ref="F262:F263"/>
    <mergeCell ref="K262:K263"/>
    <mergeCell ref="P262:Q262"/>
    <mergeCell ref="P263:Q263"/>
    <mergeCell ref="B265:C265"/>
    <mergeCell ref="E265:F265"/>
    <mergeCell ref="J265:K265"/>
    <mergeCell ref="P265:R265"/>
    <mergeCell ref="D259:E263"/>
    <mergeCell ref="F259:F260"/>
    <mergeCell ref="J259:J263"/>
    <mergeCell ref="K259:K260"/>
    <mergeCell ref="P259:Q259"/>
    <mergeCell ref="P260:Q260"/>
    <mergeCell ref="B255:B257"/>
    <mergeCell ref="C255:C257"/>
    <mergeCell ref="F256:F257"/>
    <mergeCell ref="K256:K257"/>
    <mergeCell ref="P256:Q256"/>
    <mergeCell ref="P257:Q257"/>
    <mergeCell ref="D253:E257"/>
    <mergeCell ref="F253:F254"/>
    <mergeCell ref="J253:J257"/>
    <mergeCell ref="K253:K254"/>
    <mergeCell ref="P253:Q253"/>
    <mergeCell ref="P254:Q254"/>
    <mergeCell ref="G250:G251"/>
    <mergeCell ref="H250:H251"/>
    <mergeCell ref="J250:K250"/>
    <mergeCell ref="P250:AA250"/>
    <mergeCell ref="J251:K251"/>
    <mergeCell ref="P251:AA251"/>
    <mergeCell ref="W248:X248"/>
    <mergeCell ref="Z248:AA248"/>
    <mergeCell ref="B249:C251"/>
    <mergeCell ref="D249:D251"/>
    <mergeCell ref="E249:F251"/>
    <mergeCell ref="J249:K249"/>
    <mergeCell ref="S249:T249"/>
    <mergeCell ref="U249:V249"/>
    <mergeCell ref="W249:X249"/>
    <mergeCell ref="Z249:AA249"/>
    <mergeCell ref="H247:H248"/>
    <mergeCell ref="J247:K247"/>
    <mergeCell ref="S247:T247"/>
    <mergeCell ref="U247:V247"/>
    <mergeCell ref="W247:X247"/>
    <mergeCell ref="Z247:AA247"/>
    <mergeCell ref="J248:K248"/>
    <mergeCell ref="P248:P249"/>
    <mergeCell ref="S248:T248"/>
    <mergeCell ref="U248:V248"/>
    <mergeCell ref="Z245:AA245"/>
    <mergeCell ref="D246:D248"/>
    <mergeCell ref="E246:F248"/>
    <mergeCell ref="J246:K246"/>
    <mergeCell ref="P246:P247"/>
    <mergeCell ref="S246:T246"/>
    <mergeCell ref="U246:V246"/>
    <mergeCell ref="W246:X246"/>
    <mergeCell ref="Z246:AA246"/>
    <mergeCell ref="G247:G248"/>
    <mergeCell ref="X243:Y243"/>
    <mergeCell ref="B245:C245"/>
    <mergeCell ref="E245:F245"/>
    <mergeCell ref="J245:K245"/>
    <mergeCell ref="S245:T245"/>
    <mergeCell ref="U245:V245"/>
    <mergeCell ref="W245:X245"/>
    <mergeCell ref="X241:Y241"/>
    <mergeCell ref="G242:G243"/>
    <mergeCell ref="H242:H243"/>
    <mergeCell ref="J242:K242"/>
    <mergeCell ref="P242:R242"/>
    <mergeCell ref="T242:U242"/>
    <mergeCell ref="X242:Y242"/>
    <mergeCell ref="J243:K243"/>
    <mergeCell ref="P243:R243"/>
    <mergeCell ref="T243:U243"/>
    <mergeCell ref="B241:C241"/>
    <mergeCell ref="D241:D243"/>
    <mergeCell ref="E241:F243"/>
    <mergeCell ref="J241:K241"/>
    <mergeCell ref="P241:R241"/>
    <mergeCell ref="T241:U241"/>
    <mergeCell ref="J239:K239"/>
    <mergeCell ref="P239:R239"/>
    <mergeCell ref="T239:U239"/>
    <mergeCell ref="X239:Y239"/>
    <mergeCell ref="J240:K240"/>
    <mergeCell ref="P240:R240"/>
    <mergeCell ref="T240:U240"/>
    <mergeCell ref="X240:Y240"/>
    <mergeCell ref="T237:U237"/>
    <mergeCell ref="X237:Y237"/>
    <mergeCell ref="D238:D240"/>
    <mergeCell ref="E238:F240"/>
    <mergeCell ref="J238:K238"/>
    <mergeCell ref="P238:R238"/>
    <mergeCell ref="T238:U238"/>
    <mergeCell ref="X238:Y238"/>
    <mergeCell ref="G239:G240"/>
    <mergeCell ref="H239:H240"/>
    <mergeCell ref="B233:C235"/>
    <mergeCell ref="F234:F235"/>
    <mergeCell ref="K234:K235"/>
    <mergeCell ref="P234:Q234"/>
    <mergeCell ref="P235:Q235"/>
    <mergeCell ref="B237:C237"/>
    <mergeCell ref="E237:F237"/>
    <mergeCell ref="J237:K237"/>
    <mergeCell ref="P237:R237"/>
    <mergeCell ref="D231:E235"/>
    <mergeCell ref="F231:F232"/>
    <mergeCell ref="J231:J235"/>
    <mergeCell ref="K231:K232"/>
    <mergeCell ref="P231:Q231"/>
    <mergeCell ref="P232:Q232"/>
    <mergeCell ref="B227:B229"/>
    <mergeCell ref="C227:C229"/>
    <mergeCell ref="F228:F229"/>
    <mergeCell ref="K228:K229"/>
    <mergeCell ref="P228:Q228"/>
    <mergeCell ref="P229:Q229"/>
    <mergeCell ref="D225:E229"/>
    <mergeCell ref="F225:F226"/>
    <mergeCell ref="J225:J229"/>
    <mergeCell ref="K225:K226"/>
    <mergeCell ref="P225:Q225"/>
    <mergeCell ref="P226:Q226"/>
    <mergeCell ref="Q222:S222"/>
    <mergeCell ref="U222:AA222"/>
    <mergeCell ref="B223:C223"/>
    <mergeCell ref="F223:G223"/>
    <mergeCell ref="H223:I223"/>
    <mergeCell ref="J223:P223"/>
    <mergeCell ref="Q223:S223"/>
    <mergeCell ref="U223:AA223"/>
    <mergeCell ref="J220:K220"/>
    <mergeCell ref="P220:AA220"/>
    <mergeCell ref="B221:C221"/>
    <mergeCell ref="D221:E223"/>
    <mergeCell ref="F221:P221"/>
    <mergeCell ref="Q221:AA221"/>
    <mergeCell ref="B222:C222"/>
    <mergeCell ref="F222:G222"/>
    <mergeCell ref="H222:I222"/>
    <mergeCell ref="J222:P222"/>
    <mergeCell ref="B218:C220"/>
    <mergeCell ref="D218:D220"/>
    <mergeCell ref="E218:F220"/>
    <mergeCell ref="J218:K218"/>
    <mergeCell ref="S218:T218"/>
    <mergeCell ref="U218:V218"/>
    <mergeCell ref="G219:G220"/>
    <mergeCell ref="H219:H220"/>
    <mergeCell ref="J219:K219"/>
    <mergeCell ref="P219:AA219"/>
    <mergeCell ref="W216:X216"/>
    <mergeCell ref="Z216:AA216"/>
    <mergeCell ref="J217:K217"/>
    <mergeCell ref="P217:P218"/>
    <mergeCell ref="S217:T217"/>
    <mergeCell ref="U217:V217"/>
    <mergeCell ref="W217:X217"/>
    <mergeCell ref="Z217:AA217"/>
    <mergeCell ref="W218:X218"/>
    <mergeCell ref="Z218:AA218"/>
    <mergeCell ref="B216:B217"/>
    <mergeCell ref="C216:C217"/>
    <mergeCell ref="G216:G217"/>
    <mergeCell ref="H216:H217"/>
    <mergeCell ref="J216:K216"/>
    <mergeCell ref="S216:T216"/>
    <mergeCell ref="Z214:AA214"/>
    <mergeCell ref="D215:D217"/>
    <mergeCell ref="E215:F217"/>
    <mergeCell ref="J215:K215"/>
    <mergeCell ref="P215:P216"/>
    <mergeCell ref="S215:T215"/>
    <mergeCell ref="U215:V215"/>
    <mergeCell ref="W215:X215"/>
    <mergeCell ref="Z215:AA215"/>
    <mergeCell ref="U216:V216"/>
    <mergeCell ref="B214:C214"/>
    <mergeCell ref="E214:F214"/>
    <mergeCell ref="J214:K214"/>
    <mergeCell ref="S214:T214"/>
    <mergeCell ref="U214:V214"/>
    <mergeCell ref="W214:X214"/>
    <mergeCell ref="H211:H212"/>
    <mergeCell ref="J211:K211"/>
    <mergeCell ref="P211:R211"/>
    <mergeCell ref="T211:U211"/>
    <mergeCell ref="X211:Y211"/>
    <mergeCell ref="J212:K212"/>
    <mergeCell ref="P212:R212"/>
    <mergeCell ref="T212:U212"/>
    <mergeCell ref="X212:Y212"/>
    <mergeCell ref="T209:U209"/>
    <mergeCell ref="X209:Y209"/>
    <mergeCell ref="B210:C210"/>
    <mergeCell ref="D210:D212"/>
    <mergeCell ref="E210:F212"/>
    <mergeCell ref="J210:K210"/>
    <mergeCell ref="P210:R210"/>
    <mergeCell ref="T210:U210"/>
    <mergeCell ref="X210:Y210"/>
    <mergeCell ref="G211:G212"/>
    <mergeCell ref="B208:B209"/>
    <mergeCell ref="C208:C209"/>
    <mergeCell ref="G208:G209"/>
    <mergeCell ref="H208:H209"/>
    <mergeCell ref="J208:K208"/>
    <mergeCell ref="P208:R208"/>
    <mergeCell ref="J209:K209"/>
    <mergeCell ref="P209:R209"/>
    <mergeCell ref="T206:U206"/>
    <mergeCell ref="X206:Y206"/>
    <mergeCell ref="D207:D209"/>
    <mergeCell ref="E207:F209"/>
    <mergeCell ref="J207:K207"/>
    <mergeCell ref="P207:R207"/>
    <mergeCell ref="T207:U207"/>
    <mergeCell ref="X207:Y207"/>
    <mergeCell ref="T208:U208"/>
    <mergeCell ref="X208:Y208"/>
    <mergeCell ref="B202:C204"/>
    <mergeCell ref="F203:F204"/>
    <mergeCell ref="K203:K204"/>
    <mergeCell ref="P203:Q203"/>
    <mergeCell ref="P204:Q204"/>
    <mergeCell ref="B206:C206"/>
    <mergeCell ref="E206:F206"/>
    <mergeCell ref="J206:K206"/>
    <mergeCell ref="P206:R206"/>
    <mergeCell ref="D200:E204"/>
    <mergeCell ref="F200:F201"/>
    <mergeCell ref="J200:J204"/>
    <mergeCell ref="K200:K201"/>
    <mergeCell ref="P200:Q200"/>
    <mergeCell ref="P201:Q201"/>
    <mergeCell ref="B196:B198"/>
    <mergeCell ref="C196:C198"/>
    <mergeCell ref="F197:F198"/>
    <mergeCell ref="K197:K198"/>
    <mergeCell ref="P197:Q197"/>
    <mergeCell ref="P198:Q198"/>
    <mergeCell ref="D194:E198"/>
    <mergeCell ref="F194:F195"/>
    <mergeCell ref="J194:J198"/>
    <mergeCell ref="K194:K195"/>
    <mergeCell ref="P194:Q194"/>
    <mergeCell ref="P195:Q195"/>
    <mergeCell ref="Q190:S190"/>
    <mergeCell ref="U190:AA190"/>
    <mergeCell ref="B191:C191"/>
    <mergeCell ref="F191:G191"/>
    <mergeCell ref="H191:I191"/>
    <mergeCell ref="J191:P191"/>
    <mergeCell ref="Q191:S191"/>
    <mergeCell ref="U191:AA191"/>
    <mergeCell ref="J188:K188"/>
    <mergeCell ref="P188:AA188"/>
    <mergeCell ref="B189:C189"/>
    <mergeCell ref="D189:E191"/>
    <mergeCell ref="F189:P189"/>
    <mergeCell ref="Q189:AA189"/>
    <mergeCell ref="B190:C190"/>
    <mergeCell ref="F190:G190"/>
    <mergeCell ref="H190:I190"/>
    <mergeCell ref="J190:P190"/>
    <mergeCell ref="B186:C188"/>
    <mergeCell ref="D186:D188"/>
    <mergeCell ref="E186:F188"/>
    <mergeCell ref="J186:K186"/>
    <mergeCell ref="S186:T186"/>
    <mergeCell ref="U186:V186"/>
    <mergeCell ref="G187:G188"/>
    <mergeCell ref="H187:H188"/>
    <mergeCell ref="J187:K187"/>
    <mergeCell ref="P187:AA187"/>
    <mergeCell ref="W184:X184"/>
    <mergeCell ref="Z184:AA184"/>
    <mergeCell ref="J185:K185"/>
    <mergeCell ref="P185:P186"/>
    <mergeCell ref="S185:T185"/>
    <mergeCell ref="U185:V185"/>
    <mergeCell ref="W185:X185"/>
    <mergeCell ref="Z185:AA185"/>
    <mergeCell ref="W186:X186"/>
    <mergeCell ref="Z186:AA186"/>
    <mergeCell ref="B184:B185"/>
    <mergeCell ref="C184:C185"/>
    <mergeCell ref="G184:G185"/>
    <mergeCell ref="H184:H185"/>
    <mergeCell ref="J184:K184"/>
    <mergeCell ref="S184:T184"/>
    <mergeCell ref="Z182:AA182"/>
    <mergeCell ref="D183:D185"/>
    <mergeCell ref="E183:F185"/>
    <mergeCell ref="J183:K183"/>
    <mergeCell ref="P183:P184"/>
    <mergeCell ref="S183:T183"/>
    <mergeCell ref="U183:V183"/>
    <mergeCell ref="W183:X183"/>
    <mergeCell ref="Z183:AA183"/>
    <mergeCell ref="U184:V184"/>
    <mergeCell ref="B182:C182"/>
    <mergeCell ref="E182:F182"/>
    <mergeCell ref="J182:K182"/>
    <mergeCell ref="S182:T182"/>
    <mergeCell ref="U182:V182"/>
    <mergeCell ref="W182:X182"/>
    <mergeCell ref="H179:H180"/>
    <mergeCell ref="J179:K179"/>
    <mergeCell ref="P179:R179"/>
    <mergeCell ref="T179:U179"/>
    <mergeCell ref="X179:Y179"/>
    <mergeCell ref="J180:K180"/>
    <mergeCell ref="P180:R180"/>
    <mergeCell ref="T180:U180"/>
    <mergeCell ref="X180:Y180"/>
    <mergeCell ref="T177:U177"/>
    <mergeCell ref="X177:Y177"/>
    <mergeCell ref="B178:C178"/>
    <mergeCell ref="D178:D180"/>
    <mergeCell ref="E178:F180"/>
    <mergeCell ref="J178:K178"/>
    <mergeCell ref="P178:R178"/>
    <mergeCell ref="T178:U178"/>
    <mergeCell ref="X178:Y178"/>
    <mergeCell ref="G179:G180"/>
    <mergeCell ref="B176:B177"/>
    <mergeCell ref="C176:C177"/>
    <mergeCell ref="G176:G177"/>
    <mergeCell ref="H176:H177"/>
    <mergeCell ref="J176:K176"/>
    <mergeCell ref="P176:R176"/>
    <mergeCell ref="J177:K177"/>
    <mergeCell ref="P177:R177"/>
    <mergeCell ref="T174:U174"/>
    <mergeCell ref="X174:Y174"/>
    <mergeCell ref="D175:D177"/>
    <mergeCell ref="E175:F177"/>
    <mergeCell ref="J175:K175"/>
    <mergeCell ref="P175:R175"/>
    <mergeCell ref="T175:U175"/>
    <mergeCell ref="X175:Y175"/>
    <mergeCell ref="T176:U176"/>
    <mergeCell ref="X176:Y176"/>
    <mergeCell ref="B170:C172"/>
    <mergeCell ref="F171:F172"/>
    <mergeCell ref="K171:K172"/>
    <mergeCell ref="P171:Q171"/>
    <mergeCell ref="P172:Q172"/>
    <mergeCell ref="B174:C174"/>
    <mergeCell ref="E174:F174"/>
    <mergeCell ref="J174:K174"/>
    <mergeCell ref="P174:R174"/>
    <mergeCell ref="D168:E172"/>
    <mergeCell ref="F168:F169"/>
    <mergeCell ref="J168:J172"/>
    <mergeCell ref="K168:K169"/>
    <mergeCell ref="P168:Q168"/>
    <mergeCell ref="P169:Q169"/>
    <mergeCell ref="B164:B166"/>
    <mergeCell ref="C164:C166"/>
    <mergeCell ref="F165:F166"/>
    <mergeCell ref="K165:K166"/>
    <mergeCell ref="P165:Q165"/>
    <mergeCell ref="P166:Q166"/>
    <mergeCell ref="D162:E166"/>
    <mergeCell ref="F162:F163"/>
    <mergeCell ref="J162:J166"/>
    <mergeCell ref="K162:K163"/>
    <mergeCell ref="P162:Q162"/>
    <mergeCell ref="P163:Q163"/>
    <mergeCell ref="Q159:S159"/>
    <mergeCell ref="U159:AA159"/>
    <mergeCell ref="B160:C160"/>
    <mergeCell ref="F160:G160"/>
    <mergeCell ref="H160:I160"/>
    <mergeCell ref="J160:P160"/>
    <mergeCell ref="Q160:S160"/>
    <mergeCell ref="U160:AA160"/>
    <mergeCell ref="J157:K157"/>
    <mergeCell ref="P157:AA157"/>
    <mergeCell ref="B158:C158"/>
    <mergeCell ref="D158:E160"/>
    <mergeCell ref="F158:P158"/>
    <mergeCell ref="Q158:AA158"/>
    <mergeCell ref="B159:C159"/>
    <mergeCell ref="F159:G159"/>
    <mergeCell ref="H159:I159"/>
    <mergeCell ref="J159:P159"/>
    <mergeCell ref="B155:C157"/>
    <mergeCell ref="D155:D157"/>
    <mergeCell ref="E155:F157"/>
    <mergeCell ref="J155:K155"/>
    <mergeCell ref="S155:T155"/>
    <mergeCell ref="U155:V155"/>
    <mergeCell ref="G156:G157"/>
    <mergeCell ref="H156:H157"/>
    <mergeCell ref="J156:K156"/>
    <mergeCell ref="P156:AA156"/>
    <mergeCell ref="W153:X153"/>
    <mergeCell ref="Z153:AA153"/>
    <mergeCell ref="J154:K154"/>
    <mergeCell ref="P154:P155"/>
    <mergeCell ref="S154:T154"/>
    <mergeCell ref="U154:V154"/>
    <mergeCell ref="W154:X154"/>
    <mergeCell ref="Z154:AA154"/>
    <mergeCell ref="W155:X155"/>
    <mergeCell ref="Z155:AA155"/>
    <mergeCell ref="B153:B154"/>
    <mergeCell ref="C153:C154"/>
    <mergeCell ref="G153:G154"/>
    <mergeCell ref="H153:H154"/>
    <mergeCell ref="J153:K153"/>
    <mergeCell ref="S153:T153"/>
    <mergeCell ref="Z151:AA151"/>
    <mergeCell ref="D152:D154"/>
    <mergeCell ref="E152:F154"/>
    <mergeCell ref="J152:K152"/>
    <mergeCell ref="P152:P153"/>
    <mergeCell ref="S152:T152"/>
    <mergeCell ref="U152:V152"/>
    <mergeCell ref="W152:X152"/>
    <mergeCell ref="Z152:AA152"/>
    <mergeCell ref="U153:V153"/>
    <mergeCell ref="B151:C151"/>
    <mergeCell ref="E151:F151"/>
    <mergeCell ref="J151:K151"/>
    <mergeCell ref="S151:T151"/>
    <mergeCell ref="U151:V151"/>
    <mergeCell ref="W151:X151"/>
    <mergeCell ref="H148:H149"/>
    <mergeCell ref="J148:K148"/>
    <mergeCell ref="P148:R148"/>
    <mergeCell ref="T148:U148"/>
    <mergeCell ref="X148:Y148"/>
    <mergeCell ref="J149:K149"/>
    <mergeCell ref="P149:R149"/>
    <mergeCell ref="T149:U149"/>
    <mergeCell ref="X149:Y149"/>
    <mergeCell ref="T146:U146"/>
    <mergeCell ref="X146:Y146"/>
    <mergeCell ref="B147:C147"/>
    <mergeCell ref="D147:D149"/>
    <mergeCell ref="E147:F149"/>
    <mergeCell ref="J147:K147"/>
    <mergeCell ref="P147:R147"/>
    <mergeCell ref="T147:U147"/>
    <mergeCell ref="X147:Y147"/>
    <mergeCell ref="G148:G149"/>
    <mergeCell ref="B145:B146"/>
    <mergeCell ref="C145:C146"/>
    <mergeCell ref="G145:G146"/>
    <mergeCell ref="H145:H146"/>
    <mergeCell ref="J145:K145"/>
    <mergeCell ref="P145:R145"/>
    <mergeCell ref="J146:K146"/>
    <mergeCell ref="P146:R146"/>
    <mergeCell ref="T143:U143"/>
    <mergeCell ref="X143:Y143"/>
    <mergeCell ref="D144:D146"/>
    <mergeCell ref="E144:F146"/>
    <mergeCell ref="J144:K144"/>
    <mergeCell ref="P144:R144"/>
    <mergeCell ref="T144:U144"/>
    <mergeCell ref="X144:Y144"/>
    <mergeCell ref="T145:U145"/>
    <mergeCell ref="X145:Y145"/>
    <mergeCell ref="B139:C141"/>
    <mergeCell ref="F140:F141"/>
    <mergeCell ref="K140:K141"/>
    <mergeCell ref="P140:Q140"/>
    <mergeCell ref="P141:Q141"/>
    <mergeCell ref="B143:C143"/>
    <mergeCell ref="E143:F143"/>
    <mergeCell ref="J143:K143"/>
    <mergeCell ref="P143:R143"/>
    <mergeCell ref="D137:E141"/>
    <mergeCell ref="F137:F138"/>
    <mergeCell ref="J137:J141"/>
    <mergeCell ref="K137:K138"/>
    <mergeCell ref="P137:Q137"/>
    <mergeCell ref="P138:Q138"/>
    <mergeCell ref="B133:B135"/>
    <mergeCell ref="C133:C135"/>
    <mergeCell ref="F134:F135"/>
    <mergeCell ref="K134:K135"/>
    <mergeCell ref="P134:Q134"/>
    <mergeCell ref="P135:Q135"/>
    <mergeCell ref="D131:E135"/>
    <mergeCell ref="F131:F132"/>
    <mergeCell ref="J131:J135"/>
    <mergeCell ref="K131:K132"/>
    <mergeCell ref="P131:Q131"/>
    <mergeCell ref="P132:Q132"/>
    <mergeCell ref="Q128:S128"/>
    <mergeCell ref="U128:AA128"/>
    <mergeCell ref="B129:C129"/>
    <mergeCell ref="F129:G129"/>
    <mergeCell ref="H129:I129"/>
    <mergeCell ref="J129:P129"/>
    <mergeCell ref="Q129:S129"/>
    <mergeCell ref="U129:AA129"/>
    <mergeCell ref="J126:K126"/>
    <mergeCell ref="P126:AA126"/>
    <mergeCell ref="B127:C127"/>
    <mergeCell ref="D127:E129"/>
    <mergeCell ref="F127:P127"/>
    <mergeCell ref="Q127:AA127"/>
    <mergeCell ref="B128:C128"/>
    <mergeCell ref="F128:G128"/>
    <mergeCell ref="H128:I128"/>
    <mergeCell ref="J128:P128"/>
    <mergeCell ref="B124:C126"/>
    <mergeCell ref="D124:D126"/>
    <mergeCell ref="E124:F126"/>
    <mergeCell ref="J124:K124"/>
    <mergeCell ref="S124:T124"/>
    <mergeCell ref="U124:V124"/>
    <mergeCell ref="G125:G126"/>
    <mergeCell ref="H125:H126"/>
    <mergeCell ref="J125:K125"/>
    <mergeCell ref="P125:AA125"/>
    <mergeCell ref="W122:X122"/>
    <mergeCell ref="Z122:AA122"/>
    <mergeCell ref="J123:K123"/>
    <mergeCell ref="P123:P124"/>
    <mergeCell ref="S123:T123"/>
    <mergeCell ref="U123:V123"/>
    <mergeCell ref="W123:X123"/>
    <mergeCell ref="Z123:AA123"/>
    <mergeCell ref="W124:X124"/>
    <mergeCell ref="Z124:AA124"/>
    <mergeCell ref="B122:B123"/>
    <mergeCell ref="C122:C123"/>
    <mergeCell ref="G122:G123"/>
    <mergeCell ref="H122:H123"/>
    <mergeCell ref="J122:K122"/>
    <mergeCell ref="S122:T122"/>
    <mergeCell ref="Z120:AA120"/>
    <mergeCell ref="D121:D123"/>
    <mergeCell ref="E121:F123"/>
    <mergeCell ref="J121:K121"/>
    <mergeCell ref="P121:P122"/>
    <mergeCell ref="S121:T121"/>
    <mergeCell ref="U121:V121"/>
    <mergeCell ref="W121:X121"/>
    <mergeCell ref="Z121:AA121"/>
    <mergeCell ref="U122:V122"/>
    <mergeCell ref="B120:C120"/>
    <mergeCell ref="E120:F120"/>
    <mergeCell ref="J120:K120"/>
    <mergeCell ref="S120:T120"/>
    <mergeCell ref="U120:V120"/>
    <mergeCell ref="W120:X120"/>
    <mergeCell ref="H117:H118"/>
    <mergeCell ref="J117:K117"/>
    <mergeCell ref="P117:R117"/>
    <mergeCell ref="T117:U117"/>
    <mergeCell ref="X117:Y117"/>
    <mergeCell ref="J118:K118"/>
    <mergeCell ref="P118:R118"/>
    <mergeCell ref="T118:U118"/>
    <mergeCell ref="X118:Y118"/>
    <mergeCell ref="T115:U115"/>
    <mergeCell ref="X115:Y115"/>
    <mergeCell ref="B116:C116"/>
    <mergeCell ref="D116:D118"/>
    <mergeCell ref="E116:F118"/>
    <mergeCell ref="J116:K116"/>
    <mergeCell ref="P116:R116"/>
    <mergeCell ref="T116:U116"/>
    <mergeCell ref="X116:Y116"/>
    <mergeCell ref="G117:G118"/>
    <mergeCell ref="B114:B115"/>
    <mergeCell ref="C114:C115"/>
    <mergeCell ref="G114:G115"/>
    <mergeCell ref="H114:H115"/>
    <mergeCell ref="J114:K114"/>
    <mergeCell ref="P114:R114"/>
    <mergeCell ref="J115:K115"/>
    <mergeCell ref="P115:R115"/>
    <mergeCell ref="T112:U112"/>
    <mergeCell ref="X112:Y112"/>
    <mergeCell ref="D113:D115"/>
    <mergeCell ref="E113:F115"/>
    <mergeCell ref="J113:K113"/>
    <mergeCell ref="P113:R113"/>
    <mergeCell ref="T113:U113"/>
    <mergeCell ref="X113:Y113"/>
    <mergeCell ref="T114:U114"/>
    <mergeCell ref="X114:Y114"/>
    <mergeCell ref="B108:C110"/>
    <mergeCell ref="F109:F110"/>
    <mergeCell ref="K109:K110"/>
    <mergeCell ref="P109:Q109"/>
    <mergeCell ref="P110:Q110"/>
    <mergeCell ref="B112:C112"/>
    <mergeCell ref="E112:F112"/>
    <mergeCell ref="J112:K112"/>
    <mergeCell ref="P112:R112"/>
    <mergeCell ref="D106:E110"/>
    <mergeCell ref="F106:F107"/>
    <mergeCell ref="J106:J110"/>
    <mergeCell ref="K106:K107"/>
    <mergeCell ref="P106:Q106"/>
    <mergeCell ref="P107:Q107"/>
    <mergeCell ref="B102:B104"/>
    <mergeCell ref="C102:C104"/>
    <mergeCell ref="F103:F104"/>
    <mergeCell ref="K103:K104"/>
    <mergeCell ref="P103:Q103"/>
    <mergeCell ref="P104:Q104"/>
    <mergeCell ref="D100:E104"/>
    <mergeCell ref="F100:F101"/>
    <mergeCell ref="J100:J104"/>
    <mergeCell ref="K100:K101"/>
    <mergeCell ref="P100:Q100"/>
    <mergeCell ref="P101:Q101"/>
    <mergeCell ref="Q96:S96"/>
    <mergeCell ref="U96:AA96"/>
    <mergeCell ref="B97:C97"/>
    <mergeCell ref="F97:G97"/>
    <mergeCell ref="H97:I97"/>
    <mergeCell ref="J97:P97"/>
    <mergeCell ref="Q97:S97"/>
    <mergeCell ref="U97:AA97"/>
    <mergeCell ref="J94:K94"/>
    <mergeCell ref="P94:AA94"/>
    <mergeCell ref="B95:C95"/>
    <mergeCell ref="D95:E97"/>
    <mergeCell ref="F95:P95"/>
    <mergeCell ref="Q95:AA95"/>
    <mergeCell ref="B96:C96"/>
    <mergeCell ref="F96:G96"/>
    <mergeCell ref="H96:I96"/>
    <mergeCell ref="J96:P96"/>
    <mergeCell ref="B92:C94"/>
    <mergeCell ref="D92:D94"/>
    <mergeCell ref="E92:F94"/>
    <mergeCell ref="J92:K92"/>
    <mergeCell ref="S92:T92"/>
    <mergeCell ref="U92:V92"/>
    <mergeCell ref="G93:G94"/>
    <mergeCell ref="H93:H94"/>
    <mergeCell ref="J93:K93"/>
    <mergeCell ref="P93:AA93"/>
    <mergeCell ref="W90:X90"/>
    <mergeCell ref="Z90:AA90"/>
    <mergeCell ref="J91:K91"/>
    <mergeCell ref="P91:P92"/>
    <mergeCell ref="S91:T91"/>
    <mergeCell ref="U91:V91"/>
    <mergeCell ref="W91:X91"/>
    <mergeCell ref="Z91:AA91"/>
    <mergeCell ref="W92:X92"/>
    <mergeCell ref="Z92:AA92"/>
    <mergeCell ref="B90:B91"/>
    <mergeCell ref="C90:C91"/>
    <mergeCell ref="G90:G91"/>
    <mergeCell ref="H90:H91"/>
    <mergeCell ref="J90:K90"/>
    <mergeCell ref="S90:T90"/>
    <mergeCell ref="Z88:AA88"/>
    <mergeCell ref="D89:D91"/>
    <mergeCell ref="E89:F91"/>
    <mergeCell ref="J89:K89"/>
    <mergeCell ref="P89:P90"/>
    <mergeCell ref="S89:T89"/>
    <mergeCell ref="U89:V89"/>
    <mergeCell ref="W89:X89"/>
    <mergeCell ref="Z89:AA89"/>
    <mergeCell ref="U90:V90"/>
    <mergeCell ref="B88:C88"/>
    <mergeCell ref="E88:F88"/>
    <mergeCell ref="J88:K88"/>
    <mergeCell ref="S88:T88"/>
    <mergeCell ref="U88:V88"/>
    <mergeCell ref="W88:X88"/>
    <mergeCell ref="H85:H86"/>
    <mergeCell ref="J85:K85"/>
    <mergeCell ref="P85:R85"/>
    <mergeCell ref="T85:U85"/>
    <mergeCell ref="X85:Y85"/>
    <mergeCell ref="J86:K86"/>
    <mergeCell ref="P86:R86"/>
    <mergeCell ref="T86:U86"/>
    <mergeCell ref="X86:Y86"/>
    <mergeCell ref="T83:U83"/>
    <mergeCell ref="X83:Y83"/>
    <mergeCell ref="B84:C84"/>
    <mergeCell ref="D84:D86"/>
    <mergeCell ref="E84:F86"/>
    <mergeCell ref="J84:K84"/>
    <mergeCell ref="P84:R84"/>
    <mergeCell ref="T84:U84"/>
    <mergeCell ref="X84:Y84"/>
    <mergeCell ref="G85:G86"/>
    <mergeCell ref="B82:B83"/>
    <mergeCell ref="C82:C83"/>
    <mergeCell ref="G82:G83"/>
    <mergeCell ref="H82:H83"/>
    <mergeCell ref="J82:K82"/>
    <mergeCell ref="P82:R82"/>
    <mergeCell ref="J83:K83"/>
    <mergeCell ref="P83:R83"/>
    <mergeCell ref="T80:U80"/>
    <mergeCell ref="X80:Y80"/>
    <mergeCell ref="D81:D83"/>
    <mergeCell ref="E81:F83"/>
    <mergeCell ref="J81:K81"/>
    <mergeCell ref="P81:R81"/>
    <mergeCell ref="T81:U81"/>
    <mergeCell ref="X81:Y81"/>
    <mergeCell ref="T82:U82"/>
    <mergeCell ref="X82:Y82"/>
    <mergeCell ref="B76:C78"/>
    <mergeCell ref="F77:F78"/>
    <mergeCell ref="K77:K78"/>
    <mergeCell ref="P77:Q77"/>
    <mergeCell ref="P78:Q78"/>
    <mergeCell ref="B80:C80"/>
    <mergeCell ref="E80:F80"/>
    <mergeCell ref="J80:K80"/>
    <mergeCell ref="P80:R80"/>
    <mergeCell ref="D74:E78"/>
    <mergeCell ref="F74:F75"/>
    <mergeCell ref="J74:J78"/>
    <mergeCell ref="K74:K75"/>
    <mergeCell ref="P74:Q74"/>
    <mergeCell ref="P75:Q75"/>
    <mergeCell ref="B70:B72"/>
    <mergeCell ref="C70:C72"/>
    <mergeCell ref="F71:F72"/>
    <mergeCell ref="K71:K72"/>
    <mergeCell ref="P71:Q71"/>
    <mergeCell ref="P72:Q72"/>
    <mergeCell ref="D68:E72"/>
    <mergeCell ref="F68:F69"/>
    <mergeCell ref="J68:J72"/>
    <mergeCell ref="K68:K69"/>
    <mergeCell ref="P68:Q68"/>
    <mergeCell ref="P69:Q69"/>
    <mergeCell ref="Q64:S64"/>
    <mergeCell ref="U64:AA64"/>
    <mergeCell ref="B65:C65"/>
    <mergeCell ref="F65:G65"/>
    <mergeCell ref="H65:I65"/>
    <mergeCell ref="J65:P65"/>
    <mergeCell ref="Q65:S65"/>
    <mergeCell ref="U65:AA65"/>
    <mergeCell ref="J62:K62"/>
    <mergeCell ref="P62:AA62"/>
    <mergeCell ref="B63:C63"/>
    <mergeCell ref="D63:E65"/>
    <mergeCell ref="F63:P63"/>
    <mergeCell ref="Q63:AA63"/>
    <mergeCell ref="B64:C64"/>
    <mergeCell ref="F64:G64"/>
    <mergeCell ref="H64:I64"/>
    <mergeCell ref="J64:P64"/>
    <mergeCell ref="B60:C62"/>
    <mergeCell ref="D60:D62"/>
    <mergeCell ref="E60:F62"/>
    <mergeCell ref="J60:K60"/>
    <mergeCell ref="S60:T60"/>
    <mergeCell ref="U60:V60"/>
    <mergeCell ref="G61:G62"/>
    <mergeCell ref="H61:H62"/>
    <mergeCell ref="J61:K61"/>
    <mergeCell ref="P61:AA61"/>
    <mergeCell ref="W58:X58"/>
    <mergeCell ref="Z58:AA58"/>
    <mergeCell ref="J59:K59"/>
    <mergeCell ref="P59:P60"/>
    <mergeCell ref="S59:T59"/>
    <mergeCell ref="U59:V59"/>
    <mergeCell ref="W59:X59"/>
    <mergeCell ref="Z59:AA59"/>
    <mergeCell ref="W60:X60"/>
    <mergeCell ref="Z60:AA60"/>
    <mergeCell ref="B58:B59"/>
    <mergeCell ref="C58:C59"/>
    <mergeCell ref="G58:G59"/>
    <mergeCell ref="H58:H59"/>
    <mergeCell ref="J58:K58"/>
    <mergeCell ref="S58:T58"/>
    <mergeCell ref="Z56:AA56"/>
    <mergeCell ref="D57:D59"/>
    <mergeCell ref="E57:F59"/>
    <mergeCell ref="J57:K57"/>
    <mergeCell ref="P57:P58"/>
    <mergeCell ref="S57:T57"/>
    <mergeCell ref="U57:V57"/>
    <mergeCell ref="W57:X57"/>
    <mergeCell ref="Z57:AA57"/>
    <mergeCell ref="U58:V58"/>
    <mergeCell ref="B56:C56"/>
    <mergeCell ref="E56:F56"/>
    <mergeCell ref="J56:K56"/>
    <mergeCell ref="S56:T56"/>
    <mergeCell ref="U56:V56"/>
    <mergeCell ref="W56:X56"/>
    <mergeCell ref="H53:H54"/>
    <mergeCell ref="J53:K53"/>
    <mergeCell ref="P53:R53"/>
    <mergeCell ref="T53:U53"/>
    <mergeCell ref="X53:Y53"/>
    <mergeCell ref="J54:K54"/>
    <mergeCell ref="P54:R54"/>
    <mergeCell ref="T54:U54"/>
    <mergeCell ref="X54:Y54"/>
    <mergeCell ref="T51:U51"/>
    <mergeCell ref="X51:Y51"/>
    <mergeCell ref="B52:C52"/>
    <mergeCell ref="D52:D54"/>
    <mergeCell ref="E52:F54"/>
    <mergeCell ref="J52:K52"/>
    <mergeCell ref="P52:R52"/>
    <mergeCell ref="T52:U52"/>
    <mergeCell ref="X52:Y52"/>
    <mergeCell ref="G53:G54"/>
    <mergeCell ref="B50:B51"/>
    <mergeCell ref="C50:C51"/>
    <mergeCell ref="G50:G51"/>
    <mergeCell ref="H50:H51"/>
    <mergeCell ref="J50:K50"/>
    <mergeCell ref="P50:R50"/>
    <mergeCell ref="J51:K51"/>
    <mergeCell ref="P51:R51"/>
    <mergeCell ref="T48:U48"/>
    <mergeCell ref="X48:Y48"/>
    <mergeCell ref="D49:D51"/>
    <mergeCell ref="E49:F51"/>
    <mergeCell ref="J49:K49"/>
    <mergeCell ref="P49:R49"/>
    <mergeCell ref="T49:U49"/>
    <mergeCell ref="X49:Y49"/>
    <mergeCell ref="T50:U50"/>
    <mergeCell ref="X50:Y50"/>
    <mergeCell ref="B44:C46"/>
    <mergeCell ref="F45:F46"/>
    <mergeCell ref="K45:K46"/>
    <mergeCell ref="P45:Q45"/>
    <mergeCell ref="P46:Q46"/>
    <mergeCell ref="B48:C48"/>
    <mergeCell ref="E48:F48"/>
    <mergeCell ref="J48:K48"/>
    <mergeCell ref="P48:R48"/>
    <mergeCell ref="D42:E46"/>
    <mergeCell ref="F42:F43"/>
    <mergeCell ref="J42:J46"/>
    <mergeCell ref="K42:K43"/>
    <mergeCell ref="P42:Q42"/>
    <mergeCell ref="P43:Q43"/>
    <mergeCell ref="B38:B40"/>
    <mergeCell ref="C38:C40"/>
    <mergeCell ref="F39:F40"/>
    <mergeCell ref="K39:K40"/>
    <mergeCell ref="P39:Q39"/>
    <mergeCell ref="P40:Q40"/>
    <mergeCell ref="D36:E40"/>
    <mergeCell ref="F36:F37"/>
    <mergeCell ref="J36:J40"/>
    <mergeCell ref="K36:K37"/>
    <mergeCell ref="P36:Q36"/>
    <mergeCell ref="P37:Q37"/>
    <mergeCell ref="Q32:S32"/>
    <mergeCell ref="U32:AA32"/>
    <mergeCell ref="B33:C33"/>
    <mergeCell ref="F33:G33"/>
    <mergeCell ref="H33:I33"/>
    <mergeCell ref="J33:P33"/>
    <mergeCell ref="Q33:S33"/>
    <mergeCell ref="U33:AA33"/>
    <mergeCell ref="J30:K30"/>
    <mergeCell ref="P30:AA30"/>
    <mergeCell ref="B31:C31"/>
    <mergeCell ref="D31:E33"/>
    <mergeCell ref="F31:P31"/>
    <mergeCell ref="Q31:AA31"/>
    <mergeCell ref="B32:C32"/>
    <mergeCell ref="F32:G32"/>
    <mergeCell ref="H32:I32"/>
    <mergeCell ref="J32:P32"/>
    <mergeCell ref="B28:C30"/>
    <mergeCell ref="D28:D30"/>
    <mergeCell ref="E28:F30"/>
    <mergeCell ref="J28:K28"/>
    <mergeCell ref="S28:T28"/>
    <mergeCell ref="U28:V28"/>
    <mergeCell ref="G29:G30"/>
    <mergeCell ref="H29:H30"/>
    <mergeCell ref="J29:K29"/>
    <mergeCell ref="P29:AA29"/>
    <mergeCell ref="W26:X26"/>
    <mergeCell ref="Z26:AA26"/>
    <mergeCell ref="J27:K27"/>
    <mergeCell ref="P27:P28"/>
    <mergeCell ref="S27:T27"/>
    <mergeCell ref="U27:V27"/>
    <mergeCell ref="W27:X27"/>
    <mergeCell ref="Z27:AA27"/>
    <mergeCell ref="W28:X28"/>
    <mergeCell ref="Z28:AA28"/>
    <mergeCell ref="B26:B27"/>
    <mergeCell ref="C26:C27"/>
    <mergeCell ref="G26:G27"/>
    <mergeCell ref="H26:H27"/>
    <mergeCell ref="J26:K26"/>
    <mergeCell ref="S26:T26"/>
    <mergeCell ref="Z24:AA24"/>
    <mergeCell ref="D25:D27"/>
    <mergeCell ref="E25:F27"/>
    <mergeCell ref="J25:K25"/>
    <mergeCell ref="P25:P26"/>
    <mergeCell ref="S25:T25"/>
    <mergeCell ref="U25:V25"/>
    <mergeCell ref="W25:X25"/>
    <mergeCell ref="Z25:AA25"/>
    <mergeCell ref="U26:V26"/>
    <mergeCell ref="B24:C24"/>
    <mergeCell ref="E24:F24"/>
    <mergeCell ref="J24:K24"/>
    <mergeCell ref="S24:T24"/>
    <mergeCell ref="U24:V24"/>
    <mergeCell ref="W24:X24"/>
    <mergeCell ref="H21:H22"/>
    <mergeCell ref="J21:K21"/>
    <mergeCell ref="P21:R21"/>
    <mergeCell ref="T21:U21"/>
    <mergeCell ref="X21:Y21"/>
    <mergeCell ref="J22:K22"/>
    <mergeCell ref="P22:R22"/>
    <mergeCell ref="T22:U22"/>
    <mergeCell ref="X22:Y22"/>
    <mergeCell ref="T19:U19"/>
    <mergeCell ref="X19:Y19"/>
    <mergeCell ref="B20:C20"/>
    <mergeCell ref="D20:D22"/>
    <mergeCell ref="E20:F22"/>
    <mergeCell ref="J20:K20"/>
    <mergeCell ref="P20:R20"/>
    <mergeCell ref="T20:U20"/>
    <mergeCell ref="X20:Y20"/>
    <mergeCell ref="G21:G22"/>
    <mergeCell ref="B18:B19"/>
    <mergeCell ref="C18:C19"/>
    <mergeCell ref="G18:G19"/>
    <mergeCell ref="H18:H19"/>
    <mergeCell ref="J18:K18"/>
    <mergeCell ref="P18:R18"/>
    <mergeCell ref="J19:K19"/>
    <mergeCell ref="P19:R19"/>
    <mergeCell ref="T16:U16"/>
    <mergeCell ref="X16:Y16"/>
    <mergeCell ref="D17:D19"/>
    <mergeCell ref="E17:F19"/>
    <mergeCell ref="J17:K17"/>
    <mergeCell ref="P17:R17"/>
    <mergeCell ref="T17:U17"/>
    <mergeCell ref="X17:Y17"/>
    <mergeCell ref="T18:U18"/>
    <mergeCell ref="X18:Y18"/>
    <mergeCell ref="B12:C14"/>
    <mergeCell ref="F13:F14"/>
    <mergeCell ref="K13:K14"/>
    <mergeCell ref="P13:Q13"/>
    <mergeCell ref="P14:Q14"/>
    <mergeCell ref="B16:C16"/>
    <mergeCell ref="E16:F16"/>
    <mergeCell ref="J16:K16"/>
    <mergeCell ref="P16:R16"/>
    <mergeCell ref="D10:E14"/>
    <mergeCell ref="F10:F11"/>
    <mergeCell ref="J10:J14"/>
    <mergeCell ref="K10:K11"/>
    <mergeCell ref="P10:Q10"/>
    <mergeCell ref="P11:Q11"/>
    <mergeCell ref="B6:B8"/>
    <mergeCell ref="C6:C8"/>
    <mergeCell ref="F7:F8"/>
    <mergeCell ref="K7:K8"/>
    <mergeCell ref="P7:Q7"/>
    <mergeCell ref="P8:Q8"/>
    <mergeCell ref="D4:E8"/>
    <mergeCell ref="F4:F5"/>
    <mergeCell ref="J4:J8"/>
    <mergeCell ref="K4:K5"/>
    <mergeCell ref="P4:Q4"/>
    <mergeCell ref="P5:Q5"/>
    <mergeCell ref="P1:Q2"/>
    <mergeCell ref="S1:S2"/>
    <mergeCell ref="U1:U2"/>
    <mergeCell ref="W1:W2"/>
    <mergeCell ref="Y1:Y2"/>
    <mergeCell ref="AA1:AA2"/>
    <mergeCell ref="A1:C2"/>
    <mergeCell ref="D1:E2"/>
    <mergeCell ref="F1:F2"/>
    <mergeCell ref="J1:J2"/>
    <mergeCell ref="K1:L2"/>
    <mergeCell ref="N1:N2"/>
  </mergeCells>
  <pageMargins left="0.19685039370078738" right="0.19685039370078738" top="0.19685039370078738" bottom="0.19685039370078738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AB6 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Kumar</dc:creator>
  <cp:lastModifiedBy>Mukesh Kumar</cp:lastModifiedBy>
  <dcterms:created xsi:type="dcterms:W3CDTF">2026-07-28T15:41:19Z</dcterms:created>
  <dcterms:modified xsi:type="dcterms:W3CDTF">2026-07-28T15:42:07Z</dcterms:modified>
</cp:coreProperties>
</file>